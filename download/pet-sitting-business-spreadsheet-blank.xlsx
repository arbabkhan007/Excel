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Dashboard" sheetId="2" r:id="rId2"/>
    <sheet name="Settings" sheetId="3" r:id="rId3"/>
    <sheet name="Lists" sheetId="4" r:id="rId4"/>
    <sheet name="Services" sheetId="5" r:id="rId5"/>
    <sheet name="Clients" sheetId="6" r:id="rId6"/>
    <sheet name="Pets" sheetId="7" r:id="rId7"/>
    <sheet name="Bookings" sheetId="8" r:id="rId8"/>
    <sheet name="Visit Log" sheetId="9" r:id="rId9"/>
    <sheet name="Health Log" sheetId="10" r:id="rId10"/>
    <sheet name="Incidents" sheetId="11" r:id="rId11"/>
    <sheet name="Messages" sheetId="12" r:id="rId12"/>
    <sheet name="Invoices" sheetId="13" r:id="rId13"/>
    <sheet name="Payments" sheetId="14" r:id="rId14"/>
    <sheet name="Expenses" sheetId="15" r:id="rId15"/>
    <sheet name="Mileage" sheetId="16" r:id="rId16"/>
    <sheet name="Staff" sheetId="17" r:id="rId17"/>
    <sheet name="Inventory" sheetId="18" r:id="rId18"/>
    <sheet name="Reminders" sheetId="19" r:id="rId19"/>
    <sheet name="Reports" sheetId="20" r:id="rId20"/>
    <sheet name="Budget" sheetId="21" r:id="rId21"/>
    <sheet name="Print Invoice" sheetId="22" r:id="rId22"/>
    <sheet name="Print Pet Care" sheetId="23" r:id="rId23"/>
    <sheet name="Print Visit" sheetId="24" r:id="rId24"/>
    <sheet name="Print Forms" sheetId="25" r:id="rId25"/>
    <sheet name="Help" sheetId="26" r:id="rId26"/>
    <sheet name="Calc" sheetId="27" state="hidden" r:id="rId27"/>
  </sheets>
  <definedNames>
    <definedName name="_xlnm._FilterDatabase" localSheetId="7" hidden="1">'Bookings'!$A$4:$AZ$404</definedName>
    <definedName name="_xlnm._FilterDatabase" localSheetId="26" hidden="1">'Calc'!$A$4:$AR$254</definedName>
    <definedName name="_xlnm._FilterDatabase" localSheetId="5" hidden="1">'Clients'!$A$4:$AL$254</definedName>
    <definedName name="_xlnm._FilterDatabase" localSheetId="14" hidden="1">'Expenses'!$A$4:$U$304</definedName>
    <definedName name="_xlnm._FilterDatabase" localSheetId="9" hidden="1">'Health Log'!$A$4:$V$204</definedName>
    <definedName name="_xlnm._FilterDatabase" localSheetId="10" hidden="1">'Incidents'!$A$17:$W$117</definedName>
    <definedName name="_xlnm._FilterDatabase" localSheetId="17" hidden="1">'Inventory'!$A$4:$S$124</definedName>
    <definedName name="_xlnm._FilterDatabase" localSheetId="12" hidden="1">'Invoices'!$A$4:$AD$304</definedName>
    <definedName name="_xlnm._FilterDatabase" localSheetId="11" hidden="1">'Messages'!$A$4:$T$204</definedName>
    <definedName name="_xlnm._FilterDatabase" localSheetId="15" hidden="1">'Mileage'!$A$4:$X$304</definedName>
    <definedName name="_xlnm._FilterDatabase" localSheetId="13" hidden="1">'Payments'!$A$4:$T$304</definedName>
    <definedName name="_xlnm._FilterDatabase" localSheetId="6" hidden="1">'Pets'!$A$4:$AT$254</definedName>
    <definedName name="_xlnm._FilterDatabase" localSheetId="18" hidden="1">'Reminders'!$A$38:$J$78</definedName>
    <definedName name="_xlnm._FilterDatabase" localSheetId="4" hidden="1">'Services'!$A$4:$T$54</definedName>
    <definedName name="_xlnm._FilterDatabase" localSheetId="16" hidden="1">'Staff'!$A$4:$AB$44</definedName>
    <definedName name="_xlnm._FilterDatabase" localSheetId="8" hidden="1">'Visit Log'!$A$4:$AJ$404</definedName>
    <definedName name="AppetiteList">OFFSET(Lists!$T$5,0,0,MAX(1,COUNTIF(Lists!$T$5:$T$44,"?*")),1)</definedName>
    <definedName name="BillingUnitList">OFFSET(Lists!$M$5,0,0,MAX(1,COUNTIF(Lists!$M$5:$M$44,"?*")),1)</definedName>
    <definedName name="Biz_Address">Settings!$D$11</definedName>
    <definedName name="Biz_Bank">Settings!$D$17</definedName>
    <definedName name="Biz_City">Settings!$D$12</definedName>
    <definedName name="Biz_Country">Settings!$D$15</definedName>
    <definedName name="Biz_Email">Settings!$D$9</definedName>
    <definedName name="Biz_InsuranceRenewal">Settings!$D$20</definedName>
    <definedName name="Biz_Insurer">Settings!$D$18</definedName>
    <definedName name="Biz_Licence">Settings!$D$21</definedName>
    <definedName name="Biz_LicenceRenewal">Settings!$D$22</definedName>
    <definedName name="Biz_Name">Settings!$D$6</definedName>
    <definedName name="Biz_Owner">Settings!$D$7</definedName>
    <definedName name="Biz_Phone">Settings!$D$8</definedName>
    <definedName name="Biz_Policy">Settings!$D$19</definedName>
    <definedName name="Biz_Post">Settings!$D$14</definedName>
    <definedName name="Biz_State">Settings!$D$13</definedName>
    <definedName name="Biz_TaxID">Settings!$D$16</definedName>
    <definedName name="Biz_Web">Settings!$D$10</definedName>
    <definedName name="BookingIDs">OFFSET(Bookings!$A$5,0,0,MAX(1,COUNTIF(Bookings!$A$5:$A$404,"?*")),1)</definedName>
    <definedName name="BookingPrefix">Settings!$D$54</definedName>
    <definedName name="BookingStatusList">OFFSET(Lists!$N$5,0,0,MAX(1,COUNTIF(Lists!$N$5:$N$44,"?*")),1)</definedName>
    <definedName name="BusinessPersonalList">OFFSET(Lists!$AI$5,0,0,MAX(1,COUNTIF(Lists!$AI$5:$AI$44,"?*")),1)</definedName>
    <definedName name="CancelReasonList">OFFSET(Lists!$Q$5,0,0,MAX(1,COUNTIF(Lists!$Q$5:$Q$44,"?*")),1)</definedName>
    <definedName name="ChannelList">OFFSET(Lists!$AB$5,0,0,MAX(1,COUNTIF(Lists!$AB$5:$AB$44,"?*")),1)</definedName>
    <definedName name="ClientIDs">OFFSET(Clients!$A$5,0,0,MAX(1,COUNTIF(Clients!$A$5:$A$254,"?*")),1)</definedName>
    <definedName name="ClientNames">OFFSET(Clients!$B$5,0,0,MAX(1,COUNTIF(Clients!$B$5:$B$254,"?*")),1)</definedName>
    <definedName name="ClientPrefix">Settings!$D$52</definedName>
    <definedName name="ClientStatusList">OFFSET(Lists!$C$5,0,0,MAX(1,COUNTIF(Lists!$C$5:$C$44,"?*")),1)</definedName>
    <definedName name="ContactMethodList">OFFSET(Lists!$D$5,0,0,MAX(1,COUNTIF(Lists!$D$5:$D$44,"?*")),1)</definedName>
    <definedName name="ContractStatusList">OFFSET(Lists!$F$5,0,0,MAX(1,COUNTIF(Lists!$F$5:$F$44,"?*")),1)</definedName>
    <definedName name="CurrencyCode">Settings!$D$33</definedName>
    <definedName name="CurrencySymbol">Settings!$D$32</definedName>
    <definedName name="Dash_Expenses">Dashboard!$M$10</definedName>
    <definedName name="Dash_MonthName">Dashboard!$F$6</definedName>
    <definedName name="Dash_Profit">Dashboard!$P$10</definedName>
    <definedName name="Dash_Revenue">Dashboard!$A$10</definedName>
    <definedName name="Dash_Year">Dashboard!$C$6</definedName>
    <definedName name="DayEnd">Settings!$D$80</definedName>
    <definedName name="DayStart">Settings!$D$79</definedName>
    <definedName name="DefaultVisitMins">Settings!$D$78</definedName>
    <definedName name="DepositPct">Settings!$D$50</definedName>
    <definedName name="DirectionList">OFFSET(Lists!$AC$5,0,0,MAX(1,COUNTIF(Lists!$AC$5:$AC$44,"?*")),1)</definedName>
    <definedName name="DiscountTypeList">OFFSET(Lists!$P$5,0,0,MAX(1,COUNTIF(Lists!$P$5:$P$44,"?*")),1)</definedName>
    <definedName name="DistanceUnit">Settings!$D$36</definedName>
    <definedName name="EmergencyFee">Settings!$D$60</definedName>
    <definedName name="EmploymentTypeList">OFFSET(Lists!$AM$5,0,0,MAX(1,COUNTIF(Lists!$AM$5:$AM$44,"?*")),1)</definedName>
    <definedName name="ExpenseApprovalList">OFFSET(Lists!$AH$5,0,0,MAX(1,COUNTIF(Lists!$AH$5:$AH$44,"?*")),1)</definedName>
    <definedName name="ExpenseCategoryList">OFFSET(Lists!$AG$5,0,0,MAX(1,COUNTIF(Lists!$AG$5:$AG$44,"?*")),1)</definedName>
    <definedName name="ExpiryAlertDays">Settings!$D$77</definedName>
    <definedName name="ExtraPetFeeDefault">Settings!$D$57</definedName>
    <definedName name="FixedCosts">Budget!$B$10</definedName>
    <definedName name="FollowUpDays">Settings!$D$76</definedName>
    <definedName name="FreeTravelDistance">Settings!$D$69</definedName>
    <definedName name="FY_Start">Settings!$D$37</definedName>
    <definedName name="GrowthRate">Budget!$B$14</definedName>
    <definedName name="HealthRecordTypeList">OFFSET(Lists!$V$5,0,0,MAX(1,COUNTIF(Lists!$V$5:$V$44,"?*")),1)</definedName>
    <definedName name="HolidayDates">Settings!$B$85:$B$114</definedName>
    <definedName name="HolidaySurcharge">Settings!$D$58</definedName>
    <definedName name="InactiveDays">Settings!$D$75</definedName>
    <definedName name="IncidentIDs">OFFSET(Incidents!$A$18,0,0,MAX(1,COUNTIF(Incidents!$A$18:$A$117,"?*")),1)</definedName>
    <definedName name="IncidentStatusList">OFFSET(Lists!$Z$5,0,0,MAX(1,COUNTIF(Lists!$Z$5:$Z$44,"?*")),1)</definedName>
    <definedName name="IncidentTypeList">OFFSET(Lists!$X$5,0,0,MAX(1,COUNTIF(Lists!$X$5:$X$44,"?*")),1)</definedName>
    <definedName name="InventoryCategoryList">OFFSET(Lists!$AP$5,0,0,MAX(1,COUNTIF(Lists!$AP$5:$AP$44,"?*")),1)</definedName>
    <definedName name="InvoiceNos">OFFSET(Invoices!$A$5,0,0,MAX(1,COUNTIF(Invoices!$A$5:$A$304,"?*")),1)</definedName>
    <definedName name="InvoicePrefix">Settings!$D$47</definedName>
    <definedName name="InvoiceStartNo">Settings!$D$48</definedName>
    <definedName name="InvoiceStatusList">OFFSET(Lists!$AE$5,0,0,MAX(1,COUNTIF(Lists!$AE$5:$AE$44,"?*")),1)</definedName>
    <definedName name="KeyStatusList">OFFSET(Lists!$G$5,0,0,MAX(1,COUNTIF(Lists!$G$5:$G$44,"?*")),1)</definedName>
    <definedName name="LastMinuteDays">Settings!$D$61</definedName>
    <definedName name="LateFeePct">Settings!$D$51</definedName>
    <definedName name="LoyaltyDiscount">Settings!$D$62</definedName>
    <definedName name="LoyaltyThreshold">Settings!$D$63</definedName>
    <definedName name="MedStatusList">OFFSET(Lists!$W$5,0,0,MAX(1,COUNTIF(Lists!$W$5:$W$44,"?*")),1)</definedName>
    <definedName name="MessageTypeList">OFFSET(Lists!$AA$5,0,0,MAX(1,COUNTIF(Lists!$AA$5:$AA$44,"?*")),1)</definedName>
    <definedName name="MileageRate">Settings!$D$67</definedName>
    <definedName name="MonthList">OFFSET(Lists!$AT$5,0,0,MAX(1,COUNTIF(Lists!$AT$5:$AT$44,"?*")),1)</definedName>
    <definedName name="MoodList">OFFSET(Lists!$S$5,0,0,MAX(1,COUNTIF(Lists!$S$5:$S$44,"?*")),1)</definedName>
    <definedName name="OpeningCash">Budget!$B$34</definedName>
    <definedName name="PaymentMethodList">OFFSET(Lists!$AF$5,0,0,MAX(1,COUNTIF(Lists!$AF$5:$AF$44,"?*")),1)</definedName>
    <definedName name="PaymentTermsDays">Settings!$D$49</definedName>
    <definedName name="PayTypeList">OFFSET(Lists!$AN$5,0,0,MAX(1,COUNTIF(Lists!$AN$5:$AN$44,"?*")),1)</definedName>
    <definedName name="PeriodEnd">Dashboard!$N$6</definedName>
    <definedName name="PeriodStart">Dashboard!$J$6</definedName>
    <definedName name="PetGenderList">OFFSET(Lists!$I$5,0,0,MAX(1,COUNTIF(Lists!$I$5:$I$44,"?*")),1)</definedName>
    <definedName name="PetLabels">OFFSET(Pets!$D$5,0,0,MAX(1,COUNTIF(Pets!$D$5:$D$254,"?*")),1)</definedName>
    <definedName name="PetNames">OFFSET(Pets!$B$5,0,0,MAX(1,COUNTIF(Pets!$B$5:$B$254,"?*")),1)</definedName>
    <definedName name="PetPrefix">Settings!$D$53</definedName>
    <definedName name="PetTypeList">OFFSET(Lists!$H$5,0,0,MAX(1,COUNTIF(Lists!$H$5:$H$44,"?*")),1)</definedName>
    <definedName name="PottyList">OFFSET(Lists!$U$5,0,0,MAX(1,COUNTIF(Lists!$U$5:$U$44,"?*")),1)</definedName>
    <definedName name="PricesIncludeTax">Settings!$D$43</definedName>
    <definedName name="_xlnm.Print_Area" localSheetId="7">'Bookings'!$A$1:$AZ$404</definedName>
    <definedName name="_xlnm.Print_Area" localSheetId="26">'Calc'!$A$1:$AR$254</definedName>
    <definedName name="_xlnm.Print_Area" localSheetId="5">'Clients'!$A$1:$AL$254</definedName>
    <definedName name="_xlnm.Print_Area" localSheetId="14">'Expenses'!$A$1:$U$304</definedName>
    <definedName name="_xlnm.Print_Area" localSheetId="9">'Health Log'!$A$1:$V$204</definedName>
    <definedName name="_xlnm.Print_Area" localSheetId="10">'Incidents'!$A$1:$W$117</definedName>
    <definedName name="_xlnm.Print_Area" localSheetId="17">'Inventory'!$A$1:$S$124</definedName>
    <definedName name="_xlnm.Print_Area" localSheetId="12">'Invoices'!$A$1:$AD$304</definedName>
    <definedName name="_xlnm.Print_Area" localSheetId="11">'Messages'!$A$1:$T$204</definedName>
    <definedName name="_xlnm.Print_Area" localSheetId="15">'Mileage'!$A$1:$X$304</definedName>
    <definedName name="_xlnm.Print_Area" localSheetId="13">'Payments'!$A$1:$T$304</definedName>
    <definedName name="_xlnm.Print_Area" localSheetId="6">'Pets'!$A$1:$AT$254</definedName>
    <definedName name="_xlnm.Print_Area" localSheetId="24">'Print Forms'!$A$3:$H$243</definedName>
    <definedName name="_xlnm.Print_Area" localSheetId="21">'Print Invoice'!$A$3:$H$43</definedName>
    <definedName name="_xlnm.Print_Area" localSheetId="22">'Print Pet Care'!$A$3:$H$55</definedName>
    <definedName name="_xlnm.Print_Area" localSheetId="23">'Print Visit'!$A$3:$H$31</definedName>
    <definedName name="_xlnm.Print_Area" localSheetId="18">'Reminders'!$A$1:$J$78</definedName>
    <definedName name="_xlnm.Print_Area" localSheetId="4">'Services'!$A$1:$T$54</definedName>
    <definedName name="_xlnm.Print_Area" localSheetId="16">'Staff'!$A$1:$AB$44</definedName>
    <definedName name="_xlnm.Print_Area" localSheetId="8">'Visit Log'!$A$1:$AJ$404</definedName>
    <definedName name="_xlnm.Print_Titles" localSheetId="7">'Bookings'!$1:$4</definedName>
    <definedName name="_xlnm.Print_Titles" localSheetId="26">'Calc'!$1:$4</definedName>
    <definedName name="_xlnm.Print_Titles" localSheetId="5">'Clients'!$1:$4</definedName>
    <definedName name="_xlnm.Print_Titles" localSheetId="14">'Expenses'!$1:$4</definedName>
    <definedName name="_xlnm.Print_Titles" localSheetId="9">'Health Log'!$1:$4</definedName>
    <definedName name="_xlnm.Print_Titles" localSheetId="10">'Incidents'!$1:$3</definedName>
    <definedName name="_xlnm.Print_Titles" localSheetId="17">'Inventory'!$1:$4</definedName>
    <definedName name="_xlnm.Print_Titles" localSheetId="12">'Invoices'!$1:$4</definedName>
    <definedName name="_xlnm.Print_Titles" localSheetId="11">'Messages'!$1:$4</definedName>
    <definedName name="_xlnm.Print_Titles" localSheetId="15">'Mileage'!$1:$4</definedName>
    <definedName name="_xlnm.Print_Titles" localSheetId="13">'Payments'!$1:$4</definedName>
    <definedName name="_xlnm.Print_Titles" localSheetId="6">'Pets'!$1:$4</definedName>
    <definedName name="_xlnm.Print_Titles" localSheetId="18">'Reminders'!$1:$3</definedName>
    <definedName name="_xlnm.Print_Titles" localSheetId="4">'Services'!$1:$4</definedName>
    <definedName name="_xlnm.Print_Titles" localSheetId="16">'Staff'!$1:$4</definedName>
    <definedName name="_xlnm.Print_Titles" localSheetId="8">'Visit Log'!$1:$4</definedName>
    <definedName name="PrintInvoiceNo">'Print Invoice'!$C$1</definedName>
    <definedName name="PrintPetLabel">'Print Pet Care'!$C$1</definedName>
    <definedName name="PrintVisitID">'Print Visit'!$C$1</definedName>
    <definedName name="PriorityList">OFFSET(Lists!$AQ$5,0,0,MAX(1,COUNTIF(Lists!$AQ$5:$AQ$44,"?*")),1)</definedName>
    <definedName name="RatingList">OFFSET(Lists!$AS$5,0,0,MAX(1,COUNTIF(Lists!$AS$5:$AS$44,"?*")),1)</definedName>
    <definedName name="RecurringExpenseList">OFFSET(Lists!$AJ$5,0,0,MAX(1,COUNTIF(Lists!$AJ$5:$AJ$44,"?*")),1)</definedName>
    <definedName name="RecurringList">OFFSET(Lists!$O$5,0,0,MAX(1,COUNTIF(Lists!$O$5:$O$44,"?*")),1)</definedName>
    <definedName name="ReferralSourceList">OFFSET(Lists!$E$5,0,0,MAX(1,COUNTIF(Lists!$E$5:$E$44,"?*")),1)</definedName>
    <definedName name="ReminderLeadDays">Settings!$D$73</definedName>
    <definedName name="RepFrom">Reports!$B$6</definedName>
    <definedName name="RepTo">Reports!$D$6</definedName>
    <definedName name="ResolutionList">OFFSET(Lists!$AD$5,0,0,MAX(1,COUNTIF(Lists!$AD$5:$AD$44,"?*")),1)</definedName>
    <definedName name="RiskFlagList">OFFSET(Lists!$K$5,0,0,MAX(1,COUNTIF(Lists!$K$5:$K$44,"?*")),1)</definedName>
    <definedName name="SavingsActual">Budget!$B$41</definedName>
    <definedName name="SavingsTarget">Budget!$B$40</definedName>
    <definedName name="ServiceCategoryList">OFFSET(Lists!$L$5,0,0,MAX(1,COUNTIF(Lists!$L$5:$L$44,"?*")),1)</definedName>
    <definedName name="ServiceNames">OFFSET(Services!$B$5,0,0,MAX(1,COUNTIF(Services!$B$5:$B$54,"?*")),1)</definedName>
    <definedName name="SeverityList">OFFSET(Lists!$Y$5,0,0,MAX(1,COUNTIF(Lists!$Y$5:$Y$44,"?*")),1)</definedName>
    <definedName name="StaffCostRate">Settings!$D$64</definedName>
    <definedName name="StaffNames">OFFSET(Staff!$B$5,0,0,MAX(1,COUNTIF(Staff!$B$5:$B$44,"?*")),1)</definedName>
    <definedName name="StaffRoleList">OFFSET(Lists!$AL$5,0,0,MAX(1,COUNTIF(Lists!$AL$5:$AL$44,"?*")),1)</definedName>
    <definedName name="StaffStatusList">OFFSET(Lists!$AO$5,0,0,MAX(1,COUNTIF(Lists!$AO$5:$AO$44,"?*")),1)</definedName>
    <definedName name="Target_Expenses">Budget!$B$7</definedName>
    <definedName name="Target_Revenue">Budget!$B$6</definedName>
    <definedName name="TaskStatusList">OFFSET(Lists!$AR$5,0,0,MAX(1,COUNTIF(Lists!$AR$5:$AR$44,"?*")),1)</definedName>
    <definedName name="TaxName">Settings!$D$40</definedName>
    <definedName name="TaxRate">Settings!$D$42</definedName>
    <definedName name="TaxRegistered">Settings!$D$41</definedName>
    <definedName name="TaxReservePct">Settings!$D$44</definedName>
    <definedName name="TemperamentList">OFFSET(Lists!$J$5,0,0,MAX(1,COUNTIF(Lists!$J$5:$J$44,"?*")),1)</definedName>
    <definedName name="TravelFeeRate">Settings!$D$68</definedName>
    <definedName name="TravelTimeMins">Settings!$D$70</definedName>
    <definedName name="TripPurposeList">OFFSET(Lists!$AK$5,0,0,MAX(1,COUNTIF(Lists!$AK$5:$AK$44,"?*")),1)</definedName>
    <definedName name="VaccAlertDays">Settings!$D$74</definedName>
    <definedName name="VisitIDs">OFFSET('Visit Log'!$A$5,0,0,MAX(1,COUNTIF('Visit Log'!$A$5:$A$404,"?*")),1)</definedName>
    <definedName name="VisitStatusList">OFFSET(Lists!$R$5,0,0,MAX(1,COUNTIF(Lists!$R$5:$R$44,"?*")),1)</definedName>
    <definedName name="WeekendSurcharge">Settings!$D$59</definedName>
    <definedName name="YesNoList">OFFSET(Lists!$A$5,0,0,MAX(1,COUNTIF(Lists!$A$5:$A$44,"?*")),1)</definedName>
    <definedName name="YesNoNAList">OFFSET(Lists!$B$5,0,0,MAX(1,COUNTIF(Lists!$B$5:$B$44,"?*")),1)</definedName>
  </definedNames>
  <calcPr calcId="124519"/>
</workbook>
</file>

<file path=xl/comments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exact name is used by the Bookings drop down - rename it here and every price follows.</t>
        </r>
      </text>
    </comment>
    <comment ref="E4" authorId="0">
      <text>
        <r>
          <rPr>
            <sz val="8"/>
            <color indexed="81"/>
            <rFont val="Tahoma"/>
            <family val="2"/>
          </rPr>
          <t>Per hour multiplies the rate by the booking duration. Everything else multiplies the rate by the Qty column on the booking.</t>
        </r>
      </text>
    </comment>
    <comment ref="H4" authorId="0">
      <text>
        <r>
          <rPr>
            <sz val="8"/>
            <color indexed="81"/>
            <rFont val="Tahoma"/>
            <family val="2"/>
          </rPr>
          <t>Leave blank to use the default additional pet fee from the Settings tab.</t>
        </r>
      </text>
    </comment>
    <comment ref="I4" authorId="0">
      <text>
        <r>
          <rPr>
            <sz val="8"/>
            <color indexed="81"/>
            <rFont val="Tahoma"/>
            <family val="2"/>
          </rPr>
          <t>Leave blank to use the global holiday surcharge.</t>
        </r>
      </text>
    </comment>
    <comment ref="J4" authorId="0">
      <text>
        <r>
          <rPr>
            <sz val="8"/>
            <color indexed="81"/>
            <rFont val="Tahoma"/>
            <family val="2"/>
          </rPr>
          <t>Leave blank to use the global weekend surcharge.</t>
        </r>
      </text>
    </comment>
    <comment ref="L4" authorId="0">
      <text>
        <r>
          <rPr>
            <sz val="8"/>
            <color indexed="81"/>
            <rFont val="Tahoma"/>
            <family val="2"/>
          </rPr>
          <t>What it costs you to deliver one unit - used for the profitability columns.</t>
        </r>
      </text>
    </comment>
  </commentList>
</comments>
</file>

<file path=xl/comments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Used everywhere else in the workbook. If two clients share a name add an initial, e.g. 'Sam B.'</t>
        </r>
      </text>
    </comment>
    <comment ref="R4" authorId="0">
      <text>
        <r>
          <rPr>
            <sz val="8"/>
            <color indexed="81"/>
            <rFont val="Tahoma"/>
            <family val="2"/>
          </rPr>
          <t>Security tip: store full alarm codes in a separate password manager and keep only a hint here.</t>
        </r>
      </text>
    </comment>
  </commentList>
</comments>
</file>

<file path=xl/comments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C4" authorId="0">
      <text>
        <r>
          <rPr>
            <sz val="8"/>
            <color indexed="81"/>
            <rFont val="Tahoma"/>
            <family val="2"/>
          </rPr>
          <t>Pick the client from the drop down so bookings, visits and invoices all line up.</t>
        </r>
      </text>
    </comment>
    <comment ref="D4" authorId="0">
      <text>
        <r>
          <rPr>
            <sz val="8"/>
            <color indexed="81"/>
            <rFont val="Tahoma"/>
            <family val="2"/>
          </rPr>
          <t>This is the value used by the Bookings, Visit Log and Health Log drop downs.</t>
        </r>
      </text>
    </comment>
    <comment ref="M4" authorId="0">
      <text>
        <r>
          <rPr>
            <sz val="8"/>
            <color indexed="81"/>
            <rFont val="Tahoma"/>
            <family val="2"/>
          </rPr>
          <t>Paste a link to the photo in your cloud folder, or insert a small picture next to the row.</t>
        </r>
      </text>
    </comment>
  </commentList>
</comments>
</file>

<file path=xl/comments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When the client asked for the booking. Used to spot last-minute bookings.</t>
        </r>
      </text>
    </comment>
    <comment ref="G4" authorId="0">
      <text>
        <r>
          <rPr>
            <sz val="8"/>
            <color indexed="81"/>
            <rFont val="Tahoma"/>
            <family val="2"/>
          </rPr>
          <t>Blank counts as 1. Extra pets are charged the additional pet fee.</t>
        </r>
      </text>
    </comment>
    <comment ref="N4" authorId="0">
      <text>
        <r>
          <rPr>
            <sz val="8"/>
            <color indexed="81"/>
            <rFont val="Tahoma"/>
            <family val="2"/>
          </rPr>
          <t>Number of visits, nights or hours being billed. Blank counts as 1.</t>
        </r>
      </text>
    </comment>
    <comment ref="AG4" authorId="0">
      <text>
        <r>
          <rPr>
            <sz val="8"/>
            <color indexed="81"/>
            <rFont val="Tahoma"/>
            <family val="2"/>
          </rPr>
          <t>Only fill this in to force a price. Always add the reason in the next column.</t>
        </r>
      </text>
    </comment>
  </commentList>
</comments>
</file>

<file path=xl/comments5.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Pick the booking and the client, pet, service and scheduled time fill themselves in.</t>
        </r>
      </text>
    </comment>
  </commentList>
</comments>
</file>

<file path=xl/comments6.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M4" authorId="0">
      <text>
        <r>
          <rPr>
            <sz val="8"/>
            <color indexed="81"/>
            <rFont val="Tahoma"/>
            <family val="2"/>
          </rPr>
          <t>Doses, tablets or ml left in the client's supply.</t>
        </r>
      </text>
    </comment>
    <comment ref="R4" authorId="0">
      <text>
        <r>
          <rPr>
            <sz val="8"/>
            <color indexed="81"/>
            <rFont val="Tahoma"/>
            <family val="2"/>
          </rPr>
          <t>Vet bills or treatment costs you paid on behalf of the client - recharge them on the invoice.</t>
        </r>
      </text>
    </comment>
  </commentList>
</comments>
</file>

<file path=xl/comments7.xml><?xml version="1.0" encoding="utf-8"?>
<comments xmlns="http://schemas.openxmlformats.org/spreadsheetml/2006/main">
  <authors>
    <author>Novality Store</author>
  </authors>
  <commentList>
    <comment ref="A17" authorId="0">
      <text>
        <r>
          <rPr>
            <sz val="8"/>
            <color indexed="81"/>
            <rFont val="Tahoma"/>
            <family val="2"/>
          </rPr>
          <t>Generated automatically from the row number. Filter the list rather than re-sorting it so the IDs keep matching your other tabs.</t>
        </r>
      </text>
    </comment>
  </commentList>
</comments>
</file>

<file path=xl/comments8.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List>
</comments>
</file>

<file path=xl/comments9.xml><?xml version="1.0" encoding="utf-8"?>
<comments xmlns="http://schemas.openxmlformats.org/spreadsheetml/2006/main">
  <authors>
    <author>Novality Store</author>
  </authors>
  <commentList>
    <comment ref="A4" authorId="0">
      <text>
        <r>
          <rPr>
            <sz val="8"/>
            <color indexed="81"/>
            <rFont val="Tahoma"/>
            <family val="2"/>
          </rPr>
          <t>Numbered automatically from the first invoice number on the Settings tab.</t>
        </r>
      </text>
    </comment>
    <comment ref="E4" authorId="0">
      <text>
        <r>
          <rPr>
            <sz val="8"/>
            <color indexed="81"/>
            <rFont val="Tahoma"/>
            <family val="2"/>
          </rPr>
          <t>Link a booking and the invoice total is taken straight from it. Leave blank to bill manually with Qty x Rate.</t>
        </r>
      </text>
    </comment>
    <comment ref="P4" authorId="0">
      <text>
        <r>
          <rPr>
            <sz val="8"/>
            <color indexed="81"/>
            <rFont val="Tahoma"/>
            <family val="2"/>
          </rPr>
          <t>Log deposits on the Payments tab with Deposit = Yes.</t>
        </r>
      </text>
    </comment>
    <comment ref="T4" authorId="0">
      <text>
        <r>
          <rPr>
            <sz val="8"/>
            <color indexed="81"/>
            <rFont val="Tahoma"/>
            <family val="2"/>
          </rPr>
          <t>You control Draft / Sent / Cancelled. The payment status next to it is calculated from the Payments tab.</t>
        </r>
      </text>
    </comment>
  </commentList>
</comments>
</file>

<file path=xl/comments10.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D4" authorId="0">
      <text>
        <r>
          <rPr>
            <sz val="8"/>
            <color indexed="81"/>
            <rFont val="Tahoma"/>
            <family val="2"/>
          </rPr>
          <t>Match the payment to an invoice so balances update automatically. Leave blank for an unlinked payment.</t>
        </r>
      </text>
    </comment>
    <comment ref="E4" authorId="0">
      <text>
        <r>
          <rPr>
            <sz val="8"/>
            <color indexed="81"/>
            <rFont val="Tahoma"/>
            <family val="2"/>
          </rPr>
          <t>The part of the payment that pays down the invoice.</t>
        </r>
      </text>
    </comment>
  </commentList>
</comments>
</file>

<file path=xl/comments11.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F4" authorId="0">
      <text>
        <r>
          <rPr>
            <sz val="8"/>
            <color indexed="81"/>
            <rFont val="Tahoma"/>
            <family val="2"/>
          </rPr>
          <t>Enter the full amount you paid, including tax.</t>
        </r>
      </text>
    </comment>
    <comment ref="K4" authorId="0">
      <text>
        <r>
          <rPr>
            <sz val="8"/>
            <color indexed="81"/>
            <rFont val="Tahoma"/>
            <family val="2"/>
          </rPr>
          <t>Blank counts as 100%. Use 50% for a phone bill you share with personal use.</t>
        </r>
      </text>
    </comment>
  </commentList>
</comments>
</file>

<file path=xl/comments12.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J4" authorId="0">
      <text>
        <r>
          <rPr>
            <sz val="8"/>
            <color indexed="81"/>
            <rFont val="Tahoma"/>
            <family val="2"/>
          </rPr>
          <t>Only needed when you did not record odometer readings.</t>
        </r>
      </text>
    </comment>
    <comment ref="Q4" authorId="0">
      <text>
        <r>
          <rPr>
            <sz val="8"/>
            <color indexed="81"/>
            <rFont val="Tahoma"/>
            <family val="2"/>
          </rPr>
          <t>For reference only - the mileage rate already covers fuel. Log fuel receipts on the Expenses tab if you claim actual costs instead.</t>
        </r>
      </text>
    </comment>
  </commentList>
</comments>
</file>

<file path=xl/comments13.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B4" authorId="0">
      <text>
        <r>
          <rPr>
            <sz val="8"/>
            <color indexed="81"/>
            <rFont val="Tahoma"/>
            <family val="2"/>
          </rPr>
          <t>This name is used by the Bookings, Visit Log and Mileage drop downs.</t>
        </r>
      </text>
    </comment>
    <comment ref="L4" authorId="0">
      <text>
        <r>
          <rPr>
            <sz val="8"/>
            <color indexed="81"/>
            <rFont val="Tahoma"/>
            <family val="2"/>
          </rPr>
          <t>Hourly rate, per-visit fee, or the commission percentage as a number (55 = 55%).</t>
        </r>
      </text>
    </comment>
    <comment ref="X4" authorId="0">
      <text>
        <r>
          <rPr>
            <sz val="8"/>
            <color indexed="81"/>
            <rFont val="Tahoma"/>
            <family val="2"/>
          </rPr>
          <t>Salaried team members show 0 - pay them from payroll.</t>
        </r>
      </text>
    </comment>
  </commentList>
</comments>
</file>

<file path=xl/comments14.xml><?xml version="1.0" encoding="utf-8"?>
<comments xmlns="http://schemas.openxmlformats.org/spreadsheetml/2006/main">
  <authors>
    <author>Novality Store</author>
  </authors>
  <commentList>
    <comment ref="A4" authorId="0">
      <text>
        <r>
          <rPr>
            <sz val="8"/>
            <color indexed="81"/>
            <rFont val="Tahoma"/>
            <family val="2"/>
          </rPr>
          <t>Generated automatically from the row number. Filter the list rather than re-sorting it so the IDs keep matching your other tabs.</t>
        </r>
      </text>
    </comment>
    <comment ref="H4" authorId="0">
      <text>
        <r>
          <rPr>
            <sz val="8"/>
            <color indexed="81"/>
            <rFont val="Tahoma"/>
            <family val="2"/>
          </rPr>
          <t>When stock drops to this level the item is flagged for reorder on the Reminders tab.</t>
        </r>
      </text>
    </comment>
  </commentList>
</comments>
</file>

<file path=xl/comments15.xml><?xml version="1.0" encoding="utf-8"?>
<comments xmlns="http://schemas.openxmlformats.org/spreadsheetml/2006/main">
  <authors>
    <author>Novality Store</author>
  </authors>
  <commentList>
    <comment ref="A38" authorId="0">
      <text>
        <r>
          <rPr>
            <sz val="8"/>
            <color indexed="81"/>
            <rFont val="Tahoma"/>
            <family val="2"/>
          </rPr>
          <t>Generated automatically from the row number. Filter the list rather than re-sorting it so the IDs keep matching your other tabs.</t>
        </r>
      </text>
    </comment>
  </commentList>
</comments>
</file>

<file path=xl/sharedStrings.xml><?xml version="1.0" encoding="utf-8"?>
<sst xmlns="http://schemas.openxmlformats.org/spreadsheetml/2006/main" count="2264" uniqueCount="1448">
  <si>
    <t>Pet Sitting &amp; Dog Walking Business Spreadsheet</t>
  </si>
  <si>
    <t>Novality Store - v1.0.0</t>
  </si>
  <si>
    <t>Client Booking, Pet Care Log, Invoices, Payments, Mileage &amp; Profit Tracker</t>
  </si>
  <si>
    <t>Quick start - ten minutes to a working workbook</t>
  </si>
  <si>
    <t>1. Open the Settings tab and enter your business details, currency, tax rate and mileage rate.</t>
  </si>
  <si>
    <t>2. Edit the Services tab so the names and prices match what you actually sell.</t>
  </si>
  <si>
    <t>3. Add your clients, then their pets (choose the owner from the drop down so they link up).</t>
  </si>
  <si>
    <t>4. Add your team on the Staff tab - even if that is only you.</t>
  </si>
  <si>
    <t>5. Take a booking: pick the client, pet and service and the price calculates itself.</t>
  </si>
  <si>
    <t>6. After each visit, add a row to the Visit Log and tick off the care you gave.</t>
  </si>
  <si>
    <t>7. Raise an invoice, link the booking, and record the payment when it lands.</t>
  </si>
  <si>
    <t>8. Log expenses and trips as you go - future you will thank you at tax time.</t>
  </si>
  <si>
    <t>9. Check the Reminders tab every morning and the Dashboard every week.</t>
  </si>
  <si>
    <t>10. Print the reports you need at month end and save a dated backup.</t>
  </si>
  <si>
    <t>Where everything lives</t>
  </si>
  <si>
    <t>Tab</t>
  </si>
  <si>
    <t>What it does</t>
  </si>
  <si>
    <t>Settings</t>
  </si>
  <si>
    <t>Your business details, rates, tax, surcharges and reminder windows - set this up first.</t>
  </si>
  <si>
    <t>Lists</t>
  </si>
  <si>
    <t>Every drop down list in the workbook. Rename anything to match the way you talk about your services.</t>
  </si>
  <si>
    <t>Services</t>
  </si>
  <si>
    <t>Your price list. Billing unit, rate, extra pet fee and profit per service.</t>
  </si>
  <si>
    <t>Clients</t>
  </si>
  <si>
    <t>Client database with keys, contracts, lifetime revenue and follow-up flags.</t>
  </si>
  <si>
    <t>Pets</t>
  </si>
  <si>
    <t>Pet profiles: feeding, medication, vet, vaccinations, temperament and safety warnings.</t>
  </si>
  <si>
    <t>Bookings</t>
  </si>
  <si>
    <t>The schedule. Prices itself from the Services tab and warns you about double bookings.</t>
  </si>
  <si>
    <t>Visit Log</t>
  </si>
  <si>
    <t>Proof of every walk and visit: times, care given, mood, health notes and client updates.</t>
  </si>
  <si>
    <t>Health Log</t>
  </si>
  <si>
    <t>Medication administration, vaccinations and vet appointments.</t>
  </si>
  <si>
    <t>Incidents</t>
  </si>
  <si>
    <t>Emergency contacts and incident reports.</t>
  </si>
  <si>
    <t>Messages</t>
  </si>
  <si>
    <t>Client communication, feedback, ratings and complaints.</t>
  </si>
  <si>
    <t>Invoices</t>
  </si>
  <si>
    <t>Automatic invoice numbers, due dates, tax, balances and ageing.</t>
  </si>
  <si>
    <t>Payments</t>
  </si>
  <si>
    <t>Cash in: payments, deposits, tips, refunds and bank reconciliation.</t>
  </si>
  <si>
    <t>Expenses</t>
  </si>
  <si>
    <t>Every business cost split into tax, net and claimable.</t>
  </si>
  <si>
    <t>Mileage</t>
  </si>
  <si>
    <t>Trip log with odometer readings and reimbursement.</t>
  </si>
  <si>
    <t>Staff</t>
  </si>
  <si>
    <t>Team directory, availability, hours worked and pay due.</t>
  </si>
  <si>
    <t>Inventory</t>
  </si>
  <si>
    <t>Supplies, stock levels, reorder and expiry alerts.</t>
  </si>
  <si>
    <t>Dashboard</t>
  </si>
  <si>
    <t>The whole business on one page for any month or year.</t>
  </si>
  <si>
    <t>Reports</t>
  </si>
  <si>
    <t>Printable analytics for any date range - including a profit and loss statement.</t>
  </si>
  <si>
    <t>Budget</t>
  </si>
  <si>
    <t>Targets, budget vs actual, break-even, forecast and cash flow.</t>
  </si>
  <si>
    <t>Reminders</t>
  </si>
  <si>
    <t>Everything that needs doing today, plus your own task list.</t>
  </si>
  <si>
    <t>Print Invoice</t>
  </si>
  <si>
    <t>A client-ready invoice - pick the invoice number.</t>
  </si>
  <si>
    <t>Print Pet Care</t>
  </si>
  <si>
    <t>A one page care sheet to leave with a sitter.</t>
  </si>
  <si>
    <t>Print Visit</t>
  </si>
  <si>
    <t>A single visit report for the client.</t>
  </si>
  <si>
    <t>Print Forms</t>
  </si>
  <si>
    <t>Blank forms: registration, consent, incident, timesheet, mileage, feedback and checklists.</t>
  </si>
  <si>
    <t>Help</t>
  </si>
  <si>
    <t>Instructions, formula notes, troubleshooting and version history.</t>
  </si>
  <si>
    <t>Getting started checklist</t>
  </si>
  <si>
    <t>Step</t>
  </si>
  <si>
    <t>What to do</t>
  </si>
  <si>
    <t>Done?</t>
  </si>
  <si>
    <t>Step 1</t>
  </si>
  <si>
    <t>Business details added on the Settings tab</t>
  </si>
  <si>
    <t>No</t>
  </si>
  <si>
    <t>Step 2</t>
  </si>
  <si>
    <t>Currency, tax rate and payment terms checked</t>
  </si>
  <si>
    <t>Step 3</t>
  </si>
  <si>
    <t>Mileage rate and travel fees set</t>
  </si>
  <si>
    <t>Step 4</t>
  </si>
  <si>
    <t>Service names and prices updated</t>
  </si>
  <si>
    <t>Step 5</t>
  </si>
  <si>
    <t>Drop down lists adjusted to suit my business</t>
  </si>
  <si>
    <t>Step 6</t>
  </si>
  <si>
    <t>Public holidays added for this year</t>
  </si>
  <si>
    <t>Step 7</t>
  </si>
  <si>
    <t>First clients entered</t>
  </si>
  <si>
    <t>Step 8</t>
  </si>
  <si>
    <t>Pets added and linked to their owners</t>
  </si>
  <si>
    <t>Step 9</t>
  </si>
  <si>
    <t>Staff or contractors added</t>
  </si>
  <si>
    <t>Step 10</t>
  </si>
  <si>
    <t>Sample data deleted (rows 5 onwards on each tab)</t>
  </si>
  <si>
    <t>Step 11</t>
  </si>
  <si>
    <t>Invoice number and prefix set the way I want</t>
  </si>
  <si>
    <t>Step 12</t>
  </si>
  <si>
    <t>A backup copy saved somewhere safe</t>
  </si>
  <si>
    <t>Setup progress</t>
  </si>
  <si>
    <t>How to read the colours</t>
  </si>
  <si>
    <t>Cream cell</t>
  </si>
  <si>
    <t>Type here. These cells stay unlocked while the sheet is protected.</t>
  </si>
  <si>
    <t>Grey cell</t>
  </si>
  <si>
    <t>A locked formula. Protected with the password so it cannot be overwritten by accident.</t>
  </si>
  <si>
    <t>Red / amber</t>
  </si>
  <si>
    <t>Conditional formatting: red means act today, amber means act soon, green means you are on top of it.</t>
  </si>
  <si>
    <t>Product information</t>
  </si>
  <si>
    <t>Product</t>
  </si>
  <si>
    <t>Edition</t>
  </si>
  <si>
    <t>Version 1.0.0 - released 2026-10-11</t>
  </si>
  <si>
    <t>Author</t>
  </si>
  <si>
    <t>Novality Store</t>
  </si>
  <si>
    <t>Formula protection</t>
  </si>
  <si>
    <t>Every sheet is protected. Password: premium (Review &gt; Unprotect Sheet if you need to change a formula).</t>
  </si>
  <si>
    <t>Works with</t>
  </si>
  <si>
    <t>Microsoft Excel 2010 or newer on Windows and Mac, Excel 365, and Google Sheets after import.</t>
  </si>
  <si>
    <t>Support</t>
  </si>
  <si>
    <t>See the Help tab for troubleshooting, formula notes and backup guidance.</t>
  </si>
  <si>
    <t>(c) Novality Store - thank you for your purchase. Personal and single-business use.</t>
  </si>
  <si>
    <t>Business Dashboard</t>
  </si>
  <si>
    <t>Novality Store  |  v1.0.0</t>
  </si>
  <si>
    <t>Pick a period, then read the business at a glance. Every number is live - it updates as you fill in the other tabs.</t>
  </si>
  <si>
    <t>&gt; Start Here</t>
  </si>
  <si>
    <t>&gt; Dashboard</t>
  </si>
  <si>
    <t>&gt; Clients</t>
  </si>
  <si>
    <t>&gt; Pets</t>
  </si>
  <si>
    <t>&gt; Bookings</t>
  </si>
  <si>
    <t>&gt; Visit Log</t>
  </si>
  <si>
    <t>&gt; Invoices</t>
  </si>
  <si>
    <t>&gt; Reminders</t>
  </si>
  <si>
    <t>&gt; Help</t>
  </si>
  <si>
    <t>Reporting period</t>
  </si>
  <si>
    <t>Year</t>
  </si>
  <si>
    <t>Month</t>
  </si>
  <si>
    <t>All year</t>
  </si>
  <si>
    <t>Period start</t>
  </si>
  <si>
    <t>Period end</t>
  </si>
  <si>
    <t>Today</t>
  </si>
  <si>
    <t>Money</t>
  </si>
  <si>
    <t>Revenue collected</t>
  </si>
  <si>
    <t>Payments received in the period</t>
  </si>
  <si>
    <t>Invoiced</t>
  </si>
  <si>
    <t>Value of invoices raised</t>
  </si>
  <si>
    <t>Outstanding</t>
  </si>
  <si>
    <t>Unpaid balance, all invoices</t>
  </si>
  <si>
    <t>Overdue</t>
  </si>
  <si>
    <t>Past the due date - chase today</t>
  </si>
  <si>
    <t>Business costs in the period</t>
  </si>
  <si>
    <t>Net profit</t>
  </si>
  <si>
    <t>Revenue collected less expenses</t>
  </si>
  <si>
    <t>Profit margin</t>
  </si>
  <si>
    <t>Net profit as a share of revenue</t>
  </si>
  <si>
    <t>Average booking value</t>
  </si>
  <si>
    <t>Booked value per job</t>
  </si>
  <si>
    <t>Revenue per active client</t>
  </si>
  <si>
    <t>Period revenue / active clients</t>
  </si>
  <si>
    <t>Mileage claim</t>
  </si>
  <si>
    <t>Travel you can claim back</t>
  </si>
  <si>
    <t>Tax to set aside</t>
  </si>
  <si>
    <t>Profit x tax reserve % from Settings</t>
  </si>
  <si>
    <t>Cash collected per visit</t>
  </si>
  <si>
    <t>Revenue / completed visits</t>
  </si>
  <si>
    <t>Bookings, visits &amp; clients</t>
  </si>
  <si>
    <t>Bookings in period</t>
  </si>
  <si>
    <t>Excludes cancellations</t>
  </si>
  <si>
    <t>Completed</t>
  </si>
  <si>
    <t>Jobs delivered</t>
  </si>
  <si>
    <t>Cancelled</t>
  </si>
  <si>
    <t>Watch the cancellation rate</t>
  </si>
  <si>
    <t>Upcoming (7 days)</t>
  </si>
  <si>
    <t>Next seven days</t>
  </si>
  <si>
    <t>Visits completed</t>
  </si>
  <si>
    <t>Logged in the Visit Log</t>
  </si>
  <si>
    <t>Missed visits</t>
  </si>
  <si>
    <t>Investigate every one</t>
  </si>
  <si>
    <t>Active clients</t>
  </si>
  <si>
    <t>Clients marked Active</t>
  </si>
  <si>
    <t>Pets on the books</t>
  </si>
  <si>
    <t>All registered pets</t>
  </si>
  <si>
    <t>New clients</t>
  </si>
  <si>
    <t>Registered in the period</t>
  </si>
  <si>
    <t>Repeat clients</t>
  </si>
  <si>
    <t>More than one booking</t>
  </si>
  <si>
    <t>Unconfirmed bookings</t>
  </si>
  <si>
    <t>Send a confirmation</t>
  </si>
  <si>
    <t>Average rating</t>
  </si>
  <si>
    <t>Client satisfaction, 1 to 5</t>
  </si>
  <si>
    <t>Monthly performance - trends for the selected year</t>
  </si>
  <si>
    <t>Revenue</t>
  </si>
  <si>
    <t>Profit</t>
  </si>
  <si>
    <t>Margin</t>
  </si>
  <si>
    <t>Visits</t>
  </si>
  <si>
    <t>Distance</t>
  </si>
  <si>
    <t>Last year</t>
  </si>
  <si>
    <t>Change</t>
  </si>
  <si>
    <t>Year total</t>
  </si>
  <si>
    <t>Trend</t>
  </si>
  <si>
    <t>Where the money comes from - and where it goes</t>
  </si>
  <si>
    <t>Revenue by service (selected period)</t>
  </si>
  <si>
    <t>Expenses by category (selected period)</t>
  </si>
  <si>
    <t>Service</t>
  </si>
  <si>
    <t>Share</t>
  </si>
  <si>
    <t>Category</t>
  </si>
  <si>
    <t>Spend</t>
  </si>
  <si>
    <t/>
  </si>
  <si>
    <t>Top clients &amp; action list</t>
  </si>
  <si>
    <t>Top 10 clients this period</t>
  </si>
  <si>
    <t>What needs attention right now</t>
  </si>
  <si>
    <t>#</t>
  </si>
  <si>
    <t>Client</t>
  </si>
  <si>
    <t>Alert</t>
  </si>
  <si>
    <t>Count</t>
  </si>
  <si>
    <t>Value</t>
  </si>
  <si>
    <t>Overdue invoices</t>
  </si>
  <si>
    <t>Booking conflicts</t>
  </si>
  <si>
    <t>Visits to log</t>
  </si>
  <si>
    <t>Vaccinations expired or due</t>
  </si>
  <si>
    <t>Medication follow-ups</t>
  </si>
  <si>
    <t>Open incidents</t>
  </si>
  <si>
    <t>Low or out of stock</t>
  </si>
  <si>
    <t>Inactive clients to win back</t>
  </si>
  <si>
    <t>Unresolved complaints</t>
  </si>
  <si>
    <t>Tip: the Reminders tab lists every one of these alerts row by row, and the Reports tab turns the same data into printable monthly, quarterly and year-end reports.</t>
  </si>
  <si>
    <t>Business Setup &amp; Settings</t>
  </si>
  <si>
    <t>Fill in the cream cells once. Grey cells are locked formulas. Everything else in the workbook reads these values.</t>
  </si>
  <si>
    <t>1. Business details (used on invoices and printables)</t>
  </si>
  <si>
    <t>Business name</t>
  </si>
  <si>
    <t>Happy Paws Pet Care</t>
  </si>
  <si>
    <t>Shown on every printable form and invoice.</t>
  </si>
  <si>
    <t>Owner / main contact</t>
  </si>
  <si>
    <t>Alex Morgan</t>
  </si>
  <si>
    <t>Phone</t>
  </si>
  <si>
    <t>+1 (555) 014 2200</t>
  </si>
  <si>
    <t>Email</t>
  </si>
  <si>
    <t>hello@happypawspetcare.com</t>
  </si>
  <si>
    <t>Website / social</t>
  </si>
  <si>
    <t>www.happypawspetcare.com</t>
  </si>
  <si>
    <t>Street address</t>
  </si>
  <si>
    <t>28 Brookfield Lane</t>
  </si>
  <si>
    <t>City / suburb</t>
  </si>
  <si>
    <t>Springfield</t>
  </si>
  <si>
    <t>State / region</t>
  </si>
  <si>
    <t>IL</t>
  </si>
  <si>
    <t>Post / ZIP code</t>
  </si>
  <si>
    <t>62704</t>
  </si>
  <si>
    <t>Country</t>
  </si>
  <si>
    <t>United States</t>
  </si>
  <si>
    <t>Business / tax number</t>
  </si>
  <si>
    <t>TAX-884 221 905</t>
  </si>
  <si>
    <t>Payment details for invoices</t>
  </si>
  <si>
    <t>Happy Paws Pet Care - Acct 1023 4455 - Routing 021000021</t>
  </si>
  <si>
    <t>Bank account, payment link or app handle.</t>
  </si>
  <si>
    <t>Insurance provider</t>
  </si>
  <si>
    <t>PetGuard Business Insurance</t>
  </si>
  <si>
    <t>Insurance policy number</t>
  </si>
  <si>
    <t>PG-7741920</t>
  </si>
  <si>
    <t>Insurance renewal date</t>
  </si>
  <si>
    <t>Feeds the renewal reminder on the Reminders tab.</t>
  </si>
  <si>
    <t>Licence / permit</t>
  </si>
  <si>
    <t>City Pet Care Operator Licence</t>
  </si>
  <si>
    <t>Licence renewal date</t>
  </si>
  <si>
    <t>2. Logo &amp; branding</t>
  </si>
  <si>
    <t>To add your logo: unprotect the sheet (Review &gt; Unprotect Sheet, password 'premium'), click Insert &gt; Pictures, place the image in the box below, then protect the sheet again. The printable forms have their own logo placeholders.</t>
  </si>
  <si>
    <t>LOGO PLACEHOLDER - insert your image here</t>
  </si>
  <si>
    <t>3. Currency, date &amp; time formats</t>
  </si>
  <si>
    <t>Currency symbol</t>
  </si>
  <si>
    <t>$</t>
  </si>
  <si>
    <t>Display only. To change the cell formatting use Format Cells &gt; Currency on the money columns.</t>
  </si>
  <si>
    <t>Currency code</t>
  </si>
  <si>
    <t>USD</t>
  </si>
  <si>
    <t>Date format in use</t>
  </si>
  <si>
    <t>DD-MMM-YYYY</t>
  </si>
  <si>
    <t>Select a date column and use Format Cells to switch to your local style.</t>
  </si>
  <si>
    <t>Time format in use</t>
  </si>
  <si>
    <t>h:mm AM/PM</t>
  </si>
  <si>
    <t>24 hour clock: format as hh:mm.</t>
  </si>
  <si>
    <t>Distance unit</t>
  </si>
  <si>
    <t>km</t>
  </si>
  <si>
    <t>Financial year starts</t>
  </si>
  <si>
    <t>4. Tax settings</t>
  </si>
  <si>
    <t>Tax name</t>
  </si>
  <si>
    <t>Sales Tax</t>
  </si>
  <si>
    <t>GST, VAT, Sales Tax ...</t>
  </si>
  <si>
    <t>Registered for tax?</t>
  </si>
  <si>
    <t>Yes</t>
  </si>
  <si>
    <t>No = tax is never added to bookings or invoices.</t>
  </si>
  <si>
    <t>Tax rate</t>
  </si>
  <si>
    <t>Enter as a percentage, e.g. 10%.</t>
  </si>
  <si>
    <t>Prices already include tax?</t>
  </si>
  <si>
    <t>Yes = tax is extracted from the price. No = tax is added on top.</t>
  </si>
  <si>
    <t>Tax reserve to set aside</t>
  </si>
  <si>
    <t>Used by the Budget tab to estimate money to park for the tax bill.</t>
  </si>
  <si>
    <t>5. Invoicing &amp; payments</t>
  </si>
  <si>
    <t>Invoice prefix</t>
  </si>
  <si>
    <t>INV-</t>
  </si>
  <si>
    <t>First invoice number</t>
  </si>
  <si>
    <t>Payment terms (days)</t>
  </si>
  <si>
    <t>Invoice due date = invoice date + this many days.</t>
  </si>
  <si>
    <t>Standard deposit</t>
  </si>
  <si>
    <t>Late fee</t>
  </si>
  <si>
    <t>Suggested late fee on overdue invoices.</t>
  </si>
  <si>
    <t>Client ID prefix</t>
  </si>
  <si>
    <t>CL-</t>
  </si>
  <si>
    <t>Pet ID prefix</t>
  </si>
  <si>
    <t>PET-</t>
  </si>
  <si>
    <t>Booking ID prefix</t>
  </si>
  <si>
    <t>BK-</t>
  </si>
  <si>
    <t>6. Pricing, surcharges &amp; discounts</t>
  </si>
  <si>
    <t>Additional pet fee (default)</t>
  </si>
  <si>
    <t>Used when a service has no fee of its own.</t>
  </si>
  <si>
    <t>Holiday surcharge</t>
  </si>
  <si>
    <t>Weekend surcharge</t>
  </si>
  <si>
    <t>Emergency / last-minute fee</t>
  </si>
  <si>
    <t>Last-minute window (days)</t>
  </si>
  <si>
    <t>Booked this close to the visit = emergency fee.</t>
  </si>
  <si>
    <t>Loyalty discount</t>
  </si>
  <si>
    <t>Loyalty threshold (bookings)</t>
  </si>
  <si>
    <t>Clients above this many bookings are flagged for the loyalty discount.</t>
  </si>
  <si>
    <t>Average staff cost per hour</t>
  </si>
  <si>
    <t>Used for service profitability estimates.</t>
  </si>
  <si>
    <t>7. Travel &amp; mileage</t>
  </si>
  <si>
    <t>Mileage rate per km</t>
  </si>
  <si>
    <t>Your tax office reimbursement rate.</t>
  </si>
  <si>
    <t>Client travel fee per km</t>
  </si>
  <si>
    <t>Free travel distance (km)</t>
  </si>
  <si>
    <t>Travel inside this radius is not charged.</t>
  </si>
  <si>
    <t>Travel time allowance (mins)</t>
  </si>
  <si>
    <t>Added to each booking when planning the day.</t>
  </si>
  <si>
    <t>8. Reminders, alerts &amp; operations</t>
  </si>
  <si>
    <t>Booking reminder lead (days)</t>
  </si>
  <si>
    <t>Vaccination alert (days before)</t>
  </si>
  <si>
    <t>Inactive client after (days)</t>
  </si>
  <si>
    <t>Follow-up after service (days)</t>
  </si>
  <si>
    <t>Expiry / renewal alert (days)</t>
  </si>
  <si>
    <t>Default visit length (mins)</t>
  </si>
  <si>
    <t>Working day starts</t>
  </si>
  <si>
    <t>Working day ends</t>
  </si>
  <si>
    <t>9. Public holidays &amp; peak dates (holiday surcharge)</t>
  </si>
  <si>
    <t>Any booking dated on one of these days automatically picks up the holiday surcharge set above.</t>
  </si>
  <si>
    <t>Date</t>
  </si>
  <si>
    <t>Occasion</t>
  </si>
  <si>
    <t>Notes</t>
  </si>
  <si>
    <t>Backup tip: save a dated copy of this workbook at the end of every month (File &gt; Save As &gt; add the date to the file name). Keep client addresses and access codes private - see the Help tab for data protection guidance.</t>
  </si>
  <si>
    <t>Customisable Drop Down Lists</t>
  </si>
  <si>
    <t>Edit, add or delete options below - every drop down in the workbook updates automatically. Keep each list in one unbroken block, starting in row 5.</t>
  </si>
  <si>
    <t>TIP: lists grow automatically (up to row 44). Deleting an option does not change records that already use it.</t>
  </si>
  <si>
    <t>Yes / No</t>
  </si>
  <si>
    <t>Yes / No / N/A</t>
  </si>
  <si>
    <t>N/A</t>
  </si>
  <si>
    <t>Client status</t>
  </si>
  <si>
    <t>Active</t>
  </si>
  <si>
    <t>Prospective</t>
  </si>
  <si>
    <t>On hold</t>
  </si>
  <si>
    <t>Inactive</t>
  </si>
  <si>
    <t>Lost</t>
  </si>
  <si>
    <t>Preferred contact</t>
  </si>
  <si>
    <t>Phone call</t>
  </si>
  <si>
    <t>SMS</t>
  </si>
  <si>
    <t>WhatsApp</t>
  </si>
  <si>
    <t>App message</t>
  </si>
  <si>
    <t>Referral source</t>
  </si>
  <si>
    <t>Google search</t>
  </si>
  <si>
    <t>Facebook</t>
  </si>
  <si>
    <t>Instagram</t>
  </si>
  <si>
    <t>Word of mouth</t>
  </si>
  <si>
    <t>Client referral</t>
  </si>
  <si>
    <t>Vet clinic</t>
  </si>
  <si>
    <t>Flyer / poster</t>
  </si>
  <si>
    <t>Local directory</t>
  </si>
  <si>
    <t>Repeat client</t>
  </si>
  <si>
    <t>Other</t>
  </si>
  <si>
    <t>Contract status</t>
  </si>
  <si>
    <t>Not sent</t>
  </si>
  <si>
    <t>Sent</t>
  </si>
  <si>
    <t>Signed</t>
  </si>
  <si>
    <t>Expired</t>
  </si>
  <si>
    <t>Renewal due</t>
  </si>
  <si>
    <t>Key / access status</t>
  </si>
  <si>
    <t>Not held</t>
  </si>
  <si>
    <t>Key held</t>
  </si>
  <si>
    <t>Key returned</t>
  </si>
  <si>
    <t>Lockbox code</t>
  </si>
  <si>
    <t>Smart lock code</t>
  </si>
  <si>
    <t>Owner home</t>
  </si>
  <si>
    <t>Pet type</t>
  </si>
  <si>
    <t>Dog</t>
  </si>
  <si>
    <t>Cat</t>
  </si>
  <si>
    <t>Bird</t>
  </si>
  <si>
    <t>Rabbit</t>
  </si>
  <si>
    <t>Guinea pig</t>
  </si>
  <si>
    <t>Small animal</t>
  </si>
  <si>
    <t>Reptile</t>
  </si>
  <si>
    <t>Fish</t>
  </si>
  <si>
    <t>Pet gender</t>
  </si>
  <si>
    <t>Male</t>
  </si>
  <si>
    <t>Male (neutered)</t>
  </si>
  <si>
    <t>Female</t>
  </si>
  <si>
    <t>Female (spayed)</t>
  </si>
  <si>
    <t>Unknown</t>
  </si>
  <si>
    <t>Temperament</t>
  </si>
  <si>
    <t>Friendly</t>
  </si>
  <si>
    <t>Calm</t>
  </si>
  <si>
    <t>Playful</t>
  </si>
  <si>
    <t>Energetic</t>
  </si>
  <si>
    <t>Shy</t>
  </si>
  <si>
    <t>Anxious</t>
  </si>
  <si>
    <t>Reactive</t>
  </si>
  <si>
    <t>Protective</t>
  </si>
  <si>
    <t>Needs slow introduction</t>
  </si>
  <si>
    <t>Risk flag</t>
  </si>
  <si>
    <t>None</t>
  </si>
  <si>
    <t>Bite risk</t>
  </si>
  <si>
    <t>Escape artist</t>
  </si>
  <si>
    <t>Door dasher</t>
  </si>
  <si>
    <t>Pulls on lead</t>
  </si>
  <si>
    <t>Not dog friendly</t>
  </si>
  <si>
    <t>Not cat friendly</t>
  </si>
  <si>
    <t>Resource guarding</t>
  </si>
  <si>
    <t>Needs muzzle</t>
  </si>
  <si>
    <t>Medical risk</t>
  </si>
  <si>
    <t>Service category</t>
  </si>
  <si>
    <t>Dog walking</t>
  </si>
  <si>
    <t>Drop-in visit</t>
  </si>
  <si>
    <t>Pet sitting</t>
  </si>
  <si>
    <t>Overnight stay</t>
  </si>
  <si>
    <t>House sitting</t>
  </si>
  <si>
    <t>Feeding visit</t>
  </si>
  <si>
    <t>Puppy care</t>
  </si>
  <si>
    <t>Senior pet care</t>
  </si>
  <si>
    <t>Medication visit</t>
  </si>
  <si>
    <t>Pet transport</t>
  </si>
  <si>
    <t>Add-on</t>
  </si>
  <si>
    <t>Billing unit</t>
  </si>
  <si>
    <t>Per visit</t>
  </si>
  <si>
    <t>Per hour</t>
  </si>
  <si>
    <t>Per night</t>
  </si>
  <si>
    <t>Per walk</t>
  </si>
  <si>
    <t>Per day</t>
  </si>
  <si>
    <t>Flat fee</t>
  </si>
  <si>
    <t>Booking status</t>
  </si>
  <si>
    <t>Enquiry</t>
  </si>
  <si>
    <t>Pending</t>
  </si>
  <si>
    <t>Confirmed</t>
  </si>
  <si>
    <t>In progress</t>
  </si>
  <si>
    <t>No show</t>
  </si>
  <si>
    <t>Recurring pattern</t>
  </si>
  <si>
    <t>Daily</t>
  </si>
  <si>
    <t>Weekdays</t>
  </si>
  <si>
    <t>Weekly</t>
  </si>
  <si>
    <t>Fortnightly</t>
  </si>
  <si>
    <t>Monthly</t>
  </si>
  <si>
    <t>Discount type</t>
  </si>
  <si>
    <t>Loyalty</t>
  </si>
  <si>
    <t>Promotional</t>
  </si>
  <si>
    <t>Package</t>
  </si>
  <si>
    <t>Multi-pet</t>
  </si>
  <si>
    <t>Goodwill</t>
  </si>
  <si>
    <t>Custom</t>
  </si>
  <si>
    <t>Cancellation reason</t>
  </si>
  <si>
    <t>Client cancelled</t>
  </si>
  <si>
    <t>Client away</t>
  </si>
  <si>
    <t>Pet unwell</t>
  </si>
  <si>
    <t>Weather</t>
  </si>
  <si>
    <t>Staff unavailable</t>
  </si>
  <si>
    <t>Double booked</t>
  </si>
  <si>
    <t>Payment issue</t>
  </si>
  <si>
    <t>Rescheduled</t>
  </si>
  <si>
    <t>No reason given</t>
  </si>
  <si>
    <t>Visit status</t>
  </si>
  <si>
    <t>Scheduled</t>
  </si>
  <si>
    <t>Partially completed</t>
  </si>
  <si>
    <t>Missed</t>
  </si>
  <si>
    <t>Pet mood</t>
  </si>
  <si>
    <t>Happy</t>
  </si>
  <si>
    <t>Sleepy</t>
  </si>
  <si>
    <t>Lethargic</t>
  </si>
  <si>
    <t>Unwell</t>
  </si>
  <si>
    <t>Aggressive</t>
  </si>
  <si>
    <t>Appetite / intake</t>
  </si>
  <si>
    <t>Normal</t>
  </si>
  <si>
    <t>Reduced</t>
  </si>
  <si>
    <t>Increased</t>
  </si>
  <si>
    <t>Not offered</t>
  </si>
  <si>
    <t>Potty / litter</t>
  </si>
  <si>
    <t>Pee only</t>
  </si>
  <si>
    <t>Poo only</t>
  </si>
  <si>
    <t>Both</t>
  </si>
  <si>
    <t>Litter cleaned</t>
  </si>
  <si>
    <t>Accident indoors</t>
  </si>
  <si>
    <t>Health record type</t>
  </si>
  <si>
    <t>Medication</t>
  </si>
  <si>
    <t>Vaccination</t>
  </si>
  <si>
    <t>Vet visit</t>
  </si>
  <si>
    <t>Health observation</t>
  </si>
  <si>
    <t>Treatment</t>
  </si>
  <si>
    <t>Grooming</t>
  </si>
  <si>
    <t>Medication status</t>
  </si>
  <si>
    <t>Given</t>
  </si>
  <si>
    <t>Refused</t>
  </si>
  <si>
    <t>Not required</t>
  </si>
  <si>
    <t>Incident type</t>
  </si>
  <si>
    <t>Bite / nip</t>
  </si>
  <si>
    <t>Escape</t>
  </si>
  <si>
    <t>Injury</t>
  </si>
  <si>
    <t>Illness</t>
  </si>
  <si>
    <t>Property damage</t>
  </si>
  <si>
    <t>Lost key</t>
  </si>
  <si>
    <t>Vehicle incident</t>
  </si>
  <si>
    <t>Aggression</t>
  </si>
  <si>
    <t>Theft</t>
  </si>
  <si>
    <t>Severity</t>
  </si>
  <si>
    <t>Low</t>
  </si>
  <si>
    <t>Medium</t>
  </si>
  <si>
    <t>High</t>
  </si>
  <si>
    <t>Critical</t>
  </si>
  <si>
    <t>Incident status</t>
  </si>
  <si>
    <t>Open</t>
  </si>
  <si>
    <t>Resolved</t>
  </si>
  <si>
    <t>Closed</t>
  </si>
  <si>
    <t>Message type</t>
  </si>
  <si>
    <t>Booking confirmation</t>
  </si>
  <si>
    <t>Booking reminder</t>
  </si>
  <si>
    <t>Visit update</t>
  </si>
  <si>
    <t>Payment reminder</t>
  </si>
  <si>
    <t>Follow-up</t>
  </si>
  <si>
    <t>Thank you</t>
  </si>
  <si>
    <t>Referral thank-you</t>
  </si>
  <si>
    <t>Birthday / anniversary</t>
  </si>
  <si>
    <t>Complaint</t>
  </si>
  <si>
    <t>Review request</t>
  </si>
  <si>
    <t>Win-back offer</t>
  </si>
  <si>
    <t>Channel</t>
  </si>
  <si>
    <t>In person</t>
  </si>
  <si>
    <t>Social media</t>
  </si>
  <si>
    <t>Direction</t>
  </si>
  <si>
    <t>Outgoing</t>
  </si>
  <si>
    <t>Incoming</t>
  </si>
  <si>
    <t>Resolution status</t>
  </si>
  <si>
    <t>Invoice status</t>
  </si>
  <si>
    <t>Draft</t>
  </si>
  <si>
    <t>Paid</t>
  </si>
  <si>
    <t>Partially paid</t>
  </si>
  <si>
    <t>Refunded</t>
  </si>
  <si>
    <t>Payment method</t>
  </si>
  <si>
    <t>Cash</t>
  </si>
  <si>
    <t>Bank transfer</t>
  </si>
  <si>
    <t>Card - in person</t>
  </si>
  <si>
    <t>Card - online</t>
  </si>
  <si>
    <t>Digital wallet</t>
  </si>
  <si>
    <t>Direct debit</t>
  </si>
  <si>
    <t>Cheque</t>
  </si>
  <si>
    <t>Expense category</t>
  </si>
  <si>
    <t>Fuel</t>
  </si>
  <si>
    <t>Vehicle maintenance</t>
  </si>
  <si>
    <t>Parking &amp; tolls</t>
  </si>
  <si>
    <t>Pet supplies</t>
  </si>
  <si>
    <t>Pet food &amp; treats</t>
  </si>
  <si>
    <t>Cleaning supplies</t>
  </si>
  <si>
    <t>Equipment</t>
  </si>
  <si>
    <t>Marketing &amp; advertising</t>
  </si>
  <si>
    <t>Software &amp; subscriptions</t>
  </si>
  <si>
    <t>Insurance</t>
  </si>
  <si>
    <t>Licences &amp; permits</t>
  </si>
  <si>
    <t>Staff wages</t>
  </si>
  <si>
    <t>Contractor payments</t>
  </si>
  <si>
    <t>Training &amp; certification</t>
  </si>
  <si>
    <t>Phone &amp; internet</t>
  </si>
  <si>
    <t>Office &amp; admin</t>
  </si>
  <si>
    <t>Vet &amp; emergency supplies</t>
  </si>
  <si>
    <t>Bank &amp; merchant fees</t>
  </si>
  <si>
    <t>Approval status</t>
  </si>
  <si>
    <t>Approved</t>
  </si>
  <si>
    <t>Rejected</t>
  </si>
  <si>
    <t>Reimbursed</t>
  </si>
  <si>
    <t>Business / personal</t>
  </si>
  <si>
    <t>Business</t>
  </si>
  <si>
    <t>Personal</t>
  </si>
  <si>
    <t>Mixed</t>
  </si>
  <si>
    <t>Recurring expense</t>
  </si>
  <si>
    <t>Quarterly</t>
  </si>
  <si>
    <t>Annually</t>
  </si>
  <si>
    <t>Trip purpose</t>
  </si>
  <si>
    <t>Client visit</t>
  </si>
  <si>
    <t>Dog walk</t>
  </si>
  <si>
    <t>Supplies run</t>
  </si>
  <si>
    <t>Vet trip</t>
  </si>
  <si>
    <t>Admin / bank</t>
  </si>
  <si>
    <t>Marketing</t>
  </si>
  <si>
    <t>Training</t>
  </si>
  <si>
    <t>Staff role</t>
  </si>
  <si>
    <t>Owner</t>
  </si>
  <si>
    <t>Dog walker</t>
  </si>
  <si>
    <t>Pet sitter</t>
  </si>
  <si>
    <t>Assistant</t>
  </si>
  <si>
    <t>Admin</t>
  </si>
  <si>
    <t>Contractor</t>
  </si>
  <si>
    <t>Trainee</t>
  </si>
  <si>
    <t>Employment type</t>
  </si>
  <si>
    <t>Employee - full time</t>
  </si>
  <si>
    <t>Employee - part time</t>
  </si>
  <si>
    <t>Casual</t>
  </si>
  <si>
    <t>Volunteer</t>
  </si>
  <si>
    <t>Pay type</t>
  </si>
  <si>
    <t>Hourly</t>
  </si>
  <si>
    <t>Salary</t>
  </si>
  <si>
    <t>Commission %</t>
  </si>
  <si>
    <t>Staff status</t>
  </si>
  <si>
    <t>On leave</t>
  </si>
  <si>
    <t>Inventory category</t>
  </si>
  <si>
    <t>Pet food</t>
  </si>
  <si>
    <t>Treats</t>
  </si>
  <si>
    <t>First aid</t>
  </si>
  <si>
    <t>Cleaning</t>
  </si>
  <si>
    <t>Waste bags</t>
  </si>
  <si>
    <t>Leads &amp; harnesses</t>
  </si>
  <si>
    <t>Toys</t>
  </si>
  <si>
    <t>Office</t>
  </si>
  <si>
    <t>Priority</t>
  </si>
  <si>
    <t>Urgent</t>
  </si>
  <si>
    <t>Task status</t>
  </si>
  <si>
    <t>Not started</t>
  </si>
  <si>
    <t>Waiting</t>
  </si>
  <si>
    <t>Done</t>
  </si>
  <si>
    <t>Satisfaction rating</t>
  </si>
  <si>
    <t>1</t>
  </si>
  <si>
    <t>2</t>
  </si>
  <si>
    <t>3</t>
  </si>
  <si>
    <t>4</t>
  </si>
  <si>
    <t>5</t>
  </si>
  <si>
    <t>Dashboard period</t>
  </si>
  <si>
    <t>January</t>
  </si>
  <si>
    <t>February</t>
  </si>
  <si>
    <t>March</t>
  </si>
  <si>
    <t>April</t>
  </si>
  <si>
    <t>May</t>
  </si>
  <si>
    <t>June</t>
  </si>
  <si>
    <t>July</t>
  </si>
  <si>
    <t>August</t>
  </si>
  <si>
    <t>September</t>
  </si>
  <si>
    <t>October</t>
  </si>
  <si>
    <t>November</t>
  </si>
  <si>
    <t>December</t>
  </si>
  <si>
    <t>Services &amp; Price List</t>
  </si>
  <si>
    <t>Add every service you sell. Bookings pull the billing unit, rate, additional pet fee and surcharges straight from this table.</t>
  </si>
  <si>
    <t>ID</t>
  </si>
  <si>
    <t>Service name</t>
  </si>
  <si>
    <t>What is included</t>
  </si>
  <si>
    <t>Standard length (mins)</t>
  </si>
  <si>
    <t>Base rate</t>
  </si>
  <si>
    <t>Additional pet fee</t>
  </si>
  <si>
    <t>Travel fee applies?</t>
  </si>
  <si>
    <t>Staff cost per unit</t>
  </si>
  <si>
    <t>Gross profit per unit</t>
  </si>
  <si>
    <t>Margin %</t>
  </si>
  <si>
    <t>Times booked</t>
  </si>
  <si>
    <t>Revenue to date</t>
  </si>
  <si>
    <t>Average value</t>
  </si>
  <si>
    <t>Estimated profit</t>
  </si>
  <si>
    <t>Active?</t>
  </si>
  <si>
    <t>Client Database</t>
  </si>
  <si>
    <t>One row per client. Grey columns calculate pets, visits, lifetime revenue, outstanding balances and follow-up actions for you.</t>
  </si>
  <si>
    <t>Type the client name first - the Client ID appears automatically. Use the filter arrows in the header row to search; avoid re-sorting rows so IDs stay stable.</t>
  </si>
  <si>
    <t>Client name</t>
  </si>
  <si>
    <t>Post code</t>
  </si>
  <si>
    <t>Emergency contact</t>
  </si>
  <si>
    <t>Emergency phone</t>
  </si>
  <si>
    <t>Registered on</t>
  </si>
  <si>
    <t>Status</t>
  </si>
  <si>
    <t>Key / access</t>
  </si>
  <si>
    <t>Key tag / ref</t>
  </si>
  <si>
    <t>Key returned on</t>
  </si>
  <si>
    <t>Home access instructions</t>
  </si>
  <si>
    <t>Alarm / gate code</t>
  </si>
  <si>
    <t>Agreement signed</t>
  </si>
  <si>
    <t>Emergency vet consent</t>
  </si>
  <si>
    <t>Vet spend authority</t>
  </si>
  <si>
    <t>Preferences &amp; special instructions</t>
  </si>
  <si>
    <t>Notes &amp; communication history</t>
  </si>
  <si>
    <t>Visits done</t>
  </si>
  <si>
    <t>Last service</t>
  </si>
  <si>
    <t>Days since</t>
  </si>
  <si>
    <t>Next booking</t>
  </si>
  <si>
    <t>Lifetime revenue</t>
  </si>
  <si>
    <t>Invoiced to date</t>
  </si>
  <si>
    <t>Average booking</t>
  </si>
  <si>
    <t>Loyalty status</t>
  </si>
  <si>
    <t>Duplicate check</t>
  </si>
  <si>
    <t>Missing information</t>
  </si>
  <si>
    <t>Action needed</t>
  </si>
  <si>
    <t>Pet Profiles</t>
  </si>
  <si>
    <t>Everything a sitter needs before they walk through the door: routine, medical, vet, vaccination status and safety warnings.</t>
  </si>
  <si>
    <t>Choose the owner from the drop down first. The grey 'Pet reference' column is what bookings and visit logs use, so two pets with the same name never get mixed up.</t>
  </si>
  <si>
    <t>Pet name</t>
  </si>
  <si>
    <t>Owner (client)</t>
  </si>
  <si>
    <t>Pet reference</t>
  </si>
  <si>
    <t>Client ID</t>
  </si>
  <si>
    <t>Breed</t>
  </si>
  <si>
    <t>Date of birth</t>
  </si>
  <si>
    <t>Age (yrs)</t>
  </si>
  <si>
    <t>Gender</t>
  </si>
  <si>
    <t>Weight (kg)</t>
  </si>
  <si>
    <t>Colour &amp; markings</t>
  </si>
  <si>
    <t>Photo link</t>
  </si>
  <si>
    <t>Microchip number</t>
  </si>
  <si>
    <t>Behaviour issues</t>
  </si>
  <si>
    <t>Allergies</t>
  </si>
  <si>
    <t>Medical conditions / special needs</t>
  </si>
  <si>
    <t>Veterinarian</t>
  </si>
  <si>
    <t>Vet phone</t>
  </si>
  <si>
    <t>Emergency clinic</t>
  </si>
  <si>
    <t>Emergency clinic phone</t>
  </si>
  <si>
    <t>Vaccinated on</t>
  </si>
  <si>
    <t>Vaccination expires</t>
  </si>
  <si>
    <t>Vaccination status</t>
  </si>
  <si>
    <t>Pet insurance</t>
  </si>
  <si>
    <t>Policy number</t>
  </si>
  <si>
    <t>Insurance renewal</t>
  </si>
  <si>
    <t>Feeding instructions</t>
  </si>
  <si>
    <t>Food type</t>
  </si>
  <si>
    <t>Portion size</t>
  </si>
  <si>
    <t>Feeding schedule</t>
  </si>
  <si>
    <t>Dosage &amp; instructions</t>
  </si>
  <si>
    <t>Medication schedule</t>
  </si>
  <si>
    <t>Walking &amp; exercise preferences</t>
  </si>
  <si>
    <t>Potty / litter routine</t>
  </si>
  <si>
    <t>Grooming requirements</t>
  </si>
  <si>
    <t>Favourite toys, treats &amp; games</t>
  </si>
  <si>
    <t>Handling instructions</t>
  </si>
  <si>
    <t>Safety warnings</t>
  </si>
  <si>
    <t>Last visit</t>
  </si>
  <si>
    <t>Med records</t>
  </si>
  <si>
    <t>Alerts</t>
  </si>
  <si>
    <t>Bookings &amp; Schedule</t>
  </si>
  <si>
    <t>Every booking, priced automatically from the Services tab with holiday, weekend, extra pet, travel and last-minute rules applied.</t>
  </si>
  <si>
    <t>Fill the cream cells from left to right. Everything grey - prices, surcharges, totals, conflicts and alerts - is calculated and locked.</t>
  </si>
  <si>
    <t>Requested on</t>
  </si>
  <si>
    <t>Pet</t>
  </si>
  <si>
    <t>Additional pets</t>
  </si>
  <si>
    <t>No. of pets</t>
  </si>
  <si>
    <t>Booking date</t>
  </si>
  <si>
    <t>Day</t>
  </si>
  <si>
    <t>Start</t>
  </si>
  <si>
    <t>End</t>
  </si>
  <si>
    <t>Hours</t>
  </si>
  <si>
    <t>Qty / nights</t>
  </si>
  <si>
    <t>Rate</t>
  </si>
  <si>
    <t>Extra pet rate</t>
  </si>
  <si>
    <t>Holiday %</t>
  </si>
  <si>
    <t>Weekend %</t>
  </si>
  <si>
    <t>Travel billable</t>
  </si>
  <si>
    <t>Base charge</t>
  </si>
  <si>
    <t>Extra pet fee</t>
  </si>
  <si>
    <t>Holiday?</t>
  </si>
  <si>
    <t>Weekend?</t>
  </si>
  <si>
    <t>Surcharges</t>
  </si>
  <si>
    <t>Travel distance</t>
  </si>
  <si>
    <t>Travel fee</t>
  </si>
  <si>
    <t>Travel allowance (min)</t>
  </si>
  <si>
    <t>Last-minute fee</t>
  </si>
  <si>
    <t>Discount %</t>
  </si>
  <si>
    <t>Discount</t>
  </si>
  <si>
    <t>Price override</t>
  </si>
  <si>
    <t>Override reason</t>
  </si>
  <si>
    <t>Subtotal</t>
  </si>
  <si>
    <t>Tax</t>
  </si>
  <si>
    <t>Booking total</t>
  </si>
  <si>
    <t>Assigned to</t>
  </si>
  <si>
    <t>Confirmed to client</t>
  </si>
  <si>
    <t>Reminder sent</t>
  </si>
  <si>
    <t>Repeats</t>
  </si>
  <si>
    <t>Next booking due</t>
  </si>
  <si>
    <t>Schedule check</t>
  </si>
  <si>
    <t>Visit logged</t>
  </si>
  <si>
    <t>Invoice</t>
  </si>
  <si>
    <t>Payment status</t>
  </si>
  <si>
    <t>Rescheduled from</t>
  </si>
  <si>
    <t>Notes &amp; special requests</t>
  </si>
  <si>
    <t>Daily Visit &amp; Pet Care Log</t>
  </si>
  <si>
    <t>Proof of service for every walk, drop-in and overnight: times, care given, mood, health notes and client updates.</t>
  </si>
  <si>
    <t>Start with the Booking ID - the client, pet, service and scheduled time are pulled in automatically. Minutes on site, punctuality and alerts are calculated.</t>
  </si>
  <si>
    <t>Booking ID</t>
  </si>
  <si>
    <t>Visit date</t>
  </si>
  <si>
    <t>Carer</t>
  </si>
  <si>
    <t>Arrived</t>
  </si>
  <si>
    <t>Departed</t>
  </si>
  <si>
    <t>Minutes on site</t>
  </si>
  <si>
    <t>On time?</t>
  </si>
  <si>
    <t>Walk start</t>
  </si>
  <si>
    <t>Walk end</t>
  </si>
  <si>
    <t>Walk minutes</t>
  </si>
  <si>
    <t>Distance walked</t>
  </si>
  <si>
    <t>Fed</t>
  </si>
  <si>
    <t>Fresh water</t>
  </si>
  <si>
    <t>Medication given</t>
  </si>
  <si>
    <t>Exercise &amp; play</t>
  </si>
  <si>
    <t>Grooming / cleaning</t>
  </si>
  <si>
    <t>Mood &amp; behaviour</t>
  </si>
  <si>
    <t>Appetite</t>
  </si>
  <si>
    <t>Health observations</t>
  </si>
  <si>
    <t>Incident?</t>
  </si>
  <si>
    <t>Incident ref</t>
  </si>
  <si>
    <t>Photos / report link</t>
  </si>
  <si>
    <t>Client updated</t>
  </si>
  <si>
    <t>Care checklist done</t>
  </si>
  <si>
    <t>Visit notes</t>
  </si>
  <si>
    <t>Line key</t>
  </si>
  <si>
    <t>Pet key</t>
  </si>
  <si>
    <t>Medication &amp; Health Monitoring</t>
  </si>
  <si>
    <t>A dated record of every dose given, vaccination, vet visit and health observation - your proof of care.</t>
  </si>
  <si>
    <t>Time</t>
  </si>
  <si>
    <t>Record type</t>
  </si>
  <si>
    <t>Medication / treatment</t>
  </si>
  <si>
    <t>Given at</t>
  </si>
  <si>
    <t>Given by</t>
  </si>
  <si>
    <t>Supply left</t>
  </si>
  <si>
    <t>Refill due</t>
  </si>
  <si>
    <t>Refill alert</t>
  </si>
  <si>
    <t>Vet appointment</t>
  </si>
  <si>
    <t>Appointment alert</t>
  </si>
  <si>
    <t>Cost</t>
  </si>
  <si>
    <t>Owner notified</t>
  </si>
  <si>
    <t>Pet Safety, Emergencies &amp; Incident Reports</t>
  </si>
  <si>
    <t>Emergency numbers at the top, a dated incident report register below. Print a row straight from this tab if an owner or insurer asks for it.</t>
  </si>
  <si>
    <t>Every incident needs: what happened, what you did, who you told and when. The alert column chases anything still open.</t>
  </si>
  <si>
    <t>Reported by</t>
  </si>
  <si>
    <t>Booking / visit ref</t>
  </si>
  <si>
    <t>What happened</t>
  </si>
  <si>
    <t>Action taken</t>
  </si>
  <si>
    <t>Vet contacted</t>
  </si>
  <si>
    <t>Clinic attended</t>
  </si>
  <si>
    <t>Notified when</t>
  </si>
  <si>
    <t>Follow-up needed</t>
  </si>
  <si>
    <t>Follow-up due</t>
  </si>
  <si>
    <t>Cost incurred</t>
  </si>
  <si>
    <t>Insurance claim</t>
  </si>
  <si>
    <t>Days open</t>
  </si>
  <si>
    <t>Notes &amp; outcome</t>
  </si>
  <si>
    <t>Emergency contact directory - keep this current</t>
  </si>
  <si>
    <t>Contact</t>
  </si>
  <si>
    <t>Name</t>
  </si>
  <si>
    <t>Number / details</t>
  </si>
  <si>
    <t>Business emergency line</t>
  </si>
  <si>
    <t>Answered 07:00 - 21:00</t>
  </si>
  <si>
    <t>Owner / manager</t>
  </si>
  <si>
    <t>Call for any High or Critical event</t>
  </si>
  <si>
    <t>24/7 emergency vet</t>
  </si>
  <si>
    <t>24/7 Springfield Pet ER</t>
  </si>
  <si>
    <t>+1 (555) 100 9111 - open all night</t>
  </si>
  <si>
    <t>Backup emergency vet</t>
  </si>
  <si>
    <t>Riverton Vet Clinic</t>
  </si>
  <si>
    <t>+1 (555) 100 2000 - 08:00 to 18:00</t>
  </si>
  <si>
    <t>Animal poison helpline</t>
  </si>
  <si>
    <t>Pet Poison Hotline</t>
  </si>
  <si>
    <t>+1 (555) 100 7788</t>
  </si>
  <si>
    <t>Animal control / council</t>
  </si>
  <si>
    <t>Springfield Animal Services</t>
  </si>
  <si>
    <t>+1 (555) 100 4422</t>
  </si>
  <si>
    <t>Insurance claims</t>
  </si>
  <si>
    <t>Backup sitter on call</t>
  </si>
  <si>
    <t>Priya Shah</t>
  </si>
  <si>
    <t>+1 (555) 772 6690</t>
  </si>
  <si>
    <t>Locksmith / key issues</t>
  </si>
  <si>
    <t>Springfield Locks</t>
  </si>
  <si>
    <t>+1 (555) 100 6655</t>
  </si>
  <si>
    <t>Client Communication, Feedback &amp; Complaints</t>
  </si>
  <si>
    <t>Every confirmation, reminder, update, review and complaint in one searchable history.</t>
  </si>
  <si>
    <t>Summary</t>
  </si>
  <si>
    <t>Reply received</t>
  </si>
  <si>
    <t>Satisfaction (1-5)</t>
  </si>
  <si>
    <t>Feedback / review</t>
  </si>
  <si>
    <t>Complaint?</t>
  </si>
  <si>
    <t>Issue raised</t>
  </si>
  <si>
    <t>Resolved on</t>
  </si>
  <si>
    <t>Follow-up done</t>
  </si>
  <si>
    <t>Automatic numbering, due dates, tax, balances, ageing buckets and overdue alerts - all from the booking you link.</t>
  </si>
  <si>
    <t>Type the client name to create the invoice number. Link a Booking ID to bill the calculated booking total, or use Qty x Rate for anything custom.</t>
  </si>
  <si>
    <t>Invoice no.</t>
  </si>
  <si>
    <t>Invoice date</t>
  </si>
  <si>
    <t>Due date</t>
  </si>
  <si>
    <t>Booking ref</t>
  </si>
  <si>
    <t>Description of service</t>
  </si>
  <si>
    <t>Qty</t>
  </si>
  <si>
    <t>Line amount</t>
  </si>
  <si>
    <t>Additional fees</t>
  </si>
  <si>
    <t>Invoice total</t>
  </si>
  <si>
    <t>Deposit received</t>
  </si>
  <si>
    <t>Amount paid</t>
  </si>
  <si>
    <t>Balance due</t>
  </si>
  <si>
    <t>Days overdue</t>
  </si>
  <si>
    <t>Ageing bucket</t>
  </si>
  <si>
    <t>Suggested late fee</t>
  </si>
  <si>
    <t>Sent on</t>
  </si>
  <si>
    <t>Number check</t>
  </si>
  <si>
    <t>Invoice notes</t>
  </si>
  <si>
    <t>Payment Tracking</t>
  </si>
  <si>
    <t>Every cash, card, transfer, wallet and deposit payment, with tips, refunds and bank reconciliation.</t>
  </si>
  <si>
    <t>Payment date</t>
  </si>
  <si>
    <t>Amount applied</t>
  </si>
  <si>
    <t>Reference</t>
  </si>
  <si>
    <t>Tip / gratuity</t>
  </si>
  <si>
    <t>Late fee collected</t>
  </si>
  <si>
    <t>Refund given</t>
  </si>
  <si>
    <t>Applied to invoice</t>
  </si>
  <si>
    <t>Total cash in</t>
  </si>
  <si>
    <t>Deposit?</t>
  </si>
  <si>
    <t>Cleared / confirmed</t>
  </si>
  <si>
    <t>Reconciled to bank</t>
  </si>
  <si>
    <t>Invoice balance</t>
  </si>
  <si>
    <t>Expense Management</t>
  </si>
  <si>
    <t>Fuel, supplies, wages, insurance, software and every other cost - split into tax, net and claimable amounts.</t>
  </si>
  <si>
    <t>Description</t>
  </si>
  <si>
    <t>Supplier / vendor</t>
  </si>
  <si>
    <t>Tax included</t>
  </si>
  <si>
    <t>Net cost</t>
  </si>
  <si>
    <t>Paid by</t>
  </si>
  <si>
    <t>Business use %</t>
  </si>
  <si>
    <t>Claimable amount</t>
  </si>
  <si>
    <t>Receipt link / ref</t>
  </si>
  <si>
    <t>Recurring</t>
  </si>
  <si>
    <t>Next due</t>
  </si>
  <si>
    <t>Approval</t>
  </si>
  <si>
    <t>Related client / booking</t>
  </si>
  <si>
    <t>Staff member</t>
  </si>
  <si>
    <t>Mileage &amp; Travel Log</t>
  </si>
  <si>
    <t>Odometer in, odometer out: km travelled, round trips, reimbursement, parking and tolls - ready for your tax return.</t>
  </si>
  <si>
    <t>Record trips as you do them. Business trips are valued at the mileage rate from the Settings tab.</t>
  </si>
  <si>
    <t>Trip date</t>
  </si>
  <si>
    <t>Driver</t>
  </si>
  <si>
    <t>Client / booking</t>
  </si>
  <si>
    <t>Purpose</t>
  </si>
  <si>
    <t>From</t>
  </si>
  <si>
    <t>To</t>
  </si>
  <si>
    <t>Odometer start</t>
  </si>
  <si>
    <t>Odometer end</t>
  </si>
  <si>
    <t>Manual km</t>
  </si>
  <si>
    <t>Trip km</t>
  </si>
  <si>
    <t>Round trip?</t>
  </si>
  <si>
    <t>Total km</t>
  </si>
  <si>
    <t>Classification</t>
  </si>
  <si>
    <t>Fuel cost</t>
  </si>
  <si>
    <t>Parking</t>
  </si>
  <si>
    <t>Tolls</t>
  </si>
  <si>
    <t>Travel time (min)</t>
  </si>
  <si>
    <t>Total claimable</t>
  </si>
  <si>
    <t>Check</t>
  </si>
  <si>
    <t>Staff &amp; Contractors</t>
  </si>
  <si>
    <t>Who works for you, when they are available, what they have delivered and what they are owed.</t>
  </si>
  <si>
    <t>Hours and pay come from completed visits in the Visit Log, so log every visit to keep the timesheet honest.</t>
  </si>
  <si>
    <t>Role</t>
  </si>
  <si>
    <t>Started on</t>
  </si>
  <si>
    <t>Availability</t>
  </si>
  <si>
    <t>Regular days off</t>
  </si>
  <si>
    <t>Pay rate</t>
  </si>
  <si>
    <t>Certifications</t>
  </si>
  <si>
    <t>Certificate expires</t>
  </si>
  <si>
    <t>Certificate status</t>
  </si>
  <si>
    <t>Background check</t>
  </si>
  <si>
    <t>Leave &amp; absence</t>
  </si>
  <si>
    <t>Bookings assigned</t>
  </si>
  <si>
    <t>Hours worked</t>
  </si>
  <si>
    <t>Km driven</t>
  </si>
  <si>
    <t>Revenue delivered</t>
  </si>
  <si>
    <t>Pay due</t>
  </si>
  <si>
    <t>Revenue per hour</t>
  </si>
  <si>
    <t>Completion rate</t>
  </si>
  <si>
    <t>Inventory &amp; Pet Supplies</t>
  </si>
  <si>
    <t>Treats, waste bags, cleaning kit, first aid and equipment - with low stock and expiry alerts.</t>
  </si>
  <si>
    <t>Item</t>
  </si>
  <si>
    <t>Supplier</t>
  </si>
  <si>
    <t>Unit</t>
  </si>
  <si>
    <t>Unit cost</t>
  </si>
  <si>
    <t>In stock</t>
  </si>
  <si>
    <t>Minimum level</t>
  </si>
  <si>
    <t>Reorder qty</t>
  </si>
  <si>
    <t>Stock value</t>
  </si>
  <si>
    <t>Stock status</t>
  </si>
  <si>
    <t>Last purchased</t>
  </si>
  <si>
    <t>Qty last bought</t>
  </si>
  <si>
    <t>Last purchase cost</t>
  </si>
  <si>
    <t>Expiry date</t>
  </si>
  <si>
    <t>Expiry status</t>
  </si>
  <si>
    <t>Used this month</t>
  </si>
  <si>
    <t>Reminders, Alerts &amp; Task List</t>
  </si>
  <si>
    <t>Everything the workbook thinks you should do today, plus room for your own reminders.</t>
  </si>
  <si>
    <t>Add your own reminders here - renewals, marketing ideas, supply runs, anything with a due date.</t>
  </si>
  <si>
    <t>Task</t>
  </si>
  <si>
    <t>Days left</t>
  </si>
  <si>
    <t>Status check</t>
  </si>
  <si>
    <t>Automatic alerts - refreshed every time the file opens</t>
  </si>
  <si>
    <t>Anything with a count above zero needs a decision today. Click the sheet name on the right to jump straight to it.</t>
  </si>
  <si>
    <t>Go to</t>
  </si>
  <si>
    <t>Bookings in the next 7 days</t>
  </si>
  <si>
    <t>Confirm the schedule and send reminders</t>
  </si>
  <si>
    <t>Send a confirmation message today</t>
  </si>
  <si>
    <t>Booking conflicts / double bookings</t>
  </si>
  <si>
    <t>Two jobs overlap for the same carer</t>
  </si>
  <si>
    <t>Bookings waiting on a visit log</t>
  </si>
  <si>
    <t>Log the visit so the client has a record</t>
  </si>
  <si>
    <t>Call the client and agree what happens next</t>
  </si>
  <si>
    <t>Visits with no client update sent</t>
  </si>
  <si>
    <t>Send the photo and summary</t>
  </si>
  <si>
    <t>Send a payment reminder with the late fee</t>
  </si>
  <si>
    <t>Invoices due within the reminder window</t>
  </si>
  <si>
    <t>A friendly nudge before the due date</t>
  </si>
  <si>
    <t>Draft invoices not sent</t>
  </si>
  <si>
    <t>Finish and send them - this is unbilled work</t>
  </si>
  <si>
    <t>Payments not reconciled</t>
  </si>
  <si>
    <t>Match them against your bank statement</t>
  </si>
  <si>
    <t>Vaccinations expired</t>
  </si>
  <si>
    <t>Ask the owner for an updated certificate</t>
  </si>
  <si>
    <t>Vaccinations due soon</t>
  </si>
  <si>
    <t>Remind the owner before the booking</t>
  </si>
  <si>
    <t>Medication doses missed</t>
  </si>
  <si>
    <t>Tell the owner and note the reason</t>
  </si>
  <si>
    <t>Medication refills due</t>
  </si>
  <si>
    <t>Ask the owner to restock the supply</t>
  </si>
  <si>
    <t>Vet appointments coming up</t>
  </si>
  <si>
    <t>Confirm transport and who attends</t>
  </si>
  <si>
    <t>Close the loop with the owner</t>
  </si>
  <si>
    <t>Clients going inactive</t>
  </si>
  <si>
    <t>Send a win-back offer</t>
  </si>
  <si>
    <t>Client follow-ups overdue</t>
  </si>
  <si>
    <t>Check the communication log</t>
  </si>
  <si>
    <t>Resolve it before it becomes a review</t>
  </si>
  <si>
    <t>Low or out of stock items</t>
  </si>
  <si>
    <t>Add them to the next supply run</t>
  </si>
  <si>
    <t>Supplies past their expiry date</t>
  </si>
  <si>
    <t>Dispose of them and reorder</t>
  </si>
  <si>
    <t>Staff certificates expired or expiring</t>
  </si>
  <si>
    <t>Book the refresher course</t>
  </si>
  <si>
    <t>Client contracts not signed</t>
  </si>
  <si>
    <t>No service without a signed agreement</t>
  </si>
  <si>
    <t>Expenses waiting for a receipt</t>
  </si>
  <si>
    <t>Attach the receipt before tax time</t>
  </si>
  <si>
    <t>Renewal dates</t>
  </si>
  <si>
    <t>Renewal</t>
  </si>
  <si>
    <t>Days away</t>
  </si>
  <si>
    <t>Business insurance renewal</t>
  </si>
  <si>
    <t>Licence / permit renewal</t>
  </si>
  <si>
    <t>Reports &amp; Business Analytics</t>
  </si>
  <si>
    <t>Set a date range once at the top - every report below recalculates. Print the whole tab for your accountant or year-end review.</t>
  </si>
  <si>
    <t>Report period</t>
  </si>
  <si>
    <t>Try 1st to 31st of a month for a monthly report, or 1 Jan to 31 Dec for the year-end pack.</t>
  </si>
  <si>
    <t>1. Booking &amp; service delivery report</t>
  </si>
  <si>
    <t>Bookings taken</t>
  </si>
  <si>
    <t>Completed bookings</t>
  </si>
  <si>
    <t>Cancelled bookings</t>
  </si>
  <si>
    <t>No shows</t>
  </si>
  <si>
    <t>Still to deliver</t>
  </si>
  <si>
    <t>Cancellation rate</t>
  </si>
  <si>
    <t>Visits missed</t>
  </si>
  <si>
    <t>Hours of care delivered</t>
  </si>
  <si>
    <t>Walk distance logged</t>
  </si>
  <si>
    <t>On-time arrival rate</t>
  </si>
  <si>
    <t>Medication doses given</t>
  </si>
  <si>
    <t>2. Profit &amp; loss for the period</t>
  </si>
  <si>
    <t>Service income collected</t>
  </si>
  <si>
    <t>Tips &amp; gratuities</t>
  </si>
  <si>
    <t>Late fees collected</t>
  </si>
  <si>
    <t>TOTAL INCOME</t>
  </si>
  <si>
    <t>Wages &amp; contractor payments</t>
  </si>
  <si>
    <t>Gross profit</t>
  </si>
  <si>
    <t>Other operating expenses</t>
  </si>
  <si>
    <t>NET PROFIT</t>
  </si>
  <si>
    <t>Invoiced in period</t>
  </si>
  <si>
    <t>Collected in period</t>
  </si>
  <si>
    <t>Refunds issued</t>
  </si>
  <si>
    <t>Outstanding right now</t>
  </si>
  <si>
    <t>Overdue right now</t>
  </si>
  <si>
    <t>Tax charged on invoices</t>
  </si>
  <si>
    <t>Tax paid inside expenses</t>
  </si>
  <si>
    <t>Business distance travelled</t>
  </si>
  <si>
    <t>3. Revenue &amp; profit by service</t>
  </si>
  <si>
    <t>Est. cost</t>
  </si>
  <si>
    <t>Est. profit</t>
  </si>
  <si>
    <t>4. Clients, outstanding money &amp; invoice ageing</t>
  </si>
  <si>
    <t>Top 10 clients in the period</t>
  </si>
  <si>
    <t>Largest outstanding balances</t>
  </si>
  <si>
    <t>Owed</t>
  </si>
  <si>
    <t>Unpaid invoices</t>
  </si>
  <si>
    <t>Invoice ageing</t>
  </si>
  <si>
    <t>How clients pay</t>
  </si>
  <si>
    <t>Bucket</t>
  </si>
  <si>
    <t>Amount</t>
  </si>
  <si>
    <t>Method</t>
  </si>
  <si>
    <t>Collected</t>
  </si>
  <si>
    <t>Not due</t>
  </si>
  <si>
    <t>Current</t>
  </si>
  <si>
    <t>1-30 days</t>
  </si>
  <si>
    <t>31-60 days</t>
  </si>
  <si>
    <t>61-90 days</t>
  </si>
  <si>
    <t>90+ days</t>
  </si>
  <si>
    <t>5. Expense report by category</t>
  </si>
  <si>
    <t>Total business expenses</t>
  </si>
  <si>
    <t>6. Staff performance</t>
  </si>
  <si>
    <t>Team member</t>
  </si>
  <si>
    <t>Revenue / hour</t>
  </si>
  <si>
    <t>7. Client retention &amp; marketing</t>
  </si>
  <si>
    <t>Clients served in the period</t>
  </si>
  <si>
    <t>Clients with repeat bookings</t>
  </si>
  <si>
    <t>Repeat booking rate</t>
  </si>
  <si>
    <t>New clients registered</t>
  </si>
  <si>
    <t>Returning client rate</t>
  </si>
  <si>
    <t>Average client lifetime revenue</t>
  </si>
  <si>
    <t>Average satisfaction rating</t>
  </si>
  <si>
    <t>Complaints logged</t>
  </si>
  <si>
    <t>Complaints still open</t>
  </si>
  <si>
    <t>Where clients come from</t>
  </si>
  <si>
    <t>8. Cancellation analysis</t>
  </si>
  <si>
    <t>Reason</t>
  </si>
  <si>
    <t>Cancellations</t>
  </si>
  <si>
    <t>Printing: this tab is set up to print on A4 at one page wide. Use File &gt; Print and choose 'Print active sheet'. For a single report, select the block you need and print the selection.</t>
  </si>
  <si>
    <t>Financial Planning &amp; Profitability</t>
  </si>
  <si>
    <t>Set the targets, then watch budget against actual month by month. Break-even, forecast, cash flow and tax reserve are all worked out for you.</t>
  </si>
  <si>
    <t>1. Targets for the dashboard year</t>
  </si>
  <si>
    <t>Annual revenue target</t>
  </si>
  <si>
    <t>Annual expense budget</t>
  </si>
  <si>
    <t>Target profit</t>
  </si>
  <si>
    <t>Target profit margin</t>
  </si>
  <si>
    <t>Fixed costs per month</t>
  </si>
  <si>
    <t>Average gross margin</t>
  </si>
  <si>
    <t>Break-even revenue per month</t>
  </si>
  <si>
    <t>Break-even bookings per month</t>
  </si>
  <si>
    <t>Growth assumption for forecast</t>
  </si>
  <si>
    <t>2. Monthly budget vs actual</t>
  </si>
  <si>
    <t>Revenue target</t>
  </si>
  <si>
    <t>Revenue actual</t>
  </si>
  <si>
    <t>Variance</t>
  </si>
  <si>
    <t>Achieved</t>
  </si>
  <si>
    <t>Expense budget</t>
  </si>
  <si>
    <t>Expense actual</t>
  </si>
  <si>
    <t>Cumulative profit</t>
  </si>
  <si>
    <t>Forecast revenue</t>
  </si>
  <si>
    <t>3. Cash flow &amp; owner money</t>
  </si>
  <si>
    <t>Opening cash balance</t>
  </si>
  <si>
    <t>Cash in (payments received)</t>
  </si>
  <si>
    <t>Cash out (expenses paid)</t>
  </si>
  <si>
    <t>Owner withdrawals</t>
  </si>
  <si>
    <t>Closing cash balance</t>
  </si>
  <si>
    <t>Money to set aside for tax</t>
  </si>
  <si>
    <t>Business savings target</t>
  </si>
  <si>
    <t>Savings set aside so far</t>
  </si>
  <si>
    <t>Savings progress</t>
  </si>
  <si>
    <t>Owner withdrawals register</t>
  </si>
  <si>
    <t>4. Year on year comparison</t>
  </si>
  <si>
    <t>Measure</t>
  </si>
  <si>
    <t>This year</t>
  </si>
  <si>
    <t>Change %</t>
  </si>
  <si>
    <t>Business distance</t>
  </si>
  <si>
    <t>How the forecast works: it averages the actual revenue recorded so far this year and adds your growth assumption. Update the growth rate as the year unfolds.</t>
  </si>
  <si>
    <t>Invoice to print</t>
  </si>
  <si>
    <t>Pick an invoice number - everything below fills in automatically. This row does not print.</t>
  </si>
  <si>
    <t>INVOICE</t>
  </si>
  <si>
    <t>Amount due</t>
  </si>
  <si>
    <t>BILL TO</t>
  </si>
  <si>
    <t>SERVICE</t>
  </si>
  <si>
    <t>Service date</t>
  </si>
  <si>
    <t>Visits covered by this invoice</t>
  </si>
  <si>
    <t>TOTAL</t>
  </si>
  <si>
    <t>Deposit / paid</t>
  </si>
  <si>
    <t>BALANCE DUE</t>
  </si>
  <si>
    <t>HOW TO PAY</t>
  </si>
  <si>
    <t>Bank details</t>
  </si>
  <si>
    <t>Payment terms</t>
  </si>
  <si>
    <t>Late payment</t>
  </si>
  <si>
    <t>Pet to print</t>
  </si>
  <si>
    <t>Pick a pet reference - the care sheet fills itself in. This row does not print.</t>
  </si>
  <si>
    <t>PET DETAILS</t>
  </si>
  <si>
    <t>Type / breed</t>
  </si>
  <si>
    <t>Age</t>
  </si>
  <si>
    <t>Weight</t>
  </si>
  <si>
    <t>Microchip</t>
  </si>
  <si>
    <t>OWNER &amp; EMERGENCY CONTACTS</t>
  </si>
  <si>
    <t>Address</t>
  </si>
  <si>
    <t>Home access</t>
  </si>
  <si>
    <t>Access notes</t>
  </si>
  <si>
    <t>VET &amp; MEDICAL</t>
  </si>
  <si>
    <t>Clinic phone</t>
  </si>
  <si>
    <t>HEALTH, ALLERGIES &amp; MEDICATION</t>
  </si>
  <si>
    <t>Medical conditions</t>
  </si>
  <si>
    <t>Dosage</t>
  </si>
  <si>
    <t>Medication times</t>
  </si>
  <si>
    <t>DAILY ROUTINE</t>
  </si>
  <si>
    <t>Food</t>
  </si>
  <si>
    <t>Portion</t>
  </si>
  <si>
    <t>Feeding times</t>
  </si>
  <si>
    <t>Feeding notes</t>
  </si>
  <si>
    <t>Walking &amp; exercise</t>
  </si>
  <si>
    <t>Favourites</t>
  </si>
  <si>
    <t>SAFETY &amp; HANDLING</t>
  </si>
  <si>
    <t>RECENT VISITS</t>
  </si>
  <si>
    <t>Sitter notes (write on the printed sheet):</t>
  </si>
  <si>
    <t>Visit to print</t>
  </si>
  <si>
    <t>Pick a visit ID from the Visit Log. This row does not print.</t>
  </si>
  <si>
    <t>VISIT DETAILS</t>
  </si>
  <si>
    <t>Visit ID</t>
  </si>
  <si>
    <t>Punctuality</t>
  </si>
  <si>
    <t>CARE GIVEN</t>
  </si>
  <si>
    <t>HOW YOUR PET WAS</t>
  </si>
  <si>
    <t>Incident reported</t>
  </si>
  <si>
    <t>Carer signature</t>
  </si>
  <si>
    <t>Blank forms - print the page you need. Each form starts on a new page. These are for printing, so nothing here links to the rest of the workbook.</t>
  </si>
  <si>
    <t>Please complete and return before your first booking.</t>
  </si>
  <si>
    <t>Emergency contact name</t>
  </si>
  <si>
    <t>Emergency contact phone</t>
  </si>
  <si>
    <t>Preferred contact method</t>
  </si>
  <si>
    <t>How did you hear about us?</t>
  </si>
  <si>
    <t>Home access (key / lockbox / code)</t>
  </si>
  <si>
    <t>Alarm instructions</t>
  </si>
  <si>
    <t>Anyone else with access to the property</t>
  </si>
  <si>
    <t>Special instructions</t>
  </si>
  <si>
    <t>One form per pet. Attach a photo if you can.</t>
  </si>
  <si>
    <t>Food &amp; portion</t>
  </si>
  <si>
    <t>Medication &amp; dosage</t>
  </si>
  <si>
    <t>Walking / exercise routine</t>
  </si>
  <si>
    <t>Veterinarian &amp; phone</t>
  </si>
  <si>
    <t>Emergency clinic &amp; phone</t>
  </si>
  <si>
    <t>Pet insurance &amp; policy</t>
  </si>
  <si>
    <t>Behaviour warnings</t>
  </si>
  <si>
    <t>This authorises emergency treatment and confirms the agreed terms.</t>
  </si>
  <si>
    <t>Pet(s) covered</t>
  </si>
  <si>
    <t>Services agreed</t>
  </si>
  <si>
    <t>Start date</t>
  </si>
  <si>
    <t>Rates agreed</t>
  </si>
  <si>
    <t>Cancellation policy understood (initial)</t>
  </si>
  <si>
    <t>Maximum veterinary spend authorised</t>
  </si>
  <si>
    <t>Preferred veterinary practice</t>
  </si>
  <si>
    <t>Permission to transport pet by vehicle (yes / no)</t>
  </si>
  <si>
    <t>Permission to use photos on social media (yes / no)</t>
  </si>
  <si>
    <t>Client signature</t>
  </si>
  <si>
    <t>Business representative</t>
  </si>
  <si>
    <t>Complete both halves - one for you, one for the client.</t>
  </si>
  <si>
    <t>Key tag / reference</t>
  </si>
  <si>
    <t>Number of keys received</t>
  </si>
  <si>
    <t>Date received</t>
  </si>
  <si>
    <t>Received by</t>
  </si>
  <si>
    <t>Date returned</t>
  </si>
  <si>
    <t>Returned by</t>
  </si>
  <si>
    <t>Client signature on return</t>
  </si>
  <si>
    <t>Complete on the day. Keep the original with your records.</t>
  </si>
  <si>
    <t>Incident reference</t>
  </si>
  <si>
    <t>Date &amp; time</t>
  </si>
  <si>
    <t>Location</t>
  </si>
  <si>
    <t>Pet(s) involved</t>
  </si>
  <si>
    <t>Staff present</t>
  </si>
  <si>
    <t>Immediate action taken</t>
  </si>
  <si>
    <t>Veterinary treatment required (yes / no)</t>
  </si>
  <si>
    <t>Vet / clinic attended</t>
  </si>
  <si>
    <t>Owner informed (time)</t>
  </si>
  <si>
    <t>Follow up required</t>
  </si>
  <si>
    <t>Prevention / lessons learned</t>
  </si>
  <si>
    <t>Completed by</t>
  </si>
  <si>
    <t>Signature &amp; date</t>
  </si>
  <si>
    <t>Leave this with the client or keep for your records.</t>
  </si>
  <si>
    <t>Pet(s)</t>
  </si>
  <si>
    <t>Week commencing</t>
  </si>
  <si>
    <t>In</t>
  </si>
  <si>
    <t>Out</t>
  </si>
  <si>
    <t>Water</t>
  </si>
  <si>
    <t>Meds</t>
  </si>
  <si>
    <t>Walk</t>
  </si>
  <si>
    <t>Potty</t>
  </si>
  <si>
    <t>One sheet per person per week.</t>
  </si>
  <si>
    <t>Approved by</t>
  </si>
  <si>
    <t>Client / job</t>
  </si>
  <si>
    <t>Finish</t>
  </si>
  <si>
    <t>Break</t>
  </si>
  <si>
    <t>Keep this in the vehicle and copy it into the Mileage tab weekly.</t>
  </si>
  <si>
    <t>Vehicle</t>
  </si>
  <si>
    <t>Registration</t>
  </si>
  <si>
    <t>Start odo</t>
  </si>
  <si>
    <t>End odo</t>
  </si>
  <si>
    <t>Business?</t>
  </si>
  <si>
    <t>We would love to know how we did.</t>
  </si>
  <si>
    <t>Date of service</t>
  </si>
  <si>
    <t>Rating out of 5 (circle): 1  2  3  4  5</t>
  </si>
  <si>
    <t>What went well?</t>
  </si>
  <si>
    <t>What could we do better?</t>
  </si>
  <si>
    <t>Would you recommend us? (yes / no)</t>
  </si>
  <si>
    <t>May we use your comments as a review? (yes / no)</t>
  </si>
  <si>
    <t>Signature</t>
  </si>
  <si>
    <t>Run through this at the first visit.</t>
  </si>
  <si>
    <t>Checked</t>
  </si>
  <si>
    <t>Introductions - pet comfortable with the carer</t>
  </si>
  <si>
    <t>Keys / access tested (door, gate, alarm, lockbox)</t>
  </si>
  <si>
    <t>Feeding routine and food storage shown</t>
  </si>
  <si>
    <t>Medication, dosage and storage confirmed</t>
  </si>
  <si>
    <t>Lead, harness, carrier and towels located</t>
  </si>
  <si>
    <t>Walking route, pick-up bags and rules agreed</t>
  </si>
  <si>
    <t>Potty / litter routine and cleaning supplies shown</t>
  </si>
  <si>
    <t>Emergency contacts and vet details confirmed</t>
  </si>
  <si>
    <t>Vaccination records sighted</t>
  </si>
  <si>
    <t>House rules (furniture, rooms, visitors) agreed</t>
  </si>
  <si>
    <t>Waste, bins and recycling day explained</t>
  </si>
  <si>
    <t>Preferred updates: photos, messages, frequency</t>
  </si>
  <si>
    <t>Service agreement signed and consent given</t>
  </si>
  <si>
    <t>Booking schedule, rates and payment confirmed</t>
  </si>
  <si>
    <t>Help &amp; Instructions</t>
  </si>
  <si>
    <t>Everything you need to run the workbook - and what to do when something looks wrong.</t>
  </si>
  <si>
    <t>How this workbook thinks</t>
  </si>
  <si>
    <t>Cream cells are for you. Grey cells are locked formulas - they fill themselves in as soon as the row has enough information.</t>
  </si>
  <si>
    <t>Every sheet is protected so a stray keystroke cannot wipe out a formula. The password is below if you ever need to change one.</t>
  </si>
  <si>
    <t>Records join up by name, not by hidden ID: pick the client, pet, service or staff member from the drop down and the rest follows.</t>
  </si>
  <si>
    <t>The drop downs all live on the Lists tab. Edit a list there and every sheet picks up the change.</t>
  </si>
  <si>
    <t>Numbers on the Dashboard, Reports and Budget tabs come from a hidden sheet called Calc. You never need to open it - it does the heavy lifting so the visible formulas stay short.</t>
  </si>
  <si>
    <t>A simple routine</t>
  </si>
  <si>
    <t>Morning: open the Reminders tab and work through anything with a count above zero.</t>
  </si>
  <si>
    <t>Before each job: check the pet's care sheet (Print Pet Care) if someone else is covering.</t>
  </si>
  <si>
    <t>After each visit: add a row to the Visit Log and send the client their update.</t>
  </si>
  <si>
    <t>Weekly: raise invoices, record payments, log expenses and trips.</t>
  </si>
  <si>
    <t>Monthly: set the Dashboard period, check the Budget tab and print the Reports pack.</t>
  </si>
  <si>
    <t>Yearly: print the full-year report, save a dated copy of the file, then clear last year's rows from a fresh copy.</t>
  </si>
  <si>
    <t>How do I ...</t>
  </si>
  <si>
    <t>Add a client</t>
  </si>
  <si>
    <t>Clients tab &gt; first empty row &gt; type the name. The ID, counters and revenue columns fill themselves in.</t>
  </si>
  <si>
    <t>Add a pet</t>
  </si>
  <si>
    <t>Pets tab &gt; type the pet name, then choose the owner from the drop down. The pet reference column builds the 'Pet (Owner)' label that the other sheets use.</t>
  </si>
  <si>
    <t>Take a booking</t>
  </si>
  <si>
    <t>Bookings tab &gt; date, client, pet, service. The price comes from the Services tab and adds extra pet, weekend, holiday, travel and last-minute fees automatically.</t>
  </si>
  <si>
    <t>Price something differently</t>
  </si>
  <si>
    <t>Type your figure in the 'Price override' column - it beats the calculated subtotal. Add a reason so you remember why.</t>
  </si>
  <si>
    <t>Log a visit</t>
  </si>
  <si>
    <t>Visit Log tab &gt; choose the booking ID; the client, pet and service copy across. Fill in arrival and departure times and the care you gave.</t>
  </si>
  <si>
    <t>Invoice a booking</t>
  </si>
  <si>
    <t>Invoices tab &gt; invoice date, client, booking ref. The total, due date, tax and ageing all calculate. Print it from the Print Invoice tab.</t>
  </si>
  <si>
    <t>Invoice several visits at once</t>
  </si>
  <si>
    <t>Leave the booking ref blank, write your own description and use Qty x Rate.</t>
  </si>
  <si>
    <t>Record a payment</t>
  </si>
  <si>
    <t>Payments tab &gt; date, client, invoice number, amount. The invoice balance and status update instantly.</t>
  </si>
  <si>
    <t>Take a deposit</t>
  </si>
  <si>
    <t>Record it on the Payments tab with Deposit = Yes. It counts towards the invoice and shows in the deposit column.</t>
  </si>
  <si>
    <t>Claim mileage</t>
  </si>
  <si>
    <t>Mileage tab &gt; start and end odometer readings. The claim uses the mileage rate on the Settings tab.</t>
  </si>
  <si>
    <t>Pay your team</t>
  </si>
  <si>
    <t>Staff tab &gt; set the pay type and rate. Hours and visits come from the Visit Log, and the wages column shows what is owed.</t>
  </si>
  <si>
    <t>Check profit</t>
  </si>
  <si>
    <t>Dashboard for the headline numbers, Reports for a full profit and loss over any date range.</t>
  </si>
  <si>
    <t>Print a care sheet</t>
  </si>
  <si>
    <t>Print Pet Care tab &gt; pick the pet reference at the top &gt; print.</t>
  </si>
  <si>
    <t>Add more rows</t>
  </si>
  <si>
    <t>Select the last row of the grid, right click &gt; Insert copied cells, or copy the last row down. The formulas copy with it.</t>
  </si>
  <si>
    <t>What the formulas do</t>
  </si>
  <si>
    <t>Calculation</t>
  </si>
  <si>
    <t>In plain English</t>
  </si>
  <si>
    <t>Record IDs</t>
  </si>
  <si>
    <t>CL-0001, PET-0001, BK-0001 ...</t>
  </si>
  <si>
    <t>Built from the row number, so they stay unique. Filter the list instead of re-sorting it and the IDs keep lining up with your other tabs.</t>
  </si>
  <si>
    <t>Booking price</t>
  </si>
  <si>
    <t>rate x quantity (or hours) + extras - discount</t>
  </si>
  <si>
    <t>Looks the service up on the Services tab, then applies the extra pet fee, weekend and holiday surcharges, travel fee and last-minute fee from the Settings tab.</t>
  </si>
  <si>
    <t>MAX(0, distance - free distance) x travel rate</t>
  </si>
  <si>
    <t>Only charges for the distance beyond the free radius.</t>
  </si>
  <si>
    <t>subtotal x tax rate (or extracted when prices include tax)</t>
  </si>
  <si>
    <t>Controlled by 'Tax registered' and 'Prices include tax' on the Settings tab.</t>
  </si>
  <si>
    <t>total - payments applied</t>
  </si>
  <si>
    <t>Payments apply as amount minus refund. Tips and late fees are counted as income but not against the invoice.</t>
  </si>
  <si>
    <t>today - due date</t>
  </si>
  <si>
    <t>Paid, Not due, Current, 1-30, 31-60, 61-90 and 90+ days.</t>
  </si>
  <si>
    <t>Double booking check</t>
  </si>
  <si>
    <t>SUMPRODUCT over same carer, same date, overlapping times</t>
  </si>
  <si>
    <t>Shows 'Conflict' when two jobs overlap for one person.</t>
  </si>
  <si>
    <t>Client revenue</t>
  </si>
  <si>
    <t>SUMIFS of payments received for that client</t>
  </si>
  <si>
    <t>Lifetime revenue, invoiced and outstanding all follow the client name, so keep names consistent.</t>
  </si>
  <si>
    <t>PeriodStart / PeriodEnd from the year and month pickers</t>
  </si>
  <si>
    <t>Choose 'All year' for a full year view. Every tile and the service, expense and client tables follow the picker.</t>
  </si>
  <si>
    <t>business distance x mileage rate</t>
  </si>
  <si>
    <t>Personal trips are excluded from the claim and the dashboard.</t>
  </si>
  <si>
    <t>Break-even</t>
  </si>
  <si>
    <t>fixed costs / gross margin</t>
  </si>
  <si>
    <t>Gross margin comes from your service rates and staff cost per service on the Services tab.</t>
  </si>
  <si>
    <t>Troubleshooting</t>
  </si>
  <si>
    <t>Problem</t>
  </si>
  <si>
    <t>Fix</t>
  </si>
  <si>
    <t>A cell shows #N/A or a blank where I expected a number</t>
  </si>
  <si>
    <t>The name in that row does not match a record. Re-pick the client, pet or service from the drop down rather than typing it.</t>
  </si>
  <si>
    <t>I cannot type in a cell</t>
  </si>
  <si>
    <t>It is a formula cell. Review &gt; Unprotect Sheet, enter the password, make the change, then protect the sheet again.</t>
  </si>
  <si>
    <t>My new rows have no formulas</t>
  </si>
  <si>
    <t>You typed below the prepared grid. Copy the last prepared row down as far as you need.</t>
  </si>
  <si>
    <t>The totals look wrong</t>
  </si>
  <si>
    <t>Check the Dashboard year and month pickers, and the From / To dates on the Reports tab - every figure obeys them.</t>
  </si>
  <si>
    <t>Dates look like numbers</t>
  </si>
  <si>
    <t>Format the cells as a date (Home &gt; Number format &gt; Short date). This can happen after importing or exporting.</t>
  </si>
  <si>
    <t>Nothing recalculates</t>
  </si>
  <si>
    <t>Press F9, or set Formulas &gt; Calculation Options &gt; Automatic.</t>
  </si>
  <si>
    <t>A drop down is missing an option</t>
  </si>
  <si>
    <t>Add it to the matching column on the Lists tab - the drop downs grow automatically.</t>
  </si>
  <si>
    <t>I want a different currency</t>
  </si>
  <si>
    <t>Change the currency symbol on the Settings tab, then select the money columns and apply your own number format if you want the symbol to change on screen too.</t>
  </si>
  <si>
    <t>The file opens in Google Sheets with warnings</t>
  </si>
  <si>
    <t>Upload to Google Drive and open with Google Sheets. Sheet protection becomes a warning rather than a password, and sparklines are redrawn by Sheets - all formulas work.</t>
  </si>
  <si>
    <t>Protection &amp; passwords</t>
  </si>
  <si>
    <t>Sheet password</t>
  </si>
  <si>
    <t>premium</t>
  </si>
  <si>
    <t>To edit a formula</t>
  </si>
  <si>
    <t>Review &gt; Unprotect Sheet &gt; enter the password &gt; make your change &gt; Review &gt; Protect Sheet (tick the same boxes) to lock it again.</t>
  </si>
  <si>
    <t>What is locked</t>
  </si>
  <si>
    <t>Only the grey formula cells, plus the headings and layout. Every cream cell stays editable while the sheet is protected.</t>
  </si>
  <si>
    <t>Rows and columns</t>
  </si>
  <si>
    <t>You can insert and delete rows and sort with the filter buttons. Inserting columns is blocked because the formulas point at specific columns.</t>
  </si>
  <si>
    <t>Looking after client data</t>
  </si>
  <si>
    <t>This workbook holds personal information about your clients: names, addresses, phone numbers and door codes. Treat it like a key safe.</t>
  </si>
  <si>
    <t>Keep the file on an encrypted drive or in a password protected cloud folder, and use a file open password (File &gt; Info &gt; Protect Workbook) if the device is shared.</t>
  </si>
  <si>
    <t>Only record what you need, and delete alarm codes and key details once a client leaves.</t>
  </si>
  <si>
    <t>Back up weekly - keep one copy off the machine you work on.</t>
  </si>
  <si>
    <t>If a client asks for their data or asks to be deleted, you can filter the register by their name and export or remove those rows.</t>
  </si>
  <si>
    <t>Compatibility</t>
  </si>
  <si>
    <t>Microsoft Excel</t>
  </si>
  <si>
    <t>2010, 2013, 2016, 2019, 2021 and Microsoft 365 - Windows and Mac. Everything works.</t>
  </si>
  <si>
    <t>Google Sheets</t>
  </si>
  <si>
    <t>Upload and open with Google Sheets. Formulas, drop downs and conditional formatting carry over; sheet protection becomes a Google Sheets warning.</t>
  </si>
  <si>
    <t>Apple Numbers / LibreOffice</t>
  </si>
  <si>
    <t>Formulas and layout open fine. Some conditional formats and sparklines may look different.</t>
  </si>
  <si>
    <t>Mobile</t>
  </si>
  <si>
    <t>Read and light editing work well in the Excel and Google Sheets apps. Do the data entry on a computer where you can see the whole grid.</t>
  </si>
  <si>
    <t>Version history</t>
  </si>
  <si>
    <t>Version</t>
  </si>
  <si>
    <t>What changed</t>
  </si>
  <si>
    <t>1.0</t>
  </si>
  <si>
    <t>First release: 27 tabs, 13 registers, dashboard, reports, budget, reminders and printable forms.</t>
  </si>
  <si>
    <t>Pet Sitting &amp; Dog Walking Business Spreadsheet - (c) Novality Store. Licensed for personal use and for a single business. Please do not resell or redistribute the file.</t>
  </si>
  <si>
    <t>Calculation engine (do not edit)</t>
  </si>
  <si>
    <t>Helper tables for the dashboard and reports. This tab is hidden by default - unhide it only if you want to audit the maths.</t>
  </si>
  <si>
    <t>Every cell on this tab is a locked formula.</t>
  </si>
  <si>
    <t>Revenue (dashboard period)</t>
  </si>
  <si>
    <t>Rank key (period)</t>
  </si>
  <si>
    <t>Revenue (report range)</t>
  </si>
  <si>
    <t>Rank key (range)</t>
  </si>
  <si>
    <t>Outstanding key</t>
  </si>
  <si>
    <t>Bookings (range)</t>
  </si>
  <si>
    <t>Service revenue (period)</t>
  </si>
  <si>
    <t>Service bookings (period)</t>
  </si>
  <si>
    <t>Service revenue (range)</t>
  </si>
  <si>
    <t>Service bookings (range)</t>
  </si>
  <si>
    <t>Service cost (range)</t>
  </si>
  <si>
    <t>Service profit (range)</t>
  </si>
  <si>
    <t>Spend (period)</t>
  </si>
  <si>
    <t>Spend (range)</t>
  </si>
  <si>
    <t>Month start</t>
  </si>
  <si>
    <t>Month end</t>
  </si>
  <si>
    <t>Revenue last year</t>
  </si>
  <si>
    <t>Visits (range)</t>
  </si>
  <si>
    <t>Hours (range)</t>
  </si>
  <si>
    <t>Revenue (range)</t>
  </si>
  <si>
    <t>Distance (range)</t>
  </si>
  <si>
    <t>Cancellations (range)</t>
  </si>
  <si>
    <t>Collected (range)</t>
  </si>
  <si>
    <t>Clients from source</t>
  </si>
  <si>
    <t>Revenue from source</t>
  </si>
</sst>
</file>

<file path=xl/styles.xml><?xml version="1.0" encoding="utf-8"?>
<styleSheet xmlns="http://schemas.openxmlformats.org/spreadsheetml/2006/main">
  <numFmts count="8">
    <numFmt numFmtId="164" formatCode="0%"/>
    <numFmt numFmtId="165" formatCode="#,##0"/>
    <numFmt numFmtId="166" formatCode="dd-mmm-yyyy"/>
    <numFmt numFmtId="167" formatCode="&quot;$&quot;#,##0.00;[Red]-&quot;$&quot;#,##0.00"/>
    <numFmt numFmtId="168" formatCode="0.0%"/>
    <numFmt numFmtId="165" formatCode="#,##0"/>
    <numFmt numFmtId="169" formatCode="#,##0.00"/>
    <numFmt numFmtId="167" formatCode="&quot;$&quot;#,##0.00;[Red]-&quot;$&quot;#,##0.00"/>
    <numFmt numFmtId="168" formatCode="0.0%"/>
    <numFmt numFmtId="165" formatCode="#,##0"/>
    <numFmt numFmtId="170" formatCode="#,##0.0"/>
    <numFmt numFmtId="167" formatCode="&quot;$&quot;#,##0.00;[Red]-&quot;$&quot;#,##0.00"/>
    <numFmt numFmtId="168" formatCode="0.0%"/>
    <numFmt numFmtId="165" formatCode="#,##0"/>
    <numFmt numFmtId="170" formatCode="#,##0.0"/>
    <numFmt numFmtId="166" formatCode="dd-mmm-yyyy"/>
    <numFmt numFmtId="168" formatCode="0.0%"/>
    <numFmt numFmtId="167" formatCode="&quot;$&quot;#,##0.00;[Red]-&quot;$&quot;#,##0.00"/>
    <numFmt numFmtId="170" formatCode="#,##0.0"/>
    <numFmt numFmtId="171" formatCode="h:mm AM/PM"/>
    <numFmt numFmtId="169" formatCode="#,##0.00"/>
    <numFmt numFmtId="169" formatCode="#,##0.00"/>
    <numFmt numFmtId="171" formatCode="h:mm AM/PM"/>
    <numFmt numFmtId="166" formatCode="dd-mmm-yyyy"/>
    <numFmt numFmtId="167" formatCode="&quot;$&quot;#,##0.00;[Red]-&quot;$&quot;#,##0.00"/>
  </numFmts>
  <fonts count="23">
    <font>
      <sz val="11"/>
      <color theme="1"/>
      <name val="Calibri"/>
      <family val="2"/>
      <scheme val="minor"/>
    </font>
    <font>
      <sz val="8"/>
      <color indexed="81"/>
      <name val="Tahoma"/>
      <family val="2"/>
    </font>
    <font>
      <b/>
      <sz val="18"/>
      <color rgb="FFFFFFFF"/>
      <name val="Calibri"/>
      <family val="2"/>
      <scheme val="minor"/>
    </font>
    <font>
      <b/>
      <sz val="10"/>
      <color rgb="FFFFFFFF"/>
      <name val="Calibri"/>
      <family val="2"/>
      <scheme val="minor"/>
    </font>
    <font>
      <i/>
      <sz val="10"/>
      <color rgb="FF5A6B72"/>
      <name val="Calibri"/>
      <family val="2"/>
      <scheme val="minor"/>
    </font>
    <font>
      <sz val="9"/>
      <color rgb="FF17313B"/>
      <name val="Calibri"/>
      <family val="2"/>
      <scheme val="minor"/>
    </font>
    <font>
      <b/>
      <sz val="11"/>
      <color rgb="FFFFFFFF"/>
      <name val="Calibri"/>
      <family val="2"/>
      <scheme val="minor"/>
    </font>
    <font>
      <sz val="10"/>
      <color rgb="FF17313B"/>
      <name val="Calibri"/>
      <family val="2"/>
      <scheme val="minor"/>
    </font>
    <font>
      <b/>
      <sz val="9"/>
      <color rgb="FFFFFFFF"/>
      <name val="Calibri"/>
      <family val="2"/>
      <scheme val="minor"/>
    </font>
    <font>
      <b/>
      <u/>
      <sz val="9"/>
      <color rgb="FF1F4E79"/>
      <name val="Calibri"/>
      <family val="2"/>
      <scheme val="minor"/>
    </font>
    <font>
      <i/>
      <sz val="9"/>
      <color rgb="FF5A6B72"/>
      <name val="Calibri"/>
      <family val="2"/>
      <scheme val="minor"/>
    </font>
    <font>
      <sz val="10"/>
      <color theme="1"/>
      <name val="Calibri"/>
      <family val="2"/>
      <scheme val="minor"/>
    </font>
    <font>
      <sz val="9"/>
      <color theme="1"/>
      <name val="Calibri"/>
      <family val="2"/>
      <scheme val="minor"/>
    </font>
    <font>
      <b/>
      <sz val="10"/>
      <color rgb="FF17313B"/>
      <name val="Calibri"/>
      <family val="2"/>
      <scheme val="minor"/>
    </font>
    <font>
      <b/>
      <sz val="16"/>
      <color rgb="FF17313B"/>
      <name val="Calibri"/>
      <family val="2"/>
      <scheme val="minor"/>
    </font>
    <font>
      <i/>
      <sz val="8"/>
      <color rgb="FF5A6B72"/>
      <name val="Calibri"/>
      <family val="2"/>
      <scheme val="minor"/>
    </font>
    <font>
      <b/>
      <sz val="10"/>
      <color rgb="FF1F4E5F"/>
      <name val="Calibri"/>
      <family val="2"/>
      <scheme val="minor"/>
    </font>
    <font>
      <sz val="9"/>
      <color rgb="FF5A6B72"/>
      <name val="Calibri"/>
      <family val="2"/>
      <scheme val="minor"/>
    </font>
    <font>
      <b/>
      <sz val="10"/>
      <color theme="1"/>
      <name val="Calibri"/>
      <family val="2"/>
      <scheme val="minor"/>
    </font>
    <font>
      <b/>
      <sz val="11"/>
      <color theme="1"/>
      <name val="Calibri"/>
      <family val="2"/>
      <scheme val="minor"/>
    </font>
    <font>
      <b/>
      <sz val="16"/>
      <color rgb="FF1F4E5F"/>
      <name val="Calibri"/>
      <family val="2"/>
      <scheme val="minor"/>
    </font>
    <font>
      <b/>
      <sz val="22"/>
      <color rgb="FFE2A33C"/>
      <name val="Calibri"/>
      <family val="2"/>
      <scheme val="minor"/>
    </font>
    <font>
      <b/>
      <sz val="12"/>
      <color rgb="FFFFFFFF"/>
      <name val="Calibri"/>
      <family val="2"/>
      <scheme val="minor"/>
    </font>
  </fonts>
  <fills count="11">
    <fill>
      <patternFill patternType="none"/>
    </fill>
    <fill>
      <patternFill patternType="gray125"/>
    </fill>
    <fill>
      <patternFill patternType="solid">
        <fgColor rgb="FF1F4E5F"/>
        <bgColor indexed="64"/>
      </patternFill>
    </fill>
    <fill>
      <patternFill patternType="solid">
        <fgColor rgb="FFF7F9FA"/>
        <bgColor indexed="64"/>
      </patternFill>
    </fill>
    <fill>
      <patternFill patternType="solid">
        <fgColor rgb="FFFDF3E0"/>
        <bgColor indexed="64"/>
      </patternFill>
    </fill>
    <fill>
      <patternFill patternType="solid">
        <fgColor rgb="FF2E7D8F"/>
        <bgColor indexed="64"/>
      </patternFill>
    </fill>
    <fill>
      <patternFill patternType="solid">
        <fgColor rgb="FFFFFDF4"/>
        <bgColor indexed="64"/>
      </patternFill>
    </fill>
    <fill>
      <patternFill patternType="solid">
        <fgColor rgb="FFEEF3F6"/>
        <bgColor indexed="64"/>
      </patternFill>
    </fill>
    <fill>
      <patternFill patternType="solid">
        <fgColor rgb="FFFBD9DD"/>
        <bgColor indexed="64"/>
      </patternFill>
    </fill>
    <fill>
      <patternFill patternType="solid">
        <fgColor rgb="FFFFFFFF"/>
        <bgColor indexed="64"/>
      </patternFill>
    </fill>
    <fill>
      <patternFill patternType="solid">
        <fgColor rgb="FFDCEAEE"/>
        <bgColor indexed="64"/>
      </patternFill>
    </fill>
  </fills>
  <borders count="9">
    <border>
      <left/>
      <right/>
      <top/>
      <bottom/>
      <diagonal/>
    </border>
    <border>
      <left style="thin">
        <color rgb="FFE2A33C"/>
      </left>
      <right style="thin">
        <color rgb="FFE2A33C"/>
      </right>
      <top style="thin">
        <color rgb="FFE2A33C"/>
      </top>
      <bottom style="thin">
        <color rgb="FFE2A33C"/>
      </bottom>
      <diagonal/>
    </border>
    <border>
      <left style="thin">
        <color rgb="FF1F4E5F"/>
      </left>
      <right style="thin">
        <color rgb="FF1F4E5F"/>
      </right>
      <top style="thin">
        <color rgb="FF1F4E5F"/>
      </top>
      <bottom style="thin">
        <color rgb="FF1F4E5F"/>
      </bottom>
      <diagonal/>
    </border>
    <border>
      <left style="thin">
        <color rgb="FFE4D8B4"/>
      </left>
      <right style="thin">
        <color rgb="FFE4D8B4"/>
      </right>
      <top style="thin">
        <color rgb="FFE4D8B4"/>
      </top>
      <bottom style="thin">
        <color rgb="FFE4D8B4"/>
      </bottom>
      <diagonal/>
    </border>
    <border>
      <left style="thin">
        <color rgb="FFD2DCE2"/>
      </left>
      <right style="thin">
        <color rgb="FFD2DCE2"/>
      </right>
      <top style="thin">
        <color rgb="FFD2DCE2"/>
      </top>
      <bottom style="thin">
        <color rgb="FFD2DCE2"/>
      </bottom>
      <diagonal/>
    </border>
    <border>
      <left style="thin">
        <color rgb="FFBFCCD2"/>
      </left>
      <right style="thin">
        <color rgb="FFBFCCD2"/>
      </right>
      <top style="thin">
        <color rgb="FFBFCCD2"/>
      </top>
      <bottom style="thin">
        <color rgb="FFBFCCD2"/>
      </bottom>
      <diagonal/>
    </border>
    <border>
      <left/>
      <right/>
      <top/>
      <bottom style="thin">
        <color rgb="FF17313B"/>
      </bottom>
      <diagonal/>
    </border>
    <border>
      <left/>
      <right/>
      <top/>
      <bottom style="thin">
        <color rgb="FFBFCCD2"/>
      </bottom>
      <diagonal/>
    </border>
    <border>
      <left style="thin">
        <color rgb="FF17313B"/>
      </left>
      <right style="thin">
        <color rgb="FF17313B"/>
      </right>
      <top style="thin">
        <color rgb="FF17313B"/>
      </top>
      <bottom style="thin">
        <color rgb="FF17313B"/>
      </bottom>
      <diagonal/>
    </border>
  </borders>
  <cellStyleXfs count="1">
    <xf numFmtId="0" fontId="0" fillId="0" borderId="0"/>
  </cellStyleXfs>
  <cellXfs count="65">
    <xf numFmtId="0" fontId="0" fillId="0" borderId="0" xfId="0"/>
    <xf numFmtId="0" fontId="1" fillId="0" borderId="0" xfId="0" applyFont="1"/>
    <xf numFmtId="0" fontId="2" fillId="2" borderId="0" xfId="0" applyFont="1" applyFill="1" applyAlignment="1">
      <alignment horizontal="left" vertical="center" indent="1"/>
    </xf>
    <xf numFmtId="0" fontId="3" fillId="2" borderId="0" xfId="0" applyFont="1" applyFill="1" applyAlignment="1">
      <alignment horizontal="right" vertical="center" indent="1"/>
    </xf>
    <xf numFmtId="0" fontId="4" fillId="3" borderId="0" xfId="0" applyFont="1" applyFill="1" applyAlignment="1">
      <alignment horizontal="left" vertical="center" indent="1"/>
    </xf>
    <xf numFmtId="0" fontId="5" fillId="4" borderId="1" xfId="0" applyFont="1" applyFill="1" applyBorder="1" applyAlignment="1">
      <alignment horizontal="left" vertical="top" indent="1" wrapText="1"/>
    </xf>
    <xf numFmtId="0" fontId="6" fillId="5" borderId="0" xfId="0" applyFont="1" applyFill="1" applyAlignment="1">
      <alignment horizontal="left" vertical="center" indent="1"/>
    </xf>
    <xf numFmtId="0" fontId="7" fillId="0" borderId="0" xfId="0" applyFont="1" applyAlignment="1">
      <alignment horizontal="left" vertical="center" indent="1"/>
    </xf>
    <xf numFmtId="0" fontId="8" fillId="2" borderId="2" xfId="0" applyFont="1" applyFill="1" applyBorder="1" applyAlignment="1">
      <alignment horizontal="left" vertical="center" indent="1" wrapText="1"/>
    </xf>
    <xf numFmtId="0" fontId="8" fillId="2" borderId="2" xfId="0" applyFont="1" applyFill="1" applyBorder="1" applyAlignment="1">
      <alignment horizontal="center" vertical="center" wrapText="1"/>
    </xf>
    <xf numFmtId="0" fontId="9" fillId="3" borderId="0" xfId="0" applyFont="1" applyFill="1" applyAlignment="1">
      <alignment horizontal="left" vertical="center" indent="1"/>
    </xf>
    <xf numFmtId="0" fontId="10" fillId="0" borderId="0" xfId="0" applyFont="1" applyAlignment="1">
      <alignment horizontal="left" vertical="top" wrapText="1"/>
    </xf>
    <xf numFmtId="0" fontId="11" fillId="6" borderId="3" xfId="0" applyFont="1" applyFill="1" applyBorder="1" applyAlignment="1" applyProtection="1">
      <alignment horizontal="center" vertical="center"/>
      <protection locked="0"/>
    </xf>
    <xf numFmtId="0" fontId="3" fillId="2" borderId="0" xfId="0" applyFont="1" applyFill="1" applyAlignment="1">
      <alignment horizontal="left" vertical="center" indent="1"/>
    </xf>
    <xf numFmtId="164" fontId="3" fillId="2" borderId="0" xfId="0" applyNumberFormat="1" applyFont="1" applyFill="1" applyAlignment="1">
      <alignment horizontal="right" vertical="center"/>
    </xf>
    <xf numFmtId="0" fontId="12" fillId="6" borderId="3" xfId="0" applyFont="1" applyFill="1" applyBorder="1" applyAlignment="1">
      <alignment horizontal="center" vertical="center"/>
    </xf>
    <xf numFmtId="0" fontId="12" fillId="7" borderId="4" xfId="0" applyFont="1" applyFill="1" applyBorder="1" applyAlignment="1">
      <alignment horizontal="center" vertical="center"/>
    </xf>
    <xf numFmtId="0" fontId="12" fillId="8" borderId="4" xfId="0" applyFont="1" applyFill="1" applyBorder="1" applyAlignment="1">
      <alignment horizontal="center" vertical="center"/>
    </xf>
    <xf numFmtId="0" fontId="13" fillId="0" borderId="0" xfId="0" applyFont="1" applyAlignment="1">
      <alignment horizontal="left" vertical="center" indent="1"/>
    </xf>
    <xf numFmtId="165" fontId="11" fillId="6" borderId="3" xfId="0" applyNumberFormat="1" applyFont="1" applyFill="1" applyBorder="1" applyAlignment="1" applyProtection="1">
      <alignment horizontal="right" vertical="center"/>
      <protection locked="0"/>
    </xf>
    <xf numFmtId="0" fontId="11" fillId="6" borderId="3" xfId="0" applyFont="1" applyFill="1" applyBorder="1" applyAlignment="1" applyProtection="1">
      <alignment horizontal="left" vertical="center"/>
      <protection locked="0"/>
    </xf>
    <xf numFmtId="166" fontId="7" fillId="7" borderId="4" xfId="0" applyNumberFormat="1" applyFont="1" applyFill="1" applyBorder="1" applyAlignment="1">
      <alignment horizontal="center" vertical="center"/>
    </xf>
    <xf numFmtId="0" fontId="8" fillId="5" borderId="0" xfId="0" applyFont="1" applyFill="1" applyAlignment="1">
      <alignment horizontal="left" vertical="center" indent="1"/>
    </xf>
    <xf numFmtId="167" fontId="14" fillId="9" borderId="5" xfId="0" applyNumberFormat="1" applyFont="1" applyFill="1" applyBorder="1" applyAlignment="1">
      <alignment horizontal="center" vertical="center"/>
    </xf>
    <xf numFmtId="0" fontId="15" fillId="9" borderId="5" xfId="0" applyFont="1" applyFill="1" applyBorder="1" applyAlignment="1">
      <alignment horizontal="center" vertical="center"/>
    </xf>
    <xf numFmtId="168" fontId="14" fillId="9" borderId="5" xfId="0" applyNumberFormat="1" applyFont="1" applyFill="1" applyBorder="1" applyAlignment="1">
      <alignment horizontal="center" vertical="center"/>
    </xf>
    <xf numFmtId="165" fontId="14" fillId="9" borderId="5" xfId="0" applyNumberFormat="1" applyFont="1" applyFill="1" applyBorder="1" applyAlignment="1">
      <alignment horizontal="center" vertical="center"/>
    </xf>
    <xf numFmtId="169" fontId="14" fillId="9" borderId="5" xfId="0" applyNumberFormat="1" applyFont="1" applyFill="1" applyBorder="1" applyAlignment="1">
      <alignment horizontal="center" vertical="center"/>
    </xf>
    <xf numFmtId="0" fontId="7" fillId="7" borderId="4" xfId="0" applyFont="1" applyFill="1" applyBorder="1" applyAlignment="1">
      <alignment horizontal="left" vertical="center"/>
    </xf>
    <xf numFmtId="167" fontId="7" fillId="7" borderId="4" xfId="0" applyNumberFormat="1" applyFont="1" applyFill="1" applyBorder="1" applyAlignment="1">
      <alignment horizontal="right" vertical="center"/>
    </xf>
    <xf numFmtId="168" fontId="7" fillId="7" borderId="4" xfId="0" applyNumberFormat="1" applyFont="1" applyFill="1" applyBorder="1" applyAlignment="1">
      <alignment horizontal="center" vertical="center"/>
    </xf>
    <xf numFmtId="165" fontId="7" fillId="7" borderId="4" xfId="0" applyNumberFormat="1" applyFont="1" applyFill="1" applyBorder="1" applyAlignment="1">
      <alignment horizontal="right" vertical="center"/>
    </xf>
    <xf numFmtId="170" fontId="7" fillId="7" borderId="4" xfId="0" applyNumberFormat="1" applyFont="1" applyFill="1" applyBorder="1" applyAlignment="1">
      <alignment horizontal="right" vertical="center"/>
    </xf>
    <xf numFmtId="167" fontId="3" fillId="2" borderId="0" xfId="0" applyNumberFormat="1" applyFont="1" applyFill="1" applyAlignment="1">
      <alignment horizontal="right" vertical="center"/>
    </xf>
    <xf numFmtId="168" fontId="3" fillId="2" borderId="0" xfId="0" applyNumberFormat="1" applyFont="1" applyFill="1" applyAlignment="1">
      <alignment horizontal="right" vertical="center"/>
    </xf>
    <xf numFmtId="165" fontId="3" fillId="2" borderId="0" xfId="0" applyNumberFormat="1" applyFont="1" applyFill="1" applyAlignment="1">
      <alignment horizontal="right" vertical="center"/>
    </xf>
    <xf numFmtId="170" fontId="3" fillId="2" borderId="0" xfId="0" applyNumberFormat="1" applyFont="1" applyFill="1" applyAlignment="1">
      <alignment horizontal="right" vertical="center"/>
    </xf>
    <xf numFmtId="0" fontId="16" fillId="10" borderId="0" xfId="0" applyFont="1" applyFill="1" applyAlignment="1">
      <alignment horizontal="left" vertical="center" indent="1"/>
    </xf>
    <xf numFmtId="0" fontId="17" fillId="3" borderId="0" xfId="0" applyFont="1" applyFill="1" applyAlignment="1">
      <alignment horizontal="left" vertical="center"/>
    </xf>
    <xf numFmtId="166" fontId="11" fillId="6" borderId="3" xfId="0" applyNumberFormat="1" applyFont="1" applyFill="1" applyBorder="1" applyAlignment="1" applyProtection="1">
      <alignment horizontal="center" vertical="center"/>
      <protection locked="0"/>
    </xf>
    <xf numFmtId="0" fontId="11" fillId="0" borderId="0" xfId="0" applyFont="1" applyAlignment="1">
      <alignment horizontal="left" vertical="center"/>
    </xf>
    <xf numFmtId="168" fontId="11" fillId="6" borderId="3" xfId="0" applyNumberFormat="1" applyFont="1" applyFill="1" applyBorder="1" applyAlignment="1" applyProtection="1">
      <alignment horizontal="center" vertical="center"/>
      <protection locked="0"/>
    </xf>
    <xf numFmtId="167" fontId="11" fillId="6" borderId="3" xfId="0" applyNumberFormat="1" applyFont="1" applyFill="1" applyBorder="1" applyAlignment="1" applyProtection="1">
      <alignment horizontal="right" vertical="center"/>
      <protection locked="0"/>
    </xf>
    <xf numFmtId="170" fontId="11" fillId="6" borderId="3" xfId="0" applyNumberFormat="1" applyFont="1" applyFill="1" applyBorder="1" applyAlignment="1" applyProtection="1">
      <alignment horizontal="right" vertical="center"/>
      <protection locked="0"/>
    </xf>
    <xf numFmtId="171" fontId="11" fillId="6" borderId="3" xfId="0" applyNumberFormat="1" applyFont="1" applyFill="1" applyBorder="1" applyAlignment="1" applyProtection="1">
      <alignment horizontal="center" vertical="center"/>
      <protection locked="0"/>
    </xf>
    <xf numFmtId="0" fontId="10" fillId="3" borderId="0" xfId="0" applyFont="1" applyFill="1" applyAlignment="1">
      <alignment horizontal="left" vertical="top" wrapText="1"/>
    </xf>
    <xf numFmtId="0" fontId="16" fillId="7" borderId="4" xfId="0" applyFont="1" applyFill="1" applyBorder="1" applyAlignment="1">
      <alignment horizontal="left" vertical="center"/>
    </xf>
    <xf numFmtId="0" fontId="11" fillId="6" borderId="3" xfId="0" applyFont="1" applyFill="1" applyBorder="1" applyAlignment="1" applyProtection="1">
      <alignment horizontal="left" vertical="top" wrapText="1"/>
      <protection locked="0"/>
    </xf>
    <xf numFmtId="0" fontId="18" fillId="6" borderId="3" xfId="0" applyFont="1" applyFill="1" applyBorder="1" applyAlignment="1" applyProtection="1">
      <alignment horizontal="center" vertical="center"/>
      <protection locked="0"/>
    </xf>
    <xf numFmtId="0" fontId="13" fillId="7" borderId="4" xfId="0" applyFont="1" applyFill="1" applyBorder="1" applyAlignment="1">
      <alignment horizontal="center" vertical="center"/>
    </xf>
    <xf numFmtId="0" fontId="7" fillId="7" borderId="4" xfId="0" applyFont="1" applyFill="1" applyBorder="1" applyAlignment="1">
      <alignment horizontal="center" vertical="center"/>
    </xf>
    <xf numFmtId="169" fontId="7" fillId="7" borderId="4" xfId="0" applyNumberFormat="1" applyFont="1" applyFill="1" applyBorder="1" applyAlignment="1">
      <alignment horizontal="right" vertical="center"/>
    </xf>
    <xf numFmtId="169" fontId="11" fillId="6" borderId="3" xfId="0" applyNumberFormat="1" applyFont="1" applyFill="1" applyBorder="1" applyAlignment="1" applyProtection="1">
      <alignment horizontal="right" vertical="center"/>
      <protection locked="0"/>
    </xf>
    <xf numFmtId="171" fontId="7" fillId="7" borderId="4" xfId="0" applyNumberFormat="1" applyFont="1" applyFill="1" applyBorder="1" applyAlignment="1">
      <alignment horizontal="center" vertical="center"/>
    </xf>
    <xf numFmtId="0" fontId="19" fillId="6" borderId="3" xfId="0" applyFont="1" applyFill="1" applyBorder="1" applyAlignment="1" applyProtection="1">
      <alignment horizontal="left" vertical="center"/>
      <protection locked="0"/>
    </xf>
    <xf numFmtId="0" fontId="20" fillId="0" borderId="0" xfId="0" applyFont="1" applyAlignment="1">
      <alignment horizontal="left" vertical="center"/>
    </xf>
    <xf numFmtId="0" fontId="21" fillId="0" borderId="0" xfId="0" applyFont="1" applyAlignment="1">
      <alignment horizontal="right" vertical="center"/>
    </xf>
    <xf numFmtId="0" fontId="4" fillId="0" borderId="0" xfId="0" applyFont="1" applyAlignment="1">
      <alignment horizontal="left" vertical="center"/>
    </xf>
    <xf numFmtId="0" fontId="7" fillId="7" borderId="4" xfId="0" applyFont="1" applyFill="1" applyBorder="1" applyAlignment="1">
      <alignment horizontal="right" vertical="center"/>
    </xf>
    <xf numFmtId="166" fontId="7" fillId="7" borderId="4" xfId="0" applyNumberFormat="1" applyFont="1" applyFill="1" applyBorder="1" applyAlignment="1">
      <alignment horizontal="right" vertical="center"/>
    </xf>
    <xf numFmtId="0" fontId="7" fillId="7" borderId="4" xfId="0" applyFont="1" applyFill="1" applyBorder="1" applyAlignment="1">
      <alignment horizontal="left" vertical="top" wrapText="1"/>
    </xf>
    <xf numFmtId="167" fontId="22" fillId="2" borderId="0" xfId="0" applyNumberFormat="1" applyFont="1" applyFill="1" applyAlignment="1">
      <alignment horizontal="right" vertical="center"/>
    </xf>
    <xf numFmtId="0" fontId="11" fillId="0" borderId="6" xfId="0" applyFont="1" applyBorder="1" applyAlignment="1" applyProtection="1">
      <alignment horizontal="left" vertical="center"/>
      <protection locked="0"/>
    </xf>
    <xf numFmtId="0" fontId="16" fillId="0" borderId="7" xfId="0" applyFont="1" applyBorder="1" applyAlignment="1">
      <alignment horizontal="left" vertical="center" indent="1"/>
    </xf>
    <xf numFmtId="0" fontId="11" fillId="0" borderId="8" xfId="0" applyFont="1" applyBorder="1" applyAlignment="1" applyProtection="1">
      <alignment horizontal="left" vertical="top" wrapText="1"/>
      <protection locked="0"/>
    </xf>
  </cellXfs>
  <cellStyles count="1">
    <cellStyle name="Normal" xfId="0" builtinId="0"/>
  </cellStyles>
  <dxfs count="6">
    <dxf>
      <font>
        <color rgb="FF116241"/>
      </font>
      <fill>
        <patternFill>
          <bgColor rgb="FFD7F2E3"/>
        </patternFill>
      </fill>
    </dxf>
    <dxf>
      <font>
        <color rgb="FF9C1C2E"/>
      </font>
      <fill>
        <patternFill>
          <bgColor rgb="FFFBD9DD"/>
        </patternFill>
      </fill>
    </dxf>
    <dxf>
      <font>
        <color rgb="FF8A5A00"/>
      </font>
      <fill>
        <patternFill>
          <bgColor rgb="FFFFF0CC"/>
        </patternFill>
      </fill>
    </dxf>
    <dxf>
      <font>
        <color rgb="FF1F4E79"/>
      </font>
      <fill>
        <patternFill>
          <bgColor rgb="FFDDEBF7"/>
        </patternFill>
      </fill>
    </dxf>
    <dxf>
      <font>
        <i/>
        <color rgb="FF5A6B72"/>
      </font>
    </dxf>
    <dxf>
      <font>
        <b/>
        <color rgb="FF9C1C2E"/>
      </font>
      <fill>
        <patternFill>
          <bgColor rgb="FFFBD9DD"/>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theme" Target="theme/theme1.xml"/><Relationship Id="rId29" Type="http://schemas.openxmlformats.org/officeDocument/2006/relationships/styles" Target="styles.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sheetPr>
    <tabColor rgb="FFE2A33C"/>
    <pageSetUpPr fitToPage="1"/>
  </sheetPr>
  <dimension ref="A1:J75"/>
  <sheetViews>
    <sheetView showGridLines="0" tabSelected="1" workbookViewId="0">
      <pane ySplit="3" topLeftCell="A4" activePane="bottomLeft" state="frozen"/>
      <selection pane="bottomLeft"/>
    </sheetView>
  </sheetViews>
  <sheetFormatPr defaultRowHeight="15"/>
  <cols>
    <col min="1" max="1" width="3.7109375" customWidth="1"/>
    <col min="2" max="2" width="22.7109375" customWidth="1"/>
    <col min="3" max="8" width="13.7109375" customWidth="1"/>
    <col min="9" max="10" width="14.7109375" customWidth="1"/>
  </cols>
  <sheetData>
    <row r="1" spans="1:10" ht="34" customHeight="1">
      <c r="A1" s="2" t="s">
        <v>0</v>
      </c>
      <c r="B1" s="2"/>
      <c r="C1" s="2"/>
      <c r="D1" s="2"/>
      <c r="E1" s="2"/>
      <c r="F1" s="2"/>
      <c r="G1" s="2"/>
      <c r="H1" s="3" t="s">
        <v>1</v>
      </c>
      <c r="I1" s="3"/>
      <c r="J1" s="3"/>
    </row>
    <row r="2" spans="1:10" ht="18" customHeight="1">
      <c r="A2" s="4" t="s">
        <v>2</v>
      </c>
      <c r="B2" s="4"/>
      <c r="C2" s="4"/>
      <c r="D2" s="4"/>
      <c r="E2" s="4"/>
      <c r="F2" s="4"/>
      <c r="G2" s="4"/>
      <c r="H2" s="4"/>
      <c r="I2" s="4"/>
      <c r="J2" s="4"/>
    </row>
    <row r="4" spans="1:10" ht="24" customHeight="1">
      <c r="A4" s="5">
        <f>"Welcome "&amp;Biz_Owner&amp;" - this workbook is set up for "&amp;Biz_Name&amp;". Cream cells are yours to type in, grey cells are locked formulas that do the maths for you."</f>
        <v>0</v>
      </c>
      <c r="B4" s="5"/>
      <c r="C4" s="5"/>
      <c r="D4" s="5"/>
      <c r="E4" s="5"/>
      <c r="F4" s="5"/>
      <c r="G4" s="5"/>
      <c r="H4" s="5"/>
      <c r="I4" s="5"/>
      <c r="J4" s="5"/>
    </row>
    <row r="6" spans="1:10" ht="20" customHeight="1">
      <c r="A6" s="6" t="s">
        <v>3</v>
      </c>
      <c r="B6" s="6"/>
      <c r="C6" s="6"/>
      <c r="D6" s="6"/>
      <c r="E6" s="6"/>
      <c r="F6" s="6"/>
      <c r="G6" s="6"/>
      <c r="H6" s="6"/>
      <c r="I6" s="6"/>
      <c r="J6" s="6"/>
    </row>
    <row r="7" spans="1:10" ht="16" customHeight="1">
      <c r="B7" s="7" t="s">
        <v>4</v>
      </c>
      <c r="C7" s="7"/>
      <c r="D7" s="7"/>
      <c r="E7" s="7"/>
      <c r="F7" s="7"/>
      <c r="G7" s="7"/>
      <c r="H7" s="7"/>
      <c r="I7" s="7"/>
      <c r="J7" s="7"/>
    </row>
    <row r="8" spans="1:10" ht="16" customHeight="1">
      <c r="B8" s="7" t="s">
        <v>5</v>
      </c>
      <c r="C8" s="7"/>
      <c r="D8" s="7"/>
      <c r="E8" s="7"/>
      <c r="F8" s="7"/>
      <c r="G8" s="7"/>
      <c r="H8" s="7"/>
      <c r="I8" s="7"/>
      <c r="J8" s="7"/>
    </row>
    <row r="9" spans="1:10" ht="16" customHeight="1">
      <c r="B9" s="7" t="s">
        <v>6</v>
      </c>
      <c r="C9" s="7"/>
      <c r="D9" s="7"/>
      <c r="E9" s="7"/>
      <c r="F9" s="7"/>
      <c r="G9" s="7"/>
      <c r="H9" s="7"/>
      <c r="I9" s="7"/>
      <c r="J9" s="7"/>
    </row>
    <row r="10" spans="1:10" ht="16" customHeight="1">
      <c r="B10" s="7" t="s">
        <v>7</v>
      </c>
      <c r="C10" s="7"/>
      <c r="D10" s="7"/>
      <c r="E10" s="7"/>
      <c r="F10" s="7"/>
      <c r="G10" s="7"/>
      <c r="H10" s="7"/>
      <c r="I10" s="7"/>
      <c r="J10" s="7"/>
    </row>
    <row r="11" spans="1:10" ht="16" customHeight="1">
      <c r="B11" s="7" t="s">
        <v>8</v>
      </c>
      <c r="C11" s="7"/>
      <c r="D11" s="7"/>
      <c r="E11" s="7"/>
      <c r="F11" s="7"/>
      <c r="G11" s="7"/>
      <c r="H11" s="7"/>
      <c r="I11" s="7"/>
      <c r="J11" s="7"/>
    </row>
    <row r="12" spans="1:10" ht="16" customHeight="1">
      <c r="B12" s="7" t="s">
        <v>9</v>
      </c>
      <c r="C12" s="7"/>
      <c r="D12" s="7"/>
      <c r="E12" s="7"/>
      <c r="F12" s="7"/>
      <c r="G12" s="7"/>
      <c r="H12" s="7"/>
      <c r="I12" s="7"/>
      <c r="J12" s="7"/>
    </row>
    <row r="13" spans="1:10" ht="16" customHeight="1">
      <c r="B13" s="7" t="s">
        <v>10</v>
      </c>
      <c r="C13" s="7"/>
      <c r="D13" s="7"/>
      <c r="E13" s="7"/>
      <c r="F13" s="7"/>
      <c r="G13" s="7"/>
      <c r="H13" s="7"/>
      <c r="I13" s="7"/>
      <c r="J13" s="7"/>
    </row>
    <row r="14" spans="1:10" ht="16" customHeight="1">
      <c r="B14" s="7" t="s">
        <v>11</v>
      </c>
      <c r="C14" s="7"/>
      <c r="D14" s="7"/>
      <c r="E14" s="7"/>
      <c r="F14" s="7"/>
      <c r="G14" s="7"/>
      <c r="H14" s="7"/>
      <c r="I14" s="7"/>
      <c r="J14" s="7"/>
    </row>
    <row r="15" spans="1:10" ht="16" customHeight="1">
      <c r="B15" s="7" t="s">
        <v>12</v>
      </c>
      <c r="C15" s="7"/>
      <c r="D15" s="7"/>
      <c r="E15" s="7"/>
      <c r="F15" s="7"/>
      <c r="G15" s="7"/>
      <c r="H15" s="7"/>
      <c r="I15" s="7"/>
      <c r="J15" s="7"/>
    </row>
    <row r="16" spans="1:10" ht="16" customHeight="1">
      <c r="B16" s="7" t="s">
        <v>13</v>
      </c>
      <c r="C16" s="7"/>
      <c r="D16" s="7"/>
      <c r="E16" s="7"/>
      <c r="F16" s="7"/>
      <c r="G16" s="7"/>
      <c r="H16" s="7"/>
      <c r="I16" s="7"/>
      <c r="J16" s="7"/>
    </row>
    <row r="18" spans="1:10" ht="20" customHeight="1">
      <c r="A18" s="6" t="s">
        <v>14</v>
      </c>
      <c r="B18" s="6"/>
      <c r="C18" s="6"/>
      <c r="D18" s="6"/>
      <c r="E18" s="6"/>
      <c r="F18" s="6"/>
      <c r="G18" s="6"/>
      <c r="H18" s="6"/>
      <c r="I18" s="6"/>
      <c r="J18" s="6"/>
    </row>
    <row r="19" spans="1:10" ht="20" customHeight="1">
      <c r="B19" s="8" t="s">
        <v>15</v>
      </c>
      <c r="C19" s="9" t="s">
        <v>16</v>
      </c>
      <c r="D19" s="9"/>
      <c r="E19" s="9"/>
      <c r="F19" s="9"/>
      <c r="G19" s="9"/>
      <c r="H19" s="9"/>
      <c r="I19" s="9"/>
      <c r="J19" s="9"/>
    </row>
    <row r="20" spans="1:10">
      <c r="B20" s="10" t="s">
        <v>17</v>
      </c>
      <c r="C20" s="11" t="s">
        <v>18</v>
      </c>
      <c r="D20" s="11"/>
      <c r="E20" s="11"/>
      <c r="F20" s="11"/>
      <c r="G20" s="11"/>
      <c r="H20" s="11"/>
      <c r="I20" s="11"/>
      <c r="J20" s="11"/>
    </row>
    <row r="21" spans="1:10">
      <c r="B21" s="10" t="s">
        <v>19</v>
      </c>
      <c r="C21" s="11" t="s">
        <v>20</v>
      </c>
      <c r="D21" s="11"/>
      <c r="E21" s="11"/>
      <c r="F21" s="11"/>
      <c r="G21" s="11"/>
      <c r="H21" s="11"/>
      <c r="I21" s="11"/>
      <c r="J21" s="11"/>
    </row>
    <row r="22" spans="1:10">
      <c r="B22" s="10" t="s">
        <v>21</v>
      </c>
      <c r="C22" s="11" t="s">
        <v>22</v>
      </c>
      <c r="D22" s="11"/>
      <c r="E22" s="11"/>
      <c r="F22" s="11"/>
      <c r="G22" s="11"/>
      <c r="H22" s="11"/>
      <c r="I22" s="11"/>
      <c r="J22" s="11"/>
    </row>
    <row r="23" spans="1:10">
      <c r="B23" s="10" t="s">
        <v>23</v>
      </c>
      <c r="C23" s="11" t="s">
        <v>24</v>
      </c>
      <c r="D23" s="11"/>
      <c r="E23" s="11"/>
      <c r="F23" s="11"/>
      <c r="G23" s="11"/>
      <c r="H23" s="11"/>
      <c r="I23" s="11"/>
      <c r="J23" s="11"/>
    </row>
    <row r="24" spans="1:10">
      <c r="B24" s="10" t="s">
        <v>25</v>
      </c>
      <c r="C24" s="11" t="s">
        <v>26</v>
      </c>
      <c r="D24" s="11"/>
      <c r="E24" s="11"/>
      <c r="F24" s="11"/>
      <c r="G24" s="11"/>
      <c r="H24" s="11"/>
      <c r="I24" s="11"/>
      <c r="J24" s="11"/>
    </row>
    <row r="25" spans="1:10">
      <c r="B25" s="10" t="s">
        <v>27</v>
      </c>
      <c r="C25" s="11" t="s">
        <v>28</v>
      </c>
      <c r="D25" s="11"/>
      <c r="E25" s="11"/>
      <c r="F25" s="11"/>
      <c r="G25" s="11"/>
      <c r="H25" s="11"/>
      <c r="I25" s="11"/>
      <c r="J25" s="11"/>
    </row>
    <row r="26" spans="1:10">
      <c r="B26" s="10" t="s">
        <v>29</v>
      </c>
      <c r="C26" s="11" t="s">
        <v>30</v>
      </c>
      <c r="D26" s="11"/>
      <c r="E26" s="11"/>
      <c r="F26" s="11"/>
      <c r="G26" s="11"/>
      <c r="H26" s="11"/>
      <c r="I26" s="11"/>
      <c r="J26" s="11"/>
    </row>
    <row r="27" spans="1:10">
      <c r="B27" s="10" t="s">
        <v>31</v>
      </c>
      <c r="C27" s="11" t="s">
        <v>32</v>
      </c>
      <c r="D27" s="11"/>
      <c r="E27" s="11"/>
      <c r="F27" s="11"/>
      <c r="G27" s="11"/>
      <c r="H27" s="11"/>
      <c r="I27" s="11"/>
      <c r="J27" s="11"/>
    </row>
    <row r="28" spans="1:10">
      <c r="B28" s="10" t="s">
        <v>33</v>
      </c>
      <c r="C28" s="11" t="s">
        <v>34</v>
      </c>
      <c r="D28" s="11"/>
      <c r="E28" s="11"/>
      <c r="F28" s="11"/>
      <c r="G28" s="11"/>
      <c r="H28" s="11"/>
      <c r="I28" s="11"/>
      <c r="J28" s="11"/>
    </row>
    <row r="29" spans="1:10">
      <c r="B29" s="10" t="s">
        <v>35</v>
      </c>
      <c r="C29" s="11" t="s">
        <v>36</v>
      </c>
      <c r="D29" s="11"/>
      <c r="E29" s="11"/>
      <c r="F29" s="11"/>
      <c r="G29" s="11"/>
      <c r="H29" s="11"/>
      <c r="I29" s="11"/>
      <c r="J29" s="11"/>
    </row>
    <row r="30" spans="1:10">
      <c r="B30" s="10" t="s">
        <v>37</v>
      </c>
      <c r="C30" s="11" t="s">
        <v>38</v>
      </c>
      <c r="D30" s="11"/>
      <c r="E30" s="11"/>
      <c r="F30" s="11"/>
      <c r="G30" s="11"/>
      <c r="H30" s="11"/>
      <c r="I30" s="11"/>
      <c r="J30" s="11"/>
    </row>
    <row r="31" spans="1:10">
      <c r="B31" s="10" t="s">
        <v>39</v>
      </c>
      <c r="C31" s="11" t="s">
        <v>40</v>
      </c>
      <c r="D31" s="11"/>
      <c r="E31" s="11"/>
      <c r="F31" s="11"/>
      <c r="G31" s="11"/>
      <c r="H31" s="11"/>
      <c r="I31" s="11"/>
      <c r="J31" s="11"/>
    </row>
    <row r="32" spans="1:10">
      <c r="B32" s="10" t="s">
        <v>41</v>
      </c>
      <c r="C32" s="11" t="s">
        <v>42</v>
      </c>
      <c r="D32" s="11"/>
      <c r="E32" s="11"/>
      <c r="F32" s="11"/>
      <c r="G32" s="11"/>
      <c r="H32" s="11"/>
      <c r="I32" s="11"/>
      <c r="J32" s="11"/>
    </row>
    <row r="33" spans="1:10">
      <c r="B33" s="10" t="s">
        <v>43</v>
      </c>
      <c r="C33" s="11" t="s">
        <v>44</v>
      </c>
      <c r="D33" s="11"/>
      <c r="E33" s="11"/>
      <c r="F33" s="11"/>
      <c r="G33" s="11"/>
      <c r="H33" s="11"/>
      <c r="I33" s="11"/>
      <c r="J33" s="11"/>
    </row>
    <row r="34" spans="1:10">
      <c r="B34" s="10" t="s">
        <v>45</v>
      </c>
      <c r="C34" s="11" t="s">
        <v>46</v>
      </c>
      <c r="D34" s="11"/>
      <c r="E34" s="11"/>
      <c r="F34" s="11"/>
      <c r="G34" s="11"/>
      <c r="H34" s="11"/>
      <c r="I34" s="11"/>
      <c r="J34" s="11"/>
    </row>
    <row r="35" spans="1:10">
      <c r="B35" s="10" t="s">
        <v>47</v>
      </c>
      <c r="C35" s="11" t="s">
        <v>48</v>
      </c>
      <c r="D35" s="11"/>
      <c r="E35" s="11"/>
      <c r="F35" s="11"/>
      <c r="G35" s="11"/>
      <c r="H35" s="11"/>
      <c r="I35" s="11"/>
      <c r="J35" s="11"/>
    </row>
    <row r="36" spans="1:10">
      <c r="B36" s="10" t="s">
        <v>49</v>
      </c>
      <c r="C36" s="11" t="s">
        <v>50</v>
      </c>
      <c r="D36" s="11"/>
      <c r="E36" s="11"/>
      <c r="F36" s="11"/>
      <c r="G36" s="11"/>
      <c r="H36" s="11"/>
      <c r="I36" s="11"/>
      <c r="J36" s="11"/>
    </row>
    <row r="37" spans="1:10">
      <c r="B37" s="10" t="s">
        <v>51</v>
      </c>
      <c r="C37" s="11" t="s">
        <v>52</v>
      </c>
      <c r="D37" s="11"/>
      <c r="E37" s="11"/>
      <c r="F37" s="11"/>
      <c r="G37" s="11"/>
      <c r="H37" s="11"/>
      <c r="I37" s="11"/>
      <c r="J37" s="11"/>
    </row>
    <row r="38" spans="1:10">
      <c r="B38" s="10" t="s">
        <v>53</v>
      </c>
      <c r="C38" s="11" t="s">
        <v>54</v>
      </c>
      <c r="D38" s="11"/>
      <c r="E38" s="11"/>
      <c r="F38" s="11"/>
      <c r="G38" s="11"/>
      <c r="H38" s="11"/>
      <c r="I38" s="11"/>
      <c r="J38" s="11"/>
    </row>
    <row r="39" spans="1:10">
      <c r="B39" s="10" t="s">
        <v>55</v>
      </c>
      <c r="C39" s="11" t="s">
        <v>56</v>
      </c>
      <c r="D39" s="11"/>
      <c r="E39" s="11"/>
      <c r="F39" s="11"/>
      <c r="G39" s="11"/>
      <c r="H39" s="11"/>
      <c r="I39" s="11"/>
      <c r="J39" s="11"/>
    </row>
    <row r="40" spans="1:10">
      <c r="B40" s="10" t="s">
        <v>57</v>
      </c>
      <c r="C40" s="11" t="s">
        <v>58</v>
      </c>
      <c r="D40" s="11"/>
      <c r="E40" s="11"/>
      <c r="F40" s="11"/>
      <c r="G40" s="11"/>
      <c r="H40" s="11"/>
      <c r="I40" s="11"/>
      <c r="J40" s="11"/>
    </row>
    <row r="41" spans="1:10">
      <c r="B41" s="10" t="s">
        <v>59</v>
      </c>
      <c r="C41" s="11" t="s">
        <v>60</v>
      </c>
      <c r="D41" s="11"/>
      <c r="E41" s="11"/>
      <c r="F41" s="11"/>
      <c r="G41" s="11"/>
      <c r="H41" s="11"/>
      <c r="I41" s="11"/>
      <c r="J41" s="11"/>
    </row>
    <row r="42" spans="1:10">
      <c r="B42" s="10" t="s">
        <v>61</v>
      </c>
      <c r="C42" s="11" t="s">
        <v>62</v>
      </c>
      <c r="D42" s="11"/>
      <c r="E42" s="11"/>
      <c r="F42" s="11"/>
      <c r="G42" s="11"/>
      <c r="H42" s="11"/>
      <c r="I42" s="11"/>
      <c r="J42" s="11"/>
    </row>
    <row r="43" spans="1:10">
      <c r="B43" s="10" t="s">
        <v>63</v>
      </c>
      <c r="C43" s="11" t="s">
        <v>64</v>
      </c>
      <c r="D43" s="11"/>
      <c r="E43" s="11"/>
      <c r="F43" s="11"/>
      <c r="G43" s="11"/>
      <c r="H43" s="11"/>
      <c r="I43" s="11"/>
      <c r="J43" s="11"/>
    </row>
    <row r="44" spans="1:10">
      <c r="B44" s="10" t="s">
        <v>65</v>
      </c>
      <c r="C44" s="11" t="s">
        <v>66</v>
      </c>
      <c r="D44" s="11"/>
      <c r="E44" s="11"/>
      <c r="F44" s="11"/>
      <c r="G44" s="11"/>
      <c r="H44" s="11"/>
      <c r="I44" s="11"/>
      <c r="J44" s="11"/>
    </row>
    <row r="46" spans="1:10" ht="20" customHeight="1">
      <c r="A46" s="6" t="s">
        <v>67</v>
      </c>
      <c r="B46" s="6"/>
      <c r="C46" s="6"/>
      <c r="D46" s="6"/>
      <c r="E46" s="6"/>
      <c r="F46" s="6"/>
      <c r="G46" s="6"/>
      <c r="H46" s="6"/>
      <c r="I46" s="6"/>
      <c r="J46" s="6"/>
    </row>
    <row r="47" spans="1:10" ht="20" customHeight="1">
      <c r="B47" s="8" t="s">
        <v>68</v>
      </c>
      <c r="C47" s="9" t="s">
        <v>69</v>
      </c>
      <c r="D47" s="9"/>
      <c r="E47" s="9"/>
      <c r="F47" s="9"/>
      <c r="G47" s="9"/>
      <c r="H47" s="9" t="s">
        <v>70</v>
      </c>
      <c r="I47" s="9"/>
    </row>
    <row r="48" spans="1:10">
      <c r="B48" s="7" t="s">
        <v>71</v>
      </c>
      <c r="C48" s="7" t="s">
        <v>72</v>
      </c>
      <c r="D48" s="7"/>
      <c r="E48" s="7"/>
      <c r="F48" s="7"/>
      <c r="G48" s="7"/>
      <c r="H48" s="12" t="s">
        <v>73</v>
      </c>
      <c r="I48" s="12"/>
    </row>
    <row r="49" spans="1:10">
      <c r="B49" s="7" t="s">
        <v>74</v>
      </c>
      <c r="C49" s="7" t="s">
        <v>75</v>
      </c>
      <c r="D49" s="7"/>
      <c r="E49" s="7"/>
      <c r="F49" s="7"/>
      <c r="G49" s="7"/>
      <c r="H49" s="12" t="s">
        <v>73</v>
      </c>
      <c r="I49" s="12"/>
    </row>
    <row r="50" spans="1:10">
      <c r="B50" s="7" t="s">
        <v>76</v>
      </c>
      <c r="C50" s="7" t="s">
        <v>77</v>
      </c>
      <c r="D50" s="7"/>
      <c r="E50" s="7"/>
      <c r="F50" s="7"/>
      <c r="G50" s="7"/>
      <c r="H50" s="12" t="s">
        <v>73</v>
      </c>
      <c r="I50" s="12"/>
    </row>
    <row r="51" spans="1:10">
      <c r="B51" s="7" t="s">
        <v>78</v>
      </c>
      <c r="C51" s="7" t="s">
        <v>79</v>
      </c>
      <c r="D51" s="7"/>
      <c r="E51" s="7"/>
      <c r="F51" s="7"/>
      <c r="G51" s="7"/>
      <c r="H51" s="12" t="s">
        <v>73</v>
      </c>
      <c r="I51" s="12"/>
    </row>
    <row r="52" spans="1:10">
      <c r="B52" s="7" t="s">
        <v>80</v>
      </c>
      <c r="C52" s="7" t="s">
        <v>81</v>
      </c>
      <c r="D52" s="7"/>
      <c r="E52" s="7"/>
      <c r="F52" s="7"/>
      <c r="G52" s="7"/>
      <c r="H52" s="12" t="s">
        <v>73</v>
      </c>
      <c r="I52" s="12"/>
    </row>
    <row r="53" spans="1:10">
      <c r="B53" s="7" t="s">
        <v>82</v>
      </c>
      <c r="C53" s="7" t="s">
        <v>83</v>
      </c>
      <c r="D53" s="7"/>
      <c r="E53" s="7"/>
      <c r="F53" s="7"/>
      <c r="G53" s="7"/>
      <c r="H53" s="12" t="s">
        <v>73</v>
      </c>
      <c r="I53" s="12"/>
    </row>
    <row r="54" spans="1:10">
      <c r="B54" s="7" t="s">
        <v>84</v>
      </c>
      <c r="C54" s="7" t="s">
        <v>85</v>
      </c>
      <c r="D54" s="7"/>
      <c r="E54" s="7"/>
      <c r="F54" s="7"/>
      <c r="G54" s="7"/>
      <c r="H54" s="12" t="s">
        <v>73</v>
      </c>
      <c r="I54" s="12"/>
    </row>
    <row r="55" spans="1:10">
      <c r="B55" s="7" t="s">
        <v>86</v>
      </c>
      <c r="C55" s="7" t="s">
        <v>87</v>
      </c>
      <c r="D55" s="7"/>
      <c r="E55" s="7"/>
      <c r="F55" s="7"/>
      <c r="G55" s="7"/>
      <c r="H55" s="12" t="s">
        <v>73</v>
      </c>
      <c r="I55" s="12"/>
    </row>
    <row r="56" spans="1:10">
      <c r="B56" s="7" t="s">
        <v>88</v>
      </c>
      <c r="C56" s="7" t="s">
        <v>89</v>
      </c>
      <c r="D56" s="7"/>
      <c r="E56" s="7"/>
      <c r="F56" s="7"/>
      <c r="G56" s="7"/>
      <c r="H56" s="12" t="s">
        <v>73</v>
      </c>
      <c r="I56" s="12"/>
    </row>
    <row r="57" spans="1:10">
      <c r="B57" s="7" t="s">
        <v>90</v>
      </c>
      <c r="C57" s="7" t="s">
        <v>91</v>
      </c>
      <c r="D57" s="7"/>
      <c r="E57" s="7"/>
      <c r="F57" s="7"/>
      <c r="G57" s="7"/>
      <c r="H57" s="12" t="s">
        <v>73</v>
      </c>
      <c r="I57" s="12"/>
    </row>
    <row r="58" spans="1:10">
      <c r="B58" s="7" t="s">
        <v>92</v>
      </c>
      <c r="C58" s="7" t="s">
        <v>93</v>
      </c>
      <c r="D58" s="7"/>
      <c r="E58" s="7"/>
      <c r="F58" s="7"/>
      <c r="G58" s="7"/>
      <c r="H58" s="12" t="s">
        <v>73</v>
      </c>
      <c r="I58" s="12"/>
    </row>
    <row r="59" spans="1:10">
      <c r="B59" s="7" t="s">
        <v>94</v>
      </c>
      <c r="C59" s="7" t="s">
        <v>95</v>
      </c>
      <c r="D59" s="7"/>
      <c r="E59" s="7"/>
      <c r="F59" s="7"/>
      <c r="G59" s="7"/>
      <c r="H59" s="12" t="s">
        <v>73</v>
      </c>
      <c r="I59" s="12"/>
    </row>
    <row r="60" spans="1:10">
      <c r="B60" s="13" t="s">
        <v>96</v>
      </c>
      <c r="C60" s="13"/>
      <c r="D60" s="13"/>
      <c r="E60" s="13"/>
      <c r="F60" s="13"/>
      <c r="G60" s="13"/>
      <c r="H60" s="14">
        <f>COUNTIF($H$48:$H$59,"Yes")/12</f>
        <v>0</v>
      </c>
      <c r="I60" s="14"/>
    </row>
    <row r="62" spans="1:10" ht="20" customHeight="1">
      <c r="A62" s="6" t="s">
        <v>97</v>
      </c>
      <c r="B62" s="6"/>
      <c r="C62" s="6"/>
      <c r="D62" s="6"/>
      <c r="E62" s="6"/>
      <c r="F62" s="6"/>
      <c r="G62" s="6"/>
      <c r="H62" s="6"/>
      <c r="I62" s="6"/>
      <c r="J62" s="6"/>
    </row>
    <row r="63" spans="1:10">
      <c r="B63" s="15" t="s">
        <v>98</v>
      </c>
      <c r="C63" s="11" t="s">
        <v>99</v>
      </c>
      <c r="D63" s="11"/>
      <c r="E63" s="11"/>
      <c r="F63" s="11"/>
      <c r="G63" s="11"/>
      <c r="H63" s="11"/>
      <c r="I63" s="11"/>
      <c r="J63" s="11"/>
    </row>
    <row r="64" spans="1:10">
      <c r="B64" s="16" t="s">
        <v>100</v>
      </c>
      <c r="C64" s="11" t="s">
        <v>101</v>
      </c>
      <c r="D64" s="11"/>
      <c r="E64" s="11"/>
      <c r="F64" s="11"/>
      <c r="G64" s="11"/>
      <c r="H64" s="11"/>
      <c r="I64" s="11"/>
      <c r="J64" s="11"/>
    </row>
    <row r="65" spans="1:10">
      <c r="B65" s="17" t="s">
        <v>102</v>
      </c>
      <c r="C65" s="11" t="s">
        <v>103</v>
      </c>
      <c r="D65" s="11"/>
      <c r="E65" s="11"/>
      <c r="F65" s="11"/>
      <c r="G65" s="11"/>
      <c r="H65" s="11"/>
      <c r="I65" s="11"/>
      <c r="J65" s="11"/>
    </row>
    <row r="67" spans="1:10" ht="20" customHeight="1">
      <c r="A67" s="6" t="s">
        <v>104</v>
      </c>
      <c r="B67" s="6"/>
      <c r="C67" s="6"/>
      <c r="D67" s="6"/>
      <c r="E67" s="6"/>
      <c r="F67" s="6"/>
      <c r="G67" s="6"/>
      <c r="H67" s="6"/>
      <c r="I67" s="6"/>
      <c r="J67" s="6"/>
    </row>
    <row r="68" spans="1:10">
      <c r="B68" s="18" t="s">
        <v>105</v>
      </c>
      <c r="C68" s="11" t="s">
        <v>0</v>
      </c>
      <c r="D68" s="11"/>
      <c r="E68" s="11"/>
      <c r="F68" s="11"/>
      <c r="G68" s="11"/>
      <c r="H68" s="11"/>
      <c r="I68" s="11"/>
      <c r="J68" s="11"/>
    </row>
    <row r="69" spans="1:10">
      <c r="B69" s="18" t="s">
        <v>106</v>
      </c>
      <c r="C69" s="11" t="s">
        <v>107</v>
      </c>
      <c r="D69" s="11"/>
      <c r="E69" s="11"/>
      <c r="F69" s="11"/>
      <c r="G69" s="11"/>
      <c r="H69" s="11"/>
      <c r="I69" s="11"/>
      <c r="J69" s="11"/>
    </row>
    <row r="70" spans="1:10">
      <c r="B70" s="18" t="s">
        <v>108</v>
      </c>
      <c r="C70" s="11" t="s">
        <v>109</v>
      </c>
      <c r="D70" s="11"/>
      <c r="E70" s="11"/>
      <c r="F70" s="11"/>
      <c r="G70" s="11"/>
      <c r="H70" s="11"/>
      <c r="I70" s="11"/>
      <c r="J70" s="11"/>
    </row>
    <row r="71" spans="1:10">
      <c r="B71" s="18" t="s">
        <v>110</v>
      </c>
      <c r="C71" s="11" t="s">
        <v>111</v>
      </c>
      <c r="D71" s="11"/>
      <c r="E71" s="11"/>
      <c r="F71" s="11"/>
      <c r="G71" s="11"/>
      <c r="H71" s="11"/>
      <c r="I71" s="11"/>
      <c r="J71" s="11"/>
    </row>
    <row r="72" spans="1:10">
      <c r="B72" s="18" t="s">
        <v>112</v>
      </c>
      <c r="C72" s="11" t="s">
        <v>113</v>
      </c>
      <c r="D72" s="11"/>
      <c r="E72" s="11"/>
      <c r="F72" s="11"/>
      <c r="G72" s="11"/>
      <c r="H72" s="11"/>
      <c r="I72" s="11"/>
      <c r="J72" s="11"/>
    </row>
    <row r="73" spans="1:10">
      <c r="B73" s="18" t="s">
        <v>114</v>
      </c>
      <c r="C73" s="11" t="s">
        <v>115</v>
      </c>
      <c r="D73" s="11"/>
      <c r="E73" s="11"/>
      <c r="F73" s="11"/>
      <c r="G73" s="11"/>
      <c r="H73" s="11"/>
      <c r="I73" s="11"/>
      <c r="J73" s="11"/>
    </row>
    <row r="75" spans="1:10" ht="18" customHeight="1">
      <c r="A75" s="4" t="s">
        <v>116</v>
      </c>
      <c r="B75" s="4"/>
      <c r="C75" s="4"/>
      <c r="D75" s="4"/>
      <c r="E75" s="4"/>
      <c r="F75" s="4"/>
      <c r="G75" s="4"/>
      <c r="H75" s="4"/>
      <c r="I75" s="4"/>
      <c r="J75" s="4"/>
    </row>
  </sheetData>
  <sheetProtection password="EC7C" sheet="1" objects="1" scenarios="1" formatCells="0" formatColumns="0" formatRows="0" insertRows="0" insertHyperlinks="0" deleteRows="0" autoFilter="0"/>
  <mergeCells count="83">
    <mergeCell ref="A1:G1"/>
    <mergeCell ref="H1:J1"/>
    <mergeCell ref="A2:J2"/>
    <mergeCell ref="A4:J4"/>
    <mergeCell ref="A6:J6"/>
    <mergeCell ref="B7:J7"/>
    <mergeCell ref="B8:J8"/>
    <mergeCell ref="B9:J9"/>
    <mergeCell ref="B10:J10"/>
    <mergeCell ref="B11:J11"/>
    <mergeCell ref="B12:J12"/>
    <mergeCell ref="B13:J13"/>
    <mergeCell ref="B14:J14"/>
    <mergeCell ref="B15:J15"/>
    <mergeCell ref="B16:J16"/>
    <mergeCell ref="A18:J18"/>
    <mergeCell ref="C19:J19"/>
    <mergeCell ref="C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A46:J46"/>
    <mergeCell ref="C47:G47"/>
    <mergeCell ref="H47:I47"/>
    <mergeCell ref="C48:G48"/>
    <mergeCell ref="H48:I48"/>
    <mergeCell ref="C49:G49"/>
    <mergeCell ref="H49:I49"/>
    <mergeCell ref="C50:G50"/>
    <mergeCell ref="H50:I50"/>
    <mergeCell ref="C51:G51"/>
    <mergeCell ref="H51:I51"/>
    <mergeCell ref="C52:G52"/>
    <mergeCell ref="H52:I52"/>
    <mergeCell ref="C53:G53"/>
    <mergeCell ref="H53:I53"/>
    <mergeCell ref="C54:G54"/>
    <mergeCell ref="H54:I54"/>
    <mergeCell ref="C55:G55"/>
    <mergeCell ref="H55:I55"/>
    <mergeCell ref="C56:G56"/>
    <mergeCell ref="H56:I56"/>
    <mergeCell ref="C57:G57"/>
    <mergeCell ref="H57:I57"/>
    <mergeCell ref="C58:G58"/>
    <mergeCell ref="H58:I58"/>
    <mergeCell ref="C59:G59"/>
    <mergeCell ref="H59:I59"/>
    <mergeCell ref="B60:G60"/>
    <mergeCell ref="H60:I60"/>
    <mergeCell ref="A62:J62"/>
    <mergeCell ref="C63:J63"/>
    <mergeCell ref="C64:J64"/>
    <mergeCell ref="C65:J65"/>
    <mergeCell ref="A67:J67"/>
    <mergeCell ref="C68:J68"/>
    <mergeCell ref="C69:J69"/>
    <mergeCell ref="C70:J70"/>
    <mergeCell ref="C71:J71"/>
    <mergeCell ref="C72:J72"/>
    <mergeCell ref="C73:J73"/>
    <mergeCell ref="A75:J75"/>
  </mergeCells>
  <conditionalFormatting sqref="H48:I48">
    <cfRule type="containsText" dxfId="0" priority="1" operator="containsText" text="Yes">
      <formula>NOT(ISERROR(SEARCH("Yes",H48)))</formula>
    </cfRule>
  </conditionalFormatting>
  <conditionalFormatting sqref="H49:I49">
    <cfRule type="containsText" dxfId="0" priority="2" operator="containsText" text="Yes">
      <formula>NOT(ISERROR(SEARCH("Yes",H49)))</formula>
    </cfRule>
  </conditionalFormatting>
  <conditionalFormatting sqref="H50:I50">
    <cfRule type="containsText" dxfId="0" priority="3" operator="containsText" text="Yes">
      <formula>NOT(ISERROR(SEARCH("Yes",H50)))</formula>
    </cfRule>
  </conditionalFormatting>
  <conditionalFormatting sqref="H51:I51">
    <cfRule type="containsText" dxfId="0" priority="4" operator="containsText" text="Yes">
      <formula>NOT(ISERROR(SEARCH("Yes",H51)))</formula>
    </cfRule>
  </conditionalFormatting>
  <conditionalFormatting sqref="H52:I52">
    <cfRule type="containsText" dxfId="0" priority="5" operator="containsText" text="Yes">
      <formula>NOT(ISERROR(SEARCH("Yes",H52)))</formula>
    </cfRule>
  </conditionalFormatting>
  <conditionalFormatting sqref="H53:I53">
    <cfRule type="containsText" dxfId="0" priority="6" operator="containsText" text="Yes">
      <formula>NOT(ISERROR(SEARCH("Yes",H53)))</formula>
    </cfRule>
  </conditionalFormatting>
  <conditionalFormatting sqref="H54:I54">
    <cfRule type="containsText" dxfId="0" priority="7" operator="containsText" text="Yes">
      <formula>NOT(ISERROR(SEARCH("Yes",H54)))</formula>
    </cfRule>
  </conditionalFormatting>
  <conditionalFormatting sqref="H55:I55">
    <cfRule type="containsText" dxfId="0" priority="8" operator="containsText" text="Yes">
      <formula>NOT(ISERROR(SEARCH("Yes",H55)))</formula>
    </cfRule>
  </conditionalFormatting>
  <conditionalFormatting sqref="H56:I56">
    <cfRule type="containsText" dxfId="0" priority="9" operator="containsText" text="Yes">
      <formula>NOT(ISERROR(SEARCH("Yes",H56)))</formula>
    </cfRule>
  </conditionalFormatting>
  <conditionalFormatting sqref="H57:I57">
    <cfRule type="containsText" dxfId="0" priority="10" operator="containsText" text="Yes">
      <formula>NOT(ISERROR(SEARCH("Yes",H57)))</formula>
    </cfRule>
  </conditionalFormatting>
  <conditionalFormatting sqref="H58:I58">
    <cfRule type="containsText" dxfId="0" priority="11" operator="containsText" text="Yes">
      <formula>NOT(ISERROR(SEARCH("Yes",H58)))</formula>
    </cfRule>
  </conditionalFormatting>
  <conditionalFormatting sqref="H59:I59">
    <cfRule type="containsText" dxfId="0" priority="12" operator="containsText" text="Yes">
      <formula>NOT(ISERROR(SEARCH("Yes",H59)))</formula>
    </cfRule>
  </conditionalFormatting>
  <dataValidations count="12">
    <dataValidation type="list" allowBlank="1" showInputMessage="1" showErrorMessage="1" sqref="H48:I48">
      <formula1>YesNoList</formula1>
    </dataValidation>
    <dataValidation type="list" allowBlank="1" showInputMessage="1" showErrorMessage="1" sqref="H49:I49">
      <formula1>YesNoList</formula1>
    </dataValidation>
    <dataValidation type="list" allowBlank="1" showInputMessage="1" showErrorMessage="1" sqref="H50:I50">
      <formula1>YesNoList</formula1>
    </dataValidation>
    <dataValidation type="list" allowBlank="1" showInputMessage="1" showErrorMessage="1" sqref="H51:I51">
      <formula1>YesNoList</formula1>
    </dataValidation>
    <dataValidation type="list" allowBlank="1" showInputMessage="1" showErrorMessage="1" sqref="H52:I52">
      <formula1>YesNoList</formula1>
    </dataValidation>
    <dataValidation type="list" allowBlank="1" showInputMessage="1" showErrorMessage="1" sqref="H53:I53">
      <formula1>YesNoList</formula1>
    </dataValidation>
    <dataValidation type="list" allowBlank="1" showInputMessage="1" showErrorMessage="1" sqref="H54:I54">
      <formula1>YesNoList</formula1>
    </dataValidation>
    <dataValidation type="list" allowBlank="1" showInputMessage="1" showErrorMessage="1" sqref="H55:I55">
      <formula1>YesNoList</formula1>
    </dataValidation>
    <dataValidation type="list" allowBlank="1" showInputMessage="1" showErrorMessage="1" sqref="H56:I56">
      <formula1>YesNoList</formula1>
    </dataValidation>
    <dataValidation type="list" allowBlank="1" showInputMessage="1" showErrorMessage="1" sqref="H57:I57">
      <formula1>YesNoList</formula1>
    </dataValidation>
    <dataValidation type="list" allowBlank="1" showInputMessage="1" showErrorMessage="1" sqref="H58:I58">
      <formula1>YesNoList</formula1>
    </dataValidation>
    <dataValidation type="list" allowBlank="1" showInputMessage="1" showErrorMessage="1" sqref="H59:I59">
      <formula1>YesNoList</formula1>
    </dataValidation>
  </dataValidations>
  <hyperlinks>
    <hyperlink ref="B20" location="Settings!A1" display="Settings"/>
    <hyperlink ref="B21" location="Lists!A1" display="Lists"/>
    <hyperlink ref="B22" location="Services!A1" display="Services"/>
    <hyperlink ref="B23" location="Clients!A1" display="Clients"/>
    <hyperlink ref="B24" location="Pets!A1" display="Pets"/>
    <hyperlink ref="B25" location="Bookings!A1" display="Bookings"/>
    <hyperlink ref="B26" location="'Visit Log'!A1" display="Visit Log"/>
    <hyperlink ref="B27" location="'Health Log'!A1" display="Health Log"/>
    <hyperlink ref="B28" location="Incidents!A1" display="Incidents"/>
    <hyperlink ref="B29" location="Messages!A1" display="Messages"/>
    <hyperlink ref="B30" location="Invoices!A1" display="Invoices"/>
    <hyperlink ref="B31" location="Payments!A1" display="Payments"/>
    <hyperlink ref="B32" location="Expenses!A1" display="Expenses"/>
    <hyperlink ref="B33" location="Mileage!A1" display="Mileage"/>
    <hyperlink ref="B34" location="Staff!A1" display="Staff"/>
    <hyperlink ref="B35" location="Inventory!A1" display="Inventory"/>
    <hyperlink ref="B36" location="Dashboard!A1" display="Dashboard"/>
    <hyperlink ref="B37" location="Reports!A1" display="Reports"/>
    <hyperlink ref="B38" location="Budget!A1" display="Budget"/>
    <hyperlink ref="B39" location="Reminders!A1" display="Reminders"/>
    <hyperlink ref="B40" location="'Print Invoice'!A1" display="Print Invoice"/>
    <hyperlink ref="B41" location="'Print Pet Care'!A1" display="Print Pet Care"/>
    <hyperlink ref="B42" location="'Print Visit'!A1" display="Print Visit"/>
    <hyperlink ref="B43" location="'Print Forms'!A1" display="Print Forms"/>
    <hyperlink ref="B44" location="Help!A1" display="Help"/>
  </hyperlinks>
  <pageMargins left="0.4" right="0.4" top="0.6" bottom="0.5" header="0.3" footer="0.3"/>
  <pageSetup paperSize="9" fitToHeight="0" orientation="portrait"/>
  <headerFooter>
    <oddHeader>&amp;L&amp;"Calibri,Bold"&amp;12&amp;C&amp;"Calibri,Bold"&amp;11Start Here&amp;R&amp;"Calibri,Italic"&amp;9Pet Sitting &amp; Dog Walking Business Spreadsheet</oddHeader>
    <oddFooter>&amp;L&amp;"Calibri,Italic"&amp;8Novality Store - v1.0.0&amp;C&amp;"Calibri,Italic"&amp;8Page &amp;P of &amp;N&amp;R&amp;"Calibri,Italic"&amp;8&amp;D</oddFooter>
  </headerFooter>
</worksheet>
</file>

<file path=xl/worksheets/sheet2.xml><?xml version="1.0" encoding="utf-8"?>
<worksheet xmlns="http://schemas.openxmlformats.org/spreadsheetml/2006/main" xmlns:r="http://schemas.openxmlformats.org/officeDocument/2006/relationships">
  <sheetPr>
    <tabColor rgb="FF17313B"/>
    <pageSetUpPr fitToPage="1"/>
  </sheetPr>
  <dimension ref="A1:R78"/>
  <sheetViews>
    <sheetView showGridLines="0" workbookViewId="0">
      <pane ySplit="4" topLeftCell="A5" activePane="bottomLeft" state="frozen"/>
      <selection pane="bottomLeft"/>
    </sheetView>
  </sheetViews>
  <sheetFormatPr defaultRowHeight="15"/>
  <cols>
    <col min="1" max="1" width="13.2109375" customWidth="1"/>
    <col min="2" max="2" width="13.2109375" customWidth="1"/>
    <col min="3" max="3" width="13.2109375" customWidth="1"/>
    <col min="4" max="4" width="13.2109375" customWidth="1"/>
    <col min="5" max="5" width="13.2109375" customWidth="1"/>
    <col min="6" max="6" width="13.2109375" customWidth="1"/>
    <col min="7" max="7" width="13.2109375" customWidth="1"/>
    <col min="8" max="8" width="13.2109375" customWidth="1"/>
    <col min="9" max="9" width="13.2109375" customWidth="1"/>
    <col min="10" max="10" width="13.2109375" customWidth="1"/>
    <col min="11" max="11" width="13.2109375" customWidth="1"/>
    <col min="12" max="12" width="13.2109375" customWidth="1"/>
    <col min="13" max="13" width="13.2109375" customWidth="1"/>
    <col min="14" max="14" width="13.2109375" customWidth="1"/>
    <col min="15" max="15" width="13.2109375" customWidth="1"/>
    <col min="16" max="16" width="13.2109375" customWidth="1"/>
    <col min="17" max="17" width="13.2109375" customWidth="1"/>
    <col min="18" max="18" width="13.2109375" customWidth="1"/>
  </cols>
  <sheetData>
    <row r="1" spans="1:18" ht="34" customHeight="1">
      <c r="A1" s="2" t="s">
        <v>117</v>
      </c>
      <c r="B1" s="2"/>
      <c r="C1" s="2"/>
      <c r="D1" s="2"/>
      <c r="E1" s="2"/>
      <c r="F1" s="2"/>
      <c r="G1" s="2"/>
      <c r="H1" s="2"/>
      <c r="I1" s="2"/>
      <c r="J1" s="2"/>
      <c r="K1" s="2"/>
      <c r="L1" s="2"/>
      <c r="M1" s="2"/>
      <c r="N1" s="2"/>
      <c r="O1" s="2"/>
      <c r="P1" s="3" t="s">
        <v>118</v>
      </c>
      <c r="Q1" s="3"/>
      <c r="R1" s="3"/>
    </row>
    <row r="2" spans="1:18" ht="18" customHeight="1">
      <c r="A2" s="4" t="s">
        <v>119</v>
      </c>
      <c r="B2" s="4"/>
      <c r="C2" s="4"/>
      <c r="D2" s="4"/>
      <c r="E2" s="4"/>
      <c r="F2" s="4"/>
      <c r="G2" s="4"/>
      <c r="H2" s="4"/>
      <c r="I2" s="4"/>
      <c r="J2" s="4"/>
      <c r="K2" s="4"/>
      <c r="L2" s="4"/>
      <c r="M2" s="4"/>
      <c r="N2" s="4"/>
      <c r="O2" s="4"/>
      <c r="P2" s="4"/>
      <c r="Q2" s="4"/>
      <c r="R2" s="4"/>
    </row>
    <row r="3" spans="1:18"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row>
    <row r="5" spans="1:18" ht="20" customHeight="1">
      <c r="A5" s="6" t="s">
        <v>129</v>
      </c>
      <c r="B5" s="6"/>
      <c r="C5" s="6"/>
      <c r="D5" s="6"/>
      <c r="E5" s="6"/>
      <c r="F5" s="6"/>
      <c r="G5" s="6"/>
      <c r="H5" s="6"/>
      <c r="I5" s="6"/>
      <c r="J5" s="6"/>
      <c r="K5" s="6"/>
      <c r="L5" s="6"/>
      <c r="M5" s="6"/>
      <c r="N5" s="6"/>
      <c r="O5" s="6"/>
      <c r="P5" s="6"/>
      <c r="Q5" s="6"/>
      <c r="R5" s="6"/>
    </row>
    <row r="6" spans="1:18">
      <c r="A6" s="18" t="s">
        <v>130</v>
      </c>
      <c r="B6" s="18"/>
      <c r="C6" s="19">
        <v>2026</v>
      </c>
      <c r="D6" s="18" t="s">
        <v>131</v>
      </c>
      <c r="E6" s="18"/>
      <c r="F6" s="20" t="s">
        <v>132</v>
      </c>
      <c r="G6" s="20"/>
      <c r="H6" s="18" t="s">
        <v>133</v>
      </c>
      <c r="I6" s="18"/>
      <c r="J6" s="21">
        <f>IF(Dash_MonthName="All year",DATE(Dash_Year,1,1),DATE(Dash_Year,MAX(1,MATCH(Dash_MonthName,MonthList,0)-1),1))</f>
        <v>0</v>
      </c>
      <c r="K6" s="21"/>
      <c r="L6" s="18" t="s">
        <v>134</v>
      </c>
      <c r="M6" s="18"/>
      <c r="N6" s="21">
        <f>IF(Dash_MonthName="All year",DATE(Dash_Year,12,31),EOMONTH(PeriodStart,0))</f>
        <v>0</v>
      </c>
      <c r="O6" s="21"/>
      <c r="P6" s="18" t="s">
        <v>135</v>
      </c>
      <c r="Q6" s="18"/>
      <c r="R6" s="21">
        <f>TODAY()</f>
        <v>0</v>
      </c>
    </row>
    <row r="8" spans="1:18" ht="20" customHeight="1">
      <c r="A8" s="6" t="s">
        <v>136</v>
      </c>
      <c r="B8" s="6"/>
      <c r="C8" s="6"/>
      <c r="D8" s="6"/>
      <c r="E8" s="6"/>
      <c r="F8" s="6"/>
      <c r="G8" s="6"/>
      <c r="H8" s="6"/>
      <c r="I8" s="6"/>
      <c r="J8" s="6"/>
      <c r="K8" s="6"/>
      <c r="L8" s="6"/>
      <c r="M8" s="6"/>
      <c r="N8" s="6"/>
      <c r="O8" s="6"/>
      <c r="P8" s="6"/>
      <c r="Q8" s="6"/>
      <c r="R8" s="6"/>
    </row>
    <row r="9" spans="1:18">
      <c r="A9" s="22" t="s">
        <v>137</v>
      </c>
      <c r="B9" s="22"/>
      <c r="C9" s="22"/>
      <c r="D9" s="22" t="s">
        <v>139</v>
      </c>
      <c r="E9" s="22"/>
      <c r="F9" s="22"/>
      <c r="G9" s="22" t="s">
        <v>141</v>
      </c>
      <c r="H9" s="22"/>
      <c r="I9" s="22"/>
      <c r="J9" s="22" t="s">
        <v>143</v>
      </c>
      <c r="K9" s="22"/>
      <c r="L9" s="22"/>
      <c r="M9" s="22" t="s">
        <v>41</v>
      </c>
      <c r="N9" s="22"/>
      <c r="O9" s="22"/>
      <c r="P9" s="22" t="s">
        <v>146</v>
      </c>
      <c r="Q9" s="22"/>
      <c r="R9" s="22"/>
    </row>
    <row r="10" spans="1:18" ht="26" customHeight="1">
      <c r="A10" s="23">
        <f>SUMIFS(Payments!$L$5:$L$304,Payments!$B$5:$B$304,"&gt;="&amp;PeriodStart,Payments!$B$5:$B$304,"&lt;="&amp;PeriodEnd)</f>
        <v>0</v>
      </c>
      <c r="B10" s="23"/>
      <c r="C10" s="23"/>
      <c r="D10" s="23">
        <f>SUMIFS(Invoices!$O$5:$O$304,Invoices!$B$5:$B$304,"&gt;="&amp;PeriodStart,Invoices!$B$5:$B$304,"&lt;="&amp;PeriodEnd,Invoices!$T$5:$T$304,"&lt;&gt;Cancelled")</f>
        <v>0</v>
      </c>
      <c r="E10" s="23"/>
      <c r="F10" s="23"/>
      <c r="G10" s="23">
        <f>SUMIFS(Invoices!$S$5:$S$304,Invoices!$T$5:$T$304,"&lt;&gt;Cancelled")</f>
        <v>0</v>
      </c>
      <c r="H10" s="23"/>
      <c r="I10" s="23"/>
      <c r="J10" s="23">
        <f>SUMIFS(Invoices!$S$5:$S$304,Invoices!$U$5:$U$304,"Overdue")+SUMIFS(Invoices!$S$5:$S$304,Invoices!$U$5:$U$304,"Overdue - part paid")</f>
        <v>0</v>
      </c>
      <c r="K10" s="23"/>
      <c r="L10" s="23"/>
      <c r="M10" s="23">
        <f>SUMIFS(Expenses!$F$5:$F$304,Expenses!$B$5:$B$304,"&gt;="&amp;PeriodStart,Expenses!$B$5:$B$304,"&lt;="&amp;PeriodEnd,Expenses!$J$5:$J$304,"&lt;&gt;Personal")</f>
        <v>0</v>
      </c>
      <c r="N10" s="23"/>
      <c r="O10" s="23"/>
      <c r="P10" s="23">
        <f>Dash_Revenue-Dash_Expenses</f>
        <v>0</v>
      </c>
      <c r="Q10" s="23"/>
      <c r="R10" s="23"/>
    </row>
    <row r="11" spans="1:18">
      <c r="A11" s="24" t="s">
        <v>138</v>
      </c>
      <c r="B11" s="24"/>
      <c r="C11" s="24"/>
      <c r="D11" s="24" t="s">
        <v>140</v>
      </c>
      <c r="E11" s="24"/>
      <c r="F11" s="24"/>
      <c r="G11" s="24" t="s">
        <v>142</v>
      </c>
      <c r="H11" s="24"/>
      <c r="I11" s="24"/>
      <c r="J11" s="24" t="s">
        <v>144</v>
      </c>
      <c r="K11" s="24"/>
      <c r="L11" s="24"/>
      <c r="M11" s="24" t="s">
        <v>145</v>
      </c>
      <c r="N11" s="24"/>
      <c r="O11" s="24"/>
      <c r="P11" s="24" t="s">
        <v>147</v>
      </c>
      <c r="Q11" s="24"/>
      <c r="R11" s="24"/>
    </row>
    <row r="12" spans="1:18">
      <c r="A12" s="22" t="s">
        <v>148</v>
      </c>
      <c r="B12" s="22"/>
      <c r="C12" s="22"/>
      <c r="D12" s="22" t="s">
        <v>150</v>
      </c>
      <c r="E12" s="22"/>
      <c r="F12" s="22"/>
      <c r="G12" s="22" t="s">
        <v>152</v>
      </c>
      <c r="H12" s="22"/>
      <c r="I12" s="22"/>
      <c r="J12" s="22" t="s">
        <v>154</v>
      </c>
      <c r="K12" s="22"/>
      <c r="L12" s="22"/>
      <c r="M12" s="22" t="s">
        <v>156</v>
      </c>
      <c r="N12" s="22"/>
      <c r="O12" s="22"/>
      <c r="P12" s="22" t="s">
        <v>158</v>
      </c>
      <c r="Q12" s="22"/>
      <c r="R12" s="22"/>
    </row>
    <row r="13" spans="1:18" ht="26" customHeight="1">
      <c r="A13" s="25">
        <f>IFERROR(Dash_Profit/Dash_Revenue,0)</f>
        <v>0</v>
      </c>
      <c r="B13" s="25"/>
      <c r="C13" s="25"/>
      <c r="D13" s="23">
        <f>IFERROR(SUMIFS(Bookings!$AK$5:$AK$404,Bookings!$I$5:$I$404,"&gt;="&amp;PeriodStart,Bookings!$I$5:$I$404,"&lt;="&amp;PeriodEnd,Bookings!$AM$5:$AM$404,"&lt;&gt;Cancelled")/COUNTIFS(Bookings!$I$5:$I$404,"&gt;="&amp;PeriodStart,Bookings!$I$5:$I$404,"&lt;="&amp;PeriodEnd,Bookings!$AM$5:$AM$404,"&lt;&gt;Cancelled"),0)</f>
        <v>0</v>
      </c>
      <c r="E13" s="23"/>
      <c r="F13" s="23"/>
      <c r="G13" s="23">
        <f>IFERROR(Dash_Revenue/COUNTIF(Clients!$M$5:$M$254,"Active"),0)</f>
        <v>0</v>
      </c>
      <c r="H13" s="23"/>
      <c r="I13" s="23"/>
      <c r="J13" s="23">
        <f>SUMIFS(Mileage!$U$5:$U$304,Mileage!$B$5:$B$304,"&gt;="&amp;PeriodStart,Mileage!$B$5:$B$304,"&lt;="&amp;PeriodEnd)</f>
        <v>0</v>
      </c>
      <c r="K13" s="23"/>
      <c r="L13" s="23"/>
      <c r="M13" s="23">
        <f>MAX(0,Dash_Profit)*TaxReservePct</f>
        <v>0</v>
      </c>
      <c r="N13" s="23"/>
      <c r="O13" s="23"/>
      <c r="P13" s="23">
        <f>IFERROR(Dash_Revenue/COUNTIFS('Visit Log'!$C$5:$C$404,"&gt;="&amp;PeriodStart,'Visit Log'!$C$5:$C$404,"&lt;="&amp;PeriodEnd,'Visit Log'!$AE$5:$AE$404,"Completed"),0)</f>
        <v>0</v>
      </c>
      <c r="Q13" s="23"/>
      <c r="R13" s="23"/>
    </row>
    <row r="14" spans="1:18">
      <c r="A14" s="24" t="s">
        <v>149</v>
      </c>
      <c r="B14" s="24"/>
      <c r="C14" s="24"/>
      <c r="D14" s="24" t="s">
        <v>151</v>
      </c>
      <c r="E14" s="24"/>
      <c r="F14" s="24"/>
      <c r="G14" s="24" t="s">
        <v>153</v>
      </c>
      <c r="H14" s="24"/>
      <c r="I14" s="24"/>
      <c r="J14" s="24" t="s">
        <v>155</v>
      </c>
      <c r="K14" s="24"/>
      <c r="L14" s="24"/>
      <c r="M14" s="24" t="s">
        <v>157</v>
      </c>
      <c r="N14" s="24"/>
      <c r="O14" s="24"/>
      <c r="P14" s="24" t="s">
        <v>159</v>
      </c>
      <c r="Q14" s="24"/>
      <c r="R14" s="24"/>
    </row>
    <row r="16" spans="1:18" ht="20" customHeight="1">
      <c r="A16" s="6" t="s">
        <v>160</v>
      </c>
      <c r="B16" s="6"/>
      <c r="C16" s="6"/>
      <c r="D16" s="6"/>
      <c r="E16" s="6"/>
      <c r="F16" s="6"/>
      <c r="G16" s="6"/>
      <c r="H16" s="6"/>
      <c r="I16" s="6"/>
      <c r="J16" s="6"/>
      <c r="K16" s="6"/>
      <c r="L16" s="6"/>
      <c r="M16" s="6"/>
      <c r="N16" s="6"/>
      <c r="O16" s="6"/>
      <c r="P16" s="6"/>
      <c r="Q16" s="6"/>
      <c r="R16" s="6"/>
    </row>
    <row r="17" spans="1:18">
      <c r="A17" s="22" t="s">
        <v>161</v>
      </c>
      <c r="B17" s="22"/>
      <c r="C17" s="22"/>
      <c r="D17" s="22" t="s">
        <v>163</v>
      </c>
      <c r="E17" s="22"/>
      <c r="F17" s="22"/>
      <c r="G17" s="22" t="s">
        <v>165</v>
      </c>
      <c r="H17" s="22"/>
      <c r="I17" s="22"/>
      <c r="J17" s="22" t="s">
        <v>167</v>
      </c>
      <c r="K17" s="22"/>
      <c r="L17" s="22"/>
      <c r="M17" s="22" t="s">
        <v>169</v>
      </c>
      <c r="N17" s="22"/>
      <c r="O17" s="22"/>
      <c r="P17" s="22" t="s">
        <v>171</v>
      </c>
      <c r="Q17" s="22"/>
      <c r="R17" s="22"/>
    </row>
    <row r="18" spans="1:18" ht="26" customHeight="1">
      <c r="A18" s="26">
        <f>COUNTIFS(Bookings!$I$5:$I$404,"&gt;="&amp;PeriodStart,Bookings!$I$5:$I$404,"&lt;="&amp;PeriodEnd,Bookings!$AM$5:$AM$404,"&lt;&gt;Cancelled")</f>
        <v>0</v>
      </c>
      <c r="B18" s="26"/>
      <c r="C18" s="26"/>
      <c r="D18" s="26">
        <f>COUNTIFS(Bookings!$I$5:$I$404,"&gt;="&amp;PeriodStart,Bookings!$I$5:$I$404,"&lt;="&amp;PeriodEnd,Bookings!$AM$5:$AM$404,"Completed")</f>
        <v>0</v>
      </c>
      <c r="E18" s="26"/>
      <c r="F18" s="26"/>
      <c r="G18" s="26">
        <f>COUNTIFS(Bookings!$I$5:$I$404,"&gt;="&amp;PeriodStart,Bookings!$I$5:$I$404,"&lt;="&amp;PeriodEnd,Bookings!$AM$5:$AM$404,"Cancelled")</f>
        <v>0</v>
      </c>
      <c r="H18" s="26"/>
      <c r="I18" s="26"/>
      <c r="J18" s="26">
        <f>COUNTIFS(Bookings!$I$5:$I$404,"&gt;="&amp;TODAY(),Bookings!$I$5:$I$404,"&lt;="&amp;TODAY()+7,Bookings!$AM$5:$AM$404,"&lt;&gt;Cancelled")</f>
        <v>0</v>
      </c>
      <c r="K18" s="26"/>
      <c r="L18" s="26"/>
      <c r="M18" s="26">
        <f>COUNTIFS('Visit Log'!$C$5:$C$404,"&gt;="&amp;PeriodStart,'Visit Log'!$C$5:$C$404,"&lt;="&amp;PeriodEnd,'Visit Log'!$AE$5:$AE$404,"Completed")</f>
        <v>0</v>
      </c>
      <c r="N18" s="26"/>
      <c r="O18" s="26"/>
      <c r="P18" s="26">
        <f>COUNTIFS('Visit Log'!$C$5:$C$404,"&gt;="&amp;PeriodStart,'Visit Log'!$C$5:$C$404,"&lt;="&amp;PeriodEnd,'Visit Log'!$AE$5:$AE$404,"Missed")</f>
        <v>0</v>
      </c>
      <c r="Q18" s="26"/>
      <c r="R18" s="26"/>
    </row>
    <row r="19" spans="1:18">
      <c r="A19" s="24" t="s">
        <v>162</v>
      </c>
      <c r="B19" s="24"/>
      <c r="C19" s="24"/>
      <c r="D19" s="24" t="s">
        <v>164</v>
      </c>
      <c r="E19" s="24"/>
      <c r="F19" s="24"/>
      <c r="G19" s="24" t="s">
        <v>166</v>
      </c>
      <c r="H19" s="24"/>
      <c r="I19" s="24"/>
      <c r="J19" s="24" t="s">
        <v>168</v>
      </c>
      <c r="K19" s="24"/>
      <c r="L19" s="24"/>
      <c r="M19" s="24" t="s">
        <v>170</v>
      </c>
      <c r="N19" s="24"/>
      <c r="O19" s="24"/>
      <c r="P19" s="24" t="s">
        <v>172</v>
      </c>
      <c r="Q19" s="24"/>
      <c r="R19" s="24"/>
    </row>
    <row r="20" spans="1:18">
      <c r="A20" s="22" t="s">
        <v>173</v>
      </c>
      <c r="B20" s="22"/>
      <c r="C20" s="22"/>
      <c r="D20" s="22" t="s">
        <v>175</v>
      </c>
      <c r="E20" s="22"/>
      <c r="F20" s="22"/>
      <c r="G20" s="22" t="s">
        <v>177</v>
      </c>
      <c r="H20" s="22"/>
      <c r="I20" s="22"/>
      <c r="J20" s="22" t="s">
        <v>179</v>
      </c>
      <c r="K20" s="22"/>
      <c r="L20" s="22"/>
      <c r="M20" s="22" t="s">
        <v>181</v>
      </c>
      <c r="N20" s="22"/>
      <c r="O20" s="22"/>
      <c r="P20" s="22" t="s">
        <v>183</v>
      </c>
      <c r="Q20" s="22"/>
      <c r="R20" s="22"/>
    </row>
    <row r="21" spans="1:18" ht="26" customHeight="1">
      <c r="A21" s="26">
        <f>COUNTIF(Clients!$M$5:$M$254,"Active")</f>
        <v>0</v>
      </c>
      <c r="B21" s="26"/>
      <c r="C21" s="26"/>
      <c r="D21" s="26">
        <f>COUNTIF(Pets!$B$5:$B$254,"?*")</f>
        <v>0</v>
      </c>
      <c r="E21" s="26"/>
      <c r="F21" s="26"/>
      <c r="G21" s="26">
        <f>COUNTIFS(Clients!$L$5:$L$254,"&gt;="&amp;PeriodStart,Clients!$L$5:$L$254,"&lt;="&amp;PeriodEnd)</f>
        <v>0</v>
      </c>
      <c r="H21" s="26"/>
      <c r="I21" s="26"/>
      <c r="J21" s="26">
        <f>COUNTIF(Clients!$Z$5:$Z$254,"&gt;1")</f>
        <v>0</v>
      </c>
      <c r="K21" s="26"/>
      <c r="L21" s="26"/>
      <c r="M21" s="26">
        <f>COUNTIFS(Bookings!$I$5:$I$404,"&gt;="&amp;TODAY(),Bookings!$AN$5:$AN$404,"&lt;&gt;Yes",Bookings!$AM$5:$AM$404,"&lt;&gt;Cancelled")</f>
        <v>0</v>
      </c>
      <c r="N21" s="26"/>
      <c r="O21" s="26"/>
      <c r="P21" s="27">
        <f>IFERROR(AVERAGEIFS(Messages!$I$5:$I$204,Messages!$B$5:$B$204,"&gt;="&amp;PeriodStart,Messages!$B$5:$B$204,"&lt;="&amp;PeriodEnd),"-")</f>
        <v>0</v>
      </c>
      <c r="Q21" s="27"/>
      <c r="R21" s="27"/>
    </row>
    <row r="22" spans="1:18">
      <c r="A22" s="24" t="s">
        <v>174</v>
      </c>
      <c r="B22" s="24"/>
      <c r="C22" s="24"/>
      <c r="D22" s="24" t="s">
        <v>176</v>
      </c>
      <c r="E22" s="24"/>
      <c r="F22" s="24"/>
      <c r="G22" s="24" t="s">
        <v>178</v>
      </c>
      <c r="H22" s="24"/>
      <c r="I22" s="24"/>
      <c r="J22" s="24" t="s">
        <v>180</v>
      </c>
      <c r="K22" s="24"/>
      <c r="L22" s="24"/>
      <c r="M22" s="24" t="s">
        <v>182</v>
      </c>
      <c r="N22" s="24"/>
      <c r="O22" s="24"/>
      <c r="P22" s="24" t="s">
        <v>184</v>
      </c>
      <c r="Q22" s="24"/>
      <c r="R22" s="24"/>
    </row>
    <row r="24" spans="1:18" ht="20" customHeight="1">
      <c r="A24" s="6" t="s">
        <v>185</v>
      </c>
      <c r="B24" s="6"/>
      <c r="C24" s="6"/>
      <c r="D24" s="6"/>
      <c r="E24" s="6"/>
      <c r="F24" s="6"/>
      <c r="G24" s="6"/>
      <c r="H24" s="6"/>
      <c r="I24" s="6"/>
      <c r="J24" s="6"/>
      <c r="K24" s="6"/>
      <c r="L24" s="6"/>
      <c r="M24" s="6"/>
      <c r="N24" s="6"/>
      <c r="O24" s="6"/>
      <c r="P24" s="6"/>
      <c r="Q24" s="6"/>
      <c r="R24" s="6"/>
    </row>
    <row r="25" spans="1:18" ht="26" customHeight="1">
      <c r="A25" s="8" t="s">
        <v>131</v>
      </c>
      <c r="B25" s="9" t="s">
        <v>186</v>
      </c>
      <c r="C25" s="9" t="s">
        <v>139</v>
      </c>
      <c r="D25" s="9" t="s">
        <v>41</v>
      </c>
      <c r="E25" s="9" t="s">
        <v>187</v>
      </c>
      <c r="F25" s="9" t="s">
        <v>188</v>
      </c>
      <c r="G25" s="9" t="s">
        <v>27</v>
      </c>
      <c r="H25" s="9" t="s">
        <v>163</v>
      </c>
      <c r="I25" s="9" t="s">
        <v>165</v>
      </c>
      <c r="J25" s="9" t="s">
        <v>189</v>
      </c>
      <c r="K25" s="9" t="s">
        <v>177</v>
      </c>
      <c r="L25" s="9" t="s">
        <v>190</v>
      </c>
      <c r="M25" s="9" t="s">
        <v>191</v>
      </c>
      <c r="N25" s="9" t="s">
        <v>192</v>
      </c>
    </row>
    <row r="26" spans="1:18">
      <c r="A26" s="28">
        <f>Calc!$U$5</f>
        <v>0</v>
      </c>
      <c r="B26" s="29">
        <f>Calc!$V$5</f>
        <v>0</v>
      </c>
      <c r="C26" s="29">
        <f>Calc!$W$5</f>
        <v>0</v>
      </c>
      <c r="D26" s="29">
        <f>Calc!$X$5</f>
        <v>0</v>
      </c>
      <c r="E26" s="29">
        <f>Calc!$Y$5</f>
        <v>0</v>
      </c>
      <c r="F26" s="30">
        <f>IFERROR(Calc!$Y$5/Calc!$V$5,"")</f>
        <v>0</v>
      </c>
      <c r="G26" s="31">
        <f>Calc!$Z$5</f>
        <v>0</v>
      </c>
      <c r="H26" s="31">
        <f>Calc!$AA$5</f>
        <v>0</v>
      </c>
      <c r="I26" s="31">
        <f>Calc!$AB$5</f>
        <v>0</v>
      </c>
      <c r="J26" s="31">
        <f>Calc!$AC$5</f>
        <v>0</v>
      </c>
      <c r="K26" s="31">
        <f>Calc!$AD$5</f>
        <v>0</v>
      </c>
      <c r="L26" s="32">
        <f>Calc!$AE$5</f>
        <v>0</v>
      </c>
      <c r="M26" s="29">
        <f>Calc!$AF$5</f>
        <v>0</v>
      </c>
      <c r="N26" s="30">
        <f>IFERROR(Calc!$V$5/Calc!$AF$5-1,"")</f>
        <v>0</v>
      </c>
    </row>
    <row r="27" spans="1:18">
      <c r="A27" s="28">
        <f>Calc!$U$6</f>
        <v>0</v>
      </c>
      <c r="B27" s="29">
        <f>Calc!$V$6</f>
        <v>0</v>
      </c>
      <c r="C27" s="29">
        <f>Calc!$W$6</f>
        <v>0</v>
      </c>
      <c r="D27" s="29">
        <f>Calc!$X$6</f>
        <v>0</v>
      </c>
      <c r="E27" s="29">
        <f>Calc!$Y$6</f>
        <v>0</v>
      </c>
      <c r="F27" s="30">
        <f>IFERROR(Calc!$Y$6/Calc!$V$6,"")</f>
        <v>0</v>
      </c>
      <c r="G27" s="31">
        <f>Calc!$Z$6</f>
        <v>0</v>
      </c>
      <c r="H27" s="31">
        <f>Calc!$AA$6</f>
        <v>0</v>
      </c>
      <c r="I27" s="31">
        <f>Calc!$AB$6</f>
        <v>0</v>
      </c>
      <c r="J27" s="31">
        <f>Calc!$AC$6</f>
        <v>0</v>
      </c>
      <c r="K27" s="31">
        <f>Calc!$AD$6</f>
        <v>0</v>
      </c>
      <c r="L27" s="32">
        <f>Calc!$AE$6</f>
        <v>0</v>
      </c>
      <c r="M27" s="29">
        <f>Calc!$AF$6</f>
        <v>0</v>
      </c>
      <c r="N27" s="30">
        <f>IFERROR(Calc!$V$6/Calc!$AF$6-1,"")</f>
        <v>0</v>
      </c>
    </row>
    <row r="28" spans="1:18">
      <c r="A28" s="28">
        <f>Calc!$U$7</f>
        <v>0</v>
      </c>
      <c r="B28" s="29">
        <f>Calc!$V$7</f>
        <v>0</v>
      </c>
      <c r="C28" s="29">
        <f>Calc!$W$7</f>
        <v>0</v>
      </c>
      <c r="D28" s="29">
        <f>Calc!$X$7</f>
        <v>0</v>
      </c>
      <c r="E28" s="29">
        <f>Calc!$Y$7</f>
        <v>0</v>
      </c>
      <c r="F28" s="30">
        <f>IFERROR(Calc!$Y$7/Calc!$V$7,"")</f>
        <v>0</v>
      </c>
      <c r="G28" s="31">
        <f>Calc!$Z$7</f>
        <v>0</v>
      </c>
      <c r="H28" s="31">
        <f>Calc!$AA$7</f>
        <v>0</v>
      </c>
      <c r="I28" s="31">
        <f>Calc!$AB$7</f>
        <v>0</v>
      </c>
      <c r="J28" s="31">
        <f>Calc!$AC$7</f>
        <v>0</v>
      </c>
      <c r="K28" s="31">
        <f>Calc!$AD$7</f>
        <v>0</v>
      </c>
      <c r="L28" s="32">
        <f>Calc!$AE$7</f>
        <v>0</v>
      </c>
      <c r="M28" s="29">
        <f>Calc!$AF$7</f>
        <v>0</v>
      </c>
      <c r="N28" s="30">
        <f>IFERROR(Calc!$V$7/Calc!$AF$7-1,"")</f>
        <v>0</v>
      </c>
    </row>
    <row r="29" spans="1:18">
      <c r="A29" s="28">
        <f>Calc!$U$8</f>
        <v>0</v>
      </c>
      <c r="B29" s="29">
        <f>Calc!$V$8</f>
        <v>0</v>
      </c>
      <c r="C29" s="29">
        <f>Calc!$W$8</f>
        <v>0</v>
      </c>
      <c r="D29" s="29">
        <f>Calc!$X$8</f>
        <v>0</v>
      </c>
      <c r="E29" s="29">
        <f>Calc!$Y$8</f>
        <v>0</v>
      </c>
      <c r="F29" s="30">
        <f>IFERROR(Calc!$Y$8/Calc!$V$8,"")</f>
        <v>0</v>
      </c>
      <c r="G29" s="31">
        <f>Calc!$Z$8</f>
        <v>0</v>
      </c>
      <c r="H29" s="31">
        <f>Calc!$AA$8</f>
        <v>0</v>
      </c>
      <c r="I29" s="31">
        <f>Calc!$AB$8</f>
        <v>0</v>
      </c>
      <c r="J29" s="31">
        <f>Calc!$AC$8</f>
        <v>0</v>
      </c>
      <c r="K29" s="31">
        <f>Calc!$AD$8</f>
        <v>0</v>
      </c>
      <c r="L29" s="32">
        <f>Calc!$AE$8</f>
        <v>0</v>
      </c>
      <c r="M29" s="29">
        <f>Calc!$AF$8</f>
        <v>0</v>
      </c>
      <c r="N29" s="30">
        <f>IFERROR(Calc!$V$8/Calc!$AF$8-1,"")</f>
        <v>0</v>
      </c>
    </row>
    <row r="30" spans="1:18">
      <c r="A30" s="28">
        <f>Calc!$U$9</f>
        <v>0</v>
      </c>
      <c r="B30" s="29">
        <f>Calc!$V$9</f>
        <v>0</v>
      </c>
      <c r="C30" s="29">
        <f>Calc!$W$9</f>
        <v>0</v>
      </c>
      <c r="D30" s="29">
        <f>Calc!$X$9</f>
        <v>0</v>
      </c>
      <c r="E30" s="29">
        <f>Calc!$Y$9</f>
        <v>0</v>
      </c>
      <c r="F30" s="30">
        <f>IFERROR(Calc!$Y$9/Calc!$V$9,"")</f>
        <v>0</v>
      </c>
      <c r="G30" s="31">
        <f>Calc!$Z$9</f>
        <v>0</v>
      </c>
      <c r="H30" s="31">
        <f>Calc!$AA$9</f>
        <v>0</v>
      </c>
      <c r="I30" s="31">
        <f>Calc!$AB$9</f>
        <v>0</v>
      </c>
      <c r="J30" s="31">
        <f>Calc!$AC$9</f>
        <v>0</v>
      </c>
      <c r="K30" s="31">
        <f>Calc!$AD$9</f>
        <v>0</v>
      </c>
      <c r="L30" s="32">
        <f>Calc!$AE$9</f>
        <v>0</v>
      </c>
      <c r="M30" s="29">
        <f>Calc!$AF$9</f>
        <v>0</v>
      </c>
      <c r="N30" s="30">
        <f>IFERROR(Calc!$V$9/Calc!$AF$9-1,"")</f>
        <v>0</v>
      </c>
    </row>
    <row r="31" spans="1:18">
      <c r="A31" s="28">
        <f>Calc!$U$10</f>
        <v>0</v>
      </c>
      <c r="B31" s="29">
        <f>Calc!$V$10</f>
        <v>0</v>
      </c>
      <c r="C31" s="29">
        <f>Calc!$W$10</f>
        <v>0</v>
      </c>
      <c r="D31" s="29">
        <f>Calc!$X$10</f>
        <v>0</v>
      </c>
      <c r="E31" s="29">
        <f>Calc!$Y$10</f>
        <v>0</v>
      </c>
      <c r="F31" s="30">
        <f>IFERROR(Calc!$Y$10/Calc!$V$10,"")</f>
        <v>0</v>
      </c>
      <c r="G31" s="31">
        <f>Calc!$Z$10</f>
        <v>0</v>
      </c>
      <c r="H31" s="31">
        <f>Calc!$AA$10</f>
        <v>0</v>
      </c>
      <c r="I31" s="31">
        <f>Calc!$AB$10</f>
        <v>0</v>
      </c>
      <c r="J31" s="31">
        <f>Calc!$AC$10</f>
        <v>0</v>
      </c>
      <c r="K31" s="31">
        <f>Calc!$AD$10</f>
        <v>0</v>
      </c>
      <c r="L31" s="32">
        <f>Calc!$AE$10</f>
        <v>0</v>
      </c>
      <c r="M31" s="29">
        <f>Calc!$AF$10</f>
        <v>0</v>
      </c>
      <c r="N31" s="30">
        <f>IFERROR(Calc!$V$10/Calc!$AF$10-1,"")</f>
        <v>0</v>
      </c>
    </row>
    <row r="32" spans="1:18">
      <c r="A32" s="28">
        <f>Calc!$U$11</f>
        <v>0</v>
      </c>
      <c r="B32" s="29">
        <f>Calc!$V$11</f>
        <v>0</v>
      </c>
      <c r="C32" s="29">
        <f>Calc!$W$11</f>
        <v>0</v>
      </c>
      <c r="D32" s="29">
        <f>Calc!$X$11</f>
        <v>0</v>
      </c>
      <c r="E32" s="29">
        <f>Calc!$Y$11</f>
        <v>0</v>
      </c>
      <c r="F32" s="30">
        <f>IFERROR(Calc!$Y$11/Calc!$V$11,"")</f>
        <v>0</v>
      </c>
      <c r="G32" s="31">
        <f>Calc!$Z$11</f>
        <v>0</v>
      </c>
      <c r="H32" s="31">
        <f>Calc!$AA$11</f>
        <v>0</v>
      </c>
      <c r="I32" s="31">
        <f>Calc!$AB$11</f>
        <v>0</v>
      </c>
      <c r="J32" s="31">
        <f>Calc!$AC$11</f>
        <v>0</v>
      </c>
      <c r="K32" s="31">
        <f>Calc!$AD$11</f>
        <v>0</v>
      </c>
      <c r="L32" s="32">
        <f>Calc!$AE$11</f>
        <v>0</v>
      </c>
      <c r="M32" s="29">
        <f>Calc!$AF$11</f>
        <v>0</v>
      </c>
      <c r="N32" s="30">
        <f>IFERROR(Calc!$V$11/Calc!$AF$11-1,"")</f>
        <v>0</v>
      </c>
    </row>
    <row r="33" spans="1:18">
      <c r="A33" s="28">
        <f>Calc!$U$12</f>
        <v>0</v>
      </c>
      <c r="B33" s="29">
        <f>Calc!$V$12</f>
        <v>0</v>
      </c>
      <c r="C33" s="29">
        <f>Calc!$W$12</f>
        <v>0</v>
      </c>
      <c r="D33" s="29">
        <f>Calc!$X$12</f>
        <v>0</v>
      </c>
      <c r="E33" s="29">
        <f>Calc!$Y$12</f>
        <v>0</v>
      </c>
      <c r="F33" s="30">
        <f>IFERROR(Calc!$Y$12/Calc!$V$12,"")</f>
        <v>0</v>
      </c>
      <c r="G33" s="31">
        <f>Calc!$Z$12</f>
        <v>0</v>
      </c>
      <c r="H33" s="31">
        <f>Calc!$AA$12</f>
        <v>0</v>
      </c>
      <c r="I33" s="31">
        <f>Calc!$AB$12</f>
        <v>0</v>
      </c>
      <c r="J33" s="31">
        <f>Calc!$AC$12</f>
        <v>0</v>
      </c>
      <c r="K33" s="31">
        <f>Calc!$AD$12</f>
        <v>0</v>
      </c>
      <c r="L33" s="32">
        <f>Calc!$AE$12</f>
        <v>0</v>
      </c>
      <c r="M33" s="29">
        <f>Calc!$AF$12</f>
        <v>0</v>
      </c>
      <c r="N33" s="30">
        <f>IFERROR(Calc!$V$12/Calc!$AF$12-1,"")</f>
        <v>0</v>
      </c>
    </row>
    <row r="34" spans="1:18">
      <c r="A34" s="28">
        <f>Calc!$U$13</f>
        <v>0</v>
      </c>
      <c r="B34" s="29">
        <f>Calc!$V$13</f>
        <v>0</v>
      </c>
      <c r="C34" s="29">
        <f>Calc!$W$13</f>
        <v>0</v>
      </c>
      <c r="D34" s="29">
        <f>Calc!$X$13</f>
        <v>0</v>
      </c>
      <c r="E34" s="29">
        <f>Calc!$Y$13</f>
        <v>0</v>
      </c>
      <c r="F34" s="30">
        <f>IFERROR(Calc!$Y$13/Calc!$V$13,"")</f>
        <v>0</v>
      </c>
      <c r="G34" s="31">
        <f>Calc!$Z$13</f>
        <v>0</v>
      </c>
      <c r="H34" s="31">
        <f>Calc!$AA$13</f>
        <v>0</v>
      </c>
      <c r="I34" s="31">
        <f>Calc!$AB$13</f>
        <v>0</v>
      </c>
      <c r="J34" s="31">
        <f>Calc!$AC$13</f>
        <v>0</v>
      </c>
      <c r="K34" s="31">
        <f>Calc!$AD$13</f>
        <v>0</v>
      </c>
      <c r="L34" s="32">
        <f>Calc!$AE$13</f>
        <v>0</v>
      </c>
      <c r="M34" s="29">
        <f>Calc!$AF$13</f>
        <v>0</v>
      </c>
      <c r="N34" s="30">
        <f>IFERROR(Calc!$V$13/Calc!$AF$13-1,"")</f>
        <v>0</v>
      </c>
    </row>
    <row r="35" spans="1:18">
      <c r="A35" s="28">
        <f>Calc!$U$14</f>
        <v>0</v>
      </c>
      <c r="B35" s="29">
        <f>Calc!$V$14</f>
        <v>0</v>
      </c>
      <c r="C35" s="29">
        <f>Calc!$W$14</f>
        <v>0</v>
      </c>
      <c r="D35" s="29">
        <f>Calc!$X$14</f>
        <v>0</v>
      </c>
      <c r="E35" s="29">
        <f>Calc!$Y$14</f>
        <v>0</v>
      </c>
      <c r="F35" s="30">
        <f>IFERROR(Calc!$Y$14/Calc!$V$14,"")</f>
        <v>0</v>
      </c>
      <c r="G35" s="31">
        <f>Calc!$Z$14</f>
        <v>0</v>
      </c>
      <c r="H35" s="31">
        <f>Calc!$AA$14</f>
        <v>0</v>
      </c>
      <c r="I35" s="31">
        <f>Calc!$AB$14</f>
        <v>0</v>
      </c>
      <c r="J35" s="31">
        <f>Calc!$AC$14</f>
        <v>0</v>
      </c>
      <c r="K35" s="31">
        <f>Calc!$AD$14</f>
        <v>0</v>
      </c>
      <c r="L35" s="32">
        <f>Calc!$AE$14</f>
        <v>0</v>
      </c>
      <c r="M35" s="29">
        <f>Calc!$AF$14</f>
        <v>0</v>
      </c>
      <c r="N35" s="30">
        <f>IFERROR(Calc!$V$14/Calc!$AF$14-1,"")</f>
        <v>0</v>
      </c>
    </row>
    <row r="36" spans="1:18">
      <c r="A36" s="28">
        <f>Calc!$U$15</f>
        <v>0</v>
      </c>
      <c r="B36" s="29">
        <f>Calc!$V$15</f>
        <v>0</v>
      </c>
      <c r="C36" s="29">
        <f>Calc!$W$15</f>
        <v>0</v>
      </c>
      <c r="D36" s="29">
        <f>Calc!$X$15</f>
        <v>0</v>
      </c>
      <c r="E36" s="29">
        <f>Calc!$Y$15</f>
        <v>0</v>
      </c>
      <c r="F36" s="30">
        <f>IFERROR(Calc!$Y$15/Calc!$V$15,"")</f>
        <v>0</v>
      </c>
      <c r="G36" s="31">
        <f>Calc!$Z$15</f>
        <v>0</v>
      </c>
      <c r="H36" s="31">
        <f>Calc!$AA$15</f>
        <v>0</v>
      </c>
      <c r="I36" s="31">
        <f>Calc!$AB$15</f>
        <v>0</v>
      </c>
      <c r="J36" s="31">
        <f>Calc!$AC$15</f>
        <v>0</v>
      </c>
      <c r="K36" s="31">
        <f>Calc!$AD$15</f>
        <v>0</v>
      </c>
      <c r="L36" s="32">
        <f>Calc!$AE$15</f>
        <v>0</v>
      </c>
      <c r="M36" s="29">
        <f>Calc!$AF$15</f>
        <v>0</v>
      </c>
      <c r="N36" s="30">
        <f>IFERROR(Calc!$V$15/Calc!$AF$15-1,"")</f>
        <v>0</v>
      </c>
    </row>
    <row r="37" spans="1:18">
      <c r="A37" s="28">
        <f>Calc!$U$16</f>
        <v>0</v>
      </c>
      <c r="B37" s="29">
        <f>Calc!$V$16</f>
        <v>0</v>
      </c>
      <c r="C37" s="29">
        <f>Calc!$W$16</f>
        <v>0</v>
      </c>
      <c r="D37" s="29">
        <f>Calc!$X$16</f>
        <v>0</v>
      </c>
      <c r="E37" s="29">
        <f>Calc!$Y$16</f>
        <v>0</v>
      </c>
      <c r="F37" s="30">
        <f>IFERROR(Calc!$Y$16/Calc!$V$16,"")</f>
        <v>0</v>
      </c>
      <c r="G37" s="31">
        <f>Calc!$Z$16</f>
        <v>0</v>
      </c>
      <c r="H37" s="31">
        <f>Calc!$AA$16</f>
        <v>0</v>
      </c>
      <c r="I37" s="31">
        <f>Calc!$AB$16</f>
        <v>0</v>
      </c>
      <c r="J37" s="31">
        <f>Calc!$AC$16</f>
        <v>0</v>
      </c>
      <c r="K37" s="31">
        <f>Calc!$AD$16</f>
        <v>0</v>
      </c>
      <c r="L37" s="32">
        <f>Calc!$AE$16</f>
        <v>0</v>
      </c>
      <c r="M37" s="29">
        <f>Calc!$AF$16</f>
        <v>0</v>
      </c>
      <c r="N37" s="30">
        <f>IFERROR(Calc!$V$16/Calc!$AF$16-1,"")</f>
        <v>0</v>
      </c>
    </row>
    <row r="38" spans="1:18">
      <c r="A38" s="13" t="s">
        <v>193</v>
      </c>
      <c r="B38" s="33">
        <f>SUM(B26:B37)</f>
        <v>0</v>
      </c>
      <c r="C38" s="33">
        <f>SUM(C26:C37)</f>
        <v>0</v>
      </c>
      <c r="D38" s="33">
        <f>SUM(D26:D37)</f>
        <v>0</v>
      </c>
      <c r="E38" s="33">
        <f>SUM(E26:E37)</f>
        <v>0</v>
      </c>
      <c r="F38" s="34">
        <f>IFERROR(E38/B38,"")</f>
        <v>0</v>
      </c>
      <c r="G38" s="35">
        <f>SUM(G26:G37)</f>
        <v>0</v>
      </c>
      <c r="H38" s="35">
        <f>SUM(H26:H37)</f>
        <v>0</v>
      </c>
      <c r="I38" s="35">
        <f>SUM(I26:I37)</f>
        <v>0</v>
      </c>
      <c r="J38" s="35">
        <f>SUM(J26:J37)</f>
        <v>0</v>
      </c>
      <c r="K38" s="35">
        <f>SUM(K26:K37)</f>
        <v>0</v>
      </c>
      <c r="L38" s="36">
        <f>SUM(L26:L37)</f>
        <v>0</v>
      </c>
      <c r="M38" s="33">
        <f>SUM(M26:M37)</f>
        <v>0</v>
      </c>
      <c r="N38" s="34">
        <f>IFERROR(B38/M38-1,"")</f>
        <v>0</v>
      </c>
    </row>
    <row r="39" spans="1:18">
      <c r="A39" s="18" t="s">
        <v>194</v>
      </c>
      <c r="C39" s="16"/>
      <c r="F39" s="16"/>
      <c r="H39" s="16"/>
      <c r="I39" s="16"/>
      <c r="J39" s="16"/>
      <c r="K39" s="16"/>
      <c r="L39" s="16"/>
      <c r="M39" s="16"/>
      <c r="N39" s="16"/>
    </row>
    <row r="41" spans="1:18" ht="20" customHeight="1">
      <c r="A41" s="6" t="s">
        <v>195</v>
      </c>
      <c r="B41" s="6"/>
      <c r="C41" s="6"/>
      <c r="D41" s="6"/>
      <c r="E41" s="6"/>
      <c r="F41" s="6"/>
      <c r="G41" s="6"/>
      <c r="H41" s="6"/>
      <c r="I41" s="6"/>
      <c r="J41" s="6"/>
      <c r="K41" s="6"/>
      <c r="L41" s="6"/>
      <c r="M41" s="6"/>
      <c r="N41" s="6"/>
      <c r="O41" s="6"/>
      <c r="P41" s="6"/>
      <c r="Q41" s="6"/>
      <c r="R41" s="6"/>
    </row>
    <row r="42" spans="1:18">
      <c r="A42" s="37" t="s">
        <v>196</v>
      </c>
      <c r="B42" s="37"/>
      <c r="C42" s="37"/>
      <c r="D42" s="37"/>
      <c r="E42" s="37"/>
      <c r="F42" s="37"/>
      <c r="H42" s="37" t="s">
        <v>197</v>
      </c>
      <c r="I42" s="37"/>
      <c r="J42" s="37"/>
      <c r="K42" s="37"/>
      <c r="L42" s="37"/>
      <c r="M42" s="37"/>
    </row>
    <row r="43" spans="1:18" ht="26" customHeight="1">
      <c r="A43" s="8" t="s">
        <v>198</v>
      </c>
      <c r="B43" s="9" t="s">
        <v>27</v>
      </c>
      <c r="C43" s="9" t="s">
        <v>186</v>
      </c>
      <c r="D43" s="9" t="s">
        <v>199</v>
      </c>
      <c r="H43" s="8" t="s">
        <v>200</v>
      </c>
      <c r="I43" s="9" t="s">
        <v>201</v>
      </c>
      <c r="J43" s="9" t="s">
        <v>199</v>
      </c>
      <c r="K43" s="9" t="s">
        <v>202</v>
      </c>
    </row>
    <row r="44" spans="1:18">
      <c r="A44" s="28">
        <f>IF(Calc!$I$5="","",Calc!$I$5)</f>
        <v>0</v>
      </c>
      <c r="B44" s="31">
        <f>IF(Calc!$I$5="","",Calc!$K$5)</f>
        <v>0</v>
      </c>
      <c r="C44" s="29">
        <f>IF(Calc!$I$5="","",Calc!$J$5)</f>
        <v>0</v>
      </c>
      <c r="D44" s="30">
        <f>IFERROR(Calc!$J$5/SUM(Calc!$J$5:$J$254),"")</f>
        <v>0</v>
      </c>
      <c r="H44" s="28">
        <f>IF(Calc!$P$5="","",Calc!$P$5)</f>
        <v>0</v>
      </c>
      <c r="I44" s="29">
        <f>IF(Calc!$P$5="","",Calc!$Q$5)</f>
        <v>0</v>
      </c>
      <c r="J44" s="30">
        <f>IFERROR(Calc!$Q$5/SUM(Calc!$Q$5:$Q$254),"")</f>
        <v>0</v>
      </c>
      <c r="K44" s="28" t="s">
        <v>202</v>
      </c>
    </row>
    <row r="45" spans="1:18">
      <c r="A45" s="28">
        <f>IF(Calc!$I$6="","",Calc!$I$6)</f>
        <v>0</v>
      </c>
      <c r="B45" s="31">
        <f>IF(Calc!$I$6="","",Calc!$K$6)</f>
        <v>0</v>
      </c>
      <c r="C45" s="29">
        <f>IF(Calc!$I$6="","",Calc!$J$6)</f>
        <v>0</v>
      </c>
      <c r="D45" s="30">
        <f>IFERROR(Calc!$J$6/SUM(Calc!$J$5:$J$254),"")</f>
        <v>0</v>
      </c>
      <c r="H45" s="28">
        <f>IF(Calc!$P$6="","",Calc!$P$6)</f>
        <v>0</v>
      </c>
      <c r="I45" s="29">
        <f>IF(Calc!$P$6="","",Calc!$Q$6)</f>
        <v>0</v>
      </c>
      <c r="J45" s="30">
        <f>IFERROR(Calc!$Q$6/SUM(Calc!$Q$5:$Q$254),"")</f>
        <v>0</v>
      </c>
      <c r="K45" s="28" t="s">
        <v>202</v>
      </c>
    </row>
    <row r="46" spans="1:18">
      <c r="A46" s="28">
        <f>IF(Calc!$I$7="","",Calc!$I$7)</f>
        <v>0</v>
      </c>
      <c r="B46" s="31">
        <f>IF(Calc!$I$7="","",Calc!$K$7)</f>
        <v>0</v>
      </c>
      <c r="C46" s="29">
        <f>IF(Calc!$I$7="","",Calc!$J$7)</f>
        <v>0</v>
      </c>
      <c r="D46" s="30">
        <f>IFERROR(Calc!$J$7/SUM(Calc!$J$5:$J$254),"")</f>
        <v>0</v>
      </c>
      <c r="H46" s="28">
        <f>IF(Calc!$P$7="","",Calc!$P$7)</f>
        <v>0</v>
      </c>
      <c r="I46" s="29">
        <f>IF(Calc!$P$7="","",Calc!$Q$7)</f>
        <v>0</v>
      </c>
      <c r="J46" s="30">
        <f>IFERROR(Calc!$Q$7/SUM(Calc!$Q$5:$Q$254),"")</f>
        <v>0</v>
      </c>
      <c r="K46" s="28" t="s">
        <v>202</v>
      </c>
    </row>
    <row r="47" spans="1:18">
      <c r="A47" s="28">
        <f>IF(Calc!$I$8="","",Calc!$I$8)</f>
        <v>0</v>
      </c>
      <c r="B47" s="31">
        <f>IF(Calc!$I$8="","",Calc!$K$8)</f>
        <v>0</v>
      </c>
      <c r="C47" s="29">
        <f>IF(Calc!$I$8="","",Calc!$J$8)</f>
        <v>0</v>
      </c>
      <c r="D47" s="30">
        <f>IFERROR(Calc!$J$8/SUM(Calc!$J$5:$J$254),"")</f>
        <v>0</v>
      </c>
      <c r="H47" s="28">
        <f>IF(Calc!$P$8="","",Calc!$P$8)</f>
        <v>0</v>
      </c>
      <c r="I47" s="29">
        <f>IF(Calc!$P$8="","",Calc!$Q$8)</f>
        <v>0</v>
      </c>
      <c r="J47" s="30">
        <f>IFERROR(Calc!$Q$8/SUM(Calc!$Q$5:$Q$254),"")</f>
        <v>0</v>
      </c>
      <c r="K47" s="28" t="s">
        <v>202</v>
      </c>
    </row>
    <row r="48" spans="1:18">
      <c r="A48" s="28">
        <f>IF(Calc!$I$9="","",Calc!$I$9)</f>
        <v>0</v>
      </c>
      <c r="B48" s="31">
        <f>IF(Calc!$I$9="","",Calc!$K$9)</f>
        <v>0</v>
      </c>
      <c r="C48" s="29">
        <f>IF(Calc!$I$9="","",Calc!$J$9)</f>
        <v>0</v>
      </c>
      <c r="D48" s="30">
        <f>IFERROR(Calc!$J$9/SUM(Calc!$J$5:$J$254),"")</f>
        <v>0</v>
      </c>
      <c r="H48" s="28">
        <f>IF(Calc!$P$9="","",Calc!$P$9)</f>
        <v>0</v>
      </c>
      <c r="I48" s="29">
        <f>IF(Calc!$P$9="","",Calc!$Q$9)</f>
        <v>0</v>
      </c>
      <c r="J48" s="30">
        <f>IFERROR(Calc!$Q$9/SUM(Calc!$Q$5:$Q$254),"")</f>
        <v>0</v>
      </c>
      <c r="K48" s="28" t="s">
        <v>202</v>
      </c>
    </row>
    <row r="49" spans="1:18">
      <c r="A49" s="28">
        <f>IF(Calc!$I$10="","",Calc!$I$10)</f>
        <v>0</v>
      </c>
      <c r="B49" s="31">
        <f>IF(Calc!$I$10="","",Calc!$K$10)</f>
        <v>0</v>
      </c>
      <c r="C49" s="29">
        <f>IF(Calc!$I$10="","",Calc!$J$10)</f>
        <v>0</v>
      </c>
      <c r="D49" s="30">
        <f>IFERROR(Calc!$J$10/SUM(Calc!$J$5:$J$254),"")</f>
        <v>0</v>
      </c>
      <c r="H49" s="28">
        <f>IF(Calc!$P$10="","",Calc!$P$10)</f>
        <v>0</v>
      </c>
      <c r="I49" s="29">
        <f>IF(Calc!$P$10="","",Calc!$Q$10)</f>
        <v>0</v>
      </c>
      <c r="J49" s="30">
        <f>IFERROR(Calc!$Q$10/SUM(Calc!$Q$5:$Q$254),"")</f>
        <v>0</v>
      </c>
      <c r="K49" s="28" t="s">
        <v>202</v>
      </c>
    </row>
    <row r="50" spans="1:18">
      <c r="A50" s="28">
        <f>IF(Calc!$I$11="","",Calc!$I$11)</f>
        <v>0</v>
      </c>
      <c r="B50" s="31">
        <f>IF(Calc!$I$11="","",Calc!$K$11)</f>
        <v>0</v>
      </c>
      <c r="C50" s="29">
        <f>IF(Calc!$I$11="","",Calc!$J$11)</f>
        <v>0</v>
      </c>
      <c r="D50" s="30">
        <f>IFERROR(Calc!$J$11/SUM(Calc!$J$5:$J$254),"")</f>
        <v>0</v>
      </c>
      <c r="H50" s="28">
        <f>IF(Calc!$P$11="","",Calc!$P$11)</f>
        <v>0</v>
      </c>
      <c r="I50" s="29">
        <f>IF(Calc!$P$11="","",Calc!$Q$11)</f>
        <v>0</v>
      </c>
      <c r="J50" s="30">
        <f>IFERROR(Calc!$Q$11/SUM(Calc!$Q$5:$Q$254),"")</f>
        <v>0</v>
      </c>
      <c r="K50" s="28" t="s">
        <v>202</v>
      </c>
    </row>
    <row r="51" spans="1:18">
      <c r="A51" s="28">
        <f>IF(Calc!$I$12="","",Calc!$I$12)</f>
        <v>0</v>
      </c>
      <c r="B51" s="31">
        <f>IF(Calc!$I$12="","",Calc!$K$12)</f>
        <v>0</v>
      </c>
      <c r="C51" s="29">
        <f>IF(Calc!$I$12="","",Calc!$J$12)</f>
        <v>0</v>
      </c>
      <c r="D51" s="30">
        <f>IFERROR(Calc!$J$12/SUM(Calc!$J$5:$J$254),"")</f>
        <v>0</v>
      </c>
      <c r="H51" s="28">
        <f>IF(Calc!$P$12="","",Calc!$P$12)</f>
        <v>0</v>
      </c>
      <c r="I51" s="29">
        <f>IF(Calc!$P$12="","",Calc!$Q$12)</f>
        <v>0</v>
      </c>
      <c r="J51" s="30">
        <f>IFERROR(Calc!$Q$12/SUM(Calc!$Q$5:$Q$254),"")</f>
        <v>0</v>
      </c>
      <c r="K51" s="28" t="s">
        <v>202</v>
      </c>
    </row>
    <row r="52" spans="1:18">
      <c r="A52" s="28">
        <f>IF(Calc!$I$13="","",Calc!$I$13)</f>
        <v>0</v>
      </c>
      <c r="B52" s="31">
        <f>IF(Calc!$I$13="","",Calc!$K$13)</f>
        <v>0</v>
      </c>
      <c r="C52" s="29">
        <f>IF(Calc!$I$13="","",Calc!$J$13)</f>
        <v>0</v>
      </c>
      <c r="D52" s="30">
        <f>IFERROR(Calc!$J$13/SUM(Calc!$J$5:$J$254),"")</f>
        <v>0</v>
      </c>
      <c r="H52" s="28">
        <f>IF(Calc!$P$13="","",Calc!$P$13)</f>
        <v>0</v>
      </c>
      <c r="I52" s="29">
        <f>IF(Calc!$P$13="","",Calc!$Q$13)</f>
        <v>0</v>
      </c>
      <c r="J52" s="30">
        <f>IFERROR(Calc!$Q$13/SUM(Calc!$Q$5:$Q$254),"")</f>
        <v>0</v>
      </c>
      <c r="K52" s="28" t="s">
        <v>202</v>
      </c>
    </row>
    <row r="53" spans="1:18">
      <c r="A53" s="28">
        <f>IF(Calc!$I$14="","",Calc!$I$14)</f>
        <v>0</v>
      </c>
      <c r="B53" s="31">
        <f>IF(Calc!$I$14="","",Calc!$K$14)</f>
        <v>0</v>
      </c>
      <c r="C53" s="29">
        <f>IF(Calc!$I$14="","",Calc!$J$14)</f>
        <v>0</v>
      </c>
      <c r="D53" s="30">
        <f>IFERROR(Calc!$J$14/SUM(Calc!$J$5:$J$254),"")</f>
        <v>0</v>
      </c>
      <c r="H53" s="28">
        <f>IF(Calc!$P$14="","",Calc!$P$14)</f>
        <v>0</v>
      </c>
      <c r="I53" s="29">
        <f>IF(Calc!$P$14="","",Calc!$Q$14)</f>
        <v>0</v>
      </c>
      <c r="J53" s="30">
        <f>IFERROR(Calc!$Q$14/SUM(Calc!$Q$5:$Q$254),"")</f>
        <v>0</v>
      </c>
      <c r="K53" s="28" t="s">
        <v>202</v>
      </c>
    </row>
    <row r="54" spans="1:18">
      <c r="A54" s="28">
        <f>IF(Calc!$I$15="","",Calc!$I$15)</f>
        <v>0</v>
      </c>
      <c r="B54" s="31">
        <f>IF(Calc!$I$15="","",Calc!$K$15)</f>
        <v>0</v>
      </c>
      <c r="C54" s="29">
        <f>IF(Calc!$I$15="","",Calc!$J$15)</f>
        <v>0</v>
      </c>
      <c r="D54" s="30">
        <f>IFERROR(Calc!$J$15/SUM(Calc!$J$5:$J$254),"")</f>
        <v>0</v>
      </c>
      <c r="H54" s="28">
        <f>IF(Calc!$P$15="","",Calc!$P$15)</f>
        <v>0</v>
      </c>
      <c r="I54" s="29">
        <f>IF(Calc!$P$15="","",Calc!$Q$15)</f>
        <v>0</v>
      </c>
      <c r="J54" s="30">
        <f>IFERROR(Calc!$Q$15/SUM(Calc!$Q$5:$Q$254),"")</f>
        <v>0</v>
      </c>
      <c r="K54" s="28" t="s">
        <v>202</v>
      </c>
    </row>
    <row r="55" spans="1:18">
      <c r="A55" s="28">
        <f>IF(Calc!$I$16="","",Calc!$I$16)</f>
        <v>0</v>
      </c>
      <c r="B55" s="31">
        <f>IF(Calc!$I$16="","",Calc!$K$16)</f>
        <v>0</v>
      </c>
      <c r="C55" s="29">
        <f>IF(Calc!$I$16="","",Calc!$J$16)</f>
        <v>0</v>
      </c>
      <c r="D55" s="30">
        <f>IFERROR(Calc!$J$16/SUM(Calc!$J$5:$J$254),"")</f>
        <v>0</v>
      </c>
      <c r="H55" s="28">
        <f>IF(Calc!$P$16="","",Calc!$P$16)</f>
        <v>0</v>
      </c>
      <c r="I55" s="29">
        <f>IF(Calc!$P$16="","",Calc!$Q$16)</f>
        <v>0</v>
      </c>
      <c r="J55" s="30">
        <f>IFERROR(Calc!$Q$16/SUM(Calc!$Q$5:$Q$254),"")</f>
        <v>0</v>
      </c>
      <c r="K55" s="28" t="s">
        <v>202</v>
      </c>
    </row>
    <row r="56" spans="1:18">
      <c r="A56" s="28">
        <f>IF(Calc!$I$17="","",Calc!$I$17)</f>
        <v>0</v>
      </c>
      <c r="B56" s="31">
        <f>IF(Calc!$I$17="","",Calc!$K$17)</f>
        <v>0</v>
      </c>
      <c r="C56" s="29">
        <f>IF(Calc!$I$17="","",Calc!$J$17)</f>
        <v>0</v>
      </c>
      <c r="D56" s="30">
        <f>IFERROR(Calc!$J$17/SUM(Calc!$J$5:$J$254),"")</f>
        <v>0</v>
      </c>
      <c r="H56" s="28">
        <f>IF(Calc!$P$17="","",Calc!$P$17)</f>
        <v>0</v>
      </c>
      <c r="I56" s="29">
        <f>IF(Calc!$P$17="","",Calc!$Q$17)</f>
        <v>0</v>
      </c>
      <c r="J56" s="30">
        <f>IFERROR(Calc!$Q$17/SUM(Calc!$Q$5:$Q$254),"")</f>
        <v>0</v>
      </c>
      <c r="K56" s="28" t="s">
        <v>202</v>
      </c>
    </row>
    <row r="57" spans="1:18">
      <c r="A57" s="28">
        <f>IF(Calc!$I$18="","",Calc!$I$18)</f>
        <v>0</v>
      </c>
      <c r="B57" s="31">
        <f>IF(Calc!$I$18="","",Calc!$K$18)</f>
        <v>0</v>
      </c>
      <c r="C57" s="29">
        <f>IF(Calc!$I$18="","",Calc!$J$18)</f>
        <v>0</v>
      </c>
      <c r="D57" s="30">
        <f>IFERROR(Calc!$J$18/SUM(Calc!$J$5:$J$254),"")</f>
        <v>0</v>
      </c>
      <c r="H57" s="28">
        <f>IF(Calc!$P$18="","",Calc!$P$18)</f>
        <v>0</v>
      </c>
      <c r="I57" s="29">
        <f>IF(Calc!$P$18="","",Calc!$Q$18)</f>
        <v>0</v>
      </c>
      <c r="J57" s="30">
        <f>IFERROR(Calc!$Q$18/SUM(Calc!$Q$5:$Q$254),"")</f>
        <v>0</v>
      </c>
      <c r="K57" s="28" t="s">
        <v>202</v>
      </c>
    </row>
    <row r="58" spans="1:18">
      <c r="A58" s="28">
        <f>IF(Calc!$I$19="","",Calc!$I$19)</f>
        <v>0</v>
      </c>
      <c r="B58" s="31">
        <f>IF(Calc!$I$19="","",Calc!$K$19)</f>
        <v>0</v>
      </c>
      <c r="C58" s="29">
        <f>IF(Calc!$I$19="","",Calc!$J$19)</f>
        <v>0</v>
      </c>
      <c r="D58" s="30">
        <f>IFERROR(Calc!$J$19/SUM(Calc!$J$5:$J$254),"")</f>
        <v>0</v>
      </c>
      <c r="H58" s="28">
        <f>IF(Calc!$P$19="","",Calc!$P$19)</f>
        <v>0</v>
      </c>
      <c r="I58" s="29">
        <f>IF(Calc!$P$19="","",Calc!$Q$19)</f>
        <v>0</v>
      </c>
      <c r="J58" s="30">
        <f>IFERROR(Calc!$Q$19/SUM(Calc!$Q$5:$Q$254),"")</f>
        <v>0</v>
      </c>
      <c r="K58" s="28" t="s">
        <v>202</v>
      </c>
    </row>
    <row r="59" spans="1:18">
      <c r="A59" s="28">
        <f>IF(Calc!$I$20="","",Calc!$I$20)</f>
        <v>0</v>
      </c>
      <c r="B59" s="31">
        <f>IF(Calc!$I$20="","",Calc!$K$20)</f>
        <v>0</v>
      </c>
      <c r="C59" s="29">
        <f>IF(Calc!$I$20="","",Calc!$J$20)</f>
        <v>0</v>
      </c>
      <c r="D59" s="30">
        <f>IFERROR(Calc!$J$20/SUM(Calc!$J$5:$J$254),"")</f>
        <v>0</v>
      </c>
      <c r="H59" s="28">
        <f>IF(Calc!$P$20="","",Calc!$P$20)</f>
        <v>0</v>
      </c>
      <c r="I59" s="29">
        <f>IF(Calc!$P$20="","",Calc!$Q$20)</f>
        <v>0</v>
      </c>
      <c r="J59" s="30">
        <f>IFERROR(Calc!$Q$20/SUM(Calc!$Q$5:$Q$254),"")</f>
        <v>0</v>
      </c>
      <c r="K59" s="28" t="s">
        <v>202</v>
      </c>
    </row>
    <row r="60" spans="1:18">
      <c r="H60" s="28">
        <f>IF(Calc!$P$21="","",Calc!$P$21)</f>
        <v>0</v>
      </c>
      <c r="I60" s="29">
        <f>IF(Calc!$P$21="","",Calc!$Q$21)</f>
        <v>0</v>
      </c>
      <c r="J60" s="30">
        <f>IFERROR(Calc!$Q$21/SUM(Calc!$Q$5:$Q$254),"")</f>
        <v>0</v>
      </c>
      <c r="K60" s="28" t="s">
        <v>202</v>
      </c>
    </row>
    <row r="61" spans="1:18">
      <c r="H61" s="28">
        <f>IF(Calc!$P$22="","",Calc!$P$22)</f>
        <v>0</v>
      </c>
      <c r="I61" s="29">
        <f>IF(Calc!$P$22="","",Calc!$Q$22)</f>
        <v>0</v>
      </c>
      <c r="J61" s="30">
        <f>IFERROR(Calc!$Q$22/SUM(Calc!$Q$5:$Q$254),"")</f>
        <v>0</v>
      </c>
      <c r="K61" s="28" t="s">
        <v>202</v>
      </c>
    </row>
    <row r="62" spans="1:18">
      <c r="H62" s="28">
        <f>IF(Calc!$P$23="","",Calc!$P$23)</f>
        <v>0</v>
      </c>
      <c r="I62" s="29">
        <f>IF(Calc!$P$23="","",Calc!$Q$23)</f>
        <v>0</v>
      </c>
      <c r="J62" s="30">
        <f>IFERROR(Calc!$Q$23/SUM(Calc!$Q$5:$Q$254),"")</f>
        <v>0</v>
      </c>
      <c r="K62" s="28" t="s">
        <v>202</v>
      </c>
    </row>
    <row r="64" spans="1:18" ht="20" customHeight="1">
      <c r="A64" s="6" t="s">
        <v>203</v>
      </c>
      <c r="B64" s="6"/>
      <c r="C64" s="6"/>
      <c r="D64" s="6"/>
      <c r="E64" s="6"/>
      <c r="F64" s="6"/>
      <c r="G64" s="6"/>
      <c r="H64" s="6"/>
      <c r="I64" s="6"/>
      <c r="J64" s="6"/>
      <c r="K64" s="6"/>
      <c r="L64" s="6"/>
      <c r="M64" s="6"/>
      <c r="N64" s="6"/>
      <c r="O64" s="6"/>
      <c r="P64" s="6"/>
      <c r="Q64" s="6"/>
      <c r="R64" s="6"/>
    </row>
    <row r="65" spans="1:18">
      <c r="A65" s="37" t="s">
        <v>204</v>
      </c>
      <c r="B65" s="37"/>
      <c r="C65" s="37"/>
      <c r="D65" s="37"/>
      <c r="E65" s="37"/>
      <c r="F65" s="37"/>
      <c r="H65" s="37" t="s">
        <v>205</v>
      </c>
      <c r="I65" s="37"/>
      <c r="J65" s="37"/>
      <c r="K65" s="37"/>
      <c r="L65" s="37"/>
      <c r="M65" s="37"/>
    </row>
    <row r="66" spans="1:18" ht="26" customHeight="1">
      <c r="A66" s="8" t="s">
        <v>206</v>
      </c>
      <c r="B66" s="9" t="s">
        <v>207</v>
      </c>
      <c r="C66" s="9" t="s">
        <v>186</v>
      </c>
      <c r="D66" s="9" t="s">
        <v>199</v>
      </c>
      <c r="H66" s="8" t="s">
        <v>208</v>
      </c>
      <c r="I66" s="9" t="s">
        <v>209</v>
      </c>
      <c r="J66" s="9" t="s">
        <v>210</v>
      </c>
      <c r="K66" s="9" t="s">
        <v>202</v>
      </c>
    </row>
    <row r="67" spans="1:18">
      <c r="A67" s="31">
        <v>1</v>
      </c>
      <c r="B67" s="28">
        <f>IFERROR(INDEX(Calc!$A$5:$A$254,MATCH(LARGE(Calc!$C$5:$C$254,1),Calc!$C$5:$C$254,0)),"")</f>
        <v>0</v>
      </c>
      <c r="C67" s="29">
        <f>IFERROR(INDEX(Calc!$B$5:$B$254,MATCH(LARGE(Calc!$C$5:$C$254,1),Calc!$C$5:$C$254,0)),"")</f>
        <v>0</v>
      </c>
      <c r="D67" s="30">
        <f>IFERROR(INDEX(Calc!$B$5:$B$254,MATCH(LARGE(Calc!$C$5:$C$254,1),Calc!$C$5:$C$254,0))/SUM(Calc!$B$5:$B$254),"")</f>
        <v>0</v>
      </c>
      <c r="H67" s="28" t="s">
        <v>211</v>
      </c>
      <c r="I67" s="31">
        <f>COUNTIFS(Invoices!$U$5:$U$304,"Overdue")+COUNTIFS(Invoices!$U$5:$U$304,"Overdue - part paid")</f>
        <v>0</v>
      </c>
      <c r="J67" s="29">
        <f>SUMIFS(Invoices!$S$5:$S$304,Invoices!$U$5:$U$304,"Overdue")+SUMIFS(Invoices!$S$5:$S$304,Invoices!$U$5:$U$304,"Overdue - part paid")</f>
        <v>0</v>
      </c>
      <c r="K67" s="28" t="s">
        <v>202</v>
      </c>
    </row>
    <row r="68" spans="1:18">
      <c r="A68" s="31">
        <v>2</v>
      </c>
      <c r="B68" s="28">
        <f>IFERROR(INDEX(Calc!$A$5:$A$254,MATCH(LARGE(Calc!$C$5:$C$254,2),Calc!$C$5:$C$254,0)),"")</f>
        <v>0</v>
      </c>
      <c r="C68" s="29">
        <f>IFERROR(INDEX(Calc!$B$5:$B$254,MATCH(LARGE(Calc!$C$5:$C$254,2),Calc!$C$5:$C$254,0)),"")</f>
        <v>0</v>
      </c>
      <c r="D68" s="30">
        <f>IFERROR(INDEX(Calc!$B$5:$B$254,MATCH(LARGE(Calc!$C$5:$C$254,2),Calc!$C$5:$C$254,0))/SUM(Calc!$B$5:$B$254),"")</f>
        <v>0</v>
      </c>
      <c r="H68" s="28" t="s">
        <v>181</v>
      </c>
      <c r="I68" s="31">
        <f>COUNTIFS(Bookings!$I$5:$I$404,"&gt;="&amp;TODAY(),Bookings!$AN$5:$AN$404,"&lt;&gt;Yes",Bookings!$AM$5:$AM$404,"&lt;&gt;Cancelled")</f>
        <v>0</v>
      </c>
      <c r="J68" s="29">
        <f>SUMIFS(Bookings!$AK$5:$AK$404,Bookings!$I$5:$I$404,"&gt;="&amp;TODAY(),Bookings!$AN$5:$AN$404,"&lt;&gt;Yes",Bookings!$AM$5:$AM$404,"&lt;&gt;Cancelled")</f>
        <v>0</v>
      </c>
      <c r="K68" s="28" t="s">
        <v>202</v>
      </c>
    </row>
    <row r="69" spans="1:18">
      <c r="A69" s="31">
        <v>3</v>
      </c>
      <c r="B69" s="28">
        <f>IFERROR(INDEX(Calc!$A$5:$A$254,MATCH(LARGE(Calc!$C$5:$C$254,3),Calc!$C$5:$C$254,0)),"")</f>
        <v>0</v>
      </c>
      <c r="C69" s="29">
        <f>IFERROR(INDEX(Calc!$B$5:$B$254,MATCH(LARGE(Calc!$C$5:$C$254,3),Calc!$C$5:$C$254,0)),"")</f>
        <v>0</v>
      </c>
      <c r="D69" s="30">
        <f>IFERROR(INDEX(Calc!$B$5:$B$254,MATCH(LARGE(Calc!$C$5:$C$254,3),Calc!$C$5:$C$254,0))/SUM(Calc!$B$5:$B$254),"")</f>
        <v>0</v>
      </c>
      <c r="H69" s="28" t="s">
        <v>212</v>
      </c>
      <c r="I69" s="31">
        <f>COUNTIF(Bookings!$AR$5:$AR$404,"Conflict*")</f>
        <v>0</v>
      </c>
      <c r="J69" s="29" t="s">
        <v>202</v>
      </c>
      <c r="K69" s="28" t="s">
        <v>202</v>
      </c>
    </row>
    <row r="70" spans="1:18">
      <c r="A70" s="31">
        <v>4</v>
      </c>
      <c r="B70" s="28">
        <f>IFERROR(INDEX(Calc!$A$5:$A$254,MATCH(LARGE(Calc!$C$5:$C$254,4),Calc!$C$5:$C$254,0)),"")</f>
        <v>0</v>
      </c>
      <c r="C70" s="29">
        <f>IFERROR(INDEX(Calc!$B$5:$B$254,MATCH(LARGE(Calc!$C$5:$C$254,4),Calc!$C$5:$C$254,0)),"")</f>
        <v>0</v>
      </c>
      <c r="D70" s="30">
        <f>IFERROR(INDEX(Calc!$B$5:$B$254,MATCH(LARGE(Calc!$C$5:$C$254,4),Calc!$C$5:$C$254,0))/SUM(Calc!$B$5:$B$254),"")</f>
        <v>0</v>
      </c>
      <c r="H70" s="28" t="s">
        <v>213</v>
      </c>
      <c r="I70" s="31">
        <f>COUNTIFS(Bookings!$AM$5:$AM$404,"Completed",Bookings!$AS$5:$AS$404,"No")</f>
        <v>0</v>
      </c>
      <c r="J70" s="29" t="s">
        <v>202</v>
      </c>
      <c r="K70" s="28" t="s">
        <v>202</v>
      </c>
    </row>
    <row r="71" spans="1:18">
      <c r="A71" s="31">
        <v>5</v>
      </c>
      <c r="B71" s="28">
        <f>IFERROR(INDEX(Calc!$A$5:$A$254,MATCH(LARGE(Calc!$C$5:$C$254,5),Calc!$C$5:$C$254,0)),"")</f>
        <v>0</v>
      </c>
      <c r="C71" s="29">
        <f>IFERROR(INDEX(Calc!$B$5:$B$254,MATCH(LARGE(Calc!$C$5:$C$254,5),Calc!$C$5:$C$254,0)),"")</f>
        <v>0</v>
      </c>
      <c r="D71" s="30">
        <f>IFERROR(INDEX(Calc!$B$5:$B$254,MATCH(LARGE(Calc!$C$5:$C$254,5),Calc!$C$5:$C$254,0))/SUM(Calc!$B$5:$B$254),"")</f>
        <v>0</v>
      </c>
      <c r="H71" s="28" t="s">
        <v>214</v>
      </c>
      <c r="I71" s="31">
        <f>COUNTIF(Pets!$Y$5:$Y$254,"Expired")+COUNTIF(Pets!$Y$5:$Y$254,"Due in*")</f>
        <v>0</v>
      </c>
      <c r="J71" s="29" t="s">
        <v>202</v>
      </c>
      <c r="K71" s="28" t="s">
        <v>202</v>
      </c>
    </row>
    <row r="72" spans="1:18">
      <c r="A72" s="31">
        <v>6</v>
      </c>
      <c r="B72" s="28">
        <f>IFERROR(INDEX(Calc!$A$5:$A$254,MATCH(LARGE(Calc!$C$5:$C$254,6),Calc!$C$5:$C$254,0)),"")</f>
        <v>0</v>
      </c>
      <c r="C72" s="29">
        <f>IFERROR(INDEX(Calc!$B$5:$B$254,MATCH(LARGE(Calc!$C$5:$C$254,6),Calc!$C$5:$C$254,0)),"")</f>
        <v>0</v>
      </c>
      <c r="D72" s="30">
        <f>IFERROR(INDEX(Calc!$B$5:$B$254,MATCH(LARGE(Calc!$C$5:$C$254,6),Calc!$C$5:$C$254,0))/SUM(Calc!$B$5:$B$254),"")</f>
        <v>0</v>
      </c>
      <c r="H72" s="28" t="s">
        <v>215</v>
      </c>
      <c r="I72" s="31">
        <f>COUNTIF('Health Log'!$L$5:$L$204,"Missed")+COUNTIF('Health Log'!$O$5:$O$204,"Overdue*")</f>
        <v>0</v>
      </c>
      <c r="J72" s="29" t="s">
        <v>202</v>
      </c>
      <c r="K72" s="28" t="s">
        <v>202</v>
      </c>
    </row>
    <row r="73" spans="1:18">
      <c r="A73" s="31">
        <v>7</v>
      </c>
      <c r="B73" s="28">
        <f>IFERROR(INDEX(Calc!$A$5:$A$254,MATCH(LARGE(Calc!$C$5:$C$254,7),Calc!$C$5:$C$254,0)),"")</f>
        <v>0</v>
      </c>
      <c r="C73" s="29">
        <f>IFERROR(INDEX(Calc!$B$5:$B$254,MATCH(LARGE(Calc!$C$5:$C$254,7),Calc!$C$5:$C$254,0)),"")</f>
        <v>0</v>
      </c>
      <c r="D73" s="30">
        <f>IFERROR(INDEX(Calc!$B$5:$B$254,MATCH(LARGE(Calc!$C$5:$C$254,7),Calc!$C$5:$C$254,0))/SUM(Calc!$B$5:$B$254),"")</f>
        <v>0</v>
      </c>
      <c r="H73" s="28" t="s">
        <v>216</v>
      </c>
      <c r="I73" s="31">
        <f>COUNTIF(Incidents!$R$18:$R$117,"Open")+COUNTIF(Incidents!$R$18:$R$117,"In progress")</f>
        <v>0</v>
      </c>
      <c r="J73" s="29" t="s">
        <v>202</v>
      </c>
      <c r="K73" s="28" t="s">
        <v>202</v>
      </c>
    </row>
    <row r="74" spans="1:18">
      <c r="A74" s="31">
        <v>8</v>
      </c>
      <c r="B74" s="28">
        <f>IFERROR(INDEX(Calc!$A$5:$A$254,MATCH(LARGE(Calc!$C$5:$C$254,8),Calc!$C$5:$C$254,0)),"")</f>
        <v>0</v>
      </c>
      <c r="C74" s="29">
        <f>IFERROR(INDEX(Calc!$B$5:$B$254,MATCH(LARGE(Calc!$C$5:$C$254,8),Calc!$C$5:$C$254,0)),"")</f>
        <v>0</v>
      </c>
      <c r="D74" s="30">
        <f>IFERROR(INDEX(Calc!$B$5:$B$254,MATCH(LARGE(Calc!$C$5:$C$254,8),Calc!$C$5:$C$254,0))/SUM(Calc!$B$5:$B$254),"")</f>
        <v>0</v>
      </c>
      <c r="H74" s="28" t="s">
        <v>217</v>
      </c>
      <c r="I74" s="31">
        <f>COUNTIF(Inventory!$K$5:$K$124,"Low*")+COUNTIF(Inventory!$K$5:$K$124,"Out of stock")</f>
        <v>0</v>
      </c>
      <c r="J74" s="29">
        <f>SUMIFS(Inventory!$J$5:$J$124,Inventory!$K$5:$K$124,"Out of stock")</f>
        <v>0</v>
      </c>
      <c r="K74" s="28" t="s">
        <v>202</v>
      </c>
    </row>
    <row r="75" spans="1:18">
      <c r="A75" s="31">
        <v>9</v>
      </c>
      <c r="B75" s="28">
        <f>IFERROR(INDEX(Calc!$A$5:$A$254,MATCH(LARGE(Calc!$C$5:$C$254,9),Calc!$C$5:$C$254,0)),"")</f>
        <v>0</v>
      </c>
      <c r="C75" s="29">
        <f>IFERROR(INDEX(Calc!$B$5:$B$254,MATCH(LARGE(Calc!$C$5:$C$254,9),Calc!$C$5:$C$254,0)),"")</f>
        <v>0</v>
      </c>
      <c r="D75" s="30">
        <f>IFERROR(INDEX(Calc!$B$5:$B$254,MATCH(LARGE(Calc!$C$5:$C$254,9),Calc!$C$5:$C$254,0))/SUM(Calc!$B$5:$B$254),"")</f>
        <v>0</v>
      </c>
      <c r="H75" s="28" t="s">
        <v>218</v>
      </c>
      <c r="I75" s="31">
        <f>COUNTIFS(Clients!$AL$5:$AL$254,"Inactive*")</f>
        <v>0</v>
      </c>
      <c r="J75" s="29" t="s">
        <v>202</v>
      </c>
      <c r="K75" s="28" t="s">
        <v>202</v>
      </c>
    </row>
    <row r="76" spans="1:18">
      <c r="A76" s="31">
        <v>10</v>
      </c>
      <c r="B76" s="28">
        <f>IFERROR(INDEX(Calc!$A$5:$A$254,MATCH(LARGE(Calc!$C$5:$C$254,10),Calc!$C$5:$C$254,0)),"")</f>
        <v>0</v>
      </c>
      <c r="C76" s="29">
        <f>IFERROR(INDEX(Calc!$B$5:$B$254,MATCH(LARGE(Calc!$C$5:$C$254,10),Calc!$C$5:$C$254,0)),"")</f>
        <v>0</v>
      </c>
      <c r="D76" s="30">
        <f>IFERROR(INDEX(Calc!$B$5:$B$254,MATCH(LARGE(Calc!$C$5:$C$254,10),Calc!$C$5:$C$254,0))/SUM(Calc!$B$5:$B$254),"")</f>
        <v>0</v>
      </c>
      <c r="H76" s="28" t="s">
        <v>219</v>
      </c>
      <c r="I76" s="31">
        <f>COUNTIFS(Messages!$K$5:$K$204,"Yes",Messages!$M$5:$M$204,"&lt;&gt;Resolved")</f>
        <v>0</v>
      </c>
      <c r="J76" s="29" t="s">
        <v>202</v>
      </c>
      <c r="K76" s="28" t="s">
        <v>202</v>
      </c>
    </row>
    <row r="78" spans="1:18" ht="24" customHeight="1">
      <c r="A78" s="5" t="s">
        <v>220</v>
      </c>
      <c r="B78" s="5"/>
      <c r="C78" s="5"/>
      <c r="D78" s="5"/>
      <c r="E78" s="5"/>
      <c r="F78" s="5"/>
      <c r="G78" s="5"/>
      <c r="H78" s="5"/>
      <c r="I78" s="5"/>
      <c r="J78" s="5"/>
      <c r="K78" s="5"/>
      <c r="L78" s="5"/>
      <c r="M78" s="5"/>
      <c r="N78" s="5"/>
      <c r="O78" s="5"/>
      <c r="P78" s="5"/>
      <c r="Q78" s="5"/>
      <c r="R78" s="5"/>
    </row>
  </sheetData>
  <sheetProtection password="EC7C" sheet="1" objects="1" scenarios="1" formatCells="0" formatColumns="0" formatRows="0" insertRows="0" insertHyperlinks="0" deleteRows="0" autoFilter="0"/>
  <mergeCells count="103">
    <mergeCell ref="A1:O1"/>
    <mergeCell ref="P1:R1"/>
    <mergeCell ref="A2:R2"/>
    <mergeCell ref="A3:B3"/>
    <mergeCell ref="C3:D3"/>
    <mergeCell ref="E3:F3"/>
    <mergeCell ref="G3:H3"/>
    <mergeCell ref="I3:J3"/>
    <mergeCell ref="K3:L3"/>
    <mergeCell ref="M3:N3"/>
    <mergeCell ref="O3:P3"/>
    <mergeCell ref="Q3:R3"/>
    <mergeCell ref="A5:R5"/>
    <mergeCell ref="A6:B6"/>
    <mergeCell ref="D6:E6"/>
    <mergeCell ref="F6:G6"/>
    <mergeCell ref="H6:I6"/>
    <mergeCell ref="J6:K6"/>
    <mergeCell ref="L6:M6"/>
    <mergeCell ref="N6:O6"/>
    <mergeCell ref="P6:Q6"/>
    <mergeCell ref="A8:R8"/>
    <mergeCell ref="A9:C9"/>
    <mergeCell ref="A10:C10"/>
    <mergeCell ref="A11:C11"/>
    <mergeCell ref="D9:F9"/>
    <mergeCell ref="D10:F10"/>
    <mergeCell ref="D11:F11"/>
    <mergeCell ref="G9:I9"/>
    <mergeCell ref="G10:I10"/>
    <mergeCell ref="G11:I11"/>
    <mergeCell ref="J9:L9"/>
    <mergeCell ref="J10:L10"/>
    <mergeCell ref="J11:L11"/>
    <mergeCell ref="M9:O9"/>
    <mergeCell ref="M10:O10"/>
    <mergeCell ref="M11:O11"/>
    <mergeCell ref="P9:R9"/>
    <mergeCell ref="P10:R10"/>
    <mergeCell ref="P11:R11"/>
    <mergeCell ref="A12:C12"/>
    <mergeCell ref="A13:C13"/>
    <mergeCell ref="A14:C14"/>
    <mergeCell ref="D12:F12"/>
    <mergeCell ref="D13:F13"/>
    <mergeCell ref="D14:F14"/>
    <mergeCell ref="G12:I12"/>
    <mergeCell ref="G13:I13"/>
    <mergeCell ref="G14:I14"/>
    <mergeCell ref="J12:L12"/>
    <mergeCell ref="J13:L13"/>
    <mergeCell ref="J14:L14"/>
    <mergeCell ref="M12:O12"/>
    <mergeCell ref="M13:O13"/>
    <mergeCell ref="M14:O14"/>
    <mergeCell ref="P12:R12"/>
    <mergeCell ref="P13:R13"/>
    <mergeCell ref="P14:R14"/>
    <mergeCell ref="A16:R16"/>
    <mergeCell ref="A17:C17"/>
    <mergeCell ref="A18:C18"/>
    <mergeCell ref="A19:C19"/>
    <mergeCell ref="D17:F17"/>
    <mergeCell ref="D18:F18"/>
    <mergeCell ref="D19:F19"/>
    <mergeCell ref="G17:I17"/>
    <mergeCell ref="G18:I18"/>
    <mergeCell ref="G19:I19"/>
    <mergeCell ref="J17:L17"/>
    <mergeCell ref="J18:L18"/>
    <mergeCell ref="J19:L19"/>
    <mergeCell ref="M17:O17"/>
    <mergeCell ref="M18:O18"/>
    <mergeCell ref="M19:O19"/>
    <mergeCell ref="P17:R17"/>
    <mergeCell ref="P18:R18"/>
    <mergeCell ref="P19:R19"/>
    <mergeCell ref="A20:C20"/>
    <mergeCell ref="A21:C21"/>
    <mergeCell ref="A22:C22"/>
    <mergeCell ref="D20:F20"/>
    <mergeCell ref="D21:F21"/>
    <mergeCell ref="D22:F22"/>
    <mergeCell ref="G20:I20"/>
    <mergeCell ref="G21:I21"/>
    <mergeCell ref="G22:I22"/>
    <mergeCell ref="J20:L20"/>
    <mergeCell ref="J21:L21"/>
    <mergeCell ref="J22:L22"/>
    <mergeCell ref="M20:O20"/>
    <mergeCell ref="M21:O21"/>
    <mergeCell ref="M22:O22"/>
    <mergeCell ref="P20:R20"/>
    <mergeCell ref="P21:R21"/>
    <mergeCell ref="P22:R22"/>
    <mergeCell ref="A24:R24"/>
    <mergeCell ref="A41:R41"/>
    <mergeCell ref="A42:F42"/>
    <mergeCell ref="H42:M42"/>
    <mergeCell ref="A64:R64"/>
    <mergeCell ref="A65:F65"/>
    <mergeCell ref="H65:M65"/>
    <mergeCell ref="A78:R78"/>
  </mergeCells>
  <conditionalFormatting sqref="C44:C59">
    <cfRule type="dataBar" priority="1">
      <dataBar>
        <cfvo type="min" val="0"/>
        <cfvo type="max" val="0"/>
        <color rgb="FF2E7D8F"/>
      </dataBar>
    </cfRule>
  </conditionalFormatting>
  <conditionalFormatting sqref="C67:C76">
    <cfRule type="dataBar" priority="3">
      <dataBar>
        <cfvo type="min" val="0"/>
        <cfvo type="max" val="0"/>
        <color rgb="FFE2A33C"/>
      </dataBar>
    </cfRule>
  </conditionalFormatting>
  <conditionalFormatting sqref="I44:I62">
    <cfRule type="dataBar" priority="2">
      <dataBar>
        <cfvo type="min" val="0"/>
        <cfvo type="max" val="0"/>
        <color rgb="FFC0504D"/>
      </dataBar>
    </cfRule>
  </conditionalFormatting>
  <conditionalFormatting sqref="I67">
    <cfRule type="cellIs" dxfId="1" priority="4" operator="greaterThan">
      <formula>0</formula>
    </cfRule>
  </conditionalFormatting>
  <conditionalFormatting sqref="I68">
    <cfRule type="cellIs" dxfId="1" priority="5" operator="greaterThan">
      <formula>0</formula>
    </cfRule>
  </conditionalFormatting>
  <conditionalFormatting sqref="I69">
    <cfRule type="cellIs" dxfId="1" priority="6" operator="greaterThan">
      <formula>0</formula>
    </cfRule>
  </conditionalFormatting>
  <conditionalFormatting sqref="I70">
    <cfRule type="cellIs" dxfId="1" priority="7" operator="greaterThan">
      <formula>0</formula>
    </cfRule>
  </conditionalFormatting>
  <conditionalFormatting sqref="I71">
    <cfRule type="cellIs" dxfId="1" priority="8" operator="greaterThan">
      <formula>0</formula>
    </cfRule>
  </conditionalFormatting>
  <conditionalFormatting sqref="I72">
    <cfRule type="cellIs" dxfId="1" priority="9" operator="greaterThan">
      <formula>0</formula>
    </cfRule>
  </conditionalFormatting>
  <conditionalFormatting sqref="I73">
    <cfRule type="cellIs" dxfId="1" priority="10" operator="greaterThan">
      <formula>0</formula>
    </cfRule>
  </conditionalFormatting>
  <conditionalFormatting sqref="I74">
    <cfRule type="cellIs" dxfId="1" priority="11" operator="greaterThan">
      <formula>0</formula>
    </cfRule>
  </conditionalFormatting>
  <conditionalFormatting sqref="I75">
    <cfRule type="cellIs" dxfId="1" priority="12" operator="greaterThan">
      <formula>0</formula>
    </cfRule>
  </conditionalFormatting>
  <conditionalFormatting sqref="I76">
    <cfRule type="cellIs" dxfId="1" priority="13" operator="greaterThan">
      <formula>0</formula>
    </cfRule>
  </conditionalFormatting>
  <dataValidations count="2">
    <dataValidation type="whole" allowBlank="1" showInputMessage="1" showErrorMessage="1" errorTitle="Check the value" error="Enter a number between 2000 and 2100." sqref="C6">
      <formula1>2000</formula1>
      <formula2>2100</formula2>
    </dataValidation>
    <dataValidation type="list" allowBlank="1" showInputMessage="1" showErrorMessage="1" sqref="F6">
      <formula1>MonthList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&amp;L&amp;"Calibri,Bold"&amp;12&amp;C&amp;"Calibri,Bold"&amp;11Dashboard&amp;R&amp;"Calibri,Italic"&amp;9Pet Sitting &amp; Dog Walking Business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E2A33C"/>
          <x14:colorNegative theme="5"/>
          <x14:colorAxis rgb="FF000000"/>
          <x14:colorMarkers theme="4" tint="-0.499984740745262"/>
          <x14:colorFirst theme="4" tint="0.39997558519241921"/>
          <x14:colorLast theme="4" tint="0.39997558519241921"/>
          <x14:colorHigh theme="4"/>
          <x14:colorLow theme="4"/>
          <x14:sparklines>
            <x14:sparkline>
              <xm:f>Dashboard!G26:G37</xm:f>
              <xm:sqref>G39</xm:sqref>
            </x14:sparkline>
          </x14:sparklines>
        </x14:sparklineGroup>
        <x14:sparklineGroup type="column" displayEmptyCellsAs="gap">
          <x14:colorSeries rgb="FF1F4E5F"/>
          <x14:colorNegative theme="5"/>
          <x14:colorAxis rgb="FF000000"/>
          <x14:colorMarkers theme="4" tint="-0.499984740745262"/>
          <x14:colorFirst theme="4" tint="0.39997558519241921"/>
          <x14:colorLast theme="4" tint="0.39997558519241921"/>
          <x14:colorHigh theme="4"/>
          <x14:colorLow theme="4"/>
          <x14:sparklines>
            <x14:sparkline>
              <xm:f>Dashboard!E26:E37</xm:f>
              <xm:sqref>E39</xm:sqref>
            </x14:sparkline>
          </x14:sparklines>
        </x14:sparklineGroup>
        <x14:sparklineGroup type="column" displayEmptyCellsAs="gap">
          <x14:colorSeries rgb="FFC0504D"/>
          <x14:colorNegative theme="5"/>
          <x14:colorAxis rgb="FF000000"/>
          <x14:colorMarkers theme="4" tint="-0.499984740745262"/>
          <x14:colorFirst theme="4" tint="0.39997558519241921"/>
          <x14:colorLast theme="4" tint="0.39997558519241921"/>
          <x14:colorHigh theme="4"/>
          <x14:colorLow theme="4"/>
          <x14:sparklines>
            <x14:sparkline>
              <xm:f>Dashboard!D26:D37</xm:f>
              <xm:sqref>D39</xm:sqref>
            </x14:sparkline>
          </x14:sparklines>
        </x14:sparklineGroup>
        <x14:sparklineGroup type="column" displayEmptyCellsAs="gap">
          <x14:colorSeries rgb="FF2E7D8F"/>
          <x14:colorNegative theme="5"/>
          <x14:colorAxis rgb="FF000000"/>
          <x14:colorMarkers theme="4" tint="-0.499984740745262"/>
          <x14:colorFirst theme="4" tint="0.39997558519241921"/>
          <x14:colorLast theme="4" tint="0.39997558519241921"/>
          <x14:colorHigh theme="4"/>
          <x14:colorLow theme="4"/>
          <x14:sparklines>
            <x14:sparkline>
              <xm:f>Dashboard!B26:B37</xm:f>
              <xm:sqref>B39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sheetPr>
    <tabColor rgb="FFE2A33C"/>
    <pageSetUpPr fitToPage="1"/>
  </sheetPr>
  <dimension ref="A1:I116"/>
  <sheetViews>
    <sheetView showGridLines="0" workbookViewId="0">
      <pane ySplit="4" topLeftCell="A5" activePane="bottomLeft" state="frozen"/>
      <selection pane="bottomLeft"/>
    </sheetView>
  </sheetViews>
  <sheetFormatPr defaultRowHeight="15"/>
  <cols>
    <col min="1" max="1" width="3.2109375" customWidth="1"/>
    <col min="2" max="2" width="24.7109375" style="7" customWidth="1"/>
    <col min="3" max="3" width="16.7109375" style="7" customWidth="1"/>
    <col min="4" max="4" width="26.7109375" customWidth="1"/>
    <col min="5" max="5" width="18.7109375" customWidth="1"/>
    <col min="6" max="9" width="17.7109375" style="11" customWidth="1"/>
  </cols>
  <sheetData>
    <row r="1" spans="1:9" ht="34" customHeight="1">
      <c r="A1" s="2" t="s">
        <v>221</v>
      </c>
      <c r="B1" s="2"/>
      <c r="C1" s="2"/>
      <c r="D1" s="2"/>
      <c r="E1" s="2"/>
      <c r="F1" s="2"/>
      <c r="G1" s="3" t="s">
        <v>118</v>
      </c>
      <c r="H1" s="3"/>
      <c r="I1" s="3"/>
    </row>
    <row r="2" spans="1:9" ht="18" customHeight="1">
      <c r="A2" s="4" t="s">
        <v>222</v>
      </c>
      <c r="B2" s="4"/>
      <c r="C2" s="4"/>
      <c r="D2" s="4"/>
      <c r="E2" s="4"/>
      <c r="F2" s="4"/>
      <c r="G2" s="4"/>
      <c r="H2" s="4"/>
      <c r="I2" s="4"/>
    </row>
    <row r="3" spans="1:9" ht="16" customHeight="1">
      <c r="A3" s="10" t="s">
        <v>120</v>
      </c>
      <c r="B3" s="10"/>
      <c r="C3" s="10" t="s">
        <v>121</v>
      </c>
      <c r="D3" s="10"/>
      <c r="E3" s="10" t="s">
        <v>122</v>
      </c>
      <c r="F3" s="10"/>
      <c r="G3" s="10" t="s">
        <v>123</v>
      </c>
      <c r="H3" s="10"/>
      <c r="I3" s="38" t="s">
        <v>202</v>
      </c>
    </row>
    <row r="5" spans="1:9" ht="20" customHeight="1">
      <c r="A5" s="6" t="s">
        <v>223</v>
      </c>
      <c r="B5" s="6"/>
      <c r="C5" s="6"/>
      <c r="D5" s="6"/>
      <c r="E5" s="6"/>
      <c r="F5" s="6"/>
      <c r="G5" s="6"/>
      <c r="H5" s="6"/>
      <c r="I5" s="6"/>
    </row>
    <row r="6" spans="1:9">
      <c r="B6" s="18" t="s">
        <v>224</v>
      </c>
      <c r="C6" s="18"/>
      <c r="D6" s="20" t="s">
        <v>225</v>
      </c>
      <c r="E6" s="20"/>
      <c r="F6" s="11" t="s">
        <v>226</v>
      </c>
      <c r="G6" s="11"/>
      <c r="H6" s="11"/>
      <c r="I6" s="11"/>
    </row>
    <row r="7" spans="1:9">
      <c r="B7" s="18" t="s">
        <v>227</v>
      </c>
      <c r="C7" s="18"/>
      <c r="D7" s="20" t="s">
        <v>228</v>
      </c>
      <c r="E7" s="20"/>
    </row>
    <row r="8" spans="1:9">
      <c r="B8" s="18" t="s">
        <v>229</v>
      </c>
      <c r="C8" s="18"/>
      <c r="D8" s="20" t="s">
        <v>230</v>
      </c>
      <c r="E8" s="20"/>
    </row>
    <row r="9" spans="1:9">
      <c r="B9" s="18" t="s">
        <v>231</v>
      </c>
      <c r="C9" s="18"/>
      <c r="D9" s="20" t="s">
        <v>232</v>
      </c>
      <c r="E9" s="20"/>
    </row>
    <row r="10" spans="1:9">
      <c r="B10" s="18" t="s">
        <v>233</v>
      </c>
      <c r="C10" s="18"/>
      <c r="D10" s="20" t="s">
        <v>234</v>
      </c>
      <c r="E10" s="20"/>
    </row>
    <row r="11" spans="1:9">
      <c r="B11" s="18" t="s">
        <v>235</v>
      </c>
      <c r="C11" s="18"/>
      <c r="D11" s="20" t="s">
        <v>236</v>
      </c>
      <c r="E11" s="20"/>
    </row>
    <row r="12" spans="1:9">
      <c r="B12" s="18" t="s">
        <v>237</v>
      </c>
      <c r="C12" s="18"/>
      <c r="D12" s="20" t="s">
        <v>238</v>
      </c>
      <c r="E12" s="20"/>
    </row>
    <row r="13" spans="1:9">
      <c r="B13" s="18" t="s">
        <v>239</v>
      </c>
      <c r="C13" s="18"/>
      <c r="D13" s="20" t="s">
        <v>240</v>
      </c>
      <c r="E13" s="20"/>
    </row>
    <row r="14" spans="1:9">
      <c r="B14" s="18" t="s">
        <v>241</v>
      </c>
      <c r="C14" s="18"/>
      <c r="D14" s="20" t="s">
        <v>242</v>
      </c>
      <c r="E14" s="20"/>
    </row>
    <row r="15" spans="1:9">
      <c r="B15" s="18" t="s">
        <v>243</v>
      </c>
      <c r="C15" s="18"/>
      <c r="D15" s="20" t="s">
        <v>244</v>
      </c>
      <c r="E15" s="20"/>
    </row>
    <row r="16" spans="1:9">
      <c r="B16" s="18" t="s">
        <v>245</v>
      </c>
      <c r="C16" s="18"/>
      <c r="D16" s="20" t="s">
        <v>246</v>
      </c>
      <c r="E16" s="20"/>
    </row>
    <row r="17" spans="1:9">
      <c r="B17" s="18" t="s">
        <v>247</v>
      </c>
      <c r="C17" s="18"/>
      <c r="D17" s="20" t="s">
        <v>248</v>
      </c>
      <c r="E17" s="20"/>
      <c r="F17" s="11" t="s">
        <v>249</v>
      </c>
      <c r="G17" s="11"/>
      <c r="H17" s="11"/>
      <c r="I17" s="11"/>
    </row>
    <row r="18" spans="1:9">
      <c r="B18" s="18" t="s">
        <v>250</v>
      </c>
      <c r="C18" s="18"/>
      <c r="D18" s="20" t="s">
        <v>251</v>
      </c>
      <c r="E18" s="20"/>
    </row>
    <row r="19" spans="1:9">
      <c r="B19" s="18" t="s">
        <v>252</v>
      </c>
      <c r="C19" s="18"/>
      <c r="D19" s="20" t="s">
        <v>253</v>
      </c>
      <c r="E19" s="20"/>
    </row>
    <row r="20" spans="1:9">
      <c r="B20" s="18" t="s">
        <v>254</v>
      </c>
      <c r="C20" s="18"/>
      <c r="D20" s="39">
        <v>46426</v>
      </c>
      <c r="E20" s="11" t="s">
        <v>255</v>
      </c>
      <c r="F20" s="11"/>
      <c r="G20" s="11"/>
      <c r="H20" s="11"/>
    </row>
    <row r="21" spans="1:9">
      <c r="B21" s="18" t="s">
        <v>256</v>
      </c>
      <c r="C21" s="18"/>
      <c r="D21" s="20" t="s">
        <v>257</v>
      </c>
      <c r="E21" s="20"/>
    </row>
    <row r="22" spans="1:9">
      <c r="B22" s="18" t="s">
        <v>258</v>
      </c>
      <c r="C22" s="18"/>
      <c r="D22" s="39">
        <v>46516</v>
      </c>
    </row>
    <row r="24" spans="1:9" ht="20" customHeight="1">
      <c r="A24" s="6" t="s">
        <v>259</v>
      </c>
      <c r="B24" s="6"/>
      <c r="C24" s="6"/>
      <c r="D24" s="6"/>
      <c r="E24" s="6"/>
      <c r="F24" s="6"/>
      <c r="G24" s="6"/>
      <c r="H24" s="6"/>
      <c r="I24" s="6"/>
    </row>
    <row r="25" spans="1:9" ht="38" customHeight="1">
      <c r="B25" s="5" t="s">
        <v>260</v>
      </c>
      <c r="C25" s="5"/>
      <c r="D25" s="5"/>
      <c r="E25" s="5"/>
      <c r="F25" s="5"/>
      <c r="G25" s="5"/>
      <c r="H25" s="5"/>
      <c r="I25" s="5"/>
    </row>
    <row r="26" spans="1:9">
      <c r="B26" s="16" t="s">
        <v>261</v>
      </c>
      <c r="C26" s="16"/>
      <c r="D26" s="16"/>
    </row>
    <row r="27" spans="1:9">
      <c r="B27" s="16"/>
      <c r="C27" s="16"/>
      <c r="D27" s="16"/>
    </row>
    <row r="28" spans="1:9">
      <c r="B28" s="16"/>
      <c r="C28" s="16"/>
      <c r="D28" s="16"/>
    </row>
    <row r="29" spans="1:9">
      <c r="B29" s="16"/>
      <c r="C29" s="16"/>
      <c r="D29" s="16"/>
    </row>
    <row r="31" spans="1:9" ht="20" customHeight="1">
      <c r="A31" s="6" t="s">
        <v>262</v>
      </c>
      <c r="B31" s="6"/>
      <c r="C31" s="6"/>
      <c r="D31" s="6"/>
      <c r="E31" s="6"/>
      <c r="F31" s="6"/>
      <c r="G31" s="6"/>
      <c r="H31" s="6"/>
      <c r="I31" s="6"/>
    </row>
    <row r="32" spans="1:9">
      <c r="B32" s="18" t="s">
        <v>263</v>
      </c>
      <c r="C32" s="18"/>
      <c r="D32" s="20" t="s">
        <v>264</v>
      </c>
      <c r="E32" s="11" t="s">
        <v>265</v>
      </c>
      <c r="F32" s="11"/>
      <c r="G32" s="11"/>
      <c r="H32" s="11"/>
    </row>
    <row r="33" spans="1:9">
      <c r="B33" s="18" t="s">
        <v>266</v>
      </c>
      <c r="C33" s="18"/>
      <c r="D33" s="20" t="s">
        <v>267</v>
      </c>
    </row>
    <row r="34" spans="1:9">
      <c r="B34" s="18" t="s">
        <v>268</v>
      </c>
      <c r="C34" s="18"/>
      <c r="D34" s="40" t="s">
        <v>269</v>
      </c>
      <c r="E34" s="11" t="s">
        <v>270</v>
      </c>
      <c r="F34" s="11"/>
      <c r="G34" s="11"/>
      <c r="H34" s="11"/>
    </row>
    <row r="35" spans="1:9">
      <c r="B35" s="18" t="s">
        <v>271</v>
      </c>
      <c r="C35" s="18"/>
      <c r="D35" s="40" t="s">
        <v>272</v>
      </c>
      <c r="E35" s="11" t="s">
        <v>273</v>
      </c>
      <c r="F35" s="11"/>
      <c r="G35" s="11"/>
      <c r="H35" s="11"/>
    </row>
    <row r="36" spans="1:9">
      <c r="B36" s="18" t="s">
        <v>274</v>
      </c>
      <c r="C36" s="18"/>
      <c r="D36" s="20" t="s">
        <v>275</v>
      </c>
    </row>
    <row r="37" spans="1:9">
      <c r="B37" s="18" t="s">
        <v>276</v>
      </c>
      <c r="C37" s="18"/>
      <c r="D37" s="39">
        <v>46023</v>
      </c>
    </row>
    <row r="39" spans="1:9" ht="20" customHeight="1">
      <c r="A39" s="6" t="s">
        <v>277</v>
      </c>
      <c r="B39" s="6"/>
      <c r="C39" s="6"/>
      <c r="D39" s="6"/>
      <c r="E39" s="6"/>
      <c r="F39" s="6"/>
      <c r="G39" s="6"/>
      <c r="H39" s="6"/>
      <c r="I39" s="6"/>
    </row>
    <row r="40" spans="1:9">
      <c r="B40" s="18" t="s">
        <v>278</v>
      </c>
      <c r="C40" s="18"/>
      <c r="D40" s="20" t="s">
        <v>279</v>
      </c>
      <c r="E40" s="11" t="s">
        <v>280</v>
      </c>
      <c r="F40" s="11"/>
      <c r="G40" s="11"/>
      <c r="H40" s="11"/>
    </row>
    <row r="41" spans="1:9">
      <c r="B41" s="18" t="s">
        <v>281</v>
      </c>
      <c r="C41" s="18"/>
      <c r="D41" s="20" t="s">
        <v>282</v>
      </c>
      <c r="E41" s="11" t="s">
        <v>283</v>
      </c>
      <c r="F41" s="11"/>
      <c r="G41" s="11"/>
      <c r="H41" s="11"/>
    </row>
    <row r="42" spans="1:9">
      <c r="B42" s="18" t="s">
        <v>284</v>
      </c>
      <c r="C42" s="18"/>
      <c r="D42" s="41">
        <v>0.08</v>
      </c>
      <c r="E42" s="11" t="s">
        <v>285</v>
      </c>
      <c r="F42" s="11"/>
      <c r="G42" s="11"/>
      <c r="H42" s="11"/>
    </row>
    <row r="43" spans="1:9">
      <c r="B43" s="18" t="s">
        <v>286</v>
      </c>
      <c r="C43" s="18"/>
      <c r="D43" s="20" t="s">
        <v>73</v>
      </c>
      <c r="E43" s="11" t="s">
        <v>287</v>
      </c>
      <c r="F43" s="11"/>
      <c r="G43" s="11"/>
      <c r="H43" s="11"/>
    </row>
    <row r="44" spans="1:9">
      <c r="B44" s="18" t="s">
        <v>288</v>
      </c>
      <c r="C44" s="18"/>
      <c r="D44" s="41">
        <v>0.25</v>
      </c>
      <c r="E44" s="11" t="s">
        <v>289</v>
      </c>
      <c r="F44" s="11"/>
      <c r="G44" s="11"/>
      <c r="H44" s="11"/>
    </row>
    <row r="46" spans="1:9" ht="20" customHeight="1">
      <c r="A46" s="6" t="s">
        <v>290</v>
      </c>
      <c r="B46" s="6"/>
      <c r="C46" s="6"/>
      <c r="D46" s="6"/>
      <c r="E46" s="6"/>
      <c r="F46" s="6"/>
      <c r="G46" s="6"/>
      <c r="H46" s="6"/>
      <c r="I46" s="6"/>
    </row>
    <row r="47" spans="1:9">
      <c r="B47" s="18" t="s">
        <v>291</v>
      </c>
      <c r="C47" s="18"/>
      <c r="D47" s="20" t="s">
        <v>292</v>
      </c>
    </row>
    <row r="48" spans="1:9">
      <c r="B48" s="18" t="s">
        <v>293</v>
      </c>
      <c r="C48" s="18"/>
      <c r="D48" s="19">
        <v>1001</v>
      </c>
    </row>
    <row r="49" spans="1:9">
      <c r="B49" s="18" t="s">
        <v>294</v>
      </c>
      <c r="C49" s="18"/>
      <c r="D49" s="19">
        <v>7</v>
      </c>
      <c r="E49" s="11" t="s">
        <v>295</v>
      </c>
      <c r="F49" s="11"/>
      <c r="G49" s="11"/>
      <c r="H49" s="11"/>
    </row>
    <row r="50" spans="1:9">
      <c r="B50" s="18" t="s">
        <v>296</v>
      </c>
      <c r="C50" s="18"/>
      <c r="D50" s="41">
        <v>0.25</v>
      </c>
    </row>
    <row r="51" spans="1:9">
      <c r="B51" s="18" t="s">
        <v>297</v>
      </c>
      <c r="C51" s="18"/>
      <c r="D51" s="41">
        <v>0.05</v>
      </c>
      <c r="E51" s="11" t="s">
        <v>298</v>
      </c>
      <c r="F51" s="11"/>
      <c r="G51" s="11"/>
      <c r="H51" s="11"/>
    </row>
    <row r="52" spans="1:9">
      <c r="B52" s="18" t="s">
        <v>299</v>
      </c>
      <c r="C52" s="18"/>
      <c r="D52" s="20" t="s">
        <v>300</v>
      </c>
    </row>
    <row r="53" spans="1:9">
      <c r="B53" s="18" t="s">
        <v>301</v>
      </c>
      <c r="C53" s="18"/>
      <c r="D53" s="20" t="s">
        <v>302</v>
      </c>
    </row>
    <row r="54" spans="1:9">
      <c r="B54" s="18" t="s">
        <v>303</v>
      </c>
      <c r="C54" s="18"/>
      <c r="D54" s="20" t="s">
        <v>304</v>
      </c>
    </row>
    <row r="56" spans="1:9" ht="20" customHeight="1">
      <c r="A56" s="6" t="s">
        <v>305</v>
      </c>
      <c r="B56" s="6"/>
      <c r="C56" s="6"/>
      <c r="D56" s="6"/>
      <c r="E56" s="6"/>
      <c r="F56" s="6"/>
      <c r="G56" s="6"/>
      <c r="H56" s="6"/>
      <c r="I56" s="6"/>
    </row>
    <row r="57" spans="1:9">
      <c r="B57" s="18" t="s">
        <v>306</v>
      </c>
      <c r="C57" s="18"/>
      <c r="D57" s="42">
        <v>7.5</v>
      </c>
      <c r="E57" s="11" t="s">
        <v>307</v>
      </c>
      <c r="F57" s="11"/>
      <c r="G57" s="11"/>
      <c r="H57" s="11"/>
    </row>
    <row r="58" spans="1:9">
      <c r="B58" s="18" t="s">
        <v>308</v>
      </c>
      <c r="C58" s="18"/>
      <c r="D58" s="41">
        <v>0.25</v>
      </c>
    </row>
    <row r="59" spans="1:9">
      <c r="B59" s="18" t="s">
        <v>309</v>
      </c>
      <c r="C59" s="18"/>
      <c r="D59" s="41">
        <v>0.1</v>
      </c>
    </row>
    <row r="60" spans="1:9">
      <c r="B60" s="18" t="s">
        <v>310</v>
      </c>
      <c r="C60" s="18"/>
      <c r="D60" s="42">
        <v>15</v>
      </c>
    </row>
    <row r="61" spans="1:9">
      <c r="B61" s="18" t="s">
        <v>311</v>
      </c>
      <c r="C61" s="18"/>
      <c r="D61" s="19">
        <v>2</v>
      </c>
      <c r="E61" s="11" t="s">
        <v>312</v>
      </c>
      <c r="F61" s="11"/>
      <c r="G61" s="11"/>
      <c r="H61" s="11"/>
    </row>
    <row r="62" spans="1:9">
      <c r="B62" s="18" t="s">
        <v>313</v>
      </c>
      <c r="C62" s="18"/>
      <c r="D62" s="41">
        <v>0.05</v>
      </c>
    </row>
    <row r="63" spans="1:9">
      <c r="B63" s="18" t="s">
        <v>314</v>
      </c>
      <c r="C63" s="18"/>
      <c r="D63" s="19">
        <v>20</v>
      </c>
      <c r="E63" s="11" t="s">
        <v>315</v>
      </c>
      <c r="F63" s="11"/>
      <c r="G63" s="11"/>
      <c r="H63" s="11"/>
    </row>
    <row r="64" spans="1:9">
      <c r="B64" s="18" t="s">
        <v>316</v>
      </c>
      <c r="C64" s="18"/>
      <c r="D64" s="42">
        <v>18</v>
      </c>
      <c r="E64" s="11" t="s">
        <v>317</v>
      </c>
      <c r="F64" s="11"/>
      <c r="G64" s="11"/>
      <c r="H64" s="11"/>
    </row>
    <row r="66" spans="1:9" ht="20" customHeight="1">
      <c r="A66" s="6" t="s">
        <v>318</v>
      </c>
      <c r="B66" s="6"/>
      <c r="C66" s="6"/>
      <c r="D66" s="6"/>
      <c r="E66" s="6"/>
      <c r="F66" s="6"/>
      <c r="G66" s="6"/>
      <c r="H66" s="6"/>
      <c r="I66" s="6"/>
    </row>
    <row r="67" spans="1:9">
      <c r="B67" s="18" t="s">
        <v>319</v>
      </c>
      <c r="C67" s="18"/>
      <c r="D67" s="42">
        <v>0.67</v>
      </c>
      <c r="E67" s="11" t="s">
        <v>320</v>
      </c>
      <c r="F67" s="11"/>
      <c r="G67" s="11"/>
      <c r="H67" s="11"/>
    </row>
    <row r="68" spans="1:9">
      <c r="B68" s="18" t="s">
        <v>321</v>
      </c>
      <c r="C68" s="18"/>
      <c r="D68" s="42">
        <v>0.8</v>
      </c>
    </row>
    <row r="69" spans="1:9">
      <c r="B69" s="18" t="s">
        <v>322</v>
      </c>
      <c r="C69" s="18"/>
      <c r="D69" s="43">
        <v>8</v>
      </c>
      <c r="E69" s="11" t="s">
        <v>323</v>
      </c>
      <c r="F69" s="11"/>
      <c r="G69" s="11"/>
      <c r="H69" s="11"/>
    </row>
    <row r="70" spans="1:9">
      <c r="B70" s="18" t="s">
        <v>324</v>
      </c>
      <c r="C70" s="18"/>
      <c r="D70" s="19">
        <v>15</v>
      </c>
      <c r="E70" s="11" t="s">
        <v>325</v>
      </c>
      <c r="F70" s="11"/>
      <c r="G70" s="11"/>
      <c r="H70" s="11"/>
    </row>
    <row r="72" spans="1:9" ht="20" customHeight="1">
      <c r="A72" s="6" t="s">
        <v>326</v>
      </c>
      <c r="B72" s="6"/>
      <c r="C72" s="6"/>
      <c r="D72" s="6"/>
      <c r="E72" s="6"/>
      <c r="F72" s="6"/>
      <c r="G72" s="6"/>
      <c r="H72" s="6"/>
      <c r="I72" s="6"/>
    </row>
    <row r="73" spans="1:9">
      <c r="B73" s="18" t="s">
        <v>327</v>
      </c>
      <c r="C73" s="18"/>
      <c r="D73" s="19">
        <v>3</v>
      </c>
    </row>
    <row r="74" spans="1:9">
      <c r="B74" s="18" t="s">
        <v>328</v>
      </c>
      <c r="C74" s="18"/>
      <c r="D74" s="19">
        <v>30</v>
      </c>
    </row>
    <row r="75" spans="1:9">
      <c r="B75" s="18" t="s">
        <v>329</v>
      </c>
      <c r="C75" s="18"/>
      <c r="D75" s="19">
        <v>60</v>
      </c>
    </row>
    <row r="76" spans="1:9">
      <c r="B76" s="18" t="s">
        <v>330</v>
      </c>
      <c r="C76" s="18"/>
      <c r="D76" s="19">
        <v>5</v>
      </c>
    </row>
    <row r="77" spans="1:9">
      <c r="B77" s="18" t="s">
        <v>331</v>
      </c>
      <c r="C77" s="18"/>
      <c r="D77" s="19">
        <v>30</v>
      </c>
    </row>
    <row r="78" spans="1:9">
      <c r="B78" s="18" t="s">
        <v>332</v>
      </c>
      <c r="C78" s="18"/>
      <c r="D78" s="19">
        <v>30</v>
      </c>
    </row>
    <row r="79" spans="1:9">
      <c r="B79" s="18" t="s">
        <v>333</v>
      </c>
      <c r="C79" s="18"/>
      <c r="D79" s="44">
        <v>0.291666666666667</v>
      </c>
    </row>
    <row r="80" spans="1:9">
      <c r="B80" s="18" t="s">
        <v>334</v>
      </c>
      <c r="C80" s="18"/>
      <c r="D80" s="44">
        <v>0.791666666666667</v>
      </c>
    </row>
    <row r="82" spans="1:9" ht="20" customHeight="1">
      <c r="A82" s="6" t="s">
        <v>335</v>
      </c>
      <c r="B82" s="6"/>
      <c r="C82" s="6"/>
      <c r="D82" s="6"/>
      <c r="E82" s="6"/>
      <c r="F82" s="6"/>
      <c r="G82" s="6"/>
      <c r="H82" s="6"/>
      <c r="I82" s="6"/>
    </row>
    <row r="83" spans="1:9" ht="20" customHeight="1">
      <c r="B83" s="5" t="s">
        <v>336</v>
      </c>
      <c r="C83" s="5"/>
      <c r="D83" s="5"/>
      <c r="E83" s="5"/>
      <c r="F83" s="5"/>
      <c r="G83" s="5"/>
      <c r="H83" s="5"/>
      <c r="I83" s="5"/>
    </row>
    <row r="84" spans="1:9" ht="22" customHeight="1">
      <c r="B84" s="8" t="s">
        <v>337</v>
      </c>
      <c r="C84" s="9" t="s">
        <v>338</v>
      </c>
      <c r="D84" s="9" t="s">
        <v>339</v>
      </c>
    </row>
    <row r="85" spans="1:9">
      <c r="B85" s="39"/>
      <c r="C85" s="20"/>
      <c r="D85" s="20"/>
    </row>
    <row r="86" spans="1:9">
      <c r="B86" s="39"/>
      <c r="C86" s="20"/>
      <c r="D86" s="20"/>
    </row>
    <row r="87" spans="1:9">
      <c r="B87" s="39"/>
      <c r="C87" s="20"/>
      <c r="D87" s="20"/>
    </row>
    <row r="88" spans="1:9">
      <c r="B88" s="39"/>
      <c r="C88" s="20"/>
      <c r="D88" s="20"/>
    </row>
    <row r="89" spans="1:9">
      <c r="B89" s="39"/>
      <c r="C89" s="20"/>
      <c r="D89" s="20"/>
    </row>
    <row r="90" spans="1:9">
      <c r="B90" s="39"/>
      <c r="C90" s="20"/>
      <c r="D90" s="20"/>
    </row>
    <row r="91" spans="1:9">
      <c r="B91" s="39"/>
      <c r="C91" s="20"/>
      <c r="D91" s="20"/>
    </row>
    <row r="92" spans="1:9">
      <c r="B92" s="39"/>
      <c r="C92" s="20"/>
      <c r="D92" s="20"/>
    </row>
    <row r="93" spans="1:9">
      <c r="B93" s="39"/>
      <c r="C93" s="20"/>
      <c r="D93" s="20"/>
    </row>
    <row r="94" spans="1:9">
      <c r="B94" s="39"/>
      <c r="C94" s="20"/>
      <c r="D94" s="20"/>
    </row>
    <row r="95" spans="1:9">
      <c r="B95" s="39"/>
      <c r="C95" s="20"/>
      <c r="D95" s="20"/>
    </row>
    <row r="96" spans="1:9">
      <c r="B96" s="39"/>
      <c r="C96" s="20"/>
      <c r="D96" s="20"/>
    </row>
    <row r="97" spans="2:4">
      <c r="B97" s="39"/>
      <c r="C97" s="20"/>
      <c r="D97" s="20"/>
    </row>
    <row r="98" spans="2:4">
      <c r="B98" s="39"/>
      <c r="C98" s="20"/>
      <c r="D98" s="20"/>
    </row>
    <row r="99" spans="2:4">
      <c r="B99" s="39"/>
      <c r="C99" s="20"/>
      <c r="D99" s="20"/>
    </row>
    <row r="100" spans="2:4">
      <c r="B100" s="39"/>
      <c r="C100" s="20"/>
      <c r="D100" s="20"/>
    </row>
    <row r="101" spans="2:4">
      <c r="B101" s="39"/>
      <c r="C101" s="20"/>
      <c r="D101" s="20"/>
    </row>
    <row r="102" spans="2:4">
      <c r="B102" s="39"/>
      <c r="C102" s="20"/>
      <c r="D102" s="20"/>
    </row>
    <row r="103" spans="2:4">
      <c r="B103" s="39"/>
      <c r="C103" s="20"/>
      <c r="D103" s="20"/>
    </row>
    <row r="104" spans="2:4">
      <c r="B104" s="39"/>
      <c r="C104" s="20"/>
      <c r="D104" s="20"/>
    </row>
    <row r="105" spans="2:4">
      <c r="B105" s="39"/>
      <c r="C105" s="20"/>
      <c r="D105" s="20"/>
    </row>
    <row r="106" spans="2:4">
      <c r="B106" s="39"/>
      <c r="C106" s="20"/>
      <c r="D106" s="20"/>
    </row>
    <row r="107" spans="2:4">
      <c r="B107" s="39"/>
      <c r="C107" s="20"/>
      <c r="D107" s="20"/>
    </row>
    <row r="108" spans="2:4">
      <c r="B108" s="39"/>
      <c r="C108" s="20"/>
      <c r="D108" s="20"/>
    </row>
    <row r="109" spans="2:4">
      <c r="B109" s="39"/>
      <c r="C109" s="20"/>
      <c r="D109" s="20"/>
    </row>
    <row r="110" spans="2:4">
      <c r="B110" s="39"/>
      <c r="C110" s="20"/>
      <c r="D110" s="20"/>
    </row>
    <row r="111" spans="2:4">
      <c r="B111" s="39"/>
      <c r="C111" s="20"/>
      <c r="D111" s="20"/>
    </row>
    <row r="112" spans="2:4">
      <c r="B112" s="39"/>
      <c r="C112" s="20"/>
      <c r="D112" s="20"/>
    </row>
    <row r="113" spans="2:9">
      <c r="B113" s="39"/>
      <c r="C113" s="20"/>
      <c r="D113" s="20"/>
    </row>
    <row r="114" spans="2:9">
      <c r="B114" s="39"/>
      <c r="C114" s="20"/>
      <c r="D114" s="20"/>
    </row>
    <row r="116" spans="2:9" ht="34" customHeight="1">
      <c r="B116" s="5" t="s">
        <v>340</v>
      </c>
      <c r="C116" s="5"/>
      <c r="D116" s="5"/>
      <c r="E116" s="5"/>
      <c r="F116" s="5"/>
      <c r="G116" s="5"/>
      <c r="H116" s="5"/>
      <c r="I116" s="5"/>
    </row>
  </sheetData>
  <sheetProtection password="EC7C" sheet="1" objects="1" scenarios="1" formatCells="0" formatColumns="0" formatRows="0" insertRows="0" insertHyperlinks="0" deleteRows="0" autoFilter="0"/>
  <mergeCells count="111">
    <mergeCell ref="A1:F1"/>
    <mergeCell ref="G1:I1"/>
    <mergeCell ref="A2:I2"/>
    <mergeCell ref="A3:B3"/>
    <mergeCell ref="C3:D3"/>
    <mergeCell ref="E3:F3"/>
    <mergeCell ref="G3:H3"/>
    <mergeCell ref="A5:I5"/>
    <mergeCell ref="B6:C6"/>
    <mergeCell ref="D6:E6"/>
    <mergeCell ref="F6:I6"/>
    <mergeCell ref="B7:C7"/>
    <mergeCell ref="D7:E7"/>
    <mergeCell ref="B8:C8"/>
    <mergeCell ref="D8:E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F17:I17"/>
    <mergeCell ref="B18:C18"/>
    <mergeCell ref="D18:E18"/>
    <mergeCell ref="B19:C19"/>
    <mergeCell ref="D19:E19"/>
    <mergeCell ref="B20:C20"/>
    <mergeCell ref="E20:H20"/>
    <mergeCell ref="B21:C21"/>
    <mergeCell ref="D21:E21"/>
    <mergeCell ref="B22:C22"/>
    <mergeCell ref="A24:I24"/>
    <mergeCell ref="B25:I25"/>
    <mergeCell ref="B26:D29"/>
    <mergeCell ref="A31:I31"/>
    <mergeCell ref="B32:C32"/>
    <mergeCell ref="E32:H32"/>
    <mergeCell ref="B33:C33"/>
    <mergeCell ref="B34:C34"/>
    <mergeCell ref="E34:H34"/>
    <mergeCell ref="B35:C35"/>
    <mergeCell ref="E35:H35"/>
    <mergeCell ref="B36:C36"/>
    <mergeCell ref="B37:C37"/>
    <mergeCell ref="A39:I39"/>
    <mergeCell ref="B40:C40"/>
    <mergeCell ref="E40:H40"/>
    <mergeCell ref="B41:C41"/>
    <mergeCell ref="E41:H41"/>
    <mergeCell ref="B42:C42"/>
    <mergeCell ref="E42:H42"/>
    <mergeCell ref="B43:C43"/>
    <mergeCell ref="E43:H43"/>
    <mergeCell ref="B44:C44"/>
    <mergeCell ref="E44:H44"/>
    <mergeCell ref="A46:I46"/>
    <mergeCell ref="B47:C47"/>
    <mergeCell ref="B48:C48"/>
    <mergeCell ref="B49:C49"/>
    <mergeCell ref="E49:H49"/>
    <mergeCell ref="B50:C50"/>
    <mergeCell ref="B51:C51"/>
    <mergeCell ref="E51:H51"/>
    <mergeCell ref="B52:C52"/>
    <mergeCell ref="B53:C53"/>
    <mergeCell ref="B54:C54"/>
    <mergeCell ref="A56:I56"/>
    <mergeCell ref="B57:C57"/>
    <mergeCell ref="E57:H57"/>
    <mergeCell ref="B58:C58"/>
    <mergeCell ref="B59:C59"/>
    <mergeCell ref="B60:C60"/>
    <mergeCell ref="B61:C61"/>
    <mergeCell ref="E61:H61"/>
    <mergeCell ref="B62:C62"/>
    <mergeCell ref="B63:C63"/>
    <mergeCell ref="E63:H63"/>
    <mergeCell ref="B64:C64"/>
    <mergeCell ref="E64:H64"/>
    <mergeCell ref="A66:I66"/>
    <mergeCell ref="B67:C67"/>
    <mergeCell ref="E67:H67"/>
    <mergeCell ref="B68:C68"/>
    <mergeCell ref="B69:C69"/>
    <mergeCell ref="E69:H69"/>
    <mergeCell ref="B70:C70"/>
    <mergeCell ref="E70:H70"/>
    <mergeCell ref="A72:I72"/>
    <mergeCell ref="B73:C73"/>
    <mergeCell ref="B74:C74"/>
    <mergeCell ref="B75:C75"/>
    <mergeCell ref="B76:C76"/>
    <mergeCell ref="B77:C77"/>
    <mergeCell ref="B78:C78"/>
    <mergeCell ref="B79:C79"/>
    <mergeCell ref="B80:C80"/>
    <mergeCell ref="A82:I82"/>
    <mergeCell ref="B83:I83"/>
    <mergeCell ref="B116:I116"/>
  </mergeCells>
  <dataValidations count="31">
    <dataValidation type="date" allowBlank="1" showInputMessage="1" showErrorMessage="1" errorTitle="Check the date" error="Enter a real date between 2000 and 2100." sqref="D20">
      <formula1>36526</formula1>
      <formula2>73415</formula2>
    </dataValidation>
    <dataValidation type="date" allowBlank="1" showInputMessage="1" showErrorMessage="1" errorTitle="Check the date" error="Enter a real date between 2000 and 2100." sqref="D22">
      <formula1>36526</formula1>
      <formula2>73415</formula2>
    </dataValidation>
    <dataValidation type="list" allowBlank="1" showInputMessage="1" showErrorMessage="1" sqref="D36">
      <formula1>"km,miles"</formula1>
    </dataValidation>
    <dataValidation type="date" allowBlank="1" showInputMessage="1" showErrorMessage="1" errorTitle="Check the date" error="Enter a real date between 2000 and 2100." sqref="D37">
      <formula1>36526</formula1>
      <formula2>73415</formula2>
    </dataValidation>
    <dataValidation type="list" allowBlank="1" showInputMessage="1" showErrorMessage="1" sqref="D41">
      <formula1>YesNoList</formula1>
    </dataValidation>
    <dataValidation type="decimal" allowBlank="1" showInputMessage="1" showErrorMessage="1" errorTitle="Check the value" error="Enter a number between 0 and 1." sqref="D42">
      <formula1>0</formula1>
      <formula2>1</formula2>
    </dataValidation>
    <dataValidation type="list" allowBlank="1" showInputMessage="1" showErrorMessage="1" sqref="D43">
      <formula1>YesNoList</formula1>
    </dataValidation>
    <dataValidation type="decimal" allowBlank="1" showInputMessage="1" showErrorMessage="1" errorTitle="Check the value" error="Enter a number between 0 and 1." sqref="D44">
      <formula1>0</formula1>
      <formula2>1</formula2>
    </dataValidation>
    <dataValidation type="whole" allowBlank="1" showInputMessage="1" showErrorMessage="1" errorTitle="Check the value" error="Enter a number between 1 and 999999." sqref="D48">
      <formula1>1</formula1>
      <formula2>999999</formula2>
    </dataValidation>
    <dataValidation type="whole" allowBlank="1" showInputMessage="1" showErrorMessage="1" errorTitle="Check the value" error="Enter a number between 0 and 180." sqref="D49">
      <formula1>0</formula1>
      <formula2>180</formula2>
    </dataValidation>
    <dataValidation type="decimal" allowBlank="1" showInputMessage="1" showErrorMessage="1" errorTitle="Check the value" error="Enter a number between 0 and 1." sqref="D50">
      <formula1>0</formula1>
      <formula2>1</formula2>
    </dataValidation>
    <dataValidation type="decimal" allowBlank="1" showInputMessage="1" showErrorMessage="1" errorTitle="Check the value" error="Enter a number between 0 and 1." sqref="D51">
      <formula1>0</formula1>
      <formula2>1</formula2>
    </dataValidation>
    <dataValidation type="decimal" allowBlank="1" showInputMessage="1" showErrorMessage="1" errorTitle="Check the value" error="Enter a number between 0 and 10000." sqref="D57">
      <formula1>0</formula1>
      <formula2>10000</formula2>
    </dataValidation>
    <dataValidation type="decimal" allowBlank="1" showInputMessage="1" showErrorMessage="1" errorTitle="Check the value" error="Enter a number between 0 and 2." sqref="D58">
      <formula1>0</formula1>
      <formula2>2</formula2>
    </dataValidation>
    <dataValidation type="decimal" allowBlank="1" showInputMessage="1" showErrorMessage="1" errorTitle="Check the value" error="Enter a number between 0 and 2." sqref="D59">
      <formula1>0</formula1>
      <formula2>2</formula2>
    </dataValidation>
    <dataValidation type="decimal" allowBlank="1" showInputMessage="1" showErrorMessage="1" errorTitle="Check the value" error="Enter a number between 0 and 10000." sqref="D60">
      <formula1>0</formula1>
      <formula2>10000</formula2>
    </dataValidation>
    <dataValidation type="whole" allowBlank="1" showInputMessage="1" showErrorMessage="1" errorTitle="Check the value" error="Enter a number between 0 and 30." sqref="D61">
      <formula1>0</formula1>
      <formula2>30</formula2>
    </dataValidation>
    <dataValidation type="decimal" allowBlank="1" showInputMessage="1" showErrorMessage="1" errorTitle="Check the value" error="Enter a number between 0 and 1." sqref="D62">
      <formula1>0</formula1>
      <formula2>1</formula2>
    </dataValidation>
    <dataValidation type="whole" allowBlank="1" showInputMessage="1" showErrorMessage="1" errorTitle="Check the value" error="Enter a number between 0 and 1000." sqref="D63">
      <formula1>0</formula1>
      <formula2>1000</formula2>
    </dataValidation>
    <dataValidation type="decimal" allowBlank="1" showInputMessage="1" showErrorMessage="1" errorTitle="Check the value" error="Enter a number between 0 and 1000." sqref="D64">
      <formula1>0</formula1>
      <formula2>1000</formula2>
    </dataValidation>
    <dataValidation type="decimal" allowBlank="1" showInputMessage="1" showErrorMessage="1" errorTitle="Check the value" error="Enter a number between 0 and 100." sqref="D67">
      <formula1>0</formula1>
      <formula2>100</formula2>
    </dataValidation>
    <dataValidation type="decimal" allowBlank="1" showInputMessage="1" showErrorMessage="1" errorTitle="Check the value" error="Enter a number between 0 and 100." sqref="D68">
      <formula1>0</formula1>
      <formula2>100</formula2>
    </dataValidation>
    <dataValidation type="decimal" allowBlank="1" showInputMessage="1" showErrorMessage="1" errorTitle="Check the value" error="Enter a number between 0 and 1000." sqref="D69">
      <formula1>0</formula1>
      <formula2>1000</formula2>
    </dataValidation>
    <dataValidation type="whole" allowBlank="1" showInputMessage="1" showErrorMessage="1" errorTitle="Check the value" error="Enter a number between 0 and 240." sqref="D70">
      <formula1>0</formula1>
      <formula2>240</formula2>
    </dataValidation>
    <dataValidation type="whole" allowBlank="1" showInputMessage="1" showErrorMessage="1" errorTitle="Check the value" error="Enter a number between 0 and 60." sqref="D73">
      <formula1>0</formula1>
      <formula2>60</formula2>
    </dataValidation>
    <dataValidation type="whole" allowBlank="1" showInputMessage="1" showErrorMessage="1" errorTitle="Check the value" error="Enter a number between 0 and 365." sqref="D74">
      <formula1>0</formula1>
      <formula2>365</formula2>
    </dataValidation>
    <dataValidation type="whole" allowBlank="1" showInputMessage="1" showErrorMessage="1" errorTitle="Check the value" error="Enter a number between 0 and 999." sqref="D75">
      <formula1>0</formula1>
      <formula2>999</formula2>
    </dataValidation>
    <dataValidation type="whole" allowBlank="1" showInputMessage="1" showErrorMessage="1" errorTitle="Check the value" error="Enter a number between 0 and 365." sqref="D76">
      <formula1>0</formula1>
      <formula2>365</formula2>
    </dataValidation>
    <dataValidation type="whole" allowBlank="1" showInputMessage="1" showErrorMessage="1" errorTitle="Check the value" error="Enter a number between 0 and 365." sqref="D77">
      <formula1>0</formula1>
      <formula2>365</formula2>
    </dataValidation>
    <dataValidation type="whole" allowBlank="1" showInputMessage="1" showErrorMessage="1" errorTitle="Check the value" error="Enter a number between 0 and 1440." sqref="D78">
      <formula1>0</formula1>
      <formula2>1440</formula2>
    </dataValidation>
    <dataValidation type="date" allowBlank="1" showInputMessage="1" showErrorMessage="1" errorTitle="Check the date" error="Enter a real date between 2000 and 2100." sqref="B85:B11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s>
  <pageMargins left="0.4" right="0.4" top="0.6" bottom="0.5" header="0.3" footer="0.3"/>
  <pageSetup paperSize="9" fitToHeight="0" orientation="landscape"/>
  <headerFooter>
    <oddHeader>&amp;L&amp;"Calibri,Bold"&amp;12&amp;C&amp;"Calibri,Bold"&amp;11Settings&amp;R&amp;"Calibri,Italic"&amp;9Pet Sitting &amp; Dog Walking Business Spreadsheet</oddHeader>
    <oddFooter>&amp;L&amp;"Calibri,Italic"&amp;8Novality Store - v1.0.0&amp;C&amp;"Calibri,Italic"&amp;8Page &amp;P of &amp;N&amp;R&amp;"Calibri,Italic"&amp;8&amp;D</oddFooter>
  </headerFooter>
</worksheet>
</file>

<file path=xl/worksheets/sheet4.xml><?xml version="1.0" encoding="utf-8"?>
<worksheet xmlns="http://schemas.openxmlformats.org/spreadsheetml/2006/main" xmlns:r="http://schemas.openxmlformats.org/officeDocument/2006/relationships">
  <sheetPr>
    <tabColor rgb="FF5A6B72"/>
  </sheetPr>
  <dimension ref="A1:AT23"/>
  <sheetViews>
    <sheetView workbookViewId="0">
      <pane ySplit="4" topLeftCell="A5" activePane="bottomLeft" state="frozen"/>
      <selection pane="bottomLeft"/>
    </sheetView>
  </sheetViews>
  <sheetFormatPr defaultRowHeight="15"/>
  <cols>
    <col min="1" max="1" width="16.7109375" style="20" customWidth="1"/>
    <col min="2" max="2" width="22.7109375" style="20" customWidth="1"/>
    <col min="3" max="3" width="21.7109375" style="20" customWidth="1"/>
    <col min="4" max="4" width="25.7109375" style="20" customWidth="1"/>
    <col min="5" max="5" width="23.7109375" style="20" customWidth="1"/>
    <col min="6" max="6" width="23.7109375" style="20" customWidth="1"/>
    <col min="7" max="7" width="26.7109375" style="20" customWidth="1"/>
    <col min="8" max="8" width="16.7109375" style="20" customWidth="1"/>
    <col min="9" max="9" width="18.7109375" style="20" customWidth="1"/>
    <col min="10" max="10" width="19.7109375" style="20" customWidth="1"/>
    <col min="11" max="11" width="17.7109375" style="20" customWidth="1"/>
    <col min="12" max="12" width="24.7109375" style="20" customWidth="1"/>
    <col min="13" max="13" width="20.7109375" style="20" customWidth="1"/>
    <col min="14" max="14" width="22.7109375" style="20" customWidth="1"/>
    <col min="15" max="15" width="25.7109375" style="20" customWidth="1"/>
    <col min="16" max="16" width="21.7109375" style="20" customWidth="1"/>
    <col min="17" max="17" width="26.7109375" style="20" customWidth="1"/>
    <col min="18" max="18" width="20.7109375" style="20" customWidth="1"/>
    <col min="19" max="19" width="16.7109375" style="20" customWidth="1"/>
    <col min="20" max="20" width="25.7109375" style="20" customWidth="1"/>
    <col min="21" max="21" width="22.7109375" style="20" customWidth="1"/>
    <col min="22" max="22" width="26.7109375" style="20" customWidth="1"/>
    <col min="23" max="23" width="25.7109375" style="20" customWidth="1"/>
    <col min="24" max="24" width="21.7109375" style="20" customWidth="1"/>
    <col min="25" max="25" width="16.7109375" style="20" customWidth="1"/>
    <col min="26" max="26" width="23.7109375" style="20" customWidth="1"/>
    <col min="27" max="27" width="20.7109375" style="20" customWidth="1"/>
    <col min="28" max="28" width="16.7109375" style="20" customWidth="1"/>
    <col min="29" max="29" width="17.7109375" style="20" customWidth="1"/>
    <col min="30" max="30" width="25.7109375" style="20" customWidth="1"/>
    <col min="31" max="31" width="22.7109375" style="20" customWidth="1"/>
    <col min="32" max="32" width="22.7109375" style="20" customWidth="1"/>
    <col min="33" max="33" width="24.7109375" style="20" customWidth="1"/>
    <col min="34" max="34" width="23.7109375" style="20" customWidth="1"/>
    <col min="35" max="35" width="26.7109375" style="20" customWidth="1"/>
    <col min="36" max="36" width="25.7109375" style="20" customWidth="1"/>
    <col min="37" max="37" width="20.7109375" style="20" customWidth="1"/>
    <col min="38" max="38" width="18.7109375" style="20" customWidth="1"/>
    <col min="39" max="39" width="23.7109375" style="20" customWidth="1"/>
    <col min="40" max="40" width="16.7109375" style="20" customWidth="1"/>
    <col min="41" max="41" width="20.7109375" style="20" customWidth="1"/>
    <col min="42" max="42" width="26.7109375" style="20" customWidth="1"/>
    <col min="43" max="43" width="16.7109375" style="20" customWidth="1"/>
    <col min="44" max="44" width="19.7109375" style="20" customWidth="1"/>
    <col min="45" max="45" width="26.7109375" style="20" customWidth="1"/>
    <col min="46" max="46" width="24.7109375" style="20" customWidth="1"/>
  </cols>
  <sheetData>
    <row r="1" spans="1:46" ht="34" customHeight="1">
      <c r="A1" s="2" t="s">
        <v>341</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3" t="s">
        <v>118</v>
      </c>
      <c r="AS1" s="3"/>
      <c r="AT1" s="3"/>
    </row>
    <row r="2" spans="1:46" ht="18" customHeight="1">
      <c r="A2" s="4" t="s">
        <v>342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343</v>
      </c>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row>
    <row r="4" spans="1:46" ht="30" customHeight="1">
      <c r="A4" s="9" t="s">
        <v>344</v>
      </c>
      <c r="B4" s="9" t="s">
        <v>345</v>
      </c>
      <c r="C4" s="9" t="s">
        <v>347</v>
      </c>
      <c r="D4" s="9" t="s">
        <v>353</v>
      </c>
      <c r="E4" s="9" t="s">
        <v>358</v>
      </c>
      <c r="F4" s="9" t="s">
        <v>369</v>
      </c>
      <c r="G4" s="9" t="s">
        <v>375</v>
      </c>
      <c r="H4" s="9" t="s">
        <v>382</v>
      </c>
      <c r="I4" s="9" t="s">
        <v>391</v>
      </c>
      <c r="J4" s="9" t="s">
        <v>397</v>
      </c>
      <c r="K4" s="9" t="s">
        <v>407</v>
      </c>
      <c r="L4" s="9" t="s">
        <v>418</v>
      </c>
      <c r="M4" s="9" t="s">
        <v>430</v>
      </c>
      <c r="N4" s="9" t="s">
        <v>437</v>
      </c>
      <c r="O4" s="9" t="s">
        <v>443</v>
      </c>
      <c r="P4" s="9" t="s">
        <v>449</v>
      </c>
      <c r="Q4" s="9" t="s">
        <v>456</v>
      </c>
      <c r="R4" s="9" t="s">
        <v>466</v>
      </c>
      <c r="S4" s="9" t="s">
        <v>470</v>
      </c>
      <c r="T4" s="9" t="s">
        <v>476</v>
      </c>
      <c r="U4" s="9" t="s">
        <v>481</v>
      </c>
      <c r="V4" s="9" t="s">
        <v>487</v>
      </c>
      <c r="W4" s="9" t="s">
        <v>494</v>
      </c>
      <c r="X4" s="9" t="s">
        <v>498</v>
      </c>
      <c r="Y4" s="9" t="s">
        <v>508</v>
      </c>
      <c r="Z4" s="9" t="s">
        <v>513</v>
      </c>
      <c r="AA4" s="9" t="s">
        <v>517</v>
      </c>
      <c r="AB4" s="9" t="s">
        <v>529</v>
      </c>
      <c r="AC4" s="9" t="s">
        <v>532</v>
      </c>
      <c r="AD4" s="9" t="s">
        <v>535</v>
      </c>
      <c r="AE4" s="9" t="s">
        <v>536</v>
      </c>
      <c r="AF4" s="9" t="s">
        <v>541</v>
      </c>
      <c r="AG4" s="9" t="s">
        <v>549</v>
      </c>
      <c r="AH4" s="9" t="s">
        <v>568</v>
      </c>
      <c r="AI4" s="9" t="s">
        <v>572</v>
      </c>
      <c r="AJ4" s="9" t="s">
        <v>576</v>
      </c>
      <c r="AK4" s="9" t="s">
        <v>579</v>
      </c>
      <c r="AL4" s="9" t="s">
        <v>587</v>
      </c>
      <c r="AM4" s="9" t="s">
        <v>595</v>
      </c>
      <c r="AN4" s="9" t="s">
        <v>600</v>
      </c>
      <c r="AO4" s="9" t="s">
        <v>604</v>
      </c>
      <c r="AP4" s="9" t="s">
        <v>606</v>
      </c>
      <c r="AQ4" s="9" t="s">
        <v>615</v>
      </c>
      <c r="AR4" s="9" t="s">
        <v>617</v>
      </c>
      <c r="AS4" s="9" t="s">
        <v>621</v>
      </c>
      <c r="AT4" s="9" t="s">
        <v>627</v>
      </c>
    </row>
    <row r="5" spans="1:46">
      <c r="A5" s="20" t="s">
        <v>282</v>
      </c>
      <c r="B5" s="20" t="s">
        <v>282</v>
      </c>
      <c r="C5" s="20" t="s">
        <v>348</v>
      </c>
      <c r="D5" s="20" t="s">
        <v>354</v>
      </c>
      <c r="E5" s="20" t="s">
        <v>359</v>
      </c>
      <c r="F5" s="20" t="s">
        <v>370</v>
      </c>
      <c r="G5" s="20" t="s">
        <v>376</v>
      </c>
      <c r="H5" s="20" t="s">
        <v>383</v>
      </c>
      <c r="I5" s="20" t="s">
        <v>392</v>
      </c>
      <c r="J5" s="20" t="s">
        <v>398</v>
      </c>
      <c r="K5" s="20" t="s">
        <v>408</v>
      </c>
      <c r="L5" s="20" t="s">
        <v>419</v>
      </c>
      <c r="M5" s="20" t="s">
        <v>431</v>
      </c>
      <c r="N5" s="20" t="s">
        <v>438</v>
      </c>
      <c r="O5" s="20" t="s">
        <v>408</v>
      </c>
      <c r="P5" s="20" t="s">
        <v>408</v>
      </c>
      <c r="Q5" s="20" t="s">
        <v>457</v>
      </c>
      <c r="R5" s="20" t="s">
        <v>467</v>
      </c>
      <c r="S5" s="20" t="s">
        <v>471</v>
      </c>
      <c r="T5" s="20" t="s">
        <v>477</v>
      </c>
      <c r="U5" s="20" t="s">
        <v>482</v>
      </c>
      <c r="V5" s="20" t="s">
        <v>488</v>
      </c>
      <c r="W5" s="20" t="s">
        <v>467</v>
      </c>
      <c r="X5" s="20" t="s">
        <v>499</v>
      </c>
      <c r="Y5" s="20" t="s">
        <v>509</v>
      </c>
      <c r="Z5" s="20" t="s">
        <v>514</v>
      </c>
      <c r="AA5" s="20" t="s">
        <v>518</v>
      </c>
      <c r="AB5" s="20" t="s">
        <v>354</v>
      </c>
      <c r="AC5" s="20" t="s">
        <v>533</v>
      </c>
      <c r="AD5" s="20" t="s">
        <v>497</v>
      </c>
      <c r="AE5" s="20" t="s">
        <v>537</v>
      </c>
      <c r="AF5" s="20" t="s">
        <v>542</v>
      </c>
      <c r="AG5" s="20" t="s">
        <v>550</v>
      </c>
      <c r="AH5" s="20" t="s">
        <v>439</v>
      </c>
      <c r="AI5" s="20" t="s">
        <v>573</v>
      </c>
      <c r="AJ5" s="20" t="s">
        <v>73</v>
      </c>
      <c r="AK5" s="20" t="s">
        <v>580</v>
      </c>
      <c r="AL5" s="20" t="s">
        <v>588</v>
      </c>
      <c r="AM5" s="20" t="s">
        <v>596</v>
      </c>
      <c r="AN5" s="20" t="s">
        <v>601</v>
      </c>
      <c r="AO5" s="20" t="s">
        <v>348</v>
      </c>
      <c r="AP5" s="20" t="s">
        <v>607</v>
      </c>
      <c r="AQ5" s="20" t="s">
        <v>509</v>
      </c>
      <c r="AR5" s="20" t="s">
        <v>618</v>
      </c>
      <c r="AS5" s="20" t="s">
        <v>622</v>
      </c>
      <c r="AT5" s="20" t="s">
        <v>132</v>
      </c>
    </row>
    <row r="6" spans="1:46">
      <c r="A6" s="20" t="s">
        <v>73</v>
      </c>
      <c r="B6" s="20" t="s">
        <v>73</v>
      </c>
      <c r="C6" s="20" t="s">
        <v>349</v>
      </c>
      <c r="D6" s="20" t="s">
        <v>355</v>
      </c>
      <c r="E6" s="20" t="s">
        <v>360</v>
      </c>
      <c r="F6" s="20" t="s">
        <v>371</v>
      </c>
      <c r="G6" s="20" t="s">
        <v>377</v>
      </c>
      <c r="H6" s="20" t="s">
        <v>384</v>
      </c>
      <c r="I6" s="20" t="s">
        <v>393</v>
      </c>
      <c r="J6" s="20" t="s">
        <v>399</v>
      </c>
      <c r="K6" s="20" t="s">
        <v>409</v>
      </c>
      <c r="L6" s="20" t="s">
        <v>420</v>
      </c>
      <c r="M6" s="20" t="s">
        <v>432</v>
      </c>
      <c r="N6" s="20" t="s">
        <v>439</v>
      </c>
      <c r="O6" s="20" t="s">
        <v>444</v>
      </c>
      <c r="P6" s="20" t="s">
        <v>450</v>
      </c>
      <c r="Q6" s="20" t="s">
        <v>458</v>
      </c>
      <c r="R6" s="20" t="s">
        <v>163</v>
      </c>
      <c r="S6" s="20" t="s">
        <v>399</v>
      </c>
      <c r="T6" s="20" t="s">
        <v>478</v>
      </c>
      <c r="U6" s="20" t="s">
        <v>483</v>
      </c>
      <c r="V6" s="20" t="s">
        <v>489</v>
      </c>
      <c r="W6" s="20" t="s">
        <v>495</v>
      </c>
      <c r="X6" s="20" t="s">
        <v>500</v>
      </c>
      <c r="Y6" s="20" t="s">
        <v>510</v>
      </c>
      <c r="Z6" s="20" t="s">
        <v>441</v>
      </c>
      <c r="AA6" s="20" t="s">
        <v>519</v>
      </c>
      <c r="AB6" s="20" t="s">
        <v>355</v>
      </c>
      <c r="AC6" s="20" t="s">
        <v>534</v>
      </c>
      <c r="AD6" s="20" t="s">
        <v>514</v>
      </c>
      <c r="AE6" s="20" t="s">
        <v>371</v>
      </c>
      <c r="AF6" s="20" t="s">
        <v>543</v>
      </c>
      <c r="AG6" s="20" t="s">
        <v>551</v>
      </c>
      <c r="AH6" s="20" t="s">
        <v>569</v>
      </c>
      <c r="AI6" s="20" t="s">
        <v>574</v>
      </c>
      <c r="AJ6" s="20" t="s">
        <v>446</v>
      </c>
      <c r="AK6" s="20" t="s">
        <v>581</v>
      </c>
      <c r="AL6" s="20" t="s">
        <v>589</v>
      </c>
      <c r="AM6" s="20" t="s">
        <v>597</v>
      </c>
      <c r="AN6" s="20" t="s">
        <v>431</v>
      </c>
      <c r="AO6" s="20" t="s">
        <v>605</v>
      </c>
      <c r="AP6" s="20" t="s">
        <v>608</v>
      </c>
      <c r="AQ6" s="20" t="s">
        <v>510</v>
      </c>
      <c r="AR6" s="20" t="s">
        <v>441</v>
      </c>
      <c r="AS6" s="20" t="s">
        <v>623</v>
      </c>
      <c r="AT6" s="20" t="s">
        <v>628</v>
      </c>
    </row>
    <row r="7" spans="1:46">
      <c r="B7" s="20" t="s">
        <v>346</v>
      </c>
      <c r="C7" s="20" t="s">
        <v>350</v>
      </c>
      <c r="D7" s="20" t="s">
        <v>231</v>
      </c>
      <c r="E7" s="20" t="s">
        <v>361</v>
      </c>
      <c r="F7" s="20" t="s">
        <v>372</v>
      </c>
      <c r="G7" s="20" t="s">
        <v>378</v>
      </c>
      <c r="H7" s="20" t="s">
        <v>385</v>
      </c>
      <c r="I7" s="20" t="s">
        <v>394</v>
      </c>
      <c r="J7" s="20" t="s">
        <v>400</v>
      </c>
      <c r="K7" s="20" t="s">
        <v>410</v>
      </c>
      <c r="L7" s="20" t="s">
        <v>421</v>
      </c>
      <c r="M7" s="20" t="s">
        <v>433</v>
      </c>
      <c r="N7" s="20" t="s">
        <v>440</v>
      </c>
      <c r="O7" s="20" t="s">
        <v>445</v>
      </c>
      <c r="P7" s="20" t="s">
        <v>451</v>
      </c>
      <c r="Q7" s="20" t="s">
        <v>459</v>
      </c>
      <c r="R7" s="20" t="s">
        <v>468</v>
      </c>
      <c r="S7" s="20" t="s">
        <v>400</v>
      </c>
      <c r="T7" s="20" t="s">
        <v>408</v>
      </c>
      <c r="U7" s="20" t="s">
        <v>484</v>
      </c>
      <c r="V7" s="20" t="s">
        <v>490</v>
      </c>
      <c r="W7" s="20" t="s">
        <v>469</v>
      </c>
      <c r="X7" s="20" t="s">
        <v>501</v>
      </c>
      <c r="Y7" s="20" t="s">
        <v>511</v>
      </c>
      <c r="Z7" s="20" t="s">
        <v>515</v>
      </c>
      <c r="AA7" s="20" t="s">
        <v>520</v>
      </c>
      <c r="AB7" s="20" t="s">
        <v>231</v>
      </c>
      <c r="AD7" s="20" t="s">
        <v>441</v>
      </c>
      <c r="AE7" s="20" t="s">
        <v>538</v>
      </c>
      <c r="AF7" s="20" t="s">
        <v>544</v>
      </c>
      <c r="AG7" s="20" t="s">
        <v>552</v>
      </c>
      <c r="AH7" s="20" t="s">
        <v>570</v>
      </c>
      <c r="AI7" s="20" t="s">
        <v>575</v>
      </c>
      <c r="AJ7" s="20" t="s">
        <v>447</v>
      </c>
      <c r="AK7" s="20" t="s">
        <v>582</v>
      </c>
      <c r="AL7" s="20" t="s">
        <v>590</v>
      </c>
      <c r="AM7" s="20" t="s">
        <v>598</v>
      </c>
      <c r="AN7" s="20" t="s">
        <v>602</v>
      </c>
      <c r="AO7" s="20" t="s">
        <v>351</v>
      </c>
      <c r="AP7" s="20" t="s">
        <v>488</v>
      </c>
      <c r="AQ7" s="20" t="s">
        <v>511</v>
      </c>
      <c r="AR7" s="20" t="s">
        <v>619</v>
      </c>
      <c r="AS7" s="20" t="s">
        <v>624</v>
      </c>
      <c r="AT7" s="20" t="s">
        <v>629</v>
      </c>
    </row>
    <row r="8" spans="1:46">
      <c r="C8" s="20" t="s">
        <v>351</v>
      </c>
      <c r="D8" s="20" t="s">
        <v>356</v>
      </c>
      <c r="E8" s="20" t="s">
        <v>362</v>
      </c>
      <c r="F8" s="20" t="s">
        <v>373</v>
      </c>
      <c r="G8" s="20" t="s">
        <v>379</v>
      </c>
      <c r="H8" s="20" t="s">
        <v>386</v>
      </c>
      <c r="I8" s="20" t="s">
        <v>395</v>
      </c>
      <c r="J8" s="20" t="s">
        <v>401</v>
      </c>
      <c r="K8" s="20" t="s">
        <v>411</v>
      </c>
      <c r="L8" s="20" t="s">
        <v>422</v>
      </c>
      <c r="M8" s="20" t="s">
        <v>434</v>
      </c>
      <c r="N8" s="20" t="s">
        <v>441</v>
      </c>
      <c r="O8" s="20" t="s">
        <v>446</v>
      </c>
      <c r="P8" s="20" t="s">
        <v>452</v>
      </c>
      <c r="Q8" s="20" t="s">
        <v>460</v>
      </c>
      <c r="R8" s="20" t="s">
        <v>469</v>
      </c>
      <c r="S8" s="20" t="s">
        <v>472</v>
      </c>
      <c r="T8" s="20" t="s">
        <v>479</v>
      </c>
      <c r="U8" s="20" t="s">
        <v>408</v>
      </c>
      <c r="V8" s="20" t="s">
        <v>491</v>
      </c>
      <c r="W8" s="20" t="s">
        <v>496</v>
      </c>
      <c r="X8" s="20" t="s">
        <v>502</v>
      </c>
      <c r="Y8" s="20" t="s">
        <v>512</v>
      </c>
      <c r="Z8" s="20" t="s">
        <v>516</v>
      </c>
      <c r="AA8" s="20" t="s">
        <v>521</v>
      </c>
      <c r="AB8" s="20" t="s">
        <v>356</v>
      </c>
      <c r="AD8" s="20" t="s">
        <v>515</v>
      </c>
      <c r="AE8" s="20" t="s">
        <v>539</v>
      </c>
      <c r="AF8" s="20" t="s">
        <v>545</v>
      </c>
      <c r="AG8" s="20" t="s">
        <v>553</v>
      </c>
      <c r="AH8" s="20" t="s">
        <v>571</v>
      </c>
      <c r="AJ8" s="20" t="s">
        <v>448</v>
      </c>
      <c r="AK8" s="20" t="s">
        <v>583</v>
      </c>
      <c r="AL8" s="20" t="s">
        <v>591</v>
      </c>
      <c r="AM8" s="20" t="s">
        <v>593</v>
      </c>
      <c r="AN8" s="20" t="s">
        <v>603</v>
      </c>
      <c r="AP8" s="20" t="s">
        <v>609</v>
      </c>
      <c r="AQ8" s="20" t="s">
        <v>616</v>
      </c>
      <c r="AR8" s="20" t="s">
        <v>620</v>
      </c>
      <c r="AS8" s="20" t="s">
        <v>625</v>
      </c>
      <c r="AT8" s="20" t="s">
        <v>630</v>
      </c>
    </row>
    <row r="9" spans="1:46">
      <c r="C9" s="20" t="s">
        <v>352</v>
      </c>
      <c r="D9" s="20" t="s">
        <v>357</v>
      </c>
      <c r="E9" s="20" t="s">
        <v>363</v>
      </c>
      <c r="F9" s="20" t="s">
        <v>374</v>
      </c>
      <c r="G9" s="20" t="s">
        <v>380</v>
      </c>
      <c r="H9" s="20" t="s">
        <v>387</v>
      </c>
      <c r="I9" s="20" t="s">
        <v>396</v>
      </c>
      <c r="J9" s="20" t="s">
        <v>402</v>
      </c>
      <c r="K9" s="20" t="s">
        <v>412</v>
      </c>
      <c r="L9" s="20" t="s">
        <v>423</v>
      </c>
      <c r="M9" s="20" t="s">
        <v>435</v>
      </c>
      <c r="N9" s="20" t="s">
        <v>163</v>
      </c>
      <c r="O9" s="20" t="s">
        <v>447</v>
      </c>
      <c r="P9" s="20" t="s">
        <v>453</v>
      </c>
      <c r="Q9" s="20" t="s">
        <v>461</v>
      </c>
      <c r="R9" s="20" t="s">
        <v>165</v>
      </c>
      <c r="S9" s="20" t="s">
        <v>403</v>
      </c>
      <c r="T9" s="20" t="s">
        <v>480</v>
      </c>
      <c r="U9" s="20" t="s">
        <v>485</v>
      </c>
      <c r="V9" s="20" t="s">
        <v>492</v>
      </c>
      <c r="W9" s="20" t="s">
        <v>497</v>
      </c>
      <c r="X9" s="20" t="s">
        <v>503</v>
      </c>
      <c r="AA9" s="20" t="s">
        <v>522</v>
      </c>
      <c r="AB9" s="20" t="s">
        <v>530</v>
      </c>
      <c r="AE9" s="20" t="s">
        <v>165</v>
      </c>
      <c r="AF9" s="20" t="s">
        <v>546</v>
      </c>
      <c r="AG9" s="20" t="s">
        <v>554</v>
      </c>
      <c r="AJ9" s="20" t="s">
        <v>577</v>
      </c>
      <c r="AK9" s="20" t="s">
        <v>584</v>
      </c>
      <c r="AL9" s="20" t="s">
        <v>592</v>
      </c>
      <c r="AM9" s="20" t="s">
        <v>599</v>
      </c>
      <c r="AP9" s="20" t="s">
        <v>610</v>
      </c>
      <c r="AR9" s="20" t="s">
        <v>165</v>
      </c>
      <c r="AS9" s="20" t="s">
        <v>626</v>
      </c>
      <c r="AT9" s="20" t="s">
        <v>631</v>
      </c>
    </row>
    <row r="10" spans="1:46">
      <c r="E10" s="20" t="s">
        <v>364</v>
      </c>
      <c r="G10" s="20" t="s">
        <v>381</v>
      </c>
      <c r="H10" s="20" t="s">
        <v>388</v>
      </c>
      <c r="J10" s="20" t="s">
        <v>403</v>
      </c>
      <c r="K10" s="20" t="s">
        <v>413</v>
      </c>
      <c r="L10" s="20" t="s">
        <v>424</v>
      </c>
      <c r="M10" s="20" t="s">
        <v>436</v>
      </c>
      <c r="N10" s="20" t="s">
        <v>165</v>
      </c>
      <c r="O10" s="20" t="s">
        <v>448</v>
      </c>
      <c r="P10" s="20" t="s">
        <v>454</v>
      </c>
      <c r="Q10" s="20" t="s">
        <v>462</v>
      </c>
      <c r="S10" s="20" t="s">
        <v>473</v>
      </c>
      <c r="U10" s="20" t="s">
        <v>486</v>
      </c>
      <c r="V10" s="20" t="s">
        <v>493</v>
      </c>
      <c r="X10" s="20" t="s">
        <v>504</v>
      </c>
      <c r="AA10" s="20" t="s">
        <v>523</v>
      </c>
      <c r="AB10" s="20" t="s">
        <v>357</v>
      </c>
      <c r="AE10" s="20" t="s">
        <v>540</v>
      </c>
      <c r="AF10" s="20" t="s">
        <v>547</v>
      </c>
      <c r="AG10" s="20" t="s">
        <v>555</v>
      </c>
      <c r="AJ10" s="20" t="s">
        <v>578</v>
      </c>
      <c r="AK10" s="20" t="s">
        <v>585</v>
      </c>
      <c r="AL10" s="20" t="s">
        <v>593</v>
      </c>
      <c r="AP10" s="20" t="s">
        <v>611</v>
      </c>
      <c r="AT10" s="20" t="s">
        <v>632</v>
      </c>
    </row>
    <row r="11" spans="1:46">
      <c r="E11" s="20" t="s">
        <v>365</v>
      </c>
      <c r="H11" s="20" t="s">
        <v>389</v>
      </c>
      <c r="J11" s="20" t="s">
        <v>404</v>
      </c>
      <c r="K11" s="20" t="s">
        <v>414</v>
      </c>
      <c r="L11" s="20" t="s">
        <v>425</v>
      </c>
      <c r="N11" s="20" t="s">
        <v>442</v>
      </c>
      <c r="P11" s="20" t="s">
        <v>455</v>
      </c>
      <c r="Q11" s="20" t="s">
        <v>463</v>
      </c>
      <c r="S11" s="20" t="s">
        <v>474</v>
      </c>
      <c r="V11" s="20" t="s">
        <v>368</v>
      </c>
      <c r="X11" s="20" t="s">
        <v>505</v>
      </c>
      <c r="AA11" s="20" t="s">
        <v>524</v>
      </c>
      <c r="AB11" s="20" t="s">
        <v>531</v>
      </c>
      <c r="AF11" s="20" t="s">
        <v>548</v>
      </c>
      <c r="AG11" s="20" t="s">
        <v>556</v>
      </c>
      <c r="AK11" s="20" t="s">
        <v>586</v>
      </c>
      <c r="AL11" s="20" t="s">
        <v>594</v>
      </c>
      <c r="AP11" s="20" t="s">
        <v>612</v>
      </c>
      <c r="AT11" s="20" t="s">
        <v>633</v>
      </c>
    </row>
    <row r="12" spans="1:46">
      <c r="E12" s="20" t="s">
        <v>366</v>
      </c>
      <c r="H12" s="20" t="s">
        <v>390</v>
      </c>
      <c r="J12" s="20" t="s">
        <v>405</v>
      </c>
      <c r="K12" s="20" t="s">
        <v>415</v>
      </c>
      <c r="L12" s="20" t="s">
        <v>426</v>
      </c>
      <c r="Q12" s="20" t="s">
        <v>464</v>
      </c>
      <c r="S12" s="20" t="s">
        <v>475</v>
      </c>
      <c r="X12" s="20" t="s">
        <v>506</v>
      </c>
      <c r="AA12" s="20" t="s">
        <v>525</v>
      </c>
      <c r="AF12" s="20" t="s">
        <v>368</v>
      </c>
      <c r="AG12" s="20" t="s">
        <v>557</v>
      </c>
      <c r="AK12" s="20" t="s">
        <v>574</v>
      </c>
      <c r="AP12" s="20" t="s">
        <v>613</v>
      </c>
      <c r="AT12" s="20" t="s">
        <v>634</v>
      </c>
    </row>
    <row r="13" spans="1:46">
      <c r="E13" s="20" t="s">
        <v>367</v>
      </c>
      <c r="H13" s="20" t="s">
        <v>368</v>
      </c>
      <c r="J13" s="20" t="s">
        <v>406</v>
      </c>
      <c r="K13" s="20" t="s">
        <v>416</v>
      </c>
      <c r="L13" s="20" t="s">
        <v>427</v>
      </c>
      <c r="Q13" s="20" t="s">
        <v>465</v>
      </c>
      <c r="X13" s="20" t="s">
        <v>507</v>
      </c>
      <c r="AA13" s="20" t="s">
        <v>526</v>
      </c>
      <c r="AG13" s="20" t="s">
        <v>558</v>
      </c>
      <c r="AP13" s="20" t="s">
        <v>556</v>
      </c>
      <c r="AT13" s="20" t="s">
        <v>635</v>
      </c>
    </row>
    <row r="14" spans="1:46">
      <c r="E14" s="20" t="s">
        <v>368</v>
      </c>
      <c r="K14" s="20" t="s">
        <v>417</v>
      </c>
      <c r="L14" s="20" t="s">
        <v>428</v>
      </c>
      <c r="Q14" s="20" t="s">
        <v>368</v>
      </c>
      <c r="X14" s="20" t="s">
        <v>368</v>
      </c>
      <c r="AA14" s="20" t="s">
        <v>527</v>
      </c>
      <c r="AG14" s="20" t="s">
        <v>559</v>
      </c>
      <c r="AP14" s="20" t="s">
        <v>614</v>
      </c>
      <c r="AT14" s="20" t="s">
        <v>636</v>
      </c>
    </row>
    <row r="15" spans="1:46">
      <c r="K15" s="20" t="s">
        <v>368</v>
      </c>
      <c r="L15" s="20" t="s">
        <v>429</v>
      </c>
      <c r="AA15" s="20" t="s">
        <v>528</v>
      </c>
      <c r="AG15" s="20" t="s">
        <v>560</v>
      </c>
      <c r="AP15" s="20" t="s">
        <v>368</v>
      </c>
      <c r="AT15" s="20" t="s">
        <v>637</v>
      </c>
    </row>
    <row r="16" spans="1:46">
      <c r="AA16" s="20" t="s">
        <v>368</v>
      </c>
      <c r="AG16" s="20" t="s">
        <v>561</v>
      </c>
      <c r="AT16" s="20" t="s">
        <v>638</v>
      </c>
    </row>
    <row r="17" spans="33:46">
      <c r="AG17" s="20" t="s">
        <v>562</v>
      </c>
      <c r="AT17" s="20" t="s">
        <v>639</v>
      </c>
    </row>
    <row r="18" spans="33:46">
      <c r="AG18" s="20" t="s">
        <v>563</v>
      </c>
    </row>
    <row r="19" spans="33:46">
      <c r="AG19" s="20" t="s">
        <v>564</v>
      </c>
    </row>
    <row r="20" spans="33:46">
      <c r="AG20" s="20" t="s">
        <v>565</v>
      </c>
    </row>
    <row r="21" spans="33:46">
      <c r="AG21" s="20" t="s">
        <v>566</v>
      </c>
    </row>
    <row r="22" spans="33:46">
      <c r="AG22" s="20" t="s">
        <v>567</v>
      </c>
    </row>
    <row r="23" spans="33:46">
      <c r="AG23" s="20" t="s">
        <v>368</v>
      </c>
    </row>
  </sheetData>
  <sheetProtection password="EC7C" sheet="1" objects="1" scenarios="1" formatCells="0" formatColumns="0" formatRows="0" insertRows="0" insertHyperlinks="0" deleteRows="0" autoFilter="0"/>
  <mergeCells count="13">
    <mergeCell ref="A1:AQ1"/>
    <mergeCell ref="AR1:AT1"/>
    <mergeCell ref="A2:AT2"/>
    <mergeCell ref="A3:B3"/>
    <mergeCell ref="C3:D3"/>
    <mergeCell ref="E3:F3"/>
    <mergeCell ref="G3:H3"/>
    <mergeCell ref="I3:J3"/>
    <mergeCell ref="K3:L3"/>
    <mergeCell ref="M3:N3"/>
    <mergeCell ref="O3:P3"/>
    <mergeCell ref="Q3:R3"/>
    <mergeCell ref="S3:AT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orientation="landscape"/>
  <headerFooter>
    <oddHeader>&amp;L&amp;"Calibri,Bold"&amp;12&amp;C&amp;"Calibri,Bold"&amp;11Lists&amp;R&amp;"Calibri,Italic"&amp;9Pet Sitting &amp; Dog Walking Business Spreadsheet</oddHeader>
    <oddFooter>&amp;L&amp;"Calibri,Italic"&amp;8Novality Store - v1.0.0&amp;C&amp;"Calibri,Italic"&amp;8Page &amp;P of &amp;N&amp;R&amp;"Calibri,Italic"&amp;8&amp;D</oddFooter>
  </headerFooter>
</worksheet>
</file>

<file path=xl/worksheets/sheet5.xml><?xml version="1.0" encoding="utf-8"?>
<worksheet xmlns="http://schemas.openxmlformats.org/spreadsheetml/2006/main" xmlns:r="http://schemas.openxmlformats.org/officeDocument/2006/relationships">
  <sheetPr>
    <tabColor rgb="FF2E7D8F"/>
    <pageSetUpPr fitToPage="1"/>
  </sheetPr>
  <dimension ref="A1:T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6" customWidth="1"/>
    <col min="2" max="2" width="26.7109375" style="20" customWidth="1"/>
    <col min="3" max="3" width="16.7109375" style="20" customWidth="1"/>
    <col min="4" max="4" width="38.7109375" style="47" customWidth="1"/>
    <col min="5" max="5" width="13.7109375" style="20" customWidth="1"/>
    <col min="6" max="6" width="12.7109375" style="19" customWidth="1"/>
    <col min="7" max="7" width="12.7109375" style="42" customWidth="1"/>
    <col min="8" max="8" width="12.7109375" style="42" customWidth="1"/>
    <col min="9" max="9" width="11.7109375" style="41" customWidth="1"/>
    <col min="10" max="10" width="11.7109375" style="41" customWidth="1"/>
    <col min="11" max="11" width="11.7109375" style="12" customWidth="1"/>
    <col min="12" max="12" width="12.7109375" style="42" customWidth="1"/>
    <col min="13" max="13" width="12.7109375" style="29" customWidth="1"/>
    <col min="14" max="14" width="10.7109375" style="30" customWidth="1"/>
    <col min="15" max="15" width="11.7109375" style="31" customWidth="1"/>
    <col min="16" max="16" width="13.7109375" style="29" customWidth="1"/>
    <col min="17" max="17" width="12.7109375" style="29" customWidth="1"/>
    <col min="18" max="18" width="13.7109375" style="29" customWidth="1"/>
    <col min="19" max="19" width="9.7109375" style="12" customWidth="1"/>
    <col min="20" max="20" width="30.7109375" style="47" customWidth="1"/>
  </cols>
  <sheetData>
    <row r="1" spans="1:20" ht="34" customHeight="1">
      <c r="A1" s="2" t="s">
        <v>640</v>
      </c>
      <c r="B1" s="2"/>
      <c r="C1" s="2"/>
      <c r="D1" s="2"/>
      <c r="E1" s="2"/>
      <c r="F1" s="2"/>
      <c r="G1" s="2"/>
      <c r="H1" s="2"/>
      <c r="I1" s="2"/>
      <c r="J1" s="2"/>
      <c r="K1" s="2"/>
      <c r="L1" s="2"/>
      <c r="M1" s="2"/>
      <c r="N1" s="2"/>
      <c r="O1" s="2"/>
      <c r="P1" s="2"/>
      <c r="Q1" s="2"/>
      <c r="R1" s="3" t="s">
        <v>118</v>
      </c>
      <c r="S1" s="3"/>
      <c r="T1" s="3"/>
    </row>
    <row r="2" spans="1:20" ht="18" customHeight="1">
      <c r="A2" s="4" t="s">
        <v>641</v>
      </c>
      <c r="B2" s="4"/>
      <c r="C2" s="4"/>
      <c r="D2" s="4"/>
      <c r="E2" s="4"/>
      <c r="F2" s="4"/>
      <c r="G2" s="4"/>
      <c r="H2" s="4"/>
      <c r="I2" s="4"/>
      <c r="J2" s="4"/>
      <c r="K2" s="4"/>
      <c r="L2" s="4"/>
      <c r="M2" s="4"/>
      <c r="N2" s="4"/>
      <c r="O2" s="4"/>
      <c r="P2" s="4"/>
      <c r="Q2" s="4"/>
      <c r="R2" s="4"/>
      <c r="S2" s="4"/>
      <c r="T2" s="4"/>
    </row>
    <row r="3" spans="1:2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row>
    <row r="4" spans="1:20" ht="30" customHeight="1">
      <c r="A4" s="8" t="s">
        <v>642</v>
      </c>
      <c r="B4" s="8" t="s">
        <v>643</v>
      </c>
      <c r="C4" s="9" t="s">
        <v>200</v>
      </c>
      <c r="D4" s="9" t="s">
        <v>644</v>
      </c>
      <c r="E4" s="9" t="s">
        <v>430</v>
      </c>
      <c r="F4" s="9" t="s">
        <v>645</v>
      </c>
      <c r="G4" s="9" t="s">
        <v>646</v>
      </c>
      <c r="H4" s="9" t="s">
        <v>647</v>
      </c>
      <c r="I4" s="9" t="s">
        <v>308</v>
      </c>
      <c r="J4" s="9" t="s">
        <v>309</v>
      </c>
      <c r="K4" s="9" t="s">
        <v>648</v>
      </c>
      <c r="L4" s="9" t="s">
        <v>649</v>
      </c>
      <c r="M4" s="9" t="s">
        <v>650</v>
      </c>
      <c r="N4" s="9" t="s">
        <v>651</v>
      </c>
      <c r="O4" s="9" t="s">
        <v>652</v>
      </c>
      <c r="P4" s="9" t="s">
        <v>653</v>
      </c>
      <c r="Q4" s="9" t="s">
        <v>654</v>
      </c>
      <c r="R4" s="9" t="s">
        <v>655</v>
      </c>
      <c r="S4" s="9" t="s">
        <v>656</v>
      </c>
      <c r="T4" s="9" t="s">
        <v>339</v>
      </c>
    </row>
    <row r="5" spans="1:20">
      <c r="A5" s="46">
        <f>IF(B5="","","SV-"&amp;TEXT(ROW()-4,"000"))</f>
        <v>0</v>
      </c>
      <c r="M5" s="29">
        <f>IF(G5="","",G5-IF(L5="",0,L5))</f>
        <v>0</v>
      </c>
      <c r="N5" s="30">
        <f>IF(OR(G5="",G5=0),"",M5/G5)</f>
        <v>0</v>
      </c>
      <c r="O5" s="31">
        <f>IF(B5="","",COUNTIFS(Bookings!$H$5:$H$404,B5,Bookings!$AM$5:$AM$404,"&lt;&gt;Cancelled"))</f>
        <v>0</v>
      </c>
      <c r="P5" s="29">
        <f>IF(B5="","",SUMIFS(Bookings!$AK$5:$AK$404,Bookings!$H$5:$H$404,B5,Bookings!$AM$5:$AM$404,"&lt;&gt;Cancelled"))</f>
        <v>0</v>
      </c>
      <c r="Q5" s="29">
        <f>IF(OR(O5="",O5=0),"",P5/O5)</f>
        <v>0</v>
      </c>
      <c r="R5" s="29">
        <f>IF(OR(O5="",M5=""),"",O5*M5)</f>
        <v>0</v>
      </c>
    </row>
    <row r="6" spans="1:20">
      <c r="A6" s="46">
        <f>IF(B6="","","SV-"&amp;TEXT(ROW()-4,"000"))</f>
        <v>0</v>
      </c>
      <c r="M6" s="29">
        <f>IF(G6="","",G6-IF(L6="",0,L6))</f>
        <v>0</v>
      </c>
      <c r="N6" s="30">
        <f>IF(OR(G6="",G6=0),"",M6/G6)</f>
        <v>0</v>
      </c>
      <c r="O6" s="31">
        <f>IF(B6="","",COUNTIFS(Bookings!$H$5:$H$404,B6,Bookings!$AM$5:$AM$404,"&lt;&gt;Cancelled"))</f>
        <v>0</v>
      </c>
      <c r="P6" s="29">
        <f>IF(B6="","",SUMIFS(Bookings!$AK$5:$AK$404,Bookings!$H$5:$H$404,B6,Bookings!$AM$5:$AM$404,"&lt;&gt;Cancelled"))</f>
        <v>0</v>
      </c>
      <c r="Q6" s="29">
        <f>IF(OR(O6="",O6=0),"",P6/O6)</f>
        <v>0</v>
      </c>
      <c r="R6" s="29">
        <f>IF(OR(O6="",M6=""),"",O6*M6)</f>
        <v>0</v>
      </c>
    </row>
    <row r="7" spans="1:20">
      <c r="A7" s="46">
        <f>IF(B7="","","SV-"&amp;TEXT(ROW()-4,"000"))</f>
        <v>0</v>
      </c>
      <c r="M7" s="29">
        <f>IF(G7="","",G7-IF(L7="",0,L7))</f>
        <v>0</v>
      </c>
      <c r="N7" s="30">
        <f>IF(OR(G7="",G7=0),"",M7/G7)</f>
        <v>0</v>
      </c>
      <c r="O7" s="31">
        <f>IF(B7="","",COUNTIFS(Bookings!$H$5:$H$404,B7,Bookings!$AM$5:$AM$404,"&lt;&gt;Cancelled"))</f>
        <v>0</v>
      </c>
      <c r="P7" s="29">
        <f>IF(B7="","",SUMIFS(Bookings!$AK$5:$AK$404,Bookings!$H$5:$H$404,B7,Bookings!$AM$5:$AM$404,"&lt;&gt;Cancelled"))</f>
        <v>0</v>
      </c>
      <c r="Q7" s="29">
        <f>IF(OR(O7="",O7=0),"",P7/O7)</f>
        <v>0</v>
      </c>
      <c r="R7" s="29">
        <f>IF(OR(O7="",M7=""),"",O7*M7)</f>
        <v>0</v>
      </c>
    </row>
    <row r="8" spans="1:20">
      <c r="A8" s="46">
        <f>IF(B8="","","SV-"&amp;TEXT(ROW()-4,"000"))</f>
        <v>0</v>
      </c>
      <c r="M8" s="29">
        <f>IF(G8="","",G8-IF(L8="",0,L8))</f>
        <v>0</v>
      </c>
      <c r="N8" s="30">
        <f>IF(OR(G8="",G8=0),"",M8/G8)</f>
        <v>0</v>
      </c>
      <c r="O8" s="31">
        <f>IF(B8="","",COUNTIFS(Bookings!$H$5:$H$404,B8,Bookings!$AM$5:$AM$404,"&lt;&gt;Cancelled"))</f>
        <v>0</v>
      </c>
      <c r="P8" s="29">
        <f>IF(B8="","",SUMIFS(Bookings!$AK$5:$AK$404,Bookings!$H$5:$H$404,B8,Bookings!$AM$5:$AM$404,"&lt;&gt;Cancelled"))</f>
        <v>0</v>
      </c>
      <c r="Q8" s="29">
        <f>IF(OR(O8="",O8=0),"",P8/O8)</f>
        <v>0</v>
      </c>
      <c r="R8" s="29">
        <f>IF(OR(O8="",M8=""),"",O8*M8)</f>
        <v>0</v>
      </c>
    </row>
    <row r="9" spans="1:20">
      <c r="A9" s="46">
        <f>IF(B9="","","SV-"&amp;TEXT(ROW()-4,"000"))</f>
        <v>0</v>
      </c>
      <c r="M9" s="29">
        <f>IF(G9="","",G9-IF(L9="",0,L9))</f>
        <v>0</v>
      </c>
      <c r="N9" s="30">
        <f>IF(OR(G9="",G9=0),"",M9/G9)</f>
        <v>0</v>
      </c>
      <c r="O9" s="31">
        <f>IF(B9="","",COUNTIFS(Bookings!$H$5:$H$404,B9,Bookings!$AM$5:$AM$404,"&lt;&gt;Cancelled"))</f>
        <v>0</v>
      </c>
      <c r="P9" s="29">
        <f>IF(B9="","",SUMIFS(Bookings!$AK$5:$AK$404,Bookings!$H$5:$H$404,B9,Bookings!$AM$5:$AM$404,"&lt;&gt;Cancelled"))</f>
        <v>0</v>
      </c>
      <c r="Q9" s="29">
        <f>IF(OR(O9="",O9=0),"",P9/O9)</f>
        <v>0</v>
      </c>
      <c r="R9" s="29">
        <f>IF(OR(O9="",M9=""),"",O9*M9)</f>
        <v>0</v>
      </c>
    </row>
    <row r="10" spans="1:20">
      <c r="A10" s="46">
        <f>IF(B10="","","SV-"&amp;TEXT(ROW()-4,"000"))</f>
        <v>0</v>
      </c>
      <c r="M10" s="29">
        <f>IF(G10="","",G10-IF(L10="",0,L10))</f>
        <v>0</v>
      </c>
      <c r="N10" s="30">
        <f>IF(OR(G10="",G10=0),"",M10/G10)</f>
        <v>0</v>
      </c>
      <c r="O10" s="31">
        <f>IF(B10="","",COUNTIFS(Bookings!$H$5:$H$404,B10,Bookings!$AM$5:$AM$404,"&lt;&gt;Cancelled"))</f>
        <v>0</v>
      </c>
      <c r="P10" s="29">
        <f>IF(B10="","",SUMIFS(Bookings!$AK$5:$AK$404,Bookings!$H$5:$H$404,B10,Bookings!$AM$5:$AM$404,"&lt;&gt;Cancelled"))</f>
        <v>0</v>
      </c>
      <c r="Q10" s="29">
        <f>IF(OR(O10="",O10=0),"",P10/O10)</f>
        <v>0</v>
      </c>
      <c r="R10" s="29">
        <f>IF(OR(O10="",M10=""),"",O10*M10)</f>
        <v>0</v>
      </c>
    </row>
    <row r="11" spans="1:20">
      <c r="A11" s="46">
        <f>IF(B11="","","SV-"&amp;TEXT(ROW()-4,"000"))</f>
        <v>0</v>
      </c>
      <c r="M11" s="29">
        <f>IF(G11="","",G11-IF(L11="",0,L11))</f>
        <v>0</v>
      </c>
      <c r="N11" s="30">
        <f>IF(OR(G11="",G11=0),"",M11/G11)</f>
        <v>0</v>
      </c>
      <c r="O11" s="31">
        <f>IF(B11="","",COUNTIFS(Bookings!$H$5:$H$404,B11,Bookings!$AM$5:$AM$404,"&lt;&gt;Cancelled"))</f>
        <v>0</v>
      </c>
      <c r="P11" s="29">
        <f>IF(B11="","",SUMIFS(Bookings!$AK$5:$AK$404,Bookings!$H$5:$H$404,B11,Bookings!$AM$5:$AM$404,"&lt;&gt;Cancelled"))</f>
        <v>0</v>
      </c>
      <c r="Q11" s="29">
        <f>IF(OR(O11="",O11=0),"",P11/O11)</f>
        <v>0</v>
      </c>
      <c r="R11" s="29">
        <f>IF(OR(O11="",M11=""),"",O11*M11)</f>
        <v>0</v>
      </c>
    </row>
    <row r="12" spans="1:20">
      <c r="A12" s="46">
        <f>IF(B12="","","SV-"&amp;TEXT(ROW()-4,"000"))</f>
        <v>0</v>
      </c>
      <c r="M12" s="29">
        <f>IF(G12="","",G12-IF(L12="",0,L12))</f>
        <v>0</v>
      </c>
      <c r="N12" s="30">
        <f>IF(OR(G12="",G12=0),"",M12/G12)</f>
        <v>0</v>
      </c>
      <c r="O12" s="31">
        <f>IF(B12="","",COUNTIFS(Bookings!$H$5:$H$404,B12,Bookings!$AM$5:$AM$404,"&lt;&gt;Cancelled"))</f>
        <v>0</v>
      </c>
      <c r="P12" s="29">
        <f>IF(B12="","",SUMIFS(Bookings!$AK$5:$AK$404,Bookings!$H$5:$H$404,B12,Bookings!$AM$5:$AM$404,"&lt;&gt;Cancelled"))</f>
        <v>0</v>
      </c>
      <c r="Q12" s="29">
        <f>IF(OR(O12="",O12=0),"",P12/O12)</f>
        <v>0</v>
      </c>
      <c r="R12" s="29">
        <f>IF(OR(O12="",M12=""),"",O12*M12)</f>
        <v>0</v>
      </c>
    </row>
    <row r="13" spans="1:20">
      <c r="A13" s="46">
        <f>IF(B13="","","SV-"&amp;TEXT(ROW()-4,"000"))</f>
        <v>0</v>
      </c>
      <c r="M13" s="29">
        <f>IF(G13="","",G13-IF(L13="",0,L13))</f>
        <v>0</v>
      </c>
      <c r="N13" s="30">
        <f>IF(OR(G13="",G13=0),"",M13/G13)</f>
        <v>0</v>
      </c>
      <c r="O13" s="31">
        <f>IF(B13="","",COUNTIFS(Bookings!$H$5:$H$404,B13,Bookings!$AM$5:$AM$404,"&lt;&gt;Cancelled"))</f>
        <v>0</v>
      </c>
      <c r="P13" s="29">
        <f>IF(B13="","",SUMIFS(Bookings!$AK$5:$AK$404,Bookings!$H$5:$H$404,B13,Bookings!$AM$5:$AM$404,"&lt;&gt;Cancelled"))</f>
        <v>0</v>
      </c>
      <c r="Q13" s="29">
        <f>IF(OR(O13="",O13=0),"",P13/O13)</f>
        <v>0</v>
      </c>
      <c r="R13" s="29">
        <f>IF(OR(O13="",M13=""),"",O13*M13)</f>
        <v>0</v>
      </c>
    </row>
    <row r="14" spans="1:20">
      <c r="A14" s="46">
        <f>IF(B14="","","SV-"&amp;TEXT(ROW()-4,"000"))</f>
        <v>0</v>
      </c>
      <c r="M14" s="29">
        <f>IF(G14="","",G14-IF(L14="",0,L14))</f>
        <v>0</v>
      </c>
      <c r="N14" s="30">
        <f>IF(OR(G14="",G14=0),"",M14/G14)</f>
        <v>0</v>
      </c>
      <c r="O14" s="31">
        <f>IF(B14="","",COUNTIFS(Bookings!$H$5:$H$404,B14,Bookings!$AM$5:$AM$404,"&lt;&gt;Cancelled"))</f>
        <v>0</v>
      </c>
      <c r="P14" s="29">
        <f>IF(B14="","",SUMIFS(Bookings!$AK$5:$AK$404,Bookings!$H$5:$H$404,B14,Bookings!$AM$5:$AM$404,"&lt;&gt;Cancelled"))</f>
        <v>0</v>
      </c>
      <c r="Q14" s="29">
        <f>IF(OR(O14="",O14=0),"",P14/O14)</f>
        <v>0</v>
      </c>
      <c r="R14" s="29">
        <f>IF(OR(O14="",M14=""),"",O14*M14)</f>
        <v>0</v>
      </c>
    </row>
    <row r="15" spans="1:20">
      <c r="A15" s="46">
        <f>IF(B15="","","SV-"&amp;TEXT(ROW()-4,"000"))</f>
        <v>0</v>
      </c>
      <c r="M15" s="29">
        <f>IF(G15="","",G15-IF(L15="",0,L15))</f>
        <v>0</v>
      </c>
      <c r="N15" s="30">
        <f>IF(OR(G15="",G15=0),"",M15/G15)</f>
        <v>0</v>
      </c>
      <c r="O15" s="31">
        <f>IF(B15="","",COUNTIFS(Bookings!$H$5:$H$404,B15,Bookings!$AM$5:$AM$404,"&lt;&gt;Cancelled"))</f>
        <v>0</v>
      </c>
      <c r="P15" s="29">
        <f>IF(B15="","",SUMIFS(Bookings!$AK$5:$AK$404,Bookings!$H$5:$H$404,B15,Bookings!$AM$5:$AM$404,"&lt;&gt;Cancelled"))</f>
        <v>0</v>
      </c>
      <c r="Q15" s="29">
        <f>IF(OR(O15="",O15=0),"",P15/O15)</f>
        <v>0</v>
      </c>
      <c r="R15" s="29">
        <f>IF(OR(O15="",M15=""),"",O15*M15)</f>
        <v>0</v>
      </c>
    </row>
    <row r="16" spans="1:20">
      <c r="A16" s="46">
        <f>IF(B16="","","SV-"&amp;TEXT(ROW()-4,"000"))</f>
        <v>0</v>
      </c>
      <c r="M16" s="29">
        <f>IF(G16="","",G16-IF(L16="",0,L16))</f>
        <v>0</v>
      </c>
      <c r="N16" s="30">
        <f>IF(OR(G16="",G16=0),"",M16/G16)</f>
        <v>0</v>
      </c>
      <c r="O16" s="31">
        <f>IF(B16="","",COUNTIFS(Bookings!$H$5:$H$404,B16,Bookings!$AM$5:$AM$404,"&lt;&gt;Cancelled"))</f>
        <v>0</v>
      </c>
      <c r="P16" s="29">
        <f>IF(B16="","",SUMIFS(Bookings!$AK$5:$AK$404,Bookings!$H$5:$H$404,B16,Bookings!$AM$5:$AM$404,"&lt;&gt;Cancelled"))</f>
        <v>0</v>
      </c>
      <c r="Q16" s="29">
        <f>IF(OR(O16="",O16=0),"",P16/O16)</f>
        <v>0</v>
      </c>
      <c r="R16" s="29">
        <f>IF(OR(O16="",M16=""),"",O16*M16)</f>
        <v>0</v>
      </c>
    </row>
    <row r="17" spans="1:18">
      <c r="A17" s="46">
        <f>IF(B17="","","SV-"&amp;TEXT(ROW()-4,"000"))</f>
        <v>0</v>
      </c>
      <c r="M17" s="29">
        <f>IF(G17="","",G17-IF(L17="",0,L17))</f>
        <v>0</v>
      </c>
      <c r="N17" s="30">
        <f>IF(OR(G17="",G17=0),"",M17/G17)</f>
        <v>0</v>
      </c>
      <c r="O17" s="31">
        <f>IF(B17="","",COUNTIFS(Bookings!$H$5:$H$404,B17,Bookings!$AM$5:$AM$404,"&lt;&gt;Cancelled"))</f>
        <v>0</v>
      </c>
      <c r="P17" s="29">
        <f>IF(B17="","",SUMIFS(Bookings!$AK$5:$AK$404,Bookings!$H$5:$H$404,B17,Bookings!$AM$5:$AM$404,"&lt;&gt;Cancelled"))</f>
        <v>0</v>
      </c>
      <c r="Q17" s="29">
        <f>IF(OR(O17="",O17=0),"",P17/O17)</f>
        <v>0</v>
      </c>
      <c r="R17" s="29">
        <f>IF(OR(O17="",M17=""),"",O17*M17)</f>
        <v>0</v>
      </c>
    </row>
    <row r="18" spans="1:18">
      <c r="A18" s="46">
        <f>IF(B18="","","SV-"&amp;TEXT(ROW()-4,"000"))</f>
        <v>0</v>
      </c>
      <c r="M18" s="29">
        <f>IF(G18="","",G18-IF(L18="",0,L18))</f>
        <v>0</v>
      </c>
      <c r="N18" s="30">
        <f>IF(OR(G18="",G18=0),"",M18/G18)</f>
        <v>0</v>
      </c>
      <c r="O18" s="31">
        <f>IF(B18="","",COUNTIFS(Bookings!$H$5:$H$404,B18,Bookings!$AM$5:$AM$404,"&lt;&gt;Cancelled"))</f>
        <v>0</v>
      </c>
      <c r="P18" s="29">
        <f>IF(B18="","",SUMIFS(Bookings!$AK$5:$AK$404,Bookings!$H$5:$H$404,B18,Bookings!$AM$5:$AM$404,"&lt;&gt;Cancelled"))</f>
        <v>0</v>
      </c>
      <c r="Q18" s="29">
        <f>IF(OR(O18="",O18=0),"",P18/O18)</f>
        <v>0</v>
      </c>
      <c r="R18" s="29">
        <f>IF(OR(O18="",M18=""),"",O18*M18)</f>
        <v>0</v>
      </c>
    </row>
    <row r="19" spans="1:18">
      <c r="A19" s="46">
        <f>IF(B19="","","SV-"&amp;TEXT(ROW()-4,"000"))</f>
        <v>0</v>
      </c>
      <c r="M19" s="29">
        <f>IF(G19="","",G19-IF(L19="",0,L19))</f>
        <v>0</v>
      </c>
      <c r="N19" s="30">
        <f>IF(OR(G19="",G19=0),"",M19/G19)</f>
        <v>0</v>
      </c>
      <c r="O19" s="31">
        <f>IF(B19="","",COUNTIFS(Bookings!$H$5:$H$404,B19,Bookings!$AM$5:$AM$404,"&lt;&gt;Cancelled"))</f>
        <v>0</v>
      </c>
      <c r="P19" s="29">
        <f>IF(B19="","",SUMIFS(Bookings!$AK$5:$AK$404,Bookings!$H$5:$H$404,B19,Bookings!$AM$5:$AM$404,"&lt;&gt;Cancelled"))</f>
        <v>0</v>
      </c>
      <c r="Q19" s="29">
        <f>IF(OR(O19="",O19=0),"",P19/O19)</f>
        <v>0</v>
      </c>
      <c r="R19" s="29">
        <f>IF(OR(O19="",M19=""),"",O19*M19)</f>
        <v>0</v>
      </c>
    </row>
    <row r="20" spans="1:18">
      <c r="A20" s="46">
        <f>IF(B20="","","SV-"&amp;TEXT(ROW()-4,"000"))</f>
        <v>0</v>
      </c>
      <c r="M20" s="29">
        <f>IF(G20="","",G20-IF(L20="",0,L20))</f>
        <v>0</v>
      </c>
      <c r="N20" s="30">
        <f>IF(OR(G20="",G20=0),"",M20/G20)</f>
        <v>0</v>
      </c>
      <c r="O20" s="31">
        <f>IF(B20="","",COUNTIFS(Bookings!$H$5:$H$404,B20,Bookings!$AM$5:$AM$404,"&lt;&gt;Cancelled"))</f>
        <v>0</v>
      </c>
      <c r="P20" s="29">
        <f>IF(B20="","",SUMIFS(Bookings!$AK$5:$AK$404,Bookings!$H$5:$H$404,B20,Bookings!$AM$5:$AM$404,"&lt;&gt;Cancelled"))</f>
        <v>0</v>
      </c>
      <c r="Q20" s="29">
        <f>IF(OR(O20="",O20=0),"",P20/O20)</f>
        <v>0</v>
      </c>
      <c r="R20" s="29">
        <f>IF(OR(O20="",M20=""),"",O20*M20)</f>
        <v>0</v>
      </c>
    </row>
    <row r="21" spans="1:18">
      <c r="A21" s="46">
        <f>IF(B21="","","SV-"&amp;TEXT(ROW()-4,"000"))</f>
        <v>0</v>
      </c>
      <c r="M21" s="29">
        <f>IF(G21="","",G21-IF(L21="",0,L21))</f>
        <v>0</v>
      </c>
      <c r="N21" s="30">
        <f>IF(OR(G21="",G21=0),"",M21/G21)</f>
        <v>0</v>
      </c>
      <c r="O21" s="31">
        <f>IF(B21="","",COUNTIFS(Bookings!$H$5:$H$404,B21,Bookings!$AM$5:$AM$404,"&lt;&gt;Cancelled"))</f>
        <v>0</v>
      </c>
      <c r="P21" s="29">
        <f>IF(B21="","",SUMIFS(Bookings!$AK$5:$AK$404,Bookings!$H$5:$H$404,B21,Bookings!$AM$5:$AM$404,"&lt;&gt;Cancelled"))</f>
        <v>0</v>
      </c>
      <c r="Q21" s="29">
        <f>IF(OR(O21="",O21=0),"",P21/O21)</f>
        <v>0</v>
      </c>
      <c r="R21" s="29">
        <f>IF(OR(O21="",M21=""),"",O21*M21)</f>
        <v>0</v>
      </c>
    </row>
    <row r="22" spans="1:18">
      <c r="A22" s="46">
        <f>IF(B22="","","SV-"&amp;TEXT(ROW()-4,"000"))</f>
        <v>0</v>
      </c>
      <c r="M22" s="29">
        <f>IF(G22="","",G22-IF(L22="",0,L22))</f>
        <v>0</v>
      </c>
      <c r="N22" s="30">
        <f>IF(OR(G22="",G22=0),"",M22/G22)</f>
        <v>0</v>
      </c>
      <c r="O22" s="31">
        <f>IF(B22="","",COUNTIFS(Bookings!$H$5:$H$404,B22,Bookings!$AM$5:$AM$404,"&lt;&gt;Cancelled"))</f>
        <v>0</v>
      </c>
      <c r="P22" s="29">
        <f>IF(B22="","",SUMIFS(Bookings!$AK$5:$AK$404,Bookings!$H$5:$H$404,B22,Bookings!$AM$5:$AM$404,"&lt;&gt;Cancelled"))</f>
        <v>0</v>
      </c>
      <c r="Q22" s="29">
        <f>IF(OR(O22="",O22=0),"",P22/O22)</f>
        <v>0</v>
      </c>
      <c r="R22" s="29">
        <f>IF(OR(O22="",M22=""),"",O22*M22)</f>
        <v>0</v>
      </c>
    </row>
    <row r="23" spans="1:18">
      <c r="A23" s="46">
        <f>IF(B23="","","SV-"&amp;TEXT(ROW()-4,"000"))</f>
        <v>0</v>
      </c>
      <c r="M23" s="29">
        <f>IF(G23="","",G23-IF(L23="",0,L23))</f>
        <v>0</v>
      </c>
      <c r="N23" s="30">
        <f>IF(OR(G23="",G23=0),"",M23/G23)</f>
        <v>0</v>
      </c>
      <c r="O23" s="31">
        <f>IF(B23="","",COUNTIFS(Bookings!$H$5:$H$404,B23,Bookings!$AM$5:$AM$404,"&lt;&gt;Cancelled"))</f>
        <v>0</v>
      </c>
      <c r="P23" s="29">
        <f>IF(B23="","",SUMIFS(Bookings!$AK$5:$AK$404,Bookings!$H$5:$H$404,B23,Bookings!$AM$5:$AM$404,"&lt;&gt;Cancelled"))</f>
        <v>0</v>
      </c>
      <c r="Q23" s="29">
        <f>IF(OR(O23="",O23=0),"",P23/O23)</f>
        <v>0</v>
      </c>
      <c r="R23" s="29">
        <f>IF(OR(O23="",M23=""),"",O23*M23)</f>
        <v>0</v>
      </c>
    </row>
    <row r="24" spans="1:18">
      <c r="A24" s="46">
        <f>IF(B24="","","SV-"&amp;TEXT(ROW()-4,"000"))</f>
        <v>0</v>
      </c>
      <c r="M24" s="29">
        <f>IF(G24="","",G24-IF(L24="",0,L24))</f>
        <v>0</v>
      </c>
      <c r="N24" s="30">
        <f>IF(OR(G24="",G24=0),"",M24/G24)</f>
        <v>0</v>
      </c>
      <c r="O24" s="31">
        <f>IF(B24="","",COUNTIFS(Bookings!$H$5:$H$404,B24,Bookings!$AM$5:$AM$404,"&lt;&gt;Cancelled"))</f>
        <v>0</v>
      </c>
      <c r="P24" s="29">
        <f>IF(B24="","",SUMIFS(Bookings!$AK$5:$AK$404,Bookings!$H$5:$H$404,B24,Bookings!$AM$5:$AM$404,"&lt;&gt;Cancelled"))</f>
        <v>0</v>
      </c>
      <c r="Q24" s="29">
        <f>IF(OR(O24="",O24=0),"",P24/O24)</f>
        <v>0</v>
      </c>
      <c r="R24" s="29">
        <f>IF(OR(O24="",M24=""),"",O24*M24)</f>
        <v>0</v>
      </c>
    </row>
    <row r="25" spans="1:18">
      <c r="A25" s="46">
        <f>IF(B25="","","SV-"&amp;TEXT(ROW()-4,"000"))</f>
        <v>0</v>
      </c>
      <c r="M25" s="29">
        <f>IF(G25="","",G25-IF(L25="",0,L25))</f>
        <v>0</v>
      </c>
      <c r="N25" s="30">
        <f>IF(OR(G25="",G25=0),"",M25/G25)</f>
        <v>0</v>
      </c>
      <c r="O25" s="31">
        <f>IF(B25="","",COUNTIFS(Bookings!$H$5:$H$404,B25,Bookings!$AM$5:$AM$404,"&lt;&gt;Cancelled"))</f>
        <v>0</v>
      </c>
      <c r="P25" s="29">
        <f>IF(B25="","",SUMIFS(Bookings!$AK$5:$AK$404,Bookings!$H$5:$H$404,B25,Bookings!$AM$5:$AM$404,"&lt;&gt;Cancelled"))</f>
        <v>0</v>
      </c>
      <c r="Q25" s="29">
        <f>IF(OR(O25="",O25=0),"",P25/O25)</f>
        <v>0</v>
      </c>
      <c r="R25" s="29">
        <f>IF(OR(O25="",M25=""),"",O25*M25)</f>
        <v>0</v>
      </c>
    </row>
    <row r="26" spans="1:18">
      <c r="A26" s="46">
        <f>IF(B26="","","SV-"&amp;TEXT(ROW()-4,"000"))</f>
        <v>0</v>
      </c>
      <c r="M26" s="29">
        <f>IF(G26="","",G26-IF(L26="",0,L26))</f>
        <v>0</v>
      </c>
      <c r="N26" s="30">
        <f>IF(OR(G26="",G26=0),"",M26/G26)</f>
        <v>0</v>
      </c>
      <c r="O26" s="31">
        <f>IF(B26="","",COUNTIFS(Bookings!$H$5:$H$404,B26,Bookings!$AM$5:$AM$404,"&lt;&gt;Cancelled"))</f>
        <v>0</v>
      </c>
      <c r="P26" s="29">
        <f>IF(B26="","",SUMIFS(Bookings!$AK$5:$AK$404,Bookings!$H$5:$H$404,B26,Bookings!$AM$5:$AM$404,"&lt;&gt;Cancelled"))</f>
        <v>0</v>
      </c>
      <c r="Q26" s="29">
        <f>IF(OR(O26="",O26=0),"",P26/O26)</f>
        <v>0</v>
      </c>
      <c r="R26" s="29">
        <f>IF(OR(O26="",M26=""),"",O26*M26)</f>
        <v>0</v>
      </c>
    </row>
    <row r="27" spans="1:18">
      <c r="A27" s="46">
        <f>IF(B27="","","SV-"&amp;TEXT(ROW()-4,"000"))</f>
        <v>0</v>
      </c>
      <c r="M27" s="29">
        <f>IF(G27="","",G27-IF(L27="",0,L27))</f>
        <v>0</v>
      </c>
      <c r="N27" s="30">
        <f>IF(OR(G27="",G27=0),"",M27/G27)</f>
        <v>0</v>
      </c>
      <c r="O27" s="31">
        <f>IF(B27="","",COUNTIFS(Bookings!$H$5:$H$404,B27,Bookings!$AM$5:$AM$404,"&lt;&gt;Cancelled"))</f>
        <v>0</v>
      </c>
      <c r="P27" s="29">
        <f>IF(B27="","",SUMIFS(Bookings!$AK$5:$AK$404,Bookings!$H$5:$H$404,B27,Bookings!$AM$5:$AM$404,"&lt;&gt;Cancelled"))</f>
        <v>0</v>
      </c>
      <c r="Q27" s="29">
        <f>IF(OR(O27="",O27=0),"",P27/O27)</f>
        <v>0</v>
      </c>
      <c r="R27" s="29">
        <f>IF(OR(O27="",M27=""),"",O27*M27)</f>
        <v>0</v>
      </c>
    </row>
    <row r="28" spans="1:18">
      <c r="A28" s="46">
        <f>IF(B28="","","SV-"&amp;TEXT(ROW()-4,"000"))</f>
        <v>0</v>
      </c>
      <c r="M28" s="29">
        <f>IF(G28="","",G28-IF(L28="",0,L28))</f>
        <v>0</v>
      </c>
      <c r="N28" s="30">
        <f>IF(OR(G28="",G28=0),"",M28/G28)</f>
        <v>0</v>
      </c>
      <c r="O28" s="31">
        <f>IF(B28="","",COUNTIFS(Bookings!$H$5:$H$404,B28,Bookings!$AM$5:$AM$404,"&lt;&gt;Cancelled"))</f>
        <v>0</v>
      </c>
      <c r="P28" s="29">
        <f>IF(B28="","",SUMIFS(Bookings!$AK$5:$AK$404,Bookings!$H$5:$H$404,B28,Bookings!$AM$5:$AM$404,"&lt;&gt;Cancelled"))</f>
        <v>0</v>
      </c>
      <c r="Q28" s="29">
        <f>IF(OR(O28="",O28=0),"",P28/O28)</f>
        <v>0</v>
      </c>
      <c r="R28" s="29">
        <f>IF(OR(O28="",M28=""),"",O28*M28)</f>
        <v>0</v>
      </c>
    </row>
    <row r="29" spans="1:18">
      <c r="A29" s="46">
        <f>IF(B29="","","SV-"&amp;TEXT(ROW()-4,"000"))</f>
        <v>0</v>
      </c>
      <c r="M29" s="29">
        <f>IF(G29="","",G29-IF(L29="",0,L29))</f>
        <v>0</v>
      </c>
      <c r="N29" s="30">
        <f>IF(OR(G29="",G29=0),"",M29/G29)</f>
        <v>0</v>
      </c>
      <c r="O29" s="31">
        <f>IF(B29="","",COUNTIFS(Bookings!$H$5:$H$404,B29,Bookings!$AM$5:$AM$404,"&lt;&gt;Cancelled"))</f>
        <v>0</v>
      </c>
      <c r="P29" s="29">
        <f>IF(B29="","",SUMIFS(Bookings!$AK$5:$AK$404,Bookings!$H$5:$H$404,B29,Bookings!$AM$5:$AM$404,"&lt;&gt;Cancelled"))</f>
        <v>0</v>
      </c>
      <c r="Q29" s="29">
        <f>IF(OR(O29="",O29=0),"",P29/O29)</f>
        <v>0</v>
      </c>
      <c r="R29" s="29">
        <f>IF(OR(O29="",M29=""),"",O29*M29)</f>
        <v>0</v>
      </c>
    </row>
    <row r="30" spans="1:18">
      <c r="A30" s="46">
        <f>IF(B30="","","SV-"&amp;TEXT(ROW()-4,"000"))</f>
        <v>0</v>
      </c>
      <c r="M30" s="29">
        <f>IF(G30="","",G30-IF(L30="",0,L30))</f>
        <v>0</v>
      </c>
      <c r="N30" s="30">
        <f>IF(OR(G30="",G30=0),"",M30/G30)</f>
        <v>0</v>
      </c>
      <c r="O30" s="31">
        <f>IF(B30="","",COUNTIFS(Bookings!$H$5:$H$404,B30,Bookings!$AM$5:$AM$404,"&lt;&gt;Cancelled"))</f>
        <v>0</v>
      </c>
      <c r="P30" s="29">
        <f>IF(B30="","",SUMIFS(Bookings!$AK$5:$AK$404,Bookings!$H$5:$H$404,B30,Bookings!$AM$5:$AM$404,"&lt;&gt;Cancelled"))</f>
        <v>0</v>
      </c>
      <c r="Q30" s="29">
        <f>IF(OR(O30="",O30=0),"",P30/O30)</f>
        <v>0</v>
      </c>
      <c r="R30" s="29">
        <f>IF(OR(O30="",M30=""),"",O30*M30)</f>
        <v>0</v>
      </c>
    </row>
    <row r="31" spans="1:18">
      <c r="A31" s="46">
        <f>IF(B31="","","SV-"&amp;TEXT(ROW()-4,"000"))</f>
        <v>0</v>
      </c>
      <c r="M31" s="29">
        <f>IF(G31="","",G31-IF(L31="",0,L31))</f>
        <v>0</v>
      </c>
      <c r="N31" s="30">
        <f>IF(OR(G31="",G31=0),"",M31/G31)</f>
        <v>0</v>
      </c>
      <c r="O31" s="31">
        <f>IF(B31="","",COUNTIFS(Bookings!$H$5:$H$404,B31,Bookings!$AM$5:$AM$404,"&lt;&gt;Cancelled"))</f>
        <v>0</v>
      </c>
      <c r="P31" s="29">
        <f>IF(B31="","",SUMIFS(Bookings!$AK$5:$AK$404,Bookings!$H$5:$H$404,B31,Bookings!$AM$5:$AM$404,"&lt;&gt;Cancelled"))</f>
        <v>0</v>
      </c>
      <c r="Q31" s="29">
        <f>IF(OR(O31="",O31=0),"",P31/O31)</f>
        <v>0</v>
      </c>
      <c r="R31" s="29">
        <f>IF(OR(O31="",M31=""),"",O31*M31)</f>
        <v>0</v>
      </c>
    </row>
    <row r="32" spans="1:18">
      <c r="A32" s="46">
        <f>IF(B32="","","SV-"&amp;TEXT(ROW()-4,"000"))</f>
        <v>0</v>
      </c>
      <c r="M32" s="29">
        <f>IF(G32="","",G32-IF(L32="",0,L32))</f>
        <v>0</v>
      </c>
      <c r="N32" s="30">
        <f>IF(OR(G32="",G32=0),"",M32/G32)</f>
        <v>0</v>
      </c>
      <c r="O32" s="31">
        <f>IF(B32="","",COUNTIFS(Bookings!$H$5:$H$404,B32,Bookings!$AM$5:$AM$404,"&lt;&gt;Cancelled"))</f>
        <v>0</v>
      </c>
      <c r="P32" s="29">
        <f>IF(B32="","",SUMIFS(Bookings!$AK$5:$AK$404,Bookings!$H$5:$H$404,B32,Bookings!$AM$5:$AM$404,"&lt;&gt;Cancelled"))</f>
        <v>0</v>
      </c>
      <c r="Q32" s="29">
        <f>IF(OR(O32="",O32=0),"",P32/O32)</f>
        <v>0</v>
      </c>
      <c r="R32" s="29">
        <f>IF(OR(O32="",M32=""),"",O32*M32)</f>
        <v>0</v>
      </c>
    </row>
    <row r="33" spans="1:18">
      <c r="A33" s="46">
        <f>IF(B33="","","SV-"&amp;TEXT(ROW()-4,"000"))</f>
        <v>0</v>
      </c>
      <c r="M33" s="29">
        <f>IF(G33="","",G33-IF(L33="",0,L33))</f>
        <v>0</v>
      </c>
      <c r="N33" s="30">
        <f>IF(OR(G33="",G33=0),"",M33/G33)</f>
        <v>0</v>
      </c>
      <c r="O33" s="31">
        <f>IF(B33="","",COUNTIFS(Bookings!$H$5:$H$404,B33,Bookings!$AM$5:$AM$404,"&lt;&gt;Cancelled"))</f>
        <v>0</v>
      </c>
      <c r="P33" s="29">
        <f>IF(B33="","",SUMIFS(Bookings!$AK$5:$AK$404,Bookings!$H$5:$H$404,B33,Bookings!$AM$5:$AM$404,"&lt;&gt;Cancelled"))</f>
        <v>0</v>
      </c>
      <c r="Q33" s="29">
        <f>IF(OR(O33="",O33=0),"",P33/O33)</f>
        <v>0</v>
      </c>
      <c r="R33" s="29">
        <f>IF(OR(O33="",M33=""),"",O33*M33)</f>
        <v>0</v>
      </c>
    </row>
    <row r="34" spans="1:18">
      <c r="A34" s="46">
        <f>IF(B34="","","SV-"&amp;TEXT(ROW()-4,"000"))</f>
        <v>0</v>
      </c>
      <c r="M34" s="29">
        <f>IF(G34="","",G34-IF(L34="",0,L34))</f>
        <v>0</v>
      </c>
      <c r="N34" s="30">
        <f>IF(OR(G34="",G34=0),"",M34/G34)</f>
        <v>0</v>
      </c>
      <c r="O34" s="31">
        <f>IF(B34="","",COUNTIFS(Bookings!$H$5:$H$404,B34,Bookings!$AM$5:$AM$404,"&lt;&gt;Cancelled"))</f>
        <v>0</v>
      </c>
      <c r="P34" s="29">
        <f>IF(B34="","",SUMIFS(Bookings!$AK$5:$AK$404,Bookings!$H$5:$H$404,B34,Bookings!$AM$5:$AM$404,"&lt;&gt;Cancelled"))</f>
        <v>0</v>
      </c>
      <c r="Q34" s="29">
        <f>IF(OR(O34="",O34=0),"",P34/O34)</f>
        <v>0</v>
      </c>
      <c r="R34" s="29">
        <f>IF(OR(O34="",M34=""),"",O34*M34)</f>
        <v>0</v>
      </c>
    </row>
    <row r="35" spans="1:18">
      <c r="A35" s="46">
        <f>IF(B35="","","SV-"&amp;TEXT(ROW()-4,"000"))</f>
        <v>0</v>
      </c>
      <c r="M35" s="29">
        <f>IF(G35="","",G35-IF(L35="",0,L35))</f>
        <v>0</v>
      </c>
      <c r="N35" s="30">
        <f>IF(OR(G35="",G35=0),"",M35/G35)</f>
        <v>0</v>
      </c>
      <c r="O35" s="31">
        <f>IF(B35="","",COUNTIFS(Bookings!$H$5:$H$404,B35,Bookings!$AM$5:$AM$404,"&lt;&gt;Cancelled"))</f>
        <v>0</v>
      </c>
      <c r="P35" s="29">
        <f>IF(B35="","",SUMIFS(Bookings!$AK$5:$AK$404,Bookings!$H$5:$H$404,B35,Bookings!$AM$5:$AM$404,"&lt;&gt;Cancelled"))</f>
        <v>0</v>
      </c>
      <c r="Q35" s="29">
        <f>IF(OR(O35="",O35=0),"",P35/O35)</f>
        <v>0</v>
      </c>
      <c r="R35" s="29">
        <f>IF(OR(O35="",M35=""),"",O35*M35)</f>
        <v>0</v>
      </c>
    </row>
    <row r="36" spans="1:18">
      <c r="A36" s="46">
        <f>IF(B36="","","SV-"&amp;TEXT(ROW()-4,"000"))</f>
        <v>0</v>
      </c>
      <c r="M36" s="29">
        <f>IF(G36="","",G36-IF(L36="",0,L36))</f>
        <v>0</v>
      </c>
      <c r="N36" s="30">
        <f>IF(OR(G36="",G36=0),"",M36/G36)</f>
        <v>0</v>
      </c>
      <c r="O36" s="31">
        <f>IF(B36="","",COUNTIFS(Bookings!$H$5:$H$404,B36,Bookings!$AM$5:$AM$404,"&lt;&gt;Cancelled"))</f>
        <v>0</v>
      </c>
      <c r="P36" s="29">
        <f>IF(B36="","",SUMIFS(Bookings!$AK$5:$AK$404,Bookings!$H$5:$H$404,B36,Bookings!$AM$5:$AM$404,"&lt;&gt;Cancelled"))</f>
        <v>0</v>
      </c>
      <c r="Q36" s="29">
        <f>IF(OR(O36="",O36=0),"",P36/O36)</f>
        <v>0</v>
      </c>
      <c r="R36" s="29">
        <f>IF(OR(O36="",M36=""),"",O36*M36)</f>
        <v>0</v>
      </c>
    </row>
    <row r="37" spans="1:18">
      <c r="A37" s="46">
        <f>IF(B37="","","SV-"&amp;TEXT(ROW()-4,"000"))</f>
        <v>0</v>
      </c>
      <c r="M37" s="29">
        <f>IF(G37="","",G37-IF(L37="",0,L37))</f>
        <v>0</v>
      </c>
      <c r="N37" s="30">
        <f>IF(OR(G37="",G37=0),"",M37/G37)</f>
        <v>0</v>
      </c>
      <c r="O37" s="31">
        <f>IF(B37="","",COUNTIFS(Bookings!$H$5:$H$404,B37,Bookings!$AM$5:$AM$404,"&lt;&gt;Cancelled"))</f>
        <v>0</v>
      </c>
      <c r="P37" s="29">
        <f>IF(B37="","",SUMIFS(Bookings!$AK$5:$AK$404,Bookings!$H$5:$H$404,B37,Bookings!$AM$5:$AM$404,"&lt;&gt;Cancelled"))</f>
        <v>0</v>
      </c>
      <c r="Q37" s="29">
        <f>IF(OR(O37="",O37=0),"",P37/O37)</f>
        <v>0</v>
      </c>
      <c r="R37" s="29">
        <f>IF(OR(O37="",M37=""),"",O37*M37)</f>
        <v>0</v>
      </c>
    </row>
    <row r="38" spans="1:18">
      <c r="A38" s="46">
        <f>IF(B38="","","SV-"&amp;TEXT(ROW()-4,"000"))</f>
        <v>0</v>
      </c>
      <c r="M38" s="29">
        <f>IF(G38="","",G38-IF(L38="",0,L38))</f>
        <v>0</v>
      </c>
      <c r="N38" s="30">
        <f>IF(OR(G38="",G38=0),"",M38/G38)</f>
        <v>0</v>
      </c>
      <c r="O38" s="31">
        <f>IF(B38="","",COUNTIFS(Bookings!$H$5:$H$404,B38,Bookings!$AM$5:$AM$404,"&lt;&gt;Cancelled"))</f>
        <v>0</v>
      </c>
      <c r="P38" s="29">
        <f>IF(B38="","",SUMIFS(Bookings!$AK$5:$AK$404,Bookings!$H$5:$H$404,B38,Bookings!$AM$5:$AM$404,"&lt;&gt;Cancelled"))</f>
        <v>0</v>
      </c>
      <c r="Q38" s="29">
        <f>IF(OR(O38="",O38=0),"",P38/O38)</f>
        <v>0</v>
      </c>
      <c r="R38" s="29">
        <f>IF(OR(O38="",M38=""),"",O38*M38)</f>
        <v>0</v>
      </c>
    </row>
    <row r="39" spans="1:18">
      <c r="A39" s="46">
        <f>IF(B39="","","SV-"&amp;TEXT(ROW()-4,"000"))</f>
        <v>0</v>
      </c>
      <c r="M39" s="29">
        <f>IF(G39="","",G39-IF(L39="",0,L39))</f>
        <v>0</v>
      </c>
      <c r="N39" s="30">
        <f>IF(OR(G39="",G39=0),"",M39/G39)</f>
        <v>0</v>
      </c>
      <c r="O39" s="31">
        <f>IF(B39="","",COUNTIFS(Bookings!$H$5:$H$404,B39,Bookings!$AM$5:$AM$404,"&lt;&gt;Cancelled"))</f>
        <v>0</v>
      </c>
      <c r="P39" s="29">
        <f>IF(B39="","",SUMIFS(Bookings!$AK$5:$AK$404,Bookings!$H$5:$H$404,B39,Bookings!$AM$5:$AM$404,"&lt;&gt;Cancelled"))</f>
        <v>0</v>
      </c>
      <c r="Q39" s="29">
        <f>IF(OR(O39="",O39=0),"",P39/O39)</f>
        <v>0</v>
      </c>
      <c r="R39" s="29">
        <f>IF(OR(O39="",M39=""),"",O39*M39)</f>
        <v>0</v>
      </c>
    </row>
    <row r="40" spans="1:18">
      <c r="A40" s="46">
        <f>IF(B40="","","SV-"&amp;TEXT(ROW()-4,"000"))</f>
        <v>0</v>
      </c>
      <c r="M40" s="29">
        <f>IF(G40="","",G40-IF(L40="",0,L40))</f>
        <v>0</v>
      </c>
      <c r="N40" s="30">
        <f>IF(OR(G40="",G40=0),"",M40/G40)</f>
        <v>0</v>
      </c>
      <c r="O40" s="31">
        <f>IF(B40="","",COUNTIFS(Bookings!$H$5:$H$404,B40,Bookings!$AM$5:$AM$404,"&lt;&gt;Cancelled"))</f>
        <v>0</v>
      </c>
      <c r="P40" s="29">
        <f>IF(B40="","",SUMIFS(Bookings!$AK$5:$AK$404,Bookings!$H$5:$H$404,B40,Bookings!$AM$5:$AM$404,"&lt;&gt;Cancelled"))</f>
        <v>0</v>
      </c>
      <c r="Q40" s="29">
        <f>IF(OR(O40="",O40=0),"",P40/O40)</f>
        <v>0</v>
      </c>
      <c r="R40" s="29">
        <f>IF(OR(O40="",M40=""),"",O40*M40)</f>
        <v>0</v>
      </c>
    </row>
    <row r="41" spans="1:18">
      <c r="A41" s="46">
        <f>IF(B41="","","SV-"&amp;TEXT(ROW()-4,"000"))</f>
        <v>0</v>
      </c>
      <c r="M41" s="29">
        <f>IF(G41="","",G41-IF(L41="",0,L41))</f>
        <v>0</v>
      </c>
      <c r="N41" s="30">
        <f>IF(OR(G41="",G41=0),"",M41/G41)</f>
        <v>0</v>
      </c>
      <c r="O41" s="31">
        <f>IF(B41="","",COUNTIFS(Bookings!$H$5:$H$404,B41,Bookings!$AM$5:$AM$404,"&lt;&gt;Cancelled"))</f>
        <v>0</v>
      </c>
      <c r="P41" s="29">
        <f>IF(B41="","",SUMIFS(Bookings!$AK$5:$AK$404,Bookings!$H$5:$H$404,B41,Bookings!$AM$5:$AM$404,"&lt;&gt;Cancelled"))</f>
        <v>0</v>
      </c>
      <c r="Q41" s="29">
        <f>IF(OR(O41="",O41=0),"",P41/O41)</f>
        <v>0</v>
      </c>
      <c r="R41" s="29">
        <f>IF(OR(O41="",M41=""),"",O41*M41)</f>
        <v>0</v>
      </c>
    </row>
    <row r="42" spans="1:18">
      <c r="A42" s="46">
        <f>IF(B42="","","SV-"&amp;TEXT(ROW()-4,"000"))</f>
        <v>0</v>
      </c>
      <c r="M42" s="29">
        <f>IF(G42="","",G42-IF(L42="",0,L42))</f>
        <v>0</v>
      </c>
      <c r="N42" s="30">
        <f>IF(OR(G42="",G42=0),"",M42/G42)</f>
        <v>0</v>
      </c>
      <c r="O42" s="31">
        <f>IF(B42="","",COUNTIFS(Bookings!$H$5:$H$404,B42,Bookings!$AM$5:$AM$404,"&lt;&gt;Cancelled"))</f>
        <v>0</v>
      </c>
      <c r="P42" s="29">
        <f>IF(B42="","",SUMIFS(Bookings!$AK$5:$AK$404,Bookings!$H$5:$H$404,B42,Bookings!$AM$5:$AM$404,"&lt;&gt;Cancelled"))</f>
        <v>0</v>
      </c>
      <c r="Q42" s="29">
        <f>IF(OR(O42="",O42=0),"",P42/O42)</f>
        <v>0</v>
      </c>
      <c r="R42" s="29">
        <f>IF(OR(O42="",M42=""),"",O42*M42)</f>
        <v>0</v>
      </c>
    </row>
    <row r="43" spans="1:18">
      <c r="A43" s="46">
        <f>IF(B43="","","SV-"&amp;TEXT(ROW()-4,"000"))</f>
        <v>0</v>
      </c>
      <c r="M43" s="29">
        <f>IF(G43="","",G43-IF(L43="",0,L43))</f>
        <v>0</v>
      </c>
      <c r="N43" s="30">
        <f>IF(OR(G43="",G43=0),"",M43/G43)</f>
        <v>0</v>
      </c>
      <c r="O43" s="31">
        <f>IF(B43="","",COUNTIFS(Bookings!$H$5:$H$404,B43,Bookings!$AM$5:$AM$404,"&lt;&gt;Cancelled"))</f>
        <v>0</v>
      </c>
      <c r="P43" s="29">
        <f>IF(B43="","",SUMIFS(Bookings!$AK$5:$AK$404,Bookings!$H$5:$H$404,B43,Bookings!$AM$5:$AM$404,"&lt;&gt;Cancelled"))</f>
        <v>0</v>
      </c>
      <c r="Q43" s="29">
        <f>IF(OR(O43="",O43=0),"",P43/O43)</f>
        <v>0</v>
      </c>
      <c r="R43" s="29">
        <f>IF(OR(O43="",M43=""),"",O43*M43)</f>
        <v>0</v>
      </c>
    </row>
    <row r="44" spans="1:18">
      <c r="A44" s="46">
        <f>IF(B44="","","SV-"&amp;TEXT(ROW()-4,"000"))</f>
        <v>0</v>
      </c>
      <c r="M44" s="29">
        <f>IF(G44="","",G44-IF(L44="",0,L44))</f>
        <v>0</v>
      </c>
      <c r="N44" s="30">
        <f>IF(OR(G44="",G44=0),"",M44/G44)</f>
        <v>0</v>
      </c>
      <c r="O44" s="31">
        <f>IF(B44="","",COUNTIFS(Bookings!$H$5:$H$404,B44,Bookings!$AM$5:$AM$404,"&lt;&gt;Cancelled"))</f>
        <v>0</v>
      </c>
      <c r="P44" s="29">
        <f>IF(B44="","",SUMIFS(Bookings!$AK$5:$AK$404,Bookings!$H$5:$H$404,B44,Bookings!$AM$5:$AM$404,"&lt;&gt;Cancelled"))</f>
        <v>0</v>
      </c>
      <c r="Q44" s="29">
        <f>IF(OR(O44="",O44=0),"",P44/O44)</f>
        <v>0</v>
      </c>
      <c r="R44" s="29">
        <f>IF(OR(O44="",M44=""),"",O44*M44)</f>
        <v>0</v>
      </c>
    </row>
    <row r="45" spans="1:18">
      <c r="A45" s="46">
        <f>IF(B45="","","SV-"&amp;TEXT(ROW()-4,"000"))</f>
        <v>0</v>
      </c>
      <c r="M45" s="29">
        <f>IF(G45="","",G45-IF(L45="",0,L45))</f>
        <v>0</v>
      </c>
      <c r="N45" s="30">
        <f>IF(OR(G45="",G45=0),"",M45/G45)</f>
        <v>0</v>
      </c>
      <c r="O45" s="31">
        <f>IF(B45="","",COUNTIFS(Bookings!$H$5:$H$404,B45,Bookings!$AM$5:$AM$404,"&lt;&gt;Cancelled"))</f>
        <v>0</v>
      </c>
      <c r="P45" s="29">
        <f>IF(B45="","",SUMIFS(Bookings!$AK$5:$AK$404,Bookings!$H$5:$H$404,B45,Bookings!$AM$5:$AM$404,"&lt;&gt;Cancelled"))</f>
        <v>0</v>
      </c>
      <c r="Q45" s="29">
        <f>IF(OR(O45="",O45=0),"",P45/O45)</f>
        <v>0</v>
      </c>
      <c r="R45" s="29">
        <f>IF(OR(O45="",M45=""),"",O45*M45)</f>
        <v>0</v>
      </c>
    </row>
    <row r="46" spans="1:18">
      <c r="A46" s="46">
        <f>IF(B46="","","SV-"&amp;TEXT(ROW()-4,"000"))</f>
        <v>0</v>
      </c>
      <c r="M46" s="29">
        <f>IF(G46="","",G46-IF(L46="",0,L46))</f>
        <v>0</v>
      </c>
      <c r="N46" s="30">
        <f>IF(OR(G46="",G46=0),"",M46/G46)</f>
        <v>0</v>
      </c>
      <c r="O46" s="31">
        <f>IF(B46="","",COUNTIFS(Bookings!$H$5:$H$404,B46,Bookings!$AM$5:$AM$404,"&lt;&gt;Cancelled"))</f>
        <v>0</v>
      </c>
      <c r="P46" s="29">
        <f>IF(B46="","",SUMIFS(Bookings!$AK$5:$AK$404,Bookings!$H$5:$H$404,B46,Bookings!$AM$5:$AM$404,"&lt;&gt;Cancelled"))</f>
        <v>0</v>
      </c>
      <c r="Q46" s="29">
        <f>IF(OR(O46="",O46=0),"",P46/O46)</f>
        <v>0</v>
      </c>
      <c r="R46" s="29">
        <f>IF(OR(O46="",M46=""),"",O46*M46)</f>
        <v>0</v>
      </c>
    </row>
    <row r="47" spans="1:18">
      <c r="A47" s="46">
        <f>IF(B47="","","SV-"&amp;TEXT(ROW()-4,"000"))</f>
        <v>0</v>
      </c>
      <c r="M47" s="29">
        <f>IF(G47="","",G47-IF(L47="",0,L47))</f>
        <v>0</v>
      </c>
      <c r="N47" s="30">
        <f>IF(OR(G47="",G47=0),"",M47/G47)</f>
        <v>0</v>
      </c>
      <c r="O47" s="31">
        <f>IF(B47="","",COUNTIFS(Bookings!$H$5:$H$404,B47,Bookings!$AM$5:$AM$404,"&lt;&gt;Cancelled"))</f>
        <v>0</v>
      </c>
      <c r="P47" s="29">
        <f>IF(B47="","",SUMIFS(Bookings!$AK$5:$AK$404,Bookings!$H$5:$H$404,B47,Bookings!$AM$5:$AM$404,"&lt;&gt;Cancelled"))</f>
        <v>0</v>
      </c>
      <c r="Q47" s="29">
        <f>IF(OR(O47="",O47=0),"",P47/O47)</f>
        <v>0</v>
      </c>
      <c r="R47" s="29">
        <f>IF(OR(O47="",M47=""),"",O47*M47)</f>
        <v>0</v>
      </c>
    </row>
    <row r="48" spans="1:18">
      <c r="A48" s="46">
        <f>IF(B48="","","SV-"&amp;TEXT(ROW()-4,"000"))</f>
        <v>0</v>
      </c>
      <c r="M48" s="29">
        <f>IF(G48="","",G48-IF(L48="",0,L48))</f>
        <v>0</v>
      </c>
      <c r="N48" s="30">
        <f>IF(OR(G48="",G48=0),"",M48/G48)</f>
        <v>0</v>
      </c>
      <c r="O48" s="31">
        <f>IF(B48="","",COUNTIFS(Bookings!$H$5:$H$404,B48,Bookings!$AM$5:$AM$404,"&lt;&gt;Cancelled"))</f>
        <v>0</v>
      </c>
      <c r="P48" s="29">
        <f>IF(B48="","",SUMIFS(Bookings!$AK$5:$AK$404,Bookings!$H$5:$H$404,B48,Bookings!$AM$5:$AM$404,"&lt;&gt;Cancelled"))</f>
        <v>0</v>
      </c>
      <c r="Q48" s="29">
        <f>IF(OR(O48="",O48=0),"",P48/O48)</f>
        <v>0</v>
      </c>
      <c r="R48" s="29">
        <f>IF(OR(O48="",M48=""),"",O48*M48)</f>
        <v>0</v>
      </c>
    </row>
    <row r="49" spans="1:18">
      <c r="A49" s="46">
        <f>IF(B49="","","SV-"&amp;TEXT(ROW()-4,"000"))</f>
        <v>0</v>
      </c>
      <c r="M49" s="29">
        <f>IF(G49="","",G49-IF(L49="",0,L49))</f>
        <v>0</v>
      </c>
      <c r="N49" s="30">
        <f>IF(OR(G49="",G49=0),"",M49/G49)</f>
        <v>0</v>
      </c>
      <c r="O49" s="31">
        <f>IF(B49="","",COUNTIFS(Bookings!$H$5:$H$404,B49,Bookings!$AM$5:$AM$404,"&lt;&gt;Cancelled"))</f>
        <v>0</v>
      </c>
      <c r="P49" s="29">
        <f>IF(B49="","",SUMIFS(Bookings!$AK$5:$AK$404,Bookings!$H$5:$H$404,B49,Bookings!$AM$5:$AM$404,"&lt;&gt;Cancelled"))</f>
        <v>0</v>
      </c>
      <c r="Q49" s="29">
        <f>IF(OR(O49="",O49=0),"",P49/O49)</f>
        <v>0</v>
      </c>
      <c r="R49" s="29">
        <f>IF(OR(O49="",M49=""),"",O49*M49)</f>
        <v>0</v>
      </c>
    </row>
    <row r="50" spans="1:18">
      <c r="A50" s="46">
        <f>IF(B50="","","SV-"&amp;TEXT(ROW()-4,"000"))</f>
        <v>0</v>
      </c>
      <c r="M50" s="29">
        <f>IF(G50="","",G50-IF(L50="",0,L50))</f>
        <v>0</v>
      </c>
      <c r="N50" s="30">
        <f>IF(OR(G50="",G50=0),"",M50/G50)</f>
        <v>0</v>
      </c>
      <c r="O50" s="31">
        <f>IF(B50="","",COUNTIFS(Bookings!$H$5:$H$404,B50,Bookings!$AM$5:$AM$404,"&lt;&gt;Cancelled"))</f>
        <v>0</v>
      </c>
      <c r="P50" s="29">
        <f>IF(B50="","",SUMIFS(Bookings!$AK$5:$AK$404,Bookings!$H$5:$H$404,B50,Bookings!$AM$5:$AM$404,"&lt;&gt;Cancelled"))</f>
        <v>0</v>
      </c>
      <c r="Q50" s="29">
        <f>IF(OR(O50="",O50=0),"",P50/O50)</f>
        <v>0</v>
      </c>
      <c r="R50" s="29">
        <f>IF(OR(O50="",M50=""),"",O50*M50)</f>
        <v>0</v>
      </c>
    </row>
    <row r="51" spans="1:18">
      <c r="A51" s="46">
        <f>IF(B51="","","SV-"&amp;TEXT(ROW()-4,"000"))</f>
        <v>0</v>
      </c>
      <c r="M51" s="29">
        <f>IF(G51="","",G51-IF(L51="",0,L51))</f>
        <v>0</v>
      </c>
      <c r="N51" s="30">
        <f>IF(OR(G51="",G51=0),"",M51/G51)</f>
        <v>0</v>
      </c>
      <c r="O51" s="31">
        <f>IF(B51="","",COUNTIFS(Bookings!$H$5:$H$404,B51,Bookings!$AM$5:$AM$404,"&lt;&gt;Cancelled"))</f>
        <v>0</v>
      </c>
      <c r="P51" s="29">
        <f>IF(B51="","",SUMIFS(Bookings!$AK$5:$AK$404,Bookings!$H$5:$H$404,B51,Bookings!$AM$5:$AM$404,"&lt;&gt;Cancelled"))</f>
        <v>0</v>
      </c>
      <c r="Q51" s="29">
        <f>IF(OR(O51="",O51=0),"",P51/O51)</f>
        <v>0</v>
      </c>
      <c r="R51" s="29">
        <f>IF(OR(O51="",M51=""),"",O51*M51)</f>
        <v>0</v>
      </c>
    </row>
    <row r="52" spans="1:18">
      <c r="A52" s="46">
        <f>IF(B52="","","SV-"&amp;TEXT(ROW()-4,"000"))</f>
        <v>0</v>
      </c>
      <c r="M52" s="29">
        <f>IF(G52="","",G52-IF(L52="",0,L52))</f>
        <v>0</v>
      </c>
      <c r="N52" s="30">
        <f>IF(OR(G52="",G52=0),"",M52/G52)</f>
        <v>0</v>
      </c>
      <c r="O52" s="31">
        <f>IF(B52="","",COUNTIFS(Bookings!$H$5:$H$404,B52,Bookings!$AM$5:$AM$404,"&lt;&gt;Cancelled"))</f>
        <v>0</v>
      </c>
      <c r="P52" s="29">
        <f>IF(B52="","",SUMIFS(Bookings!$AK$5:$AK$404,Bookings!$H$5:$H$404,B52,Bookings!$AM$5:$AM$404,"&lt;&gt;Cancelled"))</f>
        <v>0</v>
      </c>
      <c r="Q52" s="29">
        <f>IF(OR(O52="",O52=0),"",P52/O52)</f>
        <v>0</v>
      </c>
      <c r="R52" s="29">
        <f>IF(OR(O52="",M52=""),"",O52*M52)</f>
        <v>0</v>
      </c>
    </row>
    <row r="53" spans="1:18">
      <c r="A53" s="46">
        <f>IF(B53="","","SV-"&amp;TEXT(ROW()-4,"000"))</f>
        <v>0</v>
      </c>
      <c r="M53" s="29">
        <f>IF(G53="","",G53-IF(L53="",0,L53))</f>
        <v>0</v>
      </c>
      <c r="N53" s="30">
        <f>IF(OR(G53="",G53=0),"",M53/G53)</f>
        <v>0</v>
      </c>
      <c r="O53" s="31">
        <f>IF(B53="","",COUNTIFS(Bookings!$H$5:$H$404,B53,Bookings!$AM$5:$AM$404,"&lt;&gt;Cancelled"))</f>
        <v>0</v>
      </c>
      <c r="P53" s="29">
        <f>IF(B53="","",SUMIFS(Bookings!$AK$5:$AK$404,Bookings!$H$5:$H$404,B53,Bookings!$AM$5:$AM$404,"&lt;&gt;Cancelled"))</f>
        <v>0</v>
      </c>
      <c r="Q53" s="29">
        <f>IF(OR(O53="",O53=0),"",P53/O53)</f>
        <v>0</v>
      </c>
      <c r="R53" s="29">
        <f>IF(OR(O53="",M53=""),"",O53*M53)</f>
        <v>0</v>
      </c>
    </row>
    <row r="54" spans="1:18">
      <c r="A54" s="46">
        <f>IF(B54="","","SV-"&amp;TEXT(ROW()-4,"000"))</f>
        <v>0</v>
      </c>
      <c r="M54" s="29">
        <f>IF(G54="","",G54-IF(L54="",0,L54))</f>
        <v>0</v>
      </c>
      <c r="N54" s="30">
        <f>IF(OR(G54="",G54=0),"",M54/G54)</f>
        <v>0</v>
      </c>
      <c r="O54" s="31">
        <f>IF(B54="","",COUNTIFS(Bookings!$H$5:$H$404,B54,Bookings!$AM$5:$AM$404,"&lt;&gt;Cancelled"))</f>
        <v>0</v>
      </c>
      <c r="P54" s="29">
        <f>IF(B54="","",SUMIFS(Bookings!$AK$5:$AK$404,Bookings!$H$5:$H$404,B54,Bookings!$AM$5:$AM$404,"&lt;&gt;Cancelled"))</f>
        <v>0</v>
      </c>
      <c r="Q54" s="29">
        <f>IF(OR(O54="",O54=0),"",P54/O54)</f>
        <v>0</v>
      </c>
      <c r="R54" s="29">
        <f>IF(OR(O54="",M54=""),"",O54*M54)</f>
        <v>0</v>
      </c>
    </row>
  </sheetData>
  <sheetProtection password="EC7C" sheet="1" objects="1" scenarios="1" formatCells="0" formatColumns="0" formatRows="0" insertRows="0" insertHyperlinks="0" deleteRows="0" autoFilter="0"/>
  <autoFilter ref="A4:T5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N5:N54">
    <cfRule type="colorScale" priority="1">
      <colorScale>
        <cfvo type="min" val="0"/>
        <cfvo type="percentile" val="50"/>
        <cfvo type="max" val="0"/>
        <color rgb="FFF8696B"/>
        <color rgb="FFFFEB84"/>
        <color rgb="FF8DD1A4"/>
      </colorScale>
    </cfRule>
  </conditionalFormatting>
  <conditionalFormatting sqref="P5:P54">
    <cfRule type="dataBar" priority="2">
      <dataBar>
        <cfvo type="min" val="0"/>
        <cfvo type="max" val="0"/>
        <color rgb="FF2E7D8F"/>
      </dataBar>
    </cfRule>
  </conditionalFormatting>
  <conditionalFormatting sqref="R5:R54">
    <cfRule type="dataBar" priority="3">
      <dataBar>
        <cfvo type="min" val="0"/>
        <cfvo type="max" val="0"/>
        <color rgb="FFE2A33C"/>
      </dataBar>
    </cfRule>
  </conditionalFormatting>
  <conditionalFormatting sqref="S5:S54">
    <cfRule type="containsText" dxfId="0" priority="4" operator="containsText" text="Completed">
      <formula>NOT(ISERROR(SEARCH("Completed",S5)))</formula>
    </cfRule>
    <cfRule type="containsText" dxfId="0" priority="5" operator="containsText" text="Confirmed">
      <formula>NOT(ISERROR(SEARCH("Confirmed",S5)))</formula>
    </cfRule>
    <cfRule type="containsText" dxfId="0" priority="6" operator="containsText" text="Paid">
      <formula>NOT(ISERROR(SEARCH("Paid",S5)))</formula>
    </cfRule>
    <cfRule type="containsText" dxfId="0" priority="7" operator="containsText" text="Active">
      <formula>NOT(ISERROR(SEARCH("Active",S5)))</formula>
    </cfRule>
    <cfRule type="containsText" dxfId="0" priority="8" operator="containsText" text="Resolved">
      <formula>NOT(ISERROR(SEARCH("Resolved",S5)))</formula>
    </cfRule>
    <cfRule type="containsText" dxfId="0" priority="9" operator="containsText" text="Given">
      <formula>NOT(ISERROR(SEARCH("Given",S5)))</formula>
    </cfRule>
    <cfRule type="containsText" dxfId="2" priority="10" operator="containsText" text="Pending">
      <formula>NOT(ISERROR(SEARCH("Pending",S5)))</formula>
    </cfRule>
    <cfRule type="containsText" dxfId="2" priority="11" operator="containsText" text="Draft">
      <formula>NOT(ISERROR(SEARCH("Draft",S5)))</formula>
    </cfRule>
    <cfRule type="containsText" dxfId="2" priority="12" operator="containsText" text="Enquiry">
      <formula>NOT(ISERROR(SEARCH("Enquiry",S5)))</formula>
    </cfRule>
    <cfRule type="containsText" dxfId="2" priority="13" operator="containsText" text="Partially">
      <formula>NOT(ISERROR(SEARCH("Partially",S5)))</formula>
    </cfRule>
    <cfRule type="containsText" dxfId="3" priority="14" operator="containsText" text="In progress">
      <formula>NOT(ISERROR(SEARCH("In progress",S5)))</formula>
    </cfRule>
    <cfRule type="containsText" dxfId="3" priority="15" operator="containsText" text="Scheduled">
      <formula>NOT(ISERROR(SEARCH("Scheduled",S5)))</formula>
    </cfRule>
    <cfRule type="containsText" dxfId="3" priority="16" operator="containsText" text="Sent">
      <formula>NOT(ISERROR(SEARCH("Sent",S5)))</formula>
    </cfRule>
    <cfRule type="containsText" dxfId="1" priority="17" operator="containsText" text="Cancelled">
      <formula>NOT(ISERROR(SEARCH("Cancelled",S5)))</formula>
    </cfRule>
    <cfRule type="containsText" dxfId="1" priority="18" operator="containsText" text="No show">
      <formula>NOT(ISERROR(SEARCH("No show",S5)))</formula>
    </cfRule>
    <cfRule type="containsText" dxfId="1" priority="19" operator="containsText" text="Missed">
      <formula>NOT(ISERROR(SEARCH("Missed",S5)))</formula>
    </cfRule>
    <cfRule type="containsText" dxfId="1" priority="20" operator="containsText" text="Overdue">
      <formula>NOT(ISERROR(SEARCH("Overdue",S5)))</formula>
    </cfRule>
    <cfRule type="containsText" dxfId="4" priority="21" operator="containsText" text="Inactive">
      <formula>NOT(ISERROR(SEARCH("Inactive",S5)))</formula>
    </cfRule>
    <cfRule type="containsText" dxfId="1" priority="22" operator="containsText" text="Lost">
      <formula>NOT(ISERROR(SEARCH("Lost",S5)))</formula>
    </cfRule>
  </conditionalFormatting>
  <dataValidations count="10">
    <dataValidation type="list" allowBlank="1" showInputMessage="1" showErrorMessage="1" sqref="C5:C54">
      <formula1>ServiceCategoryList</formula1>
    </dataValidation>
    <dataValidation type="list" allowBlank="1" showInputMessage="1" showErrorMessage="1" promptTitle="Billing unit" prompt="Per hour multiplies the rate by the booking duration. Everything else multiplies the rate by the Qty column on the booking." sqref="E5:E54">
      <formula1>BillingUnitList</formula1>
    </dataValidation>
    <dataValidation type="whole" allowBlank="1" showInputMessage="1" showErrorMessage="1" errorTitle="Check the value" error="Enter a number between 0 and 1440." sqref="F5:F54">
      <formula1>0</formula1>
      <formula2>1440</formula2>
    </dataValidation>
    <dataValidation type="decimal" allowBlank="1" showInputMessage="1" showErrorMessage="1" errorTitle="Check the value" error="Enter a number between 0 and 100000." sqref="G5:G54">
      <formula1>0</formula1>
      <formula2>100000</formula2>
    </dataValidation>
    <dataValidation type="decimal" allowBlank="1" showInputMessage="1" showErrorMessage="1" errorTitle="Check the value" error="Enter a number between 0 and 10000." promptTitle="Additional pet fee" prompt="Leave blank to use the default additional pet fee from the Settings tab." sqref="H5:H54">
      <formula1>0</formula1>
      <formula2>10000</formula2>
    </dataValidation>
    <dataValidation type="decimal" allowBlank="1" showInputMessage="1" showErrorMessage="1" errorTitle="Check the value" error="Enter a number between 0 and 2." promptTitle="Holiday surcharge" prompt="Leave blank to use the global holiday surcharge." sqref="I5:I54">
      <formula1>0</formula1>
      <formula2>2</formula2>
    </dataValidation>
    <dataValidation type="decimal" allowBlank="1" showInputMessage="1" showErrorMessage="1" errorTitle="Check the value" error="Enter a number between 0 and 2." promptTitle="Weekend surcharge" prompt="Leave blank to use the global weekend surcharge." sqref="J5:J54">
      <formula1>0</formula1>
      <formula2>2</formula2>
    </dataValidation>
    <dataValidation type="list" allowBlank="1" showInputMessage="1" showErrorMessage="1" sqref="K5:K54">
      <formula1>"Yes,No"</formula1>
    </dataValidation>
    <dataValidation type="decimal" allowBlank="1" showInputMessage="1" showErrorMessage="1" errorTitle="Check the value" error="Enter a number between 0 and 100000." promptTitle="Staff cost per unit" prompt="What it costs you to deliver one unit - used for the profitability columns." sqref="L5:L54">
      <formula1>0</formula1>
      <formula2>100000</formula2>
    </dataValidation>
    <dataValidation type="list" allowBlank="1" showInputMessage="1" showErrorMessage="1" sqref="S5:S5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&amp;L&amp;"Calibri,Bold"&amp;12&amp;C&amp;"Calibri,Bold"&amp;11Services&amp;R&amp;"Calibri,Italic"&amp;9Pet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6.xml><?xml version="1.0" encoding="utf-8"?>
<worksheet xmlns="http://schemas.openxmlformats.org/spreadsheetml/2006/main" xmlns:r="http://schemas.openxmlformats.org/officeDocument/2006/relationships">
  <sheetPr>
    <tabColor rgb="FF1F4E5F"/>
    <pageSetUpPr fitToPage="1"/>
  </sheetPr>
  <dimension ref="A1:AL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22.7109375" style="20" customWidth="1"/>
    <col min="3" max="3" width="17.7109375" style="20" customWidth="1"/>
    <col min="4" max="4" width="26.7109375" style="20" customWidth="1"/>
    <col min="5" max="5" width="26.7109375" style="20" customWidth="1"/>
    <col min="6" max="6" width="15.7109375" style="20" customWidth="1"/>
    <col min="7" max="7" width="10.7109375" style="20" customWidth="1"/>
    <col min="8" max="8" width="20.7109375" style="20" customWidth="1"/>
    <col min="9" max="9" width="17.7109375" style="20" customWidth="1"/>
    <col min="10" max="10" width="14.7109375" style="20" customWidth="1"/>
    <col min="11" max="11" width="16.7109375" style="20" customWidth="1"/>
    <col min="12" max="12" width="13.7109375" style="39" customWidth="1"/>
    <col min="13" max="13" width="12.7109375" style="48" customWidth="1"/>
    <col min="14" max="14" width="14.7109375" style="20" customWidth="1"/>
    <col min="15" max="15" width="12.7109375" style="20" customWidth="1"/>
    <col min="16" max="16" width="13.7109375" style="39" customWidth="1"/>
    <col min="17" max="17" width="32.7109375" style="47" customWidth="1"/>
    <col min="18" max="18" width="16.7109375" style="20" customWidth="1"/>
    <col min="19" max="19" width="13.7109375" style="48" customWidth="1"/>
    <col min="20" max="20" width="13.7109375" style="39" customWidth="1"/>
    <col min="21" max="21" width="11.7109375" style="12" customWidth="1"/>
    <col min="22" max="22" width="12.7109375" style="42" customWidth="1"/>
    <col min="23" max="23" width="36.7109375" style="47" customWidth="1"/>
    <col min="24" max="24" width="36.7109375" style="47" customWidth="1"/>
    <col min="25" max="25" width="8.7109375" style="31" customWidth="1"/>
    <col min="26" max="26" width="9.7109375" style="31" customWidth="1"/>
    <col min="27" max="27" width="9.7109375" style="31" customWidth="1"/>
    <col min="28" max="28" width="13.7109375" style="21" customWidth="1"/>
    <col min="29" max="29" width="9.7109375" style="31" customWidth="1"/>
    <col min="30" max="30" width="13.7109375" style="21" customWidth="1"/>
    <col min="31" max="31" width="14.7109375" style="29" customWidth="1"/>
    <col min="32" max="32" width="14.7109375" style="29" customWidth="1"/>
    <col min="33" max="33" width="13.7109375" style="29" customWidth="1"/>
    <col min="34" max="34" width="13.7109375" style="29" customWidth="1"/>
    <col min="35" max="35" width="14.7109375" style="49" customWidth="1"/>
    <col min="36" max="36" width="14.7109375" style="49" customWidth="1"/>
    <col min="37" max="37" width="20.7109375" style="49" customWidth="1"/>
    <col min="38" max="38" width="22.7109375" style="49" customWidth="1"/>
  </cols>
  <sheetData>
    <row r="1" spans="1:38" ht="34" customHeight="1">
      <c r="A1" s="2" t="s">
        <v>657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3" t="s">
        <v>118</v>
      </c>
      <c r="AK1" s="3"/>
      <c r="AL1" s="3"/>
    </row>
    <row r="2" spans="1:38" ht="18" customHeight="1">
      <c r="A2" s="4" t="s">
        <v>658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row>
    <row r="3" spans="1:38"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659</v>
      </c>
      <c r="T3" s="45"/>
      <c r="U3" s="45"/>
      <c r="V3" s="45"/>
      <c r="W3" s="45"/>
      <c r="X3" s="45"/>
      <c r="Y3" s="45"/>
      <c r="Z3" s="45"/>
      <c r="AA3" s="45"/>
      <c r="AB3" s="45"/>
      <c r="AC3" s="45"/>
      <c r="AD3" s="45"/>
      <c r="AE3" s="45"/>
      <c r="AF3" s="45"/>
      <c r="AG3" s="45"/>
      <c r="AH3" s="45"/>
      <c r="AI3" s="45"/>
      <c r="AJ3" s="45"/>
      <c r="AK3" s="45"/>
      <c r="AL3" s="45"/>
    </row>
    <row r="4" spans="1:38" ht="30" customHeight="1">
      <c r="A4" s="8" t="s">
        <v>642</v>
      </c>
      <c r="B4" s="8" t="s">
        <v>660</v>
      </c>
      <c r="C4" s="9" t="s">
        <v>229</v>
      </c>
      <c r="D4" s="9" t="s">
        <v>231</v>
      </c>
      <c r="E4" s="9" t="s">
        <v>235</v>
      </c>
      <c r="F4" s="9" t="s">
        <v>237</v>
      </c>
      <c r="G4" s="9" t="s">
        <v>661</v>
      </c>
      <c r="H4" s="9" t="s">
        <v>662</v>
      </c>
      <c r="I4" s="9" t="s">
        <v>663</v>
      </c>
      <c r="J4" s="9" t="s">
        <v>353</v>
      </c>
      <c r="K4" s="9" t="s">
        <v>358</v>
      </c>
      <c r="L4" s="9" t="s">
        <v>664</v>
      </c>
      <c r="M4" s="9" t="s">
        <v>665</v>
      </c>
      <c r="N4" s="9" t="s">
        <v>666</v>
      </c>
      <c r="O4" s="9" t="s">
        <v>667</v>
      </c>
      <c r="P4" s="9" t="s">
        <v>668</v>
      </c>
      <c r="Q4" s="9" t="s">
        <v>669</v>
      </c>
      <c r="R4" s="9" t="s">
        <v>670</v>
      </c>
      <c r="S4" s="9" t="s">
        <v>369</v>
      </c>
      <c r="T4" s="9" t="s">
        <v>671</v>
      </c>
      <c r="U4" s="9" t="s">
        <v>672</v>
      </c>
      <c r="V4" s="9" t="s">
        <v>673</v>
      </c>
      <c r="W4" s="9" t="s">
        <v>674</v>
      </c>
      <c r="X4" s="9" t="s">
        <v>675</v>
      </c>
      <c r="Y4" s="9" t="s">
        <v>25</v>
      </c>
      <c r="Z4" s="9" t="s">
        <v>27</v>
      </c>
      <c r="AA4" s="9" t="s">
        <v>676</v>
      </c>
      <c r="AB4" s="9" t="s">
        <v>677</v>
      </c>
      <c r="AC4" s="9" t="s">
        <v>678</v>
      </c>
      <c r="AD4" s="9" t="s">
        <v>679</v>
      </c>
      <c r="AE4" s="9" t="s">
        <v>680</v>
      </c>
      <c r="AF4" s="9" t="s">
        <v>681</v>
      </c>
      <c r="AG4" s="9" t="s">
        <v>141</v>
      </c>
      <c r="AH4" s="9" t="s">
        <v>682</v>
      </c>
      <c r="AI4" s="9" t="s">
        <v>683</v>
      </c>
      <c r="AJ4" s="9" t="s">
        <v>684</v>
      </c>
      <c r="AK4" s="9" t="s">
        <v>685</v>
      </c>
      <c r="AL4" s="9" t="s">
        <v>686</v>
      </c>
    </row>
    <row r="5" spans="1:38">
      <c r="A5" s="46">
        <f>IF(B5="","",ClientPrefix&amp;TEXT(ROW()-4,"0000"))</f>
        <v>0</v>
      </c>
      <c r="Y5" s="31">
        <f>IF(B5="","",COUNTIF(Pets!$C$5:$C$254,B5))</f>
        <v>0</v>
      </c>
      <c r="Z5" s="31">
        <f>IF(B5="","",COUNTIFS(Bookings!$C$5:$C$404,B5))</f>
        <v>0</v>
      </c>
      <c r="AA5" s="31">
        <f>IF(B5="","",COUNTIFS('Visit Log'!$D$5:$D$404,B5,'Visit Log'!$AE$5:$AE$404,"Completed"))</f>
        <v>0</v>
      </c>
      <c r="AB5" s="21">
        <f>IF(B5="","",IF(SUMPRODUCT(MAX((Bookings!$C$5:$C$404=B5)*(Bookings!$AM$5:$AM$404="Completed")*Bookings!$I$5:$I$404))=0,"",SUMPRODUCT(MAX((Bookings!$C$5:$C$404=B5)*(Bookings!$AM$5:$AM$404="Completed")*Bookings!$I$5:$I$404))))</f>
        <v>0</v>
      </c>
      <c r="AC5" s="31">
        <f>IF(AB5="","",TODAY()-AB5)</f>
        <v>0</v>
      </c>
      <c r="AD5" s="21">
        <f>IF(B5="","",IF(COUNTIFS(Bookings!$C$5:$C$404,B5,Bookings!$I$5:$I$404,"&gt;="&amp;TODAY(),Bookings!$AM$5:$AM$404,"&lt;&gt;Cancelled")=0,"",SUMPRODUCT(MIN(((Bookings!$C$5:$C$404=B5)*(Bookings!$I$5:$I$404&gt;=TODAY())*(Bookings!$AM$5:$AM$404&lt;&gt;"Cancelled"))*Bookings!$I$5:$I$404+(1-((Bookings!$C$5:$C$404=B5)*(Bookings!$I$5:$I$404&gt;=TODAY())*(Bookings!$AM$5:$AM$404&lt;&gt;"Cancelled")))*2958465))))</f>
        <v>0</v>
      </c>
      <c r="AE5" s="29">
        <f>IF(B5="","",SUMIFS(Payments!$L$5:$L$304,Payments!$C$5:$C$304,B5))</f>
        <v>0</v>
      </c>
      <c r="AF5" s="29">
        <f>IF(B5="","",SUMIFS(Invoices!$O$5:$O$304,Invoices!$D$5:$D$304,B5,Invoices!$T$5:$T$304,"&lt;&gt;Draft"))</f>
        <v>0</v>
      </c>
      <c r="AG5" s="29">
        <f>IF(B5="","",SUMIFS(Invoices!$S$5:$S$304,Invoices!$D$5:$D$304,B5,Invoices!$T$5:$T$304,"&lt;&gt;Cancelled"))</f>
        <v>0</v>
      </c>
      <c r="AH5" s="29">
        <f>IF(OR(Z5="",Z5=0),"",SUMIFS(Bookings!$AK$5:$AK$404,Bookings!$C$5:$C$404,B5,Bookings!$AM$5:$AM$404,"&lt;&gt;Cancelled")/Z5)</f>
        <v>0</v>
      </c>
      <c r="AI5" s="49">
        <f>IF(B5="","",IF(Z5&gt;=LoyaltyThreshold,"Loyalty discount","Standard"))</f>
        <v>0</v>
      </c>
      <c r="AJ5" s="49">
        <f>IF(B5="","",IF(COUNTIF(Clients!$B$5:$B$254,B5)&gt;1,"Duplicate name",IF(AND(C5&lt;&gt;"",COUNTIF(Clients!$C$5:$C$254,C5)&gt;1),"Duplicate phone","OK")))</f>
        <v>0</v>
      </c>
      <c r="AK5" s="49">
        <f>IF(B5="","",IF(AND(C5&lt;&gt;"",D5&lt;&gt;"",L5&lt;&gt;"",M5&lt;&gt;""),"OK","Add: "&amp;IF(C5="","phone ","")&amp;IF(D5="","email ","")&amp;IF(L5="","date ","")&amp;IF(M5="","status","")))</f>
        <v>0</v>
      </c>
      <c r="AL5" s="49">
        <f>IF(B5="","",IF(AG5&gt;0.5,"Overdue - chase payment",IF(AND(M5="Active",ISNUMBER(AC5),AC5&gt;InactiveDays),"Inactive - win back",IF(AND(M5="Active",S5&lt;&gt;"Signed"),"Action - contract not signed",IF(AND(M5="Prospective",AD5=""),"Action - follow up quote","OK")))))</f>
        <v>0</v>
      </c>
    </row>
    <row r="6" spans="1:38">
      <c r="A6" s="46">
        <f>IF(B6="","",ClientPrefix&amp;TEXT(ROW()-4,"0000"))</f>
        <v>0</v>
      </c>
      <c r="Y6" s="31">
        <f>IF(B6="","",COUNTIF(Pets!$C$5:$C$254,B6))</f>
        <v>0</v>
      </c>
      <c r="Z6" s="31">
        <f>IF(B6="","",COUNTIFS(Bookings!$C$5:$C$404,B6))</f>
        <v>0</v>
      </c>
      <c r="AA6" s="31">
        <f>IF(B6="","",COUNTIFS('Visit Log'!$D$5:$D$404,B6,'Visit Log'!$AE$5:$AE$404,"Completed"))</f>
        <v>0</v>
      </c>
      <c r="AB6" s="21">
        <f>IF(B6="","",IF(SUMPRODUCT(MAX((Bookings!$C$5:$C$404=B6)*(Bookings!$AM$5:$AM$404="Completed")*Bookings!$I$5:$I$404))=0,"",SUMPRODUCT(MAX((Bookings!$C$5:$C$404=B6)*(Bookings!$AM$5:$AM$404="Completed")*Bookings!$I$5:$I$404))))</f>
        <v>0</v>
      </c>
      <c r="AC6" s="31">
        <f>IF(AB6="","",TODAY()-AB6)</f>
        <v>0</v>
      </c>
      <c r="AD6" s="21">
        <f>IF(B6="","",IF(COUNTIFS(Bookings!$C$5:$C$404,B6,Bookings!$I$5:$I$404,"&gt;="&amp;TODAY(),Bookings!$AM$5:$AM$404,"&lt;&gt;Cancelled")=0,"",SUMPRODUCT(MIN(((Bookings!$C$5:$C$404=B6)*(Bookings!$I$5:$I$404&gt;=TODAY())*(Bookings!$AM$5:$AM$404&lt;&gt;"Cancelled"))*Bookings!$I$5:$I$404+(1-((Bookings!$C$5:$C$404=B6)*(Bookings!$I$5:$I$404&gt;=TODAY())*(Bookings!$AM$5:$AM$404&lt;&gt;"Cancelled")))*2958465))))</f>
        <v>0</v>
      </c>
      <c r="AE6" s="29">
        <f>IF(B6="","",SUMIFS(Payments!$L$5:$L$304,Payments!$C$5:$C$304,B6))</f>
        <v>0</v>
      </c>
      <c r="AF6" s="29">
        <f>IF(B6="","",SUMIFS(Invoices!$O$5:$O$304,Invoices!$D$5:$D$304,B6,Invoices!$T$5:$T$304,"&lt;&gt;Draft"))</f>
        <v>0</v>
      </c>
      <c r="AG6" s="29">
        <f>IF(B6="","",SUMIFS(Invoices!$S$5:$S$304,Invoices!$D$5:$D$304,B6,Invoices!$T$5:$T$304,"&lt;&gt;Cancelled"))</f>
        <v>0</v>
      </c>
      <c r="AH6" s="29">
        <f>IF(OR(Z6="",Z6=0),"",SUMIFS(Bookings!$AK$5:$AK$404,Bookings!$C$5:$C$404,B6,Bookings!$AM$5:$AM$404,"&lt;&gt;Cancelled")/Z6)</f>
        <v>0</v>
      </c>
      <c r="AI6" s="49">
        <f>IF(B6="","",IF(Z6&gt;=LoyaltyThreshold,"Loyalty discount","Standard"))</f>
        <v>0</v>
      </c>
      <c r="AJ6" s="49">
        <f>IF(B6="","",IF(COUNTIF(Clients!$B$5:$B$254,B6)&gt;1,"Duplicate name",IF(AND(C6&lt;&gt;"",COUNTIF(Clients!$C$5:$C$254,C6)&gt;1),"Duplicate phone","OK")))</f>
        <v>0</v>
      </c>
      <c r="AK6" s="49">
        <f>IF(B6="","",IF(AND(C6&lt;&gt;"",D6&lt;&gt;"",L6&lt;&gt;"",M6&lt;&gt;""),"OK","Add: "&amp;IF(C6="","phone ","")&amp;IF(D6="","email ","")&amp;IF(L6="","date ","")&amp;IF(M6="","status","")))</f>
        <v>0</v>
      </c>
      <c r="AL6" s="49">
        <f>IF(B6="","",IF(AG6&gt;0.5,"Overdue - chase payment",IF(AND(M6="Active",ISNUMBER(AC6),AC6&gt;InactiveDays),"Inactive - win back",IF(AND(M6="Active",S6&lt;&gt;"Signed"),"Action - contract not signed",IF(AND(M6="Prospective",AD6=""),"Action - follow up quote","OK")))))</f>
        <v>0</v>
      </c>
    </row>
    <row r="7" spans="1:38">
      <c r="A7" s="46">
        <f>IF(B7="","",ClientPrefix&amp;TEXT(ROW()-4,"0000"))</f>
        <v>0</v>
      </c>
      <c r="Y7" s="31">
        <f>IF(B7="","",COUNTIF(Pets!$C$5:$C$254,B7))</f>
        <v>0</v>
      </c>
      <c r="Z7" s="31">
        <f>IF(B7="","",COUNTIFS(Bookings!$C$5:$C$404,B7))</f>
        <v>0</v>
      </c>
      <c r="AA7" s="31">
        <f>IF(B7="","",COUNTIFS('Visit Log'!$D$5:$D$404,B7,'Visit Log'!$AE$5:$AE$404,"Completed"))</f>
        <v>0</v>
      </c>
      <c r="AB7" s="21">
        <f>IF(B7="","",IF(SUMPRODUCT(MAX((Bookings!$C$5:$C$404=B7)*(Bookings!$AM$5:$AM$404="Completed")*Bookings!$I$5:$I$404))=0,"",SUMPRODUCT(MAX((Bookings!$C$5:$C$404=B7)*(Bookings!$AM$5:$AM$404="Completed")*Bookings!$I$5:$I$404))))</f>
        <v>0</v>
      </c>
      <c r="AC7" s="31">
        <f>IF(AB7="","",TODAY()-AB7)</f>
        <v>0</v>
      </c>
      <c r="AD7" s="21">
        <f>IF(B7="","",IF(COUNTIFS(Bookings!$C$5:$C$404,B7,Bookings!$I$5:$I$404,"&gt;="&amp;TODAY(),Bookings!$AM$5:$AM$404,"&lt;&gt;Cancelled")=0,"",SUMPRODUCT(MIN(((Bookings!$C$5:$C$404=B7)*(Bookings!$I$5:$I$404&gt;=TODAY())*(Bookings!$AM$5:$AM$404&lt;&gt;"Cancelled"))*Bookings!$I$5:$I$404+(1-((Bookings!$C$5:$C$404=B7)*(Bookings!$I$5:$I$404&gt;=TODAY())*(Bookings!$AM$5:$AM$404&lt;&gt;"Cancelled")))*2958465))))</f>
        <v>0</v>
      </c>
      <c r="AE7" s="29">
        <f>IF(B7="","",SUMIFS(Payments!$L$5:$L$304,Payments!$C$5:$C$304,B7))</f>
        <v>0</v>
      </c>
      <c r="AF7" s="29">
        <f>IF(B7="","",SUMIFS(Invoices!$O$5:$O$304,Invoices!$D$5:$D$304,B7,Invoices!$T$5:$T$304,"&lt;&gt;Draft"))</f>
        <v>0</v>
      </c>
      <c r="AG7" s="29">
        <f>IF(B7="","",SUMIFS(Invoices!$S$5:$S$304,Invoices!$D$5:$D$304,B7,Invoices!$T$5:$T$304,"&lt;&gt;Cancelled"))</f>
        <v>0</v>
      </c>
      <c r="AH7" s="29">
        <f>IF(OR(Z7="",Z7=0),"",SUMIFS(Bookings!$AK$5:$AK$404,Bookings!$C$5:$C$404,B7,Bookings!$AM$5:$AM$404,"&lt;&gt;Cancelled")/Z7)</f>
        <v>0</v>
      </c>
      <c r="AI7" s="49">
        <f>IF(B7="","",IF(Z7&gt;=LoyaltyThreshold,"Loyalty discount","Standard"))</f>
        <v>0</v>
      </c>
      <c r="AJ7" s="49">
        <f>IF(B7="","",IF(COUNTIF(Clients!$B$5:$B$254,B7)&gt;1,"Duplicate name",IF(AND(C7&lt;&gt;"",COUNTIF(Clients!$C$5:$C$254,C7)&gt;1),"Duplicate phone","OK")))</f>
        <v>0</v>
      </c>
      <c r="AK7" s="49">
        <f>IF(B7="","",IF(AND(C7&lt;&gt;"",D7&lt;&gt;"",L7&lt;&gt;"",M7&lt;&gt;""),"OK","Add: "&amp;IF(C7="","phone ","")&amp;IF(D7="","email ","")&amp;IF(L7="","date ","")&amp;IF(M7="","status","")))</f>
        <v>0</v>
      </c>
      <c r="AL7" s="49">
        <f>IF(B7="","",IF(AG7&gt;0.5,"Overdue - chase payment",IF(AND(M7="Active",ISNUMBER(AC7),AC7&gt;InactiveDays),"Inactive - win back",IF(AND(M7="Active",S7&lt;&gt;"Signed"),"Action - contract not signed",IF(AND(M7="Prospective",AD7=""),"Action - follow up quote","OK")))))</f>
        <v>0</v>
      </c>
    </row>
    <row r="8" spans="1:38">
      <c r="A8" s="46">
        <f>IF(B8="","",ClientPrefix&amp;TEXT(ROW()-4,"0000"))</f>
        <v>0</v>
      </c>
      <c r="Y8" s="31">
        <f>IF(B8="","",COUNTIF(Pets!$C$5:$C$254,B8))</f>
        <v>0</v>
      </c>
      <c r="Z8" s="31">
        <f>IF(B8="","",COUNTIFS(Bookings!$C$5:$C$404,B8))</f>
        <v>0</v>
      </c>
      <c r="AA8" s="31">
        <f>IF(B8="","",COUNTIFS('Visit Log'!$D$5:$D$404,B8,'Visit Log'!$AE$5:$AE$404,"Completed"))</f>
        <v>0</v>
      </c>
      <c r="AB8" s="21">
        <f>IF(B8="","",IF(SUMPRODUCT(MAX((Bookings!$C$5:$C$404=B8)*(Bookings!$AM$5:$AM$404="Completed")*Bookings!$I$5:$I$404))=0,"",SUMPRODUCT(MAX((Bookings!$C$5:$C$404=B8)*(Bookings!$AM$5:$AM$404="Completed")*Bookings!$I$5:$I$404))))</f>
        <v>0</v>
      </c>
      <c r="AC8" s="31">
        <f>IF(AB8="","",TODAY()-AB8)</f>
        <v>0</v>
      </c>
      <c r="AD8" s="21">
        <f>IF(B8="","",IF(COUNTIFS(Bookings!$C$5:$C$404,B8,Bookings!$I$5:$I$404,"&gt;="&amp;TODAY(),Bookings!$AM$5:$AM$404,"&lt;&gt;Cancelled")=0,"",SUMPRODUCT(MIN(((Bookings!$C$5:$C$404=B8)*(Bookings!$I$5:$I$404&gt;=TODAY())*(Bookings!$AM$5:$AM$404&lt;&gt;"Cancelled"))*Bookings!$I$5:$I$404+(1-((Bookings!$C$5:$C$404=B8)*(Bookings!$I$5:$I$404&gt;=TODAY())*(Bookings!$AM$5:$AM$404&lt;&gt;"Cancelled")))*2958465))))</f>
        <v>0</v>
      </c>
      <c r="AE8" s="29">
        <f>IF(B8="","",SUMIFS(Payments!$L$5:$L$304,Payments!$C$5:$C$304,B8))</f>
        <v>0</v>
      </c>
      <c r="AF8" s="29">
        <f>IF(B8="","",SUMIFS(Invoices!$O$5:$O$304,Invoices!$D$5:$D$304,B8,Invoices!$T$5:$T$304,"&lt;&gt;Draft"))</f>
        <v>0</v>
      </c>
      <c r="AG8" s="29">
        <f>IF(B8="","",SUMIFS(Invoices!$S$5:$S$304,Invoices!$D$5:$D$304,B8,Invoices!$T$5:$T$304,"&lt;&gt;Cancelled"))</f>
        <v>0</v>
      </c>
      <c r="AH8" s="29">
        <f>IF(OR(Z8="",Z8=0),"",SUMIFS(Bookings!$AK$5:$AK$404,Bookings!$C$5:$C$404,B8,Bookings!$AM$5:$AM$404,"&lt;&gt;Cancelled")/Z8)</f>
        <v>0</v>
      </c>
      <c r="AI8" s="49">
        <f>IF(B8="","",IF(Z8&gt;=LoyaltyThreshold,"Loyalty discount","Standard"))</f>
        <v>0</v>
      </c>
      <c r="AJ8" s="49">
        <f>IF(B8="","",IF(COUNTIF(Clients!$B$5:$B$254,B8)&gt;1,"Duplicate name",IF(AND(C8&lt;&gt;"",COUNTIF(Clients!$C$5:$C$254,C8)&gt;1),"Duplicate phone","OK")))</f>
        <v>0</v>
      </c>
      <c r="AK8" s="49">
        <f>IF(B8="","",IF(AND(C8&lt;&gt;"",D8&lt;&gt;"",L8&lt;&gt;"",M8&lt;&gt;""),"OK","Add: "&amp;IF(C8="","phone ","")&amp;IF(D8="","email ","")&amp;IF(L8="","date ","")&amp;IF(M8="","status","")))</f>
        <v>0</v>
      </c>
      <c r="AL8" s="49">
        <f>IF(B8="","",IF(AG8&gt;0.5,"Overdue - chase payment",IF(AND(M8="Active",ISNUMBER(AC8),AC8&gt;InactiveDays),"Inactive - win back",IF(AND(M8="Active",S8&lt;&gt;"Signed"),"Action - contract not signed",IF(AND(M8="Prospective",AD8=""),"Action - follow up quote","OK")))))</f>
        <v>0</v>
      </c>
    </row>
    <row r="9" spans="1:38">
      <c r="A9" s="46">
        <f>IF(B9="","",ClientPrefix&amp;TEXT(ROW()-4,"0000"))</f>
        <v>0</v>
      </c>
      <c r="Y9" s="31">
        <f>IF(B9="","",COUNTIF(Pets!$C$5:$C$254,B9))</f>
        <v>0</v>
      </c>
      <c r="Z9" s="31">
        <f>IF(B9="","",COUNTIFS(Bookings!$C$5:$C$404,B9))</f>
        <v>0</v>
      </c>
      <c r="AA9" s="31">
        <f>IF(B9="","",COUNTIFS('Visit Log'!$D$5:$D$404,B9,'Visit Log'!$AE$5:$AE$404,"Completed"))</f>
        <v>0</v>
      </c>
      <c r="AB9" s="21">
        <f>IF(B9="","",IF(SUMPRODUCT(MAX((Bookings!$C$5:$C$404=B9)*(Bookings!$AM$5:$AM$404="Completed")*Bookings!$I$5:$I$404))=0,"",SUMPRODUCT(MAX((Bookings!$C$5:$C$404=B9)*(Bookings!$AM$5:$AM$404="Completed")*Bookings!$I$5:$I$404))))</f>
        <v>0</v>
      </c>
      <c r="AC9" s="31">
        <f>IF(AB9="","",TODAY()-AB9)</f>
        <v>0</v>
      </c>
      <c r="AD9" s="21">
        <f>IF(B9="","",IF(COUNTIFS(Bookings!$C$5:$C$404,B9,Bookings!$I$5:$I$404,"&gt;="&amp;TODAY(),Bookings!$AM$5:$AM$404,"&lt;&gt;Cancelled")=0,"",SUMPRODUCT(MIN(((Bookings!$C$5:$C$404=B9)*(Bookings!$I$5:$I$404&gt;=TODAY())*(Bookings!$AM$5:$AM$404&lt;&gt;"Cancelled"))*Bookings!$I$5:$I$404+(1-((Bookings!$C$5:$C$404=B9)*(Bookings!$I$5:$I$404&gt;=TODAY())*(Bookings!$AM$5:$AM$404&lt;&gt;"Cancelled")))*2958465))))</f>
        <v>0</v>
      </c>
      <c r="AE9" s="29">
        <f>IF(B9="","",SUMIFS(Payments!$L$5:$L$304,Payments!$C$5:$C$304,B9))</f>
        <v>0</v>
      </c>
      <c r="AF9" s="29">
        <f>IF(B9="","",SUMIFS(Invoices!$O$5:$O$304,Invoices!$D$5:$D$304,B9,Invoices!$T$5:$T$304,"&lt;&gt;Draft"))</f>
        <v>0</v>
      </c>
      <c r="AG9" s="29">
        <f>IF(B9="","",SUMIFS(Invoices!$S$5:$S$304,Invoices!$D$5:$D$304,B9,Invoices!$T$5:$T$304,"&lt;&gt;Cancelled"))</f>
        <v>0</v>
      </c>
      <c r="AH9" s="29">
        <f>IF(OR(Z9="",Z9=0),"",SUMIFS(Bookings!$AK$5:$AK$404,Bookings!$C$5:$C$404,B9,Bookings!$AM$5:$AM$404,"&lt;&gt;Cancelled")/Z9)</f>
        <v>0</v>
      </c>
      <c r="AI9" s="49">
        <f>IF(B9="","",IF(Z9&gt;=LoyaltyThreshold,"Loyalty discount","Standard"))</f>
        <v>0</v>
      </c>
      <c r="AJ9" s="49">
        <f>IF(B9="","",IF(COUNTIF(Clients!$B$5:$B$254,B9)&gt;1,"Duplicate name",IF(AND(C9&lt;&gt;"",COUNTIF(Clients!$C$5:$C$254,C9)&gt;1),"Duplicate phone","OK")))</f>
        <v>0</v>
      </c>
      <c r="AK9" s="49">
        <f>IF(B9="","",IF(AND(C9&lt;&gt;"",D9&lt;&gt;"",L9&lt;&gt;"",M9&lt;&gt;""),"OK","Add: "&amp;IF(C9="","phone ","")&amp;IF(D9="","email ","")&amp;IF(L9="","date ","")&amp;IF(M9="","status","")))</f>
        <v>0</v>
      </c>
      <c r="AL9" s="49">
        <f>IF(B9="","",IF(AG9&gt;0.5,"Overdue - chase payment",IF(AND(M9="Active",ISNUMBER(AC9),AC9&gt;InactiveDays),"Inactive - win back",IF(AND(M9="Active",S9&lt;&gt;"Signed"),"Action - contract not signed",IF(AND(M9="Prospective",AD9=""),"Action - follow up quote","OK")))))</f>
        <v>0</v>
      </c>
    </row>
    <row r="10" spans="1:38">
      <c r="A10" s="46">
        <f>IF(B10="","",ClientPrefix&amp;TEXT(ROW()-4,"0000"))</f>
        <v>0</v>
      </c>
      <c r="Y10" s="31">
        <f>IF(B10="","",COUNTIF(Pets!$C$5:$C$254,B10))</f>
        <v>0</v>
      </c>
      <c r="Z10" s="31">
        <f>IF(B10="","",COUNTIFS(Bookings!$C$5:$C$404,B10))</f>
        <v>0</v>
      </c>
      <c r="AA10" s="31">
        <f>IF(B10="","",COUNTIFS('Visit Log'!$D$5:$D$404,B10,'Visit Log'!$AE$5:$AE$404,"Completed"))</f>
        <v>0</v>
      </c>
      <c r="AB10" s="21">
        <f>IF(B10="","",IF(SUMPRODUCT(MAX((Bookings!$C$5:$C$404=B10)*(Bookings!$AM$5:$AM$404="Completed")*Bookings!$I$5:$I$404))=0,"",SUMPRODUCT(MAX((Bookings!$C$5:$C$404=B10)*(Bookings!$AM$5:$AM$404="Completed")*Bookings!$I$5:$I$404))))</f>
        <v>0</v>
      </c>
      <c r="AC10" s="31">
        <f>IF(AB10="","",TODAY()-AB10)</f>
        <v>0</v>
      </c>
      <c r="AD10" s="21">
        <f>IF(B10="","",IF(COUNTIFS(Bookings!$C$5:$C$404,B10,Bookings!$I$5:$I$404,"&gt;="&amp;TODAY(),Bookings!$AM$5:$AM$404,"&lt;&gt;Cancelled")=0,"",SUMPRODUCT(MIN(((Bookings!$C$5:$C$404=B10)*(Bookings!$I$5:$I$404&gt;=TODAY())*(Bookings!$AM$5:$AM$404&lt;&gt;"Cancelled"))*Bookings!$I$5:$I$404+(1-((Bookings!$C$5:$C$404=B10)*(Bookings!$I$5:$I$404&gt;=TODAY())*(Bookings!$AM$5:$AM$404&lt;&gt;"Cancelled")))*2958465))))</f>
        <v>0</v>
      </c>
      <c r="AE10" s="29">
        <f>IF(B10="","",SUMIFS(Payments!$L$5:$L$304,Payments!$C$5:$C$304,B10))</f>
        <v>0</v>
      </c>
      <c r="AF10" s="29">
        <f>IF(B10="","",SUMIFS(Invoices!$O$5:$O$304,Invoices!$D$5:$D$304,B10,Invoices!$T$5:$T$304,"&lt;&gt;Draft"))</f>
        <v>0</v>
      </c>
      <c r="AG10" s="29">
        <f>IF(B10="","",SUMIFS(Invoices!$S$5:$S$304,Invoices!$D$5:$D$304,B10,Invoices!$T$5:$T$304,"&lt;&gt;Cancelled"))</f>
        <v>0</v>
      </c>
      <c r="AH10" s="29">
        <f>IF(OR(Z10="",Z10=0),"",SUMIFS(Bookings!$AK$5:$AK$404,Bookings!$C$5:$C$404,B10,Bookings!$AM$5:$AM$404,"&lt;&gt;Cancelled")/Z10)</f>
        <v>0</v>
      </c>
      <c r="AI10" s="49">
        <f>IF(B10="","",IF(Z10&gt;=LoyaltyThreshold,"Loyalty discount","Standard"))</f>
        <v>0</v>
      </c>
      <c r="AJ10" s="49">
        <f>IF(B10="","",IF(COUNTIF(Clients!$B$5:$B$254,B10)&gt;1,"Duplicate name",IF(AND(C10&lt;&gt;"",COUNTIF(Clients!$C$5:$C$254,C10)&gt;1),"Duplicate phone","OK")))</f>
        <v>0</v>
      </c>
      <c r="AK10" s="49">
        <f>IF(B10="","",IF(AND(C10&lt;&gt;"",D10&lt;&gt;"",L10&lt;&gt;"",M10&lt;&gt;""),"OK","Add: "&amp;IF(C10="","phone ","")&amp;IF(D10="","email ","")&amp;IF(L10="","date ","")&amp;IF(M10="","status","")))</f>
        <v>0</v>
      </c>
      <c r="AL10" s="49">
        <f>IF(B10="","",IF(AG10&gt;0.5,"Overdue - chase payment",IF(AND(M10="Active",ISNUMBER(AC10),AC10&gt;InactiveDays),"Inactive - win back",IF(AND(M10="Active",S10&lt;&gt;"Signed"),"Action - contract not signed",IF(AND(M10="Prospective",AD10=""),"Action - follow up quote","OK")))))</f>
        <v>0</v>
      </c>
    </row>
    <row r="11" spans="1:38">
      <c r="A11" s="46">
        <f>IF(B11="","",ClientPrefix&amp;TEXT(ROW()-4,"0000"))</f>
        <v>0</v>
      </c>
      <c r="Y11" s="31">
        <f>IF(B11="","",COUNTIF(Pets!$C$5:$C$254,B11))</f>
        <v>0</v>
      </c>
      <c r="Z11" s="31">
        <f>IF(B11="","",COUNTIFS(Bookings!$C$5:$C$404,B11))</f>
        <v>0</v>
      </c>
      <c r="AA11" s="31">
        <f>IF(B11="","",COUNTIFS('Visit Log'!$D$5:$D$404,B11,'Visit Log'!$AE$5:$AE$404,"Completed"))</f>
        <v>0</v>
      </c>
      <c r="AB11" s="21">
        <f>IF(B11="","",IF(SUMPRODUCT(MAX((Bookings!$C$5:$C$404=B11)*(Bookings!$AM$5:$AM$404="Completed")*Bookings!$I$5:$I$404))=0,"",SUMPRODUCT(MAX((Bookings!$C$5:$C$404=B11)*(Bookings!$AM$5:$AM$404="Completed")*Bookings!$I$5:$I$404))))</f>
        <v>0</v>
      </c>
      <c r="AC11" s="31">
        <f>IF(AB11="","",TODAY()-AB11)</f>
        <v>0</v>
      </c>
      <c r="AD11" s="21">
        <f>IF(B11="","",IF(COUNTIFS(Bookings!$C$5:$C$404,B11,Bookings!$I$5:$I$404,"&gt;="&amp;TODAY(),Bookings!$AM$5:$AM$404,"&lt;&gt;Cancelled")=0,"",SUMPRODUCT(MIN(((Bookings!$C$5:$C$404=B11)*(Bookings!$I$5:$I$404&gt;=TODAY())*(Bookings!$AM$5:$AM$404&lt;&gt;"Cancelled"))*Bookings!$I$5:$I$404+(1-((Bookings!$C$5:$C$404=B11)*(Bookings!$I$5:$I$404&gt;=TODAY())*(Bookings!$AM$5:$AM$404&lt;&gt;"Cancelled")))*2958465))))</f>
        <v>0</v>
      </c>
      <c r="AE11" s="29">
        <f>IF(B11="","",SUMIFS(Payments!$L$5:$L$304,Payments!$C$5:$C$304,B11))</f>
        <v>0</v>
      </c>
      <c r="AF11" s="29">
        <f>IF(B11="","",SUMIFS(Invoices!$O$5:$O$304,Invoices!$D$5:$D$304,B11,Invoices!$T$5:$T$304,"&lt;&gt;Draft"))</f>
        <v>0</v>
      </c>
      <c r="AG11" s="29">
        <f>IF(B11="","",SUMIFS(Invoices!$S$5:$S$304,Invoices!$D$5:$D$304,B11,Invoices!$T$5:$T$304,"&lt;&gt;Cancelled"))</f>
        <v>0</v>
      </c>
      <c r="AH11" s="29">
        <f>IF(OR(Z11="",Z11=0),"",SUMIFS(Bookings!$AK$5:$AK$404,Bookings!$C$5:$C$404,B11,Bookings!$AM$5:$AM$404,"&lt;&gt;Cancelled")/Z11)</f>
        <v>0</v>
      </c>
      <c r="AI11" s="49">
        <f>IF(B11="","",IF(Z11&gt;=LoyaltyThreshold,"Loyalty discount","Standard"))</f>
        <v>0</v>
      </c>
      <c r="AJ11" s="49">
        <f>IF(B11="","",IF(COUNTIF(Clients!$B$5:$B$254,B11)&gt;1,"Duplicate name",IF(AND(C11&lt;&gt;"",COUNTIF(Clients!$C$5:$C$254,C11)&gt;1),"Duplicate phone","OK")))</f>
        <v>0</v>
      </c>
      <c r="AK11" s="49">
        <f>IF(B11="","",IF(AND(C11&lt;&gt;"",D11&lt;&gt;"",L11&lt;&gt;"",M11&lt;&gt;""),"OK","Add: "&amp;IF(C11="","phone ","")&amp;IF(D11="","email ","")&amp;IF(L11="","date ","")&amp;IF(M11="","status","")))</f>
        <v>0</v>
      </c>
      <c r="AL11" s="49">
        <f>IF(B11="","",IF(AG11&gt;0.5,"Overdue - chase payment",IF(AND(M11="Active",ISNUMBER(AC11),AC11&gt;InactiveDays),"Inactive - win back",IF(AND(M11="Active",S11&lt;&gt;"Signed"),"Action - contract not signed",IF(AND(M11="Prospective",AD11=""),"Action - follow up quote","OK")))))</f>
        <v>0</v>
      </c>
    </row>
    <row r="12" spans="1:38">
      <c r="A12" s="46">
        <f>IF(B12="","",ClientPrefix&amp;TEXT(ROW()-4,"0000"))</f>
        <v>0</v>
      </c>
      <c r="Y12" s="31">
        <f>IF(B12="","",COUNTIF(Pets!$C$5:$C$254,B12))</f>
        <v>0</v>
      </c>
      <c r="Z12" s="31">
        <f>IF(B12="","",COUNTIFS(Bookings!$C$5:$C$404,B12))</f>
        <v>0</v>
      </c>
      <c r="AA12" s="31">
        <f>IF(B12="","",COUNTIFS('Visit Log'!$D$5:$D$404,B12,'Visit Log'!$AE$5:$AE$404,"Completed"))</f>
        <v>0</v>
      </c>
      <c r="AB12" s="21">
        <f>IF(B12="","",IF(SUMPRODUCT(MAX((Bookings!$C$5:$C$404=B12)*(Bookings!$AM$5:$AM$404="Completed")*Bookings!$I$5:$I$404))=0,"",SUMPRODUCT(MAX((Bookings!$C$5:$C$404=B12)*(Bookings!$AM$5:$AM$404="Completed")*Bookings!$I$5:$I$404))))</f>
        <v>0</v>
      </c>
      <c r="AC12" s="31">
        <f>IF(AB12="","",TODAY()-AB12)</f>
        <v>0</v>
      </c>
      <c r="AD12" s="21">
        <f>IF(B12="","",IF(COUNTIFS(Bookings!$C$5:$C$404,B12,Bookings!$I$5:$I$404,"&gt;="&amp;TODAY(),Bookings!$AM$5:$AM$404,"&lt;&gt;Cancelled")=0,"",SUMPRODUCT(MIN(((Bookings!$C$5:$C$404=B12)*(Bookings!$I$5:$I$404&gt;=TODAY())*(Bookings!$AM$5:$AM$404&lt;&gt;"Cancelled"))*Bookings!$I$5:$I$404+(1-((Bookings!$C$5:$C$404=B12)*(Bookings!$I$5:$I$404&gt;=TODAY())*(Bookings!$AM$5:$AM$404&lt;&gt;"Cancelled")))*2958465))))</f>
        <v>0</v>
      </c>
      <c r="AE12" s="29">
        <f>IF(B12="","",SUMIFS(Payments!$L$5:$L$304,Payments!$C$5:$C$304,B12))</f>
        <v>0</v>
      </c>
      <c r="AF12" s="29">
        <f>IF(B12="","",SUMIFS(Invoices!$O$5:$O$304,Invoices!$D$5:$D$304,B12,Invoices!$T$5:$T$304,"&lt;&gt;Draft"))</f>
        <v>0</v>
      </c>
      <c r="AG12" s="29">
        <f>IF(B12="","",SUMIFS(Invoices!$S$5:$S$304,Invoices!$D$5:$D$304,B12,Invoices!$T$5:$T$304,"&lt;&gt;Cancelled"))</f>
        <v>0</v>
      </c>
      <c r="AH12" s="29">
        <f>IF(OR(Z12="",Z12=0),"",SUMIFS(Bookings!$AK$5:$AK$404,Bookings!$C$5:$C$404,B12,Bookings!$AM$5:$AM$404,"&lt;&gt;Cancelled")/Z12)</f>
        <v>0</v>
      </c>
      <c r="AI12" s="49">
        <f>IF(B12="","",IF(Z12&gt;=LoyaltyThreshold,"Loyalty discount","Standard"))</f>
        <v>0</v>
      </c>
      <c r="AJ12" s="49">
        <f>IF(B12="","",IF(COUNTIF(Clients!$B$5:$B$254,B12)&gt;1,"Duplicate name",IF(AND(C12&lt;&gt;"",COUNTIF(Clients!$C$5:$C$254,C12)&gt;1),"Duplicate phone","OK")))</f>
        <v>0</v>
      </c>
      <c r="AK12" s="49">
        <f>IF(B12="","",IF(AND(C12&lt;&gt;"",D12&lt;&gt;"",L12&lt;&gt;"",M12&lt;&gt;""),"OK","Add: "&amp;IF(C12="","phone ","")&amp;IF(D12="","email ","")&amp;IF(L12="","date ","")&amp;IF(M12="","status","")))</f>
        <v>0</v>
      </c>
      <c r="AL12" s="49">
        <f>IF(B12="","",IF(AG12&gt;0.5,"Overdue - chase payment",IF(AND(M12="Active",ISNUMBER(AC12),AC12&gt;InactiveDays),"Inactive - win back",IF(AND(M12="Active",S12&lt;&gt;"Signed"),"Action - contract not signed",IF(AND(M12="Prospective",AD12=""),"Action - follow up quote","OK")))))</f>
        <v>0</v>
      </c>
    </row>
    <row r="13" spans="1:38">
      <c r="A13" s="46">
        <f>IF(B13="","",ClientPrefix&amp;TEXT(ROW()-4,"0000"))</f>
        <v>0</v>
      </c>
      <c r="Y13" s="31">
        <f>IF(B13="","",COUNTIF(Pets!$C$5:$C$254,B13))</f>
        <v>0</v>
      </c>
      <c r="Z13" s="31">
        <f>IF(B13="","",COUNTIFS(Bookings!$C$5:$C$404,B13))</f>
        <v>0</v>
      </c>
      <c r="AA13" s="31">
        <f>IF(B13="","",COUNTIFS('Visit Log'!$D$5:$D$404,B13,'Visit Log'!$AE$5:$AE$404,"Completed"))</f>
        <v>0</v>
      </c>
      <c r="AB13" s="21">
        <f>IF(B13="","",IF(SUMPRODUCT(MAX((Bookings!$C$5:$C$404=B13)*(Bookings!$AM$5:$AM$404="Completed")*Bookings!$I$5:$I$404))=0,"",SUMPRODUCT(MAX((Bookings!$C$5:$C$404=B13)*(Bookings!$AM$5:$AM$404="Completed")*Bookings!$I$5:$I$404))))</f>
        <v>0</v>
      </c>
      <c r="AC13" s="31">
        <f>IF(AB13="","",TODAY()-AB13)</f>
        <v>0</v>
      </c>
      <c r="AD13" s="21">
        <f>IF(B13="","",IF(COUNTIFS(Bookings!$C$5:$C$404,B13,Bookings!$I$5:$I$404,"&gt;="&amp;TODAY(),Bookings!$AM$5:$AM$404,"&lt;&gt;Cancelled")=0,"",SUMPRODUCT(MIN(((Bookings!$C$5:$C$404=B13)*(Bookings!$I$5:$I$404&gt;=TODAY())*(Bookings!$AM$5:$AM$404&lt;&gt;"Cancelled"))*Bookings!$I$5:$I$404+(1-((Bookings!$C$5:$C$404=B13)*(Bookings!$I$5:$I$404&gt;=TODAY())*(Bookings!$AM$5:$AM$404&lt;&gt;"Cancelled")))*2958465))))</f>
        <v>0</v>
      </c>
      <c r="AE13" s="29">
        <f>IF(B13="","",SUMIFS(Payments!$L$5:$L$304,Payments!$C$5:$C$304,B13))</f>
        <v>0</v>
      </c>
      <c r="AF13" s="29">
        <f>IF(B13="","",SUMIFS(Invoices!$O$5:$O$304,Invoices!$D$5:$D$304,B13,Invoices!$T$5:$T$304,"&lt;&gt;Draft"))</f>
        <v>0</v>
      </c>
      <c r="AG13" s="29">
        <f>IF(B13="","",SUMIFS(Invoices!$S$5:$S$304,Invoices!$D$5:$D$304,B13,Invoices!$T$5:$T$304,"&lt;&gt;Cancelled"))</f>
        <v>0</v>
      </c>
      <c r="AH13" s="29">
        <f>IF(OR(Z13="",Z13=0),"",SUMIFS(Bookings!$AK$5:$AK$404,Bookings!$C$5:$C$404,B13,Bookings!$AM$5:$AM$404,"&lt;&gt;Cancelled")/Z13)</f>
        <v>0</v>
      </c>
      <c r="AI13" s="49">
        <f>IF(B13="","",IF(Z13&gt;=LoyaltyThreshold,"Loyalty discount","Standard"))</f>
        <v>0</v>
      </c>
      <c r="AJ13" s="49">
        <f>IF(B13="","",IF(COUNTIF(Clients!$B$5:$B$254,B13)&gt;1,"Duplicate name",IF(AND(C13&lt;&gt;"",COUNTIF(Clients!$C$5:$C$254,C13)&gt;1),"Duplicate phone","OK")))</f>
        <v>0</v>
      </c>
      <c r="AK13" s="49">
        <f>IF(B13="","",IF(AND(C13&lt;&gt;"",D13&lt;&gt;"",L13&lt;&gt;"",M13&lt;&gt;""),"OK","Add: "&amp;IF(C13="","phone ","")&amp;IF(D13="","email ","")&amp;IF(L13="","date ","")&amp;IF(M13="","status","")))</f>
        <v>0</v>
      </c>
      <c r="AL13" s="49">
        <f>IF(B13="","",IF(AG13&gt;0.5,"Overdue - chase payment",IF(AND(M13="Active",ISNUMBER(AC13),AC13&gt;InactiveDays),"Inactive - win back",IF(AND(M13="Active",S13&lt;&gt;"Signed"),"Action - contract not signed",IF(AND(M13="Prospective",AD13=""),"Action - follow up quote","OK")))))</f>
        <v>0</v>
      </c>
    </row>
    <row r="14" spans="1:38">
      <c r="A14" s="46">
        <f>IF(B14="","",ClientPrefix&amp;TEXT(ROW()-4,"0000"))</f>
        <v>0</v>
      </c>
      <c r="Y14" s="31">
        <f>IF(B14="","",COUNTIF(Pets!$C$5:$C$254,B14))</f>
        <v>0</v>
      </c>
      <c r="Z14" s="31">
        <f>IF(B14="","",COUNTIFS(Bookings!$C$5:$C$404,B14))</f>
        <v>0</v>
      </c>
      <c r="AA14" s="31">
        <f>IF(B14="","",COUNTIFS('Visit Log'!$D$5:$D$404,B14,'Visit Log'!$AE$5:$AE$404,"Completed"))</f>
        <v>0</v>
      </c>
      <c r="AB14" s="21">
        <f>IF(B14="","",IF(SUMPRODUCT(MAX((Bookings!$C$5:$C$404=B14)*(Bookings!$AM$5:$AM$404="Completed")*Bookings!$I$5:$I$404))=0,"",SUMPRODUCT(MAX((Bookings!$C$5:$C$404=B14)*(Bookings!$AM$5:$AM$404="Completed")*Bookings!$I$5:$I$404))))</f>
        <v>0</v>
      </c>
      <c r="AC14" s="31">
        <f>IF(AB14="","",TODAY()-AB14)</f>
        <v>0</v>
      </c>
      <c r="AD14" s="21">
        <f>IF(B14="","",IF(COUNTIFS(Bookings!$C$5:$C$404,B14,Bookings!$I$5:$I$404,"&gt;="&amp;TODAY(),Bookings!$AM$5:$AM$404,"&lt;&gt;Cancelled")=0,"",SUMPRODUCT(MIN(((Bookings!$C$5:$C$404=B14)*(Bookings!$I$5:$I$404&gt;=TODAY())*(Bookings!$AM$5:$AM$404&lt;&gt;"Cancelled"))*Bookings!$I$5:$I$404+(1-((Bookings!$C$5:$C$404=B14)*(Bookings!$I$5:$I$404&gt;=TODAY())*(Bookings!$AM$5:$AM$404&lt;&gt;"Cancelled")))*2958465))))</f>
        <v>0</v>
      </c>
      <c r="AE14" s="29">
        <f>IF(B14="","",SUMIFS(Payments!$L$5:$L$304,Payments!$C$5:$C$304,B14))</f>
        <v>0</v>
      </c>
      <c r="AF14" s="29">
        <f>IF(B14="","",SUMIFS(Invoices!$O$5:$O$304,Invoices!$D$5:$D$304,B14,Invoices!$T$5:$T$304,"&lt;&gt;Draft"))</f>
        <v>0</v>
      </c>
      <c r="AG14" s="29">
        <f>IF(B14="","",SUMIFS(Invoices!$S$5:$S$304,Invoices!$D$5:$D$304,B14,Invoices!$T$5:$T$304,"&lt;&gt;Cancelled"))</f>
        <v>0</v>
      </c>
      <c r="AH14" s="29">
        <f>IF(OR(Z14="",Z14=0),"",SUMIFS(Bookings!$AK$5:$AK$404,Bookings!$C$5:$C$404,B14,Bookings!$AM$5:$AM$404,"&lt;&gt;Cancelled")/Z14)</f>
        <v>0</v>
      </c>
      <c r="AI14" s="49">
        <f>IF(B14="","",IF(Z14&gt;=LoyaltyThreshold,"Loyalty discount","Standard"))</f>
        <v>0</v>
      </c>
      <c r="AJ14" s="49">
        <f>IF(B14="","",IF(COUNTIF(Clients!$B$5:$B$254,B14)&gt;1,"Duplicate name",IF(AND(C14&lt;&gt;"",COUNTIF(Clients!$C$5:$C$254,C14)&gt;1),"Duplicate phone","OK")))</f>
        <v>0</v>
      </c>
      <c r="AK14" s="49">
        <f>IF(B14="","",IF(AND(C14&lt;&gt;"",D14&lt;&gt;"",L14&lt;&gt;"",M14&lt;&gt;""),"OK","Add: "&amp;IF(C14="","phone ","")&amp;IF(D14="","email ","")&amp;IF(L14="","date ","")&amp;IF(M14="","status","")))</f>
        <v>0</v>
      </c>
      <c r="AL14" s="49">
        <f>IF(B14="","",IF(AG14&gt;0.5,"Overdue - chase payment",IF(AND(M14="Active",ISNUMBER(AC14),AC14&gt;InactiveDays),"Inactive - win back",IF(AND(M14="Active",S14&lt;&gt;"Signed"),"Action - contract not signed",IF(AND(M14="Prospective",AD14=""),"Action - follow up quote","OK")))))</f>
        <v>0</v>
      </c>
    </row>
    <row r="15" spans="1:38">
      <c r="A15" s="46">
        <f>IF(B15="","",ClientPrefix&amp;TEXT(ROW()-4,"0000"))</f>
        <v>0</v>
      </c>
      <c r="Y15" s="31">
        <f>IF(B15="","",COUNTIF(Pets!$C$5:$C$254,B15))</f>
        <v>0</v>
      </c>
      <c r="Z15" s="31">
        <f>IF(B15="","",COUNTIFS(Bookings!$C$5:$C$404,B15))</f>
        <v>0</v>
      </c>
      <c r="AA15" s="31">
        <f>IF(B15="","",COUNTIFS('Visit Log'!$D$5:$D$404,B15,'Visit Log'!$AE$5:$AE$404,"Completed"))</f>
        <v>0</v>
      </c>
      <c r="AB15" s="21">
        <f>IF(B15="","",IF(SUMPRODUCT(MAX((Bookings!$C$5:$C$404=B15)*(Bookings!$AM$5:$AM$404="Completed")*Bookings!$I$5:$I$404))=0,"",SUMPRODUCT(MAX((Bookings!$C$5:$C$404=B15)*(Bookings!$AM$5:$AM$404="Completed")*Bookings!$I$5:$I$404))))</f>
        <v>0</v>
      </c>
      <c r="AC15" s="31">
        <f>IF(AB15="","",TODAY()-AB15)</f>
        <v>0</v>
      </c>
      <c r="AD15" s="21">
        <f>IF(B15="","",IF(COUNTIFS(Bookings!$C$5:$C$404,B15,Bookings!$I$5:$I$404,"&gt;="&amp;TODAY(),Bookings!$AM$5:$AM$404,"&lt;&gt;Cancelled")=0,"",SUMPRODUCT(MIN(((Bookings!$C$5:$C$404=B15)*(Bookings!$I$5:$I$404&gt;=TODAY())*(Bookings!$AM$5:$AM$404&lt;&gt;"Cancelled"))*Bookings!$I$5:$I$404+(1-((Bookings!$C$5:$C$404=B15)*(Bookings!$I$5:$I$404&gt;=TODAY())*(Bookings!$AM$5:$AM$404&lt;&gt;"Cancelled")))*2958465))))</f>
        <v>0</v>
      </c>
      <c r="AE15" s="29">
        <f>IF(B15="","",SUMIFS(Payments!$L$5:$L$304,Payments!$C$5:$C$304,B15))</f>
        <v>0</v>
      </c>
      <c r="AF15" s="29">
        <f>IF(B15="","",SUMIFS(Invoices!$O$5:$O$304,Invoices!$D$5:$D$304,B15,Invoices!$T$5:$T$304,"&lt;&gt;Draft"))</f>
        <v>0</v>
      </c>
      <c r="AG15" s="29">
        <f>IF(B15="","",SUMIFS(Invoices!$S$5:$S$304,Invoices!$D$5:$D$304,B15,Invoices!$T$5:$T$304,"&lt;&gt;Cancelled"))</f>
        <v>0</v>
      </c>
      <c r="AH15" s="29">
        <f>IF(OR(Z15="",Z15=0),"",SUMIFS(Bookings!$AK$5:$AK$404,Bookings!$C$5:$C$404,B15,Bookings!$AM$5:$AM$404,"&lt;&gt;Cancelled")/Z15)</f>
        <v>0</v>
      </c>
      <c r="AI15" s="49">
        <f>IF(B15="","",IF(Z15&gt;=LoyaltyThreshold,"Loyalty discount","Standard"))</f>
        <v>0</v>
      </c>
      <c r="AJ15" s="49">
        <f>IF(B15="","",IF(COUNTIF(Clients!$B$5:$B$254,B15)&gt;1,"Duplicate name",IF(AND(C15&lt;&gt;"",COUNTIF(Clients!$C$5:$C$254,C15)&gt;1),"Duplicate phone","OK")))</f>
        <v>0</v>
      </c>
      <c r="AK15" s="49">
        <f>IF(B15="","",IF(AND(C15&lt;&gt;"",D15&lt;&gt;"",L15&lt;&gt;"",M15&lt;&gt;""),"OK","Add: "&amp;IF(C15="","phone ","")&amp;IF(D15="","email ","")&amp;IF(L15="","date ","")&amp;IF(M15="","status","")))</f>
        <v>0</v>
      </c>
      <c r="AL15" s="49">
        <f>IF(B15="","",IF(AG15&gt;0.5,"Overdue - chase payment",IF(AND(M15="Active",ISNUMBER(AC15),AC15&gt;InactiveDays),"Inactive - win back",IF(AND(M15="Active",S15&lt;&gt;"Signed"),"Action - contract not signed",IF(AND(M15="Prospective",AD15=""),"Action - follow up quote","OK")))))</f>
        <v>0</v>
      </c>
    </row>
    <row r="16" spans="1:38">
      <c r="A16" s="46">
        <f>IF(B16="","",ClientPrefix&amp;TEXT(ROW()-4,"0000"))</f>
        <v>0</v>
      </c>
      <c r="Y16" s="31">
        <f>IF(B16="","",COUNTIF(Pets!$C$5:$C$254,B16))</f>
        <v>0</v>
      </c>
      <c r="Z16" s="31">
        <f>IF(B16="","",COUNTIFS(Bookings!$C$5:$C$404,B16))</f>
        <v>0</v>
      </c>
      <c r="AA16" s="31">
        <f>IF(B16="","",COUNTIFS('Visit Log'!$D$5:$D$404,B16,'Visit Log'!$AE$5:$AE$404,"Completed"))</f>
        <v>0</v>
      </c>
      <c r="AB16" s="21">
        <f>IF(B16="","",IF(SUMPRODUCT(MAX((Bookings!$C$5:$C$404=B16)*(Bookings!$AM$5:$AM$404="Completed")*Bookings!$I$5:$I$404))=0,"",SUMPRODUCT(MAX((Bookings!$C$5:$C$404=B16)*(Bookings!$AM$5:$AM$404="Completed")*Bookings!$I$5:$I$404))))</f>
        <v>0</v>
      </c>
      <c r="AC16" s="31">
        <f>IF(AB16="","",TODAY()-AB16)</f>
        <v>0</v>
      </c>
      <c r="AD16" s="21">
        <f>IF(B16="","",IF(COUNTIFS(Bookings!$C$5:$C$404,B16,Bookings!$I$5:$I$404,"&gt;="&amp;TODAY(),Bookings!$AM$5:$AM$404,"&lt;&gt;Cancelled")=0,"",SUMPRODUCT(MIN(((Bookings!$C$5:$C$404=B16)*(Bookings!$I$5:$I$404&gt;=TODAY())*(Bookings!$AM$5:$AM$404&lt;&gt;"Cancelled"))*Bookings!$I$5:$I$404+(1-((Bookings!$C$5:$C$404=B16)*(Bookings!$I$5:$I$404&gt;=TODAY())*(Bookings!$AM$5:$AM$404&lt;&gt;"Cancelled")))*2958465))))</f>
        <v>0</v>
      </c>
      <c r="AE16" s="29">
        <f>IF(B16="","",SUMIFS(Payments!$L$5:$L$304,Payments!$C$5:$C$304,B16))</f>
        <v>0</v>
      </c>
      <c r="AF16" s="29">
        <f>IF(B16="","",SUMIFS(Invoices!$O$5:$O$304,Invoices!$D$5:$D$304,B16,Invoices!$T$5:$T$304,"&lt;&gt;Draft"))</f>
        <v>0</v>
      </c>
      <c r="AG16" s="29">
        <f>IF(B16="","",SUMIFS(Invoices!$S$5:$S$304,Invoices!$D$5:$D$304,B16,Invoices!$T$5:$T$304,"&lt;&gt;Cancelled"))</f>
        <v>0</v>
      </c>
      <c r="AH16" s="29">
        <f>IF(OR(Z16="",Z16=0),"",SUMIFS(Bookings!$AK$5:$AK$404,Bookings!$C$5:$C$404,B16,Bookings!$AM$5:$AM$404,"&lt;&gt;Cancelled")/Z16)</f>
        <v>0</v>
      </c>
      <c r="AI16" s="49">
        <f>IF(B16="","",IF(Z16&gt;=LoyaltyThreshold,"Loyalty discount","Standard"))</f>
        <v>0</v>
      </c>
      <c r="AJ16" s="49">
        <f>IF(B16="","",IF(COUNTIF(Clients!$B$5:$B$254,B16)&gt;1,"Duplicate name",IF(AND(C16&lt;&gt;"",COUNTIF(Clients!$C$5:$C$254,C16)&gt;1),"Duplicate phone","OK")))</f>
        <v>0</v>
      </c>
      <c r="AK16" s="49">
        <f>IF(B16="","",IF(AND(C16&lt;&gt;"",D16&lt;&gt;"",L16&lt;&gt;"",M16&lt;&gt;""),"OK","Add: "&amp;IF(C16="","phone ","")&amp;IF(D16="","email ","")&amp;IF(L16="","date ","")&amp;IF(M16="","status","")))</f>
        <v>0</v>
      </c>
      <c r="AL16" s="49">
        <f>IF(B16="","",IF(AG16&gt;0.5,"Overdue - chase payment",IF(AND(M16="Active",ISNUMBER(AC16),AC16&gt;InactiveDays),"Inactive - win back",IF(AND(M16="Active",S16&lt;&gt;"Signed"),"Action - contract not signed",IF(AND(M16="Prospective",AD16=""),"Action - follow up quote","OK")))))</f>
        <v>0</v>
      </c>
    </row>
    <row r="17" spans="1:38">
      <c r="A17" s="46">
        <f>IF(B17="","",ClientPrefix&amp;TEXT(ROW()-4,"0000"))</f>
        <v>0</v>
      </c>
      <c r="Y17" s="31">
        <f>IF(B17="","",COUNTIF(Pets!$C$5:$C$254,B17))</f>
        <v>0</v>
      </c>
      <c r="Z17" s="31">
        <f>IF(B17="","",COUNTIFS(Bookings!$C$5:$C$404,B17))</f>
        <v>0</v>
      </c>
      <c r="AA17" s="31">
        <f>IF(B17="","",COUNTIFS('Visit Log'!$D$5:$D$404,B17,'Visit Log'!$AE$5:$AE$404,"Completed"))</f>
        <v>0</v>
      </c>
      <c r="AB17" s="21">
        <f>IF(B17="","",IF(SUMPRODUCT(MAX((Bookings!$C$5:$C$404=B17)*(Bookings!$AM$5:$AM$404="Completed")*Bookings!$I$5:$I$404))=0,"",SUMPRODUCT(MAX((Bookings!$C$5:$C$404=B17)*(Bookings!$AM$5:$AM$404="Completed")*Bookings!$I$5:$I$404))))</f>
        <v>0</v>
      </c>
      <c r="AC17" s="31">
        <f>IF(AB17="","",TODAY()-AB17)</f>
        <v>0</v>
      </c>
      <c r="AD17" s="21">
        <f>IF(B17="","",IF(COUNTIFS(Bookings!$C$5:$C$404,B17,Bookings!$I$5:$I$404,"&gt;="&amp;TODAY(),Bookings!$AM$5:$AM$404,"&lt;&gt;Cancelled")=0,"",SUMPRODUCT(MIN(((Bookings!$C$5:$C$404=B17)*(Bookings!$I$5:$I$404&gt;=TODAY())*(Bookings!$AM$5:$AM$404&lt;&gt;"Cancelled"))*Bookings!$I$5:$I$404+(1-((Bookings!$C$5:$C$404=B17)*(Bookings!$I$5:$I$404&gt;=TODAY())*(Bookings!$AM$5:$AM$404&lt;&gt;"Cancelled")))*2958465))))</f>
        <v>0</v>
      </c>
      <c r="AE17" s="29">
        <f>IF(B17="","",SUMIFS(Payments!$L$5:$L$304,Payments!$C$5:$C$304,B17))</f>
        <v>0</v>
      </c>
      <c r="AF17" s="29">
        <f>IF(B17="","",SUMIFS(Invoices!$O$5:$O$304,Invoices!$D$5:$D$304,B17,Invoices!$T$5:$T$304,"&lt;&gt;Draft"))</f>
        <v>0</v>
      </c>
      <c r="AG17" s="29">
        <f>IF(B17="","",SUMIFS(Invoices!$S$5:$S$304,Invoices!$D$5:$D$304,B17,Invoices!$T$5:$T$304,"&lt;&gt;Cancelled"))</f>
        <v>0</v>
      </c>
      <c r="AH17" s="29">
        <f>IF(OR(Z17="",Z17=0),"",SUMIFS(Bookings!$AK$5:$AK$404,Bookings!$C$5:$C$404,B17,Bookings!$AM$5:$AM$404,"&lt;&gt;Cancelled")/Z17)</f>
        <v>0</v>
      </c>
      <c r="AI17" s="49">
        <f>IF(B17="","",IF(Z17&gt;=LoyaltyThreshold,"Loyalty discount","Standard"))</f>
        <v>0</v>
      </c>
      <c r="AJ17" s="49">
        <f>IF(B17="","",IF(COUNTIF(Clients!$B$5:$B$254,B17)&gt;1,"Duplicate name",IF(AND(C17&lt;&gt;"",COUNTIF(Clients!$C$5:$C$254,C17)&gt;1),"Duplicate phone","OK")))</f>
        <v>0</v>
      </c>
      <c r="AK17" s="49">
        <f>IF(B17="","",IF(AND(C17&lt;&gt;"",D17&lt;&gt;"",L17&lt;&gt;"",M17&lt;&gt;""),"OK","Add: "&amp;IF(C17="","phone ","")&amp;IF(D17="","email ","")&amp;IF(L17="","date ","")&amp;IF(M17="","status","")))</f>
        <v>0</v>
      </c>
      <c r="AL17" s="49">
        <f>IF(B17="","",IF(AG17&gt;0.5,"Overdue - chase payment",IF(AND(M17="Active",ISNUMBER(AC17),AC17&gt;InactiveDays),"Inactive - win back",IF(AND(M17="Active",S17&lt;&gt;"Signed"),"Action - contract not signed",IF(AND(M17="Prospective",AD17=""),"Action - follow up quote","OK")))))</f>
        <v>0</v>
      </c>
    </row>
    <row r="18" spans="1:38">
      <c r="A18" s="46">
        <f>IF(B18="","",ClientPrefix&amp;TEXT(ROW()-4,"0000"))</f>
        <v>0</v>
      </c>
      <c r="Y18" s="31">
        <f>IF(B18="","",COUNTIF(Pets!$C$5:$C$254,B18))</f>
        <v>0</v>
      </c>
      <c r="Z18" s="31">
        <f>IF(B18="","",COUNTIFS(Bookings!$C$5:$C$404,B18))</f>
        <v>0</v>
      </c>
      <c r="AA18" s="31">
        <f>IF(B18="","",COUNTIFS('Visit Log'!$D$5:$D$404,B18,'Visit Log'!$AE$5:$AE$404,"Completed"))</f>
        <v>0</v>
      </c>
      <c r="AB18" s="21">
        <f>IF(B18="","",IF(SUMPRODUCT(MAX((Bookings!$C$5:$C$404=B18)*(Bookings!$AM$5:$AM$404="Completed")*Bookings!$I$5:$I$404))=0,"",SUMPRODUCT(MAX((Bookings!$C$5:$C$404=B18)*(Bookings!$AM$5:$AM$404="Completed")*Bookings!$I$5:$I$404))))</f>
        <v>0</v>
      </c>
      <c r="AC18" s="31">
        <f>IF(AB18="","",TODAY()-AB18)</f>
        <v>0</v>
      </c>
      <c r="AD18" s="21">
        <f>IF(B18="","",IF(COUNTIFS(Bookings!$C$5:$C$404,B18,Bookings!$I$5:$I$404,"&gt;="&amp;TODAY(),Bookings!$AM$5:$AM$404,"&lt;&gt;Cancelled")=0,"",SUMPRODUCT(MIN(((Bookings!$C$5:$C$404=B18)*(Bookings!$I$5:$I$404&gt;=TODAY())*(Bookings!$AM$5:$AM$404&lt;&gt;"Cancelled"))*Bookings!$I$5:$I$404+(1-((Bookings!$C$5:$C$404=B18)*(Bookings!$I$5:$I$404&gt;=TODAY())*(Bookings!$AM$5:$AM$404&lt;&gt;"Cancelled")))*2958465))))</f>
        <v>0</v>
      </c>
      <c r="AE18" s="29">
        <f>IF(B18="","",SUMIFS(Payments!$L$5:$L$304,Payments!$C$5:$C$304,B18))</f>
        <v>0</v>
      </c>
      <c r="AF18" s="29">
        <f>IF(B18="","",SUMIFS(Invoices!$O$5:$O$304,Invoices!$D$5:$D$304,B18,Invoices!$T$5:$T$304,"&lt;&gt;Draft"))</f>
        <v>0</v>
      </c>
      <c r="AG18" s="29">
        <f>IF(B18="","",SUMIFS(Invoices!$S$5:$S$304,Invoices!$D$5:$D$304,B18,Invoices!$T$5:$T$304,"&lt;&gt;Cancelled"))</f>
        <v>0</v>
      </c>
      <c r="AH18" s="29">
        <f>IF(OR(Z18="",Z18=0),"",SUMIFS(Bookings!$AK$5:$AK$404,Bookings!$C$5:$C$404,B18,Bookings!$AM$5:$AM$404,"&lt;&gt;Cancelled")/Z18)</f>
        <v>0</v>
      </c>
      <c r="AI18" s="49">
        <f>IF(B18="","",IF(Z18&gt;=LoyaltyThreshold,"Loyalty discount","Standard"))</f>
        <v>0</v>
      </c>
      <c r="AJ18" s="49">
        <f>IF(B18="","",IF(COUNTIF(Clients!$B$5:$B$254,B18)&gt;1,"Duplicate name",IF(AND(C18&lt;&gt;"",COUNTIF(Clients!$C$5:$C$254,C18)&gt;1),"Duplicate phone","OK")))</f>
        <v>0</v>
      </c>
      <c r="AK18" s="49">
        <f>IF(B18="","",IF(AND(C18&lt;&gt;"",D18&lt;&gt;"",L18&lt;&gt;"",M18&lt;&gt;""),"OK","Add: "&amp;IF(C18="","phone ","")&amp;IF(D18="","email ","")&amp;IF(L18="","date ","")&amp;IF(M18="","status","")))</f>
        <v>0</v>
      </c>
      <c r="AL18" s="49">
        <f>IF(B18="","",IF(AG18&gt;0.5,"Overdue - chase payment",IF(AND(M18="Active",ISNUMBER(AC18),AC18&gt;InactiveDays),"Inactive - win back",IF(AND(M18="Active",S18&lt;&gt;"Signed"),"Action - contract not signed",IF(AND(M18="Prospective",AD18=""),"Action - follow up quote","OK")))))</f>
        <v>0</v>
      </c>
    </row>
    <row r="19" spans="1:38">
      <c r="A19" s="46">
        <f>IF(B19="","",ClientPrefix&amp;TEXT(ROW()-4,"0000"))</f>
        <v>0</v>
      </c>
      <c r="Y19" s="31">
        <f>IF(B19="","",COUNTIF(Pets!$C$5:$C$254,B19))</f>
        <v>0</v>
      </c>
      <c r="Z19" s="31">
        <f>IF(B19="","",COUNTIFS(Bookings!$C$5:$C$404,B19))</f>
        <v>0</v>
      </c>
      <c r="AA19" s="31">
        <f>IF(B19="","",COUNTIFS('Visit Log'!$D$5:$D$404,B19,'Visit Log'!$AE$5:$AE$404,"Completed"))</f>
        <v>0</v>
      </c>
      <c r="AB19" s="21">
        <f>IF(B19="","",IF(SUMPRODUCT(MAX((Bookings!$C$5:$C$404=B19)*(Bookings!$AM$5:$AM$404="Completed")*Bookings!$I$5:$I$404))=0,"",SUMPRODUCT(MAX((Bookings!$C$5:$C$404=B19)*(Bookings!$AM$5:$AM$404="Completed")*Bookings!$I$5:$I$404))))</f>
        <v>0</v>
      </c>
      <c r="AC19" s="31">
        <f>IF(AB19="","",TODAY()-AB19)</f>
        <v>0</v>
      </c>
      <c r="AD19" s="21">
        <f>IF(B19="","",IF(COUNTIFS(Bookings!$C$5:$C$404,B19,Bookings!$I$5:$I$404,"&gt;="&amp;TODAY(),Bookings!$AM$5:$AM$404,"&lt;&gt;Cancelled")=0,"",SUMPRODUCT(MIN(((Bookings!$C$5:$C$404=B19)*(Bookings!$I$5:$I$404&gt;=TODAY())*(Bookings!$AM$5:$AM$404&lt;&gt;"Cancelled"))*Bookings!$I$5:$I$404+(1-((Bookings!$C$5:$C$404=B19)*(Bookings!$I$5:$I$404&gt;=TODAY())*(Bookings!$AM$5:$AM$404&lt;&gt;"Cancelled")))*2958465))))</f>
        <v>0</v>
      </c>
      <c r="AE19" s="29">
        <f>IF(B19="","",SUMIFS(Payments!$L$5:$L$304,Payments!$C$5:$C$304,B19))</f>
        <v>0</v>
      </c>
      <c r="AF19" s="29">
        <f>IF(B19="","",SUMIFS(Invoices!$O$5:$O$304,Invoices!$D$5:$D$304,B19,Invoices!$T$5:$T$304,"&lt;&gt;Draft"))</f>
        <v>0</v>
      </c>
      <c r="AG19" s="29">
        <f>IF(B19="","",SUMIFS(Invoices!$S$5:$S$304,Invoices!$D$5:$D$304,B19,Invoices!$T$5:$T$304,"&lt;&gt;Cancelled"))</f>
        <v>0</v>
      </c>
      <c r="AH19" s="29">
        <f>IF(OR(Z19="",Z19=0),"",SUMIFS(Bookings!$AK$5:$AK$404,Bookings!$C$5:$C$404,B19,Bookings!$AM$5:$AM$404,"&lt;&gt;Cancelled")/Z19)</f>
        <v>0</v>
      </c>
      <c r="AI19" s="49">
        <f>IF(B19="","",IF(Z19&gt;=LoyaltyThreshold,"Loyalty discount","Standard"))</f>
        <v>0</v>
      </c>
      <c r="AJ19" s="49">
        <f>IF(B19="","",IF(COUNTIF(Clients!$B$5:$B$254,B19)&gt;1,"Duplicate name",IF(AND(C19&lt;&gt;"",COUNTIF(Clients!$C$5:$C$254,C19)&gt;1),"Duplicate phone","OK")))</f>
        <v>0</v>
      </c>
      <c r="AK19" s="49">
        <f>IF(B19="","",IF(AND(C19&lt;&gt;"",D19&lt;&gt;"",L19&lt;&gt;"",M19&lt;&gt;""),"OK","Add: "&amp;IF(C19="","phone ","")&amp;IF(D19="","email ","")&amp;IF(L19="","date ","")&amp;IF(M19="","status","")))</f>
        <v>0</v>
      </c>
      <c r="AL19" s="49">
        <f>IF(B19="","",IF(AG19&gt;0.5,"Overdue - chase payment",IF(AND(M19="Active",ISNUMBER(AC19),AC19&gt;InactiveDays),"Inactive - win back",IF(AND(M19="Active",S19&lt;&gt;"Signed"),"Action - contract not signed",IF(AND(M19="Prospective",AD19=""),"Action - follow up quote","OK")))))</f>
        <v>0</v>
      </c>
    </row>
    <row r="20" spans="1:38">
      <c r="A20" s="46">
        <f>IF(B20="","",ClientPrefix&amp;TEXT(ROW()-4,"0000"))</f>
        <v>0</v>
      </c>
      <c r="Y20" s="31">
        <f>IF(B20="","",COUNTIF(Pets!$C$5:$C$254,B20))</f>
        <v>0</v>
      </c>
      <c r="Z20" s="31">
        <f>IF(B20="","",COUNTIFS(Bookings!$C$5:$C$404,B20))</f>
        <v>0</v>
      </c>
      <c r="AA20" s="31">
        <f>IF(B20="","",COUNTIFS('Visit Log'!$D$5:$D$404,B20,'Visit Log'!$AE$5:$AE$404,"Completed"))</f>
        <v>0</v>
      </c>
      <c r="AB20" s="21">
        <f>IF(B20="","",IF(SUMPRODUCT(MAX((Bookings!$C$5:$C$404=B20)*(Bookings!$AM$5:$AM$404="Completed")*Bookings!$I$5:$I$404))=0,"",SUMPRODUCT(MAX((Bookings!$C$5:$C$404=B20)*(Bookings!$AM$5:$AM$404="Completed")*Bookings!$I$5:$I$404))))</f>
        <v>0</v>
      </c>
      <c r="AC20" s="31">
        <f>IF(AB20="","",TODAY()-AB20)</f>
        <v>0</v>
      </c>
      <c r="AD20" s="21">
        <f>IF(B20="","",IF(COUNTIFS(Bookings!$C$5:$C$404,B20,Bookings!$I$5:$I$404,"&gt;="&amp;TODAY(),Bookings!$AM$5:$AM$404,"&lt;&gt;Cancelled")=0,"",SUMPRODUCT(MIN(((Bookings!$C$5:$C$404=B20)*(Bookings!$I$5:$I$404&gt;=TODAY())*(Bookings!$AM$5:$AM$404&lt;&gt;"Cancelled"))*Bookings!$I$5:$I$404+(1-((Bookings!$C$5:$C$404=B20)*(Bookings!$I$5:$I$404&gt;=TODAY())*(Bookings!$AM$5:$AM$404&lt;&gt;"Cancelled")))*2958465))))</f>
        <v>0</v>
      </c>
      <c r="AE20" s="29">
        <f>IF(B20="","",SUMIFS(Payments!$L$5:$L$304,Payments!$C$5:$C$304,B20))</f>
        <v>0</v>
      </c>
      <c r="AF20" s="29">
        <f>IF(B20="","",SUMIFS(Invoices!$O$5:$O$304,Invoices!$D$5:$D$304,B20,Invoices!$T$5:$T$304,"&lt;&gt;Draft"))</f>
        <v>0</v>
      </c>
      <c r="AG20" s="29">
        <f>IF(B20="","",SUMIFS(Invoices!$S$5:$S$304,Invoices!$D$5:$D$304,B20,Invoices!$T$5:$T$304,"&lt;&gt;Cancelled"))</f>
        <v>0</v>
      </c>
      <c r="AH20" s="29">
        <f>IF(OR(Z20="",Z20=0),"",SUMIFS(Bookings!$AK$5:$AK$404,Bookings!$C$5:$C$404,B20,Bookings!$AM$5:$AM$404,"&lt;&gt;Cancelled")/Z20)</f>
        <v>0</v>
      </c>
      <c r="AI20" s="49">
        <f>IF(B20="","",IF(Z20&gt;=LoyaltyThreshold,"Loyalty discount","Standard"))</f>
        <v>0</v>
      </c>
      <c r="AJ20" s="49">
        <f>IF(B20="","",IF(COUNTIF(Clients!$B$5:$B$254,B20)&gt;1,"Duplicate name",IF(AND(C20&lt;&gt;"",COUNTIF(Clients!$C$5:$C$254,C20)&gt;1),"Duplicate phone","OK")))</f>
        <v>0</v>
      </c>
      <c r="AK20" s="49">
        <f>IF(B20="","",IF(AND(C20&lt;&gt;"",D20&lt;&gt;"",L20&lt;&gt;"",M20&lt;&gt;""),"OK","Add: "&amp;IF(C20="","phone ","")&amp;IF(D20="","email ","")&amp;IF(L20="","date ","")&amp;IF(M20="","status","")))</f>
        <v>0</v>
      </c>
      <c r="AL20" s="49">
        <f>IF(B20="","",IF(AG20&gt;0.5,"Overdue - chase payment",IF(AND(M20="Active",ISNUMBER(AC20),AC20&gt;InactiveDays),"Inactive - win back",IF(AND(M20="Active",S20&lt;&gt;"Signed"),"Action - contract not signed",IF(AND(M20="Prospective",AD20=""),"Action - follow up quote","OK")))))</f>
        <v>0</v>
      </c>
    </row>
    <row r="21" spans="1:38">
      <c r="A21" s="46">
        <f>IF(B21="","",ClientPrefix&amp;TEXT(ROW()-4,"0000"))</f>
        <v>0</v>
      </c>
      <c r="Y21" s="31">
        <f>IF(B21="","",COUNTIF(Pets!$C$5:$C$254,B21))</f>
        <v>0</v>
      </c>
      <c r="Z21" s="31">
        <f>IF(B21="","",COUNTIFS(Bookings!$C$5:$C$404,B21))</f>
        <v>0</v>
      </c>
      <c r="AA21" s="31">
        <f>IF(B21="","",COUNTIFS('Visit Log'!$D$5:$D$404,B21,'Visit Log'!$AE$5:$AE$404,"Completed"))</f>
        <v>0</v>
      </c>
      <c r="AB21" s="21">
        <f>IF(B21="","",IF(SUMPRODUCT(MAX((Bookings!$C$5:$C$404=B21)*(Bookings!$AM$5:$AM$404="Completed")*Bookings!$I$5:$I$404))=0,"",SUMPRODUCT(MAX((Bookings!$C$5:$C$404=B21)*(Bookings!$AM$5:$AM$404="Completed")*Bookings!$I$5:$I$404))))</f>
        <v>0</v>
      </c>
      <c r="AC21" s="31">
        <f>IF(AB21="","",TODAY()-AB21)</f>
        <v>0</v>
      </c>
      <c r="AD21" s="21">
        <f>IF(B21="","",IF(COUNTIFS(Bookings!$C$5:$C$404,B21,Bookings!$I$5:$I$404,"&gt;="&amp;TODAY(),Bookings!$AM$5:$AM$404,"&lt;&gt;Cancelled")=0,"",SUMPRODUCT(MIN(((Bookings!$C$5:$C$404=B21)*(Bookings!$I$5:$I$404&gt;=TODAY())*(Bookings!$AM$5:$AM$404&lt;&gt;"Cancelled"))*Bookings!$I$5:$I$404+(1-((Bookings!$C$5:$C$404=B21)*(Bookings!$I$5:$I$404&gt;=TODAY())*(Bookings!$AM$5:$AM$404&lt;&gt;"Cancelled")))*2958465))))</f>
        <v>0</v>
      </c>
      <c r="AE21" s="29">
        <f>IF(B21="","",SUMIFS(Payments!$L$5:$L$304,Payments!$C$5:$C$304,B21))</f>
        <v>0</v>
      </c>
      <c r="AF21" s="29">
        <f>IF(B21="","",SUMIFS(Invoices!$O$5:$O$304,Invoices!$D$5:$D$304,B21,Invoices!$T$5:$T$304,"&lt;&gt;Draft"))</f>
        <v>0</v>
      </c>
      <c r="AG21" s="29">
        <f>IF(B21="","",SUMIFS(Invoices!$S$5:$S$304,Invoices!$D$5:$D$304,B21,Invoices!$T$5:$T$304,"&lt;&gt;Cancelled"))</f>
        <v>0</v>
      </c>
      <c r="AH21" s="29">
        <f>IF(OR(Z21="",Z21=0),"",SUMIFS(Bookings!$AK$5:$AK$404,Bookings!$C$5:$C$404,B21,Bookings!$AM$5:$AM$404,"&lt;&gt;Cancelled")/Z21)</f>
        <v>0</v>
      </c>
      <c r="AI21" s="49">
        <f>IF(B21="","",IF(Z21&gt;=LoyaltyThreshold,"Loyalty discount","Standard"))</f>
        <v>0</v>
      </c>
      <c r="AJ21" s="49">
        <f>IF(B21="","",IF(COUNTIF(Clients!$B$5:$B$254,B21)&gt;1,"Duplicate name",IF(AND(C21&lt;&gt;"",COUNTIF(Clients!$C$5:$C$254,C21)&gt;1),"Duplicate phone","OK")))</f>
        <v>0</v>
      </c>
      <c r="AK21" s="49">
        <f>IF(B21="","",IF(AND(C21&lt;&gt;"",D21&lt;&gt;"",L21&lt;&gt;"",M21&lt;&gt;""),"OK","Add: "&amp;IF(C21="","phone ","")&amp;IF(D21="","email ","")&amp;IF(L21="","date ","")&amp;IF(M21="","status","")))</f>
        <v>0</v>
      </c>
      <c r="AL21" s="49">
        <f>IF(B21="","",IF(AG21&gt;0.5,"Overdue - chase payment",IF(AND(M21="Active",ISNUMBER(AC21),AC21&gt;InactiveDays),"Inactive - win back",IF(AND(M21="Active",S21&lt;&gt;"Signed"),"Action - contract not signed",IF(AND(M21="Prospective",AD21=""),"Action - follow up quote","OK")))))</f>
        <v>0</v>
      </c>
    </row>
    <row r="22" spans="1:38">
      <c r="A22" s="46">
        <f>IF(B22="","",ClientPrefix&amp;TEXT(ROW()-4,"0000"))</f>
        <v>0</v>
      </c>
      <c r="Y22" s="31">
        <f>IF(B22="","",COUNTIF(Pets!$C$5:$C$254,B22))</f>
        <v>0</v>
      </c>
      <c r="Z22" s="31">
        <f>IF(B22="","",COUNTIFS(Bookings!$C$5:$C$404,B22))</f>
        <v>0</v>
      </c>
      <c r="AA22" s="31">
        <f>IF(B22="","",COUNTIFS('Visit Log'!$D$5:$D$404,B22,'Visit Log'!$AE$5:$AE$404,"Completed"))</f>
        <v>0</v>
      </c>
      <c r="AB22" s="21">
        <f>IF(B22="","",IF(SUMPRODUCT(MAX((Bookings!$C$5:$C$404=B22)*(Bookings!$AM$5:$AM$404="Completed")*Bookings!$I$5:$I$404))=0,"",SUMPRODUCT(MAX((Bookings!$C$5:$C$404=B22)*(Bookings!$AM$5:$AM$404="Completed")*Bookings!$I$5:$I$404))))</f>
        <v>0</v>
      </c>
      <c r="AC22" s="31">
        <f>IF(AB22="","",TODAY()-AB22)</f>
        <v>0</v>
      </c>
      <c r="AD22" s="21">
        <f>IF(B22="","",IF(COUNTIFS(Bookings!$C$5:$C$404,B22,Bookings!$I$5:$I$404,"&gt;="&amp;TODAY(),Bookings!$AM$5:$AM$404,"&lt;&gt;Cancelled")=0,"",SUMPRODUCT(MIN(((Bookings!$C$5:$C$404=B22)*(Bookings!$I$5:$I$404&gt;=TODAY())*(Bookings!$AM$5:$AM$404&lt;&gt;"Cancelled"))*Bookings!$I$5:$I$404+(1-((Bookings!$C$5:$C$404=B22)*(Bookings!$I$5:$I$404&gt;=TODAY())*(Bookings!$AM$5:$AM$404&lt;&gt;"Cancelled")))*2958465))))</f>
        <v>0</v>
      </c>
      <c r="AE22" s="29">
        <f>IF(B22="","",SUMIFS(Payments!$L$5:$L$304,Payments!$C$5:$C$304,B22))</f>
        <v>0</v>
      </c>
      <c r="AF22" s="29">
        <f>IF(B22="","",SUMIFS(Invoices!$O$5:$O$304,Invoices!$D$5:$D$304,B22,Invoices!$T$5:$T$304,"&lt;&gt;Draft"))</f>
        <v>0</v>
      </c>
      <c r="AG22" s="29">
        <f>IF(B22="","",SUMIFS(Invoices!$S$5:$S$304,Invoices!$D$5:$D$304,B22,Invoices!$T$5:$T$304,"&lt;&gt;Cancelled"))</f>
        <v>0</v>
      </c>
      <c r="AH22" s="29">
        <f>IF(OR(Z22="",Z22=0),"",SUMIFS(Bookings!$AK$5:$AK$404,Bookings!$C$5:$C$404,B22,Bookings!$AM$5:$AM$404,"&lt;&gt;Cancelled")/Z22)</f>
        <v>0</v>
      </c>
      <c r="AI22" s="49">
        <f>IF(B22="","",IF(Z22&gt;=LoyaltyThreshold,"Loyalty discount","Standard"))</f>
        <v>0</v>
      </c>
      <c r="AJ22" s="49">
        <f>IF(B22="","",IF(COUNTIF(Clients!$B$5:$B$254,B22)&gt;1,"Duplicate name",IF(AND(C22&lt;&gt;"",COUNTIF(Clients!$C$5:$C$254,C22)&gt;1),"Duplicate phone","OK")))</f>
        <v>0</v>
      </c>
      <c r="AK22" s="49">
        <f>IF(B22="","",IF(AND(C22&lt;&gt;"",D22&lt;&gt;"",L22&lt;&gt;"",M22&lt;&gt;""),"OK","Add: "&amp;IF(C22="","phone ","")&amp;IF(D22="","email ","")&amp;IF(L22="","date ","")&amp;IF(M22="","status","")))</f>
        <v>0</v>
      </c>
      <c r="AL22" s="49">
        <f>IF(B22="","",IF(AG22&gt;0.5,"Overdue - chase payment",IF(AND(M22="Active",ISNUMBER(AC22),AC22&gt;InactiveDays),"Inactive - win back",IF(AND(M22="Active",S22&lt;&gt;"Signed"),"Action - contract not signed",IF(AND(M22="Prospective",AD22=""),"Action - follow up quote","OK")))))</f>
        <v>0</v>
      </c>
    </row>
    <row r="23" spans="1:38">
      <c r="A23" s="46">
        <f>IF(B23="","",ClientPrefix&amp;TEXT(ROW()-4,"0000"))</f>
        <v>0</v>
      </c>
      <c r="Y23" s="31">
        <f>IF(B23="","",COUNTIF(Pets!$C$5:$C$254,B23))</f>
        <v>0</v>
      </c>
      <c r="Z23" s="31">
        <f>IF(B23="","",COUNTIFS(Bookings!$C$5:$C$404,B23))</f>
        <v>0</v>
      </c>
      <c r="AA23" s="31">
        <f>IF(B23="","",COUNTIFS('Visit Log'!$D$5:$D$404,B23,'Visit Log'!$AE$5:$AE$404,"Completed"))</f>
        <v>0</v>
      </c>
      <c r="AB23" s="21">
        <f>IF(B23="","",IF(SUMPRODUCT(MAX((Bookings!$C$5:$C$404=B23)*(Bookings!$AM$5:$AM$404="Completed")*Bookings!$I$5:$I$404))=0,"",SUMPRODUCT(MAX((Bookings!$C$5:$C$404=B23)*(Bookings!$AM$5:$AM$404="Completed")*Bookings!$I$5:$I$404))))</f>
        <v>0</v>
      </c>
      <c r="AC23" s="31">
        <f>IF(AB23="","",TODAY()-AB23)</f>
        <v>0</v>
      </c>
      <c r="AD23" s="21">
        <f>IF(B23="","",IF(COUNTIFS(Bookings!$C$5:$C$404,B23,Bookings!$I$5:$I$404,"&gt;="&amp;TODAY(),Bookings!$AM$5:$AM$404,"&lt;&gt;Cancelled")=0,"",SUMPRODUCT(MIN(((Bookings!$C$5:$C$404=B23)*(Bookings!$I$5:$I$404&gt;=TODAY())*(Bookings!$AM$5:$AM$404&lt;&gt;"Cancelled"))*Bookings!$I$5:$I$404+(1-((Bookings!$C$5:$C$404=B23)*(Bookings!$I$5:$I$404&gt;=TODAY())*(Bookings!$AM$5:$AM$404&lt;&gt;"Cancelled")))*2958465))))</f>
        <v>0</v>
      </c>
      <c r="AE23" s="29">
        <f>IF(B23="","",SUMIFS(Payments!$L$5:$L$304,Payments!$C$5:$C$304,B23))</f>
        <v>0</v>
      </c>
      <c r="AF23" s="29">
        <f>IF(B23="","",SUMIFS(Invoices!$O$5:$O$304,Invoices!$D$5:$D$304,B23,Invoices!$T$5:$T$304,"&lt;&gt;Draft"))</f>
        <v>0</v>
      </c>
      <c r="AG23" s="29">
        <f>IF(B23="","",SUMIFS(Invoices!$S$5:$S$304,Invoices!$D$5:$D$304,B23,Invoices!$T$5:$T$304,"&lt;&gt;Cancelled"))</f>
        <v>0</v>
      </c>
      <c r="AH23" s="29">
        <f>IF(OR(Z23="",Z23=0),"",SUMIFS(Bookings!$AK$5:$AK$404,Bookings!$C$5:$C$404,B23,Bookings!$AM$5:$AM$404,"&lt;&gt;Cancelled")/Z23)</f>
        <v>0</v>
      </c>
      <c r="AI23" s="49">
        <f>IF(B23="","",IF(Z23&gt;=LoyaltyThreshold,"Loyalty discount","Standard"))</f>
        <v>0</v>
      </c>
      <c r="AJ23" s="49">
        <f>IF(B23="","",IF(COUNTIF(Clients!$B$5:$B$254,B23)&gt;1,"Duplicate name",IF(AND(C23&lt;&gt;"",COUNTIF(Clients!$C$5:$C$254,C23)&gt;1),"Duplicate phone","OK")))</f>
        <v>0</v>
      </c>
      <c r="AK23" s="49">
        <f>IF(B23="","",IF(AND(C23&lt;&gt;"",D23&lt;&gt;"",L23&lt;&gt;"",M23&lt;&gt;""),"OK","Add: "&amp;IF(C23="","phone ","")&amp;IF(D23="","email ","")&amp;IF(L23="","date ","")&amp;IF(M23="","status","")))</f>
        <v>0</v>
      </c>
      <c r="AL23" s="49">
        <f>IF(B23="","",IF(AG23&gt;0.5,"Overdue - chase payment",IF(AND(M23="Active",ISNUMBER(AC23),AC23&gt;InactiveDays),"Inactive - win back",IF(AND(M23="Active",S23&lt;&gt;"Signed"),"Action - contract not signed",IF(AND(M23="Prospective",AD23=""),"Action - follow up quote","OK")))))</f>
        <v>0</v>
      </c>
    </row>
    <row r="24" spans="1:38">
      <c r="A24" s="46">
        <f>IF(B24="","",ClientPrefix&amp;TEXT(ROW()-4,"0000"))</f>
        <v>0</v>
      </c>
      <c r="Y24" s="31">
        <f>IF(B24="","",COUNTIF(Pets!$C$5:$C$254,B24))</f>
        <v>0</v>
      </c>
      <c r="Z24" s="31">
        <f>IF(B24="","",COUNTIFS(Bookings!$C$5:$C$404,B24))</f>
        <v>0</v>
      </c>
      <c r="AA24" s="31">
        <f>IF(B24="","",COUNTIFS('Visit Log'!$D$5:$D$404,B24,'Visit Log'!$AE$5:$AE$404,"Completed"))</f>
        <v>0</v>
      </c>
      <c r="AB24" s="21">
        <f>IF(B24="","",IF(SUMPRODUCT(MAX((Bookings!$C$5:$C$404=B24)*(Bookings!$AM$5:$AM$404="Completed")*Bookings!$I$5:$I$404))=0,"",SUMPRODUCT(MAX((Bookings!$C$5:$C$404=B24)*(Bookings!$AM$5:$AM$404="Completed")*Bookings!$I$5:$I$404))))</f>
        <v>0</v>
      </c>
      <c r="AC24" s="31">
        <f>IF(AB24="","",TODAY()-AB24)</f>
        <v>0</v>
      </c>
      <c r="AD24" s="21">
        <f>IF(B24="","",IF(COUNTIFS(Bookings!$C$5:$C$404,B24,Bookings!$I$5:$I$404,"&gt;="&amp;TODAY(),Bookings!$AM$5:$AM$404,"&lt;&gt;Cancelled")=0,"",SUMPRODUCT(MIN(((Bookings!$C$5:$C$404=B24)*(Bookings!$I$5:$I$404&gt;=TODAY())*(Bookings!$AM$5:$AM$404&lt;&gt;"Cancelled"))*Bookings!$I$5:$I$404+(1-((Bookings!$C$5:$C$404=B24)*(Bookings!$I$5:$I$404&gt;=TODAY())*(Bookings!$AM$5:$AM$404&lt;&gt;"Cancelled")))*2958465))))</f>
        <v>0</v>
      </c>
      <c r="AE24" s="29">
        <f>IF(B24="","",SUMIFS(Payments!$L$5:$L$304,Payments!$C$5:$C$304,B24))</f>
        <v>0</v>
      </c>
      <c r="AF24" s="29">
        <f>IF(B24="","",SUMIFS(Invoices!$O$5:$O$304,Invoices!$D$5:$D$304,B24,Invoices!$T$5:$T$304,"&lt;&gt;Draft"))</f>
        <v>0</v>
      </c>
      <c r="AG24" s="29">
        <f>IF(B24="","",SUMIFS(Invoices!$S$5:$S$304,Invoices!$D$5:$D$304,B24,Invoices!$T$5:$T$304,"&lt;&gt;Cancelled"))</f>
        <v>0</v>
      </c>
      <c r="AH24" s="29">
        <f>IF(OR(Z24="",Z24=0),"",SUMIFS(Bookings!$AK$5:$AK$404,Bookings!$C$5:$C$404,B24,Bookings!$AM$5:$AM$404,"&lt;&gt;Cancelled")/Z24)</f>
        <v>0</v>
      </c>
      <c r="AI24" s="49">
        <f>IF(B24="","",IF(Z24&gt;=LoyaltyThreshold,"Loyalty discount","Standard"))</f>
        <v>0</v>
      </c>
      <c r="AJ24" s="49">
        <f>IF(B24="","",IF(COUNTIF(Clients!$B$5:$B$254,B24)&gt;1,"Duplicate name",IF(AND(C24&lt;&gt;"",COUNTIF(Clients!$C$5:$C$254,C24)&gt;1),"Duplicate phone","OK")))</f>
        <v>0</v>
      </c>
      <c r="AK24" s="49">
        <f>IF(B24="","",IF(AND(C24&lt;&gt;"",D24&lt;&gt;"",L24&lt;&gt;"",M24&lt;&gt;""),"OK","Add: "&amp;IF(C24="","phone ","")&amp;IF(D24="","email ","")&amp;IF(L24="","date ","")&amp;IF(M24="","status","")))</f>
        <v>0</v>
      </c>
      <c r="AL24" s="49">
        <f>IF(B24="","",IF(AG24&gt;0.5,"Overdue - chase payment",IF(AND(M24="Active",ISNUMBER(AC24),AC24&gt;InactiveDays),"Inactive - win back",IF(AND(M24="Active",S24&lt;&gt;"Signed"),"Action - contract not signed",IF(AND(M24="Prospective",AD24=""),"Action - follow up quote","OK")))))</f>
        <v>0</v>
      </c>
    </row>
    <row r="25" spans="1:38">
      <c r="A25" s="46">
        <f>IF(B25="","",ClientPrefix&amp;TEXT(ROW()-4,"0000"))</f>
        <v>0</v>
      </c>
      <c r="Y25" s="31">
        <f>IF(B25="","",COUNTIF(Pets!$C$5:$C$254,B25))</f>
        <v>0</v>
      </c>
      <c r="Z25" s="31">
        <f>IF(B25="","",COUNTIFS(Bookings!$C$5:$C$404,B25))</f>
        <v>0</v>
      </c>
      <c r="AA25" s="31">
        <f>IF(B25="","",COUNTIFS('Visit Log'!$D$5:$D$404,B25,'Visit Log'!$AE$5:$AE$404,"Completed"))</f>
        <v>0</v>
      </c>
      <c r="AB25" s="21">
        <f>IF(B25="","",IF(SUMPRODUCT(MAX((Bookings!$C$5:$C$404=B25)*(Bookings!$AM$5:$AM$404="Completed")*Bookings!$I$5:$I$404))=0,"",SUMPRODUCT(MAX((Bookings!$C$5:$C$404=B25)*(Bookings!$AM$5:$AM$404="Completed")*Bookings!$I$5:$I$404))))</f>
        <v>0</v>
      </c>
      <c r="AC25" s="31">
        <f>IF(AB25="","",TODAY()-AB25)</f>
        <v>0</v>
      </c>
      <c r="AD25" s="21">
        <f>IF(B25="","",IF(COUNTIFS(Bookings!$C$5:$C$404,B25,Bookings!$I$5:$I$404,"&gt;="&amp;TODAY(),Bookings!$AM$5:$AM$404,"&lt;&gt;Cancelled")=0,"",SUMPRODUCT(MIN(((Bookings!$C$5:$C$404=B25)*(Bookings!$I$5:$I$404&gt;=TODAY())*(Bookings!$AM$5:$AM$404&lt;&gt;"Cancelled"))*Bookings!$I$5:$I$404+(1-((Bookings!$C$5:$C$404=B25)*(Bookings!$I$5:$I$404&gt;=TODAY())*(Bookings!$AM$5:$AM$404&lt;&gt;"Cancelled")))*2958465))))</f>
        <v>0</v>
      </c>
      <c r="AE25" s="29">
        <f>IF(B25="","",SUMIFS(Payments!$L$5:$L$304,Payments!$C$5:$C$304,B25))</f>
        <v>0</v>
      </c>
      <c r="AF25" s="29">
        <f>IF(B25="","",SUMIFS(Invoices!$O$5:$O$304,Invoices!$D$5:$D$304,B25,Invoices!$T$5:$T$304,"&lt;&gt;Draft"))</f>
        <v>0</v>
      </c>
      <c r="AG25" s="29">
        <f>IF(B25="","",SUMIFS(Invoices!$S$5:$S$304,Invoices!$D$5:$D$304,B25,Invoices!$T$5:$T$304,"&lt;&gt;Cancelled"))</f>
        <v>0</v>
      </c>
      <c r="AH25" s="29">
        <f>IF(OR(Z25="",Z25=0),"",SUMIFS(Bookings!$AK$5:$AK$404,Bookings!$C$5:$C$404,B25,Bookings!$AM$5:$AM$404,"&lt;&gt;Cancelled")/Z25)</f>
        <v>0</v>
      </c>
      <c r="AI25" s="49">
        <f>IF(B25="","",IF(Z25&gt;=LoyaltyThreshold,"Loyalty discount","Standard"))</f>
        <v>0</v>
      </c>
      <c r="AJ25" s="49">
        <f>IF(B25="","",IF(COUNTIF(Clients!$B$5:$B$254,B25)&gt;1,"Duplicate name",IF(AND(C25&lt;&gt;"",COUNTIF(Clients!$C$5:$C$254,C25)&gt;1),"Duplicate phone","OK")))</f>
        <v>0</v>
      </c>
      <c r="AK25" s="49">
        <f>IF(B25="","",IF(AND(C25&lt;&gt;"",D25&lt;&gt;"",L25&lt;&gt;"",M25&lt;&gt;""),"OK","Add: "&amp;IF(C25="","phone ","")&amp;IF(D25="","email ","")&amp;IF(L25="","date ","")&amp;IF(M25="","status","")))</f>
        <v>0</v>
      </c>
      <c r="AL25" s="49">
        <f>IF(B25="","",IF(AG25&gt;0.5,"Overdue - chase payment",IF(AND(M25="Active",ISNUMBER(AC25),AC25&gt;InactiveDays),"Inactive - win back",IF(AND(M25="Active",S25&lt;&gt;"Signed"),"Action - contract not signed",IF(AND(M25="Prospective",AD25=""),"Action - follow up quote","OK")))))</f>
        <v>0</v>
      </c>
    </row>
    <row r="26" spans="1:38">
      <c r="A26" s="46">
        <f>IF(B26="","",ClientPrefix&amp;TEXT(ROW()-4,"0000"))</f>
        <v>0</v>
      </c>
      <c r="Y26" s="31">
        <f>IF(B26="","",COUNTIF(Pets!$C$5:$C$254,B26))</f>
        <v>0</v>
      </c>
      <c r="Z26" s="31">
        <f>IF(B26="","",COUNTIFS(Bookings!$C$5:$C$404,B26))</f>
        <v>0</v>
      </c>
      <c r="AA26" s="31">
        <f>IF(B26="","",COUNTIFS('Visit Log'!$D$5:$D$404,B26,'Visit Log'!$AE$5:$AE$404,"Completed"))</f>
        <v>0</v>
      </c>
      <c r="AB26" s="21">
        <f>IF(B26="","",IF(SUMPRODUCT(MAX((Bookings!$C$5:$C$404=B26)*(Bookings!$AM$5:$AM$404="Completed")*Bookings!$I$5:$I$404))=0,"",SUMPRODUCT(MAX((Bookings!$C$5:$C$404=B26)*(Bookings!$AM$5:$AM$404="Completed")*Bookings!$I$5:$I$404))))</f>
        <v>0</v>
      </c>
      <c r="AC26" s="31">
        <f>IF(AB26="","",TODAY()-AB26)</f>
        <v>0</v>
      </c>
      <c r="AD26" s="21">
        <f>IF(B26="","",IF(COUNTIFS(Bookings!$C$5:$C$404,B26,Bookings!$I$5:$I$404,"&gt;="&amp;TODAY(),Bookings!$AM$5:$AM$404,"&lt;&gt;Cancelled")=0,"",SUMPRODUCT(MIN(((Bookings!$C$5:$C$404=B26)*(Bookings!$I$5:$I$404&gt;=TODAY())*(Bookings!$AM$5:$AM$404&lt;&gt;"Cancelled"))*Bookings!$I$5:$I$404+(1-((Bookings!$C$5:$C$404=B26)*(Bookings!$I$5:$I$404&gt;=TODAY())*(Bookings!$AM$5:$AM$404&lt;&gt;"Cancelled")))*2958465))))</f>
        <v>0</v>
      </c>
      <c r="AE26" s="29">
        <f>IF(B26="","",SUMIFS(Payments!$L$5:$L$304,Payments!$C$5:$C$304,B26))</f>
        <v>0</v>
      </c>
      <c r="AF26" s="29">
        <f>IF(B26="","",SUMIFS(Invoices!$O$5:$O$304,Invoices!$D$5:$D$304,B26,Invoices!$T$5:$T$304,"&lt;&gt;Draft"))</f>
        <v>0</v>
      </c>
      <c r="AG26" s="29">
        <f>IF(B26="","",SUMIFS(Invoices!$S$5:$S$304,Invoices!$D$5:$D$304,B26,Invoices!$T$5:$T$304,"&lt;&gt;Cancelled"))</f>
        <v>0</v>
      </c>
      <c r="AH26" s="29">
        <f>IF(OR(Z26="",Z26=0),"",SUMIFS(Bookings!$AK$5:$AK$404,Bookings!$C$5:$C$404,B26,Bookings!$AM$5:$AM$404,"&lt;&gt;Cancelled")/Z26)</f>
        <v>0</v>
      </c>
      <c r="AI26" s="49">
        <f>IF(B26="","",IF(Z26&gt;=LoyaltyThreshold,"Loyalty discount","Standard"))</f>
        <v>0</v>
      </c>
      <c r="AJ26" s="49">
        <f>IF(B26="","",IF(COUNTIF(Clients!$B$5:$B$254,B26)&gt;1,"Duplicate name",IF(AND(C26&lt;&gt;"",COUNTIF(Clients!$C$5:$C$254,C26)&gt;1),"Duplicate phone","OK")))</f>
        <v>0</v>
      </c>
      <c r="AK26" s="49">
        <f>IF(B26="","",IF(AND(C26&lt;&gt;"",D26&lt;&gt;"",L26&lt;&gt;"",M26&lt;&gt;""),"OK","Add: "&amp;IF(C26="","phone ","")&amp;IF(D26="","email ","")&amp;IF(L26="","date ","")&amp;IF(M26="","status","")))</f>
        <v>0</v>
      </c>
      <c r="AL26" s="49">
        <f>IF(B26="","",IF(AG26&gt;0.5,"Overdue - chase payment",IF(AND(M26="Active",ISNUMBER(AC26),AC26&gt;InactiveDays),"Inactive - win back",IF(AND(M26="Active",S26&lt;&gt;"Signed"),"Action - contract not signed",IF(AND(M26="Prospective",AD26=""),"Action - follow up quote","OK")))))</f>
        <v>0</v>
      </c>
    </row>
    <row r="27" spans="1:38">
      <c r="A27" s="46">
        <f>IF(B27="","",ClientPrefix&amp;TEXT(ROW()-4,"0000"))</f>
        <v>0</v>
      </c>
      <c r="Y27" s="31">
        <f>IF(B27="","",COUNTIF(Pets!$C$5:$C$254,B27))</f>
        <v>0</v>
      </c>
      <c r="Z27" s="31">
        <f>IF(B27="","",COUNTIFS(Bookings!$C$5:$C$404,B27))</f>
        <v>0</v>
      </c>
      <c r="AA27" s="31">
        <f>IF(B27="","",COUNTIFS('Visit Log'!$D$5:$D$404,B27,'Visit Log'!$AE$5:$AE$404,"Completed"))</f>
        <v>0</v>
      </c>
      <c r="AB27" s="21">
        <f>IF(B27="","",IF(SUMPRODUCT(MAX((Bookings!$C$5:$C$404=B27)*(Bookings!$AM$5:$AM$404="Completed")*Bookings!$I$5:$I$404))=0,"",SUMPRODUCT(MAX((Bookings!$C$5:$C$404=B27)*(Bookings!$AM$5:$AM$404="Completed")*Bookings!$I$5:$I$404))))</f>
        <v>0</v>
      </c>
      <c r="AC27" s="31">
        <f>IF(AB27="","",TODAY()-AB27)</f>
        <v>0</v>
      </c>
      <c r="AD27" s="21">
        <f>IF(B27="","",IF(COUNTIFS(Bookings!$C$5:$C$404,B27,Bookings!$I$5:$I$404,"&gt;="&amp;TODAY(),Bookings!$AM$5:$AM$404,"&lt;&gt;Cancelled")=0,"",SUMPRODUCT(MIN(((Bookings!$C$5:$C$404=B27)*(Bookings!$I$5:$I$404&gt;=TODAY())*(Bookings!$AM$5:$AM$404&lt;&gt;"Cancelled"))*Bookings!$I$5:$I$404+(1-((Bookings!$C$5:$C$404=B27)*(Bookings!$I$5:$I$404&gt;=TODAY())*(Bookings!$AM$5:$AM$404&lt;&gt;"Cancelled")))*2958465))))</f>
        <v>0</v>
      </c>
      <c r="AE27" s="29">
        <f>IF(B27="","",SUMIFS(Payments!$L$5:$L$304,Payments!$C$5:$C$304,B27))</f>
        <v>0</v>
      </c>
      <c r="AF27" s="29">
        <f>IF(B27="","",SUMIFS(Invoices!$O$5:$O$304,Invoices!$D$5:$D$304,B27,Invoices!$T$5:$T$304,"&lt;&gt;Draft"))</f>
        <v>0</v>
      </c>
      <c r="AG27" s="29">
        <f>IF(B27="","",SUMIFS(Invoices!$S$5:$S$304,Invoices!$D$5:$D$304,B27,Invoices!$T$5:$T$304,"&lt;&gt;Cancelled"))</f>
        <v>0</v>
      </c>
      <c r="AH27" s="29">
        <f>IF(OR(Z27="",Z27=0),"",SUMIFS(Bookings!$AK$5:$AK$404,Bookings!$C$5:$C$404,B27,Bookings!$AM$5:$AM$404,"&lt;&gt;Cancelled")/Z27)</f>
        <v>0</v>
      </c>
      <c r="AI27" s="49">
        <f>IF(B27="","",IF(Z27&gt;=LoyaltyThreshold,"Loyalty discount","Standard"))</f>
        <v>0</v>
      </c>
      <c r="AJ27" s="49">
        <f>IF(B27="","",IF(COUNTIF(Clients!$B$5:$B$254,B27)&gt;1,"Duplicate name",IF(AND(C27&lt;&gt;"",COUNTIF(Clients!$C$5:$C$254,C27)&gt;1),"Duplicate phone","OK")))</f>
        <v>0</v>
      </c>
      <c r="AK27" s="49">
        <f>IF(B27="","",IF(AND(C27&lt;&gt;"",D27&lt;&gt;"",L27&lt;&gt;"",M27&lt;&gt;""),"OK","Add: "&amp;IF(C27="","phone ","")&amp;IF(D27="","email ","")&amp;IF(L27="","date ","")&amp;IF(M27="","status","")))</f>
        <v>0</v>
      </c>
      <c r="AL27" s="49">
        <f>IF(B27="","",IF(AG27&gt;0.5,"Overdue - chase payment",IF(AND(M27="Active",ISNUMBER(AC27),AC27&gt;InactiveDays),"Inactive - win back",IF(AND(M27="Active",S27&lt;&gt;"Signed"),"Action - contract not signed",IF(AND(M27="Prospective",AD27=""),"Action - follow up quote","OK")))))</f>
        <v>0</v>
      </c>
    </row>
    <row r="28" spans="1:38">
      <c r="A28" s="46">
        <f>IF(B28="","",ClientPrefix&amp;TEXT(ROW()-4,"0000"))</f>
        <v>0</v>
      </c>
      <c r="Y28" s="31">
        <f>IF(B28="","",COUNTIF(Pets!$C$5:$C$254,B28))</f>
        <v>0</v>
      </c>
      <c r="Z28" s="31">
        <f>IF(B28="","",COUNTIFS(Bookings!$C$5:$C$404,B28))</f>
        <v>0</v>
      </c>
      <c r="AA28" s="31">
        <f>IF(B28="","",COUNTIFS('Visit Log'!$D$5:$D$404,B28,'Visit Log'!$AE$5:$AE$404,"Completed"))</f>
        <v>0</v>
      </c>
      <c r="AB28" s="21">
        <f>IF(B28="","",IF(SUMPRODUCT(MAX((Bookings!$C$5:$C$404=B28)*(Bookings!$AM$5:$AM$404="Completed")*Bookings!$I$5:$I$404))=0,"",SUMPRODUCT(MAX((Bookings!$C$5:$C$404=B28)*(Bookings!$AM$5:$AM$404="Completed")*Bookings!$I$5:$I$404))))</f>
        <v>0</v>
      </c>
      <c r="AC28" s="31">
        <f>IF(AB28="","",TODAY()-AB28)</f>
        <v>0</v>
      </c>
      <c r="AD28" s="21">
        <f>IF(B28="","",IF(COUNTIFS(Bookings!$C$5:$C$404,B28,Bookings!$I$5:$I$404,"&gt;="&amp;TODAY(),Bookings!$AM$5:$AM$404,"&lt;&gt;Cancelled")=0,"",SUMPRODUCT(MIN(((Bookings!$C$5:$C$404=B28)*(Bookings!$I$5:$I$404&gt;=TODAY())*(Bookings!$AM$5:$AM$404&lt;&gt;"Cancelled"))*Bookings!$I$5:$I$404+(1-((Bookings!$C$5:$C$404=B28)*(Bookings!$I$5:$I$404&gt;=TODAY())*(Bookings!$AM$5:$AM$404&lt;&gt;"Cancelled")))*2958465))))</f>
        <v>0</v>
      </c>
      <c r="AE28" s="29">
        <f>IF(B28="","",SUMIFS(Payments!$L$5:$L$304,Payments!$C$5:$C$304,B28))</f>
        <v>0</v>
      </c>
      <c r="AF28" s="29">
        <f>IF(B28="","",SUMIFS(Invoices!$O$5:$O$304,Invoices!$D$5:$D$304,B28,Invoices!$T$5:$T$304,"&lt;&gt;Draft"))</f>
        <v>0</v>
      </c>
      <c r="AG28" s="29">
        <f>IF(B28="","",SUMIFS(Invoices!$S$5:$S$304,Invoices!$D$5:$D$304,B28,Invoices!$T$5:$T$304,"&lt;&gt;Cancelled"))</f>
        <v>0</v>
      </c>
      <c r="AH28" s="29">
        <f>IF(OR(Z28="",Z28=0),"",SUMIFS(Bookings!$AK$5:$AK$404,Bookings!$C$5:$C$404,B28,Bookings!$AM$5:$AM$404,"&lt;&gt;Cancelled")/Z28)</f>
        <v>0</v>
      </c>
      <c r="AI28" s="49">
        <f>IF(B28="","",IF(Z28&gt;=LoyaltyThreshold,"Loyalty discount","Standard"))</f>
        <v>0</v>
      </c>
      <c r="AJ28" s="49">
        <f>IF(B28="","",IF(COUNTIF(Clients!$B$5:$B$254,B28)&gt;1,"Duplicate name",IF(AND(C28&lt;&gt;"",COUNTIF(Clients!$C$5:$C$254,C28)&gt;1),"Duplicate phone","OK")))</f>
        <v>0</v>
      </c>
      <c r="AK28" s="49">
        <f>IF(B28="","",IF(AND(C28&lt;&gt;"",D28&lt;&gt;"",L28&lt;&gt;"",M28&lt;&gt;""),"OK","Add: "&amp;IF(C28="","phone ","")&amp;IF(D28="","email ","")&amp;IF(L28="","date ","")&amp;IF(M28="","status","")))</f>
        <v>0</v>
      </c>
      <c r="AL28" s="49">
        <f>IF(B28="","",IF(AG28&gt;0.5,"Overdue - chase payment",IF(AND(M28="Active",ISNUMBER(AC28),AC28&gt;InactiveDays),"Inactive - win back",IF(AND(M28="Active",S28&lt;&gt;"Signed"),"Action - contract not signed",IF(AND(M28="Prospective",AD28=""),"Action - follow up quote","OK")))))</f>
        <v>0</v>
      </c>
    </row>
    <row r="29" spans="1:38">
      <c r="A29" s="46">
        <f>IF(B29="","",ClientPrefix&amp;TEXT(ROW()-4,"0000"))</f>
        <v>0</v>
      </c>
      <c r="Y29" s="31">
        <f>IF(B29="","",COUNTIF(Pets!$C$5:$C$254,B29))</f>
        <v>0</v>
      </c>
      <c r="Z29" s="31">
        <f>IF(B29="","",COUNTIFS(Bookings!$C$5:$C$404,B29))</f>
        <v>0</v>
      </c>
      <c r="AA29" s="31">
        <f>IF(B29="","",COUNTIFS('Visit Log'!$D$5:$D$404,B29,'Visit Log'!$AE$5:$AE$404,"Completed"))</f>
        <v>0</v>
      </c>
      <c r="AB29" s="21">
        <f>IF(B29="","",IF(SUMPRODUCT(MAX((Bookings!$C$5:$C$404=B29)*(Bookings!$AM$5:$AM$404="Completed")*Bookings!$I$5:$I$404))=0,"",SUMPRODUCT(MAX((Bookings!$C$5:$C$404=B29)*(Bookings!$AM$5:$AM$404="Completed")*Bookings!$I$5:$I$404))))</f>
        <v>0</v>
      </c>
      <c r="AC29" s="31">
        <f>IF(AB29="","",TODAY()-AB29)</f>
        <v>0</v>
      </c>
      <c r="AD29" s="21">
        <f>IF(B29="","",IF(COUNTIFS(Bookings!$C$5:$C$404,B29,Bookings!$I$5:$I$404,"&gt;="&amp;TODAY(),Bookings!$AM$5:$AM$404,"&lt;&gt;Cancelled")=0,"",SUMPRODUCT(MIN(((Bookings!$C$5:$C$404=B29)*(Bookings!$I$5:$I$404&gt;=TODAY())*(Bookings!$AM$5:$AM$404&lt;&gt;"Cancelled"))*Bookings!$I$5:$I$404+(1-((Bookings!$C$5:$C$404=B29)*(Bookings!$I$5:$I$404&gt;=TODAY())*(Bookings!$AM$5:$AM$404&lt;&gt;"Cancelled")))*2958465))))</f>
        <v>0</v>
      </c>
      <c r="AE29" s="29">
        <f>IF(B29="","",SUMIFS(Payments!$L$5:$L$304,Payments!$C$5:$C$304,B29))</f>
        <v>0</v>
      </c>
      <c r="AF29" s="29">
        <f>IF(B29="","",SUMIFS(Invoices!$O$5:$O$304,Invoices!$D$5:$D$304,B29,Invoices!$T$5:$T$304,"&lt;&gt;Draft"))</f>
        <v>0</v>
      </c>
      <c r="AG29" s="29">
        <f>IF(B29="","",SUMIFS(Invoices!$S$5:$S$304,Invoices!$D$5:$D$304,B29,Invoices!$T$5:$T$304,"&lt;&gt;Cancelled"))</f>
        <v>0</v>
      </c>
      <c r="AH29" s="29">
        <f>IF(OR(Z29="",Z29=0),"",SUMIFS(Bookings!$AK$5:$AK$404,Bookings!$C$5:$C$404,B29,Bookings!$AM$5:$AM$404,"&lt;&gt;Cancelled")/Z29)</f>
        <v>0</v>
      </c>
      <c r="AI29" s="49">
        <f>IF(B29="","",IF(Z29&gt;=LoyaltyThreshold,"Loyalty discount","Standard"))</f>
        <v>0</v>
      </c>
      <c r="AJ29" s="49">
        <f>IF(B29="","",IF(COUNTIF(Clients!$B$5:$B$254,B29)&gt;1,"Duplicate name",IF(AND(C29&lt;&gt;"",COUNTIF(Clients!$C$5:$C$254,C29)&gt;1),"Duplicate phone","OK")))</f>
        <v>0</v>
      </c>
      <c r="AK29" s="49">
        <f>IF(B29="","",IF(AND(C29&lt;&gt;"",D29&lt;&gt;"",L29&lt;&gt;"",M29&lt;&gt;""),"OK","Add: "&amp;IF(C29="","phone ","")&amp;IF(D29="","email ","")&amp;IF(L29="","date ","")&amp;IF(M29="","status","")))</f>
        <v>0</v>
      </c>
      <c r="AL29" s="49">
        <f>IF(B29="","",IF(AG29&gt;0.5,"Overdue - chase payment",IF(AND(M29="Active",ISNUMBER(AC29),AC29&gt;InactiveDays),"Inactive - win back",IF(AND(M29="Active",S29&lt;&gt;"Signed"),"Action - contract not signed",IF(AND(M29="Prospective",AD29=""),"Action - follow up quote","OK")))))</f>
        <v>0</v>
      </c>
    </row>
    <row r="30" spans="1:38">
      <c r="A30" s="46">
        <f>IF(B30="","",ClientPrefix&amp;TEXT(ROW()-4,"0000"))</f>
        <v>0</v>
      </c>
      <c r="Y30" s="31">
        <f>IF(B30="","",COUNTIF(Pets!$C$5:$C$254,B30))</f>
        <v>0</v>
      </c>
      <c r="Z30" s="31">
        <f>IF(B30="","",COUNTIFS(Bookings!$C$5:$C$404,B30))</f>
        <v>0</v>
      </c>
      <c r="AA30" s="31">
        <f>IF(B30="","",COUNTIFS('Visit Log'!$D$5:$D$404,B30,'Visit Log'!$AE$5:$AE$404,"Completed"))</f>
        <v>0</v>
      </c>
      <c r="AB30" s="21">
        <f>IF(B30="","",IF(SUMPRODUCT(MAX((Bookings!$C$5:$C$404=B30)*(Bookings!$AM$5:$AM$404="Completed")*Bookings!$I$5:$I$404))=0,"",SUMPRODUCT(MAX((Bookings!$C$5:$C$404=B30)*(Bookings!$AM$5:$AM$404="Completed")*Bookings!$I$5:$I$404))))</f>
        <v>0</v>
      </c>
      <c r="AC30" s="31">
        <f>IF(AB30="","",TODAY()-AB30)</f>
        <v>0</v>
      </c>
      <c r="AD30" s="21">
        <f>IF(B30="","",IF(COUNTIFS(Bookings!$C$5:$C$404,B30,Bookings!$I$5:$I$404,"&gt;="&amp;TODAY(),Bookings!$AM$5:$AM$404,"&lt;&gt;Cancelled")=0,"",SUMPRODUCT(MIN(((Bookings!$C$5:$C$404=B30)*(Bookings!$I$5:$I$404&gt;=TODAY())*(Bookings!$AM$5:$AM$404&lt;&gt;"Cancelled"))*Bookings!$I$5:$I$404+(1-((Bookings!$C$5:$C$404=B30)*(Bookings!$I$5:$I$404&gt;=TODAY())*(Bookings!$AM$5:$AM$404&lt;&gt;"Cancelled")))*2958465))))</f>
        <v>0</v>
      </c>
      <c r="AE30" s="29">
        <f>IF(B30="","",SUMIFS(Payments!$L$5:$L$304,Payments!$C$5:$C$304,B30))</f>
        <v>0</v>
      </c>
      <c r="AF30" s="29">
        <f>IF(B30="","",SUMIFS(Invoices!$O$5:$O$304,Invoices!$D$5:$D$304,B30,Invoices!$T$5:$T$304,"&lt;&gt;Draft"))</f>
        <v>0</v>
      </c>
      <c r="AG30" s="29">
        <f>IF(B30="","",SUMIFS(Invoices!$S$5:$S$304,Invoices!$D$5:$D$304,B30,Invoices!$T$5:$T$304,"&lt;&gt;Cancelled"))</f>
        <v>0</v>
      </c>
      <c r="AH30" s="29">
        <f>IF(OR(Z30="",Z30=0),"",SUMIFS(Bookings!$AK$5:$AK$404,Bookings!$C$5:$C$404,B30,Bookings!$AM$5:$AM$404,"&lt;&gt;Cancelled")/Z30)</f>
        <v>0</v>
      </c>
      <c r="AI30" s="49">
        <f>IF(B30="","",IF(Z30&gt;=LoyaltyThreshold,"Loyalty discount","Standard"))</f>
        <v>0</v>
      </c>
      <c r="AJ30" s="49">
        <f>IF(B30="","",IF(COUNTIF(Clients!$B$5:$B$254,B30)&gt;1,"Duplicate name",IF(AND(C30&lt;&gt;"",COUNTIF(Clients!$C$5:$C$254,C30)&gt;1),"Duplicate phone","OK")))</f>
        <v>0</v>
      </c>
      <c r="AK30" s="49">
        <f>IF(B30="","",IF(AND(C30&lt;&gt;"",D30&lt;&gt;"",L30&lt;&gt;"",M30&lt;&gt;""),"OK","Add: "&amp;IF(C30="","phone ","")&amp;IF(D30="","email ","")&amp;IF(L30="","date ","")&amp;IF(M30="","status","")))</f>
        <v>0</v>
      </c>
      <c r="AL30" s="49">
        <f>IF(B30="","",IF(AG30&gt;0.5,"Overdue - chase payment",IF(AND(M30="Active",ISNUMBER(AC30),AC30&gt;InactiveDays),"Inactive - win back",IF(AND(M30="Active",S30&lt;&gt;"Signed"),"Action - contract not signed",IF(AND(M30="Prospective",AD30=""),"Action - follow up quote","OK")))))</f>
        <v>0</v>
      </c>
    </row>
    <row r="31" spans="1:38">
      <c r="A31" s="46">
        <f>IF(B31="","",ClientPrefix&amp;TEXT(ROW()-4,"0000"))</f>
        <v>0</v>
      </c>
      <c r="Y31" s="31">
        <f>IF(B31="","",COUNTIF(Pets!$C$5:$C$254,B31))</f>
        <v>0</v>
      </c>
      <c r="Z31" s="31">
        <f>IF(B31="","",COUNTIFS(Bookings!$C$5:$C$404,B31))</f>
        <v>0</v>
      </c>
      <c r="AA31" s="31">
        <f>IF(B31="","",COUNTIFS('Visit Log'!$D$5:$D$404,B31,'Visit Log'!$AE$5:$AE$404,"Completed"))</f>
        <v>0</v>
      </c>
      <c r="AB31" s="21">
        <f>IF(B31="","",IF(SUMPRODUCT(MAX((Bookings!$C$5:$C$404=B31)*(Bookings!$AM$5:$AM$404="Completed")*Bookings!$I$5:$I$404))=0,"",SUMPRODUCT(MAX((Bookings!$C$5:$C$404=B31)*(Bookings!$AM$5:$AM$404="Completed")*Bookings!$I$5:$I$404))))</f>
        <v>0</v>
      </c>
      <c r="AC31" s="31">
        <f>IF(AB31="","",TODAY()-AB31)</f>
        <v>0</v>
      </c>
      <c r="AD31" s="21">
        <f>IF(B31="","",IF(COUNTIFS(Bookings!$C$5:$C$404,B31,Bookings!$I$5:$I$404,"&gt;="&amp;TODAY(),Bookings!$AM$5:$AM$404,"&lt;&gt;Cancelled")=0,"",SUMPRODUCT(MIN(((Bookings!$C$5:$C$404=B31)*(Bookings!$I$5:$I$404&gt;=TODAY())*(Bookings!$AM$5:$AM$404&lt;&gt;"Cancelled"))*Bookings!$I$5:$I$404+(1-((Bookings!$C$5:$C$404=B31)*(Bookings!$I$5:$I$404&gt;=TODAY())*(Bookings!$AM$5:$AM$404&lt;&gt;"Cancelled")))*2958465))))</f>
        <v>0</v>
      </c>
      <c r="AE31" s="29">
        <f>IF(B31="","",SUMIFS(Payments!$L$5:$L$304,Payments!$C$5:$C$304,B31))</f>
        <v>0</v>
      </c>
      <c r="AF31" s="29">
        <f>IF(B31="","",SUMIFS(Invoices!$O$5:$O$304,Invoices!$D$5:$D$304,B31,Invoices!$T$5:$T$304,"&lt;&gt;Draft"))</f>
        <v>0</v>
      </c>
      <c r="AG31" s="29">
        <f>IF(B31="","",SUMIFS(Invoices!$S$5:$S$304,Invoices!$D$5:$D$304,B31,Invoices!$T$5:$T$304,"&lt;&gt;Cancelled"))</f>
        <v>0</v>
      </c>
      <c r="AH31" s="29">
        <f>IF(OR(Z31="",Z31=0),"",SUMIFS(Bookings!$AK$5:$AK$404,Bookings!$C$5:$C$404,B31,Bookings!$AM$5:$AM$404,"&lt;&gt;Cancelled")/Z31)</f>
        <v>0</v>
      </c>
      <c r="AI31" s="49">
        <f>IF(B31="","",IF(Z31&gt;=LoyaltyThreshold,"Loyalty discount","Standard"))</f>
        <v>0</v>
      </c>
      <c r="AJ31" s="49">
        <f>IF(B31="","",IF(COUNTIF(Clients!$B$5:$B$254,B31)&gt;1,"Duplicate name",IF(AND(C31&lt;&gt;"",COUNTIF(Clients!$C$5:$C$254,C31)&gt;1),"Duplicate phone","OK")))</f>
        <v>0</v>
      </c>
      <c r="AK31" s="49">
        <f>IF(B31="","",IF(AND(C31&lt;&gt;"",D31&lt;&gt;"",L31&lt;&gt;"",M31&lt;&gt;""),"OK","Add: "&amp;IF(C31="","phone ","")&amp;IF(D31="","email ","")&amp;IF(L31="","date ","")&amp;IF(M31="","status","")))</f>
        <v>0</v>
      </c>
      <c r="AL31" s="49">
        <f>IF(B31="","",IF(AG31&gt;0.5,"Overdue - chase payment",IF(AND(M31="Active",ISNUMBER(AC31),AC31&gt;InactiveDays),"Inactive - win back",IF(AND(M31="Active",S31&lt;&gt;"Signed"),"Action - contract not signed",IF(AND(M31="Prospective",AD31=""),"Action - follow up quote","OK")))))</f>
        <v>0</v>
      </c>
    </row>
    <row r="32" spans="1:38">
      <c r="A32" s="46">
        <f>IF(B32="","",ClientPrefix&amp;TEXT(ROW()-4,"0000"))</f>
        <v>0</v>
      </c>
      <c r="Y32" s="31">
        <f>IF(B32="","",COUNTIF(Pets!$C$5:$C$254,B32))</f>
        <v>0</v>
      </c>
      <c r="Z32" s="31">
        <f>IF(B32="","",COUNTIFS(Bookings!$C$5:$C$404,B32))</f>
        <v>0</v>
      </c>
      <c r="AA32" s="31">
        <f>IF(B32="","",COUNTIFS('Visit Log'!$D$5:$D$404,B32,'Visit Log'!$AE$5:$AE$404,"Completed"))</f>
        <v>0</v>
      </c>
      <c r="AB32" s="21">
        <f>IF(B32="","",IF(SUMPRODUCT(MAX((Bookings!$C$5:$C$404=B32)*(Bookings!$AM$5:$AM$404="Completed")*Bookings!$I$5:$I$404))=0,"",SUMPRODUCT(MAX((Bookings!$C$5:$C$404=B32)*(Bookings!$AM$5:$AM$404="Completed")*Bookings!$I$5:$I$404))))</f>
        <v>0</v>
      </c>
      <c r="AC32" s="31">
        <f>IF(AB32="","",TODAY()-AB32)</f>
        <v>0</v>
      </c>
      <c r="AD32" s="21">
        <f>IF(B32="","",IF(COUNTIFS(Bookings!$C$5:$C$404,B32,Bookings!$I$5:$I$404,"&gt;="&amp;TODAY(),Bookings!$AM$5:$AM$404,"&lt;&gt;Cancelled")=0,"",SUMPRODUCT(MIN(((Bookings!$C$5:$C$404=B32)*(Bookings!$I$5:$I$404&gt;=TODAY())*(Bookings!$AM$5:$AM$404&lt;&gt;"Cancelled"))*Bookings!$I$5:$I$404+(1-((Bookings!$C$5:$C$404=B32)*(Bookings!$I$5:$I$404&gt;=TODAY())*(Bookings!$AM$5:$AM$404&lt;&gt;"Cancelled")))*2958465))))</f>
        <v>0</v>
      </c>
      <c r="AE32" s="29">
        <f>IF(B32="","",SUMIFS(Payments!$L$5:$L$304,Payments!$C$5:$C$304,B32))</f>
        <v>0</v>
      </c>
      <c r="AF32" s="29">
        <f>IF(B32="","",SUMIFS(Invoices!$O$5:$O$304,Invoices!$D$5:$D$304,B32,Invoices!$T$5:$T$304,"&lt;&gt;Draft"))</f>
        <v>0</v>
      </c>
      <c r="AG32" s="29">
        <f>IF(B32="","",SUMIFS(Invoices!$S$5:$S$304,Invoices!$D$5:$D$304,B32,Invoices!$T$5:$T$304,"&lt;&gt;Cancelled"))</f>
        <v>0</v>
      </c>
      <c r="AH32" s="29">
        <f>IF(OR(Z32="",Z32=0),"",SUMIFS(Bookings!$AK$5:$AK$404,Bookings!$C$5:$C$404,B32,Bookings!$AM$5:$AM$404,"&lt;&gt;Cancelled")/Z32)</f>
        <v>0</v>
      </c>
      <c r="AI32" s="49">
        <f>IF(B32="","",IF(Z32&gt;=LoyaltyThreshold,"Loyalty discount","Standard"))</f>
        <v>0</v>
      </c>
      <c r="AJ32" s="49">
        <f>IF(B32="","",IF(COUNTIF(Clients!$B$5:$B$254,B32)&gt;1,"Duplicate name",IF(AND(C32&lt;&gt;"",COUNTIF(Clients!$C$5:$C$254,C32)&gt;1),"Duplicate phone","OK")))</f>
        <v>0</v>
      </c>
      <c r="AK32" s="49">
        <f>IF(B32="","",IF(AND(C32&lt;&gt;"",D32&lt;&gt;"",L32&lt;&gt;"",M32&lt;&gt;""),"OK","Add: "&amp;IF(C32="","phone ","")&amp;IF(D32="","email ","")&amp;IF(L32="","date ","")&amp;IF(M32="","status","")))</f>
        <v>0</v>
      </c>
      <c r="AL32" s="49">
        <f>IF(B32="","",IF(AG32&gt;0.5,"Overdue - chase payment",IF(AND(M32="Active",ISNUMBER(AC32),AC32&gt;InactiveDays),"Inactive - win back",IF(AND(M32="Active",S32&lt;&gt;"Signed"),"Action - contract not signed",IF(AND(M32="Prospective",AD32=""),"Action - follow up quote","OK")))))</f>
        <v>0</v>
      </c>
    </row>
    <row r="33" spans="1:38">
      <c r="A33" s="46">
        <f>IF(B33="","",ClientPrefix&amp;TEXT(ROW()-4,"0000"))</f>
        <v>0</v>
      </c>
      <c r="Y33" s="31">
        <f>IF(B33="","",COUNTIF(Pets!$C$5:$C$254,B33))</f>
        <v>0</v>
      </c>
      <c r="Z33" s="31">
        <f>IF(B33="","",COUNTIFS(Bookings!$C$5:$C$404,B33))</f>
        <v>0</v>
      </c>
      <c r="AA33" s="31">
        <f>IF(B33="","",COUNTIFS('Visit Log'!$D$5:$D$404,B33,'Visit Log'!$AE$5:$AE$404,"Completed"))</f>
        <v>0</v>
      </c>
      <c r="AB33" s="21">
        <f>IF(B33="","",IF(SUMPRODUCT(MAX((Bookings!$C$5:$C$404=B33)*(Bookings!$AM$5:$AM$404="Completed")*Bookings!$I$5:$I$404))=0,"",SUMPRODUCT(MAX((Bookings!$C$5:$C$404=B33)*(Bookings!$AM$5:$AM$404="Completed")*Bookings!$I$5:$I$404))))</f>
        <v>0</v>
      </c>
      <c r="AC33" s="31">
        <f>IF(AB33="","",TODAY()-AB33)</f>
        <v>0</v>
      </c>
      <c r="AD33" s="21">
        <f>IF(B33="","",IF(COUNTIFS(Bookings!$C$5:$C$404,B33,Bookings!$I$5:$I$404,"&gt;="&amp;TODAY(),Bookings!$AM$5:$AM$404,"&lt;&gt;Cancelled")=0,"",SUMPRODUCT(MIN(((Bookings!$C$5:$C$404=B33)*(Bookings!$I$5:$I$404&gt;=TODAY())*(Bookings!$AM$5:$AM$404&lt;&gt;"Cancelled"))*Bookings!$I$5:$I$404+(1-((Bookings!$C$5:$C$404=B33)*(Bookings!$I$5:$I$404&gt;=TODAY())*(Bookings!$AM$5:$AM$404&lt;&gt;"Cancelled")))*2958465))))</f>
        <v>0</v>
      </c>
      <c r="AE33" s="29">
        <f>IF(B33="","",SUMIFS(Payments!$L$5:$L$304,Payments!$C$5:$C$304,B33))</f>
        <v>0</v>
      </c>
      <c r="AF33" s="29">
        <f>IF(B33="","",SUMIFS(Invoices!$O$5:$O$304,Invoices!$D$5:$D$304,B33,Invoices!$T$5:$T$304,"&lt;&gt;Draft"))</f>
        <v>0</v>
      </c>
      <c r="AG33" s="29">
        <f>IF(B33="","",SUMIFS(Invoices!$S$5:$S$304,Invoices!$D$5:$D$304,B33,Invoices!$T$5:$T$304,"&lt;&gt;Cancelled"))</f>
        <v>0</v>
      </c>
      <c r="AH33" s="29">
        <f>IF(OR(Z33="",Z33=0),"",SUMIFS(Bookings!$AK$5:$AK$404,Bookings!$C$5:$C$404,B33,Bookings!$AM$5:$AM$404,"&lt;&gt;Cancelled")/Z33)</f>
        <v>0</v>
      </c>
      <c r="AI33" s="49">
        <f>IF(B33="","",IF(Z33&gt;=LoyaltyThreshold,"Loyalty discount","Standard"))</f>
        <v>0</v>
      </c>
      <c r="AJ33" s="49">
        <f>IF(B33="","",IF(COUNTIF(Clients!$B$5:$B$254,B33)&gt;1,"Duplicate name",IF(AND(C33&lt;&gt;"",COUNTIF(Clients!$C$5:$C$254,C33)&gt;1),"Duplicate phone","OK")))</f>
        <v>0</v>
      </c>
      <c r="AK33" s="49">
        <f>IF(B33="","",IF(AND(C33&lt;&gt;"",D33&lt;&gt;"",L33&lt;&gt;"",M33&lt;&gt;""),"OK","Add: "&amp;IF(C33="","phone ","")&amp;IF(D33="","email ","")&amp;IF(L33="","date ","")&amp;IF(M33="","status","")))</f>
        <v>0</v>
      </c>
      <c r="AL33" s="49">
        <f>IF(B33="","",IF(AG33&gt;0.5,"Overdue - chase payment",IF(AND(M33="Active",ISNUMBER(AC33),AC33&gt;InactiveDays),"Inactive - win back",IF(AND(M33="Active",S33&lt;&gt;"Signed"),"Action - contract not signed",IF(AND(M33="Prospective",AD33=""),"Action - follow up quote","OK")))))</f>
        <v>0</v>
      </c>
    </row>
    <row r="34" spans="1:38">
      <c r="A34" s="46">
        <f>IF(B34="","",ClientPrefix&amp;TEXT(ROW()-4,"0000"))</f>
        <v>0</v>
      </c>
      <c r="Y34" s="31">
        <f>IF(B34="","",COUNTIF(Pets!$C$5:$C$254,B34))</f>
        <v>0</v>
      </c>
      <c r="Z34" s="31">
        <f>IF(B34="","",COUNTIFS(Bookings!$C$5:$C$404,B34))</f>
        <v>0</v>
      </c>
      <c r="AA34" s="31">
        <f>IF(B34="","",COUNTIFS('Visit Log'!$D$5:$D$404,B34,'Visit Log'!$AE$5:$AE$404,"Completed"))</f>
        <v>0</v>
      </c>
      <c r="AB34" s="21">
        <f>IF(B34="","",IF(SUMPRODUCT(MAX((Bookings!$C$5:$C$404=B34)*(Bookings!$AM$5:$AM$404="Completed")*Bookings!$I$5:$I$404))=0,"",SUMPRODUCT(MAX((Bookings!$C$5:$C$404=B34)*(Bookings!$AM$5:$AM$404="Completed")*Bookings!$I$5:$I$404))))</f>
        <v>0</v>
      </c>
      <c r="AC34" s="31">
        <f>IF(AB34="","",TODAY()-AB34)</f>
        <v>0</v>
      </c>
      <c r="AD34" s="21">
        <f>IF(B34="","",IF(COUNTIFS(Bookings!$C$5:$C$404,B34,Bookings!$I$5:$I$404,"&gt;="&amp;TODAY(),Bookings!$AM$5:$AM$404,"&lt;&gt;Cancelled")=0,"",SUMPRODUCT(MIN(((Bookings!$C$5:$C$404=B34)*(Bookings!$I$5:$I$404&gt;=TODAY())*(Bookings!$AM$5:$AM$404&lt;&gt;"Cancelled"))*Bookings!$I$5:$I$404+(1-((Bookings!$C$5:$C$404=B34)*(Bookings!$I$5:$I$404&gt;=TODAY())*(Bookings!$AM$5:$AM$404&lt;&gt;"Cancelled")))*2958465))))</f>
        <v>0</v>
      </c>
      <c r="AE34" s="29">
        <f>IF(B34="","",SUMIFS(Payments!$L$5:$L$304,Payments!$C$5:$C$304,B34))</f>
        <v>0</v>
      </c>
      <c r="AF34" s="29">
        <f>IF(B34="","",SUMIFS(Invoices!$O$5:$O$304,Invoices!$D$5:$D$304,B34,Invoices!$T$5:$T$304,"&lt;&gt;Draft"))</f>
        <v>0</v>
      </c>
      <c r="AG34" s="29">
        <f>IF(B34="","",SUMIFS(Invoices!$S$5:$S$304,Invoices!$D$5:$D$304,B34,Invoices!$T$5:$T$304,"&lt;&gt;Cancelled"))</f>
        <v>0</v>
      </c>
      <c r="AH34" s="29">
        <f>IF(OR(Z34="",Z34=0),"",SUMIFS(Bookings!$AK$5:$AK$404,Bookings!$C$5:$C$404,B34,Bookings!$AM$5:$AM$404,"&lt;&gt;Cancelled")/Z34)</f>
        <v>0</v>
      </c>
      <c r="AI34" s="49">
        <f>IF(B34="","",IF(Z34&gt;=LoyaltyThreshold,"Loyalty discount","Standard"))</f>
        <v>0</v>
      </c>
      <c r="AJ34" s="49">
        <f>IF(B34="","",IF(COUNTIF(Clients!$B$5:$B$254,B34)&gt;1,"Duplicate name",IF(AND(C34&lt;&gt;"",COUNTIF(Clients!$C$5:$C$254,C34)&gt;1),"Duplicate phone","OK")))</f>
        <v>0</v>
      </c>
      <c r="AK34" s="49">
        <f>IF(B34="","",IF(AND(C34&lt;&gt;"",D34&lt;&gt;"",L34&lt;&gt;"",M34&lt;&gt;""),"OK","Add: "&amp;IF(C34="","phone ","")&amp;IF(D34="","email ","")&amp;IF(L34="","date ","")&amp;IF(M34="","status","")))</f>
        <v>0</v>
      </c>
      <c r="AL34" s="49">
        <f>IF(B34="","",IF(AG34&gt;0.5,"Overdue - chase payment",IF(AND(M34="Active",ISNUMBER(AC34),AC34&gt;InactiveDays),"Inactive - win back",IF(AND(M34="Active",S34&lt;&gt;"Signed"),"Action - contract not signed",IF(AND(M34="Prospective",AD34=""),"Action - follow up quote","OK")))))</f>
        <v>0</v>
      </c>
    </row>
    <row r="35" spans="1:38">
      <c r="A35" s="46">
        <f>IF(B35="","",ClientPrefix&amp;TEXT(ROW()-4,"0000"))</f>
        <v>0</v>
      </c>
      <c r="Y35" s="31">
        <f>IF(B35="","",COUNTIF(Pets!$C$5:$C$254,B35))</f>
        <v>0</v>
      </c>
      <c r="Z35" s="31">
        <f>IF(B35="","",COUNTIFS(Bookings!$C$5:$C$404,B35))</f>
        <v>0</v>
      </c>
      <c r="AA35" s="31">
        <f>IF(B35="","",COUNTIFS('Visit Log'!$D$5:$D$404,B35,'Visit Log'!$AE$5:$AE$404,"Completed"))</f>
        <v>0</v>
      </c>
      <c r="AB35" s="21">
        <f>IF(B35="","",IF(SUMPRODUCT(MAX((Bookings!$C$5:$C$404=B35)*(Bookings!$AM$5:$AM$404="Completed")*Bookings!$I$5:$I$404))=0,"",SUMPRODUCT(MAX((Bookings!$C$5:$C$404=B35)*(Bookings!$AM$5:$AM$404="Completed")*Bookings!$I$5:$I$404))))</f>
        <v>0</v>
      </c>
      <c r="AC35" s="31">
        <f>IF(AB35="","",TODAY()-AB35)</f>
        <v>0</v>
      </c>
      <c r="AD35" s="21">
        <f>IF(B35="","",IF(COUNTIFS(Bookings!$C$5:$C$404,B35,Bookings!$I$5:$I$404,"&gt;="&amp;TODAY(),Bookings!$AM$5:$AM$404,"&lt;&gt;Cancelled")=0,"",SUMPRODUCT(MIN(((Bookings!$C$5:$C$404=B35)*(Bookings!$I$5:$I$404&gt;=TODAY())*(Bookings!$AM$5:$AM$404&lt;&gt;"Cancelled"))*Bookings!$I$5:$I$404+(1-((Bookings!$C$5:$C$404=B35)*(Bookings!$I$5:$I$404&gt;=TODAY())*(Bookings!$AM$5:$AM$404&lt;&gt;"Cancelled")))*2958465))))</f>
        <v>0</v>
      </c>
      <c r="AE35" s="29">
        <f>IF(B35="","",SUMIFS(Payments!$L$5:$L$304,Payments!$C$5:$C$304,B35))</f>
        <v>0</v>
      </c>
      <c r="AF35" s="29">
        <f>IF(B35="","",SUMIFS(Invoices!$O$5:$O$304,Invoices!$D$5:$D$304,B35,Invoices!$T$5:$T$304,"&lt;&gt;Draft"))</f>
        <v>0</v>
      </c>
      <c r="AG35" s="29">
        <f>IF(B35="","",SUMIFS(Invoices!$S$5:$S$304,Invoices!$D$5:$D$304,B35,Invoices!$T$5:$T$304,"&lt;&gt;Cancelled"))</f>
        <v>0</v>
      </c>
      <c r="AH35" s="29">
        <f>IF(OR(Z35="",Z35=0),"",SUMIFS(Bookings!$AK$5:$AK$404,Bookings!$C$5:$C$404,B35,Bookings!$AM$5:$AM$404,"&lt;&gt;Cancelled")/Z35)</f>
        <v>0</v>
      </c>
      <c r="AI35" s="49">
        <f>IF(B35="","",IF(Z35&gt;=LoyaltyThreshold,"Loyalty discount","Standard"))</f>
        <v>0</v>
      </c>
      <c r="AJ35" s="49">
        <f>IF(B35="","",IF(COUNTIF(Clients!$B$5:$B$254,B35)&gt;1,"Duplicate name",IF(AND(C35&lt;&gt;"",COUNTIF(Clients!$C$5:$C$254,C35)&gt;1),"Duplicate phone","OK")))</f>
        <v>0</v>
      </c>
      <c r="AK35" s="49">
        <f>IF(B35="","",IF(AND(C35&lt;&gt;"",D35&lt;&gt;"",L35&lt;&gt;"",M35&lt;&gt;""),"OK","Add: "&amp;IF(C35="","phone ","")&amp;IF(D35="","email ","")&amp;IF(L35="","date ","")&amp;IF(M35="","status","")))</f>
        <v>0</v>
      </c>
      <c r="AL35" s="49">
        <f>IF(B35="","",IF(AG35&gt;0.5,"Overdue - chase payment",IF(AND(M35="Active",ISNUMBER(AC35),AC35&gt;InactiveDays),"Inactive - win back",IF(AND(M35="Active",S35&lt;&gt;"Signed"),"Action - contract not signed",IF(AND(M35="Prospective",AD35=""),"Action - follow up quote","OK")))))</f>
        <v>0</v>
      </c>
    </row>
    <row r="36" spans="1:38">
      <c r="A36" s="46">
        <f>IF(B36="","",ClientPrefix&amp;TEXT(ROW()-4,"0000"))</f>
        <v>0</v>
      </c>
      <c r="Y36" s="31">
        <f>IF(B36="","",COUNTIF(Pets!$C$5:$C$254,B36))</f>
        <v>0</v>
      </c>
      <c r="Z36" s="31">
        <f>IF(B36="","",COUNTIFS(Bookings!$C$5:$C$404,B36))</f>
        <v>0</v>
      </c>
      <c r="AA36" s="31">
        <f>IF(B36="","",COUNTIFS('Visit Log'!$D$5:$D$404,B36,'Visit Log'!$AE$5:$AE$404,"Completed"))</f>
        <v>0</v>
      </c>
      <c r="AB36" s="21">
        <f>IF(B36="","",IF(SUMPRODUCT(MAX((Bookings!$C$5:$C$404=B36)*(Bookings!$AM$5:$AM$404="Completed")*Bookings!$I$5:$I$404))=0,"",SUMPRODUCT(MAX((Bookings!$C$5:$C$404=B36)*(Bookings!$AM$5:$AM$404="Completed")*Bookings!$I$5:$I$404))))</f>
        <v>0</v>
      </c>
      <c r="AC36" s="31">
        <f>IF(AB36="","",TODAY()-AB36)</f>
        <v>0</v>
      </c>
      <c r="AD36" s="21">
        <f>IF(B36="","",IF(COUNTIFS(Bookings!$C$5:$C$404,B36,Bookings!$I$5:$I$404,"&gt;="&amp;TODAY(),Bookings!$AM$5:$AM$404,"&lt;&gt;Cancelled")=0,"",SUMPRODUCT(MIN(((Bookings!$C$5:$C$404=B36)*(Bookings!$I$5:$I$404&gt;=TODAY())*(Bookings!$AM$5:$AM$404&lt;&gt;"Cancelled"))*Bookings!$I$5:$I$404+(1-((Bookings!$C$5:$C$404=B36)*(Bookings!$I$5:$I$404&gt;=TODAY())*(Bookings!$AM$5:$AM$404&lt;&gt;"Cancelled")))*2958465))))</f>
        <v>0</v>
      </c>
      <c r="AE36" s="29">
        <f>IF(B36="","",SUMIFS(Payments!$L$5:$L$304,Payments!$C$5:$C$304,B36))</f>
        <v>0</v>
      </c>
      <c r="AF36" s="29">
        <f>IF(B36="","",SUMIFS(Invoices!$O$5:$O$304,Invoices!$D$5:$D$304,B36,Invoices!$T$5:$T$304,"&lt;&gt;Draft"))</f>
        <v>0</v>
      </c>
      <c r="AG36" s="29">
        <f>IF(B36="","",SUMIFS(Invoices!$S$5:$S$304,Invoices!$D$5:$D$304,B36,Invoices!$T$5:$T$304,"&lt;&gt;Cancelled"))</f>
        <v>0</v>
      </c>
      <c r="AH36" s="29">
        <f>IF(OR(Z36="",Z36=0),"",SUMIFS(Bookings!$AK$5:$AK$404,Bookings!$C$5:$C$404,B36,Bookings!$AM$5:$AM$404,"&lt;&gt;Cancelled")/Z36)</f>
        <v>0</v>
      </c>
      <c r="AI36" s="49">
        <f>IF(B36="","",IF(Z36&gt;=LoyaltyThreshold,"Loyalty discount","Standard"))</f>
        <v>0</v>
      </c>
      <c r="AJ36" s="49">
        <f>IF(B36="","",IF(COUNTIF(Clients!$B$5:$B$254,B36)&gt;1,"Duplicate name",IF(AND(C36&lt;&gt;"",COUNTIF(Clients!$C$5:$C$254,C36)&gt;1),"Duplicate phone","OK")))</f>
        <v>0</v>
      </c>
      <c r="AK36" s="49">
        <f>IF(B36="","",IF(AND(C36&lt;&gt;"",D36&lt;&gt;"",L36&lt;&gt;"",M36&lt;&gt;""),"OK","Add: "&amp;IF(C36="","phone ","")&amp;IF(D36="","email ","")&amp;IF(L36="","date ","")&amp;IF(M36="","status","")))</f>
        <v>0</v>
      </c>
      <c r="AL36" s="49">
        <f>IF(B36="","",IF(AG36&gt;0.5,"Overdue - chase payment",IF(AND(M36="Active",ISNUMBER(AC36),AC36&gt;InactiveDays),"Inactive - win back",IF(AND(M36="Active",S36&lt;&gt;"Signed"),"Action - contract not signed",IF(AND(M36="Prospective",AD36=""),"Action - follow up quote","OK")))))</f>
        <v>0</v>
      </c>
    </row>
    <row r="37" spans="1:38">
      <c r="A37" s="46">
        <f>IF(B37="","",ClientPrefix&amp;TEXT(ROW()-4,"0000"))</f>
        <v>0</v>
      </c>
      <c r="Y37" s="31">
        <f>IF(B37="","",COUNTIF(Pets!$C$5:$C$254,B37))</f>
        <v>0</v>
      </c>
      <c r="Z37" s="31">
        <f>IF(B37="","",COUNTIFS(Bookings!$C$5:$C$404,B37))</f>
        <v>0</v>
      </c>
      <c r="AA37" s="31">
        <f>IF(B37="","",COUNTIFS('Visit Log'!$D$5:$D$404,B37,'Visit Log'!$AE$5:$AE$404,"Completed"))</f>
        <v>0</v>
      </c>
      <c r="AB37" s="21">
        <f>IF(B37="","",IF(SUMPRODUCT(MAX((Bookings!$C$5:$C$404=B37)*(Bookings!$AM$5:$AM$404="Completed")*Bookings!$I$5:$I$404))=0,"",SUMPRODUCT(MAX((Bookings!$C$5:$C$404=B37)*(Bookings!$AM$5:$AM$404="Completed")*Bookings!$I$5:$I$404))))</f>
        <v>0</v>
      </c>
      <c r="AC37" s="31">
        <f>IF(AB37="","",TODAY()-AB37)</f>
        <v>0</v>
      </c>
      <c r="AD37" s="21">
        <f>IF(B37="","",IF(COUNTIFS(Bookings!$C$5:$C$404,B37,Bookings!$I$5:$I$404,"&gt;="&amp;TODAY(),Bookings!$AM$5:$AM$404,"&lt;&gt;Cancelled")=0,"",SUMPRODUCT(MIN(((Bookings!$C$5:$C$404=B37)*(Bookings!$I$5:$I$404&gt;=TODAY())*(Bookings!$AM$5:$AM$404&lt;&gt;"Cancelled"))*Bookings!$I$5:$I$404+(1-((Bookings!$C$5:$C$404=B37)*(Bookings!$I$5:$I$404&gt;=TODAY())*(Bookings!$AM$5:$AM$404&lt;&gt;"Cancelled")))*2958465))))</f>
        <v>0</v>
      </c>
      <c r="AE37" s="29">
        <f>IF(B37="","",SUMIFS(Payments!$L$5:$L$304,Payments!$C$5:$C$304,B37))</f>
        <v>0</v>
      </c>
      <c r="AF37" s="29">
        <f>IF(B37="","",SUMIFS(Invoices!$O$5:$O$304,Invoices!$D$5:$D$304,B37,Invoices!$T$5:$T$304,"&lt;&gt;Draft"))</f>
        <v>0</v>
      </c>
      <c r="AG37" s="29">
        <f>IF(B37="","",SUMIFS(Invoices!$S$5:$S$304,Invoices!$D$5:$D$304,B37,Invoices!$T$5:$T$304,"&lt;&gt;Cancelled"))</f>
        <v>0</v>
      </c>
      <c r="AH37" s="29">
        <f>IF(OR(Z37="",Z37=0),"",SUMIFS(Bookings!$AK$5:$AK$404,Bookings!$C$5:$C$404,B37,Bookings!$AM$5:$AM$404,"&lt;&gt;Cancelled")/Z37)</f>
        <v>0</v>
      </c>
      <c r="AI37" s="49">
        <f>IF(B37="","",IF(Z37&gt;=LoyaltyThreshold,"Loyalty discount","Standard"))</f>
        <v>0</v>
      </c>
      <c r="AJ37" s="49">
        <f>IF(B37="","",IF(COUNTIF(Clients!$B$5:$B$254,B37)&gt;1,"Duplicate name",IF(AND(C37&lt;&gt;"",COUNTIF(Clients!$C$5:$C$254,C37)&gt;1),"Duplicate phone","OK")))</f>
        <v>0</v>
      </c>
      <c r="AK37" s="49">
        <f>IF(B37="","",IF(AND(C37&lt;&gt;"",D37&lt;&gt;"",L37&lt;&gt;"",M37&lt;&gt;""),"OK","Add: "&amp;IF(C37="","phone ","")&amp;IF(D37="","email ","")&amp;IF(L37="","date ","")&amp;IF(M37="","status","")))</f>
        <v>0</v>
      </c>
      <c r="AL37" s="49">
        <f>IF(B37="","",IF(AG37&gt;0.5,"Overdue - chase payment",IF(AND(M37="Active",ISNUMBER(AC37),AC37&gt;InactiveDays),"Inactive - win back",IF(AND(M37="Active",S37&lt;&gt;"Signed"),"Action - contract not signed",IF(AND(M37="Prospective",AD37=""),"Action - follow up quote","OK")))))</f>
        <v>0</v>
      </c>
    </row>
    <row r="38" spans="1:38">
      <c r="A38" s="46">
        <f>IF(B38="","",ClientPrefix&amp;TEXT(ROW()-4,"0000"))</f>
        <v>0</v>
      </c>
      <c r="Y38" s="31">
        <f>IF(B38="","",COUNTIF(Pets!$C$5:$C$254,B38))</f>
        <v>0</v>
      </c>
      <c r="Z38" s="31">
        <f>IF(B38="","",COUNTIFS(Bookings!$C$5:$C$404,B38))</f>
        <v>0</v>
      </c>
      <c r="AA38" s="31">
        <f>IF(B38="","",COUNTIFS('Visit Log'!$D$5:$D$404,B38,'Visit Log'!$AE$5:$AE$404,"Completed"))</f>
        <v>0</v>
      </c>
      <c r="AB38" s="21">
        <f>IF(B38="","",IF(SUMPRODUCT(MAX((Bookings!$C$5:$C$404=B38)*(Bookings!$AM$5:$AM$404="Completed")*Bookings!$I$5:$I$404))=0,"",SUMPRODUCT(MAX((Bookings!$C$5:$C$404=B38)*(Bookings!$AM$5:$AM$404="Completed")*Bookings!$I$5:$I$404))))</f>
        <v>0</v>
      </c>
      <c r="AC38" s="31">
        <f>IF(AB38="","",TODAY()-AB38)</f>
        <v>0</v>
      </c>
      <c r="AD38" s="21">
        <f>IF(B38="","",IF(COUNTIFS(Bookings!$C$5:$C$404,B38,Bookings!$I$5:$I$404,"&gt;="&amp;TODAY(),Bookings!$AM$5:$AM$404,"&lt;&gt;Cancelled")=0,"",SUMPRODUCT(MIN(((Bookings!$C$5:$C$404=B38)*(Bookings!$I$5:$I$404&gt;=TODAY())*(Bookings!$AM$5:$AM$404&lt;&gt;"Cancelled"))*Bookings!$I$5:$I$404+(1-((Bookings!$C$5:$C$404=B38)*(Bookings!$I$5:$I$404&gt;=TODAY())*(Bookings!$AM$5:$AM$404&lt;&gt;"Cancelled")))*2958465))))</f>
        <v>0</v>
      </c>
      <c r="AE38" s="29">
        <f>IF(B38="","",SUMIFS(Payments!$L$5:$L$304,Payments!$C$5:$C$304,B38))</f>
        <v>0</v>
      </c>
      <c r="AF38" s="29">
        <f>IF(B38="","",SUMIFS(Invoices!$O$5:$O$304,Invoices!$D$5:$D$304,B38,Invoices!$T$5:$T$304,"&lt;&gt;Draft"))</f>
        <v>0</v>
      </c>
      <c r="AG38" s="29">
        <f>IF(B38="","",SUMIFS(Invoices!$S$5:$S$304,Invoices!$D$5:$D$304,B38,Invoices!$T$5:$T$304,"&lt;&gt;Cancelled"))</f>
        <v>0</v>
      </c>
      <c r="AH38" s="29">
        <f>IF(OR(Z38="",Z38=0),"",SUMIFS(Bookings!$AK$5:$AK$404,Bookings!$C$5:$C$404,B38,Bookings!$AM$5:$AM$404,"&lt;&gt;Cancelled")/Z38)</f>
        <v>0</v>
      </c>
      <c r="AI38" s="49">
        <f>IF(B38="","",IF(Z38&gt;=LoyaltyThreshold,"Loyalty discount","Standard"))</f>
        <v>0</v>
      </c>
      <c r="AJ38" s="49">
        <f>IF(B38="","",IF(COUNTIF(Clients!$B$5:$B$254,B38)&gt;1,"Duplicate name",IF(AND(C38&lt;&gt;"",COUNTIF(Clients!$C$5:$C$254,C38)&gt;1),"Duplicate phone","OK")))</f>
        <v>0</v>
      </c>
      <c r="AK38" s="49">
        <f>IF(B38="","",IF(AND(C38&lt;&gt;"",D38&lt;&gt;"",L38&lt;&gt;"",M38&lt;&gt;""),"OK","Add: "&amp;IF(C38="","phone ","")&amp;IF(D38="","email ","")&amp;IF(L38="","date ","")&amp;IF(M38="","status","")))</f>
        <v>0</v>
      </c>
      <c r="AL38" s="49">
        <f>IF(B38="","",IF(AG38&gt;0.5,"Overdue - chase payment",IF(AND(M38="Active",ISNUMBER(AC38),AC38&gt;InactiveDays),"Inactive - win back",IF(AND(M38="Active",S38&lt;&gt;"Signed"),"Action - contract not signed",IF(AND(M38="Prospective",AD38=""),"Action - follow up quote","OK")))))</f>
        <v>0</v>
      </c>
    </row>
    <row r="39" spans="1:38">
      <c r="A39" s="46">
        <f>IF(B39="","",ClientPrefix&amp;TEXT(ROW()-4,"0000"))</f>
        <v>0</v>
      </c>
      <c r="Y39" s="31">
        <f>IF(B39="","",COUNTIF(Pets!$C$5:$C$254,B39))</f>
        <v>0</v>
      </c>
      <c r="Z39" s="31">
        <f>IF(B39="","",COUNTIFS(Bookings!$C$5:$C$404,B39))</f>
        <v>0</v>
      </c>
      <c r="AA39" s="31">
        <f>IF(B39="","",COUNTIFS('Visit Log'!$D$5:$D$404,B39,'Visit Log'!$AE$5:$AE$404,"Completed"))</f>
        <v>0</v>
      </c>
      <c r="AB39" s="21">
        <f>IF(B39="","",IF(SUMPRODUCT(MAX((Bookings!$C$5:$C$404=B39)*(Bookings!$AM$5:$AM$404="Completed")*Bookings!$I$5:$I$404))=0,"",SUMPRODUCT(MAX((Bookings!$C$5:$C$404=B39)*(Bookings!$AM$5:$AM$404="Completed")*Bookings!$I$5:$I$404))))</f>
        <v>0</v>
      </c>
      <c r="AC39" s="31">
        <f>IF(AB39="","",TODAY()-AB39)</f>
        <v>0</v>
      </c>
      <c r="AD39" s="21">
        <f>IF(B39="","",IF(COUNTIFS(Bookings!$C$5:$C$404,B39,Bookings!$I$5:$I$404,"&gt;="&amp;TODAY(),Bookings!$AM$5:$AM$404,"&lt;&gt;Cancelled")=0,"",SUMPRODUCT(MIN(((Bookings!$C$5:$C$404=B39)*(Bookings!$I$5:$I$404&gt;=TODAY())*(Bookings!$AM$5:$AM$404&lt;&gt;"Cancelled"))*Bookings!$I$5:$I$404+(1-((Bookings!$C$5:$C$404=B39)*(Bookings!$I$5:$I$404&gt;=TODAY())*(Bookings!$AM$5:$AM$404&lt;&gt;"Cancelled")))*2958465))))</f>
        <v>0</v>
      </c>
      <c r="AE39" s="29">
        <f>IF(B39="","",SUMIFS(Payments!$L$5:$L$304,Payments!$C$5:$C$304,B39))</f>
        <v>0</v>
      </c>
      <c r="AF39" s="29">
        <f>IF(B39="","",SUMIFS(Invoices!$O$5:$O$304,Invoices!$D$5:$D$304,B39,Invoices!$T$5:$T$304,"&lt;&gt;Draft"))</f>
        <v>0</v>
      </c>
      <c r="AG39" s="29">
        <f>IF(B39="","",SUMIFS(Invoices!$S$5:$S$304,Invoices!$D$5:$D$304,B39,Invoices!$T$5:$T$304,"&lt;&gt;Cancelled"))</f>
        <v>0</v>
      </c>
      <c r="AH39" s="29">
        <f>IF(OR(Z39="",Z39=0),"",SUMIFS(Bookings!$AK$5:$AK$404,Bookings!$C$5:$C$404,B39,Bookings!$AM$5:$AM$404,"&lt;&gt;Cancelled")/Z39)</f>
        <v>0</v>
      </c>
      <c r="AI39" s="49">
        <f>IF(B39="","",IF(Z39&gt;=LoyaltyThreshold,"Loyalty discount","Standard"))</f>
        <v>0</v>
      </c>
      <c r="AJ39" s="49">
        <f>IF(B39="","",IF(COUNTIF(Clients!$B$5:$B$254,B39)&gt;1,"Duplicate name",IF(AND(C39&lt;&gt;"",COUNTIF(Clients!$C$5:$C$254,C39)&gt;1),"Duplicate phone","OK")))</f>
        <v>0</v>
      </c>
      <c r="AK39" s="49">
        <f>IF(B39="","",IF(AND(C39&lt;&gt;"",D39&lt;&gt;"",L39&lt;&gt;"",M39&lt;&gt;""),"OK","Add: "&amp;IF(C39="","phone ","")&amp;IF(D39="","email ","")&amp;IF(L39="","date ","")&amp;IF(M39="","status","")))</f>
        <v>0</v>
      </c>
      <c r="AL39" s="49">
        <f>IF(B39="","",IF(AG39&gt;0.5,"Overdue - chase payment",IF(AND(M39="Active",ISNUMBER(AC39),AC39&gt;InactiveDays),"Inactive - win back",IF(AND(M39="Active",S39&lt;&gt;"Signed"),"Action - contract not signed",IF(AND(M39="Prospective",AD39=""),"Action - follow up quote","OK")))))</f>
        <v>0</v>
      </c>
    </row>
    <row r="40" spans="1:38">
      <c r="A40" s="46">
        <f>IF(B40="","",ClientPrefix&amp;TEXT(ROW()-4,"0000"))</f>
        <v>0</v>
      </c>
      <c r="Y40" s="31">
        <f>IF(B40="","",COUNTIF(Pets!$C$5:$C$254,B40))</f>
        <v>0</v>
      </c>
      <c r="Z40" s="31">
        <f>IF(B40="","",COUNTIFS(Bookings!$C$5:$C$404,B40))</f>
        <v>0</v>
      </c>
      <c r="AA40" s="31">
        <f>IF(B40="","",COUNTIFS('Visit Log'!$D$5:$D$404,B40,'Visit Log'!$AE$5:$AE$404,"Completed"))</f>
        <v>0</v>
      </c>
      <c r="AB40" s="21">
        <f>IF(B40="","",IF(SUMPRODUCT(MAX((Bookings!$C$5:$C$404=B40)*(Bookings!$AM$5:$AM$404="Completed")*Bookings!$I$5:$I$404))=0,"",SUMPRODUCT(MAX((Bookings!$C$5:$C$404=B40)*(Bookings!$AM$5:$AM$404="Completed")*Bookings!$I$5:$I$404))))</f>
        <v>0</v>
      </c>
      <c r="AC40" s="31">
        <f>IF(AB40="","",TODAY()-AB40)</f>
        <v>0</v>
      </c>
      <c r="AD40" s="21">
        <f>IF(B40="","",IF(COUNTIFS(Bookings!$C$5:$C$404,B40,Bookings!$I$5:$I$404,"&gt;="&amp;TODAY(),Bookings!$AM$5:$AM$404,"&lt;&gt;Cancelled")=0,"",SUMPRODUCT(MIN(((Bookings!$C$5:$C$404=B40)*(Bookings!$I$5:$I$404&gt;=TODAY())*(Bookings!$AM$5:$AM$404&lt;&gt;"Cancelled"))*Bookings!$I$5:$I$404+(1-((Bookings!$C$5:$C$404=B40)*(Bookings!$I$5:$I$404&gt;=TODAY())*(Bookings!$AM$5:$AM$404&lt;&gt;"Cancelled")))*2958465))))</f>
        <v>0</v>
      </c>
      <c r="AE40" s="29">
        <f>IF(B40="","",SUMIFS(Payments!$L$5:$L$304,Payments!$C$5:$C$304,B40))</f>
        <v>0</v>
      </c>
      <c r="AF40" s="29">
        <f>IF(B40="","",SUMIFS(Invoices!$O$5:$O$304,Invoices!$D$5:$D$304,B40,Invoices!$T$5:$T$304,"&lt;&gt;Draft"))</f>
        <v>0</v>
      </c>
      <c r="AG40" s="29">
        <f>IF(B40="","",SUMIFS(Invoices!$S$5:$S$304,Invoices!$D$5:$D$304,B40,Invoices!$T$5:$T$304,"&lt;&gt;Cancelled"))</f>
        <v>0</v>
      </c>
      <c r="AH40" s="29">
        <f>IF(OR(Z40="",Z40=0),"",SUMIFS(Bookings!$AK$5:$AK$404,Bookings!$C$5:$C$404,B40,Bookings!$AM$5:$AM$404,"&lt;&gt;Cancelled")/Z40)</f>
        <v>0</v>
      </c>
      <c r="AI40" s="49">
        <f>IF(B40="","",IF(Z40&gt;=LoyaltyThreshold,"Loyalty discount","Standard"))</f>
        <v>0</v>
      </c>
      <c r="AJ40" s="49">
        <f>IF(B40="","",IF(COUNTIF(Clients!$B$5:$B$254,B40)&gt;1,"Duplicate name",IF(AND(C40&lt;&gt;"",COUNTIF(Clients!$C$5:$C$254,C40)&gt;1),"Duplicate phone","OK")))</f>
        <v>0</v>
      </c>
      <c r="AK40" s="49">
        <f>IF(B40="","",IF(AND(C40&lt;&gt;"",D40&lt;&gt;"",L40&lt;&gt;"",M40&lt;&gt;""),"OK","Add: "&amp;IF(C40="","phone ","")&amp;IF(D40="","email ","")&amp;IF(L40="","date ","")&amp;IF(M40="","status","")))</f>
        <v>0</v>
      </c>
      <c r="AL40" s="49">
        <f>IF(B40="","",IF(AG40&gt;0.5,"Overdue - chase payment",IF(AND(M40="Active",ISNUMBER(AC40),AC40&gt;InactiveDays),"Inactive - win back",IF(AND(M40="Active",S40&lt;&gt;"Signed"),"Action - contract not signed",IF(AND(M40="Prospective",AD40=""),"Action - follow up quote","OK")))))</f>
        <v>0</v>
      </c>
    </row>
    <row r="41" spans="1:38">
      <c r="A41" s="46">
        <f>IF(B41="","",ClientPrefix&amp;TEXT(ROW()-4,"0000"))</f>
        <v>0</v>
      </c>
      <c r="Y41" s="31">
        <f>IF(B41="","",COUNTIF(Pets!$C$5:$C$254,B41))</f>
        <v>0</v>
      </c>
      <c r="Z41" s="31">
        <f>IF(B41="","",COUNTIFS(Bookings!$C$5:$C$404,B41))</f>
        <v>0</v>
      </c>
      <c r="AA41" s="31">
        <f>IF(B41="","",COUNTIFS('Visit Log'!$D$5:$D$404,B41,'Visit Log'!$AE$5:$AE$404,"Completed"))</f>
        <v>0</v>
      </c>
      <c r="AB41" s="21">
        <f>IF(B41="","",IF(SUMPRODUCT(MAX((Bookings!$C$5:$C$404=B41)*(Bookings!$AM$5:$AM$404="Completed")*Bookings!$I$5:$I$404))=0,"",SUMPRODUCT(MAX((Bookings!$C$5:$C$404=B41)*(Bookings!$AM$5:$AM$404="Completed")*Bookings!$I$5:$I$404))))</f>
        <v>0</v>
      </c>
      <c r="AC41" s="31">
        <f>IF(AB41="","",TODAY()-AB41)</f>
        <v>0</v>
      </c>
      <c r="AD41" s="21">
        <f>IF(B41="","",IF(COUNTIFS(Bookings!$C$5:$C$404,B41,Bookings!$I$5:$I$404,"&gt;="&amp;TODAY(),Bookings!$AM$5:$AM$404,"&lt;&gt;Cancelled")=0,"",SUMPRODUCT(MIN(((Bookings!$C$5:$C$404=B41)*(Bookings!$I$5:$I$404&gt;=TODAY())*(Bookings!$AM$5:$AM$404&lt;&gt;"Cancelled"))*Bookings!$I$5:$I$404+(1-((Bookings!$C$5:$C$404=B41)*(Bookings!$I$5:$I$404&gt;=TODAY())*(Bookings!$AM$5:$AM$404&lt;&gt;"Cancelled")))*2958465))))</f>
        <v>0</v>
      </c>
      <c r="AE41" s="29">
        <f>IF(B41="","",SUMIFS(Payments!$L$5:$L$304,Payments!$C$5:$C$304,B41))</f>
        <v>0</v>
      </c>
      <c r="AF41" s="29">
        <f>IF(B41="","",SUMIFS(Invoices!$O$5:$O$304,Invoices!$D$5:$D$304,B41,Invoices!$T$5:$T$304,"&lt;&gt;Draft"))</f>
        <v>0</v>
      </c>
      <c r="AG41" s="29">
        <f>IF(B41="","",SUMIFS(Invoices!$S$5:$S$304,Invoices!$D$5:$D$304,B41,Invoices!$T$5:$T$304,"&lt;&gt;Cancelled"))</f>
        <v>0</v>
      </c>
      <c r="AH41" s="29">
        <f>IF(OR(Z41="",Z41=0),"",SUMIFS(Bookings!$AK$5:$AK$404,Bookings!$C$5:$C$404,B41,Bookings!$AM$5:$AM$404,"&lt;&gt;Cancelled")/Z41)</f>
        <v>0</v>
      </c>
      <c r="AI41" s="49">
        <f>IF(B41="","",IF(Z41&gt;=LoyaltyThreshold,"Loyalty discount","Standard"))</f>
        <v>0</v>
      </c>
      <c r="AJ41" s="49">
        <f>IF(B41="","",IF(COUNTIF(Clients!$B$5:$B$254,B41)&gt;1,"Duplicate name",IF(AND(C41&lt;&gt;"",COUNTIF(Clients!$C$5:$C$254,C41)&gt;1),"Duplicate phone","OK")))</f>
        <v>0</v>
      </c>
      <c r="AK41" s="49">
        <f>IF(B41="","",IF(AND(C41&lt;&gt;"",D41&lt;&gt;"",L41&lt;&gt;"",M41&lt;&gt;""),"OK","Add: "&amp;IF(C41="","phone ","")&amp;IF(D41="","email ","")&amp;IF(L41="","date ","")&amp;IF(M41="","status","")))</f>
        <v>0</v>
      </c>
      <c r="AL41" s="49">
        <f>IF(B41="","",IF(AG41&gt;0.5,"Overdue - chase payment",IF(AND(M41="Active",ISNUMBER(AC41),AC41&gt;InactiveDays),"Inactive - win back",IF(AND(M41="Active",S41&lt;&gt;"Signed"),"Action - contract not signed",IF(AND(M41="Prospective",AD41=""),"Action - follow up quote","OK")))))</f>
        <v>0</v>
      </c>
    </row>
    <row r="42" spans="1:38">
      <c r="A42" s="46">
        <f>IF(B42="","",ClientPrefix&amp;TEXT(ROW()-4,"0000"))</f>
        <v>0</v>
      </c>
      <c r="Y42" s="31">
        <f>IF(B42="","",COUNTIF(Pets!$C$5:$C$254,B42))</f>
        <v>0</v>
      </c>
      <c r="Z42" s="31">
        <f>IF(B42="","",COUNTIFS(Bookings!$C$5:$C$404,B42))</f>
        <v>0</v>
      </c>
      <c r="AA42" s="31">
        <f>IF(B42="","",COUNTIFS('Visit Log'!$D$5:$D$404,B42,'Visit Log'!$AE$5:$AE$404,"Completed"))</f>
        <v>0</v>
      </c>
      <c r="AB42" s="21">
        <f>IF(B42="","",IF(SUMPRODUCT(MAX((Bookings!$C$5:$C$404=B42)*(Bookings!$AM$5:$AM$404="Completed")*Bookings!$I$5:$I$404))=0,"",SUMPRODUCT(MAX((Bookings!$C$5:$C$404=B42)*(Bookings!$AM$5:$AM$404="Completed")*Bookings!$I$5:$I$404))))</f>
        <v>0</v>
      </c>
      <c r="AC42" s="31">
        <f>IF(AB42="","",TODAY()-AB42)</f>
        <v>0</v>
      </c>
      <c r="AD42" s="21">
        <f>IF(B42="","",IF(COUNTIFS(Bookings!$C$5:$C$404,B42,Bookings!$I$5:$I$404,"&gt;="&amp;TODAY(),Bookings!$AM$5:$AM$404,"&lt;&gt;Cancelled")=0,"",SUMPRODUCT(MIN(((Bookings!$C$5:$C$404=B42)*(Bookings!$I$5:$I$404&gt;=TODAY())*(Bookings!$AM$5:$AM$404&lt;&gt;"Cancelled"))*Bookings!$I$5:$I$404+(1-((Bookings!$C$5:$C$404=B42)*(Bookings!$I$5:$I$404&gt;=TODAY())*(Bookings!$AM$5:$AM$404&lt;&gt;"Cancelled")))*2958465))))</f>
        <v>0</v>
      </c>
      <c r="AE42" s="29">
        <f>IF(B42="","",SUMIFS(Payments!$L$5:$L$304,Payments!$C$5:$C$304,B42))</f>
        <v>0</v>
      </c>
      <c r="AF42" s="29">
        <f>IF(B42="","",SUMIFS(Invoices!$O$5:$O$304,Invoices!$D$5:$D$304,B42,Invoices!$T$5:$T$304,"&lt;&gt;Draft"))</f>
        <v>0</v>
      </c>
      <c r="AG42" s="29">
        <f>IF(B42="","",SUMIFS(Invoices!$S$5:$S$304,Invoices!$D$5:$D$304,B42,Invoices!$T$5:$T$304,"&lt;&gt;Cancelled"))</f>
        <v>0</v>
      </c>
      <c r="AH42" s="29">
        <f>IF(OR(Z42="",Z42=0),"",SUMIFS(Bookings!$AK$5:$AK$404,Bookings!$C$5:$C$404,B42,Bookings!$AM$5:$AM$404,"&lt;&gt;Cancelled")/Z42)</f>
        <v>0</v>
      </c>
      <c r="AI42" s="49">
        <f>IF(B42="","",IF(Z42&gt;=LoyaltyThreshold,"Loyalty discount","Standard"))</f>
        <v>0</v>
      </c>
      <c r="AJ42" s="49">
        <f>IF(B42="","",IF(COUNTIF(Clients!$B$5:$B$254,B42)&gt;1,"Duplicate name",IF(AND(C42&lt;&gt;"",COUNTIF(Clients!$C$5:$C$254,C42)&gt;1),"Duplicate phone","OK")))</f>
        <v>0</v>
      </c>
      <c r="AK42" s="49">
        <f>IF(B42="","",IF(AND(C42&lt;&gt;"",D42&lt;&gt;"",L42&lt;&gt;"",M42&lt;&gt;""),"OK","Add: "&amp;IF(C42="","phone ","")&amp;IF(D42="","email ","")&amp;IF(L42="","date ","")&amp;IF(M42="","status","")))</f>
        <v>0</v>
      </c>
      <c r="AL42" s="49">
        <f>IF(B42="","",IF(AG42&gt;0.5,"Overdue - chase payment",IF(AND(M42="Active",ISNUMBER(AC42),AC42&gt;InactiveDays),"Inactive - win back",IF(AND(M42="Active",S42&lt;&gt;"Signed"),"Action - contract not signed",IF(AND(M42="Prospective",AD42=""),"Action - follow up quote","OK")))))</f>
        <v>0</v>
      </c>
    </row>
    <row r="43" spans="1:38">
      <c r="A43" s="46">
        <f>IF(B43="","",ClientPrefix&amp;TEXT(ROW()-4,"0000"))</f>
        <v>0</v>
      </c>
      <c r="Y43" s="31">
        <f>IF(B43="","",COUNTIF(Pets!$C$5:$C$254,B43))</f>
        <v>0</v>
      </c>
      <c r="Z43" s="31">
        <f>IF(B43="","",COUNTIFS(Bookings!$C$5:$C$404,B43))</f>
        <v>0</v>
      </c>
      <c r="AA43" s="31">
        <f>IF(B43="","",COUNTIFS('Visit Log'!$D$5:$D$404,B43,'Visit Log'!$AE$5:$AE$404,"Completed"))</f>
        <v>0</v>
      </c>
      <c r="AB43" s="21">
        <f>IF(B43="","",IF(SUMPRODUCT(MAX((Bookings!$C$5:$C$404=B43)*(Bookings!$AM$5:$AM$404="Completed")*Bookings!$I$5:$I$404))=0,"",SUMPRODUCT(MAX((Bookings!$C$5:$C$404=B43)*(Bookings!$AM$5:$AM$404="Completed")*Bookings!$I$5:$I$404))))</f>
        <v>0</v>
      </c>
      <c r="AC43" s="31">
        <f>IF(AB43="","",TODAY()-AB43)</f>
        <v>0</v>
      </c>
      <c r="AD43" s="21">
        <f>IF(B43="","",IF(COUNTIFS(Bookings!$C$5:$C$404,B43,Bookings!$I$5:$I$404,"&gt;="&amp;TODAY(),Bookings!$AM$5:$AM$404,"&lt;&gt;Cancelled")=0,"",SUMPRODUCT(MIN(((Bookings!$C$5:$C$404=B43)*(Bookings!$I$5:$I$404&gt;=TODAY())*(Bookings!$AM$5:$AM$404&lt;&gt;"Cancelled"))*Bookings!$I$5:$I$404+(1-((Bookings!$C$5:$C$404=B43)*(Bookings!$I$5:$I$404&gt;=TODAY())*(Bookings!$AM$5:$AM$404&lt;&gt;"Cancelled")))*2958465))))</f>
        <v>0</v>
      </c>
      <c r="AE43" s="29">
        <f>IF(B43="","",SUMIFS(Payments!$L$5:$L$304,Payments!$C$5:$C$304,B43))</f>
        <v>0</v>
      </c>
      <c r="AF43" s="29">
        <f>IF(B43="","",SUMIFS(Invoices!$O$5:$O$304,Invoices!$D$5:$D$304,B43,Invoices!$T$5:$T$304,"&lt;&gt;Draft"))</f>
        <v>0</v>
      </c>
      <c r="AG43" s="29">
        <f>IF(B43="","",SUMIFS(Invoices!$S$5:$S$304,Invoices!$D$5:$D$304,B43,Invoices!$T$5:$T$304,"&lt;&gt;Cancelled"))</f>
        <v>0</v>
      </c>
      <c r="AH43" s="29">
        <f>IF(OR(Z43="",Z43=0),"",SUMIFS(Bookings!$AK$5:$AK$404,Bookings!$C$5:$C$404,B43,Bookings!$AM$5:$AM$404,"&lt;&gt;Cancelled")/Z43)</f>
        <v>0</v>
      </c>
      <c r="AI43" s="49">
        <f>IF(B43="","",IF(Z43&gt;=LoyaltyThreshold,"Loyalty discount","Standard"))</f>
        <v>0</v>
      </c>
      <c r="AJ43" s="49">
        <f>IF(B43="","",IF(COUNTIF(Clients!$B$5:$B$254,B43)&gt;1,"Duplicate name",IF(AND(C43&lt;&gt;"",COUNTIF(Clients!$C$5:$C$254,C43)&gt;1),"Duplicate phone","OK")))</f>
        <v>0</v>
      </c>
      <c r="AK43" s="49">
        <f>IF(B43="","",IF(AND(C43&lt;&gt;"",D43&lt;&gt;"",L43&lt;&gt;"",M43&lt;&gt;""),"OK","Add: "&amp;IF(C43="","phone ","")&amp;IF(D43="","email ","")&amp;IF(L43="","date ","")&amp;IF(M43="","status","")))</f>
        <v>0</v>
      </c>
      <c r="AL43" s="49">
        <f>IF(B43="","",IF(AG43&gt;0.5,"Overdue - chase payment",IF(AND(M43="Active",ISNUMBER(AC43),AC43&gt;InactiveDays),"Inactive - win back",IF(AND(M43="Active",S43&lt;&gt;"Signed"),"Action - contract not signed",IF(AND(M43="Prospective",AD43=""),"Action - follow up quote","OK")))))</f>
        <v>0</v>
      </c>
    </row>
    <row r="44" spans="1:38">
      <c r="A44" s="46">
        <f>IF(B44="","",ClientPrefix&amp;TEXT(ROW()-4,"0000"))</f>
        <v>0</v>
      </c>
      <c r="Y44" s="31">
        <f>IF(B44="","",COUNTIF(Pets!$C$5:$C$254,B44))</f>
        <v>0</v>
      </c>
      <c r="Z44" s="31">
        <f>IF(B44="","",COUNTIFS(Bookings!$C$5:$C$404,B44))</f>
        <v>0</v>
      </c>
      <c r="AA44" s="31">
        <f>IF(B44="","",COUNTIFS('Visit Log'!$D$5:$D$404,B44,'Visit Log'!$AE$5:$AE$404,"Completed"))</f>
        <v>0</v>
      </c>
      <c r="AB44" s="21">
        <f>IF(B44="","",IF(SUMPRODUCT(MAX((Bookings!$C$5:$C$404=B44)*(Bookings!$AM$5:$AM$404="Completed")*Bookings!$I$5:$I$404))=0,"",SUMPRODUCT(MAX((Bookings!$C$5:$C$404=B44)*(Bookings!$AM$5:$AM$404="Completed")*Bookings!$I$5:$I$404))))</f>
        <v>0</v>
      </c>
      <c r="AC44" s="31">
        <f>IF(AB44="","",TODAY()-AB44)</f>
        <v>0</v>
      </c>
      <c r="AD44" s="21">
        <f>IF(B44="","",IF(COUNTIFS(Bookings!$C$5:$C$404,B44,Bookings!$I$5:$I$404,"&gt;="&amp;TODAY(),Bookings!$AM$5:$AM$404,"&lt;&gt;Cancelled")=0,"",SUMPRODUCT(MIN(((Bookings!$C$5:$C$404=B44)*(Bookings!$I$5:$I$404&gt;=TODAY())*(Bookings!$AM$5:$AM$404&lt;&gt;"Cancelled"))*Bookings!$I$5:$I$404+(1-((Bookings!$C$5:$C$404=B44)*(Bookings!$I$5:$I$404&gt;=TODAY())*(Bookings!$AM$5:$AM$404&lt;&gt;"Cancelled")))*2958465))))</f>
        <v>0</v>
      </c>
      <c r="AE44" s="29">
        <f>IF(B44="","",SUMIFS(Payments!$L$5:$L$304,Payments!$C$5:$C$304,B44))</f>
        <v>0</v>
      </c>
      <c r="AF44" s="29">
        <f>IF(B44="","",SUMIFS(Invoices!$O$5:$O$304,Invoices!$D$5:$D$304,B44,Invoices!$T$5:$T$304,"&lt;&gt;Draft"))</f>
        <v>0</v>
      </c>
      <c r="AG44" s="29">
        <f>IF(B44="","",SUMIFS(Invoices!$S$5:$S$304,Invoices!$D$5:$D$304,B44,Invoices!$T$5:$T$304,"&lt;&gt;Cancelled"))</f>
        <v>0</v>
      </c>
      <c r="AH44" s="29">
        <f>IF(OR(Z44="",Z44=0),"",SUMIFS(Bookings!$AK$5:$AK$404,Bookings!$C$5:$C$404,B44,Bookings!$AM$5:$AM$404,"&lt;&gt;Cancelled")/Z44)</f>
        <v>0</v>
      </c>
      <c r="AI44" s="49">
        <f>IF(B44="","",IF(Z44&gt;=LoyaltyThreshold,"Loyalty discount","Standard"))</f>
        <v>0</v>
      </c>
      <c r="AJ44" s="49">
        <f>IF(B44="","",IF(COUNTIF(Clients!$B$5:$B$254,B44)&gt;1,"Duplicate name",IF(AND(C44&lt;&gt;"",COUNTIF(Clients!$C$5:$C$254,C44)&gt;1),"Duplicate phone","OK")))</f>
        <v>0</v>
      </c>
      <c r="AK44" s="49">
        <f>IF(B44="","",IF(AND(C44&lt;&gt;"",D44&lt;&gt;"",L44&lt;&gt;"",M44&lt;&gt;""),"OK","Add: "&amp;IF(C44="","phone ","")&amp;IF(D44="","email ","")&amp;IF(L44="","date ","")&amp;IF(M44="","status","")))</f>
        <v>0</v>
      </c>
      <c r="AL44" s="49">
        <f>IF(B44="","",IF(AG44&gt;0.5,"Overdue - chase payment",IF(AND(M44="Active",ISNUMBER(AC44),AC44&gt;InactiveDays),"Inactive - win back",IF(AND(M44="Active",S44&lt;&gt;"Signed"),"Action - contract not signed",IF(AND(M44="Prospective",AD44=""),"Action - follow up quote","OK")))))</f>
        <v>0</v>
      </c>
    </row>
    <row r="45" spans="1:38">
      <c r="A45" s="46">
        <f>IF(B45="","",ClientPrefix&amp;TEXT(ROW()-4,"0000"))</f>
        <v>0</v>
      </c>
      <c r="Y45" s="31">
        <f>IF(B45="","",COUNTIF(Pets!$C$5:$C$254,B45))</f>
        <v>0</v>
      </c>
      <c r="Z45" s="31">
        <f>IF(B45="","",COUNTIFS(Bookings!$C$5:$C$404,B45))</f>
        <v>0</v>
      </c>
      <c r="AA45" s="31">
        <f>IF(B45="","",COUNTIFS('Visit Log'!$D$5:$D$404,B45,'Visit Log'!$AE$5:$AE$404,"Completed"))</f>
        <v>0</v>
      </c>
      <c r="AB45" s="21">
        <f>IF(B45="","",IF(SUMPRODUCT(MAX((Bookings!$C$5:$C$404=B45)*(Bookings!$AM$5:$AM$404="Completed")*Bookings!$I$5:$I$404))=0,"",SUMPRODUCT(MAX((Bookings!$C$5:$C$404=B45)*(Bookings!$AM$5:$AM$404="Completed")*Bookings!$I$5:$I$404))))</f>
        <v>0</v>
      </c>
      <c r="AC45" s="31">
        <f>IF(AB45="","",TODAY()-AB45)</f>
        <v>0</v>
      </c>
      <c r="AD45" s="21">
        <f>IF(B45="","",IF(COUNTIFS(Bookings!$C$5:$C$404,B45,Bookings!$I$5:$I$404,"&gt;="&amp;TODAY(),Bookings!$AM$5:$AM$404,"&lt;&gt;Cancelled")=0,"",SUMPRODUCT(MIN(((Bookings!$C$5:$C$404=B45)*(Bookings!$I$5:$I$404&gt;=TODAY())*(Bookings!$AM$5:$AM$404&lt;&gt;"Cancelled"))*Bookings!$I$5:$I$404+(1-((Bookings!$C$5:$C$404=B45)*(Bookings!$I$5:$I$404&gt;=TODAY())*(Bookings!$AM$5:$AM$404&lt;&gt;"Cancelled")))*2958465))))</f>
        <v>0</v>
      </c>
      <c r="AE45" s="29">
        <f>IF(B45="","",SUMIFS(Payments!$L$5:$L$304,Payments!$C$5:$C$304,B45))</f>
        <v>0</v>
      </c>
      <c r="AF45" s="29">
        <f>IF(B45="","",SUMIFS(Invoices!$O$5:$O$304,Invoices!$D$5:$D$304,B45,Invoices!$T$5:$T$304,"&lt;&gt;Draft"))</f>
        <v>0</v>
      </c>
      <c r="AG45" s="29">
        <f>IF(B45="","",SUMIFS(Invoices!$S$5:$S$304,Invoices!$D$5:$D$304,B45,Invoices!$T$5:$T$304,"&lt;&gt;Cancelled"))</f>
        <v>0</v>
      </c>
      <c r="AH45" s="29">
        <f>IF(OR(Z45="",Z45=0),"",SUMIFS(Bookings!$AK$5:$AK$404,Bookings!$C$5:$C$404,B45,Bookings!$AM$5:$AM$404,"&lt;&gt;Cancelled")/Z45)</f>
        <v>0</v>
      </c>
      <c r="AI45" s="49">
        <f>IF(B45="","",IF(Z45&gt;=LoyaltyThreshold,"Loyalty discount","Standard"))</f>
        <v>0</v>
      </c>
      <c r="AJ45" s="49">
        <f>IF(B45="","",IF(COUNTIF(Clients!$B$5:$B$254,B45)&gt;1,"Duplicate name",IF(AND(C45&lt;&gt;"",COUNTIF(Clients!$C$5:$C$254,C45)&gt;1),"Duplicate phone","OK")))</f>
        <v>0</v>
      </c>
      <c r="AK45" s="49">
        <f>IF(B45="","",IF(AND(C45&lt;&gt;"",D45&lt;&gt;"",L45&lt;&gt;"",M45&lt;&gt;""),"OK","Add: "&amp;IF(C45="","phone ","")&amp;IF(D45="","email ","")&amp;IF(L45="","date ","")&amp;IF(M45="","status","")))</f>
        <v>0</v>
      </c>
      <c r="AL45" s="49">
        <f>IF(B45="","",IF(AG45&gt;0.5,"Overdue - chase payment",IF(AND(M45="Active",ISNUMBER(AC45),AC45&gt;InactiveDays),"Inactive - win back",IF(AND(M45="Active",S45&lt;&gt;"Signed"),"Action - contract not signed",IF(AND(M45="Prospective",AD45=""),"Action - follow up quote","OK")))))</f>
        <v>0</v>
      </c>
    </row>
    <row r="46" spans="1:38">
      <c r="A46" s="46">
        <f>IF(B46="","",ClientPrefix&amp;TEXT(ROW()-4,"0000"))</f>
        <v>0</v>
      </c>
      <c r="Y46" s="31">
        <f>IF(B46="","",COUNTIF(Pets!$C$5:$C$254,B46))</f>
        <v>0</v>
      </c>
      <c r="Z46" s="31">
        <f>IF(B46="","",COUNTIFS(Bookings!$C$5:$C$404,B46))</f>
        <v>0</v>
      </c>
      <c r="AA46" s="31">
        <f>IF(B46="","",COUNTIFS('Visit Log'!$D$5:$D$404,B46,'Visit Log'!$AE$5:$AE$404,"Completed"))</f>
        <v>0</v>
      </c>
      <c r="AB46" s="21">
        <f>IF(B46="","",IF(SUMPRODUCT(MAX((Bookings!$C$5:$C$404=B46)*(Bookings!$AM$5:$AM$404="Completed")*Bookings!$I$5:$I$404))=0,"",SUMPRODUCT(MAX((Bookings!$C$5:$C$404=B46)*(Bookings!$AM$5:$AM$404="Completed")*Bookings!$I$5:$I$404))))</f>
        <v>0</v>
      </c>
      <c r="AC46" s="31">
        <f>IF(AB46="","",TODAY()-AB46)</f>
        <v>0</v>
      </c>
      <c r="AD46" s="21">
        <f>IF(B46="","",IF(COUNTIFS(Bookings!$C$5:$C$404,B46,Bookings!$I$5:$I$404,"&gt;="&amp;TODAY(),Bookings!$AM$5:$AM$404,"&lt;&gt;Cancelled")=0,"",SUMPRODUCT(MIN(((Bookings!$C$5:$C$404=B46)*(Bookings!$I$5:$I$404&gt;=TODAY())*(Bookings!$AM$5:$AM$404&lt;&gt;"Cancelled"))*Bookings!$I$5:$I$404+(1-((Bookings!$C$5:$C$404=B46)*(Bookings!$I$5:$I$404&gt;=TODAY())*(Bookings!$AM$5:$AM$404&lt;&gt;"Cancelled")))*2958465))))</f>
        <v>0</v>
      </c>
      <c r="AE46" s="29">
        <f>IF(B46="","",SUMIFS(Payments!$L$5:$L$304,Payments!$C$5:$C$304,B46))</f>
        <v>0</v>
      </c>
      <c r="AF46" s="29">
        <f>IF(B46="","",SUMIFS(Invoices!$O$5:$O$304,Invoices!$D$5:$D$304,B46,Invoices!$T$5:$T$304,"&lt;&gt;Draft"))</f>
        <v>0</v>
      </c>
      <c r="AG46" s="29">
        <f>IF(B46="","",SUMIFS(Invoices!$S$5:$S$304,Invoices!$D$5:$D$304,B46,Invoices!$T$5:$T$304,"&lt;&gt;Cancelled"))</f>
        <v>0</v>
      </c>
      <c r="AH46" s="29">
        <f>IF(OR(Z46="",Z46=0),"",SUMIFS(Bookings!$AK$5:$AK$404,Bookings!$C$5:$C$404,B46,Bookings!$AM$5:$AM$404,"&lt;&gt;Cancelled")/Z46)</f>
        <v>0</v>
      </c>
      <c r="AI46" s="49">
        <f>IF(B46="","",IF(Z46&gt;=LoyaltyThreshold,"Loyalty discount","Standard"))</f>
        <v>0</v>
      </c>
      <c r="AJ46" s="49">
        <f>IF(B46="","",IF(COUNTIF(Clients!$B$5:$B$254,B46)&gt;1,"Duplicate name",IF(AND(C46&lt;&gt;"",COUNTIF(Clients!$C$5:$C$254,C46)&gt;1),"Duplicate phone","OK")))</f>
        <v>0</v>
      </c>
      <c r="AK46" s="49">
        <f>IF(B46="","",IF(AND(C46&lt;&gt;"",D46&lt;&gt;"",L46&lt;&gt;"",M46&lt;&gt;""),"OK","Add: "&amp;IF(C46="","phone ","")&amp;IF(D46="","email ","")&amp;IF(L46="","date ","")&amp;IF(M46="","status","")))</f>
        <v>0</v>
      </c>
      <c r="AL46" s="49">
        <f>IF(B46="","",IF(AG46&gt;0.5,"Overdue - chase payment",IF(AND(M46="Active",ISNUMBER(AC46),AC46&gt;InactiveDays),"Inactive - win back",IF(AND(M46="Active",S46&lt;&gt;"Signed"),"Action - contract not signed",IF(AND(M46="Prospective",AD46=""),"Action - follow up quote","OK")))))</f>
        <v>0</v>
      </c>
    </row>
    <row r="47" spans="1:38">
      <c r="A47" s="46">
        <f>IF(B47="","",ClientPrefix&amp;TEXT(ROW()-4,"0000"))</f>
        <v>0</v>
      </c>
      <c r="Y47" s="31">
        <f>IF(B47="","",COUNTIF(Pets!$C$5:$C$254,B47))</f>
        <v>0</v>
      </c>
      <c r="Z47" s="31">
        <f>IF(B47="","",COUNTIFS(Bookings!$C$5:$C$404,B47))</f>
        <v>0</v>
      </c>
      <c r="AA47" s="31">
        <f>IF(B47="","",COUNTIFS('Visit Log'!$D$5:$D$404,B47,'Visit Log'!$AE$5:$AE$404,"Completed"))</f>
        <v>0</v>
      </c>
      <c r="AB47" s="21">
        <f>IF(B47="","",IF(SUMPRODUCT(MAX((Bookings!$C$5:$C$404=B47)*(Bookings!$AM$5:$AM$404="Completed")*Bookings!$I$5:$I$404))=0,"",SUMPRODUCT(MAX((Bookings!$C$5:$C$404=B47)*(Bookings!$AM$5:$AM$404="Completed")*Bookings!$I$5:$I$404))))</f>
        <v>0</v>
      </c>
      <c r="AC47" s="31">
        <f>IF(AB47="","",TODAY()-AB47)</f>
        <v>0</v>
      </c>
      <c r="AD47" s="21">
        <f>IF(B47="","",IF(COUNTIFS(Bookings!$C$5:$C$404,B47,Bookings!$I$5:$I$404,"&gt;="&amp;TODAY(),Bookings!$AM$5:$AM$404,"&lt;&gt;Cancelled")=0,"",SUMPRODUCT(MIN(((Bookings!$C$5:$C$404=B47)*(Bookings!$I$5:$I$404&gt;=TODAY())*(Bookings!$AM$5:$AM$404&lt;&gt;"Cancelled"))*Bookings!$I$5:$I$404+(1-((Bookings!$C$5:$C$404=B47)*(Bookings!$I$5:$I$404&gt;=TODAY())*(Bookings!$AM$5:$AM$404&lt;&gt;"Cancelled")))*2958465))))</f>
        <v>0</v>
      </c>
      <c r="AE47" s="29">
        <f>IF(B47="","",SUMIFS(Payments!$L$5:$L$304,Payments!$C$5:$C$304,B47))</f>
        <v>0</v>
      </c>
      <c r="AF47" s="29">
        <f>IF(B47="","",SUMIFS(Invoices!$O$5:$O$304,Invoices!$D$5:$D$304,B47,Invoices!$T$5:$T$304,"&lt;&gt;Draft"))</f>
        <v>0</v>
      </c>
      <c r="AG47" s="29">
        <f>IF(B47="","",SUMIFS(Invoices!$S$5:$S$304,Invoices!$D$5:$D$304,B47,Invoices!$T$5:$T$304,"&lt;&gt;Cancelled"))</f>
        <v>0</v>
      </c>
      <c r="AH47" s="29">
        <f>IF(OR(Z47="",Z47=0),"",SUMIFS(Bookings!$AK$5:$AK$404,Bookings!$C$5:$C$404,B47,Bookings!$AM$5:$AM$404,"&lt;&gt;Cancelled")/Z47)</f>
        <v>0</v>
      </c>
      <c r="AI47" s="49">
        <f>IF(B47="","",IF(Z47&gt;=LoyaltyThreshold,"Loyalty discount","Standard"))</f>
        <v>0</v>
      </c>
      <c r="AJ47" s="49">
        <f>IF(B47="","",IF(COUNTIF(Clients!$B$5:$B$254,B47)&gt;1,"Duplicate name",IF(AND(C47&lt;&gt;"",COUNTIF(Clients!$C$5:$C$254,C47)&gt;1),"Duplicate phone","OK")))</f>
        <v>0</v>
      </c>
      <c r="AK47" s="49">
        <f>IF(B47="","",IF(AND(C47&lt;&gt;"",D47&lt;&gt;"",L47&lt;&gt;"",M47&lt;&gt;""),"OK","Add: "&amp;IF(C47="","phone ","")&amp;IF(D47="","email ","")&amp;IF(L47="","date ","")&amp;IF(M47="","status","")))</f>
        <v>0</v>
      </c>
      <c r="AL47" s="49">
        <f>IF(B47="","",IF(AG47&gt;0.5,"Overdue - chase payment",IF(AND(M47="Active",ISNUMBER(AC47),AC47&gt;InactiveDays),"Inactive - win back",IF(AND(M47="Active",S47&lt;&gt;"Signed"),"Action - contract not signed",IF(AND(M47="Prospective",AD47=""),"Action - follow up quote","OK")))))</f>
        <v>0</v>
      </c>
    </row>
    <row r="48" spans="1:38">
      <c r="A48" s="46">
        <f>IF(B48="","",ClientPrefix&amp;TEXT(ROW()-4,"0000"))</f>
        <v>0</v>
      </c>
      <c r="Y48" s="31">
        <f>IF(B48="","",COUNTIF(Pets!$C$5:$C$254,B48))</f>
        <v>0</v>
      </c>
      <c r="Z48" s="31">
        <f>IF(B48="","",COUNTIFS(Bookings!$C$5:$C$404,B48))</f>
        <v>0</v>
      </c>
      <c r="AA48" s="31">
        <f>IF(B48="","",COUNTIFS('Visit Log'!$D$5:$D$404,B48,'Visit Log'!$AE$5:$AE$404,"Completed"))</f>
        <v>0</v>
      </c>
      <c r="AB48" s="21">
        <f>IF(B48="","",IF(SUMPRODUCT(MAX((Bookings!$C$5:$C$404=B48)*(Bookings!$AM$5:$AM$404="Completed")*Bookings!$I$5:$I$404))=0,"",SUMPRODUCT(MAX((Bookings!$C$5:$C$404=B48)*(Bookings!$AM$5:$AM$404="Completed")*Bookings!$I$5:$I$404))))</f>
        <v>0</v>
      </c>
      <c r="AC48" s="31">
        <f>IF(AB48="","",TODAY()-AB48)</f>
        <v>0</v>
      </c>
      <c r="AD48" s="21">
        <f>IF(B48="","",IF(COUNTIFS(Bookings!$C$5:$C$404,B48,Bookings!$I$5:$I$404,"&gt;="&amp;TODAY(),Bookings!$AM$5:$AM$404,"&lt;&gt;Cancelled")=0,"",SUMPRODUCT(MIN(((Bookings!$C$5:$C$404=B48)*(Bookings!$I$5:$I$404&gt;=TODAY())*(Bookings!$AM$5:$AM$404&lt;&gt;"Cancelled"))*Bookings!$I$5:$I$404+(1-((Bookings!$C$5:$C$404=B48)*(Bookings!$I$5:$I$404&gt;=TODAY())*(Bookings!$AM$5:$AM$404&lt;&gt;"Cancelled")))*2958465))))</f>
        <v>0</v>
      </c>
      <c r="AE48" s="29">
        <f>IF(B48="","",SUMIFS(Payments!$L$5:$L$304,Payments!$C$5:$C$304,B48))</f>
        <v>0</v>
      </c>
      <c r="AF48" s="29">
        <f>IF(B48="","",SUMIFS(Invoices!$O$5:$O$304,Invoices!$D$5:$D$304,B48,Invoices!$T$5:$T$304,"&lt;&gt;Draft"))</f>
        <v>0</v>
      </c>
      <c r="AG48" s="29">
        <f>IF(B48="","",SUMIFS(Invoices!$S$5:$S$304,Invoices!$D$5:$D$304,B48,Invoices!$T$5:$T$304,"&lt;&gt;Cancelled"))</f>
        <v>0</v>
      </c>
      <c r="AH48" s="29">
        <f>IF(OR(Z48="",Z48=0),"",SUMIFS(Bookings!$AK$5:$AK$404,Bookings!$C$5:$C$404,B48,Bookings!$AM$5:$AM$404,"&lt;&gt;Cancelled")/Z48)</f>
        <v>0</v>
      </c>
      <c r="AI48" s="49">
        <f>IF(B48="","",IF(Z48&gt;=LoyaltyThreshold,"Loyalty discount","Standard"))</f>
        <v>0</v>
      </c>
      <c r="AJ48" s="49">
        <f>IF(B48="","",IF(COUNTIF(Clients!$B$5:$B$254,B48)&gt;1,"Duplicate name",IF(AND(C48&lt;&gt;"",COUNTIF(Clients!$C$5:$C$254,C48)&gt;1),"Duplicate phone","OK")))</f>
        <v>0</v>
      </c>
      <c r="AK48" s="49">
        <f>IF(B48="","",IF(AND(C48&lt;&gt;"",D48&lt;&gt;"",L48&lt;&gt;"",M48&lt;&gt;""),"OK","Add: "&amp;IF(C48="","phone ","")&amp;IF(D48="","email ","")&amp;IF(L48="","date ","")&amp;IF(M48="","status","")))</f>
        <v>0</v>
      </c>
      <c r="AL48" s="49">
        <f>IF(B48="","",IF(AG48&gt;0.5,"Overdue - chase payment",IF(AND(M48="Active",ISNUMBER(AC48),AC48&gt;InactiveDays),"Inactive - win back",IF(AND(M48="Active",S48&lt;&gt;"Signed"),"Action - contract not signed",IF(AND(M48="Prospective",AD48=""),"Action - follow up quote","OK")))))</f>
        <v>0</v>
      </c>
    </row>
    <row r="49" spans="1:38">
      <c r="A49" s="46">
        <f>IF(B49="","",ClientPrefix&amp;TEXT(ROW()-4,"0000"))</f>
        <v>0</v>
      </c>
      <c r="Y49" s="31">
        <f>IF(B49="","",COUNTIF(Pets!$C$5:$C$254,B49))</f>
        <v>0</v>
      </c>
      <c r="Z49" s="31">
        <f>IF(B49="","",COUNTIFS(Bookings!$C$5:$C$404,B49))</f>
        <v>0</v>
      </c>
      <c r="AA49" s="31">
        <f>IF(B49="","",COUNTIFS('Visit Log'!$D$5:$D$404,B49,'Visit Log'!$AE$5:$AE$404,"Completed"))</f>
        <v>0</v>
      </c>
      <c r="AB49" s="21">
        <f>IF(B49="","",IF(SUMPRODUCT(MAX((Bookings!$C$5:$C$404=B49)*(Bookings!$AM$5:$AM$404="Completed")*Bookings!$I$5:$I$404))=0,"",SUMPRODUCT(MAX((Bookings!$C$5:$C$404=B49)*(Bookings!$AM$5:$AM$404="Completed")*Bookings!$I$5:$I$404))))</f>
        <v>0</v>
      </c>
      <c r="AC49" s="31">
        <f>IF(AB49="","",TODAY()-AB49)</f>
        <v>0</v>
      </c>
      <c r="AD49" s="21">
        <f>IF(B49="","",IF(COUNTIFS(Bookings!$C$5:$C$404,B49,Bookings!$I$5:$I$404,"&gt;="&amp;TODAY(),Bookings!$AM$5:$AM$404,"&lt;&gt;Cancelled")=0,"",SUMPRODUCT(MIN(((Bookings!$C$5:$C$404=B49)*(Bookings!$I$5:$I$404&gt;=TODAY())*(Bookings!$AM$5:$AM$404&lt;&gt;"Cancelled"))*Bookings!$I$5:$I$404+(1-((Bookings!$C$5:$C$404=B49)*(Bookings!$I$5:$I$404&gt;=TODAY())*(Bookings!$AM$5:$AM$404&lt;&gt;"Cancelled")))*2958465))))</f>
        <v>0</v>
      </c>
      <c r="AE49" s="29">
        <f>IF(B49="","",SUMIFS(Payments!$L$5:$L$304,Payments!$C$5:$C$304,B49))</f>
        <v>0</v>
      </c>
      <c r="AF49" s="29">
        <f>IF(B49="","",SUMIFS(Invoices!$O$5:$O$304,Invoices!$D$5:$D$304,B49,Invoices!$T$5:$T$304,"&lt;&gt;Draft"))</f>
        <v>0</v>
      </c>
      <c r="AG49" s="29">
        <f>IF(B49="","",SUMIFS(Invoices!$S$5:$S$304,Invoices!$D$5:$D$304,B49,Invoices!$T$5:$T$304,"&lt;&gt;Cancelled"))</f>
        <v>0</v>
      </c>
      <c r="AH49" s="29">
        <f>IF(OR(Z49="",Z49=0),"",SUMIFS(Bookings!$AK$5:$AK$404,Bookings!$C$5:$C$404,B49,Bookings!$AM$5:$AM$404,"&lt;&gt;Cancelled")/Z49)</f>
        <v>0</v>
      </c>
      <c r="AI49" s="49">
        <f>IF(B49="","",IF(Z49&gt;=LoyaltyThreshold,"Loyalty discount","Standard"))</f>
        <v>0</v>
      </c>
      <c r="AJ49" s="49">
        <f>IF(B49="","",IF(COUNTIF(Clients!$B$5:$B$254,B49)&gt;1,"Duplicate name",IF(AND(C49&lt;&gt;"",COUNTIF(Clients!$C$5:$C$254,C49)&gt;1),"Duplicate phone","OK")))</f>
        <v>0</v>
      </c>
      <c r="AK49" s="49">
        <f>IF(B49="","",IF(AND(C49&lt;&gt;"",D49&lt;&gt;"",L49&lt;&gt;"",M49&lt;&gt;""),"OK","Add: "&amp;IF(C49="","phone ","")&amp;IF(D49="","email ","")&amp;IF(L49="","date ","")&amp;IF(M49="","status","")))</f>
        <v>0</v>
      </c>
      <c r="AL49" s="49">
        <f>IF(B49="","",IF(AG49&gt;0.5,"Overdue - chase payment",IF(AND(M49="Active",ISNUMBER(AC49),AC49&gt;InactiveDays),"Inactive - win back",IF(AND(M49="Active",S49&lt;&gt;"Signed"),"Action - contract not signed",IF(AND(M49="Prospective",AD49=""),"Action - follow up quote","OK")))))</f>
        <v>0</v>
      </c>
    </row>
    <row r="50" spans="1:38">
      <c r="A50" s="46">
        <f>IF(B50="","",ClientPrefix&amp;TEXT(ROW()-4,"0000"))</f>
        <v>0</v>
      </c>
      <c r="Y50" s="31">
        <f>IF(B50="","",COUNTIF(Pets!$C$5:$C$254,B50))</f>
        <v>0</v>
      </c>
      <c r="Z50" s="31">
        <f>IF(B50="","",COUNTIFS(Bookings!$C$5:$C$404,B50))</f>
        <v>0</v>
      </c>
      <c r="AA50" s="31">
        <f>IF(B50="","",COUNTIFS('Visit Log'!$D$5:$D$404,B50,'Visit Log'!$AE$5:$AE$404,"Completed"))</f>
        <v>0</v>
      </c>
      <c r="AB50" s="21">
        <f>IF(B50="","",IF(SUMPRODUCT(MAX((Bookings!$C$5:$C$404=B50)*(Bookings!$AM$5:$AM$404="Completed")*Bookings!$I$5:$I$404))=0,"",SUMPRODUCT(MAX((Bookings!$C$5:$C$404=B50)*(Bookings!$AM$5:$AM$404="Completed")*Bookings!$I$5:$I$404))))</f>
        <v>0</v>
      </c>
      <c r="AC50" s="31">
        <f>IF(AB50="","",TODAY()-AB50)</f>
        <v>0</v>
      </c>
      <c r="AD50" s="21">
        <f>IF(B50="","",IF(COUNTIFS(Bookings!$C$5:$C$404,B50,Bookings!$I$5:$I$404,"&gt;="&amp;TODAY(),Bookings!$AM$5:$AM$404,"&lt;&gt;Cancelled")=0,"",SUMPRODUCT(MIN(((Bookings!$C$5:$C$404=B50)*(Bookings!$I$5:$I$404&gt;=TODAY())*(Bookings!$AM$5:$AM$404&lt;&gt;"Cancelled"))*Bookings!$I$5:$I$404+(1-((Bookings!$C$5:$C$404=B50)*(Bookings!$I$5:$I$404&gt;=TODAY())*(Bookings!$AM$5:$AM$404&lt;&gt;"Cancelled")))*2958465))))</f>
        <v>0</v>
      </c>
      <c r="AE50" s="29">
        <f>IF(B50="","",SUMIFS(Payments!$L$5:$L$304,Payments!$C$5:$C$304,B50))</f>
        <v>0</v>
      </c>
      <c r="AF50" s="29">
        <f>IF(B50="","",SUMIFS(Invoices!$O$5:$O$304,Invoices!$D$5:$D$304,B50,Invoices!$T$5:$T$304,"&lt;&gt;Draft"))</f>
        <v>0</v>
      </c>
      <c r="AG50" s="29">
        <f>IF(B50="","",SUMIFS(Invoices!$S$5:$S$304,Invoices!$D$5:$D$304,B50,Invoices!$T$5:$T$304,"&lt;&gt;Cancelled"))</f>
        <v>0</v>
      </c>
      <c r="AH50" s="29">
        <f>IF(OR(Z50="",Z50=0),"",SUMIFS(Bookings!$AK$5:$AK$404,Bookings!$C$5:$C$404,B50,Bookings!$AM$5:$AM$404,"&lt;&gt;Cancelled")/Z50)</f>
        <v>0</v>
      </c>
      <c r="AI50" s="49">
        <f>IF(B50="","",IF(Z50&gt;=LoyaltyThreshold,"Loyalty discount","Standard"))</f>
        <v>0</v>
      </c>
      <c r="AJ50" s="49">
        <f>IF(B50="","",IF(COUNTIF(Clients!$B$5:$B$254,B50)&gt;1,"Duplicate name",IF(AND(C50&lt;&gt;"",COUNTIF(Clients!$C$5:$C$254,C50)&gt;1),"Duplicate phone","OK")))</f>
        <v>0</v>
      </c>
      <c r="AK50" s="49">
        <f>IF(B50="","",IF(AND(C50&lt;&gt;"",D50&lt;&gt;"",L50&lt;&gt;"",M50&lt;&gt;""),"OK","Add: "&amp;IF(C50="","phone ","")&amp;IF(D50="","email ","")&amp;IF(L50="","date ","")&amp;IF(M50="","status","")))</f>
        <v>0</v>
      </c>
      <c r="AL50" s="49">
        <f>IF(B50="","",IF(AG50&gt;0.5,"Overdue - chase payment",IF(AND(M50="Active",ISNUMBER(AC50),AC50&gt;InactiveDays),"Inactive - win back",IF(AND(M50="Active",S50&lt;&gt;"Signed"),"Action - contract not signed",IF(AND(M50="Prospective",AD50=""),"Action - follow up quote","OK")))))</f>
        <v>0</v>
      </c>
    </row>
    <row r="51" spans="1:38">
      <c r="A51" s="46">
        <f>IF(B51="","",ClientPrefix&amp;TEXT(ROW()-4,"0000"))</f>
        <v>0</v>
      </c>
      <c r="Y51" s="31">
        <f>IF(B51="","",COUNTIF(Pets!$C$5:$C$254,B51))</f>
        <v>0</v>
      </c>
      <c r="Z51" s="31">
        <f>IF(B51="","",COUNTIFS(Bookings!$C$5:$C$404,B51))</f>
        <v>0</v>
      </c>
      <c r="AA51" s="31">
        <f>IF(B51="","",COUNTIFS('Visit Log'!$D$5:$D$404,B51,'Visit Log'!$AE$5:$AE$404,"Completed"))</f>
        <v>0</v>
      </c>
      <c r="AB51" s="21">
        <f>IF(B51="","",IF(SUMPRODUCT(MAX((Bookings!$C$5:$C$404=B51)*(Bookings!$AM$5:$AM$404="Completed")*Bookings!$I$5:$I$404))=0,"",SUMPRODUCT(MAX((Bookings!$C$5:$C$404=B51)*(Bookings!$AM$5:$AM$404="Completed")*Bookings!$I$5:$I$404))))</f>
        <v>0</v>
      </c>
      <c r="AC51" s="31">
        <f>IF(AB51="","",TODAY()-AB51)</f>
        <v>0</v>
      </c>
      <c r="AD51" s="21">
        <f>IF(B51="","",IF(COUNTIFS(Bookings!$C$5:$C$404,B51,Bookings!$I$5:$I$404,"&gt;="&amp;TODAY(),Bookings!$AM$5:$AM$404,"&lt;&gt;Cancelled")=0,"",SUMPRODUCT(MIN(((Bookings!$C$5:$C$404=B51)*(Bookings!$I$5:$I$404&gt;=TODAY())*(Bookings!$AM$5:$AM$404&lt;&gt;"Cancelled"))*Bookings!$I$5:$I$404+(1-((Bookings!$C$5:$C$404=B51)*(Bookings!$I$5:$I$404&gt;=TODAY())*(Bookings!$AM$5:$AM$404&lt;&gt;"Cancelled")))*2958465))))</f>
        <v>0</v>
      </c>
      <c r="AE51" s="29">
        <f>IF(B51="","",SUMIFS(Payments!$L$5:$L$304,Payments!$C$5:$C$304,B51))</f>
        <v>0</v>
      </c>
      <c r="AF51" s="29">
        <f>IF(B51="","",SUMIFS(Invoices!$O$5:$O$304,Invoices!$D$5:$D$304,B51,Invoices!$T$5:$T$304,"&lt;&gt;Draft"))</f>
        <v>0</v>
      </c>
      <c r="AG51" s="29">
        <f>IF(B51="","",SUMIFS(Invoices!$S$5:$S$304,Invoices!$D$5:$D$304,B51,Invoices!$T$5:$T$304,"&lt;&gt;Cancelled"))</f>
        <v>0</v>
      </c>
      <c r="AH51" s="29">
        <f>IF(OR(Z51="",Z51=0),"",SUMIFS(Bookings!$AK$5:$AK$404,Bookings!$C$5:$C$404,B51,Bookings!$AM$5:$AM$404,"&lt;&gt;Cancelled")/Z51)</f>
        <v>0</v>
      </c>
      <c r="AI51" s="49">
        <f>IF(B51="","",IF(Z51&gt;=LoyaltyThreshold,"Loyalty discount","Standard"))</f>
        <v>0</v>
      </c>
      <c r="AJ51" s="49">
        <f>IF(B51="","",IF(COUNTIF(Clients!$B$5:$B$254,B51)&gt;1,"Duplicate name",IF(AND(C51&lt;&gt;"",COUNTIF(Clients!$C$5:$C$254,C51)&gt;1),"Duplicate phone","OK")))</f>
        <v>0</v>
      </c>
      <c r="AK51" s="49">
        <f>IF(B51="","",IF(AND(C51&lt;&gt;"",D51&lt;&gt;"",L51&lt;&gt;"",M51&lt;&gt;""),"OK","Add: "&amp;IF(C51="","phone ","")&amp;IF(D51="","email ","")&amp;IF(L51="","date ","")&amp;IF(M51="","status","")))</f>
        <v>0</v>
      </c>
      <c r="AL51" s="49">
        <f>IF(B51="","",IF(AG51&gt;0.5,"Overdue - chase payment",IF(AND(M51="Active",ISNUMBER(AC51),AC51&gt;InactiveDays),"Inactive - win back",IF(AND(M51="Active",S51&lt;&gt;"Signed"),"Action - contract not signed",IF(AND(M51="Prospective",AD51=""),"Action - follow up quote","OK")))))</f>
        <v>0</v>
      </c>
    </row>
    <row r="52" spans="1:38">
      <c r="A52" s="46">
        <f>IF(B52="","",ClientPrefix&amp;TEXT(ROW()-4,"0000"))</f>
        <v>0</v>
      </c>
      <c r="Y52" s="31">
        <f>IF(B52="","",COUNTIF(Pets!$C$5:$C$254,B52))</f>
        <v>0</v>
      </c>
      <c r="Z52" s="31">
        <f>IF(B52="","",COUNTIFS(Bookings!$C$5:$C$404,B52))</f>
        <v>0</v>
      </c>
      <c r="AA52" s="31">
        <f>IF(B52="","",COUNTIFS('Visit Log'!$D$5:$D$404,B52,'Visit Log'!$AE$5:$AE$404,"Completed"))</f>
        <v>0</v>
      </c>
      <c r="AB52" s="21">
        <f>IF(B52="","",IF(SUMPRODUCT(MAX((Bookings!$C$5:$C$404=B52)*(Bookings!$AM$5:$AM$404="Completed")*Bookings!$I$5:$I$404))=0,"",SUMPRODUCT(MAX((Bookings!$C$5:$C$404=B52)*(Bookings!$AM$5:$AM$404="Completed")*Bookings!$I$5:$I$404))))</f>
        <v>0</v>
      </c>
      <c r="AC52" s="31">
        <f>IF(AB52="","",TODAY()-AB52)</f>
        <v>0</v>
      </c>
      <c r="AD52" s="21">
        <f>IF(B52="","",IF(COUNTIFS(Bookings!$C$5:$C$404,B52,Bookings!$I$5:$I$404,"&gt;="&amp;TODAY(),Bookings!$AM$5:$AM$404,"&lt;&gt;Cancelled")=0,"",SUMPRODUCT(MIN(((Bookings!$C$5:$C$404=B52)*(Bookings!$I$5:$I$404&gt;=TODAY())*(Bookings!$AM$5:$AM$404&lt;&gt;"Cancelled"))*Bookings!$I$5:$I$404+(1-((Bookings!$C$5:$C$404=B52)*(Bookings!$I$5:$I$404&gt;=TODAY())*(Bookings!$AM$5:$AM$404&lt;&gt;"Cancelled")))*2958465))))</f>
        <v>0</v>
      </c>
      <c r="AE52" s="29">
        <f>IF(B52="","",SUMIFS(Payments!$L$5:$L$304,Payments!$C$5:$C$304,B52))</f>
        <v>0</v>
      </c>
      <c r="AF52" s="29">
        <f>IF(B52="","",SUMIFS(Invoices!$O$5:$O$304,Invoices!$D$5:$D$304,B52,Invoices!$T$5:$T$304,"&lt;&gt;Draft"))</f>
        <v>0</v>
      </c>
      <c r="AG52" s="29">
        <f>IF(B52="","",SUMIFS(Invoices!$S$5:$S$304,Invoices!$D$5:$D$304,B52,Invoices!$T$5:$T$304,"&lt;&gt;Cancelled"))</f>
        <v>0</v>
      </c>
      <c r="AH52" s="29">
        <f>IF(OR(Z52="",Z52=0),"",SUMIFS(Bookings!$AK$5:$AK$404,Bookings!$C$5:$C$404,B52,Bookings!$AM$5:$AM$404,"&lt;&gt;Cancelled")/Z52)</f>
        <v>0</v>
      </c>
      <c r="AI52" s="49">
        <f>IF(B52="","",IF(Z52&gt;=LoyaltyThreshold,"Loyalty discount","Standard"))</f>
        <v>0</v>
      </c>
      <c r="AJ52" s="49">
        <f>IF(B52="","",IF(COUNTIF(Clients!$B$5:$B$254,B52)&gt;1,"Duplicate name",IF(AND(C52&lt;&gt;"",COUNTIF(Clients!$C$5:$C$254,C52)&gt;1),"Duplicate phone","OK")))</f>
        <v>0</v>
      </c>
      <c r="AK52" s="49">
        <f>IF(B52="","",IF(AND(C52&lt;&gt;"",D52&lt;&gt;"",L52&lt;&gt;"",M52&lt;&gt;""),"OK","Add: "&amp;IF(C52="","phone ","")&amp;IF(D52="","email ","")&amp;IF(L52="","date ","")&amp;IF(M52="","status","")))</f>
        <v>0</v>
      </c>
      <c r="AL52" s="49">
        <f>IF(B52="","",IF(AG52&gt;0.5,"Overdue - chase payment",IF(AND(M52="Active",ISNUMBER(AC52),AC52&gt;InactiveDays),"Inactive - win back",IF(AND(M52="Active",S52&lt;&gt;"Signed"),"Action - contract not signed",IF(AND(M52="Prospective",AD52=""),"Action - follow up quote","OK")))))</f>
        <v>0</v>
      </c>
    </row>
    <row r="53" spans="1:38">
      <c r="A53" s="46">
        <f>IF(B53="","",ClientPrefix&amp;TEXT(ROW()-4,"0000"))</f>
        <v>0</v>
      </c>
      <c r="Y53" s="31">
        <f>IF(B53="","",COUNTIF(Pets!$C$5:$C$254,B53))</f>
        <v>0</v>
      </c>
      <c r="Z53" s="31">
        <f>IF(B53="","",COUNTIFS(Bookings!$C$5:$C$404,B53))</f>
        <v>0</v>
      </c>
      <c r="AA53" s="31">
        <f>IF(B53="","",COUNTIFS('Visit Log'!$D$5:$D$404,B53,'Visit Log'!$AE$5:$AE$404,"Completed"))</f>
        <v>0</v>
      </c>
      <c r="AB53" s="21">
        <f>IF(B53="","",IF(SUMPRODUCT(MAX((Bookings!$C$5:$C$404=B53)*(Bookings!$AM$5:$AM$404="Completed")*Bookings!$I$5:$I$404))=0,"",SUMPRODUCT(MAX((Bookings!$C$5:$C$404=B53)*(Bookings!$AM$5:$AM$404="Completed")*Bookings!$I$5:$I$404))))</f>
        <v>0</v>
      </c>
      <c r="AC53" s="31">
        <f>IF(AB53="","",TODAY()-AB53)</f>
        <v>0</v>
      </c>
      <c r="AD53" s="21">
        <f>IF(B53="","",IF(COUNTIFS(Bookings!$C$5:$C$404,B53,Bookings!$I$5:$I$404,"&gt;="&amp;TODAY(),Bookings!$AM$5:$AM$404,"&lt;&gt;Cancelled")=0,"",SUMPRODUCT(MIN(((Bookings!$C$5:$C$404=B53)*(Bookings!$I$5:$I$404&gt;=TODAY())*(Bookings!$AM$5:$AM$404&lt;&gt;"Cancelled"))*Bookings!$I$5:$I$404+(1-((Bookings!$C$5:$C$404=B53)*(Bookings!$I$5:$I$404&gt;=TODAY())*(Bookings!$AM$5:$AM$404&lt;&gt;"Cancelled")))*2958465))))</f>
        <v>0</v>
      </c>
      <c r="AE53" s="29">
        <f>IF(B53="","",SUMIFS(Payments!$L$5:$L$304,Payments!$C$5:$C$304,B53))</f>
        <v>0</v>
      </c>
      <c r="AF53" s="29">
        <f>IF(B53="","",SUMIFS(Invoices!$O$5:$O$304,Invoices!$D$5:$D$304,B53,Invoices!$T$5:$T$304,"&lt;&gt;Draft"))</f>
        <v>0</v>
      </c>
      <c r="AG53" s="29">
        <f>IF(B53="","",SUMIFS(Invoices!$S$5:$S$304,Invoices!$D$5:$D$304,B53,Invoices!$T$5:$T$304,"&lt;&gt;Cancelled"))</f>
        <v>0</v>
      </c>
      <c r="AH53" s="29">
        <f>IF(OR(Z53="",Z53=0),"",SUMIFS(Bookings!$AK$5:$AK$404,Bookings!$C$5:$C$404,B53,Bookings!$AM$5:$AM$404,"&lt;&gt;Cancelled")/Z53)</f>
        <v>0</v>
      </c>
      <c r="AI53" s="49">
        <f>IF(B53="","",IF(Z53&gt;=LoyaltyThreshold,"Loyalty discount","Standard"))</f>
        <v>0</v>
      </c>
      <c r="AJ53" s="49">
        <f>IF(B53="","",IF(COUNTIF(Clients!$B$5:$B$254,B53)&gt;1,"Duplicate name",IF(AND(C53&lt;&gt;"",COUNTIF(Clients!$C$5:$C$254,C53)&gt;1),"Duplicate phone","OK")))</f>
        <v>0</v>
      </c>
      <c r="AK53" s="49">
        <f>IF(B53="","",IF(AND(C53&lt;&gt;"",D53&lt;&gt;"",L53&lt;&gt;"",M53&lt;&gt;""),"OK","Add: "&amp;IF(C53="","phone ","")&amp;IF(D53="","email ","")&amp;IF(L53="","date ","")&amp;IF(M53="","status","")))</f>
        <v>0</v>
      </c>
      <c r="AL53" s="49">
        <f>IF(B53="","",IF(AG53&gt;0.5,"Overdue - chase payment",IF(AND(M53="Active",ISNUMBER(AC53),AC53&gt;InactiveDays),"Inactive - win back",IF(AND(M53="Active",S53&lt;&gt;"Signed"),"Action - contract not signed",IF(AND(M53="Prospective",AD53=""),"Action - follow up quote","OK")))))</f>
        <v>0</v>
      </c>
    </row>
    <row r="54" spans="1:38">
      <c r="A54" s="46">
        <f>IF(B54="","",ClientPrefix&amp;TEXT(ROW()-4,"0000"))</f>
        <v>0</v>
      </c>
      <c r="Y54" s="31">
        <f>IF(B54="","",COUNTIF(Pets!$C$5:$C$254,B54))</f>
        <v>0</v>
      </c>
      <c r="Z54" s="31">
        <f>IF(B54="","",COUNTIFS(Bookings!$C$5:$C$404,B54))</f>
        <v>0</v>
      </c>
      <c r="AA54" s="31">
        <f>IF(B54="","",COUNTIFS('Visit Log'!$D$5:$D$404,B54,'Visit Log'!$AE$5:$AE$404,"Completed"))</f>
        <v>0</v>
      </c>
      <c r="AB54" s="21">
        <f>IF(B54="","",IF(SUMPRODUCT(MAX((Bookings!$C$5:$C$404=B54)*(Bookings!$AM$5:$AM$404="Completed")*Bookings!$I$5:$I$404))=0,"",SUMPRODUCT(MAX((Bookings!$C$5:$C$404=B54)*(Bookings!$AM$5:$AM$404="Completed")*Bookings!$I$5:$I$404))))</f>
        <v>0</v>
      </c>
      <c r="AC54" s="31">
        <f>IF(AB54="","",TODAY()-AB54)</f>
        <v>0</v>
      </c>
      <c r="AD54" s="21">
        <f>IF(B54="","",IF(COUNTIFS(Bookings!$C$5:$C$404,B54,Bookings!$I$5:$I$404,"&gt;="&amp;TODAY(),Bookings!$AM$5:$AM$404,"&lt;&gt;Cancelled")=0,"",SUMPRODUCT(MIN(((Bookings!$C$5:$C$404=B54)*(Bookings!$I$5:$I$404&gt;=TODAY())*(Bookings!$AM$5:$AM$404&lt;&gt;"Cancelled"))*Bookings!$I$5:$I$404+(1-((Bookings!$C$5:$C$404=B54)*(Bookings!$I$5:$I$404&gt;=TODAY())*(Bookings!$AM$5:$AM$404&lt;&gt;"Cancelled")))*2958465))))</f>
        <v>0</v>
      </c>
      <c r="AE54" s="29">
        <f>IF(B54="","",SUMIFS(Payments!$L$5:$L$304,Payments!$C$5:$C$304,B54))</f>
        <v>0</v>
      </c>
      <c r="AF54" s="29">
        <f>IF(B54="","",SUMIFS(Invoices!$O$5:$O$304,Invoices!$D$5:$D$304,B54,Invoices!$T$5:$T$304,"&lt;&gt;Draft"))</f>
        <v>0</v>
      </c>
      <c r="AG54" s="29">
        <f>IF(B54="","",SUMIFS(Invoices!$S$5:$S$304,Invoices!$D$5:$D$304,B54,Invoices!$T$5:$T$304,"&lt;&gt;Cancelled"))</f>
        <v>0</v>
      </c>
      <c r="AH54" s="29">
        <f>IF(OR(Z54="",Z54=0),"",SUMIFS(Bookings!$AK$5:$AK$404,Bookings!$C$5:$C$404,B54,Bookings!$AM$5:$AM$404,"&lt;&gt;Cancelled")/Z54)</f>
        <v>0</v>
      </c>
      <c r="AI54" s="49">
        <f>IF(B54="","",IF(Z54&gt;=LoyaltyThreshold,"Loyalty discount","Standard"))</f>
        <v>0</v>
      </c>
      <c r="AJ54" s="49">
        <f>IF(B54="","",IF(COUNTIF(Clients!$B$5:$B$254,B54)&gt;1,"Duplicate name",IF(AND(C54&lt;&gt;"",COUNTIF(Clients!$C$5:$C$254,C54)&gt;1),"Duplicate phone","OK")))</f>
        <v>0</v>
      </c>
      <c r="AK54" s="49">
        <f>IF(B54="","",IF(AND(C54&lt;&gt;"",D54&lt;&gt;"",L54&lt;&gt;"",M54&lt;&gt;""),"OK","Add: "&amp;IF(C54="","phone ","")&amp;IF(D54="","email ","")&amp;IF(L54="","date ","")&amp;IF(M54="","status","")))</f>
        <v>0</v>
      </c>
      <c r="AL54" s="49">
        <f>IF(B54="","",IF(AG54&gt;0.5,"Overdue - chase payment",IF(AND(M54="Active",ISNUMBER(AC54),AC54&gt;InactiveDays),"Inactive - win back",IF(AND(M54="Active",S54&lt;&gt;"Signed"),"Action - contract not signed",IF(AND(M54="Prospective",AD54=""),"Action - follow up quote","OK")))))</f>
        <v>0</v>
      </c>
    </row>
    <row r="55" spans="1:38">
      <c r="A55" s="46">
        <f>IF(B55="","",ClientPrefix&amp;TEXT(ROW()-4,"0000"))</f>
        <v>0</v>
      </c>
      <c r="Y55" s="31">
        <f>IF(B55="","",COUNTIF(Pets!$C$5:$C$254,B55))</f>
        <v>0</v>
      </c>
      <c r="Z55" s="31">
        <f>IF(B55="","",COUNTIFS(Bookings!$C$5:$C$404,B55))</f>
        <v>0</v>
      </c>
      <c r="AA55" s="31">
        <f>IF(B55="","",COUNTIFS('Visit Log'!$D$5:$D$404,B55,'Visit Log'!$AE$5:$AE$404,"Completed"))</f>
        <v>0</v>
      </c>
      <c r="AB55" s="21">
        <f>IF(B55="","",IF(SUMPRODUCT(MAX((Bookings!$C$5:$C$404=B55)*(Bookings!$AM$5:$AM$404="Completed")*Bookings!$I$5:$I$404))=0,"",SUMPRODUCT(MAX((Bookings!$C$5:$C$404=B55)*(Bookings!$AM$5:$AM$404="Completed")*Bookings!$I$5:$I$404))))</f>
        <v>0</v>
      </c>
      <c r="AC55" s="31">
        <f>IF(AB55="","",TODAY()-AB55)</f>
        <v>0</v>
      </c>
      <c r="AD55" s="21">
        <f>IF(B55="","",IF(COUNTIFS(Bookings!$C$5:$C$404,B55,Bookings!$I$5:$I$404,"&gt;="&amp;TODAY(),Bookings!$AM$5:$AM$404,"&lt;&gt;Cancelled")=0,"",SUMPRODUCT(MIN(((Bookings!$C$5:$C$404=B55)*(Bookings!$I$5:$I$404&gt;=TODAY())*(Bookings!$AM$5:$AM$404&lt;&gt;"Cancelled"))*Bookings!$I$5:$I$404+(1-((Bookings!$C$5:$C$404=B55)*(Bookings!$I$5:$I$404&gt;=TODAY())*(Bookings!$AM$5:$AM$404&lt;&gt;"Cancelled")))*2958465))))</f>
        <v>0</v>
      </c>
      <c r="AE55" s="29">
        <f>IF(B55="","",SUMIFS(Payments!$L$5:$L$304,Payments!$C$5:$C$304,B55))</f>
        <v>0</v>
      </c>
      <c r="AF55" s="29">
        <f>IF(B55="","",SUMIFS(Invoices!$O$5:$O$304,Invoices!$D$5:$D$304,B55,Invoices!$T$5:$T$304,"&lt;&gt;Draft"))</f>
        <v>0</v>
      </c>
      <c r="AG55" s="29">
        <f>IF(B55="","",SUMIFS(Invoices!$S$5:$S$304,Invoices!$D$5:$D$304,B55,Invoices!$T$5:$T$304,"&lt;&gt;Cancelled"))</f>
        <v>0</v>
      </c>
      <c r="AH55" s="29">
        <f>IF(OR(Z55="",Z55=0),"",SUMIFS(Bookings!$AK$5:$AK$404,Bookings!$C$5:$C$404,B55,Bookings!$AM$5:$AM$404,"&lt;&gt;Cancelled")/Z55)</f>
        <v>0</v>
      </c>
      <c r="AI55" s="49">
        <f>IF(B55="","",IF(Z55&gt;=LoyaltyThreshold,"Loyalty discount","Standard"))</f>
        <v>0</v>
      </c>
      <c r="AJ55" s="49">
        <f>IF(B55="","",IF(COUNTIF(Clients!$B$5:$B$254,B55)&gt;1,"Duplicate name",IF(AND(C55&lt;&gt;"",COUNTIF(Clients!$C$5:$C$254,C55)&gt;1),"Duplicate phone","OK")))</f>
        <v>0</v>
      </c>
      <c r="AK55" s="49">
        <f>IF(B55="","",IF(AND(C55&lt;&gt;"",D55&lt;&gt;"",L55&lt;&gt;"",M55&lt;&gt;""),"OK","Add: "&amp;IF(C55="","phone ","")&amp;IF(D55="","email ","")&amp;IF(L55="","date ","")&amp;IF(M55="","status","")))</f>
        <v>0</v>
      </c>
      <c r="AL55" s="49">
        <f>IF(B55="","",IF(AG55&gt;0.5,"Overdue - chase payment",IF(AND(M55="Active",ISNUMBER(AC55),AC55&gt;InactiveDays),"Inactive - win back",IF(AND(M55="Active",S55&lt;&gt;"Signed"),"Action - contract not signed",IF(AND(M55="Prospective",AD55=""),"Action - follow up quote","OK")))))</f>
        <v>0</v>
      </c>
    </row>
    <row r="56" spans="1:38">
      <c r="A56" s="46">
        <f>IF(B56="","",ClientPrefix&amp;TEXT(ROW()-4,"0000"))</f>
        <v>0</v>
      </c>
      <c r="Y56" s="31">
        <f>IF(B56="","",COUNTIF(Pets!$C$5:$C$254,B56))</f>
        <v>0</v>
      </c>
      <c r="Z56" s="31">
        <f>IF(B56="","",COUNTIFS(Bookings!$C$5:$C$404,B56))</f>
        <v>0</v>
      </c>
      <c r="AA56" s="31">
        <f>IF(B56="","",COUNTIFS('Visit Log'!$D$5:$D$404,B56,'Visit Log'!$AE$5:$AE$404,"Completed"))</f>
        <v>0</v>
      </c>
      <c r="AB56" s="21">
        <f>IF(B56="","",IF(SUMPRODUCT(MAX((Bookings!$C$5:$C$404=B56)*(Bookings!$AM$5:$AM$404="Completed")*Bookings!$I$5:$I$404))=0,"",SUMPRODUCT(MAX((Bookings!$C$5:$C$404=B56)*(Bookings!$AM$5:$AM$404="Completed")*Bookings!$I$5:$I$404))))</f>
        <v>0</v>
      </c>
      <c r="AC56" s="31">
        <f>IF(AB56="","",TODAY()-AB56)</f>
        <v>0</v>
      </c>
      <c r="AD56" s="21">
        <f>IF(B56="","",IF(COUNTIFS(Bookings!$C$5:$C$404,B56,Bookings!$I$5:$I$404,"&gt;="&amp;TODAY(),Bookings!$AM$5:$AM$404,"&lt;&gt;Cancelled")=0,"",SUMPRODUCT(MIN(((Bookings!$C$5:$C$404=B56)*(Bookings!$I$5:$I$404&gt;=TODAY())*(Bookings!$AM$5:$AM$404&lt;&gt;"Cancelled"))*Bookings!$I$5:$I$404+(1-((Bookings!$C$5:$C$404=B56)*(Bookings!$I$5:$I$404&gt;=TODAY())*(Bookings!$AM$5:$AM$404&lt;&gt;"Cancelled")))*2958465))))</f>
        <v>0</v>
      </c>
      <c r="AE56" s="29">
        <f>IF(B56="","",SUMIFS(Payments!$L$5:$L$304,Payments!$C$5:$C$304,B56))</f>
        <v>0</v>
      </c>
      <c r="AF56" s="29">
        <f>IF(B56="","",SUMIFS(Invoices!$O$5:$O$304,Invoices!$D$5:$D$304,B56,Invoices!$T$5:$T$304,"&lt;&gt;Draft"))</f>
        <v>0</v>
      </c>
      <c r="AG56" s="29">
        <f>IF(B56="","",SUMIFS(Invoices!$S$5:$S$304,Invoices!$D$5:$D$304,B56,Invoices!$T$5:$T$304,"&lt;&gt;Cancelled"))</f>
        <v>0</v>
      </c>
      <c r="AH56" s="29">
        <f>IF(OR(Z56="",Z56=0),"",SUMIFS(Bookings!$AK$5:$AK$404,Bookings!$C$5:$C$404,B56,Bookings!$AM$5:$AM$404,"&lt;&gt;Cancelled")/Z56)</f>
        <v>0</v>
      </c>
      <c r="AI56" s="49">
        <f>IF(B56="","",IF(Z56&gt;=LoyaltyThreshold,"Loyalty discount","Standard"))</f>
        <v>0</v>
      </c>
      <c r="AJ56" s="49">
        <f>IF(B56="","",IF(COUNTIF(Clients!$B$5:$B$254,B56)&gt;1,"Duplicate name",IF(AND(C56&lt;&gt;"",COUNTIF(Clients!$C$5:$C$254,C56)&gt;1),"Duplicate phone","OK")))</f>
        <v>0</v>
      </c>
      <c r="AK56" s="49">
        <f>IF(B56="","",IF(AND(C56&lt;&gt;"",D56&lt;&gt;"",L56&lt;&gt;"",M56&lt;&gt;""),"OK","Add: "&amp;IF(C56="","phone ","")&amp;IF(D56="","email ","")&amp;IF(L56="","date ","")&amp;IF(M56="","status","")))</f>
        <v>0</v>
      </c>
      <c r="AL56" s="49">
        <f>IF(B56="","",IF(AG56&gt;0.5,"Overdue - chase payment",IF(AND(M56="Active",ISNUMBER(AC56),AC56&gt;InactiveDays),"Inactive - win back",IF(AND(M56="Active",S56&lt;&gt;"Signed"),"Action - contract not signed",IF(AND(M56="Prospective",AD56=""),"Action - follow up quote","OK")))))</f>
        <v>0</v>
      </c>
    </row>
    <row r="57" spans="1:38">
      <c r="A57" s="46">
        <f>IF(B57="","",ClientPrefix&amp;TEXT(ROW()-4,"0000"))</f>
        <v>0</v>
      </c>
      <c r="Y57" s="31">
        <f>IF(B57="","",COUNTIF(Pets!$C$5:$C$254,B57))</f>
        <v>0</v>
      </c>
      <c r="Z57" s="31">
        <f>IF(B57="","",COUNTIFS(Bookings!$C$5:$C$404,B57))</f>
        <v>0</v>
      </c>
      <c r="AA57" s="31">
        <f>IF(B57="","",COUNTIFS('Visit Log'!$D$5:$D$404,B57,'Visit Log'!$AE$5:$AE$404,"Completed"))</f>
        <v>0</v>
      </c>
      <c r="AB57" s="21">
        <f>IF(B57="","",IF(SUMPRODUCT(MAX((Bookings!$C$5:$C$404=B57)*(Bookings!$AM$5:$AM$404="Completed")*Bookings!$I$5:$I$404))=0,"",SUMPRODUCT(MAX((Bookings!$C$5:$C$404=B57)*(Bookings!$AM$5:$AM$404="Completed")*Bookings!$I$5:$I$404))))</f>
        <v>0</v>
      </c>
      <c r="AC57" s="31">
        <f>IF(AB57="","",TODAY()-AB57)</f>
        <v>0</v>
      </c>
      <c r="AD57" s="21">
        <f>IF(B57="","",IF(COUNTIFS(Bookings!$C$5:$C$404,B57,Bookings!$I$5:$I$404,"&gt;="&amp;TODAY(),Bookings!$AM$5:$AM$404,"&lt;&gt;Cancelled")=0,"",SUMPRODUCT(MIN(((Bookings!$C$5:$C$404=B57)*(Bookings!$I$5:$I$404&gt;=TODAY())*(Bookings!$AM$5:$AM$404&lt;&gt;"Cancelled"))*Bookings!$I$5:$I$404+(1-((Bookings!$C$5:$C$404=B57)*(Bookings!$I$5:$I$404&gt;=TODAY())*(Bookings!$AM$5:$AM$404&lt;&gt;"Cancelled")))*2958465))))</f>
        <v>0</v>
      </c>
      <c r="AE57" s="29">
        <f>IF(B57="","",SUMIFS(Payments!$L$5:$L$304,Payments!$C$5:$C$304,B57))</f>
        <v>0</v>
      </c>
      <c r="AF57" s="29">
        <f>IF(B57="","",SUMIFS(Invoices!$O$5:$O$304,Invoices!$D$5:$D$304,B57,Invoices!$T$5:$T$304,"&lt;&gt;Draft"))</f>
        <v>0</v>
      </c>
      <c r="AG57" s="29">
        <f>IF(B57="","",SUMIFS(Invoices!$S$5:$S$304,Invoices!$D$5:$D$304,B57,Invoices!$T$5:$T$304,"&lt;&gt;Cancelled"))</f>
        <v>0</v>
      </c>
      <c r="AH57" s="29">
        <f>IF(OR(Z57="",Z57=0),"",SUMIFS(Bookings!$AK$5:$AK$404,Bookings!$C$5:$C$404,B57,Bookings!$AM$5:$AM$404,"&lt;&gt;Cancelled")/Z57)</f>
        <v>0</v>
      </c>
      <c r="AI57" s="49">
        <f>IF(B57="","",IF(Z57&gt;=LoyaltyThreshold,"Loyalty discount","Standard"))</f>
        <v>0</v>
      </c>
      <c r="AJ57" s="49">
        <f>IF(B57="","",IF(COUNTIF(Clients!$B$5:$B$254,B57)&gt;1,"Duplicate name",IF(AND(C57&lt;&gt;"",COUNTIF(Clients!$C$5:$C$254,C57)&gt;1),"Duplicate phone","OK")))</f>
        <v>0</v>
      </c>
      <c r="AK57" s="49">
        <f>IF(B57="","",IF(AND(C57&lt;&gt;"",D57&lt;&gt;"",L57&lt;&gt;"",M57&lt;&gt;""),"OK","Add: "&amp;IF(C57="","phone ","")&amp;IF(D57="","email ","")&amp;IF(L57="","date ","")&amp;IF(M57="","status","")))</f>
        <v>0</v>
      </c>
      <c r="AL57" s="49">
        <f>IF(B57="","",IF(AG57&gt;0.5,"Overdue - chase payment",IF(AND(M57="Active",ISNUMBER(AC57),AC57&gt;InactiveDays),"Inactive - win back",IF(AND(M57="Active",S57&lt;&gt;"Signed"),"Action - contract not signed",IF(AND(M57="Prospective",AD57=""),"Action - follow up quote","OK")))))</f>
        <v>0</v>
      </c>
    </row>
    <row r="58" spans="1:38">
      <c r="A58" s="46">
        <f>IF(B58="","",ClientPrefix&amp;TEXT(ROW()-4,"0000"))</f>
        <v>0</v>
      </c>
      <c r="Y58" s="31">
        <f>IF(B58="","",COUNTIF(Pets!$C$5:$C$254,B58))</f>
        <v>0</v>
      </c>
      <c r="Z58" s="31">
        <f>IF(B58="","",COUNTIFS(Bookings!$C$5:$C$404,B58))</f>
        <v>0</v>
      </c>
      <c r="AA58" s="31">
        <f>IF(B58="","",COUNTIFS('Visit Log'!$D$5:$D$404,B58,'Visit Log'!$AE$5:$AE$404,"Completed"))</f>
        <v>0</v>
      </c>
      <c r="AB58" s="21">
        <f>IF(B58="","",IF(SUMPRODUCT(MAX((Bookings!$C$5:$C$404=B58)*(Bookings!$AM$5:$AM$404="Completed")*Bookings!$I$5:$I$404))=0,"",SUMPRODUCT(MAX((Bookings!$C$5:$C$404=B58)*(Bookings!$AM$5:$AM$404="Completed")*Bookings!$I$5:$I$404))))</f>
        <v>0</v>
      </c>
      <c r="AC58" s="31">
        <f>IF(AB58="","",TODAY()-AB58)</f>
        <v>0</v>
      </c>
      <c r="AD58" s="21">
        <f>IF(B58="","",IF(COUNTIFS(Bookings!$C$5:$C$404,B58,Bookings!$I$5:$I$404,"&gt;="&amp;TODAY(),Bookings!$AM$5:$AM$404,"&lt;&gt;Cancelled")=0,"",SUMPRODUCT(MIN(((Bookings!$C$5:$C$404=B58)*(Bookings!$I$5:$I$404&gt;=TODAY())*(Bookings!$AM$5:$AM$404&lt;&gt;"Cancelled"))*Bookings!$I$5:$I$404+(1-((Bookings!$C$5:$C$404=B58)*(Bookings!$I$5:$I$404&gt;=TODAY())*(Bookings!$AM$5:$AM$404&lt;&gt;"Cancelled")))*2958465))))</f>
        <v>0</v>
      </c>
      <c r="AE58" s="29">
        <f>IF(B58="","",SUMIFS(Payments!$L$5:$L$304,Payments!$C$5:$C$304,B58))</f>
        <v>0</v>
      </c>
      <c r="AF58" s="29">
        <f>IF(B58="","",SUMIFS(Invoices!$O$5:$O$304,Invoices!$D$5:$D$304,B58,Invoices!$T$5:$T$304,"&lt;&gt;Draft"))</f>
        <v>0</v>
      </c>
      <c r="AG58" s="29">
        <f>IF(B58="","",SUMIFS(Invoices!$S$5:$S$304,Invoices!$D$5:$D$304,B58,Invoices!$T$5:$T$304,"&lt;&gt;Cancelled"))</f>
        <v>0</v>
      </c>
      <c r="AH58" s="29">
        <f>IF(OR(Z58="",Z58=0),"",SUMIFS(Bookings!$AK$5:$AK$404,Bookings!$C$5:$C$404,B58,Bookings!$AM$5:$AM$404,"&lt;&gt;Cancelled")/Z58)</f>
        <v>0</v>
      </c>
      <c r="AI58" s="49">
        <f>IF(B58="","",IF(Z58&gt;=LoyaltyThreshold,"Loyalty discount","Standard"))</f>
        <v>0</v>
      </c>
      <c r="AJ58" s="49">
        <f>IF(B58="","",IF(COUNTIF(Clients!$B$5:$B$254,B58)&gt;1,"Duplicate name",IF(AND(C58&lt;&gt;"",COUNTIF(Clients!$C$5:$C$254,C58)&gt;1),"Duplicate phone","OK")))</f>
        <v>0</v>
      </c>
      <c r="AK58" s="49">
        <f>IF(B58="","",IF(AND(C58&lt;&gt;"",D58&lt;&gt;"",L58&lt;&gt;"",M58&lt;&gt;""),"OK","Add: "&amp;IF(C58="","phone ","")&amp;IF(D58="","email ","")&amp;IF(L58="","date ","")&amp;IF(M58="","status","")))</f>
        <v>0</v>
      </c>
      <c r="AL58" s="49">
        <f>IF(B58="","",IF(AG58&gt;0.5,"Overdue - chase payment",IF(AND(M58="Active",ISNUMBER(AC58),AC58&gt;InactiveDays),"Inactive - win back",IF(AND(M58="Active",S58&lt;&gt;"Signed"),"Action - contract not signed",IF(AND(M58="Prospective",AD58=""),"Action - follow up quote","OK")))))</f>
        <v>0</v>
      </c>
    </row>
    <row r="59" spans="1:38">
      <c r="A59" s="46">
        <f>IF(B59="","",ClientPrefix&amp;TEXT(ROW()-4,"0000"))</f>
        <v>0</v>
      </c>
      <c r="Y59" s="31">
        <f>IF(B59="","",COUNTIF(Pets!$C$5:$C$254,B59))</f>
        <v>0</v>
      </c>
      <c r="Z59" s="31">
        <f>IF(B59="","",COUNTIFS(Bookings!$C$5:$C$404,B59))</f>
        <v>0</v>
      </c>
      <c r="AA59" s="31">
        <f>IF(B59="","",COUNTIFS('Visit Log'!$D$5:$D$404,B59,'Visit Log'!$AE$5:$AE$404,"Completed"))</f>
        <v>0</v>
      </c>
      <c r="AB59" s="21">
        <f>IF(B59="","",IF(SUMPRODUCT(MAX((Bookings!$C$5:$C$404=B59)*(Bookings!$AM$5:$AM$404="Completed")*Bookings!$I$5:$I$404))=0,"",SUMPRODUCT(MAX((Bookings!$C$5:$C$404=B59)*(Bookings!$AM$5:$AM$404="Completed")*Bookings!$I$5:$I$404))))</f>
        <v>0</v>
      </c>
      <c r="AC59" s="31">
        <f>IF(AB59="","",TODAY()-AB59)</f>
        <v>0</v>
      </c>
      <c r="AD59" s="21">
        <f>IF(B59="","",IF(COUNTIFS(Bookings!$C$5:$C$404,B59,Bookings!$I$5:$I$404,"&gt;="&amp;TODAY(),Bookings!$AM$5:$AM$404,"&lt;&gt;Cancelled")=0,"",SUMPRODUCT(MIN(((Bookings!$C$5:$C$404=B59)*(Bookings!$I$5:$I$404&gt;=TODAY())*(Bookings!$AM$5:$AM$404&lt;&gt;"Cancelled"))*Bookings!$I$5:$I$404+(1-((Bookings!$C$5:$C$404=B59)*(Bookings!$I$5:$I$404&gt;=TODAY())*(Bookings!$AM$5:$AM$404&lt;&gt;"Cancelled")))*2958465))))</f>
        <v>0</v>
      </c>
      <c r="AE59" s="29">
        <f>IF(B59="","",SUMIFS(Payments!$L$5:$L$304,Payments!$C$5:$C$304,B59))</f>
        <v>0</v>
      </c>
      <c r="AF59" s="29">
        <f>IF(B59="","",SUMIFS(Invoices!$O$5:$O$304,Invoices!$D$5:$D$304,B59,Invoices!$T$5:$T$304,"&lt;&gt;Draft"))</f>
        <v>0</v>
      </c>
      <c r="AG59" s="29">
        <f>IF(B59="","",SUMIFS(Invoices!$S$5:$S$304,Invoices!$D$5:$D$304,B59,Invoices!$T$5:$T$304,"&lt;&gt;Cancelled"))</f>
        <v>0</v>
      </c>
      <c r="AH59" s="29">
        <f>IF(OR(Z59="",Z59=0),"",SUMIFS(Bookings!$AK$5:$AK$404,Bookings!$C$5:$C$404,B59,Bookings!$AM$5:$AM$404,"&lt;&gt;Cancelled")/Z59)</f>
        <v>0</v>
      </c>
      <c r="AI59" s="49">
        <f>IF(B59="","",IF(Z59&gt;=LoyaltyThreshold,"Loyalty discount","Standard"))</f>
        <v>0</v>
      </c>
      <c r="AJ59" s="49">
        <f>IF(B59="","",IF(COUNTIF(Clients!$B$5:$B$254,B59)&gt;1,"Duplicate name",IF(AND(C59&lt;&gt;"",COUNTIF(Clients!$C$5:$C$254,C59)&gt;1),"Duplicate phone","OK")))</f>
        <v>0</v>
      </c>
      <c r="AK59" s="49">
        <f>IF(B59="","",IF(AND(C59&lt;&gt;"",D59&lt;&gt;"",L59&lt;&gt;"",M59&lt;&gt;""),"OK","Add: "&amp;IF(C59="","phone ","")&amp;IF(D59="","email ","")&amp;IF(L59="","date ","")&amp;IF(M59="","status","")))</f>
        <v>0</v>
      </c>
      <c r="AL59" s="49">
        <f>IF(B59="","",IF(AG59&gt;0.5,"Overdue - chase payment",IF(AND(M59="Active",ISNUMBER(AC59),AC59&gt;InactiveDays),"Inactive - win back",IF(AND(M59="Active",S59&lt;&gt;"Signed"),"Action - contract not signed",IF(AND(M59="Prospective",AD59=""),"Action - follow up quote","OK")))))</f>
        <v>0</v>
      </c>
    </row>
    <row r="60" spans="1:38">
      <c r="A60" s="46">
        <f>IF(B60="","",ClientPrefix&amp;TEXT(ROW()-4,"0000"))</f>
        <v>0</v>
      </c>
      <c r="Y60" s="31">
        <f>IF(B60="","",COUNTIF(Pets!$C$5:$C$254,B60))</f>
        <v>0</v>
      </c>
      <c r="Z60" s="31">
        <f>IF(B60="","",COUNTIFS(Bookings!$C$5:$C$404,B60))</f>
        <v>0</v>
      </c>
      <c r="AA60" s="31">
        <f>IF(B60="","",COUNTIFS('Visit Log'!$D$5:$D$404,B60,'Visit Log'!$AE$5:$AE$404,"Completed"))</f>
        <v>0</v>
      </c>
      <c r="AB60" s="21">
        <f>IF(B60="","",IF(SUMPRODUCT(MAX((Bookings!$C$5:$C$404=B60)*(Bookings!$AM$5:$AM$404="Completed")*Bookings!$I$5:$I$404))=0,"",SUMPRODUCT(MAX((Bookings!$C$5:$C$404=B60)*(Bookings!$AM$5:$AM$404="Completed")*Bookings!$I$5:$I$404))))</f>
        <v>0</v>
      </c>
      <c r="AC60" s="31">
        <f>IF(AB60="","",TODAY()-AB60)</f>
        <v>0</v>
      </c>
      <c r="AD60" s="21">
        <f>IF(B60="","",IF(COUNTIFS(Bookings!$C$5:$C$404,B60,Bookings!$I$5:$I$404,"&gt;="&amp;TODAY(),Bookings!$AM$5:$AM$404,"&lt;&gt;Cancelled")=0,"",SUMPRODUCT(MIN(((Bookings!$C$5:$C$404=B60)*(Bookings!$I$5:$I$404&gt;=TODAY())*(Bookings!$AM$5:$AM$404&lt;&gt;"Cancelled"))*Bookings!$I$5:$I$404+(1-((Bookings!$C$5:$C$404=B60)*(Bookings!$I$5:$I$404&gt;=TODAY())*(Bookings!$AM$5:$AM$404&lt;&gt;"Cancelled")))*2958465))))</f>
        <v>0</v>
      </c>
      <c r="AE60" s="29">
        <f>IF(B60="","",SUMIFS(Payments!$L$5:$L$304,Payments!$C$5:$C$304,B60))</f>
        <v>0</v>
      </c>
      <c r="AF60" s="29">
        <f>IF(B60="","",SUMIFS(Invoices!$O$5:$O$304,Invoices!$D$5:$D$304,B60,Invoices!$T$5:$T$304,"&lt;&gt;Draft"))</f>
        <v>0</v>
      </c>
      <c r="AG60" s="29">
        <f>IF(B60="","",SUMIFS(Invoices!$S$5:$S$304,Invoices!$D$5:$D$304,B60,Invoices!$T$5:$T$304,"&lt;&gt;Cancelled"))</f>
        <v>0</v>
      </c>
      <c r="AH60" s="29">
        <f>IF(OR(Z60="",Z60=0),"",SUMIFS(Bookings!$AK$5:$AK$404,Bookings!$C$5:$C$404,B60,Bookings!$AM$5:$AM$404,"&lt;&gt;Cancelled")/Z60)</f>
        <v>0</v>
      </c>
      <c r="AI60" s="49">
        <f>IF(B60="","",IF(Z60&gt;=LoyaltyThreshold,"Loyalty discount","Standard"))</f>
        <v>0</v>
      </c>
      <c r="AJ60" s="49">
        <f>IF(B60="","",IF(COUNTIF(Clients!$B$5:$B$254,B60)&gt;1,"Duplicate name",IF(AND(C60&lt;&gt;"",COUNTIF(Clients!$C$5:$C$254,C60)&gt;1),"Duplicate phone","OK")))</f>
        <v>0</v>
      </c>
      <c r="AK60" s="49">
        <f>IF(B60="","",IF(AND(C60&lt;&gt;"",D60&lt;&gt;"",L60&lt;&gt;"",M60&lt;&gt;""),"OK","Add: "&amp;IF(C60="","phone ","")&amp;IF(D60="","email ","")&amp;IF(L60="","date ","")&amp;IF(M60="","status","")))</f>
        <v>0</v>
      </c>
      <c r="AL60" s="49">
        <f>IF(B60="","",IF(AG60&gt;0.5,"Overdue - chase payment",IF(AND(M60="Active",ISNUMBER(AC60),AC60&gt;InactiveDays),"Inactive - win back",IF(AND(M60="Active",S60&lt;&gt;"Signed"),"Action - contract not signed",IF(AND(M60="Prospective",AD60=""),"Action - follow up quote","OK")))))</f>
        <v>0</v>
      </c>
    </row>
    <row r="61" spans="1:38">
      <c r="A61" s="46">
        <f>IF(B61="","",ClientPrefix&amp;TEXT(ROW()-4,"0000"))</f>
        <v>0</v>
      </c>
      <c r="Y61" s="31">
        <f>IF(B61="","",COUNTIF(Pets!$C$5:$C$254,B61))</f>
        <v>0</v>
      </c>
      <c r="Z61" s="31">
        <f>IF(B61="","",COUNTIFS(Bookings!$C$5:$C$404,B61))</f>
        <v>0</v>
      </c>
      <c r="AA61" s="31">
        <f>IF(B61="","",COUNTIFS('Visit Log'!$D$5:$D$404,B61,'Visit Log'!$AE$5:$AE$404,"Completed"))</f>
        <v>0</v>
      </c>
      <c r="AB61" s="21">
        <f>IF(B61="","",IF(SUMPRODUCT(MAX((Bookings!$C$5:$C$404=B61)*(Bookings!$AM$5:$AM$404="Completed")*Bookings!$I$5:$I$404))=0,"",SUMPRODUCT(MAX((Bookings!$C$5:$C$404=B61)*(Bookings!$AM$5:$AM$404="Completed")*Bookings!$I$5:$I$404))))</f>
        <v>0</v>
      </c>
      <c r="AC61" s="31">
        <f>IF(AB61="","",TODAY()-AB61)</f>
        <v>0</v>
      </c>
      <c r="AD61" s="21">
        <f>IF(B61="","",IF(COUNTIFS(Bookings!$C$5:$C$404,B61,Bookings!$I$5:$I$404,"&gt;="&amp;TODAY(),Bookings!$AM$5:$AM$404,"&lt;&gt;Cancelled")=0,"",SUMPRODUCT(MIN(((Bookings!$C$5:$C$404=B61)*(Bookings!$I$5:$I$404&gt;=TODAY())*(Bookings!$AM$5:$AM$404&lt;&gt;"Cancelled"))*Bookings!$I$5:$I$404+(1-((Bookings!$C$5:$C$404=B61)*(Bookings!$I$5:$I$404&gt;=TODAY())*(Bookings!$AM$5:$AM$404&lt;&gt;"Cancelled")))*2958465))))</f>
        <v>0</v>
      </c>
      <c r="AE61" s="29">
        <f>IF(B61="","",SUMIFS(Payments!$L$5:$L$304,Payments!$C$5:$C$304,B61))</f>
        <v>0</v>
      </c>
      <c r="AF61" s="29">
        <f>IF(B61="","",SUMIFS(Invoices!$O$5:$O$304,Invoices!$D$5:$D$304,B61,Invoices!$T$5:$T$304,"&lt;&gt;Draft"))</f>
        <v>0</v>
      </c>
      <c r="AG61" s="29">
        <f>IF(B61="","",SUMIFS(Invoices!$S$5:$S$304,Invoices!$D$5:$D$304,B61,Invoices!$T$5:$T$304,"&lt;&gt;Cancelled"))</f>
        <v>0</v>
      </c>
      <c r="AH61" s="29">
        <f>IF(OR(Z61="",Z61=0),"",SUMIFS(Bookings!$AK$5:$AK$404,Bookings!$C$5:$C$404,B61,Bookings!$AM$5:$AM$404,"&lt;&gt;Cancelled")/Z61)</f>
        <v>0</v>
      </c>
      <c r="AI61" s="49">
        <f>IF(B61="","",IF(Z61&gt;=LoyaltyThreshold,"Loyalty discount","Standard"))</f>
        <v>0</v>
      </c>
      <c r="AJ61" s="49">
        <f>IF(B61="","",IF(COUNTIF(Clients!$B$5:$B$254,B61)&gt;1,"Duplicate name",IF(AND(C61&lt;&gt;"",COUNTIF(Clients!$C$5:$C$254,C61)&gt;1),"Duplicate phone","OK")))</f>
        <v>0</v>
      </c>
      <c r="AK61" s="49">
        <f>IF(B61="","",IF(AND(C61&lt;&gt;"",D61&lt;&gt;"",L61&lt;&gt;"",M61&lt;&gt;""),"OK","Add: "&amp;IF(C61="","phone ","")&amp;IF(D61="","email ","")&amp;IF(L61="","date ","")&amp;IF(M61="","status","")))</f>
        <v>0</v>
      </c>
      <c r="AL61" s="49">
        <f>IF(B61="","",IF(AG61&gt;0.5,"Overdue - chase payment",IF(AND(M61="Active",ISNUMBER(AC61),AC61&gt;InactiveDays),"Inactive - win back",IF(AND(M61="Active",S61&lt;&gt;"Signed"),"Action - contract not signed",IF(AND(M61="Prospective",AD61=""),"Action - follow up quote","OK")))))</f>
        <v>0</v>
      </c>
    </row>
    <row r="62" spans="1:38">
      <c r="A62" s="46">
        <f>IF(B62="","",ClientPrefix&amp;TEXT(ROW()-4,"0000"))</f>
        <v>0</v>
      </c>
      <c r="Y62" s="31">
        <f>IF(B62="","",COUNTIF(Pets!$C$5:$C$254,B62))</f>
        <v>0</v>
      </c>
      <c r="Z62" s="31">
        <f>IF(B62="","",COUNTIFS(Bookings!$C$5:$C$404,B62))</f>
        <v>0</v>
      </c>
      <c r="AA62" s="31">
        <f>IF(B62="","",COUNTIFS('Visit Log'!$D$5:$D$404,B62,'Visit Log'!$AE$5:$AE$404,"Completed"))</f>
        <v>0</v>
      </c>
      <c r="AB62" s="21">
        <f>IF(B62="","",IF(SUMPRODUCT(MAX((Bookings!$C$5:$C$404=B62)*(Bookings!$AM$5:$AM$404="Completed")*Bookings!$I$5:$I$404))=0,"",SUMPRODUCT(MAX((Bookings!$C$5:$C$404=B62)*(Bookings!$AM$5:$AM$404="Completed")*Bookings!$I$5:$I$404))))</f>
        <v>0</v>
      </c>
      <c r="AC62" s="31">
        <f>IF(AB62="","",TODAY()-AB62)</f>
        <v>0</v>
      </c>
      <c r="AD62" s="21">
        <f>IF(B62="","",IF(COUNTIFS(Bookings!$C$5:$C$404,B62,Bookings!$I$5:$I$404,"&gt;="&amp;TODAY(),Bookings!$AM$5:$AM$404,"&lt;&gt;Cancelled")=0,"",SUMPRODUCT(MIN(((Bookings!$C$5:$C$404=B62)*(Bookings!$I$5:$I$404&gt;=TODAY())*(Bookings!$AM$5:$AM$404&lt;&gt;"Cancelled"))*Bookings!$I$5:$I$404+(1-((Bookings!$C$5:$C$404=B62)*(Bookings!$I$5:$I$404&gt;=TODAY())*(Bookings!$AM$5:$AM$404&lt;&gt;"Cancelled")))*2958465))))</f>
        <v>0</v>
      </c>
      <c r="AE62" s="29">
        <f>IF(B62="","",SUMIFS(Payments!$L$5:$L$304,Payments!$C$5:$C$304,B62))</f>
        <v>0</v>
      </c>
      <c r="AF62" s="29">
        <f>IF(B62="","",SUMIFS(Invoices!$O$5:$O$304,Invoices!$D$5:$D$304,B62,Invoices!$T$5:$T$304,"&lt;&gt;Draft"))</f>
        <v>0</v>
      </c>
      <c r="AG62" s="29">
        <f>IF(B62="","",SUMIFS(Invoices!$S$5:$S$304,Invoices!$D$5:$D$304,B62,Invoices!$T$5:$T$304,"&lt;&gt;Cancelled"))</f>
        <v>0</v>
      </c>
      <c r="AH62" s="29">
        <f>IF(OR(Z62="",Z62=0),"",SUMIFS(Bookings!$AK$5:$AK$404,Bookings!$C$5:$C$404,B62,Bookings!$AM$5:$AM$404,"&lt;&gt;Cancelled")/Z62)</f>
        <v>0</v>
      </c>
      <c r="AI62" s="49">
        <f>IF(B62="","",IF(Z62&gt;=LoyaltyThreshold,"Loyalty discount","Standard"))</f>
        <v>0</v>
      </c>
      <c r="AJ62" s="49">
        <f>IF(B62="","",IF(COUNTIF(Clients!$B$5:$B$254,B62)&gt;1,"Duplicate name",IF(AND(C62&lt;&gt;"",COUNTIF(Clients!$C$5:$C$254,C62)&gt;1),"Duplicate phone","OK")))</f>
        <v>0</v>
      </c>
      <c r="AK62" s="49">
        <f>IF(B62="","",IF(AND(C62&lt;&gt;"",D62&lt;&gt;"",L62&lt;&gt;"",M62&lt;&gt;""),"OK","Add: "&amp;IF(C62="","phone ","")&amp;IF(D62="","email ","")&amp;IF(L62="","date ","")&amp;IF(M62="","status","")))</f>
        <v>0</v>
      </c>
      <c r="AL62" s="49">
        <f>IF(B62="","",IF(AG62&gt;0.5,"Overdue - chase payment",IF(AND(M62="Active",ISNUMBER(AC62),AC62&gt;InactiveDays),"Inactive - win back",IF(AND(M62="Active",S62&lt;&gt;"Signed"),"Action - contract not signed",IF(AND(M62="Prospective",AD62=""),"Action - follow up quote","OK")))))</f>
        <v>0</v>
      </c>
    </row>
    <row r="63" spans="1:38">
      <c r="A63" s="46">
        <f>IF(B63="","",ClientPrefix&amp;TEXT(ROW()-4,"0000"))</f>
        <v>0</v>
      </c>
      <c r="Y63" s="31">
        <f>IF(B63="","",COUNTIF(Pets!$C$5:$C$254,B63))</f>
        <v>0</v>
      </c>
      <c r="Z63" s="31">
        <f>IF(B63="","",COUNTIFS(Bookings!$C$5:$C$404,B63))</f>
        <v>0</v>
      </c>
      <c r="AA63" s="31">
        <f>IF(B63="","",COUNTIFS('Visit Log'!$D$5:$D$404,B63,'Visit Log'!$AE$5:$AE$404,"Completed"))</f>
        <v>0</v>
      </c>
      <c r="AB63" s="21">
        <f>IF(B63="","",IF(SUMPRODUCT(MAX((Bookings!$C$5:$C$404=B63)*(Bookings!$AM$5:$AM$404="Completed")*Bookings!$I$5:$I$404))=0,"",SUMPRODUCT(MAX((Bookings!$C$5:$C$404=B63)*(Bookings!$AM$5:$AM$404="Completed")*Bookings!$I$5:$I$404))))</f>
        <v>0</v>
      </c>
      <c r="AC63" s="31">
        <f>IF(AB63="","",TODAY()-AB63)</f>
        <v>0</v>
      </c>
      <c r="AD63" s="21">
        <f>IF(B63="","",IF(COUNTIFS(Bookings!$C$5:$C$404,B63,Bookings!$I$5:$I$404,"&gt;="&amp;TODAY(),Bookings!$AM$5:$AM$404,"&lt;&gt;Cancelled")=0,"",SUMPRODUCT(MIN(((Bookings!$C$5:$C$404=B63)*(Bookings!$I$5:$I$404&gt;=TODAY())*(Bookings!$AM$5:$AM$404&lt;&gt;"Cancelled"))*Bookings!$I$5:$I$404+(1-((Bookings!$C$5:$C$404=B63)*(Bookings!$I$5:$I$404&gt;=TODAY())*(Bookings!$AM$5:$AM$404&lt;&gt;"Cancelled")))*2958465))))</f>
        <v>0</v>
      </c>
      <c r="AE63" s="29">
        <f>IF(B63="","",SUMIFS(Payments!$L$5:$L$304,Payments!$C$5:$C$304,B63))</f>
        <v>0</v>
      </c>
      <c r="AF63" s="29">
        <f>IF(B63="","",SUMIFS(Invoices!$O$5:$O$304,Invoices!$D$5:$D$304,B63,Invoices!$T$5:$T$304,"&lt;&gt;Draft"))</f>
        <v>0</v>
      </c>
      <c r="AG63" s="29">
        <f>IF(B63="","",SUMIFS(Invoices!$S$5:$S$304,Invoices!$D$5:$D$304,B63,Invoices!$T$5:$T$304,"&lt;&gt;Cancelled"))</f>
        <v>0</v>
      </c>
      <c r="AH63" s="29">
        <f>IF(OR(Z63="",Z63=0),"",SUMIFS(Bookings!$AK$5:$AK$404,Bookings!$C$5:$C$404,B63,Bookings!$AM$5:$AM$404,"&lt;&gt;Cancelled")/Z63)</f>
        <v>0</v>
      </c>
      <c r="AI63" s="49">
        <f>IF(B63="","",IF(Z63&gt;=LoyaltyThreshold,"Loyalty discount","Standard"))</f>
        <v>0</v>
      </c>
      <c r="AJ63" s="49">
        <f>IF(B63="","",IF(COUNTIF(Clients!$B$5:$B$254,B63)&gt;1,"Duplicate name",IF(AND(C63&lt;&gt;"",COUNTIF(Clients!$C$5:$C$254,C63)&gt;1),"Duplicate phone","OK")))</f>
        <v>0</v>
      </c>
      <c r="AK63" s="49">
        <f>IF(B63="","",IF(AND(C63&lt;&gt;"",D63&lt;&gt;"",L63&lt;&gt;"",M63&lt;&gt;""),"OK","Add: "&amp;IF(C63="","phone ","")&amp;IF(D63="","email ","")&amp;IF(L63="","date ","")&amp;IF(M63="","status","")))</f>
        <v>0</v>
      </c>
      <c r="AL63" s="49">
        <f>IF(B63="","",IF(AG63&gt;0.5,"Overdue - chase payment",IF(AND(M63="Active",ISNUMBER(AC63),AC63&gt;InactiveDays),"Inactive - win back",IF(AND(M63="Active",S63&lt;&gt;"Signed"),"Action - contract not signed",IF(AND(M63="Prospective",AD63=""),"Action - follow up quote","OK")))))</f>
        <v>0</v>
      </c>
    </row>
    <row r="64" spans="1:38">
      <c r="A64" s="46">
        <f>IF(B64="","",ClientPrefix&amp;TEXT(ROW()-4,"0000"))</f>
        <v>0</v>
      </c>
      <c r="Y64" s="31">
        <f>IF(B64="","",COUNTIF(Pets!$C$5:$C$254,B64))</f>
        <v>0</v>
      </c>
      <c r="Z64" s="31">
        <f>IF(B64="","",COUNTIFS(Bookings!$C$5:$C$404,B64))</f>
        <v>0</v>
      </c>
      <c r="AA64" s="31">
        <f>IF(B64="","",COUNTIFS('Visit Log'!$D$5:$D$404,B64,'Visit Log'!$AE$5:$AE$404,"Completed"))</f>
        <v>0</v>
      </c>
      <c r="AB64" s="21">
        <f>IF(B64="","",IF(SUMPRODUCT(MAX((Bookings!$C$5:$C$404=B64)*(Bookings!$AM$5:$AM$404="Completed")*Bookings!$I$5:$I$404))=0,"",SUMPRODUCT(MAX((Bookings!$C$5:$C$404=B64)*(Bookings!$AM$5:$AM$404="Completed")*Bookings!$I$5:$I$404))))</f>
        <v>0</v>
      </c>
      <c r="AC64" s="31">
        <f>IF(AB64="","",TODAY()-AB64)</f>
        <v>0</v>
      </c>
      <c r="AD64" s="21">
        <f>IF(B64="","",IF(COUNTIFS(Bookings!$C$5:$C$404,B64,Bookings!$I$5:$I$404,"&gt;="&amp;TODAY(),Bookings!$AM$5:$AM$404,"&lt;&gt;Cancelled")=0,"",SUMPRODUCT(MIN(((Bookings!$C$5:$C$404=B64)*(Bookings!$I$5:$I$404&gt;=TODAY())*(Bookings!$AM$5:$AM$404&lt;&gt;"Cancelled"))*Bookings!$I$5:$I$404+(1-((Bookings!$C$5:$C$404=B64)*(Bookings!$I$5:$I$404&gt;=TODAY())*(Bookings!$AM$5:$AM$404&lt;&gt;"Cancelled")))*2958465))))</f>
        <v>0</v>
      </c>
      <c r="AE64" s="29">
        <f>IF(B64="","",SUMIFS(Payments!$L$5:$L$304,Payments!$C$5:$C$304,B64))</f>
        <v>0</v>
      </c>
      <c r="AF64" s="29">
        <f>IF(B64="","",SUMIFS(Invoices!$O$5:$O$304,Invoices!$D$5:$D$304,B64,Invoices!$T$5:$T$304,"&lt;&gt;Draft"))</f>
        <v>0</v>
      </c>
      <c r="AG64" s="29">
        <f>IF(B64="","",SUMIFS(Invoices!$S$5:$S$304,Invoices!$D$5:$D$304,B64,Invoices!$T$5:$T$304,"&lt;&gt;Cancelled"))</f>
        <v>0</v>
      </c>
      <c r="AH64" s="29">
        <f>IF(OR(Z64="",Z64=0),"",SUMIFS(Bookings!$AK$5:$AK$404,Bookings!$C$5:$C$404,B64,Bookings!$AM$5:$AM$404,"&lt;&gt;Cancelled")/Z64)</f>
        <v>0</v>
      </c>
      <c r="AI64" s="49">
        <f>IF(B64="","",IF(Z64&gt;=LoyaltyThreshold,"Loyalty discount","Standard"))</f>
        <v>0</v>
      </c>
      <c r="AJ64" s="49">
        <f>IF(B64="","",IF(COUNTIF(Clients!$B$5:$B$254,B64)&gt;1,"Duplicate name",IF(AND(C64&lt;&gt;"",COUNTIF(Clients!$C$5:$C$254,C64)&gt;1),"Duplicate phone","OK")))</f>
        <v>0</v>
      </c>
      <c r="AK64" s="49">
        <f>IF(B64="","",IF(AND(C64&lt;&gt;"",D64&lt;&gt;"",L64&lt;&gt;"",M64&lt;&gt;""),"OK","Add: "&amp;IF(C64="","phone ","")&amp;IF(D64="","email ","")&amp;IF(L64="","date ","")&amp;IF(M64="","status","")))</f>
        <v>0</v>
      </c>
      <c r="AL64" s="49">
        <f>IF(B64="","",IF(AG64&gt;0.5,"Overdue - chase payment",IF(AND(M64="Active",ISNUMBER(AC64),AC64&gt;InactiveDays),"Inactive - win back",IF(AND(M64="Active",S64&lt;&gt;"Signed"),"Action - contract not signed",IF(AND(M64="Prospective",AD64=""),"Action - follow up quote","OK")))))</f>
        <v>0</v>
      </c>
    </row>
    <row r="65" spans="1:38">
      <c r="A65" s="46">
        <f>IF(B65="","",ClientPrefix&amp;TEXT(ROW()-4,"0000"))</f>
        <v>0</v>
      </c>
      <c r="Y65" s="31">
        <f>IF(B65="","",COUNTIF(Pets!$C$5:$C$254,B65))</f>
        <v>0</v>
      </c>
      <c r="Z65" s="31">
        <f>IF(B65="","",COUNTIFS(Bookings!$C$5:$C$404,B65))</f>
        <v>0</v>
      </c>
      <c r="AA65" s="31">
        <f>IF(B65="","",COUNTIFS('Visit Log'!$D$5:$D$404,B65,'Visit Log'!$AE$5:$AE$404,"Completed"))</f>
        <v>0</v>
      </c>
      <c r="AB65" s="21">
        <f>IF(B65="","",IF(SUMPRODUCT(MAX((Bookings!$C$5:$C$404=B65)*(Bookings!$AM$5:$AM$404="Completed")*Bookings!$I$5:$I$404))=0,"",SUMPRODUCT(MAX((Bookings!$C$5:$C$404=B65)*(Bookings!$AM$5:$AM$404="Completed")*Bookings!$I$5:$I$404))))</f>
        <v>0</v>
      </c>
      <c r="AC65" s="31">
        <f>IF(AB65="","",TODAY()-AB65)</f>
        <v>0</v>
      </c>
      <c r="AD65" s="21">
        <f>IF(B65="","",IF(COUNTIFS(Bookings!$C$5:$C$404,B65,Bookings!$I$5:$I$404,"&gt;="&amp;TODAY(),Bookings!$AM$5:$AM$404,"&lt;&gt;Cancelled")=0,"",SUMPRODUCT(MIN(((Bookings!$C$5:$C$404=B65)*(Bookings!$I$5:$I$404&gt;=TODAY())*(Bookings!$AM$5:$AM$404&lt;&gt;"Cancelled"))*Bookings!$I$5:$I$404+(1-((Bookings!$C$5:$C$404=B65)*(Bookings!$I$5:$I$404&gt;=TODAY())*(Bookings!$AM$5:$AM$404&lt;&gt;"Cancelled")))*2958465))))</f>
        <v>0</v>
      </c>
      <c r="AE65" s="29">
        <f>IF(B65="","",SUMIFS(Payments!$L$5:$L$304,Payments!$C$5:$C$304,B65))</f>
        <v>0</v>
      </c>
      <c r="AF65" s="29">
        <f>IF(B65="","",SUMIFS(Invoices!$O$5:$O$304,Invoices!$D$5:$D$304,B65,Invoices!$T$5:$T$304,"&lt;&gt;Draft"))</f>
        <v>0</v>
      </c>
      <c r="AG65" s="29">
        <f>IF(B65="","",SUMIFS(Invoices!$S$5:$S$304,Invoices!$D$5:$D$304,B65,Invoices!$T$5:$T$304,"&lt;&gt;Cancelled"))</f>
        <v>0</v>
      </c>
      <c r="AH65" s="29">
        <f>IF(OR(Z65="",Z65=0),"",SUMIFS(Bookings!$AK$5:$AK$404,Bookings!$C$5:$C$404,B65,Bookings!$AM$5:$AM$404,"&lt;&gt;Cancelled")/Z65)</f>
        <v>0</v>
      </c>
      <c r="AI65" s="49">
        <f>IF(B65="","",IF(Z65&gt;=LoyaltyThreshold,"Loyalty discount","Standard"))</f>
        <v>0</v>
      </c>
      <c r="AJ65" s="49">
        <f>IF(B65="","",IF(COUNTIF(Clients!$B$5:$B$254,B65)&gt;1,"Duplicate name",IF(AND(C65&lt;&gt;"",COUNTIF(Clients!$C$5:$C$254,C65)&gt;1),"Duplicate phone","OK")))</f>
        <v>0</v>
      </c>
      <c r="AK65" s="49">
        <f>IF(B65="","",IF(AND(C65&lt;&gt;"",D65&lt;&gt;"",L65&lt;&gt;"",M65&lt;&gt;""),"OK","Add: "&amp;IF(C65="","phone ","")&amp;IF(D65="","email ","")&amp;IF(L65="","date ","")&amp;IF(M65="","status","")))</f>
        <v>0</v>
      </c>
      <c r="AL65" s="49">
        <f>IF(B65="","",IF(AG65&gt;0.5,"Overdue - chase payment",IF(AND(M65="Active",ISNUMBER(AC65),AC65&gt;InactiveDays),"Inactive - win back",IF(AND(M65="Active",S65&lt;&gt;"Signed"),"Action - contract not signed",IF(AND(M65="Prospective",AD65=""),"Action - follow up quote","OK")))))</f>
        <v>0</v>
      </c>
    </row>
    <row r="66" spans="1:38">
      <c r="A66" s="46">
        <f>IF(B66="","",ClientPrefix&amp;TEXT(ROW()-4,"0000"))</f>
        <v>0</v>
      </c>
      <c r="Y66" s="31">
        <f>IF(B66="","",COUNTIF(Pets!$C$5:$C$254,B66))</f>
        <v>0</v>
      </c>
      <c r="Z66" s="31">
        <f>IF(B66="","",COUNTIFS(Bookings!$C$5:$C$404,B66))</f>
        <v>0</v>
      </c>
      <c r="AA66" s="31">
        <f>IF(B66="","",COUNTIFS('Visit Log'!$D$5:$D$404,B66,'Visit Log'!$AE$5:$AE$404,"Completed"))</f>
        <v>0</v>
      </c>
      <c r="AB66" s="21">
        <f>IF(B66="","",IF(SUMPRODUCT(MAX((Bookings!$C$5:$C$404=B66)*(Bookings!$AM$5:$AM$404="Completed")*Bookings!$I$5:$I$404))=0,"",SUMPRODUCT(MAX((Bookings!$C$5:$C$404=B66)*(Bookings!$AM$5:$AM$404="Completed")*Bookings!$I$5:$I$404))))</f>
        <v>0</v>
      </c>
      <c r="AC66" s="31">
        <f>IF(AB66="","",TODAY()-AB66)</f>
        <v>0</v>
      </c>
      <c r="AD66" s="21">
        <f>IF(B66="","",IF(COUNTIFS(Bookings!$C$5:$C$404,B66,Bookings!$I$5:$I$404,"&gt;="&amp;TODAY(),Bookings!$AM$5:$AM$404,"&lt;&gt;Cancelled")=0,"",SUMPRODUCT(MIN(((Bookings!$C$5:$C$404=B66)*(Bookings!$I$5:$I$404&gt;=TODAY())*(Bookings!$AM$5:$AM$404&lt;&gt;"Cancelled"))*Bookings!$I$5:$I$404+(1-((Bookings!$C$5:$C$404=B66)*(Bookings!$I$5:$I$404&gt;=TODAY())*(Bookings!$AM$5:$AM$404&lt;&gt;"Cancelled")))*2958465))))</f>
        <v>0</v>
      </c>
      <c r="AE66" s="29">
        <f>IF(B66="","",SUMIFS(Payments!$L$5:$L$304,Payments!$C$5:$C$304,B66))</f>
        <v>0</v>
      </c>
      <c r="AF66" s="29">
        <f>IF(B66="","",SUMIFS(Invoices!$O$5:$O$304,Invoices!$D$5:$D$304,B66,Invoices!$T$5:$T$304,"&lt;&gt;Draft"))</f>
        <v>0</v>
      </c>
      <c r="AG66" s="29">
        <f>IF(B66="","",SUMIFS(Invoices!$S$5:$S$304,Invoices!$D$5:$D$304,B66,Invoices!$T$5:$T$304,"&lt;&gt;Cancelled"))</f>
        <v>0</v>
      </c>
      <c r="AH66" s="29">
        <f>IF(OR(Z66="",Z66=0),"",SUMIFS(Bookings!$AK$5:$AK$404,Bookings!$C$5:$C$404,B66,Bookings!$AM$5:$AM$404,"&lt;&gt;Cancelled")/Z66)</f>
        <v>0</v>
      </c>
      <c r="AI66" s="49">
        <f>IF(B66="","",IF(Z66&gt;=LoyaltyThreshold,"Loyalty discount","Standard"))</f>
        <v>0</v>
      </c>
      <c r="AJ66" s="49">
        <f>IF(B66="","",IF(COUNTIF(Clients!$B$5:$B$254,B66)&gt;1,"Duplicate name",IF(AND(C66&lt;&gt;"",COUNTIF(Clients!$C$5:$C$254,C66)&gt;1),"Duplicate phone","OK")))</f>
        <v>0</v>
      </c>
      <c r="AK66" s="49">
        <f>IF(B66="","",IF(AND(C66&lt;&gt;"",D66&lt;&gt;"",L66&lt;&gt;"",M66&lt;&gt;""),"OK","Add: "&amp;IF(C66="","phone ","")&amp;IF(D66="","email ","")&amp;IF(L66="","date ","")&amp;IF(M66="","status","")))</f>
        <v>0</v>
      </c>
      <c r="AL66" s="49">
        <f>IF(B66="","",IF(AG66&gt;0.5,"Overdue - chase payment",IF(AND(M66="Active",ISNUMBER(AC66),AC66&gt;InactiveDays),"Inactive - win back",IF(AND(M66="Active",S66&lt;&gt;"Signed"),"Action - contract not signed",IF(AND(M66="Prospective",AD66=""),"Action - follow up quote","OK")))))</f>
        <v>0</v>
      </c>
    </row>
    <row r="67" spans="1:38">
      <c r="A67" s="46">
        <f>IF(B67="","",ClientPrefix&amp;TEXT(ROW()-4,"0000"))</f>
        <v>0</v>
      </c>
      <c r="Y67" s="31">
        <f>IF(B67="","",COUNTIF(Pets!$C$5:$C$254,B67))</f>
        <v>0</v>
      </c>
      <c r="Z67" s="31">
        <f>IF(B67="","",COUNTIFS(Bookings!$C$5:$C$404,B67))</f>
        <v>0</v>
      </c>
      <c r="AA67" s="31">
        <f>IF(B67="","",COUNTIFS('Visit Log'!$D$5:$D$404,B67,'Visit Log'!$AE$5:$AE$404,"Completed"))</f>
        <v>0</v>
      </c>
      <c r="AB67" s="21">
        <f>IF(B67="","",IF(SUMPRODUCT(MAX((Bookings!$C$5:$C$404=B67)*(Bookings!$AM$5:$AM$404="Completed")*Bookings!$I$5:$I$404))=0,"",SUMPRODUCT(MAX((Bookings!$C$5:$C$404=B67)*(Bookings!$AM$5:$AM$404="Completed")*Bookings!$I$5:$I$404))))</f>
        <v>0</v>
      </c>
      <c r="AC67" s="31">
        <f>IF(AB67="","",TODAY()-AB67)</f>
        <v>0</v>
      </c>
      <c r="AD67" s="21">
        <f>IF(B67="","",IF(COUNTIFS(Bookings!$C$5:$C$404,B67,Bookings!$I$5:$I$404,"&gt;="&amp;TODAY(),Bookings!$AM$5:$AM$404,"&lt;&gt;Cancelled")=0,"",SUMPRODUCT(MIN(((Bookings!$C$5:$C$404=B67)*(Bookings!$I$5:$I$404&gt;=TODAY())*(Bookings!$AM$5:$AM$404&lt;&gt;"Cancelled"))*Bookings!$I$5:$I$404+(1-((Bookings!$C$5:$C$404=B67)*(Bookings!$I$5:$I$404&gt;=TODAY())*(Bookings!$AM$5:$AM$404&lt;&gt;"Cancelled")))*2958465))))</f>
        <v>0</v>
      </c>
      <c r="AE67" s="29">
        <f>IF(B67="","",SUMIFS(Payments!$L$5:$L$304,Payments!$C$5:$C$304,B67))</f>
        <v>0</v>
      </c>
      <c r="AF67" s="29">
        <f>IF(B67="","",SUMIFS(Invoices!$O$5:$O$304,Invoices!$D$5:$D$304,B67,Invoices!$T$5:$T$304,"&lt;&gt;Draft"))</f>
        <v>0</v>
      </c>
      <c r="AG67" s="29">
        <f>IF(B67="","",SUMIFS(Invoices!$S$5:$S$304,Invoices!$D$5:$D$304,B67,Invoices!$T$5:$T$304,"&lt;&gt;Cancelled"))</f>
        <v>0</v>
      </c>
      <c r="AH67" s="29">
        <f>IF(OR(Z67="",Z67=0),"",SUMIFS(Bookings!$AK$5:$AK$404,Bookings!$C$5:$C$404,B67,Bookings!$AM$5:$AM$404,"&lt;&gt;Cancelled")/Z67)</f>
        <v>0</v>
      </c>
      <c r="AI67" s="49">
        <f>IF(B67="","",IF(Z67&gt;=LoyaltyThreshold,"Loyalty discount","Standard"))</f>
        <v>0</v>
      </c>
      <c r="AJ67" s="49">
        <f>IF(B67="","",IF(COUNTIF(Clients!$B$5:$B$254,B67)&gt;1,"Duplicate name",IF(AND(C67&lt;&gt;"",COUNTIF(Clients!$C$5:$C$254,C67)&gt;1),"Duplicate phone","OK")))</f>
        <v>0</v>
      </c>
      <c r="AK67" s="49">
        <f>IF(B67="","",IF(AND(C67&lt;&gt;"",D67&lt;&gt;"",L67&lt;&gt;"",M67&lt;&gt;""),"OK","Add: "&amp;IF(C67="","phone ","")&amp;IF(D67="","email ","")&amp;IF(L67="","date ","")&amp;IF(M67="","status","")))</f>
        <v>0</v>
      </c>
      <c r="AL67" s="49">
        <f>IF(B67="","",IF(AG67&gt;0.5,"Overdue - chase payment",IF(AND(M67="Active",ISNUMBER(AC67),AC67&gt;InactiveDays),"Inactive - win back",IF(AND(M67="Active",S67&lt;&gt;"Signed"),"Action - contract not signed",IF(AND(M67="Prospective",AD67=""),"Action - follow up quote","OK")))))</f>
        <v>0</v>
      </c>
    </row>
    <row r="68" spans="1:38">
      <c r="A68" s="46">
        <f>IF(B68="","",ClientPrefix&amp;TEXT(ROW()-4,"0000"))</f>
        <v>0</v>
      </c>
      <c r="Y68" s="31">
        <f>IF(B68="","",COUNTIF(Pets!$C$5:$C$254,B68))</f>
        <v>0</v>
      </c>
      <c r="Z68" s="31">
        <f>IF(B68="","",COUNTIFS(Bookings!$C$5:$C$404,B68))</f>
        <v>0</v>
      </c>
      <c r="AA68" s="31">
        <f>IF(B68="","",COUNTIFS('Visit Log'!$D$5:$D$404,B68,'Visit Log'!$AE$5:$AE$404,"Completed"))</f>
        <v>0</v>
      </c>
      <c r="AB68" s="21">
        <f>IF(B68="","",IF(SUMPRODUCT(MAX((Bookings!$C$5:$C$404=B68)*(Bookings!$AM$5:$AM$404="Completed")*Bookings!$I$5:$I$404))=0,"",SUMPRODUCT(MAX((Bookings!$C$5:$C$404=B68)*(Bookings!$AM$5:$AM$404="Completed")*Bookings!$I$5:$I$404))))</f>
        <v>0</v>
      </c>
      <c r="AC68" s="31">
        <f>IF(AB68="","",TODAY()-AB68)</f>
        <v>0</v>
      </c>
      <c r="AD68" s="21">
        <f>IF(B68="","",IF(COUNTIFS(Bookings!$C$5:$C$404,B68,Bookings!$I$5:$I$404,"&gt;="&amp;TODAY(),Bookings!$AM$5:$AM$404,"&lt;&gt;Cancelled")=0,"",SUMPRODUCT(MIN(((Bookings!$C$5:$C$404=B68)*(Bookings!$I$5:$I$404&gt;=TODAY())*(Bookings!$AM$5:$AM$404&lt;&gt;"Cancelled"))*Bookings!$I$5:$I$404+(1-((Bookings!$C$5:$C$404=B68)*(Bookings!$I$5:$I$404&gt;=TODAY())*(Bookings!$AM$5:$AM$404&lt;&gt;"Cancelled")))*2958465))))</f>
        <v>0</v>
      </c>
      <c r="AE68" s="29">
        <f>IF(B68="","",SUMIFS(Payments!$L$5:$L$304,Payments!$C$5:$C$304,B68))</f>
        <v>0</v>
      </c>
      <c r="AF68" s="29">
        <f>IF(B68="","",SUMIFS(Invoices!$O$5:$O$304,Invoices!$D$5:$D$304,B68,Invoices!$T$5:$T$304,"&lt;&gt;Draft"))</f>
        <v>0</v>
      </c>
      <c r="AG68" s="29">
        <f>IF(B68="","",SUMIFS(Invoices!$S$5:$S$304,Invoices!$D$5:$D$304,B68,Invoices!$T$5:$T$304,"&lt;&gt;Cancelled"))</f>
        <v>0</v>
      </c>
      <c r="AH68" s="29">
        <f>IF(OR(Z68="",Z68=0),"",SUMIFS(Bookings!$AK$5:$AK$404,Bookings!$C$5:$C$404,B68,Bookings!$AM$5:$AM$404,"&lt;&gt;Cancelled")/Z68)</f>
        <v>0</v>
      </c>
      <c r="AI68" s="49">
        <f>IF(B68="","",IF(Z68&gt;=LoyaltyThreshold,"Loyalty discount","Standard"))</f>
        <v>0</v>
      </c>
      <c r="AJ68" s="49">
        <f>IF(B68="","",IF(COUNTIF(Clients!$B$5:$B$254,B68)&gt;1,"Duplicate name",IF(AND(C68&lt;&gt;"",COUNTIF(Clients!$C$5:$C$254,C68)&gt;1),"Duplicate phone","OK")))</f>
        <v>0</v>
      </c>
      <c r="AK68" s="49">
        <f>IF(B68="","",IF(AND(C68&lt;&gt;"",D68&lt;&gt;"",L68&lt;&gt;"",M68&lt;&gt;""),"OK","Add: "&amp;IF(C68="","phone ","")&amp;IF(D68="","email ","")&amp;IF(L68="","date ","")&amp;IF(M68="","status","")))</f>
        <v>0</v>
      </c>
      <c r="AL68" s="49">
        <f>IF(B68="","",IF(AG68&gt;0.5,"Overdue - chase payment",IF(AND(M68="Active",ISNUMBER(AC68),AC68&gt;InactiveDays),"Inactive - win back",IF(AND(M68="Active",S68&lt;&gt;"Signed"),"Action - contract not signed",IF(AND(M68="Prospective",AD68=""),"Action - follow up quote","OK")))))</f>
        <v>0</v>
      </c>
    </row>
    <row r="69" spans="1:38">
      <c r="A69" s="46">
        <f>IF(B69="","",ClientPrefix&amp;TEXT(ROW()-4,"0000"))</f>
        <v>0</v>
      </c>
      <c r="Y69" s="31">
        <f>IF(B69="","",COUNTIF(Pets!$C$5:$C$254,B69))</f>
        <v>0</v>
      </c>
      <c r="Z69" s="31">
        <f>IF(B69="","",COUNTIFS(Bookings!$C$5:$C$404,B69))</f>
        <v>0</v>
      </c>
      <c r="AA69" s="31">
        <f>IF(B69="","",COUNTIFS('Visit Log'!$D$5:$D$404,B69,'Visit Log'!$AE$5:$AE$404,"Completed"))</f>
        <v>0</v>
      </c>
      <c r="AB69" s="21">
        <f>IF(B69="","",IF(SUMPRODUCT(MAX((Bookings!$C$5:$C$404=B69)*(Bookings!$AM$5:$AM$404="Completed")*Bookings!$I$5:$I$404))=0,"",SUMPRODUCT(MAX((Bookings!$C$5:$C$404=B69)*(Bookings!$AM$5:$AM$404="Completed")*Bookings!$I$5:$I$404))))</f>
        <v>0</v>
      </c>
      <c r="AC69" s="31">
        <f>IF(AB69="","",TODAY()-AB69)</f>
        <v>0</v>
      </c>
      <c r="AD69" s="21">
        <f>IF(B69="","",IF(COUNTIFS(Bookings!$C$5:$C$404,B69,Bookings!$I$5:$I$404,"&gt;="&amp;TODAY(),Bookings!$AM$5:$AM$404,"&lt;&gt;Cancelled")=0,"",SUMPRODUCT(MIN(((Bookings!$C$5:$C$404=B69)*(Bookings!$I$5:$I$404&gt;=TODAY())*(Bookings!$AM$5:$AM$404&lt;&gt;"Cancelled"))*Bookings!$I$5:$I$404+(1-((Bookings!$C$5:$C$404=B69)*(Bookings!$I$5:$I$404&gt;=TODAY())*(Bookings!$AM$5:$AM$404&lt;&gt;"Cancelled")))*2958465))))</f>
        <v>0</v>
      </c>
      <c r="AE69" s="29">
        <f>IF(B69="","",SUMIFS(Payments!$L$5:$L$304,Payments!$C$5:$C$304,B69))</f>
        <v>0</v>
      </c>
      <c r="AF69" s="29">
        <f>IF(B69="","",SUMIFS(Invoices!$O$5:$O$304,Invoices!$D$5:$D$304,B69,Invoices!$T$5:$T$304,"&lt;&gt;Draft"))</f>
        <v>0</v>
      </c>
      <c r="AG69" s="29">
        <f>IF(B69="","",SUMIFS(Invoices!$S$5:$S$304,Invoices!$D$5:$D$304,B69,Invoices!$T$5:$T$304,"&lt;&gt;Cancelled"))</f>
        <v>0</v>
      </c>
      <c r="AH69" s="29">
        <f>IF(OR(Z69="",Z69=0),"",SUMIFS(Bookings!$AK$5:$AK$404,Bookings!$C$5:$C$404,B69,Bookings!$AM$5:$AM$404,"&lt;&gt;Cancelled")/Z69)</f>
        <v>0</v>
      </c>
      <c r="AI69" s="49">
        <f>IF(B69="","",IF(Z69&gt;=LoyaltyThreshold,"Loyalty discount","Standard"))</f>
        <v>0</v>
      </c>
      <c r="AJ69" s="49">
        <f>IF(B69="","",IF(COUNTIF(Clients!$B$5:$B$254,B69)&gt;1,"Duplicate name",IF(AND(C69&lt;&gt;"",COUNTIF(Clients!$C$5:$C$254,C69)&gt;1),"Duplicate phone","OK")))</f>
        <v>0</v>
      </c>
      <c r="AK69" s="49">
        <f>IF(B69="","",IF(AND(C69&lt;&gt;"",D69&lt;&gt;"",L69&lt;&gt;"",M69&lt;&gt;""),"OK","Add: "&amp;IF(C69="","phone ","")&amp;IF(D69="","email ","")&amp;IF(L69="","date ","")&amp;IF(M69="","status","")))</f>
        <v>0</v>
      </c>
      <c r="AL69" s="49">
        <f>IF(B69="","",IF(AG69&gt;0.5,"Overdue - chase payment",IF(AND(M69="Active",ISNUMBER(AC69),AC69&gt;InactiveDays),"Inactive - win back",IF(AND(M69="Active",S69&lt;&gt;"Signed"),"Action - contract not signed",IF(AND(M69="Prospective",AD69=""),"Action - follow up quote","OK")))))</f>
        <v>0</v>
      </c>
    </row>
    <row r="70" spans="1:38">
      <c r="A70" s="46">
        <f>IF(B70="","",ClientPrefix&amp;TEXT(ROW()-4,"0000"))</f>
        <v>0</v>
      </c>
      <c r="Y70" s="31">
        <f>IF(B70="","",COUNTIF(Pets!$C$5:$C$254,B70))</f>
        <v>0</v>
      </c>
      <c r="Z70" s="31">
        <f>IF(B70="","",COUNTIFS(Bookings!$C$5:$C$404,B70))</f>
        <v>0</v>
      </c>
      <c r="AA70" s="31">
        <f>IF(B70="","",COUNTIFS('Visit Log'!$D$5:$D$404,B70,'Visit Log'!$AE$5:$AE$404,"Completed"))</f>
        <v>0</v>
      </c>
      <c r="AB70" s="21">
        <f>IF(B70="","",IF(SUMPRODUCT(MAX((Bookings!$C$5:$C$404=B70)*(Bookings!$AM$5:$AM$404="Completed")*Bookings!$I$5:$I$404))=0,"",SUMPRODUCT(MAX((Bookings!$C$5:$C$404=B70)*(Bookings!$AM$5:$AM$404="Completed")*Bookings!$I$5:$I$404))))</f>
        <v>0</v>
      </c>
      <c r="AC70" s="31">
        <f>IF(AB70="","",TODAY()-AB70)</f>
        <v>0</v>
      </c>
      <c r="AD70" s="21">
        <f>IF(B70="","",IF(COUNTIFS(Bookings!$C$5:$C$404,B70,Bookings!$I$5:$I$404,"&gt;="&amp;TODAY(),Bookings!$AM$5:$AM$404,"&lt;&gt;Cancelled")=0,"",SUMPRODUCT(MIN(((Bookings!$C$5:$C$404=B70)*(Bookings!$I$5:$I$404&gt;=TODAY())*(Bookings!$AM$5:$AM$404&lt;&gt;"Cancelled"))*Bookings!$I$5:$I$404+(1-((Bookings!$C$5:$C$404=B70)*(Bookings!$I$5:$I$404&gt;=TODAY())*(Bookings!$AM$5:$AM$404&lt;&gt;"Cancelled")))*2958465))))</f>
        <v>0</v>
      </c>
      <c r="AE70" s="29">
        <f>IF(B70="","",SUMIFS(Payments!$L$5:$L$304,Payments!$C$5:$C$304,B70))</f>
        <v>0</v>
      </c>
      <c r="AF70" s="29">
        <f>IF(B70="","",SUMIFS(Invoices!$O$5:$O$304,Invoices!$D$5:$D$304,B70,Invoices!$T$5:$T$304,"&lt;&gt;Draft"))</f>
        <v>0</v>
      </c>
      <c r="AG70" s="29">
        <f>IF(B70="","",SUMIFS(Invoices!$S$5:$S$304,Invoices!$D$5:$D$304,B70,Invoices!$T$5:$T$304,"&lt;&gt;Cancelled"))</f>
        <v>0</v>
      </c>
      <c r="AH70" s="29">
        <f>IF(OR(Z70="",Z70=0),"",SUMIFS(Bookings!$AK$5:$AK$404,Bookings!$C$5:$C$404,B70,Bookings!$AM$5:$AM$404,"&lt;&gt;Cancelled")/Z70)</f>
        <v>0</v>
      </c>
      <c r="AI70" s="49">
        <f>IF(B70="","",IF(Z70&gt;=LoyaltyThreshold,"Loyalty discount","Standard"))</f>
        <v>0</v>
      </c>
      <c r="AJ70" s="49">
        <f>IF(B70="","",IF(COUNTIF(Clients!$B$5:$B$254,B70)&gt;1,"Duplicate name",IF(AND(C70&lt;&gt;"",COUNTIF(Clients!$C$5:$C$254,C70)&gt;1),"Duplicate phone","OK")))</f>
        <v>0</v>
      </c>
      <c r="AK70" s="49">
        <f>IF(B70="","",IF(AND(C70&lt;&gt;"",D70&lt;&gt;"",L70&lt;&gt;"",M70&lt;&gt;""),"OK","Add: "&amp;IF(C70="","phone ","")&amp;IF(D70="","email ","")&amp;IF(L70="","date ","")&amp;IF(M70="","status","")))</f>
        <v>0</v>
      </c>
      <c r="AL70" s="49">
        <f>IF(B70="","",IF(AG70&gt;0.5,"Overdue - chase payment",IF(AND(M70="Active",ISNUMBER(AC70),AC70&gt;InactiveDays),"Inactive - win back",IF(AND(M70="Active",S70&lt;&gt;"Signed"),"Action - contract not signed",IF(AND(M70="Prospective",AD70=""),"Action - follow up quote","OK")))))</f>
        <v>0</v>
      </c>
    </row>
    <row r="71" spans="1:38">
      <c r="A71" s="46">
        <f>IF(B71="","",ClientPrefix&amp;TEXT(ROW()-4,"0000"))</f>
        <v>0</v>
      </c>
      <c r="Y71" s="31">
        <f>IF(B71="","",COUNTIF(Pets!$C$5:$C$254,B71))</f>
        <v>0</v>
      </c>
      <c r="Z71" s="31">
        <f>IF(B71="","",COUNTIFS(Bookings!$C$5:$C$404,B71))</f>
        <v>0</v>
      </c>
      <c r="AA71" s="31">
        <f>IF(B71="","",COUNTIFS('Visit Log'!$D$5:$D$404,B71,'Visit Log'!$AE$5:$AE$404,"Completed"))</f>
        <v>0</v>
      </c>
      <c r="AB71" s="21">
        <f>IF(B71="","",IF(SUMPRODUCT(MAX((Bookings!$C$5:$C$404=B71)*(Bookings!$AM$5:$AM$404="Completed")*Bookings!$I$5:$I$404))=0,"",SUMPRODUCT(MAX((Bookings!$C$5:$C$404=B71)*(Bookings!$AM$5:$AM$404="Completed")*Bookings!$I$5:$I$404))))</f>
        <v>0</v>
      </c>
      <c r="AC71" s="31">
        <f>IF(AB71="","",TODAY()-AB71)</f>
        <v>0</v>
      </c>
      <c r="AD71" s="21">
        <f>IF(B71="","",IF(COUNTIFS(Bookings!$C$5:$C$404,B71,Bookings!$I$5:$I$404,"&gt;="&amp;TODAY(),Bookings!$AM$5:$AM$404,"&lt;&gt;Cancelled")=0,"",SUMPRODUCT(MIN(((Bookings!$C$5:$C$404=B71)*(Bookings!$I$5:$I$404&gt;=TODAY())*(Bookings!$AM$5:$AM$404&lt;&gt;"Cancelled"))*Bookings!$I$5:$I$404+(1-((Bookings!$C$5:$C$404=B71)*(Bookings!$I$5:$I$404&gt;=TODAY())*(Bookings!$AM$5:$AM$404&lt;&gt;"Cancelled")))*2958465))))</f>
        <v>0</v>
      </c>
      <c r="AE71" s="29">
        <f>IF(B71="","",SUMIFS(Payments!$L$5:$L$304,Payments!$C$5:$C$304,B71))</f>
        <v>0</v>
      </c>
      <c r="AF71" s="29">
        <f>IF(B71="","",SUMIFS(Invoices!$O$5:$O$304,Invoices!$D$5:$D$304,B71,Invoices!$T$5:$T$304,"&lt;&gt;Draft"))</f>
        <v>0</v>
      </c>
      <c r="AG71" s="29">
        <f>IF(B71="","",SUMIFS(Invoices!$S$5:$S$304,Invoices!$D$5:$D$304,B71,Invoices!$T$5:$T$304,"&lt;&gt;Cancelled"))</f>
        <v>0</v>
      </c>
      <c r="AH71" s="29">
        <f>IF(OR(Z71="",Z71=0),"",SUMIFS(Bookings!$AK$5:$AK$404,Bookings!$C$5:$C$404,B71,Bookings!$AM$5:$AM$404,"&lt;&gt;Cancelled")/Z71)</f>
        <v>0</v>
      </c>
      <c r="AI71" s="49">
        <f>IF(B71="","",IF(Z71&gt;=LoyaltyThreshold,"Loyalty discount","Standard"))</f>
        <v>0</v>
      </c>
      <c r="AJ71" s="49">
        <f>IF(B71="","",IF(COUNTIF(Clients!$B$5:$B$254,B71)&gt;1,"Duplicate name",IF(AND(C71&lt;&gt;"",COUNTIF(Clients!$C$5:$C$254,C71)&gt;1),"Duplicate phone","OK")))</f>
        <v>0</v>
      </c>
      <c r="AK71" s="49">
        <f>IF(B71="","",IF(AND(C71&lt;&gt;"",D71&lt;&gt;"",L71&lt;&gt;"",M71&lt;&gt;""),"OK","Add: "&amp;IF(C71="","phone ","")&amp;IF(D71="","email ","")&amp;IF(L71="","date ","")&amp;IF(M71="","status","")))</f>
        <v>0</v>
      </c>
      <c r="AL71" s="49">
        <f>IF(B71="","",IF(AG71&gt;0.5,"Overdue - chase payment",IF(AND(M71="Active",ISNUMBER(AC71),AC71&gt;InactiveDays),"Inactive - win back",IF(AND(M71="Active",S71&lt;&gt;"Signed"),"Action - contract not signed",IF(AND(M71="Prospective",AD71=""),"Action - follow up quote","OK")))))</f>
        <v>0</v>
      </c>
    </row>
    <row r="72" spans="1:38">
      <c r="A72" s="46">
        <f>IF(B72="","",ClientPrefix&amp;TEXT(ROW()-4,"0000"))</f>
        <v>0</v>
      </c>
      <c r="Y72" s="31">
        <f>IF(B72="","",COUNTIF(Pets!$C$5:$C$254,B72))</f>
        <v>0</v>
      </c>
      <c r="Z72" s="31">
        <f>IF(B72="","",COUNTIFS(Bookings!$C$5:$C$404,B72))</f>
        <v>0</v>
      </c>
      <c r="AA72" s="31">
        <f>IF(B72="","",COUNTIFS('Visit Log'!$D$5:$D$404,B72,'Visit Log'!$AE$5:$AE$404,"Completed"))</f>
        <v>0</v>
      </c>
      <c r="AB72" s="21">
        <f>IF(B72="","",IF(SUMPRODUCT(MAX((Bookings!$C$5:$C$404=B72)*(Bookings!$AM$5:$AM$404="Completed")*Bookings!$I$5:$I$404))=0,"",SUMPRODUCT(MAX((Bookings!$C$5:$C$404=B72)*(Bookings!$AM$5:$AM$404="Completed")*Bookings!$I$5:$I$404))))</f>
        <v>0</v>
      </c>
      <c r="AC72" s="31">
        <f>IF(AB72="","",TODAY()-AB72)</f>
        <v>0</v>
      </c>
      <c r="AD72" s="21">
        <f>IF(B72="","",IF(COUNTIFS(Bookings!$C$5:$C$404,B72,Bookings!$I$5:$I$404,"&gt;="&amp;TODAY(),Bookings!$AM$5:$AM$404,"&lt;&gt;Cancelled")=0,"",SUMPRODUCT(MIN(((Bookings!$C$5:$C$404=B72)*(Bookings!$I$5:$I$404&gt;=TODAY())*(Bookings!$AM$5:$AM$404&lt;&gt;"Cancelled"))*Bookings!$I$5:$I$404+(1-((Bookings!$C$5:$C$404=B72)*(Bookings!$I$5:$I$404&gt;=TODAY())*(Bookings!$AM$5:$AM$404&lt;&gt;"Cancelled")))*2958465))))</f>
        <v>0</v>
      </c>
      <c r="AE72" s="29">
        <f>IF(B72="","",SUMIFS(Payments!$L$5:$L$304,Payments!$C$5:$C$304,B72))</f>
        <v>0</v>
      </c>
      <c r="AF72" s="29">
        <f>IF(B72="","",SUMIFS(Invoices!$O$5:$O$304,Invoices!$D$5:$D$304,B72,Invoices!$T$5:$T$304,"&lt;&gt;Draft"))</f>
        <v>0</v>
      </c>
      <c r="AG72" s="29">
        <f>IF(B72="","",SUMIFS(Invoices!$S$5:$S$304,Invoices!$D$5:$D$304,B72,Invoices!$T$5:$T$304,"&lt;&gt;Cancelled"))</f>
        <v>0</v>
      </c>
      <c r="AH72" s="29">
        <f>IF(OR(Z72="",Z72=0),"",SUMIFS(Bookings!$AK$5:$AK$404,Bookings!$C$5:$C$404,B72,Bookings!$AM$5:$AM$404,"&lt;&gt;Cancelled")/Z72)</f>
        <v>0</v>
      </c>
      <c r="AI72" s="49">
        <f>IF(B72="","",IF(Z72&gt;=LoyaltyThreshold,"Loyalty discount","Standard"))</f>
        <v>0</v>
      </c>
      <c r="AJ72" s="49">
        <f>IF(B72="","",IF(COUNTIF(Clients!$B$5:$B$254,B72)&gt;1,"Duplicate name",IF(AND(C72&lt;&gt;"",COUNTIF(Clients!$C$5:$C$254,C72)&gt;1),"Duplicate phone","OK")))</f>
        <v>0</v>
      </c>
      <c r="AK72" s="49">
        <f>IF(B72="","",IF(AND(C72&lt;&gt;"",D72&lt;&gt;"",L72&lt;&gt;"",M72&lt;&gt;""),"OK","Add: "&amp;IF(C72="","phone ","")&amp;IF(D72="","email ","")&amp;IF(L72="","date ","")&amp;IF(M72="","status","")))</f>
        <v>0</v>
      </c>
      <c r="AL72" s="49">
        <f>IF(B72="","",IF(AG72&gt;0.5,"Overdue - chase payment",IF(AND(M72="Active",ISNUMBER(AC72),AC72&gt;InactiveDays),"Inactive - win back",IF(AND(M72="Active",S72&lt;&gt;"Signed"),"Action - contract not signed",IF(AND(M72="Prospective",AD72=""),"Action - follow up quote","OK")))))</f>
        <v>0</v>
      </c>
    </row>
    <row r="73" spans="1:38">
      <c r="A73" s="46">
        <f>IF(B73="","",ClientPrefix&amp;TEXT(ROW()-4,"0000"))</f>
        <v>0</v>
      </c>
      <c r="Y73" s="31">
        <f>IF(B73="","",COUNTIF(Pets!$C$5:$C$254,B73))</f>
        <v>0</v>
      </c>
      <c r="Z73" s="31">
        <f>IF(B73="","",COUNTIFS(Bookings!$C$5:$C$404,B73))</f>
        <v>0</v>
      </c>
      <c r="AA73" s="31">
        <f>IF(B73="","",COUNTIFS('Visit Log'!$D$5:$D$404,B73,'Visit Log'!$AE$5:$AE$404,"Completed"))</f>
        <v>0</v>
      </c>
      <c r="AB73" s="21">
        <f>IF(B73="","",IF(SUMPRODUCT(MAX((Bookings!$C$5:$C$404=B73)*(Bookings!$AM$5:$AM$404="Completed")*Bookings!$I$5:$I$404))=0,"",SUMPRODUCT(MAX((Bookings!$C$5:$C$404=B73)*(Bookings!$AM$5:$AM$404="Completed")*Bookings!$I$5:$I$404))))</f>
        <v>0</v>
      </c>
      <c r="AC73" s="31">
        <f>IF(AB73="","",TODAY()-AB73)</f>
        <v>0</v>
      </c>
      <c r="AD73" s="21">
        <f>IF(B73="","",IF(COUNTIFS(Bookings!$C$5:$C$404,B73,Bookings!$I$5:$I$404,"&gt;="&amp;TODAY(),Bookings!$AM$5:$AM$404,"&lt;&gt;Cancelled")=0,"",SUMPRODUCT(MIN(((Bookings!$C$5:$C$404=B73)*(Bookings!$I$5:$I$404&gt;=TODAY())*(Bookings!$AM$5:$AM$404&lt;&gt;"Cancelled"))*Bookings!$I$5:$I$404+(1-((Bookings!$C$5:$C$404=B73)*(Bookings!$I$5:$I$404&gt;=TODAY())*(Bookings!$AM$5:$AM$404&lt;&gt;"Cancelled")))*2958465))))</f>
        <v>0</v>
      </c>
      <c r="AE73" s="29">
        <f>IF(B73="","",SUMIFS(Payments!$L$5:$L$304,Payments!$C$5:$C$304,B73))</f>
        <v>0</v>
      </c>
      <c r="AF73" s="29">
        <f>IF(B73="","",SUMIFS(Invoices!$O$5:$O$304,Invoices!$D$5:$D$304,B73,Invoices!$T$5:$T$304,"&lt;&gt;Draft"))</f>
        <v>0</v>
      </c>
      <c r="AG73" s="29">
        <f>IF(B73="","",SUMIFS(Invoices!$S$5:$S$304,Invoices!$D$5:$D$304,B73,Invoices!$T$5:$T$304,"&lt;&gt;Cancelled"))</f>
        <v>0</v>
      </c>
      <c r="AH73" s="29">
        <f>IF(OR(Z73="",Z73=0),"",SUMIFS(Bookings!$AK$5:$AK$404,Bookings!$C$5:$C$404,B73,Bookings!$AM$5:$AM$404,"&lt;&gt;Cancelled")/Z73)</f>
        <v>0</v>
      </c>
      <c r="AI73" s="49">
        <f>IF(B73="","",IF(Z73&gt;=LoyaltyThreshold,"Loyalty discount","Standard"))</f>
        <v>0</v>
      </c>
      <c r="AJ73" s="49">
        <f>IF(B73="","",IF(COUNTIF(Clients!$B$5:$B$254,B73)&gt;1,"Duplicate name",IF(AND(C73&lt;&gt;"",COUNTIF(Clients!$C$5:$C$254,C73)&gt;1),"Duplicate phone","OK")))</f>
        <v>0</v>
      </c>
      <c r="AK73" s="49">
        <f>IF(B73="","",IF(AND(C73&lt;&gt;"",D73&lt;&gt;"",L73&lt;&gt;"",M73&lt;&gt;""),"OK","Add: "&amp;IF(C73="","phone ","")&amp;IF(D73="","email ","")&amp;IF(L73="","date ","")&amp;IF(M73="","status","")))</f>
        <v>0</v>
      </c>
      <c r="AL73" s="49">
        <f>IF(B73="","",IF(AG73&gt;0.5,"Overdue - chase payment",IF(AND(M73="Active",ISNUMBER(AC73),AC73&gt;InactiveDays),"Inactive - win back",IF(AND(M73="Active",S73&lt;&gt;"Signed"),"Action - contract not signed",IF(AND(M73="Prospective",AD73=""),"Action - follow up quote","OK")))))</f>
        <v>0</v>
      </c>
    </row>
    <row r="74" spans="1:38">
      <c r="A74" s="46">
        <f>IF(B74="","",ClientPrefix&amp;TEXT(ROW()-4,"0000"))</f>
        <v>0</v>
      </c>
      <c r="Y74" s="31">
        <f>IF(B74="","",COUNTIF(Pets!$C$5:$C$254,B74))</f>
        <v>0</v>
      </c>
      <c r="Z74" s="31">
        <f>IF(B74="","",COUNTIFS(Bookings!$C$5:$C$404,B74))</f>
        <v>0</v>
      </c>
      <c r="AA74" s="31">
        <f>IF(B74="","",COUNTIFS('Visit Log'!$D$5:$D$404,B74,'Visit Log'!$AE$5:$AE$404,"Completed"))</f>
        <v>0</v>
      </c>
      <c r="AB74" s="21">
        <f>IF(B74="","",IF(SUMPRODUCT(MAX((Bookings!$C$5:$C$404=B74)*(Bookings!$AM$5:$AM$404="Completed")*Bookings!$I$5:$I$404))=0,"",SUMPRODUCT(MAX((Bookings!$C$5:$C$404=B74)*(Bookings!$AM$5:$AM$404="Completed")*Bookings!$I$5:$I$404))))</f>
        <v>0</v>
      </c>
      <c r="AC74" s="31">
        <f>IF(AB74="","",TODAY()-AB74)</f>
        <v>0</v>
      </c>
      <c r="AD74" s="21">
        <f>IF(B74="","",IF(COUNTIFS(Bookings!$C$5:$C$404,B74,Bookings!$I$5:$I$404,"&gt;="&amp;TODAY(),Bookings!$AM$5:$AM$404,"&lt;&gt;Cancelled")=0,"",SUMPRODUCT(MIN(((Bookings!$C$5:$C$404=B74)*(Bookings!$I$5:$I$404&gt;=TODAY())*(Bookings!$AM$5:$AM$404&lt;&gt;"Cancelled"))*Bookings!$I$5:$I$404+(1-((Bookings!$C$5:$C$404=B74)*(Bookings!$I$5:$I$404&gt;=TODAY())*(Bookings!$AM$5:$AM$404&lt;&gt;"Cancelled")))*2958465))))</f>
        <v>0</v>
      </c>
      <c r="AE74" s="29">
        <f>IF(B74="","",SUMIFS(Payments!$L$5:$L$304,Payments!$C$5:$C$304,B74))</f>
        <v>0</v>
      </c>
      <c r="AF74" s="29">
        <f>IF(B74="","",SUMIFS(Invoices!$O$5:$O$304,Invoices!$D$5:$D$304,B74,Invoices!$T$5:$T$304,"&lt;&gt;Draft"))</f>
        <v>0</v>
      </c>
      <c r="AG74" s="29">
        <f>IF(B74="","",SUMIFS(Invoices!$S$5:$S$304,Invoices!$D$5:$D$304,B74,Invoices!$T$5:$T$304,"&lt;&gt;Cancelled"))</f>
        <v>0</v>
      </c>
      <c r="AH74" s="29">
        <f>IF(OR(Z74="",Z74=0),"",SUMIFS(Bookings!$AK$5:$AK$404,Bookings!$C$5:$C$404,B74,Bookings!$AM$5:$AM$404,"&lt;&gt;Cancelled")/Z74)</f>
        <v>0</v>
      </c>
      <c r="AI74" s="49">
        <f>IF(B74="","",IF(Z74&gt;=LoyaltyThreshold,"Loyalty discount","Standard"))</f>
        <v>0</v>
      </c>
      <c r="AJ74" s="49">
        <f>IF(B74="","",IF(COUNTIF(Clients!$B$5:$B$254,B74)&gt;1,"Duplicate name",IF(AND(C74&lt;&gt;"",COUNTIF(Clients!$C$5:$C$254,C74)&gt;1),"Duplicate phone","OK")))</f>
        <v>0</v>
      </c>
      <c r="AK74" s="49">
        <f>IF(B74="","",IF(AND(C74&lt;&gt;"",D74&lt;&gt;"",L74&lt;&gt;"",M74&lt;&gt;""),"OK","Add: "&amp;IF(C74="","phone ","")&amp;IF(D74="","email ","")&amp;IF(L74="","date ","")&amp;IF(M74="","status","")))</f>
        <v>0</v>
      </c>
      <c r="AL74" s="49">
        <f>IF(B74="","",IF(AG74&gt;0.5,"Overdue - chase payment",IF(AND(M74="Active",ISNUMBER(AC74),AC74&gt;InactiveDays),"Inactive - win back",IF(AND(M74="Active",S74&lt;&gt;"Signed"),"Action - contract not signed",IF(AND(M74="Prospective",AD74=""),"Action - follow up quote","OK")))))</f>
        <v>0</v>
      </c>
    </row>
    <row r="75" spans="1:38">
      <c r="A75" s="46">
        <f>IF(B75="","",ClientPrefix&amp;TEXT(ROW()-4,"0000"))</f>
        <v>0</v>
      </c>
      <c r="Y75" s="31">
        <f>IF(B75="","",COUNTIF(Pets!$C$5:$C$254,B75))</f>
        <v>0</v>
      </c>
      <c r="Z75" s="31">
        <f>IF(B75="","",COUNTIFS(Bookings!$C$5:$C$404,B75))</f>
        <v>0</v>
      </c>
      <c r="AA75" s="31">
        <f>IF(B75="","",COUNTIFS('Visit Log'!$D$5:$D$404,B75,'Visit Log'!$AE$5:$AE$404,"Completed"))</f>
        <v>0</v>
      </c>
      <c r="AB75" s="21">
        <f>IF(B75="","",IF(SUMPRODUCT(MAX((Bookings!$C$5:$C$404=B75)*(Bookings!$AM$5:$AM$404="Completed")*Bookings!$I$5:$I$404))=0,"",SUMPRODUCT(MAX((Bookings!$C$5:$C$404=B75)*(Bookings!$AM$5:$AM$404="Completed")*Bookings!$I$5:$I$404))))</f>
        <v>0</v>
      </c>
      <c r="AC75" s="31">
        <f>IF(AB75="","",TODAY()-AB75)</f>
        <v>0</v>
      </c>
      <c r="AD75" s="21">
        <f>IF(B75="","",IF(COUNTIFS(Bookings!$C$5:$C$404,B75,Bookings!$I$5:$I$404,"&gt;="&amp;TODAY(),Bookings!$AM$5:$AM$404,"&lt;&gt;Cancelled")=0,"",SUMPRODUCT(MIN(((Bookings!$C$5:$C$404=B75)*(Bookings!$I$5:$I$404&gt;=TODAY())*(Bookings!$AM$5:$AM$404&lt;&gt;"Cancelled"))*Bookings!$I$5:$I$404+(1-((Bookings!$C$5:$C$404=B75)*(Bookings!$I$5:$I$404&gt;=TODAY())*(Bookings!$AM$5:$AM$404&lt;&gt;"Cancelled")))*2958465))))</f>
        <v>0</v>
      </c>
      <c r="AE75" s="29">
        <f>IF(B75="","",SUMIFS(Payments!$L$5:$L$304,Payments!$C$5:$C$304,B75))</f>
        <v>0</v>
      </c>
      <c r="AF75" s="29">
        <f>IF(B75="","",SUMIFS(Invoices!$O$5:$O$304,Invoices!$D$5:$D$304,B75,Invoices!$T$5:$T$304,"&lt;&gt;Draft"))</f>
        <v>0</v>
      </c>
      <c r="AG75" s="29">
        <f>IF(B75="","",SUMIFS(Invoices!$S$5:$S$304,Invoices!$D$5:$D$304,B75,Invoices!$T$5:$T$304,"&lt;&gt;Cancelled"))</f>
        <v>0</v>
      </c>
      <c r="AH75" s="29">
        <f>IF(OR(Z75="",Z75=0),"",SUMIFS(Bookings!$AK$5:$AK$404,Bookings!$C$5:$C$404,B75,Bookings!$AM$5:$AM$404,"&lt;&gt;Cancelled")/Z75)</f>
        <v>0</v>
      </c>
      <c r="AI75" s="49">
        <f>IF(B75="","",IF(Z75&gt;=LoyaltyThreshold,"Loyalty discount","Standard"))</f>
        <v>0</v>
      </c>
      <c r="AJ75" s="49">
        <f>IF(B75="","",IF(COUNTIF(Clients!$B$5:$B$254,B75)&gt;1,"Duplicate name",IF(AND(C75&lt;&gt;"",COUNTIF(Clients!$C$5:$C$254,C75)&gt;1),"Duplicate phone","OK")))</f>
        <v>0</v>
      </c>
      <c r="AK75" s="49">
        <f>IF(B75="","",IF(AND(C75&lt;&gt;"",D75&lt;&gt;"",L75&lt;&gt;"",M75&lt;&gt;""),"OK","Add: "&amp;IF(C75="","phone ","")&amp;IF(D75="","email ","")&amp;IF(L75="","date ","")&amp;IF(M75="","status","")))</f>
        <v>0</v>
      </c>
      <c r="AL75" s="49">
        <f>IF(B75="","",IF(AG75&gt;0.5,"Overdue - chase payment",IF(AND(M75="Active",ISNUMBER(AC75),AC75&gt;InactiveDays),"Inactive - win back",IF(AND(M75="Active",S75&lt;&gt;"Signed"),"Action - contract not signed",IF(AND(M75="Prospective",AD75=""),"Action - follow up quote","OK")))))</f>
        <v>0</v>
      </c>
    </row>
    <row r="76" spans="1:38">
      <c r="A76" s="46">
        <f>IF(B76="","",ClientPrefix&amp;TEXT(ROW()-4,"0000"))</f>
        <v>0</v>
      </c>
      <c r="Y76" s="31">
        <f>IF(B76="","",COUNTIF(Pets!$C$5:$C$254,B76))</f>
        <v>0</v>
      </c>
      <c r="Z76" s="31">
        <f>IF(B76="","",COUNTIFS(Bookings!$C$5:$C$404,B76))</f>
        <v>0</v>
      </c>
      <c r="AA76" s="31">
        <f>IF(B76="","",COUNTIFS('Visit Log'!$D$5:$D$404,B76,'Visit Log'!$AE$5:$AE$404,"Completed"))</f>
        <v>0</v>
      </c>
      <c r="AB76" s="21">
        <f>IF(B76="","",IF(SUMPRODUCT(MAX((Bookings!$C$5:$C$404=B76)*(Bookings!$AM$5:$AM$404="Completed")*Bookings!$I$5:$I$404))=0,"",SUMPRODUCT(MAX((Bookings!$C$5:$C$404=B76)*(Bookings!$AM$5:$AM$404="Completed")*Bookings!$I$5:$I$404))))</f>
        <v>0</v>
      </c>
      <c r="AC76" s="31">
        <f>IF(AB76="","",TODAY()-AB76)</f>
        <v>0</v>
      </c>
      <c r="AD76" s="21">
        <f>IF(B76="","",IF(COUNTIFS(Bookings!$C$5:$C$404,B76,Bookings!$I$5:$I$404,"&gt;="&amp;TODAY(),Bookings!$AM$5:$AM$404,"&lt;&gt;Cancelled")=0,"",SUMPRODUCT(MIN(((Bookings!$C$5:$C$404=B76)*(Bookings!$I$5:$I$404&gt;=TODAY())*(Bookings!$AM$5:$AM$404&lt;&gt;"Cancelled"))*Bookings!$I$5:$I$404+(1-((Bookings!$C$5:$C$404=B76)*(Bookings!$I$5:$I$404&gt;=TODAY())*(Bookings!$AM$5:$AM$404&lt;&gt;"Cancelled")))*2958465))))</f>
        <v>0</v>
      </c>
      <c r="AE76" s="29">
        <f>IF(B76="","",SUMIFS(Payments!$L$5:$L$304,Payments!$C$5:$C$304,B76))</f>
        <v>0</v>
      </c>
      <c r="AF76" s="29">
        <f>IF(B76="","",SUMIFS(Invoices!$O$5:$O$304,Invoices!$D$5:$D$304,B76,Invoices!$T$5:$T$304,"&lt;&gt;Draft"))</f>
        <v>0</v>
      </c>
      <c r="AG76" s="29">
        <f>IF(B76="","",SUMIFS(Invoices!$S$5:$S$304,Invoices!$D$5:$D$304,B76,Invoices!$T$5:$T$304,"&lt;&gt;Cancelled"))</f>
        <v>0</v>
      </c>
      <c r="AH76" s="29">
        <f>IF(OR(Z76="",Z76=0),"",SUMIFS(Bookings!$AK$5:$AK$404,Bookings!$C$5:$C$404,B76,Bookings!$AM$5:$AM$404,"&lt;&gt;Cancelled")/Z76)</f>
        <v>0</v>
      </c>
      <c r="AI76" s="49">
        <f>IF(B76="","",IF(Z76&gt;=LoyaltyThreshold,"Loyalty discount","Standard"))</f>
        <v>0</v>
      </c>
      <c r="AJ76" s="49">
        <f>IF(B76="","",IF(COUNTIF(Clients!$B$5:$B$254,B76)&gt;1,"Duplicate name",IF(AND(C76&lt;&gt;"",COUNTIF(Clients!$C$5:$C$254,C76)&gt;1),"Duplicate phone","OK")))</f>
        <v>0</v>
      </c>
      <c r="AK76" s="49">
        <f>IF(B76="","",IF(AND(C76&lt;&gt;"",D76&lt;&gt;"",L76&lt;&gt;"",M76&lt;&gt;""),"OK","Add: "&amp;IF(C76="","phone ","")&amp;IF(D76="","email ","")&amp;IF(L76="","date ","")&amp;IF(M76="","status","")))</f>
        <v>0</v>
      </c>
      <c r="AL76" s="49">
        <f>IF(B76="","",IF(AG76&gt;0.5,"Overdue - chase payment",IF(AND(M76="Active",ISNUMBER(AC76),AC76&gt;InactiveDays),"Inactive - win back",IF(AND(M76="Active",S76&lt;&gt;"Signed"),"Action - contract not signed",IF(AND(M76="Prospective",AD76=""),"Action - follow up quote","OK")))))</f>
        <v>0</v>
      </c>
    </row>
    <row r="77" spans="1:38">
      <c r="A77" s="46">
        <f>IF(B77="","",ClientPrefix&amp;TEXT(ROW()-4,"0000"))</f>
        <v>0</v>
      </c>
      <c r="Y77" s="31">
        <f>IF(B77="","",COUNTIF(Pets!$C$5:$C$254,B77))</f>
        <v>0</v>
      </c>
      <c r="Z77" s="31">
        <f>IF(B77="","",COUNTIFS(Bookings!$C$5:$C$404,B77))</f>
        <v>0</v>
      </c>
      <c r="AA77" s="31">
        <f>IF(B77="","",COUNTIFS('Visit Log'!$D$5:$D$404,B77,'Visit Log'!$AE$5:$AE$404,"Completed"))</f>
        <v>0</v>
      </c>
      <c r="AB77" s="21">
        <f>IF(B77="","",IF(SUMPRODUCT(MAX((Bookings!$C$5:$C$404=B77)*(Bookings!$AM$5:$AM$404="Completed")*Bookings!$I$5:$I$404))=0,"",SUMPRODUCT(MAX((Bookings!$C$5:$C$404=B77)*(Bookings!$AM$5:$AM$404="Completed")*Bookings!$I$5:$I$404))))</f>
        <v>0</v>
      </c>
      <c r="AC77" s="31">
        <f>IF(AB77="","",TODAY()-AB77)</f>
        <v>0</v>
      </c>
      <c r="AD77" s="21">
        <f>IF(B77="","",IF(COUNTIFS(Bookings!$C$5:$C$404,B77,Bookings!$I$5:$I$404,"&gt;="&amp;TODAY(),Bookings!$AM$5:$AM$404,"&lt;&gt;Cancelled")=0,"",SUMPRODUCT(MIN(((Bookings!$C$5:$C$404=B77)*(Bookings!$I$5:$I$404&gt;=TODAY())*(Bookings!$AM$5:$AM$404&lt;&gt;"Cancelled"))*Bookings!$I$5:$I$404+(1-((Bookings!$C$5:$C$404=B77)*(Bookings!$I$5:$I$404&gt;=TODAY())*(Bookings!$AM$5:$AM$404&lt;&gt;"Cancelled")))*2958465))))</f>
        <v>0</v>
      </c>
      <c r="AE77" s="29">
        <f>IF(B77="","",SUMIFS(Payments!$L$5:$L$304,Payments!$C$5:$C$304,B77))</f>
        <v>0</v>
      </c>
      <c r="AF77" s="29">
        <f>IF(B77="","",SUMIFS(Invoices!$O$5:$O$304,Invoices!$D$5:$D$304,B77,Invoices!$T$5:$T$304,"&lt;&gt;Draft"))</f>
        <v>0</v>
      </c>
      <c r="AG77" s="29">
        <f>IF(B77="","",SUMIFS(Invoices!$S$5:$S$304,Invoices!$D$5:$D$304,B77,Invoices!$T$5:$T$304,"&lt;&gt;Cancelled"))</f>
        <v>0</v>
      </c>
      <c r="AH77" s="29">
        <f>IF(OR(Z77="",Z77=0),"",SUMIFS(Bookings!$AK$5:$AK$404,Bookings!$C$5:$C$404,B77,Bookings!$AM$5:$AM$404,"&lt;&gt;Cancelled")/Z77)</f>
        <v>0</v>
      </c>
      <c r="AI77" s="49">
        <f>IF(B77="","",IF(Z77&gt;=LoyaltyThreshold,"Loyalty discount","Standard"))</f>
        <v>0</v>
      </c>
      <c r="AJ77" s="49">
        <f>IF(B77="","",IF(COUNTIF(Clients!$B$5:$B$254,B77)&gt;1,"Duplicate name",IF(AND(C77&lt;&gt;"",COUNTIF(Clients!$C$5:$C$254,C77)&gt;1),"Duplicate phone","OK")))</f>
        <v>0</v>
      </c>
      <c r="AK77" s="49">
        <f>IF(B77="","",IF(AND(C77&lt;&gt;"",D77&lt;&gt;"",L77&lt;&gt;"",M77&lt;&gt;""),"OK","Add: "&amp;IF(C77="","phone ","")&amp;IF(D77="","email ","")&amp;IF(L77="","date ","")&amp;IF(M77="","status","")))</f>
        <v>0</v>
      </c>
      <c r="AL77" s="49">
        <f>IF(B77="","",IF(AG77&gt;0.5,"Overdue - chase payment",IF(AND(M77="Active",ISNUMBER(AC77),AC77&gt;InactiveDays),"Inactive - win back",IF(AND(M77="Active",S77&lt;&gt;"Signed"),"Action - contract not signed",IF(AND(M77="Prospective",AD77=""),"Action - follow up quote","OK")))))</f>
        <v>0</v>
      </c>
    </row>
    <row r="78" spans="1:38">
      <c r="A78" s="46">
        <f>IF(B78="","",ClientPrefix&amp;TEXT(ROW()-4,"0000"))</f>
        <v>0</v>
      </c>
      <c r="Y78" s="31">
        <f>IF(B78="","",COUNTIF(Pets!$C$5:$C$254,B78))</f>
        <v>0</v>
      </c>
      <c r="Z78" s="31">
        <f>IF(B78="","",COUNTIFS(Bookings!$C$5:$C$404,B78))</f>
        <v>0</v>
      </c>
      <c r="AA78" s="31">
        <f>IF(B78="","",COUNTIFS('Visit Log'!$D$5:$D$404,B78,'Visit Log'!$AE$5:$AE$404,"Completed"))</f>
        <v>0</v>
      </c>
      <c r="AB78" s="21">
        <f>IF(B78="","",IF(SUMPRODUCT(MAX((Bookings!$C$5:$C$404=B78)*(Bookings!$AM$5:$AM$404="Completed")*Bookings!$I$5:$I$404))=0,"",SUMPRODUCT(MAX((Bookings!$C$5:$C$404=B78)*(Bookings!$AM$5:$AM$404="Completed")*Bookings!$I$5:$I$404))))</f>
        <v>0</v>
      </c>
      <c r="AC78" s="31">
        <f>IF(AB78="","",TODAY()-AB78)</f>
        <v>0</v>
      </c>
      <c r="AD78" s="21">
        <f>IF(B78="","",IF(COUNTIFS(Bookings!$C$5:$C$404,B78,Bookings!$I$5:$I$404,"&gt;="&amp;TODAY(),Bookings!$AM$5:$AM$404,"&lt;&gt;Cancelled")=0,"",SUMPRODUCT(MIN(((Bookings!$C$5:$C$404=B78)*(Bookings!$I$5:$I$404&gt;=TODAY())*(Bookings!$AM$5:$AM$404&lt;&gt;"Cancelled"))*Bookings!$I$5:$I$404+(1-((Bookings!$C$5:$C$404=B78)*(Bookings!$I$5:$I$404&gt;=TODAY())*(Bookings!$AM$5:$AM$404&lt;&gt;"Cancelled")))*2958465))))</f>
        <v>0</v>
      </c>
      <c r="AE78" s="29">
        <f>IF(B78="","",SUMIFS(Payments!$L$5:$L$304,Payments!$C$5:$C$304,B78))</f>
        <v>0</v>
      </c>
      <c r="AF78" s="29">
        <f>IF(B78="","",SUMIFS(Invoices!$O$5:$O$304,Invoices!$D$5:$D$304,B78,Invoices!$T$5:$T$304,"&lt;&gt;Draft"))</f>
        <v>0</v>
      </c>
      <c r="AG78" s="29">
        <f>IF(B78="","",SUMIFS(Invoices!$S$5:$S$304,Invoices!$D$5:$D$304,B78,Invoices!$T$5:$T$304,"&lt;&gt;Cancelled"))</f>
        <v>0</v>
      </c>
      <c r="AH78" s="29">
        <f>IF(OR(Z78="",Z78=0),"",SUMIFS(Bookings!$AK$5:$AK$404,Bookings!$C$5:$C$404,B78,Bookings!$AM$5:$AM$404,"&lt;&gt;Cancelled")/Z78)</f>
        <v>0</v>
      </c>
      <c r="AI78" s="49">
        <f>IF(B78="","",IF(Z78&gt;=LoyaltyThreshold,"Loyalty discount","Standard"))</f>
        <v>0</v>
      </c>
      <c r="AJ78" s="49">
        <f>IF(B78="","",IF(COUNTIF(Clients!$B$5:$B$254,B78)&gt;1,"Duplicate name",IF(AND(C78&lt;&gt;"",COUNTIF(Clients!$C$5:$C$254,C78)&gt;1),"Duplicate phone","OK")))</f>
        <v>0</v>
      </c>
      <c r="AK78" s="49">
        <f>IF(B78="","",IF(AND(C78&lt;&gt;"",D78&lt;&gt;"",L78&lt;&gt;"",M78&lt;&gt;""),"OK","Add: "&amp;IF(C78="","phone ","")&amp;IF(D78="","email ","")&amp;IF(L78="","date ","")&amp;IF(M78="","status","")))</f>
        <v>0</v>
      </c>
      <c r="AL78" s="49">
        <f>IF(B78="","",IF(AG78&gt;0.5,"Overdue - chase payment",IF(AND(M78="Active",ISNUMBER(AC78),AC78&gt;InactiveDays),"Inactive - win back",IF(AND(M78="Active",S78&lt;&gt;"Signed"),"Action - contract not signed",IF(AND(M78="Prospective",AD78=""),"Action - follow up quote","OK")))))</f>
        <v>0</v>
      </c>
    </row>
    <row r="79" spans="1:38">
      <c r="A79" s="46">
        <f>IF(B79="","",ClientPrefix&amp;TEXT(ROW()-4,"0000"))</f>
        <v>0</v>
      </c>
      <c r="Y79" s="31">
        <f>IF(B79="","",COUNTIF(Pets!$C$5:$C$254,B79))</f>
        <v>0</v>
      </c>
      <c r="Z79" s="31">
        <f>IF(B79="","",COUNTIFS(Bookings!$C$5:$C$404,B79))</f>
        <v>0</v>
      </c>
      <c r="AA79" s="31">
        <f>IF(B79="","",COUNTIFS('Visit Log'!$D$5:$D$404,B79,'Visit Log'!$AE$5:$AE$404,"Completed"))</f>
        <v>0</v>
      </c>
      <c r="AB79" s="21">
        <f>IF(B79="","",IF(SUMPRODUCT(MAX((Bookings!$C$5:$C$404=B79)*(Bookings!$AM$5:$AM$404="Completed")*Bookings!$I$5:$I$404))=0,"",SUMPRODUCT(MAX((Bookings!$C$5:$C$404=B79)*(Bookings!$AM$5:$AM$404="Completed")*Bookings!$I$5:$I$404))))</f>
        <v>0</v>
      </c>
      <c r="AC79" s="31">
        <f>IF(AB79="","",TODAY()-AB79)</f>
        <v>0</v>
      </c>
      <c r="AD79" s="21">
        <f>IF(B79="","",IF(COUNTIFS(Bookings!$C$5:$C$404,B79,Bookings!$I$5:$I$404,"&gt;="&amp;TODAY(),Bookings!$AM$5:$AM$404,"&lt;&gt;Cancelled")=0,"",SUMPRODUCT(MIN(((Bookings!$C$5:$C$404=B79)*(Bookings!$I$5:$I$404&gt;=TODAY())*(Bookings!$AM$5:$AM$404&lt;&gt;"Cancelled"))*Bookings!$I$5:$I$404+(1-((Bookings!$C$5:$C$404=B79)*(Bookings!$I$5:$I$404&gt;=TODAY())*(Bookings!$AM$5:$AM$404&lt;&gt;"Cancelled")))*2958465))))</f>
        <v>0</v>
      </c>
      <c r="AE79" s="29">
        <f>IF(B79="","",SUMIFS(Payments!$L$5:$L$304,Payments!$C$5:$C$304,B79))</f>
        <v>0</v>
      </c>
      <c r="AF79" s="29">
        <f>IF(B79="","",SUMIFS(Invoices!$O$5:$O$304,Invoices!$D$5:$D$304,B79,Invoices!$T$5:$T$304,"&lt;&gt;Draft"))</f>
        <v>0</v>
      </c>
      <c r="AG79" s="29">
        <f>IF(B79="","",SUMIFS(Invoices!$S$5:$S$304,Invoices!$D$5:$D$304,B79,Invoices!$T$5:$T$304,"&lt;&gt;Cancelled"))</f>
        <v>0</v>
      </c>
      <c r="AH79" s="29">
        <f>IF(OR(Z79="",Z79=0),"",SUMIFS(Bookings!$AK$5:$AK$404,Bookings!$C$5:$C$404,B79,Bookings!$AM$5:$AM$404,"&lt;&gt;Cancelled")/Z79)</f>
        <v>0</v>
      </c>
      <c r="AI79" s="49">
        <f>IF(B79="","",IF(Z79&gt;=LoyaltyThreshold,"Loyalty discount","Standard"))</f>
        <v>0</v>
      </c>
      <c r="AJ79" s="49">
        <f>IF(B79="","",IF(COUNTIF(Clients!$B$5:$B$254,B79)&gt;1,"Duplicate name",IF(AND(C79&lt;&gt;"",COUNTIF(Clients!$C$5:$C$254,C79)&gt;1),"Duplicate phone","OK")))</f>
        <v>0</v>
      </c>
      <c r="AK79" s="49">
        <f>IF(B79="","",IF(AND(C79&lt;&gt;"",D79&lt;&gt;"",L79&lt;&gt;"",M79&lt;&gt;""),"OK","Add: "&amp;IF(C79="","phone ","")&amp;IF(D79="","email ","")&amp;IF(L79="","date ","")&amp;IF(M79="","status","")))</f>
        <v>0</v>
      </c>
      <c r="AL79" s="49">
        <f>IF(B79="","",IF(AG79&gt;0.5,"Overdue - chase payment",IF(AND(M79="Active",ISNUMBER(AC79),AC79&gt;InactiveDays),"Inactive - win back",IF(AND(M79="Active",S79&lt;&gt;"Signed"),"Action - contract not signed",IF(AND(M79="Prospective",AD79=""),"Action - follow up quote","OK")))))</f>
        <v>0</v>
      </c>
    </row>
    <row r="80" spans="1:38">
      <c r="A80" s="46">
        <f>IF(B80="","",ClientPrefix&amp;TEXT(ROW()-4,"0000"))</f>
        <v>0</v>
      </c>
      <c r="Y80" s="31">
        <f>IF(B80="","",COUNTIF(Pets!$C$5:$C$254,B80))</f>
        <v>0</v>
      </c>
      <c r="Z80" s="31">
        <f>IF(B80="","",COUNTIFS(Bookings!$C$5:$C$404,B80))</f>
        <v>0</v>
      </c>
      <c r="AA80" s="31">
        <f>IF(B80="","",COUNTIFS('Visit Log'!$D$5:$D$404,B80,'Visit Log'!$AE$5:$AE$404,"Completed"))</f>
        <v>0</v>
      </c>
      <c r="AB80" s="21">
        <f>IF(B80="","",IF(SUMPRODUCT(MAX((Bookings!$C$5:$C$404=B80)*(Bookings!$AM$5:$AM$404="Completed")*Bookings!$I$5:$I$404))=0,"",SUMPRODUCT(MAX((Bookings!$C$5:$C$404=B80)*(Bookings!$AM$5:$AM$404="Completed")*Bookings!$I$5:$I$404))))</f>
        <v>0</v>
      </c>
      <c r="AC80" s="31">
        <f>IF(AB80="","",TODAY()-AB80)</f>
        <v>0</v>
      </c>
      <c r="AD80" s="21">
        <f>IF(B80="","",IF(COUNTIFS(Bookings!$C$5:$C$404,B80,Bookings!$I$5:$I$404,"&gt;="&amp;TODAY(),Bookings!$AM$5:$AM$404,"&lt;&gt;Cancelled")=0,"",SUMPRODUCT(MIN(((Bookings!$C$5:$C$404=B80)*(Bookings!$I$5:$I$404&gt;=TODAY())*(Bookings!$AM$5:$AM$404&lt;&gt;"Cancelled"))*Bookings!$I$5:$I$404+(1-((Bookings!$C$5:$C$404=B80)*(Bookings!$I$5:$I$404&gt;=TODAY())*(Bookings!$AM$5:$AM$404&lt;&gt;"Cancelled")))*2958465))))</f>
        <v>0</v>
      </c>
      <c r="AE80" s="29">
        <f>IF(B80="","",SUMIFS(Payments!$L$5:$L$304,Payments!$C$5:$C$304,B80))</f>
        <v>0</v>
      </c>
      <c r="AF80" s="29">
        <f>IF(B80="","",SUMIFS(Invoices!$O$5:$O$304,Invoices!$D$5:$D$304,B80,Invoices!$T$5:$T$304,"&lt;&gt;Draft"))</f>
        <v>0</v>
      </c>
      <c r="AG80" s="29">
        <f>IF(B80="","",SUMIFS(Invoices!$S$5:$S$304,Invoices!$D$5:$D$304,B80,Invoices!$T$5:$T$304,"&lt;&gt;Cancelled"))</f>
        <v>0</v>
      </c>
      <c r="AH80" s="29">
        <f>IF(OR(Z80="",Z80=0),"",SUMIFS(Bookings!$AK$5:$AK$404,Bookings!$C$5:$C$404,B80,Bookings!$AM$5:$AM$404,"&lt;&gt;Cancelled")/Z80)</f>
        <v>0</v>
      </c>
      <c r="AI80" s="49">
        <f>IF(B80="","",IF(Z80&gt;=LoyaltyThreshold,"Loyalty discount","Standard"))</f>
        <v>0</v>
      </c>
      <c r="AJ80" s="49">
        <f>IF(B80="","",IF(COUNTIF(Clients!$B$5:$B$254,B80)&gt;1,"Duplicate name",IF(AND(C80&lt;&gt;"",COUNTIF(Clients!$C$5:$C$254,C80)&gt;1),"Duplicate phone","OK")))</f>
        <v>0</v>
      </c>
      <c r="AK80" s="49">
        <f>IF(B80="","",IF(AND(C80&lt;&gt;"",D80&lt;&gt;"",L80&lt;&gt;"",M80&lt;&gt;""),"OK","Add: "&amp;IF(C80="","phone ","")&amp;IF(D80="","email ","")&amp;IF(L80="","date ","")&amp;IF(M80="","status","")))</f>
        <v>0</v>
      </c>
      <c r="AL80" s="49">
        <f>IF(B80="","",IF(AG80&gt;0.5,"Overdue - chase payment",IF(AND(M80="Active",ISNUMBER(AC80),AC80&gt;InactiveDays),"Inactive - win back",IF(AND(M80="Active",S80&lt;&gt;"Signed"),"Action - contract not signed",IF(AND(M80="Prospective",AD80=""),"Action - follow up quote","OK")))))</f>
        <v>0</v>
      </c>
    </row>
    <row r="81" spans="1:38">
      <c r="A81" s="46">
        <f>IF(B81="","",ClientPrefix&amp;TEXT(ROW()-4,"0000"))</f>
        <v>0</v>
      </c>
      <c r="Y81" s="31">
        <f>IF(B81="","",COUNTIF(Pets!$C$5:$C$254,B81))</f>
        <v>0</v>
      </c>
      <c r="Z81" s="31">
        <f>IF(B81="","",COUNTIFS(Bookings!$C$5:$C$404,B81))</f>
        <v>0</v>
      </c>
      <c r="AA81" s="31">
        <f>IF(B81="","",COUNTIFS('Visit Log'!$D$5:$D$404,B81,'Visit Log'!$AE$5:$AE$404,"Completed"))</f>
        <v>0</v>
      </c>
      <c r="AB81" s="21">
        <f>IF(B81="","",IF(SUMPRODUCT(MAX((Bookings!$C$5:$C$404=B81)*(Bookings!$AM$5:$AM$404="Completed")*Bookings!$I$5:$I$404))=0,"",SUMPRODUCT(MAX((Bookings!$C$5:$C$404=B81)*(Bookings!$AM$5:$AM$404="Completed")*Bookings!$I$5:$I$404))))</f>
        <v>0</v>
      </c>
      <c r="AC81" s="31">
        <f>IF(AB81="","",TODAY()-AB81)</f>
        <v>0</v>
      </c>
      <c r="AD81" s="21">
        <f>IF(B81="","",IF(COUNTIFS(Bookings!$C$5:$C$404,B81,Bookings!$I$5:$I$404,"&gt;="&amp;TODAY(),Bookings!$AM$5:$AM$404,"&lt;&gt;Cancelled")=0,"",SUMPRODUCT(MIN(((Bookings!$C$5:$C$404=B81)*(Bookings!$I$5:$I$404&gt;=TODAY())*(Bookings!$AM$5:$AM$404&lt;&gt;"Cancelled"))*Bookings!$I$5:$I$404+(1-((Bookings!$C$5:$C$404=B81)*(Bookings!$I$5:$I$404&gt;=TODAY())*(Bookings!$AM$5:$AM$404&lt;&gt;"Cancelled")))*2958465))))</f>
        <v>0</v>
      </c>
      <c r="AE81" s="29">
        <f>IF(B81="","",SUMIFS(Payments!$L$5:$L$304,Payments!$C$5:$C$304,B81))</f>
        <v>0</v>
      </c>
      <c r="AF81" s="29">
        <f>IF(B81="","",SUMIFS(Invoices!$O$5:$O$304,Invoices!$D$5:$D$304,B81,Invoices!$T$5:$T$304,"&lt;&gt;Draft"))</f>
        <v>0</v>
      </c>
      <c r="AG81" s="29">
        <f>IF(B81="","",SUMIFS(Invoices!$S$5:$S$304,Invoices!$D$5:$D$304,B81,Invoices!$T$5:$T$304,"&lt;&gt;Cancelled"))</f>
        <v>0</v>
      </c>
      <c r="AH81" s="29">
        <f>IF(OR(Z81="",Z81=0),"",SUMIFS(Bookings!$AK$5:$AK$404,Bookings!$C$5:$C$404,B81,Bookings!$AM$5:$AM$404,"&lt;&gt;Cancelled")/Z81)</f>
        <v>0</v>
      </c>
      <c r="AI81" s="49">
        <f>IF(B81="","",IF(Z81&gt;=LoyaltyThreshold,"Loyalty discount","Standard"))</f>
        <v>0</v>
      </c>
      <c r="AJ81" s="49">
        <f>IF(B81="","",IF(COUNTIF(Clients!$B$5:$B$254,B81)&gt;1,"Duplicate name",IF(AND(C81&lt;&gt;"",COUNTIF(Clients!$C$5:$C$254,C81)&gt;1),"Duplicate phone","OK")))</f>
        <v>0</v>
      </c>
      <c r="AK81" s="49">
        <f>IF(B81="","",IF(AND(C81&lt;&gt;"",D81&lt;&gt;"",L81&lt;&gt;"",M81&lt;&gt;""),"OK","Add: "&amp;IF(C81="","phone ","")&amp;IF(D81="","email ","")&amp;IF(L81="","date ","")&amp;IF(M81="","status","")))</f>
        <v>0</v>
      </c>
      <c r="AL81" s="49">
        <f>IF(B81="","",IF(AG81&gt;0.5,"Overdue - chase payment",IF(AND(M81="Active",ISNUMBER(AC81),AC81&gt;InactiveDays),"Inactive - win back",IF(AND(M81="Active",S81&lt;&gt;"Signed"),"Action - contract not signed",IF(AND(M81="Prospective",AD81=""),"Action - follow up quote","OK")))))</f>
        <v>0</v>
      </c>
    </row>
    <row r="82" spans="1:38">
      <c r="A82" s="46">
        <f>IF(B82="","",ClientPrefix&amp;TEXT(ROW()-4,"0000"))</f>
        <v>0</v>
      </c>
      <c r="Y82" s="31">
        <f>IF(B82="","",COUNTIF(Pets!$C$5:$C$254,B82))</f>
        <v>0</v>
      </c>
      <c r="Z82" s="31">
        <f>IF(B82="","",COUNTIFS(Bookings!$C$5:$C$404,B82))</f>
        <v>0</v>
      </c>
      <c r="AA82" s="31">
        <f>IF(B82="","",COUNTIFS('Visit Log'!$D$5:$D$404,B82,'Visit Log'!$AE$5:$AE$404,"Completed"))</f>
        <v>0</v>
      </c>
      <c r="AB82" s="21">
        <f>IF(B82="","",IF(SUMPRODUCT(MAX((Bookings!$C$5:$C$404=B82)*(Bookings!$AM$5:$AM$404="Completed")*Bookings!$I$5:$I$404))=0,"",SUMPRODUCT(MAX((Bookings!$C$5:$C$404=B82)*(Bookings!$AM$5:$AM$404="Completed")*Bookings!$I$5:$I$404))))</f>
        <v>0</v>
      </c>
      <c r="AC82" s="31">
        <f>IF(AB82="","",TODAY()-AB82)</f>
        <v>0</v>
      </c>
      <c r="AD82" s="21">
        <f>IF(B82="","",IF(COUNTIFS(Bookings!$C$5:$C$404,B82,Bookings!$I$5:$I$404,"&gt;="&amp;TODAY(),Bookings!$AM$5:$AM$404,"&lt;&gt;Cancelled")=0,"",SUMPRODUCT(MIN(((Bookings!$C$5:$C$404=B82)*(Bookings!$I$5:$I$404&gt;=TODAY())*(Bookings!$AM$5:$AM$404&lt;&gt;"Cancelled"))*Bookings!$I$5:$I$404+(1-((Bookings!$C$5:$C$404=B82)*(Bookings!$I$5:$I$404&gt;=TODAY())*(Bookings!$AM$5:$AM$404&lt;&gt;"Cancelled")))*2958465))))</f>
        <v>0</v>
      </c>
      <c r="AE82" s="29">
        <f>IF(B82="","",SUMIFS(Payments!$L$5:$L$304,Payments!$C$5:$C$304,B82))</f>
        <v>0</v>
      </c>
      <c r="AF82" s="29">
        <f>IF(B82="","",SUMIFS(Invoices!$O$5:$O$304,Invoices!$D$5:$D$304,B82,Invoices!$T$5:$T$304,"&lt;&gt;Draft"))</f>
        <v>0</v>
      </c>
      <c r="AG82" s="29">
        <f>IF(B82="","",SUMIFS(Invoices!$S$5:$S$304,Invoices!$D$5:$D$304,B82,Invoices!$T$5:$T$304,"&lt;&gt;Cancelled"))</f>
        <v>0</v>
      </c>
      <c r="AH82" s="29">
        <f>IF(OR(Z82="",Z82=0),"",SUMIFS(Bookings!$AK$5:$AK$404,Bookings!$C$5:$C$404,B82,Bookings!$AM$5:$AM$404,"&lt;&gt;Cancelled")/Z82)</f>
        <v>0</v>
      </c>
      <c r="AI82" s="49">
        <f>IF(B82="","",IF(Z82&gt;=LoyaltyThreshold,"Loyalty discount","Standard"))</f>
        <v>0</v>
      </c>
      <c r="AJ82" s="49">
        <f>IF(B82="","",IF(COUNTIF(Clients!$B$5:$B$254,B82)&gt;1,"Duplicate name",IF(AND(C82&lt;&gt;"",COUNTIF(Clients!$C$5:$C$254,C82)&gt;1),"Duplicate phone","OK")))</f>
        <v>0</v>
      </c>
      <c r="AK82" s="49">
        <f>IF(B82="","",IF(AND(C82&lt;&gt;"",D82&lt;&gt;"",L82&lt;&gt;"",M82&lt;&gt;""),"OK","Add: "&amp;IF(C82="","phone ","")&amp;IF(D82="","email ","")&amp;IF(L82="","date ","")&amp;IF(M82="","status","")))</f>
        <v>0</v>
      </c>
      <c r="AL82" s="49">
        <f>IF(B82="","",IF(AG82&gt;0.5,"Overdue - chase payment",IF(AND(M82="Active",ISNUMBER(AC82),AC82&gt;InactiveDays),"Inactive - win back",IF(AND(M82="Active",S82&lt;&gt;"Signed"),"Action - contract not signed",IF(AND(M82="Prospective",AD82=""),"Action - follow up quote","OK")))))</f>
        <v>0</v>
      </c>
    </row>
    <row r="83" spans="1:38">
      <c r="A83" s="46">
        <f>IF(B83="","",ClientPrefix&amp;TEXT(ROW()-4,"0000"))</f>
        <v>0</v>
      </c>
      <c r="Y83" s="31">
        <f>IF(B83="","",COUNTIF(Pets!$C$5:$C$254,B83))</f>
        <v>0</v>
      </c>
      <c r="Z83" s="31">
        <f>IF(B83="","",COUNTIFS(Bookings!$C$5:$C$404,B83))</f>
        <v>0</v>
      </c>
      <c r="AA83" s="31">
        <f>IF(B83="","",COUNTIFS('Visit Log'!$D$5:$D$404,B83,'Visit Log'!$AE$5:$AE$404,"Completed"))</f>
        <v>0</v>
      </c>
      <c r="AB83" s="21">
        <f>IF(B83="","",IF(SUMPRODUCT(MAX((Bookings!$C$5:$C$404=B83)*(Bookings!$AM$5:$AM$404="Completed")*Bookings!$I$5:$I$404))=0,"",SUMPRODUCT(MAX((Bookings!$C$5:$C$404=B83)*(Bookings!$AM$5:$AM$404="Completed")*Bookings!$I$5:$I$404))))</f>
        <v>0</v>
      </c>
      <c r="AC83" s="31">
        <f>IF(AB83="","",TODAY()-AB83)</f>
        <v>0</v>
      </c>
      <c r="AD83" s="21">
        <f>IF(B83="","",IF(COUNTIFS(Bookings!$C$5:$C$404,B83,Bookings!$I$5:$I$404,"&gt;="&amp;TODAY(),Bookings!$AM$5:$AM$404,"&lt;&gt;Cancelled")=0,"",SUMPRODUCT(MIN(((Bookings!$C$5:$C$404=B83)*(Bookings!$I$5:$I$404&gt;=TODAY())*(Bookings!$AM$5:$AM$404&lt;&gt;"Cancelled"))*Bookings!$I$5:$I$404+(1-((Bookings!$C$5:$C$404=B83)*(Bookings!$I$5:$I$404&gt;=TODAY())*(Bookings!$AM$5:$AM$404&lt;&gt;"Cancelled")))*2958465))))</f>
        <v>0</v>
      </c>
      <c r="AE83" s="29">
        <f>IF(B83="","",SUMIFS(Payments!$L$5:$L$304,Payments!$C$5:$C$304,B83))</f>
        <v>0</v>
      </c>
      <c r="AF83" s="29">
        <f>IF(B83="","",SUMIFS(Invoices!$O$5:$O$304,Invoices!$D$5:$D$304,B83,Invoices!$T$5:$T$304,"&lt;&gt;Draft"))</f>
        <v>0</v>
      </c>
      <c r="AG83" s="29">
        <f>IF(B83="","",SUMIFS(Invoices!$S$5:$S$304,Invoices!$D$5:$D$304,B83,Invoices!$T$5:$T$304,"&lt;&gt;Cancelled"))</f>
        <v>0</v>
      </c>
      <c r="AH83" s="29">
        <f>IF(OR(Z83="",Z83=0),"",SUMIFS(Bookings!$AK$5:$AK$404,Bookings!$C$5:$C$404,B83,Bookings!$AM$5:$AM$404,"&lt;&gt;Cancelled")/Z83)</f>
        <v>0</v>
      </c>
      <c r="AI83" s="49">
        <f>IF(B83="","",IF(Z83&gt;=LoyaltyThreshold,"Loyalty discount","Standard"))</f>
        <v>0</v>
      </c>
      <c r="AJ83" s="49">
        <f>IF(B83="","",IF(COUNTIF(Clients!$B$5:$B$254,B83)&gt;1,"Duplicate name",IF(AND(C83&lt;&gt;"",COUNTIF(Clients!$C$5:$C$254,C83)&gt;1),"Duplicate phone","OK")))</f>
        <v>0</v>
      </c>
      <c r="AK83" s="49">
        <f>IF(B83="","",IF(AND(C83&lt;&gt;"",D83&lt;&gt;"",L83&lt;&gt;"",M83&lt;&gt;""),"OK","Add: "&amp;IF(C83="","phone ","")&amp;IF(D83="","email ","")&amp;IF(L83="","date ","")&amp;IF(M83="","status","")))</f>
        <v>0</v>
      </c>
      <c r="AL83" s="49">
        <f>IF(B83="","",IF(AG83&gt;0.5,"Overdue - chase payment",IF(AND(M83="Active",ISNUMBER(AC83),AC83&gt;InactiveDays),"Inactive - win back",IF(AND(M83="Active",S83&lt;&gt;"Signed"),"Action - contract not signed",IF(AND(M83="Prospective",AD83=""),"Action - follow up quote","OK")))))</f>
        <v>0</v>
      </c>
    </row>
    <row r="84" spans="1:38">
      <c r="A84" s="46">
        <f>IF(B84="","",ClientPrefix&amp;TEXT(ROW()-4,"0000"))</f>
        <v>0</v>
      </c>
      <c r="Y84" s="31">
        <f>IF(B84="","",COUNTIF(Pets!$C$5:$C$254,B84))</f>
        <v>0</v>
      </c>
      <c r="Z84" s="31">
        <f>IF(B84="","",COUNTIFS(Bookings!$C$5:$C$404,B84))</f>
        <v>0</v>
      </c>
      <c r="AA84" s="31">
        <f>IF(B84="","",COUNTIFS('Visit Log'!$D$5:$D$404,B84,'Visit Log'!$AE$5:$AE$404,"Completed"))</f>
        <v>0</v>
      </c>
      <c r="AB84" s="21">
        <f>IF(B84="","",IF(SUMPRODUCT(MAX((Bookings!$C$5:$C$404=B84)*(Bookings!$AM$5:$AM$404="Completed")*Bookings!$I$5:$I$404))=0,"",SUMPRODUCT(MAX((Bookings!$C$5:$C$404=B84)*(Bookings!$AM$5:$AM$404="Completed")*Bookings!$I$5:$I$404))))</f>
        <v>0</v>
      </c>
      <c r="AC84" s="31">
        <f>IF(AB84="","",TODAY()-AB84)</f>
        <v>0</v>
      </c>
      <c r="AD84" s="21">
        <f>IF(B84="","",IF(COUNTIFS(Bookings!$C$5:$C$404,B84,Bookings!$I$5:$I$404,"&gt;="&amp;TODAY(),Bookings!$AM$5:$AM$404,"&lt;&gt;Cancelled")=0,"",SUMPRODUCT(MIN(((Bookings!$C$5:$C$404=B84)*(Bookings!$I$5:$I$404&gt;=TODAY())*(Bookings!$AM$5:$AM$404&lt;&gt;"Cancelled"))*Bookings!$I$5:$I$404+(1-((Bookings!$C$5:$C$404=B84)*(Bookings!$I$5:$I$404&gt;=TODAY())*(Bookings!$AM$5:$AM$404&lt;&gt;"Cancelled")))*2958465))))</f>
        <v>0</v>
      </c>
      <c r="AE84" s="29">
        <f>IF(B84="","",SUMIFS(Payments!$L$5:$L$304,Payments!$C$5:$C$304,B84))</f>
        <v>0</v>
      </c>
      <c r="AF84" s="29">
        <f>IF(B84="","",SUMIFS(Invoices!$O$5:$O$304,Invoices!$D$5:$D$304,B84,Invoices!$T$5:$T$304,"&lt;&gt;Draft"))</f>
        <v>0</v>
      </c>
      <c r="AG84" s="29">
        <f>IF(B84="","",SUMIFS(Invoices!$S$5:$S$304,Invoices!$D$5:$D$304,B84,Invoices!$T$5:$T$304,"&lt;&gt;Cancelled"))</f>
        <v>0</v>
      </c>
      <c r="AH84" s="29">
        <f>IF(OR(Z84="",Z84=0),"",SUMIFS(Bookings!$AK$5:$AK$404,Bookings!$C$5:$C$404,B84,Bookings!$AM$5:$AM$404,"&lt;&gt;Cancelled")/Z84)</f>
        <v>0</v>
      </c>
      <c r="AI84" s="49">
        <f>IF(B84="","",IF(Z84&gt;=LoyaltyThreshold,"Loyalty discount","Standard"))</f>
        <v>0</v>
      </c>
      <c r="AJ84" s="49">
        <f>IF(B84="","",IF(COUNTIF(Clients!$B$5:$B$254,B84)&gt;1,"Duplicate name",IF(AND(C84&lt;&gt;"",COUNTIF(Clients!$C$5:$C$254,C84)&gt;1),"Duplicate phone","OK")))</f>
        <v>0</v>
      </c>
      <c r="AK84" s="49">
        <f>IF(B84="","",IF(AND(C84&lt;&gt;"",D84&lt;&gt;"",L84&lt;&gt;"",M84&lt;&gt;""),"OK","Add: "&amp;IF(C84="","phone ","")&amp;IF(D84="","email ","")&amp;IF(L84="","date ","")&amp;IF(M84="","status","")))</f>
        <v>0</v>
      </c>
      <c r="AL84" s="49">
        <f>IF(B84="","",IF(AG84&gt;0.5,"Overdue - chase payment",IF(AND(M84="Active",ISNUMBER(AC84),AC84&gt;InactiveDays),"Inactive - win back",IF(AND(M84="Active",S84&lt;&gt;"Signed"),"Action - contract not signed",IF(AND(M84="Prospective",AD84=""),"Action - follow up quote","OK")))))</f>
        <v>0</v>
      </c>
    </row>
    <row r="85" spans="1:38">
      <c r="A85" s="46">
        <f>IF(B85="","",ClientPrefix&amp;TEXT(ROW()-4,"0000"))</f>
        <v>0</v>
      </c>
      <c r="Y85" s="31">
        <f>IF(B85="","",COUNTIF(Pets!$C$5:$C$254,B85))</f>
        <v>0</v>
      </c>
      <c r="Z85" s="31">
        <f>IF(B85="","",COUNTIFS(Bookings!$C$5:$C$404,B85))</f>
        <v>0</v>
      </c>
      <c r="AA85" s="31">
        <f>IF(B85="","",COUNTIFS('Visit Log'!$D$5:$D$404,B85,'Visit Log'!$AE$5:$AE$404,"Completed"))</f>
        <v>0</v>
      </c>
      <c r="AB85" s="21">
        <f>IF(B85="","",IF(SUMPRODUCT(MAX((Bookings!$C$5:$C$404=B85)*(Bookings!$AM$5:$AM$404="Completed")*Bookings!$I$5:$I$404))=0,"",SUMPRODUCT(MAX((Bookings!$C$5:$C$404=B85)*(Bookings!$AM$5:$AM$404="Completed")*Bookings!$I$5:$I$404))))</f>
        <v>0</v>
      </c>
      <c r="AC85" s="31">
        <f>IF(AB85="","",TODAY()-AB85)</f>
        <v>0</v>
      </c>
      <c r="AD85" s="21">
        <f>IF(B85="","",IF(COUNTIFS(Bookings!$C$5:$C$404,B85,Bookings!$I$5:$I$404,"&gt;="&amp;TODAY(),Bookings!$AM$5:$AM$404,"&lt;&gt;Cancelled")=0,"",SUMPRODUCT(MIN(((Bookings!$C$5:$C$404=B85)*(Bookings!$I$5:$I$404&gt;=TODAY())*(Bookings!$AM$5:$AM$404&lt;&gt;"Cancelled"))*Bookings!$I$5:$I$404+(1-((Bookings!$C$5:$C$404=B85)*(Bookings!$I$5:$I$404&gt;=TODAY())*(Bookings!$AM$5:$AM$404&lt;&gt;"Cancelled")))*2958465))))</f>
        <v>0</v>
      </c>
      <c r="AE85" s="29">
        <f>IF(B85="","",SUMIFS(Payments!$L$5:$L$304,Payments!$C$5:$C$304,B85))</f>
        <v>0</v>
      </c>
      <c r="AF85" s="29">
        <f>IF(B85="","",SUMIFS(Invoices!$O$5:$O$304,Invoices!$D$5:$D$304,B85,Invoices!$T$5:$T$304,"&lt;&gt;Draft"))</f>
        <v>0</v>
      </c>
      <c r="AG85" s="29">
        <f>IF(B85="","",SUMIFS(Invoices!$S$5:$S$304,Invoices!$D$5:$D$304,B85,Invoices!$T$5:$T$304,"&lt;&gt;Cancelled"))</f>
        <v>0</v>
      </c>
      <c r="AH85" s="29">
        <f>IF(OR(Z85="",Z85=0),"",SUMIFS(Bookings!$AK$5:$AK$404,Bookings!$C$5:$C$404,B85,Bookings!$AM$5:$AM$404,"&lt;&gt;Cancelled")/Z85)</f>
        <v>0</v>
      </c>
      <c r="AI85" s="49">
        <f>IF(B85="","",IF(Z85&gt;=LoyaltyThreshold,"Loyalty discount","Standard"))</f>
        <v>0</v>
      </c>
      <c r="AJ85" s="49">
        <f>IF(B85="","",IF(COUNTIF(Clients!$B$5:$B$254,B85)&gt;1,"Duplicate name",IF(AND(C85&lt;&gt;"",COUNTIF(Clients!$C$5:$C$254,C85)&gt;1),"Duplicate phone","OK")))</f>
        <v>0</v>
      </c>
      <c r="AK85" s="49">
        <f>IF(B85="","",IF(AND(C85&lt;&gt;"",D85&lt;&gt;"",L85&lt;&gt;"",M85&lt;&gt;""),"OK","Add: "&amp;IF(C85="","phone ","")&amp;IF(D85="","email ","")&amp;IF(L85="","date ","")&amp;IF(M85="","status","")))</f>
        <v>0</v>
      </c>
      <c r="AL85" s="49">
        <f>IF(B85="","",IF(AG85&gt;0.5,"Overdue - chase payment",IF(AND(M85="Active",ISNUMBER(AC85),AC85&gt;InactiveDays),"Inactive - win back",IF(AND(M85="Active",S85&lt;&gt;"Signed"),"Action - contract not signed",IF(AND(M85="Prospective",AD85=""),"Action - follow up quote","OK")))))</f>
        <v>0</v>
      </c>
    </row>
    <row r="86" spans="1:38">
      <c r="A86" s="46">
        <f>IF(B86="","",ClientPrefix&amp;TEXT(ROW()-4,"0000"))</f>
        <v>0</v>
      </c>
      <c r="Y86" s="31">
        <f>IF(B86="","",COUNTIF(Pets!$C$5:$C$254,B86))</f>
        <v>0</v>
      </c>
      <c r="Z86" s="31">
        <f>IF(B86="","",COUNTIFS(Bookings!$C$5:$C$404,B86))</f>
        <v>0</v>
      </c>
      <c r="AA86" s="31">
        <f>IF(B86="","",COUNTIFS('Visit Log'!$D$5:$D$404,B86,'Visit Log'!$AE$5:$AE$404,"Completed"))</f>
        <v>0</v>
      </c>
      <c r="AB86" s="21">
        <f>IF(B86="","",IF(SUMPRODUCT(MAX((Bookings!$C$5:$C$404=B86)*(Bookings!$AM$5:$AM$404="Completed")*Bookings!$I$5:$I$404))=0,"",SUMPRODUCT(MAX((Bookings!$C$5:$C$404=B86)*(Bookings!$AM$5:$AM$404="Completed")*Bookings!$I$5:$I$404))))</f>
        <v>0</v>
      </c>
      <c r="AC86" s="31">
        <f>IF(AB86="","",TODAY()-AB86)</f>
        <v>0</v>
      </c>
      <c r="AD86" s="21">
        <f>IF(B86="","",IF(COUNTIFS(Bookings!$C$5:$C$404,B86,Bookings!$I$5:$I$404,"&gt;="&amp;TODAY(),Bookings!$AM$5:$AM$404,"&lt;&gt;Cancelled")=0,"",SUMPRODUCT(MIN(((Bookings!$C$5:$C$404=B86)*(Bookings!$I$5:$I$404&gt;=TODAY())*(Bookings!$AM$5:$AM$404&lt;&gt;"Cancelled"))*Bookings!$I$5:$I$404+(1-((Bookings!$C$5:$C$404=B86)*(Bookings!$I$5:$I$404&gt;=TODAY())*(Bookings!$AM$5:$AM$404&lt;&gt;"Cancelled")))*2958465))))</f>
        <v>0</v>
      </c>
      <c r="AE86" s="29">
        <f>IF(B86="","",SUMIFS(Payments!$L$5:$L$304,Payments!$C$5:$C$304,B86))</f>
        <v>0</v>
      </c>
      <c r="AF86" s="29">
        <f>IF(B86="","",SUMIFS(Invoices!$O$5:$O$304,Invoices!$D$5:$D$304,B86,Invoices!$T$5:$T$304,"&lt;&gt;Draft"))</f>
        <v>0</v>
      </c>
      <c r="AG86" s="29">
        <f>IF(B86="","",SUMIFS(Invoices!$S$5:$S$304,Invoices!$D$5:$D$304,B86,Invoices!$T$5:$T$304,"&lt;&gt;Cancelled"))</f>
        <v>0</v>
      </c>
      <c r="AH86" s="29">
        <f>IF(OR(Z86="",Z86=0),"",SUMIFS(Bookings!$AK$5:$AK$404,Bookings!$C$5:$C$404,B86,Bookings!$AM$5:$AM$404,"&lt;&gt;Cancelled")/Z86)</f>
        <v>0</v>
      </c>
      <c r="AI86" s="49">
        <f>IF(B86="","",IF(Z86&gt;=LoyaltyThreshold,"Loyalty discount","Standard"))</f>
        <v>0</v>
      </c>
      <c r="AJ86" s="49">
        <f>IF(B86="","",IF(COUNTIF(Clients!$B$5:$B$254,B86)&gt;1,"Duplicate name",IF(AND(C86&lt;&gt;"",COUNTIF(Clients!$C$5:$C$254,C86)&gt;1),"Duplicate phone","OK")))</f>
        <v>0</v>
      </c>
      <c r="AK86" s="49">
        <f>IF(B86="","",IF(AND(C86&lt;&gt;"",D86&lt;&gt;"",L86&lt;&gt;"",M86&lt;&gt;""),"OK","Add: "&amp;IF(C86="","phone ","")&amp;IF(D86="","email ","")&amp;IF(L86="","date ","")&amp;IF(M86="","status","")))</f>
        <v>0</v>
      </c>
      <c r="AL86" s="49">
        <f>IF(B86="","",IF(AG86&gt;0.5,"Overdue - chase payment",IF(AND(M86="Active",ISNUMBER(AC86),AC86&gt;InactiveDays),"Inactive - win back",IF(AND(M86="Active",S86&lt;&gt;"Signed"),"Action - contract not signed",IF(AND(M86="Prospective",AD86=""),"Action - follow up quote","OK")))))</f>
        <v>0</v>
      </c>
    </row>
    <row r="87" spans="1:38">
      <c r="A87" s="46">
        <f>IF(B87="","",ClientPrefix&amp;TEXT(ROW()-4,"0000"))</f>
        <v>0</v>
      </c>
      <c r="Y87" s="31">
        <f>IF(B87="","",COUNTIF(Pets!$C$5:$C$254,B87))</f>
        <v>0</v>
      </c>
      <c r="Z87" s="31">
        <f>IF(B87="","",COUNTIFS(Bookings!$C$5:$C$404,B87))</f>
        <v>0</v>
      </c>
      <c r="AA87" s="31">
        <f>IF(B87="","",COUNTIFS('Visit Log'!$D$5:$D$404,B87,'Visit Log'!$AE$5:$AE$404,"Completed"))</f>
        <v>0</v>
      </c>
      <c r="AB87" s="21">
        <f>IF(B87="","",IF(SUMPRODUCT(MAX((Bookings!$C$5:$C$404=B87)*(Bookings!$AM$5:$AM$404="Completed")*Bookings!$I$5:$I$404))=0,"",SUMPRODUCT(MAX((Bookings!$C$5:$C$404=B87)*(Bookings!$AM$5:$AM$404="Completed")*Bookings!$I$5:$I$404))))</f>
        <v>0</v>
      </c>
      <c r="AC87" s="31">
        <f>IF(AB87="","",TODAY()-AB87)</f>
        <v>0</v>
      </c>
      <c r="AD87" s="21">
        <f>IF(B87="","",IF(COUNTIFS(Bookings!$C$5:$C$404,B87,Bookings!$I$5:$I$404,"&gt;="&amp;TODAY(),Bookings!$AM$5:$AM$404,"&lt;&gt;Cancelled")=0,"",SUMPRODUCT(MIN(((Bookings!$C$5:$C$404=B87)*(Bookings!$I$5:$I$404&gt;=TODAY())*(Bookings!$AM$5:$AM$404&lt;&gt;"Cancelled"))*Bookings!$I$5:$I$404+(1-((Bookings!$C$5:$C$404=B87)*(Bookings!$I$5:$I$404&gt;=TODAY())*(Bookings!$AM$5:$AM$404&lt;&gt;"Cancelled")))*2958465))))</f>
        <v>0</v>
      </c>
      <c r="AE87" s="29">
        <f>IF(B87="","",SUMIFS(Payments!$L$5:$L$304,Payments!$C$5:$C$304,B87))</f>
        <v>0</v>
      </c>
      <c r="AF87" s="29">
        <f>IF(B87="","",SUMIFS(Invoices!$O$5:$O$304,Invoices!$D$5:$D$304,B87,Invoices!$T$5:$T$304,"&lt;&gt;Draft"))</f>
        <v>0</v>
      </c>
      <c r="AG87" s="29">
        <f>IF(B87="","",SUMIFS(Invoices!$S$5:$S$304,Invoices!$D$5:$D$304,B87,Invoices!$T$5:$T$304,"&lt;&gt;Cancelled"))</f>
        <v>0</v>
      </c>
      <c r="AH87" s="29">
        <f>IF(OR(Z87="",Z87=0),"",SUMIFS(Bookings!$AK$5:$AK$404,Bookings!$C$5:$C$404,B87,Bookings!$AM$5:$AM$404,"&lt;&gt;Cancelled")/Z87)</f>
        <v>0</v>
      </c>
      <c r="AI87" s="49">
        <f>IF(B87="","",IF(Z87&gt;=LoyaltyThreshold,"Loyalty discount","Standard"))</f>
        <v>0</v>
      </c>
      <c r="AJ87" s="49">
        <f>IF(B87="","",IF(COUNTIF(Clients!$B$5:$B$254,B87)&gt;1,"Duplicate name",IF(AND(C87&lt;&gt;"",COUNTIF(Clients!$C$5:$C$254,C87)&gt;1),"Duplicate phone","OK")))</f>
        <v>0</v>
      </c>
      <c r="AK87" s="49">
        <f>IF(B87="","",IF(AND(C87&lt;&gt;"",D87&lt;&gt;"",L87&lt;&gt;"",M87&lt;&gt;""),"OK","Add: "&amp;IF(C87="","phone ","")&amp;IF(D87="","email ","")&amp;IF(L87="","date ","")&amp;IF(M87="","status","")))</f>
        <v>0</v>
      </c>
      <c r="AL87" s="49">
        <f>IF(B87="","",IF(AG87&gt;0.5,"Overdue - chase payment",IF(AND(M87="Active",ISNUMBER(AC87),AC87&gt;InactiveDays),"Inactive - win back",IF(AND(M87="Active",S87&lt;&gt;"Signed"),"Action - contract not signed",IF(AND(M87="Prospective",AD87=""),"Action - follow up quote","OK")))))</f>
        <v>0</v>
      </c>
    </row>
    <row r="88" spans="1:38">
      <c r="A88" s="46">
        <f>IF(B88="","",ClientPrefix&amp;TEXT(ROW()-4,"0000"))</f>
        <v>0</v>
      </c>
      <c r="Y88" s="31">
        <f>IF(B88="","",COUNTIF(Pets!$C$5:$C$254,B88))</f>
        <v>0</v>
      </c>
      <c r="Z88" s="31">
        <f>IF(B88="","",COUNTIFS(Bookings!$C$5:$C$404,B88))</f>
        <v>0</v>
      </c>
      <c r="AA88" s="31">
        <f>IF(B88="","",COUNTIFS('Visit Log'!$D$5:$D$404,B88,'Visit Log'!$AE$5:$AE$404,"Completed"))</f>
        <v>0</v>
      </c>
      <c r="AB88" s="21">
        <f>IF(B88="","",IF(SUMPRODUCT(MAX((Bookings!$C$5:$C$404=B88)*(Bookings!$AM$5:$AM$404="Completed")*Bookings!$I$5:$I$404))=0,"",SUMPRODUCT(MAX((Bookings!$C$5:$C$404=B88)*(Bookings!$AM$5:$AM$404="Completed")*Bookings!$I$5:$I$404))))</f>
        <v>0</v>
      </c>
      <c r="AC88" s="31">
        <f>IF(AB88="","",TODAY()-AB88)</f>
        <v>0</v>
      </c>
      <c r="AD88" s="21">
        <f>IF(B88="","",IF(COUNTIFS(Bookings!$C$5:$C$404,B88,Bookings!$I$5:$I$404,"&gt;="&amp;TODAY(),Bookings!$AM$5:$AM$404,"&lt;&gt;Cancelled")=0,"",SUMPRODUCT(MIN(((Bookings!$C$5:$C$404=B88)*(Bookings!$I$5:$I$404&gt;=TODAY())*(Bookings!$AM$5:$AM$404&lt;&gt;"Cancelled"))*Bookings!$I$5:$I$404+(1-((Bookings!$C$5:$C$404=B88)*(Bookings!$I$5:$I$404&gt;=TODAY())*(Bookings!$AM$5:$AM$404&lt;&gt;"Cancelled")))*2958465))))</f>
        <v>0</v>
      </c>
      <c r="AE88" s="29">
        <f>IF(B88="","",SUMIFS(Payments!$L$5:$L$304,Payments!$C$5:$C$304,B88))</f>
        <v>0</v>
      </c>
      <c r="AF88" s="29">
        <f>IF(B88="","",SUMIFS(Invoices!$O$5:$O$304,Invoices!$D$5:$D$304,B88,Invoices!$T$5:$T$304,"&lt;&gt;Draft"))</f>
        <v>0</v>
      </c>
      <c r="AG88" s="29">
        <f>IF(B88="","",SUMIFS(Invoices!$S$5:$S$304,Invoices!$D$5:$D$304,B88,Invoices!$T$5:$T$304,"&lt;&gt;Cancelled"))</f>
        <v>0</v>
      </c>
      <c r="AH88" s="29">
        <f>IF(OR(Z88="",Z88=0),"",SUMIFS(Bookings!$AK$5:$AK$404,Bookings!$C$5:$C$404,B88,Bookings!$AM$5:$AM$404,"&lt;&gt;Cancelled")/Z88)</f>
        <v>0</v>
      </c>
      <c r="AI88" s="49">
        <f>IF(B88="","",IF(Z88&gt;=LoyaltyThreshold,"Loyalty discount","Standard"))</f>
        <v>0</v>
      </c>
      <c r="AJ88" s="49">
        <f>IF(B88="","",IF(COUNTIF(Clients!$B$5:$B$254,B88)&gt;1,"Duplicate name",IF(AND(C88&lt;&gt;"",COUNTIF(Clients!$C$5:$C$254,C88)&gt;1),"Duplicate phone","OK")))</f>
        <v>0</v>
      </c>
      <c r="AK88" s="49">
        <f>IF(B88="","",IF(AND(C88&lt;&gt;"",D88&lt;&gt;"",L88&lt;&gt;"",M88&lt;&gt;""),"OK","Add: "&amp;IF(C88="","phone ","")&amp;IF(D88="","email ","")&amp;IF(L88="","date ","")&amp;IF(M88="","status","")))</f>
        <v>0</v>
      </c>
      <c r="AL88" s="49">
        <f>IF(B88="","",IF(AG88&gt;0.5,"Overdue - chase payment",IF(AND(M88="Active",ISNUMBER(AC88),AC88&gt;InactiveDays),"Inactive - win back",IF(AND(M88="Active",S88&lt;&gt;"Signed"),"Action - contract not signed",IF(AND(M88="Prospective",AD88=""),"Action - follow up quote","OK")))))</f>
        <v>0</v>
      </c>
    </row>
    <row r="89" spans="1:38">
      <c r="A89" s="46">
        <f>IF(B89="","",ClientPrefix&amp;TEXT(ROW()-4,"0000"))</f>
        <v>0</v>
      </c>
      <c r="Y89" s="31">
        <f>IF(B89="","",COUNTIF(Pets!$C$5:$C$254,B89))</f>
        <v>0</v>
      </c>
      <c r="Z89" s="31">
        <f>IF(B89="","",COUNTIFS(Bookings!$C$5:$C$404,B89))</f>
        <v>0</v>
      </c>
      <c r="AA89" s="31">
        <f>IF(B89="","",COUNTIFS('Visit Log'!$D$5:$D$404,B89,'Visit Log'!$AE$5:$AE$404,"Completed"))</f>
        <v>0</v>
      </c>
      <c r="AB89" s="21">
        <f>IF(B89="","",IF(SUMPRODUCT(MAX((Bookings!$C$5:$C$404=B89)*(Bookings!$AM$5:$AM$404="Completed")*Bookings!$I$5:$I$404))=0,"",SUMPRODUCT(MAX((Bookings!$C$5:$C$404=B89)*(Bookings!$AM$5:$AM$404="Completed")*Bookings!$I$5:$I$404))))</f>
        <v>0</v>
      </c>
      <c r="AC89" s="31">
        <f>IF(AB89="","",TODAY()-AB89)</f>
        <v>0</v>
      </c>
      <c r="AD89" s="21">
        <f>IF(B89="","",IF(COUNTIFS(Bookings!$C$5:$C$404,B89,Bookings!$I$5:$I$404,"&gt;="&amp;TODAY(),Bookings!$AM$5:$AM$404,"&lt;&gt;Cancelled")=0,"",SUMPRODUCT(MIN(((Bookings!$C$5:$C$404=B89)*(Bookings!$I$5:$I$404&gt;=TODAY())*(Bookings!$AM$5:$AM$404&lt;&gt;"Cancelled"))*Bookings!$I$5:$I$404+(1-((Bookings!$C$5:$C$404=B89)*(Bookings!$I$5:$I$404&gt;=TODAY())*(Bookings!$AM$5:$AM$404&lt;&gt;"Cancelled")))*2958465))))</f>
        <v>0</v>
      </c>
      <c r="AE89" s="29">
        <f>IF(B89="","",SUMIFS(Payments!$L$5:$L$304,Payments!$C$5:$C$304,B89))</f>
        <v>0</v>
      </c>
      <c r="AF89" s="29">
        <f>IF(B89="","",SUMIFS(Invoices!$O$5:$O$304,Invoices!$D$5:$D$304,B89,Invoices!$T$5:$T$304,"&lt;&gt;Draft"))</f>
        <v>0</v>
      </c>
      <c r="AG89" s="29">
        <f>IF(B89="","",SUMIFS(Invoices!$S$5:$S$304,Invoices!$D$5:$D$304,B89,Invoices!$T$5:$T$304,"&lt;&gt;Cancelled"))</f>
        <v>0</v>
      </c>
      <c r="AH89" s="29">
        <f>IF(OR(Z89="",Z89=0),"",SUMIFS(Bookings!$AK$5:$AK$404,Bookings!$C$5:$C$404,B89,Bookings!$AM$5:$AM$404,"&lt;&gt;Cancelled")/Z89)</f>
        <v>0</v>
      </c>
      <c r="AI89" s="49">
        <f>IF(B89="","",IF(Z89&gt;=LoyaltyThreshold,"Loyalty discount","Standard"))</f>
        <v>0</v>
      </c>
      <c r="AJ89" s="49">
        <f>IF(B89="","",IF(COUNTIF(Clients!$B$5:$B$254,B89)&gt;1,"Duplicate name",IF(AND(C89&lt;&gt;"",COUNTIF(Clients!$C$5:$C$254,C89)&gt;1),"Duplicate phone","OK")))</f>
        <v>0</v>
      </c>
      <c r="AK89" s="49">
        <f>IF(B89="","",IF(AND(C89&lt;&gt;"",D89&lt;&gt;"",L89&lt;&gt;"",M89&lt;&gt;""),"OK","Add: "&amp;IF(C89="","phone ","")&amp;IF(D89="","email ","")&amp;IF(L89="","date ","")&amp;IF(M89="","status","")))</f>
        <v>0</v>
      </c>
      <c r="AL89" s="49">
        <f>IF(B89="","",IF(AG89&gt;0.5,"Overdue - chase payment",IF(AND(M89="Active",ISNUMBER(AC89),AC89&gt;InactiveDays),"Inactive - win back",IF(AND(M89="Active",S89&lt;&gt;"Signed"),"Action - contract not signed",IF(AND(M89="Prospective",AD89=""),"Action - follow up quote","OK")))))</f>
        <v>0</v>
      </c>
    </row>
    <row r="90" spans="1:38">
      <c r="A90" s="46">
        <f>IF(B90="","",ClientPrefix&amp;TEXT(ROW()-4,"0000"))</f>
        <v>0</v>
      </c>
      <c r="Y90" s="31">
        <f>IF(B90="","",COUNTIF(Pets!$C$5:$C$254,B90))</f>
        <v>0</v>
      </c>
      <c r="Z90" s="31">
        <f>IF(B90="","",COUNTIFS(Bookings!$C$5:$C$404,B90))</f>
        <v>0</v>
      </c>
      <c r="AA90" s="31">
        <f>IF(B90="","",COUNTIFS('Visit Log'!$D$5:$D$404,B90,'Visit Log'!$AE$5:$AE$404,"Completed"))</f>
        <v>0</v>
      </c>
      <c r="AB90" s="21">
        <f>IF(B90="","",IF(SUMPRODUCT(MAX((Bookings!$C$5:$C$404=B90)*(Bookings!$AM$5:$AM$404="Completed")*Bookings!$I$5:$I$404))=0,"",SUMPRODUCT(MAX((Bookings!$C$5:$C$404=B90)*(Bookings!$AM$5:$AM$404="Completed")*Bookings!$I$5:$I$404))))</f>
        <v>0</v>
      </c>
      <c r="AC90" s="31">
        <f>IF(AB90="","",TODAY()-AB90)</f>
        <v>0</v>
      </c>
      <c r="AD90" s="21">
        <f>IF(B90="","",IF(COUNTIFS(Bookings!$C$5:$C$404,B90,Bookings!$I$5:$I$404,"&gt;="&amp;TODAY(),Bookings!$AM$5:$AM$404,"&lt;&gt;Cancelled")=0,"",SUMPRODUCT(MIN(((Bookings!$C$5:$C$404=B90)*(Bookings!$I$5:$I$404&gt;=TODAY())*(Bookings!$AM$5:$AM$404&lt;&gt;"Cancelled"))*Bookings!$I$5:$I$404+(1-((Bookings!$C$5:$C$404=B90)*(Bookings!$I$5:$I$404&gt;=TODAY())*(Bookings!$AM$5:$AM$404&lt;&gt;"Cancelled")))*2958465))))</f>
        <v>0</v>
      </c>
      <c r="AE90" s="29">
        <f>IF(B90="","",SUMIFS(Payments!$L$5:$L$304,Payments!$C$5:$C$304,B90))</f>
        <v>0</v>
      </c>
      <c r="AF90" s="29">
        <f>IF(B90="","",SUMIFS(Invoices!$O$5:$O$304,Invoices!$D$5:$D$304,B90,Invoices!$T$5:$T$304,"&lt;&gt;Draft"))</f>
        <v>0</v>
      </c>
      <c r="AG90" s="29">
        <f>IF(B90="","",SUMIFS(Invoices!$S$5:$S$304,Invoices!$D$5:$D$304,B90,Invoices!$T$5:$T$304,"&lt;&gt;Cancelled"))</f>
        <v>0</v>
      </c>
      <c r="AH90" s="29">
        <f>IF(OR(Z90="",Z90=0),"",SUMIFS(Bookings!$AK$5:$AK$404,Bookings!$C$5:$C$404,B90,Bookings!$AM$5:$AM$404,"&lt;&gt;Cancelled")/Z90)</f>
        <v>0</v>
      </c>
      <c r="AI90" s="49">
        <f>IF(B90="","",IF(Z90&gt;=LoyaltyThreshold,"Loyalty discount","Standard"))</f>
        <v>0</v>
      </c>
      <c r="AJ90" s="49">
        <f>IF(B90="","",IF(COUNTIF(Clients!$B$5:$B$254,B90)&gt;1,"Duplicate name",IF(AND(C90&lt;&gt;"",COUNTIF(Clients!$C$5:$C$254,C90)&gt;1),"Duplicate phone","OK")))</f>
        <v>0</v>
      </c>
      <c r="AK90" s="49">
        <f>IF(B90="","",IF(AND(C90&lt;&gt;"",D90&lt;&gt;"",L90&lt;&gt;"",M90&lt;&gt;""),"OK","Add: "&amp;IF(C90="","phone ","")&amp;IF(D90="","email ","")&amp;IF(L90="","date ","")&amp;IF(M90="","status","")))</f>
        <v>0</v>
      </c>
      <c r="AL90" s="49">
        <f>IF(B90="","",IF(AG90&gt;0.5,"Overdue - chase payment",IF(AND(M90="Active",ISNUMBER(AC90),AC90&gt;InactiveDays),"Inactive - win back",IF(AND(M90="Active",S90&lt;&gt;"Signed"),"Action - contract not signed",IF(AND(M90="Prospective",AD90=""),"Action - follow up quote","OK")))))</f>
        <v>0</v>
      </c>
    </row>
    <row r="91" spans="1:38">
      <c r="A91" s="46">
        <f>IF(B91="","",ClientPrefix&amp;TEXT(ROW()-4,"0000"))</f>
        <v>0</v>
      </c>
      <c r="Y91" s="31">
        <f>IF(B91="","",COUNTIF(Pets!$C$5:$C$254,B91))</f>
        <v>0</v>
      </c>
      <c r="Z91" s="31">
        <f>IF(B91="","",COUNTIFS(Bookings!$C$5:$C$404,B91))</f>
        <v>0</v>
      </c>
      <c r="AA91" s="31">
        <f>IF(B91="","",COUNTIFS('Visit Log'!$D$5:$D$404,B91,'Visit Log'!$AE$5:$AE$404,"Completed"))</f>
        <v>0</v>
      </c>
      <c r="AB91" s="21">
        <f>IF(B91="","",IF(SUMPRODUCT(MAX((Bookings!$C$5:$C$404=B91)*(Bookings!$AM$5:$AM$404="Completed")*Bookings!$I$5:$I$404))=0,"",SUMPRODUCT(MAX((Bookings!$C$5:$C$404=B91)*(Bookings!$AM$5:$AM$404="Completed")*Bookings!$I$5:$I$404))))</f>
        <v>0</v>
      </c>
      <c r="AC91" s="31">
        <f>IF(AB91="","",TODAY()-AB91)</f>
        <v>0</v>
      </c>
      <c r="AD91" s="21">
        <f>IF(B91="","",IF(COUNTIFS(Bookings!$C$5:$C$404,B91,Bookings!$I$5:$I$404,"&gt;="&amp;TODAY(),Bookings!$AM$5:$AM$404,"&lt;&gt;Cancelled")=0,"",SUMPRODUCT(MIN(((Bookings!$C$5:$C$404=B91)*(Bookings!$I$5:$I$404&gt;=TODAY())*(Bookings!$AM$5:$AM$404&lt;&gt;"Cancelled"))*Bookings!$I$5:$I$404+(1-((Bookings!$C$5:$C$404=B91)*(Bookings!$I$5:$I$404&gt;=TODAY())*(Bookings!$AM$5:$AM$404&lt;&gt;"Cancelled")))*2958465))))</f>
        <v>0</v>
      </c>
      <c r="AE91" s="29">
        <f>IF(B91="","",SUMIFS(Payments!$L$5:$L$304,Payments!$C$5:$C$304,B91))</f>
        <v>0</v>
      </c>
      <c r="AF91" s="29">
        <f>IF(B91="","",SUMIFS(Invoices!$O$5:$O$304,Invoices!$D$5:$D$304,B91,Invoices!$T$5:$T$304,"&lt;&gt;Draft"))</f>
        <v>0</v>
      </c>
      <c r="AG91" s="29">
        <f>IF(B91="","",SUMIFS(Invoices!$S$5:$S$304,Invoices!$D$5:$D$304,B91,Invoices!$T$5:$T$304,"&lt;&gt;Cancelled"))</f>
        <v>0</v>
      </c>
      <c r="AH91" s="29">
        <f>IF(OR(Z91="",Z91=0),"",SUMIFS(Bookings!$AK$5:$AK$404,Bookings!$C$5:$C$404,B91,Bookings!$AM$5:$AM$404,"&lt;&gt;Cancelled")/Z91)</f>
        <v>0</v>
      </c>
      <c r="AI91" s="49">
        <f>IF(B91="","",IF(Z91&gt;=LoyaltyThreshold,"Loyalty discount","Standard"))</f>
        <v>0</v>
      </c>
      <c r="AJ91" s="49">
        <f>IF(B91="","",IF(COUNTIF(Clients!$B$5:$B$254,B91)&gt;1,"Duplicate name",IF(AND(C91&lt;&gt;"",COUNTIF(Clients!$C$5:$C$254,C91)&gt;1),"Duplicate phone","OK")))</f>
        <v>0</v>
      </c>
      <c r="AK91" s="49">
        <f>IF(B91="","",IF(AND(C91&lt;&gt;"",D91&lt;&gt;"",L91&lt;&gt;"",M91&lt;&gt;""),"OK","Add: "&amp;IF(C91="","phone ","")&amp;IF(D91="","email ","")&amp;IF(L91="","date ","")&amp;IF(M91="","status","")))</f>
        <v>0</v>
      </c>
      <c r="AL91" s="49">
        <f>IF(B91="","",IF(AG91&gt;0.5,"Overdue - chase payment",IF(AND(M91="Active",ISNUMBER(AC91),AC91&gt;InactiveDays),"Inactive - win back",IF(AND(M91="Active",S91&lt;&gt;"Signed"),"Action - contract not signed",IF(AND(M91="Prospective",AD91=""),"Action - follow up quote","OK")))))</f>
        <v>0</v>
      </c>
    </row>
    <row r="92" spans="1:38">
      <c r="A92" s="46">
        <f>IF(B92="","",ClientPrefix&amp;TEXT(ROW()-4,"0000"))</f>
        <v>0</v>
      </c>
      <c r="Y92" s="31">
        <f>IF(B92="","",COUNTIF(Pets!$C$5:$C$254,B92))</f>
        <v>0</v>
      </c>
      <c r="Z92" s="31">
        <f>IF(B92="","",COUNTIFS(Bookings!$C$5:$C$404,B92))</f>
        <v>0</v>
      </c>
      <c r="AA92" s="31">
        <f>IF(B92="","",COUNTIFS('Visit Log'!$D$5:$D$404,B92,'Visit Log'!$AE$5:$AE$404,"Completed"))</f>
        <v>0</v>
      </c>
      <c r="AB92" s="21">
        <f>IF(B92="","",IF(SUMPRODUCT(MAX((Bookings!$C$5:$C$404=B92)*(Bookings!$AM$5:$AM$404="Completed")*Bookings!$I$5:$I$404))=0,"",SUMPRODUCT(MAX((Bookings!$C$5:$C$404=B92)*(Bookings!$AM$5:$AM$404="Completed")*Bookings!$I$5:$I$404))))</f>
        <v>0</v>
      </c>
      <c r="AC92" s="31">
        <f>IF(AB92="","",TODAY()-AB92)</f>
        <v>0</v>
      </c>
      <c r="AD92" s="21">
        <f>IF(B92="","",IF(COUNTIFS(Bookings!$C$5:$C$404,B92,Bookings!$I$5:$I$404,"&gt;="&amp;TODAY(),Bookings!$AM$5:$AM$404,"&lt;&gt;Cancelled")=0,"",SUMPRODUCT(MIN(((Bookings!$C$5:$C$404=B92)*(Bookings!$I$5:$I$404&gt;=TODAY())*(Bookings!$AM$5:$AM$404&lt;&gt;"Cancelled"))*Bookings!$I$5:$I$404+(1-((Bookings!$C$5:$C$404=B92)*(Bookings!$I$5:$I$404&gt;=TODAY())*(Bookings!$AM$5:$AM$404&lt;&gt;"Cancelled")))*2958465))))</f>
        <v>0</v>
      </c>
      <c r="AE92" s="29">
        <f>IF(B92="","",SUMIFS(Payments!$L$5:$L$304,Payments!$C$5:$C$304,B92))</f>
        <v>0</v>
      </c>
      <c r="AF92" s="29">
        <f>IF(B92="","",SUMIFS(Invoices!$O$5:$O$304,Invoices!$D$5:$D$304,B92,Invoices!$T$5:$T$304,"&lt;&gt;Draft"))</f>
        <v>0</v>
      </c>
      <c r="AG92" s="29">
        <f>IF(B92="","",SUMIFS(Invoices!$S$5:$S$304,Invoices!$D$5:$D$304,B92,Invoices!$T$5:$T$304,"&lt;&gt;Cancelled"))</f>
        <v>0</v>
      </c>
      <c r="AH92" s="29">
        <f>IF(OR(Z92="",Z92=0),"",SUMIFS(Bookings!$AK$5:$AK$404,Bookings!$C$5:$C$404,B92,Bookings!$AM$5:$AM$404,"&lt;&gt;Cancelled")/Z92)</f>
        <v>0</v>
      </c>
      <c r="AI92" s="49">
        <f>IF(B92="","",IF(Z92&gt;=LoyaltyThreshold,"Loyalty discount","Standard"))</f>
        <v>0</v>
      </c>
      <c r="AJ92" s="49">
        <f>IF(B92="","",IF(COUNTIF(Clients!$B$5:$B$254,B92)&gt;1,"Duplicate name",IF(AND(C92&lt;&gt;"",COUNTIF(Clients!$C$5:$C$254,C92)&gt;1),"Duplicate phone","OK")))</f>
        <v>0</v>
      </c>
      <c r="AK92" s="49">
        <f>IF(B92="","",IF(AND(C92&lt;&gt;"",D92&lt;&gt;"",L92&lt;&gt;"",M92&lt;&gt;""),"OK","Add: "&amp;IF(C92="","phone ","")&amp;IF(D92="","email ","")&amp;IF(L92="","date ","")&amp;IF(M92="","status","")))</f>
        <v>0</v>
      </c>
      <c r="AL92" s="49">
        <f>IF(B92="","",IF(AG92&gt;0.5,"Overdue - chase payment",IF(AND(M92="Active",ISNUMBER(AC92),AC92&gt;InactiveDays),"Inactive - win back",IF(AND(M92="Active",S92&lt;&gt;"Signed"),"Action - contract not signed",IF(AND(M92="Prospective",AD92=""),"Action - follow up quote","OK")))))</f>
        <v>0</v>
      </c>
    </row>
    <row r="93" spans="1:38">
      <c r="A93" s="46">
        <f>IF(B93="","",ClientPrefix&amp;TEXT(ROW()-4,"0000"))</f>
        <v>0</v>
      </c>
      <c r="Y93" s="31">
        <f>IF(B93="","",COUNTIF(Pets!$C$5:$C$254,B93))</f>
        <v>0</v>
      </c>
      <c r="Z93" s="31">
        <f>IF(B93="","",COUNTIFS(Bookings!$C$5:$C$404,B93))</f>
        <v>0</v>
      </c>
      <c r="AA93" s="31">
        <f>IF(B93="","",COUNTIFS('Visit Log'!$D$5:$D$404,B93,'Visit Log'!$AE$5:$AE$404,"Completed"))</f>
        <v>0</v>
      </c>
      <c r="AB93" s="21">
        <f>IF(B93="","",IF(SUMPRODUCT(MAX((Bookings!$C$5:$C$404=B93)*(Bookings!$AM$5:$AM$404="Completed")*Bookings!$I$5:$I$404))=0,"",SUMPRODUCT(MAX((Bookings!$C$5:$C$404=B93)*(Bookings!$AM$5:$AM$404="Completed")*Bookings!$I$5:$I$404))))</f>
        <v>0</v>
      </c>
      <c r="AC93" s="31">
        <f>IF(AB93="","",TODAY()-AB93)</f>
        <v>0</v>
      </c>
      <c r="AD93" s="21">
        <f>IF(B93="","",IF(COUNTIFS(Bookings!$C$5:$C$404,B93,Bookings!$I$5:$I$404,"&gt;="&amp;TODAY(),Bookings!$AM$5:$AM$404,"&lt;&gt;Cancelled")=0,"",SUMPRODUCT(MIN(((Bookings!$C$5:$C$404=B93)*(Bookings!$I$5:$I$404&gt;=TODAY())*(Bookings!$AM$5:$AM$404&lt;&gt;"Cancelled"))*Bookings!$I$5:$I$404+(1-((Bookings!$C$5:$C$404=B93)*(Bookings!$I$5:$I$404&gt;=TODAY())*(Bookings!$AM$5:$AM$404&lt;&gt;"Cancelled")))*2958465))))</f>
        <v>0</v>
      </c>
      <c r="AE93" s="29">
        <f>IF(B93="","",SUMIFS(Payments!$L$5:$L$304,Payments!$C$5:$C$304,B93))</f>
        <v>0</v>
      </c>
      <c r="AF93" s="29">
        <f>IF(B93="","",SUMIFS(Invoices!$O$5:$O$304,Invoices!$D$5:$D$304,B93,Invoices!$T$5:$T$304,"&lt;&gt;Draft"))</f>
        <v>0</v>
      </c>
      <c r="AG93" s="29">
        <f>IF(B93="","",SUMIFS(Invoices!$S$5:$S$304,Invoices!$D$5:$D$304,B93,Invoices!$T$5:$T$304,"&lt;&gt;Cancelled"))</f>
        <v>0</v>
      </c>
      <c r="AH93" s="29">
        <f>IF(OR(Z93="",Z93=0),"",SUMIFS(Bookings!$AK$5:$AK$404,Bookings!$C$5:$C$404,B93,Bookings!$AM$5:$AM$404,"&lt;&gt;Cancelled")/Z93)</f>
        <v>0</v>
      </c>
      <c r="AI93" s="49">
        <f>IF(B93="","",IF(Z93&gt;=LoyaltyThreshold,"Loyalty discount","Standard"))</f>
        <v>0</v>
      </c>
      <c r="AJ93" s="49">
        <f>IF(B93="","",IF(COUNTIF(Clients!$B$5:$B$254,B93)&gt;1,"Duplicate name",IF(AND(C93&lt;&gt;"",COUNTIF(Clients!$C$5:$C$254,C93)&gt;1),"Duplicate phone","OK")))</f>
        <v>0</v>
      </c>
      <c r="AK93" s="49">
        <f>IF(B93="","",IF(AND(C93&lt;&gt;"",D93&lt;&gt;"",L93&lt;&gt;"",M93&lt;&gt;""),"OK","Add: "&amp;IF(C93="","phone ","")&amp;IF(D93="","email ","")&amp;IF(L93="","date ","")&amp;IF(M93="","status","")))</f>
        <v>0</v>
      </c>
      <c r="AL93" s="49">
        <f>IF(B93="","",IF(AG93&gt;0.5,"Overdue - chase payment",IF(AND(M93="Active",ISNUMBER(AC93),AC93&gt;InactiveDays),"Inactive - win back",IF(AND(M93="Active",S93&lt;&gt;"Signed"),"Action - contract not signed",IF(AND(M93="Prospective",AD93=""),"Action - follow up quote","OK")))))</f>
        <v>0</v>
      </c>
    </row>
    <row r="94" spans="1:38">
      <c r="A94" s="46">
        <f>IF(B94="","",ClientPrefix&amp;TEXT(ROW()-4,"0000"))</f>
        <v>0</v>
      </c>
      <c r="Y94" s="31">
        <f>IF(B94="","",COUNTIF(Pets!$C$5:$C$254,B94))</f>
        <v>0</v>
      </c>
      <c r="Z94" s="31">
        <f>IF(B94="","",COUNTIFS(Bookings!$C$5:$C$404,B94))</f>
        <v>0</v>
      </c>
      <c r="AA94" s="31">
        <f>IF(B94="","",COUNTIFS('Visit Log'!$D$5:$D$404,B94,'Visit Log'!$AE$5:$AE$404,"Completed"))</f>
        <v>0</v>
      </c>
      <c r="AB94" s="21">
        <f>IF(B94="","",IF(SUMPRODUCT(MAX((Bookings!$C$5:$C$404=B94)*(Bookings!$AM$5:$AM$404="Completed")*Bookings!$I$5:$I$404))=0,"",SUMPRODUCT(MAX((Bookings!$C$5:$C$404=B94)*(Bookings!$AM$5:$AM$404="Completed")*Bookings!$I$5:$I$404))))</f>
        <v>0</v>
      </c>
      <c r="AC94" s="31">
        <f>IF(AB94="","",TODAY()-AB94)</f>
        <v>0</v>
      </c>
      <c r="AD94" s="21">
        <f>IF(B94="","",IF(COUNTIFS(Bookings!$C$5:$C$404,B94,Bookings!$I$5:$I$404,"&gt;="&amp;TODAY(),Bookings!$AM$5:$AM$404,"&lt;&gt;Cancelled")=0,"",SUMPRODUCT(MIN(((Bookings!$C$5:$C$404=B94)*(Bookings!$I$5:$I$404&gt;=TODAY())*(Bookings!$AM$5:$AM$404&lt;&gt;"Cancelled"))*Bookings!$I$5:$I$404+(1-((Bookings!$C$5:$C$404=B94)*(Bookings!$I$5:$I$404&gt;=TODAY())*(Bookings!$AM$5:$AM$404&lt;&gt;"Cancelled")))*2958465))))</f>
        <v>0</v>
      </c>
      <c r="AE94" s="29">
        <f>IF(B94="","",SUMIFS(Payments!$L$5:$L$304,Payments!$C$5:$C$304,B94))</f>
        <v>0</v>
      </c>
      <c r="AF94" s="29">
        <f>IF(B94="","",SUMIFS(Invoices!$O$5:$O$304,Invoices!$D$5:$D$304,B94,Invoices!$T$5:$T$304,"&lt;&gt;Draft"))</f>
        <v>0</v>
      </c>
      <c r="AG94" s="29">
        <f>IF(B94="","",SUMIFS(Invoices!$S$5:$S$304,Invoices!$D$5:$D$304,B94,Invoices!$T$5:$T$304,"&lt;&gt;Cancelled"))</f>
        <v>0</v>
      </c>
      <c r="AH94" s="29">
        <f>IF(OR(Z94="",Z94=0),"",SUMIFS(Bookings!$AK$5:$AK$404,Bookings!$C$5:$C$404,B94,Bookings!$AM$5:$AM$404,"&lt;&gt;Cancelled")/Z94)</f>
        <v>0</v>
      </c>
      <c r="AI94" s="49">
        <f>IF(B94="","",IF(Z94&gt;=LoyaltyThreshold,"Loyalty discount","Standard"))</f>
        <v>0</v>
      </c>
      <c r="AJ94" s="49">
        <f>IF(B94="","",IF(COUNTIF(Clients!$B$5:$B$254,B94)&gt;1,"Duplicate name",IF(AND(C94&lt;&gt;"",COUNTIF(Clients!$C$5:$C$254,C94)&gt;1),"Duplicate phone","OK")))</f>
        <v>0</v>
      </c>
      <c r="AK94" s="49">
        <f>IF(B94="","",IF(AND(C94&lt;&gt;"",D94&lt;&gt;"",L94&lt;&gt;"",M94&lt;&gt;""),"OK","Add: "&amp;IF(C94="","phone ","")&amp;IF(D94="","email ","")&amp;IF(L94="","date ","")&amp;IF(M94="","status","")))</f>
        <v>0</v>
      </c>
      <c r="AL94" s="49">
        <f>IF(B94="","",IF(AG94&gt;0.5,"Overdue - chase payment",IF(AND(M94="Active",ISNUMBER(AC94),AC94&gt;InactiveDays),"Inactive - win back",IF(AND(M94="Active",S94&lt;&gt;"Signed"),"Action - contract not signed",IF(AND(M94="Prospective",AD94=""),"Action - follow up quote","OK")))))</f>
        <v>0</v>
      </c>
    </row>
    <row r="95" spans="1:38">
      <c r="A95" s="46">
        <f>IF(B95="","",ClientPrefix&amp;TEXT(ROW()-4,"0000"))</f>
        <v>0</v>
      </c>
      <c r="Y95" s="31">
        <f>IF(B95="","",COUNTIF(Pets!$C$5:$C$254,B95))</f>
        <v>0</v>
      </c>
      <c r="Z95" s="31">
        <f>IF(B95="","",COUNTIFS(Bookings!$C$5:$C$404,B95))</f>
        <v>0</v>
      </c>
      <c r="AA95" s="31">
        <f>IF(B95="","",COUNTIFS('Visit Log'!$D$5:$D$404,B95,'Visit Log'!$AE$5:$AE$404,"Completed"))</f>
        <v>0</v>
      </c>
      <c r="AB95" s="21">
        <f>IF(B95="","",IF(SUMPRODUCT(MAX((Bookings!$C$5:$C$404=B95)*(Bookings!$AM$5:$AM$404="Completed")*Bookings!$I$5:$I$404))=0,"",SUMPRODUCT(MAX((Bookings!$C$5:$C$404=B95)*(Bookings!$AM$5:$AM$404="Completed")*Bookings!$I$5:$I$404))))</f>
        <v>0</v>
      </c>
      <c r="AC95" s="31">
        <f>IF(AB95="","",TODAY()-AB95)</f>
        <v>0</v>
      </c>
      <c r="AD95" s="21">
        <f>IF(B95="","",IF(COUNTIFS(Bookings!$C$5:$C$404,B95,Bookings!$I$5:$I$404,"&gt;="&amp;TODAY(),Bookings!$AM$5:$AM$404,"&lt;&gt;Cancelled")=0,"",SUMPRODUCT(MIN(((Bookings!$C$5:$C$404=B95)*(Bookings!$I$5:$I$404&gt;=TODAY())*(Bookings!$AM$5:$AM$404&lt;&gt;"Cancelled"))*Bookings!$I$5:$I$404+(1-((Bookings!$C$5:$C$404=B95)*(Bookings!$I$5:$I$404&gt;=TODAY())*(Bookings!$AM$5:$AM$404&lt;&gt;"Cancelled")))*2958465))))</f>
        <v>0</v>
      </c>
      <c r="AE95" s="29">
        <f>IF(B95="","",SUMIFS(Payments!$L$5:$L$304,Payments!$C$5:$C$304,B95))</f>
        <v>0</v>
      </c>
      <c r="AF95" s="29">
        <f>IF(B95="","",SUMIFS(Invoices!$O$5:$O$304,Invoices!$D$5:$D$304,B95,Invoices!$T$5:$T$304,"&lt;&gt;Draft"))</f>
        <v>0</v>
      </c>
      <c r="AG95" s="29">
        <f>IF(B95="","",SUMIFS(Invoices!$S$5:$S$304,Invoices!$D$5:$D$304,B95,Invoices!$T$5:$T$304,"&lt;&gt;Cancelled"))</f>
        <v>0</v>
      </c>
      <c r="AH95" s="29">
        <f>IF(OR(Z95="",Z95=0),"",SUMIFS(Bookings!$AK$5:$AK$404,Bookings!$C$5:$C$404,B95,Bookings!$AM$5:$AM$404,"&lt;&gt;Cancelled")/Z95)</f>
        <v>0</v>
      </c>
      <c r="AI95" s="49">
        <f>IF(B95="","",IF(Z95&gt;=LoyaltyThreshold,"Loyalty discount","Standard"))</f>
        <v>0</v>
      </c>
      <c r="AJ95" s="49">
        <f>IF(B95="","",IF(COUNTIF(Clients!$B$5:$B$254,B95)&gt;1,"Duplicate name",IF(AND(C95&lt;&gt;"",COUNTIF(Clients!$C$5:$C$254,C95)&gt;1),"Duplicate phone","OK")))</f>
        <v>0</v>
      </c>
      <c r="AK95" s="49">
        <f>IF(B95="","",IF(AND(C95&lt;&gt;"",D95&lt;&gt;"",L95&lt;&gt;"",M95&lt;&gt;""),"OK","Add: "&amp;IF(C95="","phone ","")&amp;IF(D95="","email ","")&amp;IF(L95="","date ","")&amp;IF(M95="","status","")))</f>
        <v>0</v>
      </c>
      <c r="AL95" s="49">
        <f>IF(B95="","",IF(AG95&gt;0.5,"Overdue - chase payment",IF(AND(M95="Active",ISNUMBER(AC95),AC95&gt;InactiveDays),"Inactive - win back",IF(AND(M95="Active",S95&lt;&gt;"Signed"),"Action - contract not signed",IF(AND(M95="Prospective",AD95=""),"Action - follow up quote","OK")))))</f>
        <v>0</v>
      </c>
    </row>
    <row r="96" spans="1:38">
      <c r="A96" s="46">
        <f>IF(B96="","",ClientPrefix&amp;TEXT(ROW()-4,"0000"))</f>
        <v>0</v>
      </c>
      <c r="Y96" s="31">
        <f>IF(B96="","",COUNTIF(Pets!$C$5:$C$254,B96))</f>
        <v>0</v>
      </c>
      <c r="Z96" s="31">
        <f>IF(B96="","",COUNTIFS(Bookings!$C$5:$C$404,B96))</f>
        <v>0</v>
      </c>
      <c r="AA96" s="31">
        <f>IF(B96="","",COUNTIFS('Visit Log'!$D$5:$D$404,B96,'Visit Log'!$AE$5:$AE$404,"Completed"))</f>
        <v>0</v>
      </c>
      <c r="AB96" s="21">
        <f>IF(B96="","",IF(SUMPRODUCT(MAX((Bookings!$C$5:$C$404=B96)*(Bookings!$AM$5:$AM$404="Completed")*Bookings!$I$5:$I$404))=0,"",SUMPRODUCT(MAX((Bookings!$C$5:$C$404=B96)*(Bookings!$AM$5:$AM$404="Completed")*Bookings!$I$5:$I$404))))</f>
        <v>0</v>
      </c>
      <c r="AC96" s="31">
        <f>IF(AB96="","",TODAY()-AB96)</f>
        <v>0</v>
      </c>
      <c r="AD96" s="21">
        <f>IF(B96="","",IF(COUNTIFS(Bookings!$C$5:$C$404,B96,Bookings!$I$5:$I$404,"&gt;="&amp;TODAY(),Bookings!$AM$5:$AM$404,"&lt;&gt;Cancelled")=0,"",SUMPRODUCT(MIN(((Bookings!$C$5:$C$404=B96)*(Bookings!$I$5:$I$404&gt;=TODAY())*(Bookings!$AM$5:$AM$404&lt;&gt;"Cancelled"))*Bookings!$I$5:$I$404+(1-((Bookings!$C$5:$C$404=B96)*(Bookings!$I$5:$I$404&gt;=TODAY())*(Bookings!$AM$5:$AM$404&lt;&gt;"Cancelled")))*2958465))))</f>
        <v>0</v>
      </c>
      <c r="AE96" s="29">
        <f>IF(B96="","",SUMIFS(Payments!$L$5:$L$304,Payments!$C$5:$C$304,B96))</f>
        <v>0</v>
      </c>
      <c r="AF96" s="29">
        <f>IF(B96="","",SUMIFS(Invoices!$O$5:$O$304,Invoices!$D$5:$D$304,B96,Invoices!$T$5:$T$304,"&lt;&gt;Draft"))</f>
        <v>0</v>
      </c>
      <c r="AG96" s="29">
        <f>IF(B96="","",SUMIFS(Invoices!$S$5:$S$304,Invoices!$D$5:$D$304,B96,Invoices!$T$5:$T$304,"&lt;&gt;Cancelled"))</f>
        <v>0</v>
      </c>
      <c r="AH96" s="29">
        <f>IF(OR(Z96="",Z96=0),"",SUMIFS(Bookings!$AK$5:$AK$404,Bookings!$C$5:$C$404,B96,Bookings!$AM$5:$AM$404,"&lt;&gt;Cancelled")/Z96)</f>
        <v>0</v>
      </c>
      <c r="AI96" s="49">
        <f>IF(B96="","",IF(Z96&gt;=LoyaltyThreshold,"Loyalty discount","Standard"))</f>
        <v>0</v>
      </c>
      <c r="AJ96" s="49">
        <f>IF(B96="","",IF(COUNTIF(Clients!$B$5:$B$254,B96)&gt;1,"Duplicate name",IF(AND(C96&lt;&gt;"",COUNTIF(Clients!$C$5:$C$254,C96)&gt;1),"Duplicate phone","OK")))</f>
        <v>0</v>
      </c>
      <c r="AK96" s="49">
        <f>IF(B96="","",IF(AND(C96&lt;&gt;"",D96&lt;&gt;"",L96&lt;&gt;"",M96&lt;&gt;""),"OK","Add: "&amp;IF(C96="","phone ","")&amp;IF(D96="","email ","")&amp;IF(L96="","date ","")&amp;IF(M96="","status","")))</f>
        <v>0</v>
      </c>
      <c r="AL96" s="49">
        <f>IF(B96="","",IF(AG96&gt;0.5,"Overdue - chase payment",IF(AND(M96="Active",ISNUMBER(AC96),AC96&gt;InactiveDays),"Inactive - win back",IF(AND(M96="Active",S96&lt;&gt;"Signed"),"Action - contract not signed",IF(AND(M96="Prospective",AD96=""),"Action - follow up quote","OK")))))</f>
        <v>0</v>
      </c>
    </row>
    <row r="97" spans="1:38">
      <c r="A97" s="46">
        <f>IF(B97="","",ClientPrefix&amp;TEXT(ROW()-4,"0000"))</f>
        <v>0</v>
      </c>
      <c r="Y97" s="31">
        <f>IF(B97="","",COUNTIF(Pets!$C$5:$C$254,B97))</f>
        <v>0</v>
      </c>
      <c r="Z97" s="31">
        <f>IF(B97="","",COUNTIFS(Bookings!$C$5:$C$404,B97))</f>
        <v>0</v>
      </c>
      <c r="AA97" s="31">
        <f>IF(B97="","",COUNTIFS('Visit Log'!$D$5:$D$404,B97,'Visit Log'!$AE$5:$AE$404,"Completed"))</f>
        <v>0</v>
      </c>
      <c r="AB97" s="21">
        <f>IF(B97="","",IF(SUMPRODUCT(MAX((Bookings!$C$5:$C$404=B97)*(Bookings!$AM$5:$AM$404="Completed")*Bookings!$I$5:$I$404))=0,"",SUMPRODUCT(MAX((Bookings!$C$5:$C$404=B97)*(Bookings!$AM$5:$AM$404="Completed")*Bookings!$I$5:$I$404))))</f>
        <v>0</v>
      </c>
      <c r="AC97" s="31">
        <f>IF(AB97="","",TODAY()-AB97)</f>
        <v>0</v>
      </c>
      <c r="AD97" s="21">
        <f>IF(B97="","",IF(COUNTIFS(Bookings!$C$5:$C$404,B97,Bookings!$I$5:$I$404,"&gt;="&amp;TODAY(),Bookings!$AM$5:$AM$404,"&lt;&gt;Cancelled")=0,"",SUMPRODUCT(MIN(((Bookings!$C$5:$C$404=B97)*(Bookings!$I$5:$I$404&gt;=TODAY())*(Bookings!$AM$5:$AM$404&lt;&gt;"Cancelled"))*Bookings!$I$5:$I$404+(1-((Bookings!$C$5:$C$404=B97)*(Bookings!$I$5:$I$404&gt;=TODAY())*(Bookings!$AM$5:$AM$404&lt;&gt;"Cancelled")))*2958465))))</f>
        <v>0</v>
      </c>
      <c r="AE97" s="29">
        <f>IF(B97="","",SUMIFS(Payments!$L$5:$L$304,Payments!$C$5:$C$304,B97))</f>
        <v>0</v>
      </c>
      <c r="AF97" s="29">
        <f>IF(B97="","",SUMIFS(Invoices!$O$5:$O$304,Invoices!$D$5:$D$304,B97,Invoices!$T$5:$T$304,"&lt;&gt;Draft"))</f>
        <v>0</v>
      </c>
      <c r="AG97" s="29">
        <f>IF(B97="","",SUMIFS(Invoices!$S$5:$S$304,Invoices!$D$5:$D$304,B97,Invoices!$T$5:$T$304,"&lt;&gt;Cancelled"))</f>
        <v>0</v>
      </c>
      <c r="AH97" s="29">
        <f>IF(OR(Z97="",Z97=0),"",SUMIFS(Bookings!$AK$5:$AK$404,Bookings!$C$5:$C$404,B97,Bookings!$AM$5:$AM$404,"&lt;&gt;Cancelled")/Z97)</f>
        <v>0</v>
      </c>
      <c r="AI97" s="49">
        <f>IF(B97="","",IF(Z97&gt;=LoyaltyThreshold,"Loyalty discount","Standard"))</f>
        <v>0</v>
      </c>
      <c r="AJ97" s="49">
        <f>IF(B97="","",IF(COUNTIF(Clients!$B$5:$B$254,B97)&gt;1,"Duplicate name",IF(AND(C97&lt;&gt;"",COUNTIF(Clients!$C$5:$C$254,C97)&gt;1),"Duplicate phone","OK")))</f>
        <v>0</v>
      </c>
      <c r="AK97" s="49">
        <f>IF(B97="","",IF(AND(C97&lt;&gt;"",D97&lt;&gt;"",L97&lt;&gt;"",M97&lt;&gt;""),"OK","Add: "&amp;IF(C97="","phone ","")&amp;IF(D97="","email ","")&amp;IF(L97="","date ","")&amp;IF(M97="","status","")))</f>
        <v>0</v>
      </c>
      <c r="AL97" s="49">
        <f>IF(B97="","",IF(AG97&gt;0.5,"Overdue - chase payment",IF(AND(M97="Active",ISNUMBER(AC97),AC97&gt;InactiveDays),"Inactive - win back",IF(AND(M97="Active",S97&lt;&gt;"Signed"),"Action - contract not signed",IF(AND(M97="Prospective",AD97=""),"Action - follow up quote","OK")))))</f>
        <v>0</v>
      </c>
    </row>
    <row r="98" spans="1:38">
      <c r="A98" s="46">
        <f>IF(B98="","",ClientPrefix&amp;TEXT(ROW()-4,"0000"))</f>
        <v>0</v>
      </c>
      <c r="Y98" s="31">
        <f>IF(B98="","",COUNTIF(Pets!$C$5:$C$254,B98))</f>
        <v>0</v>
      </c>
      <c r="Z98" s="31">
        <f>IF(B98="","",COUNTIFS(Bookings!$C$5:$C$404,B98))</f>
        <v>0</v>
      </c>
      <c r="AA98" s="31">
        <f>IF(B98="","",COUNTIFS('Visit Log'!$D$5:$D$404,B98,'Visit Log'!$AE$5:$AE$404,"Completed"))</f>
        <v>0</v>
      </c>
      <c r="AB98" s="21">
        <f>IF(B98="","",IF(SUMPRODUCT(MAX((Bookings!$C$5:$C$404=B98)*(Bookings!$AM$5:$AM$404="Completed")*Bookings!$I$5:$I$404))=0,"",SUMPRODUCT(MAX((Bookings!$C$5:$C$404=B98)*(Bookings!$AM$5:$AM$404="Completed")*Bookings!$I$5:$I$404))))</f>
        <v>0</v>
      </c>
      <c r="AC98" s="31">
        <f>IF(AB98="","",TODAY()-AB98)</f>
        <v>0</v>
      </c>
      <c r="AD98" s="21">
        <f>IF(B98="","",IF(COUNTIFS(Bookings!$C$5:$C$404,B98,Bookings!$I$5:$I$404,"&gt;="&amp;TODAY(),Bookings!$AM$5:$AM$404,"&lt;&gt;Cancelled")=0,"",SUMPRODUCT(MIN(((Bookings!$C$5:$C$404=B98)*(Bookings!$I$5:$I$404&gt;=TODAY())*(Bookings!$AM$5:$AM$404&lt;&gt;"Cancelled"))*Bookings!$I$5:$I$404+(1-((Bookings!$C$5:$C$404=B98)*(Bookings!$I$5:$I$404&gt;=TODAY())*(Bookings!$AM$5:$AM$404&lt;&gt;"Cancelled")))*2958465))))</f>
        <v>0</v>
      </c>
      <c r="AE98" s="29">
        <f>IF(B98="","",SUMIFS(Payments!$L$5:$L$304,Payments!$C$5:$C$304,B98))</f>
        <v>0</v>
      </c>
      <c r="AF98" s="29">
        <f>IF(B98="","",SUMIFS(Invoices!$O$5:$O$304,Invoices!$D$5:$D$304,B98,Invoices!$T$5:$T$304,"&lt;&gt;Draft"))</f>
        <v>0</v>
      </c>
      <c r="AG98" s="29">
        <f>IF(B98="","",SUMIFS(Invoices!$S$5:$S$304,Invoices!$D$5:$D$304,B98,Invoices!$T$5:$T$304,"&lt;&gt;Cancelled"))</f>
        <v>0</v>
      </c>
      <c r="AH98" s="29">
        <f>IF(OR(Z98="",Z98=0),"",SUMIFS(Bookings!$AK$5:$AK$404,Bookings!$C$5:$C$404,B98,Bookings!$AM$5:$AM$404,"&lt;&gt;Cancelled")/Z98)</f>
        <v>0</v>
      </c>
      <c r="AI98" s="49">
        <f>IF(B98="","",IF(Z98&gt;=LoyaltyThreshold,"Loyalty discount","Standard"))</f>
        <v>0</v>
      </c>
      <c r="AJ98" s="49">
        <f>IF(B98="","",IF(COUNTIF(Clients!$B$5:$B$254,B98)&gt;1,"Duplicate name",IF(AND(C98&lt;&gt;"",COUNTIF(Clients!$C$5:$C$254,C98)&gt;1),"Duplicate phone","OK")))</f>
        <v>0</v>
      </c>
      <c r="AK98" s="49">
        <f>IF(B98="","",IF(AND(C98&lt;&gt;"",D98&lt;&gt;"",L98&lt;&gt;"",M98&lt;&gt;""),"OK","Add: "&amp;IF(C98="","phone ","")&amp;IF(D98="","email ","")&amp;IF(L98="","date ","")&amp;IF(M98="","status","")))</f>
        <v>0</v>
      </c>
      <c r="AL98" s="49">
        <f>IF(B98="","",IF(AG98&gt;0.5,"Overdue - chase payment",IF(AND(M98="Active",ISNUMBER(AC98),AC98&gt;InactiveDays),"Inactive - win back",IF(AND(M98="Active",S98&lt;&gt;"Signed"),"Action - contract not signed",IF(AND(M98="Prospective",AD98=""),"Action - follow up quote","OK")))))</f>
        <v>0</v>
      </c>
    </row>
    <row r="99" spans="1:38">
      <c r="A99" s="46">
        <f>IF(B99="","",ClientPrefix&amp;TEXT(ROW()-4,"0000"))</f>
        <v>0</v>
      </c>
      <c r="Y99" s="31">
        <f>IF(B99="","",COUNTIF(Pets!$C$5:$C$254,B99))</f>
        <v>0</v>
      </c>
      <c r="Z99" s="31">
        <f>IF(B99="","",COUNTIFS(Bookings!$C$5:$C$404,B99))</f>
        <v>0</v>
      </c>
      <c r="AA99" s="31">
        <f>IF(B99="","",COUNTIFS('Visit Log'!$D$5:$D$404,B99,'Visit Log'!$AE$5:$AE$404,"Completed"))</f>
        <v>0</v>
      </c>
      <c r="AB99" s="21">
        <f>IF(B99="","",IF(SUMPRODUCT(MAX((Bookings!$C$5:$C$404=B99)*(Bookings!$AM$5:$AM$404="Completed")*Bookings!$I$5:$I$404))=0,"",SUMPRODUCT(MAX((Bookings!$C$5:$C$404=B99)*(Bookings!$AM$5:$AM$404="Completed")*Bookings!$I$5:$I$404))))</f>
        <v>0</v>
      </c>
      <c r="AC99" s="31">
        <f>IF(AB99="","",TODAY()-AB99)</f>
        <v>0</v>
      </c>
      <c r="AD99" s="21">
        <f>IF(B99="","",IF(COUNTIFS(Bookings!$C$5:$C$404,B99,Bookings!$I$5:$I$404,"&gt;="&amp;TODAY(),Bookings!$AM$5:$AM$404,"&lt;&gt;Cancelled")=0,"",SUMPRODUCT(MIN(((Bookings!$C$5:$C$404=B99)*(Bookings!$I$5:$I$404&gt;=TODAY())*(Bookings!$AM$5:$AM$404&lt;&gt;"Cancelled"))*Bookings!$I$5:$I$404+(1-((Bookings!$C$5:$C$404=B99)*(Bookings!$I$5:$I$404&gt;=TODAY())*(Bookings!$AM$5:$AM$404&lt;&gt;"Cancelled")))*2958465))))</f>
        <v>0</v>
      </c>
      <c r="AE99" s="29">
        <f>IF(B99="","",SUMIFS(Payments!$L$5:$L$304,Payments!$C$5:$C$304,B99))</f>
        <v>0</v>
      </c>
      <c r="AF99" s="29">
        <f>IF(B99="","",SUMIFS(Invoices!$O$5:$O$304,Invoices!$D$5:$D$304,B99,Invoices!$T$5:$T$304,"&lt;&gt;Draft"))</f>
        <v>0</v>
      </c>
      <c r="AG99" s="29">
        <f>IF(B99="","",SUMIFS(Invoices!$S$5:$S$304,Invoices!$D$5:$D$304,B99,Invoices!$T$5:$T$304,"&lt;&gt;Cancelled"))</f>
        <v>0</v>
      </c>
      <c r="AH99" s="29">
        <f>IF(OR(Z99="",Z99=0),"",SUMIFS(Bookings!$AK$5:$AK$404,Bookings!$C$5:$C$404,B99,Bookings!$AM$5:$AM$404,"&lt;&gt;Cancelled")/Z99)</f>
        <v>0</v>
      </c>
      <c r="AI99" s="49">
        <f>IF(B99="","",IF(Z99&gt;=LoyaltyThreshold,"Loyalty discount","Standard"))</f>
        <v>0</v>
      </c>
      <c r="AJ99" s="49">
        <f>IF(B99="","",IF(COUNTIF(Clients!$B$5:$B$254,B99)&gt;1,"Duplicate name",IF(AND(C99&lt;&gt;"",COUNTIF(Clients!$C$5:$C$254,C99)&gt;1),"Duplicate phone","OK")))</f>
        <v>0</v>
      </c>
      <c r="AK99" s="49">
        <f>IF(B99="","",IF(AND(C99&lt;&gt;"",D99&lt;&gt;"",L99&lt;&gt;"",M99&lt;&gt;""),"OK","Add: "&amp;IF(C99="","phone ","")&amp;IF(D99="","email ","")&amp;IF(L99="","date ","")&amp;IF(M99="","status","")))</f>
        <v>0</v>
      </c>
      <c r="AL99" s="49">
        <f>IF(B99="","",IF(AG99&gt;0.5,"Overdue - chase payment",IF(AND(M99="Active",ISNUMBER(AC99),AC99&gt;InactiveDays),"Inactive - win back",IF(AND(M99="Active",S99&lt;&gt;"Signed"),"Action - contract not signed",IF(AND(M99="Prospective",AD99=""),"Action - follow up quote","OK")))))</f>
        <v>0</v>
      </c>
    </row>
    <row r="100" spans="1:38">
      <c r="A100" s="46">
        <f>IF(B100="","",ClientPrefix&amp;TEXT(ROW()-4,"0000"))</f>
        <v>0</v>
      </c>
      <c r="Y100" s="31">
        <f>IF(B100="","",COUNTIF(Pets!$C$5:$C$254,B100))</f>
        <v>0</v>
      </c>
      <c r="Z100" s="31">
        <f>IF(B100="","",COUNTIFS(Bookings!$C$5:$C$404,B100))</f>
        <v>0</v>
      </c>
      <c r="AA100" s="31">
        <f>IF(B100="","",COUNTIFS('Visit Log'!$D$5:$D$404,B100,'Visit Log'!$AE$5:$AE$404,"Completed"))</f>
        <v>0</v>
      </c>
      <c r="AB100" s="21">
        <f>IF(B100="","",IF(SUMPRODUCT(MAX((Bookings!$C$5:$C$404=B100)*(Bookings!$AM$5:$AM$404="Completed")*Bookings!$I$5:$I$404))=0,"",SUMPRODUCT(MAX((Bookings!$C$5:$C$404=B100)*(Bookings!$AM$5:$AM$404="Completed")*Bookings!$I$5:$I$404))))</f>
        <v>0</v>
      </c>
      <c r="AC100" s="31">
        <f>IF(AB100="","",TODAY()-AB100)</f>
        <v>0</v>
      </c>
      <c r="AD100" s="21">
        <f>IF(B100="","",IF(COUNTIFS(Bookings!$C$5:$C$404,B100,Bookings!$I$5:$I$404,"&gt;="&amp;TODAY(),Bookings!$AM$5:$AM$404,"&lt;&gt;Cancelled")=0,"",SUMPRODUCT(MIN(((Bookings!$C$5:$C$404=B100)*(Bookings!$I$5:$I$404&gt;=TODAY())*(Bookings!$AM$5:$AM$404&lt;&gt;"Cancelled"))*Bookings!$I$5:$I$404+(1-((Bookings!$C$5:$C$404=B100)*(Bookings!$I$5:$I$404&gt;=TODAY())*(Bookings!$AM$5:$AM$404&lt;&gt;"Cancelled")))*2958465))))</f>
        <v>0</v>
      </c>
      <c r="AE100" s="29">
        <f>IF(B100="","",SUMIFS(Payments!$L$5:$L$304,Payments!$C$5:$C$304,B100))</f>
        <v>0</v>
      </c>
      <c r="AF100" s="29">
        <f>IF(B100="","",SUMIFS(Invoices!$O$5:$O$304,Invoices!$D$5:$D$304,B100,Invoices!$T$5:$T$304,"&lt;&gt;Draft"))</f>
        <v>0</v>
      </c>
      <c r="AG100" s="29">
        <f>IF(B100="","",SUMIFS(Invoices!$S$5:$S$304,Invoices!$D$5:$D$304,B100,Invoices!$T$5:$T$304,"&lt;&gt;Cancelled"))</f>
        <v>0</v>
      </c>
      <c r="AH100" s="29">
        <f>IF(OR(Z100="",Z100=0),"",SUMIFS(Bookings!$AK$5:$AK$404,Bookings!$C$5:$C$404,B100,Bookings!$AM$5:$AM$404,"&lt;&gt;Cancelled")/Z100)</f>
        <v>0</v>
      </c>
      <c r="AI100" s="49">
        <f>IF(B100="","",IF(Z100&gt;=LoyaltyThreshold,"Loyalty discount","Standard"))</f>
        <v>0</v>
      </c>
      <c r="AJ100" s="49">
        <f>IF(B100="","",IF(COUNTIF(Clients!$B$5:$B$254,B100)&gt;1,"Duplicate name",IF(AND(C100&lt;&gt;"",COUNTIF(Clients!$C$5:$C$254,C100)&gt;1),"Duplicate phone","OK")))</f>
        <v>0</v>
      </c>
      <c r="AK100" s="49">
        <f>IF(B100="","",IF(AND(C100&lt;&gt;"",D100&lt;&gt;"",L100&lt;&gt;"",M100&lt;&gt;""),"OK","Add: "&amp;IF(C100="","phone ","")&amp;IF(D100="","email ","")&amp;IF(L100="","date ","")&amp;IF(M100="","status","")))</f>
        <v>0</v>
      </c>
      <c r="AL100" s="49">
        <f>IF(B100="","",IF(AG100&gt;0.5,"Overdue - chase payment",IF(AND(M100="Active",ISNUMBER(AC100),AC100&gt;InactiveDays),"Inactive - win back",IF(AND(M100="Active",S100&lt;&gt;"Signed"),"Action - contract not signed",IF(AND(M100="Prospective",AD100=""),"Action - follow up quote","OK")))))</f>
        <v>0</v>
      </c>
    </row>
    <row r="101" spans="1:38">
      <c r="A101" s="46">
        <f>IF(B101="","",ClientPrefix&amp;TEXT(ROW()-4,"0000"))</f>
        <v>0</v>
      </c>
      <c r="Y101" s="31">
        <f>IF(B101="","",COUNTIF(Pets!$C$5:$C$254,B101))</f>
        <v>0</v>
      </c>
      <c r="Z101" s="31">
        <f>IF(B101="","",COUNTIFS(Bookings!$C$5:$C$404,B101))</f>
        <v>0</v>
      </c>
      <c r="AA101" s="31">
        <f>IF(B101="","",COUNTIFS('Visit Log'!$D$5:$D$404,B101,'Visit Log'!$AE$5:$AE$404,"Completed"))</f>
        <v>0</v>
      </c>
      <c r="AB101" s="21">
        <f>IF(B101="","",IF(SUMPRODUCT(MAX((Bookings!$C$5:$C$404=B101)*(Bookings!$AM$5:$AM$404="Completed")*Bookings!$I$5:$I$404))=0,"",SUMPRODUCT(MAX((Bookings!$C$5:$C$404=B101)*(Bookings!$AM$5:$AM$404="Completed")*Bookings!$I$5:$I$404))))</f>
        <v>0</v>
      </c>
      <c r="AC101" s="31">
        <f>IF(AB101="","",TODAY()-AB101)</f>
        <v>0</v>
      </c>
      <c r="AD101" s="21">
        <f>IF(B101="","",IF(COUNTIFS(Bookings!$C$5:$C$404,B101,Bookings!$I$5:$I$404,"&gt;="&amp;TODAY(),Bookings!$AM$5:$AM$404,"&lt;&gt;Cancelled")=0,"",SUMPRODUCT(MIN(((Bookings!$C$5:$C$404=B101)*(Bookings!$I$5:$I$404&gt;=TODAY())*(Bookings!$AM$5:$AM$404&lt;&gt;"Cancelled"))*Bookings!$I$5:$I$404+(1-((Bookings!$C$5:$C$404=B101)*(Bookings!$I$5:$I$404&gt;=TODAY())*(Bookings!$AM$5:$AM$404&lt;&gt;"Cancelled")))*2958465))))</f>
        <v>0</v>
      </c>
      <c r="AE101" s="29">
        <f>IF(B101="","",SUMIFS(Payments!$L$5:$L$304,Payments!$C$5:$C$304,B101))</f>
        <v>0</v>
      </c>
      <c r="AF101" s="29">
        <f>IF(B101="","",SUMIFS(Invoices!$O$5:$O$304,Invoices!$D$5:$D$304,B101,Invoices!$T$5:$T$304,"&lt;&gt;Draft"))</f>
        <v>0</v>
      </c>
      <c r="AG101" s="29">
        <f>IF(B101="","",SUMIFS(Invoices!$S$5:$S$304,Invoices!$D$5:$D$304,B101,Invoices!$T$5:$T$304,"&lt;&gt;Cancelled"))</f>
        <v>0</v>
      </c>
      <c r="AH101" s="29">
        <f>IF(OR(Z101="",Z101=0),"",SUMIFS(Bookings!$AK$5:$AK$404,Bookings!$C$5:$C$404,B101,Bookings!$AM$5:$AM$404,"&lt;&gt;Cancelled")/Z101)</f>
        <v>0</v>
      </c>
      <c r="AI101" s="49">
        <f>IF(B101="","",IF(Z101&gt;=LoyaltyThreshold,"Loyalty discount","Standard"))</f>
        <v>0</v>
      </c>
      <c r="AJ101" s="49">
        <f>IF(B101="","",IF(COUNTIF(Clients!$B$5:$B$254,B101)&gt;1,"Duplicate name",IF(AND(C101&lt;&gt;"",COUNTIF(Clients!$C$5:$C$254,C101)&gt;1),"Duplicate phone","OK")))</f>
        <v>0</v>
      </c>
      <c r="AK101" s="49">
        <f>IF(B101="","",IF(AND(C101&lt;&gt;"",D101&lt;&gt;"",L101&lt;&gt;"",M101&lt;&gt;""),"OK","Add: "&amp;IF(C101="","phone ","")&amp;IF(D101="","email ","")&amp;IF(L101="","date ","")&amp;IF(M101="","status","")))</f>
        <v>0</v>
      </c>
      <c r="AL101" s="49">
        <f>IF(B101="","",IF(AG101&gt;0.5,"Overdue - chase payment",IF(AND(M101="Active",ISNUMBER(AC101),AC101&gt;InactiveDays),"Inactive - win back",IF(AND(M101="Active",S101&lt;&gt;"Signed"),"Action - contract not signed",IF(AND(M101="Prospective",AD101=""),"Action - follow up quote","OK")))))</f>
        <v>0</v>
      </c>
    </row>
    <row r="102" spans="1:38">
      <c r="A102" s="46">
        <f>IF(B102="","",ClientPrefix&amp;TEXT(ROW()-4,"0000"))</f>
        <v>0</v>
      </c>
      <c r="Y102" s="31">
        <f>IF(B102="","",COUNTIF(Pets!$C$5:$C$254,B102))</f>
        <v>0</v>
      </c>
      <c r="Z102" s="31">
        <f>IF(B102="","",COUNTIFS(Bookings!$C$5:$C$404,B102))</f>
        <v>0</v>
      </c>
      <c r="AA102" s="31">
        <f>IF(B102="","",COUNTIFS('Visit Log'!$D$5:$D$404,B102,'Visit Log'!$AE$5:$AE$404,"Completed"))</f>
        <v>0</v>
      </c>
      <c r="AB102" s="21">
        <f>IF(B102="","",IF(SUMPRODUCT(MAX((Bookings!$C$5:$C$404=B102)*(Bookings!$AM$5:$AM$404="Completed")*Bookings!$I$5:$I$404))=0,"",SUMPRODUCT(MAX((Bookings!$C$5:$C$404=B102)*(Bookings!$AM$5:$AM$404="Completed")*Bookings!$I$5:$I$404))))</f>
        <v>0</v>
      </c>
      <c r="AC102" s="31">
        <f>IF(AB102="","",TODAY()-AB102)</f>
        <v>0</v>
      </c>
      <c r="AD102" s="21">
        <f>IF(B102="","",IF(COUNTIFS(Bookings!$C$5:$C$404,B102,Bookings!$I$5:$I$404,"&gt;="&amp;TODAY(),Bookings!$AM$5:$AM$404,"&lt;&gt;Cancelled")=0,"",SUMPRODUCT(MIN(((Bookings!$C$5:$C$404=B102)*(Bookings!$I$5:$I$404&gt;=TODAY())*(Bookings!$AM$5:$AM$404&lt;&gt;"Cancelled"))*Bookings!$I$5:$I$404+(1-((Bookings!$C$5:$C$404=B102)*(Bookings!$I$5:$I$404&gt;=TODAY())*(Bookings!$AM$5:$AM$404&lt;&gt;"Cancelled")))*2958465))))</f>
        <v>0</v>
      </c>
      <c r="AE102" s="29">
        <f>IF(B102="","",SUMIFS(Payments!$L$5:$L$304,Payments!$C$5:$C$304,B102))</f>
        <v>0</v>
      </c>
      <c r="AF102" s="29">
        <f>IF(B102="","",SUMIFS(Invoices!$O$5:$O$304,Invoices!$D$5:$D$304,B102,Invoices!$T$5:$T$304,"&lt;&gt;Draft"))</f>
        <v>0</v>
      </c>
      <c r="AG102" s="29">
        <f>IF(B102="","",SUMIFS(Invoices!$S$5:$S$304,Invoices!$D$5:$D$304,B102,Invoices!$T$5:$T$304,"&lt;&gt;Cancelled"))</f>
        <v>0</v>
      </c>
      <c r="AH102" s="29">
        <f>IF(OR(Z102="",Z102=0),"",SUMIFS(Bookings!$AK$5:$AK$404,Bookings!$C$5:$C$404,B102,Bookings!$AM$5:$AM$404,"&lt;&gt;Cancelled")/Z102)</f>
        <v>0</v>
      </c>
      <c r="AI102" s="49">
        <f>IF(B102="","",IF(Z102&gt;=LoyaltyThreshold,"Loyalty discount","Standard"))</f>
        <v>0</v>
      </c>
      <c r="AJ102" s="49">
        <f>IF(B102="","",IF(COUNTIF(Clients!$B$5:$B$254,B102)&gt;1,"Duplicate name",IF(AND(C102&lt;&gt;"",COUNTIF(Clients!$C$5:$C$254,C102)&gt;1),"Duplicate phone","OK")))</f>
        <v>0</v>
      </c>
      <c r="AK102" s="49">
        <f>IF(B102="","",IF(AND(C102&lt;&gt;"",D102&lt;&gt;"",L102&lt;&gt;"",M102&lt;&gt;""),"OK","Add: "&amp;IF(C102="","phone ","")&amp;IF(D102="","email ","")&amp;IF(L102="","date ","")&amp;IF(M102="","status","")))</f>
        <v>0</v>
      </c>
      <c r="AL102" s="49">
        <f>IF(B102="","",IF(AG102&gt;0.5,"Overdue - chase payment",IF(AND(M102="Active",ISNUMBER(AC102),AC102&gt;InactiveDays),"Inactive - win back",IF(AND(M102="Active",S102&lt;&gt;"Signed"),"Action - contract not signed",IF(AND(M102="Prospective",AD102=""),"Action - follow up quote","OK")))))</f>
        <v>0</v>
      </c>
    </row>
    <row r="103" spans="1:38">
      <c r="A103" s="46">
        <f>IF(B103="","",ClientPrefix&amp;TEXT(ROW()-4,"0000"))</f>
        <v>0</v>
      </c>
      <c r="Y103" s="31">
        <f>IF(B103="","",COUNTIF(Pets!$C$5:$C$254,B103))</f>
        <v>0</v>
      </c>
      <c r="Z103" s="31">
        <f>IF(B103="","",COUNTIFS(Bookings!$C$5:$C$404,B103))</f>
        <v>0</v>
      </c>
      <c r="AA103" s="31">
        <f>IF(B103="","",COUNTIFS('Visit Log'!$D$5:$D$404,B103,'Visit Log'!$AE$5:$AE$404,"Completed"))</f>
        <v>0</v>
      </c>
      <c r="AB103" s="21">
        <f>IF(B103="","",IF(SUMPRODUCT(MAX((Bookings!$C$5:$C$404=B103)*(Bookings!$AM$5:$AM$404="Completed")*Bookings!$I$5:$I$404))=0,"",SUMPRODUCT(MAX((Bookings!$C$5:$C$404=B103)*(Bookings!$AM$5:$AM$404="Completed")*Bookings!$I$5:$I$404))))</f>
        <v>0</v>
      </c>
      <c r="AC103" s="31">
        <f>IF(AB103="","",TODAY()-AB103)</f>
        <v>0</v>
      </c>
      <c r="AD103" s="21">
        <f>IF(B103="","",IF(COUNTIFS(Bookings!$C$5:$C$404,B103,Bookings!$I$5:$I$404,"&gt;="&amp;TODAY(),Bookings!$AM$5:$AM$404,"&lt;&gt;Cancelled")=0,"",SUMPRODUCT(MIN(((Bookings!$C$5:$C$404=B103)*(Bookings!$I$5:$I$404&gt;=TODAY())*(Bookings!$AM$5:$AM$404&lt;&gt;"Cancelled"))*Bookings!$I$5:$I$404+(1-((Bookings!$C$5:$C$404=B103)*(Bookings!$I$5:$I$404&gt;=TODAY())*(Bookings!$AM$5:$AM$404&lt;&gt;"Cancelled")))*2958465))))</f>
        <v>0</v>
      </c>
      <c r="AE103" s="29">
        <f>IF(B103="","",SUMIFS(Payments!$L$5:$L$304,Payments!$C$5:$C$304,B103))</f>
        <v>0</v>
      </c>
      <c r="AF103" s="29">
        <f>IF(B103="","",SUMIFS(Invoices!$O$5:$O$304,Invoices!$D$5:$D$304,B103,Invoices!$T$5:$T$304,"&lt;&gt;Draft"))</f>
        <v>0</v>
      </c>
      <c r="AG103" s="29">
        <f>IF(B103="","",SUMIFS(Invoices!$S$5:$S$304,Invoices!$D$5:$D$304,B103,Invoices!$T$5:$T$304,"&lt;&gt;Cancelled"))</f>
        <v>0</v>
      </c>
      <c r="AH103" s="29">
        <f>IF(OR(Z103="",Z103=0),"",SUMIFS(Bookings!$AK$5:$AK$404,Bookings!$C$5:$C$404,B103,Bookings!$AM$5:$AM$404,"&lt;&gt;Cancelled")/Z103)</f>
        <v>0</v>
      </c>
      <c r="AI103" s="49">
        <f>IF(B103="","",IF(Z103&gt;=LoyaltyThreshold,"Loyalty discount","Standard"))</f>
        <v>0</v>
      </c>
      <c r="AJ103" s="49">
        <f>IF(B103="","",IF(COUNTIF(Clients!$B$5:$B$254,B103)&gt;1,"Duplicate name",IF(AND(C103&lt;&gt;"",COUNTIF(Clients!$C$5:$C$254,C103)&gt;1),"Duplicate phone","OK")))</f>
        <v>0</v>
      </c>
      <c r="AK103" s="49">
        <f>IF(B103="","",IF(AND(C103&lt;&gt;"",D103&lt;&gt;"",L103&lt;&gt;"",M103&lt;&gt;""),"OK","Add: "&amp;IF(C103="","phone ","")&amp;IF(D103="","email ","")&amp;IF(L103="","date ","")&amp;IF(M103="","status","")))</f>
        <v>0</v>
      </c>
      <c r="AL103" s="49">
        <f>IF(B103="","",IF(AG103&gt;0.5,"Overdue - chase payment",IF(AND(M103="Active",ISNUMBER(AC103),AC103&gt;InactiveDays),"Inactive - win back",IF(AND(M103="Active",S103&lt;&gt;"Signed"),"Action - contract not signed",IF(AND(M103="Prospective",AD103=""),"Action - follow up quote","OK")))))</f>
        <v>0</v>
      </c>
    </row>
    <row r="104" spans="1:38">
      <c r="A104" s="46">
        <f>IF(B104="","",ClientPrefix&amp;TEXT(ROW()-4,"0000"))</f>
        <v>0</v>
      </c>
      <c r="Y104" s="31">
        <f>IF(B104="","",COUNTIF(Pets!$C$5:$C$254,B104))</f>
        <v>0</v>
      </c>
      <c r="Z104" s="31">
        <f>IF(B104="","",COUNTIFS(Bookings!$C$5:$C$404,B104))</f>
        <v>0</v>
      </c>
      <c r="AA104" s="31">
        <f>IF(B104="","",COUNTIFS('Visit Log'!$D$5:$D$404,B104,'Visit Log'!$AE$5:$AE$404,"Completed"))</f>
        <v>0</v>
      </c>
      <c r="AB104" s="21">
        <f>IF(B104="","",IF(SUMPRODUCT(MAX((Bookings!$C$5:$C$404=B104)*(Bookings!$AM$5:$AM$404="Completed")*Bookings!$I$5:$I$404))=0,"",SUMPRODUCT(MAX((Bookings!$C$5:$C$404=B104)*(Bookings!$AM$5:$AM$404="Completed")*Bookings!$I$5:$I$404))))</f>
        <v>0</v>
      </c>
      <c r="AC104" s="31">
        <f>IF(AB104="","",TODAY()-AB104)</f>
        <v>0</v>
      </c>
      <c r="AD104" s="21">
        <f>IF(B104="","",IF(COUNTIFS(Bookings!$C$5:$C$404,B104,Bookings!$I$5:$I$404,"&gt;="&amp;TODAY(),Bookings!$AM$5:$AM$404,"&lt;&gt;Cancelled")=0,"",SUMPRODUCT(MIN(((Bookings!$C$5:$C$404=B104)*(Bookings!$I$5:$I$404&gt;=TODAY())*(Bookings!$AM$5:$AM$404&lt;&gt;"Cancelled"))*Bookings!$I$5:$I$404+(1-((Bookings!$C$5:$C$404=B104)*(Bookings!$I$5:$I$404&gt;=TODAY())*(Bookings!$AM$5:$AM$404&lt;&gt;"Cancelled")))*2958465))))</f>
        <v>0</v>
      </c>
      <c r="AE104" s="29">
        <f>IF(B104="","",SUMIFS(Payments!$L$5:$L$304,Payments!$C$5:$C$304,B104))</f>
        <v>0</v>
      </c>
      <c r="AF104" s="29">
        <f>IF(B104="","",SUMIFS(Invoices!$O$5:$O$304,Invoices!$D$5:$D$304,B104,Invoices!$T$5:$T$304,"&lt;&gt;Draft"))</f>
        <v>0</v>
      </c>
      <c r="AG104" s="29">
        <f>IF(B104="","",SUMIFS(Invoices!$S$5:$S$304,Invoices!$D$5:$D$304,B104,Invoices!$T$5:$T$304,"&lt;&gt;Cancelled"))</f>
        <v>0</v>
      </c>
      <c r="AH104" s="29">
        <f>IF(OR(Z104="",Z104=0),"",SUMIFS(Bookings!$AK$5:$AK$404,Bookings!$C$5:$C$404,B104,Bookings!$AM$5:$AM$404,"&lt;&gt;Cancelled")/Z104)</f>
        <v>0</v>
      </c>
      <c r="AI104" s="49">
        <f>IF(B104="","",IF(Z104&gt;=LoyaltyThreshold,"Loyalty discount","Standard"))</f>
        <v>0</v>
      </c>
      <c r="AJ104" s="49">
        <f>IF(B104="","",IF(COUNTIF(Clients!$B$5:$B$254,B104)&gt;1,"Duplicate name",IF(AND(C104&lt;&gt;"",COUNTIF(Clients!$C$5:$C$254,C104)&gt;1),"Duplicate phone","OK")))</f>
        <v>0</v>
      </c>
      <c r="AK104" s="49">
        <f>IF(B104="","",IF(AND(C104&lt;&gt;"",D104&lt;&gt;"",L104&lt;&gt;"",M104&lt;&gt;""),"OK","Add: "&amp;IF(C104="","phone ","")&amp;IF(D104="","email ","")&amp;IF(L104="","date ","")&amp;IF(M104="","status","")))</f>
        <v>0</v>
      </c>
      <c r="AL104" s="49">
        <f>IF(B104="","",IF(AG104&gt;0.5,"Overdue - chase payment",IF(AND(M104="Active",ISNUMBER(AC104),AC104&gt;InactiveDays),"Inactive - win back",IF(AND(M104="Active",S104&lt;&gt;"Signed"),"Action - contract not signed",IF(AND(M104="Prospective",AD104=""),"Action - follow up quote","OK")))))</f>
        <v>0</v>
      </c>
    </row>
    <row r="105" spans="1:38">
      <c r="A105" s="46">
        <f>IF(B105="","",ClientPrefix&amp;TEXT(ROW()-4,"0000"))</f>
        <v>0</v>
      </c>
      <c r="Y105" s="31">
        <f>IF(B105="","",COUNTIF(Pets!$C$5:$C$254,B105))</f>
        <v>0</v>
      </c>
      <c r="Z105" s="31">
        <f>IF(B105="","",COUNTIFS(Bookings!$C$5:$C$404,B105))</f>
        <v>0</v>
      </c>
      <c r="AA105" s="31">
        <f>IF(B105="","",COUNTIFS('Visit Log'!$D$5:$D$404,B105,'Visit Log'!$AE$5:$AE$404,"Completed"))</f>
        <v>0</v>
      </c>
      <c r="AB105" s="21">
        <f>IF(B105="","",IF(SUMPRODUCT(MAX((Bookings!$C$5:$C$404=B105)*(Bookings!$AM$5:$AM$404="Completed")*Bookings!$I$5:$I$404))=0,"",SUMPRODUCT(MAX((Bookings!$C$5:$C$404=B105)*(Bookings!$AM$5:$AM$404="Completed")*Bookings!$I$5:$I$404))))</f>
        <v>0</v>
      </c>
      <c r="AC105" s="31">
        <f>IF(AB105="","",TODAY()-AB105)</f>
        <v>0</v>
      </c>
      <c r="AD105" s="21">
        <f>IF(B105="","",IF(COUNTIFS(Bookings!$C$5:$C$404,B105,Bookings!$I$5:$I$404,"&gt;="&amp;TODAY(),Bookings!$AM$5:$AM$404,"&lt;&gt;Cancelled")=0,"",SUMPRODUCT(MIN(((Bookings!$C$5:$C$404=B105)*(Bookings!$I$5:$I$404&gt;=TODAY())*(Bookings!$AM$5:$AM$404&lt;&gt;"Cancelled"))*Bookings!$I$5:$I$404+(1-((Bookings!$C$5:$C$404=B105)*(Bookings!$I$5:$I$404&gt;=TODAY())*(Bookings!$AM$5:$AM$404&lt;&gt;"Cancelled")))*2958465))))</f>
        <v>0</v>
      </c>
      <c r="AE105" s="29">
        <f>IF(B105="","",SUMIFS(Payments!$L$5:$L$304,Payments!$C$5:$C$304,B105))</f>
        <v>0</v>
      </c>
      <c r="AF105" s="29">
        <f>IF(B105="","",SUMIFS(Invoices!$O$5:$O$304,Invoices!$D$5:$D$304,B105,Invoices!$T$5:$T$304,"&lt;&gt;Draft"))</f>
        <v>0</v>
      </c>
      <c r="AG105" s="29">
        <f>IF(B105="","",SUMIFS(Invoices!$S$5:$S$304,Invoices!$D$5:$D$304,B105,Invoices!$T$5:$T$304,"&lt;&gt;Cancelled"))</f>
        <v>0</v>
      </c>
      <c r="AH105" s="29">
        <f>IF(OR(Z105="",Z105=0),"",SUMIFS(Bookings!$AK$5:$AK$404,Bookings!$C$5:$C$404,B105,Bookings!$AM$5:$AM$404,"&lt;&gt;Cancelled")/Z105)</f>
        <v>0</v>
      </c>
      <c r="AI105" s="49">
        <f>IF(B105="","",IF(Z105&gt;=LoyaltyThreshold,"Loyalty discount","Standard"))</f>
        <v>0</v>
      </c>
      <c r="AJ105" s="49">
        <f>IF(B105="","",IF(COUNTIF(Clients!$B$5:$B$254,B105)&gt;1,"Duplicate name",IF(AND(C105&lt;&gt;"",COUNTIF(Clients!$C$5:$C$254,C105)&gt;1),"Duplicate phone","OK")))</f>
        <v>0</v>
      </c>
      <c r="AK105" s="49">
        <f>IF(B105="","",IF(AND(C105&lt;&gt;"",D105&lt;&gt;"",L105&lt;&gt;"",M105&lt;&gt;""),"OK","Add: "&amp;IF(C105="","phone ","")&amp;IF(D105="","email ","")&amp;IF(L105="","date ","")&amp;IF(M105="","status","")))</f>
        <v>0</v>
      </c>
      <c r="AL105" s="49">
        <f>IF(B105="","",IF(AG105&gt;0.5,"Overdue - chase payment",IF(AND(M105="Active",ISNUMBER(AC105),AC105&gt;InactiveDays),"Inactive - win back",IF(AND(M105="Active",S105&lt;&gt;"Signed"),"Action - contract not signed",IF(AND(M105="Prospective",AD105=""),"Action - follow up quote","OK")))))</f>
        <v>0</v>
      </c>
    </row>
    <row r="106" spans="1:38">
      <c r="A106" s="46">
        <f>IF(B106="","",ClientPrefix&amp;TEXT(ROW()-4,"0000"))</f>
        <v>0</v>
      </c>
      <c r="Y106" s="31">
        <f>IF(B106="","",COUNTIF(Pets!$C$5:$C$254,B106))</f>
        <v>0</v>
      </c>
      <c r="Z106" s="31">
        <f>IF(B106="","",COUNTIFS(Bookings!$C$5:$C$404,B106))</f>
        <v>0</v>
      </c>
      <c r="AA106" s="31">
        <f>IF(B106="","",COUNTIFS('Visit Log'!$D$5:$D$404,B106,'Visit Log'!$AE$5:$AE$404,"Completed"))</f>
        <v>0</v>
      </c>
      <c r="AB106" s="21">
        <f>IF(B106="","",IF(SUMPRODUCT(MAX((Bookings!$C$5:$C$404=B106)*(Bookings!$AM$5:$AM$404="Completed")*Bookings!$I$5:$I$404))=0,"",SUMPRODUCT(MAX((Bookings!$C$5:$C$404=B106)*(Bookings!$AM$5:$AM$404="Completed")*Bookings!$I$5:$I$404))))</f>
        <v>0</v>
      </c>
      <c r="AC106" s="31">
        <f>IF(AB106="","",TODAY()-AB106)</f>
        <v>0</v>
      </c>
      <c r="AD106" s="21">
        <f>IF(B106="","",IF(COUNTIFS(Bookings!$C$5:$C$404,B106,Bookings!$I$5:$I$404,"&gt;="&amp;TODAY(),Bookings!$AM$5:$AM$404,"&lt;&gt;Cancelled")=0,"",SUMPRODUCT(MIN(((Bookings!$C$5:$C$404=B106)*(Bookings!$I$5:$I$404&gt;=TODAY())*(Bookings!$AM$5:$AM$404&lt;&gt;"Cancelled"))*Bookings!$I$5:$I$404+(1-((Bookings!$C$5:$C$404=B106)*(Bookings!$I$5:$I$404&gt;=TODAY())*(Bookings!$AM$5:$AM$404&lt;&gt;"Cancelled")))*2958465))))</f>
        <v>0</v>
      </c>
      <c r="AE106" s="29">
        <f>IF(B106="","",SUMIFS(Payments!$L$5:$L$304,Payments!$C$5:$C$304,B106))</f>
        <v>0</v>
      </c>
      <c r="AF106" s="29">
        <f>IF(B106="","",SUMIFS(Invoices!$O$5:$O$304,Invoices!$D$5:$D$304,B106,Invoices!$T$5:$T$304,"&lt;&gt;Draft"))</f>
        <v>0</v>
      </c>
      <c r="AG106" s="29">
        <f>IF(B106="","",SUMIFS(Invoices!$S$5:$S$304,Invoices!$D$5:$D$304,B106,Invoices!$T$5:$T$304,"&lt;&gt;Cancelled"))</f>
        <v>0</v>
      </c>
      <c r="AH106" s="29">
        <f>IF(OR(Z106="",Z106=0),"",SUMIFS(Bookings!$AK$5:$AK$404,Bookings!$C$5:$C$404,B106,Bookings!$AM$5:$AM$404,"&lt;&gt;Cancelled")/Z106)</f>
        <v>0</v>
      </c>
      <c r="AI106" s="49">
        <f>IF(B106="","",IF(Z106&gt;=LoyaltyThreshold,"Loyalty discount","Standard"))</f>
        <v>0</v>
      </c>
      <c r="AJ106" s="49">
        <f>IF(B106="","",IF(COUNTIF(Clients!$B$5:$B$254,B106)&gt;1,"Duplicate name",IF(AND(C106&lt;&gt;"",COUNTIF(Clients!$C$5:$C$254,C106)&gt;1),"Duplicate phone","OK")))</f>
        <v>0</v>
      </c>
      <c r="AK106" s="49">
        <f>IF(B106="","",IF(AND(C106&lt;&gt;"",D106&lt;&gt;"",L106&lt;&gt;"",M106&lt;&gt;""),"OK","Add: "&amp;IF(C106="","phone ","")&amp;IF(D106="","email ","")&amp;IF(L106="","date ","")&amp;IF(M106="","status","")))</f>
        <v>0</v>
      </c>
      <c r="AL106" s="49">
        <f>IF(B106="","",IF(AG106&gt;0.5,"Overdue - chase payment",IF(AND(M106="Active",ISNUMBER(AC106),AC106&gt;InactiveDays),"Inactive - win back",IF(AND(M106="Active",S106&lt;&gt;"Signed"),"Action - contract not signed",IF(AND(M106="Prospective",AD106=""),"Action - follow up quote","OK")))))</f>
        <v>0</v>
      </c>
    </row>
    <row r="107" spans="1:38">
      <c r="A107" s="46">
        <f>IF(B107="","",ClientPrefix&amp;TEXT(ROW()-4,"0000"))</f>
        <v>0</v>
      </c>
      <c r="Y107" s="31">
        <f>IF(B107="","",COUNTIF(Pets!$C$5:$C$254,B107))</f>
        <v>0</v>
      </c>
      <c r="Z107" s="31">
        <f>IF(B107="","",COUNTIFS(Bookings!$C$5:$C$404,B107))</f>
        <v>0</v>
      </c>
      <c r="AA107" s="31">
        <f>IF(B107="","",COUNTIFS('Visit Log'!$D$5:$D$404,B107,'Visit Log'!$AE$5:$AE$404,"Completed"))</f>
        <v>0</v>
      </c>
      <c r="AB107" s="21">
        <f>IF(B107="","",IF(SUMPRODUCT(MAX((Bookings!$C$5:$C$404=B107)*(Bookings!$AM$5:$AM$404="Completed")*Bookings!$I$5:$I$404))=0,"",SUMPRODUCT(MAX((Bookings!$C$5:$C$404=B107)*(Bookings!$AM$5:$AM$404="Completed")*Bookings!$I$5:$I$404))))</f>
        <v>0</v>
      </c>
      <c r="AC107" s="31">
        <f>IF(AB107="","",TODAY()-AB107)</f>
        <v>0</v>
      </c>
      <c r="AD107" s="21">
        <f>IF(B107="","",IF(COUNTIFS(Bookings!$C$5:$C$404,B107,Bookings!$I$5:$I$404,"&gt;="&amp;TODAY(),Bookings!$AM$5:$AM$404,"&lt;&gt;Cancelled")=0,"",SUMPRODUCT(MIN(((Bookings!$C$5:$C$404=B107)*(Bookings!$I$5:$I$404&gt;=TODAY())*(Bookings!$AM$5:$AM$404&lt;&gt;"Cancelled"))*Bookings!$I$5:$I$404+(1-((Bookings!$C$5:$C$404=B107)*(Bookings!$I$5:$I$404&gt;=TODAY())*(Bookings!$AM$5:$AM$404&lt;&gt;"Cancelled")))*2958465))))</f>
        <v>0</v>
      </c>
      <c r="AE107" s="29">
        <f>IF(B107="","",SUMIFS(Payments!$L$5:$L$304,Payments!$C$5:$C$304,B107))</f>
        <v>0</v>
      </c>
      <c r="AF107" s="29">
        <f>IF(B107="","",SUMIFS(Invoices!$O$5:$O$304,Invoices!$D$5:$D$304,B107,Invoices!$T$5:$T$304,"&lt;&gt;Draft"))</f>
        <v>0</v>
      </c>
      <c r="AG107" s="29">
        <f>IF(B107="","",SUMIFS(Invoices!$S$5:$S$304,Invoices!$D$5:$D$304,B107,Invoices!$T$5:$T$304,"&lt;&gt;Cancelled"))</f>
        <v>0</v>
      </c>
      <c r="AH107" s="29">
        <f>IF(OR(Z107="",Z107=0),"",SUMIFS(Bookings!$AK$5:$AK$404,Bookings!$C$5:$C$404,B107,Bookings!$AM$5:$AM$404,"&lt;&gt;Cancelled")/Z107)</f>
        <v>0</v>
      </c>
      <c r="AI107" s="49">
        <f>IF(B107="","",IF(Z107&gt;=LoyaltyThreshold,"Loyalty discount","Standard"))</f>
        <v>0</v>
      </c>
      <c r="AJ107" s="49">
        <f>IF(B107="","",IF(COUNTIF(Clients!$B$5:$B$254,B107)&gt;1,"Duplicate name",IF(AND(C107&lt;&gt;"",COUNTIF(Clients!$C$5:$C$254,C107)&gt;1),"Duplicate phone","OK")))</f>
        <v>0</v>
      </c>
      <c r="AK107" s="49">
        <f>IF(B107="","",IF(AND(C107&lt;&gt;"",D107&lt;&gt;"",L107&lt;&gt;"",M107&lt;&gt;""),"OK","Add: "&amp;IF(C107="","phone ","")&amp;IF(D107="","email ","")&amp;IF(L107="","date ","")&amp;IF(M107="","status","")))</f>
        <v>0</v>
      </c>
      <c r="AL107" s="49">
        <f>IF(B107="","",IF(AG107&gt;0.5,"Overdue - chase payment",IF(AND(M107="Active",ISNUMBER(AC107),AC107&gt;InactiveDays),"Inactive - win back",IF(AND(M107="Active",S107&lt;&gt;"Signed"),"Action - contract not signed",IF(AND(M107="Prospective",AD107=""),"Action - follow up quote","OK")))))</f>
        <v>0</v>
      </c>
    </row>
    <row r="108" spans="1:38">
      <c r="A108" s="46">
        <f>IF(B108="","",ClientPrefix&amp;TEXT(ROW()-4,"0000"))</f>
        <v>0</v>
      </c>
      <c r="Y108" s="31">
        <f>IF(B108="","",COUNTIF(Pets!$C$5:$C$254,B108))</f>
        <v>0</v>
      </c>
      <c r="Z108" s="31">
        <f>IF(B108="","",COUNTIFS(Bookings!$C$5:$C$404,B108))</f>
        <v>0</v>
      </c>
      <c r="AA108" s="31">
        <f>IF(B108="","",COUNTIFS('Visit Log'!$D$5:$D$404,B108,'Visit Log'!$AE$5:$AE$404,"Completed"))</f>
        <v>0</v>
      </c>
      <c r="AB108" s="21">
        <f>IF(B108="","",IF(SUMPRODUCT(MAX((Bookings!$C$5:$C$404=B108)*(Bookings!$AM$5:$AM$404="Completed")*Bookings!$I$5:$I$404))=0,"",SUMPRODUCT(MAX((Bookings!$C$5:$C$404=B108)*(Bookings!$AM$5:$AM$404="Completed")*Bookings!$I$5:$I$404))))</f>
        <v>0</v>
      </c>
      <c r="AC108" s="31">
        <f>IF(AB108="","",TODAY()-AB108)</f>
        <v>0</v>
      </c>
      <c r="AD108" s="21">
        <f>IF(B108="","",IF(COUNTIFS(Bookings!$C$5:$C$404,B108,Bookings!$I$5:$I$404,"&gt;="&amp;TODAY(),Bookings!$AM$5:$AM$404,"&lt;&gt;Cancelled")=0,"",SUMPRODUCT(MIN(((Bookings!$C$5:$C$404=B108)*(Bookings!$I$5:$I$404&gt;=TODAY())*(Bookings!$AM$5:$AM$404&lt;&gt;"Cancelled"))*Bookings!$I$5:$I$404+(1-((Bookings!$C$5:$C$404=B108)*(Bookings!$I$5:$I$404&gt;=TODAY())*(Bookings!$AM$5:$AM$404&lt;&gt;"Cancelled")))*2958465))))</f>
        <v>0</v>
      </c>
      <c r="AE108" s="29">
        <f>IF(B108="","",SUMIFS(Payments!$L$5:$L$304,Payments!$C$5:$C$304,B108))</f>
        <v>0</v>
      </c>
      <c r="AF108" s="29">
        <f>IF(B108="","",SUMIFS(Invoices!$O$5:$O$304,Invoices!$D$5:$D$304,B108,Invoices!$T$5:$T$304,"&lt;&gt;Draft"))</f>
        <v>0</v>
      </c>
      <c r="AG108" s="29">
        <f>IF(B108="","",SUMIFS(Invoices!$S$5:$S$304,Invoices!$D$5:$D$304,B108,Invoices!$T$5:$T$304,"&lt;&gt;Cancelled"))</f>
        <v>0</v>
      </c>
      <c r="AH108" s="29">
        <f>IF(OR(Z108="",Z108=0),"",SUMIFS(Bookings!$AK$5:$AK$404,Bookings!$C$5:$C$404,B108,Bookings!$AM$5:$AM$404,"&lt;&gt;Cancelled")/Z108)</f>
        <v>0</v>
      </c>
      <c r="AI108" s="49">
        <f>IF(B108="","",IF(Z108&gt;=LoyaltyThreshold,"Loyalty discount","Standard"))</f>
        <v>0</v>
      </c>
      <c r="AJ108" s="49">
        <f>IF(B108="","",IF(COUNTIF(Clients!$B$5:$B$254,B108)&gt;1,"Duplicate name",IF(AND(C108&lt;&gt;"",COUNTIF(Clients!$C$5:$C$254,C108)&gt;1),"Duplicate phone","OK")))</f>
        <v>0</v>
      </c>
      <c r="AK108" s="49">
        <f>IF(B108="","",IF(AND(C108&lt;&gt;"",D108&lt;&gt;"",L108&lt;&gt;"",M108&lt;&gt;""),"OK","Add: "&amp;IF(C108="","phone ","")&amp;IF(D108="","email ","")&amp;IF(L108="","date ","")&amp;IF(M108="","status","")))</f>
        <v>0</v>
      </c>
      <c r="AL108" s="49">
        <f>IF(B108="","",IF(AG108&gt;0.5,"Overdue - chase payment",IF(AND(M108="Active",ISNUMBER(AC108),AC108&gt;InactiveDays),"Inactive - win back",IF(AND(M108="Active",S108&lt;&gt;"Signed"),"Action - contract not signed",IF(AND(M108="Prospective",AD108=""),"Action - follow up quote","OK")))))</f>
        <v>0</v>
      </c>
    </row>
    <row r="109" spans="1:38">
      <c r="A109" s="46">
        <f>IF(B109="","",ClientPrefix&amp;TEXT(ROW()-4,"0000"))</f>
        <v>0</v>
      </c>
      <c r="Y109" s="31">
        <f>IF(B109="","",COUNTIF(Pets!$C$5:$C$254,B109))</f>
        <v>0</v>
      </c>
      <c r="Z109" s="31">
        <f>IF(B109="","",COUNTIFS(Bookings!$C$5:$C$404,B109))</f>
        <v>0</v>
      </c>
      <c r="AA109" s="31">
        <f>IF(B109="","",COUNTIFS('Visit Log'!$D$5:$D$404,B109,'Visit Log'!$AE$5:$AE$404,"Completed"))</f>
        <v>0</v>
      </c>
      <c r="AB109" s="21">
        <f>IF(B109="","",IF(SUMPRODUCT(MAX((Bookings!$C$5:$C$404=B109)*(Bookings!$AM$5:$AM$404="Completed")*Bookings!$I$5:$I$404))=0,"",SUMPRODUCT(MAX((Bookings!$C$5:$C$404=B109)*(Bookings!$AM$5:$AM$404="Completed")*Bookings!$I$5:$I$404))))</f>
        <v>0</v>
      </c>
      <c r="AC109" s="31">
        <f>IF(AB109="","",TODAY()-AB109)</f>
        <v>0</v>
      </c>
      <c r="AD109" s="21">
        <f>IF(B109="","",IF(COUNTIFS(Bookings!$C$5:$C$404,B109,Bookings!$I$5:$I$404,"&gt;="&amp;TODAY(),Bookings!$AM$5:$AM$404,"&lt;&gt;Cancelled")=0,"",SUMPRODUCT(MIN(((Bookings!$C$5:$C$404=B109)*(Bookings!$I$5:$I$404&gt;=TODAY())*(Bookings!$AM$5:$AM$404&lt;&gt;"Cancelled"))*Bookings!$I$5:$I$404+(1-((Bookings!$C$5:$C$404=B109)*(Bookings!$I$5:$I$404&gt;=TODAY())*(Bookings!$AM$5:$AM$404&lt;&gt;"Cancelled")))*2958465))))</f>
        <v>0</v>
      </c>
      <c r="AE109" s="29">
        <f>IF(B109="","",SUMIFS(Payments!$L$5:$L$304,Payments!$C$5:$C$304,B109))</f>
        <v>0</v>
      </c>
      <c r="AF109" s="29">
        <f>IF(B109="","",SUMIFS(Invoices!$O$5:$O$304,Invoices!$D$5:$D$304,B109,Invoices!$T$5:$T$304,"&lt;&gt;Draft"))</f>
        <v>0</v>
      </c>
      <c r="AG109" s="29">
        <f>IF(B109="","",SUMIFS(Invoices!$S$5:$S$304,Invoices!$D$5:$D$304,B109,Invoices!$T$5:$T$304,"&lt;&gt;Cancelled"))</f>
        <v>0</v>
      </c>
      <c r="AH109" s="29">
        <f>IF(OR(Z109="",Z109=0),"",SUMIFS(Bookings!$AK$5:$AK$404,Bookings!$C$5:$C$404,B109,Bookings!$AM$5:$AM$404,"&lt;&gt;Cancelled")/Z109)</f>
        <v>0</v>
      </c>
      <c r="AI109" s="49">
        <f>IF(B109="","",IF(Z109&gt;=LoyaltyThreshold,"Loyalty discount","Standard"))</f>
        <v>0</v>
      </c>
      <c r="AJ109" s="49">
        <f>IF(B109="","",IF(COUNTIF(Clients!$B$5:$B$254,B109)&gt;1,"Duplicate name",IF(AND(C109&lt;&gt;"",COUNTIF(Clients!$C$5:$C$254,C109)&gt;1),"Duplicate phone","OK")))</f>
        <v>0</v>
      </c>
      <c r="AK109" s="49">
        <f>IF(B109="","",IF(AND(C109&lt;&gt;"",D109&lt;&gt;"",L109&lt;&gt;"",M109&lt;&gt;""),"OK","Add: "&amp;IF(C109="","phone ","")&amp;IF(D109="","email ","")&amp;IF(L109="","date ","")&amp;IF(M109="","status","")))</f>
        <v>0</v>
      </c>
      <c r="AL109" s="49">
        <f>IF(B109="","",IF(AG109&gt;0.5,"Overdue - chase payment",IF(AND(M109="Active",ISNUMBER(AC109),AC109&gt;InactiveDays),"Inactive - win back",IF(AND(M109="Active",S109&lt;&gt;"Signed"),"Action - contract not signed",IF(AND(M109="Prospective",AD109=""),"Action - follow up quote","OK")))))</f>
        <v>0</v>
      </c>
    </row>
    <row r="110" spans="1:38">
      <c r="A110" s="46">
        <f>IF(B110="","",ClientPrefix&amp;TEXT(ROW()-4,"0000"))</f>
        <v>0</v>
      </c>
      <c r="Y110" s="31">
        <f>IF(B110="","",COUNTIF(Pets!$C$5:$C$254,B110))</f>
        <v>0</v>
      </c>
      <c r="Z110" s="31">
        <f>IF(B110="","",COUNTIFS(Bookings!$C$5:$C$404,B110))</f>
        <v>0</v>
      </c>
      <c r="AA110" s="31">
        <f>IF(B110="","",COUNTIFS('Visit Log'!$D$5:$D$404,B110,'Visit Log'!$AE$5:$AE$404,"Completed"))</f>
        <v>0</v>
      </c>
      <c r="AB110" s="21">
        <f>IF(B110="","",IF(SUMPRODUCT(MAX((Bookings!$C$5:$C$404=B110)*(Bookings!$AM$5:$AM$404="Completed")*Bookings!$I$5:$I$404))=0,"",SUMPRODUCT(MAX((Bookings!$C$5:$C$404=B110)*(Bookings!$AM$5:$AM$404="Completed")*Bookings!$I$5:$I$404))))</f>
        <v>0</v>
      </c>
      <c r="AC110" s="31">
        <f>IF(AB110="","",TODAY()-AB110)</f>
        <v>0</v>
      </c>
      <c r="AD110" s="21">
        <f>IF(B110="","",IF(COUNTIFS(Bookings!$C$5:$C$404,B110,Bookings!$I$5:$I$404,"&gt;="&amp;TODAY(),Bookings!$AM$5:$AM$404,"&lt;&gt;Cancelled")=0,"",SUMPRODUCT(MIN(((Bookings!$C$5:$C$404=B110)*(Bookings!$I$5:$I$404&gt;=TODAY())*(Bookings!$AM$5:$AM$404&lt;&gt;"Cancelled"))*Bookings!$I$5:$I$404+(1-((Bookings!$C$5:$C$404=B110)*(Bookings!$I$5:$I$404&gt;=TODAY())*(Bookings!$AM$5:$AM$404&lt;&gt;"Cancelled")))*2958465))))</f>
        <v>0</v>
      </c>
      <c r="AE110" s="29">
        <f>IF(B110="","",SUMIFS(Payments!$L$5:$L$304,Payments!$C$5:$C$304,B110))</f>
        <v>0</v>
      </c>
      <c r="AF110" s="29">
        <f>IF(B110="","",SUMIFS(Invoices!$O$5:$O$304,Invoices!$D$5:$D$304,B110,Invoices!$T$5:$T$304,"&lt;&gt;Draft"))</f>
        <v>0</v>
      </c>
      <c r="AG110" s="29">
        <f>IF(B110="","",SUMIFS(Invoices!$S$5:$S$304,Invoices!$D$5:$D$304,B110,Invoices!$T$5:$T$304,"&lt;&gt;Cancelled"))</f>
        <v>0</v>
      </c>
      <c r="AH110" s="29">
        <f>IF(OR(Z110="",Z110=0),"",SUMIFS(Bookings!$AK$5:$AK$404,Bookings!$C$5:$C$404,B110,Bookings!$AM$5:$AM$404,"&lt;&gt;Cancelled")/Z110)</f>
        <v>0</v>
      </c>
      <c r="AI110" s="49">
        <f>IF(B110="","",IF(Z110&gt;=LoyaltyThreshold,"Loyalty discount","Standard"))</f>
        <v>0</v>
      </c>
      <c r="AJ110" s="49">
        <f>IF(B110="","",IF(COUNTIF(Clients!$B$5:$B$254,B110)&gt;1,"Duplicate name",IF(AND(C110&lt;&gt;"",COUNTIF(Clients!$C$5:$C$254,C110)&gt;1),"Duplicate phone","OK")))</f>
        <v>0</v>
      </c>
      <c r="AK110" s="49">
        <f>IF(B110="","",IF(AND(C110&lt;&gt;"",D110&lt;&gt;"",L110&lt;&gt;"",M110&lt;&gt;""),"OK","Add: "&amp;IF(C110="","phone ","")&amp;IF(D110="","email ","")&amp;IF(L110="","date ","")&amp;IF(M110="","status","")))</f>
        <v>0</v>
      </c>
      <c r="AL110" s="49">
        <f>IF(B110="","",IF(AG110&gt;0.5,"Overdue - chase payment",IF(AND(M110="Active",ISNUMBER(AC110),AC110&gt;InactiveDays),"Inactive - win back",IF(AND(M110="Active",S110&lt;&gt;"Signed"),"Action - contract not signed",IF(AND(M110="Prospective",AD110=""),"Action - follow up quote","OK")))))</f>
        <v>0</v>
      </c>
    </row>
    <row r="111" spans="1:38">
      <c r="A111" s="46">
        <f>IF(B111="","",ClientPrefix&amp;TEXT(ROW()-4,"0000"))</f>
        <v>0</v>
      </c>
      <c r="Y111" s="31">
        <f>IF(B111="","",COUNTIF(Pets!$C$5:$C$254,B111))</f>
        <v>0</v>
      </c>
      <c r="Z111" s="31">
        <f>IF(B111="","",COUNTIFS(Bookings!$C$5:$C$404,B111))</f>
        <v>0</v>
      </c>
      <c r="AA111" s="31">
        <f>IF(B111="","",COUNTIFS('Visit Log'!$D$5:$D$404,B111,'Visit Log'!$AE$5:$AE$404,"Completed"))</f>
        <v>0</v>
      </c>
      <c r="AB111" s="21">
        <f>IF(B111="","",IF(SUMPRODUCT(MAX((Bookings!$C$5:$C$404=B111)*(Bookings!$AM$5:$AM$404="Completed")*Bookings!$I$5:$I$404))=0,"",SUMPRODUCT(MAX((Bookings!$C$5:$C$404=B111)*(Bookings!$AM$5:$AM$404="Completed")*Bookings!$I$5:$I$404))))</f>
        <v>0</v>
      </c>
      <c r="AC111" s="31">
        <f>IF(AB111="","",TODAY()-AB111)</f>
        <v>0</v>
      </c>
      <c r="AD111" s="21">
        <f>IF(B111="","",IF(COUNTIFS(Bookings!$C$5:$C$404,B111,Bookings!$I$5:$I$404,"&gt;="&amp;TODAY(),Bookings!$AM$5:$AM$404,"&lt;&gt;Cancelled")=0,"",SUMPRODUCT(MIN(((Bookings!$C$5:$C$404=B111)*(Bookings!$I$5:$I$404&gt;=TODAY())*(Bookings!$AM$5:$AM$404&lt;&gt;"Cancelled"))*Bookings!$I$5:$I$404+(1-((Bookings!$C$5:$C$404=B111)*(Bookings!$I$5:$I$404&gt;=TODAY())*(Bookings!$AM$5:$AM$404&lt;&gt;"Cancelled")))*2958465))))</f>
        <v>0</v>
      </c>
      <c r="AE111" s="29">
        <f>IF(B111="","",SUMIFS(Payments!$L$5:$L$304,Payments!$C$5:$C$304,B111))</f>
        <v>0</v>
      </c>
      <c r="AF111" s="29">
        <f>IF(B111="","",SUMIFS(Invoices!$O$5:$O$304,Invoices!$D$5:$D$304,B111,Invoices!$T$5:$T$304,"&lt;&gt;Draft"))</f>
        <v>0</v>
      </c>
      <c r="AG111" s="29">
        <f>IF(B111="","",SUMIFS(Invoices!$S$5:$S$304,Invoices!$D$5:$D$304,B111,Invoices!$T$5:$T$304,"&lt;&gt;Cancelled"))</f>
        <v>0</v>
      </c>
      <c r="AH111" s="29">
        <f>IF(OR(Z111="",Z111=0),"",SUMIFS(Bookings!$AK$5:$AK$404,Bookings!$C$5:$C$404,B111,Bookings!$AM$5:$AM$404,"&lt;&gt;Cancelled")/Z111)</f>
        <v>0</v>
      </c>
      <c r="AI111" s="49">
        <f>IF(B111="","",IF(Z111&gt;=LoyaltyThreshold,"Loyalty discount","Standard"))</f>
        <v>0</v>
      </c>
      <c r="AJ111" s="49">
        <f>IF(B111="","",IF(COUNTIF(Clients!$B$5:$B$254,B111)&gt;1,"Duplicate name",IF(AND(C111&lt;&gt;"",COUNTIF(Clients!$C$5:$C$254,C111)&gt;1),"Duplicate phone","OK")))</f>
        <v>0</v>
      </c>
      <c r="AK111" s="49">
        <f>IF(B111="","",IF(AND(C111&lt;&gt;"",D111&lt;&gt;"",L111&lt;&gt;"",M111&lt;&gt;""),"OK","Add: "&amp;IF(C111="","phone ","")&amp;IF(D111="","email ","")&amp;IF(L111="","date ","")&amp;IF(M111="","status","")))</f>
        <v>0</v>
      </c>
      <c r="AL111" s="49">
        <f>IF(B111="","",IF(AG111&gt;0.5,"Overdue - chase payment",IF(AND(M111="Active",ISNUMBER(AC111),AC111&gt;InactiveDays),"Inactive - win back",IF(AND(M111="Active",S111&lt;&gt;"Signed"),"Action - contract not signed",IF(AND(M111="Prospective",AD111=""),"Action - follow up quote","OK")))))</f>
        <v>0</v>
      </c>
    </row>
    <row r="112" spans="1:38">
      <c r="A112" s="46">
        <f>IF(B112="","",ClientPrefix&amp;TEXT(ROW()-4,"0000"))</f>
        <v>0</v>
      </c>
      <c r="Y112" s="31">
        <f>IF(B112="","",COUNTIF(Pets!$C$5:$C$254,B112))</f>
        <v>0</v>
      </c>
      <c r="Z112" s="31">
        <f>IF(B112="","",COUNTIFS(Bookings!$C$5:$C$404,B112))</f>
        <v>0</v>
      </c>
      <c r="AA112" s="31">
        <f>IF(B112="","",COUNTIFS('Visit Log'!$D$5:$D$404,B112,'Visit Log'!$AE$5:$AE$404,"Completed"))</f>
        <v>0</v>
      </c>
      <c r="AB112" s="21">
        <f>IF(B112="","",IF(SUMPRODUCT(MAX((Bookings!$C$5:$C$404=B112)*(Bookings!$AM$5:$AM$404="Completed")*Bookings!$I$5:$I$404))=0,"",SUMPRODUCT(MAX((Bookings!$C$5:$C$404=B112)*(Bookings!$AM$5:$AM$404="Completed")*Bookings!$I$5:$I$404))))</f>
        <v>0</v>
      </c>
      <c r="AC112" s="31">
        <f>IF(AB112="","",TODAY()-AB112)</f>
        <v>0</v>
      </c>
      <c r="AD112" s="21">
        <f>IF(B112="","",IF(COUNTIFS(Bookings!$C$5:$C$404,B112,Bookings!$I$5:$I$404,"&gt;="&amp;TODAY(),Bookings!$AM$5:$AM$404,"&lt;&gt;Cancelled")=0,"",SUMPRODUCT(MIN(((Bookings!$C$5:$C$404=B112)*(Bookings!$I$5:$I$404&gt;=TODAY())*(Bookings!$AM$5:$AM$404&lt;&gt;"Cancelled"))*Bookings!$I$5:$I$404+(1-((Bookings!$C$5:$C$404=B112)*(Bookings!$I$5:$I$404&gt;=TODAY())*(Bookings!$AM$5:$AM$404&lt;&gt;"Cancelled")))*2958465))))</f>
        <v>0</v>
      </c>
      <c r="AE112" s="29">
        <f>IF(B112="","",SUMIFS(Payments!$L$5:$L$304,Payments!$C$5:$C$304,B112))</f>
        <v>0</v>
      </c>
      <c r="AF112" s="29">
        <f>IF(B112="","",SUMIFS(Invoices!$O$5:$O$304,Invoices!$D$5:$D$304,B112,Invoices!$T$5:$T$304,"&lt;&gt;Draft"))</f>
        <v>0</v>
      </c>
      <c r="AG112" s="29">
        <f>IF(B112="","",SUMIFS(Invoices!$S$5:$S$304,Invoices!$D$5:$D$304,B112,Invoices!$T$5:$T$304,"&lt;&gt;Cancelled"))</f>
        <v>0</v>
      </c>
      <c r="AH112" s="29">
        <f>IF(OR(Z112="",Z112=0),"",SUMIFS(Bookings!$AK$5:$AK$404,Bookings!$C$5:$C$404,B112,Bookings!$AM$5:$AM$404,"&lt;&gt;Cancelled")/Z112)</f>
        <v>0</v>
      </c>
      <c r="AI112" s="49">
        <f>IF(B112="","",IF(Z112&gt;=LoyaltyThreshold,"Loyalty discount","Standard"))</f>
        <v>0</v>
      </c>
      <c r="AJ112" s="49">
        <f>IF(B112="","",IF(COUNTIF(Clients!$B$5:$B$254,B112)&gt;1,"Duplicate name",IF(AND(C112&lt;&gt;"",COUNTIF(Clients!$C$5:$C$254,C112)&gt;1),"Duplicate phone","OK")))</f>
        <v>0</v>
      </c>
      <c r="AK112" s="49">
        <f>IF(B112="","",IF(AND(C112&lt;&gt;"",D112&lt;&gt;"",L112&lt;&gt;"",M112&lt;&gt;""),"OK","Add: "&amp;IF(C112="","phone ","")&amp;IF(D112="","email ","")&amp;IF(L112="","date ","")&amp;IF(M112="","status","")))</f>
        <v>0</v>
      </c>
      <c r="AL112" s="49">
        <f>IF(B112="","",IF(AG112&gt;0.5,"Overdue - chase payment",IF(AND(M112="Active",ISNUMBER(AC112),AC112&gt;InactiveDays),"Inactive - win back",IF(AND(M112="Active",S112&lt;&gt;"Signed"),"Action - contract not signed",IF(AND(M112="Prospective",AD112=""),"Action - follow up quote","OK")))))</f>
        <v>0</v>
      </c>
    </row>
    <row r="113" spans="1:38">
      <c r="A113" s="46">
        <f>IF(B113="","",ClientPrefix&amp;TEXT(ROW()-4,"0000"))</f>
        <v>0</v>
      </c>
      <c r="Y113" s="31">
        <f>IF(B113="","",COUNTIF(Pets!$C$5:$C$254,B113))</f>
        <v>0</v>
      </c>
      <c r="Z113" s="31">
        <f>IF(B113="","",COUNTIFS(Bookings!$C$5:$C$404,B113))</f>
        <v>0</v>
      </c>
      <c r="AA113" s="31">
        <f>IF(B113="","",COUNTIFS('Visit Log'!$D$5:$D$404,B113,'Visit Log'!$AE$5:$AE$404,"Completed"))</f>
        <v>0</v>
      </c>
      <c r="AB113" s="21">
        <f>IF(B113="","",IF(SUMPRODUCT(MAX((Bookings!$C$5:$C$404=B113)*(Bookings!$AM$5:$AM$404="Completed")*Bookings!$I$5:$I$404))=0,"",SUMPRODUCT(MAX((Bookings!$C$5:$C$404=B113)*(Bookings!$AM$5:$AM$404="Completed")*Bookings!$I$5:$I$404))))</f>
        <v>0</v>
      </c>
      <c r="AC113" s="31">
        <f>IF(AB113="","",TODAY()-AB113)</f>
        <v>0</v>
      </c>
      <c r="AD113" s="21">
        <f>IF(B113="","",IF(COUNTIFS(Bookings!$C$5:$C$404,B113,Bookings!$I$5:$I$404,"&gt;="&amp;TODAY(),Bookings!$AM$5:$AM$404,"&lt;&gt;Cancelled")=0,"",SUMPRODUCT(MIN(((Bookings!$C$5:$C$404=B113)*(Bookings!$I$5:$I$404&gt;=TODAY())*(Bookings!$AM$5:$AM$404&lt;&gt;"Cancelled"))*Bookings!$I$5:$I$404+(1-((Bookings!$C$5:$C$404=B113)*(Bookings!$I$5:$I$404&gt;=TODAY())*(Bookings!$AM$5:$AM$404&lt;&gt;"Cancelled")))*2958465))))</f>
        <v>0</v>
      </c>
      <c r="AE113" s="29">
        <f>IF(B113="","",SUMIFS(Payments!$L$5:$L$304,Payments!$C$5:$C$304,B113))</f>
        <v>0</v>
      </c>
      <c r="AF113" s="29">
        <f>IF(B113="","",SUMIFS(Invoices!$O$5:$O$304,Invoices!$D$5:$D$304,B113,Invoices!$T$5:$T$304,"&lt;&gt;Draft"))</f>
        <v>0</v>
      </c>
      <c r="AG113" s="29">
        <f>IF(B113="","",SUMIFS(Invoices!$S$5:$S$304,Invoices!$D$5:$D$304,B113,Invoices!$T$5:$T$304,"&lt;&gt;Cancelled"))</f>
        <v>0</v>
      </c>
      <c r="AH113" s="29">
        <f>IF(OR(Z113="",Z113=0),"",SUMIFS(Bookings!$AK$5:$AK$404,Bookings!$C$5:$C$404,B113,Bookings!$AM$5:$AM$404,"&lt;&gt;Cancelled")/Z113)</f>
        <v>0</v>
      </c>
      <c r="AI113" s="49">
        <f>IF(B113="","",IF(Z113&gt;=LoyaltyThreshold,"Loyalty discount","Standard"))</f>
        <v>0</v>
      </c>
      <c r="AJ113" s="49">
        <f>IF(B113="","",IF(COUNTIF(Clients!$B$5:$B$254,B113)&gt;1,"Duplicate name",IF(AND(C113&lt;&gt;"",COUNTIF(Clients!$C$5:$C$254,C113)&gt;1),"Duplicate phone","OK")))</f>
        <v>0</v>
      </c>
      <c r="AK113" s="49">
        <f>IF(B113="","",IF(AND(C113&lt;&gt;"",D113&lt;&gt;"",L113&lt;&gt;"",M113&lt;&gt;""),"OK","Add: "&amp;IF(C113="","phone ","")&amp;IF(D113="","email ","")&amp;IF(L113="","date ","")&amp;IF(M113="","status","")))</f>
        <v>0</v>
      </c>
      <c r="AL113" s="49">
        <f>IF(B113="","",IF(AG113&gt;0.5,"Overdue - chase payment",IF(AND(M113="Active",ISNUMBER(AC113),AC113&gt;InactiveDays),"Inactive - win back",IF(AND(M113="Active",S113&lt;&gt;"Signed"),"Action - contract not signed",IF(AND(M113="Prospective",AD113=""),"Action - follow up quote","OK")))))</f>
        <v>0</v>
      </c>
    </row>
    <row r="114" spans="1:38">
      <c r="A114" s="46">
        <f>IF(B114="","",ClientPrefix&amp;TEXT(ROW()-4,"0000"))</f>
        <v>0</v>
      </c>
      <c r="Y114" s="31">
        <f>IF(B114="","",COUNTIF(Pets!$C$5:$C$254,B114))</f>
        <v>0</v>
      </c>
      <c r="Z114" s="31">
        <f>IF(B114="","",COUNTIFS(Bookings!$C$5:$C$404,B114))</f>
        <v>0</v>
      </c>
      <c r="AA114" s="31">
        <f>IF(B114="","",COUNTIFS('Visit Log'!$D$5:$D$404,B114,'Visit Log'!$AE$5:$AE$404,"Completed"))</f>
        <v>0</v>
      </c>
      <c r="AB114" s="21">
        <f>IF(B114="","",IF(SUMPRODUCT(MAX((Bookings!$C$5:$C$404=B114)*(Bookings!$AM$5:$AM$404="Completed")*Bookings!$I$5:$I$404))=0,"",SUMPRODUCT(MAX((Bookings!$C$5:$C$404=B114)*(Bookings!$AM$5:$AM$404="Completed")*Bookings!$I$5:$I$404))))</f>
        <v>0</v>
      </c>
      <c r="AC114" s="31">
        <f>IF(AB114="","",TODAY()-AB114)</f>
        <v>0</v>
      </c>
      <c r="AD114" s="21">
        <f>IF(B114="","",IF(COUNTIFS(Bookings!$C$5:$C$404,B114,Bookings!$I$5:$I$404,"&gt;="&amp;TODAY(),Bookings!$AM$5:$AM$404,"&lt;&gt;Cancelled")=0,"",SUMPRODUCT(MIN(((Bookings!$C$5:$C$404=B114)*(Bookings!$I$5:$I$404&gt;=TODAY())*(Bookings!$AM$5:$AM$404&lt;&gt;"Cancelled"))*Bookings!$I$5:$I$404+(1-((Bookings!$C$5:$C$404=B114)*(Bookings!$I$5:$I$404&gt;=TODAY())*(Bookings!$AM$5:$AM$404&lt;&gt;"Cancelled")))*2958465))))</f>
        <v>0</v>
      </c>
      <c r="AE114" s="29">
        <f>IF(B114="","",SUMIFS(Payments!$L$5:$L$304,Payments!$C$5:$C$304,B114))</f>
        <v>0</v>
      </c>
      <c r="AF114" s="29">
        <f>IF(B114="","",SUMIFS(Invoices!$O$5:$O$304,Invoices!$D$5:$D$304,B114,Invoices!$T$5:$T$304,"&lt;&gt;Draft"))</f>
        <v>0</v>
      </c>
      <c r="AG114" s="29">
        <f>IF(B114="","",SUMIFS(Invoices!$S$5:$S$304,Invoices!$D$5:$D$304,B114,Invoices!$T$5:$T$304,"&lt;&gt;Cancelled"))</f>
        <v>0</v>
      </c>
      <c r="AH114" s="29">
        <f>IF(OR(Z114="",Z114=0),"",SUMIFS(Bookings!$AK$5:$AK$404,Bookings!$C$5:$C$404,B114,Bookings!$AM$5:$AM$404,"&lt;&gt;Cancelled")/Z114)</f>
        <v>0</v>
      </c>
      <c r="AI114" s="49">
        <f>IF(B114="","",IF(Z114&gt;=LoyaltyThreshold,"Loyalty discount","Standard"))</f>
        <v>0</v>
      </c>
      <c r="AJ114" s="49">
        <f>IF(B114="","",IF(COUNTIF(Clients!$B$5:$B$254,B114)&gt;1,"Duplicate name",IF(AND(C114&lt;&gt;"",COUNTIF(Clients!$C$5:$C$254,C114)&gt;1),"Duplicate phone","OK")))</f>
        <v>0</v>
      </c>
      <c r="AK114" s="49">
        <f>IF(B114="","",IF(AND(C114&lt;&gt;"",D114&lt;&gt;"",L114&lt;&gt;"",M114&lt;&gt;""),"OK","Add: "&amp;IF(C114="","phone ","")&amp;IF(D114="","email ","")&amp;IF(L114="","date ","")&amp;IF(M114="","status","")))</f>
        <v>0</v>
      </c>
      <c r="AL114" s="49">
        <f>IF(B114="","",IF(AG114&gt;0.5,"Overdue - chase payment",IF(AND(M114="Active",ISNUMBER(AC114),AC114&gt;InactiveDays),"Inactive - win back",IF(AND(M114="Active",S114&lt;&gt;"Signed"),"Action - contract not signed",IF(AND(M114="Prospective",AD114=""),"Action - follow up quote","OK")))))</f>
        <v>0</v>
      </c>
    </row>
    <row r="115" spans="1:38">
      <c r="A115" s="46">
        <f>IF(B115="","",ClientPrefix&amp;TEXT(ROW()-4,"0000"))</f>
        <v>0</v>
      </c>
      <c r="Y115" s="31">
        <f>IF(B115="","",COUNTIF(Pets!$C$5:$C$254,B115))</f>
        <v>0</v>
      </c>
      <c r="Z115" s="31">
        <f>IF(B115="","",COUNTIFS(Bookings!$C$5:$C$404,B115))</f>
        <v>0</v>
      </c>
      <c r="AA115" s="31">
        <f>IF(B115="","",COUNTIFS('Visit Log'!$D$5:$D$404,B115,'Visit Log'!$AE$5:$AE$404,"Completed"))</f>
        <v>0</v>
      </c>
      <c r="AB115" s="21">
        <f>IF(B115="","",IF(SUMPRODUCT(MAX((Bookings!$C$5:$C$404=B115)*(Bookings!$AM$5:$AM$404="Completed")*Bookings!$I$5:$I$404))=0,"",SUMPRODUCT(MAX((Bookings!$C$5:$C$404=B115)*(Bookings!$AM$5:$AM$404="Completed")*Bookings!$I$5:$I$404))))</f>
        <v>0</v>
      </c>
      <c r="AC115" s="31">
        <f>IF(AB115="","",TODAY()-AB115)</f>
        <v>0</v>
      </c>
      <c r="AD115" s="21">
        <f>IF(B115="","",IF(COUNTIFS(Bookings!$C$5:$C$404,B115,Bookings!$I$5:$I$404,"&gt;="&amp;TODAY(),Bookings!$AM$5:$AM$404,"&lt;&gt;Cancelled")=0,"",SUMPRODUCT(MIN(((Bookings!$C$5:$C$404=B115)*(Bookings!$I$5:$I$404&gt;=TODAY())*(Bookings!$AM$5:$AM$404&lt;&gt;"Cancelled"))*Bookings!$I$5:$I$404+(1-((Bookings!$C$5:$C$404=B115)*(Bookings!$I$5:$I$404&gt;=TODAY())*(Bookings!$AM$5:$AM$404&lt;&gt;"Cancelled")))*2958465))))</f>
        <v>0</v>
      </c>
      <c r="AE115" s="29">
        <f>IF(B115="","",SUMIFS(Payments!$L$5:$L$304,Payments!$C$5:$C$304,B115))</f>
        <v>0</v>
      </c>
      <c r="AF115" s="29">
        <f>IF(B115="","",SUMIFS(Invoices!$O$5:$O$304,Invoices!$D$5:$D$304,B115,Invoices!$T$5:$T$304,"&lt;&gt;Draft"))</f>
        <v>0</v>
      </c>
      <c r="AG115" s="29">
        <f>IF(B115="","",SUMIFS(Invoices!$S$5:$S$304,Invoices!$D$5:$D$304,B115,Invoices!$T$5:$T$304,"&lt;&gt;Cancelled"))</f>
        <v>0</v>
      </c>
      <c r="AH115" s="29">
        <f>IF(OR(Z115="",Z115=0),"",SUMIFS(Bookings!$AK$5:$AK$404,Bookings!$C$5:$C$404,B115,Bookings!$AM$5:$AM$404,"&lt;&gt;Cancelled")/Z115)</f>
        <v>0</v>
      </c>
      <c r="AI115" s="49">
        <f>IF(B115="","",IF(Z115&gt;=LoyaltyThreshold,"Loyalty discount","Standard"))</f>
        <v>0</v>
      </c>
      <c r="AJ115" s="49">
        <f>IF(B115="","",IF(COUNTIF(Clients!$B$5:$B$254,B115)&gt;1,"Duplicate name",IF(AND(C115&lt;&gt;"",COUNTIF(Clients!$C$5:$C$254,C115)&gt;1),"Duplicate phone","OK")))</f>
        <v>0</v>
      </c>
      <c r="AK115" s="49">
        <f>IF(B115="","",IF(AND(C115&lt;&gt;"",D115&lt;&gt;"",L115&lt;&gt;"",M115&lt;&gt;""),"OK","Add: "&amp;IF(C115="","phone ","")&amp;IF(D115="","email ","")&amp;IF(L115="","date ","")&amp;IF(M115="","status","")))</f>
        <v>0</v>
      </c>
      <c r="AL115" s="49">
        <f>IF(B115="","",IF(AG115&gt;0.5,"Overdue - chase payment",IF(AND(M115="Active",ISNUMBER(AC115),AC115&gt;InactiveDays),"Inactive - win back",IF(AND(M115="Active",S115&lt;&gt;"Signed"),"Action - contract not signed",IF(AND(M115="Prospective",AD115=""),"Action - follow up quote","OK")))))</f>
        <v>0</v>
      </c>
    </row>
    <row r="116" spans="1:38">
      <c r="A116" s="46">
        <f>IF(B116="","",ClientPrefix&amp;TEXT(ROW()-4,"0000"))</f>
        <v>0</v>
      </c>
      <c r="Y116" s="31">
        <f>IF(B116="","",COUNTIF(Pets!$C$5:$C$254,B116))</f>
        <v>0</v>
      </c>
      <c r="Z116" s="31">
        <f>IF(B116="","",COUNTIFS(Bookings!$C$5:$C$404,B116))</f>
        <v>0</v>
      </c>
      <c r="AA116" s="31">
        <f>IF(B116="","",COUNTIFS('Visit Log'!$D$5:$D$404,B116,'Visit Log'!$AE$5:$AE$404,"Completed"))</f>
        <v>0</v>
      </c>
      <c r="AB116" s="21">
        <f>IF(B116="","",IF(SUMPRODUCT(MAX((Bookings!$C$5:$C$404=B116)*(Bookings!$AM$5:$AM$404="Completed")*Bookings!$I$5:$I$404))=0,"",SUMPRODUCT(MAX((Bookings!$C$5:$C$404=B116)*(Bookings!$AM$5:$AM$404="Completed")*Bookings!$I$5:$I$404))))</f>
        <v>0</v>
      </c>
      <c r="AC116" s="31">
        <f>IF(AB116="","",TODAY()-AB116)</f>
        <v>0</v>
      </c>
      <c r="AD116" s="21">
        <f>IF(B116="","",IF(COUNTIFS(Bookings!$C$5:$C$404,B116,Bookings!$I$5:$I$404,"&gt;="&amp;TODAY(),Bookings!$AM$5:$AM$404,"&lt;&gt;Cancelled")=0,"",SUMPRODUCT(MIN(((Bookings!$C$5:$C$404=B116)*(Bookings!$I$5:$I$404&gt;=TODAY())*(Bookings!$AM$5:$AM$404&lt;&gt;"Cancelled"))*Bookings!$I$5:$I$404+(1-((Bookings!$C$5:$C$404=B116)*(Bookings!$I$5:$I$404&gt;=TODAY())*(Bookings!$AM$5:$AM$404&lt;&gt;"Cancelled")))*2958465))))</f>
        <v>0</v>
      </c>
      <c r="AE116" s="29">
        <f>IF(B116="","",SUMIFS(Payments!$L$5:$L$304,Payments!$C$5:$C$304,B116))</f>
        <v>0</v>
      </c>
      <c r="AF116" s="29">
        <f>IF(B116="","",SUMIFS(Invoices!$O$5:$O$304,Invoices!$D$5:$D$304,B116,Invoices!$T$5:$T$304,"&lt;&gt;Draft"))</f>
        <v>0</v>
      </c>
      <c r="AG116" s="29">
        <f>IF(B116="","",SUMIFS(Invoices!$S$5:$S$304,Invoices!$D$5:$D$304,B116,Invoices!$T$5:$T$304,"&lt;&gt;Cancelled"))</f>
        <v>0</v>
      </c>
      <c r="AH116" s="29">
        <f>IF(OR(Z116="",Z116=0),"",SUMIFS(Bookings!$AK$5:$AK$404,Bookings!$C$5:$C$404,B116,Bookings!$AM$5:$AM$404,"&lt;&gt;Cancelled")/Z116)</f>
        <v>0</v>
      </c>
      <c r="AI116" s="49">
        <f>IF(B116="","",IF(Z116&gt;=LoyaltyThreshold,"Loyalty discount","Standard"))</f>
        <v>0</v>
      </c>
      <c r="AJ116" s="49">
        <f>IF(B116="","",IF(COUNTIF(Clients!$B$5:$B$254,B116)&gt;1,"Duplicate name",IF(AND(C116&lt;&gt;"",COUNTIF(Clients!$C$5:$C$254,C116)&gt;1),"Duplicate phone","OK")))</f>
        <v>0</v>
      </c>
      <c r="AK116" s="49">
        <f>IF(B116="","",IF(AND(C116&lt;&gt;"",D116&lt;&gt;"",L116&lt;&gt;"",M116&lt;&gt;""),"OK","Add: "&amp;IF(C116="","phone ","")&amp;IF(D116="","email ","")&amp;IF(L116="","date ","")&amp;IF(M116="","status","")))</f>
        <v>0</v>
      </c>
      <c r="AL116" s="49">
        <f>IF(B116="","",IF(AG116&gt;0.5,"Overdue - chase payment",IF(AND(M116="Active",ISNUMBER(AC116),AC116&gt;InactiveDays),"Inactive - win back",IF(AND(M116="Active",S116&lt;&gt;"Signed"),"Action - contract not signed",IF(AND(M116="Prospective",AD116=""),"Action - follow up quote","OK")))))</f>
        <v>0</v>
      </c>
    </row>
    <row r="117" spans="1:38">
      <c r="A117" s="46">
        <f>IF(B117="","",ClientPrefix&amp;TEXT(ROW()-4,"0000"))</f>
        <v>0</v>
      </c>
      <c r="Y117" s="31">
        <f>IF(B117="","",COUNTIF(Pets!$C$5:$C$254,B117))</f>
        <v>0</v>
      </c>
      <c r="Z117" s="31">
        <f>IF(B117="","",COUNTIFS(Bookings!$C$5:$C$404,B117))</f>
        <v>0</v>
      </c>
      <c r="AA117" s="31">
        <f>IF(B117="","",COUNTIFS('Visit Log'!$D$5:$D$404,B117,'Visit Log'!$AE$5:$AE$404,"Completed"))</f>
        <v>0</v>
      </c>
      <c r="AB117" s="21">
        <f>IF(B117="","",IF(SUMPRODUCT(MAX((Bookings!$C$5:$C$404=B117)*(Bookings!$AM$5:$AM$404="Completed")*Bookings!$I$5:$I$404))=0,"",SUMPRODUCT(MAX((Bookings!$C$5:$C$404=B117)*(Bookings!$AM$5:$AM$404="Completed")*Bookings!$I$5:$I$404))))</f>
        <v>0</v>
      </c>
      <c r="AC117" s="31">
        <f>IF(AB117="","",TODAY()-AB117)</f>
        <v>0</v>
      </c>
      <c r="AD117" s="21">
        <f>IF(B117="","",IF(COUNTIFS(Bookings!$C$5:$C$404,B117,Bookings!$I$5:$I$404,"&gt;="&amp;TODAY(),Bookings!$AM$5:$AM$404,"&lt;&gt;Cancelled")=0,"",SUMPRODUCT(MIN(((Bookings!$C$5:$C$404=B117)*(Bookings!$I$5:$I$404&gt;=TODAY())*(Bookings!$AM$5:$AM$404&lt;&gt;"Cancelled"))*Bookings!$I$5:$I$404+(1-((Bookings!$C$5:$C$404=B117)*(Bookings!$I$5:$I$404&gt;=TODAY())*(Bookings!$AM$5:$AM$404&lt;&gt;"Cancelled")))*2958465))))</f>
        <v>0</v>
      </c>
      <c r="AE117" s="29">
        <f>IF(B117="","",SUMIFS(Payments!$L$5:$L$304,Payments!$C$5:$C$304,B117))</f>
        <v>0</v>
      </c>
      <c r="AF117" s="29">
        <f>IF(B117="","",SUMIFS(Invoices!$O$5:$O$304,Invoices!$D$5:$D$304,B117,Invoices!$T$5:$T$304,"&lt;&gt;Draft"))</f>
        <v>0</v>
      </c>
      <c r="AG117" s="29">
        <f>IF(B117="","",SUMIFS(Invoices!$S$5:$S$304,Invoices!$D$5:$D$304,B117,Invoices!$T$5:$T$304,"&lt;&gt;Cancelled"))</f>
        <v>0</v>
      </c>
      <c r="AH117" s="29">
        <f>IF(OR(Z117="",Z117=0),"",SUMIFS(Bookings!$AK$5:$AK$404,Bookings!$C$5:$C$404,B117,Bookings!$AM$5:$AM$404,"&lt;&gt;Cancelled")/Z117)</f>
        <v>0</v>
      </c>
      <c r="AI117" s="49">
        <f>IF(B117="","",IF(Z117&gt;=LoyaltyThreshold,"Loyalty discount","Standard"))</f>
        <v>0</v>
      </c>
      <c r="AJ117" s="49">
        <f>IF(B117="","",IF(COUNTIF(Clients!$B$5:$B$254,B117)&gt;1,"Duplicate name",IF(AND(C117&lt;&gt;"",COUNTIF(Clients!$C$5:$C$254,C117)&gt;1),"Duplicate phone","OK")))</f>
        <v>0</v>
      </c>
      <c r="AK117" s="49">
        <f>IF(B117="","",IF(AND(C117&lt;&gt;"",D117&lt;&gt;"",L117&lt;&gt;"",M117&lt;&gt;""),"OK","Add: "&amp;IF(C117="","phone ","")&amp;IF(D117="","email ","")&amp;IF(L117="","date ","")&amp;IF(M117="","status","")))</f>
        <v>0</v>
      </c>
      <c r="AL117" s="49">
        <f>IF(B117="","",IF(AG117&gt;0.5,"Overdue - chase payment",IF(AND(M117="Active",ISNUMBER(AC117),AC117&gt;InactiveDays),"Inactive - win back",IF(AND(M117="Active",S117&lt;&gt;"Signed"),"Action - contract not signed",IF(AND(M117="Prospective",AD117=""),"Action - follow up quote","OK")))))</f>
        <v>0</v>
      </c>
    </row>
    <row r="118" spans="1:38">
      <c r="A118" s="46">
        <f>IF(B118="","",ClientPrefix&amp;TEXT(ROW()-4,"0000"))</f>
        <v>0</v>
      </c>
      <c r="Y118" s="31">
        <f>IF(B118="","",COUNTIF(Pets!$C$5:$C$254,B118))</f>
        <v>0</v>
      </c>
      <c r="Z118" s="31">
        <f>IF(B118="","",COUNTIFS(Bookings!$C$5:$C$404,B118))</f>
        <v>0</v>
      </c>
      <c r="AA118" s="31">
        <f>IF(B118="","",COUNTIFS('Visit Log'!$D$5:$D$404,B118,'Visit Log'!$AE$5:$AE$404,"Completed"))</f>
        <v>0</v>
      </c>
      <c r="AB118" s="21">
        <f>IF(B118="","",IF(SUMPRODUCT(MAX((Bookings!$C$5:$C$404=B118)*(Bookings!$AM$5:$AM$404="Completed")*Bookings!$I$5:$I$404))=0,"",SUMPRODUCT(MAX((Bookings!$C$5:$C$404=B118)*(Bookings!$AM$5:$AM$404="Completed")*Bookings!$I$5:$I$404))))</f>
        <v>0</v>
      </c>
      <c r="AC118" s="31">
        <f>IF(AB118="","",TODAY()-AB118)</f>
        <v>0</v>
      </c>
      <c r="AD118" s="21">
        <f>IF(B118="","",IF(COUNTIFS(Bookings!$C$5:$C$404,B118,Bookings!$I$5:$I$404,"&gt;="&amp;TODAY(),Bookings!$AM$5:$AM$404,"&lt;&gt;Cancelled")=0,"",SUMPRODUCT(MIN(((Bookings!$C$5:$C$404=B118)*(Bookings!$I$5:$I$404&gt;=TODAY())*(Bookings!$AM$5:$AM$404&lt;&gt;"Cancelled"))*Bookings!$I$5:$I$404+(1-((Bookings!$C$5:$C$404=B118)*(Bookings!$I$5:$I$404&gt;=TODAY())*(Bookings!$AM$5:$AM$404&lt;&gt;"Cancelled")))*2958465))))</f>
        <v>0</v>
      </c>
      <c r="AE118" s="29">
        <f>IF(B118="","",SUMIFS(Payments!$L$5:$L$304,Payments!$C$5:$C$304,B118))</f>
        <v>0</v>
      </c>
      <c r="AF118" s="29">
        <f>IF(B118="","",SUMIFS(Invoices!$O$5:$O$304,Invoices!$D$5:$D$304,B118,Invoices!$T$5:$T$304,"&lt;&gt;Draft"))</f>
        <v>0</v>
      </c>
      <c r="AG118" s="29">
        <f>IF(B118="","",SUMIFS(Invoices!$S$5:$S$304,Invoices!$D$5:$D$304,B118,Invoices!$T$5:$T$304,"&lt;&gt;Cancelled"))</f>
        <v>0</v>
      </c>
      <c r="AH118" s="29">
        <f>IF(OR(Z118="",Z118=0),"",SUMIFS(Bookings!$AK$5:$AK$404,Bookings!$C$5:$C$404,B118,Bookings!$AM$5:$AM$404,"&lt;&gt;Cancelled")/Z118)</f>
        <v>0</v>
      </c>
      <c r="AI118" s="49">
        <f>IF(B118="","",IF(Z118&gt;=LoyaltyThreshold,"Loyalty discount","Standard"))</f>
        <v>0</v>
      </c>
      <c r="AJ118" s="49">
        <f>IF(B118="","",IF(COUNTIF(Clients!$B$5:$B$254,B118)&gt;1,"Duplicate name",IF(AND(C118&lt;&gt;"",COUNTIF(Clients!$C$5:$C$254,C118)&gt;1),"Duplicate phone","OK")))</f>
        <v>0</v>
      </c>
      <c r="AK118" s="49">
        <f>IF(B118="","",IF(AND(C118&lt;&gt;"",D118&lt;&gt;"",L118&lt;&gt;"",M118&lt;&gt;""),"OK","Add: "&amp;IF(C118="","phone ","")&amp;IF(D118="","email ","")&amp;IF(L118="","date ","")&amp;IF(M118="","status","")))</f>
        <v>0</v>
      </c>
      <c r="AL118" s="49">
        <f>IF(B118="","",IF(AG118&gt;0.5,"Overdue - chase payment",IF(AND(M118="Active",ISNUMBER(AC118),AC118&gt;InactiveDays),"Inactive - win back",IF(AND(M118="Active",S118&lt;&gt;"Signed"),"Action - contract not signed",IF(AND(M118="Prospective",AD118=""),"Action - follow up quote","OK")))))</f>
        <v>0</v>
      </c>
    </row>
    <row r="119" spans="1:38">
      <c r="A119" s="46">
        <f>IF(B119="","",ClientPrefix&amp;TEXT(ROW()-4,"0000"))</f>
        <v>0</v>
      </c>
      <c r="Y119" s="31">
        <f>IF(B119="","",COUNTIF(Pets!$C$5:$C$254,B119))</f>
        <v>0</v>
      </c>
      <c r="Z119" s="31">
        <f>IF(B119="","",COUNTIFS(Bookings!$C$5:$C$404,B119))</f>
        <v>0</v>
      </c>
      <c r="AA119" s="31">
        <f>IF(B119="","",COUNTIFS('Visit Log'!$D$5:$D$404,B119,'Visit Log'!$AE$5:$AE$404,"Completed"))</f>
        <v>0</v>
      </c>
      <c r="AB119" s="21">
        <f>IF(B119="","",IF(SUMPRODUCT(MAX((Bookings!$C$5:$C$404=B119)*(Bookings!$AM$5:$AM$404="Completed")*Bookings!$I$5:$I$404))=0,"",SUMPRODUCT(MAX((Bookings!$C$5:$C$404=B119)*(Bookings!$AM$5:$AM$404="Completed")*Bookings!$I$5:$I$404))))</f>
        <v>0</v>
      </c>
      <c r="AC119" s="31">
        <f>IF(AB119="","",TODAY()-AB119)</f>
        <v>0</v>
      </c>
      <c r="AD119" s="21">
        <f>IF(B119="","",IF(COUNTIFS(Bookings!$C$5:$C$404,B119,Bookings!$I$5:$I$404,"&gt;="&amp;TODAY(),Bookings!$AM$5:$AM$404,"&lt;&gt;Cancelled")=0,"",SUMPRODUCT(MIN(((Bookings!$C$5:$C$404=B119)*(Bookings!$I$5:$I$404&gt;=TODAY())*(Bookings!$AM$5:$AM$404&lt;&gt;"Cancelled"))*Bookings!$I$5:$I$404+(1-((Bookings!$C$5:$C$404=B119)*(Bookings!$I$5:$I$404&gt;=TODAY())*(Bookings!$AM$5:$AM$404&lt;&gt;"Cancelled")))*2958465))))</f>
        <v>0</v>
      </c>
      <c r="AE119" s="29">
        <f>IF(B119="","",SUMIFS(Payments!$L$5:$L$304,Payments!$C$5:$C$304,B119))</f>
        <v>0</v>
      </c>
      <c r="AF119" s="29">
        <f>IF(B119="","",SUMIFS(Invoices!$O$5:$O$304,Invoices!$D$5:$D$304,B119,Invoices!$T$5:$T$304,"&lt;&gt;Draft"))</f>
        <v>0</v>
      </c>
      <c r="AG119" s="29">
        <f>IF(B119="","",SUMIFS(Invoices!$S$5:$S$304,Invoices!$D$5:$D$304,B119,Invoices!$T$5:$T$304,"&lt;&gt;Cancelled"))</f>
        <v>0</v>
      </c>
      <c r="AH119" s="29">
        <f>IF(OR(Z119="",Z119=0),"",SUMIFS(Bookings!$AK$5:$AK$404,Bookings!$C$5:$C$404,B119,Bookings!$AM$5:$AM$404,"&lt;&gt;Cancelled")/Z119)</f>
        <v>0</v>
      </c>
      <c r="AI119" s="49">
        <f>IF(B119="","",IF(Z119&gt;=LoyaltyThreshold,"Loyalty discount","Standard"))</f>
        <v>0</v>
      </c>
      <c r="AJ119" s="49">
        <f>IF(B119="","",IF(COUNTIF(Clients!$B$5:$B$254,B119)&gt;1,"Duplicate name",IF(AND(C119&lt;&gt;"",COUNTIF(Clients!$C$5:$C$254,C119)&gt;1),"Duplicate phone","OK")))</f>
        <v>0</v>
      </c>
      <c r="AK119" s="49">
        <f>IF(B119="","",IF(AND(C119&lt;&gt;"",D119&lt;&gt;"",L119&lt;&gt;"",M119&lt;&gt;""),"OK","Add: "&amp;IF(C119="","phone ","")&amp;IF(D119="","email ","")&amp;IF(L119="","date ","")&amp;IF(M119="","status","")))</f>
        <v>0</v>
      </c>
      <c r="AL119" s="49">
        <f>IF(B119="","",IF(AG119&gt;0.5,"Overdue - chase payment",IF(AND(M119="Active",ISNUMBER(AC119),AC119&gt;InactiveDays),"Inactive - win back",IF(AND(M119="Active",S119&lt;&gt;"Signed"),"Action - contract not signed",IF(AND(M119="Prospective",AD119=""),"Action - follow up quote","OK")))))</f>
        <v>0</v>
      </c>
    </row>
    <row r="120" spans="1:38">
      <c r="A120" s="46">
        <f>IF(B120="","",ClientPrefix&amp;TEXT(ROW()-4,"0000"))</f>
        <v>0</v>
      </c>
      <c r="Y120" s="31">
        <f>IF(B120="","",COUNTIF(Pets!$C$5:$C$254,B120))</f>
        <v>0</v>
      </c>
      <c r="Z120" s="31">
        <f>IF(B120="","",COUNTIFS(Bookings!$C$5:$C$404,B120))</f>
        <v>0</v>
      </c>
      <c r="AA120" s="31">
        <f>IF(B120="","",COUNTIFS('Visit Log'!$D$5:$D$404,B120,'Visit Log'!$AE$5:$AE$404,"Completed"))</f>
        <v>0</v>
      </c>
      <c r="AB120" s="21">
        <f>IF(B120="","",IF(SUMPRODUCT(MAX((Bookings!$C$5:$C$404=B120)*(Bookings!$AM$5:$AM$404="Completed")*Bookings!$I$5:$I$404))=0,"",SUMPRODUCT(MAX((Bookings!$C$5:$C$404=B120)*(Bookings!$AM$5:$AM$404="Completed")*Bookings!$I$5:$I$404))))</f>
        <v>0</v>
      </c>
      <c r="AC120" s="31">
        <f>IF(AB120="","",TODAY()-AB120)</f>
        <v>0</v>
      </c>
      <c r="AD120" s="21">
        <f>IF(B120="","",IF(COUNTIFS(Bookings!$C$5:$C$404,B120,Bookings!$I$5:$I$404,"&gt;="&amp;TODAY(),Bookings!$AM$5:$AM$404,"&lt;&gt;Cancelled")=0,"",SUMPRODUCT(MIN(((Bookings!$C$5:$C$404=B120)*(Bookings!$I$5:$I$404&gt;=TODAY())*(Bookings!$AM$5:$AM$404&lt;&gt;"Cancelled"))*Bookings!$I$5:$I$404+(1-((Bookings!$C$5:$C$404=B120)*(Bookings!$I$5:$I$404&gt;=TODAY())*(Bookings!$AM$5:$AM$404&lt;&gt;"Cancelled")))*2958465))))</f>
        <v>0</v>
      </c>
      <c r="AE120" s="29">
        <f>IF(B120="","",SUMIFS(Payments!$L$5:$L$304,Payments!$C$5:$C$304,B120))</f>
        <v>0</v>
      </c>
      <c r="AF120" s="29">
        <f>IF(B120="","",SUMIFS(Invoices!$O$5:$O$304,Invoices!$D$5:$D$304,B120,Invoices!$T$5:$T$304,"&lt;&gt;Draft"))</f>
        <v>0</v>
      </c>
      <c r="AG120" s="29">
        <f>IF(B120="","",SUMIFS(Invoices!$S$5:$S$304,Invoices!$D$5:$D$304,B120,Invoices!$T$5:$T$304,"&lt;&gt;Cancelled"))</f>
        <v>0</v>
      </c>
      <c r="AH120" s="29">
        <f>IF(OR(Z120="",Z120=0),"",SUMIFS(Bookings!$AK$5:$AK$404,Bookings!$C$5:$C$404,B120,Bookings!$AM$5:$AM$404,"&lt;&gt;Cancelled")/Z120)</f>
        <v>0</v>
      </c>
      <c r="AI120" s="49">
        <f>IF(B120="","",IF(Z120&gt;=LoyaltyThreshold,"Loyalty discount","Standard"))</f>
        <v>0</v>
      </c>
      <c r="AJ120" s="49">
        <f>IF(B120="","",IF(COUNTIF(Clients!$B$5:$B$254,B120)&gt;1,"Duplicate name",IF(AND(C120&lt;&gt;"",COUNTIF(Clients!$C$5:$C$254,C120)&gt;1),"Duplicate phone","OK")))</f>
        <v>0</v>
      </c>
      <c r="AK120" s="49">
        <f>IF(B120="","",IF(AND(C120&lt;&gt;"",D120&lt;&gt;"",L120&lt;&gt;"",M120&lt;&gt;""),"OK","Add: "&amp;IF(C120="","phone ","")&amp;IF(D120="","email ","")&amp;IF(L120="","date ","")&amp;IF(M120="","status","")))</f>
        <v>0</v>
      </c>
      <c r="AL120" s="49">
        <f>IF(B120="","",IF(AG120&gt;0.5,"Overdue - chase payment",IF(AND(M120="Active",ISNUMBER(AC120),AC120&gt;InactiveDays),"Inactive - win back",IF(AND(M120="Active",S120&lt;&gt;"Signed"),"Action - contract not signed",IF(AND(M120="Prospective",AD120=""),"Action - follow up quote","OK")))))</f>
        <v>0</v>
      </c>
    </row>
    <row r="121" spans="1:38">
      <c r="A121" s="46">
        <f>IF(B121="","",ClientPrefix&amp;TEXT(ROW()-4,"0000"))</f>
        <v>0</v>
      </c>
      <c r="Y121" s="31">
        <f>IF(B121="","",COUNTIF(Pets!$C$5:$C$254,B121))</f>
        <v>0</v>
      </c>
      <c r="Z121" s="31">
        <f>IF(B121="","",COUNTIFS(Bookings!$C$5:$C$404,B121))</f>
        <v>0</v>
      </c>
      <c r="AA121" s="31">
        <f>IF(B121="","",COUNTIFS('Visit Log'!$D$5:$D$404,B121,'Visit Log'!$AE$5:$AE$404,"Completed"))</f>
        <v>0</v>
      </c>
      <c r="AB121" s="21">
        <f>IF(B121="","",IF(SUMPRODUCT(MAX((Bookings!$C$5:$C$404=B121)*(Bookings!$AM$5:$AM$404="Completed")*Bookings!$I$5:$I$404))=0,"",SUMPRODUCT(MAX((Bookings!$C$5:$C$404=B121)*(Bookings!$AM$5:$AM$404="Completed")*Bookings!$I$5:$I$404))))</f>
        <v>0</v>
      </c>
      <c r="AC121" s="31">
        <f>IF(AB121="","",TODAY()-AB121)</f>
        <v>0</v>
      </c>
      <c r="AD121" s="21">
        <f>IF(B121="","",IF(COUNTIFS(Bookings!$C$5:$C$404,B121,Bookings!$I$5:$I$404,"&gt;="&amp;TODAY(),Bookings!$AM$5:$AM$404,"&lt;&gt;Cancelled")=0,"",SUMPRODUCT(MIN(((Bookings!$C$5:$C$404=B121)*(Bookings!$I$5:$I$404&gt;=TODAY())*(Bookings!$AM$5:$AM$404&lt;&gt;"Cancelled"))*Bookings!$I$5:$I$404+(1-((Bookings!$C$5:$C$404=B121)*(Bookings!$I$5:$I$404&gt;=TODAY())*(Bookings!$AM$5:$AM$404&lt;&gt;"Cancelled")))*2958465))))</f>
        <v>0</v>
      </c>
      <c r="AE121" s="29">
        <f>IF(B121="","",SUMIFS(Payments!$L$5:$L$304,Payments!$C$5:$C$304,B121))</f>
        <v>0</v>
      </c>
      <c r="AF121" s="29">
        <f>IF(B121="","",SUMIFS(Invoices!$O$5:$O$304,Invoices!$D$5:$D$304,B121,Invoices!$T$5:$T$304,"&lt;&gt;Draft"))</f>
        <v>0</v>
      </c>
      <c r="AG121" s="29">
        <f>IF(B121="","",SUMIFS(Invoices!$S$5:$S$304,Invoices!$D$5:$D$304,B121,Invoices!$T$5:$T$304,"&lt;&gt;Cancelled"))</f>
        <v>0</v>
      </c>
      <c r="AH121" s="29">
        <f>IF(OR(Z121="",Z121=0),"",SUMIFS(Bookings!$AK$5:$AK$404,Bookings!$C$5:$C$404,B121,Bookings!$AM$5:$AM$404,"&lt;&gt;Cancelled")/Z121)</f>
        <v>0</v>
      </c>
      <c r="AI121" s="49">
        <f>IF(B121="","",IF(Z121&gt;=LoyaltyThreshold,"Loyalty discount","Standard"))</f>
        <v>0</v>
      </c>
      <c r="AJ121" s="49">
        <f>IF(B121="","",IF(COUNTIF(Clients!$B$5:$B$254,B121)&gt;1,"Duplicate name",IF(AND(C121&lt;&gt;"",COUNTIF(Clients!$C$5:$C$254,C121)&gt;1),"Duplicate phone","OK")))</f>
        <v>0</v>
      </c>
      <c r="AK121" s="49">
        <f>IF(B121="","",IF(AND(C121&lt;&gt;"",D121&lt;&gt;"",L121&lt;&gt;"",M121&lt;&gt;""),"OK","Add: "&amp;IF(C121="","phone ","")&amp;IF(D121="","email ","")&amp;IF(L121="","date ","")&amp;IF(M121="","status","")))</f>
        <v>0</v>
      </c>
      <c r="AL121" s="49">
        <f>IF(B121="","",IF(AG121&gt;0.5,"Overdue - chase payment",IF(AND(M121="Active",ISNUMBER(AC121),AC121&gt;InactiveDays),"Inactive - win back",IF(AND(M121="Active",S121&lt;&gt;"Signed"),"Action - contract not signed",IF(AND(M121="Prospective",AD121=""),"Action - follow up quote","OK")))))</f>
        <v>0</v>
      </c>
    </row>
    <row r="122" spans="1:38">
      <c r="A122" s="46">
        <f>IF(B122="","",ClientPrefix&amp;TEXT(ROW()-4,"0000"))</f>
        <v>0</v>
      </c>
      <c r="Y122" s="31">
        <f>IF(B122="","",COUNTIF(Pets!$C$5:$C$254,B122))</f>
        <v>0</v>
      </c>
      <c r="Z122" s="31">
        <f>IF(B122="","",COUNTIFS(Bookings!$C$5:$C$404,B122))</f>
        <v>0</v>
      </c>
      <c r="AA122" s="31">
        <f>IF(B122="","",COUNTIFS('Visit Log'!$D$5:$D$404,B122,'Visit Log'!$AE$5:$AE$404,"Completed"))</f>
        <v>0</v>
      </c>
      <c r="AB122" s="21">
        <f>IF(B122="","",IF(SUMPRODUCT(MAX((Bookings!$C$5:$C$404=B122)*(Bookings!$AM$5:$AM$404="Completed")*Bookings!$I$5:$I$404))=0,"",SUMPRODUCT(MAX((Bookings!$C$5:$C$404=B122)*(Bookings!$AM$5:$AM$404="Completed")*Bookings!$I$5:$I$404))))</f>
        <v>0</v>
      </c>
      <c r="AC122" s="31">
        <f>IF(AB122="","",TODAY()-AB122)</f>
        <v>0</v>
      </c>
      <c r="AD122" s="21">
        <f>IF(B122="","",IF(COUNTIFS(Bookings!$C$5:$C$404,B122,Bookings!$I$5:$I$404,"&gt;="&amp;TODAY(),Bookings!$AM$5:$AM$404,"&lt;&gt;Cancelled")=0,"",SUMPRODUCT(MIN(((Bookings!$C$5:$C$404=B122)*(Bookings!$I$5:$I$404&gt;=TODAY())*(Bookings!$AM$5:$AM$404&lt;&gt;"Cancelled"))*Bookings!$I$5:$I$404+(1-((Bookings!$C$5:$C$404=B122)*(Bookings!$I$5:$I$404&gt;=TODAY())*(Bookings!$AM$5:$AM$404&lt;&gt;"Cancelled")))*2958465))))</f>
        <v>0</v>
      </c>
      <c r="AE122" s="29">
        <f>IF(B122="","",SUMIFS(Payments!$L$5:$L$304,Payments!$C$5:$C$304,B122))</f>
        <v>0</v>
      </c>
      <c r="AF122" s="29">
        <f>IF(B122="","",SUMIFS(Invoices!$O$5:$O$304,Invoices!$D$5:$D$304,B122,Invoices!$T$5:$T$304,"&lt;&gt;Draft"))</f>
        <v>0</v>
      </c>
      <c r="AG122" s="29">
        <f>IF(B122="","",SUMIFS(Invoices!$S$5:$S$304,Invoices!$D$5:$D$304,B122,Invoices!$T$5:$T$304,"&lt;&gt;Cancelled"))</f>
        <v>0</v>
      </c>
      <c r="AH122" s="29">
        <f>IF(OR(Z122="",Z122=0),"",SUMIFS(Bookings!$AK$5:$AK$404,Bookings!$C$5:$C$404,B122,Bookings!$AM$5:$AM$404,"&lt;&gt;Cancelled")/Z122)</f>
        <v>0</v>
      </c>
      <c r="AI122" s="49">
        <f>IF(B122="","",IF(Z122&gt;=LoyaltyThreshold,"Loyalty discount","Standard"))</f>
        <v>0</v>
      </c>
      <c r="AJ122" s="49">
        <f>IF(B122="","",IF(COUNTIF(Clients!$B$5:$B$254,B122)&gt;1,"Duplicate name",IF(AND(C122&lt;&gt;"",COUNTIF(Clients!$C$5:$C$254,C122)&gt;1),"Duplicate phone","OK")))</f>
        <v>0</v>
      </c>
      <c r="AK122" s="49">
        <f>IF(B122="","",IF(AND(C122&lt;&gt;"",D122&lt;&gt;"",L122&lt;&gt;"",M122&lt;&gt;""),"OK","Add: "&amp;IF(C122="","phone ","")&amp;IF(D122="","email ","")&amp;IF(L122="","date ","")&amp;IF(M122="","status","")))</f>
        <v>0</v>
      </c>
      <c r="AL122" s="49">
        <f>IF(B122="","",IF(AG122&gt;0.5,"Overdue - chase payment",IF(AND(M122="Active",ISNUMBER(AC122),AC122&gt;InactiveDays),"Inactive - win back",IF(AND(M122="Active",S122&lt;&gt;"Signed"),"Action - contract not signed",IF(AND(M122="Prospective",AD122=""),"Action - follow up quote","OK")))))</f>
        <v>0</v>
      </c>
    </row>
    <row r="123" spans="1:38">
      <c r="A123" s="46">
        <f>IF(B123="","",ClientPrefix&amp;TEXT(ROW()-4,"0000"))</f>
        <v>0</v>
      </c>
      <c r="Y123" s="31">
        <f>IF(B123="","",COUNTIF(Pets!$C$5:$C$254,B123))</f>
        <v>0</v>
      </c>
      <c r="Z123" s="31">
        <f>IF(B123="","",COUNTIFS(Bookings!$C$5:$C$404,B123))</f>
        <v>0</v>
      </c>
      <c r="AA123" s="31">
        <f>IF(B123="","",COUNTIFS('Visit Log'!$D$5:$D$404,B123,'Visit Log'!$AE$5:$AE$404,"Completed"))</f>
        <v>0</v>
      </c>
      <c r="AB123" s="21">
        <f>IF(B123="","",IF(SUMPRODUCT(MAX((Bookings!$C$5:$C$404=B123)*(Bookings!$AM$5:$AM$404="Completed")*Bookings!$I$5:$I$404))=0,"",SUMPRODUCT(MAX((Bookings!$C$5:$C$404=B123)*(Bookings!$AM$5:$AM$404="Completed")*Bookings!$I$5:$I$404))))</f>
        <v>0</v>
      </c>
      <c r="AC123" s="31">
        <f>IF(AB123="","",TODAY()-AB123)</f>
        <v>0</v>
      </c>
      <c r="AD123" s="21">
        <f>IF(B123="","",IF(COUNTIFS(Bookings!$C$5:$C$404,B123,Bookings!$I$5:$I$404,"&gt;="&amp;TODAY(),Bookings!$AM$5:$AM$404,"&lt;&gt;Cancelled")=0,"",SUMPRODUCT(MIN(((Bookings!$C$5:$C$404=B123)*(Bookings!$I$5:$I$404&gt;=TODAY())*(Bookings!$AM$5:$AM$404&lt;&gt;"Cancelled"))*Bookings!$I$5:$I$404+(1-((Bookings!$C$5:$C$404=B123)*(Bookings!$I$5:$I$404&gt;=TODAY())*(Bookings!$AM$5:$AM$404&lt;&gt;"Cancelled")))*2958465))))</f>
        <v>0</v>
      </c>
      <c r="AE123" s="29">
        <f>IF(B123="","",SUMIFS(Payments!$L$5:$L$304,Payments!$C$5:$C$304,B123))</f>
        <v>0</v>
      </c>
      <c r="AF123" s="29">
        <f>IF(B123="","",SUMIFS(Invoices!$O$5:$O$304,Invoices!$D$5:$D$304,B123,Invoices!$T$5:$T$304,"&lt;&gt;Draft"))</f>
        <v>0</v>
      </c>
      <c r="AG123" s="29">
        <f>IF(B123="","",SUMIFS(Invoices!$S$5:$S$304,Invoices!$D$5:$D$304,B123,Invoices!$T$5:$T$304,"&lt;&gt;Cancelled"))</f>
        <v>0</v>
      </c>
      <c r="AH123" s="29">
        <f>IF(OR(Z123="",Z123=0),"",SUMIFS(Bookings!$AK$5:$AK$404,Bookings!$C$5:$C$404,B123,Bookings!$AM$5:$AM$404,"&lt;&gt;Cancelled")/Z123)</f>
        <v>0</v>
      </c>
      <c r="AI123" s="49">
        <f>IF(B123="","",IF(Z123&gt;=LoyaltyThreshold,"Loyalty discount","Standard"))</f>
        <v>0</v>
      </c>
      <c r="AJ123" s="49">
        <f>IF(B123="","",IF(COUNTIF(Clients!$B$5:$B$254,B123)&gt;1,"Duplicate name",IF(AND(C123&lt;&gt;"",COUNTIF(Clients!$C$5:$C$254,C123)&gt;1),"Duplicate phone","OK")))</f>
        <v>0</v>
      </c>
      <c r="AK123" s="49">
        <f>IF(B123="","",IF(AND(C123&lt;&gt;"",D123&lt;&gt;"",L123&lt;&gt;"",M123&lt;&gt;""),"OK","Add: "&amp;IF(C123="","phone ","")&amp;IF(D123="","email ","")&amp;IF(L123="","date ","")&amp;IF(M123="","status","")))</f>
        <v>0</v>
      </c>
      <c r="AL123" s="49">
        <f>IF(B123="","",IF(AG123&gt;0.5,"Overdue - chase payment",IF(AND(M123="Active",ISNUMBER(AC123),AC123&gt;InactiveDays),"Inactive - win back",IF(AND(M123="Active",S123&lt;&gt;"Signed"),"Action - contract not signed",IF(AND(M123="Prospective",AD123=""),"Action - follow up quote","OK")))))</f>
        <v>0</v>
      </c>
    </row>
    <row r="124" spans="1:38">
      <c r="A124" s="46">
        <f>IF(B124="","",ClientPrefix&amp;TEXT(ROW()-4,"0000"))</f>
        <v>0</v>
      </c>
      <c r="Y124" s="31">
        <f>IF(B124="","",COUNTIF(Pets!$C$5:$C$254,B124))</f>
        <v>0</v>
      </c>
      <c r="Z124" s="31">
        <f>IF(B124="","",COUNTIFS(Bookings!$C$5:$C$404,B124))</f>
        <v>0</v>
      </c>
      <c r="AA124" s="31">
        <f>IF(B124="","",COUNTIFS('Visit Log'!$D$5:$D$404,B124,'Visit Log'!$AE$5:$AE$404,"Completed"))</f>
        <v>0</v>
      </c>
      <c r="AB124" s="21">
        <f>IF(B124="","",IF(SUMPRODUCT(MAX((Bookings!$C$5:$C$404=B124)*(Bookings!$AM$5:$AM$404="Completed")*Bookings!$I$5:$I$404))=0,"",SUMPRODUCT(MAX((Bookings!$C$5:$C$404=B124)*(Bookings!$AM$5:$AM$404="Completed")*Bookings!$I$5:$I$404))))</f>
        <v>0</v>
      </c>
      <c r="AC124" s="31">
        <f>IF(AB124="","",TODAY()-AB124)</f>
        <v>0</v>
      </c>
      <c r="AD124" s="21">
        <f>IF(B124="","",IF(COUNTIFS(Bookings!$C$5:$C$404,B124,Bookings!$I$5:$I$404,"&gt;="&amp;TODAY(),Bookings!$AM$5:$AM$404,"&lt;&gt;Cancelled")=0,"",SUMPRODUCT(MIN(((Bookings!$C$5:$C$404=B124)*(Bookings!$I$5:$I$404&gt;=TODAY())*(Bookings!$AM$5:$AM$404&lt;&gt;"Cancelled"))*Bookings!$I$5:$I$404+(1-((Bookings!$C$5:$C$404=B124)*(Bookings!$I$5:$I$404&gt;=TODAY())*(Bookings!$AM$5:$AM$404&lt;&gt;"Cancelled")))*2958465))))</f>
        <v>0</v>
      </c>
      <c r="AE124" s="29">
        <f>IF(B124="","",SUMIFS(Payments!$L$5:$L$304,Payments!$C$5:$C$304,B124))</f>
        <v>0</v>
      </c>
      <c r="AF124" s="29">
        <f>IF(B124="","",SUMIFS(Invoices!$O$5:$O$304,Invoices!$D$5:$D$304,B124,Invoices!$T$5:$T$304,"&lt;&gt;Draft"))</f>
        <v>0</v>
      </c>
      <c r="AG124" s="29">
        <f>IF(B124="","",SUMIFS(Invoices!$S$5:$S$304,Invoices!$D$5:$D$304,B124,Invoices!$T$5:$T$304,"&lt;&gt;Cancelled"))</f>
        <v>0</v>
      </c>
      <c r="AH124" s="29">
        <f>IF(OR(Z124="",Z124=0),"",SUMIFS(Bookings!$AK$5:$AK$404,Bookings!$C$5:$C$404,B124,Bookings!$AM$5:$AM$404,"&lt;&gt;Cancelled")/Z124)</f>
        <v>0</v>
      </c>
      <c r="AI124" s="49">
        <f>IF(B124="","",IF(Z124&gt;=LoyaltyThreshold,"Loyalty discount","Standard"))</f>
        <v>0</v>
      </c>
      <c r="AJ124" s="49">
        <f>IF(B124="","",IF(COUNTIF(Clients!$B$5:$B$254,B124)&gt;1,"Duplicate name",IF(AND(C124&lt;&gt;"",COUNTIF(Clients!$C$5:$C$254,C124)&gt;1),"Duplicate phone","OK")))</f>
        <v>0</v>
      </c>
      <c r="AK124" s="49">
        <f>IF(B124="","",IF(AND(C124&lt;&gt;"",D124&lt;&gt;"",L124&lt;&gt;"",M124&lt;&gt;""),"OK","Add: "&amp;IF(C124="","phone ","")&amp;IF(D124="","email ","")&amp;IF(L124="","date ","")&amp;IF(M124="","status","")))</f>
        <v>0</v>
      </c>
      <c r="AL124" s="49">
        <f>IF(B124="","",IF(AG124&gt;0.5,"Overdue - chase payment",IF(AND(M124="Active",ISNUMBER(AC124),AC124&gt;InactiveDays),"Inactive - win back",IF(AND(M124="Active",S124&lt;&gt;"Signed"),"Action - contract not signed",IF(AND(M124="Prospective",AD124=""),"Action - follow up quote","OK")))))</f>
        <v>0</v>
      </c>
    </row>
    <row r="125" spans="1:38">
      <c r="A125" s="46">
        <f>IF(B125="","",ClientPrefix&amp;TEXT(ROW()-4,"0000"))</f>
        <v>0</v>
      </c>
      <c r="Y125" s="31">
        <f>IF(B125="","",COUNTIF(Pets!$C$5:$C$254,B125))</f>
        <v>0</v>
      </c>
      <c r="Z125" s="31">
        <f>IF(B125="","",COUNTIFS(Bookings!$C$5:$C$404,B125))</f>
        <v>0</v>
      </c>
      <c r="AA125" s="31">
        <f>IF(B125="","",COUNTIFS('Visit Log'!$D$5:$D$404,B125,'Visit Log'!$AE$5:$AE$404,"Completed"))</f>
        <v>0</v>
      </c>
      <c r="AB125" s="21">
        <f>IF(B125="","",IF(SUMPRODUCT(MAX((Bookings!$C$5:$C$404=B125)*(Bookings!$AM$5:$AM$404="Completed")*Bookings!$I$5:$I$404))=0,"",SUMPRODUCT(MAX((Bookings!$C$5:$C$404=B125)*(Bookings!$AM$5:$AM$404="Completed")*Bookings!$I$5:$I$404))))</f>
        <v>0</v>
      </c>
      <c r="AC125" s="31">
        <f>IF(AB125="","",TODAY()-AB125)</f>
        <v>0</v>
      </c>
      <c r="AD125" s="21">
        <f>IF(B125="","",IF(COUNTIFS(Bookings!$C$5:$C$404,B125,Bookings!$I$5:$I$404,"&gt;="&amp;TODAY(),Bookings!$AM$5:$AM$404,"&lt;&gt;Cancelled")=0,"",SUMPRODUCT(MIN(((Bookings!$C$5:$C$404=B125)*(Bookings!$I$5:$I$404&gt;=TODAY())*(Bookings!$AM$5:$AM$404&lt;&gt;"Cancelled"))*Bookings!$I$5:$I$404+(1-((Bookings!$C$5:$C$404=B125)*(Bookings!$I$5:$I$404&gt;=TODAY())*(Bookings!$AM$5:$AM$404&lt;&gt;"Cancelled")))*2958465))))</f>
        <v>0</v>
      </c>
      <c r="AE125" s="29">
        <f>IF(B125="","",SUMIFS(Payments!$L$5:$L$304,Payments!$C$5:$C$304,B125))</f>
        <v>0</v>
      </c>
      <c r="AF125" s="29">
        <f>IF(B125="","",SUMIFS(Invoices!$O$5:$O$304,Invoices!$D$5:$D$304,B125,Invoices!$T$5:$T$304,"&lt;&gt;Draft"))</f>
        <v>0</v>
      </c>
      <c r="AG125" s="29">
        <f>IF(B125="","",SUMIFS(Invoices!$S$5:$S$304,Invoices!$D$5:$D$304,B125,Invoices!$T$5:$T$304,"&lt;&gt;Cancelled"))</f>
        <v>0</v>
      </c>
      <c r="AH125" s="29">
        <f>IF(OR(Z125="",Z125=0),"",SUMIFS(Bookings!$AK$5:$AK$404,Bookings!$C$5:$C$404,B125,Bookings!$AM$5:$AM$404,"&lt;&gt;Cancelled")/Z125)</f>
        <v>0</v>
      </c>
      <c r="AI125" s="49">
        <f>IF(B125="","",IF(Z125&gt;=LoyaltyThreshold,"Loyalty discount","Standard"))</f>
        <v>0</v>
      </c>
      <c r="AJ125" s="49">
        <f>IF(B125="","",IF(COUNTIF(Clients!$B$5:$B$254,B125)&gt;1,"Duplicate name",IF(AND(C125&lt;&gt;"",COUNTIF(Clients!$C$5:$C$254,C125)&gt;1),"Duplicate phone","OK")))</f>
        <v>0</v>
      </c>
      <c r="AK125" s="49">
        <f>IF(B125="","",IF(AND(C125&lt;&gt;"",D125&lt;&gt;"",L125&lt;&gt;"",M125&lt;&gt;""),"OK","Add: "&amp;IF(C125="","phone ","")&amp;IF(D125="","email ","")&amp;IF(L125="","date ","")&amp;IF(M125="","status","")))</f>
        <v>0</v>
      </c>
      <c r="AL125" s="49">
        <f>IF(B125="","",IF(AG125&gt;0.5,"Overdue - chase payment",IF(AND(M125="Active",ISNUMBER(AC125),AC125&gt;InactiveDays),"Inactive - win back",IF(AND(M125="Active",S125&lt;&gt;"Signed"),"Action - contract not signed",IF(AND(M125="Prospective",AD125=""),"Action - follow up quote","OK")))))</f>
        <v>0</v>
      </c>
    </row>
    <row r="126" spans="1:38">
      <c r="A126" s="46">
        <f>IF(B126="","",ClientPrefix&amp;TEXT(ROW()-4,"0000"))</f>
        <v>0</v>
      </c>
      <c r="Y126" s="31">
        <f>IF(B126="","",COUNTIF(Pets!$C$5:$C$254,B126))</f>
        <v>0</v>
      </c>
      <c r="Z126" s="31">
        <f>IF(B126="","",COUNTIFS(Bookings!$C$5:$C$404,B126))</f>
        <v>0</v>
      </c>
      <c r="AA126" s="31">
        <f>IF(B126="","",COUNTIFS('Visit Log'!$D$5:$D$404,B126,'Visit Log'!$AE$5:$AE$404,"Completed"))</f>
        <v>0</v>
      </c>
      <c r="AB126" s="21">
        <f>IF(B126="","",IF(SUMPRODUCT(MAX((Bookings!$C$5:$C$404=B126)*(Bookings!$AM$5:$AM$404="Completed")*Bookings!$I$5:$I$404))=0,"",SUMPRODUCT(MAX((Bookings!$C$5:$C$404=B126)*(Bookings!$AM$5:$AM$404="Completed")*Bookings!$I$5:$I$404))))</f>
        <v>0</v>
      </c>
      <c r="AC126" s="31">
        <f>IF(AB126="","",TODAY()-AB126)</f>
        <v>0</v>
      </c>
      <c r="AD126" s="21">
        <f>IF(B126="","",IF(COUNTIFS(Bookings!$C$5:$C$404,B126,Bookings!$I$5:$I$404,"&gt;="&amp;TODAY(),Bookings!$AM$5:$AM$404,"&lt;&gt;Cancelled")=0,"",SUMPRODUCT(MIN(((Bookings!$C$5:$C$404=B126)*(Bookings!$I$5:$I$404&gt;=TODAY())*(Bookings!$AM$5:$AM$404&lt;&gt;"Cancelled"))*Bookings!$I$5:$I$404+(1-((Bookings!$C$5:$C$404=B126)*(Bookings!$I$5:$I$404&gt;=TODAY())*(Bookings!$AM$5:$AM$404&lt;&gt;"Cancelled")))*2958465))))</f>
        <v>0</v>
      </c>
      <c r="AE126" s="29">
        <f>IF(B126="","",SUMIFS(Payments!$L$5:$L$304,Payments!$C$5:$C$304,B126))</f>
        <v>0</v>
      </c>
      <c r="AF126" s="29">
        <f>IF(B126="","",SUMIFS(Invoices!$O$5:$O$304,Invoices!$D$5:$D$304,B126,Invoices!$T$5:$T$304,"&lt;&gt;Draft"))</f>
        <v>0</v>
      </c>
      <c r="AG126" s="29">
        <f>IF(B126="","",SUMIFS(Invoices!$S$5:$S$304,Invoices!$D$5:$D$304,B126,Invoices!$T$5:$T$304,"&lt;&gt;Cancelled"))</f>
        <v>0</v>
      </c>
      <c r="AH126" s="29">
        <f>IF(OR(Z126="",Z126=0),"",SUMIFS(Bookings!$AK$5:$AK$404,Bookings!$C$5:$C$404,B126,Bookings!$AM$5:$AM$404,"&lt;&gt;Cancelled")/Z126)</f>
        <v>0</v>
      </c>
      <c r="AI126" s="49">
        <f>IF(B126="","",IF(Z126&gt;=LoyaltyThreshold,"Loyalty discount","Standard"))</f>
        <v>0</v>
      </c>
      <c r="AJ126" s="49">
        <f>IF(B126="","",IF(COUNTIF(Clients!$B$5:$B$254,B126)&gt;1,"Duplicate name",IF(AND(C126&lt;&gt;"",COUNTIF(Clients!$C$5:$C$254,C126)&gt;1),"Duplicate phone","OK")))</f>
        <v>0</v>
      </c>
      <c r="AK126" s="49">
        <f>IF(B126="","",IF(AND(C126&lt;&gt;"",D126&lt;&gt;"",L126&lt;&gt;"",M126&lt;&gt;""),"OK","Add: "&amp;IF(C126="","phone ","")&amp;IF(D126="","email ","")&amp;IF(L126="","date ","")&amp;IF(M126="","status","")))</f>
        <v>0</v>
      </c>
      <c r="AL126" s="49">
        <f>IF(B126="","",IF(AG126&gt;0.5,"Overdue - chase payment",IF(AND(M126="Active",ISNUMBER(AC126),AC126&gt;InactiveDays),"Inactive - win back",IF(AND(M126="Active",S126&lt;&gt;"Signed"),"Action - contract not signed",IF(AND(M126="Prospective",AD126=""),"Action - follow up quote","OK")))))</f>
        <v>0</v>
      </c>
    </row>
    <row r="127" spans="1:38">
      <c r="A127" s="46">
        <f>IF(B127="","",ClientPrefix&amp;TEXT(ROW()-4,"0000"))</f>
        <v>0</v>
      </c>
      <c r="Y127" s="31">
        <f>IF(B127="","",COUNTIF(Pets!$C$5:$C$254,B127))</f>
        <v>0</v>
      </c>
      <c r="Z127" s="31">
        <f>IF(B127="","",COUNTIFS(Bookings!$C$5:$C$404,B127))</f>
        <v>0</v>
      </c>
      <c r="AA127" s="31">
        <f>IF(B127="","",COUNTIFS('Visit Log'!$D$5:$D$404,B127,'Visit Log'!$AE$5:$AE$404,"Completed"))</f>
        <v>0</v>
      </c>
      <c r="AB127" s="21">
        <f>IF(B127="","",IF(SUMPRODUCT(MAX((Bookings!$C$5:$C$404=B127)*(Bookings!$AM$5:$AM$404="Completed")*Bookings!$I$5:$I$404))=0,"",SUMPRODUCT(MAX((Bookings!$C$5:$C$404=B127)*(Bookings!$AM$5:$AM$404="Completed")*Bookings!$I$5:$I$404))))</f>
        <v>0</v>
      </c>
      <c r="AC127" s="31">
        <f>IF(AB127="","",TODAY()-AB127)</f>
        <v>0</v>
      </c>
      <c r="AD127" s="21">
        <f>IF(B127="","",IF(COUNTIFS(Bookings!$C$5:$C$404,B127,Bookings!$I$5:$I$404,"&gt;="&amp;TODAY(),Bookings!$AM$5:$AM$404,"&lt;&gt;Cancelled")=0,"",SUMPRODUCT(MIN(((Bookings!$C$5:$C$404=B127)*(Bookings!$I$5:$I$404&gt;=TODAY())*(Bookings!$AM$5:$AM$404&lt;&gt;"Cancelled"))*Bookings!$I$5:$I$404+(1-((Bookings!$C$5:$C$404=B127)*(Bookings!$I$5:$I$404&gt;=TODAY())*(Bookings!$AM$5:$AM$404&lt;&gt;"Cancelled")))*2958465))))</f>
        <v>0</v>
      </c>
      <c r="AE127" s="29">
        <f>IF(B127="","",SUMIFS(Payments!$L$5:$L$304,Payments!$C$5:$C$304,B127))</f>
        <v>0</v>
      </c>
      <c r="AF127" s="29">
        <f>IF(B127="","",SUMIFS(Invoices!$O$5:$O$304,Invoices!$D$5:$D$304,B127,Invoices!$T$5:$T$304,"&lt;&gt;Draft"))</f>
        <v>0</v>
      </c>
      <c r="AG127" s="29">
        <f>IF(B127="","",SUMIFS(Invoices!$S$5:$S$304,Invoices!$D$5:$D$304,B127,Invoices!$T$5:$T$304,"&lt;&gt;Cancelled"))</f>
        <v>0</v>
      </c>
      <c r="AH127" s="29">
        <f>IF(OR(Z127="",Z127=0),"",SUMIFS(Bookings!$AK$5:$AK$404,Bookings!$C$5:$C$404,B127,Bookings!$AM$5:$AM$404,"&lt;&gt;Cancelled")/Z127)</f>
        <v>0</v>
      </c>
      <c r="AI127" s="49">
        <f>IF(B127="","",IF(Z127&gt;=LoyaltyThreshold,"Loyalty discount","Standard"))</f>
        <v>0</v>
      </c>
      <c r="AJ127" s="49">
        <f>IF(B127="","",IF(COUNTIF(Clients!$B$5:$B$254,B127)&gt;1,"Duplicate name",IF(AND(C127&lt;&gt;"",COUNTIF(Clients!$C$5:$C$254,C127)&gt;1),"Duplicate phone","OK")))</f>
        <v>0</v>
      </c>
      <c r="AK127" s="49">
        <f>IF(B127="","",IF(AND(C127&lt;&gt;"",D127&lt;&gt;"",L127&lt;&gt;"",M127&lt;&gt;""),"OK","Add: "&amp;IF(C127="","phone ","")&amp;IF(D127="","email ","")&amp;IF(L127="","date ","")&amp;IF(M127="","status","")))</f>
        <v>0</v>
      </c>
      <c r="AL127" s="49">
        <f>IF(B127="","",IF(AG127&gt;0.5,"Overdue - chase payment",IF(AND(M127="Active",ISNUMBER(AC127),AC127&gt;InactiveDays),"Inactive - win back",IF(AND(M127="Active",S127&lt;&gt;"Signed"),"Action - contract not signed",IF(AND(M127="Prospective",AD127=""),"Action - follow up quote","OK")))))</f>
        <v>0</v>
      </c>
    </row>
    <row r="128" spans="1:38">
      <c r="A128" s="46">
        <f>IF(B128="","",ClientPrefix&amp;TEXT(ROW()-4,"0000"))</f>
        <v>0</v>
      </c>
      <c r="Y128" s="31">
        <f>IF(B128="","",COUNTIF(Pets!$C$5:$C$254,B128))</f>
        <v>0</v>
      </c>
      <c r="Z128" s="31">
        <f>IF(B128="","",COUNTIFS(Bookings!$C$5:$C$404,B128))</f>
        <v>0</v>
      </c>
      <c r="AA128" s="31">
        <f>IF(B128="","",COUNTIFS('Visit Log'!$D$5:$D$404,B128,'Visit Log'!$AE$5:$AE$404,"Completed"))</f>
        <v>0</v>
      </c>
      <c r="AB128" s="21">
        <f>IF(B128="","",IF(SUMPRODUCT(MAX((Bookings!$C$5:$C$404=B128)*(Bookings!$AM$5:$AM$404="Completed")*Bookings!$I$5:$I$404))=0,"",SUMPRODUCT(MAX((Bookings!$C$5:$C$404=B128)*(Bookings!$AM$5:$AM$404="Completed")*Bookings!$I$5:$I$404))))</f>
        <v>0</v>
      </c>
      <c r="AC128" s="31">
        <f>IF(AB128="","",TODAY()-AB128)</f>
        <v>0</v>
      </c>
      <c r="AD128" s="21">
        <f>IF(B128="","",IF(COUNTIFS(Bookings!$C$5:$C$404,B128,Bookings!$I$5:$I$404,"&gt;="&amp;TODAY(),Bookings!$AM$5:$AM$404,"&lt;&gt;Cancelled")=0,"",SUMPRODUCT(MIN(((Bookings!$C$5:$C$404=B128)*(Bookings!$I$5:$I$404&gt;=TODAY())*(Bookings!$AM$5:$AM$404&lt;&gt;"Cancelled"))*Bookings!$I$5:$I$404+(1-((Bookings!$C$5:$C$404=B128)*(Bookings!$I$5:$I$404&gt;=TODAY())*(Bookings!$AM$5:$AM$404&lt;&gt;"Cancelled")))*2958465))))</f>
        <v>0</v>
      </c>
      <c r="AE128" s="29">
        <f>IF(B128="","",SUMIFS(Payments!$L$5:$L$304,Payments!$C$5:$C$304,B128))</f>
        <v>0</v>
      </c>
      <c r="AF128" s="29">
        <f>IF(B128="","",SUMIFS(Invoices!$O$5:$O$304,Invoices!$D$5:$D$304,B128,Invoices!$T$5:$T$304,"&lt;&gt;Draft"))</f>
        <v>0</v>
      </c>
      <c r="AG128" s="29">
        <f>IF(B128="","",SUMIFS(Invoices!$S$5:$S$304,Invoices!$D$5:$D$304,B128,Invoices!$T$5:$T$304,"&lt;&gt;Cancelled"))</f>
        <v>0</v>
      </c>
      <c r="AH128" s="29">
        <f>IF(OR(Z128="",Z128=0),"",SUMIFS(Bookings!$AK$5:$AK$404,Bookings!$C$5:$C$404,B128,Bookings!$AM$5:$AM$404,"&lt;&gt;Cancelled")/Z128)</f>
        <v>0</v>
      </c>
      <c r="AI128" s="49">
        <f>IF(B128="","",IF(Z128&gt;=LoyaltyThreshold,"Loyalty discount","Standard"))</f>
        <v>0</v>
      </c>
      <c r="AJ128" s="49">
        <f>IF(B128="","",IF(COUNTIF(Clients!$B$5:$B$254,B128)&gt;1,"Duplicate name",IF(AND(C128&lt;&gt;"",COUNTIF(Clients!$C$5:$C$254,C128)&gt;1),"Duplicate phone","OK")))</f>
        <v>0</v>
      </c>
      <c r="AK128" s="49">
        <f>IF(B128="","",IF(AND(C128&lt;&gt;"",D128&lt;&gt;"",L128&lt;&gt;"",M128&lt;&gt;""),"OK","Add: "&amp;IF(C128="","phone ","")&amp;IF(D128="","email ","")&amp;IF(L128="","date ","")&amp;IF(M128="","status","")))</f>
        <v>0</v>
      </c>
      <c r="AL128" s="49">
        <f>IF(B128="","",IF(AG128&gt;0.5,"Overdue - chase payment",IF(AND(M128="Active",ISNUMBER(AC128),AC128&gt;InactiveDays),"Inactive - win back",IF(AND(M128="Active",S128&lt;&gt;"Signed"),"Action - contract not signed",IF(AND(M128="Prospective",AD128=""),"Action - follow up quote","OK")))))</f>
        <v>0</v>
      </c>
    </row>
    <row r="129" spans="1:38">
      <c r="A129" s="46">
        <f>IF(B129="","",ClientPrefix&amp;TEXT(ROW()-4,"0000"))</f>
        <v>0</v>
      </c>
      <c r="Y129" s="31">
        <f>IF(B129="","",COUNTIF(Pets!$C$5:$C$254,B129))</f>
        <v>0</v>
      </c>
      <c r="Z129" s="31">
        <f>IF(B129="","",COUNTIFS(Bookings!$C$5:$C$404,B129))</f>
        <v>0</v>
      </c>
      <c r="AA129" s="31">
        <f>IF(B129="","",COUNTIFS('Visit Log'!$D$5:$D$404,B129,'Visit Log'!$AE$5:$AE$404,"Completed"))</f>
        <v>0</v>
      </c>
      <c r="AB129" s="21">
        <f>IF(B129="","",IF(SUMPRODUCT(MAX((Bookings!$C$5:$C$404=B129)*(Bookings!$AM$5:$AM$404="Completed")*Bookings!$I$5:$I$404))=0,"",SUMPRODUCT(MAX((Bookings!$C$5:$C$404=B129)*(Bookings!$AM$5:$AM$404="Completed")*Bookings!$I$5:$I$404))))</f>
        <v>0</v>
      </c>
      <c r="AC129" s="31">
        <f>IF(AB129="","",TODAY()-AB129)</f>
        <v>0</v>
      </c>
      <c r="AD129" s="21">
        <f>IF(B129="","",IF(COUNTIFS(Bookings!$C$5:$C$404,B129,Bookings!$I$5:$I$404,"&gt;="&amp;TODAY(),Bookings!$AM$5:$AM$404,"&lt;&gt;Cancelled")=0,"",SUMPRODUCT(MIN(((Bookings!$C$5:$C$404=B129)*(Bookings!$I$5:$I$404&gt;=TODAY())*(Bookings!$AM$5:$AM$404&lt;&gt;"Cancelled"))*Bookings!$I$5:$I$404+(1-((Bookings!$C$5:$C$404=B129)*(Bookings!$I$5:$I$404&gt;=TODAY())*(Bookings!$AM$5:$AM$404&lt;&gt;"Cancelled")))*2958465))))</f>
        <v>0</v>
      </c>
      <c r="AE129" s="29">
        <f>IF(B129="","",SUMIFS(Payments!$L$5:$L$304,Payments!$C$5:$C$304,B129))</f>
        <v>0</v>
      </c>
      <c r="AF129" s="29">
        <f>IF(B129="","",SUMIFS(Invoices!$O$5:$O$304,Invoices!$D$5:$D$304,B129,Invoices!$T$5:$T$304,"&lt;&gt;Draft"))</f>
        <v>0</v>
      </c>
      <c r="AG129" s="29">
        <f>IF(B129="","",SUMIFS(Invoices!$S$5:$S$304,Invoices!$D$5:$D$304,B129,Invoices!$T$5:$T$304,"&lt;&gt;Cancelled"))</f>
        <v>0</v>
      </c>
      <c r="AH129" s="29">
        <f>IF(OR(Z129="",Z129=0),"",SUMIFS(Bookings!$AK$5:$AK$404,Bookings!$C$5:$C$404,B129,Bookings!$AM$5:$AM$404,"&lt;&gt;Cancelled")/Z129)</f>
        <v>0</v>
      </c>
      <c r="AI129" s="49">
        <f>IF(B129="","",IF(Z129&gt;=LoyaltyThreshold,"Loyalty discount","Standard"))</f>
        <v>0</v>
      </c>
      <c r="AJ129" s="49">
        <f>IF(B129="","",IF(COUNTIF(Clients!$B$5:$B$254,B129)&gt;1,"Duplicate name",IF(AND(C129&lt;&gt;"",COUNTIF(Clients!$C$5:$C$254,C129)&gt;1),"Duplicate phone","OK")))</f>
        <v>0</v>
      </c>
      <c r="AK129" s="49">
        <f>IF(B129="","",IF(AND(C129&lt;&gt;"",D129&lt;&gt;"",L129&lt;&gt;"",M129&lt;&gt;""),"OK","Add: "&amp;IF(C129="","phone ","")&amp;IF(D129="","email ","")&amp;IF(L129="","date ","")&amp;IF(M129="","status","")))</f>
        <v>0</v>
      </c>
      <c r="AL129" s="49">
        <f>IF(B129="","",IF(AG129&gt;0.5,"Overdue - chase payment",IF(AND(M129="Active",ISNUMBER(AC129),AC129&gt;InactiveDays),"Inactive - win back",IF(AND(M129="Active",S129&lt;&gt;"Signed"),"Action - contract not signed",IF(AND(M129="Prospective",AD129=""),"Action - follow up quote","OK")))))</f>
        <v>0</v>
      </c>
    </row>
    <row r="130" spans="1:38">
      <c r="A130" s="46">
        <f>IF(B130="","",ClientPrefix&amp;TEXT(ROW()-4,"0000"))</f>
        <v>0</v>
      </c>
      <c r="Y130" s="31">
        <f>IF(B130="","",COUNTIF(Pets!$C$5:$C$254,B130))</f>
        <v>0</v>
      </c>
      <c r="Z130" s="31">
        <f>IF(B130="","",COUNTIFS(Bookings!$C$5:$C$404,B130))</f>
        <v>0</v>
      </c>
      <c r="AA130" s="31">
        <f>IF(B130="","",COUNTIFS('Visit Log'!$D$5:$D$404,B130,'Visit Log'!$AE$5:$AE$404,"Completed"))</f>
        <v>0</v>
      </c>
      <c r="AB130" s="21">
        <f>IF(B130="","",IF(SUMPRODUCT(MAX((Bookings!$C$5:$C$404=B130)*(Bookings!$AM$5:$AM$404="Completed")*Bookings!$I$5:$I$404))=0,"",SUMPRODUCT(MAX((Bookings!$C$5:$C$404=B130)*(Bookings!$AM$5:$AM$404="Completed")*Bookings!$I$5:$I$404))))</f>
        <v>0</v>
      </c>
      <c r="AC130" s="31">
        <f>IF(AB130="","",TODAY()-AB130)</f>
        <v>0</v>
      </c>
      <c r="AD130" s="21">
        <f>IF(B130="","",IF(COUNTIFS(Bookings!$C$5:$C$404,B130,Bookings!$I$5:$I$404,"&gt;="&amp;TODAY(),Bookings!$AM$5:$AM$404,"&lt;&gt;Cancelled")=0,"",SUMPRODUCT(MIN(((Bookings!$C$5:$C$404=B130)*(Bookings!$I$5:$I$404&gt;=TODAY())*(Bookings!$AM$5:$AM$404&lt;&gt;"Cancelled"))*Bookings!$I$5:$I$404+(1-((Bookings!$C$5:$C$404=B130)*(Bookings!$I$5:$I$404&gt;=TODAY())*(Bookings!$AM$5:$AM$404&lt;&gt;"Cancelled")))*2958465))))</f>
        <v>0</v>
      </c>
      <c r="AE130" s="29">
        <f>IF(B130="","",SUMIFS(Payments!$L$5:$L$304,Payments!$C$5:$C$304,B130))</f>
        <v>0</v>
      </c>
      <c r="AF130" s="29">
        <f>IF(B130="","",SUMIFS(Invoices!$O$5:$O$304,Invoices!$D$5:$D$304,B130,Invoices!$T$5:$T$304,"&lt;&gt;Draft"))</f>
        <v>0</v>
      </c>
      <c r="AG130" s="29">
        <f>IF(B130="","",SUMIFS(Invoices!$S$5:$S$304,Invoices!$D$5:$D$304,B130,Invoices!$T$5:$T$304,"&lt;&gt;Cancelled"))</f>
        <v>0</v>
      </c>
      <c r="AH130" s="29">
        <f>IF(OR(Z130="",Z130=0),"",SUMIFS(Bookings!$AK$5:$AK$404,Bookings!$C$5:$C$404,B130,Bookings!$AM$5:$AM$404,"&lt;&gt;Cancelled")/Z130)</f>
        <v>0</v>
      </c>
      <c r="AI130" s="49">
        <f>IF(B130="","",IF(Z130&gt;=LoyaltyThreshold,"Loyalty discount","Standard"))</f>
        <v>0</v>
      </c>
      <c r="AJ130" s="49">
        <f>IF(B130="","",IF(COUNTIF(Clients!$B$5:$B$254,B130)&gt;1,"Duplicate name",IF(AND(C130&lt;&gt;"",COUNTIF(Clients!$C$5:$C$254,C130)&gt;1),"Duplicate phone","OK")))</f>
        <v>0</v>
      </c>
      <c r="AK130" s="49">
        <f>IF(B130="","",IF(AND(C130&lt;&gt;"",D130&lt;&gt;"",L130&lt;&gt;"",M130&lt;&gt;""),"OK","Add: "&amp;IF(C130="","phone ","")&amp;IF(D130="","email ","")&amp;IF(L130="","date ","")&amp;IF(M130="","status","")))</f>
        <v>0</v>
      </c>
      <c r="AL130" s="49">
        <f>IF(B130="","",IF(AG130&gt;0.5,"Overdue - chase payment",IF(AND(M130="Active",ISNUMBER(AC130),AC130&gt;InactiveDays),"Inactive - win back",IF(AND(M130="Active",S130&lt;&gt;"Signed"),"Action - contract not signed",IF(AND(M130="Prospective",AD130=""),"Action - follow up quote","OK")))))</f>
        <v>0</v>
      </c>
    </row>
    <row r="131" spans="1:38">
      <c r="A131" s="46">
        <f>IF(B131="","",ClientPrefix&amp;TEXT(ROW()-4,"0000"))</f>
        <v>0</v>
      </c>
      <c r="Y131" s="31">
        <f>IF(B131="","",COUNTIF(Pets!$C$5:$C$254,B131))</f>
        <v>0</v>
      </c>
      <c r="Z131" s="31">
        <f>IF(B131="","",COUNTIFS(Bookings!$C$5:$C$404,B131))</f>
        <v>0</v>
      </c>
      <c r="AA131" s="31">
        <f>IF(B131="","",COUNTIFS('Visit Log'!$D$5:$D$404,B131,'Visit Log'!$AE$5:$AE$404,"Completed"))</f>
        <v>0</v>
      </c>
      <c r="AB131" s="21">
        <f>IF(B131="","",IF(SUMPRODUCT(MAX((Bookings!$C$5:$C$404=B131)*(Bookings!$AM$5:$AM$404="Completed")*Bookings!$I$5:$I$404))=0,"",SUMPRODUCT(MAX((Bookings!$C$5:$C$404=B131)*(Bookings!$AM$5:$AM$404="Completed")*Bookings!$I$5:$I$404))))</f>
        <v>0</v>
      </c>
      <c r="AC131" s="31">
        <f>IF(AB131="","",TODAY()-AB131)</f>
        <v>0</v>
      </c>
      <c r="AD131" s="21">
        <f>IF(B131="","",IF(COUNTIFS(Bookings!$C$5:$C$404,B131,Bookings!$I$5:$I$404,"&gt;="&amp;TODAY(),Bookings!$AM$5:$AM$404,"&lt;&gt;Cancelled")=0,"",SUMPRODUCT(MIN(((Bookings!$C$5:$C$404=B131)*(Bookings!$I$5:$I$404&gt;=TODAY())*(Bookings!$AM$5:$AM$404&lt;&gt;"Cancelled"))*Bookings!$I$5:$I$404+(1-((Bookings!$C$5:$C$404=B131)*(Bookings!$I$5:$I$404&gt;=TODAY())*(Bookings!$AM$5:$AM$404&lt;&gt;"Cancelled")))*2958465))))</f>
        <v>0</v>
      </c>
      <c r="AE131" s="29">
        <f>IF(B131="","",SUMIFS(Payments!$L$5:$L$304,Payments!$C$5:$C$304,B131))</f>
        <v>0</v>
      </c>
      <c r="AF131" s="29">
        <f>IF(B131="","",SUMIFS(Invoices!$O$5:$O$304,Invoices!$D$5:$D$304,B131,Invoices!$T$5:$T$304,"&lt;&gt;Draft"))</f>
        <v>0</v>
      </c>
      <c r="AG131" s="29">
        <f>IF(B131="","",SUMIFS(Invoices!$S$5:$S$304,Invoices!$D$5:$D$304,B131,Invoices!$T$5:$T$304,"&lt;&gt;Cancelled"))</f>
        <v>0</v>
      </c>
      <c r="AH131" s="29">
        <f>IF(OR(Z131="",Z131=0),"",SUMIFS(Bookings!$AK$5:$AK$404,Bookings!$C$5:$C$404,B131,Bookings!$AM$5:$AM$404,"&lt;&gt;Cancelled")/Z131)</f>
        <v>0</v>
      </c>
      <c r="AI131" s="49">
        <f>IF(B131="","",IF(Z131&gt;=LoyaltyThreshold,"Loyalty discount","Standard"))</f>
        <v>0</v>
      </c>
      <c r="AJ131" s="49">
        <f>IF(B131="","",IF(COUNTIF(Clients!$B$5:$B$254,B131)&gt;1,"Duplicate name",IF(AND(C131&lt;&gt;"",COUNTIF(Clients!$C$5:$C$254,C131)&gt;1),"Duplicate phone","OK")))</f>
        <v>0</v>
      </c>
      <c r="AK131" s="49">
        <f>IF(B131="","",IF(AND(C131&lt;&gt;"",D131&lt;&gt;"",L131&lt;&gt;"",M131&lt;&gt;""),"OK","Add: "&amp;IF(C131="","phone ","")&amp;IF(D131="","email ","")&amp;IF(L131="","date ","")&amp;IF(M131="","status","")))</f>
        <v>0</v>
      </c>
      <c r="AL131" s="49">
        <f>IF(B131="","",IF(AG131&gt;0.5,"Overdue - chase payment",IF(AND(M131="Active",ISNUMBER(AC131),AC131&gt;InactiveDays),"Inactive - win back",IF(AND(M131="Active",S131&lt;&gt;"Signed"),"Action - contract not signed",IF(AND(M131="Prospective",AD131=""),"Action - follow up quote","OK")))))</f>
        <v>0</v>
      </c>
    </row>
    <row r="132" spans="1:38">
      <c r="A132" s="46">
        <f>IF(B132="","",ClientPrefix&amp;TEXT(ROW()-4,"0000"))</f>
        <v>0</v>
      </c>
      <c r="Y132" s="31">
        <f>IF(B132="","",COUNTIF(Pets!$C$5:$C$254,B132))</f>
        <v>0</v>
      </c>
      <c r="Z132" s="31">
        <f>IF(B132="","",COUNTIFS(Bookings!$C$5:$C$404,B132))</f>
        <v>0</v>
      </c>
      <c r="AA132" s="31">
        <f>IF(B132="","",COUNTIFS('Visit Log'!$D$5:$D$404,B132,'Visit Log'!$AE$5:$AE$404,"Completed"))</f>
        <v>0</v>
      </c>
      <c r="AB132" s="21">
        <f>IF(B132="","",IF(SUMPRODUCT(MAX((Bookings!$C$5:$C$404=B132)*(Bookings!$AM$5:$AM$404="Completed")*Bookings!$I$5:$I$404))=0,"",SUMPRODUCT(MAX((Bookings!$C$5:$C$404=B132)*(Bookings!$AM$5:$AM$404="Completed")*Bookings!$I$5:$I$404))))</f>
        <v>0</v>
      </c>
      <c r="AC132" s="31">
        <f>IF(AB132="","",TODAY()-AB132)</f>
        <v>0</v>
      </c>
      <c r="AD132" s="21">
        <f>IF(B132="","",IF(COUNTIFS(Bookings!$C$5:$C$404,B132,Bookings!$I$5:$I$404,"&gt;="&amp;TODAY(),Bookings!$AM$5:$AM$404,"&lt;&gt;Cancelled")=0,"",SUMPRODUCT(MIN(((Bookings!$C$5:$C$404=B132)*(Bookings!$I$5:$I$404&gt;=TODAY())*(Bookings!$AM$5:$AM$404&lt;&gt;"Cancelled"))*Bookings!$I$5:$I$404+(1-((Bookings!$C$5:$C$404=B132)*(Bookings!$I$5:$I$404&gt;=TODAY())*(Bookings!$AM$5:$AM$404&lt;&gt;"Cancelled")))*2958465))))</f>
        <v>0</v>
      </c>
      <c r="AE132" s="29">
        <f>IF(B132="","",SUMIFS(Payments!$L$5:$L$304,Payments!$C$5:$C$304,B132))</f>
        <v>0</v>
      </c>
      <c r="AF132" s="29">
        <f>IF(B132="","",SUMIFS(Invoices!$O$5:$O$304,Invoices!$D$5:$D$304,B132,Invoices!$T$5:$T$304,"&lt;&gt;Draft"))</f>
        <v>0</v>
      </c>
      <c r="AG132" s="29">
        <f>IF(B132="","",SUMIFS(Invoices!$S$5:$S$304,Invoices!$D$5:$D$304,B132,Invoices!$T$5:$T$304,"&lt;&gt;Cancelled"))</f>
        <v>0</v>
      </c>
      <c r="AH132" s="29">
        <f>IF(OR(Z132="",Z132=0),"",SUMIFS(Bookings!$AK$5:$AK$404,Bookings!$C$5:$C$404,B132,Bookings!$AM$5:$AM$404,"&lt;&gt;Cancelled")/Z132)</f>
        <v>0</v>
      </c>
      <c r="AI132" s="49">
        <f>IF(B132="","",IF(Z132&gt;=LoyaltyThreshold,"Loyalty discount","Standard"))</f>
        <v>0</v>
      </c>
      <c r="AJ132" s="49">
        <f>IF(B132="","",IF(COUNTIF(Clients!$B$5:$B$254,B132)&gt;1,"Duplicate name",IF(AND(C132&lt;&gt;"",COUNTIF(Clients!$C$5:$C$254,C132)&gt;1),"Duplicate phone","OK")))</f>
        <v>0</v>
      </c>
      <c r="AK132" s="49">
        <f>IF(B132="","",IF(AND(C132&lt;&gt;"",D132&lt;&gt;"",L132&lt;&gt;"",M132&lt;&gt;""),"OK","Add: "&amp;IF(C132="","phone ","")&amp;IF(D132="","email ","")&amp;IF(L132="","date ","")&amp;IF(M132="","status","")))</f>
        <v>0</v>
      </c>
      <c r="AL132" s="49">
        <f>IF(B132="","",IF(AG132&gt;0.5,"Overdue - chase payment",IF(AND(M132="Active",ISNUMBER(AC132),AC132&gt;InactiveDays),"Inactive - win back",IF(AND(M132="Active",S132&lt;&gt;"Signed"),"Action - contract not signed",IF(AND(M132="Prospective",AD132=""),"Action - follow up quote","OK")))))</f>
        <v>0</v>
      </c>
    </row>
    <row r="133" spans="1:38">
      <c r="A133" s="46">
        <f>IF(B133="","",ClientPrefix&amp;TEXT(ROW()-4,"0000"))</f>
        <v>0</v>
      </c>
      <c r="Y133" s="31">
        <f>IF(B133="","",COUNTIF(Pets!$C$5:$C$254,B133))</f>
        <v>0</v>
      </c>
      <c r="Z133" s="31">
        <f>IF(B133="","",COUNTIFS(Bookings!$C$5:$C$404,B133))</f>
        <v>0</v>
      </c>
      <c r="AA133" s="31">
        <f>IF(B133="","",COUNTIFS('Visit Log'!$D$5:$D$404,B133,'Visit Log'!$AE$5:$AE$404,"Completed"))</f>
        <v>0</v>
      </c>
      <c r="AB133" s="21">
        <f>IF(B133="","",IF(SUMPRODUCT(MAX((Bookings!$C$5:$C$404=B133)*(Bookings!$AM$5:$AM$404="Completed")*Bookings!$I$5:$I$404))=0,"",SUMPRODUCT(MAX((Bookings!$C$5:$C$404=B133)*(Bookings!$AM$5:$AM$404="Completed")*Bookings!$I$5:$I$404))))</f>
        <v>0</v>
      </c>
      <c r="AC133" s="31">
        <f>IF(AB133="","",TODAY()-AB133)</f>
        <v>0</v>
      </c>
      <c r="AD133" s="21">
        <f>IF(B133="","",IF(COUNTIFS(Bookings!$C$5:$C$404,B133,Bookings!$I$5:$I$404,"&gt;="&amp;TODAY(),Bookings!$AM$5:$AM$404,"&lt;&gt;Cancelled")=0,"",SUMPRODUCT(MIN(((Bookings!$C$5:$C$404=B133)*(Bookings!$I$5:$I$404&gt;=TODAY())*(Bookings!$AM$5:$AM$404&lt;&gt;"Cancelled"))*Bookings!$I$5:$I$404+(1-((Bookings!$C$5:$C$404=B133)*(Bookings!$I$5:$I$404&gt;=TODAY())*(Bookings!$AM$5:$AM$404&lt;&gt;"Cancelled")))*2958465))))</f>
        <v>0</v>
      </c>
      <c r="AE133" s="29">
        <f>IF(B133="","",SUMIFS(Payments!$L$5:$L$304,Payments!$C$5:$C$304,B133))</f>
        <v>0</v>
      </c>
      <c r="AF133" s="29">
        <f>IF(B133="","",SUMIFS(Invoices!$O$5:$O$304,Invoices!$D$5:$D$304,B133,Invoices!$T$5:$T$304,"&lt;&gt;Draft"))</f>
        <v>0</v>
      </c>
      <c r="AG133" s="29">
        <f>IF(B133="","",SUMIFS(Invoices!$S$5:$S$304,Invoices!$D$5:$D$304,B133,Invoices!$T$5:$T$304,"&lt;&gt;Cancelled"))</f>
        <v>0</v>
      </c>
      <c r="AH133" s="29">
        <f>IF(OR(Z133="",Z133=0),"",SUMIFS(Bookings!$AK$5:$AK$404,Bookings!$C$5:$C$404,B133,Bookings!$AM$5:$AM$404,"&lt;&gt;Cancelled")/Z133)</f>
        <v>0</v>
      </c>
      <c r="AI133" s="49">
        <f>IF(B133="","",IF(Z133&gt;=LoyaltyThreshold,"Loyalty discount","Standard"))</f>
        <v>0</v>
      </c>
      <c r="AJ133" s="49">
        <f>IF(B133="","",IF(COUNTIF(Clients!$B$5:$B$254,B133)&gt;1,"Duplicate name",IF(AND(C133&lt;&gt;"",COUNTIF(Clients!$C$5:$C$254,C133)&gt;1),"Duplicate phone","OK")))</f>
        <v>0</v>
      </c>
      <c r="AK133" s="49">
        <f>IF(B133="","",IF(AND(C133&lt;&gt;"",D133&lt;&gt;"",L133&lt;&gt;"",M133&lt;&gt;""),"OK","Add: "&amp;IF(C133="","phone ","")&amp;IF(D133="","email ","")&amp;IF(L133="","date ","")&amp;IF(M133="","status","")))</f>
        <v>0</v>
      </c>
      <c r="AL133" s="49">
        <f>IF(B133="","",IF(AG133&gt;0.5,"Overdue - chase payment",IF(AND(M133="Active",ISNUMBER(AC133),AC133&gt;InactiveDays),"Inactive - win back",IF(AND(M133="Active",S133&lt;&gt;"Signed"),"Action - contract not signed",IF(AND(M133="Prospective",AD133=""),"Action - follow up quote","OK")))))</f>
        <v>0</v>
      </c>
    </row>
    <row r="134" spans="1:38">
      <c r="A134" s="46">
        <f>IF(B134="","",ClientPrefix&amp;TEXT(ROW()-4,"0000"))</f>
        <v>0</v>
      </c>
      <c r="Y134" s="31">
        <f>IF(B134="","",COUNTIF(Pets!$C$5:$C$254,B134))</f>
        <v>0</v>
      </c>
      <c r="Z134" s="31">
        <f>IF(B134="","",COUNTIFS(Bookings!$C$5:$C$404,B134))</f>
        <v>0</v>
      </c>
      <c r="AA134" s="31">
        <f>IF(B134="","",COUNTIFS('Visit Log'!$D$5:$D$404,B134,'Visit Log'!$AE$5:$AE$404,"Completed"))</f>
        <v>0</v>
      </c>
      <c r="AB134" s="21">
        <f>IF(B134="","",IF(SUMPRODUCT(MAX((Bookings!$C$5:$C$404=B134)*(Bookings!$AM$5:$AM$404="Completed")*Bookings!$I$5:$I$404))=0,"",SUMPRODUCT(MAX((Bookings!$C$5:$C$404=B134)*(Bookings!$AM$5:$AM$404="Completed")*Bookings!$I$5:$I$404))))</f>
        <v>0</v>
      </c>
      <c r="AC134" s="31">
        <f>IF(AB134="","",TODAY()-AB134)</f>
        <v>0</v>
      </c>
      <c r="AD134" s="21">
        <f>IF(B134="","",IF(COUNTIFS(Bookings!$C$5:$C$404,B134,Bookings!$I$5:$I$404,"&gt;="&amp;TODAY(),Bookings!$AM$5:$AM$404,"&lt;&gt;Cancelled")=0,"",SUMPRODUCT(MIN(((Bookings!$C$5:$C$404=B134)*(Bookings!$I$5:$I$404&gt;=TODAY())*(Bookings!$AM$5:$AM$404&lt;&gt;"Cancelled"))*Bookings!$I$5:$I$404+(1-((Bookings!$C$5:$C$404=B134)*(Bookings!$I$5:$I$404&gt;=TODAY())*(Bookings!$AM$5:$AM$404&lt;&gt;"Cancelled")))*2958465))))</f>
        <v>0</v>
      </c>
      <c r="AE134" s="29">
        <f>IF(B134="","",SUMIFS(Payments!$L$5:$L$304,Payments!$C$5:$C$304,B134))</f>
        <v>0</v>
      </c>
      <c r="AF134" s="29">
        <f>IF(B134="","",SUMIFS(Invoices!$O$5:$O$304,Invoices!$D$5:$D$304,B134,Invoices!$T$5:$T$304,"&lt;&gt;Draft"))</f>
        <v>0</v>
      </c>
      <c r="AG134" s="29">
        <f>IF(B134="","",SUMIFS(Invoices!$S$5:$S$304,Invoices!$D$5:$D$304,B134,Invoices!$T$5:$T$304,"&lt;&gt;Cancelled"))</f>
        <v>0</v>
      </c>
      <c r="AH134" s="29">
        <f>IF(OR(Z134="",Z134=0),"",SUMIFS(Bookings!$AK$5:$AK$404,Bookings!$C$5:$C$404,B134,Bookings!$AM$5:$AM$404,"&lt;&gt;Cancelled")/Z134)</f>
        <v>0</v>
      </c>
      <c r="AI134" s="49">
        <f>IF(B134="","",IF(Z134&gt;=LoyaltyThreshold,"Loyalty discount","Standard"))</f>
        <v>0</v>
      </c>
      <c r="AJ134" s="49">
        <f>IF(B134="","",IF(COUNTIF(Clients!$B$5:$B$254,B134)&gt;1,"Duplicate name",IF(AND(C134&lt;&gt;"",COUNTIF(Clients!$C$5:$C$254,C134)&gt;1),"Duplicate phone","OK")))</f>
        <v>0</v>
      </c>
      <c r="AK134" s="49">
        <f>IF(B134="","",IF(AND(C134&lt;&gt;"",D134&lt;&gt;"",L134&lt;&gt;"",M134&lt;&gt;""),"OK","Add: "&amp;IF(C134="","phone ","")&amp;IF(D134="","email ","")&amp;IF(L134="","date ","")&amp;IF(M134="","status","")))</f>
        <v>0</v>
      </c>
      <c r="AL134" s="49">
        <f>IF(B134="","",IF(AG134&gt;0.5,"Overdue - chase payment",IF(AND(M134="Active",ISNUMBER(AC134),AC134&gt;InactiveDays),"Inactive - win back",IF(AND(M134="Active",S134&lt;&gt;"Signed"),"Action - contract not signed",IF(AND(M134="Prospective",AD134=""),"Action - follow up quote","OK")))))</f>
        <v>0</v>
      </c>
    </row>
    <row r="135" spans="1:38">
      <c r="A135" s="46">
        <f>IF(B135="","",ClientPrefix&amp;TEXT(ROW()-4,"0000"))</f>
        <v>0</v>
      </c>
      <c r="Y135" s="31">
        <f>IF(B135="","",COUNTIF(Pets!$C$5:$C$254,B135))</f>
        <v>0</v>
      </c>
      <c r="Z135" s="31">
        <f>IF(B135="","",COUNTIFS(Bookings!$C$5:$C$404,B135))</f>
        <v>0</v>
      </c>
      <c r="AA135" s="31">
        <f>IF(B135="","",COUNTIFS('Visit Log'!$D$5:$D$404,B135,'Visit Log'!$AE$5:$AE$404,"Completed"))</f>
        <v>0</v>
      </c>
      <c r="AB135" s="21">
        <f>IF(B135="","",IF(SUMPRODUCT(MAX((Bookings!$C$5:$C$404=B135)*(Bookings!$AM$5:$AM$404="Completed")*Bookings!$I$5:$I$404))=0,"",SUMPRODUCT(MAX((Bookings!$C$5:$C$404=B135)*(Bookings!$AM$5:$AM$404="Completed")*Bookings!$I$5:$I$404))))</f>
        <v>0</v>
      </c>
      <c r="AC135" s="31">
        <f>IF(AB135="","",TODAY()-AB135)</f>
        <v>0</v>
      </c>
      <c r="AD135" s="21">
        <f>IF(B135="","",IF(COUNTIFS(Bookings!$C$5:$C$404,B135,Bookings!$I$5:$I$404,"&gt;="&amp;TODAY(),Bookings!$AM$5:$AM$404,"&lt;&gt;Cancelled")=0,"",SUMPRODUCT(MIN(((Bookings!$C$5:$C$404=B135)*(Bookings!$I$5:$I$404&gt;=TODAY())*(Bookings!$AM$5:$AM$404&lt;&gt;"Cancelled"))*Bookings!$I$5:$I$404+(1-((Bookings!$C$5:$C$404=B135)*(Bookings!$I$5:$I$404&gt;=TODAY())*(Bookings!$AM$5:$AM$404&lt;&gt;"Cancelled")))*2958465))))</f>
        <v>0</v>
      </c>
      <c r="AE135" s="29">
        <f>IF(B135="","",SUMIFS(Payments!$L$5:$L$304,Payments!$C$5:$C$304,B135))</f>
        <v>0</v>
      </c>
      <c r="AF135" s="29">
        <f>IF(B135="","",SUMIFS(Invoices!$O$5:$O$304,Invoices!$D$5:$D$304,B135,Invoices!$T$5:$T$304,"&lt;&gt;Draft"))</f>
        <v>0</v>
      </c>
      <c r="AG135" s="29">
        <f>IF(B135="","",SUMIFS(Invoices!$S$5:$S$304,Invoices!$D$5:$D$304,B135,Invoices!$T$5:$T$304,"&lt;&gt;Cancelled"))</f>
        <v>0</v>
      </c>
      <c r="AH135" s="29">
        <f>IF(OR(Z135="",Z135=0),"",SUMIFS(Bookings!$AK$5:$AK$404,Bookings!$C$5:$C$404,B135,Bookings!$AM$5:$AM$404,"&lt;&gt;Cancelled")/Z135)</f>
        <v>0</v>
      </c>
      <c r="AI135" s="49">
        <f>IF(B135="","",IF(Z135&gt;=LoyaltyThreshold,"Loyalty discount","Standard"))</f>
        <v>0</v>
      </c>
      <c r="AJ135" s="49">
        <f>IF(B135="","",IF(COUNTIF(Clients!$B$5:$B$254,B135)&gt;1,"Duplicate name",IF(AND(C135&lt;&gt;"",COUNTIF(Clients!$C$5:$C$254,C135)&gt;1),"Duplicate phone","OK")))</f>
        <v>0</v>
      </c>
      <c r="AK135" s="49">
        <f>IF(B135="","",IF(AND(C135&lt;&gt;"",D135&lt;&gt;"",L135&lt;&gt;"",M135&lt;&gt;""),"OK","Add: "&amp;IF(C135="","phone ","")&amp;IF(D135="","email ","")&amp;IF(L135="","date ","")&amp;IF(M135="","status","")))</f>
        <v>0</v>
      </c>
      <c r="AL135" s="49">
        <f>IF(B135="","",IF(AG135&gt;0.5,"Overdue - chase payment",IF(AND(M135="Active",ISNUMBER(AC135),AC135&gt;InactiveDays),"Inactive - win back",IF(AND(M135="Active",S135&lt;&gt;"Signed"),"Action - contract not signed",IF(AND(M135="Prospective",AD135=""),"Action - follow up quote","OK")))))</f>
        <v>0</v>
      </c>
    </row>
    <row r="136" spans="1:38">
      <c r="A136" s="46">
        <f>IF(B136="","",ClientPrefix&amp;TEXT(ROW()-4,"0000"))</f>
        <v>0</v>
      </c>
      <c r="Y136" s="31">
        <f>IF(B136="","",COUNTIF(Pets!$C$5:$C$254,B136))</f>
        <v>0</v>
      </c>
      <c r="Z136" s="31">
        <f>IF(B136="","",COUNTIFS(Bookings!$C$5:$C$404,B136))</f>
        <v>0</v>
      </c>
      <c r="AA136" s="31">
        <f>IF(B136="","",COUNTIFS('Visit Log'!$D$5:$D$404,B136,'Visit Log'!$AE$5:$AE$404,"Completed"))</f>
        <v>0</v>
      </c>
      <c r="AB136" s="21">
        <f>IF(B136="","",IF(SUMPRODUCT(MAX((Bookings!$C$5:$C$404=B136)*(Bookings!$AM$5:$AM$404="Completed")*Bookings!$I$5:$I$404))=0,"",SUMPRODUCT(MAX((Bookings!$C$5:$C$404=B136)*(Bookings!$AM$5:$AM$404="Completed")*Bookings!$I$5:$I$404))))</f>
        <v>0</v>
      </c>
      <c r="AC136" s="31">
        <f>IF(AB136="","",TODAY()-AB136)</f>
        <v>0</v>
      </c>
      <c r="AD136" s="21">
        <f>IF(B136="","",IF(COUNTIFS(Bookings!$C$5:$C$404,B136,Bookings!$I$5:$I$404,"&gt;="&amp;TODAY(),Bookings!$AM$5:$AM$404,"&lt;&gt;Cancelled")=0,"",SUMPRODUCT(MIN(((Bookings!$C$5:$C$404=B136)*(Bookings!$I$5:$I$404&gt;=TODAY())*(Bookings!$AM$5:$AM$404&lt;&gt;"Cancelled"))*Bookings!$I$5:$I$404+(1-((Bookings!$C$5:$C$404=B136)*(Bookings!$I$5:$I$404&gt;=TODAY())*(Bookings!$AM$5:$AM$404&lt;&gt;"Cancelled")))*2958465))))</f>
        <v>0</v>
      </c>
      <c r="AE136" s="29">
        <f>IF(B136="","",SUMIFS(Payments!$L$5:$L$304,Payments!$C$5:$C$304,B136))</f>
        <v>0</v>
      </c>
      <c r="AF136" s="29">
        <f>IF(B136="","",SUMIFS(Invoices!$O$5:$O$304,Invoices!$D$5:$D$304,B136,Invoices!$T$5:$T$304,"&lt;&gt;Draft"))</f>
        <v>0</v>
      </c>
      <c r="AG136" s="29">
        <f>IF(B136="","",SUMIFS(Invoices!$S$5:$S$304,Invoices!$D$5:$D$304,B136,Invoices!$T$5:$T$304,"&lt;&gt;Cancelled"))</f>
        <v>0</v>
      </c>
      <c r="AH136" s="29">
        <f>IF(OR(Z136="",Z136=0),"",SUMIFS(Bookings!$AK$5:$AK$404,Bookings!$C$5:$C$404,B136,Bookings!$AM$5:$AM$404,"&lt;&gt;Cancelled")/Z136)</f>
        <v>0</v>
      </c>
      <c r="AI136" s="49">
        <f>IF(B136="","",IF(Z136&gt;=LoyaltyThreshold,"Loyalty discount","Standard"))</f>
        <v>0</v>
      </c>
      <c r="AJ136" s="49">
        <f>IF(B136="","",IF(COUNTIF(Clients!$B$5:$B$254,B136)&gt;1,"Duplicate name",IF(AND(C136&lt;&gt;"",COUNTIF(Clients!$C$5:$C$254,C136)&gt;1),"Duplicate phone","OK")))</f>
        <v>0</v>
      </c>
      <c r="AK136" s="49">
        <f>IF(B136="","",IF(AND(C136&lt;&gt;"",D136&lt;&gt;"",L136&lt;&gt;"",M136&lt;&gt;""),"OK","Add: "&amp;IF(C136="","phone ","")&amp;IF(D136="","email ","")&amp;IF(L136="","date ","")&amp;IF(M136="","status","")))</f>
        <v>0</v>
      </c>
      <c r="AL136" s="49">
        <f>IF(B136="","",IF(AG136&gt;0.5,"Overdue - chase payment",IF(AND(M136="Active",ISNUMBER(AC136),AC136&gt;InactiveDays),"Inactive - win back",IF(AND(M136="Active",S136&lt;&gt;"Signed"),"Action - contract not signed",IF(AND(M136="Prospective",AD136=""),"Action - follow up quote","OK")))))</f>
        <v>0</v>
      </c>
    </row>
    <row r="137" spans="1:38">
      <c r="A137" s="46">
        <f>IF(B137="","",ClientPrefix&amp;TEXT(ROW()-4,"0000"))</f>
        <v>0</v>
      </c>
      <c r="Y137" s="31">
        <f>IF(B137="","",COUNTIF(Pets!$C$5:$C$254,B137))</f>
        <v>0</v>
      </c>
      <c r="Z137" s="31">
        <f>IF(B137="","",COUNTIFS(Bookings!$C$5:$C$404,B137))</f>
        <v>0</v>
      </c>
      <c r="AA137" s="31">
        <f>IF(B137="","",COUNTIFS('Visit Log'!$D$5:$D$404,B137,'Visit Log'!$AE$5:$AE$404,"Completed"))</f>
        <v>0</v>
      </c>
      <c r="AB137" s="21">
        <f>IF(B137="","",IF(SUMPRODUCT(MAX((Bookings!$C$5:$C$404=B137)*(Bookings!$AM$5:$AM$404="Completed")*Bookings!$I$5:$I$404))=0,"",SUMPRODUCT(MAX((Bookings!$C$5:$C$404=B137)*(Bookings!$AM$5:$AM$404="Completed")*Bookings!$I$5:$I$404))))</f>
        <v>0</v>
      </c>
      <c r="AC137" s="31">
        <f>IF(AB137="","",TODAY()-AB137)</f>
        <v>0</v>
      </c>
      <c r="AD137" s="21">
        <f>IF(B137="","",IF(COUNTIFS(Bookings!$C$5:$C$404,B137,Bookings!$I$5:$I$404,"&gt;="&amp;TODAY(),Bookings!$AM$5:$AM$404,"&lt;&gt;Cancelled")=0,"",SUMPRODUCT(MIN(((Bookings!$C$5:$C$404=B137)*(Bookings!$I$5:$I$404&gt;=TODAY())*(Bookings!$AM$5:$AM$404&lt;&gt;"Cancelled"))*Bookings!$I$5:$I$404+(1-((Bookings!$C$5:$C$404=B137)*(Bookings!$I$5:$I$404&gt;=TODAY())*(Bookings!$AM$5:$AM$404&lt;&gt;"Cancelled")))*2958465))))</f>
        <v>0</v>
      </c>
      <c r="AE137" s="29">
        <f>IF(B137="","",SUMIFS(Payments!$L$5:$L$304,Payments!$C$5:$C$304,B137))</f>
        <v>0</v>
      </c>
      <c r="AF137" s="29">
        <f>IF(B137="","",SUMIFS(Invoices!$O$5:$O$304,Invoices!$D$5:$D$304,B137,Invoices!$T$5:$T$304,"&lt;&gt;Draft"))</f>
        <v>0</v>
      </c>
      <c r="AG137" s="29">
        <f>IF(B137="","",SUMIFS(Invoices!$S$5:$S$304,Invoices!$D$5:$D$304,B137,Invoices!$T$5:$T$304,"&lt;&gt;Cancelled"))</f>
        <v>0</v>
      </c>
      <c r="AH137" s="29">
        <f>IF(OR(Z137="",Z137=0),"",SUMIFS(Bookings!$AK$5:$AK$404,Bookings!$C$5:$C$404,B137,Bookings!$AM$5:$AM$404,"&lt;&gt;Cancelled")/Z137)</f>
        <v>0</v>
      </c>
      <c r="AI137" s="49">
        <f>IF(B137="","",IF(Z137&gt;=LoyaltyThreshold,"Loyalty discount","Standard"))</f>
        <v>0</v>
      </c>
      <c r="AJ137" s="49">
        <f>IF(B137="","",IF(COUNTIF(Clients!$B$5:$B$254,B137)&gt;1,"Duplicate name",IF(AND(C137&lt;&gt;"",COUNTIF(Clients!$C$5:$C$254,C137)&gt;1),"Duplicate phone","OK")))</f>
        <v>0</v>
      </c>
      <c r="AK137" s="49">
        <f>IF(B137="","",IF(AND(C137&lt;&gt;"",D137&lt;&gt;"",L137&lt;&gt;"",M137&lt;&gt;""),"OK","Add: "&amp;IF(C137="","phone ","")&amp;IF(D137="","email ","")&amp;IF(L137="","date ","")&amp;IF(M137="","status","")))</f>
        <v>0</v>
      </c>
      <c r="AL137" s="49">
        <f>IF(B137="","",IF(AG137&gt;0.5,"Overdue - chase payment",IF(AND(M137="Active",ISNUMBER(AC137),AC137&gt;InactiveDays),"Inactive - win back",IF(AND(M137="Active",S137&lt;&gt;"Signed"),"Action - contract not signed",IF(AND(M137="Prospective",AD137=""),"Action - follow up quote","OK")))))</f>
        <v>0</v>
      </c>
    </row>
    <row r="138" spans="1:38">
      <c r="A138" s="46">
        <f>IF(B138="","",ClientPrefix&amp;TEXT(ROW()-4,"0000"))</f>
        <v>0</v>
      </c>
      <c r="Y138" s="31">
        <f>IF(B138="","",COUNTIF(Pets!$C$5:$C$254,B138))</f>
        <v>0</v>
      </c>
      <c r="Z138" s="31">
        <f>IF(B138="","",COUNTIFS(Bookings!$C$5:$C$404,B138))</f>
        <v>0</v>
      </c>
      <c r="AA138" s="31">
        <f>IF(B138="","",COUNTIFS('Visit Log'!$D$5:$D$404,B138,'Visit Log'!$AE$5:$AE$404,"Completed"))</f>
        <v>0</v>
      </c>
      <c r="AB138" s="21">
        <f>IF(B138="","",IF(SUMPRODUCT(MAX((Bookings!$C$5:$C$404=B138)*(Bookings!$AM$5:$AM$404="Completed")*Bookings!$I$5:$I$404))=0,"",SUMPRODUCT(MAX((Bookings!$C$5:$C$404=B138)*(Bookings!$AM$5:$AM$404="Completed")*Bookings!$I$5:$I$404))))</f>
        <v>0</v>
      </c>
      <c r="AC138" s="31">
        <f>IF(AB138="","",TODAY()-AB138)</f>
        <v>0</v>
      </c>
      <c r="AD138" s="21">
        <f>IF(B138="","",IF(COUNTIFS(Bookings!$C$5:$C$404,B138,Bookings!$I$5:$I$404,"&gt;="&amp;TODAY(),Bookings!$AM$5:$AM$404,"&lt;&gt;Cancelled")=0,"",SUMPRODUCT(MIN(((Bookings!$C$5:$C$404=B138)*(Bookings!$I$5:$I$404&gt;=TODAY())*(Bookings!$AM$5:$AM$404&lt;&gt;"Cancelled"))*Bookings!$I$5:$I$404+(1-((Bookings!$C$5:$C$404=B138)*(Bookings!$I$5:$I$404&gt;=TODAY())*(Bookings!$AM$5:$AM$404&lt;&gt;"Cancelled")))*2958465))))</f>
        <v>0</v>
      </c>
      <c r="AE138" s="29">
        <f>IF(B138="","",SUMIFS(Payments!$L$5:$L$304,Payments!$C$5:$C$304,B138))</f>
        <v>0</v>
      </c>
      <c r="AF138" s="29">
        <f>IF(B138="","",SUMIFS(Invoices!$O$5:$O$304,Invoices!$D$5:$D$304,B138,Invoices!$T$5:$T$304,"&lt;&gt;Draft"))</f>
        <v>0</v>
      </c>
      <c r="AG138" s="29">
        <f>IF(B138="","",SUMIFS(Invoices!$S$5:$S$304,Invoices!$D$5:$D$304,B138,Invoices!$T$5:$T$304,"&lt;&gt;Cancelled"))</f>
        <v>0</v>
      </c>
      <c r="AH138" s="29">
        <f>IF(OR(Z138="",Z138=0),"",SUMIFS(Bookings!$AK$5:$AK$404,Bookings!$C$5:$C$404,B138,Bookings!$AM$5:$AM$404,"&lt;&gt;Cancelled")/Z138)</f>
        <v>0</v>
      </c>
      <c r="AI138" s="49">
        <f>IF(B138="","",IF(Z138&gt;=LoyaltyThreshold,"Loyalty discount","Standard"))</f>
        <v>0</v>
      </c>
      <c r="AJ138" s="49">
        <f>IF(B138="","",IF(COUNTIF(Clients!$B$5:$B$254,B138)&gt;1,"Duplicate name",IF(AND(C138&lt;&gt;"",COUNTIF(Clients!$C$5:$C$254,C138)&gt;1),"Duplicate phone","OK")))</f>
        <v>0</v>
      </c>
      <c r="AK138" s="49">
        <f>IF(B138="","",IF(AND(C138&lt;&gt;"",D138&lt;&gt;"",L138&lt;&gt;"",M138&lt;&gt;""),"OK","Add: "&amp;IF(C138="","phone ","")&amp;IF(D138="","email ","")&amp;IF(L138="","date ","")&amp;IF(M138="","status","")))</f>
        <v>0</v>
      </c>
      <c r="AL138" s="49">
        <f>IF(B138="","",IF(AG138&gt;0.5,"Overdue - chase payment",IF(AND(M138="Active",ISNUMBER(AC138),AC138&gt;InactiveDays),"Inactive - win back",IF(AND(M138="Active",S138&lt;&gt;"Signed"),"Action - contract not signed",IF(AND(M138="Prospective",AD138=""),"Action - follow up quote","OK")))))</f>
        <v>0</v>
      </c>
    </row>
    <row r="139" spans="1:38">
      <c r="A139" s="46">
        <f>IF(B139="","",ClientPrefix&amp;TEXT(ROW()-4,"0000"))</f>
        <v>0</v>
      </c>
      <c r="Y139" s="31">
        <f>IF(B139="","",COUNTIF(Pets!$C$5:$C$254,B139))</f>
        <v>0</v>
      </c>
      <c r="Z139" s="31">
        <f>IF(B139="","",COUNTIFS(Bookings!$C$5:$C$404,B139))</f>
        <v>0</v>
      </c>
      <c r="AA139" s="31">
        <f>IF(B139="","",COUNTIFS('Visit Log'!$D$5:$D$404,B139,'Visit Log'!$AE$5:$AE$404,"Completed"))</f>
        <v>0</v>
      </c>
      <c r="AB139" s="21">
        <f>IF(B139="","",IF(SUMPRODUCT(MAX((Bookings!$C$5:$C$404=B139)*(Bookings!$AM$5:$AM$404="Completed")*Bookings!$I$5:$I$404))=0,"",SUMPRODUCT(MAX((Bookings!$C$5:$C$404=B139)*(Bookings!$AM$5:$AM$404="Completed")*Bookings!$I$5:$I$404))))</f>
        <v>0</v>
      </c>
      <c r="AC139" s="31">
        <f>IF(AB139="","",TODAY()-AB139)</f>
        <v>0</v>
      </c>
      <c r="AD139" s="21">
        <f>IF(B139="","",IF(COUNTIFS(Bookings!$C$5:$C$404,B139,Bookings!$I$5:$I$404,"&gt;="&amp;TODAY(),Bookings!$AM$5:$AM$404,"&lt;&gt;Cancelled")=0,"",SUMPRODUCT(MIN(((Bookings!$C$5:$C$404=B139)*(Bookings!$I$5:$I$404&gt;=TODAY())*(Bookings!$AM$5:$AM$404&lt;&gt;"Cancelled"))*Bookings!$I$5:$I$404+(1-((Bookings!$C$5:$C$404=B139)*(Bookings!$I$5:$I$404&gt;=TODAY())*(Bookings!$AM$5:$AM$404&lt;&gt;"Cancelled")))*2958465))))</f>
        <v>0</v>
      </c>
      <c r="AE139" s="29">
        <f>IF(B139="","",SUMIFS(Payments!$L$5:$L$304,Payments!$C$5:$C$304,B139))</f>
        <v>0</v>
      </c>
      <c r="AF139" s="29">
        <f>IF(B139="","",SUMIFS(Invoices!$O$5:$O$304,Invoices!$D$5:$D$304,B139,Invoices!$T$5:$T$304,"&lt;&gt;Draft"))</f>
        <v>0</v>
      </c>
      <c r="AG139" s="29">
        <f>IF(B139="","",SUMIFS(Invoices!$S$5:$S$304,Invoices!$D$5:$D$304,B139,Invoices!$T$5:$T$304,"&lt;&gt;Cancelled"))</f>
        <v>0</v>
      </c>
      <c r="AH139" s="29">
        <f>IF(OR(Z139="",Z139=0),"",SUMIFS(Bookings!$AK$5:$AK$404,Bookings!$C$5:$C$404,B139,Bookings!$AM$5:$AM$404,"&lt;&gt;Cancelled")/Z139)</f>
        <v>0</v>
      </c>
      <c r="AI139" s="49">
        <f>IF(B139="","",IF(Z139&gt;=LoyaltyThreshold,"Loyalty discount","Standard"))</f>
        <v>0</v>
      </c>
      <c r="AJ139" s="49">
        <f>IF(B139="","",IF(COUNTIF(Clients!$B$5:$B$254,B139)&gt;1,"Duplicate name",IF(AND(C139&lt;&gt;"",COUNTIF(Clients!$C$5:$C$254,C139)&gt;1),"Duplicate phone","OK")))</f>
        <v>0</v>
      </c>
      <c r="AK139" s="49">
        <f>IF(B139="","",IF(AND(C139&lt;&gt;"",D139&lt;&gt;"",L139&lt;&gt;"",M139&lt;&gt;""),"OK","Add: "&amp;IF(C139="","phone ","")&amp;IF(D139="","email ","")&amp;IF(L139="","date ","")&amp;IF(M139="","status","")))</f>
        <v>0</v>
      </c>
      <c r="AL139" s="49">
        <f>IF(B139="","",IF(AG139&gt;0.5,"Overdue - chase payment",IF(AND(M139="Active",ISNUMBER(AC139),AC139&gt;InactiveDays),"Inactive - win back",IF(AND(M139="Active",S139&lt;&gt;"Signed"),"Action - contract not signed",IF(AND(M139="Prospective",AD139=""),"Action - follow up quote","OK")))))</f>
        <v>0</v>
      </c>
    </row>
    <row r="140" spans="1:38">
      <c r="A140" s="46">
        <f>IF(B140="","",ClientPrefix&amp;TEXT(ROW()-4,"0000"))</f>
        <v>0</v>
      </c>
      <c r="Y140" s="31">
        <f>IF(B140="","",COUNTIF(Pets!$C$5:$C$254,B140))</f>
        <v>0</v>
      </c>
      <c r="Z140" s="31">
        <f>IF(B140="","",COUNTIFS(Bookings!$C$5:$C$404,B140))</f>
        <v>0</v>
      </c>
      <c r="AA140" s="31">
        <f>IF(B140="","",COUNTIFS('Visit Log'!$D$5:$D$404,B140,'Visit Log'!$AE$5:$AE$404,"Completed"))</f>
        <v>0</v>
      </c>
      <c r="AB140" s="21">
        <f>IF(B140="","",IF(SUMPRODUCT(MAX((Bookings!$C$5:$C$404=B140)*(Bookings!$AM$5:$AM$404="Completed")*Bookings!$I$5:$I$404))=0,"",SUMPRODUCT(MAX((Bookings!$C$5:$C$404=B140)*(Bookings!$AM$5:$AM$404="Completed")*Bookings!$I$5:$I$404))))</f>
        <v>0</v>
      </c>
      <c r="AC140" s="31">
        <f>IF(AB140="","",TODAY()-AB140)</f>
        <v>0</v>
      </c>
      <c r="AD140" s="21">
        <f>IF(B140="","",IF(COUNTIFS(Bookings!$C$5:$C$404,B140,Bookings!$I$5:$I$404,"&gt;="&amp;TODAY(),Bookings!$AM$5:$AM$404,"&lt;&gt;Cancelled")=0,"",SUMPRODUCT(MIN(((Bookings!$C$5:$C$404=B140)*(Bookings!$I$5:$I$404&gt;=TODAY())*(Bookings!$AM$5:$AM$404&lt;&gt;"Cancelled"))*Bookings!$I$5:$I$404+(1-((Bookings!$C$5:$C$404=B140)*(Bookings!$I$5:$I$404&gt;=TODAY())*(Bookings!$AM$5:$AM$404&lt;&gt;"Cancelled")))*2958465))))</f>
        <v>0</v>
      </c>
      <c r="AE140" s="29">
        <f>IF(B140="","",SUMIFS(Payments!$L$5:$L$304,Payments!$C$5:$C$304,B140))</f>
        <v>0</v>
      </c>
      <c r="AF140" s="29">
        <f>IF(B140="","",SUMIFS(Invoices!$O$5:$O$304,Invoices!$D$5:$D$304,B140,Invoices!$T$5:$T$304,"&lt;&gt;Draft"))</f>
        <v>0</v>
      </c>
      <c r="AG140" s="29">
        <f>IF(B140="","",SUMIFS(Invoices!$S$5:$S$304,Invoices!$D$5:$D$304,B140,Invoices!$T$5:$T$304,"&lt;&gt;Cancelled"))</f>
        <v>0</v>
      </c>
      <c r="AH140" s="29">
        <f>IF(OR(Z140="",Z140=0),"",SUMIFS(Bookings!$AK$5:$AK$404,Bookings!$C$5:$C$404,B140,Bookings!$AM$5:$AM$404,"&lt;&gt;Cancelled")/Z140)</f>
        <v>0</v>
      </c>
      <c r="AI140" s="49">
        <f>IF(B140="","",IF(Z140&gt;=LoyaltyThreshold,"Loyalty discount","Standard"))</f>
        <v>0</v>
      </c>
      <c r="AJ140" s="49">
        <f>IF(B140="","",IF(COUNTIF(Clients!$B$5:$B$254,B140)&gt;1,"Duplicate name",IF(AND(C140&lt;&gt;"",COUNTIF(Clients!$C$5:$C$254,C140)&gt;1),"Duplicate phone","OK")))</f>
        <v>0</v>
      </c>
      <c r="AK140" s="49">
        <f>IF(B140="","",IF(AND(C140&lt;&gt;"",D140&lt;&gt;"",L140&lt;&gt;"",M140&lt;&gt;""),"OK","Add: "&amp;IF(C140="","phone ","")&amp;IF(D140="","email ","")&amp;IF(L140="","date ","")&amp;IF(M140="","status","")))</f>
        <v>0</v>
      </c>
      <c r="AL140" s="49">
        <f>IF(B140="","",IF(AG140&gt;0.5,"Overdue - chase payment",IF(AND(M140="Active",ISNUMBER(AC140),AC140&gt;InactiveDays),"Inactive - win back",IF(AND(M140="Active",S140&lt;&gt;"Signed"),"Action - contract not signed",IF(AND(M140="Prospective",AD140=""),"Action - follow up quote","OK")))))</f>
        <v>0</v>
      </c>
    </row>
    <row r="141" spans="1:38">
      <c r="A141" s="46">
        <f>IF(B141="","",ClientPrefix&amp;TEXT(ROW()-4,"0000"))</f>
        <v>0</v>
      </c>
      <c r="Y141" s="31">
        <f>IF(B141="","",COUNTIF(Pets!$C$5:$C$254,B141))</f>
        <v>0</v>
      </c>
      <c r="Z141" s="31">
        <f>IF(B141="","",COUNTIFS(Bookings!$C$5:$C$404,B141))</f>
        <v>0</v>
      </c>
      <c r="AA141" s="31">
        <f>IF(B141="","",COUNTIFS('Visit Log'!$D$5:$D$404,B141,'Visit Log'!$AE$5:$AE$404,"Completed"))</f>
        <v>0</v>
      </c>
      <c r="AB141" s="21">
        <f>IF(B141="","",IF(SUMPRODUCT(MAX((Bookings!$C$5:$C$404=B141)*(Bookings!$AM$5:$AM$404="Completed")*Bookings!$I$5:$I$404))=0,"",SUMPRODUCT(MAX((Bookings!$C$5:$C$404=B141)*(Bookings!$AM$5:$AM$404="Completed")*Bookings!$I$5:$I$404))))</f>
        <v>0</v>
      </c>
      <c r="AC141" s="31">
        <f>IF(AB141="","",TODAY()-AB141)</f>
        <v>0</v>
      </c>
      <c r="AD141" s="21">
        <f>IF(B141="","",IF(COUNTIFS(Bookings!$C$5:$C$404,B141,Bookings!$I$5:$I$404,"&gt;="&amp;TODAY(),Bookings!$AM$5:$AM$404,"&lt;&gt;Cancelled")=0,"",SUMPRODUCT(MIN(((Bookings!$C$5:$C$404=B141)*(Bookings!$I$5:$I$404&gt;=TODAY())*(Bookings!$AM$5:$AM$404&lt;&gt;"Cancelled"))*Bookings!$I$5:$I$404+(1-((Bookings!$C$5:$C$404=B141)*(Bookings!$I$5:$I$404&gt;=TODAY())*(Bookings!$AM$5:$AM$404&lt;&gt;"Cancelled")))*2958465))))</f>
        <v>0</v>
      </c>
      <c r="AE141" s="29">
        <f>IF(B141="","",SUMIFS(Payments!$L$5:$L$304,Payments!$C$5:$C$304,B141))</f>
        <v>0</v>
      </c>
      <c r="AF141" s="29">
        <f>IF(B141="","",SUMIFS(Invoices!$O$5:$O$304,Invoices!$D$5:$D$304,B141,Invoices!$T$5:$T$304,"&lt;&gt;Draft"))</f>
        <v>0</v>
      </c>
      <c r="AG141" s="29">
        <f>IF(B141="","",SUMIFS(Invoices!$S$5:$S$304,Invoices!$D$5:$D$304,B141,Invoices!$T$5:$T$304,"&lt;&gt;Cancelled"))</f>
        <v>0</v>
      </c>
      <c r="AH141" s="29">
        <f>IF(OR(Z141="",Z141=0),"",SUMIFS(Bookings!$AK$5:$AK$404,Bookings!$C$5:$C$404,B141,Bookings!$AM$5:$AM$404,"&lt;&gt;Cancelled")/Z141)</f>
        <v>0</v>
      </c>
      <c r="AI141" s="49">
        <f>IF(B141="","",IF(Z141&gt;=LoyaltyThreshold,"Loyalty discount","Standard"))</f>
        <v>0</v>
      </c>
      <c r="AJ141" s="49">
        <f>IF(B141="","",IF(COUNTIF(Clients!$B$5:$B$254,B141)&gt;1,"Duplicate name",IF(AND(C141&lt;&gt;"",COUNTIF(Clients!$C$5:$C$254,C141)&gt;1),"Duplicate phone","OK")))</f>
        <v>0</v>
      </c>
      <c r="AK141" s="49">
        <f>IF(B141="","",IF(AND(C141&lt;&gt;"",D141&lt;&gt;"",L141&lt;&gt;"",M141&lt;&gt;""),"OK","Add: "&amp;IF(C141="","phone ","")&amp;IF(D141="","email ","")&amp;IF(L141="","date ","")&amp;IF(M141="","status","")))</f>
        <v>0</v>
      </c>
      <c r="AL141" s="49">
        <f>IF(B141="","",IF(AG141&gt;0.5,"Overdue - chase payment",IF(AND(M141="Active",ISNUMBER(AC141),AC141&gt;InactiveDays),"Inactive - win back",IF(AND(M141="Active",S141&lt;&gt;"Signed"),"Action - contract not signed",IF(AND(M141="Prospective",AD141=""),"Action - follow up quote","OK")))))</f>
        <v>0</v>
      </c>
    </row>
    <row r="142" spans="1:38">
      <c r="A142" s="46">
        <f>IF(B142="","",ClientPrefix&amp;TEXT(ROW()-4,"0000"))</f>
        <v>0</v>
      </c>
      <c r="Y142" s="31">
        <f>IF(B142="","",COUNTIF(Pets!$C$5:$C$254,B142))</f>
        <v>0</v>
      </c>
      <c r="Z142" s="31">
        <f>IF(B142="","",COUNTIFS(Bookings!$C$5:$C$404,B142))</f>
        <v>0</v>
      </c>
      <c r="AA142" s="31">
        <f>IF(B142="","",COUNTIFS('Visit Log'!$D$5:$D$404,B142,'Visit Log'!$AE$5:$AE$404,"Completed"))</f>
        <v>0</v>
      </c>
      <c r="AB142" s="21">
        <f>IF(B142="","",IF(SUMPRODUCT(MAX((Bookings!$C$5:$C$404=B142)*(Bookings!$AM$5:$AM$404="Completed")*Bookings!$I$5:$I$404))=0,"",SUMPRODUCT(MAX((Bookings!$C$5:$C$404=B142)*(Bookings!$AM$5:$AM$404="Completed")*Bookings!$I$5:$I$404))))</f>
        <v>0</v>
      </c>
      <c r="AC142" s="31">
        <f>IF(AB142="","",TODAY()-AB142)</f>
        <v>0</v>
      </c>
      <c r="AD142" s="21">
        <f>IF(B142="","",IF(COUNTIFS(Bookings!$C$5:$C$404,B142,Bookings!$I$5:$I$404,"&gt;="&amp;TODAY(),Bookings!$AM$5:$AM$404,"&lt;&gt;Cancelled")=0,"",SUMPRODUCT(MIN(((Bookings!$C$5:$C$404=B142)*(Bookings!$I$5:$I$404&gt;=TODAY())*(Bookings!$AM$5:$AM$404&lt;&gt;"Cancelled"))*Bookings!$I$5:$I$404+(1-((Bookings!$C$5:$C$404=B142)*(Bookings!$I$5:$I$404&gt;=TODAY())*(Bookings!$AM$5:$AM$404&lt;&gt;"Cancelled")))*2958465))))</f>
        <v>0</v>
      </c>
      <c r="AE142" s="29">
        <f>IF(B142="","",SUMIFS(Payments!$L$5:$L$304,Payments!$C$5:$C$304,B142))</f>
        <v>0</v>
      </c>
      <c r="AF142" s="29">
        <f>IF(B142="","",SUMIFS(Invoices!$O$5:$O$304,Invoices!$D$5:$D$304,B142,Invoices!$T$5:$T$304,"&lt;&gt;Draft"))</f>
        <v>0</v>
      </c>
      <c r="AG142" s="29">
        <f>IF(B142="","",SUMIFS(Invoices!$S$5:$S$304,Invoices!$D$5:$D$304,B142,Invoices!$T$5:$T$304,"&lt;&gt;Cancelled"))</f>
        <v>0</v>
      </c>
      <c r="AH142" s="29">
        <f>IF(OR(Z142="",Z142=0),"",SUMIFS(Bookings!$AK$5:$AK$404,Bookings!$C$5:$C$404,B142,Bookings!$AM$5:$AM$404,"&lt;&gt;Cancelled")/Z142)</f>
        <v>0</v>
      </c>
      <c r="AI142" s="49">
        <f>IF(B142="","",IF(Z142&gt;=LoyaltyThreshold,"Loyalty discount","Standard"))</f>
        <v>0</v>
      </c>
      <c r="AJ142" s="49">
        <f>IF(B142="","",IF(COUNTIF(Clients!$B$5:$B$254,B142)&gt;1,"Duplicate name",IF(AND(C142&lt;&gt;"",COUNTIF(Clients!$C$5:$C$254,C142)&gt;1),"Duplicate phone","OK")))</f>
        <v>0</v>
      </c>
      <c r="AK142" s="49">
        <f>IF(B142="","",IF(AND(C142&lt;&gt;"",D142&lt;&gt;"",L142&lt;&gt;"",M142&lt;&gt;""),"OK","Add: "&amp;IF(C142="","phone ","")&amp;IF(D142="","email ","")&amp;IF(L142="","date ","")&amp;IF(M142="","status","")))</f>
        <v>0</v>
      </c>
      <c r="AL142" s="49">
        <f>IF(B142="","",IF(AG142&gt;0.5,"Overdue - chase payment",IF(AND(M142="Active",ISNUMBER(AC142),AC142&gt;InactiveDays),"Inactive - win back",IF(AND(M142="Active",S142&lt;&gt;"Signed"),"Action - contract not signed",IF(AND(M142="Prospective",AD142=""),"Action - follow up quote","OK")))))</f>
        <v>0</v>
      </c>
    </row>
    <row r="143" spans="1:38">
      <c r="A143" s="46">
        <f>IF(B143="","",ClientPrefix&amp;TEXT(ROW()-4,"0000"))</f>
        <v>0</v>
      </c>
      <c r="Y143" s="31">
        <f>IF(B143="","",COUNTIF(Pets!$C$5:$C$254,B143))</f>
        <v>0</v>
      </c>
      <c r="Z143" s="31">
        <f>IF(B143="","",COUNTIFS(Bookings!$C$5:$C$404,B143))</f>
        <v>0</v>
      </c>
      <c r="AA143" s="31">
        <f>IF(B143="","",COUNTIFS('Visit Log'!$D$5:$D$404,B143,'Visit Log'!$AE$5:$AE$404,"Completed"))</f>
        <v>0</v>
      </c>
      <c r="AB143" s="21">
        <f>IF(B143="","",IF(SUMPRODUCT(MAX((Bookings!$C$5:$C$404=B143)*(Bookings!$AM$5:$AM$404="Completed")*Bookings!$I$5:$I$404))=0,"",SUMPRODUCT(MAX((Bookings!$C$5:$C$404=B143)*(Bookings!$AM$5:$AM$404="Completed")*Bookings!$I$5:$I$404))))</f>
        <v>0</v>
      </c>
      <c r="AC143" s="31">
        <f>IF(AB143="","",TODAY()-AB143)</f>
        <v>0</v>
      </c>
      <c r="AD143" s="21">
        <f>IF(B143="","",IF(COUNTIFS(Bookings!$C$5:$C$404,B143,Bookings!$I$5:$I$404,"&gt;="&amp;TODAY(),Bookings!$AM$5:$AM$404,"&lt;&gt;Cancelled")=0,"",SUMPRODUCT(MIN(((Bookings!$C$5:$C$404=B143)*(Bookings!$I$5:$I$404&gt;=TODAY())*(Bookings!$AM$5:$AM$404&lt;&gt;"Cancelled"))*Bookings!$I$5:$I$404+(1-((Bookings!$C$5:$C$404=B143)*(Bookings!$I$5:$I$404&gt;=TODAY())*(Bookings!$AM$5:$AM$404&lt;&gt;"Cancelled")))*2958465))))</f>
        <v>0</v>
      </c>
      <c r="AE143" s="29">
        <f>IF(B143="","",SUMIFS(Payments!$L$5:$L$304,Payments!$C$5:$C$304,B143))</f>
        <v>0</v>
      </c>
      <c r="AF143" s="29">
        <f>IF(B143="","",SUMIFS(Invoices!$O$5:$O$304,Invoices!$D$5:$D$304,B143,Invoices!$T$5:$T$304,"&lt;&gt;Draft"))</f>
        <v>0</v>
      </c>
      <c r="AG143" s="29">
        <f>IF(B143="","",SUMIFS(Invoices!$S$5:$S$304,Invoices!$D$5:$D$304,B143,Invoices!$T$5:$T$304,"&lt;&gt;Cancelled"))</f>
        <v>0</v>
      </c>
      <c r="AH143" s="29">
        <f>IF(OR(Z143="",Z143=0),"",SUMIFS(Bookings!$AK$5:$AK$404,Bookings!$C$5:$C$404,B143,Bookings!$AM$5:$AM$404,"&lt;&gt;Cancelled")/Z143)</f>
        <v>0</v>
      </c>
      <c r="AI143" s="49">
        <f>IF(B143="","",IF(Z143&gt;=LoyaltyThreshold,"Loyalty discount","Standard"))</f>
        <v>0</v>
      </c>
      <c r="AJ143" s="49">
        <f>IF(B143="","",IF(COUNTIF(Clients!$B$5:$B$254,B143)&gt;1,"Duplicate name",IF(AND(C143&lt;&gt;"",COUNTIF(Clients!$C$5:$C$254,C143)&gt;1),"Duplicate phone","OK")))</f>
        <v>0</v>
      </c>
      <c r="AK143" s="49">
        <f>IF(B143="","",IF(AND(C143&lt;&gt;"",D143&lt;&gt;"",L143&lt;&gt;"",M143&lt;&gt;""),"OK","Add: "&amp;IF(C143="","phone ","")&amp;IF(D143="","email ","")&amp;IF(L143="","date ","")&amp;IF(M143="","status","")))</f>
        <v>0</v>
      </c>
      <c r="AL143" s="49">
        <f>IF(B143="","",IF(AG143&gt;0.5,"Overdue - chase payment",IF(AND(M143="Active",ISNUMBER(AC143),AC143&gt;InactiveDays),"Inactive - win back",IF(AND(M143="Active",S143&lt;&gt;"Signed"),"Action - contract not signed",IF(AND(M143="Prospective",AD143=""),"Action - follow up quote","OK")))))</f>
        <v>0</v>
      </c>
    </row>
    <row r="144" spans="1:38">
      <c r="A144" s="46">
        <f>IF(B144="","",ClientPrefix&amp;TEXT(ROW()-4,"0000"))</f>
        <v>0</v>
      </c>
      <c r="Y144" s="31">
        <f>IF(B144="","",COUNTIF(Pets!$C$5:$C$254,B144))</f>
        <v>0</v>
      </c>
      <c r="Z144" s="31">
        <f>IF(B144="","",COUNTIFS(Bookings!$C$5:$C$404,B144))</f>
        <v>0</v>
      </c>
      <c r="AA144" s="31">
        <f>IF(B144="","",COUNTIFS('Visit Log'!$D$5:$D$404,B144,'Visit Log'!$AE$5:$AE$404,"Completed"))</f>
        <v>0</v>
      </c>
      <c r="AB144" s="21">
        <f>IF(B144="","",IF(SUMPRODUCT(MAX((Bookings!$C$5:$C$404=B144)*(Bookings!$AM$5:$AM$404="Completed")*Bookings!$I$5:$I$404))=0,"",SUMPRODUCT(MAX((Bookings!$C$5:$C$404=B144)*(Bookings!$AM$5:$AM$404="Completed")*Bookings!$I$5:$I$404))))</f>
        <v>0</v>
      </c>
      <c r="AC144" s="31">
        <f>IF(AB144="","",TODAY()-AB144)</f>
        <v>0</v>
      </c>
      <c r="AD144" s="21">
        <f>IF(B144="","",IF(COUNTIFS(Bookings!$C$5:$C$404,B144,Bookings!$I$5:$I$404,"&gt;="&amp;TODAY(),Bookings!$AM$5:$AM$404,"&lt;&gt;Cancelled")=0,"",SUMPRODUCT(MIN(((Bookings!$C$5:$C$404=B144)*(Bookings!$I$5:$I$404&gt;=TODAY())*(Bookings!$AM$5:$AM$404&lt;&gt;"Cancelled"))*Bookings!$I$5:$I$404+(1-((Bookings!$C$5:$C$404=B144)*(Bookings!$I$5:$I$404&gt;=TODAY())*(Bookings!$AM$5:$AM$404&lt;&gt;"Cancelled")))*2958465))))</f>
        <v>0</v>
      </c>
      <c r="AE144" s="29">
        <f>IF(B144="","",SUMIFS(Payments!$L$5:$L$304,Payments!$C$5:$C$304,B144))</f>
        <v>0</v>
      </c>
      <c r="AF144" s="29">
        <f>IF(B144="","",SUMIFS(Invoices!$O$5:$O$304,Invoices!$D$5:$D$304,B144,Invoices!$T$5:$T$304,"&lt;&gt;Draft"))</f>
        <v>0</v>
      </c>
      <c r="AG144" s="29">
        <f>IF(B144="","",SUMIFS(Invoices!$S$5:$S$304,Invoices!$D$5:$D$304,B144,Invoices!$T$5:$T$304,"&lt;&gt;Cancelled"))</f>
        <v>0</v>
      </c>
      <c r="AH144" s="29">
        <f>IF(OR(Z144="",Z144=0),"",SUMIFS(Bookings!$AK$5:$AK$404,Bookings!$C$5:$C$404,B144,Bookings!$AM$5:$AM$404,"&lt;&gt;Cancelled")/Z144)</f>
        <v>0</v>
      </c>
      <c r="AI144" s="49">
        <f>IF(B144="","",IF(Z144&gt;=LoyaltyThreshold,"Loyalty discount","Standard"))</f>
        <v>0</v>
      </c>
      <c r="AJ144" s="49">
        <f>IF(B144="","",IF(COUNTIF(Clients!$B$5:$B$254,B144)&gt;1,"Duplicate name",IF(AND(C144&lt;&gt;"",COUNTIF(Clients!$C$5:$C$254,C144)&gt;1),"Duplicate phone","OK")))</f>
        <v>0</v>
      </c>
      <c r="AK144" s="49">
        <f>IF(B144="","",IF(AND(C144&lt;&gt;"",D144&lt;&gt;"",L144&lt;&gt;"",M144&lt;&gt;""),"OK","Add: "&amp;IF(C144="","phone ","")&amp;IF(D144="","email ","")&amp;IF(L144="","date ","")&amp;IF(M144="","status","")))</f>
        <v>0</v>
      </c>
      <c r="AL144" s="49">
        <f>IF(B144="","",IF(AG144&gt;0.5,"Overdue - chase payment",IF(AND(M144="Active",ISNUMBER(AC144),AC144&gt;InactiveDays),"Inactive - win back",IF(AND(M144="Active",S144&lt;&gt;"Signed"),"Action - contract not signed",IF(AND(M144="Prospective",AD144=""),"Action - follow up quote","OK")))))</f>
        <v>0</v>
      </c>
    </row>
    <row r="145" spans="1:38">
      <c r="A145" s="46">
        <f>IF(B145="","",ClientPrefix&amp;TEXT(ROW()-4,"0000"))</f>
        <v>0</v>
      </c>
      <c r="Y145" s="31">
        <f>IF(B145="","",COUNTIF(Pets!$C$5:$C$254,B145))</f>
        <v>0</v>
      </c>
      <c r="Z145" s="31">
        <f>IF(B145="","",COUNTIFS(Bookings!$C$5:$C$404,B145))</f>
        <v>0</v>
      </c>
      <c r="AA145" s="31">
        <f>IF(B145="","",COUNTIFS('Visit Log'!$D$5:$D$404,B145,'Visit Log'!$AE$5:$AE$404,"Completed"))</f>
        <v>0</v>
      </c>
      <c r="AB145" s="21">
        <f>IF(B145="","",IF(SUMPRODUCT(MAX((Bookings!$C$5:$C$404=B145)*(Bookings!$AM$5:$AM$404="Completed")*Bookings!$I$5:$I$404))=0,"",SUMPRODUCT(MAX((Bookings!$C$5:$C$404=B145)*(Bookings!$AM$5:$AM$404="Completed")*Bookings!$I$5:$I$404))))</f>
        <v>0</v>
      </c>
      <c r="AC145" s="31">
        <f>IF(AB145="","",TODAY()-AB145)</f>
        <v>0</v>
      </c>
      <c r="AD145" s="21">
        <f>IF(B145="","",IF(COUNTIFS(Bookings!$C$5:$C$404,B145,Bookings!$I$5:$I$404,"&gt;="&amp;TODAY(),Bookings!$AM$5:$AM$404,"&lt;&gt;Cancelled")=0,"",SUMPRODUCT(MIN(((Bookings!$C$5:$C$404=B145)*(Bookings!$I$5:$I$404&gt;=TODAY())*(Bookings!$AM$5:$AM$404&lt;&gt;"Cancelled"))*Bookings!$I$5:$I$404+(1-((Bookings!$C$5:$C$404=B145)*(Bookings!$I$5:$I$404&gt;=TODAY())*(Bookings!$AM$5:$AM$404&lt;&gt;"Cancelled")))*2958465))))</f>
        <v>0</v>
      </c>
      <c r="AE145" s="29">
        <f>IF(B145="","",SUMIFS(Payments!$L$5:$L$304,Payments!$C$5:$C$304,B145))</f>
        <v>0</v>
      </c>
      <c r="AF145" s="29">
        <f>IF(B145="","",SUMIFS(Invoices!$O$5:$O$304,Invoices!$D$5:$D$304,B145,Invoices!$T$5:$T$304,"&lt;&gt;Draft"))</f>
        <v>0</v>
      </c>
      <c r="AG145" s="29">
        <f>IF(B145="","",SUMIFS(Invoices!$S$5:$S$304,Invoices!$D$5:$D$304,B145,Invoices!$T$5:$T$304,"&lt;&gt;Cancelled"))</f>
        <v>0</v>
      </c>
      <c r="AH145" s="29">
        <f>IF(OR(Z145="",Z145=0),"",SUMIFS(Bookings!$AK$5:$AK$404,Bookings!$C$5:$C$404,B145,Bookings!$AM$5:$AM$404,"&lt;&gt;Cancelled")/Z145)</f>
        <v>0</v>
      </c>
      <c r="AI145" s="49">
        <f>IF(B145="","",IF(Z145&gt;=LoyaltyThreshold,"Loyalty discount","Standard"))</f>
        <v>0</v>
      </c>
      <c r="AJ145" s="49">
        <f>IF(B145="","",IF(COUNTIF(Clients!$B$5:$B$254,B145)&gt;1,"Duplicate name",IF(AND(C145&lt;&gt;"",COUNTIF(Clients!$C$5:$C$254,C145)&gt;1),"Duplicate phone","OK")))</f>
        <v>0</v>
      </c>
      <c r="AK145" s="49">
        <f>IF(B145="","",IF(AND(C145&lt;&gt;"",D145&lt;&gt;"",L145&lt;&gt;"",M145&lt;&gt;""),"OK","Add: "&amp;IF(C145="","phone ","")&amp;IF(D145="","email ","")&amp;IF(L145="","date ","")&amp;IF(M145="","status","")))</f>
        <v>0</v>
      </c>
      <c r="AL145" s="49">
        <f>IF(B145="","",IF(AG145&gt;0.5,"Overdue - chase payment",IF(AND(M145="Active",ISNUMBER(AC145),AC145&gt;InactiveDays),"Inactive - win back",IF(AND(M145="Active",S145&lt;&gt;"Signed"),"Action - contract not signed",IF(AND(M145="Prospective",AD145=""),"Action - follow up quote","OK")))))</f>
        <v>0</v>
      </c>
    </row>
    <row r="146" spans="1:38">
      <c r="A146" s="46">
        <f>IF(B146="","",ClientPrefix&amp;TEXT(ROW()-4,"0000"))</f>
        <v>0</v>
      </c>
      <c r="Y146" s="31">
        <f>IF(B146="","",COUNTIF(Pets!$C$5:$C$254,B146))</f>
        <v>0</v>
      </c>
      <c r="Z146" s="31">
        <f>IF(B146="","",COUNTIFS(Bookings!$C$5:$C$404,B146))</f>
        <v>0</v>
      </c>
      <c r="AA146" s="31">
        <f>IF(B146="","",COUNTIFS('Visit Log'!$D$5:$D$404,B146,'Visit Log'!$AE$5:$AE$404,"Completed"))</f>
        <v>0</v>
      </c>
      <c r="AB146" s="21">
        <f>IF(B146="","",IF(SUMPRODUCT(MAX((Bookings!$C$5:$C$404=B146)*(Bookings!$AM$5:$AM$404="Completed")*Bookings!$I$5:$I$404))=0,"",SUMPRODUCT(MAX((Bookings!$C$5:$C$404=B146)*(Bookings!$AM$5:$AM$404="Completed")*Bookings!$I$5:$I$404))))</f>
        <v>0</v>
      </c>
      <c r="AC146" s="31">
        <f>IF(AB146="","",TODAY()-AB146)</f>
        <v>0</v>
      </c>
      <c r="AD146" s="21">
        <f>IF(B146="","",IF(COUNTIFS(Bookings!$C$5:$C$404,B146,Bookings!$I$5:$I$404,"&gt;="&amp;TODAY(),Bookings!$AM$5:$AM$404,"&lt;&gt;Cancelled")=0,"",SUMPRODUCT(MIN(((Bookings!$C$5:$C$404=B146)*(Bookings!$I$5:$I$404&gt;=TODAY())*(Bookings!$AM$5:$AM$404&lt;&gt;"Cancelled"))*Bookings!$I$5:$I$404+(1-((Bookings!$C$5:$C$404=B146)*(Bookings!$I$5:$I$404&gt;=TODAY())*(Bookings!$AM$5:$AM$404&lt;&gt;"Cancelled")))*2958465))))</f>
        <v>0</v>
      </c>
      <c r="AE146" s="29">
        <f>IF(B146="","",SUMIFS(Payments!$L$5:$L$304,Payments!$C$5:$C$304,B146))</f>
        <v>0</v>
      </c>
      <c r="AF146" s="29">
        <f>IF(B146="","",SUMIFS(Invoices!$O$5:$O$304,Invoices!$D$5:$D$304,B146,Invoices!$T$5:$T$304,"&lt;&gt;Draft"))</f>
        <v>0</v>
      </c>
      <c r="AG146" s="29">
        <f>IF(B146="","",SUMIFS(Invoices!$S$5:$S$304,Invoices!$D$5:$D$304,B146,Invoices!$T$5:$T$304,"&lt;&gt;Cancelled"))</f>
        <v>0</v>
      </c>
      <c r="AH146" s="29">
        <f>IF(OR(Z146="",Z146=0),"",SUMIFS(Bookings!$AK$5:$AK$404,Bookings!$C$5:$C$404,B146,Bookings!$AM$5:$AM$404,"&lt;&gt;Cancelled")/Z146)</f>
        <v>0</v>
      </c>
      <c r="AI146" s="49">
        <f>IF(B146="","",IF(Z146&gt;=LoyaltyThreshold,"Loyalty discount","Standard"))</f>
        <v>0</v>
      </c>
      <c r="AJ146" s="49">
        <f>IF(B146="","",IF(COUNTIF(Clients!$B$5:$B$254,B146)&gt;1,"Duplicate name",IF(AND(C146&lt;&gt;"",COUNTIF(Clients!$C$5:$C$254,C146)&gt;1),"Duplicate phone","OK")))</f>
        <v>0</v>
      </c>
      <c r="AK146" s="49">
        <f>IF(B146="","",IF(AND(C146&lt;&gt;"",D146&lt;&gt;"",L146&lt;&gt;"",M146&lt;&gt;""),"OK","Add: "&amp;IF(C146="","phone ","")&amp;IF(D146="","email ","")&amp;IF(L146="","date ","")&amp;IF(M146="","status","")))</f>
        <v>0</v>
      </c>
      <c r="AL146" s="49">
        <f>IF(B146="","",IF(AG146&gt;0.5,"Overdue - chase payment",IF(AND(M146="Active",ISNUMBER(AC146),AC146&gt;InactiveDays),"Inactive - win back",IF(AND(M146="Active",S146&lt;&gt;"Signed"),"Action - contract not signed",IF(AND(M146="Prospective",AD146=""),"Action - follow up quote","OK")))))</f>
        <v>0</v>
      </c>
    </row>
    <row r="147" spans="1:38">
      <c r="A147" s="46">
        <f>IF(B147="","",ClientPrefix&amp;TEXT(ROW()-4,"0000"))</f>
        <v>0</v>
      </c>
      <c r="Y147" s="31">
        <f>IF(B147="","",COUNTIF(Pets!$C$5:$C$254,B147))</f>
        <v>0</v>
      </c>
      <c r="Z147" s="31">
        <f>IF(B147="","",COUNTIFS(Bookings!$C$5:$C$404,B147))</f>
        <v>0</v>
      </c>
      <c r="AA147" s="31">
        <f>IF(B147="","",COUNTIFS('Visit Log'!$D$5:$D$404,B147,'Visit Log'!$AE$5:$AE$404,"Completed"))</f>
        <v>0</v>
      </c>
      <c r="AB147" s="21">
        <f>IF(B147="","",IF(SUMPRODUCT(MAX((Bookings!$C$5:$C$404=B147)*(Bookings!$AM$5:$AM$404="Completed")*Bookings!$I$5:$I$404))=0,"",SUMPRODUCT(MAX((Bookings!$C$5:$C$404=B147)*(Bookings!$AM$5:$AM$404="Completed")*Bookings!$I$5:$I$404))))</f>
        <v>0</v>
      </c>
      <c r="AC147" s="31">
        <f>IF(AB147="","",TODAY()-AB147)</f>
        <v>0</v>
      </c>
      <c r="AD147" s="21">
        <f>IF(B147="","",IF(COUNTIFS(Bookings!$C$5:$C$404,B147,Bookings!$I$5:$I$404,"&gt;="&amp;TODAY(),Bookings!$AM$5:$AM$404,"&lt;&gt;Cancelled")=0,"",SUMPRODUCT(MIN(((Bookings!$C$5:$C$404=B147)*(Bookings!$I$5:$I$404&gt;=TODAY())*(Bookings!$AM$5:$AM$404&lt;&gt;"Cancelled"))*Bookings!$I$5:$I$404+(1-((Bookings!$C$5:$C$404=B147)*(Bookings!$I$5:$I$404&gt;=TODAY())*(Bookings!$AM$5:$AM$404&lt;&gt;"Cancelled")))*2958465))))</f>
        <v>0</v>
      </c>
      <c r="AE147" s="29">
        <f>IF(B147="","",SUMIFS(Payments!$L$5:$L$304,Payments!$C$5:$C$304,B147))</f>
        <v>0</v>
      </c>
      <c r="AF147" s="29">
        <f>IF(B147="","",SUMIFS(Invoices!$O$5:$O$304,Invoices!$D$5:$D$304,B147,Invoices!$T$5:$T$304,"&lt;&gt;Draft"))</f>
        <v>0</v>
      </c>
      <c r="AG147" s="29">
        <f>IF(B147="","",SUMIFS(Invoices!$S$5:$S$304,Invoices!$D$5:$D$304,B147,Invoices!$T$5:$T$304,"&lt;&gt;Cancelled"))</f>
        <v>0</v>
      </c>
      <c r="AH147" s="29">
        <f>IF(OR(Z147="",Z147=0),"",SUMIFS(Bookings!$AK$5:$AK$404,Bookings!$C$5:$C$404,B147,Bookings!$AM$5:$AM$404,"&lt;&gt;Cancelled")/Z147)</f>
        <v>0</v>
      </c>
      <c r="AI147" s="49">
        <f>IF(B147="","",IF(Z147&gt;=LoyaltyThreshold,"Loyalty discount","Standard"))</f>
        <v>0</v>
      </c>
      <c r="AJ147" s="49">
        <f>IF(B147="","",IF(COUNTIF(Clients!$B$5:$B$254,B147)&gt;1,"Duplicate name",IF(AND(C147&lt;&gt;"",COUNTIF(Clients!$C$5:$C$254,C147)&gt;1),"Duplicate phone","OK")))</f>
        <v>0</v>
      </c>
      <c r="AK147" s="49">
        <f>IF(B147="","",IF(AND(C147&lt;&gt;"",D147&lt;&gt;"",L147&lt;&gt;"",M147&lt;&gt;""),"OK","Add: "&amp;IF(C147="","phone ","")&amp;IF(D147="","email ","")&amp;IF(L147="","date ","")&amp;IF(M147="","status","")))</f>
        <v>0</v>
      </c>
      <c r="AL147" s="49">
        <f>IF(B147="","",IF(AG147&gt;0.5,"Overdue - chase payment",IF(AND(M147="Active",ISNUMBER(AC147),AC147&gt;InactiveDays),"Inactive - win back",IF(AND(M147="Active",S147&lt;&gt;"Signed"),"Action - contract not signed",IF(AND(M147="Prospective",AD147=""),"Action - follow up quote","OK")))))</f>
        <v>0</v>
      </c>
    </row>
    <row r="148" spans="1:38">
      <c r="A148" s="46">
        <f>IF(B148="","",ClientPrefix&amp;TEXT(ROW()-4,"0000"))</f>
        <v>0</v>
      </c>
      <c r="Y148" s="31">
        <f>IF(B148="","",COUNTIF(Pets!$C$5:$C$254,B148))</f>
        <v>0</v>
      </c>
      <c r="Z148" s="31">
        <f>IF(B148="","",COUNTIFS(Bookings!$C$5:$C$404,B148))</f>
        <v>0</v>
      </c>
      <c r="AA148" s="31">
        <f>IF(B148="","",COUNTIFS('Visit Log'!$D$5:$D$404,B148,'Visit Log'!$AE$5:$AE$404,"Completed"))</f>
        <v>0</v>
      </c>
      <c r="AB148" s="21">
        <f>IF(B148="","",IF(SUMPRODUCT(MAX((Bookings!$C$5:$C$404=B148)*(Bookings!$AM$5:$AM$404="Completed")*Bookings!$I$5:$I$404))=0,"",SUMPRODUCT(MAX((Bookings!$C$5:$C$404=B148)*(Bookings!$AM$5:$AM$404="Completed")*Bookings!$I$5:$I$404))))</f>
        <v>0</v>
      </c>
      <c r="AC148" s="31">
        <f>IF(AB148="","",TODAY()-AB148)</f>
        <v>0</v>
      </c>
      <c r="AD148" s="21">
        <f>IF(B148="","",IF(COUNTIFS(Bookings!$C$5:$C$404,B148,Bookings!$I$5:$I$404,"&gt;="&amp;TODAY(),Bookings!$AM$5:$AM$404,"&lt;&gt;Cancelled")=0,"",SUMPRODUCT(MIN(((Bookings!$C$5:$C$404=B148)*(Bookings!$I$5:$I$404&gt;=TODAY())*(Bookings!$AM$5:$AM$404&lt;&gt;"Cancelled"))*Bookings!$I$5:$I$404+(1-((Bookings!$C$5:$C$404=B148)*(Bookings!$I$5:$I$404&gt;=TODAY())*(Bookings!$AM$5:$AM$404&lt;&gt;"Cancelled")))*2958465))))</f>
        <v>0</v>
      </c>
      <c r="AE148" s="29">
        <f>IF(B148="","",SUMIFS(Payments!$L$5:$L$304,Payments!$C$5:$C$304,B148))</f>
        <v>0</v>
      </c>
      <c r="AF148" s="29">
        <f>IF(B148="","",SUMIFS(Invoices!$O$5:$O$304,Invoices!$D$5:$D$304,B148,Invoices!$T$5:$T$304,"&lt;&gt;Draft"))</f>
        <v>0</v>
      </c>
      <c r="AG148" s="29">
        <f>IF(B148="","",SUMIFS(Invoices!$S$5:$S$304,Invoices!$D$5:$D$304,B148,Invoices!$T$5:$T$304,"&lt;&gt;Cancelled"))</f>
        <v>0</v>
      </c>
      <c r="AH148" s="29">
        <f>IF(OR(Z148="",Z148=0),"",SUMIFS(Bookings!$AK$5:$AK$404,Bookings!$C$5:$C$404,B148,Bookings!$AM$5:$AM$404,"&lt;&gt;Cancelled")/Z148)</f>
        <v>0</v>
      </c>
      <c r="AI148" s="49">
        <f>IF(B148="","",IF(Z148&gt;=LoyaltyThreshold,"Loyalty discount","Standard"))</f>
        <v>0</v>
      </c>
      <c r="AJ148" s="49">
        <f>IF(B148="","",IF(COUNTIF(Clients!$B$5:$B$254,B148)&gt;1,"Duplicate name",IF(AND(C148&lt;&gt;"",COUNTIF(Clients!$C$5:$C$254,C148)&gt;1),"Duplicate phone","OK")))</f>
        <v>0</v>
      </c>
      <c r="AK148" s="49">
        <f>IF(B148="","",IF(AND(C148&lt;&gt;"",D148&lt;&gt;"",L148&lt;&gt;"",M148&lt;&gt;""),"OK","Add: "&amp;IF(C148="","phone ","")&amp;IF(D148="","email ","")&amp;IF(L148="","date ","")&amp;IF(M148="","status","")))</f>
        <v>0</v>
      </c>
      <c r="AL148" s="49">
        <f>IF(B148="","",IF(AG148&gt;0.5,"Overdue - chase payment",IF(AND(M148="Active",ISNUMBER(AC148),AC148&gt;InactiveDays),"Inactive - win back",IF(AND(M148="Active",S148&lt;&gt;"Signed"),"Action - contract not signed",IF(AND(M148="Prospective",AD148=""),"Action - follow up quote","OK")))))</f>
        <v>0</v>
      </c>
    </row>
    <row r="149" spans="1:38">
      <c r="A149" s="46">
        <f>IF(B149="","",ClientPrefix&amp;TEXT(ROW()-4,"0000"))</f>
        <v>0</v>
      </c>
      <c r="Y149" s="31">
        <f>IF(B149="","",COUNTIF(Pets!$C$5:$C$254,B149))</f>
        <v>0</v>
      </c>
      <c r="Z149" s="31">
        <f>IF(B149="","",COUNTIFS(Bookings!$C$5:$C$404,B149))</f>
        <v>0</v>
      </c>
      <c r="AA149" s="31">
        <f>IF(B149="","",COUNTIFS('Visit Log'!$D$5:$D$404,B149,'Visit Log'!$AE$5:$AE$404,"Completed"))</f>
        <v>0</v>
      </c>
      <c r="AB149" s="21">
        <f>IF(B149="","",IF(SUMPRODUCT(MAX((Bookings!$C$5:$C$404=B149)*(Bookings!$AM$5:$AM$404="Completed")*Bookings!$I$5:$I$404))=0,"",SUMPRODUCT(MAX((Bookings!$C$5:$C$404=B149)*(Bookings!$AM$5:$AM$404="Completed")*Bookings!$I$5:$I$404))))</f>
        <v>0</v>
      </c>
      <c r="AC149" s="31">
        <f>IF(AB149="","",TODAY()-AB149)</f>
        <v>0</v>
      </c>
      <c r="AD149" s="21">
        <f>IF(B149="","",IF(COUNTIFS(Bookings!$C$5:$C$404,B149,Bookings!$I$5:$I$404,"&gt;="&amp;TODAY(),Bookings!$AM$5:$AM$404,"&lt;&gt;Cancelled")=0,"",SUMPRODUCT(MIN(((Bookings!$C$5:$C$404=B149)*(Bookings!$I$5:$I$404&gt;=TODAY())*(Bookings!$AM$5:$AM$404&lt;&gt;"Cancelled"))*Bookings!$I$5:$I$404+(1-((Bookings!$C$5:$C$404=B149)*(Bookings!$I$5:$I$404&gt;=TODAY())*(Bookings!$AM$5:$AM$404&lt;&gt;"Cancelled")))*2958465))))</f>
        <v>0</v>
      </c>
      <c r="AE149" s="29">
        <f>IF(B149="","",SUMIFS(Payments!$L$5:$L$304,Payments!$C$5:$C$304,B149))</f>
        <v>0</v>
      </c>
      <c r="AF149" s="29">
        <f>IF(B149="","",SUMIFS(Invoices!$O$5:$O$304,Invoices!$D$5:$D$304,B149,Invoices!$T$5:$T$304,"&lt;&gt;Draft"))</f>
        <v>0</v>
      </c>
      <c r="AG149" s="29">
        <f>IF(B149="","",SUMIFS(Invoices!$S$5:$S$304,Invoices!$D$5:$D$304,B149,Invoices!$T$5:$T$304,"&lt;&gt;Cancelled"))</f>
        <v>0</v>
      </c>
      <c r="AH149" s="29">
        <f>IF(OR(Z149="",Z149=0),"",SUMIFS(Bookings!$AK$5:$AK$404,Bookings!$C$5:$C$404,B149,Bookings!$AM$5:$AM$404,"&lt;&gt;Cancelled")/Z149)</f>
        <v>0</v>
      </c>
      <c r="AI149" s="49">
        <f>IF(B149="","",IF(Z149&gt;=LoyaltyThreshold,"Loyalty discount","Standard"))</f>
        <v>0</v>
      </c>
      <c r="AJ149" s="49">
        <f>IF(B149="","",IF(COUNTIF(Clients!$B$5:$B$254,B149)&gt;1,"Duplicate name",IF(AND(C149&lt;&gt;"",COUNTIF(Clients!$C$5:$C$254,C149)&gt;1),"Duplicate phone","OK")))</f>
        <v>0</v>
      </c>
      <c r="AK149" s="49">
        <f>IF(B149="","",IF(AND(C149&lt;&gt;"",D149&lt;&gt;"",L149&lt;&gt;"",M149&lt;&gt;""),"OK","Add: "&amp;IF(C149="","phone ","")&amp;IF(D149="","email ","")&amp;IF(L149="","date ","")&amp;IF(M149="","status","")))</f>
        <v>0</v>
      </c>
      <c r="AL149" s="49">
        <f>IF(B149="","",IF(AG149&gt;0.5,"Overdue - chase payment",IF(AND(M149="Active",ISNUMBER(AC149),AC149&gt;InactiveDays),"Inactive - win back",IF(AND(M149="Active",S149&lt;&gt;"Signed"),"Action - contract not signed",IF(AND(M149="Prospective",AD149=""),"Action - follow up quote","OK")))))</f>
        <v>0</v>
      </c>
    </row>
    <row r="150" spans="1:38">
      <c r="A150" s="46">
        <f>IF(B150="","",ClientPrefix&amp;TEXT(ROW()-4,"0000"))</f>
        <v>0</v>
      </c>
      <c r="Y150" s="31">
        <f>IF(B150="","",COUNTIF(Pets!$C$5:$C$254,B150))</f>
        <v>0</v>
      </c>
      <c r="Z150" s="31">
        <f>IF(B150="","",COUNTIFS(Bookings!$C$5:$C$404,B150))</f>
        <v>0</v>
      </c>
      <c r="AA150" s="31">
        <f>IF(B150="","",COUNTIFS('Visit Log'!$D$5:$D$404,B150,'Visit Log'!$AE$5:$AE$404,"Completed"))</f>
        <v>0</v>
      </c>
      <c r="AB150" s="21">
        <f>IF(B150="","",IF(SUMPRODUCT(MAX((Bookings!$C$5:$C$404=B150)*(Bookings!$AM$5:$AM$404="Completed")*Bookings!$I$5:$I$404))=0,"",SUMPRODUCT(MAX((Bookings!$C$5:$C$404=B150)*(Bookings!$AM$5:$AM$404="Completed")*Bookings!$I$5:$I$404))))</f>
        <v>0</v>
      </c>
      <c r="AC150" s="31">
        <f>IF(AB150="","",TODAY()-AB150)</f>
        <v>0</v>
      </c>
      <c r="AD150" s="21">
        <f>IF(B150="","",IF(COUNTIFS(Bookings!$C$5:$C$404,B150,Bookings!$I$5:$I$404,"&gt;="&amp;TODAY(),Bookings!$AM$5:$AM$404,"&lt;&gt;Cancelled")=0,"",SUMPRODUCT(MIN(((Bookings!$C$5:$C$404=B150)*(Bookings!$I$5:$I$404&gt;=TODAY())*(Bookings!$AM$5:$AM$404&lt;&gt;"Cancelled"))*Bookings!$I$5:$I$404+(1-((Bookings!$C$5:$C$404=B150)*(Bookings!$I$5:$I$404&gt;=TODAY())*(Bookings!$AM$5:$AM$404&lt;&gt;"Cancelled")))*2958465))))</f>
        <v>0</v>
      </c>
      <c r="AE150" s="29">
        <f>IF(B150="","",SUMIFS(Payments!$L$5:$L$304,Payments!$C$5:$C$304,B150))</f>
        <v>0</v>
      </c>
      <c r="AF150" s="29">
        <f>IF(B150="","",SUMIFS(Invoices!$O$5:$O$304,Invoices!$D$5:$D$304,B150,Invoices!$T$5:$T$304,"&lt;&gt;Draft"))</f>
        <v>0</v>
      </c>
      <c r="AG150" s="29">
        <f>IF(B150="","",SUMIFS(Invoices!$S$5:$S$304,Invoices!$D$5:$D$304,B150,Invoices!$T$5:$T$304,"&lt;&gt;Cancelled"))</f>
        <v>0</v>
      </c>
      <c r="AH150" s="29">
        <f>IF(OR(Z150="",Z150=0),"",SUMIFS(Bookings!$AK$5:$AK$404,Bookings!$C$5:$C$404,B150,Bookings!$AM$5:$AM$404,"&lt;&gt;Cancelled")/Z150)</f>
        <v>0</v>
      </c>
      <c r="AI150" s="49">
        <f>IF(B150="","",IF(Z150&gt;=LoyaltyThreshold,"Loyalty discount","Standard"))</f>
        <v>0</v>
      </c>
      <c r="AJ150" s="49">
        <f>IF(B150="","",IF(COUNTIF(Clients!$B$5:$B$254,B150)&gt;1,"Duplicate name",IF(AND(C150&lt;&gt;"",COUNTIF(Clients!$C$5:$C$254,C150)&gt;1),"Duplicate phone","OK")))</f>
        <v>0</v>
      </c>
      <c r="AK150" s="49">
        <f>IF(B150="","",IF(AND(C150&lt;&gt;"",D150&lt;&gt;"",L150&lt;&gt;"",M150&lt;&gt;""),"OK","Add: "&amp;IF(C150="","phone ","")&amp;IF(D150="","email ","")&amp;IF(L150="","date ","")&amp;IF(M150="","status","")))</f>
        <v>0</v>
      </c>
      <c r="AL150" s="49">
        <f>IF(B150="","",IF(AG150&gt;0.5,"Overdue - chase payment",IF(AND(M150="Active",ISNUMBER(AC150),AC150&gt;InactiveDays),"Inactive - win back",IF(AND(M150="Active",S150&lt;&gt;"Signed"),"Action - contract not signed",IF(AND(M150="Prospective",AD150=""),"Action - follow up quote","OK")))))</f>
        <v>0</v>
      </c>
    </row>
    <row r="151" spans="1:38">
      <c r="A151" s="46">
        <f>IF(B151="","",ClientPrefix&amp;TEXT(ROW()-4,"0000"))</f>
        <v>0</v>
      </c>
      <c r="Y151" s="31">
        <f>IF(B151="","",COUNTIF(Pets!$C$5:$C$254,B151))</f>
        <v>0</v>
      </c>
      <c r="Z151" s="31">
        <f>IF(B151="","",COUNTIFS(Bookings!$C$5:$C$404,B151))</f>
        <v>0</v>
      </c>
      <c r="AA151" s="31">
        <f>IF(B151="","",COUNTIFS('Visit Log'!$D$5:$D$404,B151,'Visit Log'!$AE$5:$AE$404,"Completed"))</f>
        <v>0</v>
      </c>
      <c r="AB151" s="21">
        <f>IF(B151="","",IF(SUMPRODUCT(MAX((Bookings!$C$5:$C$404=B151)*(Bookings!$AM$5:$AM$404="Completed")*Bookings!$I$5:$I$404))=0,"",SUMPRODUCT(MAX((Bookings!$C$5:$C$404=B151)*(Bookings!$AM$5:$AM$404="Completed")*Bookings!$I$5:$I$404))))</f>
        <v>0</v>
      </c>
      <c r="AC151" s="31">
        <f>IF(AB151="","",TODAY()-AB151)</f>
        <v>0</v>
      </c>
      <c r="AD151" s="21">
        <f>IF(B151="","",IF(COUNTIFS(Bookings!$C$5:$C$404,B151,Bookings!$I$5:$I$404,"&gt;="&amp;TODAY(),Bookings!$AM$5:$AM$404,"&lt;&gt;Cancelled")=0,"",SUMPRODUCT(MIN(((Bookings!$C$5:$C$404=B151)*(Bookings!$I$5:$I$404&gt;=TODAY())*(Bookings!$AM$5:$AM$404&lt;&gt;"Cancelled"))*Bookings!$I$5:$I$404+(1-((Bookings!$C$5:$C$404=B151)*(Bookings!$I$5:$I$404&gt;=TODAY())*(Bookings!$AM$5:$AM$404&lt;&gt;"Cancelled")))*2958465))))</f>
        <v>0</v>
      </c>
      <c r="AE151" s="29">
        <f>IF(B151="","",SUMIFS(Payments!$L$5:$L$304,Payments!$C$5:$C$304,B151))</f>
        <v>0</v>
      </c>
      <c r="AF151" s="29">
        <f>IF(B151="","",SUMIFS(Invoices!$O$5:$O$304,Invoices!$D$5:$D$304,B151,Invoices!$T$5:$T$304,"&lt;&gt;Draft"))</f>
        <v>0</v>
      </c>
      <c r="AG151" s="29">
        <f>IF(B151="","",SUMIFS(Invoices!$S$5:$S$304,Invoices!$D$5:$D$304,B151,Invoices!$T$5:$T$304,"&lt;&gt;Cancelled"))</f>
        <v>0</v>
      </c>
      <c r="AH151" s="29">
        <f>IF(OR(Z151="",Z151=0),"",SUMIFS(Bookings!$AK$5:$AK$404,Bookings!$C$5:$C$404,B151,Bookings!$AM$5:$AM$404,"&lt;&gt;Cancelled")/Z151)</f>
        <v>0</v>
      </c>
      <c r="AI151" s="49">
        <f>IF(B151="","",IF(Z151&gt;=LoyaltyThreshold,"Loyalty discount","Standard"))</f>
        <v>0</v>
      </c>
      <c r="AJ151" s="49">
        <f>IF(B151="","",IF(COUNTIF(Clients!$B$5:$B$254,B151)&gt;1,"Duplicate name",IF(AND(C151&lt;&gt;"",COUNTIF(Clients!$C$5:$C$254,C151)&gt;1),"Duplicate phone","OK")))</f>
        <v>0</v>
      </c>
      <c r="AK151" s="49">
        <f>IF(B151="","",IF(AND(C151&lt;&gt;"",D151&lt;&gt;"",L151&lt;&gt;"",M151&lt;&gt;""),"OK","Add: "&amp;IF(C151="","phone ","")&amp;IF(D151="","email ","")&amp;IF(L151="","date ","")&amp;IF(M151="","status","")))</f>
        <v>0</v>
      </c>
      <c r="AL151" s="49">
        <f>IF(B151="","",IF(AG151&gt;0.5,"Overdue - chase payment",IF(AND(M151="Active",ISNUMBER(AC151),AC151&gt;InactiveDays),"Inactive - win back",IF(AND(M151="Active",S151&lt;&gt;"Signed"),"Action - contract not signed",IF(AND(M151="Prospective",AD151=""),"Action - follow up quote","OK")))))</f>
        <v>0</v>
      </c>
    </row>
    <row r="152" spans="1:38">
      <c r="A152" s="46">
        <f>IF(B152="","",ClientPrefix&amp;TEXT(ROW()-4,"0000"))</f>
        <v>0</v>
      </c>
      <c r="Y152" s="31">
        <f>IF(B152="","",COUNTIF(Pets!$C$5:$C$254,B152))</f>
        <v>0</v>
      </c>
      <c r="Z152" s="31">
        <f>IF(B152="","",COUNTIFS(Bookings!$C$5:$C$404,B152))</f>
        <v>0</v>
      </c>
      <c r="AA152" s="31">
        <f>IF(B152="","",COUNTIFS('Visit Log'!$D$5:$D$404,B152,'Visit Log'!$AE$5:$AE$404,"Completed"))</f>
        <v>0</v>
      </c>
      <c r="AB152" s="21">
        <f>IF(B152="","",IF(SUMPRODUCT(MAX((Bookings!$C$5:$C$404=B152)*(Bookings!$AM$5:$AM$404="Completed")*Bookings!$I$5:$I$404))=0,"",SUMPRODUCT(MAX((Bookings!$C$5:$C$404=B152)*(Bookings!$AM$5:$AM$404="Completed")*Bookings!$I$5:$I$404))))</f>
        <v>0</v>
      </c>
      <c r="AC152" s="31">
        <f>IF(AB152="","",TODAY()-AB152)</f>
        <v>0</v>
      </c>
      <c r="AD152" s="21">
        <f>IF(B152="","",IF(COUNTIFS(Bookings!$C$5:$C$404,B152,Bookings!$I$5:$I$404,"&gt;="&amp;TODAY(),Bookings!$AM$5:$AM$404,"&lt;&gt;Cancelled")=0,"",SUMPRODUCT(MIN(((Bookings!$C$5:$C$404=B152)*(Bookings!$I$5:$I$404&gt;=TODAY())*(Bookings!$AM$5:$AM$404&lt;&gt;"Cancelled"))*Bookings!$I$5:$I$404+(1-((Bookings!$C$5:$C$404=B152)*(Bookings!$I$5:$I$404&gt;=TODAY())*(Bookings!$AM$5:$AM$404&lt;&gt;"Cancelled")))*2958465))))</f>
        <v>0</v>
      </c>
      <c r="AE152" s="29">
        <f>IF(B152="","",SUMIFS(Payments!$L$5:$L$304,Payments!$C$5:$C$304,B152))</f>
        <v>0</v>
      </c>
      <c r="AF152" s="29">
        <f>IF(B152="","",SUMIFS(Invoices!$O$5:$O$304,Invoices!$D$5:$D$304,B152,Invoices!$T$5:$T$304,"&lt;&gt;Draft"))</f>
        <v>0</v>
      </c>
      <c r="AG152" s="29">
        <f>IF(B152="","",SUMIFS(Invoices!$S$5:$S$304,Invoices!$D$5:$D$304,B152,Invoices!$T$5:$T$304,"&lt;&gt;Cancelled"))</f>
        <v>0</v>
      </c>
      <c r="AH152" s="29">
        <f>IF(OR(Z152="",Z152=0),"",SUMIFS(Bookings!$AK$5:$AK$404,Bookings!$C$5:$C$404,B152,Bookings!$AM$5:$AM$404,"&lt;&gt;Cancelled")/Z152)</f>
        <v>0</v>
      </c>
      <c r="AI152" s="49">
        <f>IF(B152="","",IF(Z152&gt;=LoyaltyThreshold,"Loyalty discount","Standard"))</f>
        <v>0</v>
      </c>
      <c r="AJ152" s="49">
        <f>IF(B152="","",IF(COUNTIF(Clients!$B$5:$B$254,B152)&gt;1,"Duplicate name",IF(AND(C152&lt;&gt;"",COUNTIF(Clients!$C$5:$C$254,C152)&gt;1),"Duplicate phone","OK")))</f>
        <v>0</v>
      </c>
      <c r="AK152" s="49">
        <f>IF(B152="","",IF(AND(C152&lt;&gt;"",D152&lt;&gt;"",L152&lt;&gt;"",M152&lt;&gt;""),"OK","Add: "&amp;IF(C152="","phone ","")&amp;IF(D152="","email ","")&amp;IF(L152="","date ","")&amp;IF(M152="","status","")))</f>
        <v>0</v>
      </c>
      <c r="AL152" s="49">
        <f>IF(B152="","",IF(AG152&gt;0.5,"Overdue - chase payment",IF(AND(M152="Active",ISNUMBER(AC152),AC152&gt;InactiveDays),"Inactive - win back",IF(AND(M152="Active",S152&lt;&gt;"Signed"),"Action - contract not signed",IF(AND(M152="Prospective",AD152=""),"Action - follow up quote","OK")))))</f>
        <v>0</v>
      </c>
    </row>
    <row r="153" spans="1:38">
      <c r="A153" s="46">
        <f>IF(B153="","",ClientPrefix&amp;TEXT(ROW()-4,"0000"))</f>
        <v>0</v>
      </c>
      <c r="Y153" s="31">
        <f>IF(B153="","",COUNTIF(Pets!$C$5:$C$254,B153))</f>
        <v>0</v>
      </c>
      <c r="Z153" s="31">
        <f>IF(B153="","",COUNTIFS(Bookings!$C$5:$C$404,B153))</f>
        <v>0</v>
      </c>
      <c r="AA153" s="31">
        <f>IF(B153="","",COUNTIFS('Visit Log'!$D$5:$D$404,B153,'Visit Log'!$AE$5:$AE$404,"Completed"))</f>
        <v>0</v>
      </c>
      <c r="AB153" s="21">
        <f>IF(B153="","",IF(SUMPRODUCT(MAX((Bookings!$C$5:$C$404=B153)*(Bookings!$AM$5:$AM$404="Completed")*Bookings!$I$5:$I$404))=0,"",SUMPRODUCT(MAX((Bookings!$C$5:$C$404=B153)*(Bookings!$AM$5:$AM$404="Completed")*Bookings!$I$5:$I$404))))</f>
        <v>0</v>
      </c>
      <c r="AC153" s="31">
        <f>IF(AB153="","",TODAY()-AB153)</f>
        <v>0</v>
      </c>
      <c r="AD153" s="21">
        <f>IF(B153="","",IF(COUNTIFS(Bookings!$C$5:$C$404,B153,Bookings!$I$5:$I$404,"&gt;="&amp;TODAY(),Bookings!$AM$5:$AM$404,"&lt;&gt;Cancelled")=0,"",SUMPRODUCT(MIN(((Bookings!$C$5:$C$404=B153)*(Bookings!$I$5:$I$404&gt;=TODAY())*(Bookings!$AM$5:$AM$404&lt;&gt;"Cancelled"))*Bookings!$I$5:$I$404+(1-((Bookings!$C$5:$C$404=B153)*(Bookings!$I$5:$I$404&gt;=TODAY())*(Bookings!$AM$5:$AM$404&lt;&gt;"Cancelled")))*2958465))))</f>
        <v>0</v>
      </c>
      <c r="AE153" s="29">
        <f>IF(B153="","",SUMIFS(Payments!$L$5:$L$304,Payments!$C$5:$C$304,B153))</f>
        <v>0</v>
      </c>
      <c r="AF153" s="29">
        <f>IF(B153="","",SUMIFS(Invoices!$O$5:$O$304,Invoices!$D$5:$D$304,B153,Invoices!$T$5:$T$304,"&lt;&gt;Draft"))</f>
        <v>0</v>
      </c>
      <c r="AG153" s="29">
        <f>IF(B153="","",SUMIFS(Invoices!$S$5:$S$304,Invoices!$D$5:$D$304,B153,Invoices!$T$5:$T$304,"&lt;&gt;Cancelled"))</f>
        <v>0</v>
      </c>
      <c r="AH153" s="29">
        <f>IF(OR(Z153="",Z153=0),"",SUMIFS(Bookings!$AK$5:$AK$404,Bookings!$C$5:$C$404,B153,Bookings!$AM$5:$AM$404,"&lt;&gt;Cancelled")/Z153)</f>
        <v>0</v>
      </c>
      <c r="AI153" s="49">
        <f>IF(B153="","",IF(Z153&gt;=LoyaltyThreshold,"Loyalty discount","Standard"))</f>
        <v>0</v>
      </c>
      <c r="AJ153" s="49">
        <f>IF(B153="","",IF(COUNTIF(Clients!$B$5:$B$254,B153)&gt;1,"Duplicate name",IF(AND(C153&lt;&gt;"",COUNTIF(Clients!$C$5:$C$254,C153)&gt;1),"Duplicate phone","OK")))</f>
        <v>0</v>
      </c>
      <c r="AK153" s="49">
        <f>IF(B153="","",IF(AND(C153&lt;&gt;"",D153&lt;&gt;"",L153&lt;&gt;"",M153&lt;&gt;""),"OK","Add: "&amp;IF(C153="","phone ","")&amp;IF(D153="","email ","")&amp;IF(L153="","date ","")&amp;IF(M153="","status","")))</f>
        <v>0</v>
      </c>
      <c r="AL153" s="49">
        <f>IF(B153="","",IF(AG153&gt;0.5,"Overdue - chase payment",IF(AND(M153="Active",ISNUMBER(AC153),AC153&gt;InactiveDays),"Inactive - win back",IF(AND(M153="Active",S153&lt;&gt;"Signed"),"Action - contract not signed",IF(AND(M153="Prospective",AD153=""),"Action - follow up quote","OK")))))</f>
        <v>0</v>
      </c>
    </row>
    <row r="154" spans="1:38">
      <c r="A154" s="46">
        <f>IF(B154="","",ClientPrefix&amp;TEXT(ROW()-4,"0000"))</f>
        <v>0</v>
      </c>
      <c r="Y154" s="31">
        <f>IF(B154="","",COUNTIF(Pets!$C$5:$C$254,B154))</f>
        <v>0</v>
      </c>
      <c r="Z154" s="31">
        <f>IF(B154="","",COUNTIFS(Bookings!$C$5:$C$404,B154))</f>
        <v>0</v>
      </c>
      <c r="AA154" s="31">
        <f>IF(B154="","",COUNTIFS('Visit Log'!$D$5:$D$404,B154,'Visit Log'!$AE$5:$AE$404,"Completed"))</f>
        <v>0</v>
      </c>
      <c r="AB154" s="21">
        <f>IF(B154="","",IF(SUMPRODUCT(MAX((Bookings!$C$5:$C$404=B154)*(Bookings!$AM$5:$AM$404="Completed")*Bookings!$I$5:$I$404))=0,"",SUMPRODUCT(MAX((Bookings!$C$5:$C$404=B154)*(Bookings!$AM$5:$AM$404="Completed")*Bookings!$I$5:$I$404))))</f>
        <v>0</v>
      </c>
      <c r="AC154" s="31">
        <f>IF(AB154="","",TODAY()-AB154)</f>
        <v>0</v>
      </c>
      <c r="AD154" s="21">
        <f>IF(B154="","",IF(COUNTIFS(Bookings!$C$5:$C$404,B154,Bookings!$I$5:$I$404,"&gt;="&amp;TODAY(),Bookings!$AM$5:$AM$404,"&lt;&gt;Cancelled")=0,"",SUMPRODUCT(MIN(((Bookings!$C$5:$C$404=B154)*(Bookings!$I$5:$I$404&gt;=TODAY())*(Bookings!$AM$5:$AM$404&lt;&gt;"Cancelled"))*Bookings!$I$5:$I$404+(1-((Bookings!$C$5:$C$404=B154)*(Bookings!$I$5:$I$404&gt;=TODAY())*(Bookings!$AM$5:$AM$404&lt;&gt;"Cancelled")))*2958465))))</f>
        <v>0</v>
      </c>
      <c r="AE154" s="29">
        <f>IF(B154="","",SUMIFS(Payments!$L$5:$L$304,Payments!$C$5:$C$304,B154))</f>
        <v>0</v>
      </c>
      <c r="AF154" s="29">
        <f>IF(B154="","",SUMIFS(Invoices!$O$5:$O$304,Invoices!$D$5:$D$304,B154,Invoices!$T$5:$T$304,"&lt;&gt;Draft"))</f>
        <v>0</v>
      </c>
      <c r="AG154" s="29">
        <f>IF(B154="","",SUMIFS(Invoices!$S$5:$S$304,Invoices!$D$5:$D$304,B154,Invoices!$T$5:$T$304,"&lt;&gt;Cancelled"))</f>
        <v>0</v>
      </c>
      <c r="AH154" s="29">
        <f>IF(OR(Z154="",Z154=0),"",SUMIFS(Bookings!$AK$5:$AK$404,Bookings!$C$5:$C$404,B154,Bookings!$AM$5:$AM$404,"&lt;&gt;Cancelled")/Z154)</f>
        <v>0</v>
      </c>
      <c r="AI154" s="49">
        <f>IF(B154="","",IF(Z154&gt;=LoyaltyThreshold,"Loyalty discount","Standard"))</f>
        <v>0</v>
      </c>
      <c r="AJ154" s="49">
        <f>IF(B154="","",IF(COUNTIF(Clients!$B$5:$B$254,B154)&gt;1,"Duplicate name",IF(AND(C154&lt;&gt;"",COUNTIF(Clients!$C$5:$C$254,C154)&gt;1),"Duplicate phone","OK")))</f>
        <v>0</v>
      </c>
      <c r="AK154" s="49">
        <f>IF(B154="","",IF(AND(C154&lt;&gt;"",D154&lt;&gt;"",L154&lt;&gt;"",M154&lt;&gt;""),"OK","Add: "&amp;IF(C154="","phone ","")&amp;IF(D154="","email ","")&amp;IF(L154="","date ","")&amp;IF(M154="","status","")))</f>
        <v>0</v>
      </c>
      <c r="AL154" s="49">
        <f>IF(B154="","",IF(AG154&gt;0.5,"Overdue - chase payment",IF(AND(M154="Active",ISNUMBER(AC154),AC154&gt;InactiveDays),"Inactive - win back",IF(AND(M154="Active",S154&lt;&gt;"Signed"),"Action - contract not signed",IF(AND(M154="Prospective",AD154=""),"Action - follow up quote","OK")))))</f>
        <v>0</v>
      </c>
    </row>
    <row r="155" spans="1:38">
      <c r="A155" s="46">
        <f>IF(B155="","",ClientPrefix&amp;TEXT(ROW()-4,"0000"))</f>
        <v>0</v>
      </c>
      <c r="Y155" s="31">
        <f>IF(B155="","",COUNTIF(Pets!$C$5:$C$254,B155))</f>
        <v>0</v>
      </c>
      <c r="Z155" s="31">
        <f>IF(B155="","",COUNTIFS(Bookings!$C$5:$C$404,B155))</f>
        <v>0</v>
      </c>
      <c r="AA155" s="31">
        <f>IF(B155="","",COUNTIFS('Visit Log'!$D$5:$D$404,B155,'Visit Log'!$AE$5:$AE$404,"Completed"))</f>
        <v>0</v>
      </c>
      <c r="AB155" s="21">
        <f>IF(B155="","",IF(SUMPRODUCT(MAX((Bookings!$C$5:$C$404=B155)*(Bookings!$AM$5:$AM$404="Completed")*Bookings!$I$5:$I$404))=0,"",SUMPRODUCT(MAX((Bookings!$C$5:$C$404=B155)*(Bookings!$AM$5:$AM$404="Completed")*Bookings!$I$5:$I$404))))</f>
        <v>0</v>
      </c>
      <c r="AC155" s="31">
        <f>IF(AB155="","",TODAY()-AB155)</f>
        <v>0</v>
      </c>
      <c r="AD155" s="21">
        <f>IF(B155="","",IF(COUNTIFS(Bookings!$C$5:$C$404,B155,Bookings!$I$5:$I$404,"&gt;="&amp;TODAY(),Bookings!$AM$5:$AM$404,"&lt;&gt;Cancelled")=0,"",SUMPRODUCT(MIN(((Bookings!$C$5:$C$404=B155)*(Bookings!$I$5:$I$404&gt;=TODAY())*(Bookings!$AM$5:$AM$404&lt;&gt;"Cancelled"))*Bookings!$I$5:$I$404+(1-((Bookings!$C$5:$C$404=B155)*(Bookings!$I$5:$I$404&gt;=TODAY())*(Bookings!$AM$5:$AM$404&lt;&gt;"Cancelled")))*2958465))))</f>
        <v>0</v>
      </c>
      <c r="AE155" s="29">
        <f>IF(B155="","",SUMIFS(Payments!$L$5:$L$304,Payments!$C$5:$C$304,B155))</f>
        <v>0</v>
      </c>
      <c r="AF155" s="29">
        <f>IF(B155="","",SUMIFS(Invoices!$O$5:$O$304,Invoices!$D$5:$D$304,B155,Invoices!$T$5:$T$304,"&lt;&gt;Draft"))</f>
        <v>0</v>
      </c>
      <c r="AG155" s="29">
        <f>IF(B155="","",SUMIFS(Invoices!$S$5:$S$304,Invoices!$D$5:$D$304,B155,Invoices!$T$5:$T$304,"&lt;&gt;Cancelled"))</f>
        <v>0</v>
      </c>
      <c r="AH155" s="29">
        <f>IF(OR(Z155="",Z155=0),"",SUMIFS(Bookings!$AK$5:$AK$404,Bookings!$C$5:$C$404,B155,Bookings!$AM$5:$AM$404,"&lt;&gt;Cancelled")/Z155)</f>
        <v>0</v>
      </c>
      <c r="AI155" s="49">
        <f>IF(B155="","",IF(Z155&gt;=LoyaltyThreshold,"Loyalty discount","Standard"))</f>
        <v>0</v>
      </c>
      <c r="AJ155" s="49">
        <f>IF(B155="","",IF(COUNTIF(Clients!$B$5:$B$254,B155)&gt;1,"Duplicate name",IF(AND(C155&lt;&gt;"",COUNTIF(Clients!$C$5:$C$254,C155)&gt;1),"Duplicate phone","OK")))</f>
        <v>0</v>
      </c>
      <c r="AK155" s="49">
        <f>IF(B155="","",IF(AND(C155&lt;&gt;"",D155&lt;&gt;"",L155&lt;&gt;"",M155&lt;&gt;""),"OK","Add: "&amp;IF(C155="","phone ","")&amp;IF(D155="","email ","")&amp;IF(L155="","date ","")&amp;IF(M155="","status","")))</f>
        <v>0</v>
      </c>
      <c r="AL155" s="49">
        <f>IF(B155="","",IF(AG155&gt;0.5,"Overdue - chase payment",IF(AND(M155="Active",ISNUMBER(AC155),AC155&gt;InactiveDays),"Inactive - win back",IF(AND(M155="Active",S155&lt;&gt;"Signed"),"Action - contract not signed",IF(AND(M155="Prospective",AD155=""),"Action - follow up quote","OK")))))</f>
        <v>0</v>
      </c>
    </row>
    <row r="156" spans="1:38">
      <c r="A156" s="46">
        <f>IF(B156="","",ClientPrefix&amp;TEXT(ROW()-4,"0000"))</f>
        <v>0</v>
      </c>
      <c r="Y156" s="31">
        <f>IF(B156="","",COUNTIF(Pets!$C$5:$C$254,B156))</f>
        <v>0</v>
      </c>
      <c r="Z156" s="31">
        <f>IF(B156="","",COUNTIFS(Bookings!$C$5:$C$404,B156))</f>
        <v>0</v>
      </c>
      <c r="AA156" s="31">
        <f>IF(B156="","",COUNTIFS('Visit Log'!$D$5:$D$404,B156,'Visit Log'!$AE$5:$AE$404,"Completed"))</f>
        <v>0</v>
      </c>
      <c r="AB156" s="21">
        <f>IF(B156="","",IF(SUMPRODUCT(MAX((Bookings!$C$5:$C$404=B156)*(Bookings!$AM$5:$AM$404="Completed")*Bookings!$I$5:$I$404))=0,"",SUMPRODUCT(MAX((Bookings!$C$5:$C$404=B156)*(Bookings!$AM$5:$AM$404="Completed")*Bookings!$I$5:$I$404))))</f>
        <v>0</v>
      </c>
      <c r="AC156" s="31">
        <f>IF(AB156="","",TODAY()-AB156)</f>
        <v>0</v>
      </c>
      <c r="AD156" s="21">
        <f>IF(B156="","",IF(COUNTIFS(Bookings!$C$5:$C$404,B156,Bookings!$I$5:$I$404,"&gt;="&amp;TODAY(),Bookings!$AM$5:$AM$404,"&lt;&gt;Cancelled")=0,"",SUMPRODUCT(MIN(((Bookings!$C$5:$C$404=B156)*(Bookings!$I$5:$I$404&gt;=TODAY())*(Bookings!$AM$5:$AM$404&lt;&gt;"Cancelled"))*Bookings!$I$5:$I$404+(1-((Bookings!$C$5:$C$404=B156)*(Bookings!$I$5:$I$404&gt;=TODAY())*(Bookings!$AM$5:$AM$404&lt;&gt;"Cancelled")))*2958465))))</f>
        <v>0</v>
      </c>
      <c r="AE156" s="29">
        <f>IF(B156="","",SUMIFS(Payments!$L$5:$L$304,Payments!$C$5:$C$304,B156))</f>
        <v>0</v>
      </c>
      <c r="AF156" s="29">
        <f>IF(B156="","",SUMIFS(Invoices!$O$5:$O$304,Invoices!$D$5:$D$304,B156,Invoices!$T$5:$T$304,"&lt;&gt;Draft"))</f>
        <v>0</v>
      </c>
      <c r="AG156" s="29">
        <f>IF(B156="","",SUMIFS(Invoices!$S$5:$S$304,Invoices!$D$5:$D$304,B156,Invoices!$T$5:$T$304,"&lt;&gt;Cancelled"))</f>
        <v>0</v>
      </c>
      <c r="AH156" s="29">
        <f>IF(OR(Z156="",Z156=0),"",SUMIFS(Bookings!$AK$5:$AK$404,Bookings!$C$5:$C$404,B156,Bookings!$AM$5:$AM$404,"&lt;&gt;Cancelled")/Z156)</f>
        <v>0</v>
      </c>
      <c r="AI156" s="49">
        <f>IF(B156="","",IF(Z156&gt;=LoyaltyThreshold,"Loyalty discount","Standard"))</f>
        <v>0</v>
      </c>
      <c r="AJ156" s="49">
        <f>IF(B156="","",IF(COUNTIF(Clients!$B$5:$B$254,B156)&gt;1,"Duplicate name",IF(AND(C156&lt;&gt;"",COUNTIF(Clients!$C$5:$C$254,C156)&gt;1),"Duplicate phone","OK")))</f>
        <v>0</v>
      </c>
      <c r="AK156" s="49">
        <f>IF(B156="","",IF(AND(C156&lt;&gt;"",D156&lt;&gt;"",L156&lt;&gt;"",M156&lt;&gt;""),"OK","Add: "&amp;IF(C156="","phone ","")&amp;IF(D156="","email ","")&amp;IF(L156="","date ","")&amp;IF(M156="","status","")))</f>
        <v>0</v>
      </c>
      <c r="AL156" s="49">
        <f>IF(B156="","",IF(AG156&gt;0.5,"Overdue - chase payment",IF(AND(M156="Active",ISNUMBER(AC156),AC156&gt;InactiveDays),"Inactive - win back",IF(AND(M156="Active",S156&lt;&gt;"Signed"),"Action - contract not signed",IF(AND(M156="Prospective",AD156=""),"Action - follow up quote","OK")))))</f>
        <v>0</v>
      </c>
    </row>
    <row r="157" spans="1:38">
      <c r="A157" s="46">
        <f>IF(B157="","",ClientPrefix&amp;TEXT(ROW()-4,"0000"))</f>
        <v>0</v>
      </c>
      <c r="Y157" s="31">
        <f>IF(B157="","",COUNTIF(Pets!$C$5:$C$254,B157))</f>
        <v>0</v>
      </c>
      <c r="Z157" s="31">
        <f>IF(B157="","",COUNTIFS(Bookings!$C$5:$C$404,B157))</f>
        <v>0</v>
      </c>
      <c r="AA157" s="31">
        <f>IF(B157="","",COUNTIFS('Visit Log'!$D$5:$D$404,B157,'Visit Log'!$AE$5:$AE$404,"Completed"))</f>
        <v>0</v>
      </c>
      <c r="AB157" s="21">
        <f>IF(B157="","",IF(SUMPRODUCT(MAX((Bookings!$C$5:$C$404=B157)*(Bookings!$AM$5:$AM$404="Completed")*Bookings!$I$5:$I$404))=0,"",SUMPRODUCT(MAX((Bookings!$C$5:$C$404=B157)*(Bookings!$AM$5:$AM$404="Completed")*Bookings!$I$5:$I$404))))</f>
        <v>0</v>
      </c>
      <c r="AC157" s="31">
        <f>IF(AB157="","",TODAY()-AB157)</f>
        <v>0</v>
      </c>
      <c r="AD157" s="21">
        <f>IF(B157="","",IF(COUNTIFS(Bookings!$C$5:$C$404,B157,Bookings!$I$5:$I$404,"&gt;="&amp;TODAY(),Bookings!$AM$5:$AM$404,"&lt;&gt;Cancelled")=0,"",SUMPRODUCT(MIN(((Bookings!$C$5:$C$404=B157)*(Bookings!$I$5:$I$404&gt;=TODAY())*(Bookings!$AM$5:$AM$404&lt;&gt;"Cancelled"))*Bookings!$I$5:$I$404+(1-((Bookings!$C$5:$C$404=B157)*(Bookings!$I$5:$I$404&gt;=TODAY())*(Bookings!$AM$5:$AM$404&lt;&gt;"Cancelled")))*2958465))))</f>
        <v>0</v>
      </c>
      <c r="AE157" s="29">
        <f>IF(B157="","",SUMIFS(Payments!$L$5:$L$304,Payments!$C$5:$C$304,B157))</f>
        <v>0</v>
      </c>
      <c r="AF157" s="29">
        <f>IF(B157="","",SUMIFS(Invoices!$O$5:$O$304,Invoices!$D$5:$D$304,B157,Invoices!$T$5:$T$304,"&lt;&gt;Draft"))</f>
        <v>0</v>
      </c>
      <c r="AG157" s="29">
        <f>IF(B157="","",SUMIFS(Invoices!$S$5:$S$304,Invoices!$D$5:$D$304,B157,Invoices!$T$5:$T$304,"&lt;&gt;Cancelled"))</f>
        <v>0</v>
      </c>
      <c r="AH157" s="29">
        <f>IF(OR(Z157="",Z157=0),"",SUMIFS(Bookings!$AK$5:$AK$404,Bookings!$C$5:$C$404,B157,Bookings!$AM$5:$AM$404,"&lt;&gt;Cancelled")/Z157)</f>
        <v>0</v>
      </c>
      <c r="AI157" s="49">
        <f>IF(B157="","",IF(Z157&gt;=LoyaltyThreshold,"Loyalty discount","Standard"))</f>
        <v>0</v>
      </c>
      <c r="AJ157" s="49">
        <f>IF(B157="","",IF(COUNTIF(Clients!$B$5:$B$254,B157)&gt;1,"Duplicate name",IF(AND(C157&lt;&gt;"",COUNTIF(Clients!$C$5:$C$254,C157)&gt;1),"Duplicate phone","OK")))</f>
        <v>0</v>
      </c>
      <c r="AK157" s="49">
        <f>IF(B157="","",IF(AND(C157&lt;&gt;"",D157&lt;&gt;"",L157&lt;&gt;"",M157&lt;&gt;""),"OK","Add: "&amp;IF(C157="","phone ","")&amp;IF(D157="","email ","")&amp;IF(L157="","date ","")&amp;IF(M157="","status","")))</f>
        <v>0</v>
      </c>
      <c r="AL157" s="49">
        <f>IF(B157="","",IF(AG157&gt;0.5,"Overdue - chase payment",IF(AND(M157="Active",ISNUMBER(AC157),AC157&gt;InactiveDays),"Inactive - win back",IF(AND(M157="Active",S157&lt;&gt;"Signed"),"Action - contract not signed",IF(AND(M157="Prospective",AD157=""),"Action - follow up quote","OK")))))</f>
        <v>0</v>
      </c>
    </row>
    <row r="158" spans="1:38">
      <c r="A158" s="46">
        <f>IF(B158="","",ClientPrefix&amp;TEXT(ROW()-4,"0000"))</f>
        <v>0</v>
      </c>
      <c r="Y158" s="31">
        <f>IF(B158="","",COUNTIF(Pets!$C$5:$C$254,B158))</f>
        <v>0</v>
      </c>
      <c r="Z158" s="31">
        <f>IF(B158="","",COUNTIFS(Bookings!$C$5:$C$404,B158))</f>
        <v>0</v>
      </c>
      <c r="AA158" s="31">
        <f>IF(B158="","",COUNTIFS('Visit Log'!$D$5:$D$404,B158,'Visit Log'!$AE$5:$AE$404,"Completed"))</f>
        <v>0</v>
      </c>
      <c r="AB158" s="21">
        <f>IF(B158="","",IF(SUMPRODUCT(MAX((Bookings!$C$5:$C$404=B158)*(Bookings!$AM$5:$AM$404="Completed")*Bookings!$I$5:$I$404))=0,"",SUMPRODUCT(MAX((Bookings!$C$5:$C$404=B158)*(Bookings!$AM$5:$AM$404="Completed")*Bookings!$I$5:$I$404))))</f>
        <v>0</v>
      </c>
      <c r="AC158" s="31">
        <f>IF(AB158="","",TODAY()-AB158)</f>
        <v>0</v>
      </c>
      <c r="AD158" s="21">
        <f>IF(B158="","",IF(COUNTIFS(Bookings!$C$5:$C$404,B158,Bookings!$I$5:$I$404,"&gt;="&amp;TODAY(),Bookings!$AM$5:$AM$404,"&lt;&gt;Cancelled")=0,"",SUMPRODUCT(MIN(((Bookings!$C$5:$C$404=B158)*(Bookings!$I$5:$I$404&gt;=TODAY())*(Bookings!$AM$5:$AM$404&lt;&gt;"Cancelled"))*Bookings!$I$5:$I$404+(1-((Bookings!$C$5:$C$404=B158)*(Bookings!$I$5:$I$404&gt;=TODAY())*(Bookings!$AM$5:$AM$404&lt;&gt;"Cancelled")))*2958465))))</f>
        <v>0</v>
      </c>
      <c r="AE158" s="29">
        <f>IF(B158="","",SUMIFS(Payments!$L$5:$L$304,Payments!$C$5:$C$304,B158))</f>
        <v>0</v>
      </c>
      <c r="AF158" s="29">
        <f>IF(B158="","",SUMIFS(Invoices!$O$5:$O$304,Invoices!$D$5:$D$304,B158,Invoices!$T$5:$T$304,"&lt;&gt;Draft"))</f>
        <v>0</v>
      </c>
      <c r="AG158" s="29">
        <f>IF(B158="","",SUMIFS(Invoices!$S$5:$S$304,Invoices!$D$5:$D$304,B158,Invoices!$T$5:$T$304,"&lt;&gt;Cancelled"))</f>
        <v>0</v>
      </c>
      <c r="AH158" s="29">
        <f>IF(OR(Z158="",Z158=0),"",SUMIFS(Bookings!$AK$5:$AK$404,Bookings!$C$5:$C$404,B158,Bookings!$AM$5:$AM$404,"&lt;&gt;Cancelled")/Z158)</f>
        <v>0</v>
      </c>
      <c r="AI158" s="49">
        <f>IF(B158="","",IF(Z158&gt;=LoyaltyThreshold,"Loyalty discount","Standard"))</f>
        <v>0</v>
      </c>
      <c r="AJ158" s="49">
        <f>IF(B158="","",IF(COUNTIF(Clients!$B$5:$B$254,B158)&gt;1,"Duplicate name",IF(AND(C158&lt;&gt;"",COUNTIF(Clients!$C$5:$C$254,C158)&gt;1),"Duplicate phone","OK")))</f>
        <v>0</v>
      </c>
      <c r="AK158" s="49">
        <f>IF(B158="","",IF(AND(C158&lt;&gt;"",D158&lt;&gt;"",L158&lt;&gt;"",M158&lt;&gt;""),"OK","Add: "&amp;IF(C158="","phone ","")&amp;IF(D158="","email ","")&amp;IF(L158="","date ","")&amp;IF(M158="","status","")))</f>
        <v>0</v>
      </c>
      <c r="AL158" s="49">
        <f>IF(B158="","",IF(AG158&gt;0.5,"Overdue - chase payment",IF(AND(M158="Active",ISNUMBER(AC158),AC158&gt;InactiveDays),"Inactive - win back",IF(AND(M158="Active",S158&lt;&gt;"Signed"),"Action - contract not signed",IF(AND(M158="Prospective",AD158=""),"Action - follow up quote","OK")))))</f>
        <v>0</v>
      </c>
    </row>
    <row r="159" spans="1:38">
      <c r="A159" s="46">
        <f>IF(B159="","",ClientPrefix&amp;TEXT(ROW()-4,"0000"))</f>
        <v>0</v>
      </c>
      <c r="Y159" s="31">
        <f>IF(B159="","",COUNTIF(Pets!$C$5:$C$254,B159))</f>
        <v>0</v>
      </c>
      <c r="Z159" s="31">
        <f>IF(B159="","",COUNTIFS(Bookings!$C$5:$C$404,B159))</f>
        <v>0</v>
      </c>
      <c r="AA159" s="31">
        <f>IF(B159="","",COUNTIFS('Visit Log'!$D$5:$D$404,B159,'Visit Log'!$AE$5:$AE$404,"Completed"))</f>
        <v>0</v>
      </c>
      <c r="AB159" s="21">
        <f>IF(B159="","",IF(SUMPRODUCT(MAX((Bookings!$C$5:$C$404=B159)*(Bookings!$AM$5:$AM$404="Completed")*Bookings!$I$5:$I$404))=0,"",SUMPRODUCT(MAX((Bookings!$C$5:$C$404=B159)*(Bookings!$AM$5:$AM$404="Completed")*Bookings!$I$5:$I$404))))</f>
        <v>0</v>
      </c>
      <c r="AC159" s="31">
        <f>IF(AB159="","",TODAY()-AB159)</f>
        <v>0</v>
      </c>
      <c r="AD159" s="21">
        <f>IF(B159="","",IF(COUNTIFS(Bookings!$C$5:$C$404,B159,Bookings!$I$5:$I$404,"&gt;="&amp;TODAY(),Bookings!$AM$5:$AM$404,"&lt;&gt;Cancelled")=0,"",SUMPRODUCT(MIN(((Bookings!$C$5:$C$404=B159)*(Bookings!$I$5:$I$404&gt;=TODAY())*(Bookings!$AM$5:$AM$404&lt;&gt;"Cancelled"))*Bookings!$I$5:$I$404+(1-((Bookings!$C$5:$C$404=B159)*(Bookings!$I$5:$I$404&gt;=TODAY())*(Bookings!$AM$5:$AM$404&lt;&gt;"Cancelled")))*2958465))))</f>
        <v>0</v>
      </c>
      <c r="AE159" s="29">
        <f>IF(B159="","",SUMIFS(Payments!$L$5:$L$304,Payments!$C$5:$C$304,B159))</f>
        <v>0</v>
      </c>
      <c r="AF159" s="29">
        <f>IF(B159="","",SUMIFS(Invoices!$O$5:$O$304,Invoices!$D$5:$D$304,B159,Invoices!$T$5:$T$304,"&lt;&gt;Draft"))</f>
        <v>0</v>
      </c>
      <c r="AG159" s="29">
        <f>IF(B159="","",SUMIFS(Invoices!$S$5:$S$304,Invoices!$D$5:$D$304,B159,Invoices!$T$5:$T$304,"&lt;&gt;Cancelled"))</f>
        <v>0</v>
      </c>
      <c r="AH159" s="29">
        <f>IF(OR(Z159="",Z159=0),"",SUMIFS(Bookings!$AK$5:$AK$404,Bookings!$C$5:$C$404,B159,Bookings!$AM$5:$AM$404,"&lt;&gt;Cancelled")/Z159)</f>
        <v>0</v>
      </c>
      <c r="AI159" s="49">
        <f>IF(B159="","",IF(Z159&gt;=LoyaltyThreshold,"Loyalty discount","Standard"))</f>
        <v>0</v>
      </c>
      <c r="AJ159" s="49">
        <f>IF(B159="","",IF(COUNTIF(Clients!$B$5:$B$254,B159)&gt;1,"Duplicate name",IF(AND(C159&lt;&gt;"",COUNTIF(Clients!$C$5:$C$254,C159)&gt;1),"Duplicate phone","OK")))</f>
        <v>0</v>
      </c>
      <c r="AK159" s="49">
        <f>IF(B159="","",IF(AND(C159&lt;&gt;"",D159&lt;&gt;"",L159&lt;&gt;"",M159&lt;&gt;""),"OK","Add: "&amp;IF(C159="","phone ","")&amp;IF(D159="","email ","")&amp;IF(L159="","date ","")&amp;IF(M159="","status","")))</f>
        <v>0</v>
      </c>
      <c r="AL159" s="49">
        <f>IF(B159="","",IF(AG159&gt;0.5,"Overdue - chase payment",IF(AND(M159="Active",ISNUMBER(AC159),AC159&gt;InactiveDays),"Inactive - win back",IF(AND(M159="Active",S159&lt;&gt;"Signed"),"Action - contract not signed",IF(AND(M159="Prospective",AD159=""),"Action - follow up quote","OK")))))</f>
        <v>0</v>
      </c>
    </row>
    <row r="160" spans="1:38">
      <c r="A160" s="46">
        <f>IF(B160="","",ClientPrefix&amp;TEXT(ROW()-4,"0000"))</f>
        <v>0</v>
      </c>
      <c r="Y160" s="31">
        <f>IF(B160="","",COUNTIF(Pets!$C$5:$C$254,B160))</f>
        <v>0</v>
      </c>
      <c r="Z160" s="31">
        <f>IF(B160="","",COUNTIFS(Bookings!$C$5:$C$404,B160))</f>
        <v>0</v>
      </c>
      <c r="AA160" s="31">
        <f>IF(B160="","",COUNTIFS('Visit Log'!$D$5:$D$404,B160,'Visit Log'!$AE$5:$AE$404,"Completed"))</f>
        <v>0</v>
      </c>
      <c r="AB160" s="21">
        <f>IF(B160="","",IF(SUMPRODUCT(MAX((Bookings!$C$5:$C$404=B160)*(Bookings!$AM$5:$AM$404="Completed")*Bookings!$I$5:$I$404))=0,"",SUMPRODUCT(MAX((Bookings!$C$5:$C$404=B160)*(Bookings!$AM$5:$AM$404="Completed")*Bookings!$I$5:$I$404))))</f>
        <v>0</v>
      </c>
      <c r="AC160" s="31">
        <f>IF(AB160="","",TODAY()-AB160)</f>
        <v>0</v>
      </c>
      <c r="AD160" s="21">
        <f>IF(B160="","",IF(COUNTIFS(Bookings!$C$5:$C$404,B160,Bookings!$I$5:$I$404,"&gt;="&amp;TODAY(),Bookings!$AM$5:$AM$404,"&lt;&gt;Cancelled")=0,"",SUMPRODUCT(MIN(((Bookings!$C$5:$C$404=B160)*(Bookings!$I$5:$I$404&gt;=TODAY())*(Bookings!$AM$5:$AM$404&lt;&gt;"Cancelled"))*Bookings!$I$5:$I$404+(1-((Bookings!$C$5:$C$404=B160)*(Bookings!$I$5:$I$404&gt;=TODAY())*(Bookings!$AM$5:$AM$404&lt;&gt;"Cancelled")))*2958465))))</f>
        <v>0</v>
      </c>
      <c r="AE160" s="29">
        <f>IF(B160="","",SUMIFS(Payments!$L$5:$L$304,Payments!$C$5:$C$304,B160))</f>
        <v>0</v>
      </c>
      <c r="AF160" s="29">
        <f>IF(B160="","",SUMIFS(Invoices!$O$5:$O$304,Invoices!$D$5:$D$304,B160,Invoices!$T$5:$T$304,"&lt;&gt;Draft"))</f>
        <v>0</v>
      </c>
      <c r="AG160" s="29">
        <f>IF(B160="","",SUMIFS(Invoices!$S$5:$S$304,Invoices!$D$5:$D$304,B160,Invoices!$T$5:$T$304,"&lt;&gt;Cancelled"))</f>
        <v>0</v>
      </c>
      <c r="AH160" s="29">
        <f>IF(OR(Z160="",Z160=0),"",SUMIFS(Bookings!$AK$5:$AK$404,Bookings!$C$5:$C$404,B160,Bookings!$AM$5:$AM$404,"&lt;&gt;Cancelled")/Z160)</f>
        <v>0</v>
      </c>
      <c r="AI160" s="49">
        <f>IF(B160="","",IF(Z160&gt;=LoyaltyThreshold,"Loyalty discount","Standard"))</f>
        <v>0</v>
      </c>
      <c r="AJ160" s="49">
        <f>IF(B160="","",IF(COUNTIF(Clients!$B$5:$B$254,B160)&gt;1,"Duplicate name",IF(AND(C160&lt;&gt;"",COUNTIF(Clients!$C$5:$C$254,C160)&gt;1),"Duplicate phone","OK")))</f>
        <v>0</v>
      </c>
      <c r="AK160" s="49">
        <f>IF(B160="","",IF(AND(C160&lt;&gt;"",D160&lt;&gt;"",L160&lt;&gt;"",M160&lt;&gt;""),"OK","Add: "&amp;IF(C160="","phone ","")&amp;IF(D160="","email ","")&amp;IF(L160="","date ","")&amp;IF(M160="","status","")))</f>
        <v>0</v>
      </c>
      <c r="AL160" s="49">
        <f>IF(B160="","",IF(AG160&gt;0.5,"Overdue - chase payment",IF(AND(M160="Active",ISNUMBER(AC160),AC160&gt;InactiveDays),"Inactive - win back",IF(AND(M160="Active",S160&lt;&gt;"Signed"),"Action - contract not signed",IF(AND(M160="Prospective",AD160=""),"Action - follow up quote","OK")))))</f>
        <v>0</v>
      </c>
    </row>
    <row r="161" spans="1:38">
      <c r="A161" s="46">
        <f>IF(B161="","",ClientPrefix&amp;TEXT(ROW()-4,"0000"))</f>
        <v>0</v>
      </c>
      <c r="Y161" s="31">
        <f>IF(B161="","",COUNTIF(Pets!$C$5:$C$254,B161))</f>
        <v>0</v>
      </c>
      <c r="Z161" s="31">
        <f>IF(B161="","",COUNTIFS(Bookings!$C$5:$C$404,B161))</f>
        <v>0</v>
      </c>
      <c r="AA161" s="31">
        <f>IF(B161="","",COUNTIFS('Visit Log'!$D$5:$D$404,B161,'Visit Log'!$AE$5:$AE$404,"Completed"))</f>
        <v>0</v>
      </c>
      <c r="AB161" s="21">
        <f>IF(B161="","",IF(SUMPRODUCT(MAX((Bookings!$C$5:$C$404=B161)*(Bookings!$AM$5:$AM$404="Completed")*Bookings!$I$5:$I$404))=0,"",SUMPRODUCT(MAX((Bookings!$C$5:$C$404=B161)*(Bookings!$AM$5:$AM$404="Completed")*Bookings!$I$5:$I$404))))</f>
        <v>0</v>
      </c>
      <c r="AC161" s="31">
        <f>IF(AB161="","",TODAY()-AB161)</f>
        <v>0</v>
      </c>
      <c r="AD161" s="21">
        <f>IF(B161="","",IF(COUNTIFS(Bookings!$C$5:$C$404,B161,Bookings!$I$5:$I$404,"&gt;="&amp;TODAY(),Bookings!$AM$5:$AM$404,"&lt;&gt;Cancelled")=0,"",SUMPRODUCT(MIN(((Bookings!$C$5:$C$404=B161)*(Bookings!$I$5:$I$404&gt;=TODAY())*(Bookings!$AM$5:$AM$404&lt;&gt;"Cancelled"))*Bookings!$I$5:$I$404+(1-((Bookings!$C$5:$C$404=B161)*(Bookings!$I$5:$I$404&gt;=TODAY())*(Bookings!$AM$5:$AM$404&lt;&gt;"Cancelled")))*2958465))))</f>
        <v>0</v>
      </c>
      <c r="AE161" s="29">
        <f>IF(B161="","",SUMIFS(Payments!$L$5:$L$304,Payments!$C$5:$C$304,B161))</f>
        <v>0</v>
      </c>
      <c r="AF161" s="29">
        <f>IF(B161="","",SUMIFS(Invoices!$O$5:$O$304,Invoices!$D$5:$D$304,B161,Invoices!$T$5:$T$304,"&lt;&gt;Draft"))</f>
        <v>0</v>
      </c>
      <c r="AG161" s="29">
        <f>IF(B161="","",SUMIFS(Invoices!$S$5:$S$304,Invoices!$D$5:$D$304,B161,Invoices!$T$5:$T$304,"&lt;&gt;Cancelled"))</f>
        <v>0</v>
      </c>
      <c r="AH161" s="29">
        <f>IF(OR(Z161="",Z161=0),"",SUMIFS(Bookings!$AK$5:$AK$404,Bookings!$C$5:$C$404,B161,Bookings!$AM$5:$AM$404,"&lt;&gt;Cancelled")/Z161)</f>
        <v>0</v>
      </c>
      <c r="AI161" s="49">
        <f>IF(B161="","",IF(Z161&gt;=LoyaltyThreshold,"Loyalty discount","Standard"))</f>
        <v>0</v>
      </c>
      <c r="AJ161" s="49">
        <f>IF(B161="","",IF(COUNTIF(Clients!$B$5:$B$254,B161)&gt;1,"Duplicate name",IF(AND(C161&lt;&gt;"",COUNTIF(Clients!$C$5:$C$254,C161)&gt;1),"Duplicate phone","OK")))</f>
        <v>0</v>
      </c>
      <c r="AK161" s="49">
        <f>IF(B161="","",IF(AND(C161&lt;&gt;"",D161&lt;&gt;"",L161&lt;&gt;"",M161&lt;&gt;""),"OK","Add: "&amp;IF(C161="","phone ","")&amp;IF(D161="","email ","")&amp;IF(L161="","date ","")&amp;IF(M161="","status","")))</f>
        <v>0</v>
      </c>
      <c r="AL161" s="49">
        <f>IF(B161="","",IF(AG161&gt;0.5,"Overdue - chase payment",IF(AND(M161="Active",ISNUMBER(AC161),AC161&gt;InactiveDays),"Inactive - win back",IF(AND(M161="Active",S161&lt;&gt;"Signed"),"Action - contract not signed",IF(AND(M161="Prospective",AD161=""),"Action - follow up quote","OK")))))</f>
        <v>0</v>
      </c>
    </row>
    <row r="162" spans="1:38">
      <c r="A162" s="46">
        <f>IF(B162="","",ClientPrefix&amp;TEXT(ROW()-4,"0000"))</f>
        <v>0</v>
      </c>
      <c r="Y162" s="31">
        <f>IF(B162="","",COUNTIF(Pets!$C$5:$C$254,B162))</f>
        <v>0</v>
      </c>
      <c r="Z162" s="31">
        <f>IF(B162="","",COUNTIFS(Bookings!$C$5:$C$404,B162))</f>
        <v>0</v>
      </c>
      <c r="AA162" s="31">
        <f>IF(B162="","",COUNTIFS('Visit Log'!$D$5:$D$404,B162,'Visit Log'!$AE$5:$AE$404,"Completed"))</f>
        <v>0</v>
      </c>
      <c r="AB162" s="21">
        <f>IF(B162="","",IF(SUMPRODUCT(MAX((Bookings!$C$5:$C$404=B162)*(Bookings!$AM$5:$AM$404="Completed")*Bookings!$I$5:$I$404))=0,"",SUMPRODUCT(MAX((Bookings!$C$5:$C$404=B162)*(Bookings!$AM$5:$AM$404="Completed")*Bookings!$I$5:$I$404))))</f>
        <v>0</v>
      </c>
      <c r="AC162" s="31">
        <f>IF(AB162="","",TODAY()-AB162)</f>
        <v>0</v>
      </c>
      <c r="AD162" s="21">
        <f>IF(B162="","",IF(COUNTIFS(Bookings!$C$5:$C$404,B162,Bookings!$I$5:$I$404,"&gt;="&amp;TODAY(),Bookings!$AM$5:$AM$404,"&lt;&gt;Cancelled")=0,"",SUMPRODUCT(MIN(((Bookings!$C$5:$C$404=B162)*(Bookings!$I$5:$I$404&gt;=TODAY())*(Bookings!$AM$5:$AM$404&lt;&gt;"Cancelled"))*Bookings!$I$5:$I$404+(1-((Bookings!$C$5:$C$404=B162)*(Bookings!$I$5:$I$404&gt;=TODAY())*(Bookings!$AM$5:$AM$404&lt;&gt;"Cancelled")))*2958465))))</f>
        <v>0</v>
      </c>
      <c r="AE162" s="29">
        <f>IF(B162="","",SUMIFS(Payments!$L$5:$L$304,Payments!$C$5:$C$304,B162))</f>
        <v>0</v>
      </c>
      <c r="AF162" s="29">
        <f>IF(B162="","",SUMIFS(Invoices!$O$5:$O$304,Invoices!$D$5:$D$304,B162,Invoices!$T$5:$T$304,"&lt;&gt;Draft"))</f>
        <v>0</v>
      </c>
      <c r="AG162" s="29">
        <f>IF(B162="","",SUMIFS(Invoices!$S$5:$S$304,Invoices!$D$5:$D$304,B162,Invoices!$T$5:$T$304,"&lt;&gt;Cancelled"))</f>
        <v>0</v>
      </c>
      <c r="AH162" s="29">
        <f>IF(OR(Z162="",Z162=0),"",SUMIFS(Bookings!$AK$5:$AK$404,Bookings!$C$5:$C$404,B162,Bookings!$AM$5:$AM$404,"&lt;&gt;Cancelled")/Z162)</f>
        <v>0</v>
      </c>
      <c r="AI162" s="49">
        <f>IF(B162="","",IF(Z162&gt;=LoyaltyThreshold,"Loyalty discount","Standard"))</f>
        <v>0</v>
      </c>
      <c r="AJ162" s="49">
        <f>IF(B162="","",IF(COUNTIF(Clients!$B$5:$B$254,B162)&gt;1,"Duplicate name",IF(AND(C162&lt;&gt;"",COUNTIF(Clients!$C$5:$C$254,C162)&gt;1),"Duplicate phone","OK")))</f>
        <v>0</v>
      </c>
      <c r="AK162" s="49">
        <f>IF(B162="","",IF(AND(C162&lt;&gt;"",D162&lt;&gt;"",L162&lt;&gt;"",M162&lt;&gt;""),"OK","Add: "&amp;IF(C162="","phone ","")&amp;IF(D162="","email ","")&amp;IF(L162="","date ","")&amp;IF(M162="","status","")))</f>
        <v>0</v>
      </c>
      <c r="AL162" s="49">
        <f>IF(B162="","",IF(AG162&gt;0.5,"Overdue - chase payment",IF(AND(M162="Active",ISNUMBER(AC162),AC162&gt;InactiveDays),"Inactive - win back",IF(AND(M162="Active",S162&lt;&gt;"Signed"),"Action - contract not signed",IF(AND(M162="Prospective",AD162=""),"Action - follow up quote","OK")))))</f>
        <v>0</v>
      </c>
    </row>
    <row r="163" spans="1:38">
      <c r="A163" s="46">
        <f>IF(B163="","",ClientPrefix&amp;TEXT(ROW()-4,"0000"))</f>
        <v>0</v>
      </c>
      <c r="Y163" s="31">
        <f>IF(B163="","",COUNTIF(Pets!$C$5:$C$254,B163))</f>
        <v>0</v>
      </c>
      <c r="Z163" s="31">
        <f>IF(B163="","",COUNTIFS(Bookings!$C$5:$C$404,B163))</f>
        <v>0</v>
      </c>
      <c r="AA163" s="31">
        <f>IF(B163="","",COUNTIFS('Visit Log'!$D$5:$D$404,B163,'Visit Log'!$AE$5:$AE$404,"Completed"))</f>
        <v>0</v>
      </c>
      <c r="AB163" s="21">
        <f>IF(B163="","",IF(SUMPRODUCT(MAX((Bookings!$C$5:$C$404=B163)*(Bookings!$AM$5:$AM$404="Completed")*Bookings!$I$5:$I$404))=0,"",SUMPRODUCT(MAX((Bookings!$C$5:$C$404=B163)*(Bookings!$AM$5:$AM$404="Completed")*Bookings!$I$5:$I$404))))</f>
        <v>0</v>
      </c>
      <c r="AC163" s="31">
        <f>IF(AB163="","",TODAY()-AB163)</f>
        <v>0</v>
      </c>
      <c r="AD163" s="21">
        <f>IF(B163="","",IF(COUNTIFS(Bookings!$C$5:$C$404,B163,Bookings!$I$5:$I$404,"&gt;="&amp;TODAY(),Bookings!$AM$5:$AM$404,"&lt;&gt;Cancelled")=0,"",SUMPRODUCT(MIN(((Bookings!$C$5:$C$404=B163)*(Bookings!$I$5:$I$404&gt;=TODAY())*(Bookings!$AM$5:$AM$404&lt;&gt;"Cancelled"))*Bookings!$I$5:$I$404+(1-((Bookings!$C$5:$C$404=B163)*(Bookings!$I$5:$I$404&gt;=TODAY())*(Bookings!$AM$5:$AM$404&lt;&gt;"Cancelled")))*2958465))))</f>
        <v>0</v>
      </c>
      <c r="AE163" s="29">
        <f>IF(B163="","",SUMIFS(Payments!$L$5:$L$304,Payments!$C$5:$C$304,B163))</f>
        <v>0</v>
      </c>
      <c r="AF163" s="29">
        <f>IF(B163="","",SUMIFS(Invoices!$O$5:$O$304,Invoices!$D$5:$D$304,B163,Invoices!$T$5:$T$304,"&lt;&gt;Draft"))</f>
        <v>0</v>
      </c>
      <c r="AG163" s="29">
        <f>IF(B163="","",SUMIFS(Invoices!$S$5:$S$304,Invoices!$D$5:$D$304,B163,Invoices!$T$5:$T$304,"&lt;&gt;Cancelled"))</f>
        <v>0</v>
      </c>
      <c r="AH163" s="29">
        <f>IF(OR(Z163="",Z163=0),"",SUMIFS(Bookings!$AK$5:$AK$404,Bookings!$C$5:$C$404,B163,Bookings!$AM$5:$AM$404,"&lt;&gt;Cancelled")/Z163)</f>
        <v>0</v>
      </c>
      <c r="AI163" s="49">
        <f>IF(B163="","",IF(Z163&gt;=LoyaltyThreshold,"Loyalty discount","Standard"))</f>
        <v>0</v>
      </c>
      <c r="AJ163" s="49">
        <f>IF(B163="","",IF(COUNTIF(Clients!$B$5:$B$254,B163)&gt;1,"Duplicate name",IF(AND(C163&lt;&gt;"",COUNTIF(Clients!$C$5:$C$254,C163)&gt;1),"Duplicate phone","OK")))</f>
        <v>0</v>
      </c>
      <c r="AK163" s="49">
        <f>IF(B163="","",IF(AND(C163&lt;&gt;"",D163&lt;&gt;"",L163&lt;&gt;"",M163&lt;&gt;""),"OK","Add: "&amp;IF(C163="","phone ","")&amp;IF(D163="","email ","")&amp;IF(L163="","date ","")&amp;IF(M163="","status","")))</f>
        <v>0</v>
      </c>
      <c r="AL163" s="49">
        <f>IF(B163="","",IF(AG163&gt;0.5,"Overdue - chase payment",IF(AND(M163="Active",ISNUMBER(AC163),AC163&gt;InactiveDays),"Inactive - win back",IF(AND(M163="Active",S163&lt;&gt;"Signed"),"Action - contract not signed",IF(AND(M163="Prospective",AD163=""),"Action - follow up quote","OK")))))</f>
        <v>0</v>
      </c>
    </row>
    <row r="164" spans="1:38">
      <c r="A164" s="46">
        <f>IF(B164="","",ClientPrefix&amp;TEXT(ROW()-4,"0000"))</f>
        <v>0</v>
      </c>
      <c r="Y164" s="31">
        <f>IF(B164="","",COUNTIF(Pets!$C$5:$C$254,B164))</f>
        <v>0</v>
      </c>
      <c r="Z164" s="31">
        <f>IF(B164="","",COUNTIFS(Bookings!$C$5:$C$404,B164))</f>
        <v>0</v>
      </c>
      <c r="AA164" s="31">
        <f>IF(B164="","",COUNTIFS('Visit Log'!$D$5:$D$404,B164,'Visit Log'!$AE$5:$AE$404,"Completed"))</f>
        <v>0</v>
      </c>
      <c r="AB164" s="21">
        <f>IF(B164="","",IF(SUMPRODUCT(MAX((Bookings!$C$5:$C$404=B164)*(Bookings!$AM$5:$AM$404="Completed")*Bookings!$I$5:$I$404))=0,"",SUMPRODUCT(MAX((Bookings!$C$5:$C$404=B164)*(Bookings!$AM$5:$AM$404="Completed")*Bookings!$I$5:$I$404))))</f>
        <v>0</v>
      </c>
      <c r="AC164" s="31">
        <f>IF(AB164="","",TODAY()-AB164)</f>
        <v>0</v>
      </c>
      <c r="AD164" s="21">
        <f>IF(B164="","",IF(COUNTIFS(Bookings!$C$5:$C$404,B164,Bookings!$I$5:$I$404,"&gt;="&amp;TODAY(),Bookings!$AM$5:$AM$404,"&lt;&gt;Cancelled")=0,"",SUMPRODUCT(MIN(((Bookings!$C$5:$C$404=B164)*(Bookings!$I$5:$I$404&gt;=TODAY())*(Bookings!$AM$5:$AM$404&lt;&gt;"Cancelled"))*Bookings!$I$5:$I$404+(1-((Bookings!$C$5:$C$404=B164)*(Bookings!$I$5:$I$404&gt;=TODAY())*(Bookings!$AM$5:$AM$404&lt;&gt;"Cancelled")))*2958465))))</f>
        <v>0</v>
      </c>
      <c r="AE164" s="29">
        <f>IF(B164="","",SUMIFS(Payments!$L$5:$L$304,Payments!$C$5:$C$304,B164))</f>
        <v>0</v>
      </c>
      <c r="AF164" s="29">
        <f>IF(B164="","",SUMIFS(Invoices!$O$5:$O$304,Invoices!$D$5:$D$304,B164,Invoices!$T$5:$T$304,"&lt;&gt;Draft"))</f>
        <v>0</v>
      </c>
      <c r="AG164" s="29">
        <f>IF(B164="","",SUMIFS(Invoices!$S$5:$S$304,Invoices!$D$5:$D$304,B164,Invoices!$T$5:$T$304,"&lt;&gt;Cancelled"))</f>
        <v>0</v>
      </c>
      <c r="AH164" s="29">
        <f>IF(OR(Z164="",Z164=0),"",SUMIFS(Bookings!$AK$5:$AK$404,Bookings!$C$5:$C$404,B164,Bookings!$AM$5:$AM$404,"&lt;&gt;Cancelled")/Z164)</f>
        <v>0</v>
      </c>
      <c r="AI164" s="49">
        <f>IF(B164="","",IF(Z164&gt;=LoyaltyThreshold,"Loyalty discount","Standard"))</f>
        <v>0</v>
      </c>
      <c r="AJ164" s="49">
        <f>IF(B164="","",IF(COUNTIF(Clients!$B$5:$B$254,B164)&gt;1,"Duplicate name",IF(AND(C164&lt;&gt;"",COUNTIF(Clients!$C$5:$C$254,C164)&gt;1),"Duplicate phone","OK")))</f>
        <v>0</v>
      </c>
      <c r="AK164" s="49">
        <f>IF(B164="","",IF(AND(C164&lt;&gt;"",D164&lt;&gt;"",L164&lt;&gt;"",M164&lt;&gt;""),"OK","Add: "&amp;IF(C164="","phone ","")&amp;IF(D164="","email ","")&amp;IF(L164="","date ","")&amp;IF(M164="","status","")))</f>
        <v>0</v>
      </c>
      <c r="AL164" s="49">
        <f>IF(B164="","",IF(AG164&gt;0.5,"Overdue - chase payment",IF(AND(M164="Active",ISNUMBER(AC164),AC164&gt;InactiveDays),"Inactive - win back",IF(AND(M164="Active",S164&lt;&gt;"Signed"),"Action - contract not signed",IF(AND(M164="Prospective",AD164=""),"Action - follow up quote","OK")))))</f>
        <v>0</v>
      </c>
    </row>
    <row r="165" spans="1:38">
      <c r="A165" s="46">
        <f>IF(B165="","",ClientPrefix&amp;TEXT(ROW()-4,"0000"))</f>
        <v>0</v>
      </c>
      <c r="Y165" s="31">
        <f>IF(B165="","",COUNTIF(Pets!$C$5:$C$254,B165))</f>
        <v>0</v>
      </c>
      <c r="Z165" s="31">
        <f>IF(B165="","",COUNTIFS(Bookings!$C$5:$C$404,B165))</f>
        <v>0</v>
      </c>
      <c r="AA165" s="31">
        <f>IF(B165="","",COUNTIFS('Visit Log'!$D$5:$D$404,B165,'Visit Log'!$AE$5:$AE$404,"Completed"))</f>
        <v>0</v>
      </c>
      <c r="AB165" s="21">
        <f>IF(B165="","",IF(SUMPRODUCT(MAX((Bookings!$C$5:$C$404=B165)*(Bookings!$AM$5:$AM$404="Completed")*Bookings!$I$5:$I$404))=0,"",SUMPRODUCT(MAX((Bookings!$C$5:$C$404=B165)*(Bookings!$AM$5:$AM$404="Completed")*Bookings!$I$5:$I$404))))</f>
        <v>0</v>
      </c>
      <c r="AC165" s="31">
        <f>IF(AB165="","",TODAY()-AB165)</f>
        <v>0</v>
      </c>
      <c r="AD165" s="21">
        <f>IF(B165="","",IF(COUNTIFS(Bookings!$C$5:$C$404,B165,Bookings!$I$5:$I$404,"&gt;="&amp;TODAY(),Bookings!$AM$5:$AM$404,"&lt;&gt;Cancelled")=0,"",SUMPRODUCT(MIN(((Bookings!$C$5:$C$404=B165)*(Bookings!$I$5:$I$404&gt;=TODAY())*(Bookings!$AM$5:$AM$404&lt;&gt;"Cancelled"))*Bookings!$I$5:$I$404+(1-((Bookings!$C$5:$C$404=B165)*(Bookings!$I$5:$I$404&gt;=TODAY())*(Bookings!$AM$5:$AM$404&lt;&gt;"Cancelled")))*2958465))))</f>
        <v>0</v>
      </c>
      <c r="AE165" s="29">
        <f>IF(B165="","",SUMIFS(Payments!$L$5:$L$304,Payments!$C$5:$C$304,B165))</f>
        <v>0</v>
      </c>
      <c r="AF165" s="29">
        <f>IF(B165="","",SUMIFS(Invoices!$O$5:$O$304,Invoices!$D$5:$D$304,B165,Invoices!$T$5:$T$304,"&lt;&gt;Draft"))</f>
        <v>0</v>
      </c>
      <c r="AG165" s="29">
        <f>IF(B165="","",SUMIFS(Invoices!$S$5:$S$304,Invoices!$D$5:$D$304,B165,Invoices!$T$5:$T$304,"&lt;&gt;Cancelled"))</f>
        <v>0</v>
      </c>
      <c r="AH165" s="29">
        <f>IF(OR(Z165="",Z165=0),"",SUMIFS(Bookings!$AK$5:$AK$404,Bookings!$C$5:$C$404,B165,Bookings!$AM$5:$AM$404,"&lt;&gt;Cancelled")/Z165)</f>
        <v>0</v>
      </c>
      <c r="AI165" s="49">
        <f>IF(B165="","",IF(Z165&gt;=LoyaltyThreshold,"Loyalty discount","Standard"))</f>
        <v>0</v>
      </c>
      <c r="AJ165" s="49">
        <f>IF(B165="","",IF(COUNTIF(Clients!$B$5:$B$254,B165)&gt;1,"Duplicate name",IF(AND(C165&lt;&gt;"",COUNTIF(Clients!$C$5:$C$254,C165)&gt;1),"Duplicate phone","OK")))</f>
        <v>0</v>
      </c>
      <c r="AK165" s="49">
        <f>IF(B165="","",IF(AND(C165&lt;&gt;"",D165&lt;&gt;"",L165&lt;&gt;"",M165&lt;&gt;""),"OK","Add: "&amp;IF(C165="","phone ","")&amp;IF(D165="","email ","")&amp;IF(L165="","date ","")&amp;IF(M165="","status","")))</f>
        <v>0</v>
      </c>
      <c r="AL165" s="49">
        <f>IF(B165="","",IF(AG165&gt;0.5,"Overdue - chase payment",IF(AND(M165="Active",ISNUMBER(AC165),AC165&gt;InactiveDays),"Inactive - win back",IF(AND(M165="Active",S165&lt;&gt;"Signed"),"Action - contract not signed",IF(AND(M165="Prospective",AD165=""),"Action - follow up quote","OK")))))</f>
        <v>0</v>
      </c>
    </row>
    <row r="166" spans="1:38">
      <c r="A166" s="46">
        <f>IF(B166="","",ClientPrefix&amp;TEXT(ROW()-4,"0000"))</f>
        <v>0</v>
      </c>
      <c r="Y166" s="31">
        <f>IF(B166="","",COUNTIF(Pets!$C$5:$C$254,B166))</f>
        <v>0</v>
      </c>
      <c r="Z166" s="31">
        <f>IF(B166="","",COUNTIFS(Bookings!$C$5:$C$404,B166))</f>
        <v>0</v>
      </c>
      <c r="AA166" s="31">
        <f>IF(B166="","",COUNTIFS('Visit Log'!$D$5:$D$404,B166,'Visit Log'!$AE$5:$AE$404,"Completed"))</f>
        <v>0</v>
      </c>
      <c r="AB166" s="21">
        <f>IF(B166="","",IF(SUMPRODUCT(MAX((Bookings!$C$5:$C$404=B166)*(Bookings!$AM$5:$AM$404="Completed")*Bookings!$I$5:$I$404))=0,"",SUMPRODUCT(MAX((Bookings!$C$5:$C$404=B166)*(Bookings!$AM$5:$AM$404="Completed")*Bookings!$I$5:$I$404))))</f>
        <v>0</v>
      </c>
      <c r="AC166" s="31">
        <f>IF(AB166="","",TODAY()-AB166)</f>
        <v>0</v>
      </c>
      <c r="AD166" s="21">
        <f>IF(B166="","",IF(COUNTIFS(Bookings!$C$5:$C$404,B166,Bookings!$I$5:$I$404,"&gt;="&amp;TODAY(),Bookings!$AM$5:$AM$404,"&lt;&gt;Cancelled")=0,"",SUMPRODUCT(MIN(((Bookings!$C$5:$C$404=B166)*(Bookings!$I$5:$I$404&gt;=TODAY())*(Bookings!$AM$5:$AM$404&lt;&gt;"Cancelled"))*Bookings!$I$5:$I$404+(1-((Bookings!$C$5:$C$404=B166)*(Bookings!$I$5:$I$404&gt;=TODAY())*(Bookings!$AM$5:$AM$404&lt;&gt;"Cancelled")))*2958465))))</f>
        <v>0</v>
      </c>
      <c r="AE166" s="29">
        <f>IF(B166="","",SUMIFS(Payments!$L$5:$L$304,Payments!$C$5:$C$304,B166))</f>
        <v>0</v>
      </c>
      <c r="AF166" s="29">
        <f>IF(B166="","",SUMIFS(Invoices!$O$5:$O$304,Invoices!$D$5:$D$304,B166,Invoices!$T$5:$T$304,"&lt;&gt;Draft"))</f>
        <v>0</v>
      </c>
      <c r="AG166" s="29">
        <f>IF(B166="","",SUMIFS(Invoices!$S$5:$S$304,Invoices!$D$5:$D$304,B166,Invoices!$T$5:$T$304,"&lt;&gt;Cancelled"))</f>
        <v>0</v>
      </c>
      <c r="AH166" s="29">
        <f>IF(OR(Z166="",Z166=0),"",SUMIFS(Bookings!$AK$5:$AK$404,Bookings!$C$5:$C$404,B166,Bookings!$AM$5:$AM$404,"&lt;&gt;Cancelled")/Z166)</f>
        <v>0</v>
      </c>
      <c r="AI166" s="49">
        <f>IF(B166="","",IF(Z166&gt;=LoyaltyThreshold,"Loyalty discount","Standard"))</f>
        <v>0</v>
      </c>
      <c r="AJ166" s="49">
        <f>IF(B166="","",IF(COUNTIF(Clients!$B$5:$B$254,B166)&gt;1,"Duplicate name",IF(AND(C166&lt;&gt;"",COUNTIF(Clients!$C$5:$C$254,C166)&gt;1),"Duplicate phone","OK")))</f>
        <v>0</v>
      </c>
      <c r="AK166" s="49">
        <f>IF(B166="","",IF(AND(C166&lt;&gt;"",D166&lt;&gt;"",L166&lt;&gt;"",M166&lt;&gt;""),"OK","Add: "&amp;IF(C166="","phone ","")&amp;IF(D166="","email ","")&amp;IF(L166="","date ","")&amp;IF(M166="","status","")))</f>
        <v>0</v>
      </c>
      <c r="AL166" s="49">
        <f>IF(B166="","",IF(AG166&gt;0.5,"Overdue - chase payment",IF(AND(M166="Active",ISNUMBER(AC166),AC166&gt;InactiveDays),"Inactive - win back",IF(AND(M166="Active",S166&lt;&gt;"Signed"),"Action - contract not signed",IF(AND(M166="Prospective",AD166=""),"Action - follow up quote","OK")))))</f>
        <v>0</v>
      </c>
    </row>
    <row r="167" spans="1:38">
      <c r="A167" s="46">
        <f>IF(B167="","",ClientPrefix&amp;TEXT(ROW()-4,"0000"))</f>
        <v>0</v>
      </c>
      <c r="Y167" s="31">
        <f>IF(B167="","",COUNTIF(Pets!$C$5:$C$254,B167))</f>
        <v>0</v>
      </c>
      <c r="Z167" s="31">
        <f>IF(B167="","",COUNTIFS(Bookings!$C$5:$C$404,B167))</f>
        <v>0</v>
      </c>
      <c r="AA167" s="31">
        <f>IF(B167="","",COUNTIFS('Visit Log'!$D$5:$D$404,B167,'Visit Log'!$AE$5:$AE$404,"Completed"))</f>
        <v>0</v>
      </c>
      <c r="AB167" s="21">
        <f>IF(B167="","",IF(SUMPRODUCT(MAX((Bookings!$C$5:$C$404=B167)*(Bookings!$AM$5:$AM$404="Completed")*Bookings!$I$5:$I$404))=0,"",SUMPRODUCT(MAX((Bookings!$C$5:$C$404=B167)*(Bookings!$AM$5:$AM$404="Completed")*Bookings!$I$5:$I$404))))</f>
        <v>0</v>
      </c>
      <c r="AC167" s="31">
        <f>IF(AB167="","",TODAY()-AB167)</f>
        <v>0</v>
      </c>
      <c r="AD167" s="21">
        <f>IF(B167="","",IF(COUNTIFS(Bookings!$C$5:$C$404,B167,Bookings!$I$5:$I$404,"&gt;="&amp;TODAY(),Bookings!$AM$5:$AM$404,"&lt;&gt;Cancelled")=0,"",SUMPRODUCT(MIN(((Bookings!$C$5:$C$404=B167)*(Bookings!$I$5:$I$404&gt;=TODAY())*(Bookings!$AM$5:$AM$404&lt;&gt;"Cancelled"))*Bookings!$I$5:$I$404+(1-((Bookings!$C$5:$C$404=B167)*(Bookings!$I$5:$I$404&gt;=TODAY())*(Bookings!$AM$5:$AM$404&lt;&gt;"Cancelled")))*2958465))))</f>
        <v>0</v>
      </c>
      <c r="AE167" s="29">
        <f>IF(B167="","",SUMIFS(Payments!$L$5:$L$304,Payments!$C$5:$C$304,B167))</f>
        <v>0</v>
      </c>
      <c r="AF167" s="29">
        <f>IF(B167="","",SUMIFS(Invoices!$O$5:$O$304,Invoices!$D$5:$D$304,B167,Invoices!$T$5:$T$304,"&lt;&gt;Draft"))</f>
        <v>0</v>
      </c>
      <c r="AG167" s="29">
        <f>IF(B167="","",SUMIFS(Invoices!$S$5:$S$304,Invoices!$D$5:$D$304,B167,Invoices!$T$5:$T$304,"&lt;&gt;Cancelled"))</f>
        <v>0</v>
      </c>
      <c r="AH167" s="29">
        <f>IF(OR(Z167="",Z167=0),"",SUMIFS(Bookings!$AK$5:$AK$404,Bookings!$C$5:$C$404,B167,Bookings!$AM$5:$AM$404,"&lt;&gt;Cancelled")/Z167)</f>
        <v>0</v>
      </c>
      <c r="AI167" s="49">
        <f>IF(B167="","",IF(Z167&gt;=LoyaltyThreshold,"Loyalty discount","Standard"))</f>
        <v>0</v>
      </c>
      <c r="AJ167" s="49">
        <f>IF(B167="","",IF(COUNTIF(Clients!$B$5:$B$254,B167)&gt;1,"Duplicate name",IF(AND(C167&lt;&gt;"",COUNTIF(Clients!$C$5:$C$254,C167)&gt;1),"Duplicate phone","OK")))</f>
        <v>0</v>
      </c>
      <c r="AK167" s="49">
        <f>IF(B167="","",IF(AND(C167&lt;&gt;"",D167&lt;&gt;"",L167&lt;&gt;"",M167&lt;&gt;""),"OK","Add: "&amp;IF(C167="","phone ","")&amp;IF(D167="","email ","")&amp;IF(L167="","date ","")&amp;IF(M167="","status","")))</f>
        <v>0</v>
      </c>
      <c r="AL167" s="49">
        <f>IF(B167="","",IF(AG167&gt;0.5,"Overdue - chase payment",IF(AND(M167="Active",ISNUMBER(AC167),AC167&gt;InactiveDays),"Inactive - win back",IF(AND(M167="Active",S167&lt;&gt;"Signed"),"Action - contract not signed",IF(AND(M167="Prospective",AD167=""),"Action - follow up quote","OK")))))</f>
        <v>0</v>
      </c>
    </row>
    <row r="168" spans="1:38">
      <c r="A168" s="46">
        <f>IF(B168="","",ClientPrefix&amp;TEXT(ROW()-4,"0000"))</f>
        <v>0</v>
      </c>
      <c r="Y168" s="31">
        <f>IF(B168="","",COUNTIF(Pets!$C$5:$C$254,B168))</f>
        <v>0</v>
      </c>
      <c r="Z168" s="31">
        <f>IF(B168="","",COUNTIFS(Bookings!$C$5:$C$404,B168))</f>
        <v>0</v>
      </c>
      <c r="AA168" s="31">
        <f>IF(B168="","",COUNTIFS('Visit Log'!$D$5:$D$404,B168,'Visit Log'!$AE$5:$AE$404,"Completed"))</f>
        <v>0</v>
      </c>
      <c r="AB168" s="21">
        <f>IF(B168="","",IF(SUMPRODUCT(MAX((Bookings!$C$5:$C$404=B168)*(Bookings!$AM$5:$AM$404="Completed")*Bookings!$I$5:$I$404))=0,"",SUMPRODUCT(MAX((Bookings!$C$5:$C$404=B168)*(Bookings!$AM$5:$AM$404="Completed")*Bookings!$I$5:$I$404))))</f>
        <v>0</v>
      </c>
      <c r="AC168" s="31">
        <f>IF(AB168="","",TODAY()-AB168)</f>
        <v>0</v>
      </c>
      <c r="AD168" s="21">
        <f>IF(B168="","",IF(COUNTIFS(Bookings!$C$5:$C$404,B168,Bookings!$I$5:$I$404,"&gt;="&amp;TODAY(),Bookings!$AM$5:$AM$404,"&lt;&gt;Cancelled")=0,"",SUMPRODUCT(MIN(((Bookings!$C$5:$C$404=B168)*(Bookings!$I$5:$I$404&gt;=TODAY())*(Bookings!$AM$5:$AM$404&lt;&gt;"Cancelled"))*Bookings!$I$5:$I$404+(1-((Bookings!$C$5:$C$404=B168)*(Bookings!$I$5:$I$404&gt;=TODAY())*(Bookings!$AM$5:$AM$404&lt;&gt;"Cancelled")))*2958465))))</f>
        <v>0</v>
      </c>
      <c r="AE168" s="29">
        <f>IF(B168="","",SUMIFS(Payments!$L$5:$L$304,Payments!$C$5:$C$304,B168))</f>
        <v>0</v>
      </c>
      <c r="AF168" s="29">
        <f>IF(B168="","",SUMIFS(Invoices!$O$5:$O$304,Invoices!$D$5:$D$304,B168,Invoices!$T$5:$T$304,"&lt;&gt;Draft"))</f>
        <v>0</v>
      </c>
      <c r="AG168" s="29">
        <f>IF(B168="","",SUMIFS(Invoices!$S$5:$S$304,Invoices!$D$5:$D$304,B168,Invoices!$T$5:$T$304,"&lt;&gt;Cancelled"))</f>
        <v>0</v>
      </c>
      <c r="AH168" s="29">
        <f>IF(OR(Z168="",Z168=0),"",SUMIFS(Bookings!$AK$5:$AK$404,Bookings!$C$5:$C$404,B168,Bookings!$AM$5:$AM$404,"&lt;&gt;Cancelled")/Z168)</f>
        <v>0</v>
      </c>
      <c r="AI168" s="49">
        <f>IF(B168="","",IF(Z168&gt;=LoyaltyThreshold,"Loyalty discount","Standard"))</f>
        <v>0</v>
      </c>
      <c r="AJ168" s="49">
        <f>IF(B168="","",IF(COUNTIF(Clients!$B$5:$B$254,B168)&gt;1,"Duplicate name",IF(AND(C168&lt;&gt;"",COUNTIF(Clients!$C$5:$C$254,C168)&gt;1),"Duplicate phone","OK")))</f>
        <v>0</v>
      </c>
      <c r="AK168" s="49">
        <f>IF(B168="","",IF(AND(C168&lt;&gt;"",D168&lt;&gt;"",L168&lt;&gt;"",M168&lt;&gt;""),"OK","Add: "&amp;IF(C168="","phone ","")&amp;IF(D168="","email ","")&amp;IF(L168="","date ","")&amp;IF(M168="","status","")))</f>
        <v>0</v>
      </c>
      <c r="AL168" s="49">
        <f>IF(B168="","",IF(AG168&gt;0.5,"Overdue - chase payment",IF(AND(M168="Active",ISNUMBER(AC168),AC168&gt;InactiveDays),"Inactive - win back",IF(AND(M168="Active",S168&lt;&gt;"Signed"),"Action - contract not signed",IF(AND(M168="Prospective",AD168=""),"Action - follow up quote","OK")))))</f>
        <v>0</v>
      </c>
    </row>
    <row r="169" spans="1:38">
      <c r="A169" s="46">
        <f>IF(B169="","",ClientPrefix&amp;TEXT(ROW()-4,"0000"))</f>
        <v>0</v>
      </c>
      <c r="Y169" s="31">
        <f>IF(B169="","",COUNTIF(Pets!$C$5:$C$254,B169))</f>
        <v>0</v>
      </c>
      <c r="Z169" s="31">
        <f>IF(B169="","",COUNTIFS(Bookings!$C$5:$C$404,B169))</f>
        <v>0</v>
      </c>
      <c r="AA169" s="31">
        <f>IF(B169="","",COUNTIFS('Visit Log'!$D$5:$D$404,B169,'Visit Log'!$AE$5:$AE$404,"Completed"))</f>
        <v>0</v>
      </c>
      <c r="AB169" s="21">
        <f>IF(B169="","",IF(SUMPRODUCT(MAX((Bookings!$C$5:$C$404=B169)*(Bookings!$AM$5:$AM$404="Completed")*Bookings!$I$5:$I$404))=0,"",SUMPRODUCT(MAX((Bookings!$C$5:$C$404=B169)*(Bookings!$AM$5:$AM$404="Completed")*Bookings!$I$5:$I$404))))</f>
        <v>0</v>
      </c>
      <c r="AC169" s="31">
        <f>IF(AB169="","",TODAY()-AB169)</f>
        <v>0</v>
      </c>
      <c r="AD169" s="21">
        <f>IF(B169="","",IF(COUNTIFS(Bookings!$C$5:$C$404,B169,Bookings!$I$5:$I$404,"&gt;="&amp;TODAY(),Bookings!$AM$5:$AM$404,"&lt;&gt;Cancelled")=0,"",SUMPRODUCT(MIN(((Bookings!$C$5:$C$404=B169)*(Bookings!$I$5:$I$404&gt;=TODAY())*(Bookings!$AM$5:$AM$404&lt;&gt;"Cancelled"))*Bookings!$I$5:$I$404+(1-((Bookings!$C$5:$C$404=B169)*(Bookings!$I$5:$I$404&gt;=TODAY())*(Bookings!$AM$5:$AM$404&lt;&gt;"Cancelled")))*2958465))))</f>
        <v>0</v>
      </c>
      <c r="AE169" s="29">
        <f>IF(B169="","",SUMIFS(Payments!$L$5:$L$304,Payments!$C$5:$C$304,B169))</f>
        <v>0</v>
      </c>
      <c r="AF169" s="29">
        <f>IF(B169="","",SUMIFS(Invoices!$O$5:$O$304,Invoices!$D$5:$D$304,B169,Invoices!$T$5:$T$304,"&lt;&gt;Draft"))</f>
        <v>0</v>
      </c>
      <c r="AG169" s="29">
        <f>IF(B169="","",SUMIFS(Invoices!$S$5:$S$304,Invoices!$D$5:$D$304,B169,Invoices!$T$5:$T$304,"&lt;&gt;Cancelled"))</f>
        <v>0</v>
      </c>
      <c r="AH169" s="29">
        <f>IF(OR(Z169="",Z169=0),"",SUMIFS(Bookings!$AK$5:$AK$404,Bookings!$C$5:$C$404,B169,Bookings!$AM$5:$AM$404,"&lt;&gt;Cancelled")/Z169)</f>
        <v>0</v>
      </c>
      <c r="AI169" s="49">
        <f>IF(B169="","",IF(Z169&gt;=LoyaltyThreshold,"Loyalty discount","Standard"))</f>
        <v>0</v>
      </c>
      <c r="AJ169" s="49">
        <f>IF(B169="","",IF(COUNTIF(Clients!$B$5:$B$254,B169)&gt;1,"Duplicate name",IF(AND(C169&lt;&gt;"",COUNTIF(Clients!$C$5:$C$254,C169)&gt;1),"Duplicate phone","OK")))</f>
        <v>0</v>
      </c>
      <c r="AK169" s="49">
        <f>IF(B169="","",IF(AND(C169&lt;&gt;"",D169&lt;&gt;"",L169&lt;&gt;"",M169&lt;&gt;""),"OK","Add: "&amp;IF(C169="","phone ","")&amp;IF(D169="","email ","")&amp;IF(L169="","date ","")&amp;IF(M169="","status","")))</f>
        <v>0</v>
      </c>
      <c r="AL169" s="49">
        <f>IF(B169="","",IF(AG169&gt;0.5,"Overdue - chase payment",IF(AND(M169="Active",ISNUMBER(AC169),AC169&gt;InactiveDays),"Inactive - win back",IF(AND(M169="Active",S169&lt;&gt;"Signed"),"Action - contract not signed",IF(AND(M169="Prospective",AD169=""),"Action - follow up quote","OK")))))</f>
        <v>0</v>
      </c>
    </row>
    <row r="170" spans="1:38">
      <c r="A170" s="46">
        <f>IF(B170="","",ClientPrefix&amp;TEXT(ROW()-4,"0000"))</f>
        <v>0</v>
      </c>
      <c r="Y170" s="31">
        <f>IF(B170="","",COUNTIF(Pets!$C$5:$C$254,B170))</f>
        <v>0</v>
      </c>
      <c r="Z170" s="31">
        <f>IF(B170="","",COUNTIFS(Bookings!$C$5:$C$404,B170))</f>
        <v>0</v>
      </c>
      <c r="AA170" s="31">
        <f>IF(B170="","",COUNTIFS('Visit Log'!$D$5:$D$404,B170,'Visit Log'!$AE$5:$AE$404,"Completed"))</f>
        <v>0</v>
      </c>
      <c r="AB170" s="21">
        <f>IF(B170="","",IF(SUMPRODUCT(MAX((Bookings!$C$5:$C$404=B170)*(Bookings!$AM$5:$AM$404="Completed")*Bookings!$I$5:$I$404))=0,"",SUMPRODUCT(MAX((Bookings!$C$5:$C$404=B170)*(Bookings!$AM$5:$AM$404="Completed")*Bookings!$I$5:$I$404))))</f>
        <v>0</v>
      </c>
      <c r="AC170" s="31">
        <f>IF(AB170="","",TODAY()-AB170)</f>
        <v>0</v>
      </c>
      <c r="AD170" s="21">
        <f>IF(B170="","",IF(COUNTIFS(Bookings!$C$5:$C$404,B170,Bookings!$I$5:$I$404,"&gt;="&amp;TODAY(),Bookings!$AM$5:$AM$404,"&lt;&gt;Cancelled")=0,"",SUMPRODUCT(MIN(((Bookings!$C$5:$C$404=B170)*(Bookings!$I$5:$I$404&gt;=TODAY())*(Bookings!$AM$5:$AM$404&lt;&gt;"Cancelled"))*Bookings!$I$5:$I$404+(1-((Bookings!$C$5:$C$404=B170)*(Bookings!$I$5:$I$404&gt;=TODAY())*(Bookings!$AM$5:$AM$404&lt;&gt;"Cancelled")))*2958465))))</f>
        <v>0</v>
      </c>
      <c r="AE170" s="29">
        <f>IF(B170="","",SUMIFS(Payments!$L$5:$L$304,Payments!$C$5:$C$304,B170))</f>
        <v>0</v>
      </c>
      <c r="AF170" s="29">
        <f>IF(B170="","",SUMIFS(Invoices!$O$5:$O$304,Invoices!$D$5:$D$304,B170,Invoices!$T$5:$T$304,"&lt;&gt;Draft"))</f>
        <v>0</v>
      </c>
      <c r="AG170" s="29">
        <f>IF(B170="","",SUMIFS(Invoices!$S$5:$S$304,Invoices!$D$5:$D$304,B170,Invoices!$T$5:$T$304,"&lt;&gt;Cancelled"))</f>
        <v>0</v>
      </c>
      <c r="AH170" s="29">
        <f>IF(OR(Z170="",Z170=0),"",SUMIFS(Bookings!$AK$5:$AK$404,Bookings!$C$5:$C$404,B170,Bookings!$AM$5:$AM$404,"&lt;&gt;Cancelled")/Z170)</f>
        <v>0</v>
      </c>
      <c r="AI170" s="49">
        <f>IF(B170="","",IF(Z170&gt;=LoyaltyThreshold,"Loyalty discount","Standard"))</f>
        <v>0</v>
      </c>
      <c r="AJ170" s="49">
        <f>IF(B170="","",IF(COUNTIF(Clients!$B$5:$B$254,B170)&gt;1,"Duplicate name",IF(AND(C170&lt;&gt;"",COUNTIF(Clients!$C$5:$C$254,C170)&gt;1),"Duplicate phone","OK")))</f>
        <v>0</v>
      </c>
      <c r="AK170" s="49">
        <f>IF(B170="","",IF(AND(C170&lt;&gt;"",D170&lt;&gt;"",L170&lt;&gt;"",M170&lt;&gt;""),"OK","Add: "&amp;IF(C170="","phone ","")&amp;IF(D170="","email ","")&amp;IF(L170="","date ","")&amp;IF(M170="","status","")))</f>
        <v>0</v>
      </c>
      <c r="AL170" s="49">
        <f>IF(B170="","",IF(AG170&gt;0.5,"Overdue - chase payment",IF(AND(M170="Active",ISNUMBER(AC170),AC170&gt;InactiveDays),"Inactive - win back",IF(AND(M170="Active",S170&lt;&gt;"Signed"),"Action - contract not signed",IF(AND(M170="Prospective",AD170=""),"Action - follow up quote","OK")))))</f>
        <v>0</v>
      </c>
    </row>
    <row r="171" spans="1:38">
      <c r="A171" s="46">
        <f>IF(B171="","",ClientPrefix&amp;TEXT(ROW()-4,"0000"))</f>
        <v>0</v>
      </c>
      <c r="Y171" s="31">
        <f>IF(B171="","",COUNTIF(Pets!$C$5:$C$254,B171))</f>
        <v>0</v>
      </c>
      <c r="Z171" s="31">
        <f>IF(B171="","",COUNTIFS(Bookings!$C$5:$C$404,B171))</f>
        <v>0</v>
      </c>
      <c r="AA171" s="31">
        <f>IF(B171="","",COUNTIFS('Visit Log'!$D$5:$D$404,B171,'Visit Log'!$AE$5:$AE$404,"Completed"))</f>
        <v>0</v>
      </c>
      <c r="AB171" s="21">
        <f>IF(B171="","",IF(SUMPRODUCT(MAX((Bookings!$C$5:$C$404=B171)*(Bookings!$AM$5:$AM$404="Completed")*Bookings!$I$5:$I$404))=0,"",SUMPRODUCT(MAX((Bookings!$C$5:$C$404=B171)*(Bookings!$AM$5:$AM$404="Completed")*Bookings!$I$5:$I$404))))</f>
        <v>0</v>
      </c>
      <c r="AC171" s="31">
        <f>IF(AB171="","",TODAY()-AB171)</f>
        <v>0</v>
      </c>
      <c r="AD171" s="21">
        <f>IF(B171="","",IF(COUNTIFS(Bookings!$C$5:$C$404,B171,Bookings!$I$5:$I$404,"&gt;="&amp;TODAY(),Bookings!$AM$5:$AM$404,"&lt;&gt;Cancelled")=0,"",SUMPRODUCT(MIN(((Bookings!$C$5:$C$404=B171)*(Bookings!$I$5:$I$404&gt;=TODAY())*(Bookings!$AM$5:$AM$404&lt;&gt;"Cancelled"))*Bookings!$I$5:$I$404+(1-((Bookings!$C$5:$C$404=B171)*(Bookings!$I$5:$I$404&gt;=TODAY())*(Bookings!$AM$5:$AM$404&lt;&gt;"Cancelled")))*2958465))))</f>
        <v>0</v>
      </c>
      <c r="AE171" s="29">
        <f>IF(B171="","",SUMIFS(Payments!$L$5:$L$304,Payments!$C$5:$C$304,B171))</f>
        <v>0</v>
      </c>
      <c r="AF171" s="29">
        <f>IF(B171="","",SUMIFS(Invoices!$O$5:$O$304,Invoices!$D$5:$D$304,B171,Invoices!$T$5:$T$304,"&lt;&gt;Draft"))</f>
        <v>0</v>
      </c>
      <c r="AG171" s="29">
        <f>IF(B171="","",SUMIFS(Invoices!$S$5:$S$304,Invoices!$D$5:$D$304,B171,Invoices!$T$5:$T$304,"&lt;&gt;Cancelled"))</f>
        <v>0</v>
      </c>
      <c r="AH171" s="29">
        <f>IF(OR(Z171="",Z171=0),"",SUMIFS(Bookings!$AK$5:$AK$404,Bookings!$C$5:$C$404,B171,Bookings!$AM$5:$AM$404,"&lt;&gt;Cancelled")/Z171)</f>
        <v>0</v>
      </c>
      <c r="AI171" s="49">
        <f>IF(B171="","",IF(Z171&gt;=LoyaltyThreshold,"Loyalty discount","Standard"))</f>
        <v>0</v>
      </c>
      <c r="AJ171" s="49">
        <f>IF(B171="","",IF(COUNTIF(Clients!$B$5:$B$254,B171)&gt;1,"Duplicate name",IF(AND(C171&lt;&gt;"",COUNTIF(Clients!$C$5:$C$254,C171)&gt;1),"Duplicate phone","OK")))</f>
        <v>0</v>
      </c>
      <c r="AK171" s="49">
        <f>IF(B171="","",IF(AND(C171&lt;&gt;"",D171&lt;&gt;"",L171&lt;&gt;"",M171&lt;&gt;""),"OK","Add: "&amp;IF(C171="","phone ","")&amp;IF(D171="","email ","")&amp;IF(L171="","date ","")&amp;IF(M171="","status","")))</f>
        <v>0</v>
      </c>
      <c r="AL171" s="49">
        <f>IF(B171="","",IF(AG171&gt;0.5,"Overdue - chase payment",IF(AND(M171="Active",ISNUMBER(AC171),AC171&gt;InactiveDays),"Inactive - win back",IF(AND(M171="Active",S171&lt;&gt;"Signed"),"Action - contract not signed",IF(AND(M171="Prospective",AD171=""),"Action - follow up quote","OK")))))</f>
        <v>0</v>
      </c>
    </row>
    <row r="172" spans="1:38">
      <c r="A172" s="46">
        <f>IF(B172="","",ClientPrefix&amp;TEXT(ROW()-4,"0000"))</f>
        <v>0</v>
      </c>
      <c r="Y172" s="31">
        <f>IF(B172="","",COUNTIF(Pets!$C$5:$C$254,B172))</f>
        <v>0</v>
      </c>
      <c r="Z172" s="31">
        <f>IF(B172="","",COUNTIFS(Bookings!$C$5:$C$404,B172))</f>
        <v>0</v>
      </c>
      <c r="AA172" s="31">
        <f>IF(B172="","",COUNTIFS('Visit Log'!$D$5:$D$404,B172,'Visit Log'!$AE$5:$AE$404,"Completed"))</f>
        <v>0</v>
      </c>
      <c r="AB172" s="21">
        <f>IF(B172="","",IF(SUMPRODUCT(MAX((Bookings!$C$5:$C$404=B172)*(Bookings!$AM$5:$AM$404="Completed")*Bookings!$I$5:$I$404))=0,"",SUMPRODUCT(MAX((Bookings!$C$5:$C$404=B172)*(Bookings!$AM$5:$AM$404="Completed")*Bookings!$I$5:$I$404))))</f>
        <v>0</v>
      </c>
      <c r="AC172" s="31">
        <f>IF(AB172="","",TODAY()-AB172)</f>
        <v>0</v>
      </c>
      <c r="AD172" s="21">
        <f>IF(B172="","",IF(COUNTIFS(Bookings!$C$5:$C$404,B172,Bookings!$I$5:$I$404,"&gt;="&amp;TODAY(),Bookings!$AM$5:$AM$404,"&lt;&gt;Cancelled")=0,"",SUMPRODUCT(MIN(((Bookings!$C$5:$C$404=B172)*(Bookings!$I$5:$I$404&gt;=TODAY())*(Bookings!$AM$5:$AM$404&lt;&gt;"Cancelled"))*Bookings!$I$5:$I$404+(1-((Bookings!$C$5:$C$404=B172)*(Bookings!$I$5:$I$404&gt;=TODAY())*(Bookings!$AM$5:$AM$404&lt;&gt;"Cancelled")))*2958465))))</f>
        <v>0</v>
      </c>
      <c r="AE172" s="29">
        <f>IF(B172="","",SUMIFS(Payments!$L$5:$L$304,Payments!$C$5:$C$304,B172))</f>
        <v>0</v>
      </c>
      <c r="AF172" s="29">
        <f>IF(B172="","",SUMIFS(Invoices!$O$5:$O$304,Invoices!$D$5:$D$304,B172,Invoices!$T$5:$T$304,"&lt;&gt;Draft"))</f>
        <v>0</v>
      </c>
      <c r="AG172" s="29">
        <f>IF(B172="","",SUMIFS(Invoices!$S$5:$S$304,Invoices!$D$5:$D$304,B172,Invoices!$T$5:$T$304,"&lt;&gt;Cancelled"))</f>
        <v>0</v>
      </c>
      <c r="AH172" s="29">
        <f>IF(OR(Z172="",Z172=0),"",SUMIFS(Bookings!$AK$5:$AK$404,Bookings!$C$5:$C$404,B172,Bookings!$AM$5:$AM$404,"&lt;&gt;Cancelled")/Z172)</f>
        <v>0</v>
      </c>
      <c r="AI172" s="49">
        <f>IF(B172="","",IF(Z172&gt;=LoyaltyThreshold,"Loyalty discount","Standard"))</f>
        <v>0</v>
      </c>
      <c r="AJ172" s="49">
        <f>IF(B172="","",IF(COUNTIF(Clients!$B$5:$B$254,B172)&gt;1,"Duplicate name",IF(AND(C172&lt;&gt;"",COUNTIF(Clients!$C$5:$C$254,C172)&gt;1),"Duplicate phone","OK")))</f>
        <v>0</v>
      </c>
      <c r="AK172" s="49">
        <f>IF(B172="","",IF(AND(C172&lt;&gt;"",D172&lt;&gt;"",L172&lt;&gt;"",M172&lt;&gt;""),"OK","Add: "&amp;IF(C172="","phone ","")&amp;IF(D172="","email ","")&amp;IF(L172="","date ","")&amp;IF(M172="","status","")))</f>
        <v>0</v>
      </c>
      <c r="AL172" s="49">
        <f>IF(B172="","",IF(AG172&gt;0.5,"Overdue - chase payment",IF(AND(M172="Active",ISNUMBER(AC172),AC172&gt;InactiveDays),"Inactive - win back",IF(AND(M172="Active",S172&lt;&gt;"Signed"),"Action - contract not signed",IF(AND(M172="Prospective",AD172=""),"Action - follow up quote","OK")))))</f>
        <v>0</v>
      </c>
    </row>
    <row r="173" spans="1:38">
      <c r="A173" s="46">
        <f>IF(B173="","",ClientPrefix&amp;TEXT(ROW()-4,"0000"))</f>
        <v>0</v>
      </c>
      <c r="Y173" s="31">
        <f>IF(B173="","",COUNTIF(Pets!$C$5:$C$254,B173))</f>
        <v>0</v>
      </c>
      <c r="Z173" s="31">
        <f>IF(B173="","",COUNTIFS(Bookings!$C$5:$C$404,B173))</f>
        <v>0</v>
      </c>
      <c r="AA173" s="31">
        <f>IF(B173="","",COUNTIFS('Visit Log'!$D$5:$D$404,B173,'Visit Log'!$AE$5:$AE$404,"Completed"))</f>
        <v>0</v>
      </c>
      <c r="AB173" s="21">
        <f>IF(B173="","",IF(SUMPRODUCT(MAX((Bookings!$C$5:$C$404=B173)*(Bookings!$AM$5:$AM$404="Completed")*Bookings!$I$5:$I$404))=0,"",SUMPRODUCT(MAX((Bookings!$C$5:$C$404=B173)*(Bookings!$AM$5:$AM$404="Completed")*Bookings!$I$5:$I$404))))</f>
        <v>0</v>
      </c>
      <c r="AC173" s="31">
        <f>IF(AB173="","",TODAY()-AB173)</f>
        <v>0</v>
      </c>
      <c r="AD173" s="21">
        <f>IF(B173="","",IF(COUNTIFS(Bookings!$C$5:$C$404,B173,Bookings!$I$5:$I$404,"&gt;="&amp;TODAY(),Bookings!$AM$5:$AM$404,"&lt;&gt;Cancelled")=0,"",SUMPRODUCT(MIN(((Bookings!$C$5:$C$404=B173)*(Bookings!$I$5:$I$404&gt;=TODAY())*(Bookings!$AM$5:$AM$404&lt;&gt;"Cancelled"))*Bookings!$I$5:$I$404+(1-((Bookings!$C$5:$C$404=B173)*(Bookings!$I$5:$I$404&gt;=TODAY())*(Bookings!$AM$5:$AM$404&lt;&gt;"Cancelled")))*2958465))))</f>
        <v>0</v>
      </c>
      <c r="AE173" s="29">
        <f>IF(B173="","",SUMIFS(Payments!$L$5:$L$304,Payments!$C$5:$C$304,B173))</f>
        <v>0</v>
      </c>
      <c r="AF173" s="29">
        <f>IF(B173="","",SUMIFS(Invoices!$O$5:$O$304,Invoices!$D$5:$D$304,B173,Invoices!$T$5:$T$304,"&lt;&gt;Draft"))</f>
        <v>0</v>
      </c>
      <c r="AG173" s="29">
        <f>IF(B173="","",SUMIFS(Invoices!$S$5:$S$304,Invoices!$D$5:$D$304,B173,Invoices!$T$5:$T$304,"&lt;&gt;Cancelled"))</f>
        <v>0</v>
      </c>
      <c r="AH173" s="29">
        <f>IF(OR(Z173="",Z173=0),"",SUMIFS(Bookings!$AK$5:$AK$404,Bookings!$C$5:$C$404,B173,Bookings!$AM$5:$AM$404,"&lt;&gt;Cancelled")/Z173)</f>
        <v>0</v>
      </c>
      <c r="AI173" s="49">
        <f>IF(B173="","",IF(Z173&gt;=LoyaltyThreshold,"Loyalty discount","Standard"))</f>
        <v>0</v>
      </c>
      <c r="AJ173" s="49">
        <f>IF(B173="","",IF(COUNTIF(Clients!$B$5:$B$254,B173)&gt;1,"Duplicate name",IF(AND(C173&lt;&gt;"",COUNTIF(Clients!$C$5:$C$254,C173)&gt;1),"Duplicate phone","OK")))</f>
        <v>0</v>
      </c>
      <c r="AK173" s="49">
        <f>IF(B173="","",IF(AND(C173&lt;&gt;"",D173&lt;&gt;"",L173&lt;&gt;"",M173&lt;&gt;""),"OK","Add: "&amp;IF(C173="","phone ","")&amp;IF(D173="","email ","")&amp;IF(L173="","date ","")&amp;IF(M173="","status","")))</f>
        <v>0</v>
      </c>
      <c r="AL173" s="49">
        <f>IF(B173="","",IF(AG173&gt;0.5,"Overdue - chase payment",IF(AND(M173="Active",ISNUMBER(AC173),AC173&gt;InactiveDays),"Inactive - win back",IF(AND(M173="Active",S173&lt;&gt;"Signed"),"Action - contract not signed",IF(AND(M173="Prospective",AD173=""),"Action - follow up quote","OK")))))</f>
        <v>0</v>
      </c>
    </row>
    <row r="174" spans="1:38">
      <c r="A174" s="46">
        <f>IF(B174="","",ClientPrefix&amp;TEXT(ROW()-4,"0000"))</f>
        <v>0</v>
      </c>
      <c r="Y174" s="31">
        <f>IF(B174="","",COUNTIF(Pets!$C$5:$C$254,B174))</f>
        <v>0</v>
      </c>
      <c r="Z174" s="31">
        <f>IF(B174="","",COUNTIFS(Bookings!$C$5:$C$404,B174))</f>
        <v>0</v>
      </c>
      <c r="AA174" s="31">
        <f>IF(B174="","",COUNTIFS('Visit Log'!$D$5:$D$404,B174,'Visit Log'!$AE$5:$AE$404,"Completed"))</f>
        <v>0</v>
      </c>
      <c r="AB174" s="21">
        <f>IF(B174="","",IF(SUMPRODUCT(MAX((Bookings!$C$5:$C$404=B174)*(Bookings!$AM$5:$AM$404="Completed")*Bookings!$I$5:$I$404))=0,"",SUMPRODUCT(MAX((Bookings!$C$5:$C$404=B174)*(Bookings!$AM$5:$AM$404="Completed")*Bookings!$I$5:$I$404))))</f>
        <v>0</v>
      </c>
      <c r="AC174" s="31">
        <f>IF(AB174="","",TODAY()-AB174)</f>
        <v>0</v>
      </c>
      <c r="AD174" s="21">
        <f>IF(B174="","",IF(COUNTIFS(Bookings!$C$5:$C$404,B174,Bookings!$I$5:$I$404,"&gt;="&amp;TODAY(),Bookings!$AM$5:$AM$404,"&lt;&gt;Cancelled")=0,"",SUMPRODUCT(MIN(((Bookings!$C$5:$C$404=B174)*(Bookings!$I$5:$I$404&gt;=TODAY())*(Bookings!$AM$5:$AM$404&lt;&gt;"Cancelled"))*Bookings!$I$5:$I$404+(1-((Bookings!$C$5:$C$404=B174)*(Bookings!$I$5:$I$404&gt;=TODAY())*(Bookings!$AM$5:$AM$404&lt;&gt;"Cancelled")))*2958465))))</f>
        <v>0</v>
      </c>
      <c r="AE174" s="29">
        <f>IF(B174="","",SUMIFS(Payments!$L$5:$L$304,Payments!$C$5:$C$304,B174))</f>
        <v>0</v>
      </c>
      <c r="AF174" s="29">
        <f>IF(B174="","",SUMIFS(Invoices!$O$5:$O$304,Invoices!$D$5:$D$304,B174,Invoices!$T$5:$T$304,"&lt;&gt;Draft"))</f>
        <v>0</v>
      </c>
      <c r="AG174" s="29">
        <f>IF(B174="","",SUMIFS(Invoices!$S$5:$S$304,Invoices!$D$5:$D$304,B174,Invoices!$T$5:$T$304,"&lt;&gt;Cancelled"))</f>
        <v>0</v>
      </c>
      <c r="AH174" s="29">
        <f>IF(OR(Z174="",Z174=0),"",SUMIFS(Bookings!$AK$5:$AK$404,Bookings!$C$5:$C$404,B174,Bookings!$AM$5:$AM$404,"&lt;&gt;Cancelled")/Z174)</f>
        <v>0</v>
      </c>
      <c r="AI174" s="49">
        <f>IF(B174="","",IF(Z174&gt;=LoyaltyThreshold,"Loyalty discount","Standard"))</f>
        <v>0</v>
      </c>
      <c r="AJ174" s="49">
        <f>IF(B174="","",IF(COUNTIF(Clients!$B$5:$B$254,B174)&gt;1,"Duplicate name",IF(AND(C174&lt;&gt;"",COUNTIF(Clients!$C$5:$C$254,C174)&gt;1),"Duplicate phone","OK")))</f>
        <v>0</v>
      </c>
      <c r="AK174" s="49">
        <f>IF(B174="","",IF(AND(C174&lt;&gt;"",D174&lt;&gt;"",L174&lt;&gt;"",M174&lt;&gt;""),"OK","Add: "&amp;IF(C174="","phone ","")&amp;IF(D174="","email ","")&amp;IF(L174="","date ","")&amp;IF(M174="","status","")))</f>
        <v>0</v>
      </c>
      <c r="AL174" s="49">
        <f>IF(B174="","",IF(AG174&gt;0.5,"Overdue - chase payment",IF(AND(M174="Active",ISNUMBER(AC174),AC174&gt;InactiveDays),"Inactive - win back",IF(AND(M174="Active",S174&lt;&gt;"Signed"),"Action - contract not signed",IF(AND(M174="Prospective",AD174=""),"Action - follow up quote","OK")))))</f>
        <v>0</v>
      </c>
    </row>
    <row r="175" spans="1:38">
      <c r="A175" s="46">
        <f>IF(B175="","",ClientPrefix&amp;TEXT(ROW()-4,"0000"))</f>
        <v>0</v>
      </c>
      <c r="Y175" s="31">
        <f>IF(B175="","",COUNTIF(Pets!$C$5:$C$254,B175))</f>
        <v>0</v>
      </c>
      <c r="Z175" s="31">
        <f>IF(B175="","",COUNTIFS(Bookings!$C$5:$C$404,B175))</f>
        <v>0</v>
      </c>
      <c r="AA175" s="31">
        <f>IF(B175="","",COUNTIFS('Visit Log'!$D$5:$D$404,B175,'Visit Log'!$AE$5:$AE$404,"Completed"))</f>
        <v>0</v>
      </c>
      <c r="AB175" s="21">
        <f>IF(B175="","",IF(SUMPRODUCT(MAX((Bookings!$C$5:$C$404=B175)*(Bookings!$AM$5:$AM$404="Completed")*Bookings!$I$5:$I$404))=0,"",SUMPRODUCT(MAX((Bookings!$C$5:$C$404=B175)*(Bookings!$AM$5:$AM$404="Completed")*Bookings!$I$5:$I$404))))</f>
        <v>0</v>
      </c>
      <c r="AC175" s="31">
        <f>IF(AB175="","",TODAY()-AB175)</f>
        <v>0</v>
      </c>
      <c r="AD175" s="21">
        <f>IF(B175="","",IF(COUNTIFS(Bookings!$C$5:$C$404,B175,Bookings!$I$5:$I$404,"&gt;="&amp;TODAY(),Bookings!$AM$5:$AM$404,"&lt;&gt;Cancelled")=0,"",SUMPRODUCT(MIN(((Bookings!$C$5:$C$404=B175)*(Bookings!$I$5:$I$404&gt;=TODAY())*(Bookings!$AM$5:$AM$404&lt;&gt;"Cancelled"))*Bookings!$I$5:$I$404+(1-((Bookings!$C$5:$C$404=B175)*(Bookings!$I$5:$I$404&gt;=TODAY())*(Bookings!$AM$5:$AM$404&lt;&gt;"Cancelled")))*2958465))))</f>
        <v>0</v>
      </c>
      <c r="AE175" s="29">
        <f>IF(B175="","",SUMIFS(Payments!$L$5:$L$304,Payments!$C$5:$C$304,B175))</f>
        <v>0</v>
      </c>
      <c r="AF175" s="29">
        <f>IF(B175="","",SUMIFS(Invoices!$O$5:$O$304,Invoices!$D$5:$D$304,B175,Invoices!$T$5:$T$304,"&lt;&gt;Draft"))</f>
        <v>0</v>
      </c>
      <c r="AG175" s="29">
        <f>IF(B175="","",SUMIFS(Invoices!$S$5:$S$304,Invoices!$D$5:$D$304,B175,Invoices!$T$5:$T$304,"&lt;&gt;Cancelled"))</f>
        <v>0</v>
      </c>
      <c r="AH175" s="29">
        <f>IF(OR(Z175="",Z175=0),"",SUMIFS(Bookings!$AK$5:$AK$404,Bookings!$C$5:$C$404,B175,Bookings!$AM$5:$AM$404,"&lt;&gt;Cancelled")/Z175)</f>
        <v>0</v>
      </c>
      <c r="AI175" s="49">
        <f>IF(B175="","",IF(Z175&gt;=LoyaltyThreshold,"Loyalty discount","Standard"))</f>
        <v>0</v>
      </c>
      <c r="AJ175" s="49">
        <f>IF(B175="","",IF(COUNTIF(Clients!$B$5:$B$254,B175)&gt;1,"Duplicate name",IF(AND(C175&lt;&gt;"",COUNTIF(Clients!$C$5:$C$254,C175)&gt;1),"Duplicate phone","OK")))</f>
        <v>0</v>
      </c>
      <c r="AK175" s="49">
        <f>IF(B175="","",IF(AND(C175&lt;&gt;"",D175&lt;&gt;"",L175&lt;&gt;"",M175&lt;&gt;""),"OK","Add: "&amp;IF(C175="","phone ","")&amp;IF(D175="","email ","")&amp;IF(L175="","date ","")&amp;IF(M175="","status","")))</f>
        <v>0</v>
      </c>
      <c r="AL175" s="49">
        <f>IF(B175="","",IF(AG175&gt;0.5,"Overdue - chase payment",IF(AND(M175="Active",ISNUMBER(AC175),AC175&gt;InactiveDays),"Inactive - win back",IF(AND(M175="Active",S175&lt;&gt;"Signed"),"Action - contract not signed",IF(AND(M175="Prospective",AD175=""),"Action - follow up quote","OK")))))</f>
        <v>0</v>
      </c>
    </row>
    <row r="176" spans="1:38">
      <c r="A176" s="46">
        <f>IF(B176="","",ClientPrefix&amp;TEXT(ROW()-4,"0000"))</f>
        <v>0</v>
      </c>
      <c r="Y176" s="31">
        <f>IF(B176="","",COUNTIF(Pets!$C$5:$C$254,B176))</f>
        <v>0</v>
      </c>
      <c r="Z176" s="31">
        <f>IF(B176="","",COUNTIFS(Bookings!$C$5:$C$404,B176))</f>
        <v>0</v>
      </c>
      <c r="AA176" s="31">
        <f>IF(B176="","",COUNTIFS('Visit Log'!$D$5:$D$404,B176,'Visit Log'!$AE$5:$AE$404,"Completed"))</f>
        <v>0</v>
      </c>
      <c r="AB176" s="21">
        <f>IF(B176="","",IF(SUMPRODUCT(MAX((Bookings!$C$5:$C$404=B176)*(Bookings!$AM$5:$AM$404="Completed")*Bookings!$I$5:$I$404))=0,"",SUMPRODUCT(MAX((Bookings!$C$5:$C$404=B176)*(Bookings!$AM$5:$AM$404="Completed")*Bookings!$I$5:$I$404))))</f>
        <v>0</v>
      </c>
      <c r="AC176" s="31">
        <f>IF(AB176="","",TODAY()-AB176)</f>
        <v>0</v>
      </c>
      <c r="AD176" s="21">
        <f>IF(B176="","",IF(COUNTIFS(Bookings!$C$5:$C$404,B176,Bookings!$I$5:$I$404,"&gt;="&amp;TODAY(),Bookings!$AM$5:$AM$404,"&lt;&gt;Cancelled")=0,"",SUMPRODUCT(MIN(((Bookings!$C$5:$C$404=B176)*(Bookings!$I$5:$I$404&gt;=TODAY())*(Bookings!$AM$5:$AM$404&lt;&gt;"Cancelled"))*Bookings!$I$5:$I$404+(1-((Bookings!$C$5:$C$404=B176)*(Bookings!$I$5:$I$404&gt;=TODAY())*(Bookings!$AM$5:$AM$404&lt;&gt;"Cancelled")))*2958465))))</f>
        <v>0</v>
      </c>
      <c r="AE176" s="29">
        <f>IF(B176="","",SUMIFS(Payments!$L$5:$L$304,Payments!$C$5:$C$304,B176))</f>
        <v>0</v>
      </c>
      <c r="AF176" s="29">
        <f>IF(B176="","",SUMIFS(Invoices!$O$5:$O$304,Invoices!$D$5:$D$304,B176,Invoices!$T$5:$T$304,"&lt;&gt;Draft"))</f>
        <v>0</v>
      </c>
      <c r="AG176" s="29">
        <f>IF(B176="","",SUMIFS(Invoices!$S$5:$S$304,Invoices!$D$5:$D$304,B176,Invoices!$T$5:$T$304,"&lt;&gt;Cancelled"))</f>
        <v>0</v>
      </c>
      <c r="AH176" s="29">
        <f>IF(OR(Z176="",Z176=0),"",SUMIFS(Bookings!$AK$5:$AK$404,Bookings!$C$5:$C$404,B176,Bookings!$AM$5:$AM$404,"&lt;&gt;Cancelled")/Z176)</f>
        <v>0</v>
      </c>
      <c r="AI176" s="49">
        <f>IF(B176="","",IF(Z176&gt;=LoyaltyThreshold,"Loyalty discount","Standard"))</f>
        <v>0</v>
      </c>
      <c r="AJ176" s="49">
        <f>IF(B176="","",IF(COUNTIF(Clients!$B$5:$B$254,B176)&gt;1,"Duplicate name",IF(AND(C176&lt;&gt;"",COUNTIF(Clients!$C$5:$C$254,C176)&gt;1),"Duplicate phone","OK")))</f>
        <v>0</v>
      </c>
      <c r="AK176" s="49">
        <f>IF(B176="","",IF(AND(C176&lt;&gt;"",D176&lt;&gt;"",L176&lt;&gt;"",M176&lt;&gt;""),"OK","Add: "&amp;IF(C176="","phone ","")&amp;IF(D176="","email ","")&amp;IF(L176="","date ","")&amp;IF(M176="","status","")))</f>
        <v>0</v>
      </c>
      <c r="AL176" s="49">
        <f>IF(B176="","",IF(AG176&gt;0.5,"Overdue - chase payment",IF(AND(M176="Active",ISNUMBER(AC176),AC176&gt;InactiveDays),"Inactive - win back",IF(AND(M176="Active",S176&lt;&gt;"Signed"),"Action - contract not signed",IF(AND(M176="Prospective",AD176=""),"Action - follow up quote","OK")))))</f>
        <v>0</v>
      </c>
    </row>
    <row r="177" spans="1:38">
      <c r="A177" s="46">
        <f>IF(B177="","",ClientPrefix&amp;TEXT(ROW()-4,"0000"))</f>
        <v>0</v>
      </c>
      <c r="Y177" s="31">
        <f>IF(B177="","",COUNTIF(Pets!$C$5:$C$254,B177))</f>
        <v>0</v>
      </c>
      <c r="Z177" s="31">
        <f>IF(B177="","",COUNTIFS(Bookings!$C$5:$C$404,B177))</f>
        <v>0</v>
      </c>
      <c r="AA177" s="31">
        <f>IF(B177="","",COUNTIFS('Visit Log'!$D$5:$D$404,B177,'Visit Log'!$AE$5:$AE$404,"Completed"))</f>
        <v>0</v>
      </c>
      <c r="AB177" s="21">
        <f>IF(B177="","",IF(SUMPRODUCT(MAX((Bookings!$C$5:$C$404=B177)*(Bookings!$AM$5:$AM$404="Completed")*Bookings!$I$5:$I$404))=0,"",SUMPRODUCT(MAX((Bookings!$C$5:$C$404=B177)*(Bookings!$AM$5:$AM$404="Completed")*Bookings!$I$5:$I$404))))</f>
        <v>0</v>
      </c>
      <c r="AC177" s="31">
        <f>IF(AB177="","",TODAY()-AB177)</f>
        <v>0</v>
      </c>
      <c r="AD177" s="21">
        <f>IF(B177="","",IF(COUNTIFS(Bookings!$C$5:$C$404,B177,Bookings!$I$5:$I$404,"&gt;="&amp;TODAY(),Bookings!$AM$5:$AM$404,"&lt;&gt;Cancelled")=0,"",SUMPRODUCT(MIN(((Bookings!$C$5:$C$404=B177)*(Bookings!$I$5:$I$404&gt;=TODAY())*(Bookings!$AM$5:$AM$404&lt;&gt;"Cancelled"))*Bookings!$I$5:$I$404+(1-((Bookings!$C$5:$C$404=B177)*(Bookings!$I$5:$I$404&gt;=TODAY())*(Bookings!$AM$5:$AM$404&lt;&gt;"Cancelled")))*2958465))))</f>
        <v>0</v>
      </c>
      <c r="AE177" s="29">
        <f>IF(B177="","",SUMIFS(Payments!$L$5:$L$304,Payments!$C$5:$C$304,B177))</f>
        <v>0</v>
      </c>
      <c r="AF177" s="29">
        <f>IF(B177="","",SUMIFS(Invoices!$O$5:$O$304,Invoices!$D$5:$D$304,B177,Invoices!$T$5:$T$304,"&lt;&gt;Draft"))</f>
        <v>0</v>
      </c>
      <c r="AG177" s="29">
        <f>IF(B177="","",SUMIFS(Invoices!$S$5:$S$304,Invoices!$D$5:$D$304,B177,Invoices!$T$5:$T$304,"&lt;&gt;Cancelled"))</f>
        <v>0</v>
      </c>
      <c r="AH177" s="29">
        <f>IF(OR(Z177="",Z177=0),"",SUMIFS(Bookings!$AK$5:$AK$404,Bookings!$C$5:$C$404,B177,Bookings!$AM$5:$AM$404,"&lt;&gt;Cancelled")/Z177)</f>
        <v>0</v>
      </c>
      <c r="AI177" s="49">
        <f>IF(B177="","",IF(Z177&gt;=LoyaltyThreshold,"Loyalty discount","Standard"))</f>
        <v>0</v>
      </c>
      <c r="AJ177" s="49">
        <f>IF(B177="","",IF(COUNTIF(Clients!$B$5:$B$254,B177)&gt;1,"Duplicate name",IF(AND(C177&lt;&gt;"",COUNTIF(Clients!$C$5:$C$254,C177)&gt;1),"Duplicate phone","OK")))</f>
        <v>0</v>
      </c>
      <c r="AK177" s="49">
        <f>IF(B177="","",IF(AND(C177&lt;&gt;"",D177&lt;&gt;"",L177&lt;&gt;"",M177&lt;&gt;""),"OK","Add: "&amp;IF(C177="","phone ","")&amp;IF(D177="","email ","")&amp;IF(L177="","date ","")&amp;IF(M177="","status","")))</f>
        <v>0</v>
      </c>
      <c r="AL177" s="49">
        <f>IF(B177="","",IF(AG177&gt;0.5,"Overdue - chase payment",IF(AND(M177="Active",ISNUMBER(AC177),AC177&gt;InactiveDays),"Inactive - win back",IF(AND(M177="Active",S177&lt;&gt;"Signed"),"Action - contract not signed",IF(AND(M177="Prospective",AD177=""),"Action - follow up quote","OK")))))</f>
        <v>0</v>
      </c>
    </row>
    <row r="178" spans="1:38">
      <c r="A178" s="46">
        <f>IF(B178="","",ClientPrefix&amp;TEXT(ROW()-4,"0000"))</f>
        <v>0</v>
      </c>
      <c r="Y178" s="31">
        <f>IF(B178="","",COUNTIF(Pets!$C$5:$C$254,B178))</f>
        <v>0</v>
      </c>
      <c r="Z178" s="31">
        <f>IF(B178="","",COUNTIFS(Bookings!$C$5:$C$404,B178))</f>
        <v>0</v>
      </c>
      <c r="AA178" s="31">
        <f>IF(B178="","",COUNTIFS('Visit Log'!$D$5:$D$404,B178,'Visit Log'!$AE$5:$AE$404,"Completed"))</f>
        <v>0</v>
      </c>
      <c r="AB178" s="21">
        <f>IF(B178="","",IF(SUMPRODUCT(MAX((Bookings!$C$5:$C$404=B178)*(Bookings!$AM$5:$AM$404="Completed")*Bookings!$I$5:$I$404))=0,"",SUMPRODUCT(MAX((Bookings!$C$5:$C$404=B178)*(Bookings!$AM$5:$AM$404="Completed")*Bookings!$I$5:$I$404))))</f>
        <v>0</v>
      </c>
      <c r="AC178" s="31">
        <f>IF(AB178="","",TODAY()-AB178)</f>
        <v>0</v>
      </c>
      <c r="AD178" s="21">
        <f>IF(B178="","",IF(COUNTIFS(Bookings!$C$5:$C$404,B178,Bookings!$I$5:$I$404,"&gt;="&amp;TODAY(),Bookings!$AM$5:$AM$404,"&lt;&gt;Cancelled")=0,"",SUMPRODUCT(MIN(((Bookings!$C$5:$C$404=B178)*(Bookings!$I$5:$I$404&gt;=TODAY())*(Bookings!$AM$5:$AM$404&lt;&gt;"Cancelled"))*Bookings!$I$5:$I$404+(1-((Bookings!$C$5:$C$404=B178)*(Bookings!$I$5:$I$404&gt;=TODAY())*(Bookings!$AM$5:$AM$404&lt;&gt;"Cancelled")))*2958465))))</f>
        <v>0</v>
      </c>
      <c r="AE178" s="29">
        <f>IF(B178="","",SUMIFS(Payments!$L$5:$L$304,Payments!$C$5:$C$304,B178))</f>
        <v>0</v>
      </c>
      <c r="AF178" s="29">
        <f>IF(B178="","",SUMIFS(Invoices!$O$5:$O$304,Invoices!$D$5:$D$304,B178,Invoices!$T$5:$T$304,"&lt;&gt;Draft"))</f>
        <v>0</v>
      </c>
      <c r="AG178" s="29">
        <f>IF(B178="","",SUMIFS(Invoices!$S$5:$S$304,Invoices!$D$5:$D$304,B178,Invoices!$T$5:$T$304,"&lt;&gt;Cancelled"))</f>
        <v>0</v>
      </c>
      <c r="AH178" s="29">
        <f>IF(OR(Z178="",Z178=0),"",SUMIFS(Bookings!$AK$5:$AK$404,Bookings!$C$5:$C$404,B178,Bookings!$AM$5:$AM$404,"&lt;&gt;Cancelled")/Z178)</f>
        <v>0</v>
      </c>
      <c r="AI178" s="49">
        <f>IF(B178="","",IF(Z178&gt;=LoyaltyThreshold,"Loyalty discount","Standard"))</f>
        <v>0</v>
      </c>
      <c r="AJ178" s="49">
        <f>IF(B178="","",IF(COUNTIF(Clients!$B$5:$B$254,B178)&gt;1,"Duplicate name",IF(AND(C178&lt;&gt;"",COUNTIF(Clients!$C$5:$C$254,C178)&gt;1),"Duplicate phone","OK")))</f>
        <v>0</v>
      </c>
      <c r="AK178" s="49">
        <f>IF(B178="","",IF(AND(C178&lt;&gt;"",D178&lt;&gt;"",L178&lt;&gt;"",M178&lt;&gt;""),"OK","Add: "&amp;IF(C178="","phone ","")&amp;IF(D178="","email ","")&amp;IF(L178="","date ","")&amp;IF(M178="","status","")))</f>
        <v>0</v>
      </c>
      <c r="AL178" s="49">
        <f>IF(B178="","",IF(AG178&gt;0.5,"Overdue - chase payment",IF(AND(M178="Active",ISNUMBER(AC178),AC178&gt;InactiveDays),"Inactive - win back",IF(AND(M178="Active",S178&lt;&gt;"Signed"),"Action - contract not signed",IF(AND(M178="Prospective",AD178=""),"Action - follow up quote","OK")))))</f>
        <v>0</v>
      </c>
    </row>
    <row r="179" spans="1:38">
      <c r="A179" s="46">
        <f>IF(B179="","",ClientPrefix&amp;TEXT(ROW()-4,"0000"))</f>
        <v>0</v>
      </c>
      <c r="Y179" s="31">
        <f>IF(B179="","",COUNTIF(Pets!$C$5:$C$254,B179))</f>
        <v>0</v>
      </c>
      <c r="Z179" s="31">
        <f>IF(B179="","",COUNTIFS(Bookings!$C$5:$C$404,B179))</f>
        <v>0</v>
      </c>
      <c r="AA179" s="31">
        <f>IF(B179="","",COUNTIFS('Visit Log'!$D$5:$D$404,B179,'Visit Log'!$AE$5:$AE$404,"Completed"))</f>
        <v>0</v>
      </c>
      <c r="AB179" s="21">
        <f>IF(B179="","",IF(SUMPRODUCT(MAX((Bookings!$C$5:$C$404=B179)*(Bookings!$AM$5:$AM$404="Completed")*Bookings!$I$5:$I$404))=0,"",SUMPRODUCT(MAX((Bookings!$C$5:$C$404=B179)*(Bookings!$AM$5:$AM$404="Completed")*Bookings!$I$5:$I$404))))</f>
        <v>0</v>
      </c>
      <c r="AC179" s="31">
        <f>IF(AB179="","",TODAY()-AB179)</f>
        <v>0</v>
      </c>
      <c r="AD179" s="21">
        <f>IF(B179="","",IF(COUNTIFS(Bookings!$C$5:$C$404,B179,Bookings!$I$5:$I$404,"&gt;="&amp;TODAY(),Bookings!$AM$5:$AM$404,"&lt;&gt;Cancelled")=0,"",SUMPRODUCT(MIN(((Bookings!$C$5:$C$404=B179)*(Bookings!$I$5:$I$404&gt;=TODAY())*(Bookings!$AM$5:$AM$404&lt;&gt;"Cancelled"))*Bookings!$I$5:$I$404+(1-((Bookings!$C$5:$C$404=B179)*(Bookings!$I$5:$I$404&gt;=TODAY())*(Bookings!$AM$5:$AM$404&lt;&gt;"Cancelled")))*2958465))))</f>
        <v>0</v>
      </c>
      <c r="AE179" s="29">
        <f>IF(B179="","",SUMIFS(Payments!$L$5:$L$304,Payments!$C$5:$C$304,B179))</f>
        <v>0</v>
      </c>
      <c r="AF179" s="29">
        <f>IF(B179="","",SUMIFS(Invoices!$O$5:$O$304,Invoices!$D$5:$D$304,B179,Invoices!$T$5:$T$304,"&lt;&gt;Draft"))</f>
        <v>0</v>
      </c>
      <c r="AG179" s="29">
        <f>IF(B179="","",SUMIFS(Invoices!$S$5:$S$304,Invoices!$D$5:$D$304,B179,Invoices!$T$5:$T$304,"&lt;&gt;Cancelled"))</f>
        <v>0</v>
      </c>
      <c r="AH179" s="29">
        <f>IF(OR(Z179="",Z179=0),"",SUMIFS(Bookings!$AK$5:$AK$404,Bookings!$C$5:$C$404,B179,Bookings!$AM$5:$AM$404,"&lt;&gt;Cancelled")/Z179)</f>
        <v>0</v>
      </c>
      <c r="AI179" s="49">
        <f>IF(B179="","",IF(Z179&gt;=LoyaltyThreshold,"Loyalty discount","Standard"))</f>
        <v>0</v>
      </c>
      <c r="AJ179" s="49">
        <f>IF(B179="","",IF(COUNTIF(Clients!$B$5:$B$254,B179)&gt;1,"Duplicate name",IF(AND(C179&lt;&gt;"",COUNTIF(Clients!$C$5:$C$254,C179)&gt;1),"Duplicate phone","OK")))</f>
        <v>0</v>
      </c>
      <c r="AK179" s="49">
        <f>IF(B179="","",IF(AND(C179&lt;&gt;"",D179&lt;&gt;"",L179&lt;&gt;"",M179&lt;&gt;""),"OK","Add: "&amp;IF(C179="","phone ","")&amp;IF(D179="","email ","")&amp;IF(L179="","date ","")&amp;IF(M179="","status","")))</f>
        <v>0</v>
      </c>
      <c r="AL179" s="49">
        <f>IF(B179="","",IF(AG179&gt;0.5,"Overdue - chase payment",IF(AND(M179="Active",ISNUMBER(AC179),AC179&gt;InactiveDays),"Inactive - win back",IF(AND(M179="Active",S179&lt;&gt;"Signed"),"Action - contract not signed",IF(AND(M179="Prospective",AD179=""),"Action - follow up quote","OK")))))</f>
        <v>0</v>
      </c>
    </row>
    <row r="180" spans="1:38">
      <c r="A180" s="46">
        <f>IF(B180="","",ClientPrefix&amp;TEXT(ROW()-4,"0000"))</f>
        <v>0</v>
      </c>
      <c r="Y180" s="31">
        <f>IF(B180="","",COUNTIF(Pets!$C$5:$C$254,B180))</f>
        <v>0</v>
      </c>
      <c r="Z180" s="31">
        <f>IF(B180="","",COUNTIFS(Bookings!$C$5:$C$404,B180))</f>
        <v>0</v>
      </c>
      <c r="AA180" s="31">
        <f>IF(B180="","",COUNTIFS('Visit Log'!$D$5:$D$404,B180,'Visit Log'!$AE$5:$AE$404,"Completed"))</f>
        <v>0</v>
      </c>
      <c r="AB180" s="21">
        <f>IF(B180="","",IF(SUMPRODUCT(MAX((Bookings!$C$5:$C$404=B180)*(Bookings!$AM$5:$AM$404="Completed")*Bookings!$I$5:$I$404))=0,"",SUMPRODUCT(MAX((Bookings!$C$5:$C$404=B180)*(Bookings!$AM$5:$AM$404="Completed")*Bookings!$I$5:$I$404))))</f>
        <v>0</v>
      </c>
      <c r="AC180" s="31">
        <f>IF(AB180="","",TODAY()-AB180)</f>
        <v>0</v>
      </c>
      <c r="AD180" s="21">
        <f>IF(B180="","",IF(COUNTIFS(Bookings!$C$5:$C$404,B180,Bookings!$I$5:$I$404,"&gt;="&amp;TODAY(),Bookings!$AM$5:$AM$404,"&lt;&gt;Cancelled")=0,"",SUMPRODUCT(MIN(((Bookings!$C$5:$C$404=B180)*(Bookings!$I$5:$I$404&gt;=TODAY())*(Bookings!$AM$5:$AM$404&lt;&gt;"Cancelled"))*Bookings!$I$5:$I$404+(1-((Bookings!$C$5:$C$404=B180)*(Bookings!$I$5:$I$404&gt;=TODAY())*(Bookings!$AM$5:$AM$404&lt;&gt;"Cancelled")))*2958465))))</f>
        <v>0</v>
      </c>
      <c r="AE180" s="29">
        <f>IF(B180="","",SUMIFS(Payments!$L$5:$L$304,Payments!$C$5:$C$304,B180))</f>
        <v>0</v>
      </c>
      <c r="AF180" s="29">
        <f>IF(B180="","",SUMIFS(Invoices!$O$5:$O$304,Invoices!$D$5:$D$304,B180,Invoices!$T$5:$T$304,"&lt;&gt;Draft"))</f>
        <v>0</v>
      </c>
      <c r="AG180" s="29">
        <f>IF(B180="","",SUMIFS(Invoices!$S$5:$S$304,Invoices!$D$5:$D$304,B180,Invoices!$T$5:$T$304,"&lt;&gt;Cancelled"))</f>
        <v>0</v>
      </c>
      <c r="AH180" s="29">
        <f>IF(OR(Z180="",Z180=0),"",SUMIFS(Bookings!$AK$5:$AK$404,Bookings!$C$5:$C$404,B180,Bookings!$AM$5:$AM$404,"&lt;&gt;Cancelled")/Z180)</f>
        <v>0</v>
      </c>
      <c r="AI180" s="49">
        <f>IF(B180="","",IF(Z180&gt;=LoyaltyThreshold,"Loyalty discount","Standard"))</f>
        <v>0</v>
      </c>
      <c r="AJ180" s="49">
        <f>IF(B180="","",IF(COUNTIF(Clients!$B$5:$B$254,B180)&gt;1,"Duplicate name",IF(AND(C180&lt;&gt;"",COUNTIF(Clients!$C$5:$C$254,C180)&gt;1),"Duplicate phone","OK")))</f>
        <v>0</v>
      </c>
      <c r="AK180" s="49">
        <f>IF(B180="","",IF(AND(C180&lt;&gt;"",D180&lt;&gt;"",L180&lt;&gt;"",M180&lt;&gt;""),"OK","Add: "&amp;IF(C180="","phone ","")&amp;IF(D180="","email ","")&amp;IF(L180="","date ","")&amp;IF(M180="","status","")))</f>
        <v>0</v>
      </c>
      <c r="AL180" s="49">
        <f>IF(B180="","",IF(AG180&gt;0.5,"Overdue - chase payment",IF(AND(M180="Active",ISNUMBER(AC180),AC180&gt;InactiveDays),"Inactive - win back",IF(AND(M180="Active",S180&lt;&gt;"Signed"),"Action - contract not signed",IF(AND(M180="Prospective",AD180=""),"Action - follow up quote","OK")))))</f>
        <v>0</v>
      </c>
    </row>
    <row r="181" spans="1:38">
      <c r="A181" s="46">
        <f>IF(B181="","",ClientPrefix&amp;TEXT(ROW()-4,"0000"))</f>
        <v>0</v>
      </c>
      <c r="Y181" s="31">
        <f>IF(B181="","",COUNTIF(Pets!$C$5:$C$254,B181))</f>
        <v>0</v>
      </c>
      <c r="Z181" s="31">
        <f>IF(B181="","",COUNTIFS(Bookings!$C$5:$C$404,B181))</f>
        <v>0</v>
      </c>
      <c r="AA181" s="31">
        <f>IF(B181="","",COUNTIFS('Visit Log'!$D$5:$D$404,B181,'Visit Log'!$AE$5:$AE$404,"Completed"))</f>
        <v>0</v>
      </c>
      <c r="AB181" s="21">
        <f>IF(B181="","",IF(SUMPRODUCT(MAX((Bookings!$C$5:$C$404=B181)*(Bookings!$AM$5:$AM$404="Completed")*Bookings!$I$5:$I$404))=0,"",SUMPRODUCT(MAX((Bookings!$C$5:$C$404=B181)*(Bookings!$AM$5:$AM$404="Completed")*Bookings!$I$5:$I$404))))</f>
        <v>0</v>
      </c>
      <c r="AC181" s="31">
        <f>IF(AB181="","",TODAY()-AB181)</f>
        <v>0</v>
      </c>
      <c r="AD181" s="21">
        <f>IF(B181="","",IF(COUNTIFS(Bookings!$C$5:$C$404,B181,Bookings!$I$5:$I$404,"&gt;="&amp;TODAY(),Bookings!$AM$5:$AM$404,"&lt;&gt;Cancelled")=0,"",SUMPRODUCT(MIN(((Bookings!$C$5:$C$404=B181)*(Bookings!$I$5:$I$404&gt;=TODAY())*(Bookings!$AM$5:$AM$404&lt;&gt;"Cancelled"))*Bookings!$I$5:$I$404+(1-((Bookings!$C$5:$C$404=B181)*(Bookings!$I$5:$I$404&gt;=TODAY())*(Bookings!$AM$5:$AM$404&lt;&gt;"Cancelled")))*2958465))))</f>
        <v>0</v>
      </c>
      <c r="AE181" s="29">
        <f>IF(B181="","",SUMIFS(Payments!$L$5:$L$304,Payments!$C$5:$C$304,B181))</f>
        <v>0</v>
      </c>
      <c r="AF181" s="29">
        <f>IF(B181="","",SUMIFS(Invoices!$O$5:$O$304,Invoices!$D$5:$D$304,B181,Invoices!$T$5:$T$304,"&lt;&gt;Draft"))</f>
        <v>0</v>
      </c>
      <c r="AG181" s="29">
        <f>IF(B181="","",SUMIFS(Invoices!$S$5:$S$304,Invoices!$D$5:$D$304,B181,Invoices!$T$5:$T$304,"&lt;&gt;Cancelled"))</f>
        <v>0</v>
      </c>
      <c r="AH181" s="29">
        <f>IF(OR(Z181="",Z181=0),"",SUMIFS(Bookings!$AK$5:$AK$404,Bookings!$C$5:$C$404,B181,Bookings!$AM$5:$AM$404,"&lt;&gt;Cancelled")/Z181)</f>
        <v>0</v>
      </c>
      <c r="AI181" s="49">
        <f>IF(B181="","",IF(Z181&gt;=LoyaltyThreshold,"Loyalty discount","Standard"))</f>
        <v>0</v>
      </c>
      <c r="AJ181" s="49">
        <f>IF(B181="","",IF(COUNTIF(Clients!$B$5:$B$254,B181)&gt;1,"Duplicate name",IF(AND(C181&lt;&gt;"",COUNTIF(Clients!$C$5:$C$254,C181)&gt;1),"Duplicate phone","OK")))</f>
        <v>0</v>
      </c>
      <c r="AK181" s="49">
        <f>IF(B181="","",IF(AND(C181&lt;&gt;"",D181&lt;&gt;"",L181&lt;&gt;"",M181&lt;&gt;""),"OK","Add: "&amp;IF(C181="","phone ","")&amp;IF(D181="","email ","")&amp;IF(L181="","date ","")&amp;IF(M181="","status","")))</f>
        <v>0</v>
      </c>
      <c r="AL181" s="49">
        <f>IF(B181="","",IF(AG181&gt;0.5,"Overdue - chase payment",IF(AND(M181="Active",ISNUMBER(AC181),AC181&gt;InactiveDays),"Inactive - win back",IF(AND(M181="Active",S181&lt;&gt;"Signed"),"Action - contract not signed",IF(AND(M181="Prospective",AD181=""),"Action - follow up quote","OK")))))</f>
        <v>0</v>
      </c>
    </row>
    <row r="182" spans="1:38">
      <c r="A182" s="46">
        <f>IF(B182="","",ClientPrefix&amp;TEXT(ROW()-4,"0000"))</f>
        <v>0</v>
      </c>
      <c r="Y182" s="31">
        <f>IF(B182="","",COUNTIF(Pets!$C$5:$C$254,B182))</f>
        <v>0</v>
      </c>
      <c r="Z182" s="31">
        <f>IF(B182="","",COUNTIFS(Bookings!$C$5:$C$404,B182))</f>
        <v>0</v>
      </c>
      <c r="AA182" s="31">
        <f>IF(B182="","",COUNTIFS('Visit Log'!$D$5:$D$404,B182,'Visit Log'!$AE$5:$AE$404,"Completed"))</f>
        <v>0</v>
      </c>
      <c r="AB182" s="21">
        <f>IF(B182="","",IF(SUMPRODUCT(MAX((Bookings!$C$5:$C$404=B182)*(Bookings!$AM$5:$AM$404="Completed")*Bookings!$I$5:$I$404))=0,"",SUMPRODUCT(MAX((Bookings!$C$5:$C$404=B182)*(Bookings!$AM$5:$AM$404="Completed")*Bookings!$I$5:$I$404))))</f>
        <v>0</v>
      </c>
      <c r="AC182" s="31">
        <f>IF(AB182="","",TODAY()-AB182)</f>
        <v>0</v>
      </c>
      <c r="AD182" s="21">
        <f>IF(B182="","",IF(COUNTIFS(Bookings!$C$5:$C$404,B182,Bookings!$I$5:$I$404,"&gt;="&amp;TODAY(),Bookings!$AM$5:$AM$404,"&lt;&gt;Cancelled")=0,"",SUMPRODUCT(MIN(((Bookings!$C$5:$C$404=B182)*(Bookings!$I$5:$I$404&gt;=TODAY())*(Bookings!$AM$5:$AM$404&lt;&gt;"Cancelled"))*Bookings!$I$5:$I$404+(1-((Bookings!$C$5:$C$404=B182)*(Bookings!$I$5:$I$404&gt;=TODAY())*(Bookings!$AM$5:$AM$404&lt;&gt;"Cancelled")))*2958465))))</f>
        <v>0</v>
      </c>
      <c r="AE182" s="29">
        <f>IF(B182="","",SUMIFS(Payments!$L$5:$L$304,Payments!$C$5:$C$304,B182))</f>
        <v>0</v>
      </c>
      <c r="AF182" s="29">
        <f>IF(B182="","",SUMIFS(Invoices!$O$5:$O$304,Invoices!$D$5:$D$304,B182,Invoices!$T$5:$T$304,"&lt;&gt;Draft"))</f>
        <v>0</v>
      </c>
      <c r="AG182" s="29">
        <f>IF(B182="","",SUMIFS(Invoices!$S$5:$S$304,Invoices!$D$5:$D$304,B182,Invoices!$T$5:$T$304,"&lt;&gt;Cancelled"))</f>
        <v>0</v>
      </c>
      <c r="AH182" s="29">
        <f>IF(OR(Z182="",Z182=0),"",SUMIFS(Bookings!$AK$5:$AK$404,Bookings!$C$5:$C$404,B182,Bookings!$AM$5:$AM$404,"&lt;&gt;Cancelled")/Z182)</f>
        <v>0</v>
      </c>
      <c r="AI182" s="49">
        <f>IF(B182="","",IF(Z182&gt;=LoyaltyThreshold,"Loyalty discount","Standard"))</f>
        <v>0</v>
      </c>
      <c r="AJ182" s="49">
        <f>IF(B182="","",IF(COUNTIF(Clients!$B$5:$B$254,B182)&gt;1,"Duplicate name",IF(AND(C182&lt;&gt;"",COUNTIF(Clients!$C$5:$C$254,C182)&gt;1),"Duplicate phone","OK")))</f>
        <v>0</v>
      </c>
      <c r="AK182" s="49">
        <f>IF(B182="","",IF(AND(C182&lt;&gt;"",D182&lt;&gt;"",L182&lt;&gt;"",M182&lt;&gt;""),"OK","Add: "&amp;IF(C182="","phone ","")&amp;IF(D182="","email ","")&amp;IF(L182="","date ","")&amp;IF(M182="","status","")))</f>
        <v>0</v>
      </c>
      <c r="AL182" s="49">
        <f>IF(B182="","",IF(AG182&gt;0.5,"Overdue - chase payment",IF(AND(M182="Active",ISNUMBER(AC182),AC182&gt;InactiveDays),"Inactive - win back",IF(AND(M182="Active",S182&lt;&gt;"Signed"),"Action - contract not signed",IF(AND(M182="Prospective",AD182=""),"Action - follow up quote","OK")))))</f>
        <v>0</v>
      </c>
    </row>
    <row r="183" spans="1:38">
      <c r="A183" s="46">
        <f>IF(B183="","",ClientPrefix&amp;TEXT(ROW()-4,"0000"))</f>
        <v>0</v>
      </c>
      <c r="Y183" s="31">
        <f>IF(B183="","",COUNTIF(Pets!$C$5:$C$254,B183))</f>
        <v>0</v>
      </c>
      <c r="Z183" s="31">
        <f>IF(B183="","",COUNTIFS(Bookings!$C$5:$C$404,B183))</f>
        <v>0</v>
      </c>
      <c r="AA183" s="31">
        <f>IF(B183="","",COUNTIFS('Visit Log'!$D$5:$D$404,B183,'Visit Log'!$AE$5:$AE$404,"Completed"))</f>
        <v>0</v>
      </c>
      <c r="AB183" s="21">
        <f>IF(B183="","",IF(SUMPRODUCT(MAX((Bookings!$C$5:$C$404=B183)*(Bookings!$AM$5:$AM$404="Completed")*Bookings!$I$5:$I$404))=0,"",SUMPRODUCT(MAX((Bookings!$C$5:$C$404=B183)*(Bookings!$AM$5:$AM$404="Completed")*Bookings!$I$5:$I$404))))</f>
        <v>0</v>
      </c>
      <c r="AC183" s="31">
        <f>IF(AB183="","",TODAY()-AB183)</f>
        <v>0</v>
      </c>
      <c r="AD183" s="21">
        <f>IF(B183="","",IF(COUNTIFS(Bookings!$C$5:$C$404,B183,Bookings!$I$5:$I$404,"&gt;="&amp;TODAY(),Bookings!$AM$5:$AM$404,"&lt;&gt;Cancelled")=0,"",SUMPRODUCT(MIN(((Bookings!$C$5:$C$404=B183)*(Bookings!$I$5:$I$404&gt;=TODAY())*(Bookings!$AM$5:$AM$404&lt;&gt;"Cancelled"))*Bookings!$I$5:$I$404+(1-((Bookings!$C$5:$C$404=B183)*(Bookings!$I$5:$I$404&gt;=TODAY())*(Bookings!$AM$5:$AM$404&lt;&gt;"Cancelled")))*2958465))))</f>
        <v>0</v>
      </c>
      <c r="AE183" s="29">
        <f>IF(B183="","",SUMIFS(Payments!$L$5:$L$304,Payments!$C$5:$C$304,B183))</f>
        <v>0</v>
      </c>
      <c r="AF183" s="29">
        <f>IF(B183="","",SUMIFS(Invoices!$O$5:$O$304,Invoices!$D$5:$D$304,B183,Invoices!$T$5:$T$304,"&lt;&gt;Draft"))</f>
        <v>0</v>
      </c>
      <c r="AG183" s="29">
        <f>IF(B183="","",SUMIFS(Invoices!$S$5:$S$304,Invoices!$D$5:$D$304,B183,Invoices!$T$5:$T$304,"&lt;&gt;Cancelled"))</f>
        <v>0</v>
      </c>
      <c r="AH183" s="29">
        <f>IF(OR(Z183="",Z183=0),"",SUMIFS(Bookings!$AK$5:$AK$404,Bookings!$C$5:$C$404,B183,Bookings!$AM$5:$AM$404,"&lt;&gt;Cancelled")/Z183)</f>
        <v>0</v>
      </c>
      <c r="AI183" s="49">
        <f>IF(B183="","",IF(Z183&gt;=LoyaltyThreshold,"Loyalty discount","Standard"))</f>
        <v>0</v>
      </c>
      <c r="AJ183" s="49">
        <f>IF(B183="","",IF(COUNTIF(Clients!$B$5:$B$254,B183)&gt;1,"Duplicate name",IF(AND(C183&lt;&gt;"",COUNTIF(Clients!$C$5:$C$254,C183)&gt;1),"Duplicate phone","OK")))</f>
        <v>0</v>
      </c>
      <c r="AK183" s="49">
        <f>IF(B183="","",IF(AND(C183&lt;&gt;"",D183&lt;&gt;"",L183&lt;&gt;"",M183&lt;&gt;""),"OK","Add: "&amp;IF(C183="","phone ","")&amp;IF(D183="","email ","")&amp;IF(L183="","date ","")&amp;IF(M183="","status","")))</f>
        <v>0</v>
      </c>
      <c r="AL183" s="49">
        <f>IF(B183="","",IF(AG183&gt;0.5,"Overdue - chase payment",IF(AND(M183="Active",ISNUMBER(AC183),AC183&gt;InactiveDays),"Inactive - win back",IF(AND(M183="Active",S183&lt;&gt;"Signed"),"Action - contract not signed",IF(AND(M183="Prospective",AD183=""),"Action - follow up quote","OK")))))</f>
        <v>0</v>
      </c>
    </row>
    <row r="184" spans="1:38">
      <c r="A184" s="46">
        <f>IF(B184="","",ClientPrefix&amp;TEXT(ROW()-4,"0000"))</f>
        <v>0</v>
      </c>
      <c r="Y184" s="31">
        <f>IF(B184="","",COUNTIF(Pets!$C$5:$C$254,B184))</f>
        <v>0</v>
      </c>
      <c r="Z184" s="31">
        <f>IF(B184="","",COUNTIFS(Bookings!$C$5:$C$404,B184))</f>
        <v>0</v>
      </c>
      <c r="AA184" s="31">
        <f>IF(B184="","",COUNTIFS('Visit Log'!$D$5:$D$404,B184,'Visit Log'!$AE$5:$AE$404,"Completed"))</f>
        <v>0</v>
      </c>
      <c r="AB184" s="21">
        <f>IF(B184="","",IF(SUMPRODUCT(MAX((Bookings!$C$5:$C$404=B184)*(Bookings!$AM$5:$AM$404="Completed")*Bookings!$I$5:$I$404))=0,"",SUMPRODUCT(MAX((Bookings!$C$5:$C$404=B184)*(Bookings!$AM$5:$AM$404="Completed")*Bookings!$I$5:$I$404))))</f>
        <v>0</v>
      </c>
      <c r="AC184" s="31">
        <f>IF(AB184="","",TODAY()-AB184)</f>
        <v>0</v>
      </c>
      <c r="AD184" s="21">
        <f>IF(B184="","",IF(COUNTIFS(Bookings!$C$5:$C$404,B184,Bookings!$I$5:$I$404,"&gt;="&amp;TODAY(),Bookings!$AM$5:$AM$404,"&lt;&gt;Cancelled")=0,"",SUMPRODUCT(MIN(((Bookings!$C$5:$C$404=B184)*(Bookings!$I$5:$I$404&gt;=TODAY())*(Bookings!$AM$5:$AM$404&lt;&gt;"Cancelled"))*Bookings!$I$5:$I$404+(1-((Bookings!$C$5:$C$404=B184)*(Bookings!$I$5:$I$404&gt;=TODAY())*(Bookings!$AM$5:$AM$404&lt;&gt;"Cancelled")))*2958465))))</f>
        <v>0</v>
      </c>
      <c r="AE184" s="29">
        <f>IF(B184="","",SUMIFS(Payments!$L$5:$L$304,Payments!$C$5:$C$304,B184))</f>
        <v>0</v>
      </c>
      <c r="AF184" s="29">
        <f>IF(B184="","",SUMIFS(Invoices!$O$5:$O$304,Invoices!$D$5:$D$304,B184,Invoices!$T$5:$T$304,"&lt;&gt;Draft"))</f>
        <v>0</v>
      </c>
      <c r="AG184" s="29">
        <f>IF(B184="","",SUMIFS(Invoices!$S$5:$S$304,Invoices!$D$5:$D$304,B184,Invoices!$T$5:$T$304,"&lt;&gt;Cancelled"))</f>
        <v>0</v>
      </c>
      <c r="AH184" s="29">
        <f>IF(OR(Z184="",Z184=0),"",SUMIFS(Bookings!$AK$5:$AK$404,Bookings!$C$5:$C$404,B184,Bookings!$AM$5:$AM$404,"&lt;&gt;Cancelled")/Z184)</f>
        <v>0</v>
      </c>
      <c r="AI184" s="49">
        <f>IF(B184="","",IF(Z184&gt;=LoyaltyThreshold,"Loyalty discount","Standard"))</f>
        <v>0</v>
      </c>
      <c r="AJ184" s="49">
        <f>IF(B184="","",IF(COUNTIF(Clients!$B$5:$B$254,B184)&gt;1,"Duplicate name",IF(AND(C184&lt;&gt;"",COUNTIF(Clients!$C$5:$C$254,C184)&gt;1),"Duplicate phone","OK")))</f>
        <v>0</v>
      </c>
      <c r="AK184" s="49">
        <f>IF(B184="","",IF(AND(C184&lt;&gt;"",D184&lt;&gt;"",L184&lt;&gt;"",M184&lt;&gt;""),"OK","Add: "&amp;IF(C184="","phone ","")&amp;IF(D184="","email ","")&amp;IF(L184="","date ","")&amp;IF(M184="","status","")))</f>
        <v>0</v>
      </c>
      <c r="AL184" s="49">
        <f>IF(B184="","",IF(AG184&gt;0.5,"Overdue - chase payment",IF(AND(M184="Active",ISNUMBER(AC184),AC184&gt;InactiveDays),"Inactive - win back",IF(AND(M184="Active",S184&lt;&gt;"Signed"),"Action - contract not signed",IF(AND(M184="Prospective",AD184=""),"Action - follow up quote","OK")))))</f>
        <v>0</v>
      </c>
    </row>
    <row r="185" spans="1:38">
      <c r="A185" s="46">
        <f>IF(B185="","",ClientPrefix&amp;TEXT(ROW()-4,"0000"))</f>
        <v>0</v>
      </c>
      <c r="Y185" s="31">
        <f>IF(B185="","",COUNTIF(Pets!$C$5:$C$254,B185))</f>
        <v>0</v>
      </c>
      <c r="Z185" s="31">
        <f>IF(B185="","",COUNTIFS(Bookings!$C$5:$C$404,B185))</f>
        <v>0</v>
      </c>
      <c r="AA185" s="31">
        <f>IF(B185="","",COUNTIFS('Visit Log'!$D$5:$D$404,B185,'Visit Log'!$AE$5:$AE$404,"Completed"))</f>
        <v>0</v>
      </c>
      <c r="AB185" s="21">
        <f>IF(B185="","",IF(SUMPRODUCT(MAX((Bookings!$C$5:$C$404=B185)*(Bookings!$AM$5:$AM$404="Completed")*Bookings!$I$5:$I$404))=0,"",SUMPRODUCT(MAX((Bookings!$C$5:$C$404=B185)*(Bookings!$AM$5:$AM$404="Completed")*Bookings!$I$5:$I$404))))</f>
        <v>0</v>
      </c>
      <c r="AC185" s="31">
        <f>IF(AB185="","",TODAY()-AB185)</f>
        <v>0</v>
      </c>
      <c r="AD185" s="21">
        <f>IF(B185="","",IF(COUNTIFS(Bookings!$C$5:$C$404,B185,Bookings!$I$5:$I$404,"&gt;="&amp;TODAY(),Bookings!$AM$5:$AM$404,"&lt;&gt;Cancelled")=0,"",SUMPRODUCT(MIN(((Bookings!$C$5:$C$404=B185)*(Bookings!$I$5:$I$404&gt;=TODAY())*(Bookings!$AM$5:$AM$404&lt;&gt;"Cancelled"))*Bookings!$I$5:$I$404+(1-((Bookings!$C$5:$C$404=B185)*(Bookings!$I$5:$I$404&gt;=TODAY())*(Bookings!$AM$5:$AM$404&lt;&gt;"Cancelled")))*2958465))))</f>
        <v>0</v>
      </c>
      <c r="AE185" s="29">
        <f>IF(B185="","",SUMIFS(Payments!$L$5:$L$304,Payments!$C$5:$C$304,B185))</f>
        <v>0</v>
      </c>
      <c r="AF185" s="29">
        <f>IF(B185="","",SUMIFS(Invoices!$O$5:$O$304,Invoices!$D$5:$D$304,B185,Invoices!$T$5:$T$304,"&lt;&gt;Draft"))</f>
        <v>0</v>
      </c>
      <c r="AG185" s="29">
        <f>IF(B185="","",SUMIFS(Invoices!$S$5:$S$304,Invoices!$D$5:$D$304,B185,Invoices!$T$5:$T$304,"&lt;&gt;Cancelled"))</f>
        <v>0</v>
      </c>
      <c r="AH185" s="29">
        <f>IF(OR(Z185="",Z185=0),"",SUMIFS(Bookings!$AK$5:$AK$404,Bookings!$C$5:$C$404,B185,Bookings!$AM$5:$AM$404,"&lt;&gt;Cancelled")/Z185)</f>
        <v>0</v>
      </c>
      <c r="AI185" s="49">
        <f>IF(B185="","",IF(Z185&gt;=LoyaltyThreshold,"Loyalty discount","Standard"))</f>
        <v>0</v>
      </c>
      <c r="AJ185" s="49">
        <f>IF(B185="","",IF(COUNTIF(Clients!$B$5:$B$254,B185)&gt;1,"Duplicate name",IF(AND(C185&lt;&gt;"",COUNTIF(Clients!$C$5:$C$254,C185)&gt;1),"Duplicate phone","OK")))</f>
        <v>0</v>
      </c>
      <c r="AK185" s="49">
        <f>IF(B185="","",IF(AND(C185&lt;&gt;"",D185&lt;&gt;"",L185&lt;&gt;"",M185&lt;&gt;""),"OK","Add: "&amp;IF(C185="","phone ","")&amp;IF(D185="","email ","")&amp;IF(L185="","date ","")&amp;IF(M185="","status","")))</f>
        <v>0</v>
      </c>
      <c r="AL185" s="49">
        <f>IF(B185="","",IF(AG185&gt;0.5,"Overdue - chase payment",IF(AND(M185="Active",ISNUMBER(AC185),AC185&gt;InactiveDays),"Inactive - win back",IF(AND(M185="Active",S185&lt;&gt;"Signed"),"Action - contract not signed",IF(AND(M185="Prospective",AD185=""),"Action - follow up quote","OK")))))</f>
        <v>0</v>
      </c>
    </row>
    <row r="186" spans="1:38">
      <c r="A186" s="46">
        <f>IF(B186="","",ClientPrefix&amp;TEXT(ROW()-4,"0000"))</f>
        <v>0</v>
      </c>
      <c r="Y186" s="31">
        <f>IF(B186="","",COUNTIF(Pets!$C$5:$C$254,B186))</f>
        <v>0</v>
      </c>
      <c r="Z186" s="31">
        <f>IF(B186="","",COUNTIFS(Bookings!$C$5:$C$404,B186))</f>
        <v>0</v>
      </c>
      <c r="AA186" s="31">
        <f>IF(B186="","",COUNTIFS('Visit Log'!$D$5:$D$404,B186,'Visit Log'!$AE$5:$AE$404,"Completed"))</f>
        <v>0</v>
      </c>
      <c r="AB186" s="21">
        <f>IF(B186="","",IF(SUMPRODUCT(MAX((Bookings!$C$5:$C$404=B186)*(Bookings!$AM$5:$AM$404="Completed")*Bookings!$I$5:$I$404))=0,"",SUMPRODUCT(MAX((Bookings!$C$5:$C$404=B186)*(Bookings!$AM$5:$AM$404="Completed")*Bookings!$I$5:$I$404))))</f>
        <v>0</v>
      </c>
      <c r="AC186" s="31">
        <f>IF(AB186="","",TODAY()-AB186)</f>
        <v>0</v>
      </c>
      <c r="AD186" s="21">
        <f>IF(B186="","",IF(COUNTIFS(Bookings!$C$5:$C$404,B186,Bookings!$I$5:$I$404,"&gt;="&amp;TODAY(),Bookings!$AM$5:$AM$404,"&lt;&gt;Cancelled")=0,"",SUMPRODUCT(MIN(((Bookings!$C$5:$C$404=B186)*(Bookings!$I$5:$I$404&gt;=TODAY())*(Bookings!$AM$5:$AM$404&lt;&gt;"Cancelled"))*Bookings!$I$5:$I$404+(1-((Bookings!$C$5:$C$404=B186)*(Bookings!$I$5:$I$404&gt;=TODAY())*(Bookings!$AM$5:$AM$404&lt;&gt;"Cancelled")))*2958465))))</f>
        <v>0</v>
      </c>
      <c r="AE186" s="29">
        <f>IF(B186="","",SUMIFS(Payments!$L$5:$L$304,Payments!$C$5:$C$304,B186))</f>
        <v>0</v>
      </c>
      <c r="AF186" s="29">
        <f>IF(B186="","",SUMIFS(Invoices!$O$5:$O$304,Invoices!$D$5:$D$304,B186,Invoices!$T$5:$T$304,"&lt;&gt;Draft"))</f>
        <v>0</v>
      </c>
      <c r="AG186" s="29">
        <f>IF(B186="","",SUMIFS(Invoices!$S$5:$S$304,Invoices!$D$5:$D$304,B186,Invoices!$T$5:$T$304,"&lt;&gt;Cancelled"))</f>
        <v>0</v>
      </c>
      <c r="AH186" s="29">
        <f>IF(OR(Z186="",Z186=0),"",SUMIFS(Bookings!$AK$5:$AK$404,Bookings!$C$5:$C$404,B186,Bookings!$AM$5:$AM$404,"&lt;&gt;Cancelled")/Z186)</f>
        <v>0</v>
      </c>
      <c r="AI186" s="49">
        <f>IF(B186="","",IF(Z186&gt;=LoyaltyThreshold,"Loyalty discount","Standard"))</f>
        <v>0</v>
      </c>
      <c r="AJ186" s="49">
        <f>IF(B186="","",IF(COUNTIF(Clients!$B$5:$B$254,B186)&gt;1,"Duplicate name",IF(AND(C186&lt;&gt;"",COUNTIF(Clients!$C$5:$C$254,C186)&gt;1),"Duplicate phone","OK")))</f>
        <v>0</v>
      </c>
      <c r="AK186" s="49">
        <f>IF(B186="","",IF(AND(C186&lt;&gt;"",D186&lt;&gt;"",L186&lt;&gt;"",M186&lt;&gt;""),"OK","Add: "&amp;IF(C186="","phone ","")&amp;IF(D186="","email ","")&amp;IF(L186="","date ","")&amp;IF(M186="","status","")))</f>
        <v>0</v>
      </c>
      <c r="AL186" s="49">
        <f>IF(B186="","",IF(AG186&gt;0.5,"Overdue - chase payment",IF(AND(M186="Active",ISNUMBER(AC186),AC186&gt;InactiveDays),"Inactive - win back",IF(AND(M186="Active",S186&lt;&gt;"Signed"),"Action - contract not signed",IF(AND(M186="Prospective",AD186=""),"Action - follow up quote","OK")))))</f>
        <v>0</v>
      </c>
    </row>
    <row r="187" spans="1:38">
      <c r="A187" s="46">
        <f>IF(B187="","",ClientPrefix&amp;TEXT(ROW()-4,"0000"))</f>
        <v>0</v>
      </c>
      <c r="Y187" s="31">
        <f>IF(B187="","",COUNTIF(Pets!$C$5:$C$254,B187))</f>
        <v>0</v>
      </c>
      <c r="Z187" s="31">
        <f>IF(B187="","",COUNTIFS(Bookings!$C$5:$C$404,B187))</f>
        <v>0</v>
      </c>
      <c r="AA187" s="31">
        <f>IF(B187="","",COUNTIFS('Visit Log'!$D$5:$D$404,B187,'Visit Log'!$AE$5:$AE$404,"Completed"))</f>
        <v>0</v>
      </c>
      <c r="AB187" s="21">
        <f>IF(B187="","",IF(SUMPRODUCT(MAX((Bookings!$C$5:$C$404=B187)*(Bookings!$AM$5:$AM$404="Completed")*Bookings!$I$5:$I$404))=0,"",SUMPRODUCT(MAX((Bookings!$C$5:$C$404=B187)*(Bookings!$AM$5:$AM$404="Completed")*Bookings!$I$5:$I$404))))</f>
        <v>0</v>
      </c>
      <c r="AC187" s="31">
        <f>IF(AB187="","",TODAY()-AB187)</f>
        <v>0</v>
      </c>
      <c r="AD187" s="21">
        <f>IF(B187="","",IF(COUNTIFS(Bookings!$C$5:$C$404,B187,Bookings!$I$5:$I$404,"&gt;="&amp;TODAY(),Bookings!$AM$5:$AM$404,"&lt;&gt;Cancelled")=0,"",SUMPRODUCT(MIN(((Bookings!$C$5:$C$404=B187)*(Bookings!$I$5:$I$404&gt;=TODAY())*(Bookings!$AM$5:$AM$404&lt;&gt;"Cancelled"))*Bookings!$I$5:$I$404+(1-((Bookings!$C$5:$C$404=B187)*(Bookings!$I$5:$I$404&gt;=TODAY())*(Bookings!$AM$5:$AM$404&lt;&gt;"Cancelled")))*2958465))))</f>
        <v>0</v>
      </c>
      <c r="AE187" s="29">
        <f>IF(B187="","",SUMIFS(Payments!$L$5:$L$304,Payments!$C$5:$C$304,B187))</f>
        <v>0</v>
      </c>
      <c r="AF187" s="29">
        <f>IF(B187="","",SUMIFS(Invoices!$O$5:$O$304,Invoices!$D$5:$D$304,B187,Invoices!$T$5:$T$304,"&lt;&gt;Draft"))</f>
        <v>0</v>
      </c>
      <c r="AG187" s="29">
        <f>IF(B187="","",SUMIFS(Invoices!$S$5:$S$304,Invoices!$D$5:$D$304,B187,Invoices!$T$5:$T$304,"&lt;&gt;Cancelled"))</f>
        <v>0</v>
      </c>
      <c r="AH187" s="29">
        <f>IF(OR(Z187="",Z187=0),"",SUMIFS(Bookings!$AK$5:$AK$404,Bookings!$C$5:$C$404,B187,Bookings!$AM$5:$AM$404,"&lt;&gt;Cancelled")/Z187)</f>
        <v>0</v>
      </c>
      <c r="AI187" s="49">
        <f>IF(B187="","",IF(Z187&gt;=LoyaltyThreshold,"Loyalty discount","Standard"))</f>
        <v>0</v>
      </c>
      <c r="AJ187" s="49">
        <f>IF(B187="","",IF(COUNTIF(Clients!$B$5:$B$254,B187)&gt;1,"Duplicate name",IF(AND(C187&lt;&gt;"",COUNTIF(Clients!$C$5:$C$254,C187)&gt;1),"Duplicate phone","OK")))</f>
        <v>0</v>
      </c>
      <c r="AK187" s="49">
        <f>IF(B187="","",IF(AND(C187&lt;&gt;"",D187&lt;&gt;"",L187&lt;&gt;"",M187&lt;&gt;""),"OK","Add: "&amp;IF(C187="","phone ","")&amp;IF(D187="","email ","")&amp;IF(L187="","date ","")&amp;IF(M187="","status","")))</f>
        <v>0</v>
      </c>
      <c r="AL187" s="49">
        <f>IF(B187="","",IF(AG187&gt;0.5,"Overdue - chase payment",IF(AND(M187="Active",ISNUMBER(AC187),AC187&gt;InactiveDays),"Inactive - win back",IF(AND(M187="Active",S187&lt;&gt;"Signed"),"Action - contract not signed",IF(AND(M187="Prospective",AD187=""),"Action - follow up quote","OK")))))</f>
        <v>0</v>
      </c>
    </row>
    <row r="188" spans="1:38">
      <c r="A188" s="46">
        <f>IF(B188="","",ClientPrefix&amp;TEXT(ROW()-4,"0000"))</f>
        <v>0</v>
      </c>
      <c r="Y188" s="31">
        <f>IF(B188="","",COUNTIF(Pets!$C$5:$C$254,B188))</f>
        <v>0</v>
      </c>
      <c r="Z188" s="31">
        <f>IF(B188="","",COUNTIFS(Bookings!$C$5:$C$404,B188))</f>
        <v>0</v>
      </c>
      <c r="AA188" s="31">
        <f>IF(B188="","",COUNTIFS('Visit Log'!$D$5:$D$404,B188,'Visit Log'!$AE$5:$AE$404,"Completed"))</f>
        <v>0</v>
      </c>
      <c r="AB188" s="21">
        <f>IF(B188="","",IF(SUMPRODUCT(MAX((Bookings!$C$5:$C$404=B188)*(Bookings!$AM$5:$AM$404="Completed")*Bookings!$I$5:$I$404))=0,"",SUMPRODUCT(MAX((Bookings!$C$5:$C$404=B188)*(Bookings!$AM$5:$AM$404="Completed")*Bookings!$I$5:$I$404))))</f>
        <v>0</v>
      </c>
      <c r="AC188" s="31">
        <f>IF(AB188="","",TODAY()-AB188)</f>
        <v>0</v>
      </c>
      <c r="AD188" s="21">
        <f>IF(B188="","",IF(COUNTIFS(Bookings!$C$5:$C$404,B188,Bookings!$I$5:$I$404,"&gt;="&amp;TODAY(),Bookings!$AM$5:$AM$404,"&lt;&gt;Cancelled")=0,"",SUMPRODUCT(MIN(((Bookings!$C$5:$C$404=B188)*(Bookings!$I$5:$I$404&gt;=TODAY())*(Bookings!$AM$5:$AM$404&lt;&gt;"Cancelled"))*Bookings!$I$5:$I$404+(1-((Bookings!$C$5:$C$404=B188)*(Bookings!$I$5:$I$404&gt;=TODAY())*(Bookings!$AM$5:$AM$404&lt;&gt;"Cancelled")))*2958465))))</f>
        <v>0</v>
      </c>
      <c r="AE188" s="29">
        <f>IF(B188="","",SUMIFS(Payments!$L$5:$L$304,Payments!$C$5:$C$304,B188))</f>
        <v>0</v>
      </c>
      <c r="AF188" s="29">
        <f>IF(B188="","",SUMIFS(Invoices!$O$5:$O$304,Invoices!$D$5:$D$304,B188,Invoices!$T$5:$T$304,"&lt;&gt;Draft"))</f>
        <v>0</v>
      </c>
      <c r="AG188" s="29">
        <f>IF(B188="","",SUMIFS(Invoices!$S$5:$S$304,Invoices!$D$5:$D$304,B188,Invoices!$T$5:$T$304,"&lt;&gt;Cancelled"))</f>
        <v>0</v>
      </c>
      <c r="AH188" s="29">
        <f>IF(OR(Z188="",Z188=0),"",SUMIFS(Bookings!$AK$5:$AK$404,Bookings!$C$5:$C$404,B188,Bookings!$AM$5:$AM$404,"&lt;&gt;Cancelled")/Z188)</f>
        <v>0</v>
      </c>
      <c r="AI188" s="49">
        <f>IF(B188="","",IF(Z188&gt;=LoyaltyThreshold,"Loyalty discount","Standard"))</f>
        <v>0</v>
      </c>
      <c r="AJ188" s="49">
        <f>IF(B188="","",IF(COUNTIF(Clients!$B$5:$B$254,B188)&gt;1,"Duplicate name",IF(AND(C188&lt;&gt;"",COUNTIF(Clients!$C$5:$C$254,C188)&gt;1),"Duplicate phone","OK")))</f>
        <v>0</v>
      </c>
      <c r="AK188" s="49">
        <f>IF(B188="","",IF(AND(C188&lt;&gt;"",D188&lt;&gt;"",L188&lt;&gt;"",M188&lt;&gt;""),"OK","Add: "&amp;IF(C188="","phone ","")&amp;IF(D188="","email ","")&amp;IF(L188="","date ","")&amp;IF(M188="","status","")))</f>
        <v>0</v>
      </c>
      <c r="AL188" s="49">
        <f>IF(B188="","",IF(AG188&gt;0.5,"Overdue - chase payment",IF(AND(M188="Active",ISNUMBER(AC188),AC188&gt;InactiveDays),"Inactive - win back",IF(AND(M188="Active",S188&lt;&gt;"Signed"),"Action - contract not signed",IF(AND(M188="Prospective",AD188=""),"Action - follow up quote","OK")))))</f>
        <v>0</v>
      </c>
    </row>
    <row r="189" spans="1:38">
      <c r="A189" s="46">
        <f>IF(B189="","",ClientPrefix&amp;TEXT(ROW()-4,"0000"))</f>
        <v>0</v>
      </c>
      <c r="Y189" s="31">
        <f>IF(B189="","",COUNTIF(Pets!$C$5:$C$254,B189))</f>
        <v>0</v>
      </c>
      <c r="Z189" s="31">
        <f>IF(B189="","",COUNTIFS(Bookings!$C$5:$C$404,B189))</f>
        <v>0</v>
      </c>
      <c r="AA189" s="31">
        <f>IF(B189="","",COUNTIFS('Visit Log'!$D$5:$D$404,B189,'Visit Log'!$AE$5:$AE$404,"Completed"))</f>
        <v>0</v>
      </c>
      <c r="AB189" s="21">
        <f>IF(B189="","",IF(SUMPRODUCT(MAX((Bookings!$C$5:$C$404=B189)*(Bookings!$AM$5:$AM$404="Completed")*Bookings!$I$5:$I$404))=0,"",SUMPRODUCT(MAX((Bookings!$C$5:$C$404=B189)*(Bookings!$AM$5:$AM$404="Completed")*Bookings!$I$5:$I$404))))</f>
        <v>0</v>
      </c>
      <c r="AC189" s="31">
        <f>IF(AB189="","",TODAY()-AB189)</f>
        <v>0</v>
      </c>
      <c r="AD189" s="21">
        <f>IF(B189="","",IF(COUNTIFS(Bookings!$C$5:$C$404,B189,Bookings!$I$5:$I$404,"&gt;="&amp;TODAY(),Bookings!$AM$5:$AM$404,"&lt;&gt;Cancelled")=0,"",SUMPRODUCT(MIN(((Bookings!$C$5:$C$404=B189)*(Bookings!$I$5:$I$404&gt;=TODAY())*(Bookings!$AM$5:$AM$404&lt;&gt;"Cancelled"))*Bookings!$I$5:$I$404+(1-((Bookings!$C$5:$C$404=B189)*(Bookings!$I$5:$I$404&gt;=TODAY())*(Bookings!$AM$5:$AM$404&lt;&gt;"Cancelled")))*2958465))))</f>
        <v>0</v>
      </c>
      <c r="AE189" s="29">
        <f>IF(B189="","",SUMIFS(Payments!$L$5:$L$304,Payments!$C$5:$C$304,B189))</f>
        <v>0</v>
      </c>
      <c r="AF189" s="29">
        <f>IF(B189="","",SUMIFS(Invoices!$O$5:$O$304,Invoices!$D$5:$D$304,B189,Invoices!$T$5:$T$304,"&lt;&gt;Draft"))</f>
        <v>0</v>
      </c>
      <c r="AG189" s="29">
        <f>IF(B189="","",SUMIFS(Invoices!$S$5:$S$304,Invoices!$D$5:$D$304,B189,Invoices!$T$5:$T$304,"&lt;&gt;Cancelled"))</f>
        <v>0</v>
      </c>
      <c r="AH189" s="29">
        <f>IF(OR(Z189="",Z189=0),"",SUMIFS(Bookings!$AK$5:$AK$404,Bookings!$C$5:$C$404,B189,Bookings!$AM$5:$AM$404,"&lt;&gt;Cancelled")/Z189)</f>
        <v>0</v>
      </c>
      <c r="AI189" s="49">
        <f>IF(B189="","",IF(Z189&gt;=LoyaltyThreshold,"Loyalty discount","Standard"))</f>
        <v>0</v>
      </c>
      <c r="AJ189" s="49">
        <f>IF(B189="","",IF(COUNTIF(Clients!$B$5:$B$254,B189)&gt;1,"Duplicate name",IF(AND(C189&lt;&gt;"",COUNTIF(Clients!$C$5:$C$254,C189)&gt;1),"Duplicate phone","OK")))</f>
        <v>0</v>
      </c>
      <c r="AK189" s="49">
        <f>IF(B189="","",IF(AND(C189&lt;&gt;"",D189&lt;&gt;"",L189&lt;&gt;"",M189&lt;&gt;""),"OK","Add: "&amp;IF(C189="","phone ","")&amp;IF(D189="","email ","")&amp;IF(L189="","date ","")&amp;IF(M189="","status","")))</f>
        <v>0</v>
      </c>
      <c r="AL189" s="49">
        <f>IF(B189="","",IF(AG189&gt;0.5,"Overdue - chase payment",IF(AND(M189="Active",ISNUMBER(AC189),AC189&gt;InactiveDays),"Inactive - win back",IF(AND(M189="Active",S189&lt;&gt;"Signed"),"Action - contract not signed",IF(AND(M189="Prospective",AD189=""),"Action - follow up quote","OK")))))</f>
        <v>0</v>
      </c>
    </row>
    <row r="190" spans="1:38">
      <c r="A190" s="46">
        <f>IF(B190="","",ClientPrefix&amp;TEXT(ROW()-4,"0000"))</f>
        <v>0</v>
      </c>
      <c r="Y190" s="31">
        <f>IF(B190="","",COUNTIF(Pets!$C$5:$C$254,B190))</f>
        <v>0</v>
      </c>
      <c r="Z190" s="31">
        <f>IF(B190="","",COUNTIFS(Bookings!$C$5:$C$404,B190))</f>
        <v>0</v>
      </c>
      <c r="AA190" s="31">
        <f>IF(B190="","",COUNTIFS('Visit Log'!$D$5:$D$404,B190,'Visit Log'!$AE$5:$AE$404,"Completed"))</f>
        <v>0</v>
      </c>
      <c r="AB190" s="21">
        <f>IF(B190="","",IF(SUMPRODUCT(MAX((Bookings!$C$5:$C$404=B190)*(Bookings!$AM$5:$AM$404="Completed")*Bookings!$I$5:$I$404))=0,"",SUMPRODUCT(MAX((Bookings!$C$5:$C$404=B190)*(Bookings!$AM$5:$AM$404="Completed")*Bookings!$I$5:$I$404))))</f>
        <v>0</v>
      </c>
      <c r="AC190" s="31">
        <f>IF(AB190="","",TODAY()-AB190)</f>
        <v>0</v>
      </c>
      <c r="AD190" s="21">
        <f>IF(B190="","",IF(COUNTIFS(Bookings!$C$5:$C$404,B190,Bookings!$I$5:$I$404,"&gt;="&amp;TODAY(),Bookings!$AM$5:$AM$404,"&lt;&gt;Cancelled")=0,"",SUMPRODUCT(MIN(((Bookings!$C$5:$C$404=B190)*(Bookings!$I$5:$I$404&gt;=TODAY())*(Bookings!$AM$5:$AM$404&lt;&gt;"Cancelled"))*Bookings!$I$5:$I$404+(1-((Bookings!$C$5:$C$404=B190)*(Bookings!$I$5:$I$404&gt;=TODAY())*(Bookings!$AM$5:$AM$404&lt;&gt;"Cancelled")))*2958465))))</f>
        <v>0</v>
      </c>
      <c r="AE190" s="29">
        <f>IF(B190="","",SUMIFS(Payments!$L$5:$L$304,Payments!$C$5:$C$304,B190))</f>
        <v>0</v>
      </c>
      <c r="AF190" s="29">
        <f>IF(B190="","",SUMIFS(Invoices!$O$5:$O$304,Invoices!$D$5:$D$304,B190,Invoices!$T$5:$T$304,"&lt;&gt;Draft"))</f>
        <v>0</v>
      </c>
      <c r="AG190" s="29">
        <f>IF(B190="","",SUMIFS(Invoices!$S$5:$S$304,Invoices!$D$5:$D$304,B190,Invoices!$T$5:$T$304,"&lt;&gt;Cancelled"))</f>
        <v>0</v>
      </c>
      <c r="AH190" s="29">
        <f>IF(OR(Z190="",Z190=0),"",SUMIFS(Bookings!$AK$5:$AK$404,Bookings!$C$5:$C$404,B190,Bookings!$AM$5:$AM$404,"&lt;&gt;Cancelled")/Z190)</f>
        <v>0</v>
      </c>
      <c r="AI190" s="49">
        <f>IF(B190="","",IF(Z190&gt;=LoyaltyThreshold,"Loyalty discount","Standard"))</f>
        <v>0</v>
      </c>
      <c r="AJ190" s="49">
        <f>IF(B190="","",IF(COUNTIF(Clients!$B$5:$B$254,B190)&gt;1,"Duplicate name",IF(AND(C190&lt;&gt;"",COUNTIF(Clients!$C$5:$C$254,C190)&gt;1),"Duplicate phone","OK")))</f>
        <v>0</v>
      </c>
      <c r="AK190" s="49">
        <f>IF(B190="","",IF(AND(C190&lt;&gt;"",D190&lt;&gt;"",L190&lt;&gt;"",M190&lt;&gt;""),"OK","Add: "&amp;IF(C190="","phone ","")&amp;IF(D190="","email ","")&amp;IF(L190="","date ","")&amp;IF(M190="","status","")))</f>
        <v>0</v>
      </c>
      <c r="AL190" s="49">
        <f>IF(B190="","",IF(AG190&gt;0.5,"Overdue - chase payment",IF(AND(M190="Active",ISNUMBER(AC190),AC190&gt;InactiveDays),"Inactive - win back",IF(AND(M190="Active",S190&lt;&gt;"Signed"),"Action - contract not signed",IF(AND(M190="Prospective",AD190=""),"Action - follow up quote","OK")))))</f>
        <v>0</v>
      </c>
    </row>
    <row r="191" spans="1:38">
      <c r="A191" s="46">
        <f>IF(B191="","",ClientPrefix&amp;TEXT(ROW()-4,"0000"))</f>
        <v>0</v>
      </c>
      <c r="Y191" s="31">
        <f>IF(B191="","",COUNTIF(Pets!$C$5:$C$254,B191))</f>
        <v>0</v>
      </c>
      <c r="Z191" s="31">
        <f>IF(B191="","",COUNTIFS(Bookings!$C$5:$C$404,B191))</f>
        <v>0</v>
      </c>
      <c r="AA191" s="31">
        <f>IF(B191="","",COUNTIFS('Visit Log'!$D$5:$D$404,B191,'Visit Log'!$AE$5:$AE$404,"Completed"))</f>
        <v>0</v>
      </c>
      <c r="AB191" s="21">
        <f>IF(B191="","",IF(SUMPRODUCT(MAX((Bookings!$C$5:$C$404=B191)*(Bookings!$AM$5:$AM$404="Completed")*Bookings!$I$5:$I$404))=0,"",SUMPRODUCT(MAX((Bookings!$C$5:$C$404=B191)*(Bookings!$AM$5:$AM$404="Completed")*Bookings!$I$5:$I$404))))</f>
        <v>0</v>
      </c>
      <c r="AC191" s="31">
        <f>IF(AB191="","",TODAY()-AB191)</f>
        <v>0</v>
      </c>
      <c r="AD191" s="21">
        <f>IF(B191="","",IF(COUNTIFS(Bookings!$C$5:$C$404,B191,Bookings!$I$5:$I$404,"&gt;="&amp;TODAY(),Bookings!$AM$5:$AM$404,"&lt;&gt;Cancelled")=0,"",SUMPRODUCT(MIN(((Bookings!$C$5:$C$404=B191)*(Bookings!$I$5:$I$404&gt;=TODAY())*(Bookings!$AM$5:$AM$404&lt;&gt;"Cancelled"))*Bookings!$I$5:$I$404+(1-((Bookings!$C$5:$C$404=B191)*(Bookings!$I$5:$I$404&gt;=TODAY())*(Bookings!$AM$5:$AM$404&lt;&gt;"Cancelled")))*2958465))))</f>
        <v>0</v>
      </c>
      <c r="AE191" s="29">
        <f>IF(B191="","",SUMIFS(Payments!$L$5:$L$304,Payments!$C$5:$C$304,B191))</f>
        <v>0</v>
      </c>
      <c r="AF191" s="29">
        <f>IF(B191="","",SUMIFS(Invoices!$O$5:$O$304,Invoices!$D$5:$D$304,B191,Invoices!$T$5:$T$304,"&lt;&gt;Draft"))</f>
        <v>0</v>
      </c>
      <c r="AG191" s="29">
        <f>IF(B191="","",SUMIFS(Invoices!$S$5:$S$304,Invoices!$D$5:$D$304,B191,Invoices!$T$5:$T$304,"&lt;&gt;Cancelled"))</f>
        <v>0</v>
      </c>
      <c r="AH191" s="29">
        <f>IF(OR(Z191="",Z191=0),"",SUMIFS(Bookings!$AK$5:$AK$404,Bookings!$C$5:$C$404,B191,Bookings!$AM$5:$AM$404,"&lt;&gt;Cancelled")/Z191)</f>
        <v>0</v>
      </c>
      <c r="AI191" s="49">
        <f>IF(B191="","",IF(Z191&gt;=LoyaltyThreshold,"Loyalty discount","Standard"))</f>
        <v>0</v>
      </c>
      <c r="AJ191" s="49">
        <f>IF(B191="","",IF(COUNTIF(Clients!$B$5:$B$254,B191)&gt;1,"Duplicate name",IF(AND(C191&lt;&gt;"",COUNTIF(Clients!$C$5:$C$254,C191)&gt;1),"Duplicate phone","OK")))</f>
        <v>0</v>
      </c>
      <c r="AK191" s="49">
        <f>IF(B191="","",IF(AND(C191&lt;&gt;"",D191&lt;&gt;"",L191&lt;&gt;"",M191&lt;&gt;""),"OK","Add: "&amp;IF(C191="","phone ","")&amp;IF(D191="","email ","")&amp;IF(L191="","date ","")&amp;IF(M191="","status","")))</f>
        <v>0</v>
      </c>
      <c r="AL191" s="49">
        <f>IF(B191="","",IF(AG191&gt;0.5,"Overdue - chase payment",IF(AND(M191="Active",ISNUMBER(AC191),AC191&gt;InactiveDays),"Inactive - win back",IF(AND(M191="Active",S191&lt;&gt;"Signed"),"Action - contract not signed",IF(AND(M191="Prospective",AD191=""),"Action - follow up quote","OK")))))</f>
        <v>0</v>
      </c>
    </row>
    <row r="192" spans="1:38">
      <c r="A192" s="46">
        <f>IF(B192="","",ClientPrefix&amp;TEXT(ROW()-4,"0000"))</f>
        <v>0</v>
      </c>
      <c r="Y192" s="31">
        <f>IF(B192="","",COUNTIF(Pets!$C$5:$C$254,B192))</f>
        <v>0</v>
      </c>
      <c r="Z192" s="31">
        <f>IF(B192="","",COUNTIFS(Bookings!$C$5:$C$404,B192))</f>
        <v>0</v>
      </c>
      <c r="AA192" s="31">
        <f>IF(B192="","",COUNTIFS('Visit Log'!$D$5:$D$404,B192,'Visit Log'!$AE$5:$AE$404,"Completed"))</f>
        <v>0</v>
      </c>
      <c r="AB192" s="21">
        <f>IF(B192="","",IF(SUMPRODUCT(MAX((Bookings!$C$5:$C$404=B192)*(Bookings!$AM$5:$AM$404="Completed")*Bookings!$I$5:$I$404))=0,"",SUMPRODUCT(MAX((Bookings!$C$5:$C$404=B192)*(Bookings!$AM$5:$AM$404="Completed")*Bookings!$I$5:$I$404))))</f>
        <v>0</v>
      </c>
      <c r="AC192" s="31">
        <f>IF(AB192="","",TODAY()-AB192)</f>
        <v>0</v>
      </c>
      <c r="AD192" s="21">
        <f>IF(B192="","",IF(COUNTIFS(Bookings!$C$5:$C$404,B192,Bookings!$I$5:$I$404,"&gt;="&amp;TODAY(),Bookings!$AM$5:$AM$404,"&lt;&gt;Cancelled")=0,"",SUMPRODUCT(MIN(((Bookings!$C$5:$C$404=B192)*(Bookings!$I$5:$I$404&gt;=TODAY())*(Bookings!$AM$5:$AM$404&lt;&gt;"Cancelled"))*Bookings!$I$5:$I$404+(1-((Bookings!$C$5:$C$404=B192)*(Bookings!$I$5:$I$404&gt;=TODAY())*(Bookings!$AM$5:$AM$404&lt;&gt;"Cancelled")))*2958465))))</f>
        <v>0</v>
      </c>
      <c r="AE192" s="29">
        <f>IF(B192="","",SUMIFS(Payments!$L$5:$L$304,Payments!$C$5:$C$304,B192))</f>
        <v>0</v>
      </c>
      <c r="AF192" s="29">
        <f>IF(B192="","",SUMIFS(Invoices!$O$5:$O$304,Invoices!$D$5:$D$304,B192,Invoices!$T$5:$T$304,"&lt;&gt;Draft"))</f>
        <v>0</v>
      </c>
      <c r="AG192" s="29">
        <f>IF(B192="","",SUMIFS(Invoices!$S$5:$S$304,Invoices!$D$5:$D$304,B192,Invoices!$T$5:$T$304,"&lt;&gt;Cancelled"))</f>
        <v>0</v>
      </c>
      <c r="AH192" s="29">
        <f>IF(OR(Z192="",Z192=0),"",SUMIFS(Bookings!$AK$5:$AK$404,Bookings!$C$5:$C$404,B192,Bookings!$AM$5:$AM$404,"&lt;&gt;Cancelled")/Z192)</f>
        <v>0</v>
      </c>
      <c r="AI192" s="49">
        <f>IF(B192="","",IF(Z192&gt;=LoyaltyThreshold,"Loyalty discount","Standard"))</f>
        <v>0</v>
      </c>
      <c r="AJ192" s="49">
        <f>IF(B192="","",IF(COUNTIF(Clients!$B$5:$B$254,B192)&gt;1,"Duplicate name",IF(AND(C192&lt;&gt;"",COUNTIF(Clients!$C$5:$C$254,C192)&gt;1),"Duplicate phone","OK")))</f>
        <v>0</v>
      </c>
      <c r="AK192" s="49">
        <f>IF(B192="","",IF(AND(C192&lt;&gt;"",D192&lt;&gt;"",L192&lt;&gt;"",M192&lt;&gt;""),"OK","Add: "&amp;IF(C192="","phone ","")&amp;IF(D192="","email ","")&amp;IF(L192="","date ","")&amp;IF(M192="","status","")))</f>
        <v>0</v>
      </c>
      <c r="AL192" s="49">
        <f>IF(B192="","",IF(AG192&gt;0.5,"Overdue - chase payment",IF(AND(M192="Active",ISNUMBER(AC192),AC192&gt;InactiveDays),"Inactive - win back",IF(AND(M192="Active",S192&lt;&gt;"Signed"),"Action - contract not signed",IF(AND(M192="Prospective",AD192=""),"Action - follow up quote","OK")))))</f>
        <v>0</v>
      </c>
    </row>
    <row r="193" spans="1:38">
      <c r="A193" s="46">
        <f>IF(B193="","",ClientPrefix&amp;TEXT(ROW()-4,"0000"))</f>
        <v>0</v>
      </c>
      <c r="Y193" s="31">
        <f>IF(B193="","",COUNTIF(Pets!$C$5:$C$254,B193))</f>
        <v>0</v>
      </c>
      <c r="Z193" s="31">
        <f>IF(B193="","",COUNTIFS(Bookings!$C$5:$C$404,B193))</f>
        <v>0</v>
      </c>
      <c r="AA193" s="31">
        <f>IF(B193="","",COUNTIFS('Visit Log'!$D$5:$D$404,B193,'Visit Log'!$AE$5:$AE$404,"Completed"))</f>
        <v>0</v>
      </c>
      <c r="AB193" s="21">
        <f>IF(B193="","",IF(SUMPRODUCT(MAX((Bookings!$C$5:$C$404=B193)*(Bookings!$AM$5:$AM$404="Completed")*Bookings!$I$5:$I$404))=0,"",SUMPRODUCT(MAX((Bookings!$C$5:$C$404=B193)*(Bookings!$AM$5:$AM$404="Completed")*Bookings!$I$5:$I$404))))</f>
        <v>0</v>
      </c>
      <c r="AC193" s="31">
        <f>IF(AB193="","",TODAY()-AB193)</f>
        <v>0</v>
      </c>
      <c r="AD193" s="21">
        <f>IF(B193="","",IF(COUNTIFS(Bookings!$C$5:$C$404,B193,Bookings!$I$5:$I$404,"&gt;="&amp;TODAY(),Bookings!$AM$5:$AM$404,"&lt;&gt;Cancelled")=0,"",SUMPRODUCT(MIN(((Bookings!$C$5:$C$404=B193)*(Bookings!$I$5:$I$404&gt;=TODAY())*(Bookings!$AM$5:$AM$404&lt;&gt;"Cancelled"))*Bookings!$I$5:$I$404+(1-((Bookings!$C$5:$C$404=B193)*(Bookings!$I$5:$I$404&gt;=TODAY())*(Bookings!$AM$5:$AM$404&lt;&gt;"Cancelled")))*2958465))))</f>
        <v>0</v>
      </c>
      <c r="AE193" s="29">
        <f>IF(B193="","",SUMIFS(Payments!$L$5:$L$304,Payments!$C$5:$C$304,B193))</f>
        <v>0</v>
      </c>
      <c r="AF193" s="29">
        <f>IF(B193="","",SUMIFS(Invoices!$O$5:$O$304,Invoices!$D$5:$D$304,B193,Invoices!$T$5:$T$304,"&lt;&gt;Draft"))</f>
        <v>0</v>
      </c>
      <c r="AG193" s="29">
        <f>IF(B193="","",SUMIFS(Invoices!$S$5:$S$304,Invoices!$D$5:$D$304,B193,Invoices!$T$5:$T$304,"&lt;&gt;Cancelled"))</f>
        <v>0</v>
      </c>
      <c r="AH193" s="29">
        <f>IF(OR(Z193="",Z193=0),"",SUMIFS(Bookings!$AK$5:$AK$404,Bookings!$C$5:$C$404,B193,Bookings!$AM$5:$AM$404,"&lt;&gt;Cancelled")/Z193)</f>
        <v>0</v>
      </c>
      <c r="AI193" s="49">
        <f>IF(B193="","",IF(Z193&gt;=LoyaltyThreshold,"Loyalty discount","Standard"))</f>
        <v>0</v>
      </c>
      <c r="AJ193" s="49">
        <f>IF(B193="","",IF(COUNTIF(Clients!$B$5:$B$254,B193)&gt;1,"Duplicate name",IF(AND(C193&lt;&gt;"",COUNTIF(Clients!$C$5:$C$254,C193)&gt;1),"Duplicate phone","OK")))</f>
        <v>0</v>
      </c>
      <c r="AK193" s="49">
        <f>IF(B193="","",IF(AND(C193&lt;&gt;"",D193&lt;&gt;"",L193&lt;&gt;"",M193&lt;&gt;""),"OK","Add: "&amp;IF(C193="","phone ","")&amp;IF(D193="","email ","")&amp;IF(L193="","date ","")&amp;IF(M193="","status","")))</f>
        <v>0</v>
      </c>
      <c r="AL193" s="49">
        <f>IF(B193="","",IF(AG193&gt;0.5,"Overdue - chase payment",IF(AND(M193="Active",ISNUMBER(AC193),AC193&gt;InactiveDays),"Inactive - win back",IF(AND(M193="Active",S193&lt;&gt;"Signed"),"Action - contract not signed",IF(AND(M193="Prospective",AD193=""),"Action - follow up quote","OK")))))</f>
        <v>0</v>
      </c>
    </row>
    <row r="194" spans="1:38">
      <c r="A194" s="46">
        <f>IF(B194="","",ClientPrefix&amp;TEXT(ROW()-4,"0000"))</f>
        <v>0</v>
      </c>
      <c r="Y194" s="31">
        <f>IF(B194="","",COUNTIF(Pets!$C$5:$C$254,B194))</f>
        <v>0</v>
      </c>
      <c r="Z194" s="31">
        <f>IF(B194="","",COUNTIFS(Bookings!$C$5:$C$404,B194))</f>
        <v>0</v>
      </c>
      <c r="AA194" s="31">
        <f>IF(B194="","",COUNTIFS('Visit Log'!$D$5:$D$404,B194,'Visit Log'!$AE$5:$AE$404,"Completed"))</f>
        <v>0</v>
      </c>
      <c r="AB194" s="21">
        <f>IF(B194="","",IF(SUMPRODUCT(MAX((Bookings!$C$5:$C$404=B194)*(Bookings!$AM$5:$AM$404="Completed")*Bookings!$I$5:$I$404))=0,"",SUMPRODUCT(MAX((Bookings!$C$5:$C$404=B194)*(Bookings!$AM$5:$AM$404="Completed")*Bookings!$I$5:$I$404))))</f>
        <v>0</v>
      </c>
      <c r="AC194" s="31">
        <f>IF(AB194="","",TODAY()-AB194)</f>
        <v>0</v>
      </c>
      <c r="AD194" s="21">
        <f>IF(B194="","",IF(COUNTIFS(Bookings!$C$5:$C$404,B194,Bookings!$I$5:$I$404,"&gt;="&amp;TODAY(),Bookings!$AM$5:$AM$404,"&lt;&gt;Cancelled")=0,"",SUMPRODUCT(MIN(((Bookings!$C$5:$C$404=B194)*(Bookings!$I$5:$I$404&gt;=TODAY())*(Bookings!$AM$5:$AM$404&lt;&gt;"Cancelled"))*Bookings!$I$5:$I$404+(1-((Bookings!$C$5:$C$404=B194)*(Bookings!$I$5:$I$404&gt;=TODAY())*(Bookings!$AM$5:$AM$404&lt;&gt;"Cancelled")))*2958465))))</f>
        <v>0</v>
      </c>
      <c r="AE194" s="29">
        <f>IF(B194="","",SUMIFS(Payments!$L$5:$L$304,Payments!$C$5:$C$304,B194))</f>
        <v>0</v>
      </c>
      <c r="AF194" s="29">
        <f>IF(B194="","",SUMIFS(Invoices!$O$5:$O$304,Invoices!$D$5:$D$304,B194,Invoices!$T$5:$T$304,"&lt;&gt;Draft"))</f>
        <v>0</v>
      </c>
      <c r="AG194" s="29">
        <f>IF(B194="","",SUMIFS(Invoices!$S$5:$S$304,Invoices!$D$5:$D$304,B194,Invoices!$T$5:$T$304,"&lt;&gt;Cancelled"))</f>
        <v>0</v>
      </c>
      <c r="AH194" s="29">
        <f>IF(OR(Z194="",Z194=0),"",SUMIFS(Bookings!$AK$5:$AK$404,Bookings!$C$5:$C$404,B194,Bookings!$AM$5:$AM$404,"&lt;&gt;Cancelled")/Z194)</f>
        <v>0</v>
      </c>
      <c r="AI194" s="49">
        <f>IF(B194="","",IF(Z194&gt;=LoyaltyThreshold,"Loyalty discount","Standard"))</f>
        <v>0</v>
      </c>
      <c r="AJ194" s="49">
        <f>IF(B194="","",IF(COUNTIF(Clients!$B$5:$B$254,B194)&gt;1,"Duplicate name",IF(AND(C194&lt;&gt;"",COUNTIF(Clients!$C$5:$C$254,C194)&gt;1),"Duplicate phone","OK")))</f>
        <v>0</v>
      </c>
      <c r="AK194" s="49">
        <f>IF(B194="","",IF(AND(C194&lt;&gt;"",D194&lt;&gt;"",L194&lt;&gt;"",M194&lt;&gt;""),"OK","Add: "&amp;IF(C194="","phone ","")&amp;IF(D194="","email ","")&amp;IF(L194="","date ","")&amp;IF(M194="","status","")))</f>
        <v>0</v>
      </c>
      <c r="AL194" s="49">
        <f>IF(B194="","",IF(AG194&gt;0.5,"Overdue - chase payment",IF(AND(M194="Active",ISNUMBER(AC194),AC194&gt;InactiveDays),"Inactive - win back",IF(AND(M194="Active",S194&lt;&gt;"Signed"),"Action - contract not signed",IF(AND(M194="Prospective",AD194=""),"Action - follow up quote","OK")))))</f>
        <v>0</v>
      </c>
    </row>
    <row r="195" spans="1:38">
      <c r="A195" s="46">
        <f>IF(B195="","",ClientPrefix&amp;TEXT(ROW()-4,"0000"))</f>
        <v>0</v>
      </c>
      <c r="Y195" s="31">
        <f>IF(B195="","",COUNTIF(Pets!$C$5:$C$254,B195))</f>
        <v>0</v>
      </c>
      <c r="Z195" s="31">
        <f>IF(B195="","",COUNTIFS(Bookings!$C$5:$C$404,B195))</f>
        <v>0</v>
      </c>
      <c r="AA195" s="31">
        <f>IF(B195="","",COUNTIFS('Visit Log'!$D$5:$D$404,B195,'Visit Log'!$AE$5:$AE$404,"Completed"))</f>
        <v>0</v>
      </c>
      <c r="AB195" s="21">
        <f>IF(B195="","",IF(SUMPRODUCT(MAX((Bookings!$C$5:$C$404=B195)*(Bookings!$AM$5:$AM$404="Completed")*Bookings!$I$5:$I$404))=0,"",SUMPRODUCT(MAX((Bookings!$C$5:$C$404=B195)*(Bookings!$AM$5:$AM$404="Completed")*Bookings!$I$5:$I$404))))</f>
        <v>0</v>
      </c>
      <c r="AC195" s="31">
        <f>IF(AB195="","",TODAY()-AB195)</f>
        <v>0</v>
      </c>
      <c r="AD195" s="21">
        <f>IF(B195="","",IF(COUNTIFS(Bookings!$C$5:$C$404,B195,Bookings!$I$5:$I$404,"&gt;="&amp;TODAY(),Bookings!$AM$5:$AM$404,"&lt;&gt;Cancelled")=0,"",SUMPRODUCT(MIN(((Bookings!$C$5:$C$404=B195)*(Bookings!$I$5:$I$404&gt;=TODAY())*(Bookings!$AM$5:$AM$404&lt;&gt;"Cancelled"))*Bookings!$I$5:$I$404+(1-((Bookings!$C$5:$C$404=B195)*(Bookings!$I$5:$I$404&gt;=TODAY())*(Bookings!$AM$5:$AM$404&lt;&gt;"Cancelled")))*2958465))))</f>
        <v>0</v>
      </c>
      <c r="AE195" s="29">
        <f>IF(B195="","",SUMIFS(Payments!$L$5:$L$304,Payments!$C$5:$C$304,B195))</f>
        <v>0</v>
      </c>
      <c r="AF195" s="29">
        <f>IF(B195="","",SUMIFS(Invoices!$O$5:$O$304,Invoices!$D$5:$D$304,B195,Invoices!$T$5:$T$304,"&lt;&gt;Draft"))</f>
        <v>0</v>
      </c>
      <c r="AG195" s="29">
        <f>IF(B195="","",SUMIFS(Invoices!$S$5:$S$304,Invoices!$D$5:$D$304,B195,Invoices!$T$5:$T$304,"&lt;&gt;Cancelled"))</f>
        <v>0</v>
      </c>
      <c r="AH195" s="29">
        <f>IF(OR(Z195="",Z195=0),"",SUMIFS(Bookings!$AK$5:$AK$404,Bookings!$C$5:$C$404,B195,Bookings!$AM$5:$AM$404,"&lt;&gt;Cancelled")/Z195)</f>
        <v>0</v>
      </c>
      <c r="AI195" s="49">
        <f>IF(B195="","",IF(Z195&gt;=LoyaltyThreshold,"Loyalty discount","Standard"))</f>
        <v>0</v>
      </c>
      <c r="AJ195" s="49">
        <f>IF(B195="","",IF(COUNTIF(Clients!$B$5:$B$254,B195)&gt;1,"Duplicate name",IF(AND(C195&lt;&gt;"",COUNTIF(Clients!$C$5:$C$254,C195)&gt;1),"Duplicate phone","OK")))</f>
        <v>0</v>
      </c>
      <c r="AK195" s="49">
        <f>IF(B195="","",IF(AND(C195&lt;&gt;"",D195&lt;&gt;"",L195&lt;&gt;"",M195&lt;&gt;""),"OK","Add: "&amp;IF(C195="","phone ","")&amp;IF(D195="","email ","")&amp;IF(L195="","date ","")&amp;IF(M195="","status","")))</f>
        <v>0</v>
      </c>
      <c r="AL195" s="49">
        <f>IF(B195="","",IF(AG195&gt;0.5,"Overdue - chase payment",IF(AND(M195="Active",ISNUMBER(AC195),AC195&gt;InactiveDays),"Inactive - win back",IF(AND(M195="Active",S195&lt;&gt;"Signed"),"Action - contract not signed",IF(AND(M195="Prospective",AD195=""),"Action - follow up quote","OK")))))</f>
        <v>0</v>
      </c>
    </row>
    <row r="196" spans="1:38">
      <c r="A196" s="46">
        <f>IF(B196="","",ClientPrefix&amp;TEXT(ROW()-4,"0000"))</f>
        <v>0</v>
      </c>
      <c r="Y196" s="31">
        <f>IF(B196="","",COUNTIF(Pets!$C$5:$C$254,B196))</f>
        <v>0</v>
      </c>
      <c r="Z196" s="31">
        <f>IF(B196="","",COUNTIFS(Bookings!$C$5:$C$404,B196))</f>
        <v>0</v>
      </c>
      <c r="AA196" s="31">
        <f>IF(B196="","",COUNTIFS('Visit Log'!$D$5:$D$404,B196,'Visit Log'!$AE$5:$AE$404,"Completed"))</f>
        <v>0</v>
      </c>
      <c r="AB196" s="21">
        <f>IF(B196="","",IF(SUMPRODUCT(MAX((Bookings!$C$5:$C$404=B196)*(Bookings!$AM$5:$AM$404="Completed")*Bookings!$I$5:$I$404))=0,"",SUMPRODUCT(MAX((Bookings!$C$5:$C$404=B196)*(Bookings!$AM$5:$AM$404="Completed")*Bookings!$I$5:$I$404))))</f>
        <v>0</v>
      </c>
      <c r="AC196" s="31">
        <f>IF(AB196="","",TODAY()-AB196)</f>
        <v>0</v>
      </c>
      <c r="AD196" s="21">
        <f>IF(B196="","",IF(COUNTIFS(Bookings!$C$5:$C$404,B196,Bookings!$I$5:$I$404,"&gt;="&amp;TODAY(),Bookings!$AM$5:$AM$404,"&lt;&gt;Cancelled")=0,"",SUMPRODUCT(MIN(((Bookings!$C$5:$C$404=B196)*(Bookings!$I$5:$I$404&gt;=TODAY())*(Bookings!$AM$5:$AM$404&lt;&gt;"Cancelled"))*Bookings!$I$5:$I$404+(1-((Bookings!$C$5:$C$404=B196)*(Bookings!$I$5:$I$404&gt;=TODAY())*(Bookings!$AM$5:$AM$404&lt;&gt;"Cancelled")))*2958465))))</f>
        <v>0</v>
      </c>
      <c r="AE196" s="29">
        <f>IF(B196="","",SUMIFS(Payments!$L$5:$L$304,Payments!$C$5:$C$304,B196))</f>
        <v>0</v>
      </c>
      <c r="AF196" s="29">
        <f>IF(B196="","",SUMIFS(Invoices!$O$5:$O$304,Invoices!$D$5:$D$304,B196,Invoices!$T$5:$T$304,"&lt;&gt;Draft"))</f>
        <v>0</v>
      </c>
      <c r="AG196" s="29">
        <f>IF(B196="","",SUMIFS(Invoices!$S$5:$S$304,Invoices!$D$5:$D$304,B196,Invoices!$T$5:$T$304,"&lt;&gt;Cancelled"))</f>
        <v>0</v>
      </c>
      <c r="AH196" s="29">
        <f>IF(OR(Z196="",Z196=0),"",SUMIFS(Bookings!$AK$5:$AK$404,Bookings!$C$5:$C$404,B196,Bookings!$AM$5:$AM$404,"&lt;&gt;Cancelled")/Z196)</f>
        <v>0</v>
      </c>
      <c r="AI196" s="49">
        <f>IF(B196="","",IF(Z196&gt;=LoyaltyThreshold,"Loyalty discount","Standard"))</f>
        <v>0</v>
      </c>
      <c r="AJ196" s="49">
        <f>IF(B196="","",IF(COUNTIF(Clients!$B$5:$B$254,B196)&gt;1,"Duplicate name",IF(AND(C196&lt;&gt;"",COUNTIF(Clients!$C$5:$C$254,C196)&gt;1),"Duplicate phone","OK")))</f>
        <v>0</v>
      </c>
      <c r="AK196" s="49">
        <f>IF(B196="","",IF(AND(C196&lt;&gt;"",D196&lt;&gt;"",L196&lt;&gt;"",M196&lt;&gt;""),"OK","Add: "&amp;IF(C196="","phone ","")&amp;IF(D196="","email ","")&amp;IF(L196="","date ","")&amp;IF(M196="","status","")))</f>
        <v>0</v>
      </c>
      <c r="AL196" s="49">
        <f>IF(B196="","",IF(AG196&gt;0.5,"Overdue - chase payment",IF(AND(M196="Active",ISNUMBER(AC196),AC196&gt;InactiveDays),"Inactive - win back",IF(AND(M196="Active",S196&lt;&gt;"Signed"),"Action - contract not signed",IF(AND(M196="Prospective",AD196=""),"Action - follow up quote","OK")))))</f>
        <v>0</v>
      </c>
    </row>
    <row r="197" spans="1:38">
      <c r="A197" s="46">
        <f>IF(B197="","",ClientPrefix&amp;TEXT(ROW()-4,"0000"))</f>
        <v>0</v>
      </c>
      <c r="Y197" s="31">
        <f>IF(B197="","",COUNTIF(Pets!$C$5:$C$254,B197))</f>
        <v>0</v>
      </c>
      <c r="Z197" s="31">
        <f>IF(B197="","",COUNTIFS(Bookings!$C$5:$C$404,B197))</f>
        <v>0</v>
      </c>
      <c r="AA197" s="31">
        <f>IF(B197="","",COUNTIFS('Visit Log'!$D$5:$D$404,B197,'Visit Log'!$AE$5:$AE$404,"Completed"))</f>
        <v>0</v>
      </c>
      <c r="AB197" s="21">
        <f>IF(B197="","",IF(SUMPRODUCT(MAX((Bookings!$C$5:$C$404=B197)*(Bookings!$AM$5:$AM$404="Completed")*Bookings!$I$5:$I$404))=0,"",SUMPRODUCT(MAX((Bookings!$C$5:$C$404=B197)*(Bookings!$AM$5:$AM$404="Completed")*Bookings!$I$5:$I$404))))</f>
        <v>0</v>
      </c>
      <c r="AC197" s="31">
        <f>IF(AB197="","",TODAY()-AB197)</f>
        <v>0</v>
      </c>
      <c r="AD197" s="21">
        <f>IF(B197="","",IF(COUNTIFS(Bookings!$C$5:$C$404,B197,Bookings!$I$5:$I$404,"&gt;="&amp;TODAY(),Bookings!$AM$5:$AM$404,"&lt;&gt;Cancelled")=0,"",SUMPRODUCT(MIN(((Bookings!$C$5:$C$404=B197)*(Bookings!$I$5:$I$404&gt;=TODAY())*(Bookings!$AM$5:$AM$404&lt;&gt;"Cancelled"))*Bookings!$I$5:$I$404+(1-((Bookings!$C$5:$C$404=B197)*(Bookings!$I$5:$I$404&gt;=TODAY())*(Bookings!$AM$5:$AM$404&lt;&gt;"Cancelled")))*2958465))))</f>
        <v>0</v>
      </c>
      <c r="AE197" s="29">
        <f>IF(B197="","",SUMIFS(Payments!$L$5:$L$304,Payments!$C$5:$C$304,B197))</f>
        <v>0</v>
      </c>
      <c r="AF197" s="29">
        <f>IF(B197="","",SUMIFS(Invoices!$O$5:$O$304,Invoices!$D$5:$D$304,B197,Invoices!$T$5:$T$304,"&lt;&gt;Draft"))</f>
        <v>0</v>
      </c>
      <c r="AG197" s="29">
        <f>IF(B197="","",SUMIFS(Invoices!$S$5:$S$304,Invoices!$D$5:$D$304,B197,Invoices!$T$5:$T$304,"&lt;&gt;Cancelled"))</f>
        <v>0</v>
      </c>
      <c r="AH197" s="29">
        <f>IF(OR(Z197="",Z197=0),"",SUMIFS(Bookings!$AK$5:$AK$404,Bookings!$C$5:$C$404,B197,Bookings!$AM$5:$AM$404,"&lt;&gt;Cancelled")/Z197)</f>
        <v>0</v>
      </c>
      <c r="AI197" s="49">
        <f>IF(B197="","",IF(Z197&gt;=LoyaltyThreshold,"Loyalty discount","Standard"))</f>
        <v>0</v>
      </c>
      <c r="AJ197" s="49">
        <f>IF(B197="","",IF(COUNTIF(Clients!$B$5:$B$254,B197)&gt;1,"Duplicate name",IF(AND(C197&lt;&gt;"",COUNTIF(Clients!$C$5:$C$254,C197)&gt;1),"Duplicate phone","OK")))</f>
        <v>0</v>
      </c>
      <c r="AK197" s="49">
        <f>IF(B197="","",IF(AND(C197&lt;&gt;"",D197&lt;&gt;"",L197&lt;&gt;"",M197&lt;&gt;""),"OK","Add: "&amp;IF(C197="","phone ","")&amp;IF(D197="","email ","")&amp;IF(L197="","date ","")&amp;IF(M197="","status","")))</f>
        <v>0</v>
      </c>
      <c r="AL197" s="49">
        <f>IF(B197="","",IF(AG197&gt;0.5,"Overdue - chase payment",IF(AND(M197="Active",ISNUMBER(AC197),AC197&gt;InactiveDays),"Inactive - win back",IF(AND(M197="Active",S197&lt;&gt;"Signed"),"Action - contract not signed",IF(AND(M197="Prospective",AD197=""),"Action - follow up quote","OK")))))</f>
        <v>0</v>
      </c>
    </row>
    <row r="198" spans="1:38">
      <c r="A198" s="46">
        <f>IF(B198="","",ClientPrefix&amp;TEXT(ROW()-4,"0000"))</f>
        <v>0</v>
      </c>
      <c r="Y198" s="31">
        <f>IF(B198="","",COUNTIF(Pets!$C$5:$C$254,B198))</f>
        <v>0</v>
      </c>
      <c r="Z198" s="31">
        <f>IF(B198="","",COUNTIFS(Bookings!$C$5:$C$404,B198))</f>
        <v>0</v>
      </c>
      <c r="AA198" s="31">
        <f>IF(B198="","",COUNTIFS('Visit Log'!$D$5:$D$404,B198,'Visit Log'!$AE$5:$AE$404,"Completed"))</f>
        <v>0</v>
      </c>
      <c r="AB198" s="21">
        <f>IF(B198="","",IF(SUMPRODUCT(MAX((Bookings!$C$5:$C$404=B198)*(Bookings!$AM$5:$AM$404="Completed")*Bookings!$I$5:$I$404))=0,"",SUMPRODUCT(MAX((Bookings!$C$5:$C$404=B198)*(Bookings!$AM$5:$AM$404="Completed")*Bookings!$I$5:$I$404))))</f>
        <v>0</v>
      </c>
      <c r="AC198" s="31">
        <f>IF(AB198="","",TODAY()-AB198)</f>
        <v>0</v>
      </c>
      <c r="AD198" s="21">
        <f>IF(B198="","",IF(COUNTIFS(Bookings!$C$5:$C$404,B198,Bookings!$I$5:$I$404,"&gt;="&amp;TODAY(),Bookings!$AM$5:$AM$404,"&lt;&gt;Cancelled")=0,"",SUMPRODUCT(MIN(((Bookings!$C$5:$C$404=B198)*(Bookings!$I$5:$I$404&gt;=TODAY())*(Bookings!$AM$5:$AM$404&lt;&gt;"Cancelled"))*Bookings!$I$5:$I$404+(1-((Bookings!$C$5:$C$404=B198)*(Bookings!$I$5:$I$404&gt;=TODAY())*(Bookings!$AM$5:$AM$404&lt;&gt;"Cancelled")))*2958465))))</f>
        <v>0</v>
      </c>
      <c r="AE198" s="29">
        <f>IF(B198="","",SUMIFS(Payments!$L$5:$L$304,Payments!$C$5:$C$304,B198))</f>
        <v>0</v>
      </c>
      <c r="AF198" s="29">
        <f>IF(B198="","",SUMIFS(Invoices!$O$5:$O$304,Invoices!$D$5:$D$304,B198,Invoices!$T$5:$T$304,"&lt;&gt;Draft"))</f>
        <v>0</v>
      </c>
      <c r="AG198" s="29">
        <f>IF(B198="","",SUMIFS(Invoices!$S$5:$S$304,Invoices!$D$5:$D$304,B198,Invoices!$T$5:$T$304,"&lt;&gt;Cancelled"))</f>
        <v>0</v>
      </c>
      <c r="AH198" s="29">
        <f>IF(OR(Z198="",Z198=0),"",SUMIFS(Bookings!$AK$5:$AK$404,Bookings!$C$5:$C$404,B198,Bookings!$AM$5:$AM$404,"&lt;&gt;Cancelled")/Z198)</f>
        <v>0</v>
      </c>
      <c r="AI198" s="49">
        <f>IF(B198="","",IF(Z198&gt;=LoyaltyThreshold,"Loyalty discount","Standard"))</f>
        <v>0</v>
      </c>
      <c r="AJ198" s="49">
        <f>IF(B198="","",IF(COUNTIF(Clients!$B$5:$B$254,B198)&gt;1,"Duplicate name",IF(AND(C198&lt;&gt;"",COUNTIF(Clients!$C$5:$C$254,C198)&gt;1),"Duplicate phone","OK")))</f>
        <v>0</v>
      </c>
      <c r="AK198" s="49">
        <f>IF(B198="","",IF(AND(C198&lt;&gt;"",D198&lt;&gt;"",L198&lt;&gt;"",M198&lt;&gt;""),"OK","Add: "&amp;IF(C198="","phone ","")&amp;IF(D198="","email ","")&amp;IF(L198="","date ","")&amp;IF(M198="","status","")))</f>
        <v>0</v>
      </c>
      <c r="AL198" s="49">
        <f>IF(B198="","",IF(AG198&gt;0.5,"Overdue - chase payment",IF(AND(M198="Active",ISNUMBER(AC198),AC198&gt;InactiveDays),"Inactive - win back",IF(AND(M198="Active",S198&lt;&gt;"Signed"),"Action - contract not signed",IF(AND(M198="Prospective",AD198=""),"Action - follow up quote","OK")))))</f>
        <v>0</v>
      </c>
    </row>
    <row r="199" spans="1:38">
      <c r="A199" s="46">
        <f>IF(B199="","",ClientPrefix&amp;TEXT(ROW()-4,"0000"))</f>
        <v>0</v>
      </c>
      <c r="Y199" s="31">
        <f>IF(B199="","",COUNTIF(Pets!$C$5:$C$254,B199))</f>
        <v>0</v>
      </c>
      <c r="Z199" s="31">
        <f>IF(B199="","",COUNTIFS(Bookings!$C$5:$C$404,B199))</f>
        <v>0</v>
      </c>
      <c r="AA199" s="31">
        <f>IF(B199="","",COUNTIFS('Visit Log'!$D$5:$D$404,B199,'Visit Log'!$AE$5:$AE$404,"Completed"))</f>
        <v>0</v>
      </c>
      <c r="AB199" s="21">
        <f>IF(B199="","",IF(SUMPRODUCT(MAX((Bookings!$C$5:$C$404=B199)*(Bookings!$AM$5:$AM$404="Completed")*Bookings!$I$5:$I$404))=0,"",SUMPRODUCT(MAX((Bookings!$C$5:$C$404=B199)*(Bookings!$AM$5:$AM$404="Completed")*Bookings!$I$5:$I$404))))</f>
        <v>0</v>
      </c>
      <c r="AC199" s="31">
        <f>IF(AB199="","",TODAY()-AB199)</f>
        <v>0</v>
      </c>
      <c r="AD199" s="21">
        <f>IF(B199="","",IF(COUNTIFS(Bookings!$C$5:$C$404,B199,Bookings!$I$5:$I$404,"&gt;="&amp;TODAY(),Bookings!$AM$5:$AM$404,"&lt;&gt;Cancelled")=0,"",SUMPRODUCT(MIN(((Bookings!$C$5:$C$404=B199)*(Bookings!$I$5:$I$404&gt;=TODAY())*(Bookings!$AM$5:$AM$404&lt;&gt;"Cancelled"))*Bookings!$I$5:$I$404+(1-((Bookings!$C$5:$C$404=B199)*(Bookings!$I$5:$I$404&gt;=TODAY())*(Bookings!$AM$5:$AM$404&lt;&gt;"Cancelled")))*2958465))))</f>
        <v>0</v>
      </c>
      <c r="AE199" s="29">
        <f>IF(B199="","",SUMIFS(Payments!$L$5:$L$304,Payments!$C$5:$C$304,B199))</f>
        <v>0</v>
      </c>
      <c r="AF199" s="29">
        <f>IF(B199="","",SUMIFS(Invoices!$O$5:$O$304,Invoices!$D$5:$D$304,B199,Invoices!$T$5:$T$304,"&lt;&gt;Draft"))</f>
        <v>0</v>
      </c>
      <c r="AG199" s="29">
        <f>IF(B199="","",SUMIFS(Invoices!$S$5:$S$304,Invoices!$D$5:$D$304,B199,Invoices!$T$5:$T$304,"&lt;&gt;Cancelled"))</f>
        <v>0</v>
      </c>
      <c r="AH199" s="29">
        <f>IF(OR(Z199="",Z199=0),"",SUMIFS(Bookings!$AK$5:$AK$404,Bookings!$C$5:$C$404,B199,Bookings!$AM$5:$AM$404,"&lt;&gt;Cancelled")/Z199)</f>
        <v>0</v>
      </c>
      <c r="AI199" s="49">
        <f>IF(B199="","",IF(Z199&gt;=LoyaltyThreshold,"Loyalty discount","Standard"))</f>
        <v>0</v>
      </c>
      <c r="AJ199" s="49">
        <f>IF(B199="","",IF(COUNTIF(Clients!$B$5:$B$254,B199)&gt;1,"Duplicate name",IF(AND(C199&lt;&gt;"",COUNTIF(Clients!$C$5:$C$254,C199)&gt;1),"Duplicate phone","OK")))</f>
        <v>0</v>
      </c>
      <c r="AK199" s="49">
        <f>IF(B199="","",IF(AND(C199&lt;&gt;"",D199&lt;&gt;"",L199&lt;&gt;"",M199&lt;&gt;""),"OK","Add: "&amp;IF(C199="","phone ","")&amp;IF(D199="","email ","")&amp;IF(L199="","date ","")&amp;IF(M199="","status","")))</f>
        <v>0</v>
      </c>
      <c r="AL199" s="49">
        <f>IF(B199="","",IF(AG199&gt;0.5,"Overdue - chase payment",IF(AND(M199="Active",ISNUMBER(AC199),AC199&gt;InactiveDays),"Inactive - win back",IF(AND(M199="Active",S199&lt;&gt;"Signed"),"Action - contract not signed",IF(AND(M199="Prospective",AD199=""),"Action - follow up quote","OK")))))</f>
        <v>0</v>
      </c>
    </row>
    <row r="200" spans="1:38">
      <c r="A200" s="46">
        <f>IF(B200="","",ClientPrefix&amp;TEXT(ROW()-4,"0000"))</f>
        <v>0</v>
      </c>
      <c r="Y200" s="31">
        <f>IF(B200="","",COUNTIF(Pets!$C$5:$C$254,B200))</f>
        <v>0</v>
      </c>
      <c r="Z200" s="31">
        <f>IF(B200="","",COUNTIFS(Bookings!$C$5:$C$404,B200))</f>
        <v>0</v>
      </c>
      <c r="AA200" s="31">
        <f>IF(B200="","",COUNTIFS('Visit Log'!$D$5:$D$404,B200,'Visit Log'!$AE$5:$AE$404,"Completed"))</f>
        <v>0</v>
      </c>
      <c r="AB200" s="21">
        <f>IF(B200="","",IF(SUMPRODUCT(MAX((Bookings!$C$5:$C$404=B200)*(Bookings!$AM$5:$AM$404="Completed")*Bookings!$I$5:$I$404))=0,"",SUMPRODUCT(MAX((Bookings!$C$5:$C$404=B200)*(Bookings!$AM$5:$AM$404="Completed")*Bookings!$I$5:$I$404))))</f>
        <v>0</v>
      </c>
      <c r="AC200" s="31">
        <f>IF(AB200="","",TODAY()-AB200)</f>
        <v>0</v>
      </c>
      <c r="AD200" s="21">
        <f>IF(B200="","",IF(COUNTIFS(Bookings!$C$5:$C$404,B200,Bookings!$I$5:$I$404,"&gt;="&amp;TODAY(),Bookings!$AM$5:$AM$404,"&lt;&gt;Cancelled")=0,"",SUMPRODUCT(MIN(((Bookings!$C$5:$C$404=B200)*(Bookings!$I$5:$I$404&gt;=TODAY())*(Bookings!$AM$5:$AM$404&lt;&gt;"Cancelled"))*Bookings!$I$5:$I$404+(1-((Bookings!$C$5:$C$404=B200)*(Bookings!$I$5:$I$404&gt;=TODAY())*(Bookings!$AM$5:$AM$404&lt;&gt;"Cancelled")))*2958465))))</f>
        <v>0</v>
      </c>
      <c r="AE200" s="29">
        <f>IF(B200="","",SUMIFS(Payments!$L$5:$L$304,Payments!$C$5:$C$304,B200))</f>
        <v>0</v>
      </c>
      <c r="AF200" s="29">
        <f>IF(B200="","",SUMIFS(Invoices!$O$5:$O$304,Invoices!$D$5:$D$304,B200,Invoices!$T$5:$T$304,"&lt;&gt;Draft"))</f>
        <v>0</v>
      </c>
      <c r="AG200" s="29">
        <f>IF(B200="","",SUMIFS(Invoices!$S$5:$S$304,Invoices!$D$5:$D$304,B200,Invoices!$T$5:$T$304,"&lt;&gt;Cancelled"))</f>
        <v>0</v>
      </c>
      <c r="AH200" s="29">
        <f>IF(OR(Z200="",Z200=0),"",SUMIFS(Bookings!$AK$5:$AK$404,Bookings!$C$5:$C$404,B200,Bookings!$AM$5:$AM$404,"&lt;&gt;Cancelled")/Z200)</f>
        <v>0</v>
      </c>
      <c r="AI200" s="49">
        <f>IF(B200="","",IF(Z200&gt;=LoyaltyThreshold,"Loyalty discount","Standard"))</f>
        <v>0</v>
      </c>
      <c r="AJ200" s="49">
        <f>IF(B200="","",IF(COUNTIF(Clients!$B$5:$B$254,B200)&gt;1,"Duplicate name",IF(AND(C200&lt;&gt;"",COUNTIF(Clients!$C$5:$C$254,C200)&gt;1),"Duplicate phone","OK")))</f>
        <v>0</v>
      </c>
      <c r="AK200" s="49">
        <f>IF(B200="","",IF(AND(C200&lt;&gt;"",D200&lt;&gt;"",L200&lt;&gt;"",M200&lt;&gt;""),"OK","Add: "&amp;IF(C200="","phone ","")&amp;IF(D200="","email ","")&amp;IF(L200="","date ","")&amp;IF(M200="","status","")))</f>
        <v>0</v>
      </c>
      <c r="AL200" s="49">
        <f>IF(B200="","",IF(AG200&gt;0.5,"Overdue - chase payment",IF(AND(M200="Active",ISNUMBER(AC200),AC200&gt;InactiveDays),"Inactive - win back",IF(AND(M200="Active",S200&lt;&gt;"Signed"),"Action - contract not signed",IF(AND(M200="Prospective",AD200=""),"Action - follow up quote","OK")))))</f>
        <v>0</v>
      </c>
    </row>
    <row r="201" spans="1:38">
      <c r="A201" s="46">
        <f>IF(B201="","",ClientPrefix&amp;TEXT(ROW()-4,"0000"))</f>
        <v>0</v>
      </c>
      <c r="Y201" s="31">
        <f>IF(B201="","",COUNTIF(Pets!$C$5:$C$254,B201))</f>
        <v>0</v>
      </c>
      <c r="Z201" s="31">
        <f>IF(B201="","",COUNTIFS(Bookings!$C$5:$C$404,B201))</f>
        <v>0</v>
      </c>
      <c r="AA201" s="31">
        <f>IF(B201="","",COUNTIFS('Visit Log'!$D$5:$D$404,B201,'Visit Log'!$AE$5:$AE$404,"Completed"))</f>
        <v>0</v>
      </c>
      <c r="AB201" s="21">
        <f>IF(B201="","",IF(SUMPRODUCT(MAX((Bookings!$C$5:$C$404=B201)*(Bookings!$AM$5:$AM$404="Completed")*Bookings!$I$5:$I$404))=0,"",SUMPRODUCT(MAX((Bookings!$C$5:$C$404=B201)*(Bookings!$AM$5:$AM$404="Completed")*Bookings!$I$5:$I$404))))</f>
        <v>0</v>
      </c>
      <c r="AC201" s="31">
        <f>IF(AB201="","",TODAY()-AB201)</f>
        <v>0</v>
      </c>
      <c r="AD201" s="21">
        <f>IF(B201="","",IF(COUNTIFS(Bookings!$C$5:$C$404,B201,Bookings!$I$5:$I$404,"&gt;="&amp;TODAY(),Bookings!$AM$5:$AM$404,"&lt;&gt;Cancelled")=0,"",SUMPRODUCT(MIN(((Bookings!$C$5:$C$404=B201)*(Bookings!$I$5:$I$404&gt;=TODAY())*(Bookings!$AM$5:$AM$404&lt;&gt;"Cancelled"))*Bookings!$I$5:$I$404+(1-((Bookings!$C$5:$C$404=B201)*(Bookings!$I$5:$I$404&gt;=TODAY())*(Bookings!$AM$5:$AM$404&lt;&gt;"Cancelled")))*2958465))))</f>
        <v>0</v>
      </c>
      <c r="AE201" s="29">
        <f>IF(B201="","",SUMIFS(Payments!$L$5:$L$304,Payments!$C$5:$C$304,B201))</f>
        <v>0</v>
      </c>
      <c r="AF201" s="29">
        <f>IF(B201="","",SUMIFS(Invoices!$O$5:$O$304,Invoices!$D$5:$D$304,B201,Invoices!$T$5:$T$304,"&lt;&gt;Draft"))</f>
        <v>0</v>
      </c>
      <c r="AG201" s="29">
        <f>IF(B201="","",SUMIFS(Invoices!$S$5:$S$304,Invoices!$D$5:$D$304,B201,Invoices!$T$5:$T$304,"&lt;&gt;Cancelled"))</f>
        <v>0</v>
      </c>
      <c r="AH201" s="29">
        <f>IF(OR(Z201="",Z201=0),"",SUMIFS(Bookings!$AK$5:$AK$404,Bookings!$C$5:$C$404,B201,Bookings!$AM$5:$AM$404,"&lt;&gt;Cancelled")/Z201)</f>
        <v>0</v>
      </c>
      <c r="AI201" s="49">
        <f>IF(B201="","",IF(Z201&gt;=LoyaltyThreshold,"Loyalty discount","Standard"))</f>
        <v>0</v>
      </c>
      <c r="AJ201" s="49">
        <f>IF(B201="","",IF(COUNTIF(Clients!$B$5:$B$254,B201)&gt;1,"Duplicate name",IF(AND(C201&lt;&gt;"",COUNTIF(Clients!$C$5:$C$254,C201)&gt;1),"Duplicate phone","OK")))</f>
        <v>0</v>
      </c>
      <c r="AK201" s="49">
        <f>IF(B201="","",IF(AND(C201&lt;&gt;"",D201&lt;&gt;"",L201&lt;&gt;"",M201&lt;&gt;""),"OK","Add: "&amp;IF(C201="","phone ","")&amp;IF(D201="","email ","")&amp;IF(L201="","date ","")&amp;IF(M201="","status","")))</f>
        <v>0</v>
      </c>
      <c r="AL201" s="49">
        <f>IF(B201="","",IF(AG201&gt;0.5,"Overdue - chase payment",IF(AND(M201="Active",ISNUMBER(AC201),AC201&gt;InactiveDays),"Inactive - win back",IF(AND(M201="Active",S201&lt;&gt;"Signed"),"Action - contract not signed",IF(AND(M201="Prospective",AD201=""),"Action - follow up quote","OK")))))</f>
        <v>0</v>
      </c>
    </row>
    <row r="202" spans="1:38">
      <c r="A202" s="46">
        <f>IF(B202="","",ClientPrefix&amp;TEXT(ROW()-4,"0000"))</f>
        <v>0</v>
      </c>
      <c r="Y202" s="31">
        <f>IF(B202="","",COUNTIF(Pets!$C$5:$C$254,B202))</f>
        <v>0</v>
      </c>
      <c r="Z202" s="31">
        <f>IF(B202="","",COUNTIFS(Bookings!$C$5:$C$404,B202))</f>
        <v>0</v>
      </c>
      <c r="AA202" s="31">
        <f>IF(B202="","",COUNTIFS('Visit Log'!$D$5:$D$404,B202,'Visit Log'!$AE$5:$AE$404,"Completed"))</f>
        <v>0</v>
      </c>
      <c r="AB202" s="21">
        <f>IF(B202="","",IF(SUMPRODUCT(MAX((Bookings!$C$5:$C$404=B202)*(Bookings!$AM$5:$AM$404="Completed")*Bookings!$I$5:$I$404))=0,"",SUMPRODUCT(MAX((Bookings!$C$5:$C$404=B202)*(Bookings!$AM$5:$AM$404="Completed")*Bookings!$I$5:$I$404))))</f>
        <v>0</v>
      </c>
      <c r="AC202" s="31">
        <f>IF(AB202="","",TODAY()-AB202)</f>
        <v>0</v>
      </c>
      <c r="AD202" s="21">
        <f>IF(B202="","",IF(COUNTIFS(Bookings!$C$5:$C$404,B202,Bookings!$I$5:$I$404,"&gt;="&amp;TODAY(),Bookings!$AM$5:$AM$404,"&lt;&gt;Cancelled")=0,"",SUMPRODUCT(MIN(((Bookings!$C$5:$C$404=B202)*(Bookings!$I$5:$I$404&gt;=TODAY())*(Bookings!$AM$5:$AM$404&lt;&gt;"Cancelled"))*Bookings!$I$5:$I$404+(1-((Bookings!$C$5:$C$404=B202)*(Bookings!$I$5:$I$404&gt;=TODAY())*(Bookings!$AM$5:$AM$404&lt;&gt;"Cancelled")))*2958465))))</f>
        <v>0</v>
      </c>
      <c r="AE202" s="29">
        <f>IF(B202="","",SUMIFS(Payments!$L$5:$L$304,Payments!$C$5:$C$304,B202))</f>
        <v>0</v>
      </c>
      <c r="AF202" s="29">
        <f>IF(B202="","",SUMIFS(Invoices!$O$5:$O$304,Invoices!$D$5:$D$304,B202,Invoices!$T$5:$T$304,"&lt;&gt;Draft"))</f>
        <v>0</v>
      </c>
      <c r="AG202" s="29">
        <f>IF(B202="","",SUMIFS(Invoices!$S$5:$S$304,Invoices!$D$5:$D$304,B202,Invoices!$T$5:$T$304,"&lt;&gt;Cancelled"))</f>
        <v>0</v>
      </c>
      <c r="AH202" s="29">
        <f>IF(OR(Z202="",Z202=0),"",SUMIFS(Bookings!$AK$5:$AK$404,Bookings!$C$5:$C$404,B202,Bookings!$AM$5:$AM$404,"&lt;&gt;Cancelled")/Z202)</f>
        <v>0</v>
      </c>
      <c r="AI202" s="49">
        <f>IF(B202="","",IF(Z202&gt;=LoyaltyThreshold,"Loyalty discount","Standard"))</f>
        <v>0</v>
      </c>
      <c r="AJ202" s="49">
        <f>IF(B202="","",IF(COUNTIF(Clients!$B$5:$B$254,B202)&gt;1,"Duplicate name",IF(AND(C202&lt;&gt;"",COUNTIF(Clients!$C$5:$C$254,C202)&gt;1),"Duplicate phone","OK")))</f>
        <v>0</v>
      </c>
      <c r="AK202" s="49">
        <f>IF(B202="","",IF(AND(C202&lt;&gt;"",D202&lt;&gt;"",L202&lt;&gt;"",M202&lt;&gt;""),"OK","Add: "&amp;IF(C202="","phone ","")&amp;IF(D202="","email ","")&amp;IF(L202="","date ","")&amp;IF(M202="","status","")))</f>
        <v>0</v>
      </c>
      <c r="AL202" s="49">
        <f>IF(B202="","",IF(AG202&gt;0.5,"Overdue - chase payment",IF(AND(M202="Active",ISNUMBER(AC202),AC202&gt;InactiveDays),"Inactive - win back",IF(AND(M202="Active",S202&lt;&gt;"Signed"),"Action - contract not signed",IF(AND(M202="Prospective",AD202=""),"Action - follow up quote","OK")))))</f>
        <v>0</v>
      </c>
    </row>
    <row r="203" spans="1:38">
      <c r="A203" s="46">
        <f>IF(B203="","",ClientPrefix&amp;TEXT(ROW()-4,"0000"))</f>
        <v>0</v>
      </c>
      <c r="Y203" s="31">
        <f>IF(B203="","",COUNTIF(Pets!$C$5:$C$254,B203))</f>
        <v>0</v>
      </c>
      <c r="Z203" s="31">
        <f>IF(B203="","",COUNTIFS(Bookings!$C$5:$C$404,B203))</f>
        <v>0</v>
      </c>
      <c r="AA203" s="31">
        <f>IF(B203="","",COUNTIFS('Visit Log'!$D$5:$D$404,B203,'Visit Log'!$AE$5:$AE$404,"Completed"))</f>
        <v>0</v>
      </c>
      <c r="AB203" s="21">
        <f>IF(B203="","",IF(SUMPRODUCT(MAX((Bookings!$C$5:$C$404=B203)*(Bookings!$AM$5:$AM$404="Completed")*Bookings!$I$5:$I$404))=0,"",SUMPRODUCT(MAX((Bookings!$C$5:$C$404=B203)*(Bookings!$AM$5:$AM$404="Completed")*Bookings!$I$5:$I$404))))</f>
        <v>0</v>
      </c>
      <c r="AC203" s="31">
        <f>IF(AB203="","",TODAY()-AB203)</f>
        <v>0</v>
      </c>
      <c r="AD203" s="21">
        <f>IF(B203="","",IF(COUNTIFS(Bookings!$C$5:$C$404,B203,Bookings!$I$5:$I$404,"&gt;="&amp;TODAY(),Bookings!$AM$5:$AM$404,"&lt;&gt;Cancelled")=0,"",SUMPRODUCT(MIN(((Bookings!$C$5:$C$404=B203)*(Bookings!$I$5:$I$404&gt;=TODAY())*(Bookings!$AM$5:$AM$404&lt;&gt;"Cancelled"))*Bookings!$I$5:$I$404+(1-((Bookings!$C$5:$C$404=B203)*(Bookings!$I$5:$I$404&gt;=TODAY())*(Bookings!$AM$5:$AM$404&lt;&gt;"Cancelled")))*2958465))))</f>
        <v>0</v>
      </c>
      <c r="AE203" s="29">
        <f>IF(B203="","",SUMIFS(Payments!$L$5:$L$304,Payments!$C$5:$C$304,B203))</f>
        <v>0</v>
      </c>
      <c r="AF203" s="29">
        <f>IF(B203="","",SUMIFS(Invoices!$O$5:$O$304,Invoices!$D$5:$D$304,B203,Invoices!$T$5:$T$304,"&lt;&gt;Draft"))</f>
        <v>0</v>
      </c>
      <c r="AG203" s="29">
        <f>IF(B203="","",SUMIFS(Invoices!$S$5:$S$304,Invoices!$D$5:$D$304,B203,Invoices!$T$5:$T$304,"&lt;&gt;Cancelled"))</f>
        <v>0</v>
      </c>
      <c r="AH203" s="29">
        <f>IF(OR(Z203="",Z203=0),"",SUMIFS(Bookings!$AK$5:$AK$404,Bookings!$C$5:$C$404,B203,Bookings!$AM$5:$AM$404,"&lt;&gt;Cancelled")/Z203)</f>
        <v>0</v>
      </c>
      <c r="AI203" s="49">
        <f>IF(B203="","",IF(Z203&gt;=LoyaltyThreshold,"Loyalty discount","Standard"))</f>
        <v>0</v>
      </c>
      <c r="AJ203" s="49">
        <f>IF(B203="","",IF(COUNTIF(Clients!$B$5:$B$254,B203)&gt;1,"Duplicate name",IF(AND(C203&lt;&gt;"",COUNTIF(Clients!$C$5:$C$254,C203)&gt;1),"Duplicate phone","OK")))</f>
        <v>0</v>
      </c>
      <c r="AK203" s="49">
        <f>IF(B203="","",IF(AND(C203&lt;&gt;"",D203&lt;&gt;"",L203&lt;&gt;"",M203&lt;&gt;""),"OK","Add: "&amp;IF(C203="","phone ","")&amp;IF(D203="","email ","")&amp;IF(L203="","date ","")&amp;IF(M203="","status","")))</f>
        <v>0</v>
      </c>
      <c r="AL203" s="49">
        <f>IF(B203="","",IF(AG203&gt;0.5,"Overdue - chase payment",IF(AND(M203="Active",ISNUMBER(AC203),AC203&gt;InactiveDays),"Inactive - win back",IF(AND(M203="Active",S203&lt;&gt;"Signed"),"Action - contract not signed",IF(AND(M203="Prospective",AD203=""),"Action - follow up quote","OK")))))</f>
        <v>0</v>
      </c>
    </row>
    <row r="204" spans="1:38">
      <c r="A204" s="46">
        <f>IF(B204="","",ClientPrefix&amp;TEXT(ROW()-4,"0000"))</f>
        <v>0</v>
      </c>
      <c r="Y204" s="31">
        <f>IF(B204="","",COUNTIF(Pets!$C$5:$C$254,B204))</f>
        <v>0</v>
      </c>
      <c r="Z204" s="31">
        <f>IF(B204="","",COUNTIFS(Bookings!$C$5:$C$404,B204))</f>
        <v>0</v>
      </c>
      <c r="AA204" s="31">
        <f>IF(B204="","",COUNTIFS('Visit Log'!$D$5:$D$404,B204,'Visit Log'!$AE$5:$AE$404,"Completed"))</f>
        <v>0</v>
      </c>
      <c r="AB204" s="21">
        <f>IF(B204="","",IF(SUMPRODUCT(MAX((Bookings!$C$5:$C$404=B204)*(Bookings!$AM$5:$AM$404="Completed")*Bookings!$I$5:$I$404))=0,"",SUMPRODUCT(MAX((Bookings!$C$5:$C$404=B204)*(Bookings!$AM$5:$AM$404="Completed")*Bookings!$I$5:$I$404))))</f>
        <v>0</v>
      </c>
      <c r="AC204" s="31">
        <f>IF(AB204="","",TODAY()-AB204)</f>
        <v>0</v>
      </c>
      <c r="AD204" s="21">
        <f>IF(B204="","",IF(COUNTIFS(Bookings!$C$5:$C$404,B204,Bookings!$I$5:$I$404,"&gt;="&amp;TODAY(),Bookings!$AM$5:$AM$404,"&lt;&gt;Cancelled")=0,"",SUMPRODUCT(MIN(((Bookings!$C$5:$C$404=B204)*(Bookings!$I$5:$I$404&gt;=TODAY())*(Bookings!$AM$5:$AM$404&lt;&gt;"Cancelled"))*Bookings!$I$5:$I$404+(1-((Bookings!$C$5:$C$404=B204)*(Bookings!$I$5:$I$404&gt;=TODAY())*(Bookings!$AM$5:$AM$404&lt;&gt;"Cancelled")))*2958465))))</f>
        <v>0</v>
      </c>
      <c r="AE204" s="29">
        <f>IF(B204="","",SUMIFS(Payments!$L$5:$L$304,Payments!$C$5:$C$304,B204))</f>
        <v>0</v>
      </c>
      <c r="AF204" s="29">
        <f>IF(B204="","",SUMIFS(Invoices!$O$5:$O$304,Invoices!$D$5:$D$304,B204,Invoices!$T$5:$T$304,"&lt;&gt;Draft"))</f>
        <v>0</v>
      </c>
      <c r="AG204" s="29">
        <f>IF(B204="","",SUMIFS(Invoices!$S$5:$S$304,Invoices!$D$5:$D$304,B204,Invoices!$T$5:$T$304,"&lt;&gt;Cancelled"))</f>
        <v>0</v>
      </c>
      <c r="AH204" s="29">
        <f>IF(OR(Z204="",Z204=0),"",SUMIFS(Bookings!$AK$5:$AK$404,Bookings!$C$5:$C$404,B204,Bookings!$AM$5:$AM$404,"&lt;&gt;Cancelled")/Z204)</f>
        <v>0</v>
      </c>
      <c r="AI204" s="49">
        <f>IF(B204="","",IF(Z204&gt;=LoyaltyThreshold,"Loyalty discount","Standard"))</f>
        <v>0</v>
      </c>
      <c r="AJ204" s="49">
        <f>IF(B204="","",IF(COUNTIF(Clients!$B$5:$B$254,B204)&gt;1,"Duplicate name",IF(AND(C204&lt;&gt;"",COUNTIF(Clients!$C$5:$C$254,C204)&gt;1),"Duplicate phone","OK")))</f>
        <v>0</v>
      </c>
      <c r="AK204" s="49">
        <f>IF(B204="","",IF(AND(C204&lt;&gt;"",D204&lt;&gt;"",L204&lt;&gt;"",M204&lt;&gt;""),"OK","Add: "&amp;IF(C204="","phone ","")&amp;IF(D204="","email ","")&amp;IF(L204="","date ","")&amp;IF(M204="","status","")))</f>
        <v>0</v>
      </c>
      <c r="AL204" s="49">
        <f>IF(B204="","",IF(AG204&gt;0.5,"Overdue - chase payment",IF(AND(M204="Active",ISNUMBER(AC204),AC204&gt;InactiveDays),"Inactive - win back",IF(AND(M204="Active",S204&lt;&gt;"Signed"),"Action - contract not signed",IF(AND(M204="Prospective",AD204=""),"Action - follow up quote","OK")))))</f>
        <v>0</v>
      </c>
    </row>
    <row r="205" spans="1:38">
      <c r="A205" s="46">
        <f>IF(B205="","",ClientPrefix&amp;TEXT(ROW()-4,"0000"))</f>
        <v>0</v>
      </c>
      <c r="Y205" s="31">
        <f>IF(B205="","",COUNTIF(Pets!$C$5:$C$254,B205))</f>
        <v>0</v>
      </c>
      <c r="Z205" s="31">
        <f>IF(B205="","",COUNTIFS(Bookings!$C$5:$C$404,B205))</f>
        <v>0</v>
      </c>
      <c r="AA205" s="31">
        <f>IF(B205="","",COUNTIFS('Visit Log'!$D$5:$D$404,B205,'Visit Log'!$AE$5:$AE$404,"Completed"))</f>
        <v>0</v>
      </c>
      <c r="AB205" s="21">
        <f>IF(B205="","",IF(SUMPRODUCT(MAX((Bookings!$C$5:$C$404=B205)*(Bookings!$AM$5:$AM$404="Completed")*Bookings!$I$5:$I$404))=0,"",SUMPRODUCT(MAX((Bookings!$C$5:$C$404=B205)*(Bookings!$AM$5:$AM$404="Completed")*Bookings!$I$5:$I$404))))</f>
        <v>0</v>
      </c>
      <c r="AC205" s="31">
        <f>IF(AB205="","",TODAY()-AB205)</f>
        <v>0</v>
      </c>
      <c r="AD205" s="21">
        <f>IF(B205="","",IF(COUNTIFS(Bookings!$C$5:$C$404,B205,Bookings!$I$5:$I$404,"&gt;="&amp;TODAY(),Bookings!$AM$5:$AM$404,"&lt;&gt;Cancelled")=0,"",SUMPRODUCT(MIN(((Bookings!$C$5:$C$404=B205)*(Bookings!$I$5:$I$404&gt;=TODAY())*(Bookings!$AM$5:$AM$404&lt;&gt;"Cancelled"))*Bookings!$I$5:$I$404+(1-((Bookings!$C$5:$C$404=B205)*(Bookings!$I$5:$I$404&gt;=TODAY())*(Bookings!$AM$5:$AM$404&lt;&gt;"Cancelled")))*2958465))))</f>
        <v>0</v>
      </c>
      <c r="AE205" s="29">
        <f>IF(B205="","",SUMIFS(Payments!$L$5:$L$304,Payments!$C$5:$C$304,B205))</f>
        <v>0</v>
      </c>
      <c r="AF205" s="29">
        <f>IF(B205="","",SUMIFS(Invoices!$O$5:$O$304,Invoices!$D$5:$D$304,B205,Invoices!$T$5:$T$304,"&lt;&gt;Draft"))</f>
        <v>0</v>
      </c>
      <c r="AG205" s="29">
        <f>IF(B205="","",SUMIFS(Invoices!$S$5:$S$304,Invoices!$D$5:$D$304,B205,Invoices!$T$5:$T$304,"&lt;&gt;Cancelled"))</f>
        <v>0</v>
      </c>
      <c r="AH205" s="29">
        <f>IF(OR(Z205="",Z205=0),"",SUMIFS(Bookings!$AK$5:$AK$404,Bookings!$C$5:$C$404,B205,Bookings!$AM$5:$AM$404,"&lt;&gt;Cancelled")/Z205)</f>
        <v>0</v>
      </c>
      <c r="AI205" s="49">
        <f>IF(B205="","",IF(Z205&gt;=LoyaltyThreshold,"Loyalty discount","Standard"))</f>
        <v>0</v>
      </c>
      <c r="AJ205" s="49">
        <f>IF(B205="","",IF(COUNTIF(Clients!$B$5:$B$254,B205)&gt;1,"Duplicate name",IF(AND(C205&lt;&gt;"",COUNTIF(Clients!$C$5:$C$254,C205)&gt;1),"Duplicate phone","OK")))</f>
        <v>0</v>
      </c>
      <c r="AK205" s="49">
        <f>IF(B205="","",IF(AND(C205&lt;&gt;"",D205&lt;&gt;"",L205&lt;&gt;"",M205&lt;&gt;""),"OK","Add: "&amp;IF(C205="","phone ","")&amp;IF(D205="","email ","")&amp;IF(L205="","date ","")&amp;IF(M205="","status","")))</f>
        <v>0</v>
      </c>
      <c r="AL205" s="49">
        <f>IF(B205="","",IF(AG205&gt;0.5,"Overdue - chase payment",IF(AND(M205="Active",ISNUMBER(AC205),AC205&gt;InactiveDays),"Inactive - win back",IF(AND(M205="Active",S205&lt;&gt;"Signed"),"Action - contract not signed",IF(AND(M205="Prospective",AD205=""),"Action - follow up quote","OK")))))</f>
        <v>0</v>
      </c>
    </row>
    <row r="206" spans="1:38">
      <c r="A206" s="46">
        <f>IF(B206="","",ClientPrefix&amp;TEXT(ROW()-4,"0000"))</f>
        <v>0</v>
      </c>
      <c r="Y206" s="31">
        <f>IF(B206="","",COUNTIF(Pets!$C$5:$C$254,B206))</f>
        <v>0</v>
      </c>
      <c r="Z206" s="31">
        <f>IF(B206="","",COUNTIFS(Bookings!$C$5:$C$404,B206))</f>
        <v>0</v>
      </c>
      <c r="AA206" s="31">
        <f>IF(B206="","",COUNTIFS('Visit Log'!$D$5:$D$404,B206,'Visit Log'!$AE$5:$AE$404,"Completed"))</f>
        <v>0</v>
      </c>
      <c r="AB206" s="21">
        <f>IF(B206="","",IF(SUMPRODUCT(MAX((Bookings!$C$5:$C$404=B206)*(Bookings!$AM$5:$AM$404="Completed")*Bookings!$I$5:$I$404))=0,"",SUMPRODUCT(MAX((Bookings!$C$5:$C$404=B206)*(Bookings!$AM$5:$AM$404="Completed")*Bookings!$I$5:$I$404))))</f>
        <v>0</v>
      </c>
      <c r="AC206" s="31">
        <f>IF(AB206="","",TODAY()-AB206)</f>
        <v>0</v>
      </c>
      <c r="AD206" s="21">
        <f>IF(B206="","",IF(COUNTIFS(Bookings!$C$5:$C$404,B206,Bookings!$I$5:$I$404,"&gt;="&amp;TODAY(),Bookings!$AM$5:$AM$404,"&lt;&gt;Cancelled")=0,"",SUMPRODUCT(MIN(((Bookings!$C$5:$C$404=B206)*(Bookings!$I$5:$I$404&gt;=TODAY())*(Bookings!$AM$5:$AM$404&lt;&gt;"Cancelled"))*Bookings!$I$5:$I$404+(1-((Bookings!$C$5:$C$404=B206)*(Bookings!$I$5:$I$404&gt;=TODAY())*(Bookings!$AM$5:$AM$404&lt;&gt;"Cancelled")))*2958465))))</f>
        <v>0</v>
      </c>
      <c r="AE206" s="29">
        <f>IF(B206="","",SUMIFS(Payments!$L$5:$L$304,Payments!$C$5:$C$304,B206))</f>
        <v>0</v>
      </c>
      <c r="AF206" s="29">
        <f>IF(B206="","",SUMIFS(Invoices!$O$5:$O$304,Invoices!$D$5:$D$304,B206,Invoices!$T$5:$T$304,"&lt;&gt;Draft"))</f>
        <v>0</v>
      </c>
      <c r="AG206" s="29">
        <f>IF(B206="","",SUMIFS(Invoices!$S$5:$S$304,Invoices!$D$5:$D$304,B206,Invoices!$T$5:$T$304,"&lt;&gt;Cancelled"))</f>
        <v>0</v>
      </c>
      <c r="AH206" s="29">
        <f>IF(OR(Z206="",Z206=0),"",SUMIFS(Bookings!$AK$5:$AK$404,Bookings!$C$5:$C$404,B206,Bookings!$AM$5:$AM$404,"&lt;&gt;Cancelled")/Z206)</f>
        <v>0</v>
      </c>
      <c r="AI206" s="49">
        <f>IF(B206="","",IF(Z206&gt;=LoyaltyThreshold,"Loyalty discount","Standard"))</f>
        <v>0</v>
      </c>
      <c r="AJ206" s="49">
        <f>IF(B206="","",IF(COUNTIF(Clients!$B$5:$B$254,B206)&gt;1,"Duplicate name",IF(AND(C206&lt;&gt;"",COUNTIF(Clients!$C$5:$C$254,C206)&gt;1),"Duplicate phone","OK")))</f>
        <v>0</v>
      </c>
      <c r="AK206" s="49">
        <f>IF(B206="","",IF(AND(C206&lt;&gt;"",D206&lt;&gt;"",L206&lt;&gt;"",M206&lt;&gt;""),"OK","Add: "&amp;IF(C206="","phone ","")&amp;IF(D206="","email ","")&amp;IF(L206="","date ","")&amp;IF(M206="","status","")))</f>
        <v>0</v>
      </c>
      <c r="AL206" s="49">
        <f>IF(B206="","",IF(AG206&gt;0.5,"Overdue - chase payment",IF(AND(M206="Active",ISNUMBER(AC206),AC206&gt;InactiveDays),"Inactive - win back",IF(AND(M206="Active",S206&lt;&gt;"Signed"),"Action - contract not signed",IF(AND(M206="Prospective",AD206=""),"Action - follow up quote","OK")))))</f>
        <v>0</v>
      </c>
    </row>
    <row r="207" spans="1:38">
      <c r="A207" s="46">
        <f>IF(B207="","",ClientPrefix&amp;TEXT(ROW()-4,"0000"))</f>
        <v>0</v>
      </c>
      <c r="Y207" s="31">
        <f>IF(B207="","",COUNTIF(Pets!$C$5:$C$254,B207))</f>
        <v>0</v>
      </c>
      <c r="Z207" s="31">
        <f>IF(B207="","",COUNTIFS(Bookings!$C$5:$C$404,B207))</f>
        <v>0</v>
      </c>
      <c r="AA207" s="31">
        <f>IF(B207="","",COUNTIFS('Visit Log'!$D$5:$D$404,B207,'Visit Log'!$AE$5:$AE$404,"Completed"))</f>
        <v>0</v>
      </c>
      <c r="AB207" s="21">
        <f>IF(B207="","",IF(SUMPRODUCT(MAX((Bookings!$C$5:$C$404=B207)*(Bookings!$AM$5:$AM$404="Completed")*Bookings!$I$5:$I$404))=0,"",SUMPRODUCT(MAX((Bookings!$C$5:$C$404=B207)*(Bookings!$AM$5:$AM$404="Completed")*Bookings!$I$5:$I$404))))</f>
        <v>0</v>
      </c>
      <c r="AC207" s="31">
        <f>IF(AB207="","",TODAY()-AB207)</f>
        <v>0</v>
      </c>
      <c r="AD207" s="21">
        <f>IF(B207="","",IF(COUNTIFS(Bookings!$C$5:$C$404,B207,Bookings!$I$5:$I$404,"&gt;="&amp;TODAY(),Bookings!$AM$5:$AM$404,"&lt;&gt;Cancelled")=0,"",SUMPRODUCT(MIN(((Bookings!$C$5:$C$404=B207)*(Bookings!$I$5:$I$404&gt;=TODAY())*(Bookings!$AM$5:$AM$404&lt;&gt;"Cancelled"))*Bookings!$I$5:$I$404+(1-((Bookings!$C$5:$C$404=B207)*(Bookings!$I$5:$I$404&gt;=TODAY())*(Bookings!$AM$5:$AM$404&lt;&gt;"Cancelled")))*2958465))))</f>
        <v>0</v>
      </c>
      <c r="AE207" s="29">
        <f>IF(B207="","",SUMIFS(Payments!$L$5:$L$304,Payments!$C$5:$C$304,B207))</f>
        <v>0</v>
      </c>
      <c r="AF207" s="29">
        <f>IF(B207="","",SUMIFS(Invoices!$O$5:$O$304,Invoices!$D$5:$D$304,B207,Invoices!$T$5:$T$304,"&lt;&gt;Draft"))</f>
        <v>0</v>
      </c>
      <c r="AG207" s="29">
        <f>IF(B207="","",SUMIFS(Invoices!$S$5:$S$304,Invoices!$D$5:$D$304,B207,Invoices!$T$5:$T$304,"&lt;&gt;Cancelled"))</f>
        <v>0</v>
      </c>
      <c r="AH207" s="29">
        <f>IF(OR(Z207="",Z207=0),"",SUMIFS(Bookings!$AK$5:$AK$404,Bookings!$C$5:$C$404,B207,Bookings!$AM$5:$AM$404,"&lt;&gt;Cancelled")/Z207)</f>
        <v>0</v>
      </c>
      <c r="AI207" s="49">
        <f>IF(B207="","",IF(Z207&gt;=LoyaltyThreshold,"Loyalty discount","Standard"))</f>
        <v>0</v>
      </c>
      <c r="AJ207" s="49">
        <f>IF(B207="","",IF(COUNTIF(Clients!$B$5:$B$254,B207)&gt;1,"Duplicate name",IF(AND(C207&lt;&gt;"",COUNTIF(Clients!$C$5:$C$254,C207)&gt;1),"Duplicate phone","OK")))</f>
        <v>0</v>
      </c>
      <c r="AK207" s="49">
        <f>IF(B207="","",IF(AND(C207&lt;&gt;"",D207&lt;&gt;"",L207&lt;&gt;"",M207&lt;&gt;""),"OK","Add: "&amp;IF(C207="","phone ","")&amp;IF(D207="","email ","")&amp;IF(L207="","date ","")&amp;IF(M207="","status","")))</f>
        <v>0</v>
      </c>
      <c r="AL207" s="49">
        <f>IF(B207="","",IF(AG207&gt;0.5,"Overdue - chase payment",IF(AND(M207="Active",ISNUMBER(AC207),AC207&gt;InactiveDays),"Inactive - win back",IF(AND(M207="Active",S207&lt;&gt;"Signed"),"Action - contract not signed",IF(AND(M207="Prospective",AD207=""),"Action - follow up quote","OK")))))</f>
        <v>0</v>
      </c>
    </row>
    <row r="208" spans="1:38">
      <c r="A208" s="46">
        <f>IF(B208="","",ClientPrefix&amp;TEXT(ROW()-4,"0000"))</f>
        <v>0</v>
      </c>
      <c r="Y208" s="31">
        <f>IF(B208="","",COUNTIF(Pets!$C$5:$C$254,B208))</f>
        <v>0</v>
      </c>
      <c r="Z208" s="31">
        <f>IF(B208="","",COUNTIFS(Bookings!$C$5:$C$404,B208))</f>
        <v>0</v>
      </c>
      <c r="AA208" s="31">
        <f>IF(B208="","",COUNTIFS('Visit Log'!$D$5:$D$404,B208,'Visit Log'!$AE$5:$AE$404,"Completed"))</f>
        <v>0</v>
      </c>
      <c r="AB208" s="21">
        <f>IF(B208="","",IF(SUMPRODUCT(MAX((Bookings!$C$5:$C$404=B208)*(Bookings!$AM$5:$AM$404="Completed")*Bookings!$I$5:$I$404))=0,"",SUMPRODUCT(MAX((Bookings!$C$5:$C$404=B208)*(Bookings!$AM$5:$AM$404="Completed")*Bookings!$I$5:$I$404))))</f>
        <v>0</v>
      </c>
      <c r="AC208" s="31">
        <f>IF(AB208="","",TODAY()-AB208)</f>
        <v>0</v>
      </c>
      <c r="AD208" s="21">
        <f>IF(B208="","",IF(COUNTIFS(Bookings!$C$5:$C$404,B208,Bookings!$I$5:$I$404,"&gt;="&amp;TODAY(),Bookings!$AM$5:$AM$404,"&lt;&gt;Cancelled")=0,"",SUMPRODUCT(MIN(((Bookings!$C$5:$C$404=B208)*(Bookings!$I$5:$I$404&gt;=TODAY())*(Bookings!$AM$5:$AM$404&lt;&gt;"Cancelled"))*Bookings!$I$5:$I$404+(1-((Bookings!$C$5:$C$404=B208)*(Bookings!$I$5:$I$404&gt;=TODAY())*(Bookings!$AM$5:$AM$404&lt;&gt;"Cancelled")))*2958465))))</f>
        <v>0</v>
      </c>
      <c r="AE208" s="29">
        <f>IF(B208="","",SUMIFS(Payments!$L$5:$L$304,Payments!$C$5:$C$304,B208))</f>
        <v>0</v>
      </c>
      <c r="AF208" s="29">
        <f>IF(B208="","",SUMIFS(Invoices!$O$5:$O$304,Invoices!$D$5:$D$304,B208,Invoices!$T$5:$T$304,"&lt;&gt;Draft"))</f>
        <v>0</v>
      </c>
      <c r="AG208" s="29">
        <f>IF(B208="","",SUMIFS(Invoices!$S$5:$S$304,Invoices!$D$5:$D$304,B208,Invoices!$T$5:$T$304,"&lt;&gt;Cancelled"))</f>
        <v>0</v>
      </c>
      <c r="AH208" s="29">
        <f>IF(OR(Z208="",Z208=0),"",SUMIFS(Bookings!$AK$5:$AK$404,Bookings!$C$5:$C$404,B208,Bookings!$AM$5:$AM$404,"&lt;&gt;Cancelled")/Z208)</f>
        <v>0</v>
      </c>
      <c r="AI208" s="49">
        <f>IF(B208="","",IF(Z208&gt;=LoyaltyThreshold,"Loyalty discount","Standard"))</f>
        <v>0</v>
      </c>
      <c r="AJ208" s="49">
        <f>IF(B208="","",IF(COUNTIF(Clients!$B$5:$B$254,B208)&gt;1,"Duplicate name",IF(AND(C208&lt;&gt;"",COUNTIF(Clients!$C$5:$C$254,C208)&gt;1),"Duplicate phone","OK")))</f>
        <v>0</v>
      </c>
      <c r="AK208" s="49">
        <f>IF(B208="","",IF(AND(C208&lt;&gt;"",D208&lt;&gt;"",L208&lt;&gt;"",M208&lt;&gt;""),"OK","Add: "&amp;IF(C208="","phone ","")&amp;IF(D208="","email ","")&amp;IF(L208="","date ","")&amp;IF(M208="","status","")))</f>
        <v>0</v>
      </c>
      <c r="AL208" s="49">
        <f>IF(B208="","",IF(AG208&gt;0.5,"Overdue - chase payment",IF(AND(M208="Active",ISNUMBER(AC208),AC208&gt;InactiveDays),"Inactive - win back",IF(AND(M208="Active",S208&lt;&gt;"Signed"),"Action - contract not signed",IF(AND(M208="Prospective",AD208=""),"Action - follow up quote","OK")))))</f>
        <v>0</v>
      </c>
    </row>
    <row r="209" spans="1:38">
      <c r="A209" s="46">
        <f>IF(B209="","",ClientPrefix&amp;TEXT(ROW()-4,"0000"))</f>
        <v>0</v>
      </c>
      <c r="Y209" s="31">
        <f>IF(B209="","",COUNTIF(Pets!$C$5:$C$254,B209))</f>
        <v>0</v>
      </c>
      <c r="Z209" s="31">
        <f>IF(B209="","",COUNTIFS(Bookings!$C$5:$C$404,B209))</f>
        <v>0</v>
      </c>
      <c r="AA209" s="31">
        <f>IF(B209="","",COUNTIFS('Visit Log'!$D$5:$D$404,B209,'Visit Log'!$AE$5:$AE$404,"Completed"))</f>
        <v>0</v>
      </c>
      <c r="AB209" s="21">
        <f>IF(B209="","",IF(SUMPRODUCT(MAX((Bookings!$C$5:$C$404=B209)*(Bookings!$AM$5:$AM$404="Completed")*Bookings!$I$5:$I$404))=0,"",SUMPRODUCT(MAX((Bookings!$C$5:$C$404=B209)*(Bookings!$AM$5:$AM$404="Completed")*Bookings!$I$5:$I$404))))</f>
        <v>0</v>
      </c>
      <c r="AC209" s="31">
        <f>IF(AB209="","",TODAY()-AB209)</f>
        <v>0</v>
      </c>
      <c r="AD209" s="21">
        <f>IF(B209="","",IF(COUNTIFS(Bookings!$C$5:$C$404,B209,Bookings!$I$5:$I$404,"&gt;="&amp;TODAY(),Bookings!$AM$5:$AM$404,"&lt;&gt;Cancelled")=0,"",SUMPRODUCT(MIN(((Bookings!$C$5:$C$404=B209)*(Bookings!$I$5:$I$404&gt;=TODAY())*(Bookings!$AM$5:$AM$404&lt;&gt;"Cancelled"))*Bookings!$I$5:$I$404+(1-((Bookings!$C$5:$C$404=B209)*(Bookings!$I$5:$I$404&gt;=TODAY())*(Bookings!$AM$5:$AM$404&lt;&gt;"Cancelled")))*2958465))))</f>
        <v>0</v>
      </c>
      <c r="AE209" s="29">
        <f>IF(B209="","",SUMIFS(Payments!$L$5:$L$304,Payments!$C$5:$C$304,B209))</f>
        <v>0</v>
      </c>
      <c r="AF209" s="29">
        <f>IF(B209="","",SUMIFS(Invoices!$O$5:$O$304,Invoices!$D$5:$D$304,B209,Invoices!$T$5:$T$304,"&lt;&gt;Draft"))</f>
        <v>0</v>
      </c>
      <c r="AG209" s="29">
        <f>IF(B209="","",SUMIFS(Invoices!$S$5:$S$304,Invoices!$D$5:$D$304,B209,Invoices!$T$5:$T$304,"&lt;&gt;Cancelled"))</f>
        <v>0</v>
      </c>
      <c r="AH209" s="29">
        <f>IF(OR(Z209="",Z209=0),"",SUMIFS(Bookings!$AK$5:$AK$404,Bookings!$C$5:$C$404,B209,Bookings!$AM$5:$AM$404,"&lt;&gt;Cancelled")/Z209)</f>
        <v>0</v>
      </c>
      <c r="AI209" s="49">
        <f>IF(B209="","",IF(Z209&gt;=LoyaltyThreshold,"Loyalty discount","Standard"))</f>
        <v>0</v>
      </c>
      <c r="AJ209" s="49">
        <f>IF(B209="","",IF(COUNTIF(Clients!$B$5:$B$254,B209)&gt;1,"Duplicate name",IF(AND(C209&lt;&gt;"",COUNTIF(Clients!$C$5:$C$254,C209)&gt;1),"Duplicate phone","OK")))</f>
        <v>0</v>
      </c>
      <c r="AK209" s="49">
        <f>IF(B209="","",IF(AND(C209&lt;&gt;"",D209&lt;&gt;"",L209&lt;&gt;"",M209&lt;&gt;""),"OK","Add: "&amp;IF(C209="","phone ","")&amp;IF(D209="","email ","")&amp;IF(L209="","date ","")&amp;IF(M209="","status","")))</f>
        <v>0</v>
      </c>
      <c r="AL209" s="49">
        <f>IF(B209="","",IF(AG209&gt;0.5,"Overdue - chase payment",IF(AND(M209="Active",ISNUMBER(AC209),AC209&gt;InactiveDays),"Inactive - win back",IF(AND(M209="Active",S209&lt;&gt;"Signed"),"Action - contract not signed",IF(AND(M209="Prospective",AD209=""),"Action - follow up quote","OK")))))</f>
        <v>0</v>
      </c>
    </row>
    <row r="210" spans="1:38">
      <c r="A210" s="46">
        <f>IF(B210="","",ClientPrefix&amp;TEXT(ROW()-4,"0000"))</f>
        <v>0</v>
      </c>
      <c r="Y210" s="31">
        <f>IF(B210="","",COUNTIF(Pets!$C$5:$C$254,B210))</f>
        <v>0</v>
      </c>
      <c r="Z210" s="31">
        <f>IF(B210="","",COUNTIFS(Bookings!$C$5:$C$404,B210))</f>
        <v>0</v>
      </c>
      <c r="AA210" s="31">
        <f>IF(B210="","",COUNTIFS('Visit Log'!$D$5:$D$404,B210,'Visit Log'!$AE$5:$AE$404,"Completed"))</f>
        <v>0</v>
      </c>
      <c r="AB210" s="21">
        <f>IF(B210="","",IF(SUMPRODUCT(MAX((Bookings!$C$5:$C$404=B210)*(Bookings!$AM$5:$AM$404="Completed")*Bookings!$I$5:$I$404))=0,"",SUMPRODUCT(MAX((Bookings!$C$5:$C$404=B210)*(Bookings!$AM$5:$AM$404="Completed")*Bookings!$I$5:$I$404))))</f>
        <v>0</v>
      </c>
      <c r="AC210" s="31">
        <f>IF(AB210="","",TODAY()-AB210)</f>
        <v>0</v>
      </c>
      <c r="AD210" s="21">
        <f>IF(B210="","",IF(COUNTIFS(Bookings!$C$5:$C$404,B210,Bookings!$I$5:$I$404,"&gt;="&amp;TODAY(),Bookings!$AM$5:$AM$404,"&lt;&gt;Cancelled")=0,"",SUMPRODUCT(MIN(((Bookings!$C$5:$C$404=B210)*(Bookings!$I$5:$I$404&gt;=TODAY())*(Bookings!$AM$5:$AM$404&lt;&gt;"Cancelled"))*Bookings!$I$5:$I$404+(1-((Bookings!$C$5:$C$404=B210)*(Bookings!$I$5:$I$404&gt;=TODAY())*(Bookings!$AM$5:$AM$404&lt;&gt;"Cancelled")))*2958465))))</f>
        <v>0</v>
      </c>
      <c r="AE210" s="29">
        <f>IF(B210="","",SUMIFS(Payments!$L$5:$L$304,Payments!$C$5:$C$304,B210))</f>
        <v>0</v>
      </c>
      <c r="AF210" s="29">
        <f>IF(B210="","",SUMIFS(Invoices!$O$5:$O$304,Invoices!$D$5:$D$304,B210,Invoices!$T$5:$T$304,"&lt;&gt;Draft"))</f>
        <v>0</v>
      </c>
      <c r="AG210" s="29">
        <f>IF(B210="","",SUMIFS(Invoices!$S$5:$S$304,Invoices!$D$5:$D$304,B210,Invoices!$T$5:$T$304,"&lt;&gt;Cancelled"))</f>
        <v>0</v>
      </c>
      <c r="AH210" s="29">
        <f>IF(OR(Z210="",Z210=0),"",SUMIFS(Bookings!$AK$5:$AK$404,Bookings!$C$5:$C$404,B210,Bookings!$AM$5:$AM$404,"&lt;&gt;Cancelled")/Z210)</f>
        <v>0</v>
      </c>
      <c r="AI210" s="49">
        <f>IF(B210="","",IF(Z210&gt;=LoyaltyThreshold,"Loyalty discount","Standard"))</f>
        <v>0</v>
      </c>
      <c r="AJ210" s="49">
        <f>IF(B210="","",IF(COUNTIF(Clients!$B$5:$B$254,B210)&gt;1,"Duplicate name",IF(AND(C210&lt;&gt;"",COUNTIF(Clients!$C$5:$C$254,C210)&gt;1),"Duplicate phone","OK")))</f>
        <v>0</v>
      </c>
      <c r="AK210" s="49">
        <f>IF(B210="","",IF(AND(C210&lt;&gt;"",D210&lt;&gt;"",L210&lt;&gt;"",M210&lt;&gt;""),"OK","Add: "&amp;IF(C210="","phone ","")&amp;IF(D210="","email ","")&amp;IF(L210="","date ","")&amp;IF(M210="","status","")))</f>
        <v>0</v>
      </c>
      <c r="AL210" s="49">
        <f>IF(B210="","",IF(AG210&gt;0.5,"Overdue - chase payment",IF(AND(M210="Active",ISNUMBER(AC210),AC210&gt;InactiveDays),"Inactive - win back",IF(AND(M210="Active",S210&lt;&gt;"Signed"),"Action - contract not signed",IF(AND(M210="Prospective",AD210=""),"Action - follow up quote","OK")))))</f>
        <v>0</v>
      </c>
    </row>
    <row r="211" spans="1:38">
      <c r="A211" s="46">
        <f>IF(B211="","",ClientPrefix&amp;TEXT(ROW()-4,"0000"))</f>
        <v>0</v>
      </c>
      <c r="Y211" s="31">
        <f>IF(B211="","",COUNTIF(Pets!$C$5:$C$254,B211))</f>
        <v>0</v>
      </c>
      <c r="Z211" s="31">
        <f>IF(B211="","",COUNTIFS(Bookings!$C$5:$C$404,B211))</f>
        <v>0</v>
      </c>
      <c r="AA211" s="31">
        <f>IF(B211="","",COUNTIFS('Visit Log'!$D$5:$D$404,B211,'Visit Log'!$AE$5:$AE$404,"Completed"))</f>
        <v>0</v>
      </c>
      <c r="AB211" s="21">
        <f>IF(B211="","",IF(SUMPRODUCT(MAX((Bookings!$C$5:$C$404=B211)*(Bookings!$AM$5:$AM$404="Completed")*Bookings!$I$5:$I$404))=0,"",SUMPRODUCT(MAX((Bookings!$C$5:$C$404=B211)*(Bookings!$AM$5:$AM$404="Completed")*Bookings!$I$5:$I$404))))</f>
        <v>0</v>
      </c>
      <c r="AC211" s="31">
        <f>IF(AB211="","",TODAY()-AB211)</f>
        <v>0</v>
      </c>
      <c r="AD211" s="21">
        <f>IF(B211="","",IF(COUNTIFS(Bookings!$C$5:$C$404,B211,Bookings!$I$5:$I$404,"&gt;="&amp;TODAY(),Bookings!$AM$5:$AM$404,"&lt;&gt;Cancelled")=0,"",SUMPRODUCT(MIN(((Bookings!$C$5:$C$404=B211)*(Bookings!$I$5:$I$404&gt;=TODAY())*(Bookings!$AM$5:$AM$404&lt;&gt;"Cancelled"))*Bookings!$I$5:$I$404+(1-((Bookings!$C$5:$C$404=B211)*(Bookings!$I$5:$I$404&gt;=TODAY())*(Bookings!$AM$5:$AM$404&lt;&gt;"Cancelled")))*2958465))))</f>
        <v>0</v>
      </c>
      <c r="AE211" s="29">
        <f>IF(B211="","",SUMIFS(Payments!$L$5:$L$304,Payments!$C$5:$C$304,B211))</f>
        <v>0</v>
      </c>
      <c r="AF211" s="29">
        <f>IF(B211="","",SUMIFS(Invoices!$O$5:$O$304,Invoices!$D$5:$D$304,B211,Invoices!$T$5:$T$304,"&lt;&gt;Draft"))</f>
        <v>0</v>
      </c>
      <c r="AG211" s="29">
        <f>IF(B211="","",SUMIFS(Invoices!$S$5:$S$304,Invoices!$D$5:$D$304,B211,Invoices!$T$5:$T$304,"&lt;&gt;Cancelled"))</f>
        <v>0</v>
      </c>
      <c r="AH211" s="29">
        <f>IF(OR(Z211="",Z211=0),"",SUMIFS(Bookings!$AK$5:$AK$404,Bookings!$C$5:$C$404,B211,Bookings!$AM$5:$AM$404,"&lt;&gt;Cancelled")/Z211)</f>
        <v>0</v>
      </c>
      <c r="AI211" s="49">
        <f>IF(B211="","",IF(Z211&gt;=LoyaltyThreshold,"Loyalty discount","Standard"))</f>
        <v>0</v>
      </c>
      <c r="AJ211" s="49">
        <f>IF(B211="","",IF(COUNTIF(Clients!$B$5:$B$254,B211)&gt;1,"Duplicate name",IF(AND(C211&lt;&gt;"",COUNTIF(Clients!$C$5:$C$254,C211)&gt;1),"Duplicate phone","OK")))</f>
        <v>0</v>
      </c>
      <c r="AK211" s="49">
        <f>IF(B211="","",IF(AND(C211&lt;&gt;"",D211&lt;&gt;"",L211&lt;&gt;"",M211&lt;&gt;""),"OK","Add: "&amp;IF(C211="","phone ","")&amp;IF(D211="","email ","")&amp;IF(L211="","date ","")&amp;IF(M211="","status","")))</f>
        <v>0</v>
      </c>
      <c r="AL211" s="49">
        <f>IF(B211="","",IF(AG211&gt;0.5,"Overdue - chase payment",IF(AND(M211="Active",ISNUMBER(AC211),AC211&gt;InactiveDays),"Inactive - win back",IF(AND(M211="Active",S211&lt;&gt;"Signed"),"Action - contract not signed",IF(AND(M211="Prospective",AD211=""),"Action - follow up quote","OK")))))</f>
        <v>0</v>
      </c>
    </row>
    <row r="212" spans="1:38">
      <c r="A212" s="46">
        <f>IF(B212="","",ClientPrefix&amp;TEXT(ROW()-4,"0000"))</f>
        <v>0</v>
      </c>
      <c r="Y212" s="31">
        <f>IF(B212="","",COUNTIF(Pets!$C$5:$C$254,B212))</f>
        <v>0</v>
      </c>
      <c r="Z212" s="31">
        <f>IF(B212="","",COUNTIFS(Bookings!$C$5:$C$404,B212))</f>
        <v>0</v>
      </c>
      <c r="AA212" s="31">
        <f>IF(B212="","",COUNTIFS('Visit Log'!$D$5:$D$404,B212,'Visit Log'!$AE$5:$AE$404,"Completed"))</f>
        <v>0</v>
      </c>
      <c r="AB212" s="21">
        <f>IF(B212="","",IF(SUMPRODUCT(MAX((Bookings!$C$5:$C$404=B212)*(Bookings!$AM$5:$AM$404="Completed")*Bookings!$I$5:$I$404))=0,"",SUMPRODUCT(MAX((Bookings!$C$5:$C$404=B212)*(Bookings!$AM$5:$AM$404="Completed")*Bookings!$I$5:$I$404))))</f>
        <v>0</v>
      </c>
      <c r="AC212" s="31">
        <f>IF(AB212="","",TODAY()-AB212)</f>
        <v>0</v>
      </c>
      <c r="AD212" s="21">
        <f>IF(B212="","",IF(COUNTIFS(Bookings!$C$5:$C$404,B212,Bookings!$I$5:$I$404,"&gt;="&amp;TODAY(),Bookings!$AM$5:$AM$404,"&lt;&gt;Cancelled")=0,"",SUMPRODUCT(MIN(((Bookings!$C$5:$C$404=B212)*(Bookings!$I$5:$I$404&gt;=TODAY())*(Bookings!$AM$5:$AM$404&lt;&gt;"Cancelled"))*Bookings!$I$5:$I$404+(1-((Bookings!$C$5:$C$404=B212)*(Bookings!$I$5:$I$404&gt;=TODAY())*(Bookings!$AM$5:$AM$404&lt;&gt;"Cancelled")))*2958465))))</f>
        <v>0</v>
      </c>
      <c r="AE212" s="29">
        <f>IF(B212="","",SUMIFS(Payments!$L$5:$L$304,Payments!$C$5:$C$304,B212))</f>
        <v>0</v>
      </c>
      <c r="AF212" s="29">
        <f>IF(B212="","",SUMIFS(Invoices!$O$5:$O$304,Invoices!$D$5:$D$304,B212,Invoices!$T$5:$T$304,"&lt;&gt;Draft"))</f>
        <v>0</v>
      </c>
      <c r="AG212" s="29">
        <f>IF(B212="","",SUMIFS(Invoices!$S$5:$S$304,Invoices!$D$5:$D$304,B212,Invoices!$T$5:$T$304,"&lt;&gt;Cancelled"))</f>
        <v>0</v>
      </c>
      <c r="AH212" s="29">
        <f>IF(OR(Z212="",Z212=0),"",SUMIFS(Bookings!$AK$5:$AK$404,Bookings!$C$5:$C$404,B212,Bookings!$AM$5:$AM$404,"&lt;&gt;Cancelled")/Z212)</f>
        <v>0</v>
      </c>
      <c r="AI212" s="49">
        <f>IF(B212="","",IF(Z212&gt;=LoyaltyThreshold,"Loyalty discount","Standard"))</f>
        <v>0</v>
      </c>
      <c r="AJ212" s="49">
        <f>IF(B212="","",IF(COUNTIF(Clients!$B$5:$B$254,B212)&gt;1,"Duplicate name",IF(AND(C212&lt;&gt;"",COUNTIF(Clients!$C$5:$C$254,C212)&gt;1),"Duplicate phone","OK")))</f>
        <v>0</v>
      </c>
      <c r="AK212" s="49">
        <f>IF(B212="","",IF(AND(C212&lt;&gt;"",D212&lt;&gt;"",L212&lt;&gt;"",M212&lt;&gt;""),"OK","Add: "&amp;IF(C212="","phone ","")&amp;IF(D212="","email ","")&amp;IF(L212="","date ","")&amp;IF(M212="","status","")))</f>
        <v>0</v>
      </c>
      <c r="AL212" s="49">
        <f>IF(B212="","",IF(AG212&gt;0.5,"Overdue - chase payment",IF(AND(M212="Active",ISNUMBER(AC212),AC212&gt;InactiveDays),"Inactive - win back",IF(AND(M212="Active",S212&lt;&gt;"Signed"),"Action - contract not signed",IF(AND(M212="Prospective",AD212=""),"Action - follow up quote","OK")))))</f>
        <v>0</v>
      </c>
    </row>
    <row r="213" spans="1:38">
      <c r="A213" s="46">
        <f>IF(B213="","",ClientPrefix&amp;TEXT(ROW()-4,"0000"))</f>
        <v>0</v>
      </c>
      <c r="Y213" s="31">
        <f>IF(B213="","",COUNTIF(Pets!$C$5:$C$254,B213))</f>
        <v>0</v>
      </c>
      <c r="Z213" s="31">
        <f>IF(B213="","",COUNTIFS(Bookings!$C$5:$C$404,B213))</f>
        <v>0</v>
      </c>
      <c r="AA213" s="31">
        <f>IF(B213="","",COUNTIFS('Visit Log'!$D$5:$D$404,B213,'Visit Log'!$AE$5:$AE$404,"Completed"))</f>
        <v>0</v>
      </c>
      <c r="AB213" s="21">
        <f>IF(B213="","",IF(SUMPRODUCT(MAX((Bookings!$C$5:$C$404=B213)*(Bookings!$AM$5:$AM$404="Completed")*Bookings!$I$5:$I$404))=0,"",SUMPRODUCT(MAX((Bookings!$C$5:$C$404=B213)*(Bookings!$AM$5:$AM$404="Completed")*Bookings!$I$5:$I$404))))</f>
        <v>0</v>
      </c>
      <c r="AC213" s="31">
        <f>IF(AB213="","",TODAY()-AB213)</f>
        <v>0</v>
      </c>
      <c r="AD213" s="21">
        <f>IF(B213="","",IF(COUNTIFS(Bookings!$C$5:$C$404,B213,Bookings!$I$5:$I$404,"&gt;="&amp;TODAY(),Bookings!$AM$5:$AM$404,"&lt;&gt;Cancelled")=0,"",SUMPRODUCT(MIN(((Bookings!$C$5:$C$404=B213)*(Bookings!$I$5:$I$404&gt;=TODAY())*(Bookings!$AM$5:$AM$404&lt;&gt;"Cancelled"))*Bookings!$I$5:$I$404+(1-((Bookings!$C$5:$C$404=B213)*(Bookings!$I$5:$I$404&gt;=TODAY())*(Bookings!$AM$5:$AM$404&lt;&gt;"Cancelled")))*2958465))))</f>
        <v>0</v>
      </c>
      <c r="AE213" s="29">
        <f>IF(B213="","",SUMIFS(Payments!$L$5:$L$304,Payments!$C$5:$C$304,B213))</f>
        <v>0</v>
      </c>
      <c r="AF213" s="29">
        <f>IF(B213="","",SUMIFS(Invoices!$O$5:$O$304,Invoices!$D$5:$D$304,B213,Invoices!$T$5:$T$304,"&lt;&gt;Draft"))</f>
        <v>0</v>
      </c>
      <c r="AG213" s="29">
        <f>IF(B213="","",SUMIFS(Invoices!$S$5:$S$304,Invoices!$D$5:$D$304,B213,Invoices!$T$5:$T$304,"&lt;&gt;Cancelled"))</f>
        <v>0</v>
      </c>
      <c r="AH213" s="29">
        <f>IF(OR(Z213="",Z213=0),"",SUMIFS(Bookings!$AK$5:$AK$404,Bookings!$C$5:$C$404,B213,Bookings!$AM$5:$AM$404,"&lt;&gt;Cancelled")/Z213)</f>
        <v>0</v>
      </c>
      <c r="AI213" s="49">
        <f>IF(B213="","",IF(Z213&gt;=LoyaltyThreshold,"Loyalty discount","Standard"))</f>
        <v>0</v>
      </c>
      <c r="AJ213" s="49">
        <f>IF(B213="","",IF(COUNTIF(Clients!$B$5:$B$254,B213)&gt;1,"Duplicate name",IF(AND(C213&lt;&gt;"",COUNTIF(Clients!$C$5:$C$254,C213)&gt;1),"Duplicate phone","OK")))</f>
        <v>0</v>
      </c>
      <c r="AK213" s="49">
        <f>IF(B213="","",IF(AND(C213&lt;&gt;"",D213&lt;&gt;"",L213&lt;&gt;"",M213&lt;&gt;""),"OK","Add: "&amp;IF(C213="","phone ","")&amp;IF(D213="","email ","")&amp;IF(L213="","date ","")&amp;IF(M213="","status","")))</f>
        <v>0</v>
      </c>
      <c r="AL213" s="49">
        <f>IF(B213="","",IF(AG213&gt;0.5,"Overdue - chase payment",IF(AND(M213="Active",ISNUMBER(AC213),AC213&gt;InactiveDays),"Inactive - win back",IF(AND(M213="Active",S213&lt;&gt;"Signed"),"Action - contract not signed",IF(AND(M213="Prospective",AD213=""),"Action - follow up quote","OK")))))</f>
        <v>0</v>
      </c>
    </row>
    <row r="214" spans="1:38">
      <c r="A214" s="46">
        <f>IF(B214="","",ClientPrefix&amp;TEXT(ROW()-4,"0000"))</f>
        <v>0</v>
      </c>
      <c r="Y214" s="31">
        <f>IF(B214="","",COUNTIF(Pets!$C$5:$C$254,B214))</f>
        <v>0</v>
      </c>
      <c r="Z214" s="31">
        <f>IF(B214="","",COUNTIFS(Bookings!$C$5:$C$404,B214))</f>
        <v>0</v>
      </c>
      <c r="AA214" s="31">
        <f>IF(B214="","",COUNTIFS('Visit Log'!$D$5:$D$404,B214,'Visit Log'!$AE$5:$AE$404,"Completed"))</f>
        <v>0</v>
      </c>
      <c r="AB214" s="21">
        <f>IF(B214="","",IF(SUMPRODUCT(MAX((Bookings!$C$5:$C$404=B214)*(Bookings!$AM$5:$AM$404="Completed")*Bookings!$I$5:$I$404))=0,"",SUMPRODUCT(MAX((Bookings!$C$5:$C$404=B214)*(Bookings!$AM$5:$AM$404="Completed")*Bookings!$I$5:$I$404))))</f>
        <v>0</v>
      </c>
      <c r="AC214" s="31">
        <f>IF(AB214="","",TODAY()-AB214)</f>
        <v>0</v>
      </c>
      <c r="AD214" s="21">
        <f>IF(B214="","",IF(COUNTIFS(Bookings!$C$5:$C$404,B214,Bookings!$I$5:$I$404,"&gt;="&amp;TODAY(),Bookings!$AM$5:$AM$404,"&lt;&gt;Cancelled")=0,"",SUMPRODUCT(MIN(((Bookings!$C$5:$C$404=B214)*(Bookings!$I$5:$I$404&gt;=TODAY())*(Bookings!$AM$5:$AM$404&lt;&gt;"Cancelled"))*Bookings!$I$5:$I$404+(1-((Bookings!$C$5:$C$404=B214)*(Bookings!$I$5:$I$404&gt;=TODAY())*(Bookings!$AM$5:$AM$404&lt;&gt;"Cancelled")))*2958465))))</f>
        <v>0</v>
      </c>
      <c r="AE214" s="29">
        <f>IF(B214="","",SUMIFS(Payments!$L$5:$L$304,Payments!$C$5:$C$304,B214))</f>
        <v>0</v>
      </c>
      <c r="AF214" s="29">
        <f>IF(B214="","",SUMIFS(Invoices!$O$5:$O$304,Invoices!$D$5:$D$304,B214,Invoices!$T$5:$T$304,"&lt;&gt;Draft"))</f>
        <v>0</v>
      </c>
      <c r="AG214" s="29">
        <f>IF(B214="","",SUMIFS(Invoices!$S$5:$S$304,Invoices!$D$5:$D$304,B214,Invoices!$T$5:$T$304,"&lt;&gt;Cancelled"))</f>
        <v>0</v>
      </c>
      <c r="AH214" s="29">
        <f>IF(OR(Z214="",Z214=0),"",SUMIFS(Bookings!$AK$5:$AK$404,Bookings!$C$5:$C$404,B214,Bookings!$AM$5:$AM$404,"&lt;&gt;Cancelled")/Z214)</f>
        <v>0</v>
      </c>
      <c r="AI214" s="49">
        <f>IF(B214="","",IF(Z214&gt;=LoyaltyThreshold,"Loyalty discount","Standard"))</f>
        <v>0</v>
      </c>
      <c r="AJ214" s="49">
        <f>IF(B214="","",IF(COUNTIF(Clients!$B$5:$B$254,B214)&gt;1,"Duplicate name",IF(AND(C214&lt;&gt;"",COUNTIF(Clients!$C$5:$C$254,C214)&gt;1),"Duplicate phone","OK")))</f>
        <v>0</v>
      </c>
      <c r="AK214" s="49">
        <f>IF(B214="","",IF(AND(C214&lt;&gt;"",D214&lt;&gt;"",L214&lt;&gt;"",M214&lt;&gt;""),"OK","Add: "&amp;IF(C214="","phone ","")&amp;IF(D214="","email ","")&amp;IF(L214="","date ","")&amp;IF(M214="","status","")))</f>
        <v>0</v>
      </c>
      <c r="AL214" s="49">
        <f>IF(B214="","",IF(AG214&gt;0.5,"Overdue - chase payment",IF(AND(M214="Active",ISNUMBER(AC214),AC214&gt;InactiveDays),"Inactive - win back",IF(AND(M214="Active",S214&lt;&gt;"Signed"),"Action - contract not signed",IF(AND(M214="Prospective",AD214=""),"Action - follow up quote","OK")))))</f>
        <v>0</v>
      </c>
    </row>
    <row r="215" spans="1:38">
      <c r="A215" s="46">
        <f>IF(B215="","",ClientPrefix&amp;TEXT(ROW()-4,"0000"))</f>
        <v>0</v>
      </c>
      <c r="Y215" s="31">
        <f>IF(B215="","",COUNTIF(Pets!$C$5:$C$254,B215))</f>
        <v>0</v>
      </c>
      <c r="Z215" s="31">
        <f>IF(B215="","",COUNTIFS(Bookings!$C$5:$C$404,B215))</f>
        <v>0</v>
      </c>
      <c r="AA215" s="31">
        <f>IF(B215="","",COUNTIFS('Visit Log'!$D$5:$D$404,B215,'Visit Log'!$AE$5:$AE$404,"Completed"))</f>
        <v>0</v>
      </c>
      <c r="AB215" s="21">
        <f>IF(B215="","",IF(SUMPRODUCT(MAX((Bookings!$C$5:$C$404=B215)*(Bookings!$AM$5:$AM$404="Completed")*Bookings!$I$5:$I$404))=0,"",SUMPRODUCT(MAX((Bookings!$C$5:$C$404=B215)*(Bookings!$AM$5:$AM$404="Completed")*Bookings!$I$5:$I$404))))</f>
        <v>0</v>
      </c>
      <c r="AC215" s="31">
        <f>IF(AB215="","",TODAY()-AB215)</f>
        <v>0</v>
      </c>
      <c r="AD215" s="21">
        <f>IF(B215="","",IF(COUNTIFS(Bookings!$C$5:$C$404,B215,Bookings!$I$5:$I$404,"&gt;="&amp;TODAY(),Bookings!$AM$5:$AM$404,"&lt;&gt;Cancelled")=0,"",SUMPRODUCT(MIN(((Bookings!$C$5:$C$404=B215)*(Bookings!$I$5:$I$404&gt;=TODAY())*(Bookings!$AM$5:$AM$404&lt;&gt;"Cancelled"))*Bookings!$I$5:$I$404+(1-((Bookings!$C$5:$C$404=B215)*(Bookings!$I$5:$I$404&gt;=TODAY())*(Bookings!$AM$5:$AM$404&lt;&gt;"Cancelled")))*2958465))))</f>
        <v>0</v>
      </c>
      <c r="AE215" s="29">
        <f>IF(B215="","",SUMIFS(Payments!$L$5:$L$304,Payments!$C$5:$C$304,B215))</f>
        <v>0</v>
      </c>
      <c r="AF215" s="29">
        <f>IF(B215="","",SUMIFS(Invoices!$O$5:$O$304,Invoices!$D$5:$D$304,B215,Invoices!$T$5:$T$304,"&lt;&gt;Draft"))</f>
        <v>0</v>
      </c>
      <c r="AG215" s="29">
        <f>IF(B215="","",SUMIFS(Invoices!$S$5:$S$304,Invoices!$D$5:$D$304,B215,Invoices!$T$5:$T$304,"&lt;&gt;Cancelled"))</f>
        <v>0</v>
      </c>
      <c r="AH215" s="29">
        <f>IF(OR(Z215="",Z215=0),"",SUMIFS(Bookings!$AK$5:$AK$404,Bookings!$C$5:$C$404,B215,Bookings!$AM$5:$AM$404,"&lt;&gt;Cancelled")/Z215)</f>
        <v>0</v>
      </c>
      <c r="AI215" s="49">
        <f>IF(B215="","",IF(Z215&gt;=LoyaltyThreshold,"Loyalty discount","Standard"))</f>
        <v>0</v>
      </c>
      <c r="AJ215" s="49">
        <f>IF(B215="","",IF(COUNTIF(Clients!$B$5:$B$254,B215)&gt;1,"Duplicate name",IF(AND(C215&lt;&gt;"",COUNTIF(Clients!$C$5:$C$254,C215)&gt;1),"Duplicate phone","OK")))</f>
        <v>0</v>
      </c>
      <c r="AK215" s="49">
        <f>IF(B215="","",IF(AND(C215&lt;&gt;"",D215&lt;&gt;"",L215&lt;&gt;"",M215&lt;&gt;""),"OK","Add: "&amp;IF(C215="","phone ","")&amp;IF(D215="","email ","")&amp;IF(L215="","date ","")&amp;IF(M215="","status","")))</f>
        <v>0</v>
      </c>
      <c r="AL215" s="49">
        <f>IF(B215="","",IF(AG215&gt;0.5,"Overdue - chase payment",IF(AND(M215="Active",ISNUMBER(AC215),AC215&gt;InactiveDays),"Inactive - win back",IF(AND(M215="Active",S215&lt;&gt;"Signed"),"Action - contract not signed",IF(AND(M215="Prospective",AD215=""),"Action - follow up quote","OK")))))</f>
        <v>0</v>
      </c>
    </row>
    <row r="216" spans="1:38">
      <c r="A216" s="46">
        <f>IF(B216="","",ClientPrefix&amp;TEXT(ROW()-4,"0000"))</f>
        <v>0</v>
      </c>
      <c r="Y216" s="31">
        <f>IF(B216="","",COUNTIF(Pets!$C$5:$C$254,B216))</f>
        <v>0</v>
      </c>
      <c r="Z216" s="31">
        <f>IF(B216="","",COUNTIFS(Bookings!$C$5:$C$404,B216))</f>
        <v>0</v>
      </c>
      <c r="AA216" s="31">
        <f>IF(B216="","",COUNTIFS('Visit Log'!$D$5:$D$404,B216,'Visit Log'!$AE$5:$AE$404,"Completed"))</f>
        <v>0</v>
      </c>
      <c r="AB216" s="21">
        <f>IF(B216="","",IF(SUMPRODUCT(MAX((Bookings!$C$5:$C$404=B216)*(Bookings!$AM$5:$AM$404="Completed")*Bookings!$I$5:$I$404))=0,"",SUMPRODUCT(MAX((Bookings!$C$5:$C$404=B216)*(Bookings!$AM$5:$AM$404="Completed")*Bookings!$I$5:$I$404))))</f>
        <v>0</v>
      </c>
      <c r="AC216" s="31">
        <f>IF(AB216="","",TODAY()-AB216)</f>
        <v>0</v>
      </c>
      <c r="AD216" s="21">
        <f>IF(B216="","",IF(COUNTIFS(Bookings!$C$5:$C$404,B216,Bookings!$I$5:$I$404,"&gt;="&amp;TODAY(),Bookings!$AM$5:$AM$404,"&lt;&gt;Cancelled")=0,"",SUMPRODUCT(MIN(((Bookings!$C$5:$C$404=B216)*(Bookings!$I$5:$I$404&gt;=TODAY())*(Bookings!$AM$5:$AM$404&lt;&gt;"Cancelled"))*Bookings!$I$5:$I$404+(1-((Bookings!$C$5:$C$404=B216)*(Bookings!$I$5:$I$404&gt;=TODAY())*(Bookings!$AM$5:$AM$404&lt;&gt;"Cancelled")))*2958465))))</f>
        <v>0</v>
      </c>
      <c r="AE216" s="29">
        <f>IF(B216="","",SUMIFS(Payments!$L$5:$L$304,Payments!$C$5:$C$304,B216))</f>
        <v>0</v>
      </c>
      <c r="AF216" s="29">
        <f>IF(B216="","",SUMIFS(Invoices!$O$5:$O$304,Invoices!$D$5:$D$304,B216,Invoices!$T$5:$T$304,"&lt;&gt;Draft"))</f>
        <v>0</v>
      </c>
      <c r="AG216" s="29">
        <f>IF(B216="","",SUMIFS(Invoices!$S$5:$S$304,Invoices!$D$5:$D$304,B216,Invoices!$T$5:$T$304,"&lt;&gt;Cancelled"))</f>
        <v>0</v>
      </c>
      <c r="AH216" s="29">
        <f>IF(OR(Z216="",Z216=0),"",SUMIFS(Bookings!$AK$5:$AK$404,Bookings!$C$5:$C$404,B216,Bookings!$AM$5:$AM$404,"&lt;&gt;Cancelled")/Z216)</f>
        <v>0</v>
      </c>
      <c r="AI216" s="49">
        <f>IF(B216="","",IF(Z216&gt;=LoyaltyThreshold,"Loyalty discount","Standard"))</f>
        <v>0</v>
      </c>
      <c r="AJ216" s="49">
        <f>IF(B216="","",IF(COUNTIF(Clients!$B$5:$B$254,B216)&gt;1,"Duplicate name",IF(AND(C216&lt;&gt;"",COUNTIF(Clients!$C$5:$C$254,C216)&gt;1),"Duplicate phone","OK")))</f>
        <v>0</v>
      </c>
      <c r="AK216" s="49">
        <f>IF(B216="","",IF(AND(C216&lt;&gt;"",D216&lt;&gt;"",L216&lt;&gt;"",M216&lt;&gt;""),"OK","Add: "&amp;IF(C216="","phone ","")&amp;IF(D216="","email ","")&amp;IF(L216="","date ","")&amp;IF(M216="","status","")))</f>
        <v>0</v>
      </c>
      <c r="AL216" s="49">
        <f>IF(B216="","",IF(AG216&gt;0.5,"Overdue - chase payment",IF(AND(M216="Active",ISNUMBER(AC216),AC216&gt;InactiveDays),"Inactive - win back",IF(AND(M216="Active",S216&lt;&gt;"Signed"),"Action - contract not signed",IF(AND(M216="Prospective",AD216=""),"Action - follow up quote","OK")))))</f>
        <v>0</v>
      </c>
    </row>
    <row r="217" spans="1:38">
      <c r="A217" s="46">
        <f>IF(B217="","",ClientPrefix&amp;TEXT(ROW()-4,"0000"))</f>
        <v>0</v>
      </c>
      <c r="Y217" s="31">
        <f>IF(B217="","",COUNTIF(Pets!$C$5:$C$254,B217))</f>
        <v>0</v>
      </c>
      <c r="Z217" s="31">
        <f>IF(B217="","",COUNTIFS(Bookings!$C$5:$C$404,B217))</f>
        <v>0</v>
      </c>
      <c r="AA217" s="31">
        <f>IF(B217="","",COUNTIFS('Visit Log'!$D$5:$D$404,B217,'Visit Log'!$AE$5:$AE$404,"Completed"))</f>
        <v>0</v>
      </c>
      <c r="AB217" s="21">
        <f>IF(B217="","",IF(SUMPRODUCT(MAX((Bookings!$C$5:$C$404=B217)*(Bookings!$AM$5:$AM$404="Completed")*Bookings!$I$5:$I$404))=0,"",SUMPRODUCT(MAX((Bookings!$C$5:$C$404=B217)*(Bookings!$AM$5:$AM$404="Completed")*Bookings!$I$5:$I$404))))</f>
        <v>0</v>
      </c>
      <c r="AC217" s="31">
        <f>IF(AB217="","",TODAY()-AB217)</f>
        <v>0</v>
      </c>
      <c r="AD217" s="21">
        <f>IF(B217="","",IF(COUNTIFS(Bookings!$C$5:$C$404,B217,Bookings!$I$5:$I$404,"&gt;="&amp;TODAY(),Bookings!$AM$5:$AM$404,"&lt;&gt;Cancelled")=0,"",SUMPRODUCT(MIN(((Bookings!$C$5:$C$404=B217)*(Bookings!$I$5:$I$404&gt;=TODAY())*(Bookings!$AM$5:$AM$404&lt;&gt;"Cancelled"))*Bookings!$I$5:$I$404+(1-((Bookings!$C$5:$C$404=B217)*(Bookings!$I$5:$I$404&gt;=TODAY())*(Bookings!$AM$5:$AM$404&lt;&gt;"Cancelled")))*2958465))))</f>
        <v>0</v>
      </c>
      <c r="AE217" s="29">
        <f>IF(B217="","",SUMIFS(Payments!$L$5:$L$304,Payments!$C$5:$C$304,B217))</f>
        <v>0</v>
      </c>
      <c r="AF217" s="29">
        <f>IF(B217="","",SUMIFS(Invoices!$O$5:$O$304,Invoices!$D$5:$D$304,B217,Invoices!$T$5:$T$304,"&lt;&gt;Draft"))</f>
        <v>0</v>
      </c>
      <c r="AG217" s="29">
        <f>IF(B217="","",SUMIFS(Invoices!$S$5:$S$304,Invoices!$D$5:$D$304,B217,Invoices!$T$5:$T$304,"&lt;&gt;Cancelled"))</f>
        <v>0</v>
      </c>
      <c r="AH217" s="29">
        <f>IF(OR(Z217="",Z217=0),"",SUMIFS(Bookings!$AK$5:$AK$404,Bookings!$C$5:$C$404,B217,Bookings!$AM$5:$AM$404,"&lt;&gt;Cancelled")/Z217)</f>
        <v>0</v>
      </c>
      <c r="AI217" s="49">
        <f>IF(B217="","",IF(Z217&gt;=LoyaltyThreshold,"Loyalty discount","Standard"))</f>
        <v>0</v>
      </c>
      <c r="AJ217" s="49">
        <f>IF(B217="","",IF(COUNTIF(Clients!$B$5:$B$254,B217)&gt;1,"Duplicate name",IF(AND(C217&lt;&gt;"",COUNTIF(Clients!$C$5:$C$254,C217)&gt;1),"Duplicate phone","OK")))</f>
        <v>0</v>
      </c>
      <c r="AK217" s="49">
        <f>IF(B217="","",IF(AND(C217&lt;&gt;"",D217&lt;&gt;"",L217&lt;&gt;"",M217&lt;&gt;""),"OK","Add: "&amp;IF(C217="","phone ","")&amp;IF(D217="","email ","")&amp;IF(L217="","date ","")&amp;IF(M217="","status","")))</f>
        <v>0</v>
      </c>
      <c r="AL217" s="49">
        <f>IF(B217="","",IF(AG217&gt;0.5,"Overdue - chase payment",IF(AND(M217="Active",ISNUMBER(AC217),AC217&gt;InactiveDays),"Inactive - win back",IF(AND(M217="Active",S217&lt;&gt;"Signed"),"Action - contract not signed",IF(AND(M217="Prospective",AD217=""),"Action - follow up quote","OK")))))</f>
        <v>0</v>
      </c>
    </row>
    <row r="218" spans="1:38">
      <c r="A218" s="46">
        <f>IF(B218="","",ClientPrefix&amp;TEXT(ROW()-4,"0000"))</f>
        <v>0</v>
      </c>
      <c r="Y218" s="31">
        <f>IF(B218="","",COUNTIF(Pets!$C$5:$C$254,B218))</f>
        <v>0</v>
      </c>
      <c r="Z218" s="31">
        <f>IF(B218="","",COUNTIFS(Bookings!$C$5:$C$404,B218))</f>
        <v>0</v>
      </c>
      <c r="AA218" s="31">
        <f>IF(B218="","",COUNTIFS('Visit Log'!$D$5:$D$404,B218,'Visit Log'!$AE$5:$AE$404,"Completed"))</f>
        <v>0</v>
      </c>
      <c r="AB218" s="21">
        <f>IF(B218="","",IF(SUMPRODUCT(MAX((Bookings!$C$5:$C$404=B218)*(Bookings!$AM$5:$AM$404="Completed")*Bookings!$I$5:$I$404))=0,"",SUMPRODUCT(MAX((Bookings!$C$5:$C$404=B218)*(Bookings!$AM$5:$AM$404="Completed")*Bookings!$I$5:$I$404))))</f>
        <v>0</v>
      </c>
      <c r="AC218" s="31">
        <f>IF(AB218="","",TODAY()-AB218)</f>
        <v>0</v>
      </c>
      <c r="AD218" s="21">
        <f>IF(B218="","",IF(COUNTIFS(Bookings!$C$5:$C$404,B218,Bookings!$I$5:$I$404,"&gt;="&amp;TODAY(),Bookings!$AM$5:$AM$404,"&lt;&gt;Cancelled")=0,"",SUMPRODUCT(MIN(((Bookings!$C$5:$C$404=B218)*(Bookings!$I$5:$I$404&gt;=TODAY())*(Bookings!$AM$5:$AM$404&lt;&gt;"Cancelled"))*Bookings!$I$5:$I$404+(1-((Bookings!$C$5:$C$404=B218)*(Bookings!$I$5:$I$404&gt;=TODAY())*(Bookings!$AM$5:$AM$404&lt;&gt;"Cancelled")))*2958465))))</f>
        <v>0</v>
      </c>
      <c r="AE218" s="29">
        <f>IF(B218="","",SUMIFS(Payments!$L$5:$L$304,Payments!$C$5:$C$304,B218))</f>
        <v>0</v>
      </c>
      <c r="AF218" s="29">
        <f>IF(B218="","",SUMIFS(Invoices!$O$5:$O$304,Invoices!$D$5:$D$304,B218,Invoices!$T$5:$T$304,"&lt;&gt;Draft"))</f>
        <v>0</v>
      </c>
      <c r="AG218" s="29">
        <f>IF(B218="","",SUMIFS(Invoices!$S$5:$S$304,Invoices!$D$5:$D$304,B218,Invoices!$T$5:$T$304,"&lt;&gt;Cancelled"))</f>
        <v>0</v>
      </c>
      <c r="AH218" s="29">
        <f>IF(OR(Z218="",Z218=0),"",SUMIFS(Bookings!$AK$5:$AK$404,Bookings!$C$5:$C$404,B218,Bookings!$AM$5:$AM$404,"&lt;&gt;Cancelled")/Z218)</f>
        <v>0</v>
      </c>
      <c r="AI218" s="49">
        <f>IF(B218="","",IF(Z218&gt;=LoyaltyThreshold,"Loyalty discount","Standard"))</f>
        <v>0</v>
      </c>
      <c r="AJ218" s="49">
        <f>IF(B218="","",IF(COUNTIF(Clients!$B$5:$B$254,B218)&gt;1,"Duplicate name",IF(AND(C218&lt;&gt;"",COUNTIF(Clients!$C$5:$C$254,C218)&gt;1),"Duplicate phone","OK")))</f>
        <v>0</v>
      </c>
      <c r="AK218" s="49">
        <f>IF(B218="","",IF(AND(C218&lt;&gt;"",D218&lt;&gt;"",L218&lt;&gt;"",M218&lt;&gt;""),"OK","Add: "&amp;IF(C218="","phone ","")&amp;IF(D218="","email ","")&amp;IF(L218="","date ","")&amp;IF(M218="","status","")))</f>
        <v>0</v>
      </c>
      <c r="AL218" s="49">
        <f>IF(B218="","",IF(AG218&gt;0.5,"Overdue - chase payment",IF(AND(M218="Active",ISNUMBER(AC218),AC218&gt;InactiveDays),"Inactive - win back",IF(AND(M218="Active",S218&lt;&gt;"Signed"),"Action - contract not signed",IF(AND(M218="Prospective",AD218=""),"Action - follow up quote","OK")))))</f>
        <v>0</v>
      </c>
    </row>
    <row r="219" spans="1:38">
      <c r="A219" s="46">
        <f>IF(B219="","",ClientPrefix&amp;TEXT(ROW()-4,"0000"))</f>
        <v>0</v>
      </c>
      <c r="Y219" s="31">
        <f>IF(B219="","",COUNTIF(Pets!$C$5:$C$254,B219))</f>
        <v>0</v>
      </c>
      <c r="Z219" s="31">
        <f>IF(B219="","",COUNTIFS(Bookings!$C$5:$C$404,B219))</f>
        <v>0</v>
      </c>
      <c r="AA219" s="31">
        <f>IF(B219="","",COUNTIFS('Visit Log'!$D$5:$D$404,B219,'Visit Log'!$AE$5:$AE$404,"Completed"))</f>
        <v>0</v>
      </c>
      <c r="AB219" s="21">
        <f>IF(B219="","",IF(SUMPRODUCT(MAX((Bookings!$C$5:$C$404=B219)*(Bookings!$AM$5:$AM$404="Completed")*Bookings!$I$5:$I$404))=0,"",SUMPRODUCT(MAX((Bookings!$C$5:$C$404=B219)*(Bookings!$AM$5:$AM$404="Completed")*Bookings!$I$5:$I$404))))</f>
        <v>0</v>
      </c>
      <c r="AC219" s="31">
        <f>IF(AB219="","",TODAY()-AB219)</f>
        <v>0</v>
      </c>
      <c r="AD219" s="21">
        <f>IF(B219="","",IF(COUNTIFS(Bookings!$C$5:$C$404,B219,Bookings!$I$5:$I$404,"&gt;="&amp;TODAY(),Bookings!$AM$5:$AM$404,"&lt;&gt;Cancelled")=0,"",SUMPRODUCT(MIN(((Bookings!$C$5:$C$404=B219)*(Bookings!$I$5:$I$404&gt;=TODAY())*(Bookings!$AM$5:$AM$404&lt;&gt;"Cancelled"))*Bookings!$I$5:$I$404+(1-((Bookings!$C$5:$C$404=B219)*(Bookings!$I$5:$I$404&gt;=TODAY())*(Bookings!$AM$5:$AM$404&lt;&gt;"Cancelled")))*2958465))))</f>
        <v>0</v>
      </c>
      <c r="AE219" s="29">
        <f>IF(B219="","",SUMIFS(Payments!$L$5:$L$304,Payments!$C$5:$C$304,B219))</f>
        <v>0</v>
      </c>
      <c r="AF219" s="29">
        <f>IF(B219="","",SUMIFS(Invoices!$O$5:$O$304,Invoices!$D$5:$D$304,B219,Invoices!$T$5:$T$304,"&lt;&gt;Draft"))</f>
        <v>0</v>
      </c>
      <c r="AG219" s="29">
        <f>IF(B219="","",SUMIFS(Invoices!$S$5:$S$304,Invoices!$D$5:$D$304,B219,Invoices!$T$5:$T$304,"&lt;&gt;Cancelled"))</f>
        <v>0</v>
      </c>
      <c r="AH219" s="29">
        <f>IF(OR(Z219="",Z219=0),"",SUMIFS(Bookings!$AK$5:$AK$404,Bookings!$C$5:$C$404,B219,Bookings!$AM$5:$AM$404,"&lt;&gt;Cancelled")/Z219)</f>
        <v>0</v>
      </c>
      <c r="AI219" s="49">
        <f>IF(B219="","",IF(Z219&gt;=LoyaltyThreshold,"Loyalty discount","Standard"))</f>
        <v>0</v>
      </c>
      <c r="AJ219" s="49">
        <f>IF(B219="","",IF(COUNTIF(Clients!$B$5:$B$254,B219)&gt;1,"Duplicate name",IF(AND(C219&lt;&gt;"",COUNTIF(Clients!$C$5:$C$254,C219)&gt;1),"Duplicate phone","OK")))</f>
        <v>0</v>
      </c>
      <c r="AK219" s="49">
        <f>IF(B219="","",IF(AND(C219&lt;&gt;"",D219&lt;&gt;"",L219&lt;&gt;"",M219&lt;&gt;""),"OK","Add: "&amp;IF(C219="","phone ","")&amp;IF(D219="","email ","")&amp;IF(L219="","date ","")&amp;IF(M219="","status","")))</f>
        <v>0</v>
      </c>
      <c r="AL219" s="49">
        <f>IF(B219="","",IF(AG219&gt;0.5,"Overdue - chase payment",IF(AND(M219="Active",ISNUMBER(AC219),AC219&gt;InactiveDays),"Inactive - win back",IF(AND(M219="Active",S219&lt;&gt;"Signed"),"Action - contract not signed",IF(AND(M219="Prospective",AD219=""),"Action - follow up quote","OK")))))</f>
        <v>0</v>
      </c>
    </row>
    <row r="220" spans="1:38">
      <c r="A220" s="46">
        <f>IF(B220="","",ClientPrefix&amp;TEXT(ROW()-4,"0000"))</f>
        <v>0</v>
      </c>
      <c r="Y220" s="31">
        <f>IF(B220="","",COUNTIF(Pets!$C$5:$C$254,B220))</f>
        <v>0</v>
      </c>
      <c r="Z220" s="31">
        <f>IF(B220="","",COUNTIFS(Bookings!$C$5:$C$404,B220))</f>
        <v>0</v>
      </c>
      <c r="AA220" s="31">
        <f>IF(B220="","",COUNTIFS('Visit Log'!$D$5:$D$404,B220,'Visit Log'!$AE$5:$AE$404,"Completed"))</f>
        <v>0</v>
      </c>
      <c r="AB220" s="21">
        <f>IF(B220="","",IF(SUMPRODUCT(MAX((Bookings!$C$5:$C$404=B220)*(Bookings!$AM$5:$AM$404="Completed")*Bookings!$I$5:$I$404))=0,"",SUMPRODUCT(MAX((Bookings!$C$5:$C$404=B220)*(Bookings!$AM$5:$AM$404="Completed")*Bookings!$I$5:$I$404))))</f>
        <v>0</v>
      </c>
      <c r="AC220" s="31">
        <f>IF(AB220="","",TODAY()-AB220)</f>
        <v>0</v>
      </c>
      <c r="AD220" s="21">
        <f>IF(B220="","",IF(COUNTIFS(Bookings!$C$5:$C$404,B220,Bookings!$I$5:$I$404,"&gt;="&amp;TODAY(),Bookings!$AM$5:$AM$404,"&lt;&gt;Cancelled")=0,"",SUMPRODUCT(MIN(((Bookings!$C$5:$C$404=B220)*(Bookings!$I$5:$I$404&gt;=TODAY())*(Bookings!$AM$5:$AM$404&lt;&gt;"Cancelled"))*Bookings!$I$5:$I$404+(1-((Bookings!$C$5:$C$404=B220)*(Bookings!$I$5:$I$404&gt;=TODAY())*(Bookings!$AM$5:$AM$404&lt;&gt;"Cancelled")))*2958465))))</f>
        <v>0</v>
      </c>
      <c r="AE220" s="29">
        <f>IF(B220="","",SUMIFS(Payments!$L$5:$L$304,Payments!$C$5:$C$304,B220))</f>
        <v>0</v>
      </c>
      <c r="AF220" s="29">
        <f>IF(B220="","",SUMIFS(Invoices!$O$5:$O$304,Invoices!$D$5:$D$304,B220,Invoices!$T$5:$T$304,"&lt;&gt;Draft"))</f>
        <v>0</v>
      </c>
      <c r="AG220" s="29">
        <f>IF(B220="","",SUMIFS(Invoices!$S$5:$S$304,Invoices!$D$5:$D$304,B220,Invoices!$T$5:$T$304,"&lt;&gt;Cancelled"))</f>
        <v>0</v>
      </c>
      <c r="AH220" s="29">
        <f>IF(OR(Z220="",Z220=0),"",SUMIFS(Bookings!$AK$5:$AK$404,Bookings!$C$5:$C$404,B220,Bookings!$AM$5:$AM$404,"&lt;&gt;Cancelled")/Z220)</f>
        <v>0</v>
      </c>
      <c r="AI220" s="49">
        <f>IF(B220="","",IF(Z220&gt;=LoyaltyThreshold,"Loyalty discount","Standard"))</f>
        <v>0</v>
      </c>
      <c r="AJ220" s="49">
        <f>IF(B220="","",IF(COUNTIF(Clients!$B$5:$B$254,B220)&gt;1,"Duplicate name",IF(AND(C220&lt;&gt;"",COUNTIF(Clients!$C$5:$C$254,C220)&gt;1),"Duplicate phone","OK")))</f>
        <v>0</v>
      </c>
      <c r="AK220" s="49">
        <f>IF(B220="","",IF(AND(C220&lt;&gt;"",D220&lt;&gt;"",L220&lt;&gt;"",M220&lt;&gt;""),"OK","Add: "&amp;IF(C220="","phone ","")&amp;IF(D220="","email ","")&amp;IF(L220="","date ","")&amp;IF(M220="","status","")))</f>
        <v>0</v>
      </c>
      <c r="AL220" s="49">
        <f>IF(B220="","",IF(AG220&gt;0.5,"Overdue - chase payment",IF(AND(M220="Active",ISNUMBER(AC220),AC220&gt;InactiveDays),"Inactive - win back",IF(AND(M220="Active",S220&lt;&gt;"Signed"),"Action - contract not signed",IF(AND(M220="Prospective",AD220=""),"Action - follow up quote","OK")))))</f>
        <v>0</v>
      </c>
    </row>
    <row r="221" spans="1:38">
      <c r="A221" s="46">
        <f>IF(B221="","",ClientPrefix&amp;TEXT(ROW()-4,"0000"))</f>
        <v>0</v>
      </c>
      <c r="Y221" s="31">
        <f>IF(B221="","",COUNTIF(Pets!$C$5:$C$254,B221))</f>
        <v>0</v>
      </c>
      <c r="Z221" s="31">
        <f>IF(B221="","",COUNTIFS(Bookings!$C$5:$C$404,B221))</f>
        <v>0</v>
      </c>
      <c r="AA221" s="31">
        <f>IF(B221="","",COUNTIFS('Visit Log'!$D$5:$D$404,B221,'Visit Log'!$AE$5:$AE$404,"Completed"))</f>
        <v>0</v>
      </c>
      <c r="AB221" s="21">
        <f>IF(B221="","",IF(SUMPRODUCT(MAX((Bookings!$C$5:$C$404=B221)*(Bookings!$AM$5:$AM$404="Completed")*Bookings!$I$5:$I$404))=0,"",SUMPRODUCT(MAX((Bookings!$C$5:$C$404=B221)*(Bookings!$AM$5:$AM$404="Completed")*Bookings!$I$5:$I$404))))</f>
        <v>0</v>
      </c>
      <c r="AC221" s="31">
        <f>IF(AB221="","",TODAY()-AB221)</f>
        <v>0</v>
      </c>
      <c r="AD221" s="21">
        <f>IF(B221="","",IF(COUNTIFS(Bookings!$C$5:$C$404,B221,Bookings!$I$5:$I$404,"&gt;="&amp;TODAY(),Bookings!$AM$5:$AM$404,"&lt;&gt;Cancelled")=0,"",SUMPRODUCT(MIN(((Bookings!$C$5:$C$404=B221)*(Bookings!$I$5:$I$404&gt;=TODAY())*(Bookings!$AM$5:$AM$404&lt;&gt;"Cancelled"))*Bookings!$I$5:$I$404+(1-((Bookings!$C$5:$C$404=B221)*(Bookings!$I$5:$I$404&gt;=TODAY())*(Bookings!$AM$5:$AM$404&lt;&gt;"Cancelled")))*2958465))))</f>
        <v>0</v>
      </c>
      <c r="AE221" s="29">
        <f>IF(B221="","",SUMIFS(Payments!$L$5:$L$304,Payments!$C$5:$C$304,B221))</f>
        <v>0</v>
      </c>
      <c r="AF221" s="29">
        <f>IF(B221="","",SUMIFS(Invoices!$O$5:$O$304,Invoices!$D$5:$D$304,B221,Invoices!$T$5:$T$304,"&lt;&gt;Draft"))</f>
        <v>0</v>
      </c>
      <c r="AG221" s="29">
        <f>IF(B221="","",SUMIFS(Invoices!$S$5:$S$304,Invoices!$D$5:$D$304,B221,Invoices!$T$5:$T$304,"&lt;&gt;Cancelled"))</f>
        <v>0</v>
      </c>
      <c r="AH221" s="29">
        <f>IF(OR(Z221="",Z221=0),"",SUMIFS(Bookings!$AK$5:$AK$404,Bookings!$C$5:$C$404,B221,Bookings!$AM$5:$AM$404,"&lt;&gt;Cancelled")/Z221)</f>
        <v>0</v>
      </c>
      <c r="AI221" s="49">
        <f>IF(B221="","",IF(Z221&gt;=LoyaltyThreshold,"Loyalty discount","Standard"))</f>
        <v>0</v>
      </c>
      <c r="AJ221" s="49">
        <f>IF(B221="","",IF(COUNTIF(Clients!$B$5:$B$254,B221)&gt;1,"Duplicate name",IF(AND(C221&lt;&gt;"",COUNTIF(Clients!$C$5:$C$254,C221)&gt;1),"Duplicate phone","OK")))</f>
        <v>0</v>
      </c>
      <c r="AK221" s="49">
        <f>IF(B221="","",IF(AND(C221&lt;&gt;"",D221&lt;&gt;"",L221&lt;&gt;"",M221&lt;&gt;""),"OK","Add: "&amp;IF(C221="","phone ","")&amp;IF(D221="","email ","")&amp;IF(L221="","date ","")&amp;IF(M221="","status","")))</f>
        <v>0</v>
      </c>
      <c r="AL221" s="49">
        <f>IF(B221="","",IF(AG221&gt;0.5,"Overdue - chase payment",IF(AND(M221="Active",ISNUMBER(AC221),AC221&gt;InactiveDays),"Inactive - win back",IF(AND(M221="Active",S221&lt;&gt;"Signed"),"Action - contract not signed",IF(AND(M221="Prospective",AD221=""),"Action - follow up quote","OK")))))</f>
        <v>0</v>
      </c>
    </row>
    <row r="222" spans="1:38">
      <c r="A222" s="46">
        <f>IF(B222="","",ClientPrefix&amp;TEXT(ROW()-4,"0000"))</f>
        <v>0</v>
      </c>
      <c r="Y222" s="31">
        <f>IF(B222="","",COUNTIF(Pets!$C$5:$C$254,B222))</f>
        <v>0</v>
      </c>
      <c r="Z222" s="31">
        <f>IF(B222="","",COUNTIFS(Bookings!$C$5:$C$404,B222))</f>
        <v>0</v>
      </c>
      <c r="AA222" s="31">
        <f>IF(B222="","",COUNTIFS('Visit Log'!$D$5:$D$404,B222,'Visit Log'!$AE$5:$AE$404,"Completed"))</f>
        <v>0</v>
      </c>
      <c r="AB222" s="21">
        <f>IF(B222="","",IF(SUMPRODUCT(MAX((Bookings!$C$5:$C$404=B222)*(Bookings!$AM$5:$AM$404="Completed")*Bookings!$I$5:$I$404))=0,"",SUMPRODUCT(MAX((Bookings!$C$5:$C$404=B222)*(Bookings!$AM$5:$AM$404="Completed")*Bookings!$I$5:$I$404))))</f>
        <v>0</v>
      </c>
      <c r="AC222" s="31">
        <f>IF(AB222="","",TODAY()-AB222)</f>
        <v>0</v>
      </c>
      <c r="AD222" s="21">
        <f>IF(B222="","",IF(COUNTIFS(Bookings!$C$5:$C$404,B222,Bookings!$I$5:$I$404,"&gt;="&amp;TODAY(),Bookings!$AM$5:$AM$404,"&lt;&gt;Cancelled")=0,"",SUMPRODUCT(MIN(((Bookings!$C$5:$C$404=B222)*(Bookings!$I$5:$I$404&gt;=TODAY())*(Bookings!$AM$5:$AM$404&lt;&gt;"Cancelled"))*Bookings!$I$5:$I$404+(1-((Bookings!$C$5:$C$404=B222)*(Bookings!$I$5:$I$404&gt;=TODAY())*(Bookings!$AM$5:$AM$404&lt;&gt;"Cancelled")))*2958465))))</f>
        <v>0</v>
      </c>
      <c r="AE222" s="29">
        <f>IF(B222="","",SUMIFS(Payments!$L$5:$L$304,Payments!$C$5:$C$304,B222))</f>
        <v>0</v>
      </c>
      <c r="AF222" s="29">
        <f>IF(B222="","",SUMIFS(Invoices!$O$5:$O$304,Invoices!$D$5:$D$304,B222,Invoices!$T$5:$T$304,"&lt;&gt;Draft"))</f>
        <v>0</v>
      </c>
      <c r="AG222" s="29">
        <f>IF(B222="","",SUMIFS(Invoices!$S$5:$S$304,Invoices!$D$5:$D$304,B222,Invoices!$T$5:$T$304,"&lt;&gt;Cancelled"))</f>
        <v>0</v>
      </c>
      <c r="AH222" s="29">
        <f>IF(OR(Z222="",Z222=0),"",SUMIFS(Bookings!$AK$5:$AK$404,Bookings!$C$5:$C$404,B222,Bookings!$AM$5:$AM$404,"&lt;&gt;Cancelled")/Z222)</f>
        <v>0</v>
      </c>
      <c r="AI222" s="49">
        <f>IF(B222="","",IF(Z222&gt;=LoyaltyThreshold,"Loyalty discount","Standard"))</f>
        <v>0</v>
      </c>
      <c r="AJ222" s="49">
        <f>IF(B222="","",IF(COUNTIF(Clients!$B$5:$B$254,B222)&gt;1,"Duplicate name",IF(AND(C222&lt;&gt;"",COUNTIF(Clients!$C$5:$C$254,C222)&gt;1),"Duplicate phone","OK")))</f>
        <v>0</v>
      </c>
      <c r="AK222" s="49">
        <f>IF(B222="","",IF(AND(C222&lt;&gt;"",D222&lt;&gt;"",L222&lt;&gt;"",M222&lt;&gt;""),"OK","Add: "&amp;IF(C222="","phone ","")&amp;IF(D222="","email ","")&amp;IF(L222="","date ","")&amp;IF(M222="","status","")))</f>
        <v>0</v>
      </c>
      <c r="AL222" s="49">
        <f>IF(B222="","",IF(AG222&gt;0.5,"Overdue - chase payment",IF(AND(M222="Active",ISNUMBER(AC222),AC222&gt;InactiveDays),"Inactive - win back",IF(AND(M222="Active",S222&lt;&gt;"Signed"),"Action - contract not signed",IF(AND(M222="Prospective",AD222=""),"Action - follow up quote","OK")))))</f>
        <v>0</v>
      </c>
    </row>
    <row r="223" spans="1:38">
      <c r="A223" s="46">
        <f>IF(B223="","",ClientPrefix&amp;TEXT(ROW()-4,"0000"))</f>
        <v>0</v>
      </c>
      <c r="Y223" s="31">
        <f>IF(B223="","",COUNTIF(Pets!$C$5:$C$254,B223))</f>
        <v>0</v>
      </c>
      <c r="Z223" s="31">
        <f>IF(B223="","",COUNTIFS(Bookings!$C$5:$C$404,B223))</f>
        <v>0</v>
      </c>
      <c r="AA223" s="31">
        <f>IF(B223="","",COUNTIFS('Visit Log'!$D$5:$D$404,B223,'Visit Log'!$AE$5:$AE$404,"Completed"))</f>
        <v>0</v>
      </c>
      <c r="AB223" s="21">
        <f>IF(B223="","",IF(SUMPRODUCT(MAX((Bookings!$C$5:$C$404=B223)*(Bookings!$AM$5:$AM$404="Completed")*Bookings!$I$5:$I$404))=0,"",SUMPRODUCT(MAX((Bookings!$C$5:$C$404=B223)*(Bookings!$AM$5:$AM$404="Completed")*Bookings!$I$5:$I$404))))</f>
        <v>0</v>
      </c>
      <c r="AC223" s="31">
        <f>IF(AB223="","",TODAY()-AB223)</f>
        <v>0</v>
      </c>
      <c r="AD223" s="21">
        <f>IF(B223="","",IF(COUNTIFS(Bookings!$C$5:$C$404,B223,Bookings!$I$5:$I$404,"&gt;="&amp;TODAY(),Bookings!$AM$5:$AM$404,"&lt;&gt;Cancelled")=0,"",SUMPRODUCT(MIN(((Bookings!$C$5:$C$404=B223)*(Bookings!$I$5:$I$404&gt;=TODAY())*(Bookings!$AM$5:$AM$404&lt;&gt;"Cancelled"))*Bookings!$I$5:$I$404+(1-((Bookings!$C$5:$C$404=B223)*(Bookings!$I$5:$I$404&gt;=TODAY())*(Bookings!$AM$5:$AM$404&lt;&gt;"Cancelled")))*2958465))))</f>
        <v>0</v>
      </c>
      <c r="AE223" s="29">
        <f>IF(B223="","",SUMIFS(Payments!$L$5:$L$304,Payments!$C$5:$C$304,B223))</f>
        <v>0</v>
      </c>
      <c r="AF223" s="29">
        <f>IF(B223="","",SUMIFS(Invoices!$O$5:$O$304,Invoices!$D$5:$D$304,B223,Invoices!$T$5:$T$304,"&lt;&gt;Draft"))</f>
        <v>0</v>
      </c>
      <c r="AG223" s="29">
        <f>IF(B223="","",SUMIFS(Invoices!$S$5:$S$304,Invoices!$D$5:$D$304,B223,Invoices!$T$5:$T$304,"&lt;&gt;Cancelled"))</f>
        <v>0</v>
      </c>
      <c r="AH223" s="29">
        <f>IF(OR(Z223="",Z223=0),"",SUMIFS(Bookings!$AK$5:$AK$404,Bookings!$C$5:$C$404,B223,Bookings!$AM$5:$AM$404,"&lt;&gt;Cancelled")/Z223)</f>
        <v>0</v>
      </c>
      <c r="AI223" s="49">
        <f>IF(B223="","",IF(Z223&gt;=LoyaltyThreshold,"Loyalty discount","Standard"))</f>
        <v>0</v>
      </c>
      <c r="AJ223" s="49">
        <f>IF(B223="","",IF(COUNTIF(Clients!$B$5:$B$254,B223)&gt;1,"Duplicate name",IF(AND(C223&lt;&gt;"",COUNTIF(Clients!$C$5:$C$254,C223)&gt;1),"Duplicate phone","OK")))</f>
        <v>0</v>
      </c>
      <c r="AK223" s="49">
        <f>IF(B223="","",IF(AND(C223&lt;&gt;"",D223&lt;&gt;"",L223&lt;&gt;"",M223&lt;&gt;""),"OK","Add: "&amp;IF(C223="","phone ","")&amp;IF(D223="","email ","")&amp;IF(L223="","date ","")&amp;IF(M223="","status","")))</f>
        <v>0</v>
      </c>
      <c r="AL223" s="49">
        <f>IF(B223="","",IF(AG223&gt;0.5,"Overdue - chase payment",IF(AND(M223="Active",ISNUMBER(AC223),AC223&gt;InactiveDays),"Inactive - win back",IF(AND(M223="Active",S223&lt;&gt;"Signed"),"Action - contract not signed",IF(AND(M223="Prospective",AD223=""),"Action - follow up quote","OK")))))</f>
        <v>0</v>
      </c>
    </row>
    <row r="224" spans="1:38">
      <c r="A224" s="46">
        <f>IF(B224="","",ClientPrefix&amp;TEXT(ROW()-4,"0000"))</f>
        <v>0</v>
      </c>
      <c r="Y224" s="31">
        <f>IF(B224="","",COUNTIF(Pets!$C$5:$C$254,B224))</f>
        <v>0</v>
      </c>
      <c r="Z224" s="31">
        <f>IF(B224="","",COUNTIFS(Bookings!$C$5:$C$404,B224))</f>
        <v>0</v>
      </c>
      <c r="AA224" s="31">
        <f>IF(B224="","",COUNTIFS('Visit Log'!$D$5:$D$404,B224,'Visit Log'!$AE$5:$AE$404,"Completed"))</f>
        <v>0</v>
      </c>
      <c r="AB224" s="21">
        <f>IF(B224="","",IF(SUMPRODUCT(MAX((Bookings!$C$5:$C$404=B224)*(Bookings!$AM$5:$AM$404="Completed")*Bookings!$I$5:$I$404))=0,"",SUMPRODUCT(MAX((Bookings!$C$5:$C$404=B224)*(Bookings!$AM$5:$AM$404="Completed")*Bookings!$I$5:$I$404))))</f>
        <v>0</v>
      </c>
      <c r="AC224" s="31">
        <f>IF(AB224="","",TODAY()-AB224)</f>
        <v>0</v>
      </c>
      <c r="AD224" s="21">
        <f>IF(B224="","",IF(COUNTIFS(Bookings!$C$5:$C$404,B224,Bookings!$I$5:$I$404,"&gt;="&amp;TODAY(),Bookings!$AM$5:$AM$404,"&lt;&gt;Cancelled")=0,"",SUMPRODUCT(MIN(((Bookings!$C$5:$C$404=B224)*(Bookings!$I$5:$I$404&gt;=TODAY())*(Bookings!$AM$5:$AM$404&lt;&gt;"Cancelled"))*Bookings!$I$5:$I$404+(1-((Bookings!$C$5:$C$404=B224)*(Bookings!$I$5:$I$404&gt;=TODAY())*(Bookings!$AM$5:$AM$404&lt;&gt;"Cancelled")))*2958465))))</f>
        <v>0</v>
      </c>
      <c r="AE224" s="29">
        <f>IF(B224="","",SUMIFS(Payments!$L$5:$L$304,Payments!$C$5:$C$304,B224))</f>
        <v>0</v>
      </c>
      <c r="AF224" s="29">
        <f>IF(B224="","",SUMIFS(Invoices!$O$5:$O$304,Invoices!$D$5:$D$304,B224,Invoices!$T$5:$T$304,"&lt;&gt;Draft"))</f>
        <v>0</v>
      </c>
      <c r="AG224" s="29">
        <f>IF(B224="","",SUMIFS(Invoices!$S$5:$S$304,Invoices!$D$5:$D$304,B224,Invoices!$T$5:$T$304,"&lt;&gt;Cancelled"))</f>
        <v>0</v>
      </c>
      <c r="AH224" s="29">
        <f>IF(OR(Z224="",Z224=0),"",SUMIFS(Bookings!$AK$5:$AK$404,Bookings!$C$5:$C$404,B224,Bookings!$AM$5:$AM$404,"&lt;&gt;Cancelled")/Z224)</f>
        <v>0</v>
      </c>
      <c r="AI224" s="49">
        <f>IF(B224="","",IF(Z224&gt;=LoyaltyThreshold,"Loyalty discount","Standard"))</f>
        <v>0</v>
      </c>
      <c r="AJ224" s="49">
        <f>IF(B224="","",IF(COUNTIF(Clients!$B$5:$B$254,B224)&gt;1,"Duplicate name",IF(AND(C224&lt;&gt;"",COUNTIF(Clients!$C$5:$C$254,C224)&gt;1),"Duplicate phone","OK")))</f>
        <v>0</v>
      </c>
      <c r="AK224" s="49">
        <f>IF(B224="","",IF(AND(C224&lt;&gt;"",D224&lt;&gt;"",L224&lt;&gt;"",M224&lt;&gt;""),"OK","Add: "&amp;IF(C224="","phone ","")&amp;IF(D224="","email ","")&amp;IF(L224="","date ","")&amp;IF(M224="","status","")))</f>
        <v>0</v>
      </c>
      <c r="AL224" s="49">
        <f>IF(B224="","",IF(AG224&gt;0.5,"Overdue - chase payment",IF(AND(M224="Active",ISNUMBER(AC224),AC224&gt;InactiveDays),"Inactive - win back",IF(AND(M224="Active",S224&lt;&gt;"Signed"),"Action - contract not signed",IF(AND(M224="Prospective",AD224=""),"Action - follow up quote","OK")))))</f>
        <v>0</v>
      </c>
    </row>
    <row r="225" spans="1:38">
      <c r="A225" s="46">
        <f>IF(B225="","",ClientPrefix&amp;TEXT(ROW()-4,"0000"))</f>
        <v>0</v>
      </c>
      <c r="Y225" s="31">
        <f>IF(B225="","",COUNTIF(Pets!$C$5:$C$254,B225))</f>
        <v>0</v>
      </c>
      <c r="Z225" s="31">
        <f>IF(B225="","",COUNTIFS(Bookings!$C$5:$C$404,B225))</f>
        <v>0</v>
      </c>
      <c r="AA225" s="31">
        <f>IF(B225="","",COUNTIFS('Visit Log'!$D$5:$D$404,B225,'Visit Log'!$AE$5:$AE$404,"Completed"))</f>
        <v>0</v>
      </c>
      <c r="AB225" s="21">
        <f>IF(B225="","",IF(SUMPRODUCT(MAX((Bookings!$C$5:$C$404=B225)*(Bookings!$AM$5:$AM$404="Completed")*Bookings!$I$5:$I$404))=0,"",SUMPRODUCT(MAX((Bookings!$C$5:$C$404=B225)*(Bookings!$AM$5:$AM$404="Completed")*Bookings!$I$5:$I$404))))</f>
        <v>0</v>
      </c>
      <c r="AC225" s="31">
        <f>IF(AB225="","",TODAY()-AB225)</f>
        <v>0</v>
      </c>
      <c r="AD225" s="21">
        <f>IF(B225="","",IF(COUNTIFS(Bookings!$C$5:$C$404,B225,Bookings!$I$5:$I$404,"&gt;="&amp;TODAY(),Bookings!$AM$5:$AM$404,"&lt;&gt;Cancelled")=0,"",SUMPRODUCT(MIN(((Bookings!$C$5:$C$404=B225)*(Bookings!$I$5:$I$404&gt;=TODAY())*(Bookings!$AM$5:$AM$404&lt;&gt;"Cancelled"))*Bookings!$I$5:$I$404+(1-((Bookings!$C$5:$C$404=B225)*(Bookings!$I$5:$I$404&gt;=TODAY())*(Bookings!$AM$5:$AM$404&lt;&gt;"Cancelled")))*2958465))))</f>
        <v>0</v>
      </c>
      <c r="AE225" s="29">
        <f>IF(B225="","",SUMIFS(Payments!$L$5:$L$304,Payments!$C$5:$C$304,B225))</f>
        <v>0</v>
      </c>
      <c r="AF225" s="29">
        <f>IF(B225="","",SUMIFS(Invoices!$O$5:$O$304,Invoices!$D$5:$D$304,B225,Invoices!$T$5:$T$304,"&lt;&gt;Draft"))</f>
        <v>0</v>
      </c>
      <c r="AG225" s="29">
        <f>IF(B225="","",SUMIFS(Invoices!$S$5:$S$304,Invoices!$D$5:$D$304,B225,Invoices!$T$5:$T$304,"&lt;&gt;Cancelled"))</f>
        <v>0</v>
      </c>
      <c r="AH225" s="29">
        <f>IF(OR(Z225="",Z225=0),"",SUMIFS(Bookings!$AK$5:$AK$404,Bookings!$C$5:$C$404,B225,Bookings!$AM$5:$AM$404,"&lt;&gt;Cancelled")/Z225)</f>
        <v>0</v>
      </c>
      <c r="AI225" s="49">
        <f>IF(B225="","",IF(Z225&gt;=LoyaltyThreshold,"Loyalty discount","Standard"))</f>
        <v>0</v>
      </c>
      <c r="AJ225" s="49">
        <f>IF(B225="","",IF(COUNTIF(Clients!$B$5:$B$254,B225)&gt;1,"Duplicate name",IF(AND(C225&lt;&gt;"",COUNTIF(Clients!$C$5:$C$254,C225)&gt;1),"Duplicate phone","OK")))</f>
        <v>0</v>
      </c>
      <c r="AK225" s="49">
        <f>IF(B225="","",IF(AND(C225&lt;&gt;"",D225&lt;&gt;"",L225&lt;&gt;"",M225&lt;&gt;""),"OK","Add: "&amp;IF(C225="","phone ","")&amp;IF(D225="","email ","")&amp;IF(L225="","date ","")&amp;IF(M225="","status","")))</f>
        <v>0</v>
      </c>
      <c r="AL225" s="49">
        <f>IF(B225="","",IF(AG225&gt;0.5,"Overdue - chase payment",IF(AND(M225="Active",ISNUMBER(AC225),AC225&gt;InactiveDays),"Inactive - win back",IF(AND(M225="Active",S225&lt;&gt;"Signed"),"Action - contract not signed",IF(AND(M225="Prospective",AD225=""),"Action - follow up quote","OK")))))</f>
        <v>0</v>
      </c>
    </row>
    <row r="226" spans="1:38">
      <c r="A226" s="46">
        <f>IF(B226="","",ClientPrefix&amp;TEXT(ROW()-4,"0000"))</f>
        <v>0</v>
      </c>
      <c r="Y226" s="31">
        <f>IF(B226="","",COUNTIF(Pets!$C$5:$C$254,B226))</f>
        <v>0</v>
      </c>
      <c r="Z226" s="31">
        <f>IF(B226="","",COUNTIFS(Bookings!$C$5:$C$404,B226))</f>
        <v>0</v>
      </c>
      <c r="AA226" s="31">
        <f>IF(B226="","",COUNTIFS('Visit Log'!$D$5:$D$404,B226,'Visit Log'!$AE$5:$AE$404,"Completed"))</f>
        <v>0</v>
      </c>
      <c r="AB226" s="21">
        <f>IF(B226="","",IF(SUMPRODUCT(MAX((Bookings!$C$5:$C$404=B226)*(Bookings!$AM$5:$AM$404="Completed")*Bookings!$I$5:$I$404))=0,"",SUMPRODUCT(MAX((Bookings!$C$5:$C$404=B226)*(Bookings!$AM$5:$AM$404="Completed")*Bookings!$I$5:$I$404))))</f>
        <v>0</v>
      </c>
      <c r="AC226" s="31">
        <f>IF(AB226="","",TODAY()-AB226)</f>
        <v>0</v>
      </c>
      <c r="AD226" s="21">
        <f>IF(B226="","",IF(COUNTIFS(Bookings!$C$5:$C$404,B226,Bookings!$I$5:$I$404,"&gt;="&amp;TODAY(),Bookings!$AM$5:$AM$404,"&lt;&gt;Cancelled")=0,"",SUMPRODUCT(MIN(((Bookings!$C$5:$C$404=B226)*(Bookings!$I$5:$I$404&gt;=TODAY())*(Bookings!$AM$5:$AM$404&lt;&gt;"Cancelled"))*Bookings!$I$5:$I$404+(1-((Bookings!$C$5:$C$404=B226)*(Bookings!$I$5:$I$404&gt;=TODAY())*(Bookings!$AM$5:$AM$404&lt;&gt;"Cancelled")))*2958465))))</f>
        <v>0</v>
      </c>
      <c r="AE226" s="29">
        <f>IF(B226="","",SUMIFS(Payments!$L$5:$L$304,Payments!$C$5:$C$304,B226))</f>
        <v>0</v>
      </c>
      <c r="AF226" s="29">
        <f>IF(B226="","",SUMIFS(Invoices!$O$5:$O$304,Invoices!$D$5:$D$304,B226,Invoices!$T$5:$T$304,"&lt;&gt;Draft"))</f>
        <v>0</v>
      </c>
      <c r="AG226" s="29">
        <f>IF(B226="","",SUMIFS(Invoices!$S$5:$S$304,Invoices!$D$5:$D$304,B226,Invoices!$T$5:$T$304,"&lt;&gt;Cancelled"))</f>
        <v>0</v>
      </c>
      <c r="AH226" s="29">
        <f>IF(OR(Z226="",Z226=0),"",SUMIFS(Bookings!$AK$5:$AK$404,Bookings!$C$5:$C$404,B226,Bookings!$AM$5:$AM$404,"&lt;&gt;Cancelled")/Z226)</f>
        <v>0</v>
      </c>
      <c r="AI226" s="49">
        <f>IF(B226="","",IF(Z226&gt;=LoyaltyThreshold,"Loyalty discount","Standard"))</f>
        <v>0</v>
      </c>
      <c r="AJ226" s="49">
        <f>IF(B226="","",IF(COUNTIF(Clients!$B$5:$B$254,B226)&gt;1,"Duplicate name",IF(AND(C226&lt;&gt;"",COUNTIF(Clients!$C$5:$C$254,C226)&gt;1),"Duplicate phone","OK")))</f>
        <v>0</v>
      </c>
      <c r="AK226" s="49">
        <f>IF(B226="","",IF(AND(C226&lt;&gt;"",D226&lt;&gt;"",L226&lt;&gt;"",M226&lt;&gt;""),"OK","Add: "&amp;IF(C226="","phone ","")&amp;IF(D226="","email ","")&amp;IF(L226="","date ","")&amp;IF(M226="","status","")))</f>
        <v>0</v>
      </c>
      <c r="AL226" s="49">
        <f>IF(B226="","",IF(AG226&gt;0.5,"Overdue - chase payment",IF(AND(M226="Active",ISNUMBER(AC226),AC226&gt;InactiveDays),"Inactive - win back",IF(AND(M226="Active",S226&lt;&gt;"Signed"),"Action - contract not signed",IF(AND(M226="Prospective",AD226=""),"Action - follow up quote","OK")))))</f>
        <v>0</v>
      </c>
    </row>
    <row r="227" spans="1:38">
      <c r="A227" s="46">
        <f>IF(B227="","",ClientPrefix&amp;TEXT(ROW()-4,"0000"))</f>
        <v>0</v>
      </c>
      <c r="Y227" s="31">
        <f>IF(B227="","",COUNTIF(Pets!$C$5:$C$254,B227))</f>
        <v>0</v>
      </c>
      <c r="Z227" s="31">
        <f>IF(B227="","",COUNTIFS(Bookings!$C$5:$C$404,B227))</f>
        <v>0</v>
      </c>
      <c r="AA227" s="31">
        <f>IF(B227="","",COUNTIFS('Visit Log'!$D$5:$D$404,B227,'Visit Log'!$AE$5:$AE$404,"Completed"))</f>
        <v>0</v>
      </c>
      <c r="AB227" s="21">
        <f>IF(B227="","",IF(SUMPRODUCT(MAX((Bookings!$C$5:$C$404=B227)*(Bookings!$AM$5:$AM$404="Completed")*Bookings!$I$5:$I$404))=0,"",SUMPRODUCT(MAX((Bookings!$C$5:$C$404=B227)*(Bookings!$AM$5:$AM$404="Completed")*Bookings!$I$5:$I$404))))</f>
        <v>0</v>
      </c>
      <c r="AC227" s="31">
        <f>IF(AB227="","",TODAY()-AB227)</f>
        <v>0</v>
      </c>
      <c r="AD227" s="21">
        <f>IF(B227="","",IF(COUNTIFS(Bookings!$C$5:$C$404,B227,Bookings!$I$5:$I$404,"&gt;="&amp;TODAY(),Bookings!$AM$5:$AM$404,"&lt;&gt;Cancelled")=0,"",SUMPRODUCT(MIN(((Bookings!$C$5:$C$404=B227)*(Bookings!$I$5:$I$404&gt;=TODAY())*(Bookings!$AM$5:$AM$404&lt;&gt;"Cancelled"))*Bookings!$I$5:$I$404+(1-((Bookings!$C$5:$C$404=B227)*(Bookings!$I$5:$I$404&gt;=TODAY())*(Bookings!$AM$5:$AM$404&lt;&gt;"Cancelled")))*2958465))))</f>
        <v>0</v>
      </c>
      <c r="AE227" s="29">
        <f>IF(B227="","",SUMIFS(Payments!$L$5:$L$304,Payments!$C$5:$C$304,B227))</f>
        <v>0</v>
      </c>
      <c r="AF227" s="29">
        <f>IF(B227="","",SUMIFS(Invoices!$O$5:$O$304,Invoices!$D$5:$D$304,B227,Invoices!$T$5:$T$304,"&lt;&gt;Draft"))</f>
        <v>0</v>
      </c>
      <c r="AG227" s="29">
        <f>IF(B227="","",SUMIFS(Invoices!$S$5:$S$304,Invoices!$D$5:$D$304,B227,Invoices!$T$5:$T$304,"&lt;&gt;Cancelled"))</f>
        <v>0</v>
      </c>
      <c r="AH227" s="29">
        <f>IF(OR(Z227="",Z227=0),"",SUMIFS(Bookings!$AK$5:$AK$404,Bookings!$C$5:$C$404,B227,Bookings!$AM$5:$AM$404,"&lt;&gt;Cancelled")/Z227)</f>
        <v>0</v>
      </c>
      <c r="AI227" s="49">
        <f>IF(B227="","",IF(Z227&gt;=LoyaltyThreshold,"Loyalty discount","Standard"))</f>
        <v>0</v>
      </c>
      <c r="AJ227" s="49">
        <f>IF(B227="","",IF(COUNTIF(Clients!$B$5:$B$254,B227)&gt;1,"Duplicate name",IF(AND(C227&lt;&gt;"",COUNTIF(Clients!$C$5:$C$254,C227)&gt;1),"Duplicate phone","OK")))</f>
        <v>0</v>
      </c>
      <c r="AK227" s="49">
        <f>IF(B227="","",IF(AND(C227&lt;&gt;"",D227&lt;&gt;"",L227&lt;&gt;"",M227&lt;&gt;""),"OK","Add: "&amp;IF(C227="","phone ","")&amp;IF(D227="","email ","")&amp;IF(L227="","date ","")&amp;IF(M227="","status","")))</f>
        <v>0</v>
      </c>
      <c r="AL227" s="49">
        <f>IF(B227="","",IF(AG227&gt;0.5,"Overdue - chase payment",IF(AND(M227="Active",ISNUMBER(AC227),AC227&gt;InactiveDays),"Inactive - win back",IF(AND(M227="Active",S227&lt;&gt;"Signed"),"Action - contract not signed",IF(AND(M227="Prospective",AD227=""),"Action - follow up quote","OK")))))</f>
        <v>0</v>
      </c>
    </row>
    <row r="228" spans="1:38">
      <c r="A228" s="46">
        <f>IF(B228="","",ClientPrefix&amp;TEXT(ROW()-4,"0000"))</f>
        <v>0</v>
      </c>
      <c r="Y228" s="31">
        <f>IF(B228="","",COUNTIF(Pets!$C$5:$C$254,B228))</f>
        <v>0</v>
      </c>
      <c r="Z228" s="31">
        <f>IF(B228="","",COUNTIFS(Bookings!$C$5:$C$404,B228))</f>
        <v>0</v>
      </c>
      <c r="AA228" s="31">
        <f>IF(B228="","",COUNTIFS('Visit Log'!$D$5:$D$404,B228,'Visit Log'!$AE$5:$AE$404,"Completed"))</f>
        <v>0</v>
      </c>
      <c r="AB228" s="21">
        <f>IF(B228="","",IF(SUMPRODUCT(MAX((Bookings!$C$5:$C$404=B228)*(Bookings!$AM$5:$AM$404="Completed")*Bookings!$I$5:$I$404))=0,"",SUMPRODUCT(MAX((Bookings!$C$5:$C$404=B228)*(Bookings!$AM$5:$AM$404="Completed")*Bookings!$I$5:$I$404))))</f>
        <v>0</v>
      </c>
      <c r="AC228" s="31">
        <f>IF(AB228="","",TODAY()-AB228)</f>
        <v>0</v>
      </c>
      <c r="AD228" s="21">
        <f>IF(B228="","",IF(COUNTIFS(Bookings!$C$5:$C$404,B228,Bookings!$I$5:$I$404,"&gt;="&amp;TODAY(),Bookings!$AM$5:$AM$404,"&lt;&gt;Cancelled")=0,"",SUMPRODUCT(MIN(((Bookings!$C$5:$C$404=B228)*(Bookings!$I$5:$I$404&gt;=TODAY())*(Bookings!$AM$5:$AM$404&lt;&gt;"Cancelled"))*Bookings!$I$5:$I$404+(1-((Bookings!$C$5:$C$404=B228)*(Bookings!$I$5:$I$404&gt;=TODAY())*(Bookings!$AM$5:$AM$404&lt;&gt;"Cancelled")))*2958465))))</f>
        <v>0</v>
      </c>
      <c r="AE228" s="29">
        <f>IF(B228="","",SUMIFS(Payments!$L$5:$L$304,Payments!$C$5:$C$304,B228))</f>
        <v>0</v>
      </c>
      <c r="AF228" s="29">
        <f>IF(B228="","",SUMIFS(Invoices!$O$5:$O$304,Invoices!$D$5:$D$304,B228,Invoices!$T$5:$T$304,"&lt;&gt;Draft"))</f>
        <v>0</v>
      </c>
      <c r="AG228" s="29">
        <f>IF(B228="","",SUMIFS(Invoices!$S$5:$S$304,Invoices!$D$5:$D$304,B228,Invoices!$T$5:$T$304,"&lt;&gt;Cancelled"))</f>
        <v>0</v>
      </c>
      <c r="AH228" s="29">
        <f>IF(OR(Z228="",Z228=0),"",SUMIFS(Bookings!$AK$5:$AK$404,Bookings!$C$5:$C$404,B228,Bookings!$AM$5:$AM$404,"&lt;&gt;Cancelled")/Z228)</f>
        <v>0</v>
      </c>
      <c r="AI228" s="49">
        <f>IF(B228="","",IF(Z228&gt;=LoyaltyThreshold,"Loyalty discount","Standard"))</f>
        <v>0</v>
      </c>
      <c r="AJ228" s="49">
        <f>IF(B228="","",IF(COUNTIF(Clients!$B$5:$B$254,B228)&gt;1,"Duplicate name",IF(AND(C228&lt;&gt;"",COUNTIF(Clients!$C$5:$C$254,C228)&gt;1),"Duplicate phone","OK")))</f>
        <v>0</v>
      </c>
      <c r="AK228" s="49">
        <f>IF(B228="","",IF(AND(C228&lt;&gt;"",D228&lt;&gt;"",L228&lt;&gt;"",M228&lt;&gt;""),"OK","Add: "&amp;IF(C228="","phone ","")&amp;IF(D228="","email ","")&amp;IF(L228="","date ","")&amp;IF(M228="","status","")))</f>
        <v>0</v>
      </c>
      <c r="AL228" s="49">
        <f>IF(B228="","",IF(AG228&gt;0.5,"Overdue - chase payment",IF(AND(M228="Active",ISNUMBER(AC228),AC228&gt;InactiveDays),"Inactive - win back",IF(AND(M228="Active",S228&lt;&gt;"Signed"),"Action - contract not signed",IF(AND(M228="Prospective",AD228=""),"Action - follow up quote","OK")))))</f>
        <v>0</v>
      </c>
    </row>
    <row r="229" spans="1:38">
      <c r="A229" s="46">
        <f>IF(B229="","",ClientPrefix&amp;TEXT(ROW()-4,"0000"))</f>
        <v>0</v>
      </c>
      <c r="Y229" s="31">
        <f>IF(B229="","",COUNTIF(Pets!$C$5:$C$254,B229))</f>
        <v>0</v>
      </c>
      <c r="Z229" s="31">
        <f>IF(B229="","",COUNTIFS(Bookings!$C$5:$C$404,B229))</f>
        <v>0</v>
      </c>
      <c r="AA229" s="31">
        <f>IF(B229="","",COUNTIFS('Visit Log'!$D$5:$D$404,B229,'Visit Log'!$AE$5:$AE$404,"Completed"))</f>
        <v>0</v>
      </c>
      <c r="AB229" s="21">
        <f>IF(B229="","",IF(SUMPRODUCT(MAX((Bookings!$C$5:$C$404=B229)*(Bookings!$AM$5:$AM$404="Completed")*Bookings!$I$5:$I$404))=0,"",SUMPRODUCT(MAX((Bookings!$C$5:$C$404=B229)*(Bookings!$AM$5:$AM$404="Completed")*Bookings!$I$5:$I$404))))</f>
        <v>0</v>
      </c>
      <c r="AC229" s="31">
        <f>IF(AB229="","",TODAY()-AB229)</f>
        <v>0</v>
      </c>
      <c r="AD229" s="21">
        <f>IF(B229="","",IF(COUNTIFS(Bookings!$C$5:$C$404,B229,Bookings!$I$5:$I$404,"&gt;="&amp;TODAY(),Bookings!$AM$5:$AM$404,"&lt;&gt;Cancelled")=0,"",SUMPRODUCT(MIN(((Bookings!$C$5:$C$404=B229)*(Bookings!$I$5:$I$404&gt;=TODAY())*(Bookings!$AM$5:$AM$404&lt;&gt;"Cancelled"))*Bookings!$I$5:$I$404+(1-((Bookings!$C$5:$C$404=B229)*(Bookings!$I$5:$I$404&gt;=TODAY())*(Bookings!$AM$5:$AM$404&lt;&gt;"Cancelled")))*2958465))))</f>
        <v>0</v>
      </c>
      <c r="AE229" s="29">
        <f>IF(B229="","",SUMIFS(Payments!$L$5:$L$304,Payments!$C$5:$C$304,B229))</f>
        <v>0</v>
      </c>
      <c r="AF229" s="29">
        <f>IF(B229="","",SUMIFS(Invoices!$O$5:$O$304,Invoices!$D$5:$D$304,B229,Invoices!$T$5:$T$304,"&lt;&gt;Draft"))</f>
        <v>0</v>
      </c>
      <c r="AG229" s="29">
        <f>IF(B229="","",SUMIFS(Invoices!$S$5:$S$304,Invoices!$D$5:$D$304,B229,Invoices!$T$5:$T$304,"&lt;&gt;Cancelled"))</f>
        <v>0</v>
      </c>
      <c r="AH229" s="29">
        <f>IF(OR(Z229="",Z229=0),"",SUMIFS(Bookings!$AK$5:$AK$404,Bookings!$C$5:$C$404,B229,Bookings!$AM$5:$AM$404,"&lt;&gt;Cancelled")/Z229)</f>
        <v>0</v>
      </c>
      <c r="AI229" s="49">
        <f>IF(B229="","",IF(Z229&gt;=LoyaltyThreshold,"Loyalty discount","Standard"))</f>
        <v>0</v>
      </c>
      <c r="AJ229" s="49">
        <f>IF(B229="","",IF(COUNTIF(Clients!$B$5:$B$254,B229)&gt;1,"Duplicate name",IF(AND(C229&lt;&gt;"",COUNTIF(Clients!$C$5:$C$254,C229)&gt;1),"Duplicate phone","OK")))</f>
        <v>0</v>
      </c>
      <c r="AK229" s="49">
        <f>IF(B229="","",IF(AND(C229&lt;&gt;"",D229&lt;&gt;"",L229&lt;&gt;"",M229&lt;&gt;""),"OK","Add: "&amp;IF(C229="","phone ","")&amp;IF(D229="","email ","")&amp;IF(L229="","date ","")&amp;IF(M229="","status","")))</f>
        <v>0</v>
      </c>
      <c r="AL229" s="49">
        <f>IF(B229="","",IF(AG229&gt;0.5,"Overdue - chase payment",IF(AND(M229="Active",ISNUMBER(AC229),AC229&gt;InactiveDays),"Inactive - win back",IF(AND(M229="Active",S229&lt;&gt;"Signed"),"Action - contract not signed",IF(AND(M229="Prospective",AD229=""),"Action - follow up quote","OK")))))</f>
        <v>0</v>
      </c>
    </row>
    <row r="230" spans="1:38">
      <c r="A230" s="46">
        <f>IF(B230="","",ClientPrefix&amp;TEXT(ROW()-4,"0000"))</f>
        <v>0</v>
      </c>
      <c r="Y230" s="31">
        <f>IF(B230="","",COUNTIF(Pets!$C$5:$C$254,B230))</f>
        <v>0</v>
      </c>
      <c r="Z230" s="31">
        <f>IF(B230="","",COUNTIFS(Bookings!$C$5:$C$404,B230))</f>
        <v>0</v>
      </c>
      <c r="AA230" s="31">
        <f>IF(B230="","",COUNTIFS('Visit Log'!$D$5:$D$404,B230,'Visit Log'!$AE$5:$AE$404,"Completed"))</f>
        <v>0</v>
      </c>
      <c r="AB230" s="21">
        <f>IF(B230="","",IF(SUMPRODUCT(MAX((Bookings!$C$5:$C$404=B230)*(Bookings!$AM$5:$AM$404="Completed")*Bookings!$I$5:$I$404))=0,"",SUMPRODUCT(MAX((Bookings!$C$5:$C$404=B230)*(Bookings!$AM$5:$AM$404="Completed")*Bookings!$I$5:$I$404))))</f>
        <v>0</v>
      </c>
      <c r="AC230" s="31">
        <f>IF(AB230="","",TODAY()-AB230)</f>
        <v>0</v>
      </c>
      <c r="AD230" s="21">
        <f>IF(B230="","",IF(COUNTIFS(Bookings!$C$5:$C$404,B230,Bookings!$I$5:$I$404,"&gt;="&amp;TODAY(),Bookings!$AM$5:$AM$404,"&lt;&gt;Cancelled")=0,"",SUMPRODUCT(MIN(((Bookings!$C$5:$C$404=B230)*(Bookings!$I$5:$I$404&gt;=TODAY())*(Bookings!$AM$5:$AM$404&lt;&gt;"Cancelled"))*Bookings!$I$5:$I$404+(1-((Bookings!$C$5:$C$404=B230)*(Bookings!$I$5:$I$404&gt;=TODAY())*(Bookings!$AM$5:$AM$404&lt;&gt;"Cancelled")))*2958465))))</f>
        <v>0</v>
      </c>
      <c r="AE230" s="29">
        <f>IF(B230="","",SUMIFS(Payments!$L$5:$L$304,Payments!$C$5:$C$304,B230))</f>
        <v>0</v>
      </c>
      <c r="AF230" s="29">
        <f>IF(B230="","",SUMIFS(Invoices!$O$5:$O$304,Invoices!$D$5:$D$304,B230,Invoices!$T$5:$T$304,"&lt;&gt;Draft"))</f>
        <v>0</v>
      </c>
      <c r="AG230" s="29">
        <f>IF(B230="","",SUMIFS(Invoices!$S$5:$S$304,Invoices!$D$5:$D$304,B230,Invoices!$T$5:$T$304,"&lt;&gt;Cancelled"))</f>
        <v>0</v>
      </c>
      <c r="AH230" s="29">
        <f>IF(OR(Z230="",Z230=0),"",SUMIFS(Bookings!$AK$5:$AK$404,Bookings!$C$5:$C$404,B230,Bookings!$AM$5:$AM$404,"&lt;&gt;Cancelled")/Z230)</f>
        <v>0</v>
      </c>
      <c r="AI230" s="49">
        <f>IF(B230="","",IF(Z230&gt;=LoyaltyThreshold,"Loyalty discount","Standard"))</f>
        <v>0</v>
      </c>
      <c r="AJ230" s="49">
        <f>IF(B230="","",IF(COUNTIF(Clients!$B$5:$B$254,B230)&gt;1,"Duplicate name",IF(AND(C230&lt;&gt;"",COUNTIF(Clients!$C$5:$C$254,C230)&gt;1),"Duplicate phone","OK")))</f>
        <v>0</v>
      </c>
      <c r="AK230" s="49">
        <f>IF(B230="","",IF(AND(C230&lt;&gt;"",D230&lt;&gt;"",L230&lt;&gt;"",M230&lt;&gt;""),"OK","Add: "&amp;IF(C230="","phone ","")&amp;IF(D230="","email ","")&amp;IF(L230="","date ","")&amp;IF(M230="","status","")))</f>
        <v>0</v>
      </c>
      <c r="AL230" s="49">
        <f>IF(B230="","",IF(AG230&gt;0.5,"Overdue - chase payment",IF(AND(M230="Active",ISNUMBER(AC230),AC230&gt;InactiveDays),"Inactive - win back",IF(AND(M230="Active",S230&lt;&gt;"Signed"),"Action - contract not signed",IF(AND(M230="Prospective",AD230=""),"Action - follow up quote","OK")))))</f>
        <v>0</v>
      </c>
    </row>
    <row r="231" spans="1:38">
      <c r="A231" s="46">
        <f>IF(B231="","",ClientPrefix&amp;TEXT(ROW()-4,"0000"))</f>
        <v>0</v>
      </c>
      <c r="Y231" s="31">
        <f>IF(B231="","",COUNTIF(Pets!$C$5:$C$254,B231))</f>
        <v>0</v>
      </c>
      <c r="Z231" s="31">
        <f>IF(B231="","",COUNTIFS(Bookings!$C$5:$C$404,B231))</f>
        <v>0</v>
      </c>
      <c r="AA231" s="31">
        <f>IF(B231="","",COUNTIFS('Visit Log'!$D$5:$D$404,B231,'Visit Log'!$AE$5:$AE$404,"Completed"))</f>
        <v>0</v>
      </c>
      <c r="AB231" s="21">
        <f>IF(B231="","",IF(SUMPRODUCT(MAX((Bookings!$C$5:$C$404=B231)*(Bookings!$AM$5:$AM$404="Completed")*Bookings!$I$5:$I$404))=0,"",SUMPRODUCT(MAX((Bookings!$C$5:$C$404=B231)*(Bookings!$AM$5:$AM$404="Completed")*Bookings!$I$5:$I$404))))</f>
        <v>0</v>
      </c>
      <c r="AC231" s="31">
        <f>IF(AB231="","",TODAY()-AB231)</f>
        <v>0</v>
      </c>
      <c r="AD231" s="21">
        <f>IF(B231="","",IF(COUNTIFS(Bookings!$C$5:$C$404,B231,Bookings!$I$5:$I$404,"&gt;="&amp;TODAY(),Bookings!$AM$5:$AM$404,"&lt;&gt;Cancelled")=0,"",SUMPRODUCT(MIN(((Bookings!$C$5:$C$404=B231)*(Bookings!$I$5:$I$404&gt;=TODAY())*(Bookings!$AM$5:$AM$404&lt;&gt;"Cancelled"))*Bookings!$I$5:$I$404+(1-((Bookings!$C$5:$C$404=B231)*(Bookings!$I$5:$I$404&gt;=TODAY())*(Bookings!$AM$5:$AM$404&lt;&gt;"Cancelled")))*2958465))))</f>
        <v>0</v>
      </c>
      <c r="AE231" s="29">
        <f>IF(B231="","",SUMIFS(Payments!$L$5:$L$304,Payments!$C$5:$C$304,B231))</f>
        <v>0</v>
      </c>
      <c r="AF231" s="29">
        <f>IF(B231="","",SUMIFS(Invoices!$O$5:$O$304,Invoices!$D$5:$D$304,B231,Invoices!$T$5:$T$304,"&lt;&gt;Draft"))</f>
        <v>0</v>
      </c>
      <c r="AG231" s="29">
        <f>IF(B231="","",SUMIFS(Invoices!$S$5:$S$304,Invoices!$D$5:$D$304,B231,Invoices!$T$5:$T$304,"&lt;&gt;Cancelled"))</f>
        <v>0</v>
      </c>
      <c r="AH231" s="29">
        <f>IF(OR(Z231="",Z231=0),"",SUMIFS(Bookings!$AK$5:$AK$404,Bookings!$C$5:$C$404,B231,Bookings!$AM$5:$AM$404,"&lt;&gt;Cancelled")/Z231)</f>
        <v>0</v>
      </c>
      <c r="AI231" s="49">
        <f>IF(B231="","",IF(Z231&gt;=LoyaltyThreshold,"Loyalty discount","Standard"))</f>
        <v>0</v>
      </c>
      <c r="AJ231" s="49">
        <f>IF(B231="","",IF(COUNTIF(Clients!$B$5:$B$254,B231)&gt;1,"Duplicate name",IF(AND(C231&lt;&gt;"",COUNTIF(Clients!$C$5:$C$254,C231)&gt;1),"Duplicate phone","OK")))</f>
        <v>0</v>
      </c>
      <c r="AK231" s="49">
        <f>IF(B231="","",IF(AND(C231&lt;&gt;"",D231&lt;&gt;"",L231&lt;&gt;"",M231&lt;&gt;""),"OK","Add: "&amp;IF(C231="","phone ","")&amp;IF(D231="","email ","")&amp;IF(L231="","date ","")&amp;IF(M231="","status","")))</f>
        <v>0</v>
      </c>
      <c r="AL231" s="49">
        <f>IF(B231="","",IF(AG231&gt;0.5,"Overdue - chase payment",IF(AND(M231="Active",ISNUMBER(AC231),AC231&gt;InactiveDays),"Inactive - win back",IF(AND(M231="Active",S231&lt;&gt;"Signed"),"Action - contract not signed",IF(AND(M231="Prospective",AD231=""),"Action - follow up quote","OK")))))</f>
        <v>0</v>
      </c>
    </row>
    <row r="232" spans="1:38">
      <c r="A232" s="46">
        <f>IF(B232="","",ClientPrefix&amp;TEXT(ROW()-4,"0000"))</f>
        <v>0</v>
      </c>
      <c r="Y232" s="31">
        <f>IF(B232="","",COUNTIF(Pets!$C$5:$C$254,B232))</f>
        <v>0</v>
      </c>
      <c r="Z232" s="31">
        <f>IF(B232="","",COUNTIFS(Bookings!$C$5:$C$404,B232))</f>
        <v>0</v>
      </c>
      <c r="AA232" s="31">
        <f>IF(B232="","",COUNTIFS('Visit Log'!$D$5:$D$404,B232,'Visit Log'!$AE$5:$AE$404,"Completed"))</f>
        <v>0</v>
      </c>
      <c r="AB232" s="21">
        <f>IF(B232="","",IF(SUMPRODUCT(MAX((Bookings!$C$5:$C$404=B232)*(Bookings!$AM$5:$AM$404="Completed")*Bookings!$I$5:$I$404))=0,"",SUMPRODUCT(MAX((Bookings!$C$5:$C$404=B232)*(Bookings!$AM$5:$AM$404="Completed")*Bookings!$I$5:$I$404))))</f>
        <v>0</v>
      </c>
      <c r="AC232" s="31">
        <f>IF(AB232="","",TODAY()-AB232)</f>
        <v>0</v>
      </c>
      <c r="AD232" s="21">
        <f>IF(B232="","",IF(COUNTIFS(Bookings!$C$5:$C$404,B232,Bookings!$I$5:$I$404,"&gt;="&amp;TODAY(),Bookings!$AM$5:$AM$404,"&lt;&gt;Cancelled")=0,"",SUMPRODUCT(MIN(((Bookings!$C$5:$C$404=B232)*(Bookings!$I$5:$I$404&gt;=TODAY())*(Bookings!$AM$5:$AM$404&lt;&gt;"Cancelled"))*Bookings!$I$5:$I$404+(1-((Bookings!$C$5:$C$404=B232)*(Bookings!$I$5:$I$404&gt;=TODAY())*(Bookings!$AM$5:$AM$404&lt;&gt;"Cancelled")))*2958465))))</f>
        <v>0</v>
      </c>
      <c r="AE232" s="29">
        <f>IF(B232="","",SUMIFS(Payments!$L$5:$L$304,Payments!$C$5:$C$304,B232))</f>
        <v>0</v>
      </c>
      <c r="AF232" s="29">
        <f>IF(B232="","",SUMIFS(Invoices!$O$5:$O$304,Invoices!$D$5:$D$304,B232,Invoices!$T$5:$T$304,"&lt;&gt;Draft"))</f>
        <v>0</v>
      </c>
      <c r="AG232" s="29">
        <f>IF(B232="","",SUMIFS(Invoices!$S$5:$S$304,Invoices!$D$5:$D$304,B232,Invoices!$T$5:$T$304,"&lt;&gt;Cancelled"))</f>
        <v>0</v>
      </c>
      <c r="AH232" s="29">
        <f>IF(OR(Z232="",Z232=0),"",SUMIFS(Bookings!$AK$5:$AK$404,Bookings!$C$5:$C$404,B232,Bookings!$AM$5:$AM$404,"&lt;&gt;Cancelled")/Z232)</f>
        <v>0</v>
      </c>
      <c r="AI232" s="49">
        <f>IF(B232="","",IF(Z232&gt;=LoyaltyThreshold,"Loyalty discount","Standard"))</f>
        <v>0</v>
      </c>
      <c r="AJ232" s="49">
        <f>IF(B232="","",IF(COUNTIF(Clients!$B$5:$B$254,B232)&gt;1,"Duplicate name",IF(AND(C232&lt;&gt;"",COUNTIF(Clients!$C$5:$C$254,C232)&gt;1),"Duplicate phone","OK")))</f>
        <v>0</v>
      </c>
      <c r="AK232" s="49">
        <f>IF(B232="","",IF(AND(C232&lt;&gt;"",D232&lt;&gt;"",L232&lt;&gt;"",M232&lt;&gt;""),"OK","Add: "&amp;IF(C232="","phone ","")&amp;IF(D232="","email ","")&amp;IF(L232="","date ","")&amp;IF(M232="","status","")))</f>
        <v>0</v>
      </c>
      <c r="AL232" s="49">
        <f>IF(B232="","",IF(AG232&gt;0.5,"Overdue - chase payment",IF(AND(M232="Active",ISNUMBER(AC232),AC232&gt;InactiveDays),"Inactive - win back",IF(AND(M232="Active",S232&lt;&gt;"Signed"),"Action - contract not signed",IF(AND(M232="Prospective",AD232=""),"Action - follow up quote","OK")))))</f>
        <v>0</v>
      </c>
    </row>
    <row r="233" spans="1:38">
      <c r="A233" s="46">
        <f>IF(B233="","",ClientPrefix&amp;TEXT(ROW()-4,"0000"))</f>
        <v>0</v>
      </c>
      <c r="Y233" s="31">
        <f>IF(B233="","",COUNTIF(Pets!$C$5:$C$254,B233))</f>
        <v>0</v>
      </c>
      <c r="Z233" s="31">
        <f>IF(B233="","",COUNTIFS(Bookings!$C$5:$C$404,B233))</f>
        <v>0</v>
      </c>
      <c r="AA233" s="31">
        <f>IF(B233="","",COUNTIFS('Visit Log'!$D$5:$D$404,B233,'Visit Log'!$AE$5:$AE$404,"Completed"))</f>
        <v>0</v>
      </c>
      <c r="AB233" s="21">
        <f>IF(B233="","",IF(SUMPRODUCT(MAX((Bookings!$C$5:$C$404=B233)*(Bookings!$AM$5:$AM$404="Completed")*Bookings!$I$5:$I$404))=0,"",SUMPRODUCT(MAX((Bookings!$C$5:$C$404=B233)*(Bookings!$AM$5:$AM$404="Completed")*Bookings!$I$5:$I$404))))</f>
        <v>0</v>
      </c>
      <c r="AC233" s="31">
        <f>IF(AB233="","",TODAY()-AB233)</f>
        <v>0</v>
      </c>
      <c r="AD233" s="21">
        <f>IF(B233="","",IF(COUNTIFS(Bookings!$C$5:$C$404,B233,Bookings!$I$5:$I$404,"&gt;="&amp;TODAY(),Bookings!$AM$5:$AM$404,"&lt;&gt;Cancelled")=0,"",SUMPRODUCT(MIN(((Bookings!$C$5:$C$404=B233)*(Bookings!$I$5:$I$404&gt;=TODAY())*(Bookings!$AM$5:$AM$404&lt;&gt;"Cancelled"))*Bookings!$I$5:$I$404+(1-((Bookings!$C$5:$C$404=B233)*(Bookings!$I$5:$I$404&gt;=TODAY())*(Bookings!$AM$5:$AM$404&lt;&gt;"Cancelled")))*2958465))))</f>
        <v>0</v>
      </c>
      <c r="AE233" s="29">
        <f>IF(B233="","",SUMIFS(Payments!$L$5:$L$304,Payments!$C$5:$C$304,B233))</f>
        <v>0</v>
      </c>
      <c r="AF233" s="29">
        <f>IF(B233="","",SUMIFS(Invoices!$O$5:$O$304,Invoices!$D$5:$D$304,B233,Invoices!$T$5:$T$304,"&lt;&gt;Draft"))</f>
        <v>0</v>
      </c>
      <c r="AG233" s="29">
        <f>IF(B233="","",SUMIFS(Invoices!$S$5:$S$304,Invoices!$D$5:$D$304,B233,Invoices!$T$5:$T$304,"&lt;&gt;Cancelled"))</f>
        <v>0</v>
      </c>
      <c r="AH233" s="29">
        <f>IF(OR(Z233="",Z233=0),"",SUMIFS(Bookings!$AK$5:$AK$404,Bookings!$C$5:$C$404,B233,Bookings!$AM$5:$AM$404,"&lt;&gt;Cancelled")/Z233)</f>
        <v>0</v>
      </c>
      <c r="AI233" s="49">
        <f>IF(B233="","",IF(Z233&gt;=LoyaltyThreshold,"Loyalty discount","Standard"))</f>
        <v>0</v>
      </c>
      <c r="AJ233" s="49">
        <f>IF(B233="","",IF(COUNTIF(Clients!$B$5:$B$254,B233)&gt;1,"Duplicate name",IF(AND(C233&lt;&gt;"",COUNTIF(Clients!$C$5:$C$254,C233)&gt;1),"Duplicate phone","OK")))</f>
        <v>0</v>
      </c>
      <c r="AK233" s="49">
        <f>IF(B233="","",IF(AND(C233&lt;&gt;"",D233&lt;&gt;"",L233&lt;&gt;"",M233&lt;&gt;""),"OK","Add: "&amp;IF(C233="","phone ","")&amp;IF(D233="","email ","")&amp;IF(L233="","date ","")&amp;IF(M233="","status","")))</f>
        <v>0</v>
      </c>
      <c r="AL233" s="49">
        <f>IF(B233="","",IF(AG233&gt;0.5,"Overdue - chase payment",IF(AND(M233="Active",ISNUMBER(AC233),AC233&gt;InactiveDays),"Inactive - win back",IF(AND(M233="Active",S233&lt;&gt;"Signed"),"Action - contract not signed",IF(AND(M233="Prospective",AD233=""),"Action - follow up quote","OK")))))</f>
        <v>0</v>
      </c>
    </row>
    <row r="234" spans="1:38">
      <c r="A234" s="46">
        <f>IF(B234="","",ClientPrefix&amp;TEXT(ROW()-4,"0000"))</f>
        <v>0</v>
      </c>
      <c r="Y234" s="31">
        <f>IF(B234="","",COUNTIF(Pets!$C$5:$C$254,B234))</f>
        <v>0</v>
      </c>
      <c r="Z234" s="31">
        <f>IF(B234="","",COUNTIFS(Bookings!$C$5:$C$404,B234))</f>
        <v>0</v>
      </c>
      <c r="AA234" s="31">
        <f>IF(B234="","",COUNTIFS('Visit Log'!$D$5:$D$404,B234,'Visit Log'!$AE$5:$AE$404,"Completed"))</f>
        <v>0</v>
      </c>
      <c r="AB234" s="21">
        <f>IF(B234="","",IF(SUMPRODUCT(MAX((Bookings!$C$5:$C$404=B234)*(Bookings!$AM$5:$AM$404="Completed")*Bookings!$I$5:$I$404))=0,"",SUMPRODUCT(MAX((Bookings!$C$5:$C$404=B234)*(Bookings!$AM$5:$AM$404="Completed")*Bookings!$I$5:$I$404))))</f>
        <v>0</v>
      </c>
      <c r="AC234" s="31">
        <f>IF(AB234="","",TODAY()-AB234)</f>
        <v>0</v>
      </c>
      <c r="AD234" s="21">
        <f>IF(B234="","",IF(COUNTIFS(Bookings!$C$5:$C$404,B234,Bookings!$I$5:$I$404,"&gt;="&amp;TODAY(),Bookings!$AM$5:$AM$404,"&lt;&gt;Cancelled")=0,"",SUMPRODUCT(MIN(((Bookings!$C$5:$C$404=B234)*(Bookings!$I$5:$I$404&gt;=TODAY())*(Bookings!$AM$5:$AM$404&lt;&gt;"Cancelled"))*Bookings!$I$5:$I$404+(1-((Bookings!$C$5:$C$404=B234)*(Bookings!$I$5:$I$404&gt;=TODAY())*(Bookings!$AM$5:$AM$404&lt;&gt;"Cancelled")))*2958465))))</f>
        <v>0</v>
      </c>
      <c r="AE234" s="29">
        <f>IF(B234="","",SUMIFS(Payments!$L$5:$L$304,Payments!$C$5:$C$304,B234))</f>
        <v>0</v>
      </c>
      <c r="AF234" s="29">
        <f>IF(B234="","",SUMIFS(Invoices!$O$5:$O$304,Invoices!$D$5:$D$304,B234,Invoices!$T$5:$T$304,"&lt;&gt;Draft"))</f>
        <v>0</v>
      </c>
      <c r="AG234" s="29">
        <f>IF(B234="","",SUMIFS(Invoices!$S$5:$S$304,Invoices!$D$5:$D$304,B234,Invoices!$T$5:$T$304,"&lt;&gt;Cancelled"))</f>
        <v>0</v>
      </c>
      <c r="AH234" s="29">
        <f>IF(OR(Z234="",Z234=0),"",SUMIFS(Bookings!$AK$5:$AK$404,Bookings!$C$5:$C$404,B234,Bookings!$AM$5:$AM$404,"&lt;&gt;Cancelled")/Z234)</f>
        <v>0</v>
      </c>
      <c r="AI234" s="49">
        <f>IF(B234="","",IF(Z234&gt;=LoyaltyThreshold,"Loyalty discount","Standard"))</f>
        <v>0</v>
      </c>
      <c r="AJ234" s="49">
        <f>IF(B234="","",IF(COUNTIF(Clients!$B$5:$B$254,B234)&gt;1,"Duplicate name",IF(AND(C234&lt;&gt;"",COUNTIF(Clients!$C$5:$C$254,C234)&gt;1),"Duplicate phone","OK")))</f>
        <v>0</v>
      </c>
      <c r="AK234" s="49">
        <f>IF(B234="","",IF(AND(C234&lt;&gt;"",D234&lt;&gt;"",L234&lt;&gt;"",M234&lt;&gt;""),"OK","Add: "&amp;IF(C234="","phone ","")&amp;IF(D234="","email ","")&amp;IF(L234="","date ","")&amp;IF(M234="","status","")))</f>
        <v>0</v>
      </c>
      <c r="AL234" s="49">
        <f>IF(B234="","",IF(AG234&gt;0.5,"Overdue - chase payment",IF(AND(M234="Active",ISNUMBER(AC234),AC234&gt;InactiveDays),"Inactive - win back",IF(AND(M234="Active",S234&lt;&gt;"Signed"),"Action - contract not signed",IF(AND(M234="Prospective",AD234=""),"Action - follow up quote","OK")))))</f>
        <v>0</v>
      </c>
    </row>
    <row r="235" spans="1:38">
      <c r="A235" s="46">
        <f>IF(B235="","",ClientPrefix&amp;TEXT(ROW()-4,"0000"))</f>
        <v>0</v>
      </c>
      <c r="Y235" s="31">
        <f>IF(B235="","",COUNTIF(Pets!$C$5:$C$254,B235))</f>
        <v>0</v>
      </c>
      <c r="Z235" s="31">
        <f>IF(B235="","",COUNTIFS(Bookings!$C$5:$C$404,B235))</f>
        <v>0</v>
      </c>
      <c r="AA235" s="31">
        <f>IF(B235="","",COUNTIFS('Visit Log'!$D$5:$D$404,B235,'Visit Log'!$AE$5:$AE$404,"Completed"))</f>
        <v>0</v>
      </c>
      <c r="AB235" s="21">
        <f>IF(B235="","",IF(SUMPRODUCT(MAX((Bookings!$C$5:$C$404=B235)*(Bookings!$AM$5:$AM$404="Completed")*Bookings!$I$5:$I$404))=0,"",SUMPRODUCT(MAX((Bookings!$C$5:$C$404=B235)*(Bookings!$AM$5:$AM$404="Completed")*Bookings!$I$5:$I$404))))</f>
        <v>0</v>
      </c>
      <c r="AC235" s="31">
        <f>IF(AB235="","",TODAY()-AB235)</f>
        <v>0</v>
      </c>
      <c r="AD235" s="21">
        <f>IF(B235="","",IF(COUNTIFS(Bookings!$C$5:$C$404,B235,Bookings!$I$5:$I$404,"&gt;="&amp;TODAY(),Bookings!$AM$5:$AM$404,"&lt;&gt;Cancelled")=0,"",SUMPRODUCT(MIN(((Bookings!$C$5:$C$404=B235)*(Bookings!$I$5:$I$404&gt;=TODAY())*(Bookings!$AM$5:$AM$404&lt;&gt;"Cancelled"))*Bookings!$I$5:$I$404+(1-((Bookings!$C$5:$C$404=B235)*(Bookings!$I$5:$I$404&gt;=TODAY())*(Bookings!$AM$5:$AM$404&lt;&gt;"Cancelled")))*2958465))))</f>
        <v>0</v>
      </c>
      <c r="AE235" s="29">
        <f>IF(B235="","",SUMIFS(Payments!$L$5:$L$304,Payments!$C$5:$C$304,B235))</f>
        <v>0</v>
      </c>
      <c r="AF235" s="29">
        <f>IF(B235="","",SUMIFS(Invoices!$O$5:$O$304,Invoices!$D$5:$D$304,B235,Invoices!$T$5:$T$304,"&lt;&gt;Draft"))</f>
        <v>0</v>
      </c>
      <c r="AG235" s="29">
        <f>IF(B235="","",SUMIFS(Invoices!$S$5:$S$304,Invoices!$D$5:$D$304,B235,Invoices!$T$5:$T$304,"&lt;&gt;Cancelled"))</f>
        <v>0</v>
      </c>
      <c r="AH235" s="29">
        <f>IF(OR(Z235="",Z235=0),"",SUMIFS(Bookings!$AK$5:$AK$404,Bookings!$C$5:$C$404,B235,Bookings!$AM$5:$AM$404,"&lt;&gt;Cancelled")/Z235)</f>
        <v>0</v>
      </c>
      <c r="AI235" s="49">
        <f>IF(B235="","",IF(Z235&gt;=LoyaltyThreshold,"Loyalty discount","Standard"))</f>
        <v>0</v>
      </c>
      <c r="AJ235" s="49">
        <f>IF(B235="","",IF(COUNTIF(Clients!$B$5:$B$254,B235)&gt;1,"Duplicate name",IF(AND(C235&lt;&gt;"",COUNTIF(Clients!$C$5:$C$254,C235)&gt;1),"Duplicate phone","OK")))</f>
        <v>0</v>
      </c>
      <c r="AK235" s="49">
        <f>IF(B235="","",IF(AND(C235&lt;&gt;"",D235&lt;&gt;"",L235&lt;&gt;"",M235&lt;&gt;""),"OK","Add: "&amp;IF(C235="","phone ","")&amp;IF(D235="","email ","")&amp;IF(L235="","date ","")&amp;IF(M235="","status","")))</f>
        <v>0</v>
      </c>
      <c r="AL235" s="49">
        <f>IF(B235="","",IF(AG235&gt;0.5,"Overdue - chase payment",IF(AND(M235="Active",ISNUMBER(AC235),AC235&gt;InactiveDays),"Inactive - win back",IF(AND(M235="Active",S235&lt;&gt;"Signed"),"Action - contract not signed",IF(AND(M235="Prospective",AD235=""),"Action - follow up quote","OK")))))</f>
        <v>0</v>
      </c>
    </row>
    <row r="236" spans="1:38">
      <c r="A236" s="46">
        <f>IF(B236="","",ClientPrefix&amp;TEXT(ROW()-4,"0000"))</f>
        <v>0</v>
      </c>
      <c r="Y236" s="31">
        <f>IF(B236="","",COUNTIF(Pets!$C$5:$C$254,B236))</f>
        <v>0</v>
      </c>
      <c r="Z236" s="31">
        <f>IF(B236="","",COUNTIFS(Bookings!$C$5:$C$404,B236))</f>
        <v>0</v>
      </c>
      <c r="AA236" s="31">
        <f>IF(B236="","",COUNTIFS('Visit Log'!$D$5:$D$404,B236,'Visit Log'!$AE$5:$AE$404,"Completed"))</f>
        <v>0</v>
      </c>
      <c r="AB236" s="21">
        <f>IF(B236="","",IF(SUMPRODUCT(MAX((Bookings!$C$5:$C$404=B236)*(Bookings!$AM$5:$AM$404="Completed")*Bookings!$I$5:$I$404))=0,"",SUMPRODUCT(MAX((Bookings!$C$5:$C$404=B236)*(Bookings!$AM$5:$AM$404="Completed")*Bookings!$I$5:$I$404))))</f>
        <v>0</v>
      </c>
      <c r="AC236" s="31">
        <f>IF(AB236="","",TODAY()-AB236)</f>
        <v>0</v>
      </c>
      <c r="AD236" s="21">
        <f>IF(B236="","",IF(COUNTIFS(Bookings!$C$5:$C$404,B236,Bookings!$I$5:$I$404,"&gt;="&amp;TODAY(),Bookings!$AM$5:$AM$404,"&lt;&gt;Cancelled")=0,"",SUMPRODUCT(MIN(((Bookings!$C$5:$C$404=B236)*(Bookings!$I$5:$I$404&gt;=TODAY())*(Bookings!$AM$5:$AM$404&lt;&gt;"Cancelled"))*Bookings!$I$5:$I$404+(1-((Bookings!$C$5:$C$404=B236)*(Bookings!$I$5:$I$404&gt;=TODAY())*(Bookings!$AM$5:$AM$404&lt;&gt;"Cancelled")))*2958465))))</f>
        <v>0</v>
      </c>
      <c r="AE236" s="29">
        <f>IF(B236="","",SUMIFS(Payments!$L$5:$L$304,Payments!$C$5:$C$304,B236))</f>
        <v>0</v>
      </c>
      <c r="AF236" s="29">
        <f>IF(B236="","",SUMIFS(Invoices!$O$5:$O$304,Invoices!$D$5:$D$304,B236,Invoices!$T$5:$T$304,"&lt;&gt;Draft"))</f>
        <v>0</v>
      </c>
      <c r="AG236" s="29">
        <f>IF(B236="","",SUMIFS(Invoices!$S$5:$S$304,Invoices!$D$5:$D$304,B236,Invoices!$T$5:$T$304,"&lt;&gt;Cancelled"))</f>
        <v>0</v>
      </c>
      <c r="AH236" s="29">
        <f>IF(OR(Z236="",Z236=0),"",SUMIFS(Bookings!$AK$5:$AK$404,Bookings!$C$5:$C$404,B236,Bookings!$AM$5:$AM$404,"&lt;&gt;Cancelled")/Z236)</f>
        <v>0</v>
      </c>
      <c r="AI236" s="49">
        <f>IF(B236="","",IF(Z236&gt;=LoyaltyThreshold,"Loyalty discount","Standard"))</f>
        <v>0</v>
      </c>
      <c r="AJ236" s="49">
        <f>IF(B236="","",IF(COUNTIF(Clients!$B$5:$B$254,B236)&gt;1,"Duplicate name",IF(AND(C236&lt;&gt;"",COUNTIF(Clients!$C$5:$C$254,C236)&gt;1),"Duplicate phone","OK")))</f>
        <v>0</v>
      </c>
      <c r="AK236" s="49">
        <f>IF(B236="","",IF(AND(C236&lt;&gt;"",D236&lt;&gt;"",L236&lt;&gt;"",M236&lt;&gt;""),"OK","Add: "&amp;IF(C236="","phone ","")&amp;IF(D236="","email ","")&amp;IF(L236="","date ","")&amp;IF(M236="","status","")))</f>
        <v>0</v>
      </c>
      <c r="AL236" s="49">
        <f>IF(B236="","",IF(AG236&gt;0.5,"Overdue - chase payment",IF(AND(M236="Active",ISNUMBER(AC236),AC236&gt;InactiveDays),"Inactive - win back",IF(AND(M236="Active",S236&lt;&gt;"Signed"),"Action - contract not signed",IF(AND(M236="Prospective",AD236=""),"Action - follow up quote","OK")))))</f>
        <v>0</v>
      </c>
    </row>
    <row r="237" spans="1:38">
      <c r="A237" s="46">
        <f>IF(B237="","",ClientPrefix&amp;TEXT(ROW()-4,"0000"))</f>
        <v>0</v>
      </c>
      <c r="Y237" s="31">
        <f>IF(B237="","",COUNTIF(Pets!$C$5:$C$254,B237))</f>
        <v>0</v>
      </c>
      <c r="Z237" s="31">
        <f>IF(B237="","",COUNTIFS(Bookings!$C$5:$C$404,B237))</f>
        <v>0</v>
      </c>
      <c r="AA237" s="31">
        <f>IF(B237="","",COUNTIFS('Visit Log'!$D$5:$D$404,B237,'Visit Log'!$AE$5:$AE$404,"Completed"))</f>
        <v>0</v>
      </c>
      <c r="AB237" s="21">
        <f>IF(B237="","",IF(SUMPRODUCT(MAX((Bookings!$C$5:$C$404=B237)*(Bookings!$AM$5:$AM$404="Completed")*Bookings!$I$5:$I$404))=0,"",SUMPRODUCT(MAX((Bookings!$C$5:$C$404=B237)*(Bookings!$AM$5:$AM$404="Completed")*Bookings!$I$5:$I$404))))</f>
        <v>0</v>
      </c>
      <c r="AC237" s="31">
        <f>IF(AB237="","",TODAY()-AB237)</f>
        <v>0</v>
      </c>
      <c r="AD237" s="21">
        <f>IF(B237="","",IF(COUNTIFS(Bookings!$C$5:$C$404,B237,Bookings!$I$5:$I$404,"&gt;="&amp;TODAY(),Bookings!$AM$5:$AM$404,"&lt;&gt;Cancelled")=0,"",SUMPRODUCT(MIN(((Bookings!$C$5:$C$404=B237)*(Bookings!$I$5:$I$404&gt;=TODAY())*(Bookings!$AM$5:$AM$404&lt;&gt;"Cancelled"))*Bookings!$I$5:$I$404+(1-((Bookings!$C$5:$C$404=B237)*(Bookings!$I$5:$I$404&gt;=TODAY())*(Bookings!$AM$5:$AM$404&lt;&gt;"Cancelled")))*2958465))))</f>
        <v>0</v>
      </c>
      <c r="AE237" s="29">
        <f>IF(B237="","",SUMIFS(Payments!$L$5:$L$304,Payments!$C$5:$C$304,B237))</f>
        <v>0</v>
      </c>
      <c r="AF237" s="29">
        <f>IF(B237="","",SUMIFS(Invoices!$O$5:$O$304,Invoices!$D$5:$D$304,B237,Invoices!$T$5:$T$304,"&lt;&gt;Draft"))</f>
        <v>0</v>
      </c>
      <c r="AG237" s="29">
        <f>IF(B237="","",SUMIFS(Invoices!$S$5:$S$304,Invoices!$D$5:$D$304,B237,Invoices!$T$5:$T$304,"&lt;&gt;Cancelled"))</f>
        <v>0</v>
      </c>
      <c r="AH237" s="29">
        <f>IF(OR(Z237="",Z237=0),"",SUMIFS(Bookings!$AK$5:$AK$404,Bookings!$C$5:$C$404,B237,Bookings!$AM$5:$AM$404,"&lt;&gt;Cancelled")/Z237)</f>
        <v>0</v>
      </c>
      <c r="AI237" s="49">
        <f>IF(B237="","",IF(Z237&gt;=LoyaltyThreshold,"Loyalty discount","Standard"))</f>
        <v>0</v>
      </c>
      <c r="AJ237" s="49">
        <f>IF(B237="","",IF(COUNTIF(Clients!$B$5:$B$254,B237)&gt;1,"Duplicate name",IF(AND(C237&lt;&gt;"",COUNTIF(Clients!$C$5:$C$254,C237)&gt;1),"Duplicate phone","OK")))</f>
        <v>0</v>
      </c>
      <c r="AK237" s="49">
        <f>IF(B237="","",IF(AND(C237&lt;&gt;"",D237&lt;&gt;"",L237&lt;&gt;"",M237&lt;&gt;""),"OK","Add: "&amp;IF(C237="","phone ","")&amp;IF(D237="","email ","")&amp;IF(L237="","date ","")&amp;IF(M237="","status","")))</f>
        <v>0</v>
      </c>
      <c r="AL237" s="49">
        <f>IF(B237="","",IF(AG237&gt;0.5,"Overdue - chase payment",IF(AND(M237="Active",ISNUMBER(AC237),AC237&gt;InactiveDays),"Inactive - win back",IF(AND(M237="Active",S237&lt;&gt;"Signed"),"Action - contract not signed",IF(AND(M237="Prospective",AD237=""),"Action - follow up quote","OK")))))</f>
        <v>0</v>
      </c>
    </row>
    <row r="238" spans="1:38">
      <c r="A238" s="46">
        <f>IF(B238="","",ClientPrefix&amp;TEXT(ROW()-4,"0000"))</f>
        <v>0</v>
      </c>
      <c r="Y238" s="31">
        <f>IF(B238="","",COUNTIF(Pets!$C$5:$C$254,B238))</f>
        <v>0</v>
      </c>
      <c r="Z238" s="31">
        <f>IF(B238="","",COUNTIFS(Bookings!$C$5:$C$404,B238))</f>
        <v>0</v>
      </c>
      <c r="AA238" s="31">
        <f>IF(B238="","",COUNTIFS('Visit Log'!$D$5:$D$404,B238,'Visit Log'!$AE$5:$AE$404,"Completed"))</f>
        <v>0</v>
      </c>
      <c r="AB238" s="21">
        <f>IF(B238="","",IF(SUMPRODUCT(MAX((Bookings!$C$5:$C$404=B238)*(Bookings!$AM$5:$AM$404="Completed")*Bookings!$I$5:$I$404))=0,"",SUMPRODUCT(MAX((Bookings!$C$5:$C$404=B238)*(Bookings!$AM$5:$AM$404="Completed")*Bookings!$I$5:$I$404))))</f>
        <v>0</v>
      </c>
      <c r="AC238" s="31">
        <f>IF(AB238="","",TODAY()-AB238)</f>
        <v>0</v>
      </c>
      <c r="AD238" s="21">
        <f>IF(B238="","",IF(COUNTIFS(Bookings!$C$5:$C$404,B238,Bookings!$I$5:$I$404,"&gt;="&amp;TODAY(),Bookings!$AM$5:$AM$404,"&lt;&gt;Cancelled")=0,"",SUMPRODUCT(MIN(((Bookings!$C$5:$C$404=B238)*(Bookings!$I$5:$I$404&gt;=TODAY())*(Bookings!$AM$5:$AM$404&lt;&gt;"Cancelled"))*Bookings!$I$5:$I$404+(1-((Bookings!$C$5:$C$404=B238)*(Bookings!$I$5:$I$404&gt;=TODAY())*(Bookings!$AM$5:$AM$404&lt;&gt;"Cancelled")))*2958465))))</f>
        <v>0</v>
      </c>
      <c r="AE238" s="29">
        <f>IF(B238="","",SUMIFS(Payments!$L$5:$L$304,Payments!$C$5:$C$304,B238))</f>
        <v>0</v>
      </c>
      <c r="AF238" s="29">
        <f>IF(B238="","",SUMIFS(Invoices!$O$5:$O$304,Invoices!$D$5:$D$304,B238,Invoices!$T$5:$T$304,"&lt;&gt;Draft"))</f>
        <v>0</v>
      </c>
      <c r="AG238" s="29">
        <f>IF(B238="","",SUMIFS(Invoices!$S$5:$S$304,Invoices!$D$5:$D$304,B238,Invoices!$T$5:$T$304,"&lt;&gt;Cancelled"))</f>
        <v>0</v>
      </c>
      <c r="AH238" s="29">
        <f>IF(OR(Z238="",Z238=0),"",SUMIFS(Bookings!$AK$5:$AK$404,Bookings!$C$5:$C$404,B238,Bookings!$AM$5:$AM$404,"&lt;&gt;Cancelled")/Z238)</f>
        <v>0</v>
      </c>
      <c r="AI238" s="49">
        <f>IF(B238="","",IF(Z238&gt;=LoyaltyThreshold,"Loyalty discount","Standard"))</f>
        <v>0</v>
      </c>
      <c r="AJ238" s="49">
        <f>IF(B238="","",IF(COUNTIF(Clients!$B$5:$B$254,B238)&gt;1,"Duplicate name",IF(AND(C238&lt;&gt;"",COUNTIF(Clients!$C$5:$C$254,C238)&gt;1),"Duplicate phone","OK")))</f>
        <v>0</v>
      </c>
      <c r="AK238" s="49">
        <f>IF(B238="","",IF(AND(C238&lt;&gt;"",D238&lt;&gt;"",L238&lt;&gt;"",M238&lt;&gt;""),"OK","Add: "&amp;IF(C238="","phone ","")&amp;IF(D238="","email ","")&amp;IF(L238="","date ","")&amp;IF(M238="","status","")))</f>
        <v>0</v>
      </c>
      <c r="AL238" s="49">
        <f>IF(B238="","",IF(AG238&gt;0.5,"Overdue - chase payment",IF(AND(M238="Active",ISNUMBER(AC238),AC238&gt;InactiveDays),"Inactive - win back",IF(AND(M238="Active",S238&lt;&gt;"Signed"),"Action - contract not signed",IF(AND(M238="Prospective",AD238=""),"Action - follow up quote","OK")))))</f>
        <v>0</v>
      </c>
    </row>
    <row r="239" spans="1:38">
      <c r="A239" s="46">
        <f>IF(B239="","",ClientPrefix&amp;TEXT(ROW()-4,"0000"))</f>
        <v>0</v>
      </c>
      <c r="Y239" s="31">
        <f>IF(B239="","",COUNTIF(Pets!$C$5:$C$254,B239))</f>
        <v>0</v>
      </c>
      <c r="Z239" s="31">
        <f>IF(B239="","",COUNTIFS(Bookings!$C$5:$C$404,B239))</f>
        <v>0</v>
      </c>
      <c r="AA239" s="31">
        <f>IF(B239="","",COUNTIFS('Visit Log'!$D$5:$D$404,B239,'Visit Log'!$AE$5:$AE$404,"Completed"))</f>
        <v>0</v>
      </c>
      <c r="AB239" s="21">
        <f>IF(B239="","",IF(SUMPRODUCT(MAX((Bookings!$C$5:$C$404=B239)*(Bookings!$AM$5:$AM$404="Completed")*Bookings!$I$5:$I$404))=0,"",SUMPRODUCT(MAX((Bookings!$C$5:$C$404=B239)*(Bookings!$AM$5:$AM$404="Completed")*Bookings!$I$5:$I$404))))</f>
        <v>0</v>
      </c>
      <c r="AC239" s="31">
        <f>IF(AB239="","",TODAY()-AB239)</f>
        <v>0</v>
      </c>
      <c r="AD239" s="21">
        <f>IF(B239="","",IF(COUNTIFS(Bookings!$C$5:$C$404,B239,Bookings!$I$5:$I$404,"&gt;="&amp;TODAY(),Bookings!$AM$5:$AM$404,"&lt;&gt;Cancelled")=0,"",SUMPRODUCT(MIN(((Bookings!$C$5:$C$404=B239)*(Bookings!$I$5:$I$404&gt;=TODAY())*(Bookings!$AM$5:$AM$404&lt;&gt;"Cancelled"))*Bookings!$I$5:$I$404+(1-((Bookings!$C$5:$C$404=B239)*(Bookings!$I$5:$I$404&gt;=TODAY())*(Bookings!$AM$5:$AM$404&lt;&gt;"Cancelled")))*2958465))))</f>
        <v>0</v>
      </c>
      <c r="AE239" s="29">
        <f>IF(B239="","",SUMIFS(Payments!$L$5:$L$304,Payments!$C$5:$C$304,B239))</f>
        <v>0</v>
      </c>
      <c r="AF239" s="29">
        <f>IF(B239="","",SUMIFS(Invoices!$O$5:$O$304,Invoices!$D$5:$D$304,B239,Invoices!$T$5:$T$304,"&lt;&gt;Draft"))</f>
        <v>0</v>
      </c>
      <c r="AG239" s="29">
        <f>IF(B239="","",SUMIFS(Invoices!$S$5:$S$304,Invoices!$D$5:$D$304,B239,Invoices!$T$5:$T$304,"&lt;&gt;Cancelled"))</f>
        <v>0</v>
      </c>
      <c r="AH239" s="29">
        <f>IF(OR(Z239="",Z239=0),"",SUMIFS(Bookings!$AK$5:$AK$404,Bookings!$C$5:$C$404,B239,Bookings!$AM$5:$AM$404,"&lt;&gt;Cancelled")/Z239)</f>
        <v>0</v>
      </c>
      <c r="AI239" s="49">
        <f>IF(B239="","",IF(Z239&gt;=LoyaltyThreshold,"Loyalty discount","Standard"))</f>
        <v>0</v>
      </c>
      <c r="AJ239" s="49">
        <f>IF(B239="","",IF(COUNTIF(Clients!$B$5:$B$254,B239)&gt;1,"Duplicate name",IF(AND(C239&lt;&gt;"",COUNTIF(Clients!$C$5:$C$254,C239)&gt;1),"Duplicate phone","OK")))</f>
        <v>0</v>
      </c>
      <c r="AK239" s="49">
        <f>IF(B239="","",IF(AND(C239&lt;&gt;"",D239&lt;&gt;"",L239&lt;&gt;"",M239&lt;&gt;""),"OK","Add: "&amp;IF(C239="","phone ","")&amp;IF(D239="","email ","")&amp;IF(L239="","date ","")&amp;IF(M239="","status","")))</f>
        <v>0</v>
      </c>
      <c r="AL239" s="49">
        <f>IF(B239="","",IF(AG239&gt;0.5,"Overdue - chase payment",IF(AND(M239="Active",ISNUMBER(AC239),AC239&gt;InactiveDays),"Inactive - win back",IF(AND(M239="Active",S239&lt;&gt;"Signed"),"Action - contract not signed",IF(AND(M239="Prospective",AD239=""),"Action - follow up quote","OK")))))</f>
        <v>0</v>
      </c>
    </row>
    <row r="240" spans="1:38">
      <c r="A240" s="46">
        <f>IF(B240="","",ClientPrefix&amp;TEXT(ROW()-4,"0000"))</f>
        <v>0</v>
      </c>
      <c r="Y240" s="31">
        <f>IF(B240="","",COUNTIF(Pets!$C$5:$C$254,B240))</f>
        <v>0</v>
      </c>
      <c r="Z240" s="31">
        <f>IF(B240="","",COUNTIFS(Bookings!$C$5:$C$404,B240))</f>
        <v>0</v>
      </c>
      <c r="AA240" s="31">
        <f>IF(B240="","",COUNTIFS('Visit Log'!$D$5:$D$404,B240,'Visit Log'!$AE$5:$AE$404,"Completed"))</f>
        <v>0</v>
      </c>
      <c r="AB240" s="21">
        <f>IF(B240="","",IF(SUMPRODUCT(MAX((Bookings!$C$5:$C$404=B240)*(Bookings!$AM$5:$AM$404="Completed")*Bookings!$I$5:$I$404))=0,"",SUMPRODUCT(MAX((Bookings!$C$5:$C$404=B240)*(Bookings!$AM$5:$AM$404="Completed")*Bookings!$I$5:$I$404))))</f>
        <v>0</v>
      </c>
      <c r="AC240" s="31">
        <f>IF(AB240="","",TODAY()-AB240)</f>
        <v>0</v>
      </c>
      <c r="AD240" s="21">
        <f>IF(B240="","",IF(COUNTIFS(Bookings!$C$5:$C$404,B240,Bookings!$I$5:$I$404,"&gt;="&amp;TODAY(),Bookings!$AM$5:$AM$404,"&lt;&gt;Cancelled")=0,"",SUMPRODUCT(MIN(((Bookings!$C$5:$C$404=B240)*(Bookings!$I$5:$I$404&gt;=TODAY())*(Bookings!$AM$5:$AM$404&lt;&gt;"Cancelled"))*Bookings!$I$5:$I$404+(1-((Bookings!$C$5:$C$404=B240)*(Bookings!$I$5:$I$404&gt;=TODAY())*(Bookings!$AM$5:$AM$404&lt;&gt;"Cancelled")))*2958465))))</f>
        <v>0</v>
      </c>
      <c r="AE240" s="29">
        <f>IF(B240="","",SUMIFS(Payments!$L$5:$L$304,Payments!$C$5:$C$304,B240))</f>
        <v>0</v>
      </c>
      <c r="AF240" s="29">
        <f>IF(B240="","",SUMIFS(Invoices!$O$5:$O$304,Invoices!$D$5:$D$304,B240,Invoices!$T$5:$T$304,"&lt;&gt;Draft"))</f>
        <v>0</v>
      </c>
      <c r="AG240" s="29">
        <f>IF(B240="","",SUMIFS(Invoices!$S$5:$S$304,Invoices!$D$5:$D$304,B240,Invoices!$T$5:$T$304,"&lt;&gt;Cancelled"))</f>
        <v>0</v>
      </c>
      <c r="AH240" s="29">
        <f>IF(OR(Z240="",Z240=0),"",SUMIFS(Bookings!$AK$5:$AK$404,Bookings!$C$5:$C$404,B240,Bookings!$AM$5:$AM$404,"&lt;&gt;Cancelled")/Z240)</f>
        <v>0</v>
      </c>
      <c r="AI240" s="49">
        <f>IF(B240="","",IF(Z240&gt;=LoyaltyThreshold,"Loyalty discount","Standard"))</f>
        <v>0</v>
      </c>
      <c r="AJ240" s="49">
        <f>IF(B240="","",IF(COUNTIF(Clients!$B$5:$B$254,B240)&gt;1,"Duplicate name",IF(AND(C240&lt;&gt;"",COUNTIF(Clients!$C$5:$C$254,C240)&gt;1),"Duplicate phone","OK")))</f>
        <v>0</v>
      </c>
      <c r="AK240" s="49">
        <f>IF(B240="","",IF(AND(C240&lt;&gt;"",D240&lt;&gt;"",L240&lt;&gt;"",M240&lt;&gt;""),"OK","Add: "&amp;IF(C240="","phone ","")&amp;IF(D240="","email ","")&amp;IF(L240="","date ","")&amp;IF(M240="","status","")))</f>
        <v>0</v>
      </c>
      <c r="AL240" s="49">
        <f>IF(B240="","",IF(AG240&gt;0.5,"Overdue - chase payment",IF(AND(M240="Active",ISNUMBER(AC240),AC240&gt;InactiveDays),"Inactive - win back",IF(AND(M240="Active",S240&lt;&gt;"Signed"),"Action - contract not signed",IF(AND(M240="Prospective",AD240=""),"Action - follow up quote","OK")))))</f>
        <v>0</v>
      </c>
    </row>
    <row r="241" spans="1:38">
      <c r="A241" s="46">
        <f>IF(B241="","",ClientPrefix&amp;TEXT(ROW()-4,"0000"))</f>
        <v>0</v>
      </c>
      <c r="Y241" s="31">
        <f>IF(B241="","",COUNTIF(Pets!$C$5:$C$254,B241))</f>
        <v>0</v>
      </c>
      <c r="Z241" s="31">
        <f>IF(B241="","",COUNTIFS(Bookings!$C$5:$C$404,B241))</f>
        <v>0</v>
      </c>
      <c r="AA241" s="31">
        <f>IF(B241="","",COUNTIFS('Visit Log'!$D$5:$D$404,B241,'Visit Log'!$AE$5:$AE$404,"Completed"))</f>
        <v>0</v>
      </c>
      <c r="AB241" s="21">
        <f>IF(B241="","",IF(SUMPRODUCT(MAX((Bookings!$C$5:$C$404=B241)*(Bookings!$AM$5:$AM$404="Completed")*Bookings!$I$5:$I$404))=0,"",SUMPRODUCT(MAX((Bookings!$C$5:$C$404=B241)*(Bookings!$AM$5:$AM$404="Completed")*Bookings!$I$5:$I$404))))</f>
        <v>0</v>
      </c>
      <c r="AC241" s="31">
        <f>IF(AB241="","",TODAY()-AB241)</f>
        <v>0</v>
      </c>
      <c r="AD241" s="21">
        <f>IF(B241="","",IF(COUNTIFS(Bookings!$C$5:$C$404,B241,Bookings!$I$5:$I$404,"&gt;="&amp;TODAY(),Bookings!$AM$5:$AM$404,"&lt;&gt;Cancelled")=0,"",SUMPRODUCT(MIN(((Bookings!$C$5:$C$404=B241)*(Bookings!$I$5:$I$404&gt;=TODAY())*(Bookings!$AM$5:$AM$404&lt;&gt;"Cancelled"))*Bookings!$I$5:$I$404+(1-((Bookings!$C$5:$C$404=B241)*(Bookings!$I$5:$I$404&gt;=TODAY())*(Bookings!$AM$5:$AM$404&lt;&gt;"Cancelled")))*2958465))))</f>
        <v>0</v>
      </c>
      <c r="AE241" s="29">
        <f>IF(B241="","",SUMIFS(Payments!$L$5:$L$304,Payments!$C$5:$C$304,B241))</f>
        <v>0</v>
      </c>
      <c r="AF241" s="29">
        <f>IF(B241="","",SUMIFS(Invoices!$O$5:$O$304,Invoices!$D$5:$D$304,B241,Invoices!$T$5:$T$304,"&lt;&gt;Draft"))</f>
        <v>0</v>
      </c>
      <c r="AG241" s="29">
        <f>IF(B241="","",SUMIFS(Invoices!$S$5:$S$304,Invoices!$D$5:$D$304,B241,Invoices!$T$5:$T$304,"&lt;&gt;Cancelled"))</f>
        <v>0</v>
      </c>
      <c r="AH241" s="29">
        <f>IF(OR(Z241="",Z241=0),"",SUMIFS(Bookings!$AK$5:$AK$404,Bookings!$C$5:$C$404,B241,Bookings!$AM$5:$AM$404,"&lt;&gt;Cancelled")/Z241)</f>
        <v>0</v>
      </c>
      <c r="AI241" s="49">
        <f>IF(B241="","",IF(Z241&gt;=LoyaltyThreshold,"Loyalty discount","Standard"))</f>
        <v>0</v>
      </c>
      <c r="AJ241" s="49">
        <f>IF(B241="","",IF(COUNTIF(Clients!$B$5:$B$254,B241)&gt;1,"Duplicate name",IF(AND(C241&lt;&gt;"",COUNTIF(Clients!$C$5:$C$254,C241)&gt;1),"Duplicate phone","OK")))</f>
        <v>0</v>
      </c>
      <c r="AK241" s="49">
        <f>IF(B241="","",IF(AND(C241&lt;&gt;"",D241&lt;&gt;"",L241&lt;&gt;"",M241&lt;&gt;""),"OK","Add: "&amp;IF(C241="","phone ","")&amp;IF(D241="","email ","")&amp;IF(L241="","date ","")&amp;IF(M241="","status","")))</f>
        <v>0</v>
      </c>
      <c r="AL241" s="49">
        <f>IF(B241="","",IF(AG241&gt;0.5,"Overdue - chase payment",IF(AND(M241="Active",ISNUMBER(AC241),AC241&gt;InactiveDays),"Inactive - win back",IF(AND(M241="Active",S241&lt;&gt;"Signed"),"Action - contract not signed",IF(AND(M241="Prospective",AD241=""),"Action - follow up quote","OK")))))</f>
        <v>0</v>
      </c>
    </row>
    <row r="242" spans="1:38">
      <c r="A242" s="46">
        <f>IF(B242="","",ClientPrefix&amp;TEXT(ROW()-4,"0000"))</f>
        <v>0</v>
      </c>
      <c r="Y242" s="31">
        <f>IF(B242="","",COUNTIF(Pets!$C$5:$C$254,B242))</f>
        <v>0</v>
      </c>
      <c r="Z242" s="31">
        <f>IF(B242="","",COUNTIFS(Bookings!$C$5:$C$404,B242))</f>
        <v>0</v>
      </c>
      <c r="AA242" s="31">
        <f>IF(B242="","",COUNTIFS('Visit Log'!$D$5:$D$404,B242,'Visit Log'!$AE$5:$AE$404,"Completed"))</f>
        <v>0</v>
      </c>
      <c r="AB242" s="21">
        <f>IF(B242="","",IF(SUMPRODUCT(MAX((Bookings!$C$5:$C$404=B242)*(Bookings!$AM$5:$AM$404="Completed")*Bookings!$I$5:$I$404))=0,"",SUMPRODUCT(MAX((Bookings!$C$5:$C$404=B242)*(Bookings!$AM$5:$AM$404="Completed")*Bookings!$I$5:$I$404))))</f>
        <v>0</v>
      </c>
      <c r="AC242" s="31">
        <f>IF(AB242="","",TODAY()-AB242)</f>
        <v>0</v>
      </c>
      <c r="AD242" s="21">
        <f>IF(B242="","",IF(COUNTIFS(Bookings!$C$5:$C$404,B242,Bookings!$I$5:$I$404,"&gt;="&amp;TODAY(),Bookings!$AM$5:$AM$404,"&lt;&gt;Cancelled")=0,"",SUMPRODUCT(MIN(((Bookings!$C$5:$C$404=B242)*(Bookings!$I$5:$I$404&gt;=TODAY())*(Bookings!$AM$5:$AM$404&lt;&gt;"Cancelled"))*Bookings!$I$5:$I$404+(1-((Bookings!$C$5:$C$404=B242)*(Bookings!$I$5:$I$404&gt;=TODAY())*(Bookings!$AM$5:$AM$404&lt;&gt;"Cancelled")))*2958465))))</f>
        <v>0</v>
      </c>
      <c r="AE242" s="29">
        <f>IF(B242="","",SUMIFS(Payments!$L$5:$L$304,Payments!$C$5:$C$304,B242))</f>
        <v>0</v>
      </c>
      <c r="AF242" s="29">
        <f>IF(B242="","",SUMIFS(Invoices!$O$5:$O$304,Invoices!$D$5:$D$304,B242,Invoices!$T$5:$T$304,"&lt;&gt;Draft"))</f>
        <v>0</v>
      </c>
      <c r="AG242" s="29">
        <f>IF(B242="","",SUMIFS(Invoices!$S$5:$S$304,Invoices!$D$5:$D$304,B242,Invoices!$T$5:$T$304,"&lt;&gt;Cancelled"))</f>
        <v>0</v>
      </c>
      <c r="AH242" s="29">
        <f>IF(OR(Z242="",Z242=0),"",SUMIFS(Bookings!$AK$5:$AK$404,Bookings!$C$5:$C$404,B242,Bookings!$AM$5:$AM$404,"&lt;&gt;Cancelled")/Z242)</f>
        <v>0</v>
      </c>
      <c r="AI242" s="49">
        <f>IF(B242="","",IF(Z242&gt;=LoyaltyThreshold,"Loyalty discount","Standard"))</f>
        <v>0</v>
      </c>
      <c r="AJ242" s="49">
        <f>IF(B242="","",IF(COUNTIF(Clients!$B$5:$B$254,B242)&gt;1,"Duplicate name",IF(AND(C242&lt;&gt;"",COUNTIF(Clients!$C$5:$C$254,C242)&gt;1),"Duplicate phone","OK")))</f>
        <v>0</v>
      </c>
      <c r="AK242" s="49">
        <f>IF(B242="","",IF(AND(C242&lt;&gt;"",D242&lt;&gt;"",L242&lt;&gt;"",M242&lt;&gt;""),"OK","Add: "&amp;IF(C242="","phone ","")&amp;IF(D242="","email ","")&amp;IF(L242="","date ","")&amp;IF(M242="","status","")))</f>
        <v>0</v>
      </c>
      <c r="AL242" s="49">
        <f>IF(B242="","",IF(AG242&gt;0.5,"Overdue - chase payment",IF(AND(M242="Active",ISNUMBER(AC242),AC242&gt;InactiveDays),"Inactive - win back",IF(AND(M242="Active",S242&lt;&gt;"Signed"),"Action - contract not signed",IF(AND(M242="Prospective",AD242=""),"Action - follow up quote","OK")))))</f>
        <v>0</v>
      </c>
    </row>
    <row r="243" spans="1:38">
      <c r="A243" s="46">
        <f>IF(B243="","",ClientPrefix&amp;TEXT(ROW()-4,"0000"))</f>
        <v>0</v>
      </c>
      <c r="Y243" s="31">
        <f>IF(B243="","",COUNTIF(Pets!$C$5:$C$254,B243))</f>
        <v>0</v>
      </c>
      <c r="Z243" s="31">
        <f>IF(B243="","",COUNTIFS(Bookings!$C$5:$C$404,B243))</f>
        <v>0</v>
      </c>
      <c r="AA243" s="31">
        <f>IF(B243="","",COUNTIFS('Visit Log'!$D$5:$D$404,B243,'Visit Log'!$AE$5:$AE$404,"Completed"))</f>
        <v>0</v>
      </c>
      <c r="AB243" s="21">
        <f>IF(B243="","",IF(SUMPRODUCT(MAX((Bookings!$C$5:$C$404=B243)*(Bookings!$AM$5:$AM$404="Completed")*Bookings!$I$5:$I$404))=0,"",SUMPRODUCT(MAX((Bookings!$C$5:$C$404=B243)*(Bookings!$AM$5:$AM$404="Completed")*Bookings!$I$5:$I$404))))</f>
        <v>0</v>
      </c>
      <c r="AC243" s="31">
        <f>IF(AB243="","",TODAY()-AB243)</f>
        <v>0</v>
      </c>
      <c r="AD243" s="21">
        <f>IF(B243="","",IF(COUNTIFS(Bookings!$C$5:$C$404,B243,Bookings!$I$5:$I$404,"&gt;="&amp;TODAY(),Bookings!$AM$5:$AM$404,"&lt;&gt;Cancelled")=0,"",SUMPRODUCT(MIN(((Bookings!$C$5:$C$404=B243)*(Bookings!$I$5:$I$404&gt;=TODAY())*(Bookings!$AM$5:$AM$404&lt;&gt;"Cancelled"))*Bookings!$I$5:$I$404+(1-((Bookings!$C$5:$C$404=B243)*(Bookings!$I$5:$I$404&gt;=TODAY())*(Bookings!$AM$5:$AM$404&lt;&gt;"Cancelled")))*2958465))))</f>
        <v>0</v>
      </c>
      <c r="AE243" s="29">
        <f>IF(B243="","",SUMIFS(Payments!$L$5:$L$304,Payments!$C$5:$C$304,B243))</f>
        <v>0</v>
      </c>
      <c r="AF243" s="29">
        <f>IF(B243="","",SUMIFS(Invoices!$O$5:$O$304,Invoices!$D$5:$D$304,B243,Invoices!$T$5:$T$304,"&lt;&gt;Draft"))</f>
        <v>0</v>
      </c>
      <c r="AG243" s="29">
        <f>IF(B243="","",SUMIFS(Invoices!$S$5:$S$304,Invoices!$D$5:$D$304,B243,Invoices!$T$5:$T$304,"&lt;&gt;Cancelled"))</f>
        <v>0</v>
      </c>
      <c r="AH243" s="29">
        <f>IF(OR(Z243="",Z243=0),"",SUMIFS(Bookings!$AK$5:$AK$404,Bookings!$C$5:$C$404,B243,Bookings!$AM$5:$AM$404,"&lt;&gt;Cancelled")/Z243)</f>
        <v>0</v>
      </c>
      <c r="AI243" s="49">
        <f>IF(B243="","",IF(Z243&gt;=LoyaltyThreshold,"Loyalty discount","Standard"))</f>
        <v>0</v>
      </c>
      <c r="AJ243" s="49">
        <f>IF(B243="","",IF(COUNTIF(Clients!$B$5:$B$254,B243)&gt;1,"Duplicate name",IF(AND(C243&lt;&gt;"",COUNTIF(Clients!$C$5:$C$254,C243)&gt;1),"Duplicate phone","OK")))</f>
        <v>0</v>
      </c>
      <c r="AK243" s="49">
        <f>IF(B243="","",IF(AND(C243&lt;&gt;"",D243&lt;&gt;"",L243&lt;&gt;"",M243&lt;&gt;""),"OK","Add: "&amp;IF(C243="","phone ","")&amp;IF(D243="","email ","")&amp;IF(L243="","date ","")&amp;IF(M243="","status","")))</f>
        <v>0</v>
      </c>
      <c r="AL243" s="49">
        <f>IF(B243="","",IF(AG243&gt;0.5,"Overdue - chase payment",IF(AND(M243="Active",ISNUMBER(AC243),AC243&gt;InactiveDays),"Inactive - win back",IF(AND(M243="Active",S243&lt;&gt;"Signed"),"Action - contract not signed",IF(AND(M243="Prospective",AD243=""),"Action - follow up quote","OK")))))</f>
        <v>0</v>
      </c>
    </row>
    <row r="244" spans="1:38">
      <c r="A244" s="46">
        <f>IF(B244="","",ClientPrefix&amp;TEXT(ROW()-4,"0000"))</f>
        <v>0</v>
      </c>
      <c r="Y244" s="31">
        <f>IF(B244="","",COUNTIF(Pets!$C$5:$C$254,B244))</f>
        <v>0</v>
      </c>
      <c r="Z244" s="31">
        <f>IF(B244="","",COUNTIFS(Bookings!$C$5:$C$404,B244))</f>
        <v>0</v>
      </c>
      <c r="AA244" s="31">
        <f>IF(B244="","",COUNTIFS('Visit Log'!$D$5:$D$404,B244,'Visit Log'!$AE$5:$AE$404,"Completed"))</f>
        <v>0</v>
      </c>
      <c r="AB244" s="21">
        <f>IF(B244="","",IF(SUMPRODUCT(MAX((Bookings!$C$5:$C$404=B244)*(Bookings!$AM$5:$AM$404="Completed")*Bookings!$I$5:$I$404))=0,"",SUMPRODUCT(MAX((Bookings!$C$5:$C$404=B244)*(Bookings!$AM$5:$AM$404="Completed")*Bookings!$I$5:$I$404))))</f>
        <v>0</v>
      </c>
      <c r="AC244" s="31">
        <f>IF(AB244="","",TODAY()-AB244)</f>
        <v>0</v>
      </c>
      <c r="AD244" s="21">
        <f>IF(B244="","",IF(COUNTIFS(Bookings!$C$5:$C$404,B244,Bookings!$I$5:$I$404,"&gt;="&amp;TODAY(),Bookings!$AM$5:$AM$404,"&lt;&gt;Cancelled")=0,"",SUMPRODUCT(MIN(((Bookings!$C$5:$C$404=B244)*(Bookings!$I$5:$I$404&gt;=TODAY())*(Bookings!$AM$5:$AM$404&lt;&gt;"Cancelled"))*Bookings!$I$5:$I$404+(1-((Bookings!$C$5:$C$404=B244)*(Bookings!$I$5:$I$404&gt;=TODAY())*(Bookings!$AM$5:$AM$404&lt;&gt;"Cancelled")))*2958465))))</f>
        <v>0</v>
      </c>
      <c r="AE244" s="29">
        <f>IF(B244="","",SUMIFS(Payments!$L$5:$L$304,Payments!$C$5:$C$304,B244))</f>
        <v>0</v>
      </c>
      <c r="AF244" s="29">
        <f>IF(B244="","",SUMIFS(Invoices!$O$5:$O$304,Invoices!$D$5:$D$304,B244,Invoices!$T$5:$T$304,"&lt;&gt;Draft"))</f>
        <v>0</v>
      </c>
      <c r="AG244" s="29">
        <f>IF(B244="","",SUMIFS(Invoices!$S$5:$S$304,Invoices!$D$5:$D$304,B244,Invoices!$T$5:$T$304,"&lt;&gt;Cancelled"))</f>
        <v>0</v>
      </c>
      <c r="AH244" s="29">
        <f>IF(OR(Z244="",Z244=0),"",SUMIFS(Bookings!$AK$5:$AK$404,Bookings!$C$5:$C$404,B244,Bookings!$AM$5:$AM$404,"&lt;&gt;Cancelled")/Z244)</f>
        <v>0</v>
      </c>
      <c r="AI244" s="49">
        <f>IF(B244="","",IF(Z244&gt;=LoyaltyThreshold,"Loyalty discount","Standard"))</f>
        <v>0</v>
      </c>
      <c r="AJ244" s="49">
        <f>IF(B244="","",IF(COUNTIF(Clients!$B$5:$B$254,B244)&gt;1,"Duplicate name",IF(AND(C244&lt;&gt;"",COUNTIF(Clients!$C$5:$C$254,C244)&gt;1),"Duplicate phone","OK")))</f>
        <v>0</v>
      </c>
      <c r="AK244" s="49">
        <f>IF(B244="","",IF(AND(C244&lt;&gt;"",D244&lt;&gt;"",L244&lt;&gt;"",M244&lt;&gt;""),"OK","Add: "&amp;IF(C244="","phone ","")&amp;IF(D244="","email ","")&amp;IF(L244="","date ","")&amp;IF(M244="","status","")))</f>
        <v>0</v>
      </c>
      <c r="AL244" s="49">
        <f>IF(B244="","",IF(AG244&gt;0.5,"Overdue - chase payment",IF(AND(M244="Active",ISNUMBER(AC244),AC244&gt;InactiveDays),"Inactive - win back",IF(AND(M244="Active",S244&lt;&gt;"Signed"),"Action - contract not signed",IF(AND(M244="Prospective",AD244=""),"Action - follow up quote","OK")))))</f>
        <v>0</v>
      </c>
    </row>
    <row r="245" spans="1:38">
      <c r="A245" s="46">
        <f>IF(B245="","",ClientPrefix&amp;TEXT(ROW()-4,"0000"))</f>
        <v>0</v>
      </c>
      <c r="Y245" s="31">
        <f>IF(B245="","",COUNTIF(Pets!$C$5:$C$254,B245))</f>
        <v>0</v>
      </c>
      <c r="Z245" s="31">
        <f>IF(B245="","",COUNTIFS(Bookings!$C$5:$C$404,B245))</f>
        <v>0</v>
      </c>
      <c r="AA245" s="31">
        <f>IF(B245="","",COUNTIFS('Visit Log'!$D$5:$D$404,B245,'Visit Log'!$AE$5:$AE$404,"Completed"))</f>
        <v>0</v>
      </c>
      <c r="AB245" s="21">
        <f>IF(B245="","",IF(SUMPRODUCT(MAX((Bookings!$C$5:$C$404=B245)*(Bookings!$AM$5:$AM$404="Completed")*Bookings!$I$5:$I$404))=0,"",SUMPRODUCT(MAX((Bookings!$C$5:$C$404=B245)*(Bookings!$AM$5:$AM$404="Completed")*Bookings!$I$5:$I$404))))</f>
        <v>0</v>
      </c>
      <c r="AC245" s="31">
        <f>IF(AB245="","",TODAY()-AB245)</f>
        <v>0</v>
      </c>
      <c r="AD245" s="21">
        <f>IF(B245="","",IF(COUNTIFS(Bookings!$C$5:$C$404,B245,Bookings!$I$5:$I$404,"&gt;="&amp;TODAY(),Bookings!$AM$5:$AM$404,"&lt;&gt;Cancelled")=0,"",SUMPRODUCT(MIN(((Bookings!$C$5:$C$404=B245)*(Bookings!$I$5:$I$404&gt;=TODAY())*(Bookings!$AM$5:$AM$404&lt;&gt;"Cancelled"))*Bookings!$I$5:$I$404+(1-((Bookings!$C$5:$C$404=B245)*(Bookings!$I$5:$I$404&gt;=TODAY())*(Bookings!$AM$5:$AM$404&lt;&gt;"Cancelled")))*2958465))))</f>
        <v>0</v>
      </c>
      <c r="AE245" s="29">
        <f>IF(B245="","",SUMIFS(Payments!$L$5:$L$304,Payments!$C$5:$C$304,B245))</f>
        <v>0</v>
      </c>
      <c r="AF245" s="29">
        <f>IF(B245="","",SUMIFS(Invoices!$O$5:$O$304,Invoices!$D$5:$D$304,B245,Invoices!$T$5:$T$304,"&lt;&gt;Draft"))</f>
        <v>0</v>
      </c>
      <c r="AG245" s="29">
        <f>IF(B245="","",SUMIFS(Invoices!$S$5:$S$304,Invoices!$D$5:$D$304,B245,Invoices!$T$5:$T$304,"&lt;&gt;Cancelled"))</f>
        <v>0</v>
      </c>
      <c r="AH245" s="29">
        <f>IF(OR(Z245="",Z245=0),"",SUMIFS(Bookings!$AK$5:$AK$404,Bookings!$C$5:$C$404,B245,Bookings!$AM$5:$AM$404,"&lt;&gt;Cancelled")/Z245)</f>
        <v>0</v>
      </c>
      <c r="AI245" s="49">
        <f>IF(B245="","",IF(Z245&gt;=LoyaltyThreshold,"Loyalty discount","Standard"))</f>
        <v>0</v>
      </c>
      <c r="AJ245" s="49">
        <f>IF(B245="","",IF(COUNTIF(Clients!$B$5:$B$254,B245)&gt;1,"Duplicate name",IF(AND(C245&lt;&gt;"",COUNTIF(Clients!$C$5:$C$254,C245)&gt;1),"Duplicate phone","OK")))</f>
        <v>0</v>
      </c>
      <c r="AK245" s="49">
        <f>IF(B245="","",IF(AND(C245&lt;&gt;"",D245&lt;&gt;"",L245&lt;&gt;"",M245&lt;&gt;""),"OK","Add: "&amp;IF(C245="","phone ","")&amp;IF(D245="","email ","")&amp;IF(L245="","date ","")&amp;IF(M245="","status","")))</f>
        <v>0</v>
      </c>
      <c r="AL245" s="49">
        <f>IF(B245="","",IF(AG245&gt;0.5,"Overdue - chase payment",IF(AND(M245="Active",ISNUMBER(AC245),AC245&gt;InactiveDays),"Inactive - win back",IF(AND(M245="Active",S245&lt;&gt;"Signed"),"Action - contract not signed",IF(AND(M245="Prospective",AD245=""),"Action - follow up quote","OK")))))</f>
        <v>0</v>
      </c>
    </row>
    <row r="246" spans="1:38">
      <c r="A246" s="46">
        <f>IF(B246="","",ClientPrefix&amp;TEXT(ROW()-4,"0000"))</f>
        <v>0</v>
      </c>
      <c r="Y246" s="31">
        <f>IF(B246="","",COUNTIF(Pets!$C$5:$C$254,B246))</f>
        <v>0</v>
      </c>
      <c r="Z246" s="31">
        <f>IF(B246="","",COUNTIFS(Bookings!$C$5:$C$404,B246))</f>
        <v>0</v>
      </c>
      <c r="AA246" s="31">
        <f>IF(B246="","",COUNTIFS('Visit Log'!$D$5:$D$404,B246,'Visit Log'!$AE$5:$AE$404,"Completed"))</f>
        <v>0</v>
      </c>
      <c r="AB246" s="21">
        <f>IF(B246="","",IF(SUMPRODUCT(MAX((Bookings!$C$5:$C$404=B246)*(Bookings!$AM$5:$AM$404="Completed")*Bookings!$I$5:$I$404))=0,"",SUMPRODUCT(MAX((Bookings!$C$5:$C$404=B246)*(Bookings!$AM$5:$AM$404="Completed")*Bookings!$I$5:$I$404))))</f>
        <v>0</v>
      </c>
      <c r="AC246" s="31">
        <f>IF(AB246="","",TODAY()-AB246)</f>
        <v>0</v>
      </c>
      <c r="AD246" s="21">
        <f>IF(B246="","",IF(COUNTIFS(Bookings!$C$5:$C$404,B246,Bookings!$I$5:$I$404,"&gt;="&amp;TODAY(),Bookings!$AM$5:$AM$404,"&lt;&gt;Cancelled")=0,"",SUMPRODUCT(MIN(((Bookings!$C$5:$C$404=B246)*(Bookings!$I$5:$I$404&gt;=TODAY())*(Bookings!$AM$5:$AM$404&lt;&gt;"Cancelled"))*Bookings!$I$5:$I$404+(1-((Bookings!$C$5:$C$404=B246)*(Bookings!$I$5:$I$404&gt;=TODAY())*(Bookings!$AM$5:$AM$404&lt;&gt;"Cancelled")))*2958465))))</f>
        <v>0</v>
      </c>
      <c r="AE246" s="29">
        <f>IF(B246="","",SUMIFS(Payments!$L$5:$L$304,Payments!$C$5:$C$304,B246))</f>
        <v>0</v>
      </c>
      <c r="AF246" s="29">
        <f>IF(B246="","",SUMIFS(Invoices!$O$5:$O$304,Invoices!$D$5:$D$304,B246,Invoices!$T$5:$T$304,"&lt;&gt;Draft"))</f>
        <v>0</v>
      </c>
      <c r="AG246" s="29">
        <f>IF(B246="","",SUMIFS(Invoices!$S$5:$S$304,Invoices!$D$5:$D$304,B246,Invoices!$T$5:$T$304,"&lt;&gt;Cancelled"))</f>
        <v>0</v>
      </c>
      <c r="AH246" s="29">
        <f>IF(OR(Z246="",Z246=0),"",SUMIFS(Bookings!$AK$5:$AK$404,Bookings!$C$5:$C$404,B246,Bookings!$AM$5:$AM$404,"&lt;&gt;Cancelled")/Z246)</f>
        <v>0</v>
      </c>
      <c r="AI246" s="49">
        <f>IF(B246="","",IF(Z246&gt;=LoyaltyThreshold,"Loyalty discount","Standard"))</f>
        <v>0</v>
      </c>
      <c r="AJ246" s="49">
        <f>IF(B246="","",IF(COUNTIF(Clients!$B$5:$B$254,B246)&gt;1,"Duplicate name",IF(AND(C246&lt;&gt;"",COUNTIF(Clients!$C$5:$C$254,C246)&gt;1),"Duplicate phone","OK")))</f>
        <v>0</v>
      </c>
      <c r="AK246" s="49">
        <f>IF(B246="","",IF(AND(C246&lt;&gt;"",D246&lt;&gt;"",L246&lt;&gt;"",M246&lt;&gt;""),"OK","Add: "&amp;IF(C246="","phone ","")&amp;IF(D246="","email ","")&amp;IF(L246="","date ","")&amp;IF(M246="","status","")))</f>
        <v>0</v>
      </c>
      <c r="AL246" s="49">
        <f>IF(B246="","",IF(AG246&gt;0.5,"Overdue - chase payment",IF(AND(M246="Active",ISNUMBER(AC246),AC246&gt;InactiveDays),"Inactive - win back",IF(AND(M246="Active",S246&lt;&gt;"Signed"),"Action - contract not signed",IF(AND(M246="Prospective",AD246=""),"Action - follow up quote","OK")))))</f>
        <v>0</v>
      </c>
    </row>
    <row r="247" spans="1:38">
      <c r="A247" s="46">
        <f>IF(B247="","",ClientPrefix&amp;TEXT(ROW()-4,"0000"))</f>
        <v>0</v>
      </c>
      <c r="Y247" s="31">
        <f>IF(B247="","",COUNTIF(Pets!$C$5:$C$254,B247))</f>
        <v>0</v>
      </c>
      <c r="Z247" s="31">
        <f>IF(B247="","",COUNTIFS(Bookings!$C$5:$C$404,B247))</f>
        <v>0</v>
      </c>
      <c r="AA247" s="31">
        <f>IF(B247="","",COUNTIFS('Visit Log'!$D$5:$D$404,B247,'Visit Log'!$AE$5:$AE$404,"Completed"))</f>
        <v>0</v>
      </c>
      <c r="AB247" s="21">
        <f>IF(B247="","",IF(SUMPRODUCT(MAX((Bookings!$C$5:$C$404=B247)*(Bookings!$AM$5:$AM$404="Completed")*Bookings!$I$5:$I$404))=0,"",SUMPRODUCT(MAX((Bookings!$C$5:$C$404=B247)*(Bookings!$AM$5:$AM$404="Completed")*Bookings!$I$5:$I$404))))</f>
        <v>0</v>
      </c>
      <c r="AC247" s="31">
        <f>IF(AB247="","",TODAY()-AB247)</f>
        <v>0</v>
      </c>
      <c r="AD247" s="21">
        <f>IF(B247="","",IF(COUNTIFS(Bookings!$C$5:$C$404,B247,Bookings!$I$5:$I$404,"&gt;="&amp;TODAY(),Bookings!$AM$5:$AM$404,"&lt;&gt;Cancelled")=0,"",SUMPRODUCT(MIN(((Bookings!$C$5:$C$404=B247)*(Bookings!$I$5:$I$404&gt;=TODAY())*(Bookings!$AM$5:$AM$404&lt;&gt;"Cancelled"))*Bookings!$I$5:$I$404+(1-((Bookings!$C$5:$C$404=B247)*(Bookings!$I$5:$I$404&gt;=TODAY())*(Bookings!$AM$5:$AM$404&lt;&gt;"Cancelled")))*2958465))))</f>
        <v>0</v>
      </c>
      <c r="AE247" s="29">
        <f>IF(B247="","",SUMIFS(Payments!$L$5:$L$304,Payments!$C$5:$C$304,B247))</f>
        <v>0</v>
      </c>
      <c r="AF247" s="29">
        <f>IF(B247="","",SUMIFS(Invoices!$O$5:$O$304,Invoices!$D$5:$D$304,B247,Invoices!$T$5:$T$304,"&lt;&gt;Draft"))</f>
        <v>0</v>
      </c>
      <c r="AG247" s="29">
        <f>IF(B247="","",SUMIFS(Invoices!$S$5:$S$304,Invoices!$D$5:$D$304,B247,Invoices!$T$5:$T$304,"&lt;&gt;Cancelled"))</f>
        <v>0</v>
      </c>
      <c r="AH247" s="29">
        <f>IF(OR(Z247="",Z247=0),"",SUMIFS(Bookings!$AK$5:$AK$404,Bookings!$C$5:$C$404,B247,Bookings!$AM$5:$AM$404,"&lt;&gt;Cancelled")/Z247)</f>
        <v>0</v>
      </c>
      <c r="AI247" s="49">
        <f>IF(B247="","",IF(Z247&gt;=LoyaltyThreshold,"Loyalty discount","Standard"))</f>
        <v>0</v>
      </c>
      <c r="AJ247" s="49">
        <f>IF(B247="","",IF(COUNTIF(Clients!$B$5:$B$254,B247)&gt;1,"Duplicate name",IF(AND(C247&lt;&gt;"",COUNTIF(Clients!$C$5:$C$254,C247)&gt;1),"Duplicate phone","OK")))</f>
        <v>0</v>
      </c>
      <c r="AK247" s="49">
        <f>IF(B247="","",IF(AND(C247&lt;&gt;"",D247&lt;&gt;"",L247&lt;&gt;"",M247&lt;&gt;""),"OK","Add: "&amp;IF(C247="","phone ","")&amp;IF(D247="","email ","")&amp;IF(L247="","date ","")&amp;IF(M247="","status","")))</f>
        <v>0</v>
      </c>
      <c r="AL247" s="49">
        <f>IF(B247="","",IF(AG247&gt;0.5,"Overdue - chase payment",IF(AND(M247="Active",ISNUMBER(AC247),AC247&gt;InactiveDays),"Inactive - win back",IF(AND(M247="Active",S247&lt;&gt;"Signed"),"Action - contract not signed",IF(AND(M247="Prospective",AD247=""),"Action - follow up quote","OK")))))</f>
        <v>0</v>
      </c>
    </row>
    <row r="248" spans="1:38">
      <c r="A248" s="46">
        <f>IF(B248="","",ClientPrefix&amp;TEXT(ROW()-4,"0000"))</f>
        <v>0</v>
      </c>
      <c r="Y248" s="31">
        <f>IF(B248="","",COUNTIF(Pets!$C$5:$C$254,B248))</f>
        <v>0</v>
      </c>
      <c r="Z248" s="31">
        <f>IF(B248="","",COUNTIFS(Bookings!$C$5:$C$404,B248))</f>
        <v>0</v>
      </c>
      <c r="AA248" s="31">
        <f>IF(B248="","",COUNTIFS('Visit Log'!$D$5:$D$404,B248,'Visit Log'!$AE$5:$AE$404,"Completed"))</f>
        <v>0</v>
      </c>
      <c r="AB248" s="21">
        <f>IF(B248="","",IF(SUMPRODUCT(MAX((Bookings!$C$5:$C$404=B248)*(Bookings!$AM$5:$AM$404="Completed")*Bookings!$I$5:$I$404))=0,"",SUMPRODUCT(MAX((Bookings!$C$5:$C$404=B248)*(Bookings!$AM$5:$AM$404="Completed")*Bookings!$I$5:$I$404))))</f>
        <v>0</v>
      </c>
      <c r="AC248" s="31">
        <f>IF(AB248="","",TODAY()-AB248)</f>
        <v>0</v>
      </c>
      <c r="AD248" s="21">
        <f>IF(B248="","",IF(COUNTIFS(Bookings!$C$5:$C$404,B248,Bookings!$I$5:$I$404,"&gt;="&amp;TODAY(),Bookings!$AM$5:$AM$404,"&lt;&gt;Cancelled")=0,"",SUMPRODUCT(MIN(((Bookings!$C$5:$C$404=B248)*(Bookings!$I$5:$I$404&gt;=TODAY())*(Bookings!$AM$5:$AM$404&lt;&gt;"Cancelled"))*Bookings!$I$5:$I$404+(1-((Bookings!$C$5:$C$404=B248)*(Bookings!$I$5:$I$404&gt;=TODAY())*(Bookings!$AM$5:$AM$404&lt;&gt;"Cancelled")))*2958465))))</f>
        <v>0</v>
      </c>
      <c r="AE248" s="29">
        <f>IF(B248="","",SUMIFS(Payments!$L$5:$L$304,Payments!$C$5:$C$304,B248))</f>
        <v>0</v>
      </c>
      <c r="AF248" s="29">
        <f>IF(B248="","",SUMIFS(Invoices!$O$5:$O$304,Invoices!$D$5:$D$304,B248,Invoices!$T$5:$T$304,"&lt;&gt;Draft"))</f>
        <v>0</v>
      </c>
      <c r="AG248" s="29">
        <f>IF(B248="","",SUMIFS(Invoices!$S$5:$S$304,Invoices!$D$5:$D$304,B248,Invoices!$T$5:$T$304,"&lt;&gt;Cancelled"))</f>
        <v>0</v>
      </c>
      <c r="AH248" s="29">
        <f>IF(OR(Z248="",Z248=0),"",SUMIFS(Bookings!$AK$5:$AK$404,Bookings!$C$5:$C$404,B248,Bookings!$AM$5:$AM$404,"&lt;&gt;Cancelled")/Z248)</f>
        <v>0</v>
      </c>
      <c r="AI248" s="49">
        <f>IF(B248="","",IF(Z248&gt;=LoyaltyThreshold,"Loyalty discount","Standard"))</f>
        <v>0</v>
      </c>
      <c r="AJ248" s="49">
        <f>IF(B248="","",IF(COUNTIF(Clients!$B$5:$B$254,B248)&gt;1,"Duplicate name",IF(AND(C248&lt;&gt;"",COUNTIF(Clients!$C$5:$C$254,C248)&gt;1),"Duplicate phone","OK")))</f>
        <v>0</v>
      </c>
      <c r="AK248" s="49">
        <f>IF(B248="","",IF(AND(C248&lt;&gt;"",D248&lt;&gt;"",L248&lt;&gt;"",M248&lt;&gt;""),"OK","Add: "&amp;IF(C248="","phone ","")&amp;IF(D248="","email ","")&amp;IF(L248="","date ","")&amp;IF(M248="","status","")))</f>
        <v>0</v>
      </c>
      <c r="AL248" s="49">
        <f>IF(B248="","",IF(AG248&gt;0.5,"Overdue - chase payment",IF(AND(M248="Active",ISNUMBER(AC248),AC248&gt;InactiveDays),"Inactive - win back",IF(AND(M248="Active",S248&lt;&gt;"Signed"),"Action - contract not signed",IF(AND(M248="Prospective",AD248=""),"Action - follow up quote","OK")))))</f>
        <v>0</v>
      </c>
    </row>
    <row r="249" spans="1:38">
      <c r="A249" s="46">
        <f>IF(B249="","",ClientPrefix&amp;TEXT(ROW()-4,"0000"))</f>
        <v>0</v>
      </c>
      <c r="Y249" s="31">
        <f>IF(B249="","",COUNTIF(Pets!$C$5:$C$254,B249))</f>
        <v>0</v>
      </c>
      <c r="Z249" s="31">
        <f>IF(B249="","",COUNTIFS(Bookings!$C$5:$C$404,B249))</f>
        <v>0</v>
      </c>
      <c r="AA249" s="31">
        <f>IF(B249="","",COUNTIFS('Visit Log'!$D$5:$D$404,B249,'Visit Log'!$AE$5:$AE$404,"Completed"))</f>
        <v>0</v>
      </c>
      <c r="AB249" s="21">
        <f>IF(B249="","",IF(SUMPRODUCT(MAX((Bookings!$C$5:$C$404=B249)*(Bookings!$AM$5:$AM$404="Completed")*Bookings!$I$5:$I$404))=0,"",SUMPRODUCT(MAX((Bookings!$C$5:$C$404=B249)*(Bookings!$AM$5:$AM$404="Completed")*Bookings!$I$5:$I$404))))</f>
        <v>0</v>
      </c>
      <c r="AC249" s="31">
        <f>IF(AB249="","",TODAY()-AB249)</f>
        <v>0</v>
      </c>
      <c r="AD249" s="21">
        <f>IF(B249="","",IF(COUNTIFS(Bookings!$C$5:$C$404,B249,Bookings!$I$5:$I$404,"&gt;="&amp;TODAY(),Bookings!$AM$5:$AM$404,"&lt;&gt;Cancelled")=0,"",SUMPRODUCT(MIN(((Bookings!$C$5:$C$404=B249)*(Bookings!$I$5:$I$404&gt;=TODAY())*(Bookings!$AM$5:$AM$404&lt;&gt;"Cancelled"))*Bookings!$I$5:$I$404+(1-((Bookings!$C$5:$C$404=B249)*(Bookings!$I$5:$I$404&gt;=TODAY())*(Bookings!$AM$5:$AM$404&lt;&gt;"Cancelled")))*2958465))))</f>
        <v>0</v>
      </c>
      <c r="AE249" s="29">
        <f>IF(B249="","",SUMIFS(Payments!$L$5:$L$304,Payments!$C$5:$C$304,B249))</f>
        <v>0</v>
      </c>
      <c r="AF249" s="29">
        <f>IF(B249="","",SUMIFS(Invoices!$O$5:$O$304,Invoices!$D$5:$D$304,B249,Invoices!$T$5:$T$304,"&lt;&gt;Draft"))</f>
        <v>0</v>
      </c>
      <c r="AG249" s="29">
        <f>IF(B249="","",SUMIFS(Invoices!$S$5:$S$304,Invoices!$D$5:$D$304,B249,Invoices!$T$5:$T$304,"&lt;&gt;Cancelled"))</f>
        <v>0</v>
      </c>
      <c r="AH249" s="29">
        <f>IF(OR(Z249="",Z249=0),"",SUMIFS(Bookings!$AK$5:$AK$404,Bookings!$C$5:$C$404,B249,Bookings!$AM$5:$AM$404,"&lt;&gt;Cancelled")/Z249)</f>
        <v>0</v>
      </c>
      <c r="AI249" s="49">
        <f>IF(B249="","",IF(Z249&gt;=LoyaltyThreshold,"Loyalty discount","Standard"))</f>
        <v>0</v>
      </c>
      <c r="AJ249" s="49">
        <f>IF(B249="","",IF(COUNTIF(Clients!$B$5:$B$254,B249)&gt;1,"Duplicate name",IF(AND(C249&lt;&gt;"",COUNTIF(Clients!$C$5:$C$254,C249)&gt;1),"Duplicate phone","OK")))</f>
        <v>0</v>
      </c>
      <c r="AK249" s="49">
        <f>IF(B249="","",IF(AND(C249&lt;&gt;"",D249&lt;&gt;"",L249&lt;&gt;"",M249&lt;&gt;""),"OK","Add: "&amp;IF(C249="","phone ","")&amp;IF(D249="","email ","")&amp;IF(L249="","date ","")&amp;IF(M249="","status","")))</f>
        <v>0</v>
      </c>
      <c r="AL249" s="49">
        <f>IF(B249="","",IF(AG249&gt;0.5,"Overdue - chase payment",IF(AND(M249="Active",ISNUMBER(AC249),AC249&gt;InactiveDays),"Inactive - win back",IF(AND(M249="Active",S249&lt;&gt;"Signed"),"Action - contract not signed",IF(AND(M249="Prospective",AD249=""),"Action - follow up quote","OK")))))</f>
        <v>0</v>
      </c>
    </row>
    <row r="250" spans="1:38">
      <c r="A250" s="46">
        <f>IF(B250="","",ClientPrefix&amp;TEXT(ROW()-4,"0000"))</f>
        <v>0</v>
      </c>
      <c r="Y250" s="31">
        <f>IF(B250="","",COUNTIF(Pets!$C$5:$C$254,B250))</f>
        <v>0</v>
      </c>
      <c r="Z250" s="31">
        <f>IF(B250="","",COUNTIFS(Bookings!$C$5:$C$404,B250))</f>
        <v>0</v>
      </c>
      <c r="AA250" s="31">
        <f>IF(B250="","",COUNTIFS('Visit Log'!$D$5:$D$404,B250,'Visit Log'!$AE$5:$AE$404,"Completed"))</f>
        <v>0</v>
      </c>
      <c r="AB250" s="21">
        <f>IF(B250="","",IF(SUMPRODUCT(MAX((Bookings!$C$5:$C$404=B250)*(Bookings!$AM$5:$AM$404="Completed")*Bookings!$I$5:$I$404))=0,"",SUMPRODUCT(MAX((Bookings!$C$5:$C$404=B250)*(Bookings!$AM$5:$AM$404="Completed")*Bookings!$I$5:$I$404))))</f>
        <v>0</v>
      </c>
      <c r="AC250" s="31">
        <f>IF(AB250="","",TODAY()-AB250)</f>
        <v>0</v>
      </c>
      <c r="AD250" s="21">
        <f>IF(B250="","",IF(COUNTIFS(Bookings!$C$5:$C$404,B250,Bookings!$I$5:$I$404,"&gt;="&amp;TODAY(),Bookings!$AM$5:$AM$404,"&lt;&gt;Cancelled")=0,"",SUMPRODUCT(MIN(((Bookings!$C$5:$C$404=B250)*(Bookings!$I$5:$I$404&gt;=TODAY())*(Bookings!$AM$5:$AM$404&lt;&gt;"Cancelled"))*Bookings!$I$5:$I$404+(1-((Bookings!$C$5:$C$404=B250)*(Bookings!$I$5:$I$404&gt;=TODAY())*(Bookings!$AM$5:$AM$404&lt;&gt;"Cancelled")))*2958465))))</f>
        <v>0</v>
      </c>
      <c r="AE250" s="29">
        <f>IF(B250="","",SUMIFS(Payments!$L$5:$L$304,Payments!$C$5:$C$304,B250))</f>
        <v>0</v>
      </c>
      <c r="AF250" s="29">
        <f>IF(B250="","",SUMIFS(Invoices!$O$5:$O$304,Invoices!$D$5:$D$304,B250,Invoices!$T$5:$T$304,"&lt;&gt;Draft"))</f>
        <v>0</v>
      </c>
      <c r="AG250" s="29">
        <f>IF(B250="","",SUMIFS(Invoices!$S$5:$S$304,Invoices!$D$5:$D$304,B250,Invoices!$T$5:$T$304,"&lt;&gt;Cancelled"))</f>
        <v>0</v>
      </c>
      <c r="AH250" s="29">
        <f>IF(OR(Z250="",Z250=0),"",SUMIFS(Bookings!$AK$5:$AK$404,Bookings!$C$5:$C$404,B250,Bookings!$AM$5:$AM$404,"&lt;&gt;Cancelled")/Z250)</f>
        <v>0</v>
      </c>
      <c r="AI250" s="49">
        <f>IF(B250="","",IF(Z250&gt;=LoyaltyThreshold,"Loyalty discount","Standard"))</f>
        <v>0</v>
      </c>
      <c r="AJ250" s="49">
        <f>IF(B250="","",IF(COUNTIF(Clients!$B$5:$B$254,B250)&gt;1,"Duplicate name",IF(AND(C250&lt;&gt;"",COUNTIF(Clients!$C$5:$C$254,C250)&gt;1),"Duplicate phone","OK")))</f>
        <v>0</v>
      </c>
      <c r="AK250" s="49">
        <f>IF(B250="","",IF(AND(C250&lt;&gt;"",D250&lt;&gt;"",L250&lt;&gt;"",M250&lt;&gt;""),"OK","Add: "&amp;IF(C250="","phone ","")&amp;IF(D250="","email ","")&amp;IF(L250="","date ","")&amp;IF(M250="","status","")))</f>
        <v>0</v>
      </c>
      <c r="AL250" s="49">
        <f>IF(B250="","",IF(AG250&gt;0.5,"Overdue - chase payment",IF(AND(M250="Active",ISNUMBER(AC250),AC250&gt;InactiveDays),"Inactive - win back",IF(AND(M250="Active",S250&lt;&gt;"Signed"),"Action - contract not signed",IF(AND(M250="Prospective",AD250=""),"Action - follow up quote","OK")))))</f>
        <v>0</v>
      </c>
    </row>
    <row r="251" spans="1:38">
      <c r="A251" s="46">
        <f>IF(B251="","",ClientPrefix&amp;TEXT(ROW()-4,"0000"))</f>
        <v>0</v>
      </c>
      <c r="Y251" s="31">
        <f>IF(B251="","",COUNTIF(Pets!$C$5:$C$254,B251))</f>
        <v>0</v>
      </c>
      <c r="Z251" s="31">
        <f>IF(B251="","",COUNTIFS(Bookings!$C$5:$C$404,B251))</f>
        <v>0</v>
      </c>
      <c r="AA251" s="31">
        <f>IF(B251="","",COUNTIFS('Visit Log'!$D$5:$D$404,B251,'Visit Log'!$AE$5:$AE$404,"Completed"))</f>
        <v>0</v>
      </c>
      <c r="AB251" s="21">
        <f>IF(B251="","",IF(SUMPRODUCT(MAX((Bookings!$C$5:$C$404=B251)*(Bookings!$AM$5:$AM$404="Completed")*Bookings!$I$5:$I$404))=0,"",SUMPRODUCT(MAX((Bookings!$C$5:$C$404=B251)*(Bookings!$AM$5:$AM$404="Completed")*Bookings!$I$5:$I$404))))</f>
        <v>0</v>
      </c>
      <c r="AC251" s="31">
        <f>IF(AB251="","",TODAY()-AB251)</f>
        <v>0</v>
      </c>
      <c r="AD251" s="21">
        <f>IF(B251="","",IF(COUNTIFS(Bookings!$C$5:$C$404,B251,Bookings!$I$5:$I$404,"&gt;="&amp;TODAY(),Bookings!$AM$5:$AM$404,"&lt;&gt;Cancelled")=0,"",SUMPRODUCT(MIN(((Bookings!$C$5:$C$404=B251)*(Bookings!$I$5:$I$404&gt;=TODAY())*(Bookings!$AM$5:$AM$404&lt;&gt;"Cancelled"))*Bookings!$I$5:$I$404+(1-((Bookings!$C$5:$C$404=B251)*(Bookings!$I$5:$I$404&gt;=TODAY())*(Bookings!$AM$5:$AM$404&lt;&gt;"Cancelled")))*2958465))))</f>
        <v>0</v>
      </c>
      <c r="AE251" s="29">
        <f>IF(B251="","",SUMIFS(Payments!$L$5:$L$304,Payments!$C$5:$C$304,B251))</f>
        <v>0</v>
      </c>
      <c r="AF251" s="29">
        <f>IF(B251="","",SUMIFS(Invoices!$O$5:$O$304,Invoices!$D$5:$D$304,B251,Invoices!$T$5:$T$304,"&lt;&gt;Draft"))</f>
        <v>0</v>
      </c>
      <c r="AG251" s="29">
        <f>IF(B251="","",SUMIFS(Invoices!$S$5:$S$304,Invoices!$D$5:$D$304,B251,Invoices!$T$5:$T$304,"&lt;&gt;Cancelled"))</f>
        <v>0</v>
      </c>
      <c r="AH251" s="29">
        <f>IF(OR(Z251="",Z251=0),"",SUMIFS(Bookings!$AK$5:$AK$404,Bookings!$C$5:$C$404,B251,Bookings!$AM$5:$AM$404,"&lt;&gt;Cancelled")/Z251)</f>
        <v>0</v>
      </c>
      <c r="AI251" s="49">
        <f>IF(B251="","",IF(Z251&gt;=LoyaltyThreshold,"Loyalty discount","Standard"))</f>
        <v>0</v>
      </c>
      <c r="AJ251" s="49">
        <f>IF(B251="","",IF(COUNTIF(Clients!$B$5:$B$254,B251)&gt;1,"Duplicate name",IF(AND(C251&lt;&gt;"",COUNTIF(Clients!$C$5:$C$254,C251)&gt;1),"Duplicate phone","OK")))</f>
        <v>0</v>
      </c>
      <c r="AK251" s="49">
        <f>IF(B251="","",IF(AND(C251&lt;&gt;"",D251&lt;&gt;"",L251&lt;&gt;"",M251&lt;&gt;""),"OK","Add: "&amp;IF(C251="","phone ","")&amp;IF(D251="","email ","")&amp;IF(L251="","date ","")&amp;IF(M251="","status","")))</f>
        <v>0</v>
      </c>
      <c r="AL251" s="49">
        <f>IF(B251="","",IF(AG251&gt;0.5,"Overdue - chase payment",IF(AND(M251="Active",ISNUMBER(AC251),AC251&gt;InactiveDays),"Inactive - win back",IF(AND(M251="Active",S251&lt;&gt;"Signed"),"Action - contract not signed",IF(AND(M251="Prospective",AD251=""),"Action - follow up quote","OK")))))</f>
        <v>0</v>
      </c>
    </row>
    <row r="252" spans="1:38">
      <c r="A252" s="46">
        <f>IF(B252="","",ClientPrefix&amp;TEXT(ROW()-4,"0000"))</f>
        <v>0</v>
      </c>
      <c r="Y252" s="31">
        <f>IF(B252="","",COUNTIF(Pets!$C$5:$C$254,B252))</f>
        <v>0</v>
      </c>
      <c r="Z252" s="31">
        <f>IF(B252="","",COUNTIFS(Bookings!$C$5:$C$404,B252))</f>
        <v>0</v>
      </c>
      <c r="AA252" s="31">
        <f>IF(B252="","",COUNTIFS('Visit Log'!$D$5:$D$404,B252,'Visit Log'!$AE$5:$AE$404,"Completed"))</f>
        <v>0</v>
      </c>
      <c r="AB252" s="21">
        <f>IF(B252="","",IF(SUMPRODUCT(MAX((Bookings!$C$5:$C$404=B252)*(Bookings!$AM$5:$AM$404="Completed")*Bookings!$I$5:$I$404))=0,"",SUMPRODUCT(MAX((Bookings!$C$5:$C$404=B252)*(Bookings!$AM$5:$AM$404="Completed")*Bookings!$I$5:$I$404))))</f>
        <v>0</v>
      </c>
      <c r="AC252" s="31">
        <f>IF(AB252="","",TODAY()-AB252)</f>
        <v>0</v>
      </c>
      <c r="AD252" s="21">
        <f>IF(B252="","",IF(COUNTIFS(Bookings!$C$5:$C$404,B252,Bookings!$I$5:$I$404,"&gt;="&amp;TODAY(),Bookings!$AM$5:$AM$404,"&lt;&gt;Cancelled")=0,"",SUMPRODUCT(MIN(((Bookings!$C$5:$C$404=B252)*(Bookings!$I$5:$I$404&gt;=TODAY())*(Bookings!$AM$5:$AM$404&lt;&gt;"Cancelled"))*Bookings!$I$5:$I$404+(1-((Bookings!$C$5:$C$404=B252)*(Bookings!$I$5:$I$404&gt;=TODAY())*(Bookings!$AM$5:$AM$404&lt;&gt;"Cancelled")))*2958465))))</f>
        <v>0</v>
      </c>
      <c r="AE252" s="29">
        <f>IF(B252="","",SUMIFS(Payments!$L$5:$L$304,Payments!$C$5:$C$304,B252))</f>
        <v>0</v>
      </c>
      <c r="AF252" s="29">
        <f>IF(B252="","",SUMIFS(Invoices!$O$5:$O$304,Invoices!$D$5:$D$304,B252,Invoices!$T$5:$T$304,"&lt;&gt;Draft"))</f>
        <v>0</v>
      </c>
      <c r="AG252" s="29">
        <f>IF(B252="","",SUMIFS(Invoices!$S$5:$S$304,Invoices!$D$5:$D$304,B252,Invoices!$T$5:$T$304,"&lt;&gt;Cancelled"))</f>
        <v>0</v>
      </c>
      <c r="AH252" s="29">
        <f>IF(OR(Z252="",Z252=0),"",SUMIFS(Bookings!$AK$5:$AK$404,Bookings!$C$5:$C$404,B252,Bookings!$AM$5:$AM$404,"&lt;&gt;Cancelled")/Z252)</f>
        <v>0</v>
      </c>
      <c r="AI252" s="49">
        <f>IF(B252="","",IF(Z252&gt;=LoyaltyThreshold,"Loyalty discount","Standard"))</f>
        <v>0</v>
      </c>
      <c r="AJ252" s="49">
        <f>IF(B252="","",IF(COUNTIF(Clients!$B$5:$B$254,B252)&gt;1,"Duplicate name",IF(AND(C252&lt;&gt;"",COUNTIF(Clients!$C$5:$C$254,C252)&gt;1),"Duplicate phone","OK")))</f>
        <v>0</v>
      </c>
      <c r="AK252" s="49">
        <f>IF(B252="","",IF(AND(C252&lt;&gt;"",D252&lt;&gt;"",L252&lt;&gt;"",M252&lt;&gt;""),"OK","Add: "&amp;IF(C252="","phone ","")&amp;IF(D252="","email ","")&amp;IF(L252="","date ","")&amp;IF(M252="","status","")))</f>
        <v>0</v>
      </c>
      <c r="AL252" s="49">
        <f>IF(B252="","",IF(AG252&gt;0.5,"Overdue - chase payment",IF(AND(M252="Active",ISNUMBER(AC252),AC252&gt;InactiveDays),"Inactive - win back",IF(AND(M252="Active",S252&lt;&gt;"Signed"),"Action - contract not signed",IF(AND(M252="Prospective",AD252=""),"Action - follow up quote","OK")))))</f>
        <v>0</v>
      </c>
    </row>
    <row r="253" spans="1:38">
      <c r="A253" s="46">
        <f>IF(B253="","",ClientPrefix&amp;TEXT(ROW()-4,"0000"))</f>
        <v>0</v>
      </c>
      <c r="Y253" s="31">
        <f>IF(B253="","",COUNTIF(Pets!$C$5:$C$254,B253))</f>
        <v>0</v>
      </c>
      <c r="Z253" s="31">
        <f>IF(B253="","",COUNTIFS(Bookings!$C$5:$C$404,B253))</f>
        <v>0</v>
      </c>
      <c r="AA253" s="31">
        <f>IF(B253="","",COUNTIFS('Visit Log'!$D$5:$D$404,B253,'Visit Log'!$AE$5:$AE$404,"Completed"))</f>
        <v>0</v>
      </c>
      <c r="AB253" s="21">
        <f>IF(B253="","",IF(SUMPRODUCT(MAX((Bookings!$C$5:$C$404=B253)*(Bookings!$AM$5:$AM$404="Completed")*Bookings!$I$5:$I$404))=0,"",SUMPRODUCT(MAX((Bookings!$C$5:$C$404=B253)*(Bookings!$AM$5:$AM$404="Completed")*Bookings!$I$5:$I$404))))</f>
        <v>0</v>
      </c>
      <c r="AC253" s="31">
        <f>IF(AB253="","",TODAY()-AB253)</f>
        <v>0</v>
      </c>
      <c r="AD253" s="21">
        <f>IF(B253="","",IF(COUNTIFS(Bookings!$C$5:$C$404,B253,Bookings!$I$5:$I$404,"&gt;="&amp;TODAY(),Bookings!$AM$5:$AM$404,"&lt;&gt;Cancelled")=0,"",SUMPRODUCT(MIN(((Bookings!$C$5:$C$404=B253)*(Bookings!$I$5:$I$404&gt;=TODAY())*(Bookings!$AM$5:$AM$404&lt;&gt;"Cancelled"))*Bookings!$I$5:$I$404+(1-((Bookings!$C$5:$C$404=B253)*(Bookings!$I$5:$I$404&gt;=TODAY())*(Bookings!$AM$5:$AM$404&lt;&gt;"Cancelled")))*2958465))))</f>
        <v>0</v>
      </c>
      <c r="AE253" s="29">
        <f>IF(B253="","",SUMIFS(Payments!$L$5:$L$304,Payments!$C$5:$C$304,B253))</f>
        <v>0</v>
      </c>
      <c r="AF253" s="29">
        <f>IF(B253="","",SUMIFS(Invoices!$O$5:$O$304,Invoices!$D$5:$D$304,B253,Invoices!$T$5:$T$304,"&lt;&gt;Draft"))</f>
        <v>0</v>
      </c>
      <c r="AG253" s="29">
        <f>IF(B253="","",SUMIFS(Invoices!$S$5:$S$304,Invoices!$D$5:$D$304,B253,Invoices!$T$5:$T$304,"&lt;&gt;Cancelled"))</f>
        <v>0</v>
      </c>
      <c r="AH253" s="29">
        <f>IF(OR(Z253="",Z253=0),"",SUMIFS(Bookings!$AK$5:$AK$404,Bookings!$C$5:$C$404,B253,Bookings!$AM$5:$AM$404,"&lt;&gt;Cancelled")/Z253)</f>
        <v>0</v>
      </c>
      <c r="AI253" s="49">
        <f>IF(B253="","",IF(Z253&gt;=LoyaltyThreshold,"Loyalty discount","Standard"))</f>
        <v>0</v>
      </c>
      <c r="AJ253" s="49">
        <f>IF(B253="","",IF(COUNTIF(Clients!$B$5:$B$254,B253)&gt;1,"Duplicate name",IF(AND(C253&lt;&gt;"",COUNTIF(Clients!$C$5:$C$254,C253)&gt;1),"Duplicate phone","OK")))</f>
        <v>0</v>
      </c>
      <c r="AK253" s="49">
        <f>IF(B253="","",IF(AND(C253&lt;&gt;"",D253&lt;&gt;"",L253&lt;&gt;"",M253&lt;&gt;""),"OK","Add: "&amp;IF(C253="","phone ","")&amp;IF(D253="","email ","")&amp;IF(L253="","date ","")&amp;IF(M253="","status","")))</f>
        <v>0</v>
      </c>
      <c r="AL253" s="49">
        <f>IF(B253="","",IF(AG253&gt;0.5,"Overdue - chase payment",IF(AND(M253="Active",ISNUMBER(AC253),AC253&gt;InactiveDays),"Inactive - win back",IF(AND(M253="Active",S253&lt;&gt;"Signed"),"Action - contract not signed",IF(AND(M253="Prospective",AD253=""),"Action - follow up quote","OK")))))</f>
        <v>0</v>
      </c>
    </row>
    <row r="254" spans="1:38">
      <c r="A254" s="46">
        <f>IF(B254="","",ClientPrefix&amp;TEXT(ROW()-4,"0000"))</f>
        <v>0</v>
      </c>
      <c r="Y254" s="31">
        <f>IF(B254="","",COUNTIF(Pets!$C$5:$C$254,B254))</f>
        <v>0</v>
      </c>
      <c r="Z254" s="31">
        <f>IF(B254="","",COUNTIFS(Bookings!$C$5:$C$404,B254))</f>
        <v>0</v>
      </c>
      <c r="AA254" s="31">
        <f>IF(B254="","",COUNTIFS('Visit Log'!$D$5:$D$404,B254,'Visit Log'!$AE$5:$AE$404,"Completed"))</f>
        <v>0</v>
      </c>
      <c r="AB254" s="21">
        <f>IF(B254="","",IF(SUMPRODUCT(MAX((Bookings!$C$5:$C$404=B254)*(Bookings!$AM$5:$AM$404="Completed")*Bookings!$I$5:$I$404))=0,"",SUMPRODUCT(MAX((Bookings!$C$5:$C$404=B254)*(Bookings!$AM$5:$AM$404="Completed")*Bookings!$I$5:$I$404))))</f>
        <v>0</v>
      </c>
      <c r="AC254" s="31">
        <f>IF(AB254="","",TODAY()-AB254)</f>
        <v>0</v>
      </c>
      <c r="AD254" s="21">
        <f>IF(B254="","",IF(COUNTIFS(Bookings!$C$5:$C$404,B254,Bookings!$I$5:$I$404,"&gt;="&amp;TODAY(),Bookings!$AM$5:$AM$404,"&lt;&gt;Cancelled")=0,"",SUMPRODUCT(MIN(((Bookings!$C$5:$C$404=B254)*(Bookings!$I$5:$I$404&gt;=TODAY())*(Bookings!$AM$5:$AM$404&lt;&gt;"Cancelled"))*Bookings!$I$5:$I$404+(1-((Bookings!$C$5:$C$404=B254)*(Bookings!$I$5:$I$404&gt;=TODAY())*(Bookings!$AM$5:$AM$404&lt;&gt;"Cancelled")))*2958465))))</f>
        <v>0</v>
      </c>
      <c r="AE254" s="29">
        <f>IF(B254="","",SUMIFS(Payments!$L$5:$L$304,Payments!$C$5:$C$304,B254))</f>
        <v>0</v>
      </c>
      <c r="AF254" s="29">
        <f>IF(B254="","",SUMIFS(Invoices!$O$5:$O$304,Invoices!$D$5:$D$304,B254,Invoices!$T$5:$T$304,"&lt;&gt;Draft"))</f>
        <v>0</v>
      </c>
      <c r="AG254" s="29">
        <f>IF(B254="","",SUMIFS(Invoices!$S$5:$S$304,Invoices!$D$5:$D$304,B254,Invoices!$T$5:$T$304,"&lt;&gt;Cancelled"))</f>
        <v>0</v>
      </c>
      <c r="AH254" s="29">
        <f>IF(OR(Z254="",Z254=0),"",SUMIFS(Bookings!$AK$5:$AK$404,Bookings!$C$5:$C$404,B254,Bookings!$AM$5:$AM$404,"&lt;&gt;Cancelled")/Z254)</f>
        <v>0</v>
      </c>
      <c r="AI254" s="49">
        <f>IF(B254="","",IF(Z254&gt;=LoyaltyThreshold,"Loyalty discount","Standard"))</f>
        <v>0</v>
      </c>
      <c r="AJ254" s="49">
        <f>IF(B254="","",IF(COUNTIF(Clients!$B$5:$B$254,B254)&gt;1,"Duplicate name",IF(AND(C254&lt;&gt;"",COUNTIF(Clients!$C$5:$C$254,C254)&gt;1),"Duplicate phone","OK")))</f>
        <v>0</v>
      </c>
      <c r="AK254" s="49">
        <f>IF(B254="","",IF(AND(C254&lt;&gt;"",D254&lt;&gt;"",L254&lt;&gt;"",M254&lt;&gt;""),"OK","Add: "&amp;IF(C254="","phone ","")&amp;IF(D254="","email ","")&amp;IF(L254="","date ","")&amp;IF(M254="","status","")))</f>
        <v>0</v>
      </c>
      <c r="AL254" s="49">
        <f>IF(B254="","",IF(AG254&gt;0.5,"Overdue - chase payment",IF(AND(M254="Active",ISNUMBER(AC254),AC254&gt;InactiveDays),"Inactive - win back",IF(AND(M254="Active",S254&lt;&gt;"Signed"),"Action - contract not signed",IF(AND(M254="Prospective",AD254=""),"Action - follow up quote","OK")))))</f>
        <v>0</v>
      </c>
    </row>
  </sheetData>
  <sheetProtection password="EC7C" sheet="1" objects="1" scenarios="1" formatCells="0" formatColumns="0" formatRows="0" insertRows="0" insertHyperlinks="0" deleteRows="0" autoFilter="0"/>
  <autoFilter ref="A4:AL254"/>
  <mergeCells count="13">
    <mergeCell ref="A1:AI1"/>
    <mergeCell ref="AJ1:AL1"/>
    <mergeCell ref="A2:AL2"/>
    <mergeCell ref="A3:B3"/>
    <mergeCell ref="C3:D3"/>
    <mergeCell ref="E3:F3"/>
    <mergeCell ref="G3:H3"/>
    <mergeCell ref="I3:J3"/>
    <mergeCell ref="K3:L3"/>
    <mergeCell ref="M3:N3"/>
    <mergeCell ref="O3:P3"/>
    <mergeCell ref="Q3:R3"/>
    <mergeCell ref="S3:AL3"/>
  </mergeCells>
  <conditionalFormatting sqref="AC5:AC254">
    <cfRule type="cellIs" dxfId="2" priority="58" operator="greaterThan">
      <formula>InactiveDays</formula>
    </cfRule>
  </conditionalFormatting>
  <conditionalFormatting sqref="AE5:AE254">
    <cfRule type="dataBar" priority="59">
      <dataBar>
        <cfvo type="min" val="0"/>
        <cfvo type="max" val="0"/>
        <color rgb="FF2E7D8F"/>
      </dataBar>
    </cfRule>
  </conditionalFormatting>
  <conditionalFormatting sqref="AG5:AG254">
    <cfRule type="cellIs" dxfId="1" priority="60" operator="greaterThan">
      <formula>0.004</formula>
    </cfRule>
  </conditionalFormatting>
  <conditionalFormatting sqref="AI5:AI254">
    <cfRule type="containsText" dxfId="0" priority="61" operator="containsText" text="Loyalty">
      <formula>NOT(ISERROR(SEARCH("Loyalty",AI5)))</formula>
    </cfRule>
  </conditionalFormatting>
  <conditionalFormatting sqref="AJ5:AJ254">
    <cfRule type="containsText" dxfId="1" priority="62" operator="containsText" text="Duplicate">
      <formula>NOT(ISERROR(SEARCH("Duplicate",AJ5)))</formula>
    </cfRule>
    <cfRule type="containsText" dxfId="0" priority="63" operator="containsText" text="OK">
      <formula>NOT(ISERROR(SEARCH("OK",AJ5)))</formula>
    </cfRule>
  </conditionalFormatting>
  <conditionalFormatting sqref="AK5:AK254">
    <cfRule type="beginsWith" dxfId="0" priority="64" operator="beginsWith" text="OK">
      <formula>LEFT(AK5,2)="OK"</formula>
    </cfRule>
    <cfRule type="containsText" dxfId="1" priority="65" operator="containsText" text="Overdue">
      <formula>NOT(ISERROR(SEARCH("Overdue",AK5)))</formula>
    </cfRule>
    <cfRule type="containsText" dxfId="1" priority="66" operator="containsText" text="Missed">
      <formula>NOT(ISERROR(SEARCH("Missed",AK5)))</formula>
    </cfRule>
    <cfRule type="containsText" dxfId="1" priority="67" operator="containsText" text="Conflict">
      <formula>NOT(ISERROR(SEARCH("Conflict",AK5)))</formula>
    </cfRule>
    <cfRule type="containsText" dxfId="1" priority="68" operator="containsText" text="Expired">
      <formula>NOT(ISERROR(SEARCH("Expired",AK5)))</formula>
    </cfRule>
    <cfRule type="containsText" dxfId="1" priority="69" operator="containsText" text="Duplicate">
      <formula>NOT(ISERROR(SEARCH("Duplicate",AK5)))</formula>
    </cfRule>
    <cfRule type="containsText" dxfId="2" priority="70" operator="containsText" text="Action">
      <formula>NOT(ISERROR(SEARCH("Action",AK5)))</formula>
    </cfRule>
    <cfRule type="containsText" dxfId="2" priority="71" operator="containsText" text="Due">
      <formula>NOT(ISERROR(SEARCH("Due",AK5)))</formula>
    </cfRule>
    <cfRule type="containsText" dxfId="2" priority="72" operator="containsText" text="Check">
      <formula>NOT(ISERROR(SEARCH("Check",AK5)))</formula>
    </cfRule>
    <cfRule type="containsText" dxfId="3" priority="73" operator="containsText" text="Today">
      <formula>NOT(ISERROR(SEARCH("Today",AK5)))</formula>
    </cfRule>
    <cfRule type="containsText" dxfId="3" priority="74" operator="containsText" text="Upcoming">
      <formula>NOT(ISERROR(SEARCH("Upcoming",AK5)))</formula>
    </cfRule>
  </conditionalFormatting>
  <conditionalFormatting sqref="AL5:AL254">
    <cfRule type="beginsWith" dxfId="0" priority="75" operator="beginsWith" text="OK">
      <formula>LEFT(AL5,2)="OK"</formula>
    </cfRule>
    <cfRule type="containsText" dxfId="1" priority="76" operator="containsText" text="Overdue">
      <formula>NOT(ISERROR(SEARCH("Overdue",AL5)))</formula>
    </cfRule>
    <cfRule type="containsText" dxfId="1" priority="77" operator="containsText" text="Missed">
      <formula>NOT(ISERROR(SEARCH("Missed",AL5)))</formula>
    </cfRule>
    <cfRule type="containsText" dxfId="1" priority="78" operator="containsText" text="Conflict">
      <formula>NOT(ISERROR(SEARCH("Conflict",AL5)))</formula>
    </cfRule>
    <cfRule type="containsText" dxfId="1" priority="79" operator="containsText" text="Expired">
      <formula>NOT(ISERROR(SEARCH("Expired",AL5)))</formula>
    </cfRule>
    <cfRule type="containsText" dxfId="1" priority="80" operator="containsText" text="Duplicate">
      <formula>NOT(ISERROR(SEARCH("Duplicate",AL5)))</formula>
    </cfRule>
    <cfRule type="containsText" dxfId="2" priority="81" operator="containsText" text="Action">
      <formula>NOT(ISERROR(SEARCH("Action",AL5)))</formula>
    </cfRule>
    <cfRule type="containsText" dxfId="2" priority="82" operator="containsText" text="Due">
      <formula>NOT(ISERROR(SEARCH("Due",AL5)))</formula>
    </cfRule>
    <cfRule type="containsText" dxfId="2" priority="83" operator="containsText" text="Check">
      <formula>NOT(ISERROR(SEARCH("Check",AL5)))</formula>
    </cfRule>
    <cfRule type="containsText" dxfId="3" priority="84" operator="containsText" text="Today">
      <formula>NOT(ISERROR(SEARCH("Today",AL5)))</formula>
    </cfRule>
    <cfRule type="containsText" dxfId="3" priority="85" operator="containsText" text="Upcoming">
      <formula>NOT(ISERROR(SEARCH("Upcoming",AL5)))</formula>
    </cfRule>
  </conditionalFormatting>
  <conditionalFormatting sqref="M5:M254">
    <cfRule type="containsText" dxfId="0" priority="1" operator="containsText" text="Completed">
      <formula>NOT(ISERROR(SEARCH("Completed",M5)))</formula>
    </cfRule>
    <cfRule type="containsText" dxfId="0" priority="2" operator="containsText" text="Confirmed">
      <formula>NOT(ISERROR(SEARCH("Confirmed",M5)))</formula>
    </cfRule>
    <cfRule type="containsText" dxfId="0" priority="3" operator="containsText" text="Paid">
      <formula>NOT(ISERROR(SEARCH("Paid",M5)))</formula>
    </cfRule>
    <cfRule type="containsText" dxfId="0" priority="4" operator="containsText" text="Active">
      <formula>NOT(ISERROR(SEARCH("Active",M5)))</formula>
    </cfRule>
    <cfRule type="containsText" dxfId="0" priority="5" operator="containsText" text="Resolved">
      <formula>NOT(ISERROR(SEARCH("Resolved",M5)))</formula>
    </cfRule>
    <cfRule type="containsText" dxfId="0" priority="6" operator="containsText" text="Given">
      <formula>NOT(ISERROR(SEARCH("Given",M5)))</formula>
    </cfRule>
    <cfRule type="containsText" dxfId="2" priority="7" operator="containsText" text="Pending">
      <formula>NOT(ISERROR(SEARCH("Pending",M5)))</formula>
    </cfRule>
    <cfRule type="containsText" dxfId="2" priority="8" operator="containsText" text="Draft">
      <formula>NOT(ISERROR(SEARCH("Draft",M5)))</formula>
    </cfRule>
    <cfRule type="containsText" dxfId="2" priority="9" operator="containsText" text="Enquiry">
      <formula>NOT(ISERROR(SEARCH("Enquiry",M5)))</formula>
    </cfRule>
    <cfRule type="containsText" dxfId="2" priority="10" operator="containsText" text="Partially">
      <formula>NOT(ISERROR(SEARCH("Partially",M5)))</formula>
    </cfRule>
    <cfRule type="containsText" dxfId="3" priority="11" operator="containsText" text="In progress">
      <formula>NOT(ISERROR(SEARCH("In progress",M5)))</formula>
    </cfRule>
    <cfRule type="containsText" dxfId="3" priority="12" operator="containsText" text="Scheduled">
      <formula>NOT(ISERROR(SEARCH("Scheduled",M5)))</formula>
    </cfRule>
    <cfRule type="containsText" dxfId="3" priority="13" operator="containsText" text="Sent">
      <formula>NOT(ISERROR(SEARCH("Sent",M5)))</formula>
    </cfRule>
    <cfRule type="containsText" dxfId="1" priority="14" operator="containsText" text="Cancelled">
      <formula>NOT(ISERROR(SEARCH("Cancelled",M5)))</formula>
    </cfRule>
    <cfRule type="containsText" dxfId="1" priority="15" operator="containsText" text="No show">
      <formula>NOT(ISERROR(SEARCH("No show",M5)))</formula>
    </cfRule>
    <cfRule type="containsText" dxfId="1" priority="16" operator="containsText" text="Missed">
      <formula>NOT(ISERROR(SEARCH("Missed",M5)))</formula>
    </cfRule>
    <cfRule type="containsText" dxfId="1" priority="17" operator="containsText" text="Overdue">
      <formula>NOT(ISERROR(SEARCH("Overdue",M5)))</formula>
    </cfRule>
    <cfRule type="containsText" dxfId="4" priority="18" operator="containsText" text="Inactive">
      <formula>NOT(ISERROR(SEARCH("Inactive",M5)))</formula>
    </cfRule>
    <cfRule type="containsText" dxfId="1" priority="19" operator="containsText" text="Lost">
      <formula>NOT(ISERROR(SEARCH("Lost",M5)))</formula>
    </cfRule>
  </conditionalFormatting>
  <conditionalFormatting sqref="S5:S254">
    <cfRule type="containsText" dxfId="0" priority="20" operator="containsText" text="Completed">
      <formula>NOT(ISERROR(SEARCH("Completed",S5)))</formula>
    </cfRule>
    <cfRule type="containsText" dxfId="0" priority="21" operator="containsText" text="Confirmed">
      <formula>NOT(ISERROR(SEARCH("Confirmed",S5)))</formula>
    </cfRule>
    <cfRule type="containsText" dxfId="0" priority="22" operator="containsText" text="Paid">
      <formula>NOT(ISERROR(SEARCH("Paid",S5)))</formula>
    </cfRule>
    <cfRule type="containsText" dxfId="0" priority="23" operator="containsText" text="Active">
      <formula>NOT(ISERROR(SEARCH("Active",S5)))</formula>
    </cfRule>
    <cfRule type="containsText" dxfId="0" priority="24" operator="containsText" text="Resolved">
      <formula>NOT(ISERROR(SEARCH("Resolved",S5)))</formula>
    </cfRule>
    <cfRule type="containsText" dxfId="0" priority="25" operator="containsText" text="Given">
      <formula>NOT(ISERROR(SEARCH("Given",S5)))</formula>
    </cfRule>
    <cfRule type="containsText" dxfId="2" priority="26" operator="containsText" text="Pending">
      <formula>NOT(ISERROR(SEARCH("Pending",S5)))</formula>
    </cfRule>
    <cfRule type="containsText" dxfId="2" priority="27" operator="containsText" text="Draft">
      <formula>NOT(ISERROR(SEARCH("Draft",S5)))</formula>
    </cfRule>
    <cfRule type="containsText" dxfId="2" priority="28" operator="containsText" text="Enquiry">
      <formula>NOT(ISERROR(SEARCH("Enquiry",S5)))</formula>
    </cfRule>
    <cfRule type="containsText" dxfId="2" priority="29" operator="containsText" text="Partially">
      <formula>NOT(ISERROR(SEARCH("Partially",S5)))</formula>
    </cfRule>
    <cfRule type="containsText" dxfId="3" priority="30" operator="containsText" text="In progress">
      <formula>NOT(ISERROR(SEARCH("In progress",S5)))</formula>
    </cfRule>
    <cfRule type="containsText" dxfId="3" priority="31" operator="containsText" text="Scheduled">
      <formula>NOT(ISERROR(SEARCH("Scheduled",S5)))</formula>
    </cfRule>
    <cfRule type="containsText" dxfId="3" priority="32" operator="containsText" text="Sent">
      <formula>NOT(ISERROR(SEARCH("Sent",S5)))</formula>
    </cfRule>
    <cfRule type="containsText" dxfId="1" priority="33" operator="containsText" text="Cancelled">
      <formula>NOT(ISERROR(SEARCH("Cancelled",S5)))</formula>
    </cfRule>
    <cfRule type="containsText" dxfId="1" priority="34" operator="containsText" text="No show">
      <formula>NOT(ISERROR(SEARCH("No show",S5)))</formula>
    </cfRule>
    <cfRule type="containsText" dxfId="1" priority="35" operator="containsText" text="Missed">
      <formula>NOT(ISERROR(SEARCH("Missed",S5)))</formula>
    </cfRule>
    <cfRule type="containsText" dxfId="1" priority="36" operator="containsText" text="Overdue">
      <formula>NOT(ISERROR(SEARCH("Overdue",S5)))</formula>
    </cfRule>
    <cfRule type="containsText" dxfId="4" priority="37" operator="containsText" text="Inactive">
      <formula>NOT(ISERROR(SEARCH("Inactive",S5)))</formula>
    </cfRule>
    <cfRule type="containsText" dxfId="1" priority="38" operator="containsText" text="Lost">
      <formula>NOT(ISERROR(SEARCH("Lost",S5)))</formula>
    </cfRule>
  </conditionalFormatting>
  <conditionalFormatting sqref="U5:U254">
    <cfRule type="containsText" dxfId="0" priority="39" operator="containsText" text="Completed">
      <formula>NOT(ISERROR(SEARCH("Completed",U5)))</formula>
    </cfRule>
    <cfRule type="containsText" dxfId="0" priority="40" operator="containsText" text="Confirmed">
      <formula>NOT(ISERROR(SEARCH("Confirmed",U5)))</formula>
    </cfRule>
    <cfRule type="containsText" dxfId="0" priority="41" operator="containsText" text="Paid">
      <formula>NOT(ISERROR(SEARCH("Paid",U5)))</formula>
    </cfRule>
    <cfRule type="containsText" dxfId="0" priority="42" operator="containsText" text="Active">
      <formula>NOT(ISERROR(SEARCH("Active",U5)))</formula>
    </cfRule>
    <cfRule type="containsText" dxfId="0" priority="43" operator="containsText" text="Resolved">
      <formula>NOT(ISERROR(SEARCH("Resolved",U5)))</formula>
    </cfRule>
    <cfRule type="containsText" dxfId="0" priority="44" operator="containsText" text="Given">
      <formula>NOT(ISERROR(SEARCH("Given",U5)))</formula>
    </cfRule>
    <cfRule type="containsText" dxfId="2" priority="45" operator="containsText" text="Pending">
      <formula>NOT(ISERROR(SEARCH("Pending",U5)))</formula>
    </cfRule>
    <cfRule type="containsText" dxfId="2" priority="46" operator="containsText" text="Draft">
      <formula>NOT(ISERROR(SEARCH("Draft",U5)))</formula>
    </cfRule>
    <cfRule type="containsText" dxfId="2" priority="47" operator="containsText" text="Enquiry">
      <formula>NOT(ISERROR(SEARCH("Enquiry",U5)))</formula>
    </cfRule>
    <cfRule type="containsText" dxfId="2" priority="48" operator="containsText" text="Partially">
      <formula>NOT(ISERROR(SEARCH("Partially",U5)))</formula>
    </cfRule>
    <cfRule type="containsText" dxfId="3" priority="49" operator="containsText" text="In progress">
      <formula>NOT(ISERROR(SEARCH("In progress",U5)))</formula>
    </cfRule>
    <cfRule type="containsText" dxfId="3" priority="50" operator="containsText" text="Scheduled">
      <formula>NOT(ISERROR(SEARCH("Scheduled",U5)))</formula>
    </cfRule>
    <cfRule type="containsText" dxfId="3" priority="51" operator="containsText" text="Sent">
      <formula>NOT(ISERROR(SEARCH("Sent",U5)))</formula>
    </cfRule>
    <cfRule type="containsText" dxfId="1" priority="52" operator="containsText" text="Cancelled">
      <formula>NOT(ISERROR(SEARCH("Cancelled",U5)))</formula>
    </cfRule>
    <cfRule type="containsText" dxfId="1" priority="53" operator="containsText" text="No show">
      <formula>NOT(ISERROR(SEARCH("No show",U5)))</formula>
    </cfRule>
    <cfRule type="containsText" dxfId="1" priority="54" operator="containsText" text="Missed">
      <formula>NOT(ISERROR(SEARCH("Missed",U5)))</formula>
    </cfRule>
    <cfRule type="containsText" dxfId="1" priority="55" operator="containsText" text="Overdue">
      <formula>NOT(ISERROR(SEARCH("Overdue",U5)))</formula>
    </cfRule>
    <cfRule type="containsText" dxfId="4" priority="56" operator="containsText" text="Inactive">
      <formula>NOT(ISERROR(SEARCH("Inactive",U5)))</formula>
    </cfRule>
    <cfRule type="containsText" dxfId="1" priority="57" operator="containsText" text="Lost">
      <formula>NOT(ISERROR(SEARCH("Lost",U5)))</formula>
    </cfRule>
  </conditionalFormatting>
  <dataValidations count="10">
    <dataValidation type="list" allowBlank="1" showInputMessage="1" showErrorMessage="1" sqref="J5:J254">
      <formula1>ContactMethodList</formula1>
    </dataValidation>
    <dataValidation type="list" allowBlank="1" showInputMessage="1" showErrorMessage="1" sqref="K5:K254">
      <formula1>ReferralSourceList</formula1>
    </dataValidation>
    <dataValidation type="date" allowBlank="1" showInputMessage="1" showErrorMessage="1" errorTitle="Check the date" error="Enter a real date between 2000 and 2100." sqref="L5:L254">
      <formula1>36526</formula1>
      <formula2>73415</formula2>
    </dataValidation>
    <dataValidation type="list" allowBlank="1" showInputMessage="1" showErrorMessage="1" sqref="M5:M254">
      <formula1>ClientStatusList</formula1>
    </dataValidation>
    <dataValidation type="list" allowBlank="1" showInputMessage="1" showErrorMessage="1" sqref="N5:N254">
      <formula1>KeyStatusList</formula1>
    </dataValidation>
    <dataValidation type="date" allowBlank="1" showInputMessage="1" showErrorMessage="1" errorTitle="Check the date" error="Enter a real date between 2000 and 2100." sqref="P5:P254">
      <formula1>36526</formula1>
      <formula2>73415</formula2>
    </dataValidation>
    <dataValidation type="list" allowBlank="1" showInputMessage="1" showErrorMessage="1" sqref="S5:S254">
      <formula1>ContractStatusList</formula1>
    </dataValidation>
    <dataValidation type="date" allowBlank="1" showInputMessage="1" showErrorMessage="1" errorTitle="Check the date" error="Enter a real date between 2000 and 2100." sqref="T5:T254">
      <formula1>36526</formula1>
      <formula2>73415</formula2>
    </dataValidation>
    <dataValidation type="list" allowBlank="1" showInputMessage="1" showErrorMessage="1" sqref="U5:U254">
      <formula1>"Yes,No"</formula1>
    </dataValidation>
    <dataValidation type="decimal" allowBlank="1" showInputMessage="1" showErrorMessage="1" errorTitle="Check the value" error="Enter a number between 0 and 100000." sqref="V5:V25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&amp;L&amp;"Calibri,Bold"&amp;12&amp;C&amp;"Calibri,Bold"&amp;11Clients&amp;R&amp;"Calibri,Italic"&amp;9Pet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7.xml><?xml version="1.0" encoding="utf-8"?>
<worksheet xmlns="http://schemas.openxmlformats.org/spreadsheetml/2006/main" xmlns:r="http://schemas.openxmlformats.org/officeDocument/2006/relationships">
  <sheetPr>
    <tabColor rgb="FF1F4E5F"/>
    <pageSetUpPr fitToPage="1"/>
  </sheetPr>
  <dimension ref="A1:AT25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4.7109375" style="20" customWidth="1"/>
    <col min="3" max="3" width="20.7109375" style="20" customWidth="1"/>
    <col min="4" max="4" width="24.7109375" style="28" customWidth="1"/>
    <col min="5" max="5" width="10.7109375" style="28" customWidth="1"/>
    <col min="6" max="6" width="11.7109375" style="20" customWidth="1"/>
    <col min="7" max="7" width="20.7109375" style="20" customWidth="1"/>
    <col min="8" max="8" width="13.7109375" style="39" customWidth="1"/>
    <col min="9" max="9" width="9.7109375" style="32" customWidth="1"/>
    <col min="10" max="10" width="14.7109375" style="20" customWidth="1"/>
    <col min="11" max="11" width="10.7109375" style="43" customWidth="1"/>
    <col min="12" max="12" width="22.7109375" style="20" customWidth="1"/>
    <col min="13" max="13" width="18.7109375" style="20" customWidth="1"/>
    <col min="14" max="14" width="16.7109375" style="20" customWidth="1"/>
    <col min="15" max="15" width="16.7109375" style="20" customWidth="1"/>
    <col min="16" max="16" width="28.7109375" style="47" customWidth="1"/>
    <col min="17" max="17" width="20.7109375" style="47" customWidth="1"/>
    <col min="18" max="18" width="30.7109375" style="47" customWidth="1"/>
    <col min="19" max="19" width="22.7109375" style="20" customWidth="1"/>
    <col min="20" max="20" width="16.7109375" style="20" customWidth="1"/>
    <col min="21" max="21" width="22.7109375" style="20" customWidth="1"/>
    <col min="22" max="22" width="16.7109375" style="20" customWidth="1"/>
    <col min="23" max="23" width="13.7109375" style="39" customWidth="1"/>
    <col min="24" max="24" width="13.7109375" style="39" customWidth="1"/>
    <col min="25" max="25" width="17.7109375" style="49" customWidth="1"/>
    <col min="26" max="26" width="18.7109375" style="20" customWidth="1"/>
    <col min="27" max="27" width="14.7109375" style="20" customWidth="1"/>
    <col min="28" max="28" width="13.7109375" style="39" customWidth="1"/>
    <col min="29" max="29" width="30.7109375" style="47" customWidth="1"/>
    <col min="30" max="30" width="18.7109375" style="20" customWidth="1"/>
    <col min="31" max="31" width="13.7109375" style="20" customWidth="1"/>
    <col min="32" max="32" width="18.7109375" style="20" customWidth="1"/>
    <col min="33" max="33" width="20.7109375" style="20" customWidth="1"/>
    <col min="34" max="34" width="26.7109375" style="47" customWidth="1"/>
    <col min="35" max="35" width="18.7109375" style="20" customWidth="1"/>
    <col min="36" max="36" width="30.7109375" style="47" customWidth="1"/>
    <col min="37" max="37" width="26.7109375" style="47" customWidth="1"/>
    <col min="38" max="38" width="24.7109375" style="47" customWidth="1"/>
    <col min="39" max="39" width="28.7109375" style="47" customWidth="1"/>
    <col min="40" max="40" width="16.7109375" style="48" customWidth="1"/>
    <col min="41" max="41" width="30.7109375" style="47" customWidth="1"/>
    <col min="42" max="42" width="30.7109375" style="47" customWidth="1"/>
    <col min="43" max="43" width="8.7109375" style="31" customWidth="1"/>
    <col min="44" max="44" width="13.7109375" style="21" customWidth="1"/>
    <col min="45" max="45" width="10.7109375" style="31" customWidth="1"/>
    <col min="46" max="46" width="30.7109375" style="49" customWidth="1"/>
  </cols>
  <sheetData>
    <row r="1" spans="1:46" ht="34" customHeight="1">
      <c r="A1" s="2" t="s">
        <v>687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3" t="s">
        <v>118</v>
      </c>
      <c r="AS1" s="3"/>
      <c r="AT1" s="3"/>
    </row>
    <row r="2" spans="1:46" ht="18" customHeight="1">
      <c r="A2" s="4" t="s">
        <v>688</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row>
    <row r="3" spans="1:46"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689</v>
      </c>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row>
    <row r="4" spans="1:46" ht="30" customHeight="1">
      <c r="A4" s="8" t="s">
        <v>642</v>
      </c>
      <c r="B4" s="8" t="s">
        <v>690</v>
      </c>
      <c r="C4" s="9" t="s">
        <v>691</v>
      </c>
      <c r="D4" s="9" t="s">
        <v>692</v>
      </c>
      <c r="E4" s="9" t="s">
        <v>693</v>
      </c>
      <c r="F4" s="9" t="s">
        <v>382</v>
      </c>
      <c r="G4" s="9" t="s">
        <v>694</v>
      </c>
      <c r="H4" s="9" t="s">
        <v>695</v>
      </c>
      <c r="I4" s="9" t="s">
        <v>696</v>
      </c>
      <c r="J4" s="9" t="s">
        <v>697</v>
      </c>
      <c r="K4" s="9" t="s">
        <v>698</v>
      </c>
      <c r="L4" s="9" t="s">
        <v>699</v>
      </c>
      <c r="M4" s="9" t="s">
        <v>700</v>
      </c>
      <c r="N4" s="9" t="s">
        <v>701</v>
      </c>
      <c r="O4" s="9" t="s">
        <v>397</v>
      </c>
      <c r="P4" s="9" t="s">
        <v>702</v>
      </c>
      <c r="Q4" s="9" t="s">
        <v>703</v>
      </c>
      <c r="R4" s="9" t="s">
        <v>704</v>
      </c>
      <c r="S4" s="9" t="s">
        <v>705</v>
      </c>
      <c r="T4" s="9" t="s">
        <v>706</v>
      </c>
      <c r="U4" s="9" t="s">
        <v>707</v>
      </c>
      <c r="V4" s="9" t="s">
        <v>708</v>
      </c>
      <c r="W4" s="9" t="s">
        <v>709</v>
      </c>
      <c r="X4" s="9" t="s">
        <v>710</v>
      </c>
      <c r="Y4" s="9" t="s">
        <v>711</v>
      </c>
      <c r="Z4" s="9" t="s">
        <v>712</v>
      </c>
      <c r="AA4" s="9" t="s">
        <v>713</v>
      </c>
      <c r="AB4" s="9" t="s">
        <v>714</v>
      </c>
      <c r="AC4" s="9" t="s">
        <v>715</v>
      </c>
      <c r="AD4" s="9" t="s">
        <v>716</v>
      </c>
      <c r="AE4" s="9" t="s">
        <v>717</v>
      </c>
      <c r="AF4" s="9" t="s">
        <v>718</v>
      </c>
      <c r="AG4" s="9" t="s">
        <v>488</v>
      </c>
      <c r="AH4" s="9" t="s">
        <v>719</v>
      </c>
      <c r="AI4" s="9" t="s">
        <v>720</v>
      </c>
      <c r="AJ4" s="9" t="s">
        <v>721</v>
      </c>
      <c r="AK4" s="9" t="s">
        <v>722</v>
      </c>
      <c r="AL4" s="9" t="s">
        <v>723</v>
      </c>
      <c r="AM4" s="9" t="s">
        <v>724</v>
      </c>
      <c r="AN4" s="9" t="s">
        <v>407</v>
      </c>
      <c r="AO4" s="9" t="s">
        <v>725</v>
      </c>
      <c r="AP4" s="9" t="s">
        <v>726</v>
      </c>
      <c r="AQ4" s="9" t="s">
        <v>189</v>
      </c>
      <c r="AR4" s="9" t="s">
        <v>727</v>
      </c>
      <c r="AS4" s="9" t="s">
        <v>728</v>
      </c>
      <c r="AT4" s="9" t="s">
        <v>729</v>
      </c>
    </row>
    <row r="5" spans="1:46">
      <c r="A5" s="46">
        <f>IF(B5="","",PetPrefix&amp;TEXT(ROW()-4,"0000"))</f>
        <v>0</v>
      </c>
      <c r="D5" s="28">
        <f>IF(B5="","",B5&amp;" ("&amp;C5&amp;")")</f>
        <v>0</v>
      </c>
      <c r="E5" s="28">
        <f>IF(C5="","",IFERROR(INDEX(Clients!$A$5:$A$254,MATCH(C5,Clients!$B$5:$B$254,0)),""))</f>
        <v>0</v>
      </c>
      <c r="I5" s="32">
        <f>IF(H5="","",ROUND(YEARFRAC(H5,TODAY()),1))</f>
        <v>0</v>
      </c>
      <c r="Y5" s="49">
        <f>IF(X5="","",IF(X5&lt;TODAY(),"Expired",IF(X5-TODAY()&lt;=VaccAlertDays,"Due in "&amp;TEXT(X5-TODAY(),"0")&amp;" days","Valid")))</f>
        <v>0</v>
      </c>
      <c r="AQ5" s="31">
        <f>IF(D5="","",COUNTIFS('Visit Log'!$E$5:$E$404,D5,'Visit Log'!$AE$5:$AE$404,"Completed"))</f>
        <v>0</v>
      </c>
      <c r="AR5" s="21">
        <f>IF(D5="","",IF(SUMPRODUCT(MAX(('Visit Log'!$E$5:$E$404=D5)*('Visit Log'!$AE$5:$AE$404="Completed")*'Visit Log'!$C$5:$C$404))=0,"",SUMPRODUCT(MAX(('Visit Log'!$E$5:$E$404=D5)*('Visit Log'!$AE$5:$AE$404="Completed")*'Visit Log'!$C$5:$C$404))))</f>
        <v>0</v>
      </c>
      <c r="AS5" s="31">
        <f>IF(D5="","",COUNTIFS('Health Log'!$D$5:$D$204,D5))</f>
        <v>0</v>
      </c>
      <c r="AT5" s="49">
        <f>IF(B5="","",TRIM(IF(Y5="Expired","VACCINATION EXPIRED. ",IF(LEFT(Y5,6)="Due in","Vaccination due. ",""))&amp;IF(AND(AN5&lt;&gt;"",AN5&lt;&gt;"None"),AN5&amp;". ","")&amp;IF(AND(AG5&lt;&gt;"",AG5&lt;&gt;"None",AG5&lt;&gt;"-"),"On medication. ","")&amp;IF(Q5&lt;&gt;"",IF(OR(Q5="None",Q5="None known"),"","Allergy: "&amp;Q5),"")))</f>
        <v>0</v>
      </c>
    </row>
    <row r="6" spans="1:46">
      <c r="A6" s="46">
        <f>IF(B6="","",PetPrefix&amp;TEXT(ROW()-4,"0000"))</f>
        <v>0</v>
      </c>
      <c r="D6" s="28">
        <f>IF(B6="","",B6&amp;" ("&amp;C6&amp;")")</f>
        <v>0</v>
      </c>
      <c r="E6" s="28">
        <f>IF(C6="","",IFERROR(INDEX(Clients!$A$5:$A$254,MATCH(C6,Clients!$B$5:$B$254,0)),""))</f>
        <v>0</v>
      </c>
      <c r="I6" s="32">
        <f>IF(H6="","",ROUND(YEARFRAC(H6,TODAY()),1))</f>
        <v>0</v>
      </c>
      <c r="Y6" s="49">
        <f>IF(X6="","",IF(X6&lt;TODAY(),"Expired",IF(X6-TODAY()&lt;=VaccAlertDays,"Due in "&amp;TEXT(X6-TODAY(),"0")&amp;" days","Valid")))</f>
        <v>0</v>
      </c>
      <c r="AQ6" s="31">
        <f>IF(D6="","",COUNTIFS('Visit Log'!$E$5:$E$404,D6,'Visit Log'!$AE$5:$AE$404,"Completed"))</f>
        <v>0</v>
      </c>
      <c r="AR6" s="21">
        <f>IF(D6="","",IF(SUMPRODUCT(MAX(('Visit Log'!$E$5:$E$404=D6)*('Visit Log'!$AE$5:$AE$404="Completed")*'Visit Log'!$C$5:$C$404))=0,"",SUMPRODUCT(MAX(('Visit Log'!$E$5:$E$404=D6)*('Visit Log'!$AE$5:$AE$404="Completed")*'Visit Log'!$C$5:$C$404))))</f>
        <v>0</v>
      </c>
      <c r="AS6" s="31">
        <f>IF(D6="","",COUNTIFS('Health Log'!$D$5:$D$204,D6))</f>
        <v>0</v>
      </c>
      <c r="AT6" s="49">
        <f>IF(B6="","",TRIM(IF(Y6="Expired","VACCINATION EXPIRED. ",IF(LEFT(Y6,6)="Due in","Vaccination due. ",""))&amp;IF(AND(AN6&lt;&gt;"",AN6&lt;&gt;"None"),AN6&amp;". ","")&amp;IF(AND(AG6&lt;&gt;"",AG6&lt;&gt;"None",AG6&lt;&gt;"-"),"On medication. ","")&amp;IF(Q6&lt;&gt;"",IF(OR(Q6="None",Q6="None known"),"","Allergy: "&amp;Q6),"")))</f>
        <v>0</v>
      </c>
    </row>
    <row r="7" spans="1:46">
      <c r="A7" s="46">
        <f>IF(B7="","",PetPrefix&amp;TEXT(ROW()-4,"0000"))</f>
        <v>0</v>
      </c>
      <c r="D7" s="28">
        <f>IF(B7="","",B7&amp;" ("&amp;C7&amp;")")</f>
        <v>0</v>
      </c>
      <c r="E7" s="28">
        <f>IF(C7="","",IFERROR(INDEX(Clients!$A$5:$A$254,MATCH(C7,Clients!$B$5:$B$254,0)),""))</f>
        <v>0</v>
      </c>
      <c r="I7" s="32">
        <f>IF(H7="","",ROUND(YEARFRAC(H7,TODAY()),1))</f>
        <v>0</v>
      </c>
      <c r="Y7" s="49">
        <f>IF(X7="","",IF(X7&lt;TODAY(),"Expired",IF(X7-TODAY()&lt;=VaccAlertDays,"Due in "&amp;TEXT(X7-TODAY(),"0")&amp;" days","Valid")))</f>
        <v>0</v>
      </c>
      <c r="AQ7" s="31">
        <f>IF(D7="","",COUNTIFS('Visit Log'!$E$5:$E$404,D7,'Visit Log'!$AE$5:$AE$404,"Completed"))</f>
        <v>0</v>
      </c>
      <c r="AR7" s="21">
        <f>IF(D7="","",IF(SUMPRODUCT(MAX(('Visit Log'!$E$5:$E$404=D7)*('Visit Log'!$AE$5:$AE$404="Completed")*'Visit Log'!$C$5:$C$404))=0,"",SUMPRODUCT(MAX(('Visit Log'!$E$5:$E$404=D7)*('Visit Log'!$AE$5:$AE$404="Completed")*'Visit Log'!$C$5:$C$404))))</f>
        <v>0</v>
      </c>
      <c r="AS7" s="31">
        <f>IF(D7="","",COUNTIFS('Health Log'!$D$5:$D$204,D7))</f>
        <v>0</v>
      </c>
      <c r="AT7" s="49">
        <f>IF(B7="","",TRIM(IF(Y7="Expired","VACCINATION EXPIRED. ",IF(LEFT(Y7,6)="Due in","Vaccination due. ",""))&amp;IF(AND(AN7&lt;&gt;"",AN7&lt;&gt;"None"),AN7&amp;". ","")&amp;IF(AND(AG7&lt;&gt;"",AG7&lt;&gt;"None",AG7&lt;&gt;"-"),"On medication. ","")&amp;IF(Q7&lt;&gt;"",IF(OR(Q7="None",Q7="None known"),"","Allergy: "&amp;Q7),"")))</f>
        <v>0</v>
      </c>
    </row>
    <row r="8" spans="1:46">
      <c r="A8" s="46">
        <f>IF(B8="","",PetPrefix&amp;TEXT(ROW()-4,"0000"))</f>
        <v>0</v>
      </c>
      <c r="D8" s="28">
        <f>IF(B8="","",B8&amp;" ("&amp;C8&amp;")")</f>
        <v>0</v>
      </c>
      <c r="E8" s="28">
        <f>IF(C8="","",IFERROR(INDEX(Clients!$A$5:$A$254,MATCH(C8,Clients!$B$5:$B$254,0)),""))</f>
        <v>0</v>
      </c>
      <c r="I8" s="32">
        <f>IF(H8="","",ROUND(YEARFRAC(H8,TODAY()),1))</f>
        <v>0</v>
      </c>
      <c r="Y8" s="49">
        <f>IF(X8="","",IF(X8&lt;TODAY(),"Expired",IF(X8-TODAY()&lt;=VaccAlertDays,"Due in "&amp;TEXT(X8-TODAY(),"0")&amp;" days","Valid")))</f>
        <v>0</v>
      </c>
      <c r="AQ8" s="31">
        <f>IF(D8="","",COUNTIFS('Visit Log'!$E$5:$E$404,D8,'Visit Log'!$AE$5:$AE$404,"Completed"))</f>
        <v>0</v>
      </c>
      <c r="AR8" s="21">
        <f>IF(D8="","",IF(SUMPRODUCT(MAX(('Visit Log'!$E$5:$E$404=D8)*('Visit Log'!$AE$5:$AE$404="Completed")*'Visit Log'!$C$5:$C$404))=0,"",SUMPRODUCT(MAX(('Visit Log'!$E$5:$E$404=D8)*('Visit Log'!$AE$5:$AE$404="Completed")*'Visit Log'!$C$5:$C$404))))</f>
        <v>0</v>
      </c>
      <c r="AS8" s="31">
        <f>IF(D8="","",COUNTIFS('Health Log'!$D$5:$D$204,D8))</f>
        <v>0</v>
      </c>
      <c r="AT8" s="49">
        <f>IF(B8="","",TRIM(IF(Y8="Expired","VACCINATION EXPIRED. ",IF(LEFT(Y8,6)="Due in","Vaccination due. ",""))&amp;IF(AND(AN8&lt;&gt;"",AN8&lt;&gt;"None"),AN8&amp;". ","")&amp;IF(AND(AG8&lt;&gt;"",AG8&lt;&gt;"None",AG8&lt;&gt;"-"),"On medication. ","")&amp;IF(Q8&lt;&gt;"",IF(OR(Q8="None",Q8="None known"),"","Allergy: "&amp;Q8),"")))</f>
        <v>0</v>
      </c>
    </row>
    <row r="9" spans="1:46">
      <c r="A9" s="46">
        <f>IF(B9="","",PetPrefix&amp;TEXT(ROW()-4,"0000"))</f>
        <v>0</v>
      </c>
      <c r="D9" s="28">
        <f>IF(B9="","",B9&amp;" ("&amp;C9&amp;")")</f>
        <v>0</v>
      </c>
      <c r="E9" s="28">
        <f>IF(C9="","",IFERROR(INDEX(Clients!$A$5:$A$254,MATCH(C9,Clients!$B$5:$B$254,0)),""))</f>
        <v>0</v>
      </c>
      <c r="I9" s="32">
        <f>IF(H9="","",ROUND(YEARFRAC(H9,TODAY()),1))</f>
        <v>0</v>
      </c>
      <c r="Y9" s="49">
        <f>IF(X9="","",IF(X9&lt;TODAY(),"Expired",IF(X9-TODAY()&lt;=VaccAlertDays,"Due in "&amp;TEXT(X9-TODAY(),"0")&amp;" days","Valid")))</f>
        <v>0</v>
      </c>
      <c r="AQ9" s="31">
        <f>IF(D9="","",COUNTIFS('Visit Log'!$E$5:$E$404,D9,'Visit Log'!$AE$5:$AE$404,"Completed"))</f>
        <v>0</v>
      </c>
      <c r="AR9" s="21">
        <f>IF(D9="","",IF(SUMPRODUCT(MAX(('Visit Log'!$E$5:$E$404=D9)*('Visit Log'!$AE$5:$AE$404="Completed")*'Visit Log'!$C$5:$C$404))=0,"",SUMPRODUCT(MAX(('Visit Log'!$E$5:$E$404=D9)*('Visit Log'!$AE$5:$AE$404="Completed")*'Visit Log'!$C$5:$C$404))))</f>
        <v>0</v>
      </c>
      <c r="AS9" s="31">
        <f>IF(D9="","",COUNTIFS('Health Log'!$D$5:$D$204,D9))</f>
        <v>0</v>
      </c>
      <c r="AT9" s="49">
        <f>IF(B9="","",TRIM(IF(Y9="Expired","VACCINATION EXPIRED. ",IF(LEFT(Y9,6)="Due in","Vaccination due. ",""))&amp;IF(AND(AN9&lt;&gt;"",AN9&lt;&gt;"None"),AN9&amp;". ","")&amp;IF(AND(AG9&lt;&gt;"",AG9&lt;&gt;"None",AG9&lt;&gt;"-"),"On medication. ","")&amp;IF(Q9&lt;&gt;"",IF(OR(Q9="None",Q9="None known"),"","Allergy: "&amp;Q9),"")))</f>
        <v>0</v>
      </c>
    </row>
    <row r="10" spans="1:46">
      <c r="A10" s="46">
        <f>IF(B10="","",PetPrefix&amp;TEXT(ROW()-4,"0000"))</f>
        <v>0</v>
      </c>
      <c r="D10" s="28">
        <f>IF(B10="","",B10&amp;" ("&amp;C10&amp;")")</f>
        <v>0</v>
      </c>
      <c r="E10" s="28">
        <f>IF(C10="","",IFERROR(INDEX(Clients!$A$5:$A$254,MATCH(C10,Clients!$B$5:$B$254,0)),""))</f>
        <v>0</v>
      </c>
      <c r="I10" s="32">
        <f>IF(H10="","",ROUND(YEARFRAC(H10,TODAY()),1))</f>
        <v>0</v>
      </c>
      <c r="Y10" s="49">
        <f>IF(X10="","",IF(X10&lt;TODAY(),"Expired",IF(X10-TODAY()&lt;=VaccAlertDays,"Due in "&amp;TEXT(X10-TODAY(),"0")&amp;" days","Valid")))</f>
        <v>0</v>
      </c>
      <c r="AQ10" s="31">
        <f>IF(D10="","",COUNTIFS('Visit Log'!$E$5:$E$404,D10,'Visit Log'!$AE$5:$AE$404,"Completed"))</f>
        <v>0</v>
      </c>
      <c r="AR10" s="21">
        <f>IF(D10="","",IF(SUMPRODUCT(MAX(('Visit Log'!$E$5:$E$404=D10)*('Visit Log'!$AE$5:$AE$404="Completed")*'Visit Log'!$C$5:$C$404))=0,"",SUMPRODUCT(MAX(('Visit Log'!$E$5:$E$404=D10)*('Visit Log'!$AE$5:$AE$404="Completed")*'Visit Log'!$C$5:$C$404))))</f>
        <v>0</v>
      </c>
      <c r="AS10" s="31">
        <f>IF(D10="","",COUNTIFS('Health Log'!$D$5:$D$204,D10))</f>
        <v>0</v>
      </c>
      <c r="AT10" s="49">
        <f>IF(B10="","",TRIM(IF(Y10="Expired","VACCINATION EXPIRED. ",IF(LEFT(Y10,6)="Due in","Vaccination due. ",""))&amp;IF(AND(AN10&lt;&gt;"",AN10&lt;&gt;"None"),AN10&amp;". ","")&amp;IF(AND(AG10&lt;&gt;"",AG10&lt;&gt;"None",AG10&lt;&gt;"-"),"On medication. ","")&amp;IF(Q10&lt;&gt;"",IF(OR(Q10="None",Q10="None known"),"","Allergy: "&amp;Q10),"")))</f>
        <v>0</v>
      </c>
    </row>
    <row r="11" spans="1:46">
      <c r="A11" s="46">
        <f>IF(B11="","",PetPrefix&amp;TEXT(ROW()-4,"0000"))</f>
        <v>0</v>
      </c>
      <c r="D11" s="28">
        <f>IF(B11="","",B11&amp;" ("&amp;C11&amp;")")</f>
        <v>0</v>
      </c>
      <c r="E11" s="28">
        <f>IF(C11="","",IFERROR(INDEX(Clients!$A$5:$A$254,MATCH(C11,Clients!$B$5:$B$254,0)),""))</f>
        <v>0</v>
      </c>
      <c r="I11" s="32">
        <f>IF(H11="","",ROUND(YEARFRAC(H11,TODAY()),1))</f>
        <v>0</v>
      </c>
      <c r="Y11" s="49">
        <f>IF(X11="","",IF(X11&lt;TODAY(),"Expired",IF(X11-TODAY()&lt;=VaccAlertDays,"Due in "&amp;TEXT(X11-TODAY(),"0")&amp;" days","Valid")))</f>
        <v>0</v>
      </c>
      <c r="AQ11" s="31">
        <f>IF(D11="","",COUNTIFS('Visit Log'!$E$5:$E$404,D11,'Visit Log'!$AE$5:$AE$404,"Completed"))</f>
        <v>0</v>
      </c>
      <c r="AR11" s="21">
        <f>IF(D11="","",IF(SUMPRODUCT(MAX(('Visit Log'!$E$5:$E$404=D11)*('Visit Log'!$AE$5:$AE$404="Completed")*'Visit Log'!$C$5:$C$404))=0,"",SUMPRODUCT(MAX(('Visit Log'!$E$5:$E$404=D11)*('Visit Log'!$AE$5:$AE$404="Completed")*'Visit Log'!$C$5:$C$404))))</f>
        <v>0</v>
      </c>
      <c r="AS11" s="31">
        <f>IF(D11="","",COUNTIFS('Health Log'!$D$5:$D$204,D11))</f>
        <v>0</v>
      </c>
      <c r="AT11" s="49">
        <f>IF(B11="","",TRIM(IF(Y11="Expired","VACCINATION EXPIRED. ",IF(LEFT(Y11,6)="Due in","Vaccination due. ",""))&amp;IF(AND(AN11&lt;&gt;"",AN11&lt;&gt;"None"),AN11&amp;". ","")&amp;IF(AND(AG11&lt;&gt;"",AG11&lt;&gt;"None",AG11&lt;&gt;"-"),"On medication. ","")&amp;IF(Q11&lt;&gt;"",IF(OR(Q11="None",Q11="None known"),"","Allergy: "&amp;Q11),"")))</f>
        <v>0</v>
      </c>
    </row>
    <row r="12" spans="1:46">
      <c r="A12" s="46">
        <f>IF(B12="","",PetPrefix&amp;TEXT(ROW()-4,"0000"))</f>
        <v>0</v>
      </c>
      <c r="D12" s="28">
        <f>IF(B12="","",B12&amp;" ("&amp;C12&amp;")")</f>
        <v>0</v>
      </c>
      <c r="E12" s="28">
        <f>IF(C12="","",IFERROR(INDEX(Clients!$A$5:$A$254,MATCH(C12,Clients!$B$5:$B$254,0)),""))</f>
        <v>0</v>
      </c>
      <c r="I12" s="32">
        <f>IF(H12="","",ROUND(YEARFRAC(H12,TODAY()),1))</f>
        <v>0</v>
      </c>
      <c r="Y12" s="49">
        <f>IF(X12="","",IF(X12&lt;TODAY(),"Expired",IF(X12-TODAY()&lt;=VaccAlertDays,"Due in "&amp;TEXT(X12-TODAY(),"0")&amp;" days","Valid")))</f>
        <v>0</v>
      </c>
      <c r="AQ12" s="31">
        <f>IF(D12="","",COUNTIFS('Visit Log'!$E$5:$E$404,D12,'Visit Log'!$AE$5:$AE$404,"Completed"))</f>
        <v>0</v>
      </c>
      <c r="AR12" s="21">
        <f>IF(D12="","",IF(SUMPRODUCT(MAX(('Visit Log'!$E$5:$E$404=D12)*('Visit Log'!$AE$5:$AE$404="Completed")*'Visit Log'!$C$5:$C$404))=0,"",SUMPRODUCT(MAX(('Visit Log'!$E$5:$E$404=D12)*('Visit Log'!$AE$5:$AE$404="Completed")*'Visit Log'!$C$5:$C$404))))</f>
        <v>0</v>
      </c>
      <c r="AS12" s="31">
        <f>IF(D12="","",COUNTIFS('Health Log'!$D$5:$D$204,D12))</f>
        <v>0</v>
      </c>
      <c r="AT12" s="49">
        <f>IF(B12="","",TRIM(IF(Y12="Expired","VACCINATION EXPIRED. ",IF(LEFT(Y12,6)="Due in","Vaccination due. ",""))&amp;IF(AND(AN12&lt;&gt;"",AN12&lt;&gt;"None"),AN12&amp;". ","")&amp;IF(AND(AG12&lt;&gt;"",AG12&lt;&gt;"None",AG12&lt;&gt;"-"),"On medication. ","")&amp;IF(Q12&lt;&gt;"",IF(OR(Q12="None",Q12="None known"),"","Allergy: "&amp;Q12),"")))</f>
        <v>0</v>
      </c>
    </row>
    <row r="13" spans="1:46">
      <c r="A13" s="46">
        <f>IF(B13="","",PetPrefix&amp;TEXT(ROW()-4,"0000"))</f>
        <v>0</v>
      </c>
      <c r="D13" s="28">
        <f>IF(B13="","",B13&amp;" ("&amp;C13&amp;")")</f>
        <v>0</v>
      </c>
      <c r="E13" s="28">
        <f>IF(C13="","",IFERROR(INDEX(Clients!$A$5:$A$254,MATCH(C13,Clients!$B$5:$B$254,0)),""))</f>
        <v>0</v>
      </c>
      <c r="I13" s="32">
        <f>IF(H13="","",ROUND(YEARFRAC(H13,TODAY()),1))</f>
        <v>0</v>
      </c>
      <c r="Y13" s="49">
        <f>IF(X13="","",IF(X13&lt;TODAY(),"Expired",IF(X13-TODAY()&lt;=VaccAlertDays,"Due in "&amp;TEXT(X13-TODAY(),"0")&amp;" days","Valid")))</f>
        <v>0</v>
      </c>
      <c r="AQ13" s="31">
        <f>IF(D13="","",COUNTIFS('Visit Log'!$E$5:$E$404,D13,'Visit Log'!$AE$5:$AE$404,"Completed"))</f>
        <v>0</v>
      </c>
      <c r="AR13" s="21">
        <f>IF(D13="","",IF(SUMPRODUCT(MAX(('Visit Log'!$E$5:$E$404=D13)*('Visit Log'!$AE$5:$AE$404="Completed")*'Visit Log'!$C$5:$C$404))=0,"",SUMPRODUCT(MAX(('Visit Log'!$E$5:$E$404=D13)*('Visit Log'!$AE$5:$AE$404="Completed")*'Visit Log'!$C$5:$C$404))))</f>
        <v>0</v>
      </c>
      <c r="AS13" s="31">
        <f>IF(D13="","",COUNTIFS('Health Log'!$D$5:$D$204,D13))</f>
        <v>0</v>
      </c>
      <c r="AT13" s="49">
        <f>IF(B13="","",TRIM(IF(Y13="Expired","VACCINATION EXPIRED. ",IF(LEFT(Y13,6)="Due in","Vaccination due. ",""))&amp;IF(AND(AN13&lt;&gt;"",AN13&lt;&gt;"None"),AN13&amp;". ","")&amp;IF(AND(AG13&lt;&gt;"",AG13&lt;&gt;"None",AG13&lt;&gt;"-"),"On medication. ","")&amp;IF(Q13&lt;&gt;"",IF(OR(Q13="None",Q13="None known"),"","Allergy: "&amp;Q13),"")))</f>
        <v>0</v>
      </c>
    </row>
    <row r="14" spans="1:46">
      <c r="A14" s="46">
        <f>IF(B14="","",PetPrefix&amp;TEXT(ROW()-4,"0000"))</f>
        <v>0</v>
      </c>
      <c r="D14" s="28">
        <f>IF(B14="","",B14&amp;" ("&amp;C14&amp;")")</f>
        <v>0</v>
      </c>
      <c r="E14" s="28">
        <f>IF(C14="","",IFERROR(INDEX(Clients!$A$5:$A$254,MATCH(C14,Clients!$B$5:$B$254,0)),""))</f>
        <v>0</v>
      </c>
      <c r="I14" s="32">
        <f>IF(H14="","",ROUND(YEARFRAC(H14,TODAY()),1))</f>
        <v>0</v>
      </c>
      <c r="Y14" s="49">
        <f>IF(X14="","",IF(X14&lt;TODAY(),"Expired",IF(X14-TODAY()&lt;=VaccAlertDays,"Due in "&amp;TEXT(X14-TODAY(),"0")&amp;" days","Valid")))</f>
        <v>0</v>
      </c>
      <c r="AQ14" s="31">
        <f>IF(D14="","",COUNTIFS('Visit Log'!$E$5:$E$404,D14,'Visit Log'!$AE$5:$AE$404,"Completed"))</f>
        <v>0</v>
      </c>
      <c r="AR14" s="21">
        <f>IF(D14="","",IF(SUMPRODUCT(MAX(('Visit Log'!$E$5:$E$404=D14)*('Visit Log'!$AE$5:$AE$404="Completed")*'Visit Log'!$C$5:$C$404))=0,"",SUMPRODUCT(MAX(('Visit Log'!$E$5:$E$404=D14)*('Visit Log'!$AE$5:$AE$404="Completed")*'Visit Log'!$C$5:$C$404))))</f>
        <v>0</v>
      </c>
      <c r="AS14" s="31">
        <f>IF(D14="","",COUNTIFS('Health Log'!$D$5:$D$204,D14))</f>
        <v>0</v>
      </c>
      <c r="AT14" s="49">
        <f>IF(B14="","",TRIM(IF(Y14="Expired","VACCINATION EXPIRED. ",IF(LEFT(Y14,6)="Due in","Vaccination due. ",""))&amp;IF(AND(AN14&lt;&gt;"",AN14&lt;&gt;"None"),AN14&amp;". ","")&amp;IF(AND(AG14&lt;&gt;"",AG14&lt;&gt;"None",AG14&lt;&gt;"-"),"On medication. ","")&amp;IF(Q14&lt;&gt;"",IF(OR(Q14="None",Q14="None known"),"","Allergy: "&amp;Q14),"")))</f>
        <v>0</v>
      </c>
    </row>
    <row r="15" spans="1:46">
      <c r="A15" s="46">
        <f>IF(B15="","",PetPrefix&amp;TEXT(ROW()-4,"0000"))</f>
        <v>0</v>
      </c>
      <c r="D15" s="28">
        <f>IF(B15="","",B15&amp;" ("&amp;C15&amp;")")</f>
        <v>0</v>
      </c>
      <c r="E15" s="28">
        <f>IF(C15="","",IFERROR(INDEX(Clients!$A$5:$A$254,MATCH(C15,Clients!$B$5:$B$254,0)),""))</f>
        <v>0</v>
      </c>
      <c r="I15" s="32">
        <f>IF(H15="","",ROUND(YEARFRAC(H15,TODAY()),1))</f>
        <v>0</v>
      </c>
      <c r="Y15" s="49">
        <f>IF(X15="","",IF(X15&lt;TODAY(),"Expired",IF(X15-TODAY()&lt;=VaccAlertDays,"Due in "&amp;TEXT(X15-TODAY(),"0")&amp;" days","Valid")))</f>
        <v>0</v>
      </c>
      <c r="AQ15" s="31">
        <f>IF(D15="","",COUNTIFS('Visit Log'!$E$5:$E$404,D15,'Visit Log'!$AE$5:$AE$404,"Completed"))</f>
        <v>0</v>
      </c>
      <c r="AR15" s="21">
        <f>IF(D15="","",IF(SUMPRODUCT(MAX(('Visit Log'!$E$5:$E$404=D15)*('Visit Log'!$AE$5:$AE$404="Completed")*'Visit Log'!$C$5:$C$404))=0,"",SUMPRODUCT(MAX(('Visit Log'!$E$5:$E$404=D15)*('Visit Log'!$AE$5:$AE$404="Completed")*'Visit Log'!$C$5:$C$404))))</f>
        <v>0</v>
      </c>
      <c r="AS15" s="31">
        <f>IF(D15="","",COUNTIFS('Health Log'!$D$5:$D$204,D15))</f>
        <v>0</v>
      </c>
      <c r="AT15" s="49">
        <f>IF(B15="","",TRIM(IF(Y15="Expired","VACCINATION EXPIRED. ",IF(LEFT(Y15,6)="Due in","Vaccination due. ",""))&amp;IF(AND(AN15&lt;&gt;"",AN15&lt;&gt;"None"),AN15&amp;". ","")&amp;IF(AND(AG15&lt;&gt;"",AG15&lt;&gt;"None",AG15&lt;&gt;"-"),"On medication. ","")&amp;IF(Q15&lt;&gt;"",IF(OR(Q15="None",Q15="None known"),"","Allergy: "&amp;Q15),"")))</f>
        <v>0</v>
      </c>
    </row>
    <row r="16" spans="1:46">
      <c r="A16" s="46">
        <f>IF(B16="","",PetPrefix&amp;TEXT(ROW()-4,"0000"))</f>
        <v>0</v>
      </c>
      <c r="D16" s="28">
        <f>IF(B16="","",B16&amp;" ("&amp;C16&amp;")")</f>
        <v>0</v>
      </c>
      <c r="E16" s="28">
        <f>IF(C16="","",IFERROR(INDEX(Clients!$A$5:$A$254,MATCH(C16,Clients!$B$5:$B$254,0)),""))</f>
        <v>0</v>
      </c>
      <c r="I16" s="32">
        <f>IF(H16="","",ROUND(YEARFRAC(H16,TODAY()),1))</f>
        <v>0</v>
      </c>
      <c r="Y16" s="49">
        <f>IF(X16="","",IF(X16&lt;TODAY(),"Expired",IF(X16-TODAY()&lt;=VaccAlertDays,"Due in "&amp;TEXT(X16-TODAY(),"0")&amp;" days","Valid")))</f>
        <v>0</v>
      </c>
      <c r="AQ16" s="31">
        <f>IF(D16="","",COUNTIFS('Visit Log'!$E$5:$E$404,D16,'Visit Log'!$AE$5:$AE$404,"Completed"))</f>
        <v>0</v>
      </c>
      <c r="AR16" s="21">
        <f>IF(D16="","",IF(SUMPRODUCT(MAX(('Visit Log'!$E$5:$E$404=D16)*('Visit Log'!$AE$5:$AE$404="Completed")*'Visit Log'!$C$5:$C$404))=0,"",SUMPRODUCT(MAX(('Visit Log'!$E$5:$E$404=D16)*('Visit Log'!$AE$5:$AE$404="Completed")*'Visit Log'!$C$5:$C$404))))</f>
        <v>0</v>
      </c>
      <c r="AS16" s="31">
        <f>IF(D16="","",COUNTIFS('Health Log'!$D$5:$D$204,D16))</f>
        <v>0</v>
      </c>
      <c r="AT16" s="49">
        <f>IF(B16="","",TRIM(IF(Y16="Expired","VACCINATION EXPIRED. ",IF(LEFT(Y16,6)="Due in","Vaccination due. ",""))&amp;IF(AND(AN16&lt;&gt;"",AN16&lt;&gt;"None"),AN16&amp;". ","")&amp;IF(AND(AG16&lt;&gt;"",AG16&lt;&gt;"None",AG16&lt;&gt;"-"),"On medication. ","")&amp;IF(Q16&lt;&gt;"",IF(OR(Q16="None",Q16="None known"),"","Allergy: "&amp;Q16),"")))</f>
        <v>0</v>
      </c>
    </row>
    <row r="17" spans="1:46">
      <c r="A17" s="46">
        <f>IF(B17="","",PetPrefix&amp;TEXT(ROW()-4,"0000"))</f>
        <v>0</v>
      </c>
      <c r="D17" s="28">
        <f>IF(B17="","",B17&amp;" ("&amp;C17&amp;")")</f>
        <v>0</v>
      </c>
      <c r="E17" s="28">
        <f>IF(C17="","",IFERROR(INDEX(Clients!$A$5:$A$254,MATCH(C17,Clients!$B$5:$B$254,0)),""))</f>
        <v>0</v>
      </c>
      <c r="I17" s="32">
        <f>IF(H17="","",ROUND(YEARFRAC(H17,TODAY()),1))</f>
        <v>0</v>
      </c>
      <c r="Y17" s="49">
        <f>IF(X17="","",IF(X17&lt;TODAY(),"Expired",IF(X17-TODAY()&lt;=VaccAlertDays,"Due in "&amp;TEXT(X17-TODAY(),"0")&amp;" days","Valid")))</f>
        <v>0</v>
      </c>
      <c r="AQ17" s="31">
        <f>IF(D17="","",COUNTIFS('Visit Log'!$E$5:$E$404,D17,'Visit Log'!$AE$5:$AE$404,"Completed"))</f>
        <v>0</v>
      </c>
      <c r="AR17" s="21">
        <f>IF(D17="","",IF(SUMPRODUCT(MAX(('Visit Log'!$E$5:$E$404=D17)*('Visit Log'!$AE$5:$AE$404="Completed")*'Visit Log'!$C$5:$C$404))=0,"",SUMPRODUCT(MAX(('Visit Log'!$E$5:$E$404=D17)*('Visit Log'!$AE$5:$AE$404="Completed")*'Visit Log'!$C$5:$C$404))))</f>
        <v>0</v>
      </c>
      <c r="AS17" s="31">
        <f>IF(D17="","",COUNTIFS('Health Log'!$D$5:$D$204,D17))</f>
        <v>0</v>
      </c>
      <c r="AT17" s="49">
        <f>IF(B17="","",TRIM(IF(Y17="Expired","VACCINATION EXPIRED. ",IF(LEFT(Y17,6)="Due in","Vaccination due. ",""))&amp;IF(AND(AN17&lt;&gt;"",AN17&lt;&gt;"None"),AN17&amp;". ","")&amp;IF(AND(AG17&lt;&gt;"",AG17&lt;&gt;"None",AG17&lt;&gt;"-"),"On medication. ","")&amp;IF(Q17&lt;&gt;"",IF(OR(Q17="None",Q17="None known"),"","Allergy: "&amp;Q17),"")))</f>
        <v>0</v>
      </c>
    </row>
    <row r="18" spans="1:46">
      <c r="A18" s="46">
        <f>IF(B18="","",PetPrefix&amp;TEXT(ROW()-4,"0000"))</f>
        <v>0</v>
      </c>
      <c r="D18" s="28">
        <f>IF(B18="","",B18&amp;" ("&amp;C18&amp;")")</f>
        <v>0</v>
      </c>
      <c r="E18" s="28">
        <f>IF(C18="","",IFERROR(INDEX(Clients!$A$5:$A$254,MATCH(C18,Clients!$B$5:$B$254,0)),""))</f>
        <v>0</v>
      </c>
      <c r="I18" s="32">
        <f>IF(H18="","",ROUND(YEARFRAC(H18,TODAY()),1))</f>
        <v>0</v>
      </c>
      <c r="Y18" s="49">
        <f>IF(X18="","",IF(X18&lt;TODAY(),"Expired",IF(X18-TODAY()&lt;=VaccAlertDays,"Due in "&amp;TEXT(X18-TODAY(),"0")&amp;" days","Valid")))</f>
        <v>0</v>
      </c>
      <c r="AQ18" s="31">
        <f>IF(D18="","",COUNTIFS('Visit Log'!$E$5:$E$404,D18,'Visit Log'!$AE$5:$AE$404,"Completed"))</f>
        <v>0</v>
      </c>
      <c r="AR18" s="21">
        <f>IF(D18="","",IF(SUMPRODUCT(MAX(('Visit Log'!$E$5:$E$404=D18)*('Visit Log'!$AE$5:$AE$404="Completed")*'Visit Log'!$C$5:$C$404))=0,"",SUMPRODUCT(MAX(('Visit Log'!$E$5:$E$404=D18)*('Visit Log'!$AE$5:$AE$404="Completed")*'Visit Log'!$C$5:$C$404))))</f>
        <v>0</v>
      </c>
      <c r="AS18" s="31">
        <f>IF(D18="","",COUNTIFS('Health Log'!$D$5:$D$204,D18))</f>
        <v>0</v>
      </c>
      <c r="AT18" s="49">
        <f>IF(B18="","",TRIM(IF(Y18="Expired","VACCINATION EXPIRED. ",IF(LEFT(Y18,6)="Due in","Vaccination due. ",""))&amp;IF(AND(AN18&lt;&gt;"",AN18&lt;&gt;"None"),AN18&amp;". ","")&amp;IF(AND(AG18&lt;&gt;"",AG18&lt;&gt;"None",AG18&lt;&gt;"-"),"On medication. ","")&amp;IF(Q18&lt;&gt;"",IF(OR(Q18="None",Q18="None known"),"","Allergy: "&amp;Q18),"")))</f>
        <v>0</v>
      </c>
    </row>
    <row r="19" spans="1:46">
      <c r="A19" s="46">
        <f>IF(B19="","",PetPrefix&amp;TEXT(ROW()-4,"0000"))</f>
        <v>0</v>
      </c>
      <c r="D19" s="28">
        <f>IF(B19="","",B19&amp;" ("&amp;C19&amp;")")</f>
        <v>0</v>
      </c>
      <c r="E19" s="28">
        <f>IF(C19="","",IFERROR(INDEX(Clients!$A$5:$A$254,MATCH(C19,Clients!$B$5:$B$254,0)),""))</f>
        <v>0</v>
      </c>
      <c r="I19" s="32">
        <f>IF(H19="","",ROUND(YEARFRAC(H19,TODAY()),1))</f>
        <v>0</v>
      </c>
      <c r="Y19" s="49">
        <f>IF(X19="","",IF(X19&lt;TODAY(),"Expired",IF(X19-TODAY()&lt;=VaccAlertDays,"Due in "&amp;TEXT(X19-TODAY(),"0")&amp;" days","Valid")))</f>
        <v>0</v>
      </c>
      <c r="AQ19" s="31">
        <f>IF(D19="","",COUNTIFS('Visit Log'!$E$5:$E$404,D19,'Visit Log'!$AE$5:$AE$404,"Completed"))</f>
        <v>0</v>
      </c>
      <c r="AR19" s="21">
        <f>IF(D19="","",IF(SUMPRODUCT(MAX(('Visit Log'!$E$5:$E$404=D19)*('Visit Log'!$AE$5:$AE$404="Completed")*'Visit Log'!$C$5:$C$404))=0,"",SUMPRODUCT(MAX(('Visit Log'!$E$5:$E$404=D19)*('Visit Log'!$AE$5:$AE$404="Completed")*'Visit Log'!$C$5:$C$404))))</f>
        <v>0</v>
      </c>
      <c r="AS19" s="31">
        <f>IF(D19="","",COUNTIFS('Health Log'!$D$5:$D$204,D19))</f>
        <v>0</v>
      </c>
      <c r="AT19" s="49">
        <f>IF(B19="","",TRIM(IF(Y19="Expired","VACCINATION EXPIRED. ",IF(LEFT(Y19,6)="Due in","Vaccination due. ",""))&amp;IF(AND(AN19&lt;&gt;"",AN19&lt;&gt;"None"),AN19&amp;". ","")&amp;IF(AND(AG19&lt;&gt;"",AG19&lt;&gt;"None",AG19&lt;&gt;"-"),"On medication. ","")&amp;IF(Q19&lt;&gt;"",IF(OR(Q19="None",Q19="None known"),"","Allergy: "&amp;Q19),"")))</f>
        <v>0</v>
      </c>
    </row>
    <row r="20" spans="1:46">
      <c r="A20" s="46">
        <f>IF(B20="","",PetPrefix&amp;TEXT(ROW()-4,"0000"))</f>
        <v>0</v>
      </c>
      <c r="D20" s="28">
        <f>IF(B20="","",B20&amp;" ("&amp;C20&amp;")")</f>
        <v>0</v>
      </c>
      <c r="E20" s="28">
        <f>IF(C20="","",IFERROR(INDEX(Clients!$A$5:$A$254,MATCH(C20,Clients!$B$5:$B$254,0)),""))</f>
        <v>0</v>
      </c>
      <c r="I20" s="32">
        <f>IF(H20="","",ROUND(YEARFRAC(H20,TODAY()),1))</f>
        <v>0</v>
      </c>
      <c r="Y20" s="49">
        <f>IF(X20="","",IF(X20&lt;TODAY(),"Expired",IF(X20-TODAY()&lt;=VaccAlertDays,"Due in "&amp;TEXT(X20-TODAY(),"0")&amp;" days","Valid")))</f>
        <v>0</v>
      </c>
      <c r="AQ20" s="31">
        <f>IF(D20="","",COUNTIFS('Visit Log'!$E$5:$E$404,D20,'Visit Log'!$AE$5:$AE$404,"Completed"))</f>
        <v>0</v>
      </c>
      <c r="AR20" s="21">
        <f>IF(D20="","",IF(SUMPRODUCT(MAX(('Visit Log'!$E$5:$E$404=D20)*('Visit Log'!$AE$5:$AE$404="Completed")*'Visit Log'!$C$5:$C$404))=0,"",SUMPRODUCT(MAX(('Visit Log'!$E$5:$E$404=D20)*('Visit Log'!$AE$5:$AE$404="Completed")*'Visit Log'!$C$5:$C$404))))</f>
        <v>0</v>
      </c>
      <c r="AS20" s="31">
        <f>IF(D20="","",COUNTIFS('Health Log'!$D$5:$D$204,D20))</f>
        <v>0</v>
      </c>
      <c r="AT20" s="49">
        <f>IF(B20="","",TRIM(IF(Y20="Expired","VACCINATION EXPIRED. ",IF(LEFT(Y20,6)="Due in","Vaccination due. ",""))&amp;IF(AND(AN20&lt;&gt;"",AN20&lt;&gt;"None"),AN20&amp;". ","")&amp;IF(AND(AG20&lt;&gt;"",AG20&lt;&gt;"None",AG20&lt;&gt;"-"),"On medication. ","")&amp;IF(Q20&lt;&gt;"",IF(OR(Q20="None",Q20="None known"),"","Allergy: "&amp;Q20),"")))</f>
        <v>0</v>
      </c>
    </row>
    <row r="21" spans="1:46">
      <c r="A21" s="46">
        <f>IF(B21="","",PetPrefix&amp;TEXT(ROW()-4,"0000"))</f>
        <v>0</v>
      </c>
      <c r="D21" s="28">
        <f>IF(B21="","",B21&amp;" ("&amp;C21&amp;")")</f>
        <v>0</v>
      </c>
      <c r="E21" s="28">
        <f>IF(C21="","",IFERROR(INDEX(Clients!$A$5:$A$254,MATCH(C21,Clients!$B$5:$B$254,0)),""))</f>
        <v>0</v>
      </c>
      <c r="I21" s="32">
        <f>IF(H21="","",ROUND(YEARFRAC(H21,TODAY()),1))</f>
        <v>0</v>
      </c>
      <c r="Y21" s="49">
        <f>IF(X21="","",IF(X21&lt;TODAY(),"Expired",IF(X21-TODAY()&lt;=VaccAlertDays,"Due in "&amp;TEXT(X21-TODAY(),"0")&amp;" days","Valid")))</f>
        <v>0</v>
      </c>
      <c r="AQ21" s="31">
        <f>IF(D21="","",COUNTIFS('Visit Log'!$E$5:$E$404,D21,'Visit Log'!$AE$5:$AE$404,"Completed"))</f>
        <v>0</v>
      </c>
      <c r="AR21" s="21">
        <f>IF(D21="","",IF(SUMPRODUCT(MAX(('Visit Log'!$E$5:$E$404=D21)*('Visit Log'!$AE$5:$AE$404="Completed")*'Visit Log'!$C$5:$C$404))=0,"",SUMPRODUCT(MAX(('Visit Log'!$E$5:$E$404=D21)*('Visit Log'!$AE$5:$AE$404="Completed")*'Visit Log'!$C$5:$C$404))))</f>
        <v>0</v>
      </c>
      <c r="AS21" s="31">
        <f>IF(D21="","",COUNTIFS('Health Log'!$D$5:$D$204,D21))</f>
        <v>0</v>
      </c>
      <c r="AT21" s="49">
        <f>IF(B21="","",TRIM(IF(Y21="Expired","VACCINATION EXPIRED. ",IF(LEFT(Y21,6)="Due in","Vaccination due. ",""))&amp;IF(AND(AN21&lt;&gt;"",AN21&lt;&gt;"None"),AN21&amp;". ","")&amp;IF(AND(AG21&lt;&gt;"",AG21&lt;&gt;"None",AG21&lt;&gt;"-"),"On medication. ","")&amp;IF(Q21&lt;&gt;"",IF(OR(Q21="None",Q21="None known"),"","Allergy: "&amp;Q21),"")))</f>
        <v>0</v>
      </c>
    </row>
    <row r="22" spans="1:46">
      <c r="A22" s="46">
        <f>IF(B22="","",PetPrefix&amp;TEXT(ROW()-4,"0000"))</f>
        <v>0</v>
      </c>
      <c r="D22" s="28">
        <f>IF(B22="","",B22&amp;" ("&amp;C22&amp;")")</f>
        <v>0</v>
      </c>
      <c r="E22" s="28">
        <f>IF(C22="","",IFERROR(INDEX(Clients!$A$5:$A$254,MATCH(C22,Clients!$B$5:$B$254,0)),""))</f>
        <v>0</v>
      </c>
      <c r="I22" s="32">
        <f>IF(H22="","",ROUND(YEARFRAC(H22,TODAY()),1))</f>
        <v>0</v>
      </c>
      <c r="Y22" s="49">
        <f>IF(X22="","",IF(X22&lt;TODAY(),"Expired",IF(X22-TODAY()&lt;=VaccAlertDays,"Due in "&amp;TEXT(X22-TODAY(),"0")&amp;" days","Valid")))</f>
        <v>0</v>
      </c>
      <c r="AQ22" s="31">
        <f>IF(D22="","",COUNTIFS('Visit Log'!$E$5:$E$404,D22,'Visit Log'!$AE$5:$AE$404,"Completed"))</f>
        <v>0</v>
      </c>
      <c r="AR22" s="21">
        <f>IF(D22="","",IF(SUMPRODUCT(MAX(('Visit Log'!$E$5:$E$404=D22)*('Visit Log'!$AE$5:$AE$404="Completed")*'Visit Log'!$C$5:$C$404))=0,"",SUMPRODUCT(MAX(('Visit Log'!$E$5:$E$404=D22)*('Visit Log'!$AE$5:$AE$404="Completed")*'Visit Log'!$C$5:$C$404))))</f>
        <v>0</v>
      </c>
      <c r="AS22" s="31">
        <f>IF(D22="","",COUNTIFS('Health Log'!$D$5:$D$204,D22))</f>
        <v>0</v>
      </c>
      <c r="AT22" s="49">
        <f>IF(B22="","",TRIM(IF(Y22="Expired","VACCINATION EXPIRED. ",IF(LEFT(Y22,6)="Due in","Vaccination due. ",""))&amp;IF(AND(AN22&lt;&gt;"",AN22&lt;&gt;"None"),AN22&amp;". ","")&amp;IF(AND(AG22&lt;&gt;"",AG22&lt;&gt;"None",AG22&lt;&gt;"-"),"On medication. ","")&amp;IF(Q22&lt;&gt;"",IF(OR(Q22="None",Q22="None known"),"","Allergy: "&amp;Q22),"")))</f>
        <v>0</v>
      </c>
    </row>
    <row r="23" spans="1:46">
      <c r="A23" s="46">
        <f>IF(B23="","",PetPrefix&amp;TEXT(ROW()-4,"0000"))</f>
        <v>0</v>
      </c>
      <c r="D23" s="28">
        <f>IF(B23="","",B23&amp;" ("&amp;C23&amp;")")</f>
        <v>0</v>
      </c>
      <c r="E23" s="28">
        <f>IF(C23="","",IFERROR(INDEX(Clients!$A$5:$A$254,MATCH(C23,Clients!$B$5:$B$254,0)),""))</f>
        <v>0</v>
      </c>
      <c r="I23" s="32">
        <f>IF(H23="","",ROUND(YEARFRAC(H23,TODAY()),1))</f>
        <v>0</v>
      </c>
      <c r="Y23" s="49">
        <f>IF(X23="","",IF(X23&lt;TODAY(),"Expired",IF(X23-TODAY()&lt;=VaccAlertDays,"Due in "&amp;TEXT(X23-TODAY(),"0")&amp;" days","Valid")))</f>
        <v>0</v>
      </c>
      <c r="AQ23" s="31">
        <f>IF(D23="","",COUNTIFS('Visit Log'!$E$5:$E$404,D23,'Visit Log'!$AE$5:$AE$404,"Completed"))</f>
        <v>0</v>
      </c>
      <c r="AR23" s="21">
        <f>IF(D23="","",IF(SUMPRODUCT(MAX(('Visit Log'!$E$5:$E$404=D23)*('Visit Log'!$AE$5:$AE$404="Completed")*'Visit Log'!$C$5:$C$404))=0,"",SUMPRODUCT(MAX(('Visit Log'!$E$5:$E$404=D23)*('Visit Log'!$AE$5:$AE$404="Completed")*'Visit Log'!$C$5:$C$404))))</f>
        <v>0</v>
      </c>
      <c r="AS23" s="31">
        <f>IF(D23="","",COUNTIFS('Health Log'!$D$5:$D$204,D23))</f>
        <v>0</v>
      </c>
      <c r="AT23" s="49">
        <f>IF(B23="","",TRIM(IF(Y23="Expired","VACCINATION EXPIRED. ",IF(LEFT(Y23,6)="Due in","Vaccination due. ",""))&amp;IF(AND(AN23&lt;&gt;"",AN23&lt;&gt;"None"),AN23&amp;". ","")&amp;IF(AND(AG23&lt;&gt;"",AG23&lt;&gt;"None",AG23&lt;&gt;"-"),"On medication. ","")&amp;IF(Q23&lt;&gt;"",IF(OR(Q23="None",Q23="None known"),"","Allergy: "&amp;Q23),"")))</f>
        <v>0</v>
      </c>
    </row>
    <row r="24" spans="1:46">
      <c r="A24" s="46">
        <f>IF(B24="","",PetPrefix&amp;TEXT(ROW()-4,"0000"))</f>
        <v>0</v>
      </c>
      <c r="D24" s="28">
        <f>IF(B24="","",B24&amp;" ("&amp;C24&amp;")")</f>
        <v>0</v>
      </c>
      <c r="E24" s="28">
        <f>IF(C24="","",IFERROR(INDEX(Clients!$A$5:$A$254,MATCH(C24,Clients!$B$5:$B$254,0)),""))</f>
        <v>0</v>
      </c>
      <c r="I24" s="32">
        <f>IF(H24="","",ROUND(YEARFRAC(H24,TODAY()),1))</f>
        <v>0</v>
      </c>
      <c r="Y24" s="49">
        <f>IF(X24="","",IF(X24&lt;TODAY(),"Expired",IF(X24-TODAY()&lt;=VaccAlertDays,"Due in "&amp;TEXT(X24-TODAY(),"0")&amp;" days","Valid")))</f>
        <v>0</v>
      </c>
      <c r="AQ24" s="31">
        <f>IF(D24="","",COUNTIFS('Visit Log'!$E$5:$E$404,D24,'Visit Log'!$AE$5:$AE$404,"Completed"))</f>
        <v>0</v>
      </c>
      <c r="AR24" s="21">
        <f>IF(D24="","",IF(SUMPRODUCT(MAX(('Visit Log'!$E$5:$E$404=D24)*('Visit Log'!$AE$5:$AE$404="Completed")*'Visit Log'!$C$5:$C$404))=0,"",SUMPRODUCT(MAX(('Visit Log'!$E$5:$E$404=D24)*('Visit Log'!$AE$5:$AE$404="Completed")*'Visit Log'!$C$5:$C$404))))</f>
        <v>0</v>
      </c>
      <c r="AS24" s="31">
        <f>IF(D24="","",COUNTIFS('Health Log'!$D$5:$D$204,D24))</f>
        <v>0</v>
      </c>
      <c r="AT24" s="49">
        <f>IF(B24="","",TRIM(IF(Y24="Expired","VACCINATION EXPIRED. ",IF(LEFT(Y24,6)="Due in","Vaccination due. ",""))&amp;IF(AND(AN24&lt;&gt;"",AN24&lt;&gt;"None"),AN24&amp;". ","")&amp;IF(AND(AG24&lt;&gt;"",AG24&lt;&gt;"None",AG24&lt;&gt;"-"),"On medication. ","")&amp;IF(Q24&lt;&gt;"",IF(OR(Q24="None",Q24="None known"),"","Allergy: "&amp;Q24),"")))</f>
        <v>0</v>
      </c>
    </row>
    <row r="25" spans="1:46">
      <c r="A25" s="46">
        <f>IF(B25="","",PetPrefix&amp;TEXT(ROW()-4,"0000"))</f>
        <v>0</v>
      </c>
      <c r="D25" s="28">
        <f>IF(B25="","",B25&amp;" ("&amp;C25&amp;")")</f>
        <v>0</v>
      </c>
      <c r="E25" s="28">
        <f>IF(C25="","",IFERROR(INDEX(Clients!$A$5:$A$254,MATCH(C25,Clients!$B$5:$B$254,0)),""))</f>
        <v>0</v>
      </c>
      <c r="I25" s="32">
        <f>IF(H25="","",ROUND(YEARFRAC(H25,TODAY()),1))</f>
        <v>0</v>
      </c>
      <c r="Y25" s="49">
        <f>IF(X25="","",IF(X25&lt;TODAY(),"Expired",IF(X25-TODAY()&lt;=VaccAlertDays,"Due in "&amp;TEXT(X25-TODAY(),"0")&amp;" days","Valid")))</f>
        <v>0</v>
      </c>
      <c r="AQ25" s="31">
        <f>IF(D25="","",COUNTIFS('Visit Log'!$E$5:$E$404,D25,'Visit Log'!$AE$5:$AE$404,"Completed"))</f>
        <v>0</v>
      </c>
      <c r="AR25" s="21">
        <f>IF(D25="","",IF(SUMPRODUCT(MAX(('Visit Log'!$E$5:$E$404=D25)*('Visit Log'!$AE$5:$AE$404="Completed")*'Visit Log'!$C$5:$C$404))=0,"",SUMPRODUCT(MAX(('Visit Log'!$E$5:$E$404=D25)*('Visit Log'!$AE$5:$AE$404="Completed")*'Visit Log'!$C$5:$C$404))))</f>
        <v>0</v>
      </c>
      <c r="AS25" s="31">
        <f>IF(D25="","",COUNTIFS('Health Log'!$D$5:$D$204,D25))</f>
        <v>0</v>
      </c>
      <c r="AT25" s="49">
        <f>IF(B25="","",TRIM(IF(Y25="Expired","VACCINATION EXPIRED. ",IF(LEFT(Y25,6)="Due in","Vaccination due. ",""))&amp;IF(AND(AN25&lt;&gt;"",AN25&lt;&gt;"None"),AN25&amp;". ","")&amp;IF(AND(AG25&lt;&gt;"",AG25&lt;&gt;"None",AG25&lt;&gt;"-"),"On medication. ","")&amp;IF(Q25&lt;&gt;"",IF(OR(Q25="None",Q25="None known"),"","Allergy: "&amp;Q25),"")))</f>
        <v>0</v>
      </c>
    </row>
    <row r="26" spans="1:46">
      <c r="A26" s="46">
        <f>IF(B26="","",PetPrefix&amp;TEXT(ROW()-4,"0000"))</f>
        <v>0</v>
      </c>
      <c r="D26" s="28">
        <f>IF(B26="","",B26&amp;" ("&amp;C26&amp;")")</f>
        <v>0</v>
      </c>
      <c r="E26" s="28">
        <f>IF(C26="","",IFERROR(INDEX(Clients!$A$5:$A$254,MATCH(C26,Clients!$B$5:$B$254,0)),""))</f>
        <v>0</v>
      </c>
      <c r="I26" s="32">
        <f>IF(H26="","",ROUND(YEARFRAC(H26,TODAY()),1))</f>
        <v>0</v>
      </c>
      <c r="Y26" s="49">
        <f>IF(X26="","",IF(X26&lt;TODAY(),"Expired",IF(X26-TODAY()&lt;=VaccAlertDays,"Due in "&amp;TEXT(X26-TODAY(),"0")&amp;" days","Valid")))</f>
        <v>0</v>
      </c>
      <c r="AQ26" s="31">
        <f>IF(D26="","",COUNTIFS('Visit Log'!$E$5:$E$404,D26,'Visit Log'!$AE$5:$AE$404,"Completed"))</f>
        <v>0</v>
      </c>
      <c r="AR26" s="21">
        <f>IF(D26="","",IF(SUMPRODUCT(MAX(('Visit Log'!$E$5:$E$404=D26)*('Visit Log'!$AE$5:$AE$404="Completed")*'Visit Log'!$C$5:$C$404))=0,"",SUMPRODUCT(MAX(('Visit Log'!$E$5:$E$404=D26)*('Visit Log'!$AE$5:$AE$404="Completed")*'Visit Log'!$C$5:$C$404))))</f>
        <v>0</v>
      </c>
      <c r="AS26" s="31">
        <f>IF(D26="","",COUNTIFS('Health Log'!$D$5:$D$204,D26))</f>
        <v>0</v>
      </c>
      <c r="AT26" s="49">
        <f>IF(B26="","",TRIM(IF(Y26="Expired","VACCINATION EXPIRED. ",IF(LEFT(Y26,6)="Due in","Vaccination due. ",""))&amp;IF(AND(AN26&lt;&gt;"",AN26&lt;&gt;"None"),AN26&amp;". ","")&amp;IF(AND(AG26&lt;&gt;"",AG26&lt;&gt;"None",AG26&lt;&gt;"-"),"On medication. ","")&amp;IF(Q26&lt;&gt;"",IF(OR(Q26="None",Q26="None known"),"","Allergy: "&amp;Q26),"")))</f>
        <v>0</v>
      </c>
    </row>
    <row r="27" spans="1:46">
      <c r="A27" s="46">
        <f>IF(B27="","",PetPrefix&amp;TEXT(ROW()-4,"0000"))</f>
        <v>0</v>
      </c>
      <c r="D27" s="28">
        <f>IF(B27="","",B27&amp;" ("&amp;C27&amp;")")</f>
        <v>0</v>
      </c>
      <c r="E27" s="28">
        <f>IF(C27="","",IFERROR(INDEX(Clients!$A$5:$A$254,MATCH(C27,Clients!$B$5:$B$254,0)),""))</f>
        <v>0</v>
      </c>
      <c r="I27" s="32">
        <f>IF(H27="","",ROUND(YEARFRAC(H27,TODAY()),1))</f>
        <v>0</v>
      </c>
      <c r="Y27" s="49">
        <f>IF(X27="","",IF(X27&lt;TODAY(),"Expired",IF(X27-TODAY()&lt;=VaccAlertDays,"Due in "&amp;TEXT(X27-TODAY(),"0")&amp;" days","Valid")))</f>
        <v>0</v>
      </c>
      <c r="AQ27" s="31">
        <f>IF(D27="","",COUNTIFS('Visit Log'!$E$5:$E$404,D27,'Visit Log'!$AE$5:$AE$404,"Completed"))</f>
        <v>0</v>
      </c>
      <c r="AR27" s="21">
        <f>IF(D27="","",IF(SUMPRODUCT(MAX(('Visit Log'!$E$5:$E$404=D27)*('Visit Log'!$AE$5:$AE$404="Completed")*'Visit Log'!$C$5:$C$404))=0,"",SUMPRODUCT(MAX(('Visit Log'!$E$5:$E$404=D27)*('Visit Log'!$AE$5:$AE$404="Completed")*'Visit Log'!$C$5:$C$404))))</f>
        <v>0</v>
      </c>
      <c r="AS27" s="31">
        <f>IF(D27="","",COUNTIFS('Health Log'!$D$5:$D$204,D27))</f>
        <v>0</v>
      </c>
      <c r="AT27" s="49">
        <f>IF(B27="","",TRIM(IF(Y27="Expired","VACCINATION EXPIRED. ",IF(LEFT(Y27,6)="Due in","Vaccination due. ",""))&amp;IF(AND(AN27&lt;&gt;"",AN27&lt;&gt;"None"),AN27&amp;". ","")&amp;IF(AND(AG27&lt;&gt;"",AG27&lt;&gt;"None",AG27&lt;&gt;"-"),"On medication. ","")&amp;IF(Q27&lt;&gt;"",IF(OR(Q27="None",Q27="None known"),"","Allergy: "&amp;Q27),"")))</f>
        <v>0</v>
      </c>
    </row>
    <row r="28" spans="1:46">
      <c r="A28" s="46">
        <f>IF(B28="","",PetPrefix&amp;TEXT(ROW()-4,"0000"))</f>
        <v>0</v>
      </c>
      <c r="D28" s="28">
        <f>IF(B28="","",B28&amp;" ("&amp;C28&amp;")")</f>
        <v>0</v>
      </c>
      <c r="E28" s="28">
        <f>IF(C28="","",IFERROR(INDEX(Clients!$A$5:$A$254,MATCH(C28,Clients!$B$5:$B$254,0)),""))</f>
        <v>0</v>
      </c>
      <c r="I28" s="32">
        <f>IF(H28="","",ROUND(YEARFRAC(H28,TODAY()),1))</f>
        <v>0</v>
      </c>
      <c r="Y28" s="49">
        <f>IF(X28="","",IF(X28&lt;TODAY(),"Expired",IF(X28-TODAY()&lt;=VaccAlertDays,"Due in "&amp;TEXT(X28-TODAY(),"0")&amp;" days","Valid")))</f>
        <v>0</v>
      </c>
      <c r="AQ28" s="31">
        <f>IF(D28="","",COUNTIFS('Visit Log'!$E$5:$E$404,D28,'Visit Log'!$AE$5:$AE$404,"Completed"))</f>
        <v>0</v>
      </c>
      <c r="AR28" s="21">
        <f>IF(D28="","",IF(SUMPRODUCT(MAX(('Visit Log'!$E$5:$E$404=D28)*('Visit Log'!$AE$5:$AE$404="Completed")*'Visit Log'!$C$5:$C$404))=0,"",SUMPRODUCT(MAX(('Visit Log'!$E$5:$E$404=D28)*('Visit Log'!$AE$5:$AE$404="Completed")*'Visit Log'!$C$5:$C$404))))</f>
        <v>0</v>
      </c>
      <c r="AS28" s="31">
        <f>IF(D28="","",COUNTIFS('Health Log'!$D$5:$D$204,D28))</f>
        <v>0</v>
      </c>
      <c r="AT28" s="49">
        <f>IF(B28="","",TRIM(IF(Y28="Expired","VACCINATION EXPIRED. ",IF(LEFT(Y28,6)="Due in","Vaccination due. ",""))&amp;IF(AND(AN28&lt;&gt;"",AN28&lt;&gt;"None"),AN28&amp;". ","")&amp;IF(AND(AG28&lt;&gt;"",AG28&lt;&gt;"None",AG28&lt;&gt;"-"),"On medication. ","")&amp;IF(Q28&lt;&gt;"",IF(OR(Q28="None",Q28="None known"),"","Allergy: "&amp;Q28),"")))</f>
        <v>0</v>
      </c>
    </row>
    <row r="29" spans="1:46">
      <c r="A29" s="46">
        <f>IF(B29="","",PetPrefix&amp;TEXT(ROW()-4,"0000"))</f>
        <v>0</v>
      </c>
      <c r="D29" s="28">
        <f>IF(B29="","",B29&amp;" ("&amp;C29&amp;")")</f>
        <v>0</v>
      </c>
      <c r="E29" s="28">
        <f>IF(C29="","",IFERROR(INDEX(Clients!$A$5:$A$254,MATCH(C29,Clients!$B$5:$B$254,0)),""))</f>
        <v>0</v>
      </c>
      <c r="I29" s="32">
        <f>IF(H29="","",ROUND(YEARFRAC(H29,TODAY()),1))</f>
        <v>0</v>
      </c>
      <c r="Y29" s="49">
        <f>IF(X29="","",IF(X29&lt;TODAY(),"Expired",IF(X29-TODAY()&lt;=VaccAlertDays,"Due in "&amp;TEXT(X29-TODAY(),"0")&amp;" days","Valid")))</f>
        <v>0</v>
      </c>
      <c r="AQ29" s="31">
        <f>IF(D29="","",COUNTIFS('Visit Log'!$E$5:$E$404,D29,'Visit Log'!$AE$5:$AE$404,"Completed"))</f>
        <v>0</v>
      </c>
      <c r="AR29" s="21">
        <f>IF(D29="","",IF(SUMPRODUCT(MAX(('Visit Log'!$E$5:$E$404=D29)*('Visit Log'!$AE$5:$AE$404="Completed")*'Visit Log'!$C$5:$C$404))=0,"",SUMPRODUCT(MAX(('Visit Log'!$E$5:$E$404=D29)*('Visit Log'!$AE$5:$AE$404="Completed")*'Visit Log'!$C$5:$C$404))))</f>
        <v>0</v>
      </c>
      <c r="AS29" s="31">
        <f>IF(D29="","",COUNTIFS('Health Log'!$D$5:$D$204,D29))</f>
        <v>0</v>
      </c>
      <c r="AT29" s="49">
        <f>IF(B29="","",TRIM(IF(Y29="Expired","VACCINATION EXPIRED. ",IF(LEFT(Y29,6)="Due in","Vaccination due. ",""))&amp;IF(AND(AN29&lt;&gt;"",AN29&lt;&gt;"None"),AN29&amp;". ","")&amp;IF(AND(AG29&lt;&gt;"",AG29&lt;&gt;"None",AG29&lt;&gt;"-"),"On medication. ","")&amp;IF(Q29&lt;&gt;"",IF(OR(Q29="None",Q29="None known"),"","Allergy: "&amp;Q29),"")))</f>
        <v>0</v>
      </c>
    </row>
    <row r="30" spans="1:46">
      <c r="A30" s="46">
        <f>IF(B30="","",PetPrefix&amp;TEXT(ROW()-4,"0000"))</f>
        <v>0</v>
      </c>
      <c r="D30" s="28">
        <f>IF(B30="","",B30&amp;" ("&amp;C30&amp;")")</f>
        <v>0</v>
      </c>
      <c r="E30" s="28">
        <f>IF(C30="","",IFERROR(INDEX(Clients!$A$5:$A$254,MATCH(C30,Clients!$B$5:$B$254,0)),""))</f>
        <v>0</v>
      </c>
      <c r="I30" s="32">
        <f>IF(H30="","",ROUND(YEARFRAC(H30,TODAY()),1))</f>
        <v>0</v>
      </c>
      <c r="Y30" s="49">
        <f>IF(X30="","",IF(X30&lt;TODAY(),"Expired",IF(X30-TODAY()&lt;=VaccAlertDays,"Due in "&amp;TEXT(X30-TODAY(),"0")&amp;" days","Valid")))</f>
        <v>0</v>
      </c>
      <c r="AQ30" s="31">
        <f>IF(D30="","",COUNTIFS('Visit Log'!$E$5:$E$404,D30,'Visit Log'!$AE$5:$AE$404,"Completed"))</f>
        <v>0</v>
      </c>
      <c r="AR30" s="21">
        <f>IF(D30="","",IF(SUMPRODUCT(MAX(('Visit Log'!$E$5:$E$404=D30)*('Visit Log'!$AE$5:$AE$404="Completed")*'Visit Log'!$C$5:$C$404))=0,"",SUMPRODUCT(MAX(('Visit Log'!$E$5:$E$404=D30)*('Visit Log'!$AE$5:$AE$404="Completed")*'Visit Log'!$C$5:$C$404))))</f>
        <v>0</v>
      </c>
      <c r="AS30" s="31">
        <f>IF(D30="","",COUNTIFS('Health Log'!$D$5:$D$204,D30))</f>
        <v>0</v>
      </c>
      <c r="AT30" s="49">
        <f>IF(B30="","",TRIM(IF(Y30="Expired","VACCINATION EXPIRED. ",IF(LEFT(Y30,6)="Due in","Vaccination due. ",""))&amp;IF(AND(AN30&lt;&gt;"",AN30&lt;&gt;"None"),AN30&amp;". ","")&amp;IF(AND(AG30&lt;&gt;"",AG30&lt;&gt;"None",AG30&lt;&gt;"-"),"On medication. ","")&amp;IF(Q30&lt;&gt;"",IF(OR(Q30="None",Q30="None known"),"","Allergy: "&amp;Q30),"")))</f>
        <v>0</v>
      </c>
    </row>
    <row r="31" spans="1:46">
      <c r="A31" s="46">
        <f>IF(B31="","",PetPrefix&amp;TEXT(ROW()-4,"0000"))</f>
        <v>0</v>
      </c>
      <c r="D31" s="28">
        <f>IF(B31="","",B31&amp;" ("&amp;C31&amp;")")</f>
        <v>0</v>
      </c>
      <c r="E31" s="28">
        <f>IF(C31="","",IFERROR(INDEX(Clients!$A$5:$A$254,MATCH(C31,Clients!$B$5:$B$254,0)),""))</f>
        <v>0</v>
      </c>
      <c r="I31" s="32">
        <f>IF(H31="","",ROUND(YEARFRAC(H31,TODAY()),1))</f>
        <v>0</v>
      </c>
      <c r="Y31" s="49">
        <f>IF(X31="","",IF(X31&lt;TODAY(),"Expired",IF(X31-TODAY()&lt;=VaccAlertDays,"Due in "&amp;TEXT(X31-TODAY(),"0")&amp;" days","Valid")))</f>
        <v>0</v>
      </c>
      <c r="AQ31" s="31">
        <f>IF(D31="","",COUNTIFS('Visit Log'!$E$5:$E$404,D31,'Visit Log'!$AE$5:$AE$404,"Completed"))</f>
        <v>0</v>
      </c>
      <c r="AR31" s="21">
        <f>IF(D31="","",IF(SUMPRODUCT(MAX(('Visit Log'!$E$5:$E$404=D31)*('Visit Log'!$AE$5:$AE$404="Completed")*'Visit Log'!$C$5:$C$404))=0,"",SUMPRODUCT(MAX(('Visit Log'!$E$5:$E$404=D31)*('Visit Log'!$AE$5:$AE$404="Completed")*'Visit Log'!$C$5:$C$404))))</f>
        <v>0</v>
      </c>
      <c r="AS31" s="31">
        <f>IF(D31="","",COUNTIFS('Health Log'!$D$5:$D$204,D31))</f>
        <v>0</v>
      </c>
      <c r="AT31" s="49">
        <f>IF(B31="","",TRIM(IF(Y31="Expired","VACCINATION EXPIRED. ",IF(LEFT(Y31,6)="Due in","Vaccination due. ",""))&amp;IF(AND(AN31&lt;&gt;"",AN31&lt;&gt;"None"),AN31&amp;". ","")&amp;IF(AND(AG31&lt;&gt;"",AG31&lt;&gt;"None",AG31&lt;&gt;"-"),"On medication. ","")&amp;IF(Q31&lt;&gt;"",IF(OR(Q31="None",Q31="None known"),"","Allergy: "&amp;Q31),"")))</f>
        <v>0</v>
      </c>
    </row>
    <row r="32" spans="1:46">
      <c r="A32" s="46">
        <f>IF(B32="","",PetPrefix&amp;TEXT(ROW()-4,"0000"))</f>
        <v>0</v>
      </c>
      <c r="D32" s="28">
        <f>IF(B32="","",B32&amp;" ("&amp;C32&amp;")")</f>
        <v>0</v>
      </c>
      <c r="E32" s="28">
        <f>IF(C32="","",IFERROR(INDEX(Clients!$A$5:$A$254,MATCH(C32,Clients!$B$5:$B$254,0)),""))</f>
        <v>0</v>
      </c>
      <c r="I32" s="32">
        <f>IF(H32="","",ROUND(YEARFRAC(H32,TODAY()),1))</f>
        <v>0</v>
      </c>
      <c r="Y32" s="49">
        <f>IF(X32="","",IF(X32&lt;TODAY(),"Expired",IF(X32-TODAY()&lt;=VaccAlertDays,"Due in "&amp;TEXT(X32-TODAY(),"0")&amp;" days","Valid")))</f>
        <v>0</v>
      </c>
      <c r="AQ32" s="31">
        <f>IF(D32="","",COUNTIFS('Visit Log'!$E$5:$E$404,D32,'Visit Log'!$AE$5:$AE$404,"Completed"))</f>
        <v>0</v>
      </c>
      <c r="AR32" s="21">
        <f>IF(D32="","",IF(SUMPRODUCT(MAX(('Visit Log'!$E$5:$E$404=D32)*('Visit Log'!$AE$5:$AE$404="Completed")*'Visit Log'!$C$5:$C$404))=0,"",SUMPRODUCT(MAX(('Visit Log'!$E$5:$E$404=D32)*('Visit Log'!$AE$5:$AE$404="Completed")*'Visit Log'!$C$5:$C$404))))</f>
        <v>0</v>
      </c>
      <c r="AS32" s="31">
        <f>IF(D32="","",COUNTIFS('Health Log'!$D$5:$D$204,D32))</f>
        <v>0</v>
      </c>
      <c r="AT32" s="49">
        <f>IF(B32="","",TRIM(IF(Y32="Expired","VACCINATION EXPIRED. ",IF(LEFT(Y32,6)="Due in","Vaccination due. ",""))&amp;IF(AND(AN32&lt;&gt;"",AN32&lt;&gt;"None"),AN32&amp;". ","")&amp;IF(AND(AG32&lt;&gt;"",AG32&lt;&gt;"None",AG32&lt;&gt;"-"),"On medication. ","")&amp;IF(Q32&lt;&gt;"",IF(OR(Q32="None",Q32="None known"),"","Allergy: "&amp;Q32),"")))</f>
        <v>0</v>
      </c>
    </row>
    <row r="33" spans="1:46">
      <c r="A33" s="46">
        <f>IF(B33="","",PetPrefix&amp;TEXT(ROW()-4,"0000"))</f>
        <v>0</v>
      </c>
      <c r="D33" s="28">
        <f>IF(B33="","",B33&amp;" ("&amp;C33&amp;")")</f>
        <v>0</v>
      </c>
      <c r="E33" s="28">
        <f>IF(C33="","",IFERROR(INDEX(Clients!$A$5:$A$254,MATCH(C33,Clients!$B$5:$B$254,0)),""))</f>
        <v>0</v>
      </c>
      <c r="I33" s="32">
        <f>IF(H33="","",ROUND(YEARFRAC(H33,TODAY()),1))</f>
        <v>0</v>
      </c>
      <c r="Y33" s="49">
        <f>IF(X33="","",IF(X33&lt;TODAY(),"Expired",IF(X33-TODAY()&lt;=VaccAlertDays,"Due in "&amp;TEXT(X33-TODAY(),"0")&amp;" days","Valid")))</f>
        <v>0</v>
      </c>
      <c r="AQ33" s="31">
        <f>IF(D33="","",COUNTIFS('Visit Log'!$E$5:$E$404,D33,'Visit Log'!$AE$5:$AE$404,"Completed"))</f>
        <v>0</v>
      </c>
      <c r="AR33" s="21">
        <f>IF(D33="","",IF(SUMPRODUCT(MAX(('Visit Log'!$E$5:$E$404=D33)*('Visit Log'!$AE$5:$AE$404="Completed")*'Visit Log'!$C$5:$C$404))=0,"",SUMPRODUCT(MAX(('Visit Log'!$E$5:$E$404=D33)*('Visit Log'!$AE$5:$AE$404="Completed")*'Visit Log'!$C$5:$C$404))))</f>
        <v>0</v>
      </c>
      <c r="AS33" s="31">
        <f>IF(D33="","",COUNTIFS('Health Log'!$D$5:$D$204,D33))</f>
        <v>0</v>
      </c>
      <c r="AT33" s="49">
        <f>IF(B33="","",TRIM(IF(Y33="Expired","VACCINATION EXPIRED. ",IF(LEFT(Y33,6)="Due in","Vaccination due. ",""))&amp;IF(AND(AN33&lt;&gt;"",AN33&lt;&gt;"None"),AN33&amp;". ","")&amp;IF(AND(AG33&lt;&gt;"",AG33&lt;&gt;"None",AG33&lt;&gt;"-"),"On medication. ","")&amp;IF(Q33&lt;&gt;"",IF(OR(Q33="None",Q33="None known"),"","Allergy: "&amp;Q33),"")))</f>
        <v>0</v>
      </c>
    </row>
    <row r="34" spans="1:46">
      <c r="A34" s="46">
        <f>IF(B34="","",PetPrefix&amp;TEXT(ROW()-4,"0000"))</f>
        <v>0</v>
      </c>
      <c r="D34" s="28">
        <f>IF(B34="","",B34&amp;" ("&amp;C34&amp;")")</f>
        <v>0</v>
      </c>
      <c r="E34" s="28">
        <f>IF(C34="","",IFERROR(INDEX(Clients!$A$5:$A$254,MATCH(C34,Clients!$B$5:$B$254,0)),""))</f>
        <v>0</v>
      </c>
      <c r="I34" s="32">
        <f>IF(H34="","",ROUND(YEARFRAC(H34,TODAY()),1))</f>
        <v>0</v>
      </c>
      <c r="Y34" s="49">
        <f>IF(X34="","",IF(X34&lt;TODAY(),"Expired",IF(X34-TODAY()&lt;=VaccAlertDays,"Due in "&amp;TEXT(X34-TODAY(),"0")&amp;" days","Valid")))</f>
        <v>0</v>
      </c>
      <c r="AQ34" s="31">
        <f>IF(D34="","",COUNTIFS('Visit Log'!$E$5:$E$404,D34,'Visit Log'!$AE$5:$AE$404,"Completed"))</f>
        <v>0</v>
      </c>
      <c r="AR34" s="21">
        <f>IF(D34="","",IF(SUMPRODUCT(MAX(('Visit Log'!$E$5:$E$404=D34)*('Visit Log'!$AE$5:$AE$404="Completed")*'Visit Log'!$C$5:$C$404))=0,"",SUMPRODUCT(MAX(('Visit Log'!$E$5:$E$404=D34)*('Visit Log'!$AE$5:$AE$404="Completed")*'Visit Log'!$C$5:$C$404))))</f>
        <v>0</v>
      </c>
      <c r="AS34" s="31">
        <f>IF(D34="","",COUNTIFS('Health Log'!$D$5:$D$204,D34))</f>
        <v>0</v>
      </c>
      <c r="AT34" s="49">
        <f>IF(B34="","",TRIM(IF(Y34="Expired","VACCINATION EXPIRED. ",IF(LEFT(Y34,6)="Due in","Vaccination due. ",""))&amp;IF(AND(AN34&lt;&gt;"",AN34&lt;&gt;"None"),AN34&amp;". ","")&amp;IF(AND(AG34&lt;&gt;"",AG34&lt;&gt;"None",AG34&lt;&gt;"-"),"On medication. ","")&amp;IF(Q34&lt;&gt;"",IF(OR(Q34="None",Q34="None known"),"","Allergy: "&amp;Q34),"")))</f>
        <v>0</v>
      </c>
    </row>
    <row r="35" spans="1:46">
      <c r="A35" s="46">
        <f>IF(B35="","",PetPrefix&amp;TEXT(ROW()-4,"0000"))</f>
        <v>0</v>
      </c>
      <c r="D35" s="28">
        <f>IF(B35="","",B35&amp;" ("&amp;C35&amp;")")</f>
        <v>0</v>
      </c>
      <c r="E35" s="28">
        <f>IF(C35="","",IFERROR(INDEX(Clients!$A$5:$A$254,MATCH(C35,Clients!$B$5:$B$254,0)),""))</f>
        <v>0</v>
      </c>
      <c r="I35" s="32">
        <f>IF(H35="","",ROUND(YEARFRAC(H35,TODAY()),1))</f>
        <v>0</v>
      </c>
      <c r="Y35" s="49">
        <f>IF(X35="","",IF(X35&lt;TODAY(),"Expired",IF(X35-TODAY()&lt;=VaccAlertDays,"Due in "&amp;TEXT(X35-TODAY(),"0")&amp;" days","Valid")))</f>
        <v>0</v>
      </c>
      <c r="AQ35" s="31">
        <f>IF(D35="","",COUNTIFS('Visit Log'!$E$5:$E$404,D35,'Visit Log'!$AE$5:$AE$404,"Completed"))</f>
        <v>0</v>
      </c>
      <c r="AR35" s="21">
        <f>IF(D35="","",IF(SUMPRODUCT(MAX(('Visit Log'!$E$5:$E$404=D35)*('Visit Log'!$AE$5:$AE$404="Completed")*'Visit Log'!$C$5:$C$404))=0,"",SUMPRODUCT(MAX(('Visit Log'!$E$5:$E$404=D35)*('Visit Log'!$AE$5:$AE$404="Completed")*'Visit Log'!$C$5:$C$404))))</f>
        <v>0</v>
      </c>
      <c r="AS35" s="31">
        <f>IF(D35="","",COUNTIFS('Health Log'!$D$5:$D$204,D35))</f>
        <v>0</v>
      </c>
      <c r="AT35" s="49">
        <f>IF(B35="","",TRIM(IF(Y35="Expired","VACCINATION EXPIRED. ",IF(LEFT(Y35,6)="Due in","Vaccination due. ",""))&amp;IF(AND(AN35&lt;&gt;"",AN35&lt;&gt;"None"),AN35&amp;". ","")&amp;IF(AND(AG35&lt;&gt;"",AG35&lt;&gt;"None",AG35&lt;&gt;"-"),"On medication. ","")&amp;IF(Q35&lt;&gt;"",IF(OR(Q35="None",Q35="None known"),"","Allergy: "&amp;Q35),"")))</f>
        <v>0</v>
      </c>
    </row>
    <row r="36" spans="1:46">
      <c r="A36" s="46">
        <f>IF(B36="","",PetPrefix&amp;TEXT(ROW()-4,"0000"))</f>
        <v>0</v>
      </c>
      <c r="D36" s="28">
        <f>IF(B36="","",B36&amp;" ("&amp;C36&amp;")")</f>
        <v>0</v>
      </c>
      <c r="E36" s="28">
        <f>IF(C36="","",IFERROR(INDEX(Clients!$A$5:$A$254,MATCH(C36,Clients!$B$5:$B$254,0)),""))</f>
        <v>0</v>
      </c>
      <c r="I36" s="32">
        <f>IF(H36="","",ROUND(YEARFRAC(H36,TODAY()),1))</f>
        <v>0</v>
      </c>
      <c r="Y36" s="49">
        <f>IF(X36="","",IF(X36&lt;TODAY(),"Expired",IF(X36-TODAY()&lt;=VaccAlertDays,"Due in "&amp;TEXT(X36-TODAY(),"0")&amp;" days","Valid")))</f>
        <v>0</v>
      </c>
      <c r="AQ36" s="31">
        <f>IF(D36="","",COUNTIFS('Visit Log'!$E$5:$E$404,D36,'Visit Log'!$AE$5:$AE$404,"Completed"))</f>
        <v>0</v>
      </c>
      <c r="AR36" s="21">
        <f>IF(D36="","",IF(SUMPRODUCT(MAX(('Visit Log'!$E$5:$E$404=D36)*('Visit Log'!$AE$5:$AE$404="Completed")*'Visit Log'!$C$5:$C$404))=0,"",SUMPRODUCT(MAX(('Visit Log'!$E$5:$E$404=D36)*('Visit Log'!$AE$5:$AE$404="Completed")*'Visit Log'!$C$5:$C$404))))</f>
        <v>0</v>
      </c>
      <c r="AS36" s="31">
        <f>IF(D36="","",COUNTIFS('Health Log'!$D$5:$D$204,D36))</f>
        <v>0</v>
      </c>
      <c r="AT36" s="49">
        <f>IF(B36="","",TRIM(IF(Y36="Expired","VACCINATION EXPIRED. ",IF(LEFT(Y36,6)="Due in","Vaccination due. ",""))&amp;IF(AND(AN36&lt;&gt;"",AN36&lt;&gt;"None"),AN36&amp;". ","")&amp;IF(AND(AG36&lt;&gt;"",AG36&lt;&gt;"None",AG36&lt;&gt;"-"),"On medication. ","")&amp;IF(Q36&lt;&gt;"",IF(OR(Q36="None",Q36="None known"),"","Allergy: "&amp;Q36),"")))</f>
        <v>0</v>
      </c>
    </row>
    <row r="37" spans="1:46">
      <c r="A37" s="46">
        <f>IF(B37="","",PetPrefix&amp;TEXT(ROW()-4,"0000"))</f>
        <v>0</v>
      </c>
      <c r="D37" s="28">
        <f>IF(B37="","",B37&amp;" ("&amp;C37&amp;")")</f>
        <v>0</v>
      </c>
      <c r="E37" s="28">
        <f>IF(C37="","",IFERROR(INDEX(Clients!$A$5:$A$254,MATCH(C37,Clients!$B$5:$B$254,0)),""))</f>
        <v>0</v>
      </c>
      <c r="I37" s="32">
        <f>IF(H37="","",ROUND(YEARFRAC(H37,TODAY()),1))</f>
        <v>0</v>
      </c>
      <c r="Y37" s="49">
        <f>IF(X37="","",IF(X37&lt;TODAY(),"Expired",IF(X37-TODAY()&lt;=VaccAlertDays,"Due in "&amp;TEXT(X37-TODAY(),"0")&amp;" days","Valid")))</f>
        <v>0</v>
      </c>
      <c r="AQ37" s="31">
        <f>IF(D37="","",COUNTIFS('Visit Log'!$E$5:$E$404,D37,'Visit Log'!$AE$5:$AE$404,"Completed"))</f>
        <v>0</v>
      </c>
      <c r="AR37" s="21">
        <f>IF(D37="","",IF(SUMPRODUCT(MAX(('Visit Log'!$E$5:$E$404=D37)*('Visit Log'!$AE$5:$AE$404="Completed")*'Visit Log'!$C$5:$C$404))=0,"",SUMPRODUCT(MAX(('Visit Log'!$E$5:$E$404=D37)*('Visit Log'!$AE$5:$AE$404="Completed")*'Visit Log'!$C$5:$C$404))))</f>
        <v>0</v>
      </c>
      <c r="AS37" s="31">
        <f>IF(D37="","",COUNTIFS('Health Log'!$D$5:$D$204,D37))</f>
        <v>0</v>
      </c>
      <c r="AT37" s="49">
        <f>IF(B37="","",TRIM(IF(Y37="Expired","VACCINATION EXPIRED. ",IF(LEFT(Y37,6)="Due in","Vaccination due. ",""))&amp;IF(AND(AN37&lt;&gt;"",AN37&lt;&gt;"None"),AN37&amp;". ","")&amp;IF(AND(AG37&lt;&gt;"",AG37&lt;&gt;"None",AG37&lt;&gt;"-"),"On medication. ","")&amp;IF(Q37&lt;&gt;"",IF(OR(Q37="None",Q37="None known"),"","Allergy: "&amp;Q37),"")))</f>
        <v>0</v>
      </c>
    </row>
    <row r="38" spans="1:46">
      <c r="A38" s="46">
        <f>IF(B38="","",PetPrefix&amp;TEXT(ROW()-4,"0000"))</f>
        <v>0</v>
      </c>
      <c r="D38" s="28">
        <f>IF(B38="","",B38&amp;" ("&amp;C38&amp;")")</f>
        <v>0</v>
      </c>
      <c r="E38" s="28">
        <f>IF(C38="","",IFERROR(INDEX(Clients!$A$5:$A$254,MATCH(C38,Clients!$B$5:$B$254,0)),""))</f>
        <v>0</v>
      </c>
      <c r="I38" s="32">
        <f>IF(H38="","",ROUND(YEARFRAC(H38,TODAY()),1))</f>
        <v>0</v>
      </c>
      <c r="Y38" s="49">
        <f>IF(X38="","",IF(X38&lt;TODAY(),"Expired",IF(X38-TODAY()&lt;=VaccAlertDays,"Due in "&amp;TEXT(X38-TODAY(),"0")&amp;" days","Valid")))</f>
        <v>0</v>
      </c>
      <c r="AQ38" s="31">
        <f>IF(D38="","",COUNTIFS('Visit Log'!$E$5:$E$404,D38,'Visit Log'!$AE$5:$AE$404,"Completed"))</f>
        <v>0</v>
      </c>
      <c r="AR38" s="21">
        <f>IF(D38="","",IF(SUMPRODUCT(MAX(('Visit Log'!$E$5:$E$404=D38)*('Visit Log'!$AE$5:$AE$404="Completed")*'Visit Log'!$C$5:$C$404))=0,"",SUMPRODUCT(MAX(('Visit Log'!$E$5:$E$404=D38)*('Visit Log'!$AE$5:$AE$404="Completed")*'Visit Log'!$C$5:$C$404))))</f>
        <v>0</v>
      </c>
      <c r="AS38" s="31">
        <f>IF(D38="","",COUNTIFS('Health Log'!$D$5:$D$204,D38))</f>
        <v>0</v>
      </c>
      <c r="AT38" s="49">
        <f>IF(B38="","",TRIM(IF(Y38="Expired","VACCINATION EXPIRED. ",IF(LEFT(Y38,6)="Due in","Vaccination due. ",""))&amp;IF(AND(AN38&lt;&gt;"",AN38&lt;&gt;"None"),AN38&amp;". ","")&amp;IF(AND(AG38&lt;&gt;"",AG38&lt;&gt;"None",AG38&lt;&gt;"-"),"On medication. ","")&amp;IF(Q38&lt;&gt;"",IF(OR(Q38="None",Q38="None known"),"","Allergy: "&amp;Q38),"")))</f>
        <v>0</v>
      </c>
    </row>
    <row r="39" spans="1:46">
      <c r="A39" s="46">
        <f>IF(B39="","",PetPrefix&amp;TEXT(ROW()-4,"0000"))</f>
        <v>0</v>
      </c>
      <c r="D39" s="28">
        <f>IF(B39="","",B39&amp;" ("&amp;C39&amp;")")</f>
        <v>0</v>
      </c>
      <c r="E39" s="28">
        <f>IF(C39="","",IFERROR(INDEX(Clients!$A$5:$A$254,MATCH(C39,Clients!$B$5:$B$254,0)),""))</f>
        <v>0</v>
      </c>
      <c r="I39" s="32">
        <f>IF(H39="","",ROUND(YEARFRAC(H39,TODAY()),1))</f>
        <v>0</v>
      </c>
      <c r="Y39" s="49">
        <f>IF(X39="","",IF(X39&lt;TODAY(),"Expired",IF(X39-TODAY()&lt;=VaccAlertDays,"Due in "&amp;TEXT(X39-TODAY(),"0")&amp;" days","Valid")))</f>
        <v>0</v>
      </c>
      <c r="AQ39" s="31">
        <f>IF(D39="","",COUNTIFS('Visit Log'!$E$5:$E$404,D39,'Visit Log'!$AE$5:$AE$404,"Completed"))</f>
        <v>0</v>
      </c>
      <c r="AR39" s="21">
        <f>IF(D39="","",IF(SUMPRODUCT(MAX(('Visit Log'!$E$5:$E$404=D39)*('Visit Log'!$AE$5:$AE$404="Completed")*'Visit Log'!$C$5:$C$404))=0,"",SUMPRODUCT(MAX(('Visit Log'!$E$5:$E$404=D39)*('Visit Log'!$AE$5:$AE$404="Completed")*'Visit Log'!$C$5:$C$404))))</f>
        <v>0</v>
      </c>
      <c r="AS39" s="31">
        <f>IF(D39="","",COUNTIFS('Health Log'!$D$5:$D$204,D39))</f>
        <v>0</v>
      </c>
      <c r="AT39" s="49">
        <f>IF(B39="","",TRIM(IF(Y39="Expired","VACCINATION EXPIRED. ",IF(LEFT(Y39,6)="Due in","Vaccination due. ",""))&amp;IF(AND(AN39&lt;&gt;"",AN39&lt;&gt;"None"),AN39&amp;". ","")&amp;IF(AND(AG39&lt;&gt;"",AG39&lt;&gt;"None",AG39&lt;&gt;"-"),"On medication. ","")&amp;IF(Q39&lt;&gt;"",IF(OR(Q39="None",Q39="None known"),"","Allergy: "&amp;Q39),"")))</f>
        <v>0</v>
      </c>
    </row>
    <row r="40" spans="1:46">
      <c r="A40" s="46">
        <f>IF(B40="","",PetPrefix&amp;TEXT(ROW()-4,"0000"))</f>
        <v>0</v>
      </c>
      <c r="D40" s="28">
        <f>IF(B40="","",B40&amp;" ("&amp;C40&amp;")")</f>
        <v>0</v>
      </c>
      <c r="E40" s="28">
        <f>IF(C40="","",IFERROR(INDEX(Clients!$A$5:$A$254,MATCH(C40,Clients!$B$5:$B$254,0)),""))</f>
        <v>0</v>
      </c>
      <c r="I40" s="32">
        <f>IF(H40="","",ROUND(YEARFRAC(H40,TODAY()),1))</f>
        <v>0</v>
      </c>
      <c r="Y40" s="49">
        <f>IF(X40="","",IF(X40&lt;TODAY(),"Expired",IF(X40-TODAY()&lt;=VaccAlertDays,"Due in "&amp;TEXT(X40-TODAY(),"0")&amp;" days","Valid")))</f>
        <v>0</v>
      </c>
      <c r="AQ40" s="31">
        <f>IF(D40="","",COUNTIFS('Visit Log'!$E$5:$E$404,D40,'Visit Log'!$AE$5:$AE$404,"Completed"))</f>
        <v>0</v>
      </c>
      <c r="AR40" s="21">
        <f>IF(D40="","",IF(SUMPRODUCT(MAX(('Visit Log'!$E$5:$E$404=D40)*('Visit Log'!$AE$5:$AE$404="Completed")*'Visit Log'!$C$5:$C$404))=0,"",SUMPRODUCT(MAX(('Visit Log'!$E$5:$E$404=D40)*('Visit Log'!$AE$5:$AE$404="Completed")*'Visit Log'!$C$5:$C$404))))</f>
        <v>0</v>
      </c>
      <c r="AS40" s="31">
        <f>IF(D40="","",COUNTIFS('Health Log'!$D$5:$D$204,D40))</f>
        <v>0</v>
      </c>
      <c r="AT40" s="49">
        <f>IF(B40="","",TRIM(IF(Y40="Expired","VACCINATION EXPIRED. ",IF(LEFT(Y40,6)="Due in","Vaccination due. ",""))&amp;IF(AND(AN40&lt;&gt;"",AN40&lt;&gt;"None"),AN40&amp;". ","")&amp;IF(AND(AG40&lt;&gt;"",AG40&lt;&gt;"None",AG40&lt;&gt;"-"),"On medication. ","")&amp;IF(Q40&lt;&gt;"",IF(OR(Q40="None",Q40="None known"),"","Allergy: "&amp;Q40),"")))</f>
        <v>0</v>
      </c>
    </row>
    <row r="41" spans="1:46">
      <c r="A41" s="46">
        <f>IF(B41="","",PetPrefix&amp;TEXT(ROW()-4,"0000"))</f>
        <v>0</v>
      </c>
      <c r="D41" s="28">
        <f>IF(B41="","",B41&amp;" ("&amp;C41&amp;")")</f>
        <v>0</v>
      </c>
      <c r="E41" s="28">
        <f>IF(C41="","",IFERROR(INDEX(Clients!$A$5:$A$254,MATCH(C41,Clients!$B$5:$B$254,0)),""))</f>
        <v>0</v>
      </c>
      <c r="I41" s="32">
        <f>IF(H41="","",ROUND(YEARFRAC(H41,TODAY()),1))</f>
        <v>0</v>
      </c>
      <c r="Y41" s="49">
        <f>IF(X41="","",IF(X41&lt;TODAY(),"Expired",IF(X41-TODAY()&lt;=VaccAlertDays,"Due in "&amp;TEXT(X41-TODAY(),"0")&amp;" days","Valid")))</f>
        <v>0</v>
      </c>
      <c r="AQ41" s="31">
        <f>IF(D41="","",COUNTIFS('Visit Log'!$E$5:$E$404,D41,'Visit Log'!$AE$5:$AE$404,"Completed"))</f>
        <v>0</v>
      </c>
      <c r="AR41" s="21">
        <f>IF(D41="","",IF(SUMPRODUCT(MAX(('Visit Log'!$E$5:$E$404=D41)*('Visit Log'!$AE$5:$AE$404="Completed")*'Visit Log'!$C$5:$C$404))=0,"",SUMPRODUCT(MAX(('Visit Log'!$E$5:$E$404=D41)*('Visit Log'!$AE$5:$AE$404="Completed")*'Visit Log'!$C$5:$C$404))))</f>
        <v>0</v>
      </c>
      <c r="AS41" s="31">
        <f>IF(D41="","",COUNTIFS('Health Log'!$D$5:$D$204,D41))</f>
        <v>0</v>
      </c>
      <c r="AT41" s="49">
        <f>IF(B41="","",TRIM(IF(Y41="Expired","VACCINATION EXPIRED. ",IF(LEFT(Y41,6)="Due in","Vaccination due. ",""))&amp;IF(AND(AN41&lt;&gt;"",AN41&lt;&gt;"None"),AN41&amp;". ","")&amp;IF(AND(AG41&lt;&gt;"",AG41&lt;&gt;"None",AG41&lt;&gt;"-"),"On medication. ","")&amp;IF(Q41&lt;&gt;"",IF(OR(Q41="None",Q41="None known"),"","Allergy: "&amp;Q41),"")))</f>
        <v>0</v>
      </c>
    </row>
    <row r="42" spans="1:46">
      <c r="A42" s="46">
        <f>IF(B42="","",PetPrefix&amp;TEXT(ROW()-4,"0000"))</f>
        <v>0</v>
      </c>
      <c r="D42" s="28">
        <f>IF(B42="","",B42&amp;" ("&amp;C42&amp;")")</f>
        <v>0</v>
      </c>
      <c r="E42" s="28">
        <f>IF(C42="","",IFERROR(INDEX(Clients!$A$5:$A$254,MATCH(C42,Clients!$B$5:$B$254,0)),""))</f>
        <v>0</v>
      </c>
      <c r="I42" s="32">
        <f>IF(H42="","",ROUND(YEARFRAC(H42,TODAY()),1))</f>
        <v>0</v>
      </c>
      <c r="Y42" s="49">
        <f>IF(X42="","",IF(X42&lt;TODAY(),"Expired",IF(X42-TODAY()&lt;=VaccAlertDays,"Due in "&amp;TEXT(X42-TODAY(),"0")&amp;" days","Valid")))</f>
        <v>0</v>
      </c>
      <c r="AQ42" s="31">
        <f>IF(D42="","",COUNTIFS('Visit Log'!$E$5:$E$404,D42,'Visit Log'!$AE$5:$AE$404,"Completed"))</f>
        <v>0</v>
      </c>
      <c r="AR42" s="21">
        <f>IF(D42="","",IF(SUMPRODUCT(MAX(('Visit Log'!$E$5:$E$404=D42)*('Visit Log'!$AE$5:$AE$404="Completed")*'Visit Log'!$C$5:$C$404))=0,"",SUMPRODUCT(MAX(('Visit Log'!$E$5:$E$404=D42)*('Visit Log'!$AE$5:$AE$404="Completed")*'Visit Log'!$C$5:$C$404))))</f>
        <v>0</v>
      </c>
      <c r="AS42" s="31">
        <f>IF(D42="","",COUNTIFS('Health Log'!$D$5:$D$204,D42))</f>
        <v>0</v>
      </c>
      <c r="AT42" s="49">
        <f>IF(B42="","",TRIM(IF(Y42="Expired","VACCINATION EXPIRED. ",IF(LEFT(Y42,6)="Due in","Vaccination due. ",""))&amp;IF(AND(AN42&lt;&gt;"",AN42&lt;&gt;"None"),AN42&amp;". ","")&amp;IF(AND(AG42&lt;&gt;"",AG42&lt;&gt;"None",AG42&lt;&gt;"-"),"On medication. ","")&amp;IF(Q42&lt;&gt;"",IF(OR(Q42="None",Q42="None known"),"","Allergy: "&amp;Q42),"")))</f>
        <v>0</v>
      </c>
    </row>
    <row r="43" spans="1:46">
      <c r="A43" s="46">
        <f>IF(B43="","",PetPrefix&amp;TEXT(ROW()-4,"0000"))</f>
        <v>0</v>
      </c>
      <c r="D43" s="28">
        <f>IF(B43="","",B43&amp;" ("&amp;C43&amp;")")</f>
        <v>0</v>
      </c>
      <c r="E43" s="28">
        <f>IF(C43="","",IFERROR(INDEX(Clients!$A$5:$A$254,MATCH(C43,Clients!$B$5:$B$254,0)),""))</f>
        <v>0</v>
      </c>
      <c r="I43" s="32">
        <f>IF(H43="","",ROUND(YEARFRAC(H43,TODAY()),1))</f>
        <v>0</v>
      </c>
      <c r="Y43" s="49">
        <f>IF(X43="","",IF(X43&lt;TODAY(),"Expired",IF(X43-TODAY()&lt;=VaccAlertDays,"Due in "&amp;TEXT(X43-TODAY(),"0")&amp;" days","Valid")))</f>
        <v>0</v>
      </c>
      <c r="AQ43" s="31">
        <f>IF(D43="","",COUNTIFS('Visit Log'!$E$5:$E$404,D43,'Visit Log'!$AE$5:$AE$404,"Completed"))</f>
        <v>0</v>
      </c>
      <c r="AR43" s="21">
        <f>IF(D43="","",IF(SUMPRODUCT(MAX(('Visit Log'!$E$5:$E$404=D43)*('Visit Log'!$AE$5:$AE$404="Completed")*'Visit Log'!$C$5:$C$404))=0,"",SUMPRODUCT(MAX(('Visit Log'!$E$5:$E$404=D43)*('Visit Log'!$AE$5:$AE$404="Completed")*'Visit Log'!$C$5:$C$404))))</f>
        <v>0</v>
      </c>
      <c r="AS43" s="31">
        <f>IF(D43="","",COUNTIFS('Health Log'!$D$5:$D$204,D43))</f>
        <v>0</v>
      </c>
      <c r="AT43" s="49">
        <f>IF(B43="","",TRIM(IF(Y43="Expired","VACCINATION EXPIRED. ",IF(LEFT(Y43,6)="Due in","Vaccination due. ",""))&amp;IF(AND(AN43&lt;&gt;"",AN43&lt;&gt;"None"),AN43&amp;". ","")&amp;IF(AND(AG43&lt;&gt;"",AG43&lt;&gt;"None",AG43&lt;&gt;"-"),"On medication. ","")&amp;IF(Q43&lt;&gt;"",IF(OR(Q43="None",Q43="None known"),"","Allergy: "&amp;Q43),"")))</f>
        <v>0</v>
      </c>
    </row>
    <row r="44" spans="1:46">
      <c r="A44" s="46">
        <f>IF(B44="","",PetPrefix&amp;TEXT(ROW()-4,"0000"))</f>
        <v>0</v>
      </c>
      <c r="D44" s="28">
        <f>IF(B44="","",B44&amp;" ("&amp;C44&amp;")")</f>
        <v>0</v>
      </c>
      <c r="E44" s="28">
        <f>IF(C44="","",IFERROR(INDEX(Clients!$A$5:$A$254,MATCH(C44,Clients!$B$5:$B$254,0)),""))</f>
        <v>0</v>
      </c>
      <c r="I44" s="32">
        <f>IF(H44="","",ROUND(YEARFRAC(H44,TODAY()),1))</f>
        <v>0</v>
      </c>
      <c r="Y44" s="49">
        <f>IF(X44="","",IF(X44&lt;TODAY(),"Expired",IF(X44-TODAY()&lt;=VaccAlertDays,"Due in "&amp;TEXT(X44-TODAY(),"0")&amp;" days","Valid")))</f>
        <v>0</v>
      </c>
      <c r="AQ44" s="31">
        <f>IF(D44="","",COUNTIFS('Visit Log'!$E$5:$E$404,D44,'Visit Log'!$AE$5:$AE$404,"Completed"))</f>
        <v>0</v>
      </c>
      <c r="AR44" s="21">
        <f>IF(D44="","",IF(SUMPRODUCT(MAX(('Visit Log'!$E$5:$E$404=D44)*('Visit Log'!$AE$5:$AE$404="Completed")*'Visit Log'!$C$5:$C$404))=0,"",SUMPRODUCT(MAX(('Visit Log'!$E$5:$E$404=D44)*('Visit Log'!$AE$5:$AE$404="Completed")*'Visit Log'!$C$5:$C$404))))</f>
        <v>0</v>
      </c>
      <c r="AS44" s="31">
        <f>IF(D44="","",COUNTIFS('Health Log'!$D$5:$D$204,D44))</f>
        <v>0</v>
      </c>
      <c r="AT44" s="49">
        <f>IF(B44="","",TRIM(IF(Y44="Expired","VACCINATION EXPIRED. ",IF(LEFT(Y44,6)="Due in","Vaccination due. ",""))&amp;IF(AND(AN44&lt;&gt;"",AN44&lt;&gt;"None"),AN44&amp;". ","")&amp;IF(AND(AG44&lt;&gt;"",AG44&lt;&gt;"None",AG44&lt;&gt;"-"),"On medication. ","")&amp;IF(Q44&lt;&gt;"",IF(OR(Q44="None",Q44="None known"),"","Allergy: "&amp;Q44),"")))</f>
        <v>0</v>
      </c>
    </row>
    <row r="45" spans="1:46">
      <c r="A45" s="46">
        <f>IF(B45="","",PetPrefix&amp;TEXT(ROW()-4,"0000"))</f>
        <v>0</v>
      </c>
      <c r="D45" s="28">
        <f>IF(B45="","",B45&amp;" ("&amp;C45&amp;")")</f>
        <v>0</v>
      </c>
      <c r="E45" s="28">
        <f>IF(C45="","",IFERROR(INDEX(Clients!$A$5:$A$254,MATCH(C45,Clients!$B$5:$B$254,0)),""))</f>
        <v>0</v>
      </c>
      <c r="I45" s="32">
        <f>IF(H45="","",ROUND(YEARFRAC(H45,TODAY()),1))</f>
        <v>0</v>
      </c>
      <c r="Y45" s="49">
        <f>IF(X45="","",IF(X45&lt;TODAY(),"Expired",IF(X45-TODAY()&lt;=VaccAlertDays,"Due in "&amp;TEXT(X45-TODAY(),"0")&amp;" days","Valid")))</f>
        <v>0</v>
      </c>
      <c r="AQ45" s="31">
        <f>IF(D45="","",COUNTIFS('Visit Log'!$E$5:$E$404,D45,'Visit Log'!$AE$5:$AE$404,"Completed"))</f>
        <v>0</v>
      </c>
      <c r="AR45" s="21">
        <f>IF(D45="","",IF(SUMPRODUCT(MAX(('Visit Log'!$E$5:$E$404=D45)*('Visit Log'!$AE$5:$AE$404="Completed")*'Visit Log'!$C$5:$C$404))=0,"",SUMPRODUCT(MAX(('Visit Log'!$E$5:$E$404=D45)*('Visit Log'!$AE$5:$AE$404="Completed")*'Visit Log'!$C$5:$C$404))))</f>
        <v>0</v>
      </c>
      <c r="AS45" s="31">
        <f>IF(D45="","",COUNTIFS('Health Log'!$D$5:$D$204,D45))</f>
        <v>0</v>
      </c>
      <c r="AT45" s="49">
        <f>IF(B45="","",TRIM(IF(Y45="Expired","VACCINATION EXPIRED. ",IF(LEFT(Y45,6)="Due in","Vaccination due. ",""))&amp;IF(AND(AN45&lt;&gt;"",AN45&lt;&gt;"None"),AN45&amp;". ","")&amp;IF(AND(AG45&lt;&gt;"",AG45&lt;&gt;"None",AG45&lt;&gt;"-"),"On medication. ","")&amp;IF(Q45&lt;&gt;"",IF(OR(Q45="None",Q45="None known"),"","Allergy: "&amp;Q45),"")))</f>
        <v>0</v>
      </c>
    </row>
    <row r="46" spans="1:46">
      <c r="A46" s="46">
        <f>IF(B46="","",PetPrefix&amp;TEXT(ROW()-4,"0000"))</f>
        <v>0</v>
      </c>
      <c r="D46" s="28">
        <f>IF(B46="","",B46&amp;" ("&amp;C46&amp;")")</f>
        <v>0</v>
      </c>
      <c r="E46" s="28">
        <f>IF(C46="","",IFERROR(INDEX(Clients!$A$5:$A$254,MATCH(C46,Clients!$B$5:$B$254,0)),""))</f>
        <v>0</v>
      </c>
      <c r="I46" s="32">
        <f>IF(H46="","",ROUND(YEARFRAC(H46,TODAY()),1))</f>
        <v>0</v>
      </c>
      <c r="Y46" s="49">
        <f>IF(X46="","",IF(X46&lt;TODAY(),"Expired",IF(X46-TODAY()&lt;=VaccAlertDays,"Due in "&amp;TEXT(X46-TODAY(),"0")&amp;" days","Valid")))</f>
        <v>0</v>
      </c>
      <c r="AQ46" s="31">
        <f>IF(D46="","",COUNTIFS('Visit Log'!$E$5:$E$404,D46,'Visit Log'!$AE$5:$AE$404,"Completed"))</f>
        <v>0</v>
      </c>
      <c r="AR46" s="21">
        <f>IF(D46="","",IF(SUMPRODUCT(MAX(('Visit Log'!$E$5:$E$404=D46)*('Visit Log'!$AE$5:$AE$404="Completed")*'Visit Log'!$C$5:$C$404))=0,"",SUMPRODUCT(MAX(('Visit Log'!$E$5:$E$404=D46)*('Visit Log'!$AE$5:$AE$404="Completed")*'Visit Log'!$C$5:$C$404))))</f>
        <v>0</v>
      </c>
      <c r="AS46" s="31">
        <f>IF(D46="","",COUNTIFS('Health Log'!$D$5:$D$204,D46))</f>
        <v>0</v>
      </c>
      <c r="AT46" s="49">
        <f>IF(B46="","",TRIM(IF(Y46="Expired","VACCINATION EXPIRED. ",IF(LEFT(Y46,6)="Due in","Vaccination due. ",""))&amp;IF(AND(AN46&lt;&gt;"",AN46&lt;&gt;"None"),AN46&amp;". ","")&amp;IF(AND(AG46&lt;&gt;"",AG46&lt;&gt;"None",AG46&lt;&gt;"-"),"On medication. ","")&amp;IF(Q46&lt;&gt;"",IF(OR(Q46="None",Q46="None known"),"","Allergy: "&amp;Q46),"")))</f>
        <v>0</v>
      </c>
    </row>
    <row r="47" spans="1:46">
      <c r="A47" s="46">
        <f>IF(B47="","",PetPrefix&amp;TEXT(ROW()-4,"0000"))</f>
        <v>0</v>
      </c>
      <c r="D47" s="28">
        <f>IF(B47="","",B47&amp;" ("&amp;C47&amp;")")</f>
        <v>0</v>
      </c>
      <c r="E47" s="28">
        <f>IF(C47="","",IFERROR(INDEX(Clients!$A$5:$A$254,MATCH(C47,Clients!$B$5:$B$254,0)),""))</f>
        <v>0</v>
      </c>
      <c r="I47" s="32">
        <f>IF(H47="","",ROUND(YEARFRAC(H47,TODAY()),1))</f>
        <v>0</v>
      </c>
      <c r="Y47" s="49">
        <f>IF(X47="","",IF(X47&lt;TODAY(),"Expired",IF(X47-TODAY()&lt;=VaccAlertDays,"Due in "&amp;TEXT(X47-TODAY(),"0")&amp;" days","Valid")))</f>
        <v>0</v>
      </c>
      <c r="AQ47" s="31">
        <f>IF(D47="","",COUNTIFS('Visit Log'!$E$5:$E$404,D47,'Visit Log'!$AE$5:$AE$404,"Completed"))</f>
        <v>0</v>
      </c>
      <c r="AR47" s="21">
        <f>IF(D47="","",IF(SUMPRODUCT(MAX(('Visit Log'!$E$5:$E$404=D47)*('Visit Log'!$AE$5:$AE$404="Completed")*'Visit Log'!$C$5:$C$404))=0,"",SUMPRODUCT(MAX(('Visit Log'!$E$5:$E$404=D47)*('Visit Log'!$AE$5:$AE$404="Completed")*'Visit Log'!$C$5:$C$404))))</f>
        <v>0</v>
      </c>
      <c r="AS47" s="31">
        <f>IF(D47="","",COUNTIFS('Health Log'!$D$5:$D$204,D47))</f>
        <v>0</v>
      </c>
      <c r="AT47" s="49">
        <f>IF(B47="","",TRIM(IF(Y47="Expired","VACCINATION EXPIRED. ",IF(LEFT(Y47,6)="Due in","Vaccination due. ",""))&amp;IF(AND(AN47&lt;&gt;"",AN47&lt;&gt;"None"),AN47&amp;". ","")&amp;IF(AND(AG47&lt;&gt;"",AG47&lt;&gt;"None",AG47&lt;&gt;"-"),"On medication. ","")&amp;IF(Q47&lt;&gt;"",IF(OR(Q47="None",Q47="None known"),"","Allergy: "&amp;Q47),"")))</f>
        <v>0</v>
      </c>
    </row>
    <row r="48" spans="1:46">
      <c r="A48" s="46">
        <f>IF(B48="","",PetPrefix&amp;TEXT(ROW()-4,"0000"))</f>
        <v>0</v>
      </c>
      <c r="D48" s="28">
        <f>IF(B48="","",B48&amp;" ("&amp;C48&amp;")")</f>
        <v>0</v>
      </c>
      <c r="E48" s="28">
        <f>IF(C48="","",IFERROR(INDEX(Clients!$A$5:$A$254,MATCH(C48,Clients!$B$5:$B$254,0)),""))</f>
        <v>0</v>
      </c>
      <c r="I48" s="32">
        <f>IF(H48="","",ROUND(YEARFRAC(H48,TODAY()),1))</f>
        <v>0</v>
      </c>
      <c r="Y48" s="49">
        <f>IF(X48="","",IF(X48&lt;TODAY(),"Expired",IF(X48-TODAY()&lt;=VaccAlertDays,"Due in "&amp;TEXT(X48-TODAY(),"0")&amp;" days","Valid")))</f>
        <v>0</v>
      </c>
      <c r="AQ48" s="31">
        <f>IF(D48="","",COUNTIFS('Visit Log'!$E$5:$E$404,D48,'Visit Log'!$AE$5:$AE$404,"Completed"))</f>
        <v>0</v>
      </c>
      <c r="AR48" s="21">
        <f>IF(D48="","",IF(SUMPRODUCT(MAX(('Visit Log'!$E$5:$E$404=D48)*('Visit Log'!$AE$5:$AE$404="Completed")*'Visit Log'!$C$5:$C$404))=0,"",SUMPRODUCT(MAX(('Visit Log'!$E$5:$E$404=D48)*('Visit Log'!$AE$5:$AE$404="Completed")*'Visit Log'!$C$5:$C$404))))</f>
        <v>0</v>
      </c>
      <c r="AS48" s="31">
        <f>IF(D48="","",COUNTIFS('Health Log'!$D$5:$D$204,D48))</f>
        <v>0</v>
      </c>
      <c r="AT48" s="49">
        <f>IF(B48="","",TRIM(IF(Y48="Expired","VACCINATION EXPIRED. ",IF(LEFT(Y48,6)="Due in","Vaccination due. ",""))&amp;IF(AND(AN48&lt;&gt;"",AN48&lt;&gt;"None"),AN48&amp;". ","")&amp;IF(AND(AG48&lt;&gt;"",AG48&lt;&gt;"None",AG48&lt;&gt;"-"),"On medication. ","")&amp;IF(Q48&lt;&gt;"",IF(OR(Q48="None",Q48="None known"),"","Allergy: "&amp;Q48),"")))</f>
        <v>0</v>
      </c>
    </row>
    <row r="49" spans="1:46">
      <c r="A49" s="46">
        <f>IF(B49="","",PetPrefix&amp;TEXT(ROW()-4,"0000"))</f>
        <v>0</v>
      </c>
      <c r="D49" s="28">
        <f>IF(B49="","",B49&amp;" ("&amp;C49&amp;")")</f>
        <v>0</v>
      </c>
      <c r="E49" s="28">
        <f>IF(C49="","",IFERROR(INDEX(Clients!$A$5:$A$254,MATCH(C49,Clients!$B$5:$B$254,0)),""))</f>
        <v>0</v>
      </c>
      <c r="I49" s="32">
        <f>IF(H49="","",ROUND(YEARFRAC(H49,TODAY()),1))</f>
        <v>0</v>
      </c>
      <c r="Y49" s="49">
        <f>IF(X49="","",IF(X49&lt;TODAY(),"Expired",IF(X49-TODAY()&lt;=VaccAlertDays,"Due in "&amp;TEXT(X49-TODAY(),"0")&amp;" days","Valid")))</f>
        <v>0</v>
      </c>
      <c r="AQ49" s="31">
        <f>IF(D49="","",COUNTIFS('Visit Log'!$E$5:$E$404,D49,'Visit Log'!$AE$5:$AE$404,"Completed"))</f>
        <v>0</v>
      </c>
      <c r="AR49" s="21">
        <f>IF(D49="","",IF(SUMPRODUCT(MAX(('Visit Log'!$E$5:$E$404=D49)*('Visit Log'!$AE$5:$AE$404="Completed")*'Visit Log'!$C$5:$C$404))=0,"",SUMPRODUCT(MAX(('Visit Log'!$E$5:$E$404=D49)*('Visit Log'!$AE$5:$AE$404="Completed")*'Visit Log'!$C$5:$C$404))))</f>
        <v>0</v>
      </c>
      <c r="AS49" s="31">
        <f>IF(D49="","",COUNTIFS('Health Log'!$D$5:$D$204,D49))</f>
        <v>0</v>
      </c>
      <c r="AT49" s="49">
        <f>IF(B49="","",TRIM(IF(Y49="Expired","VACCINATION EXPIRED. ",IF(LEFT(Y49,6)="Due in","Vaccination due. ",""))&amp;IF(AND(AN49&lt;&gt;"",AN49&lt;&gt;"None"),AN49&amp;". ","")&amp;IF(AND(AG49&lt;&gt;"",AG49&lt;&gt;"None",AG49&lt;&gt;"-"),"On medication. ","")&amp;IF(Q49&lt;&gt;"",IF(OR(Q49="None",Q49="None known"),"","Allergy: "&amp;Q49),"")))</f>
        <v>0</v>
      </c>
    </row>
    <row r="50" spans="1:46">
      <c r="A50" s="46">
        <f>IF(B50="","",PetPrefix&amp;TEXT(ROW()-4,"0000"))</f>
        <v>0</v>
      </c>
      <c r="D50" s="28">
        <f>IF(B50="","",B50&amp;" ("&amp;C50&amp;")")</f>
        <v>0</v>
      </c>
      <c r="E50" s="28">
        <f>IF(C50="","",IFERROR(INDEX(Clients!$A$5:$A$254,MATCH(C50,Clients!$B$5:$B$254,0)),""))</f>
        <v>0</v>
      </c>
      <c r="I50" s="32">
        <f>IF(H50="","",ROUND(YEARFRAC(H50,TODAY()),1))</f>
        <v>0</v>
      </c>
      <c r="Y50" s="49">
        <f>IF(X50="","",IF(X50&lt;TODAY(),"Expired",IF(X50-TODAY()&lt;=VaccAlertDays,"Due in "&amp;TEXT(X50-TODAY(),"0")&amp;" days","Valid")))</f>
        <v>0</v>
      </c>
      <c r="AQ50" s="31">
        <f>IF(D50="","",COUNTIFS('Visit Log'!$E$5:$E$404,D50,'Visit Log'!$AE$5:$AE$404,"Completed"))</f>
        <v>0</v>
      </c>
      <c r="AR50" s="21">
        <f>IF(D50="","",IF(SUMPRODUCT(MAX(('Visit Log'!$E$5:$E$404=D50)*('Visit Log'!$AE$5:$AE$404="Completed")*'Visit Log'!$C$5:$C$404))=0,"",SUMPRODUCT(MAX(('Visit Log'!$E$5:$E$404=D50)*('Visit Log'!$AE$5:$AE$404="Completed")*'Visit Log'!$C$5:$C$404))))</f>
        <v>0</v>
      </c>
      <c r="AS50" s="31">
        <f>IF(D50="","",COUNTIFS('Health Log'!$D$5:$D$204,D50))</f>
        <v>0</v>
      </c>
      <c r="AT50" s="49">
        <f>IF(B50="","",TRIM(IF(Y50="Expired","VACCINATION EXPIRED. ",IF(LEFT(Y50,6)="Due in","Vaccination due. ",""))&amp;IF(AND(AN50&lt;&gt;"",AN50&lt;&gt;"None"),AN50&amp;". ","")&amp;IF(AND(AG50&lt;&gt;"",AG50&lt;&gt;"None",AG50&lt;&gt;"-"),"On medication. ","")&amp;IF(Q50&lt;&gt;"",IF(OR(Q50="None",Q50="None known"),"","Allergy: "&amp;Q50),"")))</f>
        <v>0</v>
      </c>
    </row>
    <row r="51" spans="1:46">
      <c r="A51" s="46">
        <f>IF(B51="","",PetPrefix&amp;TEXT(ROW()-4,"0000"))</f>
        <v>0</v>
      </c>
      <c r="D51" s="28">
        <f>IF(B51="","",B51&amp;" ("&amp;C51&amp;")")</f>
        <v>0</v>
      </c>
      <c r="E51" s="28">
        <f>IF(C51="","",IFERROR(INDEX(Clients!$A$5:$A$254,MATCH(C51,Clients!$B$5:$B$254,0)),""))</f>
        <v>0</v>
      </c>
      <c r="I51" s="32">
        <f>IF(H51="","",ROUND(YEARFRAC(H51,TODAY()),1))</f>
        <v>0</v>
      </c>
      <c r="Y51" s="49">
        <f>IF(X51="","",IF(X51&lt;TODAY(),"Expired",IF(X51-TODAY()&lt;=VaccAlertDays,"Due in "&amp;TEXT(X51-TODAY(),"0")&amp;" days","Valid")))</f>
        <v>0</v>
      </c>
      <c r="AQ51" s="31">
        <f>IF(D51="","",COUNTIFS('Visit Log'!$E$5:$E$404,D51,'Visit Log'!$AE$5:$AE$404,"Completed"))</f>
        <v>0</v>
      </c>
      <c r="AR51" s="21">
        <f>IF(D51="","",IF(SUMPRODUCT(MAX(('Visit Log'!$E$5:$E$404=D51)*('Visit Log'!$AE$5:$AE$404="Completed")*'Visit Log'!$C$5:$C$404))=0,"",SUMPRODUCT(MAX(('Visit Log'!$E$5:$E$404=D51)*('Visit Log'!$AE$5:$AE$404="Completed")*'Visit Log'!$C$5:$C$404))))</f>
        <v>0</v>
      </c>
      <c r="AS51" s="31">
        <f>IF(D51="","",COUNTIFS('Health Log'!$D$5:$D$204,D51))</f>
        <v>0</v>
      </c>
      <c r="AT51" s="49">
        <f>IF(B51="","",TRIM(IF(Y51="Expired","VACCINATION EXPIRED. ",IF(LEFT(Y51,6)="Due in","Vaccination due. ",""))&amp;IF(AND(AN51&lt;&gt;"",AN51&lt;&gt;"None"),AN51&amp;". ","")&amp;IF(AND(AG51&lt;&gt;"",AG51&lt;&gt;"None",AG51&lt;&gt;"-"),"On medication. ","")&amp;IF(Q51&lt;&gt;"",IF(OR(Q51="None",Q51="None known"),"","Allergy: "&amp;Q51),"")))</f>
        <v>0</v>
      </c>
    </row>
    <row r="52" spans="1:46">
      <c r="A52" s="46">
        <f>IF(B52="","",PetPrefix&amp;TEXT(ROW()-4,"0000"))</f>
        <v>0</v>
      </c>
      <c r="D52" s="28">
        <f>IF(B52="","",B52&amp;" ("&amp;C52&amp;")")</f>
        <v>0</v>
      </c>
      <c r="E52" s="28">
        <f>IF(C52="","",IFERROR(INDEX(Clients!$A$5:$A$254,MATCH(C52,Clients!$B$5:$B$254,0)),""))</f>
        <v>0</v>
      </c>
      <c r="I52" s="32">
        <f>IF(H52="","",ROUND(YEARFRAC(H52,TODAY()),1))</f>
        <v>0</v>
      </c>
      <c r="Y52" s="49">
        <f>IF(X52="","",IF(X52&lt;TODAY(),"Expired",IF(X52-TODAY()&lt;=VaccAlertDays,"Due in "&amp;TEXT(X52-TODAY(),"0")&amp;" days","Valid")))</f>
        <v>0</v>
      </c>
      <c r="AQ52" s="31">
        <f>IF(D52="","",COUNTIFS('Visit Log'!$E$5:$E$404,D52,'Visit Log'!$AE$5:$AE$404,"Completed"))</f>
        <v>0</v>
      </c>
      <c r="AR52" s="21">
        <f>IF(D52="","",IF(SUMPRODUCT(MAX(('Visit Log'!$E$5:$E$404=D52)*('Visit Log'!$AE$5:$AE$404="Completed")*'Visit Log'!$C$5:$C$404))=0,"",SUMPRODUCT(MAX(('Visit Log'!$E$5:$E$404=D52)*('Visit Log'!$AE$5:$AE$404="Completed")*'Visit Log'!$C$5:$C$404))))</f>
        <v>0</v>
      </c>
      <c r="AS52" s="31">
        <f>IF(D52="","",COUNTIFS('Health Log'!$D$5:$D$204,D52))</f>
        <v>0</v>
      </c>
      <c r="AT52" s="49">
        <f>IF(B52="","",TRIM(IF(Y52="Expired","VACCINATION EXPIRED. ",IF(LEFT(Y52,6)="Due in","Vaccination due. ",""))&amp;IF(AND(AN52&lt;&gt;"",AN52&lt;&gt;"None"),AN52&amp;". ","")&amp;IF(AND(AG52&lt;&gt;"",AG52&lt;&gt;"None",AG52&lt;&gt;"-"),"On medication. ","")&amp;IF(Q52&lt;&gt;"",IF(OR(Q52="None",Q52="None known"),"","Allergy: "&amp;Q52),"")))</f>
        <v>0</v>
      </c>
    </row>
    <row r="53" spans="1:46">
      <c r="A53" s="46">
        <f>IF(B53="","",PetPrefix&amp;TEXT(ROW()-4,"0000"))</f>
        <v>0</v>
      </c>
      <c r="D53" s="28">
        <f>IF(B53="","",B53&amp;" ("&amp;C53&amp;")")</f>
        <v>0</v>
      </c>
      <c r="E53" s="28">
        <f>IF(C53="","",IFERROR(INDEX(Clients!$A$5:$A$254,MATCH(C53,Clients!$B$5:$B$254,0)),""))</f>
        <v>0</v>
      </c>
      <c r="I53" s="32">
        <f>IF(H53="","",ROUND(YEARFRAC(H53,TODAY()),1))</f>
        <v>0</v>
      </c>
      <c r="Y53" s="49">
        <f>IF(X53="","",IF(X53&lt;TODAY(),"Expired",IF(X53-TODAY()&lt;=VaccAlertDays,"Due in "&amp;TEXT(X53-TODAY(),"0")&amp;" days","Valid")))</f>
        <v>0</v>
      </c>
      <c r="AQ53" s="31">
        <f>IF(D53="","",COUNTIFS('Visit Log'!$E$5:$E$404,D53,'Visit Log'!$AE$5:$AE$404,"Completed"))</f>
        <v>0</v>
      </c>
      <c r="AR53" s="21">
        <f>IF(D53="","",IF(SUMPRODUCT(MAX(('Visit Log'!$E$5:$E$404=D53)*('Visit Log'!$AE$5:$AE$404="Completed")*'Visit Log'!$C$5:$C$404))=0,"",SUMPRODUCT(MAX(('Visit Log'!$E$5:$E$404=D53)*('Visit Log'!$AE$5:$AE$404="Completed")*'Visit Log'!$C$5:$C$404))))</f>
        <v>0</v>
      </c>
      <c r="AS53" s="31">
        <f>IF(D53="","",COUNTIFS('Health Log'!$D$5:$D$204,D53))</f>
        <v>0</v>
      </c>
      <c r="AT53" s="49">
        <f>IF(B53="","",TRIM(IF(Y53="Expired","VACCINATION EXPIRED. ",IF(LEFT(Y53,6)="Due in","Vaccination due. ",""))&amp;IF(AND(AN53&lt;&gt;"",AN53&lt;&gt;"None"),AN53&amp;". ","")&amp;IF(AND(AG53&lt;&gt;"",AG53&lt;&gt;"None",AG53&lt;&gt;"-"),"On medication. ","")&amp;IF(Q53&lt;&gt;"",IF(OR(Q53="None",Q53="None known"),"","Allergy: "&amp;Q53),"")))</f>
        <v>0</v>
      </c>
    </row>
    <row r="54" spans="1:46">
      <c r="A54" s="46">
        <f>IF(B54="","",PetPrefix&amp;TEXT(ROW()-4,"0000"))</f>
        <v>0</v>
      </c>
      <c r="D54" s="28">
        <f>IF(B54="","",B54&amp;" ("&amp;C54&amp;")")</f>
        <v>0</v>
      </c>
      <c r="E54" s="28">
        <f>IF(C54="","",IFERROR(INDEX(Clients!$A$5:$A$254,MATCH(C54,Clients!$B$5:$B$254,0)),""))</f>
        <v>0</v>
      </c>
      <c r="I54" s="32">
        <f>IF(H54="","",ROUND(YEARFRAC(H54,TODAY()),1))</f>
        <v>0</v>
      </c>
      <c r="Y54" s="49">
        <f>IF(X54="","",IF(X54&lt;TODAY(),"Expired",IF(X54-TODAY()&lt;=VaccAlertDays,"Due in "&amp;TEXT(X54-TODAY(),"0")&amp;" days","Valid")))</f>
        <v>0</v>
      </c>
      <c r="AQ54" s="31">
        <f>IF(D54="","",COUNTIFS('Visit Log'!$E$5:$E$404,D54,'Visit Log'!$AE$5:$AE$404,"Completed"))</f>
        <v>0</v>
      </c>
      <c r="AR54" s="21">
        <f>IF(D54="","",IF(SUMPRODUCT(MAX(('Visit Log'!$E$5:$E$404=D54)*('Visit Log'!$AE$5:$AE$404="Completed")*'Visit Log'!$C$5:$C$404))=0,"",SUMPRODUCT(MAX(('Visit Log'!$E$5:$E$404=D54)*('Visit Log'!$AE$5:$AE$404="Completed")*'Visit Log'!$C$5:$C$404))))</f>
        <v>0</v>
      </c>
      <c r="AS54" s="31">
        <f>IF(D54="","",COUNTIFS('Health Log'!$D$5:$D$204,D54))</f>
        <v>0</v>
      </c>
      <c r="AT54" s="49">
        <f>IF(B54="","",TRIM(IF(Y54="Expired","VACCINATION EXPIRED. ",IF(LEFT(Y54,6)="Due in","Vaccination due. ",""))&amp;IF(AND(AN54&lt;&gt;"",AN54&lt;&gt;"None"),AN54&amp;". ","")&amp;IF(AND(AG54&lt;&gt;"",AG54&lt;&gt;"None",AG54&lt;&gt;"-"),"On medication. ","")&amp;IF(Q54&lt;&gt;"",IF(OR(Q54="None",Q54="None known"),"","Allergy: "&amp;Q54),"")))</f>
        <v>0</v>
      </c>
    </row>
    <row r="55" spans="1:46">
      <c r="A55" s="46">
        <f>IF(B55="","",PetPrefix&amp;TEXT(ROW()-4,"0000"))</f>
        <v>0</v>
      </c>
      <c r="D55" s="28">
        <f>IF(B55="","",B55&amp;" ("&amp;C55&amp;")")</f>
        <v>0</v>
      </c>
      <c r="E55" s="28">
        <f>IF(C55="","",IFERROR(INDEX(Clients!$A$5:$A$254,MATCH(C55,Clients!$B$5:$B$254,0)),""))</f>
        <v>0</v>
      </c>
      <c r="I55" s="32">
        <f>IF(H55="","",ROUND(YEARFRAC(H55,TODAY()),1))</f>
        <v>0</v>
      </c>
      <c r="Y55" s="49">
        <f>IF(X55="","",IF(X55&lt;TODAY(),"Expired",IF(X55-TODAY()&lt;=VaccAlertDays,"Due in "&amp;TEXT(X55-TODAY(),"0")&amp;" days","Valid")))</f>
        <v>0</v>
      </c>
      <c r="AQ55" s="31">
        <f>IF(D55="","",COUNTIFS('Visit Log'!$E$5:$E$404,D55,'Visit Log'!$AE$5:$AE$404,"Completed"))</f>
        <v>0</v>
      </c>
      <c r="AR55" s="21">
        <f>IF(D55="","",IF(SUMPRODUCT(MAX(('Visit Log'!$E$5:$E$404=D55)*('Visit Log'!$AE$5:$AE$404="Completed")*'Visit Log'!$C$5:$C$404))=0,"",SUMPRODUCT(MAX(('Visit Log'!$E$5:$E$404=D55)*('Visit Log'!$AE$5:$AE$404="Completed")*'Visit Log'!$C$5:$C$404))))</f>
        <v>0</v>
      </c>
      <c r="AS55" s="31">
        <f>IF(D55="","",COUNTIFS('Health Log'!$D$5:$D$204,D55))</f>
        <v>0</v>
      </c>
      <c r="AT55" s="49">
        <f>IF(B55="","",TRIM(IF(Y55="Expired","VACCINATION EXPIRED. ",IF(LEFT(Y55,6)="Due in","Vaccination due. ",""))&amp;IF(AND(AN55&lt;&gt;"",AN55&lt;&gt;"None"),AN55&amp;". ","")&amp;IF(AND(AG55&lt;&gt;"",AG55&lt;&gt;"None",AG55&lt;&gt;"-"),"On medication. ","")&amp;IF(Q55&lt;&gt;"",IF(OR(Q55="None",Q55="None known"),"","Allergy: "&amp;Q55),"")))</f>
        <v>0</v>
      </c>
    </row>
    <row r="56" spans="1:46">
      <c r="A56" s="46">
        <f>IF(B56="","",PetPrefix&amp;TEXT(ROW()-4,"0000"))</f>
        <v>0</v>
      </c>
      <c r="D56" s="28">
        <f>IF(B56="","",B56&amp;" ("&amp;C56&amp;")")</f>
        <v>0</v>
      </c>
      <c r="E56" s="28">
        <f>IF(C56="","",IFERROR(INDEX(Clients!$A$5:$A$254,MATCH(C56,Clients!$B$5:$B$254,0)),""))</f>
        <v>0</v>
      </c>
      <c r="I56" s="32">
        <f>IF(H56="","",ROUND(YEARFRAC(H56,TODAY()),1))</f>
        <v>0</v>
      </c>
      <c r="Y56" s="49">
        <f>IF(X56="","",IF(X56&lt;TODAY(),"Expired",IF(X56-TODAY()&lt;=VaccAlertDays,"Due in "&amp;TEXT(X56-TODAY(),"0")&amp;" days","Valid")))</f>
        <v>0</v>
      </c>
      <c r="AQ56" s="31">
        <f>IF(D56="","",COUNTIFS('Visit Log'!$E$5:$E$404,D56,'Visit Log'!$AE$5:$AE$404,"Completed"))</f>
        <v>0</v>
      </c>
      <c r="AR56" s="21">
        <f>IF(D56="","",IF(SUMPRODUCT(MAX(('Visit Log'!$E$5:$E$404=D56)*('Visit Log'!$AE$5:$AE$404="Completed")*'Visit Log'!$C$5:$C$404))=0,"",SUMPRODUCT(MAX(('Visit Log'!$E$5:$E$404=D56)*('Visit Log'!$AE$5:$AE$404="Completed")*'Visit Log'!$C$5:$C$404))))</f>
        <v>0</v>
      </c>
      <c r="AS56" s="31">
        <f>IF(D56="","",COUNTIFS('Health Log'!$D$5:$D$204,D56))</f>
        <v>0</v>
      </c>
      <c r="AT56" s="49">
        <f>IF(B56="","",TRIM(IF(Y56="Expired","VACCINATION EXPIRED. ",IF(LEFT(Y56,6)="Due in","Vaccination due. ",""))&amp;IF(AND(AN56&lt;&gt;"",AN56&lt;&gt;"None"),AN56&amp;". ","")&amp;IF(AND(AG56&lt;&gt;"",AG56&lt;&gt;"None",AG56&lt;&gt;"-"),"On medication. ","")&amp;IF(Q56&lt;&gt;"",IF(OR(Q56="None",Q56="None known"),"","Allergy: "&amp;Q56),"")))</f>
        <v>0</v>
      </c>
    </row>
    <row r="57" spans="1:46">
      <c r="A57" s="46">
        <f>IF(B57="","",PetPrefix&amp;TEXT(ROW()-4,"0000"))</f>
        <v>0</v>
      </c>
      <c r="D57" s="28">
        <f>IF(B57="","",B57&amp;" ("&amp;C57&amp;")")</f>
        <v>0</v>
      </c>
      <c r="E57" s="28">
        <f>IF(C57="","",IFERROR(INDEX(Clients!$A$5:$A$254,MATCH(C57,Clients!$B$5:$B$254,0)),""))</f>
        <v>0</v>
      </c>
      <c r="I57" s="32">
        <f>IF(H57="","",ROUND(YEARFRAC(H57,TODAY()),1))</f>
        <v>0</v>
      </c>
      <c r="Y57" s="49">
        <f>IF(X57="","",IF(X57&lt;TODAY(),"Expired",IF(X57-TODAY()&lt;=VaccAlertDays,"Due in "&amp;TEXT(X57-TODAY(),"0")&amp;" days","Valid")))</f>
        <v>0</v>
      </c>
      <c r="AQ57" s="31">
        <f>IF(D57="","",COUNTIFS('Visit Log'!$E$5:$E$404,D57,'Visit Log'!$AE$5:$AE$404,"Completed"))</f>
        <v>0</v>
      </c>
      <c r="AR57" s="21">
        <f>IF(D57="","",IF(SUMPRODUCT(MAX(('Visit Log'!$E$5:$E$404=D57)*('Visit Log'!$AE$5:$AE$404="Completed")*'Visit Log'!$C$5:$C$404))=0,"",SUMPRODUCT(MAX(('Visit Log'!$E$5:$E$404=D57)*('Visit Log'!$AE$5:$AE$404="Completed")*'Visit Log'!$C$5:$C$404))))</f>
        <v>0</v>
      </c>
      <c r="AS57" s="31">
        <f>IF(D57="","",COUNTIFS('Health Log'!$D$5:$D$204,D57))</f>
        <v>0</v>
      </c>
      <c r="AT57" s="49">
        <f>IF(B57="","",TRIM(IF(Y57="Expired","VACCINATION EXPIRED. ",IF(LEFT(Y57,6)="Due in","Vaccination due. ",""))&amp;IF(AND(AN57&lt;&gt;"",AN57&lt;&gt;"None"),AN57&amp;". ","")&amp;IF(AND(AG57&lt;&gt;"",AG57&lt;&gt;"None",AG57&lt;&gt;"-"),"On medication. ","")&amp;IF(Q57&lt;&gt;"",IF(OR(Q57="None",Q57="None known"),"","Allergy: "&amp;Q57),"")))</f>
        <v>0</v>
      </c>
    </row>
    <row r="58" spans="1:46">
      <c r="A58" s="46">
        <f>IF(B58="","",PetPrefix&amp;TEXT(ROW()-4,"0000"))</f>
        <v>0</v>
      </c>
      <c r="D58" s="28">
        <f>IF(B58="","",B58&amp;" ("&amp;C58&amp;")")</f>
        <v>0</v>
      </c>
      <c r="E58" s="28">
        <f>IF(C58="","",IFERROR(INDEX(Clients!$A$5:$A$254,MATCH(C58,Clients!$B$5:$B$254,0)),""))</f>
        <v>0</v>
      </c>
      <c r="I58" s="32">
        <f>IF(H58="","",ROUND(YEARFRAC(H58,TODAY()),1))</f>
        <v>0</v>
      </c>
      <c r="Y58" s="49">
        <f>IF(X58="","",IF(X58&lt;TODAY(),"Expired",IF(X58-TODAY()&lt;=VaccAlertDays,"Due in "&amp;TEXT(X58-TODAY(),"0")&amp;" days","Valid")))</f>
        <v>0</v>
      </c>
      <c r="AQ58" s="31">
        <f>IF(D58="","",COUNTIFS('Visit Log'!$E$5:$E$404,D58,'Visit Log'!$AE$5:$AE$404,"Completed"))</f>
        <v>0</v>
      </c>
      <c r="AR58" s="21">
        <f>IF(D58="","",IF(SUMPRODUCT(MAX(('Visit Log'!$E$5:$E$404=D58)*('Visit Log'!$AE$5:$AE$404="Completed")*'Visit Log'!$C$5:$C$404))=0,"",SUMPRODUCT(MAX(('Visit Log'!$E$5:$E$404=D58)*('Visit Log'!$AE$5:$AE$404="Completed")*'Visit Log'!$C$5:$C$404))))</f>
        <v>0</v>
      </c>
      <c r="AS58" s="31">
        <f>IF(D58="","",COUNTIFS('Health Log'!$D$5:$D$204,D58))</f>
        <v>0</v>
      </c>
      <c r="AT58" s="49">
        <f>IF(B58="","",TRIM(IF(Y58="Expired","VACCINATION EXPIRED. ",IF(LEFT(Y58,6)="Due in","Vaccination due. ",""))&amp;IF(AND(AN58&lt;&gt;"",AN58&lt;&gt;"None"),AN58&amp;". ","")&amp;IF(AND(AG58&lt;&gt;"",AG58&lt;&gt;"None",AG58&lt;&gt;"-"),"On medication. ","")&amp;IF(Q58&lt;&gt;"",IF(OR(Q58="None",Q58="None known"),"","Allergy: "&amp;Q58),"")))</f>
        <v>0</v>
      </c>
    </row>
    <row r="59" spans="1:46">
      <c r="A59" s="46">
        <f>IF(B59="","",PetPrefix&amp;TEXT(ROW()-4,"0000"))</f>
        <v>0</v>
      </c>
      <c r="D59" s="28">
        <f>IF(B59="","",B59&amp;" ("&amp;C59&amp;")")</f>
        <v>0</v>
      </c>
      <c r="E59" s="28">
        <f>IF(C59="","",IFERROR(INDEX(Clients!$A$5:$A$254,MATCH(C59,Clients!$B$5:$B$254,0)),""))</f>
        <v>0</v>
      </c>
      <c r="I59" s="32">
        <f>IF(H59="","",ROUND(YEARFRAC(H59,TODAY()),1))</f>
        <v>0</v>
      </c>
      <c r="Y59" s="49">
        <f>IF(X59="","",IF(X59&lt;TODAY(),"Expired",IF(X59-TODAY()&lt;=VaccAlertDays,"Due in "&amp;TEXT(X59-TODAY(),"0")&amp;" days","Valid")))</f>
        <v>0</v>
      </c>
      <c r="AQ59" s="31">
        <f>IF(D59="","",COUNTIFS('Visit Log'!$E$5:$E$404,D59,'Visit Log'!$AE$5:$AE$404,"Completed"))</f>
        <v>0</v>
      </c>
      <c r="AR59" s="21">
        <f>IF(D59="","",IF(SUMPRODUCT(MAX(('Visit Log'!$E$5:$E$404=D59)*('Visit Log'!$AE$5:$AE$404="Completed")*'Visit Log'!$C$5:$C$404))=0,"",SUMPRODUCT(MAX(('Visit Log'!$E$5:$E$404=D59)*('Visit Log'!$AE$5:$AE$404="Completed")*'Visit Log'!$C$5:$C$404))))</f>
        <v>0</v>
      </c>
      <c r="AS59" s="31">
        <f>IF(D59="","",COUNTIFS('Health Log'!$D$5:$D$204,D59))</f>
        <v>0</v>
      </c>
      <c r="AT59" s="49">
        <f>IF(B59="","",TRIM(IF(Y59="Expired","VACCINATION EXPIRED. ",IF(LEFT(Y59,6)="Due in","Vaccination due. ",""))&amp;IF(AND(AN59&lt;&gt;"",AN59&lt;&gt;"None"),AN59&amp;". ","")&amp;IF(AND(AG59&lt;&gt;"",AG59&lt;&gt;"None",AG59&lt;&gt;"-"),"On medication. ","")&amp;IF(Q59&lt;&gt;"",IF(OR(Q59="None",Q59="None known"),"","Allergy: "&amp;Q59),"")))</f>
        <v>0</v>
      </c>
    </row>
    <row r="60" spans="1:46">
      <c r="A60" s="46">
        <f>IF(B60="","",PetPrefix&amp;TEXT(ROW()-4,"0000"))</f>
        <v>0</v>
      </c>
      <c r="D60" s="28">
        <f>IF(B60="","",B60&amp;" ("&amp;C60&amp;")")</f>
        <v>0</v>
      </c>
      <c r="E60" s="28">
        <f>IF(C60="","",IFERROR(INDEX(Clients!$A$5:$A$254,MATCH(C60,Clients!$B$5:$B$254,0)),""))</f>
        <v>0</v>
      </c>
      <c r="I60" s="32">
        <f>IF(H60="","",ROUND(YEARFRAC(H60,TODAY()),1))</f>
        <v>0</v>
      </c>
      <c r="Y60" s="49">
        <f>IF(X60="","",IF(X60&lt;TODAY(),"Expired",IF(X60-TODAY()&lt;=VaccAlertDays,"Due in "&amp;TEXT(X60-TODAY(),"0")&amp;" days","Valid")))</f>
        <v>0</v>
      </c>
      <c r="AQ60" s="31">
        <f>IF(D60="","",COUNTIFS('Visit Log'!$E$5:$E$404,D60,'Visit Log'!$AE$5:$AE$404,"Completed"))</f>
        <v>0</v>
      </c>
      <c r="AR60" s="21">
        <f>IF(D60="","",IF(SUMPRODUCT(MAX(('Visit Log'!$E$5:$E$404=D60)*('Visit Log'!$AE$5:$AE$404="Completed")*'Visit Log'!$C$5:$C$404))=0,"",SUMPRODUCT(MAX(('Visit Log'!$E$5:$E$404=D60)*('Visit Log'!$AE$5:$AE$404="Completed")*'Visit Log'!$C$5:$C$404))))</f>
        <v>0</v>
      </c>
      <c r="AS60" s="31">
        <f>IF(D60="","",COUNTIFS('Health Log'!$D$5:$D$204,D60))</f>
        <v>0</v>
      </c>
      <c r="AT60" s="49">
        <f>IF(B60="","",TRIM(IF(Y60="Expired","VACCINATION EXPIRED. ",IF(LEFT(Y60,6)="Due in","Vaccination due. ",""))&amp;IF(AND(AN60&lt;&gt;"",AN60&lt;&gt;"None"),AN60&amp;". ","")&amp;IF(AND(AG60&lt;&gt;"",AG60&lt;&gt;"None",AG60&lt;&gt;"-"),"On medication. ","")&amp;IF(Q60&lt;&gt;"",IF(OR(Q60="None",Q60="None known"),"","Allergy: "&amp;Q60),"")))</f>
        <v>0</v>
      </c>
    </row>
    <row r="61" spans="1:46">
      <c r="A61" s="46">
        <f>IF(B61="","",PetPrefix&amp;TEXT(ROW()-4,"0000"))</f>
        <v>0</v>
      </c>
      <c r="D61" s="28">
        <f>IF(B61="","",B61&amp;" ("&amp;C61&amp;")")</f>
        <v>0</v>
      </c>
      <c r="E61" s="28">
        <f>IF(C61="","",IFERROR(INDEX(Clients!$A$5:$A$254,MATCH(C61,Clients!$B$5:$B$254,0)),""))</f>
        <v>0</v>
      </c>
      <c r="I61" s="32">
        <f>IF(H61="","",ROUND(YEARFRAC(H61,TODAY()),1))</f>
        <v>0</v>
      </c>
      <c r="Y61" s="49">
        <f>IF(X61="","",IF(X61&lt;TODAY(),"Expired",IF(X61-TODAY()&lt;=VaccAlertDays,"Due in "&amp;TEXT(X61-TODAY(),"0")&amp;" days","Valid")))</f>
        <v>0</v>
      </c>
      <c r="AQ61" s="31">
        <f>IF(D61="","",COUNTIFS('Visit Log'!$E$5:$E$404,D61,'Visit Log'!$AE$5:$AE$404,"Completed"))</f>
        <v>0</v>
      </c>
      <c r="AR61" s="21">
        <f>IF(D61="","",IF(SUMPRODUCT(MAX(('Visit Log'!$E$5:$E$404=D61)*('Visit Log'!$AE$5:$AE$404="Completed")*'Visit Log'!$C$5:$C$404))=0,"",SUMPRODUCT(MAX(('Visit Log'!$E$5:$E$404=D61)*('Visit Log'!$AE$5:$AE$404="Completed")*'Visit Log'!$C$5:$C$404))))</f>
        <v>0</v>
      </c>
      <c r="AS61" s="31">
        <f>IF(D61="","",COUNTIFS('Health Log'!$D$5:$D$204,D61))</f>
        <v>0</v>
      </c>
      <c r="AT61" s="49">
        <f>IF(B61="","",TRIM(IF(Y61="Expired","VACCINATION EXPIRED. ",IF(LEFT(Y61,6)="Due in","Vaccination due. ",""))&amp;IF(AND(AN61&lt;&gt;"",AN61&lt;&gt;"None"),AN61&amp;". ","")&amp;IF(AND(AG61&lt;&gt;"",AG61&lt;&gt;"None",AG61&lt;&gt;"-"),"On medication. ","")&amp;IF(Q61&lt;&gt;"",IF(OR(Q61="None",Q61="None known"),"","Allergy: "&amp;Q61),"")))</f>
        <v>0</v>
      </c>
    </row>
    <row r="62" spans="1:46">
      <c r="A62" s="46">
        <f>IF(B62="","",PetPrefix&amp;TEXT(ROW()-4,"0000"))</f>
        <v>0</v>
      </c>
      <c r="D62" s="28">
        <f>IF(B62="","",B62&amp;" ("&amp;C62&amp;")")</f>
        <v>0</v>
      </c>
      <c r="E62" s="28">
        <f>IF(C62="","",IFERROR(INDEX(Clients!$A$5:$A$254,MATCH(C62,Clients!$B$5:$B$254,0)),""))</f>
        <v>0</v>
      </c>
      <c r="I62" s="32">
        <f>IF(H62="","",ROUND(YEARFRAC(H62,TODAY()),1))</f>
        <v>0</v>
      </c>
      <c r="Y62" s="49">
        <f>IF(X62="","",IF(X62&lt;TODAY(),"Expired",IF(X62-TODAY()&lt;=VaccAlertDays,"Due in "&amp;TEXT(X62-TODAY(),"0")&amp;" days","Valid")))</f>
        <v>0</v>
      </c>
      <c r="AQ62" s="31">
        <f>IF(D62="","",COUNTIFS('Visit Log'!$E$5:$E$404,D62,'Visit Log'!$AE$5:$AE$404,"Completed"))</f>
        <v>0</v>
      </c>
      <c r="AR62" s="21">
        <f>IF(D62="","",IF(SUMPRODUCT(MAX(('Visit Log'!$E$5:$E$404=D62)*('Visit Log'!$AE$5:$AE$404="Completed")*'Visit Log'!$C$5:$C$404))=0,"",SUMPRODUCT(MAX(('Visit Log'!$E$5:$E$404=D62)*('Visit Log'!$AE$5:$AE$404="Completed")*'Visit Log'!$C$5:$C$404))))</f>
        <v>0</v>
      </c>
      <c r="AS62" s="31">
        <f>IF(D62="","",COUNTIFS('Health Log'!$D$5:$D$204,D62))</f>
        <v>0</v>
      </c>
      <c r="AT62" s="49">
        <f>IF(B62="","",TRIM(IF(Y62="Expired","VACCINATION EXPIRED. ",IF(LEFT(Y62,6)="Due in","Vaccination due. ",""))&amp;IF(AND(AN62&lt;&gt;"",AN62&lt;&gt;"None"),AN62&amp;". ","")&amp;IF(AND(AG62&lt;&gt;"",AG62&lt;&gt;"None",AG62&lt;&gt;"-"),"On medication. ","")&amp;IF(Q62&lt;&gt;"",IF(OR(Q62="None",Q62="None known"),"","Allergy: "&amp;Q62),"")))</f>
        <v>0</v>
      </c>
    </row>
    <row r="63" spans="1:46">
      <c r="A63" s="46">
        <f>IF(B63="","",PetPrefix&amp;TEXT(ROW()-4,"0000"))</f>
        <v>0</v>
      </c>
      <c r="D63" s="28">
        <f>IF(B63="","",B63&amp;" ("&amp;C63&amp;")")</f>
        <v>0</v>
      </c>
      <c r="E63" s="28">
        <f>IF(C63="","",IFERROR(INDEX(Clients!$A$5:$A$254,MATCH(C63,Clients!$B$5:$B$254,0)),""))</f>
        <v>0</v>
      </c>
      <c r="I63" s="32">
        <f>IF(H63="","",ROUND(YEARFRAC(H63,TODAY()),1))</f>
        <v>0</v>
      </c>
      <c r="Y63" s="49">
        <f>IF(X63="","",IF(X63&lt;TODAY(),"Expired",IF(X63-TODAY()&lt;=VaccAlertDays,"Due in "&amp;TEXT(X63-TODAY(),"0")&amp;" days","Valid")))</f>
        <v>0</v>
      </c>
      <c r="AQ63" s="31">
        <f>IF(D63="","",COUNTIFS('Visit Log'!$E$5:$E$404,D63,'Visit Log'!$AE$5:$AE$404,"Completed"))</f>
        <v>0</v>
      </c>
      <c r="AR63" s="21">
        <f>IF(D63="","",IF(SUMPRODUCT(MAX(('Visit Log'!$E$5:$E$404=D63)*('Visit Log'!$AE$5:$AE$404="Completed")*'Visit Log'!$C$5:$C$404))=0,"",SUMPRODUCT(MAX(('Visit Log'!$E$5:$E$404=D63)*('Visit Log'!$AE$5:$AE$404="Completed")*'Visit Log'!$C$5:$C$404))))</f>
        <v>0</v>
      </c>
      <c r="AS63" s="31">
        <f>IF(D63="","",COUNTIFS('Health Log'!$D$5:$D$204,D63))</f>
        <v>0</v>
      </c>
      <c r="AT63" s="49">
        <f>IF(B63="","",TRIM(IF(Y63="Expired","VACCINATION EXPIRED. ",IF(LEFT(Y63,6)="Due in","Vaccination due. ",""))&amp;IF(AND(AN63&lt;&gt;"",AN63&lt;&gt;"None"),AN63&amp;". ","")&amp;IF(AND(AG63&lt;&gt;"",AG63&lt;&gt;"None",AG63&lt;&gt;"-"),"On medication. ","")&amp;IF(Q63&lt;&gt;"",IF(OR(Q63="None",Q63="None known"),"","Allergy: "&amp;Q63),"")))</f>
        <v>0</v>
      </c>
    </row>
    <row r="64" spans="1:46">
      <c r="A64" s="46">
        <f>IF(B64="","",PetPrefix&amp;TEXT(ROW()-4,"0000"))</f>
        <v>0</v>
      </c>
      <c r="D64" s="28">
        <f>IF(B64="","",B64&amp;" ("&amp;C64&amp;")")</f>
        <v>0</v>
      </c>
      <c r="E64" s="28">
        <f>IF(C64="","",IFERROR(INDEX(Clients!$A$5:$A$254,MATCH(C64,Clients!$B$5:$B$254,0)),""))</f>
        <v>0</v>
      </c>
      <c r="I64" s="32">
        <f>IF(H64="","",ROUND(YEARFRAC(H64,TODAY()),1))</f>
        <v>0</v>
      </c>
      <c r="Y64" s="49">
        <f>IF(X64="","",IF(X64&lt;TODAY(),"Expired",IF(X64-TODAY()&lt;=VaccAlertDays,"Due in "&amp;TEXT(X64-TODAY(),"0")&amp;" days","Valid")))</f>
        <v>0</v>
      </c>
      <c r="AQ64" s="31">
        <f>IF(D64="","",COUNTIFS('Visit Log'!$E$5:$E$404,D64,'Visit Log'!$AE$5:$AE$404,"Completed"))</f>
        <v>0</v>
      </c>
      <c r="AR64" s="21">
        <f>IF(D64="","",IF(SUMPRODUCT(MAX(('Visit Log'!$E$5:$E$404=D64)*('Visit Log'!$AE$5:$AE$404="Completed")*'Visit Log'!$C$5:$C$404))=0,"",SUMPRODUCT(MAX(('Visit Log'!$E$5:$E$404=D64)*('Visit Log'!$AE$5:$AE$404="Completed")*'Visit Log'!$C$5:$C$404))))</f>
        <v>0</v>
      </c>
      <c r="AS64" s="31">
        <f>IF(D64="","",COUNTIFS('Health Log'!$D$5:$D$204,D64))</f>
        <v>0</v>
      </c>
      <c r="AT64" s="49">
        <f>IF(B64="","",TRIM(IF(Y64="Expired","VACCINATION EXPIRED. ",IF(LEFT(Y64,6)="Due in","Vaccination due. ",""))&amp;IF(AND(AN64&lt;&gt;"",AN64&lt;&gt;"None"),AN64&amp;". ","")&amp;IF(AND(AG64&lt;&gt;"",AG64&lt;&gt;"None",AG64&lt;&gt;"-"),"On medication. ","")&amp;IF(Q64&lt;&gt;"",IF(OR(Q64="None",Q64="None known"),"","Allergy: "&amp;Q64),"")))</f>
        <v>0</v>
      </c>
    </row>
    <row r="65" spans="1:46">
      <c r="A65" s="46">
        <f>IF(B65="","",PetPrefix&amp;TEXT(ROW()-4,"0000"))</f>
        <v>0</v>
      </c>
      <c r="D65" s="28">
        <f>IF(B65="","",B65&amp;" ("&amp;C65&amp;")")</f>
        <v>0</v>
      </c>
      <c r="E65" s="28">
        <f>IF(C65="","",IFERROR(INDEX(Clients!$A$5:$A$254,MATCH(C65,Clients!$B$5:$B$254,0)),""))</f>
        <v>0</v>
      </c>
      <c r="I65" s="32">
        <f>IF(H65="","",ROUND(YEARFRAC(H65,TODAY()),1))</f>
        <v>0</v>
      </c>
      <c r="Y65" s="49">
        <f>IF(X65="","",IF(X65&lt;TODAY(),"Expired",IF(X65-TODAY()&lt;=VaccAlertDays,"Due in "&amp;TEXT(X65-TODAY(),"0")&amp;" days","Valid")))</f>
        <v>0</v>
      </c>
      <c r="AQ65" s="31">
        <f>IF(D65="","",COUNTIFS('Visit Log'!$E$5:$E$404,D65,'Visit Log'!$AE$5:$AE$404,"Completed"))</f>
        <v>0</v>
      </c>
      <c r="AR65" s="21">
        <f>IF(D65="","",IF(SUMPRODUCT(MAX(('Visit Log'!$E$5:$E$404=D65)*('Visit Log'!$AE$5:$AE$404="Completed")*'Visit Log'!$C$5:$C$404))=0,"",SUMPRODUCT(MAX(('Visit Log'!$E$5:$E$404=D65)*('Visit Log'!$AE$5:$AE$404="Completed")*'Visit Log'!$C$5:$C$404))))</f>
        <v>0</v>
      </c>
      <c r="AS65" s="31">
        <f>IF(D65="","",COUNTIFS('Health Log'!$D$5:$D$204,D65))</f>
        <v>0</v>
      </c>
      <c r="AT65" s="49">
        <f>IF(B65="","",TRIM(IF(Y65="Expired","VACCINATION EXPIRED. ",IF(LEFT(Y65,6)="Due in","Vaccination due. ",""))&amp;IF(AND(AN65&lt;&gt;"",AN65&lt;&gt;"None"),AN65&amp;". ","")&amp;IF(AND(AG65&lt;&gt;"",AG65&lt;&gt;"None",AG65&lt;&gt;"-"),"On medication. ","")&amp;IF(Q65&lt;&gt;"",IF(OR(Q65="None",Q65="None known"),"","Allergy: "&amp;Q65),"")))</f>
        <v>0</v>
      </c>
    </row>
    <row r="66" spans="1:46">
      <c r="A66" s="46">
        <f>IF(B66="","",PetPrefix&amp;TEXT(ROW()-4,"0000"))</f>
        <v>0</v>
      </c>
      <c r="D66" s="28">
        <f>IF(B66="","",B66&amp;" ("&amp;C66&amp;")")</f>
        <v>0</v>
      </c>
      <c r="E66" s="28">
        <f>IF(C66="","",IFERROR(INDEX(Clients!$A$5:$A$254,MATCH(C66,Clients!$B$5:$B$254,0)),""))</f>
        <v>0</v>
      </c>
      <c r="I66" s="32">
        <f>IF(H66="","",ROUND(YEARFRAC(H66,TODAY()),1))</f>
        <v>0</v>
      </c>
      <c r="Y66" s="49">
        <f>IF(X66="","",IF(X66&lt;TODAY(),"Expired",IF(X66-TODAY()&lt;=VaccAlertDays,"Due in "&amp;TEXT(X66-TODAY(),"0")&amp;" days","Valid")))</f>
        <v>0</v>
      </c>
      <c r="AQ66" s="31">
        <f>IF(D66="","",COUNTIFS('Visit Log'!$E$5:$E$404,D66,'Visit Log'!$AE$5:$AE$404,"Completed"))</f>
        <v>0</v>
      </c>
      <c r="AR66" s="21">
        <f>IF(D66="","",IF(SUMPRODUCT(MAX(('Visit Log'!$E$5:$E$404=D66)*('Visit Log'!$AE$5:$AE$404="Completed")*'Visit Log'!$C$5:$C$404))=0,"",SUMPRODUCT(MAX(('Visit Log'!$E$5:$E$404=D66)*('Visit Log'!$AE$5:$AE$404="Completed")*'Visit Log'!$C$5:$C$404))))</f>
        <v>0</v>
      </c>
      <c r="AS66" s="31">
        <f>IF(D66="","",COUNTIFS('Health Log'!$D$5:$D$204,D66))</f>
        <v>0</v>
      </c>
      <c r="AT66" s="49">
        <f>IF(B66="","",TRIM(IF(Y66="Expired","VACCINATION EXPIRED. ",IF(LEFT(Y66,6)="Due in","Vaccination due. ",""))&amp;IF(AND(AN66&lt;&gt;"",AN66&lt;&gt;"None"),AN66&amp;". ","")&amp;IF(AND(AG66&lt;&gt;"",AG66&lt;&gt;"None",AG66&lt;&gt;"-"),"On medication. ","")&amp;IF(Q66&lt;&gt;"",IF(OR(Q66="None",Q66="None known"),"","Allergy: "&amp;Q66),"")))</f>
        <v>0</v>
      </c>
    </row>
    <row r="67" spans="1:46">
      <c r="A67" s="46">
        <f>IF(B67="","",PetPrefix&amp;TEXT(ROW()-4,"0000"))</f>
        <v>0</v>
      </c>
      <c r="D67" s="28">
        <f>IF(B67="","",B67&amp;" ("&amp;C67&amp;")")</f>
        <v>0</v>
      </c>
      <c r="E67" s="28">
        <f>IF(C67="","",IFERROR(INDEX(Clients!$A$5:$A$254,MATCH(C67,Clients!$B$5:$B$254,0)),""))</f>
        <v>0</v>
      </c>
      <c r="I67" s="32">
        <f>IF(H67="","",ROUND(YEARFRAC(H67,TODAY()),1))</f>
        <v>0</v>
      </c>
      <c r="Y67" s="49">
        <f>IF(X67="","",IF(X67&lt;TODAY(),"Expired",IF(X67-TODAY()&lt;=VaccAlertDays,"Due in "&amp;TEXT(X67-TODAY(),"0")&amp;" days","Valid")))</f>
        <v>0</v>
      </c>
      <c r="AQ67" s="31">
        <f>IF(D67="","",COUNTIFS('Visit Log'!$E$5:$E$404,D67,'Visit Log'!$AE$5:$AE$404,"Completed"))</f>
        <v>0</v>
      </c>
      <c r="AR67" s="21">
        <f>IF(D67="","",IF(SUMPRODUCT(MAX(('Visit Log'!$E$5:$E$404=D67)*('Visit Log'!$AE$5:$AE$404="Completed")*'Visit Log'!$C$5:$C$404))=0,"",SUMPRODUCT(MAX(('Visit Log'!$E$5:$E$404=D67)*('Visit Log'!$AE$5:$AE$404="Completed")*'Visit Log'!$C$5:$C$404))))</f>
        <v>0</v>
      </c>
      <c r="AS67" s="31">
        <f>IF(D67="","",COUNTIFS('Health Log'!$D$5:$D$204,D67))</f>
        <v>0</v>
      </c>
      <c r="AT67" s="49">
        <f>IF(B67="","",TRIM(IF(Y67="Expired","VACCINATION EXPIRED. ",IF(LEFT(Y67,6)="Due in","Vaccination due. ",""))&amp;IF(AND(AN67&lt;&gt;"",AN67&lt;&gt;"None"),AN67&amp;". ","")&amp;IF(AND(AG67&lt;&gt;"",AG67&lt;&gt;"None",AG67&lt;&gt;"-"),"On medication. ","")&amp;IF(Q67&lt;&gt;"",IF(OR(Q67="None",Q67="None known"),"","Allergy: "&amp;Q67),"")))</f>
        <v>0</v>
      </c>
    </row>
    <row r="68" spans="1:46">
      <c r="A68" s="46">
        <f>IF(B68="","",PetPrefix&amp;TEXT(ROW()-4,"0000"))</f>
        <v>0</v>
      </c>
      <c r="D68" s="28">
        <f>IF(B68="","",B68&amp;" ("&amp;C68&amp;")")</f>
        <v>0</v>
      </c>
      <c r="E68" s="28">
        <f>IF(C68="","",IFERROR(INDEX(Clients!$A$5:$A$254,MATCH(C68,Clients!$B$5:$B$254,0)),""))</f>
        <v>0</v>
      </c>
      <c r="I68" s="32">
        <f>IF(H68="","",ROUND(YEARFRAC(H68,TODAY()),1))</f>
        <v>0</v>
      </c>
      <c r="Y68" s="49">
        <f>IF(X68="","",IF(X68&lt;TODAY(),"Expired",IF(X68-TODAY()&lt;=VaccAlertDays,"Due in "&amp;TEXT(X68-TODAY(),"0")&amp;" days","Valid")))</f>
        <v>0</v>
      </c>
      <c r="AQ68" s="31">
        <f>IF(D68="","",COUNTIFS('Visit Log'!$E$5:$E$404,D68,'Visit Log'!$AE$5:$AE$404,"Completed"))</f>
        <v>0</v>
      </c>
      <c r="AR68" s="21">
        <f>IF(D68="","",IF(SUMPRODUCT(MAX(('Visit Log'!$E$5:$E$404=D68)*('Visit Log'!$AE$5:$AE$404="Completed")*'Visit Log'!$C$5:$C$404))=0,"",SUMPRODUCT(MAX(('Visit Log'!$E$5:$E$404=D68)*('Visit Log'!$AE$5:$AE$404="Completed")*'Visit Log'!$C$5:$C$404))))</f>
        <v>0</v>
      </c>
      <c r="AS68" s="31">
        <f>IF(D68="","",COUNTIFS('Health Log'!$D$5:$D$204,D68))</f>
        <v>0</v>
      </c>
      <c r="AT68" s="49">
        <f>IF(B68="","",TRIM(IF(Y68="Expired","VACCINATION EXPIRED. ",IF(LEFT(Y68,6)="Due in","Vaccination due. ",""))&amp;IF(AND(AN68&lt;&gt;"",AN68&lt;&gt;"None"),AN68&amp;". ","")&amp;IF(AND(AG68&lt;&gt;"",AG68&lt;&gt;"None",AG68&lt;&gt;"-"),"On medication. ","")&amp;IF(Q68&lt;&gt;"",IF(OR(Q68="None",Q68="None known"),"","Allergy: "&amp;Q68),"")))</f>
        <v>0</v>
      </c>
    </row>
    <row r="69" spans="1:46">
      <c r="A69" s="46">
        <f>IF(B69="","",PetPrefix&amp;TEXT(ROW()-4,"0000"))</f>
        <v>0</v>
      </c>
      <c r="D69" s="28">
        <f>IF(B69="","",B69&amp;" ("&amp;C69&amp;")")</f>
        <v>0</v>
      </c>
      <c r="E69" s="28">
        <f>IF(C69="","",IFERROR(INDEX(Clients!$A$5:$A$254,MATCH(C69,Clients!$B$5:$B$254,0)),""))</f>
        <v>0</v>
      </c>
      <c r="I69" s="32">
        <f>IF(H69="","",ROUND(YEARFRAC(H69,TODAY()),1))</f>
        <v>0</v>
      </c>
      <c r="Y69" s="49">
        <f>IF(X69="","",IF(X69&lt;TODAY(),"Expired",IF(X69-TODAY()&lt;=VaccAlertDays,"Due in "&amp;TEXT(X69-TODAY(),"0")&amp;" days","Valid")))</f>
        <v>0</v>
      </c>
      <c r="AQ69" s="31">
        <f>IF(D69="","",COUNTIFS('Visit Log'!$E$5:$E$404,D69,'Visit Log'!$AE$5:$AE$404,"Completed"))</f>
        <v>0</v>
      </c>
      <c r="AR69" s="21">
        <f>IF(D69="","",IF(SUMPRODUCT(MAX(('Visit Log'!$E$5:$E$404=D69)*('Visit Log'!$AE$5:$AE$404="Completed")*'Visit Log'!$C$5:$C$404))=0,"",SUMPRODUCT(MAX(('Visit Log'!$E$5:$E$404=D69)*('Visit Log'!$AE$5:$AE$404="Completed")*'Visit Log'!$C$5:$C$404))))</f>
        <v>0</v>
      </c>
      <c r="AS69" s="31">
        <f>IF(D69="","",COUNTIFS('Health Log'!$D$5:$D$204,D69))</f>
        <v>0</v>
      </c>
      <c r="AT69" s="49">
        <f>IF(B69="","",TRIM(IF(Y69="Expired","VACCINATION EXPIRED. ",IF(LEFT(Y69,6)="Due in","Vaccination due. ",""))&amp;IF(AND(AN69&lt;&gt;"",AN69&lt;&gt;"None"),AN69&amp;". ","")&amp;IF(AND(AG69&lt;&gt;"",AG69&lt;&gt;"None",AG69&lt;&gt;"-"),"On medication. ","")&amp;IF(Q69&lt;&gt;"",IF(OR(Q69="None",Q69="None known"),"","Allergy: "&amp;Q69),"")))</f>
        <v>0</v>
      </c>
    </row>
    <row r="70" spans="1:46">
      <c r="A70" s="46">
        <f>IF(B70="","",PetPrefix&amp;TEXT(ROW()-4,"0000"))</f>
        <v>0</v>
      </c>
      <c r="D70" s="28">
        <f>IF(B70="","",B70&amp;" ("&amp;C70&amp;")")</f>
        <v>0</v>
      </c>
      <c r="E70" s="28">
        <f>IF(C70="","",IFERROR(INDEX(Clients!$A$5:$A$254,MATCH(C70,Clients!$B$5:$B$254,0)),""))</f>
        <v>0</v>
      </c>
      <c r="I70" s="32">
        <f>IF(H70="","",ROUND(YEARFRAC(H70,TODAY()),1))</f>
        <v>0</v>
      </c>
      <c r="Y70" s="49">
        <f>IF(X70="","",IF(X70&lt;TODAY(),"Expired",IF(X70-TODAY()&lt;=VaccAlertDays,"Due in "&amp;TEXT(X70-TODAY(),"0")&amp;" days","Valid")))</f>
        <v>0</v>
      </c>
      <c r="AQ70" s="31">
        <f>IF(D70="","",COUNTIFS('Visit Log'!$E$5:$E$404,D70,'Visit Log'!$AE$5:$AE$404,"Completed"))</f>
        <v>0</v>
      </c>
      <c r="AR70" s="21">
        <f>IF(D70="","",IF(SUMPRODUCT(MAX(('Visit Log'!$E$5:$E$404=D70)*('Visit Log'!$AE$5:$AE$404="Completed")*'Visit Log'!$C$5:$C$404))=0,"",SUMPRODUCT(MAX(('Visit Log'!$E$5:$E$404=D70)*('Visit Log'!$AE$5:$AE$404="Completed")*'Visit Log'!$C$5:$C$404))))</f>
        <v>0</v>
      </c>
      <c r="AS70" s="31">
        <f>IF(D70="","",COUNTIFS('Health Log'!$D$5:$D$204,D70))</f>
        <v>0</v>
      </c>
      <c r="AT70" s="49">
        <f>IF(B70="","",TRIM(IF(Y70="Expired","VACCINATION EXPIRED. ",IF(LEFT(Y70,6)="Due in","Vaccination due. ",""))&amp;IF(AND(AN70&lt;&gt;"",AN70&lt;&gt;"None"),AN70&amp;". ","")&amp;IF(AND(AG70&lt;&gt;"",AG70&lt;&gt;"None",AG70&lt;&gt;"-"),"On medication. ","")&amp;IF(Q70&lt;&gt;"",IF(OR(Q70="None",Q70="None known"),"","Allergy: "&amp;Q70),"")))</f>
        <v>0</v>
      </c>
    </row>
    <row r="71" spans="1:46">
      <c r="A71" s="46">
        <f>IF(B71="","",PetPrefix&amp;TEXT(ROW()-4,"0000"))</f>
        <v>0</v>
      </c>
      <c r="D71" s="28">
        <f>IF(B71="","",B71&amp;" ("&amp;C71&amp;")")</f>
        <v>0</v>
      </c>
      <c r="E71" s="28">
        <f>IF(C71="","",IFERROR(INDEX(Clients!$A$5:$A$254,MATCH(C71,Clients!$B$5:$B$254,0)),""))</f>
        <v>0</v>
      </c>
      <c r="I71" s="32">
        <f>IF(H71="","",ROUND(YEARFRAC(H71,TODAY()),1))</f>
        <v>0</v>
      </c>
      <c r="Y71" s="49">
        <f>IF(X71="","",IF(X71&lt;TODAY(),"Expired",IF(X71-TODAY()&lt;=VaccAlertDays,"Due in "&amp;TEXT(X71-TODAY(),"0")&amp;" days","Valid")))</f>
        <v>0</v>
      </c>
      <c r="AQ71" s="31">
        <f>IF(D71="","",COUNTIFS('Visit Log'!$E$5:$E$404,D71,'Visit Log'!$AE$5:$AE$404,"Completed"))</f>
        <v>0</v>
      </c>
      <c r="AR71" s="21">
        <f>IF(D71="","",IF(SUMPRODUCT(MAX(('Visit Log'!$E$5:$E$404=D71)*('Visit Log'!$AE$5:$AE$404="Completed")*'Visit Log'!$C$5:$C$404))=0,"",SUMPRODUCT(MAX(('Visit Log'!$E$5:$E$404=D71)*('Visit Log'!$AE$5:$AE$404="Completed")*'Visit Log'!$C$5:$C$404))))</f>
        <v>0</v>
      </c>
      <c r="AS71" s="31">
        <f>IF(D71="","",COUNTIFS('Health Log'!$D$5:$D$204,D71))</f>
        <v>0</v>
      </c>
      <c r="AT71" s="49">
        <f>IF(B71="","",TRIM(IF(Y71="Expired","VACCINATION EXPIRED. ",IF(LEFT(Y71,6)="Due in","Vaccination due. ",""))&amp;IF(AND(AN71&lt;&gt;"",AN71&lt;&gt;"None"),AN71&amp;". ","")&amp;IF(AND(AG71&lt;&gt;"",AG71&lt;&gt;"None",AG71&lt;&gt;"-"),"On medication. ","")&amp;IF(Q71&lt;&gt;"",IF(OR(Q71="None",Q71="None known"),"","Allergy: "&amp;Q71),"")))</f>
        <v>0</v>
      </c>
    </row>
    <row r="72" spans="1:46">
      <c r="A72" s="46">
        <f>IF(B72="","",PetPrefix&amp;TEXT(ROW()-4,"0000"))</f>
        <v>0</v>
      </c>
      <c r="D72" s="28">
        <f>IF(B72="","",B72&amp;" ("&amp;C72&amp;")")</f>
        <v>0</v>
      </c>
      <c r="E72" s="28">
        <f>IF(C72="","",IFERROR(INDEX(Clients!$A$5:$A$254,MATCH(C72,Clients!$B$5:$B$254,0)),""))</f>
        <v>0</v>
      </c>
      <c r="I72" s="32">
        <f>IF(H72="","",ROUND(YEARFRAC(H72,TODAY()),1))</f>
        <v>0</v>
      </c>
      <c r="Y72" s="49">
        <f>IF(X72="","",IF(X72&lt;TODAY(),"Expired",IF(X72-TODAY()&lt;=VaccAlertDays,"Due in "&amp;TEXT(X72-TODAY(),"0")&amp;" days","Valid")))</f>
        <v>0</v>
      </c>
      <c r="AQ72" s="31">
        <f>IF(D72="","",COUNTIFS('Visit Log'!$E$5:$E$404,D72,'Visit Log'!$AE$5:$AE$404,"Completed"))</f>
        <v>0</v>
      </c>
      <c r="AR72" s="21">
        <f>IF(D72="","",IF(SUMPRODUCT(MAX(('Visit Log'!$E$5:$E$404=D72)*('Visit Log'!$AE$5:$AE$404="Completed")*'Visit Log'!$C$5:$C$404))=0,"",SUMPRODUCT(MAX(('Visit Log'!$E$5:$E$404=D72)*('Visit Log'!$AE$5:$AE$404="Completed")*'Visit Log'!$C$5:$C$404))))</f>
        <v>0</v>
      </c>
      <c r="AS72" s="31">
        <f>IF(D72="","",COUNTIFS('Health Log'!$D$5:$D$204,D72))</f>
        <v>0</v>
      </c>
      <c r="AT72" s="49">
        <f>IF(B72="","",TRIM(IF(Y72="Expired","VACCINATION EXPIRED. ",IF(LEFT(Y72,6)="Due in","Vaccination due. ",""))&amp;IF(AND(AN72&lt;&gt;"",AN72&lt;&gt;"None"),AN72&amp;". ","")&amp;IF(AND(AG72&lt;&gt;"",AG72&lt;&gt;"None",AG72&lt;&gt;"-"),"On medication. ","")&amp;IF(Q72&lt;&gt;"",IF(OR(Q72="None",Q72="None known"),"","Allergy: "&amp;Q72),"")))</f>
        <v>0</v>
      </c>
    </row>
    <row r="73" spans="1:46">
      <c r="A73" s="46">
        <f>IF(B73="","",PetPrefix&amp;TEXT(ROW()-4,"0000"))</f>
        <v>0</v>
      </c>
      <c r="D73" s="28">
        <f>IF(B73="","",B73&amp;" ("&amp;C73&amp;")")</f>
        <v>0</v>
      </c>
      <c r="E73" s="28">
        <f>IF(C73="","",IFERROR(INDEX(Clients!$A$5:$A$254,MATCH(C73,Clients!$B$5:$B$254,0)),""))</f>
        <v>0</v>
      </c>
      <c r="I73" s="32">
        <f>IF(H73="","",ROUND(YEARFRAC(H73,TODAY()),1))</f>
        <v>0</v>
      </c>
      <c r="Y73" s="49">
        <f>IF(X73="","",IF(X73&lt;TODAY(),"Expired",IF(X73-TODAY()&lt;=VaccAlertDays,"Due in "&amp;TEXT(X73-TODAY(),"0")&amp;" days","Valid")))</f>
        <v>0</v>
      </c>
      <c r="AQ73" s="31">
        <f>IF(D73="","",COUNTIFS('Visit Log'!$E$5:$E$404,D73,'Visit Log'!$AE$5:$AE$404,"Completed"))</f>
        <v>0</v>
      </c>
      <c r="AR73" s="21">
        <f>IF(D73="","",IF(SUMPRODUCT(MAX(('Visit Log'!$E$5:$E$404=D73)*('Visit Log'!$AE$5:$AE$404="Completed")*'Visit Log'!$C$5:$C$404))=0,"",SUMPRODUCT(MAX(('Visit Log'!$E$5:$E$404=D73)*('Visit Log'!$AE$5:$AE$404="Completed")*'Visit Log'!$C$5:$C$404))))</f>
        <v>0</v>
      </c>
      <c r="AS73" s="31">
        <f>IF(D73="","",COUNTIFS('Health Log'!$D$5:$D$204,D73))</f>
        <v>0</v>
      </c>
      <c r="AT73" s="49">
        <f>IF(B73="","",TRIM(IF(Y73="Expired","VACCINATION EXPIRED. ",IF(LEFT(Y73,6)="Due in","Vaccination due. ",""))&amp;IF(AND(AN73&lt;&gt;"",AN73&lt;&gt;"None"),AN73&amp;". ","")&amp;IF(AND(AG73&lt;&gt;"",AG73&lt;&gt;"None",AG73&lt;&gt;"-"),"On medication. ","")&amp;IF(Q73&lt;&gt;"",IF(OR(Q73="None",Q73="None known"),"","Allergy: "&amp;Q73),"")))</f>
        <v>0</v>
      </c>
    </row>
    <row r="74" spans="1:46">
      <c r="A74" s="46">
        <f>IF(B74="","",PetPrefix&amp;TEXT(ROW()-4,"0000"))</f>
        <v>0</v>
      </c>
      <c r="D74" s="28">
        <f>IF(B74="","",B74&amp;" ("&amp;C74&amp;")")</f>
        <v>0</v>
      </c>
      <c r="E74" s="28">
        <f>IF(C74="","",IFERROR(INDEX(Clients!$A$5:$A$254,MATCH(C74,Clients!$B$5:$B$254,0)),""))</f>
        <v>0</v>
      </c>
      <c r="I74" s="32">
        <f>IF(H74="","",ROUND(YEARFRAC(H74,TODAY()),1))</f>
        <v>0</v>
      </c>
      <c r="Y74" s="49">
        <f>IF(X74="","",IF(X74&lt;TODAY(),"Expired",IF(X74-TODAY()&lt;=VaccAlertDays,"Due in "&amp;TEXT(X74-TODAY(),"0")&amp;" days","Valid")))</f>
        <v>0</v>
      </c>
      <c r="AQ74" s="31">
        <f>IF(D74="","",COUNTIFS('Visit Log'!$E$5:$E$404,D74,'Visit Log'!$AE$5:$AE$404,"Completed"))</f>
        <v>0</v>
      </c>
      <c r="AR74" s="21">
        <f>IF(D74="","",IF(SUMPRODUCT(MAX(('Visit Log'!$E$5:$E$404=D74)*('Visit Log'!$AE$5:$AE$404="Completed")*'Visit Log'!$C$5:$C$404))=0,"",SUMPRODUCT(MAX(('Visit Log'!$E$5:$E$404=D74)*('Visit Log'!$AE$5:$AE$404="Completed")*'Visit Log'!$C$5:$C$404))))</f>
        <v>0</v>
      </c>
      <c r="AS74" s="31">
        <f>IF(D74="","",COUNTIFS('Health Log'!$D$5:$D$204,D74))</f>
        <v>0</v>
      </c>
      <c r="AT74" s="49">
        <f>IF(B74="","",TRIM(IF(Y74="Expired","VACCINATION EXPIRED. ",IF(LEFT(Y74,6)="Due in","Vaccination due. ",""))&amp;IF(AND(AN74&lt;&gt;"",AN74&lt;&gt;"None"),AN74&amp;". ","")&amp;IF(AND(AG74&lt;&gt;"",AG74&lt;&gt;"None",AG74&lt;&gt;"-"),"On medication. ","")&amp;IF(Q74&lt;&gt;"",IF(OR(Q74="None",Q74="None known"),"","Allergy: "&amp;Q74),"")))</f>
        <v>0</v>
      </c>
    </row>
    <row r="75" spans="1:46">
      <c r="A75" s="46">
        <f>IF(B75="","",PetPrefix&amp;TEXT(ROW()-4,"0000"))</f>
        <v>0</v>
      </c>
      <c r="D75" s="28">
        <f>IF(B75="","",B75&amp;" ("&amp;C75&amp;")")</f>
        <v>0</v>
      </c>
      <c r="E75" s="28">
        <f>IF(C75="","",IFERROR(INDEX(Clients!$A$5:$A$254,MATCH(C75,Clients!$B$5:$B$254,0)),""))</f>
        <v>0</v>
      </c>
      <c r="I75" s="32">
        <f>IF(H75="","",ROUND(YEARFRAC(H75,TODAY()),1))</f>
        <v>0</v>
      </c>
      <c r="Y75" s="49">
        <f>IF(X75="","",IF(X75&lt;TODAY(),"Expired",IF(X75-TODAY()&lt;=VaccAlertDays,"Due in "&amp;TEXT(X75-TODAY(),"0")&amp;" days","Valid")))</f>
        <v>0</v>
      </c>
      <c r="AQ75" s="31">
        <f>IF(D75="","",COUNTIFS('Visit Log'!$E$5:$E$404,D75,'Visit Log'!$AE$5:$AE$404,"Completed"))</f>
        <v>0</v>
      </c>
      <c r="AR75" s="21">
        <f>IF(D75="","",IF(SUMPRODUCT(MAX(('Visit Log'!$E$5:$E$404=D75)*('Visit Log'!$AE$5:$AE$404="Completed")*'Visit Log'!$C$5:$C$404))=0,"",SUMPRODUCT(MAX(('Visit Log'!$E$5:$E$404=D75)*('Visit Log'!$AE$5:$AE$404="Completed")*'Visit Log'!$C$5:$C$404))))</f>
        <v>0</v>
      </c>
      <c r="AS75" s="31">
        <f>IF(D75="","",COUNTIFS('Health Log'!$D$5:$D$204,D75))</f>
        <v>0</v>
      </c>
      <c r="AT75" s="49">
        <f>IF(B75="","",TRIM(IF(Y75="Expired","VACCINATION EXPIRED. ",IF(LEFT(Y75,6)="Due in","Vaccination due. ",""))&amp;IF(AND(AN75&lt;&gt;"",AN75&lt;&gt;"None"),AN75&amp;". ","")&amp;IF(AND(AG75&lt;&gt;"",AG75&lt;&gt;"None",AG75&lt;&gt;"-"),"On medication. ","")&amp;IF(Q75&lt;&gt;"",IF(OR(Q75="None",Q75="None known"),"","Allergy: "&amp;Q75),"")))</f>
        <v>0</v>
      </c>
    </row>
    <row r="76" spans="1:46">
      <c r="A76" s="46">
        <f>IF(B76="","",PetPrefix&amp;TEXT(ROW()-4,"0000"))</f>
        <v>0</v>
      </c>
      <c r="D76" s="28">
        <f>IF(B76="","",B76&amp;" ("&amp;C76&amp;")")</f>
        <v>0</v>
      </c>
      <c r="E76" s="28">
        <f>IF(C76="","",IFERROR(INDEX(Clients!$A$5:$A$254,MATCH(C76,Clients!$B$5:$B$254,0)),""))</f>
        <v>0</v>
      </c>
      <c r="I76" s="32">
        <f>IF(H76="","",ROUND(YEARFRAC(H76,TODAY()),1))</f>
        <v>0</v>
      </c>
      <c r="Y76" s="49">
        <f>IF(X76="","",IF(X76&lt;TODAY(),"Expired",IF(X76-TODAY()&lt;=VaccAlertDays,"Due in "&amp;TEXT(X76-TODAY(),"0")&amp;" days","Valid")))</f>
        <v>0</v>
      </c>
      <c r="AQ76" s="31">
        <f>IF(D76="","",COUNTIFS('Visit Log'!$E$5:$E$404,D76,'Visit Log'!$AE$5:$AE$404,"Completed"))</f>
        <v>0</v>
      </c>
      <c r="AR76" s="21">
        <f>IF(D76="","",IF(SUMPRODUCT(MAX(('Visit Log'!$E$5:$E$404=D76)*('Visit Log'!$AE$5:$AE$404="Completed")*'Visit Log'!$C$5:$C$404))=0,"",SUMPRODUCT(MAX(('Visit Log'!$E$5:$E$404=D76)*('Visit Log'!$AE$5:$AE$404="Completed")*'Visit Log'!$C$5:$C$404))))</f>
        <v>0</v>
      </c>
      <c r="AS76" s="31">
        <f>IF(D76="","",COUNTIFS('Health Log'!$D$5:$D$204,D76))</f>
        <v>0</v>
      </c>
      <c r="AT76" s="49">
        <f>IF(B76="","",TRIM(IF(Y76="Expired","VACCINATION EXPIRED. ",IF(LEFT(Y76,6)="Due in","Vaccination due. ",""))&amp;IF(AND(AN76&lt;&gt;"",AN76&lt;&gt;"None"),AN76&amp;". ","")&amp;IF(AND(AG76&lt;&gt;"",AG76&lt;&gt;"None",AG76&lt;&gt;"-"),"On medication. ","")&amp;IF(Q76&lt;&gt;"",IF(OR(Q76="None",Q76="None known"),"","Allergy: "&amp;Q76),"")))</f>
        <v>0</v>
      </c>
    </row>
    <row r="77" spans="1:46">
      <c r="A77" s="46">
        <f>IF(B77="","",PetPrefix&amp;TEXT(ROW()-4,"0000"))</f>
        <v>0</v>
      </c>
      <c r="D77" s="28">
        <f>IF(B77="","",B77&amp;" ("&amp;C77&amp;")")</f>
        <v>0</v>
      </c>
      <c r="E77" s="28">
        <f>IF(C77="","",IFERROR(INDEX(Clients!$A$5:$A$254,MATCH(C77,Clients!$B$5:$B$254,0)),""))</f>
        <v>0</v>
      </c>
      <c r="I77" s="32">
        <f>IF(H77="","",ROUND(YEARFRAC(H77,TODAY()),1))</f>
        <v>0</v>
      </c>
      <c r="Y77" s="49">
        <f>IF(X77="","",IF(X77&lt;TODAY(),"Expired",IF(X77-TODAY()&lt;=VaccAlertDays,"Due in "&amp;TEXT(X77-TODAY(),"0")&amp;" days","Valid")))</f>
        <v>0</v>
      </c>
      <c r="AQ77" s="31">
        <f>IF(D77="","",COUNTIFS('Visit Log'!$E$5:$E$404,D77,'Visit Log'!$AE$5:$AE$404,"Completed"))</f>
        <v>0</v>
      </c>
      <c r="AR77" s="21">
        <f>IF(D77="","",IF(SUMPRODUCT(MAX(('Visit Log'!$E$5:$E$404=D77)*('Visit Log'!$AE$5:$AE$404="Completed")*'Visit Log'!$C$5:$C$404))=0,"",SUMPRODUCT(MAX(('Visit Log'!$E$5:$E$404=D77)*('Visit Log'!$AE$5:$AE$404="Completed")*'Visit Log'!$C$5:$C$404))))</f>
        <v>0</v>
      </c>
      <c r="AS77" s="31">
        <f>IF(D77="","",COUNTIFS('Health Log'!$D$5:$D$204,D77))</f>
        <v>0</v>
      </c>
      <c r="AT77" s="49">
        <f>IF(B77="","",TRIM(IF(Y77="Expired","VACCINATION EXPIRED. ",IF(LEFT(Y77,6)="Due in","Vaccination due. ",""))&amp;IF(AND(AN77&lt;&gt;"",AN77&lt;&gt;"None"),AN77&amp;". ","")&amp;IF(AND(AG77&lt;&gt;"",AG77&lt;&gt;"None",AG77&lt;&gt;"-"),"On medication. ","")&amp;IF(Q77&lt;&gt;"",IF(OR(Q77="None",Q77="None known"),"","Allergy: "&amp;Q77),"")))</f>
        <v>0</v>
      </c>
    </row>
    <row r="78" spans="1:46">
      <c r="A78" s="46">
        <f>IF(B78="","",PetPrefix&amp;TEXT(ROW()-4,"0000"))</f>
        <v>0</v>
      </c>
      <c r="D78" s="28">
        <f>IF(B78="","",B78&amp;" ("&amp;C78&amp;")")</f>
        <v>0</v>
      </c>
      <c r="E78" s="28">
        <f>IF(C78="","",IFERROR(INDEX(Clients!$A$5:$A$254,MATCH(C78,Clients!$B$5:$B$254,0)),""))</f>
        <v>0</v>
      </c>
      <c r="I78" s="32">
        <f>IF(H78="","",ROUND(YEARFRAC(H78,TODAY()),1))</f>
        <v>0</v>
      </c>
      <c r="Y78" s="49">
        <f>IF(X78="","",IF(X78&lt;TODAY(),"Expired",IF(X78-TODAY()&lt;=VaccAlertDays,"Due in "&amp;TEXT(X78-TODAY(),"0")&amp;" days","Valid")))</f>
        <v>0</v>
      </c>
      <c r="AQ78" s="31">
        <f>IF(D78="","",COUNTIFS('Visit Log'!$E$5:$E$404,D78,'Visit Log'!$AE$5:$AE$404,"Completed"))</f>
        <v>0</v>
      </c>
      <c r="AR78" s="21">
        <f>IF(D78="","",IF(SUMPRODUCT(MAX(('Visit Log'!$E$5:$E$404=D78)*('Visit Log'!$AE$5:$AE$404="Completed")*'Visit Log'!$C$5:$C$404))=0,"",SUMPRODUCT(MAX(('Visit Log'!$E$5:$E$404=D78)*('Visit Log'!$AE$5:$AE$404="Completed")*'Visit Log'!$C$5:$C$404))))</f>
        <v>0</v>
      </c>
      <c r="AS78" s="31">
        <f>IF(D78="","",COUNTIFS('Health Log'!$D$5:$D$204,D78))</f>
        <v>0</v>
      </c>
      <c r="AT78" s="49">
        <f>IF(B78="","",TRIM(IF(Y78="Expired","VACCINATION EXPIRED. ",IF(LEFT(Y78,6)="Due in","Vaccination due. ",""))&amp;IF(AND(AN78&lt;&gt;"",AN78&lt;&gt;"None"),AN78&amp;". ","")&amp;IF(AND(AG78&lt;&gt;"",AG78&lt;&gt;"None",AG78&lt;&gt;"-"),"On medication. ","")&amp;IF(Q78&lt;&gt;"",IF(OR(Q78="None",Q78="None known"),"","Allergy: "&amp;Q78),"")))</f>
        <v>0</v>
      </c>
    </row>
    <row r="79" spans="1:46">
      <c r="A79" s="46">
        <f>IF(B79="","",PetPrefix&amp;TEXT(ROW()-4,"0000"))</f>
        <v>0</v>
      </c>
      <c r="D79" s="28">
        <f>IF(B79="","",B79&amp;" ("&amp;C79&amp;")")</f>
        <v>0</v>
      </c>
      <c r="E79" s="28">
        <f>IF(C79="","",IFERROR(INDEX(Clients!$A$5:$A$254,MATCH(C79,Clients!$B$5:$B$254,0)),""))</f>
        <v>0</v>
      </c>
      <c r="I79" s="32">
        <f>IF(H79="","",ROUND(YEARFRAC(H79,TODAY()),1))</f>
        <v>0</v>
      </c>
      <c r="Y79" s="49">
        <f>IF(X79="","",IF(X79&lt;TODAY(),"Expired",IF(X79-TODAY()&lt;=VaccAlertDays,"Due in "&amp;TEXT(X79-TODAY(),"0")&amp;" days","Valid")))</f>
        <v>0</v>
      </c>
      <c r="AQ79" s="31">
        <f>IF(D79="","",COUNTIFS('Visit Log'!$E$5:$E$404,D79,'Visit Log'!$AE$5:$AE$404,"Completed"))</f>
        <v>0</v>
      </c>
      <c r="AR79" s="21">
        <f>IF(D79="","",IF(SUMPRODUCT(MAX(('Visit Log'!$E$5:$E$404=D79)*('Visit Log'!$AE$5:$AE$404="Completed")*'Visit Log'!$C$5:$C$404))=0,"",SUMPRODUCT(MAX(('Visit Log'!$E$5:$E$404=D79)*('Visit Log'!$AE$5:$AE$404="Completed")*'Visit Log'!$C$5:$C$404))))</f>
        <v>0</v>
      </c>
      <c r="AS79" s="31">
        <f>IF(D79="","",COUNTIFS('Health Log'!$D$5:$D$204,D79))</f>
        <v>0</v>
      </c>
      <c r="AT79" s="49">
        <f>IF(B79="","",TRIM(IF(Y79="Expired","VACCINATION EXPIRED. ",IF(LEFT(Y79,6)="Due in","Vaccination due. ",""))&amp;IF(AND(AN79&lt;&gt;"",AN79&lt;&gt;"None"),AN79&amp;". ","")&amp;IF(AND(AG79&lt;&gt;"",AG79&lt;&gt;"None",AG79&lt;&gt;"-"),"On medication. ","")&amp;IF(Q79&lt;&gt;"",IF(OR(Q79="None",Q79="None known"),"","Allergy: "&amp;Q79),"")))</f>
        <v>0</v>
      </c>
    </row>
    <row r="80" spans="1:46">
      <c r="A80" s="46">
        <f>IF(B80="","",PetPrefix&amp;TEXT(ROW()-4,"0000"))</f>
        <v>0</v>
      </c>
      <c r="D80" s="28">
        <f>IF(B80="","",B80&amp;" ("&amp;C80&amp;")")</f>
        <v>0</v>
      </c>
      <c r="E80" s="28">
        <f>IF(C80="","",IFERROR(INDEX(Clients!$A$5:$A$254,MATCH(C80,Clients!$B$5:$B$254,0)),""))</f>
        <v>0</v>
      </c>
      <c r="I80" s="32">
        <f>IF(H80="","",ROUND(YEARFRAC(H80,TODAY()),1))</f>
        <v>0</v>
      </c>
      <c r="Y80" s="49">
        <f>IF(X80="","",IF(X80&lt;TODAY(),"Expired",IF(X80-TODAY()&lt;=VaccAlertDays,"Due in "&amp;TEXT(X80-TODAY(),"0")&amp;" days","Valid")))</f>
        <v>0</v>
      </c>
      <c r="AQ80" s="31">
        <f>IF(D80="","",COUNTIFS('Visit Log'!$E$5:$E$404,D80,'Visit Log'!$AE$5:$AE$404,"Completed"))</f>
        <v>0</v>
      </c>
      <c r="AR80" s="21">
        <f>IF(D80="","",IF(SUMPRODUCT(MAX(('Visit Log'!$E$5:$E$404=D80)*('Visit Log'!$AE$5:$AE$404="Completed")*'Visit Log'!$C$5:$C$404))=0,"",SUMPRODUCT(MAX(('Visit Log'!$E$5:$E$404=D80)*('Visit Log'!$AE$5:$AE$404="Completed")*'Visit Log'!$C$5:$C$404))))</f>
        <v>0</v>
      </c>
      <c r="AS80" s="31">
        <f>IF(D80="","",COUNTIFS('Health Log'!$D$5:$D$204,D80))</f>
        <v>0</v>
      </c>
      <c r="AT80" s="49">
        <f>IF(B80="","",TRIM(IF(Y80="Expired","VACCINATION EXPIRED. ",IF(LEFT(Y80,6)="Due in","Vaccination due. ",""))&amp;IF(AND(AN80&lt;&gt;"",AN80&lt;&gt;"None"),AN80&amp;". ","")&amp;IF(AND(AG80&lt;&gt;"",AG80&lt;&gt;"None",AG80&lt;&gt;"-"),"On medication. ","")&amp;IF(Q80&lt;&gt;"",IF(OR(Q80="None",Q80="None known"),"","Allergy: "&amp;Q80),"")))</f>
        <v>0</v>
      </c>
    </row>
    <row r="81" spans="1:46">
      <c r="A81" s="46">
        <f>IF(B81="","",PetPrefix&amp;TEXT(ROW()-4,"0000"))</f>
        <v>0</v>
      </c>
      <c r="D81" s="28">
        <f>IF(B81="","",B81&amp;" ("&amp;C81&amp;")")</f>
        <v>0</v>
      </c>
      <c r="E81" s="28">
        <f>IF(C81="","",IFERROR(INDEX(Clients!$A$5:$A$254,MATCH(C81,Clients!$B$5:$B$254,0)),""))</f>
        <v>0</v>
      </c>
      <c r="I81" s="32">
        <f>IF(H81="","",ROUND(YEARFRAC(H81,TODAY()),1))</f>
        <v>0</v>
      </c>
      <c r="Y81" s="49">
        <f>IF(X81="","",IF(X81&lt;TODAY(),"Expired",IF(X81-TODAY()&lt;=VaccAlertDays,"Due in "&amp;TEXT(X81-TODAY(),"0")&amp;" days","Valid")))</f>
        <v>0</v>
      </c>
      <c r="AQ81" s="31">
        <f>IF(D81="","",COUNTIFS('Visit Log'!$E$5:$E$404,D81,'Visit Log'!$AE$5:$AE$404,"Completed"))</f>
        <v>0</v>
      </c>
      <c r="AR81" s="21">
        <f>IF(D81="","",IF(SUMPRODUCT(MAX(('Visit Log'!$E$5:$E$404=D81)*('Visit Log'!$AE$5:$AE$404="Completed")*'Visit Log'!$C$5:$C$404))=0,"",SUMPRODUCT(MAX(('Visit Log'!$E$5:$E$404=D81)*('Visit Log'!$AE$5:$AE$404="Completed")*'Visit Log'!$C$5:$C$404))))</f>
        <v>0</v>
      </c>
      <c r="AS81" s="31">
        <f>IF(D81="","",COUNTIFS('Health Log'!$D$5:$D$204,D81))</f>
        <v>0</v>
      </c>
      <c r="AT81" s="49">
        <f>IF(B81="","",TRIM(IF(Y81="Expired","VACCINATION EXPIRED. ",IF(LEFT(Y81,6)="Due in","Vaccination due. ",""))&amp;IF(AND(AN81&lt;&gt;"",AN81&lt;&gt;"None"),AN81&amp;". ","")&amp;IF(AND(AG81&lt;&gt;"",AG81&lt;&gt;"None",AG81&lt;&gt;"-"),"On medication. ","")&amp;IF(Q81&lt;&gt;"",IF(OR(Q81="None",Q81="None known"),"","Allergy: "&amp;Q81),"")))</f>
        <v>0</v>
      </c>
    </row>
    <row r="82" spans="1:46">
      <c r="A82" s="46">
        <f>IF(B82="","",PetPrefix&amp;TEXT(ROW()-4,"0000"))</f>
        <v>0</v>
      </c>
      <c r="D82" s="28">
        <f>IF(B82="","",B82&amp;" ("&amp;C82&amp;")")</f>
        <v>0</v>
      </c>
      <c r="E82" s="28">
        <f>IF(C82="","",IFERROR(INDEX(Clients!$A$5:$A$254,MATCH(C82,Clients!$B$5:$B$254,0)),""))</f>
        <v>0</v>
      </c>
      <c r="I82" s="32">
        <f>IF(H82="","",ROUND(YEARFRAC(H82,TODAY()),1))</f>
        <v>0</v>
      </c>
      <c r="Y82" s="49">
        <f>IF(X82="","",IF(X82&lt;TODAY(),"Expired",IF(X82-TODAY()&lt;=VaccAlertDays,"Due in "&amp;TEXT(X82-TODAY(),"0")&amp;" days","Valid")))</f>
        <v>0</v>
      </c>
      <c r="AQ82" s="31">
        <f>IF(D82="","",COUNTIFS('Visit Log'!$E$5:$E$404,D82,'Visit Log'!$AE$5:$AE$404,"Completed"))</f>
        <v>0</v>
      </c>
      <c r="AR82" s="21">
        <f>IF(D82="","",IF(SUMPRODUCT(MAX(('Visit Log'!$E$5:$E$404=D82)*('Visit Log'!$AE$5:$AE$404="Completed")*'Visit Log'!$C$5:$C$404))=0,"",SUMPRODUCT(MAX(('Visit Log'!$E$5:$E$404=D82)*('Visit Log'!$AE$5:$AE$404="Completed")*'Visit Log'!$C$5:$C$404))))</f>
        <v>0</v>
      </c>
      <c r="AS82" s="31">
        <f>IF(D82="","",COUNTIFS('Health Log'!$D$5:$D$204,D82))</f>
        <v>0</v>
      </c>
      <c r="AT82" s="49">
        <f>IF(B82="","",TRIM(IF(Y82="Expired","VACCINATION EXPIRED. ",IF(LEFT(Y82,6)="Due in","Vaccination due. ",""))&amp;IF(AND(AN82&lt;&gt;"",AN82&lt;&gt;"None"),AN82&amp;". ","")&amp;IF(AND(AG82&lt;&gt;"",AG82&lt;&gt;"None",AG82&lt;&gt;"-"),"On medication. ","")&amp;IF(Q82&lt;&gt;"",IF(OR(Q82="None",Q82="None known"),"","Allergy: "&amp;Q82),"")))</f>
        <v>0</v>
      </c>
    </row>
    <row r="83" spans="1:46">
      <c r="A83" s="46">
        <f>IF(B83="","",PetPrefix&amp;TEXT(ROW()-4,"0000"))</f>
        <v>0</v>
      </c>
      <c r="D83" s="28">
        <f>IF(B83="","",B83&amp;" ("&amp;C83&amp;")")</f>
        <v>0</v>
      </c>
      <c r="E83" s="28">
        <f>IF(C83="","",IFERROR(INDEX(Clients!$A$5:$A$254,MATCH(C83,Clients!$B$5:$B$254,0)),""))</f>
        <v>0</v>
      </c>
      <c r="I83" s="32">
        <f>IF(H83="","",ROUND(YEARFRAC(H83,TODAY()),1))</f>
        <v>0</v>
      </c>
      <c r="Y83" s="49">
        <f>IF(X83="","",IF(X83&lt;TODAY(),"Expired",IF(X83-TODAY()&lt;=VaccAlertDays,"Due in "&amp;TEXT(X83-TODAY(),"0")&amp;" days","Valid")))</f>
        <v>0</v>
      </c>
      <c r="AQ83" s="31">
        <f>IF(D83="","",COUNTIFS('Visit Log'!$E$5:$E$404,D83,'Visit Log'!$AE$5:$AE$404,"Completed"))</f>
        <v>0</v>
      </c>
      <c r="AR83" s="21">
        <f>IF(D83="","",IF(SUMPRODUCT(MAX(('Visit Log'!$E$5:$E$404=D83)*('Visit Log'!$AE$5:$AE$404="Completed")*'Visit Log'!$C$5:$C$404))=0,"",SUMPRODUCT(MAX(('Visit Log'!$E$5:$E$404=D83)*('Visit Log'!$AE$5:$AE$404="Completed")*'Visit Log'!$C$5:$C$404))))</f>
        <v>0</v>
      </c>
      <c r="AS83" s="31">
        <f>IF(D83="","",COUNTIFS('Health Log'!$D$5:$D$204,D83))</f>
        <v>0</v>
      </c>
      <c r="AT83" s="49">
        <f>IF(B83="","",TRIM(IF(Y83="Expired","VACCINATION EXPIRED. ",IF(LEFT(Y83,6)="Due in","Vaccination due. ",""))&amp;IF(AND(AN83&lt;&gt;"",AN83&lt;&gt;"None"),AN83&amp;". ","")&amp;IF(AND(AG83&lt;&gt;"",AG83&lt;&gt;"None",AG83&lt;&gt;"-"),"On medication. ","")&amp;IF(Q83&lt;&gt;"",IF(OR(Q83="None",Q83="None known"),"","Allergy: "&amp;Q83),"")))</f>
        <v>0</v>
      </c>
    </row>
    <row r="84" spans="1:46">
      <c r="A84" s="46">
        <f>IF(B84="","",PetPrefix&amp;TEXT(ROW()-4,"0000"))</f>
        <v>0</v>
      </c>
      <c r="D84" s="28">
        <f>IF(B84="","",B84&amp;" ("&amp;C84&amp;")")</f>
        <v>0</v>
      </c>
      <c r="E84" s="28">
        <f>IF(C84="","",IFERROR(INDEX(Clients!$A$5:$A$254,MATCH(C84,Clients!$B$5:$B$254,0)),""))</f>
        <v>0</v>
      </c>
      <c r="I84" s="32">
        <f>IF(H84="","",ROUND(YEARFRAC(H84,TODAY()),1))</f>
        <v>0</v>
      </c>
      <c r="Y84" s="49">
        <f>IF(X84="","",IF(X84&lt;TODAY(),"Expired",IF(X84-TODAY()&lt;=VaccAlertDays,"Due in "&amp;TEXT(X84-TODAY(),"0")&amp;" days","Valid")))</f>
        <v>0</v>
      </c>
      <c r="AQ84" s="31">
        <f>IF(D84="","",COUNTIFS('Visit Log'!$E$5:$E$404,D84,'Visit Log'!$AE$5:$AE$404,"Completed"))</f>
        <v>0</v>
      </c>
      <c r="AR84" s="21">
        <f>IF(D84="","",IF(SUMPRODUCT(MAX(('Visit Log'!$E$5:$E$404=D84)*('Visit Log'!$AE$5:$AE$404="Completed")*'Visit Log'!$C$5:$C$404))=0,"",SUMPRODUCT(MAX(('Visit Log'!$E$5:$E$404=D84)*('Visit Log'!$AE$5:$AE$404="Completed")*'Visit Log'!$C$5:$C$404))))</f>
        <v>0</v>
      </c>
      <c r="AS84" s="31">
        <f>IF(D84="","",COUNTIFS('Health Log'!$D$5:$D$204,D84))</f>
        <v>0</v>
      </c>
      <c r="AT84" s="49">
        <f>IF(B84="","",TRIM(IF(Y84="Expired","VACCINATION EXPIRED. ",IF(LEFT(Y84,6)="Due in","Vaccination due. ",""))&amp;IF(AND(AN84&lt;&gt;"",AN84&lt;&gt;"None"),AN84&amp;". ","")&amp;IF(AND(AG84&lt;&gt;"",AG84&lt;&gt;"None",AG84&lt;&gt;"-"),"On medication. ","")&amp;IF(Q84&lt;&gt;"",IF(OR(Q84="None",Q84="None known"),"","Allergy: "&amp;Q84),"")))</f>
        <v>0</v>
      </c>
    </row>
    <row r="85" spans="1:46">
      <c r="A85" s="46">
        <f>IF(B85="","",PetPrefix&amp;TEXT(ROW()-4,"0000"))</f>
        <v>0</v>
      </c>
      <c r="D85" s="28">
        <f>IF(B85="","",B85&amp;" ("&amp;C85&amp;")")</f>
        <v>0</v>
      </c>
      <c r="E85" s="28">
        <f>IF(C85="","",IFERROR(INDEX(Clients!$A$5:$A$254,MATCH(C85,Clients!$B$5:$B$254,0)),""))</f>
        <v>0</v>
      </c>
      <c r="I85" s="32">
        <f>IF(H85="","",ROUND(YEARFRAC(H85,TODAY()),1))</f>
        <v>0</v>
      </c>
      <c r="Y85" s="49">
        <f>IF(X85="","",IF(X85&lt;TODAY(),"Expired",IF(X85-TODAY()&lt;=VaccAlertDays,"Due in "&amp;TEXT(X85-TODAY(),"0")&amp;" days","Valid")))</f>
        <v>0</v>
      </c>
      <c r="AQ85" s="31">
        <f>IF(D85="","",COUNTIFS('Visit Log'!$E$5:$E$404,D85,'Visit Log'!$AE$5:$AE$404,"Completed"))</f>
        <v>0</v>
      </c>
      <c r="AR85" s="21">
        <f>IF(D85="","",IF(SUMPRODUCT(MAX(('Visit Log'!$E$5:$E$404=D85)*('Visit Log'!$AE$5:$AE$404="Completed")*'Visit Log'!$C$5:$C$404))=0,"",SUMPRODUCT(MAX(('Visit Log'!$E$5:$E$404=D85)*('Visit Log'!$AE$5:$AE$404="Completed")*'Visit Log'!$C$5:$C$404))))</f>
        <v>0</v>
      </c>
      <c r="AS85" s="31">
        <f>IF(D85="","",COUNTIFS('Health Log'!$D$5:$D$204,D85))</f>
        <v>0</v>
      </c>
      <c r="AT85" s="49">
        <f>IF(B85="","",TRIM(IF(Y85="Expired","VACCINATION EXPIRED. ",IF(LEFT(Y85,6)="Due in","Vaccination due. ",""))&amp;IF(AND(AN85&lt;&gt;"",AN85&lt;&gt;"None"),AN85&amp;". ","")&amp;IF(AND(AG85&lt;&gt;"",AG85&lt;&gt;"None",AG85&lt;&gt;"-"),"On medication. ","")&amp;IF(Q85&lt;&gt;"",IF(OR(Q85="None",Q85="None known"),"","Allergy: "&amp;Q85),"")))</f>
        <v>0</v>
      </c>
    </row>
    <row r="86" spans="1:46">
      <c r="A86" s="46">
        <f>IF(B86="","",PetPrefix&amp;TEXT(ROW()-4,"0000"))</f>
        <v>0</v>
      </c>
      <c r="D86" s="28">
        <f>IF(B86="","",B86&amp;" ("&amp;C86&amp;")")</f>
        <v>0</v>
      </c>
      <c r="E86" s="28">
        <f>IF(C86="","",IFERROR(INDEX(Clients!$A$5:$A$254,MATCH(C86,Clients!$B$5:$B$254,0)),""))</f>
        <v>0</v>
      </c>
      <c r="I86" s="32">
        <f>IF(H86="","",ROUND(YEARFRAC(H86,TODAY()),1))</f>
        <v>0</v>
      </c>
      <c r="Y86" s="49">
        <f>IF(X86="","",IF(X86&lt;TODAY(),"Expired",IF(X86-TODAY()&lt;=VaccAlertDays,"Due in "&amp;TEXT(X86-TODAY(),"0")&amp;" days","Valid")))</f>
        <v>0</v>
      </c>
      <c r="AQ86" s="31">
        <f>IF(D86="","",COUNTIFS('Visit Log'!$E$5:$E$404,D86,'Visit Log'!$AE$5:$AE$404,"Completed"))</f>
        <v>0</v>
      </c>
      <c r="AR86" s="21">
        <f>IF(D86="","",IF(SUMPRODUCT(MAX(('Visit Log'!$E$5:$E$404=D86)*('Visit Log'!$AE$5:$AE$404="Completed")*'Visit Log'!$C$5:$C$404))=0,"",SUMPRODUCT(MAX(('Visit Log'!$E$5:$E$404=D86)*('Visit Log'!$AE$5:$AE$404="Completed")*'Visit Log'!$C$5:$C$404))))</f>
        <v>0</v>
      </c>
      <c r="AS86" s="31">
        <f>IF(D86="","",COUNTIFS('Health Log'!$D$5:$D$204,D86))</f>
        <v>0</v>
      </c>
      <c r="AT86" s="49">
        <f>IF(B86="","",TRIM(IF(Y86="Expired","VACCINATION EXPIRED. ",IF(LEFT(Y86,6)="Due in","Vaccination due. ",""))&amp;IF(AND(AN86&lt;&gt;"",AN86&lt;&gt;"None"),AN86&amp;". ","")&amp;IF(AND(AG86&lt;&gt;"",AG86&lt;&gt;"None",AG86&lt;&gt;"-"),"On medication. ","")&amp;IF(Q86&lt;&gt;"",IF(OR(Q86="None",Q86="None known"),"","Allergy: "&amp;Q86),"")))</f>
        <v>0</v>
      </c>
    </row>
    <row r="87" spans="1:46">
      <c r="A87" s="46">
        <f>IF(B87="","",PetPrefix&amp;TEXT(ROW()-4,"0000"))</f>
        <v>0</v>
      </c>
      <c r="D87" s="28">
        <f>IF(B87="","",B87&amp;" ("&amp;C87&amp;")")</f>
        <v>0</v>
      </c>
      <c r="E87" s="28">
        <f>IF(C87="","",IFERROR(INDEX(Clients!$A$5:$A$254,MATCH(C87,Clients!$B$5:$B$254,0)),""))</f>
        <v>0</v>
      </c>
      <c r="I87" s="32">
        <f>IF(H87="","",ROUND(YEARFRAC(H87,TODAY()),1))</f>
        <v>0</v>
      </c>
      <c r="Y87" s="49">
        <f>IF(X87="","",IF(X87&lt;TODAY(),"Expired",IF(X87-TODAY()&lt;=VaccAlertDays,"Due in "&amp;TEXT(X87-TODAY(),"0")&amp;" days","Valid")))</f>
        <v>0</v>
      </c>
      <c r="AQ87" s="31">
        <f>IF(D87="","",COUNTIFS('Visit Log'!$E$5:$E$404,D87,'Visit Log'!$AE$5:$AE$404,"Completed"))</f>
        <v>0</v>
      </c>
      <c r="AR87" s="21">
        <f>IF(D87="","",IF(SUMPRODUCT(MAX(('Visit Log'!$E$5:$E$404=D87)*('Visit Log'!$AE$5:$AE$404="Completed")*'Visit Log'!$C$5:$C$404))=0,"",SUMPRODUCT(MAX(('Visit Log'!$E$5:$E$404=D87)*('Visit Log'!$AE$5:$AE$404="Completed")*'Visit Log'!$C$5:$C$404))))</f>
        <v>0</v>
      </c>
      <c r="AS87" s="31">
        <f>IF(D87="","",COUNTIFS('Health Log'!$D$5:$D$204,D87))</f>
        <v>0</v>
      </c>
      <c r="AT87" s="49">
        <f>IF(B87="","",TRIM(IF(Y87="Expired","VACCINATION EXPIRED. ",IF(LEFT(Y87,6)="Due in","Vaccination due. ",""))&amp;IF(AND(AN87&lt;&gt;"",AN87&lt;&gt;"None"),AN87&amp;". ","")&amp;IF(AND(AG87&lt;&gt;"",AG87&lt;&gt;"None",AG87&lt;&gt;"-"),"On medication. ","")&amp;IF(Q87&lt;&gt;"",IF(OR(Q87="None",Q87="None known"),"","Allergy: "&amp;Q87),"")))</f>
        <v>0</v>
      </c>
    </row>
    <row r="88" spans="1:46">
      <c r="A88" s="46">
        <f>IF(B88="","",PetPrefix&amp;TEXT(ROW()-4,"0000"))</f>
        <v>0</v>
      </c>
      <c r="D88" s="28">
        <f>IF(B88="","",B88&amp;" ("&amp;C88&amp;")")</f>
        <v>0</v>
      </c>
      <c r="E88" s="28">
        <f>IF(C88="","",IFERROR(INDEX(Clients!$A$5:$A$254,MATCH(C88,Clients!$B$5:$B$254,0)),""))</f>
        <v>0</v>
      </c>
      <c r="I88" s="32">
        <f>IF(H88="","",ROUND(YEARFRAC(H88,TODAY()),1))</f>
        <v>0</v>
      </c>
      <c r="Y88" s="49">
        <f>IF(X88="","",IF(X88&lt;TODAY(),"Expired",IF(X88-TODAY()&lt;=VaccAlertDays,"Due in "&amp;TEXT(X88-TODAY(),"0")&amp;" days","Valid")))</f>
        <v>0</v>
      </c>
      <c r="AQ88" s="31">
        <f>IF(D88="","",COUNTIFS('Visit Log'!$E$5:$E$404,D88,'Visit Log'!$AE$5:$AE$404,"Completed"))</f>
        <v>0</v>
      </c>
      <c r="AR88" s="21">
        <f>IF(D88="","",IF(SUMPRODUCT(MAX(('Visit Log'!$E$5:$E$404=D88)*('Visit Log'!$AE$5:$AE$404="Completed")*'Visit Log'!$C$5:$C$404))=0,"",SUMPRODUCT(MAX(('Visit Log'!$E$5:$E$404=D88)*('Visit Log'!$AE$5:$AE$404="Completed")*'Visit Log'!$C$5:$C$404))))</f>
        <v>0</v>
      </c>
      <c r="AS88" s="31">
        <f>IF(D88="","",COUNTIFS('Health Log'!$D$5:$D$204,D88))</f>
        <v>0</v>
      </c>
      <c r="AT88" s="49">
        <f>IF(B88="","",TRIM(IF(Y88="Expired","VACCINATION EXPIRED. ",IF(LEFT(Y88,6)="Due in","Vaccination due. ",""))&amp;IF(AND(AN88&lt;&gt;"",AN88&lt;&gt;"None"),AN88&amp;". ","")&amp;IF(AND(AG88&lt;&gt;"",AG88&lt;&gt;"None",AG88&lt;&gt;"-"),"On medication. ","")&amp;IF(Q88&lt;&gt;"",IF(OR(Q88="None",Q88="None known"),"","Allergy: "&amp;Q88),"")))</f>
        <v>0</v>
      </c>
    </row>
    <row r="89" spans="1:46">
      <c r="A89" s="46">
        <f>IF(B89="","",PetPrefix&amp;TEXT(ROW()-4,"0000"))</f>
        <v>0</v>
      </c>
      <c r="D89" s="28">
        <f>IF(B89="","",B89&amp;" ("&amp;C89&amp;")")</f>
        <v>0</v>
      </c>
      <c r="E89" s="28">
        <f>IF(C89="","",IFERROR(INDEX(Clients!$A$5:$A$254,MATCH(C89,Clients!$B$5:$B$254,0)),""))</f>
        <v>0</v>
      </c>
      <c r="I89" s="32">
        <f>IF(H89="","",ROUND(YEARFRAC(H89,TODAY()),1))</f>
        <v>0</v>
      </c>
      <c r="Y89" s="49">
        <f>IF(X89="","",IF(X89&lt;TODAY(),"Expired",IF(X89-TODAY()&lt;=VaccAlertDays,"Due in "&amp;TEXT(X89-TODAY(),"0")&amp;" days","Valid")))</f>
        <v>0</v>
      </c>
      <c r="AQ89" s="31">
        <f>IF(D89="","",COUNTIFS('Visit Log'!$E$5:$E$404,D89,'Visit Log'!$AE$5:$AE$404,"Completed"))</f>
        <v>0</v>
      </c>
      <c r="AR89" s="21">
        <f>IF(D89="","",IF(SUMPRODUCT(MAX(('Visit Log'!$E$5:$E$404=D89)*('Visit Log'!$AE$5:$AE$404="Completed")*'Visit Log'!$C$5:$C$404))=0,"",SUMPRODUCT(MAX(('Visit Log'!$E$5:$E$404=D89)*('Visit Log'!$AE$5:$AE$404="Completed")*'Visit Log'!$C$5:$C$404))))</f>
        <v>0</v>
      </c>
      <c r="AS89" s="31">
        <f>IF(D89="","",COUNTIFS('Health Log'!$D$5:$D$204,D89))</f>
        <v>0</v>
      </c>
      <c r="AT89" s="49">
        <f>IF(B89="","",TRIM(IF(Y89="Expired","VACCINATION EXPIRED. ",IF(LEFT(Y89,6)="Due in","Vaccination due. ",""))&amp;IF(AND(AN89&lt;&gt;"",AN89&lt;&gt;"None"),AN89&amp;". ","")&amp;IF(AND(AG89&lt;&gt;"",AG89&lt;&gt;"None",AG89&lt;&gt;"-"),"On medication. ","")&amp;IF(Q89&lt;&gt;"",IF(OR(Q89="None",Q89="None known"),"","Allergy: "&amp;Q89),"")))</f>
        <v>0</v>
      </c>
    </row>
    <row r="90" spans="1:46">
      <c r="A90" s="46">
        <f>IF(B90="","",PetPrefix&amp;TEXT(ROW()-4,"0000"))</f>
        <v>0</v>
      </c>
      <c r="D90" s="28">
        <f>IF(B90="","",B90&amp;" ("&amp;C90&amp;")")</f>
        <v>0</v>
      </c>
      <c r="E90" s="28">
        <f>IF(C90="","",IFERROR(INDEX(Clients!$A$5:$A$254,MATCH(C90,Clients!$B$5:$B$254,0)),""))</f>
        <v>0</v>
      </c>
      <c r="I90" s="32">
        <f>IF(H90="","",ROUND(YEARFRAC(H90,TODAY()),1))</f>
        <v>0</v>
      </c>
      <c r="Y90" s="49">
        <f>IF(X90="","",IF(X90&lt;TODAY(),"Expired",IF(X90-TODAY()&lt;=VaccAlertDays,"Due in "&amp;TEXT(X90-TODAY(),"0")&amp;" days","Valid")))</f>
        <v>0</v>
      </c>
      <c r="AQ90" s="31">
        <f>IF(D90="","",COUNTIFS('Visit Log'!$E$5:$E$404,D90,'Visit Log'!$AE$5:$AE$404,"Completed"))</f>
        <v>0</v>
      </c>
      <c r="AR90" s="21">
        <f>IF(D90="","",IF(SUMPRODUCT(MAX(('Visit Log'!$E$5:$E$404=D90)*('Visit Log'!$AE$5:$AE$404="Completed")*'Visit Log'!$C$5:$C$404))=0,"",SUMPRODUCT(MAX(('Visit Log'!$E$5:$E$404=D90)*('Visit Log'!$AE$5:$AE$404="Completed")*'Visit Log'!$C$5:$C$404))))</f>
        <v>0</v>
      </c>
      <c r="AS90" s="31">
        <f>IF(D90="","",COUNTIFS('Health Log'!$D$5:$D$204,D90))</f>
        <v>0</v>
      </c>
      <c r="AT90" s="49">
        <f>IF(B90="","",TRIM(IF(Y90="Expired","VACCINATION EXPIRED. ",IF(LEFT(Y90,6)="Due in","Vaccination due. ",""))&amp;IF(AND(AN90&lt;&gt;"",AN90&lt;&gt;"None"),AN90&amp;". ","")&amp;IF(AND(AG90&lt;&gt;"",AG90&lt;&gt;"None",AG90&lt;&gt;"-"),"On medication. ","")&amp;IF(Q90&lt;&gt;"",IF(OR(Q90="None",Q90="None known"),"","Allergy: "&amp;Q90),"")))</f>
        <v>0</v>
      </c>
    </row>
    <row r="91" spans="1:46">
      <c r="A91" s="46">
        <f>IF(B91="","",PetPrefix&amp;TEXT(ROW()-4,"0000"))</f>
        <v>0</v>
      </c>
      <c r="D91" s="28">
        <f>IF(B91="","",B91&amp;" ("&amp;C91&amp;")")</f>
        <v>0</v>
      </c>
      <c r="E91" s="28">
        <f>IF(C91="","",IFERROR(INDEX(Clients!$A$5:$A$254,MATCH(C91,Clients!$B$5:$B$254,0)),""))</f>
        <v>0</v>
      </c>
      <c r="I91" s="32">
        <f>IF(H91="","",ROUND(YEARFRAC(H91,TODAY()),1))</f>
        <v>0</v>
      </c>
      <c r="Y91" s="49">
        <f>IF(X91="","",IF(X91&lt;TODAY(),"Expired",IF(X91-TODAY()&lt;=VaccAlertDays,"Due in "&amp;TEXT(X91-TODAY(),"0")&amp;" days","Valid")))</f>
        <v>0</v>
      </c>
      <c r="AQ91" s="31">
        <f>IF(D91="","",COUNTIFS('Visit Log'!$E$5:$E$404,D91,'Visit Log'!$AE$5:$AE$404,"Completed"))</f>
        <v>0</v>
      </c>
      <c r="AR91" s="21">
        <f>IF(D91="","",IF(SUMPRODUCT(MAX(('Visit Log'!$E$5:$E$404=D91)*('Visit Log'!$AE$5:$AE$404="Completed")*'Visit Log'!$C$5:$C$404))=0,"",SUMPRODUCT(MAX(('Visit Log'!$E$5:$E$404=D91)*('Visit Log'!$AE$5:$AE$404="Completed")*'Visit Log'!$C$5:$C$404))))</f>
        <v>0</v>
      </c>
      <c r="AS91" s="31">
        <f>IF(D91="","",COUNTIFS('Health Log'!$D$5:$D$204,D91))</f>
        <v>0</v>
      </c>
      <c r="AT91" s="49">
        <f>IF(B91="","",TRIM(IF(Y91="Expired","VACCINATION EXPIRED. ",IF(LEFT(Y91,6)="Due in","Vaccination due. ",""))&amp;IF(AND(AN91&lt;&gt;"",AN91&lt;&gt;"None"),AN91&amp;". ","")&amp;IF(AND(AG91&lt;&gt;"",AG91&lt;&gt;"None",AG91&lt;&gt;"-"),"On medication. ","")&amp;IF(Q91&lt;&gt;"",IF(OR(Q91="None",Q91="None known"),"","Allergy: "&amp;Q91),"")))</f>
        <v>0</v>
      </c>
    </row>
    <row r="92" spans="1:46">
      <c r="A92" s="46">
        <f>IF(B92="","",PetPrefix&amp;TEXT(ROW()-4,"0000"))</f>
        <v>0</v>
      </c>
      <c r="D92" s="28">
        <f>IF(B92="","",B92&amp;" ("&amp;C92&amp;")")</f>
        <v>0</v>
      </c>
      <c r="E92" s="28">
        <f>IF(C92="","",IFERROR(INDEX(Clients!$A$5:$A$254,MATCH(C92,Clients!$B$5:$B$254,0)),""))</f>
        <v>0</v>
      </c>
      <c r="I92" s="32">
        <f>IF(H92="","",ROUND(YEARFRAC(H92,TODAY()),1))</f>
        <v>0</v>
      </c>
      <c r="Y92" s="49">
        <f>IF(X92="","",IF(X92&lt;TODAY(),"Expired",IF(X92-TODAY()&lt;=VaccAlertDays,"Due in "&amp;TEXT(X92-TODAY(),"0")&amp;" days","Valid")))</f>
        <v>0</v>
      </c>
      <c r="AQ92" s="31">
        <f>IF(D92="","",COUNTIFS('Visit Log'!$E$5:$E$404,D92,'Visit Log'!$AE$5:$AE$404,"Completed"))</f>
        <v>0</v>
      </c>
      <c r="AR92" s="21">
        <f>IF(D92="","",IF(SUMPRODUCT(MAX(('Visit Log'!$E$5:$E$404=D92)*('Visit Log'!$AE$5:$AE$404="Completed")*'Visit Log'!$C$5:$C$404))=0,"",SUMPRODUCT(MAX(('Visit Log'!$E$5:$E$404=D92)*('Visit Log'!$AE$5:$AE$404="Completed")*'Visit Log'!$C$5:$C$404))))</f>
        <v>0</v>
      </c>
      <c r="AS92" s="31">
        <f>IF(D92="","",COUNTIFS('Health Log'!$D$5:$D$204,D92))</f>
        <v>0</v>
      </c>
      <c r="AT92" s="49">
        <f>IF(B92="","",TRIM(IF(Y92="Expired","VACCINATION EXPIRED. ",IF(LEFT(Y92,6)="Due in","Vaccination due. ",""))&amp;IF(AND(AN92&lt;&gt;"",AN92&lt;&gt;"None"),AN92&amp;". ","")&amp;IF(AND(AG92&lt;&gt;"",AG92&lt;&gt;"None",AG92&lt;&gt;"-"),"On medication. ","")&amp;IF(Q92&lt;&gt;"",IF(OR(Q92="None",Q92="None known"),"","Allergy: "&amp;Q92),"")))</f>
        <v>0</v>
      </c>
    </row>
    <row r="93" spans="1:46">
      <c r="A93" s="46">
        <f>IF(B93="","",PetPrefix&amp;TEXT(ROW()-4,"0000"))</f>
        <v>0</v>
      </c>
      <c r="D93" s="28">
        <f>IF(B93="","",B93&amp;" ("&amp;C93&amp;")")</f>
        <v>0</v>
      </c>
      <c r="E93" s="28">
        <f>IF(C93="","",IFERROR(INDEX(Clients!$A$5:$A$254,MATCH(C93,Clients!$B$5:$B$254,0)),""))</f>
        <v>0</v>
      </c>
      <c r="I93" s="32">
        <f>IF(H93="","",ROUND(YEARFRAC(H93,TODAY()),1))</f>
        <v>0</v>
      </c>
      <c r="Y93" s="49">
        <f>IF(X93="","",IF(X93&lt;TODAY(),"Expired",IF(X93-TODAY()&lt;=VaccAlertDays,"Due in "&amp;TEXT(X93-TODAY(),"0")&amp;" days","Valid")))</f>
        <v>0</v>
      </c>
      <c r="AQ93" s="31">
        <f>IF(D93="","",COUNTIFS('Visit Log'!$E$5:$E$404,D93,'Visit Log'!$AE$5:$AE$404,"Completed"))</f>
        <v>0</v>
      </c>
      <c r="AR93" s="21">
        <f>IF(D93="","",IF(SUMPRODUCT(MAX(('Visit Log'!$E$5:$E$404=D93)*('Visit Log'!$AE$5:$AE$404="Completed")*'Visit Log'!$C$5:$C$404))=0,"",SUMPRODUCT(MAX(('Visit Log'!$E$5:$E$404=D93)*('Visit Log'!$AE$5:$AE$404="Completed")*'Visit Log'!$C$5:$C$404))))</f>
        <v>0</v>
      </c>
      <c r="AS93" s="31">
        <f>IF(D93="","",COUNTIFS('Health Log'!$D$5:$D$204,D93))</f>
        <v>0</v>
      </c>
      <c r="AT93" s="49">
        <f>IF(B93="","",TRIM(IF(Y93="Expired","VACCINATION EXPIRED. ",IF(LEFT(Y93,6)="Due in","Vaccination due. ",""))&amp;IF(AND(AN93&lt;&gt;"",AN93&lt;&gt;"None"),AN93&amp;". ","")&amp;IF(AND(AG93&lt;&gt;"",AG93&lt;&gt;"None",AG93&lt;&gt;"-"),"On medication. ","")&amp;IF(Q93&lt;&gt;"",IF(OR(Q93="None",Q93="None known"),"","Allergy: "&amp;Q93),"")))</f>
        <v>0</v>
      </c>
    </row>
    <row r="94" spans="1:46">
      <c r="A94" s="46">
        <f>IF(B94="","",PetPrefix&amp;TEXT(ROW()-4,"0000"))</f>
        <v>0</v>
      </c>
      <c r="D94" s="28">
        <f>IF(B94="","",B94&amp;" ("&amp;C94&amp;")")</f>
        <v>0</v>
      </c>
      <c r="E94" s="28">
        <f>IF(C94="","",IFERROR(INDEX(Clients!$A$5:$A$254,MATCH(C94,Clients!$B$5:$B$254,0)),""))</f>
        <v>0</v>
      </c>
      <c r="I94" s="32">
        <f>IF(H94="","",ROUND(YEARFRAC(H94,TODAY()),1))</f>
        <v>0</v>
      </c>
      <c r="Y94" s="49">
        <f>IF(X94="","",IF(X94&lt;TODAY(),"Expired",IF(X94-TODAY()&lt;=VaccAlertDays,"Due in "&amp;TEXT(X94-TODAY(),"0")&amp;" days","Valid")))</f>
        <v>0</v>
      </c>
      <c r="AQ94" s="31">
        <f>IF(D94="","",COUNTIFS('Visit Log'!$E$5:$E$404,D94,'Visit Log'!$AE$5:$AE$404,"Completed"))</f>
        <v>0</v>
      </c>
      <c r="AR94" s="21">
        <f>IF(D94="","",IF(SUMPRODUCT(MAX(('Visit Log'!$E$5:$E$404=D94)*('Visit Log'!$AE$5:$AE$404="Completed")*'Visit Log'!$C$5:$C$404))=0,"",SUMPRODUCT(MAX(('Visit Log'!$E$5:$E$404=D94)*('Visit Log'!$AE$5:$AE$404="Completed")*'Visit Log'!$C$5:$C$404))))</f>
        <v>0</v>
      </c>
      <c r="AS94" s="31">
        <f>IF(D94="","",COUNTIFS('Health Log'!$D$5:$D$204,D94))</f>
        <v>0</v>
      </c>
      <c r="AT94" s="49">
        <f>IF(B94="","",TRIM(IF(Y94="Expired","VACCINATION EXPIRED. ",IF(LEFT(Y94,6)="Due in","Vaccination due. ",""))&amp;IF(AND(AN94&lt;&gt;"",AN94&lt;&gt;"None"),AN94&amp;". ","")&amp;IF(AND(AG94&lt;&gt;"",AG94&lt;&gt;"None",AG94&lt;&gt;"-"),"On medication. ","")&amp;IF(Q94&lt;&gt;"",IF(OR(Q94="None",Q94="None known"),"","Allergy: "&amp;Q94),"")))</f>
        <v>0</v>
      </c>
    </row>
    <row r="95" spans="1:46">
      <c r="A95" s="46">
        <f>IF(B95="","",PetPrefix&amp;TEXT(ROW()-4,"0000"))</f>
        <v>0</v>
      </c>
      <c r="D95" s="28">
        <f>IF(B95="","",B95&amp;" ("&amp;C95&amp;")")</f>
        <v>0</v>
      </c>
      <c r="E95" s="28">
        <f>IF(C95="","",IFERROR(INDEX(Clients!$A$5:$A$254,MATCH(C95,Clients!$B$5:$B$254,0)),""))</f>
        <v>0</v>
      </c>
      <c r="I95" s="32">
        <f>IF(H95="","",ROUND(YEARFRAC(H95,TODAY()),1))</f>
        <v>0</v>
      </c>
      <c r="Y95" s="49">
        <f>IF(X95="","",IF(X95&lt;TODAY(),"Expired",IF(X95-TODAY()&lt;=VaccAlertDays,"Due in "&amp;TEXT(X95-TODAY(),"0")&amp;" days","Valid")))</f>
        <v>0</v>
      </c>
      <c r="AQ95" s="31">
        <f>IF(D95="","",COUNTIFS('Visit Log'!$E$5:$E$404,D95,'Visit Log'!$AE$5:$AE$404,"Completed"))</f>
        <v>0</v>
      </c>
      <c r="AR95" s="21">
        <f>IF(D95="","",IF(SUMPRODUCT(MAX(('Visit Log'!$E$5:$E$404=D95)*('Visit Log'!$AE$5:$AE$404="Completed")*'Visit Log'!$C$5:$C$404))=0,"",SUMPRODUCT(MAX(('Visit Log'!$E$5:$E$404=D95)*('Visit Log'!$AE$5:$AE$404="Completed")*'Visit Log'!$C$5:$C$404))))</f>
        <v>0</v>
      </c>
      <c r="AS95" s="31">
        <f>IF(D95="","",COUNTIFS('Health Log'!$D$5:$D$204,D95))</f>
        <v>0</v>
      </c>
      <c r="AT95" s="49">
        <f>IF(B95="","",TRIM(IF(Y95="Expired","VACCINATION EXPIRED. ",IF(LEFT(Y95,6)="Due in","Vaccination due. ",""))&amp;IF(AND(AN95&lt;&gt;"",AN95&lt;&gt;"None"),AN95&amp;". ","")&amp;IF(AND(AG95&lt;&gt;"",AG95&lt;&gt;"None",AG95&lt;&gt;"-"),"On medication. ","")&amp;IF(Q95&lt;&gt;"",IF(OR(Q95="None",Q95="None known"),"","Allergy: "&amp;Q95),"")))</f>
        <v>0</v>
      </c>
    </row>
    <row r="96" spans="1:46">
      <c r="A96" s="46">
        <f>IF(B96="","",PetPrefix&amp;TEXT(ROW()-4,"0000"))</f>
        <v>0</v>
      </c>
      <c r="D96" s="28">
        <f>IF(B96="","",B96&amp;" ("&amp;C96&amp;")")</f>
        <v>0</v>
      </c>
      <c r="E96" s="28">
        <f>IF(C96="","",IFERROR(INDEX(Clients!$A$5:$A$254,MATCH(C96,Clients!$B$5:$B$254,0)),""))</f>
        <v>0</v>
      </c>
      <c r="I96" s="32">
        <f>IF(H96="","",ROUND(YEARFRAC(H96,TODAY()),1))</f>
        <v>0</v>
      </c>
      <c r="Y96" s="49">
        <f>IF(X96="","",IF(X96&lt;TODAY(),"Expired",IF(X96-TODAY()&lt;=VaccAlertDays,"Due in "&amp;TEXT(X96-TODAY(),"0")&amp;" days","Valid")))</f>
        <v>0</v>
      </c>
      <c r="AQ96" s="31">
        <f>IF(D96="","",COUNTIFS('Visit Log'!$E$5:$E$404,D96,'Visit Log'!$AE$5:$AE$404,"Completed"))</f>
        <v>0</v>
      </c>
      <c r="AR96" s="21">
        <f>IF(D96="","",IF(SUMPRODUCT(MAX(('Visit Log'!$E$5:$E$404=D96)*('Visit Log'!$AE$5:$AE$404="Completed")*'Visit Log'!$C$5:$C$404))=0,"",SUMPRODUCT(MAX(('Visit Log'!$E$5:$E$404=D96)*('Visit Log'!$AE$5:$AE$404="Completed")*'Visit Log'!$C$5:$C$404))))</f>
        <v>0</v>
      </c>
      <c r="AS96" s="31">
        <f>IF(D96="","",COUNTIFS('Health Log'!$D$5:$D$204,D96))</f>
        <v>0</v>
      </c>
      <c r="AT96" s="49">
        <f>IF(B96="","",TRIM(IF(Y96="Expired","VACCINATION EXPIRED. ",IF(LEFT(Y96,6)="Due in","Vaccination due. ",""))&amp;IF(AND(AN96&lt;&gt;"",AN96&lt;&gt;"None"),AN96&amp;". ","")&amp;IF(AND(AG96&lt;&gt;"",AG96&lt;&gt;"None",AG96&lt;&gt;"-"),"On medication. ","")&amp;IF(Q96&lt;&gt;"",IF(OR(Q96="None",Q96="None known"),"","Allergy: "&amp;Q96),"")))</f>
        <v>0</v>
      </c>
    </row>
    <row r="97" spans="1:46">
      <c r="A97" s="46">
        <f>IF(B97="","",PetPrefix&amp;TEXT(ROW()-4,"0000"))</f>
        <v>0</v>
      </c>
      <c r="D97" s="28">
        <f>IF(B97="","",B97&amp;" ("&amp;C97&amp;")")</f>
        <v>0</v>
      </c>
      <c r="E97" s="28">
        <f>IF(C97="","",IFERROR(INDEX(Clients!$A$5:$A$254,MATCH(C97,Clients!$B$5:$B$254,0)),""))</f>
        <v>0</v>
      </c>
      <c r="I97" s="32">
        <f>IF(H97="","",ROUND(YEARFRAC(H97,TODAY()),1))</f>
        <v>0</v>
      </c>
      <c r="Y97" s="49">
        <f>IF(X97="","",IF(X97&lt;TODAY(),"Expired",IF(X97-TODAY()&lt;=VaccAlertDays,"Due in "&amp;TEXT(X97-TODAY(),"0")&amp;" days","Valid")))</f>
        <v>0</v>
      </c>
      <c r="AQ97" s="31">
        <f>IF(D97="","",COUNTIFS('Visit Log'!$E$5:$E$404,D97,'Visit Log'!$AE$5:$AE$404,"Completed"))</f>
        <v>0</v>
      </c>
      <c r="AR97" s="21">
        <f>IF(D97="","",IF(SUMPRODUCT(MAX(('Visit Log'!$E$5:$E$404=D97)*('Visit Log'!$AE$5:$AE$404="Completed")*'Visit Log'!$C$5:$C$404))=0,"",SUMPRODUCT(MAX(('Visit Log'!$E$5:$E$404=D97)*('Visit Log'!$AE$5:$AE$404="Completed")*'Visit Log'!$C$5:$C$404))))</f>
        <v>0</v>
      </c>
      <c r="AS97" s="31">
        <f>IF(D97="","",COUNTIFS('Health Log'!$D$5:$D$204,D97))</f>
        <v>0</v>
      </c>
      <c r="AT97" s="49">
        <f>IF(B97="","",TRIM(IF(Y97="Expired","VACCINATION EXPIRED. ",IF(LEFT(Y97,6)="Due in","Vaccination due. ",""))&amp;IF(AND(AN97&lt;&gt;"",AN97&lt;&gt;"None"),AN97&amp;". ","")&amp;IF(AND(AG97&lt;&gt;"",AG97&lt;&gt;"None",AG97&lt;&gt;"-"),"On medication. ","")&amp;IF(Q97&lt;&gt;"",IF(OR(Q97="None",Q97="None known"),"","Allergy: "&amp;Q97),"")))</f>
        <v>0</v>
      </c>
    </row>
    <row r="98" spans="1:46">
      <c r="A98" s="46">
        <f>IF(B98="","",PetPrefix&amp;TEXT(ROW()-4,"0000"))</f>
        <v>0</v>
      </c>
      <c r="D98" s="28">
        <f>IF(B98="","",B98&amp;" ("&amp;C98&amp;")")</f>
        <v>0</v>
      </c>
      <c r="E98" s="28">
        <f>IF(C98="","",IFERROR(INDEX(Clients!$A$5:$A$254,MATCH(C98,Clients!$B$5:$B$254,0)),""))</f>
        <v>0</v>
      </c>
      <c r="I98" s="32">
        <f>IF(H98="","",ROUND(YEARFRAC(H98,TODAY()),1))</f>
        <v>0</v>
      </c>
      <c r="Y98" s="49">
        <f>IF(X98="","",IF(X98&lt;TODAY(),"Expired",IF(X98-TODAY()&lt;=VaccAlertDays,"Due in "&amp;TEXT(X98-TODAY(),"0")&amp;" days","Valid")))</f>
        <v>0</v>
      </c>
      <c r="AQ98" s="31">
        <f>IF(D98="","",COUNTIFS('Visit Log'!$E$5:$E$404,D98,'Visit Log'!$AE$5:$AE$404,"Completed"))</f>
        <v>0</v>
      </c>
      <c r="AR98" s="21">
        <f>IF(D98="","",IF(SUMPRODUCT(MAX(('Visit Log'!$E$5:$E$404=D98)*('Visit Log'!$AE$5:$AE$404="Completed")*'Visit Log'!$C$5:$C$404))=0,"",SUMPRODUCT(MAX(('Visit Log'!$E$5:$E$404=D98)*('Visit Log'!$AE$5:$AE$404="Completed")*'Visit Log'!$C$5:$C$404))))</f>
        <v>0</v>
      </c>
      <c r="AS98" s="31">
        <f>IF(D98="","",COUNTIFS('Health Log'!$D$5:$D$204,D98))</f>
        <v>0</v>
      </c>
      <c r="AT98" s="49">
        <f>IF(B98="","",TRIM(IF(Y98="Expired","VACCINATION EXPIRED. ",IF(LEFT(Y98,6)="Due in","Vaccination due. ",""))&amp;IF(AND(AN98&lt;&gt;"",AN98&lt;&gt;"None"),AN98&amp;". ","")&amp;IF(AND(AG98&lt;&gt;"",AG98&lt;&gt;"None",AG98&lt;&gt;"-"),"On medication. ","")&amp;IF(Q98&lt;&gt;"",IF(OR(Q98="None",Q98="None known"),"","Allergy: "&amp;Q98),"")))</f>
        <v>0</v>
      </c>
    </row>
    <row r="99" spans="1:46">
      <c r="A99" s="46">
        <f>IF(B99="","",PetPrefix&amp;TEXT(ROW()-4,"0000"))</f>
        <v>0</v>
      </c>
      <c r="D99" s="28">
        <f>IF(B99="","",B99&amp;" ("&amp;C99&amp;")")</f>
        <v>0</v>
      </c>
      <c r="E99" s="28">
        <f>IF(C99="","",IFERROR(INDEX(Clients!$A$5:$A$254,MATCH(C99,Clients!$B$5:$B$254,0)),""))</f>
        <v>0</v>
      </c>
      <c r="I99" s="32">
        <f>IF(H99="","",ROUND(YEARFRAC(H99,TODAY()),1))</f>
        <v>0</v>
      </c>
      <c r="Y99" s="49">
        <f>IF(X99="","",IF(X99&lt;TODAY(),"Expired",IF(X99-TODAY()&lt;=VaccAlertDays,"Due in "&amp;TEXT(X99-TODAY(),"0")&amp;" days","Valid")))</f>
        <v>0</v>
      </c>
      <c r="AQ99" s="31">
        <f>IF(D99="","",COUNTIFS('Visit Log'!$E$5:$E$404,D99,'Visit Log'!$AE$5:$AE$404,"Completed"))</f>
        <v>0</v>
      </c>
      <c r="AR99" s="21">
        <f>IF(D99="","",IF(SUMPRODUCT(MAX(('Visit Log'!$E$5:$E$404=D99)*('Visit Log'!$AE$5:$AE$404="Completed")*'Visit Log'!$C$5:$C$404))=0,"",SUMPRODUCT(MAX(('Visit Log'!$E$5:$E$404=D99)*('Visit Log'!$AE$5:$AE$404="Completed")*'Visit Log'!$C$5:$C$404))))</f>
        <v>0</v>
      </c>
      <c r="AS99" s="31">
        <f>IF(D99="","",COUNTIFS('Health Log'!$D$5:$D$204,D99))</f>
        <v>0</v>
      </c>
      <c r="AT99" s="49">
        <f>IF(B99="","",TRIM(IF(Y99="Expired","VACCINATION EXPIRED. ",IF(LEFT(Y99,6)="Due in","Vaccination due. ",""))&amp;IF(AND(AN99&lt;&gt;"",AN99&lt;&gt;"None"),AN99&amp;". ","")&amp;IF(AND(AG99&lt;&gt;"",AG99&lt;&gt;"None",AG99&lt;&gt;"-"),"On medication. ","")&amp;IF(Q99&lt;&gt;"",IF(OR(Q99="None",Q99="None known"),"","Allergy: "&amp;Q99),"")))</f>
        <v>0</v>
      </c>
    </row>
    <row r="100" spans="1:46">
      <c r="A100" s="46">
        <f>IF(B100="","",PetPrefix&amp;TEXT(ROW()-4,"0000"))</f>
        <v>0</v>
      </c>
      <c r="D100" s="28">
        <f>IF(B100="","",B100&amp;" ("&amp;C100&amp;")")</f>
        <v>0</v>
      </c>
      <c r="E100" s="28">
        <f>IF(C100="","",IFERROR(INDEX(Clients!$A$5:$A$254,MATCH(C100,Clients!$B$5:$B$254,0)),""))</f>
        <v>0</v>
      </c>
      <c r="I100" s="32">
        <f>IF(H100="","",ROUND(YEARFRAC(H100,TODAY()),1))</f>
        <v>0</v>
      </c>
      <c r="Y100" s="49">
        <f>IF(X100="","",IF(X100&lt;TODAY(),"Expired",IF(X100-TODAY()&lt;=VaccAlertDays,"Due in "&amp;TEXT(X100-TODAY(),"0")&amp;" days","Valid")))</f>
        <v>0</v>
      </c>
      <c r="AQ100" s="31">
        <f>IF(D100="","",COUNTIFS('Visit Log'!$E$5:$E$404,D100,'Visit Log'!$AE$5:$AE$404,"Completed"))</f>
        <v>0</v>
      </c>
      <c r="AR100" s="21">
        <f>IF(D100="","",IF(SUMPRODUCT(MAX(('Visit Log'!$E$5:$E$404=D100)*('Visit Log'!$AE$5:$AE$404="Completed")*'Visit Log'!$C$5:$C$404))=0,"",SUMPRODUCT(MAX(('Visit Log'!$E$5:$E$404=D100)*('Visit Log'!$AE$5:$AE$404="Completed")*'Visit Log'!$C$5:$C$404))))</f>
        <v>0</v>
      </c>
      <c r="AS100" s="31">
        <f>IF(D100="","",COUNTIFS('Health Log'!$D$5:$D$204,D100))</f>
        <v>0</v>
      </c>
      <c r="AT100" s="49">
        <f>IF(B100="","",TRIM(IF(Y100="Expired","VACCINATION EXPIRED. ",IF(LEFT(Y100,6)="Due in","Vaccination due. ",""))&amp;IF(AND(AN100&lt;&gt;"",AN100&lt;&gt;"None"),AN100&amp;". ","")&amp;IF(AND(AG100&lt;&gt;"",AG100&lt;&gt;"None",AG100&lt;&gt;"-"),"On medication. ","")&amp;IF(Q100&lt;&gt;"",IF(OR(Q100="None",Q100="None known"),"","Allergy: "&amp;Q100),"")))</f>
        <v>0</v>
      </c>
    </row>
    <row r="101" spans="1:46">
      <c r="A101" s="46">
        <f>IF(B101="","",PetPrefix&amp;TEXT(ROW()-4,"0000"))</f>
        <v>0</v>
      </c>
      <c r="D101" s="28">
        <f>IF(B101="","",B101&amp;" ("&amp;C101&amp;")")</f>
        <v>0</v>
      </c>
      <c r="E101" s="28">
        <f>IF(C101="","",IFERROR(INDEX(Clients!$A$5:$A$254,MATCH(C101,Clients!$B$5:$B$254,0)),""))</f>
        <v>0</v>
      </c>
      <c r="I101" s="32">
        <f>IF(H101="","",ROUND(YEARFRAC(H101,TODAY()),1))</f>
        <v>0</v>
      </c>
      <c r="Y101" s="49">
        <f>IF(X101="","",IF(X101&lt;TODAY(),"Expired",IF(X101-TODAY()&lt;=VaccAlertDays,"Due in "&amp;TEXT(X101-TODAY(),"0")&amp;" days","Valid")))</f>
        <v>0</v>
      </c>
      <c r="AQ101" s="31">
        <f>IF(D101="","",COUNTIFS('Visit Log'!$E$5:$E$404,D101,'Visit Log'!$AE$5:$AE$404,"Completed"))</f>
        <v>0</v>
      </c>
      <c r="AR101" s="21">
        <f>IF(D101="","",IF(SUMPRODUCT(MAX(('Visit Log'!$E$5:$E$404=D101)*('Visit Log'!$AE$5:$AE$404="Completed")*'Visit Log'!$C$5:$C$404))=0,"",SUMPRODUCT(MAX(('Visit Log'!$E$5:$E$404=D101)*('Visit Log'!$AE$5:$AE$404="Completed")*'Visit Log'!$C$5:$C$404))))</f>
        <v>0</v>
      </c>
      <c r="AS101" s="31">
        <f>IF(D101="","",COUNTIFS('Health Log'!$D$5:$D$204,D101))</f>
        <v>0</v>
      </c>
      <c r="AT101" s="49">
        <f>IF(B101="","",TRIM(IF(Y101="Expired","VACCINATION EXPIRED. ",IF(LEFT(Y101,6)="Due in","Vaccination due. ",""))&amp;IF(AND(AN101&lt;&gt;"",AN101&lt;&gt;"None"),AN101&amp;". ","")&amp;IF(AND(AG101&lt;&gt;"",AG101&lt;&gt;"None",AG101&lt;&gt;"-"),"On medication. ","")&amp;IF(Q101&lt;&gt;"",IF(OR(Q101="None",Q101="None known"),"","Allergy: "&amp;Q101),"")))</f>
        <v>0</v>
      </c>
    </row>
    <row r="102" spans="1:46">
      <c r="A102" s="46">
        <f>IF(B102="","",PetPrefix&amp;TEXT(ROW()-4,"0000"))</f>
        <v>0</v>
      </c>
      <c r="D102" s="28">
        <f>IF(B102="","",B102&amp;" ("&amp;C102&amp;")")</f>
        <v>0</v>
      </c>
      <c r="E102" s="28">
        <f>IF(C102="","",IFERROR(INDEX(Clients!$A$5:$A$254,MATCH(C102,Clients!$B$5:$B$254,0)),""))</f>
        <v>0</v>
      </c>
      <c r="I102" s="32">
        <f>IF(H102="","",ROUND(YEARFRAC(H102,TODAY()),1))</f>
        <v>0</v>
      </c>
      <c r="Y102" s="49">
        <f>IF(X102="","",IF(X102&lt;TODAY(),"Expired",IF(X102-TODAY()&lt;=VaccAlertDays,"Due in "&amp;TEXT(X102-TODAY(),"0")&amp;" days","Valid")))</f>
        <v>0</v>
      </c>
      <c r="AQ102" s="31">
        <f>IF(D102="","",COUNTIFS('Visit Log'!$E$5:$E$404,D102,'Visit Log'!$AE$5:$AE$404,"Completed"))</f>
        <v>0</v>
      </c>
      <c r="AR102" s="21">
        <f>IF(D102="","",IF(SUMPRODUCT(MAX(('Visit Log'!$E$5:$E$404=D102)*('Visit Log'!$AE$5:$AE$404="Completed")*'Visit Log'!$C$5:$C$404))=0,"",SUMPRODUCT(MAX(('Visit Log'!$E$5:$E$404=D102)*('Visit Log'!$AE$5:$AE$404="Completed")*'Visit Log'!$C$5:$C$404))))</f>
        <v>0</v>
      </c>
      <c r="AS102" s="31">
        <f>IF(D102="","",COUNTIFS('Health Log'!$D$5:$D$204,D102))</f>
        <v>0</v>
      </c>
      <c r="AT102" s="49">
        <f>IF(B102="","",TRIM(IF(Y102="Expired","VACCINATION EXPIRED. ",IF(LEFT(Y102,6)="Due in","Vaccination due. ",""))&amp;IF(AND(AN102&lt;&gt;"",AN102&lt;&gt;"None"),AN102&amp;". ","")&amp;IF(AND(AG102&lt;&gt;"",AG102&lt;&gt;"None",AG102&lt;&gt;"-"),"On medication. ","")&amp;IF(Q102&lt;&gt;"",IF(OR(Q102="None",Q102="None known"),"","Allergy: "&amp;Q102),"")))</f>
        <v>0</v>
      </c>
    </row>
    <row r="103" spans="1:46">
      <c r="A103" s="46">
        <f>IF(B103="","",PetPrefix&amp;TEXT(ROW()-4,"0000"))</f>
        <v>0</v>
      </c>
      <c r="D103" s="28">
        <f>IF(B103="","",B103&amp;" ("&amp;C103&amp;")")</f>
        <v>0</v>
      </c>
      <c r="E103" s="28">
        <f>IF(C103="","",IFERROR(INDEX(Clients!$A$5:$A$254,MATCH(C103,Clients!$B$5:$B$254,0)),""))</f>
        <v>0</v>
      </c>
      <c r="I103" s="32">
        <f>IF(H103="","",ROUND(YEARFRAC(H103,TODAY()),1))</f>
        <v>0</v>
      </c>
      <c r="Y103" s="49">
        <f>IF(X103="","",IF(X103&lt;TODAY(),"Expired",IF(X103-TODAY()&lt;=VaccAlertDays,"Due in "&amp;TEXT(X103-TODAY(),"0")&amp;" days","Valid")))</f>
        <v>0</v>
      </c>
      <c r="AQ103" s="31">
        <f>IF(D103="","",COUNTIFS('Visit Log'!$E$5:$E$404,D103,'Visit Log'!$AE$5:$AE$404,"Completed"))</f>
        <v>0</v>
      </c>
      <c r="AR103" s="21">
        <f>IF(D103="","",IF(SUMPRODUCT(MAX(('Visit Log'!$E$5:$E$404=D103)*('Visit Log'!$AE$5:$AE$404="Completed")*'Visit Log'!$C$5:$C$404))=0,"",SUMPRODUCT(MAX(('Visit Log'!$E$5:$E$404=D103)*('Visit Log'!$AE$5:$AE$404="Completed")*'Visit Log'!$C$5:$C$404))))</f>
        <v>0</v>
      </c>
      <c r="AS103" s="31">
        <f>IF(D103="","",COUNTIFS('Health Log'!$D$5:$D$204,D103))</f>
        <v>0</v>
      </c>
      <c r="AT103" s="49">
        <f>IF(B103="","",TRIM(IF(Y103="Expired","VACCINATION EXPIRED. ",IF(LEFT(Y103,6)="Due in","Vaccination due. ",""))&amp;IF(AND(AN103&lt;&gt;"",AN103&lt;&gt;"None"),AN103&amp;". ","")&amp;IF(AND(AG103&lt;&gt;"",AG103&lt;&gt;"None",AG103&lt;&gt;"-"),"On medication. ","")&amp;IF(Q103&lt;&gt;"",IF(OR(Q103="None",Q103="None known"),"","Allergy: "&amp;Q103),"")))</f>
        <v>0</v>
      </c>
    </row>
    <row r="104" spans="1:46">
      <c r="A104" s="46">
        <f>IF(B104="","",PetPrefix&amp;TEXT(ROW()-4,"0000"))</f>
        <v>0</v>
      </c>
      <c r="D104" s="28">
        <f>IF(B104="","",B104&amp;" ("&amp;C104&amp;")")</f>
        <v>0</v>
      </c>
      <c r="E104" s="28">
        <f>IF(C104="","",IFERROR(INDEX(Clients!$A$5:$A$254,MATCH(C104,Clients!$B$5:$B$254,0)),""))</f>
        <v>0</v>
      </c>
      <c r="I104" s="32">
        <f>IF(H104="","",ROUND(YEARFRAC(H104,TODAY()),1))</f>
        <v>0</v>
      </c>
      <c r="Y104" s="49">
        <f>IF(X104="","",IF(X104&lt;TODAY(),"Expired",IF(X104-TODAY()&lt;=VaccAlertDays,"Due in "&amp;TEXT(X104-TODAY(),"0")&amp;" days","Valid")))</f>
        <v>0</v>
      </c>
      <c r="AQ104" s="31">
        <f>IF(D104="","",COUNTIFS('Visit Log'!$E$5:$E$404,D104,'Visit Log'!$AE$5:$AE$404,"Completed"))</f>
        <v>0</v>
      </c>
      <c r="AR104" s="21">
        <f>IF(D104="","",IF(SUMPRODUCT(MAX(('Visit Log'!$E$5:$E$404=D104)*('Visit Log'!$AE$5:$AE$404="Completed")*'Visit Log'!$C$5:$C$404))=0,"",SUMPRODUCT(MAX(('Visit Log'!$E$5:$E$404=D104)*('Visit Log'!$AE$5:$AE$404="Completed")*'Visit Log'!$C$5:$C$404))))</f>
        <v>0</v>
      </c>
      <c r="AS104" s="31">
        <f>IF(D104="","",COUNTIFS('Health Log'!$D$5:$D$204,D104))</f>
        <v>0</v>
      </c>
      <c r="AT104" s="49">
        <f>IF(B104="","",TRIM(IF(Y104="Expired","VACCINATION EXPIRED. ",IF(LEFT(Y104,6)="Due in","Vaccination due. ",""))&amp;IF(AND(AN104&lt;&gt;"",AN104&lt;&gt;"None"),AN104&amp;". ","")&amp;IF(AND(AG104&lt;&gt;"",AG104&lt;&gt;"None",AG104&lt;&gt;"-"),"On medication. ","")&amp;IF(Q104&lt;&gt;"",IF(OR(Q104="None",Q104="None known"),"","Allergy: "&amp;Q104),"")))</f>
        <v>0</v>
      </c>
    </row>
    <row r="105" spans="1:46">
      <c r="A105" s="46">
        <f>IF(B105="","",PetPrefix&amp;TEXT(ROW()-4,"0000"))</f>
        <v>0</v>
      </c>
      <c r="D105" s="28">
        <f>IF(B105="","",B105&amp;" ("&amp;C105&amp;")")</f>
        <v>0</v>
      </c>
      <c r="E105" s="28">
        <f>IF(C105="","",IFERROR(INDEX(Clients!$A$5:$A$254,MATCH(C105,Clients!$B$5:$B$254,0)),""))</f>
        <v>0</v>
      </c>
      <c r="I105" s="32">
        <f>IF(H105="","",ROUND(YEARFRAC(H105,TODAY()),1))</f>
        <v>0</v>
      </c>
      <c r="Y105" s="49">
        <f>IF(X105="","",IF(X105&lt;TODAY(),"Expired",IF(X105-TODAY()&lt;=VaccAlertDays,"Due in "&amp;TEXT(X105-TODAY(),"0")&amp;" days","Valid")))</f>
        <v>0</v>
      </c>
      <c r="AQ105" s="31">
        <f>IF(D105="","",COUNTIFS('Visit Log'!$E$5:$E$404,D105,'Visit Log'!$AE$5:$AE$404,"Completed"))</f>
        <v>0</v>
      </c>
      <c r="AR105" s="21">
        <f>IF(D105="","",IF(SUMPRODUCT(MAX(('Visit Log'!$E$5:$E$404=D105)*('Visit Log'!$AE$5:$AE$404="Completed")*'Visit Log'!$C$5:$C$404))=0,"",SUMPRODUCT(MAX(('Visit Log'!$E$5:$E$404=D105)*('Visit Log'!$AE$5:$AE$404="Completed")*'Visit Log'!$C$5:$C$404))))</f>
        <v>0</v>
      </c>
      <c r="AS105" s="31">
        <f>IF(D105="","",COUNTIFS('Health Log'!$D$5:$D$204,D105))</f>
        <v>0</v>
      </c>
      <c r="AT105" s="49">
        <f>IF(B105="","",TRIM(IF(Y105="Expired","VACCINATION EXPIRED. ",IF(LEFT(Y105,6)="Due in","Vaccination due. ",""))&amp;IF(AND(AN105&lt;&gt;"",AN105&lt;&gt;"None"),AN105&amp;". ","")&amp;IF(AND(AG105&lt;&gt;"",AG105&lt;&gt;"None",AG105&lt;&gt;"-"),"On medication. ","")&amp;IF(Q105&lt;&gt;"",IF(OR(Q105="None",Q105="None known"),"","Allergy: "&amp;Q105),"")))</f>
        <v>0</v>
      </c>
    </row>
    <row r="106" spans="1:46">
      <c r="A106" s="46">
        <f>IF(B106="","",PetPrefix&amp;TEXT(ROW()-4,"0000"))</f>
        <v>0</v>
      </c>
      <c r="D106" s="28">
        <f>IF(B106="","",B106&amp;" ("&amp;C106&amp;")")</f>
        <v>0</v>
      </c>
      <c r="E106" s="28">
        <f>IF(C106="","",IFERROR(INDEX(Clients!$A$5:$A$254,MATCH(C106,Clients!$B$5:$B$254,0)),""))</f>
        <v>0</v>
      </c>
      <c r="I106" s="32">
        <f>IF(H106="","",ROUND(YEARFRAC(H106,TODAY()),1))</f>
        <v>0</v>
      </c>
      <c r="Y106" s="49">
        <f>IF(X106="","",IF(X106&lt;TODAY(),"Expired",IF(X106-TODAY()&lt;=VaccAlertDays,"Due in "&amp;TEXT(X106-TODAY(),"0")&amp;" days","Valid")))</f>
        <v>0</v>
      </c>
      <c r="AQ106" s="31">
        <f>IF(D106="","",COUNTIFS('Visit Log'!$E$5:$E$404,D106,'Visit Log'!$AE$5:$AE$404,"Completed"))</f>
        <v>0</v>
      </c>
      <c r="AR106" s="21">
        <f>IF(D106="","",IF(SUMPRODUCT(MAX(('Visit Log'!$E$5:$E$404=D106)*('Visit Log'!$AE$5:$AE$404="Completed")*'Visit Log'!$C$5:$C$404))=0,"",SUMPRODUCT(MAX(('Visit Log'!$E$5:$E$404=D106)*('Visit Log'!$AE$5:$AE$404="Completed")*'Visit Log'!$C$5:$C$404))))</f>
        <v>0</v>
      </c>
      <c r="AS106" s="31">
        <f>IF(D106="","",COUNTIFS('Health Log'!$D$5:$D$204,D106))</f>
        <v>0</v>
      </c>
      <c r="AT106" s="49">
        <f>IF(B106="","",TRIM(IF(Y106="Expired","VACCINATION EXPIRED. ",IF(LEFT(Y106,6)="Due in","Vaccination due. ",""))&amp;IF(AND(AN106&lt;&gt;"",AN106&lt;&gt;"None"),AN106&amp;". ","")&amp;IF(AND(AG106&lt;&gt;"",AG106&lt;&gt;"None",AG106&lt;&gt;"-"),"On medication. ","")&amp;IF(Q106&lt;&gt;"",IF(OR(Q106="None",Q106="None known"),"","Allergy: "&amp;Q106),"")))</f>
        <v>0</v>
      </c>
    </row>
    <row r="107" spans="1:46">
      <c r="A107" s="46">
        <f>IF(B107="","",PetPrefix&amp;TEXT(ROW()-4,"0000"))</f>
        <v>0</v>
      </c>
      <c r="D107" s="28">
        <f>IF(B107="","",B107&amp;" ("&amp;C107&amp;")")</f>
        <v>0</v>
      </c>
      <c r="E107" s="28">
        <f>IF(C107="","",IFERROR(INDEX(Clients!$A$5:$A$254,MATCH(C107,Clients!$B$5:$B$254,0)),""))</f>
        <v>0</v>
      </c>
      <c r="I107" s="32">
        <f>IF(H107="","",ROUND(YEARFRAC(H107,TODAY()),1))</f>
        <v>0</v>
      </c>
      <c r="Y107" s="49">
        <f>IF(X107="","",IF(X107&lt;TODAY(),"Expired",IF(X107-TODAY()&lt;=VaccAlertDays,"Due in "&amp;TEXT(X107-TODAY(),"0")&amp;" days","Valid")))</f>
        <v>0</v>
      </c>
      <c r="AQ107" s="31">
        <f>IF(D107="","",COUNTIFS('Visit Log'!$E$5:$E$404,D107,'Visit Log'!$AE$5:$AE$404,"Completed"))</f>
        <v>0</v>
      </c>
      <c r="AR107" s="21">
        <f>IF(D107="","",IF(SUMPRODUCT(MAX(('Visit Log'!$E$5:$E$404=D107)*('Visit Log'!$AE$5:$AE$404="Completed")*'Visit Log'!$C$5:$C$404))=0,"",SUMPRODUCT(MAX(('Visit Log'!$E$5:$E$404=D107)*('Visit Log'!$AE$5:$AE$404="Completed")*'Visit Log'!$C$5:$C$404))))</f>
        <v>0</v>
      </c>
      <c r="AS107" s="31">
        <f>IF(D107="","",COUNTIFS('Health Log'!$D$5:$D$204,D107))</f>
        <v>0</v>
      </c>
      <c r="AT107" s="49">
        <f>IF(B107="","",TRIM(IF(Y107="Expired","VACCINATION EXPIRED. ",IF(LEFT(Y107,6)="Due in","Vaccination due. ",""))&amp;IF(AND(AN107&lt;&gt;"",AN107&lt;&gt;"None"),AN107&amp;". ","")&amp;IF(AND(AG107&lt;&gt;"",AG107&lt;&gt;"None",AG107&lt;&gt;"-"),"On medication. ","")&amp;IF(Q107&lt;&gt;"",IF(OR(Q107="None",Q107="None known"),"","Allergy: "&amp;Q107),"")))</f>
        <v>0</v>
      </c>
    </row>
    <row r="108" spans="1:46">
      <c r="A108" s="46">
        <f>IF(B108="","",PetPrefix&amp;TEXT(ROW()-4,"0000"))</f>
        <v>0</v>
      </c>
      <c r="D108" s="28">
        <f>IF(B108="","",B108&amp;" ("&amp;C108&amp;")")</f>
        <v>0</v>
      </c>
      <c r="E108" s="28">
        <f>IF(C108="","",IFERROR(INDEX(Clients!$A$5:$A$254,MATCH(C108,Clients!$B$5:$B$254,0)),""))</f>
        <v>0</v>
      </c>
      <c r="I108" s="32">
        <f>IF(H108="","",ROUND(YEARFRAC(H108,TODAY()),1))</f>
        <v>0</v>
      </c>
      <c r="Y108" s="49">
        <f>IF(X108="","",IF(X108&lt;TODAY(),"Expired",IF(X108-TODAY()&lt;=VaccAlertDays,"Due in "&amp;TEXT(X108-TODAY(),"0")&amp;" days","Valid")))</f>
        <v>0</v>
      </c>
      <c r="AQ108" s="31">
        <f>IF(D108="","",COUNTIFS('Visit Log'!$E$5:$E$404,D108,'Visit Log'!$AE$5:$AE$404,"Completed"))</f>
        <v>0</v>
      </c>
      <c r="AR108" s="21">
        <f>IF(D108="","",IF(SUMPRODUCT(MAX(('Visit Log'!$E$5:$E$404=D108)*('Visit Log'!$AE$5:$AE$404="Completed")*'Visit Log'!$C$5:$C$404))=0,"",SUMPRODUCT(MAX(('Visit Log'!$E$5:$E$404=D108)*('Visit Log'!$AE$5:$AE$404="Completed")*'Visit Log'!$C$5:$C$404))))</f>
        <v>0</v>
      </c>
      <c r="AS108" s="31">
        <f>IF(D108="","",COUNTIFS('Health Log'!$D$5:$D$204,D108))</f>
        <v>0</v>
      </c>
      <c r="AT108" s="49">
        <f>IF(B108="","",TRIM(IF(Y108="Expired","VACCINATION EXPIRED. ",IF(LEFT(Y108,6)="Due in","Vaccination due. ",""))&amp;IF(AND(AN108&lt;&gt;"",AN108&lt;&gt;"None"),AN108&amp;". ","")&amp;IF(AND(AG108&lt;&gt;"",AG108&lt;&gt;"None",AG108&lt;&gt;"-"),"On medication. ","")&amp;IF(Q108&lt;&gt;"",IF(OR(Q108="None",Q108="None known"),"","Allergy: "&amp;Q108),"")))</f>
        <v>0</v>
      </c>
    </row>
    <row r="109" spans="1:46">
      <c r="A109" s="46">
        <f>IF(B109="","",PetPrefix&amp;TEXT(ROW()-4,"0000"))</f>
        <v>0</v>
      </c>
      <c r="D109" s="28">
        <f>IF(B109="","",B109&amp;" ("&amp;C109&amp;")")</f>
        <v>0</v>
      </c>
      <c r="E109" s="28">
        <f>IF(C109="","",IFERROR(INDEX(Clients!$A$5:$A$254,MATCH(C109,Clients!$B$5:$B$254,0)),""))</f>
        <v>0</v>
      </c>
      <c r="I109" s="32">
        <f>IF(H109="","",ROUND(YEARFRAC(H109,TODAY()),1))</f>
        <v>0</v>
      </c>
      <c r="Y109" s="49">
        <f>IF(X109="","",IF(X109&lt;TODAY(),"Expired",IF(X109-TODAY()&lt;=VaccAlertDays,"Due in "&amp;TEXT(X109-TODAY(),"0")&amp;" days","Valid")))</f>
        <v>0</v>
      </c>
      <c r="AQ109" s="31">
        <f>IF(D109="","",COUNTIFS('Visit Log'!$E$5:$E$404,D109,'Visit Log'!$AE$5:$AE$404,"Completed"))</f>
        <v>0</v>
      </c>
      <c r="AR109" s="21">
        <f>IF(D109="","",IF(SUMPRODUCT(MAX(('Visit Log'!$E$5:$E$404=D109)*('Visit Log'!$AE$5:$AE$404="Completed")*'Visit Log'!$C$5:$C$404))=0,"",SUMPRODUCT(MAX(('Visit Log'!$E$5:$E$404=D109)*('Visit Log'!$AE$5:$AE$404="Completed")*'Visit Log'!$C$5:$C$404))))</f>
        <v>0</v>
      </c>
      <c r="AS109" s="31">
        <f>IF(D109="","",COUNTIFS('Health Log'!$D$5:$D$204,D109))</f>
        <v>0</v>
      </c>
      <c r="AT109" s="49">
        <f>IF(B109="","",TRIM(IF(Y109="Expired","VACCINATION EXPIRED. ",IF(LEFT(Y109,6)="Due in","Vaccination due. ",""))&amp;IF(AND(AN109&lt;&gt;"",AN109&lt;&gt;"None"),AN109&amp;". ","")&amp;IF(AND(AG109&lt;&gt;"",AG109&lt;&gt;"None",AG109&lt;&gt;"-"),"On medication. ","")&amp;IF(Q109&lt;&gt;"",IF(OR(Q109="None",Q109="None known"),"","Allergy: "&amp;Q109),"")))</f>
        <v>0</v>
      </c>
    </row>
    <row r="110" spans="1:46">
      <c r="A110" s="46">
        <f>IF(B110="","",PetPrefix&amp;TEXT(ROW()-4,"0000"))</f>
        <v>0</v>
      </c>
      <c r="D110" s="28">
        <f>IF(B110="","",B110&amp;" ("&amp;C110&amp;")")</f>
        <v>0</v>
      </c>
      <c r="E110" s="28">
        <f>IF(C110="","",IFERROR(INDEX(Clients!$A$5:$A$254,MATCH(C110,Clients!$B$5:$B$254,0)),""))</f>
        <v>0</v>
      </c>
      <c r="I110" s="32">
        <f>IF(H110="","",ROUND(YEARFRAC(H110,TODAY()),1))</f>
        <v>0</v>
      </c>
      <c r="Y110" s="49">
        <f>IF(X110="","",IF(X110&lt;TODAY(),"Expired",IF(X110-TODAY()&lt;=VaccAlertDays,"Due in "&amp;TEXT(X110-TODAY(),"0")&amp;" days","Valid")))</f>
        <v>0</v>
      </c>
      <c r="AQ110" s="31">
        <f>IF(D110="","",COUNTIFS('Visit Log'!$E$5:$E$404,D110,'Visit Log'!$AE$5:$AE$404,"Completed"))</f>
        <v>0</v>
      </c>
      <c r="AR110" s="21">
        <f>IF(D110="","",IF(SUMPRODUCT(MAX(('Visit Log'!$E$5:$E$404=D110)*('Visit Log'!$AE$5:$AE$404="Completed")*'Visit Log'!$C$5:$C$404))=0,"",SUMPRODUCT(MAX(('Visit Log'!$E$5:$E$404=D110)*('Visit Log'!$AE$5:$AE$404="Completed")*'Visit Log'!$C$5:$C$404))))</f>
        <v>0</v>
      </c>
      <c r="AS110" s="31">
        <f>IF(D110="","",COUNTIFS('Health Log'!$D$5:$D$204,D110))</f>
        <v>0</v>
      </c>
      <c r="AT110" s="49">
        <f>IF(B110="","",TRIM(IF(Y110="Expired","VACCINATION EXPIRED. ",IF(LEFT(Y110,6)="Due in","Vaccination due. ",""))&amp;IF(AND(AN110&lt;&gt;"",AN110&lt;&gt;"None"),AN110&amp;". ","")&amp;IF(AND(AG110&lt;&gt;"",AG110&lt;&gt;"None",AG110&lt;&gt;"-"),"On medication. ","")&amp;IF(Q110&lt;&gt;"",IF(OR(Q110="None",Q110="None known"),"","Allergy: "&amp;Q110),"")))</f>
        <v>0</v>
      </c>
    </row>
    <row r="111" spans="1:46">
      <c r="A111" s="46">
        <f>IF(B111="","",PetPrefix&amp;TEXT(ROW()-4,"0000"))</f>
        <v>0</v>
      </c>
      <c r="D111" s="28">
        <f>IF(B111="","",B111&amp;" ("&amp;C111&amp;")")</f>
        <v>0</v>
      </c>
      <c r="E111" s="28">
        <f>IF(C111="","",IFERROR(INDEX(Clients!$A$5:$A$254,MATCH(C111,Clients!$B$5:$B$254,0)),""))</f>
        <v>0</v>
      </c>
      <c r="I111" s="32">
        <f>IF(H111="","",ROUND(YEARFRAC(H111,TODAY()),1))</f>
        <v>0</v>
      </c>
      <c r="Y111" s="49">
        <f>IF(X111="","",IF(X111&lt;TODAY(),"Expired",IF(X111-TODAY()&lt;=VaccAlertDays,"Due in "&amp;TEXT(X111-TODAY(),"0")&amp;" days","Valid")))</f>
        <v>0</v>
      </c>
      <c r="AQ111" s="31">
        <f>IF(D111="","",COUNTIFS('Visit Log'!$E$5:$E$404,D111,'Visit Log'!$AE$5:$AE$404,"Completed"))</f>
        <v>0</v>
      </c>
      <c r="AR111" s="21">
        <f>IF(D111="","",IF(SUMPRODUCT(MAX(('Visit Log'!$E$5:$E$404=D111)*('Visit Log'!$AE$5:$AE$404="Completed")*'Visit Log'!$C$5:$C$404))=0,"",SUMPRODUCT(MAX(('Visit Log'!$E$5:$E$404=D111)*('Visit Log'!$AE$5:$AE$404="Completed")*'Visit Log'!$C$5:$C$404))))</f>
        <v>0</v>
      </c>
      <c r="AS111" s="31">
        <f>IF(D111="","",COUNTIFS('Health Log'!$D$5:$D$204,D111))</f>
        <v>0</v>
      </c>
      <c r="AT111" s="49">
        <f>IF(B111="","",TRIM(IF(Y111="Expired","VACCINATION EXPIRED. ",IF(LEFT(Y111,6)="Due in","Vaccination due. ",""))&amp;IF(AND(AN111&lt;&gt;"",AN111&lt;&gt;"None"),AN111&amp;". ","")&amp;IF(AND(AG111&lt;&gt;"",AG111&lt;&gt;"None",AG111&lt;&gt;"-"),"On medication. ","")&amp;IF(Q111&lt;&gt;"",IF(OR(Q111="None",Q111="None known"),"","Allergy: "&amp;Q111),"")))</f>
        <v>0</v>
      </c>
    </row>
    <row r="112" spans="1:46">
      <c r="A112" s="46">
        <f>IF(B112="","",PetPrefix&amp;TEXT(ROW()-4,"0000"))</f>
        <v>0</v>
      </c>
      <c r="D112" s="28">
        <f>IF(B112="","",B112&amp;" ("&amp;C112&amp;")")</f>
        <v>0</v>
      </c>
      <c r="E112" s="28">
        <f>IF(C112="","",IFERROR(INDEX(Clients!$A$5:$A$254,MATCH(C112,Clients!$B$5:$B$254,0)),""))</f>
        <v>0</v>
      </c>
      <c r="I112" s="32">
        <f>IF(H112="","",ROUND(YEARFRAC(H112,TODAY()),1))</f>
        <v>0</v>
      </c>
      <c r="Y112" s="49">
        <f>IF(X112="","",IF(X112&lt;TODAY(),"Expired",IF(X112-TODAY()&lt;=VaccAlertDays,"Due in "&amp;TEXT(X112-TODAY(),"0")&amp;" days","Valid")))</f>
        <v>0</v>
      </c>
      <c r="AQ112" s="31">
        <f>IF(D112="","",COUNTIFS('Visit Log'!$E$5:$E$404,D112,'Visit Log'!$AE$5:$AE$404,"Completed"))</f>
        <v>0</v>
      </c>
      <c r="AR112" s="21">
        <f>IF(D112="","",IF(SUMPRODUCT(MAX(('Visit Log'!$E$5:$E$404=D112)*('Visit Log'!$AE$5:$AE$404="Completed")*'Visit Log'!$C$5:$C$404))=0,"",SUMPRODUCT(MAX(('Visit Log'!$E$5:$E$404=D112)*('Visit Log'!$AE$5:$AE$404="Completed")*'Visit Log'!$C$5:$C$404))))</f>
        <v>0</v>
      </c>
      <c r="AS112" s="31">
        <f>IF(D112="","",COUNTIFS('Health Log'!$D$5:$D$204,D112))</f>
        <v>0</v>
      </c>
      <c r="AT112" s="49">
        <f>IF(B112="","",TRIM(IF(Y112="Expired","VACCINATION EXPIRED. ",IF(LEFT(Y112,6)="Due in","Vaccination due. ",""))&amp;IF(AND(AN112&lt;&gt;"",AN112&lt;&gt;"None"),AN112&amp;". ","")&amp;IF(AND(AG112&lt;&gt;"",AG112&lt;&gt;"None",AG112&lt;&gt;"-"),"On medication. ","")&amp;IF(Q112&lt;&gt;"",IF(OR(Q112="None",Q112="None known"),"","Allergy: "&amp;Q112),"")))</f>
        <v>0</v>
      </c>
    </row>
    <row r="113" spans="1:46">
      <c r="A113" s="46">
        <f>IF(B113="","",PetPrefix&amp;TEXT(ROW()-4,"0000"))</f>
        <v>0</v>
      </c>
      <c r="D113" s="28">
        <f>IF(B113="","",B113&amp;" ("&amp;C113&amp;")")</f>
        <v>0</v>
      </c>
      <c r="E113" s="28">
        <f>IF(C113="","",IFERROR(INDEX(Clients!$A$5:$A$254,MATCH(C113,Clients!$B$5:$B$254,0)),""))</f>
        <v>0</v>
      </c>
      <c r="I113" s="32">
        <f>IF(H113="","",ROUND(YEARFRAC(H113,TODAY()),1))</f>
        <v>0</v>
      </c>
      <c r="Y113" s="49">
        <f>IF(X113="","",IF(X113&lt;TODAY(),"Expired",IF(X113-TODAY()&lt;=VaccAlertDays,"Due in "&amp;TEXT(X113-TODAY(),"0")&amp;" days","Valid")))</f>
        <v>0</v>
      </c>
      <c r="AQ113" s="31">
        <f>IF(D113="","",COUNTIFS('Visit Log'!$E$5:$E$404,D113,'Visit Log'!$AE$5:$AE$404,"Completed"))</f>
        <v>0</v>
      </c>
      <c r="AR113" s="21">
        <f>IF(D113="","",IF(SUMPRODUCT(MAX(('Visit Log'!$E$5:$E$404=D113)*('Visit Log'!$AE$5:$AE$404="Completed")*'Visit Log'!$C$5:$C$404))=0,"",SUMPRODUCT(MAX(('Visit Log'!$E$5:$E$404=D113)*('Visit Log'!$AE$5:$AE$404="Completed")*'Visit Log'!$C$5:$C$404))))</f>
        <v>0</v>
      </c>
      <c r="AS113" s="31">
        <f>IF(D113="","",COUNTIFS('Health Log'!$D$5:$D$204,D113))</f>
        <v>0</v>
      </c>
      <c r="AT113" s="49">
        <f>IF(B113="","",TRIM(IF(Y113="Expired","VACCINATION EXPIRED. ",IF(LEFT(Y113,6)="Due in","Vaccination due. ",""))&amp;IF(AND(AN113&lt;&gt;"",AN113&lt;&gt;"None"),AN113&amp;". ","")&amp;IF(AND(AG113&lt;&gt;"",AG113&lt;&gt;"None",AG113&lt;&gt;"-"),"On medication. ","")&amp;IF(Q113&lt;&gt;"",IF(OR(Q113="None",Q113="None known"),"","Allergy: "&amp;Q113),"")))</f>
        <v>0</v>
      </c>
    </row>
    <row r="114" spans="1:46">
      <c r="A114" s="46">
        <f>IF(B114="","",PetPrefix&amp;TEXT(ROW()-4,"0000"))</f>
        <v>0</v>
      </c>
      <c r="D114" s="28">
        <f>IF(B114="","",B114&amp;" ("&amp;C114&amp;")")</f>
        <v>0</v>
      </c>
      <c r="E114" s="28">
        <f>IF(C114="","",IFERROR(INDEX(Clients!$A$5:$A$254,MATCH(C114,Clients!$B$5:$B$254,0)),""))</f>
        <v>0</v>
      </c>
      <c r="I114" s="32">
        <f>IF(H114="","",ROUND(YEARFRAC(H114,TODAY()),1))</f>
        <v>0</v>
      </c>
      <c r="Y114" s="49">
        <f>IF(X114="","",IF(X114&lt;TODAY(),"Expired",IF(X114-TODAY()&lt;=VaccAlertDays,"Due in "&amp;TEXT(X114-TODAY(),"0")&amp;" days","Valid")))</f>
        <v>0</v>
      </c>
      <c r="AQ114" s="31">
        <f>IF(D114="","",COUNTIFS('Visit Log'!$E$5:$E$404,D114,'Visit Log'!$AE$5:$AE$404,"Completed"))</f>
        <v>0</v>
      </c>
      <c r="AR114" s="21">
        <f>IF(D114="","",IF(SUMPRODUCT(MAX(('Visit Log'!$E$5:$E$404=D114)*('Visit Log'!$AE$5:$AE$404="Completed")*'Visit Log'!$C$5:$C$404))=0,"",SUMPRODUCT(MAX(('Visit Log'!$E$5:$E$404=D114)*('Visit Log'!$AE$5:$AE$404="Completed")*'Visit Log'!$C$5:$C$404))))</f>
        <v>0</v>
      </c>
      <c r="AS114" s="31">
        <f>IF(D114="","",COUNTIFS('Health Log'!$D$5:$D$204,D114))</f>
        <v>0</v>
      </c>
      <c r="AT114" s="49">
        <f>IF(B114="","",TRIM(IF(Y114="Expired","VACCINATION EXPIRED. ",IF(LEFT(Y114,6)="Due in","Vaccination due. ",""))&amp;IF(AND(AN114&lt;&gt;"",AN114&lt;&gt;"None"),AN114&amp;". ","")&amp;IF(AND(AG114&lt;&gt;"",AG114&lt;&gt;"None",AG114&lt;&gt;"-"),"On medication. ","")&amp;IF(Q114&lt;&gt;"",IF(OR(Q114="None",Q114="None known"),"","Allergy: "&amp;Q114),"")))</f>
        <v>0</v>
      </c>
    </row>
    <row r="115" spans="1:46">
      <c r="A115" s="46">
        <f>IF(B115="","",PetPrefix&amp;TEXT(ROW()-4,"0000"))</f>
        <v>0</v>
      </c>
      <c r="D115" s="28">
        <f>IF(B115="","",B115&amp;" ("&amp;C115&amp;")")</f>
        <v>0</v>
      </c>
      <c r="E115" s="28">
        <f>IF(C115="","",IFERROR(INDEX(Clients!$A$5:$A$254,MATCH(C115,Clients!$B$5:$B$254,0)),""))</f>
        <v>0</v>
      </c>
      <c r="I115" s="32">
        <f>IF(H115="","",ROUND(YEARFRAC(H115,TODAY()),1))</f>
        <v>0</v>
      </c>
      <c r="Y115" s="49">
        <f>IF(X115="","",IF(X115&lt;TODAY(),"Expired",IF(X115-TODAY()&lt;=VaccAlertDays,"Due in "&amp;TEXT(X115-TODAY(),"0")&amp;" days","Valid")))</f>
        <v>0</v>
      </c>
      <c r="AQ115" s="31">
        <f>IF(D115="","",COUNTIFS('Visit Log'!$E$5:$E$404,D115,'Visit Log'!$AE$5:$AE$404,"Completed"))</f>
        <v>0</v>
      </c>
      <c r="AR115" s="21">
        <f>IF(D115="","",IF(SUMPRODUCT(MAX(('Visit Log'!$E$5:$E$404=D115)*('Visit Log'!$AE$5:$AE$404="Completed")*'Visit Log'!$C$5:$C$404))=0,"",SUMPRODUCT(MAX(('Visit Log'!$E$5:$E$404=D115)*('Visit Log'!$AE$5:$AE$404="Completed")*'Visit Log'!$C$5:$C$404))))</f>
        <v>0</v>
      </c>
      <c r="AS115" s="31">
        <f>IF(D115="","",COUNTIFS('Health Log'!$D$5:$D$204,D115))</f>
        <v>0</v>
      </c>
      <c r="AT115" s="49">
        <f>IF(B115="","",TRIM(IF(Y115="Expired","VACCINATION EXPIRED. ",IF(LEFT(Y115,6)="Due in","Vaccination due. ",""))&amp;IF(AND(AN115&lt;&gt;"",AN115&lt;&gt;"None"),AN115&amp;". ","")&amp;IF(AND(AG115&lt;&gt;"",AG115&lt;&gt;"None",AG115&lt;&gt;"-"),"On medication. ","")&amp;IF(Q115&lt;&gt;"",IF(OR(Q115="None",Q115="None known"),"","Allergy: "&amp;Q115),"")))</f>
        <v>0</v>
      </c>
    </row>
    <row r="116" spans="1:46">
      <c r="A116" s="46">
        <f>IF(B116="","",PetPrefix&amp;TEXT(ROW()-4,"0000"))</f>
        <v>0</v>
      </c>
      <c r="D116" s="28">
        <f>IF(B116="","",B116&amp;" ("&amp;C116&amp;")")</f>
        <v>0</v>
      </c>
      <c r="E116" s="28">
        <f>IF(C116="","",IFERROR(INDEX(Clients!$A$5:$A$254,MATCH(C116,Clients!$B$5:$B$254,0)),""))</f>
        <v>0</v>
      </c>
      <c r="I116" s="32">
        <f>IF(H116="","",ROUND(YEARFRAC(H116,TODAY()),1))</f>
        <v>0</v>
      </c>
      <c r="Y116" s="49">
        <f>IF(X116="","",IF(X116&lt;TODAY(),"Expired",IF(X116-TODAY()&lt;=VaccAlertDays,"Due in "&amp;TEXT(X116-TODAY(),"0")&amp;" days","Valid")))</f>
        <v>0</v>
      </c>
      <c r="AQ116" s="31">
        <f>IF(D116="","",COUNTIFS('Visit Log'!$E$5:$E$404,D116,'Visit Log'!$AE$5:$AE$404,"Completed"))</f>
        <v>0</v>
      </c>
      <c r="AR116" s="21">
        <f>IF(D116="","",IF(SUMPRODUCT(MAX(('Visit Log'!$E$5:$E$404=D116)*('Visit Log'!$AE$5:$AE$404="Completed")*'Visit Log'!$C$5:$C$404))=0,"",SUMPRODUCT(MAX(('Visit Log'!$E$5:$E$404=D116)*('Visit Log'!$AE$5:$AE$404="Completed")*'Visit Log'!$C$5:$C$404))))</f>
        <v>0</v>
      </c>
      <c r="AS116" s="31">
        <f>IF(D116="","",COUNTIFS('Health Log'!$D$5:$D$204,D116))</f>
        <v>0</v>
      </c>
      <c r="AT116" s="49">
        <f>IF(B116="","",TRIM(IF(Y116="Expired","VACCINATION EXPIRED. ",IF(LEFT(Y116,6)="Due in","Vaccination due. ",""))&amp;IF(AND(AN116&lt;&gt;"",AN116&lt;&gt;"None"),AN116&amp;". ","")&amp;IF(AND(AG116&lt;&gt;"",AG116&lt;&gt;"None",AG116&lt;&gt;"-"),"On medication. ","")&amp;IF(Q116&lt;&gt;"",IF(OR(Q116="None",Q116="None known"),"","Allergy: "&amp;Q116),"")))</f>
        <v>0</v>
      </c>
    </row>
    <row r="117" spans="1:46">
      <c r="A117" s="46">
        <f>IF(B117="","",PetPrefix&amp;TEXT(ROW()-4,"0000"))</f>
        <v>0</v>
      </c>
      <c r="D117" s="28">
        <f>IF(B117="","",B117&amp;" ("&amp;C117&amp;")")</f>
        <v>0</v>
      </c>
      <c r="E117" s="28">
        <f>IF(C117="","",IFERROR(INDEX(Clients!$A$5:$A$254,MATCH(C117,Clients!$B$5:$B$254,0)),""))</f>
        <v>0</v>
      </c>
      <c r="I117" s="32">
        <f>IF(H117="","",ROUND(YEARFRAC(H117,TODAY()),1))</f>
        <v>0</v>
      </c>
      <c r="Y117" s="49">
        <f>IF(X117="","",IF(X117&lt;TODAY(),"Expired",IF(X117-TODAY()&lt;=VaccAlertDays,"Due in "&amp;TEXT(X117-TODAY(),"0")&amp;" days","Valid")))</f>
        <v>0</v>
      </c>
      <c r="AQ117" s="31">
        <f>IF(D117="","",COUNTIFS('Visit Log'!$E$5:$E$404,D117,'Visit Log'!$AE$5:$AE$404,"Completed"))</f>
        <v>0</v>
      </c>
      <c r="AR117" s="21">
        <f>IF(D117="","",IF(SUMPRODUCT(MAX(('Visit Log'!$E$5:$E$404=D117)*('Visit Log'!$AE$5:$AE$404="Completed")*'Visit Log'!$C$5:$C$404))=0,"",SUMPRODUCT(MAX(('Visit Log'!$E$5:$E$404=D117)*('Visit Log'!$AE$5:$AE$404="Completed")*'Visit Log'!$C$5:$C$404))))</f>
        <v>0</v>
      </c>
      <c r="AS117" s="31">
        <f>IF(D117="","",COUNTIFS('Health Log'!$D$5:$D$204,D117))</f>
        <v>0</v>
      </c>
      <c r="AT117" s="49">
        <f>IF(B117="","",TRIM(IF(Y117="Expired","VACCINATION EXPIRED. ",IF(LEFT(Y117,6)="Due in","Vaccination due. ",""))&amp;IF(AND(AN117&lt;&gt;"",AN117&lt;&gt;"None"),AN117&amp;". ","")&amp;IF(AND(AG117&lt;&gt;"",AG117&lt;&gt;"None",AG117&lt;&gt;"-"),"On medication. ","")&amp;IF(Q117&lt;&gt;"",IF(OR(Q117="None",Q117="None known"),"","Allergy: "&amp;Q117),"")))</f>
        <v>0</v>
      </c>
    </row>
    <row r="118" spans="1:46">
      <c r="A118" s="46">
        <f>IF(B118="","",PetPrefix&amp;TEXT(ROW()-4,"0000"))</f>
        <v>0</v>
      </c>
      <c r="D118" s="28">
        <f>IF(B118="","",B118&amp;" ("&amp;C118&amp;")")</f>
        <v>0</v>
      </c>
      <c r="E118" s="28">
        <f>IF(C118="","",IFERROR(INDEX(Clients!$A$5:$A$254,MATCH(C118,Clients!$B$5:$B$254,0)),""))</f>
        <v>0</v>
      </c>
      <c r="I118" s="32">
        <f>IF(H118="","",ROUND(YEARFRAC(H118,TODAY()),1))</f>
        <v>0</v>
      </c>
      <c r="Y118" s="49">
        <f>IF(X118="","",IF(X118&lt;TODAY(),"Expired",IF(X118-TODAY()&lt;=VaccAlertDays,"Due in "&amp;TEXT(X118-TODAY(),"0")&amp;" days","Valid")))</f>
        <v>0</v>
      </c>
      <c r="AQ118" s="31">
        <f>IF(D118="","",COUNTIFS('Visit Log'!$E$5:$E$404,D118,'Visit Log'!$AE$5:$AE$404,"Completed"))</f>
        <v>0</v>
      </c>
      <c r="AR118" s="21">
        <f>IF(D118="","",IF(SUMPRODUCT(MAX(('Visit Log'!$E$5:$E$404=D118)*('Visit Log'!$AE$5:$AE$404="Completed")*'Visit Log'!$C$5:$C$404))=0,"",SUMPRODUCT(MAX(('Visit Log'!$E$5:$E$404=D118)*('Visit Log'!$AE$5:$AE$404="Completed")*'Visit Log'!$C$5:$C$404))))</f>
        <v>0</v>
      </c>
      <c r="AS118" s="31">
        <f>IF(D118="","",COUNTIFS('Health Log'!$D$5:$D$204,D118))</f>
        <v>0</v>
      </c>
      <c r="AT118" s="49">
        <f>IF(B118="","",TRIM(IF(Y118="Expired","VACCINATION EXPIRED. ",IF(LEFT(Y118,6)="Due in","Vaccination due. ",""))&amp;IF(AND(AN118&lt;&gt;"",AN118&lt;&gt;"None"),AN118&amp;". ","")&amp;IF(AND(AG118&lt;&gt;"",AG118&lt;&gt;"None",AG118&lt;&gt;"-"),"On medication. ","")&amp;IF(Q118&lt;&gt;"",IF(OR(Q118="None",Q118="None known"),"","Allergy: "&amp;Q118),"")))</f>
        <v>0</v>
      </c>
    </row>
    <row r="119" spans="1:46">
      <c r="A119" s="46">
        <f>IF(B119="","",PetPrefix&amp;TEXT(ROW()-4,"0000"))</f>
        <v>0</v>
      </c>
      <c r="D119" s="28">
        <f>IF(B119="","",B119&amp;" ("&amp;C119&amp;")")</f>
        <v>0</v>
      </c>
      <c r="E119" s="28">
        <f>IF(C119="","",IFERROR(INDEX(Clients!$A$5:$A$254,MATCH(C119,Clients!$B$5:$B$254,0)),""))</f>
        <v>0</v>
      </c>
      <c r="I119" s="32">
        <f>IF(H119="","",ROUND(YEARFRAC(H119,TODAY()),1))</f>
        <v>0</v>
      </c>
      <c r="Y119" s="49">
        <f>IF(X119="","",IF(X119&lt;TODAY(),"Expired",IF(X119-TODAY()&lt;=VaccAlertDays,"Due in "&amp;TEXT(X119-TODAY(),"0")&amp;" days","Valid")))</f>
        <v>0</v>
      </c>
      <c r="AQ119" s="31">
        <f>IF(D119="","",COUNTIFS('Visit Log'!$E$5:$E$404,D119,'Visit Log'!$AE$5:$AE$404,"Completed"))</f>
        <v>0</v>
      </c>
      <c r="AR119" s="21">
        <f>IF(D119="","",IF(SUMPRODUCT(MAX(('Visit Log'!$E$5:$E$404=D119)*('Visit Log'!$AE$5:$AE$404="Completed")*'Visit Log'!$C$5:$C$404))=0,"",SUMPRODUCT(MAX(('Visit Log'!$E$5:$E$404=D119)*('Visit Log'!$AE$5:$AE$404="Completed")*'Visit Log'!$C$5:$C$404))))</f>
        <v>0</v>
      </c>
      <c r="AS119" s="31">
        <f>IF(D119="","",COUNTIFS('Health Log'!$D$5:$D$204,D119))</f>
        <v>0</v>
      </c>
      <c r="AT119" s="49">
        <f>IF(B119="","",TRIM(IF(Y119="Expired","VACCINATION EXPIRED. ",IF(LEFT(Y119,6)="Due in","Vaccination due. ",""))&amp;IF(AND(AN119&lt;&gt;"",AN119&lt;&gt;"None"),AN119&amp;". ","")&amp;IF(AND(AG119&lt;&gt;"",AG119&lt;&gt;"None",AG119&lt;&gt;"-"),"On medication. ","")&amp;IF(Q119&lt;&gt;"",IF(OR(Q119="None",Q119="None known"),"","Allergy: "&amp;Q119),"")))</f>
        <v>0</v>
      </c>
    </row>
    <row r="120" spans="1:46">
      <c r="A120" s="46">
        <f>IF(B120="","",PetPrefix&amp;TEXT(ROW()-4,"0000"))</f>
        <v>0</v>
      </c>
      <c r="D120" s="28">
        <f>IF(B120="","",B120&amp;" ("&amp;C120&amp;")")</f>
        <v>0</v>
      </c>
      <c r="E120" s="28">
        <f>IF(C120="","",IFERROR(INDEX(Clients!$A$5:$A$254,MATCH(C120,Clients!$B$5:$B$254,0)),""))</f>
        <v>0</v>
      </c>
      <c r="I120" s="32">
        <f>IF(H120="","",ROUND(YEARFRAC(H120,TODAY()),1))</f>
        <v>0</v>
      </c>
      <c r="Y120" s="49">
        <f>IF(X120="","",IF(X120&lt;TODAY(),"Expired",IF(X120-TODAY()&lt;=VaccAlertDays,"Due in "&amp;TEXT(X120-TODAY(),"0")&amp;" days","Valid")))</f>
        <v>0</v>
      </c>
      <c r="AQ120" s="31">
        <f>IF(D120="","",COUNTIFS('Visit Log'!$E$5:$E$404,D120,'Visit Log'!$AE$5:$AE$404,"Completed"))</f>
        <v>0</v>
      </c>
      <c r="AR120" s="21">
        <f>IF(D120="","",IF(SUMPRODUCT(MAX(('Visit Log'!$E$5:$E$404=D120)*('Visit Log'!$AE$5:$AE$404="Completed")*'Visit Log'!$C$5:$C$404))=0,"",SUMPRODUCT(MAX(('Visit Log'!$E$5:$E$404=D120)*('Visit Log'!$AE$5:$AE$404="Completed")*'Visit Log'!$C$5:$C$404))))</f>
        <v>0</v>
      </c>
      <c r="AS120" s="31">
        <f>IF(D120="","",COUNTIFS('Health Log'!$D$5:$D$204,D120))</f>
        <v>0</v>
      </c>
      <c r="AT120" s="49">
        <f>IF(B120="","",TRIM(IF(Y120="Expired","VACCINATION EXPIRED. ",IF(LEFT(Y120,6)="Due in","Vaccination due. ",""))&amp;IF(AND(AN120&lt;&gt;"",AN120&lt;&gt;"None"),AN120&amp;". ","")&amp;IF(AND(AG120&lt;&gt;"",AG120&lt;&gt;"None",AG120&lt;&gt;"-"),"On medication. ","")&amp;IF(Q120&lt;&gt;"",IF(OR(Q120="None",Q120="None known"),"","Allergy: "&amp;Q120),"")))</f>
        <v>0</v>
      </c>
    </row>
    <row r="121" spans="1:46">
      <c r="A121" s="46">
        <f>IF(B121="","",PetPrefix&amp;TEXT(ROW()-4,"0000"))</f>
        <v>0</v>
      </c>
      <c r="D121" s="28">
        <f>IF(B121="","",B121&amp;" ("&amp;C121&amp;")")</f>
        <v>0</v>
      </c>
      <c r="E121" s="28">
        <f>IF(C121="","",IFERROR(INDEX(Clients!$A$5:$A$254,MATCH(C121,Clients!$B$5:$B$254,0)),""))</f>
        <v>0</v>
      </c>
      <c r="I121" s="32">
        <f>IF(H121="","",ROUND(YEARFRAC(H121,TODAY()),1))</f>
        <v>0</v>
      </c>
      <c r="Y121" s="49">
        <f>IF(X121="","",IF(X121&lt;TODAY(),"Expired",IF(X121-TODAY()&lt;=VaccAlertDays,"Due in "&amp;TEXT(X121-TODAY(),"0")&amp;" days","Valid")))</f>
        <v>0</v>
      </c>
      <c r="AQ121" s="31">
        <f>IF(D121="","",COUNTIFS('Visit Log'!$E$5:$E$404,D121,'Visit Log'!$AE$5:$AE$404,"Completed"))</f>
        <v>0</v>
      </c>
      <c r="AR121" s="21">
        <f>IF(D121="","",IF(SUMPRODUCT(MAX(('Visit Log'!$E$5:$E$404=D121)*('Visit Log'!$AE$5:$AE$404="Completed")*'Visit Log'!$C$5:$C$404))=0,"",SUMPRODUCT(MAX(('Visit Log'!$E$5:$E$404=D121)*('Visit Log'!$AE$5:$AE$404="Completed")*'Visit Log'!$C$5:$C$404))))</f>
        <v>0</v>
      </c>
      <c r="AS121" s="31">
        <f>IF(D121="","",COUNTIFS('Health Log'!$D$5:$D$204,D121))</f>
        <v>0</v>
      </c>
      <c r="AT121" s="49">
        <f>IF(B121="","",TRIM(IF(Y121="Expired","VACCINATION EXPIRED. ",IF(LEFT(Y121,6)="Due in","Vaccination due. ",""))&amp;IF(AND(AN121&lt;&gt;"",AN121&lt;&gt;"None"),AN121&amp;". ","")&amp;IF(AND(AG121&lt;&gt;"",AG121&lt;&gt;"None",AG121&lt;&gt;"-"),"On medication. ","")&amp;IF(Q121&lt;&gt;"",IF(OR(Q121="None",Q121="None known"),"","Allergy: "&amp;Q121),"")))</f>
        <v>0</v>
      </c>
    </row>
    <row r="122" spans="1:46">
      <c r="A122" s="46">
        <f>IF(B122="","",PetPrefix&amp;TEXT(ROW()-4,"0000"))</f>
        <v>0</v>
      </c>
      <c r="D122" s="28">
        <f>IF(B122="","",B122&amp;" ("&amp;C122&amp;")")</f>
        <v>0</v>
      </c>
      <c r="E122" s="28">
        <f>IF(C122="","",IFERROR(INDEX(Clients!$A$5:$A$254,MATCH(C122,Clients!$B$5:$B$254,0)),""))</f>
        <v>0</v>
      </c>
      <c r="I122" s="32">
        <f>IF(H122="","",ROUND(YEARFRAC(H122,TODAY()),1))</f>
        <v>0</v>
      </c>
      <c r="Y122" s="49">
        <f>IF(X122="","",IF(X122&lt;TODAY(),"Expired",IF(X122-TODAY()&lt;=VaccAlertDays,"Due in "&amp;TEXT(X122-TODAY(),"0")&amp;" days","Valid")))</f>
        <v>0</v>
      </c>
      <c r="AQ122" s="31">
        <f>IF(D122="","",COUNTIFS('Visit Log'!$E$5:$E$404,D122,'Visit Log'!$AE$5:$AE$404,"Completed"))</f>
        <v>0</v>
      </c>
      <c r="AR122" s="21">
        <f>IF(D122="","",IF(SUMPRODUCT(MAX(('Visit Log'!$E$5:$E$404=D122)*('Visit Log'!$AE$5:$AE$404="Completed")*'Visit Log'!$C$5:$C$404))=0,"",SUMPRODUCT(MAX(('Visit Log'!$E$5:$E$404=D122)*('Visit Log'!$AE$5:$AE$404="Completed")*'Visit Log'!$C$5:$C$404))))</f>
        <v>0</v>
      </c>
      <c r="AS122" s="31">
        <f>IF(D122="","",COUNTIFS('Health Log'!$D$5:$D$204,D122))</f>
        <v>0</v>
      </c>
      <c r="AT122" s="49">
        <f>IF(B122="","",TRIM(IF(Y122="Expired","VACCINATION EXPIRED. ",IF(LEFT(Y122,6)="Due in","Vaccination due. ",""))&amp;IF(AND(AN122&lt;&gt;"",AN122&lt;&gt;"None"),AN122&amp;". ","")&amp;IF(AND(AG122&lt;&gt;"",AG122&lt;&gt;"None",AG122&lt;&gt;"-"),"On medication. ","")&amp;IF(Q122&lt;&gt;"",IF(OR(Q122="None",Q122="None known"),"","Allergy: "&amp;Q122),"")))</f>
        <v>0</v>
      </c>
    </row>
    <row r="123" spans="1:46">
      <c r="A123" s="46">
        <f>IF(B123="","",PetPrefix&amp;TEXT(ROW()-4,"0000"))</f>
        <v>0</v>
      </c>
      <c r="D123" s="28">
        <f>IF(B123="","",B123&amp;" ("&amp;C123&amp;")")</f>
        <v>0</v>
      </c>
      <c r="E123" s="28">
        <f>IF(C123="","",IFERROR(INDEX(Clients!$A$5:$A$254,MATCH(C123,Clients!$B$5:$B$254,0)),""))</f>
        <v>0</v>
      </c>
      <c r="I123" s="32">
        <f>IF(H123="","",ROUND(YEARFRAC(H123,TODAY()),1))</f>
        <v>0</v>
      </c>
      <c r="Y123" s="49">
        <f>IF(X123="","",IF(X123&lt;TODAY(),"Expired",IF(X123-TODAY()&lt;=VaccAlertDays,"Due in "&amp;TEXT(X123-TODAY(),"0")&amp;" days","Valid")))</f>
        <v>0</v>
      </c>
      <c r="AQ123" s="31">
        <f>IF(D123="","",COUNTIFS('Visit Log'!$E$5:$E$404,D123,'Visit Log'!$AE$5:$AE$404,"Completed"))</f>
        <v>0</v>
      </c>
      <c r="AR123" s="21">
        <f>IF(D123="","",IF(SUMPRODUCT(MAX(('Visit Log'!$E$5:$E$404=D123)*('Visit Log'!$AE$5:$AE$404="Completed")*'Visit Log'!$C$5:$C$404))=0,"",SUMPRODUCT(MAX(('Visit Log'!$E$5:$E$404=D123)*('Visit Log'!$AE$5:$AE$404="Completed")*'Visit Log'!$C$5:$C$404))))</f>
        <v>0</v>
      </c>
      <c r="AS123" s="31">
        <f>IF(D123="","",COUNTIFS('Health Log'!$D$5:$D$204,D123))</f>
        <v>0</v>
      </c>
      <c r="AT123" s="49">
        <f>IF(B123="","",TRIM(IF(Y123="Expired","VACCINATION EXPIRED. ",IF(LEFT(Y123,6)="Due in","Vaccination due. ",""))&amp;IF(AND(AN123&lt;&gt;"",AN123&lt;&gt;"None"),AN123&amp;". ","")&amp;IF(AND(AG123&lt;&gt;"",AG123&lt;&gt;"None",AG123&lt;&gt;"-"),"On medication. ","")&amp;IF(Q123&lt;&gt;"",IF(OR(Q123="None",Q123="None known"),"","Allergy: "&amp;Q123),"")))</f>
        <v>0</v>
      </c>
    </row>
    <row r="124" spans="1:46">
      <c r="A124" s="46">
        <f>IF(B124="","",PetPrefix&amp;TEXT(ROW()-4,"0000"))</f>
        <v>0</v>
      </c>
      <c r="D124" s="28">
        <f>IF(B124="","",B124&amp;" ("&amp;C124&amp;")")</f>
        <v>0</v>
      </c>
      <c r="E124" s="28">
        <f>IF(C124="","",IFERROR(INDEX(Clients!$A$5:$A$254,MATCH(C124,Clients!$B$5:$B$254,0)),""))</f>
        <v>0</v>
      </c>
      <c r="I124" s="32">
        <f>IF(H124="","",ROUND(YEARFRAC(H124,TODAY()),1))</f>
        <v>0</v>
      </c>
      <c r="Y124" s="49">
        <f>IF(X124="","",IF(X124&lt;TODAY(),"Expired",IF(X124-TODAY()&lt;=VaccAlertDays,"Due in "&amp;TEXT(X124-TODAY(),"0")&amp;" days","Valid")))</f>
        <v>0</v>
      </c>
      <c r="AQ124" s="31">
        <f>IF(D124="","",COUNTIFS('Visit Log'!$E$5:$E$404,D124,'Visit Log'!$AE$5:$AE$404,"Completed"))</f>
        <v>0</v>
      </c>
      <c r="AR124" s="21">
        <f>IF(D124="","",IF(SUMPRODUCT(MAX(('Visit Log'!$E$5:$E$404=D124)*('Visit Log'!$AE$5:$AE$404="Completed")*'Visit Log'!$C$5:$C$404))=0,"",SUMPRODUCT(MAX(('Visit Log'!$E$5:$E$404=D124)*('Visit Log'!$AE$5:$AE$404="Completed")*'Visit Log'!$C$5:$C$404))))</f>
        <v>0</v>
      </c>
      <c r="AS124" s="31">
        <f>IF(D124="","",COUNTIFS('Health Log'!$D$5:$D$204,D124))</f>
        <v>0</v>
      </c>
      <c r="AT124" s="49">
        <f>IF(B124="","",TRIM(IF(Y124="Expired","VACCINATION EXPIRED. ",IF(LEFT(Y124,6)="Due in","Vaccination due. ",""))&amp;IF(AND(AN124&lt;&gt;"",AN124&lt;&gt;"None"),AN124&amp;". ","")&amp;IF(AND(AG124&lt;&gt;"",AG124&lt;&gt;"None",AG124&lt;&gt;"-"),"On medication. ","")&amp;IF(Q124&lt;&gt;"",IF(OR(Q124="None",Q124="None known"),"","Allergy: "&amp;Q124),"")))</f>
        <v>0</v>
      </c>
    </row>
    <row r="125" spans="1:46">
      <c r="A125" s="46">
        <f>IF(B125="","",PetPrefix&amp;TEXT(ROW()-4,"0000"))</f>
        <v>0</v>
      </c>
      <c r="D125" s="28">
        <f>IF(B125="","",B125&amp;" ("&amp;C125&amp;")")</f>
        <v>0</v>
      </c>
      <c r="E125" s="28">
        <f>IF(C125="","",IFERROR(INDEX(Clients!$A$5:$A$254,MATCH(C125,Clients!$B$5:$B$254,0)),""))</f>
        <v>0</v>
      </c>
      <c r="I125" s="32">
        <f>IF(H125="","",ROUND(YEARFRAC(H125,TODAY()),1))</f>
        <v>0</v>
      </c>
      <c r="Y125" s="49">
        <f>IF(X125="","",IF(X125&lt;TODAY(),"Expired",IF(X125-TODAY()&lt;=VaccAlertDays,"Due in "&amp;TEXT(X125-TODAY(),"0")&amp;" days","Valid")))</f>
        <v>0</v>
      </c>
      <c r="AQ125" s="31">
        <f>IF(D125="","",COUNTIFS('Visit Log'!$E$5:$E$404,D125,'Visit Log'!$AE$5:$AE$404,"Completed"))</f>
        <v>0</v>
      </c>
      <c r="AR125" s="21">
        <f>IF(D125="","",IF(SUMPRODUCT(MAX(('Visit Log'!$E$5:$E$404=D125)*('Visit Log'!$AE$5:$AE$404="Completed")*'Visit Log'!$C$5:$C$404))=0,"",SUMPRODUCT(MAX(('Visit Log'!$E$5:$E$404=D125)*('Visit Log'!$AE$5:$AE$404="Completed")*'Visit Log'!$C$5:$C$404))))</f>
        <v>0</v>
      </c>
      <c r="AS125" s="31">
        <f>IF(D125="","",COUNTIFS('Health Log'!$D$5:$D$204,D125))</f>
        <v>0</v>
      </c>
      <c r="AT125" s="49">
        <f>IF(B125="","",TRIM(IF(Y125="Expired","VACCINATION EXPIRED. ",IF(LEFT(Y125,6)="Due in","Vaccination due. ",""))&amp;IF(AND(AN125&lt;&gt;"",AN125&lt;&gt;"None"),AN125&amp;". ","")&amp;IF(AND(AG125&lt;&gt;"",AG125&lt;&gt;"None",AG125&lt;&gt;"-"),"On medication. ","")&amp;IF(Q125&lt;&gt;"",IF(OR(Q125="None",Q125="None known"),"","Allergy: "&amp;Q125),"")))</f>
        <v>0</v>
      </c>
    </row>
    <row r="126" spans="1:46">
      <c r="A126" s="46">
        <f>IF(B126="","",PetPrefix&amp;TEXT(ROW()-4,"0000"))</f>
        <v>0</v>
      </c>
      <c r="D126" s="28">
        <f>IF(B126="","",B126&amp;" ("&amp;C126&amp;")")</f>
        <v>0</v>
      </c>
      <c r="E126" s="28">
        <f>IF(C126="","",IFERROR(INDEX(Clients!$A$5:$A$254,MATCH(C126,Clients!$B$5:$B$254,0)),""))</f>
        <v>0</v>
      </c>
      <c r="I126" s="32">
        <f>IF(H126="","",ROUND(YEARFRAC(H126,TODAY()),1))</f>
        <v>0</v>
      </c>
      <c r="Y126" s="49">
        <f>IF(X126="","",IF(X126&lt;TODAY(),"Expired",IF(X126-TODAY()&lt;=VaccAlertDays,"Due in "&amp;TEXT(X126-TODAY(),"0")&amp;" days","Valid")))</f>
        <v>0</v>
      </c>
      <c r="AQ126" s="31">
        <f>IF(D126="","",COUNTIFS('Visit Log'!$E$5:$E$404,D126,'Visit Log'!$AE$5:$AE$404,"Completed"))</f>
        <v>0</v>
      </c>
      <c r="AR126" s="21">
        <f>IF(D126="","",IF(SUMPRODUCT(MAX(('Visit Log'!$E$5:$E$404=D126)*('Visit Log'!$AE$5:$AE$404="Completed")*'Visit Log'!$C$5:$C$404))=0,"",SUMPRODUCT(MAX(('Visit Log'!$E$5:$E$404=D126)*('Visit Log'!$AE$5:$AE$404="Completed")*'Visit Log'!$C$5:$C$404))))</f>
        <v>0</v>
      </c>
      <c r="AS126" s="31">
        <f>IF(D126="","",COUNTIFS('Health Log'!$D$5:$D$204,D126))</f>
        <v>0</v>
      </c>
      <c r="AT126" s="49">
        <f>IF(B126="","",TRIM(IF(Y126="Expired","VACCINATION EXPIRED. ",IF(LEFT(Y126,6)="Due in","Vaccination due. ",""))&amp;IF(AND(AN126&lt;&gt;"",AN126&lt;&gt;"None"),AN126&amp;". ","")&amp;IF(AND(AG126&lt;&gt;"",AG126&lt;&gt;"None",AG126&lt;&gt;"-"),"On medication. ","")&amp;IF(Q126&lt;&gt;"",IF(OR(Q126="None",Q126="None known"),"","Allergy: "&amp;Q126),"")))</f>
        <v>0</v>
      </c>
    </row>
    <row r="127" spans="1:46">
      <c r="A127" s="46">
        <f>IF(B127="","",PetPrefix&amp;TEXT(ROW()-4,"0000"))</f>
        <v>0</v>
      </c>
      <c r="D127" s="28">
        <f>IF(B127="","",B127&amp;" ("&amp;C127&amp;")")</f>
        <v>0</v>
      </c>
      <c r="E127" s="28">
        <f>IF(C127="","",IFERROR(INDEX(Clients!$A$5:$A$254,MATCH(C127,Clients!$B$5:$B$254,0)),""))</f>
        <v>0</v>
      </c>
      <c r="I127" s="32">
        <f>IF(H127="","",ROUND(YEARFRAC(H127,TODAY()),1))</f>
        <v>0</v>
      </c>
      <c r="Y127" s="49">
        <f>IF(X127="","",IF(X127&lt;TODAY(),"Expired",IF(X127-TODAY()&lt;=VaccAlertDays,"Due in "&amp;TEXT(X127-TODAY(),"0")&amp;" days","Valid")))</f>
        <v>0</v>
      </c>
      <c r="AQ127" s="31">
        <f>IF(D127="","",COUNTIFS('Visit Log'!$E$5:$E$404,D127,'Visit Log'!$AE$5:$AE$404,"Completed"))</f>
        <v>0</v>
      </c>
      <c r="AR127" s="21">
        <f>IF(D127="","",IF(SUMPRODUCT(MAX(('Visit Log'!$E$5:$E$404=D127)*('Visit Log'!$AE$5:$AE$404="Completed")*'Visit Log'!$C$5:$C$404))=0,"",SUMPRODUCT(MAX(('Visit Log'!$E$5:$E$404=D127)*('Visit Log'!$AE$5:$AE$404="Completed")*'Visit Log'!$C$5:$C$404))))</f>
        <v>0</v>
      </c>
      <c r="AS127" s="31">
        <f>IF(D127="","",COUNTIFS('Health Log'!$D$5:$D$204,D127))</f>
        <v>0</v>
      </c>
      <c r="AT127" s="49">
        <f>IF(B127="","",TRIM(IF(Y127="Expired","VACCINATION EXPIRED. ",IF(LEFT(Y127,6)="Due in","Vaccination due. ",""))&amp;IF(AND(AN127&lt;&gt;"",AN127&lt;&gt;"None"),AN127&amp;". ","")&amp;IF(AND(AG127&lt;&gt;"",AG127&lt;&gt;"None",AG127&lt;&gt;"-"),"On medication. ","")&amp;IF(Q127&lt;&gt;"",IF(OR(Q127="None",Q127="None known"),"","Allergy: "&amp;Q127),"")))</f>
        <v>0</v>
      </c>
    </row>
    <row r="128" spans="1:46">
      <c r="A128" s="46">
        <f>IF(B128="","",PetPrefix&amp;TEXT(ROW()-4,"0000"))</f>
        <v>0</v>
      </c>
      <c r="D128" s="28">
        <f>IF(B128="","",B128&amp;" ("&amp;C128&amp;")")</f>
        <v>0</v>
      </c>
      <c r="E128" s="28">
        <f>IF(C128="","",IFERROR(INDEX(Clients!$A$5:$A$254,MATCH(C128,Clients!$B$5:$B$254,0)),""))</f>
        <v>0</v>
      </c>
      <c r="I128" s="32">
        <f>IF(H128="","",ROUND(YEARFRAC(H128,TODAY()),1))</f>
        <v>0</v>
      </c>
      <c r="Y128" s="49">
        <f>IF(X128="","",IF(X128&lt;TODAY(),"Expired",IF(X128-TODAY()&lt;=VaccAlertDays,"Due in "&amp;TEXT(X128-TODAY(),"0")&amp;" days","Valid")))</f>
        <v>0</v>
      </c>
      <c r="AQ128" s="31">
        <f>IF(D128="","",COUNTIFS('Visit Log'!$E$5:$E$404,D128,'Visit Log'!$AE$5:$AE$404,"Completed"))</f>
        <v>0</v>
      </c>
      <c r="AR128" s="21">
        <f>IF(D128="","",IF(SUMPRODUCT(MAX(('Visit Log'!$E$5:$E$404=D128)*('Visit Log'!$AE$5:$AE$404="Completed")*'Visit Log'!$C$5:$C$404))=0,"",SUMPRODUCT(MAX(('Visit Log'!$E$5:$E$404=D128)*('Visit Log'!$AE$5:$AE$404="Completed")*'Visit Log'!$C$5:$C$404))))</f>
        <v>0</v>
      </c>
      <c r="AS128" s="31">
        <f>IF(D128="","",COUNTIFS('Health Log'!$D$5:$D$204,D128))</f>
        <v>0</v>
      </c>
      <c r="AT128" s="49">
        <f>IF(B128="","",TRIM(IF(Y128="Expired","VACCINATION EXPIRED. ",IF(LEFT(Y128,6)="Due in","Vaccination due. ",""))&amp;IF(AND(AN128&lt;&gt;"",AN128&lt;&gt;"None"),AN128&amp;". ","")&amp;IF(AND(AG128&lt;&gt;"",AG128&lt;&gt;"None",AG128&lt;&gt;"-"),"On medication. ","")&amp;IF(Q128&lt;&gt;"",IF(OR(Q128="None",Q128="None known"),"","Allergy: "&amp;Q128),"")))</f>
        <v>0</v>
      </c>
    </row>
    <row r="129" spans="1:46">
      <c r="A129" s="46">
        <f>IF(B129="","",PetPrefix&amp;TEXT(ROW()-4,"0000"))</f>
        <v>0</v>
      </c>
      <c r="D129" s="28">
        <f>IF(B129="","",B129&amp;" ("&amp;C129&amp;")")</f>
        <v>0</v>
      </c>
      <c r="E129" s="28">
        <f>IF(C129="","",IFERROR(INDEX(Clients!$A$5:$A$254,MATCH(C129,Clients!$B$5:$B$254,0)),""))</f>
        <v>0</v>
      </c>
      <c r="I129" s="32">
        <f>IF(H129="","",ROUND(YEARFRAC(H129,TODAY()),1))</f>
        <v>0</v>
      </c>
      <c r="Y129" s="49">
        <f>IF(X129="","",IF(X129&lt;TODAY(),"Expired",IF(X129-TODAY()&lt;=VaccAlertDays,"Due in "&amp;TEXT(X129-TODAY(),"0")&amp;" days","Valid")))</f>
        <v>0</v>
      </c>
      <c r="AQ129" s="31">
        <f>IF(D129="","",COUNTIFS('Visit Log'!$E$5:$E$404,D129,'Visit Log'!$AE$5:$AE$404,"Completed"))</f>
        <v>0</v>
      </c>
      <c r="AR129" s="21">
        <f>IF(D129="","",IF(SUMPRODUCT(MAX(('Visit Log'!$E$5:$E$404=D129)*('Visit Log'!$AE$5:$AE$404="Completed")*'Visit Log'!$C$5:$C$404))=0,"",SUMPRODUCT(MAX(('Visit Log'!$E$5:$E$404=D129)*('Visit Log'!$AE$5:$AE$404="Completed")*'Visit Log'!$C$5:$C$404))))</f>
        <v>0</v>
      </c>
      <c r="AS129" s="31">
        <f>IF(D129="","",COUNTIFS('Health Log'!$D$5:$D$204,D129))</f>
        <v>0</v>
      </c>
      <c r="AT129" s="49">
        <f>IF(B129="","",TRIM(IF(Y129="Expired","VACCINATION EXPIRED. ",IF(LEFT(Y129,6)="Due in","Vaccination due. ",""))&amp;IF(AND(AN129&lt;&gt;"",AN129&lt;&gt;"None"),AN129&amp;". ","")&amp;IF(AND(AG129&lt;&gt;"",AG129&lt;&gt;"None",AG129&lt;&gt;"-"),"On medication. ","")&amp;IF(Q129&lt;&gt;"",IF(OR(Q129="None",Q129="None known"),"","Allergy: "&amp;Q129),"")))</f>
        <v>0</v>
      </c>
    </row>
    <row r="130" spans="1:46">
      <c r="A130" s="46">
        <f>IF(B130="","",PetPrefix&amp;TEXT(ROW()-4,"0000"))</f>
        <v>0</v>
      </c>
      <c r="D130" s="28">
        <f>IF(B130="","",B130&amp;" ("&amp;C130&amp;")")</f>
        <v>0</v>
      </c>
      <c r="E130" s="28">
        <f>IF(C130="","",IFERROR(INDEX(Clients!$A$5:$A$254,MATCH(C130,Clients!$B$5:$B$254,0)),""))</f>
        <v>0</v>
      </c>
      <c r="I130" s="32">
        <f>IF(H130="","",ROUND(YEARFRAC(H130,TODAY()),1))</f>
        <v>0</v>
      </c>
      <c r="Y130" s="49">
        <f>IF(X130="","",IF(X130&lt;TODAY(),"Expired",IF(X130-TODAY()&lt;=VaccAlertDays,"Due in "&amp;TEXT(X130-TODAY(),"0")&amp;" days","Valid")))</f>
        <v>0</v>
      </c>
      <c r="AQ130" s="31">
        <f>IF(D130="","",COUNTIFS('Visit Log'!$E$5:$E$404,D130,'Visit Log'!$AE$5:$AE$404,"Completed"))</f>
        <v>0</v>
      </c>
      <c r="AR130" s="21">
        <f>IF(D130="","",IF(SUMPRODUCT(MAX(('Visit Log'!$E$5:$E$404=D130)*('Visit Log'!$AE$5:$AE$404="Completed")*'Visit Log'!$C$5:$C$404))=0,"",SUMPRODUCT(MAX(('Visit Log'!$E$5:$E$404=D130)*('Visit Log'!$AE$5:$AE$404="Completed")*'Visit Log'!$C$5:$C$404))))</f>
        <v>0</v>
      </c>
      <c r="AS130" s="31">
        <f>IF(D130="","",COUNTIFS('Health Log'!$D$5:$D$204,D130))</f>
        <v>0</v>
      </c>
      <c r="AT130" s="49">
        <f>IF(B130="","",TRIM(IF(Y130="Expired","VACCINATION EXPIRED. ",IF(LEFT(Y130,6)="Due in","Vaccination due. ",""))&amp;IF(AND(AN130&lt;&gt;"",AN130&lt;&gt;"None"),AN130&amp;". ","")&amp;IF(AND(AG130&lt;&gt;"",AG130&lt;&gt;"None",AG130&lt;&gt;"-"),"On medication. ","")&amp;IF(Q130&lt;&gt;"",IF(OR(Q130="None",Q130="None known"),"","Allergy: "&amp;Q130),"")))</f>
        <v>0</v>
      </c>
    </row>
    <row r="131" spans="1:46">
      <c r="A131" s="46">
        <f>IF(B131="","",PetPrefix&amp;TEXT(ROW()-4,"0000"))</f>
        <v>0</v>
      </c>
      <c r="D131" s="28">
        <f>IF(B131="","",B131&amp;" ("&amp;C131&amp;")")</f>
        <v>0</v>
      </c>
      <c r="E131" s="28">
        <f>IF(C131="","",IFERROR(INDEX(Clients!$A$5:$A$254,MATCH(C131,Clients!$B$5:$B$254,0)),""))</f>
        <v>0</v>
      </c>
      <c r="I131" s="32">
        <f>IF(H131="","",ROUND(YEARFRAC(H131,TODAY()),1))</f>
        <v>0</v>
      </c>
      <c r="Y131" s="49">
        <f>IF(X131="","",IF(X131&lt;TODAY(),"Expired",IF(X131-TODAY()&lt;=VaccAlertDays,"Due in "&amp;TEXT(X131-TODAY(),"0")&amp;" days","Valid")))</f>
        <v>0</v>
      </c>
      <c r="AQ131" s="31">
        <f>IF(D131="","",COUNTIFS('Visit Log'!$E$5:$E$404,D131,'Visit Log'!$AE$5:$AE$404,"Completed"))</f>
        <v>0</v>
      </c>
      <c r="AR131" s="21">
        <f>IF(D131="","",IF(SUMPRODUCT(MAX(('Visit Log'!$E$5:$E$404=D131)*('Visit Log'!$AE$5:$AE$404="Completed")*'Visit Log'!$C$5:$C$404))=0,"",SUMPRODUCT(MAX(('Visit Log'!$E$5:$E$404=D131)*('Visit Log'!$AE$5:$AE$404="Completed")*'Visit Log'!$C$5:$C$404))))</f>
        <v>0</v>
      </c>
      <c r="AS131" s="31">
        <f>IF(D131="","",COUNTIFS('Health Log'!$D$5:$D$204,D131))</f>
        <v>0</v>
      </c>
      <c r="AT131" s="49">
        <f>IF(B131="","",TRIM(IF(Y131="Expired","VACCINATION EXPIRED. ",IF(LEFT(Y131,6)="Due in","Vaccination due. ",""))&amp;IF(AND(AN131&lt;&gt;"",AN131&lt;&gt;"None"),AN131&amp;". ","")&amp;IF(AND(AG131&lt;&gt;"",AG131&lt;&gt;"None",AG131&lt;&gt;"-"),"On medication. ","")&amp;IF(Q131&lt;&gt;"",IF(OR(Q131="None",Q131="None known"),"","Allergy: "&amp;Q131),"")))</f>
        <v>0</v>
      </c>
    </row>
    <row r="132" spans="1:46">
      <c r="A132" s="46">
        <f>IF(B132="","",PetPrefix&amp;TEXT(ROW()-4,"0000"))</f>
        <v>0</v>
      </c>
      <c r="D132" s="28">
        <f>IF(B132="","",B132&amp;" ("&amp;C132&amp;")")</f>
        <v>0</v>
      </c>
      <c r="E132" s="28">
        <f>IF(C132="","",IFERROR(INDEX(Clients!$A$5:$A$254,MATCH(C132,Clients!$B$5:$B$254,0)),""))</f>
        <v>0</v>
      </c>
      <c r="I132" s="32">
        <f>IF(H132="","",ROUND(YEARFRAC(H132,TODAY()),1))</f>
        <v>0</v>
      </c>
      <c r="Y132" s="49">
        <f>IF(X132="","",IF(X132&lt;TODAY(),"Expired",IF(X132-TODAY()&lt;=VaccAlertDays,"Due in "&amp;TEXT(X132-TODAY(),"0")&amp;" days","Valid")))</f>
        <v>0</v>
      </c>
      <c r="AQ132" s="31">
        <f>IF(D132="","",COUNTIFS('Visit Log'!$E$5:$E$404,D132,'Visit Log'!$AE$5:$AE$404,"Completed"))</f>
        <v>0</v>
      </c>
      <c r="AR132" s="21">
        <f>IF(D132="","",IF(SUMPRODUCT(MAX(('Visit Log'!$E$5:$E$404=D132)*('Visit Log'!$AE$5:$AE$404="Completed")*'Visit Log'!$C$5:$C$404))=0,"",SUMPRODUCT(MAX(('Visit Log'!$E$5:$E$404=D132)*('Visit Log'!$AE$5:$AE$404="Completed")*'Visit Log'!$C$5:$C$404))))</f>
        <v>0</v>
      </c>
      <c r="AS132" s="31">
        <f>IF(D132="","",COUNTIFS('Health Log'!$D$5:$D$204,D132))</f>
        <v>0</v>
      </c>
      <c r="AT132" s="49">
        <f>IF(B132="","",TRIM(IF(Y132="Expired","VACCINATION EXPIRED. ",IF(LEFT(Y132,6)="Due in","Vaccination due. ",""))&amp;IF(AND(AN132&lt;&gt;"",AN132&lt;&gt;"None"),AN132&amp;". ","")&amp;IF(AND(AG132&lt;&gt;"",AG132&lt;&gt;"None",AG132&lt;&gt;"-"),"On medication. ","")&amp;IF(Q132&lt;&gt;"",IF(OR(Q132="None",Q132="None known"),"","Allergy: "&amp;Q132),"")))</f>
        <v>0</v>
      </c>
    </row>
    <row r="133" spans="1:46">
      <c r="A133" s="46">
        <f>IF(B133="","",PetPrefix&amp;TEXT(ROW()-4,"0000"))</f>
        <v>0</v>
      </c>
      <c r="D133" s="28">
        <f>IF(B133="","",B133&amp;" ("&amp;C133&amp;")")</f>
        <v>0</v>
      </c>
      <c r="E133" s="28">
        <f>IF(C133="","",IFERROR(INDEX(Clients!$A$5:$A$254,MATCH(C133,Clients!$B$5:$B$254,0)),""))</f>
        <v>0</v>
      </c>
      <c r="I133" s="32">
        <f>IF(H133="","",ROUND(YEARFRAC(H133,TODAY()),1))</f>
        <v>0</v>
      </c>
      <c r="Y133" s="49">
        <f>IF(X133="","",IF(X133&lt;TODAY(),"Expired",IF(X133-TODAY()&lt;=VaccAlertDays,"Due in "&amp;TEXT(X133-TODAY(),"0")&amp;" days","Valid")))</f>
        <v>0</v>
      </c>
      <c r="AQ133" s="31">
        <f>IF(D133="","",COUNTIFS('Visit Log'!$E$5:$E$404,D133,'Visit Log'!$AE$5:$AE$404,"Completed"))</f>
        <v>0</v>
      </c>
      <c r="AR133" s="21">
        <f>IF(D133="","",IF(SUMPRODUCT(MAX(('Visit Log'!$E$5:$E$404=D133)*('Visit Log'!$AE$5:$AE$404="Completed")*'Visit Log'!$C$5:$C$404))=0,"",SUMPRODUCT(MAX(('Visit Log'!$E$5:$E$404=D133)*('Visit Log'!$AE$5:$AE$404="Completed")*'Visit Log'!$C$5:$C$404))))</f>
        <v>0</v>
      </c>
      <c r="AS133" s="31">
        <f>IF(D133="","",COUNTIFS('Health Log'!$D$5:$D$204,D133))</f>
        <v>0</v>
      </c>
      <c r="AT133" s="49">
        <f>IF(B133="","",TRIM(IF(Y133="Expired","VACCINATION EXPIRED. ",IF(LEFT(Y133,6)="Due in","Vaccination due. ",""))&amp;IF(AND(AN133&lt;&gt;"",AN133&lt;&gt;"None"),AN133&amp;". ","")&amp;IF(AND(AG133&lt;&gt;"",AG133&lt;&gt;"None",AG133&lt;&gt;"-"),"On medication. ","")&amp;IF(Q133&lt;&gt;"",IF(OR(Q133="None",Q133="None known"),"","Allergy: "&amp;Q133),"")))</f>
        <v>0</v>
      </c>
    </row>
    <row r="134" spans="1:46">
      <c r="A134" s="46">
        <f>IF(B134="","",PetPrefix&amp;TEXT(ROW()-4,"0000"))</f>
        <v>0</v>
      </c>
      <c r="D134" s="28">
        <f>IF(B134="","",B134&amp;" ("&amp;C134&amp;")")</f>
        <v>0</v>
      </c>
      <c r="E134" s="28">
        <f>IF(C134="","",IFERROR(INDEX(Clients!$A$5:$A$254,MATCH(C134,Clients!$B$5:$B$254,0)),""))</f>
        <v>0</v>
      </c>
      <c r="I134" s="32">
        <f>IF(H134="","",ROUND(YEARFRAC(H134,TODAY()),1))</f>
        <v>0</v>
      </c>
      <c r="Y134" s="49">
        <f>IF(X134="","",IF(X134&lt;TODAY(),"Expired",IF(X134-TODAY()&lt;=VaccAlertDays,"Due in "&amp;TEXT(X134-TODAY(),"0")&amp;" days","Valid")))</f>
        <v>0</v>
      </c>
      <c r="AQ134" s="31">
        <f>IF(D134="","",COUNTIFS('Visit Log'!$E$5:$E$404,D134,'Visit Log'!$AE$5:$AE$404,"Completed"))</f>
        <v>0</v>
      </c>
      <c r="AR134" s="21">
        <f>IF(D134="","",IF(SUMPRODUCT(MAX(('Visit Log'!$E$5:$E$404=D134)*('Visit Log'!$AE$5:$AE$404="Completed")*'Visit Log'!$C$5:$C$404))=0,"",SUMPRODUCT(MAX(('Visit Log'!$E$5:$E$404=D134)*('Visit Log'!$AE$5:$AE$404="Completed")*'Visit Log'!$C$5:$C$404))))</f>
        <v>0</v>
      </c>
      <c r="AS134" s="31">
        <f>IF(D134="","",COUNTIFS('Health Log'!$D$5:$D$204,D134))</f>
        <v>0</v>
      </c>
      <c r="AT134" s="49">
        <f>IF(B134="","",TRIM(IF(Y134="Expired","VACCINATION EXPIRED. ",IF(LEFT(Y134,6)="Due in","Vaccination due. ",""))&amp;IF(AND(AN134&lt;&gt;"",AN134&lt;&gt;"None"),AN134&amp;". ","")&amp;IF(AND(AG134&lt;&gt;"",AG134&lt;&gt;"None",AG134&lt;&gt;"-"),"On medication. ","")&amp;IF(Q134&lt;&gt;"",IF(OR(Q134="None",Q134="None known"),"","Allergy: "&amp;Q134),"")))</f>
        <v>0</v>
      </c>
    </row>
    <row r="135" spans="1:46">
      <c r="A135" s="46">
        <f>IF(B135="","",PetPrefix&amp;TEXT(ROW()-4,"0000"))</f>
        <v>0</v>
      </c>
      <c r="D135" s="28">
        <f>IF(B135="","",B135&amp;" ("&amp;C135&amp;")")</f>
        <v>0</v>
      </c>
      <c r="E135" s="28">
        <f>IF(C135="","",IFERROR(INDEX(Clients!$A$5:$A$254,MATCH(C135,Clients!$B$5:$B$254,0)),""))</f>
        <v>0</v>
      </c>
      <c r="I135" s="32">
        <f>IF(H135="","",ROUND(YEARFRAC(H135,TODAY()),1))</f>
        <v>0</v>
      </c>
      <c r="Y135" s="49">
        <f>IF(X135="","",IF(X135&lt;TODAY(),"Expired",IF(X135-TODAY()&lt;=VaccAlertDays,"Due in "&amp;TEXT(X135-TODAY(),"0")&amp;" days","Valid")))</f>
        <v>0</v>
      </c>
      <c r="AQ135" s="31">
        <f>IF(D135="","",COUNTIFS('Visit Log'!$E$5:$E$404,D135,'Visit Log'!$AE$5:$AE$404,"Completed"))</f>
        <v>0</v>
      </c>
      <c r="AR135" s="21">
        <f>IF(D135="","",IF(SUMPRODUCT(MAX(('Visit Log'!$E$5:$E$404=D135)*('Visit Log'!$AE$5:$AE$404="Completed")*'Visit Log'!$C$5:$C$404))=0,"",SUMPRODUCT(MAX(('Visit Log'!$E$5:$E$404=D135)*('Visit Log'!$AE$5:$AE$404="Completed")*'Visit Log'!$C$5:$C$404))))</f>
        <v>0</v>
      </c>
      <c r="AS135" s="31">
        <f>IF(D135="","",COUNTIFS('Health Log'!$D$5:$D$204,D135))</f>
        <v>0</v>
      </c>
      <c r="AT135" s="49">
        <f>IF(B135="","",TRIM(IF(Y135="Expired","VACCINATION EXPIRED. ",IF(LEFT(Y135,6)="Due in","Vaccination due. ",""))&amp;IF(AND(AN135&lt;&gt;"",AN135&lt;&gt;"None"),AN135&amp;". ","")&amp;IF(AND(AG135&lt;&gt;"",AG135&lt;&gt;"None",AG135&lt;&gt;"-"),"On medication. ","")&amp;IF(Q135&lt;&gt;"",IF(OR(Q135="None",Q135="None known"),"","Allergy: "&amp;Q135),"")))</f>
        <v>0</v>
      </c>
    </row>
    <row r="136" spans="1:46">
      <c r="A136" s="46">
        <f>IF(B136="","",PetPrefix&amp;TEXT(ROW()-4,"0000"))</f>
        <v>0</v>
      </c>
      <c r="D136" s="28">
        <f>IF(B136="","",B136&amp;" ("&amp;C136&amp;")")</f>
        <v>0</v>
      </c>
      <c r="E136" s="28">
        <f>IF(C136="","",IFERROR(INDEX(Clients!$A$5:$A$254,MATCH(C136,Clients!$B$5:$B$254,0)),""))</f>
        <v>0</v>
      </c>
      <c r="I136" s="32">
        <f>IF(H136="","",ROUND(YEARFRAC(H136,TODAY()),1))</f>
        <v>0</v>
      </c>
      <c r="Y136" s="49">
        <f>IF(X136="","",IF(X136&lt;TODAY(),"Expired",IF(X136-TODAY()&lt;=VaccAlertDays,"Due in "&amp;TEXT(X136-TODAY(),"0")&amp;" days","Valid")))</f>
        <v>0</v>
      </c>
      <c r="AQ136" s="31">
        <f>IF(D136="","",COUNTIFS('Visit Log'!$E$5:$E$404,D136,'Visit Log'!$AE$5:$AE$404,"Completed"))</f>
        <v>0</v>
      </c>
      <c r="AR136" s="21">
        <f>IF(D136="","",IF(SUMPRODUCT(MAX(('Visit Log'!$E$5:$E$404=D136)*('Visit Log'!$AE$5:$AE$404="Completed")*'Visit Log'!$C$5:$C$404))=0,"",SUMPRODUCT(MAX(('Visit Log'!$E$5:$E$404=D136)*('Visit Log'!$AE$5:$AE$404="Completed")*'Visit Log'!$C$5:$C$404))))</f>
        <v>0</v>
      </c>
      <c r="AS136" s="31">
        <f>IF(D136="","",COUNTIFS('Health Log'!$D$5:$D$204,D136))</f>
        <v>0</v>
      </c>
      <c r="AT136" s="49">
        <f>IF(B136="","",TRIM(IF(Y136="Expired","VACCINATION EXPIRED. ",IF(LEFT(Y136,6)="Due in","Vaccination due. ",""))&amp;IF(AND(AN136&lt;&gt;"",AN136&lt;&gt;"None"),AN136&amp;". ","")&amp;IF(AND(AG136&lt;&gt;"",AG136&lt;&gt;"None",AG136&lt;&gt;"-"),"On medication. ","")&amp;IF(Q136&lt;&gt;"",IF(OR(Q136="None",Q136="None known"),"","Allergy: "&amp;Q136),"")))</f>
        <v>0</v>
      </c>
    </row>
    <row r="137" spans="1:46">
      <c r="A137" s="46">
        <f>IF(B137="","",PetPrefix&amp;TEXT(ROW()-4,"0000"))</f>
        <v>0</v>
      </c>
      <c r="D137" s="28">
        <f>IF(B137="","",B137&amp;" ("&amp;C137&amp;")")</f>
        <v>0</v>
      </c>
      <c r="E137" s="28">
        <f>IF(C137="","",IFERROR(INDEX(Clients!$A$5:$A$254,MATCH(C137,Clients!$B$5:$B$254,0)),""))</f>
        <v>0</v>
      </c>
      <c r="I137" s="32">
        <f>IF(H137="","",ROUND(YEARFRAC(H137,TODAY()),1))</f>
        <v>0</v>
      </c>
      <c r="Y137" s="49">
        <f>IF(X137="","",IF(X137&lt;TODAY(),"Expired",IF(X137-TODAY()&lt;=VaccAlertDays,"Due in "&amp;TEXT(X137-TODAY(),"0")&amp;" days","Valid")))</f>
        <v>0</v>
      </c>
      <c r="AQ137" s="31">
        <f>IF(D137="","",COUNTIFS('Visit Log'!$E$5:$E$404,D137,'Visit Log'!$AE$5:$AE$404,"Completed"))</f>
        <v>0</v>
      </c>
      <c r="AR137" s="21">
        <f>IF(D137="","",IF(SUMPRODUCT(MAX(('Visit Log'!$E$5:$E$404=D137)*('Visit Log'!$AE$5:$AE$404="Completed")*'Visit Log'!$C$5:$C$404))=0,"",SUMPRODUCT(MAX(('Visit Log'!$E$5:$E$404=D137)*('Visit Log'!$AE$5:$AE$404="Completed")*'Visit Log'!$C$5:$C$404))))</f>
        <v>0</v>
      </c>
      <c r="AS137" s="31">
        <f>IF(D137="","",COUNTIFS('Health Log'!$D$5:$D$204,D137))</f>
        <v>0</v>
      </c>
      <c r="AT137" s="49">
        <f>IF(B137="","",TRIM(IF(Y137="Expired","VACCINATION EXPIRED. ",IF(LEFT(Y137,6)="Due in","Vaccination due. ",""))&amp;IF(AND(AN137&lt;&gt;"",AN137&lt;&gt;"None"),AN137&amp;". ","")&amp;IF(AND(AG137&lt;&gt;"",AG137&lt;&gt;"None",AG137&lt;&gt;"-"),"On medication. ","")&amp;IF(Q137&lt;&gt;"",IF(OR(Q137="None",Q137="None known"),"","Allergy: "&amp;Q137),"")))</f>
        <v>0</v>
      </c>
    </row>
    <row r="138" spans="1:46">
      <c r="A138" s="46">
        <f>IF(B138="","",PetPrefix&amp;TEXT(ROW()-4,"0000"))</f>
        <v>0</v>
      </c>
      <c r="D138" s="28">
        <f>IF(B138="","",B138&amp;" ("&amp;C138&amp;")")</f>
        <v>0</v>
      </c>
      <c r="E138" s="28">
        <f>IF(C138="","",IFERROR(INDEX(Clients!$A$5:$A$254,MATCH(C138,Clients!$B$5:$B$254,0)),""))</f>
        <v>0</v>
      </c>
      <c r="I138" s="32">
        <f>IF(H138="","",ROUND(YEARFRAC(H138,TODAY()),1))</f>
        <v>0</v>
      </c>
      <c r="Y138" s="49">
        <f>IF(X138="","",IF(X138&lt;TODAY(),"Expired",IF(X138-TODAY()&lt;=VaccAlertDays,"Due in "&amp;TEXT(X138-TODAY(),"0")&amp;" days","Valid")))</f>
        <v>0</v>
      </c>
      <c r="AQ138" s="31">
        <f>IF(D138="","",COUNTIFS('Visit Log'!$E$5:$E$404,D138,'Visit Log'!$AE$5:$AE$404,"Completed"))</f>
        <v>0</v>
      </c>
      <c r="AR138" s="21">
        <f>IF(D138="","",IF(SUMPRODUCT(MAX(('Visit Log'!$E$5:$E$404=D138)*('Visit Log'!$AE$5:$AE$404="Completed")*'Visit Log'!$C$5:$C$404))=0,"",SUMPRODUCT(MAX(('Visit Log'!$E$5:$E$404=D138)*('Visit Log'!$AE$5:$AE$404="Completed")*'Visit Log'!$C$5:$C$404))))</f>
        <v>0</v>
      </c>
      <c r="AS138" s="31">
        <f>IF(D138="","",COUNTIFS('Health Log'!$D$5:$D$204,D138))</f>
        <v>0</v>
      </c>
      <c r="AT138" s="49">
        <f>IF(B138="","",TRIM(IF(Y138="Expired","VACCINATION EXPIRED. ",IF(LEFT(Y138,6)="Due in","Vaccination due. ",""))&amp;IF(AND(AN138&lt;&gt;"",AN138&lt;&gt;"None"),AN138&amp;". ","")&amp;IF(AND(AG138&lt;&gt;"",AG138&lt;&gt;"None",AG138&lt;&gt;"-"),"On medication. ","")&amp;IF(Q138&lt;&gt;"",IF(OR(Q138="None",Q138="None known"),"","Allergy: "&amp;Q138),"")))</f>
        <v>0</v>
      </c>
    </row>
    <row r="139" spans="1:46">
      <c r="A139" s="46">
        <f>IF(B139="","",PetPrefix&amp;TEXT(ROW()-4,"0000"))</f>
        <v>0</v>
      </c>
      <c r="D139" s="28">
        <f>IF(B139="","",B139&amp;" ("&amp;C139&amp;")")</f>
        <v>0</v>
      </c>
      <c r="E139" s="28">
        <f>IF(C139="","",IFERROR(INDEX(Clients!$A$5:$A$254,MATCH(C139,Clients!$B$5:$B$254,0)),""))</f>
        <v>0</v>
      </c>
      <c r="I139" s="32">
        <f>IF(H139="","",ROUND(YEARFRAC(H139,TODAY()),1))</f>
        <v>0</v>
      </c>
      <c r="Y139" s="49">
        <f>IF(X139="","",IF(X139&lt;TODAY(),"Expired",IF(X139-TODAY()&lt;=VaccAlertDays,"Due in "&amp;TEXT(X139-TODAY(),"0")&amp;" days","Valid")))</f>
        <v>0</v>
      </c>
      <c r="AQ139" s="31">
        <f>IF(D139="","",COUNTIFS('Visit Log'!$E$5:$E$404,D139,'Visit Log'!$AE$5:$AE$404,"Completed"))</f>
        <v>0</v>
      </c>
      <c r="AR139" s="21">
        <f>IF(D139="","",IF(SUMPRODUCT(MAX(('Visit Log'!$E$5:$E$404=D139)*('Visit Log'!$AE$5:$AE$404="Completed")*'Visit Log'!$C$5:$C$404))=0,"",SUMPRODUCT(MAX(('Visit Log'!$E$5:$E$404=D139)*('Visit Log'!$AE$5:$AE$404="Completed")*'Visit Log'!$C$5:$C$404))))</f>
        <v>0</v>
      </c>
      <c r="AS139" s="31">
        <f>IF(D139="","",COUNTIFS('Health Log'!$D$5:$D$204,D139))</f>
        <v>0</v>
      </c>
      <c r="AT139" s="49">
        <f>IF(B139="","",TRIM(IF(Y139="Expired","VACCINATION EXPIRED. ",IF(LEFT(Y139,6)="Due in","Vaccination due. ",""))&amp;IF(AND(AN139&lt;&gt;"",AN139&lt;&gt;"None"),AN139&amp;". ","")&amp;IF(AND(AG139&lt;&gt;"",AG139&lt;&gt;"None",AG139&lt;&gt;"-"),"On medication. ","")&amp;IF(Q139&lt;&gt;"",IF(OR(Q139="None",Q139="None known"),"","Allergy: "&amp;Q139),"")))</f>
        <v>0</v>
      </c>
    </row>
    <row r="140" spans="1:46">
      <c r="A140" s="46">
        <f>IF(B140="","",PetPrefix&amp;TEXT(ROW()-4,"0000"))</f>
        <v>0</v>
      </c>
      <c r="D140" s="28">
        <f>IF(B140="","",B140&amp;" ("&amp;C140&amp;")")</f>
        <v>0</v>
      </c>
      <c r="E140" s="28">
        <f>IF(C140="","",IFERROR(INDEX(Clients!$A$5:$A$254,MATCH(C140,Clients!$B$5:$B$254,0)),""))</f>
        <v>0</v>
      </c>
      <c r="I140" s="32">
        <f>IF(H140="","",ROUND(YEARFRAC(H140,TODAY()),1))</f>
        <v>0</v>
      </c>
      <c r="Y140" s="49">
        <f>IF(X140="","",IF(X140&lt;TODAY(),"Expired",IF(X140-TODAY()&lt;=VaccAlertDays,"Due in "&amp;TEXT(X140-TODAY(),"0")&amp;" days","Valid")))</f>
        <v>0</v>
      </c>
      <c r="AQ140" s="31">
        <f>IF(D140="","",COUNTIFS('Visit Log'!$E$5:$E$404,D140,'Visit Log'!$AE$5:$AE$404,"Completed"))</f>
        <v>0</v>
      </c>
      <c r="AR140" s="21">
        <f>IF(D140="","",IF(SUMPRODUCT(MAX(('Visit Log'!$E$5:$E$404=D140)*('Visit Log'!$AE$5:$AE$404="Completed")*'Visit Log'!$C$5:$C$404))=0,"",SUMPRODUCT(MAX(('Visit Log'!$E$5:$E$404=D140)*('Visit Log'!$AE$5:$AE$404="Completed")*'Visit Log'!$C$5:$C$404))))</f>
        <v>0</v>
      </c>
      <c r="AS140" s="31">
        <f>IF(D140="","",COUNTIFS('Health Log'!$D$5:$D$204,D140))</f>
        <v>0</v>
      </c>
      <c r="AT140" s="49">
        <f>IF(B140="","",TRIM(IF(Y140="Expired","VACCINATION EXPIRED. ",IF(LEFT(Y140,6)="Due in","Vaccination due. ",""))&amp;IF(AND(AN140&lt;&gt;"",AN140&lt;&gt;"None"),AN140&amp;". ","")&amp;IF(AND(AG140&lt;&gt;"",AG140&lt;&gt;"None",AG140&lt;&gt;"-"),"On medication. ","")&amp;IF(Q140&lt;&gt;"",IF(OR(Q140="None",Q140="None known"),"","Allergy: "&amp;Q140),"")))</f>
        <v>0</v>
      </c>
    </row>
    <row r="141" spans="1:46">
      <c r="A141" s="46">
        <f>IF(B141="","",PetPrefix&amp;TEXT(ROW()-4,"0000"))</f>
        <v>0</v>
      </c>
      <c r="D141" s="28">
        <f>IF(B141="","",B141&amp;" ("&amp;C141&amp;")")</f>
        <v>0</v>
      </c>
      <c r="E141" s="28">
        <f>IF(C141="","",IFERROR(INDEX(Clients!$A$5:$A$254,MATCH(C141,Clients!$B$5:$B$254,0)),""))</f>
        <v>0</v>
      </c>
      <c r="I141" s="32">
        <f>IF(H141="","",ROUND(YEARFRAC(H141,TODAY()),1))</f>
        <v>0</v>
      </c>
      <c r="Y141" s="49">
        <f>IF(X141="","",IF(X141&lt;TODAY(),"Expired",IF(X141-TODAY()&lt;=VaccAlertDays,"Due in "&amp;TEXT(X141-TODAY(),"0")&amp;" days","Valid")))</f>
        <v>0</v>
      </c>
      <c r="AQ141" s="31">
        <f>IF(D141="","",COUNTIFS('Visit Log'!$E$5:$E$404,D141,'Visit Log'!$AE$5:$AE$404,"Completed"))</f>
        <v>0</v>
      </c>
      <c r="AR141" s="21">
        <f>IF(D141="","",IF(SUMPRODUCT(MAX(('Visit Log'!$E$5:$E$404=D141)*('Visit Log'!$AE$5:$AE$404="Completed")*'Visit Log'!$C$5:$C$404))=0,"",SUMPRODUCT(MAX(('Visit Log'!$E$5:$E$404=D141)*('Visit Log'!$AE$5:$AE$404="Completed")*'Visit Log'!$C$5:$C$404))))</f>
        <v>0</v>
      </c>
      <c r="AS141" s="31">
        <f>IF(D141="","",COUNTIFS('Health Log'!$D$5:$D$204,D141))</f>
        <v>0</v>
      </c>
      <c r="AT141" s="49">
        <f>IF(B141="","",TRIM(IF(Y141="Expired","VACCINATION EXPIRED. ",IF(LEFT(Y141,6)="Due in","Vaccination due. ",""))&amp;IF(AND(AN141&lt;&gt;"",AN141&lt;&gt;"None"),AN141&amp;". ","")&amp;IF(AND(AG141&lt;&gt;"",AG141&lt;&gt;"None",AG141&lt;&gt;"-"),"On medication. ","")&amp;IF(Q141&lt;&gt;"",IF(OR(Q141="None",Q141="None known"),"","Allergy: "&amp;Q141),"")))</f>
        <v>0</v>
      </c>
    </row>
    <row r="142" spans="1:46">
      <c r="A142" s="46">
        <f>IF(B142="","",PetPrefix&amp;TEXT(ROW()-4,"0000"))</f>
        <v>0</v>
      </c>
      <c r="D142" s="28">
        <f>IF(B142="","",B142&amp;" ("&amp;C142&amp;")")</f>
        <v>0</v>
      </c>
      <c r="E142" s="28">
        <f>IF(C142="","",IFERROR(INDEX(Clients!$A$5:$A$254,MATCH(C142,Clients!$B$5:$B$254,0)),""))</f>
        <v>0</v>
      </c>
      <c r="I142" s="32">
        <f>IF(H142="","",ROUND(YEARFRAC(H142,TODAY()),1))</f>
        <v>0</v>
      </c>
      <c r="Y142" s="49">
        <f>IF(X142="","",IF(X142&lt;TODAY(),"Expired",IF(X142-TODAY()&lt;=VaccAlertDays,"Due in "&amp;TEXT(X142-TODAY(),"0")&amp;" days","Valid")))</f>
        <v>0</v>
      </c>
      <c r="AQ142" s="31">
        <f>IF(D142="","",COUNTIFS('Visit Log'!$E$5:$E$404,D142,'Visit Log'!$AE$5:$AE$404,"Completed"))</f>
        <v>0</v>
      </c>
      <c r="AR142" s="21">
        <f>IF(D142="","",IF(SUMPRODUCT(MAX(('Visit Log'!$E$5:$E$404=D142)*('Visit Log'!$AE$5:$AE$404="Completed")*'Visit Log'!$C$5:$C$404))=0,"",SUMPRODUCT(MAX(('Visit Log'!$E$5:$E$404=D142)*('Visit Log'!$AE$5:$AE$404="Completed")*'Visit Log'!$C$5:$C$404))))</f>
        <v>0</v>
      </c>
      <c r="AS142" s="31">
        <f>IF(D142="","",COUNTIFS('Health Log'!$D$5:$D$204,D142))</f>
        <v>0</v>
      </c>
      <c r="AT142" s="49">
        <f>IF(B142="","",TRIM(IF(Y142="Expired","VACCINATION EXPIRED. ",IF(LEFT(Y142,6)="Due in","Vaccination due. ",""))&amp;IF(AND(AN142&lt;&gt;"",AN142&lt;&gt;"None"),AN142&amp;". ","")&amp;IF(AND(AG142&lt;&gt;"",AG142&lt;&gt;"None",AG142&lt;&gt;"-"),"On medication. ","")&amp;IF(Q142&lt;&gt;"",IF(OR(Q142="None",Q142="None known"),"","Allergy: "&amp;Q142),"")))</f>
        <v>0</v>
      </c>
    </row>
    <row r="143" spans="1:46">
      <c r="A143" s="46">
        <f>IF(B143="","",PetPrefix&amp;TEXT(ROW()-4,"0000"))</f>
        <v>0</v>
      </c>
      <c r="D143" s="28">
        <f>IF(B143="","",B143&amp;" ("&amp;C143&amp;")")</f>
        <v>0</v>
      </c>
      <c r="E143" s="28">
        <f>IF(C143="","",IFERROR(INDEX(Clients!$A$5:$A$254,MATCH(C143,Clients!$B$5:$B$254,0)),""))</f>
        <v>0</v>
      </c>
      <c r="I143" s="32">
        <f>IF(H143="","",ROUND(YEARFRAC(H143,TODAY()),1))</f>
        <v>0</v>
      </c>
      <c r="Y143" s="49">
        <f>IF(X143="","",IF(X143&lt;TODAY(),"Expired",IF(X143-TODAY()&lt;=VaccAlertDays,"Due in "&amp;TEXT(X143-TODAY(),"0")&amp;" days","Valid")))</f>
        <v>0</v>
      </c>
      <c r="AQ143" s="31">
        <f>IF(D143="","",COUNTIFS('Visit Log'!$E$5:$E$404,D143,'Visit Log'!$AE$5:$AE$404,"Completed"))</f>
        <v>0</v>
      </c>
      <c r="AR143" s="21">
        <f>IF(D143="","",IF(SUMPRODUCT(MAX(('Visit Log'!$E$5:$E$404=D143)*('Visit Log'!$AE$5:$AE$404="Completed")*'Visit Log'!$C$5:$C$404))=0,"",SUMPRODUCT(MAX(('Visit Log'!$E$5:$E$404=D143)*('Visit Log'!$AE$5:$AE$404="Completed")*'Visit Log'!$C$5:$C$404))))</f>
        <v>0</v>
      </c>
      <c r="AS143" s="31">
        <f>IF(D143="","",COUNTIFS('Health Log'!$D$5:$D$204,D143))</f>
        <v>0</v>
      </c>
      <c r="AT143" s="49">
        <f>IF(B143="","",TRIM(IF(Y143="Expired","VACCINATION EXPIRED. ",IF(LEFT(Y143,6)="Due in","Vaccination due. ",""))&amp;IF(AND(AN143&lt;&gt;"",AN143&lt;&gt;"None"),AN143&amp;". ","")&amp;IF(AND(AG143&lt;&gt;"",AG143&lt;&gt;"None",AG143&lt;&gt;"-"),"On medication. ","")&amp;IF(Q143&lt;&gt;"",IF(OR(Q143="None",Q143="None known"),"","Allergy: "&amp;Q143),"")))</f>
        <v>0</v>
      </c>
    </row>
    <row r="144" spans="1:46">
      <c r="A144" s="46">
        <f>IF(B144="","",PetPrefix&amp;TEXT(ROW()-4,"0000"))</f>
        <v>0</v>
      </c>
      <c r="D144" s="28">
        <f>IF(B144="","",B144&amp;" ("&amp;C144&amp;")")</f>
        <v>0</v>
      </c>
      <c r="E144" s="28">
        <f>IF(C144="","",IFERROR(INDEX(Clients!$A$5:$A$254,MATCH(C144,Clients!$B$5:$B$254,0)),""))</f>
        <v>0</v>
      </c>
      <c r="I144" s="32">
        <f>IF(H144="","",ROUND(YEARFRAC(H144,TODAY()),1))</f>
        <v>0</v>
      </c>
      <c r="Y144" s="49">
        <f>IF(X144="","",IF(X144&lt;TODAY(),"Expired",IF(X144-TODAY()&lt;=VaccAlertDays,"Due in "&amp;TEXT(X144-TODAY(),"0")&amp;" days","Valid")))</f>
        <v>0</v>
      </c>
      <c r="AQ144" s="31">
        <f>IF(D144="","",COUNTIFS('Visit Log'!$E$5:$E$404,D144,'Visit Log'!$AE$5:$AE$404,"Completed"))</f>
        <v>0</v>
      </c>
      <c r="AR144" s="21">
        <f>IF(D144="","",IF(SUMPRODUCT(MAX(('Visit Log'!$E$5:$E$404=D144)*('Visit Log'!$AE$5:$AE$404="Completed")*'Visit Log'!$C$5:$C$404))=0,"",SUMPRODUCT(MAX(('Visit Log'!$E$5:$E$404=D144)*('Visit Log'!$AE$5:$AE$404="Completed")*'Visit Log'!$C$5:$C$404))))</f>
        <v>0</v>
      </c>
      <c r="AS144" s="31">
        <f>IF(D144="","",COUNTIFS('Health Log'!$D$5:$D$204,D144))</f>
        <v>0</v>
      </c>
      <c r="AT144" s="49">
        <f>IF(B144="","",TRIM(IF(Y144="Expired","VACCINATION EXPIRED. ",IF(LEFT(Y144,6)="Due in","Vaccination due. ",""))&amp;IF(AND(AN144&lt;&gt;"",AN144&lt;&gt;"None"),AN144&amp;". ","")&amp;IF(AND(AG144&lt;&gt;"",AG144&lt;&gt;"None",AG144&lt;&gt;"-"),"On medication. ","")&amp;IF(Q144&lt;&gt;"",IF(OR(Q144="None",Q144="None known"),"","Allergy: "&amp;Q144),"")))</f>
        <v>0</v>
      </c>
    </row>
    <row r="145" spans="1:46">
      <c r="A145" s="46">
        <f>IF(B145="","",PetPrefix&amp;TEXT(ROW()-4,"0000"))</f>
        <v>0</v>
      </c>
      <c r="D145" s="28">
        <f>IF(B145="","",B145&amp;" ("&amp;C145&amp;")")</f>
        <v>0</v>
      </c>
      <c r="E145" s="28">
        <f>IF(C145="","",IFERROR(INDEX(Clients!$A$5:$A$254,MATCH(C145,Clients!$B$5:$B$254,0)),""))</f>
        <v>0</v>
      </c>
      <c r="I145" s="32">
        <f>IF(H145="","",ROUND(YEARFRAC(H145,TODAY()),1))</f>
        <v>0</v>
      </c>
      <c r="Y145" s="49">
        <f>IF(X145="","",IF(X145&lt;TODAY(),"Expired",IF(X145-TODAY()&lt;=VaccAlertDays,"Due in "&amp;TEXT(X145-TODAY(),"0")&amp;" days","Valid")))</f>
        <v>0</v>
      </c>
      <c r="AQ145" s="31">
        <f>IF(D145="","",COUNTIFS('Visit Log'!$E$5:$E$404,D145,'Visit Log'!$AE$5:$AE$404,"Completed"))</f>
        <v>0</v>
      </c>
      <c r="AR145" s="21">
        <f>IF(D145="","",IF(SUMPRODUCT(MAX(('Visit Log'!$E$5:$E$404=D145)*('Visit Log'!$AE$5:$AE$404="Completed")*'Visit Log'!$C$5:$C$404))=0,"",SUMPRODUCT(MAX(('Visit Log'!$E$5:$E$404=D145)*('Visit Log'!$AE$5:$AE$404="Completed")*'Visit Log'!$C$5:$C$404))))</f>
        <v>0</v>
      </c>
      <c r="AS145" s="31">
        <f>IF(D145="","",COUNTIFS('Health Log'!$D$5:$D$204,D145))</f>
        <v>0</v>
      </c>
      <c r="AT145" s="49">
        <f>IF(B145="","",TRIM(IF(Y145="Expired","VACCINATION EXPIRED. ",IF(LEFT(Y145,6)="Due in","Vaccination due. ",""))&amp;IF(AND(AN145&lt;&gt;"",AN145&lt;&gt;"None"),AN145&amp;". ","")&amp;IF(AND(AG145&lt;&gt;"",AG145&lt;&gt;"None",AG145&lt;&gt;"-"),"On medication. ","")&amp;IF(Q145&lt;&gt;"",IF(OR(Q145="None",Q145="None known"),"","Allergy: "&amp;Q145),"")))</f>
        <v>0</v>
      </c>
    </row>
    <row r="146" spans="1:46">
      <c r="A146" s="46">
        <f>IF(B146="","",PetPrefix&amp;TEXT(ROW()-4,"0000"))</f>
        <v>0</v>
      </c>
      <c r="D146" s="28">
        <f>IF(B146="","",B146&amp;" ("&amp;C146&amp;")")</f>
        <v>0</v>
      </c>
      <c r="E146" s="28">
        <f>IF(C146="","",IFERROR(INDEX(Clients!$A$5:$A$254,MATCH(C146,Clients!$B$5:$B$254,0)),""))</f>
        <v>0</v>
      </c>
      <c r="I146" s="32">
        <f>IF(H146="","",ROUND(YEARFRAC(H146,TODAY()),1))</f>
        <v>0</v>
      </c>
      <c r="Y146" s="49">
        <f>IF(X146="","",IF(X146&lt;TODAY(),"Expired",IF(X146-TODAY()&lt;=VaccAlertDays,"Due in "&amp;TEXT(X146-TODAY(),"0")&amp;" days","Valid")))</f>
        <v>0</v>
      </c>
      <c r="AQ146" s="31">
        <f>IF(D146="","",COUNTIFS('Visit Log'!$E$5:$E$404,D146,'Visit Log'!$AE$5:$AE$404,"Completed"))</f>
        <v>0</v>
      </c>
      <c r="AR146" s="21">
        <f>IF(D146="","",IF(SUMPRODUCT(MAX(('Visit Log'!$E$5:$E$404=D146)*('Visit Log'!$AE$5:$AE$404="Completed")*'Visit Log'!$C$5:$C$404))=0,"",SUMPRODUCT(MAX(('Visit Log'!$E$5:$E$404=D146)*('Visit Log'!$AE$5:$AE$404="Completed")*'Visit Log'!$C$5:$C$404))))</f>
        <v>0</v>
      </c>
      <c r="AS146" s="31">
        <f>IF(D146="","",COUNTIFS('Health Log'!$D$5:$D$204,D146))</f>
        <v>0</v>
      </c>
      <c r="AT146" s="49">
        <f>IF(B146="","",TRIM(IF(Y146="Expired","VACCINATION EXPIRED. ",IF(LEFT(Y146,6)="Due in","Vaccination due. ",""))&amp;IF(AND(AN146&lt;&gt;"",AN146&lt;&gt;"None"),AN146&amp;". ","")&amp;IF(AND(AG146&lt;&gt;"",AG146&lt;&gt;"None",AG146&lt;&gt;"-"),"On medication. ","")&amp;IF(Q146&lt;&gt;"",IF(OR(Q146="None",Q146="None known"),"","Allergy: "&amp;Q146),"")))</f>
        <v>0</v>
      </c>
    </row>
    <row r="147" spans="1:46">
      <c r="A147" s="46">
        <f>IF(B147="","",PetPrefix&amp;TEXT(ROW()-4,"0000"))</f>
        <v>0</v>
      </c>
      <c r="D147" s="28">
        <f>IF(B147="","",B147&amp;" ("&amp;C147&amp;")")</f>
        <v>0</v>
      </c>
      <c r="E147" s="28">
        <f>IF(C147="","",IFERROR(INDEX(Clients!$A$5:$A$254,MATCH(C147,Clients!$B$5:$B$254,0)),""))</f>
        <v>0</v>
      </c>
      <c r="I147" s="32">
        <f>IF(H147="","",ROUND(YEARFRAC(H147,TODAY()),1))</f>
        <v>0</v>
      </c>
      <c r="Y147" s="49">
        <f>IF(X147="","",IF(X147&lt;TODAY(),"Expired",IF(X147-TODAY()&lt;=VaccAlertDays,"Due in "&amp;TEXT(X147-TODAY(),"0")&amp;" days","Valid")))</f>
        <v>0</v>
      </c>
      <c r="AQ147" s="31">
        <f>IF(D147="","",COUNTIFS('Visit Log'!$E$5:$E$404,D147,'Visit Log'!$AE$5:$AE$404,"Completed"))</f>
        <v>0</v>
      </c>
      <c r="AR147" s="21">
        <f>IF(D147="","",IF(SUMPRODUCT(MAX(('Visit Log'!$E$5:$E$404=D147)*('Visit Log'!$AE$5:$AE$404="Completed")*'Visit Log'!$C$5:$C$404))=0,"",SUMPRODUCT(MAX(('Visit Log'!$E$5:$E$404=D147)*('Visit Log'!$AE$5:$AE$404="Completed")*'Visit Log'!$C$5:$C$404))))</f>
        <v>0</v>
      </c>
      <c r="AS147" s="31">
        <f>IF(D147="","",COUNTIFS('Health Log'!$D$5:$D$204,D147))</f>
        <v>0</v>
      </c>
      <c r="AT147" s="49">
        <f>IF(B147="","",TRIM(IF(Y147="Expired","VACCINATION EXPIRED. ",IF(LEFT(Y147,6)="Due in","Vaccination due. ",""))&amp;IF(AND(AN147&lt;&gt;"",AN147&lt;&gt;"None"),AN147&amp;". ","")&amp;IF(AND(AG147&lt;&gt;"",AG147&lt;&gt;"None",AG147&lt;&gt;"-"),"On medication. ","")&amp;IF(Q147&lt;&gt;"",IF(OR(Q147="None",Q147="None known"),"","Allergy: "&amp;Q147),"")))</f>
        <v>0</v>
      </c>
    </row>
    <row r="148" spans="1:46">
      <c r="A148" s="46">
        <f>IF(B148="","",PetPrefix&amp;TEXT(ROW()-4,"0000"))</f>
        <v>0</v>
      </c>
      <c r="D148" s="28">
        <f>IF(B148="","",B148&amp;" ("&amp;C148&amp;")")</f>
        <v>0</v>
      </c>
      <c r="E148" s="28">
        <f>IF(C148="","",IFERROR(INDEX(Clients!$A$5:$A$254,MATCH(C148,Clients!$B$5:$B$254,0)),""))</f>
        <v>0</v>
      </c>
      <c r="I148" s="32">
        <f>IF(H148="","",ROUND(YEARFRAC(H148,TODAY()),1))</f>
        <v>0</v>
      </c>
      <c r="Y148" s="49">
        <f>IF(X148="","",IF(X148&lt;TODAY(),"Expired",IF(X148-TODAY()&lt;=VaccAlertDays,"Due in "&amp;TEXT(X148-TODAY(),"0")&amp;" days","Valid")))</f>
        <v>0</v>
      </c>
      <c r="AQ148" s="31">
        <f>IF(D148="","",COUNTIFS('Visit Log'!$E$5:$E$404,D148,'Visit Log'!$AE$5:$AE$404,"Completed"))</f>
        <v>0</v>
      </c>
      <c r="AR148" s="21">
        <f>IF(D148="","",IF(SUMPRODUCT(MAX(('Visit Log'!$E$5:$E$404=D148)*('Visit Log'!$AE$5:$AE$404="Completed")*'Visit Log'!$C$5:$C$404))=0,"",SUMPRODUCT(MAX(('Visit Log'!$E$5:$E$404=D148)*('Visit Log'!$AE$5:$AE$404="Completed")*'Visit Log'!$C$5:$C$404))))</f>
        <v>0</v>
      </c>
      <c r="AS148" s="31">
        <f>IF(D148="","",COUNTIFS('Health Log'!$D$5:$D$204,D148))</f>
        <v>0</v>
      </c>
      <c r="AT148" s="49">
        <f>IF(B148="","",TRIM(IF(Y148="Expired","VACCINATION EXPIRED. ",IF(LEFT(Y148,6)="Due in","Vaccination due. ",""))&amp;IF(AND(AN148&lt;&gt;"",AN148&lt;&gt;"None"),AN148&amp;". ","")&amp;IF(AND(AG148&lt;&gt;"",AG148&lt;&gt;"None",AG148&lt;&gt;"-"),"On medication. ","")&amp;IF(Q148&lt;&gt;"",IF(OR(Q148="None",Q148="None known"),"","Allergy: "&amp;Q148),"")))</f>
        <v>0</v>
      </c>
    </row>
    <row r="149" spans="1:46">
      <c r="A149" s="46">
        <f>IF(B149="","",PetPrefix&amp;TEXT(ROW()-4,"0000"))</f>
        <v>0</v>
      </c>
      <c r="D149" s="28">
        <f>IF(B149="","",B149&amp;" ("&amp;C149&amp;")")</f>
        <v>0</v>
      </c>
      <c r="E149" s="28">
        <f>IF(C149="","",IFERROR(INDEX(Clients!$A$5:$A$254,MATCH(C149,Clients!$B$5:$B$254,0)),""))</f>
        <v>0</v>
      </c>
      <c r="I149" s="32">
        <f>IF(H149="","",ROUND(YEARFRAC(H149,TODAY()),1))</f>
        <v>0</v>
      </c>
      <c r="Y149" s="49">
        <f>IF(X149="","",IF(X149&lt;TODAY(),"Expired",IF(X149-TODAY()&lt;=VaccAlertDays,"Due in "&amp;TEXT(X149-TODAY(),"0")&amp;" days","Valid")))</f>
        <v>0</v>
      </c>
      <c r="AQ149" s="31">
        <f>IF(D149="","",COUNTIFS('Visit Log'!$E$5:$E$404,D149,'Visit Log'!$AE$5:$AE$404,"Completed"))</f>
        <v>0</v>
      </c>
      <c r="AR149" s="21">
        <f>IF(D149="","",IF(SUMPRODUCT(MAX(('Visit Log'!$E$5:$E$404=D149)*('Visit Log'!$AE$5:$AE$404="Completed")*'Visit Log'!$C$5:$C$404))=0,"",SUMPRODUCT(MAX(('Visit Log'!$E$5:$E$404=D149)*('Visit Log'!$AE$5:$AE$404="Completed")*'Visit Log'!$C$5:$C$404))))</f>
        <v>0</v>
      </c>
      <c r="AS149" s="31">
        <f>IF(D149="","",COUNTIFS('Health Log'!$D$5:$D$204,D149))</f>
        <v>0</v>
      </c>
      <c r="AT149" s="49">
        <f>IF(B149="","",TRIM(IF(Y149="Expired","VACCINATION EXPIRED. ",IF(LEFT(Y149,6)="Due in","Vaccination due. ",""))&amp;IF(AND(AN149&lt;&gt;"",AN149&lt;&gt;"None"),AN149&amp;". ","")&amp;IF(AND(AG149&lt;&gt;"",AG149&lt;&gt;"None",AG149&lt;&gt;"-"),"On medication. ","")&amp;IF(Q149&lt;&gt;"",IF(OR(Q149="None",Q149="None known"),"","Allergy: "&amp;Q149),"")))</f>
        <v>0</v>
      </c>
    </row>
    <row r="150" spans="1:46">
      <c r="A150" s="46">
        <f>IF(B150="","",PetPrefix&amp;TEXT(ROW()-4,"0000"))</f>
        <v>0</v>
      </c>
      <c r="D150" s="28">
        <f>IF(B150="","",B150&amp;" ("&amp;C150&amp;")")</f>
        <v>0</v>
      </c>
      <c r="E150" s="28">
        <f>IF(C150="","",IFERROR(INDEX(Clients!$A$5:$A$254,MATCH(C150,Clients!$B$5:$B$254,0)),""))</f>
        <v>0</v>
      </c>
      <c r="I150" s="32">
        <f>IF(H150="","",ROUND(YEARFRAC(H150,TODAY()),1))</f>
        <v>0</v>
      </c>
      <c r="Y150" s="49">
        <f>IF(X150="","",IF(X150&lt;TODAY(),"Expired",IF(X150-TODAY()&lt;=VaccAlertDays,"Due in "&amp;TEXT(X150-TODAY(),"0")&amp;" days","Valid")))</f>
        <v>0</v>
      </c>
      <c r="AQ150" s="31">
        <f>IF(D150="","",COUNTIFS('Visit Log'!$E$5:$E$404,D150,'Visit Log'!$AE$5:$AE$404,"Completed"))</f>
        <v>0</v>
      </c>
      <c r="AR150" s="21">
        <f>IF(D150="","",IF(SUMPRODUCT(MAX(('Visit Log'!$E$5:$E$404=D150)*('Visit Log'!$AE$5:$AE$404="Completed")*'Visit Log'!$C$5:$C$404))=0,"",SUMPRODUCT(MAX(('Visit Log'!$E$5:$E$404=D150)*('Visit Log'!$AE$5:$AE$404="Completed")*'Visit Log'!$C$5:$C$404))))</f>
        <v>0</v>
      </c>
      <c r="AS150" s="31">
        <f>IF(D150="","",COUNTIFS('Health Log'!$D$5:$D$204,D150))</f>
        <v>0</v>
      </c>
      <c r="AT150" s="49">
        <f>IF(B150="","",TRIM(IF(Y150="Expired","VACCINATION EXPIRED. ",IF(LEFT(Y150,6)="Due in","Vaccination due. ",""))&amp;IF(AND(AN150&lt;&gt;"",AN150&lt;&gt;"None"),AN150&amp;". ","")&amp;IF(AND(AG150&lt;&gt;"",AG150&lt;&gt;"None",AG150&lt;&gt;"-"),"On medication. ","")&amp;IF(Q150&lt;&gt;"",IF(OR(Q150="None",Q150="None known"),"","Allergy: "&amp;Q150),"")))</f>
        <v>0</v>
      </c>
    </row>
    <row r="151" spans="1:46">
      <c r="A151" s="46">
        <f>IF(B151="","",PetPrefix&amp;TEXT(ROW()-4,"0000"))</f>
        <v>0</v>
      </c>
      <c r="D151" s="28">
        <f>IF(B151="","",B151&amp;" ("&amp;C151&amp;")")</f>
        <v>0</v>
      </c>
      <c r="E151" s="28">
        <f>IF(C151="","",IFERROR(INDEX(Clients!$A$5:$A$254,MATCH(C151,Clients!$B$5:$B$254,0)),""))</f>
        <v>0</v>
      </c>
      <c r="I151" s="32">
        <f>IF(H151="","",ROUND(YEARFRAC(H151,TODAY()),1))</f>
        <v>0</v>
      </c>
      <c r="Y151" s="49">
        <f>IF(X151="","",IF(X151&lt;TODAY(),"Expired",IF(X151-TODAY()&lt;=VaccAlertDays,"Due in "&amp;TEXT(X151-TODAY(),"0")&amp;" days","Valid")))</f>
        <v>0</v>
      </c>
      <c r="AQ151" s="31">
        <f>IF(D151="","",COUNTIFS('Visit Log'!$E$5:$E$404,D151,'Visit Log'!$AE$5:$AE$404,"Completed"))</f>
        <v>0</v>
      </c>
      <c r="AR151" s="21">
        <f>IF(D151="","",IF(SUMPRODUCT(MAX(('Visit Log'!$E$5:$E$404=D151)*('Visit Log'!$AE$5:$AE$404="Completed")*'Visit Log'!$C$5:$C$404))=0,"",SUMPRODUCT(MAX(('Visit Log'!$E$5:$E$404=D151)*('Visit Log'!$AE$5:$AE$404="Completed")*'Visit Log'!$C$5:$C$404))))</f>
        <v>0</v>
      </c>
      <c r="AS151" s="31">
        <f>IF(D151="","",COUNTIFS('Health Log'!$D$5:$D$204,D151))</f>
        <v>0</v>
      </c>
      <c r="AT151" s="49">
        <f>IF(B151="","",TRIM(IF(Y151="Expired","VACCINATION EXPIRED. ",IF(LEFT(Y151,6)="Due in","Vaccination due. ",""))&amp;IF(AND(AN151&lt;&gt;"",AN151&lt;&gt;"None"),AN151&amp;". ","")&amp;IF(AND(AG151&lt;&gt;"",AG151&lt;&gt;"None",AG151&lt;&gt;"-"),"On medication. ","")&amp;IF(Q151&lt;&gt;"",IF(OR(Q151="None",Q151="None known"),"","Allergy: "&amp;Q151),"")))</f>
        <v>0</v>
      </c>
    </row>
    <row r="152" spans="1:46">
      <c r="A152" s="46">
        <f>IF(B152="","",PetPrefix&amp;TEXT(ROW()-4,"0000"))</f>
        <v>0</v>
      </c>
      <c r="D152" s="28">
        <f>IF(B152="","",B152&amp;" ("&amp;C152&amp;")")</f>
        <v>0</v>
      </c>
      <c r="E152" s="28">
        <f>IF(C152="","",IFERROR(INDEX(Clients!$A$5:$A$254,MATCH(C152,Clients!$B$5:$B$254,0)),""))</f>
        <v>0</v>
      </c>
      <c r="I152" s="32">
        <f>IF(H152="","",ROUND(YEARFRAC(H152,TODAY()),1))</f>
        <v>0</v>
      </c>
      <c r="Y152" s="49">
        <f>IF(X152="","",IF(X152&lt;TODAY(),"Expired",IF(X152-TODAY()&lt;=VaccAlertDays,"Due in "&amp;TEXT(X152-TODAY(),"0")&amp;" days","Valid")))</f>
        <v>0</v>
      </c>
      <c r="AQ152" s="31">
        <f>IF(D152="","",COUNTIFS('Visit Log'!$E$5:$E$404,D152,'Visit Log'!$AE$5:$AE$404,"Completed"))</f>
        <v>0</v>
      </c>
      <c r="AR152" s="21">
        <f>IF(D152="","",IF(SUMPRODUCT(MAX(('Visit Log'!$E$5:$E$404=D152)*('Visit Log'!$AE$5:$AE$404="Completed")*'Visit Log'!$C$5:$C$404))=0,"",SUMPRODUCT(MAX(('Visit Log'!$E$5:$E$404=D152)*('Visit Log'!$AE$5:$AE$404="Completed")*'Visit Log'!$C$5:$C$404))))</f>
        <v>0</v>
      </c>
      <c r="AS152" s="31">
        <f>IF(D152="","",COUNTIFS('Health Log'!$D$5:$D$204,D152))</f>
        <v>0</v>
      </c>
      <c r="AT152" s="49">
        <f>IF(B152="","",TRIM(IF(Y152="Expired","VACCINATION EXPIRED. ",IF(LEFT(Y152,6)="Due in","Vaccination due. ",""))&amp;IF(AND(AN152&lt;&gt;"",AN152&lt;&gt;"None"),AN152&amp;". ","")&amp;IF(AND(AG152&lt;&gt;"",AG152&lt;&gt;"None",AG152&lt;&gt;"-"),"On medication. ","")&amp;IF(Q152&lt;&gt;"",IF(OR(Q152="None",Q152="None known"),"","Allergy: "&amp;Q152),"")))</f>
        <v>0</v>
      </c>
    </row>
    <row r="153" spans="1:46">
      <c r="A153" s="46">
        <f>IF(B153="","",PetPrefix&amp;TEXT(ROW()-4,"0000"))</f>
        <v>0</v>
      </c>
      <c r="D153" s="28">
        <f>IF(B153="","",B153&amp;" ("&amp;C153&amp;")")</f>
        <v>0</v>
      </c>
      <c r="E153" s="28">
        <f>IF(C153="","",IFERROR(INDEX(Clients!$A$5:$A$254,MATCH(C153,Clients!$B$5:$B$254,0)),""))</f>
        <v>0</v>
      </c>
      <c r="I153" s="32">
        <f>IF(H153="","",ROUND(YEARFRAC(H153,TODAY()),1))</f>
        <v>0</v>
      </c>
      <c r="Y153" s="49">
        <f>IF(X153="","",IF(X153&lt;TODAY(),"Expired",IF(X153-TODAY()&lt;=VaccAlertDays,"Due in "&amp;TEXT(X153-TODAY(),"0")&amp;" days","Valid")))</f>
        <v>0</v>
      </c>
      <c r="AQ153" s="31">
        <f>IF(D153="","",COUNTIFS('Visit Log'!$E$5:$E$404,D153,'Visit Log'!$AE$5:$AE$404,"Completed"))</f>
        <v>0</v>
      </c>
      <c r="AR153" s="21">
        <f>IF(D153="","",IF(SUMPRODUCT(MAX(('Visit Log'!$E$5:$E$404=D153)*('Visit Log'!$AE$5:$AE$404="Completed")*'Visit Log'!$C$5:$C$404))=0,"",SUMPRODUCT(MAX(('Visit Log'!$E$5:$E$404=D153)*('Visit Log'!$AE$5:$AE$404="Completed")*'Visit Log'!$C$5:$C$404))))</f>
        <v>0</v>
      </c>
      <c r="AS153" s="31">
        <f>IF(D153="","",COUNTIFS('Health Log'!$D$5:$D$204,D153))</f>
        <v>0</v>
      </c>
      <c r="AT153" s="49">
        <f>IF(B153="","",TRIM(IF(Y153="Expired","VACCINATION EXPIRED. ",IF(LEFT(Y153,6)="Due in","Vaccination due. ",""))&amp;IF(AND(AN153&lt;&gt;"",AN153&lt;&gt;"None"),AN153&amp;". ","")&amp;IF(AND(AG153&lt;&gt;"",AG153&lt;&gt;"None",AG153&lt;&gt;"-"),"On medication. ","")&amp;IF(Q153&lt;&gt;"",IF(OR(Q153="None",Q153="None known"),"","Allergy: "&amp;Q153),"")))</f>
        <v>0</v>
      </c>
    </row>
    <row r="154" spans="1:46">
      <c r="A154" s="46">
        <f>IF(B154="","",PetPrefix&amp;TEXT(ROW()-4,"0000"))</f>
        <v>0</v>
      </c>
      <c r="D154" s="28">
        <f>IF(B154="","",B154&amp;" ("&amp;C154&amp;")")</f>
        <v>0</v>
      </c>
      <c r="E154" s="28">
        <f>IF(C154="","",IFERROR(INDEX(Clients!$A$5:$A$254,MATCH(C154,Clients!$B$5:$B$254,0)),""))</f>
        <v>0</v>
      </c>
      <c r="I154" s="32">
        <f>IF(H154="","",ROUND(YEARFRAC(H154,TODAY()),1))</f>
        <v>0</v>
      </c>
      <c r="Y154" s="49">
        <f>IF(X154="","",IF(X154&lt;TODAY(),"Expired",IF(X154-TODAY()&lt;=VaccAlertDays,"Due in "&amp;TEXT(X154-TODAY(),"0")&amp;" days","Valid")))</f>
        <v>0</v>
      </c>
      <c r="AQ154" s="31">
        <f>IF(D154="","",COUNTIFS('Visit Log'!$E$5:$E$404,D154,'Visit Log'!$AE$5:$AE$404,"Completed"))</f>
        <v>0</v>
      </c>
      <c r="AR154" s="21">
        <f>IF(D154="","",IF(SUMPRODUCT(MAX(('Visit Log'!$E$5:$E$404=D154)*('Visit Log'!$AE$5:$AE$404="Completed")*'Visit Log'!$C$5:$C$404))=0,"",SUMPRODUCT(MAX(('Visit Log'!$E$5:$E$404=D154)*('Visit Log'!$AE$5:$AE$404="Completed")*'Visit Log'!$C$5:$C$404))))</f>
        <v>0</v>
      </c>
      <c r="AS154" s="31">
        <f>IF(D154="","",COUNTIFS('Health Log'!$D$5:$D$204,D154))</f>
        <v>0</v>
      </c>
      <c r="AT154" s="49">
        <f>IF(B154="","",TRIM(IF(Y154="Expired","VACCINATION EXPIRED. ",IF(LEFT(Y154,6)="Due in","Vaccination due. ",""))&amp;IF(AND(AN154&lt;&gt;"",AN154&lt;&gt;"None"),AN154&amp;". ","")&amp;IF(AND(AG154&lt;&gt;"",AG154&lt;&gt;"None",AG154&lt;&gt;"-"),"On medication. ","")&amp;IF(Q154&lt;&gt;"",IF(OR(Q154="None",Q154="None known"),"","Allergy: "&amp;Q154),"")))</f>
        <v>0</v>
      </c>
    </row>
    <row r="155" spans="1:46">
      <c r="A155" s="46">
        <f>IF(B155="","",PetPrefix&amp;TEXT(ROW()-4,"0000"))</f>
        <v>0</v>
      </c>
      <c r="D155" s="28">
        <f>IF(B155="","",B155&amp;" ("&amp;C155&amp;")")</f>
        <v>0</v>
      </c>
      <c r="E155" s="28">
        <f>IF(C155="","",IFERROR(INDEX(Clients!$A$5:$A$254,MATCH(C155,Clients!$B$5:$B$254,0)),""))</f>
        <v>0</v>
      </c>
      <c r="I155" s="32">
        <f>IF(H155="","",ROUND(YEARFRAC(H155,TODAY()),1))</f>
        <v>0</v>
      </c>
      <c r="Y155" s="49">
        <f>IF(X155="","",IF(X155&lt;TODAY(),"Expired",IF(X155-TODAY()&lt;=VaccAlertDays,"Due in "&amp;TEXT(X155-TODAY(),"0")&amp;" days","Valid")))</f>
        <v>0</v>
      </c>
      <c r="AQ155" s="31">
        <f>IF(D155="","",COUNTIFS('Visit Log'!$E$5:$E$404,D155,'Visit Log'!$AE$5:$AE$404,"Completed"))</f>
        <v>0</v>
      </c>
      <c r="AR155" s="21">
        <f>IF(D155="","",IF(SUMPRODUCT(MAX(('Visit Log'!$E$5:$E$404=D155)*('Visit Log'!$AE$5:$AE$404="Completed")*'Visit Log'!$C$5:$C$404))=0,"",SUMPRODUCT(MAX(('Visit Log'!$E$5:$E$404=D155)*('Visit Log'!$AE$5:$AE$404="Completed")*'Visit Log'!$C$5:$C$404))))</f>
        <v>0</v>
      </c>
      <c r="AS155" s="31">
        <f>IF(D155="","",COUNTIFS('Health Log'!$D$5:$D$204,D155))</f>
        <v>0</v>
      </c>
      <c r="AT155" s="49">
        <f>IF(B155="","",TRIM(IF(Y155="Expired","VACCINATION EXPIRED. ",IF(LEFT(Y155,6)="Due in","Vaccination due. ",""))&amp;IF(AND(AN155&lt;&gt;"",AN155&lt;&gt;"None"),AN155&amp;". ","")&amp;IF(AND(AG155&lt;&gt;"",AG155&lt;&gt;"None",AG155&lt;&gt;"-"),"On medication. ","")&amp;IF(Q155&lt;&gt;"",IF(OR(Q155="None",Q155="None known"),"","Allergy: "&amp;Q155),"")))</f>
        <v>0</v>
      </c>
    </row>
    <row r="156" spans="1:46">
      <c r="A156" s="46">
        <f>IF(B156="","",PetPrefix&amp;TEXT(ROW()-4,"0000"))</f>
        <v>0</v>
      </c>
      <c r="D156" s="28">
        <f>IF(B156="","",B156&amp;" ("&amp;C156&amp;")")</f>
        <v>0</v>
      </c>
      <c r="E156" s="28">
        <f>IF(C156="","",IFERROR(INDEX(Clients!$A$5:$A$254,MATCH(C156,Clients!$B$5:$B$254,0)),""))</f>
        <v>0</v>
      </c>
      <c r="I156" s="32">
        <f>IF(H156="","",ROUND(YEARFRAC(H156,TODAY()),1))</f>
        <v>0</v>
      </c>
      <c r="Y156" s="49">
        <f>IF(X156="","",IF(X156&lt;TODAY(),"Expired",IF(X156-TODAY()&lt;=VaccAlertDays,"Due in "&amp;TEXT(X156-TODAY(),"0")&amp;" days","Valid")))</f>
        <v>0</v>
      </c>
      <c r="AQ156" s="31">
        <f>IF(D156="","",COUNTIFS('Visit Log'!$E$5:$E$404,D156,'Visit Log'!$AE$5:$AE$404,"Completed"))</f>
        <v>0</v>
      </c>
      <c r="AR156" s="21">
        <f>IF(D156="","",IF(SUMPRODUCT(MAX(('Visit Log'!$E$5:$E$404=D156)*('Visit Log'!$AE$5:$AE$404="Completed")*'Visit Log'!$C$5:$C$404))=0,"",SUMPRODUCT(MAX(('Visit Log'!$E$5:$E$404=D156)*('Visit Log'!$AE$5:$AE$404="Completed")*'Visit Log'!$C$5:$C$404))))</f>
        <v>0</v>
      </c>
      <c r="AS156" s="31">
        <f>IF(D156="","",COUNTIFS('Health Log'!$D$5:$D$204,D156))</f>
        <v>0</v>
      </c>
      <c r="AT156" s="49">
        <f>IF(B156="","",TRIM(IF(Y156="Expired","VACCINATION EXPIRED. ",IF(LEFT(Y156,6)="Due in","Vaccination due. ",""))&amp;IF(AND(AN156&lt;&gt;"",AN156&lt;&gt;"None"),AN156&amp;". ","")&amp;IF(AND(AG156&lt;&gt;"",AG156&lt;&gt;"None",AG156&lt;&gt;"-"),"On medication. ","")&amp;IF(Q156&lt;&gt;"",IF(OR(Q156="None",Q156="None known"),"","Allergy: "&amp;Q156),"")))</f>
        <v>0</v>
      </c>
    </row>
    <row r="157" spans="1:46">
      <c r="A157" s="46">
        <f>IF(B157="","",PetPrefix&amp;TEXT(ROW()-4,"0000"))</f>
        <v>0</v>
      </c>
      <c r="D157" s="28">
        <f>IF(B157="","",B157&amp;" ("&amp;C157&amp;")")</f>
        <v>0</v>
      </c>
      <c r="E157" s="28">
        <f>IF(C157="","",IFERROR(INDEX(Clients!$A$5:$A$254,MATCH(C157,Clients!$B$5:$B$254,0)),""))</f>
        <v>0</v>
      </c>
      <c r="I157" s="32">
        <f>IF(H157="","",ROUND(YEARFRAC(H157,TODAY()),1))</f>
        <v>0</v>
      </c>
      <c r="Y157" s="49">
        <f>IF(X157="","",IF(X157&lt;TODAY(),"Expired",IF(X157-TODAY()&lt;=VaccAlertDays,"Due in "&amp;TEXT(X157-TODAY(),"0")&amp;" days","Valid")))</f>
        <v>0</v>
      </c>
      <c r="AQ157" s="31">
        <f>IF(D157="","",COUNTIFS('Visit Log'!$E$5:$E$404,D157,'Visit Log'!$AE$5:$AE$404,"Completed"))</f>
        <v>0</v>
      </c>
      <c r="AR157" s="21">
        <f>IF(D157="","",IF(SUMPRODUCT(MAX(('Visit Log'!$E$5:$E$404=D157)*('Visit Log'!$AE$5:$AE$404="Completed")*'Visit Log'!$C$5:$C$404))=0,"",SUMPRODUCT(MAX(('Visit Log'!$E$5:$E$404=D157)*('Visit Log'!$AE$5:$AE$404="Completed")*'Visit Log'!$C$5:$C$404))))</f>
        <v>0</v>
      </c>
      <c r="AS157" s="31">
        <f>IF(D157="","",COUNTIFS('Health Log'!$D$5:$D$204,D157))</f>
        <v>0</v>
      </c>
      <c r="AT157" s="49">
        <f>IF(B157="","",TRIM(IF(Y157="Expired","VACCINATION EXPIRED. ",IF(LEFT(Y157,6)="Due in","Vaccination due. ",""))&amp;IF(AND(AN157&lt;&gt;"",AN157&lt;&gt;"None"),AN157&amp;". ","")&amp;IF(AND(AG157&lt;&gt;"",AG157&lt;&gt;"None",AG157&lt;&gt;"-"),"On medication. ","")&amp;IF(Q157&lt;&gt;"",IF(OR(Q157="None",Q157="None known"),"","Allergy: "&amp;Q157),"")))</f>
        <v>0</v>
      </c>
    </row>
    <row r="158" spans="1:46">
      <c r="A158" s="46">
        <f>IF(B158="","",PetPrefix&amp;TEXT(ROW()-4,"0000"))</f>
        <v>0</v>
      </c>
      <c r="D158" s="28">
        <f>IF(B158="","",B158&amp;" ("&amp;C158&amp;")")</f>
        <v>0</v>
      </c>
      <c r="E158" s="28">
        <f>IF(C158="","",IFERROR(INDEX(Clients!$A$5:$A$254,MATCH(C158,Clients!$B$5:$B$254,0)),""))</f>
        <v>0</v>
      </c>
      <c r="I158" s="32">
        <f>IF(H158="","",ROUND(YEARFRAC(H158,TODAY()),1))</f>
        <v>0</v>
      </c>
      <c r="Y158" s="49">
        <f>IF(X158="","",IF(X158&lt;TODAY(),"Expired",IF(X158-TODAY()&lt;=VaccAlertDays,"Due in "&amp;TEXT(X158-TODAY(),"0")&amp;" days","Valid")))</f>
        <v>0</v>
      </c>
      <c r="AQ158" s="31">
        <f>IF(D158="","",COUNTIFS('Visit Log'!$E$5:$E$404,D158,'Visit Log'!$AE$5:$AE$404,"Completed"))</f>
        <v>0</v>
      </c>
      <c r="AR158" s="21">
        <f>IF(D158="","",IF(SUMPRODUCT(MAX(('Visit Log'!$E$5:$E$404=D158)*('Visit Log'!$AE$5:$AE$404="Completed")*'Visit Log'!$C$5:$C$404))=0,"",SUMPRODUCT(MAX(('Visit Log'!$E$5:$E$404=D158)*('Visit Log'!$AE$5:$AE$404="Completed")*'Visit Log'!$C$5:$C$404))))</f>
        <v>0</v>
      </c>
      <c r="AS158" s="31">
        <f>IF(D158="","",COUNTIFS('Health Log'!$D$5:$D$204,D158))</f>
        <v>0</v>
      </c>
      <c r="AT158" s="49">
        <f>IF(B158="","",TRIM(IF(Y158="Expired","VACCINATION EXPIRED. ",IF(LEFT(Y158,6)="Due in","Vaccination due. ",""))&amp;IF(AND(AN158&lt;&gt;"",AN158&lt;&gt;"None"),AN158&amp;". ","")&amp;IF(AND(AG158&lt;&gt;"",AG158&lt;&gt;"None",AG158&lt;&gt;"-"),"On medication. ","")&amp;IF(Q158&lt;&gt;"",IF(OR(Q158="None",Q158="None known"),"","Allergy: "&amp;Q158),"")))</f>
        <v>0</v>
      </c>
    </row>
    <row r="159" spans="1:46">
      <c r="A159" s="46">
        <f>IF(B159="","",PetPrefix&amp;TEXT(ROW()-4,"0000"))</f>
        <v>0</v>
      </c>
      <c r="D159" s="28">
        <f>IF(B159="","",B159&amp;" ("&amp;C159&amp;")")</f>
        <v>0</v>
      </c>
      <c r="E159" s="28">
        <f>IF(C159="","",IFERROR(INDEX(Clients!$A$5:$A$254,MATCH(C159,Clients!$B$5:$B$254,0)),""))</f>
        <v>0</v>
      </c>
      <c r="I159" s="32">
        <f>IF(H159="","",ROUND(YEARFRAC(H159,TODAY()),1))</f>
        <v>0</v>
      </c>
      <c r="Y159" s="49">
        <f>IF(X159="","",IF(X159&lt;TODAY(),"Expired",IF(X159-TODAY()&lt;=VaccAlertDays,"Due in "&amp;TEXT(X159-TODAY(),"0")&amp;" days","Valid")))</f>
        <v>0</v>
      </c>
      <c r="AQ159" s="31">
        <f>IF(D159="","",COUNTIFS('Visit Log'!$E$5:$E$404,D159,'Visit Log'!$AE$5:$AE$404,"Completed"))</f>
        <v>0</v>
      </c>
      <c r="AR159" s="21">
        <f>IF(D159="","",IF(SUMPRODUCT(MAX(('Visit Log'!$E$5:$E$404=D159)*('Visit Log'!$AE$5:$AE$404="Completed")*'Visit Log'!$C$5:$C$404))=0,"",SUMPRODUCT(MAX(('Visit Log'!$E$5:$E$404=D159)*('Visit Log'!$AE$5:$AE$404="Completed")*'Visit Log'!$C$5:$C$404))))</f>
        <v>0</v>
      </c>
      <c r="AS159" s="31">
        <f>IF(D159="","",COUNTIFS('Health Log'!$D$5:$D$204,D159))</f>
        <v>0</v>
      </c>
      <c r="AT159" s="49">
        <f>IF(B159="","",TRIM(IF(Y159="Expired","VACCINATION EXPIRED. ",IF(LEFT(Y159,6)="Due in","Vaccination due. ",""))&amp;IF(AND(AN159&lt;&gt;"",AN159&lt;&gt;"None"),AN159&amp;". ","")&amp;IF(AND(AG159&lt;&gt;"",AG159&lt;&gt;"None",AG159&lt;&gt;"-"),"On medication. ","")&amp;IF(Q159&lt;&gt;"",IF(OR(Q159="None",Q159="None known"),"","Allergy: "&amp;Q159),"")))</f>
        <v>0</v>
      </c>
    </row>
    <row r="160" spans="1:46">
      <c r="A160" s="46">
        <f>IF(B160="","",PetPrefix&amp;TEXT(ROW()-4,"0000"))</f>
        <v>0</v>
      </c>
      <c r="D160" s="28">
        <f>IF(B160="","",B160&amp;" ("&amp;C160&amp;")")</f>
        <v>0</v>
      </c>
      <c r="E160" s="28">
        <f>IF(C160="","",IFERROR(INDEX(Clients!$A$5:$A$254,MATCH(C160,Clients!$B$5:$B$254,0)),""))</f>
        <v>0</v>
      </c>
      <c r="I160" s="32">
        <f>IF(H160="","",ROUND(YEARFRAC(H160,TODAY()),1))</f>
        <v>0</v>
      </c>
      <c r="Y160" s="49">
        <f>IF(X160="","",IF(X160&lt;TODAY(),"Expired",IF(X160-TODAY()&lt;=VaccAlertDays,"Due in "&amp;TEXT(X160-TODAY(),"0")&amp;" days","Valid")))</f>
        <v>0</v>
      </c>
      <c r="AQ160" s="31">
        <f>IF(D160="","",COUNTIFS('Visit Log'!$E$5:$E$404,D160,'Visit Log'!$AE$5:$AE$404,"Completed"))</f>
        <v>0</v>
      </c>
      <c r="AR160" s="21">
        <f>IF(D160="","",IF(SUMPRODUCT(MAX(('Visit Log'!$E$5:$E$404=D160)*('Visit Log'!$AE$5:$AE$404="Completed")*'Visit Log'!$C$5:$C$404))=0,"",SUMPRODUCT(MAX(('Visit Log'!$E$5:$E$404=D160)*('Visit Log'!$AE$5:$AE$404="Completed")*'Visit Log'!$C$5:$C$404))))</f>
        <v>0</v>
      </c>
      <c r="AS160" s="31">
        <f>IF(D160="","",COUNTIFS('Health Log'!$D$5:$D$204,D160))</f>
        <v>0</v>
      </c>
      <c r="AT160" s="49">
        <f>IF(B160="","",TRIM(IF(Y160="Expired","VACCINATION EXPIRED. ",IF(LEFT(Y160,6)="Due in","Vaccination due. ",""))&amp;IF(AND(AN160&lt;&gt;"",AN160&lt;&gt;"None"),AN160&amp;". ","")&amp;IF(AND(AG160&lt;&gt;"",AG160&lt;&gt;"None",AG160&lt;&gt;"-"),"On medication. ","")&amp;IF(Q160&lt;&gt;"",IF(OR(Q160="None",Q160="None known"),"","Allergy: "&amp;Q160),"")))</f>
        <v>0</v>
      </c>
    </row>
    <row r="161" spans="1:46">
      <c r="A161" s="46">
        <f>IF(B161="","",PetPrefix&amp;TEXT(ROW()-4,"0000"))</f>
        <v>0</v>
      </c>
      <c r="D161" s="28">
        <f>IF(B161="","",B161&amp;" ("&amp;C161&amp;")")</f>
        <v>0</v>
      </c>
      <c r="E161" s="28">
        <f>IF(C161="","",IFERROR(INDEX(Clients!$A$5:$A$254,MATCH(C161,Clients!$B$5:$B$254,0)),""))</f>
        <v>0</v>
      </c>
      <c r="I161" s="32">
        <f>IF(H161="","",ROUND(YEARFRAC(H161,TODAY()),1))</f>
        <v>0</v>
      </c>
      <c r="Y161" s="49">
        <f>IF(X161="","",IF(X161&lt;TODAY(),"Expired",IF(X161-TODAY()&lt;=VaccAlertDays,"Due in "&amp;TEXT(X161-TODAY(),"0")&amp;" days","Valid")))</f>
        <v>0</v>
      </c>
      <c r="AQ161" s="31">
        <f>IF(D161="","",COUNTIFS('Visit Log'!$E$5:$E$404,D161,'Visit Log'!$AE$5:$AE$404,"Completed"))</f>
        <v>0</v>
      </c>
      <c r="AR161" s="21">
        <f>IF(D161="","",IF(SUMPRODUCT(MAX(('Visit Log'!$E$5:$E$404=D161)*('Visit Log'!$AE$5:$AE$404="Completed")*'Visit Log'!$C$5:$C$404))=0,"",SUMPRODUCT(MAX(('Visit Log'!$E$5:$E$404=D161)*('Visit Log'!$AE$5:$AE$404="Completed")*'Visit Log'!$C$5:$C$404))))</f>
        <v>0</v>
      </c>
      <c r="AS161" s="31">
        <f>IF(D161="","",COUNTIFS('Health Log'!$D$5:$D$204,D161))</f>
        <v>0</v>
      </c>
      <c r="AT161" s="49">
        <f>IF(B161="","",TRIM(IF(Y161="Expired","VACCINATION EXPIRED. ",IF(LEFT(Y161,6)="Due in","Vaccination due. ",""))&amp;IF(AND(AN161&lt;&gt;"",AN161&lt;&gt;"None"),AN161&amp;". ","")&amp;IF(AND(AG161&lt;&gt;"",AG161&lt;&gt;"None",AG161&lt;&gt;"-"),"On medication. ","")&amp;IF(Q161&lt;&gt;"",IF(OR(Q161="None",Q161="None known"),"","Allergy: "&amp;Q161),"")))</f>
        <v>0</v>
      </c>
    </row>
    <row r="162" spans="1:46">
      <c r="A162" s="46">
        <f>IF(B162="","",PetPrefix&amp;TEXT(ROW()-4,"0000"))</f>
        <v>0</v>
      </c>
      <c r="D162" s="28">
        <f>IF(B162="","",B162&amp;" ("&amp;C162&amp;")")</f>
        <v>0</v>
      </c>
      <c r="E162" s="28">
        <f>IF(C162="","",IFERROR(INDEX(Clients!$A$5:$A$254,MATCH(C162,Clients!$B$5:$B$254,0)),""))</f>
        <v>0</v>
      </c>
      <c r="I162" s="32">
        <f>IF(H162="","",ROUND(YEARFRAC(H162,TODAY()),1))</f>
        <v>0</v>
      </c>
      <c r="Y162" s="49">
        <f>IF(X162="","",IF(X162&lt;TODAY(),"Expired",IF(X162-TODAY()&lt;=VaccAlertDays,"Due in "&amp;TEXT(X162-TODAY(),"0")&amp;" days","Valid")))</f>
        <v>0</v>
      </c>
      <c r="AQ162" s="31">
        <f>IF(D162="","",COUNTIFS('Visit Log'!$E$5:$E$404,D162,'Visit Log'!$AE$5:$AE$404,"Completed"))</f>
        <v>0</v>
      </c>
      <c r="AR162" s="21">
        <f>IF(D162="","",IF(SUMPRODUCT(MAX(('Visit Log'!$E$5:$E$404=D162)*('Visit Log'!$AE$5:$AE$404="Completed")*'Visit Log'!$C$5:$C$404))=0,"",SUMPRODUCT(MAX(('Visit Log'!$E$5:$E$404=D162)*('Visit Log'!$AE$5:$AE$404="Completed")*'Visit Log'!$C$5:$C$404))))</f>
        <v>0</v>
      </c>
      <c r="AS162" s="31">
        <f>IF(D162="","",COUNTIFS('Health Log'!$D$5:$D$204,D162))</f>
        <v>0</v>
      </c>
      <c r="AT162" s="49">
        <f>IF(B162="","",TRIM(IF(Y162="Expired","VACCINATION EXPIRED. ",IF(LEFT(Y162,6)="Due in","Vaccination due. ",""))&amp;IF(AND(AN162&lt;&gt;"",AN162&lt;&gt;"None"),AN162&amp;". ","")&amp;IF(AND(AG162&lt;&gt;"",AG162&lt;&gt;"None",AG162&lt;&gt;"-"),"On medication. ","")&amp;IF(Q162&lt;&gt;"",IF(OR(Q162="None",Q162="None known"),"","Allergy: "&amp;Q162),"")))</f>
        <v>0</v>
      </c>
    </row>
    <row r="163" spans="1:46">
      <c r="A163" s="46">
        <f>IF(B163="","",PetPrefix&amp;TEXT(ROW()-4,"0000"))</f>
        <v>0</v>
      </c>
      <c r="D163" s="28">
        <f>IF(B163="","",B163&amp;" ("&amp;C163&amp;")")</f>
        <v>0</v>
      </c>
      <c r="E163" s="28">
        <f>IF(C163="","",IFERROR(INDEX(Clients!$A$5:$A$254,MATCH(C163,Clients!$B$5:$B$254,0)),""))</f>
        <v>0</v>
      </c>
      <c r="I163" s="32">
        <f>IF(H163="","",ROUND(YEARFRAC(H163,TODAY()),1))</f>
        <v>0</v>
      </c>
      <c r="Y163" s="49">
        <f>IF(X163="","",IF(X163&lt;TODAY(),"Expired",IF(X163-TODAY()&lt;=VaccAlertDays,"Due in "&amp;TEXT(X163-TODAY(),"0")&amp;" days","Valid")))</f>
        <v>0</v>
      </c>
      <c r="AQ163" s="31">
        <f>IF(D163="","",COUNTIFS('Visit Log'!$E$5:$E$404,D163,'Visit Log'!$AE$5:$AE$404,"Completed"))</f>
        <v>0</v>
      </c>
      <c r="AR163" s="21">
        <f>IF(D163="","",IF(SUMPRODUCT(MAX(('Visit Log'!$E$5:$E$404=D163)*('Visit Log'!$AE$5:$AE$404="Completed")*'Visit Log'!$C$5:$C$404))=0,"",SUMPRODUCT(MAX(('Visit Log'!$E$5:$E$404=D163)*('Visit Log'!$AE$5:$AE$404="Completed")*'Visit Log'!$C$5:$C$404))))</f>
        <v>0</v>
      </c>
      <c r="AS163" s="31">
        <f>IF(D163="","",COUNTIFS('Health Log'!$D$5:$D$204,D163))</f>
        <v>0</v>
      </c>
      <c r="AT163" s="49">
        <f>IF(B163="","",TRIM(IF(Y163="Expired","VACCINATION EXPIRED. ",IF(LEFT(Y163,6)="Due in","Vaccination due. ",""))&amp;IF(AND(AN163&lt;&gt;"",AN163&lt;&gt;"None"),AN163&amp;". ","")&amp;IF(AND(AG163&lt;&gt;"",AG163&lt;&gt;"None",AG163&lt;&gt;"-"),"On medication. ","")&amp;IF(Q163&lt;&gt;"",IF(OR(Q163="None",Q163="None known"),"","Allergy: "&amp;Q163),"")))</f>
        <v>0</v>
      </c>
    </row>
    <row r="164" spans="1:46">
      <c r="A164" s="46">
        <f>IF(B164="","",PetPrefix&amp;TEXT(ROW()-4,"0000"))</f>
        <v>0</v>
      </c>
      <c r="D164" s="28">
        <f>IF(B164="","",B164&amp;" ("&amp;C164&amp;")")</f>
        <v>0</v>
      </c>
      <c r="E164" s="28">
        <f>IF(C164="","",IFERROR(INDEX(Clients!$A$5:$A$254,MATCH(C164,Clients!$B$5:$B$254,0)),""))</f>
        <v>0</v>
      </c>
      <c r="I164" s="32">
        <f>IF(H164="","",ROUND(YEARFRAC(H164,TODAY()),1))</f>
        <v>0</v>
      </c>
      <c r="Y164" s="49">
        <f>IF(X164="","",IF(X164&lt;TODAY(),"Expired",IF(X164-TODAY()&lt;=VaccAlertDays,"Due in "&amp;TEXT(X164-TODAY(),"0")&amp;" days","Valid")))</f>
        <v>0</v>
      </c>
      <c r="AQ164" s="31">
        <f>IF(D164="","",COUNTIFS('Visit Log'!$E$5:$E$404,D164,'Visit Log'!$AE$5:$AE$404,"Completed"))</f>
        <v>0</v>
      </c>
      <c r="AR164" s="21">
        <f>IF(D164="","",IF(SUMPRODUCT(MAX(('Visit Log'!$E$5:$E$404=D164)*('Visit Log'!$AE$5:$AE$404="Completed")*'Visit Log'!$C$5:$C$404))=0,"",SUMPRODUCT(MAX(('Visit Log'!$E$5:$E$404=D164)*('Visit Log'!$AE$5:$AE$404="Completed")*'Visit Log'!$C$5:$C$404))))</f>
        <v>0</v>
      </c>
      <c r="AS164" s="31">
        <f>IF(D164="","",COUNTIFS('Health Log'!$D$5:$D$204,D164))</f>
        <v>0</v>
      </c>
      <c r="AT164" s="49">
        <f>IF(B164="","",TRIM(IF(Y164="Expired","VACCINATION EXPIRED. ",IF(LEFT(Y164,6)="Due in","Vaccination due. ",""))&amp;IF(AND(AN164&lt;&gt;"",AN164&lt;&gt;"None"),AN164&amp;". ","")&amp;IF(AND(AG164&lt;&gt;"",AG164&lt;&gt;"None",AG164&lt;&gt;"-"),"On medication. ","")&amp;IF(Q164&lt;&gt;"",IF(OR(Q164="None",Q164="None known"),"","Allergy: "&amp;Q164),"")))</f>
        <v>0</v>
      </c>
    </row>
    <row r="165" spans="1:46">
      <c r="A165" s="46">
        <f>IF(B165="","",PetPrefix&amp;TEXT(ROW()-4,"0000"))</f>
        <v>0</v>
      </c>
      <c r="D165" s="28">
        <f>IF(B165="","",B165&amp;" ("&amp;C165&amp;")")</f>
        <v>0</v>
      </c>
      <c r="E165" s="28">
        <f>IF(C165="","",IFERROR(INDEX(Clients!$A$5:$A$254,MATCH(C165,Clients!$B$5:$B$254,0)),""))</f>
        <v>0</v>
      </c>
      <c r="I165" s="32">
        <f>IF(H165="","",ROUND(YEARFRAC(H165,TODAY()),1))</f>
        <v>0</v>
      </c>
      <c r="Y165" s="49">
        <f>IF(X165="","",IF(X165&lt;TODAY(),"Expired",IF(X165-TODAY()&lt;=VaccAlertDays,"Due in "&amp;TEXT(X165-TODAY(),"0")&amp;" days","Valid")))</f>
        <v>0</v>
      </c>
      <c r="AQ165" s="31">
        <f>IF(D165="","",COUNTIFS('Visit Log'!$E$5:$E$404,D165,'Visit Log'!$AE$5:$AE$404,"Completed"))</f>
        <v>0</v>
      </c>
      <c r="AR165" s="21">
        <f>IF(D165="","",IF(SUMPRODUCT(MAX(('Visit Log'!$E$5:$E$404=D165)*('Visit Log'!$AE$5:$AE$404="Completed")*'Visit Log'!$C$5:$C$404))=0,"",SUMPRODUCT(MAX(('Visit Log'!$E$5:$E$404=D165)*('Visit Log'!$AE$5:$AE$404="Completed")*'Visit Log'!$C$5:$C$404))))</f>
        <v>0</v>
      </c>
      <c r="AS165" s="31">
        <f>IF(D165="","",COUNTIFS('Health Log'!$D$5:$D$204,D165))</f>
        <v>0</v>
      </c>
      <c r="AT165" s="49">
        <f>IF(B165="","",TRIM(IF(Y165="Expired","VACCINATION EXPIRED. ",IF(LEFT(Y165,6)="Due in","Vaccination due. ",""))&amp;IF(AND(AN165&lt;&gt;"",AN165&lt;&gt;"None"),AN165&amp;". ","")&amp;IF(AND(AG165&lt;&gt;"",AG165&lt;&gt;"None",AG165&lt;&gt;"-"),"On medication. ","")&amp;IF(Q165&lt;&gt;"",IF(OR(Q165="None",Q165="None known"),"","Allergy: "&amp;Q165),"")))</f>
        <v>0</v>
      </c>
    </row>
    <row r="166" spans="1:46">
      <c r="A166" s="46">
        <f>IF(B166="","",PetPrefix&amp;TEXT(ROW()-4,"0000"))</f>
        <v>0</v>
      </c>
      <c r="D166" s="28">
        <f>IF(B166="","",B166&amp;" ("&amp;C166&amp;")")</f>
        <v>0</v>
      </c>
      <c r="E166" s="28">
        <f>IF(C166="","",IFERROR(INDEX(Clients!$A$5:$A$254,MATCH(C166,Clients!$B$5:$B$254,0)),""))</f>
        <v>0</v>
      </c>
      <c r="I166" s="32">
        <f>IF(H166="","",ROUND(YEARFRAC(H166,TODAY()),1))</f>
        <v>0</v>
      </c>
      <c r="Y166" s="49">
        <f>IF(X166="","",IF(X166&lt;TODAY(),"Expired",IF(X166-TODAY()&lt;=VaccAlertDays,"Due in "&amp;TEXT(X166-TODAY(),"0")&amp;" days","Valid")))</f>
        <v>0</v>
      </c>
      <c r="AQ166" s="31">
        <f>IF(D166="","",COUNTIFS('Visit Log'!$E$5:$E$404,D166,'Visit Log'!$AE$5:$AE$404,"Completed"))</f>
        <v>0</v>
      </c>
      <c r="AR166" s="21">
        <f>IF(D166="","",IF(SUMPRODUCT(MAX(('Visit Log'!$E$5:$E$404=D166)*('Visit Log'!$AE$5:$AE$404="Completed")*'Visit Log'!$C$5:$C$404))=0,"",SUMPRODUCT(MAX(('Visit Log'!$E$5:$E$404=D166)*('Visit Log'!$AE$5:$AE$404="Completed")*'Visit Log'!$C$5:$C$404))))</f>
        <v>0</v>
      </c>
      <c r="AS166" s="31">
        <f>IF(D166="","",COUNTIFS('Health Log'!$D$5:$D$204,D166))</f>
        <v>0</v>
      </c>
      <c r="AT166" s="49">
        <f>IF(B166="","",TRIM(IF(Y166="Expired","VACCINATION EXPIRED. ",IF(LEFT(Y166,6)="Due in","Vaccination due. ",""))&amp;IF(AND(AN166&lt;&gt;"",AN166&lt;&gt;"None"),AN166&amp;". ","")&amp;IF(AND(AG166&lt;&gt;"",AG166&lt;&gt;"None",AG166&lt;&gt;"-"),"On medication. ","")&amp;IF(Q166&lt;&gt;"",IF(OR(Q166="None",Q166="None known"),"","Allergy: "&amp;Q166),"")))</f>
        <v>0</v>
      </c>
    </row>
    <row r="167" spans="1:46">
      <c r="A167" s="46">
        <f>IF(B167="","",PetPrefix&amp;TEXT(ROW()-4,"0000"))</f>
        <v>0</v>
      </c>
      <c r="D167" s="28">
        <f>IF(B167="","",B167&amp;" ("&amp;C167&amp;")")</f>
        <v>0</v>
      </c>
      <c r="E167" s="28">
        <f>IF(C167="","",IFERROR(INDEX(Clients!$A$5:$A$254,MATCH(C167,Clients!$B$5:$B$254,0)),""))</f>
        <v>0</v>
      </c>
      <c r="I167" s="32">
        <f>IF(H167="","",ROUND(YEARFRAC(H167,TODAY()),1))</f>
        <v>0</v>
      </c>
      <c r="Y167" s="49">
        <f>IF(X167="","",IF(X167&lt;TODAY(),"Expired",IF(X167-TODAY()&lt;=VaccAlertDays,"Due in "&amp;TEXT(X167-TODAY(),"0")&amp;" days","Valid")))</f>
        <v>0</v>
      </c>
      <c r="AQ167" s="31">
        <f>IF(D167="","",COUNTIFS('Visit Log'!$E$5:$E$404,D167,'Visit Log'!$AE$5:$AE$404,"Completed"))</f>
        <v>0</v>
      </c>
      <c r="AR167" s="21">
        <f>IF(D167="","",IF(SUMPRODUCT(MAX(('Visit Log'!$E$5:$E$404=D167)*('Visit Log'!$AE$5:$AE$404="Completed")*'Visit Log'!$C$5:$C$404))=0,"",SUMPRODUCT(MAX(('Visit Log'!$E$5:$E$404=D167)*('Visit Log'!$AE$5:$AE$404="Completed")*'Visit Log'!$C$5:$C$404))))</f>
        <v>0</v>
      </c>
      <c r="AS167" s="31">
        <f>IF(D167="","",COUNTIFS('Health Log'!$D$5:$D$204,D167))</f>
        <v>0</v>
      </c>
      <c r="AT167" s="49">
        <f>IF(B167="","",TRIM(IF(Y167="Expired","VACCINATION EXPIRED. ",IF(LEFT(Y167,6)="Due in","Vaccination due. ",""))&amp;IF(AND(AN167&lt;&gt;"",AN167&lt;&gt;"None"),AN167&amp;". ","")&amp;IF(AND(AG167&lt;&gt;"",AG167&lt;&gt;"None",AG167&lt;&gt;"-"),"On medication. ","")&amp;IF(Q167&lt;&gt;"",IF(OR(Q167="None",Q167="None known"),"","Allergy: "&amp;Q167),"")))</f>
        <v>0</v>
      </c>
    </row>
    <row r="168" spans="1:46">
      <c r="A168" s="46">
        <f>IF(B168="","",PetPrefix&amp;TEXT(ROW()-4,"0000"))</f>
        <v>0</v>
      </c>
      <c r="D168" s="28">
        <f>IF(B168="","",B168&amp;" ("&amp;C168&amp;")")</f>
        <v>0</v>
      </c>
      <c r="E168" s="28">
        <f>IF(C168="","",IFERROR(INDEX(Clients!$A$5:$A$254,MATCH(C168,Clients!$B$5:$B$254,0)),""))</f>
        <v>0</v>
      </c>
      <c r="I168" s="32">
        <f>IF(H168="","",ROUND(YEARFRAC(H168,TODAY()),1))</f>
        <v>0</v>
      </c>
      <c r="Y168" s="49">
        <f>IF(X168="","",IF(X168&lt;TODAY(),"Expired",IF(X168-TODAY()&lt;=VaccAlertDays,"Due in "&amp;TEXT(X168-TODAY(),"0")&amp;" days","Valid")))</f>
        <v>0</v>
      </c>
      <c r="AQ168" s="31">
        <f>IF(D168="","",COUNTIFS('Visit Log'!$E$5:$E$404,D168,'Visit Log'!$AE$5:$AE$404,"Completed"))</f>
        <v>0</v>
      </c>
      <c r="AR168" s="21">
        <f>IF(D168="","",IF(SUMPRODUCT(MAX(('Visit Log'!$E$5:$E$404=D168)*('Visit Log'!$AE$5:$AE$404="Completed")*'Visit Log'!$C$5:$C$404))=0,"",SUMPRODUCT(MAX(('Visit Log'!$E$5:$E$404=D168)*('Visit Log'!$AE$5:$AE$404="Completed")*'Visit Log'!$C$5:$C$404))))</f>
        <v>0</v>
      </c>
      <c r="AS168" s="31">
        <f>IF(D168="","",COUNTIFS('Health Log'!$D$5:$D$204,D168))</f>
        <v>0</v>
      </c>
      <c r="AT168" s="49">
        <f>IF(B168="","",TRIM(IF(Y168="Expired","VACCINATION EXPIRED. ",IF(LEFT(Y168,6)="Due in","Vaccination due. ",""))&amp;IF(AND(AN168&lt;&gt;"",AN168&lt;&gt;"None"),AN168&amp;". ","")&amp;IF(AND(AG168&lt;&gt;"",AG168&lt;&gt;"None",AG168&lt;&gt;"-"),"On medication. ","")&amp;IF(Q168&lt;&gt;"",IF(OR(Q168="None",Q168="None known"),"","Allergy: "&amp;Q168),"")))</f>
        <v>0</v>
      </c>
    </row>
    <row r="169" spans="1:46">
      <c r="A169" s="46">
        <f>IF(B169="","",PetPrefix&amp;TEXT(ROW()-4,"0000"))</f>
        <v>0</v>
      </c>
      <c r="D169" s="28">
        <f>IF(B169="","",B169&amp;" ("&amp;C169&amp;")")</f>
        <v>0</v>
      </c>
      <c r="E169" s="28">
        <f>IF(C169="","",IFERROR(INDEX(Clients!$A$5:$A$254,MATCH(C169,Clients!$B$5:$B$254,0)),""))</f>
        <v>0</v>
      </c>
      <c r="I169" s="32">
        <f>IF(H169="","",ROUND(YEARFRAC(H169,TODAY()),1))</f>
        <v>0</v>
      </c>
      <c r="Y169" s="49">
        <f>IF(X169="","",IF(X169&lt;TODAY(),"Expired",IF(X169-TODAY()&lt;=VaccAlertDays,"Due in "&amp;TEXT(X169-TODAY(),"0")&amp;" days","Valid")))</f>
        <v>0</v>
      </c>
      <c r="AQ169" s="31">
        <f>IF(D169="","",COUNTIFS('Visit Log'!$E$5:$E$404,D169,'Visit Log'!$AE$5:$AE$404,"Completed"))</f>
        <v>0</v>
      </c>
      <c r="AR169" s="21">
        <f>IF(D169="","",IF(SUMPRODUCT(MAX(('Visit Log'!$E$5:$E$404=D169)*('Visit Log'!$AE$5:$AE$404="Completed")*'Visit Log'!$C$5:$C$404))=0,"",SUMPRODUCT(MAX(('Visit Log'!$E$5:$E$404=D169)*('Visit Log'!$AE$5:$AE$404="Completed")*'Visit Log'!$C$5:$C$404))))</f>
        <v>0</v>
      </c>
      <c r="AS169" s="31">
        <f>IF(D169="","",COUNTIFS('Health Log'!$D$5:$D$204,D169))</f>
        <v>0</v>
      </c>
      <c r="AT169" s="49">
        <f>IF(B169="","",TRIM(IF(Y169="Expired","VACCINATION EXPIRED. ",IF(LEFT(Y169,6)="Due in","Vaccination due. ",""))&amp;IF(AND(AN169&lt;&gt;"",AN169&lt;&gt;"None"),AN169&amp;". ","")&amp;IF(AND(AG169&lt;&gt;"",AG169&lt;&gt;"None",AG169&lt;&gt;"-"),"On medication. ","")&amp;IF(Q169&lt;&gt;"",IF(OR(Q169="None",Q169="None known"),"","Allergy: "&amp;Q169),"")))</f>
        <v>0</v>
      </c>
    </row>
    <row r="170" spans="1:46">
      <c r="A170" s="46">
        <f>IF(B170="","",PetPrefix&amp;TEXT(ROW()-4,"0000"))</f>
        <v>0</v>
      </c>
      <c r="D170" s="28">
        <f>IF(B170="","",B170&amp;" ("&amp;C170&amp;")")</f>
        <v>0</v>
      </c>
      <c r="E170" s="28">
        <f>IF(C170="","",IFERROR(INDEX(Clients!$A$5:$A$254,MATCH(C170,Clients!$B$5:$B$254,0)),""))</f>
        <v>0</v>
      </c>
      <c r="I170" s="32">
        <f>IF(H170="","",ROUND(YEARFRAC(H170,TODAY()),1))</f>
        <v>0</v>
      </c>
      <c r="Y170" s="49">
        <f>IF(X170="","",IF(X170&lt;TODAY(),"Expired",IF(X170-TODAY()&lt;=VaccAlertDays,"Due in "&amp;TEXT(X170-TODAY(),"0")&amp;" days","Valid")))</f>
        <v>0</v>
      </c>
      <c r="AQ170" s="31">
        <f>IF(D170="","",COUNTIFS('Visit Log'!$E$5:$E$404,D170,'Visit Log'!$AE$5:$AE$404,"Completed"))</f>
        <v>0</v>
      </c>
      <c r="AR170" s="21">
        <f>IF(D170="","",IF(SUMPRODUCT(MAX(('Visit Log'!$E$5:$E$404=D170)*('Visit Log'!$AE$5:$AE$404="Completed")*'Visit Log'!$C$5:$C$404))=0,"",SUMPRODUCT(MAX(('Visit Log'!$E$5:$E$404=D170)*('Visit Log'!$AE$5:$AE$404="Completed")*'Visit Log'!$C$5:$C$404))))</f>
        <v>0</v>
      </c>
      <c r="AS170" s="31">
        <f>IF(D170="","",COUNTIFS('Health Log'!$D$5:$D$204,D170))</f>
        <v>0</v>
      </c>
      <c r="AT170" s="49">
        <f>IF(B170="","",TRIM(IF(Y170="Expired","VACCINATION EXPIRED. ",IF(LEFT(Y170,6)="Due in","Vaccination due. ",""))&amp;IF(AND(AN170&lt;&gt;"",AN170&lt;&gt;"None"),AN170&amp;". ","")&amp;IF(AND(AG170&lt;&gt;"",AG170&lt;&gt;"None",AG170&lt;&gt;"-"),"On medication. ","")&amp;IF(Q170&lt;&gt;"",IF(OR(Q170="None",Q170="None known"),"","Allergy: "&amp;Q170),"")))</f>
        <v>0</v>
      </c>
    </row>
    <row r="171" spans="1:46">
      <c r="A171" s="46">
        <f>IF(B171="","",PetPrefix&amp;TEXT(ROW()-4,"0000"))</f>
        <v>0</v>
      </c>
      <c r="D171" s="28">
        <f>IF(B171="","",B171&amp;" ("&amp;C171&amp;")")</f>
        <v>0</v>
      </c>
      <c r="E171" s="28">
        <f>IF(C171="","",IFERROR(INDEX(Clients!$A$5:$A$254,MATCH(C171,Clients!$B$5:$B$254,0)),""))</f>
        <v>0</v>
      </c>
      <c r="I171" s="32">
        <f>IF(H171="","",ROUND(YEARFRAC(H171,TODAY()),1))</f>
        <v>0</v>
      </c>
      <c r="Y171" s="49">
        <f>IF(X171="","",IF(X171&lt;TODAY(),"Expired",IF(X171-TODAY()&lt;=VaccAlertDays,"Due in "&amp;TEXT(X171-TODAY(),"0")&amp;" days","Valid")))</f>
        <v>0</v>
      </c>
      <c r="AQ171" s="31">
        <f>IF(D171="","",COUNTIFS('Visit Log'!$E$5:$E$404,D171,'Visit Log'!$AE$5:$AE$404,"Completed"))</f>
        <v>0</v>
      </c>
      <c r="AR171" s="21">
        <f>IF(D171="","",IF(SUMPRODUCT(MAX(('Visit Log'!$E$5:$E$404=D171)*('Visit Log'!$AE$5:$AE$404="Completed")*'Visit Log'!$C$5:$C$404))=0,"",SUMPRODUCT(MAX(('Visit Log'!$E$5:$E$404=D171)*('Visit Log'!$AE$5:$AE$404="Completed")*'Visit Log'!$C$5:$C$404))))</f>
        <v>0</v>
      </c>
      <c r="AS171" s="31">
        <f>IF(D171="","",COUNTIFS('Health Log'!$D$5:$D$204,D171))</f>
        <v>0</v>
      </c>
      <c r="AT171" s="49">
        <f>IF(B171="","",TRIM(IF(Y171="Expired","VACCINATION EXPIRED. ",IF(LEFT(Y171,6)="Due in","Vaccination due. ",""))&amp;IF(AND(AN171&lt;&gt;"",AN171&lt;&gt;"None"),AN171&amp;". ","")&amp;IF(AND(AG171&lt;&gt;"",AG171&lt;&gt;"None",AG171&lt;&gt;"-"),"On medication. ","")&amp;IF(Q171&lt;&gt;"",IF(OR(Q171="None",Q171="None known"),"","Allergy: "&amp;Q171),"")))</f>
        <v>0</v>
      </c>
    </row>
    <row r="172" spans="1:46">
      <c r="A172" s="46">
        <f>IF(B172="","",PetPrefix&amp;TEXT(ROW()-4,"0000"))</f>
        <v>0</v>
      </c>
      <c r="D172" s="28">
        <f>IF(B172="","",B172&amp;" ("&amp;C172&amp;")")</f>
        <v>0</v>
      </c>
      <c r="E172" s="28">
        <f>IF(C172="","",IFERROR(INDEX(Clients!$A$5:$A$254,MATCH(C172,Clients!$B$5:$B$254,0)),""))</f>
        <v>0</v>
      </c>
      <c r="I172" s="32">
        <f>IF(H172="","",ROUND(YEARFRAC(H172,TODAY()),1))</f>
        <v>0</v>
      </c>
      <c r="Y172" s="49">
        <f>IF(X172="","",IF(X172&lt;TODAY(),"Expired",IF(X172-TODAY()&lt;=VaccAlertDays,"Due in "&amp;TEXT(X172-TODAY(),"0")&amp;" days","Valid")))</f>
        <v>0</v>
      </c>
      <c r="AQ172" s="31">
        <f>IF(D172="","",COUNTIFS('Visit Log'!$E$5:$E$404,D172,'Visit Log'!$AE$5:$AE$404,"Completed"))</f>
        <v>0</v>
      </c>
      <c r="AR172" s="21">
        <f>IF(D172="","",IF(SUMPRODUCT(MAX(('Visit Log'!$E$5:$E$404=D172)*('Visit Log'!$AE$5:$AE$404="Completed")*'Visit Log'!$C$5:$C$404))=0,"",SUMPRODUCT(MAX(('Visit Log'!$E$5:$E$404=D172)*('Visit Log'!$AE$5:$AE$404="Completed")*'Visit Log'!$C$5:$C$404))))</f>
        <v>0</v>
      </c>
      <c r="AS172" s="31">
        <f>IF(D172="","",COUNTIFS('Health Log'!$D$5:$D$204,D172))</f>
        <v>0</v>
      </c>
      <c r="AT172" s="49">
        <f>IF(B172="","",TRIM(IF(Y172="Expired","VACCINATION EXPIRED. ",IF(LEFT(Y172,6)="Due in","Vaccination due. ",""))&amp;IF(AND(AN172&lt;&gt;"",AN172&lt;&gt;"None"),AN172&amp;". ","")&amp;IF(AND(AG172&lt;&gt;"",AG172&lt;&gt;"None",AG172&lt;&gt;"-"),"On medication. ","")&amp;IF(Q172&lt;&gt;"",IF(OR(Q172="None",Q172="None known"),"","Allergy: "&amp;Q172),"")))</f>
        <v>0</v>
      </c>
    </row>
    <row r="173" spans="1:46">
      <c r="A173" s="46">
        <f>IF(B173="","",PetPrefix&amp;TEXT(ROW()-4,"0000"))</f>
        <v>0</v>
      </c>
      <c r="D173" s="28">
        <f>IF(B173="","",B173&amp;" ("&amp;C173&amp;")")</f>
        <v>0</v>
      </c>
      <c r="E173" s="28">
        <f>IF(C173="","",IFERROR(INDEX(Clients!$A$5:$A$254,MATCH(C173,Clients!$B$5:$B$254,0)),""))</f>
        <v>0</v>
      </c>
      <c r="I173" s="32">
        <f>IF(H173="","",ROUND(YEARFRAC(H173,TODAY()),1))</f>
        <v>0</v>
      </c>
      <c r="Y173" s="49">
        <f>IF(X173="","",IF(X173&lt;TODAY(),"Expired",IF(X173-TODAY()&lt;=VaccAlertDays,"Due in "&amp;TEXT(X173-TODAY(),"0")&amp;" days","Valid")))</f>
        <v>0</v>
      </c>
      <c r="AQ173" s="31">
        <f>IF(D173="","",COUNTIFS('Visit Log'!$E$5:$E$404,D173,'Visit Log'!$AE$5:$AE$404,"Completed"))</f>
        <v>0</v>
      </c>
      <c r="AR173" s="21">
        <f>IF(D173="","",IF(SUMPRODUCT(MAX(('Visit Log'!$E$5:$E$404=D173)*('Visit Log'!$AE$5:$AE$404="Completed")*'Visit Log'!$C$5:$C$404))=0,"",SUMPRODUCT(MAX(('Visit Log'!$E$5:$E$404=D173)*('Visit Log'!$AE$5:$AE$404="Completed")*'Visit Log'!$C$5:$C$404))))</f>
        <v>0</v>
      </c>
      <c r="AS173" s="31">
        <f>IF(D173="","",COUNTIFS('Health Log'!$D$5:$D$204,D173))</f>
        <v>0</v>
      </c>
      <c r="AT173" s="49">
        <f>IF(B173="","",TRIM(IF(Y173="Expired","VACCINATION EXPIRED. ",IF(LEFT(Y173,6)="Due in","Vaccination due. ",""))&amp;IF(AND(AN173&lt;&gt;"",AN173&lt;&gt;"None"),AN173&amp;". ","")&amp;IF(AND(AG173&lt;&gt;"",AG173&lt;&gt;"None",AG173&lt;&gt;"-"),"On medication. ","")&amp;IF(Q173&lt;&gt;"",IF(OR(Q173="None",Q173="None known"),"","Allergy: "&amp;Q173),"")))</f>
        <v>0</v>
      </c>
    </row>
    <row r="174" spans="1:46">
      <c r="A174" s="46">
        <f>IF(B174="","",PetPrefix&amp;TEXT(ROW()-4,"0000"))</f>
        <v>0</v>
      </c>
      <c r="D174" s="28">
        <f>IF(B174="","",B174&amp;" ("&amp;C174&amp;")")</f>
        <v>0</v>
      </c>
      <c r="E174" s="28">
        <f>IF(C174="","",IFERROR(INDEX(Clients!$A$5:$A$254,MATCH(C174,Clients!$B$5:$B$254,0)),""))</f>
        <v>0</v>
      </c>
      <c r="I174" s="32">
        <f>IF(H174="","",ROUND(YEARFRAC(H174,TODAY()),1))</f>
        <v>0</v>
      </c>
      <c r="Y174" s="49">
        <f>IF(X174="","",IF(X174&lt;TODAY(),"Expired",IF(X174-TODAY()&lt;=VaccAlertDays,"Due in "&amp;TEXT(X174-TODAY(),"0")&amp;" days","Valid")))</f>
        <v>0</v>
      </c>
      <c r="AQ174" s="31">
        <f>IF(D174="","",COUNTIFS('Visit Log'!$E$5:$E$404,D174,'Visit Log'!$AE$5:$AE$404,"Completed"))</f>
        <v>0</v>
      </c>
      <c r="AR174" s="21">
        <f>IF(D174="","",IF(SUMPRODUCT(MAX(('Visit Log'!$E$5:$E$404=D174)*('Visit Log'!$AE$5:$AE$404="Completed")*'Visit Log'!$C$5:$C$404))=0,"",SUMPRODUCT(MAX(('Visit Log'!$E$5:$E$404=D174)*('Visit Log'!$AE$5:$AE$404="Completed")*'Visit Log'!$C$5:$C$404))))</f>
        <v>0</v>
      </c>
      <c r="AS174" s="31">
        <f>IF(D174="","",COUNTIFS('Health Log'!$D$5:$D$204,D174))</f>
        <v>0</v>
      </c>
      <c r="AT174" s="49">
        <f>IF(B174="","",TRIM(IF(Y174="Expired","VACCINATION EXPIRED. ",IF(LEFT(Y174,6)="Due in","Vaccination due. ",""))&amp;IF(AND(AN174&lt;&gt;"",AN174&lt;&gt;"None"),AN174&amp;". ","")&amp;IF(AND(AG174&lt;&gt;"",AG174&lt;&gt;"None",AG174&lt;&gt;"-"),"On medication. ","")&amp;IF(Q174&lt;&gt;"",IF(OR(Q174="None",Q174="None known"),"","Allergy: "&amp;Q174),"")))</f>
        <v>0</v>
      </c>
    </row>
    <row r="175" spans="1:46">
      <c r="A175" s="46">
        <f>IF(B175="","",PetPrefix&amp;TEXT(ROW()-4,"0000"))</f>
        <v>0</v>
      </c>
      <c r="D175" s="28">
        <f>IF(B175="","",B175&amp;" ("&amp;C175&amp;")")</f>
        <v>0</v>
      </c>
      <c r="E175" s="28">
        <f>IF(C175="","",IFERROR(INDEX(Clients!$A$5:$A$254,MATCH(C175,Clients!$B$5:$B$254,0)),""))</f>
        <v>0</v>
      </c>
      <c r="I175" s="32">
        <f>IF(H175="","",ROUND(YEARFRAC(H175,TODAY()),1))</f>
        <v>0</v>
      </c>
      <c r="Y175" s="49">
        <f>IF(X175="","",IF(X175&lt;TODAY(),"Expired",IF(X175-TODAY()&lt;=VaccAlertDays,"Due in "&amp;TEXT(X175-TODAY(),"0")&amp;" days","Valid")))</f>
        <v>0</v>
      </c>
      <c r="AQ175" s="31">
        <f>IF(D175="","",COUNTIFS('Visit Log'!$E$5:$E$404,D175,'Visit Log'!$AE$5:$AE$404,"Completed"))</f>
        <v>0</v>
      </c>
      <c r="AR175" s="21">
        <f>IF(D175="","",IF(SUMPRODUCT(MAX(('Visit Log'!$E$5:$E$404=D175)*('Visit Log'!$AE$5:$AE$404="Completed")*'Visit Log'!$C$5:$C$404))=0,"",SUMPRODUCT(MAX(('Visit Log'!$E$5:$E$404=D175)*('Visit Log'!$AE$5:$AE$404="Completed")*'Visit Log'!$C$5:$C$404))))</f>
        <v>0</v>
      </c>
      <c r="AS175" s="31">
        <f>IF(D175="","",COUNTIFS('Health Log'!$D$5:$D$204,D175))</f>
        <v>0</v>
      </c>
      <c r="AT175" s="49">
        <f>IF(B175="","",TRIM(IF(Y175="Expired","VACCINATION EXPIRED. ",IF(LEFT(Y175,6)="Due in","Vaccination due. ",""))&amp;IF(AND(AN175&lt;&gt;"",AN175&lt;&gt;"None"),AN175&amp;". ","")&amp;IF(AND(AG175&lt;&gt;"",AG175&lt;&gt;"None",AG175&lt;&gt;"-"),"On medication. ","")&amp;IF(Q175&lt;&gt;"",IF(OR(Q175="None",Q175="None known"),"","Allergy: "&amp;Q175),"")))</f>
        <v>0</v>
      </c>
    </row>
    <row r="176" spans="1:46">
      <c r="A176" s="46">
        <f>IF(B176="","",PetPrefix&amp;TEXT(ROW()-4,"0000"))</f>
        <v>0</v>
      </c>
      <c r="D176" s="28">
        <f>IF(B176="","",B176&amp;" ("&amp;C176&amp;")")</f>
        <v>0</v>
      </c>
      <c r="E176" s="28">
        <f>IF(C176="","",IFERROR(INDEX(Clients!$A$5:$A$254,MATCH(C176,Clients!$B$5:$B$254,0)),""))</f>
        <v>0</v>
      </c>
      <c r="I176" s="32">
        <f>IF(H176="","",ROUND(YEARFRAC(H176,TODAY()),1))</f>
        <v>0</v>
      </c>
      <c r="Y176" s="49">
        <f>IF(X176="","",IF(X176&lt;TODAY(),"Expired",IF(X176-TODAY()&lt;=VaccAlertDays,"Due in "&amp;TEXT(X176-TODAY(),"0")&amp;" days","Valid")))</f>
        <v>0</v>
      </c>
      <c r="AQ176" s="31">
        <f>IF(D176="","",COUNTIFS('Visit Log'!$E$5:$E$404,D176,'Visit Log'!$AE$5:$AE$404,"Completed"))</f>
        <v>0</v>
      </c>
      <c r="AR176" s="21">
        <f>IF(D176="","",IF(SUMPRODUCT(MAX(('Visit Log'!$E$5:$E$404=D176)*('Visit Log'!$AE$5:$AE$404="Completed")*'Visit Log'!$C$5:$C$404))=0,"",SUMPRODUCT(MAX(('Visit Log'!$E$5:$E$404=D176)*('Visit Log'!$AE$5:$AE$404="Completed")*'Visit Log'!$C$5:$C$404))))</f>
        <v>0</v>
      </c>
      <c r="AS176" s="31">
        <f>IF(D176="","",COUNTIFS('Health Log'!$D$5:$D$204,D176))</f>
        <v>0</v>
      </c>
      <c r="AT176" s="49">
        <f>IF(B176="","",TRIM(IF(Y176="Expired","VACCINATION EXPIRED. ",IF(LEFT(Y176,6)="Due in","Vaccination due. ",""))&amp;IF(AND(AN176&lt;&gt;"",AN176&lt;&gt;"None"),AN176&amp;". ","")&amp;IF(AND(AG176&lt;&gt;"",AG176&lt;&gt;"None",AG176&lt;&gt;"-"),"On medication. ","")&amp;IF(Q176&lt;&gt;"",IF(OR(Q176="None",Q176="None known"),"","Allergy: "&amp;Q176),"")))</f>
        <v>0</v>
      </c>
    </row>
    <row r="177" spans="1:46">
      <c r="A177" s="46">
        <f>IF(B177="","",PetPrefix&amp;TEXT(ROW()-4,"0000"))</f>
        <v>0</v>
      </c>
      <c r="D177" s="28">
        <f>IF(B177="","",B177&amp;" ("&amp;C177&amp;")")</f>
        <v>0</v>
      </c>
      <c r="E177" s="28">
        <f>IF(C177="","",IFERROR(INDEX(Clients!$A$5:$A$254,MATCH(C177,Clients!$B$5:$B$254,0)),""))</f>
        <v>0</v>
      </c>
      <c r="I177" s="32">
        <f>IF(H177="","",ROUND(YEARFRAC(H177,TODAY()),1))</f>
        <v>0</v>
      </c>
      <c r="Y177" s="49">
        <f>IF(X177="","",IF(X177&lt;TODAY(),"Expired",IF(X177-TODAY()&lt;=VaccAlertDays,"Due in "&amp;TEXT(X177-TODAY(),"0")&amp;" days","Valid")))</f>
        <v>0</v>
      </c>
      <c r="AQ177" s="31">
        <f>IF(D177="","",COUNTIFS('Visit Log'!$E$5:$E$404,D177,'Visit Log'!$AE$5:$AE$404,"Completed"))</f>
        <v>0</v>
      </c>
      <c r="AR177" s="21">
        <f>IF(D177="","",IF(SUMPRODUCT(MAX(('Visit Log'!$E$5:$E$404=D177)*('Visit Log'!$AE$5:$AE$404="Completed")*'Visit Log'!$C$5:$C$404))=0,"",SUMPRODUCT(MAX(('Visit Log'!$E$5:$E$404=D177)*('Visit Log'!$AE$5:$AE$404="Completed")*'Visit Log'!$C$5:$C$404))))</f>
        <v>0</v>
      </c>
      <c r="AS177" s="31">
        <f>IF(D177="","",COUNTIFS('Health Log'!$D$5:$D$204,D177))</f>
        <v>0</v>
      </c>
      <c r="AT177" s="49">
        <f>IF(B177="","",TRIM(IF(Y177="Expired","VACCINATION EXPIRED. ",IF(LEFT(Y177,6)="Due in","Vaccination due. ",""))&amp;IF(AND(AN177&lt;&gt;"",AN177&lt;&gt;"None"),AN177&amp;". ","")&amp;IF(AND(AG177&lt;&gt;"",AG177&lt;&gt;"None",AG177&lt;&gt;"-"),"On medication. ","")&amp;IF(Q177&lt;&gt;"",IF(OR(Q177="None",Q177="None known"),"","Allergy: "&amp;Q177),"")))</f>
        <v>0</v>
      </c>
    </row>
    <row r="178" spans="1:46">
      <c r="A178" s="46">
        <f>IF(B178="","",PetPrefix&amp;TEXT(ROW()-4,"0000"))</f>
        <v>0</v>
      </c>
      <c r="D178" s="28">
        <f>IF(B178="","",B178&amp;" ("&amp;C178&amp;")")</f>
        <v>0</v>
      </c>
      <c r="E178" s="28">
        <f>IF(C178="","",IFERROR(INDEX(Clients!$A$5:$A$254,MATCH(C178,Clients!$B$5:$B$254,0)),""))</f>
        <v>0</v>
      </c>
      <c r="I178" s="32">
        <f>IF(H178="","",ROUND(YEARFRAC(H178,TODAY()),1))</f>
        <v>0</v>
      </c>
      <c r="Y178" s="49">
        <f>IF(X178="","",IF(X178&lt;TODAY(),"Expired",IF(X178-TODAY()&lt;=VaccAlertDays,"Due in "&amp;TEXT(X178-TODAY(),"0")&amp;" days","Valid")))</f>
        <v>0</v>
      </c>
      <c r="AQ178" s="31">
        <f>IF(D178="","",COUNTIFS('Visit Log'!$E$5:$E$404,D178,'Visit Log'!$AE$5:$AE$404,"Completed"))</f>
        <v>0</v>
      </c>
      <c r="AR178" s="21">
        <f>IF(D178="","",IF(SUMPRODUCT(MAX(('Visit Log'!$E$5:$E$404=D178)*('Visit Log'!$AE$5:$AE$404="Completed")*'Visit Log'!$C$5:$C$404))=0,"",SUMPRODUCT(MAX(('Visit Log'!$E$5:$E$404=D178)*('Visit Log'!$AE$5:$AE$404="Completed")*'Visit Log'!$C$5:$C$404))))</f>
        <v>0</v>
      </c>
      <c r="AS178" s="31">
        <f>IF(D178="","",COUNTIFS('Health Log'!$D$5:$D$204,D178))</f>
        <v>0</v>
      </c>
      <c r="AT178" s="49">
        <f>IF(B178="","",TRIM(IF(Y178="Expired","VACCINATION EXPIRED. ",IF(LEFT(Y178,6)="Due in","Vaccination due. ",""))&amp;IF(AND(AN178&lt;&gt;"",AN178&lt;&gt;"None"),AN178&amp;". ","")&amp;IF(AND(AG178&lt;&gt;"",AG178&lt;&gt;"None",AG178&lt;&gt;"-"),"On medication. ","")&amp;IF(Q178&lt;&gt;"",IF(OR(Q178="None",Q178="None known"),"","Allergy: "&amp;Q178),"")))</f>
        <v>0</v>
      </c>
    </row>
    <row r="179" spans="1:46">
      <c r="A179" s="46">
        <f>IF(B179="","",PetPrefix&amp;TEXT(ROW()-4,"0000"))</f>
        <v>0</v>
      </c>
      <c r="D179" s="28">
        <f>IF(B179="","",B179&amp;" ("&amp;C179&amp;")")</f>
        <v>0</v>
      </c>
      <c r="E179" s="28">
        <f>IF(C179="","",IFERROR(INDEX(Clients!$A$5:$A$254,MATCH(C179,Clients!$B$5:$B$254,0)),""))</f>
        <v>0</v>
      </c>
      <c r="I179" s="32">
        <f>IF(H179="","",ROUND(YEARFRAC(H179,TODAY()),1))</f>
        <v>0</v>
      </c>
      <c r="Y179" s="49">
        <f>IF(X179="","",IF(X179&lt;TODAY(),"Expired",IF(X179-TODAY()&lt;=VaccAlertDays,"Due in "&amp;TEXT(X179-TODAY(),"0")&amp;" days","Valid")))</f>
        <v>0</v>
      </c>
      <c r="AQ179" s="31">
        <f>IF(D179="","",COUNTIFS('Visit Log'!$E$5:$E$404,D179,'Visit Log'!$AE$5:$AE$404,"Completed"))</f>
        <v>0</v>
      </c>
      <c r="AR179" s="21">
        <f>IF(D179="","",IF(SUMPRODUCT(MAX(('Visit Log'!$E$5:$E$404=D179)*('Visit Log'!$AE$5:$AE$404="Completed")*'Visit Log'!$C$5:$C$404))=0,"",SUMPRODUCT(MAX(('Visit Log'!$E$5:$E$404=D179)*('Visit Log'!$AE$5:$AE$404="Completed")*'Visit Log'!$C$5:$C$404))))</f>
        <v>0</v>
      </c>
      <c r="AS179" s="31">
        <f>IF(D179="","",COUNTIFS('Health Log'!$D$5:$D$204,D179))</f>
        <v>0</v>
      </c>
      <c r="AT179" s="49">
        <f>IF(B179="","",TRIM(IF(Y179="Expired","VACCINATION EXPIRED. ",IF(LEFT(Y179,6)="Due in","Vaccination due. ",""))&amp;IF(AND(AN179&lt;&gt;"",AN179&lt;&gt;"None"),AN179&amp;". ","")&amp;IF(AND(AG179&lt;&gt;"",AG179&lt;&gt;"None",AG179&lt;&gt;"-"),"On medication. ","")&amp;IF(Q179&lt;&gt;"",IF(OR(Q179="None",Q179="None known"),"","Allergy: "&amp;Q179),"")))</f>
        <v>0</v>
      </c>
    </row>
    <row r="180" spans="1:46">
      <c r="A180" s="46">
        <f>IF(B180="","",PetPrefix&amp;TEXT(ROW()-4,"0000"))</f>
        <v>0</v>
      </c>
      <c r="D180" s="28">
        <f>IF(B180="","",B180&amp;" ("&amp;C180&amp;")")</f>
        <v>0</v>
      </c>
      <c r="E180" s="28">
        <f>IF(C180="","",IFERROR(INDEX(Clients!$A$5:$A$254,MATCH(C180,Clients!$B$5:$B$254,0)),""))</f>
        <v>0</v>
      </c>
      <c r="I180" s="32">
        <f>IF(H180="","",ROUND(YEARFRAC(H180,TODAY()),1))</f>
        <v>0</v>
      </c>
      <c r="Y180" s="49">
        <f>IF(X180="","",IF(X180&lt;TODAY(),"Expired",IF(X180-TODAY()&lt;=VaccAlertDays,"Due in "&amp;TEXT(X180-TODAY(),"0")&amp;" days","Valid")))</f>
        <v>0</v>
      </c>
      <c r="AQ180" s="31">
        <f>IF(D180="","",COUNTIFS('Visit Log'!$E$5:$E$404,D180,'Visit Log'!$AE$5:$AE$404,"Completed"))</f>
        <v>0</v>
      </c>
      <c r="AR180" s="21">
        <f>IF(D180="","",IF(SUMPRODUCT(MAX(('Visit Log'!$E$5:$E$404=D180)*('Visit Log'!$AE$5:$AE$404="Completed")*'Visit Log'!$C$5:$C$404))=0,"",SUMPRODUCT(MAX(('Visit Log'!$E$5:$E$404=D180)*('Visit Log'!$AE$5:$AE$404="Completed")*'Visit Log'!$C$5:$C$404))))</f>
        <v>0</v>
      </c>
      <c r="AS180" s="31">
        <f>IF(D180="","",COUNTIFS('Health Log'!$D$5:$D$204,D180))</f>
        <v>0</v>
      </c>
      <c r="AT180" s="49">
        <f>IF(B180="","",TRIM(IF(Y180="Expired","VACCINATION EXPIRED. ",IF(LEFT(Y180,6)="Due in","Vaccination due. ",""))&amp;IF(AND(AN180&lt;&gt;"",AN180&lt;&gt;"None"),AN180&amp;". ","")&amp;IF(AND(AG180&lt;&gt;"",AG180&lt;&gt;"None",AG180&lt;&gt;"-"),"On medication. ","")&amp;IF(Q180&lt;&gt;"",IF(OR(Q180="None",Q180="None known"),"","Allergy: "&amp;Q180),"")))</f>
        <v>0</v>
      </c>
    </row>
    <row r="181" spans="1:46">
      <c r="A181" s="46">
        <f>IF(B181="","",PetPrefix&amp;TEXT(ROW()-4,"0000"))</f>
        <v>0</v>
      </c>
      <c r="D181" s="28">
        <f>IF(B181="","",B181&amp;" ("&amp;C181&amp;")")</f>
        <v>0</v>
      </c>
      <c r="E181" s="28">
        <f>IF(C181="","",IFERROR(INDEX(Clients!$A$5:$A$254,MATCH(C181,Clients!$B$5:$B$254,0)),""))</f>
        <v>0</v>
      </c>
      <c r="I181" s="32">
        <f>IF(H181="","",ROUND(YEARFRAC(H181,TODAY()),1))</f>
        <v>0</v>
      </c>
      <c r="Y181" s="49">
        <f>IF(X181="","",IF(X181&lt;TODAY(),"Expired",IF(X181-TODAY()&lt;=VaccAlertDays,"Due in "&amp;TEXT(X181-TODAY(),"0")&amp;" days","Valid")))</f>
        <v>0</v>
      </c>
      <c r="AQ181" s="31">
        <f>IF(D181="","",COUNTIFS('Visit Log'!$E$5:$E$404,D181,'Visit Log'!$AE$5:$AE$404,"Completed"))</f>
        <v>0</v>
      </c>
      <c r="AR181" s="21">
        <f>IF(D181="","",IF(SUMPRODUCT(MAX(('Visit Log'!$E$5:$E$404=D181)*('Visit Log'!$AE$5:$AE$404="Completed")*'Visit Log'!$C$5:$C$404))=0,"",SUMPRODUCT(MAX(('Visit Log'!$E$5:$E$404=D181)*('Visit Log'!$AE$5:$AE$404="Completed")*'Visit Log'!$C$5:$C$404))))</f>
        <v>0</v>
      </c>
      <c r="AS181" s="31">
        <f>IF(D181="","",COUNTIFS('Health Log'!$D$5:$D$204,D181))</f>
        <v>0</v>
      </c>
      <c r="AT181" s="49">
        <f>IF(B181="","",TRIM(IF(Y181="Expired","VACCINATION EXPIRED. ",IF(LEFT(Y181,6)="Due in","Vaccination due. ",""))&amp;IF(AND(AN181&lt;&gt;"",AN181&lt;&gt;"None"),AN181&amp;". ","")&amp;IF(AND(AG181&lt;&gt;"",AG181&lt;&gt;"None",AG181&lt;&gt;"-"),"On medication. ","")&amp;IF(Q181&lt;&gt;"",IF(OR(Q181="None",Q181="None known"),"","Allergy: "&amp;Q181),"")))</f>
        <v>0</v>
      </c>
    </row>
    <row r="182" spans="1:46">
      <c r="A182" s="46">
        <f>IF(B182="","",PetPrefix&amp;TEXT(ROW()-4,"0000"))</f>
        <v>0</v>
      </c>
      <c r="D182" s="28">
        <f>IF(B182="","",B182&amp;" ("&amp;C182&amp;")")</f>
        <v>0</v>
      </c>
      <c r="E182" s="28">
        <f>IF(C182="","",IFERROR(INDEX(Clients!$A$5:$A$254,MATCH(C182,Clients!$B$5:$B$254,0)),""))</f>
        <v>0</v>
      </c>
      <c r="I182" s="32">
        <f>IF(H182="","",ROUND(YEARFRAC(H182,TODAY()),1))</f>
        <v>0</v>
      </c>
      <c r="Y182" s="49">
        <f>IF(X182="","",IF(X182&lt;TODAY(),"Expired",IF(X182-TODAY()&lt;=VaccAlertDays,"Due in "&amp;TEXT(X182-TODAY(),"0")&amp;" days","Valid")))</f>
        <v>0</v>
      </c>
      <c r="AQ182" s="31">
        <f>IF(D182="","",COUNTIFS('Visit Log'!$E$5:$E$404,D182,'Visit Log'!$AE$5:$AE$404,"Completed"))</f>
        <v>0</v>
      </c>
      <c r="AR182" s="21">
        <f>IF(D182="","",IF(SUMPRODUCT(MAX(('Visit Log'!$E$5:$E$404=D182)*('Visit Log'!$AE$5:$AE$404="Completed")*'Visit Log'!$C$5:$C$404))=0,"",SUMPRODUCT(MAX(('Visit Log'!$E$5:$E$404=D182)*('Visit Log'!$AE$5:$AE$404="Completed")*'Visit Log'!$C$5:$C$404))))</f>
        <v>0</v>
      </c>
      <c r="AS182" s="31">
        <f>IF(D182="","",COUNTIFS('Health Log'!$D$5:$D$204,D182))</f>
        <v>0</v>
      </c>
      <c r="AT182" s="49">
        <f>IF(B182="","",TRIM(IF(Y182="Expired","VACCINATION EXPIRED. ",IF(LEFT(Y182,6)="Due in","Vaccination due. ",""))&amp;IF(AND(AN182&lt;&gt;"",AN182&lt;&gt;"None"),AN182&amp;". ","")&amp;IF(AND(AG182&lt;&gt;"",AG182&lt;&gt;"None",AG182&lt;&gt;"-"),"On medication. ","")&amp;IF(Q182&lt;&gt;"",IF(OR(Q182="None",Q182="None known"),"","Allergy: "&amp;Q182),"")))</f>
        <v>0</v>
      </c>
    </row>
    <row r="183" spans="1:46">
      <c r="A183" s="46">
        <f>IF(B183="","",PetPrefix&amp;TEXT(ROW()-4,"0000"))</f>
        <v>0</v>
      </c>
      <c r="D183" s="28">
        <f>IF(B183="","",B183&amp;" ("&amp;C183&amp;")")</f>
        <v>0</v>
      </c>
      <c r="E183" s="28">
        <f>IF(C183="","",IFERROR(INDEX(Clients!$A$5:$A$254,MATCH(C183,Clients!$B$5:$B$254,0)),""))</f>
        <v>0</v>
      </c>
      <c r="I183" s="32">
        <f>IF(H183="","",ROUND(YEARFRAC(H183,TODAY()),1))</f>
        <v>0</v>
      </c>
      <c r="Y183" s="49">
        <f>IF(X183="","",IF(X183&lt;TODAY(),"Expired",IF(X183-TODAY()&lt;=VaccAlertDays,"Due in "&amp;TEXT(X183-TODAY(),"0")&amp;" days","Valid")))</f>
        <v>0</v>
      </c>
      <c r="AQ183" s="31">
        <f>IF(D183="","",COUNTIFS('Visit Log'!$E$5:$E$404,D183,'Visit Log'!$AE$5:$AE$404,"Completed"))</f>
        <v>0</v>
      </c>
      <c r="AR183" s="21">
        <f>IF(D183="","",IF(SUMPRODUCT(MAX(('Visit Log'!$E$5:$E$404=D183)*('Visit Log'!$AE$5:$AE$404="Completed")*'Visit Log'!$C$5:$C$404))=0,"",SUMPRODUCT(MAX(('Visit Log'!$E$5:$E$404=D183)*('Visit Log'!$AE$5:$AE$404="Completed")*'Visit Log'!$C$5:$C$404))))</f>
        <v>0</v>
      </c>
      <c r="AS183" s="31">
        <f>IF(D183="","",COUNTIFS('Health Log'!$D$5:$D$204,D183))</f>
        <v>0</v>
      </c>
      <c r="AT183" s="49">
        <f>IF(B183="","",TRIM(IF(Y183="Expired","VACCINATION EXPIRED. ",IF(LEFT(Y183,6)="Due in","Vaccination due. ",""))&amp;IF(AND(AN183&lt;&gt;"",AN183&lt;&gt;"None"),AN183&amp;". ","")&amp;IF(AND(AG183&lt;&gt;"",AG183&lt;&gt;"None",AG183&lt;&gt;"-"),"On medication. ","")&amp;IF(Q183&lt;&gt;"",IF(OR(Q183="None",Q183="None known"),"","Allergy: "&amp;Q183),"")))</f>
        <v>0</v>
      </c>
    </row>
    <row r="184" spans="1:46">
      <c r="A184" s="46">
        <f>IF(B184="","",PetPrefix&amp;TEXT(ROW()-4,"0000"))</f>
        <v>0</v>
      </c>
      <c r="D184" s="28">
        <f>IF(B184="","",B184&amp;" ("&amp;C184&amp;")")</f>
        <v>0</v>
      </c>
      <c r="E184" s="28">
        <f>IF(C184="","",IFERROR(INDEX(Clients!$A$5:$A$254,MATCH(C184,Clients!$B$5:$B$254,0)),""))</f>
        <v>0</v>
      </c>
      <c r="I184" s="32">
        <f>IF(H184="","",ROUND(YEARFRAC(H184,TODAY()),1))</f>
        <v>0</v>
      </c>
      <c r="Y184" s="49">
        <f>IF(X184="","",IF(X184&lt;TODAY(),"Expired",IF(X184-TODAY()&lt;=VaccAlertDays,"Due in "&amp;TEXT(X184-TODAY(),"0")&amp;" days","Valid")))</f>
        <v>0</v>
      </c>
      <c r="AQ184" s="31">
        <f>IF(D184="","",COUNTIFS('Visit Log'!$E$5:$E$404,D184,'Visit Log'!$AE$5:$AE$404,"Completed"))</f>
        <v>0</v>
      </c>
      <c r="AR184" s="21">
        <f>IF(D184="","",IF(SUMPRODUCT(MAX(('Visit Log'!$E$5:$E$404=D184)*('Visit Log'!$AE$5:$AE$404="Completed")*'Visit Log'!$C$5:$C$404))=0,"",SUMPRODUCT(MAX(('Visit Log'!$E$5:$E$404=D184)*('Visit Log'!$AE$5:$AE$404="Completed")*'Visit Log'!$C$5:$C$404))))</f>
        <v>0</v>
      </c>
      <c r="AS184" s="31">
        <f>IF(D184="","",COUNTIFS('Health Log'!$D$5:$D$204,D184))</f>
        <v>0</v>
      </c>
      <c r="AT184" s="49">
        <f>IF(B184="","",TRIM(IF(Y184="Expired","VACCINATION EXPIRED. ",IF(LEFT(Y184,6)="Due in","Vaccination due. ",""))&amp;IF(AND(AN184&lt;&gt;"",AN184&lt;&gt;"None"),AN184&amp;". ","")&amp;IF(AND(AG184&lt;&gt;"",AG184&lt;&gt;"None",AG184&lt;&gt;"-"),"On medication. ","")&amp;IF(Q184&lt;&gt;"",IF(OR(Q184="None",Q184="None known"),"","Allergy: "&amp;Q184),"")))</f>
        <v>0</v>
      </c>
    </row>
    <row r="185" spans="1:46">
      <c r="A185" s="46">
        <f>IF(B185="","",PetPrefix&amp;TEXT(ROW()-4,"0000"))</f>
        <v>0</v>
      </c>
      <c r="D185" s="28">
        <f>IF(B185="","",B185&amp;" ("&amp;C185&amp;")")</f>
        <v>0</v>
      </c>
      <c r="E185" s="28">
        <f>IF(C185="","",IFERROR(INDEX(Clients!$A$5:$A$254,MATCH(C185,Clients!$B$5:$B$254,0)),""))</f>
        <v>0</v>
      </c>
      <c r="I185" s="32">
        <f>IF(H185="","",ROUND(YEARFRAC(H185,TODAY()),1))</f>
        <v>0</v>
      </c>
      <c r="Y185" s="49">
        <f>IF(X185="","",IF(X185&lt;TODAY(),"Expired",IF(X185-TODAY()&lt;=VaccAlertDays,"Due in "&amp;TEXT(X185-TODAY(),"0")&amp;" days","Valid")))</f>
        <v>0</v>
      </c>
      <c r="AQ185" s="31">
        <f>IF(D185="","",COUNTIFS('Visit Log'!$E$5:$E$404,D185,'Visit Log'!$AE$5:$AE$404,"Completed"))</f>
        <v>0</v>
      </c>
      <c r="AR185" s="21">
        <f>IF(D185="","",IF(SUMPRODUCT(MAX(('Visit Log'!$E$5:$E$404=D185)*('Visit Log'!$AE$5:$AE$404="Completed")*'Visit Log'!$C$5:$C$404))=0,"",SUMPRODUCT(MAX(('Visit Log'!$E$5:$E$404=D185)*('Visit Log'!$AE$5:$AE$404="Completed")*'Visit Log'!$C$5:$C$404))))</f>
        <v>0</v>
      </c>
      <c r="AS185" s="31">
        <f>IF(D185="","",COUNTIFS('Health Log'!$D$5:$D$204,D185))</f>
        <v>0</v>
      </c>
      <c r="AT185" s="49">
        <f>IF(B185="","",TRIM(IF(Y185="Expired","VACCINATION EXPIRED. ",IF(LEFT(Y185,6)="Due in","Vaccination due. ",""))&amp;IF(AND(AN185&lt;&gt;"",AN185&lt;&gt;"None"),AN185&amp;". ","")&amp;IF(AND(AG185&lt;&gt;"",AG185&lt;&gt;"None",AG185&lt;&gt;"-"),"On medication. ","")&amp;IF(Q185&lt;&gt;"",IF(OR(Q185="None",Q185="None known"),"","Allergy: "&amp;Q185),"")))</f>
        <v>0</v>
      </c>
    </row>
    <row r="186" spans="1:46">
      <c r="A186" s="46">
        <f>IF(B186="","",PetPrefix&amp;TEXT(ROW()-4,"0000"))</f>
        <v>0</v>
      </c>
      <c r="D186" s="28">
        <f>IF(B186="","",B186&amp;" ("&amp;C186&amp;")")</f>
        <v>0</v>
      </c>
      <c r="E186" s="28">
        <f>IF(C186="","",IFERROR(INDEX(Clients!$A$5:$A$254,MATCH(C186,Clients!$B$5:$B$254,0)),""))</f>
        <v>0</v>
      </c>
      <c r="I186" s="32">
        <f>IF(H186="","",ROUND(YEARFRAC(H186,TODAY()),1))</f>
        <v>0</v>
      </c>
      <c r="Y186" s="49">
        <f>IF(X186="","",IF(X186&lt;TODAY(),"Expired",IF(X186-TODAY()&lt;=VaccAlertDays,"Due in "&amp;TEXT(X186-TODAY(),"0")&amp;" days","Valid")))</f>
        <v>0</v>
      </c>
      <c r="AQ186" s="31">
        <f>IF(D186="","",COUNTIFS('Visit Log'!$E$5:$E$404,D186,'Visit Log'!$AE$5:$AE$404,"Completed"))</f>
        <v>0</v>
      </c>
      <c r="AR186" s="21">
        <f>IF(D186="","",IF(SUMPRODUCT(MAX(('Visit Log'!$E$5:$E$404=D186)*('Visit Log'!$AE$5:$AE$404="Completed")*'Visit Log'!$C$5:$C$404))=0,"",SUMPRODUCT(MAX(('Visit Log'!$E$5:$E$404=D186)*('Visit Log'!$AE$5:$AE$404="Completed")*'Visit Log'!$C$5:$C$404))))</f>
        <v>0</v>
      </c>
      <c r="AS186" s="31">
        <f>IF(D186="","",COUNTIFS('Health Log'!$D$5:$D$204,D186))</f>
        <v>0</v>
      </c>
      <c r="AT186" s="49">
        <f>IF(B186="","",TRIM(IF(Y186="Expired","VACCINATION EXPIRED. ",IF(LEFT(Y186,6)="Due in","Vaccination due. ",""))&amp;IF(AND(AN186&lt;&gt;"",AN186&lt;&gt;"None"),AN186&amp;". ","")&amp;IF(AND(AG186&lt;&gt;"",AG186&lt;&gt;"None",AG186&lt;&gt;"-"),"On medication. ","")&amp;IF(Q186&lt;&gt;"",IF(OR(Q186="None",Q186="None known"),"","Allergy: "&amp;Q186),"")))</f>
        <v>0</v>
      </c>
    </row>
    <row r="187" spans="1:46">
      <c r="A187" s="46">
        <f>IF(B187="","",PetPrefix&amp;TEXT(ROW()-4,"0000"))</f>
        <v>0</v>
      </c>
      <c r="D187" s="28">
        <f>IF(B187="","",B187&amp;" ("&amp;C187&amp;")")</f>
        <v>0</v>
      </c>
      <c r="E187" s="28">
        <f>IF(C187="","",IFERROR(INDEX(Clients!$A$5:$A$254,MATCH(C187,Clients!$B$5:$B$254,0)),""))</f>
        <v>0</v>
      </c>
      <c r="I187" s="32">
        <f>IF(H187="","",ROUND(YEARFRAC(H187,TODAY()),1))</f>
        <v>0</v>
      </c>
      <c r="Y187" s="49">
        <f>IF(X187="","",IF(X187&lt;TODAY(),"Expired",IF(X187-TODAY()&lt;=VaccAlertDays,"Due in "&amp;TEXT(X187-TODAY(),"0")&amp;" days","Valid")))</f>
        <v>0</v>
      </c>
      <c r="AQ187" s="31">
        <f>IF(D187="","",COUNTIFS('Visit Log'!$E$5:$E$404,D187,'Visit Log'!$AE$5:$AE$404,"Completed"))</f>
        <v>0</v>
      </c>
      <c r="AR187" s="21">
        <f>IF(D187="","",IF(SUMPRODUCT(MAX(('Visit Log'!$E$5:$E$404=D187)*('Visit Log'!$AE$5:$AE$404="Completed")*'Visit Log'!$C$5:$C$404))=0,"",SUMPRODUCT(MAX(('Visit Log'!$E$5:$E$404=D187)*('Visit Log'!$AE$5:$AE$404="Completed")*'Visit Log'!$C$5:$C$404))))</f>
        <v>0</v>
      </c>
      <c r="AS187" s="31">
        <f>IF(D187="","",COUNTIFS('Health Log'!$D$5:$D$204,D187))</f>
        <v>0</v>
      </c>
      <c r="AT187" s="49">
        <f>IF(B187="","",TRIM(IF(Y187="Expired","VACCINATION EXPIRED. ",IF(LEFT(Y187,6)="Due in","Vaccination due. ",""))&amp;IF(AND(AN187&lt;&gt;"",AN187&lt;&gt;"None"),AN187&amp;". ","")&amp;IF(AND(AG187&lt;&gt;"",AG187&lt;&gt;"None",AG187&lt;&gt;"-"),"On medication. ","")&amp;IF(Q187&lt;&gt;"",IF(OR(Q187="None",Q187="None known"),"","Allergy: "&amp;Q187),"")))</f>
        <v>0</v>
      </c>
    </row>
    <row r="188" spans="1:46">
      <c r="A188" s="46">
        <f>IF(B188="","",PetPrefix&amp;TEXT(ROW()-4,"0000"))</f>
        <v>0</v>
      </c>
      <c r="D188" s="28">
        <f>IF(B188="","",B188&amp;" ("&amp;C188&amp;")")</f>
        <v>0</v>
      </c>
      <c r="E188" s="28">
        <f>IF(C188="","",IFERROR(INDEX(Clients!$A$5:$A$254,MATCH(C188,Clients!$B$5:$B$254,0)),""))</f>
        <v>0</v>
      </c>
      <c r="I188" s="32">
        <f>IF(H188="","",ROUND(YEARFRAC(H188,TODAY()),1))</f>
        <v>0</v>
      </c>
      <c r="Y188" s="49">
        <f>IF(X188="","",IF(X188&lt;TODAY(),"Expired",IF(X188-TODAY()&lt;=VaccAlertDays,"Due in "&amp;TEXT(X188-TODAY(),"0")&amp;" days","Valid")))</f>
        <v>0</v>
      </c>
      <c r="AQ188" s="31">
        <f>IF(D188="","",COUNTIFS('Visit Log'!$E$5:$E$404,D188,'Visit Log'!$AE$5:$AE$404,"Completed"))</f>
        <v>0</v>
      </c>
      <c r="AR188" s="21">
        <f>IF(D188="","",IF(SUMPRODUCT(MAX(('Visit Log'!$E$5:$E$404=D188)*('Visit Log'!$AE$5:$AE$404="Completed")*'Visit Log'!$C$5:$C$404))=0,"",SUMPRODUCT(MAX(('Visit Log'!$E$5:$E$404=D188)*('Visit Log'!$AE$5:$AE$404="Completed")*'Visit Log'!$C$5:$C$404))))</f>
        <v>0</v>
      </c>
      <c r="AS188" s="31">
        <f>IF(D188="","",COUNTIFS('Health Log'!$D$5:$D$204,D188))</f>
        <v>0</v>
      </c>
      <c r="AT188" s="49">
        <f>IF(B188="","",TRIM(IF(Y188="Expired","VACCINATION EXPIRED. ",IF(LEFT(Y188,6)="Due in","Vaccination due. ",""))&amp;IF(AND(AN188&lt;&gt;"",AN188&lt;&gt;"None"),AN188&amp;". ","")&amp;IF(AND(AG188&lt;&gt;"",AG188&lt;&gt;"None",AG188&lt;&gt;"-"),"On medication. ","")&amp;IF(Q188&lt;&gt;"",IF(OR(Q188="None",Q188="None known"),"","Allergy: "&amp;Q188),"")))</f>
        <v>0</v>
      </c>
    </row>
    <row r="189" spans="1:46">
      <c r="A189" s="46">
        <f>IF(B189="","",PetPrefix&amp;TEXT(ROW()-4,"0000"))</f>
        <v>0</v>
      </c>
      <c r="D189" s="28">
        <f>IF(B189="","",B189&amp;" ("&amp;C189&amp;")")</f>
        <v>0</v>
      </c>
      <c r="E189" s="28">
        <f>IF(C189="","",IFERROR(INDEX(Clients!$A$5:$A$254,MATCH(C189,Clients!$B$5:$B$254,0)),""))</f>
        <v>0</v>
      </c>
      <c r="I189" s="32">
        <f>IF(H189="","",ROUND(YEARFRAC(H189,TODAY()),1))</f>
        <v>0</v>
      </c>
      <c r="Y189" s="49">
        <f>IF(X189="","",IF(X189&lt;TODAY(),"Expired",IF(X189-TODAY()&lt;=VaccAlertDays,"Due in "&amp;TEXT(X189-TODAY(),"0")&amp;" days","Valid")))</f>
        <v>0</v>
      </c>
      <c r="AQ189" s="31">
        <f>IF(D189="","",COUNTIFS('Visit Log'!$E$5:$E$404,D189,'Visit Log'!$AE$5:$AE$404,"Completed"))</f>
        <v>0</v>
      </c>
      <c r="AR189" s="21">
        <f>IF(D189="","",IF(SUMPRODUCT(MAX(('Visit Log'!$E$5:$E$404=D189)*('Visit Log'!$AE$5:$AE$404="Completed")*'Visit Log'!$C$5:$C$404))=0,"",SUMPRODUCT(MAX(('Visit Log'!$E$5:$E$404=D189)*('Visit Log'!$AE$5:$AE$404="Completed")*'Visit Log'!$C$5:$C$404))))</f>
        <v>0</v>
      </c>
      <c r="AS189" s="31">
        <f>IF(D189="","",COUNTIFS('Health Log'!$D$5:$D$204,D189))</f>
        <v>0</v>
      </c>
      <c r="AT189" s="49">
        <f>IF(B189="","",TRIM(IF(Y189="Expired","VACCINATION EXPIRED. ",IF(LEFT(Y189,6)="Due in","Vaccination due. ",""))&amp;IF(AND(AN189&lt;&gt;"",AN189&lt;&gt;"None"),AN189&amp;". ","")&amp;IF(AND(AG189&lt;&gt;"",AG189&lt;&gt;"None",AG189&lt;&gt;"-"),"On medication. ","")&amp;IF(Q189&lt;&gt;"",IF(OR(Q189="None",Q189="None known"),"","Allergy: "&amp;Q189),"")))</f>
        <v>0</v>
      </c>
    </row>
    <row r="190" spans="1:46">
      <c r="A190" s="46">
        <f>IF(B190="","",PetPrefix&amp;TEXT(ROW()-4,"0000"))</f>
        <v>0</v>
      </c>
      <c r="D190" s="28">
        <f>IF(B190="","",B190&amp;" ("&amp;C190&amp;")")</f>
        <v>0</v>
      </c>
      <c r="E190" s="28">
        <f>IF(C190="","",IFERROR(INDEX(Clients!$A$5:$A$254,MATCH(C190,Clients!$B$5:$B$254,0)),""))</f>
        <v>0</v>
      </c>
      <c r="I190" s="32">
        <f>IF(H190="","",ROUND(YEARFRAC(H190,TODAY()),1))</f>
        <v>0</v>
      </c>
      <c r="Y190" s="49">
        <f>IF(X190="","",IF(X190&lt;TODAY(),"Expired",IF(X190-TODAY()&lt;=VaccAlertDays,"Due in "&amp;TEXT(X190-TODAY(),"0")&amp;" days","Valid")))</f>
        <v>0</v>
      </c>
      <c r="AQ190" s="31">
        <f>IF(D190="","",COUNTIFS('Visit Log'!$E$5:$E$404,D190,'Visit Log'!$AE$5:$AE$404,"Completed"))</f>
        <v>0</v>
      </c>
      <c r="AR190" s="21">
        <f>IF(D190="","",IF(SUMPRODUCT(MAX(('Visit Log'!$E$5:$E$404=D190)*('Visit Log'!$AE$5:$AE$404="Completed")*'Visit Log'!$C$5:$C$404))=0,"",SUMPRODUCT(MAX(('Visit Log'!$E$5:$E$404=D190)*('Visit Log'!$AE$5:$AE$404="Completed")*'Visit Log'!$C$5:$C$404))))</f>
        <v>0</v>
      </c>
      <c r="AS190" s="31">
        <f>IF(D190="","",COUNTIFS('Health Log'!$D$5:$D$204,D190))</f>
        <v>0</v>
      </c>
      <c r="AT190" s="49">
        <f>IF(B190="","",TRIM(IF(Y190="Expired","VACCINATION EXPIRED. ",IF(LEFT(Y190,6)="Due in","Vaccination due. ",""))&amp;IF(AND(AN190&lt;&gt;"",AN190&lt;&gt;"None"),AN190&amp;". ","")&amp;IF(AND(AG190&lt;&gt;"",AG190&lt;&gt;"None",AG190&lt;&gt;"-"),"On medication. ","")&amp;IF(Q190&lt;&gt;"",IF(OR(Q190="None",Q190="None known"),"","Allergy: "&amp;Q190),"")))</f>
        <v>0</v>
      </c>
    </row>
    <row r="191" spans="1:46">
      <c r="A191" s="46">
        <f>IF(B191="","",PetPrefix&amp;TEXT(ROW()-4,"0000"))</f>
        <v>0</v>
      </c>
      <c r="D191" s="28">
        <f>IF(B191="","",B191&amp;" ("&amp;C191&amp;")")</f>
        <v>0</v>
      </c>
      <c r="E191" s="28">
        <f>IF(C191="","",IFERROR(INDEX(Clients!$A$5:$A$254,MATCH(C191,Clients!$B$5:$B$254,0)),""))</f>
        <v>0</v>
      </c>
      <c r="I191" s="32">
        <f>IF(H191="","",ROUND(YEARFRAC(H191,TODAY()),1))</f>
        <v>0</v>
      </c>
      <c r="Y191" s="49">
        <f>IF(X191="","",IF(X191&lt;TODAY(),"Expired",IF(X191-TODAY()&lt;=VaccAlertDays,"Due in "&amp;TEXT(X191-TODAY(),"0")&amp;" days","Valid")))</f>
        <v>0</v>
      </c>
      <c r="AQ191" s="31">
        <f>IF(D191="","",COUNTIFS('Visit Log'!$E$5:$E$404,D191,'Visit Log'!$AE$5:$AE$404,"Completed"))</f>
        <v>0</v>
      </c>
      <c r="AR191" s="21">
        <f>IF(D191="","",IF(SUMPRODUCT(MAX(('Visit Log'!$E$5:$E$404=D191)*('Visit Log'!$AE$5:$AE$404="Completed")*'Visit Log'!$C$5:$C$404))=0,"",SUMPRODUCT(MAX(('Visit Log'!$E$5:$E$404=D191)*('Visit Log'!$AE$5:$AE$404="Completed")*'Visit Log'!$C$5:$C$404))))</f>
        <v>0</v>
      </c>
      <c r="AS191" s="31">
        <f>IF(D191="","",COUNTIFS('Health Log'!$D$5:$D$204,D191))</f>
        <v>0</v>
      </c>
      <c r="AT191" s="49">
        <f>IF(B191="","",TRIM(IF(Y191="Expired","VACCINATION EXPIRED. ",IF(LEFT(Y191,6)="Due in","Vaccination due. ",""))&amp;IF(AND(AN191&lt;&gt;"",AN191&lt;&gt;"None"),AN191&amp;". ","")&amp;IF(AND(AG191&lt;&gt;"",AG191&lt;&gt;"None",AG191&lt;&gt;"-"),"On medication. ","")&amp;IF(Q191&lt;&gt;"",IF(OR(Q191="None",Q191="None known"),"","Allergy: "&amp;Q191),"")))</f>
        <v>0</v>
      </c>
    </row>
    <row r="192" spans="1:46">
      <c r="A192" s="46">
        <f>IF(B192="","",PetPrefix&amp;TEXT(ROW()-4,"0000"))</f>
        <v>0</v>
      </c>
      <c r="D192" s="28">
        <f>IF(B192="","",B192&amp;" ("&amp;C192&amp;")")</f>
        <v>0</v>
      </c>
      <c r="E192" s="28">
        <f>IF(C192="","",IFERROR(INDEX(Clients!$A$5:$A$254,MATCH(C192,Clients!$B$5:$B$254,0)),""))</f>
        <v>0</v>
      </c>
      <c r="I192" s="32">
        <f>IF(H192="","",ROUND(YEARFRAC(H192,TODAY()),1))</f>
        <v>0</v>
      </c>
      <c r="Y192" s="49">
        <f>IF(X192="","",IF(X192&lt;TODAY(),"Expired",IF(X192-TODAY()&lt;=VaccAlertDays,"Due in "&amp;TEXT(X192-TODAY(),"0")&amp;" days","Valid")))</f>
        <v>0</v>
      </c>
      <c r="AQ192" s="31">
        <f>IF(D192="","",COUNTIFS('Visit Log'!$E$5:$E$404,D192,'Visit Log'!$AE$5:$AE$404,"Completed"))</f>
        <v>0</v>
      </c>
      <c r="AR192" s="21">
        <f>IF(D192="","",IF(SUMPRODUCT(MAX(('Visit Log'!$E$5:$E$404=D192)*('Visit Log'!$AE$5:$AE$404="Completed")*'Visit Log'!$C$5:$C$404))=0,"",SUMPRODUCT(MAX(('Visit Log'!$E$5:$E$404=D192)*('Visit Log'!$AE$5:$AE$404="Completed")*'Visit Log'!$C$5:$C$404))))</f>
        <v>0</v>
      </c>
      <c r="AS192" s="31">
        <f>IF(D192="","",COUNTIFS('Health Log'!$D$5:$D$204,D192))</f>
        <v>0</v>
      </c>
      <c r="AT192" s="49">
        <f>IF(B192="","",TRIM(IF(Y192="Expired","VACCINATION EXPIRED. ",IF(LEFT(Y192,6)="Due in","Vaccination due. ",""))&amp;IF(AND(AN192&lt;&gt;"",AN192&lt;&gt;"None"),AN192&amp;". ","")&amp;IF(AND(AG192&lt;&gt;"",AG192&lt;&gt;"None",AG192&lt;&gt;"-"),"On medication. ","")&amp;IF(Q192&lt;&gt;"",IF(OR(Q192="None",Q192="None known"),"","Allergy: "&amp;Q192),"")))</f>
        <v>0</v>
      </c>
    </row>
    <row r="193" spans="1:46">
      <c r="A193" s="46">
        <f>IF(B193="","",PetPrefix&amp;TEXT(ROW()-4,"0000"))</f>
        <v>0</v>
      </c>
      <c r="D193" s="28">
        <f>IF(B193="","",B193&amp;" ("&amp;C193&amp;")")</f>
        <v>0</v>
      </c>
      <c r="E193" s="28">
        <f>IF(C193="","",IFERROR(INDEX(Clients!$A$5:$A$254,MATCH(C193,Clients!$B$5:$B$254,0)),""))</f>
        <v>0</v>
      </c>
      <c r="I193" s="32">
        <f>IF(H193="","",ROUND(YEARFRAC(H193,TODAY()),1))</f>
        <v>0</v>
      </c>
      <c r="Y193" s="49">
        <f>IF(X193="","",IF(X193&lt;TODAY(),"Expired",IF(X193-TODAY()&lt;=VaccAlertDays,"Due in "&amp;TEXT(X193-TODAY(),"0")&amp;" days","Valid")))</f>
        <v>0</v>
      </c>
      <c r="AQ193" s="31">
        <f>IF(D193="","",COUNTIFS('Visit Log'!$E$5:$E$404,D193,'Visit Log'!$AE$5:$AE$404,"Completed"))</f>
        <v>0</v>
      </c>
      <c r="AR193" s="21">
        <f>IF(D193="","",IF(SUMPRODUCT(MAX(('Visit Log'!$E$5:$E$404=D193)*('Visit Log'!$AE$5:$AE$404="Completed")*'Visit Log'!$C$5:$C$404))=0,"",SUMPRODUCT(MAX(('Visit Log'!$E$5:$E$404=D193)*('Visit Log'!$AE$5:$AE$404="Completed")*'Visit Log'!$C$5:$C$404))))</f>
        <v>0</v>
      </c>
      <c r="AS193" s="31">
        <f>IF(D193="","",COUNTIFS('Health Log'!$D$5:$D$204,D193))</f>
        <v>0</v>
      </c>
      <c r="AT193" s="49">
        <f>IF(B193="","",TRIM(IF(Y193="Expired","VACCINATION EXPIRED. ",IF(LEFT(Y193,6)="Due in","Vaccination due. ",""))&amp;IF(AND(AN193&lt;&gt;"",AN193&lt;&gt;"None"),AN193&amp;". ","")&amp;IF(AND(AG193&lt;&gt;"",AG193&lt;&gt;"None",AG193&lt;&gt;"-"),"On medication. ","")&amp;IF(Q193&lt;&gt;"",IF(OR(Q193="None",Q193="None known"),"","Allergy: "&amp;Q193),"")))</f>
        <v>0</v>
      </c>
    </row>
    <row r="194" spans="1:46">
      <c r="A194" s="46">
        <f>IF(B194="","",PetPrefix&amp;TEXT(ROW()-4,"0000"))</f>
        <v>0</v>
      </c>
      <c r="D194" s="28">
        <f>IF(B194="","",B194&amp;" ("&amp;C194&amp;")")</f>
        <v>0</v>
      </c>
      <c r="E194" s="28">
        <f>IF(C194="","",IFERROR(INDEX(Clients!$A$5:$A$254,MATCH(C194,Clients!$B$5:$B$254,0)),""))</f>
        <v>0</v>
      </c>
      <c r="I194" s="32">
        <f>IF(H194="","",ROUND(YEARFRAC(H194,TODAY()),1))</f>
        <v>0</v>
      </c>
      <c r="Y194" s="49">
        <f>IF(X194="","",IF(X194&lt;TODAY(),"Expired",IF(X194-TODAY()&lt;=VaccAlertDays,"Due in "&amp;TEXT(X194-TODAY(),"0")&amp;" days","Valid")))</f>
        <v>0</v>
      </c>
      <c r="AQ194" s="31">
        <f>IF(D194="","",COUNTIFS('Visit Log'!$E$5:$E$404,D194,'Visit Log'!$AE$5:$AE$404,"Completed"))</f>
        <v>0</v>
      </c>
      <c r="AR194" s="21">
        <f>IF(D194="","",IF(SUMPRODUCT(MAX(('Visit Log'!$E$5:$E$404=D194)*('Visit Log'!$AE$5:$AE$404="Completed")*'Visit Log'!$C$5:$C$404))=0,"",SUMPRODUCT(MAX(('Visit Log'!$E$5:$E$404=D194)*('Visit Log'!$AE$5:$AE$404="Completed")*'Visit Log'!$C$5:$C$404))))</f>
        <v>0</v>
      </c>
      <c r="AS194" s="31">
        <f>IF(D194="","",COUNTIFS('Health Log'!$D$5:$D$204,D194))</f>
        <v>0</v>
      </c>
      <c r="AT194" s="49">
        <f>IF(B194="","",TRIM(IF(Y194="Expired","VACCINATION EXPIRED. ",IF(LEFT(Y194,6)="Due in","Vaccination due. ",""))&amp;IF(AND(AN194&lt;&gt;"",AN194&lt;&gt;"None"),AN194&amp;". ","")&amp;IF(AND(AG194&lt;&gt;"",AG194&lt;&gt;"None",AG194&lt;&gt;"-"),"On medication. ","")&amp;IF(Q194&lt;&gt;"",IF(OR(Q194="None",Q194="None known"),"","Allergy: "&amp;Q194),"")))</f>
        <v>0</v>
      </c>
    </row>
    <row r="195" spans="1:46">
      <c r="A195" s="46">
        <f>IF(B195="","",PetPrefix&amp;TEXT(ROW()-4,"0000"))</f>
        <v>0</v>
      </c>
      <c r="D195" s="28">
        <f>IF(B195="","",B195&amp;" ("&amp;C195&amp;")")</f>
        <v>0</v>
      </c>
      <c r="E195" s="28">
        <f>IF(C195="","",IFERROR(INDEX(Clients!$A$5:$A$254,MATCH(C195,Clients!$B$5:$B$254,0)),""))</f>
        <v>0</v>
      </c>
      <c r="I195" s="32">
        <f>IF(H195="","",ROUND(YEARFRAC(H195,TODAY()),1))</f>
        <v>0</v>
      </c>
      <c r="Y195" s="49">
        <f>IF(X195="","",IF(X195&lt;TODAY(),"Expired",IF(X195-TODAY()&lt;=VaccAlertDays,"Due in "&amp;TEXT(X195-TODAY(),"0")&amp;" days","Valid")))</f>
        <v>0</v>
      </c>
      <c r="AQ195" s="31">
        <f>IF(D195="","",COUNTIFS('Visit Log'!$E$5:$E$404,D195,'Visit Log'!$AE$5:$AE$404,"Completed"))</f>
        <v>0</v>
      </c>
      <c r="AR195" s="21">
        <f>IF(D195="","",IF(SUMPRODUCT(MAX(('Visit Log'!$E$5:$E$404=D195)*('Visit Log'!$AE$5:$AE$404="Completed")*'Visit Log'!$C$5:$C$404))=0,"",SUMPRODUCT(MAX(('Visit Log'!$E$5:$E$404=D195)*('Visit Log'!$AE$5:$AE$404="Completed")*'Visit Log'!$C$5:$C$404))))</f>
        <v>0</v>
      </c>
      <c r="AS195" s="31">
        <f>IF(D195="","",COUNTIFS('Health Log'!$D$5:$D$204,D195))</f>
        <v>0</v>
      </c>
      <c r="AT195" s="49">
        <f>IF(B195="","",TRIM(IF(Y195="Expired","VACCINATION EXPIRED. ",IF(LEFT(Y195,6)="Due in","Vaccination due. ",""))&amp;IF(AND(AN195&lt;&gt;"",AN195&lt;&gt;"None"),AN195&amp;". ","")&amp;IF(AND(AG195&lt;&gt;"",AG195&lt;&gt;"None",AG195&lt;&gt;"-"),"On medication. ","")&amp;IF(Q195&lt;&gt;"",IF(OR(Q195="None",Q195="None known"),"","Allergy: "&amp;Q195),"")))</f>
        <v>0</v>
      </c>
    </row>
    <row r="196" spans="1:46">
      <c r="A196" s="46">
        <f>IF(B196="","",PetPrefix&amp;TEXT(ROW()-4,"0000"))</f>
        <v>0</v>
      </c>
      <c r="D196" s="28">
        <f>IF(B196="","",B196&amp;" ("&amp;C196&amp;")")</f>
        <v>0</v>
      </c>
      <c r="E196" s="28">
        <f>IF(C196="","",IFERROR(INDEX(Clients!$A$5:$A$254,MATCH(C196,Clients!$B$5:$B$254,0)),""))</f>
        <v>0</v>
      </c>
      <c r="I196" s="32">
        <f>IF(H196="","",ROUND(YEARFRAC(H196,TODAY()),1))</f>
        <v>0</v>
      </c>
      <c r="Y196" s="49">
        <f>IF(X196="","",IF(X196&lt;TODAY(),"Expired",IF(X196-TODAY()&lt;=VaccAlertDays,"Due in "&amp;TEXT(X196-TODAY(),"0")&amp;" days","Valid")))</f>
        <v>0</v>
      </c>
      <c r="AQ196" s="31">
        <f>IF(D196="","",COUNTIFS('Visit Log'!$E$5:$E$404,D196,'Visit Log'!$AE$5:$AE$404,"Completed"))</f>
        <v>0</v>
      </c>
      <c r="AR196" s="21">
        <f>IF(D196="","",IF(SUMPRODUCT(MAX(('Visit Log'!$E$5:$E$404=D196)*('Visit Log'!$AE$5:$AE$404="Completed")*'Visit Log'!$C$5:$C$404))=0,"",SUMPRODUCT(MAX(('Visit Log'!$E$5:$E$404=D196)*('Visit Log'!$AE$5:$AE$404="Completed")*'Visit Log'!$C$5:$C$404))))</f>
        <v>0</v>
      </c>
      <c r="AS196" s="31">
        <f>IF(D196="","",COUNTIFS('Health Log'!$D$5:$D$204,D196))</f>
        <v>0</v>
      </c>
      <c r="AT196" s="49">
        <f>IF(B196="","",TRIM(IF(Y196="Expired","VACCINATION EXPIRED. ",IF(LEFT(Y196,6)="Due in","Vaccination due. ",""))&amp;IF(AND(AN196&lt;&gt;"",AN196&lt;&gt;"None"),AN196&amp;". ","")&amp;IF(AND(AG196&lt;&gt;"",AG196&lt;&gt;"None",AG196&lt;&gt;"-"),"On medication. ","")&amp;IF(Q196&lt;&gt;"",IF(OR(Q196="None",Q196="None known"),"","Allergy: "&amp;Q196),"")))</f>
        <v>0</v>
      </c>
    </row>
    <row r="197" spans="1:46">
      <c r="A197" s="46">
        <f>IF(B197="","",PetPrefix&amp;TEXT(ROW()-4,"0000"))</f>
        <v>0</v>
      </c>
      <c r="D197" s="28">
        <f>IF(B197="","",B197&amp;" ("&amp;C197&amp;")")</f>
        <v>0</v>
      </c>
      <c r="E197" s="28">
        <f>IF(C197="","",IFERROR(INDEX(Clients!$A$5:$A$254,MATCH(C197,Clients!$B$5:$B$254,0)),""))</f>
        <v>0</v>
      </c>
      <c r="I197" s="32">
        <f>IF(H197="","",ROUND(YEARFRAC(H197,TODAY()),1))</f>
        <v>0</v>
      </c>
      <c r="Y197" s="49">
        <f>IF(X197="","",IF(X197&lt;TODAY(),"Expired",IF(X197-TODAY()&lt;=VaccAlertDays,"Due in "&amp;TEXT(X197-TODAY(),"0")&amp;" days","Valid")))</f>
        <v>0</v>
      </c>
      <c r="AQ197" s="31">
        <f>IF(D197="","",COUNTIFS('Visit Log'!$E$5:$E$404,D197,'Visit Log'!$AE$5:$AE$404,"Completed"))</f>
        <v>0</v>
      </c>
      <c r="AR197" s="21">
        <f>IF(D197="","",IF(SUMPRODUCT(MAX(('Visit Log'!$E$5:$E$404=D197)*('Visit Log'!$AE$5:$AE$404="Completed")*'Visit Log'!$C$5:$C$404))=0,"",SUMPRODUCT(MAX(('Visit Log'!$E$5:$E$404=D197)*('Visit Log'!$AE$5:$AE$404="Completed")*'Visit Log'!$C$5:$C$404))))</f>
        <v>0</v>
      </c>
      <c r="AS197" s="31">
        <f>IF(D197="","",COUNTIFS('Health Log'!$D$5:$D$204,D197))</f>
        <v>0</v>
      </c>
      <c r="AT197" s="49">
        <f>IF(B197="","",TRIM(IF(Y197="Expired","VACCINATION EXPIRED. ",IF(LEFT(Y197,6)="Due in","Vaccination due. ",""))&amp;IF(AND(AN197&lt;&gt;"",AN197&lt;&gt;"None"),AN197&amp;". ","")&amp;IF(AND(AG197&lt;&gt;"",AG197&lt;&gt;"None",AG197&lt;&gt;"-"),"On medication. ","")&amp;IF(Q197&lt;&gt;"",IF(OR(Q197="None",Q197="None known"),"","Allergy: "&amp;Q197),"")))</f>
        <v>0</v>
      </c>
    </row>
    <row r="198" spans="1:46">
      <c r="A198" s="46">
        <f>IF(B198="","",PetPrefix&amp;TEXT(ROW()-4,"0000"))</f>
        <v>0</v>
      </c>
      <c r="D198" s="28">
        <f>IF(B198="","",B198&amp;" ("&amp;C198&amp;")")</f>
        <v>0</v>
      </c>
      <c r="E198" s="28">
        <f>IF(C198="","",IFERROR(INDEX(Clients!$A$5:$A$254,MATCH(C198,Clients!$B$5:$B$254,0)),""))</f>
        <v>0</v>
      </c>
      <c r="I198" s="32">
        <f>IF(H198="","",ROUND(YEARFRAC(H198,TODAY()),1))</f>
        <v>0</v>
      </c>
      <c r="Y198" s="49">
        <f>IF(X198="","",IF(X198&lt;TODAY(),"Expired",IF(X198-TODAY()&lt;=VaccAlertDays,"Due in "&amp;TEXT(X198-TODAY(),"0")&amp;" days","Valid")))</f>
        <v>0</v>
      </c>
      <c r="AQ198" s="31">
        <f>IF(D198="","",COUNTIFS('Visit Log'!$E$5:$E$404,D198,'Visit Log'!$AE$5:$AE$404,"Completed"))</f>
        <v>0</v>
      </c>
      <c r="AR198" s="21">
        <f>IF(D198="","",IF(SUMPRODUCT(MAX(('Visit Log'!$E$5:$E$404=D198)*('Visit Log'!$AE$5:$AE$404="Completed")*'Visit Log'!$C$5:$C$404))=0,"",SUMPRODUCT(MAX(('Visit Log'!$E$5:$E$404=D198)*('Visit Log'!$AE$5:$AE$404="Completed")*'Visit Log'!$C$5:$C$404))))</f>
        <v>0</v>
      </c>
      <c r="AS198" s="31">
        <f>IF(D198="","",COUNTIFS('Health Log'!$D$5:$D$204,D198))</f>
        <v>0</v>
      </c>
      <c r="AT198" s="49">
        <f>IF(B198="","",TRIM(IF(Y198="Expired","VACCINATION EXPIRED. ",IF(LEFT(Y198,6)="Due in","Vaccination due. ",""))&amp;IF(AND(AN198&lt;&gt;"",AN198&lt;&gt;"None"),AN198&amp;". ","")&amp;IF(AND(AG198&lt;&gt;"",AG198&lt;&gt;"None",AG198&lt;&gt;"-"),"On medication. ","")&amp;IF(Q198&lt;&gt;"",IF(OR(Q198="None",Q198="None known"),"","Allergy: "&amp;Q198),"")))</f>
        <v>0</v>
      </c>
    </row>
    <row r="199" spans="1:46">
      <c r="A199" s="46">
        <f>IF(B199="","",PetPrefix&amp;TEXT(ROW()-4,"0000"))</f>
        <v>0</v>
      </c>
      <c r="D199" s="28">
        <f>IF(B199="","",B199&amp;" ("&amp;C199&amp;")")</f>
        <v>0</v>
      </c>
      <c r="E199" s="28">
        <f>IF(C199="","",IFERROR(INDEX(Clients!$A$5:$A$254,MATCH(C199,Clients!$B$5:$B$254,0)),""))</f>
        <v>0</v>
      </c>
      <c r="I199" s="32">
        <f>IF(H199="","",ROUND(YEARFRAC(H199,TODAY()),1))</f>
        <v>0</v>
      </c>
      <c r="Y199" s="49">
        <f>IF(X199="","",IF(X199&lt;TODAY(),"Expired",IF(X199-TODAY()&lt;=VaccAlertDays,"Due in "&amp;TEXT(X199-TODAY(),"0")&amp;" days","Valid")))</f>
        <v>0</v>
      </c>
      <c r="AQ199" s="31">
        <f>IF(D199="","",COUNTIFS('Visit Log'!$E$5:$E$404,D199,'Visit Log'!$AE$5:$AE$404,"Completed"))</f>
        <v>0</v>
      </c>
      <c r="AR199" s="21">
        <f>IF(D199="","",IF(SUMPRODUCT(MAX(('Visit Log'!$E$5:$E$404=D199)*('Visit Log'!$AE$5:$AE$404="Completed")*'Visit Log'!$C$5:$C$404))=0,"",SUMPRODUCT(MAX(('Visit Log'!$E$5:$E$404=D199)*('Visit Log'!$AE$5:$AE$404="Completed")*'Visit Log'!$C$5:$C$404))))</f>
        <v>0</v>
      </c>
      <c r="AS199" s="31">
        <f>IF(D199="","",COUNTIFS('Health Log'!$D$5:$D$204,D199))</f>
        <v>0</v>
      </c>
      <c r="AT199" s="49">
        <f>IF(B199="","",TRIM(IF(Y199="Expired","VACCINATION EXPIRED. ",IF(LEFT(Y199,6)="Due in","Vaccination due. ",""))&amp;IF(AND(AN199&lt;&gt;"",AN199&lt;&gt;"None"),AN199&amp;". ","")&amp;IF(AND(AG199&lt;&gt;"",AG199&lt;&gt;"None",AG199&lt;&gt;"-"),"On medication. ","")&amp;IF(Q199&lt;&gt;"",IF(OR(Q199="None",Q199="None known"),"","Allergy: "&amp;Q199),"")))</f>
        <v>0</v>
      </c>
    </row>
    <row r="200" spans="1:46">
      <c r="A200" s="46">
        <f>IF(B200="","",PetPrefix&amp;TEXT(ROW()-4,"0000"))</f>
        <v>0</v>
      </c>
      <c r="D200" s="28">
        <f>IF(B200="","",B200&amp;" ("&amp;C200&amp;")")</f>
        <v>0</v>
      </c>
      <c r="E200" s="28">
        <f>IF(C200="","",IFERROR(INDEX(Clients!$A$5:$A$254,MATCH(C200,Clients!$B$5:$B$254,0)),""))</f>
        <v>0</v>
      </c>
      <c r="I200" s="32">
        <f>IF(H200="","",ROUND(YEARFRAC(H200,TODAY()),1))</f>
        <v>0</v>
      </c>
      <c r="Y200" s="49">
        <f>IF(X200="","",IF(X200&lt;TODAY(),"Expired",IF(X200-TODAY()&lt;=VaccAlertDays,"Due in "&amp;TEXT(X200-TODAY(),"0")&amp;" days","Valid")))</f>
        <v>0</v>
      </c>
      <c r="AQ200" s="31">
        <f>IF(D200="","",COUNTIFS('Visit Log'!$E$5:$E$404,D200,'Visit Log'!$AE$5:$AE$404,"Completed"))</f>
        <v>0</v>
      </c>
      <c r="AR200" s="21">
        <f>IF(D200="","",IF(SUMPRODUCT(MAX(('Visit Log'!$E$5:$E$404=D200)*('Visit Log'!$AE$5:$AE$404="Completed")*'Visit Log'!$C$5:$C$404))=0,"",SUMPRODUCT(MAX(('Visit Log'!$E$5:$E$404=D200)*('Visit Log'!$AE$5:$AE$404="Completed")*'Visit Log'!$C$5:$C$404))))</f>
        <v>0</v>
      </c>
      <c r="AS200" s="31">
        <f>IF(D200="","",COUNTIFS('Health Log'!$D$5:$D$204,D200))</f>
        <v>0</v>
      </c>
      <c r="AT200" s="49">
        <f>IF(B200="","",TRIM(IF(Y200="Expired","VACCINATION EXPIRED. ",IF(LEFT(Y200,6)="Due in","Vaccination due. ",""))&amp;IF(AND(AN200&lt;&gt;"",AN200&lt;&gt;"None"),AN200&amp;". ","")&amp;IF(AND(AG200&lt;&gt;"",AG200&lt;&gt;"None",AG200&lt;&gt;"-"),"On medication. ","")&amp;IF(Q200&lt;&gt;"",IF(OR(Q200="None",Q200="None known"),"","Allergy: "&amp;Q200),"")))</f>
        <v>0</v>
      </c>
    </row>
    <row r="201" spans="1:46">
      <c r="A201" s="46">
        <f>IF(B201="","",PetPrefix&amp;TEXT(ROW()-4,"0000"))</f>
        <v>0</v>
      </c>
      <c r="D201" s="28">
        <f>IF(B201="","",B201&amp;" ("&amp;C201&amp;")")</f>
        <v>0</v>
      </c>
      <c r="E201" s="28">
        <f>IF(C201="","",IFERROR(INDEX(Clients!$A$5:$A$254,MATCH(C201,Clients!$B$5:$B$254,0)),""))</f>
        <v>0</v>
      </c>
      <c r="I201" s="32">
        <f>IF(H201="","",ROUND(YEARFRAC(H201,TODAY()),1))</f>
        <v>0</v>
      </c>
      <c r="Y201" s="49">
        <f>IF(X201="","",IF(X201&lt;TODAY(),"Expired",IF(X201-TODAY()&lt;=VaccAlertDays,"Due in "&amp;TEXT(X201-TODAY(),"0")&amp;" days","Valid")))</f>
        <v>0</v>
      </c>
      <c r="AQ201" s="31">
        <f>IF(D201="","",COUNTIFS('Visit Log'!$E$5:$E$404,D201,'Visit Log'!$AE$5:$AE$404,"Completed"))</f>
        <v>0</v>
      </c>
      <c r="AR201" s="21">
        <f>IF(D201="","",IF(SUMPRODUCT(MAX(('Visit Log'!$E$5:$E$404=D201)*('Visit Log'!$AE$5:$AE$404="Completed")*'Visit Log'!$C$5:$C$404))=0,"",SUMPRODUCT(MAX(('Visit Log'!$E$5:$E$404=D201)*('Visit Log'!$AE$5:$AE$404="Completed")*'Visit Log'!$C$5:$C$404))))</f>
        <v>0</v>
      </c>
      <c r="AS201" s="31">
        <f>IF(D201="","",COUNTIFS('Health Log'!$D$5:$D$204,D201))</f>
        <v>0</v>
      </c>
      <c r="AT201" s="49">
        <f>IF(B201="","",TRIM(IF(Y201="Expired","VACCINATION EXPIRED. ",IF(LEFT(Y201,6)="Due in","Vaccination due. ",""))&amp;IF(AND(AN201&lt;&gt;"",AN201&lt;&gt;"None"),AN201&amp;". ","")&amp;IF(AND(AG201&lt;&gt;"",AG201&lt;&gt;"None",AG201&lt;&gt;"-"),"On medication. ","")&amp;IF(Q201&lt;&gt;"",IF(OR(Q201="None",Q201="None known"),"","Allergy: "&amp;Q201),"")))</f>
        <v>0</v>
      </c>
    </row>
    <row r="202" spans="1:46">
      <c r="A202" s="46">
        <f>IF(B202="","",PetPrefix&amp;TEXT(ROW()-4,"0000"))</f>
        <v>0</v>
      </c>
      <c r="D202" s="28">
        <f>IF(B202="","",B202&amp;" ("&amp;C202&amp;")")</f>
        <v>0</v>
      </c>
      <c r="E202" s="28">
        <f>IF(C202="","",IFERROR(INDEX(Clients!$A$5:$A$254,MATCH(C202,Clients!$B$5:$B$254,0)),""))</f>
        <v>0</v>
      </c>
      <c r="I202" s="32">
        <f>IF(H202="","",ROUND(YEARFRAC(H202,TODAY()),1))</f>
        <v>0</v>
      </c>
      <c r="Y202" s="49">
        <f>IF(X202="","",IF(X202&lt;TODAY(),"Expired",IF(X202-TODAY()&lt;=VaccAlertDays,"Due in "&amp;TEXT(X202-TODAY(),"0")&amp;" days","Valid")))</f>
        <v>0</v>
      </c>
      <c r="AQ202" s="31">
        <f>IF(D202="","",COUNTIFS('Visit Log'!$E$5:$E$404,D202,'Visit Log'!$AE$5:$AE$404,"Completed"))</f>
        <v>0</v>
      </c>
      <c r="AR202" s="21">
        <f>IF(D202="","",IF(SUMPRODUCT(MAX(('Visit Log'!$E$5:$E$404=D202)*('Visit Log'!$AE$5:$AE$404="Completed")*'Visit Log'!$C$5:$C$404))=0,"",SUMPRODUCT(MAX(('Visit Log'!$E$5:$E$404=D202)*('Visit Log'!$AE$5:$AE$404="Completed")*'Visit Log'!$C$5:$C$404))))</f>
        <v>0</v>
      </c>
      <c r="AS202" s="31">
        <f>IF(D202="","",COUNTIFS('Health Log'!$D$5:$D$204,D202))</f>
        <v>0</v>
      </c>
      <c r="AT202" s="49">
        <f>IF(B202="","",TRIM(IF(Y202="Expired","VACCINATION EXPIRED. ",IF(LEFT(Y202,6)="Due in","Vaccination due. ",""))&amp;IF(AND(AN202&lt;&gt;"",AN202&lt;&gt;"None"),AN202&amp;". ","")&amp;IF(AND(AG202&lt;&gt;"",AG202&lt;&gt;"None",AG202&lt;&gt;"-"),"On medication. ","")&amp;IF(Q202&lt;&gt;"",IF(OR(Q202="None",Q202="None known"),"","Allergy: "&amp;Q202),"")))</f>
        <v>0</v>
      </c>
    </row>
    <row r="203" spans="1:46">
      <c r="A203" s="46">
        <f>IF(B203="","",PetPrefix&amp;TEXT(ROW()-4,"0000"))</f>
        <v>0</v>
      </c>
      <c r="D203" s="28">
        <f>IF(B203="","",B203&amp;" ("&amp;C203&amp;")")</f>
        <v>0</v>
      </c>
      <c r="E203" s="28">
        <f>IF(C203="","",IFERROR(INDEX(Clients!$A$5:$A$254,MATCH(C203,Clients!$B$5:$B$254,0)),""))</f>
        <v>0</v>
      </c>
      <c r="I203" s="32">
        <f>IF(H203="","",ROUND(YEARFRAC(H203,TODAY()),1))</f>
        <v>0</v>
      </c>
      <c r="Y203" s="49">
        <f>IF(X203="","",IF(X203&lt;TODAY(),"Expired",IF(X203-TODAY()&lt;=VaccAlertDays,"Due in "&amp;TEXT(X203-TODAY(),"0")&amp;" days","Valid")))</f>
        <v>0</v>
      </c>
      <c r="AQ203" s="31">
        <f>IF(D203="","",COUNTIFS('Visit Log'!$E$5:$E$404,D203,'Visit Log'!$AE$5:$AE$404,"Completed"))</f>
        <v>0</v>
      </c>
      <c r="AR203" s="21">
        <f>IF(D203="","",IF(SUMPRODUCT(MAX(('Visit Log'!$E$5:$E$404=D203)*('Visit Log'!$AE$5:$AE$404="Completed")*'Visit Log'!$C$5:$C$404))=0,"",SUMPRODUCT(MAX(('Visit Log'!$E$5:$E$404=D203)*('Visit Log'!$AE$5:$AE$404="Completed")*'Visit Log'!$C$5:$C$404))))</f>
        <v>0</v>
      </c>
      <c r="AS203" s="31">
        <f>IF(D203="","",COUNTIFS('Health Log'!$D$5:$D$204,D203))</f>
        <v>0</v>
      </c>
      <c r="AT203" s="49">
        <f>IF(B203="","",TRIM(IF(Y203="Expired","VACCINATION EXPIRED. ",IF(LEFT(Y203,6)="Due in","Vaccination due. ",""))&amp;IF(AND(AN203&lt;&gt;"",AN203&lt;&gt;"None"),AN203&amp;". ","")&amp;IF(AND(AG203&lt;&gt;"",AG203&lt;&gt;"None",AG203&lt;&gt;"-"),"On medication. ","")&amp;IF(Q203&lt;&gt;"",IF(OR(Q203="None",Q203="None known"),"","Allergy: "&amp;Q203),"")))</f>
        <v>0</v>
      </c>
    </row>
    <row r="204" spans="1:46">
      <c r="A204" s="46">
        <f>IF(B204="","",PetPrefix&amp;TEXT(ROW()-4,"0000"))</f>
        <v>0</v>
      </c>
      <c r="D204" s="28">
        <f>IF(B204="","",B204&amp;" ("&amp;C204&amp;")")</f>
        <v>0</v>
      </c>
      <c r="E204" s="28">
        <f>IF(C204="","",IFERROR(INDEX(Clients!$A$5:$A$254,MATCH(C204,Clients!$B$5:$B$254,0)),""))</f>
        <v>0</v>
      </c>
      <c r="I204" s="32">
        <f>IF(H204="","",ROUND(YEARFRAC(H204,TODAY()),1))</f>
        <v>0</v>
      </c>
      <c r="Y204" s="49">
        <f>IF(X204="","",IF(X204&lt;TODAY(),"Expired",IF(X204-TODAY()&lt;=VaccAlertDays,"Due in "&amp;TEXT(X204-TODAY(),"0")&amp;" days","Valid")))</f>
        <v>0</v>
      </c>
      <c r="AQ204" s="31">
        <f>IF(D204="","",COUNTIFS('Visit Log'!$E$5:$E$404,D204,'Visit Log'!$AE$5:$AE$404,"Completed"))</f>
        <v>0</v>
      </c>
      <c r="AR204" s="21">
        <f>IF(D204="","",IF(SUMPRODUCT(MAX(('Visit Log'!$E$5:$E$404=D204)*('Visit Log'!$AE$5:$AE$404="Completed")*'Visit Log'!$C$5:$C$404))=0,"",SUMPRODUCT(MAX(('Visit Log'!$E$5:$E$404=D204)*('Visit Log'!$AE$5:$AE$404="Completed")*'Visit Log'!$C$5:$C$404))))</f>
        <v>0</v>
      </c>
      <c r="AS204" s="31">
        <f>IF(D204="","",COUNTIFS('Health Log'!$D$5:$D$204,D204))</f>
        <v>0</v>
      </c>
      <c r="AT204" s="49">
        <f>IF(B204="","",TRIM(IF(Y204="Expired","VACCINATION EXPIRED. ",IF(LEFT(Y204,6)="Due in","Vaccination due. ",""))&amp;IF(AND(AN204&lt;&gt;"",AN204&lt;&gt;"None"),AN204&amp;". ","")&amp;IF(AND(AG204&lt;&gt;"",AG204&lt;&gt;"None",AG204&lt;&gt;"-"),"On medication. ","")&amp;IF(Q204&lt;&gt;"",IF(OR(Q204="None",Q204="None known"),"","Allergy: "&amp;Q204),"")))</f>
        <v>0</v>
      </c>
    </row>
    <row r="205" spans="1:46">
      <c r="A205" s="46">
        <f>IF(B205="","",PetPrefix&amp;TEXT(ROW()-4,"0000"))</f>
        <v>0</v>
      </c>
      <c r="D205" s="28">
        <f>IF(B205="","",B205&amp;" ("&amp;C205&amp;")")</f>
        <v>0</v>
      </c>
      <c r="E205" s="28">
        <f>IF(C205="","",IFERROR(INDEX(Clients!$A$5:$A$254,MATCH(C205,Clients!$B$5:$B$254,0)),""))</f>
        <v>0</v>
      </c>
      <c r="I205" s="32">
        <f>IF(H205="","",ROUND(YEARFRAC(H205,TODAY()),1))</f>
        <v>0</v>
      </c>
      <c r="Y205" s="49">
        <f>IF(X205="","",IF(X205&lt;TODAY(),"Expired",IF(X205-TODAY()&lt;=VaccAlertDays,"Due in "&amp;TEXT(X205-TODAY(),"0")&amp;" days","Valid")))</f>
        <v>0</v>
      </c>
      <c r="AQ205" s="31">
        <f>IF(D205="","",COUNTIFS('Visit Log'!$E$5:$E$404,D205,'Visit Log'!$AE$5:$AE$404,"Completed"))</f>
        <v>0</v>
      </c>
      <c r="AR205" s="21">
        <f>IF(D205="","",IF(SUMPRODUCT(MAX(('Visit Log'!$E$5:$E$404=D205)*('Visit Log'!$AE$5:$AE$404="Completed")*'Visit Log'!$C$5:$C$404))=0,"",SUMPRODUCT(MAX(('Visit Log'!$E$5:$E$404=D205)*('Visit Log'!$AE$5:$AE$404="Completed")*'Visit Log'!$C$5:$C$404))))</f>
        <v>0</v>
      </c>
      <c r="AS205" s="31">
        <f>IF(D205="","",COUNTIFS('Health Log'!$D$5:$D$204,D205))</f>
        <v>0</v>
      </c>
      <c r="AT205" s="49">
        <f>IF(B205="","",TRIM(IF(Y205="Expired","VACCINATION EXPIRED. ",IF(LEFT(Y205,6)="Due in","Vaccination due. ",""))&amp;IF(AND(AN205&lt;&gt;"",AN205&lt;&gt;"None"),AN205&amp;". ","")&amp;IF(AND(AG205&lt;&gt;"",AG205&lt;&gt;"None",AG205&lt;&gt;"-"),"On medication. ","")&amp;IF(Q205&lt;&gt;"",IF(OR(Q205="None",Q205="None known"),"","Allergy: "&amp;Q205),"")))</f>
        <v>0</v>
      </c>
    </row>
    <row r="206" spans="1:46">
      <c r="A206" s="46">
        <f>IF(B206="","",PetPrefix&amp;TEXT(ROW()-4,"0000"))</f>
        <v>0</v>
      </c>
      <c r="D206" s="28">
        <f>IF(B206="","",B206&amp;" ("&amp;C206&amp;")")</f>
        <v>0</v>
      </c>
      <c r="E206" s="28">
        <f>IF(C206="","",IFERROR(INDEX(Clients!$A$5:$A$254,MATCH(C206,Clients!$B$5:$B$254,0)),""))</f>
        <v>0</v>
      </c>
      <c r="I206" s="32">
        <f>IF(H206="","",ROUND(YEARFRAC(H206,TODAY()),1))</f>
        <v>0</v>
      </c>
      <c r="Y206" s="49">
        <f>IF(X206="","",IF(X206&lt;TODAY(),"Expired",IF(X206-TODAY()&lt;=VaccAlertDays,"Due in "&amp;TEXT(X206-TODAY(),"0")&amp;" days","Valid")))</f>
        <v>0</v>
      </c>
      <c r="AQ206" s="31">
        <f>IF(D206="","",COUNTIFS('Visit Log'!$E$5:$E$404,D206,'Visit Log'!$AE$5:$AE$404,"Completed"))</f>
        <v>0</v>
      </c>
      <c r="AR206" s="21">
        <f>IF(D206="","",IF(SUMPRODUCT(MAX(('Visit Log'!$E$5:$E$404=D206)*('Visit Log'!$AE$5:$AE$404="Completed")*'Visit Log'!$C$5:$C$404))=0,"",SUMPRODUCT(MAX(('Visit Log'!$E$5:$E$404=D206)*('Visit Log'!$AE$5:$AE$404="Completed")*'Visit Log'!$C$5:$C$404))))</f>
        <v>0</v>
      </c>
      <c r="AS206" s="31">
        <f>IF(D206="","",COUNTIFS('Health Log'!$D$5:$D$204,D206))</f>
        <v>0</v>
      </c>
      <c r="AT206" s="49">
        <f>IF(B206="","",TRIM(IF(Y206="Expired","VACCINATION EXPIRED. ",IF(LEFT(Y206,6)="Due in","Vaccination due. ",""))&amp;IF(AND(AN206&lt;&gt;"",AN206&lt;&gt;"None"),AN206&amp;". ","")&amp;IF(AND(AG206&lt;&gt;"",AG206&lt;&gt;"None",AG206&lt;&gt;"-"),"On medication. ","")&amp;IF(Q206&lt;&gt;"",IF(OR(Q206="None",Q206="None known"),"","Allergy: "&amp;Q206),"")))</f>
        <v>0</v>
      </c>
    </row>
    <row r="207" spans="1:46">
      <c r="A207" s="46">
        <f>IF(B207="","",PetPrefix&amp;TEXT(ROW()-4,"0000"))</f>
        <v>0</v>
      </c>
      <c r="D207" s="28">
        <f>IF(B207="","",B207&amp;" ("&amp;C207&amp;")")</f>
        <v>0</v>
      </c>
      <c r="E207" s="28">
        <f>IF(C207="","",IFERROR(INDEX(Clients!$A$5:$A$254,MATCH(C207,Clients!$B$5:$B$254,0)),""))</f>
        <v>0</v>
      </c>
      <c r="I207" s="32">
        <f>IF(H207="","",ROUND(YEARFRAC(H207,TODAY()),1))</f>
        <v>0</v>
      </c>
      <c r="Y207" s="49">
        <f>IF(X207="","",IF(X207&lt;TODAY(),"Expired",IF(X207-TODAY()&lt;=VaccAlertDays,"Due in "&amp;TEXT(X207-TODAY(),"0")&amp;" days","Valid")))</f>
        <v>0</v>
      </c>
      <c r="AQ207" s="31">
        <f>IF(D207="","",COUNTIFS('Visit Log'!$E$5:$E$404,D207,'Visit Log'!$AE$5:$AE$404,"Completed"))</f>
        <v>0</v>
      </c>
      <c r="AR207" s="21">
        <f>IF(D207="","",IF(SUMPRODUCT(MAX(('Visit Log'!$E$5:$E$404=D207)*('Visit Log'!$AE$5:$AE$404="Completed")*'Visit Log'!$C$5:$C$404))=0,"",SUMPRODUCT(MAX(('Visit Log'!$E$5:$E$404=D207)*('Visit Log'!$AE$5:$AE$404="Completed")*'Visit Log'!$C$5:$C$404))))</f>
        <v>0</v>
      </c>
      <c r="AS207" s="31">
        <f>IF(D207="","",COUNTIFS('Health Log'!$D$5:$D$204,D207))</f>
        <v>0</v>
      </c>
      <c r="AT207" s="49">
        <f>IF(B207="","",TRIM(IF(Y207="Expired","VACCINATION EXPIRED. ",IF(LEFT(Y207,6)="Due in","Vaccination due. ",""))&amp;IF(AND(AN207&lt;&gt;"",AN207&lt;&gt;"None"),AN207&amp;". ","")&amp;IF(AND(AG207&lt;&gt;"",AG207&lt;&gt;"None",AG207&lt;&gt;"-"),"On medication. ","")&amp;IF(Q207&lt;&gt;"",IF(OR(Q207="None",Q207="None known"),"","Allergy: "&amp;Q207),"")))</f>
        <v>0</v>
      </c>
    </row>
    <row r="208" spans="1:46">
      <c r="A208" s="46">
        <f>IF(B208="","",PetPrefix&amp;TEXT(ROW()-4,"0000"))</f>
        <v>0</v>
      </c>
      <c r="D208" s="28">
        <f>IF(B208="","",B208&amp;" ("&amp;C208&amp;")")</f>
        <v>0</v>
      </c>
      <c r="E208" s="28">
        <f>IF(C208="","",IFERROR(INDEX(Clients!$A$5:$A$254,MATCH(C208,Clients!$B$5:$B$254,0)),""))</f>
        <v>0</v>
      </c>
      <c r="I208" s="32">
        <f>IF(H208="","",ROUND(YEARFRAC(H208,TODAY()),1))</f>
        <v>0</v>
      </c>
      <c r="Y208" s="49">
        <f>IF(X208="","",IF(X208&lt;TODAY(),"Expired",IF(X208-TODAY()&lt;=VaccAlertDays,"Due in "&amp;TEXT(X208-TODAY(),"0")&amp;" days","Valid")))</f>
        <v>0</v>
      </c>
      <c r="AQ208" s="31">
        <f>IF(D208="","",COUNTIFS('Visit Log'!$E$5:$E$404,D208,'Visit Log'!$AE$5:$AE$404,"Completed"))</f>
        <v>0</v>
      </c>
      <c r="AR208" s="21">
        <f>IF(D208="","",IF(SUMPRODUCT(MAX(('Visit Log'!$E$5:$E$404=D208)*('Visit Log'!$AE$5:$AE$404="Completed")*'Visit Log'!$C$5:$C$404))=0,"",SUMPRODUCT(MAX(('Visit Log'!$E$5:$E$404=D208)*('Visit Log'!$AE$5:$AE$404="Completed")*'Visit Log'!$C$5:$C$404))))</f>
        <v>0</v>
      </c>
      <c r="AS208" s="31">
        <f>IF(D208="","",COUNTIFS('Health Log'!$D$5:$D$204,D208))</f>
        <v>0</v>
      </c>
      <c r="AT208" s="49">
        <f>IF(B208="","",TRIM(IF(Y208="Expired","VACCINATION EXPIRED. ",IF(LEFT(Y208,6)="Due in","Vaccination due. ",""))&amp;IF(AND(AN208&lt;&gt;"",AN208&lt;&gt;"None"),AN208&amp;". ","")&amp;IF(AND(AG208&lt;&gt;"",AG208&lt;&gt;"None",AG208&lt;&gt;"-"),"On medication. ","")&amp;IF(Q208&lt;&gt;"",IF(OR(Q208="None",Q208="None known"),"","Allergy: "&amp;Q208),"")))</f>
        <v>0</v>
      </c>
    </row>
    <row r="209" spans="1:46">
      <c r="A209" s="46">
        <f>IF(B209="","",PetPrefix&amp;TEXT(ROW()-4,"0000"))</f>
        <v>0</v>
      </c>
      <c r="D209" s="28">
        <f>IF(B209="","",B209&amp;" ("&amp;C209&amp;")")</f>
        <v>0</v>
      </c>
      <c r="E209" s="28">
        <f>IF(C209="","",IFERROR(INDEX(Clients!$A$5:$A$254,MATCH(C209,Clients!$B$5:$B$254,0)),""))</f>
        <v>0</v>
      </c>
      <c r="I209" s="32">
        <f>IF(H209="","",ROUND(YEARFRAC(H209,TODAY()),1))</f>
        <v>0</v>
      </c>
      <c r="Y209" s="49">
        <f>IF(X209="","",IF(X209&lt;TODAY(),"Expired",IF(X209-TODAY()&lt;=VaccAlertDays,"Due in "&amp;TEXT(X209-TODAY(),"0")&amp;" days","Valid")))</f>
        <v>0</v>
      </c>
      <c r="AQ209" s="31">
        <f>IF(D209="","",COUNTIFS('Visit Log'!$E$5:$E$404,D209,'Visit Log'!$AE$5:$AE$404,"Completed"))</f>
        <v>0</v>
      </c>
      <c r="AR209" s="21">
        <f>IF(D209="","",IF(SUMPRODUCT(MAX(('Visit Log'!$E$5:$E$404=D209)*('Visit Log'!$AE$5:$AE$404="Completed")*'Visit Log'!$C$5:$C$404))=0,"",SUMPRODUCT(MAX(('Visit Log'!$E$5:$E$404=D209)*('Visit Log'!$AE$5:$AE$404="Completed")*'Visit Log'!$C$5:$C$404))))</f>
        <v>0</v>
      </c>
      <c r="AS209" s="31">
        <f>IF(D209="","",COUNTIFS('Health Log'!$D$5:$D$204,D209))</f>
        <v>0</v>
      </c>
      <c r="AT209" s="49">
        <f>IF(B209="","",TRIM(IF(Y209="Expired","VACCINATION EXPIRED. ",IF(LEFT(Y209,6)="Due in","Vaccination due. ",""))&amp;IF(AND(AN209&lt;&gt;"",AN209&lt;&gt;"None"),AN209&amp;". ","")&amp;IF(AND(AG209&lt;&gt;"",AG209&lt;&gt;"None",AG209&lt;&gt;"-"),"On medication. ","")&amp;IF(Q209&lt;&gt;"",IF(OR(Q209="None",Q209="None known"),"","Allergy: "&amp;Q209),"")))</f>
        <v>0</v>
      </c>
    </row>
    <row r="210" spans="1:46">
      <c r="A210" s="46">
        <f>IF(B210="","",PetPrefix&amp;TEXT(ROW()-4,"0000"))</f>
        <v>0</v>
      </c>
      <c r="D210" s="28">
        <f>IF(B210="","",B210&amp;" ("&amp;C210&amp;")")</f>
        <v>0</v>
      </c>
      <c r="E210" s="28">
        <f>IF(C210="","",IFERROR(INDEX(Clients!$A$5:$A$254,MATCH(C210,Clients!$B$5:$B$254,0)),""))</f>
        <v>0</v>
      </c>
      <c r="I210" s="32">
        <f>IF(H210="","",ROUND(YEARFRAC(H210,TODAY()),1))</f>
        <v>0</v>
      </c>
      <c r="Y210" s="49">
        <f>IF(X210="","",IF(X210&lt;TODAY(),"Expired",IF(X210-TODAY()&lt;=VaccAlertDays,"Due in "&amp;TEXT(X210-TODAY(),"0")&amp;" days","Valid")))</f>
        <v>0</v>
      </c>
      <c r="AQ210" s="31">
        <f>IF(D210="","",COUNTIFS('Visit Log'!$E$5:$E$404,D210,'Visit Log'!$AE$5:$AE$404,"Completed"))</f>
        <v>0</v>
      </c>
      <c r="AR210" s="21">
        <f>IF(D210="","",IF(SUMPRODUCT(MAX(('Visit Log'!$E$5:$E$404=D210)*('Visit Log'!$AE$5:$AE$404="Completed")*'Visit Log'!$C$5:$C$404))=0,"",SUMPRODUCT(MAX(('Visit Log'!$E$5:$E$404=D210)*('Visit Log'!$AE$5:$AE$404="Completed")*'Visit Log'!$C$5:$C$404))))</f>
        <v>0</v>
      </c>
      <c r="AS210" s="31">
        <f>IF(D210="","",COUNTIFS('Health Log'!$D$5:$D$204,D210))</f>
        <v>0</v>
      </c>
      <c r="AT210" s="49">
        <f>IF(B210="","",TRIM(IF(Y210="Expired","VACCINATION EXPIRED. ",IF(LEFT(Y210,6)="Due in","Vaccination due. ",""))&amp;IF(AND(AN210&lt;&gt;"",AN210&lt;&gt;"None"),AN210&amp;". ","")&amp;IF(AND(AG210&lt;&gt;"",AG210&lt;&gt;"None",AG210&lt;&gt;"-"),"On medication. ","")&amp;IF(Q210&lt;&gt;"",IF(OR(Q210="None",Q210="None known"),"","Allergy: "&amp;Q210),"")))</f>
        <v>0</v>
      </c>
    </row>
    <row r="211" spans="1:46">
      <c r="A211" s="46">
        <f>IF(B211="","",PetPrefix&amp;TEXT(ROW()-4,"0000"))</f>
        <v>0</v>
      </c>
      <c r="D211" s="28">
        <f>IF(B211="","",B211&amp;" ("&amp;C211&amp;")")</f>
        <v>0</v>
      </c>
      <c r="E211" s="28">
        <f>IF(C211="","",IFERROR(INDEX(Clients!$A$5:$A$254,MATCH(C211,Clients!$B$5:$B$254,0)),""))</f>
        <v>0</v>
      </c>
      <c r="I211" s="32">
        <f>IF(H211="","",ROUND(YEARFRAC(H211,TODAY()),1))</f>
        <v>0</v>
      </c>
      <c r="Y211" s="49">
        <f>IF(X211="","",IF(X211&lt;TODAY(),"Expired",IF(X211-TODAY()&lt;=VaccAlertDays,"Due in "&amp;TEXT(X211-TODAY(),"0")&amp;" days","Valid")))</f>
        <v>0</v>
      </c>
      <c r="AQ211" s="31">
        <f>IF(D211="","",COUNTIFS('Visit Log'!$E$5:$E$404,D211,'Visit Log'!$AE$5:$AE$404,"Completed"))</f>
        <v>0</v>
      </c>
      <c r="AR211" s="21">
        <f>IF(D211="","",IF(SUMPRODUCT(MAX(('Visit Log'!$E$5:$E$404=D211)*('Visit Log'!$AE$5:$AE$404="Completed")*'Visit Log'!$C$5:$C$404))=0,"",SUMPRODUCT(MAX(('Visit Log'!$E$5:$E$404=D211)*('Visit Log'!$AE$5:$AE$404="Completed")*'Visit Log'!$C$5:$C$404))))</f>
        <v>0</v>
      </c>
      <c r="AS211" s="31">
        <f>IF(D211="","",COUNTIFS('Health Log'!$D$5:$D$204,D211))</f>
        <v>0</v>
      </c>
      <c r="AT211" s="49">
        <f>IF(B211="","",TRIM(IF(Y211="Expired","VACCINATION EXPIRED. ",IF(LEFT(Y211,6)="Due in","Vaccination due. ",""))&amp;IF(AND(AN211&lt;&gt;"",AN211&lt;&gt;"None"),AN211&amp;". ","")&amp;IF(AND(AG211&lt;&gt;"",AG211&lt;&gt;"None",AG211&lt;&gt;"-"),"On medication. ","")&amp;IF(Q211&lt;&gt;"",IF(OR(Q211="None",Q211="None known"),"","Allergy: "&amp;Q211),"")))</f>
        <v>0</v>
      </c>
    </row>
    <row r="212" spans="1:46">
      <c r="A212" s="46">
        <f>IF(B212="","",PetPrefix&amp;TEXT(ROW()-4,"0000"))</f>
        <v>0</v>
      </c>
      <c r="D212" s="28">
        <f>IF(B212="","",B212&amp;" ("&amp;C212&amp;")")</f>
        <v>0</v>
      </c>
      <c r="E212" s="28">
        <f>IF(C212="","",IFERROR(INDEX(Clients!$A$5:$A$254,MATCH(C212,Clients!$B$5:$B$254,0)),""))</f>
        <v>0</v>
      </c>
      <c r="I212" s="32">
        <f>IF(H212="","",ROUND(YEARFRAC(H212,TODAY()),1))</f>
        <v>0</v>
      </c>
      <c r="Y212" s="49">
        <f>IF(X212="","",IF(X212&lt;TODAY(),"Expired",IF(X212-TODAY()&lt;=VaccAlertDays,"Due in "&amp;TEXT(X212-TODAY(),"0")&amp;" days","Valid")))</f>
        <v>0</v>
      </c>
      <c r="AQ212" s="31">
        <f>IF(D212="","",COUNTIFS('Visit Log'!$E$5:$E$404,D212,'Visit Log'!$AE$5:$AE$404,"Completed"))</f>
        <v>0</v>
      </c>
      <c r="AR212" s="21">
        <f>IF(D212="","",IF(SUMPRODUCT(MAX(('Visit Log'!$E$5:$E$404=D212)*('Visit Log'!$AE$5:$AE$404="Completed")*'Visit Log'!$C$5:$C$404))=0,"",SUMPRODUCT(MAX(('Visit Log'!$E$5:$E$404=D212)*('Visit Log'!$AE$5:$AE$404="Completed")*'Visit Log'!$C$5:$C$404))))</f>
        <v>0</v>
      </c>
      <c r="AS212" s="31">
        <f>IF(D212="","",COUNTIFS('Health Log'!$D$5:$D$204,D212))</f>
        <v>0</v>
      </c>
      <c r="AT212" s="49">
        <f>IF(B212="","",TRIM(IF(Y212="Expired","VACCINATION EXPIRED. ",IF(LEFT(Y212,6)="Due in","Vaccination due. ",""))&amp;IF(AND(AN212&lt;&gt;"",AN212&lt;&gt;"None"),AN212&amp;". ","")&amp;IF(AND(AG212&lt;&gt;"",AG212&lt;&gt;"None",AG212&lt;&gt;"-"),"On medication. ","")&amp;IF(Q212&lt;&gt;"",IF(OR(Q212="None",Q212="None known"),"","Allergy: "&amp;Q212),"")))</f>
        <v>0</v>
      </c>
    </row>
    <row r="213" spans="1:46">
      <c r="A213" s="46">
        <f>IF(B213="","",PetPrefix&amp;TEXT(ROW()-4,"0000"))</f>
        <v>0</v>
      </c>
      <c r="D213" s="28">
        <f>IF(B213="","",B213&amp;" ("&amp;C213&amp;")")</f>
        <v>0</v>
      </c>
      <c r="E213" s="28">
        <f>IF(C213="","",IFERROR(INDEX(Clients!$A$5:$A$254,MATCH(C213,Clients!$B$5:$B$254,0)),""))</f>
        <v>0</v>
      </c>
      <c r="I213" s="32">
        <f>IF(H213="","",ROUND(YEARFRAC(H213,TODAY()),1))</f>
        <v>0</v>
      </c>
      <c r="Y213" s="49">
        <f>IF(X213="","",IF(X213&lt;TODAY(),"Expired",IF(X213-TODAY()&lt;=VaccAlertDays,"Due in "&amp;TEXT(X213-TODAY(),"0")&amp;" days","Valid")))</f>
        <v>0</v>
      </c>
      <c r="AQ213" s="31">
        <f>IF(D213="","",COUNTIFS('Visit Log'!$E$5:$E$404,D213,'Visit Log'!$AE$5:$AE$404,"Completed"))</f>
        <v>0</v>
      </c>
      <c r="AR213" s="21">
        <f>IF(D213="","",IF(SUMPRODUCT(MAX(('Visit Log'!$E$5:$E$404=D213)*('Visit Log'!$AE$5:$AE$404="Completed")*'Visit Log'!$C$5:$C$404))=0,"",SUMPRODUCT(MAX(('Visit Log'!$E$5:$E$404=D213)*('Visit Log'!$AE$5:$AE$404="Completed")*'Visit Log'!$C$5:$C$404))))</f>
        <v>0</v>
      </c>
      <c r="AS213" s="31">
        <f>IF(D213="","",COUNTIFS('Health Log'!$D$5:$D$204,D213))</f>
        <v>0</v>
      </c>
      <c r="AT213" s="49">
        <f>IF(B213="","",TRIM(IF(Y213="Expired","VACCINATION EXPIRED. ",IF(LEFT(Y213,6)="Due in","Vaccination due. ",""))&amp;IF(AND(AN213&lt;&gt;"",AN213&lt;&gt;"None"),AN213&amp;". ","")&amp;IF(AND(AG213&lt;&gt;"",AG213&lt;&gt;"None",AG213&lt;&gt;"-"),"On medication. ","")&amp;IF(Q213&lt;&gt;"",IF(OR(Q213="None",Q213="None known"),"","Allergy: "&amp;Q213),"")))</f>
        <v>0</v>
      </c>
    </row>
    <row r="214" spans="1:46">
      <c r="A214" s="46">
        <f>IF(B214="","",PetPrefix&amp;TEXT(ROW()-4,"0000"))</f>
        <v>0</v>
      </c>
      <c r="D214" s="28">
        <f>IF(B214="","",B214&amp;" ("&amp;C214&amp;")")</f>
        <v>0</v>
      </c>
      <c r="E214" s="28">
        <f>IF(C214="","",IFERROR(INDEX(Clients!$A$5:$A$254,MATCH(C214,Clients!$B$5:$B$254,0)),""))</f>
        <v>0</v>
      </c>
      <c r="I214" s="32">
        <f>IF(H214="","",ROUND(YEARFRAC(H214,TODAY()),1))</f>
        <v>0</v>
      </c>
      <c r="Y214" s="49">
        <f>IF(X214="","",IF(X214&lt;TODAY(),"Expired",IF(X214-TODAY()&lt;=VaccAlertDays,"Due in "&amp;TEXT(X214-TODAY(),"0")&amp;" days","Valid")))</f>
        <v>0</v>
      </c>
      <c r="AQ214" s="31">
        <f>IF(D214="","",COUNTIFS('Visit Log'!$E$5:$E$404,D214,'Visit Log'!$AE$5:$AE$404,"Completed"))</f>
        <v>0</v>
      </c>
      <c r="AR214" s="21">
        <f>IF(D214="","",IF(SUMPRODUCT(MAX(('Visit Log'!$E$5:$E$404=D214)*('Visit Log'!$AE$5:$AE$404="Completed")*'Visit Log'!$C$5:$C$404))=0,"",SUMPRODUCT(MAX(('Visit Log'!$E$5:$E$404=D214)*('Visit Log'!$AE$5:$AE$404="Completed")*'Visit Log'!$C$5:$C$404))))</f>
        <v>0</v>
      </c>
      <c r="AS214" s="31">
        <f>IF(D214="","",COUNTIFS('Health Log'!$D$5:$D$204,D214))</f>
        <v>0</v>
      </c>
      <c r="AT214" s="49">
        <f>IF(B214="","",TRIM(IF(Y214="Expired","VACCINATION EXPIRED. ",IF(LEFT(Y214,6)="Due in","Vaccination due. ",""))&amp;IF(AND(AN214&lt;&gt;"",AN214&lt;&gt;"None"),AN214&amp;". ","")&amp;IF(AND(AG214&lt;&gt;"",AG214&lt;&gt;"None",AG214&lt;&gt;"-"),"On medication. ","")&amp;IF(Q214&lt;&gt;"",IF(OR(Q214="None",Q214="None known"),"","Allergy: "&amp;Q214),"")))</f>
        <v>0</v>
      </c>
    </row>
    <row r="215" spans="1:46">
      <c r="A215" s="46">
        <f>IF(B215="","",PetPrefix&amp;TEXT(ROW()-4,"0000"))</f>
        <v>0</v>
      </c>
      <c r="D215" s="28">
        <f>IF(B215="","",B215&amp;" ("&amp;C215&amp;")")</f>
        <v>0</v>
      </c>
      <c r="E215" s="28">
        <f>IF(C215="","",IFERROR(INDEX(Clients!$A$5:$A$254,MATCH(C215,Clients!$B$5:$B$254,0)),""))</f>
        <v>0</v>
      </c>
      <c r="I215" s="32">
        <f>IF(H215="","",ROUND(YEARFRAC(H215,TODAY()),1))</f>
        <v>0</v>
      </c>
      <c r="Y215" s="49">
        <f>IF(X215="","",IF(X215&lt;TODAY(),"Expired",IF(X215-TODAY()&lt;=VaccAlertDays,"Due in "&amp;TEXT(X215-TODAY(),"0")&amp;" days","Valid")))</f>
        <v>0</v>
      </c>
      <c r="AQ215" s="31">
        <f>IF(D215="","",COUNTIFS('Visit Log'!$E$5:$E$404,D215,'Visit Log'!$AE$5:$AE$404,"Completed"))</f>
        <v>0</v>
      </c>
      <c r="AR215" s="21">
        <f>IF(D215="","",IF(SUMPRODUCT(MAX(('Visit Log'!$E$5:$E$404=D215)*('Visit Log'!$AE$5:$AE$404="Completed")*'Visit Log'!$C$5:$C$404))=0,"",SUMPRODUCT(MAX(('Visit Log'!$E$5:$E$404=D215)*('Visit Log'!$AE$5:$AE$404="Completed")*'Visit Log'!$C$5:$C$404))))</f>
        <v>0</v>
      </c>
      <c r="AS215" s="31">
        <f>IF(D215="","",COUNTIFS('Health Log'!$D$5:$D$204,D215))</f>
        <v>0</v>
      </c>
      <c r="AT215" s="49">
        <f>IF(B215="","",TRIM(IF(Y215="Expired","VACCINATION EXPIRED. ",IF(LEFT(Y215,6)="Due in","Vaccination due. ",""))&amp;IF(AND(AN215&lt;&gt;"",AN215&lt;&gt;"None"),AN215&amp;". ","")&amp;IF(AND(AG215&lt;&gt;"",AG215&lt;&gt;"None",AG215&lt;&gt;"-"),"On medication. ","")&amp;IF(Q215&lt;&gt;"",IF(OR(Q215="None",Q215="None known"),"","Allergy: "&amp;Q215),"")))</f>
        <v>0</v>
      </c>
    </row>
    <row r="216" spans="1:46">
      <c r="A216" s="46">
        <f>IF(B216="","",PetPrefix&amp;TEXT(ROW()-4,"0000"))</f>
        <v>0</v>
      </c>
      <c r="D216" s="28">
        <f>IF(B216="","",B216&amp;" ("&amp;C216&amp;")")</f>
        <v>0</v>
      </c>
      <c r="E216" s="28">
        <f>IF(C216="","",IFERROR(INDEX(Clients!$A$5:$A$254,MATCH(C216,Clients!$B$5:$B$254,0)),""))</f>
        <v>0</v>
      </c>
      <c r="I216" s="32">
        <f>IF(H216="","",ROUND(YEARFRAC(H216,TODAY()),1))</f>
        <v>0</v>
      </c>
      <c r="Y216" s="49">
        <f>IF(X216="","",IF(X216&lt;TODAY(),"Expired",IF(X216-TODAY()&lt;=VaccAlertDays,"Due in "&amp;TEXT(X216-TODAY(),"0")&amp;" days","Valid")))</f>
        <v>0</v>
      </c>
      <c r="AQ216" s="31">
        <f>IF(D216="","",COUNTIFS('Visit Log'!$E$5:$E$404,D216,'Visit Log'!$AE$5:$AE$404,"Completed"))</f>
        <v>0</v>
      </c>
      <c r="AR216" s="21">
        <f>IF(D216="","",IF(SUMPRODUCT(MAX(('Visit Log'!$E$5:$E$404=D216)*('Visit Log'!$AE$5:$AE$404="Completed")*'Visit Log'!$C$5:$C$404))=0,"",SUMPRODUCT(MAX(('Visit Log'!$E$5:$E$404=D216)*('Visit Log'!$AE$5:$AE$404="Completed")*'Visit Log'!$C$5:$C$404))))</f>
        <v>0</v>
      </c>
      <c r="AS216" s="31">
        <f>IF(D216="","",COUNTIFS('Health Log'!$D$5:$D$204,D216))</f>
        <v>0</v>
      </c>
      <c r="AT216" s="49">
        <f>IF(B216="","",TRIM(IF(Y216="Expired","VACCINATION EXPIRED. ",IF(LEFT(Y216,6)="Due in","Vaccination due. ",""))&amp;IF(AND(AN216&lt;&gt;"",AN216&lt;&gt;"None"),AN216&amp;". ","")&amp;IF(AND(AG216&lt;&gt;"",AG216&lt;&gt;"None",AG216&lt;&gt;"-"),"On medication. ","")&amp;IF(Q216&lt;&gt;"",IF(OR(Q216="None",Q216="None known"),"","Allergy: "&amp;Q216),"")))</f>
        <v>0</v>
      </c>
    </row>
    <row r="217" spans="1:46">
      <c r="A217" s="46">
        <f>IF(B217="","",PetPrefix&amp;TEXT(ROW()-4,"0000"))</f>
        <v>0</v>
      </c>
      <c r="D217" s="28">
        <f>IF(B217="","",B217&amp;" ("&amp;C217&amp;")")</f>
        <v>0</v>
      </c>
      <c r="E217" s="28">
        <f>IF(C217="","",IFERROR(INDEX(Clients!$A$5:$A$254,MATCH(C217,Clients!$B$5:$B$254,0)),""))</f>
        <v>0</v>
      </c>
      <c r="I217" s="32">
        <f>IF(H217="","",ROUND(YEARFRAC(H217,TODAY()),1))</f>
        <v>0</v>
      </c>
      <c r="Y217" s="49">
        <f>IF(X217="","",IF(X217&lt;TODAY(),"Expired",IF(X217-TODAY()&lt;=VaccAlertDays,"Due in "&amp;TEXT(X217-TODAY(),"0")&amp;" days","Valid")))</f>
        <v>0</v>
      </c>
      <c r="AQ217" s="31">
        <f>IF(D217="","",COUNTIFS('Visit Log'!$E$5:$E$404,D217,'Visit Log'!$AE$5:$AE$404,"Completed"))</f>
        <v>0</v>
      </c>
      <c r="AR217" s="21">
        <f>IF(D217="","",IF(SUMPRODUCT(MAX(('Visit Log'!$E$5:$E$404=D217)*('Visit Log'!$AE$5:$AE$404="Completed")*'Visit Log'!$C$5:$C$404))=0,"",SUMPRODUCT(MAX(('Visit Log'!$E$5:$E$404=D217)*('Visit Log'!$AE$5:$AE$404="Completed")*'Visit Log'!$C$5:$C$404))))</f>
        <v>0</v>
      </c>
      <c r="AS217" s="31">
        <f>IF(D217="","",COUNTIFS('Health Log'!$D$5:$D$204,D217))</f>
        <v>0</v>
      </c>
      <c r="AT217" s="49">
        <f>IF(B217="","",TRIM(IF(Y217="Expired","VACCINATION EXPIRED. ",IF(LEFT(Y217,6)="Due in","Vaccination due. ",""))&amp;IF(AND(AN217&lt;&gt;"",AN217&lt;&gt;"None"),AN217&amp;". ","")&amp;IF(AND(AG217&lt;&gt;"",AG217&lt;&gt;"None",AG217&lt;&gt;"-"),"On medication. ","")&amp;IF(Q217&lt;&gt;"",IF(OR(Q217="None",Q217="None known"),"","Allergy: "&amp;Q217),"")))</f>
        <v>0</v>
      </c>
    </row>
    <row r="218" spans="1:46">
      <c r="A218" s="46">
        <f>IF(B218="","",PetPrefix&amp;TEXT(ROW()-4,"0000"))</f>
        <v>0</v>
      </c>
      <c r="D218" s="28">
        <f>IF(B218="","",B218&amp;" ("&amp;C218&amp;")")</f>
        <v>0</v>
      </c>
      <c r="E218" s="28">
        <f>IF(C218="","",IFERROR(INDEX(Clients!$A$5:$A$254,MATCH(C218,Clients!$B$5:$B$254,0)),""))</f>
        <v>0</v>
      </c>
      <c r="I218" s="32">
        <f>IF(H218="","",ROUND(YEARFRAC(H218,TODAY()),1))</f>
        <v>0</v>
      </c>
      <c r="Y218" s="49">
        <f>IF(X218="","",IF(X218&lt;TODAY(),"Expired",IF(X218-TODAY()&lt;=VaccAlertDays,"Due in "&amp;TEXT(X218-TODAY(),"0")&amp;" days","Valid")))</f>
        <v>0</v>
      </c>
      <c r="AQ218" s="31">
        <f>IF(D218="","",COUNTIFS('Visit Log'!$E$5:$E$404,D218,'Visit Log'!$AE$5:$AE$404,"Completed"))</f>
        <v>0</v>
      </c>
      <c r="AR218" s="21">
        <f>IF(D218="","",IF(SUMPRODUCT(MAX(('Visit Log'!$E$5:$E$404=D218)*('Visit Log'!$AE$5:$AE$404="Completed")*'Visit Log'!$C$5:$C$404))=0,"",SUMPRODUCT(MAX(('Visit Log'!$E$5:$E$404=D218)*('Visit Log'!$AE$5:$AE$404="Completed")*'Visit Log'!$C$5:$C$404))))</f>
        <v>0</v>
      </c>
      <c r="AS218" s="31">
        <f>IF(D218="","",COUNTIFS('Health Log'!$D$5:$D$204,D218))</f>
        <v>0</v>
      </c>
      <c r="AT218" s="49">
        <f>IF(B218="","",TRIM(IF(Y218="Expired","VACCINATION EXPIRED. ",IF(LEFT(Y218,6)="Due in","Vaccination due. ",""))&amp;IF(AND(AN218&lt;&gt;"",AN218&lt;&gt;"None"),AN218&amp;". ","")&amp;IF(AND(AG218&lt;&gt;"",AG218&lt;&gt;"None",AG218&lt;&gt;"-"),"On medication. ","")&amp;IF(Q218&lt;&gt;"",IF(OR(Q218="None",Q218="None known"),"","Allergy: "&amp;Q218),"")))</f>
        <v>0</v>
      </c>
    </row>
    <row r="219" spans="1:46">
      <c r="A219" s="46">
        <f>IF(B219="","",PetPrefix&amp;TEXT(ROW()-4,"0000"))</f>
        <v>0</v>
      </c>
      <c r="D219" s="28">
        <f>IF(B219="","",B219&amp;" ("&amp;C219&amp;")")</f>
        <v>0</v>
      </c>
      <c r="E219" s="28">
        <f>IF(C219="","",IFERROR(INDEX(Clients!$A$5:$A$254,MATCH(C219,Clients!$B$5:$B$254,0)),""))</f>
        <v>0</v>
      </c>
      <c r="I219" s="32">
        <f>IF(H219="","",ROUND(YEARFRAC(H219,TODAY()),1))</f>
        <v>0</v>
      </c>
      <c r="Y219" s="49">
        <f>IF(X219="","",IF(X219&lt;TODAY(),"Expired",IF(X219-TODAY()&lt;=VaccAlertDays,"Due in "&amp;TEXT(X219-TODAY(),"0")&amp;" days","Valid")))</f>
        <v>0</v>
      </c>
      <c r="AQ219" s="31">
        <f>IF(D219="","",COUNTIFS('Visit Log'!$E$5:$E$404,D219,'Visit Log'!$AE$5:$AE$404,"Completed"))</f>
        <v>0</v>
      </c>
      <c r="AR219" s="21">
        <f>IF(D219="","",IF(SUMPRODUCT(MAX(('Visit Log'!$E$5:$E$404=D219)*('Visit Log'!$AE$5:$AE$404="Completed")*'Visit Log'!$C$5:$C$404))=0,"",SUMPRODUCT(MAX(('Visit Log'!$E$5:$E$404=D219)*('Visit Log'!$AE$5:$AE$404="Completed")*'Visit Log'!$C$5:$C$404))))</f>
        <v>0</v>
      </c>
      <c r="AS219" s="31">
        <f>IF(D219="","",COUNTIFS('Health Log'!$D$5:$D$204,D219))</f>
        <v>0</v>
      </c>
      <c r="AT219" s="49">
        <f>IF(B219="","",TRIM(IF(Y219="Expired","VACCINATION EXPIRED. ",IF(LEFT(Y219,6)="Due in","Vaccination due. ",""))&amp;IF(AND(AN219&lt;&gt;"",AN219&lt;&gt;"None"),AN219&amp;". ","")&amp;IF(AND(AG219&lt;&gt;"",AG219&lt;&gt;"None",AG219&lt;&gt;"-"),"On medication. ","")&amp;IF(Q219&lt;&gt;"",IF(OR(Q219="None",Q219="None known"),"","Allergy: "&amp;Q219),"")))</f>
        <v>0</v>
      </c>
    </row>
    <row r="220" spans="1:46">
      <c r="A220" s="46">
        <f>IF(B220="","",PetPrefix&amp;TEXT(ROW()-4,"0000"))</f>
        <v>0</v>
      </c>
      <c r="D220" s="28">
        <f>IF(B220="","",B220&amp;" ("&amp;C220&amp;")")</f>
        <v>0</v>
      </c>
      <c r="E220" s="28">
        <f>IF(C220="","",IFERROR(INDEX(Clients!$A$5:$A$254,MATCH(C220,Clients!$B$5:$B$254,0)),""))</f>
        <v>0</v>
      </c>
      <c r="I220" s="32">
        <f>IF(H220="","",ROUND(YEARFRAC(H220,TODAY()),1))</f>
        <v>0</v>
      </c>
      <c r="Y220" s="49">
        <f>IF(X220="","",IF(X220&lt;TODAY(),"Expired",IF(X220-TODAY()&lt;=VaccAlertDays,"Due in "&amp;TEXT(X220-TODAY(),"0")&amp;" days","Valid")))</f>
        <v>0</v>
      </c>
      <c r="AQ220" s="31">
        <f>IF(D220="","",COUNTIFS('Visit Log'!$E$5:$E$404,D220,'Visit Log'!$AE$5:$AE$404,"Completed"))</f>
        <v>0</v>
      </c>
      <c r="AR220" s="21">
        <f>IF(D220="","",IF(SUMPRODUCT(MAX(('Visit Log'!$E$5:$E$404=D220)*('Visit Log'!$AE$5:$AE$404="Completed")*'Visit Log'!$C$5:$C$404))=0,"",SUMPRODUCT(MAX(('Visit Log'!$E$5:$E$404=D220)*('Visit Log'!$AE$5:$AE$404="Completed")*'Visit Log'!$C$5:$C$404))))</f>
        <v>0</v>
      </c>
      <c r="AS220" s="31">
        <f>IF(D220="","",COUNTIFS('Health Log'!$D$5:$D$204,D220))</f>
        <v>0</v>
      </c>
      <c r="AT220" s="49">
        <f>IF(B220="","",TRIM(IF(Y220="Expired","VACCINATION EXPIRED. ",IF(LEFT(Y220,6)="Due in","Vaccination due. ",""))&amp;IF(AND(AN220&lt;&gt;"",AN220&lt;&gt;"None"),AN220&amp;". ","")&amp;IF(AND(AG220&lt;&gt;"",AG220&lt;&gt;"None",AG220&lt;&gt;"-"),"On medication. ","")&amp;IF(Q220&lt;&gt;"",IF(OR(Q220="None",Q220="None known"),"","Allergy: "&amp;Q220),"")))</f>
        <v>0</v>
      </c>
    </row>
    <row r="221" spans="1:46">
      <c r="A221" s="46">
        <f>IF(B221="","",PetPrefix&amp;TEXT(ROW()-4,"0000"))</f>
        <v>0</v>
      </c>
      <c r="D221" s="28">
        <f>IF(B221="","",B221&amp;" ("&amp;C221&amp;")")</f>
        <v>0</v>
      </c>
      <c r="E221" s="28">
        <f>IF(C221="","",IFERROR(INDEX(Clients!$A$5:$A$254,MATCH(C221,Clients!$B$5:$B$254,0)),""))</f>
        <v>0</v>
      </c>
      <c r="I221" s="32">
        <f>IF(H221="","",ROUND(YEARFRAC(H221,TODAY()),1))</f>
        <v>0</v>
      </c>
      <c r="Y221" s="49">
        <f>IF(X221="","",IF(X221&lt;TODAY(),"Expired",IF(X221-TODAY()&lt;=VaccAlertDays,"Due in "&amp;TEXT(X221-TODAY(),"0")&amp;" days","Valid")))</f>
        <v>0</v>
      </c>
      <c r="AQ221" s="31">
        <f>IF(D221="","",COUNTIFS('Visit Log'!$E$5:$E$404,D221,'Visit Log'!$AE$5:$AE$404,"Completed"))</f>
        <v>0</v>
      </c>
      <c r="AR221" s="21">
        <f>IF(D221="","",IF(SUMPRODUCT(MAX(('Visit Log'!$E$5:$E$404=D221)*('Visit Log'!$AE$5:$AE$404="Completed")*'Visit Log'!$C$5:$C$404))=0,"",SUMPRODUCT(MAX(('Visit Log'!$E$5:$E$404=D221)*('Visit Log'!$AE$5:$AE$404="Completed")*'Visit Log'!$C$5:$C$404))))</f>
        <v>0</v>
      </c>
      <c r="AS221" s="31">
        <f>IF(D221="","",COUNTIFS('Health Log'!$D$5:$D$204,D221))</f>
        <v>0</v>
      </c>
      <c r="AT221" s="49">
        <f>IF(B221="","",TRIM(IF(Y221="Expired","VACCINATION EXPIRED. ",IF(LEFT(Y221,6)="Due in","Vaccination due. ",""))&amp;IF(AND(AN221&lt;&gt;"",AN221&lt;&gt;"None"),AN221&amp;". ","")&amp;IF(AND(AG221&lt;&gt;"",AG221&lt;&gt;"None",AG221&lt;&gt;"-"),"On medication. ","")&amp;IF(Q221&lt;&gt;"",IF(OR(Q221="None",Q221="None known"),"","Allergy: "&amp;Q221),"")))</f>
        <v>0</v>
      </c>
    </row>
    <row r="222" spans="1:46">
      <c r="A222" s="46">
        <f>IF(B222="","",PetPrefix&amp;TEXT(ROW()-4,"0000"))</f>
        <v>0</v>
      </c>
      <c r="D222" s="28">
        <f>IF(B222="","",B222&amp;" ("&amp;C222&amp;")")</f>
        <v>0</v>
      </c>
      <c r="E222" s="28">
        <f>IF(C222="","",IFERROR(INDEX(Clients!$A$5:$A$254,MATCH(C222,Clients!$B$5:$B$254,0)),""))</f>
        <v>0</v>
      </c>
      <c r="I222" s="32">
        <f>IF(H222="","",ROUND(YEARFRAC(H222,TODAY()),1))</f>
        <v>0</v>
      </c>
      <c r="Y222" s="49">
        <f>IF(X222="","",IF(X222&lt;TODAY(),"Expired",IF(X222-TODAY()&lt;=VaccAlertDays,"Due in "&amp;TEXT(X222-TODAY(),"0")&amp;" days","Valid")))</f>
        <v>0</v>
      </c>
      <c r="AQ222" s="31">
        <f>IF(D222="","",COUNTIFS('Visit Log'!$E$5:$E$404,D222,'Visit Log'!$AE$5:$AE$404,"Completed"))</f>
        <v>0</v>
      </c>
      <c r="AR222" s="21">
        <f>IF(D222="","",IF(SUMPRODUCT(MAX(('Visit Log'!$E$5:$E$404=D222)*('Visit Log'!$AE$5:$AE$404="Completed")*'Visit Log'!$C$5:$C$404))=0,"",SUMPRODUCT(MAX(('Visit Log'!$E$5:$E$404=D222)*('Visit Log'!$AE$5:$AE$404="Completed")*'Visit Log'!$C$5:$C$404))))</f>
        <v>0</v>
      </c>
      <c r="AS222" s="31">
        <f>IF(D222="","",COUNTIFS('Health Log'!$D$5:$D$204,D222))</f>
        <v>0</v>
      </c>
      <c r="AT222" s="49">
        <f>IF(B222="","",TRIM(IF(Y222="Expired","VACCINATION EXPIRED. ",IF(LEFT(Y222,6)="Due in","Vaccination due. ",""))&amp;IF(AND(AN222&lt;&gt;"",AN222&lt;&gt;"None"),AN222&amp;". ","")&amp;IF(AND(AG222&lt;&gt;"",AG222&lt;&gt;"None",AG222&lt;&gt;"-"),"On medication. ","")&amp;IF(Q222&lt;&gt;"",IF(OR(Q222="None",Q222="None known"),"","Allergy: "&amp;Q222),"")))</f>
        <v>0</v>
      </c>
    </row>
    <row r="223" spans="1:46">
      <c r="A223" s="46">
        <f>IF(B223="","",PetPrefix&amp;TEXT(ROW()-4,"0000"))</f>
        <v>0</v>
      </c>
      <c r="D223" s="28">
        <f>IF(B223="","",B223&amp;" ("&amp;C223&amp;")")</f>
        <v>0</v>
      </c>
      <c r="E223" s="28">
        <f>IF(C223="","",IFERROR(INDEX(Clients!$A$5:$A$254,MATCH(C223,Clients!$B$5:$B$254,0)),""))</f>
        <v>0</v>
      </c>
      <c r="I223" s="32">
        <f>IF(H223="","",ROUND(YEARFRAC(H223,TODAY()),1))</f>
        <v>0</v>
      </c>
      <c r="Y223" s="49">
        <f>IF(X223="","",IF(X223&lt;TODAY(),"Expired",IF(X223-TODAY()&lt;=VaccAlertDays,"Due in "&amp;TEXT(X223-TODAY(),"0")&amp;" days","Valid")))</f>
        <v>0</v>
      </c>
      <c r="AQ223" s="31">
        <f>IF(D223="","",COUNTIFS('Visit Log'!$E$5:$E$404,D223,'Visit Log'!$AE$5:$AE$404,"Completed"))</f>
        <v>0</v>
      </c>
      <c r="AR223" s="21">
        <f>IF(D223="","",IF(SUMPRODUCT(MAX(('Visit Log'!$E$5:$E$404=D223)*('Visit Log'!$AE$5:$AE$404="Completed")*'Visit Log'!$C$5:$C$404))=0,"",SUMPRODUCT(MAX(('Visit Log'!$E$5:$E$404=D223)*('Visit Log'!$AE$5:$AE$404="Completed")*'Visit Log'!$C$5:$C$404))))</f>
        <v>0</v>
      </c>
      <c r="AS223" s="31">
        <f>IF(D223="","",COUNTIFS('Health Log'!$D$5:$D$204,D223))</f>
        <v>0</v>
      </c>
      <c r="AT223" s="49">
        <f>IF(B223="","",TRIM(IF(Y223="Expired","VACCINATION EXPIRED. ",IF(LEFT(Y223,6)="Due in","Vaccination due. ",""))&amp;IF(AND(AN223&lt;&gt;"",AN223&lt;&gt;"None"),AN223&amp;". ","")&amp;IF(AND(AG223&lt;&gt;"",AG223&lt;&gt;"None",AG223&lt;&gt;"-"),"On medication. ","")&amp;IF(Q223&lt;&gt;"",IF(OR(Q223="None",Q223="None known"),"","Allergy: "&amp;Q223),"")))</f>
        <v>0</v>
      </c>
    </row>
    <row r="224" spans="1:46">
      <c r="A224" s="46">
        <f>IF(B224="","",PetPrefix&amp;TEXT(ROW()-4,"0000"))</f>
        <v>0</v>
      </c>
      <c r="D224" s="28">
        <f>IF(B224="","",B224&amp;" ("&amp;C224&amp;")")</f>
        <v>0</v>
      </c>
      <c r="E224" s="28">
        <f>IF(C224="","",IFERROR(INDEX(Clients!$A$5:$A$254,MATCH(C224,Clients!$B$5:$B$254,0)),""))</f>
        <v>0</v>
      </c>
      <c r="I224" s="32">
        <f>IF(H224="","",ROUND(YEARFRAC(H224,TODAY()),1))</f>
        <v>0</v>
      </c>
      <c r="Y224" s="49">
        <f>IF(X224="","",IF(X224&lt;TODAY(),"Expired",IF(X224-TODAY()&lt;=VaccAlertDays,"Due in "&amp;TEXT(X224-TODAY(),"0")&amp;" days","Valid")))</f>
        <v>0</v>
      </c>
      <c r="AQ224" s="31">
        <f>IF(D224="","",COUNTIFS('Visit Log'!$E$5:$E$404,D224,'Visit Log'!$AE$5:$AE$404,"Completed"))</f>
        <v>0</v>
      </c>
      <c r="AR224" s="21">
        <f>IF(D224="","",IF(SUMPRODUCT(MAX(('Visit Log'!$E$5:$E$404=D224)*('Visit Log'!$AE$5:$AE$404="Completed")*'Visit Log'!$C$5:$C$404))=0,"",SUMPRODUCT(MAX(('Visit Log'!$E$5:$E$404=D224)*('Visit Log'!$AE$5:$AE$404="Completed")*'Visit Log'!$C$5:$C$404))))</f>
        <v>0</v>
      </c>
      <c r="AS224" s="31">
        <f>IF(D224="","",COUNTIFS('Health Log'!$D$5:$D$204,D224))</f>
        <v>0</v>
      </c>
      <c r="AT224" s="49">
        <f>IF(B224="","",TRIM(IF(Y224="Expired","VACCINATION EXPIRED. ",IF(LEFT(Y224,6)="Due in","Vaccination due. ",""))&amp;IF(AND(AN224&lt;&gt;"",AN224&lt;&gt;"None"),AN224&amp;". ","")&amp;IF(AND(AG224&lt;&gt;"",AG224&lt;&gt;"None",AG224&lt;&gt;"-"),"On medication. ","")&amp;IF(Q224&lt;&gt;"",IF(OR(Q224="None",Q224="None known"),"","Allergy: "&amp;Q224),"")))</f>
        <v>0</v>
      </c>
    </row>
    <row r="225" spans="1:46">
      <c r="A225" s="46">
        <f>IF(B225="","",PetPrefix&amp;TEXT(ROW()-4,"0000"))</f>
        <v>0</v>
      </c>
      <c r="D225" s="28">
        <f>IF(B225="","",B225&amp;" ("&amp;C225&amp;")")</f>
        <v>0</v>
      </c>
      <c r="E225" s="28">
        <f>IF(C225="","",IFERROR(INDEX(Clients!$A$5:$A$254,MATCH(C225,Clients!$B$5:$B$254,0)),""))</f>
        <v>0</v>
      </c>
      <c r="I225" s="32">
        <f>IF(H225="","",ROUND(YEARFRAC(H225,TODAY()),1))</f>
        <v>0</v>
      </c>
      <c r="Y225" s="49">
        <f>IF(X225="","",IF(X225&lt;TODAY(),"Expired",IF(X225-TODAY()&lt;=VaccAlertDays,"Due in "&amp;TEXT(X225-TODAY(),"0")&amp;" days","Valid")))</f>
        <v>0</v>
      </c>
      <c r="AQ225" s="31">
        <f>IF(D225="","",COUNTIFS('Visit Log'!$E$5:$E$404,D225,'Visit Log'!$AE$5:$AE$404,"Completed"))</f>
        <v>0</v>
      </c>
      <c r="AR225" s="21">
        <f>IF(D225="","",IF(SUMPRODUCT(MAX(('Visit Log'!$E$5:$E$404=D225)*('Visit Log'!$AE$5:$AE$404="Completed")*'Visit Log'!$C$5:$C$404))=0,"",SUMPRODUCT(MAX(('Visit Log'!$E$5:$E$404=D225)*('Visit Log'!$AE$5:$AE$404="Completed")*'Visit Log'!$C$5:$C$404))))</f>
        <v>0</v>
      </c>
      <c r="AS225" s="31">
        <f>IF(D225="","",COUNTIFS('Health Log'!$D$5:$D$204,D225))</f>
        <v>0</v>
      </c>
      <c r="AT225" s="49">
        <f>IF(B225="","",TRIM(IF(Y225="Expired","VACCINATION EXPIRED. ",IF(LEFT(Y225,6)="Due in","Vaccination due. ",""))&amp;IF(AND(AN225&lt;&gt;"",AN225&lt;&gt;"None"),AN225&amp;". ","")&amp;IF(AND(AG225&lt;&gt;"",AG225&lt;&gt;"None",AG225&lt;&gt;"-"),"On medication. ","")&amp;IF(Q225&lt;&gt;"",IF(OR(Q225="None",Q225="None known"),"","Allergy: "&amp;Q225),"")))</f>
        <v>0</v>
      </c>
    </row>
    <row r="226" spans="1:46">
      <c r="A226" s="46">
        <f>IF(B226="","",PetPrefix&amp;TEXT(ROW()-4,"0000"))</f>
        <v>0</v>
      </c>
      <c r="D226" s="28">
        <f>IF(B226="","",B226&amp;" ("&amp;C226&amp;")")</f>
        <v>0</v>
      </c>
      <c r="E226" s="28">
        <f>IF(C226="","",IFERROR(INDEX(Clients!$A$5:$A$254,MATCH(C226,Clients!$B$5:$B$254,0)),""))</f>
        <v>0</v>
      </c>
      <c r="I226" s="32">
        <f>IF(H226="","",ROUND(YEARFRAC(H226,TODAY()),1))</f>
        <v>0</v>
      </c>
      <c r="Y226" s="49">
        <f>IF(X226="","",IF(X226&lt;TODAY(),"Expired",IF(X226-TODAY()&lt;=VaccAlertDays,"Due in "&amp;TEXT(X226-TODAY(),"0")&amp;" days","Valid")))</f>
        <v>0</v>
      </c>
      <c r="AQ226" s="31">
        <f>IF(D226="","",COUNTIFS('Visit Log'!$E$5:$E$404,D226,'Visit Log'!$AE$5:$AE$404,"Completed"))</f>
        <v>0</v>
      </c>
      <c r="AR226" s="21">
        <f>IF(D226="","",IF(SUMPRODUCT(MAX(('Visit Log'!$E$5:$E$404=D226)*('Visit Log'!$AE$5:$AE$404="Completed")*'Visit Log'!$C$5:$C$404))=0,"",SUMPRODUCT(MAX(('Visit Log'!$E$5:$E$404=D226)*('Visit Log'!$AE$5:$AE$404="Completed")*'Visit Log'!$C$5:$C$404))))</f>
        <v>0</v>
      </c>
      <c r="AS226" s="31">
        <f>IF(D226="","",COUNTIFS('Health Log'!$D$5:$D$204,D226))</f>
        <v>0</v>
      </c>
      <c r="AT226" s="49">
        <f>IF(B226="","",TRIM(IF(Y226="Expired","VACCINATION EXPIRED. ",IF(LEFT(Y226,6)="Due in","Vaccination due. ",""))&amp;IF(AND(AN226&lt;&gt;"",AN226&lt;&gt;"None"),AN226&amp;". ","")&amp;IF(AND(AG226&lt;&gt;"",AG226&lt;&gt;"None",AG226&lt;&gt;"-"),"On medication. ","")&amp;IF(Q226&lt;&gt;"",IF(OR(Q226="None",Q226="None known"),"","Allergy: "&amp;Q226),"")))</f>
        <v>0</v>
      </c>
    </row>
    <row r="227" spans="1:46">
      <c r="A227" s="46">
        <f>IF(B227="","",PetPrefix&amp;TEXT(ROW()-4,"0000"))</f>
        <v>0</v>
      </c>
      <c r="D227" s="28">
        <f>IF(B227="","",B227&amp;" ("&amp;C227&amp;")")</f>
        <v>0</v>
      </c>
      <c r="E227" s="28">
        <f>IF(C227="","",IFERROR(INDEX(Clients!$A$5:$A$254,MATCH(C227,Clients!$B$5:$B$254,0)),""))</f>
        <v>0</v>
      </c>
      <c r="I227" s="32">
        <f>IF(H227="","",ROUND(YEARFRAC(H227,TODAY()),1))</f>
        <v>0</v>
      </c>
      <c r="Y227" s="49">
        <f>IF(X227="","",IF(X227&lt;TODAY(),"Expired",IF(X227-TODAY()&lt;=VaccAlertDays,"Due in "&amp;TEXT(X227-TODAY(),"0")&amp;" days","Valid")))</f>
        <v>0</v>
      </c>
      <c r="AQ227" s="31">
        <f>IF(D227="","",COUNTIFS('Visit Log'!$E$5:$E$404,D227,'Visit Log'!$AE$5:$AE$404,"Completed"))</f>
        <v>0</v>
      </c>
      <c r="AR227" s="21">
        <f>IF(D227="","",IF(SUMPRODUCT(MAX(('Visit Log'!$E$5:$E$404=D227)*('Visit Log'!$AE$5:$AE$404="Completed")*'Visit Log'!$C$5:$C$404))=0,"",SUMPRODUCT(MAX(('Visit Log'!$E$5:$E$404=D227)*('Visit Log'!$AE$5:$AE$404="Completed")*'Visit Log'!$C$5:$C$404))))</f>
        <v>0</v>
      </c>
      <c r="AS227" s="31">
        <f>IF(D227="","",COUNTIFS('Health Log'!$D$5:$D$204,D227))</f>
        <v>0</v>
      </c>
      <c r="AT227" s="49">
        <f>IF(B227="","",TRIM(IF(Y227="Expired","VACCINATION EXPIRED. ",IF(LEFT(Y227,6)="Due in","Vaccination due. ",""))&amp;IF(AND(AN227&lt;&gt;"",AN227&lt;&gt;"None"),AN227&amp;". ","")&amp;IF(AND(AG227&lt;&gt;"",AG227&lt;&gt;"None",AG227&lt;&gt;"-"),"On medication. ","")&amp;IF(Q227&lt;&gt;"",IF(OR(Q227="None",Q227="None known"),"","Allergy: "&amp;Q227),"")))</f>
        <v>0</v>
      </c>
    </row>
    <row r="228" spans="1:46">
      <c r="A228" s="46">
        <f>IF(B228="","",PetPrefix&amp;TEXT(ROW()-4,"0000"))</f>
        <v>0</v>
      </c>
      <c r="D228" s="28">
        <f>IF(B228="","",B228&amp;" ("&amp;C228&amp;")")</f>
        <v>0</v>
      </c>
      <c r="E228" s="28">
        <f>IF(C228="","",IFERROR(INDEX(Clients!$A$5:$A$254,MATCH(C228,Clients!$B$5:$B$254,0)),""))</f>
        <v>0</v>
      </c>
      <c r="I228" s="32">
        <f>IF(H228="","",ROUND(YEARFRAC(H228,TODAY()),1))</f>
        <v>0</v>
      </c>
      <c r="Y228" s="49">
        <f>IF(X228="","",IF(X228&lt;TODAY(),"Expired",IF(X228-TODAY()&lt;=VaccAlertDays,"Due in "&amp;TEXT(X228-TODAY(),"0")&amp;" days","Valid")))</f>
        <v>0</v>
      </c>
      <c r="AQ228" s="31">
        <f>IF(D228="","",COUNTIFS('Visit Log'!$E$5:$E$404,D228,'Visit Log'!$AE$5:$AE$404,"Completed"))</f>
        <v>0</v>
      </c>
      <c r="AR228" s="21">
        <f>IF(D228="","",IF(SUMPRODUCT(MAX(('Visit Log'!$E$5:$E$404=D228)*('Visit Log'!$AE$5:$AE$404="Completed")*'Visit Log'!$C$5:$C$404))=0,"",SUMPRODUCT(MAX(('Visit Log'!$E$5:$E$404=D228)*('Visit Log'!$AE$5:$AE$404="Completed")*'Visit Log'!$C$5:$C$404))))</f>
        <v>0</v>
      </c>
      <c r="AS228" s="31">
        <f>IF(D228="","",COUNTIFS('Health Log'!$D$5:$D$204,D228))</f>
        <v>0</v>
      </c>
      <c r="AT228" s="49">
        <f>IF(B228="","",TRIM(IF(Y228="Expired","VACCINATION EXPIRED. ",IF(LEFT(Y228,6)="Due in","Vaccination due. ",""))&amp;IF(AND(AN228&lt;&gt;"",AN228&lt;&gt;"None"),AN228&amp;". ","")&amp;IF(AND(AG228&lt;&gt;"",AG228&lt;&gt;"None",AG228&lt;&gt;"-"),"On medication. ","")&amp;IF(Q228&lt;&gt;"",IF(OR(Q228="None",Q228="None known"),"","Allergy: "&amp;Q228),"")))</f>
        <v>0</v>
      </c>
    </row>
    <row r="229" spans="1:46">
      <c r="A229" s="46">
        <f>IF(B229="","",PetPrefix&amp;TEXT(ROW()-4,"0000"))</f>
        <v>0</v>
      </c>
      <c r="D229" s="28">
        <f>IF(B229="","",B229&amp;" ("&amp;C229&amp;")")</f>
        <v>0</v>
      </c>
      <c r="E229" s="28">
        <f>IF(C229="","",IFERROR(INDEX(Clients!$A$5:$A$254,MATCH(C229,Clients!$B$5:$B$254,0)),""))</f>
        <v>0</v>
      </c>
      <c r="I229" s="32">
        <f>IF(H229="","",ROUND(YEARFRAC(H229,TODAY()),1))</f>
        <v>0</v>
      </c>
      <c r="Y229" s="49">
        <f>IF(X229="","",IF(X229&lt;TODAY(),"Expired",IF(X229-TODAY()&lt;=VaccAlertDays,"Due in "&amp;TEXT(X229-TODAY(),"0")&amp;" days","Valid")))</f>
        <v>0</v>
      </c>
      <c r="AQ229" s="31">
        <f>IF(D229="","",COUNTIFS('Visit Log'!$E$5:$E$404,D229,'Visit Log'!$AE$5:$AE$404,"Completed"))</f>
        <v>0</v>
      </c>
      <c r="AR229" s="21">
        <f>IF(D229="","",IF(SUMPRODUCT(MAX(('Visit Log'!$E$5:$E$404=D229)*('Visit Log'!$AE$5:$AE$404="Completed")*'Visit Log'!$C$5:$C$404))=0,"",SUMPRODUCT(MAX(('Visit Log'!$E$5:$E$404=D229)*('Visit Log'!$AE$5:$AE$404="Completed")*'Visit Log'!$C$5:$C$404))))</f>
        <v>0</v>
      </c>
      <c r="AS229" s="31">
        <f>IF(D229="","",COUNTIFS('Health Log'!$D$5:$D$204,D229))</f>
        <v>0</v>
      </c>
      <c r="AT229" s="49">
        <f>IF(B229="","",TRIM(IF(Y229="Expired","VACCINATION EXPIRED. ",IF(LEFT(Y229,6)="Due in","Vaccination due. ",""))&amp;IF(AND(AN229&lt;&gt;"",AN229&lt;&gt;"None"),AN229&amp;". ","")&amp;IF(AND(AG229&lt;&gt;"",AG229&lt;&gt;"None",AG229&lt;&gt;"-"),"On medication. ","")&amp;IF(Q229&lt;&gt;"",IF(OR(Q229="None",Q229="None known"),"","Allergy: "&amp;Q229),"")))</f>
        <v>0</v>
      </c>
    </row>
    <row r="230" spans="1:46">
      <c r="A230" s="46">
        <f>IF(B230="","",PetPrefix&amp;TEXT(ROW()-4,"0000"))</f>
        <v>0</v>
      </c>
      <c r="D230" s="28">
        <f>IF(B230="","",B230&amp;" ("&amp;C230&amp;")")</f>
        <v>0</v>
      </c>
      <c r="E230" s="28">
        <f>IF(C230="","",IFERROR(INDEX(Clients!$A$5:$A$254,MATCH(C230,Clients!$B$5:$B$254,0)),""))</f>
        <v>0</v>
      </c>
      <c r="I230" s="32">
        <f>IF(H230="","",ROUND(YEARFRAC(H230,TODAY()),1))</f>
        <v>0</v>
      </c>
      <c r="Y230" s="49">
        <f>IF(X230="","",IF(X230&lt;TODAY(),"Expired",IF(X230-TODAY()&lt;=VaccAlertDays,"Due in "&amp;TEXT(X230-TODAY(),"0")&amp;" days","Valid")))</f>
        <v>0</v>
      </c>
      <c r="AQ230" s="31">
        <f>IF(D230="","",COUNTIFS('Visit Log'!$E$5:$E$404,D230,'Visit Log'!$AE$5:$AE$404,"Completed"))</f>
        <v>0</v>
      </c>
      <c r="AR230" s="21">
        <f>IF(D230="","",IF(SUMPRODUCT(MAX(('Visit Log'!$E$5:$E$404=D230)*('Visit Log'!$AE$5:$AE$404="Completed")*'Visit Log'!$C$5:$C$404))=0,"",SUMPRODUCT(MAX(('Visit Log'!$E$5:$E$404=D230)*('Visit Log'!$AE$5:$AE$404="Completed")*'Visit Log'!$C$5:$C$404))))</f>
        <v>0</v>
      </c>
      <c r="AS230" s="31">
        <f>IF(D230="","",COUNTIFS('Health Log'!$D$5:$D$204,D230))</f>
        <v>0</v>
      </c>
      <c r="AT230" s="49">
        <f>IF(B230="","",TRIM(IF(Y230="Expired","VACCINATION EXPIRED. ",IF(LEFT(Y230,6)="Due in","Vaccination due. ",""))&amp;IF(AND(AN230&lt;&gt;"",AN230&lt;&gt;"None"),AN230&amp;". ","")&amp;IF(AND(AG230&lt;&gt;"",AG230&lt;&gt;"None",AG230&lt;&gt;"-"),"On medication. ","")&amp;IF(Q230&lt;&gt;"",IF(OR(Q230="None",Q230="None known"),"","Allergy: "&amp;Q230),"")))</f>
        <v>0</v>
      </c>
    </row>
    <row r="231" spans="1:46">
      <c r="A231" s="46">
        <f>IF(B231="","",PetPrefix&amp;TEXT(ROW()-4,"0000"))</f>
        <v>0</v>
      </c>
      <c r="D231" s="28">
        <f>IF(B231="","",B231&amp;" ("&amp;C231&amp;")")</f>
        <v>0</v>
      </c>
      <c r="E231" s="28">
        <f>IF(C231="","",IFERROR(INDEX(Clients!$A$5:$A$254,MATCH(C231,Clients!$B$5:$B$254,0)),""))</f>
        <v>0</v>
      </c>
      <c r="I231" s="32">
        <f>IF(H231="","",ROUND(YEARFRAC(H231,TODAY()),1))</f>
        <v>0</v>
      </c>
      <c r="Y231" s="49">
        <f>IF(X231="","",IF(X231&lt;TODAY(),"Expired",IF(X231-TODAY()&lt;=VaccAlertDays,"Due in "&amp;TEXT(X231-TODAY(),"0")&amp;" days","Valid")))</f>
        <v>0</v>
      </c>
      <c r="AQ231" s="31">
        <f>IF(D231="","",COUNTIFS('Visit Log'!$E$5:$E$404,D231,'Visit Log'!$AE$5:$AE$404,"Completed"))</f>
        <v>0</v>
      </c>
      <c r="AR231" s="21">
        <f>IF(D231="","",IF(SUMPRODUCT(MAX(('Visit Log'!$E$5:$E$404=D231)*('Visit Log'!$AE$5:$AE$404="Completed")*'Visit Log'!$C$5:$C$404))=0,"",SUMPRODUCT(MAX(('Visit Log'!$E$5:$E$404=D231)*('Visit Log'!$AE$5:$AE$404="Completed")*'Visit Log'!$C$5:$C$404))))</f>
        <v>0</v>
      </c>
      <c r="AS231" s="31">
        <f>IF(D231="","",COUNTIFS('Health Log'!$D$5:$D$204,D231))</f>
        <v>0</v>
      </c>
      <c r="AT231" s="49">
        <f>IF(B231="","",TRIM(IF(Y231="Expired","VACCINATION EXPIRED. ",IF(LEFT(Y231,6)="Due in","Vaccination due. ",""))&amp;IF(AND(AN231&lt;&gt;"",AN231&lt;&gt;"None"),AN231&amp;". ","")&amp;IF(AND(AG231&lt;&gt;"",AG231&lt;&gt;"None",AG231&lt;&gt;"-"),"On medication. ","")&amp;IF(Q231&lt;&gt;"",IF(OR(Q231="None",Q231="None known"),"","Allergy: "&amp;Q231),"")))</f>
        <v>0</v>
      </c>
    </row>
    <row r="232" spans="1:46">
      <c r="A232" s="46">
        <f>IF(B232="","",PetPrefix&amp;TEXT(ROW()-4,"0000"))</f>
        <v>0</v>
      </c>
      <c r="D232" s="28">
        <f>IF(B232="","",B232&amp;" ("&amp;C232&amp;")")</f>
        <v>0</v>
      </c>
      <c r="E232" s="28">
        <f>IF(C232="","",IFERROR(INDEX(Clients!$A$5:$A$254,MATCH(C232,Clients!$B$5:$B$254,0)),""))</f>
        <v>0</v>
      </c>
      <c r="I232" s="32">
        <f>IF(H232="","",ROUND(YEARFRAC(H232,TODAY()),1))</f>
        <v>0</v>
      </c>
      <c r="Y232" s="49">
        <f>IF(X232="","",IF(X232&lt;TODAY(),"Expired",IF(X232-TODAY()&lt;=VaccAlertDays,"Due in "&amp;TEXT(X232-TODAY(),"0")&amp;" days","Valid")))</f>
        <v>0</v>
      </c>
      <c r="AQ232" s="31">
        <f>IF(D232="","",COUNTIFS('Visit Log'!$E$5:$E$404,D232,'Visit Log'!$AE$5:$AE$404,"Completed"))</f>
        <v>0</v>
      </c>
      <c r="AR232" s="21">
        <f>IF(D232="","",IF(SUMPRODUCT(MAX(('Visit Log'!$E$5:$E$404=D232)*('Visit Log'!$AE$5:$AE$404="Completed")*'Visit Log'!$C$5:$C$404))=0,"",SUMPRODUCT(MAX(('Visit Log'!$E$5:$E$404=D232)*('Visit Log'!$AE$5:$AE$404="Completed")*'Visit Log'!$C$5:$C$404))))</f>
        <v>0</v>
      </c>
      <c r="AS232" s="31">
        <f>IF(D232="","",COUNTIFS('Health Log'!$D$5:$D$204,D232))</f>
        <v>0</v>
      </c>
      <c r="AT232" s="49">
        <f>IF(B232="","",TRIM(IF(Y232="Expired","VACCINATION EXPIRED. ",IF(LEFT(Y232,6)="Due in","Vaccination due. ",""))&amp;IF(AND(AN232&lt;&gt;"",AN232&lt;&gt;"None"),AN232&amp;". ","")&amp;IF(AND(AG232&lt;&gt;"",AG232&lt;&gt;"None",AG232&lt;&gt;"-"),"On medication. ","")&amp;IF(Q232&lt;&gt;"",IF(OR(Q232="None",Q232="None known"),"","Allergy: "&amp;Q232),"")))</f>
        <v>0</v>
      </c>
    </row>
    <row r="233" spans="1:46">
      <c r="A233" s="46">
        <f>IF(B233="","",PetPrefix&amp;TEXT(ROW()-4,"0000"))</f>
        <v>0</v>
      </c>
      <c r="D233" s="28">
        <f>IF(B233="","",B233&amp;" ("&amp;C233&amp;")")</f>
        <v>0</v>
      </c>
      <c r="E233" s="28">
        <f>IF(C233="","",IFERROR(INDEX(Clients!$A$5:$A$254,MATCH(C233,Clients!$B$5:$B$254,0)),""))</f>
        <v>0</v>
      </c>
      <c r="I233" s="32">
        <f>IF(H233="","",ROUND(YEARFRAC(H233,TODAY()),1))</f>
        <v>0</v>
      </c>
      <c r="Y233" s="49">
        <f>IF(X233="","",IF(X233&lt;TODAY(),"Expired",IF(X233-TODAY()&lt;=VaccAlertDays,"Due in "&amp;TEXT(X233-TODAY(),"0")&amp;" days","Valid")))</f>
        <v>0</v>
      </c>
      <c r="AQ233" s="31">
        <f>IF(D233="","",COUNTIFS('Visit Log'!$E$5:$E$404,D233,'Visit Log'!$AE$5:$AE$404,"Completed"))</f>
        <v>0</v>
      </c>
      <c r="AR233" s="21">
        <f>IF(D233="","",IF(SUMPRODUCT(MAX(('Visit Log'!$E$5:$E$404=D233)*('Visit Log'!$AE$5:$AE$404="Completed")*'Visit Log'!$C$5:$C$404))=0,"",SUMPRODUCT(MAX(('Visit Log'!$E$5:$E$404=D233)*('Visit Log'!$AE$5:$AE$404="Completed")*'Visit Log'!$C$5:$C$404))))</f>
        <v>0</v>
      </c>
      <c r="AS233" s="31">
        <f>IF(D233="","",COUNTIFS('Health Log'!$D$5:$D$204,D233))</f>
        <v>0</v>
      </c>
      <c r="AT233" s="49">
        <f>IF(B233="","",TRIM(IF(Y233="Expired","VACCINATION EXPIRED. ",IF(LEFT(Y233,6)="Due in","Vaccination due. ",""))&amp;IF(AND(AN233&lt;&gt;"",AN233&lt;&gt;"None"),AN233&amp;". ","")&amp;IF(AND(AG233&lt;&gt;"",AG233&lt;&gt;"None",AG233&lt;&gt;"-"),"On medication. ","")&amp;IF(Q233&lt;&gt;"",IF(OR(Q233="None",Q233="None known"),"","Allergy: "&amp;Q233),"")))</f>
        <v>0</v>
      </c>
    </row>
    <row r="234" spans="1:46">
      <c r="A234" s="46">
        <f>IF(B234="","",PetPrefix&amp;TEXT(ROW()-4,"0000"))</f>
        <v>0</v>
      </c>
      <c r="D234" s="28">
        <f>IF(B234="","",B234&amp;" ("&amp;C234&amp;")")</f>
        <v>0</v>
      </c>
      <c r="E234" s="28">
        <f>IF(C234="","",IFERROR(INDEX(Clients!$A$5:$A$254,MATCH(C234,Clients!$B$5:$B$254,0)),""))</f>
        <v>0</v>
      </c>
      <c r="I234" s="32">
        <f>IF(H234="","",ROUND(YEARFRAC(H234,TODAY()),1))</f>
        <v>0</v>
      </c>
      <c r="Y234" s="49">
        <f>IF(X234="","",IF(X234&lt;TODAY(),"Expired",IF(X234-TODAY()&lt;=VaccAlertDays,"Due in "&amp;TEXT(X234-TODAY(),"0")&amp;" days","Valid")))</f>
        <v>0</v>
      </c>
      <c r="AQ234" s="31">
        <f>IF(D234="","",COUNTIFS('Visit Log'!$E$5:$E$404,D234,'Visit Log'!$AE$5:$AE$404,"Completed"))</f>
        <v>0</v>
      </c>
      <c r="AR234" s="21">
        <f>IF(D234="","",IF(SUMPRODUCT(MAX(('Visit Log'!$E$5:$E$404=D234)*('Visit Log'!$AE$5:$AE$404="Completed")*'Visit Log'!$C$5:$C$404))=0,"",SUMPRODUCT(MAX(('Visit Log'!$E$5:$E$404=D234)*('Visit Log'!$AE$5:$AE$404="Completed")*'Visit Log'!$C$5:$C$404))))</f>
        <v>0</v>
      </c>
      <c r="AS234" s="31">
        <f>IF(D234="","",COUNTIFS('Health Log'!$D$5:$D$204,D234))</f>
        <v>0</v>
      </c>
      <c r="AT234" s="49">
        <f>IF(B234="","",TRIM(IF(Y234="Expired","VACCINATION EXPIRED. ",IF(LEFT(Y234,6)="Due in","Vaccination due. ",""))&amp;IF(AND(AN234&lt;&gt;"",AN234&lt;&gt;"None"),AN234&amp;". ","")&amp;IF(AND(AG234&lt;&gt;"",AG234&lt;&gt;"None",AG234&lt;&gt;"-"),"On medication. ","")&amp;IF(Q234&lt;&gt;"",IF(OR(Q234="None",Q234="None known"),"","Allergy: "&amp;Q234),"")))</f>
        <v>0</v>
      </c>
    </row>
    <row r="235" spans="1:46">
      <c r="A235" s="46">
        <f>IF(B235="","",PetPrefix&amp;TEXT(ROW()-4,"0000"))</f>
        <v>0</v>
      </c>
      <c r="D235" s="28">
        <f>IF(B235="","",B235&amp;" ("&amp;C235&amp;")")</f>
        <v>0</v>
      </c>
      <c r="E235" s="28">
        <f>IF(C235="","",IFERROR(INDEX(Clients!$A$5:$A$254,MATCH(C235,Clients!$B$5:$B$254,0)),""))</f>
        <v>0</v>
      </c>
      <c r="I235" s="32">
        <f>IF(H235="","",ROUND(YEARFRAC(H235,TODAY()),1))</f>
        <v>0</v>
      </c>
      <c r="Y235" s="49">
        <f>IF(X235="","",IF(X235&lt;TODAY(),"Expired",IF(X235-TODAY()&lt;=VaccAlertDays,"Due in "&amp;TEXT(X235-TODAY(),"0")&amp;" days","Valid")))</f>
        <v>0</v>
      </c>
      <c r="AQ235" s="31">
        <f>IF(D235="","",COUNTIFS('Visit Log'!$E$5:$E$404,D235,'Visit Log'!$AE$5:$AE$404,"Completed"))</f>
        <v>0</v>
      </c>
      <c r="AR235" s="21">
        <f>IF(D235="","",IF(SUMPRODUCT(MAX(('Visit Log'!$E$5:$E$404=D235)*('Visit Log'!$AE$5:$AE$404="Completed")*'Visit Log'!$C$5:$C$404))=0,"",SUMPRODUCT(MAX(('Visit Log'!$E$5:$E$404=D235)*('Visit Log'!$AE$5:$AE$404="Completed")*'Visit Log'!$C$5:$C$404))))</f>
        <v>0</v>
      </c>
      <c r="AS235" s="31">
        <f>IF(D235="","",COUNTIFS('Health Log'!$D$5:$D$204,D235))</f>
        <v>0</v>
      </c>
      <c r="AT235" s="49">
        <f>IF(B235="","",TRIM(IF(Y235="Expired","VACCINATION EXPIRED. ",IF(LEFT(Y235,6)="Due in","Vaccination due. ",""))&amp;IF(AND(AN235&lt;&gt;"",AN235&lt;&gt;"None"),AN235&amp;". ","")&amp;IF(AND(AG235&lt;&gt;"",AG235&lt;&gt;"None",AG235&lt;&gt;"-"),"On medication. ","")&amp;IF(Q235&lt;&gt;"",IF(OR(Q235="None",Q235="None known"),"","Allergy: "&amp;Q235),"")))</f>
        <v>0</v>
      </c>
    </row>
    <row r="236" spans="1:46">
      <c r="A236" s="46">
        <f>IF(B236="","",PetPrefix&amp;TEXT(ROW()-4,"0000"))</f>
        <v>0</v>
      </c>
      <c r="D236" s="28">
        <f>IF(B236="","",B236&amp;" ("&amp;C236&amp;")")</f>
        <v>0</v>
      </c>
      <c r="E236" s="28">
        <f>IF(C236="","",IFERROR(INDEX(Clients!$A$5:$A$254,MATCH(C236,Clients!$B$5:$B$254,0)),""))</f>
        <v>0</v>
      </c>
      <c r="I236" s="32">
        <f>IF(H236="","",ROUND(YEARFRAC(H236,TODAY()),1))</f>
        <v>0</v>
      </c>
      <c r="Y236" s="49">
        <f>IF(X236="","",IF(X236&lt;TODAY(),"Expired",IF(X236-TODAY()&lt;=VaccAlertDays,"Due in "&amp;TEXT(X236-TODAY(),"0")&amp;" days","Valid")))</f>
        <v>0</v>
      </c>
      <c r="AQ236" s="31">
        <f>IF(D236="","",COUNTIFS('Visit Log'!$E$5:$E$404,D236,'Visit Log'!$AE$5:$AE$404,"Completed"))</f>
        <v>0</v>
      </c>
      <c r="AR236" s="21">
        <f>IF(D236="","",IF(SUMPRODUCT(MAX(('Visit Log'!$E$5:$E$404=D236)*('Visit Log'!$AE$5:$AE$404="Completed")*'Visit Log'!$C$5:$C$404))=0,"",SUMPRODUCT(MAX(('Visit Log'!$E$5:$E$404=D236)*('Visit Log'!$AE$5:$AE$404="Completed")*'Visit Log'!$C$5:$C$404))))</f>
        <v>0</v>
      </c>
      <c r="AS236" s="31">
        <f>IF(D236="","",COUNTIFS('Health Log'!$D$5:$D$204,D236))</f>
        <v>0</v>
      </c>
      <c r="AT236" s="49">
        <f>IF(B236="","",TRIM(IF(Y236="Expired","VACCINATION EXPIRED. ",IF(LEFT(Y236,6)="Due in","Vaccination due. ",""))&amp;IF(AND(AN236&lt;&gt;"",AN236&lt;&gt;"None"),AN236&amp;". ","")&amp;IF(AND(AG236&lt;&gt;"",AG236&lt;&gt;"None",AG236&lt;&gt;"-"),"On medication. ","")&amp;IF(Q236&lt;&gt;"",IF(OR(Q236="None",Q236="None known"),"","Allergy: "&amp;Q236),"")))</f>
        <v>0</v>
      </c>
    </row>
    <row r="237" spans="1:46">
      <c r="A237" s="46">
        <f>IF(B237="","",PetPrefix&amp;TEXT(ROW()-4,"0000"))</f>
        <v>0</v>
      </c>
      <c r="D237" s="28">
        <f>IF(B237="","",B237&amp;" ("&amp;C237&amp;")")</f>
        <v>0</v>
      </c>
      <c r="E237" s="28">
        <f>IF(C237="","",IFERROR(INDEX(Clients!$A$5:$A$254,MATCH(C237,Clients!$B$5:$B$254,0)),""))</f>
        <v>0</v>
      </c>
      <c r="I237" s="32">
        <f>IF(H237="","",ROUND(YEARFRAC(H237,TODAY()),1))</f>
        <v>0</v>
      </c>
      <c r="Y237" s="49">
        <f>IF(X237="","",IF(X237&lt;TODAY(),"Expired",IF(X237-TODAY()&lt;=VaccAlertDays,"Due in "&amp;TEXT(X237-TODAY(),"0")&amp;" days","Valid")))</f>
        <v>0</v>
      </c>
      <c r="AQ237" s="31">
        <f>IF(D237="","",COUNTIFS('Visit Log'!$E$5:$E$404,D237,'Visit Log'!$AE$5:$AE$404,"Completed"))</f>
        <v>0</v>
      </c>
      <c r="AR237" s="21">
        <f>IF(D237="","",IF(SUMPRODUCT(MAX(('Visit Log'!$E$5:$E$404=D237)*('Visit Log'!$AE$5:$AE$404="Completed")*'Visit Log'!$C$5:$C$404))=0,"",SUMPRODUCT(MAX(('Visit Log'!$E$5:$E$404=D237)*('Visit Log'!$AE$5:$AE$404="Completed")*'Visit Log'!$C$5:$C$404))))</f>
        <v>0</v>
      </c>
      <c r="AS237" s="31">
        <f>IF(D237="","",COUNTIFS('Health Log'!$D$5:$D$204,D237))</f>
        <v>0</v>
      </c>
      <c r="AT237" s="49">
        <f>IF(B237="","",TRIM(IF(Y237="Expired","VACCINATION EXPIRED. ",IF(LEFT(Y237,6)="Due in","Vaccination due. ",""))&amp;IF(AND(AN237&lt;&gt;"",AN237&lt;&gt;"None"),AN237&amp;". ","")&amp;IF(AND(AG237&lt;&gt;"",AG237&lt;&gt;"None",AG237&lt;&gt;"-"),"On medication. ","")&amp;IF(Q237&lt;&gt;"",IF(OR(Q237="None",Q237="None known"),"","Allergy: "&amp;Q237),"")))</f>
        <v>0</v>
      </c>
    </row>
    <row r="238" spans="1:46">
      <c r="A238" s="46">
        <f>IF(B238="","",PetPrefix&amp;TEXT(ROW()-4,"0000"))</f>
        <v>0</v>
      </c>
      <c r="D238" s="28">
        <f>IF(B238="","",B238&amp;" ("&amp;C238&amp;")")</f>
        <v>0</v>
      </c>
      <c r="E238" s="28">
        <f>IF(C238="","",IFERROR(INDEX(Clients!$A$5:$A$254,MATCH(C238,Clients!$B$5:$B$254,0)),""))</f>
        <v>0</v>
      </c>
      <c r="I238" s="32">
        <f>IF(H238="","",ROUND(YEARFRAC(H238,TODAY()),1))</f>
        <v>0</v>
      </c>
      <c r="Y238" s="49">
        <f>IF(X238="","",IF(X238&lt;TODAY(),"Expired",IF(X238-TODAY()&lt;=VaccAlertDays,"Due in "&amp;TEXT(X238-TODAY(),"0")&amp;" days","Valid")))</f>
        <v>0</v>
      </c>
      <c r="AQ238" s="31">
        <f>IF(D238="","",COUNTIFS('Visit Log'!$E$5:$E$404,D238,'Visit Log'!$AE$5:$AE$404,"Completed"))</f>
        <v>0</v>
      </c>
      <c r="AR238" s="21">
        <f>IF(D238="","",IF(SUMPRODUCT(MAX(('Visit Log'!$E$5:$E$404=D238)*('Visit Log'!$AE$5:$AE$404="Completed")*'Visit Log'!$C$5:$C$404))=0,"",SUMPRODUCT(MAX(('Visit Log'!$E$5:$E$404=D238)*('Visit Log'!$AE$5:$AE$404="Completed")*'Visit Log'!$C$5:$C$404))))</f>
        <v>0</v>
      </c>
      <c r="AS238" s="31">
        <f>IF(D238="","",COUNTIFS('Health Log'!$D$5:$D$204,D238))</f>
        <v>0</v>
      </c>
      <c r="AT238" s="49">
        <f>IF(B238="","",TRIM(IF(Y238="Expired","VACCINATION EXPIRED. ",IF(LEFT(Y238,6)="Due in","Vaccination due. ",""))&amp;IF(AND(AN238&lt;&gt;"",AN238&lt;&gt;"None"),AN238&amp;". ","")&amp;IF(AND(AG238&lt;&gt;"",AG238&lt;&gt;"None",AG238&lt;&gt;"-"),"On medication. ","")&amp;IF(Q238&lt;&gt;"",IF(OR(Q238="None",Q238="None known"),"","Allergy: "&amp;Q238),"")))</f>
        <v>0</v>
      </c>
    </row>
    <row r="239" spans="1:46">
      <c r="A239" s="46">
        <f>IF(B239="","",PetPrefix&amp;TEXT(ROW()-4,"0000"))</f>
        <v>0</v>
      </c>
      <c r="D239" s="28">
        <f>IF(B239="","",B239&amp;" ("&amp;C239&amp;")")</f>
        <v>0</v>
      </c>
      <c r="E239" s="28">
        <f>IF(C239="","",IFERROR(INDEX(Clients!$A$5:$A$254,MATCH(C239,Clients!$B$5:$B$254,0)),""))</f>
        <v>0</v>
      </c>
      <c r="I239" s="32">
        <f>IF(H239="","",ROUND(YEARFRAC(H239,TODAY()),1))</f>
        <v>0</v>
      </c>
      <c r="Y239" s="49">
        <f>IF(X239="","",IF(X239&lt;TODAY(),"Expired",IF(X239-TODAY()&lt;=VaccAlertDays,"Due in "&amp;TEXT(X239-TODAY(),"0")&amp;" days","Valid")))</f>
        <v>0</v>
      </c>
      <c r="AQ239" s="31">
        <f>IF(D239="","",COUNTIFS('Visit Log'!$E$5:$E$404,D239,'Visit Log'!$AE$5:$AE$404,"Completed"))</f>
        <v>0</v>
      </c>
      <c r="AR239" s="21">
        <f>IF(D239="","",IF(SUMPRODUCT(MAX(('Visit Log'!$E$5:$E$404=D239)*('Visit Log'!$AE$5:$AE$404="Completed")*'Visit Log'!$C$5:$C$404))=0,"",SUMPRODUCT(MAX(('Visit Log'!$E$5:$E$404=D239)*('Visit Log'!$AE$5:$AE$404="Completed")*'Visit Log'!$C$5:$C$404))))</f>
        <v>0</v>
      </c>
      <c r="AS239" s="31">
        <f>IF(D239="","",COUNTIFS('Health Log'!$D$5:$D$204,D239))</f>
        <v>0</v>
      </c>
      <c r="AT239" s="49">
        <f>IF(B239="","",TRIM(IF(Y239="Expired","VACCINATION EXPIRED. ",IF(LEFT(Y239,6)="Due in","Vaccination due. ",""))&amp;IF(AND(AN239&lt;&gt;"",AN239&lt;&gt;"None"),AN239&amp;". ","")&amp;IF(AND(AG239&lt;&gt;"",AG239&lt;&gt;"None",AG239&lt;&gt;"-"),"On medication. ","")&amp;IF(Q239&lt;&gt;"",IF(OR(Q239="None",Q239="None known"),"","Allergy: "&amp;Q239),"")))</f>
        <v>0</v>
      </c>
    </row>
    <row r="240" spans="1:46">
      <c r="A240" s="46">
        <f>IF(B240="","",PetPrefix&amp;TEXT(ROW()-4,"0000"))</f>
        <v>0</v>
      </c>
      <c r="D240" s="28">
        <f>IF(B240="","",B240&amp;" ("&amp;C240&amp;")")</f>
        <v>0</v>
      </c>
      <c r="E240" s="28">
        <f>IF(C240="","",IFERROR(INDEX(Clients!$A$5:$A$254,MATCH(C240,Clients!$B$5:$B$254,0)),""))</f>
        <v>0</v>
      </c>
      <c r="I240" s="32">
        <f>IF(H240="","",ROUND(YEARFRAC(H240,TODAY()),1))</f>
        <v>0</v>
      </c>
      <c r="Y240" s="49">
        <f>IF(X240="","",IF(X240&lt;TODAY(),"Expired",IF(X240-TODAY()&lt;=VaccAlertDays,"Due in "&amp;TEXT(X240-TODAY(),"0")&amp;" days","Valid")))</f>
        <v>0</v>
      </c>
      <c r="AQ240" s="31">
        <f>IF(D240="","",COUNTIFS('Visit Log'!$E$5:$E$404,D240,'Visit Log'!$AE$5:$AE$404,"Completed"))</f>
        <v>0</v>
      </c>
      <c r="AR240" s="21">
        <f>IF(D240="","",IF(SUMPRODUCT(MAX(('Visit Log'!$E$5:$E$404=D240)*('Visit Log'!$AE$5:$AE$404="Completed")*'Visit Log'!$C$5:$C$404))=0,"",SUMPRODUCT(MAX(('Visit Log'!$E$5:$E$404=D240)*('Visit Log'!$AE$5:$AE$404="Completed")*'Visit Log'!$C$5:$C$404))))</f>
        <v>0</v>
      </c>
      <c r="AS240" s="31">
        <f>IF(D240="","",COUNTIFS('Health Log'!$D$5:$D$204,D240))</f>
        <v>0</v>
      </c>
      <c r="AT240" s="49">
        <f>IF(B240="","",TRIM(IF(Y240="Expired","VACCINATION EXPIRED. ",IF(LEFT(Y240,6)="Due in","Vaccination due. ",""))&amp;IF(AND(AN240&lt;&gt;"",AN240&lt;&gt;"None"),AN240&amp;". ","")&amp;IF(AND(AG240&lt;&gt;"",AG240&lt;&gt;"None",AG240&lt;&gt;"-"),"On medication. ","")&amp;IF(Q240&lt;&gt;"",IF(OR(Q240="None",Q240="None known"),"","Allergy: "&amp;Q240),"")))</f>
        <v>0</v>
      </c>
    </row>
    <row r="241" spans="1:46">
      <c r="A241" s="46">
        <f>IF(B241="","",PetPrefix&amp;TEXT(ROW()-4,"0000"))</f>
        <v>0</v>
      </c>
      <c r="D241" s="28">
        <f>IF(B241="","",B241&amp;" ("&amp;C241&amp;")")</f>
        <v>0</v>
      </c>
      <c r="E241" s="28">
        <f>IF(C241="","",IFERROR(INDEX(Clients!$A$5:$A$254,MATCH(C241,Clients!$B$5:$B$254,0)),""))</f>
        <v>0</v>
      </c>
      <c r="I241" s="32">
        <f>IF(H241="","",ROUND(YEARFRAC(H241,TODAY()),1))</f>
        <v>0</v>
      </c>
      <c r="Y241" s="49">
        <f>IF(X241="","",IF(X241&lt;TODAY(),"Expired",IF(X241-TODAY()&lt;=VaccAlertDays,"Due in "&amp;TEXT(X241-TODAY(),"0")&amp;" days","Valid")))</f>
        <v>0</v>
      </c>
      <c r="AQ241" s="31">
        <f>IF(D241="","",COUNTIFS('Visit Log'!$E$5:$E$404,D241,'Visit Log'!$AE$5:$AE$404,"Completed"))</f>
        <v>0</v>
      </c>
      <c r="AR241" s="21">
        <f>IF(D241="","",IF(SUMPRODUCT(MAX(('Visit Log'!$E$5:$E$404=D241)*('Visit Log'!$AE$5:$AE$404="Completed")*'Visit Log'!$C$5:$C$404))=0,"",SUMPRODUCT(MAX(('Visit Log'!$E$5:$E$404=D241)*('Visit Log'!$AE$5:$AE$404="Completed")*'Visit Log'!$C$5:$C$404))))</f>
        <v>0</v>
      </c>
      <c r="AS241" s="31">
        <f>IF(D241="","",COUNTIFS('Health Log'!$D$5:$D$204,D241))</f>
        <v>0</v>
      </c>
      <c r="AT241" s="49">
        <f>IF(B241="","",TRIM(IF(Y241="Expired","VACCINATION EXPIRED. ",IF(LEFT(Y241,6)="Due in","Vaccination due. ",""))&amp;IF(AND(AN241&lt;&gt;"",AN241&lt;&gt;"None"),AN241&amp;". ","")&amp;IF(AND(AG241&lt;&gt;"",AG241&lt;&gt;"None",AG241&lt;&gt;"-"),"On medication. ","")&amp;IF(Q241&lt;&gt;"",IF(OR(Q241="None",Q241="None known"),"","Allergy: "&amp;Q241),"")))</f>
        <v>0</v>
      </c>
    </row>
    <row r="242" spans="1:46">
      <c r="A242" s="46">
        <f>IF(B242="","",PetPrefix&amp;TEXT(ROW()-4,"0000"))</f>
        <v>0</v>
      </c>
      <c r="D242" s="28">
        <f>IF(B242="","",B242&amp;" ("&amp;C242&amp;")")</f>
        <v>0</v>
      </c>
      <c r="E242" s="28">
        <f>IF(C242="","",IFERROR(INDEX(Clients!$A$5:$A$254,MATCH(C242,Clients!$B$5:$B$254,0)),""))</f>
        <v>0</v>
      </c>
      <c r="I242" s="32">
        <f>IF(H242="","",ROUND(YEARFRAC(H242,TODAY()),1))</f>
        <v>0</v>
      </c>
      <c r="Y242" s="49">
        <f>IF(X242="","",IF(X242&lt;TODAY(),"Expired",IF(X242-TODAY()&lt;=VaccAlertDays,"Due in "&amp;TEXT(X242-TODAY(),"0")&amp;" days","Valid")))</f>
        <v>0</v>
      </c>
      <c r="AQ242" s="31">
        <f>IF(D242="","",COUNTIFS('Visit Log'!$E$5:$E$404,D242,'Visit Log'!$AE$5:$AE$404,"Completed"))</f>
        <v>0</v>
      </c>
      <c r="AR242" s="21">
        <f>IF(D242="","",IF(SUMPRODUCT(MAX(('Visit Log'!$E$5:$E$404=D242)*('Visit Log'!$AE$5:$AE$404="Completed")*'Visit Log'!$C$5:$C$404))=0,"",SUMPRODUCT(MAX(('Visit Log'!$E$5:$E$404=D242)*('Visit Log'!$AE$5:$AE$404="Completed")*'Visit Log'!$C$5:$C$404))))</f>
        <v>0</v>
      </c>
      <c r="AS242" s="31">
        <f>IF(D242="","",COUNTIFS('Health Log'!$D$5:$D$204,D242))</f>
        <v>0</v>
      </c>
      <c r="AT242" s="49">
        <f>IF(B242="","",TRIM(IF(Y242="Expired","VACCINATION EXPIRED. ",IF(LEFT(Y242,6)="Due in","Vaccination due. ",""))&amp;IF(AND(AN242&lt;&gt;"",AN242&lt;&gt;"None"),AN242&amp;". ","")&amp;IF(AND(AG242&lt;&gt;"",AG242&lt;&gt;"None",AG242&lt;&gt;"-"),"On medication. ","")&amp;IF(Q242&lt;&gt;"",IF(OR(Q242="None",Q242="None known"),"","Allergy: "&amp;Q242),"")))</f>
        <v>0</v>
      </c>
    </row>
    <row r="243" spans="1:46">
      <c r="A243" s="46">
        <f>IF(B243="","",PetPrefix&amp;TEXT(ROW()-4,"0000"))</f>
        <v>0</v>
      </c>
      <c r="D243" s="28">
        <f>IF(B243="","",B243&amp;" ("&amp;C243&amp;")")</f>
        <v>0</v>
      </c>
      <c r="E243" s="28">
        <f>IF(C243="","",IFERROR(INDEX(Clients!$A$5:$A$254,MATCH(C243,Clients!$B$5:$B$254,0)),""))</f>
        <v>0</v>
      </c>
      <c r="I243" s="32">
        <f>IF(H243="","",ROUND(YEARFRAC(H243,TODAY()),1))</f>
        <v>0</v>
      </c>
      <c r="Y243" s="49">
        <f>IF(X243="","",IF(X243&lt;TODAY(),"Expired",IF(X243-TODAY()&lt;=VaccAlertDays,"Due in "&amp;TEXT(X243-TODAY(),"0")&amp;" days","Valid")))</f>
        <v>0</v>
      </c>
      <c r="AQ243" s="31">
        <f>IF(D243="","",COUNTIFS('Visit Log'!$E$5:$E$404,D243,'Visit Log'!$AE$5:$AE$404,"Completed"))</f>
        <v>0</v>
      </c>
      <c r="AR243" s="21">
        <f>IF(D243="","",IF(SUMPRODUCT(MAX(('Visit Log'!$E$5:$E$404=D243)*('Visit Log'!$AE$5:$AE$404="Completed")*'Visit Log'!$C$5:$C$404))=0,"",SUMPRODUCT(MAX(('Visit Log'!$E$5:$E$404=D243)*('Visit Log'!$AE$5:$AE$404="Completed")*'Visit Log'!$C$5:$C$404))))</f>
        <v>0</v>
      </c>
      <c r="AS243" s="31">
        <f>IF(D243="","",COUNTIFS('Health Log'!$D$5:$D$204,D243))</f>
        <v>0</v>
      </c>
      <c r="AT243" s="49">
        <f>IF(B243="","",TRIM(IF(Y243="Expired","VACCINATION EXPIRED. ",IF(LEFT(Y243,6)="Due in","Vaccination due. ",""))&amp;IF(AND(AN243&lt;&gt;"",AN243&lt;&gt;"None"),AN243&amp;". ","")&amp;IF(AND(AG243&lt;&gt;"",AG243&lt;&gt;"None",AG243&lt;&gt;"-"),"On medication. ","")&amp;IF(Q243&lt;&gt;"",IF(OR(Q243="None",Q243="None known"),"","Allergy: "&amp;Q243),"")))</f>
        <v>0</v>
      </c>
    </row>
    <row r="244" spans="1:46">
      <c r="A244" s="46">
        <f>IF(B244="","",PetPrefix&amp;TEXT(ROW()-4,"0000"))</f>
        <v>0</v>
      </c>
      <c r="D244" s="28">
        <f>IF(B244="","",B244&amp;" ("&amp;C244&amp;")")</f>
        <v>0</v>
      </c>
      <c r="E244" s="28">
        <f>IF(C244="","",IFERROR(INDEX(Clients!$A$5:$A$254,MATCH(C244,Clients!$B$5:$B$254,0)),""))</f>
        <v>0</v>
      </c>
      <c r="I244" s="32">
        <f>IF(H244="","",ROUND(YEARFRAC(H244,TODAY()),1))</f>
        <v>0</v>
      </c>
      <c r="Y244" s="49">
        <f>IF(X244="","",IF(X244&lt;TODAY(),"Expired",IF(X244-TODAY()&lt;=VaccAlertDays,"Due in "&amp;TEXT(X244-TODAY(),"0")&amp;" days","Valid")))</f>
        <v>0</v>
      </c>
      <c r="AQ244" s="31">
        <f>IF(D244="","",COUNTIFS('Visit Log'!$E$5:$E$404,D244,'Visit Log'!$AE$5:$AE$404,"Completed"))</f>
        <v>0</v>
      </c>
      <c r="AR244" s="21">
        <f>IF(D244="","",IF(SUMPRODUCT(MAX(('Visit Log'!$E$5:$E$404=D244)*('Visit Log'!$AE$5:$AE$404="Completed")*'Visit Log'!$C$5:$C$404))=0,"",SUMPRODUCT(MAX(('Visit Log'!$E$5:$E$404=D244)*('Visit Log'!$AE$5:$AE$404="Completed")*'Visit Log'!$C$5:$C$404))))</f>
        <v>0</v>
      </c>
      <c r="AS244" s="31">
        <f>IF(D244="","",COUNTIFS('Health Log'!$D$5:$D$204,D244))</f>
        <v>0</v>
      </c>
      <c r="AT244" s="49">
        <f>IF(B244="","",TRIM(IF(Y244="Expired","VACCINATION EXPIRED. ",IF(LEFT(Y244,6)="Due in","Vaccination due. ",""))&amp;IF(AND(AN244&lt;&gt;"",AN244&lt;&gt;"None"),AN244&amp;". ","")&amp;IF(AND(AG244&lt;&gt;"",AG244&lt;&gt;"None",AG244&lt;&gt;"-"),"On medication. ","")&amp;IF(Q244&lt;&gt;"",IF(OR(Q244="None",Q244="None known"),"","Allergy: "&amp;Q244),"")))</f>
        <v>0</v>
      </c>
    </row>
    <row r="245" spans="1:46">
      <c r="A245" s="46">
        <f>IF(B245="","",PetPrefix&amp;TEXT(ROW()-4,"0000"))</f>
        <v>0</v>
      </c>
      <c r="D245" s="28">
        <f>IF(B245="","",B245&amp;" ("&amp;C245&amp;")")</f>
        <v>0</v>
      </c>
      <c r="E245" s="28">
        <f>IF(C245="","",IFERROR(INDEX(Clients!$A$5:$A$254,MATCH(C245,Clients!$B$5:$B$254,0)),""))</f>
        <v>0</v>
      </c>
      <c r="I245" s="32">
        <f>IF(H245="","",ROUND(YEARFRAC(H245,TODAY()),1))</f>
        <v>0</v>
      </c>
      <c r="Y245" s="49">
        <f>IF(X245="","",IF(X245&lt;TODAY(),"Expired",IF(X245-TODAY()&lt;=VaccAlertDays,"Due in "&amp;TEXT(X245-TODAY(),"0")&amp;" days","Valid")))</f>
        <v>0</v>
      </c>
      <c r="AQ245" s="31">
        <f>IF(D245="","",COUNTIFS('Visit Log'!$E$5:$E$404,D245,'Visit Log'!$AE$5:$AE$404,"Completed"))</f>
        <v>0</v>
      </c>
      <c r="AR245" s="21">
        <f>IF(D245="","",IF(SUMPRODUCT(MAX(('Visit Log'!$E$5:$E$404=D245)*('Visit Log'!$AE$5:$AE$404="Completed")*'Visit Log'!$C$5:$C$404))=0,"",SUMPRODUCT(MAX(('Visit Log'!$E$5:$E$404=D245)*('Visit Log'!$AE$5:$AE$404="Completed")*'Visit Log'!$C$5:$C$404))))</f>
        <v>0</v>
      </c>
      <c r="AS245" s="31">
        <f>IF(D245="","",COUNTIFS('Health Log'!$D$5:$D$204,D245))</f>
        <v>0</v>
      </c>
      <c r="AT245" s="49">
        <f>IF(B245="","",TRIM(IF(Y245="Expired","VACCINATION EXPIRED. ",IF(LEFT(Y245,6)="Due in","Vaccination due. ",""))&amp;IF(AND(AN245&lt;&gt;"",AN245&lt;&gt;"None"),AN245&amp;". ","")&amp;IF(AND(AG245&lt;&gt;"",AG245&lt;&gt;"None",AG245&lt;&gt;"-"),"On medication. ","")&amp;IF(Q245&lt;&gt;"",IF(OR(Q245="None",Q245="None known"),"","Allergy: "&amp;Q245),"")))</f>
        <v>0</v>
      </c>
    </row>
    <row r="246" spans="1:46">
      <c r="A246" s="46">
        <f>IF(B246="","",PetPrefix&amp;TEXT(ROW()-4,"0000"))</f>
        <v>0</v>
      </c>
      <c r="D246" s="28">
        <f>IF(B246="","",B246&amp;" ("&amp;C246&amp;")")</f>
        <v>0</v>
      </c>
      <c r="E246" s="28">
        <f>IF(C246="","",IFERROR(INDEX(Clients!$A$5:$A$254,MATCH(C246,Clients!$B$5:$B$254,0)),""))</f>
        <v>0</v>
      </c>
      <c r="I246" s="32">
        <f>IF(H246="","",ROUND(YEARFRAC(H246,TODAY()),1))</f>
        <v>0</v>
      </c>
      <c r="Y246" s="49">
        <f>IF(X246="","",IF(X246&lt;TODAY(),"Expired",IF(X246-TODAY()&lt;=VaccAlertDays,"Due in "&amp;TEXT(X246-TODAY(),"0")&amp;" days","Valid")))</f>
        <v>0</v>
      </c>
      <c r="AQ246" s="31">
        <f>IF(D246="","",COUNTIFS('Visit Log'!$E$5:$E$404,D246,'Visit Log'!$AE$5:$AE$404,"Completed"))</f>
        <v>0</v>
      </c>
      <c r="AR246" s="21">
        <f>IF(D246="","",IF(SUMPRODUCT(MAX(('Visit Log'!$E$5:$E$404=D246)*('Visit Log'!$AE$5:$AE$404="Completed")*'Visit Log'!$C$5:$C$404))=0,"",SUMPRODUCT(MAX(('Visit Log'!$E$5:$E$404=D246)*('Visit Log'!$AE$5:$AE$404="Completed")*'Visit Log'!$C$5:$C$404))))</f>
        <v>0</v>
      </c>
      <c r="AS246" s="31">
        <f>IF(D246="","",COUNTIFS('Health Log'!$D$5:$D$204,D246))</f>
        <v>0</v>
      </c>
      <c r="AT246" s="49">
        <f>IF(B246="","",TRIM(IF(Y246="Expired","VACCINATION EXPIRED. ",IF(LEFT(Y246,6)="Due in","Vaccination due. ",""))&amp;IF(AND(AN246&lt;&gt;"",AN246&lt;&gt;"None"),AN246&amp;". ","")&amp;IF(AND(AG246&lt;&gt;"",AG246&lt;&gt;"None",AG246&lt;&gt;"-"),"On medication. ","")&amp;IF(Q246&lt;&gt;"",IF(OR(Q246="None",Q246="None known"),"","Allergy: "&amp;Q246),"")))</f>
        <v>0</v>
      </c>
    </row>
    <row r="247" spans="1:46">
      <c r="A247" s="46">
        <f>IF(B247="","",PetPrefix&amp;TEXT(ROW()-4,"0000"))</f>
        <v>0</v>
      </c>
      <c r="D247" s="28">
        <f>IF(B247="","",B247&amp;" ("&amp;C247&amp;")")</f>
        <v>0</v>
      </c>
      <c r="E247" s="28">
        <f>IF(C247="","",IFERROR(INDEX(Clients!$A$5:$A$254,MATCH(C247,Clients!$B$5:$B$254,0)),""))</f>
        <v>0</v>
      </c>
      <c r="I247" s="32">
        <f>IF(H247="","",ROUND(YEARFRAC(H247,TODAY()),1))</f>
        <v>0</v>
      </c>
      <c r="Y247" s="49">
        <f>IF(X247="","",IF(X247&lt;TODAY(),"Expired",IF(X247-TODAY()&lt;=VaccAlertDays,"Due in "&amp;TEXT(X247-TODAY(),"0")&amp;" days","Valid")))</f>
        <v>0</v>
      </c>
      <c r="AQ247" s="31">
        <f>IF(D247="","",COUNTIFS('Visit Log'!$E$5:$E$404,D247,'Visit Log'!$AE$5:$AE$404,"Completed"))</f>
        <v>0</v>
      </c>
      <c r="AR247" s="21">
        <f>IF(D247="","",IF(SUMPRODUCT(MAX(('Visit Log'!$E$5:$E$404=D247)*('Visit Log'!$AE$5:$AE$404="Completed")*'Visit Log'!$C$5:$C$404))=0,"",SUMPRODUCT(MAX(('Visit Log'!$E$5:$E$404=D247)*('Visit Log'!$AE$5:$AE$404="Completed")*'Visit Log'!$C$5:$C$404))))</f>
        <v>0</v>
      </c>
      <c r="AS247" s="31">
        <f>IF(D247="","",COUNTIFS('Health Log'!$D$5:$D$204,D247))</f>
        <v>0</v>
      </c>
      <c r="AT247" s="49">
        <f>IF(B247="","",TRIM(IF(Y247="Expired","VACCINATION EXPIRED. ",IF(LEFT(Y247,6)="Due in","Vaccination due. ",""))&amp;IF(AND(AN247&lt;&gt;"",AN247&lt;&gt;"None"),AN247&amp;". ","")&amp;IF(AND(AG247&lt;&gt;"",AG247&lt;&gt;"None",AG247&lt;&gt;"-"),"On medication. ","")&amp;IF(Q247&lt;&gt;"",IF(OR(Q247="None",Q247="None known"),"","Allergy: "&amp;Q247),"")))</f>
        <v>0</v>
      </c>
    </row>
    <row r="248" spans="1:46">
      <c r="A248" s="46">
        <f>IF(B248="","",PetPrefix&amp;TEXT(ROW()-4,"0000"))</f>
        <v>0</v>
      </c>
      <c r="D248" s="28">
        <f>IF(B248="","",B248&amp;" ("&amp;C248&amp;")")</f>
        <v>0</v>
      </c>
      <c r="E248" s="28">
        <f>IF(C248="","",IFERROR(INDEX(Clients!$A$5:$A$254,MATCH(C248,Clients!$B$5:$B$254,0)),""))</f>
        <v>0</v>
      </c>
      <c r="I248" s="32">
        <f>IF(H248="","",ROUND(YEARFRAC(H248,TODAY()),1))</f>
        <v>0</v>
      </c>
      <c r="Y248" s="49">
        <f>IF(X248="","",IF(X248&lt;TODAY(),"Expired",IF(X248-TODAY()&lt;=VaccAlertDays,"Due in "&amp;TEXT(X248-TODAY(),"0")&amp;" days","Valid")))</f>
        <v>0</v>
      </c>
      <c r="AQ248" s="31">
        <f>IF(D248="","",COUNTIFS('Visit Log'!$E$5:$E$404,D248,'Visit Log'!$AE$5:$AE$404,"Completed"))</f>
        <v>0</v>
      </c>
      <c r="AR248" s="21">
        <f>IF(D248="","",IF(SUMPRODUCT(MAX(('Visit Log'!$E$5:$E$404=D248)*('Visit Log'!$AE$5:$AE$404="Completed")*'Visit Log'!$C$5:$C$404))=0,"",SUMPRODUCT(MAX(('Visit Log'!$E$5:$E$404=D248)*('Visit Log'!$AE$5:$AE$404="Completed")*'Visit Log'!$C$5:$C$404))))</f>
        <v>0</v>
      </c>
      <c r="AS248" s="31">
        <f>IF(D248="","",COUNTIFS('Health Log'!$D$5:$D$204,D248))</f>
        <v>0</v>
      </c>
      <c r="AT248" s="49">
        <f>IF(B248="","",TRIM(IF(Y248="Expired","VACCINATION EXPIRED. ",IF(LEFT(Y248,6)="Due in","Vaccination due. ",""))&amp;IF(AND(AN248&lt;&gt;"",AN248&lt;&gt;"None"),AN248&amp;". ","")&amp;IF(AND(AG248&lt;&gt;"",AG248&lt;&gt;"None",AG248&lt;&gt;"-"),"On medication. ","")&amp;IF(Q248&lt;&gt;"",IF(OR(Q248="None",Q248="None known"),"","Allergy: "&amp;Q248),"")))</f>
        <v>0</v>
      </c>
    </row>
    <row r="249" spans="1:46">
      <c r="A249" s="46">
        <f>IF(B249="","",PetPrefix&amp;TEXT(ROW()-4,"0000"))</f>
        <v>0</v>
      </c>
      <c r="D249" s="28">
        <f>IF(B249="","",B249&amp;" ("&amp;C249&amp;")")</f>
        <v>0</v>
      </c>
      <c r="E249" s="28">
        <f>IF(C249="","",IFERROR(INDEX(Clients!$A$5:$A$254,MATCH(C249,Clients!$B$5:$B$254,0)),""))</f>
        <v>0</v>
      </c>
      <c r="I249" s="32">
        <f>IF(H249="","",ROUND(YEARFRAC(H249,TODAY()),1))</f>
        <v>0</v>
      </c>
      <c r="Y249" s="49">
        <f>IF(X249="","",IF(X249&lt;TODAY(),"Expired",IF(X249-TODAY()&lt;=VaccAlertDays,"Due in "&amp;TEXT(X249-TODAY(),"0")&amp;" days","Valid")))</f>
        <v>0</v>
      </c>
      <c r="AQ249" s="31">
        <f>IF(D249="","",COUNTIFS('Visit Log'!$E$5:$E$404,D249,'Visit Log'!$AE$5:$AE$404,"Completed"))</f>
        <v>0</v>
      </c>
      <c r="AR249" s="21">
        <f>IF(D249="","",IF(SUMPRODUCT(MAX(('Visit Log'!$E$5:$E$404=D249)*('Visit Log'!$AE$5:$AE$404="Completed")*'Visit Log'!$C$5:$C$404))=0,"",SUMPRODUCT(MAX(('Visit Log'!$E$5:$E$404=D249)*('Visit Log'!$AE$5:$AE$404="Completed")*'Visit Log'!$C$5:$C$404))))</f>
        <v>0</v>
      </c>
      <c r="AS249" s="31">
        <f>IF(D249="","",COUNTIFS('Health Log'!$D$5:$D$204,D249))</f>
        <v>0</v>
      </c>
      <c r="AT249" s="49">
        <f>IF(B249="","",TRIM(IF(Y249="Expired","VACCINATION EXPIRED. ",IF(LEFT(Y249,6)="Due in","Vaccination due. ",""))&amp;IF(AND(AN249&lt;&gt;"",AN249&lt;&gt;"None"),AN249&amp;". ","")&amp;IF(AND(AG249&lt;&gt;"",AG249&lt;&gt;"None",AG249&lt;&gt;"-"),"On medication. ","")&amp;IF(Q249&lt;&gt;"",IF(OR(Q249="None",Q249="None known"),"","Allergy: "&amp;Q249),"")))</f>
        <v>0</v>
      </c>
    </row>
    <row r="250" spans="1:46">
      <c r="A250" s="46">
        <f>IF(B250="","",PetPrefix&amp;TEXT(ROW()-4,"0000"))</f>
        <v>0</v>
      </c>
      <c r="D250" s="28">
        <f>IF(B250="","",B250&amp;" ("&amp;C250&amp;")")</f>
        <v>0</v>
      </c>
      <c r="E250" s="28">
        <f>IF(C250="","",IFERROR(INDEX(Clients!$A$5:$A$254,MATCH(C250,Clients!$B$5:$B$254,0)),""))</f>
        <v>0</v>
      </c>
      <c r="I250" s="32">
        <f>IF(H250="","",ROUND(YEARFRAC(H250,TODAY()),1))</f>
        <v>0</v>
      </c>
      <c r="Y250" s="49">
        <f>IF(X250="","",IF(X250&lt;TODAY(),"Expired",IF(X250-TODAY()&lt;=VaccAlertDays,"Due in "&amp;TEXT(X250-TODAY(),"0")&amp;" days","Valid")))</f>
        <v>0</v>
      </c>
      <c r="AQ250" s="31">
        <f>IF(D250="","",COUNTIFS('Visit Log'!$E$5:$E$404,D250,'Visit Log'!$AE$5:$AE$404,"Completed"))</f>
        <v>0</v>
      </c>
      <c r="AR250" s="21">
        <f>IF(D250="","",IF(SUMPRODUCT(MAX(('Visit Log'!$E$5:$E$404=D250)*('Visit Log'!$AE$5:$AE$404="Completed")*'Visit Log'!$C$5:$C$404))=0,"",SUMPRODUCT(MAX(('Visit Log'!$E$5:$E$404=D250)*('Visit Log'!$AE$5:$AE$404="Completed")*'Visit Log'!$C$5:$C$404))))</f>
        <v>0</v>
      </c>
      <c r="AS250" s="31">
        <f>IF(D250="","",COUNTIFS('Health Log'!$D$5:$D$204,D250))</f>
        <v>0</v>
      </c>
      <c r="AT250" s="49">
        <f>IF(B250="","",TRIM(IF(Y250="Expired","VACCINATION EXPIRED. ",IF(LEFT(Y250,6)="Due in","Vaccination due. ",""))&amp;IF(AND(AN250&lt;&gt;"",AN250&lt;&gt;"None"),AN250&amp;". ","")&amp;IF(AND(AG250&lt;&gt;"",AG250&lt;&gt;"None",AG250&lt;&gt;"-"),"On medication. ","")&amp;IF(Q250&lt;&gt;"",IF(OR(Q250="None",Q250="None known"),"","Allergy: "&amp;Q250),"")))</f>
        <v>0</v>
      </c>
    </row>
    <row r="251" spans="1:46">
      <c r="A251" s="46">
        <f>IF(B251="","",PetPrefix&amp;TEXT(ROW()-4,"0000"))</f>
        <v>0</v>
      </c>
      <c r="D251" s="28">
        <f>IF(B251="","",B251&amp;" ("&amp;C251&amp;")")</f>
        <v>0</v>
      </c>
      <c r="E251" s="28">
        <f>IF(C251="","",IFERROR(INDEX(Clients!$A$5:$A$254,MATCH(C251,Clients!$B$5:$B$254,0)),""))</f>
        <v>0</v>
      </c>
      <c r="I251" s="32">
        <f>IF(H251="","",ROUND(YEARFRAC(H251,TODAY()),1))</f>
        <v>0</v>
      </c>
      <c r="Y251" s="49">
        <f>IF(X251="","",IF(X251&lt;TODAY(),"Expired",IF(X251-TODAY()&lt;=VaccAlertDays,"Due in "&amp;TEXT(X251-TODAY(),"0")&amp;" days","Valid")))</f>
        <v>0</v>
      </c>
      <c r="AQ251" s="31">
        <f>IF(D251="","",COUNTIFS('Visit Log'!$E$5:$E$404,D251,'Visit Log'!$AE$5:$AE$404,"Completed"))</f>
        <v>0</v>
      </c>
      <c r="AR251" s="21">
        <f>IF(D251="","",IF(SUMPRODUCT(MAX(('Visit Log'!$E$5:$E$404=D251)*('Visit Log'!$AE$5:$AE$404="Completed")*'Visit Log'!$C$5:$C$404))=0,"",SUMPRODUCT(MAX(('Visit Log'!$E$5:$E$404=D251)*('Visit Log'!$AE$5:$AE$404="Completed")*'Visit Log'!$C$5:$C$404))))</f>
        <v>0</v>
      </c>
      <c r="AS251" s="31">
        <f>IF(D251="","",COUNTIFS('Health Log'!$D$5:$D$204,D251))</f>
        <v>0</v>
      </c>
      <c r="AT251" s="49">
        <f>IF(B251="","",TRIM(IF(Y251="Expired","VACCINATION EXPIRED. ",IF(LEFT(Y251,6)="Due in","Vaccination due. ",""))&amp;IF(AND(AN251&lt;&gt;"",AN251&lt;&gt;"None"),AN251&amp;". ","")&amp;IF(AND(AG251&lt;&gt;"",AG251&lt;&gt;"None",AG251&lt;&gt;"-"),"On medication. ","")&amp;IF(Q251&lt;&gt;"",IF(OR(Q251="None",Q251="None known"),"","Allergy: "&amp;Q251),"")))</f>
        <v>0</v>
      </c>
    </row>
    <row r="252" spans="1:46">
      <c r="A252" s="46">
        <f>IF(B252="","",PetPrefix&amp;TEXT(ROW()-4,"0000"))</f>
        <v>0</v>
      </c>
      <c r="D252" s="28">
        <f>IF(B252="","",B252&amp;" ("&amp;C252&amp;")")</f>
        <v>0</v>
      </c>
      <c r="E252" s="28">
        <f>IF(C252="","",IFERROR(INDEX(Clients!$A$5:$A$254,MATCH(C252,Clients!$B$5:$B$254,0)),""))</f>
        <v>0</v>
      </c>
      <c r="I252" s="32">
        <f>IF(H252="","",ROUND(YEARFRAC(H252,TODAY()),1))</f>
        <v>0</v>
      </c>
      <c r="Y252" s="49">
        <f>IF(X252="","",IF(X252&lt;TODAY(),"Expired",IF(X252-TODAY()&lt;=VaccAlertDays,"Due in "&amp;TEXT(X252-TODAY(),"0")&amp;" days","Valid")))</f>
        <v>0</v>
      </c>
      <c r="AQ252" s="31">
        <f>IF(D252="","",COUNTIFS('Visit Log'!$E$5:$E$404,D252,'Visit Log'!$AE$5:$AE$404,"Completed"))</f>
        <v>0</v>
      </c>
      <c r="AR252" s="21">
        <f>IF(D252="","",IF(SUMPRODUCT(MAX(('Visit Log'!$E$5:$E$404=D252)*('Visit Log'!$AE$5:$AE$404="Completed")*'Visit Log'!$C$5:$C$404))=0,"",SUMPRODUCT(MAX(('Visit Log'!$E$5:$E$404=D252)*('Visit Log'!$AE$5:$AE$404="Completed")*'Visit Log'!$C$5:$C$404))))</f>
        <v>0</v>
      </c>
      <c r="AS252" s="31">
        <f>IF(D252="","",COUNTIFS('Health Log'!$D$5:$D$204,D252))</f>
        <v>0</v>
      </c>
      <c r="AT252" s="49">
        <f>IF(B252="","",TRIM(IF(Y252="Expired","VACCINATION EXPIRED. ",IF(LEFT(Y252,6)="Due in","Vaccination due. ",""))&amp;IF(AND(AN252&lt;&gt;"",AN252&lt;&gt;"None"),AN252&amp;". ","")&amp;IF(AND(AG252&lt;&gt;"",AG252&lt;&gt;"None",AG252&lt;&gt;"-"),"On medication. ","")&amp;IF(Q252&lt;&gt;"",IF(OR(Q252="None",Q252="None known"),"","Allergy: "&amp;Q252),"")))</f>
        <v>0</v>
      </c>
    </row>
    <row r="253" spans="1:46">
      <c r="A253" s="46">
        <f>IF(B253="","",PetPrefix&amp;TEXT(ROW()-4,"0000"))</f>
        <v>0</v>
      </c>
      <c r="D253" s="28">
        <f>IF(B253="","",B253&amp;" ("&amp;C253&amp;")")</f>
        <v>0</v>
      </c>
      <c r="E253" s="28">
        <f>IF(C253="","",IFERROR(INDEX(Clients!$A$5:$A$254,MATCH(C253,Clients!$B$5:$B$254,0)),""))</f>
        <v>0</v>
      </c>
      <c r="I253" s="32">
        <f>IF(H253="","",ROUND(YEARFRAC(H253,TODAY()),1))</f>
        <v>0</v>
      </c>
      <c r="Y253" s="49">
        <f>IF(X253="","",IF(X253&lt;TODAY(),"Expired",IF(X253-TODAY()&lt;=VaccAlertDays,"Due in "&amp;TEXT(X253-TODAY(),"0")&amp;" days","Valid")))</f>
        <v>0</v>
      </c>
      <c r="AQ253" s="31">
        <f>IF(D253="","",COUNTIFS('Visit Log'!$E$5:$E$404,D253,'Visit Log'!$AE$5:$AE$404,"Completed"))</f>
        <v>0</v>
      </c>
      <c r="AR253" s="21">
        <f>IF(D253="","",IF(SUMPRODUCT(MAX(('Visit Log'!$E$5:$E$404=D253)*('Visit Log'!$AE$5:$AE$404="Completed")*'Visit Log'!$C$5:$C$404))=0,"",SUMPRODUCT(MAX(('Visit Log'!$E$5:$E$404=D253)*('Visit Log'!$AE$5:$AE$404="Completed")*'Visit Log'!$C$5:$C$404))))</f>
        <v>0</v>
      </c>
      <c r="AS253" s="31">
        <f>IF(D253="","",COUNTIFS('Health Log'!$D$5:$D$204,D253))</f>
        <v>0</v>
      </c>
      <c r="AT253" s="49">
        <f>IF(B253="","",TRIM(IF(Y253="Expired","VACCINATION EXPIRED. ",IF(LEFT(Y253,6)="Due in","Vaccination due. ",""))&amp;IF(AND(AN253&lt;&gt;"",AN253&lt;&gt;"None"),AN253&amp;". ","")&amp;IF(AND(AG253&lt;&gt;"",AG253&lt;&gt;"None",AG253&lt;&gt;"-"),"On medication. ","")&amp;IF(Q253&lt;&gt;"",IF(OR(Q253="None",Q253="None known"),"","Allergy: "&amp;Q253),"")))</f>
        <v>0</v>
      </c>
    </row>
    <row r="254" spans="1:46">
      <c r="A254" s="46">
        <f>IF(B254="","",PetPrefix&amp;TEXT(ROW()-4,"0000"))</f>
        <v>0</v>
      </c>
      <c r="D254" s="28">
        <f>IF(B254="","",B254&amp;" ("&amp;C254&amp;")")</f>
        <v>0</v>
      </c>
      <c r="E254" s="28">
        <f>IF(C254="","",IFERROR(INDEX(Clients!$A$5:$A$254,MATCH(C254,Clients!$B$5:$B$254,0)),""))</f>
        <v>0</v>
      </c>
      <c r="I254" s="32">
        <f>IF(H254="","",ROUND(YEARFRAC(H254,TODAY()),1))</f>
        <v>0</v>
      </c>
      <c r="Y254" s="49">
        <f>IF(X254="","",IF(X254&lt;TODAY(),"Expired",IF(X254-TODAY()&lt;=VaccAlertDays,"Due in "&amp;TEXT(X254-TODAY(),"0")&amp;" days","Valid")))</f>
        <v>0</v>
      </c>
      <c r="AQ254" s="31">
        <f>IF(D254="","",COUNTIFS('Visit Log'!$E$5:$E$404,D254,'Visit Log'!$AE$5:$AE$404,"Completed"))</f>
        <v>0</v>
      </c>
      <c r="AR254" s="21">
        <f>IF(D254="","",IF(SUMPRODUCT(MAX(('Visit Log'!$E$5:$E$404=D254)*('Visit Log'!$AE$5:$AE$404="Completed")*'Visit Log'!$C$5:$C$404))=0,"",SUMPRODUCT(MAX(('Visit Log'!$E$5:$E$404=D254)*('Visit Log'!$AE$5:$AE$404="Completed")*'Visit Log'!$C$5:$C$404))))</f>
        <v>0</v>
      </c>
      <c r="AS254" s="31">
        <f>IF(D254="","",COUNTIFS('Health Log'!$D$5:$D$204,D254))</f>
        <v>0</v>
      </c>
      <c r="AT254" s="49">
        <f>IF(B254="","",TRIM(IF(Y254="Expired","VACCINATION EXPIRED. ",IF(LEFT(Y254,6)="Due in","Vaccination due. ",""))&amp;IF(AND(AN254&lt;&gt;"",AN254&lt;&gt;"None"),AN254&amp;". ","")&amp;IF(AND(AG254&lt;&gt;"",AG254&lt;&gt;"None",AG254&lt;&gt;"-"),"On medication. ","")&amp;IF(Q254&lt;&gt;"",IF(OR(Q254="None",Q254="None known"),"","Allergy: "&amp;Q254),"")))</f>
        <v>0</v>
      </c>
    </row>
  </sheetData>
  <sheetProtection password="EC7C" sheet="1" objects="1" scenarios="1" formatCells="0" formatColumns="0" formatRows="0" insertRows="0" insertHyperlinks="0" deleteRows="0" autoFilter="0"/>
  <autoFilter ref="A4:AT254"/>
  <mergeCells count="13">
    <mergeCell ref="A1:AQ1"/>
    <mergeCell ref="AR1:AT1"/>
    <mergeCell ref="A2:AT2"/>
    <mergeCell ref="A3:B3"/>
    <mergeCell ref="C3:D3"/>
    <mergeCell ref="E3:F3"/>
    <mergeCell ref="G3:H3"/>
    <mergeCell ref="I3:J3"/>
    <mergeCell ref="K3:L3"/>
    <mergeCell ref="M3:N3"/>
    <mergeCell ref="O3:P3"/>
    <mergeCell ref="Q3:R3"/>
    <mergeCell ref="S3:AT3"/>
  </mergeCells>
  <conditionalFormatting sqref="AN5:AN254">
    <cfRule type="notContainsText" dxfId="2" priority="4" operator="notContains" text="None">
      <formula>ISERROR(SEARCH("None",AN5))</formula>
    </cfRule>
  </conditionalFormatting>
  <conditionalFormatting sqref="AT5:AT254">
    <cfRule type="beginsWith" dxfId="0" priority="5" operator="beginsWith" text="OK">
      <formula>LEFT(AT5,2)="OK"</formula>
    </cfRule>
    <cfRule type="containsText" dxfId="1" priority="6" operator="containsText" text="Overdue">
      <formula>NOT(ISERROR(SEARCH("Overdue",AT5)))</formula>
    </cfRule>
    <cfRule type="containsText" dxfId="1" priority="7" operator="containsText" text="Missed">
      <formula>NOT(ISERROR(SEARCH("Missed",AT5)))</formula>
    </cfRule>
    <cfRule type="containsText" dxfId="1" priority="8" operator="containsText" text="Conflict">
      <formula>NOT(ISERROR(SEARCH("Conflict",AT5)))</formula>
    </cfRule>
    <cfRule type="containsText" dxfId="1" priority="9" operator="containsText" text="Expired">
      <formula>NOT(ISERROR(SEARCH("Expired",AT5)))</formula>
    </cfRule>
    <cfRule type="containsText" dxfId="1" priority="10" operator="containsText" text="Duplicate">
      <formula>NOT(ISERROR(SEARCH("Duplicate",AT5)))</formula>
    </cfRule>
    <cfRule type="containsText" dxfId="2" priority="11" operator="containsText" text="Action">
      <formula>NOT(ISERROR(SEARCH("Action",AT5)))</formula>
    </cfRule>
    <cfRule type="containsText" dxfId="2" priority="12" operator="containsText" text="Due">
      <formula>NOT(ISERROR(SEARCH("Due",AT5)))</formula>
    </cfRule>
    <cfRule type="containsText" dxfId="2" priority="13" operator="containsText" text="Check">
      <formula>NOT(ISERROR(SEARCH("Check",AT5)))</formula>
    </cfRule>
    <cfRule type="containsText" dxfId="3" priority="14" operator="containsText" text="Today">
      <formula>NOT(ISERROR(SEARCH("Today",AT5)))</formula>
    </cfRule>
    <cfRule type="containsText" dxfId="3" priority="15" operator="containsText" text="Upcoming">
      <formula>NOT(ISERROR(SEARCH("Upcoming",AT5)))</formula>
    </cfRule>
    <cfRule type="containsText" dxfId="5" priority="16" operator="containsText" text="EXPIRED">
      <formula>NOT(ISERROR(SEARCH("EXPIRED",AT5)))</formula>
    </cfRule>
    <cfRule type="containsText" dxfId="2" priority="17" operator="containsText" text="Allergy">
      <formula>NOT(ISERROR(SEARCH("Allergy",AT5)))</formula>
    </cfRule>
    <cfRule type="containsText" dxfId="2" priority="18" operator="containsText" text="risk">
      <formula>NOT(ISERROR(SEARCH("risk",AT5)))</formula>
    </cfRule>
  </conditionalFormatting>
  <conditionalFormatting sqref="Y5:Y254">
    <cfRule type="containsText" dxfId="1" priority="1" operator="containsText" text="Expired">
      <formula>NOT(ISERROR(SEARCH("Expired",Y5)))</formula>
    </cfRule>
    <cfRule type="containsText" dxfId="2" priority="2" operator="containsText" text="Due in">
      <formula>NOT(ISERROR(SEARCH("Due in",Y5)))</formula>
    </cfRule>
    <cfRule type="containsText" dxfId="0" priority="3" operator="containsText" text="Valid">
      <formula>NOT(ISERROR(SEARCH("Valid",Y5)))</formula>
    </cfRule>
  </conditionalFormatting>
  <dataValidations count="10">
    <dataValidation type="list" allowBlank="1" showInputMessage="1" showErrorMessage="1" promptTitle="Owner (client)" prompt="Pick the client from the drop down so bookings, visits and invoices all line up." sqref="C5:C254">
      <formula1>ClientNames</formula1>
    </dataValidation>
    <dataValidation type="list" allowBlank="1" showInputMessage="1" showErrorMessage="1" sqref="F5:F254">
      <formula1>PetTypeList</formula1>
    </dataValidation>
    <dataValidation type="date" allowBlank="1" showInputMessage="1" showErrorMessage="1" errorTitle="Check the date" error="Enter a real date between 2000 and 2100." sqref="H5:H254">
      <formula1>36526</formula1>
      <formula2>73415</formula2>
    </dataValidation>
    <dataValidation type="list" allowBlank="1" showInputMessage="1" showErrorMessage="1" sqref="J5:J254">
      <formula1>PetGenderList</formula1>
    </dataValidation>
    <dataValidation type="decimal" allowBlank="1" showInputMessage="1" showErrorMessage="1" errorTitle="Check the value" error="Enter a number between 0 and 200." sqref="K5:K254">
      <formula1>0</formula1>
      <formula2>200</formula2>
    </dataValidation>
    <dataValidation type="list" allowBlank="1" showInputMessage="1" showErrorMessage="1" sqref="O5:O254">
      <formula1>TemperamentList</formula1>
    </dataValidation>
    <dataValidation type="date" allowBlank="1" showInputMessage="1" showErrorMessage="1" errorTitle="Check the date" error="Enter a real date between 2000 and 2100." sqref="W5:W254">
      <formula1>36526</formula1>
      <formula2>73415</formula2>
    </dataValidation>
    <dataValidation type="date" allowBlank="1" showInputMessage="1" showErrorMessage="1" errorTitle="Check the date" error="Enter a real date between 2000 and 2100." sqref="X5:X254">
      <formula1>36526</formula1>
      <formula2>73415</formula2>
    </dataValidation>
    <dataValidation type="date" allowBlank="1" showInputMessage="1" showErrorMessage="1" errorTitle="Check the date" error="Enter a real date between 2000 and 2100." sqref="AB5:AB254">
      <formula1>36526</formula1>
      <formula2>73415</formula2>
    </dataValidation>
    <dataValidation type="list" allowBlank="1" showInputMessage="1" showErrorMessage="1" sqref="AN5:AN254">
      <formula1>RiskFlagList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&amp;L&amp;"Calibri,Bold"&amp;12&amp;C&amp;"Calibri,Bold"&amp;11Pets&amp;R&amp;"Calibri,Italic"&amp;9Pet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8.xml><?xml version="1.0" encoding="utf-8"?>
<worksheet xmlns="http://schemas.openxmlformats.org/spreadsheetml/2006/main" xmlns:r="http://schemas.openxmlformats.org/officeDocument/2006/relationships">
  <sheetPr>
    <tabColor rgb="FFE2A33C"/>
    <pageSetUpPr fitToPage="1"/>
  </sheetPr>
  <dimension ref="A1:AZ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6" customWidth="1"/>
    <col min="2" max="2" width="12.7109375" style="39" customWidth="1"/>
    <col min="3" max="3" width="20.7109375" style="20" customWidth="1"/>
    <col min="4" max="4" width="10.7109375" style="28" customWidth="1"/>
    <col min="5" max="5" width="24.7109375" style="20" customWidth="1"/>
    <col min="6" max="6" width="20.7109375" style="20" customWidth="1"/>
    <col min="7" max="7" width="9.7109375" style="19" customWidth="1"/>
    <col min="8" max="8" width="24.7109375" style="20" customWidth="1"/>
    <col min="9" max="9" width="12.7109375" style="39" customWidth="1"/>
    <col min="10" max="10" width="7.7109375" style="50" customWidth="1"/>
    <col min="11" max="11" width="9.7109375" style="44" customWidth="1"/>
    <col min="12" max="12" width="9.7109375" style="44" customWidth="1"/>
    <col min="13" max="13" width="8.7109375" style="51" customWidth="1"/>
    <col min="14" max="14" width="9.7109375" style="52" customWidth="1"/>
    <col min="15" max="15" width="11.7109375" style="28" customWidth="1"/>
    <col min="16" max="16" width="11.7109375" style="29" customWidth="1"/>
    <col min="17" max="17" width="10.7109375" style="29" hidden="1" customWidth="1"/>
    <col min="18" max="18" width="9.7109375" style="30" hidden="1" customWidth="1"/>
    <col min="19" max="19" width="9.7109375" style="30" hidden="1" customWidth="1"/>
    <col min="20" max="20" width="9.7109375" style="50" hidden="1" customWidth="1"/>
    <col min="21" max="21" width="12.7109375" style="29" customWidth="1"/>
    <col min="22" max="22" width="11.7109375" style="29" customWidth="1"/>
    <col min="23" max="23" width="9.7109375" style="50" customWidth="1"/>
    <col min="24" max="24" width="9.7109375" style="50" customWidth="1"/>
    <col min="25" max="25" width="11.7109375" style="29" customWidth="1"/>
    <col min="26" max="26" width="10.7109375" style="43" customWidth="1"/>
    <col min="27" max="27" width="10.7109375" style="29" customWidth="1"/>
    <col min="28" max="28" width="10.7109375" style="31" customWidth="1"/>
    <col min="29" max="29" width="10.7109375" style="29" customWidth="1"/>
    <col min="30" max="30" width="13.7109375" style="20" customWidth="1"/>
    <col min="31" max="31" width="9.7109375" style="41" customWidth="1"/>
    <col min="32" max="32" width="11.7109375" style="29" customWidth="1"/>
    <col min="33" max="33" width="11.7109375" style="42" customWidth="1"/>
    <col min="34" max="34" width="20.7109375" style="20" customWidth="1"/>
    <col min="35" max="35" width="12.7109375" style="29" customWidth="1"/>
    <col min="36" max="36" width="10.7109375" style="29" customWidth="1"/>
    <col min="37" max="37" width="13.7109375" style="29" customWidth="1"/>
    <col min="38" max="38" width="16.7109375" style="20" customWidth="1"/>
    <col min="39" max="39" width="13.7109375" style="48" customWidth="1"/>
    <col min="40" max="40" width="10.7109375" style="12" customWidth="1"/>
    <col min="41" max="41" width="10.7109375" style="12" customWidth="1"/>
    <col min="42" max="42" width="12.7109375" style="20" customWidth="1"/>
    <col min="43" max="43" width="13.7109375" style="21" customWidth="1"/>
    <col min="44" max="44" width="18.7109375" style="49" customWidth="1"/>
    <col min="45" max="45" width="10.7109375" style="50" customWidth="1"/>
    <col min="46" max="46" width="12.7109375" style="28" customWidth="1"/>
    <col min="47" max="47" width="15.7109375" style="49" customWidth="1"/>
    <col min="48" max="48" width="18.7109375" style="20" customWidth="1"/>
    <col min="49" max="49" width="12.7109375" style="39" customWidth="1"/>
    <col min="50" max="50" width="34.7109375" style="47" customWidth="1"/>
    <col min="51" max="51" width="10.7109375" style="28" customWidth="1"/>
    <col min="52" max="52" width="24.7109375" style="49" customWidth="1"/>
  </cols>
  <sheetData>
    <row r="1" spans="1:52" ht="34" customHeight="1">
      <c r="A1" s="2" t="s">
        <v>730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3" t="s">
        <v>118</v>
      </c>
      <c r="AY1" s="3"/>
      <c r="AZ1" s="3"/>
    </row>
    <row r="2" spans="1:52" ht="18" customHeight="1">
      <c r="A2" s="4" t="s">
        <v>731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732</v>
      </c>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c r="AW3" s="45"/>
      <c r="AX3" s="45"/>
      <c r="AY3" s="45"/>
      <c r="AZ3" s="45"/>
    </row>
    <row r="4" spans="1:52" ht="30" customHeight="1">
      <c r="A4" s="8" t="s">
        <v>642</v>
      </c>
      <c r="B4" s="8" t="s">
        <v>733</v>
      </c>
      <c r="C4" s="9" t="s">
        <v>207</v>
      </c>
      <c r="D4" s="9" t="s">
        <v>693</v>
      </c>
      <c r="E4" s="9" t="s">
        <v>734</v>
      </c>
      <c r="F4" s="9" t="s">
        <v>735</v>
      </c>
      <c r="G4" s="9" t="s">
        <v>736</v>
      </c>
      <c r="H4" s="9" t="s">
        <v>198</v>
      </c>
      <c r="I4" s="9" t="s">
        <v>737</v>
      </c>
      <c r="J4" s="9" t="s">
        <v>738</v>
      </c>
      <c r="K4" s="9" t="s">
        <v>739</v>
      </c>
      <c r="L4" s="9" t="s">
        <v>740</v>
      </c>
      <c r="M4" s="9" t="s">
        <v>741</v>
      </c>
      <c r="N4" s="9" t="s">
        <v>742</v>
      </c>
      <c r="O4" s="9" t="s">
        <v>430</v>
      </c>
      <c r="P4" s="9" t="s">
        <v>743</v>
      </c>
      <c r="Q4" s="9" t="s">
        <v>744</v>
      </c>
      <c r="R4" s="9" t="s">
        <v>745</v>
      </c>
      <c r="S4" s="9" t="s">
        <v>746</v>
      </c>
      <c r="T4" s="9" t="s">
        <v>747</v>
      </c>
      <c r="U4" s="9" t="s">
        <v>748</v>
      </c>
      <c r="V4" s="9" t="s">
        <v>749</v>
      </c>
      <c r="W4" s="9" t="s">
        <v>750</v>
      </c>
      <c r="X4" s="9" t="s">
        <v>751</v>
      </c>
      <c r="Y4" s="9" t="s">
        <v>752</v>
      </c>
      <c r="Z4" s="9" t="s">
        <v>753</v>
      </c>
      <c r="AA4" s="9" t="s">
        <v>754</v>
      </c>
      <c r="AB4" s="9" t="s">
        <v>755</v>
      </c>
      <c r="AC4" s="9" t="s">
        <v>756</v>
      </c>
      <c r="AD4" s="9" t="s">
        <v>449</v>
      </c>
      <c r="AE4" s="9" t="s">
        <v>757</v>
      </c>
      <c r="AF4" s="9" t="s">
        <v>758</v>
      </c>
      <c r="AG4" s="9" t="s">
        <v>759</v>
      </c>
      <c r="AH4" s="9" t="s">
        <v>760</v>
      </c>
      <c r="AI4" s="9" t="s">
        <v>761</v>
      </c>
      <c r="AJ4" s="9" t="s">
        <v>762</v>
      </c>
      <c r="AK4" s="9" t="s">
        <v>763</v>
      </c>
      <c r="AL4" s="9" t="s">
        <v>764</v>
      </c>
      <c r="AM4" s="9" t="s">
        <v>665</v>
      </c>
      <c r="AN4" s="9" t="s">
        <v>765</v>
      </c>
      <c r="AO4" s="9" t="s">
        <v>766</v>
      </c>
      <c r="AP4" s="9" t="s">
        <v>767</v>
      </c>
      <c r="AQ4" s="9" t="s">
        <v>768</v>
      </c>
      <c r="AR4" s="9" t="s">
        <v>769</v>
      </c>
      <c r="AS4" s="9" t="s">
        <v>770</v>
      </c>
      <c r="AT4" s="9" t="s">
        <v>771</v>
      </c>
      <c r="AU4" s="9" t="s">
        <v>772</v>
      </c>
      <c r="AV4" s="9" t="s">
        <v>456</v>
      </c>
      <c r="AW4" s="9" t="s">
        <v>773</v>
      </c>
      <c r="AX4" s="9" t="s">
        <v>774</v>
      </c>
      <c r="AY4" s="9" t="s">
        <v>131</v>
      </c>
      <c r="AZ4" s="9" t="s">
        <v>686</v>
      </c>
    </row>
    <row r="5" spans="1:52">
      <c r="A5" s="46">
        <f>IF(C5="","",BookingPrefix&amp;TEXT(ROW()-4,"0000"))</f>
        <v>0</v>
      </c>
      <c r="D5" s="28">
        <f>IF(C5="","",IFERROR(INDEX(Clients!$A$5:$A$254,MATCH(C5,Clients!$B$5:$B$254,0)),""))</f>
        <v>0</v>
      </c>
      <c r="J5" s="50">
        <f>IF(I5="","",TEXT(I5,"ddd"))</f>
        <v>0</v>
      </c>
      <c r="M5" s="51">
        <f>IF(OR(K5="",L5=""),"",ROUND((L5-K5+IF(L5&lt;K5,1,0))*24,2))</f>
        <v>0</v>
      </c>
      <c r="O5" s="28">
        <f>IF(H5="","",IFERROR(INDEX(Services!$E$5:$E$54,MATCH(H5,Services!$B$5:$B$54,0)),""))</f>
        <v>0</v>
      </c>
      <c r="P5" s="29">
        <f>IF(H5="","",IFERROR(INDEX(Services!$G$5:$G$54,MATCH(H5,Services!$B$5:$B$54,0)),0))</f>
        <v>0</v>
      </c>
      <c r="Q5" s="29">
        <f>IF(H5="","",IF(IFERROR(INDEX(Services!$H$5:$H$54,MATCH(H5,Services!$B$5:$B$54,0)),0)=0,ExtraPetFeeDefault,IFERROR(INDEX(Services!$H$5:$H$54,MATCH(H5,Services!$B$5:$B$54,0)),0)))</f>
        <v>0</v>
      </c>
      <c r="R5" s="30">
        <f>IF(H5="","",IF(IFERROR(INDEX(Services!$I$5:$I$54,MATCH(H5,Services!$B$5:$B$54,0)),0)=0,HolidaySurcharge,IFERROR(INDEX(Services!$I$5:$I$54,MATCH(H5,Services!$B$5:$B$54,0)),0)))</f>
        <v>0</v>
      </c>
      <c r="S5" s="30">
        <f>IF(H5="","",IF(IFERROR(INDEX(Services!$J$5:$J$54,MATCH(H5,Services!$B$5:$B$54,0)),0)=0,WeekendSurcharge,IFERROR(INDEX(Services!$J$5:$J$54,MATCH(H5,Services!$B$5:$B$54,0)),0)))</f>
        <v>0</v>
      </c>
      <c r="T5" s="50">
        <f>IF(H5="","",IFERROR(INDEX(Services!$K$5:$K$54,MATCH(H5,Services!$B$5:$B$54,0)),"No"))</f>
        <v>0</v>
      </c>
      <c r="U5" s="29">
        <f>IF(H5="","",ROUND(IF(O5="Per hour",P5*IF(M5="",IF(N5="",1,N5),M5),P5*IF(N5="",1,N5)),2))</f>
        <v>0</v>
      </c>
      <c r="V5" s="29">
        <f>IF(H5="","",ROUND(MAX(0,IF(G5="",1,G5)-1)*Q5,2))</f>
        <v>0</v>
      </c>
      <c r="W5" s="50">
        <f>IF(I5="","",IF(COUNTIF(HolidayDates,I5)&gt;0,"Yes","No"))</f>
        <v>0</v>
      </c>
      <c r="X5" s="50">
        <f>IF(I5="","",IF(WEEKDAY(I5,2)&gt;5,"Yes","No"))</f>
        <v>0</v>
      </c>
      <c r="Y5" s="29">
        <f>IF(H5="","",ROUND((U5+V5)*(IF(W5="Yes",R5,0)+IF(X5="Yes",S5,0)),2))</f>
        <v>0</v>
      </c>
      <c r="AA5" s="29">
        <f>IF(H5="","",IF(T5&lt;&gt;"Yes",0,ROUND(MAX(0,IF(Z5="",0,Z5)-FreeTravelDistance)*TravelFeeRate,2)))</f>
        <v>0</v>
      </c>
      <c r="AB5" s="31">
        <f>IF(I5="","",TravelTimeMins)</f>
        <v>0</v>
      </c>
      <c r="AC5" s="29">
        <f>IF(OR(I5="",B5=""),0,IF(I5-B5&lt;=LastMinuteDays,EmergencyFee,0))</f>
        <v>0</v>
      </c>
      <c r="AF5" s="29">
        <f>IF(H5="","",ROUND((U5+V5+Y5+AA5+AC5)*IF(AE5="",0,AE5),2))</f>
        <v>0</v>
      </c>
      <c r="AI5" s="29">
        <f>IF(H5="","",IF(AG5&lt;&gt;"",AG5,ROUND(U5+V5+Y5+AA5+AC5-AF5,2)))</f>
        <v>0</v>
      </c>
      <c r="AJ5" s="29">
        <f>IF(AI5="","",IF(TaxRegistered&lt;&gt;"Yes",0,IF(PricesIncludeTax="Yes",ROUND(AI5-AI5/(1+TaxRate),2),ROUND(AI5*TaxRate,2))))</f>
        <v>0</v>
      </c>
      <c r="AK5" s="29">
        <f>IF(AI5="","",IF(PricesIncludeTax="Yes",AI5,ROUND(AI5+AJ5,2)))</f>
        <v>0</v>
      </c>
      <c r="AQ5" s="21">
        <f>IF(OR(I5="",AP5="",AP5="None"),"",IF(AP5="Monthly",EDATE(I5,1),I5+IF(AP5="Daily",1,IF(AP5="Weekdays",IF(WEEKDAY(I5,2)&gt;=5,8-WEEKDAY(I5,2),1),IF(AP5="Weekly",7,IF(AP5="Fortnightly",14,0))))))</f>
        <v>0</v>
      </c>
      <c r="AR5" s="49">
        <f>IF(OR(I5="",AL5="",K5="",L5=""),"",IF(SUMPRODUCT((Bookings!$AL$5:$AL$404=AL5)*(Bookings!$I$5:$I$404=I5)*(Bookings!$K$5:$K$404&lt;L5)*(Bookings!$L$5:$L$404&gt;K5)*(Bookings!$AM$5:$AM$404&lt;&gt;"Cancelled"))&gt;1,"Conflict - double booked","OK"))</f>
        <v>0</v>
      </c>
      <c r="AS5" s="50">
        <f>IF(A5="","",IF(COUNTIF('Visit Log'!$B$5:$B$404,A5)&gt;0,"Yes","No"))</f>
        <v>0</v>
      </c>
      <c r="AT5" s="28">
        <f>IF(A5="","",IFERROR(INDEX(Invoices!$A$5:$A$304,MATCH(A5,Invoices!$E$5:$E$304,0)),""))</f>
        <v>0</v>
      </c>
      <c r="AU5" s="49">
        <f>IF(A5="","",IF(AT5="","Not invoiced",IFERROR(INDEX(Invoices!$U$5:$U$304,MATCH(AT5,Invoices!$A$5:$A$304,0)),"")))</f>
        <v>0</v>
      </c>
      <c r="AY5" s="28">
        <f>IF(I5="","",TEXT(I5,"yyyy-mm"))</f>
        <v>0</v>
      </c>
      <c r="AZ5" s="49">
        <f>IF(I5="","",IF(AM5="Cancelled","Cancelled",IF(AND(I5&lt;TODAY(),OR(AM5="Pending",AM5="Confirmed",AM5="Enquiry")),"Overdue - update status",IF(AND(AM5="Completed",AS5="No"),"Action - log the visit",IF(I5=TODAY(),"Today",IF(AND(I5&gt;TODAY(),I5-TODAY()&lt;=ReminderLeadDays,AN5&lt;&gt;"Yes"),"Action - unconfirmed",IF(AND(I5&gt;TODAY(),I5-TODAY()&lt;=ReminderLeadDays),"Upcoming","OK")))))))</f>
        <v>0</v>
      </c>
    </row>
    <row r="6" spans="1:52">
      <c r="A6" s="46">
        <f>IF(C6="","",BookingPrefix&amp;TEXT(ROW()-4,"0000"))</f>
        <v>0</v>
      </c>
      <c r="D6" s="28">
        <f>IF(C6="","",IFERROR(INDEX(Clients!$A$5:$A$254,MATCH(C6,Clients!$B$5:$B$254,0)),""))</f>
        <v>0</v>
      </c>
      <c r="J6" s="50">
        <f>IF(I6="","",TEXT(I6,"ddd"))</f>
        <v>0</v>
      </c>
      <c r="M6" s="51">
        <f>IF(OR(K6="",L6=""),"",ROUND((L6-K6+IF(L6&lt;K6,1,0))*24,2))</f>
        <v>0</v>
      </c>
      <c r="O6" s="28">
        <f>IF(H6="","",IFERROR(INDEX(Services!$E$5:$E$54,MATCH(H6,Services!$B$5:$B$54,0)),""))</f>
        <v>0</v>
      </c>
      <c r="P6" s="29">
        <f>IF(H6="","",IFERROR(INDEX(Services!$G$5:$G$54,MATCH(H6,Services!$B$5:$B$54,0)),0))</f>
        <v>0</v>
      </c>
      <c r="Q6" s="29">
        <f>IF(H6="","",IF(IFERROR(INDEX(Services!$H$5:$H$54,MATCH(H6,Services!$B$5:$B$54,0)),0)=0,ExtraPetFeeDefault,IFERROR(INDEX(Services!$H$5:$H$54,MATCH(H6,Services!$B$5:$B$54,0)),0)))</f>
        <v>0</v>
      </c>
      <c r="R6" s="30">
        <f>IF(H6="","",IF(IFERROR(INDEX(Services!$I$5:$I$54,MATCH(H6,Services!$B$5:$B$54,0)),0)=0,HolidaySurcharge,IFERROR(INDEX(Services!$I$5:$I$54,MATCH(H6,Services!$B$5:$B$54,0)),0)))</f>
        <v>0</v>
      </c>
      <c r="S6" s="30">
        <f>IF(H6="","",IF(IFERROR(INDEX(Services!$J$5:$J$54,MATCH(H6,Services!$B$5:$B$54,0)),0)=0,WeekendSurcharge,IFERROR(INDEX(Services!$J$5:$J$54,MATCH(H6,Services!$B$5:$B$54,0)),0)))</f>
        <v>0</v>
      </c>
      <c r="T6" s="50">
        <f>IF(H6="","",IFERROR(INDEX(Services!$K$5:$K$54,MATCH(H6,Services!$B$5:$B$54,0)),"No"))</f>
        <v>0</v>
      </c>
      <c r="U6" s="29">
        <f>IF(H6="","",ROUND(IF(O6="Per hour",P6*IF(M6="",IF(N6="",1,N6),M6),P6*IF(N6="",1,N6)),2))</f>
        <v>0</v>
      </c>
      <c r="V6" s="29">
        <f>IF(H6="","",ROUND(MAX(0,IF(G6="",1,G6)-1)*Q6,2))</f>
        <v>0</v>
      </c>
      <c r="W6" s="50">
        <f>IF(I6="","",IF(COUNTIF(HolidayDates,I6)&gt;0,"Yes","No"))</f>
        <v>0</v>
      </c>
      <c r="X6" s="50">
        <f>IF(I6="","",IF(WEEKDAY(I6,2)&gt;5,"Yes","No"))</f>
        <v>0</v>
      </c>
      <c r="Y6" s="29">
        <f>IF(H6="","",ROUND((U6+V6)*(IF(W6="Yes",R6,0)+IF(X6="Yes",S6,0)),2))</f>
        <v>0</v>
      </c>
      <c r="AA6" s="29">
        <f>IF(H6="","",IF(T6&lt;&gt;"Yes",0,ROUND(MAX(0,IF(Z6="",0,Z6)-FreeTravelDistance)*TravelFeeRate,2)))</f>
        <v>0</v>
      </c>
      <c r="AB6" s="31">
        <f>IF(I6="","",TravelTimeMins)</f>
        <v>0</v>
      </c>
      <c r="AC6" s="29">
        <f>IF(OR(I6="",B6=""),0,IF(I6-B6&lt;=LastMinuteDays,EmergencyFee,0))</f>
        <v>0</v>
      </c>
      <c r="AF6" s="29">
        <f>IF(H6="","",ROUND((U6+V6+Y6+AA6+AC6)*IF(AE6="",0,AE6),2))</f>
        <v>0</v>
      </c>
      <c r="AI6" s="29">
        <f>IF(H6="","",IF(AG6&lt;&gt;"",AG6,ROUND(U6+V6+Y6+AA6+AC6-AF6,2)))</f>
        <v>0</v>
      </c>
      <c r="AJ6" s="29">
        <f>IF(AI6="","",IF(TaxRegistered&lt;&gt;"Yes",0,IF(PricesIncludeTax="Yes",ROUND(AI6-AI6/(1+TaxRate),2),ROUND(AI6*TaxRate,2))))</f>
        <v>0</v>
      </c>
      <c r="AK6" s="29">
        <f>IF(AI6="","",IF(PricesIncludeTax="Yes",AI6,ROUND(AI6+AJ6,2)))</f>
        <v>0</v>
      </c>
      <c r="AQ6" s="21">
        <f>IF(OR(I6="",AP6="",AP6="None"),"",IF(AP6="Monthly",EDATE(I6,1),I6+IF(AP6="Daily",1,IF(AP6="Weekdays",IF(WEEKDAY(I6,2)&gt;=5,8-WEEKDAY(I6,2),1),IF(AP6="Weekly",7,IF(AP6="Fortnightly",14,0))))))</f>
        <v>0</v>
      </c>
      <c r="AR6" s="49">
        <f>IF(OR(I6="",AL6="",K6="",L6=""),"",IF(SUMPRODUCT((Bookings!$AL$5:$AL$404=AL6)*(Bookings!$I$5:$I$404=I6)*(Bookings!$K$5:$K$404&lt;L6)*(Bookings!$L$5:$L$404&gt;K6)*(Bookings!$AM$5:$AM$404&lt;&gt;"Cancelled"))&gt;1,"Conflict - double booked","OK"))</f>
        <v>0</v>
      </c>
      <c r="AS6" s="50">
        <f>IF(A6="","",IF(COUNTIF('Visit Log'!$B$5:$B$404,A6)&gt;0,"Yes","No"))</f>
        <v>0</v>
      </c>
      <c r="AT6" s="28">
        <f>IF(A6="","",IFERROR(INDEX(Invoices!$A$5:$A$304,MATCH(A6,Invoices!$E$5:$E$304,0)),""))</f>
        <v>0</v>
      </c>
      <c r="AU6" s="49">
        <f>IF(A6="","",IF(AT6="","Not invoiced",IFERROR(INDEX(Invoices!$U$5:$U$304,MATCH(AT6,Invoices!$A$5:$A$304,0)),"")))</f>
        <v>0</v>
      </c>
      <c r="AY6" s="28">
        <f>IF(I6="","",TEXT(I6,"yyyy-mm"))</f>
        <v>0</v>
      </c>
      <c r="AZ6" s="49">
        <f>IF(I6="","",IF(AM6="Cancelled","Cancelled",IF(AND(I6&lt;TODAY(),OR(AM6="Pending",AM6="Confirmed",AM6="Enquiry")),"Overdue - update status",IF(AND(AM6="Completed",AS6="No"),"Action - log the visit",IF(I6=TODAY(),"Today",IF(AND(I6&gt;TODAY(),I6-TODAY()&lt;=ReminderLeadDays,AN6&lt;&gt;"Yes"),"Action - unconfirmed",IF(AND(I6&gt;TODAY(),I6-TODAY()&lt;=ReminderLeadDays),"Upcoming","OK")))))))</f>
        <v>0</v>
      </c>
    </row>
    <row r="7" spans="1:52">
      <c r="A7" s="46">
        <f>IF(C7="","",BookingPrefix&amp;TEXT(ROW()-4,"0000"))</f>
        <v>0</v>
      </c>
      <c r="D7" s="28">
        <f>IF(C7="","",IFERROR(INDEX(Clients!$A$5:$A$254,MATCH(C7,Clients!$B$5:$B$254,0)),""))</f>
        <v>0</v>
      </c>
      <c r="J7" s="50">
        <f>IF(I7="","",TEXT(I7,"ddd"))</f>
        <v>0</v>
      </c>
      <c r="M7" s="51">
        <f>IF(OR(K7="",L7=""),"",ROUND((L7-K7+IF(L7&lt;K7,1,0))*24,2))</f>
        <v>0</v>
      </c>
      <c r="O7" s="28">
        <f>IF(H7="","",IFERROR(INDEX(Services!$E$5:$E$54,MATCH(H7,Services!$B$5:$B$54,0)),""))</f>
        <v>0</v>
      </c>
      <c r="P7" s="29">
        <f>IF(H7="","",IFERROR(INDEX(Services!$G$5:$G$54,MATCH(H7,Services!$B$5:$B$54,0)),0))</f>
        <v>0</v>
      </c>
      <c r="Q7" s="29">
        <f>IF(H7="","",IF(IFERROR(INDEX(Services!$H$5:$H$54,MATCH(H7,Services!$B$5:$B$54,0)),0)=0,ExtraPetFeeDefault,IFERROR(INDEX(Services!$H$5:$H$54,MATCH(H7,Services!$B$5:$B$54,0)),0)))</f>
        <v>0</v>
      </c>
      <c r="R7" s="30">
        <f>IF(H7="","",IF(IFERROR(INDEX(Services!$I$5:$I$54,MATCH(H7,Services!$B$5:$B$54,0)),0)=0,HolidaySurcharge,IFERROR(INDEX(Services!$I$5:$I$54,MATCH(H7,Services!$B$5:$B$54,0)),0)))</f>
        <v>0</v>
      </c>
      <c r="S7" s="30">
        <f>IF(H7="","",IF(IFERROR(INDEX(Services!$J$5:$J$54,MATCH(H7,Services!$B$5:$B$54,0)),0)=0,WeekendSurcharge,IFERROR(INDEX(Services!$J$5:$J$54,MATCH(H7,Services!$B$5:$B$54,0)),0)))</f>
        <v>0</v>
      </c>
      <c r="T7" s="50">
        <f>IF(H7="","",IFERROR(INDEX(Services!$K$5:$K$54,MATCH(H7,Services!$B$5:$B$54,0)),"No"))</f>
        <v>0</v>
      </c>
      <c r="U7" s="29">
        <f>IF(H7="","",ROUND(IF(O7="Per hour",P7*IF(M7="",IF(N7="",1,N7),M7),P7*IF(N7="",1,N7)),2))</f>
        <v>0</v>
      </c>
      <c r="V7" s="29">
        <f>IF(H7="","",ROUND(MAX(0,IF(G7="",1,G7)-1)*Q7,2))</f>
        <v>0</v>
      </c>
      <c r="W7" s="50">
        <f>IF(I7="","",IF(COUNTIF(HolidayDates,I7)&gt;0,"Yes","No"))</f>
        <v>0</v>
      </c>
      <c r="X7" s="50">
        <f>IF(I7="","",IF(WEEKDAY(I7,2)&gt;5,"Yes","No"))</f>
        <v>0</v>
      </c>
      <c r="Y7" s="29">
        <f>IF(H7="","",ROUND((U7+V7)*(IF(W7="Yes",R7,0)+IF(X7="Yes",S7,0)),2))</f>
        <v>0</v>
      </c>
      <c r="AA7" s="29">
        <f>IF(H7="","",IF(T7&lt;&gt;"Yes",0,ROUND(MAX(0,IF(Z7="",0,Z7)-FreeTravelDistance)*TravelFeeRate,2)))</f>
        <v>0</v>
      </c>
      <c r="AB7" s="31">
        <f>IF(I7="","",TravelTimeMins)</f>
        <v>0</v>
      </c>
      <c r="AC7" s="29">
        <f>IF(OR(I7="",B7=""),0,IF(I7-B7&lt;=LastMinuteDays,EmergencyFee,0))</f>
        <v>0</v>
      </c>
      <c r="AF7" s="29">
        <f>IF(H7="","",ROUND((U7+V7+Y7+AA7+AC7)*IF(AE7="",0,AE7),2))</f>
        <v>0</v>
      </c>
      <c r="AI7" s="29">
        <f>IF(H7="","",IF(AG7&lt;&gt;"",AG7,ROUND(U7+V7+Y7+AA7+AC7-AF7,2)))</f>
        <v>0</v>
      </c>
      <c r="AJ7" s="29">
        <f>IF(AI7="","",IF(TaxRegistered&lt;&gt;"Yes",0,IF(PricesIncludeTax="Yes",ROUND(AI7-AI7/(1+TaxRate),2),ROUND(AI7*TaxRate,2))))</f>
        <v>0</v>
      </c>
      <c r="AK7" s="29">
        <f>IF(AI7="","",IF(PricesIncludeTax="Yes",AI7,ROUND(AI7+AJ7,2)))</f>
        <v>0</v>
      </c>
      <c r="AQ7" s="21">
        <f>IF(OR(I7="",AP7="",AP7="None"),"",IF(AP7="Monthly",EDATE(I7,1),I7+IF(AP7="Daily",1,IF(AP7="Weekdays",IF(WEEKDAY(I7,2)&gt;=5,8-WEEKDAY(I7,2),1),IF(AP7="Weekly",7,IF(AP7="Fortnightly",14,0))))))</f>
        <v>0</v>
      </c>
      <c r="AR7" s="49">
        <f>IF(OR(I7="",AL7="",K7="",L7=""),"",IF(SUMPRODUCT((Bookings!$AL$5:$AL$404=AL7)*(Bookings!$I$5:$I$404=I7)*(Bookings!$K$5:$K$404&lt;L7)*(Bookings!$L$5:$L$404&gt;K7)*(Bookings!$AM$5:$AM$404&lt;&gt;"Cancelled"))&gt;1,"Conflict - double booked","OK"))</f>
        <v>0</v>
      </c>
      <c r="AS7" s="50">
        <f>IF(A7="","",IF(COUNTIF('Visit Log'!$B$5:$B$404,A7)&gt;0,"Yes","No"))</f>
        <v>0</v>
      </c>
      <c r="AT7" s="28">
        <f>IF(A7="","",IFERROR(INDEX(Invoices!$A$5:$A$304,MATCH(A7,Invoices!$E$5:$E$304,0)),""))</f>
        <v>0</v>
      </c>
      <c r="AU7" s="49">
        <f>IF(A7="","",IF(AT7="","Not invoiced",IFERROR(INDEX(Invoices!$U$5:$U$304,MATCH(AT7,Invoices!$A$5:$A$304,0)),"")))</f>
        <v>0</v>
      </c>
      <c r="AY7" s="28">
        <f>IF(I7="","",TEXT(I7,"yyyy-mm"))</f>
        <v>0</v>
      </c>
      <c r="AZ7" s="49">
        <f>IF(I7="","",IF(AM7="Cancelled","Cancelled",IF(AND(I7&lt;TODAY(),OR(AM7="Pending",AM7="Confirmed",AM7="Enquiry")),"Overdue - update status",IF(AND(AM7="Completed",AS7="No"),"Action - log the visit",IF(I7=TODAY(),"Today",IF(AND(I7&gt;TODAY(),I7-TODAY()&lt;=ReminderLeadDays,AN7&lt;&gt;"Yes"),"Action - unconfirmed",IF(AND(I7&gt;TODAY(),I7-TODAY()&lt;=ReminderLeadDays),"Upcoming","OK")))))))</f>
        <v>0</v>
      </c>
    </row>
    <row r="8" spans="1:52">
      <c r="A8" s="46">
        <f>IF(C8="","",BookingPrefix&amp;TEXT(ROW()-4,"0000"))</f>
        <v>0</v>
      </c>
      <c r="D8" s="28">
        <f>IF(C8="","",IFERROR(INDEX(Clients!$A$5:$A$254,MATCH(C8,Clients!$B$5:$B$254,0)),""))</f>
        <v>0</v>
      </c>
      <c r="J8" s="50">
        <f>IF(I8="","",TEXT(I8,"ddd"))</f>
        <v>0</v>
      </c>
      <c r="M8" s="51">
        <f>IF(OR(K8="",L8=""),"",ROUND((L8-K8+IF(L8&lt;K8,1,0))*24,2))</f>
        <v>0</v>
      </c>
      <c r="O8" s="28">
        <f>IF(H8="","",IFERROR(INDEX(Services!$E$5:$E$54,MATCH(H8,Services!$B$5:$B$54,0)),""))</f>
        <v>0</v>
      </c>
      <c r="P8" s="29">
        <f>IF(H8="","",IFERROR(INDEX(Services!$G$5:$G$54,MATCH(H8,Services!$B$5:$B$54,0)),0))</f>
        <v>0</v>
      </c>
      <c r="Q8" s="29">
        <f>IF(H8="","",IF(IFERROR(INDEX(Services!$H$5:$H$54,MATCH(H8,Services!$B$5:$B$54,0)),0)=0,ExtraPetFeeDefault,IFERROR(INDEX(Services!$H$5:$H$54,MATCH(H8,Services!$B$5:$B$54,0)),0)))</f>
        <v>0</v>
      </c>
      <c r="R8" s="30">
        <f>IF(H8="","",IF(IFERROR(INDEX(Services!$I$5:$I$54,MATCH(H8,Services!$B$5:$B$54,0)),0)=0,HolidaySurcharge,IFERROR(INDEX(Services!$I$5:$I$54,MATCH(H8,Services!$B$5:$B$54,0)),0)))</f>
        <v>0</v>
      </c>
      <c r="S8" s="30">
        <f>IF(H8="","",IF(IFERROR(INDEX(Services!$J$5:$J$54,MATCH(H8,Services!$B$5:$B$54,0)),0)=0,WeekendSurcharge,IFERROR(INDEX(Services!$J$5:$J$54,MATCH(H8,Services!$B$5:$B$54,0)),0)))</f>
        <v>0</v>
      </c>
      <c r="T8" s="50">
        <f>IF(H8="","",IFERROR(INDEX(Services!$K$5:$K$54,MATCH(H8,Services!$B$5:$B$54,0)),"No"))</f>
        <v>0</v>
      </c>
      <c r="U8" s="29">
        <f>IF(H8="","",ROUND(IF(O8="Per hour",P8*IF(M8="",IF(N8="",1,N8),M8),P8*IF(N8="",1,N8)),2))</f>
        <v>0</v>
      </c>
      <c r="V8" s="29">
        <f>IF(H8="","",ROUND(MAX(0,IF(G8="",1,G8)-1)*Q8,2))</f>
        <v>0</v>
      </c>
      <c r="W8" s="50">
        <f>IF(I8="","",IF(COUNTIF(HolidayDates,I8)&gt;0,"Yes","No"))</f>
        <v>0</v>
      </c>
      <c r="X8" s="50">
        <f>IF(I8="","",IF(WEEKDAY(I8,2)&gt;5,"Yes","No"))</f>
        <v>0</v>
      </c>
      <c r="Y8" s="29">
        <f>IF(H8="","",ROUND((U8+V8)*(IF(W8="Yes",R8,0)+IF(X8="Yes",S8,0)),2))</f>
        <v>0</v>
      </c>
      <c r="AA8" s="29">
        <f>IF(H8="","",IF(T8&lt;&gt;"Yes",0,ROUND(MAX(0,IF(Z8="",0,Z8)-FreeTravelDistance)*TravelFeeRate,2)))</f>
        <v>0</v>
      </c>
      <c r="AB8" s="31">
        <f>IF(I8="","",TravelTimeMins)</f>
        <v>0</v>
      </c>
      <c r="AC8" s="29">
        <f>IF(OR(I8="",B8=""),0,IF(I8-B8&lt;=LastMinuteDays,EmergencyFee,0))</f>
        <v>0</v>
      </c>
      <c r="AF8" s="29">
        <f>IF(H8="","",ROUND((U8+V8+Y8+AA8+AC8)*IF(AE8="",0,AE8),2))</f>
        <v>0</v>
      </c>
      <c r="AI8" s="29">
        <f>IF(H8="","",IF(AG8&lt;&gt;"",AG8,ROUND(U8+V8+Y8+AA8+AC8-AF8,2)))</f>
        <v>0</v>
      </c>
      <c r="AJ8" s="29">
        <f>IF(AI8="","",IF(TaxRegistered&lt;&gt;"Yes",0,IF(PricesIncludeTax="Yes",ROUND(AI8-AI8/(1+TaxRate),2),ROUND(AI8*TaxRate,2))))</f>
        <v>0</v>
      </c>
      <c r="AK8" s="29">
        <f>IF(AI8="","",IF(PricesIncludeTax="Yes",AI8,ROUND(AI8+AJ8,2)))</f>
        <v>0</v>
      </c>
      <c r="AQ8" s="21">
        <f>IF(OR(I8="",AP8="",AP8="None"),"",IF(AP8="Monthly",EDATE(I8,1),I8+IF(AP8="Daily",1,IF(AP8="Weekdays",IF(WEEKDAY(I8,2)&gt;=5,8-WEEKDAY(I8,2),1),IF(AP8="Weekly",7,IF(AP8="Fortnightly",14,0))))))</f>
        <v>0</v>
      </c>
      <c r="AR8" s="49">
        <f>IF(OR(I8="",AL8="",K8="",L8=""),"",IF(SUMPRODUCT((Bookings!$AL$5:$AL$404=AL8)*(Bookings!$I$5:$I$404=I8)*(Bookings!$K$5:$K$404&lt;L8)*(Bookings!$L$5:$L$404&gt;K8)*(Bookings!$AM$5:$AM$404&lt;&gt;"Cancelled"))&gt;1,"Conflict - double booked","OK"))</f>
        <v>0</v>
      </c>
      <c r="AS8" s="50">
        <f>IF(A8="","",IF(COUNTIF('Visit Log'!$B$5:$B$404,A8)&gt;0,"Yes","No"))</f>
        <v>0</v>
      </c>
      <c r="AT8" s="28">
        <f>IF(A8="","",IFERROR(INDEX(Invoices!$A$5:$A$304,MATCH(A8,Invoices!$E$5:$E$304,0)),""))</f>
        <v>0</v>
      </c>
      <c r="AU8" s="49">
        <f>IF(A8="","",IF(AT8="","Not invoiced",IFERROR(INDEX(Invoices!$U$5:$U$304,MATCH(AT8,Invoices!$A$5:$A$304,0)),"")))</f>
        <v>0</v>
      </c>
      <c r="AY8" s="28">
        <f>IF(I8="","",TEXT(I8,"yyyy-mm"))</f>
        <v>0</v>
      </c>
      <c r="AZ8" s="49">
        <f>IF(I8="","",IF(AM8="Cancelled","Cancelled",IF(AND(I8&lt;TODAY(),OR(AM8="Pending",AM8="Confirmed",AM8="Enquiry")),"Overdue - update status",IF(AND(AM8="Completed",AS8="No"),"Action - log the visit",IF(I8=TODAY(),"Today",IF(AND(I8&gt;TODAY(),I8-TODAY()&lt;=ReminderLeadDays,AN8&lt;&gt;"Yes"),"Action - unconfirmed",IF(AND(I8&gt;TODAY(),I8-TODAY()&lt;=ReminderLeadDays),"Upcoming","OK")))))))</f>
        <v>0</v>
      </c>
    </row>
    <row r="9" spans="1:52">
      <c r="A9" s="46">
        <f>IF(C9="","",BookingPrefix&amp;TEXT(ROW()-4,"0000"))</f>
        <v>0</v>
      </c>
      <c r="D9" s="28">
        <f>IF(C9="","",IFERROR(INDEX(Clients!$A$5:$A$254,MATCH(C9,Clients!$B$5:$B$254,0)),""))</f>
        <v>0</v>
      </c>
      <c r="J9" s="50">
        <f>IF(I9="","",TEXT(I9,"ddd"))</f>
        <v>0</v>
      </c>
      <c r="M9" s="51">
        <f>IF(OR(K9="",L9=""),"",ROUND((L9-K9+IF(L9&lt;K9,1,0))*24,2))</f>
        <v>0</v>
      </c>
      <c r="O9" s="28">
        <f>IF(H9="","",IFERROR(INDEX(Services!$E$5:$E$54,MATCH(H9,Services!$B$5:$B$54,0)),""))</f>
        <v>0</v>
      </c>
      <c r="P9" s="29">
        <f>IF(H9="","",IFERROR(INDEX(Services!$G$5:$G$54,MATCH(H9,Services!$B$5:$B$54,0)),0))</f>
        <v>0</v>
      </c>
      <c r="Q9" s="29">
        <f>IF(H9="","",IF(IFERROR(INDEX(Services!$H$5:$H$54,MATCH(H9,Services!$B$5:$B$54,0)),0)=0,ExtraPetFeeDefault,IFERROR(INDEX(Services!$H$5:$H$54,MATCH(H9,Services!$B$5:$B$54,0)),0)))</f>
        <v>0</v>
      </c>
      <c r="R9" s="30">
        <f>IF(H9="","",IF(IFERROR(INDEX(Services!$I$5:$I$54,MATCH(H9,Services!$B$5:$B$54,0)),0)=0,HolidaySurcharge,IFERROR(INDEX(Services!$I$5:$I$54,MATCH(H9,Services!$B$5:$B$54,0)),0)))</f>
        <v>0</v>
      </c>
      <c r="S9" s="30">
        <f>IF(H9="","",IF(IFERROR(INDEX(Services!$J$5:$J$54,MATCH(H9,Services!$B$5:$B$54,0)),0)=0,WeekendSurcharge,IFERROR(INDEX(Services!$J$5:$J$54,MATCH(H9,Services!$B$5:$B$54,0)),0)))</f>
        <v>0</v>
      </c>
      <c r="T9" s="50">
        <f>IF(H9="","",IFERROR(INDEX(Services!$K$5:$K$54,MATCH(H9,Services!$B$5:$B$54,0)),"No"))</f>
        <v>0</v>
      </c>
      <c r="U9" s="29">
        <f>IF(H9="","",ROUND(IF(O9="Per hour",P9*IF(M9="",IF(N9="",1,N9),M9),P9*IF(N9="",1,N9)),2))</f>
        <v>0</v>
      </c>
      <c r="V9" s="29">
        <f>IF(H9="","",ROUND(MAX(0,IF(G9="",1,G9)-1)*Q9,2))</f>
        <v>0</v>
      </c>
      <c r="W9" s="50">
        <f>IF(I9="","",IF(COUNTIF(HolidayDates,I9)&gt;0,"Yes","No"))</f>
        <v>0</v>
      </c>
      <c r="X9" s="50">
        <f>IF(I9="","",IF(WEEKDAY(I9,2)&gt;5,"Yes","No"))</f>
        <v>0</v>
      </c>
      <c r="Y9" s="29">
        <f>IF(H9="","",ROUND((U9+V9)*(IF(W9="Yes",R9,0)+IF(X9="Yes",S9,0)),2))</f>
        <v>0</v>
      </c>
      <c r="AA9" s="29">
        <f>IF(H9="","",IF(T9&lt;&gt;"Yes",0,ROUND(MAX(0,IF(Z9="",0,Z9)-FreeTravelDistance)*TravelFeeRate,2)))</f>
        <v>0</v>
      </c>
      <c r="AB9" s="31">
        <f>IF(I9="","",TravelTimeMins)</f>
        <v>0</v>
      </c>
      <c r="AC9" s="29">
        <f>IF(OR(I9="",B9=""),0,IF(I9-B9&lt;=LastMinuteDays,EmergencyFee,0))</f>
        <v>0</v>
      </c>
      <c r="AF9" s="29">
        <f>IF(H9="","",ROUND((U9+V9+Y9+AA9+AC9)*IF(AE9="",0,AE9),2))</f>
        <v>0</v>
      </c>
      <c r="AI9" s="29">
        <f>IF(H9="","",IF(AG9&lt;&gt;"",AG9,ROUND(U9+V9+Y9+AA9+AC9-AF9,2)))</f>
        <v>0</v>
      </c>
      <c r="AJ9" s="29">
        <f>IF(AI9="","",IF(TaxRegistered&lt;&gt;"Yes",0,IF(PricesIncludeTax="Yes",ROUND(AI9-AI9/(1+TaxRate),2),ROUND(AI9*TaxRate,2))))</f>
        <v>0</v>
      </c>
      <c r="AK9" s="29">
        <f>IF(AI9="","",IF(PricesIncludeTax="Yes",AI9,ROUND(AI9+AJ9,2)))</f>
        <v>0</v>
      </c>
      <c r="AQ9" s="21">
        <f>IF(OR(I9="",AP9="",AP9="None"),"",IF(AP9="Monthly",EDATE(I9,1),I9+IF(AP9="Daily",1,IF(AP9="Weekdays",IF(WEEKDAY(I9,2)&gt;=5,8-WEEKDAY(I9,2),1),IF(AP9="Weekly",7,IF(AP9="Fortnightly",14,0))))))</f>
        <v>0</v>
      </c>
      <c r="AR9" s="49">
        <f>IF(OR(I9="",AL9="",K9="",L9=""),"",IF(SUMPRODUCT((Bookings!$AL$5:$AL$404=AL9)*(Bookings!$I$5:$I$404=I9)*(Bookings!$K$5:$K$404&lt;L9)*(Bookings!$L$5:$L$404&gt;K9)*(Bookings!$AM$5:$AM$404&lt;&gt;"Cancelled"))&gt;1,"Conflict - double booked","OK"))</f>
        <v>0</v>
      </c>
      <c r="AS9" s="50">
        <f>IF(A9="","",IF(COUNTIF('Visit Log'!$B$5:$B$404,A9)&gt;0,"Yes","No"))</f>
        <v>0</v>
      </c>
      <c r="AT9" s="28">
        <f>IF(A9="","",IFERROR(INDEX(Invoices!$A$5:$A$304,MATCH(A9,Invoices!$E$5:$E$304,0)),""))</f>
        <v>0</v>
      </c>
      <c r="AU9" s="49">
        <f>IF(A9="","",IF(AT9="","Not invoiced",IFERROR(INDEX(Invoices!$U$5:$U$304,MATCH(AT9,Invoices!$A$5:$A$304,0)),"")))</f>
        <v>0</v>
      </c>
      <c r="AY9" s="28">
        <f>IF(I9="","",TEXT(I9,"yyyy-mm"))</f>
        <v>0</v>
      </c>
      <c r="AZ9" s="49">
        <f>IF(I9="","",IF(AM9="Cancelled","Cancelled",IF(AND(I9&lt;TODAY(),OR(AM9="Pending",AM9="Confirmed",AM9="Enquiry")),"Overdue - update status",IF(AND(AM9="Completed",AS9="No"),"Action - log the visit",IF(I9=TODAY(),"Today",IF(AND(I9&gt;TODAY(),I9-TODAY()&lt;=ReminderLeadDays,AN9&lt;&gt;"Yes"),"Action - unconfirmed",IF(AND(I9&gt;TODAY(),I9-TODAY()&lt;=ReminderLeadDays),"Upcoming","OK")))))))</f>
        <v>0</v>
      </c>
    </row>
    <row r="10" spans="1:52">
      <c r="A10" s="46">
        <f>IF(C10="","",BookingPrefix&amp;TEXT(ROW()-4,"0000"))</f>
        <v>0</v>
      </c>
      <c r="D10" s="28">
        <f>IF(C10="","",IFERROR(INDEX(Clients!$A$5:$A$254,MATCH(C10,Clients!$B$5:$B$254,0)),""))</f>
        <v>0</v>
      </c>
      <c r="J10" s="50">
        <f>IF(I10="","",TEXT(I10,"ddd"))</f>
        <v>0</v>
      </c>
      <c r="M10" s="51">
        <f>IF(OR(K10="",L10=""),"",ROUND((L10-K10+IF(L10&lt;K10,1,0))*24,2))</f>
        <v>0</v>
      </c>
      <c r="O10" s="28">
        <f>IF(H10="","",IFERROR(INDEX(Services!$E$5:$E$54,MATCH(H10,Services!$B$5:$B$54,0)),""))</f>
        <v>0</v>
      </c>
      <c r="P10" s="29">
        <f>IF(H10="","",IFERROR(INDEX(Services!$G$5:$G$54,MATCH(H10,Services!$B$5:$B$54,0)),0))</f>
        <v>0</v>
      </c>
      <c r="Q10" s="29">
        <f>IF(H10="","",IF(IFERROR(INDEX(Services!$H$5:$H$54,MATCH(H10,Services!$B$5:$B$54,0)),0)=0,ExtraPetFeeDefault,IFERROR(INDEX(Services!$H$5:$H$54,MATCH(H10,Services!$B$5:$B$54,0)),0)))</f>
        <v>0</v>
      </c>
      <c r="R10" s="30">
        <f>IF(H10="","",IF(IFERROR(INDEX(Services!$I$5:$I$54,MATCH(H10,Services!$B$5:$B$54,0)),0)=0,HolidaySurcharge,IFERROR(INDEX(Services!$I$5:$I$54,MATCH(H10,Services!$B$5:$B$54,0)),0)))</f>
        <v>0</v>
      </c>
      <c r="S10" s="30">
        <f>IF(H10="","",IF(IFERROR(INDEX(Services!$J$5:$J$54,MATCH(H10,Services!$B$5:$B$54,0)),0)=0,WeekendSurcharge,IFERROR(INDEX(Services!$J$5:$J$54,MATCH(H10,Services!$B$5:$B$54,0)),0)))</f>
        <v>0</v>
      </c>
      <c r="T10" s="50">
        <f>IF(H10="","",IFERROR(INDEX(Services!$K$5:$K$54,MATCH(H10,Services!$B$5:$B$54,0)),"No"))</f>
        <v>0</v>
      </c>
      <c r="U10" s="29">
        <f>IF(H10="","",ROUND(IF(O10="Per hour",P10*IF(M10="",IF(N10="",1,N10),M10),P10*IF(N10="",1,N10)),2))</f>
        <v>0</v>
      </c>
      <c r="V10" s="29">
        <f>IF(H10="","",ROUND(MAX(0,IF(G10="",1,G10)-1)*Q10,2))</f>
        <v>0</v>
      </c>
      <c r="W10" s="50">
        <f>IF(I10="","",IF(COUNTIF(HolidayDates,I10)&gt;0,"Yes","No"))</f>
        <v>0</v>
      </c>
      <c r="X10" s="50">
        <f>IF(I10="","",IF(WEEKDAY(I10,2)&gt;5,"Yes","No"))</f>
        <v>0</v>
      </c>
      <c r="Y10" s="29">
        <f>IF(H10="","",ROUND((U10+V10)*(IF(W10="Yes",R10,0)+IF(X10="Yes",S10,0)),2))</f>
        <v>0</v>
      </c>
      <c r="AA10" s="29">
        <f>IF(H10="","",IF(T10&lt;&gt;"Yes",0,ROUND(MAX(0,IF(Z10="",0,Z10)-FreeTravelDistance)*TravelFeeRate,2)))</f>
        <v>0</v>
      </c>
      <c r="AB10" s="31">
        <f>IF(I10="","",TravelTimeMins)</f>
        <v>0</v>
      </c>
      <c r="AC10" s="29">
        <f>IF(OR(I10="",B10=""),0,IF(I10-B10&lt;=LastMinuteDays,EmergencyFee,0))</f>
        <v>0</v>
      </c>
      <c r="AF10" s="29">
        <f>IF(H10="","",ROUND((U10+V10+Y10+AA10+AC10)*IF(AE10="",0,AE10),2))</f>
        <v>0</v>
      </c>
      <c r="AI10" s="29">
        <f>IF(H10="","",IF(AG10&lt;&gt;"",AG10,ROUND(U10+V10+Y10+AA10+AC10-AF10,2)))</f>
        <v>0</v>
      </c>
      <c r="AJ10" s="29">
        <f>IF(AI10="","",IF(TaxRegistered&lt;&gt;"Yes",0,IF(PricesIncludeTax="Yes",ROUND(AI10-AI10/(1+TaxRate),2),ROUND(AI10*TaxRate,2))))</f>
        <v>0</v>
      </c>
      <c r="AK10" s="29">
        <f>IF(AI10="","",IF(PricesIncludeTax="Yes",AI10,ROUND(AI10+AJ10,2)))</f>
        <v>0</v>
      </c>
      <c r="AQ10" s="21">
        <f>IF(OR(I10="",AP10="",AP10="None"),"",IF(AP10="Monthly",EDATE(I10,1),I10+IF(AP10="Daily",1,IF(AP10="Weekdays",IF(WEEKDAY(I10,2)&gt;=5,8-WEEKDAY(I10,2),1),IF(AP10="Weekly",7,IF(AP10="Fortnightly",14,0))))))</f>
        <v>0</v>
      </c>
      <c r="AR10" s="49">
        <f>IF(OR(I10="",AL10="",K10="",L10=""),"",IF(SUMPRODUCT((Bookings!$AL$5:$AL$404=AL10)*(Bookings!$I$5:$I$404=I10)*(Bookings!$K$5:$K$404&lt;L10)*(Bookings!$L$5:$L$404&gt;K10)*(Bookings!$AM$5:$AM$404&lt;&gt;"Cancelled"))&gt;1,"Conflict - double booked","OK"))</f>
        <v>0</v>
      </c>
      <c r="AS10" s="50">
        <f>IF(A10="","",IF(COUNTIF('Visit Log'!$B$5:$B$404,A10)&gt;0,"Yes","No"))</f>
        <v>0</v>
      </c>
      <c r="AT10" s="28">
        <f>IF(A10="","",IFERROR(INDEX(Invoices!$A$5:$A$304,MATCH(A10,Invoices!$E$5:$E$304,0)),""))</f>
        <v>0</v>
      </c>
      <c r="AU10" s="49">
        <f>IF(A10="","",IF(AT10="","Not invoiced",IFERROR(INDEX(Invoices!$U$5:$U$304,MATCH(AT10,Invoices!$A$5:$A$304,0)),"")))</f>
        <v>0</v>
      </c>
      <c r="AY10" s="28">
        <f>IF(I10="","",TEXT(I10,"yyyy-mm"))</f>
        <v>0</v>
      </c>
      <c r="AZ10" s="49">
        <f>IF(I10="","",IF(AM10="Cancelled","Cancelled",IF(AND(I10&lt;TODAY(),OR(AM10="Pending",AM10="Confirmed",AM10="Enquiry")),"Overdue - update status",IF(AND(AM10="Completed",AS10="No"),"Action - log the visit",IF(I10=TODAY(),"Today",IF(AND(I10&gt;TODAY(),I10-TODAY()&lt;=ReminderLeadDays,AN10&lt;&gt;"Yes"),"Action - unconfirmed",IF(AND(I10&gt;TODAY(),I10-TODAY()&lt;=ReminderLeadDays),"Upcoming","OK")))))))</f>
        <v>0</v>
      </c>
    </row>
    <row r="11" spans="1:52">
      <c r="A11" s="46">
        <f>IF(C11="","",BookingPrefix&amp;TEXT(ROW()-4,"0000"))</f>
        <v>0</v>
      </c>
      <c r="D11" s="28">
        <f>IF(C11="","",IFERROR(INDEX(Clients!$A$5:$A$254,MATCH(C11,Clients!$B$5:$B$254,0)),""))</f>
        <v>0</v>
      </c>
      <c r="J11" s="50">
        <f>IF(I11="","",TEXT(I11,"ddd"))</f>
        <v>0</v>
      </c>
      <c r="M11" s="51">
        <f>IF(OR(K11="",L11=""),"",ROUND((L11-K11+IF(L11&lt;K11,1,0))*24,2))</f>
        <v>0</v>
      </c>
      <c r="O11" s="28">
        <f>IF(H11="","",IFERROR(INDEX(Services!$E$5:$E$54,MATCH(H11,Services!$B$5:$B$54,0)),""))</f>
        <v>0</v>
      </c>
      <c r="P11" s="29">
        <f>IF(H11="","",IFERROR(INDEX(Services!$G$5:$G$54,MATCH(H11,Services!$B$5:$B$54,0)),0))</f>
        <v>0</v>
      </c>
      <c r="Q11" s="29">
        <f>IF(H11="","",IF(IFERROR(INDEX(Services!$H$5:$H$54,MATCH(H11,Services!$B$5:$B$54,0)),0)=0,ExtraPetFeeDefault,IFERROR(INDEX(Services!$H$5:$H$54,MATCH(H11,Services!$B$5:$B$54,0)),0)))</f>
        <v>0</v>
      </c>
      <c r="R11" s="30">
        <f>IF(H11="","",IF(IFERROR(INDEX(Services!$I$5:$I$54,MATCH(H11,Services!$B$5:$B$54,0)),0)=0,HolidaySurcharge,IFERROR(INDEX(Services!$I$5:$I$54,MATCH(H11,Services!$B$5:$B$54,0)),0)))</f>
        <v>0</v>
      </c>
      <c r="S11" s="30">
        <f>IF(H11="","",IF(IFERROR(INDEX(Services!$J$5:$J$54,MATCH(H11,Services!$B$5:$B$54,0)),0)=0,WeekendSurcharge,IFERROR(INDEX(Services!$J$5:$J$54,MATCH(H11,Services!$B$5:$B$54,0)),0)))</f>
        <v>0</v>
      </c>
      <c r="T11" s="50">
        <f>IF(H11="","",IFERROR(INDEX(Services!$K$5:$K$54,MATCH(H11,Services!$B$5:$B$54,0)),"No"))</f>
        <v>0</v>
      </c>
      <c r="U11" s="29">
        <f>IF(H11="","",ROUND(IF(O11="Per hour",P11*IF(M11="",IF(N11="",1,N11),M11),P11*IF(N11="",1,N11)),2))</f>
        <v>0</v>
      </c>
      <c r="V11" s="29">
        <f>IF(H11="","",ROUND(MAX(0,IF(G11="",1,G11)-1)*Q11,2))</f>
        <v>0</v>
      </c>
      <c r="W11" s="50">
        <f>IF(I11="","",IF(COUNTIF(HolidayDates,I11)&gt;0,"Yes","No"))</f>
        <v>0</v>
      </c>
      <c r="X11" s="50">
        <f>IF(I11="","",IF(WEEKDAY(I11,2)&gt;5,"Yes","No"))</f>
        <v>0</v>
      </c>
      <c r="Y11" s="29">
        <f>IF(H11="","",ROUND((U11+V11)*(IF(W11="Yes",R11,0)+IF(X11="Yes",S11,0)),2))</f>
        <v>0</v>
      </c>
      <c r="AA11" s="29">
        <f>IF(H11="","",IF(T11&lt;&gt;"Yes",0,ROUND(MAX(0,IF(Z11="",0,Z11)-FreeTravelDistance)*TravelFeeRate,2)))</f>
        <v>0</v>
      </c>
      <c r="AB11" s="31">
        <f>IF(I11="","",TravelTimeMins)</f>
        <v>0</v>
      </c>
      <c r="AC11" s="29">
        <f>IF(OR(I11="",B11=""),0,IF(I11-B11&lt;=LastMinuteDays,EmergencyFee,0))</f>
        <v>0</v>
      </c>
      <c r="AF11" s="29">
        <f>IF(H11="","",ROUND((U11+V11+Y11+AA11+AC11)*IF(AE11="",0,AE11),2))</f>
        <v>0</v>
      </c>
      <c r="AI11" s="29">
        <f>IF(H11="","",IF(AG11&lt;&gt;"",AG11,ROUND(U11+V11+Y11+AA11+AC11-AF11,2)))</f>
        <v>0</v>
      </c>
      <c r="AJ11" s="29">
        <f>IF(AI11="","",IF(TaxRegistered&lt;&gt;"Yes",0,IF(PricesIncludeTax="Yes",ROUND(AI11-AI11/(1+TaxRate),2),ROUND(AI11*TaxRate,2))))</f>
        <v>0</v>
      </c>
      <c r="AK11" s="29">
        <f>IF(AI11="","",IF(PricesIncludeTax="Yes",AI11,ROUND(AI11+AJ11,2)))</f>
        <v>0</v>
      </c>
      <c r="AQ11" s="21">
        <f>IF(OR(I11="",AP11="",AP11="None"),"",IF(AP11="Monthly",EDATE(I11,1),I11+IF(AP11="Daily",1,IF(AP11="Weekdays",IF(WEEKDAY(I11,2)&gt;=5,8-WEEKDAY(I11,2),1),IF(AP11="Weekly",7,IF(AP11="Fortnightly",14,0))))))</f>
        <v>0</v>
      </c>
      <c r="AR11" s="49">
        <f>IF(OR(I11="",AL11="",K11="",L11=""),"",IF(SUMPRODUCT((Bookings!$AL$5:$AL$404=AL11)*(Bookings!$I$5:$I$404=I11)*(Bookings!$K$5:$K$404&lt;L11)*(Bookings!$L$5:$L$404&gt;K11)*(Bookings!$AM$5:$AM$404&lt;&gt;"Cancelled"))&gt;1,"Conflict - double booked","OK"))</f>
        <v>0</v>
      </c>
      <c r="AS11" s="50">
        <f>IF(A11="","",IF(COUNTIF('Visit Log'!$B$5:$B$404,A11)&gt;0,"Yes","No"))</f>
        <v>0</v>
      </c>
      <c r="AT11" s="28">
        <f>IF(A11="","",IFERROR(INDEX(Invoices!$A$5:$A$304,MATCH(A11,Invoices!$E$5:$E$304,0)),""))</f>
        <v>0</v>
      </c>
      <c r="AU11" s="49">
        <f>IF(A11="","",IF(AT11="","Not invoiced",IFERROR(INDEX(Invoices!$U$5:$U$304,MATCH(AT11,Invoices!$A$5:$A$304,0)),"")))</f>
        <v>0</v>
      </c>
      <c r="AY11" s="28">
        <f>IF(I11="","",TEXT(I11,"yyyy-mm"))</f>
        <v>0</v>
      </c>
      <c r="AZ11" s="49">
        <f>IF(I11="","",IF(AM11="Cancelled","Cancelled",IF(AND(I11&lt;TODAY(),OR(AM11="Pending",AM11="Confirmed",AM11="Enquiry")),"Overdue - update status",IF(AND(AM11="Completed",AS11="No"),"Action - log the visit",IF(I11=TODAY(),"Today",IF(AND(I11&gt;TODAY(),I11-TODAY()&lt;=ReminderLeadDays,AN11&lt;&gt;"Yes"),"Action - unconfirmed",IF(AND(I11&gt;TODAY(),I11-TODAY()&lt;=ReminderLeadDays),"Upcoming","OK")))))))</f>
        <v>0</v>
      </c>
    </row>
    <row r="12" spans="1:52">
      <c r="A12" s="46">
        <f>IF(C12="","",BookingPrefix&amp;TEXT(ROW()-4,"0000"))</f>
        <v>0</v>
      </c>
      <c r="D12" s="28">
        <f>IF(C12="","",IFERROR(INDEX(Clients!$A$5:$A$254,MATCH(C12,Clients!$B$5:$B$254,0)),""))</f>
        <v>0</v>
      </c>
      <c r="J12" s="50">
        <f>IF(I12="","",TEXT(I12,"ddd"))</f>
        <v>0</v>
      </c>
      <c r="M12" s="51">
        <f>IF(OR(K12="",L12=""),"",ROUND((L12-K12+IF(L12&lt;K12,1,0))*24,2))</f>
        <v>0</v>
      </c>
      <c r="O12" s="28">
        <f>IF(H12="","",IFERROR(INDEX(Services!$E$5:$E$54,MATCH(H12,Services!$B$5:$B$54,0)),""))</f>
        <v>0</v>
      </c>
      <c r="P12" s="29">
        <f>IF(H12="","",IFERROR(INDEX(Services!$G$5:$G$54,MATCH(H12,Services!$B$5:$B$54,0)),0))</f>
        <v>0</v>
      </c>
      <c r="Q12" s="29">
        <f>IF(H12="","",IF(IFERROR(INDEX(Services!$H$5:$H$54,MATCH(H12,Services!$B$5:$B$54,0)),0)=0,ExtraPetFeeDefault,IFERROR(INDEX(Services!$H$5:$H$54,MATCH(H12,Services!$B$5:$B$54,0)),0)))</f>
        <v>0</v>
      </c>
      <c r="R12" s="30">
        <f>IF(H12="","",IF(IFERROR(INDEX(Services!$I$5:$I$54,MATCH(H12,Services!$B$5:$B$54,0)),0)=0,HolidaySurcharge,IFERROR(INDEX(Services!$I$5:$I$54,MATCH(H12,Services!$B$5:$B$54,0)),0)))</f>
        <v>0</v>
      </c>
      <c r="S12" s="30">
        <f>IF(H12="","",IF(IFERROR(INDEX(Services!$J$5:$J$54,MATCH(H12,Services!$B$5:$B$54,0)),0)=0,WeekendSurcharge,IFERROR(INDEX(Services!$J$5:$J$54,MATCH(H12,Services!$B$5:$B$54,0)),0)))</f>
        <v>0</v>
      </c>
      <c r="T12" s="50">
        <f>IF(H12="","",IFERROR(INDEX(Services!$K$5:$K$54,MATCH(H12,Services!$B$5:$B$54,0)),"No"))</f>
        <v>0</v>
      </c>
      <c r="U12" s="29">
        <f>IF(H12="","",ROUND(IF(O12="Per hour",P12*IF(M12="",IF(N12="",1,N12),M12),P12*IF(N12="",1,N12)),2))</f>
        <v>0</v>
      </c>
      <c r="V12" s="29">
        <f>IF(H12="","",ROUND(MAX(0,IF(G12="",1,G12)-1)*Q12,2))</f>
        <v>0</v>
      </c>
      <c r="W12" s="50">
        <f>IF(I12="","",IF(COUNTIF(HolidayDates,I12)&gt;0,"Yes","No"))</f>
        <v>0</v>
      </c>
      <c r="X12" s="50">
        <f>IF(I12="","",IF(WEEKDAY(I12,2)&gt;5,"Yes","No"))</f>
        <v>0</v>
      </c>
      <c r="Y12" s="29">
        <f>IF(H12="","",ROUND((U12+V12)*(IF(W12="Yes",R12,0)+IF(X12="Yes",S12,0)),2))</f>
        <v>0</v>
      </c>
      <c r="AA12" s="29">
        <f>IF(H12="","",IF(T12&lt;&gt;"Yes",0,ROUND(MAX(0,IF(Z12="",0,Z12)-FreeTravelDistance)*TravelFeeRate,2)))</f>
        <v>0</v>
      </c>
      <c r="AB12" s="31">
        <f>IF(I12="","",TravelTimeMins)</f>
        <v>0</v>
      </c>
      <c r="AC12" s="29">
        <f>IF(OR(I12="",B12=""),0,IF(I12-B12&lt;=LastMinuteDays,EmergencyFee,0))</f>
        <v>0</v>
      </c>
      <c r="AF12" s="29">
        <f>IF(H12="","",ROUND((U12+V12+Y12+AA12+AC12)*IF(AE12="",0,AE12),2))</f>
        <v>0</v>
      </c>
      <c r="AI12" s="29">
        <f>IF(H12="","",IF(AG12&lt;&gt;"",AG12,ROUND(U12+V12+Y12+AA12+AC12-AF12,2)))</f>
        <v>0</v>
      </c>
      <c r="AJ12" s="29">
        <f>IF(AI12="","",IF(TaxRegistered&lt;&gt;"Yes",0,IF(PricesIncludeTax="Yes",ROUND(AI12-AI12/(1+TaxRate),2),ROUND(AI12*TaxRate,2))))</f>
        <v>0</v>
      </c>
      <c r="AK12" s="29">
        <f>IF(AI12="","",IF(PricesIncludeTax="Yes",AI12,ROUND(AI12+AJ12,2)))</f>
        <v>0</v>
      </c>
      <c r="AQ12" s="21">
        <f>IF(OR(I12="",AP12="",AP12="None"),"",IF(AP12="Monthly",EDATE(I12,1),I12+IF(AP12="Daily",1,IF(AP12="Weekdays",IF(WEEKDAY(I12,2)&gt;=5,8-WEEKDAY(I12,2),1),IF(AP12="Weekly",7,IF(AP12="Fortnightly",14,0))))))</f>
        <v>0</v>
      </c>
      <c r="AR12" s="49">
        <f>IF(OR(I12="",AL12="",K12="",L12=""),"",IF(SUMPRODUCT((Bookings!$AL$5:$AL$404=AL12)*(Bookings!$I$5:$I$404=I12)*(Bookings!$K$5:$K$404&lt;L12)*(Bookings!$L$5:$L$404&gt;K12)*(Bookings!$AM$5:$AM$404&lt;&gt;"Cancelled"))&gt;1,"Conflict - double booked","OK"))</f>
        <v>0</v>
      </c>
      <c r="AS12" s="50">
        <f>IF(A12="","",IF(COUNTIF('Visit Log'!$B$5:$B$404,A12)&gt;0,"Yes","No"))</f>
        <v>0</v>
      </c>
      <c r="AT12" s="28">
        <f>IF(A12="","",IFERROR(INDEX(Invoices!$A$5:$A$304,MATCH(A12,Invoices!$E$5:$E$304,0)),""))</f>
        <v>0</v>
      </c>
      <c r="AU12" s="49">
        <f>IF(A12="","",IF(AT12="","Not invoiced",IFERROR(INDEX(Invoices!$U$5:$U$304,MATCH(AT12,Invoices!$A$5:$A$304,0)),"")))</f>
        <v>0</v>
      </c>
      <c r="AY12" s="28">
        <f>IF(I12="","",TEXT(I12,"yyyy-mm"))</f>
        <v>0</v>
      </c>
      <c r="AZ12" s="49">
        <f>IF(I12="","",IF(AM12="Cancelled","Cancelled",IF(AND(I12&lt;TODAY(),OR(AM12="Pending",AM12="Confirmed",AM12="Enquiry")),"Overdue - update status",IF(AND(AM12="Completed",AS12="No"),"Action - log the visit",IF(I12=TODAY(),"Today",IF(AND(I12&gt;TODAY(),I12-TODAY()&lt;=ReminderLeadDays,AN12&lt;&gt;"Yes"),"Action - unconfirmed",IF(AND(I12&gt;TODAY(),I12-TODAY()&lt;=ReminderLeadDays),"Upcoming","OK")))))))</f>
        <v>0</v>
      </c>
    </row>
    <row r="13" spans="1:52">
      <c r="A13" s="46">
        <f>IF(C13="","",BookingPrefix&amp;TEXT(ROW()-4,"0000"))</f>
        <v>0</v>
      </c>
      <c r="D13" s="28">
        <f>IF(C13="","",IFERROR(INDEX(Clients!$A$5:$A$254,MATCH(C13,Clients!$B$5:$B$254,0)),""))</f>
        <v>0</v>
      </c>
      <c r="J13" s="50">
        <f>IF(I13="","",TEXT(I13,"ddd"))</f>
        <v>0</v>
      </c>
      <c r="M13" s="51">
        <f>IF(OR(K13="",L13=""),"",ROUND((L13-K13+IF(L13&lt;K13,1,0))*24,2))</f>
        <v>0</v>
      </c>
      <c r="O13" s="28">
        <f>IF(H13="","",IFERROR(INDEX(Services!$E$5:$E$54,MATCH(H13,Services!$B$5:$B$54,0)),""))</f>
        <v>0</v>
      </c>
      <c r="P13" s="29">
        <f>IF(H13="","",IFERROR(INDEX(Services!$G$5:$G$54,MATCH(H13,Services!$B$5:$B$54,0)),0))</f>
        <v>0</v>
      </c>
      <c r="Q13" s="29">
        <f>IF(H13="","",IF(IFERROR(INDEX(Services!$H$5:$H$54,MATCH(H13,Services!$B$5:$B$54,0)),0)=0,ExtraPetFeeDefault,IFERROR(INDEX(Services!$H$5:$H$54,MATCH(H13,Services!$B$5:$B$54,0)),0)))</f>
        <v>0</v>
      </c>
      <c r="R13" s="30">
        <f>IF(H13="","",IF(IFERROR(INDEX(Services!$I$5:$I$54,MATCH(H13,Services!$B$5:$B$54,0)),0)=0,HolidaySurcharge,IFERROR(INDEX(Services!$I$5:$I$54,MATCH(H13,Services!$B$5:$B$54,0)),0)))</f>
        <v>0</v>
      </c>
      <c r="S13" s="30">
        <f>IF(H13="","",IF(IFERROR(INDEX(Services!$J$5:$J$54,MATCH(H13,Services!$B$5:$B$54,0)),0)=0,WeekendSurcharge,IFERROR(INDEX(Services!$J$5:$J$54,MATCH(H13,Services!$B$5:$B$54,0)),0)))</f>
        <v>0</v>
      </c>
      <c r="T13" s="50">
        <f>IF(H13="","",IFERROR(INDEX(Services!$K$5:$K$54,MATCH(H13,Services!$B$5:$B$54,0)),"No"))</f>
        <v>0</v>
      </c>
      <c r="U13" s="29">
        <f>IF(H13="","",ROUND(IF(O13="Per hour",P13*IF(M13="",IF(N13="",1,N13),M13),P13*IF(N13="",1,N13)),2))</f>
        <v>0</v>
      </c>
      <c r="V13" s="29">
        <f>IF(H13="","",ROUND(MAX(0,IF(G13="",1,G13)-1)*Q13,2))</f>
        <v>0</v>
      </c>
      <c r="W13" s="50">
        <f>IF(I13="","",IF(COUNTIF(HolidayDates,I13)&gt;0,"Yes","No"))</f>
        <v>0</v>
      </c>
      <c r="X13" s="50">
        <f>IF(I13="","",IF(WEEKDAY(I13,2)&gt;5,"Yes","No"))</f>
        <v>0</v>
      </c>
      <c r="Y13" s="29">
        <f>IF(H13="","",ROUND((U13+V13)*(IF(W13="Yes",R13,0)+IF(X13="Yes",S13,0)),2))</f>
        <v>0</v>
      </c>
      <c r="AA13" s="29">
        <f>IF(H13="","",IF(T13&lt;&gt;"Yes",0,ROUND(MAX(0,IF(Z13="",0,Z13)-FreeTravelDistance)*TravelFeeRate,2)))</f>
        <v>0</v>
      </c>
      <c r="AB13" s="31">
        <f>IF(I13="","",TravelTimeMins)</f>
        <v>0</v>
      </c>
      <c r="AC13" s="29">
        <f>IF(OR(I13="",B13=""),0,IF(I13-B13&lt;=LastMinuteDays,EmergencyFee,0))</f>
        <v>0</v>
      </c>
      <c r="AF13" s="29">
        <f>IF(H13="","",ROUND((U13+V13+Y13+AA13+AC13)*IF(AE13="",0,AE13),2))</f>
        <v>0</v>
      </c>
      <c r="AI13" s="29">
        <f>IF(H13="","",IF(AG13&lt;&gt;"",AG13,ROUND(U13+V13+Y13+AA13+AC13-AF13,2)))</f>
        <v>0</v>
      </c>
      <c r="AJ13" s="29">
        <f>IF(AI13="","",IF(TaxRegistered&lt;&gt;"Yes",0,IF(PricesIncludeTax="Yes",ROUND(AI13-AI13/(1+TaxRate),2),ROUND(AI13*TaxRate,2))))</f>
        <v>0</v>
      </c>
      <c r="AK13" s="29">
        <f>IF(AI13="","",IF(PricesIncludeTax="Yes",AI13,ROUND(AI13+AJ13,2)))</f>
        <v>0</v>
      </c>
      <c r="AQ13" s="21">
        <f>IF(OR(I13="",AP13="",AP13="None"),"",IF(AP13="Monthly",EDATE(I13,1),I13+IF(AP13="Daily",1,IF(AP13="Weekdays",IF(WEEKDAY(I13,2)&gt;=5,8-WEEKDAY(I13,2),1),IF(AP13="Weekly",7,IF(AP13="Fortnightly",14,0))))))</f>
        <v>0</v>
      </c>
      <c r="AR13" s="49">
        <f>IF(OR(I13="",AL13="",K13="",L13=""),"",IF(SUMPRODUCT((Bookings!$AL$5:$AL$404=AL13)*(Bookings!$I$5:$I$404=I13)*(Bookings!$K$5:$K$404&lt;L13)*(Bookings!$L$5:$L$404&gt;K13)*(Bookings!$AM$5:$AM$404&lt;&gt;"Cancelled"))&gt;1,"Conflict - double booked","OK"))</f>
        <v>0</v>
      </c>
      <c r="AS13" s="50">
        <f>IF(A13="","",IF(COUNTIF('Visit Log'!$B$5:$B$404,A13)&gt;0,"Yes","No"))</f>
        <v>0</v>
      </c>
      <c r="AT13" s="28">
        <f>IF(A13="","",IFERROR(INDEX(Invoices!$A$5:$A$304,MATCH(A13,Invoices!$E$5:$E$304,0)),""))</f>
        <v>0</v>
      </c>
      <c r="AU13" s="49">
        <f>IF(A13="","",IF(AT13="","Not invoiced",IFERROR(INDEX(Invoices!$U$5:$U$304,MATCH(AT13,Invoices!$A$5:$A$304,0)),"")))</f>
        <v>0</v>
      </c>
      <c r="AY13" s="28">
        <f>IF(I13="","",TEXT(I13,"yyyy-mm"))</f>
        <v>0</v>
      </c>
      <c r="AZ13" s="49">
        <f>IF(I13="","",IF(AM13="Cancelled","Cancelled",IF(AND(I13&lt;TODAY(),OR(AM13="Pending",AM13="Confirmed",AM13="Enquiry")),"Overdue - update status",IF(AND(AM13="Completed",AS13="No"),"Action - log the visit",IF(I13=TODAY(),"Today",IF(AND(I13&gt;TODAY(),I13-TODAY()&lt;=ReminderLeadDays,AN13&lt;&gt;"Yes"),"Action - unconfirmed",IF(AND(I13&gt;TODAY(),I13-TODAY()&lt;=ReminderLeadDays),"Upcoming","OK")))))))</f>
        <v>0</v>
      </c>
    </row>
    <row r="14" spans="1:52">
      <c r="A14" s="46">
        <f>IF(C14="","",BookingPrefix&amp;TEXT(ROW()-4,"0000"))</f>
        <v>0</v>
      </c>
      <c r="D14" s="28">
        <f>IF(C14="","",IFERROR(INDEX(Clients!$A$5:$A$254,MATCH(C14,Clients!$B$5:$B$254,0)),""))</f>
        <v>0</v>
      </c>
      <c r="J14" s="50">
        <f>IF(I14="","",TEXT(I14,"ddd"))</f>
        <v>0</v>
      </c>
      <c r="M14" s="51">
        <f>IF(OR(K14="",L14=""),"",ROUND((L14-K14+IF(L14&lt;K14,1,0))*24,2))</f>
        <v>0</v>
      </c>
      <c r="O14" s="28">
        <f>IF(H14="","",IFERROR(INDEX(Services!$E$5:$E$54,MATCH(H14,Services!$B$5:$B$54,0)),""))</f>
        <v>0</v>
      </c>
      <c r="P14" s="29">
        <f>IF(H14="","",IFERROR(INDEX(Services!$G$5:$G$54,MATCH(H14,Services!$B$5:$B$54,0)),0))</f>
        <v>0</v>
      </c>
      <c r="Q14" s="29">
        <f>IF(H14="","",IF(IFERROR(INDEX(Services!$H$5:$H$54,MATCH(H14,Services!$B$5:$B$54,0)),0)=0,ExtraPetFeeDefault,IFERROR(INDEX(Services!$H$5:$H$54,MATCH(H14,Services!$B$5:$B$54,0)),0)))</f>
        <v>0</v>
      </c>
      <c r="R14" s="30">
        <f>IF(H14="","",IF(IFERROR(INDEX(Services!$I$5:$I$54,MATCH(H14,Services!$B$5:$B$54,0)),0)=0,HolidaySurcharge,IFERROR(INDEX(Services!$I$5:$I$54,MATCH(H14,Services!$B$5:$B$54,0)),0)))</f>
        <v>0</v>
      </c>
      <c r="S14" s="30">
        <f>IF(H14="","",IF(IFERROR(INDEX(Services!$J$5:$J$54,MATCH(H14,Services!$B$5:$B$54,0)),0)=0,WeekendSurcharge,IFERROR(INDEX(Services!$J$5:$J$54,MATCH(H14,Services!$B$5:$B$54,0)),0)))</f>
        <v>0</v>
      </c>
      <c r="T14" s="50">
        <f>IF(H14="","",IFERROR(INDEX(Services!$K$5:$K$54,MATCH(H14,Services!$B$5:$B$54,0)),"No"))</f>
        <v>0</v>
      </c>
      <c r="U14" s="29">
        <f>IF(H14="","",ROUND(IF(O14="Per hour",P14*IF(M14="",IF(N14="",1,N14),M14),P14*IF(N14="",1,N14)),2))</f>
        <v>0</v>
      </c>
      <c r="V14" s="29">
        <f>IF(H14="","",ROUND(MAX(0,IF(G14="",1,G14)-1)*Q14,2))</f>
        <v>0</v>
      </c>
      <c r="W14" s="50">
        <f>IF(I14="","",IF(COUNTIF(HolidayDates,I14)&gt;0,"Yes","No"))</f>
        <v>0</v>
      </c>
      <c r="X14" s="50">
        <f>IF(I14="","",IF(WEEKDAY(I14,2)&gt;5,"Yes","No"))</f>
        <v>0</v>
      </c>
      <c r="Y14" s="29">
        <f>IF(H14="","",ROUND((U14+V14)*(IF(W14="Yes",R14,0)+IF(X14="Yes",S14,0)),2))</f>
        <v>0</v>
      </c>
      <c r="AA14" s="29">
        <f>IF(H14="","",IF(T14&lt;&gt;"Yes",0,ROUND(MAX(0,IF(Z14="",0,Z14)-FreeTravelDistance)*TravelFeeRate,2)))</f>
        <v>0</v>
      </c>
      <c r="AB14" s="31">
        <f>IF(I14="","",TravelTimeMins)</f>
        <v>0</v>
      </c>
      <c r="AC14" s="29">
        <f>IF(OR(I14="",B14=""),0,IF(I14-B14&lt;=LastMinuteDays,EmergencyFee,0))</f>
        <v>0</v>
      </c>
      <c r="AF14" s="29">
        <f>IF(H14="","",ROUND((U14+V14+Y14+AA14+AC14)*IF(AE14="",0,AE14),2))</f>
        <v>0</v>
      </c>
      <c r="AI14" s="29">
        <f>IF(H14="","",IF(AG14&lt;&gt;"",AG14,ROUND(U14+V14+Y14+AA14+AC14-AF14,2)))</f>
        <v>0</v>
      </c>
      <c r="AJ14" s="29">
        <f>IF(AI14="","",IF(TaxRegistered&lt;&gt;"Yes",0,IF(PricesIncludeTax="Yes",ROUND(AI14-AI14/(1+TaxRate),2),ROUND(AI14*TaxRate,2))))</f>
        <v>0</v>
      </c>
      <c r="AK14" s="29">
        <f>IF(AI14="","",IF(PricesIncludeTax="Yes",AI14,ROUND(AI14+AJ14,2)))</f>
        <v>0</v>
      </c>
      <c r="AQ14" s="21">
        <f>IF(OR(I14="",AP14="",AP14="None"),"",IF(AP14="Monthly",EDATE(I14,1),I14+IF(AP14="Daily",1,IF(AP14="Weekdays",IF(WEEKDAY(I14,2)&gt;=5,8-WEEKDAY(I14,2),1),IF(AP14="Weekly",7,IF(AP14="Fortnightly",14,0))))))</f>
        <v>0</v>
      </c>
      <c r="AR14" s="49">
        <f>IF(OR(I14="",AL14="",K14="",L14=""),"",IF(SUMPRODUCT((Bookings!$AL$5:$AL$404=AL14)*(Bookings!$I$5:$I$404=I14)*(Bookings!$K$5:$K$404&lt;L14)*(Bookings!$L$5:$L$404&gt;K14)*(Bookings!$AM$5:$AM$404&lt;&gt;"Cancelled"))&gt;1,"Conflict - double booked","OK"))</f>
        <v>0</v>
      </c>
      <c r="AS14" s="50">
        <f>IF(A14="","",IF(COUNTIF('Visit Log'!$B$5:$B$404,A14)&gt;0,"Yes","No"))</f>
        <v>0</v>
      </c>
      <c r="AT14" s="28">
        <f>IF(A14="","",IFERROR(INDEX(Invoices!$A$5:$A$304,MATCH(A14,Invoices!$E$5:$E$304,0)),""))</f>
        <v>0</v>
      </c>
      <c r="AU14" s="49">
        <f>IF(A14="","",IF(AT14="","Not invoiced",IFERROR(INDEX(Invoices!$U$5:$U$304,MATCH(AT14,Invoices!$A$5:$A$304,0)),"")))</f>
        <v>0</v>
      </c>
      <c r="AY14" s="28">
        <f>IF(I14="","",TEXT(I14,"yyyy-mm"))</f>
        <v>0</v>
      </c>
      <c r="AZ14" s="49">
        <f>IF(I14="","",IF(AM14="Cancelled","Cancelled",IF(AND(I14&lt;TODAY(),OR(AM14="Pending",AM14="Confirmed",AM14="Enquiry")),"Overdue - update status",IF(AND(AM14="Completed",AS14="No"),"Action - log the visit",IF(I14=TODAY(),"Today",IF(AND(I14&gt;TODAY(),I14-TODAY()&lt;=ReminderLeadDays,AN14&lt;&gt;"Yes"),"Action - unconfirmed",IF(AND(I14&gt;TODAY(),I14-TODAY()&lt;=ReminderLeadDays),"Upcoming","OK")))))))</f>
        <v>0</v>
      </c>
    </row>
    <row r="15" spans="1:52">
      <c r="A15" s="46">
        <f>IF(C15="","",BookingPrefix&amp;TEXT(ROW()-4,"0000"))</f>
        <v>0</v>
      </c>
      <c r="D15" s="28">
        <f>IF(C15="","",IFERROR(INDEX(Clients!$A$5:$A$254,MATCH(C15,Clients!$B$5:$B$254,0)),""))</f>
        <v>0</v>
      </c>
      <c r="J15" s="50">
        <f>IF(I15="","",TEXT(I15,"ddd"))</f>
        <v>0</v>
      </c>
      <c r="M15" s="51">
        <f>IF(OR(K15="",L15=""),"",ROUND((L15-K15+IF(L15&lt;K15,1,0))*24,2))</f>
        <v>0</v>
      </c>
      <c r="O15" s="28">
        <f>IF(H15="","",IFERROR(INDEX(Services!$E$5:$E$54,MATCH(H15,Services!$B$5:$B$54,0)),""))</f>
        <v>0</v>
      </c>
      <c r="P15" s="29">
        <f>IF(H15="","",IFERROR(INDEX(Services!$G$5:$G$54,MATCH(H15,Services!$B$5:$B$54,0)),0))</f>
        <v>0</v>
      </c>
      <c r="Q15" s="29">
        <f>IF(H15="","",IF(IFERROR(INDEX(Services!$H$5:$H$54,MATCH(H15,Services!$B$5:$B$54,0)),0)=0,ExtraPetFeeDefault,IFERROR(INDEX(Services!$H$5:$H$54,MATCH(H15,Services!$B$5:$B$54,0)),0)))</f>
        <v>0</v>
      </c>
      <c r="R15" s="30">
        <f>IF(H15="","",IF(IFERROR(INDEX(Services!$I$5:$I$54,MATCH(H15,Services!$B$5:$B$54,0)),0)=0,HolidaySurcharge,IFERROR(INDEX(Services!$I$5:$I$54,MATCH(H15,Services!$B$5:$B$54,0)),0)))</f>
        <v>0</v>
      </c>
      <c r="S15" s="30">
        <f>IF(H15="","",IF(IFERROR(INDEX(Services!$J$5:$J$54,MATCH(H15,Services!$B$5:$B$54,0)),0)=0,WeekendSurcharge,IFERROR(INDEX(Services!$J$5:$J$54,MATCH(H15,Services!$B$5:$B$54,0)),0)))</f>
        <v>0</v>
      </c>
      <c r="T15" s="50">
        <f>IF(H15="","",IFERROR(INDEX(Services!$K$5:$K$54,MATCH(H15,Services!$B$5:$B$54,0)),"No"))</f>
        <v>0</v>
      </c>
      <c r="U15" s="29">
        <f>IF(H15="","",ROUND(IF(O15="Per hour",P15*IF(M15="",IF(N15="",1,N15),M15),P15*IF(N15="",1,N15)),2))</f>
        <v>0</v>
      </c>
      <c r="V15" s="29">
        <f>IF(H15="","",ROUND(MAX(0,IF(G15="",1,G15)-1)*Q15,2))</f>
        <v>0</v>
      </c>
      <c r="W15" s="50">
        <f>IF(I15="","",IF(COUNTIF(HolidayDates,I15)&gt;0,"Yes","No"))</f>
        <v>0</v>
      </c>
      <c r="X15" s="50">
        <f>IF(I15="","",IF(WEEKDAY(I15,2)&gt;5,"Yes","No"))</f>
        <v>0</v>
      </c>
      <c r="Y15" s="29">
        <f>IF(H15="","",ROUND((U15+V15)*(IF(W15="Yes",R15,0)+IF(X15="Yes",S15,0)),2))</f>
        <v>0</v>
      </c>
      <c r="AA15" s="29">
        <f>IF(H15="","",IF(T15&lt;&gt;"Yes",0,ROUND(MAX(0,IF(Z15="",0,Z15)-FreeTravelDistance)*TravelFeeRate,2)))</f>
        <v>0</v>
      </c>
      <c r="AB15" s="31">
        <f>IF(I15="","",TravelTimeMins)</f>
        <v>0</v>
      </c>
      <c r="AC15" s="29">
        <f>IF(OR(I15="",B15=""),0,IF(I15-B15&lt;=LastMinuteDays,EmergencyFee,0))</f>
        <v>0</v>
      </c>
      <c r="AF15" s="29">
        <f>IF(H15="","",ROUND((U15+V15+Y15+AA15+AC15)*IF(AE15="",0,AE15),2))</f>
        <v>0</v>
      </c>
      <c r="AI15" s="29">
        <f>IF(H15="","",IF(AG15&lt;&gt;"",AG15,ROUND(U15+V15+Y15+AA15+AC15-AF15,2)))</f>
        <v>0</v>
      </c>
      <c r="AJ15" s="29">
        <f>IF(AI15="","",IF(TaxRegistered&lt;&gt;"Yes",0,IF(PricesIncludeTax="Yes",ROUND(AI15-AI15/(1+TaxRate),2),ROUND(AI15*TaxRate,2))))</f>
        <v>0</v>
      </c>
      <c r="AK15" s="29">
        <f>IF(AI15="","",IF(PricesIncludeTax="Yes",AI15,ROUND(AI15+AJ15,2)))</f>
        <v>0</v>
      </c>
      <c r="AQ15" s="21">
        <f>IF(OR(I15="",AP15="",AP15="None"),"",IF(AP15="Monthly",EDATE(I15,1),I15+IF(AP15="Daily",1,IF(AP15="Weekdays",IF(WEEKDAY(I15,2)&gt;=5,8-WEEKDAY(I15,2),1),IF(AP15="Weekly",7,IF(AP15="Fortnightly",14,0))))))</f>
        <v>0</v>
      </c>
      <c r="AR15" s="49">
        <f>IF(OR(I15="",AL15="",K15="",L15=""),"",IF(SUMPRODUCT((Bookings!$AL$5:$AL$404=AL15)*(Bookings!$I$5:$I$404=I15)*(Bookings!$K$5:$K$404&lt;L15)*(Bookings!$L$5:$L$404&gt;K15)*(Bookings!$AM$5:$AM$404&lt;&gt;"Cancelled"))&gt;1,"Conflict - double booked","OK"))</f>
        <v>0</v>
      </c>
      <c r="AS15" s="50">
        <f>IF(A15="","",IF(COUNTIF('Visit Log'!$B$5:$B$404,A15)&gt;0,"Yes","No"))</f>
        <v>0</v>
      </c>
      <c r="AT15" s="28">
        <f>IF(A15="","",IFERROR(INDEX(Invoices!$A$5:$A$304,MATCH(A15,Invoices!$E$5:$E$304,0)),""))</f>
        <v>0</v>
      </c>
      <c r="AU15" s="49">
        <f>IF(A15="","",IF(AT15="","Not invoiced",IFERROR(INDEX(Invoices!$U$5:$U$304,MATCH(AT15,Invoices!$A$5:$A$304,0)),"")))</f>
        <v>0</v>
      </c>
      <c r="AY15" s="28">
        <f>IF(I15="","",TEXT(I15,"yyyy-mm"))</f>
        <v>0</v>
      </c>
      <c r="AZ15" s="49">
        <f>IF(I15="","",IF(AM15="Cancelled","Cancelled",IF(AND(I15&lt;TODAY(),OR(AM15="Pending",AM15="Confirmed",AM15="Enquiry")),"Overdue - update status",IF(AND(AM15="Completed",AS15="No"),"Action - log the visit",IF(I15=TODAY(),"Today",IF(AND(I15&gt;TODAY(),I15-TODAY()&lt;=ReminderLeadDays,AN15&lt;&gt;"Yes"),"Action - unconfirmed",IF(AND(I15&gt;TODAY(),I15-TODAY()&lt;=ReminderLeadDays),"Upcoming","OK")))))))</f>
        <v>0</v>
      </c>
    </row>
    <row r="16" spans="1:52">
      <c r="A16" s="46">
        <f>IF(C16="","",BookingPrefix&amp;TEXT(ROW()-4,"0000"))</f>
        <v>0</v>
      </c>
      <c r="D16" s="28">
        <f>IF(C16="","",IFERROR(INDEX(Clients!$A$5:$A$254,MATCH(C16,Clients!$B$5:$B$254,0)),""))</f>
        <v>0</v>
      </c>
      <c r="J16" s="50">
        <f>IF(I16="","",TEXT(I16,"ddd"))</f>
        <v>0</v>
      </c>
      <c r="M16" s="51">
        <f>IF(OR(K16="",L16=""),"",ROUND((L16-K16+IF(L16&lt;K16,1,0))*24,2))</f>
        <v>0</v>
      </c>
      <c r="O16" s="28">
        <f>IF(H16="","",IFERROR(INDEX(Services!$E$5:$E$54,MATCH(H16,Services!$B$5:$B$54,0)),""))</f>
        <v>0</v>
      </c>
      <c r="P16" s="29">
        <f>IF(H16="","",IFERROR(INDEX(Services!$G$5:$G$54,MATCH(H16,Services!$B$5:$B$54,0)),0))</f>
        <v>0</v>
      </c>
      <c r="Q16" s="29">
        <f>IF(H16="","",IF(IFERROR(INDEX(Services!$H$5:$H$54,MATCH(H16,Services!$B$5:$B$54,0)),0)=0,ExtraPetFeeDefault,IFERROR(INDEX(Services!$H$5:$H$54,MATCH(H16,Services!$B$5:$B$54,0)),0)))</f>
        <v>0</v>
      </c>
      <c r="R16" s="30">
        <f>IF(H16="","",IF(IFERROR(INDEX(Services!$I$5:$I$54,MATCH(H16,Services!$B$5:$B$54,0)),0)=0,HolidaySurcharge,IFERROR(INDEX(Services!$I$5:$I$54,MATCH(H16,Services!$B$5:$B$54,0)),0)))</f>
        <v>0</v>
      </c>
      <c r="S16" s="30">
        <f>IF(H16="","",IF(IFERROR(INDEX(Services!$J$5:$J$54,MATCH(H16,Services!$B$5:$B$54,0)),0)=0,WeekendSurcharge,IFERROR(INDEX(Services!$J$5:$J$54,MATCH(H16,Services!$B$5:$B$54,0)),0)))</f>
        <v>0</v>
      </c>
      <c r="T16" s="50">
        <f>IF(H16="","",IFERROR(INDEX(Services!$K$5:$K$54,MATCH(H16,Services!$B$5:$B$54,0)),"No"))</f>
        <v>0</v>
      </c>
      <c r="U16" s="29">
        <f>IF(H16="","",ROUND(IF(O16="Per hour",P16*IF(M16="",IF(N16="",1,N16),M16),P16*IF(N16="",1,N16)),2))</f>
        <v>0</v>
      </c>
      <c r="V16" s="29">
        <f>IF(H16="","",ROUND(MAX(0,IF(G16="",1,G16)-1)*Q16,2))</f>
        <v>0</v>
      </c>
      <c r="W16" s="50">
        <f>IF(I16="","",IF(COUNTIF(HolidayDates,I16)&gt;0,"Yes","No"))</f>
        <v>0</v>
      </c>
      <c r="X16" s="50">
        <f>IF(I16="","",IF(WEEKDAY(I16,2)&gt;5,"Yes","No"))</f>
        <v>0</v>
      </c>
      <c r="Y16" s="29">
        <f>IF(H16="","",ROUND((U16+V16)*(IF(W16="Yes",R16,0)+IF(X16="Yes",S16,0)),2))</f>
        <v>0</v>
      </c>
      <c r="AA16" s="29">
        <f>IF(H16="","",IF(T16&lt;&gt;"Yes",0,ROUND(MAX(0,IF(Z16="",0,Z16)-FreeTravelDistance)*TravelFeeRate,2)))</f>
        <v>0</v>
      </c>
      <c r="AB16" s="31">
        <f>IF(I16="","",TravelTimeMins)</f>
        <v>0</v>
      </c>
      <c r="AC16" s="29">
        <f>IF(OR(I16="",B16=""),0,IF(I16-B16&lt;=LastMinuteDays,EmergencyFee,0))</f>
        <v>0</v>
      </c>
      <c r="AF16" s="29">
        <f>IF(H16="","",ROUND((U16+V16+Y16+AA16+AC16)*IF(AE16="",0,AE16),2))</f>
        <v>0</v>
      </c>
      <c r="AI16" s="29">
        <f>IF(H16="","",IF(AG16&lt;&gt;"",AG16,ROUND(U16+V16+Y16+AA16+AC16-AF16,2)))</f>
        <v>0</v>
      </c>
      <c r="AJ16" s="29">
        <f>IF(AI16="","",IF(TaxRegistered&lt;&gt;"Yes",0,IF(PricesIncludeTax="Yes",ROUND(AI16-AI16/(1+TaxRate),2),ROUND(AI16*TaxRate,2))))</f>
        <v>0</v>
      </c>
      <c r="AK16" s="29">
        <f>IF(AI16="","",IF(PricesIncludeTax="Yes",AI16,ROUND(AI16+AJ16,2)))</f>
        <v>0</v>
      </c>
      <c r="AQ16" s="21">
        <f>IF(OR(I16="",AP16="",AP16="None"),"",IF(AP16="Monthly",EDATE(I16,1),I16+IF(AP16="Daily",1,IF(AP16="Weekdays",IF(WEEKDAY(I16,2)&gt;=5,8-WEEKDAY(I16,2),1),IF(AP16="Weekly",7,IF(AP16="Fortnightly",14,0))))))</f>
        <v>0</v>
      </c>
      <c r="AR16" s="49">
        <f>IF(OR(I16="",AL16="",K16="",L16=""),"",IF(SUMPRODUCT((Bookings!$AL$5:$AL$404=AL16)*(Bookings!$I$5:$I$404=I16)*(Bookings!$K$5:$K$404&lt;L16)*(Bookings!$L$5:$L$404&gt;K16)*(Bookings!$AM$5:$AM$404&lt;&gt;"Cancelled"))&gt;1,"Conflict - double booked","OK"))</f>
        <v>0</v>
      </c>
      <c r="AS16" s="50">
        <f>IF(A16="","",IF(COUNTIF('Visit Log'!$B$5:$B$404,A16)&gt;0,"Yes","No"))</f>
        <v>0</v>
      </c>
      <c r="AT16" s="28">
        <f>IF(A16="","",IFERROR(INDEX(Invoices!$A$5:$A$304,MATCH(A16,Invoices!$E$5:$E$304,0)),""))</f>
        <v>0</v>
      </c>
      <c r="AU16" s="49">
        <f>IF(A16="","",IF(AT16="","Not invoiced",IFERROR(INDEX(Invoices!$U$5:$U$304,MATCH(AT16,Invoices!$A$5:$A$304,0)),"")))</f>
        <v>0</v>
      </c>
      <c r="AY16" s="28">
        <f>IF(I16="","",TEXT(I16,"yyyy-mm"))</f>
        <v>0</v>
      </c>
      <c r="AZ16" s="49">
        <f>IF(I16="","",IF(AM16="Cancelled","Cancelled",IF(AND(I16&lt;TODAY(),OR(AM16="Pending",AM16="Confirmed",AM16="Enquiry")),"Overdue - update status",IF(AND(AM16="Completed",AS16="No"),"Action - log the visit",IF(I16=TODAY(),"Today",IF(AND(I16&gt;TODAY(),I16-TODAY()&lt;=ReminderLeadDays,AN16&lt;&gt;"Yes"),"Action - unconfirmed",IF(AND(I16&gt;TODAY(),I16-TODAY()&lt;=ReminderLeadDays),"Upcoming","OK")))))))</f>
        <v>0</v>
      </c>
    </row>
    <row r="17" spans="1:52">
      <c r="A17" s="46">
        <f>IF(C17="","",BookingPrefix&amp;TEXT(ROW()-4,"0000"))</f>
        <v>0</v>
      </c>
      <c r="D17" s="28">
        <f>IF(C17="","",IFERROR(INDEX(Clients!$A$5:$A$254,MATCH(C17,Clients!$B$5:$B$254,0)),""))</f>
        <v>0</v>
      </c>
      <c r="J17" s="50">
        <f>IF(I17="","",TEXT(I17,"ddd"))</f>
        <v>0</v>
      </c>
      <c r="M17" s="51">
        <f>IF(OR(K17="",L17=""),"",ROUND((L17-K17+IF(L17&lt;K17,1,0))*24,2))</f>
        <v>0</v>
      </c>
      <c r="O17" s="28">
        <f>IF(H17="","",IFERROR(INDEX(Services!$E$5:$E$54,MATCH(H17,Services!$B$5:$B$54,0)),""))</f>
        <v>0</v>
      </c>
      <c r="P17" s="29">
        <f>IF(H17="","",IFERROR(INDEX(Services!$G$5:$G$54,MATCH(H17,Services!$B$5:$B$54,0)),0))</f>
        <v>0</v>
      </c>
      <c r="Q17" s="29">
        <f>IF(H17="","",IF(IFERROR(INDEX(Services!$H$5:$H$54,MATCH(H17,Services!$B$5:$B$54,0)),0)=0,ExtraPetFeeDefault,IFERROR(INDEX(Services!$H$5:$H$54,MATCH(H17,Services!$B$5:$B$54,0)),0)))</f>
        <v>0</v>
      </c>
      <c r="R17" s="30">
        <f>IF(H17="","",IF(IFERROR(INDEX(Services!$I$5:$I$54,MATCH(H17,Services!$B$5:$B$54,0)),0)=0,HolidaySurcharge,IFERROR(INDEX(Services!$I$5:$I$54,MATCH(H17,Services!$B$5:$B$54,0)),0)))</f>
        <v>0</v>
      </c>
      <c r="S17" s="30">
        <f>IF(H17="","",IF(IFERROR(INDEX(Services!$J$5:$J$54,MATCH(H17,Services!$B$5:$B$54,0)),0)=0,WeekendSurcharge,IFERROR(INDEX(Services!$J$5:$J$54,MATCH(H17,Services!$B$5:$B$54,0)),0)))</f>
        <v>0</v>
      </c>
      <c r="T17" s="50">
        <f>IF(H17="","",IFERROR(INDEX(Services!$K$5:$K$54,MATCH(H17,Services!$B$5:$B$54,0)),"No"))</f>
        <v>0</v>
      </c>
      <c r="U17" s="29">
        <f>IF(H17="","",ROUND(IF(O17="Per hour",P17*IF(M17="",IF(N17="",1,N17),M17),P17*IF(N17="",1,N17)),2))</f>
        <v>0</v>
      </c>
      <c r="V17" s="29">
        <f>IF(H17="","",ROUND(MAX(0,IF(G17="",1,G17)-1)*Q17,2))</f>
        <v>0</v>
      </c>
      <c r="W17" s="50">
        <f>IF(I17="","",IF(COUNTIF(HolidayDates,I17)&gt;0,"Yes","No"))</f>
        <v>0</v>
      </c>
      <c r="X17" s="50">
        <f>IF(I17="","",IF(WEEKDAY(I17,2)&gt;5,"Yes","No"))</f>
        <v>0</v>
      </c>
      <c r="Y17" s="29">
        <f>IF(H17="","",ROUND((U17+V17)*(IF(W17="Yes",R17,0)+IF(X17="Yes",S17,0)),2))</f>
        <v>0</v>
      </c>
      <c r="AA17" s="29">
        <f>IF(H17="","",IF(T17&lt;&gt;"Yes",0,ROUND(MAX(0,IF(Z17="",0,Z17)-FreeTravelDistance)*TravelFeeRate,2)))</f>
        <v>0</v>
      </c>
      <c r="AB17" s="31">
        <f>IF(I17="","",TravelTimeMins)</f>
        <v>0</v>
      </c>
      <c r="AC17" s="29">
        <f>IF(OR(I17="",B17=""),0,IF(I17-B17&lt;=LastMinuteDays,EmergencyFee,0))</f>
        <v>0</v>
      </c>
      <c r="AF17" s="29">
        <f>IF(H17="","",ROUND((U17+V17+Y17+AA17+AC17)*IF(AE17="",0,AE17),2))</f>
        <v>0</v>
      </c>
      <c r="AI17" s="29">
        <f>IF(H17="","",IF(AG17&lt;&gt;"",AG17,ROUND(U17+V17+Y17+AA17+AC17-AF17,2)))</f>
        <v>0</v>
      </c>
      <c r="AJ17" s="29">
        <f>IF(AI17="","",IF(TaxRegistered&lt;&gt;"Yes",0,IF(PricesIncludeTax="Yes",ROUND(AI17-AI17/(1+TaxRate),2),ROUND(AI17*TaxRate,2))))</f>
        <v>0</v>
      </c>
      <c r="AK17" s="29">
        <f>IF(AI17="","",IF(PricesIncludeTax="Yes",AI17,ROUND(AI17+AJ17,2)))</f>
        <v>0</v>
      </c>
      <c r="AQ17" s="21">
        <f>IF(OR(I17="",AP17="",AP17="None"),"",IF(AP17="Monthly",EDATE(I17,1),I17+IF(AP17="Daily",1,IF(AP17="Weekdays",IF(WEEKDAY(I17,2)&gt;=5,8-WEEKDAY(I17,2),1),IF(AP17="Weekly",7,IF(AP17="Fortnightly",14,0))))))</f>
        <v>0</v>
      </c>
      <c r="AR17" s="49">
        <f>IF(OR(I17="",AL17="",K17="",L17=""),"",IF(SUMPRODUCT((Bookings!$AL$5:$AL$404=AL17)*(Bookings!$I$5:$I$404=I17)*(Bookings!$K$5:$K$404&lt;L17)*(Bookings!$L$5:$L$404&gt;K17)*(Bookings!$AM$5:$AM$404&lt;&gt;"Cancelled"))&gt;1,"Conflict - double booked","OK"))</f>
        <v>0</v>
      </c>
      <c r="AS17" s="50">
        <f>IF(A17="","",IF(COUNTIF('Visit Log'!$B$5:$B$404,A17)&gt;0,"Yes","No"))</f>
        <v>0</v>
      </c>
      <c r="AT17" s="28">
        <f>IF(A17="","",IFERROR(INDEX(Invoices!$A$5:$A$304,MATCH(A17,Invoices!$E$5:$E$304,0)),""))</f>
        <v>0</v>
      </c>
      <c r="AU17" s="49">
        <f>IF(A17="","",IF(AT17="","Not invoiced",IFERROR(INDEX(Invoices!$U$5:$U$304,MATCH(AT17,Invoices!$A$5:$A$304,0)),"")))</f>
        <v>0</v>
      </c>
      <c r="AY17" s="28">
        <f>IF(I17="","",TEXT(I17,"yyyy-mm"))</f>
        <v>0</v>
      </c>
      <c r="AZ17" s="49">
        <f>IF(I17="","",IF(AM17="Cancelled","Cancelled",IF(AND(I17&lt;TODAY(),OR(AM17="Pending",AM17="Confirmed",AM17="Enquiry")),"Overdue - update status",IF(AND(AM17="Completed",AS17="No"),"Action - log the visit",IF(I17=TODAY(),"Today",IF(AND(I17&gt;TODAY(),I17-TODAY()&lt;=ReminderLeadDays,AN17&lt;&gt;"Yes"),"Action - unconfirmed",IF(AND(I17&gt;TODAY(),I17-TODAY()&lt;=ReminderLeadDays),"Upcoming","OK")))))))</f>
        <v>0</v>
      </c>
    </row>
    <row r="18" spans="1:52">
      <c r="A18" s="46">
        <f>IF(C18="","",BookingPrefix&amp;TEXT(ROW()-4,"0000"))</f>
        <v>0</v>
      </c>
      <c r="D18" s="28">
        <f>IF(C18="","",IFERROR(INDEX(Clients!$A$5:$A$254,MATCH(C18,Clients!$B$5:$B$254,0)),""))</f>
        <v>0</v>
      </c>
      <c r="J18" s="50">
        <f>IF(I18="","",TEXT(I18,"ddd"))</f>
        <v>0</v>
      </c>
      <c r="M18" s="51">
        <f>IF(OR(K18="",L18=""),"",ROUND((L18-K18+IF(L18&lt;K18,1,0))*24,2))</f>
        <v>0</v>
      </c>
      <c r="O18" s="28">
        <f>IF(H18="","",IFERROR(INDEX(Services!$E$5:$E$54,MATCH(H18,Services!$B$5:$B$54,0)),""))</f>
        <v>0</v>
      </c>
      <c r="P18" s="29">
        <f>IF(H18="","",IFERROR(INDEX(Services!$G$5:$G$54,MATCH(H18,Services!$B$5:$B$54,0)),0))</f>
        <v>0</v>
      </c>
      <c r="Q18" s="29">
        <f>IF(H18="","",IF(IFERROR(INDEX(Services!$H$5:$H$54,MATCH(H18,Services!$B$5:$B$54,0)),0)=0,ExtraPetFeeDefault,IFERROR(INDEX(Services!$H$5:$H$54,MATCH(H18,Services!$B$5:$B$54,0)),0)))</f>
        <v>0</v>
      </c>
      <c r="R18" s="30">
        <f>IF(H18="","",IF(IFERROR(INDEX(Services!$I$5:$I$54,MATCH(H18,Services!$B$5:$B$54,0)),0)=0,HolidaySurcharge,IFERROR(INDEX(Services!$I$5:$I$54,MATCH(H18,Services!$B$5:$B$54,0)),0)))</f>
        <v>0</v>
      </c>
      <c r="S18" s="30">
        <f>IF(H18="","",IF(IFERROR(INDEX(Services!$J$5:$J$54,MATCH(H18,Services!$B$5:$B$54,0)),0)=0,WeekendSurcharge,IFERROR(INDEX(Services!$J$5:$J$54,MATCH(H18,Services!$B$5:$B$54,0)),0)))</f>
        <v>0</v>
      </c>
      <c r="T18" s="50">
        <f>IF(H18="","",IFERROR(INDEX(Services!$K$5:$K$54,MATCH(H18,Services!$B$5:$B$54,0)),"No"))</f>
        <v>0</v>
      </c>
      <c r="U18" s="29">
        <f>IF(H18="","",ROUND(IF(O18="Per hour",P18*IF(M18="",IF(N18="",1,N18),M18),P18*IF(N18="",1,N18)),2))</f>
        <v>0</v>
      </c>
      <c r="V18" s="29">
        <f>IF(H18="","",ROUND(MAX(0,IF(G18="",1,G18)-1)*Q18,2))</f>
        <v>0</v>
      </c>
      <c r="W18" s="50">
        <f>IF(I18="","",IF(COUNTIF(HolidayDates,I18)&gt;0,"Yes","No"))</f>
        <v>0</v>
      </c>
      <c r="X18" s="50">
        <f>IF(I18="","",IF(WEEKDAY(I18,2)&gt;5,"Yes","No"))</f>
        <v>0</v>
      </c>
      <c r="Y18" s="29">
        <f>IF(H18="","",ROUND((U18+V18)*(IF(W18="Yes",R18,0)+IF(X18="Yes",S18,0)),2))</f>
        <v>0</v>
      </c>
      <c r="AA18" s="29">
        <f>IF(H18="","",IF(T18&lt;&gt;"Yes",0,ROUND(MAX(0,IF(Z18="",0,Z18)-FreeTravelDistance)*TravelFeeRate,2)))</f>
        <v>0</v>
      </c>
      <c r="AB18" s="31">
        <f>IF(I18="","",TravelTimeMins)</f>
        <v>0</v>
      </c>
      <c r="AC18" s="29">
        <f>IF(OR(I18="",B18=""),0,IF(I18-B18&lt;=LastMinuteDays,EmergencyFee,0))</f>
        <v>0</v>
      </c>
      <c r="AF18" s="29">
        <f>IF(H18="","",ROUND((U18+V18+Y18+AA18+AC18)*IF(AE18="",0,AE18),2))</f>
        <v>0</v>
      </c>
      <c r="AI18" s="29">
        <f>IF(H18="","",IF(AG18&lt;&gt;"",AG18,ROUND(U18+V18+Y18+AA18+AC18-AF18,2)))</f>
        <v>0</v>
      </c>
      <c r="AJ18" s="29">
        <f>IF(AI18="","",IF(TaxRegistered&lt;&gt;"Yes",0,IF(PricesIncludeTax="Yes",ROUND(AI18-AI18/(1+TaxRate),2),ROUND(AI18*TaxRate,2))))</f>
        <v>0</v>
      </c>
      <c r="AK18" s="29">
        <f>IF(AI18="","",IF(PricesIncludeTax="Yes",AI18,ROUND(AI18+AJ18,2)))</f>
        <v>0</v>
      </c>
      <c r="AQ18" s="21">
        <f>IF(OR(I18="",AP18="",AP18="None"),"",IF(AP18="Monthly",EDATE(I18,1),I18+IF(AP18="Daily",1,IF(AP18="Weekdays",IF(WEEKDAY(I18,2)&gt;=5,8-WEEKDAY(I18,2),1),IF(AP18="Weekly",7,IF(AP18="Fortnightly",14,0))))))</f>
        <v>0</v>
      </c>
      <c r="AR18" s="49">
        <f>IF(OR(I18="",AL18="",K18="",L18=""),"",IF(SUMPRODUCT((Bookings!$AL$5:$AL$404=AL18)*(Bookings!$I$5:$I$404=I18)*(Bookings!$K$5:$K$404&lt;L18)*(Bookings!$L$5:$L$404&gt;K18)*(Bookings!$AM$5:$AM$404&lt;&gt;"Cancelled"))&gt;1,"Conflict - double booked","OK"))</f>
        <v>0</v>
      </c>
      <c r="AS18" s="50">
        <f>IF(A18="","",IF(COUNTIF('Visit Log'!$B$5:$B$404,A18)&gt;0,"Yes","No"))</f>
        <v>0</v>
      </c>
      <c r="AT18" s="28">
        <f>IF(A18="","",IFERROR(INDEX(Invoices!$A$5:$A$304,MATCH(A18,Invoices!$E$5:$E$304,0)),""))</f>
        <v>0</v>
      </c>
      <c r="AU18" s="49">
        <f>IF(A18="","",IF(AT18="","Not invoiced",IFERROR(INDEX(Invoices!$U$5:$U$304,MATCH(AT18,Invoices!$A$5:$A$304,0)),"")))</f>
        <v>0</v>
      </c>
      <c r="AY18" s="28">
        <f>IF(I18="","",TEXT(I18,"yyyy-mm"))</f>
        <v>0</v>
      </c>
      <c r="AZ18" s="49">
        <f>IF(I18="","",IF(AM18="Cancelled","Cancelled",IF(AND(I18&lt;TODAY(),OR(AM18="Pending",AM18="Confirmed",AM18="Enquiry")),"Overdue - update status",IF(AND(AM18="Completed",AS18="No"),"Action - log the visit",IF(I18=TODAY(),"Today",IF(AND(I18&gt;TODAY(),I18-TODAY()&lt;=ReminderLeadDays,AN18&lt;&gt;"Yes"),"Action - unconfirmed",IF(AND(I18&gt;TODAY(),I18-TODAY()&lt;=ReminderLeadDays),"Upcoming","OK")))))))</f>
        <v>0</v>
      </c>
    </row>
    <row r="19" spans="1:52">
      <c r="A19" s="46">
        <f>IF(C19="","",BookingPrefix&amp;TEXT(ROW()-4,"0000"))</f>
        <v>0</v>
      </c>
      <c r="D19" s="28">
        <f>IF(C19="","",IFERROR(INDEX(Clients!$A$5:$A$254,MATCH(C19,Clients!$B$5:$B$254,0)),""))</f>
        <v>0</v>
      </c>
      <c r="J19" s="50">
        <f>IF(I19="","",TEXT(I19,"ddd"))</f>
        <v>0</v>
      </c>
      <c r="M19" s="51">
        <f>IF(OR(K19="",L19=""),"",ROUND((L19-K19+IF(L19&lt;K19,1,0))*24,2))</f>
        <v>0</v>
      </c>
      <c r="O19" s="28">
        <f>IF(H19="","",IFERROR(INDEX(Services!$E$5:$E$54,MATCH(H19,Services!$B$5:$B$54,0)),""))</f>
        <v>0</v>
      </c>
      <c r="P19" s="29">
        <f>IF(H19="","",IFERROR(INDEX(Services!$G$5:$G$54,MATCH(H19,Services!$B$5:$B$54,0)),0))</f>
        <v>0</v>
      </c>
      <c r="Q19" s="29">
        <f>IF(H19="","",IF(IFERROR(INDEX(Services!$H$5:$H$54,MATCH(H19,Services!$B$5:$B$54,0)),0)=0,ExtraPetFeeDefault,IFERROR(INDEX(Services!$H$5:$H$54,MATCH(H19,Services!$B$5:$B$54,0)),0)))</f>
        <v>0</v>
      </c>
      <c r="R19" s="30">
        <f>IF(H19="","",IF(IFERROR(INDEX(Services!$I$5:$I$54,MATCH(H19,Services!$B$5:$B$54,0)),0)=0,HolidaySurcharge,IFERROR(INDEX(Services!$I$5:$I$54,MATCH(H19,Services!$B$5:$B$54,0)),0)))</f>
        <v>0</v>
      </c>
      <c r="S19" s="30">
        <f>IF(H19="","",IF(IFERROR(INDEX(Services!$J$5:$J$54,MATCH(H19,Services!$B$5:$B$54,0)),0)=0,WeekendSurcharge,IFERROR(INDEX(Services!$J$5:$J$54,MATCH(H19,Services!$B$5:$B$54,0)),0)))</f>
        <v>0</v>
      </c>
      <c r="T19" s="50">
        <f>IF(H19="","",IFERROR(INDEX(Services!$K$5:$K$54,MATCH(H19,Services!$B$5:$B$54,0)),"No"))</f>
        <v>0</v>
      </c>
      <c r="U19" s="29">
        <f>IF(H19="","",ROUND(IF(O19="Per hour",P19*IF(M19="",IF(N19="",1,N19),M19),P19*IF(N19="",1,N19)),2))</f>
        <v>0</v>
      </c>
      <c r="V19" s="29">
        <f>IF(H19="","",ROUND(MAX(0,IF(G19="",1,G19)-1)*Q19,2))</f>
        <v>0</v>
      </c>
      <c r="W19" s="50">
        <f>IF(I19="","",IF(COUNTIF(HolidayDates,I19)&gt;0,"Yes","No"))</f>
        <v>0</v>
      </c>
      <c r="X19" s="50">
        <f>IF(I19="","",IF(WEEKDAY(I19,2)&gt;5,"Yes","No"))</f>
        <v>0</v>
      </c>
      <c r="Y19" s="29">
        <f>IF(H19="","",ROUND((U19+V19)*(IF(W19="Yes",R19,0)+IF(X19="Yes",S19,0)),2))</f>
        <v>0</v>
      </c>
      <c r="AA19" s="29">
        <f>IF(H19="","",IF(T19&lt;&gt;"Yes",0,ROUND(MAX(0,IF(Z19="",0,Z19)-FreeTravelDistance)*TravelFeeRate,2)))</f>
        <v>0</v>
      </c>
      <c r="AB19" s="31">
        <f>IF(I19="","",TravelTimeMins)</f>
        <v>0</v>
      </c>
      <c r="AC19" s="29">
        <f>IF(OR(I19="",B19=""),0,IF(I19-B19&lt;=LastMinuteDays,EmergencyFee,0))</f>
        <v>0</v>
      </c>
      <c r="AF19" s="29">
        <f>IF(H19="","",ROUND((U19+V19+Y19+AA19+AC19)*IF(AE19="",0,AE19),2))</f>
        <v>0</v>
      </c>
      <c r="AI19" s="29">
        <f>IF(H19="","",IF(AG19&lt;&gt;"",AG19,ROUND(U19+V19+Y19+AA19+AC19-AF19,2)))</f>
        <v>0</v>
      </c>
      <c r="AJ19" s="29">
        <f>IF(AI19="","",IF(TaxRegistered&lt;&gt;"Yes",0,IF(PricesIncludeTax="Yes",ROUND(AI19-AI19/(1+TaxRate),2),ROUND(AI19*TaxRate,2))))</f>
        <v>0</v>
      </c>
      <c r="AK19" s="29">
        <f>IF(AI19="","",IF(PricesIncludeTax="Yes",AI19,ROUND(AI19+AJ19,2)))</f>
        <v>0</v>
      </c>
      <c r="AQ19" s="21">
        <f>IF(OR(I19="",AP19="",AP19="None"),"",IF(AP19="Monthly",EDATE(I19,1),I19+IF(AP19="Daily",1,IF(AP19="Weekdays",IF(WEEKDAY(I19,2)&gt;=5,8-WEEKDAY(I19,2),1),IF(AP19="Weekly",7,IF(AP19="Fortnightly",14,0))))))</f>
        <v>0</v>
      </c>
      <c r="AR19" s="49">
        <f>IF(OR(I19="",AL19="",K19="",L19=""),"",IF(SUMPRODUCT((Bookings!$AL$5:$AL$404=AL19)*(Bookings!$I$5:$I$404=I19)*(Bookings!$K$5:$K$404&lt;L19)*(Bookings!$L$5:$L$404&gt;K19)*(Bookings!$AM$5:$AM$404&lt;&gt;"Cancelled"))&gt;1,"Conflict - double booked","OK"))</f>
        <v>0</v>
      </c>
      <c r="AS19" s="50">
        <f>IF(A19="","",IF(COUNTIF('Visit Log'!$B$5:$B$404,A19)&gt;0,"Yes","No"))</f>
        <v>0</v>
      </c>
      <c r="AT19" s="28">
        <f>IF(A19="","",IFERROR(INDEX(Invoices!$A$5:$A$304,MATCH(A19,Invoices!$E$5:$E$304,0)),""))</f>
        <v>0</v>
      </c>
      <c r="AU19" s="49">
        <f>IF(A19="","",IF(AT19="","Not invoiced",IFERROR(INDEX(Invoices!$U$5:$U$304,MATCH(AT19,Invoices!$A$5:$A$304,0)),"")))</f>
        <v>0</v>
      </c>
      <c r="AY19" s="28">
        <f>IF(I19="","",TEXT(I19,"yyyy-mm"))</f>
        <v>0</v>
      </c>
      <c r="AZ19" s="49">
        <f>IF(I19="","",IF(AM19="Cancelled","Cancelled",IF(AND(I19&lt;TODAY(),OR(AM19="Pending",AM19="Confirmed",AM19="Enquiry")),"Overdue - update status",IF(AND(AM19="Completed",AS19="No"),"Action - log the visit",IF(I19=TODAY(),"Today",IF(AND(I19&gt;TODAY(),I19-TODAY()&lt;=ReminderLeadDays,AN19&lt;&gt;"Yes"),"Action - unconfirmed",IF(AND(I19&gt;TODAY(),I19-TODAY()&lt;=ReminderLeadDays),"Upcoming","OK")))))))</f>
        <v>0</v>
      </c>
    </row>
    <row r="20" spans="1:52">
      <c r="A20" s="46">
        <f>IF(C20="","",BookingPrefix&amp;TEXT(ROW()-4,"0000"))</f>
        <v>0</v>
      </c>
      <c r="D20" s="28">
        <f>IF(C20="","",IFERROR(INDEX(Clients!$A$5:$A$254,MATCH(C20,Clients!$B$5:$B$254,0)),""))</f>
        <v>0</v>
      </c>
      <c r="J20" s="50">
        <f>IF(I20="","",TEXT(I20,"ddd"))</f>
        <v>0</v>
      </c>
      <c r="M20" s="51">
        <f>IF(OR(K20="",L20=""),"",ROUND((L20-K20+IF(L20&lt;K20,1,0))*24,2))</f>
        <v>0</v>
      </c>
      <c r="O20" s="28">
        <f>IF(H20="","",IFERROR(INDEX(Services!$E$5:$E$54,MATCH(H20,Services!$B$5:$B$54,0)),""))</f>
        <v>0</v>
      </c>
      <c r="P20" s="29">
        <f>IF(H20="","",IFERROR(INDEX(Services!$G$5:$G$54,MATCH(H20,Services!$B$5:$B$54,0)),0))</f>
        <v>0</v>
      </c>
      <c r="Q20" s="29">
        <f>IF(H20="","",IF(IFERROR(INDEX(Services!$H$5:$H$54,MATCH(H20,Services!$B$5:$B$54,0)),0)=0,ExtraPetFeeDefault,IFERROR(INDEX(Services!$H$5:$H$54,MATCH(H20,Services!$B$5:$B$54,0)),0)))</f>
        <v>0</v>
      </c>
      <c r="R20" s="30">
        <f>IF(H20="","",IF(IFERROR(INDEX(Services!$I$5:$I$54,MATCH(H20,Services!$B$5:$B$54,0)),0)=0,HolidaySurcharge,IFERROR(INDEX(Services!$I$5:$I$54,MATCH(H20,Services!$B$5:$B$54,0)),0)))</f>
        <v>0</v>
      </c>
      <c r="S20" s="30">
        <f>IF(H20="","",IF(IFERROR(INDEX(Services!$J$5:$J$54,MATCH(H20,Services!$B$5:$B$54,0)),0)=0,WeekendSurcharge,IFERROR(INDEX(Services!$J$5:$J$54,MATCH(H20,Services!$B$5:$B$54,0)),0)))</f>
        <v>0</v>
      </c>
      <c r="T20" s="50">
        <f>IF(H20="","",IFERROR(INDEX(Services!$K$5:$K$54,MATCH(H20,Services!$B$5:$B$54,0)),"No"))</f>
        <v>0</v>
      </c>
      <c r="U20" s="29">
        <f>IF(H20="","",ROUND(IF(O20="Per hour",P20*IF(M20="",IF(N20="",1,N20),M20),P20*IF(N20="",1,N20)),2))</f>
        <v>0</v>
      </c>
      <c r="V20" s="29">
        <f>IF(H20="","",ROUND(MAX(0,IF(G20="",1,G20)-1)*Q20,2))</f>
        <v>0</v>
      </c>
      <c r="W20" s="50">
        <f>IF(I20="","",IF(COUNTIF(HolidayDates,I20)&gt;0,"Yes","No"))</f>
        <v>0</v>
      </c>
      <c r="X20" s="50">
        <f>IF(I20="","",IF(WEEKDAY(I20,2)&gt;5,"Yes","No"))</f>
        <v>0</v>
      </c>
      <c r="Y20" s="29">
        <f>IF(H20="","",ROUND((U20+V20)*(IF(W20="Yes",R20,0)+IF(X20="Yes",S20,0)),2))</f>
        <v>0</v>
      </c>
      <c r="AA20" s="29">
        <f>IF(H20="","",IF(T20&lt;&gt;"Yes",0,ROUND(MAX(0,IF(Z20="",0,Z20)-FreeTravelDistance)*TravelFeeRate,2)))</f>
        <v>0</v>
      </c>
      <c r="AB20" s="31">
        <f>IF(I20="","",TravelTimeMins)</f>
        <v>0</v>
      </c>
      <c r="AC20" s="29">
        <f>IF(OR(I20="",B20=""),0,IF(I20-B20&lt;=LastMinuteDays,EmergencyFee,0))</f>
        <v>0</v>
      </c>
      <c r="AF20" s="29">
        <f>IF(H20="","",ROUND((U20+V20+Y20+AA20+AC20)*IF(AE20="",0,AE20),2))</f>
        <v>0</v>
      </c>
      <c r="AI20" s="29">
        <f>IF(H20="","",IF(AG20&lt;&gt;"",AG20,ROUND(U20+V20+Y20+AA20+AC20-AF20,2)))</f>
        <v>0</v>
      </c>
      <c r="AJ20" s="29">
        <f>IF(AI20="","",IF(TaxRegistered&lt;&gt;"Yes",0,IF(PricesIncludeTax="Yes",ROUND(AI20-AI20/(1+TaxRate),2),ROUND(AI20*TaxRate,2))))</f>
        <v>0</v>
      </c>
      <c r="AK20" s="29">
        <f>IF(AI20="","",IF(PricesIncludeTax="Yes",AI20,ROUND(AI20+AJ20,2)))</f>
        <v>0</v>
      </c>
      <c r="AQ20" s="21">
        <f>IF(OR(I20="",AP20="",AP20="None"),"",IF(AP20="Monthly",EDATE(I20,1),I20+IF(AP20="Daily",1,IF(AP20="Weekdays",IF(WEEKDAY(I20,2)&gt;=5,8-WEEKDAY(I20,2),1),IF(AP20="Weekly",7,IF(AP20="Fortnightly",14,0))))))</f>
        <v>0</v>
      </c>
      <c r="AR20" s="49">
        <f>IF(OR(I20="",AL20="",K20="",L20=""),"",IF(SUMPRODUCT((Bookings!$AL$5:$AL$404=AL20)*(Bookings!$I$5:$I$404=I20)*(Bookings!$K$5:$K$404&lt;L20)*(Bookings!$L$5:$L$404&gt;K20)*(Bookings!$AM$5:$AM$404&lt;&gt;"Cancelled"))&gt;1,"Conflict - double booked","OK"))</f>
        <v>0</v>
      </c>
      <c r="AS20" s="50">
        <f>IF(A20="","",IF(COUNTIF('Visit Log'!$B$5:$B$404,A20)&gt;0,"Yes","No"))</f>
        <v>0</v>
      </c>
      <c r="AT20" s="28">
        <f>IF(A20="","",IFERROR(INDEX(Invoices!$A$5:$A$304,MATCH(A20,Invoices!$E$5:$E$304,0)),""))</f>
        <v>0</v>
      </c>
      <c r="AU20" s="49">
        <f>IF(A20="","",IF(AT20="","Not invoiced",IFERROR(INDEX(Invoices!$U$5:$U$304,MATCH(AT20,Invoices!$A$5:$A$304,0)),"")))</f>
        <v>0</v>
      </c>
      <c r="AY20" s="28">
        <f>IF(I20="","",TEXT(I20,"yyyy-mm"))</f>
        <v>0</v>
      </c>
      <c r="AZ20" s="49">
        <f>IF(I20="","",IF(AM20="Cancelled","Cancelled",IF(AND(I20&lt;TODAY(),OR(AM20="Pending",AM20="Confirmed",AM20="Enquiry")),"Overdue - update status",IF(AND(AM20="Completed",AS20="No"),"Action - log the visit",IF(I20=TODAY(),"Today",IF(AND(I20&gt;TODAY(),I20-TODAY()&lt;=ReminderLeadDays,AN20&lt;&gt;"Yes"),"Action - unconfirmed",IF(AND(I20&gt;TODAY(),I20-TODAY()&lt;=ReminderLeadDays),"Upcoming","OK")))))))</f>
        <v>0</v>
      </c>
    </row>
    <row r="21" spans="1:52">
      <c r="A21" s="46">
        <f>IF(C21="","",BookingPrefix&amp;TEXT(ROW()-4,"0000"))</f>
        <v>0</v>
      </c>
      <c r="D21" s="28">
        <f>IF(C21="","",IFERROR(INDEX(Clients!$A$5:$A$254,MATCH(C21,Clients!$B$5:$B$254,0)),""))</f>
        <v>0</v>
      </c>
      <c r="J21" s="50">
        <f>IF(I21="","",TEXT(I21,"ddd"))</f>
        <v>0</v>
      </c>
      <c r="M21" s="51">
        <f>IF(OR(K21="",L21=""),"",ROUND((L21-K21+IF(L21&lt;K21,1,0))*24,2))</f>
        <v>0</v>
      </c>
      <c r="O21" s="28">
        <f>IF(H21="","",IFERROR(INDEX(Services!$E$5:$E$54,MATCH(H21,Services!$B$5:$B$54,0)),""))</f>
        <v>0</v>
      </c>
      <c r="P21" s="29">
        <f>IF(H21="","",IFERROR(INDEX(Services!$G$5:$G$54,MATCH(H21,Services!$B$5:$B$54,0)),0))</f>
        <v>0</v>
      </c>
      <c r="Q21" s="29">
        <f>IF(H21="","",IF(IFERROR(INDEX(Services!$H$5:$H$54,MATCH(H21,Services!$B$5:$B$54,0)),0)=0,ExtraPetFeeDefault,IFERROR(INDEX(Services!$H$5:$H$54,MATCH(H21,Services!$B$5:$B$54,0)),0)))</f>
        <v>0</v>
      </c>
      <c r="R21" s="30">
        <f>IF(H21="","",IF(IFERROR(INDEX(Services!$I$5:$I$54,MATCH(H21,Services!$B$5:$B$54,0)),0)=0,HolidaySurcharge,IFERROR(INDEX(Services!$I$5:$I$54,MATCH(H21,Services!$B$5:$B$54,0)),0)))</f>
        <v>0</v>
      </c>
      <c r="S21" s="30">
        <f>IF(H21="","",IF(IFERROR(INDEX(Services!$J$5:$J$54,MATCH(H21,Services!$B$5:$B$54,0)),0)=0,WeekendSurcharge,IFERROR(INDEX(Services!$J$5:$J$54,MATCH(H21,Services!$B$5:$B$54,0)),0)))</f>
        <v>0</v>
      </c>
      <c r="T21" s="50">
        <f>IF(H21="","",IFERROR(INDEX(Services!$K$5:$K$54,MATCH(H21,Services!$B$5:$B$54,0)),"No"))</f>
        <v>0</v>
      </c>
      <c r="U21" s="29">
        <f>IF(H21="","",ROUND(IF(O21="Per hour",P21*IF(M21="",IF(N21="",1,N21),M21),P21*IF(N21="",1,N21)),2))</f>
        <v>0</v>
      </c>
      <c r="V21" s="29">
        <f>IF(H21="","",ROUND(MAX(0,IF(G21="",1,G21)-1)*Q21,2))</f>
        <v>0</v>
      </c>
      <c r="W21" s="50">
        <f>IF(I21="","",IF(COUNTIF(HolidayDates,I21)&gt;0,"Yes","No"))</f>
        <v>0</v>
      </c>
      <c r="X21" s="50">
        <f>IF(I21="","",IF(WEEKDAY(I21,2)&gt;5,"Yes","No"))</f>
        <v>0</v>
      </c>
      <c r="Y21" s="29">
        <f>IF(H21="","",ROUND((U21+V21)*(IF(W21="Yes",R21,0)+IF(X21="Yes",S21,0)),2))</f>
        <v>0</v>
      </c>
      <c r="AA21" s="29">
        <f>IF(H21="","",IF(T21&lt;&gt;"Yes",0,ROUND(MAX(0,IF(Z21="",0,Z21)-FreeTravelDistance)*TravelFeeRate,2)))</f>
        <v>0</v>
      </c>
      <c r="AB21" s="31">
        <f>IF(I21="","",TravelTimeMins)</f>
        <v>0</v>
      </c>
      <c r="AC21" s="29">
        <f>IF(OR(I21="",B21=""),0,IF(I21-B21&lt;=LastMinuteDays,EmergencyFee,0))</f>
        <v>0</v>
      </c>
      <c r="AF21" s="29">
        <f>IF(H21="","",ROUND((U21+V21+Y21+AA21+AC21)*IF(AE21="",0,AE21),2))</f>
        <v>0</v>
      </c>
      <c r="AI21" s="29">
        <f>IF(H21="","",IF(AG21&lt;&gt;"",AG21,ROUND(U21+V21+Y21+AA21+AC21-AF21,2)))</f>
        <v>0</v>
      </c>
      <c r="AJ21" s="29">
        <f>IF(AI21="","",IF(TaxRegistered&lt;&gt;"Yes",0,IF(PricesIncludeTax="Yes",ROUND(AI21-AI21/(1+TaxRate),2),ROUND(AI21*TaxRate,2))))</f>
        <v>0</v>
      </c>
      <c r="AK21" s="29">
        <f>IF(AI21="","",IF(PricesIncludeTax="Yes",AI21,ROUND(AI21+AJ21,2)))</f>
        <v>0</v>
      </c>
      <c r="AQ21" s="21">
        <f>IF(OR(I21="",AP21="",AP21="None"),"",IF(AP21="Monthly",EDATE(I21,1),I21+IF(AP21="Daily",1,IF(AP21="Weekdays",IF(WEEKDAY(I21,2)&gt;=5,8-WEEKDAY(I21,2),1),IF(AP21="Weekly",7,IF(AP21="Fortnightly",14,0))))))</f>
        <v>0</v>
      </c>
      <c r="AR21" s="49">
        <f>IF(OR(I21="",AL21="",K21="",L21=""),"",IF(SUMPRODUCT((Bookings!$AL$5:$AL$404=AL21)*(Bookings!$I$5:$I$404=I21)*(Bookings!$K$5:$K$404&lt;L21)*(Bookings!$L$5:$L$404&gt;K21)*(Bookings!$AM$5:$AM$404&lt;&gt;"Cancelled"))&gt;1,"Conflict - double booked","OK"))</f>
        <v>0</v>
      </c>
      <c r="AS21" s="50">
        <f>IF(A21="","",IF(COUNTIF('Visit Log'!$B$5:$B$404,A21)&gt;0,"Yes","No"))</f>
        <v>0</v>
      </c>
      <c r="AT21" s="28">
        <f>IF(A21="","",IFERROR(INDEX(Invoices!$A$5:$A$304,MATCH(A21,Invoices!$E$5:$E$304,0)),""))</f>
        <v>0</v>
      </c>
      <c r="AU21" s="49">
        <f>IF(A21="","",IF(AT21="","Not invoiced",IFERROR(INDEX(Invoices!$U$5:$U$304,MATCH(AT21,Invoices!$A$5:$A$304,0)),"")))</f>
        <v>0</v>
      </c>
      <c r="AY21" s="28">
        <f>IF(I21="","",TEXT(I21,"yyyy-mm"))</f>
        <v>0</v>
      </c>
      <c r="AZ21" s="49">
        <f>IF(I21="","",IF(AM21="Cancelled","Cancelled",IF(AND(I21&lt;TODAY(),OR(AM21="Pending",AM21="Confirmed",AM21="Enquiry")),"Overdue - update status",IF(AND(AM21="Completed",AS21="No"),"Action - log the visit",IF(I21=TODAY(),"Today",IF(AND(I21&gt;TODAY(),I21-TODAY()&lt;=ReminderLeadDays,AN21&lt;&gt;"Yes"),"Action - unconfirmed",IF(AND(I21&gt;TODAY(),I21-TODAY()&lt;=ReminderLeadDays),"Upcoming","OK")))))))</f>
        <v>0</v>
      </c>
    </row>
    <row r="22" spans="1:52">
      <c r="A22" s="46">
        <f>IF(C22="","",BookingPrefix&amp;TEXT(ROW()-4,"0000"))</f>
        <v>0</v>
      </c>
      <c r="D22" s="28">
        <f>IF(C22="","",IFERROR(INDEX(Clients!$A$5:$A$254,MATCH(C22,Clients!$B$5:$B$254,0)),""))</f>
        <v>0</v>
      </c>
      <c r="J22" s="50">
        <f>IF(I22="","",TEXT(I22,"ddd"))</f>
        <v>0</v>
      </c>
      <c r="M22" s="51">
        <f>IF(OR(K22="",L22=""),"",ROUND((L22-K22+IF(L22&lt;K22,1,0))*24,2))</f>
        <v>0</v>
      </c>
      <c r="O22" s="28">
        <f>IF(H22="","",IFERROR(INDEX(Services!$E$5:$E$54,MATCH(H22,Services!$B$5:$B$54,0)),""))</f>
        <v>0</v>
      </c>
      <c r="P22" s="29">
        <f>IF(H22="","",IFERROR(INDEX(Services!$G$5:$G$54,MATCH(H22,Services!$B$5:$B$54,0)),0))</f>
        <v>0</v>
      </c>
      <c r="Q22" s="29">
        <f>IF(H22="","",IF(IFERROR(INDEX(Services!$H$5:$H$54,MATCH(H22,Services!$B$5:$B$54,0)),0)=0,ExtraPetFeeDefault,IFERROR(INDEX(Services!$H$5:$H$54,MATCH(H22,Services!$B$5:$B$54,0)),0)))</f>
        <v>0</v>
      </c>
      <c r="R22" s="30">
        <f>IF(H22="","",IF(IFERROR(INDEX(Services!$I$5:$I$54,MATCH(H22,Services!$B$5:$B$54,0)),0)=0,HolidaySurcharge,IFERROR(INDEX(Services!$I$5:$I$54,MATCH(H22,Services!$B$5:$B$54,0)),0)))</f>
        <v>0</v>
      </c>
      <c r="S22" s="30">
        <f>IF(H22="","",IF(IFERROR(INDEX(Services!$J$5:$J$54,MATCH(H22,Services!$B$5:$B$54,0)),0)=0,WeekendSurcharge,IFERROR(INDEX(Services!$J$5:$J$54,MATCH(H22,Services!$B$5:$B$54,0)),0)))</f>
        <v>0</v>
      </c>
      <c r="T22" s="50">
        <f>IF(H22="","",IFERROR(INDEX(Services!$K$5:$K$54,MATCH(H22,Services!$B$5:$B$54,0)),"No"))</f>
        <v>0</v>
      </c>
      <c r="U22" s="29">
        <f>IF(H22="","",ROUND(IF(O22="Per hour",P22*IF(M22="",IF(N22="",1,N22),M22),P22*IF(N22="",1,N22)),2))</f>
        <v>0</v>
      </c>
      <c r="V22" s="29">
        <f>IF(H22="","",ROUND(MAX(0,IF(G22="",1,G22)-1)*Q22,2))</f>
        <v>0</v>
      </c>
      <c r="W22" s="50">
        <f>IF(I22="","",IF(COUNTIF(HolidayDates,I22)&gt;0,"Yes","No"))</f>
        <v>0</v>
      </c>
      <c r="X22" s="50">
        <f>IF(I22="","",IF(WEEKDAY(I22,2)&gt;5,"Yes","No"))</f>
        <v>0</v>
      </c>
      <c r="Y22" s="29">
        <f>IF(H22="","",ROUND((U22+V22)*(IF(W22="Yes",R22,0)+IF(X22="Yes",S22,0)),2))</f>
        <v>0</v>
      </c>
      <c r="AA22" s="29">
        <f>IF(H22="","",IF(T22&lt;&gt;"Yes",0,ROUND(MAX(0,IF(Z22="",0,Z22)-FreeTravelDistance)*TravelFeeRate,2)))</f>
        <v>0</v>
      </c>
      <c r="AB22" s="31">
        <f>IF(I22="","",TravelTimeMins)</f>
        <v>0</v>
      </c>
      <c r="AC22" s="29">
        <f>IF(OR(I22="",B22=""),0,IF(I22-B22&lt;=LastMinuteDays,EmergencyFee,0))</f>
        <v>0</v>
      </c>
      <c r="AF22" s="29">
        <f>IF(H22="","",ROUND((U22+V22+Y22+AA22+AC22)*IF(AE22="",0,AE22),2))</f>
        <v>0</v>
      </c>
      <c r="AI22" s="29">
        <f>IF(H22="","",IF(AG22&lt;&gt;"",AG22,ROUND(U22+V22+Y22+AA22+AC22-AF22,2)))</f>
        <v>0</v>
      </c>
      <c r="AJ22" s="29">
        <f>IF(AI22="","",IF(TaxRegistered&lt;&gt;"Yes",0,IF(PricesIncludeTax="Yes",ROUND(AI22-AI22/(1+TaxRate),2),ROUND(AI22*TaxRate,2))))</f>
        <v>0</v>
      </c>
      <c r="AK22" s="29">
        <f>IF(AI22="","",IF(PricesIncludeTax="Yes",AI22,ROUND(AI22+AJ22,2)))</f>
        <v>0</v>
      </c>
      <c r="AQ22" s="21">
        <f>IF(OR(I22="",AP22="",AP22="None"),"",IF(AP22="Monthly",EDATE(I22,1),I22+IF(AP22="Daily",1,IF(AP22="Weekdays",IF(WEEKDAY(I22,2)&gt;=5,8-WEEKDAY(I22,2),1),IF(AP22="Weekly",7,IF(AP22="Fortnightly",14,0))))))</f>
        <v>0</v>
      </c>
      <c r="AR22" s="49">
        <f>IF(OR(I22="",AL22="",K22="",L22=""),"",IF(SUMPRODUCT((Bookings!$AL$5:$AL$404=AL22)*(Bookings!$I$5:$I$404=I22)*(Bookings!$K$5:$K$404&lt;L22)*(Bookings!$L$5:$L$404&gt;K22)*(Bookings!$AM$5:$AM$404&lt;&gt;"Cancelled"))&gt;1,"Conflict - double booked","OK"))</f>
        <v>0</v>
      </c>
      <c r="AS22" s="50">
        <f>IF(A22="","",IF(COUNTIF('Visit Log'!$B$5:$B$404,A22)&gt;0,"Yes","No"))</f>
        <v>0</v>
      </c>
      <c r="AT22" s="28">
        <f>IF(A22="","",IFERROR(INDEX(Invoices!$A$5:$A$304,MATCH(A22,Invoices!$E$5:$E$304,0)),""))</f>
        <v>0</v>
      </c>
      <c r="AU22" s="49">
        <f>IF(A22="","",IF(AT22="","Not invoiced",IFERROR(INDEX(Invoices!$U$5:$U$304,MATCH(AT22,Invoices!$A$5:$A$304,0)),"")))</f>
        <v>0</v>
      </c>
      <c r="AY22" s="28">
        <f>IF(I22="","",TEXT(I22,"yyyy-mm"))</f>
        <v>0</v>
      </c>
      <c r="AZ22" s="49">
        <f>IF(I22="","",IF(AM22="Cancelled","Cancelled",IF(AND(I22&lt;TODAY(),OR(AM22="Pending",AM22="Confirmed",AM22="Enquiry")),"Overdue - update status",IF(AND(AM22="Completed",AS22="No"),"Action - log the visit",IF(I22=TODAY(),"Today",IF(AND(I22&gt;TODAY(),I22-TODAY()&lt;=ReminderLeadDays,AN22&lt;&gt;"Yes"),"Action - unconfirmed",IF(AND(I22&gt;TODAY(),I22-TODAY()&lt;=ReminderLeadDays),"Upcoming","OK")))))))</f>
        <v>0</v>
      </c>
    </row>
    <row r="23" spans="1:52">
      <c r="A23" s="46">
        <f>IF(C23="","",BookingPrefix&amp;TEXT(ROW()-4,"0000"))</f>
        <v>0</v>
      </c>
      <c r="D23" s="28">
        <f>IF(C23="","",IFERROR(INDEX(Clients!$A$5:$A$254,MATCH(C23,Clients!$B$5:$B$254,0)),""))</f>
        <v>0</v>
      </c>
      <c r="J23" s="50">
        <f>IF(I23="","",TEXT(I23,"ddd"))</f>
        <v>0</v>
      </c>
      <c r="M23" s="51">
        <f>IF(OR(K23="",L23=""),"",ROUND((L23-K23+IF(L23&lt;K23,1,0))*24,2))</f>
        <v>0</v>
      </c>
      <c r="O23" s="28">
        <f>IF(H23="","",IFERROR(INDEX(Services!$E$5:$E$54,MATCH(H23,Services!$B$5:$B$54,0)),""))</f>
        <v>0</v>
      </c>
      <c r="P23" s="29">
        <f>IF(H23="","",IFERROR(INDEX(Services!$G$5:$G$54,MATCH(H23,Services!$B$5:$B$54,0)),0))</f>
        <v>0</v>
      </c>
      <c r="Q23" s="29">
        <f>IF(H23="","",IF(IFERROR(INDEX(Services!$H$5:$H$54,MATCH(H23,Services!$B$5:$B$54,0)),0)=0,ExtraPetFeeDefault,IFERROR(INDEX(Services!$H$5:$H$54,MATCH(H23,Services!$B$5:$B$54,0)),0)))</f>
        <v>0</v>
      </c>
      <c r="R23" s="30">
        <f>IF(H23="","",IF(IFERROR(INDEX(Services!$I$5:$I$54,MATCH(H23,Services!$B$5:$B$54,0)),0)=0,HolidaySurcharge,IFERROR(INDEX(Services!$I$5:$I$54,MATCH(H23,Services!$B$5:$B$54,0)),0)))</f>
        <v>0</v>
      </c>
      <c r="S23" s="30">
        <f>IF(H23="","",IF(IFERROR(INDEX(Services!$J$5:$J$54,MATCH(H23,Services!$B$5:$B$54,0)),0)=0,WeekendSurcharge,IFERROR(INDEX(Services!$J$5:$J$54,MATCH(H23,Services!$B$5:$B$54,0)),0)))</f>
        <v>0</v>
      </c>
      <c r="T23" s="50">
        <f>IF(H23="","",IFERROR(INDEX(Services!$K$5:$K$54,MATCH(H23,Services!$B$5:$B$54,0)),"No"))</f>
        <v>0</v>
      </c>
      <c r="U23" s="29">
        <f>IF(H23="","",ROUND(IF(O23="Per hour",P23*IF(M23="",IF(N23="",1,N23),M23),P23*IF(N23="",1,N23)),2))</f>
        <v>0</v>
      </c>
      <c r="V23" s="29">
        <f>IF(H23="","",ROUND(MAX(0,IF(G23="",1,G23)-1)*Q23,2))</f>
        <v>0</v>
      </c>
      <c r="W23" s="50">
        <f>IF(I23="","",IF(COUNTIF(HolidayDates,I23)&gt;0,"Yes","No"))</f>
        <v>0</v>
      </c>
      <c r="X23" s="50">
        <f>IF(I23="","",IF(WEEKDAY(I23,2)&gt;5,"Yes","No"))</f>
        <v>0</v>
      </c>
      <c r="Y23" s="29">
        <f>IF(H23="","",ROUND((U23+V23)*(IF(W23="Yes",R23,0)+IF(X23="Yes",S23,0)),2))</f>
        <v>0</v>
      </c>
      <c r="AA23" s="29">
        <f>IF(H23="","",IF(T23&lt;&gt;"Yes",0,ROUND(MAX(0,IF(Z23="",0,Z23)-FreeTravelDistance)*TravelFeeRate,2)))</f>
        <v>0</v>
      </c>
      <c r="AB23" s="31">
        <f>IF(I23="","",TravelTimeMins)</f>
        <v>0</v>
      </c>
      <c r="AC23" s="29">
        <f>IF(OR(I23="",B23=""),0,IF(I23-B23&lt;=LastMinuteDays,EmergencyFee,0))</f>
        <v>0</v>
      </c>
      <c r="AF23" s="29">
        <f>IF(H23="","",ROUND((U23+V23+Y23+AA23+AC23)*IF(AE23="",0,AE23),2))</f>
        <v>0</v>
      </c>
      <c r="AI23" s="29">
        <f>IF(H23="","",IF(AG23&lt;&gt;"",AG23,ROUND(U23+V23+Y23+AA23+AC23-AF23,2)))</f>
        <v>0</v>
      </c>
      <c r="AJ23" s="29">
        <f>IF(AI23="","",IF(TaxRegistered&lt;&gt;"Yes",0,IF(PricesIncludeTax="Yes",ROUND(AI23-AI23/(1+TaxRate),2),ROUND(AI23*TaxRate,2))))</f>
        <v>0</v>
      </c>
      <c r="AK23" s="29">
        <f>IF(AI23="","",IF(PricesIncludeTax="Yes",AI23,ROUND(AI23+AJ23,2)))</f>
        <v>0</v>
      </c>
      <c r="AQ23" s="21">
        <f>IF(OR(I23="",AP23="",AP23="None"),"",IF(AP23="Monthly",EDATE(I23,1),I23+IF(AP23="Daily",1,IF(AP23="Weekdays",IF(WEEKDAY(I23,2)&gt;=5,8-WEEKDAY(I23,2),1),IF(AP23="Weekly",7,IF(AP23="Fortnightly",14,0))))))</f>
        <v>0</v>
      </c>
      <c r="AR23" s="49">
        <f>IF(OR(I23="",AL23="",K23="",L23=""),"",IF(SUMPRODUCT((Bookings!$AL$5:$AL$404=AL23)*(Bookings!$I$5:$I$404=I23)*(Bookings!$K$5:$K$404&lt;L23)*(Bookings!$L$5:$L$404&gt;K23)*(Bookings!$AM$5:$AM$404&lt;&gt;"Cancelled"))&gt;1,"Conflict - double booked","OK"))</f>
        <v>0</v>
      </c>
      <c r="AS23" s="50">
        <f>IF(A23="","",IF(COUNTIF('Visit Log'!$B$5:$B$404,A23)&gt;0,"Yes","No"))</f>
        <v>0</v>
      </c>
      <c r="AT23" s="28">
        <f>IF(A23="","",IFERROR(INDEX(Invoices!$A$5:$A$304,MATCH(A23,Invoices!$E$5:$E$304,0)),""))</f>
        <v>0</v>
      </c>
      <c r="AU23" s="49">
        <f>IF(A23="","",IF(AT23="","Not invoiced",IFERROR(INDEX(Invoices!$U$5:$U$304,MATCH(AT23,Invoices!$A$5:$A$304,0)),"")))</f>
        <v>0</v>
      </c>
      <c r="AY23" s="28">
        <f>IF(I23="","",TEXT(I23,"yyyy-mm"))</f>
        <v>0</v>
      </c>
      <c r="AZ23" s="49">
        <f>IF(I23="","",IF(AM23="Cancelled","Cancelled",IF(AND(I23&lt;TODAY(),OR(AM23="Pending",AM23="Confirmed",AM23="Enquiry")),"Overdue - update status",IF(AND(AM23="Completed",AS23="No"),"Action - log the visit",IF(I23=TODAY(),"Today",IF(AND(I23&gt;TODAY(),I23-TODAY()&lt;=ReminderLeadDays,AN23&lt;&gt;"Yes"),"Action - unconfirmed",IF(AND(I23&gt;TODAY(),I23-TODAY()&lt;=ReminderLeadDays),"Upcoming","OK")))))))</f>
        <v>0</v>
      </c>
    </row>
    <row r="24" spans="1:52">
      <c r="A24" s="46">
        <f>IF(C24="","",BookingPrefix&amp;TEXT(ROW()-4,"0000"))</f>
        <v>0</v>
      </c>
      <c r="D24" s="28">
        <f>IF(C24="","",IFERROR(INDEX(Clients!$A$5:$A$254,MATCH(C24,Clients!$B$5:$B$254,0)),""))</f>
        <v>0</v>
      </c>
      <c r="J24" s="50">
        <f>IF(I24="","",TEXT(I24,"ddd"))</f>
        <v>0</v>
      </c>
      <c r="M24" s="51">
        <f>IF(OR(K24="",L24=""),"",ROUND((L24-K24+IF(L24&lt;K24,1,0))*24,2))</f>
        <v>0</v>
      </c>
      <c r="O24" s="28">
        <f>IF(H24="","",IFERROR(INDEX(Services!$E$5:$E$54,MATCH(H24,Services!$B$5:$B$54,0)),""))</f>
        <v>0</v>
      </c>
      <c r="P24" s="29">
        <f>IF(H24="","",IFERROR(INDEX(Services!$G$5:$G$54,MATCH(H24,Services!$B$5:$B$54,0)),0))</f>
        <v>0</v>
      </c>
      <c r="Q24" s="29">
        <f>IF(H24="","",IF(IFERROR(INDEX(Services!$H$5:$H$54,MATCH(H24,Services!$B$5:$B$54,0)),0)=0,ExtraPetFeeDefault,IFERROR(INDEX(Services!$H$5:$H$54,MATCH(H24,Services!$B$5:$B$54,0)),0)))</f>
        <v>0</v>
      </c>
      <c r="R24" s="30">
        <f>IF(H24="","",IF(IFERROR(INDEX(Services!$I$5:$I$54,MATCH(H24,Services!$B$5:$B$54,0)),0)=0,HolidaySurcharge,IFERROR(INDEX(Services!$I$5:$I$54,MATCH(H24,Services!$B$5:$B$54,0)),0)))</f>
        <v>0</v>
      </c>
      <c r="S24" s="30">
        <f>IF(H24="","",IF(IFERROR(INDEX(Services!$J$5:$J$54,MATCH(H24,Services!$B$5:$B$54,0)),0)=0,WeekendSurcharge,IFERROR(INDEX(Services!$J$5:$J$54,MATCH(H24,Services!$B$5:$B$54,0)),0)))</f>
        <v>0</v>
      </c>
      <c r="T24" s="50">
        <f>IF(H24="","",IFERROR(INDEX(Services!$K$5:$K$54,MATCH(H24,Services!$B$5:$B$54,0)),"No"))</f>
        <v>0</v>
      </c>
      <c r="U24" s="29">
        <f>IF(H24="","",ROUND(IF(O24="Per hour",P24*IF(M24="",IF(N24="",1,N24),M24),P24*IF(N24="",1,N24)),2))</f>
        <v>0</v>
      </c>
      <c r="V24" s="29">
        <f>IF(H24="","",ROUND(MAX(0,IF(G24="",1,G24)-1)*Q24,2))</f>
        <v>0</v>
      </c>
      <c r="W24" s="50">
        <f>IF(I24="","",IF(COUNTIF(HolidayDates,I24)&gt;0,"Yes","No"))</f>
        <v>0</v>
      </c>
      <c r="X24" s="50">
        <f>IF(I24="","",IF(WEEKDAY(I24,2)&gt;5,"Yes","No"))</f>
        <v>0</v>
      </c>
      <c r="Y24" s="29">
        <f>IF(H24="","",ROUND((U24+V24)*(IF(W24="Yes",R24,0)+IF(X24="Yes",S24,0)),2))</f>
        <v>0</v>
      </c>
      <c r="AA24" s="29">
        <f>IF(H24="","",IF(T24&lt;&gt;"Yes",0,ROUND(MAX(0,IF(Z24="",0,Z24)-FreeTravelDistance)*TravelFeeRate,2)))</f>
        <v>0</v>
      </c>
      <c r="AB24" s="31">
        <f>IF(I24="","",TravelTimeMins)</f>
        <v>0</v>
      </c>
      <c r="AC24" s="29">
        <f>IF(OR(I24="",B24=""),0,IF(I24-B24&lt;=LastMinuteDays,EmergencyFee,0))</f>
        <v>0</v>
      </c>
      <c r="AF24" s="29">
        <f>IF(H24="","",ROUND((U24+V24+Y24+AA24+AC24)*IF(AE24="",0,AE24),2))</f>
        <v>0</v>
      </c>
      <c r="AI24" s="29">
        <f>IF(H24="","",IF(AG24&lt;&gt;"",AG24,ROUND(U24+V24+Y24+AA24+AC24-AF24,2)))</f>
        <v>0</v>
      </c>
      <c r="AJ24" s="29">
        <f>IF(AI24="","",IF(TaxRegistered&lt;&gt;"Yes",0,IF(PricesIncludeTax="Yes",ROUND(AI24-AI24/(1+TaxRate),2),ROUND(AI24*TaxRate,2))))</f>
        <v>0</v>
      </c>
      <c r="AK24" s="29">
        <f>IF(AI24="","",IF(PricesIncludeTax="Yes",AI24,ROUND(AI24+AJ24,2)))</f>
        <v>0</v>
      </c>
      <c r="AQ24" s="21">
        <f>IF(OR(I24="",AP24="",AP24="None"),"",IF(AP24="Monthly",EDATE(I24,1),I24+IF(AP24="Daily",1,IF(AP24="Weekdays",IF(WEEKDAY(I24,2)&gt;=5,8-WEEKDAY(I24,2),1),IF(AP24="Weekly",7,IF(AP24="Fortnightly",14,0))))))</f>
        <v>0</v>
      </c>
      <c r="AR24" s="49">
        <f>IF(OR(I24="",AL24="",K24="",L24=""),"",IF(SUMPRODUCT((Bookings!$AL$5:$AL$404=AL24)*(Bookings!$I$5:$I$404=I24)*(Bookings!$K$5:$K$404&lt;L24)*(Bookings!$L$5:$L$404&gt;K24)*(Bookings!$AM$5:$AM$404&lt;&gt;"Cancelled"))&gt;1,"Conflict - double booked","OK"))</f>
        <v>0</v>
      </c>
      <c r="AS24" s="50">
        <f>IF(A24="","",IF(COUNTIF('Visit Log'!$B$5:$B$404,A24)&gt;0,"Yes","No"))</f>
        <v>0</v>
      </c>
      <c r="AT24" s="28">
        <f>IF(A24="","",IFERROR(INDEX(Invoices!$A$5:$A$304,MATCH(A24,Invoices!$E$5:$E$304,0)),""))</f>
        <v>0</v>
      </c>
      <c r="AU24" s="49">
        <f>IF(A24="","",IF(AT24="","Not invoiced",IFERROR(INDEX(Invoices!$U$5:$U$304,MATCH(AT24,Invoices!$A$5:$A$304,0)),"")))</f>
        <v>0</v>
      </c>
      <c r="AY24" s="28">
        <f>IF(I24="","",TEXT(I24,"yyyy-mm"))</f>
        <v>0</v>
      </c>
      <c r="AZ24" s="49">
        <f>IF(I24="","",IF(AM24="Cancelled","Cancelled",IF(AND(I24&lt;TODAY(),OR(AM24="Pending",AM24="Confirmed",AM24="Enquiry")),"Overdue - update status",IF(AND(AM24="Completed",AS24="No"),"Action - log the visit",IF(I24=TODAY(),"Today",IF(AND(I24&gt;TODAY(),I24-TODAY()&lt;=ReminderLeadDays,AN24&lt;&gt;"Yes"),"Action - unconfirmed",IF(AND(I24&gt;TODAY(),I24-TODAY()&lt;=ReminderLeadDays),"Upcoming","OK")))))))</f>
        <v>0</v>
      </c>
    </row>
    <row r="25" spans="1:52">
      <c r="A25" s="46">
        <f>IF(C25="","",BookingPrefix&amp;TEXT(ROW()-4,"0000"))</f>
        <v>0</v>
      </c>
      <c r="D25" s="28">
        <f>IF(C25="","",IFERROR(INDEX(Clients!$A$5:$A$254,MATCH(C25,Clients!$B$5:$B$254,0)),""))</f>
        <v>0</v>
      </c>
      <c r="J25" s="50">
        <f>IF(I25="","",TEXT(I25,"ddd"))</f>
        <v>0</v>
      </c>
      <c r="M25" s="51">
        <f>IF(OR(K25="",L25=""),"",ROUND((L25-K25+IF(L25&lt;K25,1,0))*24,2))</f>
        <v>0</v>
      </c>
      <c r="O25" s="28">
        <f>IF(H25="","",IFERROR(INDEX(Services!$E$5:$E$54,MATCH(H25,Services!$B$5:$B$54,0)),""))</f>
        <v>0</v>
      </c>
      <c r="P25" s="29">
        <f>IF(H25="","",IFERROR(INDEX(Services!$G$5:$G$54,MATCH(H25,Services!$B$5:$B$54,0)),0))</f>
        <v>0</v>
      </c>
      <c r="Q25" s="29">
        <f>IF(H25="","",IF(IFERROR(INDEX(Services!$H$5:$H$54,MATCH(H25,Services!$B$5:$B$54,0)),0)=0,ExtraPetFeeDefault,IFERROR(INDEX(Services!$H$5:$H$54,MATCH(H25,Services!$B$5:$B$54,0)),0)))</f>
        <v>0</v>
      </c>
      <c r="R25" s="30">
        <f>IF(H25="","",IF(IFERROR(INDEX(Services!$I$5:$I$54,MATCH(H25,Services!$B$5:$B$54,0)),0)=0,HolidaySurcharge,IFERROR(INDEX(Services!$I$5:$I$54,MATCH(H25,Services!$B$5:$B$54,0)),0)))</f>
        <v>0</v>
      </c>
      <c r="S25" s="30">
        <f>IF(H25="","",IF(IFERROR(INDEX(Services!$J$5:$J$54,MATCH(H25,Services!$B$5:$B$54,0)),0)=0,WeekendSurcharge,IFERROR(INDEX(Services!$J$5:$J$54,MATCH(H25,Services!$B$5:$B$54,0)),0)))</f>
        <v>0</v>
      </c>
      <c r="T25" s="50">
        <f>IF(H25="","",IFERROR(INDEX(Services!$K$5:$K$54,MATCH(H25,Services!$B$5:$B$54,0)),"No"))</f>
        <v>0</v>
      </c>
      <c r="U25" s="29">
        <f>IF(H25="","",ROUND(IF(O25="Per hour",P25*IF(M25="",IF(N25="",1,N25),M25),P25*IF(N25="",1,N25)),2))</f>
        <v>0</v>
      </c>
      <c r="V25" s="29">
        <f>IF(H25="","",ROUND(MAX(0,IF(G25="",1,G25)-1)*Q25,2))</f>
        <v>0</v>
      </c>
      <c r="W25" s="50">
        <f>IF(I25="","",IF(COUNTIF(HolidayDates,I25)&gt;0,"Yes","No"))</f>
        <v>0</v>
      </c>
      <c r="X25" s="50">
        <f>IF(I25="","",IF(WEEKDAY(I25,2)&gt;5,"Yes","No"))</f>
        <v>0</v>
      </c>
      <c r="Y25" s="29">
        <f>IF(H25="","",ROUND((U25+V25)*(IF(W25="Yes",R25,0)+IF(X25="Yes",S25,0)),2))</f>
        <v>0</v>
      </c>
      <c r="AA25" s="29">
        <f>IF(H25="","",IF(T25&lt;&gt;"Yes",0,ROUND(MAX(0,IF(Z25="",0,Z25)-FreeTravelDistance)*TravelFeeRate,2)))</f>
        <v>0</v>
      </c>
      <c r="AB25" s="31">
        <f>IF(I25="","",TravelTimeMins)</f>
        <v>0</v>
      </c>
      <c r="AC25" s="29">
        <f>IF(OR(I25="",B25=""),0,IF(I25-B25&lt;=LastMinuteDays,EmergencyFee,0))</f>
        <v>0</v>
      </c>
      <c r="AF25" s="29">
        <f>IF(H25="","",ROUND((U25+V25+Y25+AA25+AC25)*IF(AE25="",0,AE25),2))</f>
        <v>0</v>
      </c>
      <c r="AI25" s="29">
        <f>IF(H25="","",IF(AG25&lt;&gt;"",AG25,ROUND(U25+V25+Y25+AA25+AC25-AF25,2)))</f>
        <v>0</v>
      </c>
      <c r="AJ25" s="29">
        <f>IF(AI25="","",IF(TaxRegistered&lt;&gt;"Yes",0,IF(PricesIncludeTax="Yes",ROUND(AI25-AI25/(1+TaxRate),2),ROUND(AI25*TaxRate,2))))</f>
        <v>0</v>
      </c>
      <c r="AK25" s="29">
        <f>IF(AI25="","",IF(PricesIncludeTax="Yes",AI25,ROUND(AI25+AJ25,2)))</f>
        <v>0</v>
      </c>
      <c r="AQ25" s="21">
        <f>IF(OR(I25="",AP25="",AP25="None"),"",IF(AP25="Monthly",EDATE(I25,1),I25+IF(AP25="Daily",1,IF(AP25="Weekdays",IF(WEEKDAY(I25,2)&gt;=5,8-WEEKDAY(I25,2),1),IF(AP25="Weekly",7,IF(AP25="Fortnightly",14,0))))))</f>
        <v>0</v>
      </c>
      <c r="AR25" s="49">
        <f>IF(OR(I25="",AL25="",K25="",L25=""),"",IF(SUMPRODUCT((Bookings!$AL$5:$AL$404=AL25)*(Bookings!$I$5:$I$404=I25)*(Bookings!$K$5:$K$404&lt;L25)*(Bookings!$L$5:$L$404&gt;K25)*(Bookings!$AM$5:$AM$404&lt;&gt;"Cancelled"))&gt;1,"Conflict - double booked","OK"))</f>
        <v>0</v>
      </c>
      <c r="AS25" s="50">
        <f>IF(A25="","",IF(COUNTIF('Visit Log'!$B$5:$B$404,A25)&gt;0,"Yes","No"))</f>
        <v>0</v>
      </c>
      <c r="AT25" s="28">
        <f>IF(A25="","",IFERROR(INDEX(Invoices!$A$5:$A$304,MATCH(A25,Invoices!$E$5:$E$304,0)),""))</f>
        <v>0</v>
      </c>
      <c r="AU25" s="49">
        <f>IF(A25="","",IF(AT25="","Not invoiced",IFERROR(INDEX(Invoices!$U$5:$U$304,MATCH(AT25,Invoices!$A$5:$A$304,0)),"")))</f>
        <v>0</v>
      </c>
      <c r="AY25" s="28">
        <f>IF(I25="","",TEXT(I25,"yyyy-mm"))</f>
        <v>0</v>
      </c>
      <c r="AZ25" s="49">
        <f>IF(I25="","",IF(AM25="Cancelled","Cancelled",IF(AND(I25&lt;TODAY(),OR(AM25="Pending",AM25="Confirmed",AM25="Enquiry")),"Overdue - update status",IF(AND(AM25="Completed",AS25="No"),"Action - log the visit",IF(I25=TODAY(),"Today",IF(AND(I25&gt;TODAY(),I25-TODAY()&lt;=ReminderLeadDays,AN25&lt;&gt;"Yes"),"Action - unconfirmed",IF(AND(I25&gt;TODAY(),I25-TODAY()&lt;=ReminderLeadDays),"Upcoming","OK")))))))</f>
        <v>0</v>
      </c>
    </row>
    <row r="26" spans="1:52">
      <c r="A26" s="46">
        <f>IF(C26="","",BookingPrefix&amp;TEXT(ROW()-4,"0000"))</f>
        <v>0</v>
      </c>
      <c r="D26" s="28">
        <f>IF(C26="","",IFERROR(INDEX(Clients!$A$5:$A$254,MATCH(C26,Clients!$B$5:$B$254,0)),""))</f>
        <v>0</v>
      </c>
      <c r="J26" s="50">
        <f>IF(I26="","",TEXT(I26,"ddd"))</f>
        <v>0</v>
      </c>
      <c r="M26" s="51">
        <f>IF(OR(K26="",L26=""),"",ROUND((L26-K26+IF(L26&lt;K26,1,0))*24,2))</f>
        <v>0</v>
      </c>
      <c r="O26" s="28">
        <f>IF(H26="","",IFERROR(INDEX(Services!$E$5:$E$54,MATCH(H26,Services!$B$5:$B$54,0)),""))</f>
        <v>0</v>
      </c>
      <c r="P26" s="29">
        <f>IF(H26="","",IFERROR(INDEX(Services!$G$5:$G$54,MATCH(H26,Services!$B$5:$B$54,0)),0))</f>
        <v>0</v>
      </c>
      <c r="Q26" s="29">
        <f>IF(H26="","",IF(IFERROR(INDEX(Services!$H$5:$H$54,MATCH(H26,Services!$B$5:$B$54,0)),0)=0,ExtraPetFeeDefault,IFERROR(INDEX(Services!$H$5:$H$54,MATCH(H26,Services!$B$5:$B$54,0)),0)))</f>
        <v>0</v>
      </c>
      <c r="R26" s="30">
        <f>IF(H26="","",IF(IFERROR(INDEX(Services!$I$5:$I$54,MATCH(H26,Services!$B$5:$B$54,0)),0)=0,HolidaySurcharge,IFERROR(INDEX(Services!$I$5:$I$54,MATCH(H26,Services!$B$5:$B$54,0)),0)))</f>
        <v>0</v>
      </c>
      <c r="S26" s="30">
        <f>IF(H26="","",IF(IFERROR(INDEX(Services!$J$5:$J$54,MATCH(H26,Services!$B$5:$B$54,0)),0)=0,WeekendSurcharge,IFERROR(INDEX(Services!$J$5:$J$54,MATCH(H26,Services!$B$5:$B$54,0)),0)))</f>
        <v>0</v>
      </c>
      <c r="T26" s="50">
        <f>IF(H26="","",IFERROR(INDEX(Services!$K$5:$K$54,MATCH(H26,Services!$B$5:$B$54,0)),"No"))</f>
        <v>0</v>
      </c>
      <c r="U26" s="29">
        <f>IF(H26="","",ROUND(IF(O26="Per hour",P26*IF(M26="",IF(N26="",1,N26),M26),P26*IF(N26="",1,N26)),2))</f>
        <v>0</v>
      </c>
      <c r="V26" s="29">
        <f>IF(H26="","",ROUND(MAX(0,IF(G26="",1,G26)-1)*Q26,2))</f>
        <v>0</v>
      </c>
      <c r="W26" s="50">
        <f>IF(I26="","",IF(COUNTIF(HolidayDates,I26)&gt;0,"Yes","No"))</f>
        <v>0</v>
      </c>
      <c r="X26" s="50">
        <f>IF(I26="","",IF(WEEKDAY(I26,2)&gt;5,"Yes","No"))</f>
        <v>0</v>
      </c>
      <c r="Y26" s="29">
        <f>IF(H26="","",ROUND((U26+V26)*(IF(W26="Yes",R26,0)+IF(X26="Yes",S26,0)),2))</f>
        <v>0</v>
      </c>
      <c r="AA26" s="29">
        <f>IF(H26="","",IF(T26&lt;&gt;"Yes",0,ROUND(MAX(0,IF(Z26="",0,Z26)-FreeTravelDistance)*TravelFeeRate,2)))</f>
        <v>0</v>
      </c>
      <c r="AB26" s="31">
        <f>IF(I26="","",TravelTimeMins)</f>
        <v>0</v>
      </c>
      <c r="AC26" s="29">
        <f>IF(OR(I26="",B26=""),0,IF(I26-B26&lt;=LastMinuteDays,EmergencyFee,0))</f>
        <v>0</v>
      </c>
      <c r="AF26" s="29">
        <f>IF(H26="","",ROUND((U26+V26+Y26+AA26+AC26)*IF(AE26="",0,AE26),2))</f>
        <v>0</v>
      </c>
      <c r="AI26" s="29">
        <f>IF(H26="","",IF(AG26&lt;&gt;"",AG26,ROUND(U26+V26+Y26+AA26+AC26-AF26,2)))</f>
        <v>0</v>
      </c>
      <c r="AJ26" s="29">
        <f>IF(AI26="","",IF(TaxRegistered&lt;&gt;"Yes",0,IF(PricesIncludeTax="Yes",ROUND(AI26-AI26/(1+TaxRate),2),ROUND(AI26*TaxRate,2))))</f>
        <v>0</v>
      </c>
      <c r="AK26" s="29">
        <f>IF(AI26="","",IF(PricesIncludeTax="Yes",AI26,ROUND(AI26+AJ26,2)))</f>
        <v>0</v>
      </c>
      <c r="AQ26" s="21">
        <f>IF(OR(I26="",AP26="",AP26="None"),"",IF(AP26="Monthly",EDATE(I26,1),I26+IF(AP26="Daily",1,IF(AP26="Weekdays",IF(WEEKDAY(I26,2)&gt;=5,8-WEEKDAY(I26,2),1),IF(AP26="Weekly",7,IF(AP26="Fortnightly",14,0))))))</f>
        <v>0</v>
      </c>
      <c r="AR26" s="49">
        <f>IF(OR(I26="",AL26="",K26="",L26=""),"",IF(SUMPRODUCT((Bookings!$AL$5:$AL$404=AL26)*(Bookings!$I$5:$I$404=I26)*(Bookings!$K$5:$K$404&lt;L26)*(Bookings!$L$5:$L$404&gt;K26)*(Bookings!$AM$5:$AM$404&lt;&gt;"Cancelled"))&gt;1,"Conflict - double booked","OK"))</f>
        <v>0</v>
      </c>
      <c r="AS26" s="50">
        <f>IF(A26="","",IF(COUNTIF('Visit Log'!$B$5:$B$404,A26)&gt;0,"Yes","No"))</f>
        <v>0</v>
      </c>
      <c r="AT26" s="28">
        <f>IF(A26="","",IFERROR(INDEX(Invoices!$A$5:$A$304,MATCH(A26,Invoices!$E$5:$E$304,0)),""))</f>
        <v>0</v>
      </c>
      <c r="AU26" s="49">
        <f>IF(A26="","",IF(AT26="","Not invoiced",IFERROR(INDEX(Invoices!$U$5:$U$304,MATCH(AT26,Invoices!$A$5:$A$304,0)),"")))</f>
        <v>0</v>
      </c>
      <c r="AY26" s="28">
        <f>IF(I26="","",TEXT(I26,"yyyy-mm"))</f>
        <v>0</v>
      </c>
      <c r="AZ26" s="49">
        <f>IF(I26="","",IF(AM26="Cancelled","Cancelled",IF(AND(I26&lt;TODAY(),OR(AM26="Pending",AM26="Confirmed",AM26="Enquiry")),"Overdue - update status",IF(AND(AM26="Completed",AS26="No"),"Action - log the visit",IF(I26=TODAY(),"Today",IF(AND(I26&gt;TODAY(),I26-TODAY()&lt;=ReminderLeadDays,AN26&lt;&gt;"Yes"),"Action - unconfirmed",IF(AND(I26&gt;TODAY(),I26-TODAY()&lt;=ReminderLeadDays),"Upcoming","OK")))))))</f>
        <v>0</v>
      </c>
    </row>
    <row r="27" spans="1:52">
      <c r="A27" s="46">
        <f>IF(C27="","",BookingPrefix&amp;TEXT(ROW()-4,"0000"))</f>
        <v>0</v>
      </c>
      <c r="D27" s="28">
        <f>IF(C27="","",IFERROR(INDEX(Clients!$A$5:$A$254,MATCH(C27,Clients!$B$5:$B$254,0)),""))</f>
        <v>0</v>
      </c>
      <c r="J27" s="50">
        <f>IF(I27="","",TEXT(I27,"ddd"))</f>
        <v>0</v>
      </c>
      <c r="M27" s="51">
        <f>IF(OR(K27="",L27=""),"",ROUND((L27-K27+IF(L27&lt;K27,1,0))*24,2))</f>
        <v>0</v>
      </c>
      <c r="O27" s="28">
        <f>IF(H27="","",IFERROR(INDEX(Services!$E$5:$E$54,MATCH(H27,Services!$B$5:$B$54,0)),""))</f>
        <v>0</v>
      </c>
      <c r="P27" s="29">
        <f>IF(H27="","",IFERROR(INDEX(Services!$G$5:$G$54,MATCH(H27,Services!$B$5:$B$54,0)),0))</f>
        <v>0</v>
      </c>
      <c r="Q27" s="29">
        <f>IF(H27="","",IF(IFERROR(INDEX(Services!$H$5:$H$54,MATCH(H27,Services!$B$5:$B$54,0)),0)=0,ExtraPetFeeDefault,IFERROR(INDEX(Services!$H$5:$H$54,MATCH(H27,Services!$B$5:$B$54,0)),0)))</f>
        <v>0</v>
      </c>
      <c r="R27" s="30">
        <f>IF(H27="","",IF(IFERROR(INDEX(Services!$I$5:$I$54,MATCH(H27,Services!$B$5:$B$54,0)),0)=0,HolidaySurcharge,IFERROR(INDEX(Services!$I$5:$I$54,MATCH(H27,Services!$B$5:$B$54,0)),0)))</f>
        <v>0</v>
      </c>
      <c r="S27" s="30">
        <f>IF(H27="","",IF(IFERROR(INDEX(Services!$J$5:$J$54,MATCH(H27,Services!$B$5:$B$54,0)),0)=0,WeekendSurcharge,IFERROR(INDEX(Services!$J$5:$J$54,MATCH(H27,Services!$B$5:$B$54,0)),0)))</f>
        <v>0</v>
      </c>
      <c r="T27" s="50">
        <f>IF(H27="","",IFERROR(INDEX(Services!$K$5:$K$54,MATCH(H27,Services!$B$5:$B$54,0)),"No"))</f>
        <v>0</v>
      </c>
      <c r="U27" s="29">
        <f>IF(H27="","",ROUND(IF(O27="Per hour",P27*IF(M27="",IF(N27="",1,N27),M27),P27*IF(N27="",1,N27)),2))</f>
        <v>0</v>
      </c>
      <c r="V27" s="29">
        <f>IF(H27="","",ROUND(MAX(0,IF(G27="",1,G27)-1)*Q27,2))</f>
        <v>0</v>
      </c>
      <c r="W27" s="50">
        <f>IF(I27="","",IF(COUNTIF(HolidayDates,I27)&gt;0,"Yes","No"))</f>
        <v>0</v>
      </c>
      <c r="X27" s="50">
        <f>IF(I27="","",IF(WEEKDAY(I27,2)&gt;5,"Yes","No"))</f>
        <v>0</v>
      </c>
      <c r="Y27" s="29">
        <f>IF(H27="","",ROUND((U27+V27)*(IF(W27="Yes",R27,0)+IF(X27="Yes",S27,0)),2))</f>
        <v>0</v>
      </c>
      <c r="AA27" s="29">
        <f>IF(H27="","",IF(T27&lt;&gt;"Yes",0,ROUND(MAX(0,IF(Z27="",0,Z27)-FreeTravelDistance)*TravelFeeRate,2)))</f>
        <v>0</v>
      </c>
      <c r="AB27" s="31">
        <f>IF(I27="","",TravelTimeMins)</f>
        <v>0</v>
      </c>
      <c r="AC27" s="29">
        <f>IF(OR(I27="",B27=""),0,IF(I27-B27&lt;=LastMinuteDays,EmergencyFee,0))</f>
        <v>0</v>
      </c>
      <c r="AF27" s="29">
        <f>IF(H27="","",ROUND((U27+V27+Y27+AA27+AC27)*IF(AE27="",0,AE27),2))</f>
        <v>0</v>
      </c>
      <c r="AI27" s="29">
        <f>IF(H27="","",IF(AG27&lt;&gt;"",AG27,ROUND(U27+V27+Y27+AA27+AC27-AF27,2)))</f>
        <v>0</v>
      </c>
      <c r="AJ27" s="29">
        <f>IF(AI27="","",IF(TaxRegistered&lt;&gt;"Yes",0,IF(PricesIncludeTax="Yes",ROUND(AI27-AI27/(1+TaxRate),2),ROUND(AI27*TaxRate,2))))</f>
        <v>0</v>
      </c>
      <c r="AK27" s="29">
        <f>IF(AI27="","",IF(PricesIncludeTax="Yes",AI27,ROUND(AI27+AJ27,2)))</f>
        <v>0</v>
      </c>
      <c r="AQ27" s="21">
        <f>IF(OR(I27="",AP27="",AP27="None"),"",IF(AP27="Monthly",EDATE(I27,1),I27+IF(AP27="Daily",1,IF(AP27="Weekdays",IF(WEEKDAY(I27,2)&gt;=5,8-WEEKDAY(I27,2),1),IF(AP27="Weekly",7,IF(AP27="Fortnightly",14,0))))))</f>
        <v>0</v>
      </c>
      <c r="AR27" s="49">
        <f>IF(OR(I27="",AL27="",K27="",L27=""),"",IF(SUMPRODUCT((Bookings!$AL$5:$AL$404=AL27)*(Bookings!$I$5:$I$404=I27)*(Bookings!$K$5:$K$404&lt;L27)*(Bookings!$L$5:$L$404&gt;K27)*(Bookings!$AM$5:$AM$404&lt;&gt;"Cancelled"))&gt;1,"Conflict - double booked","OK"))</f>
        <v>0</v>
      </c>
      <c r="AS27" s="50">
        <f>IF(A27="","",IF(COUNTIF('Visit Log'!$B$5:$B$404,A27)&gt;0,"Yes","No"))</f>
        <v>0</v>
      </c>
      <c r="AT27" s="28">
        <f>IF(A27="","",IFERROR(INDEX(Invoices!$A$5:$A$304,MATCH(A27,Invoices!$E$5:$E$304,0)),""))</f>
        <v>0</v>
      </c>
      <c r="AU27" s="49">
        <f>IF(A27="","",IF(AT27="","Not invoiced",IFERROR(INDEX(Invoices!$U$5:$U$304,MATCH(AT27,Invoices!$A$5:$A$304,0)),"")))</f>
        <v>0</v>
      </c>
      <c r="AY27" s="28">
        <f>IF(I27="","",TEXT(I27,"yyyy-mm"))</f>
        <v>0</v>
      </c>
      <c r="AZ27" s="49">
        <f>IF(I27="","",IF(AM27="Cancelled","Cancelled",IF(AND(I27&lt;TODAY(),OR(AM27="Pending",AM27="Confirmed",AM27="Enquiry")),"Overdue - update status",IF(AND(AM27="Completed",AS27="No"),"Action - log the visit",IF(I27=TODAY(),"Today",IF(AND(I27&gt;TODAY(),I27-TODAY()&lt;=ReminderLeadDays,AN27&lt;&gt;"Yes"),"Action - unconfirmed",IF(AND(I27&gt;TODAY(),I27-TODAY()&lt;=ReminderLeadDays),"Upcoming","OK")))))))</f>
        <v>0</v>
      </c>
    </row>
    <row r="28" spans="1:52">
      <c r="A28" s="46">
        <f>IF(C28="","",BookingPrefix&amp;TEXT(ROW()-4,"0000"))</f>
        <v>0</v>
      </c>
      <c r="D28" s="28">
        <f>IF(C28="","",IFERROR(INDEX(Clients!$A$5:$A$254,MATCH(C28,Clients!$B$5:$B$254,0)),""))</f>
        <v>0</v>
      </c>
      <c r="J28" s="50">
        <f>IF(I28="","",TEXT(I28,"ddd"))</f>
        <v>0</v>
      </c>
      <c r="M28" s="51">
        <f>IF(OR(K28="",L28=""),"",ROUND((L28-K28+IF(L28&lt;K28,1,0))*24,2))</f>
        <v>0</v>
      </c>
      <c r="O28" s="28">
        <f>IF(H28="","",IFERROR(INDEX(Services!$E$5:$E$54,MATCH(H28,Services!$B$5:$B$54,0)),""))</f>
        <v>0</v>
      </c>
      <c r="P28" s="29">
        <f>IF(H28="","",IFERROR(INDEX(Services!$G$5:$G$54,MATCH(H28,Services!$B$5:$B$54,0)),0))</f>
        <v>0</v>
      </c>
      <c r="Q28" s="29">
        <f>IF(H28="","",IF(IFERROR(INDEX(Services!$H$5:$H$54,MATCH(H28,Services!$B$5:$B$54,0)),0)=0,ExtraPetFeeDefault,IFERROR(INDEX(Services!$H$5:$H$54,MATCH(H28,Services!$B$5:$B$54,0)),0)))</f>
        <v>0</v>
      </c>
      <c r="R28" s="30">
        <f>IF(H28="","",IF(IFERROR(INDEX(Services!$I$5:$I$54,MATCH(H28,Services!$B$5:$B$54,0)),0)=0,HolidaySurcharge,IFERROR(INDEX(Services!$I$5:$I$54,MATCH(H28,Services!$B$5:$B$54,0)),0)))</f>
        <v>0</v>
      </c>
      <c r="S28" s="30">
        <f>IF(H28="","",IF(IFERROR(INDEX(Services!$J$5:$J$54,MATCH(H28,Services!$B$5:$B$54,0)),0)=0,WeekendSurcharge,IFERROR(INDEX(Services!$J$5:$J$54,MATCH(H28,Services!$B$5:$B$54,0)),0)))</f>
        <v>0</v>
      </c>
      <c r="T28" s="50">
        <f>IF(H28="","",IFERROR(INDEX(Services!$K$5:$K$54,MATCH(H28,Services!$B$5:$B$54,0)),"No"))</f>
        <v>0</v>
      </c>
      <c r="U28" s="29">
        <f>IF(H28="","",ROUND(IF(O28="Per hour",P28*IF(M28="",IF(N28="",1,N28),M28),P28*IF(N28="",1,N28)),2))</f>
        <v>0</v>
      </c>
      <c r="V28" s="29">
        <f>IF(H28="","",ROUND(MAX(0,IF(G28="",1,G28)-1)*Q28,2))</f>
        <v>0</v>
      </c>
      <c r="W28" s="50">
        <f>IF(I28="","",IF(COUNTIF(HolidayDates,I28)&gt;0,"Yes","No"))</f>
        <v>0</v>
      </c>
      <c r="X28" s="50">
        <f>IF(I28="","",IF(WEEKDAY(I28,2)&gt;5,"Yes","No"))</f>
        <v>0</v>
      </c>
      <c r="Y28" s="29">
        <f>IF(H28="","",ROUND((U28+V28)*(IF(W28="Yes",R28,0)+IF(X28="Yes",S28,0)),2))</f>
        <v>0</v>
      </c>
      <c r="AA28" s="29">
        <f>IF(H28="","",IF(T28&lt;&gt;"Yes",0,ROUND(MAX(0,IF(Z28="",0,Z28)-FreeTravelDistance)*TravelFeeRate,2)))</f>
        <v>0</v>
      </c>
      <c r="AB28" s="31">
        <f>IF(I28="","",TravelTimeMins)</f>
        <v>0</v>
      </c>
      <c r="AC28" s="29">
        <f>IF(OR(I28="",B28=""),0,IF(I28-B28&lt;=LastMinuteDays,EmergencyFee,0))</f>
        <v>0</v>
      </c>
      <c r="AF28" s="29">
        <f>IF(H28="","",ROUND((U28+V28+Y28+AA28+AC28)*IF(AE28="",0,AE28),2))</f>
        <v>0</v>
      </c>
      <c r="AI28" s="29">
        <f>IF(H28="","",IF(AG28&lt;&gt;"",AG28,ROUND(U28+V28+Y28+AA28+AC28-AF28,2)))</f>
        <v>0</v>
      </c>
      <c r="AJ28" s="29">
        <f>IF(AI28="","",IF(TaxRegistered&lt;&gt;"Yes",0,IF(PricesIncludeTax="Yes",ROUND(AI28-AI28/(1+TaxRate),2),ROUND(AI28*TaxRate,2))))</f>
        <v>0</v>
      </c>
      <c r="AK28" s="29">
        <f>IF(AI28="","",IF(PricesIncludeTax="Yes",AI28,ROUND(AI28+AJ28,2)))</f>
        <v>0</v>
      </c>
      <c r="AQ28" s="21">
        <f>IF(OR(I28="",AP28="",AP28="None"),"",IF(AP28="Monthly",EDATE(I28,1),I28+IF(AP28="Daily",1,IF(AP28="Weekdays",IF(WEEKDAY(I28,2)&gt;=5,8-WEEKDAY(I28,2),1),IF(AP28="Weekly",7,IF(AP28="Fortnightly",14,0))))))</f>
        <v>0</v>
      </c>
      <c r="AR28" s="49">
        <f>IF(OR(I28="",AL28="",K28="",L28=""),"",IF(SUMPRODUCT((Bookings!$AL$5:$AL$404=AL28)*(Bookings!$I$5:$I$404=I28)*(Bookings!$K$5:$K$404&lt;L28)*(Bookings!$L$5:$L$404&gt;K28)*(Bookings!$AM$5:$AM$404&lt;&gt;"Cancelled"))&gt;1,"Conflict - double booked","OK"))</f>
        <v>0</v>
      </c>
      <c r="AS28" s="50">
        <f>IF(A28="","",IF(COUNTIF('Visit Log'!$B$5:$B$404,A28)&gt;0,"Yes","No"))</f>
        <v>0</v>
      </c>
      <c r="AT28" s="28">
        <f>IF(A28="","",IFERROR(INDEX(Invoices!$A$5:$A$304,MATCH(A28,Invoices!$E$5:$E$304,0)),""))</f>
        <v>0</v>
      </c>
      <c r="AU28" s="49">
        <f>IF(A28="","",IF(AT28="","Not invoiced",IFERROR(INDEX(Invoices!$U$5:$U$304,MATCH(AT28,Invoices!$A$5:$A$304,0)),"")))</f>
        <v>0</v>
      </c>
      <c r="AY28" s="28">
        <f>IF(I28="","",TEXT(I28,"yyyy-mm"))</f>
        <v>0</v>
      </c>
      <c r="AZ28" s="49">
        <f>IF(I28="","",IF(AM28="Cancelled","Cancelled",IF(AND(I28&lt;TODAY(),OR(AM28="Pending",AM28="Confirmed",AM28="Enquiry")),"Overdue - update status",IF(AND(AM28="Completed",AS28="No"),"Action - log the visit",IF(I28=TODAY(),"Today",IF(AND(I28&gt;TODAY(),I28-TODAY()&lt;=ReminderLeadDays,AN28&lt;&gt;"Yes"),"Action - unconfirmed",IF(AND(I28&gt;TODAY(),I28-TODAY()&lt;=ReminderLeadDays),"Upcoming","OK")))))))</f>
        <v>0</v>
      </c>
    </row>
    <row r="29" spans="1:52">
      <c r="A29" s="46">
        <f>IF(C29="","",BookingPrefix&amp;TEXT(ROW()-4,"0000"))</f>
        <v>0</v>
      </c>
      <c r="D29" s="28">
        <f>IF(C29="","",IFERROR(INDEX(Clients!$A$5:$A$254,MATCH(C29,Clients!$B$5:$B$254,0)),""))</f>
        <v>0</v>
      </c>
      <c r="J29" s="50">
        <f>IF(I29="","",TEXT(I29,"ddd"))</f>
        <v>0</v>
      </c>
      <c r="M29" s="51">
        <f>IF(OR(K29="",L29=""),"",ROUND((L29-K29+IF(L29&lt;K29,1,0))*24,2))</f>
        <v>0</v>
      </c>
      <c r="O29" s="28">
        <f>IF(H29="","",IFERROR(INDEX(Services!$E$5:$E$54,MATCH(H29,Services!$B$5:$B$54,0)),""))</f>
        <v>0</v>
      </c>
      <c r="P29" s="29">
        <f>IF(H29="","",IFERROR(INDEX(Services!$G$5:$G$54,MATCH(H29,Services!$B$5:$B$54,0)),0))</f>
        <v>0</v>
      </c>
      <c r="Q29" s="29">
        <f>IF(H29="","",IF(IFERROR(INDEX(Services!$H$5:$H$54,MATCH(H29,Services!$B$5:$B$54,0)),0)=0,ExtraPetFeeDefault,IFERROR(INDEX(Services!$H$5:$H$54,MATCH(H29,Services!$B$5:$B$54,0)),0)))</f>
        <v>0</v>
      </c>
      <c r="R29" s="30">
        <f>IF(H29="","",IF(IFERROR(INDEX(Services!$I$5:$I$54,MATCH(H29,Services!$B$5:$B$54,0)),0)=0,HolidaySurcharge,IFERROR(INDEX(Services!$I$5:$I$54,MATCH(H29,Services!$B$5:$B$54,0)),0)))</f>
        <v>0</v>
      </c>
      <c r="S29" s="30">
        <f>IF(H29="","",IF(IFERROR(INDEX(Services!$J$5:$J$54,MATCH(H29,Services!$B$5:$B$54,0)),0)=0,WeekendSurcharge,IFERROR(INDEX(Services!$J$5:$J$54,MATCH(H29,Services!$B$5:$B$54,0)),0)))</f>
        <v>0</v>
      </c>
      <c r="T29" s="50">
        <f>IF(H29="","",IFERROR(INDEX(Services!$K$5:$K$54,MATCH(H29,Services!$B$5:$B$54,0)),"No"))</f>
        <v>0</v>
      </c>
      <c r="U29" s="29">
        <f>IF(H29="","",ROUND(IF(O29="Per hour",P29*IF(M29="",IF(N29="",1,N29),M29),P29*IF(N29="",1,N29)),2))</f>
        <v>0</v>
      </c>
      <c r="V29" s="29">
        <f>IF(H29="","",ROUND(MAX(0,IF(G29="",1,G29)-1)*Q29,2))</f>
        <v>0</v>
      </c>
      <c r="W29" s="50">
        <f>IF(I29="","",IF(COUNTIF(HolidayDates,I29)&gt;0,"Yes","No"))</f>
        <v>0</v>
      </c>
      <c r="X29" s="50">
        <f>IF(I29="","",IF(WEEKDAY(I29,2)&gt;5,"Yes","No"))</f>
        <v>0</v>
      </c>
      <c r="Y29" s="29">
        <f>IF(H29="","",ROUND((U29+V29)*(IF(W29="Yes",R29,0)+IF(X29="Yes",S29,0)),2))</f>
        <v>0</v>
      </c>
      <c r="AA29" s="29">
        <f>IF(H29="","",IF(T29&lt;&gt;"Yes",0,ROUND(MAX(0,IF(Z29="",0,Z29)-FreeTravelDistance)*TravelFeeRate,2)))</f>
        <v>0</v>
      </c>
      <c r="AB29" s="31">
        <f>IF(I29="","",TravelTimeMins)</f>
        <v>0</v>
      </c>
      <c r="AC29" s="29">
        <f>IF(OR(I29="",B29=""),0,IF(I29-B29&lt;=LastMinuteDays,EmergencyFee,0))</f>
        <v>0</v>
      </c>
      <c r="AF29" s="29">
        <f>IF(H29="","",ROUND((U29+V29+Y29+AA29+AC29)*IF(AE29="",0,AE29),2))</f>
        <v>0</v>
      </c>
      <c r="AI29" s="29">
        <f>IF(H29="","",IF(AG29&lt;&gt;"",AG29,ROUND(U29+V29+Y29+AA29+AC29-AF29,2)))</f>
        <v>0</v>
      </c>
      <c r="AJ29" s="29">
        <f>IF(AI29="","",IF(TaxRegistered&lt;&gt;"Yes",0,IF(PricesIncludeTax="Yes",ROUND(AI29-AI29/(1+TaxRate),2),ROUND(AI29*TaxRate,2))))</f>
        <v>0</v>
      </c>
      <c r="AK29" s="29">
        <f>IF(AI29="","",IF(PricesIncludeTax="Yes",AI29,ROUND(AI29+AJ29,2)))</f>
        <v>0</v>
      </c>
      <c r="AQ29" s="21">
        <f>IF(OR(I29="",AP29="",AP29="None"),"",IF(AP29="Monthly",EDATE(I29,1),I29+IF(AP29="Daily",1,IF(AP29="Weekdays",IF(WEEKDAY(I29,2)&gt;=5,8-WEEKDAY(I29,2),1),IF(AP29="Weekly",7,IF(AP29="Fortnightly",14,0))))))</f>
        <v>0</v>
      </c>
      <c r="AR29" s="49">
        <f>IF(OR(I29="",AL29="",K29="",L29=""),"",IF(SUMPRODUCT((Bookings!$AL$5:$AL$404=AL29)*(Bookings!$I$5:$I$404=I29)*(Bookings!$K$5:$K$404&lt;L29)*(Bookings!$L$5:$L$404&gt;K29)*(Bookings!$AM$5:$AM$404&lt;&gt;"Cancelled"))&gt;1,"Conflict - double booked","OK"))</f>
        <v>0</v>
      </c>
      <c r="AS29" s="50">
        <f>IF(A29="","",IF(COUNTIF('Visit Log'!$B$5:$B$404,A29)&gt;0,"Yes","No"))</f>
        <v>0</v>
      </c>
      <c r="AT29" s="28">
        <f>IF(A29="","",IFERROR(INDEX(Invoices!$A$5:$A$304,MATCH(A29,Invoices!$E$5:$E$304,0)),""))</f>
        <v>0</v>
      </c>
      <c r="AU29" s="49">
        <f>IF(A29="","",IF(AT29="","Not invoiced",IFERROR(INDEX(Invoices!$U$5:$U$304,MATCH(AT29,Invoices!$A$5:$A$304,0)),"")))</f>
        <v>0</v>
      </c>
      <c r="AY29" s="28">
        <f>IF(I29="","",TEXT(I29,"yyyy-mm"))</f>
        <v>0</v>
      </c>
      <c r="AZ29" s="49">
        <f>IF(I29="","",IF(AM29="Cancelled","Cancelled",IF(AND(I29&lt;TODAY(),OR(AM29="Pending",AM29="Confirmed",AM29="Enquiry")),"Overdue - update status",IF(AND(AM29="Completed",AS29="No"),"Action - log the visit",IF(I29=TODAY(),"Today",IF(AND(I29&gt;TODAY(),I29-TODAY()&lt;=ReminderLeadDays,AN29&lt;&gt;"Yes"),"Action - unconfirmed",IF(AND(I29&gt;TODAY(),I29-TODAY()&lt;=ReminderLeadDays),"Upcoming","OK")))))))</f>
        <v>0</v>
      </c>
    </row>
    <row r="30" spans="1:52">
      <c r="A30" s="46">
        <f>IF(C30="","",BookingPrefix&amp;TEXT(ROW()-4,"0000"))</f>
        <v>0</v>
      </c>
      <c r="D30" s="28">
        <f>IF(C30="","",IFERROR(INDEX(Clients!$A$5:$A$254,MATCH(C30,Clients!$B$5:$B$254,0)),""))</f>
        <v>0</v>
      </c>
      <c r="J30" s="50">
        <f>IF(I30="","",TEXT(I30,"ddd"))</f>
        <v>0</v>
      </c>
      <c r="M30" s="51">
        <f>IF(OR(K30="",L30=""),"",ROUND((L30-K30+IF(L30&lt;K30,1,0))*24,2))</f>
        <v>0</v>
      </c>
      <c r="O30" s="28">
        <f>IF(H30="","",IFERROR(INDEX(Services!$E$5:$E$54,MATCH(H30,Services!$B$5:$B$54,0)),""))</f>
        <v>0</v>
      </c>
      <c r="P30" s="29">
        <f>IF(H30="","",IFERROR(INDEX(Services!$G$5:$G$54,MATCH(H30,Services!$B$5:$B$54,0)),0))</f>
        <v>0</v>
      </c>
      <c r="Q30" s="29">
        <f>IF(H30="","",IF(IFERROR(INDEX(Services!$H$5:$H$54,MATCH(H30,Services!$B$5:$B$54,0)),0)=0,ExtraPetFeeDefault,IFERROR(INDEX(Services!$H$5:$H$54,MATCH(H30,Services!$B$5:$B$54,0)),0)))</f>
        <v>0</v>
      </c>
      <c r="R30" s="30">
        <f>IF(H30="","",IF(IFERROR(INDEX(Services!$I$5:$I$54,MATCH(H30,Services!$B$5:$B$54,0)),0)=0,HolidaySurcharge,IFERROR(INDEX(Services!$I$5:$I$54,MATCH(H30,Services!$B$5:$B$54,0)),0)))</f>
        <v>0</v>
      </c>
      <c r="S30" s="30">
        <f>IF(H30="","",IF(IFERROR(INDEX(Services!$J$5:$J$54,MATCH(H30,Services!$B$5:$B$54,0)),0)=0,WeekendSurcharge,IFERROR(INDEX(Services!$J$5:$J$54,MATCH(H30,Services!$B$5:$B$54,0)),0)))</f>
        <v>0</v>
      </c>
      <c r="T30" s="50">
        <f>IF(H30="","",IFERROR(INDEX(Services!$K$5:$K$54,MATCH(H30,Services!$B$5:$B$54,0)),"No"))</f>
        <v>0</v>
      </c>
      <c r="U30" s="29">
        <f>IF(H30="","",ROUND(IF(O30="Per hour",P30*IF(M30="",IF(N30="",1,N30),M30),P30*IF(N30="",1,N30)),2))</f>
        <v>0</v>
      </c>
      <c r="V30" s="29">
        <f>IF(H30="","",ROUND(MAX(0,IF(G30="",1,G30)-1)*Q30,2))</f>
        <v>0</v>
      </c>
      <c r="W30" s="50">
        <f>IF(I30="","",IF(COUNTIF(HolidayDates,I30)&gt;0,"Yes","No"))</f>
        <v>0</v>
      </c>
      <c r="X30" s="50">
        <f>IF(I30="","",IF(WEEKDAY(I30,2)&gt;5,"Yes","No"))</f>
        <v>0</v>
      </c>
      <c r="Y30" s="29">
        <f>IF(H30="","",ROUND((U30+V30)*(IF(W30="Yes",R30,0)+IF(X30="Yes",S30,0)),2))</f>
        <v>0</v>
      </c>
      <c r="AA30" s="29">
        <f>IF(H30="","",IF(T30&lt;&gt;"Yes",0,ROUND(MAX(0,IF(Z30="",0,Z30)-FreeTravelDistance)*TravelFeeRate,2)))</f>
        <v>0</v>
      </c>
      <c r="AB30" s="31">
        <f>IF(I30="","",TravelTimeMins)</f>
        <v>0</v>
      </c>
      <c r="AC30" s="29">
        <f>IF(OR(I30="",B30=""),0,IF(I30-B30&lt;=LastMinuteDays,EmergencyFee,0))</f>
        <v>0</v>
      </c>
      <c r="AF30" s="29">
        <f>IF(H30="","",ROUND((U30+V30+Y30+AA30+AC30)*IF(AE30="",0,AE30),2))</f>
        <v>0</v>
      </c>
      <c r="AI30" s="29">
        <f>IF(H30="","",IF(AG30&lt;&gt;"",AG30,ROUND(U30+V30+Y30+AA30+AC30-AF30,2)))</f>
        <v>0</v>
      </c>
      <c r="AJ30" s="29">
        <f>IF(AI30="","",IF(TaxRegistered&lt;&gt;"Yes",0,IF(PricesIncludeTax="Yes",ROUND(AI30-AI30/(1+TaxRate),2),ROUND(AI30*TaxRate,2))))</f>
        <v>0</v>
      </c>
      <c r="AK30" s="29">
        <f>IF(AI30="","",IF(PricesIncludeTax="Yes",AI30,ROUND(AI30+AJ30,2)))</f>
        <v>0</v>
      </c>
      <c r="AQ30" s="21">
        <f>IF(OR(I30="",AP30="",AP30="None"),"",IF(AP30="Monthly",EDATE(I30,1),I30+IF(AP30="Daily",1,IF(AP30="Weekdays",IF(WEEKDAY(I30,2)&gt;=5,8-WEEKDAY(I30,2),1),IF(AP30="Weekly",7,IF(AP30="Fortnightly",14,0))))))</f>
        <v>0</v>
      </c>
      <c r="AR30" s="49">
        <f>IF(OR(I30="",AL30="",K30="",L30=""),"",IF(SUMPRODUCT((Bookings!$AL$5:$AL$404=AL30)*(Bookings!$I$5:$I$404=I30)*(Bookings!$K$5:$K$404&lt;L30)*(Bookings!$L$5:$L$404&gt;K30)*(Bookings!$AM$5:$AM$404&lt;&gt;"Cancelled"))&gt;1,"Conflict - double booked","OK"))</f>
        <v>0</v>
      </c>
      <c r="AS30" s="50">
        <f>IF(A30="","",IF(COUNTIF('Visit Log'!$B$5:$B$404,A30)&gt;0,"Yes","No"))</f>
        <v>0</v>
      </c>
      <c r="AT30" s="28">
        <f>IF(A30="","",IFERROR(INDEX(Invoices!$A$5:$A$304,MATCH(A30,Invoices!$E$5:$E$304,0)),""))</f>
        <v>0</v>
      </c>
      <c r="AU30" s="49">
        <f>IF(A30="","",IF(AT30="","Not invoiced",IFERROR(INDEX(Invoices!$U$5:$U$304,MATCH(AT30,Invoices!$A$5:$A$304,0)),"")))</f>
        <v>0</v>
      </c>
      <c r="AY30" s="28">
        <f>IF(I30="","",TEXT(I30,"yyyy-mm"))</f>
        <v>0</v>
      </c>
      <c r="AZ30" s="49">
        <f>IF(I30="","",IF(AM30="Cancelled","Cancelled",IF(AND(I30&lt;TODAY(),OR(AM30="Pending",AM30="Confirmed",AM30="Enquiry")),"Overdue - update status",IF(AND(AM30="Completed",AS30="No"),"Action - log the visit",IF(I30=TODAY(),"Today",IF(AND(I30&gt;TODAY(),I30-TODAY()&lt;=ReminderLeadDays,AN30&lt;&gt;"Yes"),"Action - unconfirmed",IF(AND(I30&gt;TODAY(),I30-TODAY()&lt;=ReminderLeadDays),"Upcoming","OK")))))))</f>
        <v>0</v>
      </c>
    </row>
    <row r="31" spans="1:52">
      <c r="A31" s="46">
        <f>IF(C31="","",BookingPrefix&amp;TEXT(ROW()-4,"0000"))</f>
        <v>0</v>
      </c>
      <c r="D31" s="28">
        <f>IF(C31="","",IFERROR(INDEX(Clients!$A$5:$A$254,MATCH(C31,Clients!$B$5:$B$254,0)),""))</f>
        <v>0</v>
      </c>
      <c r="J31" s="50">
        <f>IF(I31="","",TEXT(I31,"ddd"))</f>
        <v>0</v>
      </c>
      <c r="M31" s="51">
        <f>IF(OR(K31="",L31=""),"",ROUND((L31-K31+IF(L31&lt;K31,1,0))*24,2))</f>
        <v>0</v>
      </c>
      <c r="O31" s="28">
        <f>IF(H31="","",IFERROR(INDEX(Services!$E$5:$E$54,MATCH(H31,Services!$B$5:$B$54,0)),""))</f>
        <v>0</v>
      </c>
      <c r="P31" s="29">
        <f>IF(H31="","",IFERROR(INDEX(Services!$G$5:$G$54,MATCH(H31,Services!$B$5:$B$54,0)),0))</f>
        <v>0</v>
      </c>
      <c r="Q31" s="29">
        <f>IF(H31="","",IF(IFERROR(INDEX(Services!$H$5:$H$54,MATCH(H31,Services!$B$5:$B$54,0)),0)=0,ExtraPetFeeDefault,IFERROR(INDEX(Services!$H$5:$H$54,MATCH(H31,Services!$B$5:$B$54,0)),0)))</f>
        <v>0</v>
      </c>
      <c r="R31" s="30">
        <f>IF(H31="","",IF(IFERROR(INDEX(Services!$I$5:$I$54,MATCH(H31,Services!$B$5:$B$54,0)),0)=0,HolidaySurcharge,IFERROR(INDEX(Services!$I$5:$I$54,MATCH(H31,Services!$B$5:$B$54,0)),0)))</f>
        <v>0</v>
      </c>
      <c r="S31" s="30">
        <f>IF(H31="","",IF(IFERROR(INDEX(Services!$J$5:$J$54,MATCH(H31,Services!$B$5:$B$54,0)),0)=0,WeekendSurcharge,IFERROR(INDEX(Services!$J$5:$J$54,MATCH(H31,Services!$B$5:$B$54,0)),0)))</f>
        <v>0</v>
      </c>
      <c r="T31" s="50">
        <f>IF(H31="","",IFERROR(INDEX(Services!$K$5:$K$54,MATCH(H31,Services!$B$5:$B$54,0)),"No"))</f>
        <v>0</v>
      </c>
      <c r="U31" s="29">
        <f>IF(H31="","",ROUND(IF(O31="Per hour",P31*IF(M31="",IF(N31="",1,N31),M31),P31*IF(N31="",1,N31)),2))</f>
        <v>0</v>
      </c>
      <c r="V31" s="29">
        <f>IF(H31="","",ROUND(MAX(0,IF(G31="",1,G31)-1)*Q31,2))</f>
        <v>0</v>
      </c>
      <c r="W31" s="50">
        <f>IF(I31="","",IF(COUNTIF(HolidayDates,I31)&gt;0,"Yes","No"))</f>
        <v>0</v>
      </c>
      <c r="X31" s="50">
        <f>IF(I31="","",IF(WEEKDAY(I31,2)&gt;5,"Yes","No"))</f>
        <v>0</v>
      </c>
      <c r="Y31" s="29">
        <f>IF(H31="","",ROUND((U31+V31)*(IF(W31="Yes",R31,0)+IF(X31="Yes",S31,0)),2))</f>
        <v>0</v>
      </c>
      <c r="AA31" s="29">
        <f>IF(H31="","",IF(T31&lt;&gt;"Yes",0,ROUND(MAX(0,IF(Z31="",0,Z31)-FreeTravelDistance)*TravelFeeRate,2)))</f>
        <v>0</v>
      </c>
      <c r="AB31" s="31">
        <f>IF(I31="","",TravelTimeMins)</f>
        <v>0</v>
      </c>
      <c r="AC31" s="29">
        <f>IF(OR(I31="",B31=""),0,IF(I31-B31&lt;=LastMinuteDays,EmergencyFee,0))</f>
        <v>0</v>
      </c>
      <c r="AF31" s="29">
        <f>IF(H31="","",ROUND((U31+V31+Y31+AA31+AC31)*IF(AE31="",0,AE31),2))</f>
        <v>0</v>
      </c>
      <c r="AI31" s="29">
        <f>IF(H31="","",IF(AG31&lt;&gt;"",AG31,ROUND(U31+V31+Y31+AA31+AC31-AF31,2)))</f>
        <v>0</v>
      </c>
      <c r="AJ31" s="29">
        <f>IF(AI31="","",IF(TaxRegistered&lt;&gt;"Yes",0,IF(PricesIncludeTax="Yes",ROUND(AI31-AI31/(1+TaxRate),2),ROUND(AI31*TaxRate,2))))</f>
        <v>0</v>
      </c>
      <c r="AK31" s="29">
        <f>IF(AI31="","",IF(PricesIncludeTax="Yes",AI31,ROUND(AI31+AJ31,2)))</f>
        <v>0</v>
      </c>
      <c r="AQ31" s="21">
        <f>IF(OR(I31="",AP31="",AP31="None"),"",IF(AP31="Monthly",EDATE(I31,1),I31+IF(AP31="Daily",1,IF(AP31="Weekdays",IF(WEEKDAY(I31,2)&gt;=5,8-WEEKDAY(I31,2),1),IF(AP31="Weekly",7,IF(AP31="Fortnightly",14,0))))))</f>
        <v>0</v>
      </c>
      <c r="AR31" s="49">
        <f>IF(OR(I31="",AL31="",K31="",L31=""),"",IF(SUMPRODUCT((Bookings!$AL$5:$AL$404=AL31)*(Bookings!$I$5:$I$404=I31)*(Bookings!$K$5:$K$404&lt;L31)*(Bookings!$L$5:$L$404&gt;K31)*(Bookings!$AM$5:$AM$404&lt;&gt;"Cancelled"))&gt;1,"Conflict - double booked","OK"))</f>
        <v>0</v>
      </c>
      <c r="AS31" s="50">
        <f>IF(A31="","",IF(COUNTIF('Visit Log'!$B$5:$B$404,A31)&gt;0,"Yes","No"))</f>
        <v>0</v>
      </c>
      <c r="AT31" s="28">
        <f>IF(A31="","",IFERROR(INDEX(Invoices!$A$5:$A$304,MATCH(A31,Invoices!$E$5:$E$304,0)),""))</f>
        <v>0</v>
      </c>
      <c r="AU31" s="49">
        <f>IF(A31="","",IF(AT31="","Not invoiced",IFERROR(INDEX(Invoices!$U$5:$U$304,MATCH(AT31,Invoices!$A$5:$A$304,0)),"")))</f>
        <v>0</v>
      </c>
      <c r="AY31" s="28">
        <f>IF(I31="","",TEXT(I31,"yyyy-mm"))</f>
        <v>0</v>
      </c>
      <c r="AZ31" s="49">
        <f>IF(I31="","",IF(AM31="Cancelled","Cancelled",IF(AND(I31&lt;TODAY(),OR(AM31="Pending",AM31="Confirmed",AM31="Enquiry")),"Overdue - update status",IF(AND(AM31="Completed",AS31="No"),"Action - log the visit",IF(I31=TODAY(),"Today",IF(AND(I31&gt;TODAY(),I31-TODAY()&lt;=ReminderLeadDays,AN31&lt;&gt;"Yes"),"Action - unconfirmed",IF(AND(I31&gt;TODAY(),I31-TODAY()&lt;=ReminderLeadDays),"Upcoming","OK")))))))</f>
        <v>0</v>
      </c>
    </row>
    <row r="32" spans="1:52">
      <c r="A32" s="46">
        <f>IF(C32="","",BookingPrefix&amp;TEXT(ROW()-4,"0000"))</f>
        <v>0</v>
      </c>
      <c r="D32" s="28">
        <f>IF(C32="","",IFERROR(INDEX(Clients!$A$5:$A$254,MATCH(C32,Clients!$B$5:$B$254,0)),""))</f>
        <v>0</v>
      </c>
      <c r="J32" s="50">
        <f>IF(I32="","",TEXT(I32,"ddd"))</f>
        <v>0</v>
      </c>
      <c r="M32" s="51">
        <f>IF(OR(K32="",L32=""),"",ROUND((L32-K32+IF(L32&lt;K32,1,0))*24,2))</f>
        <v>0</v>
      </c>
      <c r="O32" s="28">
        <f>IF(H32="","",IFERROR(INDEX(Services!$E$5:$E$54,MATCH(H32,Services!$B$5:$B$54,0)),""))</f>
        <v>0</v>
      </c>
      <c r="P32" s="29">
        <f>IF(H32="","",IFERROR(INDEX(Services!$G$5:$G$54,MATCH(H32,Services!$B$5:$B$54,0)),0))</f>
        <v>0</v>
      </c>
      <c r="Q32" s="29">
        <f>IF(H32="","",IF(IFERROR(INDEX(Services!$H$5:$H$54,MATCH(H32,Services!$B$5:$B$54,0)),0)=0,ExtraPetFeeDefault,IFERROR(INDEX(Services!$H$5:$H$54,MATCH(H32,Services!$B$5:$B$54,0)),0)))</f>
        <v>0</v>
      </c>
      <c r="R32" s="30">
        <f>IF(H32="","",IF(IFERROR(INDEX(Services!$I$5:$I$54,MATCH(H32,Services!$B$5:$B$54,0)),0)=0,HolidaySurcharge,IFERROR(INDEX(Services!$I$5:$I$54,MATCH(H32,Services!$B$5:$B$54,0)),0)))</f>
        <v>0</v>
      </c>
      <c r="S32" s="30">
        <f>IF(H32="","",IF(IFERROR(INDEX(Services!$J$5:$J$54,MATCH(H32,Services!$B$5:$B$54,0)),0)=0,WeekendSurcharge,IFERROR(INDEX(Services!$J$5:$J$54,MATCH(H32,Services!$B$5:$B$54,0)),0)))</f>
        <v>0</v>
      </c>
      <c r="T32" s="50">
        <f>IF(H32="","",IFERROR(INDEX(Services!$K$5:$K$54,MATCH(H32,Services!$B$5:$B$54,0)),"No"))</f>
        <v>0</v>
      </c>
      <c r="U32" s="29">
        <f>IF(H32="","",ROUND(IF(O32="Per hour",P32*IF(M32="",IF(N32="",1,N32),M32),P32*IF(N32="",1,N32)),2))</f>
        <v>0</v>
      </c>
      <c r="V32" s="29">
        <f>IF(H32="","",ROUND(MAX(0,IF(G32="",1,G32)-1)*Q32,2))</f>
        <v>0</v>
      </c>
      <c r="W32" s="50">
        <f>IF(I32="","",IF(COUNTIF(HolidayDates,I32)&gt;0,"Yes","No"))</f>
        <v>0</v>
      </c>
      <c r="X32" s="50">
        <f>IF(I32="","",IF(WEEKDAY(I32,2)&gt;5,"Yes","No"))</f>
        <v>0</v>
      </c>
      <c r="Y32" s="29">
        <f>IF(H32="","",ROUND((U32+V32)*(IF(W32="Yes",R32,0)+IF(X32="Yes",S32,0)),2))</f>
        <v>0</v>
      </c>
      <c r="AA32" s="29">
        <f>IF(H32="","",IF(T32&lt;&gt;"Yes",0,ROUND(MAX(0,IF(Z32="",0,Z32)-FreeTravelDistance)*TravelFeeRate,2)))</f>
        <v>0</v>
      </c>
      <c r="AB32" s="31">
        <f>IF(I32="","",TravelTimeMins)</f>
        <v>0</v>
      </c>
      <c r="AC32" s="29">
        <f>IF(OR(I32="",B32=""),0,IF(I32-B32&lt;=LastMinuteDays,EmergencyFee,0))</f>
        <v>0</v>
      </c>
      <c r="AF32" s="29">
        <f>IF(H32="","",ROUND((U32+V32+Y32+AA32+AC32)*IF(AE32="",0,AE32),2))</f>
        <v>0</v>
      </c>
      <c r="AI32" s="29">
        <f>IF(H32="","",IF(AG32&lt;&gt;"",AG32,ROUND(U32+V32+Y32+AA32+AC32-AF32,2)))</f>
        <v>0</v>
      </c>
      <c r="AJ32" s="29">
        <f>IF(AI32="","",IF(TaxRegistered&lt;&gt;"Yes",0,IF(PricesIncludeTax="Yes",ROUND(AI32-AI32/(1+TaxRate),2),ROUND(AI32*TaxRate,2))))</f>
        <v>0</v>
      </c>
      <c r="AK32" s="29">
        <f>IF(AI32="","",IF(PricesIncludeTax="Yes",AI32,ROUND(AI32+AJ32,2)))</f>
        <v>0</v>
      </c>
      <c r="AQ32" s="21">
        <f>IF(OR(I32="",AP32="",AP32="None"),"",IF(AP32="Monthly",EDATE(I32,1),I32+IF(AP32="Daily",1,IF(AP32="Weekdays",IF(WEEKDAY(I32,2)&gt;=5,8-WEEKDAY(I32,2),1),IF(AP32="Weekly",7,IF(AP32="Fortnightly",14,0))))))</f>
        <v>0</v>
      </c>
      <c r="AR32" s="49">
        <f>IF(OR(I32="",AL32="",K32="",L32=""),"",IF(SUMPRODUCT((Bookings!$AL$5:$AL$404=AL32)*(Bookings!$I$5:$I$404=I32)*(Bookings!$K$5:$K$404&lt;L32)*(Bookings!$L$5:$L$404&gt;K32)*(Bookings!$AM$5:$AM$404&lt;&gt;"Cancelled"))&gt;1,"Conflict - double booked","OK"))</f>
        <v>0</v>
      </c>
      <c r="AS32" s="50">
        <f>IF(A32="","",IF(COUNTIF('Visit Log'!$B$5:$B$404,A32)&gt;0,"Yes","No"))</f>
        <v>0</v>
      </c>
      <c r="AT32" s="28">
        <f>IF(A32="","",IFERROR(INDEX(Invoices!$A$5:$A$304,MATCH(A32,Invoices!$E$5:$E$304,0)),""))</f>
        <v>0</v>
      </c>
      <c r="AU32" s="49">
        <f>IF(A32="","",IF(AT32="","Not invoiced",IFERROR(INDEX(Invoices!$U$5:$U$304,MATCH(AT32,Invoices!$A$5:$A$304,0)),"")))</f>
        <v>0</v>
      </c>
      <c r="AY32" s="28">
        <f>IF(I32="","",TEXT(I32,"yyyy-mm"))</f>
        <v>0</v>
      </c>
      <c r="AZ32" s="49">
        <f>IF(I32="","",IF(AM32="Cancelled","Cancelled",IF(AND(I32&lt;TODAY(),OR(AM32="Pending",AM32="Confirmed",AM32="Enquiry")),"Overdue - update status",IF(AND(AM32="Completed",AS32="No"),"Action - log the visit",IF(I32=TODAY(),"Today",IF(AND(I32&gt;TODAY(),I32-TODAY()&lt;=ReminderLeadDays,AN32&lt;&gt;"Yes"),"Action - unconfirmed",IF(AND(I32&gt;TODAY(),I32-TODAY()&lt;=ReminderLeadDays),"Upcoming","OK")))))))</f>
        <v>0</v>
      </c>
    </row>
    <row r="33" spans="1:52">
      <c r="A33" s="46">
        <f>IF(C33="","",BookingPrefix&amp;TEXT(ROW()-4,"0000"))</f>
        <v>0</v>
      </c>
      <c r="D33" s="28">
        <f>IF(C33="","",IFERROR(INDEX(Clients!$A$5:$A$254,MATCH(C33,Clients!$B$5:$B$254,0)),""))</f>
        <v>0</v>
      </c>
      <c r="J33" s="50">
        <f>IF(I33="","",TEXT(I33,"ddd"))</f>
        <v>0</v>
      </c>
      <c r="M33" s="51">
        <f>IF(OR(K33="",L33=""),"",ROUND((L33-K33+IF(L33&lt;K33,1,0))*24,2))</f>
        <v>0</v>
      </c>
      <c r="O33" s="28">
        <f>IF(H33="","",IFERROR(INDEX(Services!$E$5:$E$54,MATCH(H33,Services!$B$5:$B$54,0)),""))</f>
        <v>0</v>
      </c>
      <c r="P33" s="29">
        <f>IF(H33="","",IFERROR(INDEX(Services!$G$5:$G$54,MATCH(H33,Services!$B$5:$B$54,0)),0))</f>
        <v>0</v>
      </c>
      <c r="Q33" s="29">
        <f>IF(H33="","",IF(IFERROR(INDEX(Services!$H$5:$H$54,MATCH(H33,Services!$B$5:$B$54,0)),0)=0,ExtraPetFeeDefault,IFERROR(INDEX(Services!$H$5:$H$54,MATCH(H33,Services!$B$5:$B$54,0)),0)))</f>
        <v>0</v>
      </c>
      <c r="R33" s="30">
        <f>IF(H33="","",IF(IFERROR(INDEX(Services!$I$5:$I$54,MATCH(H33,Services!$B$5:$B$54,0)),0)=0,HolidaySurcharge,IFERROR(INDEX(Services!$I$5:$I$54,MATCH(H33,Services!$B$5:$B$54,0)),0)))</f>
        <v>0</v>
      </c>
      <c r="S33" s="30">
        <f>IF(H33="","",IF(IFERROR(INDEX(Services!$J$5:$J$54,MATCH(H33,Services!$B$5:$B$54,0)),0)=0,WeekendSurcharge,IFERROR(INDEX(Services!$J$5:$J$54,MATCH(H33,Services!$B$5:$B$54,0)),0)))</f>
        <v>0</v>
      </c>
      <c r="T33" s="50">
        <f>IF(H33="","",IFERROR(INDEX(Services!$K$5:$K$54,MATCH(H33,Services!$B$5:$B$54,0)),"No"))</f>
        <v>0</v>
      </c>
      <c r="U33" s="29">
        <f>IF(H33="","",ROUND(IF(O33="Per hour",P33*IF(M33="",IF(N33="",1,N33),M33),P33*IF(N33="",1,N33)),2))</f>
        <v>0</v>
      </c>
      <c r="V33" s="29">
        <f>IF(H33="","",ROUND(MAX(0,IF(G33="",1,G33)-1)*Q33,2))</f>
        <v>0</v>
      </c>
      <c r="W33" s="50">
        <f>IF(I33="","",IF(COUNTIF(HolidayDates,I33)&gt;0,"Yes","No"))</f>
        <v>0</v>
      </c>
      <c r="X33" s="50">
        <f>IF(I33="","",IF(WEEKDAY(I33,2)&gt;5,"Yes","No"))</f>
        <v>0</v>
      </c>
      <c r="Y33" s="29">
        <f>IF(H33="","",ROUND((U33+V33)*(IF(W33="Yes",R33,0)+IF(X33="Yes",S33,0)),2))</f>
        <v>0</v>
      </c>
      <c r="AA33" s="29">
        <f>IF(H33="","",IF(T33&lt;&gt;"Yes",0,ROUND(MAX(0,IF(Z33="",0,Z33)-FreeTravelDistance)*TravelFeeRate,2)))</f>
        <v>0</v>
      </c>
      <c r="AB33" s="31">
        <f>IF(I33="","",TravelTimeMins)</f>
        <v>0</v>
      </c>
      <c r="AC33" s="29">
        <f>IF(OR(I33="",B33=""),0,IF(I33-B33&lt;=LastMinuteDays,EmergencyFee,0))</f>
        <v>0</v>
      </c>
      <c r="AF33" s="29">
        <f>IF(H33="","",ROUND((U33+V33+Y33+AA33+AC33)*IF(AE33="",0,AE33),2))</f>
        <v>0</v>
      </c>
      <c r="AI33" s="29">
        <f>IF(H33="","",IF(AG33&lt;&gt;"",AG33,ROUND(U33+V33+Y33+AA33+AC33-AF33,2)))</f>
        <v>0</v>
      </c>
      <c r="AJ33" s="29">
        <f>IF(AI33="","",IF(TaxRegistered&lt;&gt;"Yes",0,IF(PricesIncludeTax="Yes",ROUND(AI33-AI33/(1+TaxRate),2),ROUND(AI33*TaxRate,2))))</f>
        <v>0</v>
      </c>
      <c r="AK33" s="29">
        <f>IF(AI33="","",IF(PricesIncludeTax="Yes",AI33,ROUND(AI33+AJ33,2)))</f>
        <v>0</v>
      </c>
      <c r="AQ33" s="21">
        <f>IF(OR(I33="",AP33="",AP33="None"),"",IF(AP33="Monthly",EDATE(I33,1),I33+IF(AP33="Daily",1,IF(AP33="Weekdays",IF(WEEKDAY(I33,2)&gt;=5,8-WEEKDAY(I33,2),1),IF(AP33="Weekly",7,IF(AP33="Fortnightly",14,0))))))</f>
        <v>0</v>
      </c>
      <c r="AR33" s="49">
        <f>IF(OR(I33="",AL33="",K33="",L33=""),"",IF(SUMPRODUCT((Bookings!$AL$5:$AL$404=AL33)*(Bookings!$I$5:$I$404=I33)*(Bookings!$K$5:$K$404&lt;L33)*(Bookings!$L$5:$L$404&gt;K33)*(Bookings!$AM$5:$AM$404&lt;&gt;"Cancelled"))&gt;1,"Conflict - double booked","OK"))</f>
        <v>0</v>
      </c>
      <c r="AS33" s="50">
        <f>IF(A33="","",IF(COUNTIF('Visit Log'!$B$5:$B$404,A33)&gt;0,"Yes","No"))</f>
        <v>0</v>
      </c>
      <c r="AT33" s="28">
        <f>IF(A33="","",IFERROR(INDEX(Invoices!$A$5:$A$304,MATCH(A33,Invoices!$E$5:$E$304,0)),""))</f>
        <v>0</v>
      </c>
      <c r="AU33" s="49">
        <f>IF(A33="","",IF(AT33="","Not invoiced",IFERROR(INDEX(Invoices!$U$5:$U$304,MATCH(AT33,Invoices!$A$5:$A$304,0)),"")))</f>
        <v>0</v>
      </c>
      <c r="AY33" s="28">
        <f>IF(I33="","",TEXT(I33,"yyyy-mm"))</f>
        <v>0</v>
      </c>
      <c r="AZ33" s="49">
        <f>IF(I33="","",IF(AM33="Cancelled","Cancelled",IF(AND(I33&lt;TODAY(),OR(AM33="Pending",AM33="Confirmed",AM33="Enquiry")),"Overdue - update status",IF(AND(AM33="Completed",AS33="No"),"Action - log the visit",IF(I33=TODAY(),"Today",IF(AND(I33&gt;TODAY(),I33-TODAY()&lt;=ReminderLeadDays,AN33&lt;&gt;"Yes"),"Action - unconfirmed",IF(AND(I33&gt;TODAY(),I33-TODAY()&lt;=ReminderLeadDays),"Upcoming","OK")))))))</f>
        <v>0</v>
      </c>
    </row>
    <row r="34" spans="1:52">
      <c r="A34" s="46">
        <f>IF(C34="","",BookingPrefix&amp;TEXT(ROW()-4,"0000"))</f>
        <v>0</v>
      </c>
      <c r="D34" s="28">
        <f>IF(C34="","",IFERROR(INDEX(Clients!$A$5:$A$254,MATCH(C34,Clients!$B$5:$B$254,0)),""))</f>
        <v>0</v>
      </c>
      <c r="J34" s="50">
        <f>IF(I34="","",TEXT(I34,"ddd"))</f>
        <v>0</v>
      </c>
      <c r="M34" s="51">
        <f>IF(OR(K34="",L34=""),"",ROUND((L34-K34+IF(L34&lt;K34,1,0))*24,2))</f>
        <v>0</v>
      </c>
      <c r="O34" s="28">
        <f>IF(H34="","",IFERROR(INDEX(Services!$E$5:$E$54,MATCH(H34,Services!$B$5:$B$54,0)),""))</f>
        <v>0</v>
      </c>
      <c r="P34" s="29">
        <f>IF(H34="","",IFERROR(INDEX(Services!$G$5:$G$54,MATCH(H34,Services!$B$5:$B$54,0)),0))</f>
        <v>0</v>
      </c>
      <c r="Q34" s="29">
        <f>IF(H34="","",IF(IFERROR(INDEX(Services!$H$5:$H$54,MATCH(H34,Services!$B$5:$B$54,0)),0)=0,ExtraPetFeeDefault,IFERROR(INDEX(Services!$H$5:$H$54,MATCH(H34,Services!$B$5:$B$54,0)),0)))</f>
        <v>0</v>
      </c>
      <c r="R34" s="30">
        <f>IF(H34="","",IF(IFERROR(INDEX(Services!$I$5:$I$54,MATCH(H34,Services!$B$5:$B$54,0)),0)=0,HolidaySurcharge,IFERROR(INDEX(Services!$I$5:$I$54,MATCH(H34,Services!$B$5:$B$54,0)),0)))</f>
        <v>0</v>
      </c>
      <c r="S34" s="30">
        <f>IF(H34="","",IF(IFERROR(INDEX(Services!$J$5:$J$54,MATCH(H34,Services!$B$5:$B$54,0)),0)=0,WeekendSurcharge,IFERROR(INDEX(Services!$J$5:$J$54,MATCH(H34,Services!$B$5:$B$54,0)),0)))</f>
        <v>0</v>
      </c>
      <c r="T34" s="50">
        <f>IF(H34="","",IFERROR(INDEX(Services!$K$5:$K$54,MATCH(H34,Services!$B$5:$B$54,0)),"No"))</f>
        <v>0</v>
      </c>
      <c r="U34" s="29">
        <f>IF(H34="","",ROUND(IF(O34="Per hour",P34*IF(M34="",IF(N34="",1,N34),M34),P34*IF(N34="",1,N34)),2))</f>
        <v>0</v>
      </c>
      <c r="V34" s="29">
        <f>IF(H34="","",ROUND(MAX(0,IF(G34="",1,G34)-1)*Q34,2))</f>
        <v>0</v>
      </c>
      <c r="W34" s="50">
        <f>IF(I34="","",IF(COUNTIF(HolidayDates,I34)&gt;0,"Yes","No"))</f>
        <v>0</v>
      </c>
      <c r="X34" s="50">
        <f>IF(I34="","",IF(WEEKDAY(I34,2)&gt;5,"Yes","No"))</f>
        <v>0</v>
      </c>
      <c r="Y34" s="29">
        <f>IF(H34="","",ROUND((U34+V34)*(IF(W34="Yes",R34,0)+IF(X34="Yes",S34,0)),2))</f>
        <v>0</v>
      </c>
      <c r="AA34" s="29">
        <f>IF(H34="","",IF(T34&lt;&gt;"Yes",0,ROUND(MAX(0,IF(Z34="",0,Z34)-FreeTravelDistance)*TravelFeeRate,2)))</f>
        <v>0</v>
      </c>
      <c r="AB34" s="31">
        <f>IF(I34="","",TravelTimeMins)</f>
        <v>0</v>
      </c>
      <c r="AC34" s="29">
        <f>IF(OR(I34="",B34=""),0,IF(I34-B34&lt;=LastMinuteDays,EmergencyFee,0))</f>
        <v>0</v>
      </c>
      <c r="AF34" s="29">
        <f>IF(H34="","",ROUND((U34+V34+Y34+AA34+AC34)*IF(AE34="",0,AE34),2))</f>
        <v>0</v>
      </c>
      <c r="AI34" s="29">
        <f>IF(H34="","",IF(AG34&lt;&gt;"",AG34,ROUND(U34+V34+Y34+AA34+AC34-AF34,2)))</f>
        <v>0</v>
      </c>
      <c r="AJ34" s="29">
        <f>IF(AI34="","",IF(TaxRegistered&lt;&gt;"Yes",0,IF(PricesIncludeTax="Yes",ROUND(AI34-AI34/(1+TaxRate),2),ROUND(AI34*TaxRate,2))))</f>
        <v>0</v>
      </c>
      <c r="AK34" s="29">
        <f>IF(AI34="","",IF(PricesIncludeTax="Yes",AI34,ROUND(AI34+AJ34,2)))</f>
        <v>0</v>
      </c>
      <c r="AQ34" s="21">
        <f>IF(OR(I34="",AP34="",AP34="None"),"",IF(AP34="Monthly",EDATE(I34,1),I34+IF(AP34="Daily",1,IF(AP34="Weekdays",IF(WEEKDAY(I34,2)&gt;=5,8-WEEKDAY(I34,2),1),IF(AP34="Weekly",7,IF(AP34="Fortnightly",14,0))))))</f>
        <v>0</v>
      </c>
      <c r="AR34" s="49">
        <f>IF(OR(I34="",AL34="",K34="",L34=""),"",IF(SUMPRODUCT((Bookings!$AL$5:$AL$404=AL34)*(Bookings!$I$5:$I$404=I34)*(Bookings!$K$5:$K$404&lt;L34)*(Bookings!$L$5:$L$404&gt;K34)*(Bookings!$AM$5:$AM$404&lt;&gt;"Cancelled"))&gt;1,"Conflict - double booked","OK"))</f>
        <v>0</v>
      </c>
      <c r="AS34" s="50">
        <f>IF(A34="","",IF(COUNTIF('Visit Log'!$B$5:$B$404,A34)&gt;0,"Yes","No"))</f>
        <v>0</v>
      </c>
      <c r="AT34" s="28">
        <f>IF(A34="","",IFERROR(INDEX(Invoices!$A$5:$A$304,MATCH(A34,Invoices!$E$5:$E$304,0)),""))</f>
        <v>0</v>
      </c>
      <c r="AU34" s="49">
        <f>IF(A34="","",IF(AT34="","Not invoiced",IFERROR(INDEX(Invoices!$U$5:$U$304,MATCH(AT34,Invoices!$A$5:$A$304,0)),"")))</f>
        <v>0</v>
      </c>
      <c r="AY34" s="28">
        <f>IF(I34="","",TEXT(I34,"yyyy-mm"))</f>
        <v>0</v>
      </c>
      <c r="AZ34" s="49">
        <f>IF(I34="","",IF(AM34="Cancelled","Cancelled",IF(AND(I34&lt;TODAY(),OR(AM34="Pending",AM34="Confirmed",AM34="Enquiry")),"Overdue - update status",IF(AND(AM34="Completed",AS34="No"),"Action - log the visit",IF(I34=TODAY(),"Today",IF(AND(I34&gt;TODAY(),I34-TODAY()&lt;=ReminderLeadDays,AN34&lt;&gt;"Yes"),"Action - unconfirmed",IF(AND(I34&gt;TODAY(),I34-TODAY()&lt;=ReminderLeadDays),"Upcoming","OK")))))))</f>
        <v>0</v>
      </c>
    </row>
    <row r="35" spans="1:52">
      <c r="A35" s="46">
        <f>IF(C35="","",BookingPrefix&amp;TEXT(ROW()-4,"0000"))</f>
        <v>0</v>
      </c>
      <c r="D35" s="28">
        <f>IF(C35="","",IFERROR(INDEX(Clients!$A$5:$A$254,MATCH(C35,Clients!$B$5:$B$254,0)),""))</f>
        <v>0</v>
      </c>
      <c r="J35" s="50">
        <f>IF(I35="","",TEXT(I35,"ddd"))</f>
        <v>0</v>
      </c>
      <c r="M35" s="51">
        <f>IF(OR(K35="",L35=""),"",ROUND((L35-K35+IF(L35&lt;K35,1,0))*24,2))</f>
        <v>0</v>
      </c>
      <c r="O35" s="28">
        <f>IF(H35="","",IFERROR(INDEX(Services!$E$5:$E$54,MATCH(H35,Services!$B$5:$B$54,0)),""))</f>
        <v>0</v>
      </c>
      <c r="P35" s="29">
        <f>IF(H35="","",IFERROR(INDEX(Services!$G$5:$G$54,MATCH(H35,Services!$B$5:$B$54,0)),0))</f>
        <v>0</v>
      </c>
      <c r="Q35" s="29">
        <f>IF(H35="","",IF(IFERROR(INDEX(Services!$H$5:$H$54,MATCH(H35,Services!$B$5:$B$54,0)),0)=0,ExtraPetFeeDefault,IFERROR(INDEX(Services!$H$5:$H$54,MATCH(H35,Services!$B$5:$B$54,0)),0)))</f>
        <v>0</v>
      </c>
      <c r="R35" s="30">
        <f>IF(H35="","",IF(IFERROR(INDEX(Services!$I$5:$I$54,MATCH(H35,Services!$B$5:$B$54,0)),0)=0,HolidaySurcharge,IFERROR(INDEX(Services!$I$5:$I$54,MATCH(H35,Services!$B$5:$B$54,0)),0)))</f>
        <v>0</v>
      </c>
      <c r="S35" s="30">
        <f>IF(H35="","",IF(IFERROR(INDEX(Services!$J$5:$J$54,MATCH(H35,Services!$B$5:$B$54,0)),0)=0,WeekendSurcharge,IFERROR(INDEX(Services!$J$5:$J$54,MATCH(H35,Services!$B$5:$B$54,0)),0)))</f>
        <v>0</v>
      </c>
      <c r="T35" s="50">
        <f>IF(H35="","",IFERROR(INDEX(Services!$K$5:$K$54,MATCH(H35,Services!$B$5:$B$54,0)),"No"))</f>
        <v>0</v>
      </c>
      <c r="U35" s="29">
        <f>IF(H35="","",ROUND(IF(O35="Per hour",P35*IF(M35="",IF(N35="",1,N35),M35),P35*IF(N35="",1,N35)),2))</f>
        <v>0</v>
      </c>
      <c r="V35" s="29">
        <f>IF(H35="","",ROUND(MAX(0,IF(G35="",1,G35)-1)*Q35,2))</f>
        <v>0</v>
      </c>
      <c r="W35" s="50">
        <f>IF(I35="","",IF(COUNTIF(HolidayDates,I35)&gt;0,"Yes","No"))</f>
        <v>0</v>
      </c>
      <c r="X35" s="50">
        <f>IF(I35="","",IF(WEEKDAY(I35,2)&gt;5,"Yes","No"))</f>
        <v>0</v>
      </c>
      <c r="Y35" s="29">
        <f>IF(H35="","",ROUND((U35+V35)*(IF(W35="Yes",R35,0)+IF(X35="Yes",S35,0)),2))</f>
        <v>0</v>
      </c>
      <c r="AA35" s="29">
        <f>IF(H35="","",IF(T35&lt;&gt;"Yes",0,ROUND(MAX(0,IF(Z35="",0,Z35)-FreeTravelDistance)*TravelFeeRate,2)))</f>
        <v>0</v>
      </c>
      <c r="AB35" s="31">
        <f>IF(I35="","",TravelTimeMins)</f>
        <v>0</v>
      </c>
      <c r="AC35" s="29">
        <f>IF(OR(I35="",B35=""),0,IF(I35-B35&lt;=LastMinuteDays,EmergencyFee,0))</f>
        <v>0</v>
      </c>
      <c r="AF35" s="29">
        <f>IF(H35="","",ROUND((U35+V35+Y35+AA35+AC35)*IF(AE35="",0,AE35),2))</f>
        <v>0</v>
      </c>
      <c r="AI35" s="29">
        <f>IF(H35="","",IF(AG35&lt;&gt;"",AG35,ROUND(U35+V35+Y35+AA35+AC35-AF35,2)))</f>
        <v>0</v>
      </c>
      <c r="AJ35" s="29">
        <f>IF(AI35="","",IF(TaxRegistered&lt;&gt;"Yes",0,IF(PricesIncludeTax="Yes",ROUND(AI35-AI35/(1+TaxRate),2),ROUND(AI35*TaxRate,2))))</f>
        <v>0</v>
      </c>
      <c r="AK35" s="29">
        <f>IF(AI35="","",IF(PricesIncludeTax="Yes",AI35,ROUND(AI35+AJ35,2)))</f>
        <v>0</v>
      </c>
      <c r="AQ35" s="21">
        <f>IF(OR(I35="",AP35="",AP35="None"),"",IF(AP35="Monthly",EDATE(I35,1),I35+IF(AP35="Daily",1,IF(AP35="Weekdays",IF(WEEKDAY(I35,2)&gt;=5,8-WEEKDAY(I35,2),1),IF(AP35="Weekly",7,IF(AP35="Fortnightly",14,0))))))</f>
        <v>0</v>
      </c>
      <c r="AR35" s="49">
        <f>IF(OR(I35="",AL35="",K35="",L35=""),"",IF(SUMPRODUCT((Bookings!$AL$5:$AL$404=AL35)*(Bookings!$I$5:$I$404=I35)*(Bookings!$K$5:$K$404&lt;L35)*(Bookings!$L$5:$L$404&gt;K35)*(Bookings!$AM$5:$AM$404&lt;&gt;"Cancelled"))&gt;1,"Conflict - double booked","OK"))</f>
        <v>0</v>
      </c>
      <c r="AS35" s="50">
        <f>IF(A35="","",IF(COUNTIF('Visit Log'!$B$5:$B$404,A35)&gt;0,"Yes","No"))</f>
        <v>0</v>
      </c>
      <c r="AT35" s="28">
        <f>IF(A35="","",IFERROR(INDEX(Invoices!$A$5:$A$304,MATCH(A35,Invoices!$E$5:$E$304,0)),""))</f>
        <v>0</v>
      </c>
      <c r="AU35" s="49">
        <f>IF(A35="","",IF(AT35="","Not invoiced",IFERROR(INDEX(Invoices!$U$5:$U$304,MATCH(AT35,Invoices!$A$5:$A$304,0)),"")))</f>
        <v>0</v>
      </c>
      <c r="AY35" s="28">
        <f>IF(I35="","",TEXT(I35,"yyyy-mm"))</f>
        <v>0</v>
      </c>
      <c r="AZ35" s="49">
        <f>IF(I35="","",IF(AM35="Cancelled","Cancelled",IF(AND(I35&lt;TODAY(),OR(AM35="Pending",AM35="Confirmed",AM35="Enquiry")),"Overdue - update status",IF(AND(AM35="Completed",AS35="No"),"Action - log the visit",IF(I35=TODAY(),"Today",IF(AND(I35&gt;TODAY(),I35-TODAY()&lt;=ReminderLeadDays,AN35&lt;&gt;"Yes"),"Action - unconfirmed",IF(AND(I35&gt;TODAY(),I35-TODAY()&lt;=ReminderLeadDays),"Upcoming","OK")))))))</f>
        <v>0</v>
      </c>
    </row>
    <row r="36" spans="1:52">
      <c r="A36" s="46">
        <f>IF(C36="","",BookingPrefix&amp;TEXT(ROW()-4,"0000"))</f>
        <v>0</v>
      </c>
      <c r="D36" s="28">
        <f>IF(C36="","",IFERROR(INDEX(Clients!$A$5:$A$254,MATCH(C36,Clients!$B$5:$B$254,0)),""))</f>
        <v>0</v>
      </c>
      <c r="J36" s="50">
        <f>IF(I36="","",TEXT(I36,"ddd"))</f>
        <v>0</v>
      </c>
      <c r="M36" s="51">
        <f>IF(OR(K36="",L36=""),"",ROUND((L36-K36+IF(L36&lt;K36,1,0))*24,2))</f>
        <v>0</v>
      </c>
      <c r="O36" s="28">
        <f>IF(H36="","",IFERROR(INDEX(Services!$E$5:$E$54,MATCH(H36,Services!$B$5:$B$54,0)),""))</f>
        <v>0</v>
      </c>
      <c r="P36" s="29">
        <f>IF(H36="","",IFERROR(INDEX(Services!$G$5:$G$54,MATCH(H36,Services!$B$5:$B$54,0)),0))</f>
        <v>0</v>
      </c>
      <c r="Q36" s="29">
        <f>IF(H36="","",IF(IFERROR(INDEX(Services!$H$5:$H$54,MATCH(H36,Services!$B$5:$B$54,0)),0)=0,ExtraPetFeeDefault,IFERROR(INDEX(Services!$H$5:$H$54,MATCH(H36,Services!$B$5:$B$54,0)),0)))</f>
        <v>0</v>
      </c>
      <c r="R36" s="30">
        <f>IF(H36="","",IF(IFERROR(INDEX(Services!$I$5:$I$54,MATCH(H36,Services!$B$5:$B$54,0)),0)=0,HolidaySurcharge,IFERROR(INDEX(Services!$I$5:$I$54,MATCH(H36,Services!$B$5:$B$54,0)),0)))</f>
        <v>0</v>
      </c>
      <c r="S36" s="30">
        <f>IF(H36="","",IF(IFERROR(INDEX(Services!$J$5:$J$54,MATCH(H36,Services!$B$5:$B$54,0)),0)=0,WeekendSurcharge,IFERROR(INDEX(Services!$J$5:$J$54,MATCH(H36,Services!$B$5:$B$54,0)),0)))</f>
        <v>0</v>
      </c>
      <c r="T36" s="50">
        <f>IF(H36="","",IFERROR(INDEX(Services!$K$5:$K$54,MATCH(H36,Services!$B$5:$B$54,0)),"No"))</f>
        <v>0</v>
      </c>
      <c r="U36" s="29">
        <f>IF(H36="","",ROUND(IF(O36="Per hour",P36*IF(M36="",IF(N36="",1,N36),M36),P36*IF(N36="",1,N36)),2))</f>
        <v>0</v>
      </c>
      <c r="V36" s="29">
        <f>IF(H36="","",ROUND(MAX(0,IF(G36="",1,G36)-1)*Q36,2))</f>
        <v>0</v>
      </c>
      <c r="W36" s="50">
        <f>IF(I36="","",IF(COUNTIF(HolidayDates,I36)&gt;0,"Yes","No"))</f>
        <v>0</v>
      </c>
      <c r="X36" s="50">
        <f>IF(I36="","",IF(WEEKDAY(I36,2)&gt;5,"Yes","No"))</f>
        <v>0</v>
      </c>
      <c r="Y36" s="29">
        <f>IF(H36="","",ROUND((U36+V36)*(IF(W36="Yes",R36,0)+IF(X36="Yes",S36,0)),2))</f>
        <v>0</v>
      </c>
      <c r="AA36" s="29">
        <f>IF(H36="","",IF(T36&lt;&gt;"Yes",0,ROUND(MAX(0,IF(Z36="",0,Z36)-FreeTravelDistance)*TravelFeeRate,2)))</f>
        <v>0</v>
      </c>
      <c r="AB36" s="31">
        <f>IF(I36="","",TravelTimeMins)</f>
        <v>0</v>
      </c>
      <c r="AC36" s="29">
        <f>IF(OR(I36="",B36=""),0,IF(I36-B36&lt;=LastMinuteDays,EmergencyFee,0))</f>
        <v>0</v>
      </c>
      <c r="AF36" s="29">
        <f>IF(H36="","",ROUND((U36+V36+Y36+AA36+AC36)*IF(AE36="",0,AE36),2))</f>
        <v>0</v>
      </c>
      <c r="AI36" s="29">
        <f>IF(H36="","",IF(AG36&lt;&gt;"",AG36,ROUND(U36+V36+Y36+AA36+AC36-AF36,2)))</f>
        <v>0</v>
      </c>
      <c r="AJ36" s="29">
        <f>IF(AI36="","",IF(TaxRegistered&lt;&gt;"Yes",0,IF(PricesIncludeTax="Yes",ROUND(AI36-AI36/(1+TaxRate),2),ROUND(AI36*TaxRate,2))))</f>
        <v>0</v>
      </c>
      <c r="AK36" s="29">
        <f>IF(AI36="","",IF(PricesIncludeTax="Yes",AI36,ROUND(AI36+AJ36,2)))</f>
        <v>0</v>
      </c>
      <c r="AQ36" s="21">
        <f>IF(OR(I36="",AP36="",AP36="None"),"",IF(AP36="Monthly",EDATE(I36,1),I36+IF(AP36="Daily",1,IF(AP36="Weekdays",IF(WEEKDAY(I36,2)&gt;=5,8-WEEKDAY(I36,2),1),IF(AP36="Weekly",7,IF(AP36="Fortnightly",14,0))))))</f>
        <v>0</v>
      </c>
      <c r="AR36" s="49">
        <f>IF(OR(I36="",AL36="",K36="",L36=""),"",IF(SUMPRODUCT((Bookings!$AL$5:$AL$404=AL36)*(Bookings!$I$5:$I$404=I36)*(Bookings!$K$5:$K$404&lt;L36)*(Bookings!$L$5:$L$404&gt;K36)*(Bookings!$AM$5:$AM$404&lt;&gt;"Cancelled"))&gt;1,"Conflict - double booked","OK"))</f>
        <v>0</v>
      </c>
      <c r="AS36" s="50">
        <f>IF(A36="","",IF(COUNTIF('Visit Log'!$B$5:$B$404,A36)&gt;0,"Yes","No"))</f>
        <v>0</v>
      </c>
      <c r="AT36" s="28">
        <f>IF(A36="","",IFERROR(INDEX(Invoices!$A$5:$A$304,MATCH(A36,Invoices!$E$5:$E$304,0)),""))</f>
        <v>0</v>
      </c>
      <c r="AU36" s="49">
        <f>IF(A36="","",IF(AT36="","Not invoiced",IFERROR(INDEX(Invoices!$U$5:$U$304,MATCH(AT36,Invoices!$A$5:$A$304,0)),"")))</f>
        <v>0</v>
      </c>
      <c r="AY36" s="28">
        <f>IF(I36="","",TEXT(I36,"yyyy-mm"))</f>
        <v>0</v>
      </c>
      <c r="AZ36" s="49">
        <f>IF(I36="","",IF(AM36="Cancelled","Cancelled",IF(AND(I36&lt;TODAY(),OR(AM36="Pending",AM36="Confirmed",AM36="Enquiry")),"Overdue - update status",IF(AND(AM36="Completed",AS36="No"),"Action - log the visit",IF(I36=TODAY(),"Today",IF(AND(I36&gt;TODAY(),I36-TODAY()&lt;=ReminderLeadDays,AN36&lt;&gt;"Yes"),"Action - unconfirmed",IF(AND(I36&gt;TODAY(),I36-TODAY()&lt;=ReminderLeadDays),"Upcoming","OK")))))))</f>
        <v>0</v>
      </c>
    </row>
    <row r="37" spans="1:52">
      <c r="A37" s="46">
        <f>IF(C37="","",BookingPrefix&amp;TEXT(ROW()-4,"0000"))</f>
        <v>0</v>
      </c>
      <c r="D37" s="28">
        <f>IF(C37="","",IFERROR(INDEX(Clients!$A$5:$A$254,MATCH(C37,Clients!$B$5:$B$254,0)),""))</f>
        <v>0</v>
      </c>
      <c r="J37" s="50">
        <f>IF(I37="","",TEXT(I37,"ddd"))</f>
        <v>0</v>
      </c>
      <c r="M37" s="51">
        <f>IF(OR(K37="",L37=""),"",ROUND((L37-K37+IF(L37&lt;K37,1,0))*24,2))</f>
        <v>0</v>
      </c>
      <c r="O37" s="28">
        <f>IF(H37="","",IFERROR(INDEX(Services!$E$5:$E$54,MATCH(H37,Services!$B$5:$B$54,0)),""))</f>
        <v>0</v>
      </c>
      <c r="P37" s="29">
        <f>IF(H37="","",IFERROR(INDEX(Services!$G$5:$G$54,MATCH(H37,Services!$B$5:$B$54,0)),0))</f>
        <v>0</v>
      </c>
      <c r="Q37" s="29">
        <f>IF(H37="","",IF(IFERROR(INDEX(Services!$H$5:$H$54,MATCH(H37,Services!$B$5:$B$54,0)),0)=0,ExtraPetFeeDefault,IFERROR(INDEX(Services!$H$5:$H$54,MATCH(H37,Services!$B$5:$B$54,0)),0)))</f>
        <v>0</v>
      </c>
      <c r="R37" s="30">
        <f>IF(H37="","",IF(IFERROR(INDEX(Services!$I$5:$I$54,MATCH(H37,Services!$B$5:$B$54,0)),0)=0,HolidaySurcharge,IFERROR(INDEX(Services!$I$5:$I$54,MATCH(H37,Services!$B$5:$B$54,0)),0)))</f>
        <v>0</v>
      </c>
      <c r="S37" s="30">
        <f>IF(H37="","",IF(IFERROR(INDEX(Services!$J$5:$J$54,MATCH(H37,Services!$B$5:$B$54,0)),0)=0,WeekendSurcharge,IFERROR(INDEX(Services!$J$5:$J$54,MATCH(H37,Services!$B$5:$B$54,0)),0)))</f>
        <v>0</v>
      </c>
      <c r="T37" s="50">
        <f>IF(H37="","",IFERROR(INDEX(Services!$K$5:$K$54,MATCH(H37,Services!$B$5:$B$54,0)),"No"))</f>
        <v>0</v>
      </c>
      <c r="U37" s="29">
        <f>IF(H37="","",ROUND(IF(O37="Per hour",P37*IF(M37="",IF(N37="",1,N37),M37),P37*IF(N37="",1,N37)),2))</f>
        <v>0</v>
      </c>
      <c r="V37" s="29">
        <f>IF(H37="","",ROUND(MAX(0,IF(G37="",1,G37)-1)*Q37,2))</f>
        <v>0</v>
      </c>
      <c r="W37" s="50">
        <f>IF(I37="","",IF(COUNTIF(HolidayDates,I37)&gt;0,"Yes","No"))</f>
        <v>0</v>
      </c>
      <c r="X37" s="50">
        <f>IF(I37="","",IF(WEEKDAY(I37,2)&gt;5,"Yes","No"))</f>
        <v>0</v>
      </c>
      <c r="Y37" s="29">
        <f>IF(H37="","",ROUND((U37+V37)*(IF(W37="Yes",R37,0)+IF(X37="Yes",S37,0)),2))</f>
        <v>0</v>
      </c>
      <c r="AA37" s="29">
        <f>IF(H37="","",IF(T37&lt;&gt;"Yes",0,ROUND(MAX(0,IF(Z37="",0,Z37)-FreeTravelDistance)*TravelFeeRate,2)))</f>
        <v>0</v>
      </c>
      <c r="AB37" s="31">
        <f>IF(I37="","",TravelTimeMins)</f>
        <v>0</v>
      </c>
      <c r="AC37" s="29">
        <f>IF(OR(I37="",B37=""),0,IF(I37-B37&lt;=LastMinuteDays,EmergencyFee,0))</f>
        <v>0</v>
      </c>
      <c r="AF37" s="29">
        <f>IF(H37="","",ROUND((U37+V37+Y37+AA37+AC37)*IF(AE37="",0,AE37),2))</f>
        <v>0</v>
      </c>
      <c r="AI37" s="29">
        <f>IF(H37="","",IF(AG37&lt;&gt;"",AG37,ROUND(U37+V37+Y37+AA37+AC37-AF37,2)))</f>
        <v>0</v>
      </c>
      <c r="AJ37" s="29">
        <f>IF(AI37="","",IF(TaxRegistered&lt;&gt;"Yes",0,IF(PricesIncludeTax="Yes",ROUND(AI37-AI37/(1+TaxRate),2),ROUND(AI37*TaxRate,2))))</f>
        <v>0</v>
      </c>
      <c r="AK37" s="29">
        <f>IF(AI37="","",IF(PricesIncludeTax="Yes",AI37,ROUND(AI37+AJ37,2)))</f>
        <v>0</v>
      </c>
      <c r="AQ37" s="21">
        <f>IF(OR(I37="",AP37="",AP37="None"),"",IF(AP37="Monthly",EDATE(I37,1),I37+IF(AP37="Daily",1,IF(AP37="Weekdays",IF(WEEKDAY(I37,2)&gt;=5,8-WEEKDAY(I37,2),1),IF(AP37="Weekly",7,IF(AP37="Fortnightly",14,0))))))</f>
        <v>0</v>
      </c>
      <c r="AR37" s="49">
        <f>IF(OR(I37="",AL37="",K37="",L37=""),"",IF(SUMPRODUCT((Bookings!$AL$5:$AL$404=AL37)*(Bookings!$I$5:$I$404=I37)*(Bookings!$K$5:$K$404&lt;L37)*(Bookings!$L$5:$L$404&gt;K37)*(Bookings!$AM$5:$AM$404&lt;&gt;"Cancelled"))&gt;1,"Conflict - double booked","OK"))</f>
        <v>0</v>
      </c>
      <c r="AS37" s="50">
        <f>IF(A37="","",IF(COUNTIF('Visit Log'!$B$5:$B$404,A37)&gt;0,"Yes","No"))</f>
        <v>0</v>
      </c>
      <c r="AT37" s="28">
        <f>IF(A37="","",IFERROR(INDEX(Invoices!$A$5:$A$304,MATCH(A37,Invoices!$E$5:$E$304,0)),""))</f>
        <v>0</v>
      </c>
      <c r="AU37" s="49">
        <f>IF(A37="","",IF(AT37="","Not invoiced",IFERROR(INDEX(Invoices!$U$5:$U$304,MATCH(AT37,Invoices!$A$5:$A$304,0)),"")))</f>
        <v>0</v>
      </c>
      <c r="AY37" s="28">
        <f>IF(I37="","",TEXT(I37,"yyyy-mm"))</f>
        <v>0</v>
      </c>
      <c r="AZ37" s="49">
        <f>IF(I37="","",IF(AM37="Cancelled","Cancelled",IF(AND(I37&lt;TODAY(),OR(AM37="Pending",AM37="Confirmed",AM37="Enquiry")),"Overdue - update status",IF(AND(AM37="Completed",AS37="No"),"Action - log the visit",IF(I37=TODAY(),"Today",IF(AND(I37&gt;TODAY(),I37-TODAY()&lt;=ReminderLeadDays,AN37&lt;&gt;"Yes"),"Action - unconfirmed",IF(AND(I37&gt;TODAY(),I37-TODAY()&lt;=ReminderLeadDays),"Upcoming","OK")))))))</f>
        <v>0</v>
      </c>
    </row>
    <row r="38" spans="1:52">
      <c r="A38" s="46">
        <f>IF(C38="","",BookingPrefix&amp;TEXT(ROW()-4,"0000"))</f>
        <v>0</v>
      </c>
      <c r="D38" s="28">
        <f>IF(C38="","",IFERROR(INDEX(Clients!$A$5:$A$254,MATCH(C38,Clients!$B$5:$B$254,0)),""))</f>
        <v>0</v>
      </c>
      <c r="J38" s="50">
        <f>IF(I38="","",TEXT(I38,"ddd"))</f>
        <v>0</v>
      </c>
      <c r="M38" s="51">
        <f>IF(OR(K38="",L38=""),"",ROUND((L38-K38+IF(L38&lt;K38,1,0))*24,2))</f>
        <v>0</v>
      </c>
      <c r="O38" s="28">
        <f>IF(H38="","",IFERROR(INDEX(Services!$E$5:$E$54,MATCH(H38,Services!$B$5:$B$54,0)),""))</f>
        <v>0</v>
      </c>
      <c r="P38" s="29">
        <f>IF(H38="","",IFERROR(INDEX(Services!$G$5:$G$54,MATCH(H38,Services!$B$5:$B$54,0)),0))</f>
        <v>0</v>
      </c>
      <c r="Q38" s="29">
        <f>IF(H38="","",IF(IFERROR(INDEX(Services!$H$5:$H$54,MATCH(H38,Services!$B$5:$B$54,0)),0)=0,ExtraPetFeeDefault,IFERROR(INDEX(Services!$H$5:$H$54,MATCH(H38,Services!$B$5:$B$54,0)),0)))</f>
        <v>0</v>
      </c>
      <c r="R38" s="30">
        <f>IF(H38="","",IF(IFERROR(INDEX(Services!$I$5:$I$54,MATCH(H38,Services!$B$5:$B$54,0)),0)=0,HolidaySurcharge,IFERROR(INDEX(Services!$I$5:$I$54,MATCH(H38,Services!$B$5:$B$54,0)),0)))</f>
        <v>0</v>
      </c>
      <c r="S38" s="30">
        <f>IF(H38="","",IF(IFERROR(INDEX(Services!$J$5:$J$54,MATCH(H38,Services!$B$5:$B$54,0)),0)=0,WeekendSurcharge,IFERROR(INDEX(Services!$J$5:$J$54,MATCH(H38,Services!$B$5:$B$54,0)),0)))</f>
        <v>0</v>
      </c>
      <c r="T38" s="50">
        <f>IF(H38="","",IFERROR(INDEX(Services!$K$5:$K$54,MATCH(H38,Services!$B$5:$B$54,0)),"No"))</f>
        <v>0</v>
      </c>
      <c r="U38" s="29">
        <f>IF(H38="","",ROUND(IF(O38="Per hour",P38*IF(M38="",IF(N38="",1,N38),M38),P38*IF(N38="",1,N38)),2))</f>
        <v>0</v>
      </c>
      <c r="V38" s="29">
        <f>IF(H38="","",ROUND(MAX(0,IF(G38="",1,G38)-1)*Q38,2))</f>
        <v>0</v>
      </c>
      <c r="W38" s="50">
        <f>IF(I38="","",IF(COUNTIF(HolidayDates,I38)&gt;0,"Yes","No"))</f>
        <v>0</v>
      </c>
      <c r="X38" s="50">
        <f>IF(I38="","",IF(WEEKDAY(I38,2)&gt;5,"Yes","No"))</f>
        <v>0</v>
      </c>
      <c r="Y38" s="29">
        <f>IF(H38="","",ROUND((U38+V38)*(IF(W38="Yes",R38,0)+IF(X38="Yes",S38,0)),2))</f>
        <v>0</v>
      </c>
      <c r="AA38" s="29">
        <f>IF(H38="","",IF(T38&lt;&gt;"Yes",0,ROUND(MAX(0,IF(Z38="",0,Z38)-FreeTravelDistance)*TravelFeeRate,2)))</f>
        <v>0</v>
      </c>
      <c r="AB38" s="31">
        <f>IF(I38="","",TravelTimeMins)</f>
        <v>0</v>
      </c>
      <c r="AC38" s="29">
        <f>IF(OR(I38="",B38=""),0,IF(I38-B38&lt;=LastMinuteDays,EmergencyFee,0))</f>
        <v>0</v>
      </c>
      <c r="AF38" s="29">
        <f>IF(H38="","",ROUND((U38+V38+Y38+AA38+AC38)*IF(AE38="",0,AE38),2))</f>
        <v>0</v>
      </c>
      <c r="AI38" s="29">
        <f>IF(H38="","",IF(AG38&lt;&gt;"",AG38,ROUND(U38+V38+Y38+AA38+AC38-AF38,2)))</f>
        <v>0</v>
      </c>
      <c r="AJ38" s="29">
        <f>IF(AI38="","",IF(TaxRegistered&lt;&gt;"Yes",0,IF(PricesIncludeTax="Yes",ROUND(AI38-AI38/(1+TaxRate),2),ROUND(AI38*TaxRate,2))))</f>
        <v>0</v>
      </c>
      <c r="AK38" s="29">
        <f>IF(AI38="","",IF(PricesIncludeTax="Yes",AI38,ROUND(AI38+AJ38,2)))</f>
        <v>0</v>
      </c>
      <c r="AQ38" s="21">
        <f>IF(OR(I38="",AP38="",AP38="None"),"",IF(AP38="Monthly",EDATE(I38,1),I38+IF(AP38="Daily",1,IF(AP38="Weekdays",IF(WEEKDAY(I38,2)&gt;=5,8-WEEKDAY(I38,2),1),IF(AP38="Weekly",7,IF(AP38="Fortnightly",14,0))))))</f>
        <v>0</v>
      </c>
      <c r="AR38" s="49">
        <f>IF(OR(I38="",AL38="",K38="",L38=""),"",IF(SUMPRODUCT((Bookings!$AL$5:$AL$404=AL38)*(Bookings!$I$5:$I$404=I38)*(Bookings!$K$5:$K$404&lt;L38)*(Bookings!$L$5:$L$404&gt;K38)*(Bookings!$AM$5:$AM$404&lt;&gt;"Cancelled"))&gt;1,"Conflict - double booked","OK"))</f>
        <v>0</v>
      </c>
      <c r="AS38" s="50">
        <f>IF(A38="","",IF(COUNTIF('Visit Log'!$B$5:$B$404,A38)&gt;0,"Yes","No"))</f>
        <v>0</v>
      </c>
      <c r="AT38" s="28">
        <f>IF(A38="","",IFERROR(INDEX(Invoices!$A$5:$A$304,MATCH(A38,Invoices!$E$5:$E$304,0)),""))</f>
        <v>0</v>
      </c>
      <c r="AU38" s="49">
        <f>IF(A38="","",IF(AT38="","Not invoiced",IFERROR(INDEX(Invoices!$U$5:$U$304,MATCH(AT38,Invoices!$A$5:$A$304,0)),"")))</f>
        <v>0</v>
      </c>
      <c r="AY38" s="28">
        <f>IF(I38="","",TEXT(I38,"yyyy-mm"))</f>
        <v>0</v>
      </c>
      <c r="AZ38" s="49">
        <f>IF(I38="","",IF(AM38="Cancelled","Cancelled",IF(AND(I38&lt;TODAY(),OR(AM38="Pending",AM38="Confirmed",AM38="Enquiry")),"Overdue - update status",IF(AND(AM38="Completed",AS38="No"),"Action - log the visit",IF(I38=TODAY(),"Today",IF(AND(I38&gt;TODAY(),I38-TODAY()&lt;=ReminderLeadDays,AN38&lt;&gt;"Yes"),"Action - unconfirmed",IF(AND(I38&gt;TODAY(),I38-TODAY()&lt;=ReminderLeadDays),"Upcoming","OK")))))))</f>
        <v>0</v>
      </c>
    </row>
    <row r="39" spans="1:52">
      <c r="A39" s="46">
        <f>IF(C39="","",BookingPrefix&amp;TEXT(ROW()-4,"0000"))</f>
        <v>0</v>
      </c>
      <c r="D39" s="28">
        <f>IF(C39="","",IFERROR(INDEX(Clients!$A$5:$A$254,MATCH(C39,Clients!$B$5:$B$254,0)),""))</f>
        <v>0</v>
      </c>
      <c r="J39" s="50">
        <f>IF(I39="","",TEXT(I39,"ddd"))</f>
        <v>0</v>
      </c>
      <c r="M39" s="51">
        <f>IF(OR(K39="",L39=""),"",ROUND((L39-K39+IF(L39&lt;K39,1,0))*24,2))</f>
        <v>0</v>
      </c>
      <c r="O39" s="28">
        <f>IF(H39="","",IFERROR(INDEX(Services!$E$5:$E$54,MATCH(H39,Services!$B$5:$B$54,0)),""))</f>
        <v>0</v>
      </c>
      <c r="P39" s="29">
        <f>IF(H39="","",IFERROR(INDEX(Services!$G$5:$G$54,MATCH(H39,Services!$B$5:$B$54,0)),0))</f>
        <v>0</v>
      </c>
      <c r="Q39" s="29">
        <f>IF(H39="","",IF(IFERROR(INDEX(Services!$H$5:$H$54,MATCH(H39,Services!$B$5:$B$54,0)),0)=0,ExtraPetFeeDefault,IFERROR(INDEX(Services!$H$5:$H$54,MATCH(H39,Services!$B$5:$B$54,0)),0)))</f>
        <v>0</v>
      </c>
      <c r="R39" s="30">
        <f>IF(H39="","",IF(IFERROR(INDEX(Services!$I$5:$I$54,MATCH(H39,Services!$B$5:$B$54,0)),0)=0,HolidaySurcharge,IFERROR(INDEX(Services!$I$5:$I$54,MATCH(H39,Services!$B$5:$B$54,0)),0)))</f>
        <v>0</v>
      </c>
      <c r="S39" s="30">
        <f>IF(H39="","",IF(IFERROR(INDEX(Services!$J$5:$J$54,MATCH(H39,Services!$B$5:$B$54,0)),0)=0,WeekendSurcharge,IFERROR(INDEX(Services!$J$5:$J$54,MATCH(H39,Services!$B$5:$B$54,0)),0)))</f>
        <v>0</v>
      </c>
      <c r="T39" s="50">
        <f>IF(H39="","",IFERROR(INDEX(Services!$K$5:$K$54,MATCH(H39,Services!$B$5:$B$54,0)),"No"))</f>
        <v>0</v>
      </c>
      <c r="U39" s="29">
        <f>IF(H39="","",ROUND(IF(O39="Per hour",P39*IF(M39="",IF(N39="",1,N39),M39),P39*IF(N39="",1,N39)),2))</f>
        <v>0</v>
      </c>
      <c r="V39" s="29">
        <f>IF(H39="","",ROUND(MAX(0,IF(G39="",1,G39)-1)*Q39,2))</f>
        <v>0</v>
      </c>
      <c r="W39" s="50">
        <f>IF(I39="","",IF(COUNTIF(HolidayDates,I39)&gt;0,"Yes","No"))</f>
        <v>0</v>
      </c>
      <c r="X39" s="50">
        <f>IF(I39="","",IF(WEEKDAY(I39,2)&gt;5,"Yes","No"))</f>
        <v>0</v>
      </c>
      <c r="Y39" s="29">
        <f>IF(H39="","",ROUND((U39+V39)*(IF(W39="Yes",R39,0)+IF(X39="Yes",S39,0)),2))</f>
        <v>0</v>
      </c>
      <c r="AA39" s="29">
        <f>IF(H39="","",IF(T39&lt;&gt;"Yes",0,ROUND(MAX(0,IF(Z39="",0,Z39)-FreeTravelDistance)*TravelFeeRate,2)))</f>
        <v>0</v>
      </c>
      <c r="AB39" s="31">
        <f>IF(I39="","",TravelTimeMins)</f>
        <v>0</v>
      </c>
      <c r="AC39" s="29">
        <f>IF(OR(I39="",B39=""),0,IF(I39-B39&lt;=LastMinuteDays,EmergencyFee,0))</f>
        <v>0</v>
      </c>
      <c r="AF39" s="29">
        <f>IF(H39="","",ROUND((U39+V39+Y39+AA39+AC39)*IF(AE39="",0,AE39),2))</f>
        <v>0</v>
      </c>
      <c r="AI39" s="29">
        <f>IF(H39="","",IF(AG39&lt;&gt;"",AG39,ROUND(U39+V39+Y39+AA39+AC39-AF39,2)))</f>
        <v>0</v>
      </c>
      <c r="AJ39" s="29">
        <f>IF(AI39="","",IF(TaxRegistered&lt;&gt;"Yes",0,IF(PricesIncludeTax="Yes",ROUND(AI39-AI39/(1+TaxRate),2),ROUND(AI39*TaxRate,2))))</f>
        <v>0</v>
      </c>
      <c r="AK39" s="29">
        <f>IF(AI39="","",IF(PricesIncludeTax="Yes",AI39,ROUND(AI39+AJ39,2)))</f>
        <v>0</v>
      </c>
      <c r="AQ39" s="21">
        <f>IF(OR(I39="",AP39="",AP39="None"),"",IF(AP39="Monthly",EDATE(I39,1),I39+IF(AP39="Daily",1,IF(AP39="Weekdays",IF(WEEKDAY(I39,2)&gt;=5,8-WEEKDAY(I39,2),1),IF(AP39="Weekly",7,IF(AP39="Fortnightly",14,0))))))</f>
        <v>0</v>
      </c>
      <c r="AR39" s="49">
        <f>IF(OR(I39="",AL39="",K39="",L39=""),"",IF(SUMPRODUCT((Bookings!$AL$5:$AL$404=AL39)*(Bookings!$I$5:$I$404=I39)*(Bookings!$K$5:$K$404&lt;L39)*(Bookings!$L$5:$L$404&gt;K39)*(Bookings!$AM$5:$AM$404&lt;&gt;"Cancelled"))&gt;1,"Conflict - double booked","OK"))</f>
        <v>0</v>
      </c>
      <c r="AS39" s="50">
        <f>IF(A39="","",IF(COUNTIF('Visit Log'!$B$5:$B$404,A39)&gt;0,"Yes","No"))</f>
        <v>0</v>
      </c>
      <c r="AT39" s="28">
        <f>IF(A39="","",IFERROR(INDEX(Invoices!$A$5:$A$304,MATCH(A39,Invoices!$E$5:$E$304,0)),""))</f>
        <v>0</v>
      </c>
      <c r="AU39" s="49">
        <f>IF(A39="","",IF(AT39="","Not invoiced",IFERROR(INDEX(Invoices!$U$5:$U$304,MATCH(AT39,Invoices!$A$5:$A$304,0)),"")))</f>
        <v>0</v>
      </c>
      <c r="AY39" s="28">
        <f>IF(I39="","",TEXT(I39,"yyyy-mm"))</f>
        <v>0</v>
      </c>
      <c r="AZ39" s="49">
        <f>IF(I39="","",IF(AM39="Cancelled","Cancelled",IF(AND(I39&lt;TODAY(),OR(AM39="Pending",AM39="Confirmed",AM39="Enquiry")),"Overdue - update status",IF(AND(AM39="Completed",AS39="No"),"Action - log the visit",IF(I39=TODAY(),"Today",IF(AND(I39&gt;TODAY(),I39-TODAY()&lt;=ReminderLeadDays,AN39&lt;&gt;"Yes"),"Action - unconfirmed",IF(AND(I39&gt;TODAY(),I39-TODAY()&lt;=ReminderLeadDays),"Upcoming","OK")))))))</f>
        <v>0</v>
      </c>
    </row>
    <row r="40" spans="1:52">
      <c r="A40" s="46">
        <f>IF(C40="","",BookingPrefix&amp;TEXT(ROW()-4,"0000"))</f>
        <v>0</v>
      </c>
      <c r="D40" s="28">
        <f>IF(C40="","",IFERROR(INDEX(Clients!$A$5:$A$254,MATCH(C40,Clients!$B$5:$B$254,0)),""))</f>
        <v>0</v>
      </c>
      <c r="J40" s="50">
        <f>IF(I40="","",TEXT(I40,"ddd"))</f>
        <v>0</v>
      </c>
      <c r="M40" s="51">
        <f>IF(OR(K40="",L40=""),"",ROUND((L40-K40+IF(L40&lt;K40,1,0))*24,2))</f>
        <v>0</v>
      </c>
      <c r="O40" s="28">
        <f>IF(H40="","",IFERROR(INDEX(Services!$E$5:$E$54,MATCH(H40,Services!$B$5:$B$54,0)),""))</f>
        <v>0</v>
      </c>
      <c r="P40" s="29">
        <f>IF(H40="","",IFERROR(INDEX(Services!$G$5:$G$54,MATCH(H40,Services!$B$5:$B$54,0)),0))</f>
        <v>0</v>
      </c>
      <c r="Q40" s="29">
        <f>IF(H40="","",IF(IFERROR(INDEX(Services!$H$5:$H$54,MATCH(H40,Services!$B$5:$B$54,0)),0)=0,ExtraPetFeeDefault,IFERROR(INDEX(Services!$H$5:$H$54,MATCH(H40,Services!$B$5:$B$54,0)),0)))</f>
        <v>0</v>
      </c>
      <c r="R40" s="30">
        <f>IF(H40="","",IF(IFERROR(INDEX(Services!$I$5:$I$54,MATCH(H40,Services!$B$5:$B$54,0)),0)=0,HolidaySurcharge,IFERROR(INDEX(Services!$I$5:$I$54,MATCH(H40,Services!$B$5:$B$54,0)),0)))</f>
        <v>0</v>
      </c>
      <c r="S40" s="30">
        <f>IF(H40="","",IF(IFERROR(INDEX(Services!$J$5:$J$54,MATCH(H40,Services!$B$5:$B$54,0)),0)=0,WeekendSurcharge,IFERROR(INDEX(Services!$J$5:$J$54,MATCH(H40,Services!$B$5:$B$54,0)),0)))</f>
        <v>0</v>
      </c>
      <c r="T40" s="50">
        <f>IF(H40="","",IFERROR(INDEX(Services!$K$5:$K$54,MATCH(H40,Services!$B$5:$B$54,0)),"No"))</f>
        <v>0</v>
      </c>
      <c r="U40" s="29">
        <f>IF(H40="","",ROUND(IF(O40="Per hour",P40*IF(M40="",IF(N40="",1,N40),M40),P40*IF(N40="",1,N40)),2))</f>
        <v>0</v>
      </c>
      <c r="V40" s="29">
        <f>IF(H40="","",ROUND(MAX(0,IF(G40="",1,G40)-1)*Q40,2))</f>
        <v>0</v>
      </c>
      <c r="W40" s="50">
        <f>IF(I40="","",IF(COUNTIF(HolidayDates,I40)&gt;0,"Yes","No"))</f>
        <v>0</v>
      </c>
      <c r="X40" s="50">
        <f>IF(I40="","",IF(WEEKDAY(I40,2)&gt;5,"Yes","No"))</f>
        <v>0</v>
      </c>
      <c r="Y40" s="29">
        <f>IF(H40="","",ROUND((U40+V40)*(IF(W40="Yes",R40,0)+IF(X40="Yes",S40,0)),2))</f>
        <v>0</v>
      </c>
      <c r="AA40" s="29">
        <f>IF(H40="","",IF(T40&lt;&gt;"Yes",0,ROUND(MAX(0,IF(Z40="",0,Z40)-FreeTravelDistance)*TravelFeeRate,2)))</f>
        <v>0</v>
      </c>
      <c r="AB40" s="31">
        <f>IF(I40="","",TravelTimeMins)</f>
        <v>0</v>
      </c>
      <c r="AC40" s="29">
        <f>IF(OR(I40="",B40=""),0,IF(I40-B40&lt;=LastMinuteDays,EmergencyFee,0))</f>
        <v>0</v>
      </c>
      <c r="AF40" s="29">
        <f>IF(H40="","",ROUND((U40+V40+Y40+AA40+AC40)*IF(AE40="",0,AE40),2))</f>
        <v>0</v>
      </c>
      <c r="AI40" s="29">
        <f>IF(H40="","",IF(AG40&lt;&gt;"",AG40,ROUND(U40+V40+Y40+AA40+AC40-AF40,2)))</f>
        <v>0</v>
      </c>
      <c r="AJ40" s="29">
        <f>IF(AI40="","",IF(TaxRegistered&lt;&gt;"Yes",0,IF(PricesIncludeTax="Yes",ROUND(AI40-AI40/(1+TaxRate),2),ROUND(AI40*TaxRate,2))))</f>
        <v>0</v>
      </c>
      <c r="AK40" s="29">
        <f>IF(AI40="","",IF(PricesIncludeTax="Yes",AI40,ROUND(AI40+AJ40,2)))</f>
        <v>0</v>
      </c>
      <c r="AQ40" s="21">
        <f>IF(OR(I40="",AP40="",AP40="None"),"",IF(AP40="Monthly",EDATE(I40,1),I40+IF(AP40="Daily",1,IF(AP40="Weekdays",IF(WEEKDAY(I40,2)&gt;=5,8-WEEKDAY(I40,2),1),IF(AP40="Weekly",7,IF(AP40="Fortnightly",14,0))))))</f>
        <v>0</v>
      </c>
      <c r="AR40" s="49">
        <f>IF(OR(I40="",AL40="",K40="",L40=""),"",IF(SUMPRODUCT((Bookings!$AL$5:$AL$404=AL40)*(Bookings!$I$5:$I$404=I40)*(Bookings!$K$5:$K$404&lt;L40)*(Bookings!$L$5:$L$404&gt;K40)*(Bookings!$AM$5:$AM$404&lt;&gt;"Cancelled"))&gt;1,"Conflict - double booked","OK"))</f>
        <v>0</v>
      </c>
      <c r="AS40" s="50">
        <f>IF(A40="","",IF(COUNTIF('Visit Log'!$B$5:$B$404,A40)&gt;0,"Yes","No"))</f>
        <v>0</v>
      </c>
      <c r="AT40" s="28">
        <f>IF(A40="","",IFERROR(INDEX(Invoices!$A$5:$A$304,MATCH(A40,Invoices!$E$5:$E$304,0)),""))</f>
        <v>0</v>
      </c>
      <c r="AU40" s="49">
        <f>IF(A40="","",IF(AT40="","Not invoiced",IFERROR(INDEX(Invoices!$U$5:$U$304,MATCH(AT40,Invoices!$A$5:$A$304,0)),"")))</f>
        <v>0</v>
      </c>
      <c r="AY40" s="28">
        <f>IF(I40="","",TEXT(I40,"yyyy-mm"))</f>
        <v>0</v>
      </c>
      <c r="AZ40" s="49">
        <f>IF(I40="","",IF(AM40="Cancelled","Cancelled",IF(AND(I40&lt;TODAY(),OR(AM40="Pending",AM40="Confirmed",AM40="Enquiry")),"Overdue - update status",IF(AND(AM40="Completed",AS40="No"),"Action - log the visit",IF(I40=TODAY(),"Today",IF(AND(I40&gt;TODAY(),I40-TODAY()&lt;=ReminderLeadDays,AN40&lt;&gt;"Yes"),"Action - unconfirmed",IF(AND(I40&gt;TODAY(),I40-TODAY()&lt;=ReminderLeadDays),"Upcoming","OK")))))))</f>
        <v>0</v>
      </c>
    </row>
    <row r="41" spans="1:52">
      <c r="A41" s="46">
        <f>IF(C41="","",BookingPrefix&amp;TEXT(ROW()-4,"0000"))</f>
        <v>0</v>
      </c>
      <c r="D41" s="28">
        <f>IF(C41="","",IFERROR(INDEX(Clients!$A$5:$A$254,MATCH(C41,Clients!$B$5:$B$254,0)),""))</f>
        <v>0</v>
      </c>
      <c r="J41" s="50">
        <f>IF(I41="","",TEXT(I41,"ddd"))</f>
        <v>0</v>
      </c>
      <c r="M41" s="51">
        <f>IF(OR(K41="",L41=""),"",ROUND((L41-K41+IF(L41&lt;K41,1,0))*24,2))</f>
        <v>0</v>
      </c>
      <c r="O41" s="28">
        <f>IF(H41="","",IFERROR(INDEX(Services!$E$5:$E$54,MATCH(H41,Services!$B$5:$B$54,0)),""))</f>
        <v>0</v>
      </c>
      <c r="P41" s="29">
        <f>IF(H41="","",IFERROR(INDEX(Services!$G$5:$G$54,MATCH(H41,Services!$B$5:$B$54,0)),0))</f>
        <v>0</v>
      </c>
      <c r="Q41" s="29">
        <f>IF(H41="","",IF(IFERROR(INDEX(Services!$H$5:$H$54,MATCH(H41,Services!$B$5:$B$54,0)),0)=0,ExtraPetFeeDefault,IFERROR(INDEX(Services!$H$5:$H$54,MATCH(H41,Services!$B$5:$B$54,0)),0)))</f>
        <v>0</v>
      </c>
      <c r="R41" s="30">
        <f>IF(H41="","",IF(IFERROR(INDEX(Services!$I$5:$I$54,MATCH(H41,Services!$B$5:$B$54,0)),0)=0,HolidaySurcharge,IFERROR(INDEX(Services!$I$5:$I$54,MATCH(H41,Services!$B$5:$B$54,0)),0)))</f>
        <v>0</v>
      </c>
      <c r="S41" s="30">
        <f>IF(H41="","",IF(IFERROR(INDEX(Services!$J$5:$J$54,MATCH(H41,Services!$B$5:$B$54,0)),0)=0,WeekendSurcharge,IFERROR(INDEX(Services!$J$5:$J$54,MATCH(H41,Services!$B$5:$B$54,0)),0)))</f>
        <v>0</v>
      </c>
      <c r="T41" s="50">
        <f>IF(H41="","",IFERROR(INDEX(Services!$K$5:$K$54,MATCH(H41,Services!$B$5:$B$54,0)),"No"))</f>
        <v>0</v>
      </c>
      <c r="U41" s="29">
        <f>IF(H41="","",ROUND(IF(O41="Per hour",P41*IF(M41="",IF(N41="",1,N41),M41),P41*IF(N41="",1,N41)),2))</f>
        <v>0</v>
      </c>
      <c r="V41" s="29">
        <f>IF(H41="","",ROUND(MAX(0,IF(G41="",1,G41)-1)*Q41,2))</f>
        <v>0</v>
      </c>
      <c r="W41" s="50">
        <f>IF(I41="","",IF(COUNTIF(HolidayDates,I41)&gt;0,"Yes","No"))</f>
        <v>0</v>
      </c>
      <c r="X41" s="50">
        <f>IF(I41="","",IF(WEEKDAY(I41,2)&gt;5,"Yes","No"))</f>
        <v>0</v>
      </c>
      <c r="Y41" s="29">
        <f>IF(H41="","",ROUND((U41+V41)*(IF(W41="Yes",R41,0)+IF(X41="Yes",S41,0)),2))</f>
        <v>0</v>
      </c>
      <c r="AA41" s="29">
        <f>IF(H41="","",IF(T41&lt;&gt;"Yes",0,ROUND(MAX(0,IF(Z41="",0,Z41)-FreeTravelDistance)*TravelFeeRate,2)))</f>
        <v>0</v>
      </c>
      <c r="AB41" s="31">
        <f>IF(I41="","",TravelTimeMins)</f>
        <v>0</v>
      </c>
      <c r="AC41" s="29">
        <f>IF(OR(I41="",B41=""),0,IF(I41-B41&lt;=LastMinuteDays,EmergencyFee,0))</f>
        <v>0</v>
      </c>
      <c r="AF41" s="29">
        <f>IF(H41="","",ROUND((U41+V41+Y41+AA41+AC41)*IF(AE41="",0,AE41),2))</f>
        <v>0</v>
      </c>
      <c r="AI41" s="29">
        <f>IF(H41="","",IF(AG41&lt;&gt;"",AG41,ROUND(U41+V41+Y41+AA41+AC41-AF41,2)))</f>
        <v>0</v>
      </c>
      <c r="AJ41" s="29">
        <f>IF(AI41="","",IF(TaxRegistered&lt;&gt;"Yes",0,IF(PricesIncludeTax="Yes",ROUND(AI41-AI41/(1+TaxRate),2),ROUND(AI41*TaxRate,2))))</f>
        <v>0</v>
      </c>
      <c r="AK41" s="29">
        <f>IF(AI41="","",IF(PricesIncludeTax="Yes",AI41,ROUND(AI41+AJ41,2)))</f>
        <v>0</v>
      </c>
      <c r="AQ41" s="21">
        <f>IF(OR(I41="",AP41="",AP41="None"),"",IF(AP41="Monthly",EDATE(I41,1),I41+IF(AP41="Daily",1,IF(AP41="Weekdays",IF(WEEKDAY(I41,2)&gt;=5,8-WEEKDAY(I41,2),1),IF(AP41="Weekly",7,IF(AP41="Fortnightly",14,0))))))</f>
        <v>0</v>
      </c>
      <c r="AR41" s="49">
        <f>IF(OR(I41="",AL41="",K41="",L41=""),"",IF(SUMPRODUCT((Bookings!$AL$5:$AL$404=AL41)*(Bookings!$I$5:$I$404=I41)*(Bookings!$K$5:$K$404&lt;L41)*(Bookings!$L$5:$L$404&gt;K41)*(Bookings!$AM$5:$AM$404&lt;&gt;"Cancelled"))&gt;1,"Conflict - double booked","OK"))</f>
        <v>0</v>
      </c>
      <c r="AS41" s="50">
        <f>IF(A41="","",IF(COUNTIF('Visit Log'!$B$5:$B$404,A41)&gt;0,"Yes","No"))</f>
        <v>0</v>
      </c>
      <c r="AT41" s="28">
        <f>IF(A41="","",IFERROR(INDEX(Invoices!$A$5:$A$304,MATCH(A41,Invoices!$E$5:$E$304,0)),""))</f>
        <v>0</v>
      </c>
      <c r="AU41" s="49">
        <f>IF(A41="","",IF(AT41="","Not invoiced",IFERROR(INDEX(Invoices!$U$5:$U$304,MATCH(AT41,Invoices!$A$5:$A$304,0)),"")))</f>
        <v>0</v>
      </c>
      <c r="AY41" s="28">
        <f>IF(I41="","",TEXT(I41,"yyyy-mm"))</f>
        <v>0</v>
      </c>
      <c r="AZ41" s="49">
        <f>IF(I41="","",IF(AM41="Cancelled","Cancelled",IF(AND(I41&lt;TODAY(),OR(AM41="Pending",AM41="Confirmed",AM41="Enquiry")),"Overdue - update status",IF(AND(AM41="Completed",AS41="No"),"Action - log the visit",IF(I41=TODAY(),"Today",IF(AND(I41&gt;TODAY(),I41-TODAY()&lt;=ReminderLeadDays,AN41&lt;&gt;"Yes"),"Action - unconfirmed",IF(AND(I41&gt;TODAY(),I41-TODAY()&lt;=ReminderLeadDays),"Upcoming","OK")))))))</f>
        <v>0</v>
      </c>
    </row>
    <row r="42" spans="1:52">
      <c r="A42" s="46">
        <f>IF(C42="","",BookingPrefix&amp;TEXT(ROW()-4,"0000"))</f>
        <v>0</v>
      </c>
      <c r="D42" s="28">
        <f>IF(C42="","",IFERROR(INDEX(Clients!$A$5:$A$254,MATCH(C42,Clients!$B$5:$B$254,0)),""))</f>
        <v>0</v>
      </c>
      <c r="J42" s="50">
        <f>IF(I42="","",TEXT(I42,"ddd"))</f>
        <v>0</v>
      </c>
      <c r="M42" s="51">
        <f>IF(OR(K42="",L42=""),"",ROUND((L42-K42+IF(L42&lt;K42,1,0))*24,2))</f>
        <v>0</v>
      </c>
      <c r="O42" s="28">
        <f>IF(H42="","",IFERROR(INDEX(Services!$E$5:$E$54,MATCH(H42,Services!$B$5:$B$54,0)),""))</f>
        <v>0</v>
      </c>
      <c r="P42" s="29">
        <f>IF(H42="","",IFERROR(INDEX(Services!$G$5:$G$54,MATCH(H42,Services!$B$5:$B$54,0)),0))</f>
        <v>0</v>
      </c>
      <c r="Q42" s="29">
        <f>IF(H42="","",IF(IFERROR(INDEX(Services!$H$5:$H$54,MATCH(H42,Services!$B$5:$B$54,0)),0)=0,ExtraPetFeeDefault,IFERROR(INDEX(Services!$H$5:$H$54,MATCH(H42,Services!$B$5:$B$54,0)),0)))</f>
        <v>0</v>
      </c>
      <c r="R42" s="30">
        <f>IF(H42="","",IF(IFERROR(INDEX(Services!$I$5:$I$54,MATCH(H42,Services!$B$5:$B$54,0)),0)=0,HolidaySurcharge,IFERROR(INDEX(Services!$I$5:$I$54,MATCH(H42,Services!$B$5:$B$54,0)),0)))</f>
        <v>0</v>
      </c>
      <c r="S42" s="30">
        <f>IF(H42="","",IF(IFERROR(INDEX(Services!$J$5:$J$54,MATCH(H42,Services!$B$5:$B$54,0)),0)=0,WeekendSurcharge,IFERROR(INDEX(Services!$J$5:$J$54,MATCH(H42,Services!$B$5:$B$54,0)),0)))</f>
        <v>0</v>
      </c>
      <c r="T42" s="50">
        <f>IF(H42="","",IFERROR(INDEX(Services!$K$5:$K$54,MATCH(H42,Services!$B$5:$B$54,0)),"No"))</f>
        <v>0</v>
      </c>
      <c r="U42" s="29">
        <f>IF(H42="","",ROUND(IF(O42="Per hour",P42*IF(M42="",IF(N42="",1,N42),M42),P42*IF(N42="",1,N42)),2))</f>
        <v>0</v>
      </c>
      <c r="V42" s="29">
        <f>IF(H42="","",ROUND(MAX(0,IF(G42="",1,G42)-1)*Q42,2))</f>
        <v>0</v>
      </c>
      <c r="W42" s="50">
        <f>IF(I42="","",IF(COUNTIF(HolidayDates,I42)&gt;0,"Yes","No"))</f>
        <v>0</v>
      </c>
      <c r="X42" s="50">
        <f>IF(I42="","",IF(WEEKDAY(I42,2)&gt;5,"Yes","No"))</f>
        <v>0</v>
      </c>
      <c r="Y42" s="29">
        <f>IF(H42="","",ROUND((U42+V42)*(IF(W42="Yes",R42,0)+IF(X42="Yes",S42,0)),2))</f>
        <v>0</v>
      </c>
      <c r="AA42" s="29">
        <f>IF(H42="","",IF(T42&lt;&gt;"Yes",0,ROUND(MAX(0,IF(Z42="",0,Z42)-FreeTravelDistance)*TravelFeeRate,2)))</f>
        <v>0</v>
      </c>
      <c r="AB42" s="31">
        <f>IF(I42="","",TravelTimeMins)</f>
        <v>0</v>
      </c>
      <c r="AC42" s="29">
        <f>IF(OR(I42="",B42=""),0,IF(I42-B42&lt;=LastMinuteDays,EmergencyFee,0))</f>
        <v>0</v>
      </c>
      <c r="AF42" s="29">
        <f>IF(H42="","",ROUND((U42+V42+Y42+AA42+AC42)*IF(AE42="",0,AE42),2))</f>
        <v>0</v>
      </c>
      <c r="AI42" s="29">
        <f>IF(H42="","",IF(AG42&lt;&gt;"",AG42,ROUND(U42+V42+Y42+AA42+AC42-AF42,2)))</f>
        <v>0</v>
      </c>
      <c r="AJ42" s="29">
        <f>IF(AI42="","",IF(TaxRegistered&lt;&gt;"Yes",0,IF(PricesIncludeTax="Yes",ROUND(AI42-AI42/(1+TaxRate),2),ROUND(AI42*TaxRate,2))))</f>
        <v>0</v>
      </c>
      <c r="AK42" s="29">
        <f>IF(AI42="","",IF(PricesIncludeTax="Yes",AI42,ROUND(AI42+AJ42,2)))</f>
        <v>0</v>
      </c>
      <c r="AQ42" s="21">
        <f>IF(OR(I42="",AP42="",AP42="None"),"",IF(AP42="Monthly",EDATE(I42,1),I42+IF(AP42="Daily",1,IF(AP42="Weekdays",IF(WEEKDAY(I42,2)&gt;=5,8-WEEKDAY(I42,2),1),IF(AP42="Weekly",7,IF(AP42="Fortnightly",14,0))))))</f>
        <v>0</v>
      </c>
      <c r="AR42" s="49">
        <f>IF(OR(I42="",AL42="",K42="",L42=""),"",IF(SUMPRODUCT((Bookings!$AL$5:$AL$404=AL42)*(Bookings!$I$5:$I$404=I42)*(Bookings!$K$5:$K$404&lt;L42)*(Bookings!$L$5:$L$404&gt;K42)*(Bookings!$AM$5:$AM$404&lt;&gt;"Cancelled"))&gt;1,"Conflict - double booked","OK"))</f>
        <v>0</v>
      </c>
      <c r="AS42" s="50">
        <f>IF(A42="","",IF(COUNTIF('Visit Log'!$B$5:$B$404,A42)&gt;0,"Yes","No"))</f>
        <v>0</v>
      </c>
      <c r="AT42" s="28">
        <f>IF(A42="","",IFERROR(INDEX(Invoices!$A$5:$A$304,MATCH(A42,Invoices!$E$5:$E$304,0)),""))</f>
        <v>0</v>
      </c>
      <c r="AU42" s="49">
        <f>IF(A42="","",IF(AT42="","Not invoiced",IFERROR(INDEX(Invoices!$U$5:$U$304,MATCH(AT42,Invoices!$A$5:$A$304,0)),"")))</f>
        <v>0</v>
      </c>
      <c r="AY42" s="28">
        <f>IF(I42="","",TEXT(I42,"yyyy-mm"))</f>
        <v>0</v>
      </c>
      <c r="AZ42" s="49">
        <f>IF(I42="","",IF(AM42="Cancelled","Cancelled",IF(AND(I42&lt;TODAY(),OR(AM42="Pending",AM42="Confirmed",AM42="Enquiry")),"Overdue - update status",IF(AND(AM42="Completed",AS42="No"),"Action - log the visit",IF(I42=TODAY(),"Today",IF(AND(I42&gt;TODAY(),I42-TODAY()&lt;=ReminderLeadDays,AN42&lt;&gt;"Yes"),"Action - unconfirmed",IF(AND(I42&gt;TODAY(),I42-TODAY()&lt;=ReminderLeadDays),"Upcoming","OK")))))))</f>
        <v>0</v>
      </c>
    </row>
    <row r="43" spans="1:52">
      <c r="A43" s="46">
        <f>IF(C43="","",BookingPrefix&amp;TEXT(ROW()-4,"0000"))</f>
        <v>0</v>
      </c>
      <c r="D43" s="28">
        <f>IF(C43="","",IFERROR(INDEX(Clients!$A$5:$A$254,MATCH(C43,Clients!$B$5:$B$254,0)),""))</f>
        <v>0</v>
      </c>
      <c r="J43" s="50">
        <f>IF(I43="","",TEXT(I43,"ddd"))</f>
        <v>0</v>
      </c>
      <c r="M43" s="51">
        <f>IF(OR(K43="",L43=""),"",ROUND((L43-K43+IF(L43&lt;K43,1,0))*24,2))</f>
        <v>0</v>
      </c>
      <c r="O43" s="28">
        <f>IF(H43="","",IFERROR(INDEX(Services!$E$5:$E$54,MATCH(H43,Services!$B$5:$B$54,0)),""))</f>
        <v>0</v>
      </c>
      <c r="P43" s="29">
        <f>IF(H43="","",IFERROR(INDEX(Services!$G$5:$G$54,MATCH(H43,Services!$B$5:$B$54,0)),0))</f>
        <v>0</v>
      </c>
      <c r="Q43" s="29">
        <f>IF(H43="","",IF(IFERROR(INDEX(Services!$H$5:$H$54,MATCH(H43,Services!$B$5:$B$54,0)),0)=0,ExtraPetFeeDefault,IFERROR(INDEX(Services!$H$5:$H$54,MATCH(H43,Services!$B$5:$B$54,0)),0)))</f>
        <v>0</v>
      </c>
      <c r="R43" s="30">
        <f>IF(H43="","",IF(IFERROR(INDEX(Services!$I$5:$I$54,MATCH(H43,Services!$B$5:$B$54,0)),0)=0,HolidaySurcharge,IFERROR(INDEX(Services!$I$5:$I$54,MATCH(H43,Services!$B$5:$B$54,0)),0)))</f>
        <v>0</v>
      </c>
      <c r="S43" s="30">
        <f>IF(H43="","",IF(IFERROR(INDEX(Services!$J$5:$J$54,MATCH(H43,Services!$B$5:$B$54,0)),0)=0,WeekendSurcharge,IFERROR(INDEX(Services!$J$5:$J$54,MATCH(H43,Services!$B$5:$B$54,0)),0)))</f>
        <v>0</v>
      </c>
      <c r="T43" s="50">
        <f>IF(H43="","",IFERROR(INDEX(Services!$K$5:$K$54,MATCH(H43,Services!$B$5:$B$54,0)),"No"))</f>
        <v>0</v>
      </c>
      <c r="U43" s="29">
        <f>IF(H43="","",ROUND(IF(O43="Per hour",P43*IF(M43="",IF(N43="",1,N43),M43),P43*IF(N43="",1,N43)),2))</f>
        <v>0</v>
      </c>
      <c r="V43" s="29">
        <f>IF(H43="","",ROUND(MAX(0,IF(G43="",1,G43)-1)*Q43,2))</f>
        <v>0</v>
      </c>
      <c r="W43" s="50">
        <f>IF(I43="","",IF(COUNTIF(HolidayDates,I43)&gt;0,"Yes","No"))</f>
        <v>0</v>
      </c>
      <c r="X43" s="50">
        <f>IF(I43="","",IF(WEEKDAY(I43,2)&gt;5,"Yes","No"))</f>
        <v>0</v>
      </c>
      <c r="Y43" s="29">
        <f>IF(H43="","",ROUND((U43+V43)*(IF(W43="Yes",R43,0)+IF(X43="Yes",S43,0)),2))</f>
        <v>0</v>
      </c>
      <c r="AA43" s="29">
        <f>IF(H43="","",IF(T43&lt;&gt;"Yes",0,ROUND(MAX(0,IF(Z43="",0,Z43)-FreeTravelDistance)*TravelFeeRate,2)))</f>
        <v>0</v>
      </c>
      <c r="AB43" s="31">
        <f>IF(I43="","",TravelTimeMins)</f>
        <v>0</v>
      </c>
      <c r="AC43" s="29">
        <f>IF(OR(I43="",B43=""),0,IF(I43-B43&lt;=LastMinuteDays,EmergencyFee,0))</f>
        <v>0</v>
      </c>
      <c r="AF43" s="29">
        <f>IF(H43="","",ROUND((U43+V43+Y43+AA43+AC43)*IF(AE43="",0,AE43),2))</f>
        <v>0</v>
      </c>
      <c r="AI43" s="29">
        <f>IF(H43="","",IF(AG43&lt;&gt;"",AG43,ROUND(U43+V43+Y43+AA43+AC43-AF43,2)))</f>
        <v>0</v>
      </c>
      <c r="AJ43" s="29">
        <f>IF(AI43="","",IF(TaxRegistered&lt;&gt;"Yes",0,IF(PricesIncludeTax="Yes",ROUND(AI43-AI43/(1+TaxRate),2),ROUND(AI43*TaxRate,2))))</f>
        <v>0</v>
      </c>
      <c r="AK43" s="29">
        <f>IF(AI43="","",IF(PricesIncludeTax="Yes",AI43,ROUND(AI43+AJ43,2)))</f>
        <v>0</v>
      </c>
      <c r="AQ43" s="21">
        <f>IF(OR(I43="",AP43="",AP43="None"),"",IF(AP43="Monthly",EDATE(I43,1),I43+IF(AP43="Daily",1,IF(AP43="Weekdays",IF(WEEKDAY(I43,2)&gt;=5,8-WEEKDAY(I43,2),1),IF(AP43="Weekly",7,IF(AP43="Fortnightly",14,0))))))</f>
        <v>0</v>
      </c>
      <c r="AR43" s="49">
        <f>IF(OR(I43="",AL43="",K43="",L43=""),"",IF(SUMPRODUCT((Bookings!$AL$5:$AL$404=AL43)*(Bookings!$I$5:$I$404=I43)*(Bookings!$K$5:$K$404&lt;L43)*(Bookings!$L$5:$L$404&gt;K43)*(Bookings!$AM$5:$AM$404&lt;&gt;"Cancelled"))&gt;1,"Conflict - double booked","OK"))</f>
        <v>0</v>
      </c>
      <c r="AS43" s="50">
        <f>IF(A43="","",IF(COUNTIF('Visit Log'!$B$5:$B$404,A43)&gt;0,"Yes","No"))</f>
        <v>0</v>
      </c>
      <c r="AT43" s="28">
        <f>IF(A43="","",IFERROR(INDEX(Invoices!$A$5:$A$304,MATCH(A43,Invoices!$E$5:$E$304,0)),""))</f>
        <v>0</v>
      </c>
      <c r="AU43" s="49">
        <f>IF(A43="","",IF(AT43="","Not invoiced",IFERROR(INDEX(Invoices!$U$5:$U$304,MATCH(AT43,Invoices!$A$5:$A$304,0)),"")))</f>
        <v>0</v>
      </c>
      <c r="AY43" s="28">
        <f>IF(I43="","",TEXT(I43,"yyyy-mm"))</f>
        <v>0</v>
      </c>
      <c r="AZ43" s="49">
        <f>IF(I43="","",IF(AM43="Cancelled","Cancelled",IF(AND(I43&lt;TODAY(),OR(AM43="Pending",AM43="Confirmed",AM43="Enquiry")),"Overdue - update status",IF(AND(AM43="Completed",AS43="No"),"Action - log the visit",IF(I43=TODAY(),"Today",IF(AND(I43&gt;TODAY(),I43-TODAY()&lt;=ReminderLeadDays,AN43&lt;&gt;"Yes"),"Action - unconfirmed",IF(AND(I43&gt;TODAY(),I43-TODAY()&lt;=ReminderLeadDays),"Upcoming","OK")))))))</f>
        <v>0</v>
      </c>
    </row>
    <row r="44" spans="1:52">
      <c r="A44" s="46">
        <f>IF(C44="","",BookingPrefix&amp;TEXT(ROW()-4,"0000"))</f>
        <v>0</v>
      </c>
      <c r="D44" s="28">
        <f>IF(C44="","",IFERROR(INDEX(Clients!$A$5:$A$254,MATCH(C44,Clients!$B$5:$B$254,0)),""))</f>
        <v>0</v>
      </c>
      <c r="J44" s="50">
        <f>IF(I44="","",TEXT(I44,"ddd"))</f>
        <v>0</v>
      </c>
      <c r="M44" s="51">
        <f>IF(OR(K44="",L44=""),"",ROUND((L44-K44+IF(L44&lt;K44,1,0))*24,2))</f>
        <v>0</v>
      </c>
      <c r="O44" s="28">
        <f>IF(H44="","",IFERROR(INDEX(Services!$E$5:$E$54,MATCH(H44,Services!$B$5:$B$54,0)),""))</f>
        <v>0</v>
      </c>
      <c r="P44" s="29">
        <f>IF(H44="","",IFERROR(INDEX(Services!$G$5:$G$54,MATCH(H44,Services!$B$5:$B$54,0)),0))</f>
        <v>0</v>
      </c>
      <c r="Q44" s="29">
        <f>IF(H44="","",IF(IFERROR(INDEX(Services!$H$5:$H$54,MATCH(H44,Services!$B$5:$B$54,0)),0)=0,ExtraPetFeeDefault,IFERROR(INDEX(Services!$H$5:$H$54,MATCH(H44,Services!$B$5:$B$54,0)),0)))</f>
        <v>0</v>
      </c>
      <c r="R44" s="30">
        <f>IF(H44="","",IF(IFERROR(INDEX(Services!$I$5:$I$54,MATCH(H44,Services!$B$5:$B$54,0)),0)=0,HolidaySurcharge,IFERROR(INDEX(Services!$I$5:$I$54,MATCH(H44,Services!$B$5:$B$54,0)),0)))</f>
        <v>0</v>
      </c>
      <c r="S44" s="30">
        <f>IF(H44="","",IF(IFERROR(INDEX(Services!$J$5:$J$54,MATCH(H44,Services!$B$5:$B$54,0)),0)=0,WeekendSurcharge,IFERROR(INDEX(Services!$J$5:$J$54,MATCH(H44,Services!$B$5:$B$54,0)),0)))</f>
        <v>0</v>
      </c>
      <c r="T44" s="50">
        <f>IF(H44="","",IFERROR(INDEX(Services!$K$5:$K$54,MATCH(H44,Services!$B$5:$B$54,0)),"No"))</f>
        <v>0</v>
      </c>
      <c r="U44" s="29">
        <f>IF(H44="","",ROUND(IF(O44="Per hour",P44*IF(M44="",IF(N44="",1,N44),M44),P44*IF(N44="",1,N44)),2))</f>
        <v>0</v>
      </c>
      <c r="V44" s="29">
        <f>IF(H44="","",ROUND(MAX(0,IF(G44="",1,G44)-1)*Q44,2))</f>
        <v>0</v>
      </c>
      <c r="W44" s="50">
        <f>IF(I44="","",IF(COUNTIF(HolidayDates,I44)&gt;0,"Yes","No"))</f>
        <v>0</v>
      </c>
      <c r="X44" s="50">
        <f>IF(I44="","",IF(WEEKDAY(I44,2)&gt;5,"Yes","No"))</f>
        <v>0</v>
      </c>
      <c r="Y44" s="29">
        <f>IF(H44="","",ROUND((U44+V44)*(IF(W44="Yes",R44,0)+IF(X44="Yes",S44,0)),2))</f>
        <v>0</v>
      </c>
      <c r="AA44" s="29">
        <f>IF(H44="","",IF(T44&lt;&gt;"Yes",0,ROUND(MAX(0,IF(Z44="",0,Z44)-FreeTravelDistance)*TravelFeeRate,2)))</f>
        <v>0</v>
      </c>
      <c r="AB44" s="31">
        <f>IF(I44="","",TravelTimeMins)</f>
        <v>0</v>
      </c>
      <c r="AC44" s="29">
        <f>IF(OR(I44="",B44=""),0,IF(I44-B44&lt;=LastMinuteDays,EmergencyFee,0))</f>
        <v>0</v>
      </c>
      <c r="AF44" s="29">
        <f>IF(H44="","",ROUND((U44+V44+Y44+AA44+AC44)*IF(AE44="",0,AE44),2))</f>
        <v>0</v>
      </c>
      <c r="AI44" s="29">
        <f>IF(H44="","",IF(AG44&lt;&gt;"",AG44,ROUND(U44+V44+Y44+AA44+AC44-AF44,2)))</f>
        <v>0</v>
      </c>
      <c r="AJ44" s="29">
        <f>IF(AI44="","",IF(TaxRegistered&lt;&gt;"Yes",0,IF(PricesIncludeTax="Yes",ROUND(AI44-AI44/(1+TaxRate),2),ROUND(AI44*TaxRate,2))))</f>
        <v>0</v>
      </c>
      <c r="AK44" s="29">
        <f>IF(AI44="","",IF(PricesIncludeTax="Yes",AI44,ROUND(AI44+AJ44,2)))</f>
        <v>0</v>
      </c>
      <c r="AQ44" s="21">
        <f>IF(OR(I44="",AP44="",AP44="None"),"",IF(AP44="Monthly",EDATE(I44,1),I44+IF(AP44="Daily",1,IF(AP44="Weekdays",IF(WEEKDAY(I44,2)&gt;=5,8-WEEKDAY(I44,2),1),IF(AP44="Weekly",7,IF(AP44="Fortnightly",14,0))))))</f>
        <v>0</v>
      </c>
      <c r="AR44" s="49">
        <f>IF(OR(I44="",AL44="",K44="",L44=""),"",IF(SUMPRODUCT((Bookings!$AL$5:$AL$404=AL44)*(Bookings!$I$5:$I$404=I44)*(Bookings!$K$5:$K$404&lt;L44)*(Bookings!$L$5:$L$404&gt;K44)*(Bookings!$AM$5:$AM$404&lt;&gt;"Cancelled"))&gt;1,"Conflict - double booked","OK"))</f>
        <v>0</v>
      </c>
      <c r="AS44" s="50">
        <f>IF(A44="","",IF(COUNTIF('Visit Log'!$B$5:$B$404,A44)&gt;0,"Yes","No"))</f>
        <v>0</v>
      </c>
      <c r="AT44" s="28">
        <f>IF(A44="","",IFERROR(INDEX(Invoices!$A$5:$A$304,MATCH(A44,Invoices!$E$5:$E$304,0)),""))</f>
        <v>0</v>
      </c>
      <c r="AU44" s="49">
        <f>IF(A44="","",IF(AT44="","Not invoiced",IFERROR(INDEX(Invoices!$U$5:$U$304,MATCH(AT44,Invoices!$A$5:$A$304,0)),"")))</f>
        <v>0</v>
      </c>
      <c r="AY44" s="28">
        <f>IF(I44="","",TEXT(I44,"yyyy-mm"))</f>
        <v>0</v>
      </c>
      <c r="AZ44" s="49">
        <f>IF(I44="","",IF(AM44="Cancelled","Cancelled",IF(AND(I44&lt;TODAY(),OR(AM44="Pending",AM44="Confirmed",AM44="Enquiry")),"Overdue - update status",IF(AND(AM44="Completed",AS44="No"),"Action - log the visit",IF(I44=TODAY(),"Today",IF(AND(I44&gt;TODAY(),I44-TODAY()&lt;=ReminderLeadDays,AN44&lt;&gt;"Yes"),"Action - unconfirmed",IF(AND(I44&gt;TODAY(),I44-TODAY()&lt;=ReminderLeadDays),"Upcoming","OK")))))))</f>
        <v>0</v>
      </c>
    </row>
    <row r="45" spans="1:52">
      <c r="A45" s="46">
        <f>IF(C45="","",BookingPrefix&amp;TEXT(ROW()-4,"0000"))</f>
        <v>0</v>
      </c>
      <c r="D45" s="28">
        <f>IF(C45="","",IFERROR(INDEX(Clients!$A$5:$A$254,MATCH(C45,Clients!$B$5:$B$254,0)),""))</f>
        <v>0</v>
      </c>
      <c r="J45" s="50">
        <f>IF(I45="","",TEXT(I45,"ddd"))</f>
        <v>0</v>
      </c>
      <c r="M45" s="51">
        <f>IF(OR(K45="",L45=""),"",ROUND((L45-K45+IF(L45&lt;K45,1,0))*24,2))</f>
        <v>0</v>
      </c>
      <c r="O45" s="28">
        <f>IF(H45="","",IFERROR(INDEX(Services!$E$5:$E$54,MATCH(H45,Services!$B$5:$B$54,0)),""))</f>
        <v>0</v>
      </c>
      <c r="P45" s="29">
        <f>IF(H45="","",IFERROR(INDEX(Services!$G$5:$G$54,MATCH(H45,Services!$B$5:$B$54,0)),0))</f>
        <v>0</v>
      </c>
      <c r="Q45" s="29">
        <f>IF(H45="","",IF(IFERROR(INDEX(Services!$H$5:$H$54,MATCH(H45,Services!$B$5:$B$54,0)),0)=0,ExtraPetFeeDefault,IFERROR(INDEX(Services!$H$5:$H$54,MATCH(H45,Services!$B$5:$B$54,0)),0)))</f>
        <v>0</v>
      </c>
      <c r="R45" s="30">
        <f>IF(H45="","",IF(IFERROR(INDEX(Services!$I$5:$I$54,MATCH(H45,Services!$B$5:$B$54,0)),0)=0,HolidaySurcharge,IFERROR(INDEX(Services!$I$5:$I$54,MATCH(H45,Services!$B$5:$B$54,0)),0)))</f>
        <v>0</v>
      </c>
      <c r="S45" s="30">
        <f>IF(H45="","",IF(IFERROR(INDEX(Services!$J$5:$J$54,MATCH(H45,Services!$B$5:$B$54,0)),0)=0,WeekendSurcharge,IFERROR(INDEX(Services!$J$5:$J$54,MATCH(H45,Services!$B$5:$B$54,0)),0)))</f>
        <v>0</v>
      </c>
      <c r="T45" s="50">
        <f>IF(H45="","",IFERROR(INDEX(Services!$K$5:$K$54,MATCH(H45,Services!$B$5:$B$54,0)),"No"))</f>
        <v>0</v>
      </c>
      <c r="U45" s="29">
        <f>IF(H45="","",ROUND(IF(O45="Per hour",P45*IF(M45="",IF(N45="",1,N45),M45),P45*IF(N45="",1,N45)),2))</f>
        <v>0</v>
      </c>
      <c r="V45" s="29">
        <f>IF(H45="","",ROUND(MAX(0,IF(G45="",1,G45)-1)*Q45,2))</f>
        <v>0</v>
      </c>
      <c r="W45" s="50">
        <f>IF(I45="","",IF(COUNTIF(HolidayDates,I45)&gt;0,"Yes","No"))</f>
        <v>0</v>
      </c>
      <c r="X45" s="50">
        <f>IF(I45="","",IF(WEEKDAY(I45,2)&gt;5,"Yes","No"))</f>
        <v>0</v>
      </c>
      <c r="Y45" s="29">
        <f>IF(H45="","",ROUND((U45+V45)*(IF(W45="Yes",R45,0)+IF(X45="Yes",S45,0)),2))</f>
        <v>0</v>
      </c>
      <c r="AA45" s="29">
        <f>IF(H45="","",IF(T45&lt;&gt;"Yes",0,ROUND(MAX(0,IF(Z45="",0,Z45)-FreeTravelDistance)*TravelFeeRate,2)))</f>
        <v>0</v>
      </c>
      <c r="AB45" s="31">
        <f>IF(I45="","",TravelTimeMins)</f>
        <v>0</v>
      </c>
      <c r="AC45" s="29">
        <f>IF(OR(I45="",B45=""),0,IF(I45-B45&lt;=LastMinuteDays,EmergencyFee,0))</f>
        <v>0</v>
      </c>
      <c r="AF45" s="29">
        <f>IF(H45="","",ROUND((U45+V45+Y45+AA45+AC45)*IF(AE45="",0,AE45),2))</f>
        <v>0</v>
      </c>
      <c r="AI45" s="29">
        <f>IF(H45="","",IF(AG45&lt;&gt;"",AG45,ROUND(U45+V45+Y45+AA45+AC45-AF45,2)))</f>
        <v>0</v>
      </c>
      <c r="AJ45" s="29">
        <f>IF(AI45="","",IF(TaxRegistered&lt;&gt;"Yes",0,IF(PricesIncludeTax="Yes",ROUND(AI45-AI45/(1+TaxRate),2),ROUND(AI45*TaxRate,2))))</f>
        <v>0</v>
      </c>
      <c r="AK45" s="29">
        <f>IF(AI45="","",IF(PricesIncludeTax="Yes",AI45,ROUND(AI45+AJ45,2)))</f>
        <v>0</v>
      </c>
      <c r="AQ45" s="21">
        <f>IF(OR(I45="",AP45="",AP45="None"),"",IF(AP45="Monthly",EDATE(I45,1),I45+IF(AP45="Daily",1,IF(AP45="Weekdays",IF(WEEKDAY(I45,2)&gt;=5,8-WEEKDAY(I45,2),1),IF(AP45="Weekly",7,IF(AP45="Fortnightly",14,0))))))</f>
        <v>0</v>
      </c>
      <c r="AR45" s="49">
        <f>IF(OR(I45="",AL45="",K45="",L45=""),"",IF(SUMPRODUCT((Bookings!$AL$5:$AL$404=AL45)*(Bookings!$I$5:$I$404=I45)*(Bookings!$K$5:$K$404&lt;L45)*(Bookings!$L$5:$L$404&gt;K45)*(Bookings!$AM$5:$AM$404&lt;&gt;"Cancelled"))&gt;1,"Conflict - double booked","OK"))</f>
        <v>0</v>
      </c>
      <c r="AS45" s="50">
        <f>IF(A45="","",IF(COUNTIF('Visit Log'!$B$5:$B$404,A45)&gt;0,"Yes","No"))</f>
        <v>0</v>
      </c>
      <c r="AT45" s="28">
        <f>IF(A45="","",IFERROR(INDEX(Invoices!$A$5:$A$304,MATCH(A45,Invoices!$E$5:$E$304,0)),""))</f>
        <v>0</v>
      </c>
      <c r="AU45" s="49">
        <f>IF(A45="","",IF(AT45="","Not invoiced",IFERROR(INDEX(Invoices!$U$5:$U$304,MATCH(AT45,Invoices!$A$5:$A$304,0)),"")))</f>
        <v>0</v>
      </c>
      <c r="AY45" s="28">
        <f>IF(I45="","",TEXT(I45,"yyyy-mm"))</f>
        <v>0</v>
      </c>
      <c r="AZ45" s="49">
        <f>IF(I45="","",IF(AM45="Cancelled","Cancelled",IF(AND(I45&lt;TODAY(),OR(AM45="Pending",AM45="Confirmed",AM45="Enquiry")),"Overdue - update status",IF(AND(AM45="Completed",AS45="No"),"Action - log the visit",IF(I45=TODAY(),"Today",IF(AND(I45&gt;TODAY(),I45-TODAY()&lt;=ReminderLeadDays,AN45&lt;&gt;"Yes"),"Action - unconfirmed",IF(AND(I45&gt;TODAY(),I45-TODAY()&lt;=ReminderLeadDays),"Upcoming","OK")))))))</f>
        <v>0</v>
      </c>
    </row>
    <row r="46" spans="1:52">
      <c r="A46" s="46">
        <f>IF(C46="","",BookingPrefix&amp;TEXT(ROW()-4,"0000"))</f>
        <v>0</v>
      </c>
      <c r="D46" s="28">
        <f>IF(C46="","",IFERROR(INDEX(Clients!$A$5:$A$254,MATCH(C46,Clients!$B$5:$B$254,0)),""))</f>
        <v>0</v>
      </c>
      <c r="J46" s="50">
        <f>IF(I46="","",TEXT(I46,"ddd"))</f>
        <v>0</v>
      </c>
      <c r="M46" s="51">
        <f>IF(OR(K46="",L46=""),"",ROUND((L46-K46+IF(L46&lt;K46,1,0))*24,2))</f>
        <v>0</v>
      </c>
      <c r="O46" s="28">
        <f>IF(H46="","",IFERROR(INDEX(Services!$E$5:$E$54,MATCH(H46,Services!$B$5:$B$54,0)),""))</f>
        <v>0</v>
      </c>
      <c r="P46" s="29">
        <f>IF(H46="","",IFERROR(INDEX(Services!$G$5:$G$54,MATCH(H46,Services!$B$5:$B$54,0)),0))</f>
        <v>0</v>
      </c>
      <c r="Q46" s="29">
        <f>IF(H46="","",IF(IFERROR(INDEX(Services!$H$5:$H$54,MATCH(H46,Services!$B$5:$B$54,0)),0)=0,ExtraPetFeeDefault,IFERROR(INDEX(Services!$H$5:$H$54,MATCH(H46,Services!$B$5:$B$54,0)),0)))</f>
        <v>0</v>
      </c>
      <c r="R46" s="30">
        <f>IF(H46="","",IF(IFERROR(INDEX(Services!$I$5:$I$54,MATCH(H46,Services!$B$5:$B$54,0)),0)=0,HolidaySurcharge,IFERROR(INDEX(Services!$I$5:$I$54,MATCH(H46,Services!$B$5:$B$54,0)),0)))</f>
        <v>0</v>
      </c>
      <c r="S46" s="30">
        <f>IF(H46="","",IF(IFERROR(INDEX(Services!$J$5:$J$54,MATCH(H46,Services!$B$5:$B$54,0)),0)=0,WeekendSurcharge,IFERROR(INDEX(Services!$J$5:$J$54,MATCH(H46,Services!$B$5:$B$54,0)),0)))</f>
        <v>0</v>
      </c>
      <c r="T46" s="50">
        <f>IF(H46="","",IFERROR(INDEX(Services!$K$5:$K$54,MATCH(H46,Services!$B$5:$B$54,0)),"No"))</f>
        <v>0</v>
      </c>
      <c r="U46" s="29">
        <f>IF(H46="","",ROUND(IF(O46="Per hour",P46*IF(M46="",IF(N46="",1,N46),M46),P46*IF(N46="",1,N46)),2))</f>
        <v>0</v>
      </c>
      <c r="V46" s="29">
        <f>IF(H46="","",ROUND(MAX(0,IF(G46="",1,G46)-1)*Q46,2))</f>
        <v>0</v>
      </c>
      <c r="W46" s="50">
        <f>IF(I46="","",IF(COUNTIF(HolidayDates,I46)&gt;0,"Yes","No"))</f>
        <v>0</v>
      </c>
      <c r="X46" s="50">
        <f>IF(I46="","",IF(WEEKDAY(I46,2)&gt;5,"Yes","No"))</f>
        <v>0</v>
      </c>
      <c r="Y46" s="29">
        <f>IF(H46="","",ROUND((U46+V46)*(IF(W46="Yes",R46,0)+IF(X46="Yes",S46,0)),2))</f>
        <v>0</v>
      </c>
      <c r="AA46" s="29">
        <f>IF(H46="","",IF(T46&lt;&gt;"Yes",0,ROUND(MAX(0,IF(Z46="",0,Z46)-FreeTravelDistance)*TravelFeeRate,2)))</f>
        <v>0</v>
      </c>
      <c r="AB46" s="31">
        <f>IF(I46="","",TravelTimeMins)</f>
        <v>0</v>
      </c>
      <c r="AC46" s="29">
        <f>IF(OR(I46="",B46=""),0,IF(I46-B46&lt;=LastMinuteDays,EmergencyFee,0))</f>
        <v>0</v>
      </c>
      <c r="AF46" s="29">
        <f>IF(H46="","",ROUND((U46+V46+Y46+AA46+AC46)*IF(AE46="",0,AE46),2))</f>
        <v>0</v>
      </c>
      <c r="AI46" s="29">
        <f>IF(H46="","",IF(AG46&lt;&gt;"",AG46,ROUND(U46+V46+Y46+AA46+AC46-AF46,2)))</f>
        <v>0</v>
      </c>
      <c r="AJ46" s="29">
        <f>IF(AI46="","",IF(TaxRegistered&lt;&gt;"Yes",0,IF(PricesIncludeTax="Yes",ROUND(AI46-AI46/(1+TaxRate),2),ROUND(AI46*TaxRate,2))))</f>
        <v>0</v>
      </c>
      <c r="AK46" s="29">
        <f>IF(AI46="","",IF(PricesIncludeTax="Yes",AI46,ROUND(AI46+AJ46,2)))</f>
        <v>0</v>
      </c>
      <c r="AQ46" s="21">
        <f>IF(OR(I46="",AP46="",AP46="None"),"",IF(AP46="Monthly",EDATE(I46,1),I46+IF(AP46="Daily",1,IF(AP46="Weekdays",IF(WEEKDAY(I46,2)&gt;=5,8-WEEKDAY(I46,2),1),IF(AP46="Weekly",7,IF(AP46="Fortnightly",14,0))))))</f>
        <v>0</v>
      </c>
      <c r="AR46" s="49">
        <f>IF(OR(I46="",AL46="",K46="",L46=""),"",IF(SUMPRODUCT((Bookings!$AL$5:$AL$404=AL46)*(Bookings!$I$5:$I$404=I46)*(Bookings!$K$5:$K$404&lt;L46)*(Bookings!$L$5:$L$404&gt;K46)*(Bookings!$AM$5:$AM$404&lt;&gt;"Cancelled"))&gt;1,"Conflict - double booked","OK"))</f>
        <v>0</v>
      </c>
      <c r="AS46" s="50">
        <f>IF(A46="","",IF(COUNTIF('Visit Log'!$B$5:$B$404,A46)&gt;0,"Yes","No"))</f>
        <v>0</v>
      </c>
      <c r="AT46" s="28">
        <f>IF(A46="","",IFERROR(INDEX(Invoices!$A$5:$A$304,MATCH(A46,Invoices!$E$5:$E$304,0)),""))</f>
        <v>0</v>
      </c>
      <c r="AU46" s="49">
        <f>IF(A46="","",IF(AT46="","Not invoiced",IFERROR(INDEX(Invoices!$U$5:$U$304,MATCH(AT46,Invoices!$A$5:$A$304,0)),"")))</f>
        <v>0</v>
      </c>
      <c r="AY46" s="28">
        <f>IF(I46="","",TEXT(I46,"yyyy-mm"))</f>
        <v>0</v>
      </c>
      <c r="AZ46" s="49">
        <f>IF(I46="","",IF(AM46="Cancelled","Cancelled",IF(AND(I46&lt;TODAY(),OR(AM46="Pending",AM46="Confirmed",AM46="Enquiry")),"Overdue - update status",IF(AND(AM46="Completed",AS46="No"),"Action - log the visit",IF(I46=TODAY(),"Today",IF(AND(I46&gt;TODAY(),I46-TODAY()&lt;=ReminderLeadDays,AN46&lt;&gt;"Yes"),"Action - unconfirmed",IF(AND(I46&gt;TODAY(),I46-TODAY()&lt;=ReminderLeadDays),"Upcoming","OK")))))))</f>
        <v>0</v>
      </c>
    </row>
    <row r="47" spans="1:52">
      <c r="A47" s="46">
        <f>IF(C47="","",BookingPrefix&amp;TEXT(ROW()-4,"0000"))</f>
        <v>0</v>
      </c>
      <c r="D47" s="28">
        <f>IF(C47="","",IFERROR(INDEX(Clients!$A$5:$A$254,MATCH(C47,Clients!$B$5:$B$254,0)),""))</f>
        <v>0</v>
      </c>
      <c r="J47" s="50">
        <f>IF(I47="","",TEXT(I47,"ddd"))</f>
        <v>0</v>
      </c>
      <c r="M47" s="51">
        <f>IF(OR(K47="",L47=""),"",ROUND((L47-K47+IF(L47&lt;K47,1,0))*24,2))</f>
        <v>0</v>
      </c>
      <c r="O47" s="28">
        <f>IF(H47="","",IFERROR(INDEX(Services!$E$5:$E$54,MATCH(H47,Services!$B$5:$B$54,0)),""))</f>
        <v>0</v>
      </c>
      <c r="P47" s="29">
        <f>IF(H47="","",IFERROR(INDEX(Services!$G$5:$G$54,MATCH(H47,Services!$B$5:$B$54,0)),0))</f>
        <v>0</v>
      </c>
      <c r="Q47" s="29">
        <f>IF(H47="","",IF(IFERROR(INDEX(Services!$H$5:$H$54,MATCH(H47,Services!$B$5:$B$54,0)),0)=0,ExtraPetFeeDefault,IFERROR(INDEX(Services!$H$5:$H$54,MATCH(H47,Services!$B$5:$B$54,0)),0)))</f>
        <v>0</v>
      </c>
      <c r="R47" s="30">
        <f>IF(H47="","",IF(IFERROR(INDEX(Services!$I$5:$I$54,MATCH(H47,Services!$B$5:$B$54,0)),0)=0,HolidaySurcharge,IFERROR(INDEX(Services!$I$5:$I$54,MATCH(H47,Services!$B$5:$B$54,0)),0)))</f>
        <v>0</v>
      </c>
      <c r="S47" s="30">
        <f>IF(H47="","",IF(IFERROR(INDEX(Services!$J$5:$J$54,MATCH(H47,Services!$B$5:$B$54,0)),0)=0,WeekendSurcharge,IFERROR(INDEX(Services!$J$5:$J$54,MATCH(H47,Services!$B$5:$B$54,0)),0)))</f>
        <v>0</v>
      </c>
      <c r="T47" s="50">
        <f>IF(H47="","",IFERROR(INDEX(Services!$K$5:$K$54,MATCH(H47,Services!$B$5:$B$54,0)),"No"))</f>
        <v>0</v>
      </c>
      <c r="U47" s="29">
        <f>IF(H47="","",ROUND(IF(O47="Per hour",P47*IF(M47="",IF(N47="",1,N47),M47),P47*IF(N47="",1,N47)),2))</f>
        <v>0</v>
      </c>
      <c r="V47" s="29">
        <f>IF(H47="","",ROUND(MAX(0,IF(G47="",1,G47)-1)*Q47,2))</f>
        <v>0</v>
      </c>
      <c r="W47" s="50">
        <f>IF(I47="","",IF(COUNTIF(HolidayDates,I47)&gt;0,"Yes","No"))</f>
        <v>0</v>
      </c>
      <c r="X47" s="50">
        <f>IF(I47="","",IF(WEEKDAY(I47,2)&gt;5,"Yes","No"))</f>
        <v>0</v>
      </c>
      <c r="Y47" s="29">
        <f>IF(H47="","",ROUND((U47+V47)*(IF(W47="Yes",R47,0)+IF(X47="Yes",S47,0)),2))</f>
        <v>0</v>
      </c>
      <c r="AA47" s="29">
        <f>IF(H47="","",IF(T47&lt;&gt;"Yes",0,ROUND(MAX(0,IF(Z47="",0,Z47)-FreeTravelDistance)*TravelFeeRate,2)))</f>
        <v>0</v>
      </c>
      <c r="AB47" s="31">
        <f>IF(I47="","",TravelTimeMins)</f>
        <v>0</v>
      </c>
      <c r="AC47" s="29">
        <f>IF(OR(I47="",B47=""),0,IF(I47-B47&lt;=LastMinuteDays,EmergencyFee,0))</f>
        <v>0</v>
      </c>
      <c r="AF47" s="29">
        <f>IF(H47="","",ROUND((U47+V47+Y47+AA47+AC47)*IF(AE47="",0,AE47),2))</f>
        <v>0</v>
      </c>
      <c r="AI47" s="29">
        <f>IF(H47="","",IF(AG47&lt;&gt;"",AG47,ROUND(U47+V47+Y47+AA47+AC47-AF47,2)))</f>
        <v>0</v>
      </c>
      <c r="AJ47" s="29">
        <f>IF(AI47="","",IF(TaxRegistered&lt;&gt;"Yes",0,IF(PricesIncludeTax="Yes",ROUND(AI47-AI47/(1+TaxRate),2),ROUND(AI47*TaxRate,2))))</f>
        <v>0</v>
      </c>
      <c r="AK47" s="29">
        <f>IF(AI47="","",IF(PricesIncludeTax="Yes",AI47,ROUND(AI47+AJ47,2)))</f>
        <v>0</v>
      </c>
      <c r="AQ47" s="21">
        <f>IF(OR(I47="",AP47="",AP47="None"),"",IF(AP47="Monthly",EDATE(I47,1),I47+IF(AP47="Daily",1,IF(AP47="Weekdays",IF(WEEKDAY(I47,2)&gt;=5,8-WEEKDAY(I47,2),1),IF(AP47="Weekly",7,IF(AP47="Fortnightly",14,0))))))</f>
        <v>0</v>
      </c>
      <c r="AR47" s="49">
        <f>IF(OR(I47="",AL47="",K47="",L47=""),"",IF(SUMPRODUCT((Bookings!$AL$5:$AL$404=AL47)*(Bookings!$I$5:$I$404=I47)*(Bookings!$K$5:$K$404&lt;L47)*(Bookings!$L$5:$L$404&gt;K47)*(Bookings!$AM$5:$AM$404&lt;&gt;"Cancelled"))&gt;1,"Conflict - double booked","OK"))</f>
        <v>0</v>
      </c>
      <c r="AS47" s="50">
        <f>IF(A47="","",IF(COUNTIF('Visit Log'!$B$5:$B$404,A47)&gt;0,"Yes","No"))</f>
        <v>0</v>
      </c>
      <c r="AT47" s="28">
        <f>IF(A47="","",IFERROR(INDEX(Invoices!$A$5:$A$304,MATCH(A47,Invoices!$E$5:$E$304,0)),""))</f>
        <v>0</v>
      </c>
      <c r="AU47" s="49">
        <f>IF(A47="","",IF(AT47="","Not invoiced",IFERROR(INDEX(Invoices!$U$5:$U$304,MATCH(AT47,Invoices!$A$5:$A$304,0)),"")))</f>
        <v>0</v>
      </c>
      <c r="AY47" s="28">
        <f>IF(I47="","",TEXT(I47,"yyyy-mm"))</f>
        <v>0</v>
      </c>
      <c r="AZ47" s="49">
        <f>IF(I47="","",IF(AM47="Cancelled","Cancelled",IF(AND(I47&lt;TODAY(),OR(AM47="Pending",AM47="Confirmed",AM47="Enquiry")),"Overdue - update status",IF(AND(AM47="Completed",AS47="No"),"Action - log the visit",IF(I47=TODAY(),"Today",IF(AND(I47&gt;TODAY(),I47-TODAY()&lt;=ReminderLeadDays,AN47&lt;&gt;"Yes"),"Action - unconfirmed",IF(AND(I47&gt;TODAY(),I47-TODAY()&lt;=ReminderLeadDays),"Upcoming","OK")))))))</f>
        <v>0</v>
      </c>
    </row>
    <row r="48" spans="1:52">
      <c r="A48" s="46">
        <f>IF(C48="","",BookingPrefix&amp;TEXT(ROW()-4,"0000"))</f>
        <v>0</v>
      </c>
      <c r="D48" s="28">
        <f>IF(C48="","",IFERROR(INDEX(Clients!$A$5:$A$254,MATCH(C48,Clients!$B$5:$B$254,0)),""))</f>
        <v>0</v>
      </c>
      <c r="J48" s="50">
        <f>IF(I48="","",TEXT(I48,"ddd"))</f>
        <v>0</v>
      </c>
      <c r="M48" s="51">
        <f>IF(OR(K48="",L48=""),"",ROUND((L48-K48+IF(L48&lt;K48,1,0))*24,2))</f>
        <v>0</v>
      </c>
      <c r="O48" s="28">
        <f>IF(H48="","",IFERROR(INDEX(Services!$E$5:$E$54,MATCH(H48,Services!$B$5:$B$54,0)),""))</f>
        <v>0</v>
      </c>
      <c r="P48" s="29">
        <f>IF(H48="","",IFERROR(INDEX(Services!$G$5:$G$54,MATCH(H48,Services!$B$5:$B$54,0)),0))</f>
        <v>0</v>
      </c>
      <c r="Q48" s="29">
        <f>IF(H48="","",IF(IFERROR(INDEX(Services!$H$5:$H$54,MATCH(H48,Services!$B$5:$B$54,0)),0)=0,ExtraPetFeeDefault,IFERROR(INDEX(Services!$H$5:$H$54,MATCH(H48,Services!$B$5:$B$54,0)),0)))</f>
        <v>0</v>
      </c>
      <c r="R48" s="30">
        <f>IF(H48="","",IF(IFERROR(INDEX(Services!$I$5:$I$54,MATCH(H48,Services!$B$5:$B$54,0)),0)=0,HolidaySurcharge,IFERROR(INDEX(Services!$I$5:$I$54,MATCH(H48,Services!$B$5:$B$54,0)),0)))</f>
        <v>0</v>
      </c>
      <c r="S48" s="30">
        <f>IF(H48="","",IF(IFERROR(INDEX(Services!$J$5:$J$54,MATCH(H48,Services!$B$5:$B$54,0)),0)=0,WeekendSurcharge,IFERROR(INDEX(Services!$J$5:$J$54,MATCH(H48,Services!$B$5:$B$54,0)),0)))</f>
        <v>0</v>
      </c>
      <c r="T48" s="50">
        <f>IF(H48="","",IFERROR(INDEX(Services!$K$5:$K$54,MATCH(H48,Services!$B$5:$B$54,0)),"No"))</f>
        <v>0</v>
      </c>
      <c r="U48" s="29">
        <f>IF(H48="","",ROUND(IF(O48="Per hour",P48*IF(M48="",IF(N48="",1,N48),M48),P48*IF(N48="",1,N48)),2))</f>
        <v>0</v>
      </c>
      <c r="V48" s="29">
        <f>IF(H48="","",ROUND(MAX(0,IF(G48="",1,G48)-1)*Q48,2))</f>
        <v>0</v>
      </c>
      <c r="W48" s="50">
        <f>IF(I48="","",IF(COUNTIF(HolidayDates,I48)&gt;0,"Yes","No"))</f>
        <v>0</v>
      </c>
      <c r="X48" s="50">
        <f>IF(I48="","",IF(WEEKDAY(I48,2)&gt;5,"Yes","No"))</f>
        <v>0</v>
      </c>
      <c r="Y48" s="29">
        <f>IF(H48="","",ROUND((U48+V48)*(IF(W48="Yes",R48,0)+IF(X48="Yes",S48,0)),2))</f>
        <v>0</v>
      </c>
      <c r="AA48" s="29">
        <f>IF(H48="","",IF(T48&lt;&gt;"Yes",0,ROUND(MAX(0,IF(Z48="",0,Z48)-FreeTravelDistance)*TravelFeeRate,2)))</f>
        <v>0</v>
      </c>
      <c r="AB48" s="31">
        <f>IF(I48="","",TravelTimeMins)</f>
        <v>0</v>
      </c>
      <c r="AC48" s="29">
        <f>IF(OR(I48="",B48=""),0,IF(I48-B48&lt;=LastMinuteDays,EmergencyFee,0))</f>
        <v>0</v>
      </c>
      <c r="AF48" s="29">
        <f>IF(H48="","",ROUND((U48+V48+Y48+AA48+AC48)*IF(AE48="",0,AE48),2))</f>
        <v>0</v>
      </c>
      <c r="AI48" s="29">
        <f>IF(H48="","",IF(AG48&lt;&gt;"",AG48,ROUND(U48+V48+Y48+AA48+AC48-AF48,2)))</f>
        <v>0</v>
      </c>
      <c r="AJ48" s="29">
        <f>IF(AI48="","",IF(TaxRegistered&lt;&gt;"Yes",0,IF(PricesIncludeTax="Yes",ROUND(AI48-AI48/(1+TaxRate),2),ROUND(AI48*TaxRate,2))))</f>
        <v>0</v>
      </c>
      <c r="AK48" s="29">
        <f>IF(AI48="","",IF(PricesIncludeTax="Yes",AI48,ROUND(AI48+AJ48,2)))</f>
        <v>0</v>
      </c>
      <c r="AQ48" s="21">
        <f>IF(OR(I48="",AP48="",AP48="None"),"",IF(AP48="Monthly",EDATE(I48,1),I48+IF(AP48="Daily",1,IF(AP48="Weekdays",IF(WEEKDAY(I48,2)&gt;=5,8-WEEKDAY(I48,2),1),IF(AP48="Weekly",7,IF(AP48="Fortnightly",14,0))))))</f>
        <v>0</v>
      </c>
      <c r="AR48" s="49">
        <f>IF(OR(I48="",AL48="",K48="",L48=""),"",IF(SUMPRODUCT((Bookings!$AL$5:$AL$404=AL48)*(Bookings!$I$5:$I$404=I48)*(Bookings!$K$5:$K$404&lt;L48)*(Bookings!$L$5:$L$404&gt;K48)*(Bookings!$AM$5:$AM$404&lt;&gt;"Cancelled"))&gt;1,"Conflict - double booked","OK"))</f>
        <v>0</v>
      </c>
      <c r="AS48" s="50">
        <f>IF(A48="","",IF(COUNTIF('Visit Log'!$B$5:$B$404,A48)&gt;0,"Yes","No"))</f>
        <v>0</v>
      </c>
      <c r="AT48" s="28">
        <f>IF(A48="","",IFERROR(INDEX(Invoices!$A$5:$A$304,MATCH(A48,Invoices!$E$5:$E$304,0)),""))</f>
        <v>0</v>
      </c>
      <c r="AU48" s="49">
        <f>IF(A48="","",IF(AT48="","Not invoiced",IFERROR(INDEX(Invoices!$U$5:$U$304,MATCH(AT48,Invoices!$A$5:$A$304,0)),"")))</f>
        <v>0</v>
      </c>
      <c r="AY48" s="28">
        <f>IF(I48="","",TEXT(I48,"yyyy-mm"))</f>
        <v>0</v>
      </c>
      <c r="AZ48" s="49">
        <f>IF(I48="","",IF(AM48="Cancelled","Cancelled",IF(AND(I48&lt;TODAY(),OR(AM48="Pending",AM48="Confirmed",AM48="Enquiry")),"Overdue - update status",IF(AND(AM48="Completed",AS48="No"),"Action - log the visit",IF(I48=TODAY(),"Today",IF(AND(I48&gt;TODAY(),I48-TODAY()&lt;=ReminderLeadDays,AN48&lt;&gt;"Yes"),"Action - unconfirmed",IF(AND(I48&gt;TODAY(),I48-TODAY()&lt;=ReminderLeadDays),"Upcoming","OK")))))))</f>
        <v>0</v>
      </c>
    </row>
    <row r="49" spans="1:52">
      <c r="A49" s="46">
        <f>IF(C49="","",BookingPrefix&amp;TEXT(ROW()-4,"0000"))</f>
        <v>0</v>
      </c>
      <c r="D49" s="28">
        <f>IF(C49="","",IFERROR(INDEX(Clients!$A$5:$A$254,MATCH(C49,Clients!$B$5:$B$254,0)),""))</f>
        <v>0</v>
      </c>
      <c r="J49" s="50">
        <f>IF(I49="","",TEXT(I49,"ddd"))</f>
        <v>0</v>
      </c>
      <c r="M49" s="51">
        <f>IF(OR(K49="",L49=""),"",ROUND((L49-K49+IF(L49&lt;K49,1,0))*24,2))</f>
        <v>0</v>
      </c>
      <c r="O49" s="28">
        <f>IF(H49="","",IFERROR(INDEX(Services!$E$5:$E$54,MATCH(H49,Services!$B$5:$B$54,0)),""))</f>
        <v>0</v>
      </c>
      <c r="P49" s="29">
        <f>IF(H49="","",IFERROR(INDEX(Services!$G$5:$G$54,MATCH(H49,Services!$B$5:$B$54,0)),0))</f>
        <v>0</v>
      </c>
      <c r="Q49" s="29">
        <f>IF(H49="","",IF(IFERROR(INDEX(Services!$H$5:$H$54,MATCH(H49,Services!$B$5:$B$54,0)),0)=0,ExtraPetFeeDefault,IFERROR(INDEX(Services!$H$5:$H$54,MATCH(H49,Services!$B$5:$B$54,0)),0)))</f>
        <v>0</v>
      </c>
      <c r="R49" s="30">
        <f>IF(H49="","",IF(IFERROR(INDEX(Services!$I$5:$I$54,MATCH(H49,Services!$B$5:$B$54,0)),0)=0,HolidaySurcharge,IFERROR(INDEX(Services!$I$5:$I$54,MATCH(H49,Services!$B$5:$B$54,0)),0)))</f>
        <v>0</v>
      </c>
      <c r="S49" s="30">
        <f>IF(H49="","",IF(IFERROR(INDEX(Services!$J$5:$J$54,MATCH(H49,Services!$B$5:$B$54,0)),0)=0,WeekendSurcharge,IFERROR(INDEX(Services!$J$5:$J$54,MATCH(H49,Services!$B$5:$B$54,0)),0)))</f>
        <v>0</v>
      </c>
      <c r="T49" s="50">
        <f>IF(H49="","",IFERROR(INDEX(Services!$K$5:$K$54,MATCH(H49,Services!$B$5:$B$54,0)),"No"))</f>
        <v>0</v>
      </c>
      <c r="U49" s="29">
        <f>IF(H49="","",ROUND(IF(O49="Per hour",P49*IF(M49="",IF(N49="",1,N49),M49),P49*IF(N49="",1,N49)),2))</f>
        <v>0</v>
      </c>
      <c r="V49" s="29">
        <f>IF(H49="","",ROUND(MAX(0,IF(G49="",1,G49)-1)*Q49,2))</f>
        <v>0</v>
      </c>
      <c r="W49" s="50">
        <f>IF(I49="","",IF(COUNTIF(HolidayDates,I49)&gt;0,"Yes","No"))</f>
        <v>0</v>
      </c>
      <c r="X49" s="50">
        <f>IF(I49="","",IF(WEEKDAY(I49,2)&gt;5,"Yes","No"))</f>
        <v>0</v>
      </c>
      <c r="Y49" s="29">
        <f>IF(H49="","",ROUND((U49+V49)*(IF(W49="Yes",R49,0)+IF(X49="Yes",S49,0)),2))</f>
        <v>0</v>
      </c>
      <c r="AA49" s="29">
        <f>IF(H49="","",IF(T49&lt;&gt;"Yes",0,ROUND(MAX(0,IF(Z49="",0,Z49)-FreeTravelDistance)*TravelFeeRate,2)))</f>
        <v>0</v>
      </c>
      <c r="AB49" s="31">
        <f>IF(I49="","",TravelTimeMins)</f>
        <v>0</v>
      </c>
      <c r="AC49" s="29">
        <f>IF(OR(I49="",B49=""),0,IF(I49-B49&lt;=LastMinuteDays,EmergencyFee,0))</f>
        <v>0</v>
      </c>
      <c r="AF49" s="29">
        <f>IF(H49="","",ROUND((U49+V49+Y49+AA49+AC49)*IF(AE49="",0,AE49),2))</f>
        <v>0</v>
      </c>
      <c r="AI49" s="29">
        <f>IF(H49="","",IF(AG49&lt;&gt;"",AG49,ROUND(U49+V49+Y49+AA49+AC49-AF49,2)))</f>
        <v>0</v>
      </c>
      <c r="AJ49" s="29">
        <f>IF(AI49="","",IF(TaxRegistered&lt;&gt;"Yes",0,IF(PricesIncludeTax="Yes",ROUND(AI49-AI49/(1+TaxRate),2),ROUND(AI49*TaxRate,2))))</f>
        <v>0</v>
      </c>
      <c r="AK49" s="29">
        <f>IF(AI49="","",IF(PricesIncludeTax="Yes",AI49,ROUND(AI49+AJ49,2)))</f>
        <v>0</v>
      </c>
      <c r="AQ49" s="21">
        <f>IF(OR(I49="",AP49="",AP49="None"),"",IF(AP49="Monthly",EDATE(I49,1),I49+IF(AP49="Daily",1,IF(AP49="Weekdays",IF(WEEKDAY(I49,2)&gt;=5,8-WEEKDAY(I49,2),1),IF(AP49="Weekly",7,IF(AP49="Fortnightly",14,0))))))</f>
        <v>0</v>
      </c>
      <c r="AR49" s="49">
        <f>IF(OR(I49="",AL49="",K49="",L49=""),"",IF(SUMPRODUCT((Bookings!$AL$5:$AL$404=AL49)*(Bookings!$I$5:$I$404=I49)*(Bookings!$K$5:$K$404&lt;L49)*(Bookings!$L$5:$L$404&gt;K49)*(Bookings!$AM$5:$AM$404&lt;&gt;"Cancelled"))&gt;1,"Conflict - double booked","OK"))</f>
        <v>0</v>
      </c>
      <c r="AS49" s="50">
        <f>IF(A49="","",IF(COUNTIF('Visit Log'!$B$5:$B$404,A49)&gt;0,"Yes","No"))</f>
        <v>0</v>
      </c>
      <c r="AT49" s="28">
        <f>IF(A49="","",IFERROR(INDEX(Invoices!$A$5:$A$304,MATCH(A49,Invoices!$E$5:$E$304,0)),""))</f>
        <v>0</v>
      </c>
      <c r="AU49" s="49">
        <f>IF(A49="","",IF(AT49="","Not invoiced",IFERROR(INDEX(Invoices!$U$5:$U$304,MATCH(AT49,Invoices!$A$5:$A$304,0)),"")))</f>
        <v>0</v>
      </c>
      <c r="AY49" s="28">
        <f>IF(I49="","",TEXT(I49,"yyyy-mm"))</f>
        <v>0</v>
      </c>
      <c r="AZ49" s="49">
        <f>IF(I49="","",IF(AM49="Cancelled","Cancelled",IF(AND(I49&lt;TODAY(),OR(AM49="Pending",AM49="Confirmed",AM49="Enquiry")),"Overdue - update status",IF(AND(AM49="Completed",AS49="No"),"Action - log the visit",IF(I49=TODAY(),"Today",IF(AND(I49&gt;TODAY(),I49-TODAY()&lt;=ReminderLeadDays,AN49&lt;&gt;"Yes"),"Action - unconfirmed",IF(AND(I49&gt;TODAY(),I49-TODAY()&lt;=ReminderLeadDays),"Upcoming","OK")))))))</f>
        <v>0</v>
      </c>
    </row>
    <row r="50" spans="1:52">
      <c r="A50" s="46">
        <f>IF(C50="","",BookingPrefix&amp;TEXT(ROW()-4,"0000"))</f>
        <v>0</v>
      </c>
      <c r="D50" s="28">
        <f>IF(C50="","",IFERROR(INDEX(Clients!$A$5:$A$254,MATCH(C50,Clients!$B$5:$B$254,0)),""))</f>
        <v>0</v>
      </c>
      <c r="J50" s="50">
        <f>IF(I50="","",TEXT(I50,"ddd"))</f>
        <v>0</v>
      </c>
      <c r="M50" s="51">
        <f>IF(OR(K50="",L50=""),"",ROUND((L50-K50+IF(L50&lt;K50,1,0))*24,2))</f>
        <v>0</v>
      </c>
      <c r="O50" s="28">
        <f>IF(H50="","",IFERROR(INDEX(Services!$E$5:$E$54,MATCH(H50,Services!$B$5:$B$54,0)),""))</f>
        <v>0</v>
      </c>
      <c r="P50" s="29">
        <f>IF(H50="","",IFERROR(INDEX(Services!$G$5:$G$54,MATCH(H50,Services!$B$5:$B$54,0)),0))</f>
        <v>0</v>
      </c>
      <c r="Q50" s="29">
        <f>IF(H50="","",IF(IFERROR(INDEX(Services!$H$5:$H$54,MATCH(H50,Services!$B$5:$B$54,0)),0)=0,ExtraPetFeeDefault,IFERROR(INDEX(Services!$H$5:$H$54,MATCH(H50,Services!$B$5:$B$54,0)),0)))</f>
        <v>0</v>
      </c>
      <c r="R50" s="30">
        <f>IF(H50="","",IF(IFERROR(INDEX(Services!$I$5:$I$54,MATCH(H50,Services!$B$5:$B$54,0)),0)=0,HolidaySurcharge,IFERROR(INDEX(Services!$I$5:$I$54,MATCH(H50,Services!$B$5:$B$54,0)),0)))</f>
        <v>0</v>
      </c>
      <c r="S50" s="30">
        <f>IF(H50="","",IF(IFERROR(INDEX(Services!$J$5:$J$54,MATCH(H50,Services!$B$5:$B$54,0)),0)=0,WeekendSurcharge,IFERROR(INDEX(Services!$J$5:$J$54,MATCH(H50,Services!$B$5:$B$54,0)),0)))</f>
        <v>0</v>
      </c>
      <c r="T50" s="50">
        <f>IF(H50="","",IFERROR(INDEX(Services!$K$5:$K$54,MATCH(H50,Services!$B$5:$B$54,0)),"No"))</f>
        <v>0</v>
      </c>
      <c r="U50" s="29">
        <f>IF(H50="","",ROUND(IF(O50="Per hour",P50*IF(M50="",IF(N50="",1,N50),M50),P50*IF(N50="",1,N50)),2))</f>
        <v>0</v>
      </c>
      <c r="V50" s="29">
        <f>IF(H50="","",ROUND(MAX(0,IF(G50="",1,G50)-1)*Q50,2))</f>
        <v>0</v>
      </c>
      <c r="W50" s="50">
        <f>IF(I50="","",IF(COUNTIF(HolidayDates,I50)&gt;0,"Yes","No"))</f>
        <v>0</v>
      </c>
      <c r="X50" s="50">
        <f>IF(I50="","",IF(WEEKDAY(I50,2)&gt;5,"Yes","No"))</f>
        <v>0</v>
      </c>
      <c r="Y50" s="29">
        <f>IF(H50="","",ROUND((U50+V50)*(IF(W50="Yes",R50,0)+IF(X50="Yes",S50,0)),2))</f>
        <v>0</v>
      </c>
      <c r="AA50" s="29">
        <f>IF(H50="","",IF(T50&lt;&gt;"Yes",0,ROUND(MAX(0,IF(Z50="",0,Z50)-FreeTravelDistance)*TravelFeeRate,2)))</f>
        <v>0</v>
      </c>
      <c r="AB50" s="31">
        <f>IF(I50="","",TravelTimeMins)</f>
        <v>0</v>
      </c>
      <c r="AC50" s="29">
        <f>IF(OR(I50="",B50=""),0,IF(I50-B50&lt;=LastMinuteDays,EmergencyFee,0))</f>
        <v>0</v>
      </c>
      <c r="AF50" s="29">
        <f>IF(H50="","",ROUND((U50+V50+Y50+AA50+AC50)*IF(AE50="",0,AE50),2))</f>
        <v>0</v>
      </c>
      <c r="AI50" s="29">
        <f>IF(H50="","",IF(AG50&lt;&gt;"",AG50,ROUND(U50+V50+Y50+AA50+AC50-AF50,2)))</f>
        <v>0</v>
      </c>
      <c r="AJ50" s="29">
        <f>IF(AI50="","",IF(TaxRegistered&lt;&gt;"Yes",0,IF(PricesIncludeTax="Yes",ROUND(AI50-AI50/(1+TaxRate),2),ROUND(AI50*TaxRate,2))))</f>
        <v>0</v>
      </c>
      <c r="AK50" s="29">
        <f>IF(AI50="","",IF(PricesIncludeTax="Yes",AI50,ROUND(AI50+AJ50,2)))</f>
        <v>0</v>
      </c>
      <c r="AQ50" s="21">
        <f>IF(OR(I50="",AP50="",AP50="None"),"",IF(AP50="Monthly",EDATE(I50,1),I50+IF(AP50="Daily",1,IF(AP50="Weekdays",IF(WEEKDAY(I50,2)&gt;=5,8-WEEKDAY(I50,2),1),IF(AP50="Weekly",7,IF(AP50="Fortnightly",14,0))))))</f>
        <v>0</v>
      </c>
      <c r="AR50" s="49">
        <f>IF(OR(I50="",AL50="",K50="",L50=""),"",IF(SUMPRODUCT((Bookings!$AL$5:$AL$404=AL50)*(Bookings!$I$5:$I$404=I50)*(Bookings!$K$5:$K$404&lt;L50)*(Bookings!$L$5:$L$404&gt;K50)*(Bookings!$AM$5:$AM$404&lt;&gt;"Cancelled"))&gt;1,"Conflict - double booked","OK"))</f>
        <v>0</v>
      </c>
      <c r="AS50" s="50">
        <f>IF(A50="","",IF(COUNTIF('Visit Log'!$B$5:$B$404,A50)&gt;0,"Yes","No"))</f>
        <v>0</v>
      </c>
      <c r="AT50" s="28">
        <f>IF(A50="","",IFERROR(INDEX(Invoices!$A$5:$A$304,MATCH(A50,Invoices!$E$5:$E$304,0)),""))</f>
        <v>0</v>
      </c>
      <c r="AU50" s="49">
        <f>IF(A50="","",IF(AT50="","Not invoiced",IFERROR(INDEX(Invoices!$U$5:$U$304,MATCH(AT50,Invoices!$A$5:$A$304,0)),"")))</f>
        <v>0</v>
      </c>
      <c r="AY50" s="28">
        <f>IF(I50="","",TEXT(I50,"yyyy-mm"))</f>
        <v>0</v>
      </c>
      <c r="AZ50" s="49">
        <f>IF(I50="","",IF(AM50="Cancelled","Cancelled",IF(AND(I50&lt;TODAY(),OR(AM50="Pending",AM50="Confirmed",AM50="Enquiry")),"Overdue - update status",IF(AND(AM50="Completed",AS50="No"),"Action - log the visit",IF(I50=TODAY(),"Today",IF(AND(I50&gt;TODAY(),I50-TODAY()&lt;=ReminderLeadDays,AN50&lt;&gt;"Yes"),"Action - unconfirmed",IF(AND(I50&gt;TODAY(),I50-TODAY()&lt;=ReminderLeadDays),"Upcoming","OK")))))))</f>
        <v>0</v>
      </c>
    </row>
    <row r="51" spans="1:52">
      <c r="A51" s="46">
        <f>IF(C51="","",BookingPrefix&amp;TEXT(ROW()-4,"0000"))</f>
        <v>0</v>
      </c>
      <c r="D51" s="28">
        <f>IF(C51="","",IFERROR(INDEX(Clients!$A$5:$A$254,MATCH(C51,Clients!$B$5:$B$254,0)),""))</f>
        <v>0</v>
      </c>
      <c r="J51" s="50">
        <f>IF(I51="","",TEXT(I51,"ddd"))</f>
        <v>0</v>
      </c>
      <c r="M51" s="51">
        <f>IF(OR(K51="",L51=""),"",ROUND((L51-K51+IF(L51&lt;K51,1,0))*24,2))</f>
        <v>0</v>
      </c>
      <c r="O51" s="28">
        <f>IF(H51="","",IFERROR(INDEX(Services!$E$5:$E$54,MATCH(H51,Services!$B$5:$B$54,0)),""))</f>
        <v>0</v>
      </c>
      <c r="P51" s="29">
        <f>IF(H51="","",IFERROR(INDEX(Services!$G$5:$G$54,MATCH(H51,Services!$B$5:$B$54,0)),0))</f>
        <v>0</v>
      </c>
      <c r="Q51" s="29">
        <f>IF(H51="","",IF(IFERROR(INDEX(Services!$H$5:$H$54,MATCH(H51,Services!$B$5:$B$54,0)),0)=0,ExtraPetFeeDefault,IFERROR(INDEX(Services!$H$5:$H$54,MATCH(H51,Services!$B$5:$B$54,0)),0)))</f>
        <v>0</v>
      </c>
      <c r="R51" s="30">
        <f>IF(H51="","",IF(IFERROR(INDEX(Services!$I$5:$I$54,MATCH(H51,Services!$B$5:$B$54,0)),0)=0,HolidaySurcharge,IFERROR(INDEX(Services!$I$5:$I$54,MATCH(H51,Services!$B$5:$B$54,0)),0)))</f>
        <v>0</v>
      </c>
      <c r="S51" s="30">
        <f>IF(H51="","",IF(IFERROR(INDEX(Services!$J$5:$J$54,MATCH(H51,Services!$B$5:$B$54,0)),0)=0,WeekendSurcharge,IFERROR(INDEX(Services!$J$5:$J$54,MATCH(H51,Services!$B$5:$B$54,0)),0)))</f>
        <v>0</v>
      </c>
      <c r="T51" s="50">
        <f>IF(H51="","",IFERROR(INDEX(Services!$K$5:$K$54,MATCH(H51,Services!$B$5:$B$54,0)),"No"))</f>
        <v>0</v>
      </c>
      <c r="U51" s="29">
        <f>IF(H51="","",ROUND(IF(O51="Per hour",P51*IF(M51="",IF(N51="",1,N51),M51),P51*IF(N51="",1,N51)),2))</f>
        <v>0</v>
      </c>
      <c r="V51" s="29">
        <f>IF(H51="","",ROUND(MAX(0,IF(G51="",1,G51)-1)*Q51,2))</f>
        <v>0</v>
      </c>
      <c r="W51" s="50">
        <f>IF(I51="","",IF(COUNTIF(HolidayDates,I51)&gt;0,"Yes","No"))</f>
        <v>0</v>
      </c>
      <c r="X51" s="50">
        <f>IF(I51="","",IF(WEEKDAY(I51,2)&gt;5,"Yes","No"))</f>
        <v>0</v>
      </c>
      <c r="Y51" s="29">
        <f>IF(H51="","",ROUND((U51+V51)*(IF(W51="Yes",R51,0)+IF(X51="Yes",S51,0)),2))</f>
        <v>0</v>
      </c>
      <c r="AA51" s="29">
        <f>IF(H51="","",IF(T51&lt;&gt;"Yes",0,ROUND(MAX(0,IF(Z51="",0,Z51)-FreeTravelDistance)*TravelFeeRate,2)))</f>
        <v>0</v>
      </c>
      <c r="AB51" s="31">
        <f>IF(I51="","",TravelTimeMins)</f>
        <v>0</v>
      </c>
      <c r="AC51" s="29">
        <f>IF(OR(I51="",B51=""),0,IF(I51-B51&lt;=LastMinuteDays,EmergencyFee,0))</f>
        <v>0</v>
      </c>
      <c r="AF51" s="29">
        <f>IF(H51="","",ROUND((U51+V51+Y51+AA51+AC51)*IF(AE51="",0,AE51),2))</f>
        <v>0</v>
      </c>
      <c r="AI51" s="29">
        <f>IF(H51="","",IF(AG51&lt;&gt;"",AG51,ROUND(U51+V51+Y51+AA51+AC51-AF51,2)))</f>
        <v>0</v>
      </c>
      <c r="AJ51" s="29">
        <f>IF(AI51="","",IF(TaxRegistered&lt;&gt;"Yes",0,IF(PricesIncludeTax="Yes",ROUND(AI51-AI51/(1+TaxRate),2),ROUND(AI51*TaxRate,2))))</f>
        <v>0</v>
      </c>
      <c r="AK51" s="29">
        <f>IF(AI51="","",IF(PricesIncludeTax="Yes",AI51,ROUND(AI51+AJ51,2)))</f>
        <v>0</v>
      </c>
      <c r="AQ51" s="21">
        <f>IF(OR(I51="",AP51="",AP51="None"),"",IF(AP51="Monthly",EDATE(I51,1),I51+IF(AP51="Daily",1,IF(AP51="Weekdays",IF(WEEKDAY(I51,2)&gt;=5,8-WEEKDAY(I51,2),1),IF(AP51="Weekly",7,IF(AP51="Fortnightly",14,0))))))</f>
        <v>0</v>
      </c>
      <c r="AR51" s="49">
        <f>IF(OR(I51="",AL51="",K51="",L51=""),"",IF(SUMPRODUCT((Bookings!$AL$5:$AL$404=AL51)*(Bookings!$I$5:$I$404=I51)*(Bookings!$K$5:$K$404&lt;L51)*(Bookings!$L$5:$L$404&gt;K51)*(Bookings!$AM$5:$AM$404&lt;&gt;"Cancelled"))&gt;1,"Conflict - double booked","OK"))</f>
        <v>0</v>
      </c>
      <c r="AS51" s="50">
        <f>IF(A51="","",IF(COUNTIF('Visit Log'!$B$5:$B$404,A51)&gt;0,"Yes","No"))</f>
        <v>0</v>
      </c>
      <c r="AT51" s="28">
        <f>IF(A51="","",IFERROR(INDEX(Invoices!$A$5:$A$304,MATCH(A51,Invoices!$E$5:$E$304,0)),""))</f>
        <v>0</v>
      </c>
      <c r="AU51" s="49">
        <f>IF(A51="","",IF(AT51="","Not invoiced",IFERROR(INDEX(Invoices!$U$5:$U$304,MATCH(AT51,Invoices!$A$5:$A$304,0)),"")))</f>
        <v>0</v>
      </c>
      <c r="AY51" s="28">
        <f>IF(I51="","",TEXT(I51,"yyyy-mm"))</f>
        <v>0</v>
      </c>
      <c r="AZ51" s="49">
        <f>IF(I51="","",IF(AM51="Cancelled","Cancelled",IF(AND(I51&lt;TODAY(),OR(AM51="Pending",AM51="Confirmed",AM51="Enquiry")),"Overdue - update status",IF(AND(AM51="Completed",AS51="No"),"Action - log the visit",IF(I51=TODAY(),"Today",IF(AND(I51&gt;TODAY(),I51-TODAY()&lt;=ReminderLeadDays,AN51&lt;&gt;"Yes"),"Action - unconfirmed",IF(AND(I51&gt;TODAY(),I51-TODAY()&lt;=ReminderLeadDays),"Upcoming","OK")))))))</f>
        <v>0</v>
      </c>
    </row>
    <row r="52" spans="1:52">
      <c r="A52" s="46">
        <f>IF(C52="","",BookingPrefix&amp;TEXT(ROW()-4,"0000"))</f>
        <v>0</v>
      </c>
      <c r="D52" s="28">
        <f>IF(C52="","",IFERROR(INDEX(Clients!$A$5:$A$254,MATCH(C52,Clients!$B$5:$B$254,0)),""))</f>
        <v>0</v>
      </c>
      <c r="J52" s="50">
        <f>IF(I52="","",TEXT(I52,"ddd"))</f>
        <v>0</v>
      </c>
      <c r="M52" s="51">
        <f>IF(OR(K52="",L52=""),"",ROUND((L52-K52+IF(L52&lt;K52,1,0))*24,2))</f>
        <v>0</v>
      </c>
      <c r="O52" s="28">
        <f>IF(H52="","",IFERROR(INDEX(Services!$E$5:$E$54,MATCH(H52,Services!$B$5:$B$54,0)),""))</f>
        <v>0</v>
      </c>
      <c r="P52" s="29">
        <f>IF(H52="","",IFERROR(INDEX(Services!$G$5:$G$54,MATCH(H52,Services!$B$5:$B$54,0)),0))</f>
        <v>0</v>
      </c>
      <c r="Q52" s="29">
        <f>IF(H52="","",IF(IFERROR(INDEX(Services!$H$5:$H$54,MATCH(H52,Services!$B$5:$B$54,0)),0)=0,ExtraPetFeeDefault,IFERROR(INDEX(Services!$H$5:$H$54,MATCH(H52,Services!$B$5:$B$54,0)),0)))</f>
        <v>0</v>
      </c>
      <c r="R52" s="30">
        <f>IF(H52="","",IF(IFERROR(INDEX(Services!$I$5:$I$54,MATCH(H52,Services!$B$5:$B$54,0)),0)=0,HolidaySurcharge,IFERROR(INDEX(Services!$I$5:$I$54,MATCH(H52,Services!$B$5:$B$54,0)),0)))</f>
        <v>0</v>
      </c>
      <c r="S52" s="30">
        <f>IF(H52="","",IF(IFERROR(INDEX(Services!$J$5:$J$54,MATCH(H52,Services!$B$5:$B$54,0)),0)=0,WeekendSurcharge,IFERROR(INDEX(Services!$J$5:$J$54,MATCH(H52,Services!$B$5:$B$54,0)),0)))</f>
        <v>0</v>
      </c>
      <c r="T52" s="50">
        <f>IF(H52="","",IFERROR(INDEX(Services!$K$5:$K$54,MATCH(H52,Services!$B$5:$B$54,0)),"No"))</f>
        <v>0</v>
      </c>
      <c r="U52" s="29">
        <f>IF(H52="","",ROUND(IF(O52="Per hour",P52*IF(M52="",IF(N52="",1,N52),M52),P52*IF(N52="",1,N52)),2))</f>
        <v>0</v>
      </c>
      <c r="V52" s="29">
        <f>IF(H52="","",ROUND(MAX(0,IF(G52="",1,G52)-1)*Q52,2))</f>
        <v>0</v>
      </c>
      <c r="W52" s="50">
        <f>IF(I52="","",IF(COUNTIF(HolidayDates,I52)&gt;0,"Yes","No"))</f>
        <v>0</v>
      </c>
      <c r="X52" s="50">
        <f>IF(I52="","",IF(WEEKDAY(I52,2)&gt;5,"Yes","No"))</f>
        <v>0</v>
      </c>
      <c r="Y52" s="29">
        <f>IF(H52="","",ROUND((U52+V52)*(IF(W52="Yes",R52,0)+IF(X52="Yes",S52,0)),2))</f>
        <v>0</v>
      </c>
      <c r="AA52" s="29">
        <f>IF(H52="","",IF(T52&lt;&gt;"Yes",0,ROUND(MAX(0,IF(Z52="",0,Z52)-FreeTravelDistance)*TravelFeeRate,2)))</f>
        <v>0</v>
      </c>
      <c r="AB52" s="31">
        <f>IF(I52="","",TravelTimeMins)</f>
        <v>0</v>
      </c>
      <c r="AC52" s="29">
        <f>IF(OR(I52="",B52=""),0,IF(I52-B52&lt;=LastMinuteDays,EmergencyFee,0))</f>
        <v>0</v>
      </c>
      <c r="AF52" s="29">
        <f>IF(H52="","",ROUND((U52+V52+Y52+AA52+AC52)*IF(AE52="",0,AE52),2))</f>
        <v>0</v>
      </c>
      <c r="AI52" s="29">
        <f>IF(H52="","",IF(AG52&lt;&gt;"",AG52,ROUND(U52+V52+Y52+AA52+AC52-AF52,2)))</f>
        <v>0</v>
      </c>
      <c r="AJ52" s="29">
        <f>IF(AI52="","",IF(TaxRegistered&lt;&gt;"Yes",0,IF(PricesIncludeTax="Yes",ROUND(AI52-AI52/(1+TaxRate),2),ROUND(AI52*TaxRate,2))))</f>
        <v>0</v>
      </c>
      <c r="AK52" s="29">
        <f>IF(AI52="","",IF(PricesIncludeTax="Yes",AI52,ROUND(AI52+AJ52,2)))</f>
        <v>0</v>
      </c>
      <c r="AQ52" s="21">
        <f>IF(OR(I52="",AP52="",AP52="None"),"",IF(AP52="Monthly",EDATE(I52,1),I52+IF(AP52="Daily",1,IF(AP52="Weekdays",IF(WEEKDAY(I52,2)&gt;=5,8-WEEKDAY(I52,2),1),IF(AP52="Weekly",7,IF(AP52="Fortnightly",14,0))))))</f>
        <v>0</v>
      </c>
      <c r="AR52" s="49">
        <f>IF(OR(I52="",AL52="",K52="",L52=""),"",IF(SUMPRODUCT((Bookings!$AL$5:$AL$404=AL52)*(Bookings!$I$5:$I$404=I52)*(Bookings!$K$5:$K$404&lt;L52)*(Bookings!$L$5:$L$404&gt;K52)*(Bookings!$AM$5:$AM$404&lt;&gt;"Cancelled"))&gt;1,"Conflict - double booked","OK"))</f>
        <v>0</v>
      </c>
      <c r="AS52" s="50">
        <f>IF(A52="","",IF(COUNTIF('Visit Log'!$B$5:$B$404,A52)&gt;0,"Yes","No"))</f>
        <v>0</v>
      </c>
      <c r="AT52" s="28">
        <f>IF(A52="","",IFERROR(INDEX(Invoices!$A$5:$A$304,MATCH(A52,Invoices!$E$5:$E$304,0)),""))</f>
        <v>0</v>
      </c>
      <c r="AU52" s="49">
        <f>IF(A52="","",IF(AT52="","Not invoiced",IFERROR(INDEX(Invoices!$U$5:$U$304,MATCH(AT52,Invoices!$A$5:$A$304,0)),"")))</f>
        <v>0</v>
      </c>
      <c r="AY52" s="28">
        <f>IF(I52="","",TEXT(I52,"yyyy-mm"))</f>
        <v>0</v>
      </c>
      <c r="AZ52" s="49">
        <f>IF(I52="","",IF(AM52="Cancelled","Cancelled",IF(AND(I52&lt;TODAY(),OR(AM52="Pending",AM52="Confirmed",AM52="Enquiry")),"Overdue - update status",IF(AND(AM52="Completed",AS52="No"),"Action - log the visit",IF(I52=TODAY(),"Today",IF(AND(I52&gt;TODAY(),I52-TODAY()&lt;=ReminderLeadDays,AN52&lt;&gt;"Yes"),"Action - unconfirmed",IF(AND(I52&gt;TODAY(),I52-TODAY()&lt;=ReminderLeadDays),"Upcoming","OK")))))))</f>
        <v>0</v>
      </c>
    </row>
    <row r="53" spans="1:52">
      <c r="A53" s="46">
        <f>IF(C53="","",BookingPrefix&amp;TEXT(ROW()-4,"0000"))</f>
        <v>0</v>
      </c>
      <c r="D53" s="28">
        <f>IF(C53="","",IFERROR(INDEX(Clients!$A$5:$A$254,MATCH(C53,Clients!$B$5:$B$254,0)),""))</f>
        <v>0</v>
      </c>
      <c r="J53" s="50">
        <f>IF(I53="","",TEXT(I53,"ddd"))</f>
        <v>0</v>
      </c>
      <c r="M53" s="51">
        <f>IF(OR(K53="",L53=""),"",ROUND((L53-K53+IF(L53&lt;K53,1,0))*24,2))</f>
        <v>0</v>
      </c>
      <c r="O53" s="28">
        <f>IF(H53="","",IFERROR(INDEX(Services!$E$5:$E$54,MATCH(H53,Services!$B$5:$B$54,0)),""))</f>
        <v>0</v>
      </c>
      <c r="P53" s="29">
        <f>IF(H53="","",IFERROR(INDEX(Services!$G$5:$G$54,MATCH(H53,Services!$B$5:$B$54,0)),0))</f>
        <v>0</v>
      </c>
      <c r="Q53" s="29">
        <f>IF(H53="","",IF(IFERROR(INDEX(Services!$H$5:$H$54,MATCH(H53,Services!$B$5:$B$54,0)),0)=0,ExtraPetFeeDefault,IFERROR(INDEX(Services!$H$5:$H$54,MATCH(H53,Services!$B$5:$B$54,0)),0)))</f>
        <v>0</v>
      </c>
      <c r="R53" s="30">
        <f>IF(H53="","",IF(IFERROR(INDEX(Services!$I$5:$I$54,MATCH(H53,Services!$B$5:$B$54,0)),0)=0,HolidaySurcharge,IFERROR(INDEX(Services!$I$5:$I$54,MATCH(H53,Services!$B$5:$B$54,0)),0)))</f>
        <v>0</v>
      </c>
      <c r="S53" s="30">
        <f>IF(H53="","",IF(IFERROR(INDEX(Services!$J$5:$J$54,MATCH(H53,Services!$B$5:$B$54,0)),0)=0,WeekendSurcharge,IFERROR(INDEX(Services!$J$5:$J$54,MATCH(H53,Services!$B$5:$B$54,0)),0)))</f>
        <v>0</v>
      </c>
      <c r="T53" s="50">
        <f>IF(H53="","",IFERROR(INDEX(Services!$K$5:$K$54,MATCH(H53,Services!$B$5:$B$54,0)),"No"))</f>
        <v>0</v>
      </c>
      <c r="U53" s="29">
        <f>IF(H53="","",ROUND(IF(O53="Per hour",P53*IF(M53="",IF(N53="",1,N53),M53),P53*IF(N53="",1,N53)),2))</f>
        <v>0</v>
      </c>
      <c r="V53" s="29">
        <f>IF(H53="","",ROUND(MAX(0,IF(G53="",1,G53)-1)*Q53,2))</f>
        <v>0</v>
      </c>
      <c r="W53" s="50">
        <f>IF(I53="","",IF(COUNTIF(HolidayDates,I53)&gt;0,"Yes","No"))</f>
        <v>0</v>
      </c>
      <c r="X53" s="50">
        <f>IF(I53="","",IF(WEEKDAY(I53,2)&gt;5,"Yes","No"))</f>
        <v>0</v>
      </c>
      <c r="Y53" s="29">
        <f>IF(H53="","",ROUND((U53+V53)*(IF(W53="Yes",R53,0)+IF(X53="Yes",S53,0)),2))</f>
        <v>0</v>
      </c>
      <c r="AA53" s="29">
        <f>IF(H53="","",IF(T53&lt;&gt;"Yes",0,ROUND(MAX(0,IF(Z53="",0,Z53)-FreeTravelDistance)*TravelFeeRate,2)))</f>
        <v>0</v>
      </c>
      <c r="AB53" s="31">
        <f>IF(I53="","",TravelTimeMins)</f>
        <v>0</v>
      </c>
      <c r="AC53" s="29">
        <f>IF(OR(I53="",B53=""),0,IF(I53-B53&lt;=LastMinuteDays,EmergencyFee,0))</f>
        <v>0</v>
      </c>
      <c r="AF53" s="29">
        <f>IF(H53="","",ROUND((U53+V53+Y53+AA53+AC53)*IF(AE53="",0,AE53),2))</f>
        <v>0</v>
      </c>
      <c r="AI53" s="29">
        <f>IF(H53="","",IF(AG53&lt;&gt;"",AG53,ROUND(U53+V53+Y53+AA53+AC53-AF53,2)))</f>
        <v>0</v>
      </c>
      <c r="AJ53" s="29">
        <f>IF(AI53="","",IF(TaxRegistered&lt;&gt;"Yes",0,IF(PricesIncludeTax="Yes",ROUND(AI53-AI53/(1+TaxRate),2),ROUND(AI53*TaxRate,2))))</f>
        <v>0</v>
      </c>
      <c r="AK53" s="29">
        <f>IF(AI53="","",IF(PricesIncludeTax="Yes",AI53,ROUND(AI53+AJ53,2)))</f>
        <v>0</v>
      </c>
      <c r="AQ53" s="21">
        <f>IF(OR(I53="",AP53="",AP53="None"),"",IF(AP53="Monthly",EDATE(I53,1),I53+IF(AP53="Daily",1,IF(AP53="Weekdays",IF(WEEKDAY(I53,2)&gt;=5,8-WEEKDAY(I53,2),1),IF(AP53="Weekly",7,IF(AP53="Fortnightly",14,0))))))</f>
        <v>0</v>
      </c>
      <c r="AR53" s="49">
        <f>IF(OR(I53="",AL53="",K53="",L53=""),"",IF(SUMPRODUCT((Bookings!$AL$5:$AL$404=AL53)*(Bookings!$I$5:$I$404=I53)*(Bookings!$K$5:$K$404&lt;L53)*(Bookings!$L$5:$L$404&gt;K53)*(Bookings!$AM$5:$AM$404&lt;&gt;"Cancelled"))&gt;1,"Conflict - double booked","OK"))</f>
        <v>0</v>
      </c>
      <c r="AS53" s="50">
        <f>IF(A53="","",IF(COUNTIF('Visit Log'!$B$5:$B$404,A53)&gt;0,"Yes","No"))</f>
        <v>0</v>
      </c>
      <c r="AT53" s="28">
        <f>IF(A53="","",IFERROR(INDEX(Invoices!$A$5:$A$304,MATCH(A53,Invoices!$E$5:$E$304,0)),""))</f>
        <v>0</v>
      </c>
      <c r="AU53" s="49">
        <f>IF(A53="","",IF(AT53="","Not invoiced",IFERROR(INDEX(Invoices!$U$5:$U$304,MATCH(AT53,Invoices!$A$5:$A$304,0)),"")))</f>
        <v>0</v>
      </c>
      <c r="AY53" s="28">
        <f>IF(I53="","",TEXT(I53,"yyyy-mm"))</f>
        <v>0</v>
      </c>
      <c r="AZ53" s="49">
        <f>IF(I53="","",IF(AM53="Cancelled","Cancelled",IF(AND(I53&lt;TODAY(),OR(AM53="Pending",AM53="Confirmed",AM53="Enquiry")),"Overdue - update status",IF(AND(AM53="Completed",AS53="No"),"Action - log the visit",IF(I53=TODAY(),"Today",IF(AND(I53&gt;TODAY(),I53-TODAY()&lt;=ReminderLeadDays,AN53&lt;&gt;"Yes"),"Action - unconfirmed",IF(AND(I53&gt;TODAY(),I53-TODAY()&lt;=ReminderLeadDays),"Upcoming","OK")))))))</f>
        <v>0</v>
      </c>
    </row>
    <row r="54" spans="1:52">
      <c r="A54" s="46">
        <f>IF(C54="","",BookingPrefix&amp;TEXT(ROW()-4,"0000"))</f>
        <v>0</v>
      </c>
      <c r="D54" s="28">
        <f>IF(C54="","",IFERROR(INDEX(Clients!$A$5:$A$254,MATCH(C54,Clients!$B$5:$B$254,0)),""))</f>
        <v>0</v>
      </c>
      <c r="J54" s="50">
        <f>IF(I54="","",TEXT(I54,"ddd"))</f>
        <v>0</v>
      </c>
      <c r="M54" s="51">
        <f>IF(OR(K54="",L54=""),"",ROUND((L54-K54+IF(L54&lt;K54,1,0))*24,2))</f>
        <v>0</v>
      </c>
      <c r="O54" s="28">
        <f>IF(H54="","",IFERROR(INDEX(Services!$E$5:$E$54,MATCH(H54,Services!$B$5:$B$54,0)),""))</f>
        <v>0</v>
      </c>
      <c r="P54" s="29">
        <f>IF(H54="","",IFERROR(INDEX(Services!$G$5:$G$54,MATCH(H54,Services!$B$5:$B$54,0)),0))</f>
        <v>0</v>
      </c>
      <c r="Q54" s="29">
        <f>IF(H54="","",IF(IFERROR(INDEX(Services!$H$5:$H$54,MATCH(H54,Services!$B$5:$B$54,0)),0)=0,ExtraPetFeeDefault,IFERROR(INDEX(Services!$H$5:$H$54,MATCH(H54,Services!$B$5:$B$54,0)),0)))</f>
        <v>0</v>
      </c>
      <c r="R54" s="30">
        <f>IF(H54="","",IF(IFERROR(INDEX(Services!$I$5:$I$54,MATCH(H54,Services!$B$5:$B$54,0)),0)=0,HolidaySurcharge,IFERROR(INDEX(Services!$I$5:$I$54,MATCH(H54,Services!$B$5:$B$54,0)),0)))</f>
        <v>0</v>
      </c>
      <c r="S54" s="30">
        <f>IF(H54="","",IF(IFERROR(INDEX(Services!$J$5:$J$54,MATCH(H54,Services!$B$5:$B$54,0)),0)=0,WeekendSurcharge,IFERROR(INDEX(Services!$J$5:$J$54,MATCH(H54,Services!$B$5:$B$54,0)),0)))</f>
        <v>0</v>
      </c>
      <c r="T54" s="50">
        <f>IF(H54="","",IFERROR(INDEX(Services!$K$5:$K$54,MATCH(H54,Services!$B$5:$B$54,0)),"No"))</f>
        <v>0</v>
      </c>
      <c r="U54" s="29">
        <f>IF(H54="","",ROUND(IF(O54="Per hour",P54*IF(M54="",IF(N54="",1,N54),M54),P54*IF(N54="",1,N54)),2))</f>
        <v>0</v>
      </c>
      <c r="V54" s="29">
        <f>IF(H54="","",ROUND(MAX(0,IF(G54="",1,G54)-1)*Q54,2))</f>
        <v>0</v>
      </c>
      <c r="W54" s="50">
        <f>IF(I54="","",IF(COUNTIF(HolidayDates,I54)&gt;0,"Yes","No"))</f>
        <v>0</v>
      </c>
      <c r="X54" s="50">
        <f>IF(I54="","",IF(WEEKDAY(I54,2)&gt;5,"Yes","No"))</f>
        <v>0</v>
      </c>
      <c r="Y54" s="29">
        <f>IF(H54="","",ROUND((U54+V54)*(IF(W54="Yes",R54,0)+IF(X54="Yes",S54,0)),2))</f>
        <v>0</v>
      </c>
      <c r="AA54" s="29">
        <f>IF(H54="","",IF(T54&lt;&gt;"Yes",0,ROUND(MAX(0,IF(Z54="",0,Z54)-FreeTravelDistance)*TravelFeeRate,2)))</f>
        <v>0</v>
      </c>
      <c r="AB54" s="31">
        <f>IF(I54="","",TravelTimeMins)</f>
        <v>0</v>
      </c>
      <c r="AC54" s="29">
        <f>IF(OR(I54="",B54=""),0,IF(I54-B54&lt;=LastMinuteDays,EmergencyFee,0))</f>
        <v>0</v>
      </c>
      <c r="AF54" s="29">
        <f>IF(H54="","",ROUND((U54+V54+Y54+AA54+AC54)*IF(AE54="",0,AE54),2))</f>
        <v>0</v>
      </c>
      <c r="AI54" s="29">
        <f>IF(H54="","",IF(AG54&lt;&gt;"",AG54,ROUND(U54+V54+Y54+AA54+AC54-AF54,2)))</f>
        <v>0</v>
      </c>
      <c r="AJ54" s="29">
        <f>IF(AI54="","",IF(TaxRegistered&lt;&gt;"Yes",0,IF(PricesIncludeTax="Yes",ROUND(AI54-AI54/(1+TaxRate),2),ROUND(AI54*TaxRate,2))))</f>
        <v>0</v>
      </c>
      <c r="AK54" s="29">
        <f>IF(AI54="","",IF(PricesIncludeTax="Yes",AI54,ROUND(AI54+AJ54,2)))</f>
        <v>0</v>
      </c>
      <c r="AQ54" s="21">
        <f>IF(OR(I54="",AP54="",AP54="None"),"",IF(AP54="Monthly",EDATE(I54,1),I54+IF(AP54="Daily",1,IF(AP54="Weekdays",IF(WEEKDAY(I54,2)&gt;=5,8-WEEKDAY(I54,2),1),IF(AP54="Weekly",7,IF(AP54="Fortnightly",14,0))))))</f>
        <v>0</v>
      </c>
      <c r="AR54" s="49">
        <f>IF(OR(I54="",AL54="",K54="",L54=""),"",IF(SUMPRODUCT((Bookings!$AL$5:$AL$404=AL54)*(Bookings!$I$5:$I$404=I54)*(Bookings!$K$5:$K$404&lt;L54)*(Bookings!$L$5:$L$404&gt;K54)*(Bookings!$AM$5:$AM$404&lt;&gt;"Cancelled"))&gt;1,"Conflict - double booked","OK"))</f>
        <v>0</v>
      </c>
      <c r="AS54" s="50">
        <f>IF(A54="","",IF(COUNTIF('Visit Log'!$B$5:$B$404,A54)&gt;0,"Yes","No"))</f>
        <v>0</v>
      </c>
      <c r="AT54" s="28">
        <f>IF(A54="","",IFERROR(INDEX(Invoices!$A$5:$A$304,MATCH(A54,Invoices!$E$5:$E$304,0)),""))</f>
        <v>0</v>
      </c>
      <c r="AU54" s="49">
        <f>IF(A54="","",IF(AT54="","Not invoiced",IFERROR(INDEX(Invoices!$U$5:$U$304,MATCH(AT54,Invoices!$A$5:$A$304,0)),"")))</f>
        <v>0</v>
      </c>
      <c r="AY54" s="28">
        <f>IF(I54="","",TEXT(I54,"yyyy-mm"))</f>
        <v>0</v>
      </c>
      <c r="AZ54" s="49">
        <f>IF(I54="","",IF(AM54="Cancelled","Cancelled",IF(AND(I54&lt;TODAY(),OR(AM54="Pending",AM54="Confirmed",AM54="Enquiry")),"Overdue - update status",IF(AND(AM54="Completed",AS54="No"),"Action - log the visit",IF(I54=TODAY(),"Today",IF(AND(I54&gt;TODAY(),I54-TODAY()&lt;=ReminderLeadDays,AN54&lt;&gt;"Yes"),"Action - unconfirmed",IF(AND(I54&gt;TODAY(),I54-TODAY()&lt;=ReminderLeadDays),"Upcoming","OK")))))))</f>
        <v>0</v>
      </c>
    </row>
    <row r="55" spans="1:52">
      <c r="A55" s="46">
        <f>IF(C55="","",BookingPrefix&amp;TEXT(ROW()-4,"0000"))</f>
        <v>0</v>
      </c>
      <c r="D55" s="28">
        <f>IF(C55="","",IFERROR(INDEX(Clients!$A$5:$A$254,MATCH(C55,Clients!$B$5:$B$254,0)),""))</f>
        <v>0</v>
      </c>
      <c r="J55" s="50">
        <f>IF(I55="","",TEXT(I55,"ddd"))</f>
        <v>0</v>
      </c>
      <c r="M55" s="51">
        <f>IF(OR(K55="",L55=""),"",ROUND((L55-K55+IF(L55&lt;K55,1,0))*24,2))</f>
        <v>0</v>
      </c>
      <c r="O55" s="28">
        <f>IF(H55="","",IFERROR(INDEX(Services!$E$5:$E$54,MATCH(H55,Services!$B$5:$B$54,0)),""))</f>
        <v>0</v>
      </c>
      <c r="P55" s="29">
        <f>IF(H55="","",IFERROR(INDEX(Services!$G$5:$G$54,MATCH(H55,Services!$B$5:$B$54,0)),0))</f>
        <v>0</v>
      </c>
      <c r="Q55" s="29">
        <f>IF(H55="","",IF(IFERROR(INDEX(Services!$H$5:$H$54,MATCH(H55,Services!$B$5:$B$54,0)),0)=0,ExtraPetFeeDefault,IFERROR(INDEX(Services!$H$5:$H$54,MATCH(H55,Services!$B$5:$B$54,0)),0)))</f>
        <v>0</v>
      </c>
      <c r="R55" s="30">
        <f>IF(H55="","",IF(IFERROR(INDEX(Services!$I$5:$I$54,MATCH(H55,Services!$B$5:$B$54,0)),0)=0,HolidaySurcharge,IFERROR(INDEX(Services!$I$5:$I$54,MATCH(H55,Services!$B$5:$B$54,0)),0)))</f>
        <v>0</v>
      </c>
      <c r="S55" s="30">
        <f>IF(H55="","",IF(IFERROR(INDEX(Services!$J$5:$J$54,MATCH(H55,Services!$B$5:$B$54,0)),0)=0,WeekendSurcharge,IFERROR(INDEX(Services!$J$5:$J$54,MATCH(H55,Services!$B$5:$B$54,0)),0)))</f>
        <v>0</v>
      </c>
      <c r="T55" s="50">
        <f>IF(H55="","",IFERROR(INDEX(Services!$K$5:$K$54,MATCH(H55,Services!$B$5:$B$54,0)),"No"))</f>
        <v>0</v>
      </c>
      <c r="U55" s="29">
        <f>IF(H55="","",ROUND(IF(O55="Per hour",P55*IF(M55="",IF(N55="",1,N55),M55),P55*IF(N55="",1,N55)),2))</f>
        <v>0</v>
      </c>
      <c r="V55" s="29">
        <f>IF(H55="","",ROUND(MAX(0,IF(G55="",1,G55)-1)*Q55,2))</f>
        <v>0</v>
      </c>
      <c r="W55" s="50">
        <f>IF(I55="","",IF(COUNTIF(HolidayDates,I55)&gt;0,"Yes","No"))</f>
        <v>0</v>
      </c>
      <c r="X55" s="50">
        <f>IF(I55="","",IF(WEEKDAY(I55,2)&gt;5,"Yes","No"))</f>
        <v>0</v>
      </c>
      <c r="Y55" s="29">
        <f>IF(H55="","",ROUND((U55+V55)*(IF(W55="Yes",R55,0)+IF(X55="Yes",S55,0)),2))</f>
        <v>0</v>
      </c>
      <c r="AA55" s="29">
        <f>IF(H55="","",IF(T55&lt;&gt;"Yes",0,ROUND(MAX(0,IF(Z55="",0,Z55)-FreeTravelDistance)*TravelFeeRate,2)))</f>
        <v>0</v>
      </c>
      <c r="AB55" s="31">
        <f>IF(I55="","",TravelTimeMins)</f>
        <v>0</v>
      </c>
      <c r="AC55" s="29">
        <f>IF(OR(I55="",B55=""),0,IF(I55-B55&lt;=LastMinuteDays,EmergencyFee,0))</f>
        <v>0</v>
      </c>
      <c r="AF55" s="29">
        <f>IF(H55="","",ROUND((U55+V55+Y55+AA55+AC55)*IF(AE55="",0,AE55),2))</f>
        <v>0</v>
      </c>
      <c r="AI55" s="29">
        <f>IF(H55="","",IF(AG55&lt;&gt;"",AG55,ROUND(U55+V55+Y55+AA55+AC55-AF55,2)))</f>
        <v>0</v>
      </c>
      <c r="AJ55" s="29">
        <f>IF(AI55="","",IF(TaxRegistered&lt;&gt;"Yes",0,IF(PricesIncludeTax="Yes",ROUND(AI55-AI55/(1+TaxRate),2),ROUND(AI55*TaxRate,2))))</f>
        <v>0</v>
      </c>
      <c r="AK55" s="29">
        <f>IF(AI55="","",IF(PricesIncludeTax="Yes",AI55,ROUND(AI55+AJ55,2)))</f>
        <v>0</v>
      </c>
      <c r="AQ55" s="21">
        <f>IF(OR(I55="",AP55="",AP55="None"),"",IF(AP55="Monthly",EDATE(I55,1),I55+IF(AP55="Daily",1,IF(AP55="Weekdays",IF(WEEKDAY(I55,2)&gt;=5,8-WEEKDAY(I55,2),1),IF(AP55="Weekly",7,IF(AP55="Fortnightly",14,0))))))</f>
        <v>0</v>
      </c>
      <c r="AR55" s="49">
        <f>IF(OR(I55="",AL55="",K55="",L55=""),"",IF(SUMPRODUCT((Bookings!$AL$5:$AL$404=AL55)*(Bookings!$I$5:$I$404=I55)*(Bookings!$K$5:$K$404&lt;L55)*(Bookings!$L$5:$L$404&gt;K55)*(Bookings!$AM$5:$AM$404&lt;&gt;"Cancelled"))&gt;1,"Conflict - double booked","OK"))</f>
        <v>0</v>
      </c>
      <c r="AS55" s="50">
        <f>IF(A55="","",IF(COUNTIF('Visit Log'!$B$5:$B$404,A55)&gt;0,"Yes","No"))</f>
        <v>0</v>
      </c>
      <c r="AT55" s="28">
        <f>IF(A55="","",IFERROR(INDEX(Invoices!$A$5:$A$304,MATCH(A55,Invoices!$E$5:$E$304,0)),""))</f>
        <v>0</v>
      </c>
      <c r="AU55" s="49">
        <f>IF(A55="","",IF(AT55="","Not invoiced",IFERROR(INDEX(Invoices!$U$5:$U$304,MATCH(AT55,Invoices!$A$5:$A$304,0)),"")))</f>
        <v>0</v>
      </c>
      <c r="AY55" s="28">
        <f>IF(I55="","",TEXT(I55,"yyyy-mm"))</f>
        <v>0</v>
      </c>
      <c r="AZ55" s="49">
        <f>IF(I55="","",IF(AM55="Cancelled","Cancelled",IF(AND(I55&lt;TODAY(),OR(AM55="Pending",AM55="Confirmed",AM55="Enquiry")),"Overdue - update status",IF(AND(AM55="Completed",AS55="No"),"Action - log the visit",IF(I55=TODAY(),"Today",IF(AND(I55&gt;TODAY(),I55-TODAY()&lt;=ReminderLeadDays,AN55&lt;&gt;"Yes"),"Action - unconfirmed",IF(AND(I55&gt;TODAY(),I55-TODAY()&lt;=ReminderLeadDays),"Upcoming","OK")))))))</f>
        <v>0</v>
      </c>
    </row>
    <row r="56" spans="1:52">
      <c r="A56" s="46">
        <f>IF(C56="","",BookingPrefix&amp;TEXT(ROW()-4,"0000"))</f>
        <v>0</v>
      </c>
      <c r="D56" s="28">
        <f>IF(C56="","",IFERROR(INDEX(Clients!$A$5:$A$254,MATCH(C56,Clients!$B$5:$B$254,0)),""))</f>
        <v>0</v>
      </c>
      <c r="J56" s="50">
        <f>IF(I56="","",TEXT(I56,"ddd"))</f>
        <v>0</v>
      </c>
      <c r="M56" s="51">
        <f>IF(OR(K56="",L56=""),"",ROUND((L56-K56+IF(L56&lt;K56,1,0))*24,2))</f>
        <v>0</v>
      </c>
      <c r="O56" s="28">
        <f>IF(H56="","",IFERROR(INDEX(Services!$E$5:$E$54,MATCH(H56,Services!$B$5:$B$54,0)),""))</f>
        <v>0</v>
      </c>
      <c r="P56" s="29">
        <f>IF(H56="","",IFERROR(INDEX(Services!$G$5:$G$54,MATCH(H56,Services!$B$5:$B$54,0)),0))</f>
        <v>0</v>
      </c>
      <c r="Q56" s="29">
        <f>IF(H56="","",IF(IFERROR(INDEX(Services!$H$5:$H$54,MATCH(H56,Services!$B$5:$B$54,0)),0)=0,ExtraPetFeeDefault,IFERROR(INDEX(Services!$H$5:$H$54,MATCH(H56,Services!$B$5:$B$54,0)),0)))</f>
        <v>0</v>
      </c>
      <c r="R56" s="30">
        <f>IF(H56="","",IF(IFERROR(INDEX(Services!$I$5:$I$54,MATCH(H56,Services!$B$5:$B$54,0)),0)=0,HolidaySurcharge,IFERROR(INDEX(Services!$I$5:$I$54,MATCH(H56,Services!$B$5:$B$54,0)),0)))</f>
        <v>0</v>
      </c>
      <c r="S56" s="30">
        <f>IF(H56="","",IF(IFERROR(INDEX(Services!$J$5:$J$54,MATCH(H56,Services!$B$5:$B$54,0)),0)=0,WeekendSurcharge,IFERROR(INDEX(Services!$J$5:$J$54,MATCH(H56,Services!$B$5:$B$54,0)),0)))</f>
        <v>0</v>
      </c>
      <c r="T56" s="50">
        <f>IF(H56="","",IFERROR(INDEX(Services!$K$5:$K$54,MATCH(H56,Services!$B$5:$B$54,0)),"No"))</f>
        <v>0</v>
      </c>
      <c r="U56" s="29">
        <f>IF(H56="","",ROUND(IF(O56="Per hour",P56*IF(M56="",IF(N56="",1,N56),M56),P56*IF(N56="",1,N56)),2))</f>
        <v>0</v>
      </c>
      <c r="V56" s="29">
        <f>IF(H56="","",ROUND(MAX(0,IF(G56="",1,G56)-1)*Q56,2))</f>
        <v>0</v>
      </c>
      <c r="W56" s="50">
        <f>IF(I56="","",IF(COUNTIF(HolidayDates,I56)&gt;0,"Yes","No"))</f>
        <v>0</v>
      </c>
      <c r="X56" s="50">
        <f>IF(I56="","",IF(WEEKDAY(I56,2)&gt;5,"Yes","No"))</f>
        <v>0</v>
      </c>
      <c r="Y56" s="29">
        <f>IF(H56="","",ROUND((U56+V56)*(IF(W56="Yes",R56,0)+IF(X56="Yes",S56,0)),2))</f>
        <v>0</v>
      </c>
      <c r="AA56" s="29">
        <f>IF(H56="","",IF(T56&lt;&gt;"Yes",0,ROUND(MAX(0,IF(Z56="",0,Z56)-FreeTravelDistance)*TravelFeeRate,2)))</f>
        <v>0</v>
      </c>
      <c r="AB56" s="31">
        <f>IF(I56="","",TravelTimeMins)</f>
        <v>0</v>
      </c>
      <c r="AC56" s="29">
        <f>IF(OR(I56="",B56=""),0,IF(I56-B56&lt;=LastMinuteDays,EmergencyFee,0))</f>
        <v>0</v>
      </c>
      <c r="AF56" s="29">
        <f>IF(H56="","",ROUND((U56+V56+Y56+AA56+AC56)*IF(AE56="",0,AE56),2))</f>
        <v>0</v>
      </c>
      <c r="AI56" s="29">
        <f>IF(H56="","",IF(AG56&lt;&gt;"",AG56,ROUND(U56+V56+Y56+AA56+AC56-AF56,2)))</f>
        <v>0</v>
      </c>
      <c r="AJ56" s="29">
        <f>IF(AI56="","",IF(TaxRegistered&lt;&gt;"Yes",0,IF(PricesIncludeTax="Yes",ROUND(AI56-AI56/(1+TaxRate),2),ROUND(AI56*TaxRate,2))))</f>
        <v>0</v>
      </c>
      <c r="AK56" s="29">
        <f>IF(AI56="","",IF(PricesIncludeTax="Yes",AI56,ROUND(AI56+AJ56,2)))</f>
        <v>0</v>
      </c>
      <c r="AQ56" s="21">
        <f>IF(OR(I56="",AP56="",AP56="None"),"",IF(AP56="Monthly",EDATE(I56,1),I56+IF(AP56="Daily",1,IF(AP56="Weekdays",IF(WEEKDAY(I56,2)&gt;=5,8-WEEKDAY(I56,2),1),IF(AP56="Weekly",7,IF(AP56="Fortnightly",14,0))))))</f>
        <v>0</v>
      </c>
      <c r="AR56" s="49">
        <f>IF(OR(I56="",AL56="",K56="",L56=""),"",IF(SUMPRODUCT((Bookings!$AL$5:$AL$404=AL56)*(Bookings!$I$5:$I$404=I56)*(Bookings!$K$5:$K$404&lt;L56)*(Bookings!$L$5:$L$404&gt;K56)*(Bookings!$AM$5:$AM$404&lt;&gt;"Cancelled"))&gt;1,"Conflict - double booked","OK"))</f>
        <v>0</v>
      </c>
      <c r="AS56" s="50">
        <f>IF(A56="","",IF(COUNTIF('Visit Log'!$B$5:$B$404,A56)&gt;0,"Yes","No"))</f>
        <v>0</v>
      </c>
      <c r="AT56" s="28">
        <f>IF(A56="","",IFERROR(INDEX(Invoices!$A$5:$A$304,MATCH(A56,Invoices!$E$5:$E$304,0)),""))</f>
        <v>0</v>
      </c>
      <c r="AU56" s="49">
        <f>IF(A56="","",IF(AT56="","Not invoiced",IFERROR(INDEX(Invoices!$U$5:$U$304,MATCH(AT56,Invoices!$A$5:$A$304,0)),"")))</f>
        <v>0</v>
      </c>
      <c r="AY56" s="28">
        <f>IF(I56="","",TEXT(I56,"yyyy-mm"))</f>
        <v>0</v>
      </c>
      <c r="AZ56" s="49">
        <f>IF(I56="","",IF(AM56="Cancelled","Cancelled",IF(AND(I56&lt;TODAY(),OR(AM56="Pending",AM56="Confirmed",AM56="Enquiry")),"Overdue - update status",IF(AND(AM56="Completed",AS56="No"),"Action - log the visit",IF(I56=TODAY(),"Today",IF(AND(I56&gt;TODAY(),I56-TODAY()&lt;=ReminderLeadDays,AN56&lt;&gt;"Yes"),"Action - unconfirmed",IF(AND(I56&gt;TODAY(),I56-TODAY()&lt;=ReminderLeadDays),"Upcoming","OK")))))))</f>
        <v>0</v>
      </c>
    </row>
    <row r="57" spans="1:52">
      <c r="A57" s="46">
        <f>IF(C57="","",BookingPrefix&amp;TEXT(ROW()-4,"0000"))</f>
        <v>0</v>
      </c>
      <c r="D57" s="28">
        <f>IF(C57="","",IFERROR(INDEX(Clients!$A$5:$A$254,MATCH(C57,Clients!$B$5:$B$254,0)),""))</f>
        <v>0</v>
      </c>
      <c r="J57" s="50">
        <f>IF(I57="","",TEXT(I57,"ddd"))</f>
        <v>0</v>
      </c>
      <c r="M57" s="51">
        <f>IF(OR(K57="",L57=""),"",ROUND((L57-K57+IF(L57&lt;K57,1,0))*24,2))</f>
        <v>0</v>
      </c>
      <c r="O57" s="28">
        <f>IF(H57="","",IFERROR(INDEX(Services!$E$5:$E$54,MATCH(H57,Services!$B$5:$B$54,0)),""))</f>
        <v>0</v>
      </c>
      <c r="P57" s="29">
        <f>IF(H57="","",IFERROR(INDEX(Services!$G$5:$G$54,MATCH(H57,Services!$B$5:$B$54,0)),0))</f>
        <v>0</v>
      </c>
      <c r="Q57" s="29">
        <f>IF(H57="","",IF(IFERROR(INDEX(Services!$H$5:$H$54,MATCH(H57,Services!$B$5:$B$54,0)),0)=0,ExtraPetFeeDefault,IFERROR(INDEX(Services!$H$5:$H$54,MATCH(H57,Services!$B$5:$B$54,0)),0)))</f>
        <v>0</v>
      </c>
      <c r="R57" s="30">
        <f>IF(H57="","",IF(IFERROR(INDEX(Services!$I$5:$I$54,MATCH(H57,Services!$B$5:$B$54,0)),0)=0,HolidaySurcharge,IFERROR(INDEX(Services!$I$5:$I$54,MATCH(H57,Services!$B$5:$B$54,0)),0)))</f>
        <v>0</v>
      </c>
      <c r="S57" s="30">
        <f>IF(H57="","",IF(IFERROR(INDEX(Services!$J$5:$J$54,MATCH(H57,Services!$B$5:$B$54,0)),0)=0,WeekendSurcharge,IFERROR(INDEX(Services!$J$5:$J$54,MATCH(H57,Services!$B$5:$B$54,0)),0)))</f>
        <v>0</v>
      </c>
      <c r="T57" s="50">
        <f>IF(H57="","",IFERROR(INDEX(Services!$K$5:$K$54,MATCH(H57,Services!$B$5:$B$54,0)),"No"))</f>
        <v>0</v>
      </c>
      <c r="U57" s="29">
        <f>IF(H57="","",ROUND(IF(O57="Per hour",P57*IF(M57="",IF(N57="",1,N57),M57),P57*IF(N57="",1,N57)),2))</f>
        <v>0</v>
      </c>
      <c r="V57" s="29">
        <f>IF(H57="","",ROUND(MAX(0,IF(G57="",1,G57)-1)*Q57,2))</f>
        <v>0</v>
      </c>
      <c r="W57" s="50">
        <f>IF(I57="","",IF(COUNTIF(HolidayDates,I57)&gt;0,"Yes","No"))</f>
        <v>0</v>
      </c>
      <c r="X57" s="50">
        <f>IF(I57="","",IF(WEEKDAY(I57,2)&gt;5,"Yes","No"))</f>
        <v>0</v>
      </c>
      <c r="Y57" s="29">
        <f>IF(H57="","",ROUND((U57+V57)*(IF(W57="Yes",R57,0)+IF(X57="Yes",S57,0)),2))</f>
        <v>0</v>
      </c>
      <c r="AA57" s="29">
        <f>IF(H57="","",IF(T57&lt;&gt;"Yes",0,ROUND(MAX(0,IF(Z57="",0,Z57)-FreeTravelDistance)*TravelFeeRate,2)))</f>
        <v>0</v>
      </c>
      <c r="AB57" s="31">
        <f>IF(I57="","",TravelTimeMins)</f>
        <v>0</v>
      </c>
      <c r="AC57" s="29">
        <f>IF(OR(I57="",B57=""),0,IF(I57-B57&lt;=LastMinuteDays,EmergencyFee,0))</f>
        <v>0</v>
      </c>
      <c r="AF57" s="29">
        <f>IF(H57="","",ROUND((U57+V57+Y57+AA57+AC57)*IF(AE57="",0,AE57),2))</f>
        <v>0</v>
      </c>
      <c r="AI57" s="29">
        <f>IF(H57="","",IF(AG57&lt;&gt;"",AG57,ROUND(U57+V57+Y57+AA57+AC57-AF57,2)))</f>
        <v>0</v>
      </c>
      <c r="AJ57" s="29">
        <f>IF(AI57="","",IF(TaxRegistered&lt;&gt;"Yes",0,IF(PricesIncludeTax="Yes",ROUND(AI57-AI57/(1+TaxRate),2),ROUND(AI57*TaxRate,2))))</f>
        <v>0</v>
      </c>
      <c r="AK57" s="29">
        <f>IF(AI57="","",IF(PricesIncludeTax="Yes",AI57,ROUND(AI57+AJ57,2)))</f>
        <v>0</v>
      </c>
      <c r="AQ57" s="21">
        <f>IF(OR(I57="",AP57="",AP57="None"),"",IF(AP57="Monthly",EDATE(I57,1),I57+IF(AP57="Daily",1,IF(AP57="Weekdays",IF(WEEKDAY(I57,2)&gt;=5,8-WEEKDAY(I57,2),1),IF(AP57="Weekly",7,IF(AP57="Fortnightly",14,0))))))</f>
        <v>0</v>
      </c>
      <c r="AR57" s="49">
        <f>IF(OR(I57="",AL57="",K57="",L57=""),"",IF(SUMPRODUCT((Bookings!$AL$5:$AL$404=AL57)*(Bookings!$I$5:$I$404=I57)*(Bookings!$K$5:$K$404&lt;L57)*(Bookings!$L$5:$L$404&gt;K57)*(Bookings!$AM$5:$AM$404&lt;&gt;"Cancelled"))&gt;1,"Conflict - double booked","OK"))</f>
        <v>0</v>
      </c>
      <c r="AS57" s="50">
        <f>IF(A57="","",IF(COUNTIF('Visit Log'!$B$5:$B$404,A57)&gt;0,"Yes","No"))</f>
        <v>0</v>
      </c>
      <c r="AT57" s="28">
        <f>IF(A57="","",IFERROR(INDEX(Invoices!$A$5:$A$304,MATCH(A57,Invoices!$E$5:$E$304,0)),""))</f>
        <v>0</v>
      </c>
      <c r="AU57" s="49">
        <f>IF(A57="","",IF(AT57="","Not invoiced",IFERROR(INDEX(Invoices!$U$5:$U$304,MATCH(AT57,Invoices!$A$5:$A$304,0)),"")))</f>
        <v>0</v>
      </c>
      <c r="AY57" s="28">
        <f>IF(I57="","",TEXT(I57,"yyyy-mm"))</f>
        <v>0</v>
      </c>
      <c r="AZ57" s="49">
        <f>IF(I57="","",IF(AM57="Cancelled","Cancelled",IF(AND(I57&lt;TODAY(),OR(AM57="Pending",AM57="Confirmed",AM57="Enquiry")),"Overdue - update status",IF(AND(AM57="Completed",AS57="No"),"Action - log the visit",IF(I57=TODAY(),"Today",IF(AND(I57&gt;TODAY(),I57-TODAY()&lt;=ReminderLeadDays,AN57&lt;&gt;"Yes"),"Action - unconfirmed",IF(AND(I57&gt;TODAY(),I57-TODAY()&lt;=ReminderLeadDays),"Upcoming","OK")))))))</f>
        <v>0</v>
      </c>
    </row>
    <row r="58" spans="1:52">
      <c r="A58" s="46">
        <f>IF(C58="","",BookingPrefix&amp;TEXT(ROW()-4,"0000"))</f>
        <v>0</v>
      </c>
      <c r="D58" s="28">
        <f>IF(C58="","",IFERROR(INDEX(Clients!$A$5:$A$254,MATCH(C58,Clients!$B$5:$B$254,0)),""))</f>
        <v>0</v>
      </c>
      <c r="J58" s="50">
        <f>IF(I58="","",TEXT(I58,"ddd"))</f>
        <v>0</v>
      </c>
      <c r="M58" s="51">
        <f>IF(OR(K58="",L58=""),"",ROUND((L58-K58+IF(L58&lt;K58,1,0))*24,2))</f>
        <v>0</v>
      </c>
      <c r="O58" s="28">
        <f>IF(H58="","",IFERROR(INDEX(Services!$E$5:$E$54,MATCH(H58,Services!$B$5:$B$54,0)),""))</f>
        <v>0</v>
      </c>
      <c r="P58" s="29">
        <f>IF(H58="","",IFERROR(INDEX(Services!$G$5:$G$54,MATCH(H58,Services!$B$5:$B$54,0)),0))</f>
        <v>0</v>
      </c>
      <c r="Q58" s="29">
        <f>IF(H58="","",IF(IFERROR(INDEX(Services!$H$5:$H$54,MATCH(H58,Services!$B$5:$B$54,0)),0)=0,ExtraPetFeeDefault,IFERROR(INDEX(Services!$H$5:$H$54,MATCH(H58,Services!$B$5:$B$54,0)),0)))</f>
        <v>0</v>
      </c>
      <c r="R58" s="30">
        <f>IF(H58="","",IF(IFERROR(INDEX(Services!$I$5:$I$54,MATCH(H58,Services!$B$5:$B$54,0)),0)=0,HolidaySurcharge,IFERROR(INDEX(Services!$I$5:$I$54,MATCH(H58,Services!$B$5:$B$54,0)),0)))</f>
        <v>0</v>
      </c>
      <c r="S58" s="30">
        <f>IF(H58="","",IF(IFERROR(INDEX(Services!$J$5:$J$54,MATCH(H58,Services!$B$5:$B$54,0)),0)=0,WeekendSurcharge,IFERROR(INDEX(Services!$J$5:$J$54,MATCH(H58,Services!$B$5:$B$54,0)),0)))</f>
        <v>0</v>
      </c>
      <c r="T58" s="50">
        <f>IF(H58="","",IFERROR(INDEX(Services!$K$5:$K$54,MATCH(H58,Services!$B$5:$B$54,0)),"No"))</f>
        <v>0</v>
      </c>
      <c r="U58" s="29">
        <f>IF(H58="","",ROUND(IF(O58="Per hour",P58*IF(M58="",IF(N58="",1,N58),M58),P58*IF(N58="",1,N58)),2))</f>
        <v>0</v>
      </c>
      <c r="V58" s="29">
        <f>IF(H58="","",ROUND(MAX(0,IF(G58="",1,G58)-1)*Q58,2))</f>
        <v>0</v>
      </c>
      <c r="W58" s="50">
        <f>IF(I58="","",IF(COUNTIF(HolidayDates,I58)&gt;0,"Yes","No"))</f>
        <v>0</v>
      </c>
      <c r="X58" s="50">
        <f>IF(I58="","",IF(WEEKDAY(I58,2)&gt;5,"Yes","No"))</f>
        <v>0</v>
      </c>
      <c r="Y58" s="29">
        <f>IF(H58="","",ROUND((U58+V58)*(IF(W58="Yes",R58,0)+IF(X58="Yes",S58,0)),2))</f>
        <v>0</v>
      </c>
      <c r="AA58" s="29">
        <f>IF(H58="","",IF(T58&lt;&gt;"Yes",0,ROUND(MAX(0,IF(Z58="",0,Z58)-FreeTravelDistance)*TravelFeeRate,2)))</f>
        <v>0</v>
      </c>
      <c r="AB58" s="31">
        <f>IF(I58="","",TravelTimeMins)</f>
        <v>0</v>
      </c>
      <c r="AC58" s="29">
        <f>IF(OR(I58="",B58=""),0,IF(I58-B58&lt;=LastMinuteDays,EmergencyFee,0))</f>
        <v>0</v>
      </c>
      <c r="AF58" s="29">
        <f>IF(H58="","",ROUND((U58+V58+Y58+AA58+AC58)*IF(AE58="",0,AE58),2))</f>
        <v>0</v>
      </c>
      <c r="AI58" s="29">
        <f>IF(H58="","",IF(AG58&lt;&gt;"",AG58,ROUND(U58+V58+Y58+AA58+AC58-AF58,2)))</f>
        <v>0</v>
      </c>
      <c r="AJ58" s="29">
        <f>IF(AI58="","",IF(TaxRegistered&lt;&gt;"Yes",0,IF(PricesIncludeTax="Yes",ROUND(AI58-AI58/(1+TaxRate),2),ROUND(AI58*TaxRate,2))))</f>
        <v>0</v>
      </c>
      <c r="AK58" s="29">
        <f>IF(AI58="","",IF(PricesIncludeTax="Yes",AI58,ROUND(AI58+AJ58,2)))</f>
        <v>0</v>
      </c>
      <c r="AQ58" s="21">
        <f>IF(OR(I58="",AP58="",AP58="None"),"",IF(AP58="Monthly",EDATE(I58,1),I58+IF(AP58="Daily",1,IF(AP58="Weekdays",IF(WEEKDAY(I58,2)&gt;=5,8-WEEKDAY(I58,2),1),IF(AP58="Weekly",7,IF(AP58="Fortnightly",14,0))))))</f>
        <v>0</v>
      </c>
      <c r="AR58" s="49">
        <f>IF(OR(I58="",AL58="",K58="",L58=""),"",IF(SUMPRODUCT((Bookings!$AL$5:$AL$404=AL58)*(Bookings!$I$5:$I$404=I58)*(Bookings!$K$5:$K$404&lt;L58)*(Bookings!$L$5:$L$404&gt;K58)*(Bookings!$AM$5:$AM$404&lt;&gt;"Cancelled"))&gt;1,"Conflict - double booked","OK"))</f>
        <v>0</v>
      </c>
      <c r="AS58" s="50">
        <f>IF(A58="","",IF(COUNTIF('Visit Log'!$B$5:$B$404,A58)&gt;0,"Yes","No"))</f>
        <v>0</v>
      </c>
      <c r="AT58" s="28">
        <f>IF(A58="","",IFERROR(INDEX(Invoices!$A$5:$A$304,MATCH(A58,Invoices!$E$5:$E$304,0)),""))</f>
        <v>0</v>
      </c>
      <c r="AU58" s="49">
        <f>IF(A58="","",IF(AT58="","Not invoiced",IFERROR(INDEX(Invoices!$U$5:$U$304,MATCH(AT58,Invoices!$A$5:$A$304,0)),"")))</f>
        <v>0</v>
      </c>
      <c r="AY58" s="28">
        <f>IF(I58="","",TEXT(I58,"yyyy-mm"))</f>
        <v>0</v>
      </c>
      <c r="AZ58" s="49">
        <f>IF(I58="","",IF(AM58="Cancelled","Cancelled",IF(AND(I58&lt;TODAY(),OR(AM58="Pending",AM58="Confirmed",AM58="Enquiry")),"Overdue - update status",IF(AND(AM58="Completed",AS58="No"),"Action - log the visit",IF(I58=TODAY(),"Today",IF(AND(I58&gt;TODAY(),I58-TODAY()&lt;=ReminderLeadDays,AN58&lt;&gt;"Yes"),"Action - unconfirmed",IF(AND(I58&gt;TODAY(),I58-TODAY()&lt;=ReminderLeadDays),"Upcoming","OK")))))))</f>
        <v>0</v>
      </c>
    </row>
    <row r="59" spans="1:52">
      <c r="A59" s="46">
        <f>IF(C59="","",BookingPrefix&amp;TEXT(ROW()-4,"0000"))</f>
        <v>0</v>
      </c>
      <c r="D59" s="28">
        <f>IF(C59="","",IFERROR(INDEX(Clients!$A$5:$A$254,MATCH(C59,Clients!$B$5:$B$254,0)),""))</f>
        <v>0</v>
      </c>
      <c r="J59" s="50">
        <f>IF(I59="","",TEXT(I59,"ddd"))</f>
        <v>0</v>
      </c>
      <c r="M59" s="51">
        <f>IF(OR(K59="",L59=""),"",ROUND((L59-K59+IF(L59&lt;K59,1,0))*24,2))</f>
        <v>0</v>
      </c>
      <c r="O59" s="28">
        <f>IF(H59="","",IFERROR(INDEX(Services!$E$5:$E$54,MATCH(H59,Services!$B$5:$B$54,0)),""))</f>
        <v>0</v>
      </c>
      <c r="P59" s="29">
        <f>IF(H59="","",IFERROR(INDEX(Services!$G$5:$G$54,MATCH(H59,Services!$B$5:$B$54,0)),0))</f>
        <v>0</v>
      </c>
      <c r="Q59" s="29">
        <f>IF(H59="","",IF(IFERROR(INDEX(Services!$H$5:$H$54,MATCH(H59,Services!$B$5:$B$54,0)),0)=0,ExtraPetFeeDefault,IFERROR(INDEX(Services!$H$5:$H$54,MATCH(H59,Services!$B$5:$B$54,0)),0)))</f>
        <v>0</v>
      </c>
      <c r="R59" s="30">
        <f>IF(H59="","",IF(IFERROR(INDEX(Services!$I$5:$I$54,MATCH(H59,Services!$B$5:$B$54,0)),0)=0,HolidaySurcharge,IFERROR(INDEX(Services!$I$5:$I$54,MATCH(H59,Services!$B$5:$B$54,0)),0)))</f>
        <v>0</v>
      </c>
      <c r="S59" s="30">
        <f>IF(H59="","",IF(IFERROR(INDEX(Services!$J$5:$J$54,MATCH(H59,Services!$B$5:$B$54,0)),0)=0,WeekendSurcharge,IFERROR(INDEX(Services!$J$5:$J$54,MATCH(H59,Services!$B$5:$B$54,0)),0)))</f>
        <v>0</v>
      </c>
      <c r="T59" s="50">
        <f>IF(H59="","",IFERROR(INDEX(Services!$K$5:$K$54,MATCH(H59,Services!$B$5:$B$54,0)),"No"))</f>
        <v>0</v>
      </c>
      <c r="U59" s="29">
        <f>IF(H59="","",ROUND(IF(O59="Per hour",P59*IF(M59="",IF(N59="",1,N59),M59),P59*IF(N59="",1,N59)),2))</f>
        <v>0</v>
      </c>
      <c r="V59" s="29">
        <f>IF(H59="","",ROUND(MAX(0,IF(G59="",1,G59)-1)*Q59,2))</f>
        <v>0</v>
      </c>
      <c r="W59" s="50">
        <f>IF(I59="","",IF(COUNTIF(HolidayDates,I59)&gt;0,"Yes","No"))</f>
        <v>0</v>
      </c>
      <c r="X59" s="50">
        <f>IF(I59="","",IF(WEEKDAY(I59,2)&gt;5,"Yes","No"))</f>
        <v>0</v>
      </c>
      <c r="Y59" s="29">
        <f>IF(H59="","",ROUND((U59+V59)*(IF(W59="Yes",R59,0)+IF(X59="Yes",S59,0)),2))</f>
        <v>0</v>
      </c>
      <c r="AA59" s="29">
        <f>IF(H59="","",IF(T59&lt;&gt;"Yes",0,ROUND(MAX(0,IF(Z59="",0,Z59)-FreeTravelDistance)*TravelFeeRate,2)))</f>
        <v>0</v>
      </c>
      <c r="AB59" s="31">
        <f>IF(I59="","",TravelTimeMins)</f>
        <v>0</v>
      </c>
      <c r="AC59" s="29">
        <f>IF(OR(I59="",B59=""),0,IF(I59-B59&lt;=LastMinuteDays,EmergencyFee,0))</f>
        <v>0</v>
      </c>
      <c r="AF59" s="29">
        <f>IF(H59="","",ROUND((U59+V59+Y59+AA59+AC59)*IF(AE59="",0,AE59),2))</f>
        <v>0</v>
      </c>
      <c r="AI59" s="29">
        <f>IF(H59="","",IF(AG59&lt;&gt;"",AG59,ROUND(U59+V59+Y59+AA59+AC59-AF59,2)))</f>
        <v>0</v>
      </c>
      <c r="AJ59" s="29">
        <f>IF(AI59="","",IF(TaxRegistered&lt;&gt;"Yes",0,IF(PricesIncludeTax="Yes",ROUND(AI59-AI59/(1+TaxRate),2),ROUND(AI59*TaxRate,2))))</f>
        <v>0</v>
      </c>
      <c r="AK59" s="29">
        <f>IF(AI59="","",IF(PricesIncludeTax="Yes",AI59,ROUND(AI59+AJ59,2)))</f>
        <v>0</v>
      </c>
      <c r="AQ59" s="21">
        <f>IF(OR(I59="",AP59="",AP59="None"),"",IF(AP59="Monthly",EDATE(I59,1),I59+IF(AP59="Daily",1,IF(AP59="Weekdays",IF(WEEKDAY(I59,2)&gt;=5,8-WEEKDAY(I59,2),1),IF(AP59="Weekly",7,IF(AP59="Fortnightly",14,0))))))</f>
        <v>0</v>
      </c>
      <c r="AR59" s="49">
        <f>IF(OR(I59="",AL59="",K59="",L59=""),"",IF(SUMPRODUCT((Bookings!$AL$5:$AL$404=AL59)*(Bookings!$I$5:$I$404=I59)*(Bookings!$K$5:$K$404&lt;L59)*(Bookings!$L$5:$L$404&gt;K59)*(Bookings!$AM$5:$AM$404&lt;&gt;"Cancelled"))&gt;1,"Conflict - double booked","OK"))</f>
        <v>0</v>
      </c>
      <c r="AS59" s="50">
        <f>IF(A59="","",IF(COUNTIF('Visit Log'!$B$5:$B$404,A59)&gt;0,"Yes","No"))</f>
        <v>0</v>
      </c>
      <c r="AT59" s="28">
        <f>IF(A59="","",IFERROR(INDEX(Invoices!$A$5:$A$304,MATCH(A59,Invoices!$E$5:$E$304,0)),""))</f>
        <v>0</v>
      </c>
      <c r="AU59" s="49">
        <f>IF(A59="","",IF(AT59="","Not invoiced",IFERROR(INDEX(Invoices!$U$5:$U$304,MATCH(AT59,Invoices!$A$5:$A$304,0)),"")))</f>
        <v>0</v>
      </c>
      <c r="AY59" s="28">
        <f>IF(I59="","",TEXT(I59,"yyyy-mm"))</f>
        <v>0</v>
      </c>
      <c r="AZ59" s="49">
        <f>IF(I59="","",IF(AM59="Cancelled","Cancelled",IF(AND(I59&lt;TODAY(),OR(AM59="Pending",AM59="Confirmed",AM59="Enquiry")),"Overdue - update status",IF(AND(AM59="Completed",AS59="No"),"Action - log the visit",IF(I59=TODAY(),"Today",IF(AND(I59&gt;TODAY(),I59-TODAY()&lt;=ReminderLeadDays,AN59&lt;&gt;"Yes"),"Action - unconfirmed",IF(AND(I59&gt;TODAY(),I59-TODAY()&lt;=ReminderLeadDays),"Upcoming","OK")))))))</f>
        <v>0</v>
      </c>
    </row>
    <row r="60" spans="1:52">
      <c r="A60" s="46">
        <f>IF(C60="","",BookingPrefix&amp;TEXT(ROW()-4,"0000"))</f>
        <v>0</v>
      </c>
      <c r="D60" s="28">
        <f>IF(C60="","",IFERROR(INDEX(Clients!$A$5:$A$254,MATCH(C60,Clients!$B$5:$B$254,0)),""))</f>
        <v>0</v>
      </c>
      <c r="J60" s="50">
        <f>IF(I60="","",TEXT(I60,"ddd"))</f>
        <v>0</v>
      </c>
      <c r="M60" s="51">
        <f>IF(OR(K60="",L60=""),"",ROUND((L60-K60+IF(L60&lt;K60,1,0))*24,2))</f>
        <v>0</v>
      </c>
      <c r="O60" s="28">
        <f>IF(H60="","",IFERROR(INDEX(Services!$E$5:$E$54,MATCH(H60,Services!$B$5:$B$54,0)),""))</f>
        <v>0</v>
      </c>
      <c r="P60" s="29">
        <f>IF(H60="","",IFERROR(INDEX(Services!$G$5:$G$54,MATCH(H60,Services!$B$5:$B$54,0)),0))</f>
        <v>0</v>
      </c>
      <c r="Q60" s="29">
        <f>IF(H60="","",IF(IFERROR(INDEX(Services!$H$5:$H$54,MATCH(H60,Services!$B$5:$B$54,0)),0)=0,ExtraPetFeeDefault,IFERROR(INDEX(Services!$H$5:$H$54,MATCH(H60,Services!$B$5:$B$54,0)),0)))</f>
        <v>0</v>
      </c>
      <c r="R60" s="30">
        <f>IF(H60="","",IF(IFERROR(INDEX(Services!$I$5:$I$54,MATCH(H60,Services!$B$5:$B$54,0)),0)=0,HolidaySurcharge,IFERROR(INDEX(Services!$I$5:$I$54,MATCH(H60,Services!$B$5:$B$54,0)),0)))</f>
        <v>0</v>
      </c>
      <c r="S60" s="30">
        <f>IF(H60="","",IF(IFERROR(INDEX(Services!$J$5:$J$54,MATCH(H60,Services!$B$5:$B$54,0)),0)=0,WeekendSurcharge,IFERROR(INDEX(Services!$J$5:$J$54,MATCH(H60,Services!$B$5:$B$54,0)),0)))</f>
        <v>0</v>
      </c>
      <c r="T60" s="50">
        <f>IF(H60="","",IFERROR(INDEX(Services!$K$5:$K$54,MATCH(H60,Services!$B$5:$B$54,0)),"No"))</f>
        <v>0</v>
      </c>
      <c r="U60" s="29">
        <f>IF(H60="","",ROUND(IF(O60="Per hour",P60*IF(M60="",IF(N60="",1,N60),M60),P60*IF(N60="",1,N60)),2))</f>
        <v>0</v>
      </c>
      <c r="V60" s="29">
        <f>IF(H60="","",ROUND(MAX(0,IF(G60="",1,G60)-1)*Q60,2))</f>
        <v>0</v>
      </c>
      <c r="W60" s="50">
        <f>IF(I60="","",IF(COUNTIF(HolidayDates,I60)&gt;0,"Yes","No"))</f>
        <v>0</v>
      </c>
      <c r="X60" s="50">
        <f>IF(I60="","",IF(WEEKDAY(I60,2)&gt;5,"Yes","No"))</f>
        <v>0</v>
      </c>
      <c r="Y60" s="29">
        <f>IF(H60="","",ROUND((U60+V60)*(IF(W60="Yes",R60,0)+IF(X60="Yes",S60,0)),2))</f>
        <v>0</v>
      </c>
      <c r="AA60" s="29">
        <f>IF(H60="","",IF(T60&lt;&gt;"Yes",0,ROUND(MAX(0,IF(Z60="",0,Z60)-FreeTravelDistance)*TravelFeeRate,2)))</f>
        <v>0</v>
      </c>
      <c r="AB60" s="31">
        <f>IF(I60="","",TravelTimeMins)</f>
        <v>0</v>
      </c>
      <c r="AC60" s="29">
        <f>IF(OR(I60="",B60=""),0,IF(I60-B60&lt;=LastMinuteDays,EmergencyFee,0))</f>
        <v>0</v>
      </c>
      <c r="AF60" s="29">
        <f>IF(H60="","",ROUND((U60+V60+Y60+AA60+AC60)*IF(AE60="",0,AE60),2))</f>
        <v>0</v>
      </c>
      <c r="AI60" s="29">
        <f>IF(H60="","",IF(AG60&lt;&gt;"",AG60,ROUND(U60+V60+Y60+AA60+AC60-AF60,2)))</f>
        <v>0</v>
      </c>
      <c r="AJ60" s="29">
        <f>IF(AI60="","",IF(TaxRegistered&lt;&gt;"Yes",0,IF(PricesIncludeTax="Yes",ROUND(AI60-AI60/(1+TaxRate),2),ROUND(AI60*TaxRate,2))))</f>
        <v>0</v>
      </c>
      <c r="AK60" s="29">
        <f>IF(AI60="","",IF(PricesIncludeTax="Yes",AI60,ROUND(AI60+AJ60,2)))</f>
        <v>0</v>
      </c>
      <c r="AQ60" s="21">
        <f>IF(OR(I60="",AP60="",AP60="None"),"",IF(AP60="Monthly",EDATE(I60,1),I60+IF(AP60="Daily",1,IF(AP60="Weekdays",IF(WEEKDAY(I60,2)&gt;=5,8-WEEKDAY(I60,2),1),IF(AP60="Weekly",7,IF(AP60="Fortnightly",14,0))))))</f>
        <v>0</v>
      </c>
      <c r="AR60" s="49">
        <f>IF(OR(I60="",AL60="",K60="",L60=""),"",IF(SUMPRODUCT((Bookings!$AL$5:$AL$404=AL60)*(Bookings!$I$5:$I$404=I60)*(Bookings!$K$5:$K$404&lt;L60)*(Bookings!$L$5:$L$404&gt;K60)*(Bookings!$AM$5:$AM$404&lt;&gt;"Cancelled"))&gt;1,"Conflict - double booked","OK"))</f>
        <v>0</v>
      </c>
      <c r="AS60" s="50">
        <f>IF(A60="","",IF(COUNTIF('Visit Log'!$B$5:$B$404,A60)&gt;0,"Yes","No"))</f>
        <v>0</v>
      </c>
      <c r="AT60" s="28">
        <f>IF(A60="","",IFERROR(INDEX(Invoices!$A$5:$A$304,MATCH(A60,Invoices!$E$5:$E$304,0)),""))</f>
        <v>0</v>
      </c>
      <c r="AU60" s="49">
        <f>IF(A60="","",IF(AT60="","Not invoiced",IFERROR(INDEX(Invoices!$U$5:$U$304,MATCH(AT60,Invoices!$A$5:$A$304,0)),"")))</f>
        <v>0</v>
      </c>
      <c r="AY60" s="28">
        <f>IF(I60="","",TEXT(I60,"yyyy-mm"))</f>
        <v>0</v>
      </c>
      <c r="AZ60" s="49">
        <f>IF(I60="","",IF(AM60="Cancelled","Cancelled",IF(AND(I60&lt;TODAY(),OR(AM60="Pending",AM60="Confirmed",AM60="Enquiry")),"Overdue - update status",IF(AND(AM60="Completed",AS60="No"),"Action - log the visit",IF(I60=TODAY(),"Today",IF(AND(I60&gt;TODAY(),I60-TODAY()&lt;=ReminderLeadDays,AN60&lt;&gt;"Yes"),"Action - unconfirmed",IF(AND(I60&gt;TODAY(),I60-TODAY()&lt;=ReminderLeadDays),"Upcoming","OK")))))))</f>
        <v>0</v>
      </c>
    </row>
    <row r="61" spans="1:52">
      <c r="A61" s="46">
        <f>IF(C61="","",BookingPrefix&amp;TEXT(ROW()-4,"0000"))</f>
        <v>0</v>
      </c>
      <c r="D61" s="28">
        <f>IF(C61="","",IFERROR(INDEX(Clients!$A$5:$A$254,MATCH(C61,Clients!$B$5:$B$254,0)),""))</f>
        <v>0</v>
      </c>
      <c r="J61" s="50">
        <f>IF(I61="","",TEXT(I61,"ddd"))</f>
        <v>0</v>
      </c>
      <c r="M61" s="51">
        <f>IF(OR(K61="",L61=""),"",ROUND((L61-K61+IF(L61&lt;K61,1,0))*24,2))</f>
        <v>0</v>
      </c>
      <c r="O61" s="28">
        <f>IF(H61="","",IFERROR(INDEX(Services!$E$5:$E$54,MATCH(H61,Services!$B$5:$B$54,0)),""))</f>
        <v>0</v>
      </c>
      <c r="P61" s="29">
        <f>IF(H61="","",IFERROR(INDEX(Services!$G$5:$G$54,MATCH(H61,Services!$B$5:$B$54,0)),0))</f>
        <v>0</v>
      </c>
      <c r="Q61" s="29">
        <f>IF(H61="","",IF(IFERROR(INDEX(Services!$H$5:$H$54,MATCH(H61,Services!$B$5:$B$54,0)),0)=0,ExtraPetFeeDefault,IFERROR(INDEX(Services!$H$5:$H$54,MATCH(H61,Services!$B$5:$B$54,0)),0)))</f>
        <v>0</v>
      </c>
      <c r="R61" s="30">
        <f>IF(H61="","",IF(IFERROR(INDEX(Services!$I$5:$I$54,MATCH(H61,Services!$B$5:$B$54,0)),0)=0,HolidaySurcharge,IFERROR(INDEX(Services!$I$5:$I$54,MATCH(H61,Services!$B$5:$B$54,0)),0)))</f>
        <v>0</v>
      </c>
      <c r="S61" s="30">
        <f>IF(H61="","",IF(IFERROR(INDEX(Services!$J$5:$J$54,MATCH(H61,Services!$B$5:$B$54,0)),0)=0,WeekendSurcharge,IFERROR(INDEX(Services!$J$5:$J$54,MATCH(H61,Services!$B$5:$B$54,0)),0)))</f>
        <v>0</v>
      </c>
      <c r="T61" s="50">
        <f>IF(H61="","",IFERROR(INDEX(Services!$K$5:$K$54,MATCH(H61,Services!$B$5:$B$54,0)),"No"))</f>
        <v>0</v>
      </c>
      <c r="U61" s="29">
        <f>IF(H61="","",ROUND(IF(O61="Per hour",P61*IF(M61="",IF(N61="",1,N61),M61),P61*IF(N61="",1,N61)),2))</f>
        <v>0</v>
      </c>
      <c r="V61" s="29">
        <f>IF(H61="","",ROUND(MAX(0,IF(G61="",1,G61)-1)*Q61,2))</f>
        <v>0</v>
      </c>
      <c r="W61" s="50">
        <f>IF(I61="","",IF(COUNTIF(HolidayDates,I61)&gt;0,"Yes","No"))</f>
        <v>0</v>
      </c>
      <c r="X61" s="50">
        <f>IF(I61="","",IF(WEEKDAY(I61,2)&gt;5,"Yes","No"))</f>
        <v>0</v>
      </c>
      <c r="Y61" s="29">
        <f>IF(H61="","",ROUND((U61+V61)*(IF(W61="Yes",R61,0)+IF(X61="Yes",S61,0)),2))</f>
        <v>0</v>
      </c>
      <c r="AA61" s="29">
        <f>IF(H61="","",IF(T61&lt;&gt;"Yes",0,ROUND(MAX(0,IF(Z61="",0,Z61)-FreeTravelDistance)*TravelFeeRate,2)))</f>
        <v>0</v>
      </c>
      <c r="AB61" s="31">
        <f>IF(I61="","",TravelTimeMins)</f>
        <v>0</v>
      </c>
      <c r="AC61" s="29">
        <f>IF(OR(I61="",B61=""),0,IF(I61-B61&lt;=LastMinuteDays,EmergencyFee,0))</f>
        <v>0</v>
      </c>
      <c r="AF61" s="29">
        <f>IF(H61="","",ROUND((U61+V61+Y61+AA61+AC61)*IF(AE61="",0,AE61),2))</f>
        <v>0</v>
      </c>
      <c r="AI61" s="29">
        <f>IF(H61="","",IF(AG61&lt;&gt;"",AG61,ROUND(U61+V61+Y61+AA61+AC61-AF61,2)))</f>
        <v>0</v>
      </c>
      <c r="AJ61" s="29">
        <f>IF(AI61="","",IF(TaxRegistered&lt;&gt;"Yes",0,IF(PricesIncludeTax="Yes",ROUND(AI61-AI61/(1+TaxRate),2),ROUND(AI61*TaxRate,2))))</f>
        <v>0</v>
      </c>
      <c r="AK61" s="29">
        <f>IF(AI61="","",IF(PricesIncludeTax="Yes",AI61,ROUND(AI61+AJ61,2)))</f>
        <v>0</v>
      </c>
      <c r="AQ61" s="21">
        <f>IF(OR(I61="",AP61="",AP61="None"),"",IF(AP61="Monthly",EDATE(I61,1),I61+IF(AP61="Daily",1,IF(AP61="Weekdays",IF(WEEKDAY(I61,2)&gt;=5,8-WEEKDAY(I61,2),1),IF(AP61="Weekly",7,IF(AP61="Fortnightly",14,0))))))</f>
        <v>0</v>
      </c>
      <c r="AR61" s="49">
        <f>IF(OR(I61="",AL61="",K61="",L61=""),"",IF(SUMPRODUCT((Bookings!$AL$5:$AL$404=AL61)*(Bookings!$I$5:$I$404=I61)*(Bookings!$K$5:$K$404&lt;L61)*(Bookings!$L$5:$L$404&gt;K61)*(Bookings!$AM$5:$AM$404&lt;&gt;"Cancelled"))&gt;1,"Conflict - double booked","OK"))</f>
        <v>0</v>
      </c>
      <c r="AS61" s="50">
        <f>IF(A61="","",IF(COUNTIF('Visit Log'!$B$5:$B$404,A61)&gt;0,"Yes","No"))</f>
        <v>0</v>
      </c>
      <c r="AT61" s="28">
        <f>IF(A61="","",IFERROR(INDEX(Invoices!$A$5:$A$304,MATCH(A61,Invoices!$E$5:$E$304,0)),""))</f>
        <v>0</v>
      </c>
      <c r="AU61" s="49">
        <f>IF(A61="","",IF(AT61="","Not invoiced",IFERROR(INDEX(Invoices!$U$5:$U$304,MATCH(AT61,Invoices!$A$5:$A$304,0)),"")))</f>
        <v>0</v>
      </c>
      <c r="AY61" s="28">
        <f>IF(I61="","",TEXT(I61,"yyyy-mm"))</f>
        <v>0</v>
      </c>
      <c r="AZ61" s="49">
        <f>IF(I61="","",IF(AM61="Cancelled","Cancelled",IF(AND(I61&lt;TODAY(),OR(AM61="Pending",AM61="Confirmed",AM61="Enquiry")),"Overdue - update status",IF(AND(AM61="Completed",AS61="No"),"Action - log the visit",IF(I61=TODAY(),"Today",IF(AND(I61&gt;TODAY(),I61-TODAY()&lt;=ReminderLeadDays,AN61&lt;&gt;"Yes"),"Action - unconfirmed",IF(AND(I61&gt;TODAY(),I61-TODAY()&lt;=ReminderLeadDays),"Upcoming","OK")))))))</f>
        <v>0</v>
      </c>
    </row>
    <row r="62" spans="1:52">
      <c r="A62" s="46">
        <f>IF(C62="","",BookingPrefix&amp;TEXT(ROW()-4,"0000"))</f>
        <v>0</v>
      </c>
      <c r="D62" s="28">
        <f>IF(C62="","",IFERROR(INDEX(Clients!$A$5:$A$254,MATCH(C62,Clients!$B$5:$B$254,0)),""))</f>
        <v>0</v>
      </c>
      <c r="J62" s="50">
        <f>IF(I62="","",TEXT(I62,"ddd"))</f>
        <v>0</v>
      </c>
      <c r="M62" s="51">
        <f>IF(OR(K62="",L62=""),"",ROUND((L62-K62+IF(L62&lt;K62,1,0))*24,2))</f>
        <v>0</v>
      </c>
      <c r="O62" s="28">
        <f>IF(H62="","",IFERROR(INDEX(Services!$E$5:$E$54,MATCH(H62,Services!$B$5:$B$54,0)),""))</f>
        <v>0</v>
      </c>
      <c r="P62" s="29">
        <f>IF(H62="","",IFERROR(INDEX(Services!$G$5:$G$54,MATCH(H62,Services!$B$5:$B$54,0)),0))</f>
        <v>0</v>
      </c>
      <c r="Q62" s="29">
        <f>IF(H62="","",IF(IFERROR(INDEX(Services!$H$5:$H$54,MATCH(H62,Services!$B$5:$B$54,0)),0)=0,ExtraPetFeeDefault,IFERROR(INDEX(Services!$H$5:$H$54,MATCH(H62,Services!$B$5:$B$54,0)),0)))</f>
        <v>0</v>
      </c>
      <c r="R62" s="30">
        <f>IF(H62="","",IF(IFERROR(INDEX(Services!$I$5:$I$54,MATCH(H62,Services!$B$5:$B$54,0)),0)=0,HolidaySurcharge,IFERROR(INDEX(Services!$I$5:$I$54,MATCH(H62,Services!$B$5:$B$54,0)),0)))</f>
        <v>0</v>
      </c>
      <c r="S62" s="30">
        <f>IF(H62="","",IF(IFERROR(INDEX(Services!$J$5:$J$54,MATCH(H62,Services!$B$5:$B$54,0)),0)=0,WeekendSurcharge,IFERROR(INDEX(Services!$J$5:$J$54,MATCH(H62,Services!$B$5:$B$54,0)),0)))</f>
        <v>0</v>
      </c>
      <c r="T62" s="50">
        <f>IF(H62="","",IFERROR(INDEX(Services!$K$5:$K$54,MATCH(H62,Services!$B$5:$B$54,0)),"No"))</f>
        <v>0</v>
      </c>
      <c r="U62" s="29">
        <f>IF(H62="","",ROUND(IF(O62="Per hour",P62*IF(M62="",IF(N62="",1,N62),M62),P62*IF(N62="",1,N62)),2))</f>
        <v>0</v>
      </c>
      <c r="V62" s="29">
        <f>IF(H62="","",ROUND(MAX(0,IF(G62="",1,G62)-1)*Q62,2))</f>
        <v>0</v>
      </c>
      <c r="W62" s="50">
        <f>IF(I62="","",IF(COUNTIF(HolidayDates,I62)&gt;0,"Yes","No"))</f>
        <v>0</v>
      </c>
      <c r="X62" s="50">
        <f>IF(I62="","",IF(WEEKDAY(I62,2)&gt;5,"Yes","No"))</f>
        <v>0</v>
      </c>
      <c r="Y62" s="29">
        <f>IF(H62="","",ROUND((U62+V62)*(IF(W62="Yes",R62,0)+IF(X62="Yes",S62,0)),2))</f>
        <v>0</v>
      </c>
      <c r="AA62" s="29">
        <f>IF(H62="","",IF(T62&lt;&gt;"Yes",0,ROUND(MAX(0,IF(Z62="",0,Z62)-FreeTravelDistance)*TravelFeeRate,2)))</f>
        <v>0</v>
      </c>
      <c r="AB62" s="31">
        <f>IF(I62="","",TravelTimeMins)</f>
        <v>0</v>
      </c>
      <c r="AC62" s="29">
        <f>IF(OR(I62="",B62=""),0,IF(I62-B62&lt;=LastMinuteDays,EmergencyFee,0))</f>
        <v>0</v>
      </c>
      <c r="AF62" s="29">
        <f>IF(H62="","",ROUND((U62+V62+Y62+AA62+AC62)*IF(AE62="",0,AE62),2))</f>
        <v>0</v>
      </c>
      <c r="AI62" s="29">
        <f>IF(H62="","",IF(AG62&lt;&gt;"",AG62,ROUND(U62+V62+Y62+AA62+AC62-AF62,2)))</f>
        <v>0</v>
      </c>
      <c r="AJ62" s="29">
        <f>IF(AI62="","",IF(TaxRegistered&lt;&gt;"Yes",0,IF(PricesIncludeTax="Yes",ROUND(AI62-AI62/(1+TaxRate),2),ROUND(AI62*TaxRate,2))))</f>
        <v>0</v>
      </c>
      <c r="AK62" s="29">
        <f>IF(AI62="","",IF(PricesIncludeTax="Yes",AI62,ROUND(AI62+AJ62,2)))</f>
        <v>0</v>
      </c>
      <c r="AQ62" s="21">
        <f>IF(OR(I62="",AP62="",AP62="None"),"",IF(AP62="Monthly",EDATE(I62,1),I62+IF(AP62="Daily",1,IF(AP62="Weekdays",IF(WEEKDAY(I62,2)&gt;=5,8-WEEKDAY(I62,2),1),IF(AP62="Weekly",7,IF(AP62="Fortnightly",14,0))))))</f>
        <v>0</v>
      </c>
      <c r="AR62" s="49">
        <f>IF(OR(I62="",AL62="",K62="",L62=""),"",IF(SUMPRODUCT((Bookings!$AL$5:$AL$404=AL62)*(Bookings!$I$5:$I$404=I62)*(Bookings!$K$5:$K$404&lt;L62)*(Bookings!$L$5:$L$404&gt;K62)*(Bookings!$AM$5:$AM$404&lt;&gt;"Cancelled"))&gt;1,"Conflict - double booked","OK"))</f>
        <v>0</v>
      </c>
      <c r="AS62" s="50">
        <f>IF(A62="","",IF(COUNTIF('Visit Log'!$B$5:$B$404,A62)&gt;0,"Yes","No"))</f>
        <v>0</v>
      </c>
      <c r="AT62" s="28">
        <f>IF(A62="","",IFERROR(INDEX(Invoices!$A$5:$A$304,MATCH(A62,Invoices!$E$5:$E$304,0)),""))</f>
        <v>0</v>
      </c>
      <c r="AU62" s="49">
        <f>IF(A62="","",IF(AT62="","Not invoiced",IFERROR(INDEX(Invoices!$U$5:$U$304,MATCH(AT62,Invoices!$A$5:$A$304,0)),"")))</f>
        <v>0</v>
      </c>
      <c r="AY62" s="28">
        <f>IF(I62="","",TEXT(I62,"yyyy-mm"))</f>
        <v>0</v>
      </c>
      <c r="AZ62" s="49">
        <f>IF(I62="","",IF(AM62="Cancelled","Cancelled",IF(AND(I62&lt;TODAY(),OR(AM62="Pending",AM62="Confirmed",AM62="Enquiry")),"Overdue - update status",IF(AND(AM62="Completed",AS62="No"),"Action - log the visit",IF(I62=TODAY(),"Today",IF(AND(I62&gt;TODAY(),I62-TODAY()&lt;=ReminderLeadDays,AN62&lt;&gt;"Yes"),"Action - unconfirmed",IF(AND(I62&gt;TODAY(),I62-TODAY()&lt;=ReminderLeadDays),"Upcoming","OK")))))))</f>
        <v>0</v>
      </c>
    </row>
    <row r="63" spans="1:52">
      <c r="A63" s="46">
        <f>IF(C63="","",BookingPrefix&amp;TEXT(ROW()-4,"0000"))</f>
        <v>0</v>
      </c>
      <c r="D63" s="28">
        <f>IF(C63="","",IFERROR(INDEX(Clients!$A$5:$A$254,MATCH(C63,Clients!$B$5:$B$254,0)),""))</f>
        <v>0</v>
      </c>
      <c r="J63" s="50">
        <f>IF(I63="","",TEXT(I63,"ddd"))</f>
        <v>0</v>
      </c>
      <c r="M63" s="51">
        <f>IF(OR(K63="",L63=""),"",ROUND((L63-K63+IF(L63&lt;K63,1,0))*24,2))</f>
        <v>0</v>
      </c>
      <c r="O63" s="28">
        <f>IF(H63="","",IFERROR(INDEX(Services!$E$5:$E$54,MATCH(H63,Services!$B$5:$B$54,0)),""))</f>
        <v>0</v>
      </c>
      <c r="P63" s="29">
        <f>IF(H63="","",IFERROR(INDEX(Services!$G$5:$G$54,MATCH(H63,Services!$B$5:$B$54,0)),0))</f>
        <v>0</v>
      </c>
      <c r="Q63" s="29">
        <f>IF(H63="","",IF(IFERROR(INDEX(Services!$H$5:$H$54,MATCH(H63,Services!$B$5:$B$54,0)),0)=0,ExtraPetFeeDefault,IFERROR(INDEX(Services!$H$5:$H$54,MATCH(H63,Services!$B$5:$B$54,0)),0)))</f>
        <v>0</v>
      </c>
      <c r="R63" s="30">
        <f>IF(H63="","",IF(IFERROR(INDEX(Services!$I$5:$I$54,MATCH(H63,Services!$B$5:$B$54,0)),0)=0,HolidaySurcharge,IFERROR(INDEX(Services!$I$5:$I$54,MATCH(H63,Services!$B$5:$B$54,0)),0)))</f>
        <v>0</v>
      </c>
      <c r="S63" s="30">
        <f>IF(H63="","",IF(IFERROR(INDEX(Services!$J$5:$J$54,MATCH(H63,Services!$B$5:$B$54,0)),0)=0,WeekendSurcharge,IFERROR(INDEX(Services!$J$5:$J$54,MATCH(H63,Services!$B$5:$B$54,0)),0)))</f>
        <v>0</v>
      </c>
      <c r="T63" s="50">
        <f>IF(H63="","",IFERROR(INDEX(Services!$K$5:$K$54,MATCH(H63,Services!$B$5:$B$54,0)),"No"))</f>
        <v>0</v>
      </c>
      <c r="U63" s="29">
        <f>IF(H63="","",ROUND(IF(O63="Per hour",P63*IF(M63="",IF(N63="",1,N63),M63),P63*IF(N63="",1,N63)),2))</f>
        <v>0</v>
      </c>
      <c r="V63" s="29">
        <f>IF(H63="","",ROUND(MAX(0,IF(G63="",1,G63)-1)*Q63,2))</f>
        <v>0</v>
      </c>
      <c r="W63" s="50">
        <f>IF(I63="","",IF(COUNTIF(HolidayDates,I63)&gt;0,"Yes","No"))</f>
        <v>0</v>
      </c>
      <c r="X63" s="50">
        <f>IF(I63="","",IF(WEEKDAY(I63,2)&gt;5,"Yes","No"))</f>
        <v>0</v>
      </c>
      <c r="Y63" s="29">
        <f>IF(H63="","",ROUND((U63+V63)*(IF(W63="Yes",R63,0)+IF(X63="Yes",S63,0)),2))</f>
        <v>0</v>
      </c>
      <c r="AA63" s="29">
        <f>IF(H63="","",IF(T63&lt;&gt;"Yes",0,ROUND(MAX(0,IF(Z63="",0,Z63)-FreeTravelDistance)*TravelFeeRate,2)))</f>
        <v>0</v>
      </c>
      <c r="AB63" s="31">
        <f>IF(I63="","",TravelTimeMins)</f>
        <v>0</v>
      </c>
      <c r="AC63" s="29">
        <f>IF(OR(I63="",B63=""),0,IF(I63-B63&lt;=LastMinuteDays,EmergencyFee,0))</f>
        <v>0</v>
      </c>
      <c r="AF63" s="29">
        <f>IF(H63="","",ROUND((U63+V63+Y63+AA63+AC63)*IF(AE63="",0,AE63),2))</f>
        <v>0</v>
      </c>
      <c r="AI63" s="29">
        <f>IF(H63="","",IF(AG63&lt;&gt;"",AG63,ROUND(U63+V63+Y63+AA63+AC63-AF63,2)))</f>
        <v>0</v>
      </c>
      <c r="AJ63" s="29">
        <f>IF(AI63="","",IF(TaxRegistered&lt;&gt;"Yes",0,IF(PricesIncludeTax="Yes",ROUND(AI63-AI63/(1+TaxRate),2),ROUND(AI63*TaxRate,2))))</f>
        <v>0</v>
      </c>
      <c r="AK63" s="29">
        <f>IF(AI63="","",IF(PricesIncludeTax="Yes",AI63,ROUND(AI63+AJ63,2)))</f>
        <v>0</v>
      </c>
      <c r="AQ63" s="21">
        <f>IF(OR(I63="",AP63="",AP63="None"),"",IF(AP63="Monthly",EDATE(I63,1),I63+IF(AP63="Daily",1,IF(AP63="Weekdays",IF(WEEKDAY(I63,2)&gt;=5,8-WEEKDAY(I63,2),1),IF(AP63="Weekly",7,IF(AP63="Fortnightly",14,0))))))</f>
        <v>0</v>
      </c>
      <c r="AR63" s="49">
        <f>IF(OR(I63="",AL63="",K63="",L63=""),"",IF(SUMPRODUCT((Bookings!$AL$5:$AL$404=AL63)*(Bookings!$I$5:$I$404=I63)*(Bookings!$K$5:$K$404&lt;L63)*(Bookings!$L$5:$L$404&gt;K63)*(Bookings!$AM$5:$AM$404&lt;&gt;"Cancelled"))&gt;1,"Conflict - double booked","OK"))</f>
        <v>0</v>
      </c>
      <c r="AS63" s="50">
        <f>IF(A63="","",IF(COUNTIF('Visit Log'!$B$5:$B$404,A63)&gt;0,"Yes","No"))</f>
        <v>0</v>
      </c>
      <c r="AT63" s="28">
        <f>IF(A63="","",IFERROR(INDEX(Invoices!$A$5:$A$304,MATCH(A63,Invoices!$E$5:$E$304,0)),""))</f>
        <v>0</v>
      </c>
      <c r="AU63" s="49">
        <f>IF(A63="","",IF(AT63="","Not invoiced",IFERROR(INDEX(Invoices!$U$5:$U$304,MATCH(AT63,Invoices!$A$5:$A$304,0)),"")))</f>
        <v>0</v>
      </c>
      <c r="AY63" s="28">
        <f>IF(I63="","",TEXT(I63,"yyyy-mm"))</f>
        <v>0</v>
      </c>
      <c r="AZ63" s="49">
        <f>IF(I63="","",IF(AM63="Cancelled","Cancelled",IF(AND(I63&lt;TODAY(),OR(AM63="Pending",AM63="Confirmed",AM63="Enquiry")),"Overdue - update status",IF(AND(AM63="Completed",AS63="No"),"Action - log the visit",IF(I63=TODAY(),"Today",IF(AND(I63&gt;TODAY(),I63-TODAY()&lt;=ReminderLeadDays,AN63&lt;&gt;"Yes"),"Action - unconfirmed",IF(AND(I63&gt;TODAY(),I63-TODAY()&lt;=ReminderLeadDays),"Upcoming","OK")))))))</f>
        <v>0</v>
      </c>
    </row>
    <row r="64" spans="1:52">
      <c r="A64" s="46">
        <f>IF(C64="","",BookingPrefix&amp;TEXT(ROW()-4,"0000"))</f>
        <v>0</v>
      </c>
      <c r="D64" s="28">
        <f>IF(C64="","",IFERROR(INDEX(Clients!$A$5:$A$254,MATCH(C64,Clients!$B$5:$B$254,0)),""))</f>
        <v>0</v>
      </c>
      <c r="J64" s="50">
        <f>IF(I64="","",TEXT(I64,"ddd"))</f>
        <v>0</v>
      </c>
      <c r="M64" s="51">
        <f>IF(OR(K64="",L64=""),"",ROUND((L64-K64+IF(L64&lt;K64,1,0))*24,2))</f>
        <v>0</v>
      </c>
      <c r="O64" s="28">
        <f>IF(H64="","",IFERROR(INDEX(Services!$E$5:$E$54,MATCH(H64,Services!$B$5:$B$54,0)),""))</f>
        <v>0</v>
      </c>
      <c r="P64" s="29">
        <f>IF(H64="","",IFERROR(INDEX(Services!$G$5:$G$54,MATCH(H64,Services!$B$5:$B$54,0)),0))</f>
        <v>0</v>
      </c>
      <c r="Q64" s="29">
        <f>IF(H64="","",IF(IFERROR(INDEX(Services!$H$5:$H$54,MATCH(H64,Services!$B$5:$B$54,0)),0)=0,ExtraPetFeeDefault,IFERROR(INDEX(Services!$H$5:$H$54,MATCH(H64,Services!$B$5:$B$54,0)),0)))</f>
        <v>0</v>
      </c>
      <c r="R64" s="30">
        <f>IF(H64="","",IF(IFERROR(INDEX(Services!$I$5:$I$54,MATCH(H64,Services!$B$5:$B$54,0)),0)=0,HolidaySurcharge,IFERROR(INDEX(Services!$I$5:$I$54,MATCH(H64,Services!$B$5:$B$54,0)),0)))</f>
        <v>0</v>
      </c>
      <c r="S64" s="30">
        <f>IF(H64="","",IF(IFERROR(INDEX(Services!$J$5:$J$54,MATCH(H64,Services!$B$5:$B$54,0)),0)=0,WeekendSurcharge,IFERROR(INDEX(Services!$J$5:$J$54,MATCH(H64,Services!$B$5:$B$54,0)),0)))</f>
        <v>0</v>
      </c>
      <c r="T64" s="50">
        <f>IF(H64="","",IFERROR(INDEX(Services!$K$5:$K$54,MATCH(H64,Services!$B$5:$B$54,0)),"No"))</f>
        <v>0</v>
      </c>
      <c r="U64" s="29">
        <f>IF(H64="","",ROUND(IF(O64="Per hour",P64*IF(M64="",IF(N64="",1,N64),M64),P64*IF(N64="",1,N64)),2))</f>
        <v>0</v>
      </c>
      <c r="V64" s="29">
        <f>IF(H64="","",ROUND(MAX(0,IF(G64="",1,G64)-1)*Q64,2))</f>
        <v>0</v>
      </c>
      <c r="W64" s="50">
        <f>IF(I64="","",IF(COUNTIF(HolidayDates,I64)&gt;0,"Yes","No"))</f>
        <v>0</v>
      </c>
      <c r="X64" s="50">
        <f>IF(I64="","",IF(WEEKDAY(I64,2)&gt;5,"Yes","No"))</f>
        <v>0</v>
      </c>
      <c r="Y64" s="29">
        <f>IF(H64="","",ROUND((U64+V64)*(IF(W64="Yes",R64,0)+IF(X64="Yes",S64,0)),2))</f>
        <v>0</v>
      </c>
      <c r="AA64" s="29">
        <f>IF(H64="","",IF(T64&lt;&gt;"Yes",0,ROUND(MAX(0,IF(Z64="",0,Z64)-FreeTravelDistance)*TravelFeeRate,2)))</f>
        <v>0</v>
      </c>
      <c r="AB64" s="31">
        <f>IF(I64="","",TravelTimeMins)</f>
        <v>0</v>
      </c>
      <c r="AC64" s="29">
        <f>IF(OR(I64="",B64=""),0,IF(I64-B64&lt;=LastMinuteDays,EmergencyFee,0))</f>
        <v>0</v>
      </c>
      <c r="AF64" s="29">
        <f>IF(H64="","",ROUND((U64+V64+Y64+AA64+AC64)*IF(AE64="",0,AE64),2))</f>
        <v>0</v>
      </c>
      <c r="AI64" s="29">
        <f>IF(H64="","",IF(AG64&lt;&gt;"",AG64,ROUND(U64+V64+Y64+AA64+AC64-AF64,2)))</f>
        <v>0</v>
      </c>
      <c r="AJ64" s="29">
        <f>IF(AI64="","",IF(TaxRegistered&lt;&gt;"Yes",0,IF(PricesIncludeTax="Yes",ROUND(AI64-AI64/(1+TaxRate),2),ROUND(AI64*TaxRate,2))))</f>
        <v>0</v>
      </c>
      <c r="AK64" s="29">
        <f>IF(AI64="","",IF(PricesIncludeTax="Yes",AI64,ROUND(AI64+AJ64,2)))</f>
        <v>0</v>
      </c>
      <c r="AQ64" s="21">
        <f>IF(OR(I64="",AP64="",AP64="None"),"",IF(AP64="Monthly",EDATE(I64,1),I64+IF(AP64="Daily",1,IF(AP64="Weekdays",IF(WEEKDAY(I64,2)&gt;=5,8-WEEKDAY(I64,2),1),IF(AP64="Weekly",7,IF(AP64="Fortnightly",14,0))))))</f>
        <v>0</v>
      </c>
      <c r="AR64" s="49">
        <f>IF(OR(I64="",AL64="",K64="",L64=""),"",IF(SUMPRODUCT((Bookings!$AL$5:$AL$404=AL64)*(Bookings!$I$5:$I$404=I64)*(Bookings!$K$5:$K$404&lt;L64)*(Bookings!$L$5:$L$404&gt;K64)*(Bookings!$AM$5:$AM$404&lt;&gt;"Cancelled"))&gt;1,"Conflict - double booked","OK"))</f>
        <v>0</v>
      </c>
      <c r="AS64" s="50">
        <f>IF(A64="","",IF(COUNTIF('Visit Log'!$B$5:$B$404,A64)&gt;0,"Yes","No"))</f>
        <v>0</v>
      </c>
      <c r="AT64" s="28">
        <f>IF(A64="","",IFERROR(INDEX(Invoices!$A$5:$A$304,MATCH(A64,Invoices!$E$5:$E$304,0)),""))</f>
        <v>0</v>
      </c>
      <c r="AU64" s="49">
        <f>IF(A64="","",IF(AT64="","Not invoiced",IFERROR(INDEX(Invoices!$U$5:$U$304,MATCH(AT64,Invoices!$A$5:$A$304,0)),"")))</f>
        <v>0</v>
      </c>
      <c r="AY64" s="28">
        <f>IF(I64="","",TEXT(I64,"yyyy-mm"))</f>
        <v>0</v>
      </c>
      <c r="AZ64" s="49">
        <f>IF(I64="","",IF(AM64="Cancelled","Cancelled",IF(AND(I64&lt;TODAY(),OR(AM64="Pending",AM64="Confirmed",AM64="Enquiry")),"Overdue - update status",IF(AND(AM64="Completed",AS64="No"),"Action - log the visit",IF(I64=TODAY(),"Today",IF(AND(I64&gt;TODAY(),I64-TODAY()&lt;=ReminderLeadDays,AN64&lt;&gt;"Yes"),"Action - unconfirmed",IF(AND(I64&gt;TODAY(),I64-TODAY()&lt;=ReminderLeadDays),"Upcoming","OK")))))))</f>
        <v>0</v>
      </c>
    </row>
    <row r="65" spans="1:52">
      <c r="A65" s="46">
        <f>IF(C65="","",BookingPrefix&amp;TEXT(ROW()-4,"0000"))</f>
        <v>0</v>
      </c>
      <c r="D65" s="28">
        <f>IF(C65="","",IFERROR(INDEX(Clients!$A$5:$A$254,MATCH(C65,Clients!$B$5:$B$254,0)),""))</f>
        <v>0</v>
      </c>
      <c r="J65" s="50">
        <f>IF(I65="","",TEXT(I65,"ddd"))</f>
        <v>0</v>
      </c>
      <c r="M65" s="51">
        <f>IF(OR(K65="",L65=""),"",ROUND((L65-K65+IF(L65&lt;K65,1,0))*24,2))</f>
        <v>0</v>
      </c>
      <c r="O65" s="28">
        <f>IF(H65="","",IFERROR(INDEX(Services!$E$5:$E$54,MATCH(H65,Services!$B$5:$B$54,0)),""))</f>
        <v>0</v>
      </c>
      <c r="P65" s="29">
        <f>IF(H65="","",IFERROR(INDEX(Services!$G$5:$G$54,MATCH(H65,Services!$B$5:$B$54,0)),0))</f>
        <v>0</v>
      </c>
      <c r="Q65" s="29">
        <f>IF(H65="","",IF(IFERROR(INDEX(Services!$H$5:$H$54,MATCH(H65,Services!$B$5:$B$54,0)),0)=0,ExtraPetFeeDefault,IFERROR(INDEX(Services!$H$5:$H$54,MATCH(H65,Services!$B$5:$B$54,0)),0)))</f>
        <v>0</v>
      </c>
      <c r="R65" s="30">
        <f>IF(H65="","",IF(IFERROR(INDEX(Services!$I$5:$I$54,MATCH(H65,Services!$B$5:$B$54,0)),0)=0,HolidaySurcharge,IFERROR(INDEX(Services!$I$5:$I$54,MATCH(H65,Services!$B$5:$B$54,0)),0)))</f>
        <v>0</v>
      </c>
      <c r="S65" s="30">
        <f>IF(H65="","",IF(IFERROR(INDEX(Services!$J$5:$J$54,MATCH(H65,Services!$B$5:$B$54,0)),0)=0,WeekendSurcharge,IFERROR(INDEX(Services!$J$5:$J$54,MATCH(H65,Services!$B$5:$B$54,0)),0)))</f>
        <v>0</v>
      </c>
      <c r="T65" s="50">
        <f>IF(H65="","",IFERROR(INDEX(Services!$K$5:$K$54,MATCH(H65,Services!$B$5:$B$54,0)),"No"))</f>
        <v>0</v>
      </c>
      <c r="U65" s="29">
        <f>IF(H65="","",ROUND(IF(O65="Per hour",P65*IF(M65="",IF(N65="",1,N65),M65),P65*IF(N65="",1,N65)),2))</f>
        <v>0</v>
      </c>
      <c r="V65" s="29">
        <f>IF(H65="","",ROUND(MAX(0,IF(G65="",1,G65)-1)*Q65,2))</f>
        <v>0</v>
      </c>
      <c r="W65" s="50">
        <f>IF(I65="","",IF(COUNTIF(HolidayDates,I65)&gt;0,"Yes","No"))</f>
        <v>0</v>
      </c>
      <c r="X65" s="50">
        <f>IF(I65="","",IF(WEEKDAY(I65,2)&gt;5,"Yes","No"))</f>
        <v>0</v>
      </c>
      <c r="Y65" s="29">
        <f>IF(H65="","",ROUND((U65+V65)*(IF(W65="Yes",R65,0)+IF(X65="Yes",S65,0)),2))</f>
        <v>0</v>
      </c>
      <c r="AA65" s="29">
        <f>IF(H65="","",IF(T65&lt;&gt;"Yes",0,ROUND(MAX(0,IF(Z65="",0,Z65)-FreeTravelDistance)*TravelFeeRate,2)))</f>
        <v>0</v>
      </c>
      <c r="AB65" s="31">
        <f>IF(I65="","",TravelTimeMins)</f>
        <v>0</v>
      </c>
      <c r="AC65" s="29">
        <f>IF(OR(I65="",B65=""),0,IF(I65-B65&lt;=LastMinuteDays,EmergencyFee,0))</f>
        <v>0</v>
      </c>
      <c r="AF65" s="29">
        <f>IF(H65="","",ROUND((U65+V65+Y65+AA65+AC65)*IF(AE65="",0,AE65),2))</f>
        <v>0</v>
      </c>
      <c r="AI65" s="29">
        <f>IF(H65="","",IF(AG65&lt;&gt;"",AG65,ROUND(U65+V65+Y65+AA65+AC65-AF65,2)))</f>
        <v>0</v>
      </c>
      <c r="AJ65" s="29">
        <f>IF(AI65="","",IF(TaxRegistered&lt;&gt;"Yes",0,IF(PricesIncludeTax="Yes",ROUND(AI65-AI65/(1+TaxRate),2),ROUND(AI65*TaxRate,2))))</f>
        <v>0</v>
      </c>
      <c r="AK65" s="29">
        <f>IF(AI65="","",IF(PricesIncludeTax="Yes",AI65,ROUND(AI65+AJ65,2)))</f>
        <v>0</v>
      </c>
      <c r="AQ65" s="21">
        <f>IF(OR(I65="",AP65="",AP65="None"),"",IF(AP65="Monthly",EDATE(I65,1),I65+IF(AP65="Daily",1,IF(AP65="Weekdays",IF(WEEKDAY(I65,2)&gt;=5,8-WEEKDAY(I65,2),1),IF(AP65="Weekly",7,IF(AP65="Fortnightly",14,0))))))</f>
        <v>0</v>
      </c>
      <c r="AR65" s="49">
        <f>IF(OR(I65="",AL65="",K65="",L65=""),"",IF(SUMPRODUCT((Bookings!$AL$5:$AL$404=AL65)*(Bookings!$I$5:$I$404=I65)*(Bookings!$K$5:$K$404&lt;L65)*(Bookings!$L$5:$L$404&gt;K65)*(Bookings!$AM$5:$AM$404&lt;&gt;"Cancelled"))&gt;1,"Conflict - double booked","OK"))</f>
        <v>0</v>
      </c>
      <c r="AS65" s="50">
        <f>IF(A65="","",IF(COUNTIF('Visit Log'!$B$5:$B$404,A65)&gt;0,"Yes","No"))</f>
        <v>0</v>
      </c>
      <c r="AT65" s="28">
        <f>IF(A65="","",IFERROR(INDEX(Invoices!$A$5:$A$304,MATCH(A65,Invoices!$E$5:$E$304,0)),""))</f>
        <v>0</v>
      </c>
      <c r="AU65" s="49">
        <f>IF(A65="","",IF(AT65="","Not invoiced",IFERROR(INDEX(Invoices!$U$5:$U$304,MATCH(AT65,Invoices!$A$5:$A$304,0)),"")))</f>
        <v>0</v>
      </c>
      <c r="AY65" s="28">
        <f>IF(I65="","",TEXT(I65,"yyyy-mm"))</f>
        <v>0</v>
      </c>
      <c r="AZ65" s="49">
        <f>IF(I65="","",IF(AM65="Cancelled","Cancelled",IF(AND(I65&lt;TODAY(),OR(AM65="Pending",AM65="Confirmed",AM65="Enquiry")),"Overdue - update status",IF(AND(AM65="Completed",AS65="No"),"Action - log the visit",IF(I65=TODAY(),"Today",IF(AND(I65&gt;TODAY(),I65-TODAY()&lt;=ReminderLeadDays,AN65&lt;&gt;"Yes"),"Action - unconfirmed",IF(AND(I65&gt;TODAY(),I65-TODAY()&lt;=ReminderLeadDays),"Upcoming","OK")))))))</f>
        <v>0</v>
      </c>
    </row>
    <row r="66" spans="1:52">
      <c r="A66" s="46">
        <f>IF(C66="","",BookingPrefix&amp;TEXT(ROW()-4,"0000"))</f>
        <v>0</v>
      </c>
      <c r="D66" s="28">
        <f>IF(C66="","",IFERROR(INDEX(Clients!$A$5:$A$254,MATCH(C66,Clients!$B$5:$B$254,0)),""))</f>
        <v>0</v>
      </c>
      <c r="J66" s="50">
        <f>IF(I66="","",TEXT(I66,"ddd"))</f>
        <v>0</v>
      </c>
      <c r="M66" s="51">
        <f>IF(OR(K66="",L66=""),"",ROUND((L66-K66+IF(L66&lt;K66,1,0))*24,2))</f>
        <v>0</v>
      </c>
      <c r="O66" s="28">
        <f>IF(H66="","",IFERROR(INDEX(Services!$E$5:$E$54,MATCH(H66,Services!$B$5:$B$54,0)),""))</f>
        <v>0</v>
      </c>
      <c r="P66" s="29">
        <f>IF(H66="","",IFERROR(INDEX(Services!$G$5:$G$54,MATCH(H66,Services!$B$5:$B$54,0)),0))</f>
        <v>0</v>
      </c>
      <c r="Q66" s="29">
        <f>IF(H66="","",IF(IFERROR(INDEX(Services!$H$5:$H$54,MATCH(H66,Services!$B$5:$B$54,0)),0)=0,ExtraPetFeeDefault,IFERROR(INDEX(Services!$H$5:$H$54,MATCH(H66,Services!$B$5:$B$54,0)),0)))</f>
        <v>0</v>
      </c>
      <c r="R66" s="30">
        <f>IF(H66="","",IF(IFERROR(INDEX(Services!$I$5:$I$54,MATCH(H66,Services!$B$5:$B$54,0)),0)=0,HolidaySurcharge,IFERROR(INDEX(Services!$I$5:$I$54,MATCH(H66,Services!$B$5:$B$54,0)),0)))</f>
        <v>0</v>
      </c>
      <c r="S66" s="30">
        <f>IF(H66="","",IF(IFERROR(INDEX(Services!$J$5:$J$54,MATCH(H66,Services!$B$5:$B$54,0)),0)=0,WeekendSurcharge,IFERROR(INDEX(Services!$J$5:$J$54,MATCH(H66,Services!$B$5:$B$54,0)),0)))</f>
        <v>0</v>
      </c>
      <c r="T66" s="50">
        <f>IF(H66="","",IFERROR(INDEX(Services!$K$5:$K$54,MATCH(H66,Services!$B$5:$B$54,0)),"No"))</f>
        <v>0</v>
      </c>
      <c r="U66" s="29">
        <f>IF(H66="","",ROUND(IF(O66="Per hour",P66*IF(M66="",IF(N66="",1,N66),M66),P66*IF(N66="",1,N66)),2))</f>
        <v>0</v>
      </c>
      <c r="V66" s="29">
        <f>IF(H66="","",ROUND(MAX(0,IF(G66="",1,G66)-1)*Q66,2))</f>
        <v>0</v>
      </c>
      <c r="W66" s="50">
        <f>IF(I66="","",IF(COUNTIF(HolidayDates,I66)&gt;0,"Yes","No"))</f>
        <v>0</v>
      </c>
      <c r="X66" s="50">
        <f>IF(I66="","",IF(WEEKDAY(I66,2)&gt;5,"Yes","No"))</f>
        <v>0</v>
      </c>
      <c r="Y66" s="29">
        <f>IF(H66="","",ROUND((U66+V66)*(IF(W66="Yes",R66,0)+IF(X66="Yes",S66,0)),2))</f>
        <v>0</v>
      </c>
      <c r="AA66" s="29">
        <f>IF(H66="","",IF(T66&lt;&gt;"Yes",0,ROUND(MAX(0,IF(Z66="",0,Z66)-FreeTravelDistance)*TravelFeeRate,2)))</f>
        <v>0</v>
      </c>
      <c r="AB66" s="31">
        <f>IF(I66="","",TravelTimeMins)</f>
        <v>0</v>
      </c>
      <c r="AC66" s="29">
        <f>IF(OR(I66="",B66=""),0,IF(I66-B66&lt;=LastMinuteDays,EmergencyFee,0))</f>
        <v>0</v>
      </c>
      <c r="AF66" s="29">
        <f>IF(H66="","",ROUND((U66+V66+Y66+AA66+AC66)*IF(AE66="",0,AE66),2))</f>
        <v>0</v>
      </c>
      <c r="AI66" s="29">
        <f>IF(H66="","",IF(AG66&lt;&gt;"",AG66,ROUND(U66+V66+Y66+AA66+AC66-AF66,2)))</f>
        <v>0</v>
      </c>
      <c r="AJ66" s="29">
        <f>IF(AI66="","",IF(TaxRegistered&lt;&gt;"Yes",0,IF(PricesIncludeTax="Yes",ROUND(AI66-AI66/(1+TaxRate),2),ROUND(AI66*TaxRate,2))))</f>
        <v>0</v>
      </c>
      <c r="AK66" s="29">
        <f>IF(AI66="","",IF(PricesIncludeTax="Yes",AI66,ROUND(AI66+AJ66,2)))</f>
        <v>0</v>
      </c>
      <c r="AQ66" s="21">
        <f>IF(OR(I66="",AP66="",AP66="None"),"",IF(AP66="Monthly",EDATE(I66,1),I66+IF(AP66="Daily",1,IF(AP66="Weekdays",IF(WEEKDAY(I66,2)&gt;=5,8-WEEKDAY(I66,2),1),IF(AP66="Weekly",7,IF(AP66="Fortnightly",14,0))))))</f>
        <v>0</v>
      </c>
      <c r="AR66" s="49">
        <f>IF(OR(I66="",AL66="",K66="",L66=""),"",IF(SUMPRODUCT((Bookings!$AL$5:$AL$404=AL66)*(Bookings!$I$5:$I$404=I66)*(Bookings!$K$5:$K$404&lt;L66)*(Bookings!$L$5:$L$404&gt;K66)*(Bookings!$AM$5:$AM$404&lt;&gt;"Cancelled"))&gt;1,"Conflict - double booked","OK"))</f>
        <v>0</v>
      </c>
      <c r="AS66" s="50">
        <f>IF(A66="","",IF(COUNTIF('Visit Log'!$B$5:$B$404,A66)&gt;0,"Yes","No"))</f>
        <v>0</v>
      </c>
      <c r="AT66" s="28">
        <f>IF(A66="","",IFERROR(INDEX(Invoices!$A$5:$A$304,MATCH(A66,Invoices!$E$5:$E$304,0)),""))</f>
        <v>0</v>
      </c>
      <c r="AU66" s="49">
        <f>IF(A66="","",IF(AT66="","Not invoiced",IFERROR(INDEX(Invoices!$U$5:$U$304,MATCH(AT66,Invoices!$A$5:$A$304,0)),"")))</f>
        <v>0</v>
      </c>
      <c r="AY66" s="28">
        <f>IF(I66="","",TEXT(I66,"yyyy-mm"))</f>
        <v>0</v>
      </c>
      <c r="AZ66" s="49">
        <f>IF(I66="","",IF(AM66="Cancelled","Cancelled",IF(AND(I66&lt;TODAY(),OR(AM66="Pending",AM66="Confirmed",AM66="Enquiry")),"Overdue - update status",IF(AND(AM66="Completed",AS66="No"),"Action - log the visit",IF(I66=TODAY(),"Today",IF(AND(I66&gt;TODAY(),I66-TODAY()&lt;=ReminderLeadDays,AN66&lt;&gt;"Yes"),"Action - unconfirmed",IF(AND(I66&gt;TODAY(),I66-TODAY()&lt;=ReminderLeadDays),"Upcoming","OK")))))))</f>
        <v>0</v>
      </c>
    </row>
    <row r="67" spans="1:52">
      <c r="A67" s="46">
        <f>IF(C67="","",BookingPrefix&amp;TEXT(ROW()-4,"0000"))</f>
        <v>0</v>
      </c>
      <c r="D67" s="28">
        <f>IF(C67="","",IFERROR(INDEX(Clients!$A$5:$A$254,MATCH(C67,Clients!$B$5:$B$254,0)),""))</f>
        <v>0</v>
      </c>
      <c r="J67" s="50">
        <f>IF(I67="","",TEXT(I67,"ddd"))</f>
        <v>0</v>
      </c>
      <c r="M67" s="51">
        <f>IF(OR(K67="",L67=""),"",ROUND((L67-K67+IF(L67&lt;K67,1,0))*24,2))</f>
        <v>0</v>
      </c>
      <c r="O67" s="28">
        <f>IF(H67="","",IFERROR(INDEX(Services!$E$5:$E$54,MATCH(H67,Services!$B$5:$B$54,0)),""))</f>
        <v>0</v>
      </c>
      <c r="P67" s="29">
        <f>IF(H67="","",IFERROR(INDEX(Services!$G$5:$G$54,MATCH(H67,Services!$B$5:$B$54,0)),0))</f>
        <v>0</v>
      </c>
      <c r="Q67" s="29">
        <f>IF(H67="","",IF(IFERROR(INDEX(Services!$H$5:$H$54,MATCH(H67,Services!$B$5:$B$54,0)),0)=0,ExtraPetFeeDefault,IFERROR(INDEX(Services!$H$5:$H$54,MATCH(H67,Services!$B$5:$B$54,0)),0)))</f>
        <v>0</v>
      </c>
      <c r="R67" s="30">
        <f>IF(H67="","",IF(IFERROR(INDEX(Services!$I$5:$I$54,MATCH(H67,Services!$B$5:$B$54,0)),0)=0,HolidaySurcharge,IFERROR(INDEX(Services!$I$5:$I$54,MATCH(H67,Services!$B$5:$B$54,0)),0)))</f>
        <v>0</v>
      </c>
      <c r="S67" s="30">
        <f>IF(H67="","",IF(IFERROR(INDEX(Services!$J$5:$J$54,MATCH(H67,Services!$B$5:$B$54,0)),0)=0,WeekendSurcharge,IFERROR(INDEX(Services!$J$5:$J$54,MATCH(H67,Services!$B$5:$B$54,0)),0)))</f>
        <v>0</v>
      </c>
      <c r="T67" s="50">
        <f>IF(H67="","",IFERROR(INDEX(Services!$K$5:$K$54,MATCH(H67,Services!$B$5:$B$54,0)),"No"))</f>
        <v>0</v>
      </c>
      <c r="U67" s="29">
        <f>IF(H67="","",ROUND(IF(O67="Per hour",P67*IF(M67="",IF(N67="",1,N67),M67),P67*IF(N67="",1,N67)),2))</f>
        <v>0</v>
      </c>
      <c r="V67" s="29">
        <f>IF(H67="","",ROUND(MAX(0,IF(G67="",1,G67)-1)*Q67,2))</f>
        <v>0</v>
      </c>
      <c r="W67" s="50">
        <f>IF(I67="","",IF(COUNTIF(HolidayDates,I67)&gt;0,"Yes","No"))</f>
        <v>0</v>
      </c>
      <c r="X67" s="50">
        <f>IF(I67="","",IF(WEEKDAY(I67,2)&gt;5,"Yes","No"))</f>
        <v>0</v>
      </c>
      <c r="Y67" s="29">
        <f>IF(H67="","",ROUND((U67+V67)*(IF(W67="Yes",R67,0)+IF(X67="Yes",S67,0)),2))</f>
        <v>0</v>
      </c>
      <c r="AA67" s="29">
        <f>IF(H67="","",IF(T67&lt;&gt;"Yes",0,ROUND(MAX(0,IF(Z67="",0,Z67)-FreeTravelDistance)*TravelFeeRate,2)))</f>
        <v>0</v>
      </c>
      <c r="AB67" s="31">
        <f>IF(I67="","",TravelTimeMins)</f>
        <v>0</v>
      </c>
      <c r="AC67" s="29">
        <f>IF(OR(I67="",B67=""),0,IF(I67-B67&lt;=LastMinuteDays,EmergencyFee,0))</f>
        <v>0</v>
      </c>
      <c r="AF67" s="29">
        <f>IF(H67="","",ROUND((U67+V67+Y67+AA67+AC67)*IF(AE67="",0,AE67),2))</f>
        <v>0</v>
      </c>
      <c r="AI67" s="29">
        <f>IF(H67="","",IF(AG67&lt;&gt;"",AG67,ROUND(U67+V67+Y67+AA67+AC67-AF67,2)))</f>
        <v>0</v>
      </c>
      <c r="AJ67" s="29">
        <f>IF(AI67="","",IF(TaxRegistered&lt;&gt;"Yes",0,IF(PricesIncludeTax="Yes",ROUND(AI67-AI67/(1+TaxRate),2),ROUND(AI67*TaxRate,2))))</f>
        <v>0</v>
      </c>
      <c r="AK67" s="29">
        <f>IF(AI67="","",IF(PricesIncludeTax="Yes",AI67,ROUND(AI67+AJ67,2)))</f>
        <v>0</v>
      </c>
      <c r="AQ67" s="21">
        <f>IF(OR(I67="",AP67="",AP67="None"),"",IF(AP67="Monthly",EDATE(I67,1),I67+IF(AP67="Daily",1,IF(AP67="Weekdays",IF(WEEKDAY(I67,2)&gt;=5,8-WEEKDAY(I67,2),1),IF(AP67="Weekly",7,IF(AP67="Fortnightly",14,0))))))</f>
        <v>0</v>
      </c>
      <c r="AR67" s="49">
        <f>IF(OR(I67="",AL67="",K67="",L67=""),"",IF(SUMPRODUCT((Bookings!$AL$5:$AL$404=AL67)*(Bookings!$I$5:$I$404=I67)*(Bookings!$K$5:$K$404&lt;L67)*(Bookings!$L$5:$L$404&gt;K67)*(Bookings!$AM$5:$AM$404&lt;&gt;"Cancelled"))&gt;1,"Conflict - double booked","OK"))</f>
        <v>0</v>
      </c>
      <c r="AS67" s="50">
        <f>IF(A67="","",IF(COUNTIF('Visit Log'!$B$5:$B$404,A67)&gt;0,"Yes","No"))</f>
        <v>0</v>
      </c>
      <c r="AT67" s="28">
        <f>IF(A67="","",IFERROR(INDEX(Invoices!$A$5:$A$304,MATCH(A67,Invoices!$E$5:$E$304,0)),""))</f>
        <v>0</v>
      </c>
      <c r="AU67" s="49">
        <f>IF(A67="","",IF(AT67="","Not invoiced",IFERROR(INDEX(Invoices!$U$5:$U$304,MATCH(AT67,Invoices!$A$5:$A$304,0)),"")))</f>
        <v>0</v>
      </c>
      <c r="AY67" s="28">
        <f>IF(I67="","",TEXT(I67,"yyyy-mm"))</f>
        <v>0</v>
      </c>
      <c r="AZ67" s="49">
        <f>IF(I67="","",IF(AM67="Cancelled","Cancelled",IF(AND(I67&lt;TODAY(),OR(AM67="Pending",AM67="Confirmed",AM67="Enquiry")),"Overdue - update status",IF(AND(AM67="Completed",AS67="No"),"Action - log the visit",IF(I67=TODAY(),"Today",IF(AND(I67&gt;TODAY(),I67-TODAY()&lt;=ReminderLeadDays,AN67&lt;&gt;"Yes"),"Action - unconfirmed",IF(AND(I67&gt;TODAY(),I67-TODAY()&lt;=ReminderLeadDays),"Upcoming","OK")))))))</f>
        <v>0</v>
      </c>
    </row>
    <row r="68" spans="1:52">
      <c r="A68" s="46">
        <f>IF(C68="","",BookingPrefix&amp;TEXT(ROW()-4,"0000"))</f>
        <v>0</v>
      </c>
      <c r="D68" s="28">
        <f>IF(C68="","",IFERROR(INDEX(Clients!$A$5:$A$254,MATCH(C68,Clients!$B$5:$B$254,0)),""))</f>
        <v>0</v>
      </c>
      <c r="J68" s="50">
        <f>IF(I68="","",TEXT(I68,"ddd"))</f>
        <v>0</v>
      </c>
      <c r="M68" s="51">
        <f>IF(OR(K68="",L68=""),"",ROUND((L68-K68+IF(L68&lt;K68,1,0))*24,2))</f>
        <v>0</v>
      </c>
      <c r="O68" s="28">
        <f>IF(H68="","",IFERROR(INDEX(Services!$E$5:$E$54,MATCH(H68,Services!$B$5:$B$54,0)),""))</f>
        <v>0</v>
      </c>
      <c r="P68" s="29">
        <f>IF(H68="","",IFERROR(INDEX(Services!$G$5:$G$54,MATCH(H68,Services!$B$5:$B$54,0)),0))</f>
        <v>0</v>
      </c>
      <c r="Q68" s="29">
        <f>IF(H68="","",IF(IFERROR(INDEX(Services!$H$5:$H$54,MATCH(H68,Services!$B$5:$B$54,0)),0)=0,ExtraPetFeeDefault,IFERROR(INDEX(Services!$H$5:$H$54,MATCH(H68,Services!$B$5:$B$54,0)),0)))</f>
        <v>0</v>
      </c>
      <c r="R68" s="30">
        <f>IF(H68="","",IF(IFERROR(INDEX(Services!$I$5:$I$54,MATCH(H68,Services!$B$5:$B$54,0)),0)=0,HolidaySurcharge,IFERROR(INDEX(Services!$I$5:$I$54,MATCH(H68,Services!$B$5:$B$54,0)),0)))</f>
        <v>0</v>
      </c>
      <c r="S68" s="30">
        <f>IF(H68="","",IF(IFERROR(INDEX(Services!$J$5:$J$54,MATCH(H68,Services!$B$5:$B$54,0)),0)=0,WeekendSurcharge,IFERROR(INDEX(Services!$J$5:$J$54,MATCH(H68,Services!$B$5:$B$54,0)),0)))</f>
        <v>0</v>
      </c>
      <c r="T68" s="50">
        <f>IF(H68="","",IFERROR(INDEX(Services!$K$5:$K$54,MATCH(H68,Services!$B$5:$B$54,0)),"No"))</f>
        <v>0</v>
      </c>
      <c r="U68" s="29">
        <f>IF(H68="","",ROUND(IF(O68="Per hour",P68*IF(M68="",IF(N68="",1,N68),M68),P68*IF(N68="",1,N68)),2))</f>
        <v>0</v>
      </c>
      <c r="V68" s="29">
        <f>IF(H68="","",ROUND(MAX(0,IF(G68="",1,G68)-1)*Q68,2))</f>
        <v>0</v>
      </c>
      <c r="W68" s="50">
        <f>IF(I68="","",IF(COUNTIF(HolidayDates,I68)&gt;0,"Yes","No"))</f>
        <v>0</v>
      </c>
      <c r="X68" s="50">
        <f>IF(I68="","",IF(WEEKDAY(I68,2)&gt;5,"Yes","No"))</f>
        <v>0</v>
      </c>
      <c r="Y68" s="29">
        <f>IF(H68="","",ROUND((U68+V68)*(IF(W68="Yes",R68,0)+IF(X68="Yes",S68,0)),2))</f>
        <v>0</v>
      </c>
      <c r="AA68" s="29">
        <f>IF(H68="","",IF(T68&lt;&gt;"Yes",0,ROUND(MAX(0,IF(Z68="",0,Z68)-FreeTravelDistance)*TravelFeeRate,2)))</f>
        <v>0</v>
      </c>
      <c r="AB68" s="31">
        <f>IF(I68="","",TravelTimeMins)</f>
        <v>0</v>
      </c>
      <c r="AC68" s="29">
        <f>IF(OR(I68="",B68=""),0,IF(I68-B68&lt;=LastMinuteDays,EmergencyFee,0))</f>
        <v>0</v>
      </c>
      <c r="AF68" s="29">
        <f>IF(H68="","",ROUND((U68+V68+Y68+AA68+AC68)*IF(AE68="",0,AE68),2))</f>
        <v>0</v>
      </c>
      <c r="AI68" s="29">
        <f>IF(H68="","",IF(AG68&lt;&gt;"",AG68,ROUND(U68+V68+Y68+AA68+AC68-AF68,2)))</f>
        <v>0</v>
      </c>
      <c r="AJ68" s="29">
        <f>IF(AI68="","",IF(TaxRegistered&lt;&gt;"Yes",0,IF(PricesIncludeTax="Yes",ROUND(AI68-AI68/(1+TaxRate),2),ROUND(AI68*TaxRate,2))))</f>
        <v>0</v>
      </c>
      <c r="AK68" s="29">
        <f>IF(AI68="","",IF(PricesIncludeTax="Yes",AI68,ROUND(AI68+AJ68,2)))</f>
        <v>0</v>
      </c>
      <c r="AQ68" s="21">
        <f>IF(OR(I68="",AP68="",AP68="None"),"",IF(AP68="Monthly",EDATE(I68,1),I68+IF(AP68="Daily",1,IF(AP68="Weekdays",IF(WEEKDAY(I68,2)&gt;=5,8-WEEKDAY(I68,2),1),IF(AP68="Weekly",7,IF(AP68="Fortnightly",14,0))))))</f>
        <v>0</v>
      </c>
      <c r="AR68" s="49">
        <f>IF(OR(I68="",AL68="",K68="",L68=""),"",IF(SUMPRODUCT((Bookings!$AL$5:$AL$404=AL68)*(Bookings!$I$5:$I$404=I68)*(Bookings!$K$5:$K$404&lt;L68)*(Bookings!$L$5:$L$404&gt;K68)*(Bookings!$AM$5:$AM$404&lt;&gt;"Cancelled"))&gt;1,"Conflict - double booked","OK"))</f>
        <v>0</v>
      </c>
      <c r="AS68" s="50">
        <f>IF(A68="","",IF(COUNTIF('Visit Log'!$B$5:$B$404,A68)&gt;0,"Yes","No"))</f>
        <v>0</v>
      </c>
      <c r="AT68" s="28">
        <f>IF(A68="","",IFERROR(INDEX(Invoices!$A$5:$A$304,MATCH(A68,Invoices!$E$5:$E$304,0)),""))</f>
        <v>0</v>
      </c>
      <c r="AU68" s="49">
        <f>IF(A68="","",IF(AT68="","Not invoiced",IFERROR(INDEX(Invoices!$U$5:$U$304,MATCH(AT68,Invoices!$A$5:$A$304,0)),"")))</f>
        <v>0</v>
      </c>
      <c r="AY68" s="28">
        <f>IF(I68="","",TEXT(I68,"yyyy-mm"))</f>
        <v>0</v>
      </c>
      <c r="AZ68" s="49">
        <f>IF(I68="","",IF(AM68="Cancelled","Cancelled",IF(AND(I68&lt;TODAY(),OR(AM68="Pending",AM68="Confirmed",AM68="Enquiry")),"Overdue - update status",IF(AND(AM68="Completed",AS68="No"),"Action - log the visit",IF(I68=TODAY(),"Today",IF(AND(I68&gt;TODAY(),I68-TODAY()&lt;=ReminderLeadDays,AN68&lt;&gt;"Yes"),"Action - unconfirmed",IF(AND(I68&gt;TODAY(),I68-TODAY()&lt;=ReminderLeadDays),"Upcoming","OK")))))))</f>
        <v>0</v>
      </c>
    </row>
    <row r="69" spans="1:52">
      <c r="A69" s="46">
        <f>IF(C69="","",BookingPrefix&amp;TEXT(ROW()-4,"0000"))</f>
        <v>0</v>
      </c>
      <c r="D69" s="28">
        <f>IF(C69="","",IFERROR(INDEX(Clients!$A$5:$A$254,MATCH(C69,Clients!$B$5:$B$254,0)),""))</f>
        <v>0</v>
      </c>
      <c r="J69" s="50">
        <f>IF(I69="","",TEXT(I69,"ddd"))</f>
        <v>0</v>
      </c>
      <c r="M69" s="51">
        <f>IF(OR(K69="",L69=""),"",ROUND((L69-K69+IF(L69&lt;K69,1,0))*24,2))</f>
        <v>0</v>
      </c>
      <c r="O69" s="28">
        <f>IF(H69="","",IFERROR(INDEX(Services!$E$5:$E$54,MATCH(H69,Services!$B$5:$B$54,0)),""))</f>
        <v>0</v>
      </c>
      <c r="P69" s="29">
        <f>IF(H69="","",IFERROR(INDEX(Services!$G$5:$G$54,MATCH(H69,Services!$B$5:$B$54,0)),0))</f>
        <v>0</v>
      </c>
      <c r="Q69" s="29">
        <f>IF(H69="","",IF(IFERROR(INDEX(Services!$H$5:$H$54,MATCH(H69,Services!$B$5:$B$54,0)),0)=0,ExtraPetFeeDefault,IFERROR(INDEX(Services!$H$5:$H$54,MATCH(H69,Services!$B$5:$B$54,0)),0)))</f>
        <v>0</v>
      </c>
      <c r="R69" s="30">
        <f>IF(H69="","",IF(IFERROR(INDEX(Services!$I$5:$I$54,MATCH(H69,Services!$B$5:$B$54,0)),0)=0,HolidaySurcharge,IFERROR(INDEX(Services!$I$5:$I$54,MATCH(H69,Services!$B$5:$B$54,0)),0)))</f>
        <v>0</v>
      </c>
      <c r="S69" s="30">
        <f>IF(H69="","",IF(IFERROR(INDEX(Services!$J$5:$J$54,MATCH(H69,Services!$B$5:$B$54,0)),0)=0,WeekendSurcharge,IFERROR(INDEX(Services!$J$5:$J$54,MATCH(H69,Services!$B$5:$B$54,0)),0)))</f>
        <v>0</v>
      </c>
      <c r="T69" s="50">
        <f>IF(H69="","",IFERROR(INDEX(Services!$K$5:$K$54,MATCH(H69,Services!$B$5:$B$54,0)),"No"))</f>
        <v>0</v>
      </c>
      <c r="U69" s="29">
        <f>IF(H69="","",ROUND(IF(O69="Per hour",P69*IF(M69="",IF(N69="",1,N69),M69),P69*IF(N69="",1,N69)),2))</f>
        <v>0</v>
      </c>
      <c r="V69" s="29">
        <f>IF(H69="","",ROUND(MAX(0,IF(G69="",1,G69)-1)*Q69,2))</f>
        <v>0</v>
      </c>
      <c r="W69" s="50">
        <f>IF(I69="","",IF(COUNTIF(HolidayDates,I69)&gt;0,"Yes","No"))</f>
        <v>0</v>
      </c>
      <c r="X69" s="50">
        <f>IF(I69="","",IF(WEEKDAY(I69,2)&gt;5,"Yes","No"))</f>
        <v>0</v>
      </c>
      <c r="Y69" s="29">
        <f>IF(H69="","",ROUND((U69+V69)*(IF(W69="Yes",R69,0)+IF(X69="Yes",S69,0)),2))</f>
        <v>0</v>
      </c>
      <c r="AA69" s="29">
        <f>IF(H69="","",IF(T69&lt;&gt;"Yes",0,ROUND(MAX(0,IF(Z69="",0,Z69)-FreeTravelDistance)*TravelFeeRate,2)))</f>
        <v>0</v>
      </c>
      <c r="AB69" s="31">
        <f>IF(I69="","",TravelTimeMins)</f>
        <v>0</v>
      </c>
      <c r="AC69" s="29">
        <f>IF(OR(I69="",B69=""),0,IF(I69-B69&lt;=LastMinuteDays,EmergencyFee,0))</f>
        <v>0</v>
      </c>
      <c r="AF69" s="29">
        <f>IF(H69="","",ROUND((U69+V69+Y69+AA69+AC69)*IF(AE69="",0,AE69),2))</f>
        <v>0</v>
      </c>
      <c r="AI69" s="29">
        <f>IF(H69="","",IF(AG69&lt;&gt;"",AG69,ROUND(U69+V69+Y69+AA69+AC69-AF69,2)))</f>
        <v>0</v>
      </c>
      <c r="AJ69" s="29">
        <f>IF(AI69="","",IF(TaxRegistered&lt;&gt;"Yes",0,IF(PricesIncludeTax="Yes",ROUND(AI69-AI69/(1+TaxRate),2),ROUND(AI69*TaxRate,2))))</f>
        <v>0</v>
      </c>
      <c r="AK69" s="29">
        <f>IF(AI69="","",IF(PricesIncludeTax="Yes",AI69,ROUND(AI69+AJ69,2)))</f>
        <v>0</v>
      </c>
      <c r="AQ69" s="21">
        <f>IF(OR(I69="",AP69="",AP69="None"),"",IF(AP69="Monthly",EDATE(I69,1),I69+IF(AP69="Daily",1,IF(AP69="Weekdays",IF(WEEKDAY(I69,2)&gt;=5,8-WEEKDAY(I69,2),1),IF(AP69="Weekly",7,IF(AP69="Fortnightly",14,0))))))</f>
        <v>0</v>
      </c>
      <c r="AR69" s="49">
        <f>IF(OR(I69="",AL69="",K69="",L69=""),"",IF(SUMPRODUCT((Bookings!$AL$5:$AL$404=AL69)*(Bookings!$I$5:$I$404=I69)*(Bookings!$K$5:$K$404&lt;L69)*(Bookings!$L$5:$L$404&gt;K69)*(Bookings!$AM$5:$AM$404&lt;&gt;"Cancelled"))&gt;1,"Conflict - double booked","OK"))</f>
        <v>0</v>
      </c>
      <c r="AS69" s="50">
        <f>IF(A69="","",IF(COUNTIF('Visit Log'!$B$5:$B$404,A69)&gt;0,"Yes","No"))</f>
        <v>0</v>
      </c>
      <c r="AT69" s="28">
        <f>IF(A69="","",IFERROR(INDEX(Invoices!$A$5:$A$304,MATCH(A69,Invoices!$E$5:$E$304,0)),""))</f>
        <v>0</v>
      </c>
      <c r="AU69" s="49">
        <f>IF(A69="","",IF(AT69="","Not invoiced",IFERROR(INDEX(Invoices!$U$5:$U$304,MATCH(AT69,Invoices!$A$5:$A$304,0)),"")))</f>
        <v>0</v>
      </c>
      <c r="AY69" s="28">
        <f>IF(I69="","",TEXT(I69,"yyyy-mm"))</f>
        <v>0</v>
      </c>
      <c r="AZ69" s="49">
        <f>IF(I69="","",IF(AM69="Cancelled","Cancelled",IF(AND(I69&lt;TODAY(),OR(AM69="Pending",AM69="Confirmed",AM69="Enquiry")),"Overdue - update status",IF(AND(AM69="Completed",AS69="No"),"Action - log the visit",IF(I69=TODAY(),"Today",IF(AND(I69&gt;TODAY(),I69-TODAY()&lt;=ReminderLeadDays,AN69&lt;&gt;"Yes"),"Action - unconfirmed",IF(AND(I69&gt;TODAY(),I69-TODAY()&lt;=ReminderLeadDays),"Upcoming","OK")))))))</f>
        <v>0</v>
      </c>
    </row>
    <row r="70" spans="1:52">
      <c r="A70" s="46">
        <f>IF(C70="","",BookingPrefix&amp;TEXT(ROW()-4,"0000"))</f>
        <v>0</v>
      </c>
      <c r="D70" s="28">
        <f>IF(C70="","",IFERROR(INDEX(Clients!$A$5:$A$254,MATCH(C70,Clients!$B$5:$B$254,0)),""))</f>
        <v>0</v>
      </c>
      <c r="J70" s="50">
        <f>IF(I70="","",TEXT(I70,"ddd"))</f>
        <v>0</v>
      </c>
      <c r="M70" s="51">
        <f>IF(OR(K70="",L70=""),"",ROUND((L70-K70+IF(L70&lt;K70,1,0))*24,2))</f>
        <v>0</v>
      </c>
      <c r="O70" s="28">
        <f>IF(H70="","",IFERROR(INDEX(Services!$E$5:$E$54,MATCH(H70,Services!$B$5:$B$54,0)),""))</f>
        <v>0</v>
      </c>
      <c r="P70" s="29">
        <f>IF(H70="","",IFERROR(INDEX(Services!$G$5:$G$54,MATCH(H70,Services!$B$5:$B$54,0)),0))</f>
        <v>0</v>
      </c>
      <c r="Q70" s="29">
        <f>IF(H70="","",IF(IFERROR(INDEX(Services!$H$5:$H$54,MATCH(H70,Services!$B$5:$B$54,0)),0)=0,ExtraPetFeeDefault,IFERROR(INDEX(Services!$H$5:$H$54,MATCH(H70,Services!$B$5:$B$54,0)),0)))</f>
        <v>0</v>
      </c>
      <c r="R70" s="30">
        <f>IF(H70="","",IF(IFERROR(INDEX(Services!$I$5:$I$54,MATCH(H70,Services!$B$5:$B$54,0)),0)=0,HolidaySurcharge,IFERROR(INDEX(Services!$I$5:$I$54,MATCH(H70,Services!$B$5:$B$54,0)),0)))</f>
        <v>0</v>
      </c>
      <c r="S70" s="30">
        <f>IF(H70="","",IF(IFERROR(INDEX(Services!$J$5:$J$54,MATCH(H70,Services!$B$5:$B$54,0)),0)=0,WeekendSurcharge,IFERROR(INDEX(Services!$J$5:$J$54,MATCH(H70,Services!$B$5:$B$54,0)),0)))</f>
        <v>0</v>
      </c>
      <c r="T70" s="50">
        <f>IF(H70="","",IFERROR(INDEX(Services!$K$5:$K$54,MATCH(H70,Services!$B$5:$B$54,0)),"No"))</f>
        <v>0</v>
      </c>
      <c r="U70" s="29">
        <f>IF(H70="","",ROUND(IF(O70="Per hour",P70*IF(M70="",IF(N70="",1,N70),M70),P70*IF(N70="",1,N70)),2))</f>
        <v>0</v>
      </c>
      <c r="V70" s="29">
        <f>IF(H70="","",ROUND(MAX(0,IF(G70="",1,G70)-1)*Q70,2))</f>
        <v>0</v>
      </c>
      <c r="W70" s="50">
        <f>IF(I70="","",IF(COUNTIF(HolidayDates,I70)&gt;0,"Yes","No"))</f>
        <v>0</v>
      </c>
      <c r="X70" s="50">
        <f>IF(I70="","",IF(WEEKDAY(I70,2)&gt;5,"Yes","No"))</f>
        <v>0</v>
      </c>
      <c r="Y70" s="29">
        <f>IF(H70="","",ROUND((U70+V70)*(IF(W70="Yes",R70,0)+IF(X70="Yes",S70,0)),2))</f>
        <v>0</v>
      </c>
      <c r="AA70" s="29">
        <f>IF(H70="","",IF(T70&lt;&gt;"Yes",0,ROUND(MAX(0,IF(Z70="",0,Z70)-FreeTravelDistance)*TravelFeeRate,2)))</f>
        <v>0</v>
      </c>
      <c r="AB70" s="31">
        <f>IF(I70="","",TravelTimeMins)</f>
        <v>0</v>
      </c>
      <c r="AC70" s="29">
        <f>IF(OR(I70="",B70=""),0,IF(I70-B70&lt;=LastMinuteDays,EmergencyFee,0))</f>
        <v>0</v>
      </c>
      <c r="AF70" s="29">
        <f>IF(H70="","",ROUND((U70+V70+Y70+AA70+AC70)*IF(AE70="",0,AE70),2))</f>
        <v>0</v>
      </c>
      <c r="AI70" s="29">
        <f>IF(H70="","",IF(AG70&lt;&gt;"",AG70,ROUND(U70+V70+Y70+AA70+AC70-AF70,2)))</f>
        <v>0</v>
      </c>
      <c r="AJ70" s="29">
        <f>IF(AI70="","",IF(TaxRegistered&lt;&gt;"Yes",0,IF(PricesIncludeTax="Yes",ROUND(AI70-AI70/(1+TaxRate),2),ROUND(AI70*TaxRate,2))))</f>
        <v>0</v>
      </c>
      <c r="AK70" s="29">
        <f>IF(AI70="","",IF(PricesIncludeTax="Yes",AI70,ROUND(AI70+AJ70,2)))</f>
        <v>0</v>
      </c>
      <c r="AQ70" s="21">
        <f>IF(OR(I70="",AP70="",AP70="None"),"",IF(AP70="Monthly",EDATE(I70,1),I70+IF(AP70="Daily",1,IF(AP70="Weekdays",IF(WEEKDAY(I70,2)&gt;=5,8-WEEKDAY(I70,2),1),IF(AP70="Weekly",7,IF(AP70="Fortnightly",14,0))))))</f>
        <v>0</v>
      </c>
      <c r="AR70" s="49">
        <f>IF(OR(I70="",AL70="",K70="",L70=""),"",IF(SUMPRODUCT((Bookings!$AL$5:$AL$404=AL70)*(Bookings!$I$5:$I$404=I70)*(Bookings!$K$5:$K$404&lt;L70)*(Bookings!$L$5:$L$404&gt;K70)*(Bookings!$AM$5:$AM$404&lt;&gt;"Cancelled"))&gt;1,"Conflict - double booked","OK"))</f>
        <v>0</v>
      </c>
      <c r="AS70" s="50">
        <f>IF(A70="","",IF(COUNTIF('Visit Log'!$B$5:$B$404,A70)&gt;0,"Yes","No"))</f>
        <v>0</v>
      </c>
      <c r="AT70" s="28">
        <f>IF(A70="","",IFERROR(INDEX(Invoices!$A$5:$A$304,MATCH(A70,Invoices!$E$5:$E$304,0)),""))</f>
        <v>0</v>
      </c>
      <c r="AU70" s="49">
        <f>IF(A70="","",IF(AT70="","Not invoiced",IFERROR(INDEX(Invoices!$U$5:$U$304,MATCH(AT70,Invoices!$A$5:$A$304,0)),"")))</f>
        <v>0</v>
      </c>
      <c r="AY70" s="28">
        <f>IF(I70="","",TEXT(I70,"yyyy-mm"))</f>
        <v>0</v>
      </c>
      <c r="AZ70" s="49">
        <f>IF(I70="","",IF(AM70="Cancelled","Cancelled",IF(AND(I70&lt;TODAY(),OR(AM70="Pending",AM70="Confirmed",AM70="Enquiry")),"Overdue - update status",IF(AND(AM70="Completed",AS70="No"),"Action - log the visit",IF(I70=TODAY(),"Today",IF(AND(I70&gt;TODAY(),I70-TODAY()&lt;=ReminderLeadDays,AN70&lt;&gt;"Yes"),"Action - unconfirmed",IF(AND(I70&gt;TODAY(),I70-TODAY()&lt;=ReminderLeadDays),"Upcoming","OK")))))))</f>
        <v>0</v>
      </c>
    </row>
    <row r="71" spans="1:52">
      <c r="A71" s="46">
        <f>IF(C71="","",BookingPrefix&amp;TEXT(ROW()-4,"0000"))</f>
        <v>0</v>
      </c>
      <c r="D71" s="28">
        <f>IF(C71="","",IFERROR(INDEX(Clients!$A$5:$A$254,MATCH(C71,Clients!$B$5:$B$254,0)),""))</f>
        <v>0</v>
      </c>
      <c r="J71" s="50">
        <f>IF(I71="","",TEXT(I71,"ddd"))</f>
        <v>0</v>
      </c>
      <c r="M71" s="51">
        <f>IF(OR(K71="",L71=""),"",ROUND((L71-K71+IF(L71&lt;K71,1,0))*24,2))</f>
        <v>0</v>
      </c>
      <c r="O71" s="28">
        <f>IF(H71="","",IFERROR(INDEX(Services!$E$5:$E$54,MATCH(H71,Services!$B$5:$B$54,0)),""))</f>
        <v>0</v>
      </c>
      <c r="P71" s="29">
        <f>IF(H71="","",IFERROR(INDEX(Services!$G$5:$G$54,MATCH(H71,Services!$B$5:$B$54,0)),0))</f>
        <v>0</v>
      </c>
      <c r="Q71" s="29">
        <f>IF(H71="","",IF(IFERROR(INDEX(Services!$H$5:$H$54,MATCH(H71,Services!$B$5:$B$54,0)),0)=0,ExtraPetFeeDefault,IFERROR(INDEX(Services!$H$5:$H$54,MATCH(H71,Services!$B$5:$B$54,0)),0)))</f>
        <v>0</v>
      </c>
      <c r="R71" s="30">
        <f>IF(H71="","",IF(IFERROR(INDEX(Services!$I$5:$I$54,MATCH(H71,Services!$B$5:$B$54,0)),0)=0,HolidaySurcharge,IFERROR(INDEX(Services!$I$5:$I$54,MATCH(H71,Services!$B$5:$B$54,0)),0)))</f>
        <v>0</v>
      </c>
      <c r="S71" s="30">
        <f>IF(H71="","",IF(IFERROR(INDEX(Services!$J$5:$J$54,MATCH(H71,Services!$B$5:$B$54,0)),0)=0,WeekendSurcharge,IFERROR(INDEX(Services!$J$5:$J$54,MATCH(H71,Services!$B$5:$B$54,0)),0)))</f>
        <v>0</v>
      </c>
      <c r="T71" s="50">
        <f>IF(H71="","",IFERROR(INDEX(Services!$K$5:$K$54,MATCH(H71,Services!$B$5:$B$54,0)),"No"))</f>
        <v>0</v>
      </c>
      <c r="U71" s="29">
        <f>IF(H71="","",ROUND(IF(O71="Per hour",P71*IF(M71="",IF(N71="",1,N71),M71),P71*IF(N71="",1,N71)),2))</f>
        <v>0</v>
      </c>
      <c r="V71" s="29">
        <f>IF(H71="","",ROUND(MAX(0,IF(G71="",1,G71)-1)*Q71,2))</f>
        <v>0</v>
      </c>
      <c r="W71" s="50">
        <f>IF(I71="","",IF(COUNTIF(HolidayDates,I71)&gt;0,"Yes","No"))</f>
        <v>0</v>
      </c>
      <c r="X71" s="50">
        <f>IF(I71="","",IF(WEEKDAY(I71,2)&gt;5,"Yes","No"))</f>
        <v>0</v>
      </c>
      <c r="Y71" s="29">
        <f>IF(H71="","",ROUND((U71+V71)*(IF(W71="Yes",R71,0)+IF(X71="Yes",S71,0)),2))</f>
        <v>0</v>
      </c>
      <c r="AA71" s="29">
        <f>IF(H71="","",IF(T71&lt;&gt;"Yes",0,ROUND(MAX(0,IF(Z71="",0,Z71)-FreeTravelDistance)*TravelFeeRate,2)))</f>
        <v>0</v>
      </c>
      <c r="AB71" s="31">
        <f>IF(I71="","",TravelTimeMins)</f>
        <v>0</v>
      </c>
      <c r="AC71" s="29">
        <f>IF(OR(I71="",B71=""),0,IF(I71-B71&lt;=LastMinuteDays,EmergencyFee,0))</f>
        <v>0</v>
      </c>
      <c r="AF71" s="29">
        <f>IF(H71="","",ROUND((U71+V71+Y71+AA71+AC71)*IF(AE71="",0,AE71),2))</f>
        <v>0</v>
      </c>
      <c r="AI71" s="29">
        <f>IF(H71="","",IF(AG71&lt;&gt;"",AG71,ROUND(U71+V71+Y71+AA71+AC71-AF71,2)))</f>
        <v>0</v>
      </c>
      <c r="AJ71" s="29">
        <f>IF(AI71="","",IF(TaxRegistered&lt;&gt;"Yes",0,IF(PricesIncludeTax="Yes",ROUND(AI71-AI71/(1+TaxRate),2),ROUND(AI71*TaxRate,2))))</f>
        <v>0</v>
      </c>
      <c r="AK71" s="29">
        <f>IF(AI71="","",IF(PricesIncludeTax="Yes",AI71,ROUND(AI71+AJ71,2)))</f>
        <v>0</v>
      </c>
      <c r="AQ71" s="21">
        <f>IF(OR(I71="",AP71="",AP71="None"),"",IF(AP71="Monthly",EDATE(I71,1),I71+IF(AP71="Daily",1,IF(AP71="Weekdays",IF(WEEKDAY(I71,2)&gt;=5,8-WEEKDAY(I71,2),1),IF(AP71="Weekly",7,IF(AP71="Fortnightly",14,0))))))</f>
        <v>0</v>
      </c>
      <c r="AR71" s="49">
        <f>IF(OR(I71="",AL71="",K71="",L71=""),"",IF(SUMPRODUCT((Bookings!$AL$5:$AL$404=AL71)*(Bookings!$I$5:$I$404=I71)*(Bookings!$K$5:$K$404&lt;L71)*(Bookings!$L$5:$L$404&gt;K71)*(Bookings!$AM$5:$AM$404&lt;&gt;"Cancelled"))&gt;1,"Conflict - double booked","OK"))</f>
        <v>0</v>
      </c>
      <c r="AS71" s="50">
        <f>IF(A71="","",IF(COUNTIF('Visit Log'!$B$5:$B$404,A71)&gt;0,"Yes","No"))</f>
        <v>0</v>
      </c>
      <c r="AT71" s="28">
        <f>IF(A71="","",IFERROR(INDEX(Invoices!$A$5:$A$304,MATCH(A71,Invoices!$E$5:$E$304,0)),""))</f>
        <v>0</v>
      </c>
      <c r="AU71" s="49">
        <f>IF(A71="","",IF(AT71="","Not invoiced",IFERROR(INDEX(Invoices!$U$5:$U$304,MATCH(AT71,Invoices!$A$5:$A$304,0)),"")))</f>
        <v>0</v>
      </c>
      <c r="AY71" s="28">
        <f>IF(I71="","",TEXT(I71,"yyyy-mm"))</f>
        <v>0</v>
      </c>
      <c r="AZ71" s="49">
        <f>IF(I71="","",IF(AM71="Cancelled","Cancelled",IF(AND(I71&lt;TODAY(),OR(AM71="Pending",AM71="Confirmed",AM71="Enquiry")),"Overdue - update status",IF(AND(AM71="Completed",AS71="No"),"Action - log the visit",IF(I71=TODAY(),"Today",IF(AND(I71&gt;TODAY(),I71-TODAY()&lt;=ReminderLeadDays,AN71&lt;&gt;"Yes"),"Action - unconfirmed",IF(AND(I71&gt;TODAY(),I71-TODAY()&lt;=ReminderLeadDays),"Upcoming","OK")))))))</f>
        <v>0</v>
      </c>
    </row>
    <row r="72" spans="1:52">
      <c r="A72" s="46">
        <f>IF(C72="","",BookingPrefix&amp;TEXT(ROW()-4,"0000"))</f>
        <v>0</v>
      </c>
      <c r="D72" s="28">
        <f>IF(C72="","",IFERROR(INDEX(Clients!$A$5:$A$254,MATCH(C72,Clients!$B$5:$B$254,0)),""))</f>
        <v>0</v>
      </c>
      <c r="J72" s="50">
        <f>IF(I72="","",TEXT(I72,"ddd"))</f>
        <v>0</v>
      </c>
      <c r="M72" s="51">
        <f>IF(OR(K72="",L72=""),"",ROUND((L72-K72+IF(L72&lt;K72,1,0))*24,2))</f>
        <v>0</v>
      </c>
      <c r="O72" s="28">
        <f>IF(H72="","",IFERROR(INDEX(Services!$E$5:$E$54,MATCH(H72,Services!$B$5:$B$54,0)),""))</f>
        <v>0</v>
      </c>
      <c r="P72" s="29">
        <f>IF(H72="","",IFERROR(INDEX(Services!$G$5:$G$54,MATCH(H72,Services!$B$5:$B$54,0)),0))</f>
        <v>0</v>
      </c>
      <c r="Q72" s="29">
        <f>IF(H72="","",IF(IFERROR(INDEX(Services!$H$5:$H$54,MATCH(H72,Services!$B$5:$B$54,0)),0)=0,ExtraPetFeeDefault,IFERROR(INDEX(Services!$H$5:$H$54,MATCH(H72,Services!$B$5:$B$54,0)),0)))</f>
        <v>0</v>
      </c>
      <c r="R72" s="30">
        <f>IF(H72="","",IF(IFERROR(INDEX(Services!$I$5:$I$54,MATCH(H72,Services!$B$5:$B$54,0)),0)=0,HolidaySurcharge,IFERROR(INDEX(Services!$I$5:$I$54,MATCH(H72,Services!$B$5:$B$54,0)),0)))</f>
        <v>0</v>
      </c>
      <c r="S72" s="30">
        <f>IF(H72="","",IF(IFERROR(INDEX(Services!$J$5:$J$54,MATCH(H72,Services!$B$5:$B$54,0)),0)=0,WeekendSurcharge,IFERROR(INDEX(Services!$J$5:$J$54,MATCH(H72,Services!$B$5:$B$54,0)),0)))</f>
        <v>0</v>
      </c>
      <c r="T72" s="50">
        <f>IF(H72="","",IFERROR(INDEX(Services!$K$5:$K$54,MATCH(H72,Services!$B$5:$B$54,0)),"No"))</f>
        <v>0</v>
      </c>
      <c r="U72" s="29">
        <f>IF(H72="","",ROUND(IF(O72="Per hour",P72*IF(M72="",IF(N72="",1,N72),M72),P72*IF(N72="",1,N72)),2))</f>
        <v>0</v>
      </c>
      <c r="V72" s="29">
        <f>IF(H72="","",ROUND(MAX(0,IF(G72="",1,G72)-1)*Q72,2))</f>
        <v>0</v>
      </c>
      <c r="W72" s="50">
        <f>IF(I72="","",IF(COUNTIF(HolidayDates,I72)&gt;0,"Yes","No"))</f>
        <v>0</v>
      </c>
      <c r="X72" s="50">
        <f>IF(I72="","",IF(WEEKDAY(I72,2)&gt;5,"Yes","No"))</f>
        <v>0</v>
      </c>
      <c r="Y72" s="29">
        <f>IF(H72="","",ROUND((U72+V72)*(IF(W72="Yes",R72,0)+IF(X72="Yes",S72,0)),2))</f>
        <v>0</v>
      </c>
      <c r="AA72" s="29">
        <f>IF(H72="","",IF(T72&lt;&gt;"Yes",0,ROUND(MAX(0,IF(Z72="",0,Z72)-FreeTravelDistance)*TravelFeeRate,2)))</f>
        <v>0</v>
      </c>
      <c r="AB72" s="31">
        <f>IF(I72="","",TravelTimeMins)</f>
        <v>0</v>
      </c>
      <c r="AC72" s="29">
        <f>IF(OR(I72="",B72=""),0,IF(I72-B72&lt;=LastMinuteDays,EmergencyFee,0))</f>
        <v>0</v>
      </c>
      <c r="AF72" s="29">
        <f>IF(H72="","",ROUND((U72+V72+Y72+AA72+AC72)*IF(AE72="",0,AE72),2))</f>
        <v>0</v>
      </c>
      <c r="AI72" s="29">
        <f>IF(H72="","",IF(AG72&lt;&gt;"",AG72,ROUND(U72+V72+Y72+AA72+AC72-AF72,2)))</f>
        <v>0</v>
      </c>
      <c r="AJ72" s="29">
        <f>IF(AI72="","",IF(TaxRegistered&lt;&gt;"Yes",0,IF(PricesIncludeTax="Yes",ROUND(AI72-AI72/(1+TaxRate),2),ROUND(AI72*TaxRate,2))))</f>
        <v>0</v>
      </c>
      <c r="AK72" s="29">
        <f>IF(AI72="","",IF(PricesIncludeTax="Yes",AI72,ROUND(AI72+AJ72,2)))</f>
        <v>0</v>
      </c>
      <c r="AQ72" s="21">
        <f>IF(OR(I72="",AP72="",AP72="None"),"",IF(AP72="Monthly",EDATE(I72,1),I72+IF(AP72="Daily",1,IF(AP72="Weekdays",IF(WEEKDAY(I72,2)&gt;=5,8-WEEKDAY(I72,2),1),IF(AP72="Weekly",7,IF(AP72="Fortnightly",14,0))))))</f>
        <v>0</v>
      </c>
      <c r="AR72" s="49">
        <f>IF(OR(I72="",AL72="",K72="",L72=""),"",IF(SUMPRODUCT((Bookings!$AL$5:$AL$404=AL72)*(Bookings!$I$5:$I$404=I72)*(Bookings!$K$5:$K$404&lt;L72)*(Bookings!$L$5:$L$404&gt;K72)*(Bookings!$AM$5:$AM$404&lt;&gt;"Cancelled"))&gt;1,"Conflict - double booked","OK"))</f>
        <v>0</v>
      </c>
      <c r="AS72" s="50">
        <f>IF(A72="","",IF(COUNTIF('Visit Log'!$B$5:$B$404,A72)&gt;0,"Yes","No"))</f>
        <v>0</v>
      </c>
      <c r="AT72" s="28">
        <f>IF(A72="","",IFERROR(INDEX(Invoices!$A$5:$A$304,MATCH(A72,Invoices!$E$5:$E$304,0)),""))</f>
        <v>0</v>
      </c>
      <c r="AU72" s="49">
        <f>IF(A72="","",IF(AT72="","Not invoiced",IFERROR(INDEX(Invoices!$U$5:$U$304,MATCH(AT72,Invoices!$A$5:$A$304,0)),"")))</f>
        <v>0</v>
      </c>
      <c r="AY72" s="28">
        <f>IF(I72="","",TEXT(I72,"yyyy-mm"))</f>
        <v>0</v>
      </c>
      <c r="AZ72" s="49">
        <f>IF(I72="","",IF(AM72="Cancelled","Cancelled",IF(AND(I72&lt;TODAY(),OR(AM72="Pending",AM72="Confirmed",AM72="Enquiry")),"Overdue - update status",IF(AND(AM72="Completed",AS72="No"),"Action - log the visit",IF(I72=TODAY(),"Today",IF(AND(I72&gt;TODAY(),I72-TODAY()&lt;=ReminderLeadDays,AN72&lt;&gt;"Yes"),"Action - unconfirmed",IF(AND(I72&gt;TODAY(),I72-TODAY()&lt;=ReminderLeadDays),"Upcoming","OK")))))))</f>
        <v>0</v>
      </c>
    </row>
    <row r="73" spans="1:52">
      <c r="A73" s="46">
        <f>IF(C73="","",BookingPrefix&amp;TEXT(ROW()-4,"0000"))</f>
        <v>0</v>
      </c>
      <c r="D73" s="28">
        <f>IF(C73="","",IFERROR(INDEX(Clients!$A$5:$A$254,MATCH(C73,Clients!$B$5:$B$254,0)),""))</f>
        <v>0</v>
      </c>
      <c r="J73" s="50">
        <f>IF(I73="","",TEXT(I73,"ddd"))</f>
        <v>0</v>
      </c>
      <c r="M73" s="51">
        <f>IF(OR(K73="",L73=""),"",ROUND((L73-K73+IF(L73&lt;K73,1,0))*24,2))</f>
        <v>0</v>
      </c>
      <c r="O73" s="28">
        <f>IF(H73="","",IFERROR(INDEX(Services!$E$5:$E$54,MATCH(H73,Services!$B$5:$B$54,0)),""))</f>
        <v>0</v>
      </c>
      <c r="P73" s="29">
        <f>IF(H73="","",IFERROR(INDEX(Services!$G$5:$G$54,MATCH(H73,Services!$B$5:$B$54,0)),0))</f>
        <v>0</v>
      </c>
      <c r="Q73" s="29">
        <f>IF(H73="","",IF(IFERROR(INDEX(Services!$H$5:$H$54,MATCH(H73,Services!$B$5:$B$54,0)),0)=0,ExtraPetFeeDefault,IFERROR(INDEX(Services!$H$5:$H$54,MATCH(H73,Services!$B$5:$B$54,0)),0)))</f>
        <v>0</v>
      </c>
      <c r="R73" s="30">
        <f>IF(H73="","",IF(IFERROR(INDEX(Services!$I$5:$I$54,MATCH(H73,Services!$B$5:$B$54,0)),0)=0,HolidaySurcharge,IFERROR(INDEX(Services!$I$5:$I$54,MATCH(H73,Services!$B$5:$B$54,0)),0)))</f>
        <v>0</v>
      </c>
      <c r="S73" s="30">
        <f>IF(H73="","",IF(IFERROR(INDEX(Services!$J$5:$J$54,MATCH(H73,Services!$B$5:$B$54,0)),0)=0,WeekendSurcharge,IFERROR(INDEX(Services!$J$5:$J$54,MATCH(H73,Services!$B$5:$B$54,0)),0)))</f>
        <v>0</v>
      </c>
      <c r="T73" s="50">
        <f>IF(H73="","",IFERROR(INDEX(Services!$K$5:$K$54,MATCH(H73,Services!$B$5:$B$54,0)),"No"))</f>
        <v>0</v>
      </c>
      <c r="U73" s="29">
        <f>IF(H73="","",ROUND(IF(O73="Per hour",P73*IF(M73="",IF(N73="",1,N73),M73),P73*IF(N73="",1,N73)),2))</f>
        <v>0</v>
      </c>
      <c r="V73" s="29">
        <f>IF(H73="","",ROUND(MAX(0,IF(G73="",1,G73)-1)*Q73,2))</f>
        <v>0</v>
      </c>
      <c r="W73" s="50">
        <f>IF(I73="","",IF(COUNTIF(HolidayDates,I73)&gt;0,"Yes","No"))</f>
        <v>0</v>
      </c>
      <c r="X73" s="50">
        <f>IF(I73="","",IF(WEEKDAY(I73,2)&gt;5,"Yes","No"))</f>
        <v>0</v>
      </c>
      <c r="Y73" s="29">
        <f>IF(H73="","",ROUND((U73+V73)*(IF(W73="Yes",R73,0)+IF(X73="Yes",S73,0)),2))</f>
        <v>0</v>
      </c>
      <c r="AA73" s="29">
        <f>IF(H73="","",IF(T73&lt;&gt;"Yes",0,ROUND(MAX(0,IF(Z73="",0,Z73)-FreeTravelDistance)*TravelFeeRate,2)))</f>
        <v>0</v>
      </c>
      <c r="AB73" s="31">
        <f>IF(I73="","",TravelTimeMins)</f>
        <v>0</v>
      </c>
      <c r="AC73" s="29">
        <f>IF(OR(I73="",B73=""),0,IF(I73-B73&lt;=LastMinuteDays,EmergencyFee,0))</f>
        <v>0</v>
      </c>
      <c r="AF73" s="29">
        <f>IF(H73="","",ROUND((U73+V73+Y73+AA73+AC73)*IF(AE73="",0,AE73),2))</f>
        <v>0</v>
      </c>
      <c r="AI73" s="29">
        <f>IF(H73="","",IF(AG73&lt;&gt;"",AG73,ROUND(U73+V73+Y73+AA73+AC73-AF73,2)))</f>
        <v>0</v>
      </c>
      <c r="AJ73" s="29">
        <f>IF(AI73="","",IF(TaxRegistered&lt;&gt;"Yes",0,IF(PricesIncludeTax="Yes",ROUND(AI73-AI73/(1+TaxRate),2),ROUND(AI73*TaxRate,2))))</f>
        <v>0</v>
      </c>
      <c r="AK73" s="29">
        <f>IF(AI73="","",IF(PricesIncludeTax="Yes",AI73,ROUND(AI73+AJ73,2)))</f>
        <v>0</v>
      </c>
      <c r="AQ73" s="21">
        <f>IF(OR(I73="",AP73="",AP73="None"),"",IF(AP73="Monthly",EDATE(I73,1),I73+IF(AP73="Daily",1,IF(AP73="Weekdays",IF(WEEKDAY(I73,2)&gt;=5,8-WEEKDAY(I73,2),1),IF(AP73="Weekly",7,IF(AP73="Fortnightly",14,0))))))</f>
        <v>0</v>
      </c>
      <c r="AR73" s="49">
        <f>IF(OR(I73="",AL73="",K73="",L73=""),"",IF(SUMPRODUCT((Bookings!$AL$5:$AL$404=AL73)*(Bookings!$I$5:$I$404=I73)*(Bookings!$K$5:$K$404&lt;L73)*(Bookings!$L$5:$L$404&gt;K73)*(Bookings!$AM$5:$AM$404&lt;&gt;"Cancelled"))&gt;1,"Conflict - double booked","OK"))</f>
        <v>0</v>
      </c>
      <c r="AS73" s="50">
        <f>IF(A73="","",IF(COUNTIF('Visit Log'!$B$5:$B$404,A73)&gt;0,"Yes","No"))</f>
        <v>0</v>
      </c>
      <c r="AT73" s="28">
        <f>IF(A73="","",IFERROR(INDEX(Invoices!$A$5:$A$304,MATCH(A73,Invoices!$E$5:$E$304,0)),""))</f>
        <v>0</v>
      </c>
      <c r="AU73" s="49">
        <f>IF(A73="","",IF(AT73="","Not invoiced",IFERROR(INDEX(Invoices!$U$5:$U$304,MATCH(AT73,Invoices!$A$5:$A$304,0)),"")))</f>
        <v>0</v>
      </c>
      <c r="AY73" s="28">
        <f>IF(I73="","",TEXT(I73,"yyyy-mm"))</f>
        <v>0</v>
      </c>
      <c r="AZ73" s="49">
        <f>IF(I73="","",IF(AM73="Cancelled","Cancelled",IF(AND(I73&lt;TODAY(),OR(AM73="Pending",AM73="Confirmed",AM73="Enquiry")),"Overdue - update status",IF(AND(AM73="Completed",AS73="No"),"Action - log the visit",IF(I73=TODAY(),"Today",IF(AND(I73&gt;TODAY(),I73-TODAY()&lt;=ReminderLeadDays,AN73&lt;&gt;"Yes"),"Action - unconfirmed",IF(AND(I73&gt;TODAY(),I73-TODAY()&lt;=ReminderLeadDays),"Upcoming","OK")))))))</f>
        <v>0</v>
      </c>
    </row>
    <row r="74" spans="1:52">
      <c r="A74" s="46">
        <f>IF(C74="","",BookingPrefix&amp;TEXT(ROW()-4,"0000"))</f>
        <v>0</v>
      </c>
      <c r="D74" s="28">
        <f>IF(C74="","",IFERROR(INDEX(Clients!$A$5:$A$254,MATCH(C74,Clients!$B$5:$B$254,0)),""))</f>
        <v>0</v>
      </c>
      <c r="J74" s="50">
        <f>IF(I74="","",TEXT(I74,"ddd"))</f>
        <v>0</v>
      </c>
      <c r="M74" s="51">
        <f>IF(OR(K74="",L74=""),"",ROUND((L74-K74+IF(L74&lt;K74,1,0))*24,2))</f>
        <v>0</v>
      </c>
      <c r="O74" s="28">
        <f>IF(H74="","",IFERROR(INDEX(Services!$E$5:$E$54,MATCH(H74,Services!$B$5:$B$54,0)),""))</f>
        <v>0</v>
      </c>
      <c r="P74" s="29">
        <f>IF(H74="","",IFERROR(INDEX(Services!$G$5:$G$54,MATCH(H74,Services!$B$5:$B$54,0)),0))</f>
        <v>0</v>
      </c>
      <c r="Q74" s="29">
        <f>IF(H74="","",IF(IFERROR(INDEX(Services!$H$5:$H$54,MATCH(H74,Services!$B$5:$B$54,0)),0)=0,ExtraPetFeeDefault,IFERROR(INDEX(Services!$H$5:$H$54,MATCH(H74,Services!$B$5:$B$54,0)),0)))</f>
        <v>0</v>
      </c>
      <c r="R74" s="30">
        <f>IF(H74="","",IF(IFERROR(INDEX(Services!$I$5:$I$54,MATCH(H74,Services!$B$5:$B$54,0)),0)=0,HolidaySurcharge,IFERROR(INDEX(Services!$I$5:$I$54,MATCH(H74,Services!$B$5:$B$54,0)),0)))</f>
        <v>0</v>
      </c>
      <c r="S74" s="30">
        <f>IF(H74="","",IF(IFERROR(INDEX(Services!$J$5:$J$54,MATCH(H74,Services!$B$5:$B$54,0)),0)=0,WeekendSurcharge,IFERROR(INDEX(Services!$J$5:$J$54,MATCH(H74,Services!$B$5:$B$54,0)),0)))</f>
        <v>0</v>
      </c>
      <c r="T74" s="50">
        <f>IF(H74="","",IFERROR(INDEX(Services!$K$5:$K$54,MATCH(H74,Services!$B$5:$B$54,0)),"No"))</f>
        <v>0</v>
      </c>
      <c r="U74" s="29">
        <f>IF(H74="","",ROUND(IF(O74="Per hour",P74*IF(M74="",IF(N74="",1,N74),M74),P74*IF(N74="",1,N74)),2))</f>
        <v>0</v>
      </c>
      <c r="V74" s="29">
        <f>IF(H74="","",ROUND(MAX(0,IF(G74="",1,G74)-1)*Q74,2))</f>
        <v>0</v>
      </c>
      <c r="W74" s="50">
        <f>IF(I74="","",IF(COUNTIF(HolidayDates,I74)&gt;0,"Yes","No"))</f>
        <v>0</v>
      </c>
      <c r="X74" s="50">
        <f>IF(I74="","",IF(WEEKDAY(I74,2)&gt;5,"Yes","No"))</f>
        <v>0</v>
      </c>
      <c r="Y74" s="29">
        <f>IF(H74="","",ROUND((U74+V74)*(IF(W74="Yes",R74,0)+IF(X74="Yes",S74,0)),2))</f>
        <v>0</v>
      </c>
      <c r="AA74" s="29">
        <f>IF(H74="","",IF(T74&lt;&gt;"Yes",0,ROUND(MAX(0,IF(Z74="",0,Z74)-FreeTravelDistance)*TravelFeeRate,2)))</f>
        <v>0</v>
      </c>
      <c r="AB74" s="31">
        <f>IF(I74="","",TravelTimeMins)</f>
        <v>0</v>
      </c>
      <c r="AC74" s="29">
        <f>IF(OR(I74="",B74=""),0,IF(I74-B74&lt;=LastMinuteDays,EmergencyFee,0))</f>
        <v>0</v>
      </c>
      <c r="AF74" s="29">
        <f>IF(H74="","",ROUND((U74+V74+Y74+AA74+AC74)*IF(AE74="",0,AE74),2))</f>
        <v>0</v>
      </c>
      <c r="AI74" s="29">
        <f>IF(H74="","",IF(AG74&lt;&gt;"",AG74,ROUND(U74+V74+Y74+AA74+AC74-AF74,2)))</f>
        <v>0</v>
      </c>
      <c r="AJ74" s="29">
        <f>IF(AI74="","",IF(TaxRegistered&lt;&gt;"Yes",0,IF(PricesIncludeTax="Yes",ROUND(AI74-AI74/(1+TaxRate),2),ROUND(AI74*TaxRate,2))))</f>
        <v>0</v>
      </c>
      <c r="AK74" s="29">
        <f>IF(AI74="","",IF(PricesIncludeTax="Yes",AI74,ROUND(AI74+AJ74,2)))</f>
        <v>0</v>
      </c>
      <c r="AQ74" s="21">
        <f>IF(OR(I74="",AP74="",AP74="None"),"",IF(AP74="Monthly",EDATE(I74,1),I74+IF(AP74="Daily",1,IF(AP74="Weekdays",IF(WEEKDAY(I74,2)&gt;=5,8-WEEKDAY(I74,2),1),IF(AP74="Weekly",7,IF(AP74="Fortnightly",14,0))))))</f>
        <v>0</v>
      </c>
      <c r="AR74" s="49">
        <f>IF(OR(I74="",AL74="",K74="",L74=""),"",IF(SUMPRODUCT((Bookings!$AL$5:$AL$404=AL74)*(Bookings!$I$5:$I$404=I74)*(Bookings!$K$5:$K$404&lt;L74)*(Bookings!$L$5:$L$404&gt;K74)*(Bookings!$AM$5:$AM$404&lt;&gt;"Cancelled"))&gt;1,"Conflict - double booked","OK"))</f>
        <v>0</v>
      </c>
      <c r="AS74" s="50">
        <f>IF(A74="","",IF(COUNTIF('Visit Log'!$B$5:$B$404,A74)&gt;0,"Yes","No"))</f>
        <v>0</v>
      </c>
      <c r="AT74" s="28">
        <f>IF(A74="","",IFERROR(INDEX(Invoices!$A$5:$A$304,MATCH(A74,Invoices!$E$5:$E$304,0)),""))</f>
        <v>0</v>
      </c>
      <c r="AU74" s="49">
        <f>IF(A74="","",IF(AT74="","Not invoiced",IFERROR(INDEX(Invoices!$U$5:$U$304,MATCH(AT74,Invoices!$A$5:$A$304,0)),"")))</f>
        <v>0</v>
      </c>
      <c r="AY74" s="28">
        <f>IF(I74="","",TEXT(I74,"yyyy-mm"))</f>
        <v>0</v>
      </c>
      <c r="AZ74" s="49">
        <f>IF(I74="","",IF(AM74="Cancelled","Cancelled",IF(AND(I74&lt;TODAY(),OR(AM74="Pending",AM74="Confirmed",AM74="Enquiry")),"Overdue - update status",IF(AND(AM74="Completed",AS74="No"),"Action - log the visit",IF(I74=TODAY(),"Today",IF(AND(I74&gt;TODAY(),I74-TODAY()&lt;=ReminderLeadDays,AN74&lt;&gt;"Yes"),"Action - unconfirmed",IF(AND(I74&gt;TODAY(),I74-TODAY()&lt;=ReminderLeadDays),"Upcoming","OK")))))))</f>
        <v>0</v>
      </c>
    </row>
    <row r="75" spans="1:52">
      <c r="A75" s="46">
        <f>IF(C75="","",BookingPrefix&amp;TEXT(ROW()-4,"0000"))</f>
        <v>0</v>
      </c>
      <c r="D75" s="28">
        <f>IF(C75="","",IFERROR(INDEX(Clients!$A$5:$A$254,MATCH(C75,Clients!$B$5:$B$254,0)),""))</f>
        <v>0</v>
      </c>
      <c r="J75" s="50">
        <f>IF(I75="","",TEXT(I75,"ddd"))</f>
        <v>0</v>
      </c>
      <c r="M75" s="51">
        <f>IF(OR(K75="",L75=""),"",ROUND((L75-K75+IF(L75&lt;K75,1,0))*24,2))</f>
        <v>0</v>
      </c>
      <c r="O75" s="28">
        <f>IF(H75="","",IFERROR(INDEX(Services!$E$5:$E$54,MATCH(H75,Services!$B$5:$B$54,0)),""))</f>
        <v>0</v>
      </c>
      <c r="P75" s="29">
        <f>IF(H75="","",IFERROR(INDEX(Services!$G$5:$G$54,MATCH(H75,Services!$B$5:$B$54,0)),0))</f>
        <v>0</v>
      </c>
      <c r="Q75" s="29">
        <f>IF(H75="","",IF(IFERROR(INDEX(Services!$H$5:$H$54,MATCH(H75,Services!$B$5:$B$54,0)),0)=0,ExtraPetFeeDefault,IFERROR(INDEX(Services!$H$5:$H$54,MATCH(H75,Services!$B$5:$B$54,0)),0)))</f>
        <v>0</v>
      </c>
      <c r="R75" s="30">
        <f>IF(H75="","",IF(IFERROR(INDEX(Services!$I$5:$I$54,MATCH(H75,Services!$B$5:$B$54,0)),0)=0,HolidaySurcharge,IFERROR(INDEX(Services!$I$5:$I$54,MATCH(H75,Services!$B$5:$B$54,0)),0)))</f>
        <v>0</v>
      </c>
      <c r="S75" s="30">
        <f>IF(H75="","",IF(IFERROR(INDEX(Services!$J$5:$J$54,MATCH(H75,Services!$B$5:$B$54,0)),0)=0,WeekendSurcharge,IFERROR(INDEX(Services!$J$5:$J$54,MATCH(H75,Services!$B$5:$B$54,0)),0)))</f>
        <v>0</v>
      </c>
      <c r="T75" s="50">
        <f>IF(H75="","",IFERROR(INDEX(Services!$K$5:$K$54,MATCH(H75,Services!$B$5:$B$54,0)),"No"))</f>
        <v>0</v>
      </c>
      <c r="U75" s="29">
        <f>IF(H75="","",ROUND(IF(O75="Per hour",P75*IF(M75="",IF(N75="",1,N75),M75),P75*IF(N75="",1,N75)),2))</f>
        <v>0</v>
      </c>
      <c r="V75" s="29">
        <f>IF(H75="","",ROUND(MAX(0,IF(G75="",1,G75)-1)*Q75,2))</f>
        <v>0</v>
      </c>
      <c r="W75" s="50">
        <f>IF(I75="","",IF(COUNTIF(HolidayDates,I75)&gt;0,"Yes","No"))</f>
        <v>0</v>
      </c>
      <c r="X75" s="50">
        <f>IF(I75="","",IF(WEEKDAY(I75,2)&gt;5,"Yes","No"))</f>
        <v>0</v>
      </c>
      <c r="Y75" s="29">
        <f>IF(H75="","",ROUND((U75+V75)*(IF(W75="Yes",R75,0)+IF(X75="Yes",S75,0)),2))</f>
        <v>0</v>
      </c>
      <c r="AA75" s="29">
        <f>IF(H75="","",IF(T75&lt;&gt;"Yes",0,ROUND(MAX(0,IF(Z75="",0,Z75)-FreeTravelDistance)*TravelFeeRate,2)))</f>
        <v>0</v>
      </c>
      <c r="AB75" s="31">
        <f>IF(I75="","",TravelTimeMins)</f>
        <v>0</v>
      </c>
      <c r="AC75" s="29">
        <f>IF(OR(I75="",B75=""),0,IF(I75-B75&lt;=LastMinuteDays,EmergencyFee,0))</f>
        <v>0</v>
      </c>
      <c r="AF75" s="29">
        <f>IF(H75="","",ROUND((U75+V75+Y75+AA75+AC75)*IF(AE75="",0,AE75),2))</f>
        <v>0</v>
      </c>
      <c r="AI75" s="29">
        <f>IF(H75="","",IF(AG75&lt;&gt;"",AG75,ROUND(U75+V75+Y75+AA75+AC75-AF75,2)))</f>
        <v>0</v>
      </c>
      <c r="AJ75" s="29">
        <f>IF(AI75="","",IF(TaxRegistered&lt;&gt;"Yes",0,IF(PricesIncludeTax="Yes",ROUND(AI75-AI75/(1+TaxRate),2),ROUND(AI75*TaxRate,2))))</f>
        <v>0</v>
      </c>
      <c r="AK75" s="29">
        <f>IF(AI75="","",IF(PricesIncludeTax="Yes",AI75,ROUND(AI75+AJ75,2)))</f>
        <v>0</v>
      </c>
      <c r="AQ75" s="21">
        <f>IF(OR(I75="",AP75="",AP75="None"),"",IF(AP75="Monthly",EDATE(I75,1),I75+IF(AP75="Daily",1,IF(AP75="Weekdays",IF(WEEKDAY(I75,2)&gt;=5,8-WEEKDAY(I75,2),1),IF(AP75="Weekly",7,IF(AP75="Fortnightly",14,0))))))</f>
        <v>0</v>
      </c>
      <c r="AR75" s="49">
        <f>IF(OR(I75="",AL75="",K75="",L75=""),"",IF(SUMPRODUCT((Bookings!$AL$5:$AL$404=AL75)*(Bookings!$I$5:$I$404=I75)*(Bookings!$K$5:$K$404&lt;L75)*(Bookings!$L$5:$L$404&gt;K75)*(Bookings!$AM$5:$AM$404&lt;&gt;"Cancelled"))&gt;1,"Conflict - double booked","OK"))</f>
        <v>0</v>
      </c>
      <c r="AS75" s="50">
        <f>IF(A75="","",IF(COUNTIF('Visit Log'!$B$5:$B$404,A75)&gt;0,"Yes","No"))</f>
        <v>0</v>
      </c>
      <c r="AT75" s="28">
        <f>IF(A75="","",IFERROR(INDEX(Invoices!$A$5:$A$304,MATCH(A75,Invoices!$E$5:$E$304,0)),""))</f>
        <v>0</v>
      </c>
      <c r="AU75" s="49">
        <f>IF(A75="","",IF(AT75="","Not invoiced",IFERROR(INDEX(Invoices!$U$5:$U$304,MATCH(AT75,Invoices!$A$5:$A$304,0)),"")))</f>
        <v>0</v>
      </c>
      <c r="AY75" s="28">
        <f>IF(I75="","",TEXT(I75,"yyyy-mm"))</f>
        <v>0</v>
      </c>
      <c r="AZ75" s="49">
        <f>IF(I75="","",IF(AM75="Cancelled","Cancelled",IF(AND(I75&lt;TODAY(),OR(AM75="Pending",AM75="Confirmed",AM75="Enquiry")),"Overdue - update status",IF(AND(AM75="Completed",AS75="No"),"Action - log the visit",IF(I75=TODAY(),"Today",IF(AND(I75&gt;TODAY(),I75-TODAY()&lt;=ReminderLeadDays,AN75&lt;&gt;"Yes"),"Action - unconfirmed",IF(AND(I75&gt;TODAY(),I75-TODAY()&lt;=ReminderLeadDays),"Upcoming","OK")))))))</f>
        <v>0</v>
      </c>
    </row>
    <row r="76" spans="1:52">
      <c r="A76" s="46">
        <f>IF(C76="","",BookingPrefix&amp;TEXT(ROW()-4,"0000"))</f>
        <v>0</v>
      </c>
      <c r="D76" s="28">
        <f>IF(C76="","",IFERROR(INDEX(Clients!$A$5:$A$254,MATCH(C76,Clients!$B$5:$B$254,0)),""))</f>
        <v>0</v>
      </c>
      <c r="J76" s="50">
        <f>IF(I76="","",TEXT(I76,"ddd"))</f>
        <v>0</v>
      </c>
      <c r="M76" s="51">
        <f>IF(OR(K76="",L76=""),"",ROUND((L76-K76+IF(L76&lt;K76,1,0))*24,2))</f>
        <v>0</v>
      </c>
      <c r="O76" s="28">
        <f>IF(H76="","",IFERROR(INDEX(Services!$E$5:$E$54,MATCH(H76,Services!$B$5:$B$54,0)),""))</f>
        <v>0</v>
      </c>
      <c r="P76" s="29">
        <f>IF(H76="","",IFERROR(INDEX(Services!$G$5:$G$54,MATCH(H76,Services!$B$5:$B$54,0)),0))</f>
        <v>0</v>
      </c>
      <c r="Q76" s="29">
        <f>IF(H76="","",IF(IFERROR(INDEX(Services!$H$5:$H$54,MATCH(H76,Services!$B$5:$B$54,0)),0)=0,ExtraPetFeeDefault,IFERROR(INDEX(Services!$H$5:$H$54,MATCH(H76,Services!$B$5:$B$54,0)),0)))</f>
        <v>0</v>
      </c>
      <c r="R76" s="30">
        <f>IF(H76="","",IF(IFERROR(INDEX(Services!$I$5:$I$54,MATCH(H76,Services!$B$5:$B$54,0)),0)=0,HolidaySurcharge,IFERROR(INDEX(Services!$I$5:$I$54,MATCH(H76,Services!$B$5:$B$54,0)),0)))</f>
        <v>0</v>
      </c>
      <c r="S76" s="30">
        <f>IF(H76="","",IF(IFERROR(INDEX(Services!$J$5:$J$54,MATCH(H76,Services!$B$5:$B$54,0)),0)=0,WeekendSurcharge,IFERROR(INDEX(Services!$J$5:$J$54,MATCH(H76,Services!$B$5:$B$54,0)),0)))</f>
        <v>0</v>
      </c>
      <c r="T76" s="50">
        <f>IF(H76="","",IFERROR(INDEX(Services!$K$5:$K$54,MATCH(H76,Services!$B$5:$B$54,0)),"No"))</f>
        <v>0</v>
      </c>
      <c r="U76" s="29">
        <f>IF(H76="","",ROUND(IF(O76="Per hour",P76*IF(M76="",IF(N76="",1,N76),M76),P76*IF(N76="",1,N76)),2))</f>
        <v>0</v>
      </c>
      <c r="V76" s="29">
        <f>IF(H76="","",ROUND(MAX(0,IF(G76="",1,G76)-1)*Q76,2))</f>
        <v>0</v>
      </c>
      <c r="W76" s="50">
        <f>IF(I76="","",IF(COUNTIF(HolidayDates,I76)&gt;0,"Yes","No"))</f>
        <v>0</v>
      </c>
      <c r="X76" s="50">
        <f>IF(I76="","",IF(WEEKDAY(I76,2)&gt;5,"Yes","No"))</f>
        <v>0</v>
      </c>
      <c r="Y76" s="29">
        <f>IF(H76="","",ROUND((U76+V76)*(IF(W76="Yes",R76,0)+IF(X76="Yes",S76,0)),2))</f>
        <v>0</v>
      </c>
      <c r="AA76" s="29">
        <f>IF(H76="","",IF(T76&lt;&gt;"Yes",0,ROUND(MAX(0,IF(Z76="",0,Z76)-FreeTravelDistance)*TravelFeeRate,2)))</f>
        <v>0</v>
      </c>
      <c r="AB76" s="31">
        <f>IF(I76="","",TravelTimeMins)</f>
        <v>0</v>
      </c>
      <c r="AC76" s="29">
        <f>IF(OR(I76="",B76=""),0,IF(I76-B76&lt;=LastMinuteDays,EmergencyFee,0))</f>
        <v>0</v>
      </c>
      <c r="AF76" s="29">
        <f>IF(H76="","",ROUND((U76+V76+Y76+AA76+AC76)*IF(AE76="",0,AE76),2))</f>
        <v>0</v>
      </c>
      <c r="AI76" s="29">
        <f>IF(H76="","",IF(AG76&lt;&gt;"",AG76,ROUND(U76+V76+Y76+AA76+AC76-AF76,2)))</f>
        <v>0</v>
      </c>
      <c r="AJ76" s="29">
        <f>IF(AI76="","",IF(TaxRegistered&lt;&gt;"Yes",0,IF(PricesIncludeTax="Yes",ROUND(AI76-AI76/(1+TaxRate),2),ROUND(AI76*TaxRate,2))))</f>
        <v>0</v>
      </c>
      <c r="AK76" s="29">
        <f>IF(AI76="","",IF(PricesIncludeTax="Yes",AI76,ROUND(AI76+AJ76,2)))</f>
        <v>0</v>
      </c>
      <c r="AQ76" s="21">
        <f>IF(OR(I76="",AP76="",AP76="None"),"",IF(AP76="Monthly",EDATE(I76,1),I76+IF(AP76="Daily",1,IF(AP76="Weekdays",IF(WEEKDAY(I76,2)&gt;=5,8-WEEKDAY(I76,2),1),IF(AP76="Weekly",7,IF(AP76="Fortnightly",14,0))))))</f>
        <v>0</v>
      </c>
      <c r="AR76" s="49">
        <f>IF(OR(I76="",AL76="",K76="",L76=""),"",IF(SUMPRODUCT((Bookings!$AL$5:$AL$404=AL76)*(Bookings!$I$5:$I$404=I76)*(Bookings!$K$5:$K$404&lt;L76)*(Bookings!$L$5:$L$404&gt;K76)*(Bookings!$AM$5:$AM$404&lt;&gt;"Cancelled"))&gt;1,"Conflict - double booked","OK"))</f>
        <v>0</v>
      </c>
      <c r="AS76" s="50">
        <f>IF(A76="","",IF(COUNTIF('Visit Log'!$B$5:$B$404,A76)&gt;0,"Yes","No"))</f>
        <v>0</v>
      </c>
      <c r="AT76" s="28">
        <f>IF(A76="","",IFERROR(INDEX(Invoices!$A$5:$A$304,MATCH(A76,Invoices!$E$5:$E$304,0)),""))</f>
        <v>0</v>
      </c>
      <c r="AU76" s="49">
        <f>IF(A76="","",IF(AT76="","Not invoiced",IFERROR(INDEX(Invoices!$U$5:$U$304,MATCH(AT76,Invoices!$A$5:$A$304,0)),"")))</f>
        <v>0</v>
      </c>
      <c r="AY76" s="28">
        <f>IF(I76="","",TEXT(I76,"yyyy-mm"))</f>
        <v>0</v>
      </c>
      <c r="AZ76" s="49">
        <f>IF(I76="","",IF(AM76="Cancelled","Cancelled",IF(AND(I76&lt;TODAY(),OR(AM76="Pending",AM76="Confirmed",AM76="Enquiry")),"Overdue - update status",IF(AND(AM76="Completed",AS76="No"),"Action - log the visit",IF(I76=TODAY(),"Today",IF(AND(I76&gt;TODAY(),I76-TODAY()&lt;=ReminderLeadDays,AN76&lt;&gt;"Yes"),"Action - unconfirmed",IF(AND(I76&gt;TODAY(),I76-TODAY()&lt;=ReminderLeadDays),"Upcoming","OK")))))))</f>
        <v>0</v>
      </c>
    </row>
    <row r="77" spans="1:52">
      <c r="A77" s="46">
        <f>IF(C77="","",BookingPrefix&amp;TEXT(ROW()-4,"0000"))</f>
        <v>0</v>
      </c>
      <c r="D77" s="28">
        <f>IF(C77="","",IFERROR(INDEX(Clients!$A$5:$A$254,MATCH(C77,Clients!$B$5:$B$254,0)),""))</f>
        <v>0</v>
      </c>
      <c r="J77" s="50">
        <f>IF(I77="","",TEXT(I77,"ddd"))</f>
        <v>0</v>
      </c>
      <c r="M77" s="51">
        <f>IF(OR(K77="",L77=""),"",ROUND((L77-K77+IF(L77&lt;K77,1,0))*24,2))</f>
        <v>0</v>
      </c>
      <c r="O77" s="28">
        <f>IF(H77="","",IFERROR(INDEX(Services!$E$5:$E$54,MATCH(H77,Services!$B$5:$B$54,0)),""))</f>
        <v>0</v>
      </c>
      <c r="P77" s="29">
        <f>IF(H77="","",IFERROR(INDEX(Services!$G$5:$G$54,MATCH(H77,Services!$B$5:$B$54,0)),0))</f>
        <v>0</v>
      </c>
      <c r="Q77" s="29">
        <f>IF(H77="","",IF(IFERROR(INDEX(Services!$H$5:$H$54,MATCH(H77,Services!$B$5:$B$54,0)),0)=0,ExtraPetFeeDefault,IFERROR(INDEX(Services!$H$5:$H$54,MATCH(H77,Services!$B$5:$B$54,0)),0)))</f>
        <v>0</v>
      </c>
      <c r="R77" s="30">
        <f>IF(H77="","",IF(IFERROR(INDEX(Services!$I$5:$I$54,MATCH(H77,Services!$B$5:$B$54,0)),0)=0,HolidaySurcharge,IFERROR(INDEX(Services!$I$5:$I$54,MATCH(H77,Services!$B$5:$B$54,0)),0)))</f>
        <v>0</v>
      </c>
      <c r="S77" s="30">
        <f>IF(H77="","",IF(IFERROR(INDEX(Services!$J$5:$J$54,MATCH(H77,Services!$B$5:$B$54,0)),0)=0,WeekendSurcharge,IFERROR(INDEX(Services!$J$5:$J$54,MATCH(H77,Services!$B$5:$B$54,0)),0)))</f>
        <v>0</v>
      </c>
      <c r="T77" s="50">
        <f>IF(H77="","",IFERROR(INDEX(Services!$K$5:$K$54,MATCH(H77,Services!$B$5:$B$54,0)),"No"))</f>
        <v>0</v>
      </c>
      <c r="U77" s="29">
        <f>IF(H77="","",ROUND(IF(O77="Per hour",P77*IF(M77="",IF(N77="",1,N77),M77),P77*IF(N77="",1,N77)),2))</f>
        <v>0</v>
      </c>
      <c r="V77" s="29">
        <f>IF(H77="","",ROUND(MAX(0,IF(G77="",1,G77)-1)*Q77,2))</f>
        <v>0</v>
      </c>
      <c r="W77" s="50">
        <f>IF(I77="","",IF(COUNTIF(HolidayDates,I77)&gt;0,"Yes","No"))</f>
        <v>0</v>
      </c>
      <c r="X77" s="50">
        <f>IF(I77="","",IF(WEEKDAY(I77,2)&gt;5,"Yes","No"))</f>
        <v>0</v>
      </c>
      <c r="Y77" s="29">
        <f>IF(H77="","",ROUND((U77+V77)*(IF(W77="Yes",R77,0)+IF(X77="Yes",S77,0)),2))</f>
        <v>0</v>
      </c>
      <c r="AA77" s="29">
        <f>IF(H77="","",IF(T77&lt;&gt;"Yes",0,ROUND(MAX(0,IF(Z77="",0,Z77)-FreeTravelDistance)*TravelFeeRate,2)))</f>
        <v>0</v>
      </c>
      <c r="AB77" s="31">
        <f>IF(I77="","",TravelTimeMins)</f>
        <v>0</v>
      </c>
      <c r="AC77" s="29">
        <f>IF(OR(I77="",B77=""),0,IF(I77-B77&lt;=LastMinuteDays,EmergencyFee,0))</f>
        <v>0</v>
      </c>
      <c r="AF77" s="29">
        <f>IF(H77="","",ROUND((U77+V77+Y77+AA77+AC77)*IF(AE77="",0,AE77),2))</f>
        <v>0</v>
      </c>
      <c r="AI77" s="29">
        <f>IF(H77="","",IF(AG77&lt;&gt;"",AG77,ROUND(U77+V77+Y77+AA77+AC77-AF77,2)))</f>
        <v>0</v>
      </c>
      <c r="AJ77" s="29">
        <f>IF(AI77="","",IF(TaxRegistered&lt;&gt;"Yes",0,IF(PricesIncludeTax="Yes",ROUND(AI77-AI77/(1+TaxRate),2),ROUND(AI77*TaxRate,2))))</f>
        <v>0</v>
      </c>
      <c r="AK77" s="29">
        <f>IF(AI77="","",IF(PricesIncludeTax="Yes",AI77,ROUND(AI77+AJ77,2)))</f>
        <v>0</v>
      </c>
      <c r="AQ77" s="21">
        <f>IF(OR(I77="",AP77="",AP77="None"),"",IF(AP77="Monthly",EDATE(I77,1),I77+IF(AP77="Daily",1,IF(AP77="Weekdays",IF(WEEKDAY(I77,2)&gt;=5,8-WEEKDAY(I77,2),1),IF(AP77="Weekly",7,IF(AP77="Fortnightly",14,0))))))</f>
        <v>0</v>
      </c>
      <c r="AR77" s="49">
        <f>IF(OR(I77="",AL77="",K77="",L77=""),"",IF(SUMPRODUCT((Bookings!$AL$5:$AL$404=AL77)*(Bookings!$I$5:$I$404=I77)*(Bookings!$K$5:$K$404&lt;L77)*(Bookings!$L$5:$L$404&gt;K77)*(Bookings!$AM$5:$AM$404&lt;&gt;"Cancelled"))&gt;1,"Conflict - double booked","OK"))</f>
        <v>0</v>
      </c>
      <c r="AS77" s="50">
        <f>IF(A77="","",IF(COUNTIF('Visit Log'!$B$5:$B$404,A77)&gt;0,"Yes","No"))</f>
        <v>0</v>
      </c>
      <c r="AT77" s="28">
        <f>IF(A77="","",IFERROR(INDEX(Invoices!$A$5:$A$304,MATCH(A77,Invoices!$E$5:$E$304,0)),""))</f>
        <v>0</v>
      </c>
      <c r="AU77" s="49">
        <f>IF(A77="","",IF(AT77="","Not invoiced",IFERROR(INDEX(Invoices!$U$5:$U$304,MATCH(AT77,Invoices!$A$5:$A$304,0)),"")))</f>
        <v>0</v>
      </c>
      <c r="AY77" s="28">
        <f>IF(I77="","",TEXT(I77,"yyyy-mm"))</f>
        <v>0</v>
      </c>
      <c r="AZ77" s="49">
        <f>IF(I77="","",IF(AM77="Cancelled","Cancelled",IF(AND(I77&lt;TODAY(),OR(AM77="Pending",AM77="Confirmed",AM77="Enquiry")),"Overdue - update status",IF(AND(AM77="Completed",AS77="No"),"Action - log the visit",IF(I77=TODAY(),"Today",IF(AND(I77&gt;TODAY(),I77-TODAY()&lt;=ReminderLeadDays,AN77&lt;&gt;"Yes"),"Action - unconfirmed",IF(AND(I77&gt;TODAY(),I77-TODAY()&lt;=ReminderLeadDays),"Upcoming","OK")))))))</f>
        <v>0</v>
      </c>
    </row>
    <row r="78" spans="1:52">
      <c r="A78" s="46">
        <f>IF(C78="","",BookingPrefix&amp;TEXT(ROW()-4,"0000"))</f>
        <v>0</v>
      </c>
      <c r="D78" s="28">
        <f>IF(C78="","",IFERROR(INDEX(Clients!$A$5:$A$254,MATCH(C78,Clients!$B$5:$B$254,0)),""))</f>
        <v>0</v>
      </c>
      <c r="J78" s="50">
        <f>IF(I78="","",TEXT(I78,"ddd"))</f>
        <v>0</v>
      </c>
      <c r="M78" s="51">
        <f>IF(OR(K78="",L78=""),"",ROUND((L78-K78+IF(L78&lt;K78,1,0))*24,2))</f>
        <v>0</v>
      </c>
      <c r="O78" s="28">
        <f>IF(H78="","",IFERROR(INDEX(Services!$E$5:$E$54,MATCH(H78,Services!$B$5:$B$54,0)),""))</f>
        <v>0</v>
      </c>
      <c r="P78" s="29">
        <f>IF(H78="","",IFERROR(INDEX(Services!$G$5:$G$54,MATCH(H78,Services!$B$5:$B$54,0)),0))</f>
        <v>0</v>
      </c>
      <c r="Q78" s="29">
        <f>IF(H78="","",IF(IFERROR(INDEX(Services!$H$5:$H$54,MATCH(H78,Services!$B$5:$B$54,0)),0)=0,ExtraPetFeeDefault,IFERROR(INDEX(Services!$H$5:$H$54,MATCH(H78,Services!$B$5:$B$54,0)),0)))</f>
        <v>0</v>
      </c>
      <c r="R78" s="30">
        <f>IF(H78="","",IF(IFERROR(INDEX(Services!$I$5:$I$54,MATCH(H78,Services!$B$5:$B$54,0)),0)=0,HolidaySurcharge,IFERROR(INDEX(Services!$I$5:$I$54,MATCH(H78,Services!$B$5:$B$54,0)),0)))</f>
        <v>0</v>
      </c>
      <c r="S78" s="30">
        <f>IF(H78="","",IF(IFERROR(INDEX(Services!$J$5:$J$54,MATCH(H78,Services!$B$5:$B$54,0)),0)=0,WeekendSurcharge,IFERROR(INDEX(Services!$J$5:$J$54,MATCH(H78,Services!$B$5:$B$54,0)),0)))</f>
        <v>0</v>
      </c>
      <c r="T78" s="50">
        <f>IF(H78="","",IFERROR(INDEX(Services!$K$5:$K$54,MATCH(H78,Services!$B$5:$B$54,0)),"No"))</f>
        <v>0</v>
      </c>
      <c r="U78" s="29">
        <f>IF(H78="","",ROUND(IF(O78="Per hour",P78*IF(M78="",IF(N78="",1,N78),M78),P78*IF(N78="",1,N78)),2))</f>
        <v>0</v>
      </c>
      <c r="V78" s="29">
        <f>IF(H78="","",ROUND(MAX(0,IF(G78="",1,G78)-1)*Q78,2))</f>
        <v>0</v>
      </c>
      <c r="W78" s="50">
        <f>IF(I78="","",IF(COUNTIF(HolidayDates,I78)&gt;0,"Yes","No"))</f>
        <v>0</v>
      </c>
      <c r="X78" s="50">
        <f>IF(I78="","",IF(WEEKDAY(I78,2)&gt;5,"Yes","No"))</f>
        <v>0</v>
      </c>
      <c r="Y78" s="29">
        <f>IF(H78="","",ROUND((U78+V78)*(IF(W78="Yes",R78,0)+IF(X78="Yes",S78,0)),2))</f>
        <v>0</v>
      </c>
      <c r="AA78" s="29">
        <f>IF(H78="","",IF(T78&lt;&gt;"Yes",0,ROUND(MAX(0,IF(Z78="",0,Z78)-FreeTravelDistance)*TravelFeeRate,2)))</f>
        <v>0</v>
      </c>
      <c r="AB78" s="31">
        <f>IF(I78="","",TravelTimeMins)</f>
        <v>0</v>
      </c>
      <c r="AC78" s="29">
        <f>IF(OR(I78="",B78=""),0,IF(I78-B78&lt;=LastMinuteDays,EmergencyFee,0))</f>
        <v>0</v>
      </c>
      <c r="AF78" s="29">
        <f>IF(H78="","",ROUND((U78+V78+Y78+AA78+AC78)*IF(AE78="",0,AE78),2))</f>
        <v>0</v>
      </c>
      <c r="AI78" s="29">
        <f>IF(H78="","",IF(AG78&lt;&gt;"",AG78,ROUND(U78+V78+Y78+AA78+AC78-AF78,2)))</f>
        <v>0</v>
      </c>
      <c r="AJ78" s="29">
        <f>IF(AI78="","",IF(TaxRegistered&lt;&gt;"Yes",0,IF(PricesIncludeTax="Yes",ROUND(AI78-AI78/(1+TaxRate),2),ROUND(AI78*TaxRate,2))))</f>
        <v>0</v>
      </c>
      <c r="AK78" s="29">
        <f>IF(AI78="","",IF(PricesIncludeTax="Yes",AI78,ROUND(AI78+AJ78,2)))</f>
        <v>0</v>
      </c>
      <c r="AQ78" s="21">
        <f>IF(OR(I78="",AP78="",AP78="None"),"",IF(AP78="Monthly",EDATE(I78,1),I78+IF(AP78="Daily",1,IF(AP78="Weekdays",IF(WEEKDAY(I78,2)&gt;=5,8-WEEKDAY(I78,2),1),IF(AP78="Weekly",7,IF(AP78="Fortnightly",14,0))))))</f>
        <v>0</v>
      </c>
      <c r="AR78" s="49">
        <f>IF(OR(I78="",AL78="",K78="",L78=""),"",IF(SUMPRODUCT((Bookings!$AL$5:$AL$404=AL78)*(Bookings!$I$5:$I$404=I78)*(Bookings!$K$5:$K$404&lt;L78)*(Bookings!$L$5:$L$404&gt;K78)*(Bookings!$AM$5:$AM$404&lt;&gt;"Cancelled"))&gt;1,"Conflict - double booked","OK"))</f>
        <v>0</v>
      </c>
      <c r="AS78" s="50">
        <f>IF(A78="","",IF(COUNTIF('Visit Log'!$B$5:$B$404,A78)&gt;0,"Yes","No"))</f>
        <v>0</v>
      </c>
      <c r="AT78" s="28">
        <f>IF(A78="","",IFERROR(INDEX(Invoices!$A$5:$A$304,MATCH(A78,Invoices!$E$5:$E$304,0)),""))</f>
        <v>0</v>
      </c>
      <c r="AU78" s="49">
        <f>IF(A78="","",IF(AT78="","Not invoiced",IFERROR(INDEX(Invoices!$U$5:$U$304,MATCH(AT78,Invoices!$A$5:$A$304,0)),"")))</f>
        <v>0</v>
      </c>
      <c r="AY78" s="28">
        <f>IF(I78="","",TEXT(I78,"yyyy-mm"))</f>
        <v>0</v>
      </c>
      <c r="AZ78" s="49">
        <f>IF(I78="","",IF(AM78="Cancelled","Cancelled",IF(AND(I78&lt;TODAY(),OR(AM78="Pending",AM78="Confirmed",AM78="Enquiry")),"Overdue - update status",IF(AND(AM78="Completed",AS78="No"),"Action - log the visit",IF(I78=TODAY(),"Today",IF(AND(I78&gt;TODAY(),I78-TODAY()&lt;=ReminderLeadDays,AN78&lt;&gt;"Yes"),"Action - unconfirmed",IF(AND(I78&gt;TODAY(),I78-TODAY()&lt;=ReminderLeadDays),"Upcoming","OK")))))))</f>
        <v>0</v>
      </c>
    </row>
    <row r="79" spans="1:52">
      <c r="A79" s="46">
        <f>IF(C79="","",BookingPrefix&amp;TEXT(ROW()-4,"0000"))</f>
        <v>0</v>
      </c>
      <c r="D79" s="28">
        <f>IF(C79="","",IFERROR(INDEX(Clients!$A$5:$A$254,MATCH(C79,Clients!$B$5:$B$254,0)),""))</f>
        <v>0</v>
      </c>
      <c r="J79" s="50">
        <f>IF(I79="","",TEXT(I79,"ddd"))</f>
        <v>0</v>
      </c>
      <c r="M79" s="51">
        <f>IF(OR(K79="",L79=""),"",ROUND((L79-K79+IF(L79&lt;K79,1,0))*24,2))</f>
        <v>0</v>
      </c>
      <c r="O79" s="28">
        <f>IF(H79="","",IFERROR(INDEX(Services!$E$5:$E$54,MATCH(H79,Services!$B$5:$B$54,0)),""))</f>
        <v>0</v>
      </c>
      <c r="P79" s="29">
        <f>IF(H79="","",IFERROR(INDEX(Services!$G$5:$G$54,MATCH(H79,Services!$B$5:$B$54,0)),0))</f>
        <v>0</v>
      </c>
      <c r="Q79" s="29">
        <f>IF(H79="","",IF(IFERROR(INDEX(Services!$H$5:$H$54,MATCH(H79,Services!$B$5:$B$54,0)),0)=0,ExtraPetFeeDefault,IFERROR(INDEX(Services!$H$5:$H$54,MATCH(H79,Services!$B$5:$B$54,0)),0)))</f>
        <v>0</v>
      </c>
      <c r="R79" s="30">
        <f>IF(H79="","",IF(IFERROR(INDEX(Services!$I$5:$I$54,MATCH(H79,Services!$B$5:$B$54,0)),0)=0,HolidaySurcharge,IFERROR(INDEX(Services!$I$5:$I$54,MATCH(H79,Services!$B$5:$B$54,0)),0)))</f>
        <v>0</v>
      </c>
      <c r="S79" s="30">
        <f>IF(H79="","",IF(IFERROR(INDEX(Services!$J$5:$J$54,MATCH(H79,Services!$B$5:$B$54,0)),0)=0,WeekendSurcharge,IFERROR(INDEX(Services!$J$5:$J$54,MATCH(H79,Services!$B$5:$B$54,0)),0)))</f>
        <v>0</v>
      </c>
      <c r="T79" s="50">
        <f>IF(H79="","",IFERROR(INDEX(Services!$K$5:$K$54,MATCH(H79,Services!$B$5:$B$54,0)),"No"))</f>
        <v>0</v>
      </c>
      <c r="U79" s="29">
        <f>IF(H79="","",ROUND(IF(O79="Per hour",P79*IF(M79="",IF(N79="",1,N79),M79),P79*IF(N79="",1,N79)),2))</f>
        <v>0</v>
      </c>
      <c r="V79" s="29">
        <f>IF(H79="","",ROUND(MAX(0,IF(G79="",1,G79)-1)*Q79,2))</f>
        <v>0</v>
      </c>
      <c r="W79" s="50">
        <f>IF(I79="","",IF(COUNTIF(HolidayDates,I79)&gt;0,"Yes","No"))</f>
        <v>0</v>
      </c>
      <c r="X79" s="50">
        <f>IF(I79="","",IF(WEEKDAY(I79,2)&gt;5,"Yes","No"))</f>
        <v>0</v>
      </c>
      <c r="Y79" s="29">
        <f>IF(H79="","",ROUND((U79+V79)*(IF(W79="Yes",R79,0)+IF(X79="Yes",S79,0)),2))</f>
        <v>0</v>
      </c>
      <c r="AA79" s="29">
        <f>IF(H79="","",IF(T79&lt;&gt;"Yes",0,ROUND(MAX(0,IF(Z79="",0,Z79)-FreeTravelDistance)*TravelFeeRate,2)))</f>
        <v>0</v>
      </c>
      <c r="AB79" s="31">
        <f>IF(I79="","",TravelTimeMins)</f>
        <v>0</v>
      </c>
      <c r="AC79" s="29">
        <f>IF(OR(I79="",B79=""),0,IF(I79-B79&lt;=LastMinuteDays,EmergencyFee,0))</f>
        <v>0</v>
      </c>
      <c r="AF79" s="29">
        <f>IF(H79="","",ROUND((U79+V79+Y79+AA79+AC79)*IF(AE79="",0,AE79),2))</f>
        <v>0</v>
      </c>
      <c r="AI79" s="29">
        <f>IF(H79="","",IF(AG79&lt;&gt;"",AG79,ROUND(U79+V79+Y79+AA79+AC79-AF79,2)))</f>
        <v>0</v>
      </c>
      <c r="AJ79" s="29">
        <f>IF(AI79="","",IF(TaxRegistered&lt;&gt;"Yes",0,IF(PricesIncludeTax="Yes",ROUND(AI79-AI79/(1+TaxRate),2),ROUND(AI79*TaxRate,2))))</f>
        <v>0</v>
      </c>
      <c r="AK79" s="29">
        <f>IF(AI79="","",IF(PricesIncludeTax="Yes",AI79,ROUND(AI79+AJ79,2)))</f>
        <v>0</v>
      </c>
      <c r="AQ79" s="21">
        <f>IF(OR(I79="",AP79="",AP79="None"),"",IF(AP79="Monthly",EDATE(I79,1),I79+IF(AP79="Daily",1,IF(AP79="Weekdays",IF(WEEKDAY(I79,2)&gt;=5,8-WEEKDAY(I79,2),1),IF(AP79="Weekly",7,IF(AP79="Fortnightly",14,0))))))</f>
        <v>0</v>
      </c>
      <c r="AR79" s="49">
        <f>IF(OR(I79="",AL79="",K79="",L79=""),"",IF(SUMPRODUCT((Bookings!$AL$5:$AL$404=AL79)*(Bookings!$I$5:$I$404=I79)*(Bookings!$K$5:$K$404&lt;L79)*(Bookings!$L$5:$L$404&gt;K79)*(Bookings!$AM$5:$AM$404&lt;&gt;"Cancelled"))&gt;1,"Conflict - double booked","OK"))</f>
        <v>0</v>
      </c>
      <c r="AS79" s="50">
        <f>IF(A79="","",IF(COUNTIF('Visit Log'!$B$5:$B$404,A79)&gt;0,"Yes","No"))</f>
        <v>0</v>
      </c>
      <c r="AT79" s="28">
        <f>IF(A79="","",IFERROR(INDEX(Invoices!$A$5:$A$304,MATCH(A79,Invoices!$E$5:$E$304,0)),""))</f>
        <v>0</v>
      </c>
      <c r="AU79" s="49">
        <f>IF(A79="","",IF(AT79="","Not invoiced",IFERROR(INDEX(Invoices!$U$5:$U$304,MATCH(AT79,Invoices!$A$5:$A$304,0)),"")))</f>
        <v>0</v>
      </c>
      <c r="AY79" s="28">
        <f>IF(I79="","",TEXT(I79,"yyyy-mm"))</f>
        <v>0</v>
      </c>
      <c r="AZ79" s="49">
        <f>IF(I79="","",IF(AM79="Cancelled","Cancelled",IF(AND(I79&lt;TODAY(),OR(AM79="Pending",AM79="Confirmed",AM79="Enquiry")),"Overdue - update status",IF(AND(AM79="Completed",AS79="No"),"Action - log the visit",IF(I79=TODAY(),"Today",IF(AND(I79&gt;TODAY(),I79-TODAY()&lt;=ReminderLeadDays,AN79&lt;&gt;"Yes"),"Action - unconfirmed",IF(AND(I79&gt;TODAY(),I79-TODAY()&lt;=ReminderLeadDays),"Upcoming","OK")))))))</f>
        <v>0</v>
      </c>
    </row>
    <row r="80" spans="1:52">
      <c r="A80" s="46">
        <f>IF(C80="","",BookingPrefix&amp;TEXT(ROW()-4,"0000"))</f>
        <v>0</v>
      </c>
      <c r="D80" s="28">
        <f>IF(C80="","",IFERROR(INDEX(Clients!$A$5:$A$254,MATCH(C80,Clients!$B$5:$B$254,0)),""))</f>
        <v>0</v>
      </c>
      <c r="J80" s="50">
        <f>IF(I80="","",TEXT(I80,"ddd"))</f>
        <v>0</v>
      </c>
      <c r="M80" s="51">
        <f>IF(OR(K80="",L80=""),"",ROUND((L80-K80+IF(L80&lt;K80,1,0))*24,2))</f>
        <v>0</v>
      </c>
      <c r="O80" s="28">
        <f>IF(H80="","",IFERROR(INDEX(Services!$E$5:$E$54,MATCH(H80,Services!$B$5:$B$54,0)),""))</f>
        <v>0</v>
      </c>
      <c r="P80" s="29">
        <f>IF(H80="","",IFERROR(INDEX(Services!$G$5:$G$54,MATCH(H80,Services!$B$5:$B$54,0)),0))</f>
        <v>0</v>
      </c>
      <c r="Q80" s="29">
        <f>IF(H80="","",IF(IFERROR(INDEX(Services!$H$5:$H$54,MATCH(H80,Services!$B$5:$B$54,0)),0)=0,ExtraPetFeeDefault,IFERROR(INDEX(Services!$H$5:$H$54,MATCH(H80,Services!$B$5:$B$54,0)),0)))</f>
        <v>0</v>
      </c>
      <c r="R80" s="30">
        <f>IF(H80="","",IF(IFERROR(INDEX(Services!$I$5:$I$54,MATCH(H80,Services!$B$5:$B$54,0)),0)=0,HolidaySurcharge,IFERROR(INDEX(Services!$I$5:$I$54,MATCH(H80,Services!$B$5:$B$54,0)),0)))</f>
        <v>0</v>
      </c>
      <c r="S80" s="30">
        <f>IF(H80="","",IF(IFERROR(INDEX(Services!$J$5:$J$54,MATCH(H80,Services!$B$5:$B$54,0)),0)=0,WeekendSurcharge,IFERROR(INDEX(Services!$J$5:$J$54,MATCH(H80,Services!$B$5:$B$54,0)),0)))</f>
        <v>0</v>
      </c>
      <c r="T80" s="50">
        <f>IF(H80="","",IFERROR(INDEX(Services!$K$5:$K$54,MATCH(H80,Services!$B$5:$B$54,0)),"No"))</f>
        <v>0</v>
      </c>
      <c r="U80" s="29">
        <f>IF(H80="","",ROUND(IF(O80="Per hour",P80*IF(M80="",IF(N80="",1,N80),M80),P80*IF(N80="",1,N80)),2))</f>
        <v>0</v>
      </c>
      <c r="V80" s="29">
        <f>IF(H80="","",ROUND(MAX(0,IF(G80="",1,G80)-1)*Q80,2))</f>
        <v>0</v>
      </c>
      <c r="W80" s="50">
        <f>IF(I80="","",IF(COUNTIF(HolidayDates,I80)&gt;0,"Yes","No"))</f>
        <v>0</v>
      </c>
      <c r="X80" s="50">
        <f>IF(I80="","",IF(WEEKDAY(I80,2)&gt;5,"Yes","No"))</f>
        <v>0</v>
      </c>
      <c r="Y80" s="29">
        <f>IF(H80="","",ROUND((U80+V80)*(IF(W80="Yes",R80,0)+IF(X80="Yes",S80,0)),2))</f>
        <v>0</v>
      </c>
      <c r="AA80" s="29">
        <f>IF(H80="","",IF(T80&lt;&gt;"Yes",0,ROUND(MAX(0,IF(Z80="",0,Z80)-FreeTravelDistance)*TravelFeeRate,2)))</f>
        <v>0</v>
      </c>
      <c r="AB80" s="31">
        <f>IF(I80="","",TravelTimeMins)</f>
        <v>0</v>
      </c>
      <c r="AC80" s="29">
        <f>IF(OR(I80="",B80=""),0,IF(I80-B80&lt;=LastMinuteDays,EmergencyFee,0))</f>
        <v>0</v>
      </c>
      <c r="AF80" s="29">
        <f>IF(H80="","",ROUND((U80+V80+Y80+AA80+AC80)*IF(AE80="",0,AE80),2))</f>
        <v>0</v>
      </c>
      <c r="AI80" s="29">
        <f>IF(H80="","",IF(AG80&lt;&gt;"",AG80,ROUND(U80+V80+Y80+AA80+AC80-AF80,2)))</f>
        <v>0</v>
      </c>
      <c r="AJ80" s="29">
        <f>IF(AI80="","",IF(TaxRegistered&lt;&gt;"Yes",0,IF(PricesIncludeTax="Yes",ROUND(AI80-AI80/(1+TaxRate),2),ROUND(AI80*TaxRate,2))))</f>
        <v>0</v>
      </c>
      <c r="AK80" s="29">
        <f>IF(AI80="","",IF(PricesIncludeTax="Yes",AI80,ROUND(AI80+AJ80,2)))</f>
        <v>0</v>
      </c>
      <c r="AQ80" s="21">
        <f>IF(OR(I80="",AP80="",AP80="None"),"",IF(AP80="Monthly",EDATE(I80,1),I80+IF(AP80="Daily",1,IF(AP80="Weekdays",IF(WEEKDAY(I80,2)&gt;=5,8-WEEKDAY(I80,2),1),IF(AP80="Weekly",7,IF(AP80="Fortnightly",14,0))))))</f>
        <v>0</v>
      </c>
      <c r="AR80" s="49">
        <f>IF(OR(I80="",AL80="",K80="",L80=""),"",IF(SUMPRODUCT((Bookings!$AL$5:$AL$404=AL80)*(Bookings!$I$5:$I$404=I80)*(Bookings!$K$5:$K$404&lt;L80)*(Bookings!$L$5:$L$404&gt;K80)*(Bookings!$AM$5:$AM$404&lt;&gt;"Cancelled"))&gt;1,"Conflict - double booked","OK"))</f>
        <v>0</v>
      </c>
      <c r="AS80" s="50">
        <f>IF(A80="","",IF(COUNTIF('Visit Log'!$B$5:$B$404,A80)&gt;0,"Yes","No"))</f>
        <v>0</v>
      </c>
      <c r="AT80" s="28">
        <f>IF(A80="","",IFERROR(INDEX(Invoices!$A$5:$A$304,MATCH(A80,Invoices!$E$5:$E$304,0)),""))</f>
        <v>0</v>
      </c>
      <c r="AU80" s="49">
        <f>IF(A80="","",IF(AT80="","Not invoiced",IFERROR(INDEX(Invoices!$U$5:$U$304,MATCH(AT80,Invoices!$A$5:$A$304,0)),"")))</f>
        <v>0</v>
      </c>
      <c r="AY80" s="28">
        <f>IF(I80="","",TEXT(I80,"yyyy-mm"))</f>
        <v>0</v>
      </c>
      <c r="AZ80" s="49">
        <f>IF(I80="","",IF(AM80="Cancelled","Cancelled",IF(AND(I80&lt;TODAY(),OR(AM80="Pending",AM80="Confirmed",AM80="Enquiry")),"Overdue - update status",IF(AND(AM80="Completed",AS80="No"),"Action - log the visit",IF(I80=TODAY(),"Today",IF(AND(I80&gt;TODAY(),I80-TODAY()&lt;=ReminderLeadDays,AN80&lt;&gt;"Yes"),"Action - unconfirmed",IF(AND(I80&gt;TODAY(),I80-TODAY()&lt;=ReminderLeadDays),"Upcoming","OK")))))))</f>
        <v>0</v>
      </c>
    </row>
    <row r="81" spans="1:52">
      <c r="A81" s="46">
        <f>IF(C81="","",BookingPrefix&amp;TEXT(ROW()-4,"0000"))</f>
        <v>0</v>
      </c>
      <c r="D81" s="28">
        <f>IF(C81="","",IFERROR(INDEX(Clients!$A$5:$A$254,MATCH(C81,Clients!$B$5:$B$254,0)),""))</f>
        <v>0</v>
      </c>
      <c r="J81" s="50">
        <f>IF(I81="","",TEXT(I81,"ddd"))</f>
        <v>0</v>
      </c>
      <c r="M81" s="51">
        <f>IF(OR(K81="",L81=""),"",ROUND((L81-K81+IF(L81&lt;K81,1,0))*24,2))</f>
        <v>0</v>
      </c>
      <c r="O81" s="28">
        <f>IF(H81="","",IFERROR(INDEX(Services!$E$5:$E$54,MATCH(H81,Services!$B$5:$B$54,0)),""))</f>
        <v>0</v>
      </c>
      <c r="P81" s="29">
        <f>IF(H81="","",IFERROR(INDEX(Services!$G$5:$G$54,MATCH(H81,Services!$B$5:$B$54,0)),0))</f>
        <v>0</v>
      </c>
      <c r="Q81" s="29">
        <f>IF(H81="","",IF(IFERROR(INDEX(Services!$H$5:$H$54,MATCH(H81,Services!$B$5:$B$54,0)),0)=0,ExtraPetFeeDefault,IFERROR(INDEX(Services!$H$5:$H$54,MATCH(H81,Services!$B$5:$B$54,0)),0)))</f>
        <v>0</v>
      </c>
      <c r="R81" s="30">
        <f>IF(H81="","",IF(IFERROR(INDEX(Services!$I$5:$I$54,MATCH(H81,Services!$B$5:$B$54,0)),0)=0,HolidaySurcharge,IFERROR(INDEX(Services!$I$5:$I$54,MATCH(H81,Services!$B$5:$B$54,0)),0)))</f>
        <v>0</v>
      </c>
      <c r="S81" s="30">
        <f>IF(H81="","",IF(IFERROR(INDEX(Services!$J$5:$J$54,MATCH(H81,Services!$B$5:$B$54,0)),0)=0,WeekendSurcharge,IFERROR(INDEX(Services!$J$5:$J$54,MATCH(H81,Services!$B$5:$B$54,0)),0)))</f>
        <v>0</v>
      </c>
      <c r="T81" s="50">
        <f>IF(H81="","",IFERROR(INDEX(Services!$K$5:$K$54,MATCH(H81,Services!$B$5:$B$54,0)),"No"))</f>
        <v>0</v>
      </c>
      <c r="U81" s="29">
        <f>IF(H81="","",ROUND(IF(O81="Per hour",P81*IF(M81="",IF(N81="",1,N81),M81),P81*IF(N81="",1,N81)),2))</f>
        <v>0</v>
      </c>
      <c r="V81" s="29">
        <f>IF(H81="","",ROUND(MAX(0,IF(G81="",1,G81)-1)*Q81,2))</f>
        <v>0</v>
      </c>
      <c r="W81" s="50">
        <f>IF(I81="","",IF(COUNTIF(HolidayDates,I81)&gt;0,"Yes","No"))</f>
        <v>0</v>
      </c>
      <c r="X81" s="50">
        <f>IF(I81="","",IF(WEEKDAY(I81,2)&gt;5,"Yes","No"))</f>
        <v>0</v>
      </c>
      <c r="Y81" s="29">
        <f>IF(H81="","",ROUND((U81+V81)*(IF(W81="Yes",R81,0)+IF(X81="Yes",S81,0)),2))</f>
        <v>0</v>
      </c>
      <c r="AA81" s="29">
        <f>IF(H81="","",IF(T81&lt;&gt;"Yes",0,ROUND(MAX(0,IF(Z81="",0,Z81)-FreeTravelDistance)*TravelFeeRate,2)))</f>
        <v>0</v>
      </c>
      <c r="AB81" s="31">
        <f>IF(I81="","",TravelTimeMins)</f>
        <v>0</v>
      </c>
      <c r="AC81" s="29">
        <f>IF(OR(I81="",B81=""),0,IF(I81-B81&lt;=LastMinuteDays,EmergencyFee,0))</f>
        <v>0</v>
      </c>
      <c r="AF81" s="29">
        <f>IF(H81="","",ROUND((U81+V81+Y81+AA81+AC81)*IF(AE81="",0,AE81),2))</f>
        <v>0</v>
      </c>
      <c r="AI81" s="29">
        <f>IF(H81="","",IF(AG81&lt;&gt;"",AG81,ROUND(U81+V81+Y81+AA81+AC81-AF81,2)))</f>
        <v>0</v>
      </c>
      <c r="AJ81" s="29">
        <f>IF(AI81="","",IF(TaxRegistered&lt;&gt;"Yes",0,IF(PricesIncludeTax="Yes",ROUND(AI81-AI81/(1+TaxRate),2),ROUND(AI81*TaxRate,2))))</f>
        <v>0</v>
      </c>
      <c r="AK81" s="29">
        <f>IF(AI81="","",IF(PricesIncludeTax="Yes",AI81,ROUND(AI81+AJ81,2)))</f>
        <v>0</v>
      </c>
      <c r="AQ81" s="21">
        <f>IF(OR(I81="",AP81="",AP81="None"),"",IF(AP81="Monthly",EDATE(I81,1),I81+IF(AP81="Daily",1,IF(AP81="Weekdays",IF(WEEKDAY(I81,2)&gt;=5,8-WEEKDAY(I81,2),1),IF(AP81="Weekly",7,IF(AP81="Fortnightly",14,0))))))</f>
        <v>0</v>
      </c>
      <c r="AR81" s="49">
        <f>IF(OR(I81="",AL81="",K81="",L81=""),"",IF(SUMPRODUCT((Bookings!$AL$5:$AL$404=AL81)*(Bookings!$I$5:$I$404=I81)*(Bookings!$K$5:$K$404&lt;L81)*(Bookings!$L$5:$L$404&gt;K81)*(Bookings!$AM$5:$AM$404&lt;&gt;"Cancelled"))&gt;1,"Conflict - double booked","OK"))</f>
        <v>0</v>
      </c>
      <c r="AS81" s="50">
        <f>IF(A81="","",IF(COUNTIF('Visit Log'!$B$5:$B$404,A81)&gt;0,"Yes","No"))</f>
        <v>0</v>
      </c>
      <c r="AT81" s="28">
        <f>IF(A81="","",IFERROR(INDEX(Invoices!$A$5:$A$304,MATCH(A81,Invoices!$E$5:$E$304,0)),""))</f>
        <v>0</v>
      </c>
      <c r="AU81" s="49">
        <f>IF(A81="","",IF(AT81="","Not invoiced",IFERROR(INDEX(Invoices!$U$5:$U$304,MATCH(AT81,Invoices!$A$5:$A$304,0)),"")))</f>
        <v>0</v>
      </c>
      <c r="AY81" s="28">
        <f>IF(I81="","",TEXT(I81,"yyyy-mm"))</f>
        <v>0</v>
      </c>
      <c r="AZ81" s="49">
        <f>IF(I81="","",IF(AM81="Cancelled","Cancelled",IF(AND(I81&lt;TODAY(),OR(AM81="Pending",AM81="Confirmed",AM81="Enquiry")),"Overdue - update status",IF(AND(AM81="Completed",AS81="No"),"Action - log the visit",IF(I81=TODAY(),"Today",IF(AND(I81&gt;TODAY(),I81-TODAY()&lt;=ReminderLeadDays,AN81&lt;&gt;"Yes"),"Action - unconfirmed",IF(AND(I81&gt;TODAY(),I81-TODAY()&lt;=ReminderLeadDays),"Upcoming","OK")))))))</f>
        <v>0</v>
      </c>
    </row>
    <row r="82" spans="1:52">
      <c r="A82" s="46">
        <f>IF(C82="","",BookingPrefix&amp;TEXT(ROW()-4,"0000"))</f>
        <v>0</v>
      </c>
      <c r="D82" s="28">
        <f>IF(C82="","",IFERROR(INDEX(Clients!$A$5:$A$254,MATCH(C82,Clients!$B$5:$B$254,0)),""))</f>
        <v>0</v>
      </c>
      <c r="J82" s="50">
        <f>IF(I82="","",TEXT(I82,"ddd"))</f>
        <v>0</v>
      </c>
      <c r="M82" s="51">
        <f>IF(OR(K82="",L82=""),"",ROUND((L82-K82+IF(L82&lt;K82,1,0))*24,2))</f>
        <v>0</v>
      </c>
      <c r="O82" s="28">
        <f>IF(H82="","",IFERROR(INDEX(Services!$E$5:$E$54,MATCH(H82,Services!$B$5:$B$54,0)),""))</f>
        <v>0</v>
      </c>
      <c r="P82" s="29">
        <f>IF(H82="","",IFERROR(INDEX(Services!$G$5:$G$54,MATCH(H82,Services!$B$5:$B$54,0)),0))</f>
        <v>0</v>
      </c>
      <c r="Q82" s="29">
        <f>IF(H82="","",IF(IFERROR(INDEX(Services!$H$5:$H$54,MATCH(H82,Services!$B$5:$B$54,0)),0)=0,ExtraPetFeeDefault,IFERROR(INDEX(Services!$H$5:$H$54,MATCH(H82,Services!$B$5:$B$54,0)),0)))</f>
        <v>0</v>
      </c>
      <c r="R82" s="30">
        <f>IF(H82="","",IF(IFERROR(INDEX(Services!$I$5:$I$54,MATCH(H82,Services!$B$5:$B$54,0)),0)=0,HolidaySurcharge,IFERROR(INDEX(Services!$I$5:$I$54,MATCH(H82,Services!$B$5:$B$54,0)),0)))</f>
        <v>0</v>
      </c>
      <c r="S82" s="30">
        <f>IF(H82="","",IF(IFERROR(INDEX(Services!$J$5:$J$54,MATCH(H82,Services!$B$5:$B$54,0)),0)=0,WeekendSurcharge,IFERROR(INDEX(Services!$J$5:$J$54,MATCH(H82,Services!$B$5:$B$54,0)),0)))</f>
        <v>0</v>
      </c>
      <c r="T82" s="50">
        <f>IF(H82="","",IFERROR(INDEX(Services!$K$5:$K$54,MATCH(H82,Services!$B$5:$B$54,0)),"No"))</f>
        <v>0</v>
      </c>
      <c r="U82" s="29">
        <f>IF(H82="","",ROUND(IF(O82="Per hour",P82*IF(M82="",IF(N82="",1,N82),M82),P82*IF(N82="",1,N82)),2))</f>
        <v>0</v>
      </c>
      <c r="V82" s="29">
        <f>IF(H82="","",ROUND(MAX(0,IF(G82="",1,G82)-1)*Q82,2))</f>
        <v>0</v>
      </c>
      <c r="W82" s="50">
        <f>IF(I82="","",IF(COUNTIF(HolidayDates,I82)&gt;0,"Yes","No"))</f>
        <v>0</v>
      </c>
      <c r="X82" s="50">
        <f>IF(I82="","",IF(WEEKDAY(I82,2)&gt;5,"Yes","No"))</f>
        <v>0</v>
      </c>
      <c r="Y82" s="29">
        <f>IF(H82="","",ROUND((U82+V82)*(IF(W82="Yes",R82,0)+IF(X82="Yes",S82,0)),2))</f>
        <v>0</v>
      </c>
      <c r="AA82" s="29">
        <f>IF(H82="","",IF(T82&lt;&gt;"Yes",0,ROUND(MAX(0,IF(Z82="",0,Z82)-FreeTravelDistance)*TravelFeeRate,2)))</f>
        <v>0</v>
      </c>
      <c r="AB82" s="31">
        <f>IF(I82="","",TravelTimeMins)</f>
        <v>0</v>
      </c>
      <c r="AC82" s="29">
        <f>IF(OR(I82="",B82=""),0,IF(I82-B82&lt;=LastMinuteDays,EmergencyFee,0))</f>
        <v>0</v>
      </c>
      <c r="AF82" s="29">
        <f>IF(H82="","",ROUND((U82+V82+Y82+AA82+AC82)*IF(AE82="",0,AE82),2))</f>
        <v>0</v>
      </c>
      <c r="AI82" s="29">
        <f>IF(H82="","",IF(AG82&lt;&gt;"",AG82,ROUND(U82+V82+Y82+AA82+AC82-AF82,2)))</f>
        <v>0</v>
      </c>
      <c r="AJ82" s="29">
        <f>IF(AI82="","",IF(TaxRegistered&lt;&gt;"Yes",0,IF(PricesIncludeTax="Yes",ROUND(AI82-AI82/(1+TaxRate),2),ROUND(AI82*TaxRate,2))))</f>
        <v>0</v>
      </c>
      <c r="AK82" s="29">
        <f>IF(AI82="","",IF(PricesIncludeTax="Yes",AI82,ROUND(AI82+AJ82,2)))</f>
        <v>0</v>
      </c>
      <c r="AQ82" s="21">
        <f>IF(OR(I82="",AP82="",AP82="None"),"",IF(AP82="Monthly",EDATE(I82,1),I82+IF(AP82="Daily",1,IF(AP82="Weekdays",IF(WEEKDAY(I82,2)&gt;=5,8-WEEKDAY(I82,2),1),IF(AP82="Weekly",7,IF(AP82="Fortnightly",14,0))))))</f>
        <v>0</v>
      </c>
      <c r="AR82" s="49">
        <f>IF(OR(I82="",AL82="",K82="",L82=""),"",IF(SUMPRODUCT((Bookings!$AL$5:$AL$404=AL82)*(Bookings!$I$5:$I$404=I82)*(Bookings!$K$5:$K$404&lt;L82)*(Bookings!$L$5:$L$404&gt;K82)*(Bookings!$AM$5:$AM$404&lt;&gt;"Cancelled"))&gt;1,"Conflict - double booked","OK"))</f>
        <v>0</v>
      </c>
      <c r="AS82" s="50">
        <f>IF(A82="","",IF(COUNTIF('Visit Log'!$B$5:$B$404,A82)&gt;0,"Yes","No"))</f>
        <v>0</v>
      </c>
      <c r="AT82" s="28">
        <f>IF(A82="","",IFERROR(INDEX(Invoices!$A$5:$A$304,MATCH(A82,Invoices!$E$5:$E$304,0)),""))</f>
        <v>0</v>
      </c>
      <c r="AU82" s="49">
        <f>IF(A82="","",IF(AT82="","Not invoiced",IFERROR(INDEX(Invoices!$U$5:$U$304,MATCH(AT82,Invoices!$A$5:$A$304,0)),"")))</f>
        <v>0</v>
      </c>
      <c r="AY82" s="28">
        <f>IF(I82="","",TEXT(I82,"yyyy-mm"))</f>
        <v>0</v>
      </c>
      <c r="AZ82" s="49">
        <f>IF(I82="","",IF(AM82="Cancelled","Cancelled",IF(AND(I82&lt;TODAY(),OR(AM82="Pending",AM82="Confirmed",AM82="Enquiry")),"Overdue - update status",IF(AND(AM82="Completed",AS82="No"),"Action - log the visit",IF(I82=TODAY(),"Today",IF(AND(I82&gt;TODAY(),I82-TODAY()&lt;=ReminderLeadDays,AN82&lt;&gt;"Yes"),"Action - unconfirmed",IF(AND(I82&gt;TODAY(),I82-TODAY()&lt;=ReminderLeadDays),"Upcoming","OK")))))))</f>
        <v>0</v>
      </c>
    </row>
    <row r="83" spans="1:52">
      <c r="A83" s="46">
        <f>IF(C83="","",BookingPrefix&amp;TEXT(ROW()-4,"0000"))</f>
        <v>0</v>
      </c>
      <c r="D83" s="28">
        <f>IF(C83="","",IFERROR(INDEX(Clients!$A$5:$A$254,MATCH(C83,Clients!$B$5:$B$254,0)),""))</f>
        <v>0</v>
      </c>
      <c r="J83" s="50">
        <f>IF(I83="","",TEXT(I83,"ddd"))</f>
        <v>0</v>
      </c>
      <c r="M83" s="51">
        <f>IF(OR(K83="",L83=""),"",ROUND((L83-K83+IF(L83&lt;K83,1,0))*24,2))</f>
        <v>0</v>
      </c>
      <c r="O83" s="28">
        <f>IF(H83="","",IFERROR(INDEX(Services!$E$5:$E$54,MATCH(H83,Services!$B$5:$B$54,0)),""))</f>
        <v>0</v>
      </c>
      <c r="P83" s="29">
        <f>IF(H83="","",IFERROR(INDEX(Services!$G$5:$G$54,MATCH(H83,Services!$B$5:$B$54,0)),0))</f>
        <v>0</v>
      </c>
      <c r="Q83" s="29">
        <f>IF(H83="","",IF(IFERROR(INDEX(Services!$H$5:$H$54,MATCH(H83,Services!$B$5:$B$54,0)),0)=0,ExtraPetFeeDefault,IFERROR(INDEX(Services!$H$5:$H$54,MATCH(H83,Services!$B$5:$B$54,0)),0)))</f>
        <v>0</v>
      </c>
      <c r="R83" s="30">
        <f>IF(H83="","",IF(IFERROR(INDEX(Services!$I$5:$I$54,MATCH(H83,Services!$B$5:$B$54,0)),0)=0,HolidaySurcharge,IFERROR(INDEX(Services!$I$5:$I$54,MATCH(H83,Services!$B$5:$B$54,0)),0)))</f>
        <v>0</v>
      </c>
      <c r="S83" s="30">
        <f>IF(H83="","",IF(IFERROR(INDEX(Services!$J$5:$J$54,MATCH(H83,Services!$B$5:$B$54,0)),0)=0,WeekendSurcharge,IFERROR(INDEX(Services!$J$5:$J$54,MATCH(H83,Services!$B$5:$B$54,0)),0)))</f>
        <v>0</v>
      </c>
      <c r="T83" s="50">
        <f>IF(H83="","",IFERROR(INDEX(Services!$K$5:$K$54,MATCH(H83,Services!$B$5:$B$54,0)),"No"))</f>
        <v>0</v>
      </c>
      <c r="U83" s="29">
        <f>IF(H83="","",ROUND(IF(O83="Per hour",P83*IF(M83="",IF(N83="",1,N83),M83),P83*IF(N83="",1,N83)),2))</f>
        <v>0</v>
      </c>
      <c r="V83" s="29">
        <f>IF(H83="","",ROUND(MAX(0,IF(G83="",1,G83)-1)*Q83,2))</f>
        <v>0</v>
      </c>
      <c r="W83" s="50">
        <f>IF(I83="","",IF(COUNTIF(HolidayDates,I83)&gt;0,"Yes","No"))</f>
        <v>0</v>
      </c>
      <c r="X83" s="50">
        <f>IF(I83="","",IF(WEEKDAY(I83,2)&gt;5,"Yes","No"))</f>
        <v>0</v>
      </c>
      <c r="Y83" s="29">
        <f>IF(H83="","",ROUND((U83+V83)*(IF(W83="Yes",R83,0)+IF(X83="Yes",S83,0)),2))</f>
        <v>0</v>
      </c>
      <c r="AA83" s="29">
        <f>IF(H83="","",IF(T83&lt;&gt;"Yes",0,ROUND(MAX(0,IF(Z83="",0,Z83)-FreeTravelDistance)*TravelFeeRate,2)))</f>
        <v>0</v>
      </c>
      <c r="AB83" s="31">
        <f>IF(I83="","",TravelTimeMins)</f>
        <v>0</v>
      </c>
      <c r="AC83" s="29">
        <f>IF(OR(I83="",B83=""),0,IF(I83-B83&lt;=LastMinuteDays,EmergencyFee,0))</f>
        <v>0</v>
      </c>
      <c r="AF83" s="29">
        <f>IF(H83="","",ROUND((U83+V83+Y83+AA83+AC83)*IF(AE83="",0,AE83),2))</f>
        <v>0</v>
      </c>
      <c r="AI83" s="29">
        <f>IF(H83="","",IF(AG83&lt;&gt;"",AG83,ROUND(U83+V83+Y83+AA83+AC83-AF83,2)))</f>
        <v>0</v>
      </c>
      <c r="AJ83" s="29">
        <f>IF(AI83="","",IF(TaxRegistered&lt;&gt;"Yes",0,IF(PricesIncludeTax="Yes",ROUND(AI83-AI83/(1+TaxRate),2),ROUND(AI83*TaxRate,2))))</f>
        <v>0</v>
      </c>
      <c r="AK83" s="29">
        <f>IF(AI83="","",IF(PricesIncludeTax="Yes",AI83,ROUND(AI83+AJ83,2)))</f>
        <v>0</v>
      </c>
      <c r="AQ83" s="21">
        <f>IF(OR(I83="",AP83="",AP83="None"),"",IF(AP83="Monthly",EDATE(I83,1),I83+IF(AP83="Daily",1,IF(AP83="Weekdays",IF(WEEKDAY(I83,2)&gt;=5,8-WEEKDAY(I83,2),1),IF(AP83="Weekly",7,IF(AP83="Fortnightly",14,0))))))</f>
        <v>0</v>
      </c>
      <c r="AR83" s="49">
        <f>IF(OR(I83="",AL83="",K83="",L83=""),"",IF(SUMPRODUCT((Bookings!$AL$5:$AL$404=AL83)*(Bookings!$I$5:$I$404=I83)*(Bookings!$K$5:$K$404&lt;L83)*(Bookings!$L$5:$L$404&gt;K83)*(Bookings!$AM$5:$AM$404&lt;&gt;"Cancelled"))&gt;1,"Conflict - double booked","OK"))</f>
        <v>0</v>
      </c>
      <c r="AS83" s="50">
        <f>IF(A83="","",IF(COUNTIF('Visit Log'!$B$5:$B$404,A83)&gt;0,"Yes","No"))</f>
        <v>0</v>
      </c>
      <c r="AT83" s="28">
        <f>IF(A83="","",IFERROR(INDEX(Invoices!$A$5:$A$304,MATCH(A83,Invoices!$E$5:$E$304,0)),""))</f>
        <v>0</v>
      </c>
      <c r="AU83" s="49">
        <f>IF(A83="","",IF(AT83="","Not invoiced",IFERROR(INDEX(Invoices!$U$5:$U$304,MATCH(AT83,Invoices!$A$5:$A$304,0)),"")))</f>
        <v>0</v>
      </c>
      <c r="AY83" s="28">
        <f>IF(I83="","",TEXT(I83,"yyyy-mm"))</f>
        <v>0</v>
      </c>
      <c r="AZ83" s="49">
        <f>IF(I83="","",IF(AM83="Cancelled","Cancelled",IF(AND(I83&lt;TODAY(),OR(AM83="Pending",AM83="Confirmed",AM83="Enquiry")),"Overdue - update status",IF(AND(AM83="Completed",AS83="No"),"Action - log the visit",IF(I83=TODAY(),"Today",IF(AND(I83&gt;TODAY(),I83-TODAY()&lt;=ReminderLeadDays,AN83&lt;&gt;"Yes"),"Action - unconfirmed",IF(AND(I83&gt;TODAY(),I83-TODAY()&lt;=ReminderLeadDays),"Upcoming","OK")))))))</f>
        <v>0</v>
      </c>
    </row>
    <row r="84" spans="1:52">
      <c r="A84" s="46">
        <f>IF(C84="","",BookingPrefix&amp;TEXT(ROW()-4,"0000"))</f>
        <v>0</v>
      </c>
      <c r="D84" s="28">
        <f>IF(C84="","",IFERROR(INDEX(Clients!$A$5:$A$254,MATCH(C84,Clients!$B$5:$B$254,0)),""))</f>
        <v>0</v>
      </c>
      <c r="J84" s="50">
        <f>IF(I84="","",TEXT(I84,"ddd"))</f>
        <v>0</v>
      </c>
      <c r="M84" s="51">
        <f>IF(OR(K84="",L84=""),"",ROUND((L84-K84+IF(L84&lt;K84,1,0))*24,2))</f>
        <v>0</v>
      </c>
      <c r="O84" s="28">
        <f>IF(H84="","",IFERROR(INDEX(Services!$E$5:$E$54,MATCH(H84,Services!$B$5:$B$54,0)),""))</f>
        <v>0</v>
      </c>
      <c r="P84" s="29">
        <f>IF(H84="","",IFERROR(INDEX(Services!$G$5:$G$54,MATCH(H84,Services!$B$5:$B$54,0)),0))</f>
        <v>0</v>
      </c>
      <c r="Q84" s="29">
        <f>IF(H84="","",IF(IFERROR(INDEX(Services!$H$5:$H$54,MATCH(H84,Services!$B$5:$B$54,0)),0)=0,ExtraPetFeeDefault,IFERROR(INDEX(Services!$H$5:$H$54,MATCH(H84,Services!$B$5:$B$54,0)),0)))</f>
        <v>0</v>
      </c>
      <c r="R84" s="30">
        <f>IF(H84="","",IF(IFERROR(INDEX(Services!$I$5:$I$54,MATCH(H84,Services!$B$5:$B$54,0)),0)=0,HolidaySurcharge,IFERROR(INDEX(Services!$I$5:$I$54,MATCH(H84,Services!$B$5:$B$54,0)),0)))</f>
        <v>0</v>
      </c>
      <c r="S84" s="30">
        <f>IF(H84="","",IF(IFERROR(INDEX(Services!$J$5:$J$54,MATCH(H84,Services!$B$5:$B$54,0)),0)=0,WeekendSurcharge,IFERROR(INDEX(Services!$J$5:$J$54,MATCH(H84,Services!$B$5:$B$54,0)),0)))</f>
        <v>0</v>
      </c>
      <c r="T84" s="50">
        <f>IF(H84="","",IFERROR(INDEX(Services!$K$5:$K$54,MATCH(H84,Services!$B$5:$B$54,0)),"No"))</f>
        <v>0</v>
      </c>
      <c r="U84" s="29">
        <f>IF(H84="","",ROUND(IF(O84="Per hour",P84*IF(M84="",IF(N84="",1,N84),M84),P84*IF(N84="",1,N84)),2))</f>
        <v>0</v>
      </c>
      <c r="V84" s="29">
        <f>IF(H84="","",ROUND(MAX(0,IF(G84="",1,G84)-1)*Q84,2))</f>
        <v>0</v>
      </c>
      <c r="W84" s="50">
        <f>IF(I84="","",IF(COUNTIF(HolidayDates,I84)&gt;0,"Yes","No"))</f>
        <v>0</v>
      </c>
      <c r="X84" s="50">
        <f>IF(I84="","",IF(WEEKDAY(I84,2)&gt;5,"Yes","No"))</f>
        <v>0</v>
      </c>
      <c r="Y84" s="29">
        <f>IF(H84="","",ROUND((U84+V84)*(IF(W84="Yes",R84,0)+IF(X84="Yes",S84,0)),2))</f>
        <v>0</v>
      </c>
      <c r="AA84" s="29">
        <f>IF(H84="","",IF(T84&lt;&gt;"Yes",0,ROUND(MAX(0,IF(Z84="",0,Z84)-FreeTravelDistance)*TravelFeeRate,2)))</f>
        <v>0</v>
      </c>
      <c r="AB84" s="31">
        <f>IF(I84="","",TravelTimeMins)</f>
        <v>0</v>
      </c>
      <c r="AC84" s="29">
        <f>IF(OR(I84="",B84=""),0,IF(I84-B84&lt;=LastMinuteDays,EmergencyFee,0))</f>
        <v>0</v>
      </c>
      <c r="AF84" s="29">
        <f>IF(H84="","",ROUND((U84+V84+Y84+AA84+AC84)*IF(AE84="",0,AE84),2))</f>
        <v>0</v>
      </c>
      <c r="AI84" s="29">
        <f>IF(H84="","",IF(AG84&lt;&gt;"",AG84,ROUND(U84+V84+Y84+AA84+AC84-AF84,2)))</f>
        <v>0</v>
      </c>
      <c r="AJ84" s="29">
        <f>IF(AI84="","",IF(TaxRegistered&lt;&gt;"Yes",0,IF(PricesIncludeTax="Yes",ROUND(AI84-AI84/(1+TaxRate),2),ROUND(AI84*TaxRate,2))))</f>
        <v>0</v>
      </c>
      <c r="AK84" s="29">
        <f>IF(AI84="","",IF(PricesIncludeTax="Yes",AI84,ROUND(AI84+AJ84,2)))</f>
        <v>0</v>
      </c>
      <c r="AQ84" s="21">
        <f>IF(OR(I84="",AP84="",AP84="None"),"",IF(AP84="Monthly",EDATE(I84,1),I84+IF(AP84="Daily",1,IF(AP84="Weekdays",IF(WEEKDAY(I84,2)&gt;=5,8-WEEKDAY(I84,2),1),IF(AP84="Weekly",7,IF(AP84="Fortnightly",14,0))))))</f>
        <v>0</v>
      </c>
      <c r="AR84" s="49">
        <f>IF(OR(I84="",AL84="",K84="",L84=""),"",IF(SUMPRODUCT((Bookings!$AL$5:$AL$404=AL84)*(Bookings!$I$5:$I$404=I84)*(Bookings!$K$5:$K$404&lt;L84)*(Bookings!$L$5:$L$404&gt;K84)*(Bookings!$AM$5:$AM$404&lt;&gt;"Cancelled"))&gt;1,"Conflict - double booked","OK"))</f>
        <v>0</v>
      </c>
      <c r="AS84" s="50">
        <f>IF(A84="","",IF(COUNTIF('Visit Log'!$B$5:$B$404,A84)&gt;0,"Yes","No"))</f>
        <v>0</v>
      </c>
      <c r="AT84" s="28">
        <f>IF(A84="","",IFERROR(INDEX(Invoices!$A$5:$A$304,MATCH(A84,Invoices!$E$5:$E$304,0)),""))</f>
        <v>0</v>
      </c>
      <c r="AU84" s="49">
        <f>IF(A84="","",IF(AT84="","Not invoiced",IFERROR(INDEX(Invoices!$U$5:$U$304,MATCH(AT84,Invoices!$A$5:$A$304,0)),"")))</f>
        <v>0</v>
      </c>
      <c r="AY84" s="28">
        <f>IF(I84="","",TEXT(I84,"yyyy-mm"))</f>
        <v>0</v>
      </c>
      <c r="AZ84" s="49">
        <f>IF(I84="","",IF(AM84="Cancelled","Cancelled",IF(AND(I84&lt;TODAY(),OR(AM84="Pending",AM84="Confirmed",AM84="Enquiry")),"Overdue - update status",IF(AND(AM84="Completed",AS84="No"),"Action - log the visit",IF(I84=TODAY(),"Today",IF(AND(I84&gt;TODAY(),I84-TODAY()&lt;=ReminderLeadDays,AN84&lt;&gt;"Yes"),"Action - unconfirmed",IF(AND(I84&gt;TODAY(),I84-TODAY()&lt;=ReminderLeadDays),"Upcoming","OK")))))))</f>
        <v>0</v>
      </c>
    </row>
    <row r="85" spans="1:52">
      <c r="A85" s="46">
        <f>IF(C85="","",BookingPrefix&amp;TEXT(ROW()-4,"0000"))</f>
        <v>0</v>
      </c>
      <c r="D85" s="28">
        <f>IF(C85="","",IFERROR(INDEX(Clients!$A$5:$A$254,MATCH(C85,Clients!$B$5:$B$254,0)),""))</f>
        <v>0</v>
      </c>
      <c r="J85" s="50">
        <f>IF(I85="","",TEXT(I85,"ddd"))</f>
        <v>0</v>
      </c>
      <c r="M85" s="51">
        <f>IF(OR(K85="",L85=""),"",ROUND((L85-K85+IF(L85&lt;K85,1,0))*24,2))</f>
        <v>0</v>
      </c>
      <c r="O85" s="28">
        <f>IF(H85="","",IFERROR(INDEX(Services!$E$5:$E$54,MATCH(H85,Services!$B$5:$B$54,0)),""))</f>
        <v>0</v>
      </c>
      <c r="P85" s="29">
        <f>IF(H85="","",IFERROR(INDEX(Services!$G$5:$G$54,MATCH(H85,Services!$B$5:$B$54,0)),0))</f>
        <v>0</v>
      </c>
      <c r="Q85" s="29">
        <f>IF(H85="","",IF(IFERROR(INDEX(Services!$H$5:$H$54,MATCH(H85,Services!$B$5:$B$54,0)),0)=0,ExtraPetFeeDefault,IFERROR(INDEX(Services!$H$5:$H$54,MATCH(H85,Services!$B$5:$B$54,0)),0)))</f>
        <v>0</v>
      </c>
      <c r="R85" s="30">
        <f>IF(H85="","",IF(IFERROR(INDEX(Services!$I$5:$I$54,MATCH(H85,Services!$B$5:$B$54,0)),0)=0,HolidaySurcharge,IFERROR(INDEX(Services!$I$5:$I$54,MATCH(H85,Services!$B$5:$B$54,0)),0)))</f>
        <v>0</v>
      </c>
      <c r="S85" s="30">
        <f>IF(H85="","",IF(IFERROR(INDEX(Services!$J$5:$J$54,MATCH(H85,Services!$B$5:$B$54,0)),0)=0,WeekendSurcharge,IFERROR(INDEX(Services!$J$5:$J$54,MATCH(H85,Services!$B$5:$B$54,0)),0)))</f>
        <v>0</v>
      </c>
      <c r="T85" s="50">
        <f>IF(H85="","",IFERROR(INDEX(Services!$K$5:$K$54,MATCH(H85,Services!$B$5:$B$54,0)),"No"))</f>
        <v>0</v>
      </c>
      <c r="U85" s="29">
        <f>IF(H85="","",ROUND(IF(O85="Per hour",P85*IF(M85="",IF(N85="",1,N85),M85),P85*IF(N85="",1,N85)),2))</f>
        <v>0</v>
      </c>
      <c r="V85" s="29">
        <f>IF(H85="","",ROUND(MAX(0,IF(G85="",1,G85)-1)*Q85,2))</f>
        <v>0</v>
      </c>
      <c r="W85" s="50">
        <f>IF(I85="","",IF(COUNTIF(HolidayDates,I85)&gt;0,"Yes","No"))</f>
        <v>0</v>
      </c>
      <c r="X85" s="50">
        <f>IF(I85="","",IF(WEEKDAY(I85,2)&gt;5,"Yes","No"))</f>
        <v>0</v>
      </c>
      <c r="Y85" s="29">
        <f>IF(H85="","",ROUND((U85+V85)*(IF(W85="Yes",R85,0)+IF(X85="Yes",S85,0)),2))</f>
        <v>0</v>
      </c>
      <c r="AA85" s="29">
        <f>IF(H85="","",IF(T85&lt;&gt;"Yes",0,ROUND(MAX(0,IF(Z85="",0,Z85)-FreeTravelDistance)*TravelFeeRate,2)))</f>
        <v>0</v>
      </c>
      <c r="AB85" s="31">
        <f>IF(I85="","",TravelTimeMins)</f>
        <v>0</v>
      </c>
      <c r="AC85" s="29">
        <f>IF(OR(I85="",B85=""),0,IF(I85-B85&lt;=LastMinuteDays,EmergencyFee,0))</f>
        <v>0</v>
      </c>
      <c r="AF85" s="29">
        <f>IF(H85="","",ROUND((U85+V85+Y85+AA85+AC85)*IF(AE85="",0,AE85),2))</f>
        <v>0</v>
      </c>
      <c r="AI85" s="29">
        <f>IF(H85="","",IF(AG85&lt;&gt;"",AG85,ROUND(U85+V85+Y85+AA85+AC85-AF85,2)))</f>
        <v>0</v>
      </c>
      <c r="AJ85" s="29">
        <f>IF(AI85="","",IF(TaxRegistered&lt;&gt;"Yes",0,IF(PricesIncludeTax="Yes",ROUND(AI85-AI85/(1+TaxRate),2),ROUND(AI85*TaxRate,2))))</f>
        <v>0</v>
      </c>
      <c r="AK85" s="29">
        <f>IF(AI85="","",IF(PricesIncludeTax="Yes",AI85,ROUND(AI85+AJ85,2)))</f>
        <v>0</v>
      </c>
      <c r="AQ85" s="21">
        <f>IF(OR(I85="",AP85="",AP85="None"),"",IF(AP85="Monthly",EDATE(I85,1),I85+IF(AP85="Daily",1,IF(AP85="Weekdays",IF(WEEKDAY(I85,2)&gt;=5,8-WEEKDAY(I85,2),1),IF(AP85="Weekly",7,IF(AP85="Fortnightly",14,0))))))</f>
        <v>0</v>
      </c>
      <c r="AR85" s="49">
        <f>IF(OR(I85="",AL85="",K85="",L85=""),"",IF(SUMPRODUCT((Bookings!$AL$5:$AL$404=AL85)*(Bookings!$I$5:$I$404=I85)*(Bookings!$K$5:$K$404&lt;L85)*(Bookings!$L$5:$L$404&gt;K85)*(Bookings!$AM$5:$AM$404&lt;&gt;"Cancelled"))&gt;1,"Conflict - double booked","OK"))</f>
        <v>0</v>
      </c>
      <c r="AS85" s="50">
        <f>IF(A85="","",IF(COUNTIF('Visit Log'!$B$5:$B$404,A85)&gt;0,"Yes","No"))</f>
        <v>0</v>
      </c>
      <c r="AT85" s="28">
        <f>IF(A85="","",IFERROR(INDEX(Invoices!$A$5:$A$304,MATCH(A85,Invoices!$E$5:$E$304,0)),""))</f>
        <v>0</v>
      </c>
      <c r="AU85" s="49">
        <f>IF(A85="","",IF(AT85="","Not invoiced",IFERROR(INDEX(Invoices!$U$5:$U$304,MATCH(AT85,Invoices!$A$5:$A$304,0)),"")))</f>
        <v>0</v>
      </c>
      <c r="AY85" s="28">
        <f>IF(I85="","",TEXT(I85,"yyyy-mm"))</f>
        <v>0</v>
      </c>
      <c r="AZ85" s="49">
        <f>IF(I85="","",IF(AM85="Cancelled","Cancelled",IF(AND(I85&lt;TODAY(),OR(AM85="Pending",AM85="Confirmed",AM85="Enquiry")),"Overdue - update status",IF(AND(AM85="Completed",AS85="No"),"Action - log the visit",IF(I85=TODAY(),"Today",IF(AND(I85&gt;TODAY(),I85-TODAY()&lt;=ReminderLeadDays,AN85&lt;&gt;"Yes"),"Action - unconfirmed",IF(AND(I85&gt;TODAY(),I85-TODAY()&lt;=ReminderLeadDays),"Upcoming","OK")))))))</f>
        <v>0</v>
      </c>
    </row>
    <row r="86" spans="1:52">
      <c r="A86" s="46">
        <f>IF(C86="","",BookingPrefix&amp;TEXT(ROW()-4,"0000"))</f>
        <v>0</v>
      </c>
      <c r="D86" s="28">
        <f>IF(C86="","",IFERROR(INDEX(Clients!$A$5:$A$254,MATCH(C86,Clients!$B$5:$B$254,0)),""))</f>
        <v>0</v>
      </c>
      <c r="J86" s="50">
        <f>IF(I86="","",TEXT(I86,"ddd"))</f>
        <v>0</v>
      </c>
      <c r="M86" s="51">
        <f>IF(OR(K86="",L86=""),"",ROUND((L86-K86+IF(L86&lt;K86,1,0))*24,2))</f>
        <v>0</v>
      </c>
      <c r="O86" s="28">
        <f>IF(H86="","",IFERROR(INDEX(Services!$E$5:$E$54,MATCH(H86,Services!$B$5:$B$54,0)),""))</f>
        <v>0</v>
      </c>
      <c r="P86" s="29">
        <f>IF(H86="","",IFERROR(INDEX(Services!$G$5:$G$54,MATCH(H86,Services!$B$5:$B$54,0)),0))</f>
        <v>0</v>
      </c>
      <c r="Q86" s="29">
        <f>IF(H86="","",IF(IFERROR(INDEX(Services!$H$5:$H$54,MATCH(H86,Services!$B$5:$B$54,0)),0)=0,ExtraPetFeeDefault,IFERROR(INDEX(Services!$H$5:$H$54,MATCH(H86,Services!$B$5:$B$54,0)),0)))</f>
        <v>0</v>
      </c>
      <c r="R86" s="30">
        <f>IF(H86="","",IF(IFERROR(INDEX(Services!$I$5:$I$54,MATCH(H86,Services!$B$5:$B$54,0)),0)=0,HolidaySurcharge,IFERROR(INDEX(Services!$I$5:$I$54,MATCH(H86,Services!$B$5:$B$54,0)),0)))</f>
        <v>0</v>
      </c>
      <c r="S86" s="30">
        <f>IF(H86="","",IF(IFERROR(INDEX(Services!$J$5:$J$54,MATCH(H86,Services!$B$5:$B$54,0)),0)=0,WeekendSurcharge,IFERROR(INDEX(Services!$J$5:$J$54,MATCH(H86,Services!$B$5:$B$54,0)),0)))</f>
        <v>0</v>
      </c>
      <c r="T86" s="50">
        <f>IF(H86="","",IFERROR(INDEX(Services!$K$5:$K$54,MATCH(H86,Services!$B$5:$B$54,0)),"No"))</f>
        <v>0</v>
      </c>
      <c r="U86" s="29">
        <f>IF(H86="","",ROUND(IF(O86="Per hour",P86*IF(M86="",IF(N86="",1,N86),M86),P86*IF(N86="",1,N86)),2))</f>
        <v>0</v>
      </c>
      <c r="V86" s="29">
        <f>IF(H86="","",ROUND(MAX(0,IF(G86="",1,G86)-1)*Q86,2))</f>
        <v>0</v>
      </c>
      <c r="W86" s="50">
        <f>IF(I86="","",IF(COUNTIF(HolidayDates,I86)&gt;0,"Yes","No"))</f>
        <v>0</v>
      </c>
      <c r="X86" s="50">
        <f>IF(I86="","",IF(WEEKDAY(I86,2)&gt;5,"Yes","No"))</f>
        <v>0</v>
      </c>
      <c r="Y86" s="29">
        <f>IF(H86="","",ROUND((U86+V86)*(IF(W86="Yes",R86,0)+IF(X86="Yes",S86,0)),2))</f>
        <v>0</v>
      </c>
      <c r="AA86" s="29">
        <f>IF(H86="","",IF(T86&lt;&gt;"Yes",0,ROUND(MAX(0,IF(Z86="",0,Z86)-FreeTravelDistance)*TravelFeeRate,2)))</f>
        <v>0</v>
      </c>
      <c r="AB86" s="31">
        <f>IF(I86="","",TravelTimeMins)</f>
        <v>0</v>
      </c>
      <c r="AC86" s="29">
        <f>IF(OR(I86="",B86=""),0,IF(I86-B86&lt;=LastMinuteDays,EmergencyFee,0))</f>
        <v>0</v>
      </c>
      <c r="AF86" s="29">
        <f>IF(H86="","",ROUND((U86+V86+Y86+AA86+AC86)*IF(AE86="",0,AE86),2))</f>
        <v>0</v>
      </c>
      <c r="AI86" s="29">
        <f>IF(H86="","",IF(AG86&lt;&gt;"",AG86,ROUND(U86+V86+Y86+AA86+AC86-AF86,2)))</f>
        <v>0</v>
      </c>
      <c r="AJ86" s="29">
        <f>IF(AI86="","",IF(TaxRegistered&lt;&gt;"Yes",0,IF(PricesIncludeTax="Yes",ROUND(AI86-AI86/(1+TaxRate),2),ROUND(AI86*TaxRate,2))))</f>
        <v>0</v>
      </c>
      <c r="AK86" s="29">
        <f>IF(AI86="","",IF(PricesIncludeTax="Yes",AI86,ROUND(AI86+AJ86,2)))</f>
        <v>0</v>
      </c>
      <c r="AQ86" s="21">
        <f>IF(OR(I86="",AP86="",AP86="None"),"",IF(AP86="Monthly",EDATE(I86,1),I86+IF(AP86="Daily",1,IF(AP86="Weekdays",IF(WEEKDAY(I86,2)&gt;=5,8-WEEKDAY(I86,2),1),IF(AP86="Weekly",7,IF(AP86="Fortnightly",14,0))))))</f>
        <v>0</v>
      </c>
      <c r="AR86" s="49">
        <f>IF(OR(I86="",AL86="",K86="",L86=""),"",IF(SUMPRODUCT((Bookings!$AL$5:$AL$404=AL86)*(Bookings!$I$5:$I$404=I86)*(Bookings!$K$5:$K$404&lt;L86)*(Bookings!$L$5:$L$404&gt;K86)*(Bookings!$AM$5:$AM$404&lt;&gt;"Cancelled"))&gt;1,"Conflict - double booked","OK"))</f>
        <v>0</v>
      </c>
      <c r="AS86" s="50">
        <f>IF(A86="","",IF(COUNTIF('Visit Log'!$B$5:$B$404,A86)&gt;0,"Yes","No"))</f>
        <v>0</v>
      </c>
      <c r="AT86" s="28">
        <f>IF(A86="","",IFERROR(INDEX(Invoices!$A$5:$A$304,MATCH(A86,Invoices!$E$5:$E$304,0)),""))</f>
        <v>0</v>
      </c>
      <c r="AU86" s="49">
        <f>IF(A86="","",IF(AT86="","Not invoiced",IFERROR(INDEX(Invoices!$U$5:$U$304,MATCH(AT86,Invoices!$A$5:$A$304,0)),"")))</f>
        <v>0</v>
      </c>
      <c r="AY86" s="28">
        <f>IF(I86="","",TEXT(I86,"yyyy-mm"))</f>
        <v>0</v>
      </c>
      <c r="AZ86" s="49">
        <f>IF(I86="","",IF(AM86="Cancelled","Cancelled",IF(AND(I86&lt;TODAY(),OR(AM86="Pending",AM86="Confirmed",AM86="Enquiry")),"Overdue - update status",IF(AND(AM86="Completed",AS86="No"),"Action - log the visit",IF(I86=TODAY(),"Today",IF(AND(I86&gt;TODAY(),I86-TODAY()&lt;=ReminderLeadDays,AN86&lt;&gt;"Yes"),"Action - unconfirmed",IF(AND(I86&gt;TODAY(),I86-TODAY()&lt;=ReminderLeadDays),"Upcoming","OK")))))))</f>
        <v>0</v>
      </c>
    </row>
    <row r="87" spans="1:52">
      <c r="A87" s="46">
        <f>IF(C87="","",BookingPrefix&amp;TEXT(ROW()-4,"0000"))</f>
        <v>0</v>
      </c>
      <c r="D87" s="28">
        <f>IF(C87="","",IFERROR(INDEX(Clients!$A$5:$A$254,MATCH(C87,Clients!$B$5:$B$254,0)),""))</f>
        <v>0</v>
      </c>
      <c r="J87" s="50">
        <f>IF(I87="","",TEXT(I87,"ddd"))</f>
        <v>0</v>
      </c>
      <c r="M87" s="51">
        <f>IF(OR(K87="",L87=""),"",ROUND((L87-K87+IF(L87&lt;K87,1,0))*24,2))</f>
        <v>0</v>
      </c>
      <c r="O87" s="28">
        <f>IF(H87="","",IFERROR(INDEX(Services!$E$5:$E$54,MATCH(H87,Services!$B$5:$B$54,0)),""))</f>
        <v>0</v>
      </c>
      <c r="P87" s="29">
        <f>IF(H87="","",IFERROR(INDEX(Services!$G$5:$G$54,MATCH(H87,Services!$B$5:$B$54,0)),0))</f>
        <v>0</v>
      </c>
      <c r="Q87" s="29">
        <f>IF(H87="","",IF(IFERROR(INDEX(Services!$H$5:$H$54,MATCH(H87,Services!$B$5:$B$54,0)),0)=0,ExtraPetFeeDefault,IFERROR(INDEX(Services!$H$5:$H$54,MATCH(H87,Services!$B$5:$B$54,0)),0)))</f>
        <v>0</v>
      </c>
      <c r="R87" s="30">
        <f>IF(H87="","",IF(IFERROR(INDEX(Services!$I$5:$I$54,MATCH(H87,Services!$B$5:$B$54,0)),0)=0,HolidaySurcharge,IFERROR(INDEX(Services!$I$5:$I$54,MATCH(H87,Services!$B$5:$B$54,0)),0)))</f>
        <v>0</v>
      </c>
      <c r="S87" s="30">
        <f>IF(H87="","",IF(IFERROR(INDEX(Services!$J$5:$J$54,MATCH(H87,Services!$B$5:$B$54,0)),0)=0,WeekendSurcharge,IFERROR(INDEX(Services!$J$5:$J$54,MATCH(H87,Services!$B$5:$B$54,0)),0)))</f>
        <v>0</v>
      </c>
      <c r="T87" s="50">
        <f>IF(H87="","",IFERROR(INDEX(Services!$K$5:$K$54,MATCH(H87,Services!$B$5:$B$54,0)),"No"))</f>
        <v>0</v>
      </c>
      <c r="U87" s="29">
        <f>IF(H87="","",ROUND(IF(O87="Per hour",P87*IF(M87="",IF(N87="",1,N87),M87),P87*IF(N87="",1,N87)),2))</f>
        <v>0</v>
      </c>
      <c r="V87" s="29">
        <f>IF(H87="","",ROUND(MAX(0,IF(G87="",1,G87)-1)*Q87,2))</f>
        <v>0</v>
      </c>
      <c r="W87" s="50">
        <f>IF(I87="","",IF(COUNTIF(HolidayDates,I87)&gt;0,"Yes","No"))</f>
        <v>0</v>
      </c>
      <c r="X87" s="50">
        <f>IF(I87="","",IF(WEEKDAY(I87,2)&gt;5,"Yes","No"))</f>
        <v>0</v>
      </c>
      <c r="Y87" s="29">
        <f>IF(H87="","",ROUND((U87+V87)*(IF(W87="Yes",R87,0)+IF(X87="Yes",S87,0)),2))</f>
        <v>0</v>
      </c>
      <c r="AA87" s="29">
        <f>IF(H87="","",IF(T87&lt;&gt;"Yes",0,ROUND(MAX(0,IF(Z87="",0,Z87)-FreeTravelDistance)*TravelFeeRate,2)))</f>
        <v>0</v>
      </c>
      <c r="AB87" s="31">
        <f>IF(I87="","",TravelTimeMins)</f>
        <v>0</v>
      </c>
      <c r="AC87" s="29">
        <f>IF(OR(I87="",B87=""),0,IF(I87-B87&lt;=LastMinuteDays,EmergencyFee,0))</f>
        <v>0</v>
      </c>
      <c r="AF87" s="29">
        <f>IF(H87="","",ROUND((U87+V87+Y87+AA87+AC87)*IF(AE87="",0,AE87),2))</f>
        <v>0</v>
      </c>
      <c r="AI87" s="29">
        <f>IF(H87="","",IF(AG87&lt;&gt;"",AG87,ROUND(U87+V87+Y87+AA87+AC87-AF87,2)))</f>
        <v>0</v>
      </c>
      <c r="AJ87" s="29">
        <f>IF(AI87="","",IF(TaxRegistered&lt;&gt;"Yes",0,IF(PricesIncludeTax="Yes",ROUND(AI87-AI87/(1+TaxRate),2),ROUND(AI87*TaxRate,2))))</f>
        <v>0</v>
      </c>
      <c r="AK87" s="29">
        <f>IF(AI87="","",IF(PricesIncludeTax="Yes",AI87,ROUND(AI87+AJ87,2)))</f>
        <v>0</v>
      </c>
      <c r="AQ87" s="21">
        <f>IF(OR(I87="",AP87="",AP87="None"),"",IF(AP87="Monthly",EDATE(I87,1),I87+IF(AP87="Daily",1,IF(AP87="Weekdays",IF(WEEKDAY(I87,2)&gt;=5,8-WEEKDAY(I87,2),1),IF(AP87="Weekly",7,IF(AP87="Fortnightly",14,0))))))</f>
        <v>0</v>
      </c>
      <c r="AR87" s="49">
        <f>IF(OR(I87="",AL87="",K87="",L87=""),"",IF(SUMPRODUCT((Bookings!$AL$5:$AL$404=AL87)*(Bookings!$I$5:$I$404=I87)*(Bookings!$K$5:$K$404&lt;L87)*(Bookings!$L$5:$L$404&gt;K87)*(Bookings!$AM$5:$AM$404&lt;&gt;"Cancelled"))&gt;1,"Conflict - double booked","OK"))</f>
        <v>0</v>
      </c>
      <c r="AS87" s="50">
        <f>IF(A87="","",IF(COUNTIF('Visit Log'!$B$5:$B$404,A87)&gt;0,"Yes","No"))</f>
        <v>0</v>
      </c>
      <c r="AT87" s="28">
        <f>IF(A87="","",IFERROR(INDEX(Invoices!$A$5:$A$304,MATCH(A87,Invoices!$E$5:$E$304,0)),""))</f>
        <v>0</v>
      </c>
      <c r="AU87" s="49">
        <f>IF(A87="","",IF(AT87="","Not invoiced",IFERROR(INDEX(Invoices!$U$5:$U$304,MATCH(AT87,Invoices!$A$5:$A$304,0)),"")))</f>
        <v>0</v>
      </c>
      <c r="AY87" s="28">
        <f>IF(I87="","",TEXT(I87,"yyyy-mm"))</f>
        <v>0</v>
      </c>
      <c r="AZ87" s="49">
        <f>IF(I87="","",IF(AM87="Cancelled","Cancelled",IF(AND(I87&lt;TODAY(),OR(AM87="Pending",AM87="Confirmed",AM87="Enquiry")),"Overdue - update status",IF(AND(AM87="Completed",AS87="No"),"Action - log the visit",IF(I87=TODAY(),"Today",IF(AND(I87&gt;TODAY(),I87-TODAY()&lt;=ReminderLeadDays,AN87&lt;&gt;"Yes"),"Action - unconfirmed",IF(AND(I87&gt;TODAY(),I87-TODAY()&lt;=ReminderLeadDays),"Upcoming","OK")))))))</f>
        <v>0</v>
      </c>
    </row>
    <row r="88" spans="1:52">
      <c r="A88" s="46">
        <f>IF(C88="","",BookingPrefix&amp;TEXT(ROW()-4,"0000"))</f>
        <v>0</v>
      </c>
      <c r="D88" s="28">
        <f>IF(C88="","",IFERROR(INDEX(Clients!$A$5:$A$254,MATCH(C88,Clients!$B$5:$B$254,0)),""))</f>
        <v>0</v>
      </c>
      <c r="J88" s="50">
        <f>IF(I88="","",TEXT(I88,"ddd"))</f>
        <v>0</v>
      </c>
      <c r="M88" s="51">
        <f>IF(OR(K88="",L88=""),"",ROUND((L88-K88+IF(L88&lt;K88,1,0))*24,2))</f>
        <v>0</v>
      </c>
      <c r="O88" s="28">
        <f>IF(H88="","",IFERROR(INDEX(Services!$E$5:$E$54,MATCH(H88,Services!$B$5:$B$54,0)),""))</f>
        <v>0</v>
      </c>
      <c r="P88" s="29">
        <f>IF(H88="","",IFERROR(INDEX(Services!$G$5:$G$54,MATCH(H88,Services!$B$5:$B$54,0)),0))</f>
        <v>0</v>
      </c>
      <c r="Q88" s="29">
        <f>IF(H88="","",IF(IFERROR(INDEX(Services!$H$5:$H$54,MATCH(H88,Services!$B$5:$B$54,0)),0)=0,ExtraPetFeeDefault,IFERROR(INDEX(Services!$H$5:$H$54,MATCH(H88,Services!$B$5:$B$54,0)),0)))</f>
        <v>0</v>
      </c>
      <c r="R88" s="30">
        <f>IF(H88="","",IF(IFERROR(INDEX(Services!$I$5:$I$54,MATCH(H88,Services!$B$5:$B$54,0)),0)=0,HolidaySurcharge,IFERROR(INDEX(Services!$I$5:$I$54,MATCH(H88,Services!$B$5:$B$54,0)),0)))</f>
        <v>0</v>
      </c>
      <c r="S88" s="30">
        <f>IF(H88="","",IF(IFERROR(INDEX(Services!$J$5:$J$54,MATCH(H88,Services!$B$5:$B$54,0)),0)=0,WeekendSurcharge,IFERROR(INDEX(Services!$J$5:$J$54,MATCH(H88,Services!$B$5:$B$54,0)),0)))</f>
        <v>0</v>
      </c>
      <c r="T88" s="50">
        <f>IF(H88="","",IFERROR(INDEX(Services!$K$5:$K$54,MATCH(H88,Services!$B$5:$B$54,0)),"No"))</f>
        <v>0</v>
      </c>
      <c r="U88" s="29">
        <f>IF(H88="","",ROUND(IF(O88="Per hour",P88*IF(M88="",IF(N88="",1,N88),M88),P88*IF(N88="",1,N88)),2))</f>
        <v>0</v>
      </c>
      <c r="V88" s="29">
        <f>IF(H88="","",ROUND(MAX(0,IF(G88="",1,G88)-1)*Q88,2))</f>
        <v>0</v>
      </c>
      <c r="W88" s="50">
        <f>IF(I88="","",IF(COUNTIF(HolidayDates,I88)&gt;0,"Yes","No"))</f>
        <v>0</v>
      </c>
      <c r="X88" s="50">
        <f>IF(I88="","",IF(WEEKDAY(I88,2)&gt;5,"Yes","No"))</f>
        <v>0</v>
      </c>
      <c r="Y88" s="29">
        <f>IF(H88="","",ROUND((U88+V88)*(IF(W88="Yes",R88,0)+IF(X88="Yes",S88,0)),2))</f>
        <v>0</v>
      </c>
      <c r="AA88" s="29">
        <f>IF(H88="","",IF(T88&lt;&gt;"Yes",0,ROUND(MAX(0,IF(Z88="",0,Z88)-FreeTravelDistance)*TravelFeeRate,2)))</f>
        <v>0</v>
      </c>
      <c r="AB88" s="31">
        <f>IF(I88="","",TravelTimeMins)</f>
        <v>0</v>
      </c>
      <c r="AC88" s="29">
        <f>IF(OR(I88="",B88=""),0,IF(I88-B88&lt;=LastMinuteDays,EmergencyFee,0))</f>
        <v>0</v>
      </c>
      <c r="AF88" s="29">
        <f>IF(H88="","",ROUND((U88+V88+Y88+AA88+AC88)*IF(AE88="",0,AE88),2))</f>
        <v>0</v>
      </c>
      <c r="AI88" s="29">
        <f>IF(H88="","",IF(AG88&lt;&gt;"",AG88,ROUND(U88+V88+Y88+AA88+AC88-AF88,2)))</f>
        <v>0</v>
      </c>
      <c r="AJ88" s="29">
        <f>IF(AI88="","",IF(TaxRegistered&lt;&gt;"Yes",0,IF(PricesIncludeTax="Yes",ROUND(AI88-AI88/(1+TaxRate),2),ROUND(AI88*TaxRate,2))))</f>
        <v>0</v>
      </c>
      <c r="AK88" s="29">
        <f>IF(AI88="","",IF(PricesIncludeTax="Yes",AI88,ROUND(AI88+AJ88,2)))</f>
        <v>0</v>
      </c>
      <c r="AQ88" s="21">
        <f>IF(OR(I88="",AP88="",AP88="None"),"",IF(AP88="Monthly",EDATE(I88,1),I88+IF(AP88="Daily",1,IF(AP88="Weekdays",IF(WEEKDAY(I88,2)&gt;=5,8-WEEKDAY(I88,2),1),IF(AP88="Weekly",7,IF(AP88="Fortnightly",14,0))))))</f>
        <v>0</v>
      </c>
      <c r="AR88" s="49">
        <f>IF(OR(I88="",AL88="",K88="",L88=""),"",IF(SUMPRODUCT((Bookings!$AL$5:$AL$404=AL88)*(Bookings!$I$5:$I$404=I88)*(Bookings!$K$5:$K$404&lt;L88)*(Bookings!$L$5:$L$404&gt;K88)*(Bookings!$AM$5:$AM$404&lt;&gt;"Cancelled"))&gt;1,"Conflict - double booked","OK"))</f>
        <v>0</v>
      </c>
      <c r="AS88" s="50">
        <f>IF(A88="","",IF(COUNTIF('Visit Log'!$B$5:$B$404,A88)&gt;0,"Yes","No"))</f>
        <v>0</v>
      </c>
      <c r="AT88" s="28">
        <f>IF(A88="","",IFERROR(INDEX(Invoices!$A$5:$A$304,MATCH(A88,Invoices!$E$5:$E$304,0)),""))</f>
        <v>0</v>
      </c>
      <c r="AU88" s="49">
        <f>IF(A88="","",IF(AT88="","Not invoiced",IFERROR(INDEX(Invoices!$U$5:$U$304,MATCH(AT88,Invoices!$A$5:$A$304,0)),"")))</f>
        <v>0</v>
      </c>
      <c r="AY88" s="28">
        <f>IF(I88="","",TEXT(I88,"yyyy-mm"))</f>
        <v>0</v>
      </c>
      <c r="AZ88" s="49">
        <f>IF(I88="","",IF(AM88="Cancelled","Cancelled",IF(AND(I88&lt;TODAY(),OR(AM88="Pending",AM88="Confirmed",AM88="Enquiry")),"Overdue - update status",IF(AND(AM88="Completed",AS88="No"),"Action - log the visit",IF(I88=TODAY(),"Today",IF(AND(I88&gt;TODAY(),I88-TODAY()&lt;=ReminderLeadDays,AN88&lt;&gt;"Yes"),"Action - unconfirmed",IF(AND(I88&gt;TODAY(),I88-TODAY()&lt;=ReminderLeadDays),"Upcoming","OK")))))))</f>
        <v>0</v>
      </c>
    </row>
    <row r="89" spans="1:52">
      <c r="A89" s="46">
        <f>IF(C89="","",BookingPrefix&amp;TEXT(ROW()-4,"0000"))</f>
        <v>0</v>
      </c>
      <c r="D89" s="28">
        <f>IF(C89="","",IFERROR(INDEX(Clients!$A$5:$A$254,MATCH(C89,Clients!$B$5:$B$254,0)),""))</f>
        <v>0</v>
      </c>
      <c r="J89" s="50">
        <f>IF(I89="","",TEXT(I89,"ddd"))</f>
        <v>0</v>
      </c>
      <c r="M89" s="51">
        <f>IF(OR(K89="",L89=""),"",ROUND((L89-K89+IF(L89&lt;K89,1,0))*24,2))</f>
        <v>0</v>
      </c>
      <c r="O89" s="28">
        <f>IF(H89="","",IFERROR(INDEX(Services!$E$5:$E$54,MATCH(H89,Services!$B$5:$B$54,0)),""))</f>
        <v>0</v>
      </c>
      <c r="P89" s="29">
        <f>IF(H89="","",IFERROR(INDEX(Services!$G$5:$G$54,MATCH(H89,Services!$B$5:$B$54,0)),0))</f>
        <v>0</v>
      </c>
      <c r="Q89" s="29">
        <f>IF(H89="","",IF(IFERROR(INDEX(Services!$H$5:$H$54,MATCH(H89,Services!$B$5:$B$54,0)),0)=0,ExtraPetFeeDefault,IFERROR(INDEX(Services!$H$5:$H$54,MATCH(H89,Services!$B$5:$B$54,0)),0)))</f>
        <v>0</v>
      </c>
      <c r="R89" s="30">
        <f>IF(H89="","",IF(IFERROR(INDEX(Services!$I$5:$I$54,MATCH(H89,Services!$B$5:$B$54,0)),0)=0,HolidaySurcharge,IFERROR(INDEX(Services!$I$5:$I$54,MATCH(H89,Services!$B$5:$B$54,0)),0)))</f>
        <v>0</v>
      </c>
      <c r="S89" s="30">
        <f>IF(H89="","",IF(IFERROR(INDEX(Services!$J$5:$J$54,MATCH(H89,Services!$B$5:$B$54,0)),0)=0,WeekendSurcharge,IFERROR(INDEX(Services!$J$5:$J$54,MATCH(H89,Services!$B$5:$B$54,0)),0)))</f>
        <v>0</v>
      </c>
      <c r="T89" s="50">
        <f>IF(H89="","",IFERROR(INDEX(Services!$K$5:$K$54,MATCH(H89,Services!$B$5:$B$54,0)),"No"))</f>
        <v>0</v>
      </c>
      <c r="U89" s="29">
        <f>IF(H89="","",ROUND(IF(O89="Per hour",P89*IF(M89="",IF(N89="",1,N89),M89),P89*IF(N89="",1,N89)),2))</f>
        <v>0</v>
      </c>
      <c r="V89" s="29">
        <f>IF(H89="","",ROUND(MAX(0,IF(G89="",1,G89)-1)*Q89,2))</f>
        <v>0</v>
      </c>
      <c r="W89" s="50">
        <f>IF(I89="","",IF(COUNTIF(HolidayDates,I89)&gt;0,"Yes","No"))</f>
        <v>0</v>
      </c>
      <c r="X89" s="50">
        <f>IF(I89="","",IF(WEEKDAY(I89,2)&gt;5,"Yes","No"))</f>
        <v>0</v>
      </c>
      <c r="Y89" s="29">
        <f>IF(H89="","",ROUND((U89+V89)*(IF(W89="Yes",R89,0)+IF(X89="Yes",S89,0)),2))</f>
        <v>0</v>
      </c>
      <c r="AA89" s="29">
        <f>IF(H89="","",IF(T89&lt;&gt;"Yes",0,ROUND(MAX(0,IF(Z89="",0,Z89)-FreeTravelDistance)*TravelFeeRate,2)))</f>
        <v>0</v>
      </c>
      <c r="AB89" s="31">
        <f>IF(I89="","",TravelTimeMins)</f>
        <v>0</v>
      </c>
      <c r="AC89" s="29">
        <f>IF(OR(I89="",B89=""),0,IF(I89-B89&lt;=LastMinuteDays,EmergencyFee,0))</f>
        <v>0</v>
      </c>
      <c r="AF89" s="29">
        <f>IF(H89="","",ROUND((U89+V89+Y89+AA89+AC89)*IF(AE89="",0,AE89),2))</f>
        <v>0</v>
      </c>
      <c r="AI89" s="29">
        <f>IF(H89="","",IF(AG89&lt;&gt;"",AG89,ROUND(U89+V89+Y89+AA89+AC89-AF89,2)))</f>
        <v>0</v>
      </c>
      <c r="AJ89" s="29">
        <f>IF(AI89="","",IF(TaxRegistered&lt;&gt;"Yes",0,IF(PricesIncludeTax="Yes",ROUND(AI89-AI89/(1+TaxRate),2),ROUND(AI89*TaxRate,2))))</f>
        <v>0</v>
      </c>
      <c r="AK89" s="29">
        <f>IF(AI89="","",IF(PricesIncludeTax="Yes",AI89,ROUND(AI89+AJ89,2)))</f>
        <v>0</v>
      </c>
      <c r="AQ89" s="21">
        <f>IF(OR(I89="",AP89="",AP89="None"),"",IF(AP89="Monthly",EDATE(I89,1),I89+IF(AP89="Daily",1,IF(AP89="Weekdays",IF(WEEKDAY(I89,2)&gt;=5,8-WEEKDAY(I89,2),1),IF(AP89="Weekly",7,IF(AP89="Fortnightly",14,0))))))</f>
        <v>0</v>
      </c>
      <c r="AR89" s="49">
        <f>IF(OR(I89="",AL89="",K89="",L89=""),"",IF(SUMPRODUCT((Bookings!$AL$5:$AL$404=AL89)*(Bookings!$I$5:$I$404=I89)*(Bookings!$K$5:$K$404&lt;L89)*(Bookings!$L$5:$L$404&gt;K89)*(Bookings!$AM$5:$AM$404&lt;&gt;"Cancelled"))&gt;1,"Conflict - double booked","OK"))</f>
        <v>0</v>
      </c>
      <c r="AS89" s="50">
        <f>IF(A89="","",IF(COUNTIF('Visit Log'!$B$5:$B$404,A89)&gt;0,"Yes","No"))</f>
        <v>0</v>
      </c>
      <c r="AT89" s="28">
        <f>IF(A89="","",IFERROR(INDEX(Invoices!$A$5:$A$304,MATCH(A89,Invoices!$E$5:$E$304,0)),""))</f>
        <v>0</v>
      </c>
      <c r="AU89" s="49">
        <f>IF(A89="","",IF(AT89="","Not invoiced",IFERROR(INDEX(Invoices!$U$5:$U$304,MATCH(AT89,Invoices!$A$5:$A$304,0)),"")))</f>
        <v>0</v>
      </c>
      <c r="AY89" s="28">
        <f>IF(I89="","",TEXT(I89,"yyyy-mm"))</f>
        <v>0</v>
      </c>
      <c r="AZ89" s="49">
        <f>IF(I89="","",IF(AM89="Cancelled","Cancelled",IF(AND(I89&lt;TODAY(),OR(AM89="Pending",AM89="Confirmed",AM89="Enquiry")),"Overdue - update status",IF(AND(AM89="Completed",AS89="No"),"Action - log the visit",IF(I89=TODAY(),"Today",IF(AND(I89&gt;TODAY(),I89-TODAY()&lt;=ReminderLeadDays,AN89&lt;&gt;"Yes"),"Action - unconfirmed",IF(AND(I89&gt;TODAY(),I89-TODAY()&lt;=ReminderLeadDays),"Upcoming","OK")))))))</f>
        <v>0</v>
      </c>
    </row>
    <row r="90" spans="1:52">
      <c r="A90" s="46">
        <f>IF(C90="","",BookingPrefix&amp;TEXT(ROW()-4,"0000"))</f>
        <v>0</v>
      </c>
      <c r="D90" s="28">
        <f>IF(C90="","",IFERROR(INDEX(Clients!$A$5:$A$254,MATCH(C90,Clients!$B$5:$B$254,0)),""))</f>
        <v>0</v>
      </c>
      <c r="J90" s="50">
        <f>IF(I90="","",TEXT(I90,"ddd"))</f>
        <v>0</v>
      </c>
      <c r="M90" s="51">
        <f>IF(OR(K90="",L90=""),"",ROUND((L90-K90+IF(L90&lt;K90,1,0))*24,2))</f>
        <v>0</v>
      </c>
      <c r="O90" s="28">
        <f>IF(H90="","",IFERROR(INDEX(Services!$E$5:$E$54,MATCH(H90,Services!$B$5:$B$54,0)),""))</f>
        <v>0</v>
      </c>
      <c r="P90" s="29">
        <f>IF(H90="","",IFERROR(INDEX(Services!$G$5:$G$54,MATCH(H90,Services!$B$5:$B$54,0)),0))</f>
        <v>0</v>
      </c>
      <c r="Q90" s="29">
        <f>IF(H90="","",IF(IFERROR(INDEX(Services!$H$5:$H$54,MATCH(H90,Services!$B$5:$B$54,0)),0)=0,ExtraPetFeeDefault,IFERROR(INDEX(Services!$H$5:$H$54,MATCH(H90,Services!$B$5:$B$54,0)),0)))</f>
        <v>0</v>
      </c>
      <c r="R90" s="30">
        <f>IF(H90="","",IF(IFERROR(INDEX(Services!$I$5:$I$54,MATCH(H90,Services!$B$5:$B$54,0)),0)=0,HolidaySurcharge,IFERROR(INDEX(Services!$I$5:$I$54,MATCH(H90,Services!$B$5:$B$54,0)),0)))</f>
        <v>0</v>
      </c>
      <c r="S90" s="30">
        <f>IF(H90="","",IF(IFERROR(INDEX(Services!$J$5:$J$54,MATCH(H90,Services!$B$5:$B$54,0)),0)=0,WeekendSurcharge,IFERROR(INDEX(Services!$J$5:$J$54,MATCH(H90,Services!$B$5:$B$54,0)),0)))</f>
        <v>0</v>
      </c>
      <c r="T90" s="50">
        <f>IF(H90="","",IFERROR(INDEX(Services!$K$5:$K$54,MATCH(H90,Services!$B$5:$B$54,0)),"No"))</f>
        <v>0</v>
      </c>
      <c r="U90" s="29">
        <f>IF(H90="","",ROUND(IF(O90="Per hour",P90*IF(M90="",IF(N90="",1,N90),M90),P90*IF(N90="",1,N90)),2))</f>
        <v>0</v>
      </c>
      <c r="V90" s="29">
        <f>IF(H90="","",ROUND(MAX(0,IF(G90="",1,G90)-1)*Q90,2))</f>
        <v>0</v>
      </c>
      <c r="W90" s="50">
        <f>IF(I90="","",IF(COUNTIF(HolidayDates,I90)&gt;0,"Yes","No"))</f>
        <v>0</v>
      </c>
      <c r="X90" s="50">
        <f>IF(I90="","",IF(WEEKDAY(I90,2)&gt;5,"Yes","No"))</f>
        <v>0</v>
      </c>
      <c r="Y90" s="29">
        <f>IF(H90="","",ROUND((U90+V90)*(IF(W90="Yes",R90,0)+IF(X90="Yes",S90,0)),2))</f>
        <v>0</v>
      </c>
      <c r="AA90" s="29">
        <f>IF(H90="","",IF(T90&lt;&gt;"Yes",0,ROUND(MAX(0,IF(Z90="",0,Z90)-FreeTravelDistance)*TravelFeeRate,2)))</f>
        <v>0</v>
      </c>
      <c r="AB90" s="31">
        <f>IF(I90="","",TravelTimeMins)</f>
        <v>0</v>
      </c>
      <c r="AC90" s="29">
        <f>IF(OR(I90="",B90=""),0,IF(I90-B90&lt;=LastMinuteDays,EmergencyFee,0))</f>
        <v>0</v>
      </c>
      <c r="AF90" s="29">
        <f>IF(H90="","",ROUND((U90+V90+Y90+AA90+AC90)*IF(AE90="",0,AE90),2))</f>
        <v>0</v>
      </c>
      <c r="AI90" s="29">
        <f>IF(H90="","",IF(AG90&lt;&gt;"",AG90,ROUND(U90+V90+Y90+AA90+AC90-AF90,2)))</f>
        <v>0</v>
      </c>
      <c r="AJ90" s="29">
        <f>IF(AI90="","",IF(TaxRegistered&lt;&gt;"Yes",0,IF(PricesIncludeTax="Yes",ROUND(AI90-AI90/(1+TaxRate),2),ROUND(AI90*TaxRate,2))))</f>
        <v>0</v>
      </c>
      <c r="AK90" s="29">
        <f>IF(AI90="","",IF(PricesIncludeTax="Yes",AI90,ROUND(AI90+AJ90,2)))</f>
        <v>0</v>
      </c>
      <c r="AQ90" s="21">
        <f>IF(OR(I90="",AP90="",AP90="None"),"",IF(AP90="Monthly",EDATE(I90,1),I90+IF(AP90="Daily",1,IF(AP90="Weekdays",IF(WEEKDAY(I90,2)&gt;=5,8-WEEKDAY(I90,2),1),IF(AP90="Weekly",7,IF(AP90="Fortnightly",14,0))))))</f>
        <v>0</v>
      </c>
      <c r="AR90" s="49">
        <f>IF(OR(I90="",AL90="",K90="",L90=""),"",IF(SUMPRODUCT((Bookings!$AL$5:$AL$404=AL90)*(Bookings!$I$5:$I$404=I90)*(Bookings!$K$5:$K$404&lt;L90)*(Bookings!$L$5:$L$404&gt;K90)*(Bookings!$AM$5:$AM$404&lt;&gt;"Cancelled"))&gt;1,"Conflict - double booked","OK"))</f>
        <v>0</v>
      </c>
      <c r="AS90" s="50">
        <f>IF(A90="","",IF(COUNTIF('Visit Log'!$B$5:$B$404,A90)&gt;0,"Yes","No"))</f>
        <v>0</v>
      </c>
      <c r="AT90" s="28">
        <f>IF(A90="","",IFERROR(INDEX(Invoices!$A$5:$A$304,MATCH(A90,Invoices!$E$5:$E$304,0)),""))</f>
        <v>0</v>
      </c>
      <c r="AU90" s="49">
        <f>IF(A90="","",IF(AT90="","Not invoiced",IFERROR(INDEX(Invoices!$U$5:$U$304,MATCH(AT90,Invoices!$A$5:$A$304,0)),"")))</f>
        <v>0</v>
      </c>
      <c r="AY90" s="28">
        <f>IF(I90="","",TEXT(I90,"yyyy-mm"))</f>
        <v>0</v>
      </c>
      <c r="AZ90" s="49">
        <f>IF(I90="","",IF(AM90="Cancelled","Cancelled",IF(AND(I90&lt;TODAY(),OR(AM90="Pending",AM90="Confirmed",AM90="Enquiry")),"Overdue - update status",IF(AND(AM90="Completed",AS90="No"),"Action - log the visit",IF(I90=TODAY(),"Today",IF(AND(I90&gt;TODAY(),I90-TODAY()&lt;=ReminderLeadDays,AN90&lt;&gt;"Yes"),"Action - unconfirmed",IF(AND(I90&gt;TODAY(),I90-TODAY()&lt;=ReminderLeadDays),"Upcoming","OK")))))))</f>
        <v>0</v>
      </c>
    </row>
    <row r="91" spans="1:52">
      <c r="A91" s="46">
        <f>IF(C91="","",BookingPrefix&amp;TEXT(ROW()-4,"0000"))</f>
        <v>0</v>
      </c>
      <c r="D91" s="28">
        <f>IF(C91="","",IFERROR(INDEX(Clients!$A$5:$A$254,MATCH(C91,Clients!$B$5:$B$254,0)),""))</f>
        <v>0</v>
      </c>
      <c r="J91" s="50">
        <f>IF(I91="","",TEXT(I91,"ddd"))</f>
        <v>0</v>
      </c>
      <c r="M91" s="51">
        <f>IF(OR(K91="",L91=""),"",ROUND((L91-K91+IF(L91&lt;K91,1,0))*24,2))</f>
        <v>0</v>
      </c>
      <c r="O91" s="28">
        <f>IF(H91="","",IFERROR(INDEX(Services!$E$5:$E$54,MATCH(H91,Services!$B$5:$B$54,0)),""))</f>
        <v>0</v>
      </c>
      <c r="P91" s="29">
        <f>IF(H91="","",IFERROR(INDEX(Services!$G$5:$G$54,MATCH(H91,Services!$B$5:$B$54,0)),0))</f>
        <v>0</v>
      </c>
      <c r="Q91" s="29">
        <f>IF(H91="","",IF(IFERROR(INDEX(Services!$H$5:$H$54,MATCH(H91,Services!$B$5:$B$54,0)),0)=0,ExtraPetFeeDefault,IFERROR(INDEX(Services!$H$5:$H$54,MATCH(H91,Services!$B$5:$B$54,0)),0)))</f>
        <v>0</v>
      </c>
      <c r="R91" s="30">
        <f>IF(H91="","",IF(IFERROR(INDEX(Services!$I$5:$I$54,MATCH(H91,Services!$B$5:$B$54,0)),0)=0,HolidaySurcharge,IFERROR(INDEX(Services!$I$5:$I$54,MATCH(H91,Services!$B$5:$B$54,0)),0)))</f>
        <v>0</v>
      </c>
      <c r="S91" s="30">
        <f>IF(H91="","",IF(IFERROR(INDEX(Services!$J$5:$J$54,MATCH(H91,Services!$B$5:$B$54,0)),0)=0,WeekendSurcharge,IFERROR(INDEX(Services!$J$5:$J$54,MATCH(H91,Services!$B$5:$B$54,0)),0)))</f>
        <v>0</v>
      </c>
      <c r="T91" s="50">
        <f>IF(H91="","",IFERROR(INDEX(Services!$K$5:$K$54,MATCH(H91,Services!$B$5:$B$54,0)),"No"))</f>
        <v>0</v>
      </c>
      <c r="U91" s="29">
        <f>IF(H91="","",ROUND(IF(O91="Per hour",P91*IF(M91="",IF(N91="",1,N91),M91),P91*IF(N91="",1,N91)),2))</f>
        <v>0</v>
      </c>
      <c r="V91" s="29">
        <f>IF(H91="","",ROUND(MAX(0,IF(G91="",1,G91)-1)*Q91,2))</f>
        <v>0</v>
      </c>
      <c r="W91" s="50">
        <f>IF(I91="","",IF(COUNTIF(HolidayDates,I91)&gt;0,"Yes","No"))</f>
        <v>0</v>
      </c>
      <c r="X91" s="50">
        <f>IF(I91="","",IF(WEEKDAY(I91,2)&gt;5,"Yes","No"))</f>
        <v>0</v>
      </c>
      <c r="Y91" s="29">
        <f>IF(H91="","",ROUND((U91+V91)*(IF(W91="Yes",R91,0)+IF(X91="Yes",S91,0)),2))</f>
        <v>0</v>
      </c>
      <c r="AA91" s="29">
        <f>IF(H91="","",IF(T91&lt;&gt;"Yes",0,ROUND(MAX(0,IF(Z91="",0,Z91)-FreeTravelDistance)*TravelFeeRate,2)))</f>
        <v>0</v>
      </c>
      <c r="AB91" s="31">
        <f>IF(I91="","",TravelTimeMins)</f>
        <v>0</v>
      </c>
      <c r="AC91" s="29">
        <f>IF(OR(I91="",B91=""),0,IF(I91-B91&lt;=LastMinuteDays,EmergencyFee,0))</f>
        <v>0</v>
      </c>
      <c r="AF91" s="29">
        <f>IF(H91="","",ROUND((U91+V91+Y91+AA91+AC91)*IF(AE91="",0,AE91),2))</f>
        <v>0</v>
      </c>
      <c r="AI91" s="29">
        <f>IF(H91="","",IF(AG91&lt;&gt;"",AG91,ROUND(U91+V91+Y91+AA91+AC91-AF91,2)))</f>
        <v>0</v>
      </c>
      <c r="AJ91" s="29">
        <f>IF(AI91="","",IF(TaxRegistered&lt;&gt;"Yes",0,IF(PricesIncludeTax="Yes",ROUND(AI91-AI91/(1+TaxRate),2),ROUND(AI91*TaxRate,2))))</f>
        <v>0</v>
      </c>
      <c r="AK91" s="29">
        <f>IF(AI91="","",IF(PricesIncludeTax="Yes",AI91,ROUND(AI91+AJ91,2)))</f>
        <v>0</v>
      </c>
      <c r="AQ91" s="21">
        <f>IF(OR(I91="",AP91="",AP91="None"),"",IF(AP91="Monthly",EDATE(I91,1),I91+IF(AP91="Daily",1,IF(AP91="Weekdays",IF(WEEKDAY(I91,2)&gt;=5,8-WEEKDAY(I91,2),1),IF(AP91="Weekly",7,IF(AP91="Fortnightly",14,0))))))</f>
        <v>0</v>
      </c>
      <c r="AR91" s="49">
        <f>IF(OR(I91="",AL91="",K91="",L91=""),"",IF(SUMPRODUCT((Bookings!$AL$5:$AL$404=AL91)*(Bookings!$I$5:$I$404=I91)*(Bookings!$K$5:$K$404&lt;L91)*(Bookings!$L$5:$L$404&gt;K91)*(Bookings!$AM$5:$AM$404&lt;&gt;"Cancelled"))&gt;1,"Conflict - double booked","OK"))</f>
        <v>0</v>
      </c>
      <c r="AS91" s="50">
        <f>IF(A91="","",IF(COUNTIF('Visit Log'!$B$5:$B$404,A91)&gt;0,"Yes","No"))</f>
        <v>0</v>
      </c>
      <c r="AT91" s="28">
        <f>IF(A91="","",IFERROR(INDEX(Invoices!$A$5:$A$304,MATCH(A91,Invoices!$E$5:$E$304,0)),""))</f>
        <v>0</v>
      </c>
      <c r="AU91" s="49">
        <f>IF(A91="","",IF(AT91="","Not invoiced",IFERROR(INDEX(Invoices!$U$5:$U$304,MATCH(AT91,Invoices!$A$5:$A$304,0)),"")))</f>
        <v>0</v>
      </c>
      <c r="AY91" s="28">
        <f>IF(I91="","",TEXT(I91,"yyyy-mm"))</f>
        <v>0</v>
      </c>
      <c r="AZ91" s="49">
        <f>IF(I91="","",IF(AM91="Cancelled","Cancelled",IF(AND(I91&lt;TODAY(),OR(AM91="Pending",AM91="Confirmed",AM91="Enquiry")),"Overdue - update status",IF(AND(AM91="Completed",AS91="No"),"Action - log the visit",IF(I91=TODAY(),"Today",IF(AND(I91&gt;TODAY(),I91-TODAY()&lt;=ReminderLeadDays,AN91&lt;&gt;"Yes"),"Action - unconfirmed",IF(AND(I91&gt;TODAY(),I91-TODAY()&lt;=ReminderLeadDays),"Upcoming","OK")))))))</f>
        <v>0</v>
      </c>
    </row>
    <row r="92" spans="1:52">
      <c r="A92" s="46">
        <f>IF(C92="","",BookingPrefix&amp;TEXT(ROW()-4,"0000"))</f>
        <v>0</v>
      </c>
      <c r="D92" s="28">
        <f>IF(C92="","",IFERROR(INDEX(Clients!$A$5:$A$254,MATCH(C92,Clients!$B$5:$B$254,0)),""))</f>
        <v>0</v>
      </c>
      <c r="J92" s="50">
        <f>IF(I92="","",TEXT(I92,"ddd"))</f>
        <v>0</v>
      </c>
      <c r="M92" s="51">
        <f>IF(OR(K92="",L92=""),"",ROUND((L92-K92+IF(L92&lt;K92,1,0))*24,2))</f>
        <v>0</v>
      </c>
      <c r="O92" s="28">
        <f>IF(H92="","",IFERROR(INDEX(Services!$E$5:$E$54,MATCH(H92,Services!$B$5:$B$54,0)),""))</f>
        <v>0</v>
      </c>
      <c r="P92" s="29">
        <f>IF(H92="","",IFERROR(INDEX(Services!$G$5:$G$54,MATCH(H92,Services!$B$5:$B$54,0)),0))</f>
        <v>0</v>
      </c>
      <c r="Q92" s="29">
        <f>IF(H92="","",IF(IFERROR(INDEX(Services!$H$5:$H$54,MATCH(H92,Services!$B$5:$B$54,0)),0)=0,ExtraPetFeeDefault,IFERROR(INDEX(Services!$H$5:$H$54,MATCH(H92,Services!$B$5:$B$54,0)),0)))</f>
        <v>0</v>
      </c>
      <c r="R92" s="30">
        <f>IF(H92="","",IF(IFERROR(INDEX(Services!$I$5:$I$54,MATCH(H92,Services!$B$5:$B$54,0)),0)=0,HolidaySurcharge,IFERROR(INDEX(Services!$I$5:$I$54,MATCH(H92,Services!$B$5:$B$54,0)),0)))</f>
        <v>0</v>
      </c>
      <c r="S92" s="30">
        <f>IF(H92="","",IF(IFERROR(INDEX(Services!$J$5:$J$54,MATCH(H92,Services!$B$5:$B$54,0)),0)=0,WeekendSurcharge,IFERROR(INDEX(Services!$J$5:$J$54,MATCH(H92,Services!$B$5:$B$54,0)),0)))</f>
        <v>0</v>
      </c>
      <c r="T92" s="50">
        <f>IF(H92="","",IFERROR(INDEX(Services!$K$5:$K$54,MATCH(H92,Services!$B$5:$B$54,0)),"No"))</f>
        <v>0</v>
      </c>
      <c r="U92" s="29">
        <f>IF(H92="","",ROUND(IF(O92="Per hour",P92*IF(M92="",IF(N92="",1,N92),M92),P92*IF(N92="",1,N92)),2))</f>
        <v>0</v>
      </c>
      <c r="V92" s="29">
        <f>IF(H92="","",ROUND(MAX(0,IF(G92="",1,G92)-1)*Q92,2))</f>
        <v>0</v>
      </c>
      <c r="W92" s="50">
        <f>IF(I92="","",IF(COUNTIF(HolidayDates,I92)&gt;0,"Yes","No"))</f>
        <v>0</v>
      </c>
      <c r="X92" s="50">
        <f>IF(I92="","",IF(WEEKDAY(I92,2)&gt;5,"Yes","No"))</f>
        <v>0</v>
      </c>
      <c r="Y92" s="29">
        <f>IF(H92="","",ROUND((U92+V92)*(IF(W92="Yes",R92,0)+IF(X92="Yes",S92,0)),2))</f>
        <v>0</v>
      </c>
      <c r="AA92" s="29">
        <f>IF(H92="","",IF(T92&lt;&gt;"Yes",0,ROUND(MAX(0,IF(Z92="",0,Z92)-FreeTravelDistance)*TravelFeeRate,2)))</f>
        <v>0</v>
      </c>
      <c r="AB92" s="31">
        <f>IF(I92="","",TravelTimeMins)</f>
        <v>0</v>
      </c>
      <c r="AC92" s="29">
        <f>IF(OR(I92="",B92=""),0,IF(I92-B92&lt;=LastMinuteDays,EmergencyFee,0))</f>
        <v>0</v>
      </c>
      <c r="AF92" s="29">
        <f>IF(H92="","",ROUND((U92+V92+Y92+AA92+AC92)*IF(AE92="",0,AE92),2))</f>
        <v>0</v>
      </c>
      <c r="AI92" s="29">
        <f>IF(H92="","",IF(AG92&lt;&gt;"",AG92,ROUND(U92+V92+Y92+AA92+AC92-AF92,2)))</f>
        <v>0</v>
      </c>
      <c r="AJ92" s="29">
        <f>IF(AI92="","",IF(TaxRegistered&lt;&gt;"Yes",0,IF(PricesIncludeTax="Yes",ROUND(AI92-AI92/(1+TaxRate),2),ROUND(AI92*TaxRate,2))))</f>
        <v>0</v>
      </c>
      <c r="AK92" s="29">
        <f>IF(AI92="","",IF(PricesIncludeTax="Yes",AI92,ROUND(AI92+AJ92,2)))</f>
        <v>0</v>
      </c>
      <c r="AQ92" s="21">
        <f>IF(OR(I92="",AP92="",AP92="None"),"",IF(AP92="Monthly",EDATE(I92,1),I92+IF(AP92="Daily",1,IF(AP92="Weekdays",IF(WEEKDAY(I92,2)&gt;=5,8-WEEKDAY(I92,2),1),IF(AP92="Weekly",7,IF(AP92="Fortnightly",14,0))))))</f>
        <v>0</v>
      </c>
      <c r="AR92" s="49">
        <f>IF(OR(I92="",AL92="",K92="",L92=""),"",IF(SUMPRODUCT((Bookings!$AL$5:$AL$404=AL92)*(Bookings!$I$5:$I$404=I92)*(Bookings!$K$5:$K$404&lt;L92)*(Bookings!$L$5:$L$404&gt;K92)*(Bookings!$AM$5:$AM$404&lt;&gt;"Cancelled"))&gt;1,"Conflict - double booked","OK"))</f>
        <v>0</v>
      </c>
      <c r="AS92" s="50">
        <f>IF(A92="","",IF(COUNTIF('Visit Log'!$B$5:$B$404,A92)&gt;0,"Yes","No"))</f>
        <v>0</v>
      </c>
      <c r="AT92" s="28">
        <f>IF(A92="","",IFERROR(INDEX(Invoices!$A$5:$A$304,MATCH(A92,Invoices!$E$5:$E$304,0)),""))</f>
        <v>0</v>
      </c>
      <c r="AU92" s="49">
        <f>IF(A92="","",IF(AT92="","Not invoiced",IFERROR(INDEX(Invoices!$U$5:$U$304,MATCH(AT92,Invoices!$A$5:$A$304,0)),"")))</f>
        <v>0</v>
      </c>
      <c r="AY92" s="28">
        <f>IF(I92="","",TEXT(I92,"yyyy-mm"))</f>
        <v>0</v>
      </c>
      <c r="AZ92" s="49">
        <f>IF(I92="","",IF(AM92="Cancelled","Cancelled",IF(AND(I92&lt;TODAY(),OR(AM92="Pending",AM92="Confirmed",AM92="Enquiry")),"Overdue - update status",IF(AND(AM92="Completed",AS92="No"),"Action - log the visit",IF(I92=TODAY(),"Today",IF(AND(I92&gt;TODAY(),I92-TODAY()&lt;=ReminderLeadDays,AN92&lt;&gt;"Yes"),"Action - unconfirmed",IF(AND(I92&gt;TODAY(),I92-TODAY()&lt;=ReminderLeadDays),"Upcoming","OK")))))))</f>
        <v>0</v>
      </c>
    </row>
    <row r="93" spans="1:52">
      <c r="A93" s="46">
        <f>IF(C93="","",BookingPrefix&amp;TEXT(ROW()-4,"0000"))</f>
        <v>0</v>
      </c>
      <c r="D93" s="28">
        <f>IF(C93="","",IFERROR(INDEX(Clients!$A$5:$A$254,MATCH(C93,Clients!$B$5:$B$254,0)),""))</f>
        <v>0</v>
      </c>
      <c r="J93" s="50">
        <f>IF(I93="","",TEXT(I93,"ddd"))</f>
        <v>0</v>
      </c>
      <c r="M93" s="51">
        <f>IF(OR(K93="",L93=""),"",ROUND((L93-K93+IF(L93&lt;K93,1,0))*24,2))</f>
        <v>0</v>
      </c>
      <c r="O93" s="28">
        <f>IF(H93="","",IFERROR(INDEX(Services!$E$5:$E$54,MATCH(H93,Services!$B$5:$B$54,0)),""))</f>
        <v>0</v>
      </c>
      <c r="P93" s="29">
        <f>IF(H93="","",IFERROR(INDEX(Services!$G$5:$G$54,MATCH(H93,Services!$B$5:$B$54,0)),0))</f>
        <v>0</v>
      </c>
      <c r="Q93" s="29">
        <f>IF(H93="","",IF(IFERROR(INDEX(Services!$H$5:$H$54,MATCH(H93,Services!$B$5:$B$54,0)),0)=0,ExtraPetFeeDefault,IFERROR(INDEX(Services!$H$5:$H$54,MATCH(H93,Services!$B$5:$B$54,0)),0)))</f>
        <v>0</v>
      </c>
      <c r="R93" s="30">
        <f>IF(H93="","",IF(IFERROR(INDEX(Services!$I$5:$I$54,MATCH(H93,Services!$B$5:$B$54,0)),0)=0,HolidaySurcharge,IFERROR(INDEX(Services!$I$5:$I$54,MATCH(H93,Services!$B$5:$B$54,0)),0)))</f>
        <v>0</v>
      </c>
      <c r="S93" s="30">
        <f>IF(H93="","",IF(IFERROR(INDEX(Services!$J$5:$J$54,MATCH(H93,Services!$B$5:$B$54,0)),0)=0,WeekendSurcharge,IFERROR(INDEX(Services!$J$5:$J$54,MATCH(H93,Services!$B$5:$B$54,0)),0)))</f>
        <v>0</v>
      </c>
      <c r="T93" s="50">
        <f>IF(H93="","",IFERROR(INDEX(Services!$K$5:$K$54,MATCH(H93,Services!$B$5:$B$54,0)),"No"))</f>
        <v>0</v>
      </c>
      <c r="U93" s="29">
        <f>IF(H93="","",ROUND(IF(O93="Per hour",P93*IF(M93="",IF(N93="",1,N93),M93),P93*IF(N93="",1,N93)),2))</f>
        <v>0</v>
      </c>
      <c r="V93" s="29">
        <f>IF(H93="","",ROUND(MAX(0,IF(G93="",1,G93)-1)*Q93,2))</f>
        <v>0</v>
      </c>
      <c r="W93" s="50">
        <f>IF(I93="","",IF(COUNTIF(HolidayDates,I93)&gt;0,"Yes","No"))</f>
        <v>0</v>
      </c>
      <c r="X93" s="50">
        <f>IF(I93="","",IF(WEEKDAY(I93,2)&gt;5,"Yes","No"))</f>
        <v>0</v>
      </c>
      <c r="Y93" s="29">
        <f>IF(H93="","",ROUND((U93+V93)*(IF(W93="Yes",R93,0)+IF(X93="Yes",S93,0)),2))</f>
        <v>0</v>
      </c>
      <c r="AA93" s="29">
        <f>IF(H93="","",IF(T93&lt;&gt;"Yes",0,ROUND(MAX(0,IF(Z93="",0,Z93)-FreeTravelDistance)*TravelFeeRate,2)))</f>
        <v>0</v>
      </c>
      <c r="AB93" s="31">
        <f>IF(I93="","",TravelTimeMins)</f>
        <v>0</v>
      </c>
      <c r="AC93" s="29">
        <f>IF(OR(I93="",B93=""),0,IF(I93-B93&lt;=LastMinuteDays,EmergencyFee,0))</f>
        <v>0</v>
      </c>
      <c r="AF93" s="29">
        <f>IF(H93="","",ROUND((U93+V93+Y93+AA93+AC93)*IF(AE93="",0,AE93),2))</f>
        <v>0</v>
      </c>
      <c r="AI93" s="29">
        <f>IF(H93="","",IF(AG93&lt;&gt;"",AG93,ROUND(U93+V93+Y93+AA93+AC93-AF93,2)))</f>
        <v>0</v>
      </c>
      <c r="AJ93" s="29">
        <f>IF(AI93="","",IF(TaxRegistered&lt;&gt;"Yes",0,IF(PricesIncludeTax="Yes",ROUND(AI93-AI93/(1+TaxRate),2),ROUND(AI93*TaxRate,2))))</f>
        <v>0</v>
      </c>
      <c r="AK93" s="29">
        <f>IF(AI93="","",IF(PricesIncludeTax="Yes",AI93,ROUND(AI93+AJ93,2)))</f>
        <v>0</v>
      </c>
      <c r="AQ93" s="21">
        <f>IF(OR(I93="",AP93="",AP93="None"),"",IF(AP93="Monthly",EDATE(I93,1),I93+IF(AP93="Daily",1,IF(AP93="Weekdays",IF(WEEKDAY(I93,2)&gt;=5,8-WEEKDAY(I93,2),1),IF(AP93="Weekly",7,IF(AP93="Fortnightly",14,0))))))</f>
        <v>0</v>
      </c>
      <c r="AR93" s="49">
        <f>IF(OR(I93="",AL93="",K93="",L93=""),"",IF(SUMPRODUCT((Bookings!$AL$5:$AL$404=AL93)*(Bookings!$I$5:$I$404=I93)*(Bookings!$K$5:$K$404&lt;L93)*(Bookings!$L$5:$L$404&gt;K93)*(Bookings!$AM$5:$AM$404&lt;&gt;"Cancelled"))&gt;1,"Conflict - double booked","OK"))</f>
        <v>0</v>
      </c>
      <c r="AS93" s="50">
        <f>IF(A93="","",IF(COUNTIF('Visit Log'!$B$5:$B$404,A93)&gt;0,"Yes","No"))</f>
        <v>0</v>
      </c>
      <c r="AT93" s="28">
        <f>IF(A93="","",IFERROR(INDEX(Invoices!$A$5:$A$304,MATCH(A93,Invoices!$E$5:$E$304,0)),""))</f>
        <v>0</v>
      </c>
      <c r="AU93" s="49">
        <f>IF(A93="","",IF(AT93="","Not invoiced",IFERROR(INDEX(Invoices!$U$5:$U$304,MATCH(AT93,Invoices!$A$5:$A$304,0)),"")))</f>
        <v>0</v>
      </c>
      <c r="AY93" s="28">
        <f>IF(I93="","",TEXT(I93,"yyyy-mm"))</f>
        <v>0</v>
      </c>
      <c r="AZ93" s="49">
        <f>IF(I93="","",IF(AM93="Cancelled","Cancelled",IF(AND(I93&lt;TODAY(),OR(AM93="Pending",AM93="Confirmed",AM93="Enquiry")),"Overdue - update status",IF(AND(AM93="Completed",AS93="No"),"Action - log the visit",IF(I93=TODAY(),"Today",IF(AND(I93&gt;TODAY(),I93-TODAY()&lt;=ReminderLeadDays,AN93&lt;&gt;"Yes"),"Action - unconfirmed",IF(AND(I93&gt;TODAY(),I93-TODAY()&lt;=ReminderLeadDays),"Upcoming","OK")))))))</f>
        <v>0</v>
      </c>
    </row>
    <row r="94" spans="1:52">
      <c r="A94" s="46">
        <f>IF(C94="","",BookingPrefix&amp;TEXT(ROW()-4,"0000"))</f>
        <v>0</v>
      </c>
      <c r="D94" s="28">
        <f>IF(C94="","",IFERROR(INDEX(Clients!$A$5:$A$254,MATCH(C94,Clients!$B$5:$B$254,0)),""))</f>
        <v>0</v>
      </c>
      <c r="J94" s="50">
        <f>IF(I94="","",TEXT(I94,"ddd"))</f>
        <v>0</v>
      </c>
      <c r="M94" s="51">
        <f>IF(OR(K94="",L94=""),"",ROUND((L94-K94+IF(L94&lt;K94,1,0))*24,2))</f>
        <v>0</v>
      </c>
      <c r="O94" s="28">
        <f>IF(H94="","",IFERROR(INDEX(Services!$E$5:$E$54,MATCH(H94,Services!$B$5:$B$54,0)),""))</f>
        <v>0</v>
      </c>
      <c r="P94" s="29">
        <f>IF(H94="","",IFERROR(INDEX(Services!$G$5:$G$54,MATCH(H94,Services!$B$5:$B$54,0)),0))</f>
        <v>0</v>
      </c>
      <c r="Q94" s="29">
        <f>IF(H94="","",IF(IFERROR(INDEX(Services!$H$5:$H$54,MATCH(H94,Services!$B$5:$B$54,0)),0)=0,ExtraPetFeeDefault,IFERROR(INDEX(Services!$H$5:$H$54,MATCH(H94,Services!$B$5:$B$54,0)),0)))</f>
        <v>0</v>
      </c>
      <c r="R94" s="30">
        <f>IF(H94="","",IF(IFERROR(INDEX(Services!$I$5:$I$54,MATCH(H94,Services!$B$5:$B$54,0)),0)=0,HolidaySurcharge,IFERROR(INDEX(Services!$I$5:$I$54,MATCH(H94,Services!$B$5:$B$54,0)),0)))</f>
        <v>0</v>
      </c>
      <c r="S94" s="30">
        <f>IF(H94="","",IF(IFERROR(INDEX(Services!$J$5:$J$54,MATCH(H94,Services!$B$5:$B$54,0)),0)=0,WeekendSurcharge,IFERROR(INDEX(Services!$J$5:$J$54,MATCH(H94,Services!$B$5:$B$54,0)),0)))</f>
        <v>0</v>
      </c>
      <c r="T94" s="50">
        <f>IF(H94="","",IFERROR(INDEX(Services!$K$5:$K$54,MATCH(H94,Services!$B$5:$B$54,0)),"No"))</f>
        <v>0</v>
      </c>
      <c r="U94" s="29">
        <f>IF(H94="","",ROUND(IF(O94="Per hour",P94*IF(M94="",IF(N94="",1,N94),M94),P94*IF(N94="",1,N94)),2))</f>
        <v>0</v>
      </c>
      <c r="V94" s="29">
        <f>IF(H94="","",ROUND(MAX(0,IF(G94="",1,G94)-1)*Q94,2))</f>
        <v>0</v>
      </c>
      <c r="W94" s="50">
        <f>IF(I94="","",IF(COUNTIF(HolidayDates,I94)&gt;0,"Yes","No"))</f>
        <v>0</v>
      </c>
      <c r="X94" s="50">
        <f>IF(I94="","",IF(WEEKDAY(I94,2)&gt;5,"Yes","No"))</f>
        <v>0</v>
      </c>
      <c r="Y94" s="29">
        <f>IF(H94="","",ROUND((U94+V94)*(IF(W94="Yes",R94,0)+IF(X94="Yes",S94,0)),2))</f>
        <v>0</v>
      </c>
      <c r="AA94" s="29">
        <f>IF(H94="","",IF(T94&lt;&gt;"Yes",0,ROUND(MAX(0,IF(Z94="",0,Z94)-FreeTravelDistance)*TravelFeeRate,2)))</f>
        <v>0</v>
      </c>
      <c r="AB94" s="31">
        <f>IF(I94="","",TravelTimeMins)</f>
        <v>0</v>
      </c>
      <c r="AC94" s="29">
        <f>IF(OR(I94="",B94=""),0,IF(I94-B94&lt;=LastMinuteDays,EmergencyFee,0))</f>
        <v>0</v>
      </c>
      <c r="AF94" s="29">
        <f>IF(H94="","",ROUND((U94+V94+Y94+AA94+AC94)*IF(AE94="",0,AE94),2))</f>
        <v>0</v>
      </c>
      <c r="AI94" s="29">
        <f>IF(H94="","",IF(AG94&lt;&gt;"",AG94,ROUND(U94+V94+Y94+AA94+AC94-AF94,2)))</f>
        <v>0</v>
      </c>
      <c r="AJ94" s="29">
        <f>IF(AI94="","",IF(TaxRegistered&lt;&gt;"Yes",0,IF(PricesIncludeTax="Yes",ROUND(AI94-AI94/(1+TaxRate),2),ROUND(AI94*TaxRate,2))))</f>
        <v>0</v>
      </c>
      <c r="AK94" s="29">
        <f>IF(AI94="","",IF(PricesIncludeTax="Yes",AI94,ROUND(AI94+AJ94,2)))</f>
        <v>0</v>
      </c>
      <c r="AQ94" s="21">
        <f>IF(OR(I94="",AP94="",AP94="None"),"",IF(AP94="Monthly",EDATE(I94,1),I94+IF(AP94="Daily",1,IF(AP94="Weekdays",IF(WEEKDAY(I94,2)&gt;=5,8-WEEKDAY(I94,2),1),IF(AP94="Weekly",7,IF(AP94="Fortnightly",14,0))))))</f>
        <v>0</v>
      </c>
      <c r="AR94" s="49">
        <f>IF(OR(I94="",AL94="",K94="",L94=""),"",IF(SUMPRODUCT((Bookings!$AL$5:$AL$404=AL94)*(Bookings!$I$5:$I$404=I94)*(Bookings!$K$5:$K$404&lt;L94)*(Bookings!$L$5:$L$404&gt;K94)*(Bookings!$AM$5:$AM$404&lt;&gt;"Cancelled"))&gt;1,"Conflict - double booked","OK"))</f>
        <v>0</v>
      </c>
      <c r="AS94" s="50">
        <f>IF(A94="","",IF(COUNTIF('Visit Log'!$B$5:$B$404,A94)&gt;0,"Yes","No"))</f>
        <v>0</v>
      </c>
      <c r="AT94" s="28">
        <f>IF(A94="","",IFERROR(INDEX(Invoices!$A$5:$A$304,MATCH(A94,Invoices!$E$5:$E$304,0)),""))</f>
        <v>0</v>
      </c>
      <c r="AU94" s="49">
        <f>IF(A94="","",IF(AT94="","Not invoiced",IFERROR(INDEX(Invoices!$U$5:$U$304,MATCH(AT94,Invoices!$A$5:$A$304,0)),"")))</f>
        <v>0</v>
      </c>
      <c r="AY94" s="28">
        <f>IF(I94="","",TEXT(I94,"yyyy-mm"))</f>
        <v>0</v>
      </c>
      <c r="AZ94" s="49">
        <f>IF(I94="","",IF(AM94="Cancelled","Cancelled",IF(AND(I94&lt;TODAY(),OR(AM94="Pending",AM94="Confirmed",AM94="Enquiry")),"Overdue - update status",IF(AND(AM94="Completed",AS94="No"),"Action - log the visit",IF(I94=TODAY(),"Today",IF(AND(I94&gt;TODAY(),I94-TODAY()&lt;=ReminderLeadDays,AN94&lt;&gt;"Yes"),"Action - unconfirmed",IF(AND(I94&gt;TODAY(),I94-TODAY()&lt;=ReminderLeadDays),"Upcoming","OK")))))))</f>
        <v>0</v>
      </c>
    </row>
    <row r="95" spans="1:52">
      <c r="A95" s="46">
        <f>IF(C95="","",BookingPrefix&amp;TEXT(ROW()-4,"0000"))</f>
        <v>0</v>
      </c>
      <c r="D95" s="28">
        <f>IF(C95="","",IFERROR(INDEX(Clients!$A$5:$A$254,MATCH(C95,Clients!$B$5:$B$254,0)),""))</f>
        <v>0</v>
      </c>
      <c r="J95" s="50">
        <f>IF(I95="","",TEXT(I95,"ddd"))</f>
        <v>0</v>
      </c>
      <c r="M95" s="51">
        <f>IF(OR(K95="",L95=""),"",ROUND((L95-K95+IF(L95&lt;K95,1,0))*24,2))</f>
        <v>0</v>
      </c>
      <c r="O95" s="28">
        <f>IF(H95="","",IFERROR(INDEX(Services!$E$5:$E$54,MATCH(H95,Services!$B$5:$B$54,0)),""))</f>
        <v>0</v>
      </c>
      <c r="P95" s="29">
        <f>IF(H95="","",IFERROR(INDEX(Services!$G$5:$G$54,MATCH(H95,Services!$B$5:$B$54,0)),0))</f>
        <v>0</v>
      </c>
      <c r="Q95" s="29">
        <f>IF(H95="","",IF(IFERROR(INDEX(Services!$H$5:$H$54,MATCH(H95,Services!$B$5:$B$54,0)),0)=0,ExtraPetFeeDefault,IFERROR(INDEX(Services!$H$5:$H$54,MATCH(H95,Services!$B$5:$B$54,0)),0)))</f>
        <v>0</v>
      </c>
      <c r="R95" s="30">
        <f>IF(H95="","",IF(IFERROR(INDEX(Services!$I$5:$I$54,MATCH(H95,Services!$B$5:$B$54,0)),0)=0,HolidaySurcharge,IFERROR(INDEX(Services!$I$5:$I$54,MATCH(H95,Services!$B$5:$B$54,0)),0)))</f>
        <v>0</v>
      </c>
      <c r="S95" s="30">
        <f>IF(H95="","",IF(IFERROR(INDEX(Services!$J$5:$J$54,MATCH(H95,Services!$B$5:$B$54,0)),0)=0,WeekendSurcharge,IFERROR(INDEX(Services!$J$5:$J$54,MATCH(H95,Services!$B$5:$B$54,0)),0)))</f>
        <v>0</v>
      </c>
      <c r="T95" s="50">
        <f>IF(H95="","",IFERROR(INDEX(Services!$K$5:$K$54,MATCH(H95,Services!$B$5:$B$54,0)),"No"))</f>
        <v>0</v>
      </c>
      <c r="U95" s="29">
        <f>IF(H95="","",ROUND(IF(O95="Per hour",P95*IF(M95="",IF(N95="",1,N95),M95),P95*IF(N95="",1,N95)),2))</f>
        <v>0</v>
      </c>
      <c r="V95" s="29">
        <f>IF(H95="","",ROUND(MAX(0,IF(G95="",1,G95)-1)*Q95,2))</f>
        <v>0</v>
      </c>
      <c r="W95" s="50">
        <f>IF(I95="","",IF(COUNTIF(HolidayDates,I95)&gt;0,"Yes","No"))</f>
        <v>0</v>
      </c>
      <c r="X95" s="50">
        <f>IF(I95="","",IF(WEEKDAY(I95,2)&gt;5,"Yes","No"))</f>
        <v>0</v>
      </c>
      <c r="Y95" s="29">
        <f>IF(H95="","",ROUND((U95+V95)*(IF(W95="Yes",R95,0)+IF(X95="Yes",S95,0)),2))</f>
        <v>0</v>
      </c>
      <c r="AA95" s="29">
        <f>IF(H95="","",IF(T95&lt;&gt;"Yes",0,ROUND(MAX(0,IF(Z95="",0,Z95)-FreeTravelDistance)*TravelFeeRate,2)))</f>
        <v>0</v>
      </c>
      <c r="AB95" s="31">
        <f>IF(I95="","",TravelTimeMins)</f>
        <v>0</v>
      </c>
      <c r="AC95" s="29">
        <f>IF(OR(I95="",B95=""),0,IF(I95-B95&lt;=LastMinuteDays,EmergencyFee,0))</f>
        <v>0</v>
      </c>
      <c r="AF95" s="29">
        <f>IF(H95="","",ROUND((U95+V95+Y95+AA95+AC95)*IF(AE95="",0,AE95),2))</f>
        <v>0</v>
      </c>
      <c r="AI95" s="29">
        <f>IF(H95="","",IF(AG95&lt;&gt;"",AG95,ROUND(U95+V95+Y95+AA95+AC95-AF95,2)))</f>
        <v>0</v>
      </c>
      <c r="AJ95" s="29">
        <f>IF(AI95="","",IF(TaxRegistered&lt;&gt;"Yes",0,IF(PricesIncludeTax="Yes",ROUND(AI95-AI95/(1+TaxRate),2),ROUND(AI95*TaxRate,2))))</f>
        <v>0</v>
      </c>
      <c r="AK95" s="29">
        <f>IF(AI95="","",IF(PricesIncludeTax="Yes",AI95,ROUND(AI95+AJ95,2)))</f>
        <v>0</v>
      </c>
      <c r="AQ95" s="21">
        <f>IF(OR(I95="",AP95="",AP95="None"),"",IF(AP95="Monthly",EDATE(I95,1),I95+IF(AP95="Daily",1,IF(AP95="Weekdays",IF(WEEKDAY(I95,2)&gt;=5,8-WEEKDAY(I95,2),1),IF(AP95="Weekly",7,IF(AP95="Fortnightly",14,0))))))</f>
        <v>0</v>
      </c>
      <c r="AR95" s="49">
        <f>IF(OR(I95="",AL95="",K95="",L95=""),"",IF(SUMPRODUCT((Bookings!$AL$5:$AL$404=AL95)*(Bookings!$I$5:$I$404=I95)*(Bookings!$K$5:$K$404&lt;L95)*(Bookings!$L$5:$L$404&gt;K95)*(Bookings!$AM$5:$AM$404&lt;&gt;"Cancelled"))&gt;1,"Conflict - double booked","OK"))</f>
        <v>0</v>
      </c>
      <c r="AS95" s="50">
        <f>IF(A95="","",IF(COUNTIF('Visit Log'!$B$5:$B$404,A95)&gt;0,"Yes","No"))</f>
        <v>0</v>
      </c>
      <c r="AT95" s="28">
        <f>IF(A95="","",IFERROR(INDEX(Invoices!$A$5:$A$304,MATCH(A95,Invoices!$E$5:$E$304,0)),""))</f>
        <v>0</v>
      </c>
      <c r="AU95" s="49">
        <f>IF(A95="","",IF(AT95="","Not invoiced",IFERROR(INDEX(Invoices!$U$5:$U$304,MATCH(AT95,Invoices!$A$5:$A$304,0)),"")))</f>
        <v>0</v>
      </c>
      <c r="AY95" s="28">
        <f>IF(I95="","",TEXT(I95,"yyyy-mm"))</f>
        <v>0</v>
      </c>
      <c r="AZ95" s="49">
        <f>IF(I95="","",IF(AM95="Cancelled","Cancelled",IF(AND(I95&lt;TODAY(),OR(AM95="Pending",AM95="Confirmed",AM95="Enquiry")),"Overdue - update status",IF(AND(AM95="Completed",AS95="No"),"Action - log the visit",IF(I95=TODAY(),"Today",IF(AND(I95&gt;TODAY(),I95-TODAY()&lt;=ReminderLeadDays,AN95&lt;&gt;"Yes"),"Action - unconfirmed",IF(AND(I95&gt;TODAY(),I95-TODAY()&lt;=ReminderLeadDays),"Upcoming","OK")))))))</f>
        <v>0</v>
      </c>
    </row>
    <row r="96" spans="1:52">
      <c r="A96" s="46">
        <f>IF(C96="","",BookingPrefix&amp;TEXT(ROW()-4,"0000"))</f>
        <v>0</v>
      </c>
      <c r="D96" s="28">
        <f>IF(C96="","",IFERROR(INDEX(Clients!$A$5:$A$254,MATCH(C96,Clients!$B$5:$B$254,0)),""))</f>
        <v>0</v>
      </c>
      <c r="J96" s="50">
        <f>IF(I96="","",TEXT(I96,"ddd"))</f>
        <v>0</v>
      </c>
      <c r="M96" s="51">
        <f>IF(OR(K96="",L96=""),"",ROUND((L96-K96+IF(L96&lt;K96,1,0))*24,2))</f>
        <v>0</v>
      </c>
      <c r="O96" s="28">
        <f>IF(H96="","",IFERROR(INDEX(Services!$E$5:$E$54,MATCH(H96,Services!$B$5:$B$54,0)),""))</f>
        <v>0</v>
      </c>
      <c r="P96" s="29">
        <f>IF(H96="","",IFERROR(INDEX(Services!$G$5:$G$54,MATCH(H96,Services!$B$5:$B$54,0)),0))</f>
        <v>0</v>
      </c>
      <c r="Q96" s="29">
        <f>IF(H96="","",IF(IFERROR(INDEX(Services!$H$5:$H$54,MATCH(H96,Services!$B$5:$B$54,0)),0)=0,ExtraPetFeeDefault,IFERROR(INDEX(Services!$H$5:$H$54,MATCH(H96,Services!$B$5:$B$54,0)),0)))</f>
        <v>0</v>
      </c>
      <c r="R96" s="30">
        <f>IF(H96="","",IF(IFERROR(INDEX(Services!$I$5:$I$54,MATCH(H96,Services!$B$5:$B$54,0)),0)=0,HolidaySurcharge,IFERROR(INDEX(Services!$I$5:$I$54,MATCH(H96,Services!$B$5:$B$54,0)),0)))</f>
        <v>0</v>
      </c>
      <c r="S96" s="30">
        <f>IF(H96="","",IF(IFERROR(INDEX(Services!$J$5:$J$54,MATCH(H96,Services!$B$5:$B$54,0)),0)=0,WeekendSurcharge,IFERROR(INDEX(Services!$J$5:$J$54,MATCH(H96,Services!$B$5:$B$54,0)),0)))</f>
        <v>0</v>
      </c>
      <c r="T96" s="50">
        <f>IF(H96="","",IFERROR(INDEX(Services!$K$5:$K$54,MATCH(H96,Services!$B$5:$B$54,0)),"No"))</f>
        <v>0</v>
      </c>
      <c r="U96" s="29">
        <f>IF(H96="","",ROUND(IF(O96="Per hour",P96*IF(M96="",IF(N96="",1,N96),M96),P96*IF(N96="",1,N96)),2))</f>
        <v>0</v>
      </c>
      <c r="V96" s="29">
        <f>IF(H96="","",ROUND(MAX(0,IF(G96="",1,G96)-1)*Q96,2))</f>
        <v>0</v>
      </c>
      <c r="W96" s="50">
        <f>IF(I96="","",IF(COUNTIF(HolidayDates,I96)&gt;0,"Yes","No"))</f>
        <v>0</v>
      </c>
      <c r="X96" s="50">
        <f>IF(I96="","",IF(WEEKDAY(I96,2)&gt;5,"Yes","No"))</f>
        <v>0</v>
      </c>
      <c r="Y96" s="29">
        <f>IF(H96="","",ROUND((U96+V96)*(IF(W96="Yes",R96,0)+IF(X96="Yes",S96,0)),2))</f>
        <v>0</v>
      </c>
      <c r="AA96" s="29">
        <f>IF(H96="","",IF(T96&lt;&gt;"Yes",0,ROUND(MAX(0,IF(Z96="",0,Z96)-FreeTravelDistance)*TravelFeeRate,2)))</f>
        <v>0</v>
      </c>
      <c r="AB96" s="31">
        <f>IF(I96="","",TravelTimeMins)</f>
        <v>0</v>
      </c>
      <c r="AC96" s="29">
        <f>IF(OR(I96="",B96=""),0,IF(I96-B96&lt;=LastMinuteDays,EmergencyFee,0))</f>
        <v>0</v>
      </c>
      <c r="AF96" s="29">
        <f>IF(H96="","",ROUND((U96+V96+Y96+AA96+AC96)*IF(AE96="",0,AE96),2))</f>
        <v>0</v>
      </c>
      <c r="AI96" s="29">
        <f>IF(H96="","",IF(AG96&lt;&gt;"",AG96,ROUND(U96+V96+Y96+AA96+AC96-AF96,2)))</f>
        <v>0</v>
      </c>
      <c r="AJ96" s="29">
        <f>IF(AI96="","",IF(TaxRegistered&lt;&gt;"Yes",0,IF(PricesIncludeTax="Yes",ROUND(AI96-AI96/(1+TaxRate),2),ROUND(AI96*TaxRate,2))))</f>
        <v>0</v>
      </c>
      <c r="AK96" s="29">
        <f>IF(AI96="","",IF(PricesIncludeTax="Yes",AI96,ROUND(AI96+AJ96,2)))</f>
        <v>0</v>
      </c>
      <c r="AQ96" s="21">
        <f>IF(OR(I96="",AP96="",AP96="None"),"",IF(AP96="Monthly",EDATE(I96,1),I96+IF(AP96="Daily",1,IF(AP96="Weekdays",IF(WEEKDAY(I96,2)&gt;=5,8-WEEKDAY(I96,2),1),IF(AP96="Weekly",7,IF(AP96="Fortnightly",14,0))))))</f>
        <v>0</v>
      </c>
      <c r="AR96" s="49">
        <f>IF(OR(I96="",AL96="",K96="",L96=""),"",IF(SUMPRODUCT((Bookings!$AL$5:$AL$404=AL96)*(Bookings!$I$5:$I$404=I96)*(Bookings!$K$5:$K$404&lt;L96)*(Bookings!$L$5:$L$404&gt;K96)*(Bookings!$AM$5:$AM$404&lt;&gt;"Cancelled"))&gt;1,"Conflict - double booked","OK"))</f>
        <v>0</v>
      </c>
      <c r="AS96" s="50">
        <f>IF(A96="","",IF(COUNTIF('Visit Log'!$B$5:$B$404,A96)&gt;0,"Yes","No"))</f>
        <v>0</v>
      </c>
      <c r="AT96" s="28">
        <f>IF(A96="","",IFERROR(INDEX(Invoices!$A$5:$A$304,MATCH(A96,Invoices!$E$5:$E$304,0)),""))</f>
        <v>0</v>
      </c>
      <c r="AU96" s="49">
        <f>IF(A96="","",IF(AT96="","Not invoiced",IFERROR(INDEX(Invoices!$U$5:$U$304,MATCH(AT96,Invoices!$A$5:$A$304,0)),"")))</f>
        <v>0</v>
      </c>
      <c r="AY96" s="28">
        <f>IF(I96="","",TEXT(I96,"yyyy-mm"))</f>
        <v>0</v>
      </c>
      <c r="AZ96" s="49">
        <f>IF(I96="","",IF(AM96="Cancelled","Cancelled",IF(AND(I96&lt;TODAY(),OR(AM96="Pending",AM96="Confirmed",AM96="Enquiry")),"Overdue - update status",IF(AND(AM96="Completed",AS96="No"),"Action - log the visit",IF(I96=TODAY(),"Today",IF(AND(I96&gt;TODAY(),I96-TODAY()&lt;=ReminderLeadDays,AN96&lt;&gt;"Yes"),"Action - unconfirmed",IF(AND(I96&gt;TODAY(),I96-TODAY()&lt;=ReminderLeadDays),"Upcoming","OK")))))))</f>
        <v>0</v>
      </c>
    </row>
    <row r="97" spans="1:52">
      <c r="A97" s="46">
        <f>IF(C97="","",BookingPrefix&amp;TEXT(ROW()-4,"0000"))</f>
        <v>0</v>
      </c>
      <c r="D97" s="28">
        <f>IF(C97="","",IFERROR(INDEX(Clients!$A$5:$A$254,MATCH(C97,Clients!$B$5:$B$254,0)),""))</f>
        <v>0</v>
      </c>
      <c r="J97" s="50">
        <f>IF(I97="","",TEXT(I97,"ddd"))</f>
        <v>0</v>
      </c>
      <c r="M97" s="51">
        <f>IF(OR(K97="",L97=""),"",ROUND((L97-K97+IF(L97&lt;K97,1,0))*24,2))</f>
        <v>0</v>
      </c>
      <c r="O97" s="28">
        <f>IF(H97="","",IFERROR(INDEX(Services!$E$5:$E$54,MATCH(H97,Services!$B$5:$B$54,0)),""))</f>
        <v>0</v>
      </c>
      <c r="P97" s="29">
        <f>IF(H97="","",IFERROR(INDEX(Services!$G$5:$G$54,MATCH(H97,Services!$B$5:$B$54,0)),0))</f>
        <v>0</v>
      </c>
      <c r="Q97" s="29">
        <f>IF(H97="","",IF(IFERROR(INDEX(Services!$H$5:$H$54,MATCH(H97,Services!$B$5:$B$54,0)),0)=0,ExtraPetFeeDefault,IFERROR(INDEX(Services!$H$5:$H$54,MATCH(H97,Services!$B$5:$B$54,0)),0)))</f>
        <v>0</v>
      </c>
      <c r="R97" s="30">
        <f>IF(H97="","",IF(IFERROR(INDEX(Services!$I$5:$I$54,MATCH(H97,Services!$B$5:$B$54,0)),0)=0,HolidaySurcharge,IFERROR(INDEX(Services!$I$5:$I$54,MATCH(H97,Services!$B$5:$B$54,0)),0)))</f>
        <v>0</v>
      </c>
      <c r="S97" s="30">
        <f>IF(H97="","",IF(IFERROR(INDEX(Services!$J$5:$J$54,MATCH(H97,Services!$B$5:$B$54,0)),0)=0,WeekendSurcharge,IFERROR(INDEX(Services!$J$5:$J$54,MATCH(H97,Services!$B$5:$B$54,0)),0)))</f>
        <v>0</v>
      </c>
      <c r="T97" s="50">
        <f>IF(H97="","",IFERROR(INDEX(Services!$K$5:$K$54,MATCH(H97,Services!$B$5:$B$54,0)),"No"))</f>
        <v>0</v>
      </c>
      <c r="U97" s="29">
        <f>IF(H97="","",ROUND(IF(O97="Per hour",P97*IF(M97="",IF(N97="",1,N97),M97),P97*IF(N97="",1,N97)),2))</f>
        <v>0</v>
      </c>
      <c r="V97" s="29">
        <f>IF(H97="","",ROUND(MAX(0,IF(G97="",1,G97)-1)*Q97,2))</f>
        <v>0</v>
      </c>
      <c r="W97" s="50">
        <f>IF(I97="","",IF(COUNTIF(HolidayDates,I97)&gt;0,"Yes","No"))</f>
        <v>0</v>
      </c>
      <c r="X97" s="50">
        <f>IF(I97="","",IF(WEEKDAY(I97,2)&gt;5,"Yes","No"))</f>
        <v>0</v>
      </c>
      <c r="Y97" s="29">
        <f>IF(H97="","",ROUND((U97+V97)*(IF(W97="Yes",R97,0)+IF(X97="Yes",S97,0)),2))</f>
        <v>0</v>
      </c>
      <c r="AA97" s="29">
        <f>IF(H97="","",IF(T97&lt;&gt;"Yes",0,ROUND(MAX(0,IF(Z97="",0,Z97)-FreeTravelDistance)*TravelFeeRate,2)))</f>
        <v>0</v>
      </c>
      <c r="AB97" s="31">
        <f>IF(I97="","",TravelTimeMins)</f>
        <v>0</v>
      </c>
      <c r="AC97" s="29">
        <f>IF(OR(I97="",B97=""),0,IF(I97-B97&lt;=LastMinuteDays,EmergencyFee,0))</f>
        <v>0</v>
      </c>
      <c r="AF97" s="29">
        <f>IF(H97="","",ROUND((U97+V97+Y97+AA97+AC97)*IF(AE97="",0,AE97),2))</f>
        <v>0</v>
      </c>
      <c r="AI97" s="29">
        <f>IF(H97="","",IF(AG97&lt;&gt;"",AG97,ROUND(U97+V97+Y97+AA97+AC97-AF97,2)))</f>
        <v>0</v>
      </c>
      <c r="AJ97" s="29">
        <f>IF(AI97="","",IF(TaxRegistered&lt;&gt;"Yes",0,IF(PricesIncludeTax="Yes",ROUND(AI97-AI97/(1+TaxRate),2),ROUND(AI97*TaxRate,2))))</f>
        <v>0</v>
      </c>
      <c r="AK97" s="29">
        <f>IF(AI97="","",IF(PricesIncludeTax="Yes",AI97,ROUND(AI97+AJ97,2)))</f>
        <v>0</v>
      </c>
      <c r="AQ97" s="21">
        <f>IF(OR(I97="",AP97="",AP97="None"),"",IF(AP97="Monthly",EDATE(I97,1),I97+IF(AP97="Daily",1,IF(AP97="Weekdays",IF(WEEKDAY(I97,2)&gt;=5,8-WEEKDAY(I97,2),1),IF(AP97="Weekly",7,IF(AP97="Fortnightly",14,0))))))</f>
        <v>0</v>
      </c>
      <c r="AR97" s="49">
        <f>IF(OR(I97="",AL97="",K97="",L97=""),"",IF(SUMPRODUCT((Bookings!$AL$5:$AL$404=AL97)*(Bookings!$I$5:$I$404=I97)*(Bookings!$K$5:$K$404&lt;L97)*(Bookings!$L$5:$L$404&gt;K97)*(Bookings!$AM$5:$AM$404&lt;&gt;"Cancelled"))&gt;1,"Conflict - double booked","OK"))</f>
        <v>0</v>
      </c>
      <c r="AS97" s="50">
        <f>IF(A97="","",IF(COUNTIF('Visit Log'!$B$5:$B$404,A97)&gt;0,"Yes","No"))</f>
        <v>0</v>
      </c>
      <c r="AT97" s="28">
        <f>IF(A97="","",IFERROR(INDEX(Invoices!$A$5:$A$304,MATCH(A97,Invoices!$E$5:$E$304,0)),""))</f>
        <v>0</v>
      </c>
      <c r="AU97" s="49">
        <f>IF(A97="","",IF(AT97="","Not invoiced",IFERROR(INDEX(Invoices!$U$5:$U$304,MATCH(AT97,Invoices!$A$5:$A$304,0)),"")))</f>
        <v>0</v>
      </c>
      <c r="AY97" s="28">
        <f>IF(I97="","",TEXT(I97,"yyyy-mm"))</f>
        <v>0</v>
      </c>
      <c r="AZ97" s="49">
        <f>IF(I97="","",IF(AM97="Cancelled","Cancelled",IF(AND(I97&lt;TODAY(),OR(AM97="Pending",AM97="Confirmed",AM97="Enquiry")),"Overdue - update status",IF(AND(AM97="Completed",AS97="No"),"Action - log the visit",IF(I97=TODAY(),"Today",IF(AND(I97&gt;TODAY(),I97-TODAY()&lt;=ReminderLeadDays,AN97&lt;&gt;"Yes"),"Action - unconfirmed",IF(AND(I97&gt;TODAY(),I97-TODAY()&lt;=ReminderLeadDays),"Upcoming","OK")))))))</f>
        <v>0</v>
      </c>
    </row>
    <row r="98" spans="1:52">
      <c r="A98" s="46">
        <f>IF(C98="","",BookingPrefix&amp;TEXT(ROW()-4,"0000"))</f>
        <v>0</v>
      </c>
      <c r="D98" s="28">
        <f>IF(C98="","",IFERROR(INDEX(Clients!$A$5:$A$254,MATCH(C98,Clients!$B$5:$B$254,0)),""))</f>
        <v>0</v>
      </c>
      <c r="J98" s="50">
        <f>IF(I98="","",TEXT(I98,"ddd"))</f>
        <v>0</v>
      </c>
      <c r="M98" s="51">
        <f>IF(OR(K98="",L98=""),"",ROUND((L98-K98+IF(L98&lt;K98,1,0))*24,2))</f>
        <v>0</v>
      </c>
      <c r="O98" s="28">
        <f>IF(H98="","",IFERROR(INDEX(Services!$E$5:$E$54,MATCH(H98,Services!$B$5:$B$54,0)),""))</f>
        <v>0</v>
      </c>
      <c r="P98" s="29">
        <f>IF(H98="","",IFERROR(INDEX(Services!$G$5:$G$54,MATCH(H98,Services!$B$5:$B$54,0)),0))</f>
        <v>0</v>
      </c>
      <c r="Q98" s="29">
        <f>IF(H98="","",IF(IFERROR(INDEX(Services!$H$5:$H$54,MATCH(H98,Services!$B$5:$B$54,0)),0)=0,ExtraPetFeeDefault,IFERROR(INDEX(Services!$H$5:$H$54,MATCH(H98,Services!$B$5:$B$54,0)),0)))</f>
        <v>0</v>
      </c>
      <c r="R98" s="30">
        <f>IF(H98="","",IF(IFERROR(INDEX(Services!$I$5:$I$54,MATCH(H98,Services!$B$5:$B$54,0)),0)=0,HolidaySurcharge,IFERROR(INDEX(Services!$I$5:$I$54,MATCH(H98,Services!$B$5:$B$54,0)),0)))</f>
        <v>0</v>
      </c>
      <c r="S98" s="30">
        <f>IF(H98="","",IF(IFERROR(INDEX(Services!$J$5:$J$54,MATCH(H98,Services!$B$5:$B$54,0)),0)=0,WeekendSurcharge,IFERROR(INDEX(Services!$J$5:$J$54,MATCH(H98,Services!$B$5:$B$54,0)),0)))</f>
        <v>0</v>
      </c>
      <c r="T98" s="50">
        <f>IF(H98="","",IFERROR(INDEX(Services!$K$5:$K$54,MATCH(H98,Services!$B$5:$B$54,0)),"No"))</f>
        <v>0</v>
      </c>
      <c r="U98" s="29">
        <f>IF(H98="","",ROUND(IF(O98="Per hour",P98*IF(M98="",IF(N98="",1,N98),M98),P98*IF(N98="",1,N98)),2))</f>
        <v>0</v>
      </c>
      <c r="V98" s="29">
        <f>IF(H98="","",ROUND(MAX(0,IF(G98="",1,G98)-1)*Q98,2))</f>
        <v>0</v>
      </c>
      <c r="W98" s="50">
        <f>IF(I98="","",IF(COUNTIF(HolidayDates,I98)&gt;0,"Yes","No"))</f>
        <v>0</v>
      </c>
      <c r="X98" s="50">
        <f>IF(I98="","",IF(WEEKDAY(I98,2)&gt;5,"Yes","No"))</f>
        <v>0</v>
      </c>
      <c r="Y98" s="29">
        <f>IF(H98="","",ROUND((U98+V98)*(IF(W98="Yes",R98,0)+IF(X98="Yes",S98,0)),2))</f>
        <v>0</v>
      </c>
      <c r="AA98" s="29">
        <f>IF(H98="","",IF(T98&lt;&gt;"Yes",0,ROUND(MAX(0,IF(Z98="",0,Z98)-FreeTravelDistance)*TravelFeeRate,2)))</f>
        <v>0</v>
      </c>
      <c r="AB98" s="31">
        <f>IF(I98="","",TravelTimeMins)</f>
        <v>0</v>
      </c>
      <c r="AC98" s="29">
        <f>IF(OR(I98="",B98=""),0,IF(I98-B98&lt;=LastMinuteDays,EmergencyFee,0))</f>
        <v>0</v>
      </c>
      <c r="AF98" s="29">
        <f>IF(H98="","",ROUND((U98+V98+Y98+AA98+AC98)*IF(AE98="",0,AE98),2))</f>
        <v>0</v>
      </c>
      <c r="AI98" s="29">
        <f>IF(H98="","",IF(AG98&lt;&gt;"",AG98,ROUND(U98+V98+Y98+AA98+AC98-AF98,2)))</f>
        <v>0</v>
      </c>
      <c r="AJ98" s="29">
        <f>IF(AI98="","",IF(TaxRegistered&lt;&gt;"Yes",0,IF(PricesIncludeTax="Yes",ROUND(AI98-AI98/(1+TaxRate),2),ROUND(AI98*TaxRate,2))))</f>
        <v>0</v>
      </c>
      <c r="AK98" s="29">
        <f>IF(AI98="","",IF(PricesIncludeTax="Yes",AI98,ROUND(AI98+AJ98,2)))</f>
        <v>0</v>
      </c>
      <c r="AQ98" s="21">
        <f>IF(OR(I98="",AP98="",AP98="None"),"",IF(AP98="Monthly",EDATE(I98,1),I98+IF(AP98="Daily",1,IF(AP98="Weekdays",IF(WEEKDAY(I98,2)&gt;=5,8-WEEKDAY(I98,2),1),IF(AP98="Weekly",7,IF(AP98="Fortnightly",14,0))))))</f>
        <v>0</v>
      </c>
      <c r="AR98" s="49">
        <f>IF(OR(I98="",AL98="",K98="",L98=""),"",IF(SUMPRODUCT((Bookings!$AL$5:$AL$404=AL98)*(Bookings!$I$5:$I$404=I98)*(Bookings!$K$5:$K$404&lt;L98)*(Bookings!$L$5:$L$404&gt;K98)*(Bookings!$AM$5:$AM$404&lt;&gt;"Cancelled"))&gt;1,"Conflict - double booked","OK"))</f>
        <v>0</v>
      </c>
      <c r="AS98" s="50">
        <f>IF(A98="","",IF(COUNTIF('Visit Log'!$B$5:$B$404,A98)&gt;0,"Yes","No"))</f>
        <v>0</v>
      </c>
      <c r="AT98" s="28">
        <f>IF(A98="","",IFERROR(INDEX(Invoices!$A$5:$A$304,MATCH(A98,Invoices!$E$5:$E$304,0)),""))</f>
        <v>0</v>
      </c>
      <c r="AU98" s="49">
        <f>IF(A98="","",IF(AT98="","Not invoiced",IFERROR(INDEX(Invoices!$U$5:$U$304,MATCH(AT98,Invoices!$A$5:$A$304,0)),"")))</f>
        <v>0</v>
      </c>
      <c r="AY98" s="28">
        <f>IF(I98="","",TEXT(I98,"yyyy-mm"))</f>
        <v>0</v>
      </c>
      <c r="AZ98" s="49">
        <f>IF(I98="","",IF(AM98="Cancelled","Cancelled",IF(AND(I98&lt;TODAY(),OR(AM98="Pending",AM98="Confirmed",AM98="Enquiry")),"Overdue - update status",IF(AND(AM98="Completed",AS98="No"),"Action - log the visit",IF(I98=TODAY(),"Today",IF(AND(I98&gt;TODAY(),I98-TODAY()&lt;=ReminderLeadDays,AN98&lt;&gt;"Yes"),"Action - unconfirmed",IF(AND(I98&gt;TODAY(),I98-TODAY()&lt;=ReminderLeadDays),"Upcoming","OK")))))))</f>
        <v>0</v>
      </c>
    </row>
    <row r="99" spans="1:52">
      <c r="A99" s="46">
        <f>IF(C99="","",BookingPrefix&amp;TEXT(ROW()-4,"0000"))</f>
        <v>0</v>
      </c>
      <c r="D99" s="28">
        <f>IF(C99="","",IFERROR(INDEX(Clients!$A$5:$A$254,MATCH(C99,Clients!$B$5:$B$254,0)),""))</f>
        <v>0</v>
      </c>
      <c r="J99" s="50">
        <f>IF(I99="","",TEXT(I99,"ddd"))</f>
        <v>0</v>
      </c>
      <c r="M99" s="51">
        <f>IF(OR(K99="",L99=""),"",ROUND((L99-K99+IF(L99&lt;K99,1,0))*24,2))</f>
        <v>0</v>
      </c>
      <c r="O99" s="28">
        <f>IF(H99="","",IFERROR(INDEX(Services!$E$5:$E$54,MATCH(H99,Services!$B$5:$B$54,0)),""))</f>
        <v>0</v>
      </c>
      <c r="P99" s="29">
        <f>IF(H99="","",IFERROR(INDEX(Services!$G$5:$G$54,MATCH(H99,Services!$B$5:$B$54,0)),0))</f>
        <v>0</v>
      </c>
      <c r="Q99" s="29">
        <f>IF(H99="","",IF(IFERROR(INDEX(Services!$H$5:$H$54,MATCH(H99,Services!$B$5:$B$54,0)),0)=0,ExtraPetFeeDefault,IFERROR(INDEX(Services!$H$5:$H$54,MATCH(H99,Services!$B$5:$B$54,0)),0)))</f>
        <v>0</v>
      </c>
      <c r="R99" s="30">
        <f>IF(H99="","",IF(IFERROR(INDEX(Services!$I$5:$I$54,MATCH(H99,Services!$B$5:$B$54,0)),0)=0,HolidaySurcharge,IFERROR(INDEX(Services!$I$5:$I$54,MATCH(H99,Services!$B$5:$B$54,0)),0)))</f>
        <v>0</v>
      </c>
      <c r="S99" s="30">
        <f>IF(H99="","",IF(IFERROR(INDEX(Services!$J$5:$J$54,MATCH(H99,Services!$B$5:$B$54,0)),0)=0,WeekendSurcharge,IFERROR(INDEX(Services!$J$5:$J$54,MATCH(H99,Services!$B$5:$B$54,0)),0)))</f>
        <v>0</v>
      </c>
      <c r="T99" s="50">
        <f>IF(H99="","",IFERROR(INDEX(Services!$K$5:$K$54,MATCH(H99,Services!$B$5:$B$54,0)),"No"))</f>
        <v>0</v>
      </c>
      <c r="U99" s="29">
        <f>IF(H99="","",ROUND(IF(O99="Per hour",P99*IF(M99="",IF(N99="",1,N99),M99),P99*IF(N99="",1,N99)),2))</f>
        <v>0</v>
      </c>
      <c r="V99" s="29">
        <f>IF(H99="","",ROUND(MAX(0,IF(G99="",1,G99)-1)*Q99,2))</f>
        <v>0</v>
      </c>
      <c r="W99" s="50">
        <f>IF(I99="","",IF(COUNTIF(HolidayDates,I99)&gt;0,"Yes","No"))</f>
        <v>0</v>
      </c>
      <c r="X99" s="50">
        <f>IF(I99="","",IF(WEEKDAY(I99,2)&gt;5,"Yes","No"))</f>
        <v>0</v>
      </c>
      <c r="Y99" s="29">
        <f>IF(H99="","",ROUND((U99+V99)*(IF(W99="Yes",R99,0)+IF(X99="Yes",S99,0)),2))</f>
        <v>0</v>
      </c>
      <c r="AA99" s="29">
        <f>IF(H99="","",IF(T99&lt;&gt;"Yes",0,ROUND(MAX(0,IF(Z99="",0,Z99)-FreeTravelDistance)*TravelFeeRate,2)))</f>
        <v>0</v>
      </c>
      <c r="AB99" s="31">
        <f>IF(I99="","",TravelTimeMins)</f>
        <v>0</v>
      </c>
      <c r="AC99" s="29">
        <f>IF(OR(I99="",B99=""),0,IF(I99-B99&lt;=LastMinuteDays,EmergencyFee,0))</f>
        <v>0</v>
      </c>
      <c r="AF99" s="29">
        <f>IF(H99="","",ROUND((U99+V99+Y99+AA99+AC99)*IF(AE99="",0,AE99),2))</f>
        <v>0</v>
      </c>
      <c r="AI99" s="29">
        <f>IF(H99="","",IF(AG99&lt;&gt;"",AG99,ROUND(U99+V99+Y99+AA99+AC99-AF99,2)))</f>
        <v>0</v>
      </c>
      <c r="AJ99" s="29">
        <f>IF(AI99="","",IF(TaxRegistered&lt;&gt;"Yes",0,IF(PricesIncludeTax="Yes",ROUND(AI99-AI99/(1+TaxRate),2),ROUND(AI99*TaxRate,2))))</f>
        <v>0</v>
      </c>
      <c r="AK99" s="29">
        <f>IF(AI99="","",IF(PricesIncludeTax="Yes",AI99,ROUND(AI99+AJ99,2)))</f>
        <v>0</v>
      </c>
      <c r="AQ99" s="21">
        <f>IF(OR(I99="",AP99="",AP99="None"),"",IF(AP99="Monthly",EDATE(I99,1),I99+IF(AP99="Daily",1,IF(AP99="Weekdays",IF(WEEKDAY(I99,2)&gt;=5,8-WEEKDAY(I99,2),1),IF(AP99="Weekly",7,IF(AP99="Fortnightly",14,0))))))</f>
        <v>0</v>
      </c>
      <c r="AR99" s="49">
        <f>IF(OR(I99="",AL99="",K99="",L99=""),"",IF(SUMPRODUCT((Bookings!$AL$5:$AL$404=AL99)*(Bookings!$I$5:$I$404=I99)*(Bookings!$K$5:$K$404&lt;L99)*(Bookings!$L$5:$L$404&gt;K99)*(Bookings!$AM$5:$AM$404&lt;&gt;"Cancelled"))&gt;1,"Conflict - double booked","OK"))</f>
        <v>0</v>
      </c>
      <c r="AS99" s="50">
        <f>IF(A99="","",IF(COUNTIF('Visit Log'!$B$5:$B$404,A99)&gt;0,"Yes","No"))</f>
        <v>0</v>
      </c>
      <c r="AT99" s="28">
        <f>IF(A99="","",IFERROR(INDEX(Invoices!$A$5:$A$304,MATCH(A99,Invoices!$E$5:$E$304,0)),""))</f>
        <v>0</v>
      </c>
      <c r="AU99" s="49">
        <f>IF(A99="","",IF(AT99="","Not invoiced",IFERROR(INDEX(Invoices!$U$5:$U$304,MATCH(AT99,Invoices!$A$5:$A$304,0)),"")))</f>
        <v>0</v>
      </c>
      <c r="AY99" s="28">
        <f>IF(I99="","",TEXT(I99,"yyyy-mm"))</f>
        <v>0</v>
      </c>
      <c r="AZ99" s="49">
        <f>IF(I99="","",IF(AM99="Cancelled","Cancelled",IF(AND(I99&lt;TODAY(),OR(AM99="Pending",AM99="Confirmed",AM99="Enquiry")),"Overdue - update status",IF(AND(AM99="Completed",AS99="No"),"Action - log the visit",IF(I99=TODAY(),"Today",IF(AND(I99&gt;TODAY(),I99-TODAY()&lt;=ReminderLeadDays,AN99&lt;&gt;"Yes"),"Action - unconfirmed",IF(AND(I99&gt;TODAY(),I99-TODAY()&lt;=ReminderLeadDays),"Upcoming","OK")))))))</f>
        <v>0</v>
      </c>
    </row>
    <row r="100" spans="1:52">
      <c r="A100" s="46">
        <f>IF(C100="","",BookingPrefix&amp;TEXT(ROW()-4,"0000"))</f>
        <v>0</v>
      </c>
      <c r="D100" s="28">
        <f>IF(C100="","",IFERROR(INDEX(Clients!$A$5:$A$254,MATCH(C100,Clients!$B$5:$B$254,0)),""))</f>
        <v>0</v>
      </c>
      <c r="J100" s="50">
        <f>IF(I100="","",TEXT(I100,"ddd"))</f>
        <v>0</v>
      </c>
      <c r="M100" s="51">
        <f>IF(OR(K100="",L100=""),"",ROUND((L100-K100+IF(L100&lt;K100,1,0))*24,2))</f>
        <v>0</v>
      </c>
      <c r="O100" s="28">
        <f>IF(H100="","",IFERROR(INDEX(Services!$E$5:$E$54,MATCH(H100,Services!$B$5:$B$54,0)),""))</f>
        <v>0</v>
      </c>
      <c r="P100" s="29">
        <f>IF(H100="","",IFERROR(INDEX(Services!$G$5:$G$54,MATCH(H100,Services!$B$5:$B$54,0)),0))</f>
        <v>0</v>
      </c>
      <c r="Q100" s="29">
        <f>IF(H100="","",IF(IFERROR(INDEX(Services!$H$5:$H$54,MATCH(H100,Services!$B$5:$B$54,0)),0)=0,ExtraPetFeeDefault,IFERROR(INDEX(Services!$H$5:$H$54,MATCH(H100,Services!$B$5:$B$54,0)),0)))</f>
        <v>0</v>
      </c>
      <c r="R100" s="30">
        <f>IF(H100="","",IF(IFERROR(INDEX(Services!$I$5:$I$54,MATCH(H100,Services!$B$5:$B$54,0)),0)=0,HolidaySurcharge,IFERROR(INDEX(Services!$I$5:$I$54,MATCH(H100,Services!$B$5:$B$54,0)),0)))</f>
        <v>0</v>
      </c>
      <c r="S100" s="30">
        <f>IF(H100="","",IF(IFERROR(INDEX(Services!$J$5:$J$54,MATCH(H100,Services!$B$5:$B$54,0)),0)=0,WeekendSurcharge,IFERROR(INDEX(Services!$J$5:$J$54,MATCH(H100,Services!$B$5:$B$54,0)),0)))</f>
        <v>0</v>
      </c>
      <c r="T100" s="50">
        <f>IF(H100="","",IFERROR(INDEX(Services!$K$5:$K$54,MATCH(H100,Services!$B$5:$B$54,0)),"No"))</f>
        <v>0</v>
      </c>
      <c r="U100" s="29">
        <f>IF(H100="","",ROUND(IF(O100="Per hour",P100*IF(M100="",IF(N100="",1,N100),M100),P100*IF(N100="",1,N100)),2))</f>
        <v>0</v>
      </c>
      <c r="V100" s="29">
        <f>IF(H100="","",ROUND(MAX(0,IF(G100="",1,G100)-1)*Q100,2))</f>
        <v>0</v>
      </c>
      <c r="W100" s="50">
        <f>IF(I100="","",IF(COUNTIF(HolidayDates,I100)&gt;0,"Yes","No"))</f>
        <v>0</v>
      </c>
      <c r="X100" s="50">
        <f>IF(I100="","",IF(WEEKDAY(I100,2)&gt;5,"Yes","No"))</f>
        <v>0</v>
      </c>
      <c r="Y100" s="29">
        <f>IF(H100="","",ROUND((U100+V100)*(IF(W100="Yes",R100,0)+IF(X100="Yes",S100,0)),2))</f>
        <v>0</v>
      </c>
      <c r="AA100" s="29">
        <f>IF(H100="","",IF(T100&lt;&gt;"Yes",0,ROUND(MAX(0,IF(Z100="",0,Z100)-FreeTravelDistance)*TravelFeeRate,2)))</f>
        <v>0</v>
      </c>
      <c r="AB100" s="31">
        <f>IF(I100="","",TravelTimeMins)</f>
        <v>0</v>
      </c>
      <c r="AC100" s="29">
        <f>IF(OR(I100="",B100=""),0,IF(I100-B100&lt;=LastMinuteDays,EmergencyFee,0))</f>
        <v>0</v>
      </c>
      <c r="AF100" s="29">
        <f>IF(H100="","",ROUND((U100+V100+Y100+AA100+AC100)*IF(AE100="",0,AE100),2))</f>
        <v>0</v>
      </c>
      <c r="AI100" s="29">
        <f>IF(H100="","",IF(AG100&lt;&gt;"",AG100,ROUND(U100+V100+Y100+AA100+AC100-AF100,2)))</f>
        <v>0</v>
      </c>
      <c r="AJ100" s="29">
        <f>IF(AI100="","",IF(TaxRegistered&lt;&gt;"Yes",0,IF(PricesIncludeTax="Yes",ROUND(AI100-AI100/(1+TaxRate),2),ROUND(AI100*TaxRate,2))))</f>
        <v>0</v>
      </c>
      <c r="AK100" s="29">
        <f>IF(AI100="","",IF(PricesIncludeTax="Yes",AI100,ROUND(AI100+AJ100,2)))</f>
        <v>0</v>
      </c>
      <c r="AQ100" s="21">
        <f>IF(OR(I100="",AP100="",AP100="None"),"",IF(AP100="Monthly",EDATE(I100,1),I100+IF(AP100="Daily",1,IF(AP100="Weekdays",IF(WEEKDAY(I100,2)&gt;=5,8-WEEKDAY(I100,2),1),IF(AP100="Weekly",7,IF(AP100="Fortnightly",14,0))))))</f>
        <v>0</v>
      </c>
      <c r="AR100" s="49">
        <f>IF(OR(I100="",AL100="",K100="",L100=""),"",IF(SUMPRODUCT((Bookings!$AL$5:$AL$404=AL100)*(Bookings!$I$5:$I$404=I100)*(Bookings!$K$5:$K$404&lt;L100)*(Bookings!$L$5:$L$404&gt;K100)*(Bookings!$AM$5:$AM$404&lt;&gt;"Cancelled"))&gt;1,"Conflict - double booked","OK"))</f>
        <v>0</v>
      </c>
      <c r="AS100" s="50">
        <f>IF(A100="","",IF(COUNTIF('Visit Log'!$B$5:$B$404,A100)&gt;0,"Yes","No"))</f>
        <v>0</v>
      </c>
      <c r="AT100" s="28">
        <f>IF(A100="","",IFERROR(INDEX(Invoices!$A$5:$A$304,MATCH(A100,Invoices!$E$5:$E$304,0)),""))</f>
        <v>0</v>
      </c>
      <c r="AU100" s="49">
        <f>IF(A100="","",IF(AT100="","Not invoiced",IFERROR(INDEX(Invoices!$U$5:$U$304,MATCH(AT100,Invoices!$A$5:$A$304,0)),"")))</f>
        <v>0</v>
      </c>
      <c r="AY100" s="28">
        <f>IF(I100="","",TEXT(I100,"yyyy-mm"))</f>
        <v>0</v>
      </c>
      <c r="AZ100" s="49">
        <f>IF(I100="","",IF(AM100="Cancelled","Cancelled",IF(AND(I100&lt;TODAY(),OR(AM100="Pending",AM100="Confirmed",AM100="Enquiry")),"Overdue - update status",IF(AND(AM100="Completed",AS100="No"),"Action - log the visit",IF(I100=TODAY(),"Today",IF(AND(I100&gt;TODAY(),I100-TODAY()&lt;=ReminderLeadDays,AN100&lt;&gt;"Yes"),"Action - unconfirmed",IF(AND(I100&gt;TODAY(),I100-TODAY()&lt;=ReminderLeadDays),"Upcoming","OK")))))))</f>
        <v>0</v>
      </c>
    </row>
    <row r="101" spans="1:52">
      <c r="A101" s="46">
        <f>IF(C101="","",BookingPrefix&amp;TEXT(ROW()-4,"0000"))</f>
        <v>0</v>
      </c>
      <c r="D101" s="28">
        <f>IF(C101="","",IFERROR(INDEX(Clients!$A$5:$A$254,MATCH(C101,Clients!$B$5:$B$254,0)),""))</f>
        <v>0</v>
      </c>
      <c r="J101" s="50">
        <f>IF(I101="","",TEXT(I101,"ddd"))</f>
        <v>0</v>
      </c>
      <c r="M101" s="51">
        <f>IF(OR(K101="",L101=""),"",ROUND((L101-K101+IF(L101&lt;K101,1,0))*24,2))</f>
        <v>0</v>
      </c>
      <c r="O101" s="28">
        <f>IF(H101="","",IFERROR(INDEX(Services!$E$5:$E$54,MATCH(H101,Services!$B$5:$B$54,0)),""))</f>
        <v>0</v>
      </c>
      <c r="P101" s="29">
        <f>IF(H101="","",IFERROR(INDEX(Services!$G$5:$G$54,MATCH(H101,Services!$B$5:$B$54,0)),0))</f>
        <v>0</v>
      </c>
      <c r="Q101" s="29">
        <f>IF(H101="","",IF(IFERROR(INDEX(Services!$H$5:$H$54,MATCH(H101,Services!$B$5:$B$54,0)),0)=0,ExtraPetFeeDefault,IFERROR(INDEX(Services!$H$5:$H$54,MATCH(H101,Services!$B$5:$B$54,0)),0)))</f>
        <v>0</v>
      </c>
      <c r="R101" s="30">
        <f>IF(H101="","",IF(IFERROR(INDEX(Services!$I$5:$I$54,MATCH(H101,Services!$B$5:$B$54,0)),0)=0,HolidaySurcharge,IFERROR(INDEX(Services!$I$5:$I$54,MATCH(H101,Services!$B$5:$B$54,0)),0)))</f>
        <v>0</v>
      </c>
      <c r="S101" s="30">
        <f>IF(H101="","",IF(IFERROR(INDEX(Services!$J$5:$J$54,MATCH(H101,Services!$B$5:$B$54,0)),0)=0,WeekendSurcharge,IFERROR(INDEX(Services!$J$5:$J$54,MATCH(H101,Services!$B$5:$B$54,0)),0)))</f>
        <v>0</v>
      </c>
      <c r="T101" s="50">
        <f>IF(H101="","",IFERROR(INDEX(Services!$K$5:$K$54,MATCH(H101,Services!$B$5:$B$54,0)),"No"))</f>
        <v>0</v>
      </c>
      <c r="U101" s="29">
        <f>IF(H101="","",ROUND(IF(O101="Per hour",P101*IF(M101="",IF(N101="",1,N101),M101),P101*IF(N101="",1,N101)),2))</f>
        <v>0</v>
      </c>
      <c r="V101" s="29">
        <f>IF(H101="","",ROUND(MAX(0,IF(G101="",1,G101)-1)*Q101,2))</f>
        <v>0</v>
      </c>
      <c r="W101" s="50">
        <f>IF(I101="","",IF(COUNTIF(HolidayDates,I101)&gt;0,"Yes","No"))</f>
        <v>0</v>
      </c>
      <c r="X101" s="50">
        <f>IF(I101="","",IF(WEEKDAY(I101,2)&gt;5,"Yes","No"))</f>
        <v>0</v>
      </c>
      <c r="Y101" s="29">
        <f>IF(H101="","",ROUND((U101+V101)*(IF(W101="Yes",R101,0)+IF(X101="Yes",S101,0)),2))</f>
        <v>0</v>
      </c>
      <c r="AA101" s="29">
        <f>IF(H101="","",IF(T101&lt;&gt;"Yes",0,ROUND(MAX(0,IF(Z101="",0,Z101)-FreeTravelDistance)*TravelFeeRate,2)))</f>
        <v>0</v>
      </c>
      <c r="AB101" s="31">
        <f>IF(I101="","",TravelTimeMins)</f>
        <v>0</v>
      </c>
      <c r="AC101" s="29">
        <f>IF(OR(I101="",B101=""),0,IF(I101-B101&lt;=LastMinuteDays,EmergencyFee,0))</f>
        <v>0</v>
      </c>
      <c r="AF101" s="29">
        <f>IF(H101="","",ROUND((U101+V101+Y101+AA101+AC101)*IF(AE101="",0,AE101),2))</f>
        <v>0</v>
      </c>
      <c r="AI101" s="29">
        <f>IF(H101="","",IF(AG101&lt;&gt;"",AG101,ROUND(U101+V101+Y101+AA101+AC101-AF101,2)))</f>
        <v>0</v>
      </c>
      <c r="AJ101" s="29">
        <f>IF(AI101="","",IF(TaxRegistered&lt;&gt;"Yes",0,IF(PricesIncludeTax="Yes",ROUND(AI101-AI101/(1+TaxRate),2),ROUND(AI101*TaxRate,2))))</f>
        <v>0</v>
      </c>
      <c r="AK101" s="29">
        <f>IF(AI101="","",IF(PricesIncludeTax="Yes",AI101,ROUND(AI101+AJ101,2)))</f>
        <v>0</v>
      </c>
      <c r="AQ101" s="21">
        <f>IF(OR(I101="",AP101="",AP101="None"),"",IF(AP101="Monthly",EDATE(I101,1),I101+IF(AP101="Daily",1,IF(AP101="Weekdays",IF(WEEKDAY(I101,2)&gt;=5,8-WEEKDAY(I101,2),1),IF(AP101="Weekly",7,IF(AP101="Fortnightly",14,0))))))</f>
        <v>0</v>
      </c>
      <c r="AR101" s="49">
        <f>IF(OR(I101="",AL101="",K101="",L101=""),"",IF(SUMPRODUCT((Bookings!$AL$5:$AL$404=AL101)*(Bookings!$I$5:$I$404=I101)*(Bookings!$K$5:$K$404&lt;L101)*(Bookings!$L$5:$L$404&gt;K101)*(Bookings!$AM$5:$AM$404&lt;&gt;"Cancelled"))&gt;1,"Conflict - double booked","OK"))</f>
        <v>0</v>
      </c>
      <c r="AS101" s="50">
        <f>IF(A101="","",IF(COUNTIF('Visit Log'!$B$5:$B$404,A101)&gt;0,"Yes","No"))</f>
        <v>0</v>
      </c>
      <c r="AT101" s="28">
        <f>IF(A101="","",IFERROR(INDEX(Invoices!$A$5:$A$304,MATCH(A101,Invoices!$E$5:$E$304,0)),""))</f>
        <v>0</v>
      </c>
      <c r="AU101" s="49">
        <f>IF(A101="","",IF(AT101="","Not invoiced",IFERROR(INDEX(Invoices!$U$5:$U$304,MATCH(AT101,Invoices!$A$5:$A$304,0)),"")))</f>
        <v>0</v>
      </c>
      <c r="AY101" s="28">
        <f>IF(I101="","",TEXT(I101,"yyyy-mm"))</f>
        <v>0</v>
      </c>
      <c r="AZ101" s="49">
        <f>IF(I101="","",IF(AM101="Cancelled","Cancelled",IF(AND(I101&lt;TODAY(),OR(AM101="Pending",AM101="Confirmed",AM101="Enquiry")),"Overdue - update status",IF(AND(AM101="Completed",AS101="No"),"Action - log the visit",IF(I101=TODAY(),"Today",IF(AND(I101&gt;TODAY(),I101-TODAY()&lt;=ReminderLeadDays,AN101&lt;&gt;"Yes"),"Action - unconfirmed",IF(AND(I101&gt;TODAY(),I101-TODAY()&lt;=ReminderLeadDays),"Upcoming","OK")))))))</f>
        <v>0</v>
      </c>
    </row>
    <row r="102" spans="1:52">
      <c r="A102" s="46">
        <f>IF(C102="","",BookingPrefix&amp;TEXT(ROW()-4,"0000"))</f>
        <v>0</v>
      </c>
      <c r="D102" s="28">
        <f>IF(C102="","",IFERROR(INDEX(Clients!$A$5:$A$254,MATCH(C102,Clients!$B$5:$B$254,0)),""))</f>
        <v>0</v>
      </c>
      <c r="J102" s="50">
        <f>IF(I102="","",TEXT(I102,"ddd"))</f>
        <v>0</v>
      </c>
      <c r="M102" s="51">
        <f>IF(OR(K102="",L102=""),"",ROUND((L102-K102+IF(L102&lt;K102,1,0))*24,2))</f>
        <v>0</v>
      </c>
      <c r="O102" s="28">
        <f>IF(H102="","",IFERROR(INDEX(Services!$E$5:$E$54,MATCH(H102,Services!$B$5:$B$54,0)),""))</f>
        <v>0</v>
      </c>
      <c r="P102" s="29">
        <f>IF(H102="","",IFERROR(INDEX(Services!$G$5:$G$54,MATCH(H102,Services!$B$5:$B$54,0)),0))</f>
        <v>0</v>
      </c>
      <c r="Q102" s="29">
        <f>IF(H102="","",IF(IFERROR(INDEX(Services!$H$5:$H$54,MATCH(H102,Services!$B$5:$B$54,0)),0)=0,ExtraPetFeeDefault,IFERROR(INDEX(Services!$H$5:$H$54,MATCH(H102,Services!$B$5:$B$54,0)),0)))</f>
        <v>0</v>
      </c>
      <c r="R102" s="30">
        <f>IF(H102="","",IF(IFERROR(INDEX(Services!$I$5:$I$54,MATCH(H102,Services!$B$5:$B$54,0)),0)=0,HolidaySurcharge,IFERROR(INDEX(Services!$I$5:$I$54,MATCH(H102,Services!$B$5:$B$54,0)),0)))</f>
        <v>0</v>
      </c>
      <c r="S102" s="30">
        <f>IF(H102="","",IF(IFERROR(INDEX(Services!$J$5:$J$54,MATCH(H102,Services!$B$5:$B$54,0)),0)=0,WeekendSurcharge,IFERROR(INDEX(Services!$J$5:$J$54,MATCH(H102,Services!$B$5:$B$54,0)),0)))</f>
        <v>0</v>
      </c>
      <c r="T102" s="50">
        <f>IF(H102="","",IFERROR(INDEX(Services!$K$5:$K$54,MATCH(H102,Services!$B$5:$B$54,0)),"No"))</f>
        <v>0</v>
      </c>
      <c r="U102" s="29">
        <f>IF(H102="","",ROUND(IF(O102="Per hour",P102*IF(M102="",IF(N102="",1,N102),M102),P102*IF(N102="",1,N102)),2))</f>
        <v>0</v>
      </c>
      <c r="V102" s="29">
        <f>IF(H102="","",ROUND(MAX(0,IF(G102="",1,G102)-1)*Q102,2))</f>
        <v>0</v>
      </c>
      <c r="W102" s="50">
        <f>IF(I102="","",IF(COUNTIF(HolidayDates,I102)&gt;0,"Yes","No"))</f>
        <v>0</v>
      </c>
      <c r="X102" s="50">
        <f>IF(I102="","",IF(WEEKDAY(I102,2)&gt;5,"Yes","No"))</f>
        <v>0</v>
      </c>
      <c r="Y102" s="29">
        <f>IF(H102="","",ROUND((U102+V102)*(IF(W102="Yes",R102,0)+IF(X102="Yes",S102,0)),2))</f>
        <v>0</v>
      </c>
      <c r="AA102" s="29">
        <f>IF(H102="","",IF(T102&lt;&gt;"Yes",0,ROUND(MAX(0,IF(Z102="",0,Z102)-FreeTravelDistance)*TravelFeeRate,2)))</f>
        <v>0</v>
      </c>
      <c r="AB102" s="31">
        <f>IF(I102="","",TravelTimeMins)</f>
        <v>0</v>
      </c>
      <c r="AC102" s="29">
        <f>IF(OR(I102="",B102=""),0,IF(I102-B102&lt;=LastMinuteDays,EmergencyFee,0))</f>
        <v>0</v>
      </c>
      <c r="AF102" s="29">
        <f>IF(H102="","",ROUND((U102+V102+Y102+AA102+AC102)*IF(AE102="",0,AE102),2))</f>
        <v>0</v>
      </c>
      <c r="AI102" s="29">
        <f>IF(H102="","",IF(AG102&lt;&gt;"",AG102,ROUND(U102+V102+Y102+AA102+AC102-AF102,2)))</f>
        <v>0</v>
      </c>
      <c r="AJ102" s="29">
        <f>IF(AI102="","",IF(TaxRegistered&lt;&gt;"Yes",0,IF(PricesIncludeTax="Yes",ROUND(AI102-AI102/(1+TaxRate),2),ROUND(AI102*TaxRate,2))))</f>
        <v>0</v>
      </c>
      <c r="AK102" s="29">
        <f>IF(AI102="","",IF(PricesIncludeTax="Yes",AI102,ROUND(AI102+AJ102,2)))</f>
        <v>0</v>
      </c>
      <c r="AQ102" s="21">
        <f>IF(OR(I102="",AP102="",AP102="None"),"",IF(AP102="Monthly",EDATE(I102,1),I102+IF(AP102="Daily",1,IF(AP102="Weekdays",IF(WEEKDAY(I102,2)&gt;=5,8-WEEKDAY(I102,2),1),IF(AP102="Weekly",7,IF(AP102="Fortnightly",14,0))))))</f>
        <v>0</v>
      </c>
      <c r="AR102" s="49">
        <f>IF(OR(I102="",AL102="",K102="",L102=""),"",IF(SUMPRODUCT((Bookings!$AL$5:$AL$404=AL102)*(Bookings!$I$5:$I$404=I102)*(Bookings!$K$5:$K$404&lt;L102)*(Bookings!$L$5:$L$404&gt;K102)*(Bookings!$AM$5:$AM$404&lt;&gt;"Cancelled"))&gt;1,"Conflict - double booked","OK"))</f>
        <v>0</v>
      </c>
      <c r="AS102" s="50">
        <f>IF(A102="","",IF(COUNTIF('Visit Log'!$B$5:$B$404,A102)&gt;0,"Yes","No"))</f>
        <v>0</v>
      </c>
      <c r="AT102" s="28">
        <f>IF(A102="","",IFERROR(INDEX(Invoices!$A$5:$A$304,MATCH(A102,Invoices!$E$5:$E$304,0)),""))</f>
        <v>0</v>
      </c>
      <c r="AU102" s="49">
        <f>IF(A102="","",IF(AT102="","Not invoiced",IFERROR(INDEX(Invoices!$U$5:$U$304,MATCH(AT102,Invoices!$A$5:$A$304,0)),"")))</f>
        <v>0</v>
      </c>
      <c r="AY102" s="28">
        <f>IF(I102="","",TEXT(I102,"yyyy-mm"))</f>
        <v>0</v>
      </c>
      <c r="AZ102" s="49">
        <f>IF(I102="","",IF(AM102="Cancelled","Cancelled",IF(AND(I102&lt;TODAY(),OR(AM102="Pending",AM102="Confirmed",AM102="Enquiry")),"Overdue - update status",IF(AND(AM102="Completed",AS102="No"),"Action - log the visit",IF(I102=TODAY(),"Today",IF(AND(I102&gt;TODAY(),I102-TODAY()&lt;=ReminderLeadDays,AN102&lt;&gt;"Yes"),"Action - unconfirmed",IF(AND(I102&gt;TODAY(),I102-TODAY()&lt;=ReminderLeadDays),"Upcoming","OK")))))))</f>
        <v>0</v>
      </c>
    </row>
    <row r="103" spans="1:52">
      <c r="A103" s="46">
        <f>IF(C103="","",BookingPrefix&amp;TEXT(ROW()-4,"0000"))</f>
        <v>0</v>
      </c>
      <c r="D103" s="28">
        <f>IF(C103="","",IFERROR(INDEX(Clients!$A$5:$A$254,MATCH(C103,Clients!$B$5:$B$254,0)),""))</f>
        <v>0</v>
      </c>
      <c r="J103" s="50">
        <f>IF(I103="","",TEXT(I103,"ddd"))</f>
        <v>0</v>
      </c>
      <c r="M103" s="51">
        <f>IF(OR(K103="",L103=""),"",ROUND((L103-K103+IF(L103&lt;K103,1,0))*24,2))</f>
        <v>0</v>
      </c>
      <c r="O103" s="28">
        <f>IF(H103="","",IFERROR(INDEX(Services!$E$5:$E$54,MATCH(H103,Services!$B$5:$B$54,0)),""))</f>
        <v>0</v>
      </c>
      <c r="P103" s="29">
        <f>IF(H103="","",IFERROR(INDEX(Services!$G$5:$G$54,MATCH(H103,Services!$B$5:$B$54,0)),0))</f>
        <v>0</v>
      </c>
      <c r="Q103" s="29">
        <f>IF(H103="","",IF(IFERROR(INDEX(Services!$H$5:$H$54,MATCH(H103,Services!$B$5:$B$54,0)),0)=0,ExtraPetFeeDefault,IFERROR(INDEX(Services!$H$5:$H$54,MATCH(H103,Services!$B$5:$B$54,0)),0)))</f>
        <v>0</v>
      </c>
      <c r="R103" s="30">
        <f>IF(H103="","",IF(IFERROR(INDEX(Services!$I$5:$I$54,MATCH(H103,Services!$B$5:$B$54,0)),0)=0,HolidaySurcharge,IFERROR(INDEX(Services!$I$5:$I$54,MATCH(H103,Services!$B$5:$B$54,0)),0)))</f>
        <v>0</v>
      </c>
      <c r="S103" s="30">
        <f>IF(H103="","",IF(IFERROR(INDEX(Services!$J$5:$J$54,MATCH(H103,Services!$B$5:$B$54,0)),0)=0,WeekendSurcharge,IFERROR(INDEX(Services!$J$5:$J$54,MATCH(H103,Services!$B$5:$B$54,0)),0)))</f>
        <v>0</v>
      </c>
      <c r="T103" s="50">
        <f>IF(H103="","",IFERROR(INDEX(Services!$K$5:$K$54,MATCH(H103,Services!$B$5:$B$54,0)),"No"))</f>
        <v>0</v>
      </c>
      <c r="U103" s="29">
        <f>IF(H103="","",ROUND(IF(O103="Per hour",P103*IF(M103="",IF(N103="",1,N103),M103),P103*IF(N103="",1,N103)),2))</f>
        <v>0</v>
      </c>
      <c r="V103" s="29">
        <f>IF(H103="","",ROUND(MAX(0,IF(G103="",1,G103)-1)*Q103,2))</f>
        <v>0</v>
      </c>
      <c r="W103" s="50">
        <f>IF(I103="","",IF(COUNTIF(HolidayDates,I103)&gt;0,"Yes","No"))</f>
        <v>0</v>
      </c>
      <c r="X103" s="50">
        <f>IF(I103="","",IF(WEEKDAY(I103,2)&gt;5,"Yes","No"))</f>
        <v>0</v>
      </c>
      <c r="Y103" s="29">
        <f>IF(H103="","",ROUND((U103+V103)*(IF(W103="Yes",R103,0)+IF(X103="Yes",S103,0)),2))</f>
        <v>0</v>
      </c>
      <c r="AA103" s="29">
        <f>IF(H103="","",IF(T103&lt;&gt;"Yes",0,ROUND(MAX(0,IF(Z103="",0,Z103)-FreeTravelDistance)*TravelFeeRate,2)))</f>
        <v>0</v>
      </c>
      <c r="AB103" s="31">
        <f>IF(I103="","",TravelTimeMins)</f>
        <v>0</v>
      </c>
      <c r="AC103" s="29">
        <f>IF(OR(I103="",B103=""),0,IF(I103-B103&lt;=LastMinuteDays,EmergencyFee,0))</f>
        <v>0</v>
      </c>
      <c r="AF103" s="29">
        <f>IF(H103="","",ROUND((U103+V103+Y103+AA103+AC103)*IF(AE103="",0,AE103),2))</f>
        <v>0</v>
      </c>
      <c r="AI103" s="29">
        <f>IF(H103="","",IF(AG103&lt;&gt;"",AG103,ROUND(U103+V103+Y103+AA103+AC103-AF103,2)))</f>
        <v>0</v>
      </c>
      <c r="AJ103" s="29">
        <f>IF(AI103="","",IF(TaxRegistered&lt;&gt;"Yes",0,IF(PricesIncludeTax="Yes",ROUND(AI103-AI103/(1+TaxRate),2),ROUND(AI103*TaxRate,2))))</f>
        <v>0</v>
      </c>
      <c r="AK103" s="29">
        <f>IF(AI103="","",IF(PricesIncludeTax="Yes",AI103,ROUND(AI103+AJ103,2)))</f>
        <v>0</v>
      </c>
      <c r="AQ103" s="21">
        <f>IF(OR(I103="",AP103="",AP103="None"),"",IF(AP103="Monthly",EDATE(I103,1),I103+IF(AP103="Daily",1,IF(AP103="Weekdays",IF(WEEKDAY(I103,2)&gt;=5,8-WEEKDAY(I103,2),1),IF(AP103="Weekly",7,IF(AP103="Fortnightly",14,0))))))</f>
        <v>0</v>
      </c>
      <c r="AR103" s="49">
        <f>IF(OR(I103="",AL103="",K103="",L103=""),"",IF(SUMPRODUCT((Bookings!$AL$5:$AL$404=AL103)*(Bookings!$I$5:$I$404=I103)*(Bookings!$K$5:$K$404&lt;L103)*(Bookings!$L$5:$L$404&gt;K103)*(Bookings!$AM$5:$AM$404&lt;&gt;"Cancelled"))&gt;1,"Conflict - double booked","OK"))</f>
        <v>0</v>
      </c>
      <c r="AS103" s="50">
        <f>IF(A103="","",IF(COUNTIF('Visit Log'!$B$5:$B$404,A103)&gt;0,"Yes","No"))</f>
        <v>0</v>
      </c>
      <c r="AT103" s="28">
        <f>IF(A103="","",IFERROR(INDEX(Invoices!$A$5:$A$304,MATCH(A103,Invoices!$E$5:$E$304,0)),""))</f>
        <v>0</v>
      </c>
      <c r="AU103" s="49">
        <f>IF(A103="","",IF(AT103="","Not invoiced",IFERROR(INDEX(Invoices!$U$5:$U$304,MATCH(AT103,Invoices!$A$5:$A$304,0)),"")))</f>
        <v>0</v>
      </c>
      <c r="AY103" s="28">
        <f>IF(I103="","",TEXT(I103,"yyyy-mm"))</f>
        <v>0</v>
      </c>
      <c r="AZ103" s="49">
        <f>IF(I103="","",IF(AM103="Cancelled","Cancelled",IF(AND(I103&lt;TODAY(),OR(AM103="Pending",AM103="Confirmed",AM103="Enquiry")),"Overdue - update status",IF(AND(AM103="Completed",AS103="No"),"Action - log the visit",IF(I103=TODAY(),"Today",IF(AND(I103&gt;TODAY(),I103-TODAY()&lt;=ReminderLeadDays,AN103&lt;&gt;"Yes"),"Action - unconfirmed",IF(AND(I103&gt;TODAY(),I103-TODAY()&lt;=ReminderLeadDays),"Upcoming","OK")))))))</f>
        <v>0</v>
      </c>
    </row>
    <row r="104" spans="1:52">
      <c r="A104" s="46">
        <f>IF(C104="","",BookingPrefix&amp;TEXT(ROW()-4,"0000"))</f>
        <v>0</v>
      </c>
      <c r="D104" s="28">
        <f>IF(C104="","",IFERROR(INDEX(Clients!$A$5:$A$254,MATCH(C104,Clients!$B$5:$B$254,0)),""))</f>
        <v>0</v>
      </c>
      <c r="J104" s="50">
        <f>IF(I104="","",TEXT(I104,"ddd"))</f>
        <v>0</v>
      </c>
      <c r="M104" s="51">
        <f>IF(OR(K104="",L104=""),"",ROUND((L104-K104+IF(L104&lt;K104,1,0))*24,2))</f>
        <v>0</v>
      </c>
      <c r="O104" s="28">
        <f>IF(H104="","",IFERROR(INDEX(Services!$E$5:$E$54,MATCH(H104,Services!$B$5:$B$54,0)),""))</f>
        <v>0</v>
      </c>
      <c r="P104" s="29">
        <f>IF(H104="","",IFERROR(INDEX(Services!$G$5:$G$54,MATCH(H104,Services!$B$5:$B$54,0)),0))</f>
        <v>0</v>
      </c>
      <c r="Q104" s="29">
        <f>IF(H104="","",IF(IFERROR(INDEX(Services!$H$5:$H$54,MATCH(H104,Services!$B$5:$B$54,0)),0)=0,ExtraPetFeeDefault,IFERROR(INDEX(Services!$H$5:$H$54,MATCH(H104,Services!$B$5:$B$54,0)),0)))</f>
        <v>0</v>
      </c>
      <c r="R104" s="30">
        <f>IF(H104="","",IF(IFERROR(INDEX(Services!$I$5:$I$54,MATCH(H104,Services!$B$5:$B$54,0)),0)=0,HolidaySurcharge,IFERROR(INDEX(Services!$I$5:$I$54,MATCH(H104,Services!$B$5:$B$54,0)),0)))</f>
        <v>0</v>
      </c>
      <c r="S104" s="30">
        <f>IF(H104="","",IF(IFERROR(INDEX(Services!$J$5:$J$54,MATCH(H104,Services!$B$5:$B$54,0)),0)=0,WeekendSurcharge,IFERROR(INDEX(Services!$J$5:$J$54,MATCH(H104,Services!$B$5:$B$54,0)),0)))</f>
        <v>0</v>
      </c>
      <c r="T104" s="50">
        <f>IF(H104="","",IFERROR(INDEX(Services!$K$5:$K$54,MATCH(H104,Services!$B$5:$B$54,0)),"No"))</f>
        <v>0</v>
      </c>
      <c r="U104" s="29">
        <f>IF(H104="","",ROUND(IF(O104="Per hour",P104*IF(M104="",IF(N104="",1,N104),M104),P104*IF(N104="",1,N104)),2))</f>
        <v>0</v>
      </c>
      <c r="V104" s="29">
        <f>IF(H104="","",ROUND(MAX(0,IF(G104="",1,G104)-1)*Q104,2))</f>
        <v>0</v>
      </c>
      <c r="W104" s="50">
        <f>IF(I104="","",IF(COUNTIF(HolidayDates,I104)&gt;0,"Yes","No"))</f>
        <v>0</v>
      </c>
      <c r="X104" s="50">
        <f>IF(I104="","",IF(WEEKDAY(I104,2)&gt;5,"Yes","No"))</f>
        <v>0</v>
      </c>
      <c r="Y104" s="29">
        <f>IF(H104="","",ROUND((U104+V104)*(IF(W104="Yes",R104,0)+IF(X104="Yes",S104,0)),2))</f>
        <v>0</v>
      </c>
      <c r="AA104" s="29">
        <f>IF(H104="","",IF(T104&lt;&gt;"Yes",0,ROUND(MAX(0,IF(Z104="",0,Z104)-FreeTravelDistance)*TravelFeeRate,2)))</f>
        <v>0</v>
      </c>
      <c r="AB104" s="31">
        <f>IF(I104="","",TravelTimeMins)</f>
        <v>0</v>
      </c>
      <c r="AC104" s="29">
        <f>IF(OR(I104="",B104=""),0,IF(I104-B104&lt;=LastMinuteDays,EmergencyFee,0))</f>
        <v>0</v>
      </c>
      <c r="AF104" s="29">
        <f>IF(H104="","",ROUND((U104+V104+Y104+AA104+AC104)*IF(AE104="",0,AE104),2))</f>
        <v>0</v>
      </c>
      <c r="AI104" s="29">
        <f>IF(H104="","",IF(AG104&lt;&gt;"",AG104,ROUND(U104+V104+Y104+AA104+AC104-AF104,2)))</f>
        <v>0</v>
      </c>
      <c r="AJ104" s="29">
        <f>IF(AI104="","",IF(TaxRegistered&lt;&gt;"Yes",0,IF(PricesIncludeTax="Yes",ROUND(AI104-AI104/(1+TaxRate),2),ROUND(AI104*TaxRate,2))))</f>
        <v>0</v>
      </c>
      <c r="AK104" s="29">
        <f>IF(AI104="","",IF(PricesIncludeTax="Yes",AI104,ROUND(AI104+AJ104,2)))</f>
        <v>0</v>
      </c>
      <c r="AQ104" s="21">
        <f>IF(OR(I104="",AP104="",AP104="None"),"",IF(AP104="Monthly",EDATE(I104,1),I104+IF(AP104="Daily",1,IF(AP104="Weekdays",IF(WEEKDAY(I104,2)&gt;=5,8-WEEKDAY(I104,2),1),IF(AP104="Weekly",7,IF(AP104="Fortnightly",14,0))))))</f>
        <v>0</v>
      </c>
      <c r="AR104" s="49">
        <f>IF(OR(I104="",AL104="",K104="",L104=""),"",IF(SUMPRODUCT((Bookings!$AL$5:$AL$404=AL104)*(Bookings!$I$5:$I$404=I104)*(Bookings!$K$5:$K$404&lt;L104)*(Bookings!$L$5:$L$404&gt;K104)*(Bookings!$AM$5:$AM$404&lt;&gt;"Cancelled"))&gt;1,"Conflict - double booked","OK"))</f>
        <v>0</v>
      </c>
      <c r="AS104" s="50">
        <f>IF(A104="","",IF(COUNTIF('Visit Log'!$B$5:$B$404,A104)&gt;0,"Yes","No"))</f>
        <v>0</v>
      </c>
      <c r="AT104" s="28">
        <f>IF(A104="","",IFERROR(INDEX(Invoices!$A$5:$A$304,MATCH(A104,Invoices!$E$5:$E$304,0)),""))</f>
        <v>0</v>
      </c>
      <c r="AU104" s="49">
        <f>IF(A104="","",IF(AT104="","Not invoiced",IFERROR(INDEX(Invoices!$U$5:$U$304,MATCH(AT104,Invoices!$A$5:$A$304,0)),"")))</f>
        <v>0</v>
      </c>
      <c r="AY104" s="28">
        <f>IF(I104="","",TEXT(I104,"yyyy-mm"))</f>
        <v>0</v>
      </c>
      <c r="AZ104" s="49">
        <f>IF(I104="","",IF(AM104="Cancelled","Cancelled",IF(AND(I104&lt;TODAY(),OR(AM104="Pending",AM104="Confirmed",AM104="Enquiry")),"Overdue - update status",IF(AND(AM104="Completed",AS104="No"),"Action - log the visit",IF(I104=TODAY(),"Today",IF(AND(I104&gt;TODAY(),I104-TODAY()&lt;=ReminderLeadDays,AN104&lt;&gt;"Yes"),"Action - unconfirmed",IF(AND(I104&gt;TODAY(),I104-TODAY()&lt;=ReminderLeadDays),"Upcoming","OK")))))))</f>
        <v>0</v>
      </c>
    </row>
    <row r="105" spans="1:52">
      <c r="A105" s="46">
        <f>IF(C105="","",BookingPrefix&amp;TEXT(ROW()-4,"0000"))</f>
        <v>0</v>
      </c>
      <c r="D105" s="28">
        <f>IF(C105="","",IFERROR(INDEX(Clients!$A$5:$A$254,MATCH(C105,Clients!$B$5:$B$254,0)),""))</f>
        <v>0</v>
      </c>
      <c r="J105" s="50">
        <f>IF(I105="","",TEXT(I105,"ddd"))</f>
        <v>0</v>
      </c>
      <c r="M105" s="51">
        <f>IF(OR(K105="",L105=""),"",ROUND((L105-K105+IF(L105&lt;K105,1,0))*24,2))</f>
        <v>0</v>
      </c>
      <c r="O105" s="28">
        <f>IF(H105="","",IFERROR(INDEX(Services!$E$5:$E$54,MATCH(H105,Services!$B$5:$B$54,0)),""))</f>
        <v>0</v>
      </c>
      <c r="P105" s="29">
        <f>IF(H105="","",IFERROR(INDEX(Services!$G$5:$G$54,MATCH(H105,Services!$B$5:$B$54,0)),0))</f>
        <v>0</v>
      </c>
      <c r="Q105" s="29">
        <f>IF(H105="","",IF(IFERROR(INDEX(Services!$H$5:$H$54,MATCH(H105,Services!$B$5:$B$54,0)),0)=0,ExtraPetFeeDefault,IFERROR(INDEX(Services!$H$5:$H$54,MATCH(H105,Services!$B$5:$B$54,0)),0)))</f>
        <v>0</v>
      </c>
      <c r="R105" s="30">
        <f>IF(H105="","",IF(IFERROR(INDEX(Services!$I$5:$I$54,MATCH(H105,Services!$B$5:$B$54,0)),0)=0,HolidaySurcharge,IFERROR(INDEX(Services!$I$5:$I$54,MATCH(H105,Services!$B$5:$B$54,0)),0)))</f>
        <v>0</v>
      </c>
      <c r="S105" s="30">
        <f>IF(H105="","",IF(IFERROR(INDEX(Services!$J$5:$J$54,MATCH(H105,Services!$B$5:$B$54,0)),0)=0,WeekendSurcharge,IFERROR(INDEX(Services!$J$5:$J$54,MATCH(H105,Services!$B$5:$B$54,0)),0)))</f>
        <v>0</v>
      </c>
      <c r="T105" s="50">
        <f>IF(H105="","",IFERROR(INDEX(Services!$K$5:$K$54,MATCH(H105,Services!$B$5:$B$54,0)),"No"))</f>
        <v>0</v>
      </c>
      <c r="U105" s="29">
        <f>IF(H105="","",ROUND(IF(O105="Per hour",P105*IF(M105="",IF(N105="",1,N105),M105),P105*IF(N105="",1,N105)),2))</f>
        <v>0</v>
      </c>
      <c r="V105" s="29">
        <f>IF(H105="","",ROUND(MAX(0,IF(G105="",1,G105)-1)*Q105,2))</f>
        <v>0</v>
      </c>
      <c r="W105" s="50">
        <f>IF(I105="","",IF(COUNTIF(HolidayDates,I105)&gt;0,"Yes","No"))</f>
        <v>0</v>
      </c>
      <c r="X105" s="50">
        <f>IF(I105="","",IF(WEEKDAY(I105,2)&gt;5,"Yes","No"))</f>
        <v>0</v>
      </c>
      <c r="Y105" s="29">
        <f>IF(H105="","",ROUND((U105+V105)*(IF(W105="Yes",R105,0)+IF(X105="Yes",S105,0)),2))</f>
        <v>0</v>
      </c>
      <c r="AA105" s="29">
        <f>IF(H105="","",IF(T105&lt;&gt;"Yes",0,ROUND(MAX(0,IF(Z105="",0,Z105)-FreeTravelDistance)*TravelFeeRate,2)))</f>
        <v>0</v>
      </c>
      <c r="AB105" s="31">
        <f>IF(I105="","",TravelTimeMins)</f>
        <v>0</v>
      </c>
      <c r="AC105" s="29">
        <f>IF(OR(I105="",B105=""),0,IF(I105-B105&lt;=LastMinuteDays,EmergencyFee,0))</f>
        <v>0</v>
      </c>
      <c r="AF105" s="29">
        <f>IF(H105="","",ROUND((U105+V105+Y105+AA105+AC105)*IF(AE105="",0,AE105),2))</f>
        <v>0</v>
      </c>
      <c r="AI105" s="29">
        <f>IF(H105="","",IF(AG105&lt;&gt;"",AG105,ROUND(U105+V105+Y105+AA105+AC105-AF105,2)))</f>
        <v>0</v>
      </c>
      <c r="AJ105" s="29">
        <f>IF(AI105="","",IF(TaxRegistered&lt;&gt;"Yes",0,IF(PricesIncludeTax="Yes",ROUND(AI105-AI105/(1+TaxRate),2),ROUND(AI105*TaxRate,2))))</f>
        <v>0</v>
      </c>
      <c r="AK105" s="29">
        <f>IF(AI105="","",IF(PricesIncludeTax="Yes",AI105,ROUND(AI105+AJ105,2)))</f>
        <v>0</v>
      </c>
      <c r="AQ105" s="21">
        <f>IF(OR(I105="",AP105="",AP105="None"),"",IF(AP105="Monthly",EDATE(I105,1),I105+IF(AP105="Daily",1,IF(AP105="Weekdays",IF(WEEKDAY(I105,2)&gt;=5,8-WEEKDAY(I105,2),1),IF(AP105="Weekly",7,IF(AP105="Fortnightly",14,0))))))</f>
        <v>0</v>
      </c>
      <c r="AR105" s="49">
        <f>IF(OR(I105="",AL105="",K105="",L105=""),"",IF(SUMPRODUCT((Bookings!$AL$5:$AL$404=AL105)*(Bookings!$I$5:$I$404=I105)*(Bookings!$K$5:$K$404&lt;L105)*(Bookings!$L$5:$L$404&gt;K105)*(Bookings!$AM$5:$AM$404&lt;&gt;"Cancelled"))&gt;1,"Conflict - double booked","OK"))</f>
        <v>0</v>
      </c>
      <c r="AS105" s="50">
        <f>IF(A105="","",IF(COUNTIF('Visit Log'!$B$5:$B$404,A105)&gt;0,"Yes","No"))</f>
        <v>0</v>
      </c>
      <c r="AT105" s="28">
        <f>IF(A105="","",IFERROR(INDEX(Invoices!$A$5:$A$304,MATCH(A105,Invoices!$E$5:$E$304,0)),""))</f>
        <v>0</v>
      </c>
      <c r="AU105" s="49">
        <f>IF(A105="","",IF(AT105="","Not invoiced",IFERROR(INDEX(Invoices!$U$5:$U$304,MATCH(AT105,Invoices!$A$5:$A$304,0)),"")))</f>
        <v>0</v>
      </c>
      <c r="AY105" s="28">
        <f>IF(I105="","",TEXT(I105,"yyyy-mm"))</f>
        <v>0</v>
      </c>
      <c r="AZ105" s="49">
        <f>IF(I105="","",IF(AM105="Cancelled","Cancelled",IF(AND(I105&lt;TODAY(),OR(AM105="Pending",AM105="Confirmed",AM105="Enquiry")),"Overdue - update status",IF(AND(AM105="Completed",AS105="No"),"Action - log the visit",IF(I105=TODAY(),"Today",IF(AND(I105&gt;TODAY(),I105-TODAY()&lt;=ReminderLeadDays,AN105&lt;&gt;"Yes"),"Action - unconfirmed",IF(AND(I105&gt;TODAY(),I105-TODAY()&lt;=ReminderLeadDays),"Upcoming","OK")))))))</f>
        <v>0</v>
      </c>
    </row>
    <row r="106" spans="1:52">
      <c r="A106" s="46">
        <f>IF(C106="","",BookingPrefix&amp;TEXT(ROW()-4,"0000"))</f>
        <v>0</v>
      </c>
      <c r="D106" s="28">
        <f>IF(C106="","",IFERROR(INDEX(Clients!$A$5:$A$254,MATCH(C106,Clients!$B$5:$B$254,0)),""))</f>
        <v>0</v>
      </c>
      <c r="J106" s="50">
        <f>IF(I106="","",TEXT(I106,"ddd"))</f>
        <v>0</v>
      </c>
      <c r="M106" s="51">
        <f>IF(OR(K106="",L106=""),"",ROUND((L106-K106+IF(L106&lt;K106,1,0))*24,2))</f>
        <v>0</v>
      </c>
      <c r="O106" s="28">
        <f>IF(H106="","",IFERROR(INDEX(Services!$E$5:$E$54,MATCH(H106,Services!$B$5:$B$54,0)),""))</f>
        <v>0</v>
      </c>
      <c r="P106" s="29">
        <f>IF(H106="","",IFERROR(INDEX(Services!$G$5:$G$54,MATCH(H106,Services!$B$5:$B$54,0)),0))</f>
        <v>0</v>
      </c>
      <c r="Q106" s="29">
        <f>IF(H106="","",IF(IFERROR(INDEX(Services!$H$5:$H$54,MATCH(H106,Services!$B$5:$B$54,0)),0)=0,ExtraPetFeeDefault,IFERROR(INDEX(Services!$H$5:$H$54,MATCH(H106,Services!$B$5:$B$54,0)),0)))</f>
        <v>0</v>
      </c>
      <c r="R106" s="30">
        <f>IF(H106="","",IF(IFERROR(INDEX(Services!$I$5:$I$54,MATCH(H106,Services!$B$5:$B$54,0)),0)=0,HolidaySurcharge,IFERROR(INDEX(Services!$I$5:$I$54,MATCH(H106,Services!$B$5:$B$54,0)),0)))</f>
        <v>0</v>
      </c>
      <c r="S106" s="30">
        <f>IF(H106="","",IF(IFERROR(INDEX(Services!$J$5:$J$54,MATCH(H106,Services!$B$5:$B$54,0)),0)=0,WeekendSurcharge,IFERROR(INDEX(Services!$J$5:$J$54,MATCH(H106,Services!$B$5:$B$54,0)),0)))</f>
        <v>0</v>
      </c>
      <c r="T106" s="50">
        <f>IF(H106="","",IFERROR(INDEX(Services!$K$5:$K$54,MATCH(H106,Services!$B$5:$B$54,0)),"No"))</f>
        <v>0</v>
      </c>
      <c r="U106" s="29">
        <f>IF(H106="","",ROUND(IF(O106="Per hour",P106*IF(M106="",IF(N106="",1,N106),M106),P106*IF(N106="",1,N106)),2))</f>
        <v>0</v>
      </c>
      <c r="V106" s="29">
        <f>IF(H106="","",ROUND(MAX(0,IF(G106="",1,G106)-1)*Q106,2))</f>
        <v>0</v>
      </c>
      <c r="W106" s="50">
        <f>IF(I106="","",IF(COUNTIF(HolidayDates,I106)&gt;0,"Yes","No"))</f>
        <v>0</v>
      </c>
      <c r="X106" s="50">
        <f>IF(I106="","",IF(WEEKDAY(I106,2)&gt;5,"Yes","No"))</f>
        <v>0</v>
      </c>
      <c r="Y106" s="29">
        <f>IF(H106="","",ROUND((U106+V106)*(IF(W106="Yes",R106,0)+IF(X106="Yes",S106,0)),2))</f>
        <v>0</v>
      </c>
      <c r="AA106" s="29">
        <f>IF(H106="","",IF(T106&lt;&gt;"Yes",0,ROUND(MAX(0,IF(Z106="",0,Z106)-FreeTravelDistance)*TravelFeeRate,2)))</f>
        <v>0</v>
      </c>
      <c r="AB106" s="31">
        <f>IF(I106="","",TravelTimeMins)</f>
        <v>0</v>
      </c>
      <c r="AC106" s="29">
        <f>IF(OR(I106="",B106=""),0,IF(I106-B106&lt;=LastMinuteDays,EmergencyFee,0))</f>
        <v>0</v>
      </c>
      <c r="AF106" s="29">
        <f>IF(H106="","",ROUND((U106+V106+Y106+AA106+AC106)*IF(AE106="",0,AE106),2))</f>
        <v>0</v>
      </c>
      <c r="AI106" s="29">
        <f>IF(H106="","",IF(AG106&lt;&gt;"",AG106,ROUND(U106+V106+Y106+AA106+AC106-AF106,2)))</f>
        <v>0</v>
      </c>
      <c r="AJ106" s="29">
        <f>IF(AI106="","",IF(TaxRegistered&lt;&gt;"Yes",0,IF(PricesIncludeTax="Yes",ROUND(AI106-AI106/(1+TaxRate),2),ROUND(AI106*TaxRate,2))))</f>
        <v>0</v>
      </c>
      <c r="AK106" s="29">
        <f>IF(AI106="","",IF(PricesIncludeTax="Yes",AI106,ROUND(AI106+AJ106,2)))</f>
        <v>0</v>
      </c>
      <c r="AQ106" s="21">
        <f>IF(OR(I106="",AP106="",AP106="None"),"",IF(AP106="Monthly",EDATE(I106,1),I106+IF(AP106="Daily",1,IF(AP106="Weekdays",IF(WEEKDAY(I106,2)&gt;=5,8-WEEKDAY(I106,2),1),IF(AP106="Weekly",7,IF(AP106="Fortnightly",14,0))))))</f>
        <v>0</v>
      </c>
      <c r="AR106" s="49">
        <f>IF(OR(I106="",AL106="",K106="",L106=""),"",IF(SUMPRODUCT((Bookings!$AL$5:$AL$404=AL106)*(Bookings!$I$5:$I$404=I106)*(Bookings!$K$5:$K$404&lt;L106)*(Bookings!$L$5:$L$404&gt;K106)*(Bookings!$AM$5:$AM$404&lt;&gt;"Cancelled"))&gt;1,"Conflict - double booked","OK"))</f>
        <v>0</v>
      </c>
      <c r="AS106" s="50">
        <f>IF(A106="","",IF(COUNTIF('Visit Log'!$B$5:$B$404,A106)&gt;0,"Yes","No"))</f>
        <v>0</v>
      </c>
      <c r="AT106" s="28">
        <f>IF(A106="","",IFERROR(INDEX(Invoices!$A$5:$A$304,MATCH(A106,Invoices!$E$5:$E$304,0)),""))</f>
        <v>0</v>
      </c>
      <c r="AU106" s="49">
        <f>IF(A106="","",IF(AT106="","Not invoiced",IFERROR(INDEX(Invoices!$U$5:$U$304,MATCH(AT106,Invoices!$A$5:$A$304,0)),"")))</f>
        <v>0</v>
      </c>
      <c r="AY106" s="28">
        <f>IF(I106="","",TEXT(I106,"yyyy-mm"))</f>
        <v>0</v>
      </c>
      <c r="AZ106" s="49">
        <f>IF(I106="","",IF(AM106="Cancelled","Cancelled",IF(AND(I106&lt;TODAY(),OR(AM106="Pending",AM106="Confirmed",AM106="Enquiry")),"Overdue - update status",IF(AND(AM106="Completed",AS106="No"),"Action - log the visit",IF(I106=TODAY(),"Today",IF(AND(I106&gt;TODAY(),I106-TODAY()&lt;=ReminderLeadDays,AN106&lt;&gt;"Yes"),"Action - unconfirmed",IF(AND(I106&gt;TODAY(),I106-TODAY()&lt;=ReminderLeadDays),"Upcoming","OK")))))))</f>
        <v>0</v>
      </c>
    </row>
    <row r="107" spans="1:52">
      <c r="A107" s="46">
        <f>IF(C107="","",BookingPrefix&amp;TEXT(ROW()-4,"0000"))</f>
        <v>0</v>
      </c>
      <c r="D107" s="28">
        <f>IF(C107="","",IFERROR(INDEX(Clients!$A$5:$A$254,MATCH(C107,Clients!$B$5:$B$254,0)),""))</f>
        <v>0</v>
      </c>
      <c r="J107" s="50">
        <f>IF(I107="","",TEXT(I107,"ddd"))</f>
        <v>0</v>
      </c>
      <c r="M107" s="51">
        <f>IF(OR(K107="",L107=""),"",ROUND((L107-K107+IF(L107&lt;K107,1,0))*24,2))</f>
        <v>0</v>
      </c>
      <c r="O107" s="28">
        <f>IF(H107="","",IFERROR(INDEX(Services!$E$5:$E$54,MATCH(H107,Services!$B$5:$B$54,0)),""))</f>
        <v>0</v>
      </c>
      <c r="P107" s="29">
        <f>IF(H107="","",IFERROR(INDEX(Services!$G$5:$G$54,MATCH(H107,Services!$B$5:$B$54,0)),0))</f>
        <v>0</v>
      </c>
      <c r="Q107" s="29">
        <f>IF(H107="","",IF(IFERROR(INDEX(Services!$H$5:$H$54,MATCH(H107,Services!$B$5:$B$54,0)),0)=0,ExtraPetFeeDefault,IFERROR(INDEX(Services!$H$5:$H$54,MATCH(H107,Services!$B$5:$B$54,0)),0)))</f>
        <v>0</v>
      </c>
      <c r="R107" s="30">
        <f>IF(H107="","",IF(IFERROR(INDEX(Services!$I$5:$I$54,MATCH(H107,Services!$B$5:$B$54,0)),0)=0,HolidaySurcharge,IFERROR(INDEX(Services!$I$5:$I$54,MATCH(H107,Services!$B$5:$B$54,0)),0)))</f>
        <v>0</v>
      </c>
      <c r="S107" s="30">
        <f>IF(H107="","",IF(IFERROR(INDEX(Services!$J$5:$J$54,MATCH(H107,Services!$B$5:$B$54,0)),0)=0,WeekendSurcharge,IFERROR(INDEX(Services!$J$5:$J$54,MATCH(H107,Services!$B$5:$B$54,0)),0)))</f>
        <v>0</v>
      </c>
      <c r="T107" s="50">
        <f>IF(H107="","",IFERROR(INDEX(Services!$K$5:$K$54,MATCH(H107,Services!$B$5:$B$54,0)),"No"))</f>
        <v>0</v>
      </c>
      <c r="U107" s="29">
        <f>IF(H107="","",ROUND(IF(O107="Per hour",P107*IF(M107="",IF(N107="",1,N107),M107),P107*IF(N107="",1,N107)),2))</f>
        <v>0</v>
      </c>
      <c r="V107" s="29">
        <f>IF(H107="","",ROUND(MAX(0,IF(G107="",1,G107)-1)*Q107,2))</f>
        <v>0</v>
      </c>
      <c r="W107" s="50">
        <f>IF(I107="","",IF(COUNTIF(HolidayDates,I107)&gt;0,"Yes","No"))</f>
        <v>0</v>
      </c>
      <c r="X107" s="50">
        <f>IF(I107="","",IF(WEEKDAY(I107,2)&gt;5,"Yes","No"))</f>
        <v>0</v>
      </c>
      <c r="Y107" s="29">
        <f>IF(H107="","",ROUND((U107+V107)*(IF(W107="Yes",R107,0)+IF(X107="Yes",S107,0)),2))</f>
        <v>0</v>
      </c>
      <c r="AA107" s="29">
        <f>IF(H107="","",IF(T107&lt;&gt;"Yes",0,ROUND(MAX(0,IF(Z107="",0,Z107)-FreeTravelDistance)*TravelFeeRate,2)))</f>
        <v>0</v>
      </c>
      <c r="AB107" s="31">
        <f>IF(I107="","",TravelTimeMins)</f>
        <v>0</v>
      </c>
      <c r="AC107" s="29">
        <f>IF(OR(I107="",B107=""),0,IF(I107-B107&lt;=LastMinuteDays,EmergencyFee,0))</f>
        <v>0</v>
      </c>
      <c r="AF107" s="29">
        <f>IF(H107="","",ROUND((U107+V107+Y107+AA107+AC107)*IF(AE107="",0,AE107),2))</f>
        <v>0</v>
      </c>
      <c r="AI107" s="29">
        <f>IF(H107="","",IF(AG107&lt;&gt;"",AG107,ROUND(U107+V107+Y107+AA107+AC107-AF107,2)))</f>
        <v>0</v>
      </c>
      <c r="AJ107" s="29">
        <f>IF(AI107="","",IF(TaxRegistered&lt;&gt;"Yes",0,IF(PricesIncludeTax="Yes",ROUND(AI107-AI107/(1+TaxRate),2),ROUND(AI107*TaxRate,2))))</f>
        <v>0</v>
      </c>
      <c r="AK107" s="29">
        <f>IF(AI107="","",IF(PricesIncludeTax="Yes",AI107,ROUND(AI107+AJ107,2)))</f>
        <v>0</v>
      </c>
      <c r="AQ107" s="21">
        <f>IF(OR(I107="",AP107="",AP107="None"),"",IF(AP107="Monthly",EDATE(I107,1),I107+IF(AP107="Daily",1,IF(AP107="Weekdays",IF(WEEKDAY(I107,2)&gt;=5,8-WEEKDAY(I107,2),1),IF(AP107="Weekly",7,IF(AP107="Fortnightly",14,0))))))</f>
        <v>0</v>
      </c>
      <c r="AR107" s="49">
        <f>IF(OR(I107="",AL107="",K107="",L107=""),"",IF(SUMPRODUCT((Bookings!$AL$5:$AL$404=AL107)*(Bookings!$I$5:$I$404=I107)*(Bookings!$K$5:$K$404&lt;L107)*(Bookings!$L$5:$L$404&gt;K107)*(Bookings!$AM$5:$AM$404&lt;&gt;"Cancelled"))&gt;1,"Conflict - double booked","OK"))</f>
        <v>0</v>
      </c>
      <c r="AS107" s="50">
        <f>IF(A107="","",IF(COUNTIF('Visit Log'!$B$5:$B$404,A107)&gt;0,"Yes","No"))</f>
        <v>0</v>
      </c>
      <c r="AT107" s="28">
        <f>IF(A107="","",IFERROR(INDEX(Invoices!$A$5:$A$304,MATCH(A107,Invoices!$E$5:$E$304,0)),""))</f>
        <v>0</v>
      </c>
      <c r="AU107" s="49">
        <f>IF(A107="","",IF(AT107="","Not invoiced",IFERROR(INDEX(Invoices!$U$5:$U$304,MATCH(AT107,Invoices!$A$5:$A$304,0)),"")))</f>
        <v>0</v>
      </c>
      <c r="AY107" s="28">
        <f>IF(I107="","",TEXT(I107,"yyyy-mm"))</f>
        <v>0</v>
      </c>
      <c r="AZ107" s="49">
        <f>IF(I107="","",IF(AM107="Cancelled","Cancelled",IF(AND(I107&lt;TODAY(),OR(AM107="Pending",AM107="Confirmed",AM107="Enquiry")),"Overdue - update status",IF(AND(AM107="Completed",AS107="No"),"Action - log the visit",IF(I107=TODAY(),"Today",IF(AND(I107&gt;TODAY(),I107-TODAY()&lt;=ReminderLeadDays,AN107&lt;&gt;"Yes"),"Action - unconfirmed",IF(AND(I107&gt;TODAY(),I107-TODAY()&lt;=ReminderLeadDays),"Upcoming","OK")))))))</f>
        <v>0</v>
      </c>
    </row>
    <row r="108" spans="1:52">
      <c r="A108" s="46">
        <f>IF(C108="","",BookingPrefix&amp;TEXT(ROW()-4,"0000"))</f>
        <v>0</v>
      </c>
      <c r="D108" s="28">
        <f>IF(C108="","",IFERROR(INDEX(Clients!$A$5:$A$254,MATCH(C108,Clients!$B$5:$B$254,0)),""))</f>
        <v>0</v>
      </c>
      <c r="J108" s="50">
        <f>IF(I108="","",TEXT(I108,"ddd"))</f>
        <v>0</v>
      </c>
      <c r="M108" s="51">
        <f>IF(OR(K108="",L108=""),"",ROUND((L108-K108+IF(L108&lt;K108,1,0))*24,2))</f>
        <v>0</v>
      </c>
      <c r="O108" s="28">
        <f>IF(H108="","",IFERROR(INDEX(Services!$E$5:$E$54,MATCH(H108,Services!$B$5:$B$54,0)),""))</f>
        <v>0</v>
      </c>
      <c r="P108" s="29">
        <f>IF(H108="","",IFERROR(INDEX(Services!$G$5:$G$54,MATCH(H108,Services!$B$5:$B$54,0)),0))</f>
        <v>0</v>
      </c>
      <c r="Q108" s="29">
        <f>IF(H108="","",IF(IFERROR(INDEX(Services!$H$5:$H$54,MATCH(H108,Services!$B$5:$B$54,0)),0)=0,ExtraPetFeeDefault,IFERROR(INDEX(Services!$H$5:$H$54,MATCH(H108,Services!$B$5:$B$54,0)),0)))</f>
        <v>0</v>
      </c>
      <c r="R108" s="30">
        <f>IF(H108="","",IF(IFERROR(INDEX(Services!$I$5:$I$54,MATCH(H108,Services!$B$5:$B$54,0)),0)=0,HolidaySurcharge,IFERROR(INDEX(Services!$I$5:$I$54,MATCH(H108,Services!$B$5:$B$54,0)),0)))</f>
        <v>0</v>
      </c>
      <c r="S108" s="30">
        <f>IF(H108="","",IF(IFERROR(INDEX(Services!$J$5:$J$54,MATCH(H108,Services!$B$5:$B$54,0)),0)=0,WeekendSurcharge,IFERROR(INDEX(Services!$J$5:$J$54,MATCH(H108,Services!$B$5:$B$54,0)),0)))</f>
        <v>0</v>
      </c>
      <c r="T108" s="50">
        <f>IF(H108="","",IFERROR(INDEX(Services!$K$5:$K$54,MATCH(H108,Services!$B$5:$B$54,0)),"No"))</f>
        <v>0</v>
      </c>
      <c r="U108" s="29">
        <f>IF(H108="","",ROUND(IF(O108="Per hour",P108*IF(M108="",IF(N108="",1,N108),M108),P108*IF(N108="",1,N108)),2))</f>
        <v>0</v>
      </c>
      <c r="V108" s="29">
        <f>IF(H108="","",ROUND(MAX(0,IF(G108="",1,G108)-1)*Q108,2))</f>
        <v>0</v>
      </c>
      <c r="W108" s="50">
        <f>IF(I108="","",IF(COUNTIF(HolidayDates,I108)&gt;0,"Yes","No"))</f>
        <v>0</v>
      </c>
      <c r="X108" s="50">
        <f>IF(I108="","",IF(WEEKDAY(I108,2)&gt;5,"Yes","No"))</f>
        <v>0</v>
      </c>
      <c r="Y108" s="29">
        <f>IF(H108="","",ROUND((U108+V108)*(IF(W108="Yes",R108,0)+IF(X108="Yes",S108,0)),2))</f>
        <v>0</v>
      </c>
      <c r="AA108" s="29">
        <f>IF(H108="","",IF(T108&lt;&gt;"Yes",0,ROUND(MAX(0,IF(Z108="",0,Z108)-FreeTravelDistance)*TravelFeeRate,2)))</f>
        <v>0</v>
      </c>
      <c r="AB108" s="31">
        <f>IF(I108="","",TravelTimeMins)</f>
        <v>0</v>
      </c>
      <c r="AC108" s="29">
        <f>IF(OR(I108="",B108=""),0,IF(I108-B108&lt;=LastMinuteDays,EmergencyFee,0))</f>
        <v>0</v>
      </c>
      <c r="AF108" s="29">
        <f>IF(H108="","",ROUND((U108+V108+Y108+AA108+AC108)*IF(AE108="",0,AE108),2))</f>
        <v>0</v>
      </c>
      <c r="AI108" s="29">
        <f>IF(H108="","",IF(AG108&lt;&gt;"",AG108,ROUND(U108+V108+Y108+AA108+AC108-AF108,2)))</f>
        <v>0</v>
      </c>
      <c r="AJ108" s="29">
        <f>IF(AI108="","",IF(TaxRegistered&lt;&gt;"Yes",0,IF(PricesIncludeTax="Yes",ROUND(AI108-AI108/(1+TaxRate),2),ROUND(AI108*TaxRate,2))))</f>
        <v>0</v>
      </c>
      <c r="AK108" s="29">
        <f>IF(AI108="","",IF(PricesIncludeTax="Yes",AI108,ROUND(AI108+AJ108,2)))</f>
        <v>0</v>
      </c>
      <c r="AQ108" s="21">
        <f>IF(OR(I108="",AP108="",AP108="None"),"",IF(AP108="Monthly",EDATE(I108,1),I108+IF(AP108="Daily",1,IF(AP108="Weekdays",IF(WEEKDAY(I108,2)&gt;=5,8-WEEKDAY(I108,2),1),IF(AP108="Weekly",7,IF(AP108="Fortnightly",14,0))))))</f>
        <v>0</v>
      </c>
      <c r="AR108" s="49">
        <f>IF(OR(I108="",AL108="",K108="",L108=""),"",IF(SUMPRODUCT((Bookings!$AL$5:$AL$404=AL108)*(Bookings!$I$5:$I$404=I108)*(Bookings!$K$5:$K$404&lt;L108)*(Bookings!$L$5:$L$404&gt;K108)*(Bookings!$AM$5:$AM$404&lt;&gt;"Cancelled"))&gt;1,"Conflict - double booked","OK"))</f>
        <v>0</v>
      </c>
      <c r="AS108" s="50">
        <f>IF(A108="","",IF(COUNTIF('Visit Log'!$B$5:$B$404,A108)&gt;0,"Yes","No"))</f>
        <v>0</v>
      </c>
      <c r="AT108" s="28">
        <f>IF(A108="","",IFERROR(INDEX(Invoices!$A$5:$A$304,MATCH(A108,Invoices!$E$5:$E$304,0)),""))</f>
        <v>0</v>
      </c>
      <c r="AU108" s="49">
        <f>IF(A108="","",IF(AT108="","Not invoiced",IFERROR(INDEX(Invoices!$U$5:$U$304,MATCH(AT108,Invoices!$A$5:$A$304,0)),"")))</f>
        <v>0</v>
      </c>
      <c r="AY108" s="28">
        <f>IF(I108="","",TEXT(I108,"yyyy-mm"))</f>
        <v>0</v>
      </c>
      <c r="AZ108" s="49">
        <f>IF(I108="","",IF(AM108="Cancelled","Cancelled",IF(AND(I108&lt;TODAY(),OR(AM108="Pending",AM108="Confirmed",AM108="Enquiry")),"Overdue - update status",IF(AND(AM108="Completed",AS108="No"),"Action - log the visit",IF(I108=TODAY(),"Today",IF(AND(I108&gt;TODAY(),I108-TODAY()&lt;=ReminderLeadDays,AN108&lt;&gt;"Yes"),"Action - unconfirmed",IF(AND(I108&gt;TODAY(),I108-TODAY()&lt;=ReminderLeadDays),"Upcoming","OK")))))))</f>
        <v>0</v>
      </c>
    </row>
    <row r="109" spans="1:52">
      <c r="A109" s="46">
        <f>IF(C109="","",BookingPrefix&amp;TEXT(ROW()-4,"0000"))</f>
        <v>0</v>
      </c>
      <c r="D109" s="28">
        <f>IF(C109="","",IFERROR(INDEX(Clients!$A$5:$A$254,MATCH(C109,Clients!$B$5:$B$254,0)),""))</f>
        <v>0</v>
      </c>
      <c r="J109" s="50">
        <f>IF(I109="","",TEXT(I109,"ddd"))</f>
        <v>0</v>
      </c>
      <c r="M109" s="51">
        <f>IF(OR(K109="",L109=""),"",ROUND((L109-K109+IF(L109&lt;K109,1,0))*24,2))</f>
        <v>0</v>
      </c>
      <c r="O109" s="28">
        <f>IF(H109="","",IFERROR(INDEX(Services!$E$5:$E$54,MATCH(H109,Services!$B$5:$B$54,0)),""))</f>
        <v>0</v>
      </c>
      <c r="P109" s="29">
        <f>IF(H109="","",IFERROR(INDEX(Services!$G$5:$G$54,MATCH(H109,Services!$B$5:$B$54,0)),0))</f>
        <v>0</v>
      </c>
      <c r="Q109" s="29">
        <f>IF(H109="","",IF(IFERROR(INDEX(Services!$H$5:$H$54,MATCH(H109,Services!$B$5:$B$54,0)),0)=0,ExtraPetFeeDefault,IFERROR(INDEX(Services!$H$5:$H$54,MATCH(H109,Services!$B$5:$B$54,0)),0)))</f>
        <v>0</v>
      </c>
      <c r="R109" s="30">
        <f>IF(H109="","",IF(IFERROR(INDEX(Services!$I$5:$I$54,MATCH(H109,Services!$B$5:$B$54,0)),0)=0,HolidaySurcharge,IFERROR(INDEX(Services!$I$5:$I$54,MATCH(H109,Services!$B$5:$B$54,0)),0)))</f>
        <v>0</v>
      </c>
      <c r="S109" s="30">
        <f>IF(H109="","",IF(IFERROR(INDEX(Services!$J$5:$J$54,MATCH(H109,Services!$B$5:$B$54,0)),0)=0,WeekendSurcharge,IFERROR(INDEX(Services!$J$5:$J$54,MATCH(H109,Services!$B$5:$B$54,0)),0)))</f>
        <v>0</v>
      </c>
      <c r="T109" s="50">
        <f>IF(H109="","",IFERROR(INDEX(Services!$K$5:$K$54,MATCH(H109,Services!$B$5:$B$54,0)),"No"))</f>
        <v>0</v>
      </c>
      <c r="U109" s="29">
        <f>IF(H109="","",ROUND(IF(O109="Per hour",P109*IF(M109="",IF(N109="",1,N109),M109),P109*IF(N109="",1,N109)),2))</f>
        <v>0</v>
      </c>
      <c r="V109" s="29">
        <f>IF(H109="","",ROUND(MAX(0,IF(G109="",1,G109)-1)*Q109,2))</f>
        <v>0</v>
      </c>
      <c r="W109" s="50">
        <f>IF(I109="","",IF(COUNTIF(HolidayDates,I109)&gt;0,"Yes","No"))</f>
        <v>0</v>
      </c>
      <c r="X109" s="50">
        <f>IF(I109="","",IF(WEEKDAY(I109,2)&gt;5,"Yes","No"))</f>
        <v>0</v>
      </c>
      <c r="Y109" s="29">
        <f>IF(H109="","",ROUND((U109+V109)*(IF(W109="Yes",R109,0)+IF(X109="Yes",S109,0)),2))</f>
        <v>0</v>
      </c>
      <c r="AA109" s="29">
        <f>IF(H109="","",IF(T109&lt;&gt;"Yes",0,ROUND(MAX(0,IF(Z109="",0,Z109)-FreeTravelDistance)*TravelFeeRate,2)))</f>
        <v>0</v>
      </c>
      <c r="AB109" s="31">
        <f>IF(I109="","",TravelTimeMins)</f>
        <v>0</v>
      </c>
      <c r="AC109" s="29">
        <f>IF(OR(I109="",B109=""),0,IF(I109-B109&lt;=LastMinuteDays,EmergencyFee,0))</f>
        <v>0</v>
      </c>
      <c r="AF109" s="29">
        <f>IF(H109="","",ROUND((U109+V109+Y109+AA109+AC109)*IF(AE109="",0,AE109),2))</f>
        <v>0</v>
      </c>
      <c r="AI109" s="29">
        <f>IF(H109="","",IF(AG109&lt;&gt;"",AG109,ROUND(U109+V109+Y109+AA109+AC109-AF109,2)))</f>
        <v>0</v>
      </c>
      <c r="AJ109" s="29">
        <f>IF(AI109="","",IF(TaxRegistered&lt;&gt;"Yes",0,IF(PricesIncludeTax="Yes",ROUND(AI109-AI109/(1+TaxRate),2),ROUND(AI109*TaxRate,2))))</f>
        <v>0</v>
      </c>
      <c r="AK109" s="29">
        <f>IF(AI109="","",IF(PricesIncludeTax="Yes",AI109,ROUND(AI109+AJ109,2)))</f>
        <v>0</v>
      </c>
      <c r="AQ109" s="21">
        <f>IF(OR(I109="",AP109="",AP109="None"),"",IF(AP109="Monthly",EDATE(I109,1),I109+IF(AP109="Daily",1,IF(AP109="Weekdays",IF(WEEKDAY(I109,2)&gt;=5,8-WEEKDAY(I109,2),1),IF(AP109="Weekly",7,IF(AP109="Fortnightly",14,0))))))</f>
        <v>0</v>
      </c>
      <c r="AR109" s="49">
        <f>IF(OR(I109="",AL109="",K109="",L109=""),"",IF(SUMPRODUCT((Bookings!$AL$5:$AL$404=AL109)*(Bookings!$I$5:$I$404=I109)*(Bookings!$K$5:$K$404&lt;L109)*(Bookings!$L$5:$L$404&gt;K109)*(Bookings!$AM$5:$AM$404&lt;&gt;"Cancelled"))&gt;1,"Conflict - double booked","OK"))</f>
        <v>0</v>
      </c>
      <c r="AS109" s="50">
        <f>IF(A109="","",IF(COUNTIF('Visit Log'!$B$5:$B$404,A109)&gt;0,"Yes","No"))</f>
        <v>0</v>
      </c>
      <c r="AT109" s="28">
        <f>IF(A109="","",IFERROR(INDEX(Invoices!$A$5:$A$304,MATCH(A109,Invoices!$E$5:$E$304,0)),""))</f>
        <v>0</v>
      </c>
      <c r="AU109" s="49">
        <f>IF(A109="","",IF(AT109="","Not invoiced",IFERROR(INDEX(Invoices!$U$5:$U$304,MATCH(AT109,Invoices!$A$5:$A$304,0)),"")))</f>
        <v>0</v>
      </c>
      <c r="AY109" s="28">
        <f>IF(I109="","",TEXT(I109,"yyyy-mm"))</f>
        <v>0</v>
      </c>
      <c r="AZ109" s="49">
        <f>IF(I109="","",IF(AM109="Cancelled","Cancelled",IF(AND(I109&lt;TODAY(),OR(AM109="Pending",AM109="Confirmed",AM109="Enquiry")),"Overdue - update status",IF(AND(AM109="Completed",AS109="No"),"Action - log the visit",IF(I109=TODAY(),"Today",IF(AND(I109&gt;TODAY(),I109-TODAY()&lt;=ReminderLeadDays,AN109&lt;&gt;"Yes"),"Action - unconfirmed",IF(AND(I109&gt;TODAY(),I109-TODAY()&lt;=ReminderLeadDays),"Upcoming","OK")))))))</f>
        <v>0</v>
      </c>
    </row>
    <row r="110" spans="1:52">
      <c r="A110" s="46">
        <f>IF(C110="","",BookingPrefix&amp;TEXT(ROW()-4,"0000"))</f>
        <v>0</v>
      </c>
      <c r="D110" s="28">
        <f>IF(C110="","",IFERROR(INDEX(Clients!$A$5:$A$254,MATCH(C110,Clients!$B$5:$B$254,0)),""))</f>
        <v>0</v>
      </c>
      <c r="J110" s="50">
        <f>IF(I110="","",TEXT(I110,"ddd"))</f>
        <v>0</v>
      </c>
      <c r="M110" s="51">
        <f>IF(OR(K110="",L110=""),"",ROUND((L110-K110+IF(L110&lt;K110,1,0))*24,2))</f>
        <v>0</v>
      </c>
      <c r="O110" s="28">
        <f>IF(H110="","",IFERROR(INDEX(Services!$E$5:$E$54,MATCH(H110,Services!$B$5:$B$54,0)),""))</f>
        <v>0</v>
      </c>
      <c r="P110" s="29">
        <f>IF(H110="","",IFERROR(INDEX(Services!$G$5:$G$54,MATCH(H110,Services!$B$5:$B$54,0)),0))</f>
        <v>0</v>
      </c>
      <c r="Q110" s="29">
        <f>IF(H110="","",IF(IFERROR(INDEX(Services!$H$5:$H$54,MATCH(H110,Services!$B$5:$B$54,0)),0)=0,ExtraPetFeeDefault,IFERROR(INDEX(Services!$H$5:$H$54,MATCH(H110,Services!$B$5:$B$54,0)),0)))</f>
        <v>0</v>
      </c>
      <c r="R110" s="30">
        <f>IF(H110="","",IF(IFERROR(INDEX(Services!$I$5:$I$54,MATCH(H110,Services!$B$5:$B$54,0)),0)=0,HolidaySurcharge,IFERROR(INDEX(Services!$I$5:$I$54,MATCH(H110,Services!$B$5:$B$54,0)),0)))</f>
        <v>0</v>
      </c>
      <c r="S110" s="30">
        <f>IF(H110="","",IF(IFERROR(INDEX(Services!$J$5:$J$54,MATCH(H110,Services!$B$5:$B$54,0)),0)=0,WeekendSurcharge,IFERROR(INDEX(Services!$J$5:$J$54,MATCH(H110,Services!$B$5:$B$54,0)),0)))</f>
        <v>0</v>
      </c>
      <c r="T110" s="50">
        <f>IF(H110="","",IFERROR(INDEX(Services!$K$5:$K$54,MATCH(H110,Services!$B$5:$B$54,0)),"No"))</f>
        <v>0</v>
      </c>
      <c r="U110" s="29">
        <f>IF(H110="","",ROUND(IF(O110="Per hour",P110*IF(M110="",IF(N110="",1,N110),M110),P110*IF(N110="",1,N110)),2))</f>
        <v>0</v>
      </c>
      <c r="V110" s="29">
        <f>IF(H110="","",ROUND(MAX(0,IF(G110="",1,G110)-1)*Q110,2))</f>
        <v>0</v>
      </c>
      <c r="W110" s="50">
        <f>IF(I110="","",IF(COUNTIF(HolidayDates,I110)&gt;0,"Yes","No"))</f>
        <v>0</v>
      </c>
      <c r="X110" s="50">
        <f>IF(I110="","",IF(WEEKDAY(I110,2)&gt;5,"Yes","No"))</f>
        <v>0</v>
      </c>
      <c r="Y110" s="29">
        <f>IF(H110="","",ROUND((U110+V110)*(IF(W110="Yes",R110,0)+IF(X110="Yes",S110,0)),2))</f>
        <v>0</v>
      </c>
      <c r="AA110" s="29">
        <f>IF(H110="","",IF(T110&lt;&gt;"Yes",0,ROUND(MAX(0,IF(Z110="",0,Z110)-FreeTravelDistance)*TravelFeeRate,2)))</f>
        <v>0</v>
      </c>
      <c r="AB110" s="31">
        <f>IF(I110="","",TravelTimeMins)</f>
        <v>0</v>
      </c>
      <c r="AC110" s="29">
        <f>IF(OR(I110="",B110=""),0,IF(I110-B110&lt;=LastMinuteDays,EmergencyFee,0))</f>
        <v>0</v>
      </c>
      <c r="AF110" s="29">
        <f>IF(H110="","",ROUND((U110+V110+Y110+AA110+AC110)*IF(AE110="",0,AE110),2))</f>
        <v>0</v>
      </c>
      <c r="AI110" s="29">
        <f>IF(H110="","",IF(AG110&lt;&gt;"",AG110,ROUND(U110+V110+Y110+AA110+AC110-AF110,2)))</f>
        <v>0</v>
      </c>
      <c r="AJ110" s="29">
        <f>IF(AI110="","",IF(TaxRegistered&lt;&gt;"Yes",0,IF(PricesIncludeTax="Yes",ROUND(AI110-AI110/(1+TaxRate),2),ROUND(AI110*TaxRate,2))))</f>
        <v>0</v>
      </c>
      <c r="AK110" s="29">
        <f>IF(AI110="","",IF(PricesIncludeTax="Yes",AI110,ROUND(AI110+AJ110,2)))</f>
        <v>0</v>
      </c>
      <c r="AQ110" s="21">
        <f>IF(OR(I110="",AP110="",AP110="None"),"",IF(AP110="Monthly",EDATE(I110,1),I110+IF(AP110="Daily",1,IF(AP110="Weekdays",IF(WEEKDAY(I110,2)&gt;=5,8-WEEKDAY(I110,2),1),IF(AP110="Weekly",7,IF(AP110="Fortnightly",14,0))))))</f>
        <v>0</v>
      </c>
      <c r="AR110" s="49">
        <f>IF(OR(I110="",AL110="",K110="",L110=""),"",IF(SUMPRODUCT((Bookings!$AL$5:$AL$404=AL110)*(Bookings!$I$5:$I$404=I110)*(Bookings!$K$5:$K$404&lt;L110)*(Bookings!$L$5:$L$404&gt;K110)*(Bookings!$AM$5:$AM$404&lt;&gt;"Cancelled"))&gt;1,"Conflict - double booked","OK"))</f>
        <v>0</v>
      </c>
      <c r="AS110" s="50">
        <f>IF(A110="","",IF(COUNTIF('Visit Log'!$B$5:$B$404,A110)&gt;0,"Yes","No"))</f>
        <v>0</v>
      </c>
      <c r="AT110" s="28">
        <f>IF(A110="","",IFERROR(INDEX(Invoices!$A$5:$A$304,MATCH(A110,Invoices!$E$5:$E$304,0)),""))</f>
        <v>0</v>
      </c>
      <c r="AU110" s="49">
        <f>IF(A110="","",IF(AT110="","Not invoiced",IFERROR(INDEX(Invoices!$U$5:$U$304,MATCH(AT110,Invoices!$A$5:$A$304,0)),"")))</f>
        <v>0</v>
      </c>
      <c r="AY110" s="28">
        <f>IF(I110="","",TEXT(I110,"yyyy-mm"))</f>
        <v>0</v>
      </c>
      <c r="AZ110" s="49">
        <f>IF(I110="","",IF(AM110="Cancelled","Cancelled",IF(AND(I110&lt;TODAY(),OR(AM110="Pending",AM110="Confirmed",AM110="Enquiry")),"Overdue - update status",IF(AND(AM110="Completed",AS110="No"),"Action - log the visit",IF(I110=TODAY(),"Today",IF(AND(I110&gt;TODAY(),I110-TODAY()&lt;=ReminderLeadDays,AN110&lt;&gt;"Yes"),"Action - unconfirmed",IF(AND(I110&gt;TODAY(),I110-TODAY()&lt;=ReminderLeadDays),"Upcoming","OK")))))))</f>
        <v>0</v>
      </c>
    </row>
    <row r="111" spans="1:52">
      <c r="A111" s="46">
        <f>IF(C111="","",BookingPrefix&amp;TEXT(ROW()-4,"0000"))</f>
        <v>0</v>
      </c>
      <c r="D111" s="28">
        <f>IF(C111="","",IFERROR(INDEX(Clients!$A$5:$A$254,MATCH(C111,Clients!$B$5:$B$254,0)),""))</f>
        <v>0</v>
      </c>
      <c r="J111" s="50">
        <f>IF(I111="","",TEXT(I111,"ddd"))</f>
        <v>0</v>
      </c>
      <c r="M111" s="51">
        <f>IF(OR(K111="",L111=""),"",ROUND((L111-K111+IF(L111&lt;K111,1,0))*24,2))</f>
        <v>0</v>
      </c>
      <c r="O111" s="28">
        <f>IF(H111="","",IFERROR(INDEX(Services!$E$5:$E$54,MATCH(H111,Services!$B$5:$B$54,0)),""))</f>
        <v>0</v>
      </c>
      <c r="P111" s="29">
        <f>IF(H111="","",IFERROR(INDEX(Services!$G$5:$G$54,MATCH(H111,Services!$B$5:$B$54,0)),0))</f>
        <v>0</v>
      </c>
      <c r="Q111" s="29">
        <f>IF(H111="","",IF(IFERROR(INDEX(Services!$H$5:$H$54,MATCH(H111,Services!$B$5:$B$54,0)),0)=0,ExtraPetFeeDefault,IFERROR(INDEX(Services!$H$5:$H$54,MATCH(H111,Services!$B$5:$B$54,0)),0)))</f>
        <v>0</v>
      </c>
      <c r="R111" s="30">
        <f>IF(H111="","",IF(IFERROR(INDEX(Services!$I$5:$I$54,MATCH(H111,Services!$B$5:$B$54,0)),0)=0,HolidaySurcharge,IFERROR(INDEX(Services!$I$5:$I$54,MATCH(H111,Services!$B$5:$B$54,0)),0)))</f>
        <v>0</v>
      </c>
      <c r="S111" s="30">
        <f>IF(H111="","",IF(IFERROR(INDEX(Services!$J$5:$J$54,MATCH(H111,Services!$B$5:$B$54,0)),0)=0,WeekendSurcharge,IFERROR(INDEX(Services!$J$5:$J$54,MATCH(H111,Services!$B$5:$B$54,0)),0)))</f>
        <v>0</v>
      </c>
      <c r="T111" s="50">
        <f>IF(H111="","",IFERROR(INDEX(Services!$K$5:$K$54,MATCH(H111,Services!$B$5:$B$54,0)),"No"))</f>
        <v>0</v>
      </c>
      <c r="U111" s="29">
        <f>IF(H111="","",ROUND(IF(O111="Per hour",P111*IF(M111="",IF(N111="",1,N111),M111),P111*IF(N111="",1,N111)),2))</f>
        <v>0</v>
      </c>
      <c r="V111" s="29">
        <f>IF(H111="","",ROUND(MAX(0,IF(G111="",1,G111)-1)*Q111,2))</f>
        <v>0</v>
      </c>
      <c r="W111" s="50">
        <f>IF(I111="","",IF(COUNTIF(HolidayDates,I111)&gt;0,"Yes","No"))</f>
        <v>0</v>
      </c>
      <c r="X111" s="50">
        <f>IF(I111="","",IF(WEEKDAY(I111,2)&gt;5,"Yes","No"))</f>
        <v>0</v>
      </c>
      <c r="Y111" s="29">
        <f>IF(H111="","",ROUND((U111+V111)*(IF(W111="Yes",R111,0)+IF(X111="Yes",S111,0)),2))</f>
        <v>0</v>
      </c>
      <c r="AA111" s="29">
        <f>IF(H111="","",IF(T111&lt;&gt;"Yes",0,ROUND(MAX(0,IF(Z111="",0,Z111)-FreeTravelDistance)*TravelFeeRate,2)))</f>
        <v>0</v>
      </c>
      <c r="AB111" s="31">
        <f>IF(I111="","",TravelTimeMins)</f>
        <v>0</v>
      </c>
      <c r="AC111" s="29">
        <f>IF(OR(I111="",B111=""),0,IF(I111-B111&lt;=LastMinuteDays,EmergencyFee,0))</f>
        <v>0</v>
      </c>
      <c r="AF111" s="29">
        <f>IF(H111="","",ROUND((U111+V111+Y111+AA111+AC111)*IF(AE111="",0,AE111),2))</f>
        <v>0</v>
      </c>
      <c r="AI111" s="29">
        <f>IF(H111="","",IF(AG111&lt;&gt;"",AG111,ROUND(U111+V111+Y111+AA111+AC111-AF111,2)))</f>
        <v>0</v>
      </c>
      <c r="AJ111" s="29">
        <f>IF(AI111="","",IF(TaxRegistered&lt;&gt;"Yes",0,IF(PricesIncludeTax="Yes",ROUND(AI111-AI111/(1+TaxRate),2),ROUND(AI111*TaxRate,2))))</f>
        <v>0</v>
      </c>
      <c r="AK111" s="29">
        <f>IF(AI111="","",IF(PricesIncludeTax="Yes",AI111,ROUND(AI111+AJ111,2)))</f>
        <v>0</v>
      </c>
      <c r="AQ111" s="21">
        <f>IF(OR(I111="",AP111="",AP111="None"),"",IF(AP111="Monthly",EDATE(I111,1),I111+IF(AP111="Daily",1,IF(AP111="Weekdays",IF(WEEKDAY(I111,2)&gt;=5,8-WEEKDAY(I111,2),1),IF(AP111="Weekly",7,IF(AP111="Fortnightly",14,0))))))</f>
        <v>0</v>
      </c>
      <c r="AR111" s="49">
        <f>IF(OR(I111="",AL111="",K111="",L111=""),"",IF(SUMPRODUCT((Bookings!$AL$5:$AL$404=AL111)*(Bookings!$I$5:$I$404=I111)*(Bookings!$K$5:$K$404&lt;L111)*(Bookings!$L$5:$L$404&gt;K111)*(Bookings!$AM$5:$AM$404&lt;&gt;"Cancelled"))&gt;1,"Conflict - double booked","OK"))</f>
        <v>0</v>
      </c>
      <c r="AS111" s="50">
        <f>IF(A111="","",IF(COUNTIF('Visit Log'!$B$5:$B$404,A111)&gt;0,"Yes","No"))</f>
        <v>0</v>
      </c>
      <c r="AT111" s="28">
        <f>IF(A111="","",IFERROR(INDEX(Invoices!$A$5:$A$304,MATCH(A111,Invoices!$E$5:$E$304,0)),""))</f>
        <v>0</v>
      </c>
      <c r="AU111" s="49">
        <f>IF(A111="","",IF(AT111="","Not invoiced",IFERROR(INDEX(Invoices!$U$5:$U$304,MATCH(AT111,Invoices!$A$5:$A$304,0)),"")))</f>
        <v>0</v>
      </c>
      <c r="AY111" s="28">
        <f>IF(I111="","",TEXT(I111,"yyyy-mm"))</f>
        <v>0</v>
      </c>
      <c r="AZ111" s="49">
        <f>IF(I111="","",IF(AM111="Cancelled","Cancelled",IF(AND(I111&lt;TODAY(),OR(AM111="Pending",AM111="Confirmed",AM111="Enquiry")),"Overdue - update status",IF(AND(AM111="Completed",AS111="No"),"Action - log the visit",IF(I111=TODAY(),"Today",IF(AND(I111&gt;TODAY(),I111-TODAY()&lt;=ReminderLeadDays,AN111&lt;&gt;"Yes"),"Action - unconfirmed",IF(AND(I111&gt;TODAY(),I111-TODAY()&lt;=ReminderLeadDays),"Upcoming","OK")))))))</f>
        <v>0</v>
      </c>
    </row>
    <row r="112" spans="1:52">
      <c r="A112" s="46">
        <f>IF(C112="","",BookingPrefix&amp;TEXT(ROW()-4,"0000"))</f>
        <v>0</v>
      </c>
      <c r="D112" s="28">
        <f>IF(C112="","",IFERROR(INDEX(Clients!$A$5:$A$254,MATCH(C112,Clients!$B$5:$B$254,0)),""))</f>
        <v>0</v>
      </c>
      <c r="J112" s="50">
        <f>IF(I112="","",TEXT(I112,"ddd"))</f>
        <v>0</v>
      </c>
      <c r="M112" s="51">
        <f>IF(OR(K112="",L112=""),"",ROUND((L112-K112+IF(L112&lt;K112,1,0))*24,2))</f>
        <v>0</v>
      </c>
      <c r="O112" s="28">
        <f>IF(H112="","",IFERROR(INDEX(Services!$E$5:$E$54,MATCH(H112,Services!$B$5:$B$54,0)),""))</f>
        <v>0</v>
      </c>
      <c r="P112" s="29">
        <f>IF(H112="","",IFERROR(INDEX(Services!$G$5:$G$54,MATCH(H112,Services!$B$5:$B$54,0)),0))</f>
        <v>0</v>
      </c>
      <c r="Q112" s="29">
        <f>IF(H112="","",IF(IFERROR(INDEX(Services!$H$5:$H$54,MATCH(H112,Services!$B$5:$B$54,0)),0)=0,ExtraPetFeeDefault,IFERROR(INDEX(Services!$H$5:$H$54,MATCH(H112,Services!$B$5:$B$54,0)),0)))</f>
        <v>0</v>
      </c>
      <c r="R112" s="30">
        <f>IF(H112="","",IF(IFERROR(INDEX(Services!$I$5:$I$54,MATCH(H112,Services!$B$5:$B$54,0)),0)=0,HolidaySurcharge,IFERROR(INDEX(Services!$I$5:$I$54,MATCH(H112,Services!$B$5:$B$54,0)),0)))</f>
        <v>0</v>
      </c>
      <c r="S112" s="30">
        <f>IF(H112="","",IF(IFERROR(INDEX(Services!$J$5:$J$54,MATCH(H112,Services!$B$5:$B$54,0)),0)=0,WeekendSurcharge,IFERROR(INDEX(Services!$J$5:$J$54,MATCH(H112,Services!$B$5:$B$54,0)),0)))</f>
        <v>0</v>
      </c>
      <c r="T112" s="50">
        <f>IF(H112="","",IFERROR(INDEX(Services!$K$5:$K$54,MATCH(H112,Services!$B$5:$B$54,0)),"No"))</f>
        <v>0</v>
      </c>
      <c r="U112" s="29">
        <f>IF(H112="","",ROUND(IF(O112="Per hour",P112*IF(M112="",IF(N112="",1,N112),M112),P112*IF(N112="",1,N112)),2))</f>
        <v>0</v>
      </c>
      <c r="V112" s="29">
        <f>IF(H112="","",ROUND(MAX(0,IF(G112="",1,G112)-1)*Q112,2))</f>
        <v>0</v>
      </c>
      <c r="W112" s="50">
        <f>IF(I112="","",IF(COUNTIF(HolidayDates,I112)&gt;0,"Yes","No"))</f>
        <v>0</v>
      </c>
      <c r="X112" s="50">
        <f>IF(I112="","",IF(WEEKDAY(I112,2)&gt;5,"Yes","No"))</f>
        <v>0</v>
      </c>
      <c r="Y112" s="29">
        <f>IF(H112="","",ROUND((U112+V112)*(IF(W112="Yes",R112,0)+IF(X112="Yes",S112,0)),2))</f>
        <v>0</v>
      </c>
      <c r="AA112" s="29">
        <f>IF(H112="","",IF(T112&lt;&gt;"Yes",0,ROUND(MAX(0,IF(Z112="",0,Z112)-FreeTravelDistance)*TravelFeeRate,2)))</f>
        <v>0</v>
      </c>
      <c r="AB112" s="31">
        <f>IF(I112="","",TravelTimeMins)</f>
        <v>0</v>
      </c>
      <c r="AC112" s="29">
        <f>IF(OR(I112="",B112=""),0,IF(I112-B112&lt;=LastMinuteDays,EmergencyFee,0))</f>
        <v>0</v>
      </c>
      <c r="AF112" s="29">
        <f>IF(H112="","",ROUND((U112+V112+Y112+AA112+AC112)*IF(AE112="",0,AE112),2))</f>
        <v>0</v>
      </c>
      <c r="AI112" s="29">
        <f>IF(H112="","",IF(AG112&lt;&gt;"",AG112,ROUND(U112+V112+Y112+AA112+AC112-AF112,2)))</f>
        <v>0</v>
      </c>
      <c r="AJ112" s="29">
        <f>IF(AI112="","",IF(TaxRegistered&lt;&gt;"Yes",0,IF(PricesIncludeTax="Yes",ROUND(AI112-AI112/(1+TaxRate),2),ROUND(AI112*TaxRate,2))))</f>
        <v>0</v>
      </c>
      <c r="AK112" s="29">
        <f>IF(AI112="","",IF(PricesIncludeTax="Yes",AI112,ROUND(AI112+AJ112,2)))</f>
        <v>0</v>
      </c>
      <c r="AQ112" s="21">
        <f>IF(OR(I112="",AP112="",AP112="None"),"",IF(AP112="Monthly",EDATE(I112,1),I112+IF(AP112="Daily",1,IF(AP112="Weekdays",IF(WEEKDAY(I112,2)&gt;=5,8-WEEKDAY(I112,2),1),IF(AP112="Weekly",7,IF(AP112="Fortnightly",14,0))))))</f>
        <v>0</v>
      </c>
      <c r="AR112" s="49">
        <f>IF(OR(I112="",AL112="",K112="",L112=""),"",IF(SUMPRODUCT((Bookings!$AL$5:$AL$404=AL112)*(Bookings!$I$5:$I$404=I112)*(Bookings!$K$5:$K$404&lt;L112)*(Bookings!$L$5:$L$404&gt;K112)*(Bookings!$AM$5:$AM$404&lt;&gt;"Cancelled"))&gt;1,"Conflict - double booked","OK"))</f>
        <v>0</v>
      </c>
      <c r="AS112" s="50">
        <f>IF(A112="","",IF(COUNTIF('Visit Log'!$B$5:$B$404,A112)&gt;0,"Yes","No"))</f>
        <v>0</v>
      </c>
      <c r="AT112" s="28">
        <f>IF(A112="","",IFERROR(INDEX(Invoices!$A$5:$A$304,MATCH(A112,Invoices!$E$5:$E$304,0)),""))</f>
        <v>0</v>
      </c>
      <c r="AU112" s="49">
        <f>IF(A112="","",IF(AT112="","Not invoiced",IFERROR(INDEX(Invoices!$U$5:$U$304,MATCH(AT112,Invoices!$A$5:$A$304,0)),"")))</f>
        <v>0</v>
      </c>
      <c r="AY112" s="28">
        <f>IF(I112="","",TEXT(I112,"yyyy-mm"))</f>
        <v>0</v>
      </c>
      <c r="AZ112" s="49">
        <f>IF(I112="","",IF(AM112="Cancelled","Cancelled",IF(AND(I112&lt;TODAY(),OR(AM112="Pending",AM112="Confirmed",AM112="Enquiry")),"Overdue - update status",IF(AND(AM112="Completed",AS112="No"),"Action - log the visit",IF(I112=TODAY(),"Today",IF(AND(I112&gt;TODAY(),I112-TODAY()&lt;=ReminderLeadDays,AN112&lt;&gt;"Yes"),"Action - unconfirmed",IF(AND(I112&gt;TODAY(),I112-TODAY()&lt;=ReminderLeadDays),"Upcoming","OK")))))))</f>
        <v>0</v>
      </c>
    </row>
    <row r="113" spans="1:52">
      <c r="A113" s="46">
        <f>IF(C113="","",BookingPrefix&amp;TEXT(ROW()-4,"0000"))</f>
        <v>0</v>
      </c>
      <c r="D113" s="28">
        <f>IF(C113="","",IFERROR(INDEX(Clients!$A$5:$A$254,MATCH(C113,Clients!$B$5:$B$254,0)),""))</f>
        <v>0</v>
      </c>
      <c r="J113" s="50">
        <f>IF(I113="","",TEXT(I113,"ddd"))</f>
        <v>0</v>
      </c>
      <c r="M113" s="51">
        <f>IF(OR(K113="",L113=""),"",ROUND((L113-K113+IF(L113&lt;K113,1,0))*24,2))</f>
        <v>0</v>
      </c>
      <c r="O113" s="28">
        <f>IF(H113="","",IFERROR(INDEX(Services!$E$5:$E$54,MATCH(H113,Services!$B$5:$B$54,0)),""))</f>
        <v>0</v>
      </c>
      <c r="P113" s="29">
        <f>IF(H113="","",IFERROR(INDEX(Services!$G$5:$G$54,MATCH(H113,Services!$B$5:$B$54,0)),0))</f>
        <v>0</v>
      </c>
      <c r="Q113" s="29">
        <f>IF(H113="","",IF(IFERROR(INDEX(Services!$H$5:$H$54,MATCH(H113,Services!$B$5:$B$54,0)),0)=0,ExtraPetFeeDefault,IFERROR(INDEX(Services!$H$5:$H$54,MATCH(H113,Services!$B$5:$B$54,0)),0)))</f>
        <v>0</v>
      </c>
      <c r="R113" s="30">
        <f>IF(H113="","",IF(IFERROR(INDEX(Services!$I$5:$I$54,MATCH(H113,Services!$B$5:$B$54,0)),0)=0,HolidaySurcharge,IFERROR(INDEX(Services!$I$5:$I$54,MATCH(H113,Services!$B$5:$B$54,0)),0)))</f>
        <v>0</v>
      </c>
      <c r="S113" s="30">
        <f>IF(H113="","",IF(IFERROR(INDEX(Services!$J$5:$J$54,MATCH(H113,Services!$B$5:$B$54,0)),0)=0,WeekendSurcharge,IFERROR(INDEX(Services!$J$5:$J$54,MATCH(H113,Services!$B$5:$B$54,0)),0)))</f>
        <v>0</v>
      </c>
      <c r="T113" s="50">
        <f>IF(H113="","",IFERROR(INDEX(Services!$K$5:$K$54,MATCH(H113,Services!$B$5:$B$54,0)),"No"))</f>
        <v>0</v>
      </c>
      <c r="U113" s="29">
        <f>IF(H113="","",ROUND(IF(O113="Per hour",P113*IF(M113="",IF(N113="",1,N113),M113),P113*IF(N113="",1,N113)),2))</f>
        <v>0</v>
      </c>
      <c r="V113" s="29">
        <f>IF(H113="","",ROUND(MAX(0,IF(G113="",1,G113)-1)*Q113,2))</f>
        <v>0</v>
      </c>
      <c r="W113" s="50">
        <f>IF(I113="","",IF(COUNTIF(HolidayDates,I113)&gt;0,"Yes","No"))</f>
        <v>0</v>
      </c>
      <c r="X113" s="50">
        <f>IF(I113="","",IF(WEEKDAY(I113,2)&gt;5,"Yes","No"))</f>
        <v>0</v>
      </c>
      <c r="Y113" s="29">
        <f>IF(H113="","",ROUND((U113+V113)*(IF(W113="Yes",R113,0)+IF(X113="Yes",S113,0)),2))</f>
        <v>0</v>
      </c>
      <c r="AA113" s="29">
        <f>IF(H113="","",IF(T113&lt;&gt;"Yes",0,ROUND(MAX(0,IF(Z113="",0,Z113)-FreeTravelDistance)*TravelFeeRate,2)))</f>
        <v>0</v>
      </c>
      <c r="AB113" s="31">
        <f>IF(I113="","",TravelTimeMins)</f>
        <v>0</v>
      </c>
      <c r="AC113" s="29">
        <f>IF(OR(I113="",B113=""),0,IF(I113-B113&lt;=LastMinuteDays,EmergencyFee,0))</f>
        <v>0</v>
      </c>
      <c r="AF113" s="29">
        <f>IF(H113="","",ROUND((U113+V113+Y113+AA113+AC113)*IF(AE113="",0,AE113),2))</f>
        <v>0</v>
      </c>
      <c r="AI113" s="29">
        <f>IF(H113="","",IF(AG113&lt;&gt;"",AG113,ROUND(U113+V113+Y113+AA113+AC113-AF113,2)))</f>
        <v>0</v>
      </c>
      <c r="AJ113" s="29">
        <f>IF(AI113="","",IF(TaxRegistered&lt;&gt;"Yes",0,IF(PricesIncludeTax="Yes",ROUND(AI113-AI113/(1+TaxRate),2),ROUND(AI113*TaxRate,2))))</f>
        <v>0</v>
      </c>
      <c r="AK113" s="29">
        <f>IF(AI113="","",IF(PricesIncludeTax="Yes",AI113,ROUND(AI113+AJ113,2)))</f>
        <v>0</v>
      </c>
      <c r="AQ113" s="21">
        <f>IF(OR(I113="",AP113="",AP113="None"),"",IF(AP113="Monthly",EDATE(I113,1),I113+IF(AP113="Daily",1,IF(AP113="Weekdays",IF(WEEKDAY(I113,2)&gt;=5,8-WEEKDAY(I113,2),1),IF(AP113="Weekly",7,IF(AP113="Fortnightly",14,0))))))</f>
        <v>0</v>
      </c>
      <c r="AR113" s="49">
        <f>IF(OR(I113="",AL113="",K113="",L113=""),"",IF(SUMPRODUCT((Bookings!$AL$5:$AL$404=AL113)*(Bookings!$I$5:$I$404=I113)*(Bookings!$K$5:$K$404&lt;L113)*(Bookings!$L$5:$L$404&gt;K113)*(Bookings!$AM$5:$AM$404&lt;&gt;"Cancelled"))&gt;1,"Conflict - double booked","OK"))</f>
        <v>0</v>
      </c>
      <c r="AS113" s="50">
        <f>IF(A113="","",IF(COUNTIF('Visit Log'!$B$5:$B$404,A113)&gt;0,"Yes","No"))</f>
        <v>0</v>
      </c>
      <c r="AT113" s="28">
        <f>IF(A113="","",IFERROR(INDEX(Invoices!$A$5:$A$304,MATCH(A113,Invoices!$E$5:$E$304,0)),""))</f>
        <v>0</v>
      </c>
      <c r="AU113" s="49">
        <f>IF(A113="","",IF(AT113="","Not invoiced",IFERROR(INDEX(Invoices!$U$5:$U$304,MATCH(AT113,Invoices!$A$5:$A$304,0)),"")))</f>
        <v>0</v>
      </c>
      <c r="AY113" s="28">
        <f>IF(I113="","",TEXT(I113,"yyyy-mm"))</f>
        <v>0</v>
      </c>
      <c r="AZ113" s="49">
        <f>IF(I113="","",IF(AM113="Cancelled","Cancelled",IF(AND(I113&lt;TODAY(),OR(AM113="Pending",AM113="Confirmed",AM113="Enquiry")),"Overdue - update status",IF(AND(AM113="Completed",AS113="No"),"Action - log the visit",IF(I113=TODAY(),"Today",IF(AND(I113&gt;TODAY(),I113-TODAY()&lt;=ReminderLeadDays,AN113&lt;&gt;"Yes"),"Action - unconfirmed",IF(AND(I113&gt;TODAY(),I113-TODAY()&lt;=ReminderLeadDays),"Upcoming","OK")))))))</f>
        <v>0</v>
      </c>
    </row>
    <row r="114" spans="1:52">
      <c r="A114" s="46">
        <f>IF(C114="","",BookingPrefix&amp;TEXT(ROW()-4,"0000"))</f>
        <v>0</v>
      </c>
      <c r="D114" s="28">
        <f>IF(C114="","",IFERROR(INDEX(Clients!$A$5:$A$254,MATCH(C114,Clients!$B$5:$B$254,0)),""))</f>
        <v>0</v>
      </c>
      <c r="J114" s="50">
        <f>IF(I114="","",TEXT(I114,"ddd"))</f>
        <v>0</v>
      </c>
      <c r="M114" s="51">
        <f>IF(OR(K114="",L114=""),"",ROUND((L114-K114+IF(L114&lt;K114,1,0))*24,2))</f>
        <v>0</v>
      </c>
      <c r="O114" s="28">
        <f>IF(H114="","",IFERROR(INDEX(Services!$E$5:$E$54,MATCH(H114,Services!$B$5:$B$54,0)),""))</f>
        <v>0</v>
      </c>
      <c r="P114" s="29">
        <f>IF(H114="","",IFERROR(INDEX(Services!$G$5:$G$54,MATCH(H114,Services!$B$5:$B$54,0)),0))</f>
        <v>0</v>
      </c>
      <c r="Q114" s="29">
        <f>IF(H114="","",IF(IFERROR(INDEX(Services!$H$5:$H$54,MATCH(H114,Services!$B$5:$B$54,0)),0)=0,ExtraPetFeeDefault,IFERROR(INDEX(Services!$H$5:$H$54,MATCH(H114,Services!$B$5:$B$54,0)),0)))</f>
        <v>0</v>
      </c>
      <c r="R114" s="30">
        <f>IF(H114="","",IF(IFERROR(INDEX(Services!$I$5:$I$54,MATCH(H114,Services!$B$5:$B$54,0)),0)=0,HolidaySurcharge,IFERROR(INDEX(Services!$I$5:$I$54,MATCH(H114,Services!$B$5:$B$54,0)),0)))</f>
        <v>0</v>
      </c>
      <c r="S114" s="30">
        <f>IF(H114="","",IF(IFERROR(INDEX(Services!$J$5:$J$54,MATCH(H114,Services!$B$5:$B$54,0)),0)=0,WeekendSurcharge,IFERROR(INDEX(Services!$J$5:$J$54,MATCH(H114,Services!$B$5:$B$54,0)),0)))</f>
        <v>0</v>
      </c>
      <c r="T114" s="50">
        <f>IF(H114="","",IFERROR(INDEX(Services!$K$5:$K$54,MATCH(H114,Services!$B$5:$B$54,0)),"No"))</f>
        <v>0</v>
      </c>
      <c r="U114" s="29">
        <f>IF(H114="","",ROUND(IF(O114="Per hour",P114*IF(M114="",IF(N114="",1,N114),M114),P114*IF(N114="",1,N114)),2))</f>
        <v>0</v>
      </c>
      <c r="V114" s="29">
        <f>IF(H114="","",ROUND(MAX(0,IF(G114="",1,G114)-1)*Q114,2))</f>
        <v>0</v>
      </c>
      <c r="W114" s="50">
        <f>IF(I114="","",IF(COUNTIF(HolidayDates,I114)&gt;0,"Yes","No"))</f>
        <v>0</v>
      </c>
      <c r="X114" s="50">
        <f>IF(I114="","",IF(WEEKDAY(I114,2)&gt;5,"Yes","No"))</f>
        <v>0</v>
      </c>
      <c r="Y114" s="29">
        <f>IF(H114="","",ROUND((U114+V114)*(IF(W114="Yes",R114,0)+IF(X114="Yes",S114,0)),2))</f>
        <v>0</v>
      </c>
      <c r="AA114" s="29">
        <f>IF(H114="","",IF(T114&lt;&gt;"Yes",0,ROUND(MAX(0,IF(Z114="",0,Z114)-FreeTravelDistance)*TravelFeeRate,2)))</f>
        <v>0</v>
      </c>
      <c r="AB114" s="31">
        <f>IF(I114="","",TravelTimeMins)</f>
        <v>0</v>
      </c>
      <c r="AC114" s="29">
        <f>IF(OR(I114="",B114=""),0,IF(I114-B114&lt;=LastMinuteDays,EmergencyFee,0))</f>
        <v>0</v>
      </c>
      <c r="AF114" s="29">
        <f>IF(H114="","",ROUND((U114+V114+Y114+AA114+AC114)*IF(AE114="",0,AE114),2))</f>
        <v>0</v>
      </c>
      <c r="AI114" s="29">
        <f>IF(H114="","",IF(AG114&lt;&gt;"",AG114,ROUND(U114+V114+Y114+AA114+AC114-AF114,2)))</f>
        <v>0</v>
      </c>
      <c r="AJ114" s="29">
        <f>IF(AI114="","",IF(TaxRegistered&lt;&gt;"Yes",0,IF(PricesIncludeTax="Yes",ROUND(AI114-AI114/(1+TaxRate),2),ROUND(AI114*TaxRate,2))))</f>
        <v>0</v>
      </c>
      <c r="AK114" s="29">
        <f>IF(AI114="","",IF(PricesIncludeTax="Yes",AI114,ROUND(AI114+AJ114,2)))</f>
        <v>0</v>
      </c>
      <c r="AQ114" s="21">
        <f>IF(OR(I114="",AP114="",AP114="None"),"",IF(AP114="Monthly",EDATE(I114,1),I114+IF(AP114="Daily",1,IF(AP114="Weekdays",IF(WEEKDAY(I114,2)&gt;=5,8-WEEKDAY(I114,2),1),IF(AP114="Weekly",7,IF(AP114="Fortnightly",14,0))))))</f>
        <v>0</v>
      </c>
      <c r="AR114" s="49">
        <f>IF(OR(I114="",AL114="",K114="",L114=""),"",IF(SUMPRODUCT((Bookings!$AL$5:$AL$404=AL114)*(Bookings!$I$5:$I$404=I114)*(Bookings!$K$5:$K$404&lt;L114)*(Bookings!$L$5:$L$404&gt;K114)*(Bookings!$AM$5:$AM$404&lt;&gt;"Cancelled"))&gt;1,"Conflict - double booked","OK"))</f>
        <v>0</v>
      </c>
      <c r="AS114" s="50">
        <f>IF(A114="","",IF(COUNTIF('Visit Log'!$B$5:$B$404,A114)&gt;0,"Yes","No"))</f>
        <v>0</v>
      </c>
      <c r="AT114" s="28">
        <f>IF(A114="","",IFERROR(INDEX(Invoices!$A$5:$A$304,MATCH(A114,Invoices!$E$5:$E$304,0)),""))</f>
        <v>0</v>
      </c>
      <c r="AU114" s="49">
        <f>IF(A114="","",IF(AT114="","Not invoiced",IFERROR(INDEX(Invoices!$U$5:$U$304,MATCH(AT114,Invoices!$A$5:$A$304,0)),"")))</f>
        <v>0</v>
      </c>
      <c r="AY114" s="28">
        <f>IF(I114="","",TEXT(I114,"yyyy-mm"))</f>
        <v>0</v>
      </c>
      <c r="AZ114" s="49">
        <f>IF(I114="","",IF(AM114="Cancelled","Cancelled",IF(AND(I114&lt;TODAY(),OR(AM114="Pending",AM114="Confirmed",AM114="Enquiry")),"Overdue - update status",IF(AND(AM114="Completed",AS114="No"),"Action - log the visit",IF(I114=TODAY(),"Today",IF(AND(I114&gt;TODAY(),I114-TODAY()&lt;=ReminderLeadDays,AN114&lt;&gt;"Yes"),"Action - unconfirmed",IF(AND(I114&gt;TODAY(),I114-TODAY()&lt;=ReminderLeadDays),"Upcoming","OK")))))))</f>
        <v>0</v>
      </c>
    </row>
    <row r="115" spans="1:52">
      <c r="A115" s="46">
        <f>IF(C115="","",BookingPrefix&amp;TEXT(ROW()-4,"0000"))</f>
        <v>0</v>
      </c>
      <c r="D115" s="28">
        <f>IF(C115="","",IFERROR(INDEX(Clients!$A$5:$A$254,MATCH(C115,Clients!$B$5:$B$254,0)),""))</f>
        <v>0</v>
      </c>
      <c r="J115" s="50">
        <f>IF(I115="","",TEXT(I115,"ddd"))</f>
        <v>0</v>
      </c>
      <c r="M115" s="51">
        <f>IF(OR(K115="",L115=""),"",ROUND((L115-K115+IF(L115&lt;K115,1,0))*24,2))</f>
        <v>0</v>
      </c>
      <c r="O115" s="28">
        <f>IF(H115="","",IFERROR(INDEX(Services!$E$5:$E$54,MATCH(H115,Services!$B$5:$B$54,0)),""))</f>
        <v>0</v>
      </c>
      <c r="P115" s="29">
        <f>IF(H115="","",IFERROR(INDEX(Services!$G$5:$G$54,MATCH(H115,Services!$B$5:$B$54,0)),0))</f>
        <v>0</v>
      </c>
      <c r="Q115" s="29">
        <f>IF(H115="","",IF(IFERROR(INDEX(Services!$H$5:$H$54,MATCH(H115,Services!$B$5:$B$54,0)),0)=0,ExtraPetFeeDefault,IFERROR(INDEX(Services!$H$5:$H$54,MATCH(H115,Services!$B$5:$B$54,0)),0)))</f>
        <v>0</v>
      </c>
      <c r="R115" s="30">
        <f>IF(H115="","",IF(IFERROR(INDEX(Services!$I$5:$I$54,MATCH(H115,Services!$B$5:$B$54,0)),0)=0,HolidaySurcharge,IFERROR(INDEX(Services!$I$5:$I$54,MATCH(H115,Services!$B$5:$B$54,0)),0)))</f>
        <v>0</v>
      </c>
      <c r="S115" s="30">
        <f>IF(H115="","",IF(IFERROR(INDEX(Services!$J$5:$J$54,MATCH(H115,Services!$B$5:$B$54,0)),0)=0,WeekendSurcharge,IFERROR(INDEX(Services!$J$5:$J$54,MATCH(H115,Services!$B$5:$B$54,0)),0)))</f>
        <v>0</v>
      </c>
      <c r="T115" s="50">
        <f>IF(H115="","",IFERROR(INDEX(Services!$K$5:$K$54,MATCH(H115,Services!$B$5:$B$54,0)),"No"))</f>
        <v>0</v>
      </c>
      <c r="U115" s="29">
        <f>IF(H115="","",ROUND(IF(O115="Per hour",P115*IF(M115="",IF(N115="",1,N115),M115),P115*IF(N115="",1,N115)),2))</f>
        <v>0</v>
      </c>
      <c r="V115" s="29">
        <f>IF(H115="","",ROUND(MAX(0,IF(G115="",1,G115)-1)*Q115,2))</f>
        <v>0</v>
      </c>
      <c r="W115" s="50">
        <f>IF(I115="","",IF(COUNTIF(HolidayDates,I115)&gt;0,"Yes","No"))</f>
        <v>0</v>
      </c>
      <c r="X115" s="50">
        <f>IF(I115="","",IF(WEEKDAY(I115,2)&gt;5,"Yes","No"))</f>
        <v>0</v>
      </c>
      <c r="Y115" s="29">
        <f>IF(H115="","",ROUND((U115+V115)*(IF(W115="Yes",R115,0)+IF(X115="Yes",S115,0)),2))</f>
        <v>0</v>
      </c>
      <c r="AA115" s="29">
        <f>IF(H115="","",IF(T115&lt;&gt;"Yes",0,ROUND(MAX(0,IF(Z115="",0,Z115)-FreeTravelDistance)*TravelFeeRate,2)))</f>
        <v>0</v>
      </c>
      <c r="AB115" s="31">
        <f>IF(I115="","",TravelTimeMins)</f>
        <v>0</v>
      </c>
      <c r="AC115" s="29">
        <f>IF(OR(I115="",B115=""),0,IF(I115-B115&lt;=LastMinuteDays,EmergencyFee,0))</f>
        <v>0</v>
      </c>
      <c r="AF115" s="29">
        <f>IF(H115="","",ROUND((U115+V115+Y115+AA115+AC115)*IF(AE115="",0,AE115),2))</f>
        <v>0</v>
      </c>
      <c r="AI115" s="29">
        <f>IF(H115="","",IF(AG115&lt;&gt;"",AG115,ROUND(U115+V115+Y115+AA115+AC115-AF115,2)))</f>
        <v>0</v>
      </c>
      <c r="AJ115" s="29">
        <f>IF(AI115="","",IF(TaxRegistered&lt;&gt;"Yes",0,IF(PricesIncludeTax="Yes",ROUND(AI115-AI115/(1+TaxRate),2),ROUND(AI115*TaxRate,2))))</f>
        <v>0</v>
      </c>
      <c r="AK115" s="29">
        <f>IF(AI115="","",IF(PricesIncludeTax="Yes",AI115,ROUND(AI115+AJ115,2)))</f>
        <v>0</v>
      </c>
      <c r="AQ115" s="21">
        <f>IF(OR(I115="",AP115="",AP115="None"),"",IF(AP115="Monthly",EDATE(I115,1),I115+IF(AP115="Daily",1,IF(AP115="Weekdays",IF(WEEKDAY(I115,2)&gt;=5,8-WEEKDAY(I115,2),1),IF(AP115="Weekly",7,IF(AP115="Fortnightly",14,0))))))</f>
        <v>0</v>
      </c>
      <c r="AR115" s="49">
        <f>IF(OR(I115="",AL115="",K115="",L115=""),"",IF(SUMPRODUCT((Bookings!$AL$5:$AL$404=AL115)*(Bookings!$I$5:$I$404=I115)*(Bookings!$K$5:$K$404&lt;L115)*(Bookings!$L$5:$L$404&gt;K115)*(Bookings!$AM$5:$AM$404&lt;&gt;"Cancelled"))&gt;1,"Conflict - double booked","OK"))</f>
        <v>0</v>
      </c>
      <c r="AS115" s="50">
        <f>IF(A115="","",IF(COUNTIF('Visit Log'!$B$5:$B$404,A115)&gt;0,"Yes","No"))</f>
        <v>0</v>
      </c>
      <c r="AT115" s="28">
        <f>IF(A115="","",IFERROR(INDEX(Invoices!$A$5:$A$304,MATCH(A115,Invoices!$E$5:$E$304,0)),""))</f>
        <v>0</v>
      </c>
      <c r="AU115" s="49">
        <f>IF(A115="","",IF(AT115="","Not invoiced",IFERROR(INDEX(Invoices!$U$5:$U$304,MATCH(AT115,Invoices!$A$5:$A$304,0)),"")))</f>
        <v>0</v>
      </c>
      <c r="AY115" s="28">
        <f>IF(I115="","",TEXT(I115,"yyyy-mm"))</f>
        <v>0</v>
      </c>
      <c r="AZ115" s="49">
        <f>IF(I115="","",IF(AM115="Cancelled","Cancelled",IF(AND(I115&lt;TODAY(),OR(AM115="Pending",AM115="Confirmed",AM115="Enquiry")),"Overdue - update status",IF(AND(AM115="Completed",AS115="No"),"Action - log the visit",IF(I115=TODAY(),"Today",IF(AND(I115&gt;TODAY(),I115-TODAY()&lt;=ReminderLeadDays,AN115&lt;&gt;"Yes"),"Action - unconfirmed",IF(AND(I115&gt;TODAY(),I115-TODAY()&lt;=ReminderLeadDays),"Upcoming","OK")))))))</f>
        <v>0</v>
      </c>
    </row>
    <row r="116" spans="1:52">
      <c r="A116" s="46">
        <f>IF(C116="","",BookingPrefix&amp;TEXT(ROW()-4,"0000"))</f>
        <v>0</v>
      </c>
      <c r="D116" s="28">
        <f>IF(C116="","",IFERROR(INDEX(Clients!$A$5:$A$254,MATCH(C116,Clients!$B$5:$B$254,0)),""))</f>
        <v>0</v>
      </c>
      <c r="J116" s="50">
        <f>IF(I116="","",TEXT(I116,"ddd"))</f>
        <v>0</v>
      </c>
      <c r="M116" s="51">
        <f>IF(OR(K116="",L116=""),"",ROUND((L116-K116+IF(L116&lt;K116,1,0))*24,2))</f>
        <v>0</v>
      </c>
      <c r="O116" s="28">
        <f>IF(H116="","",IFERROR(INDEX(Services!$E$5:$E$54,MATCH(H116,Services!$B$5:$B$54,0)),""))</f>
        <v>0</v>
      </c>
      <c r="P116" s="29">
        <f>IF(H116="","",IFERROR(INDEX(Services!$G$5:$G$54,MATCH(H116,Services!$B$5:$B$54,0)),0))</f>
        <v>0</v>
      </c>
      <c r="Q116" s="29">
        <f>IF(H116="","",IF(IFERROR(INDEX(Services!$H$5:$H$54,MATCH(H116,Services!$B$5:$B$54,0)),0)=0,ExtraPetFeeDefault,IFERROR(INDEX(Services!$H$5:$H$54,MATCH(H116,Services!$B$5:$B$54,0)),0)))</f>
        <v>0</v>
      </c>
      <c r="R116" s="30">
        <f>IF(H116="","",IF(IFERROR(INDEX(Services!$I$5:$I$54,MATCH(H116,Services!$B$5:$B$54,0)),0)=0,HolidaySurcharge,IFERROR(INDEX(Services!$I$5:$I$54,MATCH(H116,Services!$B$5:$B$54,0)),0)))</f>
        <v>0</v>
      </c>
      <c r="S116" s="30">
        <f>IF(H116="","",IF(IFERROR(INDEX(Services!$J$5:$J$54,MATCH(H116,Services!$B$5:$B$54,0)),0)=0,WeekendSurcharge,IFERROR(INDEX(Services!$J$5:$J$54,MATCH(H116,Services!$B$5:$B$54,0)),0)))</f>
        <v>0</v>
      </c>
      <c r="T116" s="50">
        <f>IF(H116="","",IFERROR(INDEX(Services!$K$5:$K$54,MATCH(H116,Services!$B$5:$B$54,0)),"No"))</f>
        <v>0</v>
      </c>
      <c r="U116" s="29">
        <f>IF(H116="","",ROUND(IF(O116="Per hour",P116*IF(M116="",IF(N116="",1,N116),M116),P116*IF(N116="",1,N116)),2))</f>
        <v>0</v>
      </c>
      <c r="V116" s="29">
        <f>IF(H116="","",ROUND(MAX(0,IF(G116="",1,G116)-1)*Q116,2))</f>
        <v>0</v>
      </c>
      <c r="W116" s="50">
        <f>IF(I116="","",IF(COUNTIF(HolidayDates,I116)&gt;0,"Yes","No"))</f>
        <v>0</v>
      </c>
      <c r="X116" s="50">
        <f>IF(I116="","",IF(WEEKDAY(I116,2)&gt;5,"Yes","No"))</f>
        <v>0</v>
      </c>
      <c r="Y116" s="29">
        <f>IF(H116="","",ROUND((U116+V116)*(IF(W116="Yes",R116,0)+IF(X116="Yes",S116,0)),2))</f>
        <v>0</v>
      </c>
      <c r="AA116" s="29">
        <f>IF(H116="","",IF(T116&lt;&gt;"Yes",0,ROUND(MAX(0,IF(Z116="",0,Z116)-FreeTravelDistance)*TravelFeeRate,2)))</f>
        <v>0</v>
      </c>
      <c r="AB116" s="31">
        <f>IF(I116="","",TravelTimeMins)</f>
        <v>0</v>
      </c>
      <c r="AC116" s="29">
        <f>IF(OR(I116="",B116=""),0,IF(I116-B116&lt;=LastMinuteDays,EmergencyFee,0))</f>
        <v>0</v>
      </c>
      <c r="AF116" s="29">
        <f>IF(H116="","",ROUND((U116+V116+Y116+AA116+AC116)*IF(AE116="",0,AE116),2))</f>
        <v>0</v>
      </c>
      <c r="AI116" s="29">
        <f>IF(H116="","",IF(AG116&lt;&gt;"",AG116,ROUND(U116+V116+Y116+AA116+AC116-AF116,2)))</f>
        <v>0</v>
      </c>
      <c r="AJ116" s="29">
        <f>IF(AI116="","",IF(TaxRegistered&lt;&gt;"Yes",0,IF(PricesIncludeTax="Yes",ROUND(AI116-AI116/(1+TaxRate),2),ROUND(AI116*TaxRate,2))))</f>
        <v>0</v>
      </c>
      <c r="AK116" s="29">
        <f>IF(AI116="","",IF(PricesIncludeTax="Yes",AI116,ROUND(AI116+AJ116,2)))</f>
        <v>0</v>
      </c>
      <c r="AQ116" s="21">
        <f>IF(OR(I116="",AP116="",AP116="None"),"",IF(AP116="Monthly",EDATE(I116,1),I116+IF(AP116="Daily",1,IF(AP116="Weekdays",IF(WEEKDAY(I116,2)&gt;=5,8-WEEKDAY(I116,2),1),IF(AP116="Weekly",7,IF(AP116="Fortnightly",14,0))))))</f>
        <v>0</v>
      </c>
      <c r="AR116" s="49">
        <f>IF(OR(I116="",AL116="",K116="",L116=""),"",IF(SUMPRODUCT((Bookings!$AL$5:$AL$404=AL116)*(Bookings!$I$5:$I$404=I116)*(Bookings!$K$5:$K$404&lt;L116)*(Bookings!$L$5:$L$404&gt;K116)*(Bookings!$AM$5:$AM$404&lt;&gt;"Cancelled"))&gt;1,"Conflict - double booked","OK"))</f>
        <v>0</v>
      </c>
      <c r="AS116" s="50">
        <f>IF(A116="","",IF(COUNTIF('Visit Log'!$B$5:$B$404,A116)&gt;0,"Yes","No"))</f>
        <v>0</v>
      </c>
      <c r="AT116" s="28">
        <f>IF(A116="","",IFERROR(INDEX(Invoices!$A$5:$A$304,MATCH(A116,Invoices!$E$5:$E$304,0)),""))</f>
        <v>0</v>
      </c>
      <c r="AU116" s="49">
        <f>IF(A116="","",IF(AT116="","Not invoiced",IFERROR(INDEX(Invoices!$U$5:$U$304,MATCH(AT116,Invoices!$A$5:$A$304,0)),"")))</f>
        <v>0</v>
      </c>
      <c r="AY116" s="28">
        <f>IF(I116="","",TEXT(I116,"yyyy-mm"))</f>
        <v>0</v>
      </c>
      <c r="AZ116" s="49">
        <f>IF(I116="","",IF(AM116="Cancelled","Cancelled",IF(AND(I116&lt;TODAY(),OR(AM116="Pending",AM116="Confirmed",AM116="Enquiry")),"Overdue - update status",IF(AND(AM116="Completed",AS116="No"),"Action - log the visit",IF(I116=TODAY(),"Today",IF(AND(I116&gt;TODAY(),I116-TODAY()&lt;=ReminderLeadDays,AN116&lt;&gt;"Yes"),"Action - unconfirmed",IF(AND(I116&gt;TODAY(),I116-TODAY()&lt;=ReminderLeadDays),"Upcoming","OK")))))))</f>
        <v>0</v>
      </c>
    </row>
    <row r="117" spans="1:52">
      <c r="A117" s="46">
        <f>IF(C117="","",BookingPrefix&amp;TEXT(ROW()-4,"0000"))</f>
        <v>0</v>
      </c>
      <c r="D117" s="28">
        <f>IF(C117="","",IFERROR(INDEX(Clients!$A$5:$A$254,MATCH(C117,Clients!$B$5:$B$254,0)),""))</f>
        <v>0</v>
      </c>
      <c r="J117" s="50">
        <f>IF(I117="","",TEXT(I117,"ddd"))</f>
        <v>0</v>
      </c>
      <c r="M117" s="51">
        <f>IF(OR(K117="",L117=""),"",ROUND((L117-K117+IF(L117&lt;K117,1,0))*24,2))</f>
        <v>0</v>
      </c>
      <c r="O117" s="28">
        <f>IF(H117="","",IFERROR(INDEX(Services!$E$5:$E$54,MATCH(H117,Services!$B$5:$B$54,0)),""))</f>
        <v>0</v>
      </c>
      <c r="P117" s="29">
        <f>IF(H117="","",IFERROR(INDEX(Services!$G$5:$G$54,MATCH(H117,Services!$B$5:$B$54,0)),0))</f>
        <v>0</v>
      </c>
      <c r="Q117" s="29">
        <f>IF(H117="","",IF(IFERROR(INDEX(Services!$H$5:$H$54,MATCH(H117,Services!$B$5:$B$54,0)),0)=0,ExtraPetFeeDefault,IFERROR(INDEX(Services!$H$5:$H$54,MATCH(H117,Services!$B$5:$B$54,0)),0)))</f>
        <v>0</v>
      </c>
      <c r="R117" s="30">
        <f>IF(H117="","",IF(IFERROR(INDEX(Services!$I$5:$I$54,MATCH(H117,Services!$B$5:$B$54,0)),0)=0,HolidaySurcharge,IFERROR(INDEX(Services!$I$5:$I$54,MATCH(H117,Services!$B$5:$B$54,0)),0)))</f>
        <v>0</v>
      </c>
      <c r="S117" s="30">
        <f>IF(H117="","",IF(IFERROR(INDEX(Services!$J$5:$J$54,MATCH(H117,Services!$B$5:$B$54,0)),0)=0,WeekendSurcharge,IFERROR(INDEX(Services!$J$5:$J$54,MATCH(H117,Services!$B$5:$B$54,0)),0)))</f>
        <v>0</v>
      </c>
      <c r="T117" s="50">
        <f>IF(H117="","",IFERROR(INDEX(Services!$K$5:$K$54,MATCH(H117,Services!$B$5:$B$54,0)),"No"))</f>
        <v>0</v>
      </c>
      <c r="U117" s="29">
        <f>IF(H117="","",ROUND(IF(O117="Per hour",P117*IF(M117="",IF(N117="",1,N117),M117),P117*IF(N117="",1,N117)),2))</f>
        <v>0</v>
      </c>
      <c r="V117" s="29">
        <f>IF(H117="","",ROUND(MAX(0,IF(G117="",1,G117)-1)*Q117,2))</f>
        <v>0</v>
      </c>
      <c r="W117" s="50">
        <f>IF(I117="","",IF(COUNTIF(HolidayDates,I117)&gt;0,"Yes","No"))</f>
        <v>0</v>
      </c>
      <c r="X117" s="50">
        <f>IF(I117="","",IF(WEEKDAY(I117,2)&gt;5,"Yes","No"))</f>
        <v>0</v>
      </c>
      <c r="Y117" s="29">
        <f>IF(H117="","",ROUND((U117+V117)*(IF(W117="Yes",R117,0)+IF(X117="Yes",S117,0)),2))</f>
        <v>0</v>
      </c>
      <c r="AA117" s="29">
        <f>IF(H117="","",IF(T117&lt;&gt;"Yes",0,ROUND(MAX(0,IF(Z117="",0,Z117)-FreeTravelDistance)*TravelFeeRate,2)))</f>
        <v>0</v>
      </c>
      <c r="AB117" s="31">
        <f>IF(I117="","",TravelTimeMins)</f>
        <v>0</v>
      </c>
      <c r="AC117" s="29">
        <f>IF(OR(I117="",B117=""),0,IF(I117-B117&lt;=LastMinuteDays,EmergencyFee,0))</f>
        <v>0</v>
      </c>
      <c r="AF117" s="29">
        <f>IF(H117="","",ROUND((U117+V117+Y117+AA117+AC117)*IF(AE117="",0,AE117),2))</f>
        <v>0</v>
      </c>
      <c r="AI117" s="29">
        <f>IF(H117="","",IF(AG117&lt;&gt;"",AG117,ROUND(U117+V117+Y117+AA117+AC117-AF117,2)))</f>
        <v>0</v>
      </c>
      <c r="AJ117" s="29">
        <f>IF(AI117="","",IF(TaxRegistered&lt;&gt;"Yes",0,IF(PricesIncludeTax="Yes",ROUND(AI117-AI117/(1+TaxRate),2),ROUND(AI117*TaxRate,2))))</f>
        <v>0</v>
      </c>
      <c r="AK117" s="29">
        <f>IF(AI117="","",IF(PricesIncludeTax="Yes",AI117,ROUND(AI117+AJ117,2)))</f>
        <v>0</v>
      </c>
      <c r="AQ117" s="21">
        <f>IF(OR(I117="",AP117="",AP117="None"),"",IF(AP117="Monthly",EDATE(I117,1),I117+IF(AP117="Daily",1,IF(AP117="Weekdays",IF(WEEKDAY(I117,2)&gt;=5,8-WEEKDAY(I117,2),1),IF(AP117="Weekly",7,IF(AP117="Fortnightly",14,0))))))</f>
        <v>0</v>
      </c>
      <c r="AR117" s="49">
        <f>IF(OR(I117="",AL117="",K117="",L117=""),"",IF(SUMPRODUCT((Bookings!$AL$5:$AL$404=AL117)*(Bookings!$I$5:$I$404=I117)*(Bookings!$K$5:$K$404&lt;L117)*(Bookings!$L$5:$L$404&gt;K117)*(Bookings!$AM$5:$AM$404&lt;&gt;"Cancelled"))&gt;1,"Conflict - double booked","OK"))</f>
        <v>0</v>
      </c>
      <c r="AS117" s="50">
        <f>IF(A117="","",IF(COUNTIF('Visit Log'!$B$5:$B$404,A117)&gt;0,"Yes","No"))</f>
        <v>0</v>
      </c>
      <c r="AT117" s="28">
        <f>IF(A117="","",IFERROR(INDEX(Invoices!$A$5:$A$304,MATCH(A117,Invoices!$E$5:$E$304,0)),""))</f>
        <v>0</v>
      </c>
      <c r="AU117" s="49">
        <f>IF(A117="","",IF(AT117="","Not invoiced",IFERROR(INDEX(Invoices!$U$5:$U$304,MATCH(AT117,Invoices!$A$5:$A$304,0)),"")))</f>
        <v>0</v>
      </c>
      <c r="AY117" s="28">
        <f>IF(I117="","",TEXT(I117,"yyyy-mm"))</f>
        <v>0</v>
      </c>
      <c r="AZ117" s="49">
        <f>IF(I117="","",IF(AM117="Cancelled","Cancelled",IF(AND(I117&lt;TODAY(),OR(AM117="Pending",AM117="Confirmed",AM117="Enquiry")),"Overdue - update status",IF(AND(AM117="Completed",AS117="No"),"Action - log the visit",IF(I117=TODAY(),"Today",IF(AND(I117&gt;TODAY(),I117-TODAY()&lt;=ReminderLeadDays,AN117&lt;&gt;"Yes"),"Action - unconfirmed",IF(AND(I117&gt;TODAY(),I117-TODAY()&lt;=ReminderLeadDays),"Upcoming","OK")))))))</f>
        <v>0</v>
      </c>
    </row>
    <row r="118" spans="1:52">
      <c r="A118" s="46">
        <f>IF(C118="","",BookingPrefix&amp;TEXT(ROW()-4,"0000"))</f>
        <v>0</v>
      </c>
      <c r="D118" s="28">
        <f>IF(C118="","",IFERROR(INDEX(Clients!$A$5:$A$254,MATCH(C118,Clients!$B$5:$B$254,0)),""))</f>
        <v>0</v>
      </c>
      <c r="J118" s="50">
        <f>IF(I118="","",TEXT(I118,"ddd"))</f>
        <v>0</v>
      </c>
      <c r="M118" s="51">
        <f>IF(OR(K118="",L118=""),"",ROUND((L118-K118+IF(L118&lt;K118,1,0))*24,2))</f>
        <v>0</v>
      </c>
      <c r="O118" s="28">
        <f>IF(H118="","",IFERROR(INDEX(Services!$E$5:$E$54,MATCH(H118,Services!$B$5:$B$54,0)),""))</f>
        <v>0</v>
      </c>
      <c r="P118" s="29">
        <f>IF(H118="","",IFERROR(INDEX(Services!$G$5:$G$54,MATCH(H118,Services!$B$5:$B$54,0)),0))</f>
        <v>0</v>
      </c>
      <c r="Q118" s="29">
        <f>IF(H118="","",IF(IFERROR(INDEX(Services!$H$5:$H$54,MATCH(H118,Services!$B$5:$B$54,0)),0)=0,ExtraPetFeeDefault,IFERROR(INDEX(Services!$H$5:$H$54,MATCH(H118,Services!$B$5:$B$54,0)),0)))</f>
        <v>0</v>
      </c>
      <c r="R118" s="30">
        <f>IF(H118="","",IF(IFERROR(INDEX(Services!$I$5:$I$54,MATCH(H118,Services!$B$5:$B$54,0)),0)=0,HolidaySurcharge,IFERROR(INDEX(Services!$I$5:$I$54,MATCH(H118,Services!$B$5:$B$54,0)),0)))</f>
        <v>0</v>
      </c>
      <c r="S118" s="30">
        <f>IF(H118="","",IF(IFERROR(INDEX(Services!$J$5:$J$54,MATCH(H118,Services!$B$5:$B$54,0)),0)=0,WeekendSurcharge,IFERROR(INDEX(Services!$J$5:$J$54,MATCH(H118,Services!$B$5:$B$54,0)),0)))</f>
        <v>0</v>
      </c>
      <c r="T118" s="50">
        <f>IF(H118="","",IFERROR(INDEX(Services!$K$5:$K$54,MATCH(H118,Services!$B$5:$B$54,0)),"No"))</f>
        <v>0</v>
      </c>
      <c r="U118" s="29">
        <f>IF(H118="","",ROUND(IF(O118="Per hour",P118*IF(M118="",IF(N118="",1,N118),M118),P118*IF(N118="",1,N118)),2))</f>
        <v>0</v>
      </c>
      <c r="V118" s="29">
        <f>IF(H118="","",ROUND(MAX(0,IF(G118="",1,G118)-1)*Q118,2))</f>
        <v>0</v>
      </c>
      <c r="W118" s="50">
        <f>IF(I118="","",IF(COUNTIF(HolidayDates,I118)&gt;0,"Yes","No"))</f>
        <v>0</v>
      </c>
      <c r="X118" s="50">
        <f>IF(I118="","",IF(WEEKDAY(I118,2)&gt;5,"Yes","No"))</f>
        <v>0</v>
      </c>
      <c r="Y118" s="29">
        <f>IF(H118="","",ROUND((U118+V118)*(IF(W118="Yes",R118,0)+IF(X118="Yes",S118,0)),2))</f>
        <v>0</v>
      </c>
      <c r="AA118" s="29">
        <f>IF(H118="","",IF(T118&lt;&gt;"Yes",0,ROUND(MAX(0,IF(Z118="",0,Z118)-FreeTravelDistance)*TravelFeeRate,2)))</f>
        <v>0</v>
      </c>
      <c r="AB118" s="31">
        <f>IF(I118="","",TravelTimeMins)</f>
        <v>0</v>
      </c>
      <c r="AC118" s="29">
        <f>IF(OR(I118="",B118=""),0,IF(I118-B118&lt;=LastMinuteDays,EmergencyFee,0))</f>
        <v>0</v>
      </c>
      <c r="AF118" s="29">
        <f>IF(H118="","",ROUND((U118+V118+Y118+AA118+AC118)*IF(AE118="",0,AE118),2))</f>
        <v>0</v>
      </c>
      <c r="AI118" s="29">
        <f>IF(H118="","",IF(AG118&lt;&gt;"",AG118,ROUND(U118+V118+Y118+AA118+AC118-AF118,2)))</f>
        <v>0</v>
      </c>
      <c r="AJ118" s="29">
        <f>IF(AI118="","",IF(TaxRegistered&lt;&gt;"Yes",0,IF(PricesIncludeTax="Yes",ROUND(AI118-AI118/(1+TaxRate),2),ROUND(AI118*TaxRate,2))))</f>
        <v>0</v>
      </c>
      <c r="AK118" s="29">
        <f>IF(AI118="","",IF(PricesIncludeTax="Yes",AI118,ROUND(AI118+AJ118,2)))</f>
        <v>0</v>
      </c>
      <c r="AQ118" s="21">
        <f>IF(OR(I118="",AP118="",AP118="None"),"",IF(AP118="Monthly",EDATE(I118,1),I118+IF(AP118="Daily",1,IF(AP118="Weekdays",IF(WEEKDAY(I118,2)&gt;=5,8-WEEKDAY(I118,2),1),IF(AP118="Weekly",7,IF(AP118="Fortnightly",14,0))))))</f>
        <v>0</v>
      </c>
      <c r="AR118" s="49">
        <f>IF(OR(I118="",AL118="",K118="",L118=""),"",IF(SUMPRODUCT((Bookings!$AL$5:$AL$404=AL118)*(Bookings!$I$5:$I$404=I118)*(Bookings!$K$5:$K$404&lt;L118)*(Bookings!$L$5:$L$404&gt;K118)*(Bookings!$AM$5:$AM$404&lt;&gt;"Cancelled"))&gt;1,"Conflict - double booked","OK"))</f>
        <v>0</v>
      </c>
      <c r="AS118" s="50">
        <f>IF(A118="","",IF(COUNTIF('Visit Log'!$B$5:$B$404,A118)&gt;0,"Yes","No"))</f>
        <v>0</v>
      </c>
      <c r="AT118" s="28">
        <f>IF(A118="","",IFERROR(INDEX(Invoices!$A$5:$A$304,MATCH(A118,Invoices!$E$5:$E$304,0)),""))</f>
        <v>0</v>
      </c>
      <c r="AU118" s="49">
        <f>IF(A118="","",IF(AT118="","Not invoiced",IFERROR(INDEX(Invoices!$U$5:$U$304,MATCH(AT118,Invoices!$A$5:$A$304,0)),"")))</f>
        <v>0</v>
      </c>
      <c r="AY118" s="28">
        <f>IF(I118="","",TEXT(I118,"yyyy-mm"))</f>
        <v>0</v>
      </c>
      <c r="AZ118" s="49">
        <f>IF(I118="","",IF(AM118="Cancelled","Cancelled",IF(AND(I118&lt;TODAY(),OR(AM118="Pending",AM118="Confirmed",AM118="Enquiry")),"Overdue - update status",IF(AND(AM118="Completed",AS118="No"),"Action - log the visit",IF(I118=TODAY(),"Today",IF(AND(I118&gt;TODAY(),I118-TODAY()&lt;=ReminderLeadDays,AN118&lt;&gt;"Yes"),"Action - unconfirmed",IF(AND(I118&gt;TODAY(),I118-TODAY()&lt;=ReminderLeadDays),"Upcoming","OK")))))))</f>
        <v>0</v>
      </c>
    </row>
    <row r="119" spans="1:52">
      <c r="A119" s="46">
        <f>IF(C119="","",BookingPrefix&amp;TEXT(ROW()-4,"0000"))</f>
        <v>0</v>
      </c>
      <c r="D119" s="28">
        <f>IF(C119="","",IFERROR(INDEX(Clients!$A$5:$A$254,MATCH(C119,Clients!$B$5:$B$254,0)),""))</f>
        <v>0</v>
      </c>
      <c r="J119" s="50">
        <f>IF(I119="","",TEXT(I119,"ddd"))</f>
        <v>0</v>
      </c>
      <c r="M119" s="51">
        <f>IF(OR(K119="",L119=""),"",ROUND((L119-K119+IF(L119&lt;K119,1,0))*24,2))</f>
        <v>0</v>
      </c>
      <c r="O119" s="28">
        <f>IF(H119="","",IFERROR(INDEX(Services!$E$5:$E$54,MATCH(H119,Services!$B$5:$B$54,0)),""))</f>
        <v>0</v>
      </c>
      <c r="P119" s="29">
        <f>IF(H119="","",IFERROR(INDEX(Services!$G$5:$G$54,MATCH(H119,Services!$B$5:$B$54,0)),0))</f>
        <v>0</v>
      </c>
      <c r="Q119" s="29">
        <f>IF(H119="","",IF(IFERROR(INDEX(Services!$H$5:$H$54,MATCH(H119,Services!$B$5:$B$54,0)),0)=0,ExtraPetFeeDefault,IFERROR(INDEX(Services!$H$5:$H$54,MATCH(H119,Services!$B$5:$B$54,0)),0)))</f>
        <v>0</v>
      </c>
      <c r="R119" s="30">
        <f>IF(H119="","",IF(IFERROR(INDEX(Services!$I$5:$I$54,MATCH(H119,Services!$B$5:$B$54,0)),0)=0,HolidaySurcharge,IFERROR(INDEX(Services!$I$5:$I$54,MATCH(H119,Services!$B$5:$B$54,0)),0)))</f>
        <v>0</v>
      </c>
      <c r="S119" s="30">
        <f>IF(H119="","",IF(IFERROR(INDEX(Services!$J$5:$J$54,MATCH(H119,Services!$B$5:$B$54,0)),0)=0,WeekendSurcharge,IFERROR(INDEX(Services!$J$5:$J$54,MATCH(H119,Services!$B$5:$B$54,0)),0)))</f>
        <v>0</v>
      </c>
      <c r="T119" s="50">
        <f>IF(H119="","",IFERROR(INDEX(Services!$K$5:$K$54,MATCH(H119,Services!$B$5:$B$54,0)),"No"))</f>
        <v>0</v>
      </c>
      <c r="U119" s="29">
        <f>IF(H119="","",ROUND(IF(O119="Per hour",P119*IF(M119="",IF(N119="",1,N119),M119),P119*IF(N119="",1,N119)),2))</f>
        <v>0</v>
      </c>
      <c r="V119" s="29">
        <f>IF(H119="","",ROUND(MAX(0,IF(G119="",1,G119)-1)*Q119,2))</f>
        <v>0</v>
      </c>
      <c r="W119" s="50">
        <f>IF(I119="","",IF(COUNTIF(HolidayDates,I119)&gt;0,"Yes","No"))</f>
        <v>0</v>
      </c>
      <c r="X119" s="50">
        <f>IF(I119="","",IF(WEEKDAY(I119,2)&gt;5,"Yes","No"))</f>
        <v>0</v>
      </c>
      <c r="Y119" s="29">
        <f>IF(H119="","",ROUND((U119+V119)*(IF(W119="Yes",R119,0)+IF(X119="Yes",S119,0)),2))</f>
        <v>0</v>
      </c>
      <c r="AA119" s="29">
        <f>IF(H119="","",IF(T119&lt;&gt;"Yes",0,ROUND(MAX(0,IF(Z119="",0,Z119)-FreeTravelDistance)*TravelFeeRate,2)))</f>
        <v>0</v>
      </c>
      <c r="AB119" s="31">
        <f>IF(I119="","",TravelTimeMins)</f>
        <v>0</v>
      </c>
      <c r="AC119" s="29">
        <f>IF(OR(I119="",B119=""),0,IF(I119-B119&lt;=LastMinuteDays,EmergencyFee,0))</f>
        <v>0</v>
      </c>
      <c r="AF119" s="29">
        <f>IF(H119="","",ROUND((U119+V119+Y119+AA119+AC119)*IF(AE119="",0,AE119),2))</f>
        <v>0</v>
      </c>
      <c r="AI119" s="29">
        <f>IF(H119="","",IF(AG119&lt;&gt;"",AG119,ROUND(U119+V119+Y119+AA119+AC119-AF119,2)))</f>
        <v>0</v>
      </c>
      <c r="AJ119" s="29">
        <f>IF(AI119="","",IF(TaxRegistered&lt;&gt;"Yes",0,IF(PricesIncludeTax="Yes",ROUND(AI119-AI119/(1+TaxRate),2),ROUND(AI119*TaxRate,2))))</f>
        <v>0</v>
      </c>
      <c r="AK119" s="29">
        <f>IF(AI119="","",IF(PricesIncludeTax="Yes",AI119,ROUND(AI119+AJ119,2)))</f>
        <v>0</v>
      </c>
      <c r="AQ119" s="21">
        <f>IF(OR(I119="",AP119="",AP119="None"),"",IF(AP119="Monthly",EDATE(I119,1),I119+IF(AP119="Daily",1,IF(AP119="Weekdays",IF(WEEKDAY(I119,2)&gt;=5,8-WEEKDAY(I119,2),1),IF(AP119="Weekly",7,IF(AP119="Fortnightly",14,0))))))</f>
        <v>0</v>
      </c>
      <c r="AR119" s="49">
        <f>IF(OR(I119="",AL119="",K119="",L119=""),"",IF(SUMPRODUCT((Bookings!$AL$5:$AL$404=AL119)*(Bookings!$I$5:$I$404=I119)*(Bookings!$K$5:$K$404&lt;L119)*(Bookings!$L$5:$L$404&gt;K119)*(Bookings!$AM$5:$AM$404&lt;&gt;"Cancelled"))&gt;1,"Conflict - double booked","OK"))</f>
        <v>0</v>
      </c>
      <c r="AS119" s="50">
        <f>IF(A119="","",IF(COUNTIF('Visit Log'!$B$5:$B$404,A119)&gt;0,"Yes","No"))</f>
        <v>0</v>
      </c>
      <c r="AT119" s="28">
        <f>IF(A119="","",IFERROR(INDEX(Invoices!$A$5:$A$304,MATCH(A119,Invoices!$E$5:$E$304,0)),""))</f>
        <v>0</v>
      </c>
      <c r="AU119" s="49">
        <f>IF(A119="","",IF(AT119="","Not invoiced",IFERROR(INDEX(Invoices!$U$5:$U$304,MATCH(AT119,Invoices!$A$5:$A$304,0)),"")))</f>
        <v>0</v>
      </c>
      <c r="AY119" s="28">
        <f>IF(I119="","",TEXT(I119,"yyyy-mm"))</f>
        <v>0</v>
      </c>
      <c r="AZ119" s="49">
        <f>IF(I119="","",IF(AM119="Cancelled","Cancelled",IF(AND(I119&lt;TODAY(),OR(AM119="Pending",AM119="Confirmed",AM119="Enquiry")),"Overdue - update status",IF(AND(AM119="Completed",AS119="No"),"Action - log the visit",IF(I119=TODAY(),"Today",IF(AND(I119&gt;TODAY(),I119-TODAY()&lt;=ReminderLeadDays,AN119&lt;&gt;"Yes"),"Action - unconfirmed",IF(AND(I119&gt;TODAY(),I119-TODAY()&lt;=ReminderLeadDays),"Upcoming","OK")))))))</f>
        <v>0</v>
      </c>
    </row>
    <row r="120" spans="1:52">
      <c r="A120" s="46">
        <f>IF(C120="","",BookingPrefix&amp;TEXT(ROW()-4,"0000"))</f>
        <v>0</v>
      </c>
      <c r="D120" s="28">
        <f>IF(C120="","",IFERROR(INDEX(Clients!$A$5:$A$254,MATCH(C120,Clients!$B$5:$B$254,0)),""))</f>
        <v>0</v>
      </c>
      <c r="J120" s="50">
        <f>IF(I120="","",TEXT(I120,"ddd"))</f>
        <v>0</v>
      </c>
      <c r="M120" s="51">
        <f>IF(OR(K120="",L120=""),"",ROUND((L120-K120+IF(L120&lt;K120,1,0))*24,2))</f>
        <v>0</v>
      </c>
      <c r="O120" s="28">
        <f>IF(H120="","",IFERROR(INDEX(Services!$E$5:$E$54,MATCH(H120,Services!$B$5:$B$54,0)),""))</f>
        <v>0</v>
      </c>
      <c r="P120" s="29">
        <f>IF(H120="","",IFERROR(INDEX(Services!$G$5:$G$54,MATCH(H120,Services!$B$5:$B$54,0)),0))</f>
        <v>0</v>
      </c>
      <c r="Q120" s="29">
        <f>IF(H120="","",IF(IFERROR(INDEX(Services!$H$5:$H$54,MATCH(H120,Services!$B$5:$B$54,0)),0)=0,ExtraPetFeeDefault,IFERROR(INDEX(Services!$H$5:$H$54,MATCH(H120,Services!$B$5:$B$54,0)),0)))</f>
        <v>0</v>
      </c>
      <c r="R120" s="30">
        <f>IF(H120="","",IF(IFERROR(INDEX(Services!$I$5:$I$54,MATCH(H120,Services!$B$5:$B$54,0)),0)=0,HolidaySurcharge,IFERROR(INDEX(Services!$I$5:$I$54,MATCH(H120,Services!$B$5:$B$54,0)),0)))</f>
        <v>0</v>
      </c>
      <c r="S120" s="30">
        <f>IF(H120="","",IF(IFERROR(INDEX(Services!$J$5:$J$54,MATCH(H120,Services!$B$5:$B$54,0)),0)=0,WeekendSurcharge,IFERROR(INDEX(Services!$J$5:$J$54,MATCH(H120,Services!$B$5:$B$54,0)),0)))</f>
        <v>0</v>
      </c>
      <c r="T120" s="50">
        <f>IF(H120="","",IFERROR(INDEX(Services!$K$5:$K$54,MATCH(H120,Services!$B$5:$B$54,0)),"No"))</f>
        <v>0</v>
      </c>
      <c r="U120" s="29">
        <f>IF(H120="","",ROUND(IF(O120="Per hour",P120*IF(M120="",IF(N120="",1,N120),M120),P120*IF(N120="",1,N120)),2))</f>
        <v>0</v>
      </c>
      <c r="V120" s="29">
        <f>IF(H120="","",ROUND(MAX(0,IF(G120="",1,G120)-1)*Q120,2))</f>
        <v>0</v>
      </c>
      <c r="W120" s="50">
        <f>IF(I120="","",IF(COUNTIF(HolidayDates,I120)&gt;0,"Yes","No"))</f>
        <v>0</v>
      </c>
      <c r="X120" s="50">
        <f>IF(I120="","",IF(WEEKDAY(I120,2)&gt;5,"Yes","No"))</f>
        <v>0</v>
      </c>
      <c r="Y120" s="29">
        <f>IF(H120="","",ROUND((U120+V120)*(IF(W120="Yes",R120,0)+IF(X120="Yes",S120,0)),2))</f>
        <v>0</v>
      </c>
      <c r="AA120" s="29">
        <f>IF(H120="","",IF(T120&lt;&gt;"Yes",0,ROUND(MAX(0,IF(Z120="",0,Z120)-FreeTravelDistance)*TravelFeeRate,2)))</f>
        <v>0</v>
      </c>
      <c r="AB120" s="31">
        <f>IF(I120="","",TravelTimeMins)</f>
        <v>0</v>
      </c>
      <c r="AC120" s="29">
        <f>IF(OR(I120="",B120=""),0,IF(I120-B120&lt;=LastMinuteDays,EmergencyFee,0))</f>
        <v>0</v>
      </c>
      <c r="AF120" s="29">
        <f>IF(H120="","",ROUND((U120+V120+Y120+AA120+AC120)*IF(AE120="",0,AE120),2))</f>
        <v>0</v>
      </c>
      <c r="AI120" s="29">
        <f>IF(H120="","",IF(AG120&lt;&gt;"",AG120,ROUND(U120+V120+Y120+AA120+AC120-AF120,2)))</f>
        <v>0</v>
      </c>
      <c r="AJ120" s="29">
        <f>IF(AI120="","",IF(TaxRegistered&lt;&gt;"Yes",0,IF(PricesIncludeTax="Yes",ROUND(AI120-AI120/(1+TaxRate),2),ROUND(AI120*TaxRate,2))))</f>
        <v>0</v>
      </c>
      <c r="AK120" s="29">
        <f>IF(AI120="","",IF(PricesIncludeTax="Yes",AI120,ROUND(AI120+AJ120,2)))</f>
        <v>0</v>
      </c>
      <c r="AQ120" s="21">
        <f>IF(OR(I120="",AP120="",AP120="None"),"",IF(AP120="Monthly",EDATE(I120,1),I120+IF(AP120="Daily",1,IF(AP120="Weekdays",IF(WEEKDAY(I120,2)&gt;=5,8-WEEKDAY(I120,2),1),IF(AP120="Weekly",7,IF(AP120="Fortnightly",14,0))))))</f>
        <v>0</v>
      </c>
      <c r="AR120" s="49">
        <f>IF(OR(I120="",AL120="",K120="",L120=""),"",IF(SUMPRODUCT((Bookings!$AL$5:$AL$404=AL120)*(Bookings!$I$5:$I$404=I120)*(Bookings!$K$5:$K$404&lt;L120)*(Bookings!$L$5:$L$404&gt;K120)*(Bookings!$AM$5:$AM$404&lt;&gt;"Cancelled"))&gt;1,"Conflict - double booked","OK"))</f>
        <v>0</v>
      </c>
      <c r="AS120" s="50">
        <f>IF(A120="","",IF(COUNTIF('Visit Log'!$B$5:$B$404,A120)&gt;0,"Yes","No"))</f>
        <v>0</v>
      </c>
      <c r="AT120" s="28">
        <f>IF(A120="","",IFERROR(INDEX(Invoices!$A$5:$A$304,MATCH(A120,Invoices!$E$5:$E$304,0)),""))</f>
        <v>0</v>
      </c>
      <c r="AU120" s="49">
        <f>IF(A120="","",IF(AT120="","Not invoiced",IFERROR(INDEX(Invoices!$U$5:$U$304,MATCH(AT120,Invoices!$A$5:$A$304,0)),"")))</f>
        <v>0</v>
      </c>
      <c r="AY120" s="28">
        <f>IF(I120="","",TEXT(I120,"yyyy-mm"))</f>
        <v>0</v>
      </c>
      <c r="AZ120" s="49">
        <f>IF(I120="","",IF(AM120="Cancelled","Cancelled",IF(AND(I120&lt;TODAY(),OR(AM120="Pending",AM120="Confirmed",AM120="Enquiry")),"Overdue - update status",IF(AND(AM120="Completed",AS120="No"),"Action - log the visit",IF(I120=TODAY(),"Today",IF(AND(I120&gt;TODAY(),I120-TODAY()&lt;=ReminderLeadDays,AN120&lt;&gt;"Yes"),"Action - unconfirmed",IF(AND(I120&gt;TODAY(),I120-TODAY()&lt;=ReminderLeadDays),"Upcoming","OK")))))))</f>
        <v>0</v>
      </c>
    </row>
    <row r="121" spans="1:52">
      <c r="A121" s="46">
        <f>IF(C121="","",BookingPrefix&amp;TEXT(ROW()-4,"0000"))</f>
        <v>0</v>
      </c>
      <c r="D121" s="28">
        <f>IF(C121="","",IFERROR(INDEX(Clients!$A$5:$A$254,MATCH(C121,Clients!$B$5:$B$254,0)),""))</f>
        <v>0</v>
      </c>
      <c r="J121" s="50">
        <f>IF(I121="","",TEXT(I121,"ddd"))</f>
        <v>0</v>
      </c>
      <c r="M121" s="51">
        <f>IF(OR(K121="",L121=""),"",ROUND((L121-K121+IF(L121&lt;K121,1,0))*24,2))</f>
        <v>0</v>
      </c>
      <c r="O121" s="28">
        <f>IF(H121="","",IFERROR(INDEX(Services!$E$5:$E$54,MATCH(H121,Services!$B$5:$B$54,0)),""))</f>
        <v>0</v>
      </c>
      <c r="P121" s="29">
        <f>IF(H121="","",IFERROR(INDEX(Services!$G$5:$G$54,MATCH(H121,Services!$B$5:$B$54,0)),0))</f>
        <v>0</v>
      </c>
      <c r="Q121" s="29">
        <f>IF(H121="","",IF(IFERROR(INDEX(Services!$H$5:$H$54,MATCH(H121,Services!$B$5:$B$54,0)),0)=0,ExtraPetFeeDefault,IFERROR(INDEX(Services!$H$5:$H$54,MATCH(H121,Services!$B$5:$B$54,0)),0)))</f>
        <v>0</v>
      </c>
      <c r="R121" s="30">
        <f>IF(H121="","",IF(IFERROR(INDEX(Services!$I$5:$I$54,MATCH(H121,Services!$B$5:$B$54,0)),0)=0,HolidaySurcharge,IFERROR(INDEX(Services!$I$5:$I$54,MATCH(H121,Services!$B$5:$B$54,0)),0)))</f>
        <v>0</v>
      </c>
      <c r="S121" s="30">
        <f>IF(H121="","",IF(IFERROR(INDEX(Services!$J$5:$J$54,MATCH(H121,Services!$B$5:$B$54,0)),0)=0,WeekendSurcharge,IFERROR(INDEX(Services!$J$5:$J$54,MATCH(H121,Services!$B$5:$B$54,0)),0)))</f>
        <v>0</v>
      </c>
      <c r="T121" s="50">
        <f>IF(H121="","",IFERROR(INDEX(Services!$K$5:$K$54,MATCH(H121,Services!$B$5:$B$54,0)),"No"))</f>
        <v>0</v>
      </c>
      <c r="U121" s="29">
        <f>IF(H121="","",ROUND(IF(O121="Per hour",P121*IF(M121="",IF(N121="",1,N121),M121),P121*IF(N121="",1,N121)),2))</f>
        <v>0</v>
      </c>
      <c r="V121" s="29">
        <f>IF(H121="","",ROUND(MAX(0,IF(G121="",1,G121)-1)*Q121,2))</f>
        <v>0</v>
      </c>
      <c r="W121" s="50">
        <f>IF(I121="","",IF(COUNTIF(HolidayDates,I121)&gt;0,"Yes","No"))</f>
        <v>0</v>
      </c>
      <c r="X121" s="50">
        <f>IF(I121="","",IF(WEEKDAY(I121,2)&gt;5,"Yes","No"))</f>
        <v>0</v>
      </c>
      <c r="Y121" s="29">
        <f>IF(H121="","",ROUND((U121+V121)*(IF(W121="Yes",R121,0)+IF(X121="Yes",S121,0)),2))</f>
        <v>0</v>
      </c>
      <c r="AA121" s="29">
        <f>IF(H121="","",IF(T121&lt;&gt;"Yes",0,ROUND(MAX(0,IF(Z121="",0,Z121)-FreeTravelDistance)*TravelFeeRate,2)))</f>
        <v>0</v>
      </c>
      <c r="AB121" s="31">
        <f>IF(I121="","",TravelTimeMins)</f>
        <v>0</v>
      </c>
      <c r="AC121" s="29">
        <f>IF(OR(I121="",B121=""),0,IF(I121-B121&lt;=LastMinuteDays,EmergencyFee,0))</f>
        <v>0</v>
      </c>
      <c r="AF121" s="29">
        <f>IF(H121="","",ROUND((U121+V121+Y121+AA121+AC121)*IF(AE121="",0,AE121),2))</f>
        <v>0</v>
      </c>
      <c r="AI121" s="29">
        <f>IF(H121="","",IF(AG121&lt;&gt;"",AG121,ROUND(U121+V121+Y121+AA121+AC121-AF121,2)))</f>
        <v>0</v>
      </c>
      <c r="AJ121" s="29">
        <f>IF(AI121="","",IF(TaxRegistered&lt;&gt;"Yes",0,IF(PricesIncludeTax="Yes",ROUND(AI121-AI121/(1+TaxRate),2),ROUND(AI121*TaxRate,2))))</f>
        <v>0</v>
      </c>
      <c r="AK121" s="29">
        <f>IF(AI121="","",IF(PricesIncludeTax="Yes",AI121,ROUND(AI121+AJ121,2)))</f>
        <v>0</v>
      </c>
      <c r="AQ121" s="21">
        <f>IF(OR(I121="",AP121="",AP121="None"),"",IF(AP121="Monthly",EDATE(I121,1),I121+IF(AP121="Daily",1,IF(AP121="Weekdays",IF(WEEKDAY(I121,2)&gt;=5,8-WEEKDAY(I121,2),1),IF(AP121="Weekly",7,IF(AP121="Fortnightly",14,0))))))</f>
        <v>0</v>
      </c>
      <c r="AR121" s="49">
        <f>IF(OR(I121="",AL121="",K121="",L121=""),"",IF(SUMPRODUCT((Bookings!$AL$5:$AL$404=AL121)*(Bookings!$I$5:$I$404=I121)*(Bookings!$K$5:$K$404&lt;L121)*(Bookings!$L$5:$L$404&gt;K121)*(Bookings!$AM$5:$AM$404&lt;&gt;"Cancelled"))&gt;1,"Conflict - double booked","OK"))</f>
        <v>0</v>
      </c>
      <c r="AS121" s="50">
        <f>IF(A121="","",IF(COUNTIF('Visit Log'!$B$5:$B$404,A121)&gt;0,"Yes","No"))</f>
        <v>0</v>
      </c>
      <c r="AT121" s="28">
        <f>IF(A121="","",IFERROR(INDEX(Invoices!$A$5:$A$304,MATCH(A121,Invoices!$E$5:$E$304,0)),""))</f>
        <v>0</v>
      </c>
      <c r="AU121" s="49">
        <f>IF(A121="","",IF(AT121="","Not invoiced",IFERROR(INDEX(Invoices!$U$5:$U$304,MATCH(AT121,Invoices!$A$5:$A$304,0)),"")))</f>
        <v>0</v>
      </c>
      <c r="AY121" s="28">
        <f>IF(I121="","",TEXT(I121,"yyyy-mm"))</f>
        <v>0</v>
      </c>
      <c r="AZ121" s="49">
        <f>IF(I121="","",IF(AM121="Cancelled","Cancelled",IF(AND(I121&lt;TODAY(),OR(AM121="Pending",AM121="Confirmed",AM121="Enquiry")),"Overdue - update status",IF(AND(AM121="Completed",AS121="No"),"Action - log the visit",IF(I121=TODAY(),"Today",IF(AND(I121&gt;TODAY(),I121-TODAY()&lt;=ReminderLeadDays,AN121&lt;&gt;"Yes"),"Action - unconfirmed",IF(AND(I121&gt;TODAY(),I121-TODAY()&lt;=ReminderLeadDays),"Upcoming","OK")))))))</f>
        <v>0</v>
      </c>
    </row>
    <row r="122" spans="1:52">
      <c r="A122" s="46">
        <f>IF(C122="","",BookingPrefix&amp;TEXT(ROW()-4,"0000"))</f>
        <v>0</v>
      </c>
      <c r="D122" s="28">
        <f>IF(C122="","",IFERROR(INDEX(Clients!$A$5:$A$254,MATCH(C122,Clients!$B$5:$B$254,0)),""))</f>
        <v>0</v>
      </c>
      <c r="J122" s="50">
        <f>IF(I122="","",TEXT(I122,"ddd"))</f>
        <v>0</v>
      </c>
      <c r="M122" s="51">
        <f>IF(OR(K122="",L122=""),"",ROUND((L122-K122+IF(L122&lt;K122,1,0))*24,2))</f>
        <v>0</v>
      </c>
      <c r="O122" s="28">
        <f>IF(H122="","",IFERROR(INDEX(Services!$E$5:$E$54,MATCH(H122,Services!$B$5:$B$54,0)),""))</f>
        <v>0</v>
      </c>
      <c r="P122" s="29">
        <f>IF(H122="","",IFERROR(INDEX(Services!$G$5:$G$54,MATCH(H122,Services!$B$5:$B$54,0)),0))</f>
        <v>0</v>
      </c>
      <c r="Q122" s="29">
        <f>IF(H122="","",IF(IFERROR(INDEX(Services!$H$5:$H$54,MATCH(H122,Services!$B$5:$B$54,0)),0)=0,ExtraPetFeeDefault,IFERROR(INDEX(Services!$H$5:$H$54,MATCH(H122,Services!$B$5:$B$54,0)),0)))</f>
        <v>0</v>
      </c>
      <c r="R122" s="30">
        <f>IF(H122="","",IF(IFERROR(INDEX(Services!$I$5:$I$54,MATCH(H122,Services!$B$5:$B$54,0)),0)=0,HolidaySurcharge,IFERROR(INDEX(Services!$I$5:$I$54,MATCH(H122,Services!$B$5:$B$54,0)),0)))</f>
        <v>0</v>
      </c>
      <c r="S122" s="30">
        <f>IF(H122="","",IF(IFERROR(INDEX(Services!$J$5:$J$54,MATCH(H122,Services!$B$5:$B$54,0)),0)=0,WeekendSurcharge,IFERROR(INDEX(Services!$J$5:$J$54,MATCH(H122,Services!$B$5:$B$54,0)),0)))</f>
        <v>0</v>
      </c>
      <c r="T122" s="50">
        <f>IF(H122="","",IFERROR(INDEX(Services!$K$5:$K$54,MATCH(H122,Services!$B$5:$B$54,0)),"No"))</f>
        <v>0</v>
      </c>
      <c r="U122" s="29">
        <f>IF(H122="","",ROUND(IF(O122="Per hour",P122*IF(M122="",IF(N122="",1,N122),M122),P122*IF(N122="",1,N122)),2))</f>
        <v>0</v>
      </c>
      <c r="V122" s="29">
        <f>IF(H122="","",ROUND(MAX(0,IF(G122="",1,G122)-1)*Q122,2))</f>
        <v>0</v>
      </c>
      <c r="W122" s="50">
        <f>IF(I122="","",IF(COUNTIF(HolidayDates,I122)&gt;0,"Yes","No"))</f>
        <v>0</v>
      </c>
      <c r="X122" s="50">
        <f>IF(I122="","",IF(WEEKDAY(I122,2)&gt;5,"Yes","No"))</f>
        <v>0</v>
      </c>
      <c r="Y122" s="29">
        <f>IF(H122="","",ROUND((U122+V122)*(IF(W122="Yes",R122,0)+IF(X122="Yes",S122,0)),2))</f>
        <v>0</v>
      </c>
      <c r="AA122" s="29">
        <f>IF(H122="","",IF(T122&lt;&gt;"Yes",0,ROUND(MAX(0,IF(Z122="",0,Z122)-FreeTravelDistance)*TravelFeeRate,2)))</f>
        <v>0</v>
      </c>
      <c r="AB122" s="31">
        <f>IF(I122="","",TravelTimeMins)</f>
        <v>0</v>
      </c>
      <c r="AC122" s="29">
        <f>IF(OR(I122="",B122=""),0,IF(I122-B122&lt;=LastMinuteDays,EmergencyFee,0))</f>
        <v>0</v>
      </c>
      <c r="AF122" s="29">
        <f>IF(H122="","",ROUND((U122+V122+Y122+AA122+AC122)*IF(AE122="",0,AE122),2))</f>
        <v>0</v>
      </c>
      <c r="AI122" s="29">
        <f>IF(H122="","",IF(AG122&lt;&gt;"",AG122,ROUND(U122+V122+Y122+AA122+AC122-AF122,2)))</f>
        <v>0</v>
      </c>
      <c r="AJ122" s="29">
        <f>IF(AI122="","",IF(TaxRegistered&lt;&gt;"Yes",0,IF(PricesIncludeTax="Yes",ROUND(AI122-AI122/(1+TaxRate),2),ROUND(AI122*TaxRate,2))))</f>
        <v>0</v>
      </c>
      <c r="AK122" s="29">
        <f>IF(AI122="","",IF(PricesIncludeTax="Yes",AI122,ROUND(AI122+AJ122,2)))</f>
        <v>0</v>
      </c>
      <c r="AQ122" s="21">
        <f>IF(OR(I122="",AP122="",AP122="None"),"",IF(AP122="Monthly",EDATE(I122,1),I122+IF(AP122="Daily",1,IF(AP122="Weekdays",IF(WEEKDAY(I122,2)&gt;=5,8-WEEKDAY(I122,2),1),IF(AP122="Weekly",7,IF(AP122="Fortnightly",14,0))))))</f>
        <v>0</v>
      </c>
      <c r="AR122" s="49">
        <f>IF(OR(I122="",AL122="",K122="",L122=""),"",IF(SUMPRODUCT((Bookings!$AL$5:$AL$404=AL122)*(Bookings!$I$5:$I$404=I122)*(Bookings!$K$5:$K$404&lt;L122)*(Bookings!$L$5:$L$404&gt;K122)*(Bookings!$AM$5:$AM$404&lt;&gt;"Cancelled"))&gt;1,"Conflict - double booked","OK"))</f>
        <v>0</v>
      </c>
      <c r="AS122" s="50">
        <f>IF(A122="","",IF(COUNTIF('Visit Log'!$B$5:$B$404,A122)&gt;0,"Yes","No"))</f>
        <v>0</v>
      </c>
      <c r="AT122" s="28">
        <f>IF(A122="","",IFERROR(INDEX(Invoices!$A$5:$A$304,MATCH(A122,Invoices!$E$5:$E$304,0)),""))</f>
        <v>0</v>
      </c>
      <c r="AU122" s="49">
        <f>IF(A122="","",IF(AT122="","Not invoiced",IFERROR(INDEX(Invoices!$U$5:$U$304,MATCH(AT122,Invoices!$A$5:$A$304,0)),"")))</f>
        <v>0</v>
      </c>
      <c r="AY122" s="28">
        <f>IF(I122="","",TEXT(I122,"yyyy-mm"))</f>
        <v>0</v>
      </c>
      <c r="AZ122" s="49">
        <f>IF(I122="","",IF(AM122="Cancelled","Cancelled",IF(AND(I122&lt;TODAY(),OR(AM122="Pending",AM122="Confirmed",AM122="Enquiry")),"Overdue - update status",IF(AND(AM122="Completed",AS122="No"),"Action - log the visit",IF(I122=TODAY(),"Today",IF(AND(I122&gt;TODAY(),I122-TODAY()&lt;=ReminderLeadDays,AN122&lt;&gt;"Yes"),"Action - unconfirmed",IF(AND(I122&gt;TODAY(),I122-TODAY()&lt;=ReminderLeadDays),"Upcoming","OK")))))))</f>
        <v>0</v>
      </c>
    </row>
    <row r="123" spans="1:52">
      <c r="A123" s="46">
        <f>IF(C123="","",BookingPrefix&amp;TEXT(ROW()-4,"0000"))</f>
        <v>0</v>
      </c>
      <c r="D123" s="28">
        <f>IF(C123="","",IFERROR(INDEX(Clients!$A$5:$A$254,MATCH(C123,Clients!$B$5:$B$254,0)),""))</f>
        <v>0</v>
      </c>
      <c r="J123" s="50">
        <f>IF(I123="","",TEXT(I123,"ddd"))</f>
        <v>0</v>
      </c>
      <c r="M123" s="51">
        <f>IF(OR(K123="",L123=""),"",ROUND((L123-K123+IF(L123&lt;K123,1,0))*24,2))</f>
        <v>0</v>
      </c>
      <c r="O123" s="28">
        <f>IF(H123="","",IFERROR(INDEX(Services!$E$5:$E$54,MATCH(H123,Services!$B$5:$B$54,0)),""))</f>
        <v>0</v>
      </c>
      <c r="P123" s="29">
        <f>IF(H123="","",IFERROR(INDEX(Services!$G$5:$G$54,MATCH(H123,Services!$B$5:$B$54,0)),0))</f>
        <v>0</v>
      </c>
      <c r="Q123" s="29">
        <f>IF(H123="","",IF(IFERROR(INDEX(Services!$H$5:$H$54,MATCH(H123,Services!$B$5:$B$54,0)),0)=0,ExtraPetFeeDefault,IFERROR(INDEX(Services!$H$5:$H$54,MATCH(H123,Services!$B$5:$B$54,0)),0)))</f>
        <v>0</v>
      </c>
      <c r="R123" s="30">
        <f>IF(H123="","",IF(IFERROR(INDEX(Services!$I$5:$I$54,MATCH(H123,Services!$B$5:$B$54,0)),0)=0,HolidaySurcharge,IFERROR(INDEX(Services!$I$5:$I$54,MATCH(H123,Services!$B$5:$B$54,0)),0)))</f>
        <v>0</v>
      </c>
      <c r="S123" s="30">
        <f>IF(H123="","",IF(IFERROR(INDEX(Services!$J$5:$J$54,MATCH(H123,Services!$B$5:$B$54,0)),0)=0,WeekendSurcharge,IFERROR(INDEX(Services!$J$5:$J$54,MATCH(H123,Services!$B$5:$B$54,0)),0)))</f>
        <v>0</v>
      </c>
      <c r="T123" s="50">
        <f>IF(H123="","",IFERROR(INDEX(Services!$K$5:$K$54,MATCH(H123,Services!$B$5:$B$54,0)),"No"))</f>
        <v>0</v>
      </c>
      <c r="U123" s="29">
        <f>IF(H123="","",ROUND(IF(O123="Per hour",P123*IF(M123="",IF(N123="",1,N123),M123),P123*IF(N123="",1,N123)),2))</f>
        <v>0</v>
      </c>
      <c r="V123" s="29">
        <f>IF(H123="","",ROUND(MAX(0,IF(G123="",1,G123)-1)*Q123,2))</f>
        <v>0</v>
      </c>
      <c r="W123" s="50">
        <f>IF(I123="","",IF(COUNTIF(HolidayDates,I123)&gt;0,"Yes","No"))</f>
        <v>0</v>
      </c>
      <c r="X123" s="50">
        <f>IF(I123="","",IF(WEEKDAY(I123,2)&gt;5,"Yes","No"))</f>
        <v>0</v>
      </c>
      <c r="Y123" s="29">
        <f>IF(H123="","",ROUND((U123+V123)*(IF(W123="Yes",R123,0)+IF(X123="Yes",S123,0)),2))</f>
        <v>0</v>
      </c>
      <c r="AA123" s="29">
        <f>IF(H123="","",IF(T123&lt;&gt;"Yes",0,ROUND(MAX(0,IF(Z123="",0,Z123)-FreeTravelDistance)*TravelFeeRate,2)))</f>
        <v>0</v>
      </c>
      <c r="AB123" s="31">
        <f>IF(I123="","",TravelTimeMins)</f>
        <v>0</v>
      </c>
      <c r="AC123" s="29">
        <f>IF(OR(I123="",B123=""),0,IF(I123-B123&lt;=LastMinuteDays,EmergencyFee,0))</f>
        <v>0</v>
      </c>
      <c r="AF123" s="29">
        <f>IF(H123="","",ROUND((U123+V123+Y123+AA123+AC123)*IF(AE123="",0,AE123),2))</f>
        <v>0</v>
      </c>
      <c r="AI123" s="29">
        <f>IF(H123="","",IF(AG123&lt;&gt;"",AG123,ROUND(U123+V123+Y123+AA123+AC123-AF123,2)))</f>
        <v>0</v>
      </c>
      <c r="AJ123" s="29">
        <f>IF(AI123="","",IF(TaxRegistered&lt;&gt;"Yes",0,IF(PricesIncludeTax="Yes",ROUND(AI123-AI123/(1+TaxRate),2),ROUND(AI123*TaxRate,2))))</f>
        <v>0</v>
      </c>
      <c r="AK123" s="29">
        <f>IF(AI123="","",IF(PricesIncludeTax="Yes",AI123,ROUND(AI123+AJ123,2)))</f>
        <v>0</v>
      </c>
      <c r="AQ123" s="21">
        <f>IF(OR(I123="",AP123="",AP123="None"),"",IF(AP123="Monthly",EDATE(I123,1),I123+IF(AP123="Daily",1,IF(AP123="Weekdays",IF(WEEKDAY(I123,2)&gt;=5,8-WEEKDAY(I123,2),1),IF(AP123="Weekly",7,IF(AP123="Fortnightly",14,0))))))</f>
        <v>0</v>
      </c>
      <c r="AR123" s="49">
        <f>IF(OR(I123="",AL123="",K123="",L123=""),"",IF(SUMPRODUCT((Bookings!$AL$5:$AL$404=AL123)*(Bookings!$I$5:$I$404=I123)*(Bookings!$K$5:$K$404&lt;L123)*(Bookings!$L$5:$L$404&gt;K123)*(Bookings!$AM$5:$AM$404&lt;&gt;"Cancelled"))&gt;1,"Conflict - double booked","OK"))</f>
        <v>0</v>
      </c>
      <c r="AS123" s="50">
        <f>IF(A123="","",IF(COUNTIF('Visit Log'!$B$5:$B$404,A123)&gt;0,"Yes","No"))</f>
        <v>0</v>
      </c>
      <c r="AT123" s="28">
        <f>IF(A123="","",IFERROR(INDEX(Invoices!$A$5:$A$304,MATCH(A123,Invoices!$E$5:$E$304,0)),""))</f>
        <v>0</v>
      </c>
      <c r="AU123" s="49">
        <f>IF(A123="","",IF(AT123="","Not invoiced",IFERROR(INDEX(Invoices!$U$5:$U$304,MATCH(AT123,Invoices!$A$5:$A$304,0)),"")))</f>
        <v>0</v>
      </c>
      <c r="AY123" s="28">
        <f>IF(I123="","",TEXT(I123,"yyyy-mm"))</f>
        <v>0</v>
      </c>
      <c r="AZ123" s="49">
        <f>IF(I123="","",IF(AM123="Cancelled","Cancelled",IF(AND(I123&lt;TODAY(),OR(AM123="Pending",AM123="Confirmed",AM123="Enquiry")),"Overdue - update status",IF(AND(AM123="Completed",AS123="No"),"Action - log the visit",IF(I123=TODAY(),"Today",IF(AND(I123&gt;TODAY(),I123-TODAY()&lt;=ReminderLeadDays,AN123&lt;&gt;"Yes"),"Action - unconfirmed",IF(AND(I123&gt;TODAY(),I123-TODAY()&lt;=ReminderLeadDays),"Upcoming","OK")))))))</f>
        <v>0</v>
      </c>
    </row>
    <row r="124" spans="1:52">
      <c r="A124" s="46">
        <f>IF(C124="","",BookingPrefix&amp;TEXT(ROW()-4,"0000"))</f>
        <v>0</v>
      </c>
      <c r="D124" s="28">
        <f>IF(C124="","",IFERROR(INDEX(Clients!$A$5:$A$254,MATCH(C124,Clients!$B$5:$B$254,0)),""))</f>
        <v>0</v>
      </c>
      <c r="J124" s="50">
        <f>IF(I124="","",TEXT(I124,"ddd"))</f>
        <v>0</v>
      </c>
      <c r="M124" s="51">
        <f>IF(OR(K124="",L124=""),"",ROUND((L124-K124+IF(L124&lt;K124,1,0))*24,2))</f>
        <v>0</v>
      </c>
      <c r="O124" s="28">
        <f>IF(H124="","",IFERROR(INDEX(Services!$E$5:$E$54,MATCH(H124,Services!$B$5:$B$54,0)),""))</f>
        <v>0</v>
      </c>
      <c r="P124" s="29">
        <f>IF(H124="","",IFERROR(INDEX(Services!$G$5:$G$54,MATCH(H124,Services!$B$5:$B$54,0)),0))</f>
        <v>0</v>
      </c>
      <c r="Q124" s="29">
        <f>IF(H124="","",IF(IFERROR(INDEX(Services!$H$5:$H$54,MATCH(H124,Services!$B$5:$B$54,0)),0)=0,ExtraPetFeeDefault,IFERROR(INDEX(Services!$H$5:$H$54,MATCH(H124,Services!$B$5:$B$54,0)),0)))</f>
        <v>0</v>
      </c>
      <c r="R124" s="30">
        <f>IF(H124="","",IF(IFERROR(INDEX(Services!$I$5:$I$54,MATCH(H124,Services!$B$5:$B$54,0)),0)=0,HolidaySurcharge,IFERROR(INDEX(Services!$I$5:$I$54,MATCH(H124,Services!$B$5:$B$54,0)),0)))</f>
        <v>0</v>
      </c>
      <c r="S124" s="30">
        <f>IF(H124="","",IF(IFERROR(INDEX(Services!$J$5:$J$54,MATCH(H124,Services!$B$5:$B$54,0)),0)=0,WeekendSurcharge,IFERROR(INDEX(Services!$J$5:$J$54,MATCH(H124,Services!$B$5:$B$54,0)),0)))</f>
        <v>0</v>
      </c>
      <c r="T124" s="50">
        <f>IF(H124="","",IFERROR(INDEX(Services!$K$5:$K$54,MATCH(H124,Services!$B$5:$B$54,0)),"No"))</f>
        <v>0</v>
      </c>
      <c r="U124" s="29">
        <f>IF(H124="","",ROUND(IF(O124="Per hour",P124*IF(M124="",IF(N124="",1,N124),M124),P124*IF(N124="",1,N124)),2))</f>
        <v>0</v>
      </c>
      <c r="V124" s="29">
        <f>IF(H124="","",ROUND(MAX(0,IF(G124="",1,G124)-1)*Q124,2))</f>
        <v>0</v>
      </c>
      <c r="W124" s="50">
        <f>IF(I124="","",IF(COUNTIF(HolidayDates,I124)&gt;0,"Yes","No"))</f>
        <v>0</v>
      </c>
      <c r="X124" s="50">
        <f>IF(I124="","",IF(WEEKDAY(I124,2)&gt;5,"Yes","No"))</f>
        <v>0</v>
      </c>
      <c r="Y124" s="29">
        <f>IF(H124="","",ROUND((U124+V124)*(IF(W124="Yes",R124,0)+IF(X124="Yes",S124,0)),2))</f>
        <v>0</v>
      </c>
      <c r="AA124" s="29">
        <f>IF(H124="","",IF(T124&lt;&gt;"Yes",0,ROUND(MAX(0,IF(Z124="",0,Z124)-FreeTravelDistance)*TravelFeeRate,2)))</f>
        <v>0</v>
      </c>
      <c r="AB124" s="31">
        <f>IF(I124="","",TravelTimeMins)</f>
        <v>0</v>
      </c>
      <c r="AC124" s="29">
        <f>IF(OR(I124="",B124=""),0,IF(I124-B124&lt;=LastMinuteDays,EmergencyFee,0))</f>
        <v>0</v>
      </c>
      <c r="AF124" s="29">
        <f>IF(H124="","",ROUND((U124+V124+Y124+AA124+AC124)*IF(AE124="",0,AE124),2))</f>
        <v>0</v>
      </c>
      <c r="AI124" s="29">
        <f>IF(H124="","",IF(AG124&lt;&gt;"",AG124,ROUND(U124+V124+Y124+AA124+AC124-AF124,2)))</f>
        <v>0</v>
      </c>
      <c r="AJ124" s="29">
        <f>IF(AI124="","",IF(TaxRegistered&lt;&gt;"Yes",0,IF(PricesIncludeTax="Yes",ROUND(AI124-AI124/(1+TaxRate),2),ROUND(AI124*TaxRate,2))))</f>
        <v>0</v>
      </c>
      <c r="AK124" s="29">
        <f>IF(AI124="","",IF(PricesIncludeTax="Yes",AI124,ROUND(AI124+AJ124,2)))</f>
        <v>0</v>
      </c>
      <c r="AQ124" s="21">
        <f>IF(OR(I124="",AP124="",AP124="None"),"",IF(AP124="Monthly",EDATE(I124,1),I124+IF(AP124="Daily",1,IF(AP124="Weekdays",IF(WEEKDAY(I124,2)&gt;=5,8-WEEKDAY(I124,2),1),IF(AP124="Weekly",7,IF(AP124="Fortnightly",14,0))))))</f>
        <v>0</v>
      </c>
      <c r="AR124" s="49">
        <f>IF(OR(I124="",AL124="",K124="",L124=""),"",IF(SUMPRODUCT((Bookings!$AL$5:$AL$404=AL124)*(Bookings!$I$5:$I$404=I124)*(Bookings!$K$5:$K$404&lt;L124)*(Bookings!$L$5:$L$404&gt;K124)*(Bookings!$AM$5:$AM$404&lt;&gt;"Cancelled"))&gt;1,"Conflict - double booked","OK"))</f>
        <v>0</v>
      </c>
      <c r="AS124" s="50">
        <f>IF(A124="","",IF(COUNTIF('Visit Log'!$B$5:$B$404,A124)&gt;0,"Yes","No"))</f>
        <v>0</v>
      </c>
      <c r="AT124" s="28">
        <f>IF(A124="","",IFERROR(INDEX(Invoices!$A$5:$A$304,MATCH(A124,Invoices!$E$5:$E$304,0)),""))</f>
        <v>0</v>
      </c>
      <c r="AU124" s="49">
        <f>IF(A124="","",IF(AT124="","Not invoiced",IFERROR(INDEX(Invoices!$U$5:$U$304,MATCH(AT124,Invoices!$A$5:$A$304,0)),"")))</f>
        <v>0</v>
      </c>
      <c r="AY124" s="28">
        <f>IF(I124="","",TEXT(I124,"yyyy-mm"))</f>
        <v>0</v>
      </c>
      <c r="AZ124" s="49">
        <f>IF(I124="","",IF(AM124="Cancelled","Cancelled",IF(AND(I124&lt;TODAY(),OR(AM124="Pending",AM124="Confirmed",AM124="Enquiry")),"Overdue - update status",IF(AND(AM124="Completed",AS124="No"),"Action - log the visit",IF(I124=TODAY(),"Today",IF(AND(I124&gt;TODAY(),I124-TODAY()&lt;=ReminderLeadDays,AN124&lt;&gt;"Yes"),"Action - unconfirmed",IF(AND(I124&gt;TODAY(),I124-TODAY()&lt;=ReminderLeadDays),"Upcoming","OK")))))))</f>
        <v>0</v>
      </c>
    </row>
    <row r="125" spans="1:52">
      <c r="A125" s="46">
        <f>IF(C125="","",BookingPrefix&amp;TEXT(ROW()-4,"0000"))</f>
        <v>0</v>
      </c>
      <c r="D125" s="28">
        <f>IF(C125="","",IFERROR(INDEX(Clients!$A$5:$A$254,MATCH(C125,Clients!$B$5:$B$254,0)),""))</f>
        <v>0</v>
      </c>
      <c r="J125" s="50">
        <f>IF(I125="","",TEXT(I125,"ddd"))</f>
        <v>0</v>
      </c>
      <c r="M125" s="51">
        <f>IF(OR(K125="",L125=""),"",ROUND((L125-K125+IF(L125&lt;K125,1,0))*24,2))</f>
        <v>0</v>
      </c>
      <c r="O125" s="28">
        <f>IF(H125="","",IFERROR(INDEX(Services!$E$5:$E$54,MATCH(H125,Services!$B$5:$B$54,0)),""))</f>
        <v>0</v>
      </c>
      <c r="P125" s="29">
        <f>IF(H125="","",IFERROR(INDEX(Services!$G$5:$G$54,MATCH(H125,Services!$B$5:$B$54,0)),0))</f>
        <v>0</v>
      </c>
      <c r="Q125" s="29">
        <f>IF(H125="","",IF(IFERROR(INDEX(Services!$H$5:$H$54,MATCH(H125,Services!$B$5:$B$54,0)),0)=0,ExtraPetFeeDefault,IFERROR(INDEX(Services!$H$5:$H$54,MATCH(H125,Services!$B$5:$B$54,0)),0)))</f>
        <v>0</v>
      </c>
      <c r="R125" s="30">
        <f>IF(H125="","",IF(IFERROR(INDEX(Services!$I$5:$I$54,MATCH(H125,Services!$B$5:$B$54,0)),0)=0,HolidaySurcharge,IFERROR(INDEX(Services!$I$5:$I$54,MATCH(H125,Services!$B$5:$B$54,0)),0)))</f>
        <v>0</v>
      </c>
      <c r="S125" s="30">
        <f>IF(H125="","",IF(IFERROR(INDEX(Services!$J$5:$J$54,MATCH(H125,Services!$B$5:$B$54,0)),0)=0,WeekendSurcharge,IFERROR(INDEX(Services!$J$5:$J$54,MATCH(H125,Services!$B$5:$B$54,0)),0)))</f>
        <v>0</v>
      </c>
      <c r="T125" s="50">
        <f>IF(H125="","",IFERROR(INDEX(Services!$K$5:$K$54,MATCH(H125,Services!$B$5:$B$54,0)),"No"))</f>
        <v>0</v>
      </c>
      <c r="U125" s="29">
        <f>IF(H125="","",ROUND(IF(O125="Per hour",P125*IF(M125="",IF(N125="",1,N125),M125),P125*IF(N125="",1,N125)),2))</f>
        <v>0</v>
      </c>
      <c r="V125" s="29">
        <f>IF(H125="","",ROUND(MAX(0,IF(G125="",1,G125)-1)*Q125,2))</f>
        <v>0</v>
      </c>
      <c r="W125" s="50">
        <f>IF(I125="","",IF(COUNTIF(HolidayDates,I125)&gt;0,"Yes","No"))</f>
        <v>0</v>
      </c>
      <c r="X125" s="50">
        <f>IF(I125="","",IF(WEEKDAY(I125,2)&gt;5,"Yes","No"))</f>
        <v>0</v>
      </c>
      <c r="Y125" s="29">
        <f>IF(H125="","",ROUND((U125+V125)*(IF(W125="Yes",R125,0)+IF(X125="Yes",S125,0)),2))</f>
        <v>0</v>
      </c>
      <c r="AA125" s="29">
        <f>IF(H125="","",IF(T125&lt;&gt;"Yes",0,ROUND(MAX(0,IF(Z125="",0,Z125)-FreeTravelDistance)*TravelFeeRate,2)))</f>
        <v>0</v>
      </c>
      <c r="AB125" s="31">
        <f>IF(I125="","",TravelTimeMins)</f>
        <v>0</v>
      </c>
      <c r="AC125" s="29">
        <f>IF(OR(I125="",B125=""),0,IF(I125-B125&lt;=LastMinuteDays,EmergencyFee,0))</f>
        <v>0</v>
      </c>
      <c r="AF125" s="29">
        <f>IF(H125="","",ROUND((U125+V125+Y125+AA125+AC125)*IF(AE125="",0,AE125),2))</f>
        <v>0</v>
      </c>
      <c r="AI125" s="29">
        <f>IF(H125="","",IF(AG125&lt;&gt;"",AG125,ROUND(U125+V125+Y125+AA125+AC125-AF125,2)))</f>
        <v>0</v>
      </c>
      <c r="AJ125" s="29">
        <f>IF(AI125="","",IF(TaxRegistered&lt;&gt;"Yes",0,IF(PricesIncludeTax="Yes",ROUND(AI125-AI125/(1+TaxRate),2),ROUND(AI125*TaxRate,2))))</f>
        <v>0</v>
      </c>
      <c r="AK125" s="29">
        <f>IF(AI125="","",IF(PricesIncludeTax="Yes",AI125,ROUND(AI125+AJ125,2)))</f>
        <v>0</v>
      </c>
      <c r="AQ125" s="21">
        <f>IF(OR(I125="",AP125="",AP125="None"),"",IF(AP125="Monthly",EDATE(I125,1),I125+IF(AP125="Daily",1,IF(AP125="Weekdays",IF(WEEKDAY(I125,2)&gt;=5,8-WEEKDAY(I125,2),1),IF(AP125="Weekly",7,IF(AP125="Fortnightly",14,0))))))</f>
        <v>0</v>
      </c>
      <c r="AR125" s="49">
        <f>IF(OR(I125="",AL125="",K125="",L125=""),"",IF(SUMPRODUCT((Bookings!$AL$5:$AL$404=AL125)*(Bookings!$I$5:$I$404=I125)*(Bookings!$K$5:$K$404&lt;L125)*(Bookings!$L$5:$L$404&gt;K125)*(Bookings!$AM$5:$AM$404&lt;&gt;"Cancelled"))&gt;1,"Conflict - double booked","OK"))</f>
        <v>0</v>
      </c>
      <c r="AS125" s="50">
        <f>IF(A125="","",IF(COUNTIF('Visit Log'!$B$5:$B$404,A125)&gt;0,"Yes","No"))</f>
        <v>0</v>
      </c>
      <c r="AT125" s="28">
        <f>IF(A125="","",IFERROR(INDEX(Invoices!$A$5:$A$304,MATCH(A125,Invoices!$E$5:$E$304,0)),""))</f>
        <v>0</v>
      </c>
      <c r="AU125" s="49">
        <f>IF(A125="","",IF(AT125="","Not invoiced",IFERROR(INDEX(Invoices!$U$5:$U$304,MATCH(AT125,Invoices!$A$5:$A$304,0)),"")))</f>
        <v>0</v>
      </c>
      <c r="AY125" s="28">
        <f>IF(I125="","",TEXT(I125,"yyyy-mm"))</f>
        <v>0</v>
      </c>
      <c r="AZ125" s="49">
        <f>IF(I125="","",IF(AM125="Cancelled","Cancelled",IF(AND(I125&lt;TODAY(),OR(AM125="Pending",AM125="Confirmed",AM125="Enquiry")),"Overdue - update status",IF(AND(AM125="Completed",AS125="No"),"Action - log the visit",IF(I125=TODAY(),"Today",IF(AND(I125&gt;TODAY(),I125-TODAY()&lt;=ReminderLeadDays,AN125&lt;&gt;"Yes"),"Action - unconfirmed",IF(AND(I125&gt;TODAY(),I125-TODAY()&lt;=ReminderLeadDays),"Upcoming","OK")))))))</f>
        <v>0</v>
      </c>
    </row>
    <row r="126" spans="1:52">
      <c r="A126" s="46">
        <f>IF(C126="","",BookingPrefix&amp;TEXT(ROW()-4,"0000"))</f>
        <v>0</v>
      </c>
      <c r="D126" s="28">
        <f>IF(C126="","",IFERROR(INDEX(Clients!$A$5:$A$254,MATCH(C126,Clients!$B$5:$B$254,0)),""))</f>
        <v>0</v>
      </c>
      <c r="J126" s="50">
        <f>IF(I126="","",TEXT(I126,"ddd"))</f>
        <v>0</v>
      </c>
      <c r="M126" s="51">
        <f>IF(OR(K126="",L126=""),"",ROUND((L126-K126+IF(L126&lt;K126,1,0))*24,2))</f>
        <v>0</v>
      </c>
      <c r="O126" s="28">
        <f>IF(H126="","",IFERROR(INDEX(Services!$E$5:$E$54,MATCH(H126,Services!$B$5:$B$54,0)),""))</f>
        <v>0</v>
      </c>
      <c r="P126" s="29">
        <f>IF(H126="","",IFERROR(INDEX(Services!$G$5:$G$54,MATCH(H126,Services!$B$5:$B$54,0)),0))</f>
        <v>0</v>
      </c>
      <c r="Q126" s="29">
        <f>IF(H126="","",IF(IFERROR(INDEX(Services!$H$5:$H$54,MATCH(H126,Services!$B$5:$B$54,0)),0)=0,ExtraPetFeeDefault,IFERROR(INDEX(Services!$H$5:$H$54,MATCH(H126,Services!$B$5:$B$54,0)),0)))</f>
        <v>0</v>
      </c>
      <c r="R126" s="30">
        <f>IF(H126="","",IF(IFERROR(INDEX(Services!$I$5:$I$54,MATCH(H126,Services!$B$5:$B$54,0)),0)=0,HolidaySurcharge,IFERROR(INDEX(Services!$I$5:$I$54,MATCH(H126,Services!$B$5:$B$54,0)),0)))</f>
        <v>0</v>
      </c>
      <c r="S126" s="30">
        <f>IF(H126="","",IF(IFERROR(INDEX(Services!$J$5:$J$54,MATCH(H126,Services!$B$5:$B$54,0)),0)=0,WeekendSurcharge,IFERROR(INDEX(Services!$J$5:$J$54,MATCH(H126,Services!$B$5:$B$54,0)),0)))</f>
        <v>0</v>
      </c>
      <c r="T126" s="50">
        <f>IF(H126="","",IFERROR(INDEX(Services!$K$5:$K$54,MATCH(H126,Services!$B$5:$B$54,0)),"No"))</f>
        <v>0</v>
      </c>
      <c r="U126" s="29">
        <f>IF(H126="","",ROUND(IF(O126="Per hour",P126*IF(M126="",IF(N126="",1,N126),M126),P126*IF(N126="",1,N126)),2))</f>
        <v>0</v>
      </c>
      <c r="V126" s="29">
        <f>IF(H126="","",ROUND(MAX(0,IF(G126="",1,G126)-1)*Q126,2))</f>
        <v>0</v>
      </c>
      <c r="W126" s="50">
        <f>IF(I126="","",IF(COUNTIF(HolidayDates,I126)&gt;0,"Yes","No"))</f>
        <v>0</v>
      </c>
      <c r="X126" s="50">
        <f>IF(I126="","",IF(WEEKDAY(I126,2)&gt;5,"Yes","No"))</f>
        <v>0</v>
      </c>
      <c r="Y126" s="29">
        <f>IF(H126="","",ROUND((U126+V126)*(IF(W126="Yes",R126,0)+IF(X126="Yes",S126,0)),2))</f>
        <v>0</v>
      </c>
      <c r="AA126" s="29">
        <f>IF(H126="","",IF(T126&lt;&gt;"Yes",0,ROUND(MAX(0,IF(Z126="",0,Z126)-FreeTravelDistance)*TravelFeeRate,2)))</f>
        <v>0</v>
      </c>
      <c r="AB126" s="31">
        <f>IF(I126="","",TravelTimeMins)</f>
        <v>0</v>
      </c>
      <c r="AC126" s="29">
        <f>IF(OR(I126="",B126=""),0,IF(I126-B126&lt;=LastMinuteDays,EmergencyFee,0))</f>
        <v>0</v>
      </c>
      <c r="AF126" s="29">
        <f>IF(H126="","",ROUND((U126+V126+Y126+AA126+AC126)*IF(AE126="",0,AE126),2))</f>
        <v>0</v>
      </c>
      <c r="AI126" s="29">
        <f>IF(H126="","",IF(AG126&lt;&gt;"",AG126,ROUND(U126+V126+Y126+AA126+AC126-AF126,2)))</f>
        <v>0</v>
      </c>
      <c r="AJ126" s="29">
        <f>IF(AI126="","",IF(TaxRegistered&lt;&gt;"Yes",0,IF(PricesIncludeTax="Yes",ROUND(AI126-AI126/(1+TaxRate),2),ROUND(AI126*TaxRate,2))))</f>
        <v>0</v>
      </c>
      <c r="AK126" s="29">
        <f>IF(AI126="","",IF(PricesIncludeTax="Yes",AI126,ROUND(AI126+AJ126,2)))</f>
        <v>0</v>
      </c>
      <c r="AQ126" s="21">
        <f>IF(OR(I126="",AP126="",AP126="None"),"",IF(AP126="Monthly",EDATE(I126,1),I126+IF(AP126="Daily",1,IF(AP126="Weekdays",IF(WEEKDAY(I126,2)&gt;=5,8-WEEKDAY(I126,2),1),IF(AP126="Weekly",7,IF(AP126="Fortnightly",14,0))))))</f>
        <v>0</v>
      </c>
      <c r="AR126" s="49">
        <f>IF(OR(I126="",AL126="",K126="",L126=""),"",IF(SUMPRODUCT((Bookings!$AL$5:$AL$404=AL126)*(Bookings!$I$5:$I$404=I126)*(Bookings!$K$5:$K$404&lt;L126)*(Bookings!$L$5:$L$404&gt;K126)*(Bookings!$AM$5:$AM$404&lt;&gt;"Cancelled"))&gt;1,"Conflict - double booked","OK"))</f>
        <v>0</v>
      </c>
      <c r="AS126" s="50">
        <f>IF(A126="","",IF(COUNTIF('Visit Log'!$B$5:$B$404,A126)&gt;0,"Yes","No"))</f>
        <v>0</v>
      </c>
      <c r="AT126" s="28">
        <f>IF(A126="","",IFERROR(INDEX(Invoices!$A$5:$A$304,MATCH(A126,Invoices!$E$5:$E$304,0)),""))</f>
        <v>0</v>
      </c>
      <c r="AU126" s="49">
        <f>IF(A126="","",IF(AT126="","Not invoiced",IFERROR(INDEX(Invoices!$U$5:$U$304,MATCH(AT126,Invoices!$A$5:$A$304,0)),"")))</f>
        <v>0</v>
      </c>
      <c r="AY126" s="28">
        <f>IF(I126="","",TEXT(I126,"yyyy-mm"))</f>
        <v>0</v>
      </c>
      <c r="AZ126" s="49">
        <f>IF(I126="","",IF(AM126="Cancelled","Cancelled",IF(AND(I126&lt;TODAY(),OR(AM126="Pending",AM126="Confirmed",AM126="Enquiry")),"Overdue - update status",IF(AND(AM126="Completed",AS126="No"),"Action - log the visit",IF(I126=TODAY(),"Today",IF(AND(I126&gt;TODAY(),I126-TODAY()&lt;=ReminderLeadDays,AN126&lt;&gt;"Yes"),"Action - unconfirmed",IF(AND(I126&gt;TODAY(),I126-TODAY()&lt;=ReminderLeadDays),"Upcoming","OK")))))))</f>
        <v>0</v>
      </c>
    </row>
    <row r="127" spans="1:52">
      <c r="A127" s="46">
        <f>IF(C127="","",BookingPrefix&amp;TEXT(ROW()-4,"0000"))</f>
        <v>0</v>
      </c>
      <c r="D127" s="28">
        <f>IF(C127="","",IFERROR(INDEX(Clients!$A$5:$A$254,MATCH(C127,Clients!$B$5:$B$254,0)),""))</f>
        <v>0</v>
      </c>
      <c r="J127" s="50">
        <f>IF(I127="","",TEXT(I127,"ddd"))</f>
        <v>0</v>
      </c>
      <c r="M127" s="51">
        <f>IF(OR(K127="",L127=""),"",ROUND((L127-K127+IF(L127&lt;K127,1,0))*24,2))</f>
        <v>0</v>
      </c>
      <c r="O127" s="28">
        <f>IF(H127="","",IFERROR(INDEX(Services!$E$5:$E$54,MATCH(H127,Services!$B$5:$B$54,0)),""))</f>
        <v>0</v>
      </c>
      <c r="P127" s="29">
        <f>IF(H127="","",IFERROR(INDEX(Services!$G$5:$G$54,MATCH(H127,Services!$B$5:$B$54,0)),0))</f>
        <v>0</v>
      </c>
      <c r="Q127" s="29">
        <f>IF(H127="","",IF(IFERROR(INDEX(Services!$H$5:$H$54,MATCH(H127,Services!$B$5:$B$54,0)),0)=0,ExtraPetFeeDefault,IFERROR(INDEX(Services!$H$5:$H$54,MATCH(H127,Services!$B$5:$B$54,0)),0)))</f>
        <v>0</v>
      </c>
      <c r="R127" s="30">
        <f>IF(H127="","",IF(IFERROR(INDEX(Services!$I$5:$I$54,MATCH(H127,Services!$B$5:$B$54,0)),0)=0,HolidaySurcharge,IFERROR(INDEX(Services!$I$5:$I$54,MATCH(H127,Services!$B$5:$B$54,0)),0)))</f>
        <v>0</v>
      </c>
      <c r="S127" s="30">
        <f>IF(H127="","",IF(IFERROR(INDEX(Services!$J$5:$J$54,MATCH(H127,Services!$B$5:$B$54,0)),0)=0,WeekendSurcharge,IFERROR(INDEX(Services!$J$5:$J$54,MATCH(H127,Services!$B$5:$B$54,0)),0)))</f>
        <v>0</v>
      </c>
      <c r="T127" s="50">
        <f>IF(H127="","",IFERROR(INDEX(Services!$K$5:$K$54,MATCH(H127,Services!$B$5:$B$54,0)),"No"))</f>
        <v>0</v>
      </c>
      <c r="U127" s="29">
        <f>IF(H127="","",ROUND(IF(O127="Per hour",P127*IF(M127="",IF(N127="",1,N127),M127),P127*IF(N127="",1,N127)),2))</f>
        <v>0</v>
      </c>
      <c r="V127" s="29">
        <f>IF(H127="","",ROUND(MAX(0,IF(G127="",1,G127)-1)*Q127,2))</f>
        <v>0</v>
      </c>
      <c r="W127" s="50">
        <f>IF(I127="","",IF(COUNTIF(HolidayDates,I127)&gt;0,"Yes","No"))</f>
        <v>0</v>
      </c>
      <c r="X127" s="50">
        <f>IF(I127="","",IF(WEEKDAY(I127,2)&gt;5,"Yes","No"))</f>
        <v>0</v>
      </c>
      <c r="Y127" s="29">
        <f>IF(H127="","",ROUND((U127+V127)*(IF(W127="Yes",R127,0)+IF(X127="Yes",S127,0)),2))</f>
        <v>0</v>
      </c>
      <c r="AA127" s="29">
        <f>IF(H127="","",IF(T127&lt;&gt;"Yes",0,ROUND(MAX(0,IF(Z127="",0,Z127)-FreeTravelDistance)*TravelFeeRate,2)))</f>
        <v>0</v>
      </c>
      <c r="AB127" s="31">
        <f>IF(I127="","",TravelTimeMins)</f>
        <v>0</v>
      </c>
      <c r="AC127" s="29">
        <f>IF(OR(I127="",B127=""),0,IF(I127-B127&lt;=LastMinuteDays,EmergencyFee,0))</f>
        <v>0</v>
      </c>
      <c r="AF127" s="29">
        <f>IF(H127="","",ROUND((U127+V127+Y127+AA127+AC127)*IF(AE127="",0,AE127),2))</f>
        <v>0</v>
      </c>
      <c r="AI127" s="29">
        <f>IF(H127="","",IF(AG127&lt;&gt;"",AG127,ROUND(U127+V127+Y127+AA127+AC127-AF127,2)))</f>
        <v>0</v>
      </c>
      <c r="AJ127" s="29">
        <f>IF(AI127="","",IF(TaxRegistered&lt;&gt;"Yes",0,IF(PricesIncludeTax="Yes",ROUND(AI127-AI127/(1+TaxRate),2),ROUND(AI127*TaxRate,2))))</f>
        <v>0</v>
      </c>
      <c r="AK127" s="29">
        <f>IF(AI127="","",IF(PricesIncludeTax="Yes",AI127,ROUND(AI127+AJ127,2)))</f>
        <v>0</v>
      </c>
      <c r="AQ127" s="21">
        <f>IF(OR(I127="",AP127="",AP127="None"),"",IF(AP127="Monthly",EDATE(I127,1),I127+IF(AP127="Daily",1,IF(AP127="Weekdays",IF(WEEKDAY(I127,2)&gt;=5,8-WEEKDAY(I127,2),1),IF(AP127="Weekly",7,IF(AP127="Fortnightly",14,0))))))</f>
        <v>0</v>
      </c>
      <c r="AR127" s="49">
        <f>IF(OR(I127="",AL127="",K127="",L127=""),"",IF(SUMPRODUCT((Bookings!$AL$5:$AL$404=AL127)*(Bookings!$I$5:$I$404=I127)*(Bookings!$K$5:$K$404&lt;L127)*(Bookings!$L$5:$L$404&gt;K127)*(Bookings!$AM$5:$AM$404&lt;&gt;"Cancelled"))&gt;1,"Conflict - double booked","OK"))</f>
        <v>0</v>
      </c>
      <c r="AS127" s="50">
        <f>IF(A127="","",IF(COUNTIF('Visit Log'!$B$5:$B$404,A127)&gt;0,"Yes","No"))</f>
        <v>0</v>
      </c>
      <c r="AT127" s="28">
        <f>IF(A127="","",IFERROR(INDEX(Invoices!$A$5:$A$304,MATCH(A127,Invoices!$E$5:$E$304,0)),""))</f>
        <v>0</v>
      </c>
      <c r="AU127" s="49">
        <f>IF(A127="","",IF(AT127="","Not invoiced",IFERROR(INDEX(Invoices!$U$5:$U$304,MATCH(AT127,Invoices!$A$5:$A$304,0)),"")))</f>
        <v>0</v>
      </c>
      <c r="AY127" s="28">
        <f>IF(I127="","",TEXT(I127,"yyyy-mm"))</f>
        <v>0</v>
      </c>
      <c r="AZ127" s="49">
        <f>IF(I127="","",IF(AM127="Cancelled","Cancelled",IF(AND(I127&lt;TODAY(),OR(AM127="Pending",AM127="Confirmed",AM127="Enquiry")),"Overdue - update status",IF(AND(AM127="Completed",AS127="No"),"Action - log the visit",IF(I127=TODAY(),"Today",IF(AND(I127&gt;TODAY(),I127-TODAY()&lt;=ReminderLeadDays,AN127&lt;&gt;"Yes"),"Action - unconfirmed",IF(AND(I127&gt;TODAY(),I127-TODAY()&lt;=ReminderLeadDays),"Upcoming","OK")))))))</f>
        <v>0</v>
      </c>
    </row>
    <row r="128" spans="1:52">
      <c r="A128" s="46">
        <f>IF(C128="","",BookingPrefix&amp;TEXT(ROW()-4,"0000"))</f>
        <v>0</v>
      </c>
      <c r="D128" s="28">
        <f>IF(C128="","",IFERROR(INDEX(Clients!$A$5:$A$254,MATCH(C128,Clients!$B$5:$B$254,0)),""))</f>
        <v>0</v>
      </c>
      <c r="J128" s="50">
        <f>IF(I128="","",TEXT(I128,"ddd"))</f>
        <v>0</v>
      </c>
      <c r="M128" s="51">
        <f>IF(OR(K128="",L128=""),"",ROUND((L128-K128+IF(L128&lt;K128,1,0))*24,2))</f>
        <v>0</v>
      </c>
      <c r="O128" s="28">
        <f>IF(H128="","",IFERROR(INDEX(Services!$E$5:$E$54,MATCH(H128,Services!$B$5:$B$54,0)),""))</f>
        <v>0</v>
      </c>
      <c r="P128" s="29">
        <f>IF(H128="","",IFERROR(INDEX(Services!$G$5:$G$54,MATCH(H128,Services!$B$5:$B$54,0)),0))</f>
        <v>0</v>
      </c>
      <c r="Q128" s="29">
        <f>IF(H128="","",IF(IFERROR(INDEX(Services!$H$5:$H$54,MATCH(H128,Services!$B$5:$B$54,0)),0)=0,ExtraPetFeeDefault,IFERROR(INDEX(Services!$H$5:$H$54,MATCH(H128,Services!$B$5:$B$54,0)),0)))</f>
        <v>0</v>
      </c>
      <c r="R128" s="30">
        <f>IF(H128="","",IF(IFERROR(INDEX(Services!$I$5:$I$54,MATCH(H128,Services!$B$5:$B$54,0)),0)=0,HolidaySurcharge,IFERROR(INDEX(Services!$I$5:$I$54,MATCH(H128,Services!$B$5:$B$54,0)),0)))</f>
        <v>0</v>
      </c>
      <c r="S128" s="30">
        <f>IF(H128="","",IF(IFERROR(INDEX(Services!$J$5:$J$54,MATCH(H128,Services!$B$5:$B$54,0)),0)=0,WeekendSurcharge,IFERROR(INDEX(Services!$J$5:$J$54,MATCH(H128,Services!$B$5:$B$54,0)),0)))</f>
        <v>0</v>
      </c>
      <c r="T128" s="50">
        <f>IF(H128="","",IFERROR(INDEX(Services!$K$5:$K$54,MATCH(H128,Services!$B$5:$B$54,0)),"No"))</f>
        <v>0</v>
      </c>
      <c r="U128" s="29">
        <f>IF(H128="","",ROUND(IF(O128="Per hour",P128*IF(M128="",IF(N128="",1,N128),M128),P128*IF(N128="",1,N128)),2))</f>
        <v>0</v>
      </c>
      <c r="V128" s="29">
        <f>IF(H128="","",ROUND(MAX(0,IF(G128="",1,G128)-1)*Q128,2))</f>
        <v>0</v>
      </c>
      <c r="W128" s="50">
        <f>IF(I128="","",IF(COUNTIF(HolidayDates,I128)&gt;0,"Yes","No"))</f>
        <v>0</v>
      </c>
      <c r="X128" s="50">
        <f>IF(I128="","",IF(WEEKDAY(I128,2)&gt;5,"Yes","No"))</f>
        <v>0</v>
      </c>
      <c r="Y128" s="29">
        <f>IF(H128="","",ROUND((U128+V128)*(IF(W128="Yes",R128,0)+IF(X128="Yes",S128,0)),2))</f>
        <v>0</v>
      </c>
      <c r="AA128" s="29">
        <f>IF(H128="","",IF(T128&lt;&gt;"Yes",0,ROUND(MAX(0,IF(Z128="",0,Z128)-FreeTravelDistance)*TravelFeeRate,2)))</f>
        <v>0</v>
      </c>
      <c r="AB128" s="31">
        <f>IF(I128="","",TravelTimeMins)</f>
        <v>0</v>
      </c>
      <c r="AC128" s="29">
        <f>IF(OR(I128="",B128=""),0,IF(I128-B128&lt;=LastMinuteDays,EmergencyFee,0))</f>
        <v>0</v>
      </c>
      <c r="AF128" s="29">
        <f>IF(H128="","",ROUND((U128+V128+Y128+AA128+AC128)*IF(AE128="",0,AE128),2))</f>
        <v>0</v>
      </c>
      <c r="AI128" s="29">
        <f>IF(H128="","",IF(AG128&lt;&gt;"",AG128,ROUND(U128+V128+Y128+AA128+AC128-AF128,2)))</f>
        <v>0</v>
      </c>
      <c r="AJ128" s="29">
        <f>IF(AI128="","",IF(TaxRegistered&lt;&gt;"Yes",0,IF(PricesIncludeTax="Yes",ROUND(AI128-AI128/(1+TaxRate),2),ROUND(AI128*TaxRate,2))))</f>
        <v>0</v>
      </c>
      <c r="AK128" s="29">
        <f>IF(AI128="","",IF(PricesIncludeTax="Yes",AI128,ROUND(AI128+AJ128,2)))</f>
        <v>0</v>
      </c>
      <c r="AQ128" s="21">
        <f>IF(OR(I128="",AP128="",AP128="None"),"",IF(AP128="Monthly",EDATE(I128,1),I128+IF(AP128="Daily",1,IF(AP128="Weekdays",IF(WEEKDAY(I128,2)&gt;=5,8-WEEKDAY(I128,2),1),IF(AP128="Weekly",7,IF(AP128="Fortnightly",14,0))))))</f>
        <v>0</v>
      </c>
      <c r="AR128" s="49">
        <f>IF(OR(I128="",AL128="",K128="",L128=""),"",IF(SUMPRODUCT((Bookings!$AL$5:$AL$404=AL128)*(Bookings!$I$5:$I$404=I128)*(Bookings!$K$5:$K$404&lt;L128)*(Bookings!$L$5:$L$404&gt;K128)*(Bookings!$AM$5:$AM$404&lt;&gt;"Cancelled"))&gt;1,"Conflict - double booked","OK"))</f>
        <v>0</v>
      </c>
      <c r="AS128" s="50">
        <f>IF(A128="","",IF(COUNTIF('Visit Log'!$B$5:$B$404,A128)&gt;0,"Yes","No"))</f>
        <v>0</v>
      </c>
      <c r="AT128" s="28">
        <f>IF(A128="","",IFERROR(INDEX(Invoices!$A$5:$A$304,MATCH(A128,Invoices!$E$5:$E$304,0)),""))</f>
        <v>0</v>
      </c>
      <c r="AU128" s="49">
        <f>IF(A128="","",IF(AT128="","Not invoiced",IFERROR(INDEX(Invoices!$U$5:$U$304,MATCH(AT128,Invoices!$A$5:$A$304,0)),"")))</f>
        <v>0</v>
      </c>
      <c r="AY128" s="28">
        <f>IF(I128="","",TEXT(I128,"yyyy-mm"))</f>
        <v>0</v>
      </c>
      <c r="AZ128" s="49">
        <f>IF(I128="","",IF(AM128="Cancelled","Cancelled",IF(AND(I128&lt;TODAY(),OR(AM128="Pending",AM128="Confirmed",AM128="Enquiry")),"Overdue - update status",IF(AND(AM128="Completed",AS128="No"),"Action - log the visit",IF(I128=TODAY(),"Today",IF(AND(I128&gt;TODAY(),I128-TODAY()&lt;=ReminderLeadDays,AN128&lt;&gt;"Yes"),"Action - unconfirmed",IF(AND(I128&gt;TODAY(),I128-TODAY()&lt;=ReminderLeadDays),"Upcoming","OK")))))))</f>
        <v>0</v>
      </c>
    </row>
    <row r="129" spans="1:52">
      <c r="A129" s="46">
        <f>IF(C129="","",BookingPrefix&amp;TEXT(ROW()-4,"0000"))</f>
        <v>0</v>
      </c>
      <c r="D129" s="28">
        <f>IF(C129="","",IFERROR(INDEX(Clients!$A$5:$A$254,MATCH(C129,Clients!$B$5:$B$254,0)),""))</f>
        <v>0</v>
      </c>
      <c r="J129" s="50">
        <f>IF(I129="","",TEXT(I129,"ddd"))</f>
        <v>0</v>
      </c>
      <c r="M129" s="51">
        <f>IF(OR(K129="",L129=""),"",ROUND((L129-K129+IF(L129&lt;K129,1,0))*24,2))</f>
        <v>0</v>
      </c>
      <c r="O129" s="28">
        <f>IF(H129="","",IFERROR(INDEX(Services!$E$5:$E$54,MATCH(H129,Services!$B$5:$B$54,0)),""))</f>
        <v>0</v>
      </c>
      <c r="P129" s="29">
        <f>IF(H129="","",IFERROR(INDEX(Services!$G$5:$G$54,MATCH(H129,Services!$B$5:$B$54,0)),0))</f>
        <v>0</v>
      </c>
      <c r="Q129" s="29">
        <f>IF(H129="","",IF(IFERROR(INDEX(Services!$H$5:$H$54,MATCH(H129,Services!$B$5:$B$54,0)),0)=0,ExtraPetFeeDefault,IFERROR(INDEX(Services!$H$5:$H$54,MATCH(H129,Services!$B$5:$B$54,0)),0)))</f>
        <v>0</v>
      </c>
      <c r="R129" s="30">
        <f>IF(H129="","",IF(IFERROR(INDEX(Services!$I$5:$I$54,MATCH(H129,Services!$B$5:$B$54,0)),0)=0,HolidaySurcharge,IFERROR(INDEX(Services!$I$5:$I$54,MATCH(H129,Services!$B$5:$B$54,0)),0)))</f>
        <v>0</v>
      </c>
      <c r="S129" s="30">
        <f>IF(H129="","",IF(IFERROR(INDEX(Services!$J$5:$J$54,MATCH(H129,Services!$B$5:$B$54,0)),0)=0,WeekendSurcharge,IFERROR(INDEX(Services!$J$5:$J$54,MATCH(H129,Services!$B$5:$B$54,0)),0)))</f>
        <v>0</v>
      </c>
      <c r="T129" s="50">
        <f>IF(H129="","",IFERROR(INDEX(Services!$K$5:$K$54,MATCH(H129,Services!$B$5:$B$54,0)),"No"))</f>
        <v>0</v>
      </c>
      <c r="U129" s="29">
        <f>IF(H129="","",ROUND(IF(O129="Per hour",P129*IF(M129="",IF(N129="",1,N129),M129),P129*IF(N129="",1,N129)),2))</f>
        <v>0</v>
      </c>
      <c r="V129" s="29">
        <f>IF(H129="","",ROUND(MAX(0,IF(G129="",1,G129)-1)*Q129,2))</f>
        <v>0</v>
      </c>
      <c r="W129" s="50">
        <f>IF(I129="","",IF(COUNTIF(HolidayDates,I129)&gt;0,"Yes","No"))</f>
        <v>0</v>
      </c>
      <c r="X129" s="50">
        <f>IF(I129="","",IF(WEEKDAY(I129,2)&gt;5,"Yes","No"))</f>
        <v>0</v>
      </c>
      <c r="Y129" s="29">
        <f>IF(H129="","",ROUND((U129+V129)*(IF(W129="Yes",R129,0)+IF(X129="Yes",S129,0)),2))</f>
        <v>0</v>
      </c>
      <c r="AA129" s="29">
        <f>IF(H129="","",IF(T129&lt;&gt;"Yes",0,ROUND(MAX(0,IF(Z129="",0,Z129)-FreeTravelDistance)*TravelFeeRate,2)))</f>
        <v>0</v>
      </c>
      <c r="AB129" s="31">
        <f>IF(I129="","",TravelTimeMins)</f>
        <v>0</v>
      </c>
      <c r="AC129" s="29">
        <f>IF(OR(I129="",B129=""),0,IF(I129-B129&lt;=LastMinuteDays,EmergencyFee,0))</f>
        <v>0</v>
      </c>
      <c r="AF129" s="29">
        <f>IF(H129="","",ROUND((U129+V129+Y129+AA129+AC129)*IF(AE129="",0,AE129),2))</f>
        <v>0</v>
      </c>
      <c r="AI129" s="29">
        <f>IF(H129="","",IF(AG129&lt;&gt;"",AG129,ROUND(U129+V129+Y129+AA129+AC129-AF129,2)))</f>
        <v>0</v>
      </c>
      <c r="AJ129" s="29">
        <f>IF(AI129="","",IF(TaxRegistered&lt;&gt;"Yes",0,IF(PricesIncludeTax="Yes",ROUND(AI129-AI129/(1+TaxRate),2),ROUND(AI129*TaxRate,2))))</f>
        <v>0</v>
      </c>
      <c r="AK129" s="29">
        <f>IF(AI129="","",IF(PricesIncludeTax="Yes",AI129,ROUND(AI129+AJ129,2)))</f>
        <v>0</v>
      </c>
      <c r="AQ129" s="21">
        <f>IF(OR(I129="",AP129="",AP129="None"),"",IF(AP129="Monthly",EDATE(I129,1),I129+IF(AP129="Daily",1,IF(AP129="Weekdays",IF(WEEKDAY(I129,2)&gt;=5,8-WEEKDAY(I129,2),1),IF(AP129="Weekly",7,IF(AP129="Fortnightly",14,0))))))</f>
        <v>0</v>
      </c>
      <c r="AR129" s="49">
        <f>IF(OR(I129="",AL129="",K129="",L129=""),"",IF(SUMPRODUCT((Bookings!$AL$5:$AL$404=AL129)*(Bookings!$I$5:$I$404=I129)*(Bookings!$K$5:$K$404&lt;L129)*(Bookings!$L$5:$L$404&gt;K129)*(Bookings!$AM$5:$AM$404&lt;&gt;"Cancelled"))&gt;1,"Conflict - double booked","OK"))</f>
        <v>0</v>
      </c>
      <c r="AS129" s="50">
        <f>IF(A129="","",IF(COUNTIF('Visit Log'!$B$5:$B$404,A129)&gt;0,"Yes","No"))</f>
        <v>0</v>
      </c>
      <c r="AT129" s="28">
        <f>IF(A129="","",IFERROR(INDEX(Invoices!$A$5:$A$304,MATCH(A129,Invoices!$E$5:$E$304,0)),""))</f>
        <v>0</v>
      </c>
      <c r="AU129" s="49">
        <f>IF(A129="","",IF(AT129="","Not invoiced",IFERROR(INDEX(Invoices!$U$5:$U$304,MATCH(AT129,Invoices!$A$5:$A$304,0)),"")))</f>
        <v>0</v>
      </c>
      <c r="AY129" s="28">
        <f>IF(I129="","",TEXT(I129,"yyyy-mm"))</f>
        <v>0</v>
      </c>
      <c r="AZ129" s="49">
        <f>IF(I129="","",IF(AM129="Cancelled","Cancelled",IF(AND(I129&lt;TODAY(),OR(AM129="Pending",AM129="Confirmed",AM129="Enquiry")),"Overdue - update status",IF(AND(AM129="Completed",AS129="No"),"Action - log the visit",IF(I129=TODAY(),"Today",IF(AND(I129&gt;TODAY(),I129-TODAY()&lt;=ReminderLeadDays,AN129&lt;&gt;"Yes"),"Action - unconfirmed",IF(AND(I129&gt;TODAY(),I129-TODAY()&lt;=ReminderLeadDays),"Upcoming","OK")))))))</f>
        <v>0</v>
      </c>
    </row>
    <row r="130" spans="1:52">
      <c r="A130" s="46">
        <f>IF(C130="","",BookingPrefix&amp;TEXT(ROW()-4,"0000"))</f>
        <v>0</v>
      </c>
      <c r="D130" s="28">
        <f>IF(C130="","",IFERROR(INDEX(Clients!$A$5:$A$254,MATCH(C130,Clients!$B$5:$B$254,0)),""))</f>
        <v>0</v>
      </c>
      <c r="J130" s="50">
        <f>IF(I130="","",TEXT(I130,"ddd"))</f>
        <v>0</v>
      </c>
      <c r="M130" s="51">
        <f>IF(OR(K130="",L130=""),"",ROUND((L130-K130+IF(L130&lt;K130,1,0))*24,2))</f>
        <v>0</v>
      </c>
      <c r="O130" s="28">
        <f>IF(H130="","",IFERROR(INDEX(Services!$E$5:$E$54,MATCH(H130,Services!$B$5:$B$54,0)),""))</f>
        <v>0</v>
      </c>
      <c r="P130" s="29">
        <f>IF(H130="","",IFERROR(INDEX(Services!$G$5:$G$54,MATCH(H130,Services!$B$5:$B$54,0)),0))</f>
        <v>0</v>
      </c>
      <c r="Q130" s="29">
        <f>IF(H130="","",IF(IFERROR(INDEX(Services!$H$5:$H$54,MATCH(H130,Services!$B$5:$B$54,0)),0)=0,ExtraPetFeeDefault,IFERROR(INDEX(Services!$H$5:$H$54,MATCH(H130,Services!$B$5:$B$54,0)),0)))</f>
        <v>0</v>
      </c>
      <c r="R130" s="30">
        <f>IF(H130="","",IF(IFERROR(INDEX(Services!$I$5:$I$54,MATCH(H130,Services!$B$5:$B$54,0)),0)=0,HolidaySurcharge,IFERROR(INDEX(Services!$I$5:$I$54,MATCH(H130,Services!$B$5:$B$54,0)),0)))</f>
        <v>0</v>
      </c>
      <c r="S130" s="30">
        <f>IF(H130="","",IF(IFERROR(INDEX(Services!$J$5:$J$54,MATCH(H130,Services!$B$5:$B$54,0)),0)=0,WeekendSurcharge,IFERROR(INDEX(Services!$J$5:$J$54,MATCH(H130,Services!$B$5:$B$54,0)),0)))</f>
        <v>0</v>
      </c>
      <c r="T130" s="50">
        <f>IF(H130="","",IFERROR(INDEX(Services!$K$5:$K$54,MATCH(H130,Services!$B$5:$B$54,0)),"No"))</f>
        <v>0</v>
      </c>
      <c r="U130" s="29">
        <f>IF(H130="","",ROUND(IF(O130="Per hour",P130*IF(M130="",IF(N130="",1,N130),M130),P130*IF(N130="",1,N130)),2))</f>
        <v>0</v>
      </c>
      <c r="V130" s="29">
        <f>IF(H130="","",ROUND(MAX(0,IF(G130="",1,G130)-1)*Q130,2))</f>
        <v>0</v>
      </c>
      <c r="W130" s="50">
        <f>IF(I130="","",IF(COUNTIF(HolidayDates,I130)&gt;0,"Yes","No"))</f>
        <v>0</v>
      </c>
      <c r="X130" s="50">
        <f>IF(I130="","",IF(WEEKDAY(I130,2)&gt;5,"Yes","No"))</f>
        <v>0</v>
      </c>
      <c r="Y130" s="29">
        <f>IF(H130="","",ROUND((U130+V130)*(IF(W130="Yes",R130,0)+IF(X130="Yes",S130,0)),2))</f>
        <v>0</v>
      </c>
      <c r="AA130" s="29">
        <f>IF(H130="","",IF(T130&lt;&gt;"Yes",0,ROUND(MAX(0,IF(Z130="",0,Z130)-FreeTravelDistance)*TravelFeeRate,2)))</f>
        <v>0</v>
      </c>
      <c r="AB130" s="31">
        <f>IF(I130="","",TravelTimeMins)</f>
        <v>0</v>
      </c>
      <c r="AC130" s="29">
        <f>IF(OR(I130="",B130=""),0,IF(I130-B130&lt;=LastMinuteDays,EmergencyFee,0))</f>
        <v>0</v>
      </c>
      <c r="AF130" s="29">
        <f>IF(H130="","",ROUND((U130+V130+Y130+AA130+AC130)*IF(AE130="",0,AE130),2))</f>
        <v>0</v>
      </c>
      <c r="AI130" s="29">
        <f>IF(H130="","",IF(AG130&lt;&gt;"",AG130,ROUND(U130+V130+Y130+AA130+AC130-AF130,2)))</f>
        <v>0</v>
      </c>
      <c r="AJ130" s="29">
        <f>IF(AI130="","",IF(TaxRegistered&lt;&gt;"Yes",0,IF(PricesIncludeTax="Yes",ROUND(AI130-AI130/(1+TaxRate),2),ROUND(AI130*TaxRate,2))))</f>
        <v>0</v>
      </c>
      <c r="AK130" s="29">
        <f>IF(AI130="","",IF(PricesIncludeTax="Yes",AI130,ROUND(AI130+AJ130,2)))</f>
        <v>0</v>
      </c>
      <c r="AQ130" s="21">
        <f>IF(OR(I130="",AP130="",AP130="None"),"",IF(AP130="Monthly",EDATE(I130,1),I130+IF(AP130="Daily",1,IF(AP130="Weekdays",IF(WEEKDAY(I130,2)&gt;=5,8-WEEKDAY(I130,2),1),IF(AP130="Weekly",7,IF(AP130="Fortnightly",14,0))))))</f>
        <v>0</v>
      </c>
      <c r="AR130" s="49">
        <f>IF(OR(I130="",AL130="",K130="",L130=""),"",IF(SUMPRODUCT((Bookings!$AL$5:$AL$404=AL130)*(Bookings!$I$5:$I$404=I130)*(Bookings!$K$5:$K$404&lt;L130)*(Bookings!$L$5:$L$404&gt;K130)*(Bookings!$AM$5:$AM$404&lt;&gt;"Cancelled"))&gt;1,"Conflict - double booked","OK"))</f>
        <v>0</v>
      </c>
      <c r="AS130" s="50">
        <f>IF(A130="","",IF(COUNTIF('Visit Log'!$B$5:$B$404,A130)&gt;0,"Yes","No"))</f>
        <v>0</v>
      </c>
      <c r="AT130" s="28">
        <f>IF(A130="","",IFERROR(INDEX(Invoices!$A$5:$A$304,MATCH(A130,Invoices!$E$5:$E$304,0)),""))</f>
        <v>0</v>
      </c>
      <c r="AU130" s="49">
        <f>IF(A130="","",IF(AT130="","Not invoiced",IFERROR(INDEX(Invoices!$U$5:$U$304,MATCH(AT130,Invoices!$A$5:$A$304,0)),"")))</f>
        <v>0</v>
      </c>
      <c r="AY130" s="28">
        <f>IF(I130="","",TEXT(I130,"yyyy-mm"))</f>
        <v>0</v>
      </c>
      <c r="AZ130" s="49">
        <f>IF(I130="","",IF(AM130="Cancelled","Cancelled",IF(AND(I130&lt;TODAY(),OR(AM130="Pending",AM130="Confirmed",AM130="Enquiry")),"Overdue - update status",IF(AND(AM130="Completed",AS130="No"),"Action - log the visit",IF(I130=TODAY(),"Today",IF(AND(I130&gt;TODAY(),I130-TODAY()&lt;=ReminderLeadDays,AN130&lt;&gt;"Yes"),"Action - unconfirmed",IF(AND(I130&gt;TODAY(),I130-TODAY()&lt;=ReminderLeadDays),"Upcoming","OK")))))))</f>
        <v>0</v>
      </c>
    </row>
    <row r="131" spans="1:52">
      <c r="A131" s="46">
        <f>IF(C131="","",BookingPrefix&amp;TEXT(ROW()-4,"0000"))</f>
        <v>0</v>
      </c>
      <c r="D131" s="28">
        <f>IF(C131="","",IFERROR(INDEX(Clients!$A$5:$A$254,MATCH(C131,Clients!$B$5:$B$254,0)),""))</f>
        <v>0</v>
      </c>
      <c r="J131" s="50">
        <f>IF(I131="","",TEXT(I131,"ddd"))</f>
        <v>0</v>
      </c>
      <c r="M131" s="51">
        <f>IF(OR(K131="",L131=""),"",ROUND((L131-K131+IF(L131&lt;K131,1,0))*24,2))</f>
        <v>0</v>
      </c>
      <c r="O131" s="28">
        <f>IF(H131="","",IFERROR(INDEX(Services!$E$5:$E$54,MATCH(H131,Services!$B$5:$B$54,0)),""))</f>
        <v>0</v>
      </c>
      <c r="P131" s="29">
        <f>IF(H131="","",IFERROR(INDEX(Services!$G$5:$G$54,MATCH(H131,Services!$B$5:$B$54,0)),0))</f>
        <v>0</v>
      </c>
      <c r="Q131" s="29">
        <f>IF(H131="","",IF(IFERROR(INDEX(Services!$H$5:$H$54,MATCH(H131,Services!$B$5:$B$54,0)),0)=0,ExtraPetFeeDefault,IFERROR(INDEX(Services!$H$5:$H$54,MATCH(H131,Services!$B$5:$B$54,0)),0)))</f>
        <v>0</v>
      </c>
      <c r="R131" s="30">
        <f>IF(H131="","",IF(IFERROR(INDEX(Services!$I$5:$I$54,MATCH(H131,Services!$B$5:$B$54,0)),0)=0,HolidaySurcharge,IFERROR(INDEX(Services!$I$5:$I$54,MATCH(H131,Services!$B$5:$B$54,0)),0)))</f>
        <v>0</v>
      </c>
      <c r="S131" s="30">
        <f>IF(H131="","",IF(IFERROR(INDEX(Services!$J$5:$J$54,MATCH(H131,Services!$B$5:$B$54,0)),0)=0,WeekendSurcharge,IFERROR(INDEX(Services!$J$5:$J$54,MATCH(H131,Services!$B$5:$B$54,0)),0)))</f>
        <v>0</v>
      </c>
      <c r="T131" s="50">
        <f>IF(H131="","",IFERROR(INDEX(Services!$K$5:$K$54,MATCH(H131,Services!$B$5:$B$54,0)),"No"))</f>
        <v>0</v>
      </c>
      <c r="U131" s="29">
        <f>IF(H131="","",ROUND(IF(O131="Per hour",P131*IF(M131="",IF(N131="",1,N131),M131),P131*IF(N131="",1,N131)),2))</f>
        <v>0</v>
      </c>
      <c r="V131" s="29">
        <f>IF(H131="","",ROUND(MAX(0,IF(G131="",1,G131)-1)*Q131,2))</f>
        <v>0</v>
      </c>
      <c r="W131" s="50">
        <f>IF(I131="","",IF(COUNTIF(HolidayDates,I131)&gt;0,"Yes","No"))</f>
        <v>0</v>
      </c>
      <c r="X131" s="50">
        <f>IF(I131="","",IF(WEEKDAY(I131,2)&gt;5,"Yes","No"))</f>
        <v>0</v>
      </c>
      <c r="Y131" s="29">
        <f>IF(H131="","",ROUND((U131+V131)*(IF(W131="Yes",R131,0)+IF(X131="Yes",S131,0)),2))</f>
        <v>0</v>
      </c>
      <c r="AA131" s="29">
        <f>IF(H131="","",IF(T131&lt;&gt;"Yes",0,ROUND(MAX(0,IF(Z131="",0,Z131)-FreeTravelDistance)*TravelFeeRate,2)))</f>
        <v>0</v>
      </c>
      <c r="AB131" s="31">
        <f>IF(I131="","",TravelTimeMins)</f>
        <v>0</v>
      </c>
      <c r="AC131" s="29">
        <f>IF(OR(I131="",B131=""),0,IF(I131-B131&lt;=LastMinuteDays,EmergencyFee,0))</f>
        <v>0</v>
      </c>
      <c r="AF131" s="29">
        <f>IF(H131="","",ROUND((U131+V131+Y131+AA131+AC131)*IF(AE131="",0,AE131),2))</f>
        <v>0</v>
      </c>
      <c r="AI131" s="29">
        <f>IF(H131="","",IF(AG131&lt;&gt;"",AG131,ROUND(U131+V131+Y131+AA131+AC131-AF131,2)))</f>
        <v>0</v>
      </c>
      <c r="AJ131" s="29">
        <f>IF(AI131="","",IF(TaxRegistered&lt;&gt;"Yes",0,IF(PricesIncludeTax="Yes",ROUND(AI131-AI131/(1+TaxRate),2),ROUND(AI131*TaxRate,2))))</f>
        <v>0</v>
      </c>
      <c r="AK131" s="29">
        <f>IF(AI131="","",IF(PricesIncludeTax="Yes",AI131,ROUND(AI131+AJ131,2)))</f>
        <v>0</v>
      </c>
      <c r="AQ131" s="21">
        <f>IF(OR(I131="",AP131="",AP131="None"),"",IF(AP131="Monthly",EDATE(I131,1),I131+IF(AP131="Daily",1,IF(AP131="Weekdays",IF(WEEKDAY(I131,2)&gt;=5,8-WEEKDAY(I131,2),1),IF(AP131="Weekly",7,IF(AP131="Fortnightly",14,0))))))</f>
        <v>0</v>
      </c>
      <c r="AR131" s="49">
        <f>IF(OR(I131="",AL131="",K131="",L131=""),"",IF(SUMPRODUCT((Bookings!$AL$5:$AL$404=AL131)*(Bookings!$I$5:$I$404=I131)*(Bookings!$K$5:$K$404&lt;L131)*(Bookings!$L$5:$L$404&gt;K131)*(Bookings!$AM$5:$AM$404&lt;&gt;"Cancelled"))&gt;1,"Conflict - double booked","OK"))</f>
        <v>0</v>
      </c>
      <c r="AS131" s="50">
        <f>IF(A131="","",IF(COUNTIF('Visit Log'!$B$5:$B$404,A131)&gt;0,"Yes","No"))</f>
        <v>0</v>
      </c>
      <c r="AT131" s="28">
        <f>IF(A131="","",IFERROR(INDEX(Invoices!$A$5:$A$304,MATCH(A131,Invoices!$E$5:$E$304,0)),""))</f>
        <v>0</v>
      </c>
      <c r="AU131" s="49">
        <f>IF(A131="","",IF(AT131="","Not invoiced",IFERROR(INDEX(Invoices!$U$5:$U$304,MATCH(AT131,Invoices!$A$5:$A$304,0)),"")))</f>
        <v>0</v>
      </c>
      <c r="AY131" s="28">
        <f>IF(I131="","",TEXT(I131,"yyyy-mm"))</f>
        <v>0</v>
      </c>
      <c r="AZ131" s="49">
        <f>IF(I131="","",IF(AM131="Cancelled","Cancelled",IF(AND(I131&lt;TODAY(),OR(AM131="Pending",AM131="Confirmed",AM131="Enquiry")),"Overdue - update status",IF(AND(AM131="Completed",AS131="No"),"Action - log the visit",IF(I131=TODAY(),"Today",IF(AND(I131&gt;TODAY(),I131-TODAY()&lt;=ReminderLeadDays,AN131&lt;&gt;"Yes"),"Action - unconfirmed",IF(AND(I131&gt;TODAY(),I131-TODAY()&lt;=ReminderLeadDays),"Upcoming","OK")))))))</f>
        <v>0</v>
      </c>
    </row>
    <row r="132" spans="1:52">
      <c r="A132" s="46">
        <f>IF(C132="","",BookingPrefix&amp;TEXT(ROW()-4,"0000"))</f>
        <v>0</v>
      </c>
      <c r="D132" s="28">
        <f>IF(C132="","",IFERROR(INDEX(Clients!$A$5:$A$254,MATCH(C132,Clients!$B$5:$B$254,0)),""))</f>
        <v>0</v>
      </c>
      <c r="J132" s="50">
        <f>IF(I132="","",TEXT(I132,"ddd"))</f>
        <v>0</v>
      </c>
      <c r="M132" s="51">
        <f>IF(OR(K132="",L132=""),"",ROUND((L132-K132+IF(L132&lt;K132,1,0))*24,2))</f>
        <v>0</v>
      </c>
      <c r="O132" s="28">
        <f>IF(H132="","",IFERROR(INDEX(Services!$E$5:$E$54,MATCH(H132,Services!$B$5:$B$54,0)),""))</f>
        <v>0</v>
      </c>
      <c r="P132" s="29">
        <f>IF(H132="","",IFERROR(INDEX(Services!$G$5:$G$54,MATCH(H132,Services!$B$5:$B$54,0)),0))</f>
        <v>0</v>
      </c>
      <c r="Q132" s="29">
        <f>IF(H132="","",IF(IFERROR(INDEX(Services!$H$5:$H$54,MATCH(H132,Services!$B$5:$B$54,0)),0)=0,ExtraPetFeeDefault,IFERROR(INDEX(Services!$H$5:$H$54,MATCH(H132,Services!$B$5:$B$54,0)),0)))</f>
        <v>0</v>
      </c>
      <c r="R132" s="30">
        <f>IF(H132="","",IF(IFERROR(INDEX(Services!$I$5:$I$54,MATCH(H132,Services!$B$5:$B$54,0)),0)=0,HolidaySurcharge,IFERROR(INDEX(Services!$I$5:$I$54,MATCH(H132,Services!$B$5:$B$54,0)),0)))</f>
        <v>0</v>
      </c>
      <c r="S132" s="30">
        <f>IF(H132="","",IF(IFERROR(INDEX(Services!$J$5:$J$54,MATCH(H132,Services!$B$5:$B$54,0)),0)=0,WeekendSurcharge,IFERROR(INDEX(Services!$J$5:$J$54,MATCH(H132,Services!$B$5:$B$54,0)),0)))</f>
        <v>0</v>
      </c>
      <c r="T132" s="50">
        <f>IF(H132="","",IFERROR(INDEX(Services!$K$5:$K$54,MATCH(H132,Services!$B$5:$B$54,0)),"No"))</f>
        <v>0</v>
      </c>
      <c r="U132" s="29">
        <f>IF(H132="","",ROUND(IF(O132="Per hour",P132*IF(M132="",IF(N132="",1,N132),M132),P132*IF(N132="",1,N132)),2))</f>
        <v>0</v>
      </c>
      <c r="V132" s="29">
        <f>IF(H132="","",ROUND(MAX(0,IF(G132="",1,G132)-1)*Q132,2))</f>
        <v>0</v>
      </c>
      <c r="W132" s="50">
        <f>IF(I132="","",IF(COUNTIF(HolidayDates,I132)&gt;0,"Yes","No"))</f>
        <v>0</v>
      </c>
      <c r="X132" s="50">
        <f>IF(I132="","",IF(WEEKDAY(I132,2)&gt;5,"Yes","No"))</f>
        <v>0</v>
      </c>
      <c r="Y132" s="29">
        <f>IF(H132="","",ROUND((U132+V132)*(IF(W132="Yes",R132,0)+IF(X132="Yes",S132,0)),2))</f>
        <v>0</v>
      </c>
      <c r="AA132" s="29">
        <f>IF(H132="","",IF(T132&lt;&gt;"Yes",0,ROUND(MAX(0,IF(Z132="",0,Z132)-FreeTravelDistance)*TravelFeeRate,2)))</f>
        <v>0</v>
      </c>
      <c r="AB132" s="31">
        <f>IF(I132="","",TravelTimeMins)</f>
        <v>0</v>
      </c>
      <c r="AC132" s="29">
        <f>IF(OR(I132="",B132=""),0,IF(I132-B132&lt;=LastMinuteDays,EmergencyFee,0))</f>
        <v>0</v>
      </c>
      <c r="AF132" s="29">
        <f>IF(H132="","",ROUND((U132+V132+Y132+AA132+AC132)*IF(AE132="",0,AE132),2))</f>
        <v>0</v>
      </c>
      <c r="AI132" s="29">
        <f>IF(H132="","",IF(AG132&lt;&gt;"",AG132,ROUND(U132+V132+Y132+AA132+AC132-AF132,2)))</f>
        <v>0</v>
      </c>
      <c r="AJ132" s="29">
        <f>IF(AI132="","",IF(TaxRegistered&lt;&gt;"Yes",0,IF(PricesIncludeTax="Yes",ROUND(AI132-AI132/(1+TaxRate),2),ROUND(AI132*TaxRate,2))))</f>
        <v>0</v>
      </c>
      <c r="AK132" s="29">
        <f>IF(AI132="","",IF(PricesIncludeTax="Yes",AI132,ROUND(AI132+AJ132,2)))</f>
        <v>0</v>
      </c>
      <c r="AQ132" s="21">
        <f>IF(OR(I132="",AP132="",AP132="None"),"",IF(AP132="Monthly",EDATE(I132,1),I132+IF(AP132="Daily",1,IF(AP132="Weekdays",IF(WEEKDAY(I132,2)&gt;=5,8-WEEKDAY(I132,2),1),IF(AP132="Weekly",7,IF(AP132="Fortnightly",14,0))))))</f>
        <v>0</v>
      </c>
      <c r="AR132" s="49">
        <f>IF(OR(I132="",AL132="",K132="",L132=""),"",IF(SUMPRODUCT((Bookings!$AL$5:$AL$404=AL132)*(Bookings!$I$5:$I$404=I132)*(Bookings!$K$5:$K$404&lt;L132)*(Bookings!$L$5:$L$404&gt;K132)*(Bookings!$AM$5:$AM$404&lt;&gt;"Cancelled"))&gt;1,"Conflict - double booked","OK"))</f>
        <v>0</v>
      </c>
      <c r="AS132" s="50">
        <f>IF(A132="","",IF(COUNTIF('Visit Log'!$B$5:$B$404,A132)&gt;0,"Yes","No"))</f>
        <v>0</v>
      </c>
      <c r="AT132" s="28">
        <f>IF(A132="","",IFERROR(INDEX(Invoices!$A$5:$A$304,MATCH(A132,Invoices!$E$5:$E$304,0)),""))</f>
        <v>0</v>
      </c>
      <c r="AU132" s="49">
        <f>IF(A132="","",IF(AT132="","Not invoiced",IFERROR(INDEX(Invoices!$U$5:$U$304,MATCH(AT132,Invoices!$A$5:$A$304,0)),"")))</f>
        <v>0</v>
      </c>
      <c r="AY132" s="28">
        <f>IF(I132="","",TEXT(I132,"yyyy-mm"))</f>
        <v>0</v>
      </c>
      <c r="AZ132" s="49">
        <f>IF(I132="","",IF(AM132="Cancelled","Cancelled",IF(AND(I132&lt;TODAY(),OR(AM132="Pending",AM132="Confirmed",AM132="Enquiry")),"Overdue - update status",IF(AND(AM132="Completed",AS132="No"),"Action - log the visit",IF(I132=TODAY(),"Today",IF(AND(I132&gt;TODAY(),I132-TODAY()&lt;=ReminderLeadDays,AN132&lt;&gt;"Yes"),"Action - unconfirmed",IF(AND(I132&gt;TODAY(),I132-TODAY()&lt;=ReminderLeadDays),"Upcoming","OK")))))))</f>
        <v>0</v>
      </c>
    </row>
    <row r="133" spans="1:52">
      <c r="A133" s="46">
        <f>IF(C133="","",BookingPrefix&amp;TEXT(ROW()-4,"0000"))</f>
        <v>0</v>
      </c>
      <c r="D133" s="28">
        <f>IF(C133="","",IFERROR(INDEX(Clients!$A$5:$A$254,MATCH(C133,Clients!$B$5:$B$254,0)),""))</f>
        <v>0</v>
      </c>
      <c r="J133" s="50">
        <f>IF(I133="","",TEXT(I133,"ddd"))</f>
        <v>0</v>
      </c>
      <c r="M133" s="51">
        <f>IF(OR(K133="",L133=""),"",ROUND((L133-K133+IF(L133&lt;K133,1,0))*24,2))</f>
        <v>0</v>
      </c>
      <c r="O133" s="28">
        <f>IF(H133="","",IFERROR(INDEX(Services!$E$5:$E$54,MATCH(H133,Services!$B$5:$B$54,0)),""))</f>
        <v>0</v>
      </c>
      <c r="P133" s="29">
        <f>IF(H133="","",IFERROR(INDEX(Services!$G$5:$G$54,MATCH(H133,Services!$B$5:$B$54,0)),0))</f>
        <v>0</v>
      </c>
      <c r="Q133" s="29">
        <f>IF(H133="","",IF(IFERROR(INDEX(Services!$H$5:$H$54,MATCH(H133,Services!$B$5:$B$54,0)),0)=0,ExtraPetFeeDefault,IFERROR(INDEX(Services!$H$5:$H$54,MATCH(H133,Services!$B$5:$B$54,0)),0)))</f>
        <v>0</v>
      </c>
      <c r="R133" s="30">
        <f>IF(H133="","",IF(IFERROR(INDEX(Services!$I$5:$I$54,MATCH(H133,Services!$B$5:$B$54,0)),0)=0,HolidaySurcharge,IFERROR(INDEX(Services!$I$5:$I$54,MATCH(H133,Services!$B$5:$B$54,0)),0)))</f>
        <v>0</v>
      </c>
      <c r="S133" s="30">
        <f>IF(H133="","",IF(IFERROR(INDEX(Services!$J$5:$J$54,MATCH(H133,Services!$B$5:$B$54,0)),0)=0,WeekendSurcharge,IFERROR(INDEX(Services!$J$5:$J$54,MATCH(H133,Services!$B$5:$B$54,0)),0)))</f>
        <v>0</v>
      </c>
      <c r="T133" s="50">
        <f>IF(H133="","",IFERROR(INDEX(Services!$K$5:$K$54,MATCH(H133,Services!$B$5:$B$54,0)),"No"))</f>
        <v>0</v>
      </c>
      <c r="U133" s="29">
        <f>IF(H133="","",ROUND(IF(O133="Per hour",P133*IF(M133="",IF(N133="",1,N133),M133),P133*IF(N133="",1,N133)),2))</f>
        <v>0</v>
      </c>
      <c r="V133" s="29">
        <f>IF(H133="","",ROUND(MAX(0,IF(G133="",1,G133)-1)*Q133,2))</f>
        <v>0</v>
      </c>
      <c r="W133" s="50">
        <f>IF(I133="","",IF(COUNTIF(HolidayDates,I133)&gt;0,"Yes","No"))</f>
        <v>0</v>
      </c>
      <c r="X133" s="50">
        <f>IF(I133="","",IF(WEEKDAY(I133,2)&gt;5,"Yes","No"))</f>
        <v>0</v>
      </c>
      <c r="Y133" s="29">
        <f>IF(H133="","",ROUND((U133+V133)*(IF(W133="Yes",R133,0)+IF(X133="Yes",S133,0)),2))</f>
        <v>0</v>
      </c>
      <c r="AA133" s="29">
        <f>IF(H133="","",IF(T133&lt;&gt;"Yes",0,ROUND(MAX(0,IF(Z133="",0,Z133)-FreeTravelDistance)*TravelFeeRate,2)))</f>
        <v>0</v>
      </c>
      <c r="AB133" s="31">
        <f>IF(I133="","",TravelTimeMins)</f>
        <v>0</v>
      </c>
      <c r="AC133" s="29">
        <f>IF(OR(I133="",B133=""),0,IF(I133-B133&lt;=LastMinuteDays,EmergencyFee,0))</f>
        <v>0</v>
      </c>
      <c r="AF133" s="29">
        <f>IF(H133="","",ROUND((U133+V133+Y133+AA133+AC133)*IF(AE133="",0,AE133),2))</f>
        <v>0</v>
      </c>
      <c r="AI133" s="29">
        <f>IF(H133="","",IF(AG133&lt;&gt;"",AG133,ROUND(U133+V133+Y133+AA133+AC133-AF133,2)))</f>
        <v>0</v>
      </c>
      <c r="AJ133" s="29">
        <f>IF(AI133="","",IF(TaxRegistered&lt;&gt;"Yes",0,IF(PricesIncludeTax="Yes",ROUND(AI133-AI133/(1+TaxRate),2),ROUND(AI133*TaxRate,2))))</f>
        <v>0</v>
      </c>
      <c r="AK133" s="29">
        <f>IF(AI133="","",IF(PricesIncludeTax="Yes",AI133,ROUND(AI133+AJ133,2)))</f>
        <v>0</v>
      </c>
      <c r="AQ133" s="21">
        <f>IF(OR(I133="",AP133="",AP133="None"),"",IF(AP133="Monthly",EDATE(I133,1),I133+IF(AP133="Daily",1,IF(AP133="Weekdays",IF(WEEKDAY(I133,2)&gt;=5,8-WEEKDAY(I133,2),1),IF(AP133="Weekly",7,IF(AP133="Fortnightly",14,0))))))</f>
        <v>0</v>
      </c>
      <c r="AR133" s="49">
        <f>IF(OR(I133="",AL133="",K133="",L133=""),"",IF(SUMPRODUCT((Bookings!$AL$5:$AL$404=AL133)*(Bookings!$I$5:$I$404=I133)*(Bookings!$K$5:$K$404&lt;L133)*(Bookings!$L$5:$L$404&gt;K133)*(Bookings!$AM$5:$AM$404&lt;&gt;"Cancelled"))&gt;1,"Conflict - double booked","OK"))</f>
        <v>0</v>
      </c>
      <c r="AS133" s="50">
        <f>IF(A133="","",IF(COUNTIF('Visit Log'!$B$5:$B$404,A133)&gt;0,"Yes","No"))</f>
        <v>0</v>
      </c>
      <c r="AT133" s="28">
        <f>IF(A133="","",IFERROR(INDEX(Invoices!$A$5:$A$304,MATCH(A133,Invoices!$E$5:$E$304,0)),""))</f>
        <v>0</v>
      </c>
      <c r="AU133" s="49">
        <f>IF(A133="","",IF(AT133="","Not invoiced",IFERROR(INDEX(Invoices!$U$5:$U$304,MATCH(AT133,Invoices!$A$5:$A$304,0)),"")))</f>
        <v>0</v>
      </c>
      <c r="AY133" s="28">
        <f>IF(I133="","",TEXT(I133,"yyyy-mm"))</f>
        <v>0</v>
      </c>
      <c r="AZ133" s="49">
        <f>IF(I133="","",IF(AM133="Cancelled","Cancelled",IF(AND(I133&lt;TODAY(),OR(AM133="Pending",AM133="Confirmed",AM133="Enquiry")),"Overdue - update status",IF(AND(AM133="Completed",AS133="No"),"Action - log the visit",IF(I133=TODAY(),"Today",IF(AND(I133&gt;TODAY(),I133-TODAY()&lt;=ReminderLeadDays,AN133&lt;&gt;"Yes"),"Action - unconfirmed",IF(AND(I133&gt;TODAY(),I133-TODAY()&lt;=ReminderLeadDays),"Upcoming","OK")))))))</f>
        <v>0</v>
      </c>
    </row>
    <row r="134" spans="1:52">
      <c r="A134" s="46">
        <f>IF(C134="","",BookingPrefix&amp;TEXT(ROW()-4,"0000"))</f>
        <v>0</v>
      </c>
      <c r="D134" s="28">
        <f>IF(C134="","",IFERROR(INDEX(Clients!$A$5:$A$254,MATCH(C134,Clients!$B$5:$B$254,0)),""))</f>
        <v>0</v>
      </c>
      <c r="J134" s="50">
        <f>IF(I134="","",TEXT(I134,"ddd"))</f>
        <v>0</v>
      </c>
      <c r="M134" s="51">
        <f>IF(OR(K134="",L134=""),"",ROUND((L134-K134+IF(L134&lt;K134,1,0))*24,2))</f>
        <v>0</v>
      </c>
      <c r="O134" s="28">
        <f>IF(H134="","",IFERROR(INDEX(Services!$E$5:$E$54,MATCH(H134,Services!$B$5:$B$54,0)),""))</f>
        <v>0</v>
      </c>
      <c r="P134" s="29">
        <f>IF(H134="","",IFERROR(INDEX(Services!$G$5:$G$54,MATCH(H134,Services!$B$5:$B$54,0)),0))</f>
        <v>0</v>
      </c>
      <c r="Q134" s="29">
        <f>IF(H134="","",IF(IFERROR(INDEX(Services!$H$5:$H$54,MATCH(H134,Services!$B$5:$B$54,0)),0)=0,ExtraPetFeeDefault,IFERROR(INDEX(Services!$H$5:$H$54,MATCH(H134,Services!$B$5:$B$54,0)),0)))</f>
        <v>0</v>
      </c>
      <c r="R134" s="30">
        <f>IF(H134="","",IF(IFERROR(INDEX(Services!$I$5:$I$54,MATCH(H134,Services!$B$5:$B$54,0)),0)=0,HolidaySurcharge,IFERROR(INDEX(Services!$I$5:$I$54,MATCH(H134,Services!$B$5:$B$54,0)),0)))</f>
        <v>0</v>
      </c>
      <c r="S134" s="30">
        <f>IF(H134="","",IF(IFERROR(INDEX(Services!$J$5:$J$54,MATCH(H134,Services!$B$5:$B$54,0)),0)=0,WeekendSurcharge,IFERROR(INDEX(Services!$J$5:$J$54,MATCH(H134,Services!$B$5:$B$54,0)),0)))</f>
        <v>0</v>
      </c>
      <c r="T134" s="50">
        <f>IF(H134="","",IFERROR(INDEX(Services!$K$5:$K$54,MATCH(H134,Services!$B$5:$B$54,0)),"No"))</f>
        <v>0</v>
      </c>
      <c r="U134" s="29">
        <f>IF(H134="","",ROUND(IF(O134="Per hour",P134*IF(M134="",IF(N134="",1,N134),M134),P134*IF(N134="",1,N134)),2))</f>
        <v>0</v>
      </c>
      <c r="V134" s="29">
        <f>IF(H134="","",ROUND(MAX(0,IF(G134="",1,G134)-1)*Q134,2))</f>
        <v>0</v>
      </c>
      <c r="W134" s="50">
        <f>IF(I134="","",IF(COUNTIF(HolidayDates,I134)&gt;0,"Yes","No"))</f>
        <v>0</v>
      </c>
      <c r="X134" s="50">
        <f>IF(I134="","",IF(WEEKDAY(I134,2)&gt;5,"Yes","No"))</f>
        <v>0</v>
      </c>
      <c r="Y134" s="29">
        <f>IF(H134="","",ROUND((U134+V134)*(IF(W134="Yes",R134,0)+IF(X134="Yes",S134,0)),2))</f>
        <v>0</v>
      </c>
      <c r="AA134" s="29">
        <f>IF(H134="","",IF(T134&lt;&gt;"Yes",0,ROUND(MAX(0,IF(Z134="",0,Z134)-FreeTravelDistance)*TravelFeeRate,2)))</f>
        <v>0</v>
      </c>
      <c r="AB134" s="31">
        <f>IF(I134="","",TravelTimeMins)</f>
        <v>0</v>
      </c>
      <c r="AC134" s="29">
        <f>IF(OR(I134="",B134=""),0,IF(I134-B134&lt;=LastMinuteDays,EmergencyFee,0))</f>
        <v>0</v>
      </c>
      <c r="AF134" s="29">
        <f>IF(H134="","",ROUND((U134+V134+Y134+AA134+AC134)*IF(AE134="",0,AE134),2))</f>
        <v>0</v>
      </c>
      <c r="AI134" s="29">
        <f>IF(H134="","",IF(AG134&lt;&gt;"",AG134,ROUND(U134+V134+Y134+AA134+AC134-AF134,2)))</f>
        <v>0</v>
      </c>
      <c r="AJ134" s="29">
        <f>IF(AI134="","",IF(TaxRegistered&lt;&gt;"Yes",0,IF(PricesIncludeTax="Yes",ROUND(AI134-AI134/(1+TaxRate),2),ROUND(AI134*TaxRate,2))))</f>
        <v>0</v>
      </c>
      <c r="AK134" s="29">
        <f>IF(AI134="","",IF(PricesIncludeTax="Yes",AI134,ROUND(AI134+AJ134,2)))</f>
        <v>0</v>
      </c>
      <c r="AQ134" s="21">
        <f>IF(OR(I134="",AP134="",AP134="None"),"",IF(AP134="Monthly",EDATE(I134,1),I134+IF(AP134="Daily",1,IF(AP134="Weekdays",IF(WEEKDAY(I134,2)&gt;=5,8-WEEKDAY(I134,2),1),IF(AP134="Weekly",7,IF(AP134="Fortnightly",14,0))))))</f>
        <v>0</v>
      </c>
      <c r="AR134" s="49">
        <f>IF(OR(I134="",AL134="",K134="",L134=""),"",IF(SUMPRODUCT((Bookings!$AL$5:$AL$404=AL134)*(Bookings!$I$5:$I$404=I134)*(Bookings!$K$5:$K$404&lt;L134)*(Bookings!$L$5:$L$404&gt;K134)*(Bookings!$AM$5:$AM$404&lt;&gt;"Cancelled"))&gt;1,"Conflict - double booked","OK"))</f>
        <v>0</v>
      </c>
      <c r="AS134" s="50">
        <f>IF(A134="","",IF(COUNTIF('Visit Log'!$B$5:$B$404,A134)&gt;0,"Yes","No"))</f>
        <v>0</v>
      </c>
      <c r="AT134" s="28">
        <f>IF(A134="","",IFERROR(INDEX(Invoices!$A$5:$A$304,MATCH(A134,Invoices!$E$5:$E$304,0)),""))</f>
        <v>0</v>
      </c>
      <c r="AU134" s="49">
        <f>IF(A134="","",IF(AT134="","Not invoiced",IFERROR(INDEX(Invoices!$U$5:$U$304,MATCH(AT134,Invoices!$A$5:$A$304,0)),"")))</f>
        <v>0</v>
      </c>
      <c r="AY134" s="28">
        <f>IF(I134="","",TEXT(I134,"yyyy-mm"))</f>
        <v>0</v>
      </c>
      <c r="AZ134" s="49">
        <f>IF(I134="","",IF(AM134="Cancelled","Cancelled",IF(AND(I134&lt;TODAY(),OR(AM134="Pending",AM134="Confirmed",AM134="Enquiry")),"Overdue - update status",IF(AND(AM134="Completed",AS134="No"),"Action - log the visit",IF(I134=TODAY(),"Today",IF(AND(I134&gt;TODAY(),I134-TODAY()&lt;=ReminderLeadDays,AN134&lt;&gt;"Yes"),"Action - unconfirmed",IF(AND(I134&gt;TODAY(),I134-TODAY()&lt;=ReminderLeadDays),"Upcoming","OK")))))))</f>
        <v>0</v>
      </c>
    </row>
    <row r="135" spans="1:52">
      <c r="A135" s="46">
        <f>IF(C135="","",BookingPrefix&amp;TEXT(ROW()-4,"0000"))</f>
        <v>0</v>
      </c>
      <c r="D135" s="28">
        <f>IF(C135="","",IFERROR(INDEX(Clients!$A$5:$A$254,MATCH(C135,Clients!$B$5:$B$254,0)),""))</f>
        <v>0</v>
      </c>
      <c r="J135" s="50">
        <f>IF(I135="","",TEXT(I135,"ddd"))</f>
        <v>0</v>
      </c>
      <c r="M135" s="51">
        <f>IF(OR(K135="",L135=""),"",ROUND((L135-K135+IF(L135&lt;K135,1,0))*24,2))</f>
        <v>0</v>
      </c>
      <c r="O135" s="28">
        <f>IF(H135="","",IFERROR(INDEX(Services!$E$5:$E$54,MATCH(H135,Services!$B$5:$B$54,0)),""))</f>
        <v>0</v>
      </c>
      <c r="P135" s="29">
        <f>IF(H135="","",IFERROR(INDEX(Services!$G$5:$G$54,MATCH(H135,Services!$B$5:$B$54,0)),0))</f>
        <v>0</v>
      </c>
      <c r="Q135" s="29">
        <f>IF(H135="","",IF(IFERROR(INDEX(Services!$H$5:$H$54,MATCH(H135,Services!$B$5:$B$54,0)),0)=0,ExtraPetFeeDefault,IFERROR(INDEX(Services!$H$5:$H$54,MATCH(H135,Services!$B$5:$B$54,0)),0)))</f>
        <v>0</v>
      </c>
      <c r="R135" s="30">
        <f>IF(H135="","",IF(IFERROR(INDEX(Services!$I$5:$I$54,MATCH(H135,Services!$B$5:$B$54,0)),0)=0,HolidaySurcharge,IFERROR(INDEX(Services!$I$5:$I$54,MATCH(H135,Services!$B$5:$B$54,0)),0)))</f>
        <v>0</v>
      </c>
      <c r="S135" s="30">
        <f>IF(H135="","",IF(IFERROR(INDEX(Services!$J$5:$J$54,MATCH(H135,Services!$B$5:$B$54,0)),0)=0,WeekendSurcharge,IFERROR(INDEX(Services!$J$5:$J$54,MATCH(H135,Services!$B$5:$B$54,0)),0)))</f>
        <v>0</v>
      </c>
      <c r="T135" s="50">
        <f>IF(H135="","",IFERROR(INDEX(Services!$K$5:$K$54,MATCH(H135,Services!$B$5:$B$54,0)),"No"))</f>
        <v>0</v>
      </c>
      <c r="U135" s="29">
        <f>IF(H135="","",ROUND(IF(O135="Per hour",P135*IF(M135="",IF(N135="",1,N135),M135),P135*IF(N135="",1,N135)),2))</f>
        <v>0</v>
      </c>
      <c r="V135" s="29">
        <f>IF(H135="","",ROUND(MAX(0,IF(G135="",1,G135)-1)*Q135,2))</f>
        <v>0</v>
      </c>
      <c r="W135" s="50">
        <f>IF(I135="","",IF(COUNTIF(HolidayDates,I135)&gt;0,"Yes","No"))</f>
        <v>0</v>
      </c>
      <c r="X135" s="50">
        <f>IF(I135="","",IF(WEEKDAY(I135,2)&gt;5,"Yes","No"))</f>
        <v>0</v>
      </c>
      <c r="Y135" s="29">
        <f>IF(H135="","",ROUND((U135+V135)*(IF(W135="Yes",R135,0)+IF(X135="Yes",S135,0)),2))</f>
        <v>0</v>
      </c>
      <c r="AA135" s="29">
        <f>IF(H135="","",IF(T135&lt;&gt;"Yes",0,ROUND(MAX(0,IF(Z135="",0,Z135)-FreeTravelDistance)*TravelFeeRate,2)))</f>
        <v>0</v>
      </c>
      <c r="AB135" s="31">
        <f>IF(I135="","",TravelTimeMins)</f>
        <v>0</v>
      </c>
      <c r="AC135" s="29">
        <f>IF(OR(I135="",B135=""),0,IF(I135-B135&lt;=LastMinuteDays,EmergencyFee,0))</f>
        <v>0</v>
      </c>
      <c r="AF135" s="29">
        <f>IF(H135="","",ROUND((U135+V135+Y135+AA135+AC135)*IF(AE135="",0,AE135),2))</f>
        <v>0</v>
      </c>
      <c r="AI135" s="29">
        <f>IF(H135="","",IF(AG135&lt;&gt;"",AG135,ROUND(U135+V135+Y135+AA135+AC135-AF135,2)))</f>
        <v>0</v>
      </c>
      <c r="AJ135" s="29">
        <f>IF(AI135="","",IF(TaxRegistered&lt;&gt;"Yes",0,IF(PricesIncludeTax="Yes",ROUND(AI135-AI135/(1+TaxRate),2),ROUND(AI135*TaxRate,2))))</f>
        <v>0</v>
      </c>
      <c r="AK135" s="29">
        <f>IF(AI135="","",IF(PricesIncludeTax="Yes",AI135,ROUND(AI135+AJ135,2)))</f>
        <v>0</v>
      </c>
      <c r="AQ135" s="21">
        <f>IF(OR(I135="",AP135="",AP135="None"),"",IF(AP135="Monthly",EDATE(I135,1),I135+IF(AP135="Daily",1,IF(AP135="Weekdays",IF(WEEKDAY(I135,2)&gt;=5,8-WEEKDAY(I135,2),1),IF(AP135="Weekly",7,IF(AP135="Fortnightly",14,0))))))</f>
        <v>0</v>
      </c>
      <c r="AR135" s="49">
        <f>IF(OR(I135="",AL135="",K135="",L135=""),"",IF(SUMPRODUCT((Bookings!$AL$5:$AL$404=AL135)*(Bookings!$I$5:$I$404=I135)*(Bookings!$K$5:$K$404&lt;L135)*(Bookings!$L$5:$L$404&gt;K135)*(Bookings!$AM$5:$AM$404&lt;&gt;"Cancelled"))&gt;1,"Conflict - double booked","OK"))</f>
        <v>0</v>
      </c>
      <c r="AS135" s="50">
        <f>IF(A135="","",IF(COUNTIF('Visit Log'!$B$5:$B$404,A135)&gt;0,"Yes","No"))</f>
        <v>0</v>
      </c>
      <c r="AT135" s="28">
        <f>IF(A135="","",IFERROR(INDEX(Invoices!$A$5:$A$304,MATCH(A135,Invoices!$E$5:$E$304,0)),""))</f>
        <v>0</v>
      </c>
      <c r="AU135" s="49">
        <f>IF(A135="","",IF(AT135="","Not invoiced",IFERROR(INDEX(Invoices!$U$5:$U$304,MATCH(AT135,Invoices!$A$5:$A$304,0)),"")))</f>
        <v>0</v>
      </c>
      <c r="AY135" s="28">
        <f>IF(I135="","",TEXT(I135,"yyyy-mm"))</f>
        <v>0</v>
      </c>
      <c r="AZ135" s="49">
        <f>IF(I135="","",IF(AM135="Cancelled","Cancelled",IF(AND(I135&lt;TODAY(),OR(AM135="Pending",AM135="Confirmed",AM135="Enquiry")),"Overdue - update status",IF(AND(AM135="Completed",AS135="No"),"Action - log the visit",IF(I135=TODAY(),"Today",IF(AND(I135&gt;TODAY(),I135-TODAY()&lt;=ReminderLeadDays,AN135&lt;&gt;"Yes"),"Action - unconfirmed",IF(AND(I135&gt;TODAY(),I135-TODAY()&lt;=ReminderLeadDays),"Upcoming","OK")))))))</f>
        <v>0</v>
      </c>
    </row>
    <row r="136" spans="1:52">
      <c r="A136" s="46">
        <f>IF(C136="","",BookingPrefix&amp;TEXT(ROW()-4,"0000"))</f>
        <v>0</v>
      </c>
      <c r="D136" s="28">
        <f>IF(C136="","",IFERROR(INDEX(Clients!$A$5:$A$254,MATCH(C136,Clients!$B$5:$B$254,0)),""))</f>
        <v>0</v>
      </c>
      <c r="J136" s="50">
        <f>IF(I136="","",TEXT(I136,"ddd"))</f>
        <v>0</v>
      </c>
      <c r="M136" s="51">
        <f>IF(OR(K136="",L136=""),"",ROUND((L136-K136+IF(L136&lt;K136,1,0))*24,2))</f>
        <v>0</v>
      </c>
      <c r="O136" s="28">
        <f>IF(H136="","",IFERROR(INDEX(Services!$E$5:$E$54,MATCH(H136,Services!$B$5:$B$54,0)),""))</f>
        <v>0</v>
      </c>
      <c r="P136" s="29">
        <f>IF(H136="","",IFERROR(INDEX(Services!$G$5:$G$54,MATCH(H136,Services!$B$5:$B$54,0)),0))</f>
        <v>0</v>
      </c>
      <c r="Q136" s="29">
        <f>IF(H136="","",IF(IFERROR(INDEX(Services!$H$5:$H$54,MATCH(H136,Services!$B$5:$B$54,0)),0)=0,ExtraPetFeeDefault,IFERROR(INDEX(Services!$H$5:$H$54,MATCH(H136,Services!$B$5:$B$54,0)),0)))</f>
        <v>0</v>
      </c>
      <c r="R136" s="30">
        <f>IF(H136="","",IF(IFERROR(INDEX(Services!$I$5:$I$54,MATCH(H136,Services!$B$5:$B$54,0)),0)=0,HolidaySurcharge,IFERROR(INDEX(Services!$I$5:$I$54,MATCH(H136,Services!$B$5:$B$54,0)),0)))</f>
        <v>0</v>
      </c>
      <c r="S136" s="30">
        <f>IF(H136="","",IF(IFERROR(INDEX(Services!$J$5:$J$54,MATCH(H136,Services!$B$5:$B$54,0)),0)=0,WeekendSurcharge,IFERROR(INDEX(Services!$J$5:$J$54,MATCH(H136,Services!$B$5:$B$54,0)),0)))</f>
        <v>0</v>
      </c>
      <c r="T136" s="50">
        <f>IF(H136="","",IFERROR(INDEX(Services!$K$5:$K$54,MATCH(H136,Services!$B$5:$B$54,0)),"No"))</f>
        <v>0</v>
      </c>
      <c r="U136" s="29">
        <f>IF(H136="","",ROUND(IF(O136="Per hour",P136*IF(M136="",IF(N136="",1,N136),M136),P136*IF(N136="",1,N136)),2))</f>
        <v>0</v>
      </c>
      <c r="V136" s="29">
        <f>IF(H136="","",ROUND(MAX(0,IF(G136="",1,G136)-1)*Q136,2))</f>
        <v>0</v>
      </c>
      <c r="W136" s="50">
        <f>IF(I136="","",IF(COUNTIF(HolidayDates,I136)&gt;0,"Yes","No"))</f>
        <v>0</v>
      </c>
      <c r="X136" s="50">
        <f>IF(I136="","",IF(WEEKDAY(I136,2)&gt;5,"Yes","No"))</f>
        <v>0</v>
      </c>
      <c r="Y136" s="29">
        <f>IF(H136="","",ROUND((U136+V136)*(IF(W136="Yes",R136,0)+IF(X136="Yes",S136,0)),2))</f>
        <v>0</v>
      </c>
      <c r="AA136" s="29">
        <f>IF(H136="","",IF(T136&lt;&gt;"Yes",0,ROUND(MAX(0,IF(Z136="",0,Z136)-FreeTravelDistance)*TravelFeeRate,2)))</f>
        <v>0</v>
      </c>
      <c r="AB136" s="31">
        <f>IF(I136="","",TravelTimeMins)</f>
        <v>0</v>
      </c>
      <c r="AC136" s="29">
        <f>IF(OR(I136="",B136=""),0,IF(I136-B136&lt;=LastMinuteDays,EmergencyFee,0))</f>
        <v>0</v>
      </c>
      <c r="AF136" s="29">
        <f>IF(H136="","",ROUND((U136+V136+Y136+AA136+AC136)*IF(AE136="",0,AE136),2))</f>
        <v>0</v>
      </c>
      <c r="AI136" s="29">
        <f>IF(H136="","",IF(AG136&lt;&gt;"",AG136,ROUND(U136+V136+Y136+AA136+AC136-AF136,2)))</f>
        <v>0</v>
      </c>
      <c r="AJ136" s="29">
        <f>IF(AI136="","",IF(TaxRegistered&lt;&gt;"Yes",0,IF(PricesIncludeTax="Yes",ROUND(AI136-AI136/(1+TaxRate),2),ROUND(AI136*TaxRate,2))))</f>
        <v>0</v>
      </c>
      <c r="AK136" s="29">
        <f>IF(AI136="","",IF(PricesIncludeTax="Yes",AI136,ROUND(AI136+AJ136,2)))</f>
        <v>0</v>
      </c>
      <c r="AQ136" s="21">
        <f>IF(OR(I136="",AP136="",AP136="None"),"",IF(AP136="Monthly",EDATE(I136,1),I136+IF(AP136="Daily",1,IF(AP136="Weekdays",IF(WEEKDAY(I136,2)&gt;=5,8-WEEKDAY(I136,2),1),IF(AP136="Weekly",7,IF(AP136="Fortnightly",14,0))))))</f>
        <v>0</v>
      </c>
      <c r="AR136" s="49">
        <f>IF(OR(I136="",AL136="",K136="",L136=""),"",IF(SUMPRODUCT((Bookings!$AL$5:$AL$404=AL136)*(Bookings!$I$5:$I$404=I136)*(Bookings!$K$5:$K$404&lt;L136)*(Bookings!$L$5:$L$404&gt;K136)*(Bookings!$AM$5:$AM$404&lt;&gt;"Cancelled"))&gt;1,"Conflict - double booked","OK"))</f>
        <v>0</v>
      </c>
      <c r="AS136" s="50">
        <f>IF(A136="","",IF(COUNTIF('Visit Log'!$B$5:$B$404,A136)&gt;0,"Yes","No"))</f>
        <v>0</v>
      </c>
      <c r="AT136" s="28">
        <f>IF(A136="","",IFERROR(INDEX(Invoices!$A$5:$A$304,MATCH(A136,Invoices!$E$5:$E$304,0)),""))</f>
        <v>0</v>
      </c>
      <c r="AU136" s="49">
        <f>IF(A136="","",IF(AT136="","Not invoiced",IFERROR(INDEX(Invoices!$U$5:$U$304,MATCH(AT136,Invoices!$A$5:$A$304,0)),"")))</f>
        <v>0</v>
      </c>
      <c r="AY136" s="28">
        <f>IF(I136="","",TEXT(I136,"yyyy-mm"))</f>
        <v>0</v>
      </c>
      <c r="AZ136" s="49">
        <f>IF(I136="","",IF(AM136="Cancelled","Cancelled",IF(AND(I136&lt;TODAY(),OR(AM136="Pending",AM136="Confirmed",AM136="Enquiry")),"Overdue - update status",IF(AND(AM136="Completed",AS136="No"),"Action - log the visit",IF(I136=TODAY(),"Today",IF(AND(I136&gt;TODAY(),I136-TODAY()&lt;=ReminderLeadDays,AN136&lt;&gt;"Yes"),"Action - unconfirmed",IF(AND(I136&gt;TODAY(),I136-TODAY()&lt;=ReminderLeadDays),"Upcoming","OK")))))))</f>
        <v>0</v>
      </c>
    </row>
    <row r="137" spans="1:52">
      <c r="A137" s="46">
        <f>IF(C137="","",BookingPrefix&amp;TEXT(ROW()-4,"0000"))</f>
        <v>0</v>
      </c>
      <c r="D137" s="28">
        <f>IF(C137="","",IFERROR(INDEX(Clients!$A$5:$A$254,MATCH(C137,Clients!$B$5:$B$254,0)),""))</f>
        <v>0</v>
      </c>
      <c r="J137" s="50">
        <f>IF(I137="","",TEXT(I137,"ddd"))</f>
        <v>0</v>
      </c>
      <c r="M137" s="51">
        <f>IF(OR(K137="",L137=""),"",ROUND((L137-K137+IF(L137&lt;K137,1,0))*24,2))</f>
        <v>0</v>
      </c>
      <c r="O137" s="28">
        <f>IF(H137="","",IFERROR(INDEX(Services!$E$5:$E$54,MATCH(H137,Services!$B$5:$B$54,0)),""))</f>
        <v>0</v>
      </c>
      <c r="P137" s="29">
        <f>IF(H137="","",IFERROR(INDEX(Services!$G$5:$G$54,MATCH(H137,Services!$B$5:$B$54,0)),0))</f>
        <v>0</v>
      </c>
      <c r="Q137" s="29">
        <f>IF(H137="","",IF(IFERROR(INDEX(Services!$H$5:$H$54,MATCH(H137,Services!$B$5:$B$54,0)),0)=0,ExtraPetFeeDefault,IFERROR(INDEX(Services!$H$5:$H$54,MATCH(H137,Services!$B$5:$B$54,0)),0)))</f>
        <v>0</v>
      </c>
      <c r="R137" s="30">
        <f>IF(H137="","",IF(IFERROR(INDEX(Services!$I$5:$I$54,MATCH(H137,Services!$B$5:$B$54,0)),0)=0,HolidaySurcharge,IFERROR(INDEX(Services!$I$5:$I$54,MATCH(H137,Services!$B$5:$B$54,0)),0)))</f>
        <v>0</v>
      </c>
      <c r="S137" s="30">
        <f>IF(H137="","",IF(IFERROR(INDEX(Services!$J$5:$J$54,MATCH(H137,Services!$B$5:$B$54,0)),0)=0,WeekendSurcharge,IFERROR(INDEX(Services!$J$5:$J$54,MATCH(H137,Services!$B$5:$B$54,0)),0)))</f>
        <v>0</v>
      </c>
      <c r="T137" s="50">
        <f>IF(H137="","",IFERROR(INDEX(Services!$K$5:$K$54,MATCH(H137,Services!$B$5:$B$54,0)),"No"))</f>
        <v>0</v>
      </c>
      <c r="U137" s="29">
        <f>IF(H137="","",ROUND(IF(O137="Per hour",P137*IF(M137="",IF(N137="",1,N137),M137),P137*IF(N137="",1,N137)),2))</f>
        <v>0</v>
      </c>
      <c r="V137" s="29">
        <f>IF(H137="","",ROUND(MAX(0,IF(G137="",1,G137)-1)*Q137,2))</f>
        <v>0</v>
      </c>
      <c r="W137" s="50">
        <f>IF(I137="","",IF(COUNTIF(HolidayDates,I137)&gt;0,"Yes","No"))</f>
        <v>0</v>
      </c>
      <c r="X137" s="50">
        <f>IF(I137="","",IF(WEEKDAY(I137,2)&gt;5,"Yes","No"))</f>
        <v>0</v>
      </c>
      <c r="Y137" s="29">
        <f>IF(H137="","",ROUND((U137+V137)*(IF(W137="Yes",R137,0)+IF(X137="Yes",S137,0)),2))</f>
        <v>0</v>
      </c>
      <c r="AA137" s="29">
        <f>IF(H137="","",IF(T137&lt;&gt;"Yes",0,ROUND(MAX(0,IF(Z137="",0,Z137)-FreeTravelDistance)*TravelFeeRate,2)))</f>
        <v>0</v>
      </c>
      <c r="AB137" s="31">
        <f>IF(I137="","",TravelTimeMins)</f>
        <v>0</v>
      </c>
      <c r="AC137" s="29">
        <f>IF(OR(I137="",B137=""),0,IF(I137-B137&lt;=LastMinuteDays,EmergencyFee,0))</f>
        <v>0</v>
      </c>
      <c r="AF137" s="29">
        <f>IF(H137="","",ROUND((U137+V137+Y137+AA137+AC137)*IF(AE137="",0,AE137),2))</f>
        <v>0</v>
      </c>
      <c r="AI137" s="29">
        <f>IF(H137="","",IF(AG137&lt;&gt;"",AG137,ROUND(U137+V137+Y137+AA137+AC137-AF137,2)))</f>
        <v>0</v>
      </c>
      <c r="AJ137" s="29">
        <f>IF(AI137="","",IF(TaxRegistered&lt;&gt;"Yes",0,IF(PricesIncludeTax="Yes",ROUND(AI137-AI137/(1+TaxRate),2),ROUND(AI137*TaxRate,2))))</f>
        <v>0</v>
      </c>
      <c r="AK137" s="29">
        <f>IF(AI137="","",IF(PricesIncludeTax="Yes",AI137,ROUND(AI137+AJ137,2)))</f>
        <v>0</v>
      </c>
      <c r="AQ137" s="21">
        <f>IF(OR(I137="",AP137="",AP137="None"),"",IF(AP137="Monthly",EDATE(I137,1),I137+IF(AP137="Daily",1,IF(AP137="Weekdays",IF(WEEKDAY(I137,2)&gt;=5,8-WEEKDAY(I137,2),1),IF(AP137="Weekly",7,IF(AP137="Fortnightly",14,0))))))</f>
        <v>0</v>
      </c>
      <c r="AR137" s="49">
        <f>IF(OR(I137="",AL137="",K137="",L137=""),"",IF(SUMPRODUCT((Bookings!$AL$5:$AL$404=AL137)*(Bookings!$I$5:$I$404=I137)*(Bookings!$K$5:$K$404&lt;L137)*(Bookings!$L$5:$L$404&gt;K137)*(Bookings!$AM$5:$AM$404&lt;&gt;"Cancelled"))&gt;1,"Conflict - double booked","OK"))</f>
        <v>0</v>
      </c>
      <c r="AS137" s="50">
        <f>IF(A137="","",IF(COUNTIF('Visit Log'!$B$5:$B$404,A137)&gt;0,"Yes","No"))</f>
        <v>0</v>
      </c>
      <c r="AT137" s="28">
        <f>IF(A137="","",IFERROR(INDEX(Invoices!$A$5:$A$304,MATCH(A137,Invoices!$E$5:$E$304,0)),""))</f>
        <v>0</v>
      </c>
      <c r="AU137" s="49">
        <f>IF(A137="","",IF(AT137="","Not invoiced",IFERROR(INDEX(Invoices!$U$5:$U$304,MATCH(AT137,Invoices!$A$5:$A$304,0)),"")))</f>
        <v>0</v>
      </c>
      <c r="AY137" s="28">
        <f>IF(I137="","",TEXT(I137,"yyyy-mm"))</f>
        <v>0</v>
      </c>
      <c r="AZ137" s="49">
        <f>IF(I137="","",IF(AM137="Cancelled","Cancelled",IF(AND(I137&lt;TODAY(),OR(AM137="Pending",AM137="Confirmed",AM137="Enquiry")),"Overdue - update status",IF(AND(AM137="Completed",AS137="No"),"Action - log the visit",IF(I137=TODAY(),"Today",IF(AND(I137&gt;TODAY(),I137-TODAY()&lt;=ReminderLeadDays,AN137&lt;&gt;"Yes"),"Action - unconfirmed",IF(AND(I137&gt;TODAY(),I137-TODAY()&lt;=ReminderLeadDays),"Upcoming","OK")))))))</f>
        <v>0</v>
      </c>
    </row>
    <row r="138" spans="1:52">
      <c r="A138" s="46">
        <f>IF(C138="","",BookingPrefix&amp;TEXT(ROW()-4,"0000"))</f>
        <v>0</v>
      </c>
      <c r="D138" s="28">
        <f>IF(C138="","",IFERROR(INDEX(Clients!$A$5:$A$254,MATCH(C138,Clients!$B$5:$B$254,0)),""))</f>
        <v>0</v>
      </c>
      <c r="J138" s="50">
        <f>IF(I138="","",TEXT(I138,"ddd"))</f>
        <v>0</v>
      </c>
      <c r="M138" s="51">
        <f>IF(OR(K138="",L138=""),"",ROUND((L138-K138+IF(L138&lt;K138,1,0))*24,2))</f>
        <v>0</v>
      </c>
      <c r="O138" s="28">
        <f>IF(H138="","",IFERROR(INDEX(Services!$E$5:$E$54,MATCH(H138,Services!$B$5:$B$54,0)),""))</f>
        <v>0</v>
      </c>
      <c r="P138" s="29">
        <f>IF(H138="","",IFERROR(INDEX(Services!$G$5:$G$54,MATCH(H138,Services!$B$5:$B$54,0)),0))</f>
        <v>0</v>
      </c>
      <c r="Q138" s="29">
        <f>IF(H138="","",IF(IFERROR(INDEX(Services!$H$5:$H$54,MATCH(H138,Services!$B$5:$B$54,0)),0)=0,ExtraPetFeeDefault,IFERROR(INDEX(Services!$H$5:$H$54,MATCH(H138,Services!$B$5:$B$54,0)),0)))</f>
        <v>0</v>
      </c>
      <c r="R138" s="30">
        <f>IF(H138="","",IF(IFERROR(INDEX(Services!$I$5:$I$54,MATCH(H138,Services!$B$5:$B$54,0)),0)=0,HolidaySurcharge,IFERROR(INDEX(Services!$I$5:$I$54,MATCH(H138,Services!$B$5:$B$54,0)),0)))</f>
        <v>0</v>
      </c>
      <c r="S138" s="30">
        <f>IF(H138="","",IF(IFERROR(INDEX(Services!$J$5:$J$54,MATCH(H138,Services!$B$5:$B$54,0)),0)=0,WeekendSurcharge,IFERROR(INDEX(Services!$J$5:$J$54,MATCH(H138,Services!$B$5:$B$54,0)),0)))</f>
        <v>0</v>
      </c>
      <c r="T138" s="50">
        <f>IF(H138="","",IFERROR(INDEX(Services!$K$5:$K$54,MATCH(H138,Services!$B$5:$B$54,0)),"No"))</f>
        <v>0</v>
      </c>
      <c r="U138" s="29">
        <f>IF(H138="","",ROUND(IF(O138="Per hour",P138*IF(M138="",IF(N138="",1,N138),M138),P138*IF(N138="",1,N138)),2))</f>
        <v>0</v>
      </c>
      <c r="V138" s="29">
        <f>IF(H138="","",ROUND(MAX(0,IF(G138="",1,G138)-1)*Q138,2))</f>
        <v>0</v>
      </c>
      <c r="W138" s="50">
        <f>IF(I138="","",IF(COUNTIF(HolidayDates,I138)&gt;0,"Yes","No"))</f>
        <v>0</v>
      </c>
      <c r="X138" s="50">
        <f>IF(I138="","",IF(WEEKDAY(I138,2)&gt;5,"Yes","No"))</f>
        <v>0</v>
      </c>
      <c r="Y138" s="29">
        <f>IF(H138="","",ROUND((U138+V138)*(IF(W138="Yes",R138,0)+IF(X138="Yes",S138,0)),2))</f>
        <v>0</v>
      </c>
      <c r="AA138" s="29">
        <f>IF(H138="","",IF(T138&lt;&gt;"Yes",0,ROUND(MAX(0,IF(Z138="",0,Z138)-FreeTravelDistance)*TravelFeeRate,2)))</f>
        <v>0</v>
      </c>
      <c r="AB138" s="31">
        <f>IF(I138="","",TravelTimeMins)</f>
        <v>0</v>
      </c>
      <c r="AC138" s="29">
        <f>IF(OR(I138="",B138=""),0,IF(I138-B138&lt;=LastMinuteDays,EmergencyFee,0))</f>
        <v>0</v>
      </c>
      <c r="AF138" s="29">
        <f>IF(H138="","",ROUND((U138+V138+Y138+AA138+AC138)*IF(AE138="",0,AE138),2))</f>
        <v>0</v>
      </c>
      <c r="AI138" s="29">
        <f>IF(H138="","",IF(AG138&lt;&gt;"",AG138,ROUND(U138+V138+Y138+AA138+AC138-AF138,2)))</f>
        <v>0</v>
      </c>
      <c r="AJ138" s="29">
        <f>IF(AI138="","",IF(TaxRegistered&lt;&gt;"Yes",0,IF(PricesIncludeTax="Yes",ROUND(AI138-AI138/(1+TaxRate),2),ROUND(AI138*TaxRate,2))))</f>
        <v>0</v>
      </c>
      <c r="AK138" s="29">
        <f>IF(AI138="","",IF(PricesIncludeTax="Yes",AI138,ROUND(AI138+AJ138,2)))</f>
        <v>0</v>
      </c>
      <c r="AQ138" s="21">
        <f>IF(OR(I138="",AP138="",AP138="None"),"",IF(AP138="Monthly",EDATE(I138,1),I138+IF(AP138="Daily",1,IF(AP138="Weekdays",IF(WEEKDAY(I138,2)&gt;=5,8-WEEKDAY(I138,2),1),IF(AP138="Weekly",7,IF(AP138="Fortnightly",14,0))))))</f>
        <v>0</v>
      </c>
      <c r="AR138" s="49">
        <f>IF(OR(I138="",AL138="",K138="",L138=""),"",IF(SUMPRODUCT((Bookings!$AL$5:$AL$404=AL138)*(Bookings!$I$5:$I$404=I138)*(Bookings!$K$5:$K$404&lt;L138)*(Bookings!$L$5:$L$404&gt;K138)*(Bookings!$AM$5:$AM$404&lt;&gt;"Cancelled"))&gt;1,"Conflict - double booked","OK"))</f>
        <v>0</v>
      </c>
      <c r="AS138" s="50">
        <f>IF(A138="","",IF(COUNTIF('Visit Log'!$B$5:$B$404,A138)&gt;0,"Yes","No"))</f>
        <v>0</v>
      </c>
      <c r="AT138" s="28">
        <f>IF(A138="","",IFERROR(INDEX(Invoices!$A$5:$A$304,MATCH(A138,Invoices!$E$5:$E$304,0)),""))</f>
        <v>0</v>
      </c>
      <c r="AU138" s="49">
        <f>IF(A138="","",IF(AT138="","Not invoiced",IFERROR(INDEX(Invoices!$U$5:$U$304,MATCH(AT138,Invoices!$A$5:$A$304,0)),"")))</f>
        <v>0</v>
      </c>
      <c r="AY138" s="28">
        <f>IF(I138="","",TEXT(I138,"yyyy-mm"))</f>
        <v>0</v>
      </c>
      <c r="AZ138" s="49">
        <f>IF(I138="","",IF(AM138="Cancelled","Cancelled",IF(AND(I138&lt;TODAY(),OR(AM138="Pending",AM138="Confirmed",AM138="Enquiry")),"Overdue - update status",IF(AND(AM138="Completed",AS138="No"),"Action - log the visit",IF(I138=TODAY(),"Today",IF(AND(I138&gt;TODAY(),I138-TODAY()&lt;=ReminderLeadDays,AN138&lt;&gt;"Yes"),"Action - unconfirmed",IF(AND(I138&gt;TODAY(),I138-TODAY()&lt;=ReminderLeadDays),"Upcoming","OK")))))))</f>
        <v>0</v>
      </c>
    </row>
    <row r="139" spans="1:52">
      <c r="A139" s="46">
        <f>IF(C139="","",BookingPrefix&amp;TEXT(ROW()-4,"0000"))</f>
        <v>0</v>
      </c>
      <c r="D139" s="28">
        <f>IF(C139="","",IFERROR(INDEX(Clients!$A$5:$A$254,MATCH(C139,Clients!$B$5:$B$254,0)),""))</f>
        <v>0</v>
      </c>
      <c r="J139" s="50">
        <f>IF(I139="","",TEXT(I139,"ddd"))</f>
        <v>0</v>
      </c>
      <c r="M139" s="51">
        <f>IF(OR(K139="",L139=""),"",ROUND((L139-K139+IF(L139&lt;K139,1,0))*24,2))</f>
        <v>0</v>
      </c>
      <c r="O139" s="28">
        <f>IF(H139="","",IFERROR(INDEX(Services!$E$5:$E$54,MATCH(H139,Services!$B$5:$B$54,0)),""))</f>
        <v>0</v>
      </c>
      <c r="P139" s="29">
        <f>IF(H139="","",IFERROR(INDEX(Services!$G$5:$G$54,MATCH(H139,Services!$B$5:$B$54,0)),0))</f>
        <v>0</v>
      </c>
      <c r="Q139" s="29">
        <f>IF(H139="","",IF(IFERROR(INDEX(Services!$H$5:$H$54,MATCH(H139,Services!$B$5:$B$54,0)),0)=0,ExtraPetFeeDefault,IFERROR(INDEX(Services!$H$5:$H$54,MATCH(H139,Services!$B$5:$B$54,0)),0)))</f>
        <v>0</v>
      </c>
      <c r="R139" s="30">
        <f>IF(H139="","",IF(IFERROR(INDEX(Services!$I$5:$I$54,MATCH(H139,Services!$B$5:$B$54,0)),0)=0,HolidaySurcharge,IFERROR(INDEX(Services!$I$5:$I$54,MATCH(H139,Services!$B$5:$B$54,0)),0)))</f>
        <v>0</v>
      </c>
      <c r="S139" s="30">
        <f>IF(H139="","",IF(IFERROR(INDEX(Services!$J$5:$J$54,MATCH(H139,Services!$B$5:$B$54,0)),0)=0,WeekendSurcharge,IFERROR(INDEX(Services!$J$5:$J$54,MATCH(H139,Services!$B$5:$B$54,0)),0)))</f>
        <v>0</v>
      </c>
      <c r="T139" s="50">
        <f>IF(H139="","",IFERROR(INDEX(Services!$K$5:$K$54,MATCH(H139,Services!$B$5:$B$54,0)),"No"))</f>
        <v>0</v>
      </c>
      <c r="U139" s="29">
        <f>IF(H139="","",ROUND(IF(O139="Per hour",P139*IF(M139="",IF(N139="",1,N139),M139),P139*IF(N139="",1,N139)),2))</f>
        <v>0</v>
      </c>
      <c r="V139" s="29">
        <f>IF(H139="","",ROUND(MAX(0,IF(G139="",1,G139)-1)*Q139,2))</f>
        <v>0</v>
      </c>
      <c r="W139" s="50">
        <f>IF(I139="","",IF(COUNTIF(HolidayDates,I139)&gt;0,"Yes","No"))</f>
        <v>0</v>
      </c>
      <c r="X139" s="50">
        <f>IF(I139="","",IF(WEEKDAY(I139,2)&gt;5,"Yes","No"))</f>
        <v>0</v>
      </c>
      <c r="Y139" s="29">
        <f>IF(H139="","",ROUND((U139+V139)*(IF(W139="Yes",R139,0)+IF(X139="Yes",S139,0)),2))</f>
        <v>0</v>
      </c>
      <c r="AA139" s="29">
        <f>IF(H139="","",IF(T139&lt;&gt;"Yes",0,ROUND(MAX(0,IF(Z139="",0,Z139)-FreeTravelDistance)*TravelFeeRate,2)))</f>
        <v>0</v>
      </c>
      <c r="AB139" s="31">
        <f>IF(I139="","",TravelTimeMins)</f>
        <v>0</v>
      </c>
      <c r="AC139" s="29">
        <f>IF(OR(I139="",B139=""),0,IF(I139-B139&lt;=LastMinuteDays,EmergencyFee,0))</f>
        <v>0</v>
      </c>
      <c r="AF139" s="29">
        <f>IF(H139="","",ROUND((U139+V139+Y139+AA139+AC139)*IF(AE139="",0,AE139),2))</f>
        <v>0</v>
      </c>
      <c r="AI139" s="29">
        <f>IF(H139="","",IF(AG139&lt;&gt;"",AG139,ROUND(U139+V139+Y139+AA139+AC139-AF139,2)))</f>
        <v>0</v>
      </c>
      <c r="AJ139" s="29">
        <f>IF(AI139="","",IF(TaxRegistered&lt;&gt;"Yes",0,IF(PricesIncludeTax="Yes",ROUND(AI139-AI139/(1+TaxRate),2),ROUND(AI139*TaxRate,2))))</f>
        <v>0</v>
      </c>
      <c r="AK139" s="29">
        <f>IF(AI139="","",IF(PricesIncludeTax="Yes",AI139,ROUND(AI139+AJ139,2)))</f>
        <v>0</v>
      </c>
      <c r="AQ139" s="21">
        <f>IF(OR(I139="",AP139="",AP139="None"),"",IF(AP139="Monthly",EDATE(I139,1),I139+IF(AP139="Daily",1,IF(AP139="Weekdays",IF(WEEKDAY(I139,2)&gt;=5,8-WEEKDAY(I139,2),1),IF(AP139="Weekly",7,IF(AP139="Fortnightly",14,0))))))</f>
        <v>0</v>
      </c>
      <c r="AR139" s="49">
        <f>IF(OR(I139="",AL139="",K139="",L139=""),"",IF(SUMPRODUCT((Bookings!$AL$5:$AL$404=AL139)*(Bookings!$I$5:$I$404=I139)*(Bookings!$K$5:$K$404&lt;L139)*(Bookings!$L$5:$L$404&gt;K139)*(Bookings!$AM$5:$AM$404&lt;&gt;"Cancelled"))&gt;1,"Conflict - double booked","OK"))</f>
        <v>0</v>
      </c>
      <c r="AS139" s="50">
        <f>IF(A139="","",IF(COUNTIF('Visit Log'!$B$5:$B$404,A139)&gt;0,"Yes","No"))</f>
        <v>0</v>
      </c>
      <c r="AT139" s="28">
        <f>IF(A139="","",IFERROR(INDEX(Invoices!$A$5:$A$304,MATCH(A139,Invoices!$E$5:$E$304,0)),""))</f>
        <v>0</v>
      </c>
      <c r="AU139" s="49">
        <f>IF(A139="","",IF(AT139="","Not invoiced",IFERROR(INDEX(Invoices!$U$5:$U$304,MATCH(AT139,Invoices!$A$5:$A$304,0)),"")))</f>
        <v>0</v>
      </c>
      <c r="AY139" s="28">
        <f>IF(I139="","",TEXT(I139,"yyyy-mm"))</f>
        <v>0</v>
      </c>
      <c r="AZ139" s="49">
        <f>IF(I139="","",IF(AM139="Cancelled","Cancelled",IF(AND(I139&lt;TODAY(),OR(AM139="Pending",AM139="Confirmed",AM139="Enquiry")),"Overdue - update status",IF(AND(AM139="Completed",AS139="No"),"Action - log the visit",IF(I139=TODAY(),"Today",IF(AND(I139&gt;TODAY(),I139-TODAY()&lt;=ReminderLeadDays,AN139&lt;&gt;"Yes"),"Action - unconfirmed",IF(AND(I139&gt;TODAY(),I139-TODAY()&lt;=ReminderLeadDays),"Upcoming","OK")))))))</f>
        <v>0</v>
      </c>
    </row>
    <row r="140" spans="1:52">
      <c r="A140" s="46">
        <f>IF(C140="","",BookingPrefix&amp;TEXT(ROW()-4,"0000"))</f>
        <v>0</v>
      </c>
      <c r="D140" s="28">
        <f>IF(C140="","",IFERROR(INDEX(Clients!$A$5:$A$254,MATCH(C140,Clients!$B$5:$B$254,0)),""))</f>
        <v>0</v>
      </c>
      <c r="J140" s="50">
        <f>IF(I140="","",TEXT(I140,"ddd"))</f>
        <v>0</v>
      </c>
      <c r="M140" s="51">
        <f>IF(OR(K140="",L140=""),"",ROUND((L140-K140+IF(L140&lt;K140,1,0))*24,2))</f>
        <v>0</v>
      </c>
      <c r="O140" s="28">
        <f>IF(H140="","",IFERROR(INDEX(Services!$E$5:$E$54,MATCH(H140,Services!$B$5:$B$54,0)),""))</f>
        <v>0</v>
      </c>
      <c r="P140" s="29">
        <f>IF(H140="","",IFERROR(INDEX(Services!$G$5:$G$54,MATCH(H140,Services!$B$5:$B$54,0)),0))</f>
        <v>0</v>
      </c>
      <c r="Q140" s="29">
        <f>IF(H140="","",IF(IFERROR(INDEX(Services!$H$5:$H$54,MATCH(H140,Services!$B$5:$B$54,0)),0)=0,ExtraPetFeeDefault,IFERROR(INDEX(Services!$H$5:$H$54,MATCH(H140,Services!$B$5:$B$54,0)),0)))</f>
        <v>0</v>
      </c>
      <c r="R140" s="30">
        <f>IF(H140="","",IF(IFERROR(INDEX(Services!$I$5:$I$54,MATCH(H140,Services!$B$5:$B$54,0)),0)=0,HolidaySurcharge,IFERROR(INDEX(Services!$I$5:$I$54,MATCH(H140,Services!$B$5:$B$54,0)),0)))</f>
        <v>0</v>
      </c>
      <c r="S140" s="30">
        <f>IF(H140="","",IF(IFERROR(INDEX(Services!$J$5:$J$54,MATCH(H140,Services!$B$5:$B$54,0)),0)=0,WeekendSurcharge,IFERROR(INDEX(Services!$J$5:$J$54,MATCH(H140,Services!$B$5:$B$54,0)),0)))</f>
        <v>0</v>
      </c>
      <c r="T140" s="50">
        <f>IF(H140="","",IFERROR(INDEX(Services!$K$5:$K$54,MATCH(H140,Services!$B$5:$B$54,0)),"No"))</f>
        <v>0</v>
      </c>
      <c r="U140" s="29">
        <f>IF(H140="","",ROUND(IF(O140="Per hour",P140*IF(M140="",IF(N140="",1,N140),M140),P140*IF(N140="",1,N140)),2))</f>
        <v>0</v>
      </c>
      <c r="V140" s="29">
        <f>IF(H140="","",ROUND(MAX(0,IF(G140="",1,G140)-1)*Q140,2))</f>
        <v>0</v>
      </c>
      <c r="W140" s="50">
        <f>IF(I140="","",IF(COUNTIF(HolidayDates,I140)&gt;0,"Yes","No"))</f>
        <v>0</v>
      </c>
      <c r="X140" s="50">
        <f>IF(I140="","",IF(WEEKDAY(I140,2)&gt;5,"Yes","No"))</f>
        <v>0</v>
      </c>
      <c r="Y140" s="29">
        <f>IF(H140="","",ROUND((U140+V140)*(IF(W140="Yes",R140,0)+IF(X140="Yes",S140,0)),2))</f>
        <v>0</v>
      </c>
      <c r="AA140" s="29">
        <f>IF(H140="","",IF(T140&lt;&gt;"Yes",0,ROUND(MAX(0,IF(Z140="",0,Z140)-FreeTravelDistance)*TravelFeeRate,2)))</f>
        <v>0</v>
      </c>
      <c r="AB140" s="31">
        <f>IF(I140="","",TravelTimeMins)</f>
        <v>0</v>
      </c>
      <c r="AC140" s="29">
        <f>IF(OR(I140="",B140=""),0,IF(I140-B140&lt;=LastMinuteDays,EmergencyFee,0))</f>
        <v>0</v>
      </c>
      <c r="AF140" s="29">
        <f>IF(H140="","",ROUND((U140+V140+Y140+AA140+AC140)*IF(AE140="",0,AE140),2))</f>
        <v>0</v>
      </c>
      <c r="AI140" s="29">
        <f>IF(H140="","",IF(AG140&lt;&gt;"",AG140,ROUND(U140+V140+Y140+AA140+AC140-AF140,2)))</f>
        <v>0</v>
      </c>
      <c r="AJ140" s="29">
        <f>IF(AI140="","",IF(TaxRegistered&lt;&gt;"Yes",0,IF(PricesIncludeTax="Yes",ROUND(AI140-AI140/(1+TaxRate),2),ROUND(AI140*TaxRate,2))))</f>
        <v>0</v>
      </c>
      <c r="AK140" s="29">
        <f>IF(AI140="","",IF(PricesIncludeTax="Yes",AI140,ROUND(AI140+AJ140,2)))</f>
        <v>0</v>
      </c>
      <c r="AQ140" s="21">
        <f>IF(OR(I140="",AP140="",AP140="None"),"",IF(AP140="Monthly",EDATE(I140,1),I140+IF(AP140="Daily",1,IF(AP140="Weekdays",IF(WEEKDAY(I140,2)&gt;=5,8-WEEKDAY(I140,2),1),IF(AP140="Weekly",7,IF(AP140="Fortnightly",14,0))))))</f>
        <v>0</v>
      </c>
      <c r="AR140" s="49">
        <f>IF(OR(I140="",AL140="",K140="",L140=""),"",IF(SUMPRODUCT((Bookings!$AL$5:$AL$404=AL140)*(Bookings!$I$5:$I$404=I140)*(Bookings!$K$5:$K$404&lt;L140)*(Bookings!$L$5:$L$404&gt;K140)*(Bookings!$AM$5:$AM$404&lt;&gt;"Cancelled"))&gt;1,"Conflict - double booked","OK"))</f>
        <v>0</v>
      </c>
      <c r="AS140" s="50">
        <f>IF(A140="","",IF(COUNTIF('Visit Log'!$B$5:$B$404,A140)&gt;0,"Yes","No"))</f>
        <v>0</v>
      </c>
      <c r="AT140" s="28">
        <f>IF(A140="","",IFERROR(INDEX(Invoices!$A$5:$A$304,MATCH(A140,Invoices!$E$5:$E$304,0)),""))</f>
        <v>0</v>
      </c>
      <c r="AU140" s="49">
        <f>IF(A140="","",IF(AT140="","Not invoiced",IFERROR(INDEX(Invoices!$U$5:$U$304,MATCH(AT140,Invoices!$A$5:$A$304,0)),"")))</f>
        <v>0</v>
      </c>
      <c r="AY140" s="28">
        <f>IF(I140="","",TEXT(I140,"yyyy-mm"))</f>
        <v>0</v>
      </c>
      <c r="AZ140" s="49">
        <f>IF(I140="","",IF(AM140="Cancelled","Cancelled",IF(AND(I140&lt;TODAY(),OR(AM140="Pending",AM140="Confirmed",AM140="Enquiry")),"Overdue - update status",IF(AND(AM140="Completed",AS140="No"),"Action - log the visit",IF(I140=TODAY(),"Today",IF(AND(I140&gt;TODAY(),I140-TODAY()&lt;=ReminderLeadDays,AN140&lt;&gt;"Yes"),"Action - unconfirmed",IF(AND(I140&gt;TODAY(),I140-TODAY()&lt;=ReminderLeadDays),"Upcoming","OK")))))))</f>
        <v>0</v>
      </c>
    </row>
    <row r="141" spans="1:52">
      <c r="A141" s="46">
        <f>IF(C141="","",BookingPrefix&amp;TEXT(ROW()-4,"0000"))</f>
        <v>0</v>
      </c>
      <c r="D141" s="28">
        <f>IF(C141="","",IFERROR(INDEX(Clients!$A$5:$A$254,MATCH(C141,Clients!$B$5:$B$254,0)),""))</f>
        <v>0</v>
      </c>
      <c r="J141" s="50">
        <f>IF(I141="","",TEXT(I141,"ddd"))</f>
        <v>0</v>
      </c>
      <c r="M141" s="51">
        <f>IF(OR(K141="",L141=""),"",ROUND((L141-K141+IF(L141&lt;K141,1,0))*24,2))</f>
        <v>0</v>
      </c>
      <c r="O141" s="28">
        <f>IF(H141="","",IFERROR(INDEX(Services!$E$5:$E$54,MATCH(H141,Services!$B$5:$B$54,0)),""))</f>
        <v>0</v>
      </c>
      <c r="P141" s="29">
        <f>IF(H141="","",IFERROR(INDEX(Services!$G$5:$G$54,MATCH(H141,Services!$B$5:$B$54,0)),0))</f>
        <v>0</v>
      </c>
      <c r="Q141" s="29">
        <f>IF(H141="","",IF(IFERROR(INDEX(Services!$H$5:$H$54,MATCH(H141,Services!$B$5:$B$54,0)),0)=0,ExtraPetFeeDefault,IFERROR(INDEX(Services!$H$5:$H$54,MATCH(H141,Services!$B$5:$B$54,0)),0)))</f>
        <v>0</v>
      </c>
      <c r="R141" s="30">
        <f>IF(H141="","",IF(IFERROR(INDEX(Services!$I$5:$I$54,MATCH(H141,Services!$B$5:$B$54,0)),0)=0,HolidaySurcharge,IFERROR(INDEX(Services!$I$5:$I$54,MATCH(H141,Services!$B$5:$B$54,0)),0)))</f>
        <v>0</v>
      </c>
      <c r="S141" s="30">
        <f>IF(H141="","",IF(IFERROR(INDEX(Services!$J$5:$J$54,MATCH(H141,Services!$B$5:$B$54,0)),0)=0,WeekendSurcharge,IFERROR(INDEX(Services!$J$5:$J$54,MATCH(H141,Services!$B$5:$B$54,0)),0)))</f>
        <v>0</v>
      </c>
      <c r="T141" s="50">
        <f>IF(H141="","",IFERROR(INDEX(Services!$K$5:$K$54,MATCH(H141,Services!$B$5:$B$54,0)),"No"))</f>
        <v>0</v>
      </c>
      <c r="U141" s="29">
        <f>IF(H141="","",ROUND(IF(O141="Per hour",P141*IF(M141="",IF(N141="",1,N141),M141),P141*IF(N141="",1,N141)),2))</f>
        <v>0</v>
      </c>
      <c r="V141" s="29">
        <f>IF(H141="","",ROUND(MAX(0,IF(G141="",1,G141)-1)*Q141,2))</f>
        <v>0</v>
      </c>
      <c r="W141" s="50">
        <f>IF(I141="","",IF(COUNTIF(HolidayDates,I141)&gt;0,"Yes","No"))</f>
        <v>0</v>
      </c>
      <c r="X141" s="50">
        <f>IF(I141="","",IF(WEEKDAY(I141,2)&gt;5,"Yes","No"))</f>
        <v>0</v>
      </c>
      <c r="Y141" s="29">
        <f>IF(H141="","",ROUND((U141+V141)*(IF(W141="Yes",R141,0)+IF(X141="Yes",S141,0)),2))</f>
        <v>0</v>
      </c>
      <c r="AA141" s="29">
        <f>IF(H141="","",IF(T141&lt;&gt;"Yes",0,ROUND(MAX(0,IF(Z141="",0,Z141)-FreeTravelDistance)*TravelFeeRate,2)))</f>
        <v>0</v>
      </c>
      <c r="AB141" s="31">
        <f>IF(I141="","",TravelTimeMins)</f>
        <v>0</v>
      </c>
      <c r="AC141" s="29">
        <f>IF(OR(I141="",B141=""),0,IF(I141-B141&lt;=LastMinuteDays,EmergencyFee,0))</f>
        <v>0</v>
      </c>
      <c r="AF141" s="29">
        <f>IF(H141="","",ROUND((U141+V141+Y141+AA141+AC141)*IF(AE141="",0,AE141),2))</f>
        <v>0</v>
      </c>
      <c r="AI141" s="29">
        <f>IF(H141="","",IF(AG141&lt;&gt;"",AG141,ROUND(U141+V141+Y141+AA141+AC141-AF141,2)))</f>
        <v>0</v>
      </c>
      <c r="AJ141" s="29">
        <f>IF(AI141="","",IF(TaxRegistered&lt;&gt;"Yes",0,IF(PricesIncludeTax="Yes",ROUND(AI141-AI141/(1+TaxRate),2),ROUND(AI141*TaxRate,2))))</f>
        <v>0</v>
      </c>
      <c r="AK141" s="29">
        <f>IF(AI141="","",IF(PricesIncludeTax="Yes",AI141,ROUND(AI141+AJ141,2)))</f>
        <v>0</v>
      </c>
      <c r="AQ141" s="21">
        <f>IF(OR(I141="",AP141="",AP141="None"),"",IF(AP141="Monthly",EDATE(I141,1),I141+IF(AP141="Daily",1,IF(AP141="Weekdays",IF(WEEKDAY(I141,2)&gt;=5,8-WEEKDAY(I141,2),1),IF(AP141="Weekly",7,IF(AP141="Fortnightly",14,0))))))</f>
        <v>0</v>
      </c>
      <c r="AR141" s="49">
        <f>IF(OR(I141="",AL141="",K141="",L141=""),"",IF(SUMPRODUCT((Bookings!$AL$5:$AL$404=AL141)*(Bookings!$I$5:$I$404=I141)*(Bookings!$K$5:$K$404&lt;L141)*(Bookings!$L$5:$L$404&gt;K141)*(Bookings!$AM$5:$AM$404&lt;&gt;"Cancelled"))&gt;1,"Conflict - double booked","OK"))</f>
        <v>0</v>
      </c>
      <c r="AS141" s="50">
        <f>IF(A141="","",IF(COUNTIF('Visit Log'!$B$5:$B$404,A141)&gt;0,"Yes","No"))</f>
        <v>0</v>
      </c>
      <c r="AT141" s="28">
        <f>IF(A141="","",IFERROR(INDEX(Invoices!$A$5:$A$304,MATCH(A141,Invoices!$E$5:$E$304,0)),""))</f>
        <v>0</v>
      </c>
      <c r="AU141" s="49">
        <f>IF(A141="","",IF(AT141="","Not invoiced",IFERROR(INDEX(Invoices!$U$5:$U$304,MATCH(AT141,Invoices!$A$5:$A$304,0)),"")))</f>
        <v>0</v>
      </c>
      <c r="AY141" s="28">
        <f>IF(I141="","",TEXT(I141,"yyyy-mm"))</f>
        <v>0</v>
      </c>
      <c r="AZ141" s="49">
        <f>IF(I141="","",IF(AM141="Cancelled","Cancelled",IF(AND(I141&lt;TODAY(),OR(AM141="Pending",AM141="Confirmed",AM141="Enquiry")),"Overdue - update status",IF(AND(AM141="Completed",AS141="No"),"Action - log the visit",IF(I141=TODAY(),"Today",IF(AND(I141&gt;TODAY(),I141-TODAY()&lt;=ReminderLeadDays,AN141&lt;&gt;"Yes"),"Action - unconfirmed",IF(AND(I141&gt;TODAY(),I141-TODAY()&lt;=ReminderLeadDays),"Upcoming","OK")))))))</f>
        <v>0</v>
      </c>
    </row>
    <row r="142" spans="1:52">
      <c r="A142" s="46">
        <f>IF(C142="","",BookingPrefix&amp;TEXT(ROW()-4,"0000"))</f>
        <v>0</v>
      </c>
      <c r="D142" s="28">
        <f>IF(C142="","",IFERROR(INDEX(Clients!$A$5:$A$254,MATCH(C142,Clients!$B$5:$B$254,0)),""))</f>
        <v>0</v>
      </c>
      <c r="J142" s="50">
        <f>IF(I142="","",TEXT(I142,"ddd"))</f>
        <v>0</v>
      </c>
      <c r="M142" s="51">
        <f>IF(OR(K142="",L142=""),"",ROUND((L142-K142+IF(L142&lt;K142,1,0))*24,2))</f>
        <v>0</v>
      </c>
      <c r="O142" s="28">
        <f>IF(H142="","",IFERROR(INDEX(Services!$E$5:$E$54,MATCH(H142,Services!$B$5:$B$54,0)),""))</f>
        <v>0</v>
      </c>
      <c r="P142" s="29">
        <f>IF(H142="","",IFERROR(INDEX(Services!$G$5:$G$54,MATCH(H142,Services!$B$5:$B$54,0)),0))</f>
        <v>0</v>
      </c>
      <c r="Q142" s="29">
        <f>IF(H142="","",IF(IFERROR(INDEX(Services!$H$5:$H$54,MATCH(H142,Services!$B$5:$B$54,0)),0)=0,ExtraPetFeeDefault,IFERROR(INDEX(Services!$H$5:$H$54,MATCH(H142,Services!$B$5:$B$54,0)),0)))</f>
        <v>0</v>
      </c>
      <c r="R142" s="30">
        <f>IF(H142="","",IF(IFERROR(INDEX(Services!$I$5:$I$54,MATCH(H142,Services!$B$5:$B$54,0)),0)=0,HolidaySurcharge,IFERROR(INDEX(Services!$I$5:$I$54,MATCH(H142,Services!$B$5:$B$54,0)),0)))</f>
        <v>0</v>
      </c>
      <c r="S142" s="30">
        <f>IF(H142="","",IF(IFERROR(INDEX(Services!$J$5:$J$54,MATCH(H142,Services!$B$5:$B$54,0)),0)=0,WeekendSurcharge,IFERROR(INDEX(Services!$J$5:$J$54,MATCH(H142,Services!$B$5:$B$54,0)),0)))</f>
        <v>0</v>
      </c>
      <c r="T142" s="50">
        <f>IF(H142="","",IFERROR(INDEX(Services!$K$5:$K$54,MATCH(H142,Services!$B$5:$B$54,0)),"No"))</f>
        <v>0</v>
      </c>
      <c r="U142" s="29">
        <f>IF(H142="","",ROUND(IF(O142="Per hour",P142*IF(M142="",IF(N142="",1,N142),M142),P142*IF(N142="",1,N142)),2))</f>
        <v>0</v>
      </c>
      <c r="V142" s="29">
        <f>IF(H142="","",ROUND(MAX(0,IF(G142="",1,G142)-1)*Q142,2))</f>
        <v>0</v>
      </c>
      <c r="W142" s="50">
        <f>IF(I142="","",IF(COUNTIF(HolidayDates,I142)&gt;0,"Yes","No"))</f>
        <v>0</v>
      </c>
      <c r="X142" s="50">
        <f>IF(I142="","",IF(WEEKDAY(I142,2)&gt;5,"Yes","No"))</f>
        <v>0</v>
      </c>
      <c r="Y142" s="29">
        <f>IF(H142="","",ROUND((U142+V142)*(IF(W142="Yes",R142,0)+IF(X142="Yes",S142,0)),2))</f>
        <v>0</v>
      </c>
      <c r="AA142" s="29">
        <f>IF(H142="","",IF(T142&lt;&gt;"Yes",0,ROUND(MAX(0,IF(Z142="",0,Z142)-FreeTravelDistance)*TravelFeeRate,2)))</f>
        <v>0</v>
      </c>
      <c r="AB142" s="31">
        <f>IF(I142="","",TravelTimeMins)</f>
        <v>0</v>
      </c>
      <c r="AC142" s="29">
        <f>IF(OR(I142="",B142=""),0,IF(I142-B142&lt;=LastMinuteDays,EmergencyFee,0))</f>
        <v>0</v>
      </c>
      <c r="AF142" s="29">
        <f>IF(H142="","",ROUND((U142+V142+Y142+AA142+AC142)*IF(AE142="",0,AE142),2))</f>
        <v>0</v>
      </c>
      <c r="AI142" s="29">
        <f>IF(H142="","",IF(AG142&lt;&gt;"",AG142,ROUND(U142+V142+Y142+AA142+AC142-AF142,2)))</f>
        <v>0</v>
      </c>
      <c r="AJ142" s="29">
        <f>IF(AI142="","",IF(TaxRegistered&lt;&gt;"Yes",0,IF(PricesIncludeTax="Yes",ROUND(AI142-AI142/(1+TaxRate),2),ROUND(AI142*TaxRate,2))))</f>
        <v>0</v>
      </c>
      <c r="AK142" s="29">
        <f>IF(AI142="","",IF(PricesIncludeTax="Yes",AI142,ROUND(AI142+AJ142,2)))</f>
        <v>0</v>
      </c>
      <c r="AQ142" s="21">
        <f>IF(OR(I142="",AP142="",AP142="None"),"",IF(AP142="Monthly",EDATE(I142,1),I142+IF(AP142="Daily",1,IF(AP142="Weekdays",IF(WEEKDAY(I142,2)&gt;=5,8-WEEKDAY(I142,2),1),IF(AP142="Weekly",7,IF(AP142="Fortnightly",14,0))))))</f>
        <v>0</v>
      </c>
      <c r="AR142" s="49">
        <f>IF(OR(I142="",AL142="",K142="",L142=""),"",IF(SUMPRODUCT((Bookings!$AL$5:$AL$404=AL142)*(Bookings!$I$5:$I$404=I142)*(Bookings!$K$5:$K$404&lt;L142)*(Bookings!$L$5:$L$404&gt;K142)*(Bookings!$AM$5:$AM$404&lt;&gt;"Cancelled"))&gt;1,"Conflict - double booked","OK"))</f>
        <v>0</v>
      </c>
      <c r="AS142" s="50">
        <f>IF(A142="","",IF(COUNTIF('Visit Log'!$B$5:$B$404,A142)&gt;0,"Yes","No"))</f>
        <v>0</v>
      </c>
      <c r="AT142" s="28">
        <f>IF(A142="","",IFERROR(INDEX(Invoices!$A$5:$A$304,MATCH(A142,Invoices!$E$5:$E$304,0)),""))</f>
        <v>0</v>
      </c>
      <c r="AU142" s="49">
        <f>IF(A142="","",IF(AT142="","Not invoiced",IFERROR(INDEX(Invoices!$U$5:$U$304,MATCH(AT142,Invoices!$A$5:$A$304,0)),"")))</f>
        <v>0</v>
      </c>
      <c r="AY142" s="28">
        <f>IF(I142="","",TEXT(I142,"yyyy-mm"))</f>
        <v>0</v>
      </c>
      <c r="AZ142" s="49">
        <f>IF(I142="","",IF(AM142="Cancelled","Cancelled",IF(AND(I142&lt;TODAY(),OR(AM142="Pending",AM142="Confirmed",AM142="Enquiry")),"Overdue - update status",IF(AND(AM142="Completed",AS142="No"),"Action - log the visit",IF(I142=TODAY(),"Today",IF(AND(I142&gt;TODAY(),I142-TODAY()&lt;=ReminderLeadDays,AN142&lt;&gt;"Yes"),"Action - unconfirmed",IF(AND(I142&gt;TODAY(),I142-TODAY()&lt;=ReminderLeadDays),"Upcoming","OK")))))))</f>
        <v>0</v>
      </c>
    </row>
    <row r="143" spans="1:52">
      <c r="A143" s="46">
        <f>IF(C143="","",BookingPrefix&amp;TEXT(ROW()-4,"0000"))</f>
        <v>0</v>
      </c>
      <c r="D143" s="28">
        <f>IF(C143="","",IFERROR(INDEX(Clients!$A$5:$A$254,MATCH(C143,Clients!$B$5:$B$254,0)),""))</f>
        <v>0</v>
      </c>
      <c r="J143" s="50">
        <f>IF(I143="","",TEXT(I143,"ddd"))</f>
        <v>0</v>
      </c>
      <c r="M143" s="51">
        <f>IF(OR(K143="",L143=""),"",ROUND((L143-K143+IF(L143&lt;K143,1,0))*24,2))</f>
        <v>0</v>
      </c>
      <c r="O143" s="28">
        <f>IF(H143="","",IFERROR(INDEX(Services!$E$5:$E$54,MATCH(H143,Services!$B$5:$B$54,0)),""))</f>
        <v>0</v>
      </c>
      <c r="P143" s="29">
        <f>IF(H143="","",IFERROR(INDEX(Services!$G$5:$G$54,MATCH(H143,Services!$B$5:$B$54,0)),0))</f>
        <v>0</v>
      </c>
      <c r="Q143" s="29">
        <f>IF(H143="","",IF(IFERROR(INDEX(Services!$H$5:$H$54,MATCH(H143,Services!$B$5:$B$54,0)),0)=0,ExtraPetFeeDefault,IFERROR(INDEX(Services!$H$5:$H$54,MATCH(H143,Services!$B$5:$B$54,0)),0)))</f>
        <v>0</v>
      </c>
      <c r="R143" s="30">
        <f>IF(H143="","",IF(IFERROR(INDEX(Services!$I$5:$I$54,MATCH(H143,Services!$B$5:$B$54,0)),0)=0,HolidaySurcharge,IFERROR(INDEX(Services!$I$5:$I$54,MATCH(H143,Services!$B$5:$B$54,0)),0)))</f>
        <v>0</v>
      </c>
      <c r="S143" s="30">
        <f>IF(H143="","",IF(IFERROR(INDEX(Services!$J$5:$J$54,MATCH(H143,Services!$B$5:$B$54,0)),0)=0,WeekendSurcharge,IFERROR(INDEX(Services!$J$5:$J$54,MATCH(H143,Services!$B$5:$B$54,0)),0)))</f>
        <v>0</v>
      </c>
      <c r="T143" s="50">
        <f>IF(H143="","",IFERROR(INDEX(Services!$K$5:$K$54,MATCH(H143,Services!$B$5:$B$54,0)),"No"))</f>
        <v>0</v>
      </c>
      <c r="U143" s="29">
        <f>IF(H143="","",ROUND(IF(O143="Per hour",P143*IF(M143="",IF(N143="",1,N143),M143),P143*IF(N143="",1,N143)),2))</f>
        <v>0</v>
      </c>
      <c r="V143" s="29">
        <f>IF(H143="","",ROUND(MAX(0,IF(G143="",1,G143)-1)*Q143,2))</f>
        <v>0</v>
      </c>
      <c r="W143" s="50">
        <f>IF(I143="","",IF(COUNTIF(HolidayDates,I143)&gt;0,"Yes","No"))</f>
        <v>0</v>
      </c>
      <c r="X143" s="50">
        <f>IF(I143="","",IF(WEEKDAY(I143,2)&gt;5,"Yes","No"))</f>
        <v>0</v>
      </c>
      <c r="Y143" s="29">
        <f>IF(H143="","",ROUND((U143+V143)*(IF(W143="Yes",R143,0)+IF(X143="Yes",S143,0)),2))</f>
        <v>0</v>
      </c>
      <c r="AA143" s="29">
        <f>IF(H143="","",IF(T143&lt;&gt;"Yes",0,ROUND(MAX(0,IF(Z143="",0,Z143)-FreeTravelDistance)*TravelFeeRate,2)))</f>
        <v>0</v>
      </c>
      <c r="AB143" s="31">
        <f>IF(I143="","",TravelTimeMins)</f>
        <v>0</v>
      </c>
      <c r="AC143" s="29">
        <f>IF(OR(I143="",B143=""),0,IF(I143-B143&lt;=LastMinuteDays,EmergencyFee,0))</f>
        <v>0</v>
      </c>
      <c r="AF143" s="29">
        <f>IF(H143="","",ROUND((U143+V143+Y143+AA143+AC143)*IF(AE143="",0,AE143),2))</f>
        <v>0</v>
      </c>
      <c r="AI143" s="29">
        <f>IF(H143="","",IF(AG143&lt;&gt;"",AG143,ROUND(U143+V143+Y143+AA143+AC143-AF143,2)))</f>
        <v>0</v>
      </c>
      <c r="AJ143" s="29">
        <f>IF(AI143="","",IF(TaxRegistered&lt;&gt;"Yes",0,IF(PricesIncludeTax="Yes",ROUND(AI143-AI143/(1+TaxRate),2),ROUND(AI143*TaxRate,2))))</f>
        <v>0</v>
      </c>
      <c r="AK143" s="29">
        <f>IF(AI143="","",IF(PricesIncludeTax="Yes",AI143,ROUND(AI143+AJ143,2)))</f>
        <v>0</v>
      </c>
      <c r="AQ143" s="21">
        <f>IF(OR(I143="",AP143="",AP143="None"),"",IF(AP143="Monthly",EDATE(I143,1),I143+IF(AP143="Daily",1,IF(AP143="Weekdays",IF(WEEKDAY(I143,2)&gt;=5,8-WEEKDAY(I143,2),1),IF(AP143="Weekly",7,IF(AP143="Fortnightly",14,0))))))</f>
        <v>0</v>
      </c>
      <c r="AR143" s="49">
        <f>IF(OR(I143="",AL143="",K143="",L143=""),"",IF(SUMPRODUCT((Bookings!$AL$5:$AL$404=AL143)*(Bookings!$I$5:$I$404=I143)*(Bookings!$K$5:$K$404&lt;L143)*(Bookings!$L$5:$L$404&gt;K143)*(Bookings!$AM$5:$AM$404&lt;&gt;"Cancelled"))&gt;1,"Conflict - double booked","OK"))</f>
        <v>0</v>
      </c>
      <c r="AS143" s="50">
        <f>IF(A143="","",IF(COUNTIF('Visit Log'!$B$5:$B$404,A143)&gt;0,"Yes","No"))</f>
        <v>0</v>
      </c>
      <c r="AT143" s="28">
        <f>IF(A143="","",IFERROR(INDEX(Invoices!$A$5:$A$304,MATCH(A143,Invoices!$E$5:$E$304,0)),""))</f>
        <v>0</v>
      </c>
      <c r="AU143" s="49">
        <f>IF(A143="","",IF(AT143="","Not invoiced",IFERROR(INDEX(Invoices!$U$5:$U$304,MATCH(AT143,Invoices!$A$5:$A$304,0)),"")))</f>
        <v>0</v>
      </c>
      <c r="AY143" s="28">
        <f>IF(I143="","",TEXT(I143,"yyyy-mm"))</f>
        <v>0</v>
      </c>
      <c r="AZ143" s="49">
        <f>IF(I143="","",IF(AM143="Cancelled","Cancelled",IF(AND(I143&lt;TODAY(),OR(AM143="Pending",AM143="Confirmed",AM143="Enquiry")),"Overdue - update status",IF(AND(AM143="Completed",AS143="No"),"Action - log the visit",IF(I143=TODAY(),"Today",IF(AND(I143&gt;TODAY(),I143-TODAY()&lt;=ReminderLeadDays,AN143&lt;&gt;"Yes"),"Action - unconfirmed",IF(AND(I143&gt;TODAY(),I143-TODAY()&lt;=ReminderLeadDays),"Upcoming","OK")))))))</f>
        <v>0</v>
      </c>
    </row>
    <row r="144" spans="1:52">
      <c r="A144" s="46">
        <f>IF(C144="","",BookingPrefix&amp;TEXT(ROW()-4,"0000"))</f>
        <v>0</v>
      </c>
      <c r="D144" s="28">
        <f>IF(C144="","",IFERROR(INDEX(Clients!$A$5:$A$254,MATCH(C144,Clients!$B$5:$B$254,0)),""))</f>
        <v>0</v>
      </c>
      <c r="J144" s="50">
        <f>IF(I144="","",TEXT(I144,"ddd"))</f>
        <v>0</v>
      </c>
      <c r="M144" s="51">
        <f>IF(OR(K144="",L144=""),"",ROUND((L144-K144+IF(L144&lt;K144,1,0))*24,2))</f>
        <v>0</v>
      </c>
      <c r="O144" s="28">
        <f>IF(H144="","",IFERROR(INDEX(Services!$E$5:$E$54,MATCH(H144,Services!$B$5:$B$54,0)),""))</f>
        <v>0</v>
      </c>
      <c r="P144" s="29">
        <f>IF(H144="","",IFERROR(INDEX(Services!$G$5:$G$54,MATCH(H144,Services!$B$5:$B$54,0)),0))</f>
        <v>0</v>
      </c>
      <c r="Q144" s="29">
        <f>IF(H144="","",IF(IFERROR(INDEX(Services!$H$5:$H$54,MATCH(H144,Services!$B$5:$B$54,0)),0)=0,ExtraPetFeeDefault,IFERROR(INDEX(Services!$H$5:$H$54,MATCH(H144,Services!$B$5:$B$54,0)),0)))</f>
        <v>0</v>
      </c>
      <c r="R144" s="30">
        <f>IF(H144="","",IF(IFERROR(INDEX(Services!$I$5:$I$54,MATCH(H144,Services!$B$5:$B$54,0)),0)=0,HolidaySurcharge,IFERROR(INDEX(Services!$I$5:$I$54,MATCH(H144,Services!$B$5:$B$54,0)),0)))</f>
        <v>0</v>
      </c>
      <c r="S144" s="30">
        <f>IF(H144="","",IF(IFERROR(INDEX(Services!$J$5:$J$54,MATCH(H144,Services!$B$5:$B$54,0)),0)=0,WeekendSurcharge,IFERROR(INDEX(Services!$J$5:$J$54,MATCH(H144,Services!$B$5:$B$54,0)),0)))</f>
        <v>0</v>
      </c>
      <c r="T144" s="50">
        <f>IF(H144="","",IFERROR(INDEX(Services!$K$5:$K$54,MATCH(H144,Services!$B$5:$B$54,0)),"No"))</f>
        <v>0</v>
      </c>
      <c r="U144" s="29">
        <f>IF(H144="","",ROUND(IF(O144="Per hour",P144*IF(M144="",IF(N144="",1,N144),M144),P144*IF(N144="",1,N144)),2))</f>
        <v>0</v>
      </c>
      <c r="V144" s="29">
        <f>IF(H144="","",ROUND(MAX(0,IF(G144="",1,G144)-1)*Q144,2))</f>
        <v>0</v>
      </c>
      <c r="W144" s="50">
        <f>IF(I144="","",IF(COUNTIF(HolidayDates,I144)&gt;0,"Yes","No"))</f>
        <v>0</v>
      </c>
      <c r="X144" s="50">
        <f>IF(I144="","",IF(WEEKDAY(I144,2)&gt;5,"Yes","No"))</f>
        <v>0</v>
      </c>
      <c r="Y144" s="29">
        <f>IF(H144="","",ROUND((U144+V144)*(IF(W144="Yes",R144,0)+IF(X144="Yes",S144,0)),2))</f>
        <v>0</v>
      </c>
      <c r="AA144" s="29">
        <f>IF(H144="","",IF(T144&lt;&gt;"Yes",0,ROUND(MAX(0,IF(Z144="",0,Z144)-FreeTravelDistance)*TravelFeeRate,2)))</f>
        <v>0</v>
      </c>
      <c r="AB144" s="31">
        <f>IF(I144="","",TravelTimeMins)</f>
        <v>0</v>
      </c>
      <c r="AC144" s="29">
        <f>IF(OR(I144="",B144=""),0,IF(I144-B144&lt;=LastMinuteDays,EmergencyFee,0))</f>
        <v>0</v>
      </c>
      <c r="AF144" s="29">
        <f>IF(H144="","",ROUND((U144+V144+Y144+AA144+AC144)*IF(AE144="",0,AE144),2))</f>
        <v>0</v>
      </c>
      <c r="AI144" s="29">
        <f>IF(H144="","",IF(AG144&lt;&gt;"",AG144,ROUND(U144+V144+Y144+AA144+AC144-AF144,2)))</f>
        <v>0</v>
      </c>
      <c r="AJ144" s="29">
        <f>IF(AI144="","",IF(TaxRegistered&lt;&gt;"Yes",0,IF(PricesIncludeTax="Yes",ROUND(AI144-AI144/(1+TaxRate),2),ROUND(AI144*TaxRate,2))))</f>
        <v>0</v>
      </c>
      <c r="AK144" s="29">
        <f>IF(AI144="","",IF(PricesIncludeTax="Yes",AI144,ROUND(AI144+AJ144,2)))</f>
        <v>0</v>
      </c>
      <c r="AQ144" s="21">
        <f>IF(OR(I144="",AP144="",AP144="None"),"",IF(AP144="Monthly",EDATE(I144,1),I144+IF(AP144="Daily",1,IF(AP144="Weekdays",IF(WEEKDAY(I144,2)&gt;=5,8-WEEKDAY(I144,2),1),IF(AP144="Weekly",7,IF(AP144="Fortnightly",14,0))))))</f>
        <v>0</v>
      </c>
      <c r="AR144" s="49">
        <f>IF(OR(I144="",AL144="",K144="",L144=""),"",IF(SUMPRODUCT((Bookings!$AL$5:$AL$404=AL144)*(Bookings!$I$5:$I$404=I144)*(Bookings!$K$5:$K$404&lt;L144)*(Bookings!$L$5:$L$404&gt;K144)*(Bookings!$AM$5:$AM$404&lt;&gt;"Cancelled"))&gt;1,"Conflict - double booked","OK"))</f>
        <v>0</v>
      </c>
      <c r="AS144" s="50">
        <f>IF(A144="","",IF(COUNTIF('Visit Log'!$B$5:$B$404,A144)&gt;0,"Yes","No"))</f>
        <v>0</v>
      </c>
      <c r="AT144" s="28">
        <f>IF(A144="","",IFERROR(INDEX(Invoices!$A$5:$A$304,MATCH(A144,Invoices!$E$5:$E$304,0)),""))</f>
        <v>0</v>
      </c>
      <c r="AU144" s="49">
        <f>IF(A144="","",IF(AT144="","Not invoiced",IFERROR(INDEX(Invoices!$U$5:$U$304,MATCH(AT144,Invoices!$A$5:$A$304,0)),"")))</f>
        <v>0</v>
      </c>
      <c r="AY144" s="28">
        <f>IF(I144="","",TEXT(I144,"yyyy-mm"))</f>
        <v>0</v>
      </c>
      <c r="AZ144" s="49">
        <f>IF(I144="","",IF(AM144="Cancelled","Cancelled",IF(AND(I144&lt;TODAY(),OR(AM144="Pending",AM144="Confirmed",AM144="Enquiry")),"Overdue - update status",IF(AND(AM144="Completed",AS144="No"),"Action - log the visit",IF(I144=TODAY(),"Today",IF(AND(I144&gt;TODAY(),I144-TODAY()&lt;=ReminderLeadDays,AN144&lt;&gt;"Yes"),"Action - unconfirmed",IF(AND(I144&gt;TODAY(),I144-TODAY()&lt;=ReminderLeadDays),"Upcoming","OK")))))))</f>
        <v>0</v>
      </c>
    </row>
    <row r="145" spans="1:52">
      <c r="A145" s="46">
        <f>IF(C145="","",BookingPrefix&amp;TEXT(ROW()-4,"0000"))</f>
        <v>0</v>
      </c>
      <c r="D145" s="28">
        <f>IF(C145="","",IFERROR(INDEX(Clients!$A$5:$A$254,MATCH(C145,Clients!$B$5:$B$254,0)),""))</f>
        <v>0</v>
      </c>
      <c r="J145" s="50">
        <f>IF(I145="","",TEXT(I145,"ddd"))</f>
        <v>0</v>
      </c>
      <c r="M145" s="51">
        <f>IF(OR(K145="",L145=""),"",ROUND((L145-K145+IF(L145&lt;K145,1,0))*24,2))</f>
        <v>0</v>
      </c>
      <c r="O145" s="28">
        <f>IF(H145="","",IFERROR(INDEX(Services!$E$5:$E$54,MATCH(H145,Services!$B$5:$B$54,0)),""))</f>
        <v>0</v>
      </c>
      <c r="P145" s="29">
        <f>IF(H145="","",IFERROR(INDEX(Services!$G$5:$G$54,MATCH(H145,Services!$B$5:$B$54,0)),0))</f>
        <v>0</v>
      </c>
      <c r="Q145" s="29">
        <f>IF(H145="","",IF(IFERROR(INDEX(Services!$H$5:$H$54,MATCH(H145,Services!$B$5:$B$54,0)),0)=0,ExtraPetFeeDefault,IFERROR(INDEX(Services!$H$5:$H$54,MATCH(H145,Services!$B$5:$B$54,0)),0)))</f>
        <v>0</v>
      </c>
      <c r="R145" s="30">
        <f>IF(H145="","",IF(IFERROR(INDEX(Services!$I$5:$I$54,MATCH(H145,Services!$B$5:$B$54,0)),0)=0,HolidaySurcharge,IFERROR(INDEX(Services!$I$5:$I$54,MATCH(H145,Services!$B$5:$B$54,0)),0)))</f>
        <v>0</v>
      </c>
      <c r="S145" s="30">
        <f>IF(H145="","",IF(IFERROR(INDEX(Services!$J$5:$J$54,MATCH(H145,Services!$B$5:$B$54,0)),0)=0,WeekendSurcharge,IFERROR(INDEX(Services!$J$5:$J$54,MATCH(H145,Services!$B$5:$B$54,0)),0)))</f>
        <v>0</v>
      </c>
      <c r="T145" s="50">
        <f>IF(H145="","",IFERROR(INDEX(Services!$K$5:$K$54,MATCH(H145,Services!$B$5:$B$54,0)),"No"))</f>
        <v>0</v>
      </c>
      <c r="U145" s="29">
        <f>IF(H145="","",ROUND(IF(O145="Per hour",P145*IF(M145="",IF(N145="",1,N145),M145),P145*IF(N145="",1,N145)),2))</f>
        <v>0</v>
      </c>
      <c r="V145" s="29">
        <f>IF(H145="","",ROUND(MAX(0,IF(G145="",1,G145)-1)*Q145,2))</f>
        <v>0</v>
      </c>
      <c r="W145" s="50">
        <f>IF(I145="","",IF(COUNTIF(HolidayDates,I145)&gt;0,"Yes","No"))</f>
        <v>0</v>
      </c>
      <c r="X145" s="50">
        <f>IF(I145="","",IF(WEEKDAY(I145,2)&gt;5,"Yes","No"))</f>
        <v>0</v>
      </c>
      <c r="Y145" s="29">
        <f>IF(H145="","",ROUND((U145+V145)*(IF(W145="Yes",R145,0)+IF(X145="Yes",S145,0)),2))</f>
        <v>0</v>
      </c>
      <c r="AA145" s="29">
        <f>IF(H145="","",IF(T145&lt;&gt;"Yes",0,ROUND(MAX(0,IF(Z145="",0,Z145)-FreeTravelDistance)*TravelFeeRate,2)))</f>
        <v>0</v>
      </c>
      <c r="AB145" s="31">
        <f>IF(I145="","",TravelTimeMins)</f>
        <v>0</v>
      </c>
      <c r="AC145" s="29">
        <f>IF(OR(I145="",B145=""),0,IF(I145-B145&lt;=LastMinuteDays,EmergencyFee,0))</f>
        <v>0</v>
      </c>
      <c r="AF145" s="29">
        <f>IF(H145="","",ROUND((U145+V145+Y145+AA145+AC145)*IF(AE145="",0,AE145),2))</f>
        <v>0</v>
      </c>
      <c r="AI145" s="29">
        <f>IF(H145="","",IF(AG145&lt;&gt;"",AG145,ROUND(U145+V145+Y145+AA145+AC145-AF145,2)))</f>
        <v>0</v>
      </c>
      <c r="AJ145" s="29">
        <f>IF(AI145="","",IF(TaxRegistered&lt;&gt;"Yes",0,IF(PricesIncludeTax="Yes",ROUND(AI145-AI145/(1+TaxRate),2),ROUND(AI145*TaxRate,2))))</f>
        <v>0</v>
      </c>
      <c r="AK145" s="29">
        <f>IF(AI145="","",IF(PricesIncludeTax="Yes",AI145,ROUND(AI145+AJ145,2)))</f>
        <v>0</v>
      </c>
      <c r="AQ145" s="21">
        <f>IF(OR(I145="",AP145="",AP145="None"),"",IF(AP145="Monthly",EDATE(I145,1),I145+IF(AP145="Daily",1,IF(AP145="Weekdays",IF(WEEKDAY(I145,2)&gt;=5,8-WEEKDAY(I145,2),1),IF(AP145="Weekly",7,IF(AP145="Fortnightly",14,0))))))</f>
        <v>0</v>
      </c>
      <c r="AR145" s="49">
        <f>IF(OR(I145="",AL145="",K145="",L145=""),"",IF(SUMPRODUCT((Bookings!$AL$5:$AL$404=AL145)*(Bookings!$I$5:$I$404=I145)*(Bookings!$K$5:$K$404&lt;L145)*(Bookings!$L$5:$L$404&gt;K145)*(Bookings!$AM$5:$AM$404&lt;&gt;"Cancelled"))&gt;1,"Conflict - double booked","OK"))</f>
        <v>0</v>
      </c>
      <c r="AS145" s="50">
        <f>IF(A145="","",IF(COUNTIF('Visit Log'!$B$5:$B$404,A145)&gt;0,"Yes","No"))</f>
        <v>0</v>
      </c>
      <c r="AT145" s="28">
        <f>IF(A145="","",IFERROR(INDEX(Invoices!$A$5:$A$304,MATCH(A145,Invoices!$E$5:$E$304,0)),""))</f>
        <v>0</v>
      </c>
      <c r="AU145" s="49">
        <f>IF(A145="","",IF(AT145="","Not invoiced",IFERROR(INDEX(Invoices!$U$5:$U$304,MATCH(AT145,Invoices!$A$5:$A$304,0)),"")))</f>
        <v>0</v>
      </c>
      <c r="AY145" s="28">
        <f>IF(I145="","",TEXT(I145,"yyyy-mm"))</f>
        <v>0</v>
      </c>
      <c r="AZ145" s="49">
        <f>IF(I145="","",IF(AM145="Cancelled","Cancelled",IF(AND(I145&lt;TODAY(),OR(AM145="Pending",AM145="Confirmed",AM145="Enquiry")),"Overdue - update status",IF(AND(AM145="Completed",AS145="No"),"Action - log the visit",IF(I145=TODAY(),"Today",IF(AND(I145&gt;TODAY(),I145-TODAY()&lt;=ReminderLeadDays,AN145&lt;&gt;"Yes"),"Action - unconfirmed",IF(AND(I145&gt;TODAY(),I145-TODAY()&lt;=ReminderLeadDays),"Upcoming","OK")))))))</f>
        <v>0</v>
      </c>
    </row>
    <row r="146" spans="1:52">
      <c r="A146" s="46">
        <f>IF(C146="","",BookingPrefix&amp;TEXT(ROW()-4,"0000"))</f>
        <v>0</v>
      </c>
      <c r="D146" s="28">
        <f>IF(C146="","",IFERROR(INDEX(Clients!$A$5:$A$254,MATCH(C146,Clients!$B$5:$B$254,0)),""))</f>
        <v>0</v>
      </c>
      <c r="J146" s="50">
        <f>IF(I146="","",TEXT(I146,"ddd"))</f>
        <v>0</v>
      </c>
      <c r="M146" s="51">
        <f>IF(OR(K146="",L146=""),"",ROUND((L146-K146+IF(L146&lt;K146,1,0))*24,2))</f>
        <v>0</v>
      </c>
      <c r="O146" s="28">
        <f>IF(H146="","",IFERROR(INDEX(Services!$E$5:$E$54,MATCH(H146,Services!$B$5:$B$54,0)),""))</f>
        <v>0</v>
      </c>
      <c r="P146" s="29">
        <f>IF(H146="","",IFERROR(INDEX(Services!$G$5:$G$54,MATCH(H146,Services!$B$5:$B$54,0)),0))</f>
        <v>0</v>
      </c>
      <c r="Q146" s="29">
        <f>IF(H146="","",IF(IFERROR(INDEX(Services!$H$5:$H$54,MATCH(H146,Services!$B$5:$B$54,0)),0)=0,ExtraPetFeeDefault,IFERROR(INDEX(Services!$H$5:$H$54,MATCH(H146,Services!$B$5:$B$54,0)),0)))</f>
        <v>0</v>
      </c>
      <c r="R146" s="30">
        <f>IF(H146="","",IF(IFERROR(INDEX(Services!$I$5:$I$54,MATCH(H146,Services!$B$5:$B$54,0)),0)=0,HolidaySurcharge,IFERROR(INDEX(Services!$I$5:$I$54,MATCH(H146,Services!$B$5:$B$54,0)),0)))</f>
        <v>0</v>
      </c>
      <c r="S146" s="30">
        <f>IF(H146="","",IF(IFERROR(INDEX(Services!$J$5:$J$54,MATCH(H146,Services!$B$5:$B$54,0)),0)=0,WeekendSurcharge,IFERROR(INDEX(Services!$J$5:$J$54,MATCH(H146,Services!$B$5:$B$54,0)),0)))</f>
        <v>0</v>
      </c>
      <c r="T146" s="50">
        <f>IF(H146="","",IFERROR(INDEX(Services!$K$5:$K$54,MATCH(H146,Services!$B$5:$B$54,0)),"No"))</f>
        <v>0</v>
      </c>
      <c r="U146" s="29">
        <f>IF(H146="","",ROUND(IF(O146="Per hour",P146*IF(M146="",IF(N146="",1,N146),M146),P146*IF(N146="",1,N146)),2))</f>
        <v>0</v>
      </c>
      <c r="V146" s="29">
        <f>IF(H146="","",ROUND(MAX(0,IF(G146="",1,G146)-1)*Q146,2))</f>
        <v>0</v>
      </c>
      <c r="W146" s="50">
        <f>IF(I146="","",IF(COUNTIF(HolidayDates,I146)&gt;0,"Yes","No"))</f>
        <v>0</v>
      </c>
      <c r="X146" s="50">
        <f>IF(I146="","",IF(WEEKDAY(I146,2)&gt;5,"Yes","No"))</f>
        <v>0</v>
      </c>
      <c r="Y146" s="29">
        <f>IF(H146="","",ROUND((U146+V146)*(IF(W146="Yes",R146,0)+IF(X146="Yes",S146,0)),2))</f>
        <v>0</v>
      </c>
      <c r="AA146" s="29">
        <f>IF(H146="","",IF(T146&lt;&gt;"Yes",0,ROUND(MAX(0,IF(Z146="",0,Z146)-FreeTravelDistance)*TravelFeeRate,2)))</f>
        <v>0</v>
      </c>
      <c r="AB146" s="31">
        <f>IF(I146="","",TravelTimeMins)</f>
        <v>0</v>
      </c>
      <c r="AC146" s="29">
        <f>IF(OR(I146="",B146=""),0,IF(I146-B146&lt;=LastMinuteDays,EmergencyFee,0))</f>
        <v>0</v>
      </c>
      <c r="AF146" s="29">
        <f>IF(H146="","",ROUND((U146+V146+Y146+AA146+AC146)*IF(AE146="",0,AE146),2))</f>
        <v>0</v>
      </c>
      <c r="AI146" s="29">
        <f>IF(H146="","",IF(AG146&lt;&gt;"",AG146,ROUND(U146+V146+Y146+AA146+AC146-AF146,2)))</f>
        <v>0</v>
      </c>
      <c r="AJ146" s="29">
        <f>IF(AI146="","",IF(TaxRegistered&lt;&gt;"Yes",0,IF(PricesIncludeTax="Yes",ROUND(AI146-AI146/(1+TaxRate),2),ROUND(AI146*TaxRate,2))))</f>
        <v>0</v>
      </c>
      <c r="AK146" s="29">
        <f>IF(AI146="","",IF(PricesIncludeTax="Yes",AI146,ROUND(AI146+AJ146,2)))</f>
        <v>0</v>
      </c>
      <c r="AQ146" s="21">
        <f>IF(OR(I146="",AP146="",AP146="None"),"",IF(AP146="Monthly",EDATE(I146,1),I146+IF(AP146="Daily",1,IF(AP146="Weekdays",IF(WEEKDAY(I146,2)&gt;=5,8-WEEKDAY(I146,2),1),IF(AP146="Weekly",7,IF(AP146="Fortnightly",14,0))))))</f>
        <v>0</v>
      </c>
      <c r="AR146" s="49">
        <f>IF(OR(I146="",AL146="",K146="",L146=""),"",IF(SUMPRODUCT((Bookings!$AL$5:$AL$404=AL146)*(Bookings!$I$5:$I$404=I146)*(Bookings!$K$5:$K$404&lt;L146)*(Bookings!$L$5:$L$404&gt;K146)*(Bookings!$AM$5:$AM$404&lt;&gt;"Cancelled"))&gt;1,"Conflict - double booked","OK"))</f>
        <v>0</v>
      </c>
      <c r="AS146" s="50">
        <f>IF(A146="","",IF(COUNTIF('Visit Log'!$B$5:$B$404,A146)&gt;0,"Yes","No"))</f>
        <v>0</v>
      </c>
      <c r="AT146" s="28">
        <f>IF(A146="","",IFERROR(INDEX(Invoices!$A$5:$A$304,MATCH(A146,Invoices!$E$5:$E$304,0)),""))</f>
        <v>0</v>
      </c>
      <c r="AU146" s="49">
        <f>IF(A146="","",IF(AT146="","Not invoiced",IFERROR(INDEX(Invoices!$U$5:$U$304,MATCH(AT146,Invoices!$A$5:$A$304,0)),"")))</f>
        <v>0</v>
      </c>
      <c r="AY146" s="28">
        <f>IF(I146="","",TEXT(I146,"yyyy-mm"))</f>
        <v>0</v>
      </c>
      <c r="AZ146" s="49">
        <f>IF(I146="","",IF(AM146="Cancelled","Cancelled",IF(AND(I146&lt;TODAY(),OR(AM146="Pending",AM146="Confirmed",AM146="Enquiry")),"Overdue - update status",IF(AND(AM146="Completed",AS146="No"),"Action - log the visit",IF(I146=TODAY(),"Today",IF(AND(I146&gt;TODAY(),I146-TODAY()&lt;=ReminderLeadDays,AN146&lt;&gt;"Yes"),"Action - unconfirmed",IF(AND(I146&gt;TODAY(),I146-TODAY()&lt;=ReminderLeadDays),"Upcoming","OK")))))))</f>
        <v>0</v>
      </c>
    </row>
    <row r="147" spans="1:52">
      <c r="A147" s="46">
        <f>IF(C147="","",BookingPrefix&amp;TEXT(ROW()-4,"0000"))</f>
        <v>0</v>
      </c>
      <c r="D147" s="28">
        <f>IF(C147="","",IFERROR(INDEX(Clients!$A$5:$A$254,MATCH(C147,Clients!$B$5:$B$254,0)),""))</f>
        <v>0</v>
      </c>
      <c r="J147" s="50">
        <f>IF(I147="","",TEXT(I147,"ddd"))</f>
        <v>0</v>
      </c>
      <c r="M147" s="51">
        <f>IF(OR(K147="",L147=""),"",ROUND((L147-K147+IF(L147&lt;K147,1,0))*24,2))</f>
        <v>0</v>
      </c>
      <c r="O147" s="28">
        <f>IF(H147="","",IFERROR(INDEX(Services!$E$5:$E$54,MATCH(H147,Services!$B$5:$B$54,0)),""))</f>
        <v>0</v>
      </c>
      <c r="P147" s="29">
        <f>IF(H147="","",IFERROR(INDEX(Services!$G$5:$G$54,MATCH(H147,Services!$B$5:$B$54,0)),0))</f>
        <v>0</v>
      </c>
      <c r="Q147" s="29">
        <f>IF(H147="","",IF(IFERROR(INDEX(Services!$H$5:$H$54,MATCH(H147,Services!$B$5:$B$54,0)),0)=0,ExtraPetFeeDefault,IFERROR(INDEX(Services!$H$5:$H$54,MATCH(H147,Services!$B$5:$B$54,0)),0)))</f>
        <v>0</v>
      </c>
      <c r="R147" s="30">
        <f>IF(H147="","",IF(IFERROR(INDEX(Services!$I$5:$I$54,MATCH(H147,Services!$B$5:$B$54,0)),0)=0,HolidaySurcharge,IFERROR(INDEX(Services!$I$5:$I$54,MATCH(H147,Services!$B$5:$B$54,0)),0)))</f>
        <v>0</v>
      </c>
      <c r="S147" s="30">
        <f>IF(H147="","",IF(IFERROR(INDEX(Services!$J$5:$J$54,MATCH(H147,Services!$B$5:$B$54,0)),0)=0,WeekendSurcharge,IFERROR(INDEX(Services!$J$5:$J$54,MATCH(H147,Services!$B$5:$B$54,0)),0)))</f>
        <v>0</v>
      </c>
      <c r="T147" s="50">
        <f>IF(H147="","",IFERROR(INDEX(Services!$K$5:$K$54,MATCH(H147,Services!$B$5:$B$54,0)),"No"))</f>
        <v>0</v>
      </c>
      <c r="U147" s="29">
        <f>IF(H147="","",ROUND(IF(O147="Per hour",P147*IF(M147="",IF(N147="",1,N147),M147),P147*IF(N147="",1,N147)),2))</f>
        <v>0</v>
      </c>
      <c r="V147" s="29">
        <f>IF(H147="","",ROUND(MAX(0,IF(G147="",1,G147)-1)*Q147,2))</f>
        <v>0</v>
      </c>
      <c r="W147" s="50">
        <f>IF(I147="","",IF(COUNTIF(HolidayDates,I147)&gt;0,"Yes","No"))</f>
        <v>0</v>
      </c>
      <c r="X147" s="50">
        <f>IF(I147="","",IF(WEEKDAY(I147,2)&gt;5,"Yes","No"))</f>
        <v>0</v>
      </c>
      <c r="Y147" s="29">
        <f>IF(H147="","",ROUND((U147+V147)*(IF(W147="Yes",R147,0)+IF(X147="Yes",S147,0)),2))</f>
        <v>0</v>
      </c>
      <c r="AA147" s="29">
        <f>IF(H147="","",IF(T147&lt;&gt;"Yes",0,ROUND(MAX(0,IF(Z147="",0,Z147)-FreeTravelDistance)*TravelFeeRate,2)))</f>
        <v>0</v>
      </c>
      <c r="AB147" s="31">
        <f>IF(I147="","",TravelTimeMins)</f>
        <v>0</v>
      </c>
      <c r="AC147" s="29">
        <f>IF(OR(I147="",B147=""),0,IF(I147-B147&lt;=LastMinuteDays,EmergencyFee,0))</f>
        <v>0</v>
      </c>
      <c r="AF147" s="29">
        <f>IF(H147="","",ROUND((U147+V147+Y147+AA147+AC147)*IF(AE147="",0,AE147),2))</f>
        <v>0</v>
      </c>
      <c r="AI147" s="29">
        <f>IF(H147="","",IF(AG147&lt;&gt;"",AG147,ROUND(U147+V147+Y147+AA147+AC147-AF147,2)))</f>
        <v>0</v>
      </c>
      <c r="AJ147" s="29">
        <f>IF(AI147="","",IF(TaxRegistered&lt;&gt;"Yes",0,IF(PricesIncludeTax="Yes",ROUND(AI147-AI147/(1+TaxRate),2),ROUND(AI147*TaxRate,2))))</f>
        <v>0</v>
      </c>
      <c r="AK147" s="29">
        <f>IF(AI147="","",IF(PricesIncludeTax="Yes",AI147,ROUND(AI147+AJ147,2)))</f>
        <v>0</v>
      </c>
      <c r="AQ147" s="21">
        <f>IF(OR(I147="",AP147="",AP147="None"),"",IF(AP147="Monthly",EDATE(I147,1),I147+IF(AP147="Daily",1,IF(AP147="Weekdays",IF(WEEKDAY(I147,2)&gt;=5,8-WEEKDAY(I147,2),1),IF(AP147="Weekly",7,IF(AP147="Fortnightly",14,0))))))</f>
        <v>0</v>
      </c>
      <c r="AR147" s="49">
        <f>IF(OR(I147="",AL147="",K147="",L147=""),"",IF(SUMPRODUCT((Bookings!$AL$5:$AL$404=AL147)*(Bookings!$I$5:$I$404=I147)*(Bookings!$K$5:$K$404&lt;L147)*(Bookings!$L$5:$L$404&gt;K147)*(Bookings!$AM$5:$AM$404&lt;&gt;"Cancelled"))&gt;1,"Conflict - double booked","OK"))</f>
        <v>0</v>
      </c>
      <c r="AS147" s="50">
        <f>IF(A147="","",IF(COUNTIF('Visit Log'!$B$5:$B$404,A147)&gt;0,"Yes","No"))</f>
        <v>0</v>
      </c>
      <c r="AT147" s="28">
        <f>IF(A147="","",IFERROR(INDEX(Invoices!$A$5:$A$304,MATCH(A147,Invoices!$E$5:$E$304,0)),""))</f>
        <v>0</v>
      </c>
      <c r="AU147" s="49">
        <f>IF(A147="","",IF(AT147="","Not invoiced",IFERROR(INDEX(Invoices!$U$5:$U$304,MATCH(AT147,Invoices!$A$5:$A$304,0)),"")))</f>
        <v>0</v>
      </c>
      <c r="AY147" s="28">
        <f>IF(I147="","",TEXT(I147,"yyyy-mm"))</f>
        <v>0</v>
      </c>
      <c r="AZ147" s="49">
        <f>IF(I147="","",IF(AM147="Cancelled","Cancelled",IF(AND(I147&lt;TODAY(),OR(AM147="Pending",AM147="Confirmed",AM147="Enquiry")),"Overdue - update status",IF(AND(AM147="Completed",AS147="No"),"Action - log the visit",IF(I147=TODAY(),"Today",IF(AND(I147&gt;TODAY(),I147-TODAY()&lt;=ReminderLeadDays,AN147&lt;&gt;"Yes"),"Action - unconfirmed",IF(AND(I147&gt;TODAY(),I147-TODAY()&lt;=ReminderLeadDays),"Upcoming","OK")))))))</f>
        <v>0</v>
      </c>
    </row>
    <row r="148" spans="1:52">
      <c r="A148" s="46">
        <f>IF(C148="","",BookingPrefix&amp;TEXT(ROW()-4,"0000"))</f>
        <v>0</v>
      </c>
      <c r="D148" s="28">
        <f>IF(C148="","",IFERROR(INDEX(Clients!$A$5:$A$254,MATCH(C148,Clients!$B$5:$B$254,0)),""))</f>
        <v>0</v>
      </c>
      <c r="J148" s="50">
        <f>IF(I148="","",TEXT(I148,"ddd"))</f>
        <v>0</v>
      </c>
      <c r="M148" s="51">
        <f>IF(OR(K148="",L148=""),"",ROUND((L148-K148+IF(L148&lt;K148,1,0))*24,2))</f>
        <v>0</v>
      </c>
      <c r="O148" s="28">
        <f>IF(H148="","",IFERROR(INDEX(Services!$E$5:$E$54,MATCH(H148,Services!$B$5:$B$54,0)),""))</f>
        <v>0</v>
      </c>
      <c r="P148" s="29">
        <f>IF(H148="","",IFERROR(INDEX(Services!$G$5:$G$54,MATCH(H148,Services!$B$5:$B$54,0)),0))</f>
        <v>0</v>
      </c>
      <c r="Q148" s="29">
        <f>IF(H148="","",IF(IFERROR(INDEX(Services!$H$5:$H$54,MATCH(H148,Services!$B$5:$B$54,0)),0)=0,ExtraPetFeeDefault,IFERROR(INDEX(Services!$H$5:$H$54,MATCH(H148,Services!$B$5:$B$54,0)),0)))</f>
        <v>0</v>
      </c>
      <c r="R148" s="30">
        <f>IF(H148="","",IF(IFERROR(INDEX(Services!$I$5:$I$54,MATCH(H148,Services!$B$5:$B$54,0)),0)=0,HolidaySurcharge,IFERROR(INDEX(Services!$I$5:$I$54,MATCH(H148,Services!$B$5:$B$54,0)),0)))</f>
        <v>0</v>
      </c>
      <c r="S148" s="30">
        <f>IF(H148="","",IF(IFERROR(INDEX(Services!$J$5:$J$54,MATCH(H148,Services!$B$5:$B$54,0)),0)=0,WeekendSurcharge,IFERROR(INDEX(Services!$J$5:$J$54,MATCH(H148,Services!$B$5:$B$54,0)),0)))</f>
        <v>0</v>
      </c>
      <c r="T148" s="50">
        <f>IF(H148="","",IFERROR(INDEX(Services!$K$5:$K$54,MATCH(H148,Services!$B$5:$B$54,0)),"No"))</f>
        <v>0</v>
      </c>
      <c r="U148" s="29">
        <f>IF(H148="","",ROUND(IF(O148="Per hour",P148*IF(M148="",IF(N148="",1,N148),M148),P148*IF(N148="",1,N148)),2))</f>
        <v>0</v>
      </c>
      <c r="V148" s="29">
        <f>IF(H148="","",ROUND(MAX(0,IF(G148="",1,G148)-1)*Q148,2))</f>
        <v>0</v>
      </c>
      <c r="W148" s="50">
        <f>IF(I148="","",IF(COUNTIF(HolidayDates,I148)&gt;0,"Yes","No"))</f>
        <v>0</v>
      </c>
      <c r="X148" s="50">
        <f>IF(I148="","",IF(WEEKDAY(I148,2)&gt;5,"Yes","No"))</f>
        <v>0</v>
      </c>
      <c r="Y148" s="29">
        <f>IF(H148="","",ROUND((U148+V148)*(IF(W148="Yes",R148,0)+IF(X148="Yes",S148,0)),2))</f>
        <v>0</v>
      </c>
      <c r="AA148" s="29">
        <f>IF(H148="","",IF(T148&lt;&gt;"Yes",0,ROUND(MAX(0,IF(Z148="",0,Z148)-FreeTravelDistance)*TravelFeeRate,2)))</f>
        <v>0</v>
      </c>
      <c r="AB148" s="31">
        <f>IF(I148="","",TravelTimeMins)</f>
        <v>0</v>
      </c>
      <c r="AC148" s="29">
        <f>IF(OR(I148="",B148=""),0,IF(I148-B148&lt;=LastMinuteDays,EmergencyFee,0))</f>
        <v>0</v>
      </c>
      <c r="AF148" s="29">
        <f>IF(H148="","",ROUND((U148+V148+Y148+AA148+AC148)*IF(AE148="",0,AE148),2))</f>
        <v>0</v>
      </c>
      <c r="AI148" s="29">
        <f>IF(H148="","",IF(AG148&lt;&gt;"",AG148,ROUND(U148+V148+Y148+AA148+AC148-AF148,2)))</f>
        <v>0</v>
      </c>
      <c r="AJ148" s="29">
        <f>IF(AI148="","",IF(TaxRegistered&lt;&gt;"Yes",0,IF(PricesIncludeTax="Yes",ROUND(AI148-AI148/(1+TaxRate),2),ROUND(AI148*TaxRate,2))))</f>
        <v>0</v>
      </c>
      <c r="AK148" s="29">
        <f>IF(AI148="","",IF(PricesIncludeTax="Yes",AI148,ROUND(AI148+AJ148,2)))</f>
        <v>0</v>
      </c>
      <c r="AQ148" s="21">
        <f>IF(OR(I148="",AP148="",AP148="None"),"",IF(AP148="Monthly",EDATE(I148,1),I148+IF(AP148="Daily",1,IF(AP148="Weekdays",IF(WEEKDAY(I148,2)&gt;=5,8-WEEKDAY(I148,2),1),IF(AP148="Weekly",7,IF(AP148="Fortnightly",14,0))))))</f>
        <v>0</v>
      </c>
      <c r="AR148" s="49">
        <f>IF(OR(I148="",AL148="",K148="",L148=""),"",IF(SUMPRODUCT((Bookings!$AL$5:$AL$404=AL148)*(Bookings!$I$5:$I$404=I148)*(Bookings!$K$5:$K$404&lt;L148)*(Bookings!$L$5:$L$404&gt;K148)*(Bookings!$AM$5:$AM$404&lt;&gt;"Cancelled"))&gt;1,"Conflict - double booked","OK"))</f>
        <v>0</v>
      </c>
      <c r="AS148" s="50">
        <f>IF(A148="","",IF(COUNTIF('Visit Log'!$B$5:$B$404,A148)&gt;0,"Yes","No"))</f>
        <v>0</v>
      </c>
      <c r="AT148" s="28">
        <f>IF(A148="","",IFERROR(INDEX(Invoices!$A$5:$A$304,MATCH(A148,Invoices!$E$5:$E$304,0)),""))</f>
        <v>0</v>
      </c>
      <c r="AU148" s="49">
        <f>IF(A148="","",IF(AT148="","Not invoiced",IFERROR(INDEX(Invoices!$U$5:$U$304,MATCH(AT148,Invoices!$A$5:$A$304,0)),"")))</f>
        <v>0</v>
      </c>
      <c r="AY148" s="28">
        <f>IF(I148="","",TEXT(I148,"yyyy-mm"))</f>
        <v>0</v>
      </c>
      <c r="AZ148" s="49">
        <f>IF(I148="","",IF(AM148="Cancelled","Cancelled",IF(AND(I148&lt;TODAY(),OR(AM148="Pending",AM148="Confirmed",AM148="Enquiry")),"Overdue - update status",IF(AND(AM148="Completed",AS148="No"),"Action - log the visit",IF(I148=TODAY(),"Today",IF(AND(I148&gt;TODAY(),I148-TODAY()&lt;=ReminderLeadDays,AN148&lt;&gt;"Yes"),"Action - unconfirmed",IF(AND(I148&gt;TODAY(),I148-TODAY()&lt;=ReminderLeadDays),"Upcoming","OK")))))))</f>
        <v>0</v>
      </c>
    </row>
    <row r="149" spans="1:52">
      <c r="A149" s="46">
        <f>IF(C149="","",BookingPrefix&amp;TEXT(ROW()-4,"0000"))</f>
        <v>0</v>
      </c>
      <c r="D149" s="28">
        <f>IF(C149="","",IFERROR(INDEX(Clients!$A$5:$A$254,MATCH(C149,Clients!$B$5:$B$254,0)),""))</f>
        <v>0</v>
      </c>
      <c r="J149" s="50">
        <f>IF(I149="","",TEXT(I149,"ddd"))</f>
        <v>0</v>
      </c>
      <c r="M149" s="51">
        <f>IF(OR(K149="",L149=""),"",ROUND((L149-K149+IF(L149&lt;K149,1,0))*24,2))</f>
        <v>0</v>
      </c>
      <c r="O149" s="28">
        <f>IF(H149="","",IFERROR(INDEX(Services!$E$5:$E$54,MATCH(H149,Services!$B$5:$B$54,0)),""))</f>
        <v>0</v>
      </c>
      <c r="P149" s="29">
        <f>IF(H149="","",IFERROR(INDEX(Services!$G$5:$G$54,MATCH(H149,Services!$B$5:$B$54,0)),0))</f>
        <v>0</v>
      </c>
      <c r="Q149" s="29">
        <f>IF(H149="","",IF(IFERROR(INDEX(Services!$H$5:$H$54,MATCH(H149,Services!$B$5:$B$54,0)),0)=0,ExtraPetFeeDefault,IFERROR(INDEX(Services!$H$5:$H$54,MATCH(H149,Services!$B$5:$B$54,0)),0)))</f>
        <v>0</v>
      </c>
      <c r="R149" s="30">
        <f>IF(H149="","",IF(IFERROR(INDEX(Services!$I$5:$I$54,MATCH(H149,Services!$B$5:$B$54,0)),0)=0,HolidaySurcharge,IFERROR(INDEX(Services!$I$5:$I$54,MATCH(H149,Services!$B$5:$B$54,0)),0)))</f>
        <v>0</v>
      </c>
      <c r="S149" s="30">
        <f>IF(H149="","",IF(IFERROR(INDEX(Services!$J$5:$J$54,MATCH(H149,Services!$B$5:$B$54,0)),0)=0,WeekendSurcharge,IFERROR(INDEX(Services!$J$5:$J$54,MATCH(H149,Services!$B$5:$B$54,0)),0)))</f>
        <v>0</v>
      </c>
      <c r="T149" s="50">
        <f>IF(H149="","",IFERROR(INDEX(Services!$K$5:$K$54,MATCH(H149,Services!$B$5:$B$54,0)),"No"))</f>
        <v>0</v>
      </c>
      <c r="U149" s="29">
        <f>IF(H149="","",ROUND(IF(O149="Per hour",P149*IF(M149="",IF(N149="",1,N149),M149),P149*IF(N149="",1,N149)),2))</f>
        <v>0</v>
      </c>
      <c r="V149" s="29">
        <f>IF(H149="","",ROUND(MAX(0,IF(G149="",1,G149)-1)*Q149,2))</f>
        <v>0</v>
      </c>
      <c r="W149" s="50">
        <f>IF(I149="","",IF(COUNTIF(HolidayDates,I149)&gt;0,"Yes","No"))</f>
        <v>0</v>
      </c>
      <c r="X149" s="50">
        <f>IF(I149="","",IF(WEEKDAY(I149,2)&gt;5,"Yes","No"))</f>
        <v>0</v>
      </c>
      <c r="Y149" s="29">
        <f>IF(H149="","",ROUND((U149+V149)*(IF(W149="Yes",R149,0)+IF(X149="Yes",S149,0)),2))</f>
        <v>0</v>
      </c>
      <c r="AA149" s="29">
        <f>IF(H149="","",IF(T149&lt;&gt;"Yes",0,ROUND(MAX(0,IF(Z149="",0,Z149)-FreeTravelDistance)*TravelFeeRate,2)))</f>
        <v>0</v>
      </c>
      <c r="AB149" s="31">
        <f>IF(I149="","",TravelTimeMins)</f>
        <v>0</v>
      </c>
      <c r="AC149" s="29">
        <f>IF(OR(I149="",B149=""),0,IF(I149-B149&lt;=LastMinuteDays,EmergencyFee,0))</f>
        <v>0</v>
      </c>
      <c r="AF149" s="29">
        <f>IF(H149="","",ROUND((U149+V149+Y149+AA149+AC149)*IF(AE149="",0,AE149),2))</f>
        <v>0</v>
      </c>
      <c r="AI149" s="29">
        <f>IF(H149="","",IF(AG149&lt;&gt;"",AG149,ROUND(U149+V149+Y149+AA149+AC149-AF149,2)))</f>
        <v>0</v>
      </c>
      <c r="AJ149" s="29">
        <f>IF(AI149="","",IF(TaxRegistered&lt;&gt;"Yes",0,IF(PricesIncludeTax="Yes",ROUND(AI149-AI149/(1+TaxRate),2),ROUND(AI149*TaxRate,2))))</f>
        <v>0</v>
      </c>
      <c r="AK149" s="29">
        <f>IF(AI149="","",IF(PricesIncludeTax="Yes",AI149,ROUND(AI149+AJ149,2)))</f>
        <v>0</v>
      </c>
      <c r="AQ149" s="21">
        <f>IF(OR(I149="",AP149="",AP149="None"),"",IF(AP149="Monthly",EDATE(I149,1),I149+IF(AP149="Daily",1,IF(AP149="Weekdays",IF(WEEKDAY(I149,2)&gt;=5,8-WEEKDAY(I149,2),1),IF(AP149="Weekly",7,IF(AP149="Fortnightly",14,0))))))</f>
        <v>0</v>
      </c>
      <c r="AR149" s="49">
        <f>IF(OR(I149="",AL149="",K149="",L149=""),"",IF(SUMPRODUCT((Bookings!$AL$5:$AL$404=AL149)*(Bookings!$I$5:$I$404=I149)*(Bookings!$K$5:$K$404&lt;L149)*(Bookings!$L$5:$L$404&gt;K149)*(Bookings!$AM$5:$AM$404&lt;&gt;"Cancelled"))&gt;1,"Conflict - double booked","OK"))</f>
        <v>0</v>
      </c>
      <c r="AS149" s="50">
        <f>IF(A149="","",IF(COUNTIF('Visit Log'!$B$5:$B$404,A149)&gt;0,"Yes","No"))</f>
        <v>0</v>
      </c>
      <c r="AT149" s="28">
        <f>IF(A149="","",IFERROR(INDEX(Invoices!$A$5:$A$304,MATCH(A149,Invoices!$E$5:$E$304,0)),""))</f>
        <v>0</v>
      </c>
      <c r="AU149" s="49">
        <f>IF(A149="","",IF(AT149="","Not invoiced",IFERROR(INDEX(Invoices!$U$5:$U$304,MATCH(AT149,Invoices!$A$5:$A$304,0)),"")))</f>
        <v>0</v>
      </c>
      <c r="AY149" s="28">
        <f>IF(I149="","",TEXT(I149,"yyyy-mm"))</f>
        <v>0</v>
      </c>
      <c r="AZ149" s="49">
        <f>IF(I149="","",IF(AM149="Cancelled","Cancelled",IF(AND(I149&lt;TODAY(),OR(AM149="Pending",AM149="Confirmed",AM149="Enquiry")),"Overdue - update status",IF(AND(AM149="Completed",AS149="No"),"Action - log the visit",IF(I149=TODAY(),"Today",IF(AND(I149&gt;TODAY(),I149-TODAY()&lt;=ReminderLeadDays,AN149&lt;&gt;"Yes"),"Action - unconfirmed",IF(AND(I149&gt;TODAY(),I149-TODAY()&lt;=ReminderLeadDays),"Upcoming","OK")))))))</f>
        <v>0</v>
      </c>
    </row>
    <row r="150" spans="1:52">
      <c r="A150" s="46">
        <f>IF(C150="","",BookingPrefix&amp;TEXT(ROW()-4,"0000"))</f>
        <v>0</v>
      </c>
      <c r="D150" s="28">
        <f>IF(C150="","",IFERROR(INDEX(Clients!$A$5:$A$254,MATCH(C150,Clients!$B$5:$B$254,0)),""))</f>
        <v>0</v>
      </c>
      <c r="J150" s="50">
        <f>IF(I150="","",TEXT(I150,"ddd"))</f>
        <v>0</v>
      </c>
      <c r="M150" s="51">
        <f>IF(OR(K150="",L150=""),"",ROUND((L150-K150+IF(L150&lt;K150,1,0))*24,2))</f>
        <v>0</v>
      </c>
      <c r="O150" s="28">
        <f>IF(H150="","",IFERROR(INDEX(Services!$E$5:$E$54,MATCH(H150,Services!$B$5:$B$54,0)),""))</f>
        <v>0</v>
      </c>
      <c r="P150" s="29">
        <f>IF(H150="","",IFERROR(INDEX(Services!$G$5:$G$54,MATCH(H150,Services!$B$5:$B$54,0)),0))</f>
        <v>0</v>
      </c>
      <c r="Q150" s="29">
        <f>IF(H150="","",IF(IFERROR(INDEX(Services!$H$5:$H$54,MATCH(H150,Services!$B$5:$B$54,0)),0)=0,ExtraPetFeeDefault,IFERROR(INDEX(Services!$H$5:$H$54,MATCH(H150,Services!$B$5:$B$54,0)),0)))</f>
        <v>0</v>
      </c>
      <c r="R150" s="30">
        <f>IF(H150="","",IF(IFERROR(INDEX(Services!$I$5:$I$54,MATCH(H150,Services!$B$5:$B$54,0)),0)=0,HolidaySurcharge,IFERROR(INDEX(Services!$I$5:$I$54,MATCH(H150,Services!$B$5:$B$54,0)),0)))</f>
        <v>0</v>
      </c>
      <c r="S150" s="30">
        <f>IF(H150="","",IF(IFERROR(INDEX(Services!$J$5:$J$54,MATCH(H150,Services!$B$5:$B$54,0)),0)=0,WeekendSurcharge,IFERROR(INDEX(Services!$J$5:$J$54,MATCH(H150,Services!$B$5:$B$54,0)),0)))</f>
        <v>0</v>
      </c>
      <c r="T150" s="50">
        <f>IF(H150="","",IFERROR(INDEX(Services!$K$5:$K$54,MATCH(H150,Services!$B$5:$B$54,0)),"No"))</f>
        <v>0</v>
      </c>
      <c r="U150" s="29">
        <f>IF(H150="","",ROUND(IF(O150="Per hour",P150*IF(M150="",IF(N150="",1,N150),M150),P150*IF(N150="",1,N150)),2))</f>
        <v>0</v>
      </c>
      <c r="V150" s="29">
        <f>IF(H150="","",ROUND(MAX(0,IF(G150="",1,G150)-1)*Q150,2))</f>
        <v>0</v>
      </c>
      <c r="W150" s="50">
        <f>IF(I150="","",IF(COUNTIF(HolidayDates,I150)&gt;0,"Yes","No"))</f>
        <v>0</v>
      </c>
      <c r="X150" s="50">
        <f>IF(I150="","",IF(WEEKDAY(I150,2)&gt;5,"Yes","No"))</f>
        <v>0</v>
      </c>
      <c r="Y150" s="29">
        <f>IF(H150="","",ROUND((U150+V150)*(IF(W150="Yes",R150,0)+IF(X150="Yes",S150,0)),2))</f>
        <v>0</v>
      </c>
      <c r="AA150" s="29">
        <f>IF(H150="","",IF(T150&lt;&gt;"Yes",0,ROUND(MAX(0,IF(Z150="",0,Z150)-FreeTravelDistance)*TravelFeeRate,2)))</f>
        <v>0</v>
      </c>
      <c r="AB150" s="31">
        <f>IF(I150="","",TravelTimeMins)</f>
        <v>0</v>
      </c>
      <c r="AC150" s="29">
        <f>IF(OR(I150="",B150=""),0,IF(I150-B150&lt;=LastMinuteDays,EmergencyFee,0))</f>
        <v>0</v>
      </c>
      <c r="AF150" s="29">
        <f>IF(H150="","",ROUND((U150+V150+Y150+AA150+AC150)*IF(AE150="",0,AE150),2))</f>
        <v>0</v>
      </c>
      <c r="AI150" s="29">
        <f>IF(H150="","",IF(AG150&lt;&gt;"",AG150,ROUND(U150+V150+Y150+AA150+AC150-AF150,2)))</f>
        <v>0</v>
      </c>
      <c r="AJ150" s="29">
        <f>IF(AI150="","",IF(TaxRegistered&lt;&gt;"Yes",0,IF(PricesIncludeTax="Yes",ROUND(AI150-AI150/(1+TaxRate),2),ROUND(AI150*TaxRate,2))))</f>
        <v>0</v>
      </c>
      <c r="AK150" s="29">
        <f>IF(AI150="","",IF(PricesIncludeTax="Yes",AI150,ROUND(AI150+AJ150,2)))</f>
        <v>0</v>
      </c>
      <c r="AQ150" s="21">
        <f>IF(OR(I150="",AP150="",AP150="None"),"",IF(AP150="Monthly",EDATE(I150,1),I150+IF(AP150="Daily",1,IF(AP150="Weekdays",IF(WEEKDAY(I150,2)&gt;=5,8-WEEKDAY(I150,2),1),IF(AP150="Weekly",7,IF(AP150="Fortnightly",14,0))))))</f>
        <v>0</v>
      </c>
      <c r="AR150" s="49">
        <f>IF(OR(I150="",AL150="",K150="",L150=""),"",IF(SUMPRODUCT((Bookings!$AL$5:$AL$404=AL150)*(Bookings!$I$5:$I$404=I150)*(Bookings!$K$5:$K$404&lt;L150)*(Bookings!$L$5:$L$404&gt;K150)*(Bookings!$AM$5:$AM$404&lt;&gt;"Cancelled"))&gt;1,"Conflict - double booked","OK"))</f>
        <v>0</v>
      </c>
      <c r="AS150" s="50">
        <f>IF(A150="","",IF(COUNTIF('Visit Log'!$B$5:$B$404,A150)&gt;0,"Yes","No"))</f>
        <v>0</v>
      </c>
      <c r="AT150" s="28">
        <f>IF(A150="","",IFERROR(INDEX(Invoices!$A$5:$A$304,MATCH(A150,Invoices!$E$5:$E$304,0)),""))</f>
        <v>0</v>
      </c>
      <c r="AU150" s="49">
        <f>IF(A150="","",IF(AT150="","Not invoiced",IFERROR(INDEX(Invoices!$U$5:$U$304,MATCH(AT150,Invoices!$A$5:$A$304,0)),"")))</f>
        <v>0</v>
      </c>
      <c r="AY150" s="28">
        <f>IF(I150="","",TEXT(I150,"yyyy-mm"))</f>
        <v>0</v>
      </c>
      <c r="AZ150" s="49">
        <f>IF(I150="","",IF(AM150="Cancelled","Cancelled",IF(AND(I150&lt;TODAY(),OR(AM150="Pending",AM150="Confirmed",AM150="Enquiry")),"Overdue - update status",IF(AND(AM150="Completed",AS150="No"),"Action - log the visit",IF(I150=TODAY(),"Today",IF(AND(I150&gt;TODAY(),I150-TODAY()&lt;=ReminderLeadDays,AN150&lt;&gt;"Yes"),"Action - unconfirmed",IF(AND(I150&gt;TODAY(),I150-TODAY()&lt;=ReminderLeadDays),"Upcoming","OK")))))))</f>
        <v>0</v>
      </c>
    </row>
    <row r="151" spans="1:52">
      <c r="A151" s="46">
        <f>IF(C151="","",BookingPrefix&amp;TEXT(ROW()-4,"0000"))</f>
        <v>0</v>
      </c>
      <c r="D151" s="28">
        <f>IF(C151="","",IFERROR(INDEX(Clients!$A$5:$A$254,MATCH(C151,Clients!$B$5:$B$254,0)),""))</f>
        <v>0</v>
      </c>
      <c r="J151" s="50">
        <f>IF(I151="","",TEXT(I151,"ddd"))</f>
        <v>0</v>
      </c>
      <c r="M151" s="51">
        <f>IF(OR(K151="",L151=""),"",ROUND((L151-K151+IF(L151&lt;K151,1,0))*24,2))</f>
        <v>0</v>
      </c>
      <c r="O151" s="28">
        <f>IF(H151="","",IFERROR(INDEX(Services!$E$5:$E$54,MATCH(H151,Services!$B$5:$B$54,0)),""))</f>
        <v>0</v>
      </c>
      <c r="P151" s="29">
        <f>IF(H151="","",IFERROR(INDEX(Services!$G$5:$G$54,MATCH(H151,Services!$B$5:$B$54,0)),0))</f>
        <v>0</v>
      </c>
      <c r="Q151" s="29">
        <f>IF(H151="","",IF(IFERROR(INDEX(Services!$H$5:$H$54,MATCH(H151,Services!$B$5:$B$54,0)),0)=0,ExtraPetFeeDefault,IFERROR(INDEX(Services!$H$5:$H$54,MATCH(H151,Services!$B$5:$B$54,0)),0)))</f>
        <v>0</v>
      </c>
      <c r="R151" s="30">
        <f>IF(H151="","",IF(IFERROR(INDEX(Services!$I$5:$I$54,MATCH(H151,Services!$B$5:$B$54,0)),0)=0,HolidaySurcharge,IFERROR(INDEX(Services!$I$5:$I$54,MATCH(H151,Services!$B$5:$B$54,0)),0)))</f>
        <v>0</v>
      </c>
      <c r="S151" s="30">
        <f>IF(H151="","",IF(IFERROR(INDEX(Services!$J$5:$J$54,MATCH(H151,Services!$B$5:$B$54,0)),0)=0,WeekendSurcharge,IFERROR(INDEX(Services!$J$5:$J$54,MATCH(H151,Services!$B$5:$B$54,0)),0)))</f>
        <v>0</v>
      </c>
      <c r="T151" s="50">
        <f>IF(H151="","",IFERROR(INDEX(Services!$K$5:$K$54,MATCH(H151,Services!$B$5:$B$54,0)),"No"))</f>
        <v>0</v>
      </c>
      <c r="U151" s="29">
        <f>IF(H151="","",ROUND(IF(O151="Per hour",P151*IF(M151="",IF(N151="",1,N151),M151),P151*IF(N151="",1,N151)),2))</f>
        <v>0</v>
      </c>
      <c r="V151" s="29">
        <f>IF(H151="","",ROUND(MAX(0,IF(G151="",1,G151)-1)*Q151,2))</f>
        <v>0</v>
      </c>
      <c r="W151" s="50">
        <f>IF(I151="","",IF(COUNTIF(HolidayDates,I151)&gt;0,"Yes","No"))</f>
        <v>0</v>
      </c>
      <c r="X151" s="50">
        <f>IF(I151="","",IF(WEEKDAY(I151,2)&gt;5,"Yes","No"))</f>
        <v>0</v>
      </c>
      <c r="Y151" s="29">
        <f>IF(H151="","",ROUND((U151+V151)*(IF(W151="Yes",R151,0)+IF(X151="Yes",S151,0)),2))</f>
        <v>0</v>
      </c>
      <c r="AA151" s="29">
        <f>IF(H151="","",IF(T151&lt;&gt;"Yes",0,ROUND(MAX(0,IF(Z151="",0,Z151)-FreeTravelDistance)*TravelFeeRate,2)))</f>
        <v>0</v>
      </c>
      <c r="AB151" s="31">
        <f>IF(I151="","",TravelTimeMins)</f>
        <v>0</v>
      </c>
      <c r="AC151" s="29">
        <f>IF(OR(I151="",B151=""),0,IF(I151-B151&lt;=LastMinuteDays,EmergencyFee,0))</f>
        <v>0</v>
      </c>
      <c r="AF151" s="29">
        <f>IF(H151="","",ROUND((U151+V151+Y151+AA151+AC151)*IF(AE151="",0,AE151),2))</f>
        <v>0</v>
      </c>
      <c r="AI151" s="29">
        <f>IF(H151="","",IF(AG151&lt;&gt;"",AG151,ROUND(U151+V151+Y151+AA151+AC151-AF151,2)))</f>
        <v>0</v>
      </c>
      <c r="AJ151" s="29">
        <f>IF(AI151="","",IF(TaxRegistered&lt;&gt;"Yes",0,IF(PricesIncludeTax="Yes",ROUND(AI151-AI151/(1+TaxRate),2),ROUND(AI151*TaxRate,2))))</f>
        <v>0</v>
      </c>
      <c r="AK151" s="29">
        <f>IF(AI151="","",IF(PricesIncludeTax="Yes",AI151,ROUND(AI151+AJ151,2)))</f>
        <v>0</v>
      </c>
      <c r="AQ151" s="21">
        <f>IF(OR(I151="",AP151="",AP151="None"),"",IF(AP151="Monthly",EDATE(I151,1),I151+IF(AP151="Daily",1,IF(AP151="Weekdays",IF(WEEKDAY(I151,2)&gt;=5,8-WEEKDAY(I151,2),1),IF(AP151="Weekly",7,IF(AP151="Fortnightly",14,0))))))</f>
        <v>0</v>
      </c>
      <c r="AR151" s="49">
        <f>IF(OR(I151="",AL151="",K151="",L151=""),"",IF(SUMPRODUCT((Bookings!$AL$5:$AL$404=AL151)*(Bookings!$I$5:$I$404=I151)*(Bookings!$K$5:$K$404&lt;L151)*(Bookings!$L$5:$L$404&gt;K151)*(Bookings!$AM$5:$AM$404&lt;&gt;"Cancelled"))&gt;1,"Conflict - double booked","OK"))</f>
        <v>0</v>
      </c>
      <c r="AS151" s="50">
        <f>IF(A151="","",IF(COUNTIF('Visit Log'!$B$5:$B$404,A151)&gt;0,"Yes","No"))</f>
        <v>0</v>
      </c>
      <c r="AT151" s="28">
        <f>IF(A151="","",IFERROR(INDEX(Invoices!$A$5:$A$304,MATCH(A151,Invoices!$E$5:$E$304,0)),""))</f>
        <v>0</v>
      </c>
      <c r="AU151" s="49">
        <f>IF(A151="","",IF(AT151="","Not invoiced",IFERROR(INDEX(Invoices!$U$5:$U$304,MATCH(AT151,Invoices!$A$5:$A$304,0)),"")))</f>
        <v>0</v>
      </c>
      <c r="AY151" s="28">
        <f>IF(I151="","",TEXT(I151,"yyyy-mm"))</f>
        <v>0</v>
      </c>
      <c r="AZ151" s="49">
        <f>IF(I151="","",IF(AM151="Cancelled","Cancelled",IF(AND(I151&lt;TODAY(),OR(AM151="Pending",AM151="Confirmed",AM151="Enquiry")),"Overdue - update status",IF(AND(AM151="Completed",AS151="No"),"Action - log the visit",IF(I151=TODAY(),"Today",IF(AND(I151&gt;TODAY(),I151-TODAY()&lt;=ReminderLeadDays,AN151&lt;&gt;"Yes"),"Action - unconfirmed",IF(AND(I151&gt;TODAY(),I151-TODAY()&lt;=ReminderLeadDays),"Upcoming","OK")))))))</f>
        <v>0</v>
      </c>
    </row>
    <row r="152" spans="1:52">
      <c r="A152" s="46">
        <f>IF(C152="","",BookingPrefix&amp;TEXT(ROW()-4,"0000"))</f>
        <v>0</v>
      </c>
      <c r="D152" s="28">
        <f>IF(C152="","",IFERROR(INDEX(Clients!$A$5:$A$254,MATCH(C152,Clients!$B$5:$B$254,0)),""))</f>
        <v>0</v>
      </c>
      <c r="J152" s="50">
        <f>IF(I152="","",TEXT(I152,"ddd"))</f>
        <v>0</v>
      </c>
      <c r="M152" s="51">
        <f>IF(OR(K152="",L152=""),"",ROUND((L152-K152+IF(L152&lt;K152,1,0))*24,2))</f>
        <v>0</v>
      </c>
      <c r="O152" s="28">
        <f>IF(H152="","",IFERROR(INDEX(Services!$E$5:$E$54,MATCH(H152,Services!$B$5:$B$54,0)),""))</f>
        <v>0</v>
      </c>
      <c r="P152" s="29">
        <f>IF(H152="","",IFERROR(INDEX(Services!$G$5:$G$54,MATCH(H152,Services!$B$5:$B$54,0)),0))</f>
        <v>0</v>
      </c>
      <c r="Q152" s="29">
        <f>IF(H152="","",IF(IFERROR(INDEX(Services!$H$5:$H$54,MATCH(H152,Services!$B$5:$B$54,0)),0)=0,ExtraPetFeeDefault,IFERROR(INDEX(Services!$H$5:$H$54,MATCH(H152,Services!$B$5:$B$54,0)),0)))</f>
        <v>0</v>
      </c>
      <c r="R152" s="30">
        <f>IF(H152="","",IF(IFERROR(INDEX(Services!$I$5:$I$54,MATCH(H152,Services!$B$5:$B$54,0)),0)=0,HolidaySurcharge,IFERROR(INDEX(Services!$I$5:$I$54,MATCH(H152,Services!$B$5:$B$54,0)),0)))</f>
        <v>0</v>
      </c>
      <c r="S152" s="30">
        <f>IF(H152="","",IF(IFERROR(INDEX(Services!$J$5:$J$54,MATCH(H152,Services!$B$5:$B$54,0)),0)=0,WeekendSurcharge,IFERROR(INDEX(Services!$J$5:$J$54,MATCH(H152,Services!$B$5:$B$54,0)),0)))</f>
        <v>0</v>
      </c>
      <c r="T152" s="50">
        <f>IF(H152="","",IFERROR(INDEX(Services!$K$5:$K$54,MATCH(H152,Services!$B$5:$B$54,0)),"No"))</f>
        <v>0</v>
      </c>
      <c r="U152" s="29">
        <f>IF(H152="","",ROUND(IF(O152="Per hour",P152*IF(M152="",IF(N152="",1,N152),M152),P152*IF(N152="",1,N152)),2))</f>
        <v>0</v>
      </c>
      <c r="V152" s="29">
        <f>IF(H152="","",ROUND(MAX(0,IF(G152="",1,G152)-1)*Q152,2))</f>
        <v>0</v>
      </c>
      <c r="W152" s="50">
        <f>IF(I152="","",IF(COUNTIF(HolidayDates,I152)&gt;0,"Yes","No"))</f>
        <v>0</v>
      </c>
      <c r="X152" s="50">
        <f>IF(I152="","",IF(WEEKDAY(I152,2)&gt;5,"Yes","No"))</f>
        <v>0</v>
      </c>
      <c r="Y152" s="29">
        <f>IF(H152="","",ROUND((U152+V152)*(IF(W152="Yes",R152,0)+IF(X152="Yes",S152,0)),2))</f>
        <v>0</v>
      </c>
      <c r="AA152" s="29">
        <f>IF(H152="","",IF(T152&lt;&gt;"Yes",0,ROUND(MAX(0,IF(Z152="",0,Z152)-FreeTravelDistance)*TravelFeeRate,2)))</f>
        <v>0</v>
      </c>
      <c r="AB152" s="31">
        <f>IF(I152="","",TravelTimeMins)</f>
        <v>0</v>
      </c>
      <c r="AC152" s="29">
        <f>IF(OR(I152="",B152=""),0,IF(I152-B152&lt;=LastMinuteDays,EmergencyFee,0))</f>
        <v>0</v>
      </c>
      <c r="AF152" s="29">
        <f>IF(H152="","",ROUND((U152+V152+Y152+AA152+AC152)*IF(AE152="",0,AE152),2))</f>
        <v>0</v>
      </c>
      <c r="AI152" s="29">
        <f>IF(H152="","",IF(AG152&lt;&gt;"",AG152,ROUND(U152+V152+Y152+AA152+AC152-AF152,2)))</f>
        <v>0</v>
      </c>
      <c r="AJ152" s="29">
        <f>IF(AI152="","",IF(TaxRegistered&lt;&gt;"Yes",0,IF(PricesIncludeTax="Yes",ROUND(AI152-AI152/(1+TaxRate),2),ROUND(AI152*TaxRate,2))))</f>
        <v>0</v>
      </c>
      <c r="AK152" s="29">
        <f>IF(AI152="","",IF(PricesIncludeTax="Yes",AI152,ROUND(AI152+AJ152,2)))</f>
        <v>0</v>
      </c>
      <c r="AQ152" s="21">
        <f>IF(OR(I152="",AP152="",AP152="None"),"",IF(AP152="Monthly",EDATE(I152,1),I152+IF(AP152="Daily",1,IF(AP152="Weekdays",IF(WEEKDAY(I152,2)&gt;=5,8-WEEKDAY(I152,2),1),IF(AP152="Weekly",7,IF(AP152="Fortnightly",14,0))))))</f>
        <v>0</v>
      </c>
      <c r="AR152" s="49">
        <f>IF(OR(I152="",AL152="",K152="",L152=""),"",IF(SUMPRODUCT((Bookings!$AL$5:$AL$404=AL152)*(Bookings!$I$5:$I$404=I152)*(Bookings!$K$5:$K$404&lt;L152)*(Bookings!$L$5:$L$404&gt;K152)*(Bookings!$AM$5:$AM$404&lt;&gt;"Cancelled"))&gt;1,"Conflict - double booked","OK"))</f>
        <v>0</v>
      </c>
      <c r="AS152" s="50">
        <f>IF(A152="","",IF(COUNTIF('Visit Log'!$B$5:$B$404,A152)&gt;0,"Yes","No"))</f>
        <v>0</v>
      </c>
      <c r="AT152" s="28">
        <f>IF(A152="","",IFERROR(INDEX(Invoices!$A$5:$A$304,MATCH(A152,Invoices!$E$5:$E$304,0)),""))</f>
        <v>0</v>
      </c>
      <c r="AU152" s="49">
        <f>IF(A152="","",IF(AT152="","Not invoiced",IFERROR(INDEX(Invoices!$U$5:$U$304,MATCH(AT152,Invoices!$A$5:$A$304,0)),"")))</f>
        <v>0</v>
      </c>
      <c r="AY152" s="28">
        <f>IF(I152="","",TEXT(I152,"yyyy-mm"))</f>
        <v>0</v>
      </c>
      <c r="AZ152" s="49">
        <f>IF(I152="","",IF(AM152="Cancelled","Cancelled",IF(AND(I152&lt;TODAY(),OR(AM152="Pending",AM152="Confirmed",AM152="Enquiry")),"Overdue - update status",IF(AND(AM152="Completed",AS152="No"),"Action - log the visit",IF(I152=TODAY(),"Today",IF(AND(I152&gt;TODAY(),I152-TODAY()&lt;=ReminderLeadDays,AN152&lt;&gt;"Yes"),"Action - unconfirmed",IF(AND(I152&gt;TODAY(),I152-TODAY()&lt;=ReminderLeadDays),"Upcoming","OK")))))))</f>
        <v>0</v>
      </c>
    </row>
    <row r="153" spans="1:52">
      <c r="A153" s="46">
        <f>IF(C153="","",BookingPrefix&amp;TEXT(ROW()-4,"0000"))</f>
        <v>0</v>
      </c>
      <c r="D153" s="28">
        <f>IF(C153="","",IFERROR(INDEX(Clients!$A$5:$A$254,MATCH(C153,Clients!$B$5:$B$254,0)),""))</f>
        <v>0</v>
      </c>
      <c r="J153" s="50">
        <f>IF(I153="","",TEXT(I153,"ddd"))</f>
        <v>0</v>
      </c>
      <c r="M153" s="51">
        <f>IF(OR(K153="",L153=""),"",ROUND((L153-K153+IF(L153&lt;K153,1,0))*24,2))</f>
        <v>0</v>
      </c>
      <c r="O153" s="28">
        <f>IF(H153="","",IFERROR(INDEX(Services!$E$5:$E$54,MATCH(H153,Services!$B$5:$B$54,0)),""))</f>
        <v>0</v>
      </c>
      <c r="P153" s="29">
        <f>IF(H153="","",IFERROR(INDEX(Services!$G$5:$G$54,MATCH(H153,Services!$B$5:$B$54,0)),0))</f>
        <v>0</v>
      </c>
      <c r="Q153" s="29">
        <f>IF(H153="","",IF(IFERROR(INDEX(Services!$H$5:$H$54,MATCH(H153,Services!$B$5:$B$54,0)),0)=0,ExtraPetFeeDefault,IFERROR(INDEX(Services!$H$5:$H$54,MATCH(H153,Services!$B$5:$B$54,0)),0)))</f>
        <v>0</v>
      </c>
      <c r="R153" s="30">
        <f>IF(H153="","",IF(IFERROR(INDEX(Services!$I$5:$I$54,MATCH(H153,Services!$B$5:$B$54,0)),0)=0,HolidaySurcharge,IFERROR(INDEX(Services!$I$5:$I$54,MATCH(H153,Services!$B$5:$B$54,0)),0)))</f>
        <v>0</v>
      </c>
      <c r="S153" s="30">
        <f>IF(H153="","",IF(IFERROR(INDEX(Services!$J$5:$J$54,MATCH(H153,Services!$B$5:$B$54,0)),0)=0,WeekendSurcharge,IFERROR(INDEX(Services!$J$5:$J$54,MATCH(H153,Services!$B$5:$B$54,0)),0)))</f>
        <v>0</v>
      </c>
      <c r="T153" s="50">
        <f>IF(H153="","",IFERROR(INDEX(Services!$K$5:$K$54,MATCH(H153,Services!$B$5:$B$54,0)),"No"))</f>
        <v>0</v>
      </c>
      <c r="U153" s="29">
        <f>IF(H153="","",ROUND(IF(O153="Per hour",P153*IF(M153="",IF(N153="",1,N153),M153),P153*IF(N153="",1,N153)),2))</f>
        <v>0</v>
      </c>
      <c r="V153" s="29">
        <f>IF(H153="","",ROUND(MAX(0,IF(G153="",1,G153)-1)*Q153,2))</f>
        <v>0</v>
      </c>
      <c r="W153" s="50">
        <f>IF(I153="","",IF(COUNTIF(HolidayDates,I153)&gt;0,"Yes","No"))</f>
        <v>0</v>
      </c>
      <c r="X153" s="50">
        <f>IF(I153="","",IF(WEEKDAY(I153,2)&gt;5,"Yes","No"))</f>
        <v>0</v>
      </c>
      <c r="Y153" s="29">
        <f>IF(H153="","",ROUND((U153+V153)*(IF(W153="Yes",R153,0)+IF(X153="Yes",S153,0)),2))</f>
        <v>0</v>
      </c>
      <c r="AA153" s="29">
        <f>IF(H153="","",IF(T153&lt;&gt;"Yes",0,ROUND(MAX(0,IF(Z153="",0,Z153)-FreeTravelDistance)*TravelFeeRate,2)))</f>
        <v>0</v>
      </c>
      <c r="AB153" s="31">
        <f>IF(I153="","",TravelTimeMins)</f>
        <v>0</v>
      </c>
      <c r="AC153" s="29">
        <f>IF(OR(I153="",B153=""),0,IF(I153-B153&lt;=LastMinuteDays,EmergencyFee,0))</f>
        <v>0</v>
      </c>
      <c r="AF153" s="29">
        <f>IF(H153="","",ROUND((U153+V153+Y153+AA153+AC153)*IF(AE153="",0,AE153),2))</f>
        <v>0</v>
      </c>
      <c r="AI153" s="29">
        <f>IF(H153="","",IF(AG153&lt;&gt;"",AG153,ROUND(U153+V153+Y153+AA153+AC153-AF153,2)))</f>
        <v>0</v>
      </c>
      <c r="AJ153" s="29">
        <f>IF(AI153="","",IF(TaxRegistered&lt;&gt;"Yes",0,IF(PricesIncludeTax="Yes",ROUND(AI153-AI153/(1+TaxRate),2),ROUND(AI153*TaxRate,2))))</f>
        <v>0</v>
      </c>
      <c r="AK153" s="29">
        <f>IF(AI153="","",IF(PricesIncludeTax="Yes",AI153,ROUND(AI153+AJ153,2)))</f>
        <v>0</v>
      </c>
      <c r="AQ153" s="21">
        <f>IF(OR(I153="",AP153="",AP153="None"),"",IF(AP153="Monthly",EDATE(I153,1),I153+IF(AP153="Daily",1,IF(AP153="Weekdays",IF(WEEKDAY(I153,2)&gt;=5,8-WEEKDAY(I153,2),1),IF(AP153="Weekly",7,IF(AP153="Fortnightly",14,0))))))</f>
        <v>0</v>
      </c>
      <c r="AR153" s="49">
        <f>IF(OR(I153="",AL153="",K153="",L153=""),"",IF(SUMPRODUCT((Bookings!$AL$5:$AL$404=AL153)*(Bookings!$I$5:$I$404=I153)*(Bookings!$K$5:$K$404&lt;L153)*(Bookings!$L$5:$L$404&gt;K153)*(Bookings!$AM$5:$AM$404&lt;&gt;"Cancelled"))&gt;1,"Conflict - double booked","OK"))</f>
        <v>0</v>
      </c>
      <c r="AS153" s="50">
        <f>IF(A153="","",IF(COUNTIF('Visit Log'!$B$5:$B$404,A153)&gt;0,"Yes","No"))</f>
        <v>0</v>
      </c>
      <c r="AT153" s="28">
        <f>IF(A153="","",IFERROR(INDEX(Invoices!$A$5:$A$304,MATCH(A153,Invoices!$E$5:$E$304,0)),""))</f>
        <v>0</v>
      </c>
      <c r="AU153" s="49">
        <f>IF(A153="","",IF(AT153="","Not invoiced",IFERROR(INDEX(Invoices!$U$5:$U$304,MATCH(AT153,Invoices!$A$5:$A$304,0)),"")))</f>
        <v>0</v>
      </c>
      <c r="AY153" s="28">
        <f>IF(I153="","",TEXT(I153,"yyyy-mm"))</f>
        <v>0</v>
      </c>
      <c r="AZ153" s="49">
        <f>IF(I153="","",IF(AM153="Cancelled","Cancelled",IF(AND(I153&lt;TODAY(),OR(AM153="Pending",AM153="Confirmed",AM153="Enquiry")),"Overdue - update status",IF(AND(AM153="Completed",AS153="No"),"Action - log the visit",IF(I153=TODAY(),"Today",IF(AND(I153&gt;TODAY(),I153-TODAY()&lt;=ReminderLeadDays,AN153&lt;&gt;"Yes"),"Action - unconfirmed",IF(AND(I153&gt;TODAY(),I153-TODAY()&lt;=ReminderLeadDays),"Upcoming","OK")))))))</f>
        <v>0</v>
      </c>
    </row>
    <row r="154" spans="1:52">
      <c r="A154" s="46">
        <f>IF(C154="","",BookingPrefix&amp;TEXT(ROW()-4,"0000"))</f>
        <v>0</v>
      </c>
      <c r="D154" s="28">
        <f>IF(C154="","",IFERROR(INDEX(Clients!$A$5:$A$254,MATCH(C154,Clients!$B$5:$B$254,0)),""))</f>
        <v>0</v>
      </c>
      <c r="J154" s="50">
        <f>IF(I154="","",TEXT(I154,"ddd"))</f>
        <v>0</v>
      </c>
      <c r="M154" s="51">
        <f>IF(OR(K154="",L154=""),"",ROUND((L154-K154+IF(L154&lt;K154,1,0))*24,2))</f>
        <v>0</v>
      </c>
      <c r="O154" s="28">
        <f>IF(H154="","",IFERROR(INDEX(Services!$E$5:$E$54,MATCH(H154,Services!$B$5:$B$54,0)),""))</f>
        <v>0</v>
      </c>
      <c r="P154" s="29">
        <f>IF(H154="","",IFERROR(INDEX(Services!$G$5:$G$54,MATCH(H154,Services!$B$5:$B$54,0)),0))</f>
        <v>0</v>
      </c>
      <c r="Q154" s="29">
        <f>IF(H154="","",IF(IFERROR(INDEX(Services!$H$5:$H$54,MATCH(H154,Services!$B$5:$B$54,0)),0)=0,ExtraPetFeeDefault,IFERROR(INDEX(Services!$H$5:$H$54,MATCH(H154,Services!$B$5:$B$54,0)),0)))</f>
        <v>0</v>
      </c>
      <c r="R154" s="30">
        <f>IF(H154="","",IF(IFERROR(INDEX(Services!$I$5:$I$54,MATCH(H154,Services!$B$5:$B$54,0)),0)=0,HolidaySurcharge,IFERROR(INDEX(Services!$I$5:$I$54,MATCH(H154,Services!$B$5:$B$54,0)),0)))</f>
        <v>0</v>
      </c>
      <c r="S154" s="30">
        <f>IF(H154="","",IF(IFERROR(INDEX(Services!$J$5:$J$54,MATCH(H154,Services!$B$5:$B$54,0)),0)=0,WeekendSurcharge,IFERROR(INDEX(Services!$J$5:$J$54,MATCH(H154,Services!$B$5:$B$54,0)),0)))</f>
        <v>0</v>
      </c>
      <c r="T154" s="50">
        <f>IF(H154="","",IFERROR(INDEX(Services!$K$5:$K$54,MATCH(H154,Services!$B$5:$B$54,0)),"No"))</f>
        <v>0</v>
      </c>
      <c r="U154" s="29">
        <f>IF(H154="","",ROUND(IF(O154="Per hour",P154*IF(M154="",IF(N154="",1,N154),M154),P154*IF(N154="",1,N154)),2))</f>
        <v>0</v>
      </c>
      <c r="V154" s="29">
        <f>IF(H154="","",ROUND(MAX(0,IF(G154="",1,G154)-1)*Q154,2))</f>
        <v>0</v>
      </c>
      <c r="W154" s="50">
        <f>IF(I154="","",IF(COUNTIF(HolidayDates,I154)&gt;0,"Yes","No"))</f>
        <v>0</v>
      </c>
      <c r="X154" s="50">
        <f>IF(I154="","",IF(WEEKDAY(I154,2)&gt;5,"Yes","No"))</f>
        <v>0</v>
      </c>
      <c r="Y154" s="29">
        <f>IF(H154="","",ROUND((U154+V154)*(IF(W154="Yes",R154,0)+IF(X154="Yes",S154,0)),2))</f>
        <v>0</v>
      </c>
      <c r="AA154" s="29">
        <f>IF(H154="","",IF(T154&lt;&gt;"Yes",0,ROUND(MAX(0,IF(Z154="",0,Z154)-FreeTravelDistance)*TravelFeeRate,2)))</f>
        <v>0</v>
      </c>
      <c r="AB154" s="31">
        <f>IF(I154="","",TravelTimeMins)</f>
        <v>0</v>
      </c>
      <c r="AC154" s="29">
        <f>IF(OR(I154="",B154=""),0,IF(I154-B154&lt;=LastMinuteDays,EmergencyFee,0))</f>
        <v>0</v>
      </c>
      <c r="AF154" s="29">
        <f>IF(H154="","",ROUND((U154+V154+Y154+AA154+AC154)*IF(AE154="",0,AE154),2))</f>
        <v>0</v>
      </c>
      <c r="AI154" s="29">
        <f>IF(H154="","",IF(AG154&lt;&gt;"",AG154,ROUND(U154+V154+Y154+AA154+AC154-AF154,2)))</f>
        <v>0</v>
      </c>
      <c r="AJ154" s="29">
        <f>IF(AI154="","",IF(TaxRegistered&lt;&gt;"Yes",0,IF(PricesIncludeTax="Yes",ROUND(AI154-AI154/(1+TaxRate),2),ROUND(AI154*TaxRate,2))))</f>
        <v>0</v>
      </c>
      <c r="AK154" s="29">
        <f>IF(AI154="","",IF(PricesIncludeTax="Yes",AI154,ROUND(AI154+AJ154,2)))</f>
        <v>0</v>
      </c>
      <c r="AQ154" s="21">
        <f>IF(OR(I154="",AP154="",AP154="None"),"",IF(AP154="Monthly",EDATE(I154,1),I154+IF(AP154="Daily",1,IF(AP154="Weekdays",IF(WEEKDAY(I154,2)&gt;=5,8-WEEKDAY(I154,2),1),IF(AP154="Weekly",7,IF(AP154="Fortnightly",14,0))))))</f>
        <v>0</v>
      </c>
      <c r="AR154" s="49">
        <f>IF(OR(I154="",AL154="",K154="",L154=""),"",IF(SUMPRODUCT((Bookings!$AL$5:$AL$404=AL154)*(Bookings!$I$5:$I$404=I154)*(Bookings!$K$5:$K$404&lt;L154)*(Bookings!$L$5:$L$404&gt;K154)*(Bookings!$AM$5:$AM$404&lt;&gt;"Cancelled"))&gt;1,"Conflict - double booked","OK"))</f>
        <v>0</v>
      </c>
      <c r="AS154" s="50">
        <f>IF(A154="","",IF(COUNTIF('Visit Log'!$B$5:$B$404,A154)&gt;0,"Yes","No"))</f>
        <v>0</v>
      </c>
      <c r="AT154" s="28">
        <f>IF(A154="","",IFERROR(INDEX(Invoices!$A$5:$A$304,MATCH(A154,Invoices!$E$5:$E$304,0)),""))</f>
        <v>0</v>
      </c>
      <c r="AU154" s="49">
        <f>IF(A154="","",IF(AT154="","Not invoiced",IFERROR(INDEX(Invoices!$U$5:$U$304,MATCH(AT154,Invoices!$A$5:$A$304,0)),"")))</f>
        <v>0</v>
      </c>
      <c r="AY154" s="28">
        <f>IF(I154="","",TEXT(I154,"yyyy-mm"))</f>
        <v>0</v>
      </c>
      <c r="AZ154" s="49">
        <f>IF(I154="","",IF(AM154="Cancelled","Cancelled",IF(AND(I154&lt;TODAY(),OR(AM154="Pending",AM154="Confirmed",AM154="Enquiry")),"Overdue - update status",IF(AND(AM154="Completed",AS154="No"),"Action - log the visit",IF(I154=TODAY(),"Today",IF(AND(I154&gt;TODAY(),I154-TODAY()&lt;=ReminderLeadDays,AN154&lt;&gt;"Yes"),"Action - unconfirmed",IF(AND(I154&gt;TODAY(),I154-TODAY()&lt;=ReminderLeadDays),"Upcoming","OK")))))))</f>
        <v>0</v>
      </c>
    </row>
    <row r="155" spans="1:52">
      <c r="A155" s="46">
        <f>IF(C155="","",BookingPrefix&amp;TEXT(ROW()-4,"0000"))</f>
        <v>0</v>
      </c>
      <c r="D155" s="28">
        <f>IF(C155="","",IFERROR(INDEX(Clients!$A$5:$A$254,MATCH(C155,Clients!$B$5:$B$254,0)),""))</f>
        <v>0</v>
      </c>
      <c r="J155" s="50">
        <f>IF(I155="","",TEXT(I155,"ddd"))</f>
        <v>0</v>
      </c>
      <c r="M155" s="51">
        <f>IF(OR(K155="",L155=""),"",ROUND((L155-K155+IF(L155&lt;K155,1,0))*24,2))</f>
        <v>0</v>
      </c>
      <c r="O155" s="28">
        <f>IF(H155="","",IFERROR(INDEX(Services!$E$5:$E$54,MATCH(H155,Services!$B$5:$B$54,0)),""))</f>
        <v>0</v>
      </c>
      <c r="P155" s="29">
        <f>IF(H155="","",IFERROR(INDEX(Services!$G$5:$G$54,MATCH(H155,Services!$B$5:$B$54,0)),0))</f>
        <v>0</v>
      </c>
      <c r="Q155" s="29">
        <f>IF(H155="","",IF(IFERROR(INDEX(Services!$H$5:$H$54,MATCH(H155,Services!$B$5:$B$54,0)),0)=0,ExtraPetFeeDefault,IFERROR(INDEX(Services!$H$5:$H$54,MATCH(H155,Services!$B$5:$B$54,0)),0)))</f>
        <v>0</v>
      </c>
      <c r="R155" s="30">
        <f>IF(H155="","",IF(IFERROR(INDEX(Services!$I$5:$I$54,MATCH(H155,Services!$B$5:$B$54,0)),0)=0,HolidaySurcharge,IFERROR(INDEX(Services!$I$5:$I$54,MATCH(H155,Services!$B$5:$B$54,0)),0)))</f>
        <v>0</v>
      </c>
      <c r="S155" s="30">
        <f>IF(H155="","",IF(IFERROR(INDEX(Services!$J$5:$J$54,MATCH(H155,Services!$B$5:$B$54,0)),0)=0,WeekendSurcharge,IFERROR(INDEX(Services!$J$5:$J$54,MATCH(H155,Services!$B$5:$B$54,0)),0)))</f>
        <v>0</v>
      </c>
      <c r="T155" s="50">
        <f>IF(H155="","",IFERROR(INDEX(Services!$K$5:$K$54,MATCH(H155,Services!$B$5:$B$54,0)),"No"))</f>
        <v>0</v>
      </c>
      <c r="U155" s="29">
        <f>IF(H155="","",ROUND(IF(O155="Per hour",P155*IF(M155="",IF(N155="",1,N155),M155),P155*IF(N155="",1,N155)),2))</f>
        <v>0</v>
      </c>
      <c r="V155" s="29">
        <f>IF(H155="","",ROUND(MAX(0,IF(G155="",1,G155)-1)*Q155,2))</f>
        <v>0</v>
      </c>
      <c r="W155" s="50">
        <f>IF(I155="","",IF(COUNTIF(HolidayDates,I155)&gt;0,"Yes","No"))</f>
        <v>0</v>
      </c>
      <c r="X155" s="50">
        <f>IF(I155="","",IF(WEEKDAY(I155,2)&gt;5,"Yes","No"))</f>
        <v>0</v>
      </c>
      <c r="Y155" s="29">
        <f>IF(H155="","",ROUND((U155+V155)*(IF(W155="Yes",R155,0)+IF(X155="Yes",S155,0)),2))</f>
        <v>0</v>
      </c>
      <c r="AA155" s="29">
        <f>IF(H155="","",IF(T155&lt;&gt;"Yes",0,ROUND(MAX(0,IF(Z155="",0,Z155)-FreeTravelDistance)*TravelFeeRate,2)))</f>
        <v>0</v>
      </c>
      <c r="AB155" s="31">
        <f>IF(I155="","",TravelTimeMins)</f>
        <v>0</v>
      </c>
      <c r="AC155" s="29">
        <f>IF(OR(I155="",B155=""),0,IF(I155-B155&lt;=LastMinuteDays,EmergencyFee,0))</f>
        <v>0</v>
      </c>
      <c r="AF155" s="29">
        <f>IF(H155="","",ROUND((U155+V155+Y155+AA155+AC155)*IF(AE155="",0,AE155),2))</f>
        <v>0</v>
      </c>
      <c r="AI155" s="29">
        <f>IF(H155="","",IF(AG155&lt;&gt;"",AG155,ROUND(U155+V155+Y155+AA155+AC155-AF155,2)))</f>
        <v>0</v>
      </c>
      <c r="AJ155" s="29">
        <f>IF(AI155="","",IF(TaxRegistered&lt;&gt;"Yes",0,IF(PricesIncludeTax="Yes",ROUND(AI155-AI155/(1+TaxRate),2),ROUND(AI155*TaxRate,2))))</f>
        <v>0</v>
      </c>
      <c r="AK155" s="29">
        <f>IF(AI155="","",IF(PricesIncludeTax="Yes",AI155,ROUND(AI155+AJ155,2)))</f>
        <v>0</v>
      </c>
      <c r="AQ155" s="21">
        <f>IF(OR(I155="",AP155="",AP155="None"),"",IF(AP155="Monthly",EDATE(I155,1),I155+IF(AP155="Daily",1,IF(AP155="Weekdays",IF(WEEKDAY(I155,2)&gt;=5,8-WEEKDAY(I155,2),1),IF(AP155="Weekly",7,IF(AP155="Fortnightly",14,0))))))</f>
        <v>0</v>
      </c>
      <c r="AR155" s="49">
        <f>IF(OR(I155="",AL155="",K155="",L155=""),"",IF(SUMPRODUCT((Bookings!$AL$5:$AL$404=AL155)*(Bookings!$I$5:$I$404=I155)*(Bookings!$K$5:$K$404&lt;L155)*(Bookings!$L$5:$L$404&gt;K155)*(Bookings!$AM$5:$AM$404&lt;&gt;"Cancelled"))&gt;1,"Conflict - double booked","OK"))</f>
        <v>0</v>
      </c>
      <c r="AS155" s="50">
        <f>IF(A155="","",IF(COUNTIF('Visit Log'!$B$5:$B$404,A155)&gt;0,"Yes","No"))</f>
        <v>0</v>
      </c>
      <c r="AT155" s="28">
        <f>IF(A155="","",IFERROR(INDEX(Invoices!$A$5:$A$304,MATCH(A155,Invoices!$E$5:$E$304,0)),""))</f>
        <v>0</v>
      </c>
      <c r="AU155" s="49">
        <f>IF(A155="","",IF(AT155="","Not invoiced",IFERROR(INDEX(Invoices!$U$5:$U$304,MATCH(AT155,Invoices!$A$5:$A$304,0)),"")))</f>
        <v>0</v>
      </c>
      <c r="AY155" s="28">
        <f>IF(I155="","",TEXT(I155,"yyyy-mm"))</f>
        <v>0</v>
      </c>
      <c r="AZ155" s="49">
        <f>IF(I155="","",IF(AM155="Cancelled","Cancelled",IF(AND(I155&lt;TODAY(),OR(AM155="Pending",AM155="Confirmed",AM155="Enquiry")),"Overdue - update status",IF(AND(AM155="Completed",AS155="No"),"Action - log the visit",IF(I155=TODAY(),"Today",IF(AND(I155&gt;TODAY(),I155-TODAY()&lt;=ReminderLeadDays,AN155&lt;&gt;"Yes"),"Action - unconfirmed",IF(AND(I155&gt;TODAY(),I155-TODAY()&lt;=ReminderLeadDays),"Upcoming","OK")))))))</f>
        <v>0</v>
      </c>
    </row>
    <row r="156" spans="1:52">
      <c r="A156" s="46">
        <f>IF(C156="","",BookingPrefix&amp;TEXT(ROW()-4,"0000"))</f>
        <v>0</v>
      </c>
      <c r="D156" s="28">
        <f>IF(C156="","",IFERROR(INDEX(Clients!$A$5:$A$254,MATCH(C156,Clients!$B$5:$B$254,0)),""))</f>
        <v>0</v>
      </c>
      <c r="J156" s="50">
        <f>IF(I156="","",TEXT(I156,"ddd"))</f>
        <v>0</v>
      </c>
      <c r="M156" s="51">
        <f>IF(OR(K156="",L156=""),"",ROUND((L156-K156+IF(L156&lt;K156,1,0))*24,2))</f>
        <v>0</v>
      </c>
      <c r="O156" s="28">
        <f>IF(H156="","",IFERROR(INDEX(Services!$E$5:$E$54,MATCH(H156,Services!$B$5:$B$54,0)),""))</f>
        <v>0</v>
      </c>
      <c r="P156" s="29">
        <f>IF(H156="","",IFERROR(INDEX(Services!$G$5:$G$54,MATCH(H156,Services!$B$5:$B$54,0)),0))</f>
        <v>0</v>
      </c>
      <c r="Q156" s="29">
        <f>IF(H156="","",IF(IFERROR(INDEX(Services!$H$5:$H$54,MATCH(H156,Services!$B$5:$B$54,0)),0)=0,ExtraPetFeeDefault,IFERROR(INDEX(Services!$H$5:$H$54,MATCH(H156,Services!$B$5:$B$54,0)),0)))</f>
        <v>0</v>
      </c>
      <c r="R156" s="30">
        <f>IF(H156="","",IF(IFERROR(INDEX(Services!$I$5:$I$54,MATCH(H156,Services!$B$5:$B$54,0)),0)=0,HolidaySurcharge,IFERROR(INDEX(Services!$I$5:$I$54,MATCH(H156,Services!$B$5:$B$54,0)),0)))</f>
        <v>0</v>
      </c>
      <c r="S156" s="30">
        <f>IF(H156="","",IF(IFERROR(INDEX(Services!$J$5:$J$54,MATCH(H156,Services!$B$5:$B$54,0)),0)=0,WeekendSurcharge,IFERROR(INDEX(Services!$J$5:$J$54,MATCH(H156,Services!$B$5:$B$54,0)),0)))</f>
        <v>0</v>
      </c>
      <c r="T156" s="50">
        <f>IF(H156="","",IFERROR(INDEX(Services!$K$5:$K$54,MATCH(H156,Services!$B$5:$B$54,0)),"No"))</f>
        <v>0</v>
      </c>
      <c r="U156" s="29">
        <f>IF(H156="","",ROUND(IF(O156="Per hour",P156*IF(M156="",IF(N156="",1,N156),M156),P156*IF(N156="",1,N156)),2))</f>
        <v>0</v>
      </c>
      <c r="V156" s="29">
        <f>IF(H156="","",ROUND(MAX(0,IF(G156="",1,G156)-1)*Q156,2))</f>
        <v>0</v>
      </c>
      <c r="W156" s="50">
        <f>IF(I156="","",IF(COUNTIF(HolidayDates,I156)&gt;0,"Yes","No"))</f>
        <v>0</v>
      </c>
      <c r="X156" s="50">
        <f>IF(I156="","",IF(WEEKDAY(I156,2)&gt;5,"Yes","No"))</f>
        <v>0</v>
      </c>
      <c r="Y156" s="29">
        <f>IF(H156="","",ROUND((U156+V156)*(IF(W156="Yes",R156,0)+IF(X156="Yes",S156,0)),2))</f>
        <v>0</v>
      </c>
      <c r="AA156" s="29">
        <f>IF(H156="","",IF(T156&lt;&gt;"Yes",0,ROUND(MAX(0,IF(Z156="",0,Z156)-FreeTravelDistance)*TravelFeeRate,2)))</f>
        <v>0</v>
      </c>
      <c r="AB156" s="31">
        <f>IF(I156="","",TravelTimeMins)</f>
        <v>0</v>
      </c>
      <c r="AC156" s="29">
        <f>IF(OR(I156="",B156=""),0,IF(I156-B156&lt;=LastMinuteDays,EmergencyFee,0))</f>
        <v>0</v>
      </c>
      <c r="AF156" s="29">
        <f>IF(H156="","",ROUND((U156+V156+Y156+AA156+AC156)*IF(AE156="",0,AE156),2))</f>
        <v>0</v>
      </c>
      <c r="AI156" s="29">
        <f>IF(H156="","",IF(AG156&lt;&gt;"",AG156,ROUND(U156+V156+Y156+AA156+AC156-AF156,2)))</f>
        <v>0</v>
      </c>
      <c r="AJ156" s="29">
        <f>IF(AI156="","",IF(TaxRegistered&lt;&gt;"Yes",0,IF(PricesIncludeTax="Yes",ROUND(AI156-AI156/(1+TaxRate),2),ROUND(AI156*TaxRate,2))))</f>
        <v>0</v>
      </c>
      <c r="AK156" s="29">
        <f>IF(AI156="","",IF(PricesIncludeTax="Yes",AI156,ROUND(AI156+AJ156,2)))</f>
        <v>0</v>
      </c>
      <c r="AQ156" s="21">
        <f>IF(OR(I156="",AP156="",AP156="None"),"",IF(AP156="Monthly",EDATE(I156,1),I156+IF(AP156="Daily",1,IF(AP156="Weekdays",IF(WEEKDAY(I156,2)&gt;=5,8-WEEKDAY(I156,2),1),IF(AP156="Weekly",7,IF(AP156="Fortnightly",14,0))))))</f>
        <v>0</v>
      </c>
      <c r="AR156" s="49">
        <f>IF(OR(I156="",AL156="",K156="",L156=""),"",IF(SUMPRODUCT((Bookings!$AL$5:$AL$404=AL156)*(Bookings!$I$5:$I$404=I156)*(Bookings!$K$5:$K$404&lt;L156)*(Bookings!$L$5:$L$404&gt;K156)*(Bookings!$AM$5:$AM$404&lt;&gt;"Cancelled"))&gt;1,"Conflict - double booked","OK"))</f>
        <v>0</v>
      </c>
      <c r="AS156" s="50">
        <f>IF(A156="","",IF(COUNTIF('Visit Log'!$B$5:$B$404,A156)&gt;0,"Yes","No"))</f>
        <v>0</v>
      </c>
      <c r="AT156" s="28">
        <f>IF(A156="","",IFERROR(INDEX(Invoices!$A$5:$A$304,MATCH(A156,Invoices!$E$5:$E$304,0)),""))</f>
        <v>0</v>
      </c>
      <c r="AU156" s="49">
        <f>IF(A156="","",IF(AT156="","Not invoiced",IFERROR(INDEX(Invoices!$U$5:$U$304,MATCH(AT156,Invoices!$A$5:$A$304,0)),"")))</f>
        <v>0</v>
      </c>
      <c r="AY156" s="28">
        <f>IF(I156="","",TEXT(I156,"yyyy-mm"))</f>
        <v>0</v>
      </c>
      <c r="AZ156" s="49">
        <f>IF(I156="","",IF(AM156="Cancelled","Cancelled",IF(AND(I156&lt;TODAY(),OR(AM156="Pending",AM156="Confirmed",AM156="Enquiry")),"Overdue - update status",IF(AND(AM156="Completed",AS156="No"),"Action - log the visit",IF(I156=TODAY(),"Today",IF(AND(I156&gt;TODAY(),I156-TODAY()&lt;=ReminderLeadDays,AN156&lt;&gt;"Yes"),"Action - unconfirmed",IF(AND(I156&gt;TODAY(),I156-TODAY()&lt;=ReminderLeadDays),"Upcoming","OK")))))))</f>
        <v>0</v>
      </c>
    </row>
    <row r="157" spans="1:52">
      <c r="A157" s="46">
        <f>IF(C157="","",BookingPrefix&amp;TEXT(ROW()-4,"0000"))</f>
        <v>0</v>
      </c>
      <c r="D157" s="28">
        <f>IF(C157="","",IFERROR(INDEX(Clients!$A$5:$A$254,MATCH(C157,Clients!$B$5:$B$254,0)),""))</f>
        <v>0</v>
      </c>
      <c r="J157" s="50">
        <f>IF(I157="","",TEXT(I157,"ddd"))</f>
        <v>0</v>
      </c>
      <c r="M157" s="51">
        <f>IF(OR(K157="",L157=""),"",ROUND((L157-K157+IF(L157&lt;K157,1,0))*24,2))</f>
        <v>0</v>
      </c>
      <c r="O157" s="28">
        <f>IF(H157="","",IFERROR(INDEX(Services!$E$5:$E$54,MATCH(H157,Services!$B$5:$B$54,0)),""))</f>
        <v>0</v>
      </c>
      <c r="P157" s="29">
        <f>IF(H157="","",IFERROR(INDEX(Services!$G$5:$G$54,MATCH(H157,Services!$B$5:$B$54,0)),0))</f>
        <v>0</v>
      </c>
      <c r="Q157" s="29">
        <f>IF(H157="","",IF(IFERROR(INDEX(Services!$H$5:$H$54,MATCH(H157,Services!$B$5:$B$54,0)),0)=0,ExtraPetFeeDefault,IFERROR(INDEX(Services!$H$5:$H$54,MATCH(H157,Services!$B$5:$B$54,0)),0)))</f>
        <v>0</v>
      </c>
      <c r="R157" s="30">
        <f>IF(H157="","",IF(IFERROR(INDEX(Services!$I$5:$I$54,MATCH(H157,Services!$B$5:$B$54,0)),0)=0,HolidaySurcharge,IFERROR(INDEX(Services!$I$5:$I$54,MATCH(H157,Services!$B$5:$B$54,0)),0)))</f>
        <v>0</v>
      </c>
      <c r="S157" s="30">
        <f>IF(H157="","",IF(IFERROR(INDEX(Services!$J$5:$J$54,MATCH(H157,Services!$B$5:$B$54,0)),0)=0,WeekendSurcharge,IFERROR(INDEX(Services!$J$5:$J$54,MATCH(H157,Services!$B$5:$B$54,0)),0)))</f>
        <v>0</v>
      </c>
      <c r="T157" s="50">
        <f>IF(H157="","",IFERROR(INDEX(Services!$K$5:$K$54,MATCH(H157,Services!$B$5:$B$54,0)),"No"))</f>
        <v>0</v>
      </c>
      <c r="U157" s="29">
        <f>IF(H157="","",ROUND(IF(O157="Per hour",P157*IF(M157="",IF(N157="",1,N157),M157),P157*IF(N157="",1,N157)),2))</f>
        <v>0</v>
      </c>
      <c r="V157" s="29">
        <f>IF(H157="","",ROUND(MAX(0,IF(G157="",1,G157)-1)*Q157,2))</f>
        <v>0</v>
      </c>
      <c r="W157" s="50">
        <f>IF(I157="","",IF(COUNTIF(HolidayDates,I157)&gt;0,"Yes","No"))</f>
        <v>0</v>
      </c>
      <c r="X157" s="50">
        <f>IF(I157="","",IF(WEEKDAY(I157,2)&gt;5,"Yes","No"))</f>
        <v>0</v>
      </c>
      <c r="Y157" s="29">
        <f>IF(H157="","",ROUND((U157+V157)*(IF(W157="Yes",R157,0)+IF(X157="Yes",S157,0)),2))</f>
        <v>0</v>
      </c>
      <c r="AA157" s="29">
        <f>IF(H157="","",IF(T157&lt;&gt;"Yes",0,ROUND(MAX(0,IF(Z157="",0,Z157)-FreeTravelDistance)*TravelFeeRate,2)))</f>
        <v>0</v>
      </c>
      <c r="AB157" s="31">
        <f>IF(I157="","",TravelTimeMins)</f>
        <v>0</v>
      </c>
      <c r="AC157" s="29">
        <f>IF(OR(I157="",B157=""),0,IF(I157-B157&lt;=LastMinuteDays,EmergencyFee,0))</f>
        <v>0</v>
      </c>
      <c r="AF157" s="29">
        <f>IF(H157="","",ROUND((U157+V157+Y157+AA157+AC157)*IF(AE157="",0,AE157),2))</f>
        <v>0</v>
      </c>
      <c r="AI157" s="29">
        <f>IF(H157="","",IF(AG157&lt;&gt;"",AG157,ROUND(U157+V157+Y157+AA157+AC157-AF157,2)))</f>
        <v>0</v>
      </c>
      <c r="AJ157" s="29">
        <f>IF(AI157="","",IF(TaxRegistered&lt;&gt;"Yes",0,IF(PricesIncludeTax="Yes",ROUND(AI157-AI157/(1+TaxRate),2),ROUND(AI157*TaxRate,2))))</f>
        <v>0</v>
      </c>
      <c r="AK157" s="29">
        <f>IF(AI157="","",IF(PricesIncludeTax="Yes",AI157,ROUND(AI157+AJ157,2)))</f>
        <v>0</v>
      </c>
      <c r="AQ157" s="21">
        <f>IF(OR(I157="",AP157="",AP157="None"),"",IF(AP157="Monthly",EDATE(I157,1),I157+IF(AP157="Daily",1,IF(AP157="Weekdays",IF(WEEKDAY(I157,2)&gt;=5,8-WEEKDAY(I157,2),1),IF(AP157="Weekly",7,IF(AP157="Fortnightly",14,0))))))</f>
        <v>0</v>
      </c>
      <c r="AR157" s="49">
        <f>IF(OR(I157="",AL157="",K157="",L157=""),"",IF(SUMPRODUCT((Bookings!$AL$5:$AL$404=AL157)*(Bookings!$I$5:$I$404=I157)*(Bookings!$K$5:$K$404&lt;L157)*(Bookings!$L$5:$L$404&gt;K157)*(Bookings!$AM$5:$AM$404&lt;&gt;"Cancelled"))&gt;1,"Conflict - double booked","OK"))</f>
        <v>0</v>
      </c>
      <c r="AS157" s="50">
        <f>IF(A157="","",IF(COUNTIF('Visit Log'!$B$5:$B$404,A157)&gt;0,"Yes","No"))</f>
        <v>0</v>
      </c>
      <c r="AT157" s="28">
        <f>IF(A157="","",IFERROR(INDEX(Invoices!$A$5:$A$304,MATCH(A157,Invoices!$E$5:$E$304,0)),""))</f>
        <v>0</v>
      </c>
      <c r="AU157" s="49">
        <f>IF(A157="","",IF(AT157="","Not invoiced",IFERROR(INDEX(Invoices!$U$5:$U$304,MATCH(AT157,Invoices!$A$5:$A$304,0)),"")))</f>
        <v>0</v>
      </c>
      <c r="AY157" s="28">
        <f>IF(I157="","",TEXT(I157,"yyyy-mm"))</f>
        <v>0</v>
      </c>
      <c r="AZ157" s="49">
        <f>IF(I157="","",IF(AM157="Cancelled","Cancelled",IF(AND(I157&lt;TODAY(),OR(AM157="Pending",AM157="Confirmed",AM157="Enquiry")),"Overdue - update status",IF(AND(AM157="Completed",AS157="No"),"Action - log the visit",IF(I157=TODAY(),"Today",IF(AND(I157&gt;TODAY(),I157-TODAY()&lt;=ReminderLeadDays,AN157&lt;&gt;"Yes"),"Action - unconfirmed",IF(AND(I157&gt;TODAY(),I157-TODAY()&lt;=ReminderLeadDays),"Upcoming","OK")))))))</f>
        <v>0</v>
      </c>
    </row>
    <row r="158" spans="1:52">
      <c r="A158" s="46">
        <f>IF(C158="","",BookingPrefix&amp;TEXT(ROW()-4,"0000"))</f>
        <v>0</v>
      </c>
      <c r="D158" s="28">
        <f>IF(C158="","",IFERROR(INDEX(Clients!$A$5:$A$254,MATCH(C158,Clients!$B$5:$B$254,0)),""))</f>
        <v>0</v>
      </c>
      <c r="J158" s="50">
        <f>IF(I158="","",TEXT(I158,"ddd"))</f>
        <v>0</v>
      </c>
      <c r="M158" s="51">
        <f>IF(OR(K158="",L158=""),"",ROUND((L158-K158+IF(L158&lt;K158,1,0))*24,2))</f>
        <v>0</v>
      </c>
      <c r="O158" s="28">
        <f>IF(H158="","",IFERROR(INDEX(Services!$E$5:$E$54,MATCH(H158,Services!$B$5:$B$54,0)),""))</f>
        <v>0</v>
      </c>
      <c r="P158" s="29">
        <f>IF(H158="","",IFERROR(INDEX(Services!$G$5:$G$54,MATCH(H158,Services!$B$5:$B$54,0)),0))</f>
        <v>0</v>
      </c>
      <c r="Q158" s="29">
        <f>IF(H158="","",IF(IFERROR(INDEX(Services!$H$5:$H$54,MATCH(H158,Services!$B$5:$B$54,0)),0)=0,ExtraPetFeeDefault,IFERROR(INDEX(Services!$H$5:$H$54,MATCH(H158,Services!$B$5:$B$54,0)),0)))</f>
        <v>0</v>
      </c>
      <c r="R158" s="30">
        <f>IF(H158="","",IF(IFERROR(INDEX(Services!$I$5:$I$54,MATCH(H158,Services!$B$5:$B$54,0)),0)=0,HolidaySurcharge,IFERROR(INDEX(Services!$I$5:$I$54,MATCH(H158,Services!$B$5:$B$54,0)),0)))</f>
        <v>0</v>
      </c>
      <c r="S158" s="30">
        <f>IF(H158="","",IF(IFERROR(INDEX(Services!$J$5:$J$54,MATCH(H158,Services!$B$5:$B$54,0)),0)=0,WeekendSurcharge,IFERROR(INDEX(Services!$J$5:$J$54,MATCH(H158,Services!$B$5:$B$54,0)),0)))</f>
        <v>0</v>
      </c>
      <c r="T158" s="50">
        <f>IF(H158="","",IFERROR(INDEX(Services!$K$5:$K$54,MATCH(H158,Services!$B$5:$B$54,0)),"No"))</f>
        <v>0</v>
      </c>
      <c r="U158" s="29">
        <f>IF(H158="","",ROUND(IF(O158="Per hour",P158*IF(M158="",IF(N158="",1,N158),M158),P158*IF(N158="",1,N158)),2))</f>
        <v>0</v>
      </c>
      <c r="V158" s="29">
        <f>IF(H158="","",ROUND(MAX(0,IF(G158="",1,G158)-1)*Q158,2))</f>
        <v>0</v>
      </c>
      <c r="W158" s="50">
        <f>IF(I158="","",IF(COUNTIF(HolidayDates,I158)&gt;0,"Yes","No"))</f>
        <v>0</v>
      </c>
      <c r="X158" s="50">
        <f>IF(I158="","",IF(WEEKDAY(I158,2)&gt;5,"Yes","No"))</f>
        <v>0</v>
      </c>
      <c r="Y158" s="29">
        <f>IF(H158="","",ROUND((U158+V158)*(IF(W158="Yes",R158,0)+IF(X158="Yes",S158,0)),2))</f>
        <v>0</v>
      </c>
      <c r="AA158" s="29">
        <f>IF(H158="","",IF(T158&lt;&gt;"Yes",0,ROUND(MAX(0,IF(Z158="",0,Z158)-FreeTravelDistance)*TravelFeeRate,2)))</f>
        <v>0</v>
      </c>
      <c r="AB158" s="31">
        <f>IF(I158="","",TravelTimeMins)</f>
        <v>0</v>
      </c>
      <c r="AC158" s="29">
        <f>IF(OR(I158="",B158=""),0,IF(I158-B158&lt;=LastMinuteDays,EmergencyFee,0))</f>
        <v>0</v>
      </c>
      <c r="AF158" s="29">
        <f>IF(H158="","",ROUND((U158+V158+Y158+AA158+AC158)*IF(AE158="",0,AE158),2))</f>
        <v>0</v>
      </c>
      <c r="AI158" s="29">
        <f>IF(H158="","",IF(AG158&lt;&gt;"",AG158,ROUND(U158+V158+Y158+AA158+AC158-AF158,2)))</f>
        <v>0</v>
      </c>
      <c r="AJ158" s="29">
        <f>IF(AI158="","",IF(TaxRegistered&lt;&gt;"Yes",0,IF(PricesIncludeTax="Yes",ROUND(AI158-AI158/(1+TaxRate),2),ROUND(AI158*TaxRate,2))))</f>
        <v>0</v>
      </c>
      <c r="AK158" s="29">
        <f>IF(AI158="","",IF(PricesIncludeTax="Yes",AI158,ROUND(AI158+AJ158,2)))</f>
        <v>0</v>
      </c>
      <c r="AQ158" s="21">
        <f>IF(OR(I158="",AP158="",AP158="None"),"",IF(AP158="Monthly",EDATE(I158,1),I158+IF(AP158="Daily",1,IF(AP158="Weekdays",IF(WEEKDAY(I158,2)&gt;=5,8-WEEKDAY(I158,2),1),IF(AP158="Weekly",7,IF(AP158="Fortnightly",14,0))))))</f>
        <v>0</v>
      </c>
      <c r="AR158" s="49">
        <f>IF(OR(I158="",AL158="",K158="",L158=""),"",IF(SUMPRODUCT((Bookings!$AL$5:$AL$404=AL158)*(Bookings!$I$5:$I$404=I158)*(Bookings!$K$5:$K$404&lt;L158)*(Bookings!$L$5:$L$404&gt;K158)*(Bookings!$AM$5:$AM$404&lt;&gt;"Cancelled"))&gt;1,"Conflict - double booked","OK"))</f>
        <v>0</v>
      </c>
      <c r="AS158" s="50">
        <f>IF(A158="","",IF(COUNTIF('Visit Log'!$B$5:$B$404,A158)&gt;0,"Yes","No"))</f>
        <v>0</v>
      </c>
      <c r="AT158" s="28">
        <f>IF(A158="","",IFERROR(INDEX(Invoices!$A$5:$A$304,MATCH(A158,Invoices!$E$5:$E$304,0)),""))</f>
        <v>0</v>
      </c>
      <c r="AU158" s="49">
        <f>IF(A158="","",IF(AT158="","Not invoiced",IFERROR(INDEX(Invoices!$U$5:$U$304,MATCH(AT158,Invoices!$A$5:$A$304,0)),"")))</f>
        <v>0</v>
      </c>
      <c r="AY158" s="28">
        <f>IF(I158="","",TEXT(I158,"yyyy-mm"))</f>
        <v>0</v>
      </c>
      <c r="AZ158" s="49">
        <f>IF(I158="","",IF(AM158="Cancelled","Cancelled",IF(AND(I158&lt;TODAY(),OR(AM158="Pending",AM158="Confirmed",AM158="Enquiry")),"Overdue - update status",IF(AND(AM158="Completed",AS158="No"),"Action - log the visit",IF(I158=TODAY(),"Today",IF(AND(I158&gt;TODAY(),I158-TODAY()&lt;=ReminderLeadDays,AN158&lt;&gt;"Yes"),"Action - unconfirmed",IF(AND(I158&gt;TODAY(),I158-TODAY()&lt;=ReminderLeadDays),"Upcoming","OK")))))))</f>
        <v>0</v>
      </c>
    </row>
    <row r="159" spans="1:52">
      <c r="A159" s="46">
        <f>IF(C159="","",BookingPrefix&amp;TEXT(ROW()-4,"0000"))</f>
        <v>0</v>
      </c>
      <c r="D159" s="28">
        <f>IF(C159="","",IFERROR(INDEX(Clients!$A$5:$A$254,MATCH(C159,Clients!$B$5:$B$254,0)),""))</f>
        <v>0</v>
      </c>
      <c r="J159" s="50">
        <f>IF(I159="","",TEXT(I159,"ddd"))</f>
        <v>0</v>
      </c>
      <c r="M159" s="51">
        <f>IF(OR(K159="",L159=""),"",ROUND((L159-K159+IF(L159&lt;K159,1,0))*24,2))</f>
        <v>0</v>
      </c>
      <c r="O159" s="28">
        <f>IF(H159="","",IFERROR(INDEX(Services!$E$5:$E$54,MATCH(H159,Services!$B$5:$B$54,0)),""))</f>
        <v>0</v>
      </c>
      <c r="P159" s="29">
        <f>IF(H159="","",IFERROR(INDEX(Services!$G$5:$G$54,MATCH(H159,Services!$B$5:$B$54,0)),0))</f>
        <v>0</v>
      </c>
      <c r="Q159" s="29">
        <f>IF(H159="","",IF(IFERROR(INDEX(Services!$H$5:$H$54,MATCH(H159,Services!$B$5:$B$54,0)),0)=0,ExtraPetFeeDefault,IFERROR(INDEX(Services!$H$5:$H$54,MATCH(H159,Services!$B$5:$B$54,0)),0)))</f>
        <v>0</v>
      </c>
      <c r="R159" s="30">
        <f>IF(H159="","",IF(IFERROR(INDEX(Services!$I$5:$I$54,MATCH(H159,Services!$B$5:$B$54,0)),0)=0,HolidaySurcharge,IFERROR(INDEX(Services!$I$5:$I$54,MATCH(H159,Services!$B$5:$B$54,0)),0)))</f>
        <v>0</v>
      </c>
      <c r="S159" s="30">
        <f>IF(H159="","",IF(IFERROR(INDEX(Services!$J$5:$J$54,MATCH(H159,Services!$B$5:$B$54,0)),0)=0,WeekendSurcharge,IFERROR(INDEX(Services!$J$5:$J$54,MATCH(H159,Services!$B$5:$B$54,0)),0)))</f>
        <v>0</v>
      </c>
      <c r="T159" s="50">
        <f>IF(H159="","",IFERROR(INDEX(Services!$K$5:$K$54,MATCH(H159,Services!$B$5:$B$54,0)),"No"))</f>
        <v>0</v>
      </c>
      <c r="U159" s="29">
        <f>IF(H159="","",ROUND(IF(O159="Per hour",P159*IF(M159="",IF(N159="",1,N159),M159),P159*IF(N159="",1,N159)),2))</f>
        <v>0</v>
      </c>
      <c r="V159" s="29">
        <f>IF(H159="","",ROUND(MAX(0,IF(G159="",1,G159)-1)*Q159,2))</f>
        <v>0</v>
      </c>
      <c r="W159" s="50">
        <f>IF(I159="","",IF(COUNTIF(HolidayDates,I159)&gt;0,"Yes","No"))</f>
        <v>0</v>
      </c>
      <c r="X159" s="50">
        <f>IF(I159="","",IF(WEEKDAY(I159,2)&gt;5,"Yes","No"))</f>
        <v>0</v>
      </c>
      <c r="Y159" s="29">
        <f>IF(H159="","",ROUND((U159+V159)*(IF(W159="Yes",R159,0)+IF(X159="Yes",S159,0)),2))</f>
        <v>0</v>
      </c>
      <c r="AA159" s="29">
        <f>IF(H159="","",IF(T159&lt;&gt;"Yes",0,ROUND(MAX(0,IF(Z159="",0,Z159)-FreeTravelDistance)*TravelFeeRate,2)))</f>
        <v>0</v>
      </c>
      <c r="AB159" s="31">
        <f>IF(I159="","",TravelTimeMins)</f>
        <v>0</v>
      </c>
      <c r="AC159" s="29">
        <f>IF(OR(I159="",B159=""),0,IF(I159-B159&lt;=LastMinuteDays,EmergencyFee,0))</f>
        <v>0</v>
      </c>
      <c r="AF159" s="29">
        <f>IF(H159="","",ROUND((U159+V159+Y159+AA159+AC159)*IF(AE159="",0,AE159),2))</f>
        <v>0</v>
      </c>
      <c r="AI159" s="29">
        <f>IF(H159="","",IF(AG159&lt;&gt;"",AG159,ROUND(U159+V159+Y159+AA159+AC159-AF159,2)))</f>
        <v>0</v>
      </c>
      <c r="AJ159" s="29">
        <f>IF(AI159="","",IF(TaxRegistered&lt;&gt;"Yes",0,IF(PricesIncludeTax="Yes",ROUND(AI159-AI159/(1+TaxRate),2),ROUND(AI159*TaxRate,2))))</f>
        <v>0</v>
      </c>
      <c r="AK159" s="29">
        <f>IF(AI159="","",IF(PricesIncludeTax="Yes",AI159,ROUND(AI159+AJ159,2)))</f>
        <v>0</v>
      </c>
      <c r="AQ159" s="21">
        <f>IF(OR(I159="",AP159="",AP159="None"),"",IF(AP159="Monthly",EDATE(I159,1),I159+IF(AP159="Daily",1,IF(AP159="Weekdays",IF(WEEKDAY(I159,2)&gt;=5,8-WEEKDAY(I159,2),1),IF(AP159="Weekly",7,IF(AP159="Fortnightly",14,0))))))</f>
        <v>0</v>
      </c>
      <c r="AR159" s="49">
        <f>IF(OR(I159="",AL159="",K159="",L159=""),"",IF(SUMPRODUCT((Bookings!$AL$5:$AL$404=AL159)*(Bookings!$I$5:$I$404=I159)*(Bookings!$K$5:$K$404&lt;L159)*(Bookings!$L$5:$L$404&gt;K159)*(Bookings!$AM$5:$AM$404&lt;&gt;"Cancelled"))&gt;1,"Conflict - double booked","OK"))</f>
        <v>0</v>
      </c>
      <c r="AS159" s="50">
        <f>IF(A159="","",IF(COUNTIF('Visit Log'!$B$5:$B$404,A159)&gt;0,"Yes","No"))</f>
        <v>0</v>
      </c>
      <c r="AT159" s="28">
        <f>IF(A159="","",IFERROR(INDEX(Invoices!$A$5:$A$304,MATCH(A159,Invoices!$E$5:$E$304,0)),""))</f>
        <v>0</v>
      </c>
      <c r="AU159" s="49">
        <f>IF(A159="","",IF(AT159="","Not invoiced",IFERROR(INDEX(Invoices!$U$5:$U$304,MATCH(AT159,Invoices!$A$5:$A$304,0)),"")))</f>
        <v>0</v>
      </c>
      <c r="AY159" s="28">
        <f>IF(I159="","",TEXT(I159,"yyyy-mm"))</f>
        <v>0</v>
      </c>
      <c r="AZ159" s="49">
        <f>IF(I159="","",IF(AM159="Cancelled","Cancelled",IF(AND(I159&lt;TODAY(),OR(AM159="Pending",AM159="Confirmed",AM159="Enquiry")),"Overdue - update status",IF(AND(AM159="Completed",AS159="No"),"Action - log the visit",IF(I159=TODAY(),"Today",IF(AND(I159&gt;TODAY(),I159-TODAY()&lt;=ReminderLeadDays,AN159&lt;&gt;"Yes"),"Action - unconfirmed",IF(AND(I159&gt;TODAY(),I159-TODAY()&lt;=ReminderLeadDays),"Upcoming","OK")))))))</f>
        <v>0</v>
      </c>
    </row>
    <row r="160" spans="1:52">
      <c r="A160" s="46">
        <f>IF(C160="","",BookingPrefix&amp;TEXT(ROW()-4,"0000"))</f>
        <v>0</v>
      </c>
      <c r="D160" s="28">
        <f>IF(C160="","",IFERROR(INDEX(Clients!$A$5:$A$254,MATCH(C160,Clients!$B$5:$B$254,0)),""))</f>
        <v>0</v>
      </c>
      <c r="J160" s="50">
        <f>IF(I160="","",TEXT(I160,"ddd"))</f>
        <v>0</v>
      </c>
      <c r="M160" s="51">
        <f>IF(OR(K160="",L160=""),"",ROUND((L160-K160+IF(L160&lt;K160,1,0))*24,2))</f>
        <v>0</v>
      </c>
      <c r="O160" s="28">
        <f>IF(H160="","",IFERROR(INDEX(Services!$E$5:$E$54,MATCH(H160,Services!$B$5:$B$54,0)),""))</f>
        <v>0</v>
      </c>
      <c r="P160" s="29">
        <f>IF(H160="","",IFERROR(INDEX(Services!$G$5:$G$54,MATCH(H160,Services!$B$5:$B$54,0)),0))</f>
        <v>0</v>
      </c>
      <c r="Q160" s="29">
        <f>IF(H160="","",IF(IFERROR(INDEX(Services!$H$5:$H$54,MATCH(H160,Services!$B$5:$B$54,0)),0)=0,ExtraPetFeeDefault,IFERROR(INDEX(Services!$H$5:$H$54,MATCH(H160,Services!$B$5:$B$54,0)),0)))</f>
        <v>0</v>
      </c>
      <c r="R160" s="30">
        <f>IF(H160="","",IF(IFERROR(INDEX(Services!$I$5:$I$54,MATCH(H160,Services!$B$5:$B$54,0)),0)=0,HolidaySurcharge,IFERROR(INDEX(Services!$I$5:$I$54,MATCH(H160,Services!$B$5:$B$54,0)),0)))</f>
        <v>0</v>
      </c>
      <c r="S160" s="30">
        <f>IF(H160="","",IF(IFERROR(INDEX(Services!$J$5:$J$54,MATCH(H160,Services!$B$5:$B$54,0)),0)=0,WeekendSurcharge,IFERROR(INDEX(Services!$J$5:$J$54,MATCH(H160,Services!$B$5:$B$54,0)),0)))</f>
        <v>0</v>
      </c>
      <c r="T160" s="50">
        <f>IF(H160="","",IFERROR(INDEX(Services!$K$5:$K$54,MATCH(H160,Services!$B$5:$B$54,0)),"No"))</f>
        <v>0</v>
      </c>
      <c r="U160" s="29">
        <f>IF(H160="","",ROUND(IF(O160="Per hour",P160*IF(M160="",IF(N160="",1,N160),M160),P160*IF(N160="",1,N160)),2))</f>
        <v>0</v>
      </c>
      <c r="V160" s="29">
        <f>IF(H160="","",ROUND(MAX(0,IF(G160="",1,G160)-1)*Q160,2))</f>
        <v>0</v>
      </c>
      <c r="W160" s="50">
        <f>IF(I160="","",IF(COUNTIF(HolidayDates,I160)&gt;0,"Yes","No"))</f>
        <v>0</v>
      </c>
      <c r="X160" s="50">
        <f>IF(I160="","",IF(WEEKDAY(I160,2)&gt;5,"Yes","No"))</f>
        <v>0</v>
      </c>
      <c r="Y160" s="29">
        <f>IF(H160="","",ROUND((U160+V160)*(IF(W160="Yes",R160,0)+IF(X160="Yes",S160,0)),2))</f>
        <v>0</v>
      </c>
      <c r="AA160" s="29">
        <f>IF(H160="","",IF(T160&lt;&gt;"Yes",0,ROUND(MAX(0,IF(Z160="",0,Z160)-FreeTravelDistance)*TravelFeeRate,2)))</f>
        <v>0</v>
      </c>
      <c r="AB160" s="31">
        <f>IF(I160="","",TravelTimeMins)</f>
        <v>0</v>
      </c>
      <c r="AC160" s="29">
        <f>IF(OR(I160="",B160=""),0,IF(I160-B160&lt;=LastMinuteDays,EmergencyFee,0))</f>
        <v>0</v>
      </c>
      <c r="AF160" s="29">
        <f>IF(H160="","",ROUND((U160+V160+Y160+AA160+AC160)*IF(AE160="",0,AE160),2))</f>
        <v>0</v>
      </c>
      <c r="AI160" s="29">
        <f>IF(H160="","",IF(AG160&lt;&gt;"",AG160,ROUND(U160+V160+Y160+AA160+AC160-AF160,2)))</f>
        <v>0</v>
      </c>
      <c r="AJ160" s="29">
        <f>IF(AI160="","",IF(TaxRegistered&lt;&gt;"Yes",0,IF(PricesIncludeTax="Yes",ROUND(AI160-AI160/(1+TaxRate),2),ROUND(AI160*TaxRate,2))))</f>
        <v>0</v>
      </c>
      <c r="AK160" s="29">
        <f>IF(AI160="","",IF(PricesIncludeTax="Yes",AI160,ROUND(AI160+AJ160,2)))</f>
        <v>0</v>
      </c>
      <c r="AQ160" s="21">
        <f>IF(OR(I160="",AP160="",AP160="None"),"",IF(AP160="Monthly",EDATE(I160,1),I160+IF(AP160="Daily",1,IF(AP160="Weekdays",IF(WEEKDAY(I160,2)&gt;=5,8-WEEKDAY(I160,2),1),IF(AP160="Weekly",7,IF(AP160="Fortnightly",14,0))))))</f>
        <v>0</v>
      </c>
      <c r="AR160" s="49">
        <f>IF(OR(I160="",AL160="",K160="",L160=""),"",IF(SUMPRODUCT((Bookings!$AL$5:$AL$404=AL160)*(Bookings!$I$5:$I$404=I160)*(Bookings!$K$5:$K$404&lt;L160)*(Bookings!$L$5:$L$404&gt;K160)*(Bookings!$AM$5:$AM$404&lt;&gt;"Cancelled"))&gt;1,"Conflict - double booked","OK"))</f>
        <v>0</v>
      </c>
      <c r="AS160" s="50">
        <f>IF(A160="","",IF(COUNTIF('Visit Log'!$B$5:$B$404,A160)&gt;0,"Yes","No"))</f>
        <v>0</v>
      </c>
      <c r="AT160" s="28">
        <f>IF(A160="","",IFERROR(INDEX(Invoices!$A$5:$A$304,MATCH(A160,Invoices!$E$5:$E$304,0)),""))</f>
        <v>0</v>
      </c>
      <c r="AU160" s="49">
        <f>IF(A160="","",IF(AT160="","Not invoiced",IFERROR(INDEX(Invoices!$U$5:$U$304,MATCH(AT160,Invoices!$A$5:$A$304,0)),"")))</f>
        <v>0</v>
      </c>
      <c r="AY160" s="28">
        <f>IF(I160="","",TEXT(I160,"yyyy-mm"))</f>
        <v>0</v>
      </c>
      <c r="AZ160" s="49">
        <f>IF(I160="","",IF(AM160="Cancelled","Cancelled",IF(AND(I160&lt;TODAY(),OR(AM160="Pending",AM160="Confirmed",AM160="Enquiry")),"Overdue - update status",IF(AND(AM160="Completed",AS160="No"),"Action - log the visit",IF(I160=TODAY(),"Today",IF(AND(I160&gt;TODAY(),I160-TODAY()&lt;=ReminderLeadDays,AN160&lt;&gt;"Yes"),"Action - unconfirmed",IF(AND(I160&gt;TODAY(),I160-TODAY()&lt;=ReminderLeadDays),"Upcoming","OK")))))))</f>
        <v>0</v>
      </c>
    </row>
    <row r="161" spans="1:52">
      <c r="A161" s="46">
        <f>IF(C161="","",BookingPrefix&amp;TEXT(ROW()-4,"0000"))</f>
        <v>0</v>
      </c>
      <c r="D161" s="28">
        <f>IF(C161="","",IFERROR(INDEX(Clients!$A$5:$A$254,MATCH(C161,Clients!$B$5:$B$254,0)),""))</f>
        <v>0</v>
      </c>
      <c r="J161" s="50">
        <f>IF(I161="","",TEXT(I161,"ddd"))</f>
        <v>0</v>
      </c>
      <c r="M161" s="51">
        <f>IF(OR(K161="",L161=""),"",ROUND((L161-K161+IF(L161&lt;K161,1,0))*24,2))</f>
        <v>0</v>
      </c>
      <c r="O161" s="28">
        <f>IF(H161="","",IFERROR(INDEX(Services!$E$5:$E$54,MATCH(H161,Services!$B$5:$B$54,0)),""))</f>
        <v>0</v>
      </c>
      <c r="P161" s="29">
        <f>IF(H161="","",IFERROR(INDEX(Services!$G$5:$G$54,MATCH(H161,Services!$B$5:$B$54,0)),0))</f>
        <v>0</v>
      </c>
      <c r="Q161" s="29">
        <f>IF(H161="","",IF(IFERROR(INDEX(Services!$H$5:$H$54,MATCH(H161,Services!$B$5:$B$54,0)),0)=0,ExtraPetFeeDefault,IFERROR(INDEX(Services!$H$5:$H$54,MATCH(H161,Services!$B$5:$B$54,0)),0)))</f>
        <v>0</v>
      </c>
      <c r="R161" s="30">
        <f>IF(H161="","",IF(IFERROR(INDEX(Services!$I$5:$I$54,MATCH(H161,Services!$B$5:$B$54,0)),0)=0,HolidaySurcharge,IFERROR(INDEX(Services!$I$5:$I$54,MATCH(H161,Services!$B$5:$B$54,0)),0)))</f>
        <v>0</v>
      </c>
      <c r="S161" s="30">
        <f>IF(H161="","",IF(IFERROR(INDEX(Services!$J$5:$J$54,MATCH(H161,Services!$B$5:$B$54,0)),0)=0,WeekendSurcharge,IFERROR(INDEX(Services!$J$5:$J$54,MATCH(H161,Services!$B$5:$B$54,0)),0)))</f>
        <v>0</v>
      </c>
      <c r="T161" s="50">
        <f>IF(H161="","",IFERROR(INDEX(Services!$K$5:$K$54,MATCH(H161,Services!$B$5:$B$54,0)),"No"))</f>
        <v>0</v>
      </c>
      <c r="U161" s="29">
        <f>IF(H161="","",ROUND(IF(O161="Per hour",P161*IF(M161="",IF(N161="",1,N161),M161),P161*IF(N161="",1,N161)),2))</f>
        <v>0</v>
      </c>
      <c r="V161" s="29">
        <f>IF(H161="","",ROUND(MAX(0,IF(G161="",1,G161)-1)*Q161,2))</f>
        <v>0</v>
      </c>
      <c r="W161" s="50">
        <f>IF(I161="","",IF(COUNTIF(HolidayDates,I161)&gt;0,"Yes","No"))</f>
        <v>0</v>
      </c>
      <c r="X161" s="50">
        <f>IF(I161="","",IF(WEEKDAY(I161,2)&gt;5,"Yes","No"))</f>
        <v>0</v>
      </c>
      <c r="Y161" s="29">
        <f>IF(H161="","",ROUND((U161+V161)*(IF(W161="Yes",R161,0)+IF(X161="Yes",S161,0)),2))</f>
        <v>0</v>
      </c>
      <c r="AA161" s="29">
        <f>IF(H161="","",IF(T161&lt;&gt;"Yes",0,ROUND(MAX(0,IF(Z161="",0,Z161)-FreeTravelDistance)*TravelFeeRate,2)))</f>
        <v>0</v>
      </c>
      <c r="AB161" s="31">
        <f>IF(I161="","",TravelTimeMins)</f>
        <v>0</v>
      </c>
      <c r="AC161" s="29">
        <f>IF(OR(I161="",B161=""),0,IF(I161-B161&lt;=LastMinuteDays,EmergencyFee,0))</f>
        <v>0</v>
      </c>
      <c r="AF161" s="29">
        <f>IF(H161="","",ROUND((U161+V161+Y161+AA161+AC161)*IF(AE161="",0,AE161),2))</f>
        <v>0</v>
      </c>
      <c r="AI161" s="29">
        <f>IF(H161="","",IF(AG161&lt;&gt;"",AG161,ROUND(U161+V161+Y161+AA161+AC161-AF161,2)))</f>
        <v>0</v>
      </c>
      <c r="AJ161" s="29">
        <f>IF(AI161="","",IF(TaxRegistered&lt;&gt;"Yes",0,IF(PricesIncludeTax="Yes",ROUND(AI161-AI161/(1+TaxRate),2),ROUND(AI161*TaxRate,2))))</f>
        <v>0</v>
      </c>
      <c r="AK161" s="29">
        <f>IF(AI161="","",IF(PricesIncludeTax="Yes",AI161,ROUND(AI161+AJ161,2)))</f>
        <v>0</v>
      </c>
      <c r="AQ161" s="21">
        <f>IF(OR(I161="",AP161="",AP161="None"),"",IF(AP161="Monthly",EDATE(I161,1),I161+IF(AP161="Daily",1,IF(AP161="Weekdays",IF(WEEKDAY(I161,2)&gt;=5,8-WEEKDAY(I161,2),1),IF(AP161="Weekly",7,IF(AP161="Fortnightly",14,0))))))</f>
        <v>0</v>
      </c>
      <c r="AR161" s="49">
        <f>IF(OR(I161="",AL161="",K161="",L161=""),"",IF(SUMPRODUCT((Bookings!$AL$5:$AL$404=AL161)*(Bookings!$I$5:$I$404=I161)*(Bookings!$K$5:$K$404&lt;L161)*(Bookings!$L$5:$L$404&gt;K161)*(Bookings!$AM$5:$AM$404&lt;&gt;"Cancelled"))&gt;1,"Conflict - double booked","OK"))</f>
        <v>0</v>
      </c>
      <c r="AS161" s="50">
        <f>IF(A161="","",IF(COUNTIF('Visit Log'!$B$5:$B$404,A161)&gt;0,"Yes","No"))</f>
        <v>0</v>
      </c>
      <c r="AT161" s="28">
        <f>IF(A161="","",IFERROR(INDEX(Invoices!$A$5:$A$304,MATCH(A161,Invoices!$E$5:$E$304,0)),""))</f>
        <v>0</v>
      </c>
      <c r="AU161" s="49">
        <f>IF(A161="","",IF(AT161="","Not invoiced",IFERROR(INDEX(Invoices!$U$5:$U$304,MATCH(AT161,Invoices!$A$5:$A$304,0)),"")))</f>
        <v>0</v>
      </c>
      <c r="AY161" s="28">
        <f>IF(I161="","",TEXT(I161,"yyyy-mm"))</f>
        <v>0</v>
      </c>
      <c r="AZ161" s="49">
        <f>IF(I161="","",IF(AM161="Cancelled","Cancelled",IF(AND(I161&lt;TODAY(),OR(AM161="Pending",AM161="Confirmed",AM161="Enquiry")),"Overdue - update status",IF(AND(AM161="Completed",AS161="No"),"Action - log the visit",IF(I161=TODAY(),"Today",IF(AND(I161&gt;TODAY(),I161-TODAY()&lt;=ReminderLeadDays,AN161&lt;&gt;"Yes"),"Action - unconfirmed",IF(AND(I161&gt;TODAY(),I161-TODAY()&lt;=ReminderLeadDays),"Upcoming","OK")))))))</f>
        <v>0</v>
      </c>
    </row>
    <row r="162" spans="1:52">
      <c r="A162" s="46">
        <f>IF(C162="","",BookingPrefix&amp;TEXT(ROW()-4,"0000"))</f>
        <v>0</v>
      </c>
      <c r="D162" s="28">
        <f>IF(C162="","",IFERROR(INDEX(Clients!$A$5:$A$254,MATCH(C162,Clients!$B$5:$B$254,0)),""))</f>
        <v>0</v>
      </c>
      <c r="J162" s="50">
        <f>IF(I162="","",TEXT(I162,"ddd"))</f>
        <v>0</v>
      </c>
      <c r="M162" s="51">
        <f>IF(OR(K162="",L162=""),"",ROUND((L162-K162+IF(L162&lt;K162,1,0))*24,2))</f>
        <v>0</v>
      </c>
      <c r="O162" s="28">
        <f>IF(H162="","",IFERROR(INDEX(Services!$E$5:$E$54,MATCH(H162,Services!$B$5:$B$54,0)),""))</f>
        <v>0</v>
      </c>
      <c r="P162" s="29">
        <f>IF(H162="","",IFERROR(INDEX(Services!$G$5:$G$54,MATCH(H162,Services!$B$5:$B$54,0)),0))</f>
        <v>0</v>
      </c>
      <c r="Q162" s="29">
        <f>IF(H162="","",IF(IFERROR(INDEX(Services!$H$5:$H$54,MATCH(H162,Services!$B$5:$B$54,0)),0)=0,ExtraPetFeeDefault,IFERROR(INDEX(Services!$H$5:$H$54,MATCH(H162,Services!$B$5:$B$54,0)),0)))</f>
        <v>0</v>
      </c>
      <c r="R162" s="30">
        <f>IF(H162="","",IF(IFERROR(INDEX(Services!$I$5:$I$54,MATCH(H162,Services!$B$5:$B$54,0)),0)=0,HolidaySurcharge,IFERROR(INDEX(Services!$I$5:$I$54,MATCH(H162,Services!$B$5:$B$54,0)),0)))</f>
        <v>0</v>
      </c>
      <c r="S162" s="30">
        <f>IF(H162="","",IF(IFERROR(INDEX(Services!$J$5:$J$54,MATCH(H162,Services!$B$5:$B$54,0)),0)=0,WeekendSurcharge,IFERROR(INDEX(Services!$J$5:$J$54,MATCH(H162,Services!$B$5:$B$54,0)),0)))</f>
        <v>0</v>
      </c>
      <c r="T162" s="50">
        <f>IF(H162="","",IFERROR(INDEX(Services!$K$5:$K$54,MATCH(H162,Services!$B$5:$B$54,0)),"No"))</f>
        <v>0</v>
      </c>
      <c r="U162" s="29">
        <f>IF(H162="","",ROUND(IF(O162="Per hour",P162*IF(M162="",IF(N162="",1,N162),M162),P162*IF(N162="",1,N162)),2))</f>
        <v>0</v>
      </c>
      <c r="V162" s="29">
        <f>IF(H162="","",ROUND(MAX(0,IF(G162="",1,G162)-1)*Q162,2))</f>
        <v>0</v>
      </c>
      <c r="W162" s="50">
        <f>IF(I162="","",IF(COUNTIF(HolidayDates,I162)&gt;0,"Yes","No"))</f>
        <v>0</v>
      </c>
      <c r="X162" s="50">
        <f>IF(I162="","",IF(WEEKDAY(I162,2)&gt;5,"Yes","No"))</f>
        <v>0</v>
      </c>
      <c r="Y162" s="29">
        <f>IF(H162="","",ROUND((U162+V162)*(IF(W162="Yes",R162,0)+IF(X162="Yes",S162,0)),2))</f>
        <v>0</v>
      </c>
      <c r="AA162" s="29">
        <f>IF(H162="","",IF(T162&lt;&gt;"Yes",0,ROUND(MAX(0,IF(Z162="",0,Z162)-FreeTravelDistance)*TravelFeeRate,2)))</f>
        <v>0</v>
      </c>
      <c r="AB162" s="31">
        <f>IF(I162="","",TravelTimeMins)</f>
        <v>0</v>
      </c>
      <c r="AC162" s="29">
        <f>IF(OR(I162="",B162=""),0,IF(I162-B162&lt;=LastMinuteDays,EmergencyFee,0))</f>
        <v>0</v>
      </c>
      <c r="AF162" s="29">
        <f>IF(H162="","",ROUND((U162+V162+Y162+AA162+AC162)*IF(AE162="",0,AE162),2))</f>
        <v>0</v>
      </c>
      <c r="AI162" s="29">
        <f>IF(H162="","",IF(AG162&lt;&gt;"",AG162,ROUND(U162+V162+Y162+AA162+AC162-AF162,2)))</f>
        <v>0</v>
      </c>
      <c r="AJ162" s="29">
        <f>IF(AI162="","",IF(TaxRegistered&lt;&gt;"Yes",0,IF(PricesIncludeTax="Yes",ROUND(AI162-AI162/(1+TaxRate),2),ROUND(AI162*TaxRate,2))))</f>
        <v>0</v>
      </c>
      <c r="AK162" s="29">
        <f>IF(AI162="","",IF(PricesIncludeTax="Yes",AI162,ROUND(AI162+AJ162,2)))</f>
        <v>0</v>
      </c>
      <c r="AQ162" s="21">
        <f>IF(OR(I162="",AP162="",AP162="None"),"",IF(AP162="Monthly",EDATE(I162,1),I162+IF(AP162="Daily",1,IF(AP162="Weekdays",IF(WEEKDAY(I162,2)&gt;=5,8-WEEKDAY(I162,2),1),IF(AP162="Weekly",7,IF(AP162="Fortnightly",14,0))))))</f>
        <v>0</v>
      </c>
      <c r="AR162" s="49">
        <f>IF(OR(I162="",AL162="",K162="",L162=""),"",IF(SUMPRODUCT((Bookings!$AL$5:$AL$404=AL162)*(Bookings!$I$5:$I$404=I162)*(Bookings!$K$5:$K$404&lt;L162)*(Bookings!$L$5:$L$404&gt;K162)*(Bookings!$AM$5:$AM$404&lt;&gt;"Cancelled"))&gt;1,"Conflict - double booked","OK"))</f>
        <v>0</v>
      </c>
      <c r="AS162" s="50">
        <f>IF(A162="","",IF(COUNTIF('Visit Log'!$B$5:$B$404,A162)&gt;0,"Yes","No"))</f>
        <v>0</v>
      </c>
      <c r="AT162" s="28">
        <f>IF(A162="","",IFERROR(INDEX(Invoices!$A$5:$A$304,MATCH(A162,Invoices!$E$5:$E$304,0)),""))</f>
        <v>0</v>
      </c>
      <c r="AU162" s="49">
        <f>IF(A162="","",IF(AT162="","Not invoiced",IFERROR(INDEX(Invoices!$U$5:$U$304,MATCH(AT162,Invoices!$A$5:$A$304,0)),"")))</f>
        <v>0</v>
      </c>
      <c r="AY162" s="28">
        <f>IF(I162="","",TEXT(I162,"yyyy-mm"))</f>
        <v>0</v>
      </c>
      <c r="AZ162" s="49">
        <f>IF(I162="","",IF(AM162="Cancelled","Cancelled",IF(AND(I162&lt;TODAY(),OR(AM162="Pending",AM162="Confirmed",AM162="Enquiry")),"Overdue - update status",IF(AND(AM162="Completed",AS162="No"),"Action - log the visit",IF(I162=TODAY(),"Today",IF(AND(I162&gt;TODAY(),I162-TODAY()&lt;=ReminderLeadDays,AN162&lt;&gt;"Yes"),"Action - unconfirmed",IF(AND(I162&gt;TODAY(),I162-TODAY()&lt;=ReminderLeadDays),"Upcoming","OK")))))))</f>
        <v>0</v>
      </c>
    </row>
    <row r="163" spans="1:52">
      <c r="A163" s="46">
        <f>IF(C163="","",BookingPrefix&amp;TEXT(ROW()-4,"0000"))</f>
        <v>0</v>
      </c>
      <c r="D163" s="28">
        <f>IF(C163="","",IFERROR(INDEX(Clients!$A$5:$A$254,MATCH(C163,Clients!$B$5:$B$254,0)),""))</f>
        <v>0</v>
      </c>
      <c r="J163" s="50">
        <f>IF(I163="","",TEXT(I163,"ddd"))</f>
        <v>0</v>
      </c>
      <c r="M163" s="51">
        <f>IF(OR(K163="",L163=""),"",ROUND((L163-K163+IF(L163&lt;K163,1,0))*24,2))</f>
        <v>0</v>
      </c>
      <c r="O163" s="28">
        <f>IF(H163="","",IFERROR(INDEX(Services!$E$5:$E$54,MATCH(H163,Services!$B$5:$B$54,0)),""))</f>
        <v>0</v>
      </c>
      <c r="P163" s="29">
        <f>IF(H163="","",IFERROR(INDEX(Services!$G$5:$G$54,MATCH(H163,Services!$B$5:$B$54,0)),0))</f>
        <v>0</v>
      </c>
      <c r="Q163" s="29">
        <f>IF(H163="","",IF(IFERROR(INDEX(Services!$H$5:$H$54,MATCH(H163,Services!$B$5:$B$54,0)),0)=0,ExtraPetFeeDefault,IFERROR(INDEX(Services!$H$5:$H$54,MATCH(H163,Services!$B$5:$B$54,0)),0)))</f>
        <v>0</v>
      </c>
      <c r="R163" s="30">
        <f>IF(H163="","",IF(IFERROR(INDEX(Services!$I$5:$I$54,MATCH(H163,Services!$B$5:$B$54,0)),0)=0,HolidaySurcharge,IFERROR(INDEX(Services!$I$5:$I$54,MATCH(H163,Services!$B$5:$B$54,0)),0)))</f>
        <v>0</v>
      </c>
      <c r="S163" s="30">
        <f>IF(H163="","",IF(IFERROR(INDEX(Services!$J$5:$J$54,MATCH(H163,Services!$B$5:$B$54,0)),0)=0,WeekendSurcharge,IFERROR(INDEX(Services!$J$5:$J$54,MATCH(H163,Services!$B$5:$B$54,0)),0)))</f>
        <v>0</v>
      </c>
      <c r="T163" s="50">
        <f>IF(H163="","",IFERROR(INDEX(Services!$K$5:$K$54,MATCH(H163,Services!$B$5:$B$54,0)),"No"))</f>
        <v>0</v>
      </c>
      <c r="U163" s="29">
        <f>IF(H163="","",ROUND(IF(O163="Per hour",P163*IF(M163="",IF(N163="",1,N163),M163),P163*IF(N163="",1,N163)),2))</f>
        <v>0</v>
      </c>
      <c r="V163" s="29">
        <f>IF(H163="","",ROUND(MAX(0,IF(G163="",1,G163)-1)*Q163,2))</f>
        <v>0</v>
      </c>
      <c r="W163" s="50">
        <f>IF(I163="","",IF(COUNTIF(HolidayDates,I163)&gt;0,"Yes","No"))</f>
        <v>0</v>
      </c>
      <c r="X163" s="50">
        <f>IF(I163="","",IF(WEEKDAY(I163,2)&gt;5,"Yes","No"))</f>
        <v>0</v>
      </c>
      <c r="Y163" s="29">
        <f>IF(H163="","",ROUND((U163+V163)*(IF(W163="Yes",R163,0)+IF(X163="Yes",S163,0)),2))</f>
        <v>0</v>
      </c>
      <c r="AA163" s="29">
        <f>IF(H163="","",IF(T163&lt;&gt;"Yes",0,ROUND(MAX(0,IF(Z163="",0,Z163)-FreeTravelDistance)*TravelFeeRate,2)))</f>
        <v>0</v>
      </c>
      <c r="AB163" s="31">
        <f>IF(I163="","",TravelTimeMins)</f>
        <v>0</v>
      </c>
      <c r="AC163" s="29">
        <f>IF(OR(I163="",B163=""),0,IF(I163-B163&lt;=LastMinuteDays,EmergencyFee,0))</f>
        <v>0</v>
      </c>
      <c r="AF163" s="29">
        <f>IF(H163="","",ROUND((U163+V163+Y163+AA163+AC163)*IF(AE163="",0,AE163),2))</f>
        <v>0</v>
      </c>
      <c r="AI163" s="29">
        <f>IF(H163="","",IF(AG163&lt;&gt;"",AG163,ROUND(U163+V163+Y163+AA163+AC163-AF163,2)))</f>
        <v>0</v>
      </c>
      <c r="AJ163" s="29">
        <f>IF(AI163="","",IF(TaxRegistered&lt;&gt;"Yes",0,IF(PricesIncludeTax="Yes",ROUND(AI163-AI163/(1+TaxRate),2),ROUND(AI163*TaxRate,2))))</f>
        <v>0</v>
      </c>
      <c r="AK163" s="29">
        <f>IF(AI163="","",IF(PricesIncludeTax="Yes",AI163,ROUND(AI163+AJ163,2)))</f>
        <v>0</v>
      </c>
      <c r="AQ163" s="21">
        <f>IF(OR(I163="",AP163="",AP163="None"),"",IF(AP163="Monthly",EDATE(I163,1),I163+IF(AP163="Daily",1,IF(AP163="Weekdays",IF(WEEKDAY(I163,2)&gt;=5,8-WEEKDAY(I163,2),1),IF(AP163="Weekly",7,IF(AP163="Fortnightly",14,0))))))</f>
        <v>0</v>
      </c>
      <c r="AR163" s="49">
        <f>IF(OR(I163="",AL163="",K163="",L163=""),"",IF(SUMPRODUCT((Bookings!$AL$5:$AL$404=AL163)*(Bookings!$I$5:$I$404=I163)*(Bookings!$K$5:$K$404&lt;L163)*(Bookings!$L$5:$L$404&gt;K163)*(Bookings!$AM$5:$AM$404&lt;&gt;"Cancelled"))&gt;1,"Conflict - double booked","OK"))</f>
        <v>0</v>
      </c>
      <c r="AS163" s="50">
        <f>IF(A163="","",IF(COUNTIF('Visit Log'!$B$5:$B$404,A163)&gt;0,"Yes","No"))</f>
        <v>0</v>
      </c>
      <c r="AT163" s="28">
        <f>IF(A163="","",IFERROR(INDEX(Invoices!$A$5:$A$304,MATCH(A163,Invoices!$E$5:$E$304,0)),""))</f>
        <v>0</v>
      </c>
      <c r="AU163" s="49">
        <f>IF(A163="","",IF(AT163="","Not invoiced",IFERROR(INDEX(Invoices!$U$5:$U$304,MATCH(AT163,Invoices!$A$5:$A$304,0)),"")))</f>
        <v>0</v>
      </c>
      <c r="AY163" s="28">
        <f>IF(I163="","",TEXT(I163,"yyyy-mm"))</f>
        <v>0</v>
      </c>
      <c r="AZ163" s="49">
        <f>IF(I163="","",IF(AM163="Cancelled","Cancelled",IF(AND(I163&lt;TODAY(),OR(AM163="Pending",AM163="Confirmed",AM163="Enquiry")),"Overdue - update status",IF(AND(AM163="Completed",AS163="No"),"Action - log the visit",IF(I163=TODAY(),"Today",IF(AND(I163&gt;TODAY(),I163-TODAY()&lt;=ReminderLeadDays,AN163&lt;&gt;"Yes"),"Action - unconfirmed",IF(AND(I163&gt;TODAY(),I163-TODAY()&lt;=ReminderLeadDays),"Upcoming","OK")))))))</f>
        <v>0</v>
      </c>
    </row>
    <row r="164" spans="1:52">
      <c r="A164" s="46">
        <f>IF(C164="","",BookingPrefix&amp;TEXT(ROW()-4,"0000"))</f>
        <v>0</v>
      </c>
      <c r="D164" s="28">
        <f>IF(C164="","",IFERROR(INDEX(Clients!$A$5:$A$254,MATCH(C164,Clients!$B$5:$B$254,0)),""))</f>
        <v>0</v>
      </c>
      <c r="J164" s="50">
        <f>IF(I164="","",TEXT(I164,"ddd"))</f>
        <v>0</v>
      </c>
      <c r="M164" s="51">
        <f>IF(OR(K164="",L164=""),"",ROUND((L164-K164+IF(L164&lt;K164,1,0))*24,2))</f>
        <v>0</v>
      </c>
      <c r="O164" s="28">
        <f>IF(H164="","",IFERROR(INDEX(Services!$E$5:$E$54,MATCH(H164,Services!$B$5:$B$54,0)),""))</f>
        <v>0</v>
      </c>
      <c r="P164" s="29">
        <f>IF(H164="","",IFERROR(INDEX(Services!$G$5:$G$54,MATCH(H164,Services!$B$5:$B$54,0)),0))</f>
        <v>0</v>
      </c>
      <c r="Q164" s="29">
        <f>IF(H164="","",IF(IFERROR(INDEX(Services!$H$5:$H$54,MATCH(H164,Services!$B$5:$B$54,0)),0)=0,ExtraPetFeeDefault,IFERROR(INDEX(Services!$H$5:$H$54,MATCH(H164,Services!$B$5:$B$54,0)),0)))</f>
        <v>0</v>
      </c>
      <c r="R164" s="30">
        <f>IF(H164="","",IF(IFERROR(INDEX(Services!$I$5:$I$54,MATCH(H164,Services!$B$5:$B$54,0)),0)=0,HolidaySurcharge,IFERROR(INDEX(Services!$I$5:$I$54,MATCH(H164,Services!$B$5:$B$54,0)),0)))</f>
        <v>0</v>
      </c>
      <c r="S164" s="30">
        <f>IF(H164="","",IF(IFERROR(INDEX(Services!$J$5:$J$54,MATCH(H164,Services!$B$5:$B$54,0)),0)=0,WeekendSurcharge,IFERROR(INDEX(Services!$J$5:$J$54,MATCH(H164,Services!$B$5:$B$54,0)),0)))</f>
        <v>0</v>
      </c>
      <c r="T164" s="50">
        <f>IF(H164="","",IFERROR(INDEX(Services!$K$5:$K$54,MATCH(H164,Services!$B$5:$B$54,0)),"No"))</f>
        <v>0</v>
      </c>
      <c r="U164" s="29">
        <f>IF(H164="","",ROUND(IF(O164="Per hour",P164*IF(M164="",IF(N164="",1,N164),M164),P164*IF(N164="",1,N164)),2))</f>
        <v>0</v>
      </c>
      <c r="V164" s="29">
        <f>IF(H164="","",ROUND(MAX(0,IF(G164="",1,G164)-1)*Q164,2))</f>
        <v>0</v>
      </c>
      <c r="W164" s="50">
        <f>IF(I164="","",IF(COUNTIF(HolidayDates,I164)&gt;0,"Yes","No"))</f>
        <v>0</v>
      </c>
      <c r="X164" s="50">
        <f>IF(I164="","",IF(WEEKDAY(I164,2)&gt;5,"Yes","No"))</f>
        <v>0</v>
      </c>
      <c r="Y164" s="29">
        <f>IF(H164="","",ROUND((U164+V164)*(IF(W164="Yes",R164,0)+IF(X164="Yes",S164,0)),2))</f>
        <v>0</v>
      </c>
      <c r="AA164" s="29">
        <f>IF(H164="","",IF(T164&lt;&gt;"Yes",0,ROUND(MAX(0,IF(Z164="",0,Z164)-FreeTravelDistance)*TravelFeeRate,2)))</f>
        <v>0</v>
      </c>
      <c r="AB164" s="31">
        <f>IF(I164="","",TravelTimeMins)</f>
        <v>0</v>
      </c>
      <c r="AC164" s="29">
        <f>IF(OR(I164="",B164=""),0,IF(I164-B164&lt;=LastMinuteDays,EmergencyFee,0))</f>
        <v>0</v>
      </c>
      <c r="AF164" s="29">
        <f>IF(H164="","",ROUND((U164+V164+Y164+AA164+AC164)*IF(AE164="",0,AE164),2))</f>
        <v>0</v>
      </c>
      <c r="AI164" s="29">
        <f>IF(H164="","",IF(AG164&lt;&gt;"",AG164,ROUND(U164+V164+Y164+AA164+AC164-AF164,2)))</f>
        <v>0</v>
      </c>
      <c r="AJ164" s="29">
        <f>IF(AI164="","",IF(TaxRegistered&lt;&gt;"Yes",0,IF(PricesIncludeTax="Yes",ROUND(AI164-AI164/(1+TaxRate),2),ROUND(AI164*TaxRate,2))))</f>
        <v>0</v>
      </c>
      <c r="AK164" s="29">
        <f>IF(AI164="","",IF(PricesIncludeTax="Yes",AI164,ROUND(AI164+AJ164,2)))</f>
        <v>0</v>
      </c>
      <c r="AQ164" s="21">
        <f>IF(OR(I164="",AP164="",AP164="None"),"",IF(AP164="Monthly",EDATE(I164,1),I164+IF(AP164="Daily",1,IF(AP164="Weekdays",IF(WEEKDAY(I164,2)&gt;=5,8-WEEKDAY(I164,2),1),IF(AP164="Weekly",7,IF(AP164="Fortnightly",14,0))))))</f>
        <v>0</v>
      </c>
      <c r="AR164" s="49">
        <f>IF(OR(I164="",AL164="",K164="",L164=""),"",IF(SUMPRODUCT((Bookings!$AL$5:$AL$404=AL164)*(Bookings!$I$5:$I$404=I164)*(Bookings!$K$5:$K$404&lt;L164)*(Bookings!$L$5:$L$404&gt;K164)*(Bookings!$AM$5:$AM$404&lt;&gt;"Cancelled"))&gt;1,"Conflict - double booked","OK"))</f>
        <v>0</v>
      </c>
      <c r="AS164" s="50">
        <f>IF(A164="","",IF(COUNTIF('Visit Log'!$B$5:$B$404,A164)&gt;0,"Yes","No"))</f>
        <v>0</v>
      </c>
      <c r="AT164" s="28">
        <f>IF(A164="","",IFERROR(INDEX(Invoices!$A$5:$A$304,MATCH(A164,Invoices!$E$5:$E$304,0)),""))</f>
        <v>0</v>
      </c>
      <c r="AU164" s="49">
        <f>IF(A164="","",IF(AT164="","Not invoiced",IFERROR(INDEX(Invoices!$U$5:$U$304,MATCH(AT164,Invoices!$A$5:$A$304,0)),"")))</f>
        <v>0</v>
      </c>
      <c r="AY164" s="28">
        <f>IF(I164="","",TEXT(I164,"yyyy-mm"))</f>
        <v>0</v>
      </c>
      <c r="AZ164" s="49">
        <f>IF(I164="","",IF(AM164="Cancelled","Cancelled",IF(AND(I164&lt;TODAY(),OR(AM164="Pending",AM164="Confirmed",AM164="Enquiry")),"Overdue - update status",IF(AND(AM164="Completed",AS164="No"),"Action - log the visit",IF(I164=TODAY(),"Today",IF(AND(I164&gt;TODAY(),I164-TODAY()&lt;=ReminderLeadDays,AN164&lt;&gt;"Yes"),"Action - unconfirmed",IF(AND(I164&gt;TODAY(),I164-TODAY()&lt;=ReminderLeadDays),"Upcoming","OK")))))))</f>
        <v>0</v>
      </c>
    </row>
    <row r="165" spans="1:52">
      <c r="A165" s="46">
        <f>IF(C165="","",BookingPrefix&amp;TEXT(ROW()-4,"0000"))</f>
        <v>0</v>
      </c>
      <c r="D165" s="28">
        <f>IF(C165="","",IFERROR(INDEX(Clients!$A$5:$A$254,MATCH(C165,Clients!$B$5:$B$254,0)),""))</f>
        <v>0</v>
      </c>
      <c r="J165" s="50">
        <f>IF(I165="","",TEXT(I165,"ddd"))</f>
        <v>0</v>
      </c>
      <c r="M165" s="51">
        <f>IF(OR(K165="",L165=""),"",ROUND((L165-K165+IF(L165&lt;K165,1,0))*24,2))</f>
        <v>0</v>
      </c>
      <c r="O165" s="28">
        <f>IF(H165="","",IFERROR(INDEX(Services!$E$5:$E$54,MATCH(H165,Services!$B$5:$B$54,0)),""))</f>
        <v>0</v>
      </c>
      <c r="P165" s="29">
        <f>IF(H165="","",IFERROR(INDEX(Services!$G$5:$G$54,MATCH(H165,Services!$B$5:$B$54,0)),0))</f>
        <v>0</v>
      </c>
      <c r="Q165" s="29">
        <f>IF(H165="","",IF(IFERROR(INDEX(Services!$H$5:$H$54,MATCH(H165,Services!$B$5:$B$54,0)),0)=0,ExtraPetFeeDefault,IFERROR(INDEX(Services!$H$5:$H$54,MATCH(H165,Services!$B$5:$B$54,0)),0)))</f>
        <v>0</v>
      </c>
      <c r="R165" s="30">
        <f>IF(H165="","",IF(IFERROR(INDEX(Services!$I$5:$I$54,MATCH(H165,Services!$B$5:$B$54,0)),0)=0,HolidaySurcharge,IFERROR(INDEX(Services!$I$5:$I$54,MATCH(H165,Services!$B$5:$B$54,0)),0)))</f>
        <v>0</v>
      </c>
      <c r="S165" s="30">
        <f>IF(H165="","",IF(IFERROR(INDEX(Services!$J$5:$J$54,MATCH(H165,Services!$B$5:$B$54,0)),0)=0,WeekendSurcharge,IFERROR(INDEX(Services!$J$5:$J$54,MATCH(H165,Services!$B$5:$B$54,0)),0)))</f>
        <v>0</v>
      </c>
      <c r="T165" s="50">
        <f>IF(H165="","",IFERROR(INDEX(Services!$K$5:$K$54,MATCH(H165,Services!$B$5:$B$54,0)),"No"))</f>
        <v>0</v>
      </c>
      <c r="U165" s="29">
        <f>IF(H165="","",ROUND(IF(O165="Per hour",P165*IF(M165="",IF(N165="",1,N165),M165),P165*IF(N165="",1,N165)),2))</f>
        <v>0</v>
      </c>
      <c r="V165" s="29">
        <f>IF(H165="","",ROUND(MAX(0,IF(G165="",1,G165)-1)*Q165,2))</f>
        <v>0</v>
      </c>
      <c r="W165" s="50">
        <f>IF(I165="","",IF(COUNTIF(HolidayDates,I165)&gt;0,"Yes","No"))</f>
        <v>0</v>
      </c>
      <c r="X165" s="50">
        <f>IF(I165="","",IF(WEEKDAY(I165,2)&gt;5,"Yes","No"))</f>
        <v>0</v>
      </c>
      <c r="Y165" s="29">
        <f>IF(H165="","",ROUND((U165+V165)*(IF(W165="Yes",R165,0)+IF(X165="Yes",S165,0)),2))</f>
        <v>0</v>
      </c>
      <c r="AA165" s="29">
        <f>IF(H165="","",IF(T165&lt;&gt;"Yes",0,ROUND(MAX(0,IF(Z165="",0,Z165)-FreeTravelDistance)*TravelFeeRate,2)))</f>
        <v>0</v>
      </c>
      <c r="AB165" s="31">
        <f>IF(I165="","",TravelTimeMins)</f>
        <v>0</v>
      </c>
      <c r="AC165" s="29">
        <f>IF(OR(I165="",B165=""),0,IF(I165-B165&lt;=LastMinuteDays,EmergencyFee,0))</f>
        <v>0</v>
      </c>
      <c r="AF165" s="29">
        <f>IF(H165="","",ROUND((U165+V165+Y165+AA165+AC165)*IF(AE165="",0,AE165),2))</f>
        <v>0</v>
      </c>
      <c r="AI165" s="29">
        <f>IF(H165="","",IF(AG165&lt;&gt;"",AG165,ROUND(U165+V165+Y165+AA165+AC165-AF165,2)))</f>
        <v>0</v>
      </c>
      <c r="AJ165" s="29">
        <f>IF(AI165="","",IF(TaxRegistered&lt;&gt;"Yes",0,IF(PricesIncludeTax="Yes",ROUND(AI165-AI165/(1+TaxRate),2),ROUND(AI165*TaxRate,2))))</f>
        <v>0</v>
      </c>
      <c r="AK165" s="29">
        <f>IF(AI165="","",IF(PricesIncludeTax="Yes",AI165,ROUND(AI165+AJ165,2)))</f>
        <v>0</v>
      </c>
      <c r="AQ165" s="21">
        <f>IF(OR(I165="",AP165="",AP165="None"),"",IF(AP165="Monthly",EDATE(I165,1),I165+IF(AP165="Daily",1,IF(AP165="Weekdays",IF(WEEKDAY(I165,2)&gt;=5,8-WEEKDAY(I165,2),1),IF(AP165="Weekly",7,IF(AP165="Fortnightly",14,0))))))</f>
        <v>0</v>
      </c>
      <c r="AR165" s="49">
        <f>IF(OR(I165="",AL165="",K165="",L165=""),"",IF(SUMPRODUCT((Bookings!$AL$5:$AL$404=AL165)*(Bookings!$I$5:$I$404=I165)*(Bookings!$K$5:$K$404&lt;L165)*(Bookings!$L$5:$L$404&gt;K165)*(Bookings!$AM$5:$AM$404&lt;&gt;"Cancelled"))&gt;1,"Conflict - double booked","OK"))</f>
        <v>0</v>
      </c>
      <c r="AS165" s="50">
        <f>IF(A165="","",IF(COUNTIF('Visit Log'!$B$5:$B$404,A165)&gt;0,"Yes","No"))</f>
        <v>0</v>
      </c>
      <c r="AT165" s="28">
        <f>IF(A165="","",IFERROR(INDEX(Invoices!$A$5:$A$304,MATCH(A165,Invoices!$E$5:$E$304,0)),""))</f>
        <v>0</v>
      </c>
      <c r="AU165" s="49">
        <f>IF(A165="","",IF(AT165="","Not invoiced",IFERROR(INDEX(Invoices!$U$5:$U$304,MATCH(AT165,Invoices!$A$5:$A$304,0)),"")))</f>
        <v>0</v>
      </c>
      <c r="AY165" s="28">
        <f>IF(I165="","",TEXT(I165,"yyyy-mm"))</f>
        <v>0</v>
      </c>
      <c r="AZ165" s="49">
        <f>IF(I165="","",IF(AM165="Cancelled","Cancelled",IF(AND(I165&lt;TODAY(),OR(AM165="Pending",AM165="Confirmed",AM165="Enquiry")),"Overdue - update status",IF(AND(AM165="Completed",AS165="No"),"Action - log the visit",IF(I165=TODAY(),"Today",IF(AND(I165&gt;TODAY(),I165-TODAY()&lt;=ReminderLeadDays,AN165&lt;&gt;"Yes"),"Action - unconfirmed",IF(AND(I165&gt;TODAY(),I165-TODAY()&lt;=ReminderLeadDays),"Upcoming","OK")))))))</f>
        <v>0</v>
      </c>
    </row>
    <row r="166" spans="1:52">
      <c r="A166" s="46">
        <f>IF(C166="","",BookingPrefix&amp;TEXT(ROW()-4,"0000"))</f>
        <v>0</v>
      </c>
      <c r="D166" s="28">
        <f>IF(C166="","",IFERROR(INDEX(Clients!$A$5:$A$254,MATCH(C166,Clients!$B$5:$B$254,0)),""))</f>
        <v>0</v>
      </c>
      <c r="J166" s="50">
        <f>IF(I166="","",TEXT(I166,"ddd"))</f>
        <v>0</v>
      </c>
      <c r="M166" s="51">
        <f>IF(OR(K166="",L166=""),"",ROUND((L166-K166+IF(L166&lt;K166,1,0))*24,2))</f>
        <v>0</v>
      </c>
      <c r="O166" s="28">
        <f>IF(H166="","",IFERROR(INDEX(Services!$E$5:$E$54,MATCH(H166,Services!$B$5:$B$54,0)),""))</f>
        <v>0</v>
      </c>
      <c r="P166" s="29">
        <f>IF(H166="","",IFERROR(INDEX(Services!$G$5:$G$54,MATCH(H166,Services!$B$5:$B$54,0)),0))</f>
        <v>0</v>
      </c>
      <c r="Q166" s="29">
        <f>IF(H166="","",IF(IFERROR(INDEX(Services!$H$5:$H$54,MATCH(H166,Services!$B$5:$B$54,0)),0)=0,ExtraPetFeeDefault,IFERROR(INDEX(Services!$H$5:$H$54,MATCH(H166,Services!$B$5:$B$54,0)),0)))</f>
        <v>0</v>
      </c>
      <c r="R166" s="30">
        <f>IF(H166="","",IF(IFERROR(INDEX(Services!$I$5:$I$54,MATCH(H166,Services!$B$5:$B$54,0)),0)=0,HolidaySurcharge,IFERROR(INDEX(Services!$I$5:$I$54,MATCH(H166,Services!$B$5:$B$54,0)),0)))</f>
        <v>0</v>
      </c>
      <c r="S166" s="30">
        <f>IF(H166="","",IF(IFERROR(INDEX(Services!$J$5:$J$54,MATCH(H166,Services!$B$5:$B$54,0)),0)=0,WeekendSurcharge,IFERROR(INDEX(Services!$J$5:$J$54,MATCH(H166,Services!$B$5:$B$54,0)),0)))</f>
        <v>0</v>
      </c>
      <c r="T166" s="50">
        <f>IF(H166="","",IFERROR(INDEX(Services!$K$5:$K$54,MATCH(H166,Services!$B$5:$B$54,0)),"No"))</f>
        <v>0</v>
      </c>
      <c r="U166" s="29">
        <f>IF(H166="","",ROUND(IF(O166="Per hour",P166*IF(M166="",IF(N166="",1,N166),M166),P166*IF(N166="",1,N166)),2))</f>
        <v>0</v>
      </c>
      <c r="V166" s="29">
        <f>IF(H166="","",ROUND(MAX(0,IF(G166="",1,G166)-1)*Q166,2))</f>
        <v>0</v>
      </c>
      <c r="W166" s="50">
        <f>IF(I166="","",IF(COUNTIF(HolidayDates,I166)&gt;0,"Yes","No"))</f>
        <v>0</v>
      </c>
      <c r="X166" s="50">
        <f>IF(I166="","",IF(WEEKDAY(I166,2)&gt;5,"Yes","No"))</f>
        <v>0</v>
      </c>
      <c r="Y166" s="29">
        <f>IF(H166="","",ROUND((U166+V166)*(IF(W166="Yes",R166,0)+IF(X166="Yes",S166,0)),2))</f>
        <v>0</v>
      </c>
      <c r="AA166" s="29">
        <f>IF(H166="","",IF(T166&lt;&gt;"Yes",0,ROUND(MAX(0,IF(Z166="",0,Z166)-FreeTravelDistance)*TravelFeeRate,2)))</f>
        <v>0</v>
      </c>
      <c r="AB166" s="31">
        <f>IF(I166="","",TravelTimeMins)</f>
        <v>0</v>
      </c>
      <c r="AC166" s="29">
        <f>IF(OR(I166="",B166=""),0,IF(I166-B166&lt;=LastMinuteDays,EmergencyFee,0))</f>
        <v>0</v>
      </c>
      <c r="AF166" s="29">
        <f>IF(H166="","",ROUND((U166+V166+Y166+AA166+AC166)*IF(AE166="",0,AE166),2))</f>
        <v>0</v>
      </c>
      <c r="AI166" s="29">
        <f>IF(H166="","",IF(AG166&lt;&gt;"",AG166,ROUND(U166+V166+Y166+AA166+AC166-AF166,2)))</f>
        <v>0</v>
      </c>
      <c r="AJ166" s="29">
        <f>IF(AI166="","",IF(TaxRegistered&lt;&gt;"Yes",0,IF(PricesIncludeTax="Yes",ROUND(AI166-AI166/(1+TaxRate),2),ROUND(AI166*TaxRate,2))))</f>
        <v>0</v>
      </c>
      <c r="AK166" s="29">
        <f>IF(AI166="","",IF(PricesIncludeTax="Yes",AI166,ROUND(AI166+AJ166,2)))</f>
        <v>0</v>
      </c>
      <c r="AQ166" s="21">
        <f>IF(OR(I166="",AP166="",AP166="None"),"",IF(AP166="Monthly",EDATE(I166,1),I166+IF(AP166="Daily",1,IF(AP166="Weekdays",IF(WEEKDAY(I166,2)&gt;=5,8-WEEKDAY(I166,2),1),IF(AP166="Weekly",7,IF(AP166="Fortnightly",14,0))))))</f>
        <v>0</v>
      </c>
      <c r="AR166" s="49">
        <f>IF(OR(I166="",AL166="",K166="",L166=""),"",IF(SUMPRODUCT((Bookings!$AL$5:$AL$404=AL166)*(Bookings!$I$5:$I$404=I166)*(Bookings!$K$5:$K$404&lt;L166)*(Bookings!$L$5:$L$404&gt;K166)*(Bookings!$AM$5:$AM$404&lt;&gt;"Cancelled"))&gt;1,"Conflict - double booked","OK"))</f>
        <v>0</v>
      </c>
      <c r="AS166" s="50">
        <f>IF(A166="","",IF(COUNTIF('Visit Log'!$B$5:$B$404,A166)&gt;0,"Yes","No"))</f>
        <v>0</v>
      </c>
      <c r="AT166" s="28">
        <f>IF(A166="","",IFERROR(INDEX(Invoices!$A$5:$A$304,MATCH(A166,Invoices!$E$5:$E$304,0)),""))</f>
        <v>0</v>
      </c>
      <c r="AU166" s="49">
        <f>IF(A166="","",IF(AT166="","Not invoiced",IFERROR(INDEX(Invoices!$U$5:$U$304,MATCH(AT166,Invoices!$A$5:$A$304,0)),"")))</f>
        <v>0</v>
      </c>
      <c r="AY166" s="28">
        <f>IF(I166="","",TEXT(I166,"yyyy-mm"))</f>
        <v>0</v>
      </c>
      <c r="AZ166" s="49">
        <f>IF(I166="","",IF(AM166="Cancelled","Cancelled",IF(AND(I166&lt;TODAY(),OR(AM166="Pending",AM166="Confirmed",AM166="Enquiry")),"Overdue - update status",IF(AND(AM166="Completed",AS166="No"),"Action - log the visit",IF(I166=TODAY(),"Today",IF(AND(I166&gt;TODAY(),I166-TODAY()&lt;=ReminderLeadDays,AN166&lt;&gt;"Yes"),"Action - unconfirmed",IF(AND(I166&gt;TODAY(),I166-TODAY()&lt;=ReminderLeadDays),"Upcoming","OK")))))))</f>
        <v>0</v>
      </c>
    </row>
    <row r="167" spans="1:52">
      <c r="A167" s="46">
        <f>IF(C167="","",BookingPrefix&amp;TEXT(ROW()-4,"0000"))</f>
        <v>0</v>
      </c>
      <c r="D167" s="28">
        <f>IF(C167="","",IFERROR(INDEX(Clients!$A$5:$A$254,MATCH(C167,Clients!$B$5:$B$254,0)),""))</f>
        <v>0</v>
      </c>
      <c r="J167" s="50">
        <f>IF(I167="","",TEXT(I167,"ddd"))</f>
        <v>0</v>
      </c>
      <c r="M167" s="51">
        <f>IF(OR(K167="",L167=""),"",ROUND((L167-K167+IF(L167&lt;K167,1,0))*24,2))</f>
        <v>0</v>
      </c>
      <c r="O167" s="28">
        <f>IF(H167="","",IFERROR(INDEX(Services!$E$5:$E$54,MATCH(H167,Services!$B$5:$B$54,0)),""))</f>
        <v>0</v>
      </c>
      <c r="P167" s="29">
        <f>IF(H167="","",IFERROR(INDEX(Services!$G$5:$G$54,MATCH(H167,Services!$B$5:$B$54,0)),0))</f>
        <v>0</v>
      </c>
      <c r="Q167" s="29">
        <f>IF(H167="","",IF(IFERROR(INDEX(Services!$H$5:$H$54,MATCH(H167,Services!$B$5:$B$54,0)),0)=0,ExtraPetFeeDefault,IFERROR(INDEX(Services!$H$5:$H$54,MATCH(H167,Services!$B$5:$B$54,0)),0)))</f>
        <v>0</v>
      </c>
      <c r="R167" s="30">
        <f>IF(H167="","",IF(IFERROR(INDEX(Services!$I$5:$I$54,MATCH(H167,Services!$B$5:$B$54,0)),0)=0,HolidaySurcharge,IFERROR(INDEX(Services!$I$5:$I$54,MATCH(H167,Services!$B$5:$B$54,0)),0)))</f>
        <v>0</v>
      </c>
      <c r="S167" s="30">
        <f>IF(H167="","",IF(IFERROR(INDEX(Services!$J$5:$J$54,MATCH(H167,Services!$B$5:$B$54,0)),0)=0,WeekendSurcharge,IFERROR(INDEX(Services!$J$5:$J$54,MATCH(H167,Services!$B$5:$B$54,0)),0)))</f>
        <v>0</v>
      </c>
      <c r="T167" s="50">
        <f>IF(H167="","",IFERROR(INDEX(Services!$K$5:$K$54,MATCH(H167,Services!$B$5:$B$54,0)),"No"))</f>
        <v>0</v>
      </c>
      <c r="U167" s="29">
        <f>IF(H167="","",ROUND(IF(O167="Per hour",P167*IF(M167="",IF(N167="",1,N167),M167),P167*IF(N167="",1,N167)),2))</f>
        <v>0</v>
      </c>
      <c r="V167" s="29">
        <f>IF(H167="","",ROUND(MAX(0,IF(G167="",1,G167)-1)*Q167,2))</f>
        <v>0</v>
      </c>
      <c r="W167" s="50">
        <f>IF(I167="","",IF(COUNTIF(HolidayDates,I167)&gt;0,"Yes","No"))</f>
        <v>0</v>
      </c>
      <c r="X167" s="50">
        <f>IF(I167="","",IF(WEEKDAY(I167,2)&gt;5,"Yes","No"))</f>
        <v>0</v>
      </c>
      <c r="Y167" s="29">
        <f>IF(H167="","",ROUND((U167+V167)*(IF(W167="Yes",R167,0)+IF(X167="Yes",S167,0)),2))</f>
        <v>0</v>
      </c>
      <c r="AA167" s="29">
        <f>IF(H167="","",IF(T167&lt;&gt;"Yes",0,ROUND(MAX(0,IF(Z167="",0,Z167)-FreeTravelDistance)*TravelFeeRate,2)))</f>
        <v>0</v>
      </c>
      <c r="AB167" s="31">
        <f>IF(I167="","",TravelTimeMins)</f>
        <v>0</v>
      </c>
      <c r="AC167" s="29">
        <f>IF(OR(I167="",B167=""),0,IF(I167-B167&lt;=LastMinuteDays,EmergencyFee,0))</f>
        <v>0</v>
      </c>
      <c r="AF167" s="29">
        <f>IF(H167="","",ROUND((U167+V167+Y167+AA167+AC167)*IF(AE167="",0,AE167),2))</f>
        <v>0</v>
      </c>
      <c r="AI167" s="29">
        <f>IF(H167="","",IF(AG167&lt;&gt;"",AG167,ROUND(U167+V167+Y167+AA167+AC167-AF167,2)))</f>
        <v>0</v>
      </c>
      <c r="AJ167" s="29">
        <f>IF(AI167="","",IF(TaxRegistered&lt;&gt;"Yes",0,IF(PricesIncludeTax="Yes",ROUND(AI167-AI167/(1+TaxRate),2),ROUND(AI167*TaxRate,2))))</f>
        <v>0</v>
      </c>
      <c r="AK167" s="29">
        <f>IF(AI167="","",IF(PricesIncludeTax="Yes",AI167,ROUND(AI167+AJ167,2)))</f>
        <v>0</v>
      </c>
      <c r="AQ167" s="21">
        <f>IF(OR(I167="",AP167="",AP167="None"),"",IF(AP167="Monthly",EDATE(I167,1),I167+IF(AP167="Daily",1,IF(AP167="Weekdays",IF(WEEKDAY(I167,2)&gt;=5,8-WEEKDAY(I167,2),1),IF(AP167="Weekly",7,IF(AP167="Fortnightly",14,0))))))</f>
        <v>0</v>
      </c>
      <c r="AR167" s="49">
        <f>IF(OR(I167="",AL167="",K167="",L167=""),"",IF(SUMPRODUCT((Bookings!$AL$5:$AL$404=AL167)*(Bookings!$I$5:$I$404=I167)*(Bookings!$K$5:$K$404&lt;L167)*(Bookings!$L$5:$L$404&gt;K167)*(Bookings!$AM$5:$AM$404&lt;&gt;"Cancelled"))&gt;1,"Conflict - double booked","OK"))</f>
        <v>0</v>
      </c>
      <c r="AS167" s="50">
        <f>IF(A167="","",IF(COUNTIF('Visit Log'!$B$5:$B$404,A167)&gt;0,"Yes","No"))</f>
        <v>0</v>
      </c>
      <c r="AT167" s="28">
        <f>IF(A167="","",IFERROR(INDEX(Invoices!$A$5:$A$304,MATCH(A167,Invoices!$E$5:$E$304,0)),""))</f>
        <v>0</v>
      </c>
      <c r="AU167" s="49">
        <f>IF(A167="","",IF(AT167="","Not invoiced",IFERROR(INDEX(Invoices!$U$5:$U$304,MATCH(AT167,Invoices!$A$5:$A$304,0)),"")))</f>
        <v>0</v>
      </c>
      <c r="AY167" s="28">
        <f>IF(I167="","",TEXT(I167,"yyyy-mm"))</f>
        <v>0</v>
      </c>
      <c r="AZ167" s="49">
        <f>IF(I167="","",IF(AM167="Cancelled","Cancelled",IF(AND(I167&lt;TODAY(),OR(AM167="Pending",AM167="Confirmed",AM167="Enquiry")),"Overdue - update status",IF(AND(AM167="Completed",AS167="No"),"Action - log the visit",IF(I167=TODAY(),"Today",IF(AND(I167&gt;TODAY(),I167-TODAY()&lt;=ReminderLeadDays,AN167&lt;&gt;"Yes"),"Action - unconfirmed",IF(AND(I167&gt;TODAY(),I167-TODAY()&lt;=ReminderLeadDays),"Upcoming","OK")))))))</f>
        <v>0</v>
      </c>
    </row>
    <row r="168" spans="1:52">
      <c r="A168" s="46">
        <f>IF(C168="","",BookingPrefix&amp;TEXT(ROW()-4,"0000"))</f>
        <v>0</v>
      </c>
      <c r="D168" s="28">
        <f>IF(C168="","",IFERROR(INDEX(Clients!$A$5:$A$254,MATCH(C168,Clients!$B$5:$B$254,0)),""))</f>
        <v>0</v>
      </c>
      <c r="J168" s="50">
        <f>IF(I168="","",TEXT(I168,"ddd"))</f>
        <v>0</v>
      </c>
      <c r="M168" s="51">
        <f>IF(OR(K168="",L168=""),"",ROUND((L168-K168+IF(L168&lt;K168,1,0))*24,2))</f>
        <v>0</v>
      </c>
      <c r="O168" s="28">
        <f>IF(H168="","",IFERROR(INDEX(Services!$E$5:$E$54,MATCH(H168,Services!$B$5:$B$54,0)),""))</f>
        <v>0</v>
      </c>
      <c r="P168" s="29">
        <f>IF(H168="","",IFERROR(INDEX(Services!$G$5:$G$54,MATCH(H168,Services!$B$5:$B$54,0)),0))</f>
        <v>0</v>
      </c>
      <c r="Q168" s="29">
        <f>IF(H168="","",IF(IFERROR(INDEX(Services!$H$5:$H$54,MATCH(H168,Services!$B$5:$B$54,0)),0)=0,ExtraPetFeeDefault,IFERROR(INDEX(Services!$H$5:$H$54,MATCH(H168,Services!$B$5:$B$54,0)),0)))</f>
        <v>0</v>
      </c>
      <c r="R168" s="30">
        <f>IF(H168="","",IF(IFERROR(INDEX(Services!$I$5:$I$54,MATCH(H168,Services!$B$5:$B$54,0)),0)=0,HolidaySurcharge,IFERROR(INDEX(Services!$I$5:$I$54,MATCH(H168,Services!$B$5:$B$54,0)),0)))</f>
        <v>0</v>
      </c>
      <c r="S168" s="30">
        <f>IF(H168="","",IF(IFERROR(INDEX(Services!$J$5:$J$54,MATCH(H168,Services!$B$5:$B$54,0)),0)=0,WeekendSurcharge,IFERROR(INDEX(Services!$J$5:$J$54,MATCH(H168,Services!$B$5:$B$54,0)),0)))</f>
        <v>0</v>
      </c>
      <c r="T168" s="50">
        <f>IF(H168="","",IFERROR(INDEX(Services!$K$5:$K$54,MATCH(H168,Services!$B$5:$B$54,0)),"No"))</f>
        <v>0</v>
      </c>
      <c r="U168" s="29">
        <f>IF(H168="","",ROUND(IF(O168="Per hour",P168*IF(M168="",IF(N168="",1,N168),M168),P168*IF(N168="",1,N168)),2))</f>
        <v>0</v>
      </c>
      <c r="V168" s="29">
        <f>IF(H168="","",ROUND(MAX(0,IF(G168="",1,G168)-1)*Q168,2))</f>
        <v>0</v>
      </c>
      <c r="W168" s="50">
        <f>IF(I168="","",IF(COUNTIF(HolidayDates,I168)&gt;0,"Yes","No"))</f>
        <v>0</v>
      </c>
      <c r="X168" s="50">
        <f>IF(I168="","",IF(WEEKDAY(I168,2)&gt;5,"Yes","No"))</f>
        <v>0</v>
      </c>
      <c r="Y168" s="29">
        <f>IF(H168="","",ROUND((U168+V168)*(IF(W168="Yes",R168,0)+IF(X168="Yes",S168,0)),2))</f>
        <v>0</v>
      </c>
      <c r="AA168" s="29">
        <f>IF(H168="","",IF(T168&lt;&gt;"Yes",0,ROUND(MAX(0,IF(Z168="",0,Z168)-FreeTravelDistance)*TravelFeeRate,2)))</f>
        <v>0</v>
      </c>
      <c r="AB168" s="31">
        <f>IF(I168="","",TravelTimeMins)</f>
        <v>0</v>
      </c>
      <c r="AC168" s="29">
        <f>IF(OR(I168="",B168=""),0,IF(I168-B168&lt;=LastMinuteDays,EmergencyFee,0))</f>
        <v>0</v>
      </c>
      <c r="AF168" s="29">
        <f>IF(H168="","",ROUND((U168+V168+Y168+AA168+AC168)*IF(AE168="",0,AE168),2))</f>
        <v>0</v>
      </c>
      <c r="AI168" s="29">
        <f>IF(H168="","",IF(AG168&lt;&gt;"",AG168,ROUND(U168+V168+Y168+AA168+AC168-AF168,2)))</f>
        <v>0</v>
      </c>
      <c r="AJ168" s="29">
        <f>IF(AI168="","",IF(TaxRegistered&lt;&gt;"Yes",0,IF(PricesIncludeTax="Yes",ROUND(AI168-AI168/(1+TaxRate),2),ROUND(AI168*TaxRate,2))))</f>
        <v>0</v>
      </c>
      <c r="AK168" s="29">
        <f>IF(AI168="","",IF(PricesIncludeTax="Yes",AI168,ROUND(AI168+AJ168,2)))</f>
        <v>0</v>
      </c>
      <c r="AQ168" s="21">
        <f>IF(OR(I168="",AP168="",AP168="None"),"",IF(AP168="Monthly",EDATE(I168,1),I168+IF(AP168="Daily",1,IF(AP168="Weekdays",IF(WEEKDAY(I168,2)&gt;=5,8-WEEKDAY(I168,2),1),IF(AP168="Weekly",7,IF(AP168="Fortnightly",14,0))))))</f>
        <v>0</v>
      </c>
      <c r="AR168" s="49">
        <f>IF(OR(I168="",AL168="",K168="",L168=""),"",IF(SUMPRODUCT((Bookings!$AL$5:$AL$404=AL168)*(Bookings!$I$5:$I$404=I168)*(Bookings!$K$5:$K$404&lt;L168)*(Bookings!$L$5:$L$404&gt;K168)*(Bookings!$AM$5:$AM$404&lt;&gt;"Cancelled"))&gt;1,"Conflict - double booked","OK"))</f>
        <v>0</v>
      </c>
      <c r="AS168" s="50">
        <f>IF(A168="","",IF(COUNTIF('Visit Log'!$B$5:$B$404,A168)&gt;0,"Yes","No"))</f>
        <v>0</v>
      </c>
      <c r="AT168" s="28">
        <f>IF(A168="","",IFERROR(INDEX(Invoices!$A$5:$A$304,MATCH(A168,Invoices!$E$5:$E$304,0)),""))</f>
        <v>0</v>
      </c>
      <c r="AU168" s="49">
        <f>IF(A168="","",IF(AT168="","Not invoiced",IFERROR(INDEX(Invoices!$U$5:$U$304,MATCH(AT168,Invoices!$A$5:$A$304,0)),"")))</f>
        <v>0</v>
      </c>
      <c r="AY168" s="28">
        <f>IF(I168="","",TEXT(I168,"yyyy-mm"))</f>
        <v>0</v>
      </c>
      <c r="AZ168" s="49">
        <f>IF(I168="","",IF(AM168="Cancelled","Cancelled",IF(AND(I168&lt;TODAY(),OR(AM168="Pending",AM168="Confirmed",AM168="Enquiry")),"Overdue - update status",IF(AND(AM168="Completed",AS168="No"),"Action - log the visit",IF(I168=TODAY(),"Today",IF(AND(I168&gt;TODAY(),I168-TODAY()&lt;=ReminderLeadDays,AN168&lt;&gt;"Yes"),"Action - unconfirmed",IF(AND(I168&gt;TODAY(),I168-TODAY()&lt;=ReminderLeadDays),"Upcoming","OK")))))))</f>
        <v>0</v>
      </c>
    </row>
    <row r="169" spans="1:52">
      <c r="A169" s="46">
        <f>IF(C169="","",BookingPrefix&amp;TEXT(ROW()-4,"0000"))</f>
        <v>0</v>
      </c>
      <c r="D169" s="28">
        <f>IF(C169="","",IFERROR(INDEX(Clients!$A$5:$A$254,MATCH(C169,Clients!$B$5:$B$254,0)),""))</f>
        <v>0</v>
      </c>
      <c r="J169" s="50">
        <f>IF(I169="","",TEXT(I169,"ddd"))</f>
        <v>0</v>
      </c>
      <c r="M169" s="51">
        <f>IF(OR(K169="",L169=""),"",ROUND((L169-K169+IF(L169&lt;K169,1,0))*24,2))</f>
        <v>0</v>
      </c>
      <c r="O169" s="28">
        <f>IF(H169="","",IFERROR(INDEX(Services!$E$5:$E$54,MATCH(H169,Services!$B$5:$B$54,0)),""))</f>
        <v>0</v>
      </c>
      <c r="P169" s="29">
        <f>IF(H169="","",IFERROR(INDEX(Services!$G$5:$G$54,MATCH(H169,Services!$B$5:$B$54,0)),0))</f>
        <v>0</v>
      </c>
      <c r="Q169" s="29">
        <f>IF(H169="","",IF(IFERROR(INDEX(Services!$H$5:$H$54,MATCH(H169,Services!$B$5:$B$54,0)),0)=0,ExtraPetFeeDefault,IFERROR(INDEX(Services!$H$5:$H$54,MATCH(H169,Services!$B$5:$B$54,0)),0)))</f>
        <v>0</v>
      </c>
      <c r="R169" s="30">
        <f>IF(H169="","",IF(IFERROR(INDEX(Services!$I$5:$I$54,MATCH(H169,Services!$B$5:$B$54,0)),0)=0,HolidaySurcharge,IFERROR(INDEX(Services!$I$5:$I$54,MATCH(H169,Services!$B$5:$B$54,0)),0)))</f>
        <v>0</v>
      </c>
      <c r="S169" s="30">
        <f>IF(H169="","",IF(IFERROR(INDEX(Services!$J$5:$J$54,MATCH(H169,Services!$B$5:$B$54,0)),0)=0,WeekendSurcharge,IFERROR(INDEX(Services!$J$5:$J$54,MATCH(H169,Services!$B$5:$B$54,0)),0)))</f>
        <v>0</v>
      </c>
      <c r="T169" s="50">
        <f>IF(H169="","",IFERROR(INDEX(Services!$K$5:$K$54,MATCH(H169,Services!$B$5:$B$54,0)),"No"))</f>
        <v>0</v>
      </c>
      <c r="U169" s="29">
        <f>IF(H169="","",ROUND(IF(O169="Per hour",P169*IF(M169="",IF(N169="",1,N169),M169),P169*IF(N169="",1,N169)),2))</f>
        <v>0</v>
      </c>
      <c r="V169" s="29">
        <f>IF(H169="","",ROUND(MAX(0,IF(G169="",1,G169)-1)*Q169,2))</f>
        <v>0</v>
      </c>
      <c r="W169" s="50">
        <f>IF(I169="","",IF(COUNTIF(HolidayDates,I169)&gt;0,"Yes","No"))</f>
        <v>0</v>
      </c>
      <c r="X169" s="50">
        <f>IF(I169="","",IF(WEEKDAY(I169,2)&gt;5,"Yes","No"))</f>
        <v>0</v>
      </c>
      <c r="Y169" s="29">
        <f>IF(H169="","",ROUND((U169+V169)*(IF(W169="Yes",R169,0)+IF(X169="Yes",S169,0)),2))</f>
        <v>0</v>
      </c>
      <c r="AA169" s="29">
        <f>IF(H169="","",IF(T169&lt;&gt;"Yes",0,ROUND(MAX(0,IF(Z169="",0,Z169)-FreeTravelDistance)*TravelFeeRate,2)))</f>
        <v>0</v>
      </c>
      <c r="AB169" s="31">
        <f>IF(I169="","",TravelTimeMins)</f>
        <v>0</v>
      </c>
      <c r="AC169" s="29">
        <f>IF(OR(I169="",B169=""),0,IF(I169-B169&lt;=LastMinuteDays,EmergencyFee,0))</f>
        <v>0</v>
      </c>
      <c r="AF169" s="29">
        <f>IF(H169="","",ROUND((U169+V169+Y169+AA169+AC169)*IF(AE169="",0,AE169),2))</f>
        <v>0</v>
      </c>
      <c r="AI169" s="29">
        <f>IF(H169="","",IF(AG169&lt;&gt;"",AG169,ROUND(U169+V169+Y169+AA169+AC169-AF169,2)))</f>
        <v>0</v>
      </c>
      <c r="AJ169" s="29">
        <f>IF(AI169="","",IF(TaxRegistered&lt;&gt;"Yes",0,IF(PricesIncludeTax="Yes",ROUND(AI169-AI169/(1+TaxRate),2),ROUND(AI169*TaxRate,2))))</f>
        <v>0</v>
      </c>
      <c r="AK169" s="29">
        <f>IF(AI169="","",IF(PricesIncludeTax="Yes",AI169,ROUND(AI169+AJ169,2)))</f>
        <v>0</v>
      </c>
      <c r="AQ169" s="21">
        <f>IF(OR(I169="",AP169="",AP169="None"),"",IF(AP169="Monthly",EDATE(I169,1),I169+IF(AP169="Daily",1,IF(AP169="Weekdays",IF(WEEKDAY(I169,2)&gt;=5,8-WEEKDAY(I169,2),1),IF(AP169="Weekly",7,IF(AP169="Fortnightly",14,0))))))</f>
        <v>0</v>
      </c>
      <c r="AR169" s="49">
        <f>IF(OR(I169="",AL169="",K169="",L169=""),"",IF(SUMPRODUCT((Bookings!$AL$5:$AL$404=AL169)*(Bookings!$I$5:$I$404=I169)*(Bookings!$K$5:$K$404&lt;L169)*(Bookings!$L$5:$L$404&gt;K169)*(Bookings!$AM$5:$AM$404&lt;&gt;"Cancelled"))&gt;1,"Conflict - double booked","OK"))</f>
        <v>0</v>
      </c>
      <c r="AS169" s="50">
        <f>IF(A169="","",IF(COUNTIF('Visit Log'!$B$5:$B$404,A169)&gt;0,"Yes","No"))</f>
        <v>0</v>
      </c>
      <c r="AT169" s="28">
        <f>IF(A169="","",IFERROR(INDEX(Invoices!$A$5:$A$304,MATCH(A169,Invoices!$E$5:$E$304,0)),""))</f>
        <v>0</v>
      </c>
      <c r="AU169" s="49">
        <f>IF(A169="","",IF(AT169="","Not invoiced",IFERROR(INDEX(Invoices!$U$5:$U$304,MATCH(AT169,Invoices!$A$5:$A$304,0)),"")))</f>
        <v>0</v>
      </c>
      <c r="AY169" s="28">
        <f>IF(I169="","",TEXT(I169,"yyyy-mm"))</f>
        <v>0</v>
      </c>
      <c r="AZ169" s="49">
        <f>IF(I169="","",IF(AM169="Cancelled","Cancelled",IF(AND(I169&lt;TODAY(),OR(AM169="Pending",AM169="Confirmed",AM169="Enquiry")),"Overdue - update status",IF(AND(AM169="Completed",AS169="No"),"Action - log the visit",IF(I169=TODAY(),"Today",IF(AND(I169&gt;TODAY(),I169-TODAY()&lt;=ReminderLeadDays,AN169&lt;&gt;"Yes"),"Action - unconfirmed",IF(AND(I169&gt;TODAY(),I169-TODAY()&lt;=ReminderLeadDays),"Upcoming","OK")))))))</f>
        <v>0</v>
      </c>
    </row>
    <row r="170" spans="1:52">
      <c r="A170" s="46">
        <f>IF(C170="","",BookingPrefix&amp;TEXT(ROW()-4,"0000"))</f>
        <v>0</v>
      </c>
      <c r="D170" s="28">
        <f>IF(C170="","",IFERROR(INDEX(Clients!$A$5:$A$254,MATCH(C170,Clients!$B$5:$B$254,0)),""))</f>
        <v>0</v>
      </c>
      <c r="J170" s="50">
        <f>IF(I170="","",TEXT(I170,"ddd"))</f>
        <v>0</v>
      </c>
      <c r="M170" s="51">
        <f>IF(OR(K170="",L170=""),"",ROUND((L170-K170+IF(L170&lt;K170,1,0))*24,2))</f>
        <v>0</v>
      </c>
      <c r="O170" s="28">
        <f>IF(H170="","",IFERROR(INDEX(Services!$E$5:$E$54,MATCH(H170,Services!$B$5:$B$54,0)),""))</f>
        <v>0</v>
      </c>
      <c r="P170" s="29">
        <f>IF(H170="","",IFERROR(INDEX(Services!$G$5:$G$54,MATCH(H170,Services!$B$5:$B$54,0)),0))</f>
        <v>0</v>
      </c>
      <c r="Q170" s="29">
        <f>IF(H170="","",IF(IFERROR(INDEX(Services!$H$5:$H$54,MATCH(H170,Services!$B$5:$B$54,0)),0)=0,ExtraPetFeeDefault,IFERROR(INDEX(Services!$H$5:$H$54,MATCH(H170,Services!$B$5:$B$54,0)),0)))</f>
        <v>0</v>
      </c>
      <c r="R170" s="30">
        <f>IF(H170="","",IF(IFERROR(INDEX(Services!$I$5:$I$54,MATCH(H170,Services!$B$5:$B$54,0)),0)=0,HolidaySurcharge,IFERROR(INDEX(Services!$I$5:$I$54,MATCH(H170,Services!$B$5:$B$54,0)),0)))</f>
        <v>0</v>
      </c>
      <c r="S170" s="30">
        <f>IF(H170="","",IF(IFERROR(INDEX(Services!$J$5:$J$54,MATCH(H170,Services!$B$5:$B$54,0)),0)=0,WeekendSurcharge,IFERROR(INDEX(Services!$J$5:$J$54,MATCH(H170,Services!$B$5:$B$54,0)),0)))</f>
        <v>0</v>
      </c>
      <c r="T170" s="50">
        <f>IF(H170="","",IFERROR(INDEX(Services!$K$5:$K$54,MATCH(H170,Services!$B$5:$B$54,0)),"No"))</f>
        <v>0</v>
      </c>
      <c r="U170" s="29">
        <f>IF(H170="","",ROUND(IF(O170="Per hour",P170*IF(M170="",IF(N170="",1,N170),M170),P170*IF(N170="",1,N170)),2))</f>
        <v>0</v>
      </c>
      <c r="V170" s="29">
        <f>IF(H170="","",ROUND(MAX(0,IF(G170="",1,G170)-1)*Q170,2))</f>
        <v>0</v>
      </c>
      <c r="W170" s="50">
        <f>IF(I170="","",IF(COUNTIF(HolidayDates,I170)&gt;0,"Yes","No"))</f>
        <v>0</v>
      </c>
      <c r="X170" s="50">
        <f>IF(I170="","",IF(WEEKDAY(I170,2)&gt;5,"Yes","No"))</f>
        <v>0</v>
      </c>
      <c r="Y170" s="29">
        <f>IF(H170="","",ROUND((U170+V170)*(IF(W170="Yes",R170,0)+IF(X170="Yes",S170,0)),2))</f>
        <v>0</v>
      </c>
      <c r="AA170" s="29">
        <f>IF(H170="","",IF(T170&lt;&gt;"Yes",0,ROUND(MAX(0,IF(Z170="",0,Z170)-FreeTravelDistance)*TravelFeeRate,2)))</f>
        <v>0</v>
      </c>
      <c r="AB170" s="31">
        <f>IF(I170="","",TravelTimeMins)</f>
        <v>0</v>
      </c>
      <c r="AC170" s="29">
        <f>IF(OR(I170="",B170=""),0,IF(I170-B170&lt;=LastMinuteDays,EmergencyFee,0))</f>
        <v>0</v>
      </c>
      <c r="AF170" s="29">
        <f>IF(H170="","",ROUND((U170+V170+Y170+AA170+AC170)*IF(AE170="",0,AE170),2))</f>
        <v>0</v>
      </c>
      <c r="AI170" s="29">
        <f>IF(H170="","",IF(AG170&lt;&gt;"",AG170,ROUND(U170+V170+Y170+AA170+AC170-AF170,2)))</f>
        <v>0</v>
      </c>
      <c r="AJ170" s="29">
        <f>IF(AI170="","",IF(TaxRegistered&lt;&gt;"Yes",0,IF(PricesIncludeTax="Yes",ROUND(AI170-AI170/(1+TaxRate),2),ROUND(AI170*TaxRate,2))))</f>
        <v>0</v>
      </c>
      <c r="AK170" s="29">
        <f>IF(AI170="","",IF(PricesIncludeTax="Yes",AI170,ROUND(AI170+AJ170,2)))</f>
        <v>0</v>
      </c>
      <c r="AQ170" s="21">
        <f>IF(OR(I170="",AP170="",AP170="None"),"",IF(AP170="Monthly",EDATE(I170,1),I170+IF(AP170="Daily",1,IF(AP170="Weekdays",IF(WEEKDAY(I170,2)&gt;=5,8-WEEKDAY(I170,2),1),IF(AP170="Weekly",7,IF(AP170="Fortnightly",14,0))))))</f>
        <v>0</v>
      </c>
      <c r="AR170" s="49">
        <f>IF(OR(I170="",AL170="",K170="",L170=""),"",IF(SUMPRODUCT((Bookings!$AL$5:$AL$404=AL170)*(Bookings!$I$5:$I$404=I170)*(Bookings!$K$5:$K$404&lt;L170)*(Bookings!$L$5:$L$404&gt;K170)*(Bookings!$AM$5:$AM$404&lt;&gt;"Cancelled"))&gt;1,"Conflict - double booked","OK"))</f>
        <v>0</v>
      </c>
      <c r="AS170" s="50">
        <f>IF(A170="","",IF(COUNTIF('Visit Log'!$B$5:$B$404,A170)&gt;0,"Yes","No"))</f>
        <v>0</v>
      </c>
      <c r="AT170" s="28">
        <f>IF(A170="","",IFERROR(INDEX(Invoices!$A$5:$A$304,MATCH(A170,Invoices!$E$5:$E$304,0)),""))</f>
        <v>0</v>
      </c>
      <c r="AU170" s="49">
        <f>IF(A170="","",IF(AT170="","Not invoiced",IFERROR(INDEX(Invoices!$U$5:$U$304,MATCH(AT170,Invoices!$A$5:$A$304,0)),"")))</f>
        <v>0</v>
      </c>
      <c r="AY170" s="28">
        <f>IF(I170="","",TEXT(I170,"yyyy-mm"))</f>
        <v>0</v>
      </c>
      <c r="AZ170" s="49">
        <f>IF(I170="","",IF(AM170="Cancelled","Cancelled",IF(AND(I170&lt;TODAY(),OR(AM170="Pending",AM170="Confirmed",AM170="Enquiry")),"Overdue - update status",IF(AND(AM170="Completed",AS170="No"),"Action - log the visit",IF(I170=TODAY(),"Today",IF(AND(I170&gt;TODAY(),I170-TODAY()&lt;=ReminderLeadDays,AN170&lt;&gt;"Yes"),"Action - unconfirmed",IF(AND(I170&gt;TODAY(),I170-TODAY()&lt;=ReminderLeadDays),"Upcoming","OK")))))))</f>
        <v>0</v>
      </c>
    </row>
    <row r="171" spans="1:52">
      <c r="A171" s="46">
        <f>IF(C171="","",BookingPrefix&amp;TEXT(ROW()-4,"0000"))</f>
        <v>0</v>
      </c>
      <c r="D171" s="28">
        <f>IF(C171="","",IFERROR(INDEX(Clients!$A$5:$A$254,MATCH(C171,Clients!$B$5:$B$254,0)),""))</f>
        <v>0</v>
      </c>
      <c r="J171" s="50">
        <f>IF(I171="","",TEXT(I171,"ddd"))</f>
        <v>0</v>
      </c>
      <c r="M171" s="51">
        <f>IF(OR(K171="",L171=""),"",ROUND((L171-K171+IF(L171&lt;K171,1,0))*24,2))</f>
        <v>0</v>
      </c>
      <c r="O171" s="28">
        <f>IF(H171="","",IFERROR(INDEX(Services!$E$5:$E$54,MATCH(H171,Services!$B$5:$B$54,0)),""))</f>
        <v>0</v>
      </c>
      <c r="P171" s="29">
        <f>IF(H171="","",IFERROR(INDEX(Services!$G$5:$G$54,MATCH(H171,Services!$B$5:$B$54,0)),0))</f>
        <v>0</v>
      </c>
      <c r="Q171" s="29">
        <f>IF(H171="","",IF(IFERROR(INDEX(Services!$H$5:$H$54,MATCH(H171,Services!$B$5:$B$54,0)),0)=0,ExtraPetFeeDefault,IFERROR(INDEX(Services!$H$5:$H$54,MATCH(H171,Services!$B$5:$B$54,0)),0)))</f>
        <v>0</v>
      </c>
      <c r="R171" s="30">
        <f>IF(H171="","",IF(IFERROR(INDEX(Services!$I$5:$I$54,MATCH(H171,Services!$B$5:$B$54,0)),0)=0,HolidaySurcharge,IFERROR(INDEX(Services!$I$5:$I$54,MATCH(H171,Services!$B$5:$B$54,0)),0)))</f>
        <v>0</v>
      </c>
      <c r="S171" s="30">
        <f>IF(H171="","",IF(IFERROR(INDEX(Services!$J$5:$J$54,MATCH(H171,Services!$B$5:$B$54,0)),0)=0,WeekendSurcharge,IFERROR(INDEX(Services!$J$5:$J$54,MATCH(H171,Services!$B$5:$B$54,0)),0)))</f>
        <v>0</v>
      </c>
      <c r="T171" s="50">
        <f>IF(H171="","",IFERROR(INDEX(Services!$K$5:$K$54,MATCH(H171,Services!$B$5:$B$54,0)),"No"))</f>
        <v>0</v>
      </c>
      <c r="U171" s="29">
        <f>IF(H171="","",ROUND(IF(O171="Per hour",P171*IF(M171="",IF(N171="",1,N171),M171),P171*IF(N171="",1,N171)),2))</f>
        <v>0</v>
      </c>
      <c r="V171" s="29">
        <f>IF(H171="","",ROUND(MAX(0,IF(G171="",1,G171)-1)*Q171,2))</f>
        <v>0</v>
      </c>
      <c r="W171" s="50">
        <f>IF(I171="","",IF(COUNTIF(HolidayDates,I171)&gt;0,"Yes","No"))</f>
        <v>0</v>
      </c>
      <c r="X171" s="50">
        <f>IF(I171="","",IF(WEEKDAY(I171,2)&gt;5,"Yes","No"))</f>
        <v>0</v>
      </c>
      <c r="Y171" s="29">
        <f>IF(H171="","",ROUND((U171+V171)*(IF(W171="Yes",R171,0)+IF(X171="Yes",S171,0)),2))</f>
        <v>0</v>
      </c>
      <c r="AA171" s="29">
        <f>IF(H171="","",IF(T171&lt;&gt;"Yes",0,ROUND(MAX(0,IF(Z171="",0,Z171)-FreeTravelDistance)*TravelFeeRate,2)))</f>
        <v>0</v>
      </c>
      <c r="AB171" s="31">
        <f>IF(I171="","",TravelTimeMins)</f>
        <v>0</v>
      </c>
      <c r="AC171" s="29">
        <f>IF(OR(I171="",B171=""),0,IF(I171-B171&lt;=LastMinuteDays,EmergencyFee,0))</f>
        <v>0</v>
      </c>
      <c r="AF171" s="29">
        <f>IF(H171="","",ROUND((U171+V171+Y171+AA171+AC171)*IF(AE171="",0,AE171),2))</f>
        <v>0</v>
      </c>
      <c r="AI171" s="29">
        <f>IF(H171="","",IF(AG171&lt;&gt;"",AG171,ROUND(U171+V171+Y171+AA171+AC171-AF171,2)))</f>
        <v>0</v>
      </c>
      <c r="AJ171" s="29">
        <f>IF(AI171="","",IF(TaxRegistered&lt;&gt;"Yes",0,IF(PricesIncludeTax="Yes",ROUND(AI171-AI171/(1+TaxRate),2),ROUND(AI171*TaxRate,2))))</f>
        <v>0</v>
      </c>
      <c r="AK171" s="29">
        <f>IF(AI171="","",IF(PricesIncludeTax="Yes",AI171,ROUND(AI171+AJ171,2)))</f>
        <v>0</v>
      </c>
      <c r="AQ171" s="21">
        <f>IF(OR(I171="",AP171="",AP171="None"),"",IF(AP171="Monthly",EDATE(I171,1),I171+IF(AP171="Daily",1,IF(AP171="Weekdays",IF(WEEKDAY(I171,2)&gt;=5,8-WEEKDAY(I171,2),1),IF(AP171="Weekly",7,IF(AP171="Fortnightly",14,0))))))</f>
        <v>0</v>
      </c>
      <c r="AR171" s="49">
        <f>IF(OR(I171="",AL171="",K171="",L171=""),"",IF(SUMPRODUCT((Bookings!$AL$5:$AL$404=AL171)*(Bookings!$I$5:$I$404=I171)*(Bookings!$K$5:$K$404&lt;L171)*(Bookings!$L$5:$L$404&gt;K171)*(Bookings!$AM$5:$AM$404&lt;&gt;"Cancelled"))&gt;1,"Conflict - double booked","OK"))</f>
        <v>0</v>
      </c>
      <c r="AS171" s="50">
        <f>IF(A171="","",IF(COUNTIF('Visit Log'!$B$5:$B$404,A171)&gt;0,"Yes","No"))</f>
        <v>0</v>
      </c>
      <c r="AT171" s="28">
        <f>IF(A171="","",IFERROR(INDEX(Invoices!$A$5:$A$304,MATCH(A171,Invoices!$E$5:$E$304,0)),""))</f>
        <v>0</v>
      </c>
      <c r="AU171" s="49">
        <f>IF(A171="","",IF(AT171="","Not invoiced",IFERROR(INDEX(Invoices!$U$5:$U$304,MATCH(AT171,Invoices!$A$5:$A$304,0)),"")))</f>
        <v>0</v>
      </c>
      <c r="AY171" s="28">
        <f>IF(I171="","",TEXT(I171,"yyyy-mm"))</f>
        <v>0</v>
      </c>
      <c r="AZ171" s="49">
        <f>IF(I171="","",IF(AM171="Cancelled","Cancelled",IF(AND(I171&lt;TODAY(),OR(AM171="Pending",AM171="Confirmed",AM171="Enquiry")),"Overdue - update status",IF(AND(AM171="Completed",AS171="No"),"Action - log the visit",IF(I171=TODAY(),"Today",IF(AND(I171&gt;TODAY(),I171-TODAY()&lt;=ReminderLeadDays,AN171&lt;&gt;"Yes"),"Action - unconfirmed",IF(AND(I171&gt;TODAY(),I171-TODAY()&lt;=ReminderLeadDays),"Upcoming","OK")))))))</f>
        <v>0</v>
      </c>
    </row>
    <row r="172" spans="1:52">
      <c r="A172" s="46">
        <f>IF(C172="","",BookingPrefix&amp;TEXT(ROW()-4,"0000"))</f>
        <v>0</v>
      </c>
      <c r="D172" s="28">
        <f>IF(C172="","",IFERROR(INDEX(Clients!$A$5:$A$254,MATCH(C172,Clients!$B$5:$B$254,0)),""))</f>
        <v>0</v>
      </c>
      <c r="J172" s="50">
        <f>IF(I172="","",TEXT(I172,"ddd"))</f>
        <v>0</v>
      </c>
      <c r="M172" s="51">
        <f>IF(OR(K172="",L172=""),"",ROUND((L172-K172+IF(L172&lt;K172,1,0))*24,2))</f>
        <v>0</v>
      </c>
      <c r="O172" s="28">
        <f>IF(H172="","",IFERROR(INDEX(Services!$E$5:$E$54,MATCH(H172,Services!$B$5:$B$54,0)),""))</f>
        <v>0</v>
      </c>
      <c r="P172" s="29">
        <f>IF(H172="","",IFERROR(INDEX(Services!$G$5:$G$54,MATCH(H172,Services!$B$5:$B$54,0)),0))</f>
        <v>0</v>
      </c>
      <c r="Q172" s="29">
        <f>IF(H172="","",IF(IFERROR(INDEX(Services!$H$5:$H$54,MATCH(H172,Services!$B$5:$B$54,0)),0)=0,ExtraPetFeeDefault,IFERROR(INDEX(Services!$H$5:$H$54,MATCH(H172,Services!$B$5:$B$54,0)),0)))</f>
        <v>0</v>
      </c>
      <c r="R172" s="30">
        <f>IF(H172="","",IF(IFERROR(INDEX(Services!$I$5:$I$54,MATCH(H172,Services!$B$5:$B$54,0)),0)=0,HolidaySurcharge,IFERROR(INDEX(Services!$I$5:$I$54,MATCH(H172,Services!$B$5:$B$54,0)),0)))</f>
        <v>0</v>
      </c>
      <c r="S172" s="30">
        <f>IF(H172="","",IF(IFERROR(INDEX(Services!$J$5:$J$54,MATCH(H172,Services!$B$5:$B$54,0)),0)=0,WeekendSurcharge,IFERROR(INDEX(Services!$J$5:$J$54,MATCH(H172,Services!$B$5:$B$54,0)),0)))</f>
        <v>0</v>
      </c>
      <c r="T172" s="50">
        <f>IF(H172="","",IFERROR(INDEX(Services!$K$5:$K$54,MATCH(H172,Services!$B$5:$B$54,0)),"No"))</f>
        <v>0</v>
      </c>
      <c r="U172" s="29">
        <f>IF(H172="","",ROUND(IF(O172="Per hour",P172*IF(M172="",IF(N172="",1,N172),M172),P172*IF(N172="",1,N172)),2))</f>
        <v>0</v>
      </c>
      <c r="V172" s="29">
        <f>IF(H172="","",ROUND(MAX(0,IF(G172="",1,G172)-1)*Q172,2))</f>
        <v>0</v>
      </c>
      <c r="W172" s="50">
        <f>IF(I172="","",IF(COUNTIF(HolidayDates,I172)&gt;0,"Yes","No"))</f>
        <v>0</v>
      </c>
      <c r="X172" s="50">
        <f>IF(I172="","",IF(WEEKDAY(I172,2)&gt;5,"Yes","No"))</f>
        <v>0</v>
      </c>
      <c r="Y172" s="29">
        <f>IF(H172="","",ROUND((U172+V172)*(IF(W172="Yes",R172,0)+IF(X172="Yes",S172,0)),2))</f>
        <v>0</v>
      </c>
      <c r="AA172" s="29">
        <f>IF(H172="","",IF(T172&lt;&gt;"Yes",0,ROUND(MAX(0,IF(Z172="",0,Z172)-FreeTravelDistance)*TravelFeeRate,2)))</f>
        <v>0</v>
      </c>
      <c r="AB172" s="31">
        <f>IF(I172="","",TravelTimeMins)</f>
        <v>0</v>
      </c>
      <c r="AC172" s="29">
        <f>IF(OR(I172="",B172=""),0,IF(I172-B172&lt;=LastMinuteDays,EmergencyFee,0))</f>
        <v>0</v>
      </c>
      <c r="AF172" s="29">
        <f>IF(H172="","",ROUND((U172+V172+Y172+AA172+AC172)*IF(AE172="",0,AE172),2))</f>
        <v>0</v>
      </c>
      <c r="AI172" s="29">
        <f>IF(H172="","",IF(AG172&lt;&gt;"",AG172,ROUND(U172+V172+Y172+AA172+AC172-AF172,2)))</f>
        <v>0</v>
      </c>
      <c r="AJ172" s="29">
        <f>IF(AI172="","",IF(TaxRegistered&lt;&gt;"Yes",0,IF(PricesIncludeTax="Yes",ROUND(AI172-AI172/(1+TaxRate),2),ROUND(AI172*TaxRate,2))))</f>
        <v>0</v>
      </c>
      <c r="AK172" s="29">
        <f>IF(AI172="","",IF(PricesIncludeTax="Yes",AI172,ROUND(AI172+AJ172,2)))</f>
        <v>0</v>
      </c>
      <c r="AQ172" s="21">
        <f>IF(OR(I172="",AP172="",AP172="None"),"",IF(AP172="Monthly",EDATE(I172,1),I172+IF(AP172="Daily",1,IF(AP172="Weekdays",IF(WEEKDAY(I172,2)&gt;=5,8-WEEKDAY(I172,2),1),IF(AP172="Weekly",7,IF(AP172="Fortnightly",14,0))))))</f>
        <v>0</v>
      </c>
      <c r="AR172" s="49">
        <f>IF(OR(I172="",AL172="",K172="",L172=""),"",IF(SUMPRODUCT((Bookings!$AL$5:$AL$404=AL172)*(Bookings!$I$5:$I$404=I172)*(Bookings!$K$5:$K$404&lt;L172)*(Bookings!$L$5:$L$404&gt;K172)*(Bookings!$AM$5:$AM$404&lt;&gt;"Cancelled"))&gt;1,"Conflict - double booked","OK"))</f>
        <v>0</v>
      </c>
      <c r="AS172" s="50">
        <f>IF(A172="","",IF(COUNTIF('Visit Log'!$B$5:$B$404,A172)&gt;0,"Yes","No"))</f>
        <v>0</v>
      </c>
      <c r="AT172" s="28">
        <f>IF(A172="","",IFERROR(INDEX(Invoices!$A$5:$A$304,MATCH(A172,Invoices!$E$5:$E$304,0)),""))</f>
        <v>0</v>
      </c>
      <c r="AU172" s="49">
        <f>IF(A172="","",IF(AT172="","Not invoiced",IFERROR(INDEX(Invoices!$U$5:$U$304,MATCH(AT172,Invoices!$A$5:$A$304,0)),"")))</f>
        <v>0</v>
      </c>
      <c r="AY172" s="28">
        <f>IF(I172="","",TEXT(I172,"yyyy-mm"))</f>
        <v>0</v>
      </c>
      <c r="AZ172" s="49">
        <f>IF(I172="","",IF(AM172="Cancelled","Cancelled",IF(AND(I172&lt;TODAY(),OR(AM172="Pending",AM172="Confirmed",AM172="Enquiry")),"Overdue - update status",IF(AND(AM172="Completed",AS172="No"),"Action - log the visit",IF(I172=TODAY(),"Today",IF(AND(I172&gt;TODAY(),I172-TODAY()&lt;=ReminderLeadDays,AN172&lt;&gt;"Yes"),"Action - unconfirmed",IF(AND(I172&gt;TODAY(),I172-TODAY()&lt;=ReminderLeadDays),"Upcoming","OK")))))))</f>
        <v>0</v>
      </c>
    </row>
    <row r="173" spans="1:52">
      <c r="A173" s="46">
        <f>IF(C173="","",BookingPrefix&amp;TEXT(ROW()-4,"0000"))</f>
        <v>0</v>
      </c>
      <c r="D173" s="28">
        <f>IF(C173="","",IFERROR(INDEX(Clients!$A$5:$A$254,MATCH(C173,Clients!$B$5:$B$254,0)),""))</f>
        <v>0</v>
      </c>
      <c r="J173" s="50">
        <f>IF(I173="","",TEXT(I173,"ddd"))</f>
        <v>0</v>
      </c>
      <c r="M173" s="51">
        <f>IF(OR(K173="",L173=""),"",ROUND((L173-K173+IF(L173&lt;K173,1,0))*24,2))</f>
        <v>0</v>
      </c>
      <c r="O173" s="28">
        <f>IF(H173="","",IFERROR(INDEX(Services!$E$5:$E$54,MATCH(H173,Services!$B$5:$B$54,0)),""))</f>
        <v>0</v>
      </c>
      <c r="P173" s="29">
        <f>IF(H173="","",IFERROR(INDEX(Services!$G$5:$G$54,MATCH(H173,Services!$B$5:$B$54,0)),0))</f>
        <v>0</v>
      </c>
      <c r="Q173" s="29">
        <f>IF(H173="","",IF(IFERROR(INDEX(Services!$H$5:$H$54,MATCH(H173,Services!$B$5:$B$54,0)),0)=0,ExtraPetFeeDefault,IFERROR(INDEX(Services!$H$5:$H$54,MATCH(H173,Services!$B$5:$B$54,0)),0)))</f>
        <v>0</v>
      </c>
      <c r="R173" s="30">
        <f>IF(H173="","",IF(IFERROR(INDEX(Services!$I$5:$I$54,MATCH(H173,Services!$B$5:$B$54,0)),0)=0,HolidaySurcharge,IFERROR(INDEX(Services!$I$5:$I$54,MATCH(H173,Services!$B$5:$B$54,0)),0)))</f>
        <v>0</v>
      </c>
      <c r="S173" s="30">
        <f>IF(H173="","",IF(IFERROR(INDEX(Services!$J$5:$J$54,MATCH(H173,Services!$B$5:$B$54,0)),0)=0,WeekendSurcharge,IFERROR(INDEX(Services!$J$5:$J$54,MATCH(H173,Services!$B$5:$B$54,0)),0)))</f>
        <v>0</v>
      </c>
      <c r="T173" s="50">
        <f>IF(H173="","",IFERROR(INDEX(Services!$K$5:$K$54,MATCH(H173,Services!$B$5:$B$54,0)),"No"))</f>
        <v>0</v>
      </c>
      <c r="U173" s="29">
        <f>IF(H173="","",ROUND(IF(O173="Per hour",P173*IF(M173="",IF(N173="",1,N173),M173),P173*IF(N173="",1,N173)),2))</f>
        <v>0</v>
      </c>
      <c r="V173" s="29">
        <f>IF(H173="","",ROUND(MAX(0,IF(G173="",1,G173)-1)*Q173,2))</f>
        <v>0</v>
      </c>
      <c r="W173" s="50">
        <f>IF(I173="","",IF(COUNTIF(HolidayDates,I173)&gt;0,"Yes","No"))</f>
        <v>0</v>
      </c>
      <c r="X173" s="50">
        <f>IF(I173="","",IF(WEEKDAY(I173,2)&gt;5,"Yes","No"))</f>
        <v>0</v>
      </c>
      <c r="Y173" s="29">
        <f>IF(H173="","",ROUND((U173+V173)*(IF(W173="Yes",R173,0)+IF(X173="Yes",S173,0)),2))</f>
        <v>0</v>
      </c>
      <c r="AA173" s="29">
        <f>IF(H173="","",IF(T173&lt;&gt;"Yes",0,ROUND(MAX(0,IF(Z173="",0,Z173)-FreeTravelDistance)*TravelFeeRate,2)))</f>
        <v>0</v>
      </c>
      <c r="AB173" s="31">
        <f>IF(I173="","",TravelTimeMins)</f>
        <v>0</v>
      </c>
      <c r="AC173" s="29">
        <f>IF(OR(I173="",B173=""),0,IF(I173-B173&lt;=LastMinuteDays,EmergencyFee,0))</f>
        <v>0</v>
      </c>
      <c r="AF173" s="29">
        <f>IF(H173="","",ROUND((U173+V173+Y173+AA173+AC173)*IF(AE173="",0,AE173),2))</f>
        <v>0</v>
      </c>
      <c r="AI173" s="29">
        <f>IF(H173="","",IF(AG173&lt;&gt;"",AG173,ROUND(U173+V173+Y173+AA173+AC173-AF173,2)))</f>
        <v>0</v>
      </c>
      <c r="AJ173" s="29">
        <f>IF(AI173="","",IF(TaxRegistered&lt;&gt;"Yes",0,IF(PricesIncludeTax="Yes",ROUND(AI173-AI173/(1+TaxRate),2),ROUND(AI173*TaxRate,2))))</f>
        <v>0</v>
      </c>
      <c r="AK173" s="29">
        <f>IF(AI173="","",IF(PricesIncludeTax="Yes",AI173,ROUND(AI173+AJ173,2)))</f>
        <v>0</v>
      </c>
      <c r="AQ173" s="21">
        <f>IF(OR(I173="",AP173="",AP173="None"),"",IF(AP173="Monthly",EDATE(I173,1),I173+IF(AP173="Daily",1,IF(AP173="Weekdays",IF(WEEKDAY(I173,2)&gt;=5,8-WEEKDAY(I173,2),1),IF(AP173="Weekly",7,IF(AP173="Fortnightly",14,0))))))</f>
        <v>0</v>
      </c>
      <c r="AR173" s="49">
        <f>IF(OR(I173="",AL173="",K173="",L173=""),"",IF(SUMPRODUCT((Bookings!$AL$5:$AL$404=AL173)*(Bookings!$I$5:$I$404=I173)*(Bookings!$K$5:$K$404&lt;L173)*(Bookings!$L$5:$L$404&gt;K173)*(Bookings!$AM$5:$AM$404&lt;&gt;"Cancelled"))&gt;1,"Conflict - double booked","OK"))</f>
        <v>0</v>
      </c>
      <c r="AS173" s="50">
        <f>IF(A173="","",IF(COUNTIF('Visit Log'!$B$5:$B$404,A173)&gt;0,"Yes","No"))</f>
        <v>0</v>
      </c>
      <c r="AT173" s="28">
        <f>IF(A173="","",IFERROR(INDEX(Invoices!$A$5:$A$304,MATCH(A173,Invoices!$E$5:$E$304,0)),""))</f>
        <v>0</v>
      </c>
      <c r="AU173" s="49">
        <f>IF(A173="","",IF(AT173="","Not invoiced",IFERROR(INDEX(Invoices!$U$5:$U$304,MATCH(AT173,Invoices!$A$5:$A$304,0)),"")))</f>
        <v>0</v>
      </c>
      <c r="AY173" s="28">
        <f>IF(I173="","",TEXT(I173,"yyyy-mm"))</f>
        <v>0</v>
      </c>
      <c r="AZ173" s="49">
        <f>IF(I173="","",IF(AM173="Cancelled","Cancelled",IF(AND(I173&lt;TODAY(),OR(AM173="Pending",AM173="Confirmed",AM173="Enquiry")),"Overdue - update status",IF(AND(AM173="Completed",AS173="No"),"Action - log the visit",IF(I173=TODAY(),"Today",IF(AND(I173&gt;TODAY(),I173-TODAY()&lt;=ReminderLeadDays,AN173&lt;&gt;"Yes"),"Action - unconfirmed",IF(AND(I173&gt;TODAY(),I173-TODAY()&lt;=ReminderLeadDays),"Upcoming","OK")))))))</f>
        <v>0</v>
      </c>
    </row>
    <row r="174" spans="1:52">
      <c r="A174" s="46">
        <f>IF(C174="","",BookingPrefix&amp;TEXT(ROW()-4,"0000"))</f>
        <v>0</v>
      </c>
      <c r="D174" s="28">
        <f>IF(C174="","",IFERROR(INDEX(Clients!$A$5:$A$254,MATCH(C174,Clients!$B$5:$B$254,0)),""))</f>
        <v>0</v>
      </c>
      <c r="J174" s="50">
        <f>IF(I174="","",TEXT(I174,"ddd"))</f>
        <v>0</v>
      </c>
      <c r="M174" s="51">
        <f>IF(OR(K174="",L174=""),"",ROUND((L174-K174+IF(L174&lt;K174,1,0))*24,2))</f>
        <v>0</v>
      </c>
      <c r="O174" s="28">
        <f>IF(H174="","",IFERROR(INDEX(Services!$E$5:$E$54,MATCH(H174,Services!$B$5:$B$54,0)),""))</f>
        <v>0</v>
      </c>
      <c r="P174" s="29">
        <f>IF(H174="","",IFERROR(INDEX(Services!$G$5:$G$54,MATCH(H174,Services!$B$5:$B$54,0)),0))</f>
        <v>0</v>
      </c>
      <c r="Q174" s="29">
        <f>IF(H174="","",IF(IFERROR(INDEX(Services!$H$5:$H$54,MATCH(H174,Services!$B$5:$B$54,0)),0)=0,ExtraPetFeeDefault,IFERROR(INDEX(Services!$H$5:$H$54,MATCH(H174,Services!$B$5:$B$54,0)),0)))</f>
        <v>0</v>
      </c>
      <c r="R174" s="30">
        <f>IF(H174="","",IF(IFERROR(INDEX(Services!$I$5:$I$54,MATCH(H174,Services!$B$5:$B$54,0)),0)=0,HolidaySurcharge,IFERROR(INDEX(Services!$I$5:$I$54,MATCH(H174,Services!$B$5:$B$54,0)),0)))</f>
        <v>0</v>
      </c>
      <c r="S174" s="30">
        <f>IF(H174="","",IF(IFERROR(INDEX(Services!$J$5:$J$54,MATCH(H174,Services!$B$5:$B$54,0)),0)=0,WeekendSurcharge,IFERROR(INDEX(Services!$J$5:$J$54,MATCH(H174,Services!$B$5:$B$54,0)),0)))</f>
        <v>0</v>
      </c>
      <c r="T174" s="50">
        <f>IF(H174="","",IFERROR(INDEX(Services!$K$5:$K$54,MATCH(H174,Services!$B$5:$B$54,0)),"No"))</f>
        <v>0</v>
      </c>
      <c r="U174" s="29">
        <f>IF(H174="","",ROUND(IF(O174="Per hour",P174*IF(M174="",IF(N174="",1,N174),M174),P174*IF(N174="",1,N174)),2))</f>
        <v>0</v>
      </c>
      <c r="V174" s="29">
        <f>IF(H174="","",ROUND(MAX(0,IF(G174="",1,G174)-1)*Q174,2))</f>
        <v>0</v>
      </c>
      <c r="W174" s="50">
        <f>IF(I174="","",IF(COUNTIF(HolidayDates,I174)&gt;0,"Yes","No"))</f>
        <v>0</v>
      </c>
      <c r="X174" s="50">
        <f>IF(I174="","",IF(WEEKDAY(I174,2)&gt;5,"Yes","No"))</f>
        <v>0</v>
      </c>
      <c r="Y174" s="29">
        <f>IF(H174="","",ROUND((U174+V174)*(IF(W174="Yes",R174,0)+IF(X174="Yes",S174,0)),2))</f>
        <v>0</v>
      </c>
      <c r="AA174" s="29">
        <f>IF(H174="","",IF(T174&lt;&gt;"Yes",0,ROUND(MAX(0,IF(Z174="",0,Z174)-FreeTravelDistance)*TravelFeeRate,2)))</f>
        <v>0</v>
      </c>
      <c r="AB174" s="31">
        <f>IF(I174="","",TravelTimeMins)</f>
        <v>0</v>
      </c>
      <c r="AC174" s="29">
        <f>IF(OR(I174="",B174=""),0,IF(I174-B174&lt;=LastMinuteDays,EmergencyFee,0))</f>
        <v>0</v>
      </c>
      <c r="AF174" s="29">
        <f>IF(H174="","",ROUND((U174+V174+Y174+AA174+AC174)*IF(AE174="",0,AE174),2))</f>
        <v>0</v>
      </c>
      <c r="AI174" s="29">
        <f>IF(H174="","",IF(AG174&lt;&gt;"",AG174,ROUND(U174+V174+Y174+AA174+AC174-AF174,2)))</f>
        <v>0</v>
      </c>
      <c r="AJ174" s="29">
        <f>IF(AI174="","",IF(TaxRegistered&lt;&gt;"Yes",0,IF(PricesIncludeTax="Yes",ROUND(AI174-AI174/(1+TaxRate),2),ROUND(AI174*TaxRate,2))))</f>
        <v>0</v>
      </c>
      <c r="AK174" s="29">
        <f>IF(AI174="","",IF(PricesIncludeTax="Yes",AI174,ROUND(AI174+AJ174,2)))</f>
        <v>0</v>
      </c>
      <c r="AQ174" s="21">
        <f>IF(OR(I174="",AP174="",AP174="None"),"",IF(AP174="Monthly",EDATE(I174,1),I174+IF(AP174="Daily",1,IF(AP174="Weekdays",IF(WEEKDAY(I174,2)&gt;=5,8-WEEKDAY(I174,2),1),IF(AP174="Weekly",7,IF(AP174="Fortnightly",14,0))))))</f>
        <v>0</v>
      </c>
      <c r="AR174" s="49">
        <f>IF(OR(I174="",AL174="",K174="",L174=""),"",IF(SUMPRODUCT((Bookings!$AL$5:$AL$404=AL174)*(Bookings!$I$5:$I$404=I174)*(Bookings!$K$5:$K$404&lt;L174)*(Bookings!$L$5:$L$404&gt;K174)*(Bookings!$AM$5:$AM$404&lt;&gt;"Cancelled"))&gt;1,"Conflict - double booked","OK"))</f>
        <v>0</v>
      </c>
      <c r="AS174" s="50">
        <f>IF(A174="","",IF(COUNTIF('Visit Log'!$B$5:$B$404,A174)&gt;0,"Yes","No"))</f>
        <v>0</v>
      </c>
      <c r="AT174" s="28">
        <f>IF(A174="","",IFERROR(INDEX(Invoices!$A$5:$A$304,MATCH(A174,Invoices!$E$5:$E$304,0)),""))</f>
        <v>0</v>
      </c>
      <c r="AU174" s="49">
        <f>IF(A174="","",IF(AT174="","Not invoiced",IFERROR(INDEX(Invoices!$U$5:$U$304,MATCH(AT174,Invoices!$A$5:$A$304,0)),"")))</f>
        <v>0</v>
      </c>
      <c r="AY174" s="28">
        <f>IF(I174="","",TEXT(I174,"yyyy-mm"))</f>
        <v>0</v>
      </c>
      <c r="AZ174" s="49">
        <f>IF(I174="","",IF(AM174="Cancelled","Cancelled",IF(AND(I174&lt;TODAY(),OR(AM174="Pending",AM174="Confirmed",AM174="Enquiry")),"Overdue - update status",IF(AND(AM174="Completed",AS174="No"),"Action - log the visit",IF(I174=TODAY(),"Today",IF(AND(I174&gt;TODAY(),I174-TODAY()&lt;=ReminderLeadDays,AN174&lt;&gt;"Yes"),"Action - unconfirmed",IF(AND(I174&gt;TODAY(),I174-TODAY()&lt;=ReminderLeadDays),"Upcoming","OK")))))))</f>
        <v>0</v>
      </c>
    </row>
    <row r="175" spans="1:52">
      <c r="A175" s="46">
        <f>IF(C175="","",BookingPrefix&amp;TEXT(ROW()-4,"0000"))</f>
        <v>0</v>
      </c>
      <c r="D175" s="28">
        <f>IF(C175="","",IFERROR(INDEX(Clients!$A$5:$A$254,MATCH(C175,Clients!$B$5:$B$254,0)),""))</f>
        <v>0</v>
      </c>
      <c r="J175" s="50">
        <f>IF(I175="","",TEXT(I175,"ddd"))</f>
        <v>0</v>
      </c>
      <c r="M175" s="51">
        <f>IF(OR(K175="",L175=""),"",ROUND((L175-K175+IF(L175&lt;K175,1,0))*24,2))</f>
        <v>0</v>
      </c>
      <c r="O175" s="28">
        <f>IF(H175="","",IFERROR(INDEX(Services!$E$5:$E$54,MATCH(H175,Services!$B$5:$B$54,0)),""))</f>
        <v>0</v>
      </c>
      <c r="P175" s="29">
        <f>IF(H175="","",IFERROR(INDEX(Services!$G$5:$G$54,MATCH(H175,Services!$B$5:$B$54,0)),0))</f>
        <v>0</v>
      </c>
      <c r="Q175" s="29">
        <f>IF(H175="","",IF(IFERROR(INDEX(Services!$H$5:$H$54,MATCH(H175,Services!$B$5:$B$54,0)),0)=0,ExtraPetFeeDefault,IFERROR(INDEX(Services!$H$5:$H$54,MATCH(H175,Services!$B$5:$B$54,0)),0)))</f>
        <v>0</v>
      </c>
      <c r="R175" s="30">
        <f>IF(H175="","",IF(IFERROR(INDEX(Services!$I$5:$I$54,MATCH(H175,Services!$B$5:$B$54,0)),0)=0,HolidaySurcharge,IFERROR(INDEX(Services!$I$5:$I$54,MATCH(H175,Services!$B$5:$B$54,0)),0)))</f>
        <v>0</v>
      </c>
      <c r="S175" s="30">
        <f>IF(H175="","",IF(IFERROR(INDEX(Services!$J$5:$J$54,MATCH(H175,Services!$B$5:$B$54,0)),0)=0,WeekendSurcharge,IFERROR(INDEX(Services!$J$5:$J$54,MATCH(H175,Services!$B$5:$B$54,0)),0)))</f>
        <v>0</v>
      </c>
      <c r="T175" s="50">
        <f>IF(H175="","",IFERROR(INDEX(Services!$K$5:$K$54,MATCH(H175,Services!$B$5:$B$54,0)),"No"))</f>
        <v>0</v>
      </c>
      <c r="U175" s="29">
        <f>IF(H175="","",ROUND(IF(O175="Per hour",P175*IF(M175="",IF(N175="",1,N175),M175),P175*IF(N175="",1,N175)),2))</f>
        <v>0</v>
      </c>
      <c r="V175" s="29">
        <f>IF(H175="","",ROUND(MAX(0,IF(G175="",1,G175)-1)*Q175,2))</f>
        <v>0</v>
      </c>
      <c r="W175" s="50">
        <f>IF(I175="","",IF(COUNTIF(HolidayDates,I175)&gt;0,"Yes","No"))</f>
        <v>0</v>
      </c>
      <c r="X175" s="50">
        <f>IF(I175="","",IF(WEEKDAY(I175,2)&gt;5,"Yes","No"))</f>
        <v>0</v>
      </c>
      <c r="Y175" s="29">
        <f>IF(H175="","",ROUND((U175+V175)*(IF(W175="Yes",R175,0)+IF(X175="Yes",S175,0)),2))</f>
        <v>0</v>
      </c>
      <c r="AA175" s="29">
        <f>IF(H175="","",IF(T175&lt;&gt;"Yes",0,ROUND(MAX(0,IF(Z175="",0,Z175)-FreeTravelDistance)*TravelFeeRate,2)))</f>
        <v>0</v>
      </c>
      <c r="AB175" s="31">
        <f>IF(I175="","",TravelTimeMins)</f>
        <v>0</v>
      </c>
      <c r="AC175" s="29">
        <f>IF(OR(I175="",B175=""),0,IF(I175-B175&lt;=LastMinuteDays,EmergencyFee,0))</f>
        <v>0</v>
      </c>
      <c r="AF175" s="29">
        <f>IF(H175="","",ROUND((U175+V175+Y175+AA175+AC175)*IF(AE175="",0,AE175),2))</f>
        <v>0</v>
      </c>
      <c r="AI175" s="29">
        <f>IF(H175="","",IF(AG175&lt;&gt;"",AG175,ROUND(U175+V175+Y175+AA175+AC175-AF175,2)))</f>
        <v>0</v>
      </c>
      <c r="AJ175" s="29">
        <f>IF(AI175="","",IF(TaxRegistered&lt;&gt;"Yes",0,IF(PricesIncludeTax="Yes",ROUND(AI175-AI175/(1+TaxRate),2),ROUND(AI175*TaxRate,2))))</f>
        <v>0</v>
      </c>
      <c r="AK175" s="29">
        <f>IF(AI175="","",IF(PricesIncludeTax="Yes",AI175,ROUND(AI175+AJ175,2)))</f>
        <v>0</v>
      </c>
      <c r="AQ175" s="21">
        <f>IF(OR(I175="",AP175="",AP175="None"),"",IF(AP175="Monthly",EDATE(I175,1),I175+IF(AP175="Daily",1,IF(AP175="Weekdays",IF(WEEKDAY(I175,2)&gt;=5,8-WEEKDAY(I175,2),1),IF(AP175="Weekly",7,IF(AP175="Fortnightly",14,0))))))</f>
        <v>0</v>
      </c>
      <c r="AR175" s="49">
        <f>IF(OR(I175="",AL175="",K175="",L175=""),"",IF(SUMPRODUCT((Bookings!$AL$5:$AL$404=AL175)*(Bookings!$I$5:$I$404=I175)*(Bookings!$K$5:$K$404&lt;L175)*(Bookings!$L$5:$L$404&gt;K175)*(Bookings!$AM$5:$AM$404&lt;&gt;"Cancelled"))&gt;1,"Conflict - double booked","OK"))</f>
        <v>0</v>
      </c>
      <c r="AS175" s="50">
        <f>IF(A175="","",IF(COUNTIF('Visit Log'!$B$5:$B$404,A175)&gt;0,"Yes","No"))</f>
        <v>0</v>
      </c>
      <c r="AT175" s="28">
        <f>IF(A175="","",IFERROR(INDEX(Invoices!$A$5:$A$304,MATCH(A175,Invoices!$E$5:$E$304,0)),""))</f>
        <v>0</v>
      </c>
      <c r="AU175" s="49">
        <f>IF(A175="","",IF(AT175="","Not invoiced",IFERROR(INDEX(Invoices!$U$5:$U$304,MATCH(AT175,Invoices!$A$5:$A$304,0)),"")))</f>
        <v>0</v>
      </c>
      <c r="AY175" s="28">
        <f>IF(I175="","",TEXT(I175,"yyyy-mm"))</f>
        <v>0</v>
      </c>
      <c r="AZ175" s="49">
        <f>IF(I175="","",IF(AM175="Cancelled","Cancelled",IF(AND(I175&lt;TODAY(),OR(AM175="Pending",AM175="Confirmed",AM175="Enquiry")),"Overdue - update status",IF(AND(AM175="Completed",AS175="No"),"Action - log the visit",IF(I175=TODAY(),"Today",IF(AND(I175&gt;TODAY(),I175-TODAY()&lt;=ReminderLeadDays,AN175&lt;&gt;"Yes"),"Action - unconfirmed",IF(AND(I175&gt;TODAY(),I175-TODAY()&lt;=ReminderLeadDays),"Upcoming","OK")))))))</f>
        <v>0</v>
      </c>
    </row>
    <row r="176" spans="1:52">
      <c r="A176" s="46">
        <f>IF(C176="","",BookingPrefix&amp;TEXT(ROW()-4,"0000"))</f>
        <v>0</v>
      </c>
      <c r="D176" s="28">
        <f>IF(C176="","",IFERROR(INDEX(Clients!$A$5:$A$254,MATCH(C176,Clients!$B$5:$B$254,0)),""))</f>
        <v>0</v>
      </c>
      <c r="J176" s="50">
        <f>IF(I176="","",TEXT(I176,"ddd"))</f>
        <v>0</v>
      </c>
      <c r="M176" s="51">
        <f>IF(OR(K176="",L176=""),"",ROUND((L176-K176+IF(L176&lt;K176,1,0))*24,2))</f>
        <v>0</v>
      </c>
      <c r="O176" s="28">
        <f>IF(H176="","",IFERROR(INDEX(Services!$E$5:$E$54,MATCH(H176,Services!$B$5:$B$54,0)),""))</f>
        <v>0</v>
      </c>
      <c r="P176" s="29">
        <f>IF(H176="","",IFERROR(INDEX(Services!$G$5:$G$54,MATCH(H176,Services!$B$5:$B$54,0)),0))</f>
        <v>0</v>
      </c>
      <c r="Q176" s="29">
        <f>IF(H176="","",IF(IFERROR(INDEX(Services!$H$5:$H$54,MATCH(H176,Services!$B$5:$B$54,0)),0)=0,ExtraPetFeeDefault,IFERROR(INDEX(Services!$H$5:$H$54,MATCH(H176,Services!$B$5:$B$54,0)),0)))</f>
        <v>0</v>
      </c>
      <c r="R176" s="30">
        <f>IF(H176="","",IF(IFERROR(INDEX(Services!$I$5:$I$54,MATCH(H176,Services!$B$5:$B$54,0)),0)=0,HolidaySurcharge,IFERROR(INDEX(Services!$I$5:$I$54,MATCH(H176,Services!$B$5:$B$54,0)),0)))</f>
        <v>0</v>
      </c>
      <c r="S176" s="30">
        <f>IF(H176="","",IF(IFERROR(INDEX(Services!$J$5:$J$54,MATCH(H176,Services!$B$5:$B$54,0)),0)=0,WeekendSurcharge,IFERROR(INDEX(Services!$J$5:$J$54,MATCH(H176,Services!$B$5:$B$54,0)),0)))</f>
        <v>0</v>
      </c>
      <c r="T176" s="50">
        <f>IF(H176="","",IFERROR(INDEX(Services!$K$5:$K$54,MATCH(H176,Services!$B$5:$B$54,0)),"No"))</f>
        <v>0</v>
      </c>
      <c r="U176" s="29">
        <f>IF(H176="","",ROUND(IF(O176="Per hour",P176*IF(M176="",IF(N176="",1,N176),M176),P176*IF(N176="",1,N176)),2))</f>
        <v>0</v>
      </c>
      <c r="V176" s="29">
        <f>IF(H176="","",ROUND(MAX(0,IF(G176="",1,G176)-1)*Q176,2))</f>
        <v>0</v>
      </c>
      <c r="W176" s="50">
        <f>IF(I176="","",IF(COUNTIF(HolidayDates,I176)&gt;0,"Yes","No"))</f>
        <v>0</v>
      </c>
      <c r="X176" s="50">
        <f>IF(I176="","",IF(WEEKDAY(I176,2)&gt;5,"Yes","No"))</f>
        <v>0</v>
      </c>
      <c r="Y176" s="29">
        <f>IF(H176="","",ROUND((U176+V176)*(IF(W176="Yes",R176,0)+IF(X176="Yes",S176,0)),2))</f>
        <v>0</v>
      </c>
      <c r="AA176" s="29">
        <f>IF(H176="","",IF(T176&lt;&gt;"Yes",0,ROUND(MAX(0,IF(Z176="",0,Z176)-FreeTravelDistance)*TravelFeeRate,2)))</f>
        <v>0</v>
      </c>
      <c r="AB176" s="31">
        <f>IF(I176="","",TravelTimeMins)</f>
        <v>0</v>
      </c>
      <c r="AC176" s="29">
        <f>IF(OR(I176="",B176=""),0,IF(I176-B176&lt;=LastMinuteDays,EmergencyFee,0))</f>
        <v>0</v>
      </c>
      <c r="AF176" s="29">
        <f>IF(H176="","",ROUND((U176+V176+Y176+AA176+AC176)*IF(AE176="",0,AE176),2))</f>
        <v>0</v>
      </c>
      <c r="AI176" s="29">
        <f>IF(H176="","",IF(AG176&lt;&gt;"",AG176,ROUND(U176+V176+Y176+AA176+AC176-AF176,2)))</f>
        <v>0</v>
      </c>
      <c r="AJ176" s="29">
        <f>IF(AI176="","",IF(TaxRegistered&lt;&gt;"Yes",0,IF(PricesIncludeTax="Yes",ROUND(AI176-AI176/(1+TaxRate),2),ROUND(AI176*TaxRate,2))))</f>
        <v>0</v>
      </c>
      <c r="AK176" s="29">
        <f>IF(AI176="","",IF(PricesIncludeTax="Yes",AI176,ROUND(AI176+AJ176,2)))</f>
        <v>0</v>
      </c>
      <c r="AQ176" s="21">
        <f>IF(OR(I176="",AP176="",AP176="None"),"",IF(AP176="Monthly",EDATE(I176,1),I176+IF(AP176="Daily",1,IF(AP176="Weekdays",IF(WEEKDAY(I176,2)&gt;=5,8-WEEKDAY(I176,2),1),IF(AP176="Weekly",7,IF(AP176="Fortnightly",14,0))))))</f>
        <v>0</v>
      </c>
      <c r="AR176" s="49">
        <f>IF(OR(I176="",AL176="",K176="",L176=""),"",IF(SUMPRODUCT((Bookings!$AL$5:$AL$404=AL176)*(Bookings!$I$5:$I$404=I176)*(Bookings!$K$5:$K$404&lt;L176)*(Bookings!$L$5:$L$404&gt;K176)*(Bookings!$AM$5:$AM$404&lt;&gt;"Cancelled"))&gt;1,"Conflict - double booked","OK"))</f>
        <v>0</v>
      </c>
      <c r="AS176" s="50">
        <f>IF(A176="","",IF(COUNTIF('Visit Log'!$B$5:$B$404,A176)&gt;0,"Yes","No"))</f>
        <v>0</v>
      </c>
      <c r="AT176" s="28">
        <f>IF(A176="","",IFERROR(INDEX(Invoices!$A$5:$A$304,MATCH(A176,Invoices!$E$5:$E$304,0)),""))</f>
        <v>0</v>
      </c>
      <c r="AU176" s="49">
        <f>IF(A176="","",IF(AT176="","Not invoiced",IFERROR(INDEX(Invoices!$U$5:$U$304,MATCH(AT176,Invoices!$A$5:$A$304,0)),"")))</f>
        <v>0</v>
      </c>
      <c r="AY176" s="28">
        <f>IF(I176="","",TEXT(I176,"yyyy-mm"))</f>
        <v>0</v>
      </c>
      <c r="AZ176" s="49">
        <f>IF(I176="","",IF(AM176="Cancelled","Cancelled",IF(AND(I176&lt;TODAY(),OR(AM176="Pending",AM176="Confirmed",AM176="Enquiry")),"Overdue - update status",IF(AND(AM176="Completed",AS176="No"),"Action - log the visit",IF(I176=TODAY(),"Today",IF(AND(I176&gt;TODAY(),I176-TODAY()&lt;=ReminderLeadDays,AN176&lt;&gt;"Yes"),"Action - unconfirmed",IF(AND(I176&gt;TODAY(),I176-TODAY()&lt;=ReminderLeadDays),"Upcoming","OK")))))))</f>
        <v>0</v>
      </c>
    </row>
    <row r="177" spans="1:52">
      <c r="A177" s="46">
        <f>IF(C177="","",BookingPrefix&amp;TEXT(ROW()-4,"0000"))</f>
        <v>0</v>
      </c>
      <c r="D177" s="28">
        <f>IF(C177="","",IFERROR(INDEX(Clients!$A$5:$A$254,MATCH(C177,Clients!$B$5:$B$254,0)),""))</f>
        <v>0</v>
      </c>
      <c r="J177" s="50">
        <f>IF(I177="","",TEXT(I177,"ddd"))</f>
        <v>0</v>
      </c>
      <c r="M177" s="51">
        <f>IF(OR(K177="",L177=""),"",ROUND((L177-K177+IF(L177&lt;K177,1,0))*24,2))</f>
        <v>0</v>
      </c>
      <c r="O177" s="28">
        <f>IF(H177="","",IFERROR(INDEX(Services!$E$5:$E$54,MATCH(H177,Services!$B$5:$B$54,0)),""))</f>
        <v>0</v>
      </c>
      <c r="P177" s="29">
        <f>IF(H177="","",IFERROR(INDEX(Services!$G$5:$G$54,MATCH(H177,Services!$B$5:$B$54,0)),0))</f>
        <v>0</v>
      </c>
      <c r="Q177" s="29">
        <f>IF(H177="","",IF(IFERROR(INDEX(Services!$H$5:$H$54,MATCH(H177,Services!$B$5:$B$54,0)),0)=0,ExtraPetFeeDefault,IFERROR(INDEX(Services!$H$5:$H$54,MATCH(H177,Services!$B$5:$B$54,0)),0)))</f>
        <v>0</v>
      </c>
      <c r="R177" s="30">
        <f>IF(H177="","",IF(IFERROR(INDEX(Services!$I$5:$I$54,MATCH(H177,Services!$B$5:$B$54,0)),0)=0,HolidaySurcharge,IFERROR(INDEX(Services!$I$5:$I$54,MATCH(H177,Services!$B$5:$B$54,0)),0)))</f>
        <v>0</v>
      </c>
      <c r="S177" s="30">
        <f>IF(H177="","",IF(IFERROR(INDEX(Services!$J$5:$J$54,MATCH(H177,Services!$B$5:$B$54,0)),0)=0,WeekendSurcharge,IFERROR(INDEX(Services!$J$5:$J$54,MATCH(H177,Services!$B$5:$B$54,0)),0)))</f>
        <v>0</v>
      </c>
      <c r="T177" s="50">
        <f>IF(H177="","",IFERROR(INDEX(Services!$K$5:$K$54,MATCH(H177,Services!$B$5:$B$54,0)),"No"))</f>
        <v>0</v>
      </c>
      <c r="U177" s="29">
        <f>IF(H177="","",ROUND(IF(O177="Per hour",P177*IF(M177="",IF(N177="",1,N177),M177),P177*IF(N177="",1,N177)),2))</f>
        <v>0</v>
      </c>
      <c r="V177" s="29">
        <f>IF(H177="","",ROUND(MAX(0,IF(G177="",1,G177)-1)*Q177,2))</f>
        <v>0</v>
      </c>
      <c r="W177" s="50">
        <f>IF(I177="","",IF(COUNTIF(HolidayDates,I177)&gt;0,"Yes","No"))</f>
        <v>0</v>
      </c>
      <c r="X177" s="50">
        <f>IF(I177="","",IF(WEEKDAY(I177,2)&gt;5,"Yes","No"))</f>
        <v>0</v>
      </c>
      <c r="Y177" s="29">
        <f>IF(H177="","",ROUND((U177+V177)*(IF(W177="Yes",R177,0)+IF(X177="Yes",S177,0)),2))</f>
        <v>0</v>
      </c>
      <c r="AA177" s="29">
        <f>IF(H177="","",IF(T177&lt;&gt;"Yes",0,ROUND(MAX(0,IF(Z177="",0,Z177)-FreeTravelDistance)*TravelFeeRate,2)))</f>
        <v>0</v>
      </c>
      <c r="AB177" s="31">
        <f>IF(I177="","",TravelTimeMins)</f>
        <v>0</v>
      </c>
      <c r="AC177" s="29">
        <f>IF(OR(I177="",B177=""),0,IF(I177-B177&lt;=LastMinuteDays,EmergencyFee,0))</f>
        <v>0</v>
      </c>
      <c r="AF177" s="29">
        <f>IF(H177="","",ROUND((U177+V177+Y177+AA177+AC177)*IF(AE177="",0,AE177),2))</f>
        <v>0</v>
      </c>
      <c r="AI177" s="29">
        <f>IF(H177="","",IF(AG177&lt;&gt;"",AG177,ROUND(U177+V177+Y177+AA177+AC177-AF177,2)))</f>
        <v>0</v>
      </c>
      <c r="AJ177" s="29">
        <f>IF(AI177="","",IF(TaxRegistered&lt;&gt;"Yes",0,IF(PricesIncludeTax="Yes",ROUND(AI177-AI177/(1+TaxRate),2),ROUND(AI177*TaxRate,2))))</f>
        <v>0</v>
      </c>
      <c r="AK177" s="29">
        <f>IF(AI177="","",IF(PricesIncludeTax="Yes",AI177,ROUND(AI177+AJ177,2)))</f>
        <v>0</v>
      </c>
      <c r="AQ177" s="21">
        <f>IF(OR(I177="",AP177="",AP177="None"),"",IF(AP177="Monthly",EDATE(I177,1),I177+IF(AP177="Daily",1,IF(AP177="Weekdays",IF(WEEKDAY(I177,2)&gt;=5,8-WEEKDAY(I177,2),1),IF(AP177="Weekly",7,IF(AP177="Fortnightly",14,0))))))</f>
        <v>0</v>
      </c>
      <c r="AR177" s="49">
        <f>IF(OR(I177="",AL177="",K177="",L177=""),"",IF(SUMPRODUCT((Bookings!$AL$5:$AL$404=AL177)*(Bookings!$I$5:$I$404=I177)*(Bookings!$K$5:$K$404&lt;L177)*(Bookings!$L$5:$L$404&gt;K177)*(Bookings!$AM$5:$AM$404&lt;&gt;"Cancelled"))&gt;1,"Conflict - double booked","OK"))</f>
        <v>0</v>
      </c>
      <c r="AS177" s="50">
        <f>IF(A177="","",IF(COUNTIF('Visit Log'!$B$5:$B$404,A177)&gt;0,"Yes","No"))</f>
        <v>0</v>
      </c>
      <c r="AT177" s="28">
        <f>IF(A177="","",IFERROR(INDEX(Invoices!$A$5:$A$304,MATCH(A177,Invoices!$E$5:$E$304,0)),""))</f>
        <v>0</v>
      </c>
      <c r="AU177" s="49">
        <f>IF(A177="","",IF(AT177="","Not invoiced",IFERROR(INDEX(Invoices!$U$5:$U$304,MATCH(AT177,Invoices!$A$5:$A$304,0)),"")))</f>
        <v>0</v>
      </c>
      <c r="AY177" s="28">
        <f>IF(I177="","",TEXT(I177,"yyyy-mm"))</f>
        <v>0</v>
      </c>
      <c r="AZ177" s="49">
        <f>IF(I177="","",IF(AM177="Cancelled","Cancelled",IF(AND(I177&lt;TODAY(),OR(AM177="Pending",AM177="Confirmed",AM177="Enquiry")),"Overdue - update status",IF(AND(AM177="Completed",AS177="No"),"Action - log the visit",IF(I177=TODAY(),"Today",IF(AND(I177&gt;TODAY(),I177-TODAY()&lt;=ReminderLeadDays,AN177&lt;&gt;"Yes"),"Action - unconfirmed",IF(AND(I177&gt;TODAY(),I177-TODAY()&lt;=ReminderLeadDays),"Upcoming","OK")))))))</f>
        <v>0</v>
      </c>
    </row>
    <row r="178" spans="1:52">
      <c r="A178" s="46">
        <f>IF(C178="","",BookingPrefix&amp;TEXT(ROW()-4,"0000"))</f>
        <v>0</v>
      </c>
      <c r="D178" s="28">
        <f>IF(C178="","",IFERROR(INDEX(Clients!$A$5:$A$254,MATCH(C178,Clients!$B$5:$B$254,0)),""))</f>
        <v>0</v>
      </c>
      <c r="J178" s="50">
        <f>IF(I178="","",TEXT(I178,"ddd"))</f>
        <v>0</v>
      </c>
      <c r="M178" s="51">
        <f>IF(OR(K178="",L178=""),"",ROUND((L178-K178+IF(L178&lt;K178,1,0))*24,2))</f>
        <v>0</v>
      </c>
      <c r="O178" s="28">
        <f>IF(H178="","",IFERROR(INDEX(Services!$E$5:$E$54,MATCH(H178,Services!$B$5:$B$54,0)),""))</f>
        <v>0</v>
      </c>
      <c r="P178" s="29">
        <f>IF(H178="","",IFERROR(INDEX(Services!$G$5:$G$54,MATCH(H178,Services!$B$5:$B$54,0)),0))</f>
        <v>0</v>
      </c>
      <c r="Q178" s="29">
        <f>IF(H178="","",IF(IFERROR(INDEX(Services!$H$5:$H$54,MATCH(H178,Services!$B$5:$B$54,0)),0)=0,ExtraPetFeeDefault,IFERROR(INDEX(Services!$H$5:$H$54,MATCH(H178,Services!$B$5:$B$54,0)),0)))</f>
        <v>0</v>
      </c>
      <c r="R178" s="30">
        <f>IF(H178="","",IF(IFERROR(INDEX(Services!$I$5:$I$54,MATCH(H178,Services!$B$5:$B$54,0)),0)=0,HolidaySurcharge,IFERROR(INDEX(Services!$I$5:$I$54,MATCH(H178,Services!$B$5:$B$54,0)),0)))</f>
        <v>0</v>
      </c>
      <c r="S178" s="30">
        <f>IF(H178="","",IF(IFERROR(INDEX(Services!$J$5:$J$54,MATCH(H178,Services!$B$5:$B$54,0)),0)=0,WeekendSurcharge,IFERROR(INDEX(Services!$J$5:$J$54,MATCH(H178,Services!$B$5:$B$54,0)),0)))</f>
        <v>0</v>
      </c>
      <c r="T178" s="50">
        <f>IF(H178="","",IFERROR(INDEX(Services!$K$5:$K$54,MATCH(H178,Services!$B$5:$B$54,0)),"No"))</f>
        <v>0</v>
      </c>
      <c r="U178" s="29">
        <f>IF(H178="","",ROUND(IF(O178="Per hour",P178*IF(M178="",IF(N178="",1,N178),M178),P178*IF(N178="",1,N178)),2))</f>
        <v>0</v>
      </c>
      <c r="V178" s="29">
        <f>IF(H178="","",ROUND(MAX(0,IF(G178="",1,G178)-1)*Q178,2))</f>
        <v>0</v>
      </c>
      <c r="W178" s="50">
        <f>IF(I178="","",IF(COUNTIF(HolidayDates,I178)&gt;0,"Yes","No"))</f>
        <v>0</v>
      </c>
      <c r="X178" s="50">
        <f>IF(I178="","",IF(WEEKDAY(I178,2)&gt;5,"Yes","No"))</f>
        <v>0</v>
      </c>
      <c r="Y178" s="29">
        <f>IF(H178="","",ROUND((U178+V178)*(IF(W178="Yes",R178,0)+IF(X178="Yes",S178,0)),2))</f>
        <v>0</v>
      </c>
      <c r="AA178" s="29">
        <f>IF(H178="","",IF(T178&lt;&gt;"Yes",0,ROUND(MAX(0,IF(Z178="",0,Z178)-FreeTravelDistance)*TravelFeeRate,2)))</f>
        <v>0</v>
      </c>
      <c r="AB178" s="31">
        <f>IF(I178="","",TravelTimeMins)</f>
        <v>0</v>
      </c>
      <c r="AC178" s="29">
        <f>IF(OR(I178="",B178=""),0,IF(I178-B178&lt;=LastMinuteDays,EmergencyFee,0))</f>
        <v>0</v>
      </c>
      <c r="AF178" s="29">
        <f>IF(H178="","",ROUND((U178+V178+Y178+AA178+AC178)*IF(AE178="",0,AE178),2))</f>
        <v>0</v>
      </c>
      <c r="AI178" s="29">
        <f>IF(H178="","",IF(AG178&lt;&gt;"",AG178,ROUND(U178+V178+Y178+AA178+AC178-AF178,2)))</f>
        <v>0</v>
      </c>
      <c r="AJ178" s="29">
        <f>IF(AI178="","",IF(TaxRegistered&lt;&gt;"Yes",0,IF(PricesIncludeTax="Yes",ROUND(AI178-AI178/(1+TaxRate),2),ROUND(AI178*TaxRate,2))))</f>
        <v>0</v>
      </c>
      <c r="AK178" s="29">
        <f>IF(AI178="","",IF(PricesIncludeTax="Yes",AI178,ROUND(AI178+AJ178,2)))</f>
        <v>0</v>
      </c>
      <c r="AQ178" s="21">
        <f>IF(OR(I178="",AP178="",AP178="None"),"",IF(AP178="Monthly",EDATE(I178,1),I178+IF(AP178="Daily",1,IF(AP178="Weekdays",IF(WEEKDAY(I178,2)&gt;=5,8-WEEKDAY(I178,2),1),IF(AP178="Weekly",7,IF(AP178="Fortnightly",14,0))))))</f>
        <v>0</v>
      </c>
      <c r="AR178" s="49">
        <f>IF(OR(I178="",AL178="",K178="",L178=""),"",IF(SUMPRODUCT((Bookings!$AL$5:$AL$404=AL178)*(Bookings!$I$5:$I$404=I178)*(Bookings!$K$5:$K$404&lt;L178)*(Bookings!$L$5:$L$404&gt;K178)*(Bookings!$AM$5:$AM$404&lt;&gt;"Cancelled"))&gt;1,"Conflict - double booked","OK"))</f>
        <v>0</v>
      </c>
      <c r="AS178" s="50">
        <f>IF(A178="","",IF(COUNTIF('Visit Log'!$B$5:$B$404,A178)&gt;0,"Yes","No"))</f>
        <v>0</v>
      </c>
      <c r="AT178" s="28">
        <f>IF(A178="","",IFERROR(INDEX(Invoices!$A$5:$A$304,MATCH(A178,Invoices!$E$5:$E$304,0)),""))</f>
        <v>0</v>
      </c>
      <c r="AU178" s="49">
        <f>IF(A178="","",IF(AT178="","Not invoiced",IFERROR(INDEX(Invoices!$U$5:$U$304,MATCH(AT178,Invoices!$A$5:$A$304,0)),"")))</f>
        <v>0</v>
      </c>
      <c r="AY178" s="28">
        <f>IF(I178="","",TEXT(I178,"yyyy-mm"))</f>
        <v>0</v>
      </c>
      <c r="AZ178" s="49">
        <f>IF(I178="","",IF(AM178="Cancelled","Cancelled",IF(AND(I178&lt;TODAY(),OR(AM178="Pending",AM178="Confirmed",AM178="Enquiry")),"Overdue - update status",IF(AND(AM178="Completed",AS178="No"),"Action - log the visit",IF(I178=TODAY(),"Today",IF(AND(I178&gt;TODAY(),I178-TODAY()&lt;=ReminderLeadDays,AN178&lt;&gt;"Yes"),"Action - unconfirmed",IF(AND(I178&gt;TODAY(),I178-TODAY()&lt;=ReminderLeadDays),"Upcoming","OK")))))))</f>
        <v>0</v>
      </c>
    </row>
    <row r="179" spans="1:52">
      <c r="A179" s="46">
        <f>IF(C179="","",BookingPrefix&amp;TEXT(ROW()-4,"0000"))</f>
        <v>0</v>
      </c>
      <c r="D179" s="28">
        <f>IF(C179="","",IFERROR(INDEX(Clients!$A$5:$A$254,MATCH(C179,Clients!$B$5:$B$254,0)),""))</f>
        <v>0</v>
      </c>
      <c r="J179" s="50">
        <f>IF(I179="","",TEXT(I179,"ddd"))</f>
        <v>0</v>
      </c>
      <c r="M179" s="51">
        <f>IF(OR(K179="",L179=""),"",ROUND((L179-K179+IF(L179&lt;K179,1,0))*24,2))</f>
        <v>0</v>
      </c>
      <c r="O179" s="28">
        <f>IF(H179="","",IFERROR(INDEX(Services!$E$5:$E$54,MATCH(H179,Services!$B$5:$B$54,0)),""))</f>
        <v>0</v>
      </c>
      <c r="P179" s="29">
        <f>IF(H179="","",IFERROR(INDEX(Services!$G$5:$G$54,MATCH(H179,Services!$B$5:$B$54,0)),0))</f>
        <v>0</v>
      </c>
      <c r="Q179" s="29">
        <f>IF(H179="","",IF(IFERROR(INDEX(Services!$H$5:$H$54,MATCH(H179,Services!$B$5:$B$54,0)),0)=0,ExtraPetFeeDefault,IFERROR(INDEX(Services!$H$5:$H$54,MATCH(H179,Services!$B$5:$B$54,0)),0)))</f>
        <v>0</v>
      </c>
      <c r="R179" s="30">
        <f>IF(H179="","",IF(IFERROR(INDEX(Services!$I$5:$I$54,MATCH(H179,Services!$B$5:$B$54,0)),0)=0,HolidaySurcharge,IFERROR(INDEX(Services!$I$5:$I$54,MATCH(H179,Services!$B$5:$B$54,0)),0)))</f>
        <v>0</v>
      </c>
      <c r="S179" s="30">
        <f>IF(H179="","",IF(IFERROR(INDEX(Services!$J$5:$J$54,MATCH(H179,Services!$B$5:$B$54,0)),0)=0,WeekendSurcharge,IFERROR(INDEX(Services!$J$5:$J$54,MATCH(H179,Services!$B$5:$B$54,0)),0)))</f>
        <v>0</v>
      </c>
      <c r="T179" s="50">
        <f>IF(H179="","",IFERROR(INDEX(Services!$K$5:$K$54,MATCH(H179,Services!$B$5:$B$54,0)),"No"))</f>
        <v>0</v>
      </c>
      <c r="U179" s="29">
        <f>IF(H179="","",ROUND(IF(O179="Per hour",P179*IF(M179="",IF(N179="",1,N179),M179),P179*IF(N179="",1,N179)),2))</f>
        <v>0</v>
      </c>
      <c r="V179" s="29">
        <f>IF(H179="","",ROUND(MAX(0,IF(G179="",1,G179)-1)*Q179,2))</f>
        <v>0</v>
      </c>
      <c r="W179" s="50">
        <f>IF(I179="","",IF(COUNTIF(HolidayDates,I179)&gt;0,"Yes","No"))</f>
        <v>0</v>
      </c>
      <c r="X179" s="50">
        <f>IF(I179="","",IF(WEEKDAY(I179,2)&gt;5,"Yes","No"))</f>
        <v>0</v>
      </c>
      <c r="Y179" s="29">
        <f>IF(H179="","",ROUND((U179+V179)*(IF(W179="Yes",R179,0)+IF(X179="Yes",S179,0)),2))</f>
        <v>0</v>
      </c>
      <c r="AA179" s="29">
        <f>IF(H179="","",IF(T179&lt;&gt;"Yes",0,ROUND(MAX(0,IF(Z179="",0,Z179)-FreeTravelDistance)*TravelFeeRate,2)))</f>
        <v>0</v>
      </c>
      <c r="AB179" s="31">
        <f>IF(I179="","",TravelTimeMins)</f>
        <v>0</v>
      </c>
      <c r="AC179" s="29">
        <f>IF(OR(I179="",B179=""),0,IF(I179-B179&lt;=LastMinuteDays,EmergencyFee,0))</f>
        <v>0</v>
      </c>
      <c r="AF179" s="29">
        <f>IF(H179="","",ROUND((U179+V179+Y179+AA179+AC179)*IF(AE179="",0,AE179),2))</f>
        <v>0</v>
      </c>
      <c r="AI179" s="29">
        <f>IF(H179="","",IF(AG179&lt;&gt;"",AG179,ROUND(U179+V179+Y179+AA179+AC179-AF179,2)))</f>
        <v>0</v>
      </c>
      <c r="AJ179" s="29">
        <f>IF(AI179="","",IF(TaxRegistered&lt;&gt;"Yes",0,IF(PricesIncludeTax="Yes",ROUND(AI179-AI179/(1+TaxRate),2),ROUND(AI179*TaxRate,2))))</f>
        <v>0</v>
      </c>
      <c r="AK179" s="29">
        <f>IF(AI179="","",IF(PricesIncludeTax="Yes",AI179,ROUND(AI179+AJ179,2)))</f>
        <v>0</v>
      </c>
      <c r="AQ179" s="21">
        <f>IF(OR(I179="",AP179="",AP179="None"),"",IF(AP179="Monthly",EDATE(I179,1),I179+IF(AP179="Daily",1,IF(AP179="Weekdays",IF(WEEKDAY(I179,2)&gt;=5,8-WEEKDAY(I179,2),1),IF(AP179="Weekly",7,IF(AP179="Fortnightly",14,0))))))</f>
        <v>0</v>
      </c>
      <c r="AR179" s="49">
        <f>IF(OR(I179="",AL179="",K179="",L179=""),"",IF(SUMPRODUCT((Bookings!$AL$5:$AL$404=AL179)*(Bookings!$I$5:$I$404=I179)*(Bookings!$K$5:$K$404&lt;L179)*(Bookings!$L$5:$L$404&gt;K179)*(Bookings!$AM$5:$AM$404&lt;&gt;"Cancelled"))&gt;1,"Conflict - double booked","OK"))</f>
        <v>0</v>
      </c>
      <c r="AS179" s="50">
        <f>IF(A179="","",IF(COUNTIF('Visit Log'!$B$5:$B$404,A179)&gt;0,"Yes","No"))</f>
        <v>0</v>
      </c>
      <c r="AT179" s="28">
        <f>IF(A179="","",IFERROR(INDEX(Invoices!$A$5:$A$304,MATCH(A179,Invoices!$E$5:$E$304,0)),""))</f>
        <v>0</v>
      </c>
      <c r="AU179" s="49">
        <f>IF(A179="","",IF(AT179="","Not invoiced",IFERROR(INDEX(Invoices!$U$5:$U$304,MATCH(AT179,Invoices!$A$5:$A$304,0)),"")))</f>
        <v>0</v>
      </c>
      <c r="AY179" s="28">
        <f>IF(I179="","",TEXT(I179,"yyyy-mm"))</f>
        <v>0</v>
      </c>
      <c r="AZ179" s="49">
        <f>IF(I179="","",IF(AM179="Cancelled","Cancelled",IF(AND(I179&lt;TODAY(),OR(AM179="Pending",AM179="Confirmed",AM179="Enquiry")),"Overdue - update status",IF(AND(AM179="Completed",AS179="No"),"Action - log the visit",IF(I179=TODAY(),"Today",IF(AND(I179&gt;TODAY(),I179-TODAY()&lt;=ReminderLeadDays,AN179&lt;&gt;"Yes"),"Action - unconfirmed",IF(AND(I179&gt;TODAY(),I179-TODAY()&lt;=ReminderLeadDays),"Upcoming","OK")))))))</f>
        <v>0</v>
      </c>
    </row>
    <row r="180" spans="1:52">
      <c r="A180" s="46">
        <f>IF(C180="","",BookingPrefix&amp;TEXT(ROW()-4,"0000"))</f>
        <v>0</v>
      </c>
      <c r="D180" s="28">
        <f>IF(C180="","",IFERROR(INDEX(Clients!$A$5:$A$254,MATCH(C180,Clients!$B$5:$B$254,0)),""))</f>
        <v>0</v>
      </c>
      <c r="J180" s="50">
        <f>IF(I180="","",TEXT(I180,"ddd"))</f>
        <v>0</v>
      </c>
      <c r="M180" s="51">
        <f>IF(OR(K180="",L180=""),"",ROUND((L180-K180+IF(L180&lt;K180,1,0))*24,2))</f>
        <v>0</v>
      </c>
      <c r="O180" s="28">
        <f>IF(H180="","",IFERROR(INDEX(Services!$E$5:$E$54,MATCH(H180,Services!$B$5:$B$54,0)),""))</f>
        <v>0</v>
      </c>
      <c r="P180" s="29">
        <f>IF(H180="","",IFERROR(INDEX(Services!$G$5:$G$54,MATCH(H180,Services!$B$5:$B$54,0)),0))</f>
        <v>0</v>
      </c>
      <c r="Q180" s="29">
        <f>IF(H180="","",IF(IFERROR(INDEX(Services!$H$5:$H$54,MATCH(H180,Services!$B$5:$B$54,0)),0)=0,ExtraPetFeeDefault,IFERROR(INDEX(Services!$H$5:$H$54,MATCH(H180,Services!$B$5:$B$54,0)),0)))</f>
        <v>0</v>
      </c>
      <c r="R180" s="30">
        <f>IF(H180="","",IF(IFERROR(INDEX(Services!$I$5:$I$54,MATCH(H180,Services!$B$5:$B$54,0)),0)=0,HolidaySurcharge,IFERROR(INDEX(Services!$I$5:$I$54,MATCH(H180,Services!$B$5:$B$54,0)),0)))</f>
        <v>0</v>
      </c>
      <c r="S180" s="30">
        <f>IF(H180="","",IF(IFERROR(INDEX(Services!$J$5:$J$54,MATCH(H180,Services!$B$5:$B$54,0)),0)=0,WeekendSurcharge,IFERROR(INDEX(Services!$J$5:$J$54,MATCH(H180,Services!$B$5:$B$54,0)),0)))</f>
        <v>0</v>
      </c>
      <c r="T180" s="50">
        <f>IF(H180="","",IFERROR(INDEX(Services!$K$5:$K$54,MATCH(H180,Services!$B$5:$B$54,0)),"No"))</f>
        <v>0</v>
      </c>
      <c r="U180" s="29">
        <f>IF(H180="","",ROUND(IF(O180="Per hour",P180*IF(M180="",IF(N180="",1,N180),M180),P180*IF(N180="",1,N180)),2))</f>
        <v>0</v>
      </c>
      <c r="V180" s="29">
        <f>IF(H180="","",ROUND(MAX(0,IF(G180="",1,G180)-1)*Q180,2))</f>
        <v>0</v>
      </c>
      <c r="W180" s="50">
        <f>IF(I180="","",IF(COUNTIF(HolidayDates,I180)&gt;0,"Yes","No"))</f>
        <v>0</v>
      </c>
      <c r="X180" s="50">
        <f>IF(I180="","",IF(WEEKDAY(I180,2)&gt;5,"Yes","No"))</f>
        <v>0</v>
      </c>
      <c r="Y180" s="29">
        <f>IF(H180="","",ROUND((U180+V180)*(IF(W180="Yes",R180,0)+IF(X180="Yes",S180,0)),2))</f>
        <v>0</v>
      </c>
      <c r="AA180" s="29">
        <f>IF(H180="","",IF(T180&lt;&gt;"Yes",0,ROUND(MAX(0,IF(Z180="",0,Z180)-FreeTravelDistance)*TravelFeeRate,2)))</f>
        <v>0</v>
      </c>
      <c r="AB180" s="31">
        <f>IF(I180="","",TravelTimeMins)</f>
        <v>0</v>
      </c>
      <c r="AC180" s="29">
        <f>IF(OR(I180="",B180=""),0,IF(I180-B180&lt;=LastMinuteDays,EmergencyFee,0))</f>
        <v>0</v>
      </c>
      <c r="AF180" s="29">
        <f>IF(H180="","",ROUND((U180+V180+Y180+AA180+AC180)*IF(AE180="",0,AE180),2))</f>
        <v>0</v>
      </c>
      <c r="AI180" s="29">
        <f>IF(H180="","",IF(AG180&lt;&gt;"",AG180,ROUND(U180+V180+Y180+AA180+AC180-AF180,2)))</f>
        <v>0</v>
      </c>
      <c r="AJ180" s="29">
        <f>IF(AI180="","",IF(TaxRegistered&lt;&gt;"Yes",0,IF(PricesIncludeTax="Yes",ROUND(AI180-AI180/(1+TaxRate),2),ROUND(AI180*TaxRate,2))))</f>
        <v>0</v>
      </c>
      <c r="AK180" s="29">
        <f>IF(AI180="","",IF(PricesIncludeTax="Yes",AI180,ROUND(AI180+AJ180,2)))</f>
        <v>0</v>
      </c>
      <c r="AQ180" s="21">
        <f>IF(OR(I180="",AP180="",AP180="None"),"",IF(AP180="Monthly",EDATE(I180,1),I180+IF(AP180="Daily",1,IF(AP180="Weekdays",IF(WEEKDAY(I180,2)&gt;=5,8-WEEKDAY(I180,2),1),IF(AP180="Weekly",7,IF(AP180="Fortnightly",14,0))))))</f>
        <v>0</v>
      </c>
      <c r="AR180" s="49">
        <f>IF(OR(I180="",AL180="",K180="",L180=""),"",IF(SUMPRODUCT((Bookings!$AL$5:$AL$404=AL180)*(Bookings!$I$5:$I$404=I180)*(Bookings!$K$5:$K$404&lt;L180)*(Bookings!$L$5:$L$404&gt;K180)*(Bookings!$AM$5:$AM$404&lt;&gt;"Cancelled"))&gt;1,"Conflict - double booked","OK"))</f>
        <v>0</v>
      </c>
      <c r="AS180" s="50">
        <f>IF(A180="","",IF(COUNTIF('Visit Log'!$B$5:$B$404,A180)&gt;0,"Yes","No"))</f>
        <v>0</v>
      </c>
      <c r="AT180" s="28">
        <f>IF(A180="","",IFERROR(INDEX(Invoices!$A$5:$A$304,MATCH(A180,Invoices!$E$5:$E$304,0)),""))</f>
        <v>0</v>
      </c>
      <c r="AU180" s="49">
        <f>IF(A180="","",IF(AT180="","Not invoiced",IFERROR(INDEX(Invoices!$U$5:$U$304,MATCH(AT180,Invoices!$A$5:$A$304,0)),"")))</f>
        <v>0</v>
      </c>
      <c r="AY180" s="28">
        <f>IF(I180="","",TEXT(I180,"yyyy-mm"))</f>
        <v>0</v>
      </c>
      <c r="AZ180" s="49">
        <f>IF(I180="","",IF(AM180="Cancelled","Cancelled",IF(AND(I180&lt;TODAY(),OR(AM180="Pending",AM180="Confirmed",AM180="Enquiry")),"Overdue - update status",IF(AND(AM180="Completed",AS180="No"),"Action - log the visit",IF(I180=TODAY(),"Today",IF(AND(I180&gt;TODAY(),I180-TODAY()&lt;=ReminderLeadDays,AN180&lt;&gt;"Yes"),"Action - unconfirmed",IF(AND(I180&gt;TODAY(),I180-TODAY()&lt;=ReminderLeadDays),"Upcoming","OK")))))))</f>
        <v>0</v>
      </c>
    </row>
    <row r="181" spans="1:52">
      <c r="A181" s="46">
        <f>IF(C181="","",BookingPrefix&amp;TEXT(ROW()-4,"0000"))</f>
        <v>0</v>
      </c>
      <c r="D181" s="28">
        <f>IF(C181="","",IFERROR(INDEX(Clients!$A$5:$A$254,MATCH(C181,Clients!$B$5:$B$254,0)),""))</f>
        <v>0</v>
      </c>
      <c r="J181" s="50">
        <f>IF(I181="","",TEXT(I181,"ddd"))</f>
        <v>0</v>
      </c>
      <c r="M181" s="51">
        <f>IF(OR(K181="",L181=""),"",ROUND((L181-K181+IF(L181&lt;K181,1,0))*24,2))</f>
        <v>0</v>
      </c>
      <c r="O181" s="28">
        <f>IF(H181="","",IFERROR(INDEX(Services!$E$5:$E$54,MATCH(H181,Services!$B$5:$B$54,0)),""))</f>
        <v>0</v>
      </c>
      <c r="P181" s="29">
        <f>IF(H181="","",IFERROR(INDEX(Services!$G$5:$G$54,MATCH(H181,Services!$B$5:$B$54,0)),0))</f>
        <v>0</v>
      </c>
      <c r="Q181" s="29">
        <f>IF(H181="","",IF(IFERROR(INDEX(Services!$H$5:$H$54,MATCH(H181,Services!$B$5:$B$54,0)),0)=0,ExtraPetFeeDefault,IFERROR(INDEX(Services!$H$5:$H$54,MATCH(H181,Services!$B$5:$B$54,0)),0)))</f>
        <v>0</v>
      </c>
      <c r="R181" s="30">
        <f>IF(H181="","",IF(IFERROR(INDEX(Services!$I$5:$I$54,MATCH(H181,Services!$B$5:$B$54,0)),0)=0,HolidaySurcharge,IFERROR(INDEX(Services!$I$5:$I$54,MATCH(H181,Services!$B$5:$B$54,0)),0)))</f>
        <v>0</v>
      </c>
      <c r="S181" s="30">
        <f>IF(H181="","",IF(IFERROR(INDEX(Services!$J$5:$J$54,MATCH(H181,Services!$B$5:$B$54,0)),0)=0,WeekendSurcharge,IFERROR(INDEX(Services!$J$5:$J$54,MATCH(H181,Services!$B$5:$B$54,0)),0)))</f>
        <v>0</v>
      </c>
      <c r="T181" s="50">
        <f>IF(H181="","",IFERROR(INDEX(Services!$K$5:$K$54,MATCH(H181,Services!$B$5:$B$54,0)),"No"))</f>
        <v>0</v>
      </c>
      <c r="U181" s="29">
        <f>IF(H181="","",ROUND(IF(O181="Per hour",P181*IF(M181="",IF(N181="",1,N181),M181),P181*IF(N181="",1,N181)),2))</f>
        <v>0</v>
      </c>
      <c r="V181" s="29">
        <f>IF(H181="","",ROUND(MAX(0,IF(G181="",1,G181)-1)*Q181,2))</f>
        <v>0</v>
      </c>
      <c r="W181" s="50">
        <f>IF(I181="","",IF(COUNTIF(HolidayDates,I181)&gt;0,"Yes","No"))</f>
        <v>0</v>
      </c>
      <c r="X181" s="50">
        <f>IF(I181="","",IF(WEEKDAY(I181,2)&gt;5,"Yes","No"))</f>
        <v>0</v>
      </c>
      <c r="Y181" s="29">
        <f>IF(H181="","",ROUND((U181+V181)*(IF(W181="Yes",R181,0)+IF(X181="Yes",S181,0)),2))</f>
        <v>0</v>
      </c>
      <c r="AA181" s="29">
        <f>IF(H181="","",IF(T181&lt;&gt;"Yes",0,ROUND(MAX(0,IF(Z181="",0,Z181)-FreeTravelDistance)*TravelFeeRate,2)))</f>
        <v>0</v>
      </c>
      <c r="AB181" s="31">
        <f>IF(I181="","",TravelTimeMins)</f>
        <v>0</v>
      </c>
      <c r="AC181" s="29">
        <f>IF(OR(I181="",B181=""),0,IF(I181-B181&lt;=LastMinuteDays,EmergencyFee,0))</f>
        <v>0</v>
      </c>
      <c r="AF181" s="29">
        <f>IF(H181="","",ROUND((U181+V181+Y181+AA181+AC181)*IF(AE181="",0,AE181),2))</f>
        <v>0</v>
      </c>
      <c r="AI181" s="29">
        <f>IF(H181="","",IF(AG181&lt;&gt;"",AG181,ROUND(U181+V181+Y181+AA181+AC181-AF181,2)))</f>
        <v>0</v>
      </c>
      <c r="AJ181" s="29">
        <f>IF(AI181="","",IF(TaxRegistered&lt;&gt;"Yes",0,IF(PricesIncludeTax="Yes",ROUND(AI181-AI181/(1+TaxRate),2),ROUND(AI181*TaxRate,2))))</f>
        <v>0</v>
      </c>
      <c r="AK181" s="29">
        <f>IF(AI181="","",IF(PricesIncludeTax="Yes",AI181,ROUND(AI181+AJ181,2)))</f>
        <v>0</v>
      </c>
      <c r="AQ181" s="21">
        <f>IF(OR(I181="",AP181="",AP181="None"),"",IF(AP181="Monthly",EDATE(I181,1),I181+IF(AP181="Daily",1,IF(AP181="Weekdays",IF(WEEKDAY(I181,2)&gt;=5,8-WEEKDAY(I181,2),1),IF(AP181="Weekly",7,IF(AP181="Fortnightly",14,0))))))</f>
        <v>0</v>
      </c>
      <c r="AR181" s="49">
        <f>IF(OR(I181="",AL181="",K181="",L181=""),"",IF(SUMPRODUCT((Bookings!$AL$5:$AL$404=AL181)*(Bookings!$I$5:$I$404=I181)*(Bookings!$K$5:$K$404&lt;L181)*(Bookings!$L$5:$L$404&gt;K181)*(Bookings!$AM$5:$AM$404&lt;&gt;"Cancelled"))&gt;1,"Conflict - double booked","OK"))</f>
        <v>0</v>
      </c>
      <c r="AS181" s="50">
        <f>IF(A181="","",IF(COUNTIF('Visit Log'!$B$5:$B$404,A181)&gt;0,"Yes","No"))</f>
        <v>0</v>
      </c>
      <c r="AT181" s="28">
        <f>IF(A181="","",IFERROR(INDEX(Invoices!$A$5:$A$304,MATCH(A181,Invoices!$E$5:$E$304,0)),""))</f>
        <v>0</v>
      </c>
      <c r="AU181" s="49">
        <f>IF(A181="","",IF(AT181="","Not invoiced",IFERROR(INDEX(Invoices!$U$5:$U$304,MATCH(AT181,Invoices!$A$5:$A$304,0)),"")))</f>
        <v>0</v>
      </c>
      <c r="AY181" s="28">
        <f>IF(I181="","",TEXT(I181,"yyyy-mm"))</f>
        <v>0</v>
      </c>
      <c r="AZ181" s="49">
        <f>IF(I181="","",IF(AM181="Cancelled","Cancelled",IF(AND(I181&lt;TODAY(),OR(AM181="Pending",AM181="Confirmed",AM181="Enquiry")),"Overdue - update status",IF(AND(AM181="Completed",AS181="No"),"Action - log the visit",IF(I181=TODAY(),"Today",IF(AND(I181&gt;TODAY(),I181-TODAY()&lt;=ReminderLeadDays,AN181&lt;&gt;"Yes"),"Action - unconfirmed",IF(AND(I181&gt;TODAY(),I181-TODAY()&lt;=ReminderLeadDays),"Upcoming","OK")))))))</f>
        <v>0</v>
      </c>
    </row>
    <row r="182" spans="1:52">
      <c r="A182" s="46">
        <f>IF(C182="","",BookingPrefix&amp;TEXT(ROW()-4,"0000"))</f>
        <v>0</v>
      </c>
      <c r="D182" s="28">
        <f>IF(C182="","",IFERROR(INDEX(Clients!$A$5:$A$254,MATCH(C182,Clients!$B$5:$B$254,0)),""))</f>
        <v>0</v>
      </c>
      <c r="J182" s="50">
        <f>IF(I182="","",TEXT(I182,"ddd"))</f>
        <v>0</v>
      </c>
      <c r="M182" s="51">
        <f>IF(OR(K182="",L182=""),"",ROUND((L182-K182+IF(L182&lt;K182,1,0))*24,2))</f>
        <v>0</v>
      </c>
      <c r="O182" s="28">
        <f>IF(H182="","",IFERROR(INDEX(Services!$E$5:$E$54,MATCH(H182,Services!$B$5:$B$54,0)),""))</f>
        <v>0</v>
      </c>
      <c r="P182" s="29">
        <f>IF(H182="","",IFERROR(INDEX(Services!$G$5:$G$54,MATCH(H182,Services!$B$5:$B$54,0)),0))</f>
        <v>0</v>
      </c>
      <c r="Q182" s="29">
        <f>IF(H182="","",IF(IFERROR(INDEX(Services!$H$5:$H$54,MATCH(H182,Services!$B$5:$B$54,0)),0)=0,ExtraPetFeeDefault,IFERROR(INDEX(Services!$H$5:$H$54,MATCH(H182,Services!$B$5:$B$54,0)),0)))</f>
        <v>0</v>
      </c>
      <c r="R182" s="30">
        <f>IF(H182="","",IF(IFERROR(INDEX(Services!$I$5:$I$54,MATCH(H182,Services!$B$5:$B$54,0)),0)=0,HolidaySurcharge,IFERROR(INDEX(Services!$I$5:$I$54,MATCH(H182,Services!$B$5:$B$54,0)),0)))</f>
        <v>0</v>
      </c>
      <c r="S182" s="30">
        <f>IF(H182="","",IF(IFERROR(INDEX(Services!$J$5:$J$54,MATCH(H182,Services!$B$5:$B$54,0)),0)=0,WeekendSurcharge,IFERROR(INDEX(Services!$J$5:$J$54,MATCH(H182,Services!$B$5:$B$54,0)),0)))</f>
        <v>0</v>
      </c>
      <c r="T182" s="50">
        <f>IF(H182="","",IFERROR(INDEX(Services!$K$5:$K$54,MATCH(H182,Services!$B$5:$B$54,0)),"No"))</f>
        <v>0</v>
      </c>
      <c r="U182" s="29">
        <f>IF(H182="","",ROUND(IF(O182="Per hour",P182*IF(M182="",IF(N182="",1,N182),M182),P182*IF(N182="",1,N182)),2))</f>
        <v>0</v>
      </c>
      <c r="V182" s="29">
        <f>IF(H182="","",ROUND(MAX(0,IF(G182="",1,G182)-1)*Q182,2))</f>
        <v>0</v>
      </c>
      <c r="W182" s="50">
        <f>IF(I182="","",IF(COUNTIF(HolidayDates,I182)&gt;0,"Yes","No"))</f>
        <v>0</v>
      </c>
      <c r="X182" s="50">
        <f>IF(I182="","",IF(WEEKDAY(I182,2)&gt;5,"Yes","No"))</f>
        <v>0</v>
      </c>
      <c r="Y182" s="29">
        <f>IF(H182="","",ROUND((U182+V182)*(IF(W182="Yes",R182,0)+IF(X182="Yes",S182,0)),2))</f>
        <v>0</v>
      </c>
      <c r="AA182" s="29">
        <f>IF(H182="","",IF(T182&lt;&gt;"Yes",0,ROUND(MAX(0,IF(Z182="",0,Z182)-FreeTravelDistance)*TravelFeeRate,2)))</f>
        <v>0</v>
      </c>
      <c r="AB182" s="31">
        <f>IF(I182="","",TravelTimeMins)</f>
        <v>0</v>
      </c>
      <c r="AC182" s="29">
        <f>IF(OR(I182="",B182=""),0,IF(I182-B182&lt;=LastMinuteDays,EmergencyFee,0))</f>
        <v>0</v>
      </c>
      <c r="AF182" s="29">
        <f>IF(H182="","",ROUND((U182+V182+Y182+AA182+AC182)*IF(AE182="",0,AE182),2))</f>
        <v>0</v>
      </c>
      <c r="AI182" s="29">
        <f>IF(H182="","",IF(AG182&lt;&gt;"",AG182,ROUND(U182+V182+Y182+AA182+AC182-AF182,2)))</f>
        <v>0</v>
      </c>
      <c r="AJ182" s="29">
        <f>IF(AI182="","",IF(TaxRegistered&lt;&gt;"Yes",0,IF(PricesIncludeTax="Yes",ROUND(AI182-AI182/(1+TaxRate),2),ROUND(AI182*TaxRate,2))))</f>
        <v>0</v>
      </c>
      <c r="AK182" s="29">
        <f>IF(AI182="","",IF(PricesIncludeTax="Yes",AI182,ROUND(AI182+AJ182,2)))</f>
        <v>0</v>
      </c>
      <c r="AQ182" s="21">
        <f>IF(OR(I182="",AP182="",AP182="None"),"",IF(AP182="Monthly",EDATE(I182,1),I182+IF(AP182="Daily",1,IF(AP182="Weekdays",IF(WEEKDAY(I182,2)&gt;=5,8-WEEKDAY(I182,2),1),IF(AP182="Weekly",7,IF(AP182="Fortnightly",14,0))))))</f>
        <v>0</v>
      </c>
      <c r="AR182" s="49">
        <f>IF(OR(I182="",AL182="",K182="",L182=""),"",IF(SUMPRODUCT((Bookings!$AL$5:$AL$404=AL182)*(Bookings!$I$5:$I$404=I182)*(Bookings!$K$5:$K$404&lt;L182)*(Bookings!$L$5:$L$404&gt;K182)*(Bookings!$AM$5:$AM$404&lt;&gt;"Cancelled"))&gt;1,"Conflict - double booked","OK"))</f>
        <v>0</v>
      </c>
      <c r="AS182" s="50">
        <f>IF(A182="","",IF(COUNTIF('Visit Log'!$B$5:$B$404,A182)&gt;0,"Yes","No"))</f>
        <v>0</v>
      </c>
      <c r="AT182" s="28">
        <f>IF(A182="","",IFERROR(INDEX(Invoices!$A$5:$A$304,MATCH(A182,Invoices!$E$5:$E$304,0)),""))</f>
        <v>0</v>
      </c>
      <c r="AU182" s="49">
        <f>IF(A182="","",IF(AT182="","Not invoiced",IFERROR(INDEX(Invoices!$U$5:$U$304,MATCH(AT182,Invoices!$A$5:$A$304,0)),"")))</f>
        <v>0</v>
      </c>
      <c r="AY182" s="28">
        <f>IF(I182="","",TEXT(I182,"yyyy-mm"))</f>
        <v>0</v>
      </c>
      <c r="AZ182" s="49">
        <f>IF(I182="","",IF(AM182="Cancelled","Cancelled",IF(AND(I182&lt;TODAY(),OR(AM182="Pending",AM182="Confirmed",AM182="Enquiry")),"Overdue - update status",IF(AND(AM182="Completed",AS182="No"),"Action - log the visit",IF(I182=TODAY(),"Today",IF(AND(I182&gt;TODAY(),I182-TODAY()&lt;=ReminderLeadDays,AN182&lt;&gt;"Yes"),"Action - unconfirmed",IF(AND(I182&gt;TODAY(),I182-TODAY()&lt;=ReminderLeadDays),"Upcoming","OK")))))))</f>
        <v>0</v>
      </c>
    </row>
    <row r="183" spans="1:52">
      <c r="A183" s="46">
        <f>IF(C183="","",BookingPrefix&amp;TEXT(ROW()-4,"0000"))</f>
        <v>0</v>
      </c>
      <c r="D183" s="28">
        <f>IF(C183="","",IFERROR(INDEX(Clients!$A$5:$A$254,MATCH(C183,Clients!$B$5:$B$254,0)),""))</f>
        <v>0</v>
      </c>
      <c r="J183" s="50">
        <f>IF(I183="","",TEXT(I183,"ddd"))</f>
        <v>0</v>
      </c>
      <c r="M183" s="51">
        <f>IF(OR(K183="",L183=""),"",ROUND((L183-K183+IF(L183&lt;K183,1,0))*24,2))</f>
        <v>0</v>
      </c>
      <c r="O183" s="28">
        <f>IF(H183="","",IFERROR(INDEX(Services!$E$5:$E$54,MATCH(H183,Services!$B$5:$B$54,0)),""))</f>
        <v>0</v>
      </c>
      <c r="P183" s="29">
        <f>IF(H183="","",IFERROR(INDEX(Services!$G$5:$G$54,MATCH(H183,Services!$B$5:$B$54,0)),0))</f>
        <v>0</v>
      </c>
      <c r="Q183" s="29">
        <f>IF(H183="","",IF(IFERROR(INDEX(Services!$H$5:$H$54,MATCH(H183,Services!$B$5:$B$54,0)),0)=0,ExtraPetFeeDefault,IFERROR(INDEX(Services!$H$5:$H$54,MATCH(H183,Services!$B$5:$B$54,0)),0)))</f>
        <v>0</v>
      </c>
      <c r="R183" s="30">
        <f>IF(H183="","",IF(IFERROR(INDEX(Services!$I$5:$I$54,MATCH(H183,Services!$B$5:$B$54,0)),0)=0,HolidaySurcharge,IFERROR(INDEX(Services!$I$5:$I$54,MATCH(H183,Services!$B$5:$B$54,0)),0)))</f>
        <v>0</v>
      </c>
      <c r="S183" s="30">
        <f>IF(H183="","",IF(IFERROR(INDEX(Services!$J$5:$J$54,MATCH(H183,Services!$B$5:$B$54,0)),0)=0,WeekendSurcharge,IFERROR(INDEX(Services!$J$5:$J$54,MATCH(H183,Services!$B$5:$B$54,0)),0)))</f>
        <v>0</v>
      </c>
      <c r="T183" s="50">
        <f>IF(H183="","",IFERROR(INDEX(Services!$K$5:$K$54,MATCH(H183,Services!$B$5:$B$54,0)),"No"))</f>
        <v>0</v>
      </c>
      <c r="U183" s="29">
        <f>IF(H183="","",ROUND(IF(O183="Per hour",P183*IF(M183="",IF(N183="",1,N183),M183),P183*IF(N183="",1,N183)),2))</f>
        <v>0</v>
      </c>
      <c r="V183" s="29">
        <f>IF(H183="","",ROUND(MAX(0,IF(G183="",1,G183)-1)*Q183,2))</f>
        <v>0</v>
      </c>
      <c r="W183" s="50">
        <f>IF(I183="","",IF(COUNTIF(HolidayDates,I183)&gt;0,"Yes","No"))</f>
        <v>0</v>
      </c>
      <c r="X183" s="50">
        <f>IF(I183="","",IF(WEEKDAY(I183,2)&gt;5,"Yes","No"))</f>
        <v>0</v>
      </c>
      <c r="Y183" s="29">
        <f>IF(H183="","",ROUND((U183+V183)*(IF(W183="Yes",R183,0)+IF(X183="Yes",S183,0)),2))</f>
        <v>0</v>
      </c>
      <c r="AA183" s="29">
        <f>IF(H183="","",IF(T183&lt;&gt;"Yes",0,ROUND(MAX(0,IF(Z183="",0,Z183)-FreeTravelDistance)*TravelFeeRate,2)))</f>
        <v>0</v>
      </c>
      <c r="AB183" s="31">
        <f>IF(I183="","",TravelTimeMins)</f>
        <v>0</v>
      </c>
      <c r="AC183" s="29">
        <f>IF(OR(I183="",B183=""),0,IF(I183-B183&lt;=LastMinuteDays,EmergencyFee,0))</f>
        <v>0</v>
      </c>
      <c r="AF183" s="29">
        <f>IF(H183="","",ROUND((U183+V183+Y183+AA183+AC183)*IF(AE183="",0,AE183),2))</f>
        <v>0</v>
      </c>
      <c r="AI183" s="29">
        <f>IF(H183="","",IF(AG183&lt;&gt;"",AG183,ROUND(U183+V183+Y183+AA183+AC183-AF183,2)))</f>
        <v>0</v>
      </c>
      <c r="AJ183" s="29">
        <f>IF(AI183="","",IF(TaxRegistered&lt;&gt;"Yes",0,IF(PricesIncludeTax="Yes",ROUND(AI183-AI183/(1+TaxRate),2),ROUND(AI183*TaxRate,2))))</f>
        <v>0</v>
      </c>
      <c r="AK183" s="29">
        <f>IF(AI183="","",IF(PricesIncludeTax="Yes",AI183,ROUND(AI183+AJ183,2)))</f>
        <v>0</v>
      </c>
      <c r="AQ183" s="21">
        <f>IF(OR(I183="",AP183="",AP183="None"),"",IF(AP183="Monthly",EDATE(I183,1),I183+IF(AP183="Daily",1,IF(AP183="Weekdays",IF(WEEKDAY(I183,2)&gt;=5,8-WEEKDAY(I183,2),1),IF(AP183="Weekly",7,IF(AP183="Fortnightly",14,0))))))</f>
        <v>0</v>
      </c>
      <c r="AR183" s="49">
        <f>IF(OR(I183="",AL183="",K183="",L183=""),"",IF(SUMPRODUCT((Bookings!$AL$5:$AL$404=AL183)*(Bookings!$I$5:$I$404=I183)*(Bookings!$K$5:$K$404&lt;L183)*(Bookings!$L$5:$L$404&gt;K183)*(Bookings!$AM$5:$AM$404&lt;&gt;"Cancelled"))&gt;1,"Conflict - double booked","OK"))</f>
        <v>0</v>
      </c>
      <c r="AS183" s="50">
        <f>IF(A183="","",IF(COUNTIF('Visit Log'!$B$5:$B$404,A183)&gt;0,"Yes","No"))</f>
        <v>0</v>
      </c>
      <c r="AT183" s="28">
        <f>IF(A183="","",IFERROR(INDEX(Invoices!$A$5:$A$304,MATCH(A183,Invoices!$E$5:$E$304,0)),""))</f>
        <v>0</v>
      </c>
      <c r="AU183" s="49">
        <f>IF(A183="","",IF(AT183="","Not invoiced",IFERROR(INDEX(Invoices!$U$5:$U$304,MATCH(AT183,Invoices!$A$5:$A$304,0)),"")))</f>
        <v>0</v>
      </c>
      <c r="AY183" s="28">
        <f>IF(I183="","",TEXT(I183,"yyyy-mm"))</f>
        <v>0</v>
      </c>
      <c r="AZ183" s="49">
        <f>IF(I183="","",IF(AM183="Cancelled","Cancelled",IF(AND(I183&lt;TODAY(),OR(AM183="Pending",AM183="Confirmed",AM183="Enquiry")),"Overdue - update status",IF(AND(AM183="Completed",AS183="No"),"Action - log the visit",IF(I183=TODAY(),"Today",IF(AND(I183&gt;TODAY(),I183-TODAY()&lt;=ReminderLeadDays,AN183&lt;&gt;"Yes"),"Action - unconfirmed",IF(AND(I183&gt;TODAY(),I183-TODAY()&lt;=ReminderLeadDays),"Upcoming","OK")))))))</f>
        <v>0</v>
      </c>
    </row>
    <row r="184" spans="1:52">
      <c r="A184" s="46">
        <f>IF(C184="","",BookingPrefix&amp;TEXT(ROW()-4,"0000"))</f>
        <v>0</v>
      </c>
      <c r="D184" s="28">
        <f>IF(C184="","",IFERROR(INDEX(Clients!$A$5:$A$254,MATCH(C184,Clients!$B$5:$B$254,0)),""))</f>
        <v>0</v>
      </c>
      <c r="J184" s="50">
        <f>IF(I184="","",TEXT(I184,"ddd"))</f>
        <v>0</v>
      </c>
      <c r="M184" s="51">
        <f>IF(OR(K184="",L184=""),"",ROUND((L184-K184+IF(L184&lt;K184,1,0))*24,2))</f>
        <v>0</v>
      </c>
      <c r="O184" s="28">
        <f>IF(H184="","",IFERROR(INDEX(Services!$E$5:$E$54,MATCH(H184,Services!$B$5:$B$54,0)),""))</f>
        <v>0</v>
      </c>
      <c r="P184" s="29">
        <f>IF(H184="","",IFERROR(INDEX(Services!$G$5:$G$54,MATCH(H184,Services!$B$5:$B$54,0)),0))</f>
        <v>0</v>
      </c>
      <c r="Q184" s="29">
        <f>IF(H184="","",IF(IFERROR(INDEX(Services!$H$5:$H$54,MATCH(H184,Services!$B$5:$B$54,0)),0)=0,ExtraPetFeeDefault,IFERROR(INDEX(Services!$H$5:$H$54,MATCH(H184,Services!$B$5:$B$54,0)),0)))</f>
        <v>0</v>
      </c>
      <c r="R184" s="30">
        <f>IF(H184="","",IF(IFERROR(INDEX(Services!$I$5:$I$54,MATCH(H184,Services!$B$5:$B$54,0)),0)=0,HolidaySurcharge,IFERROR(INDEX(Services!$I$5:$I$54,MATCH(H184,Services!$B$5:$B$54,0)),0)))</f>
        <v>0</v>
      </c>
      <c r="S184" s="30">
        <f>IF(H184="","",IF(IFERROR(INDEX(Services!$J$5:$J$54,MATCH(H184,Services!$B$5:$B$54,0)),0)=0,WeekendSurcharge,IFERROR(INDEX(Services!$J$5:$J$54,MATCH(H184,Services!$B$5:$B$54,0)),0)))</f>
        <v>0</v>
      </c>
      <c r="T184" s="50">
        <f>IF(H184="","",IFERROR(INDEX(Services!$K$5:$K$54,MATCH(H184,Services!$B$5:$B$54,0)),"No"))</f>
        <v>0</v>
      </c>
      <c r="U184" s="29">
        <f>IF(H184="","",ROUND(IF(O184="Per hour",P184*IF(M184="",IF(N184="",1,N184),M184),P184*IF(N184="",1,N184)),2))</f>
        <v>0</v>
      </c>
      <c r="V184" s="29">
        <f>IF(H184="","",ROUND(MAX(0,IF(G184="",1,G184)-1)*Q184,2))</f>
        <v>0</v>
      </c>
      <c r="W184" s="50">
        <f>IF(I184="","",IF(COUNTIF(HolidayDates,I184)&gt;0,"Yes","No"))</f>
        <v>0</v>
      </c>
      <c r="X184" s="50">
        <f>IF(I184="","",IF(WEEKDAY(I184,2)&gt;5,"Yes","No"))</f>
        <v>0</v>
      </c>
      <c r="Y184" s="29">
        <f>IF(H184="","",ROUND((U184+V184)*(IF(W184="Yes",R184,0)+IF(X184="Yes",S184,0)),2))</f>
        <v>0</v>
      </c>
      <c r="AA184" s="29">
        <f>IF(H184="","",IF(T184&lt;&gt;"Yes",0,ROUND(MAX(0,IF(Z184="",0,Z184)-FreeTravelDistance)*TravelFeeRate,2)))</f>
        <v>0</v>
      </c>
      <c r="AB184" s="31">
        <f>IF(I184="","",TravelTimeMins)</f>
        <v>0</v>
      </c>
      <c r="AC184" s="29">
        <f>IF(OR(I184="",B184=""),0,IF(I184-B184&lt;=LastMinuteDays,EmergencyFee,0))</f>
        <v>0</v>
      </c>
      <c r="AF184" s="29">
        <f>IF(H184="","",ROUND((U184+V184+Y184+AA184+AC184)*IF(AE184="",0,AE184),2))</f>
        <v>0</v>
      </c>
      <c r="AI184" s="29">
        <f>IF(H184="","",IF(AG184&lt;&gt;"",AG184,ROUND(U184+V184+Y184+AA184+AC184-AF184,2)))</f>
        <v>0</v>
      </c>
      <c r="AJ184" s="29">
        <f>IF(AI184="","",IF(TaxRegistered&lt;&gt;"Yes",0,IF(PricesIncludeTax="Yes",ROUND(AI184-AI184/(1+TaxRate),2),ROUND(AI184*TaxRate,2))))</f>
        <v>0</v>
      </c>
      <c r="AK184" s="29">
        <f>IF(AI184="","",IF(PricesIncludeTax="Yes",AI184,ROUND(AI184+AJ184,2)))</f>
        <v>0</v>
      </c>
      <c r="AQ184" s="21">
        <f>IF(OR(I184="",AP184="",AP184="None"),"",IF(AP184="Monthly",EDATE(I184,1),I184+IF(AP184="Daily",1,IF(AP184="Weekdays",IF(WEEKDAY(I184,2)&gt;=5,8-WEEKDAY(I184,2),1),IF(AP184="Weekly",7,IF(AP184="Fortnightly",14,0))))))</f>
        <v>0</v>
      </c>
      <c r="AR184" s="49">
        <f>IF(OR(I184="",AL184="",K184="",L184=""),"",IF(SUMPRODUCT((Bookings!$AL$5:$AL$404=AL184)*(Bookings!$I$5:$I$404=I184)*(Bookings!$K$5:$K$404&lt;L184)*(Bookings!$L$5:$L$404&gt;K184)*(Bookings!$AM$5:$AM$404&lt;&gt;"Cancelled"))&gt;1,"Conflict - double booked","OK"))</f>
        <v>0</v>
      </c>
      <c r="AS184" s="50">
        <f>IF(A184="","",IF(COUNTIF('Visit Log'!$B$5:$B$404,A184)&gt;0,"Yes","No"))</f>
        <v>0</v>
      </c>
      <c r="AT184" s="28">
        <f>IF(A184="","",IFERROR(INDEX(Invoices!$A$5:$A$304,MATCH(A184,Invoices!$E$5:$E$304,0)),""))</f>
        <v>0</v>
      </c>
      <c r="AU184" s="49">
        <f>IF(A184="","",IF(AT184="","Not invoiced",IFERROR(INDEX(Invoices!$U$5:$U$304,MATCH(AT184,Invoices!$A$5:$A$304,0)),"")))</f>
        <v>0</v>
      </c>
      <c r="AY184" s="28">
        <f>IF(I184="","",TEXT(I184,"yyyy-mm"))</f>
        <v>0</v>
      </c>
      <c r="AZ184" s="49">
        <f>IF(I184="","",IF(AM184="Cancelled","Cancelled",IF(AND(I184&lt;TODAY(),OR(AM184="Pending",AM184="Confirmed",AM184="Enquiry")),"Overdue - update status",IF(AND(AM184="Completed",AS184="No"),"Action - log the visit",IF(I184=TODAY(),"Today",IF(AND(I184&gt;TODAY(),I184-TODAY()&lt;=ReminderLeadDays,AN184&lt;&gt;"Yes"),"Action - unconfirmed",IF(AND(I184&gt;TODAY(),I184-TODAY()&lt;=ReminderLeadDays),"Upcoming","OK")))))))</f>
        <v>0</v>
      </c>
    </row>
    <row r="185" spans="1:52">
      <c r="A185" s="46">
        <f>IF(C185="","",BookingPrefix&amp;TEXT(ROW()-4,"0000"))</f>
        <v>0</v>
      </c>
      <c r="D185" s="28">
        <f>IF(C185="","",IFERROR(INDEX(Clients!$A$5:$A$254,MATCH(C185,Clients!$B$5:$B$254,0)),""))</f>
        <v>0</v>
      </c>
      <c r="J185" s="50">
        <f>IF(I185="","",TEXT(I185,"ddd"))</f>
        <v>0</v>
      </c>
      <c r="M185" s="51">
        <f>IF(OR(K185="",L185=""),"",ROUND((L185-K185+IF(L185&lt;K185,1,0))*24,2))</f>
        <v>0</v>
      </c>
      <c r="O185" s="28">
        <f>IF(H185="","",IFERROR(INDEX(Services!$E$5:$E$54,MATCH(H185,Services!$B$5:$B$54,0)),""))</f>
        <v>0</v>
      </c>
      <c r="P185" s="29">
        <f>IF(H185="","",IFERROR(INDEX(Services!$G$5:$G$54,MATCH(H185,Services!$B$5:$B$54,0)),0))</f>
        <v>0</v>
      </c>
      <c r="Q185" s="29">
        <f>IF(H185="","",IF(IFERROR(INDEX(Services!$H$5:$H$54,MATCH(H185,Services!$B$5:$B$54,0)),0)=0,ExtraPetFeeDefault,IFERROR(INDEX(Services!$H$5:$H$54,MATCH(H185,Services!$B$5:$B$54,0)),0)))</f>
        <v>0</v>
      </c>
      <c r="R185" s="30">
        <f>IF(H185="","",IF(IFERROR(INDEX(Services!$I$5:$I$54,MATCH(H185,Services!$B$5:$B$54,0)),0)=0,HolidaySurcharge,IFERROR(INDEX(Services!$I$5:$I$54,MATCH(H185,Services!$B$5:$B$54,0)),0)))</f>
        <v>0</v>
      </c>
      <c r="S185" s="30">
        <f>IF(H185="","",IF(IFERROR(INDEX(Services!$J$5:$J$54,MATCH(H185,Services!$B$5:$B$54,0)),0)=0,WeekendSurcharge,IFERROR(INDEX(Services!$J$5:$J$54,MATCH(H185,Services!$B$5:$B$54,0)),0)))</f>
        <v>0</v>
      </c>
      <c r="T185" s="50">
        <f>IF(H185="","",IFERROR(INDEX(Services!$K$5:$K$54,MATCH(H185,Services!$B$5:$B$54,0)),"No"))</f>
        <v>0</v>
      </c>
      <c r="U185" s="29">
        <f>IF(H185="","",ROUND(IF(O185="Per hour",P185*IF(M185="",IF(N185="",1,N185),M185),P185*IF(N185="",1,N185)),2))</f>
        <v>0</v>
      </c>
      <c r="V185" s="29">
        <f>IF(H185="","",ROUND(MAX(0,IF(G185="",1,G185)-1)*Q185,2))</f>
        <v>0</v>
      </c>
      <c r="W185" s="50">
        <f>IF(I185="","",IF(COUNTIF(HolidayDates,I185)&gt;0,"Yes","No"))</f>
        <v>0</v>
      </c>
      <c r="X185" s="50">
        <f>IF(I185="","",IF(WEEKDAY(I185,2)&gt;5,"Yes","No"))</f>
        <v>0</v>
      </c>
      <c r="Y185" s="29">
        <f>IF(H185="","",ROUND((U185+V185)*(IF(W185="Yes",R185,0)+IF(X185="Yes",S185,0)),2))</f>
        <v>0</v>
      </c>
      <c r="AA185" s="29">
        <f>IF(H185="","",IF(T185&lt;&gt;"Yes",0,ROUND(MAX(0,IF(Z185="",0,Z185)-FreeTravelDistance)*TravelFeeRate,2)))</f>
        <v>0</v>
      </c>
      <c r="AB185" s="31">
        <f>IF(I185="","",TravelTimeMins)</f>
        <v>0</v>
      </c>
      <c r="AC185" s="29">
        <f>IF(OR(I185="",B185=""),0,IF(I185-B185&lt;=LastMinuteDays,EmergencyFee,0))</f>
        <v>0</v>
      </c>
      <c r="AF185" s="29">
        <f>IF(H185="","",ROUND((U185+V185+Y185+AA185+AC185)*IF(AE185="",0,AE185),2))</f>
        <v>0</v>
      </c>
      <c r="AI185" s="29">
        <f>IF(H185="","",IF(AG185&lt;&gt;"",AG185,ROUND(U185+V185+Y185+AA185+AC185-AF185,2)))</f>
        <v>0</v>
      </c>
      <c r="AJ185" s="29">
        <f>IF(AI185="","",IF(TaxRegistered&lt;&gt;"Yes",0,IF(PricesIncludeTax="Yes",ROUND(AI185-AI185/(1+TaxRate),2),ROUND(AI185*TaxRate,2))))</f>
        <v>0</v>
      </c>
      <c r="AK185" s="29">
        <f>IF(AI185="","",IF(PricesIncludeTax="Yes",AI185,ROUND(AI185+AJ185,2)))</f>
        <v>0</v>
      </c>
      <c r="AQ185" s="21">
        <f>IF(OR(I185="",AP185="",AP185="None"),"",IF(AP185="Monthly",EDATE(I185,1),I185+IF(AP185="Daily",1,IF(AP185="Weekdays",IF(WEEKDAY(I185,2)&gt;=5,8-WEEKDAY(I185,2),1),IF(AP185="Weekly",7,IF(AP185="Fortnightly",14,0))))))</f>
        <v>0</v>
      </c>
      <c r="AR185" s="49">
        <f>IF(OR(I185="",AL185="",K185="",L185=""),"",IF(SUMPRODUCT((Bookings!$AL$5:$AL$404=AL185)*(Bookings!$I$5:$I$404=I185)*(Bookings!$K$5:$K$404&lt;L185)*(Bookings!$L$5:$L$404&gt;K185)*(Bookings!$AM$5:$AM$404&lt;&gt;"Cancelled"))&gt;1,"Conflict - double booked","OK"))</f>
        <v>0</v>
      </c>
      <c r="AS185" s="50">
        <f>IF(A185="","",IF(COUNTIF('Visit Log'!$B$5:$B$404,A185)&gt;0,"Yes","No"))</f>
        <v>0</v>
      </c>
      <c r="AT185" s="28">
        <f>IF(A185="","",IFERROR(INDEX(Invoices!$A$5:$A$304,MATCH(A185,Invoices!$E$5:$E$304,0)),""))</f>
        <v>0</v>
      </c>
      <c r="AU185" s="49">
        <f>IF(A185="","",IF(AT185="","Not invoiced",IFERROR(INDEX(Invoices!$U$5:$U$304,MATCH(AT185,Invoices!$A$5:$A$304,0)),"")))</f>
        <v>0</v>
      </c>
      <c r="AY185" s="28">
        <f>IF(I185="","",TEXT(I185,"yyyy-mm"))</f>
        <v>0</v>
      </c>
      <c r="AZ185" s="49">
        <f>IF(I185="","",IF(AM185="Cancelled","Cancelled",IF(AND(I185&lt;TODAY(),OR(AM185="Pending",AM185="Confirmed",AM185="Enquiry")),"Overdue - update status",IF(AND(AM185="Completed",AS185="No"),"Action - log the visit",IF(I185=TODAY(),"Today",IF(AND(I185&gt;TODAY(),I185-TODAY()&lt;=ReminderLeadDays,AN185&lt;&gt;"Yes"),"Action - unconfirmed",IF(AND(I185&gt;TODAY(),I185-TODAY()&lt;=ReminderLeadDays),"Upcoming","OK")))))))</f>
        <v>0</v>
      </c>
    </row>
    <row r="186" spans="1:52">
      <c r="A186" s="46">
        <f>IF(C186="","",BookingPrefix&amp;TEXT(ROW()-4,"0000"))</f>
        <v>0</v>
      </c>
      <c r="D186" s="28">
        <f>IF(C186="","",IFERROR(INDEX(Clients!$A$5:$A$254,MATCH(C186,Clients!$B$5:$B$254,0)),""))</f>
        <v>0</v>
      </c>
      <c r="J186" s="50">
        <f>IF(I186="","",TEXT(I186,"ddd"))</f>
        <v>0</v>
      </c>
      <c r="M186" s="51">
        <f>IF(OR(K186="",L186=""),"",ROUND((L186-K186+IF(L186&lt;K186,1,0))*24,2))</f>
        <v>0</v>
      </c>
      <c r="O186" s="28">
        <f>IF(H186="","",IFERROR(INDEX(Services!$E$5:$E$54,MATCH(H186,Services!$B$5:$B$54,0)),""))</f>
        <v>0</v>
      </c>
      <c r="P186" s="29">
        <f>IF(H186="","",IFERROR(INDEX(Services!$G$5:$G$54,MATCH(H186,Services!$B$5:$B$54,0)),0))</f>
        <v>0</v>
      </c>
      <c r="Q186" s="29">
        <f>IF(H186="","",IF(IFERROR(INDEX(Services!$H$5:$H$54,MATCH(H186,Services!$B$5:$B$54,0)),0)=0,ExtraPetFeeDefault,IFERROR(INDEX(Services!$H$5:$H$54,MATCH(H186,Services!$B$5:$B$54,0)),0)))</f>
        <v>0</v>
      </c>
      <c r="R186" s="30">
        <f>IF(H186="","",IF(IFERROR(INDEX(Services!$I$5:$I$54,MATCH(H186,Services!$B$5:$B$54,0)),0)=0,HolidaySurcharge,IFERROR(INDEX(Services!$I$5:$I$54,MATCH(H186,Services!$B$5:$B$54,0)),0)))</f>
        <v>0</v>
      </c>
      <c r="S186" s="30">
        <f>IF(H186="","",IF(IFERROR(INDEX(Services!$J$5:$J$54,MATCH(H186,Services!$B$5:$B$54,0)),0)=0,WeekendSurcharge,IFERROR(INDEX(Services!$J$5:$J$54,MATCH(H186,Services!$B$5:$B$54,0)),0)))</f>
        <v>0</v>
      </c>
      <c r="T186" s="50">
        <f>IF(H186="","",IFERROR(INDEX(Services!$K$5:$K$54,MATCH(H186,Services!$B$5:$B$54,0)),"No"))</f>
        <v>0</v>
      </c>
      <c r="U186" s="29">
        <f>IF(H186="","",ROUND(IF(O186="Per hour",P186*IF(M186="",IF(N186="",1,N186),M186),P186*IF(N186="",1,N186)),2))</f>
        <v>0</v>
      </c>
      <c r="V186" s="29">
        <f>IF(H186="","",ROUND(MAX(0,IF(G186="",1,G186)-1)*Q186,2))</f>
        <v>0</v>
      </c>
      <c r="W186" s="50">
        <f>IF(I186="","",IF(COUNTIF(HolidayDates,I186)&gt;0,"Yes","No"))</f>
        <v>0</v>
      </c>
      <c r="X186" s="50">
        <f>IF(I186="","",IF(WEEKDAY(I186,2)&gt;5,"Yes","No"))</f>
        <v>0</v>
      </c>
      <c r="Y186" s="29">
        <f>IF(H186="","",ROUND((U186+V186)*(IF(W186="Yes",R186,0)+IF(X186="Yes",S186,0)),2))</f>
        <v>0</v>
      </c>
      <c r="AA186" s="29">
        <f>IF(H186="","",IF(T186&lt;&gt;"Yes",0,ROUND(MAX(0,IF(Z186="",0,Z186)-FreeTravelDistance)*TravelFeeRate,2)))</f>
        <v>0</v>
      </c>
      <c r="AB186" s="31">
        <f>IF(I186="","",TravelTimeMins)</f>
        <v>0</v>
      </c>
      <c r="AC186" s="29">
        <f>IF(OR(I186="",B186=""),0,IF(I186-B186&lt;=LastMinuteDays,EmergencyFee,0))</f>
        <v>0</v>
      </c>
      <c r="AF186" s="29">
        <f>IF(H186="","",ROUND((U186+V186+Y186+AA186+AC186)*IF(AE186="",0,AE186),2))</f>
        <v>0</v>
      </c>
      <c r="AI186" s="29">
        <f>IF(H186="","",IF(AG186&lt;&gt;"",AG186,ROUND(U186+V186+Y186+AA186+AC186-AF186,2)))</f>
        <v>0</v>
      </c>
      <c r="AJ186" s="29">
        <f>IF(AI186="","",IF(TaxRegistered&lt;&gt;"Yes",0,IF(PricesIncludeTax="Yes",ROUND(AI186-AI186/(1+TaxRate),2),ROUND(AI186*TaxRate,2))))</f>
        <v>0</v>
      </c>
      <c r="AK186" s="29">
        <f>IF(AI186="","",IF(PricesIncludeTax="Yes",AI186,ROUND(AI186+AJ186,2)))</f>
        <v>0</v>
      </c>
      <c r="AQ186" s="21">
        <f>IF(OR(I186="",AP186="",AP186="None"),"",IF(AP186="Monthly",EDATE(I186,1),I186+IF(AP186="Daily",1,IF(AP186="Weekdays",IF(WEEKDAY(I186,2)&gt;=5,8-WEEKDAY(I186,2),1),IF(AP186="Weekly",7,IF(AP186="Fortnightly",14,0))))))</f>
        <v>0</v>
      </c>
      <c r="AR186" s="49">
        <f>IF(OR(I186="",AL186="",K186="",L186=""),"",IF(SUMPRODUCT((Bookings!$AL$5:$AL$404=AL186)*(Bookings!$I$5:$I$404=I186)*(Bookings!$K$5:$K$404&lt;L186)*(Bookings!$L$5:$L$404&gt;K186)*(Bookings!$AM$5:$AM$404&lt;&gt;"Cancelled"))&gt;1,"Conflict - double booked","OK"))</f>
        <v>0</v>
      </c>
      <c r="AS186" s="50">
        <f>IF(A186="","",IF(COUNTIF('Visit Log'!$B$5:$B$404,A186)&gt;0,"Yes","No"))</f>
        <v>0</v>
      </c>
      <c r="AT186" s="28">
        <f>IF(A186="","",IFERROR(INDEX(Invoices!$A$5:$A$304,MATCH(A186,Invoices!$E$5:$E$304,0)),""))</f>
        <v>0</v>
      </c>
      <c r="AU186" s="49">
        <f>IF(A186="","",IF(AT186="","Not invoiced",IFERROR(INDEX(Invoices!$U$5:$U$304,MATCH(AT186,Invoices!$A$5:$A$304,0)),"")))</f>
        <v>0</v>
      </c>
      <c r="AY186" s="28">
        <f>IF(I186="","",TEXT(I186,"yyyy-mm"))</f>
        <v>0</v>
      </c>
      <c r="AZ186" s="49">
        <f>IF(I186="","",IF(AM186="Cancelled","Cancelled",IF(AND(I186&lt;TODAY(),OR(AM186="Pending",AM186="Confirmed",AM186="Enquiry")),"Overdue - update status",IF(AND(AM186="Completed",AS186="No"),"Action - log the visit",IF(I186=TODAY(),"Today",IF(AND(I186&gt;TODAY(),I186-TODAY()&lt;=ReminderLeadDays,AN186&lt;&gt;"Yes"),"Action - unconfirmed",IF(AND(I186&gt;TODAY(),I186-TODAY()&lt;=ReminderLeadDays),"Upcoming","OK")))))))</f>
        <v>0</v>
      </c>
    </row>
    <row r="187" spans="1:52">
      <c r="A187" s="46">
        <f>IF(C187="","",BookingPrefix&amp;TEXT(ROW()-4,"0000"))</f>
        <v>0</v>
      </c>
      <c r="D187" s="28">
        <f>IF(C187="","",IFERROR(INDEX(Clients!$A$5:$A$254,MATCH(C187,Clients!$B$5:$B$254,0)),""))</f>
        <v>0</v>
      </c>
      <c r="J187" s="50">
        <f>IF(I187="","",TEXT(I187,"ddd"))</f>
        <v>0</v>
      </c>
      <c r="M187" s="51">
        <f>IF(OR(K187="",L187=""),"",ROUND((L187-K187+IF(L187&lt;K187,1,0))*24,2))</f>
        <v>0</v>
      </c>
      <c r="O187" s="28">
        <f>IF(H187="","",IFERROR(INDEX(Services!$E$5:$E$54,MATCH(H187,Services!$B$5:$B$54,0)),""))</f>
        <v>0</v>
      </c>
      <c r="P187" s="29">
        <f>IF(H187="","",IFERROR(INDEX(Services!$G$5:$G$54,MATCH(H187,Services!$B$5:$B$54,0)),0))</f>
        <v>0</v>
      </c>
      <c r="Q187" s="29">
        <f>IF(H187="","",IF(IFERROR(INDEX(Services!$H$5:$H$54,MATCH(H187,Services!$B$5:$B$54,0)),0)=0,ExtraPetFeeDefault,IFERROR(INDEX(Services!$H$5:$H$54,MATCH(H187,Services!$B$5:$B$54,0)),0)))</f>
        <v>0</v>
      </c>
      <c r="R187" s="30">
        <f>IF(H187="","",IF(IFERROR(INDEX(Services!$I$5:$I$54,MATCH(H187,Services!$B$5:$B$54,0)),0)=0,HolidaySurcharge,IFERROR(INDEX(Services!$I$5:$I$54,MATCH(H187,Services!$B$5:$B$54,0)),0)))</f>
        <v>0</v>
      </c>
      <c r="S187" s="30">
        <f>IF(H187="","",IF(IFERROR(INDEX(Services!$J$5:$J$54,MATCH(H187,Services!$B$5:$B$54,0)),0)=0,WeekendSurcharge,IFERROR(INDEX(Services!$J$5:$J$54,MATCH(H187,Services!$B$5:$B$54,0)),0)))</f>
        <v>0</v>
      </c>
      <c r="T187" s="50">
        <f>IF(H187="","",IFERROR(INDEX(Services!$K$5:$K$54,MATCH(H187,Services!$B$5:$B$54,0)),"No"))</f>
        <v>0</v>
      </c>
      <c r="U187" s="29">
        <f>IF(H187="","",ROUND(IF(O187="Per hour",P187*IF(M187="",IF(N187="",1,N187),M187),P187*IF(N187="",1,N187)),2))</f>
        <v>0</v>
      </c>
      <c r="V187" s="29">
        <f>IF(H187="","",ROUND(MAX(0,IF(G187="",1,G187)-1)*Q187,2))</f>
        <v>0</v>
      </c>
      <c r="W187" s="50">
        <f>IF(I187="","",IF(COUNTIF(HolidayDates,I187)&gt;0,"Yes","No"))</f>
        <v>0</v>
      </c>
      <c r="X187" s="50">
        <f>IF(I187="","",IF(WEEKDAY(I187,2)&gt;5,"Yes","No"))</f>
        <v>0</v>
      </c>
      <c r="Y187" s="29">
        <f>IF(H187="","",ROUND((U187+V187)*(IF(W187="Yes",R187,0)+IF(X187="Yes",S187,0)),2))</f>
        <v>0</v>
      </c>
      <c r="AA187" s="29">
        <f>IF(H187="","",IF(T187&lt;&gt;"Yes",0,ROUND(MAX(0,IF(Z187="",0,Z187)-FreeTravelDistance)*TravelFeeRate,2)))</f>
        <v>0</v>
      </c>
      <c r="AB187" s="31">
        <f>IF(I187="","",TravelTimeMins)</f>
        <v>0</v>
      </c>
      <c r="AC187" s="29">
        <f>IF(OR(I187="",B187=""),0,IF(I187-B187&lt;=LastMinuteDays,EmergencyFee,0))</f>
        <v>0</v>
      </c>
      <c r="AF187" s="29">
        <f>IF(H187="","",ROUND((U187+V187+Y187+AA187+AC187)*IF(AE187="",0,AE187),2))</f>
        <v>0</v>
      </c>
      <c r="AI187" s="29">
        <f>IF(H187="","",IF(AG187&lt;&gt;"",AG187,ROUND(U187+V187+Y187+AA187+AC187-AF187,2)))</f>
        <v>0</v>
      </c>
      <c r="AJ187" s="29">
        <f>IF(AI187="","",IF(TaxRegistered&lt;&gt;"Yes",0,IF(PricesIncludeTax="Yes",ROUND(AI187-AI187/(1+TaxRate),2),ROUND(AI187*TaxRate,2))))</f>
        <v>0</v>
      </c>
      <c r="AK187" s="29">
        <f>IF(AI187="","",IF(PricesIncludeTax="Yes",AI187,ROUND(AI187+AJ187,2)))</f>
        <v>0</v>
      </c>
      <c r="AQ187" s="21">
        <f>IF(OR(I187="",AP187="",AP187="None"),"",IF(AP187="Monthly",EDATE(I187,1),I187+IF(AP187="Daily",1,IF(AP187="Weekdays",IF(WEEKDAY(I187,2)&gt;=5,8-WEEKDAY(I187,2),1),IF(AP187="Weekly",7,IF(AP187="Fortnightly",14,0))))))</f>
        <v>0</v>
      </c>
      <c r="AR187" s="49">
        <f>IF(OR(I187="",AL187="",K187="",L187=""),"",IF(SUMPRODUCT((Bookings!$AL$5:$AL$404=AL187)*(Bookings!$I$5:$I$404=I187)*(Bookings!$K$5:$K$404&lt;L187)*(Bookings!$L$5:$L$404&gt;K187)*(Bookings!$AM$5:$AM$404&lt;&gt;"Cancelled"))&gt;1,"Conflict - double booked","OK"))</f>
        <v>0</v>
      </c>
      <c r="AS187" s="50">
        <f>IF(A187="","",IF(COUNTIF('Visit Log'!$B$5:$B$404,A187)&gt;0,"Yes","No"))</f>
        <v>0</v>
      </c>
      <c r="AT187" s="28">
        <f>IF(A187="","",IFERROR(INDEX(Invoices!$A$5:$A$304,MATCH(A187,Invoices!$E$5:$E$304,0)),""))</f>
        <v>0</v>
      </c>
      <c r="AU187" s="49">
        <f>IF(A187="","",IF(AT187="","Not invoiced",IFERROR(INDEX(Invoices!$U$5:$U$304,MATCH(AT187,Invoices!$A$5:$A$304,0)),"")))</f>
        <v>0</v>
      </c>
      <c r="AY187" s="28">
        <f>IF(I187="","",TEXT(I187,"yyyy-mm"))</f>
        <v>0</v>
      </c>
      <c r="AZ187" s="49">
        <f>IF(I187="","",IF(AM187="Cancelled","Cancelled",IF(AND(I187&lt;TODAY(),OR(AM187="Pending",AM187="Confirmed",AM187="Enquiry")),"Overdue - update status",IF(AND(AM187="Completed",AS187="No"),"Action - log the visit",IF(I187=TODAY(),"Today",IF(AND(I187&gt;TODAY(),I187-TODAY()&lt;=ReminderLeadDays,AN187&lt;&gt;"Yes"),"Action - unconfirmed",IF(AND(I187&gt;TODAY(),I187-TODAY()&lt;=ReminderLeadDays),"Upcoming","OK")))))))</f>
        <v>0</v>
      </c>
    </row>
    <row r="188" spans="1:52">
      <c r="A188" s="46">
        <f>IF(C188="","",BookingPrefix&amp;TEXT(ROW()-4,"0000"))</f>
        <v>0</v>
      </c>
      <c r="D188" s="28">
        <f>IF(C188="","",IFERROR(INDEX(Clients!$A$5:$A$254,MATCH(C188,Clients!$B$5:$B$254,0)),""))</f>
        <v>0</v>
      </c>
      <c r="J188" s="50">
        <f>IF(I188="","",TEXT(I188,"ddd"))</f>
        <v>0</v>
      </c>
      <c r="M188" s="51">
        <f>IF(OR(K188="",L188=""),"",ROUND((L188-K188+IF(L188&lt;K188,1,0))*24,2))</f>
        <v>0</v>
      </c>
      <c r="O188" s="28">
        <f>IF(H188="","",IFERROR(INDEX(Services!$E$5:$E$54,MATCH(H188,Services!$B$5:$B$54,0)),""))</f>
        <v>0</v>
      </c>
      <c r="P188" s="29">
        <f>IF(H188="","",IFERROR(INDEX(Services!$G$5:$G$54,MATCH(H188,Services!$B$5:$B$54,0)),0))</f>
        <v>0</v>
      </c>
      <c r="Q188" s="29">
        <f>IF(H188="","",IF(IFERROR(INDEX(Services!$H$5:$H$54,MATCH(H188,Services!$B$5:$B$54,0)),0)=0,ExtraPetFeeDefault,IFERROR(INDEX(Services!$H$5:$H$54,MATCH(H188,Services!$B$5:$B$54,0)),0)))</f>
        <v>0</v>
      </c>
      <c r="R188" s="30">
        <f>IF(H188="","",IF(IFERROR(INDEX(Services!$I$5:$I$54,MATCH(H188,Services!$B$5:$B$54,0)),0)=0,HolidaySurcharge,IFERROR(INDEX(Services!$I$5:$I$54,MATCH(H188,Services!$B$5:$B$54,0)),0)))</f>
        <v>0</v>
      </c>
      <c r="S188" s="30">
        <f>IF(H188="","",IF(IFERROR(INDEX(Services!$J$5:$J$54,MATCH(H188,Services!$B$5:$B$54,0)),0)=0,WeekendSurcharge,IFERROR(INDEX(Services!$J$5:$J$54,MATCH(H188,Services!$B$5:$B$54,0)),0)))</f>
        <v>0</v>
      </c>
      <c r="T188" s="50">
        <f>IF(H188="","",IFERROR(INDEX(Services!$K$5:$K$54,MATCH(H188,Services!$B$5:$B$54,0)),"No"))</f>
        <v>0</v>
      </c>
      <c r="U188" s="29">
        <f>IF(H188="","",ROUND(IF(O188="Per hour",P188*IF(M188="",IF(N188="",1,N188),M188),P188*IF(N188="",1,N188)),2))</f>
        <v>0</v>
      </c>
      <c r="V188" s="29">
        <f>IF(H188="","",ROUND(MAX(0,IF(G188="",1,G188)-1)*Q188,2))</f>
        <v>0</v>
      </c>
      <c r="W188" s="50">
        <f>IF(I188="","",IF(COUNTIF(HolidayDates,I188)&gt;0,"Yes","No"))</f>
        <v>0</v>
      </c>
      <c r="X188" s="50">
        <f>IF(I188="","",IF(WEEKDAY(I188,2)&gt;5,"Yes","No"))</f>
        <v>0</v>
      </c>
      <c r="Y188" s="29">
        <f>IF(H188="","",ROUND((U188+V188)*(IF(W188="Yes",R188,0)+IF(X188="Yes",S188,0)),2))</f>
        <v>0</v>
      </c>
      <c r="AA188" s="29">
        <f>IF(H188="","",IF(T188&lt;&gt;"Yes",0,ROUND(MAX(0,IF(Z188="",0,Z188)-FreeTravelDistance)*TravelFeeRate,2)))</f>
        <v>0</v>
      </c>
      <c r="AB188" s="31">
        <f>IF(I188="","",TravelTimeMins)</f>
        <v>0</v>
      </c>
      <c r="AC188" s="29">
        <f>IF(OR(I188="",B188=""),0,IF(I188-B188&lt;=LastMinuteDays,EmergencyFee,0))</f>
        <v>0</v>
      </c>
      <c r="AF188" s="29">
        <f>IF(H188="","",ROUND((U188+V188+Y188+AA188+AC188)*IF(AE188="",0,AE188),2))</f>
        <v>0</v>
      </c>
      <c r="AI188" s="29">
        <f>IF(H188="","",IF(AG188&lt;&gt;"",AG188,ROUND(U188+V188+Y188+AA188+AC188-AF188,2)))</f>
        <v>0</v>
      </c>
      <c r="AJ188" s="29">
        <f>IF(AI188="","",IF(TaxRegistered&lt;&gt;"Yes",0,IF(PricesIncludeTax="Yes",ROUND(AI188-AI188/(1+TaxRate),2),ROUND(AI188*TaxRate,2))))</f>
        <v>0</v>
      </c>
      <c r="AK188" s="29">
        <f>IF(AI188="","",IF(PricesIncludeTax="Yes",AI188,ROUND(AI188+AJ188,2)))</f>
        <v>0</v>
      </c>
      <c r="AQ188" s="21">
        <f>IF(OR(I188="",AP188="",AP188="None"),"",IF(AP188="Monthly",EDATE(I188,1),I188+IF(AP188="Daily",1,IF(AP188="Weekdays",IF(WEEKDAY(I188,2)&gt;=5,8-WEEKDAY(I188,2),1),IF(AP188="Weekly",7,IF(AP188="Fortnightly",14,0))))))</f>
        <v>0</v>
      </c>
      <c r="AR188" s="49">
        <f>IF(OR(I188="",AL188="",K188="",L188=""),"",IF(SUMPRODUCT((Bookings!$AL$5:$AL$404=AL188)*(Bookings!$I$5:$I$404=I188)*(Bookings!$K$5:$K$404&lt;L188)*(Bookings!$L$5:$L$404&gt;K188)*(Bookings!$AM$5:$AM$404&lt;&gt;"Cancelled"))&gt;1,"Conflict - double booked","OK"))</f>
        <v>0</v>
      </c>
      <c r="AS188" s="50">
        <f>IF(A188="","",IF(COUNTIF('Visit Log'!$B$5:$B$404,A188)&gt;0,"Yes","No"))</f>
        <v>0</v>
      </c>
      <c r="AT188" s="28">
        <f>IF(A188="","",IFERROR(INDEX(Invoices!$A$5:$A$304,MATCH(A188,Invoices!$E$5:$E$304,0)),""))</f>
        <v>0</v>
      </c>
      <c r="AU188" s="49">
        <f>IF(A188="","",IF(AT188="","Not invoiced",IFERROR(INDEX(Invoices!$U$5:$U$304,MATCH(AT188,Invoices!$A$5:$A$304,0)),"")))</f>
        <v>0</v>
      </c>
      <c r="AY188" s="28">
        <f>IF(I188="","",TEXT(I188,"yyyy-mm"))</f>
        <v>0</v>
      </c>
      <c r="AZ188" s="49">
        <f>IF(I188="","",IF(AM188="Cancelled","Cancelled",IF(AND(I188&lt;TODAY(),OR(AM188="Pending",AM188="Confirmed",AM188="Enquiry")),"Overdue - update status",IF(AND(AM188="Completed",AS188="No"),"Action - log the visit",IF(I188=TODAY(),"Today",IF(AND(I188&gt;TODAY(),I188-TODAY()&lt;=ReminderLeadDays,AN188&lt;&gt;"Yes"),"Action - unconfirmed",IF(AND(I188&gt;TODAY(),I188-TODAY()&lt;=ReminderLeadDays),"Upcoming","OK")))))))</f>
        <v>0</v>
      </c>
    </row>
    <row r="189" spans="1:52">
      <c r="A189" s="46">
        <f>IF(C189="","",BookingPrefix&amp;TEXT(ROW()-4,"0000"))</f>
        <v>0</v>
      </c>
      <c r="D189" s="28">
        <f>IF(C189="","",IFERROR(INDEX(Clients!$A$5:$A$254,MATCH(C189,Clients!$B$5:$B$254,0)),""))</f>
        <v>0</v>
      </c>
      <c r="J189" s="50">
        <f>IF(I189="","",TEXT(I189,"ddd"))</f>
        <v>0</v>
      </c>
      <c r="M189" s="51">
        <f>IF(OR(K189="",L189=""),"",ROUND((L189-K189+IF(L189&lt;K189,1,0))*24,2))</f>
        <v>0</v>
      </c>
      <c r="O189" s="28">
        <f>IF(H189="","",IFERROR(INDEX(Services!$E$5:$E$54,MATCH(H189,Services!$B$5:$B$54,0)),""))</f>
        <v>0</v>
      </c>
      <c r="P189" s="29">
        <f>IF(H189="","",IFERROR(INDEX(Services!$G$5:$G$54,MATCH(H189,Services!$B$5:$B$54,0)),0))</f>
        <v>0</v>
      </c>
      <c r="Q189" s="29">
        <f>IF(H189="","",IF(IFERROR(INDEX(Services!$H$5:$H$54,MATCH(H189,Services!$B$5:$B$54,0)),0)=0,ExtraPetFeeDefault,IFERROR(INDEX(Services!$H$5:$H$54,MATCH(H189,Services!$B$5:$B$54,0)),0)))</f>
        <v>0</v>
      </c>
      <c r="R189" s="30">
        <f>IF(H189="","",IF(IFERROR(INDEX(Services!$I$5:$I$54,MATCH(H189,Services!$B$5:$B$54,0)),0)=0,HolidaySurcharge,IFERROR(INDEX(Services!$I$5:$I$54,MATCH(H189,Services!$B$5:$B$54,0)),0)))</f>
        <v>0</v>
      </c>
      <c r="S189" s="30">
        <f>IF(H189="","",IF(IFERROR(INDEX(Services!$J$5:$J$54,MATCH(H189,Services!$B$5:$B$54,0)),0)=0,WeekendSurcharge,IFERROR(INDEX(Services!$J$5:$J$54,MATCH(H189,Services!$B$5:$B$54,0)),0)))</f>
        <v>0</v>
      </c>
      <c r="T189" s="50">
        <f>IF(H189="","",IFERROR(INDEX(Services!$K$5:$K$54,MATCH(H189,Services!$B$5:$B$54,0)),"No"))</f>
        <v>0</v>
      </c>
      <c r="U189" s="29">
        <f>IF(H189="","",ROUND(IF(O189="Per hour",P189*IF(M189="",IF(N189="",1,N189),M189),P189*IF(N189="",1,N189)),2))</f>
        <v>0</v>
      </c>
      <c r="V189" s="29">
        <f>IF(H189="","",ROUND(MAX(0,IF(G189="",1,G189)-1)*Q189,2))</f>
        <v>0</v>
      </c>
      <c r="W189" s="50">
        <f>IF(I189="","",IF(COUNTIF(HolidayDates,I189)&gt;0,"Yes","No"))</f>
        <v>0</v>
      </c>
      <c r="X189" s="50">
        <f>IF(I189="","",IF(WEEKDAY(I189,2)&gt;5,"Yes","No"))</f>
        <v>0</v>
      </c>
      <c r="Y189" s="29">
        <f>IF(H189="","",ROUND((U189+V189)*(IF(W189="Yes",R189,0)+IF(X189="Yes",S189,0)),2))</f>
        <v>0</v>
      </c>
      <c r="AA189" s="29">
        <f>IF(H189="","",IF(T189&lt;&gt;"Yes",0,ROUND(MAX(0,IF(Z189="",0,Z189)-FreeTravelDistance)*TravelFeeRate,2)))</f>
        <v>0</v>
      </c>
      <c r="AB189" s="31">
        <f>IF(I189="","",TravelTimeMins)</f>
        <v>0</v>
      </c>
      <c r="AC189" s="29">
        <f>IF(OR(I189="",B189=""),0,IF(I189-B189&lt;=LastMinuteDays,EmergencyFee,0))</f>
        <v>0</v>
      </c>
      <c r="AF189" s="29">
        <f>IF(H189="","",ROUND((U189+V189+Y189+AA189+AC189)*IF(AE189="",0,AE189),2))</f>
        <v>0</v>
      </c>
      <c r="AI189" s="29">
        <f>IF(H189="","",IF(AG189&lt;&gt;"",AG189,ROUND(U189+V189+Y189+AA189+AC189-AF189,2)))</f>
        <v>0</v>
      </c>
      <c r="AJ189" s="29">
        <f>IF(AI189="","",IF(TaxRegistered&lt;&gt;"Yes",0,IF(PricesIncludeTax="Yes",ROUND(AI189-AI189/(1+TaxRate),2),ROUND(AI189*TaxRate,2))))</f>
        <v>0</v>
      </c>
      <c r="AK189" s="29">
        <f>IF(AI189="","",IF(PricesIncludeTax="Yes",AI189,ROUND(AI189+AJ189,2)))</f>
        <v>0</v>
      </c>
      <c r="AQ189" s="21">
        <f>IF(OR(I189="",AP189="",AP189="None"),"",IF(AP189="Monthly",EDATE(I189,1),I189+IF(AP189="Daily",1,IF(AP189="Weekdays",IF(WEEKDAY(I189,2)&gt;=5,8-WEEKDAY(I189,2),1),IF(AP189="Weekly",7,IF(AP189="Fortnightly",14,0))))))</f>
        <v>0</v>
      </c>
      <c r="AR189" s="49">
        <f>IF(OR(I189="",AL189="",K189="",L189=""),"",IF(SUMPRODUCT((Bookings!$AL$5:$AL$404=AL189)*(Bookings!$I$5:$I$404=I189)*(Bookings!$K$5:$K$404&lt;L189)*(Bookings!$L$5:$L$404&gt;K189)*(Bookings!$AM$5:$AM$404&lt;&gt;"Cancelled"))&gt;1,"Conflict - double booked","OK"))</f>
        <v>0</v>
      </c>
      <c r="AS189" s="50">
        <f>IF(A189="","",IF(COUNTIF('Visit Log'!$B$5:$B$404,A189)&gt;0,"Yes","No"))</f>
        <v>0</v>
      </c>
      <c r="AT189" s="28">
        <f>IF(A189="","",IFERROR(INDEX(Invoices!$A$5:$A$304,MATCH(A189,Invoices!$E$5:$E$304,0)),""))</f>
        <v>0</v>
      </c>
      <c r="AU189" s="49">
        <f>IF(A189="","",IF(AT189="","Not invoiced",IFERROR(INDEX(Invoices!$U$5:$U$304,MATCH(AT189,Invoices!$A$5:$A$304,0)),"")))</f>
        <v>0</v>
      </c>
      <c r="AY189" s="28">
        <f>IF(I189="","",TEXT(I189,"yyyy-mm"))</f>
        <v>0</v>
      </c>
      <c r="AZ189" s="49">
        <f>IF(I189="","",IF(AM189="Cancelled","Cancelled",IF(AND(I189&lt;TODAY(),OR(AM189="Pending",AM189="Confirmed",AM189="Enquiry")),"Overdue - update status",IF(AND(AM189="Completed",AS189="No"),"Action - log the visit",IF(I189=TODAY(),"Today",IF(AND(I189&gt;TODAY(),I189-TODAY()&lt;=ReminderLeadDays,AN189&lt;&gt;"Yes"),"Action - unconfirmed",IF(AND(I189&gt;TODAY(),I189-TODAY()&lt;=ReminderLeadDays),"Upcoming","OK")))))))</f>
        <v>0</v>
      </c>
    </row>
    <row r="190" spans="1:52">
      <c r="A190" s="46">
        <f>IF(C190="","",BookingPrefix&amp;TEXT(ROW()-4,"0000"))</f>
        <v>0</v>
      </c>
      <c r="D190" s="28">
        <f>IF(C190="","",IFERROR(INDEX(Clients!$A$5:$A$254,MATCH(C190,Clients!$B$5:$B$254,0)),""))</f>
        <v>0</v>
      </c>
      <c r="J190" s="50">
        <f>IF(I190="","",TEXT(I190,"ddd"))</f>
        <v>0</v>
      </c>
      <c r="M190" s="51">
        <f>IF(OR(K190="",L190=""),"",ROUND((L190-K190+IF(L190&lt;K190,1,0))*24,2))</f>
        <v>0</v>
      </c>
      <c r="O190" s="28">
        <f>IF(H190="","",IFERROR(INDEX(Services!$E$5:$E$54,MATCH(H190,Services!$B$5:$B$54,0)),""))</f>
        <v>0</v>
      </c>
      <c r="P190" s="29">
        <f>IF(H190="","",IFERROR(INDEX(Services!$G$5:$G$54,MATCH(H190,Services!$B$5:$B$54,0)),0))</f>
        <v>0</v>
      </c>
      <c r="Q190" s="29">
        <f>IF(H190="","",IF(IFERROR(INDEX(Services!$H$5:$H$54,MATCH(H190,Services!$B$5:$B$54,0)),0)=0,ExtraPetFeeDefault,IFERROR(INDEX(Services!$H$5:$H$54,MATCH(H190,Services!$B$5:$B$54,0)),0)))</f>
        <v>0</v>
      </c>
      <c r="R190" s="30">
        <f>IF(H190="","",IF(IFERROR(INDEX(Services!$I$5:$I$54,MATCH(H190,Services!$B$5:$B$54,0)),0)=0,HolidaySurcharge,IFERROR(INDEX(Services!$I$5:$I$54,MATCH(H190,Services!$B$5:$B$54,0)),0)))</f>
        <v>0</v>
      </c>
      <c r="S190" s="30">
        <f>IF(H190="","",IF(IFERROR(INDEX(Services!$J$5:$J$54,MATCH(H190,Services!$B$5:$B$54,0)),0)=0,WeekendSurcharge,IFERROR(INDEX(Services!$J$5:$J$54,MATCH(H190,Services!$B$5:$B$54,0)),0)))</f>
        <v>0</v>
      </c>
      <c r="T190" s="50">
        <f>IF(H190="","",IFERROR(INDEX(Services!$K$5:$K$54,MATCH(H190,Services!$B$5:$B$54,0)),"No"))</f>
        <v>0</v>
      </c>
      <c r="U190" s="29">
        <f>IF(H190="","",ROUND(IF(O190="Per hour",P190*IF(M190="",IF(N190="",1,N190),M190),P190*IF(N190="",1,N190)),2))</f>
        <v>0</v>
      </c>
      <c r="V190" s="29">
        <f>IF(H190="","",ROUND(MAX(0,IF(G190="",1,G190)-1)*Q190,2))</f>
        <v>0</v>
      </c>
      <c r="W190" s="50">
        <f>IF(I190="","",IF(COUNTIF(HolidayDates,I190)&gt;0,"Yes","No"))</f>
        <v>0</v>
      </c>
      <c r="X190" s="50">
        <f>IF(I190="","",IF(WEEKDAY(I190,2)&gt;5,"Yes","No"))</f>
        <v>0</v>
      </c>
      <c r="Y190" s="29">
        <f>IF(H190="","",ROUND((U190+V190)*(IF(W190="Yes",R190,0)+IF(X190="Yes",S190,0)),2))</f>
        <v>0</v>
      </c>
      <c r="AA190" s="29">
        <f>IF(H190="","",IF(T190&lt;&gt;"Yes",0,ROUND(MAX(0,IF(Z190="",0,Z190)-FreeTravelDistance)*TravelFeeRate,2)))</f>
        <v>0</v>
      </c>
      <c r="AB190" s="31">
        <f>IF(I190="","",TravelTimeMins)</f>
        <v>0</v>
      </c>
      <c r="AC190" s="29">
        <f>IF(OR(I190="",B190=""),0,IF(I190-B190&lt;=LastMinuteDays,EmergencyFee,0))</f>
        <v>0</v>
      </c>
      <c r="AF190" s="29">
        <f>IF(H190="","",ROUND((U190+V190+Y190+AA190+AC190)*IF(AE190="",0,AE190),2))</f>
        <v>0</v>
      </c>
      <c r="AI190" s="29">
        <f>IF(H190="","",IF(AG190&lt;&gt;"",AG190,ROUND(U190+V190+Y190+AA190+AC190-AF190,2)))</f>
        <v>0</v>
      </c>
      <c r="AJ190" s="29">
        <f>IF(AI190="","",IF(TaxRegistered&lt;&gt;"Yes",0,IF(PricesIncludeTax="Yes",ROUND(AI190-AI190/(1+TaxRate),2),ROUND(AI190*TaxRate,2))))</f>
        <v>0</v>
      </c>
      <c r="AK190" s="29">
        <f>IF(AI190="","",IF(PricesIncludeTax="Yes",AI190,ROUND(AI190+AJ190,2)))</f>
        <v>0</v>
      </c>
      <c r="AQ190" s="21">
        <f>IF(OR(I190="",AP190="",AP190="None"),"",IF(AP190="Monthly",EDATE(I190,1),I190+IF(AP190="Daily",1,IF(AP190="Weekdays",IF(WEEKDAY(I190,2)&gt;=5,8-WEEKDAY(I190,2),1),IF(AP190="Weekly",7,IF(AP190="Fortnightly",14,0))))))</f>
        <v>0</v>
      </c>
      <c r="AR190" s="49">
        <f>IF(OR(I190="",AL190="",K190="",L190=""),"",IF(SUMPRODUCT((Bookings!$AL$5:$AL$404=AL190)*(Bookings!$I$5:$I$404=I190)*(Bookings!$K$5:$K$404&lt;L190)*(Bookings!$L$5:$L$404&gt;K190)*(Bookings!$AM$5:$AM$404&lt;&gt;"Cancelled"))&gt;1,"Conflict - double booked","OK"))</f>
        <v>0</v>
      </c>
      <c r="AS190" s="50">
        <f>IF(A190="","",IF(COUNTIF('Visit Log'!$B$5:$B$404,A190)&gt;0,"Yes","No"))</f>
        <v>0</v>
      </c>
      <c r="AT190" s="28">
        <f>IF(A190="","",IFERROR(INDEX(Invoices!$A$5:$A$304,MATCH(A190,Invoices!$E$5:$E$304,0)),""))</f>
        <v>0</v>
      </c>
      <c r="AU190" s="49">
        <f>IF(A190="","",IF(AT190="","Not invoiced",IFERROR(INDEX(Invoices!$U$5:$U$304,MATCH(AT190,Invoices!$A$5:$A$304,0)),"")))</f>
        <v>0</v>
      </c>
      <c r="AY190" s="28">
        <f>IF(I190="","",TEXT(I190,"yyyy-mm"))</f>
        <v>0</v>
      </c>
      <c r="AZ190" s="49">
        <f>IF(I190="","",IF(AM190="Cancelled","Cancelled",IF(AND(I190&lt;TODAY(),OR(AM190="Pending",AM190="Confirmed",AM190="Enquiry")),"Overdue - update status",IF(AND(AM190="Completed",AS190="No"),"Action - log the visit",IF(I190=TODAY(),"Today",IF(AND(I190&gt;TODAY(),I190-TODAY()&lt;=ReminderLeadDays,AN190&lt;&gt;"Yes"),"Action - unconfirmed",IF(AND(I190&gt;TODAY(),I190-TODAY()&lt;=ReminderLeadDays),"Upcoming","OK")))))))</f>
        <v>0</v>
      </c>
    </row>
    <row r="191" spans="1:52">
      <c r="A191" s="46">
        <f>IF(C191="","",BookingPrefix&amp;TEXT(ROW()-4,"0000"))</f>
        <v>0</v>
      </c>
      <c r="D191" s="28">
        <f>IF(C191="","",IFERROR(INDEX(Clients!$A$5:$A$254,MATCH(C191,Clients!$B$5:$B$254,0)),""))</f>
        <v>0</v>
      </c>
      <c r="J191" s="50">
        <f>IF(I191="","",TEXT(I191,"ddd"))</f>
        <v>0</v>
      </c>
      <c r="M191" s="51">
        <f>IF(OR(K191="",L191=""),"",ROUND((L191-K191+IF(L191&lt;K191,1,0))*24,2))</f>
        <v>0</v>
      </c>
      <c r="O191" s="28">
        <f>IF(H191="","",IFERROR(INDEX(Services!$E$5:$E$54,MATCH(H191,Services!$B$5:$B$54,0)),""))</f>
        <v>0</v>
      </c>
      <c r="P191" s="29">
        <f>IF(H191="","",IFERROR(INDEX(Services!$G$5:$G$54,MATCH(H191,Services!$B$5:$B$54,0)),0))</f>
        <v>0</v>
      </c>
      <c r="Q191" s="29">
        <f>IF(H191="","",IF(IFERROR(INDEX(Services!$H$5:$H$54,MATCH(H191,Services!$B$5:$B$54,0)),0)=0,ExtraPetFeeDefault,IFERROR(INDEX(Services!$H$5:$H$54,MATCH(H191,Services!$B$5:$B$54,0)),0)))</f>
        <v>0</v>
      </c>
      <c r="R191" s="30">
        <f>IF(H191="","",IF(IFERROR(INDEX(Services!$I$5:$I$54,MATCH(H191,Services!$B$5:$B$54,0)),0)=0,HolidaySurcharge,IFERROR(INDEX(Services!$I$5:$I$54,MATCH(H191,Services!$B$5:$B$54,0)),0)))</f>
        <v>0</v>
      </c>
      <c r="S191" s="30">
        <f>IF(H191="","",IF(IFERROR(INDEX(Services!$J$5:$J$54,MATCH(H191,Services!$B$5:$B$54,0)),0)=0,WeekendSurcharge,IFERROR(INDEX(Services!$J$5:$J$54,MATCH(H191,Services!$B$5:$B$54,0)),0)))</f>
        <v>0</v>
      </c>
      <c r="T191" s="50">
        <f>IF(H191="","",IFERROR(INDEX(Services!$K$5:$K$54,MATCH(H191,Services!$B$5:$B$54,0)),"No"))</f>
        <v>0</v>
      </c>
      <c r="U191" s="29">
        <f>IF(H191="","",ROUND(IF(O191="Per hour",P191*IF(M191="",IF(N191="",1,N191),M191),P191*IF(N191="",1,N191)),2))</f>
        <v>0</v>
      </c>
      <c r="V191" s="29">
        <f>IF(H191="","",ROUND(MAX(0,IF(G191="",1,G191)-1)*Q191,2))</f>
        <v>0</v>
      </c>
      <c r="W191" s="50">
        <f>IF(I191="","",IF(COUNTIF(HolidayDates,I191)&gt;0,"Yes","No"))</f>
        <v>0</v>
      </c>
      <c r="X191" s="50">
        <f>IF(I191="","",IF(WEEKDAY(I191,2)&gt;5,"Yes","No"))</f>
        <v>0</v>
      </c>
      <c r="Y191" s="29">
        <f>IF(H191="","",ROUND((U191+V191)*(IF(W191="Yes",R191,0)+IF(X191="Yes",S191,0)),2))</f>
        <v>0</v>
      </c>
      <c r="AA191" s="29">
        <f>IF(H191="","",IF(T191&lt;&gt;"Yes",0,ROUND(MAX(0,IF(Z191="",0,Z191)-FreeTravelDistance)*TravelFeeRate,2)))</f>
        <v>0</v>
      </c>
      <c r="AB191" s="31">
        <f>IF(I191="","",TravelTimeMins)</f>
        <v>0</v>
      </c>
      <c r="AC191" s="29">
        <f>IF(OR(I191="",B191=""),0,IF(I191-B191&lt;=LastMinuteDays,EmergencyFee,0))</f>
        <v>0</v>
      </c>
      <c r="AF191" s="29">
        <f>IF(H191="","",ROUND((U191+V191+Y191+AA191+AC191)*IF(AE191="",0,AE191),2))</f>
        <v>0</v>
      </c>
      <c r="AI191" s="29">
        <f>IF(H191="","",IF(AG191&lt;&gt;"",AG191,ROUND(U191+V191+Y191+AA191+AC191-AF191,2)))</f>
        <v>0</v>
      </c>
      <c r="AJ191" s="29">
        <f>IF(AI191="","",IF(TaxRegistered&lt;&gt;"Yes",0,IF(PricesIncludeTax="Yes",ROUND(AI191-AI191/(1+TaxRate),2),ROUND(AI191*TaxRate,2))))</f>
        <v>0</v>
      </c>
      <c r="AK191" s="29">
        <f>IF(AI191="","",IF(PricesIncludeTax="Yes",AI191,ROUND(AI191+AJ191,2)))</f>
        <v>0</v>
      </c>
      <c r="AQ191" s="21">
        <f>IF(OR(I191="",AP191="",AP191="None"),"",IF(AP191="Monthly",EDATE(I191,1),I191+IF(AP191="Daily",1,IF(AP191="Weekdays",IF(WEEKDAY(I191,2)&gt;=5,8-WEEKDAY(I191,2),1),IF(AP191="Weekly",7,IF(AP191="Fortnightly",14,0))))))</f>
        <v>0</v>
      </c>
      <c r="AR191" s="49">
        <f>IF(OR(I191="",AL191="",K191="",L191=""),"",IF(SUMPRODUCT((Bookings!$AL$5:$AL$404=AL191)*(Bookings!$I$5:$I$404=I191)*(Bookings!$K$5:$K$404&lt;L191)*(Bookings!$L$5:$L$404&gt;K191)*(Bookings!$AM$5:$AM$404&lt;&gt;"Cancelled"))&gt;1,"Conflict - double booked","OK"))</f>
        <v>0</v>
      </c>
      <c r="AS191" s="50">
        <f>IF(A191="","",IF(COUNTIF('Visit Log'!$B$5:$B$404,A191)&gt;0,"Yes","No"))</f>
        <v>0</v>
      </c>
      <c r="AT191" s="28">
        <f>IF(A191="","",IFERROR(INDEX(Invoices!$A$5:$A$304,MATCH(A191,Invoices!$E$5:$E$304,0)),""))</f>
        <v>0</v>
      </c>
      <c r="AU191" s="49">
        <f>IF(A191="","",IF(AT191="","Not invoiced",IFERROR(INDEX(Invoices!$U$5:$U$304,MATCH(AT191,Invoices!$A$5:$A$304,0)),"")))</f>
        <v>0</v>
      </c>
      <c r="AY191" s="28">
        <f>IF(I191="","",TEXT(I191,"yyyy-mm"))</f>
        <v>0</v>
      </c>
      <c r="AZ191" s="49">
        <f>IF(I191="","",IF(AM191="Cancelled","Cancelled",IF(AND(I191&lt;TODAY(),OR(AM191="Pending",AM191="Confirmed",AM191="Enquiry")),"Overdue - update status",IF(AND(AM191="Completed",AS191="No"),"Action - log the visit",IF(I191=TODAY(),"Today",IF(AND(I191&gt;TODAY(),I191-TODAY()&lt;=ReminderLeadDays,AN191&lt;&gt;"Yes"),"Action - unconfirmed",IF(AND(I191&gt;TODAY(),I191-TODAY()&lt;=ReminderLeadDays),"Upcoming","OK")))))))</f>
        <v>0</v>
      </c>
    </row>
    <row r="192" spans="1:52">
      <c r="A192" s="46">
        <f>IF(C192="","",BookingPrefix&amp;TEXT(ROW()-4,"0000"))</f>
        <v>0</v>
      </c>
      <c r="D192" s="28">
        <f>IF(C192="","",IFERROR(INDEX(Clients!$A$5:$A$254,MATCH(C192,Clients!$B$5:$B$254,0)),""))</f>
        <v>0</v>
      </c>
      <c r="J192" s="50">
        <f>IF(I192="","",TEXT(I192,"ddd"))</f>
        <v>0</v>
      </c>
      <c r="M192" s="51">
        <f>IF(OR(K192="",L192=""),"",ROUND((L192-K192+IF(L192&lt;K192,1,0))*24,2))</f>
        <v>0</v>
      </c>
      <c r="O192" s="28">
        <f>IF(H192="","",IFERROR(INDEX(Services!$E$5:$E$54,MATCH(H192,Services!$B$5:$B$54,0)),""))</f>
        <v>0</v>
      </c>
      <c r="P192" s="29">
        <f>IF(H192="","",IFERROR(INDEX(Services!$G$5:$G$54,MATCH(H192,Services!$B$5:$B$54,0)),0))</f>
        <v>0</v>
      </c>
      <c r="Q192" s="29">
        <f>IF(H192="","",IF(IFERROR(INDEX(Services!$H$5:$H$54,MATCH(H192,Services!$B$5:$B$54,0)),0)=0,ExtraPetFeeDefault,IFERROR(INDEX(Services!$H$5:$H$54,MATCH(H192,Services!$B$5:$B$54,0)),0)))</f>
        <v>0</v>
      </c>
      <c r="R192" s="30">
        <f>IF(H192="","",IF(IFERROR(INDEX(Services!$I$5:$I$54,MATCH(H192,Services!$B$5:$B$54,0)),0)=0,HolidaySurcharge,IFERROR(INDEX(Services!$I$5:$I$54,MATCH(H192,Services!$B$5:$B$54,0)),0)))</f>
        <v>0</v>
      </c>
      <c r="S192" s="30">
        <f>IF(H192="","",IF(IFERROR(INDEX(Services!$J$5:$J$54,MATCH(H192,Services!$B$5:$B$54,0)),0)=0,WeekendSurcharge,IFERROR(INDEX(Services!$J$5:$J$54,MATCH(H192,Services!$B$5:$B$54,0)),0)))</f>
        <v>0</v>
      </c>
      <c r="T192" s="50">
        <f>IF(H192="","",IFERROR(INDEX(Services!$K$5:$K$54,MATCH(H192,Services!$B$5:$B$54,0)),"No"))</f>
        <v>0</v>
      </c>
      <c r="U192" s="29">
        <f>IF(H192="","",ROUND(IF(O192="Per hour",P192*IF(M192="",IF(N192="",1,N192),M192),P192*IF(N192="",1,N192)),2))</f>
        <v>0</v>
      </c>
      <c r="V192" s="29">
        <f>IF(H192="","",ROUND(MAX(0,IF(G192="",1,G192)-1)*Q192,2))</f>
        <v>0</v>
      </c>
      <c r="W192" s="50">
        <f>IF(I192="","",IF(COUNTIF(HolidayDates,I192)&gt;0,"Yes","No"))</f>
        <v>0</v>
      </c>
      <c r="X192" s="50">
        <f>IF(I192="","",IF(WEEKDAY(I192,2)&gt;5,"Yes","No"))</f>
        <v>0</v>
      </c>
      <c r="Y192" s="29">
        <f>IF(H192="","",ROUND((U192+V192)*(IF(W192="Yes",R192,0)+IF(X192="Yes",S192,0)),2))</f>
        <v>0</v>
      </c>
      <c r="AA192" s="29">
        <f>IF(H192="","",IF(T192&lt;&gt;"Yes",0,ROUND(MAX(0,IF(Z192="",0,Z192)-FreeTravelDistance)*TravelFeeRate,2)))</f>
        <v>0</v>
      </c>
      <c r="AB192" s="31">
        <f>IF(I192="","",TravelTimeMins)</f>
        <v>0</v>
      </c>
      <c r="AC192" s="29">
        <f>IF(OR(I192="",B192=""),0,IF(I192-B192&lt;=LastMinuteDays,EmergencyFee,0))</f>
        <v>0</v>
      </c>
      <c r="AF192" s="29">
        <f>IF(H192="","",ROUND((U192+V192+Y192+AA192+AC192)*IF(AE192="",0,AE192),2))</f>
        <v>0</v>
      </c>
      <c r="AI192" s="29">
        <f>IF(H192="","",IF(AG192&lt;&gt;"",AG192,ROUND(U192+V192+Y192+AA192+AC192-AF192,2)))</f>
        <v>0</v>
      </c>
      <c r="AJ192" s="29">
        <f>IF(AI192="","",IF(TaxRegistered&lt;&gt;"Yes",0,IF(PricesIncludeTax="Yes",ROUND(AI192-AI192/(1+TaxRate),2),ROUND(AI192*TaxRate,2))))</f>
        <v>0</v>
      </c>
      <c r="AK192" s="29">
        <f>IF(AI192="","",IF(PricesIncludeTax="Yes",AI192,ROUND(AI192+AJ192,2)))</f>
        <v>0</v>
      </c>
      <c r="AQ192" s="21">
        <f>IF(OR(I192="",AP192="",AP192="None"),"",IF(AP192="Monthly",EDATE(I192,1),I192+IF(AP192="Daily",1,IF(AP192="Weekdays",IF(WEEKDAY(I192,2)&gt;=5,8-WEEKDAY(I192,2),1),IF(AP192="Weekly",7,IF(AP192="Fortnightly",14,0))))))</f>
        <v>0</v>
      </c>
      <c r="AR192" s="49">
        <f>IF(OR(I192="",AL192="",K192="",L192=""),"",IF(SUMPRODUCT((Bookings!$AL$5:$AL$404=AL192)*(Bookings!$I$5:$I$404=I192)*(Bookings!$K$5:$K$404&lt;L192)*(Bookings!$L$5:$L$404&gt;K192)*(Bookings!$AM$5:$AM$404&lt;&gt;"Cancelled"))&gt;1,"Conflict - double booked","OK"))</f>
        <v>0</v>
      </c>
      <c r="AS192" s="50">
        <f>IF(A192="","",IF(COUNTIF('Visit Log'!$B$5:$B$404,A192)&gt;0,"Yes","No"))</f>
        <v>0</v>
      </c>
      <c r="AT192" s="28">
        <f>IF(A192="","",IFERROR(INDEX(Invoices!$A$5:$A$304,MATCH(A192,Invoices!$E$5:$E$304,0)),""))</f>
        <v>0</v>
      </c>
      <c r="AU192" s="49">
        <f>IF(A192="","",IF(AT192="","Not invoiced",IFERROR(INDEX(Invoices!$U$5:$U$304,MATCH(AT192,Invoices!$A$5:$A$304,0)),"")))</f>
        <v>0</v>
      </c>
      <c r="AY192" s="28">
        <f>IF(I192="","",TEXT(I192,"yyyy-mm"))</f>
        <v>0</v>
      </c>
      <c r="AZ192" s="49">
        <f>IF(I192="","",IF(AM192="Cancelled","Cancelled",IF(AND(I192&lt;TODAY(),OR(AM192="Pending",AM192="Confirmed",AM192="Enquiry")),"Overdue - update status",IF(AND(AM192="Completed",AS192="No"),"Action - log the visit",IF(I192=TODAY(),"Today",IF(AND(I192&gt;TODAY(),I192-TODAY()&lt;=ReminderLeadDays,AN192&lt;&gt;"Yes"),"Action - unconfirmed",IF(AND(I192&gt;TODAY(),I192-TODAY()&lt;=ReminderLeadDays),"Upcoming","OK")))))))</f>
        <v>0</v>
      </c>
    </row>
    <row r="193" spans="1:52">
      <c r="A193" s="46">
        <f>IF(C193="","",BookingPrefix&amp;TEXT(ROW()-4,"0000"))</f>
        <v>0</v>
      </c>
      <c r="D193" s="28">
        <f>IF(C193="","",IFERROR(INDEX(Clients!$A$5:$A$254,MATCH(C193,Clients!$B$5:$B$254,0)),""))</f>
        <v>0</v>
      </c>
      <c r="J193" s="50">
        <f>IF(I193="","",TEXT(I193,"ddd"))</f>
        <v>0</v>
      </c>
      <c r="M193" s="51">
        <f>IF(OR(K193="",L193=""),"",ROUND((L193-K193+IF(L193&lt;K193,1,0))*24,2))</f>
        <v>0</v>
      </c>
      <c r="O193" s="28">
        <f>IF(H193="","",IFERROR(INDEX(Services!$E$5:$E$54,MATCH(H193,Services!$B$5:$B$54,0)),""))</f>
        <v>0</v>
      </c>
      <c r="P193" s="29">
        <f>IF(H193="","",IFERROR(INDEX(Services!$G$5:$G$54,MATCH(H193,Services!$B$5:$B$54,0)),0))</f>
        <v>0</v>
      </c>
      <c r="Q193" s="29">
        <f>IF(H193="","",IF(IFERROR(INDEX(Services!$H$5:$H$54,MATCH(H193,Services!$B$5:$B$54,0)),0)=0,ExtraPetFeeDefault,IFERROR(INDEX(Services!$H$5:$H$54,MATCH(H193,Services!$B$5:$B$54,0)),0)))</f>
        <v>0</v>
      </c>
      <c r="R193" s="30">
        <f>IF(H193="","",IF(IFERROR(INDEX(Services!$I$5:$I$54,MATCH(H193,Services!$B$5:$B$54,0)),0)=0,HolidaySurcharge,IFERROR(INDEX(Services!$I$5:$I$54,MATCH(H193,Services!$B$5:$B$54,0)),0)))</f>
        <v>0</v>
      </c>
      <c r="S193" s="30">
        <f>IF(H193="","",IF(IFERROR(INDEX(Services!$J$5:$J$54,MATCH(H193,Services!$B$5:$B$54,0)),0)=0,WeekendSurcharge,IFERROR(INDEX(Services!$J$5:$J$54,MATCH(H193,Services!$B$5:$B$54,0)),0)))</f>
        <v>0</v>
      </c>
      <c r="T193" s="50">
        <f>IF(H193="","",IFERROR(INDEX(Services!$K$5:$K$54,MATCH(H193,Services!$B$5:$B$54,0)),"No"))</f>
        <v>0</v>
      </c>
      <c r="U193" s="29">
        <f>IF(H193="","",ROUND(IF(O193="Per hour",P193*IF(M193="",IF(N193="",1,N193),M193),P193*IF(N193="",1,N193)),2))</f>
        <v>0</v>
      </c>
      <c r="V193" s="29">
        <f>IF(H193="","",ROUND(MAX(0,IF(G193="",1,G193)-1)*Q193,2))</f>
        <v>0</v>
      </c>
      <c r="W193" s="50">
        <f>IF(I193="","",IF(COUNTIF(HolidayDates,I193)&gt;0,"Yes","No"))</f>
        <v>0</v>
      </c>
      <c r="X193" s="50">
        <f>IF(I193="","",IF(WEEKDAY(I193,2)&gt;5,"Yes","No"))</f>
        <v>0</v>
      </c>
      <c r="Y193" s="29">
        <f>IF(H193="","",ROUND((U193+V193)*(IF(W193="Yes",R193,0)+IF(X193="Yes",S193,0)),2))</f>
        <v>0</v>
      </c>
      <c r="AA193" s="29">
        <f>IF(H193="","",IF(T193&lt;&gt;"Yes",0,ROUND(MAX(0,IF(Z193="",0,Z193)-FreeTravelDistance)*TravelFeeRate,2)))</f>
        <v>0</v>
      </c>
      <c r="AB193" s="31">
        <f>IF(I193="","",TravelTimeMins)</f>
        <v>0</v>
      </c>
      <c r="AC193" s="29">
        <f>IF(OR(I193="",B193=""),0,IF(I193-B193&lt;=LastMinuteDays,EmergencyFee,0))</f>
        <v>0</v>
      </c>
      <c r="AF193" s="29">
        <f>IF(H193="","",ROUND((U193+V193+Y193+AA193+AC193)*IF(AE193="",0,AE193),2))</f>
        <v>0</v>
      </c>
      <c r="AI193" s="29">
        <f>IF(H193="","",IF(AG193&lt;&gt;"",AG193,ROUND(U193+V193+Y193+AA193+AC193-AF193,2)))</f>
        <v>0</v>
      </c>
      <c r="AJ193" s="29">
        <f>IF(AI193="","",IF(TaxRegistered&lt;&gt;"Yes",0,IF(PricesIncludeTax="Yes",ROUND(AI193-AI193/(1+TaxRate),2),ROUND(AI193*TaxRate,2))))</f>
        <v>0</v>
      </c>
      <c r="AK193" s="29">
        <f>IF(AI193="","",IF(PricesIncludeTax="Yes",AI193,ROUND(AI193+AJ193,2)))</f>
        <v>0</v>
      </c>
      <c r="AQ193" s="21">
        <f>IF(OR(I193="",AP193="",AP193="None"),"",IF(AP193="Monthly",EDATE(I193,1),I193+IF(AP193="Daily",1,IF(AP193="Weekdays",IF(WEEKDAY(I193,2)&gt;=5,8-WEEKDAY(I193,2),1),IF(AP193="Weekly",7,IF(AP193="Fortnightly",14,0))))))</f>
        <v>0</v>
      </c>
      <c r="AR193" s="49">
        <f>IF(OR(I193="",AL193="",K193="",L193=""),"",IF(SUMPRODUCT((Bookings!$AL$5:$AL$404=AL193)*(Bookings!$I$5:$I$404=I193)*(Bookings!$K$5:$K$404&lt;L193)*(Bookings!$L$5:$L$404&gt;K193)*(Bookings!$AM$5:$AM$404&lt;&gt;"Cancelled"))&gt;1,"Conflict - double booked","OK"))</f>
        <v>0</v>
      </c>
      <c r="AS193" s="50">
        <f>IF(A193="","",IF(COUNTIF('Visit Log'!$B$5:$B$404,A193)&gt;0,"Yes","No"))</f>
        <v>0</v>
      </c>
      <c r="AT193" s="28">
        <f>IF(A193="","",IFERROR(INDEX(Invoices!$A$5:$A$304,MATCH(A193,Invoices!$E$5:$E$304,0)),""))</f>
        <v>0</v>
      </c>
      <c r="AU193" s="49">
        <f>IF(A193="","",IF(AT193="","Not invoiced",IFERROR(INDEX(Invoices!$U$5:$U$304,MATCH(AT193,Invoices!$A$5:$A$304,0)),"")))</f>
        <v>0</v>
      </c>
      <c r="AY193" s="28">
        <f>IF(I193="","",TEXT(I193,"yyyy-mm"))</f>
        <v>0</v>
      </c>
      <c r="AZ193" s="49">
        <f>IF(I193="","",IF(AM193="Cancelled","Cancelled",IF(AND(I193&lt;TODAY(),OR(AM193="Pending",AM193="Confirmed",AM193="Enquiry")),"Overdue - update status",IF(AND(AM193="Completed",AS193="No"),"Action - log the visit",IF(I193=TODAY(),"Today",IF(AND(I193&gt;TODAY(),I193-TODAY()&lt;=ReminderLeadDays,AN193&lt;&gt;"Yes"),"Action - unconfirmed",IF(AND(I193&gt;TODAY(),I193-TODAY()&lt;=ReminderLeadDays),"Upcoming","OK")))))))</f>
        <v>0</v>
      </c>
    </row>
    <row r="194" spans="1:52">
      <c r="A194" s="46">
        <f>IF(C194="","",BookingPrefix&amp;TEXT(ROW()-4,"0000"))</f>
        <v>0</v>
      </c>
      <c r="D194" s="28">
        <f>IF(C194="","",IFERROR(INDEX(Clients!$A$5:$A$254,MATCH(C194,Clients!$B$5:$B$254,0)),""))</f>
        <v>0</v>
      </c>
      <c r="J194" s="50">
        <f>IF(I194="","",TEXT(I194,"ddd"))</f>
        <v>0</v>
      </c>
      <c r="M194" s="51">
        <f>IF(OR(K194="",L194=""),"",ROUND((L194-K194+IF(L194&lt;K194,1,0))*24,2))</f>
        <v>0</v>
      </c>
      <c r="O194" s="28">
        <f>IF(H194="","",IFERROR(INDEX(Services!$E$5:$E$54,MATCH(H194,Services!$B$5:$B$54,0)),""))</f>
        <v>0</v>
      </c>
      <c r="P194" s="29">
        <f>IF(H194="","",IFERROR(INDEX(Services!$G$5:$G$54,MATCH(H194,Services!$B$5:$B$54,0)),0))</f>
        <v>0</v>
      </c>
      <c r="Q194" s="29">
        <f>IF(H194="","",IF(IFERROR(INDEX(Services!$H$5:$H$54,MATCH(H194,Services!$B$5:$B$54,0)),0)=0,ExtraPetFeeDefault,IFERROR(INDEX(Services!$H$5:$H$54,MATCH(H194,Services!$B$5:$B$54,0)),0)))</f>
        <v>0</v>
      </c>
      <c r="R194" s="30">
        <f>IF(H194="","",IF(IFERROR(INDEX(Services!$I$5:$I$54,MATCH(H194,Services!$B$5:$B$54,0)),0)=0,HolidaySurcharge,IFERROR(INDEX(Services!$I$5:$I$54,MATCH(H194,Services!$B$5:$B$54,0)),0)))</f>
        <v>0</v>
      </c>
      <c r="S194" s="30">
        <f>IF(H194="","",IF(IFERROR(INDEX(Services!$J$5:$J$54,MATCH(H194,Services!$B$5:$B$54,0)),0)=0,WeekendSurcharge,IFERROR(INDEX(Services!$J$5:$J$54,MATCH(H194,Services!$B$5:$B$54,0)),0)))</f>
        <v>0</v>
      </c>
      <c r="T194" s="50">
        <f>IF(H194="","",IFERROR(INDEX(Services!$K$5:$K$54,MATCH(H194,Services!$B$5:$B$54,0)),"No"))</f>
        <v>0</v>
      </c>
      <c r="U194" s="29">
        <f>IF(H194="","",ROUND(IF(O194="Per hour",P194*IF(M194="",IF(N194="",1,N194),M194),P194*IF(N194="",1,N194)),2))</f>
        <v>0</v>
      </c>
      <c r="V194" s="29">
        <f>IF(H194="","",ROUND(MAX(0,IF(G194="",1,G194)-1)*Q194,2))</f>
        <v>0</v>
      </c>
      <c r="W194" s="50">
        <f>IF(I194="","",IF(COUNTIF(HolidayDates,I194)&gt;0,"Yes","No"))</f>
        <v>0</v>
      </c>
      <c r="X194" s="50">
        <f>IF(I194="","",IF(WEEKDAY(I194,2)&gt;5,"Yes","No"))</f>
        <v>0</v>
      </c>
      <c r="Y194" s="29">
        <f>IF(H194="","",ROUND((U194+V194)*(IF(W194="Yes",R194,0)+IF(X194="Yes",S194,0)),2))</f>
        <v>0</v>
      </c>
      <c r="AA194" s="29">
        <f>IF(H194="","",IF(T194&lt;&gt;"Yes",0,ROUND(MAX(0,IF(Z194="",0,Z194)-FreeTravelDistance)*TravelFeeRate,2)))</f>
        <v>0</v>
      </c>
      <c r="AB194" s="31">
        <f>IF(I194="","",TravelTimeMins)</f>
        <v>0</v>
      </c>
      <c r="AC194" s="29">
        <f>IF(OR(I194="",B194=""),0,IF(I194-B194&lt;=LastMinuteDays,EmergencyFee,0))</f>
        <v>0</v>
      </c>
      <c r="AF194" s="29">
        <f>IF(H194="","",ROUND((U194+V194+Y194+AA194+AC194)*IF(AE194="",0,AE194),2))</f>
        <v>0</v>
      </c>
      <c r="AI194" s="29">
        <f>IF(H194="","",IF(AG194&lt;&gt;"",AG194,ROUND(U194+V194+Y194+AA194+AC194-AF194,2)))</f>
        <v>0</v>
      </c>
      <c r="AJ194" s="29">
        <f>IF(AI194="","",IF(TaxRegistered&lt;&gt;"Yes",0,IF(PricesIncludeTax="Yes",ROUND(AI194-AI194/(1+TaxRate),2),ROUND(AI194*TaxRate,2))))</f>
        <v>0</v>
      </c>
      <c r="AK194" s="29">
        <f>IF(AI194="","",IF(PricesIncludeTax="Yes",AI194,ROUND(AI194+AJ194,2)))</f>
        <v>0</v>
      </c>
      <c r="AQ194" s="21">
        <f>IF(OR(I194="",AP194="",AP194="None"),"",IF(AP194="Monthly",EDATE(I194,1),I194+IF(AP194="Daily",1,IF(AP194="Weekdays",IF(WEEKDAY(I194,2)&gt;=5,8-WEEKDAY(I194,2),1),IF(AP194="Weekly",7,IF(AP194="Fortnightly",14,0))))))</f>
        <v>0</v>
      </c>
      <c r="AR194" s="49">
        <f>IF(OR(I194="",AL194="",K194="",L194=""),"",IF(SUMPRODUCT((Bookings!$AL$5:$AL$404=AL194)*(Bookings!$I$5:$I$404=I194)*(Bookings!$K$5:$K$404&lt;L194)*(Bookings!$L$5:$L$404&gt;K194)*(Bookings!$AM$5:$AM$404&lt;&gt;"Cancelled"))&gt;1,"Conflict - double booked","OK"))</f>
        <v>0</v>
      </c>
      <c r="AS194" s="50">
        <f>IF(A194="","",IF(COUNTIF('Visit Log'!$B$5:$B$404,A194)&gt;0,"Yes","No"))</f>
        <v>0</v>
      </c>
      <c r="AT194" s="28">
        <f>IF(A194="","",IFERROR(INDEX(Invoices!$A$5:$A$304,MATCH(A194,Invoices!$E$5:$E$304,0)),""))</f>
        <v>0</v>
      </c>
      <c r="AU194" s="49">
        <f>IF(A194="","",IF(AT194="","Not invoiced",IFERROR(INDEX(Invoices!$U$5:$U$304,MATCH(AT194,Invoices!$A$5:$A$304,0)),"")))</f>
        <v>0</v>
      </c>
      <c r="AY194" s="28">
        <f>IF(I194="","",TEXT(I194,"yyyy-mm"))</f>
        <v>0</v>
      </c>
      <c r="AZ194" s="49">
        <f>IF(I194="","",IF(AM194="Cancelled","Cancelled",IF(AND(I194&lt;TODAY(),OR(AM194="Pending",AM194="Confirmed",AM194="Enquiry")),"Overdue - update status",IF(AND(AM194="Completed",AS194="No"),"Action - log the visit",IF(I194=TODAY(),"Today",IF(AND(I194&gt;TODAY(),I194-TODAY()&lt;=ReminderLeadDays,AN194&lt;&gt;"Yes"),"Action - unconfirmed",IF(AND(I194&gt;TODAY(),I194-TODAY()&lt;=ReminderLeadDays),"Upcoming","OK")))))))</f>
        <v>0</v>
      </c>
    </row>
    <row r="195" spans="1:52">
      <c r="A195" s="46">
        <f>IF(C195="","",BookingPrefix&amp;TEXT(ROW()-4,"0000"))</f>
        <v>0</v>
      </c>
      <c r="D195" s="28">
        <f>IF(C195="","",IFERROR(INDEX(Clients!$A$5:$A$254,MATCH(C195,Clients!$B$5:$B$254,0)),""))</f>
        <v>0</v>
      </c>
      <c r="J195" s="50">
        <f>IF(I195="","",TEXT(I195,"ddd"))</f>
        <v>0</v>
      </c>
      <c r="M195" s="51">
        <f>IF(OR(K195="",L195=""),"",ROUND((L195-K195+IF(L195&lt;K195,1,0))*24,2))</f>
        <v>0</v>
      </c>
      <c r="O195" s="28">
        <f>IF(H195="","",IFERROR(INDEX(Services!$E$5:$E$54,MATCH(H195,Services!$B$5:$B$54,0)),""))</f>
        <v>0</v>
      </c>
      <c r="P195" s="29">
        <f>IF(H195="","",IFERROR(INDEX(Services!$G$5:$G$54,MATCH(H195,Services!$B$5:$B$54,0)),0))</f>
        <v>0</v>
      </c>
      <c r="Q195" s="29">
        <f>IF(H195="","",IF(IFERROR(INDEX(Services!$H$5:$H$54,MATCH(H195,Services!$B$5:$B$54,0)),0)=0,ExtraPetFeeDefault,IFERROR(INDEX(Services!$H$5:$H$54,MATCH(H195,Services!$B$5:$B$54,0)),0)))</f>
        <v>0</v>
      </c>
      <c r="R195" s="30">
        <f>IF(H195="","",IF(IFERROR(INDEX(Services!$I$5:$I$54,MATCH(H195,Services!$B$5:$B$54,0)),0)=0,HolidaySurcharge,IFERROR(INDEX(Services!$I$5:$I$54,MATCH(H195,Services!$B$5:$B$54,0)),0)))</f>
        <v>0</v>
      </c>
      <c r="S195" s="30">
        <f>IF(H195="","",IF(IFERROR(INDEX(Services!$J$5:$J$54,MATCH(H195,Services!$B$5:$B$54,0)),0)=0,WeekendSurcharge,IFERROR(INDEX(Services!$J$5:$J$54,MATCH(H195,Services!$B$5:$B$54,0)),0)))</f>
        <v>0</v>
      </c>
      <c r="T195" s="50">
        <f>IF(H195="","",IFERROR(INDEX(Services!$K$5:$K$54,MATCH(H195,Services!$B$5:$B$54,0)),"No"))</f>
        <v>0</v>
      </c>
      <c r="U195" s="29">
        <f>IF(H195="","",ROUND(IF(O195="Per hour",P195*IF(M195="",IF(N195="",1,N195),M195),P195*IF(N195="",1,N195)),2))</f>
        <v>0</v>
      </c>
      <c r="V195" s="29">
        <f>IF(H195="","",ROUND(MAX(0,IF(G195="",1,G195)-1)*Q195,2))</f>
        <v>0</v>
      </c>
      <c r="W195" s="50">
        <f>IF(I195="","",IF(COUNTIF(HolidayDates,I195)&gt;0,"Yes","No"))</f>
        <v>0</v>
      </c>
      <c r="X195" s="50">
        <f>IF(I195="","",IF(WEEKDAY(I195,2)&gt;5,"Yes","No"))</f>
        <v>0</v>
      </c>
      <c r="Y195" s="29">
        <f>IF(H195="","",ROUND((U195+V195)*(IF(W195="Yes",R195,0)+IF(X195="Yes",S195,0)),2))</f>
        <v>0</v>
      </c>
      <c r="AA195" s="29">
        <f>IF(H195="","",IF(T195&lt;&gt;"Yes",0,ROUND(MAX(0,IF(Z195="",0,Z195)-FreeTravelDistance)*TravelFeeRate,2)))</f>
        <v>0</v>
      </c>
      <c r="AB195" s="31">
        <f>IF(I195="","",TravelTimeMins)</f>
        <v>0</v>
      </c>
      <c r="AC195" s="29">
        <f>IF(OR(I195="",B195=""),0,IF(I195-B195&lt;=LastMinuteDays,EmergencyFee,0))</f>
        <v>0</v>
      </c>
      <c r="AF195" s="29">
        <f>IF(H195="","",ROUND((U195+V195+Y195+AA195+AC195)*IF(AE195="",0,AE195),2))</f>
        <v>0</v>
      </c>
      <c r="AI195" s="29">
        <f>IF(H195="","",IF(AG195&lt;&gt;"",AG195,ROUND(U195+V195+Y195+AA195+AC195-AF195,2)))</f>
        <v>0</v>
      </c>
      <c r="AJ195" s="29">
        <f>IF(AI195="","",IF(TaxRegistered&lt;&gt;"Yes",0,IF(PricesIncludeTax="Yes",ROUND(AI195-AI195/(1+TaxRate),2),ROUND(AI195*TaxRate,2))))</f>
        <v>0</v>
      </c>
      <c r="AK195" s="29">
        <f>IF(AI195="","",IF(PricesIncludeTax="Yes",AI195,ROUND(AI195+AJ195,2)))</f>
        <v>0</v>
      </c>
      <c r="AQ195" s="21">
        <f>IF(OR(I195="",AP195="",AP195="None"),"",IF(AP195="Monthly",EDATE(I195,1),I195+IF(AP195="Daily",1,IF(AP195="Weekdays",IF(WEEKDAY(I195,2)&gt;=5,8-WEEKDAY(I195,2),1),IF(AP195="Weekly",7,IF(AP195="Fortnightly",14,0))))))</f>
        <v>0</v>
      </c>
      <c r="AR195" s="49">
        <f>IF(OR(I195="",AL195="",K195="",L195=""),"",IF(SUMPRODUCT((Bookings!$AL$5:$AL$404=AL195)*(Bookings!$I$5:$I$404=I195)*(Bookings!$K$5:$K$404&lt;L195)*(Bookings!$L$5:$L$404&gt;K195)*(Bookings!$AM$5:$AM$404&lt;&gt;"Cancelled"))&gt;1,"Conflict - double booked","OK"))</f>
        <v>0</v>
      </c>
      <c r="AS195" s="50">
        <f>IF(A195="","",IF(COUNTIF('Visit Log'!$B$5:$B$404,A195)&gt;0,"Yes","No"))</f>
        <v>0</v>
      </c>
      <c r="AT195" s="28">
        <f>IF(A195="","",IFERROR(INDEX(Invoices!$A$5:$A$304,MATCH(A195,Invoices!$E$5:$E$304,0)),""))</f>
        <v>0</v>
      </c>
      <c r="AU195" s="49">
        <f>IF(A195="","",IF(AT195="","Not invoiced",IFERROR(INDEX(Invoices!$U$5:$U$304,MATCH(AT195,Invoices!$A$5:$A$304,0)),"")))</f>
        <v>0</v>
      </c>
      <c r="AY195" s="28">
        <f>IF(I195="","",TEXT(I195,"yyyy-mm"))</f>
        <v>0</v>
      </c>
      <c r="AZ195" s="49">
        <f>IF(I195="","",IF(AM195="Cancelled","Cancelled",IF(AND(I195&lt;TODAY(),OR(AM195="Pending",AM195="Confirmed",AM195="Enquiry")),"Overdue - update status",IF(AND(AM195="Completed",AS195="No"),"Action - log the visit",IF(I195=TODAY(),"Today",IF(AND(I195&gt;TODAY(),I195-TODAY()&lt;=ReminderLeadDays,AN195&lt;&gt;"Yes"),"Action - unconfirmed",IF(AND(I195&gt;TODAY(),I195-TODAY()&lt;=ReminderLeadDays),"Upcoming","OK")))))))</f>
        <v>0</v>
      </c>
    </row>
    <row r="196" spans="1:52">
      <c r="A196" s="46">
        <f>IF(C196="","",BookingPrefix&amp;TEXT(ROW()-4,"0000"))</f>
        <v>0</v>
      </c>
      <c r="D196" s="28">
        <f>IF(C196="","",IFERROR(INDEX(Clients!$A$5:$A$254,MATCH(C196,Clients!$B$5:$B$254,0)),""))</f>
        <v>0</v>
      </c>
      <c r="J196" s="50">
        <f>IF(I196="","",TEXT(I196,"ddd"))</f>
        <v>0</v>
      </c>
      <c r="M196" s="51">
        <f>IF(OR(K196="",L196=""),"",ROUND((L196-K196+IF(L196&lt;K196,1,0))*24,2))</f>
        <v>0</v>
      </c>
      <c r="O196" s="28">
        <f>IF(H196="","",IFERROR(INDEX(Services!$E$5:$E$54,MATCH(H196,Services!$B$5:$B$54,0)),""))</f>
        <v>0</v>
      </c>
      <c r="P196" s="29">
        <f>IF(H196="","",IFERROR(INDEX(Services!$G$5:$G$54,MATCH(H196,Services!$B$5:$B$54,0)),0))</f>
        <v>0</v>
      </c>
      <c r="Q196" s="29">
        <f>IF(H196="","",IF(IFERROR(INDEX(Services!$H$5:$H$54,MATCH(H196,Services!$B$5:$B$54,0)),0)=0,ExtraPetFeeDefault,IFERROR(INDEX(Services!$H$5:$H$54,MATCH(H196,Services!$B$5:$B$54,0)),0)))</f>
        <v>0</v>
      </c>
      <c r="R196" s="30">
        <f>IF(H196="","",IF(IFERROR(INDEX(Services!$I$5:$I$54,MATCH(H196,Services!$B$5:$B$54,0)),0)=0,HolidaySurcharge,IFERROR(INDEX(Services!$I$5:$I$54,MATCH(H196,Services!$B$5:$B$54,0)),0)))</f>
        <v>0</v>
      </c>
      <c r="S196" s="30">
        <f>IF(H196="","",IF(IFERROR(INDEX(Services!$J$5:$J$54,MATCH(H196,Services!$B$5:$B$54,0)),0)=0,WeekendSurcharge,IFERROR(INDEX(Services!$J$5:$J$54,MATCH(H196,Services!$B$5:$B$54,0)),0)))</f>
        <v>0</v>
      </c>
      <c r="T196" s="50">
        <f>IF(H196="","",IFERROR(INDEX(Services!$K$5:$K$54,MATCH(H196,Services!$B$5:$B$54,0)),"No"))</f>
        <v>0</v>
      </c>
      <c r="U196" s="29">
        <f>IF(H196="","",ROUND(IF(O196="Per hour",P196*IF(M196="",IF(N196="",1,N196),M196),P196*IF(N196="",1,N196)),2))</f>
        <v>0</v>
      </c>
      <c r="V196" s="29">
        <f>IF(H196="","",ROUND(MAX(0,IF(G196="",1,G196)-1)*Q196,2))</f>
        <v>0</v>
      </c>
      <c r="W196" s="50">
        <f>IF(I196="","",IF(COUNTIF(HolidayDates,I196)&gt;0,"Yes","No"))</f>
        <v>0</v>
      </c>
      <c r="X196" s="50">
        <f>IF(I196="","",IF(WEEKDAY(I196,2)&gt;5,"Yes","No"))</f>
        <v>0</v>
      </c>
      <c r="Y196" s="29">
        <f>IF(H196="","",ROUND((U196+V196)*(IF(W196="Yes",R196,0)+IF(X196="Yes",S196,0)),2))</f>
        <v>0</v>
      </c>
      <c r="AA196" s="29">
        <f>IF(H196="","",IF(T196&lt;&gt;"Yes",0,ROUND(MAX(0,IF(Z196="",0,Z196)-FreeTravelDistance)*TravelFeeRate,2)))</f>
        <v>0</v>
      </c>
      <c r="AB196" s="31">
        <f>IF(I196="","",TravelTimeMins)</f>
        <v>0</v>
      </c>
      <c r="AC196" s="29">
        <f>IF(OR(I196="",B196=""),0,IF(I196-B196&lt;=LastMinuteDays,EmergencyFee,0))</f>
        <v>0</v>
      </c>
      <c r="AF196" s="29">
        <f>IF(H196="","",ROUND((U196+V196+Y196+AA196+AC196)*IF(AE196="",0,AE196),2))</f>
        <v>0</v>
      </c>
      <c r="AI196" s="29">
        <f>IF(H196="","",IF(AG196&lt;&gt;"",AG196,ROUND(U196+V196+Y196+AA196+AC196-AF196,2)))</f>
        <v>0</v>
      </c>
      <c r="AJ196" s="29">
        <f>IF(AI196="","",IF(TaxRegistered&lt;&gt;"Yes",0,IF(PricesIncludeTax="Yes",ROUND(AI196-AI196/(1+TaxRate),2),ROUND(AI196*TaxRate,2))))</f>
        <v>0</v>
      </c>
      <c r="AK196" s="29">
        <f>IF(AI196="","",IF(PricesIncludeTax="Yes",AI196,ROUND(AI196+AJ196,2)))</f>
        <v>0</v>
      </c>
      <c r="AQ196" s="21">
        <f>IF(OR(I196="",AP196="",AP196="None"),"",IF(AP196="Monthly",EDATE(I196,1),I196+IF(AP196="Daily",1,IF(AP196="Weekdays",IF(WEEKDAY(I196,2)&gt;=5,8-WEEKDAY(I196,2),1),IF(AP196="Weekly",7,IF(AP196="Fortnightly",14,0))))))</f>
        <v>0</v>
      </c>
      <c r="AR196" s="49">
        <f>IF(OR(I196="",AL196="",K196="",L196=""),"",IF(SUMPRODUCT((Bookings!$AL$5:$AL$404=AL196)*(Bookings!$I$5:$I$404=I196)*(Bookings!$K$5:$K$404&lt;L196)*(Bookings!$L$5:$L$404&gt;K196)*(Bookings!$AM$5:$AM$404&lt;&gt;"Cancelled"))&gt;1,"Conflict - double booked","OK"))</f>
        <v>0</v>
      </c>
      <c r="AS196" s="50">
        <f>IF(A196="","",IF(COUNTIF('Visit Log'!$B$5:$B$404,A196)&gt;0,"Yes","No"))</f>
        <v>0</v>
      </c>
      <c r="AT196" s="28">
        <f>IF(A196="","",IFERROR(INDEX(Invoices!$A$5:$A$304,MATCH(A196,Invoices!$E$5:$E$304,0)),""))</f>
        <v>0</v>
      </c>
      <c r="AU196" s="49">
        <f>IF(A196="","",IF(AT196="","Not invoiced",IFERROR(INDEX(Invoices!$U$5:$U$304,MATCH(AT196,Invoices!$A$5:$A$304,0)),"")))</f>
        <v>0</v>
      </c>
      <c r="AY196" s="28">
        <f>IF(I196="","",TEXT(I196,"yyyy-mm"))</f>
        <v>0</v>
      </c>
      <c r="AZ196" s="49">
        <f>IF(I196="","",IF(AM196="Cancelled","Cancelled",IF(AND(I196&lt;TODAY(),OR(AM196="Pending",AM196="Confirmed",AM196="Enquiry")),"Overdue - update status",IF(AND(AM196="Completed",AS196="No"),"Action - log the visit",IF(I196=TODAY(),"Today",IF(AND(I196&gt;TODAY(),I196-TODAY()&lt;=ReminderLeadDays,AN196&lt;&gt;"Yes"),"Action - unconfirmed",IF(AND(I196&gt;TODAY(),I196-TODAY()&lt;=ReminderLeadDays),"Upcoming","OK")))))))</f>
        <v>0</v>
      </c>
    </row>
    <row r="197" spans="1:52">
      <c r="A197" s="46">
        <f>IF(C197="","",BookingPrefix&amp;TEXT(ROW()-4,"0000"))</f>
        <v>0</v>
      </c>
      <c r="D197" s="28">
        <f>IF(C197="","",IFERROR(INDEX(Clients!$A$5:$A$254,MATCH(C197,Clients!$B$5:$B$254,0)),""))</f>
        <v>0</v>
      </c>
      <c r="J197" s="50">
        <f>IF(I197="","",TEXT(I197,"ddd"))</f>
        <v>0</v>
      </c>
      <c r="M197" s="51">
        <f>IF(OR(K197="",L197=""),"",ROUND((L197-K197+IF(L197&lt;K197,1,0))*24,2))</f>
        <v>0</v>
      </c>
      <c r="O197" s="28">
        <f>IF(H197="","",IFERROR(INDEX(Services!$E$5:$E$54,MATCH(H197,Services!$B$5:$B$54,0)),""))</f>
        <v>0</v>
      </c>
      <c r="P197" s="29">
        <f>IF(H197="","",IFERROR(INDEX(Services!$G$5:$G$54,MATCH(H197,Services!$B$5:$B$54,0)),0))</f>
        <v>0</v>
      </c>
      <c r="Q197" s="29">
        <f>IF(H197="","",IF(IFERROR(INDEX(Services!$H$5:$H$54,MATCH(H197,Services!$B$5:$B$54,0)),0)=0,ExtraPetFeeDefault,IFERROR(INDEX(Services!$H$5:$H$54,MATCH(H197,Services!$B$5:$B$54,0)),0)))</f>
        <v>0</v>
      </c>
      <c r="R197" s="30">
        <f>IF(H197="","",IF(IFERROR(INDEX(Services!$I$5:$I$54,MATCH(H197,Services!$B$5:$B$54,0)),0)=0,HolidaySurcharge,IFERROR(INDEX(Services!$I$5:$I$54,MATCH(H197,Services!$B$5:$B$54,0)),0)))</f>
        <v>0</v>
      </c>
      <c r="S197" s="30">
        <f>IF(H197="","",IF(IFERROR(INDEX(Services!$J$5:$J$54,MATCH(H197,Services!$B$5:$B$54,0)),0)=0,WeekendSurcharge,IFERROR(INDEX(Services!$J$5:$J$54,MATCH(H197,Services!$B$5:$B$54,0)),0)))</f>
        <v>0</v>
      </c>
      <c r="T197" s="50">
        <f>IF(H197="","",IFERROR(INDEX(Services!$K$5:$K$54,MATCH(H197,Services!$B$5:$B$54,0)),"No"))</f>
        <v>0</v>
      </c>
      <c r="U197" s="29">
        <f>IF(H197="","",ROUND(IF(O197="Per hour",P197*IF(M197="",IF(N197="",1,N197),M197),P197*IF(N197="",1,N197)),2))</f>
        <v>0</v>
      </c>
      <c r="V197" s="29">
        <f>IF(H197="","",ROUND(MAX(0,IF(G197="",1,G197)-1)*Q197,2))</f>
        <v>0</v>
      </c>
      <c r="W197" s="50">
        <f>IF(I197="","",IF(COUNTIF(HolidayDates,I197)&gt;0,"Yes","No"))</f>
        <v>0</v>
      </c>
      <c r="X197" s="50">
        <f>IF(I197="","",IF(WEEKDAY(I197,2)&gt;5,"Yes","No"))</f>
        <v>0</v>
      </c>
      <c r="Y197" s="29">
        <f>IF(H197="","",ROUND((U197+V197)*(IF(W197="Yes",R197,0)+IF(X197="Yes",S197,0)),2))</f>
        <v>0</v>
      </c>
      <c r="AA197" s="29">
        <f>IF(H197="","",IF(T197&lt;&gt;"Yes",0,ROUND(MAX(0,IF(Z197="",0,Z197)-FreeTravelDistance)*TravelFeeRate,2)))</f>
        <v>0</v>
      </c>
      <c r="AB197" s="31">
        <f>IF(I197="","",TravelTimeMins)</f>
        <v>0</v>
      </c>
      <c r="AC197" s="29">
        <f>IF(OR(I197="",B197=""),0,IF(I197-B197&lt;=LastMinuteDays,EmergencyFee,0))</f>
        <v>0</v>
      </c>
      <c r="AF197" s="29">
        <f>IF(H197="","",ROUND((U197+V197+Y197+AA197+AC197)*IF(AE197="",0,AE197),2))</f>
        <v>0</v>
      </c>
      <c r="AI197" s="29">
        <f>IF(H197="","",IF(AG197&lt;&gt;"",AG197,ROUND(U197+V197+Y197+AA197+AC197-AF197,2)))</f>
        <v>0</v>
      </c>
      <c r="AJ197" s="29">
        <f>IF(AI197="","",IF(TaxRegistered&lt;&gt;"Yes",0,IF(PricesIncludeTax="Yes",ROUND(AI197-AI197/(1+TaxRate),2),ROUND(AI197*TaxRate,2))))</f>
        <v>0</v>
      </c>
      <c r="AK197" s="29">
        <f>IF(AI197="","",IF(PricesIncludeTax="Yes",AI197,ROUND(AI197+AJ197,2)))</f>
        <v>0</v>
      </c>
      <c r="AQ197" s="21">
        <f>IF(OR(I197="",AP197="",AP197="None"),"",IF(AP197="Monthly",EDATE(I197,1),I197+IF(AP197="Daily",1,IF(AP197="Weekdays",IF(WEEKDAY(I197,2)&gt;=5,8-WEEKDAY(I197,2),1),IF(AP197="Weekly",7,IF(AP197="Fortnightly",14,0))))))</f>
        <v>0</v>
      </c>
      <c r="AR197" s="49">
        <f>IF(OR(I197="",AL197="",K197="",L197=""),"",IF(SUMPRODUCT((Bookings!$AL$5:$AL$404=AL197)*(Bookings!$I$5:$I$404=I197)*(Bookings!$K$5:$K$404&lt;L197)*(Bookings!$L$5:$L$404&gt;K197)*(Bookings!$AM$5:$AM$404&lt;&gt;"Cancelled"))&gt;1,"Conflict - double booked","OK"))</f>
        <v>0</v>
      </c>
      <c r="AS197" s="50">
        <f>IF(A197="","",IF(COUNTIF('Visit Log'!$B$5:$B$404,A197)&gt;0,"Yes","No"))</f>
        <v>0</v>
      </c>
      <c r="AT197" s="28">
        <f>IF(A197="","",IFERROR(INDEX(Invoices!$A$5:$A$304,MATCH(A197,Invoices!$E$5:$E$304,0)),""))</f>
        <v>0</v>
      </c>
      <c r="AU197" s="49">
        <f>IF(A197="","",IF(AT197="","Not invoiced",IFERROR(INDEX(Invoices!$U$5:$U$304,MATCH(AT197,Invoices!$A$5:$A$304,0)),"")))</f>
        <v>0</v>
      </c>
      <c r="AY197" s="28">
        <f>IF(I197="","",TEXT(I197,"yyyy-mm"))</f>
        <v>0</v>
      </c>
      <c r="AZ197" s="49">
        <f>IF(I197="","",IF(AM197="Cancelled","Cancelled",IF(AND(I197&lt;TODAY(),OR(AM197="Pending",AM197="Confirmed",AM197="Enquiry")),"Overdue - update status",IF(AND(AM197="Completed",AS197="No"),"Action - log the visit",IF(I197=TODAY(),"Today",IF(AND(I197&gt;TODAY(),I197-TODAY()&lt;=ReminderLeadDays,AN197&lt;&gt;"Yes"),"Action - unconfirmed",IF(AND(I197&gt;TODAY(),I197-TODAY()&lt;=ReminderLeadDays),"Upcoming","OK")))))))</f>
        <v>0</v>
      </c>
    </row>
    <row r="198" spans="1:52">
      <c r="A198" s="46">
        <f>IF(C198="","",BookingPrefix&amp;TEXT(ROW()-4,"0000"))</f>
        <v>0</v>
      </c>
      <c r="D198" s="28">
        <f>IF(C198="","",IFERROR(INDEX(Clients!$A$5:$A$254,MATCH(C198,Clients!$B$5:$B$254,0)),""))</f>
        <v>0</v>
      </c>
      <c r="J198" s="50">
        <f>IF(I198="","",TEXT(I198,"ddd"))</f>
        <v>0</v>
      </c>
      <c r="M198" s="51">
        <f>IF(OR(K198="",L198=""),"",ROUND((L198-K198+IF(L198&lt;K198,1,0))*24,2))</f>
        <v>0</v>
      </c>
      <c r="O198" s="28">
        <f>IF(H198="","",IFERROR(INDEX(Services!$E$5:$E$54,MATCH(H198,Services!$B$5:$B$54,0)),""))</f>
        <v>0</v>
      </c>
      <c r="P198" s="29">
        <f>IF(H198="","",IFERROR(INDEX(Services!$G$5:$G$54,MATCH(H198,Services!$B$5:$B$54,0)),0))</f>
        <v>0</v>
      </c>
      <c r="Q198" s="29">
        <f>IF(H198="","",IF(IFERROR(INDEX(Services!$H$5:$H$54,MATCH(H198,Services!$B$5:$B$54,0)),0)=0,ExtraPetFeeDefault,IFERROR(INDEX(Services!$H$5:$H$54,MATCH(H198,Services!$B$5:$B$54,0)),0)))</f>
        <v>0</v>
      </c>
      <c r="R198" s="30">
        <f>IF(H198="","",IF(IFERROR(INDEX(Services!$I$5:$I$54,MATCH(H198,Services!$B$5:$B$54,0)),0)=0,HolidaySurcharge,IFERROR(INDEX(Services!$I$5:$I$54,MATCH(H198,Services!$B$5:$B$54,0)),0)))</f>
        <v>0</v>
      </c>
      <c r="S198" s="30">
        <f>IF(H198="","",IF(IFERROR(INDEX(Services!$J$5:$J$54,MATCH(H198,Services!$B$5:$B$54,0)),0)=0,WeekendSurcharge,IFERROR(INDEX(Services!$J$5:$J$54,MATCH(H198,Services!$B$5:$B$54,0)),0)))</f>
        <v>0</v>
      </c>
      <c r="T198" s="50">
        <f>IF(H198="","",IFERROR(INDEX(Services!$K$5:$K$54,MATCH(H198,Services!$B$5:$B$54,0)),"No"))</f>
        <v>0</v>
      </c>
      <c r="U198" s="29">
        <f>IF(H198="","",ROUND(IF(O198="Per hour",P198*IF(M198="",IF(N198="",1,N198),M198),P198*IF(N198="",1,N198)),2))</f>
        <v>0</v>
      </c>
      <c r="V198" s="29">
        <f>IF(H198="","",ROUND(MAX(0,IF(G198="",1,G198)-1)*Q198,2))</f>
        <v>0</v>
      </c>
      <c r="W198" s="50">
        <f>IF(I198="","",IF(COUNTIF(HolidayDates,I198)&gt;0,"Yes","No"))</f>
        <v>0</v>
      </c>
      <c r="X198" s="50">
        <f>IF(I198="","",IF(WEEKDAY(I198,2)&gt;5,"Yes","No"))</f>
        <v>0</v>
      </c>
      <c r="Y198" s="29">
        <f>IF(H198="","",ROUND((U198+V198)*(IF(W198="Yes",R198,0)+IF(X198="Yes",S198,0)),2))</f>
        <v>0</v>
      </c>
      <c r="AA198" s="29">
        <f>IF(H198="","",IF(T198&lt;&gt;"Yes",0,ROUND(MAX(0,IF(Z198="",0,Z198)-FreeTravelDistance)*TravelFeeRate,2)))</f>
        <v>0</v>
      </c>
      <c r="AB198" s="31">
        <f>IF(I198="","",TravelTimeMins)</f>
        <v>0</v>
      </c>
      <c r="AC198" s="29">
        <f>IF(OR(I198="",B198=""),0,IF(I198-B198&lt;=LastMinuteDays,EmergencyFee,0))</f>
        <v>0</v>
      </c>
      <c r="AF198" s="29">
        <f>IF(H198="","",ROUND((U198+V198+Y198+AA198+AC198)*IF(AE198="",0,AE198),2))</f>
        <v>0</v>
      </c>
      <c r="AI198" s="29">
        <f>IF(H198="","",IF(AG198&lt;&gt;"",AG198,ROUND(U198+V198+Y198+AA198+AC198-AF198,2)))</f>
        <v>0</v>
      </c>
      <c r="AJ198" s="29">
        <f>IF(AI198="","",IF(TaxRegistered&lt;&gt;"Yes",0,IF(PricesIncludeTax="Yes",ROUND(AI198-AI198/(1+TaxRate),2),ROUND(AI198*TaxRate,2))))</f>
        <v>0</v>
      </c>
      <c r="AK198" s="29">
        <f>IF(AI198="","",IF(PricesIncludeTax="Yes",AI198,ROUND(AI198+AJ198,2)))</f>
        <v>0</v>
      </c>
      <c r="AQ198" s="21">
        <f>IF(OR(I198="",AP198="",AP198="None"),"",IF(AP198="Monthly",EDATE(I198,1),I198+IF(AP198="Daily",1,IF(AP198="Weekdays",IF(WEEKDAY(I198,2)&gt;=5,8-WEEKDAY(I198,2),1),IF(AP198="Weekly",7,IF(AP198="Fortnightly",14,0))))))</f>
        <v>0</v>
      </c>
      <c r="AR198" s="49">
        <f>IF(OR(I198="",AL198="",K198="",L198=""),"",IF(SUMPRODUCT((Bookings!$AL$5:$AL$404=AL198)*(Bookings!$I$5:$I$404=I198)*(Bookings!$K$5:$K$404&lt;L198)*(Bookings!$L$5:$L$404&gt;K198)*(Bookings!$AM$5:$AM$404&lt;&gt;"Cancelled"))&gt;1,"Conflict - double booked","OK"))</f>
        <v>0</v>
      </c>
      <c r="AS198" s="50">
        <f>IF(A198="","",IF(COUNTIF('Visit Log'!$B$5:$B$404,A198)&gt;0,"Yes","No"))</f>
        <v>0</v>
      </c>
      <c r="AT198" s="28">
        <f>IF(A198="","",IFERROR(INDEX(Invoices!$A$5:$A$304,MATCH(A198,Invoices!$E$5:$E$304,0)),""))</f>
        <v>0</v>
      </c>
      <c r="AU198" s="49">
        <f>IF(A198="","",IF(AT198="","Not invoiced",IFERROR(INDEX(Invoices!$U$5:$U$304,MATCH(AT198,Invoices!$A$5:$A$304,0)),"")))</f>
        <v>0</v>
      </c>
      <c r="AY198" s="28">
        <f>IF(I198="","",TEXT(I198,"yyyy-mm"))</f>
        <v>0</v>
      </c>
      <c r="AZ198" s="49">
        <f>IF(I198="","",IF(AM198="Cancelled","Cancelled",IF(AND(I198&lt;TODAY(),OR(AM198="Pending",AM198="Confirmed",AM198="Enquiry")),"Overdue - update status",IF(AND(AM198="Completed",AS198="No"),"Action - log the visit",IF(I198=TODAY(),"Today",IF(AND(I198&gt;TODAY(),I198-TODAY()&lt;=ReminderLeadDays,AN198&lt;&gt;"Yes"),"Action - unconfirmed",IF(AND(I198&gt;TODAY(),I198-TODAY()&lt;=ReminderLeadDays),"Upcoming","OK")))))))</f>
        <v>0</v>
      </c>
    </row>
    <row r="199" spans="1:52">
      <c r="A199" s="46">
        <f>IF(C199="","",BookingPrefix&amp;TEXT(ROW()-4,"0000"))</f>
        <v>0</v>
      </c>
      <c r="D199" s="28">
        <f>IF(C199="","",IFERROR(INDEX(Clients!$A$5:$A$254,MATCH(C199,Clients!$B$5:$B$254,0)),""))</f>
        <v>0</v>
      </c>
      <c r="J199" s="50">
        <f>IF(I199="","",TEXT(I199,"ddd"))</f>
        <v>0</v>
      </c>
      <c r="M199" s="51">
        <f>IF(OR(K199="",L199=""),"",ROUND((L199-K199+IF(L199&lt;K199,1,0))*24,2))</f>
        <v>0</v>
      </c>
      <c r="O199" s="28">
        <f>IF(H199="","",IFERROR(INDEX(Services!$E$5:$E$54,MATCH(H199,Services!$B$5:$B$54,0)),""))</f>
        <v>0</v>
      </c>
      <c r="P199" s="29">
        <f>IF(H199="","",IFERROR(INDEX(Services!$G$5:$G$54,MATCH(H199,Services!$B$5:$B$54,0)),0))</f>
        <v>0</v>
      </c>
      <c r="Q199" s="29">
        <f>IF(H199="","",IF(IFERROR(INDEX(Services!$H$5:$H$54,MATCH(H199,Services!$B$5:$B$54,0)),0)=0,ExtraPetFeeDefault,IFERROR(INDEX(Services!$H$5:$H$54,MATCH(H199,Services!$B$5:$B$54,0)),0)))</f>
        <v>0</v>
      </c>
      <c r="R199" s="30">
        <f>IF(H199="","",IF(IFERROR(INDEX(Services!$I$5:$I$54,MATCH(H199,Services!$B$5:$B$54,0)),0)=0,HolidaySurcharge,IFERROR(INDEX(Services!$I$5:$I$54,MATCH(H199,Services!$B$5:$B$54,0)),0)))</f>
        <v>0</v>
      </c>
      <c r="S199" s="30">
        <f>IF(H199="","",IF(IFERROR(INDEX(Services!$J$5:$J$54,MATCH(H199,Services!$B$5:$B$54,0)),0)=0,WeekendSurcharge,IFERROR(INDEX(Services!$J$5:$J$54,MATCH(H199,Services!$B$5:$B$54,0)),0)))</f>
        <v>0</v>
      </c>
      <c r="T199" s="50">
        <f>IF(H199="","",IFERROR(INDEX(Services!$K$5:$K$54,MATCH(H199,Services!$B$5:$B$54,0)),"No"))</f>
        <v>0</v>
      </c>
      <c r="U199" s="29">
        <f>IF(H199="","",ROUND(IF(O199="Per hour",P199*IF(M199="",IF(N199="",1,N199),M199),P199*IF(N199="",1,N199)),2))</f>
        <v>0</v>
      </c>
      <c r="V199" s="29">
        <f>IF(H199="","",ROUND(MAX(0,IF(G199="",1,G199)-1)*Q199,2))</f>
        <v>0</v>
      </c>
      <c r="W199" s="50">
        <f>IF(I199="","",IF(COUNTIF(HolidayDates,I199)&gt;0,"Yes","No"))</f>
        <v>0</v>
      </c>
      <c r="X199" s="50">
        <f>IF(I199="","",IF(WEEKDAY(I199,2)&gt;5,"Yes","No"))</f>
        <v>0</v>
      </c>
      <c r="Y199" s="29">
        <f>IF(H199="","",ROUND((U199+V199)*(IF(W199="Yes",R199,0)+IF(X199="Yes",S199,0)),2))</f>
        <v>0</v>
      </c>
      <c r="AA199" s="29">
        <f>IF(H199="","",IF(T199&lt;&gt;"Yes",0,ROUND(MAX(0,IF(Z199="",0,Z199)-FreeTravelDistance)*TravelFeeRate,2)))</f>
        <v>0</v>
      </c>
      <c r="AB199" s="31">
        <f>IF(I199="","",TravelTimeMins)</f>
        <v>0</v>
      </c>
      <c r="AC199" s="29">
        <f>IF(OR(I199="",B199=""),0,IF(I199-B199&lt;=LastMinuteDays,EmergencyFee,0))</f>
        <v>0</v>
      </c>
      <c r="AF199" s="29">
        <f>IF(H199="","",ROUND((U199+V199+Y199+AA199+AC199)*IF(AE199="",0,AE199),2))</f>
        <v>0</v>
      </c>
      <c r="AI199" s="29">
        <f>IF(H199="","",IF(AG199&lt;&gt;"",AG199,ROUND(U199+V199+Y199+AA199+AC199-AF199,2)))</f>
        <v>0</v>
      </c>
      <c r="AJ199" s="29">
        <f>IF(AI199="","",IF(TaxRegistered&lt;&gt;"Yes",0,IF(PricesIncludeTax="Yes",ROUND(AI199-AI199/(1+TaxRate),2),ROUND(AI199*TaxRate,2))))</f>
        <v>0</v>
      </c>
      <c r="AK199" s="29">
        <f>IF(AI199="","",IF(PricesIncludeTax="Yes",AI199,ROUND(AI199+AJ199,2)))</f>
        <v>0</v>
      </c>
      <c r="AQ199" s="21">
        <f>IF(OR(I199="",AP199="",AP199="None"),"",IF(AP199="Monthly",EDATE(I199,1),I199+IF(AP199="Daily",1,IF(AP199="Weekdays",IF(WEEKDAY(I199,2)&gt;=5,8-WEEKDAY(I199,2),1),IF(AP199="Weekly",7,IF(AP199="Fortnightly",14,0))))))</f>
        <v>0</v>
      </c>
      <c r="AR199" s="49">
        <f>IF(OR(I199="",AL199="",K199="",L199=""),"",IF(SUMPRODUCT((Bookings!$AL$5:$AL$404=AL199)*(Bookings!$I$5:$I$404=I199)*(Bookings!$K$5:$K$404&lt;L199)*(Bookings!$L$5:$L$404&gt;K199)*(Bookings!$AM$5:$AM$404&lt;&gt;"Cancelled"))&gt;1,"Conflict - double booked","OK"))</f>
        <v>0</v>
      </c>
      <c r="AS199" s="50">
        <f>IF(A199="","",IF(COUNTIF('Visit Log'!$B$5:$B$404,A199)&gt;0,"Yes","No"))</f>
        <v>0</v>
      </c>
      <c r="AT199" s="28">
        <f>IF(A199="","",IFERROR(INDEX(Invoices!$A$5:$A$304,MATCH(A199,Invoices!$E$5:$E$304,0)),""))</f>
        <v>0</v>
      </c>
      <c r="AU199" s="49">
        <f>IF(A199="","",IF(AT199="","Not invoiced",IFERROR(INDEX(Invoices!$U$5:$U$304,MATCH(AT199,Invoices!$A$5:$A$304,0)),"")))</f>
        <v>0</v>
      </c>
      <c r="AY199" s="28">
        <f>IF(I199="","",TEXT(I199,"yyyy-mm"))</f>
        <v>0</v>
      </c>
      <c r="AZ199" s="49">
        <f>IF(I199="","",IF(AM199="Cancelled","Cancelled",IF(AND(I199&lt;TODAY(),OR(AM199="Pending",AM199="Confirmed",AM199="Enquiry")),"Overdue - update status",IF(AND(AM199="Completed",AS199="No"),"Action - log the visit",IF(I199=TODAY(),"Today",IF(AND(I199&gt;TODAY(),I199-TODAY()&lt;=ReminderLeadDays,AN199&lt;&gt;"Yes"),"Action - unconfirmed",IF(AND(I199&gt;TODAY(),I199-TODAY()&lt;=ReminderLeadDays),"Upcoming","OK")))))))</f>
        <v>0</v>
      </c>
    </row>
    <row r="200" spans="1:52">
      <c r="A200" s="46">
        <f>IF(C200="","",BookingPrefix&amp;TEXT(ROW()-4,"0000"))</f>
        <v>0</v>
      </c>
      <c r="D200" s="28">
        <f>IF(C200="","",IFERROR(INDEX(Clients!$A$5:$A$254,MATCH(C200,Clients!$B$5:$B$254,0)),""))</f>
        <v>0</v>
      </c>
      <c r="J200" s="50">
        <f>IF(I200="","",TEXT(I200,"ddd"))</f>
        <v>0</v>
      </c>
      <c r="M200" s="51">
        <f>IF(OR(K200="",L200=""),"",ROUND((L200-K200+IF(L200&lt;K200,1,0))*24,2))</f>
        <v>0</v>
      </c>
      <c r="O200" s="28">
        <f>IF(H200="","",IFERROR(INDEX(Services!$E$5:$E$54,MATCH(H200,Services!$B$5:$B$54,0)),""))</f>
        <v>0</v>
      </c>
      <c r="P200" s="29">
        <f>IF(H200="","",IFERROR(INDEX(Services!$G$5:$G$54,MATCH(H200,Services!$B$5:$B$54,0)),0))</f>
        <v>0</v>
      </c>
      <c r="Q200" s="29">
        <f>IF(H200="","",IF(IFERROR(INDEX(Services!$H$5:$H$54,MATCH(H200,Services!$B$5:$B$54,0)),0)=0,ExtraPetFeeDefault,IFERROR(INDEX(Services!$H$5:$H$54,MATCH(H200,Services!$B$5:$B$54,0)),0)))</f>
        <v>0</v>
      </c>
      <c r="R200" s="30">
        <f>IF(H200="","",IF(IFERROR(INDEX(Services!$I$5:$I$54,MATCH(H200,Services!$B$5:$B$54,0)),0)=0,HolidaySurcharge,IFERROR(INDEX(Services!$I$5:$I$54,MATCH(H200,Services!$B$5:$B$54,0)),0)))</f>
        <v>0</v>
      </c>
      <c r="S200" s="30">
        <f>IF(H200="","",IF(IFERROR(INDEX(Services!$J$5:$J$54,MATCH(H200,Services!$B$5:$B$54,0)),0)=0,WeekendSurcharge,IFERROR(INDEX(Services!$J$5:$J$54,MATCH(H200,Services!$B$5:$B$54,0)),0)))</f>
        <v>0</v>
      </c>
      <c r="T200" s="50">
        <f>IF(H200="","",IFERROR(INDEX(Services!$K$5:$K$54,MATCH(H200,Services!$B$5:$B$54,0)),"No"))</f>
        <v>0</v>
      </c>
      <c r="U200" s="29">
        <f>IF(H200="","",ROUND(IF(O200="Per hour",P200*IF(M200="",IF(N200="",1,N200),M200),P200*IF(N200="",1,N200)),2))</f>
        <v>0</v>
      </c>
      <c r="V200" s="29">
        <f>IF(H200="","",ROUND(MAX(0,IF(G200="",1,G200)-1)*Q200,2))</f>
        <v>0</v>
      </c>
      <c r="W200" s="50">
        <f>IF(I200="","",IF(COUNTIF(HolidayDates,I200)&gt;0,"Yes","No"))</f>
        <v>0</v>
      </c>
      <c r="X200" s="50">
        <f>IF(I200="","",IF(WEEKDAY(I200,2)&gt;5,"Yes","No"))</f>
        <v>0</v>
      </c>
      <c r="Y200" s="29">
        <f>IF(H200="","",ROUND((U200+V200)*(IF(W200="Yes",R200,0)+IF(X200="Yes",S200,0)),2))</f>
        <v>0</v>
      </c>
      <c r="AA200" s="29">
        <f>IF(H200="","",IF(T200&lt;&gt;"Yes",0,ROUND(MAX(0,IF(Z200="",0,Z200)-FreeTravelDistance)*TravelFeeRate,2)))</f>
        <v>0</v>
      </c>
      <c r="AB200" s="31">
        <f>IF(I200="","",TravelTimeMins)</f>
        <v>0</v>
      </c>
      <c r="AC200" s="29">
        <f>IF(OR(I200="",B200=""),0,IF(I200-B200&lt;=LastMinuteDays,EmergencyFee,0))</f>
        <v>0</v>
      </c>
      <c r="AF200" s="29">
        <f>IF(H200="","",ROUND((U200+V200+Y200+AA200+AC200)*IF(AE200="",0,AE200),2))</f>
        <v>0</v>
      </c>
      <c r="AI200" s="29">
        <f>IF(H200="","",IF(AG200&lt;&gt;"",AG200,ROUND(U200+V200+Y200+AA200+AC200-AF200,2)))</f>
        <v>0</v>
      </c>
      <c r="AJ200" s="29">
        <f>IF(AI200="","",IF(TaxRegistered&lt;&gt;"Yes",0,IF(PricesIncludeTax="Yes",ROUND(AI200-AI200/(1+TaxRate),2),ROUND(AI200*TaxRate,2))))</f>
        <v>0</v>
      </c>
      <c r="AK200" s="29">
        <f>IF(AI200="","",IF(PricesIncludeTax="Yes",AI200,ROUND(AI200+AJ200,2)))</f>
        <v>0</v>
      </c>
      <c r="AQ200" s="21">
        <f>IF(OR(I200="",AP200="",AP200="None"),"",IF(AP200="Monthly",EDATE(I200,1),I200+IF(AP200="Daily",1,IF(AP200="Weekdays",IF(WEEKDAY(I200,2)&gt;=5,8-WEEKDAY(I200,2),1),IF(AP200="Weekly",7,IF(AP200="Fortnightly",14,0))))))</f>
        <v>0</v>
      </c>
      <c r="AR200" s="49">
        <f>IF(OR(I200="",AL200="",K200="",L200=""),"",IF(SUMPRODUCT((Bookings!$AL$5:$AL$404=AL200)*(Bookings!$I$5:$I$404=I200)*(Bookings!$K$5:$K$404&lt;L200)*(Bookings!$L$5:$L$404&gt;K200)*(Bookings!$AM$5:$AM$404&lt;&gt;"Cancelled"))&gt;1,"Conflict - double booked","OK"))</f>
        <v>0</v>
      </c>
      <c r="AS200" s="50">
        <f>IF(A200="","",IF(COUNTIF('Visit Log'!$B$5:$B$404,A200)&gt;0,"Yes","No"))</f>
        <v>0</v>
      </c>
      <c r="AT200" s="28">
        <f>IF(A200="","",IFERROR(INDEX(Invoices!$A$5:$A$304,MATCH(A200,Invoices!$E$5:$E$304,0)),""))</f>
        <v>0</v>
      </c>
      <c r="AU200" s="49">
        <f>IF(A200="","",IF(AT200="","Not invoiced",IFERROR(INDEX(Invoices!$U$5:$U$304,MATCH(AT200,Invoices!$A$5:$A$304,0)),"")))</f>
        <v>0</v>
      </c>
      <c r="AY200" s="28">
        <f>IF(I200="","",TEXT(I200,"yyyy-mm"))</f>
        <v>0</v>
      </c>
      <c r="AZ200" s="49">
        <f>IF(I200="","",IF(AM200="Cancelled","Cancelled",IF(AND(I200&lt;TODAY(),OR(AM200="Pending",AM200="Confirmed",AM200="Enquiry")),"Overdue - update status",IF(AND(AM200="Completed",AS200="No"),"Action - log the visit",IF(I200=TODAY(),"Today",IF(AND(I200&gt;TODAY(),I200-TODAY()&lt;=ReminderLeadDays,AN200&lt;&gt;"Yes"),"Action - unconfirmed",IF(AND(I200&gt;TODAY(),I200-TODAY()&lt;=ReminderLeadDays),"Upcoming","OK")))))))</f>
        <v>0</v>
      </c>
    </row>
    <row r="201" spans="1:52">
      <c r="A201" s="46">
        <f>IF(C201="","",BookingPrefix&amp;TEXT(ROW()-4,"0000"))</f>
        <v>0</v>
      </c>
      <c r="D201" s="28">
        <f>IF(C201="","",IFERROR(INDEX(Clients!$A$5:$A$254,MATCH(C201,Clients!$B$5:$B$254,0)),""))</f>
        <v>0</v>
      </c>
      <c r="J201" s="50">
        <f>IF(I201="","",TEXT(I201,"ddd"))</f>
        <v>0</v>
      </c>
      <c r="M201" s="51">
        <f>IF(OR(K201="",L201=""),"",ROUND((L201-K201+IF(L201&lt;K201,1,0))*24,2))</f>
        <v>0</v>
      </c>
      <c r="O201" s="28">
        <f>IF(H201="","",IFERROR(INDEX(Services!$E$5:$E$54,MATCH(H201,Services!$B$5:$B$54,0)),""))</f>
        <v>0</v>
      </c>
      <c r="P201" s="29">
        <f>IF(H201="","",IFERROR(INDEX(Services!$G$5:$G$54,MATCH(H201,Services!$B$5:$B$54,0)),0))</f>
        <v>0</v>
      </c>
      <c r="Q201" s="29">
        <f>IF(H201="","",IF(IFERROR(INDEX(Services!$H$5:$H$54,MATCH(H201,Services!$B$5:$B$54,0)),0)=0,ExtraPetFeeDefault,IFERROR(INDEX(Services!$H$5:$H$54,MATCH(H201,Services!$B$5:$B$54,0)),0)))</f>
        <v>0</v>
      </c>
      <c r="R201" s="30">
        <f>IF(H201="","",IF(IFERROR(INDEX(Services!$I$5:$I$54,MATCH(H201,Services!$B$5:$B$54,0)),0)=0,HolidaySurcharge,IFERROR(INDEX(Services!$I$5:$I$54,MATCH(H201,Services!$B$5:$B$54,0)),0)))</f>
        <v>0</v>
      </c>
      <c r="S201" s="30">
        <f>IF(H201="","",IF(IFERROR(INDEX(Services!$J$5:$J$54,MATCH(H201,Services!$B$5:$B$54,0)),0)=0,WeekendSurcharge,IFERROR(INDEX(Services!$J$5:$J$54,MATCH(H201,Services!$B$5:$B$54,0)),0)))</f>
        <v>0</v>
      </c>
      <c r="T201" s="50">
        <f>IF(H201="","",IFERROR(INDEX(Services!$K$5:$K$54,MATCH(H201,Services!$B$5:$B$54,0)),"No"))</f>
        <v>0</v>
      </c>
      <c r="U201" s="29">
        <f>IF(H201="","",ROUND(IF(O201="Per hour",P201*IF(M201="",IF(N201="",1,N201),M201),P201*IF(N201="",1,N201)),2))</f>
        <v>0</v>
      </c>
      <c r="V201" s="29">
        <f>IF(H201="","",ROUND(MAX(0,IF(G201="",1,G201)-1)*Q201,2))</f>
        <v>0</v>
      </c>
      <c r="W201" s="50">
        <f>IF(I201="","",IF(COUNTIF(HolidayDates,I201)&gt;0,"Yes","No"))</f>
        <v>0</v>
      </c>
      <c r="X201" s="50">
        <f>IF(I201="","",IF(WEEKDAY(I201,2)&gt;5,"Yes","No"))</f>
        <v>0</v>
      </c>
      <c r="Y201" s="29">
        <f>IF(H201="","",ROUND((U201+V201)*(IF(W201="Yes",R201,0)+IF(X201="Yes",S201,0)),2))</f>
        <v>0</v>
      </c>
      <c r="AA201" s="29">
        <f>IF(H201="","",IF(T201&lt;&gt;"Yes",0,ROUND(MAX(0,IF(Z201="",0,Z201)-FreeTravelDistance)*TravelFeeRate,2)))</f>
        <v>0</v>
      </c>
      <c r="AB201" s="31">
        <f>IF(I201="","",TravelTimeMins)</f>
        <v>0</v>
      </c>
      <c r="AC201" s="29">
        <f>IF(OR(I201="",B201=""),0,IF(I201-B201&lt;=LastMinuteDays,EmergencyFee,0))</f>
        <v>0</v>
      </c>
      <c r="AF201" s="29">
        <f>IF(H201="","",ROUND((U201+V201+Y201+AA201+AC201)*IF(AE201="",0,AE201),2))</f>
        <v>0</v>
      </c>
      <c r="AI201" s="29">
        <f>IF(H201="","",IF(AG201&lt;&gt;"",AG201,ROUND(U201+V201+Y201+AA201+AC201-AF201,2)))</f>
        <v>0</v>
      </c>
      <c r="AJ201" s="29">
        <f>IF(AI201="","",IF(TaxRegistered&lt;&gt;"Yes",0,IF(PricesIncludeTax="Yes",ROUND(AI201-AI201/(1+TaxRate),2),ROUND(AI201*TaxRate,2))))</f>
        <v>0</v>
      </c>
      <c r="AK201" s="29">
        <f>IF(AI201="","",IF(PricesIncludeTax="Yes",AI201,ROUND(AI201+AJ201,2)))</f>
        <v>0</v>
      </c>
      <c r="AQ201" s="21">
        <f>IF(OR(I201="",AP201="",AP201="None"),"",IF(AP201="Monthly",EDATE(I201,1),I201+IF(AP201="Daily",1,IF(AP201="Weekdays",IF(WEEKDAY(I201,2)&gt;=5,8-WEEKDAY(I201,2),1),IF(AP201="Weekly",7,IF(AP201="Fortnightly",14,0))))))</f>
        <v>0</v>
      </c>
      <c r="AR201" s="49">
        <f>IF(OR(I201="",AL201="",K201="",L201=""),"",IF(SUMPRODUCT((Bookings!$AL$5:$AL$404=AL201)*(Bookings!$I$5:$I$404=I201)*(Bookings!$K$5:$K$404&lt;L201)*(Bookings!$L$5:$L$404&gt;K201)*(Bookings!$AM$5:$AM$404&lt;&gt;"Cancelled"))&gt;1,"Conflict - double booked","OK"))</f>
        <v>0</v>
      </c>
      <c r="AS201" s="50">
        <f>IF(A201="","",IF(COUNTIF('Visit Log'!$B$5:$B$404,A201)&gt;0,"Yes","No"))</f>
        <v>0</v>
      </c>
      <c r="AT201" s="28">
        <f>IF(A201="","",IFERROR(INDEX(Invoices!$A$5:$A$304,MATCH(A201,Invoices!$E$5:$E$304,0)),""))</f>
        <v>0</v>
      </c>
      <c r="AU201" s="49">
        <f>IF(A201="","",IF(AT201="","Not invoiced",IFERROR(INDEX(Invoices!$U$5:$U$304,MATCH(AT201,Invoices!$A$5:$A$304,0)),"")))</f>
        <v>0</v>
      </c>
      <c r="AY201" s="28">
        <f>IF(I201="","",TEXT(I201,"yyyy-mm"))</f>
        <v>0</v>
      </c>
      <c r="AZ201" s="49">
        <f>IF(I201="","",IF(AM201="Cancelled","Cancelled",IF(AND(I201&lt;TODAY(),OR(AM201="Pending",AM201="Confirmed",AM201="Enquiry")),"Overdue - update status",IF(AND(AM201="Completed",AS201="No"),"Action - log the visit",IF(I201=TODAY(),"Today",IF(AND(I201&gt;TODAY(),I201-TODAY()&lt;=ReminderLeadDays,AN201&lt;&gt;"Yes"),"Action - unconfirmed",IF(AND(I201&gt;TODAY(),I201-TODAY()&lt;=ReminderLeadDays),"Upcoming","OK")))))))</f>
        <v>0</v>
      </c>
    </row>
    <row r="202" spans="1:52">
      <c r="A202" s="46">
        <f>IF(C202="","",BookingPrefix&amp;TEXT(ROW()-4,"0000"))</f>
        <v>0</v>
      </c>
      <c r="D202" s="28">
        <f>IF(C202="","",IFERROR(INDEX(Clients!$A$5:$A$254,MATCH(C202,Clients!$B$5:$B$254,0)),""))</f>
        <v>0</v>
      </c>
      <c r="J202" s="50">
        <f>IF(I202="","",TEXT(I202,"ddd"))</f>
        <v>0</v>
      </c>
      <c r="M202" s="51">
        <f>IF(OR(K202="",L202=""),"",ROUND((L202-K202+IF(L202&lt;K202,1,0))*24,2))</f>
        <v>0</v>
      </c>
      <c r="O202" s="28">
        <f>IF(H202="","",IFERROR(INDEX(Services!$E$5:$E$54,MATCH(H202,Services!$B$5:$B$54,0)),""))</f>
        <v>0</v>
      </c>
      <c r="P202" s="29">
        <f>IF(H202="","",IFERROR(INDEX(Services!$G$5:$G$54,MATCH(H202,Services!$B$5:$B$54,0)),0))</f>
        <v>0</v>
      </c>
      <c r="Q202" s="29">
        <f>IF(H202="","",IF(IFERROR(INDEX(Services!$H$5:$H$54,MATCH(H202,Services!$B$5:$B$54,0)),0)=0,ExtraPetFeeDefault,IFERROR(INDEX(Services!$H$5:$H$54,MATCH(H202,Services!$B$5:$B$54,0)),0)))</f>
        <v>0</v>
      </c>
      <c r="R202" s="30">
        <f>IF(H202="","",IF(IFERROR(INDEX(Services!$I$5:$I$54,MATCH(H202,Services!$B$5:$B$54,0)),0)=0,HolidaySurcharge,IFERROR(INDEX(Services!$I$5:$I$54,MATCH(H202,Services!$B$5:$B$54,0)),0)))</f>
        <v>0</v>
      </c>
      <c r="S202" s="30">
        <f>IF(H202="","",IF(IFERROR(INDEX(Services!$J$5:$J$54,MATCH(H202,Services!$B$5:$B$54,0)),0)=0,WeekendSurcharge,IFERROR(INDEX(Services!$J$5:$J$54,MATCH(H202,Services!$B$5:$B$54,0)),0)))</f>
        <v>0</v>
      </c>
      <c r="T202" s="50">
        <f>IF(H202="","",IFERROR(INDEX(Services!$K$5:$K$54,MATCH(H202,Services!$B$5:$B$54,0)),"No"))</f>
        <v>0</v>
      </c>
      <c r="U202" s="29">
        <f>IF(H202="","",ROUND(IF(O202="Per hour",P202*IF(M202="",IF(N202="",1,N202),M202),P202*IF(N202="",1,N202)),2))</f>
        <v>0</v>
      </c>
      <c r="V202" s="29">
        <f>IF(H202="","",ROUND(MAX(0,IF(G202="",1,G202)-1)*Q202,2))</f>
        <v>0</v>
      </c>
      <c r="W202" s="50">
        <f>IF(I202="","",IF(COUNTIF(HolidayDates,I202)&gt;0,"Yes","No"))</f>
        <v>0</v>
      </c>
      <c r="X202" s="50">
        <f>IF(I202="","",IF(WEEKDAY(I202,2)&gt;5,"Yes","No"))</f>
        <v>0</v>
      </c>
      <c r="Y202" s="29">
        <f>IF(H202="","",ROUND((U202+V202)*(IF(W202="Yes",R202,0)+IF(X202="Yes",S202,0)),2))</f>
        <v>0</v>
      </c>
      <c r="AA202" s="29">
        <f>IF(H202="","",IF(T202&lt;&gt;"Yes",0,ROUND(MAX(0,IF(Z202="",0,Z202)-FreeTravelDistance)*TravelFeeRate,2)))</f>
        <v>0</v>
      </c>
      <c r="AB202" s="31">
        <f>IF(I202="","",TravelTimeMins)</f>
        <v>0</v>
      </c>
      <c r="AC202" s="29">
        <f>IF(OR(I202="",B202=""),0,IF(I202-B202&lt;=LastMinuteDays,EmergencyFee,0))</f>
        <v>0</v>
      </c>
      <c r="AF202" s="29">
        <f>IF(H202="","",ROUND((U202+V202+Y202+AA202+AC202)*IF(AE202="",0,AE202),2))</f>
        <v>0</v>
      </c>
      <c r="AI202" s="29">
        <f>IF(H202="","",IF(AG202&lt;&gt;"",AG202,ROUND(U202+V202+Y202+AA202+AC202-AF202,2)))</f>
        <v>0</v>
      </c>
      <c r="AJ202" s="29">
        <f>IF(AI202="","",IF(TaxRegistered&lt;&gt;"Yes",0,IF(PricesIncludeTax="Yes",ROUND(AI202-AI202/(1+TaxRate),2),ROUND(AI202*TaxRate,2))))</f>
        <v>0</v>
      </c>
      <c r="AK202" s="29">
        <f>IF(AI202="","",IF(PricesIncludeTax="Yes",AI202,ROUND(AI202+AJ202,2)))</f>
        <v>0</v>
      </c>
      <c r="AQ202" s="21">
        <f>IF(OR(I202="",AP202="",AP202="None"),"",IF(AP202="Monthly",EDATE(I202,1),I202+IF(AP202="Daily",1,IF(AP202="Weekdays",IF(WEEKDAY(I202,2)&gt;=5,8-WEEKDAY(I202,2),1),IF(AP202="Weekly",7,IF(AP202="Fortnightly",14,0))))))</f>
        <v>0</v>
      </c>
      <c r="AR202" s="49">
        <f>IF(OR(I202="",AL202="",K202="",L202=""),"",IF(SUMPRODUCT((Bookings!$AL$5:$AL$404=AL202)*(Bookings!$I$5:$I$404=I202)*(Bookings!$K$5:$K$404&lt;L202)*(Bookings!$L$5:$L$404&gt;K202)*(Bookings!$AM$5:$AM$404&lt;&gt;"Cancelled"))&gt;1,"Conflict - double booked","OK"))</f>
        <v>0</v>
      </c>
      <c r="AS202" s="50">
        <f>IF(A202="","",IF(COUNTIF('Visit Log'!$B$5:$B$404,A202)&gt;0,"Yes","No"))</f>
        <v>0</v>
      </c>
      <c r="AT202" s="28">
        <f>IF(A202="","",IFERROR(INDEX(Invoices!$A$5:$A$304,MATCH(A202,Invoices!$E$5:$E$304,0)),""))</f>
        <v>0</v>
      </c>
      <c r="AU202" s="49">
        <f>IF(A202="","",IF(AT202="","Not invoiced",IFERROR(INDEX(Invoices!$U$5:$U$304,MATCH(AT202,Invoices!$A$5:$A$304,0)),"")))</f>
        <v>0</v>
      </c>
      <c r="AY202" s="28">
        <f>IF(I202="","",TEXT(I202,"yyyy-mm"))</f>
        <v>0</v>
      </c>
      <c r="AZ202" s="49">
        <f>IF(I202="","",IF(AM202="Cancelled","Cancelled",IF(AND(I202&lt;TODAY(),OR(AM202="Pending",AM202="Confirmed",AM202="Enquiry")),"Overdue - update status",IF(AND(AM202="Completed",AS202="No"),"Action - log the visit",IF(I202=TODAY(),"Today",IF(AND(I202&gt;TODAY(),I202-TODAY()&lt;=ReminderLeadDays,AN202&lt;&gt;"Yes"),"Action - unconfirmed",IF(AND(I202&gt;TODAY(),I202-TODAY()&lt;=ReminderLeadDays),"Upcoming","OK")))))))</f>
        <v>0</v>
      </c>
    </row>
    <row r="203" spans="1:52">
      <c r="A203" s="46">
        <f>IF(C203="","",BookingPrefix&amp;TEXT(ROW()-4,"0000"))</f>
        <v>0</v>
      </c>
      <c r="D203" s="28">
        <f>IF(C203="","",IFERROR(INDEX(Clients!$A$5:$A$254,MATCH(C203,Clients!$B$5:$B$254,0)),""))</f>
        <v>0</v>
      </c>
      <c r="J203" s="50">
        <f>IF(I203="","",TEXT(I203,"ddd"))</f>
        <v>0</v>
      </c>
      <c r="M203" s="51">
        <f>IF(OR(K203="",L203=""),"",ROUND((L203-K203+IF(L203&lt;K203,1,0))*24,2))</f>
        <v>0</v>
      </c>
      <c r="O203" s="28">
        <f>IF(H203="","",IFERROR(INDEX(Services!$E$5:$E$54,MATCH(H203,Services!$B$5:$B$54,0)),""))</f>
        <v>0</v>
      </c>
      <c r="P203" s="29">
        <f>IF(H203="","",IFERROR(INDEX(Services!$G$5:$G$54,MATCH(H203,Services!$B$5:$B$54,0)),0))</f>
        <v>0</v>
      </c>
      <c r="Q203" s="29">
        <f>IF(H203="","",IF(IFERROR(INDEX(Services!$H$5:$H$54,MATCH(H203,Services!$B$5:$B$54,0)),0)=0,ExtraPetFeeDefault,IFERROR(INDEX(Services!$H$5:$H$54,MATCH(H203,Services!$B$5:$B$54,0)),0)))</f>
        <v>0</v>
      </c>
      <c r="R203" s="30">
        <f>IF(H203="","",IF(IFERROR(INDEX(Services!$I$5:$I$54,MATCH(H203,Services!$B$5:$B$54,0)),0)=0,HolidaySurcharge,IFERROR(INDEX(Services!$I$5:$I$54,MATCH(H203,Services!$B$5:$B$54,0)),0)))</f>
        <v>0</v>
      </c>
      <c r="S203" s="30">
        <f>IF(H203="","",IF(IFERROR(INDEX(Services!$J$5:$J$54,MATCH(H203,Services!$B$5:$B$54,0)),0)=0,WeekendSurcharge,IFERROR(INDEX(Services!$J$5:$J$54,MATCH(H203,Services!$B$5:$B$54,0)),0)))</f>
        <v>0</v>
      </c>
      <c r="T203" s="50">
        <f>IF(H203="","",IFERROR(INDEX(Services!$K$5:$K$54,MATCH(H203,Services!$B$5:$B$54,0)),"No"))</f>
        <v>0</v>
      </c>
      <c r="U203" s="29">
        <f>IF(H203="","",ROUND(IF(O203="Per hour",P203*IF(M203="",IF(N203="",1,N203),M203),P203*IF(N203="",1,N203)),2))</f>
        <v>0</v>
      </c>
      <c r="V203" s="29">
        <f>IF(H203="","",ROUND(MAX(0,IF(G203="",1,G203)-1)*Q203,2))</f>
        <v>0</v>
      </c>
      <c r="W203" s="50">
        <f>IF(I203="","",IF(COUNTIF(HolidayDates,I203)&gt;0,"Yes","No"))</f>
        <v>0</v>
      </c>
      <c r="X203" s="50">
        <f>IF(I203="","",IF(WEEKDAY(I203,2)&gt;5,"Yes","No"))</f>
        <v>0</v>
      </c>
      <c r="Y203" s="29">
        <f>IF(H203="","",ROUND((U203+V203)*(IF(W203="Yes",R203,0)+IF(X203="Yes",S203,0)),2))</f>
        <v>0</v>
      </c>
      <c r="AA203" s="29">
        <f>IF(H203="","",IF(T203&lt;&gt;"Yes",0,ROUND(MAX(0,IF(Z203="",0,Z203)-FreeTravelDistance)*TravelFeeRate,2)))</f>
        <v>0</v>
      </c>
      <c r="AB203" s="31">
        <f>IF(I203="","",TravelTimeMins)</f>
        <v>0</v>
      </c>
      <c r="AC203" s="29">
        <f>IF(OR(I203="",B203=""),0,IF(I203-B203&lt;=LastMinuteDays,EmergencyFee,0))</f>
        <v>0</v>
      </c>
      <c r="AF203" s="29">
        <f>IF(H203="","",ROUND((U203+V203+Y203+AA203+AC203)*IF(AE203="",0,AE203),2))</f>
        <v>0</v>
      </c>
      <c r="AI203" s="29">
        <f>IF(H203="","",IF(AG203&lt;&gt;"",AG203,ROUND(U203+V203+Y203+AA203+AC203-AF203,2)))</f>
        <v>0</v>
      </c>
      <c r="AJ203" s="29">
        <f>IF(AI203="","",IF(TaxRegistered&lt;&gt;"Yes",0,IF(PricesIncludeTax="Yes",ROUND(AI203-AI203/(1+TaxRate),2),ROUND(AI203*TaxRate,2))))</f>
        <v>0</v>
      </c>
      <c r="AK203" s="29">
        <f>IF(AI203="","",IF(PricesIncludeTax="Yes",AI203,ROUND(AI203+AJ203,2)))</f>
        <v>0</v>
      </c>
      <c r="AQ203" s="21">
        <f>IF(OR(I203="",AP203="",AP203="None"),"",IF(AP203="Monthly",EDATE(I203,1),I203+IF(AP203="Daily",1,IF(AP203="Weekdays",IF(WEEKDAY(I203,2)&gt;=5,8-WEEKDAY(I203,2),1),IF(AP203="Weekly",7,IF(AP203="Fortnightly",14,0))))))</f>
        <v>0</v>
      </c>
      <c r="AR203" s="49">
        <f>IF(OR(I203="",AL203="",K203="",L203=""),"",IF(SUMPRODUCT((Bookings!$AL$5:$AL$404=AL203)*(Bookings!$I$5:$I$404=I203)*(Bookings!$K$5:$K$404&lt;L203)*(Bookings!$L$5:$L$404&gt;K203)*(Bookings!$AM$5:$AM$404&lt;&gt;"Cancelled"))&gt;1,"Conflict - double booked","OK"))</f>
        <v>0</v>
      </c>
      <c r="AS203" s="50">
        <f>IF(A203="","",IF(COUNTIF('Visit Log'!$B$5:$B$404,A203)&gt;0,"Yes","No"))</f>
        <v>0</v>
      </c>
      <c r="AT203" s="28">
        <f>IF(A203="","",IFERROR(INDEX(Invoices!$A$5:$A$304,MATCH(A203,Invoices!$E$5:$E$304,0)),""))</f>
        <v>0</v>
      </c>
      <c r="AU203" s="49">
        <f>IF(A203="","",IF(AT203="","Not invoiced",IFERROR(INDEX(Invoices!$U$5:$U$304,MATCH(AT203,Invoices!$A$5:$A$304,0)),"")))</f>
        <v>0</v>
      </c>
      <c r="AY203" s="28">
        <f>IF(I203="","",TEXT(I203,"yyyy-mm"))</f>
        <v>0</v>
      </c>
      <c r="AZ203" s="49">
        <f>IF(I203="","",IF(AM203="Cancelled","Cancelled",IF(AND(I203&lt;TODAY(),OR(AM203="Pending",AM203="Confirmed",AM203="Enquiry")),"Overdue - update status",IF(AND(AM203="Completed",AS203="No"),"Action - log the visit",IF(I203=TODAY(),"Today",IF(AND(I203&gt;TODAY(),I203-TODAY()&lt;=ReminderLeadDays,AN203&lt;&gt;"Yes"),"Action - unconfirmed",IF(AND(I203&gt;TODAY(),I203-TODAY()&lt;=ReminderLeadDays),"Upcoming","OK")))))))</f>
        <v>0</v>
      </c>
    </row>
    <row r="204" spans="1:52">
      <c r="A204" s="46">
        <f>IF(C204="","",BookingPrefix&amp;TEXT(ROW()-4,"0000"))</f>
        <v>0</v>
      </c>
      <c r="D204" s="28">
        <f>IF(C204="","",IFERROR(INDEX(Clients!$A$5:$A$254,MATCH(C204,Clients!$B$5:$B$254,0)),""))</f>
        <v>0</v>
      </c>
      <c r="J204" s="50">
        <f>IF(I204="","",TEXT(I204,"ddd"))</f>
        <v>0</v>
      </c>
      <c r="M204" s="51">
        <f>IF(OR(K204="",L204=""),"",ROUND((L204-K204+IF(L204&lt;K204,1,0))*24,2))</f>
        <v>0</v>
      </c>
      <c r="O204" s="28">
        <f>IF(H204="","",IFERROR(INDEX(Services!$E$5:$E$54,MATCH(H204,Services!$B$5:$B$54,0)),""))</f>
        <v>0</v>
      </c>
      <c r="P204" s="29">
        <f>IF(H204="","",IFERROR(INDEX(Services!$G$5:$G$54,MATCH(H204,Services!$B$5:$B$54,0)),0))</f>
        <v>0</v>
      </c>
      <c r="Q204" s="29">
        <f>IF(H204="","",IF(IFERROR(INDEX(Services!$H$5:$H$54,MATCH(H204,Services!$B$5:$B$54,0)),0)=0,ExtraPetFeeDefault,IFERROR(INDEX(Services!$H$5:$H$54,MATCH(H204,Services!$B$5:$B$54,0)),0)))</f>
        <v>0</v>
      </c>
      <c r="R204" s="30">
        <f>IF(H204="","",IF(IFERROR(INDEX(Services!$I$5:$I$54,MATCH(H204,Services!$B$5:$B$54,0)),0)=0,HolidaySurcharge,IFERROR(INDEX(Services!$I$5:$I$54,MATCH(H204,Services!$B$5:$B$54,0)),0)))</f>
        <v>0</v>
      </c>
      <c r="S204" s="30">
        <f>IF(H204="","",IF(IFERROR(INDEX(Services!$J$5:$J$54,MATCH(H204,Services!$B$5:$B$54,0)),0)=0,WeekendSurcharge,IFERROR(INDEX(Services!$J$5:$J$54,MATCH(H204,Services!$B$5:$B$54,0)),0)))</f>
        <v>0</v>
      </c>
      <c r="T204" s="50">
        <f>IF(H204="","",IFERROR(INDEX(Services!$K$5:$K$54,MATCH(H204,Services!$B$5:$B$54,0)),"No"))</f>
        <v>0</v>
      </c>
      <c r="U204" s="29">
        <f>IF(H204="","",ROUND(IF(O204="Per hour",P204*IF(M204="",IF(N204="",1,N204),M204),P204*IF(N204="",1,N204)),2))</f>
        <v>0</v>
      </c>
      <c r="V204" s="29">
        <f>IF(H204="","",ROUND(MAX(0,IF(G204="",1,G204)-1)*Q204,2))</f>
        <v>0</v>
      </c>
      <c r="W204" s="50">
        <f>IF(I204="","",IF(COUNTIF(HolidayDates,I204)&gt;0,"Yes","No"))</f>
        <v>0</v>
      </c>
      <c r="X204" s="50">
        <f>IF(I204="","",IF(WEEKDAY(I204,2)&gt;5,"Yes","No"))</f>
        <v>0</v>
      </c>
      <c r="Y204" s="29">
        <f>IF(H204="","",ROUND((U204+V204)*(IF(W204="Yes",R204,0)+IF(X204="Yes",S204,0)),2))</f>
        <v>0</v>
      </c>
      <c r="AA204" s="29">
        <f>IF(H204="","",IF(T204&lt;&gt;"Yes",0,ROUND(MAX(0,IF(Z204="",0,Z204)-FreeTravelDistance)*TravelFeeRate,2)))</f>
        <v>0</v>
      </c>
      <c r="AB204" s="31">
        <f>IF(I204="","",TravelTimeMins)</f>
        <v>0</v>
      </c>
      <c r="AC204" s="29">
        <f>IF(OR(I204="",B204=""),0,IF(I204-B204&lt;=LastMinuteDays,EmergencyFee,0))</f>
        <v>0</v>
      </c>
      <c r="AF204" s="29">
        <f>IF(H204="","",ROUND((U204+V204+Y204+AA204+AC204)*IF(AE204="",0,AE204),2))</f>
        <v>0</v>
      </c>
      <c r="AI204" s="29">
        <f>IF(H204="","",IF(AG204&lt;&gt;"",AG204,ROUND(U204+V204+Y204+AA204+AC204-AF204,2)))</f>
        <v>0</v>
      </c>
      <c r="AJ204" s="29">
        <f>IF(AI204="","",IF(TaxRegistered&lt;&gt;"Yes",0,IF(PricesIncludeTax="Yes",ROUND(AI204-AI204/(1+TaxRate),2),ROUND(AI204*TaxRate,2))))</f>
        <v>0</v>
      </c>
      <c r="AK204" s="29">
        <f>IF(AI204="","",IF(PricesIncludeTax="Yes",AI204,ROUND(AI204+AJ204,2)))</f>
        <v>0</v>
      </c>
      <c r="AQ204" s="21">
        <f>IF(OR(I204="",AP204="",AP204="None"),"",IF(AP204="Monthly",EDATE(I204,1),I204+IF(AP204="Daily",1,IF(AP204="Weekdays",IF(WEEKDAY(I204,2)&gt;=5,8-WEEKDAY(I204,2),1),IF(AP204="Weekly",7,IF(AP204="Fortnightly",14,0))))))</f>
        <v>0</v>
      </c>
      <c r="AR204" s="49">
        <f>IF(OR(I204="",AL204="",K204="",L204=""),"",IF(SUMPRODUCT((Bookings!$AL$5:$AL$404=AL204)*(Bookings!$I$5:$I$404=I204)*(Bookings!$K$5:$K$404&lt;L204)*(Bookings!$L$5:$L$404&gt;K204)*(Bookings!$AM$5:$AM$404&lt;&gt;"Cancelled"))&gt;1,"Conflict - double booked","OK"))</f>
        <v>0</v>
      </c>
      <c r="AS204" s="50">
        <f>IF(A204="","",IF(COUNTIF('Visit Log'!$B$5:$B$404,A204)&gt;0,"Yes","No"))</f>
        <v>0</v>
      </c>
      <c r="AT204" s="28">
        <f>IF(A204="","",IFERROR(INDEX(Invoices!$A$5:$A$304,MATCH(A204,Invoices!$E$5:$E$304,0)),""))</f>
        <v>0</v>
      </c>
      <c r="AU204" s="49">
        <f>IF(A204="","",IF(AT204="","Not invoiced",IFERROR(INDEX(Invoices!$U$5:$U$304,MATCH(AT204,Invoices!$A$5:$A$304,0)),"")))</f>
        <v>0</v>
      </c>
      <c r="AY204" s="28">
        <f>IF(I204="","",TEXT(I204,"yyyy-mm"))</f>
        <v>0</v>
      </c>
      <c r="AZ204" s="49">
        <f>IF(I204="","",IF(AM204="Cancelled","Cancelled",IF(AND(I204&lt;TODAY(),OR(AM204="Pending",AM204="Confirmed",AM204="Enquiry")),"Overdue - update status",IF(AND(AM204="Completed",AS204="No"),"Action - log the visit",IF(I204=TODAY(),"Today",IF(AND(I204&gt;TODAY(),I204-TODAY()&lt;=ReminderLeadDays,AN204&lt;&gt;"Yes"),"Action - unconfirmed",IF(AND(I204&gt;TODAY(),I204-TODAY()&lt;=ReminderLeadDays),"Upcoming","OK")))))))</f>
        <v>0</v>
      </c>
    </row>
    <row r="205" spans="1:52">
      <c r="A205" s="46">
        <f>IF(C205="","",BookingPrefix&amp;TEXT(ROW()-4,"0000"))</f>
        <v>0</v>
      </c>
      <c r="D205" s="28">
        <f>IF(C205="","",IFERROR(INDEX(Clients!$A$5:$A$254,MATCH(C205,Clients!$B$5:$B$254,0)),""))</f>
        <v>0</v>
      </c>
      <c r="J205" s="50">
        <f>IF(I205="","",TEXT(I205,"ddd"))</f>
        <v>0</v>
      </c>
      <c r="M205" s="51">
        <f>IF(OR(K205="",L205=""),"",ROUND((L205-K205+IF(L205&lt;K205,1,0))*24,2))</f>
        <v>0</v>
      </c>
      <c r="O205" s="28">
        <f>IF(H205="","",IFERROR(INDEX(Services!$E$5:$E$54,MATCH(H205,Services!$B$5:$B$54,0)),""))</f>
        <v>0</v>
      </c>
      <c r="P205" s="29">
        <f>IF(H205="","",IFERROR(INDEX(Services!$G$5:$G$54,MATCH(H205,Services!$B$5:$B$54,0)),0))</f>
        <v>0</v>
      </c>
      <c r="Q205" s="29">
        <f>IF(H205="","",IF(IFERROR(INDEX(Services!$H$5:$H$54,MATCH(H205,Services!$B$5:$B$54,0)),0)=0,ExtraPetFeeDefault,IFERROR(INDEX(Services!$H$5:$H$54,MATCH(H205,Services!$B$5:$B$54,0)),0)))</f>
        <v>0</v>
      </c>
      <c r="R205" s="30">
        <f>IF(H205="","",IF(IFERROR(INDEX(Services!$I$5:$I$54,MATCH(H205,Services!$B$5:$B$54,0)),0)=0,HolidaySurcharge,IFERROR(INDEX(Services!$I$5:$I$54,MATCH(H205,Services!$B$5:$B$54,0)),0)))</f>
        <v>0</v>
      </c>
      <c r="S205" s="30">
        <f>IF(H205="","",IF(IFERROR(INDEX(Services!$J$5:$J$54,MATCH(H205,Services!$B$5:$B$54,0)),0)=0,WeekendSurcharge,IFERROR(INDEX(Services!$J$5:$J$54,MATCH(H205,Services!$B$5:$B$54,0)),0)))</f>
        <v>0</v>
      </c>
      <c r="T205" s="50">
        <f>IF(H205="","",IFERROR(INDEX(Services!$K$5:$K$54,MATCH(H205,Services!$B$5:$B$54,0)),"No"))</f>
        <v>0</v>
      </c>
      <c r="U205" s="29">
        <f>IF(H205="","",ROUND(IF(O205="Per hour",P205*IF(M205="",IF(N205="",1,N205),M205),P205*IF(N205="",1,N205)),2))</f>
        <v>0</v>
      </c>
      <c r="V205" s="29">
        <f>IF(H205="","",ROUND(MAX(0,IF(G205="",1,G205)-1)*Q205,2))</f>
        <v>0</v>
      </c>
      <c r="W205" s="50">
        <f>IF(I205="","",IF(COUNTIF(HolidayDates,I205)&gt;0,"Yes","No"))</f>
        <v>0</v>
      </c>
      <c r="X205" s="50">
        <f>IF(I205="","",IF(WEEKDAY(I205,2)&gt;5,"Yes","No"))</f>
        <v>0</v>
      </c>
      <c r="Y205" s="29">
        <f>IF(H205="","",ROUND((U205+V205)*(IF(W205="Yes",R205,0)+IF(X205="Yes",S205,0)),2))</f>
        <v>0</v>
      </c>
      <c r="AA205" s="29">
        <f>IF(H205="","",IF(T205&lt;&gt;"Yes",0,ROUND(MAX(0,IF(Z205="",0,Z205)-FreeTravelDistance)*TravelFeeRate,2)))</f>
        <v>0</v>
      </c>
      <c r="AB205" s="31">
        <f>IF(I205="","",TravelTimeMins)</f>
        <v>0</v>
      </c>
      <c r="AC205" s="29">
        <f>IF(OR(I205="",B205=""),0,IF(I205-B205&lt;=LastMinuteDays,EmergencyFee,0))</f>
        <v>0</v>
      </c>
      <c r="AF205" s="29">
        <f>IF(H205="","",ROUND((U205+V205+Y205+AA205+AC205)*IF(AE205="",0,AE205),2))</f>
        <v>0</v>
      </c>
      <c r="AI205" s="29">
        <f>IF(H205="","",IF(AG205&lt;&gt;"",AG205,ROUND(U205+V205+Y205+AA205+AC205-AF205,2)))</f>
        <v>0</v>
      </c>
      <c r="AJ205" s="29">
        <f>IF(AI205="","",IF(TaxRegistered&lt;&gt;"Yes",0,IF(PricesIncludeTax="Yes",ROUND(AI205-AI205/(1+TaxRate),2),ROUND(AI205*TaxRate,2))))</f>
        <v>0</v>
      </c>
      <c r="AK205" s="29">
        <f>IF(AI205="","",IF(PricesIncludeTax="Yes",AI205,ROUND(AI205+AJ205,2)))</f>
        <v>0</v>
      </c>
      <c r="AQ205" s="21">
        <f>IF(OR(I205="",AP205="",AP205="None"),"",IF(AP205="Monthly",EDATE(I205,1),I205+IF(AP205="Daily",1,IF(AP205="Weekdays",IF(WEEKDAY(I205,2)&gt;=5,8-WEEKDAY(I205,2),1),IF(AP205="Weekly",7,IF(AP205="Fortnightly",14,0))))))</f>
        <v>0</v>
      </c>
      <c r="AR205" s="49">
        <f>IF(OR(I205="",AL205="",K205="",L205=""),"",IF(SUMPRODUCT((Bookings!$AL$5:$AL$404=AL205)*(Bookings!$I$5:$I$404=I205)*(Bookings!$K$5:$K$404&lt;L205)*(Bookings!$L$5:$L$404&gt;K205)*(Bookings!$AM$5:$AM$404&lt;&gt;"Cancelled"))&gt;1,"Conflict - double booked","OK"))</f>
        <v>0</v>
      </c>
      <c r="AS205" s="50">
        <f>IF(A205="","",IF(COUNTIF('Visit Log'!$B$5:$B$404,A205)&gt;0,"Yes","No"))</f>
        <v>0</v>
      </c>
      <c r="AT205" s="28">
        <f>IF(A205="","",IFERROR(INDEX(Invoices!$A$5:$A$304,MATCH(A205,Invoices!$E$5:$E$304,0)),""))</f>
        <v>0</v>
      </c>
      <c r="AU205" s="49">
        <f>IF(A205="","",IF(AT205="","Not invoiced",IFERROR(INDEX(Invoices!$U$5:$U$304,MATCH(AT205,Invoices!$A$5:$A$304,0)),"")))</f>
        <v>0</v>
      </c>
      <c r="AY205" s="28">
        <f>IF(I205="","",TEXT(I205,"yyyy-mm"))</f>
        <v>0</v>
      </c>
      <c r="AZ205" s="49">
        <f>IF(I205="","",IF(AM205="Cancelled","Cancelled",IF(AND(I205&lt;TODAY(),OR(AM205="Pending",AM205="Confirmed",AM205="Enquiry")),"Overdue - update status",IF(AND(AM205="Completed",AS205="No"),"Action - log the visit",IF(I205=TODAY(),"Today",IF(AND(I205&gt;TODAY(),I205-TODAY()&lt;=ReminderLeadDays,AN205&lt;&gt;"Yes"),"Action - unconfirmed",IF(AND(I205&gt;TODAY(),I205-TODAY()&lt;=ReminderLeadDays),"Upcoming","OK")))))))</f>
        <v>0</v>
      </c>
    </row>
    <row r="206" spans="1:52">
      <c r="A206" s="46">
        <f>IF(C206="","",BookingPrefix&amp;TEXT(ROW()-4,"0000"))</f>
        <v>0</v>
      </c>
      <c r="D206" s="28">
        <f>IF(C206="","",IFERROR(INDEX(Clients!$A$5:$A$254,MATCH(C206,Clients!$B$5:$B$254,0)),""))</f>
        <v>0</v>
      </c>
      <c r="J206" s="50">
        <f>IF(I206="","",TEXT(I206,"ddd"))</f>
        <v>0</v>
      </c>
      <c r="M206" s="51">
        <f>IF(OR(K206="",L206=""),"",ROUND((L206-K206+IF(L206&lt;K206,1,0))*24,2))</f>
        <v>0</v>
      </c>
      <c r="O206" s="28">
        <f>IF(H206="","",IFERROR(INDEX(Services!$E$5:$E$54,MATCH(H206,Services!$B$5:$B$54,0)),""))</f>
        <v>0</v>
      </c>
      <c r="P206" s="29">
        <f>IF(H206="","",IFERROR(INDEX(Services!$G$5:$G$54,MATCH(H206,Services!$B$5:$B$54,0)),0))</f>
        <v>0</v>
      </c>
      <c r="Q206" s="29">
        <f>IF(H206="","",IF(IFERROR(INDEX(Services!$H$5:$H$54,MATCH(H206,Services!$B$5:$B$54,0)),0)=0,ExtraPetFeeDefault,IFERROR(INDEX(Services!$H$5:$H$54,MATCH(H206,Services!$B$5:$B$54,0)),0)))</f>
        <v>0</v>
      </c>
      <c r="R206" s="30">
        <f>IF(H206="","",IF(IFERROR(INDEX(Services!$I$5:$I$54,MATCH(H206,Services!$B$5:$B$54,0)),0)=0,HolidaySurcharge,IFERROR(INDEX(Services!$I$5:$I$54,MATCH(H206,Services!$B$5:$B$54,0)),0)))</f>
        <v>0</v>
      </c>
      <c r="S206" s="30">
        <f>IF(H206="","",IF(IFERROR(INDEX(Services!$J$5:$J$54,MATCH(H206,Services!$B$5:$B$54,0)),0)=0,WeekendSurcharge,IFERROR(INDEX(Services!$J$5:$J$54,MATCH(H206,Services!$B$5:$B$54,0)),0)))</f>
        <v>0</v>
      </c>
      <c r="T206" s="50">
        <f>IF(H206="","",IFERROR(INDEX(Services!$K$5:$K$54,MATCH(H206,Services!$B$5:$B$54,0)),"No"))</f>
        <v>0</v>
      </c>
      <c r="U206" s="29">
        <f>IF(H206="","",ROUND(IF(O206="Per hour",P206*IF(M206="",IF(N206="",1,N206),M206),P206*IF(N206="",1,N206)),2))</f>
        <v>0</v>
      </c>
      <c r="V206" s="29">
        <f>IF(H206="","",ROUND(MAX(0,IF(G206="",1,G206)-1)*Q206,2))</f>
        <v>0</v>
      </c>
      <c r="W206" s="50">
        <f>IF(I206="","",IF(COUNTIF(HolidayDates,I206)&gt;0,"Yes","No"))</f>
        <v>0</v>
      </c>
      <c r="X206" s="50">
        <f>IF(I206="","",IF(WEEKDAY(I206,2)&gt;5,"Yes","No"))</f>
        <v>0</v>
      </c>
      <c r="Y206" s="29">
        <f>IF(H206="","",ROUND((U206+V206)*(IF(W206="Yes",R206,0)+IF(X206="Yes",S206,0)),2))</f>
        <v>0</v>
      </c>
      <c r="AA206" s="29">
        <f>IF(H206="","",IF(T206&lt;&gt;"Yes",0,ROUND(MAX(0,IF(Z206="",0,Z206)-FreeTravelDistance)*TravelFeeRate,2)))</f>
        <v>0</v>
      </c>
      <c r="AB206" s="31">
        <f>IF(I206="","",TravelTimeMins)</f>
        <v>0</v>
      </c>
      <c r="AC206" s="29">
        <f>IF(OR(I206="",B206=""),0,IF(I206-B206&lt;=LastMinuteDays,EmergencyFee,0))</f>
        <v>0</v>
      </c>
      <c r="AF206" s="29">
        <f>IF(H206="","",ROUND((U206+V206+Y206+AA206+AC206)*IF(AE206="",0,AE206),2))</f>
        <v>0</v>
      </c>
      <c r="AI206" s="29">
        <f>IF(H206="","",IF(AG206&lt;&gt;"",AG206,ROUND(U206+V206+Y206+AA206+AC206-AF206,2)))</f>
        <v>0</v>
      </c>
      <c r="AJ206" s="29">
        <f>IF(AI206="","",IF(TaxRegistered&lt;&gt;"Yes",0,IF(PricesIncludeTax="Yes",ROUND(AI206-AI206/(1+TaxRate),2),ROUND(AI206*TaxRate,2))))</f>
        <v>0</v>
      </c>
      <c r="AK206" s="29">
        <f>IF(AI206="","",IF(PricesIncludeTax="Yes",AI206,ROUND(AI206+AJ206,2)))</f>
        <v>0</v>
      </c>
      <c r="AQ206" s="21">
        <f>IF(OR(I206="",AP206="",AP206="None"),"",IF(AP206="Monthly",EDATE(I206,1),I206+IF(AP206="Daily",1,IF(AP206="Weekdays",IF(WEEKDAY(I206,2)&gt;=5,8-WEEKDAY(I206,2),1),IF(AP206="Weekly",7,IF(AP206="Fortnightly",14,0))))))</f>
        <v>0</v>
      </c>
      <c r="AR206" s="49">
        <f>IF(OR(I206="",AL206="",K206="",L206=""),"",IF(SUMPRODUCT((Bookings!$AL$5:$AL$404=AL206)*(Bookings!$I$5:$I$404=I206)*(Bookings!$K$5:$K$404&lt;L206)*(Bookings!$L$5:$L$404&gt;K206)*(Bookings!$AM$5:$AM$404&lt;&gt;"Cancelled"))&gt;1,"Conflict - double booked","OK"))</f>
        <v>0</v>
      </c>
      <c r="AS206" s="50">
        <f>IF(A206="","",IF(COUNTIF('Visit Log'!$B$5:$B$404,A206)&gt;0,"Yes","No"))</f>
        <v>0</v>
      </c>
      <c r="AT206" s="28">
        <f>IF(A206="","",IFERROR(INDEX(Invoices!$A$5:$A$304,MATCH(A206,Invoices!$E$5:$E$304,0)),""))</f>
        <v>0</v>
      </c>
      <c r="AU206" s="49">
        <f>IF(A206="","",IF(AT206="","Not invoiced",IFERROR(INDEX(Invoices!$U$5:$U$304,MATCH(AT206,Invoices!$A$5:$A$304,0)),"")))</f>
        <v>0</v>
      </c>
      <c r="AY206" s="28">
        <f>IF(I206="","",TEXT(I206,"yyyy-mm"))</f>
        <v>0</v>
      </c>
      <c r="AZ206" s="49">
        <f>IF(I206="","",IF(AM206="Cancelled","Cancelled",IF(AND(I206&lt;TODAY(),OR(AM206="Pending",AM206="Confirmed",AM206="Enquiry")),"Overdue - update status",IF(AND(AM206="Completed",AS206="No"),"Action - log the visit",IF(I206=TODAY(),"Today",IF(AND(I206&gt;TODAY(),I206-TODAY()&lt;=ReminderLeadDays,AN206&lt;&gt;"Yes"),"Action - unconfirmed",IF(AND(I206&gt;TODAY(),I206-TODAY()&lt;=ReminderLeadDays),"Upcoming","OK")))))))</f>
        <v>0</v>
      </c>
    </row>
    <row r="207" spans="1:52">
      <c r="A207" s="46">
        <f>IF(C207="","",BookingPrefix&amp;TEXT(ROW()-4,"0000"))</f>
        <v>0</v>
      </c>
      <c r="D207" s="28">
        <f>IF(C207="","",IFERROR(INDEX(Clients!$A$5:$A$254,MATCH(C207,Clients!$B$5:$B$254,0)),""))</f>
        <v>0</v>
      </c>
      <c r="J207" s="50">
        <f>IF(I207="","",TEXT(I207,"ddd"))</f>
        <v>0</v>
      </c>
      <c r="M207" s="51">
        <f>IF(OR(K207="",L207=""),"",ROUND((L207-K207+IF(L207&lt;K207,1,0))*24,2))</f>
        <v>0</v>
      </c>
      <c r="O207" s="28">
        <f>IF(H207="","",IFERROR(INDEX(Services!$E$5:$E$54,MATCH(H207,Services!$B$5:$B$54,0)),""))</f>
        <v>0</v>
      </c>
      <c r="P207" s="29">
        <f>IF(H207="","",IFERROR(INDEX(Services!$G$5:$G$54,MATCH(H207,Services!$B$5:$B$54,0)),0))</f>
        <v>0</v>
      </c>
      <c r="Q207" s="29">
        <f>IF(H207="","",IF(IFERROR(INDEX(Services!$H$5:$H$54,MATCH(H207,Services!$B$5:$B$54,0)),0)=0,ExtraPetFeeDefault,IFERROR(INDEX(Services!$H$5:$H$54,MATCH(H207,Services!$B$5:$B$54,0)),0)))</f>
        <v>0</v>
      </c>
      <c r="R207" s="30">
        <f>IF(H207="","",IF(IFERROR(INDEX(Services!$I$5:$I$54,MATCH(H207,Services!$B$5:$B$54,0)),0)=0,HolidaySurcharge,IFERROR(INDEX(Services!$I$5:$I$54,MATCH(H207,Services!$B$5:$B$54,0)),0)))</f>
        <v>0</v>
      </c>
      <c r="S207" s="30">
        <f>IF(H207="","",IF(IFERROR(INDEX(Services!$J$5:$J$54,MATCH(H207,Services!$B$5:$B$54,0)),0)=0,WeekendSurcharge,IFERROR(INDEX(Services!$J$5:$J$54,MATCH(H207,Services!$B$5:$B$54,0)),0)))</f>
        <v>0</v>
      </c>
      <c r="T207" s="50">
        <f>IF(H207="","",IFERROR(INDEX(Services!$K$5:$K$54,MATCH(H207,Services!$B$5:$B$54,0)),"No"))</f>
        <v>0</v>
      </c>
      <c r="U207" s="29">
        <f>IF(H207="","",ROUND(IF(O207="Per hour",P207*IF(M207="",IF(N207="",1,N207),M207),P207*IF(N207="",1,N207)),2))</f>
        <v>0</v>
      </c>
      <c r="V207" s="29">
        <f>IF(H207="","",ROUND(MAX(0,IF(G207="",1,G207)-1)*Q207,2))</f>
        <v>0</v>
      </c>
      <c r="W207" s="50">
        <f>IF(I207="","",IF(COUNTIF(HolidayDates,I207)&gt;0,"Yes","No"))</f>
        <v>0</v>
      </c>
      <c r="X207" s="50">
        <f>IF(I207="","",IF(WEEKDAY(I207,2)&gt;5,"Yes","No"))</f>
        <v>0</v>
      </c>
      <c r="Y207" s="29">
        <f>IF(H207="","",ROUND((U207+V207)*(IF(W207="Yes",R207,0)+IF(X207="Yes",S207,0)),2))</f>
        <v>0</v>
      </c>
      <c r="AA207" s="29">
        <f>IF(H207="","",IF(T207&lt;&gt;"Yes",0,ROUND(MAX(0,IF(Z207="",0,Z207)-FreeTravelDistance)*TravelFeeRate,2)))</f>
        <v>0</v>
      </c>
      <c r="AB207" s="31">
        <f>IF(I207="","",TravelTimeMins)</f>
        <v>0</v>
      </c>
      <c r="AC207" s="29">
        <f>IF(OR(I207="",B207=""),0,IF(I207-B207&lt;=LastMinuteDays,EmergencyFee,0))</f>
        <v>0</v>
      </c>
      <c r="AF207" s="29">
        <f>IF(H207="","",ROUND((U207+V207+Y207+AA207+AC207)*IF(AE207="",0,AE207),2))</f>
        <v>0</v>
      </c>
      <c r="AI207" s="29">
        <f>IF(H207="","",IF(AG207&lt;&gt;"",AG207,ROUND(U207+V207+Y207+AA207+AC207-AF207,2)))</f>
        <v>0</v>
      </c>
      <c r="AJ207" s="29">
        <f>IF(AI207="","",IF(TaxRegistered&lt;&gt;"Yes",0,IF(PricesIncludeTax="Yes",ROUND(AI207-AI207/(1+TaxRate),2),ROUND(AI207*TaxRate,2))))</f>
        <v>0</v>
      </c>
      <c r="AK207" s="29">
        <f>IF(AI207="","",IF(PricesIncludeTax="Yes",AI207,ROUND(AI207+AJ207,2)))</f>
        <v>0</v>
      </c>
      <c r="AQ207" s="21">
        <f>IF(OR(I207="",AP207="",AP207="None"),"",IF(AP207="Monthly",EDATE(I207,1),I207+IF(AP207="Daily",1,IF(AP207="Weekdays",IF(WEEKDAY(I207,2)&gt;=5,8-WEEKDAY(I207,2),1),IF(AP207="Weekly",7,IF(AP207="Fortnightly",14,0))))))</f>
        <v>0</v>
      </c>
      <c r="AR207" s="49">
        <f>IF(OR(I207="",AL207="",K207="",L207=""),"",IF(SUMPRODUCT((Bookings!$AL$5:$AL$404=AL207)*(Bookings!$I$5:$I$404=I207)*(Bookings!$K$5:$K$404&lt;L207)*(Bookings!$L$5:$L$404&gt;K207)*(Bookings!$AM$5:$AM$404&lt;&gt;"Cancelled"))&gt;1,"Conflict - double booked","OK"))</f>
        <v>0</v>
      </c>
      <c r="AS207" s="50">
        <f>IF(A207="","",IF(COUNTIF('Visit Log'!$B$5:$B$404,A207)&gt;0,"Yes","No"))</f>
        <v>0</v>
      </c>
      <c r="AT207" s="28">
        <f>IF(A207="","",IFERROR(INDEX(Invoices!$A$5:$A$304,MATCH(A207,Invoices!$E$5:$E$304,0)),""))</f>
        <v>0</v>
      </c>
      <c r="AU207" s="49">
        <f>IF(A207="","",IF(AT207="","Not invoiced",IFERROR(INDEX(Invoices!$U$5:$U$304,MATCH(AT207,Invoices!$A$5:$A$304,0)),"")))</f>
        <v>0</v>
      </c>
      <c r="AY207" s="28">
        <f>IF(I207="","",TEXT(I207,"yyyy-mm"))</f>
        <v>0</v>
      </c>
      <c r="AZ207" s="49">
        <f>IF(I207="","",IF(AM207="Cancelled","Cancelled",IF(AND(I207&lt;TODAY(),OR(AM207="Pending",AM207="Confirmed",AM207="Enquiry")),"Overdue - update status",IF(AND(AM207="Completed",AS207="No"),"Action - log the visit",IF(I207=TODAY(),"Today",IF(AND(I207&gt;TODAY(),I207-TODAY()&lt;=ReminderLeadDays,AN207&lt;&gt;"Yes"),"Action - unconfirmed",IF(AND(I207&gt;TODAY(),I207-TODAY()&lt;=ReminderLeadDays),"Upcoming","OK")))))))</f>
        <v>0</v>
      </c>
    </row>
    <row r="208" spans="1:52">
      <c r="A208" s="46">
        <f>IF(C208="","",BookingPrefix&amp;TEXT(ROW()-4,"0000"))</f>
        <v>0</v>
      </c>
      <c r="D208" s="28">
        <f>IF(C208="","",IFERROR(INDEX(Clients!$A$5:$A$254,MATCH(C208,Clients!$B$5:$B$254,0)),""))</f>
        <v>0</v>
      </c>
      <c r="J208" s="50">
        <f>IF(I208="","",TEXT(I208,"ddd"))</f>
        <v>0</v>
      </c>
      <c r="M208" s="51">
        <f>IF(OR(K208="",L208=""),"",ROUND((L208-K208+IF(L208&lt;K208,1,0))*24,2))</f>
        <v>0</v>
      </c>
      <c r="O208" s="28">
        <f>IF(H208="","",IFERROR(INDEX(Services!$E$5:$E$54,MATCH(H208,Services!$B$5:$B$54,0)),""))</f>
        <v>0</v>
      </c>
      <c r="P208" s="29">
        <f>IF(H208="","",IFERROR(INDEX(Services!$G$5:$G$54,MATCH(H208,Services!$B$5:$B$54,0)),0))</f>
        <v>0</v>
      </c>
      <c r="Q208" s="29">
        <f>IF(H208="","",IF(IFERROR(INDEX(Services!$H$5:$H$54,MATCH(H208,Services!$B$5:$B$54,0)),0)=0,ExtraPetFeeDefault,IFERROR(INDEX(Services!$H$5:$H$54,MATCH(H208,Services!$B$5:$B$54,0)),0)))</f>
        <v>0</v>
      </c>
      <c r="R208" s="30">
        <f>IF(H208="","",IF(IFERROR(INDEX(Services!$I$5:$I$54,MATCH(H208,Services!$B$5:$B$54,0)),0)=0,HolidaySurcharge,IFERROR(INDEX(Services!$I$5:$I$54,MATCH(H208,Services!$B$5:$B$54,0)),0)))</f>
        <v>0</v>
      </c>
      <c r="S208" s="30">
        <f>IF(H208="","",IF(IFERROR(INDEX(Services!$J$5:$J$54,MATCH(H208,Services!$B$5:$B$54,0)),0)=0,WeekendSurcharge,IFERROR(INDEX(Services!$J$5:$J$54,MATCH(H208,Services!$B$5:$B$54,0)),0)))</f>
        <v>0</v>
      </c>
      <c r="T208" s="50">
        <f>IF(H208="","",IFERROR(INDEX(Services!$K$5:$K$54,MATCH(H208,Services!$B$5:$B$54,0)),"No"))</f>
        <v>0</v>
      </c>
      <c r="U208" s="29">
        <f>IF(H208="","",ROUND(IF(O208="Per hour",P208*IF(M208="",IF(N208="",1,N208),M208),P208*IF(N208="",1,N208)),2))</f>
        <v>0</v>
      </c>
      <c r="V208" s="29">
        <f>IF(H208="","",ROUND(MAX(0,IF(G208="",1,G208)-1)*Q208,2))</f>
        <v>0</v>
      </c>
      <c r="W208" s="50">
        <f>IF(I208="","",IF(COUNTIF(HolidayDates,I208)&gt;0,"Yes","No"))</f>
        <v>0</v>
      </c>
      <c r="X208" s="50">
        <f>IF(I208="","",IF(WEEKDAY(I208,2)&gt;5,"Yes","No"))</f>
        <v>0</v>
      </c>
      <c r="Y208" s="29">
        <f>IF(H208="","",ROUND((U208+V208)*(IF(W208="Yes",R208,0)+IF(X208="Yes",S208,0)),2))</f>
        <v>0</v>
      </c>
      <c r="AA208" s="29">
        <f>IF(H208="","",IF(T208&lt;&gt;"Yes",0,ROUND(MAX(0,IF(Z208="",0,Z208)-FreeTravelDistance)*TravelFeeRate,2)))</f>
        <v>0</v>
      </c>
      <c r="AB208" s="31">
        <f>IF(I208="","",TravelTimeMins)</f>
        <v>0</v>
      </c>
      <c r="AC208" s="29">
        <f>IF(OR(I208="",B208=""),0,IF(I208-B208&lt;=LastMinuteDays,EmergencyFee,0))</f>
        <v>0</v>
      </c>
      <c r="AF208" s="29">
        <f>IF(H208="","",ROUND((U208+V208+Y208+AA208+AC208)*IF(AE208="",0,AE208),2))</f>
        <v>0</v>
      </c>
      <c r="AI208" s="29">
        <f>IF(H208="","",IF(AG208&lt;&gt;"",AG208,ROUND(U208+V208+Y208+AA208+AC208-AF208,2)))</f>
        <v>0</v>
      </c>
      <c r="AJ208" s="29">
        <f>IF(AI208="","",IF(TaxRegistered&lt;&gt;"Yes",0,IF(PricesIncludeTax="Yes",ROUND(AI208-AI208/(1+TaxRate),2),ROUND(AI208*TaxRate,2))))</f>
        <v>0</v>
      </c>
      <c r="AK208" s="29">
        <f>IF(AI208="","",IF(PricesIncludeTax="Yes",AI208,ROUND(AI208+AJ208,2)))</f>
        <v>0</v>
      </c>
      <c r="AQ208" s="21">
        <f>IF(OR(I208="",AP208="",AP208="None"),"",IF(AP208="Monthly",EDATE(I208,1),I208+IF(AP208="Daily",1,IF(AP208="Weekdays",IF(WEEKDAY(I208,2)&gt;=5,8-WEEKDAY(I208,2),1),IF(AP208="Weekly",7,IF(AP208="Fortnightly",14,0))))))</f>
        <v>0</v>
      </c>
      <c r="AR208" s="49">
        <f>IF(OR(I208="",AL208="",K208="",L208=""),"",IF(SUMPRODUCT((Bookings!$AL$5:$AL$404=AL208)*(Bookings!$I$5:$I$404=I208)*(Bookings!$K$5:$K$404&lt;L208)*(Bookings!$L$5:$L$404&gt;K208)*(Bookings!$AM$5:$AM$404&lt;&gt;"Cancelled"))&gt;1,"Conflict - double booked","OK"))</f>
        <v>0</v>
      </c>
      <c r="AS208" s="50">
        <f>IF(A208="","",IF(COUNTIF('Visit Log'!$B$5:$B$404,A208)&gt;0,"Yes","No"))</f>
        <v>0</v>
      </c>
      <c r="AT208" s="28">
        <f>IF(A208="","",IFERROR(INDEX(Invoices!$A$5:$A$304,MATCH(A208,Invoices!$E$5:$E$304,0)),""))</f>
        <v>0</v>
      </c>
      <c r="AU208" s="49">
        <f>IF(A208="","",IF(AT208="","Not invoiced",IFERROR(INDEX(Invoices!$U$5:$U$304,MATCH(AT208,Invoices!$A$5:$A$304,0)),"")))</f>
        <v>0</v>
      </c>
      <c r="AY208" s="28">
        <f>IF(I208="","",TEXT(I208,"yyyy-mm"))</f>
        <v>0</v>
      </c>
      <c r="AZ208" s="49">
        <f>IF(I208="","",IF(AM208="Cancelled","Cancelled",IF(AND(I208&lt;TODAY(),OR(AM208="Pending",AM208="Confirmed",AM208="Enquiry")),"Overdue - update status",IF(AND(AM208="Completed",AS208="No"),"Action - log the visit",IF(I208=TODAY(),"Today",IF(AND(I208&gt;TODAY(),I208-TODAY()&lt;=ReminderLeadDays,AN208&lt;&gt;"Yes"),"Action - unconfirmed",IF(AND(I208&gt;TODAY(),I208-TODAY()&lt;=ReminderLeadDays),"Upcoming","OK")))))))</f>
        <v>0</v>
      </c>
    </row>
    <row r="209" spans="1:52">
      <c r="A209" s="46">
        <f>IF(C209="","",BookingPrefix&amp;TEXT(ROW()-4,"0000"))</f>
        <v>0</v>
      </c>
      <c r="D209" s="28">
        <f>IF(C209="","",IFERROR(INDEX(Clients!$A$5:$A$254,MATCH(C209,Clients!$B$5:$B$254,0)),""))</f>
        <v>0</v>
      </c>
      <c r="J209" s="50">
        <f>IF(I209="","",TEXT(I209,"ddd"))</f>
        <v>0</v>
      </c>
      <c r="M209" s="51">
        <f>IF(OR(K209="",L209=""),"",ROUND((L209-K209+IF(L209&lt;K209,1,0))*24,2))</f>
        <v>0</v>
      </c>
      <c r="O209" s="28">
        <f>IF(H209="","",IFERROR(INDEX(Services!$E$5:$E$54,MATCH(H209,Services!$B$5:$B$54,0)),""))</f>
        <v>0</v>
      </c>
      <c r="P209" s="29">
        <f>IF(H209="","",IFERROR(INDEX(Services!$G$5:$G$54,MATCH(H209,Services!$B$5:$B$54,0)),0))</f>
        <v>0</v>
      </c>
      <c r="Q209" s="29">
        <f>IF(H209="","",IF(IFERROR(INDEX(Services!$H$5:$H$54,MATCH(H209,Services!$B$5:$B$54,0)),0)=0,ExtraPetFeeDefault,IFERROR(INDEX(Services!$H$5:$H$54,MATCH(H209,Services!$B$5:$B$54,0)),0)))</f>
        <v>0</v>
      </c>
      <c r="R209" s="30">
        <f>IF(H209="","",IF(IFERROR(INDEX(Services!$I$5:$I$54,MATCH(H209,Services!$B$5:$B$54,0)),0)=0,HolidaySurcharge,IFERROR(INDEX(Services!$I$5:$I$54,MATCH(H209,Services!$B$5:$B$54,0)),0)))</f>
        <v>0</v>
      </c>
      <c r="S209" s="30">
        <f>IF(H209="","",IF(IFERROR(INDEX(Services!$J$5:$J$54,MATCH(H209,Services!$B$5:$B$54,0)),0)=0,WeekendSurcharge,IFERROR(INDEX(Services!$J$5:$J$54,MATCH(H209,Services!$B$5:$B$54,0)),0)))</f>
        <v>0</v>
      </c>
      <c r="T209" s="50">
        <f>IF(H209="","",IFERROR(INDEX(Services!$K$5:$K$54,MATCH(H209,Services!$B$5:$B$54,0)),"No"))</f>
        <v>0</v>
      </c>
      <c r="U209" s="29">
        <f>IF(H209="","",ROUND(IF(O209="Per hour",P209*IF(M209="",IF(N209="",1,N209),M209),P209*IF(N209="",1,N209)),2))</f>
        <v>0</v>
      </c>
      <c r="V209" s="29">
        <f>IF(H209="","",ROUND(MAX(0,IF(G209="",1,G209)-1)*Q209,2))</f>
        <v>0</v>
      </c>
      <c r="W209" s="50">
        <f>IF(I209="","",IF(COUNTIF(HolidayDates,I209)&gt;0,"Yes","No"))</f>
        <v>0</v>
      </c>
      <c r="X209" s="50">
        <f>IF(I209="","",IF(WEEKDAY(I209,2)&gt;5,"Yes","No"))</f>
        <v>0</v>
      </c>
      <c r="Y209" s="29">
        <f>IF(H209="","",ROUND((U209+V209)*(IF(W209="Yes",R209,0)+IF(X209="Yes",S209,0)),2))</f>
        <v>0</v>
      </c>
      <c r="AA209" s="29">
        <f>IF(H209="","",IF(T209&lt;&gt;"Yes",0,ROUND(MAX(0,IF(Z209="",0,Z209)-FreeTravelDistance)*TravelFeeRate,2)))</f>
        <v>0</v>
      </c>
      <c r="AB209" s="31">
        <f>IF(I209="","",TravelTimeMins)</f>
        <v>0</v>
      </c>
      <c r="AC209" s="29">
        <f>IF(OR(I209="",B209=""),0,IF(I209-B209&lt;=LastMinuteDays,EmergencyFee,0))</f>
        <v>0</v>
      </c>
      <c r="AF209" s="29">
        <f>IF(H209="","",ROUND((U209+V209+Y209+AA209+AC209)*IF(AE209="",0,AE209),2))</f>
        <v>0</v>
      </c>
      <c r="AI209" s="29">
        <f>IF(H209="","",IF(AG209&lt;&gt;"",AG209,ROUND(U209+V209+Y209+AA209+AC209-AF209,2)))</f>
        <v>0</v>
      </c>
      <c r="AJ209" s="29">
        <f>IF(AI209="","",IF(TaxRegistered&lt;&gt;"Yes",0,IF(PricesIncludeTax="Yes",ROUND(AI209-AI209/(1+TaxRate),2),ROUND(AI209*TaxRate,2))))</f>
        <v>0</v>
      </c>
      <c r="AK209" s="29">
        <f>IF(AI209="","",IF(PricesIncludeTax="Yes",AI209,ROUND(AI209+AJ209,2)))</f>
        <v>0</v>
      </c>
      <c r="AQ209" s="21">
        <f>IF(OR(I209="",AP209="",AP209="None"),"",IF(AP209="Monthly",EDATE(I209,1),I209+IF(AP209="Daily",1,IF(AP209="Weekdays",IF(WEEKDAY(I209,2)&gt;=5,8-WEEKDAY(I209,2),1),IF(AP209="Weekly",7,IF(AP209="Fortnightly",14,0))))))</f>
        <v>0</v>
      </c>
      <c r="AR209" s="49">
        <f>IF(OR(I209="",AL209="",K209="",L209=""),"",IF(SUMPRODUCT((Bookings!$AL$5:$AL$404=AL209)*(Bookings!$I$5:$I$404=I209)*(Bookings!$K$5:$K$404&lt;L209)*(Bookings!$L$5:$L$404&gt;K209)*(Bookings!$AM$5:$AM$404&lt;&gt;"Cancelled"))&gt;1,"Conflict - double booked","OK"))</f>
        <v>0</v>
      </c>
      <c r="AS209" s="50">
        <f>IF(A209="","",IF(COUNTIF('Visit Log'!$B$5:$B$404,A209)&gt;0,"Yes","No"))</f>
        <v>0</v>
      </c>
      <c r="AT209" s="28">
        <f>IF(A209="","",IFERROR(INDEX(Invoices!$A$5:$A$304,MATCH(A209,Invoices!$E$5:$E$304,0)),""))</f>
        <v>0</v>
      </c>
      <c r="AU209" s="49">
        <f>IF(A209="","",IF(AT209="","Not invoiced",IFERROR(INDEX(Invoices!$U$5:$U$304,MATCH(AT209,Invoices!$A$5:$A$304,0)),"")))</f>
        <v>0</v>
      </c>
      <c r="AY209" s="28">
        <f>IF(I209="","",TEXT(I209,"yyyy-mm"))</f>
        <v>0</v>
      </c>
      <c r="AZ209" s="49">
        <f>IF(I209="","",IF(AM209="Cancelled","Cancelled",IF(AND(I209&lt;TODAY(),OR(AM209="Pending",AM209="Confirmed",AM209="Enquiry")),"Overdue - update status",IF(AND(AM209="Completed",AS209="No"),"Action - log the visit",IF(I209=TODAY(),"Today",IF(AND(I209&gt;TODAY(),I209-TODAY()&lt;=ReminderLeadDays,AN209&lt;&gt;"Yes"),"Action - unconfirmed",IF(AND(I209&gt;TODAY(),I209-TODAY()&lt;=ReminderLeadDays),"Upcoming","OK")))))))</f>
        <v>0</v>
      </c>
    </row>
    <row r="210" spans="1:52">
      <c r="A210" s="46">
        <f>IF(C210="","",BookingPrefix&amp;TEXT(ROW()-4,"0000"))</f>
        <v>0</v>
      </c>
      <c r="D210" s="28">
        <f>IF(C210="","",IFERROR(INDEX(Clients!$A$5:$A$254,MATCH(C210,Clients!$B$5:$B$254,0)),""))</f>
        <v>0</v>
      </c>
      <c r="J210" s="50">
        <f>IF(I210="","",TEXT(I210,"ddd"))</f>
        <v>0</v>
      </c>
      <c r="M210" s="51">
        <f>IF(OR(K210="",L210=""),"",ROUND((L210-K210+IF(L210&lt;K210,1,0))*24,2))</f>
        <v>0</v>
      </c>
      <c r="O210" s="28">
        <f>IF(H210="","",IFERROR(INDEX(Services!$E$5:$E$54,MATCH(H210,Services!$B$5:$B$54,0)),""))</f>
        <v>0</v>
      </c>
      <c r="P210" s="29">
        <f>IF(H210="","",IFERROR(INDEX(Services!$G$5:$G$54,MATCH(H210,Services!$B$5:$B$54,0)),0))</f>
        <v>0</v>
      </c>
      <c r="Q210" s="29">
        <f>IF(H210="","",IF(IFERROR(INDEX(Services!$H$5:$H$54,MATCH(H210,Services!$B$5:$B$54,0)),0)=0,ExtraPetFeeDefault,IFERROR(INDEX(Services!$H$5:$H$54,MATCH(H210,Services!$B$5:$B$54,0)),0)))</f>
        <v>0</v>
      </c>
      <c r="R210" s="30">
        <f>IF(H210="","",IF(IFERROR(INDEX(Services!$I$5:$I$54,MATCH(H210,Services!$B$5:$B$54,0)),0)=0,HolidaySurcharge,IFERROR(INDEX(Services!$I$5:$I$54,MATCH(H210,Services!$B$5:$B$54,0)),0)))</f>
        <v>0</v>
      </c>
      <c r="S210" s="30">
        <f>IF(H210="","",IF(IFERROR(INDEX(Services!$J$5:$J$54,MATCH(H210,Services!$B$5:$B$54,0)),0)=0,WeekendSurcharge,IFERROR(INDEX(Services!$J$5:$J$54,MATCH(H210,Services!$B$5:$B$54,0)),0)))</f>
        <v>0</v>
      </c>
      <c r="T210" s="50">
        <f>IF(H210="","",IFERROR(INDEX(Services!$K$5:$K$54,MATCH(H210,Services!$B$5:$B$54,0)),"No"))</f>
        <v>0</v>
      </c>
      <c r="U210" s="29">
        <f>IF(H210="","",ROUND(IF(O210="Per hour",P210*IF(M210="",IF(N210="",1,N210),M210),P210*IF(N210="",1,N210)),2))</f>
        <v>0</v>
      </c>
      <c r="V210" s="29">
        <f>IF(H210="","",ROUND(MAX(0,IF(G210="",1,G210)-1)*Q210,2))</f>
        <v>0</v>
      </c>
      <c r="W210" s="50">
        <f>IF(I210="","",IF(COUNTIF(HolidayDates,I210)&gt;0,"Yes","No"))</f>
        <v>0</v>
      </c>
      <c r="X210" s="50">
        <f>IF(I210="","",IF(WEEKDAY(I210,2)&gt;5,"Yes","No"))</f>
        <v>0</v>
      </c>
      <c r="Y210" s="29">
        <f>IF(H210="","",ROUND((U210+V210)*(IF(W210="Yes",R210,0)+IF(X210="Yes",S210,0)),2))</f>
        <v>0</v>
      </c>
      <c r="AA210" s="29">
        <f>IF(H210="","",IF(T210&lt;&gt;"Yes",0,ROUND(MAX(0,IF(Z210="",0,Z210)-FreeTravelDistance)*TravelFeeRate,2)))</f>
        <v>0</v>
      </c>
      <c r="AB210" s="31">
        <f>IF(I210="","",TravelTimeMins)</f>
        <v>0</v>
      </c>
      <c r="AC210" s="29">
        <f>IF(OR(I210="",B210=""),0,IF(I210-B210&lt;=LastMinuteDays,EmergencyFee,0))</f>
        <v>0</v>
      </c>
      <c r="AF210" s="29">
        <f>IF(H210="","",ROUND((U210+V210+Y210+AA210+AC210)*IF(AE210="",0,AE210),2))</f>
        <v>0</v>
      </c>
      <c r="AI210" s="29">
        <f>IF(H210="","",IF(AG210&lt;&gt;"",AG210,ROUND(U210+V210+Y210+AA210+AC210-AF210,2)))</f>
        <v>0</v>
      </c>
      <c r="AJ210" s="29">
        <f>IF(AI210="","",IF(TaxRegistered&lt;&gt;"Yes",0,IF(PricesIncludeTax="Yes",ROUND(AI210-AI210/(1+TaxRate),2),ROUND(AI210*TaxRate,2))))</f>
        <v>0</v>
      </c>
      <c r="AK210" s="29">
        <f>IF(AI210="","",IF(PricesIncludeTax="Yes",AI210,ROUND(AI210+AJ210,2)))</f>
        <v>0</v>
      </c>
      <c r="AQ210" s="21">
        <f>IF(OR(I210="",AP210="",AP210="None"),"",IF(AP210="Monthly",EDATE(I210,1),I210+IF(AP210="Daily",1,IF(AP210="Weekdays",IF(WEEKDAY(I210,2)&gt;=5,8-WEEKDAY(I210,2),1),IF(AP210="Weekly",7,IF(AP210="Fortnightly",14,0))))))</f>
        <v>0</v>
      </c>
      <c r="AR210" s="49">
        <f>IF(OR(I210="",AL210="",K210="",L210=""),"",IF(SUMPRODUCT((Bookings!$AL$5:$AL$404=AL210)*(Bookings!$I$5:$I$404=I210)*(Bookings!$K$5:$K$404&lt;L210)*(Bookings!$L$5:$L$404&gt;K210)*(Bookings!$AM$5:$AM$404&lt;&gt;"Cancelled"))&gt;1,"Conflict - double booked","OK"))</f>
        <v>0</v>
      </c>
      <c r="AS210" s="50">
        <f>IF(A210="","",IF(COUNTIF('Visit Log'!$B$5:$B$404,A210)&gt;0,"Yes","No"))</f>
        <v>0</v>
      </c>
      <c r="AT210" s="28">
        <f>IF(A210="","",IFERROR(INDEX(Invoices!$A$5:$A$304,MATCH(A210,Invoices!$E$5:$E$304,0)),""))</f>
        <v>0</v>
      </c>
      <c r="AU210" s="49">
        <f>IF(A210="","",IF(AT210="","Not invoiced",IFERROR(INDEX(Invoices!$U$5:$U$304,MATCH(AT210,Invoices!$A$5:$A$304,0)),"")))</f>
        <v>0</v>
      </c>
      <c r="AY210" s="28">
        <f>IF(I210="","",TEXT(I210,"yyyy-mm"))</f>
        <v>0</v>
      </c>
      <c r="AZ210" s="49">
        <f>IF(I210="","",IF(AM210="Cancelled","Cancelled",IF(AND(I210&lt;TODAY(),OR(AM210="Pending",AM210="Confirmed",AM210="Enquiry")),"Overdue - update status",IF(AND(AM210="Completed",AS210="No"),"Action - log the visit",IF(I210=TODAY(),"Today",IF(AND(I210&gt;TODAY(),I210-TODAY()&lt;=ReminderLeadDays,AN210&lt;&gt;"Yes"),"Action - unconfirmed",IF(AND(I210&gt;TODAY(),I210-TODAY()&lt;=ReminderLeadDays),"Upcoming","OK")))))))</f>
        <v>0</v>
      </c>
    </row>
    <row r="211" spans="1:52">
      <c r="A211" s="46">
        <f>IF(C211="","",BookingPrefix&amp;TEXT(ROW()-4,"0000"))</f>
        <v>0</v>
      </c>
      <c r="D211" s="28">
        <f>IF(C211="","",IFERROR(INDEX(Clients!$A$5:$A$254,MATCH(C211,Clients!$B$5:$B$254,0)),""))</f>
        <v>0</v>
      </c>
      <c r="J211" s="50">
        <f>IF(I211="","",TEXT(I211,"ddd"))</f>
        <v>0</v>
      </c>
      <c r="M211" s="51">
        <f>IF(OR(K211="",L211=""),"",ROUND((L211-K211+IF(L211&lt;K211,1,0))*24,2))</f>
        <v>0</v>
      </c>
      <c r="O211" s="28">
        <f>IF(H211="","",IFERROR(INDEX(Services!$E$5:$E$54,MATCH(H211,Services!$B$5:$B$54,0)),""))</f>
        <v>0</v>
      </c>
      <c r="P211" s="29">
        <f>IF(H211="","",IFERROR(INDEX(Services!$G$5:$G$54,MATCH(H211,Services!$B$5:$B$54,0)),0))</f>
        <v>0</v>
      </c>
      <c r="Q211" s="29">
        <f>IF(H211="","",IF(IFERROR(INDEX(Services!$H$5:$H$54,MATCH(H211,Services!$B$5:$B$54,0)),0)=0,ExtraPetFeeDefault,IFERROR(INDEX(Services!$H$5:$H$54,MATCH(H211,Services!$B$5:$B$54,0)),0)))</f>
        <v>0</v>
      </c>
      <c r="R211" s="30">
        <f>IF(H211="","",IF(IFERROR(INDEX(Services!$I$5:$I$54,MATCH(H211,Services!$B$5:$B$54,0)),0)=0,HolidaySurcharge,IFERROR(INDEX(Services!$I$5:$I$54,MATCH(H211,Services!$B$5:$B$54,0)),0)))</f>
        <v>0</v>
      </c>
      <c r="S211" s="30">
        <f>IF(H211="","",IF(IFERROR(INDEX(Services!$J$5:$J$54,MATCH(H211,Services!$B$5:$B$54,0)),0)=0,WeekendSurcharge,IFERROR(INDEX(Services!$J$5:$J$54,MATCH(H211,Services!$B$5:$B$54,0)),0)))</f>
        <v>0</v>
      </c>
      <c r="T211" s="50">
        <f>IF(H211="","",IFERROR(INDEX(Services!$K$5:$K$54,MATCH(H211,Services!$B$5:$B$54,0)),"No"))</f>
        <v>0</v>
      </c>
      <c r="U211" s="29">
        <f>IF(H211="","",ROUND(IF(O211="Per hour",P211*IF(M211="",IF(N211="",1,N211),M211),P211*IF(N211="",1,N211)),2))</f>
        <v>0</v>
      </c>
      <c r="V211" s="29">
        <f>IF(H211="","",ROUND(MAX(0,IF(G211="",1,G211)-1)*Q211,2))</f>
        <v>0</v>
      </c>
      <c r="W211" s="50">
        <f>IF(I211="","",IF(COUNTIF(HolidayDates,I211)&gt;0,"Yes","No"))</f>
        <v>0</v>
      </c>
      <c r="X211" s="50">
        <f>IF(I211="","",IF(WEEKDAY(I211,2)&gt;5,"Yes","No"))</f>
        <v>0</v>
      </c>
      <c r="Y211" s="29">
        <f>IF(H211="","",ROUND((U211+V211)*(IF(W211="Yes",R211,0)+IF(X211="Yes",S211,0)),2))</f>
        <v>0</v>
      </c>
      <c r="AA211" s="29">
        <f>IF(H211="","",IF(T211&lt;&gt;"Yes",0,ROUND(MAX(0,IF(Z211="",0,Z211)-FreeTravelDistance)*TravelFeeRate,2)))</f>
        <v>0</v>
      </c>
      <c r="AB211" s="31">
        <f>IF(I211="","",TravelTimeMins)</f>
        <v>0</v>
      </c>
      <c r="AC211" s="29">
        <f>IF(OR(I211="",B211=""),0,IF(I211-B211&lt;=LastMinuteDays,EmergencyFee,0))</f>
        <v>0</v>
      </c>
      <c r="AF211" s="29">
        <f>IF(H211="","",ROUND((U211+V211+Y211+AA211+AC211)*IF(AE211="",0,AE211),2))</f>
        <v>0</v>
      </c>
      <c r="AI211" s="29">
        <f>IF(H211="","",IF(AG211&lt;&gt;"",AG211,ROUND(U211+V211+Y211+AA211+AC211-AF211,2)))</f>
        <v>0</v>
      </c>
      <c r="AJ211" s="29">
        <f>IF(AI211="","",IF(TaxRegistered&lt;&gt;"Yes",0,IF(PricesIncludeTax="Yes",ROUND(AI211-AI211/(1+TaxRate),2),ROUND(AI211*TaxRate,2))))</f>
        <v>0</v>
      </c>
      <c r="AK211" s="29">
        <f>IF(AI211="","",IF(PricesIncludeTax="Yes",AI211,ROUND(AI211+AJ211,2)))</f>
        <v>0</v>
      </c>
      <c r="AQ211" s="21">
        <f>IF(OR(I211="",AP211="",AP211="None"),"",IF(AP211="Monthly",EDATE(I211,1),I211+IF(AP211="Daily",1,IF(AP211="Weekdays",IF(WEEKDAY(I211,2)&gt;=5,8-WEEKDAY(I211,2),1),IF(AP211="Weekly",7,IF(AP211="Fortnightly",14,0))))))</f>
        <v>0</v>
      </c>
      <c r="AR211" s="49">
        <f>IF(OR(I211="",AL211="",K211="",L211=""),"",IF(SUMPRODUCT((Bookings!$AL$5:$AL$404=AL211)*(Bookings!$I$5:$I$404=I211)*(Bookings!$K$5:$K$404&lt;L211)*(Bookings!$L$5:$L$404&gt;K211)*(Bookings!$AM$5:$AM$404&lt;&gt;"Cancelled"))&gt;1,"Conflict - double booked","OK"))</f>
        <v>0</v>
      </c>
      <c r="AS211" s="50">
        <f>IF(A211="","",IF(COUNTIF('Visit Log'!$B$5:$B$404,A211)&gt;0,"Yes","No"))</f>
        <v>0</v>
      </c>
      <c r="AT211" s="28">
        <f>IF(A211="","",IFERROR(INDEX(Invoices!$A$5:$A$304,MATCH(A211,Invoices!$E$5:$E$304,0)),""))</f>
        <v>0</v>
      </c>
      <c r="AU211" s="49">
        <f>IF(A211="","",IF(AT211="","Not invoiced",IFERROR(INDEX(Invoices!$U$5:$U$304,MATCH(AT211,Invoices!$A$5:$A$304,0)),"")))</f>
        <v>0</v>
      </c>
      <c r="AY211" s="28">
        <f>IF(I211="","",TEXT(I211,"yyyy-mm"))</f>
        <v>0</v>
      </c>
      <c r="AZ211" s="49">
        <f>IF(I211="","",IF(AM211="Cancelled","Cancelled",IF(AND(I211&lt;TODAY(),OR(AM211="Pending",AM211="Confirmed",AM211="Enquiry")),"Overdue - update status",IF(AND(AM211="Completed",AS211="No"),"Action - log the visit",IF(I211=TODAY(),"Today",IF(AND(I211&gt;TODAY(),I211-TODAY()&lt;=ReminderLeadDays,AN211&lt;&gt;"Yes"),"Action - unconfirmed",IF(AND(I211&gt;TODAY(),I211-TODAY()&lt;=ReminderLeadDays),"Upcoming","OK")))))))</f>
        <v>0</v>
      </c>
    </row>
    <row r="212" spans="1:52">
      <c r="A212" s="46">
        <f>IF(C212="","",BookingPrefix&amp;TEXT(ROW()-4,"0000"))</f>
        <v>0</v>
      </c>
      <c r="D212" s="28">
        <f>IF(C212="","",IFERROR(INDEX(Clients!$A$5:$A$254,MATCH(C212,Clients!$B$5:$B$254,0)),""))</f>
        <v>0</v>
      </c>
      <c r="J212" s="50">
        <f>IF(I212="","",TEXT(I212,"ddd"))</f>
        <v>0</v>
      </c>
      <c r="M212" s="51">
        <f>IF(OR(K212="",L212=""),"",ROUND((L212-K212+IF(L212&lt;K212,1,0))*24,2))</f>
        <v>0</v>
      </c>
      <c r="O212" s="28">
        <f>IF(H212="","",IFERROR(INDEX(Services!$E$5:$E$54,MATCH(H212,Services!$B$5:$B$54,0)),""))</f>
        <v>0</v>
      </c>
      <c r="P212" s="29">
        <f>IF(H212="","",IFERROR(INDEX(Services!$G$5:$G$54,MATCH(H212,Services!$B$5:$B$54,0)),0))</f>
        <v>0</v>
      </c>
      <c r="Q212" s="29">
        <f>IF(H212="","",IF(IFERROR(INDEX(Services!$H$5:$H$54,MATCH(H212,Services!$B$5:$B$54,0)),0)=0,ExtraPetFeeDefault,IFERROR(INDEX(Services!$H$5:$H$54,MATCH(H212,Services!$B$5:$B$54,0)),0)))</f>
        <v>0</v>
      </c>
      <c r="R212" s="30">
        <f>IF(H212="","",IF(IFERROR(INDEX(Services!$I$5:$I$54,MATCH(H212,Services!$B$5:$B$54,0)),0)=0,HolidaySurcharge,IFERROR(INDEX(Services!$I$5:$I$54,MATCH(H212,Services!$B$5:$B$54,0)),0)))</f>
        <v>0</v>
      </c>
      <c r="S212" s="30">
        <f>IF(H212="","",IF(IFERROR(INDEX(Services!$J$5:$J$54,MATCH(H212,Services!$B$5:$B$54,0)),0)=0,WeekendSurcharge,IFERROR(INDEX(Services!$J$5:$J$54,MATCH(H212,Services!$B$5:$B$54,0)),0)))</f>
        <v>0</v>
      </c>
      <c r="T212" s="50">
        <f>IF(H212="","",IFERROR(INDEX(Services!$K$5:$K$54,MATCH(H212,Services!$B$5:$B$54,0)),"No"))</f>
        <v>0</v>
      </c>
      <c r="U212" s="29">
        <f>IF(H212="","",ROUND(IF(O212="Per hour",P212*IF(M212="",IF(N212="",1,N212),M212),P212*IF(N212="",1,N212)),2))</f>
        <v>0</v>
      </c>
      <c r="V212" s="29">
        <f>IF(H212="","",ROUND(MAX(0,IF(G212="",1,G212)-1)*Q212,2))</f>
        <v>0</v>
      </c>
      <c r="W212" s="50">
        <f>IF(I212="","",IF(COUNTIF(HolidayDates,I212)&gt;0,"Yes","No"))</f>
        <v>0</v>
      </c>
      <c r="X212" s="50">
        <f>IF(I212="","",IF(WEEKDAY(I212,2)&gt;5,"Yes","No"))</f>
        <v>0</v>
      </c>
      <c r="Y212" s="29">
        <f>IF(H212="","",ROUND((U212+V212)*(IF(W212="Yes",R212,0)+IF(X212="Yes",S212,0)),2))</f>
        <v>0</v>
      </c>
      <c r="AA212" s="29">
        <f>IF(H212="","",IF(T212&lt;&gt;"Yes",0,ROUND(MAX(0,IF(Z212="",0,Z212)-FreeTravelDistance)*TravelFeeRate,2)))</f>
        <v>0</v>
      </c>
      <c r="AB212" s="31">
        <f>IF(I212="","",TravelTimeMins)</f>
        <v>0</v>
      </c>
      <c r="AC212" s="29">
        <f>IF(OR(I212="",B212=""),0,IF(I212-B212&lt;=LastMinuteDays,EmergencyFee,0))</f>
        <v>0</v>
      </c>
      <c r="AF212" s="29">
        <f>IF(H212="","",ROUND((U212+V212+Y212+AA212+AC212)*IF(AE212="",0,AE212),2))</f>
        <v>0</v>
      </c>
      <c r="AI212" s="29">
        <f>IF(H212="","",IF(AG212&lt;&gt;"",AG212,ROUND(U212+V212+Y212+AA212+AC212-AF212,2)))</f>
        <v>0</v>
      </c>
      <c r="AJ212" s="29">
        <f>IF(AI212="","",IF(TaxRegistered&lt;&gt;"Yes",0,IF(PricesIncludeTax="Yes",ROUND(AI212-AI212/(1+TaxRate),2),ROUND(AI212*TaxRate,2))))</f>
        <v>0</v>
      </c>
      <c r="AK212" s="29">
        <f>IF(AI212="","",IF(PricesIncludeTax="Yes",AI212,ROUND(AI212+AJ212,2)))</f>
        <v>0</v>
      </c>
      <c r="AQ212" s="21">
        <f>IF(OR(I212="",AP212="",AP212="None"),"",IF(AP212="Monthly",EDATE(I212,1),I212+IF(AP212="Daily",1,IF(AP212="Weekdays",IF(WEEKDAY(I212,2)&gt;=5,8-WEEKDAY(I212,2),1),IF(AP212="Weekly",7,IF(AP212="Fortnightly",14,0))))))</f>
        <v>0</v>
      </c>
      <c r="AR212" s="49">
        <f>IF(OR(I212="",AL212="",K212="",L212=""),"",IF(SUMPRODUCT((Bookings!$AL$5:$AL$404=AL212)*(Bookings!$I$5:$I$404=I212)*(Bookings!$K$5:$K$404&lt;L212)*(Bookings!$L$5:$L$404&gt;K212)*(Bookings!$AM$5:$AM$404&lt;&gt;"Cancelled"))&gt;1,"Conflict - double booked","OK"))</f>
        <v>0</v>
      </c>
      <c r="AS212" s="50">
        <f>IF(A212="","",IF(COUNTIF('Visit Log'!$B$5:$B$404,A212)&gt;0,"Yes","No"))</f>
        <v>0</v>
      </c>
      <c r="AT212" s="28">
        <f>IF(A212="","",IFERROR(INDEX(Invoices!$A$5:$A$304,MATCH(A212,Invoices!$E$5:$E$304,0)),""))</f>
        <v>0</v>
      </c>
      <c r="AU212" s="49">
        <f>IF(A212="","",IF(AT212="","Not invoiced",IFERROR(INDEX(Invoices!$U$5:$U$304,MATCH(AT212,Invoices!$A$5:$A$304,0)),"")))</f>
        <v>0</v>
      </c>
      <c r="AY212" s="28">
        <f>IF(I212="","",TEXT(I212,"yyyy-mm"))</f>
        <v>0</v>
      </c>
      <c r="AZ212" s="49">
        <f>IF(I212="","",IF(AM212="Cancelled","Cancelled",IF(AND(I212&lt;TODAY(),OR(AM212="Pending",AM212="Confirmed",AM212="Enquiry")),"Overdue - update status",IF(AND(AM212="Completed",AS212="No"),"Action - log the visit",IF(I212=TODAY(),"Today",IF(AND(I212&gt;TODAY(),I212-TODAY()&lt;=ReminderLeadDays,AN212&lt;&gt;"Yes"),"Action - unconfirmed",IF(AND(I212&gt;TODAY(),I212-TODAY()&lt;=ReminderLeadDays),"Upcoming","OK")))))))</f>
        <v>0</v>
      </c>
    </row>
    <row r="213" spans="1:52">
      <c r="A213" s="46">
        <f>IF(C213="","",BookingPrefix&amp;TEXT(ROW()-4,"0000"))</f>
        <v>0</v>
      </c>
      <c r="D213" s="28">
        <f>IF(C213="","",IFERROR(INDEX(Clients!$A$5:$A$254,MATCH(C213,Clients!$B$5:$B$254,0)),""))</f>
        <v>0</v>
      </c>
      <c r="J213" s="50">
        <f>IF(I213="","",TEXT(I213,"ddd"))</f>
        <v>0</v>
      </c>
      <c r="M213" s="51">
        <f>IF(OR(K213="",L213=""),"",ROUND((L213-K213+IF(L213&lt;K213,1,0))*24,2))</f>
        <v>0</v>
      </c>
      <c r="O213" s="28">
        <f>IF(H213="","",IFERROR(INDEX(Services!$E$5:$E$54,MATCH(H213,Services!$B$5:$B$54,0)),""))</f>
        <v>0</v>
      </c>
      <c r="P213" s="29">
        <f>IF(H213="","",IFERROR(INDEX(Services!$G$5:$G$54,MATCH(H213,Services!$B$5:$B$54,0)),0))</f>
        <v>0</v>
      </c>
      <c r="Q213" s="29">
        <f>IF(H213="","",IF(IFERROR(INDEX(Services!$H$5:$H$54,MATCH(H213,Services!$B$5:$B$54,0)),0)=0,ExtraPetFeeDefault,IFERROR(INDEX(Services!$H$5:$H$54,MATCH(H213,Services!$B$5:$B$54,0)),0)))</f>
        <v>0</v>
      </c>
      <c r="R213" s="30">
        <f>IF(H213="","",IF(IFERROR(INDEX(Services!$I$5:$I$54,MATCH(H213,Services!$B$5:$B$54,0)),0)=0,HolidaySurcharge,IFERROR(INDEX(Services!$I$5:$I$54,MATCH(H213,Services!$B$5:$B$54,0)),0)))</f>
        <v>0</v>
      </c>
      <c r="S213" s="30">
        <f>IF(H213="","",IF(IFERROR(INDEX(Services!$J$5:$J$54,MATCH(H213,Services!$B$5:$B$54,0)),0)=0,WeekendSurcharge,IFERROR(INDEX(Services!$J$5:$J$54,MATCH(H213,Services!$B$5:$B$54,0)),0)))</f>
        <v>0</v>
      </c>
      <c r="T213" s="50">
        <f>IF(H213="","",IFERROR(INDEX(Services!$K$5:$K$54,MATCH(H213,Services!$B$5:$B$54,0)),"No"))</f>
        <v>0</v>
      </c>
      <c r="U213" s="29">
        <f>IF(H213="","",ROUND(IF(O213="Per hour",P213*IF(M213="",IF(N213="",1,N213),M213),P213*IF(N213="",1,N213)),2))</f>
        <v>0</v>
      </c>
      <c r="V213" s="29">
        <f>IF(H213="","",ROUND(MAX(0,IF(G213="",1,G213)-1)*Q213,2))</f>
        <v>0</v>
      </c>
      <c r="W213" s="50">
        <f>IF(I213="","",IF(COUNTIF(HolidayDates,I213)&gt;0,"Yes","No"))</f>
        <v>0</v>
      </c>
      <c r="X213" s="50">
        <f>IF(I213="","",IF(WEEKDAY(I213,2)&gt;5,"Yes","No"))</f>
        <v>0</v>
      </c>
      <c r="Y213" s="29">
        <f>IF(H213="","",ROUND((U213+V213)*(IF(W213="Yes",R213,0)+IF(X213="Yes",S213,0)),2))</f>
        <v>0</v>
      </c>
      <c r="AA213" s="29">
        <f>IF(H213="","",IF(T213&lt;&gt;"Yes",0,ROUND(MAX(0,IF(Z213="",0,Z213)-FreeTravelDistance)*TravelFeeRate,2)))</f>
        <v>0</v>
      </c>
      <c r="AB213" s="31">
        <f>IF(I213="","",TravelTimeMins)</f>
        <v>0</v>
      </c>
      <c r="AC213" s="29">
        <f>IF(OR(I213="",B213=""),0,IF(I213-B213&lt;=LastMinuteDays,EmergencyFee,0))</f>
        <v>0</v>
      </c>
      <c r="AF213" s="29">
        <f>IF(H213="","",ROUND((U213+V213+Y213+AA213+AC213)*IF(AE213="",0,AE213),2))</f>
        <v>0</v>
      </c>
      <c r="AI213" s="29">
        <f>IF(H213="","",IF(AG213&lt;&gt;"",AG213,ROUND(U213+V213+Y213+AA213+AC213-AF213,2)))</f>
        <v>0</v>
      </c>
      <c r="AJ213" s="29">
        <f>IF(AI213="","",IF(TaxRegistered&lt;&gt;"Yes",0,IF(PricesIncludeTax="Yes",ROUND(AI213-AI213/(1+TaxRate),2),ROUND(AI213*TaxRate,2))))</f>
        <v>0</v>
      </c>
      <c r="AK213" s="29">
        <f>IF(AI213="","",IF(PricesIncludeTax="Yes",AI213,ROUND(AI213+AJ213,2)))</f>
        <v>0</v>
      </c>
      <c r="AQ213" s="21">
        <f>IF(OR(I213="",AP213="",AP213="None"),"",IF(AP213="Monthly",EDATE(I213,1),I213+IF(AP213="Daily",1,IF(AP213="Weekdays",IF(WEEKDAY(I213,2)&gt;=5,8-WEEKDAY(I213,2),1),IF(AP213="Weekly",7,IF(AP213="Fortnightly",14,0))))))</f>
        <v>0</v>
      </c>
      <c r="AR213" s="49">
        <f>IF(OR(I213="",AL213="",K213="",L213=""),"",IF(SUMPRODUCT((Bookings!$AL$5:$AL$404=AL213)*(Bookings!$I$5:$I$404=I213)*(Bookings!$K$5:$K$404&lt;L213)*(Bookings!$L$5:$L$404&gt;K213)*(Bookings!$AM$5:$AM$404&lt;&gt;"Cancelled"))&gt;1,"Conflict - double booked","OK"))</f>
        <v>0</v>
      </c>
      <c r="AS213" s="50">
        <f>IF(A213="","",IF(COUNTIF('Visit Log'!$B$5:$B$404,A213)&gt;0,"Yes","No"))</f>
        <v>0</v>
      </c>
      <c r="AT213" s="28">
        <f>IF(A213="","",IFERROR(INDEX(Invoices!$A$5:$A$304,MATCH(A213,Invoices!$E$5:$E$304,0)),""))</f>
        <v>0</v>
      </c>
      <c r="AU213" s="49">
        <f>IF(A213="","",IF(AT213="","Not invoiced",IFERROR(INDEX(Invoices!$U$5:$U$304,MATCH(AT213,Invoices!$A$5:$A$304,0)),"")))</f>
        <v>0</v>
      </c>
      <c r="AY213" s="28">
        <f>IF(I213="","",TEXT(I213,"yyyy-mm"))</f>
        <v>0</v>
      </c>
      <c r="AZ213" s="49">
        <f>IF(I213="","",IF(AM213="Cancelled","Cancelled",IF(AND(I213&lt;TODAY(),OR(AM213="Pending",AM213="Confirmed",AM213="Enquiry")),"Overdue - update status",IF(AND(AM213="Completed",AS213="No"),"Action - log the visit",IF(I213=TODAY(),"Today",IF(AND(I213&gt;TODAY(),I213-TODAY()&lt;=ReminderLeadDays,AN213&lt;&gt;"Yes"),"Action - unconfirmed",IF(AND(I213&gt;TODAY(),I213-TODAY()&lt;=ReminderLeadDays),"Upcoming","OK")))))))</f>
        <v>0</v>
      </c>
    </row>
    <row r="214" spans="1:52">
      <c r="A214" s="46">
        <f>IF(C214="","",BookingPrefix&amp;TEXT(ROW()-4,"0000"))</f>
        <v>0</v>
      </c>
      <c r="D214" s="28">
        <f>IF(C214="","",IFERROR(INDEX(Clients!$A$5:$A$254,MATCH(C214,Clients!$B$5:$B$254,0)),""))</f>
        <v>0</v>
      </c>
      <c r="J214" s="50">
        <f>IF(I214="","",TEXT(I214,"ddd"))</f>
        <v>0</v>
      </c>
      <c r="M214" s="51">
        <f>IF(OR(K214="",L214=""),"",ROUND((L214-K214+IF(L214&lt;K214,1,0))*24,2))</f>
        <v>0</v>
      </c>
      <c r="O214" s="28">
        <f>IF(H214="","",IFERROR(INDEX(Services!$E$5:$E$54,MATCH(H214,Services!$B$5:$B$54,0)),""))</f>
        <v>0</v>
      </c>
      <c r="P214" s="29">
        <f>IF(H214="","",IFERROR(INDEX(Services!$G$5:$G$54,MATCH(H214,Services!$B$5:$B$54,0)),0))</f>
        <v>0</v>
      </c>
      <c r="Q214" s="29">
        <f>IF(H214="","",IF(IFERROR(INDEX(Services!$H$5:$H$54,MATCH(H214,Services!$B$5:$B$54,0)),0)=0,ExtraPetFeeDefault,IFERROR(INDEX(Services!$H$5:$H$54,MATCH(H214,Services!$B$5:$B$54,0)),0)))</f>
        <v>0</v>
      </c>
      <c r="R214" s="30">
        <f>IF(H214="","",IF(IFERROR(INDEX(Services!$I$5:$I$54,MATCH(H214,Services!$B$5:$B$54,0)),0)=0,HolidaySurcharge,IFERROR(INDEX(Services!$I$5:$I$54,MATCH(H214,Services!$B$5:$B$54,0)),0)))</f>
        <v>0</v>
      </c>
      <c r="S214" s="30">
        <f>IF(H214="","",IF(IFERROR(INDEX(Services!$J$5:$J$54,MATCH(H214,Services!$B$5:$B$54,0)),0)=0,WeekendSurcharge,IFERROR(INDEX(Services!$J$5:$J$54,MATCH(H214,Services!$B$5:$B$54,0)),0)))</f>
        <v>0</v>
      </c>
      <c r="T214" s="50">
        <f>IF(H214="","",IFERROR(INDEX(Services!$K$5:$K$54,MATCH(H214,Services!$B$5:$B$54,0)),"No"))</f>
        <v>0</v>
      </c>
      <c r="U214" s="29">
        <f>IF(H214="","",ROUND(IF(O214="Per hour",P214*IF(M214="",IF(N214="",1,N214),M214),P214*IF(N214="",1,N214)),2))</f>
        <v>0</v>
      </c>
      <c r="V214" s="29">
        <f>IF(H214="","",ROUND(MAX(0,IF(G214="",1,G214)-1)*Q214,2))</f>
        <v>0</v>
      </c>
      <c r="W214" s="50">
        <f>IF(I214="","",IF(COUNTIF(HolidayDates,I214)&gt;0,"Yes","No"))</f>
        <v>0</v>
      </c>
      <c r="X214" s="50">
        <f>IF(I214="","",IF(WEEKDAY(I214,2)&gt;5,"Yes","No"))</f>
        <v>0</v>
      </c>
      <c r="Y214" s="29">
        <f>IF(H214="","",ROUND((U214+V214)*(IF(W214="Yes",R214,0)+IF(X214="Yes",S214,0)),2))</f>
        <v>0</v>
      </c>
      <c r="AA214" s="29">
        <f>IF(H214="","",IF(T214&lt;&gt;"Yes",0,ROUND(MAX(0,IF(Z214="",0,Z214)-FreeTravelDistance)*TravelFeeRate,2)))</f>
        <v>0</v>
      </c>
      <c r="AB214" s="31">
        <f>IF(I214="","",TravelTimeMins)</f>
        <v>0</v>
      </c>
      <c r="AC214" s="29">
        <f>IF(OR(I214="",B214=""),0,IF(I214-B214&lt;=LastMinuteDays,EmergencyFee,0))</f>
        <v>0</v>
      </c>
      <c r="AF214" s="29">
        <f>IF(H214="","",ROUND((U214+V214+Y214+AA214+AC214)*IF(AE214="",0,AE214),2))</f>
        <v>0</v>
      </c>
      <c r="AI214" s="29">
        <f>IF(H214="","",IF(AG214&lt;&gt;"",AG214,ROUND(U214+V214+Y214+AA214+AC214-AF214,2)))</f>
        <v>0</v>
      </c>
      <c r="AJ214" s="29">
        <f>IF(AI214="","",IF(TaxRegistered&lt;&gt;"Yes",0,IF(PricesIncludeTax="Yes",ROUND(AI214-AI214/(1+TaxRate),2),ROUND(AI214*TaxRate,2))))</f>
        <v>0</v>
      </c>
      <c r="AK214" s="29">
        <f>IF(AI214="","",IF(PricesIncludeTax="Yes",AI214,ROUND(AI214+AJ214,2)))</f>
        <v>0</v>
      </c>
      <c r="AQ214" s="21">
        <f>IF(OR(I214="",AP214="",AP214="None"),"",IF(AP214="Monthly",EDATE(I214,1),I214+IF(AP214="Daily",1,IF(AP214="Weekdays",IF(WEEKDAY(I214,2)&gt;=5,8-WEEKDAY(I214,2),1),IF(AP214="Weekly",7,IF(AP214="Fortnightly",14,0))))))</f>
        <v>0</v>
      </c>
      <c r="AR214" s="49">
        <f>IF(OR(I214="",AL214="",K214="",L214=""),"",IF(SUMPRODUCT((Bookings!$AL$5:$AL$404=AL214)*(Bookings!$I$5:$I$404=I214)*(Bookings!$K$5:$K$404&lt;L214)*(Bookings!$L$5:$L$404&gt;K214)*(Bookings!$AM$5:$AM$404&lt;&gt;"Cancelled"))&gt;1,"Conflict - double booked","OK"))</f>
        <v>0</v>
      </c>
      <c r="AS214" s="50">
        <f>IF(A214="","",IF(COUNTIF('Visit Log'!$B$5:$B$404,A214)&gt;0,"Yes","No"))</f>
        <v>0</v>
      </c>
      <c r="AT214" s="28">
        <f>IF(A214="","",IFERROR(INDEX(Invoices!$A$5:$A$304,MATCH(A214,Invoices!$E$5:$E$304,0)),""))</f>
        <v>0</v>
      </c>
      <c r="AU214" s="49">
        <f>IF(A214="","",IF(AT214="","Not invoiced",IFERROR(INDEX(Invoices!$U$5:$U$304,MATCH(AT214,Invoices!$A$5:$A$304,0)),"")))</f>
        <v>0</v>
      </c>
      <c r="AY214" s="28">
        <f>IF(I214="","",TEXT(I214,"yyyy-mm"))</f>
        <v>0</v>
      </c>
      <c r="AZ214" s="49">
        <f>IF(I214="","",IF(AM214="Cancelled","Cancelled",IF(AND(I214&lt;TODAY(),OR(AM214="Pending",AM214="Confirmed",AM214="Enquiry")),"Overdue - update status",IF(AND(AM214="Completed",AS214="No"),"Action - log the visit",IF(I214=TODAY(),"Today",IF(AND(I214&gt;TODAY(),I214-TODAY()&lt;=ReminderLeadDays,AN214&lt;&gt;"Yes"),"Action - unconfirmed",IF(AND(I214&gt;TODAY(),I214-TODAY()&lt;=ReminderLeadDays),"Upcoming","OK")))))))</f>
        <v>0</v>
      </c>
    </row>
    <row r="215" spans="1:52">
      <c r="A215" s="46">
        <f>IF(C215="","",BookingPrefix&amp;TEXT(ROW()-4,"0000"))</f>
        <v>0</v>
      </c>
      <c r="D215" s="28">
        <f>IF(C215="","",IFERROR(INDEX(Clients!$A$5:$A$254,MATCH(C215,Clients!$B$5:$B$254,0)),""))</f>
        <v>0</v>
      </c>
      <c r="J215" s="50">
        <f>IF(I215="","",TEXT(I215,"ddd"))</f>
        <v>0</v>
      </c>
      <c r="M215" s="51">
        <f>IF(OR(K215="",L215=""),"",ROUND((L215-K215+IF(L215&lt;K215,1,0))*24,2))</f>
        <v>0</v>
      </c>
      <c r="O215" s="28">
        <f>IF(H215="","",IFERROR(INDEX(Services!$E$5:$E$54,MATCH(H215,Services!$B$5:$B$54,0)),""))</f>
        <v>0</v>
      </c>
      <c r="P215" s="29">
        <f>IF(H215="","",IFERROR(INDEX(Services!$G$5:$G$54,MATCH(H215,Services!$B$5:$B$54,0)),0))</f>
        <v>0</v>
      </c>
      <c r="Q215" s="29">
        <f>IF(H215="","",IF(IFERROR(INDEX(Services!$H$5:$H$54,MATCH(H215,Services!$B$5:$B$54,0)),0)=0,ExtraPetFeeDefault,IFERROR(INDEX(Services!$H$5:$H$54,MATCH(H215,Services!$B$5:$B$54,0)),0)))</f>
        <v>0</v>
      </c>
      <c r="R215" s="30">
        <f>IF(H215="","",IF(IFERROR(INDEX(Services!$I$5:$I$54,MATCH(H215,Services!$B$5:$B$54,0)),0)=0,HolidaySurcharge,IFERROR(INDEX(Services!$I$5:$I$54,MATCH(H215,Services!$B$5:$B$54,0)),0)))</f>
        <v>0</v>
      </c>
      <c r="S215" s="30">
        <f>IF(H215="","",IF(IFERROR(INDEX(Services!$J$5:$J$54,MATCH(H215,Services!$B$5:$B$54,0)),0)=0,WeekendSurcharge,IFERROR(INDEX(Services!$J$5:$J$54,MATCH(H215,Services!$B$5:$B$54,0)),0)))</f>
        <v>0</v>
      </c>
      <c r="T215" s="50">
        <f>IF(H215="","",IFERROR(INDEX(Services!$K$5:$K$54,MATCH(H215,Services!$B$5:$B$54,0)),"No"))</f>
        <v>0</v>
      </c>
      <c r="U215" s="29">
        <f>IF(H215="","",ROUND(IF(O215="Per hour",P215*IF(M215="",IF(N215="",1,N215),M215),P215*IF(N215="",1,N215)),2))</f>
        <v>0</v>
      </c>
      <c r="V215" s="29">
        <f>IF(H215="","",ROUND(MAX(0,IF(G215="",1,G215)-1)*Q215,2))</f>
        <v>0</v>
      </c>
      <c r="W215" s="50">
        <f>IF(I215="","",IF(COUNTIF(HolidayDates,I215)&gt;0,"Yes","No"))</f>
        <v>0</v>
      </c>
      <c r="X215" s="50">
        <f>IF(I215="","",IF(WEEKDAY(I215,2)&gt;5,"Yes","No"))</f>
        <v>0</v>
      </c>
      <c r="Y215" s="29">
        <f>IF(H215="","",ROUND((U215+V215)*(IF(W215="Yes",R215,0)+IF(X215="Yes",S215,0)),2))</f>
        <v>0</v>
      </c>
      <c r="AA215" s="29">
        <f>IF(H215="","",IF(T215&lt;&gt;"Yes",0,ROUND(MAX(0,IF(Z215="",0,Z215)-FreeTravelDistance)*TravelFeeRate,2)))</f>
        <v>0</v>
      </c>
      <c r="AB215" s="31">
        <f>IF(I215="","",TravelTimeMins)</f>
        <v>0</v>
      </c>
      <c r="AC215" s="29">
        <f>IF(OR(I215="",B215=""),0,IF(I215-B215&lt;=LastMinuteDays,EmergencyFee,0))</f>
        <v>0</v>
      </c>
      <c r="AF215" s="29">
        <f>IF(H215="","",ROUND((U215+V215+Y215+AA215+AC215)*IF(AE215="",0,AE215),2))</f>
        <v>0</v>
      </c>
      <c r="AI215" s="29">
        <f>IF(H215="","",IF(AG215&lt;&gt;"",AG215,ROUND(U215+V215+Y215+AA215+AC215-AF215,2)))</f>
        <v>0</v>
      </c>
      <c r="AJ215" s="29">
        <f>IF(AI215="","",IF(TaxRegistered&lt;&gt;"Yes",0,IF(PricesIncludeTax="Yes",ROUND(AI215-AI215/(1+TaxRate),2),ROUND(AI215*TaxRate,2))))</f>
        <v>0</v>
      </c>
      <c r="AK215" s="29">
        <f>IF(AI215="","",IF(PricesIncludeTax="Yes",AI215,ROUND(AI215+AJ215,2)))</f>
        <v>0</v>
      </c>
      <c r="AQ215" s="21">
        <f>IF(OR(I215="",AP215="",AP215="None"),"",IF(AP215="Monthly",EDATE(I215,1),I215+IF(AP215="Daily",1,IF(AP215="Weekdays",IF(WEEKDAY(I215,2)&gt;=5,8-WEEKDAY(I215,2),1),IF(AP215="Weekly",7,IF(AP215="Fortnightly",14,0))))))</f>
        <v>0</v>
      </c>
      <c r="AR215" s="49">
        <f>IF(OR(I215="",AL215="",K215="",L215=""),"",IF(SUMPRODUCT((Bookings!$AL$5:$AL$404=AL215)*(Bookings!$I$5:$I$404=I215)*(Bookings!$K$5:$K$404&lt;L215)*(Bookings!$L$5:$L$404&gt;K215)*(Bookings!$AM$5:$AM$404&lt;&gt;"Cancelled"))&gt;1,"Conflict - double booked","OK"))</f>
        <v>0</v>
      </c>
      <c r="AS215" s="50">
        <f>IF(A215="","",IF(COUNTIF('Visit Log'!$B$5:$B$404,A215)&gt;0,"Yes","No"))</f>
        <v>0</v>
      </c>
      <c r="AT215" s="28">
        <f>IF(A215="","",IFERROR(INDEX(Invoices!$A$5:$A$304,MATCH(A215,Invoices!$E$5:$E$304,0)),""))</f>
        <v>0</v>
      </c>
      <c r="AU215" s="49">
        <f>IF(A215="","",IF(AT215="","Not invoiced",IFERROR(INDEX(Invoices!$U$5:$U$304,MATCH(AT215,Invoices!$A$5:$A$304,0)),"")))</f>
        <v>0</v>
      </c>
      <c r="AY215" s="28">
        <f>IF(I215="","",TEXT(I215,"yyyy-mm"))</f>
        <v>0</v>
      </c>
      <c r="AZ215" s="49">
        <f>IF(I215="","",IF(AM215="Cancelled","Cancelled",IF(AND(I215&lt;TODAY(),OR(AM215="Pending",AM215="Confirmed",AM215="Enquiry")),"Overdue - update status",IF(AND(AM215="Completed",AS215="No"),"Action - log the visit",IF(I215=TODAY(),"Today",IF(AND(I215&gt;TODAY(),I215-TODAY()&lt;=ReminderLeadDays,AN215&lt;&gt;"Yes"),"Action - unconfirmed",IF(AND(I215&gt;TODAY(),I215-TODAY()&lt;=ReminderLeadDays),"Upcoming","OK")))))))</f>
        <v>0</v>
      </c>
    </row>
    <row r="216" spans="1:52">
      <c r="A216" s="46">
        <f>IF(C216="","",BookingPrefix&amp;TEXT(ROW()-4,"0000"))</f>
        <v>0</v>
      </c>
      <c r="D216" s="28">
        <f>IF(C216="","",IFERROR(INDEX(Clients!$A$5:$A$254,MATCH(C216,Clients!$B$5:$B$254,0)),""))</f>
        <v>0</v>
      </c>
      <c r="J216" s="50">
        <f>IF(I216="","",TEXT(I216,"ddd"))</f>
        <v>0</v>
      </c>
      <c r="M216" s="51">
        <f>IF(OR(K216="",L216=""),"",ROUND((L216-K216+IF(L216&lt;K216,1,0))*24,2))</f>
        <v>0</v>
      </c>
      <c r="O216" s="28">
        <f>IF(H216="","",IFERROR(INDEX(Services!$E$5:$E$54,MATCH(H216,Services!$B$5:$B$54,0)),""))</f>
        <v>0</v>
      </c>
      <c r="P216" s="29">
        <f>IF(H216="","",IFERROR(INDEX(Services!$G$5:$G$54,MATCH(H216,Services!$B$5:$B$54,0)),0))</f>
        <v>0</v>
      </c>
      <c r="Q216" s="29">
        <f>IF(H216="","",IF(IFERROR(INDEX(Services!$H$5:$H$54,MATCH(H216,Services!$B$5:$B$54,0)),0)=0,ExtraPetFeeDefault,IFERROR(INDEX(Services!$H$5:$H$54,MATCH(H216,Services!$B$5:$B$54,0)),0)))</f>
        <v>0</v>
      </c>
      <c r="R216" s="30">
        <f>IF(H216="","",IF(IFERROR(INDEX(Services!$I$5:$I$54,MATCH(H216,Services!$B$5:$B$54,0)),0)=0,HolidaySurcharge,IFERROR(INDEX(Services!$I$5:$I$54,MATCH(H216,Services!$B$5:$B$54,0)),0)))</f>
        <v>0</v>
      </c>
      <c r="S216" s="30">
        <f>IF(H216="","",IF(IFERROR(INDEX(Services!$J$5:$J$54,MATCH(H216,Services!$B$5:$B$54,0)),0)=0,WeekendSurcharge,IFERROR(INDEX(Services!$J$5:$J$54,MATCH(H216,Services!$B$5:$B$54,0)),0)))</f>
        <v>0</v>
      </c>
      <c r="T216" s="50">
        <f>IF(H216="","",IFERROR(INDEX(Services!$K$5:$K$54,MATCH(H216,Services!$B$5:$B$54,0)),"No"))</f>
        <v>0</v>
      </c>
      <c r="U216" s="29">
        <f>IF(H216="","",ROUND(IF(O216="Per hour",P216*IF(M216="",IF(N216="",1,N216),M216),P216*IF(N216="",1,N216)),2))</f>
        <v>0</v>
      </c>
      <c r="V216" s="29">
        <f>IF(H216="","",ROUND(MAX(0,IF(G216="",1,G216)-1)*Q216,2))</f>
        <v>0</v>
      </c>
      <c r="W216" s="50">
        <f>IF(I216="","",IF(COUNTIF(HolidayDates,I216)&gt;0,"Yes","No"))</f>
        <v>0</v>
      </c>
      <c r="X216" s="50">
        <f>IF(I216="","",IF(WEEKDAY(I216,2)&gt;5,"Yes","No"))</f>
        <v>0</v>
      </c>
      <c r="Y216" s="29">
        <f>IF(H216="","",ROUND((U216+V216)*(IF(W216="Yes",R216,0)+IF(X216="Yes",S216,0)),2))</f>
        <v>0</v>
      </c>
      <c r="AA216" s="29">
        <f>IF(H216="","",IF(T216&lt;&gt;"Yes",0,ROUND(MAX(0,IF(Z216="",0,Z216)-FreeTravelDistance)*TravelFeeRate,2)))</f>
        <v>0</v>
      </c>
      <c r="AB216" s="31">
        <f>IF(I216="","",TravelTimeMins)</f>
        <v>0</v>
      </c>
      <c r="AC216" s="29">
        <f>IF(OR(I216="",B216=""),0,IF(I216-B216&lt;=LastMinuteDays,EmergencyFee,0))</f>
        <v>0</v>
      </c>
      <c r="AF216" s="29">
        <f>IF(H216="","",ROUND((U216+V216+Y216+AA216+AC216)*IF(AE216="",0,AE216),2))</f>
        <v>0</v>
      </c>
      <c r="AI216" s="29">
        <f>IF(H216="","",IF(AG216&lt;&gt;"",AG216,ROUND(U216+V216+Y216+AA216+AC216-AF216,2)))</f>
        <v>0</v>
      </c>
      <c r="AJ216" s="29">
        <f>IF(AI216="","",IF(TaxRegistered&lt;&gt;"Yes",0,IF(PricesIncludeTax="Yes",ROUND(AI216-AI216/(1+TaxRate),2),ROUND(AI216*TaxRate,2))))</f>
        <v>0</v>
      </c>
      <c r="AK216" s="29">
        <f>IF(AI216="","",IF(PricesIncludeTax="Yes",AI216,ROUND(AI216+AJ216,2)))</f>
        <v>0</v>
      </c>
      <c r="AQ216" s="21">
        <f>IF(OR(I216="",AP216="",AP216="None"),"",IF(AP216="Monthly",EDATE(I216,1),I216+IF(AP216="Daily",1,IF(AP216="Weekdays",IF(WEEKDAY(I216,2)&gt;=5,8-WEEKDAY(I216,2),1),IF(AP216="Weekly",7,IF(AP216="Fortnightly",14,0))))))</f>
        <v>0</v>
      </c>
      <c r="AR216" s="49">
        <f>IF(OR(I216="",AL216="",K216="",L216=""),"",IF(SUMPRODUCT((Bookings!$AL$5:$AL$404=AL216)*(Bookings!$I$5:$I$404=I216)*(Bookings!$K$5:$K$404&lt;L216)*(Bookings!$L$5:$L$404&gt;K216)*(Bookings!$AM$5:$AM$404&lt;&gt;"Cancelled"))&gt;1,"Conflict - double booked","OK"))</f>
        <v>0</v>
      </c>
      <c r="AS216" s="50">
        <f>IF(A216="","",IF(COUNTIF('Visit Log'!$B$5:$B$404,A216)&gt;0,"Yes","No"))</f>
        <v>0</v>
      </c>
      <c r="AT216" s="28">
        <f>IF(A216="","",IFERROR(INDEX(Invoices!$A$5:$A$304,MATCH(A216,Invoices!$E$5:$E$304,0)),""))</f>
        <v>0</v>
      </c>
      <c r="AU216" s="49">
        <f>IF(A216="","",IF(AT216="","Not invoiced",IFERROR(INDEX(Invoices!$U$5:$U$304,MATCH(AT216,Invoices!$A$5:$A$304,0)),"")))</f>
        <v>0</v>
      </c>
      <c r="AY216" s="28">
        <f>IF(I216="","",TEXT(I216,"yyyy-mm"))</f>
        <v>0</v>
      </c>
      <c r="AZ216" s="49">
        <f>IF(I216="","",IF(AM216="Cancelled","Cancelled",IF(AND(I216&lt;TODAY(),OR(AM216="Pending",AM216="Confirmed",AM216="Enquiry")),"Overdue - update status",IF(AND(AM216="Completed",AS216="No"),"Action - log the visit",IF(I216=TODAY(),"Today",IF(AND(I216&gt;TODAY(),I216-TODAY()&lt;=ReminderLeadDays,AN216&lt;&gt;"Yes"),"Action - unconfirmed",IF(AND(I216&gt;TODAY(),I216-TODAY()&lt;=ReminderLeadDays),"Upcoming","OK")))))))</f>
        <v>0</v>
      </c>
    </row>
    <row r="217" spans="1:52">
      <c r="A217" s="46">
        <f>IF(C217="","",BookingPrefix&amp;TEXT(ROW()-4,"0000"))</f>
        <v>0</v>
      </c>
      <c r="D217" s="28">
        <f>IF(C217="","",IFERROR(INDEX(Clients!$A$5:$A$254,MATCH(C217,Clients!$B$5:$B$254,0)),""))</f>
        <v>0</v>
      </c>
      <c r="J217" s="50">
        <f>IF(I217="","",TEXT(I217,"ddd"))</f>
        <v>0</v>
      </c>
      <c r="M217" s="51">
        <f>IF(OR(K217="",L217=""),"",ROUND((L217-K217+IF(L217&lt;K217,1,0))*24,2))</f>
        <v>0</v>
      </c>
      <c r="O217" s="28">
        <f>IF(H217="","",IFERROR(INDEX(Services!$E$5:$E$54,MATCH(H217,Services!$B$5:$B$54,0)),""))</f>
        <v>0</v>
      </c>
      <c r="P217" s="29">
        <f>IF(H217="","",IFERROR(INDEX(Services!$G$5:$G$54,MATCH(H217,Services!$B$5:$B$54,0)),0))</f>
        <v>0</v>
      </c>
      <c r="Q217" s="29">
        <f>IF(H217="","",IF(IFERROR(INDEX(Services!$H$5:$H$54,MATCH(H217,Services!$B$5:$B$54,0)),0)=0,ExtraPetFeeDefault,IFERROR(INDEX(Services!$H$5:$H$54,MATCH(H217,Services!$B$5:$B$54,0)),0)))</f>
        <v>0</v>
      </c>
      <c r="R217" s="30">
        <f>IF(H217="","",IF(IFERROR(INDEX(Services!$I$5:$I$54,MATCH(H217,Services!$B$5:$B$54,0)),0)=0,HolidaySurcharge,IFERROR(INDEX(Services!$I$5:$I$54,MATCH(H217,Services!$B$5:$B$54,0)),0)))</f>
        <v>0</v>
      </c>
      <c r="S217" s="30">
        <f>IF(H217="","",IF(IFERROR(INDEX(Services!$J$5:$J$54,MATCH(H217,Services!$B$5:$B$54,0)),0)=0,WeekendSurcharge,IFERROR(INDEX(Services!$J$5:$J$54,MATCH(H217,Services!$B$5:$B$54,0)),0)))</f>
        <v>0</v>
      </c>
      <c r="T217" s="50">
        <f>IF(H217="","",IFERROR(INDEX(Services!$K$5:$K$54,MATCH(H217,Services!$B$5:$B$54,0)),"No"))</f>
        <v>0</v>
      </c>
      <c r="U217" s="29">
        <f>IF(H217="","",ROUND(IF(O217="Per hour",P217*IF(M217="",IF(N217="",1,N217),M217),P217*IF(N217="",1,N217)),2))</f>
        <v>0</v>
      </c>
      <c r="V217" s="29">
        <f>IF(H217="","",ROUND(MAX(0,IF(G217="",1,G217)-1)*Q217,2))</f>
        <v>0</v>
      </c>
      <c r="W217" s="50">
        <f>IF(I217="","",IF(COUNTIF(HolidayDates,I217)&gt;0,"Yes","No"))</f>
        <v>0</v>
      </c>
      <c r="X217" s="50">
        <f>IF(I217="","",IF(WEEKDAY(I217,2)&gt;5,"Yes","No"))</f>
        <v>0</v>
      </c>
      <c r="Y217" s="29">
        <f>IF(H217="","",ROUND((U217+V217)*(IF(W217="Yes",R217,0)+IF(X217="Yes",S217,0)),2))</f>
        <v>0</v>
      </c>
      <c r="AA217" s="29">
        <f>IF(H217="","",IF(T217&lt;&gt;"Yes",0,ROUND(MAX(0,IF(Z217="",0,Z217)-FreeTravelDistance)*TravelFeeRate,2)))</f>
        <v>0</v>
      </c>
      <c r="AB217" s="31">
        <f>IF(I217="","",TravelTimeMins)</f>
        <v>0</v>
      </c>
      <c r="AC217" s="29">
        <f>IF(OR(I217="",B217=""),0,IF(I217-B217&lt;=LastMinuteDays,EmergencyFee,0))</f>
        <v>0</v>
      </c>
      <c r="AF217" s="29">
        <f>IF(H217="","",ROUND((U217+V217+Y217+AA217+AC217)*IF(AE217="",0,AE217),2))</f>
        <v>0</v>
      </c>
      <c r="AI217" s="29">
        <f>IF(H217="","",IF(AG217&lt;&gt;"",AG217,ROUND(U217+V217+Y217+AA217+AC217-AF217,2)))</f>
        <v>0</v>
      </c>
      <c r="AJ217" s="29">
        <f>IF(AI217="","",IF(TaxRegistered&lt;&gt;"Yes",0,IF(PricesIncludeTax="Yes",ROUND(AI217-AI217/(1+TaxRate),2),ROUND(AI217*TaxRate,2))))</f>
        <v>0</v>
      </c>
      <c r="AK217" s="29">
        <f>IF(AI217="","",IF(PricesIncludeTax="Yes",AI217,ROUND(AI217+AJ217,2)))</f>
        <v>0</v>
      </c>
      <c r="AQ217" s="21">
        <f>IF(OR(I217="",AP217="",AP217="None"),"",IF(AP217="Monthly",EDATE(I217,1),I217+IF(AP217="Daily",1,IF(AP217="Weekdays",IF(WEEKDAY(I217,2)&gt;=5,8-WEEKDAY(I217,2),1),IF(AP217="Weekly",7,IF(AP217="Fortnightly",14,0))))))</f>
        <v>0</v>
      </c>
      <c r="AR217" s="49">
        <f>IF(OR(I217="",AL217="",K217="",L217=""),"",IF(SUMPRODUCT((Bookings!$AL$5:$AL$404=AL217)*(Bookings!$I$5:$I$404=I217)*(Bookings!$K$5:$K$404&lt;L217)*(Bookings!$L$5:$L$404&gt;K217)*(Bookings!$AM$5:$AM$404&lt;&gt;"Cancelled"))&gt;1,"Conflict - double booked","OK"))</f>
        <v>0</v>
      </c>
      <c r="AS217" s="50">
        <f>IF(A217="","",IF(COUNTIF('Visit Log'!$B$5:$B$404,A217)&gt;0,"Yes","No"))</f>
        <v>0</v>
      </c>
      <c r="AT217" s="28">
        <f>IF(A217="","",IFERROR(INDEX(Invoices!$A$5:$A$304,MATCH(A217,Invoices!$E$5:$E$304,0)),""))</f>
        <v>0</v>
      </c>
      <c r="AU217" s="49">
        <f>IF(A217="","",IF(AT217="","Not invoiced",IFERROR(INDEX(Invoices!$U$5:$U$304,MATCH(AT217,Invoices!$A$5:$A$304,0)),"")))</f>
        <v>0</v>
      </c>
      <c r="AY217" s="28">
        <f>IF(I217="","",TEXT(I217,"yyyy-mm"))</f>
        <v>0</v>
      </c>
      <c r="AZ217" s="49">
        <f>IF(I217="","",IF(AM217="Cancelled","Cancelled",IF(AND(I217&lt;TODAY(),OR(AM217="Pending",AM217="Confirmed",AM217="Enquiry")),"Overdue - update status",IF(AND(AM217="Completed",AS217="No"),"Action - log the visit",IF(I217=TODAY(),"Today",IF(AND(I217&gt;TODAY(),I217-TODAY()&lt;=ReminderLeadDays,AN217&lt;&gt;"Yes"),"Action - unconfirmed",IF(AND(I217&gt;TODAY(),I217-TODAY()&lt;=ReminderLeadDays),"Upcoming","OK")))))))</f>
        <v>0</v>
      </c>
    </row>
    <row r="218" spans="1:52">
      <c r="A218" s="46">
        <f>IF(C218="","",BookingPrefix&amp;TEXT(ROW()-4,"0000"))</f>
        <v>0</v>
      </c>
      <c r="D218" s="28">
        <f>IF(C218="","",IFERROR(INDEX(Clients!$A$5:$A$254,MATCH(C218,Clients!$B$5:$B$254,0)),""))</f>
        <v>0</v>
      </c>
      <c r="J218" s="50">
        <f>IF(I218="","",TEXT(I218,"ddd"))</f>
        <v>0</v>
      </c>
      <c r="M218" s="51">
        <f>IF(OR(K218="",L218=""),"",ROUND((L218-K218+IF(L218&lt;K218,1,0))*24,2))</f>
        <v>0</v>
      </c>
      <c r="O218" s="28">
        <f>IF(H218="","",IFERROR(INDEX(Services!$E$5:$E$54,MATCH(H218,Services!$B$5:$B$54,0)),""))</f>
        <v>0</v>
      </c>
      <c r="P218" s="29">
        <f>IF(H218="","",IFERROR(INDEX(Services!$G$5:$G$54,MATCH(H218,Services!$B$5:$B$54,0)),0))</f>
        <v>0</v>
      </c>
      <c r="Q218" s="29">
        <f>IF(H218="","",IF(IFERROR(INDEX(Services!$H$5:$H$54,MATCH(H218,Services!$B$5:$B$54,0)),0)=0,ExtraPetFeeDefault,IFERROR(INDEX(Services!$H$5:$H$54,MATCH(H218,Services!$B$5:$B$54,0)),0)))</f>
        <v>0</v>
      </c>
      <c r="R218" s="30">
        <f>IF(H218="","",IF(IFERROR(INDEX(Services!$I$5:$I$54,MATCH(H218,Services!$B$5:$B$54,0)),0)=0,HolidaySurcharge,IFERROR(INDEX(Services!$I$5:$I$54,MATCH(H218,Services!$B$5:$B$54,0)),0)))</f>
        <v>0</v>
      </c>
      <c r="S218" s="30">
        <f>IF(H218="","",IF(IFERROR(INDEX(Services!$J$5:$J$54,MATCH(H218,Services!$B$5:$B$54,0)),0)=0,WeekendSurcharge,IFERROR(INDEX(Services!$J$5:$J$54,MATCH(H218,Services!$B$5:$B$54,0)),0)))</f>
        <v>0</v>
      </c>
      <c r="T218" s="50">
        <f>IF(H218="","",IFERROR(INDEX(Services!$K$5:$K$54,MATCH(H218,Services!$B$5:$B$54,0)),"No"))</f>
        <v>0</v>
      </c>
      <c r="U218" s="29">
        <f>IF(H218="","",ROUND(IF(O218="Per hour",P218*IF(M218="",IF(N218="",1,N218),M218),P218*IF(N218="",1,N218)),2))</f>
        <v>0</v>
      </c>
      <c r="V218" s="29">
        <f>IF(H218="","",ROUND(MAX(0,IF(G218="",1,G218)-1)*Q218,2))</f>
        <v>0</v>
      </c>
      <c r="W218" s="50">
        <f>IF(I218="","",IF(COUNTIF(HolidayDates,I218)&gt;0,"Yes","No"))</f>
        <v>0</v>
      </c>
      <c r="X218" s="50">
        <f>IF(I218="","",IF(WEEKDAY(I218,2)&gt;5,"Yes","No"))</f>
        <v>0</v>
      </c>
      <c r="Y218" s="29">
        <f>IF(H218="","",ROUND((U218+V218)*(IF(W218="Yes",R218,0)+IF(X218="Yes",S218,0)),2))</f>
        <v>0</v>
      </c>
      <c r="AA218" s="29">
        <f>IF(H218="","",IF(T218&lt;&gt;"Yes",0,ROUND(MAX(0,IF(Z218="",0,Z218)-FreeTravelDistance)*TravelFeeRate,2)))</f>
        <v>0</v>
      </c>
      <c r="AB218" s="31">
        <f>IF(I218="","",TravelTimeMins)</f>
        <v>0</v>
      </c>
      <c r="AC218" s="29">
        <f>IF(OR(I218="",B218=""),0,IF(I218-B218&lt;=LastMinuteDays,EmergencyFee,0))</f>
        <v>0</v>
      </c>
      <c r="AF218" s="29">
        <f>IF(H218="","",ROUND((U218+V218+Y218+AA218+AC218)*IF(AE218="",0,AE218),2))</f>
        <v>0</v>
      </c>
      <c r="AI218" s="29">
        <f>IF(H218="","",IF(AG218&lt;&gt;"",AG218,ROUND(U218+V218+Y218+AA218+AC218-AF218,2)))</f>
        <v>0</v>
      </c>
      <c r="AJ218" s="29">
        <f>IF(AI218="","",IF(TaxRegistered&lt;&gt;"Yes",0,IF(PricesIncludeTax="Yes",ROUND(AI218-AI218/(1+TaxRate),2),ROUND(AI218*TaxRate,2))))</f>
        <v>0</v>
      </c>
      <c r="AK218" s="29">
        <f>IF(AI218="","",IF(PricesIncludeTax="Yes",AI218,ROUND(AI218+AJ218,2)))</f>
        <v>0</v>
      </c>
      <c r="AQ218" s="21">
        <f>IF(OR(I218="",AP218="",AP218="None"),"",IF(AP218="Monthly",EDATE(I218,1),I218+IF(AP218="Daily",1,IF(AP218="Weekdays",IF(WEEKDAY(I218,2)&gt;=5,8-WEEKDAY(I218,2),1),IF(AP218="Weekly",7,IF(AP218="Fortnightly",14,0))))))</f>
        <v>0</v>
      </c>
      <c r="AR218" s="49">
        <f>IF(OR(I218="",AL218="",K218="",L218=""),"",IF(SUMPRODUCT((Bookings!$AL$5:$AL$404=AL218)*(Bookings!$I$5:$I$404=I218)*(Bookings!$K$5:$K$404&lt;L218)*(Bookings!$L$5:$L$404&gt;K218)*(Bookings!$AM$5:$AM$404&lt;&gt;"Cancelled"))&gt;1,"Conflict - double booked","OK"))</f>
        <v>0</v>
      </c>
      <c r="AS218" s="50">
        <f>IF(A218="","",IF(COUNTIF('Visit Log'!$B$5:$B$404,A218)&gt;0,"Yes","No"))</f>
        <v>0</v>
      </c>
      <c r="AT218" s="28">
        <f>IF(A218="","",IFERROR(INDEX(Invoices!$A$5:$A$304,MATCH(A218,Invoices!$E$5:$E$304,0)),""))</f>
        <v>0</v>
      </c>
      <c r="AU218" s="49">
        <f>IF(A218="","",IF(AT218="","Not invoiced",IFERROR(INDEX(Invoices!$U$5:$U$304,MATCH(AT218,Invoices!$A$5:$A$304,0)),"")))</f>
        <v>0</v>
      </c>
      <c r="AY218" s="28">
        <f>IF(I218="","",TEXT(I218,"yyyy-mm"))</f>
        <v>0</v>
      </c>
      <c r="AZ218" s="49">
        <f>IF(I218="","",IF(AM218="Cancelled","Cancelled",IF(AND(I218&lt;TODAY(),OR(AM218="Pending",AM218="Confirmed",AM218="Enquiry")),"Overdue - update status",IF(AND(AM218="Completed",AS218="No"),"Action - log the visit",IF(I218=TODAY(),"Today",IF(AND(I218&gt;TODAY(),I218-TODAY()&lt;=ReminderLeadDays,AN218&lt;&gt;"Yes"),"Action - unconfirmed",IF(AND(I218&gt;TODAY(),I218-TODAY()&lt;=ReminderLeadDays),"Upcoming","OK")))))))</f>
        <v>0</v>
      </c>
    </row>
    <row r="219" spans="1:52">
      <c r="A219" s="46">
        <f>IF(C219="","",BookingPrefix&amp;TEXT(ROW()-4,"0000"))</f>
        <v>0</v>
      </c>
      <c r="D219" s="28">
        <f>IF(C219="","",IFERROR(INDEX(Clients!$A$5:$A$254,MATCH(C219,Clients!$B$5:$B$254,0)),""))</f>
        <v>0</v>
      </c>
      <c r="J219" s="50">
        <f>IF(I219="","",TEXT(I219,"ddd"))</f>
        <v>0</v>
      </c>
      <c r="M219" s="51">
        <f>IF(OR(K219="",L219=""),"",ROUND((L219-K219+IF(L219&lt;K219,1,0))*24,2))</f>
        <v>0</v>
      </c>
      <c r="O219" s="28">
        <f>IF(H219="","",IFERROR(INDEX(Services!$E$5:$E$54,MATCH(H219,Services!$B$5:$B$54,0)),""))</f>
        <v>0</v>
      </c>
      <c r="P219" s="29">
        <f>IF(H219="","",IFERROR(INDEX(Services!$G$5:$G$54,MATCH(H219,Services!$B$5:$B$54,0)),0))</f>
        <v>0</v>
      </c>
      <c r="Q219" s="29">
        <f>IF(H219="","",IF(IFERROR(INDEX(Services!$H$5:$H$54,MATCH(H219,Services!$B$5:$B$54,0)),0)=0,ExtraPetFeeDefault,IFERROR(INDEX(Services!$H$5:$H$54,MATCH(H219,Services!$B$5:$B$54,0)),0)))</f>
        <v>0</v>
      </c>
      <c r="R219" s="30">
        <f>IF(H219="","",IF(IFERROR(INDEX(Services!$I$5:$I$54,MATCH(H219,Services!$B$5:$B$54,0)),0)=0,HolidaySurcharge,IFERROR(INDEX(Services!$I$5:$I$54,MATCH(H219,Services!$B$5:$B$54,0)),0)))</f>
        <v>0</v>
      </c>
      <c r="S219" s="30">
        <f>IF(H219="","",IF(IFERROR(INDEX(Services!$J$5:$J$54,MATCH(H219,Services!$B$5:$B$54,0)),0)=0,WeekendSurcharge,IFERROR(INDEX(Services!$J$5:$J$54,MATCH(H219,Services!$B$5:$B$54,0)),0)))</f>
        <v>0</v>
      </c>
      <c r="T219" s="50">
        <f>IF(H219="","",IFERROR(INDEX(Services!$K$5:$K$54,MATCH(H219,Services!$B$5:$B$54,0)),"No"))</f>
        <v>0</v>
      </c>
      <c r="U219" s="29">
        <f>IF(H219="","",ROUND(IF(O219="Per hour",P219*IF(M219="",IF(N219="",1,N219),M219),P219*IF(N219="",1,N219)),2))</f>
        <v>0</v>
      </c>
      <c r="V219" s="29">
        <f>IF(H219="","",ROUND(MAX(0,IF(G219="",1,G219)-1)*Q219,2))</f>
        <v>0</v>
      </c>
      <c r="W219" s="50">
        <f>IF(I219="","",IF(COUNTIF(HolidayDates,I219)&gt;0,"Yes","No"))</f>
        <v>0</v>
      </c>
      <c r="X219" s="50">
        <f>IF(I219="","",IF(WEEKDAY(I219,2)&gt;5,"Yes","No"))</f>
        <v>0</v>
      </c>
      <c r="Y219" s="29">
        <f>IF(H219="","",ROUND((U219+V219)*(IF(W219="Yes",R219,0)+IF(X219="Yes",S219,0)),2))</f>
        <v>0</v>
      </c>
      <c r="AA219" s="29">
        <f>IF(H219="","",IF(T219&lt;&gt;"Yes",0,ROUND(MAX(0,IF(Z219="",0,Z219)-FreeTravelDistance)*TravelFeeRate,2)))</f>
        <v>0</v>
      </c>
      <c r="AB219" s="31">
        <f>IF(I219="","",TravelTimeMins)</f>
        <v>0</v>
      </c>
      <c r="AC219" s="29">
        <f>IF(OR(I219="",B219=""),0,IF(I219-B219&lt;=LastMinuteDays,EmergencyFee,0))</f>
        <v>0</v>
      </c>
      <c r="AF219" s="29">
        <f>IF(H219="","",ROUND((U219+V219+Y219+AA219+AC219)*IF(AE219="",0,AE219),2))</f>
        <v>0</v>
      </c>
      <c r="AI219" s="29">
        <f>IF(H219="","",IF(AG219&lt;&gt;"",AG219,ROUND(U219+V219+Y219+AA219+AC219-AF219,2)))</f>
        <v>0</v>
      </c>
      <c r="AJ219" s="29">
        <f>IF(AI219="","",IF(TaxRegistered&lt;&gt;"Yes",0,IF(PricesIncludeTax="Yes",ROUND(AI219-AI219/(1+TaxRate),2),ROUND(AI219*TaxRate,2))))</f>
        <v>0</v>
      </c>
      <c r="AK219" s="29">
        <f>IF(AI219="","",IF(PricesIncludeTax="Yes",AI219,ROUND(AI219+AJ219,2)))</f>
        <v>0</v>
      </c>
      <c r="AQ219" s="21">
        <f>IF(OR(I219="",AP219="",AP219="None"),"",IF(AP219="Monthly",EDATE(I219,1),I219+IF(AP219="Daily",1,IF(AP219="Weekdays",IF(WEEKDAY(I219,2)&gt;=5,8-WEEKDAY(I219,2),1),IF(AP219="Weekly",7,IF(AP219="Fortnightly",14,0))))))</f>
        <v>0</v>
      </c>
      <c r="AR219" s="49">
        <f>IF(OR(I219="",AL219="",K219="",L219=""),"",IF(SUMPRODUCT((Bookings!$AL$5:$AL$404=AL219)*(Bookings!$I$5:$I$404=I219)*(Bookings!$K$5:$K$404&lt;L219)*(Bookings!$L$5:$L$404&gt;K219)*(Bookings!$AM$5:$AM$404&lt;&gt;"Cancelled"))&gt;1,"Conflict - double booked","OK"))</f>
        <v>0</v>
      </c>
      <c r="AS219" s="50">
        <f>IF(A219="","",IF(COUNTIF('Visit Log'!$B$5:$B$404,A219)&gt;0,"Yes","No"))</f>
        <v>0</v>
      </c>
      <c r="AT219" s="28">
        <f>IF(A219="","",IFERROR(INDEX(Invoices!$A$5:$A$304,MATCH(A219,Invoices!$E$5:$E$304,0)),""))</f>
        <v>0</v>
      </c>
      <c r="AU219" s="49">
        <f>IF(A219="","",IF(AT219="","Not invoiced",IFERROR(INDEX(Invoices!$U$5:$U$304,MATCH(AT219,Invoices!$A$5:$A$304,0)),"")))</f>
        <v>0</v>
      </c>
      <c r="AY219" s="28">
        <f>IF(I219="","",TEXT(I219,"yyyy-mm"))</f>
        <v>0</v>
      </c>
      <c r="AZ219" s="49">
        <f>IF(I219="","",IF(AM219="Cancelled","Cancelled",IF(AND(I219&lt;TODAY(),OR(AM219="Pending",AM219="Confirmed",AM219="Enquiry")),"Overdue - update status",IF(AND(AM219="Completed",AS219="No"),"Action - log the visit",IF(I219=TODAY(),"Today",IF(AND(I219&gt;TODAY(),I219-TODAY()&lt;=ReminderLeadDays,AN219&lt;&gt;"Yes"),"Action - unconfirmed",IF(AND(I219&gt;TODAY(),I219-TODAY()&lt;=ReminderLeadDays),"Upcoming","OK")))))))</f>
        <v>0</v>
      </c>
    </row>
    <row r="220" spans="1:52">
      <c r="A220" s="46">
        <f>IF(C220="","",BookingPrefix&amp;TEXT(ROW()-4,"0000"))</f>
        <v>0</v>
      </c>
      <c r="D220" s="28">
        <f>IF(C220="","",IFERROR(INDEX(Clients!$A$5:$A$254,MATCH(C220,Clients!$B$5:$B$254,0)),""))</f>
        <v>0</v>
      </c>
      <c r="J220" s="50">
        <f>IF(I220="","",TEXT(I220,"ddd"))</f>
        <v>0</v>
      </c>
      <c r="M220" s="51">
        <f>IF(OR(K220="",L220=""),"",ROUND((L220-K220+IF(L220&lt;K220,1,0))*24,2))</f>
        <v>0</v>
      </c>
      <c r="O220" s="28">
        <f>IF(H220="","",IFERROR(INDEX(Services!$E$5:$E$54,MATCH(H220,Services!$B$5:$B$54,0)),""))</f>
        <v>0</v>
      </c>
      <c r="P220" s="29">
        <f>IF(H220="","",IFERROR(INDEX(Services!$G$5:$G$54,MATCH(H220,Services!$B$5:$B$54,0)),0))</f>
        <v>0</v>
      </c>
      <c r="Q220" s="29">
        <f>IF(H220="","",IF(IFERROR(INDEX(Services!$H$5:$H$54,MATCH(H220,Services!$B$5:$B$54,0)),0)=0,ExtraPetFeeDefault,IFERROR(INDEX(Services!$H$5:$H$54,MATCH(H220,Services!$B$5:$B$54,0)),0)))</f>
        <v>0</v>
      </c>
      <c r="R220" s="30">
        <f>IF(H220="","",IF(IFERROR(INDEX(Services!$I$5:$I$54,MATCH(H220,Services!$B$5:$B$54,0)),0)=0,HolidaySurcharge,IFERROR(INDEX(Services!$I$5:$I$54,MATCH(H220,Services!$B$5:$B$54,0)),0)))</f>
        <v>0</v>
      </c>
      <c r="S220" s="30">
        <f>IF(H220="","",IF(IFERROR(INDEX(Services!$J$5:$J$54,MATCH(H220,Services!$B$5:$B$54,0)),0)=0,WeekendSurcharge,IFERROR(INDEX(Services!$J$5:$J$54,MATCH(H220,Services!$B$5:$B$54,0)),0)))</f>
        <v>0</v>
      </c>
      <c r="T220" s="50">
        <f>IF(H220="","",IFERROR(INDEX(Services!$K$5:$K$54,MATCH(H220,Services!$B$5:$B$54,0)),"No"))</f>
        <v>0</v>
      </c>
      <c r="U220" s="29">
        <f>IF(H220="","",ROUND(IF(O220="Per hour",P220*IF(M220="",IF(N220="",1,N220),M220),P220*IF(N220="",1,N220)),2))</f>
        <v>0</v>
      </c>
      <c r="V220" s="29">
        <f>IF(H220="","",ROUND(MAX(0,IF(G220="",1,G220)-1)*Q220,2))</f>
        <v>0</v>
      </c>
      <c r="W220" s="50">
        <f>IF(I220="","",IF(COUNTIF(HolidayDates,I220)&gt;0,"Yes","No"))</f>
        <v>0</v>
      </c>
      <c r="X220" s="50">
        <f>IF(I220="","",IF(WEEKDAY(I220,2)&gt;5,"Yes","No"))</f>
        <v>0</v>
      </c>
      <c r="Y220" s="29">
        <f>IF(H220="","",ROUND((U220+V220)*(IF(W220="Yes",R220,0)+IF(X220="Yes",S220,0)),2))</f>
        <v>0</v>
      </c>
      <c r="AA220" s="29">
        <f>IF(H220="","",IF(T220&lt;&gt;"Yes",0,ROUND(MAX(0,IF(Z220="",0,Z220)-FreeTravelDistance)*TravelFeeRate,2)))</f>
        <v>0</v>
      </c>
      <c r="AB220" s="31">
        <f>IF(I220="","",TravelTimeMins)</f>
        <v>0</v>
      </c>
      <c r="AC220" s="29">
        <f>IF(OR(I220="",B220=""),0,IF(I220-B220&lt;=LastMinuteDays,EmergencyFee,0))</f>
        <v>0</v>
      </c>
      <c r="AF220" s="29">
        <f>IF(H220="","",ROUND((U220+V220+Y220+AA220+AC220)*IF(AE220="",0,AE220),2))</f>
        <v>0</v>
      </c>
      <c r="AI220" s="29">
        <f>IF(H220="","",IF(AG220&lt;&gt;"",AG220,ROUND(U220+V220+Y220+AA220+AC220-AF220,2)))</f>
        <v>0</v>
      </c>
      <c r="AJ220" s="29">
        <f>IF(AI220="","",IF(TaxRegistered&lt;&gt;"Yes",0,IF(PricesIncludeTax="Yes",ROUND(AI220-AI220/(1+TaxRate),2),ROUND(AI220*TaxRate,2))))</f>
        <v>0</v>
      </c>
      <c r="AK220" s="29">
        <f>IF(AI220="","",IF(PricesIncludeTax="Yes",AI220,ROUND(AI220+AJ220,2)))</f>
        <v>0</v>
      </c>
      <c r="AQ220" s="21">
        <f>IF(OR(I220="",AP220="",AP220="None"),"",IF(AP220="Monthly",EDATE(I220,1),I220+IF(AP220="Daily",1,IF(AP220="Weekdays",IF(WEEKDAY(I220,2)&gt;=5,8-WEEKDAY(I220,2),1),IF(AP220="Weekly",7,IF(AP220="Fortnightly",14,0))))))</f>
        <v>0</v>
      </c>
      <c r="AR220" s="49">
        <f>IF(OR(I220="",AL220="",K220="",L220=""),"",IF(SUMPRODUCT((Bookings!$AL$5:$AL$404=AL220)*(Bookings!$I$5:$I$404=I220)*(Bookings!$K$5:$K$404&lt;L220)*(Bookings!$L$5:$L$404&gt;K220)*(Bookings!$AM$5:$AM$404&lt;&gt;"Cancelled"))&gt;1,"Conflict - double booked","OK"))</f>
        <v>0</v>
      </c>
      <c r="AS220" s="50">
        <f>IF(A220="","",IF(COUNTIF('Visit Log'!$B$5:$B$404,A220)&gt;0,"Yes","No"))</f>
        <v>0</v>
      </c>
      <c r="AT220" s="28">
        <f>IF(A220="","",IFERROR(INDEX(Invoices!$A$5:$A$304,MATCH(A220,Invoices!$E$5:$E$304,0)),""))</f>
        <v>0</v>
      </c>
      <c r="AU220" s="49">
        <f>IF(A220="","",IF(AT220="","Not invoiced",IFERROR(INDEX(Invoices!$U$5:$U$304,MATCH(AT220,Invoices!$A$5:$A$304,0)),"")))</f>
        <v>0</v>
      </c>
      <c r="AY220" s="28">
        <f>IF(I220="","",TEXT(I220,"yyyy-mm"))</f>
        <v>0</v>
      </c>
      <c r="AZ220" s="49">
        <f>IF(I220="","",IF(AM220="Cancelled","Cancelled",IF(AND(I220&lt;TODAY(),OR(AM220="Pending",AM220="Confirmed",AM220="Enquiry")),"Overdue - update status",IF(AND(AM220="Completed",AS220="No"),"Action - log the visit",IF(I220=TODAY(),"Today",IF(AND(I220&gt;TODAY(),I220-TODAY()&lt;=ReminderLeadDays,AN220&lt;&gt;"Yes"),"Action - unconfirmed",IF(AND(I220&gt;TODAY(),I220-TODAY()&lt;=ReminderLeadDays),"Upcoming","OK")))))))</f>
        <v>0</v>
      </c>
    </row>
    <row r="221" spans="1:52">
      <c r="A221" s="46">
        <f>IF(C221="","",BookingPrefix&amp;TEXT(ROW()-4,"0000"))</f>
        <v>0</v>
      </c>
      <c r="D221" s="28">
        <f>IF(C221="","",IFERROR(INDEX(Clients!$A$5:$A$254,MATCH(C221,Clients!$B$5:$B$254,0)),""))</f>
        <v>0</v>
      </c>
      <c r="J221" s="50">
        <f>IF(I221="","",TEXT(I221,"ddd"))</f>
        <v>0</v>
      </c>
      <c r="M221" s="51">
        <f>IF(OR(K221="",L221=""),"",ROUND((L221-K221+IF(L221&lt;K221,1,0))*24,2))</f>
        <v>0</v>
      </c>
      <c r="O221" s="28">
        <f>IF(H221="","",IFERROR(INDEX(Services!$E$5:$E$54,MATCH(H221,Services!$B$5:$B$54,0)),""))</f>
        <v>0</v>
      </c>
      <c r="P221" s="29">
        <f>IF(H221="","",IFERROR(INDEX(Services!$G$5:$G$54,MATCH(H221,Services!$B$5:$B$54,0)),0))</f>
        <v>0</v>
      </c>
      <c r="Q221" s="29">
        <f>IF(H221="","",IF(IFERROR(INDEX(Services!$H$5:$H$54,MATCH(H221,Services!$B$5:$B$54,0)),0)=0,ExtraPetFeeDefault,IFERROR(INDEX(Services!$H$5:$H$54,MATCH(H221,Services!$B$5:$B$54,0)),0)))</f>
        <v>0</v>
      </c>
      <c r="R221" s="30">
        <f>IF(H221="","",IF(IFERROR(INDEX(Services!$I$5:$I$54,MATCH(H221,Services!$B$5:$B$54,0)),0)=0,HolidaySurcharge,IFERROR(INDEX(Services!$I$5:$I$54,MATCH(H221,Services!$B$5:$B$54,0)),0)))</f>
        <v>0</v>
      </c>
      <c r="S221" s="30">
        <f>IF(H221="","",IF(IFERROR(INDEX(Services!$J$5:$J$54,MATCH(H221,Services!$B$5:$B$54,0)),0)=0,WeekendSurcharge,IFERROR(INDEX(Services!$J$5:$J$54,MATCH(H221,Services!$B$5:$B$54,0)),0)))</f>
        <v>0</v>
      </c>
      <c r="T221" s="50">
        <f>IF(H221="","",IFERROR(INDEX(Services!$K$5:$K$54,MATCH(H221,Services!$B$5:$B$54,0)),"No"))</f>
        <v>0</v>
      </c>
      <c r="U221" s="29">
        <f>IF(H221="","",ROUND(IF(O221="Per hour",P221*IF(M221="",IF(N221="",1,N221),M221),P221*IF(N221="",1,N221)),2))</f>
        <v>0</v>
      </c>
      <c r="V221" s="29">
        <f>IF(H221="","",ROUND(MAX(0,IF(G221="",1,G221)-1)*Q221,2))</f>
        <v>0</v>
      </c>
      <c r="W221" s="50">
        <f>IF(I221="","",IF(COUNTIF(HolidayDates,I221)&gt;0,"Yes","No"))</f>
        <v>0</v>
      </c>
      <c r="X221" s="50">
        <f>IF(I221="","",IF(WEEKDAY(I221,2)&gt;5,"Yes","No"))</f>
        <v>0</v>
      </c>
      <c r="Y221" s="29">
        <f>IF(H221="","",ROUND((U221+V221)*(IF(W221="Yes",R221,0)+IF(X221="Yes",S221,0)),2))</f>
        <v>0</v>
      </c>
      <c r="AA221" s="29">
        <f>IF(H221="","",IF(T221&lt;&gt;"Yes",0,ROUND(MAX(0,IF(Z221="",0,Z221)-FreeTravelDistance)*TravelFeeRate,2)))</f>
        <v>0</v>
      </c>
      <c r="AB221" s="31">
        <f>IF(I221="","",TravelTimeMins)</f>
        <v>0</v>
      </c>
      <c r="AC221" s="29">
        <f>IF(OR(I221="",B221=""),0,IF(I221-B221&lt;=LastMinuteDays,EmergencyFee,0))</f>
        <v>0</v>
      </c>
      <c r="AF221" s="29">
        <f>IF(H221="","",ROUND((U221+V221+Y221+AA221+AC221)*IF(AE221="",0,AE221),2))</f>
        <v>0</v>
      </c>
      <c r="AI221" s="29">
        <f>IF(H221="","",IF(AG221&lt;&gt;"",AG221,ROUND(U221+V221+Y221+AA221+AC221-AF221,2)))</f>
        <v>0</v>
      </c>
      <c r="AJ221" s="29">
        <f>IF(AI221="","",IF(TaxRegistered&lt;&gt;"Yes",0,IF(PricesIncludeTax="Yes",ROUND(AI221-AI221/(1+TaxRate),2),ROUND(AI221*TaxRate,2))))</f>
        <v>0</v>
      </c>
      <c r="AK221" s="29">
        <f>IF(AI221="","",IF(PricesIncludeTax="Yes",AI221,ROUND(AI221+AJ221,2)))</f>
        <v>0</v>
      </c>
      <c r="AQ221" s="21">
        <f>IF(OR(I221="",AP221="",AP221="None"),"",IF(AP221="Monthly",EDATE(I221,1),I221+IF(AP221="Daily",1,IF(AP221="Weekdays",IF(WEEKDAY(I221,2)&gt;=5,8-WEEKDAY(I221,2),1),IF(AP221="Weekly",7,IF(AP221="Fortnightly",14,0))))))</f>
        <v>0</v>
      </c>
      <c r="AR221" s="49">
        <f>IF(OR(I221="",AL221="",K221="",L221=""),"",IF(SUMPRODUCT((Bookings!$AL$5:$AL$404=AL221)*(Bookings!$I$5:$I$404=I221)*(Bookings!$K$5:$K$404&lt;L221)*(Bookings!$L$5:$L$404&gt;K221)*(Bookings!$AM$5:$AM$404&lt;&gt;"Cancelled"))&gt;1,"Conflict - double booked","OK"))</f>
        <v>0</v>
      </c>
      <c r="AS221" s="50">
        <f>IF(A221="","",IF(COUNTIF('Visit Log'!$B$5:$B$404,A221)&gt;0,"Yes","No"))</f>
        <v>0</v>
      </c>
      <c r="AT221" s="28">
        <f>IF(A221="","",IFERROR(INDEX(Invoices!$A$5:$A$304,MATCH(A221,Invoices!$E$5:$E$304,0)),""))</f>
        <v>0</v>
      </c>
      <c r="AU221" s="49">
        <f>IF(A221="","",IF(AT221="","Not invoiced",IFERROR(INDEX(Invoices!$U$5:$U$304,MATCH(AT221,Invoices!$A$5:$A$304,0)),"")))</f>
        <v>0</v>
      </c>
      <c r="AY221" s="28">
        <f>IF(I221="","",TEXT(I221,"yyyy-mm"))</f>
        <v>0</v>
      </c>
      <c r="AZ221" s="49">
        <f>IF(I221="","",IF(AM221="Cancelled","Cancelled",IF(AND(I221&lt;TODAY(),OR(AM221="Pending",AM221="Confirmed",AM221="Enquiry")),"Overdue - update status",IF(AND(AM221="Completed",AS221="No"),"Action - log the visit",IF(I221=TODAY(),"Today",IF(AND(I221&gt;TODAY(),I221-TODAY()&lt;=ReminderLeadDays,AN221&lt;&gt;"Yes"),"Action - unconfirmed",IF(AND(I221&gt;TODAY(),I221-TODAY()&lt;=ReminderLeadDays),"Upcoming","OK")))))))</f>
        <v>0</v>
      </c>
    </row>
    <row r="222" spans="1:52">
      <c r="A222" s="46">
        <f>IF(C222="","",BookingPrefix&amp;TEXT(ROW()-4,"0000"))</f>
        <v>0</v>
      </c>
      <c r="D222" s="28">
        <f>IF(C222="","",IFERROR(INDEX(Clients!$A$5:$A$254,MATCH(C222,Clients!$B$5:$B$254,0)),""))</f>
        <v>0</v>
      </c>
      <c r="J222" s="50">
        <f>IF(I222="","",TEXT(I222,"ddd"))</f>
        <v>0</v>
      </c>
      <c r="M222" s="51">
        <f>IF(OR(K222="",L222=""),"",ROUND((L222-K222+IF(L222&lt;K222,1,0))*24,2))</f>
        <v>0</v>
      </c>
      <c r="O222" s="28">
        <f>IF(H222="","",IFERROR(INDEX(Services!$E$5:$E$54,MATCH(H222,Services!$B$5:$B$54,0)),""))</f>
        <v>0</v>
      </c>
      <c r="P222" s="29">
        <f>IF(H222="","",IFERROR(INDEX(Services!$G$5:$G$54,MATCH(H222,Services!$B$5:$B$54,0)),0))</f>
        <v>0</v>
      </c>
      <c r="Q222" s="29">
        <f>IF(H222="","",IF(IFERROR(INDEX(Services!$H$5:$H$54,MATCH(H222,Services!$B$5:$B$54,0)),0)=0,ExtraPetFeeDefault,IFERROR(INDEX(Services!$H$5:$H$54,MATCH(H222,Services!$B$5:$B$54,0)),0)))</f>
        <v>0</v>
      </c>
      <c r="R222" s="30">
        <f>IF(H222="","",IF(IFERROR(INDEX(Services!$I$5:$I$54,MATCH(H222,Services!$B$5:$B$54,0)),0)=0,HolidaySurcharge,IFERROR(INDEX(Services!$I$5:$I$54,MATCH(H222,Services!$B$5:$B$54,0)),0)))</f>
        <v>0</v>
      </c>
      <c r="S222" s="30">
        <f>IF(H222="","",IF(IFERROR(INDEX(Services!$J$5:$J$54,MATCH(H222,Services!$B$5:$B$54,0)),0)=0,WeekendSurcharge,IFERROR(INDEX(Services!$J$5:$J$54,MATCH(H222,Services!$B$5:$B$54,0)),0)))</f>
        <v>0</v>
      </c>
      <c r="T222" s="50">
        <f>IF(H222="","",IFERROR(INDEX(Services!$K$5:$K$54,MATCH(H222,Services!$B$5:$B$54,0)),"No"))</f>
        <v>0</v>
      </c>
      <c r="U222" s="29">
        <f>IF(H222="","",ROUND(IF(O222="Per hour",P222*IF(M222="",IF(N222="",1,N222),M222),P222*IF(N222="",1,N222)),2))</f>
        <v>0</v>
      </c>
      <c r="V222" s="29">
        <f>IF(H222="","",ROUND(MAX(0,IF(G222="",1,G222)-1)*Q222,2))</f>
        <v>0</v>
      </c>
      <c r="W222" s="50">
        <f>IF(I222="","",IF(COUNTIF(HolidayDates,I222)&gt;0,"Yes","No"))</f>
        <v>0</v>
      </c>
      <c r="X222" s="50">
        <f>IF(I222="","",IF(WEEKDAY(I222,2)&gt;5,"Yes","No"))</f>
        <v>0</v>
      </c>
      <c r="Y222" s="29">
        <f>IF(H222="","",ROUND((U222+V222)*(IF(W222="Yes",R222,0)+IF(X222="Yes",S222,0)),2))</f>
        <v>0</v>
      </c>
      <c r="AA222" s="29">
        <f>IF(H222="","",IF(T222&lt;&gt;"Yes",0,ROUND(MAX(0,IF(Z222="",0,Z222)-FreeTravelDistance)*TravelFeeRate,2)))</f>
        <v>0</v>
      </c>
      <c r="AB222" s="31">
        <f>IF(I222="","",TravelTimeMins)</f>
        <v>0</v>
      </c>
      <c r="AC222" s="29">
        <f>IF(OR(I222="",B222=""),0,IF(I222-B222&lt;=LastMinuteDays,EmergencyFee,0))</f>
        <v>0</v>
      </c>
      <c r="AF222" s="29">
        <f>IF(H222="","",ROUND((U222+V222+Y222+AA222+AC222)*IF(AE222="",0,AE222),2))</f>
        <v>0</v>
      </c>
      <c r="AI222" s="29">
        <f>IF(H222="","",IF(AG222&lt;&gt;"",AG222,ROUND(U222+V222+Y222+AA222+AC222-AF222,2)))</f>
        <v>0</v>
      </c>
      <c r="AJ222" s="29">
        <f>IF(AI222="","",IF(TaxRegistered&lt;&gt;"Yes",0,IF(PricesIncludeTax="Yes",ROUND(AI222-AI222/(1+TaxRate),2),ROUND(AI222*TaxRate,2))))</f>
        <v>0</v>
      </c>
      <c r="AK222" s="29">
        <f>IF(AI222="","",IF(PricesIncludeTax="Yes",AI222,ROUND(AI222+AJ222,2)))</f>
        <v>0</v>
      </c>
      <c r="AQ222" s="21">
        <f>IF(OR(I222="",AP222="",AP222="None"),"",IF(AP222="Monthly",EDATE(I222,1),I222+IF(AP222="Daily",1,IF(AP222="Weekdays",IF(WEEKDAY(I222,2)&gt;=5,8-WEEKDAY(I222,2),1),IF(AP222="Weekly",7,IF(AP222="Fortnightly",14,0))))))</f>
        <v>0</v>
      </c>
      <c r="AR222" s="49">
        <f>IF(OR(I222="",AL222="",K222="",L222=""),"",IF(SUMPRODUCT((Bookings!$AL$5:$AL$404=AL222)*(Bookings!$I$5:$I$404=I222)*(Bookings!$K$5:$K$404&lt;L222)*(Bookings!$L$5:$L$404&gt;K222)*(Bookings!$AM$5:$AM$404&lt;&gt;"Cancelled"))&gt;1,"Conflict - double booked","OK"))</f>
        <v>0</v>
      </c>
      <c r="AS222" s="50">
        <f>IF(A222="","",IF(COUNTIF('Visit Log'!$B$5:$B$404,A222)&gt;0,"Yes","No"))</f>
        <v>0</v>
      </c>
      <c r="AT222" s="28">
        <f>IF(A222="","",IFERROR(INDEX(Invoices!$A$5:$A$304,MATCH(A222,Invoices!$E$5:$E$304,0)),""))</f>
        <v>0</v>
      </c>
      <c r="AU222" s="49">
        <f>IF(A222="","",IF(AT222="","Not invoiced",IFERROR(INDEX(Invoices!$U$5:$U$304,MATCH(AT222,Invoices!$A$5:$A$304,0)),"")))</f>
        <v>0</v>
      </c>
      <c r="AY222" s="28">
        <f>IF(I222="","",TEXT(I222,"yyyy-mm"))</f>
        <v>0</v>
      </c>
      <c r="AZ222" s="49">
        <f>IF(I222="","",IF(AM222="Cancelled","Cancelled",IF(AND(I222&lt;TODAY(),OR(AM222="Pending",AM222="Confirmed",AM222="Enquiry")),"Overdue - update status",IF(AND(AM222="Completed",AS222="No"),"Action - log the visit",IF(I222=TODAY(),"Today",IF(AND(I222&gt;TODAY(),I222-TODAY()&lt;=ReminderLeadDays,AN222&lt;&gt;"Yes"),"Action - unconfirmed",IF(AND(I222&gt;TODAY(),I222-TODAY()&lt;=ReminderLeadDays),"Upcoming","OK")))))))</f>
        <v>0</v>
      </c>
    </row>
    <row r="223" spans="1:52">
      <c r="A223" s="46">
        <f>IF(C223="","",BookingPrefix&amp;TEXT(ROW()-4,"0000"))</f>
        <v>0</v>
      </c>
      <c r="D223" s="28">
        <f>IF(C223="","",IFERROR(INDEX(Clients!$A$5:$A$254,MATCH(C223,Clients!$B$5:$B$254,0)),""))</f>
        <v>0</v>
      </c>
      <c r="J223" s="50">
        <f>IF(I223="","",TEXT(I223,"ddd"))</f>
        <v>0</v>
      </c>
      <c r="M223" s="51">
        <f>IF(OR(K223="",L223=""),"",ROUND((L223-K223+IF(L223&lt;K223,1,0))*24,2))</f>
        <v>0</v>
      </c>
      <c r="O223" s="28">
        <f>IF(H223="","",IFERROR(INDEX(Services!$E$5:$E$54,MATCH(H223,Services!$B$5:$B$54,0)),""))</f>
        <v>0</v>
      </c>
      <c r="P223" s="29">
        <f>IF(H223="","",IFERROR(INDEX(Services!$G$5:$G$54,MATCH(H223,Services!$B$5:$B$54,0)),0))</f>
        <v>0</v>
      </c>
      <c r="Q223" s="29">
        <f>IF(H223="","",IF(IFERROR(INDEX(Services!$H$5:$H$54,MATCH(H223,Services!$B$5:$B$54,0)),0)=0,ExtraPetFeeDefault,IFERROR(INDEX(Services!$H$5:$H$54,MATCH(H223,Services!$B$5:$B$54,0)),0)))</f>
        <v>0</v>
      </c>
      <c r="R223" s="30">
        <f>IF(H223="","",IF(IFERROR(INDEX(Services!$I$5:$I$54,MATCH(H223,Services!$B$5:$B$54,0)),0)=0,HolidaySurcharge,IFERROR(INDEX(Services!$I$5:$I$54,MATCH(H223,Services!$B$5:$B$54,0)),0)))</f>
        <v>0</v>
      </c>
      <c r="S223" s="30">
        <f>IF(H223="","",IF(IFERROR(INDEX(Services!$J$5:$J$54,MATCH(H223,Services!$B$5:$B$54,0)),0)=0,WeekendSurcharge,IFERROR(INDEX(Services!$J$5:$J$54,MATCH(H223,Services!$B$5:$B$54,0)),0)))</f>
        <v>0</v>
      </c>
      <c r="T223" s="50">
        <f>IF(H223="","",IFERROR(INDEX(Services!$K$5:$K$54,MATCH(H223,Services!$B$5:$B$54,0)),"No"))</f>
        <v>0</v>
      </c>
      <c r="U223" s="29">
        <f>IF(H223="","",ROUND(IF(O223="Per hour",P223*IF(M223="",IF(N223="",1,N223),M223),P223*IF(N223="",1,N223)),2))</f>
        <v>0</v>
      </c>
      <c r="V223" s="29">
        <f>IF(H223="","",ROUND(MAX(0,IF(G223="",1,G223)-1)*Q223,2))</f>
        <v>0</v>
      </c>
      <c r="W223" s="50">
        <f>IF(I223="","",IF(COUNTIF(HolidayDates,I223)&gt;0,"Yes","No"))</f>
        <v>0</v>
      </c>
      <c r="X223" s="50">
        <f>IF(I223="","",IF(WEEKDAY(I223,2)&gt;5,"Yes","No"))</f>
        <v>0</v>
      </c>
      <c r="Y223" s="29">
        <f>IF(H223="","",ROUND((U223+V223)*(IF(W223="Yes",R223,0)+IF(X223="Yes",S223,0)),2))</f>
        <v>0</v>
      </c>
      <c r="AA223" s="29">
        <f>IF(H223="","",IF(T223&lt;&gt;"Yes",0,ROUND(MAX(0,IF(Z223="",0,Z223)-FreeTravelDistance)*TravelFeeRate,2)))</f>
        <v>0</v>
      </c>
      <c r="AB223" s="31">
        <f>IF(I223="","",TravelTimeMins)</f>
        <v>0</v>
      </c>
      <c r="AC223" s="29">
        <f>IF(OR(I223="",B223=""),0,IF(I223-B223&lt;=LastMinuteDays,EmergencyFee,0))</f>
        <v>0</v>
      </c>
      <c r="AF223" s="29">
        <f>IF(H223="","",ROUND((U223+V223+Y223+AA223+AC223)*IF(AE223="",0,AE223),2))</f>
        <v>0</v>
      </c>
      <c r="AI223" s="29">
        <f>IF(H223="","",IF(AG223&lt;&gt;"",AG223,ROUND(U223+V223+Y223+AA223+AC223-AF223,2)))</f>
        <v>0</v>
      </c>
      <c r="AJ223" s="29">
        <f>IF(AI223="","",IF(TaxRegistered&lt;&gt;"Yes",0,IF(PricesIncludeTax="Yes",ROUND(AI223-AI223/(1+TaxRate),2),ROUND(AI223*TaxRate,2))))</f>
        <v>0</v>
      </c>
      <c r="AK223" s="29">
        <f>IF(AI223="","",IF(PricesIncludeTax="Yes",AI223,ROUND(AI223+AJ223,2)))</f>
        <v>0</v>
      </c>
      <c r="AQ223" s="21">
        <f>IF(OR(I223="",AP223="",AP223="None"),"",IF(AP223="Monthly",EDATE(I223,1),I223+IF(AP223="Daily",1,IF(AP223="Weekdays",IF(WEEKDAY(I223,2)&gt;=5,8-WEEKDAY(I223,2),1),IF(AP223="Weekly",7,IF(AP223="Fortnightly",14,0))))))</f>
        <v>0</v>
      </c>
      <c r="AR223" s="49">
        <f>IF(OR(I223="",AL223="",K223="",L223=""),"",IF(SUMPRODUCT((Bookings!$AL$5:$AL$404=AL223)*(Bookings!$I$5:$I$404=I223)*(Bookings!$K$5:$K$404&lt;L223)*(Bookings!$L$5:$L$404&gt;K223)*(Bookings!$AM$5:$AM$404&lt;&gt;"Cancelled"))&gt;1,"Conflict - double booked","OK"))</f>
        <v>0</v>
      </c>
      <c r="AS223" s="50">
        <f>IF(A223="","",IF(COUNTIF('Visit Log'!$B$5:$B$404,A223)&gt;0,"Yes","No"))</f>
        <v>0</v>
      </c>
      <c r="AT223" s="28">
        <f>IF(A223="","",IFERROR(INDEX(Invoices!$A$5:$A$304,MATCH(A223,Invoices!$E$5:$E$304,0)),""))</f>
        <v>0</v>
      </c>
      <c r="AU223" s="49">
        <f>IF(A223="","",IF(AT223="","Not invoiced",IFERROR(INDEX(Invoices!$U$5:$U$304,MATCH(AT223,Invoices!$A$5:$A$304,0)),"")))</f>
        <v>0</v>
      </c>
      <c r="AY223" s="28">
        <f>IF(I223="","",TEXT(I223,"yyyy-mm"))</f>
        <v>0</v>
      </c>
      <c r="AZ223" s="49">
        <f>IF(I223="","",IF(AM223="Cancelled","Cancelled",IF(AND(I223&lt;TODAY(),OR(AM223="Pending",AM223="Confirmed",AM223="Enquiry")),"Overdue - update status",IF(AND(AM223="Completed",AS223="No"),"Action - log the visit",IF(I223=TODAY(),"Today",IF(AND(I223&gt;TODAY(),I223-TODAY()&lt;=ReminderLeadDays,AN223&lt;&gt;"Yes"),"Action - unconfirmed",IF(AND(I223&gt;TODAY(),I223-TODAY()&lt;=ReminderLeadDays),"Upcoming","OK")))))))</f>
        <v>0</v>
      </c>
    </row>
    <row r="224" spans="1:52">
      <c r="A224" s="46">
        <f>IF(C224="","",BookingPrefix&amp;TEXT(ROW()-4,"0000"))</f>
        <v>0</v>
      </c>
      <c r="D224" s="28">
        <f>IF(C224="","",IFERROR(INDEX(Clients!$A$5:$A$254,MATCH(C224,Clients!$B$5:$B$254,0)),""))</f>
        <v>0</v>
      </c>
      <c r="J224" s="50">
        <f>IF(I224="","",TEXT(I224,"ddd"))</f>
        <v>0</v>
      </c>
      <c r="M224" s="51">
        <f>IF(OR(K224="",L224=""),"",ROUND((L224-K224+IF(L224&lt;K224,1,0))*24,2))</f>
        <v>0</v>
      </c>
      <c r="O224" s="28">
        <f>IF(H224="","",IFERROR(INDEX(Services!$E$5:$E$54,MATCH(H224,Services!$B$5:$B$54,0)),""))</f>
        <v>0</v>
      </c>
      <c r="P224" s="29">
        <f>IF(H224="","",IFERROR(INDEX(Services!$G$5:$G$54,MATCH(H224,Services!$B$5:$B$54,0)),0))</f>
        <v>0</v>
      </c>
      <c r="Q224" s="29">
        <f>IF(H224="","",IF(IFERROR(INDEX(Services!$H$5:$H$54,MATCH(H224,Services!$B$5:$B$54,0)),0)=0,ExtraPetFeeDefault,IFERROR(INDEX(Services!$H$5:$H$54,MATCH(H224,Services!$B$5:$B$54,0)),0)))</f>
        <v>0</v>
      </c>
      <c r="R224" s="30">
        <f>IF(H224="","",IF(IFERROR(INDEX(Services!$I$5:$I$54,MATCH(H224,Services!$B$5:$B$54,0)),0)=0,HolidaySurcharge,IFERROR(INDEX(Services!$I$5:$I$54,MATCH(H224,Services!$B$5:$B$54,0)),0)))</f>
        <v>0</v>
      </c>
      <c r="S224" s="30">
        <f>IF(H224="","",IF(IFERROR(INDEX(Services!$J$5:$J$54,MATCH(H224,Services!$B$5:$B$54,0)),0)=0,WeekendSurcharge,IFERROR(INDEX(Services!$J$5:$J$54,MATCH(H224,Services!$B$5:$B$54,0)),0)))</f>
        <v>0</v>
      </c>
      <c r="T224" s="50">
        <f>IF(H224="","",IFERROR(INDEX(Services!$K$5:$K$54,MATCH(H224,Services!$B$5:$B$54,0)),"No"))</f>
        <v>0</v>
      </c>
      <c r="U224" s="29">
        <f>IF(H224="","",ROUND(IF(O224="Per hour",P224*IF(M224="",IF(N224="",1,N224),M224),P224*IF(N224="",1,N224)),2))</f>
        <v>0</v>
      </c>
      <c r="V224" s="29">
        <f>IF(H224="","",ROUND(MAX(0,IF(G224="",1,G224)-1)*Q224,2))</f>
        <v>0</v>
      </c>
      <c r="W224" s="50">
        <f>IF(I224="","",IF(COUNTIF(HolidayDates,I224)&gt;0,"Yes","No"))</f>
        <v>0</v>
      </c>
      <c r="X224" s="50">
        <f>IF(I224="","",IF(WEEKDAY(I224,2)&gt;5,"Yes","No"))</f>
        <v>0</v>
      </c>
      <c r="Y224" s="29">
        <f>IF(H224="","",ROUND((U224+V224)*(IF(W224="Yes",R224,0)+IF(X224="Yes",S224,0)),2))</f>
        <v>0</v>
      </c>
      <c r="AA224" s="29">
        <f>IF(H224="","",IF(T224&lt;&gt;"Yes",0,ROUND(MAX(0,IF(Z224="",0,Z224)-FreeTravelDistance)*TravelFeeRate,2)))</f>
        <v>0</v>
      </c>
      <c r="AB224" s="31">
        <f>IF(I224="","",TravelTimeMins)</f>
        <v>0</v>
      </c>
      <c r="AC224" s="29">
        <f>IF(OR(I224="",B224=""),0,IF(I224-B224&lt;=LastMinuteDays,EmergencyFee,0))</f>
        <v>0</v>
      </c>
      <c r="AF224" s="29">
        <f>IF(H224="","",ROUND((U224+V224+Y224+AA224+AC224)*IF(AE224="",0,AE224),2))</f>
        <v>0</v>
      </c>
      <c r="AI224" s="29">
        <f>IF(H224="","",IF(AG224&lt;&gt;"",AG224,ROUND(U224+V224+Y224+AA224+AC224-AF224,2)))</f>
        <v>0</v>
      </c>
      <c r="AJ224" s="29">
        <f>IF(AI224="","",IF(TaxRegistered&lt;&gt;"Yes",0,IF(PricesIncludeTax="Yes",ROUND(AI224-AI224/(1+TaxRate),2),ROUND(AI224*TaxRate,2))))</f>
        <v>0</v>
      </c>
      <c r="AK224" s="29">
        <f>IF(AI224="","",IF(PricesIncludeTax="Yes",AI224,ROUND(AI224+AJ224,2)))</f>
        <v>0</v>
      </c>
      <c r="AQ224" s="21">
        <f>IF(OR(I224="",AP224="",AP224="None"),"",IF(AP224="Monthly",EDATE(I224,1),I224+IF(AP224="Daily",1,IF(AP224="Weekdays",IF(WEEKDAY(I224,2)&gt;=5,8-WEEKDAY(I224,2),1),IF(AP224="Weekly",7,IF(AP224="Fortnightly",14,0))))))</f>
        <v>0</v>
      </c>
      <c r="AR224" s="49">
        <f>IF(OR(I224="",AL224="",K224="",L224=""),"",IF(SUMPRODUCT((Bookings!$AL$5:$AL$404=AL224)*(Bookings!$I$5:$I$404=I224)*(Bookings!$K$5:$K$404&lt;L224)*(Bookings!$L$5:$L$404&gt;K224)*(Bookings!$AM$5:$AM$404&lt;&gt;"Cancelled"))&gt;1,"Conflict - double booked","OK"))</f>
        <v>0</v>
      </c>
      <c r="AS224" s="50">
        <f>IF(A224="","",IF(COUNTIF('Visit Log'!$B$5:$B$404,A224)&gt;0,"Yes","No"))</f>
        <v>0</v>
      </c>
      <c r="AT224" s="28">
        <f>IF(A224="","",IFERROR(INDEX(Invoices!$A$5:$A$304,MATCH(A224,Invoices!$E$5:$E$304,0)),""))</f>
        <v>0</v>
      </c>
      <c r="AU224" s="49">
        <f>IF(A224="","",IF(AT224="","Not invoiced",IFERROR(INDEX(Invoices!$U$5:$U$304,MATCH(AT224,Invoices!$A$5:$A$304,0)),"")))</f>
        <v>0</v>
      </c>
      <c r="AY224" s="28">
        <f>IF(I224="","",TEXT(I224,"yyyy-mm"))</f>
        <v>0</v>
      </c>
      <c r="AZ224" s="49">
        <f>IF(I224="","",IF(AM224="Cancelled","Cancelled",IF(AND(I224&lt;TODAY(),OR(AM224="Pending",AM224="Confirmed",AM224="Enquiry")),"Overdue - update status",IF(AND(AM224="Completed",AS224="No"),"Action - log the visit",IF(I224=TODAY(),"Today",IF(AND(I224&gt;TODAY(),I224-TODAY()&lt;=ReminderLeadDays,AN224&lt;&gt;"Yes"),"Action - unconfirmed",IF(AND(I224&gt;TODAY(),I224-TODAY()&lt;=ReminderLeadDays),"Upcoming","OK")))))))</f>
        <v>0</v>
      </c>
    </row>
    <row r="225" spans="1:52">
      <c r="A225" s="46">
        <f>IF(C225="","",BookingPrefix&amp;TEXT(ROW()-4,"0000"))</f>
        <v>0</v>
      </c>
      <c r="D225" s="28">
        <f>IF(C225="","",IFERROR(INDEX(Clients!$A$5:$A$254,MATCH(C225,Clients!$B$5:$B$254,0)),""))</f>
        <v>0</v>
      </c>
      <c r="J225" s="50">
        <f>IF(I225="","",TEXT(I225,"ddd"))</f>
        <v>0</v>
      </c>
      <c r="M225" s="51">
        <f>IF(OR(K225="",L225=""),"",ROUND((L225-K225+IF(L225&lt;K225,1,0))*24,2))</f>
        <v>0</v>
      </c>
      <c r="O225" s="28">
        <f>IF(H225="","",IFERROR(INDEX(Services!$E$5:$E$54,MATCH(H225,Services!$B$5:$B$54,0)),""))</f>
        <v>0</v>
      </c>
      <c r="P225" s="29">
        <f>IF(H225="","",IFERROR(INDEX(Services!$G$5:$G$54,MATCH(H225,Services!$B$5:$B$54,0)),0))</f>
        <v>0</v>
      </c>
      <c r="Q225" s="29">
        <f>IF(H225="","",IF(IFERROR(INDEX(Services!$H$5:$H$54,MATCH(H225,Services!$B$5:$B$54,0)),0)=0,ExtraPetFeeDefault,IFERROR(INDEX(Services!$H$5:$H$54,MATCH(H225,Services!$B$5:$B$54,0)),0)))</f>
        <v>0</v>
      </c>
      <c r="R225" s="30">
        <f>IF(H225="","",IF(IFERROR(INDEX(Services!$I$5:$I$54,MATCH(H225,Services!$B$5:$B$54,0)),0)=0,HolidaySurcharge,IFERROR(INDEX(Services!$I$5:$I$54,MATCH(H225,Services!$B$5:$B$54,0)),0)))</f>
        <v>0</v>
      </c>
      <c r="S225" s="30">
        <f>IF(H225="","",IF(IFERROR(INDEX(Services!$J$5:$J$54,MATCH(H225,Services!$B$5:$B$54,0)),0)=0,WeekendSurcharge,IFERROR(INDEX(Services!$J$5:$J$54,MATCH(H225,Services!$B$5:$B$54,0)),0)))</f>
        <v>0</v>
      </c>
      <c r="T225" s="50">
        <f>IF(H225="","",IFERROR(INDEX(Services!$K$5:$K$54,MATCH(H225,Services!$B$5:$B$54,0)),"No"))</f>
        <v>0</v>
      </c>
      <c r="U225" s="29">
        <f>IF(H225="","",ROUND(IF(O225="Per hour",P225*IF(M225="",IF(N225="",1,N225),M225),P225*IF(N225="",1,N225)),2))</f>
        <v>0</v>
      </c>
      <c r="V225" s="29">
        <f>IF(H225="","",ROUND(MAX(0,IF(G225="",1,G225)-1)*Q225,2))</f>
        <v>0</v>
      </c>
      <c r="W225" s="50">
        <f>IF(I225="","",IF(COUNTIF(HolidayDates,I225)&gt;0,"Yes","No"))</f>
        <v>0</v>
      </c>
      <c r="X225" s="50">
        <f>IF(I225="","",IF(WEEKDAY(I225,2)&gt;5,"Yes","No"))</f>
        <v>0</v>
      </c>
      <c r="Y225" s="29">
        <f>IF(H225="","",ROUND((U225+V225)*(IF(W225="Yes",R225,0)+IF(X225="Yes",S225,0)),2))</f>
        <v>0</v>
      </c>
      <c r="AA225" s="29">
        <f>IF(H225="","",IF(T225&lt;&gt;"Yes",0,ROUND(MAX(0,IF(Z225="",0,Z225)-FreeTravelDistance)*TravelFeeRate,2)))</f>
        <v>0</v>
      </c>
      <c r="AB225" s="31">
        <f>IF(I225="","",TravelTimeMins)</f>
        <v>0</v>
      </c>
      <c r="AC225" s="29">
        <f>IF(OR(I225="",B225=""),0,IF(I225-B225&lt;=LastMinuteDays,EmergencyFee,0))</f>
        <v>0</v>
      </c>
      <c r="AF225" s="29">
        <f>IF(H225="","",ROUND((U225+V225+Y225+AA225+AC225)*IF(AE225="",0,AE225),2))</f>
        <v>0</v>
      </c>
      <c r="AI225" s="29">
        <f>IF(H225="","",IF(AG225&lt;&gt;"",AG225,ROUND(U225+V225+Y225+AA225+AC225-AF225,2)))</f>
        <v>0</v>
      </c>
      <c r="AJ225" s="29">
        <f>IF(AI225="","",IF(TaxRegistered&lt;&gt;"Yes",0,IF(PricesIncludeTax="Yes",ROUND(AI225-AI225/(1+TaxRate),2),ROUND(AI225*TaxRate,2))))</f>
        <v>0</v>
      </c>
      <c r="AK225" s="29">
        <f>IF(AI225="","",IF(PricesIncludeTax="Yes",AI225,ROUND(AI225+AJ225,2)))</f>
        <v>0</v>
      </c>
      <c r="AQ225" s="21">
        <f>IF(OR(I225="",AP225="",AP225="None"),"",IF(AP225="Monthly",EDATE(I225,1),I225+IF(AP225="Daily",1,IF(AP225="Weekdays",IF(WEEKDAY(I225,2)&gt;=5,8-WEEKDAY(I225,2),1),IF(AP225="Weekly",7,IF(AP225="Fortnightly",14,0))))))</f>
        <v>0</v>
      </c>
      <c r="AR225" s="49">
        <f>IF(OR(I225="",AL225="",K225="",L225=""),"",IF(SUMPRODUCT((Bookings!$AL$5:$AL$404=AL225)*(Bookings!$I$5:$I$404=I225)*(Bookings!$K$5:$K$404&lt;L225)*(Bookings!$L$5:$L$404&gt;K225)*(Bookings!$AM$5:$AM$404&lt;&gt;"Cancelled"))&gt;1,"Conflict - double booked","OK"))</f>
        <v>0</v>
      </c>
      <c r="AS225" s="50">
        <f>IF(A225="","",IF(COUNTIF('Visit Log'!$B$5:$B$404,A225)&gt;0,"Yes","No"))</f>
        <v>0</v>
      </c>
      <c r="AT225" s="28">
        <f>IF(A225="","",IFERROR(INDEX(Invoices!$A$5:$A$304,MATCH(A225,Invoices!$E$5:$E$304,0)),""))</f>
        <v>0</v>
      </c>
      <c r="AU225" s="49">
        <f>IF(A225="","",IF(AT225="","Not invoiced",IFERROR(INDEX(Invoices!$U$5:$U$304,MATCH(AT225,Invoices!$A$5:$A$304,0)),"")))</f>
        <v>0</v>
      </c>
      <c r="AY225" s="28">
        <f>IF(I225="","",TEXT(I225,"yyyy-mm"))</f>
        <v>0</v>
      </c>
      <c r="AZ225" s="49">
        <f>IF(I225="","",IF(AM225="Cancelled","Cancelled",IF(AND(I225&lt;TODAY(),OR(AM225="Pending",AM225="Confirmed",AM225="Enquiry")),"Overdue - update status",IF(AND(AM225="Completed",AS225="No"),"Action - log the visit",IF(I225=TODAY(),"Today",IF(AND(I225&gt;TODAY(),I225-TODAY()&lt;=ReminderLeadDays,AN225&lt;&gt;"Yes"),"Action - unconfirmed",IF(AND(I225&gt;TODAY(),I225-TODAY()&lt;=ReminderLeadDays),"Upcoming","OK")))))))</f>
        <v>0</v>
      </c>
    </row>
    <row r="226" spans="1:52">
      <c r="A226" s="46">
        <f>IF(C226="","",BookingPrefix&amp;TEXT(ROW()-4,"0000"))</f>
        <v>0</v>
      </c>
      <c r="D226" s="28">
        <f>IF(C226="","",IFERROR(INDEX(Clients!$A$5:$A$254,MATCH(C226,Clients!$B$5:$B$254,0)),""))</f>
        <v>0</v>
      </c>
      <c r="J226" s="50">
        <f>IF(I226="","",TEXT(I226,"ddd"))</f>
        <v>0</v>
      </c>
      <c r="M226" s="51">
        <f>IF(OR(K226="",L226=""),"",ROUND((L226-K226+IF(L226&lt;K226,1,0))*24,2))</f>
        <v>0</v>
      </c>
      <c r="O226" s="28">
        <f>IF(H226="","",IFERROR(INDEX(Services!$E$5:$E$54,MATCH(H226,Services!$B$5:$B$54,0)),""))</f>
        <v>0</v>
      </c>
      <c r="P226" s="29">
        <f>IF(H226="","",IFERROR(INDEX(Services!$G$5:$G$54,MATCH(H226,Services!$B$5:$B$54,0)),0))</f>
        <v>0</v>
      </c>
      <c r="Q226" s="29">
        <f>IF(H226="","",IF(IFERROR(INDEX(Services!$H$5:$H$54,MATCH(H226,Services!$B$5:$B$54,0)),0)=0,ExtraPetFeeDefault,IFERROR(INDEX(Services!$H$5:$H$54,MATCH(H226,Services!$B$5:$B$54,0)),0)))</f>
        <v>0</v>
      </c>
      <c r="R226" s="30">
        <f>IF(H226="","",IF(IFERROR(INDEX(Services!$I$5:$I$54,MATCH(H226,Services!$B$5:$B$54,0)),0)=0,HolidaySurcharge,IFERROR(INDEX(Services!$I$5:$I$54,MATCH(H226,Services!$B$5:$B$54,0)),0)))</f>
        <v>0</v>
      </c>
      <c r="S226" s="30">
        <f>IF(H226="","",IF(IFERROR(INDEX(Services!$J$5:$J$54,MATCH(H226,Services!$B$5:$B$54,0)),0)=0,WeekendSurcharge,IFERROR(INDEX(Services!$J$5:$J$54,MATCH(H226,Services!$B$5:$B$54,0)),0)))</f>
        <v>0</v>
      </c>
      <c r="T226" s="50">
        <f>IF(H226="","",IFERROR(INDEX(Services!$K$5:$K$54,MATCH(H226,Services!$B$5:$B$54,0)),"No"))</f>
        <v>0</v>
      </c>
      <c r="U226" s="29">
        <f>IF(H226="","",ROUND(IF(O226="Per hour",P226*IF(M226="",IF(N226="",1,N226),M226),P226*IF(N226="",1,N226)),2))</f>
        <v>0</v>
      </c>
      <c r="V226" s="29">
        <f>IF(H226="","",ROUND(MAX(0,IF(G226="",1,G226)-1)*Q226,2))</f>
        <v>0</v>
      </c>
      <c r="W226" s="50">
        <f>IF(I226="","",IF(COUNTIF(HolidayDates,I226)&gt;0,"Yes","No"))</f>
        <v>0</v>
      </c>
      <c r="X226" s="50">
        <f>IF(I226="","",IF(WEEKDAY(I226,2)&gt;5,"Yes","No"))</f>
        <v>0</v>
      </c>
      <c r="Y226" s="29">
        <f>IF(H226="","",ROUND((U226+V226)*(IF(W226="Yes",R226,0)+IF(X226="Yes",S226,0)),2))</f>
        <v>0</v>
      </c>
      <c r="AA226" s="29">
        <f>IF(H226="","",IF(T226&lt;&gt;"Yes",0,ROUND(MAX(0,IF(Z226="",0,Z226)-FreeTravelDistance)*TravelFeeRate,2)))</f>
        <v>0</v>
      </c>
      <c r="AB226" s="31">
        <f>IF(I226="","",TravelTimeMins)</f>
        <v>0</v>
      </c>
      <c r="AC226" s="29">
        <f>IF(OR(I226="",B226=""),0,IF(I226-B226&lt;=LastMinuteDays,EmergencyFee,0))</f>
        <v>0</v>
      </c>
      <c r="AF226" s="29">
        <f>IF(H226="","",ROUND((U226+V226+Y226+AA226+AC226)*IF(AE226="",0,AE226),2))</f>
        <v>0</v>
      </c>
      <c r="AI226" s="29">
        <f>IF(H226="","",IF(AG226&lt;&gt;"",AG226,ROUND(U226+V226+Y226+AA226+AC226-AF226,2)))</f>
        <v>0</v>
      </c>
      <c r="AJ226" s="29">
        <f>IF(AI226="","",IF(TaxRegistered&lt;&gt;"Yes",0,IF(PricesIncludeTax="Yes",ROUND(AI226-AI226/(1+TaxRate),2),ROUND(AI226*TaxRate,2))))</f>
        <v>0</v>
      </c>
      <c r="AK226" s="29">
        <f>IF(AI226="","",IF(PricesIncludeTax="Yes",AI226,ROUND(AI226+AJ226,2)))</f>
        <v>0</v>
      </c>
      <c r="AQ226" s="21">
        <f>IF(OR(I226="",AP226="",AP226="None"),"",IF(AP226="Monthly",EDATE(I226,1),I226+IF(AP226="Daily",1,IF(AP226="Weekdays",IF(WEEKDAY(I226,2)&gt;=5,8-WEEKDAY(I226,2),1),IF(AP226="Weekly",7,IF(AP226="Fortnightly",14,0))))))</f>
        <v>0</v>
      </c>
      <c r="AR226" s="49">
        <f>IF(OR(I226="",AL226="",K226="",L226=""),"",IF(SUMPRODUCT((Bookings!$AL$5:$AL$404=AL226)*(Bookings!$I$5:$I$404=I226)*(Bookings!$K$5:$K$404&lt;L226)*(Bookings!$L$5:$L$404&gt;K226)*(Bookings!$AM$5:$AM$404&lt;&gt;"Cancelled"))&gt;1,"Conflict - double booked","OK"))</f>
        <v>0</v>
      </c>
      <c r="AS226" s="50">
        <f>IF(A226="","",IF(COUNTIF('Visit Log'!$B$5:$B$404,A226)&gt;0,"Yes","No"))</f>
        <v>0</v>
      </c>
      <c r="AT226" s="28">
        <f>IF(A226="","",IFERROR(INDEX(Invoices!$A$5:$A$304,MATCH(A226,Invoices!$E$5:$E$304,0)),""))</f>
        <v>0</v>
      </c>
      <c r="AU226" s="49">
        <f>IF(A226="","",IF(AT226="","Not invoiced",IFERROR(INDEX(Invoices!$U$5:$U$304,MATCH(AT226,Invoices!$A$5:$A$304,0)),"")))</f>
        <v>0</v>
      </c>
      <c r="AY226" s="28">
        <f>IF(I226="","",TEXT(I226,"yyyy-mm"))</f>
        <v>0</v>
      </c>
      <c r="AZ226" s="49">
        <f>IF(I226="","",IF(AM226="Cancelled","Cancelled",IF(AND(I226&lt;TODAY(),OR(AM226="Pending",AM226="Confirmed",AM226="Enquiry")),"Overdue - update status",IF(AND(AM226="Completed",AS226="No"),"Action - log the visit",IF(I226=TODAY(),"Today",IF(AND(I226&gt;TODAY(),I226-TODAY()&lt;=ReminderLeadDays,AN226&lt;&gt;"Yes"),"Action - unconfirmed",IF(AND(I226&gt;TODAY(),I226-TODAY()&lt;=ReminderLeadDays),"Upcoming","OK")))))))</f>
        <v>0</v>
      </c>
    </row>
    <row r="227" spans="1:52">
      <c r="A227" s="46">
        <f>IF(C227="","",BookingPrefix&amp;TEXT(ROW()-4,"0000"))</f>
        <v>0</v>
      </c>
      <c r="D227" s="28">
        <f>IF(C227="","",IFERROR(INDEX(Clients!$A$5:$A$254,MATCH(C227,Clients!$B$5:$B$254,0)),""))</f>
        <v>0</v>
      </c>
      <c r="J227" s="50">
        <f>IF(I227="","",TEXT(I227,"ddd"))</f>
        <v>0</v>
      </c>
      <c r="M227" s="51">
        <f>IF(OR(K227="",L227=""),"",ROUND((L227-K227+IF(L227&lt;K227,1,0))*24,2))</f>
        <v>0</v>
      </c>
      <c r="O227" s="28">
        <f>IF(H227="","",IFERROR(INDEX(Services!$E$5:$E$54,MATCH(H227,Services!$B$5:$B$54,0)),""))</f>
        <v>0</v>
      </c>
      <c r="P227" s="29">
        <f>IF(H227="","",IFERROR(INDEX(Services!$G$5:$G$54,MATCH(H227,Services!$B$5:$B$54,0)),0))</f>
        <v>0</v>
      </c>
      <c r="Q227" s="29">
        <f>IF(H227="","",IF(IFERROR(INDEX(Services!$H$5:$H$54,MATCH(H227,Services!$B$5:$B$54,0)),0)=0,ExtraPetFeeDefault,IFERROR(INDEX(Services!$H$5:$H$54,MATCH(H227,Services!$B$5:$B$54,0)),0)))</f>
        <v>0</v>
      </c>
      <c r="R227" s="30">
        <f>IF(H227="","",IF(IFERROR(INDEX(Services!$I$5:$I$54,MATCH(H227,Services!$B$5:$B$54,0)),0)=0,HolidaySurcharge,IFERROR(INDEX(Services!$I$5:$I$54,MATCH(H227,Services!$B$5:$B$54,0)),0)))</f>
        <v>0</v>
      </c>
      <c r="S227" s="30">
        <f>IF(H227="","",IF(IFERROR(INDEX(Services!$J$5:$J$54,MATCH(H227,Services!$B$5:$B$54,0)),0)=0,WeekendSurcharge,IFERROR(INDEX(Services!$J$5:$J$54,MATCH(H227,Services!$B$5:$B$54,0)),0)))</f>
        <v>0</v>
      </c>
      <c r="T227" s="50">
        <f>IF(H227="","",IFERROR(INDEX(Services!$K$5:$K$54,MATCH(H227,Services!$B$5:$B$54,0)),"No"))</f>
        <v>0</v>
      </c>
      <c r="U227" s="29">
        <f>IF(H227="","",ROUND(IF(O227="Per hour",P227*IF(M227="",IF(N227="",1,N227),M227),P227*IF(N227="",1,N227)),2))</f>
        <v>0</v>
      </c>
      <c r="V227" s="29">
        <f>IF(H227="","",ROUND(MAX(0,IF(G227="",1,G227)-1)*Q227,2))</f>
        <v>0</v>
      </c>
      <c r="W227" s="50">
        <f>IF(I227="","",IF(COUNTIF(HolidayDates,I227)&gt;0,"Yes","No"))</f>
        <v>0</v>
      </c>
      <c r="X227" s="50">
        <f>IF(I227="","",IF(WEEKDAY(I227,2)&gt;5,"Yes","No"))</f>
        <v>0</v>
      </c>
      <c r="Y227" s="29">
        <f>IF(H227="","",ROUND((U227+V227)*(IF(W227="Yes",R227,0)+IF(X227="Yes",S227,0)),2))</f>
        <v>0</v>
      </c>
      <c r="AA227" s="29">
        <f>IF(H227="","",IF(T227&lt;&gt;"Yes",0,ROUND(MAX(0,IF(Z227="",0,Z227)-FreeTravelDistance)*TravelFeeRate,2)))</f>
        <v>0</v>
      </c>
      <c r="AB227" s="31">
        <f>IF(I227="","",TravelTimeMins)</f>
        <v>0</v>
      </c>
      <c r="AC227" s="29">
        <f>IF(OR(I227="",B227=""),0,IF(I227-B227&lt;=LastMinuteDays,EmergencyFee,0))</f>
        <v>0</v>
      </c>
      <c r="AF227" s="29">
        <f>IF(H227="","",ROUND((U227+V227+Y227+AA227+AC227)*IF(AE227="",0,AE227),2))</f>
        <v>0</v>
      </c>
      <c r="AI227" s="29">
        <f>IF(H227="","",IF(AG227&lt;&gt;"",AG227,ROUND(U227+V227+Y227+AA227+AC227-AF227,2)))</f>
        <v>0</v>
      </c>
      <c r="AJ227" s="29">
        <f>IF(AI227="","",IF(TaxRegistered&lt;&gt;"Yes",0,IF(PricesIncludeTax="Yes",ROUND(AI227-AI227/(1+TaxRate),2),ROUND(AI227*TaxRate,2))))</f>
        <v>0</v>
      </c>
      <c r="AK227" s="29">
        <f>IF(AI227="","",IF(PricesIncludeTax="Yes",AI227,ROUND(AI227+AJ227,2)))</f>
        <v>0</v>
      </c>
      <c r="AQ227" s="21">
        <f>IF(OR(I227="",AP227="",AP227="None"),"",IF(AP227="Monthly",EDATE(I227,1),I227+IF(AP227="Daily",1,IF(AP227="Weekdays",IF(WEEKDAY(I227,2)&gt;=5,8-WEEKDAY(I227,2),1),IF(AP227="Weekly",7,IF(AP227="Fortnightly",14,0))))))</f>
        <v>0</v>
      </c>
      <c r="AR227" s="49">
        <f>IF(OR(I227="",AL227="",K227="",L227=""),"",IF(SUMPRODUCT((Bookings!$AL$5:$AL$404=AL227)*(Bookings!$I$5:$I$404=I227)*(Bookings!$K$5:$K$404&lt;L227)*(Bookings!$L$5:$L$404&gt;K227)*(Bookings!$AM$5:$AM$404&lt;&gt;"Cancelled"))&gt;1,"Conflict - double booked","OK"))</f>
        <v>0</v>
      </c>
      <c r="AS227" s="50">
        <f>IF(A227="","",IF(COUNTIF('Visit Log'!$B$5:$B$404,A227)&gt;0,"Yes","No"))</f>
        <v>0</v>
      </c>
      <c r="AT227" s="28">
        <f>IF(A227="","",IFERROR(INDEX(Invoices!$A$5:$A$304,MATCH(A227,Invoices!$E$5:$E$304,0)),""))</f>
        <v>0</v>
      </c>
      <c r="AU227" s="49">
        <f>IF(A227="","",IF(AT227="","Not invoiced",IFERROR(INDEX(Invoices!$U$5:$U$304,MATCH(AT227,Invoices!$A$5:$A$304,0)),"")))</f>
        <v>0</v>
      </c>
      <c r="AY227" s="28">
        <f>IF(I227="","",TEXT(I227,"yyyy-mm"))</f>
        <v>0</v>
      </c>
      <c r="AZ227" s="49">
        <f>IF(I227="","",IF(AM227="Cancelled","Cancelled",IF(AND(I227&lt;TODAY(),OR(AM227="Pending",AM227="Confirmed",AM227="Enquiry")),"Overdue - update status",IF(AND(AM227="Completed",AS227="No"),"Action - log the visit",IF(I227=TODAY(),"Today",IF(AND(I227&gt;TODAY(),I227-TODAY()&lt;=ReminderLeadDays,AN227&lt;&gt;"Yes"),"Action - unconfirmed",IF(AND(I227&gt;TODAY(),I227-TODAY()&lt;=ReminderLeadDays),"Upcoming","OK")))))))</f>
        <v>0</v>
      </c>
    </row>
    <row r="228" spans="1:52">
      <c r="A228" s="46">
        <f>IF(C228="","",BookingPrefix&amp;TEXT(ROW()-4,"0000"))</f>
        <v>0</v>
      </c>
      <c r="D228" s="28">
        <f>IF(C228="","",IFERROR(INDEX(Clients!$A$5:$A$254,MATCH(C228,Clients!$B$5:$B$254,0)),""))</f>
        <v>0</v>
      </c>
      <c r="J228" s="50">
        <f>IF(I228="","",TEXT(I228,"ddd"))</f>
        <v>0</v>
      </c>
      <c r="M228" s="51">
        <f>IF(OR(K228="",L228=""),"",ROUND((L228-K228+IF(L228&lt;K228,1,0))*24,2))</f>
        <v>0</v>
      </c>
      <c r="O228" s="28">
        <f>IF(H228="","",IFERROR(INDEX(Services!$E$5:$E$54,MATCH(H228,Services!$B$5:$B$54,0)),""))</f>
        <v>0</v>
      </c>
      <c r="P228" s="29">
        <f>IF(H228="","",IFERROR(INDEX(Services!$G$5:$G$54,MATCH(H228,Services!$B$5:$B$54,0)),0))</f>
        <v>0</v>
      </c>
      <c r="Q228" s="29">
        <f>IF(H228="","",IF(IFERROR(INDEX(Services!$H$5:$H$54,MATCH(H228,Services!$B$5:$B$54,0)),0)=0,ExtraPetFeeDefault,IFERROR(INDEX(Services!$H$5:$H$54,MATCH(H228,Services!$B$5:$B$54,0)),0)))</f>
        <v>0</v>
      </c>
      <c r="R228" s="30">
        <f>IF(H228="","",IF(IFERROR(INDEX(Services!$I$5:$I$54,MATCH(H228,Services!$B$5:$B$54,0)),0)=0,HolidaySurcharge,IFERROR(INDEX(Services!$I$5:$I$54,MATCH(H228,Services!$B$5:$B$54,0)),0)))</f>
        <v>0</v>
      </c>
      <c r="S228" s="30">
        <f>IF(H228="","",IF(IFERROR(INDEX(Services!$J$5:$J$54,MATCH(H228,Services!$B$5:$B$54,0)),0)=0,WeekendSurcharge,IFERROR(INDEX(Services!$J$5:$J$54,MATCH(H228,Services!$B$5:$B$54,0)),0)))</f>
        <v>0</v>
      </c>
      <c r="T228" s="50">
        <f>IF(H228="","",IFERROR(INDEX(Services!$K$5:$K$54,MATCH(H228,Services!$B$5:$B$54,0)),"No"))</f>
        <v>0</v>
      </c>
      <c r="U228" s="29">
        <f>IF(H228="","",ROUND(IF(O228="Per hour",P228*IF(M228="",IF(N228="",1,N228),M228),P228*IF(N228="",1,N228)),2))</f>
        <v>0</v>
      </c>
      <c r="V228" s="29">
        <f>IF(H228="","",ROUND(MAX(0,IF(G228="",1,G228)-1)*Q228,2))</f>
        <v>0</v>
      </c>
      <c r="W228" s="50">
        <f>IF(I228="","",IF(COUNTIF(HolidayDates,I228)&gt;0,"Yes","No"))</f>
        <v>0</v>
      </c>
      <c r="X228" s="50">
        <f>IF(I228="","",IF(WEEKDAY(I228,2)&gt;5,"Yes","No"))</f>
        <v>0</v>
      </c>
      <c r="Y228" s="29">
        <f>IF(H228="","",ROUND((U228+V228)*(IF(W228="Yes",R228,0)+IF(X228="Yes",S228,0)),2))</f>
        <v>0</v>
      </c>
      <c r="AA228" s="29">
        <f>IF(H228="","",IF(T228&lt;&gt;"Yes",0,ROUND(MAX(0,IF(Z228="",0,Z228)-FreeTravelDistance)*TravelFeeRate,2)))</f>
        <v>0</v>
      </c>
      <c r="AB228" s="31">
        <f>IF(I228="","",TravelTimeMins)</f>
        <v>0</v>
      </c>
      <c r="AC228" s="29">
        <f>IF(OR(I228="",B228=""),0,IF(I228-B228&lt;=LastMinuteDays,EmergencyFee,0))</f>
        <v>0</v>
      </c>
      <c r="AF228" s="29">
        <f>IF(H228="","",ROUND((U228+V228+Y228+AA228+AC228)*IF(AE228="",0,AE228),2))</f>
        <v>0</v>
      </c>
      <c r="AI228" s="29">
        <f>IF(H228="","",IF(AG228&lt;&gt;"",AG228,ROUND(U228+V228+Y228+AA228+AC228-AF228,2)))</f>
        <v>0</v>
      </c>
      <c r="AJ228" s="29">
        <f>IF(AI228="","",IF(TaxRegistered&lt;&gt;"Yes",0,IF(PricesIncludeTax="Yes",ROUND(AI228-AI228/(1+TaxRate),2),ROUND(AI228*TaxRate,2))))</f>
        <v>0</v>
      </c>
      <c r="AK228" s="29">
        <f>IF(AI228="","",IF(PricesIncludeTax="Yes",AI228,ROUND(AI228+AJ228,2)))</f>
        <v>0</v>
      </c>
      <c r="AQ228" s="21">
        <f>IF(OR(I228="",AP228="",AP228="None"),"",IF(AP228="Monthly",EDATE(I228,1),I228+IF(AP228="Daily",1,IF(AP228="Weekdays",IF(WEEKDAY(I228,2)&gt;=5,8-WEEKDAY(I228,2),1),IF(AP228="Weekly",7,IF(AP228="Fortnightly",14,0))))))</f>
        <v>0</v>
      </c>
      <c r="AR228" s="49">
        <f>IF(OR(I228="",AL228="",K228="",L228=""),"",IF(SUMPRODUCT((Bookings!$AL$5:$AL$404=AL228)*(Bookings!$I$5:$I$404=I228)*(Bookings!$K$5:$K$404&lt;L228)*(Bookings!$L$5:$L$404&gt;K228)*(Bookings!$AM$5:$AM$404&lt;&gt;"Cancelled"))&gt;1,"Conflict - double booked","OK"))</f>
        <v>0</v>
      </c>
      <c r="AS228" s="50">
        <f>IF(A228="","",IF(COUNTIF('Visit Log'!$B$5:$B$404,A228)&gt;0,"Yes","No"))</f>
        <v>0</v>
      </c>
      <c r="AT228" s="28">
        <f>IF(A228="","",IFERROR(INDEX(Invoices!$A$5:$A$304,MATCH(A228,Invoices!$E$5:$E$304,0)),""))</f>
        <v>0</v>
      </c>
      <c r="AU228" s="49">
        <f>IF(A228="","",IF(AT228="","Not invoiced",IFERROR(INDEX(Invoices!$U$5:$U$304,MATCH(AT228,Invoices!$A$5:$A$304,0)),"")))</f>
        <v>0</v>
      </c>
      <c r="AY228" s="28">
        <f>IF(I228="","",TEXT(I228,"yyyy-mm"))</f>
        <v>0</v>
      </c>
      <c r="AZ228" s="49">
        <f>IF(I228="","",IF(AM228="Cancelled","Cancelled",IF(AND(I228&lt;TODAY(),OR(AM228="Pending",AM228="Confirmed",AM228="Enquiry")),"Overdue - update status",IF(AND(AM228="Completed",AS228="No"),"Action - log the visit",IF(I228=TODAY(),"Today",IF(AND(I228&gt;TODAY(),I228-TODAY()&lt;=ReminderLeadDays,AN228&lt;&gt;"Yes"),"Action - unconfirmed",IF(AND(I228&gt;TODAY(),I228-TODAY()&lt;=ReminderLeadDays),"Upcoming","OK")))))))</f>
        <v>0</v>
      </c>
    </row>
    <row r="229" spans="1:52">
      <c r="A229" s="46">
        <f>IF(C229="","",BookingPrefix&amp;TEXT(ROW()-4,"0000"))</f>
        <v>0</v>
      </c>
      <c r="D229" s="28">
        <f>IF(C229="","",IFERROR(INDEX(Clients!$A$5:$A$254,MATCH(C229,Clients!$B$5:$B$254,0)),""))</f>
        <v>0</v>
      </c>
      <c r="J229" s="50">
        <f>IF(I229="","",TEXT(I229,"ddd"))</f>
        <v>0</v>
      </c>
      <c r="M229" s="51">
        <f>IF(OR(K229="",L229=""),"",ROUND((L229-K229+IF(L229&lt;K229,1,0))*24,2))</f>
        <v>0</v>
      </c>
      <c r="O229" s="28">
        <f>IF(H229="","",IFERROR(INDEX(Services!$E$5:$E$54,MATCH(H229,Services!$B$5:$B$54,0)),""))</f>
        <v>0</v>
      </c>
      <c r="P229" s="29">
        <f>IF(H229="","",IFERROR(INDEX(Services!$G$5:$G$54,MATCH(H229,Services!$B$5:$B$54,0)),0))</f>
        <v>0</v>
      </c>
      <c r="Q229" s="29">
        <f>IF(H229="","",IF(IFERROR(INDEX(Services!$H$5:$H$54,MATCH(H229,Services!$B$5:$B$54,0)),0)=0,ExtraPetFeeDefault,IFERROR(INDEX(Services!$H$5:$H$54,MATCH(H229,Services!$B$5:$B$54,0)),0)))</f>
        <v>0</v>
      </c>
      <c r="R229" s="30">
        <f>IF(H229="","",IF(IFERROR(INDEX(Services!$I$5:$I$54,MATCH(H229,Services!$B$5:$B$54,0)),0)=0,HolidaySurcharge,IFERROR(INDEX(Services!$I$5:$I$54,MATCH(H229,Services!$B$5:$B$54,0)),0)))</f>
        <v>0</v>
      </c>
      <c r="S229" s="30">
        <f>IF(H229="","",IF(IFERROR(INDEX(Services!$J$5:$J$54,MATCH(H229,Services!$B$5:$B$54,0)),0)=0,WeekendSurcharge,IFERROR(INDEX(Services!$J$5:$J$54,MATCH(H229,Services!$B$5:$B$54,0)),0)))</f>
        <v>0</v>
      </c>
      <c r="T229" s="50">
        <f>IF(H229="","",IFERROR(INDEX(Services!$K$5:$K$54,MATCH(H229,Services!$B$5:$B$54,0)),"No"))</f>
        <v>0</v>
      </c>
      <c r="U229" s="29">
        <f>IF(H229="","",ROUND(IF(O229="Per hour",P229*IF(M229="",IF(N229="",1,N229),M229),P229*IF(N229="",1,N229)),2))</f>
        <v>0</v>
      </c>
      <c r="V229" s="29">
        <f>IF(H229="","",ROUND(MAX(0,IF(G229="",1,G229)-1)*Q229,2))</f>
        <v>0</v>
      </c>
      <c r="W229" s="50">
        <f>IF(I229="","",IF(COUNTIF(HolidayDates,I229)&gt;0,"Yes","No"))</f>
        <v>0</v>
      </c>
      <c r="X229" s="50">
        <f>IF(I229="","",IF(WEEKDAY(I229,2)&gt;5,"Yes","No"))</f>
        <v>0</v>
      </c>
      <c r="Y229" s="29">
        <f>IF(H229="","",ROUND((U229+V229)*(IF(W229="Yes",R229,0)+IF(X229="Yes",S229,0)),2))</f>
        <v>0</v>
      </c>
      <c r="AA229" s="29">
        <f>IF(H229="","",IF(T229&lt;&gt;"Yes",0,ROUND(MAX(0,IF(Z229="",0,Z229)-FreeTravelDistance)*TravelFeeRate,2)))</f>
        <v>0</v>
      </c>
      <c r="AB229" s="31">
        <f>IF(I229="","",TravelTimeMins)</f>
        <v>0</v>
      </c>
      <c r="AC229" s="29">
        <f>IF(OR(I229="",B229=""),0,IF(I229-B229&lt;=LastMinuteDays,EmergencyFee,0))</f>
        <v>0</v>
      </c>
      <c r="AF229" s="29">
        <f>IF(H229="","",ROUND((U229+V229+Y229+AA229+AC229)*IF(AE229="",0,AE229),2))</f>
        <v>0</v>
      </c>
      <c r="AI229" s="29">
        <f>IF(H229="","",IF(AG229&lt;&gt;"",AG229,ROUND(U229+V229+Y229+AA229+AC229-AF229,2)))</f>
        <v>0</v>
      </c>
      <c r="AJ229" s="29">
        <f>IF(AI229="","",IF(TaxRegistered&lt;&gt;"Yes",0,IF(PricesIncludeTax="Yes",ROUND(AI229-AI229/(1+TaxRate),2),ROUND(AI229*TaxRate,2))))</f>
        <v>0</v>
      </c>
      <c r="AK229" s="29">
        <f>IF(AI229="","",IF(PricesIncludeTax="Yes",AI229,ROUND(AI229+AJ229,2)))</f>
        <v>0</v>
      </c>
      <c r="AQ229" s="21">
        <f>IF(OR(I229="",AP229="",AP229="None"),"",IF(AP229="Monthly",EDATE(I229,1),I229+IF(AP229="Daily",1,IF(AP229="Weekdays",IF(WEEKDAY(I229,2)&gt;=5,8-WEEKDAY(I229,2),1),IF(AP229="Weekly",7,IF(AP229="Fortnightly",14,0))))))</f>
        <v>0</v>
      </c>
      <c r="AR229" s="49">
        <f>IF(OR(I229="",AL229="",K229="",L229=""),"",IF(SUMPRODUCT((Bookings!$AL$5:$AL$404=AL229)*(Bookings!$I$5:$I$404=I229)*(Bookings!$K$5:$K$404&lt;L229)*(Bookings!$L$5:$L$404&gt;K229)*(Bookings!$AM$5:$AM$404&lt;&gt;"Cancelled"))&gt;1,"Conflict - double booked","OK"))</f>
        <v>0</v>
      </c>
      <c r="AS229" s="50">
        <f>IF(A229="","",IF(COUNTIF('Visit Log'!$B$5:$B$404,A229)&gt;0,"Yes","No"))</f>
        <v>0</v>
      </c>
      <c r="AT229" s="28">
        <f>IF(A229="","",IFERROR(INDEX(Invoices!$A$5:$A$304,MATCH(A229,Invoices!$E$5:$E$304,0)),""))</f>
        <v>0</v>
      </c>
      <c r="AU229" s="49">
        <f>IF(A229="","",IF(AT229="","Not invoiced",IFERROR(INDEX(Invoices!$U$5:$U$304,MATCH(AT229,Invoices!$A$5:$A$304,0)),"")))</f>
        <v>0</v>
      </c>
      <c r="AY229" s="28">
        <f>IF(I229="","",TEXT(I229,"yyyy-mm"))</f>
        <v>0</v>
      </c>
      <c r="AZ229" s="49">
        <f>IF(I229="","",IF(AM229="Cancelled","Cancelled",IF(AND(I229&lt;TODAY(),OR(AM229="Pending",AM229="Confirmed",AM229="Enquiry")),"Overdue - update status",IF(AND(AM229="Completed",AS229="No"),"Action - log the visit",IF(I229=TODAY(),"Today",IF(AND(I229&gt;TODAY(),I229-TODAY()&lt;=ReminderLeadDays,AN229&lt;&gt;"Yes"),"Action - unconfirmed",IF(AND(I229&gt;TODAY(),I229-TODAY()&lt;=ReminderLeadDays),"Upcoming","OK")))))))</f>
        <v>0</v>
      </c>
    </row>
    <row r="230" spans="1:52">
      <c r="A230" s="46">
        <f>IF(C230="","",BookingPrefix&amp;TEXT(ROW()-4,"0000"))</f>
        <v>0</v>
      </c>
      <c r="D230" s="28">
        <f>IF(C230="","",IFERROR(INDEX(Clients!$A$5:$A$254,MATCH(C230,Clients!$B$5:$B$254,0)),""))</f>
        <v>0</v>
      </c>
      <c r="J230" s="50">
        <f>IF(I230="","",TEXT(I230,"ddd"))</f>
        <v>0</v>
      </c>
      <c r="M230" s="51">
        <f>IF(OR(K230="",L230=""),"",ROUND((L230-K230+IF(L230&lt;K230,1,0))*24,2))</f>
        <v>0</v>
      </c>
      <c r="O230" s="28">
        <f>IF(H230="","",IFERROR(INDEX(Services!$E$5:$E$54,MATCH(H230,Services!$B$5:$B$54,0)),""))</f>
        <v>0</v>
      </c>
      <c r="P230" s="29">
        <f>IF(H230="","",IFERROR(INDEX(Services!$G$5:$G$54,MATCH(H230,Services!$B$5:$B$54,0)),0))</f>
        <v>0</v>
      </c>
      <c r="Q230" s="29">
        <f>IF(H230="","",IF(IFERROR(INDEX(Services!$H$5:$H$54,MATCH(H230,Services!$B$5:$B$54,0)),0)=0,ExtraPetFeeDefault,IFERROR(INDEX(Services!$H$5:$H$54,MATCH(H230,Services!$B$5:$B$54,0)),0)))</f>
        <v>0</v>
      </c>
      <c r="R230" s="30">
        <f>IF(H230="","",IF(IFERROR(INDEX(Services!$I$5:$I$54,MATCH(H230,Services!$B$5:$B$54,0)),0)=0,HolidaySurcharge,IFERROR(INDEX(Services!$I$5:$I$54,MATCH(H230,Services!$B$5:$B$54,0)),0)))</f>
        <v>0</v>
      </c>
      <c r="S230" s="30">
        <f>IF(H230="","",IF(IFERROR(INDEX(Services!$J$5:$J$54,MATCH(H230,Services!$B$5:$B$54,0)),0)=0,WeekendSurcharge,IFERROR(INDEX(Services!$J$5:$J$54,MATCH(H230,Services!$B$5:$B$54,0)),0)))</f>
        <v>0</v>
      </c>
      <c r="T230" s="50">
        <f>IF(H230="","",IFERROR(INDEX(Services!$K$5:$K$54,MATCH(H230,Services!$B$5:$B$54,0)),"No"))</f>
        <v>0</v>
      </c>
      <c r="U230" s="29">
        <f>IF(H230="","",ROUND(IF(O230="Per hour",P230*IF(M230="",IF(N230="",1,N230),M230),P230*IF(N230="",1,N230)),2))</f>
        <v>0</v>
      </c>
      <c r="V230" s="29">
        <f>IF(H230="","",ROUND(MAX(0,IF(G230="",1,G230)-1)*Q230,2))</f>
        <v>0</v>
      </c>
      <c r="W230" s="50">
        <f>IF(I230="","",IF(COUNTIF(HolidayDates,I230)&gt;0,"Yes","No"))</f>
        <v>0</v>
      </c>
      <c r="X230" s="50">
        <f>IF(I230="","",IF(WEEKDAY(I230,2)&gt;5,"Yes","No"))</f>
        <v>0</v>
      </c>
      <c r="Y230" s="29">
        <f>IF(H230="","",ROUND((U230+V230)*(IF(W230="Yes",R230,0)+IF(X230="Yes",S230,0)),2))</f>
        <v>0</v>
      </c>
      <c r="AA230" s="29">
        <f>IF(H230="","",IF(T230&lt;&gt;"Yes",0,ROUND(MAX(0,IF(Z230="",0,Z230)-FreeTravelDistance)*TravelFeeRate,2)))</f>
        <v>0</v>
      </c>
      <c r="AB230" s="31">
        <f>IF(I230="","",TravelTimeMins)</f>
        <v>0</v>
      </c>
      <c r="AC230" s="29">
        <f>IF(OR(I230="",B230=""),0,IF(I230-B230&lt;=LastMinuteDays,EmergencyFee,0))</f>
        <v>0</v>
      </c>
      <c r="AF230" s="29">
        <f>IF(H230="","",ROUND((U230+V230+Y230+AA230+AC230)*IF(AE230="",0,AE230),2))</f>
        <v>0</v>
      </c>
      <c r="AI230" s="29">
        <f>IF(H230="","",IF(AG230&lt;&gt;"",AG230,ROUND(U230+V230+Y230+AA230+AC230-AF230,2)))</f>
        <v>0</v>
      </c>
      <c r="AJ230" s="29">
        <f>IF(AI230="","",IF(TaxRegistered&lt;&gt;"Yes",0,IF(PricesIncludeTax="Yes",ROUND(AI230-AI230/(1+TaxRate),2),ROUND(AI230*TaxRate,2))))</f>
        <v>0</v>
      </c>
      <c r="AK230" s="29">
        <f>IF(AI230="","",IF(PricesIncludeTax="Yes",AI230,ROUND(AI230+AJ230,2)))</f>
        <v>0</v>
      </c>
      <c r="AQ230" s="21">
        <f>IF(OR(I230="",AP230="",AP230="None"),"",IF(AP230="Monthly",EDATE(I230,1),I230+IF(AP230="Daily",1,IF(AP230="Weekdays",IF(WEEKDAY(I230,2)&gt;=5,8-WEEKDAY(I230,2),1),IF(AP230="Weekly",7,IF(AP230="Fortnightly",14,0))))))</f>
        <v>0</v>
      </c>
      <c r="AR230" s="49">
        <f>IF(OR(I230="",AL230="",K230="",L230=""),"",IF(SUMPRODUCT((Bookings!$AL$5:$AL$404=AL230)*(Bookings!$I$5:$I$404=I230)*(Bookings!$K$5:$K$404&lt;L230)*(Bookings!$L$5:$L$404&gt;K230)*(Bookings!$AM$5:$AM$404&lt;&gt;"Cancelled"))&gt;1,"Conflict - double booked","OK"))</f>
        <v>0</v>
      </c>
      <c r="AS230" s="50">
        <f>IF(A230="","",IF(COUNTIF('Visit Log'!$B$5:$B$404,A230)&gt;0,"Yes","No"))</f>
        <v>0</v>
      </c>
      <c r="AT230" s="28">
        <f>IF(A230="","",IFERROR(INDEX(Invoices!$A$5:$A$304,MATCH(A230,Invoices!$E$5:$E$304,0)),""))</f>
        <v>0</v>
      </c>
      <c r="AU230" s="49">
        <f>IF(A230="","",IF(AT230="","Not invoiced",IFERROR(INDEX(Invoices!$U$5:$U$304,MATCH(AT230,Invoices!$A$5:$A$304,0)),"")))</f>
        <v>0</v>
      </c>
      <c r="AY230" s="28">
        <f>IF(I230="","",TEXT(I230,"yyyy-mm"))</f>
        <v>0</v>
      </c>
      <c r="AZ230" s="49">
        <f>IF(I230="","",IF(AM230="Cancelled","Cancelled",IF(AND(I230&lt;TODAY(),OR(AM230="Pending",AM230="Confirmed",AM230="Enquiry")),"Overdue - update status",IF(AND(AM230="Completed",AS230="No"),"Action - log the visit",IF(I230=TODAY(),"Today",IF(AND(I230&gt;TODAY(),I230-TODAY()&lt;=ReminderLeadDays,AN230&lt;&gt;"Yes"),"Action - unconfirmed",IF(AND(I230&gt;TODAY(),I230-TODAY()&lt;=ReminderLeadDays),"Upcoming","OK")))))))</f>
        <v>0</v>
      </c>
    </row>
    <row r="231" spans="1:52">
      <c r="A231" s="46">
        <f>IF(C231="","",BookingPrefix&amp;TEXT(ROW()-4,"0000"))</f>
        <v>0</v>
      </c>
      <c r="D231" s="28">
        <f>IF(C231="","",IFERROR(INDEX(Clients!$A$5:$A$254,MATCH(C231,Clients!$B$5:$B$254,0)),""))</f>
        <v>0</v>
      </c>
      <c r="J231" s="50">
        <f>IF(I231="","",TEXT(I231,"ddd"))</f>
        <v>0</v>
      </c>
      <c r="M231" s="51">
        <f>IF(OR(K231="",L231=""),"",ROUND((L231-K231+IF(L231&lt;K231,1,0))*24,2))</f>
        <v>0</v>
      </c>
      <c r="O231" s="28">
        <f>IF(H231="","",IFERROR(INDEX(Services!$E$5:$E$54,MATCH(H231,Services!$B$5:$B$54,0)),""))</f>
        <v>0</v>
      </c>
      <c r="P231" s="29">
        <f>IF(H231="","",IFERROR(INDEX(Services!$G$5:$G$54,MATCH(H231,Services!$B$5:$B$54,0)),0))</f>
        <v>0</v>
      </c>
      <c r="Q231" s="29">
        <f>IF(H231="","",IF(IFERROR(INDEX(Services!$H$5:$H$54,MATCH(H231,Services!$B$5:$B$54,0)),0)=0,ExtraPetFeeDefault,IFERROR(INDEX(Services!$H$5:$H$54,MATCH(H231,Services!$B$5:$B$54,0)),0)))</f>
        <v>0</v>
      </c>
      <c r="R231" s="30">
        <f>IF(H231="","",IF(IFERROR(INDEX(Services!$I$5:$I$54,MATCH(H231,Services!$B$5:$B$54,0)),0)=0,HolidaySurcharge,IFERROR(INDEX(Services!$I$5:$I$54,MATCH(H231,Services!$B$5:$B$54,0)),0)))</f>
        <v>0</v>
      </c>
      <c r="S231" s="30">
        <f>IF(H231="","",IF(IFERROR(INDEX(Services!$J$5:$J$54,MATCH(H231,Services!$B$5:$B$54,0)),0)=0,WeekendSurcharge,IFERROR(INDEX(Services!$J$5:$J$54,MATCH(H231,Services!$B$5:$B$54,0)),0)))</f>
        <v>0</v>
      </c>
      <c r="T231" s="50">
        <f>IF(H231="","",IFERROR(INDEX(Services!$K$5:$K$54,MATCH(H231,Services!$B$5:$B$54,0)),"No"))</f>
        <v>0</v>
      </c>
      <c r="U231" s="29">
        <f>IF(H231="","",ROUND(IF(O231="Per hour",P231*IF(M231="",IF(N231="",1,N231),M231),P231*IF(N231="",1,N231)),2))</f>
        <v>0</v>
      </c>
      <c r="V231" s="29">
        <f>IF(H231="","",ROUND(MAX(0,IF(G231="",1,G231)-1)*Q231,2))</f>
        <v>0</v>
      </c>
      <c r="W231" s="50">
        <f>IF(I231="","",IF(COUNTIF(HolidayDates,I231)&gt;0,"Yes","No"))</f>
        <v>0</v>
      </c>
      <c r="X231" s="50">
        <f>IF(I231="","",IF(WEEKDAY(I231,2)&gt;5,"Yes","No"))</f>
        <v>0</v>
      </c>
      <c r="Y231" s="29">
        <f>IF(H231="","",ROUND((U231+V231)*(IF(W231="Yes",R231,0)+IF(X231="Yes",S231,0)),2))</f>
        <v>0</v>
      </c>
      <c r="AA231" s="29">
        <f>IF(H231="","",IF(T231&lt;&gt;"Yes",0,ROUND(MAX(0,IF(Z231="",0,Z231)-FreeTravelDistance)*TravelFeeRate,2)))</f>
        <v>0</v>
      </c>
      <c r="AB231" s="31">
        <f>IF(I231="","",TravelTimeMins)</f>
        <v>0</v>
      </c>
      <c r="AC231" s="29">
        <f>IF(OR(I231="",B231=""),0,IF(I231-B231&lt;=LastMinuteDays,EmergencyFee,0))</f>
        <v>0</v>
      </c>
      <c r="AF231" s="29">
        <f>IF(H231="","",ROUND((U231+V231+Y231+AA231+AC231)*IF(AE231="",0,AE231),2))</f>
        <v>0</v>
      </c>
      <c r="AI231" s="29">
        <f>IF(H231="","",IF(AG231&lt;&gt;"",AG231,ROUND(U231+V231+Y231+AA231+AC231-AF231,2)))</f>
        <v>0</v>
      </c>
      <c r="AJ231" s="29">
        <f>IF(AI231="","",IF(TaxRegistered&lt;&gt;"Yes",0,IF(PricesIncludeTax="Yes",ROUND(AI231-AI231/(1+TaxRate),2),ROUND(AI231*TaxRate,2))))</f>
        <v>0</v>
      </c>
      <c r="AK231" s="29">
        <f>IF(AI231="","",IF(PricesIncludeTax="Yes",AI231,ROUND(AI231+AJ231,2)))</f>
        <v>0</v>
      </c>
      <c r="AQ231" s="21">
        <f>IF(OR(I231="",AP231="",AP231="None"),"",IF(AP231="Monthly",EDATE(I231,1),I231+IF(AP231="Daily",1,IF(AP231="Weekdays",IF(WEEKDAY(I231,2)&gt;=5,8-WEEKDAY(I231,2),1),IF(AP231="Weekly",7,IF(AP231="Fortnightly",14,0))))))</f>
        <v>0</v>
      </c>
      <c r="AR231" s="49">
        <f>IF(OR(I231="",AL231="",K231="",L231=""),"",IF(SUMPRODUCT((Bookings!$AL$5:$AL$404=AL231)*(Bookings!$I$5:$I$404=I231)*(Bookings!$K$5:$K$404&lt;L231)*(Bookings!$L$5:$L$404&gt;K231)*(Bookings!$AM$5:$AM$404&lt;&gt;"Cancelled"))&gt;1,"Conflict - double booked","OK"))</f>
        <v>0</v>
      </c>
      <c r="AS231" s="50">
        <f>IF(A231="","",IF(COUNTIF('Visit Log'!$B$5:$B$404,A231)&gt;0,"Yes","No"))</f>
        <v>0</v>
      </c>
      <c r="AT231" s="28">
        <f>IF(A231="","",IFERROR(INDEX(Invoices!$A$5:$A$304,MATCH(A231,Invoices!$E$5:$E$304,0)),""))</f>
        <v>0</v>
      </c>
      <c r="AU231" s="49">
        <f>IF(A231="","",IF(AT231="","Not invoiced",IFERROR(INDEX(Invoices!$U$5:$U$304,MATCH(AT231,Invoices!$A$5:$A$304,0)),"")))</f>
        <v>0</v>
      </c>
      <c r="AY231" s="28">
        <f>IF(I231="","",TEXT(I231,"yyyy-mm"))</f>
        <v>0</v>
      </c>
      <c r="AZ231" s="49">
        <f>IF(I231="","",IF(AM231="Cancelled","Cancelled",IF(AND(I231&lt;TODAY(),OR(AM231="Pending",AM231="Confirmed",AM231="Enquiry")),"Overdue - update status",IF(AND(AM231="Completed",AS231="No"),"Action - log the visit",IF(I231=TODAY(),"Today",IF(AND(I231&gt;TODAY(),I231-TODAY()&lt;=ReminderLeadDays,AN231&lt;&gt;"Yes"),"Action - unconfirmed",IF(AND(I231&gt;TODAY(),I231-TODAY()&lt;=ReminderLeadDays),"Upcoming","OK")))))))</f>
        <v>0</v>
      </c>
    </row>
    <row r="232" spans="1:52">
      <c r="A232" s="46">
        <f>IF(C232="","",BookingPrefix&amp;TEXT(ROW()-4,"0000"))</f>
        <v>0</v>
      </c>
      <c r="D232" s="28">
        <f>IF(C232="","",IFERROR(INDEX(Clients!$A$5:$A$254,MATCH(C232,Clients!$B$5:$B$254,0)),""))</f>
        <v>0</v>
      </c>
      <c r="J232" s="50">
        <f>IF(I232="","",TEXT(I232,"ddd"))</f>
        <v>0</v>
      </c>
      <c r="M232" s="51">
        <f>IF(OR(K232="",L232=""),"",ROUND((L232-K232+IF(L232&lt;K232,1,0))*24,2))</f>
        <v>0</v>
      </c>
      <c r="O232" s="28">
        <f>IF(H232="","",IFERROR(INDEX(Services!$E$5:$E$54,MATCH(H232,Services!$B$5:$B$54,0)),""))</f>
        <v>0</v>
      </c>
      <c r="P232" s="29">
        <f>IF(H232="","",IFERROR(INDEX(Services!$G$5:$G$54,MATCH(H232,Services!$B$5:$B$54,0)),0))</f>
        <v>0</v>
      </c>
      <c r="Q232" s="29">
        <f>IF(H232="","",IF(IFERROR(INDEX(Services!$H$5:$H$54,MATCH(H232,Services!$B$5:$B$54,0)),0)=0,ExtraPetFeeDefault,IFERROR(INDEX(Services!$H$5:$H$54,MATCH(H232,Services!$B$5:$B$54,0)),0)))</f>
        <v>0</v>
      </c>
      <c r="R232" s="30">
        <f>IF(H232="","",IF(IFERROR(INDEX(Services!$I$5:$I$54,MATCH(H232,Services!$B$5:$B$54,0)),0)=0,HolidaySurcharge,IFERROR(INDEX(Services!$I$5:$I$54,MATCH(H232,Services!$B$5:$B$54,0)),0)))</f>
        <v>0</v>
      </c>
      <c r="S232" s="30">
        <f>IF(H232="","",IF(IFERROR(INDEX(Services!$J$5:$J$54,MATCH(H232,Services!$B$5:$B$54,0)),0)=0,WeekendSurcharge,IFERROR(INDEX(Services!$J$5:$J$54,MATCH(H232,Services!$B$5:$B$54,0)),0)))</f>
        <v>0</v>
      </c>
      <c r="T232" s="50">
        <f>IF(H232="","",IFERROR(INDEX(Services!$K$5:$K$54,MATCH(H232,Services!$B$5:$B$54,0)),"No"))</f>
        <v>0</v>
      </c>
      <c r="U232" s="29">
        <f>IF(H232="","",ROUND(IF(O232="Per hour",P232*IF(M232="",IF(N232="",1,N232),M232),P232*IF(N232="",1,N232)),2))</f>
        <v>0</v>
      </c>
      <c r="V232" s="29">
        <f>IF(H232="","",ROUND(MAX(0,IF(G232="",1,G232)-1)*Q232,2))</f>
        <v>0</v>
      </c>
      <c r="W232" s="50">
        <f>IF(I232="","",IF(COUNTIF(HolidayDates,I232)&gt;0,"Yes","No"))</f>
        <v>0</v>
      </c>
      <c r="X232" s="50">
        <f>IF(I232="","",IF(WEEKDAY(I232,2)&gt;5,"Yes","No"))</f>
        <v>0</v>
      </c>
      <c r="Y232" s="29">
        <f>IF(H232="","",ROUND((U232+V232)*(IF(W232="Yes",R232,0)+IF(X232="Yes",S232,0)),2))</f>
        <v>0</v>
      </c>
      <c r="AA232" s="29">
        <f>IF(H232="","",IF(T232&lt;&gt;"Yes",0,ROUND(MAX(0,IF(Z232="",0,Z232)-FreeTravelDistance)*TravelFeeRate,2)))</f>
        <v>0</v>
      </c>
      <c r="AB232" s="31">
        <f>IF(I232="","",TravelTimeMins)</f>
        <v>0</v>
      </c>
      <c r="AC232" s="29">
        <f>IF(OR(I232="",B232=""),0,IF(I232-B232&lt;=LastMinuteDays,EmergencyFee,0))</f>
        <v>0</v>
      </c>
      <c r="AF232" s="29">
        <f>IF(H232="","",ROUND((U232+V232+Y232+AA232+AC232)*IF(AE232="",0,AE232),2))</f>
        <v>0</v>
      </c>
      <c r="AI232" s="29">
        <f>IF(H232="","",IF(AG232&lt;&gt;"",AG232,ROUND(U232+V232+Y232+AA232+AC232-AF232,2)))</f>
        <v>0</v>
      </c>
      <c r="AJ232" s="29">
        <f>IF(AI232="","",IF(TaxRegistered&lt;&gt;"Yes",0,IF(PricesIncludeTax="Yes",ROUND(AI232-AI232/(1+TaxRate),2),ROUND(AI232*TaxRate,2))))</f>
        <v>0</v>
      </c>
      <c r="AK232" s="29">
        <f>IF(AI232="","",IF(PricesIncludeTax="Yes",AI232,ROUND(AI232+AJ232,2)))</f>
        <v>0</v>
      </c>
      <c r="AQ232" s="21">
        <f>IF(OR(I232="",AP232="",AP232="None"),"",IF(AP232="Monthly",EDATE(I232,1),I232+IF(AP232="Daily",1,IF(AP232="Weekdays",IF(WEEKDAY(I232,2)&gt;=5,8-WEEKDAY(I232,2),1),IF(AP232="Weekly",7,IF(AP232="Fortnightly",14,0))))))</f>
        <v>0</v>
      </c>
      <c r="AR232" s="49">
        <f>IF(OR(I232="",AL232="",K232="",L232=""),"",IF(SUMPRODUCT((Bookings!$AL$5:$AL$404=AL232)*(Bookings!$I$5:$I$404=I232)*(Bookings!$K$5:$K$404&lt;L232)*(Bookings!$L$5:$L$404&gt;K232)*(Bookings!$AM$5:$AM$404&lt;&gt;"Cancelled"))&gt;1,"Conflict - double booked","OK"))</f>
        <v>0</v>
      </c>
      <c r="AS232" s="50">
        <f>IF(A232="","",IF(COUNTIF('Visit Log'!$B$5:$B$404,A232)&gt;0,"Yes","No"))</f>
        <v>0</v>
      </c>
      <c r="AT232" s="28">
        <f>IF(A232="","",IFERROR(INDEX(Invoices!$A$5:$A$304,MATCH(A232,Invoices!$E$5:$E$304,0)),""))</f>
        <v>0</v>
      </c>
      <c r="AU232" s="49">
        <f>IF(A232="","",IF(AT232="","Not invoiced",IFERROR(INDEX(Invoices!$U$5:$U$304,MATCH(AT232,Invoices!$A$5:$A$304,0)),"")))</f>
        <v>0</v>
      </c>
      <c r="AY232" s="28">
        <f>IF(I232="","",TEXT(I232,"yyyy-mm"))</f>
        <v>0</v>
      </c>
      <c r="AZ232" s="49">
        <f>IF(I232="","",IF(AM232="Cancelled","Cancelled",IF(AND(I232&lt;TODAY(),OR(AM232="Pending",AM232="Confirmed",AM232="Enquiry")),"Overdue - update status",IF(AND(AM232="Completed",AS232="No"),"Action - log the visit",IF(I232=TODAY(),"Today",IF(AND(I232&gt;TODAY(),I232-TODAY()&lt;=ReminderLeadDays,AN232&lt;&gt;"Yes"),"Action - unconfirmed",IF(AND(I232&gt;TODAY(),I232-TODAY()&lt;=ReminderLeadDays),"Upcoming","OK")))))))</f>
        <v>0</v>
      </c>
    </row>
    <row r="233" spans="1:52">
      <c r="A233" s="46">
        <f>IF(C233="","",BookingPrefix&amp;TEXT(ROW()-4,"0000"))</f>
        <v>0</v>
      </c>
      <c r="D233" s="28">
        <f>IF(C233="","",IFERROR(INDEX(Clients!$A$5:$A$254,MATCH(C233,Clients!$B$5:$B$254,0)),""))</f>
        <v>0</v>
      </c>
      <c r="J233" s="50">
        <f>IF(I233="","",TEXT(I233,"ddd"))</f>
        <v>0</v>
      </c>
      <c r="M233" s="51">
        <f>IF(OR(K233="",L233=""),"",ROUND((L233-K233+IF(L233&lt;K233,1,0))*24,2))</f>
        <v>0</v>
      </c>
      <c r="O233" s="28">
        <f>IF(H233="","",IFERROR(INDEX(Services!$E$5:$E$54,MATCH(H233,Services!$B$5:$B$54,0)),""))</f>
        <v>0</v>
      </c>
      <c r="P233" s="29">
        <f>IF(H233="","",IFERROR(INDEX(Services!$G$5:$G$54,MATCH(H233,Services!$B$5:$B$54,0)),0))</f>
        <v>0</v>
      </c>
      <c r="Q233" s="29">
        <f>IF(H233="","",IF(IFERROR(INDEX(Services!$H$5:$H$54,MATCH(H233,Services!$B$5:$B$54,0)),0)=0,ExtraPetFeeDefault,IFERROR(INDEX(Services!$H$5:$H$54,MATCH(H233,Services!$B$5:$B$54,0)),0)))</f>
        <v>0</v>
      </c>
      <c r="R233" s="30">
        <f>IF(H233="","",IF(IFERROR(INDEX(Services!$I$5:$I$54,MATCH(H233,Services!$B$5:$B$54,0)),0)=0,HolidaySurcharge,IFERROR(INDEX(Services!$I$5:$I$54,MATCH(H233,Services!$B$5:$B$54,0)),0)))</f>
        <v>0</v>
      </c>
      <c r="S233" s="30">
        <f>IF(H233="","",IF(IFERROR(INDEX(Services!$J$5:$J$54,MATCH(H233,Services!$B$5:$B$54,0)),0)=0,WeekendSurcharge,IFERROR(INDEX(Services!$J$5:$J$54,MATCH(H233,Services!$B$5:$B$54,0)),0)))</f>
        <v>0</v>
      </c>
      <c r="T233" s="50">
        <f>IF(H233="","",IFERROR(INDEX(Services!$K$5:$K$54,MATCH(H233,Services!$B$5:$B$54,0)),"No"))</f>
        <v>0</v>
      </c>
      <c r="U233" s="29">
        <f>IF(H233="","",ROUND(IF(O233="Per hour",P233*IF(M233="",IF(N233="",1,N233),M233),P233*IF(N233="",1,N233)),2))</f>
        <v>0</v>
      </c>
      <c r="V233" s="29">
        <f>IF(H233="","",ROUND(MAX(0,IF(G233="",1,G233)-1)*Q233,2))</f>
        <v>0</v>
      </c>
      <c r="W233" s="50">
        <f>IF(I233="","",IF(COUNTIF(HolidayDates,I233)&gt;0,"Yes","No"))</f>
        <v>0</v>
      </c>
      <c r="X233" s="50">
        <f>IF(I233="","",IF(WEEKDAY(I233,2)&gt;5,"Yes","No"))</f>
        <v>0</v>
      </c>
      <c r="Y233" s="29">
        <f>IF(H233="","",ROUND((U233+V233)*(IF(W233="Yes",R233,0)+IF(X233="Yes",S233,0)),2))</f>
        <v>0</v>
      </c>
      <c r="AA233" s="29">
        <f>IF(H233="","",IF(T233&lt;&gt;"Yes",0,ROUND(MAX(0,IF(Z233="",0,Z233)-FreeTravelDistance)*TravelFeeRate,2)))</f>
        <v>0</v>
      </c>
      <c r="AB233" s="31">
        <f>IF(I233="","",TravelTimeMins)</f>
        <v>0</v>
      </c>
      <c r="AC233" s="29">
        <f>IF(OR(I233="",B233=""),0,IF(I233-B233&lt;=LastMinuteDays,EmergencyFee,0))</f>
        <v>0</v>
      </c>
      <c r="AF233" s="29">
        <f>IF(H233="","",ROUND((U233+V233+Y233+AA233+AC233)*IF(AE233="",0,AE233),2))</f>
        <v>0</v>
      </c>
      <c r="AI233" s="29">
        <f>IF(H233="","",IF(AG233&lt;&gt;"",AG233,ROUND(U233+V233+Y233+AA233+AC233-AF233,2)))</f>
        <v>0</v>
      </c>
      <c r="AJ233" s="29">
        <f>IF(AI233="","",IF(TaxRegistered&lt;&gt;"Yes",0,IF(PricesIncludeTax="Yes",ROUND(AI233-AI233/(1+TaxRate),2),ROUND(AI233*TaxRate,2))))</f>
        <v>0</v>
      </c>
      <c r="AK233" s="29">
        <f>IF(AI233="","",IF(PricesIncludeTax="Yes",AI233,ROUND(AI233+AJ233,2)))</f>
        <v>0</v>
      </c>
      <c r="AQ233" s="21">
        <f>IF(OR(I233="",AP233="",AP233="None"),"",IF(AP233="Monthly",EDATE(I233,1),I233+IF(AP233="Daily",1,IF(AP233="Weekdays",IF(WEEKDAY(I233,2)&gt;=5,8-WEEKDAY(I233,2),1),IF(AP233="Weekly",7,IF(AP233="Fortnightly",14,0))))))</f>
        <v>0</v>
      </c>
      <c r="AR233" s="49">
        <f>IF(OR(I233="",AL233="",K233="",L233=""),"",IF(SUMPRODUCT((Bookings!$AL$5:$AL$404=AL233)*(Bookings!$I$5:$I$404=I233)*(Bookings!$K$5:$K$404&lt;L233)*(Bookings!$L$5:$L$404&gt;K233)*(Bookings!$AM$5:$AM$404&lt;&gt;"Cancelled"))&gt;1,"Conflict - double booked","OK"))</f>
        <v>0</v>
      </c>
      <c r="AS233" s="50">
        <f>IF(A233="","",IF(COUNTIF('Visit Log'!$B$5:$B$404,A233)&gt;0,"Yes","No"))</f>
        <v>0</v>
      </c>
      <c r="AT233" s="28">
        <f>IF(A233="","",IFERROR(INDEX(Invoices!$A$5:$A$304,MATCH(A233,Invoices!$E$5:$E$304,0)),""))</f>
        <v>0</v>
      </c>
      <c r="AU233" s="49">
        <f>IF(A233="","",IF(AT233="","Not invoiced",IFERROR(INDEX(Invoices!$U$5:$U$304,MATCH(AT233,Invoices!$A$5:$A$304,0)),"")))</f>
        <v>0</v>
      </c>
      <c r="AY233" s="28">
        <f>IF(I233="","",TEXT(I233,"yyyy-mm"))</f>
        <v>0</v>
      </c>
      <c r="AZ233" s="49">
        <f>IF(I233="","",IF(AM233="Cancelled","Cancelled",IF(AND(I233&lt;TODAY(),OR(AM233="Pending",AM233="Confirmed",AM233="Enquiry")),"Overdue - update status",IF(AND(AM233="Completed",AS233="No"),"Action - log the visit",IF(I233=TODAY(),"Today",IF(AND(I233&gt;TODAY(),I233-TODAY()&lt;=ReminderLeadDays,AN233&lt;&gt;"Yes"),"Action - unconfirmed",IF(AND(I233&gt;TODAY(),I233-TODAY()&lt;=ReminderLeadDays),"Upcoming","OK")))))))</f>
        <v>0</v>
      </c>
    </row>
    <row r="234" spans="1:52">
      <c r="A234" s="46">
        <f>IF(C234="","",BookingPrefix&amp;TEXT(ROW()-4,"0000"))</f>
        <v>0</v>
      </c>
      <c r="D234" s="28">
        <f>IF(C234="","",IFERROR(INDEX(Clients!$A$5:$A$254,MATCH(C234,Clients!$B$5:$B$254,0)),""))</f>
        <v>0</v>
      </c>
      <c r="J234" s="50">
        <f>IF(I234="","",TEXT(I234,"ddd"))</f>
        <v>0</v>
      </c>
      <c r="M234" s="51">
        <f>IF(OR(K234="",L234=""),"",ROUND((L234-K234+IF(L234&lt;K234,1,0))*24,2))</f>
        <v>0</v>
      </c>
      <c r="O234" s="28">
        <f>IF(H234="","",IFERROR(INDEX(Services!$E$5:$E$54,MATCH(H234,Services!$B$5:$B$54,0)),""))</f>
        <v>0</v>
      </c>
      <c r="P234" s="29">
        <f>IF(H234="","",IFERROR(INDEX(Services!$G$5:$G$54,MATCH(H234,Services!$B$5:$B$54,0)),0))</f>
        <v>0</v>
      </c>
      <c r="Q234" s="29">
        <f>IF(H234="","",IF(IFERROR(INDEX(Services!$H$5:$H$54,MATCH(H234,Services!$B$5:$B$54,0)),0)=0,ExtraPetFeeDefault,IFERROR(INDEX(Services!$H$5:$H$54,MATCH(H234,Services!$B$5:$B$54,0)),0)))</f>
        <v>0</v>
      </c>
      <c r="R234" s="30">
        <f>IF(H234="","",IF(IFERROR(INDEX(Services!$I$5:$I$54,MATCH(H234,Services!$B$5:$B$54,0)),0)=0,HolidaySurcharge,IFERROR(INDEX(Services!$I$5:$I$54,MATCH(H234,Services!$B$5:$B$54,0)),0)))</f>
        <v>0</v>
      </c>
      <c r="S234" s="30">
        <f>IF(H234="","",IF(IFERROR(INDEX(Services!$J$5:$J$54,MATCH(H234,Services!$B$5:$B$54,0)),0)=0,WeekendSurcharge,IFERROR(INDEX(Services!$J$5:$J$54,MATCH(H234,Services!$B$5:$B$54,0)),0)))</f>
        <v>0</v>
      </c>
      <c r="T234" s="50">
        <f>IF(H234="","",IFERROR(INDEX(Services!$K$5:$K$54,MATCH(H234,Services!$B$5:$B$54,0)),"No"))</f>
        <v>0</v>
      </c>
      <c r="U234" s="29">
        <f>IF(H234="","",ROUND(IF(O234="Per hour",P234*IF(M234="",IF(N234="",1,N234),M234),P234*IF(N234="",1,N234)),2))</f>
        <v>0</v>
      </c>
      <c r="V234" s="29">
        <f>IF(H234="","",ROUND(MAX(0,IF(G234="",1,G234)-1)*Q234,2))</f>
        <v>0</v>
      </c>
      <c r="W234" s="50">
        <f>IF(I234="","",IF(COUNTIF(HolidayDates,I234)&gt;0,"Yes","No"))</f>
        <v>0</v>
      </c>
      <c r="X234" s="50">
        <f>IF(I234="","",IF(WEEKDAY(I234,2)&gt;5,"Yes","No"))</f>
        <v>0</v>
      </c>
      <c r="Y234" s="29">
        <f>IF(H234="","",ROUND((U234+V234)*(IF(W234="Yes",R234,0)+IF(X234="Yes",S234,0)),2))</f>
        <v>0</v>
      </c>
      <c r="AA234" s="29">
        <f>IF(H234="","",IF(T234&lt;&gt;"Yes",0,ROUND(MAX(0,IF(Z234="",0,Z234)-FreeTravelDistance)*TravelFeeRate,2)))</f>
        <v>0</v>
      </c>
      <c r="AB234" s="31">
        <f>IF(I234="","",TravelTimeMins)</f>
        <v>0</v>
      </c>
      <c r="AC234" s="29">
        <f>IF(OR(I234="",B234=""),0,IF(I234-B234&lt;=LastMinuteDays,EmergencyFee,0))</f>
        <v>0</v>
      </c>
      <c r="AF234" s="29">
        <f>IF(H234="","",ROUND((U234+V234+Y234+AA234+AC234)*IF(AE234="",0,AE234),2))</f>
        <v>0</v>
      </c>
      <c r="AI234" s="29">
        <f>IF(H234="","",IF(AG234&lt;&gt;"",AG234,ROUND(U234+V234+Y234+AA234+AC234-AF234,2)))</f>
        <v>0</v>
      </c>
      <c r="AJ234" s="29">
        <f>IF(AI234="","",IF(TaxRegistered&lt;&gt;"Yes",0,IF(PricesIncludeTax="Yes",ROUND(AI234-AI234/(1+TaxRate),2),ROUND(AI234*TaxRate,2))))</f>
        <v>0</v>
      </c>
      <c r="AK234" s="29">
        <f>IF(AI234="","",IF(PricesIncludeTax="Yes",AI234,ROUND(AI234+AJ234,2)))</f>
        <v>0</v>
      </c>
      <c r="AQ234" s="21">
        <f>IF(OR(I234="",AP234="",AP234="None"),"",IF(AP234="Monthly",EDATE(I234,1),I234+IF(AP234="Daily",1,IF(AP234="Weekdays",IF(WEEKDAY(I234,2)&gt;=5,8-WEEKDAY(I234,2),1),IF(AP234="Weekly",7,IF(AP234="Fortnightly",14,0))))))</f>
        <v>0</v>
      </c>
      <c r="AR234" s="49">
        <f>IF(OR(I234="",AL234="",K234="",L234=""),"",IF(SUMPRODUCT((Bookings!$AL$5:$AL$404=AL234)*(Bookings!$I$5:$I$404=I234)*(Bookings!$K$5:$K$404&lt;L234)*(Bookings!$L$5:$L$404&gt;K234)*(Bookings!$AM$5:$AM$404&lt;&gt;"Cancelled"))&gt;1,"Conflict - double booked","OK"))</f>
        <v>0</v>
      </c>
      <c r="AS234" s="50">
        <f>IF(A234="","",IF(COUNTIF('Visit Log'!$B$5:$B$404,A234)&gt;0,"Yes","No"))</f>
        <v>0</v>
      </c>
      <c r="AT234" s="28">
        <f>IF(A234="","",IFERROR(INDEX(Invoices!$A$5:$A$304,MATCH(A234,Invoices!$E$5:$E$304,0)),""))</f>
        <v>0</v>
      </c>
      <c r="AU234" s="49">
        <f>IF(A234="","",IF(AT234="","Not invoiced",IFERROR(INDEX(Invoices!$U$5:$U$304,MATCH(AT234,Invoices!$A$5:$A$304,0)),"")))</f>
        <v>0</v>
      </c>
      <c r="AY234" s="28">
        <f>IF(I234="","",TEXT(I234,"yyyy-mm"))</f>
        <v>0</v>
      </c>
      <c r="AZ234" s="49">
        <f>IF(I234="","",IF(AM234="Cancelled","Cancelled",IF(AND(I234&lt;TODAY(),OR(AM234="Pending",AM234="Confirmed",AM234="Enquiry")),"Overdue - update status",IF(AND(AM234="Completed",AS234="No"),"Action - log the visit",IF(I234=TODAY(),"Today",IF(AND(I234&gt;TODAY(),I234-TODAY()&lt;=ReminderLeadDays,AN234&lt;&gt;"Yes"),"Action - unconfirmed",IF(AND(I234&gt;TODAY(),I234-TODAY()&lt;=ReminderLeadDays),"Upcoming","OK")))))))</f>
        <v>0</v>
      </c>
    </row>
    <row r="235" spans="1:52">
      <c r="A235" s="46">
        <f>IF(C235="","",BookingPrefix&amp;TEXT(ROW()-4,"0000"))</f>
        <v>0</v>
      </c>
      <c r="D235" s="28">
        <f>IF(C235="","",IFERROR(INDEX(Clients!$A$5:$A$254,MATCH(C235,Clients!$B$5:$B$254,0)),""))</f>
        <v>0</v>
      </c>
      <c r="J235" s="50">
        <f>IF(I235="","",TEXT(I235,"ddd"))</f>
        <v>0</v>
      </c>
      <c r="M235" s="51">
        <f>IF(OR(K235="",L235=""),"",ROUND((L235-K235+IF(L235&lt;K235,1,0))*24,2))</f>
        <v>0</v>
      </c>
      <c r="O235" s="28">
        <f>IF(H235="","",IFERROR(INDEX(Services!$E$5:$E$54,MATCH(H235,Services!$B$5:$B$54,0)),""))</f>
        <v>0</v>
      </c>
      <c r="P235" s="29">
        <f>IF(H235="","",IFERROR(INDEX(Services!$G$5:$G$54,MATCH(H235,Services!$B$5:$B$54,0)),0))</f>
        <v>0</v>
      </c>
      <c r="Q235" s="29">
        <f>IF(H235="","",IF(IFERROR(INDEX(Services!$H$5:$H$54,MATCH(H235,Services!$B$5:$B$54,0)),0)=0,ExtraPetFeeDefault,IFERROR(INDEX(Services!$H$5:$H$54,MATCH(H235,Services!$B$5:$B$54,0)),0)))</f>
        <v>0</v>
      </c>
      <c r="R235" s="30">
        <f>IF(H235="","",IF(IFERROR(INDEX(Services!$I$5:$I$54,MATCH(H235,Services!$B$5:$B$54,0)),0)=0,HolidaySurcharge,IFERROR(INDEX(Services!$I$5:$I$54,MATCH(H235,Services!$B$5:$B$54,0)),0)))</f>
        <v>0</v>
      </c>
      <c r="S235" s="30">
        <f>IF(H235="","",IF(IFERROR(INDEX(Services!$J$5:$J$54,MATCH(H235,Services!$B$5:$B$54,0)),0)=0,WeekendSurcharge,IFERROR(INDEX(Services!$J$5:$J$54,MATCH(H235,Services!$B$5:$B$54,0)),0)))</f>
        <v>0</v>
      </c>
      <c r="T235" s="50">
        <f>IF(H235="","",IFERROR(INDEX(Services!$K$5:$K$54,MATCH(H235,Services!$B$5:$B$54,0)),"No"))</f>
        <v>0</v>
      </c>
      <c r="U235" s="29">
        <f>IF(H235="","",ROUND(IF(O235="Per hour",P235*IF(M235="",IF(N235="",1,N235),M235),P235*IF(N235="",1,N235)),2))</f>
        <v>0</v>
      </c>
      <c r="V235" s="29">
        <f>IF(H235="","",ROUND(MAX(0,IF(G235="",1,G235)-1)*Q235,2))</f>
        <v>0</v>
      </c>
      <c r="W235" s="50">
        <f>IF(I235="","",IF(COUNTIF(HolidayDates,I235)&gt;0,"Yes","No"))</f>
        <v>0</v>
      </c>
      <c r="X235" s="50">
        <f>IF(I235="","",IF(WEEKDAY(I235,2)&gt;5,"Yes","No"))</f>
        <v>0</v>
      </c>
      <c r="Y235" s="29">
        <f>IF(H235="","",ROUND((U235+V235)*(IF(W235="Yes",R235,0)+IF(X235="Yes",S235,0)),2))</f>
        <v>0</v>
      </c>
      <c r="AA235" s="29">
        <f>IF(H235="","",IF(T235&lt;&gt;"Yes",0,ROUND(MAX(0,IF(Z235="",0,Z235)-FreeTravelDistance)*TravelFeeRate,2)))</f>
        <v>0</v>
      </c>
      <c r="AB235" s="31">
        <f>IF(I235="","",TravelTimeMins)</f>
        <v>0</v>
      </c>
      <c r="AC235" s="29">
        <f>IF(OR(I235="",B235=""),0,IF(I235-B235&lt;=LastMinuteDays,EmergencyFee,0))</f>
        <v>0</v>
      </c>
      <c r="AF235" s="29">
        <f>IF(H235="","",ROUND((U235+V235+Y235+AA235+AC235)*IF(AE235="",0,AE235),2))</f>
        <v>0</v>
      </c>
      <c r="AI235" s="29">
        <f>IF(H235="","",IF(AG235&lt;&gt;"",AG235,ROUND(U235+V235+Y235+AA235+AC235-AF235,2)))</f>
        <v>0</v>
      </c>
      <c r="AJ235" s="29">
        <f>IF(AI235="","",IF(TaxRegistered&lt;&gt;"Yes",0,IF(PricesIncludeTax="Yes",ROUND(AI235-AI235/(1+TaxRate),2),ROUND(AI235*TaxRate,2))))</f>
        <v>0</v>
      </c>
      <c r="AK235" s="29">
        <f>IF(AI235="","",IF(PricesIncludeTax="Yes",AI235,ROUND(AI235+AJ235,2)))</f>
        <v>0</v>
      </c>
      <c r="AQ235" s="21">
        <f>IF(OR(I235="",AP235="",AP235="None"),"",IF(AP235="Monthly",EDATE(I235,1),I235+IF(AP235="Daily",1,IF(AP235="Weekdays",IF(WEEKDAY(I235,2)&gt;=5,8-WEEKDAY(I235,2),1),IF(AP235="Weekly",7,IF(AP235="Fortnightly",14,0))))))</f>
        <v>0</v>
      </c>
      <c r="AR235" s="49">
        <f>IF(OR(I235="",AL235="",K235="",L235=""),"",IF(SUMPRODUCT((Bookings!$AL$5:$AL$404=AL235)*(Bookings!$I$5:$I$404=I235)*(Bookings!$K$5:$K$404&lt;L235)*(Bookings!$L$5:$L$404&gt;K235)*(Bookings!$AM$5:$AM$404&lt;&gt;"Cancelled"))&gt;1,"Conflict - double booked","OK"))</f>
        <v>0</v>
      </c>
      <c r="AS235" s="50">
        <f>IF(A235="","",IF(COUNTIF('Visit Log'!$B$5:$B$404,A235)&gt;0,"Yes","No"))</f>
        <v>0</v>
      </c>
      <c r="AT235" s="28">
        <f>IF(A235="","",IFERROR(INDEX(Invoices!$A$5:$A$304,MATCH(A235,Invoices!$E$5:$E$304,0)),""))</f>
        <v>0</v>
      </c>
      <c r="AU235" s="49">
        <f>IF(A235="","",IF(AT235="","Not invoiced",IFERROR(INDEX(Invoices!$U$5:$U$304,MATCH(AT235,Invoices!$A$5:$A$304,0)),"")))</f>
        <v>0</v>
      </c>
      <c r="AY235" s="28">
        <f>IF(I235="","",TEXT(I235,"yyyy-mm"))</f>
        <v>0</v>
      </c>
      <c r="AZ235" s="49">
        <f>IF(I235="","",IF(AM235="Cancelled","Cancelled",IF(AND(I235&lt;TODAY(),OR(AM235="Pending",AM235="Confirmed",AM235="Enquiry")),"Overdue - update status",IF(AND(AM235="Completed",AS235="No"),"Action - log the visit",IF(I235=TODAY(),"Today",IF(AND(I235&gt;TODAY(),I235-TODAY()&lt;=ReminderLeadDays,AN235&lt;&gt;"Yes"),"Action - unconfirmed",IF(AND(I235&gt;TODAY(),I235-TODAY()&lt;=ReminderLeadDays),"Upcoming","OK")))))))</f>
        <v>0</v>
      </c>
    </row>
    <row r="236" spans="1:52">
      <c r="A236" s="46">
        <f>IF(C236="","",BookingPrefix&amp;TEXT(ROW()-4,"0000"))</f>
        <v>0</v>
      </c>
      <c r="D236" s="28">
        <f>IF(C236="","",IFERROR(INDEX(Clients!$A$5:$A$254,MATCH(C236,Clients!$B$5:$B$254,0)),""))</f>
        <v>0</v>
      </c>
      <c r="J236" s="50">
        <f>IF(I236="","",TEXT(I236,"ddd"))</f>
        <v>0</v>
      </c>
      <c r="M236" s="51">
        <f>IF(OR(K236="",L236=""),"",ROUND((L236-K236+IF(L236&lt;K236,1,0))*24,2))</f>
        <v>0</v>
      </c>
      <c r="O236" s="28">
        <f>IF(H236="","",IFERROR(INDEX(Services!$E$5:$E$54,MATCH(H236,Services!$B$5:$B$54,0)),""))</f>
        <v>0</v>
      </c>
      <c r="P236" s="29">
        <f>IF(H236="","",IFERROR(INDEX(Services!$G$5:$G$54,MATCH(H236,Services!$B$5:$B$54,0)),0))</f>
        <v>0</v>
      </c>
      <c r="Q236" s="29">
        <f>IF(H236="","",IF(IFERROR(INDEX(Services!$H$5:$H$54,MATCH(H236,Services!$B$5:$B$54,0)),0)=0,ExtraPetFeeDefault,IFERROR(INDEX(Services!$H$5:$H$54,MATCH(H236,Services!$B$5:$B$54,0)),0)))</f>
        <v>0</v>
      </c>
      <c r="R236" s="30">
        <f>IF(H236="","",IF(IFERROR(INDEX(Services!$I$5:$I$54,MATCH(H236,Services!$B$5:$B$54,0)),0)=0,HolidaySurcharge,IFERROR(INDEX(Services!$I$5:$I$54,MATCH(H236,Services!$B$5:$B$54,0)),0)))</f>
        <v>0</v>
      </c>
      <c r="S236" s="30">
        <f>IF(H236="","",IF(IFERROR(INDEX(Services!$J$5:$J$54,MATCH(H236,Services!$B$5:$B$54,0)),0)=0,WeekendSurcharge,IFERROR(INDEX(Services!$J$5:$J$54,MATCH(H236,Services!$B$5:$B$54,0)),0)))</f>
        <v>0</v>
      </c>
      <c r="T236" s="50">
        <f>IF(H236="","",IFERROR(INDEX(Services!$K$5:$K$54,MATCH(H236,Services!$B$5:$B$54,0)),"No"))</f>
        <v>0</v>
      </c>
      <c r="U236" s="29">
        <f>IF(H236="","",ROUND(IF(O236="Per hour",P236*IF(M236="",IF(N236="",1,N236),M236),P236*IF(N236="",1,N236)),2))</f>
        <v>0</v>
      </c>
      <c r="V236" s="29">
        <f>IF(H236="","",ROUND(MAX(0,IF(G236="",1,G236)-1)*Q236,2))</f>
        <v>0</v>
      </c>
      <c r="W236" s="50">
        <f>IF(I236="","",IF(COUNTIF(HolidayDates,I236)&gt;0,"Yes","No"))</f>
        <v>0</v>
      </c>
      <c r="X236" s="50">
        <f>IF(I236="","",IF(WEEKDAY(I236,2)&gt;5,"Yes","No"))</f>
        <v>0</v>
      </c>
      <c r="Y236" s="29">
        <f>IF(H236="","",ROUND((U236+V236)*(IF(W236="Yes",R236,0)+IF(X236="Yes",S236,0)),2))</f>
        <v>0</v>
      </c>
      <c r="AA236" s="29">
        <f>IF(H236="","",IF(T236&lt;&gt;"Yes",0,ROUND(MAX(0,IF(Z236="",0,Z236)-FreeTravelDistance)*TravelFeeRate,2)))</f>
        <v>0</v>
      </c>
      <c r="AB236" s="31">
        <f>IF(I236="","",TravelTimeMins)</f>
        <v>0</v>
      </c>
      <c r="AC236" s="29">
        <f>IF(OR(I236="",B236=""),0,IF(I236-B236&lt;=LastMinuteDays,EmergencyFee,0))</f>
        <v>0</v>
      </c>
      <c r="AF236" s="29">
        <f>IF(H236="","",ROUND((U236+V236+Y236+AA236+AC236)*IF(AE236="",0,AE236),2))</f>
        <v>0</v>
      </c>
      <c r="AI236" s="29">
        <f>IF(H236="","",IF(AG236&lt;&gt;"",AG236,ROUND(U236+V236+Y236+AA236+AC236-AF236,2)))</f>
        <v>0</v>
      </c>
      <c r="AJ236" s="29">
        <f>IF(AI236="","",IF(TaxRegistered&lt;&gt;"Yes",0,IF(PricesIncludeTax="Yes",ROUND(AI236-AI236/(1+TaxRate),2),ROUND(AI236*TaxRate,2))))</f>
        <v>0</v>
      </c>
      <c r="AK236" s="29">
        <f>IF(AI236="","",IF(PricesIncludeTax="Yes",AI236,ROUND(AI236+AJ236,2)))</f>
        <v>0</v>
      </c>
      <c r="AQ236" s="21">
        <f>IF(OR(I236="",AP236="",AP236="None"),"",IF(AP236="Monthly",EDATE(I236,1),I236+IF(AP236="Daily",1,IF(AP236="Weekdays",IF(WEEKDAY(I236,2)&gt;=5,8-WEEKDAY(I236,2),1),IF(AP236="Weekly",7,IF(AP236="Fortnightly",14,0))))))</f>
        <v>0</v>
      </c>
      <c r="AR236" s="49">
        <f>IF(OR(I236="",AL236="",K236="",L236=""),"",IF(SUMPRODUCT((Bookings!$AL$5:$AL$404=AL236)*(Bookings!$I$5:$I$404=I236)*(Bookings!$K$5:$K$404&lt;L236)*(Bookings!$L$5:$L$404&gt;K236)*(Bookings!$AM$5:$AM$404&lt;&gt;"Cancelled"))&gt;1,"Conflict - double booked","OK"))</f>
        <v>0</v>
      </c>
      <c r="AS236" s="50">
        <f>IF(A236="","",IF(COUNTIF('Visit Log'!$B$5:$B$404,A236)&gt;0,"Yes","No"))</f>
        <v>0</v>
      </c>
      <c r="AT236" s="28">
        <f>IF(A236="","",IFERROR(INDEX(Invoices!$A$5:$A$304,MATCH(A236,Invoices!$E$5:$E$304,0)),""))</f>
        <v>0</v>
      </c>
      <c r="AU236" s="49">
        <f>IF(A236="","",IF(AT236="","Not invoiced",IFERROR(INDEX(Invoices!$U$5:$U$304,MATCH(AT236,Invoices!$A$5:$A$304,0)),"")))</f>
        <v>0</v>
      </c>
      <c r="AY236" s="28">
        <f>IF(I236="","",TEXT(I236,"yyyy-mm"))</f>
        <v>0</v>
      </c>
      <c r="AZ236" s="49">
        <f>IF(I236="","",IF(AM236="Cancelled","Cancelled",IF(AND(I236&lt;TODAY(),OR(AM236="Pending",AM236="Confirmed",AM236="Enquiry")),"Overdue - update status",IF(AND(AM236="Completed",AS236="No"),"Action - log the visit",IF(I236=TODAY(),"Today",IF(AND(I236&gt;TODAY(),I236-TODAY()&lt;=ReminderLeadDays,AN236&lt;&gt;"Yes"),"Action - unconfirmed",IF(AND(I236&gt;TODAY(),I236-TODAY()&lt;=ReminderLeadDays),"Upcoming","OK")))))))</f>
        <v>0</v>
      </c>
    </row>
    <row r="237" spans="1:52">
      <c r="A237" s="46">
        <f>IF(C237="","",BookingPrefix&amp;TEXT(ROW()-4,"0000"))</f>
        <v>0</v>
      </c>
      <c r="D237" s="28">
        <f>IF(C237="","",IFERROR(INDEX(Clients!$A$5:$A$254,MATCH(C237,Clients!$B$5:$B$254,0)),""))</f>
        <v>0</v>
      </c>
      <c r="J237" s="50">
        <f>IF(I237="","",TEXT(I237,"ddd"))</f>
        <v>0</v>
      </c>
      <c r="M237" s="51">
        <f>IF(OR(K237="",L237=""),"",ROUND((L237-K237+IF(L237&lt;K237,1,0))*24,2))</f>
        <v>0</v>
      </c>
      <c r="O237" s="28">
        <f>IF(H237="","",IFERROR(INDEX(Services!$E$5:$E$54,MATCH(H237,Services!$B$5:$B$54,0)),""))</f>
        <v>0</v>
      </c>
      <c r="P237" s="29">
        <f>IF(H237="","",IFERROR(INDEX(Services!$G$5:$G$54,MATCH(H237,Services!$B$5:$B$54,0)),0))</f>
        <v>0</v>
      </c>
      <c r="Q237" s="29">
        <f>IF(H237="","",IF(IFERROR(INDEX(Services!$H$5:$H$54,MATCH(H237,Services!$B$5:$B$54,0)),0)=0,ExtraPetFeeDefault,IFERROR(INDEX(Services!$H$5:$H$54,MATCH(H237,Services!$B$5:$B$54,0)),0)))</f>
        <v>0</v>
      </c>
      <c r="R237" s="30">
        <f>IF(H237="","",IF(IFERROR(INDEX(Services!$I$5:$I$54,MATCH(H237,Services!$B$5:$B$54,0)),0)=0,HolidaySurcharge,IFERROR(INDEX(Services!$I$5:$I$54,MATCH(H237,Services!$B$5:$B$54,0)),0)))</f>
        <v>0</v>
      </c>
      <c r="S237" s="30">
        <f>IF(H237="","",IF(IFERROR(INDEX(Services!$J$5:$J$54,MATCH(H237,Services!$B$5:$B$54,0)),0)=0,WeekendSurcharge,IFERROR(INDEX(Services!$J$5:$J$54,MATCH(H237,Services!$B$5:$B$54,0)),0)))</f>
        <v>0</v>
      </c>
      <c r="T237" s="50">
        <f>IF(H237="","",IFERROR(INDEX(Services!$K$5:$K$54,MATCH(H237,Services!$B$5:$B$54,0)),"No"))</f>
        <v>0</v>
      </c>
      <c r="U237" s="29">
        <f>IF(H237="","",ROUND(IF(O237="Per hour",P237*IF(M237="",IF(N237="",1,N237),M237),P237*IF(N237="",1,N237)),2))</f>
        <v>0</v>
      </c>
      <c r="V237" s="29">
        <f>IF(H237="","",ROUND(MAX(0,IF(G237="",1,G237)-1)*Q237,2))</f>
        <v>0</v>
      </c>
      <c r="W237" s="50">
        <f>IF(I237="","",IF(COUNTIF(HolidayDates,I237)&gt;0,"Yes","No"))</f>
        <v>0</v>
      </c>
      <c r="X237" s="50">
        <f>IF(I237="","",IF(WEEKDAY(I237,2)&gt;5,"Yes","No"))</f>
        <v>0</v>
      </c>
      <c r="Y237" s="29">
        <f>IF(H237="","",ROUND((U237+V237)*(IF(W237="Yes",R237,0)+IF(X237="Yes",S237,0)),2))</f>
        <v>0</v>
      </c>
      <c r="AA237" s="29">
        <f>IF(H237="","",IF(T237&lt;&gt;"Yes",0,ROUND(MAX(0,IF(Z237="",0,Z237)-FreeTravelDistance)*TravelFeeRate,2)))</f>
        <v>0</v>
      </c>
      <c r="AB237" s="31">
        <f>IF(I237="","",TravelTimeMins)</f>
        <v>0</v>
      </c>
      <c r="AC237" s="29">
        <f>IF(OR(I237="",B237=""),0,IF(I237-B237&lt;=LastMinuteDays,EmergencyFee,0))</f>
        <v>0</v>
      </c>
      <c r="AF237" s="29">
        <f>IF(H237="","",ROUND((U237+V237+Y237+AA237+AC237)*IF(AE237="",0,AE237),2))</f>
        <v>0</v>
      </c>
      <c r="AI237" s="29">
        <f>IF(H237="","",IF(AG237&lt;&gt;"",AG237,ROUND(U237+V237+Y237+AA237+AC237-AF237,2)))</f>
        <v>0</v>
      </c>
      <c r="AJ237" s="29">
        <f>IF(AI237="","",IF(TaxRegistered&lt;&gt;"Yes",0,IF(PricesIncludeTax="Yes",ROUND(AI237-AI237/(1+TaxRate),2),ROUND(AI237*TaxRate,2))))</f>
        <v>0</v>
      </c>
      <c r="AK237" s="29">
        <f>IF(AI237="","",IF(PricesIncludeTax="Yes",AI237,ROUND(AI237+AJ237,2)))</f>
        <v>0</v>
      </c>
      <c r="AQ237" s="21">
        <f>IF(OR(I237="",AP237="",AP237="None"),"",IF(AP237="Monthly",EDATE(I237,1),I237+IF(AP237="Daily",1,IF(AP237="Weekdays",IF(WEEKDAY(I237,2)&gt;=5,8-WEEKDAY(I237,2),1),IF(AP237="Weekly",7,IF(AP237="Fortnightly",14,0))))))</f>
        <v>0</v>
      </c>
      <c r="AR237" s="49">
        <f>IF(OR(I237="",AL237="",K237="",L237=""),"",IF(SUMPRODUCT((Bookings!$AL$5:$AL$404=AL237)*(Bookings!$I$5:$I$404=I237)*(Bookings!$K$5:$K$404&lt;L237)*(Bookings!$L$5:$L$404&gt;K237)*(Bookings!$AM$5:$AM$404&lt;&gt;"Cancelled"))&gt;1,"Conflict - double booked","OK"))</f>
        <v>0</v>
      </c>
      <c r="AS237" s="50">
        <f>IF(A237="","",IF(COUNTIF('Visit Log'!$B$5:$B$404,A237)&gt;0,"Yes","No"))</f>
        <v>0</v>
      </c>
      <c r="AT237" s="28">
        <f>IF(A237="","",IFERROR(INDEX(Invoices!$A$5:$A$304,MATCH(A237,Invoices!$E$5:$E$304,0)),""))</f>
        <v>0</v>
      </c>
      <c r="AU237" s="49">
        <f>IF(A237="","",IF(AT237="","Not invoiced",IFERROR(INDEX(Invoices!$U$5:$U$304,MATCH(AT237,Invoices!$A$5:$A$304,0)),"")))</f>
        <v>0</v>
      </c>
      <c r="AY237" s="28">
        <f>IF(I237="","",TEXT(I237,"yyyy-mm"))</f>
        <v>0</v>
      </c>
      <c r="AZ237" s="49">
        <f>IF(I237="","",IF(AM237="Cancelled","Cancelled",IF(AND(I237&lt;TODAY(),OR(AM237="Pending",AM237="Confirmed",AM237="Enquiry")),"Overdue - update status",IF(AND(AM237="Completed",AS237="No"),"Action - log the visit",IF(I237=TODAY(),"Today",IF(AND(I237&gt;TODAY(),I237-TODAY()&lt;=ReminderLeadDays,AN237&lt;&gt;"Yes"),"Action - unconfirmed",IF(AND(I237&gt;TODAY(),I237-TODAY()&lt;=ReminderLeadDays),"Upcoming","OK")))))))</f>
        <v>0</v>
      </c>
    </row>
    <row r="238" spans="1:52">
      <c r="A238" s="46">
        <f>IF(C238="","",BookingPrefix&amp;TEXT(ROW()-4,"0000"))</f>
        <v>0</v>
      </c>
      <c r="D238" s="28">
        <f>IF(C238="","",IFERROR(INDEX(Clients!$A$5:$A$254,MATCH(C238,Clients!$B$5:$B$254,0)),""))</f>
        <v>0</v>
      </c>
      <c r="J238" s="50">
        <f>IF(I238="","",TEXT(I238,"ddd"))</f>
        <v>0</v>
      </c>
      <c r="M238" s="51">
        <f>IF(OR(K238="",L238=""),"",ROUND((L238-K238+IF(L238&lt;K238,1,0))*24,2))</f>
        <v>0</v>
      </c>
      <c r="O238" s="28">
        <f>IF(H238="","",IFERROR(INDEX(Services!$E$5:$E$54,MATCH(H238,Services!$B$5:$B$54,0)),""))</f>
        <v>0</v>
      </c>
      <c r="P238" s="29">
        <f>IF(H238="","",IFERROR(INDEX(Services!$G$5:$G$54,MATCH(H238,Services!$B$5:$B$54,0)),0))</f>
        <v>0</v>
      </c>
      <c r="Q238" s="29">
        <f>IF(H238="","",IF(IFERROR(INDEX(Services!$H$5:$H$54,MATCH(H238,Services!$B$5:$B$54,0)),0)=0,ExtraPetFeeDefault,IFERROR(INDEX(Services!$H$5:$H$54,MATCH(H238,Services!$B$5:$B$54,0)),0)))</f>
        <v>0</v>
      </c>
      <c r="R238" s="30">
        <f>IF(H238="","",IF(IFERROR(INDEX(Services!$I$5:$I$54,MATCH(H238,Services!$B$5:$B$54,0)),0)=0,HolidaySurcharge,IFERROR(INDEX(Services!$I$5:$I$54,MATCH(H238,Services!$B$5:$B$54,0)),0)))</f>
        <v>0</v>
      </c>
      <c r="S238" s="30">
        <f>IF(H238="","",IF(IFERROR(INDEX(Services!$J$5:$J$54,MATCH(H238,Services!$B$5:$B$54,0)),0)=0,WeekendSurcharge,IFERROR(INDEX(Services!$J$5:$J$54,MATCH(H238,Services!$B$5:$B$54,0)),0)))</f>
        <v>0</v>
      </c>
      <c r="T238" s="50">
        <f>IF(H238="","",IFERROR(INDEX(Services!$K$5:$K$54,MATCH(H238,Services!$B$5:$B$54,0)),"No"))</f>
        <v>0</v>
      </c>
      <c r="U238" s="29">
        <f>IF(H238="","",ROUND(IF(O238="Per hour",P238*IF(M238="",IF(N238="",1,N238),M238),P238*IF(N238="",1,N238)),2))</f>
        <v>0</v>
      </c>
      <c r="V238" s="29">
        <f>IF(H238="","",ROUND(MAX(0,IF(G238="",1,G238)-1)*Q238,2))</f>
        <v>0</v>
      </c>
      <c r="W238" s="50">
        <f>IF(I238="","",IF(COUNTIF(HolidayDates,I238)&gt;0,"Yes","No"))</f>
        <v>0</v>
      </c>
      <c r="X238" s="50">
        <f>IF(I238="","",IF(WEEKDAY(I238,2)&gt;5,"Yes","No"))</f>
        <v>0</v>
      </c>
      <c r="Y238" s="29">
        <f>IF(H238="","",ROUND((U238+V238)*(IF(W238="Yes",R238,0)+IF(X238="Yes",S238,0)),2))</f>
        <v>0</v>
      </c>
      <c r="AA238" s="29">
        <f>IF(H238="","",IF(T238&lt;&gt;"Yes",0,ROUND(MAX(0,IF(Z238="",0,Z238)-FreeTravelDistance)*TravelFeeRate,2)))</f>
        <v>0</v>
      </c>
      <c r="AB238" s="31">
        <f>IF(I238="","",TravelTimeMins)</f>
        <v>0</v>
      </c>
      <c r="AC238" s="29">
        <f>IF(OR(I238="",B238=""),0,IF(I238-B238&lt;=LastMinuteDays,EmergencyFee,0))</f>
        <v>0</v>
      </c>
      <c r="AF238" s="29">
        <f>IF(H238="","",ROUND((U238+V238+Y238+AA238+AC238)*IF(AE238="",0,AE238),2))</f>
        <v>0</v>
      </c>
      <c r="AI238" s="29">
        <f>IF(H238="","",IF(AG238&lt;&gt;"",AG238,ROUND(U238+V238+Y238+AA238+AC238-AF238,2)))</f>
        <v>0</v>
      </c>
      <c r="AJ238" s="29">
        <f>IF(AI238="","",IF(TaxRegistered&lt;&gt;"Yes",0,IF(PricesIncludeTax="Yes",ROUND(AI238-AI238/(1+TaxRate),2),ROUND(AI238*TaxRate,2))))</f>
        <v>0</v>
      </c>
      <c r="AK238" s="29">
        <f>IF(AI238="","",IF(PricesIncludeTax="Yes",AI238,ROUND(AI238+AJ238,2)))</f>
        <v>0</v>
      </c>
      <c r="AQ238" s="21">
        <f>IF(OR(I238="",AP238="",AP238="None"),"",IF(AP238="Monthly",EDATE(I238,1),I238+IF(AP238="Daily",1,IF(AP238="Weekdays",IF(WEEKDAY(I238,2)&gt;=5,8-WEEKDAY(I238,2),1),IF(AP238="Weekly",7,IF(AP238="Fortnightly",14,0))))))</f>
        <v>0</v>
      </c>
      <c r="AR238" s="49">
        <f>IF(OR(I238="",AL238="",K238="",L238=""),"",IF(SUMPRODUCT((Bookings!$AL$5:$AL$404=AL238)*(Bookings!$I$5:$I$404=I238)*(Bookings!$K$5:$K$404&lt;L238)*(Bookings!$L$5:$L$404&gt;K238)*(Bookings!$AM$5:$AM$404&lt;&gt;"Cancelled"))&gt;1,"Conflict - double booked","OK"))</f>
        <v>0</v>
      </c>
      <c r="AS238" s="50">
        <f>IF(A238="","",IF(COUNTIF('Visit Log'!$B$5:$B$404,A238)&gt;0,"Yes","No"))</f>
        <v>0</v>
      </c>
      <c r="AT238" s="28">
        <f>IF(A238="","",IFERROR(INDEX(Invoices!$A$5:$A$304,MATCH(A238,Invoices!$E$5:$E$304,0)),""))</f>
        <v>0</v>
      </c>
      <c r="AU238" s="49">
        <f>IF(A238="","",IF(AT238="","Not invoiced",IFERROR(INDEX(Invoices!$U$5:$U$304,MATCH(AT238,Invoices!$A$5:$A$304,0)),"")))</f>
        <v>0</v>
      </c>
      <c r="AY238" s="28">
        <f>IF(I238="","",TEXT(I238,"yyyy-mm"))</f>
        <v>0</v>
      </c>
      <c r="AZ238" s="49">
        <f>IF(I238="","",IF(AM238="Cancelled","Cancelled",IF(AND(I238&lt;TODAY(),OR(AM238="Pending",AM238="Confirmed",AM238="Enquiry")),"Overdue - update status",IF(AND(AM238="Completed",AS238="No"),"Action - log the visit",IF(I238=TODAY(),"Today",IF(AND(I238&gt;TODAY(),I238-TODAY()&lt;=ReminderLeadDays,AN238&lt;&gt;"Yes"),"Action - unconfirmed",IF(AND(I238&gt;TODAY(),I238-TODAY()&lt;=ReminderLeadDays),"Upcoming","OK")))))))</f>
        <v>0</v>
      </c>
    </row>
    <row r="239" spans="1:52">
      <c r="A239" s="46">
        <f>IF(C239="","",BookingPrefix&amp;TEXT(ROW()-4,"0000"))</f>
        <v>0</v>
      </c>
      <c r="D239" s="28">
        <f>IF(C239="","",IFERROR(INDEX(Clients!$A$5:$A$254,MATCH(C239,Clients!$B$5:$B$254,0)),""))</f>
        <v>0</v>
      </c>
      <c r="J239" s="50">
        <f>IF(I239="","",TEXT(I239,"ddd"))</f>
        <v>0</v>
      </c>
      <c r="M239" s="51">
        <f>IF(OR(K239="",L239=""),"",ROUND((L239-K239+IF(L239&lt;K239,1,0))*24,2))</f>
        <v>0</v>
      </c>
      <c r="O239" s="28">
        <f>IF(H239="","",IFERROR(INDEX(Services!$E$5:$E$54,MATCH(H239,Services!$B$5:$B$54,0)),""))</f>
        <v>0</v>
      </c>
      <c r="P239" s="29">
        <f>IF(H239="","",IFERROR(INDEX(Services!$G$5:$G$54,MATCH(H239,Services!$B$5:$B$54,0)),0))</f>
        <v>0</v>
      </c>
      <c r="Q239" s="29">
        <f>IF(H239="","",IF(IFERROR(INDEX(Services!$H$5:$H$54,MATCH(H239,Services!$B$5:$B$54,0)),0)=0,ExtraPetFeeDefault,IFERROR(INDEX(Services!$H$5:$H$54,MATCH(H239,Services!$B$5:$B$54,0)),0)))</f>
        <v>0</v>
      </c>
      <c r="R239" s="30">
        <f>IF(H239="","",IF(IFERROR(INDEX(Services!$I$5:$I$54,MATCH(H239,Services!$B$5:$B$54,0)),0)=0,HolidaySurcharge,IFERROR(INDEX(Services!$I$5:$I$54,MATCH(H239,Services!$B$5:$B$54,0)),0)))</f>
        <v>0</v>
      </c>
      <c r="S239" s="30">
        <f>IF(H239="","",IF(IFERROR(INDEX(Services!$J$5:$J$54,MATCH(H239,Services!$B$5:$B$54,0)),0)=0,WeekendSurcharge,IFERROR(INDEX(Services!$J$5:$J$54,MATCH(H239,Services!$B$5:$B$54,0)),0)))</f>
        <v>0</v>
      </c>
      <c r="T239" s="50">
        <f>IF(H239="","",IFERROR(INDEX(Services!$K$5:$K$54,MATCH(H239,Services!$B$5:$B$54,0)),"No"))</f>
        <v>0</v>
      </c>
      <c r="U239" s="29">
        <f>IF(H239="","",ROUND(IF(O239="Per hour",P239*IF(M239="",IF(N239="",1,N239),M239),P239*IF(N239="",1,N239)),2))</f>
        <v>0</v>
      </c>
      <c r="V239" s="29">
        <f>IF(H239="","",ROUND(MAX(0,IF(G239="",1,G239)-1)*Q239,2))</f>
        <v>0</v>
      </c>
      <c r="W239" s="50">
        <f>IF(I239="","",IF(COUNTIF(HolidayDates,I239)&gt;0,"Yes","No"))</f>
        <v>0</v>
      </c>
      <c r="X239" s="50">
        <f>IF(I239="","",IF(WEEKDAY(I239,2)&gt;5,"Yes","No"))</f>
        <v>0</v>
      </c>
      <c r="Y239" s="29">
        <f>IF(H239="","",ROUND((U239+V239)*(IF(W239="Yes",R239,0)+IF(X239="Yes",S239,0)),2))</f>
        <v>0</v>
      </c>
      <c r="AA239" s="29">
        <f>IF(H239="","",IF(T239&lt;&gt;"Yes",0,ROUND(MAX(0,IF(Z239="",0,Z239)-FreeTravelDistance)*TravelFeeRate,2)))</f>
        <v>0</v>
      </c>
      <c r="AB239" s="31">
        <f>IF(I239="","",TravelTimeMins)</f>
        <v>0</v>
      </c>
      <c r="AC239" s="29">
        <f>IF(OR(I239="",B239=""),0,IF(I239-B239&lt;=LastMinuteDays,EmergencyFee,0))</f>
        <v>0</v>
      </c>
      <c r="AF239" s="29">
        <f>IF(H239="","",ROUND((U239+V239+Y239+AA239+AC239)*IF(AE239="",0,AE239),2))</f>
        <v>0</v>
      </c>
      <c r="AI239" s="29">
        <f>IF(H239="","",IF(AG239&lt;&gt;"",AG239,ROUND(U239+V239+Y239+AA239+AC239-AF239,2)))</f>
        <v>0</v>
      </c>
      <c r="AJ239" s="29">
        <f>IF(AI239="","",IF(TaxRegistered&lt;&gt;"Yes",0,IF(PricesIncludeTax="Yes",ROUND(AI239-AI239/(1+TaxRate),2),ROUND(AI239*TaxRate,2))))</f>
        <v>0</v>
      </c>
      <c r="AK239" s="29">
        <f>IF(AI239="","",IF(PricesIncludeTax="Yes",AI239,ROUND(AI239+AJ239,2)))</f>
        <v>0</v>
      </c>
      <c r="AQ239" s="21">
        <f>IF(OR(I239="",AP239="",AP239="None"),"",IF(AP239="Monthly",EDATE(I239,1),I239+IF(AP239="Daily",1,IF(AP239="Weekdays",IF(WEEKDAY(I239,2)&gt;=5,8-WEEKDAY(I239,2),1),IF(AP239="Weekly",7,IF(AP239="Fortnightly",14,0))))))</f>
        <v>0</v>
      </c>
      <c r="AR239" s="49">
        <f>IF(OR(I239="",AL239="",K239="",L239=""),"",IF(SUMPRODUCT((Bookings!$AL$5:$AL$404=AL239)*(Bookings!$I$5:$I$404=I239)*(Bookings!$K$5:$K$404&lt;L239)*(Bookings!$L$5:$L$404&gt;K239)*(Bookings!$AM$5:$AM$404&lt;&gt;"Cancelled"))&gt;1,"Conflict - double booked","OK"))</f>
        <v>0</v>
      </c>
      <c r="AS239" s="50">
        <f>IF(A239="","",IF(COUNTIF('Visit Log'!$B$5:$B$404,A239)&gt;0,"Yes","No"))</f>
        <v>0</v>
      </c>
      <c r="AT239" s="28">
        <f>IF(A239="","",IFERROR(INDEX(Invoices!$A$5:$A$304,MATCH(A239,Invoices!$E$5:$E$304,0)),""))</f>
        <v>0</v>
      </c>
      <c r="AU239" s="49">
        <f>IF(A239="","",IF(AT239="","Not invoiced",IFERROR(INDEX(Invoices!$U$5:$U$304,MATCH(AT239,Invoices!$A$5:$A$304,0)),"")))</f>
        <v>0</v>
      </c>
      <c r="AY239" s="28">
        <f>IF(I239="","",TEXT(I239,"yyyy-mm"))</f>
        <v>0</v>
      </c>
      <c r="AZ239" s="49">
        <f>IF(I239="","",IF(AM239="Cancelled","Cancelled",IF(AND(I239&lt;TODAY(),OR(AM239="Pending",AM239="Confirmed",AM239="Enquiry")),"Overdue - update status",IF(AND(AM239="Completed",AS239="No"),"Action - log the visit",IF(I239=TODAY(),"Today",IF(AND(I239&gt;TODAY(),I239-TODAY()&lt;=ReminderLeadDays,AN239&lt;&gt;"Yes"),"Action - unconfirmed",IF(AND(I239&gt;TODAY(),I239-TODAY()&lt;=ReminderLeadDays),"Upcoming","OK")))))))</f>
        <v>0</v>
      </c>
    </row>
    <row r="240" spans="1:52">
      <c r="A240" s="46">
        <f>IF(C240="","",BookingPrefix&amp;TEXT(ROW()-4,"0000"))</f>
        <v>0</v>
      </c>
      <c r="D240" s="28">
        <f>IF(C240="","",IFERROR(INDEX(Clients!$A$5:$A$254,MATCH(C240,Clients!$B$5:$B$254,0)),""))</f>
        <v>0</v>
      </c>
      <c r="J240" s="50">
        <f>IF(I240="","",TEXT(I240,"ddd"))</f>
        <v>0</v>
      </c>
      <c r="M240" s="51">
        <f>IF(OR(K240="",L240=""),"",ROUND((L240-K240+IF(L240&lt;K240,1,0))*24,2))</f>
        <v>0</v>
      </c>
      <c r="O240" s="28">
        <f>IF(H240="","",IFERROR(INDEX(Services!$E$5:$E$54,MATCH(H240,Services!$B$5:$B$54,0)),""))</f>
        <v>0</v>
      </c>
      <c r="P240" s="29">
        <f>IF(H240="","",IFERROR(INDEX(Services!$G$5:$G$54,MATCH(H240,Services!$B$5:$B$54,0)),0))</f>
        <v>0</v>
      </c>
      <c r="Q240" s="29">
        <f>IF(H240="","",IF(IFERROR(INDEX(Services!$H$5:$H$54,MATCH(H240,Services!$B$5:$B$54,0)),0)=0,ExtraPetFeeDefault,IFERROR(INDEX(Services!$H$5:$H$54,MATCH(H240,Services!$B$5:$B$54,0)),0)))</f>
        <v>0</v>
      </c>
      <c r="R240" s="30">
        <f>IF(H240="","",IF(IFERROR(INDEX(Services!$I$5:$I$54,MATCH(H240,Services!$B$5:$B$54,0)),0)=0,HolidaySurcharge,IFERROR(INDEX(Services!$I$5:$I$54,MATCH(H240,Services!$B$5:$B$54,0)),0)))</f>
        <v>0</v>
      </c>
      <c r="S240" s="30">
        <f>IF(H240="","",IF(IFERROR(INDEX(Services!$J$5:$J$54,MATCH(H240,Services!$B$5:$B$54,0)),0)=0,WeekendSurcharge,IFERROR(INDEX(Services!$J$5:$J$54,MATCH(H240,Services!$B$5:$B$54,0)),0)))</f>
        <v>0</v>
      </c>
      <c r="T240" s="50">
        <f>IF(H240="","",IFERROR(INDEX(Services!$K$5:$K$54,MATCH(H240,Services!$B$5:$B$54,0)),"No"))</f>
        <v>0</v>
      </c>
      <c r="U240" s="29">
        <f>IF(H240="","",ROUND(IF(O240="Per hour",P240*IF(M240="",IF(N240="",1,N240),M240),P240*IF(N240="",1,N240)),2))</f>
        <v>0</v>
      </c>
      <c r="V240" s="29">
        <f>IF(H240="","",ROUND(MAX(0,IF(G240="",1,G240)-1)*Q240,2))</f>
        <v>0</v>
      </c>
      <c r="W240" s="50">
        <f>IF(I240="","",IF(COUNTIF(HolidayDates,I240)&gt;0,"Yes","No"))</f>
        <v>0</v>
      </c>
      <c r="X240" s="50">
        <f>IF(I240="","",IF(WEEKDAY(I240,2)&gt;5,"Yes","No"))</f>
        <v>0</v>
      </c>
      <c r="Y240" s="29">
        <f>IF(H240="","",ROUND((U240+V240)*(IF(W240="Yes",R240,0)+IF(X240="Yes",S240,0)),2))</f>
        <v>0</v>
      </c>
      <c r="AA240" s="29">
        <f>IF(H240="","",IF(T240&lt;&gt;"Yes",0,ROUND(MAX(0,IF(Z240="",0,Z240)-FreeTravelDistance)*TravelFeeRate,2)))</f>
        <v>0</v>
      </c>
      <c r="AB240" s="31">
        <f>IF(I240="","",TravelTimeMins)</f>
        <v>0</v>
      </c>
      <c r="AC240" s="29">
        <f>IF(OR(I240="",B240=""),0,IF(I240-B240&lt;=LastMinuteDays,EmergencyFee,0))</f>
        <v>0</v>
      </c>
      <c r="AF240" s="29">
        <f>IF(H240="","",ROUND((U240+V240+Y240+AA240+AC240)*IF(AE240="",0,AE240),2))</f>
        <v>0</v>
      </c>
      <c r="AI240" s="29">
        <f>IF(H240="","",IF(AG240&lt;&gt;"",AG240,ROUND(U240+V240+Y240+AA240+AC240-AF240,2)))</f>
        <v>0</v>
      </c>
      <c r="AJ240" s="29">
        <f>IF(AI240="","",IF(TaxRegistered&lt;&gt;"Yes",0,IF(PricesIncludeTax="Yes",ROUND(AI240-AI240/(1+TaxRate),2),ROUND(AI240*TaxRate,2))))</f>
        <v>0</v>
      </c>
      <c r="AK240" s="29">
        <f>IF(AI240="","",IF(PricesIncludeTax="Yes",AI240,ROUND(AI240+AJ240,2)))</f>
        <v>0</v>
      </c>
      <c r="AQ240" s="21">
        <f>IF(OR(I240="",AP240="",AP240="None"),"",IF(AP240="Monthly",EDATE(I240,1),I240+IF(AP240="Daily",1,IF(AP240="Weekdays",IF(WEEKDAY(I240,2)&gt;=5,8-WEEKDAY(I240,2),1),IF(AP240="Weekly",7,IF(AP240="Fortnightly",14,0))))))</f>
        <v>0</v>
      </c>
      <c r="AR240" s="49">
        <f>IF(OR(I240="",AL240="",K240="",L240=""),"",IF(SUMPRODUCT((Bookings!$AL$5:$AL$404=AL240)*(Bookings!$I$5:$I$404=I240)*(Bookings!$K$5:$K$404&lt;L240)*(Bookings!$L$5:$L$404&gt;K240)*(Bookings!$AM$5:$AM$404&lt;&gt;"Cancelled"))&gt;1,"Conflict - double booked","OK"))</f>
        <v>0</v>
      </c>
      <c r="AS240" s="50">
        <f>IF(A240="","",IF(COUNTIF('Visit Log'!$B$5:$B$404,A240)&gt;0,"Yes","No"))</f>
        <v>0</v>
      </c>
      <c r="AT240" s="28">
        <f>IF(A240="","",IFERROR(INDEX(Invoices!$A$5:$A$304,MATCH(A240,Invoices!$E$5:$E$304,0)),""))</f>
        <v>0</v>
      </c>
      <c r="AU240" s="49">
        <f>IF(A240="","",IF(AT240="","Not invoiced",IFERROR(INDEX(Invoices!$U$5:$U$304,MATCH(AT240,Invoices!$A$5:$A$304,0)),"")))</f>
        <v>0</v>
      </c>
      <c r="AY240" s="28">
        <f>IF(I240="","",TEXT(I240,"yyyy-mm"))</f>
        <v>0</v>
      </c>
      <c r="AZ240" s="49">
        <f>IF(I240="","",IF(AM240="Cancelled","Cancelled",IF(AND(I240&lt;TODAY(),OR(AM240="Pending",AM240="Confirmed",AM240="Enquiry")),"Overdue - update status",IF(AND(AM240="Completed",AS240="No"),"Action - log the visit",IF(I240=TODAY(),"Today",IF(AND(I240&gt;TODAY(),I240-TODAY()&lt;=ReminderLeadDays,AN240&lt;&gt;"Yes"),"Action - unconfirmed",IF(AND(I240&gt;TODAY(),I240-TODAY()&lt;=ReminderLeadDays),"Upcoming","OK")))))))</f>
        <v>0</v>
      </c>
    </row>
    <row r="241" spans="1:52">
      <c r="A241" s="46">
        <f>IF(C241="","",BookingPrefix&amp;TEXT(ROW()-4,"0000"))</f>
        <v>0</v>
      </c>
      <c r="D241" s="28">
        <f>IF(C241="","",IFERROR(INDEX(Clients!$A$5:$A$254,MATCH(C241,Clients!$B$5:$B$254,0)),""))</f>
        <v>0</v>
      </c>
      <c r="J241" s="50">
        <f>IF(I241="","",TEXT(I241,"ddd"))</f>
        <v>0</v>
      </c>
      <c r="M241" s="51">
        <f>IF(OR(K241="",L241=""),"",ROUND((L241-K241+IF(L241&lt;K241,1,0))*24,2))</f>
        <v>0</v>
      </c>
      <c r="O241" s="28">
        <f>IF(H241="","",IFERROR(INDEX(Services!$E$5:$E$54,MATCH(H241,Services!$B$5:$B$54,0)),""))</f>
        <v>0</v>
      </c>
      <c r="P241" s="29">
        <f>IF(H241="","",IFERROR(INDEX(Services!$G$5:$G$54,MATCH(H241,Services!$B$5:$B$54,0)),0))</f>
        <v>0</v>
      </c>
      <c r="Q241" s="29">
        <f>IF(H241="","",IF(IFERROR(INDEX(Services!$H$5:$H$54,MATCH(H241,Services!$B$5:$B$54,0)),0)=0,ExtraPetFeeDefault,IFERROR(INDEX(Services!$H$5:$H$54,MATCH(H241,Services!$B$5:$B$54,0)),0)))</f>
        <v>0</v>
      </c>
      <c r="R241" s="30">
        <f>IF(H241="","",IF(IFERROR(INDEX(Services!$I$5:$I$54,MATCH(H241,Services!$B$5:$B$54,0)),0)=0,HolidaySurcharge,IFERROR(INDEX(Services!$I$5:$I$54,MATCH(H241,Services!$B$5:$B$54,0)),0)))</f>
        <v>0</v>
      </c>
      <c r="S241" s="30">
        <f>IF(H241="","",IF(IFERROR(INDEX(Services!$J$5:$J$54,MATCH(H241,Services!$B$5:$B$54,0)),0)=0,WeekendSurcharge,IFERROR(INDEX(Services!$J$5:$J$54,MATCH(H241,Services!$B$5:$B$54,0)),0)))</f>
        <v>0</v>
      </c>
      <c r="T241" s="50">
        <f>IF(H241="","",IFERROR(INDEX(Services!$K$5:$K$54,MATCH(H241,Services!$B$5:$B$54,0)),"No"))</f>
        <v>0</v>
      </c>
      <c r="U241" s="29">
        <f>IF(H241="","",ROUND(IF(O241="Per hour",P241*IF(M241="",IF(N241="",1,N241),M241),P241*IF(N241="",1,N241)),2))</f>
        <v>0</v>
      </c>
      <c r="V241" s="29">
        <f>IF(H241="","",ROUND(MAX(0,IF(G241="",1,G241)-1)*Q241,2))</f>
        <v>0</v>
      </c>
      <c r="W241" s="50">
        <f>IF(I241="","",IF(COUNTIF(HolidayDates,I241)&gt;0,"Yes","No"))</f>
        <v>0</v>
      </c>
      <c r="X241" s="50">
        <f>IF(I241="","",IF(WEEKDAY(I241,2)&gt;5,"Yes","No"))</f>
        <v>0</v>
      </c>
      <c r="Y241" s="29">
        <f>IF(H241="","",ROUND((U241+V241)*(IF(W241="Yes",R241,0)+IF(X241="Yes",S241,0)),2))</f>
        <v>0</v>
      </c>
      <c r="AA241" s="29">
        <f>IF(H241="","",IF(T241&lt;&gt;"Yes",0,ROUND(MAX(0,IF(Z241="",0,Z241)-FreeTravelDistance)*TravelFeeRate,2)))</f>
        <v>0</v>
      </c>
      <c r="AB241" s="31">
        <f>IF(I241="","",TravelTimeMins)</f>
        <v>0</v>
      </c>
      <c r="AC241" s="29">
        <f>IF(OR(I241="",B241=""),0,IF(I241-B241&lt;=LastMinuteDays,EmergencyFee,0))</f>
        <v>0</v>
      </c>
      <c r="AF241" s="29">
        <f>IF(H241="","",ROUND((U241+V241+Y241+AA241+AC241)*IF(AE241="",0,AE241),2))</f>
        <v>0</v>
      </c>
      <c r="AI241" s="29">
        <f>IF(H241="","",IF(AG241&lt;&gt;"",AG241,ROUND(U241+V241+Y241+AA241+AC241-AF241,2)))</f>
        <v>0</v>
      </c>
      <c r="AJ241" s="29">
        <f>IF(AI241="","",IF(TaxRegistered&lt;&gt;"Yes",0,IF(PricesIncludeTax="Yes",ROUND(AI241-AI241/(1+TaxRate),2),ROUND(AI241*TaxRate,2))))</f>
        <v>0</v>
      </c>
      <c r="AK241" s="29">
        <f>IF(AI241="","",IF(PricesIncludeTax="Yes",AI241,ROUND(AI241+AJ241,2)))</f>
        <v>0</v>
      </c>
      <c r="AQ241" s="21">
        <f>IF(OR(I241="",AP241="",AP241="None"),"",IF(AP241="Monthly",EDATE(I241,1),I241+IF(AP241="Daily",1,IF(AP241="Weekdays",IF(WEEKDAY(I241,2)&gt;=5,8-WEEKDAY(I241,2),1),IF(AP241="Weekly",7,IF(AP241="Fortnightly",14,0))))))</f>
        <v>0</v>
      </c>
      <c r="AR241" s="49">
        <f>IF(OR(I241="",AL241="",K241="",L241=""),"",IF(SUMPRODUCT((Bookings!$AL$5:$AL$404=AL241)*(Bookings!$I$5:$I$404=I241)*(Bookings!$K$5:$K$404&lt;L241)*(Bookings!$L$5:$L$404&gt;K241)*(Bookings!$AM$5:$AM$404&lt;&gt;"Cancelled"))&gt;1,"Conflict - double booked","OK"))</f>
        <v>0</v>
      </c>
      <c r="AS241" s="50">
        <f>IF(A241="","",IF(COUNTIF('Visit Log'!$B$5:$B$404,A241)&gt;0,"Yes","No"))</f>
        <v>0</v>
      </c>
      <c r="AT241" s="28">
        <f>IF(A241="","",IFERROR(INDEX(Invoices!$A$5:$A$304,MATCH(A241,Invoices!$E$5:$E$304,0)),""))</f>
        <v>0</v>
      </c>
      <c r="AU241" s="49">
        <f>IF(A241="","",IF(AT241="","Not invoiced",IFERROR(INDEX(Invoices!$U$5:$U$304,MATCH(AT241,Invoices!$A$5:$A$304,0)),"")))</f>
        <v>0</v>
      </c>
      <c r="AY241" s="28">
        <f>IF(I241="","",TEXT(I241,"yyyy-mm"))</f>
        <v>0</v>
      </c>
      <c r="AZ241" s="49">
        <f>IF(I241="","",IF(AM241="Cancelled","Cancelled",IF(AND(I241&lt;TODAY(),OR(AM241="Pending",AM241="Confirmed",AM241="Enquiry")),"Overdue - update status",IF(AND(AM241="Completed",AS241="No"),"Action - log the visit",IF(I241=TODAY(),"Today",IF(AND(I241&gt;TODAY(),I241-TODAY()&lt;=ReminderLeadDays,AN241&lt;&gt;"Yes"),"Action - unconfirmed",IF(AND(I241&gt;TODAY(),I241-TODAY()&lt;=ReminderLeadDays),"Upcoming","OK")))))))</f>
        <v>0</v>
      </c>
    </row>
    <row r="242" spans="1:52">
      <c r="A242" s="46">
        <f>IF(C242="","",BookingPrefix&amp;TEXT(ROW()-4,"0000"))</f>
        <v>0</v>
      </c>
      <c r="D242" s="28">
        <f>IF(C242="","",IFERROR(INDEX(Clients!$A$5:$A$254,MATCH(C242,Clients!$B$5:$B$254,0)),""))</f>
        <v>0</v>
      </c>
      <c r="J242" s="50">
        <f>IF(I242="","",TEXT(I242,"ddd"))</f>
        <v>0</v>
      </c>
      <c r="M242" s="51">
        <f>IF(OR(K242="",L242=""),"",ROUND((L242-K242+IF(L242&lt;K242,1,0))*24,2))</f>
        <v>0</v>
      </c>
      <c r="O242" s="28">
        <f>IF(H242="","",IFERROR(INDEX(Services!$E$5:$E$54,MATCH(H242,Services!$B$5:$B$54,0)),""))</f>
        <v>0</v>
      </c>
      <c r="P242" s="29">
        <f>IF(H242="","",IFERROR(INDEX(Services!$G$5:$G$54,MATCH(H242,Services!$B$5:$B$54,0)),0))</f>
        <v>0</v>
      </c>
      <c r="Q242" s="29">
        <f>IF(H242="","",IF(IFERROR(INDEX(Services!$H$5:$H$54,MATCH(H242,Services!$B$5:$B$54,0)),0)=0,ExtraPetFeeDefault,IFERROR(INDEX(Services!$H$5:$H$54,MATCH(H242,Services!$B$5:$B$54,0)),0)))</f>
        <v>0</v>
      </c>
      <c r="R242" s="30">
        <f>IF(H242="","",IF(IFERROR(INDEX(Services!$I$5:$I$54,MATCH(H242,Services!$B$5:$B$54,0)),0)=0,HolidaySurcharge,IFERROR(INDEX(Services!$I$5:$I$54,MATCH(H242,Services!$B$5:$B$54,0)),0)))</f>
        <v>0</v>
      </c>
      <c r="S242" s="30">
        <f>IF(H242="","",IF(IFERROR(INDEX(Services!$J$5:$J$54,MATCH(H242,Services!$B$5:$B$54,0)),0)=0,WeekendSurcharge,IFERROR(INDEX(Services!$J$5:$J$54,MATCH(H242,Services!$B$5:$B$54,0)),0)))</f>
        <v>0</v>
      </c>
      <c r="T242" s="50">
        <f>IF(H242="","",IFERROR(INDEX(Services!$K$5:$K$54,MATCH(H242,Services!$B$5:$B$54,0)),"No"))</f>
        <v>0</v>
      </c>
      <c r="U242" s="29">
        <f>IF(H242="","",ROUND(IF(O242="Per hour",P242*IF(M242="",IF(N242="",1,N242),M242),P242*IF(N242="",1,N242)),2))</f>
        <v>0</v>
      </c>
      <c r="V242" s="29">
        <f>IF(H242="","",ROUND(MAX(0,IF(G242="",1,G242)-1)*Q242,2))</f>
        <v>0</v>
      </c>
      <c r="W242" s="50">
        <f>IF(I242="","",IF(COUNTIF(HolidayDates,I242)&gt;0,"Yes","No"))</f>
        <v>0</v>
      </c>
      <c r="X242" s="50">
        <f>IF(I242="","",IF(WEEKDAY(I242,2)&gt;5,"Yes","No"))</f>
        <v>0</v>
      </c>
      <c r="Y242" s="29">
        <f>IF(H242="","",ROUND((U242+V242)*(IF(W242="Yes",R242,0)+IF(X242="Yes",S242,0)),2))</f>
        <v>0</v>
      </c>
      <c r="AA242" s="29">
        <f>IF(H242="","",IF(T242&lt;&gt;"Yes",0,ROUND(MAX(0,IF(Z242="",0,Z242)-FreeTravelDistance)*TravelFeeRate,2)))</f>
        <v>0</v>
      </c>
      <c r="AB242" s="31">
        <f>IF(I242="","",TravelTimeMins)</f>
        <v>0</v>
      </c>
      <c r="AC242" s="29">
        <f>IF(OR(I242="",B242=""),0,IF(I242-B242&lt;=LastMinuteDays,EmergencyFee,0))</f>
        <v>0</v>
      </c>
      <c r="AF242" s="29">
        <f>IF(H242="","",ROUND((U242+V242+Y242+AA242+AC242)*IF(AE242="",0,AE242),2))</f>
        <v>0</v>
      </c>
      <c r="AI242" s="29">
        <f>IF(H242="","",IF(AG242&lt;&gt;"",AG242,ROUND(U242+V242+Y242+AA242+AC242-AF242,2)))</f>
        <v>0</v>
      </c>
      <c r="AJ242" s="29">
        <f>IF(AI242="","",IF(TaxRegistered&lt;&gt;"Yes",0,IF(PricesIncludeTax="Yes",ROUND(AI242-AI242/(1+TaxRate),2),ROUND(AI242*TaxRate,2))))</f>
        <v>0</v>
      </c>
      <c r="AK242" s="29">
        <f>IF(AI242="","",IF(PricesIncludeTax="Yes",AI242,ROUND(AI242+AJ242,2)))</f>
        <v>0</v>
      </c>
      <c r="AQ242" s="21">
        <f>IF(OR(I242="",AP242="",AP242="None"),"",IF(AP242="Monthly",EDATE(I242,1),I242+IF(AP242="Daily",1,IF(AP242="Weekdays",IF(WEEKDAY(I242,2)&gt;=5,8-WEEKDAY(I242,2),1),IF(AP242="Weekly",7,IF(AP242="Fortnightly",14,0))))))</f>
        <v>0</v>
      </c>
      <c r="AR242" s="49">
        <f>IF(OR(I242="",AL242="",K242="",L242=""),"",IF(SUMPRODUCT((Bookings!$AL$5:$AL$404=AL242)*(Bookings!$I$5:$I$404=I242)*(Bookings!$K$5:$K$404&lt;L242)*(Bookings!$L$5:$L$404&gt;K242)*(Bookings!$AM$5:$AM$404&lt;&gt;"Cancelled"))&gt;1,"Conflict - double booked","OK"))</f>
        <v>0</v>
      </c>
      <c r="AS242" s="50">
        <f>IF(A242="","",IF(COUNTIF('Visit Log'!$B$5:$B$404,A242)&gt;0,"Yes","No"))</f>
        <v>0</v>
      </c>
      <c r="AT242" s="28">
        <f>IF(A242="","",IFERROR(INDEX(Invoices!$A$5:$A$304,MATCH(A242,Invoices!$E$5:$E$304,0)),""))</f>
        <v>0</v>
      </c>
      <c r="AU242" s="49">
        <f>IF(A242="","",IF(AT242="","Not invoiced",IFERROR(INDEX(Invoices!$U$5:$U$304,MATCH(AT242,Invoices!$A$5:$A$304,0)),"")))</f>
        <v>0</v>
      </c>
      <c r="AY242" s="28">
        <f>IF(I242="","",TEXT(I242,"yyyy-mm"))</f>
        <v>0</v>
      </c>
      <c r="AZ242" s="49">
        <f>IF(I242="","",IF(AM242="Cancelled","Cancelled",IF(AND(I242&lt;TODAY(),OR(AM242="Pending",AM242="Confirmed",AM242="Enquiry")),"Overdue - update status",IF(AND(AM242="Completed",AS242="No"),"Action - log the visit",IF(I242=TODAY(),"Today",IF(AND(I242&gt;TODAY(),I242-TODAY()&lt;=ReminderLeadDays,AN242&lt;&gt;"Yes"),"Action - unconfirmed",IF(AND(I242&gt;TODAY(),I242-TODAY()&lt;=ReminderLeadDays),"Upcoming","OK")))))))</f>
        <v>0</v>
      </c>
    </row>
    <row r="243" spans="1:52">
      <c r="A243" s="46">
        <f>IF(C243="","",BookingPrefix&amp;TEXT(ROW()-4,"0000"))</f>
        <v>0</v>
      </c>
      <c r="D243" s="28">
        <f>IF(C243="","",IFERROR(INDEX(Clients!$A$5:$A$254,MATCH(C243,Clients!$B$5:$B$254,0)),""))</f>
        <v>0</v>
      </c>
      <c r="J243" s="50">
        <f>IF(I243="","",TEXT(I243,"ddd"))</f>
        <v>0</v>
      </c>
      <c r="M243" s="51">
        <f>IF(OR(K243="",L243=""),"",ROUND((L243-K243+IF(L243&lt;K243,1,0))*24,2))</f>
        <v>0</v>
      </c>
      <c r="O243" s="28">
        <f>IF(H243="","",IFERROR(INDEX(Services!$E$5:$E$54,MATCH(H243,Services!$B$5:$B$54,0)),""))</f>
        <v>0</v>
      </c>
      <c r="P243" s="29">
        <f>IF(H243="","",IFERROR(INDEX(Services!$G$5:$G$54,MATCH(H243,Services!$B$5:$B$54,0)),0))</f>
        <v>0</v>
      </c>
      <c r="Q243" s="29">
        <f>IF(H243="","",IF(IFERROR(INDEX(Services!$H$5:$H$54,MATCH(H243,Services!$B$5:$B$54,0)),0)=0,ExtraPetFeeDefault,IFERROR(INDEX(Services!$H$5:$H$54,MATCH(H243,Services!$B$5:$B$54,0)),0)))</f>
        <v>0</v>
      </c>
      <c r="R243" s="30">
        <f>IF(H243="","",IF(IFERROR(INDEX(Services!$I$5:$I$54,MATCH(H243,Services!$B$5:$B$54,0)),0)=0,HolidaySurcharge,IFERROR(INDEX(Services!$I$5:$I$54,MATCH(H243,Services!$B$5:$B$54,0)),0)))</f>
        <v>0</v>
      </c>
      <c r="S243" s="30">
        <f>IF(H243="","",IF(IFERROR(INDEX(Services!$J$5:$J$54,MATCH(H243,Services!$B$5:$B$54,0)),0)=0,WeekendSurcharge,IFERROR(INDEX(Services!$J$5:$J$54,MATCH(H243,Services!$B$5:$B$54,0)),0)))</f>
        <v>0</v>
      </c>
      <c r="T243" s="50">
        <f>IF(H243="","",IFERROR(INDEX(Services!$K$5:$K$54,MATCH(H243,Services!$B$5:$B$54,0)),"No"))</f>
        <v>0</v>
      </c>
      <c r="U243" s="29">
        <f>IF(H243="","",ROUND(IF(O243="Per hour",P243*IF(M243="",IF(N243="",1,N243),M243),P243*IF(N243="",1,N243)),2))</f>
        <v>0</v>
      </c>
      <c r="V243" s="29">
        <f>IF(H243="","",ROUND(MAX(0,IF(G243="",1,G243)-1)*Q243,2))</f>
        <v>0</v>
      </c>
      <c r="W243" s="50">
        <f>IF(I243="","",IF(COUNTIF(HolidayDates,I243)&gt;0,"Yes","No"))</f>
        <v>0</v>
      </c>
      <c r="X243" s="50">
        <f>IF(I243="","",IF(WEEKDAY(I243,2)&gt;5,"Yes","No"))</f>
        <v>0</v>
      </c>
      <c r="Y243" s="29">
        <f>IF(H243="","",ROUND((U243+V243)*(IF(W243="Yes",R243,0)+IF(X243="Yes",S243,0)),2))</f>
        <v>0</v>
      </c>
      <c r="AA243" s="29">
        <f>IF(H243="","",IF(T243&lt;&gt;"Yes",0,ROUND(MAX(0,IF(Z243="",0,Z243)-FreeTravelDistance)*TravelFeeRate,2)))</f>
        <v>0</v>
      </c>
      <c r="AB243" s="31">
        <f>IF(I243="","",TravelTimeMins)</f>
        <v>0</v>
      </c>
      <c r="AC243" s="29">
        <f>IF(OR(I243="",B243=""),0,IF(I243-B243&lt;=LastMinuteDays,EmergencyFee,0))</f>
        <v>0</v>
      </c>
      <c r="AF243" s="29">
        <f>IF(H243="","",ROUND((U243+V243+Y243+AA243+AC243)*IF(AE243="",0,AE243),2))</f>
        <v>0</v>
      </c>
      <c r="AI243" s="29">
        <f>IF(H243="","",IF(AG243&lt;&gt;"",AG243,ROUND(U243+V243+Y243+AA243+AC243-AF243,2)))</f>
        <v>0</v>
      </c>
      <c r="AJ243" s="29">
        <f>IF(AI243="","",IF(TaxRegistered&lt;&gt;"Yes",0,IF(PricesIncludeTax="Yes",ROUND(AI243-AI243/(1+TaxRate),2),ROUND(AI243*TaxRate,2))))</f>
        <v>0</v>
      </c>
      <c r="AK243" s="29">
        <f>IF(AI243="","",IF(PricesIncludeTax="Yes",AI243,ROUND(AI243+AJ243,2)))</f>
        <v>0</v>
      </c>
      <c r="AQ243" s="21">
        <f>IF(OR(I243="",AP243="",AP243="None"),"",IF(AP243="Monthly",EDATE(I243,1),I243+IF(AP243="Daily",1,IF(AP243="Weekdays",IF(WEEKDAY(I243,2)&gt;=5,8-WEEKDAY(I243,2),1),IF(AP243="Weekly",7,IF(AP243="Fortnightly",14,0))))))</f>
        <v>0</v>
      </c>
      <c r="AR243" s="49">
        <f>IF(OR(I243="",AL243="",K243="",L243=""),"",IF(SUMPRODUCT((Bookings!$AL$5:$AL$404=AL243)*(Bookings!$I$5:$I$404=I243)*(Bookings!$K$5:$K$404&lt;L243)*(Bookings!$L$5:$L$404&gt;K243)*(Bookings!$AM$5:$AM$404&lt;&gt;"Cancelled"))&gt;1,"Conflict - double booked","OK"))</f>
        <v>0</v>
      </c>
      <c r="AS243" s="50">
        <f>IF(A243="","",IF(COUNTIF('Visit Log'!$B$5:$B$404,A243)&gt;0,"Yes","No"))</f>
        <v>0</v>
      </c>
      <c r="AT243" s="28">
        <f>IF(A243="","",IFERROR(INDEX(Invoices!$A$5:$A$304,MATCH(A243,Invoices!$E$5:$E$304,0)),""))</f>
        <v>0</v>
      </c>
      <c r="AU243" s="49">
        <f>IF(A243="","",IF(AT243="","Not invoiced",IFERROR(INDEX(Invoices!$U$5:$U$304,MATCH(AT243,Invoices!$A$5:$A$304,0)),"")))</f>
        <v>0</v>
      </c>
      <c r="AY243" s="28">
        <f>IF(I243="","",TEXT(I243,"yyyy-mm"))</f>
        <v>0</v>
      </c>
      <c r="AZ243" s="49">
        <f>IF(I243="","",IF(AM243="Cancelled","Cancelled",IF(AND(I243&lt;TODAY(),OR(AM243="Pending",AM243="Confirmed",AM243="Enquiry")),"Overdue - update status",IF(AND(AM243="Completed",AS243="No"),"Action - log the visit",IF(I243=TODAY(),"Today",IF(AND(I243&gt;TODAY(),I243-TODAY()&lt;=ReminderLeadDays,AN243&lt;&gt;"Yes"),"Action - unconfirmed",IF(AND(I243&gt;TODAY(),I243-TODAY()&lt;=ReminderLeadDays),"Upcoming","OK")))))))</f>
        <v>0</v>
      </c>
    </row>
    <row r="244" spans="1:52">
      <c r="A244" s="46">
        <f>IF(C244="","",BookingPrefix&amp;TEXT(ROW()-4,"0000"))</f>
        <v>0</v>
      </c>
      <c r="D244" s="28">
        <f>IF(C244="","",IFERROR(INDEX(Clients!$A$5:$A$254,MATCH(C244,Clients!$B$5:$B$254,0)),""))</f>
        <v>0</v>
      </c>
      <c r="J244" s="50">
        <f>IF(I244="","",TEXT(I244,"ddd"))</f>
        <v>0</v>
      </c>
      <c r="M244" s="51">
        <f>IF(OR(K244="",L244=""),"",ROUND((L244-K244+IF(L244&lt;K244,1,0))*24,2))</f>
        <v>0</v>
      </c>
      <c r="O244" s="28">
        <f>IF(H244="","",IFERROR(INDEX(Services!$E$5:$E$54,MATCH(H244,Services!$B$5:$B$54,0)),""))</f>
        <v>0</v>
      </c>
      <c r="P244" s="29">
        <f>IF(H244="","",IFERROR(INDEX(Services!$G$5:$G$54,MATCH(H244,Services!$B$5:$B$54,0)),0))</f>
        <v>0</v>
      </c>
      <c r="Q244" s="29">
        <f>IF(H244="","",IF(IFERROR(INDEX(Services!$H$5:$H$54,MATCH(H244,Services!$B$5:$B$54,0)),0)=0,ExtraPetFeeDefault,IFERROR(INDEX(Services!$H$5:$H$54,MATCH(H244,Services!$B$5:$B$54,0)),0)))</f>
        <v>0</v>
      </c>
      <c r="R244" s="30">
        <f>IF(H244="","",IF(IFERROR(INDEX(Services!$I$5:$I$54,MATCH(H244,Services!$B$5:$B$54,0)),0)=0,HolidaySurcharge,IFERROR(INDEX(Services!$I$5:$I$54,MATCH(H244,Services!$B$5:$B$54,0)),0)))</f>
        <v>0</v>
      </c>
      <c r="S244" s="30">
        <f>IF(H244="","",IF(IFERROR(INDEX(Services!$J$5:$J$54,MATCH(H244,Services!$B$5:$B$54,0)),0)=0,WeekendSurcharge,IFERROR(INDEX(Services!$J$5:$J$54,MATCH(H244,Services!$B$5:$B$54,0)),0)))</f>
        <v>0</v>
      </c>
      <c r="T244" s="50">
        <f>IF(H244="","",IFERROR(INDEX(Services!$K$5:$K$54,MATCH(H244,Services!$B$5:$B$54,0)),"No"))</f>
        <v>0</v>
      </c>
      <c r="U244" s="29">
        <f>IF(H244="","",ROUND(IF(O244="Per hour",P244*IF(M244="",IF(N244="",1,N244),M244),P244*IF(N244="",1,N244)),2))</f>
        <v>0</v>
      </c>
      <c r="V244" s="29">
        <f>IF(H244="","",ROUND(MAX(0,IF(G244="",1,G244)-1)*Q244,2))</f>
        <v>0</v>
      </c>
      <c r="W244" s="50">
        <f>IF(I244="","",IF(COUNTIF(HolidayDates,I244)&gt;0,"Yes","No"))</f>
        <v>0</v>
      </c>
      <c r="X244" s="50">
        <f>IF(I244="","",IF(WEEKDAY(I244,2)&gt;5,"Yes","No"))</f>
        <v>0</v>
      </c>
      <c r="Y244" s="29">
        <f>IF(H244="","",ROUND((U244+V244)*(IF(W244="Yes",R244,0)+IF(X244="Yes",S244,0)),2))</f>
        <v>0</v>
      </c>
      <c r="AA244" s="29">
        <f>IF(H244="","",IF(T244&lt;&gt;"Yes",0,ROUND(MAX(0,IF(Z244="",0,Z244)-FreeTravelDistance)*TravelFeeRate,2)))</f>
        <v>0</v>
      </c>
      <c r="AB244" s="31">
        <f>IF(I244="","",TravelTimeMins)</f>
        <v>0</v>
      </c>
      <c r="AC244" s="29">
        <f>IF(OR(I244="",B244=""),0,IF(I244-B244&lt;=LastMinuteDays,EmergencyFee,0))</f>
        <v>0</v>
      </c>
      <c r="AF244" s="29">
        <f>IF(H244="","",ROUND((U244+V244+Y244+AA244+AC244)*IF(AE244="",0,AE244),2))</f>
        <v>0</v>
      </c>
      <c r="AI244" s="29">
        <f>IF(H244="","",IF(AG244&lt;&gt;"",AG244,ROUND(U244+V244+Y244+AA244+AC244-AF244,2)))</f>
        <v>0</v>
      </c>
      <c r="AJ244" s="29">
        <f>IF(AI244="","",IF(TaxRegistered&lt;&gt;"Yes",0,IF(PricesIncludeTax="Yes",ROUND(AI244-AI244/(1+TaxRate),2),ROUND(AI244*TaxRate,2))))</f>
        <v>0</v>
      </c>
      <c r="AK244" s="29">
        <f>IF(AI244="","",IF(PricesIncludeTax="Yes",AI244,ROUND(AI244+AJ244,2)))</f>
        <v>0</v>
      </c>
      <c r="AQ244" s="21">
        <f>IF(OR(I244="",AP244="",AP244="None"),"",IF(AP244="Monthly",EDATE(I244,1),I244+IF(AP244="Daily",1,IF(AP244="Weekdays",IF(WEEKDAY(I244,2)&gt;=5,8-WEEKDAY(I244,2),1),IF(AP244="Weekly",7,IF(AP244="Fortnightly",14,0))))))</f>
        <v>0</v>
      </c>
      <c r="AR244" s="49">
        <f>IF(OR(I244="",AL244="",K244="",L244=""),"",IF(SUMPRODUCT((Bookings!$AL$5:$AL$404=AL244)*(Bookings!$I$5:$I$404=I244)*(Bookings!$K$5:$K$404&lt;L244)*(Bookings!$L$5:$L$404&gt;K244)*(Bookings!$AM$5:$AM$404&lt;&gt;"Cancelled"))&gt;1,"Conflict - double booked","OK"))</f>
        <v>0</v>
      </c>
      <c r="AS244" s="50">
        <f>IF(A244="","",IF(COUNTIF('Visit Log'!$B$5:$B$404,A244)&gt;0,"Yes","No"))</f>
        <v>0</v>
      </c>
      <c r="AT244" s="28">
        <f>IF(A244="","",IFERROR(INDEX(Invoices!$A$5:$A$304,MATCH(A244,Invoices!$E$5:$E$304,0)),""))</f>
        <v>0</v>
      </c>
      <c r="AU244" s="49">
        <f>IF(A244="","",IF(AT244="","Not invoiced",IFERROR(INDEX(Invoices!$U$5:$U$304,MATCH(AT244,Invoices!$A$5:$A$304,0)),"")))</f>
        <v>0</v>
      </c>
      <c r="AY244" s="28">
        <f>IF(I244="","",TEXT(I244,"yyyy-mm"))</f>
        <v>0</v>
      </c>
      <c r="AZ244" s="49">
        <f>IF(I244="","",IF(AM244="Cancelled","Cancelled",IF(AND(I244&lt;TODAY(),OR(AM244="Pending",AM244="Confirmed",AM244="Enquiry")),"Overdue - update status",IF(AND(AM244="Completed",AS244="No"),"Action - log the visit",IF(I244=TODAY(),"Today",IF(AND(I244&gt;TODAY(),I244-TODAY()&lt;=ReminderLeadDays,AN244&lt;&gt;"Yes"),"Action - unconfirmed",IF(AND(I244&gt;TODAY(),I244-TODAY()&lt;=ReminderLeadDays),"Upcoming","OK")))))))</f>
        <v>0</v>
      </c>
    </row>
    <row r="245" spans="1:52">
      <c r="A245" s="46">
        <f>IF(C245="","",BookingPrefix&amp;TEXT(ROW()-4,"0000"))</f>
        <v>0</v>
      </c>
      <c r="D245" s="28">
        <f>IF(C245="","",IFERROR(INDEX(Clients!$A$5:$A$254,MATCH(C245,Clients!$B$5:$B$254,0)),""))</f>
        <v>0</v>
      </c>
      <c r="J245" s="50">
        <f>IF(I245="","",TEXT(I245,"ddd"))</f>
        <v>0</v>
      </c>
      <c r="M245" s="51">
        <f>IF(OR(K245="",L245=""),"",ROUND((L245-K245+IF(L245&lt;K245,1,0))*24,2))</f>
        <v>0</v>
      </c>
      <c r="O245" s="28">
        <f>IF(H245="","",IFERROR(INDEX(Services!$E$5:$E$54,MATCH(H245,Services!$B$5:$B$54,0)),""))</f>
        <v>0</v>
      </c>
      <c r="P245" s="29">
        <f>IF(H245="","",IFERROR(INDEX(Services!$G$5:$G$54,MATCH(H245,Services!$B$5:$B$54,0)),0))</f>
        <v>0</v>
      </c>
      <c r="Q245" s="29">
        <f>IF(H245="","",IF(IFERROR(INDEX(Services!$H$5:$H$54,MATCH(H245,Services!$B$5:$B$54,0)),0)=0,ExtraPetFeeDefault,IFERROR(INDEX(Services!$H$5:$H$54,MATCH(H245,Services!$B$5:$B$54,0)),0)))</f>
        <v>0</v>
      </c>
      <c r="R245" s="30">
        <f>IF(H245="","",IF(IFERROR(INDEX(Services!$I$5:$I$54,MATCH(H245,Services!$B$5:$B$54,0)),0)=0,HolidaySurcharge,IFERROR(INDEX(Services!$I$5:$I$54,MATCH(H245,Services!$B$5:$B$54,0)),0)))</f>
        <v>0</v>
      </c>
      <c r="S245" s="30">
        <f>IF(H245="","",IF(IFERROR(INDEX(Services!$J$5:$J$54,MATCH(H245,Services!$B$5:$B$54,0)),0)=0,WeekendSurcharge,IFERROR(INDEX(Services!$J$5:$J$54,MATCH(H245,Services!$B$5:$B$54,0)),0)))</f>
        <v>0</v>
      </c>
      <c r="T245" s="50">
        <f>IF(H245="","",IFERROR(INDEX(Services!$K$5:$K$54,MATCH(H245,Services!$B$5:$B$54,0)),"No"))</f>
        <v>0</v>
      </c>
      <c r="U245" s="29">
        <f>IF(H245="","",ROUND(IF(O245="Per hour",P245*IF(M245="",IF(N245="",1,N245),M245),P245*IF(N245="",1,N245)),2))</f>
        <v>0</v>
      </c>
      <c r="V245" s="29">
        <f>IF(H245="","",ROUND(MAX(0,IF(G245="",1,G245)-1)*Q245,2))</f>
        <v>0</v>
      </c>
      <c r="W245" s="50">
        <f>IF(I245="","",IF(COUNTIF(HolidayDates,I245)&gt;0,"Yes","No"))</f>
        <v>0</v>
      </c>
      <c r="X245" s="50">
        <f>IF(I245="","",IF(WEEKDAY(I245,2)&gt;5,"Yes","No"))</f>
        <v>0</v>
      </c>
      <c r="Y245" s="29">
        <f>IF(H245="","",ROUND((U245+V245)*(IF(W245="Yes",R245,0)+IF(X245="Yes",S245,0)),2))</f>
        <v>0</v>
      </c>
      <c r="AA245" s="29">
        <f>IF(H245="","",IF(T245&lt;&gt;"Yes",0,ROUND(MAX(0,IF(Z245="",0,Z245)-FreeTravelDistance)*TravelFeeRate,2)))</f>
        <v>0</v>
      </c>
      <c r="AB245" s="31">
        <f>IF(I245="","",TravelTimeMins)</f>
        <v>0</v>
      </c>
      <c r="AC245" s="29">
        <f>IF(OR(I245="",B245=""),0,IF(I245-B245&lt;=LastMinuteDays,EmergencyFee,0))</f>
        <v>0</v>
      </c>
      <c r="AF245" s="29">
        <f>IF(H245="","",ROUND((U245+V245+Y245+AA245+AC245)*IF(AE245="",0,AE245),2))</f>
        <v>0</v>
      </c>
      <c r="AI245" s="29">
        <f>IF(H245="","",IF(AG245&lt;&gt;"",AG245,ROUND(U245+V245+Y245+AA245+AC245-AF245,2)))</f>
        <v>0</v>
      </c>
      <c r="AJ245" s="29">
        <f>IF(AI245="","",IF(TaxRegistered&lt;&gt;"Yes",0,IF(PricesIncludeTax="Yes",ROUND(AI245-AI245/(1+TaxRate),2),ROUND(AI245*TaxRate,2))))</f>
        <v>0</v>
      </c>
      <c r="AK245" s="29">
        <f>IF(AI245="","",IF(PricesIncludeTax="Yes",AI245,ROUND(AI245+AJ245,2)))</f>
        <v>0</v>
      </c>
      <c r="AQ245" s="21">
        <f>IF(OR(I245="",AP245="",AP245="None"),"",IF(AP245="Monthly",EDATE(I245,1),I245+IF(AP245="Daily",1,IF(AP245="Weekdays",IF(WEEKDAY(I245,2)&gt;=5,8-WEEKDAY(I245,2),1),IF(AP245="Weekly",7,IF(AP245="Fortnightly",14,0))))))</f>
        <v>0</v>
      </c>
      <c r="AR245" s="49">
        <f>IF(OR(I245="",AL245="",K245="",L245=""),"",IF(SUMPRODUCT((Bookings!$AL$5:$AL$404=AL245)*(Bookings!$I$5:$I$404=I245)*(Bookings!$K$5:$K$404&lt;L245)*(Bookings!$L$5:$L$404&gt;K245)*(Bookings!$AM$5:$AM$404&lt;&gt;"Cancelled"))&gt;1,"Conflict - double booked","OK"))</f>
        <v>0</v>
      </c>
      <c r="AS245" s="50">
        <f>IF(A245="","",IF(COUNTIF('Visit Log'!$B$5:$B$404,A245)&gt;0,"Yes","No"))</f>
        <v>0</v>
      </c>
      <c r="AT245" s="28">
        <f>IF(A245="","",IFERROR(INDEX(Invoices!$A$5:$A$304,MATCH(A245,Invoices!$E$5:$E$304,0)),""))</f>
        <v>0</v>
      </c>
      <c r="AU245" s="49">
        <f>IF(A245="","",IF(AT245="","Not invoiced",IFERROR(INDEX(Invoices!$U$5:$U$304,MATCH(AT245,Invoices!$A$5:$A$304,0)),"")))</f>
        <v>0</v>
      </c>
      <c r="AY245" s="28">
        <f>IF(I245="","",TEXT(I245,"yyyy-mm"))</f>
        <v>0</v>
      </c>
      <c r="AZ245" s="49">
        <f>IF(I245="","",IF(AM245="Cancelled","Cancelled",IF(AND(I245&lt;TODAY(),OR(AM245="Pending",AM245="Confirmed",AM245="Enquiry")),"Overdue - update status",IF(AND(AM245="Completed",AS245="No"),"Action - log the visit",IF(I245=TODAY(),"Today",IF(AND(I245&gt;TODAY(),I245-TODAY()&lt;=ReminderLeadDays,AN245&lt;&gt;"Yes"),"Action - unconfirmed",IF(AND(I245&gt;TODAY(),I245-TODAY()&lt;=ReminderLeadDays),"Upcoming","OK")))))))</f>
        <v>0</v>
      </c>
    </row>
    <row r="246" spans="1:52">
      <c r="A246" s="46">
        <f>IF(C246="","",BookingPrefix&amp;TEXT(ROW()-4,"0000"))</f>
        <v>0</v>
      </c>
      <c r="D246" s="28">
        <f>IF(C246="","",IFERROR(INDEX(Clients!$A$5:$A$254,MATCH(C246,Clients!$B$5:$B$254,0)),""))</f>
        <v>0</v>
      </c>
      <c r="J246" s="50">
        <f>IF(I246="","",TEXT(I246,"ddd"))</f>
        <v>0</v>
      </c>
      <c r="M246" s="51">
        <f>IF(OR(K246="",L246=""),"",ROUND((L246-K246+IF(L246&lt;K246,1,0))*24,2))</f>
        <v>0</v>
      </c>
      <c r="O246" s="28">
        <f>IF(H246="","",IFERROR(INDEX(Services!$E$5:$E$54,MATCH(H246,Services!$B$5:$B$54,0)),""))</f>
        <v>0</v>
      </c>
      <c r="P246" s="29">
        <f>IF(H246="","",IFERROR(INDEX(Services!$G$5:$G$54,MATCH(H246,Services!$B$5:$B$54,0)),0))</f>
        <v>0</v>
      </c>
      <c r="Q246" s="29">
        <f>IF(H246="","",IF(IFERROR(INDEX(Services!$H$5:$H$54,MATCH(H246,Services!$B$5:$B$54,0)),0)=0,ExtraPetFeeDefault,IFERROR(INDEX(Services!$H$5:$H$54,MATCH(H246,Services!$B$5:$B$54,0)),0)))</f>
        <v>0</v>
      </c>
      <c r="R246" s="30">
        <f>IF(H246="","",IF(IFERROR(INDEX(Services!$I$5:$I$54,MATCH(H246,Services!$B$5:$B$54,0)),0)=0,HolidaySurcharge,IFERROR(INDEX(Services!$I$5:$I$54,MATCH(H246,Services!$B$5:$B$54,0)),0)))</f>
        <v>0</v>
      </c>
      <c r="S246" s="30">
        <f>IF(H246="","",IF(IFERROR(INDEX(Services!$J$5:$J$54,MATCH(H246,Services!$B$5:$B$54,0)),0)=0,WeekendSurcharge,IFERROR(INDEX(Services!$J$5:$J$54,MATCH(H246,Services!$B$5:$B$54,0)),0)))</f>
        <v>0</v>
      </c>
      <c r="T246" s="50">
        <f>IF(H246="","",IFERROR(INDEX(Services!$K$5:$K$54,MATCH(H246,Services!$B$5:$B$54,0)),"No"))</f>
        <v>0</v>
      </c>
      <c r="U246" s="29">
        <f>IF(H246="","",ROUND(IF(O246="Per hour",P246*IF(M246="",IF(N246="",1,N246),M246),P246*IF(N246="",1,N246)),2))</f>
        <v>0</v>
      </c>
      <c r="V246" s="29">
        <f>IF(H246="","",ROUND(MAX(0,IF(G246="",1,G246)-1)*Q246,2))</f>
        <v>0</v>
      </c>
      <c r="W246" s="50">
        <f>IF(I246="","",IF(COUNTIF(HolidayDates,I246)&gt;0,"Yes","No"))</f>
        <v>0</v>
      </c>
      <c r="X246" s="50">
        <f>IF(I246="","",IF(WEEKDAY(I246,2)&gt;5,"Yes","No"))</f>
        <v>0</v>
      </c>
      <c r="Y246" s="29">
        <f>IF(H246="","",ROUND((U246+V246)*(IF(W246="Yes",R246,0)+IF(X246="Yes",S246,0)),2))</f>
        <v>0</v>
      </c>
      <c r="AA246" s="29">
        <f>IF(H246="","",IF(T246&lt;&gt;"Yes",0,ROUND(MAX(0,IF(Z246="",0,Z246)-FreeTravelDistance)*TravelFeeRate,2)))</f>
        <v>0</v>
      </c>
      <c r="AB246" s="31">
        <f>IF(I246="","",TravelTimeMins)</f>
        <v>0</v>
      </c>
      <c r="AC246" s="29">
        <f>IF(OR(I246="",B246=""),0,IF(I246-B246&lt;=LastMinuteDays,EmergencyFee,0))</f>
        <v>0</v>
      </c>
      <c r="AF246" s="29">
        <f>IF(H246="","",ROUND((U246+V246+Y246+AA246+AC246)*IF(AE246="",0,AE246),2))</f>
        <v>0</v>
      </c>
      <c r="AI246" s="29">
        <f>IF(H246="","",IF(AG246&lt;&gt;"",AG246,ROUND(U246+V246+Y246+AA246+AC246-AF246,2)))</f>
        <v>0</v>
      </c>
      <c r="AJ246" s="29">
        <f>IF(AI246="","",IF(TaxRegistered&lt;&gt;"Yes",0,IF(PricesIncludeTax="Yes",ROUND(AI246-AI246/(1+TaxRate),2),ROUND(AI246*TaxRate,2))))</f>
        <v>0</v>
      </c>
      <c r="AK246" s="29">
        <f>IF(AI246="","",IF(PricesIncludeTax="Yes",AI246,ROUND(AI246+AJ246,2)))</f>
        <v>0</v>
      </c>
      <c r="AQ246" s="21">
        <f>IF(OR(I246="",AP246="",AP246="None"),"",IF(AP246="Monthly",EDATE(I246,1),I246+IF(AP246="Daily",1,IF(AP246="Weekdays",IF(WEEKDAY(I246,2)&gt;=5,8-WEEKDAY(I246,2),1),IF(AP246="Weekly",7,IF(AP246="Fortnightly",14,0))))))</f>
        <v>0</v>
      </c>
      <c r="AR246" s="49">
        <f>IF(OR(I246="",AL246="",K246="",L246=""),"",IF(SUMPRODUCT((Bookings!$AL$5:$AL$404=AL246)*(Bookings!$I$5:$I$404=I246)*(Bookings!$K$5:$K$404&lt;L246)*(Bookings!$L$5:$L$404&gt;K246)*(Bookings!$AM$5:$AM$404&lt;&gt;"Cancelled"))&gt;1,"Conflict - double booked","OK"))</f>
        <v>0</v>
      </c>
      <c r="AS246" s="50">
        <f>IF(A246="","",IF(COUNTIF('Visit Log'!$B$5:$B$404,A246)&gt;0,"Yes","No"))</f>
        <v>0</v>
      </c>
      <c r="AT246" s="28">
        <f>IF(A246="","",IFERROR(INDEX(Invoices!$A$5:$A$304,MATCH(A246,Invoices!$E$5:$E$304,0)),""))</f>
        <v>0</v>
      </c>
      <c r="AU246" s="49">
        <f>IF(A246="","",IF(AT246="","Not invoiced",IFERROR(INDEX(Invoices!$U$5:$U$304,MATCH(AT246,Invoices!$A$5:$A$304,0)),"")))</f>
        <v>0</v>
      </c>
      <c r="AY246" s="28">
        <f>IF(I246="","",TEXT(I246,"yyyy-mm"))</f>
        <v>0</v>
      </c>
      <c r="AZ246" s="49">
        <f>IF(I246="","",IF(AM246="Cancelled","Cancelled",IF(AND(I246&lt;TODAY(),OR(AM246="Pending",AM246="Confirmed",AM246="Enquiry")),"Overdue - update status",IF(AND(AM246="Completed",AS246="No"),"Action - log the visit",IF(I246=TODAY(),"Today",IF(AND(I246&gt;TODAY(),I246-TODAY()&lt;=ReminderLeadDays,AN246&lt;&gt;"Yes"),"Action - unconfirmed",IF(AND(I246&gt;TODAY(),I246-TODAY()&lt;=ReminderLeadDays),"Upcoming","OK")))))))</f>
        <v>0</v>
      </c>
    </row>
    <row r="247" spans="1:52">
      <c r="A247" s="46">
        <f>IF(C247="","",BookingPrefix&amp;TEXT(ROW()-4,"0000"))</f>
        <v>0</v>
      </c>
      <c r="D247" s="28">
        <f>IF(C247="","",IFERROR(INDEX(Clients!$A$5:$A$254,MATCH(C247,Clients!$B$5:$B$254,0)),""))</f>
        <v>0</v>
      </c>
      <c r="J247" s="50">
        <f>IF(I247="","",TEXT(I247,"ddd"))</f>
        <v>0</v>
      </c>
      <c r="M247" s="51">
        <f>IF(OR(K247="",L247=""),"",ROUND((L247-K247+IF(L247&lt;K247,1,0))*24,2))</f>
        <v>0</v>
      </c>
      <c r="O247" s="28">
        <f>IF(H247="","",IFERROR(INDEX(Services!$E$5:$E$54,MATCH(H247,Services!$B$5:$B$54,0)),""))</f>
        <v>0</v>
      </c>
      <c r="P247" s="29">
        <f>IF(H247="","",IFERROR(INDEX(Services!$G$5:$G$54,MATCH(H247,Services!$B$5:$B$54,0)),0))</f>
        <v>0</v>
      </c>
      <c r="Q247" s="29">
        <f>IF(H247="","",IF(IFERROR(INDEX(Services!$H$5:$H$54,MATCH(H247,Services!$B$5:$B$54,0)),0)=0,ExtraPetFeeDefault,IFERROR(INDEX(Services!$H$5:$H$54,MATCH(H247,Services!$B$5:$B$54,0)),0)))</f>
        <v>0</v>
      </c>
      <c r="R247" s="30">
        <f>IF(H247="","",IF(IFERROR(INDEX(Services!$I$5:$I$54,MATCH(H247,Services!$B$5:$B$54,0)),0)=0,HolidaySurcharge,IFERROR(INDEX(Services!$I$5:$I$54,MATCH(H247,Services!$B$5:$B$54,0)),0)))</f>
        <v>0</v>
      </c>
      <c r="S247" s="30">
        <f>IF(H247="","",IF(IFERROR(INDEX(Services!$J$5:$J$54,MATCH(H247,Services!$B$5:$B$54,0)),0)=0,WeekendSurcharge,IFERROR(INDEX(Services!$J$5:$J$54,MATCH(H247,Services!$B$5:$B$54,0)),0)))</f>
        <v>0</v>
      </c>
      <c r="T247" s="50">
        <f>IF(H247="","",IFERROR(INDEX(Services!$K$5:$K$54,MATCH(H247,Services!$B$5:$B$54,0)),"No"))</f>
        <v>0</v>
      </c>
      <c r="U247" s="29">
        <f>IF(H247="","",ROUND(IF(O247="Per hour",P247*IF(M247="",IF(N247="",1,N247),M247),P247*IF(N247="",1,N247)),2))</f>
        <v>0</v>
      </c>
      <c r="V247" s="29">
        <f>IF(H247="","",ROUND(MAX(0,IF(G247="",1,G247)-1)*Q247,2))</f>
        <v>0</v>
      </c>
      <c r="W247" s="50">
        <f>IF(I247="","",IF(COUNTIF(HolidayDates,I247)&gt;0,"Yes","No"))</f>
        <v>0</v>
      </c>
      <c r="X247" s="50">
        <f>IF(I247="","",IF(WEEKDAY(I247,2)&gt;5,"Yes","No"))</f>
        <v>0</v>
      </c>
      <c r="Y247" s="29">
        <f>IF(H247="","",ROUND((U247+V247)*(IF(W247="Yes",R247,0)+IF(X247="Yes",S247,0)),2))</f>
        <v>0</v>
      </c>
      <c r="AA247" s="29">
        <f>IF(H247="","",IF(T247&lt;&gt;"Yes",0,ROUND(MAX(0,IF(Z247="",0,Z247)-FreeTravelDistance)*TravelFeeRate,2)))</f>
        <v>0</v>
      </c>
      <c r="AB247" s="31">
        <f>IF(I247="","",TravelTimeMins)</f>
        <v>0</v>
      </c>
      <c r="AC247" s="29">
        <f>IF(OR(I247="",B247=""),0,IF(I247-B247&lt;=LastMinuteDays,EmergencyFee,0))</f>
        <v>0</v>
      </c>
      <c r="AF247" s="29">
        <f>IF(H247="","",ROUND((U247+V247+Y247+AA247+AC247)*IF(AE247="",0,AE247),2))</f>
        <v>0</v>
      </c>
      <c r="AI247" s="29">
        <f>IF(H247="","",IF(AG247&lt;&gt;"",AG247,ROUND(U247+V247+Y247+AA247+AC247-AF247,2)))</f>
        <v>0</v>
      </c>
      <c r="AJ247" s="29">
        <f>IF(AI247="","",IF(TaxRegistered&lt;&gt;"Yes",0,IF(PricesIncludeTax="Yes",ROUND(AI247-AI247/(1+TaxRate),2),ROUND(AI247*TaxRate,2))))</f>
        <v>0</v>
      </c>
      <c r="AK247" s="29">
        <f>IF(AI247="","",IF(PricesIncludeTax="Yes",AI247,ROUND(AI247+AJ247,2)))</f>
        <v>0</v>
      </c>
      <c r="AQ247" s="21">
        <f>IF(OR(I247="",AP247="",AP247="None"),"",IF(AP247="Monthly",EDATE(I247,1),I247+IF(AP247="Daily",1,IF(AP247="Weekdays",IF(WEEKDAY(I247,2)&gt;=5,8-WEEKDAY(I247,2),1),IF(AP247="Weekly",7,IF(AP247="Fortnightly",14,0))))))</f>
        <v>0</v>
      </c>
      <c r="AR247" s="49">
        <f>IF(OR(I247="",AL247="",K247="",L247=""),"",IF(SUMPRODUCT((Bookings!$AL$5:$AL$404=AL247)*(Bookings!$I$5:$I$404=I247)*(Bookings!$K$5:$K$404&lt;L247)*(Bookings!$L$5:$L$404&gt;K247)*(Bookings!$AM$5:$AM$404&lt;&gt;"Cancelled"))&gt;1,"Conflict - double booked","OK"))</f>
        <v>0</v>
      </c>
      <c r="AS247" s="50">
        <f>IF(A247="","",IF(COUNTIF('Visit Log'!$B$5:$B$404,A247)&gt;0,"Yes","No"))</f>
        <v>0</v>
      </c>
      <c r="AT247" s="28">
        <f>IF(A247="","",IFERROR(INDEX(Invoices!$A$5:$A$304,MATCH(A247,Invoices!$E$5:$E$304,0)),""))</f>
        <v>0</v>
      </c>
      <c r="AU247" s="49">
        <f>IF(A247="","",IF(AT247="","Not invoiced",IFERROR(INDEX(Invoices!$U$5:$U$304,MATCH(AT247,Invoices!$A$5:$A$304,0)),"")))</f>
        <v>0</v>
      </c>
      <c r="AY247" s="28">
        <f>IF(I247="","",TEXT(I247,"yyyy-mm"))</f>
        <v>0</v>
      </c>
      <c r="AZ247" s="49">
        <f>IF(I247="","",IF(AM247="Cancelled","Cancelled",IF(AND(I247&lt;TODAY(),OR(AM247="Pending",AM247="Confirmed",AM247="Enquiry")),"Overdue - update status",IF(AND(AM247="Completed",AS247="No"),"Action - log the visit",IF(I247=TODAY(),"Today",IF(AND(I247&gt;TODAY(),I247-TODAY()&lt;=ReminderLeadDays,AN247&lt;&gt;"Yes"),"Action - unconfirmed",IF(AND(I247&gt;TODAY(),I247-TODAY()&lt;=ReminderLeadDays),"Upcoming","OK")))))))</f>
        <v>0</v>
      </c>
    </row>
    <row r="248" spans="1:52">
      <c r="A248" s="46">
        <f>IF(C248="","",BookingPrefix&amp;TEXT(ROW()-4,"0000"))</f>
        <v>0</v>
      </c>
      <c r="D248" s="28">
        <f>IF(C248="","",IFERROR(INDEX(Clients!$A$5:$A$254,MATCH(C248,Clients!$B$5:$B$254,0)),""))</f>
        <v>0</v>
      </c>
      <c r="J248" s="50">
        <f>IF(I248="","",TEXT(I248,"ddd"))</f>
        <v>0</v>
      </c>
      <c r="M248" s="51">
        <f>IF(OR(K248="",L248=""),"",ROUND((L248-K248+IF(L248&lt;K248,1,0))*24,2))</f>
        <v>0</v>
      </c>
      <c r="O248" s="28">
        <f>IF(H248="","",IFERROR(INDEX(Services!$E$5:$E$54,MATCH(H248,Services!$B$5:$B$54,0)),""))</f>
        <v>0</v>
      </c>
      <c r="P248" s="29">
        <f>IF(H248="","",IFERROR(INDEX(Services!$G$5:$G$54,MATCH(H248,Services!$B$5:$B$54,0)),0))</f>
        <v>0</v>
      </c>
      <c r="Q248" s="29">
        <f>IF(H248="","",IF(IFERROR(INDEX(Services!$H$5:$H$54,MATCH(H248,Services!$B$5:$B$54,0)),0)=0,ExtraPetFeeDefault,IFERROR(INDEX(Services!$H$5:$H$54,MATCH(H248,Services!$B$5:$B$54,0)),0)))</f>
        <v>0</v>
      </c>
      <c r="R248" s="30">
        <f>IF(H248="","",IF(IFERROR(INDEX(Services!$I$5:$I$54,MATCH(H248,Services!$B$5:$B$54,0)),0)=0,HolidaySurcharge,IFERROR(INDEX(Services!$I$5:$I$54,MATCH(H248,Services!$B$5:$B$54,0)),0)))</f>
        <v>0</v>
      </c>
      <c r="S248" s="30">
        <f>IF(H248="","",IF(IFERROR(INDEX(Services!$J$5:$J$54,MATCH(H248,Services!$B$5:$B$54,0)),0)=0,WeekendSurcharge,IFERROR(INDEX(Services!$J$5:$J$54,MATCH(H248,Services!$B$5:$B$54,0)),0)))</f>
        <v>0</v>
      </c>
      <c r="T248" s="50">
        <f>IF(H248="","",IFERROR(INDEX(Services!$K$5:$K$54,MATCH(H248,Services!$B$5:$B$54,0)),"No"))</f>
        <v>0</v>
      </c>
      <c r="U248" s="29">
        <f>IF(H248="","",ROUND(IF(O248="Per hour",P248*IF(M248="",IF(N248="",1,N248),M248),P248*IF(N248="",1,N248)),2))</f>
        <v>0</v>
      </c>
      <c r="V248" s="29">
        <f>IF(H248="","",ROUND(MAX(0,IF(G248="",1,G248)-1)*Q248,2))</f>
        <v>0</v>
      </c>
      <c r="W248" s="50">
        <f>IF(I248="","",IF(COUNTIF(HolidayDates,I248)&gt;0,"Yes","No"))</f>
        <v>0</v>
      </c>
      <c r="X248" s="50">
        <f>IF(I248="","",IF(WEEKDAY(I248,2)&gt;5,"Yes","No"))</f>
        <v>0</v>
      </c>
      <c r="Y248" s="29">
        <f>IF(H248="","",ROUND((U248+V248)*(IF(W248="Yes",R248,0)+IF(X248="Yes",S248,0)),2))</f>
        <v>0</v>
      </c>
      <c r="AA248" s="29">
        <f>IF(H248="","",IF(T248&lt;&gt;"Yes",0,ROUND(MAX(0,IF(Z248="",0,Z248)-FreeTravelDistance)*TravelFeeRate,2)))</f>
        <v>0</v>
      </c>
      <c r="AB248" s="31">
        <f>IF(I248="","",TravelTimeMins)</f>
        <v>0</v>
      </c>
      <c r="AC248" s="29">
        <f>IF(OR(I248="",B248=""),0,IF(I248-B248&lt;=LastMinuteDays,EmergencyFee,0))</f>
        <v>0</v>
      </c>
      <c r="AF248" s="29">
        <f>IF(H248="","",ROUND((U248+V248+Y248+AA248+AC248)*IF(AE248="",0,AE248),2))</f>
        <v>0</v>
      </c>
      <c r="AI248" s="29">
        <f>IF(H248="","",IF(AG248&lt;&gt;"",AG248,ROUND(U248+V248+Y248+AA248+AC248-AF248,2)))</f>
        <v>0</v>
      </c>
      <c r="AJ248" s="29">
        <f>IF(AI248="","",IF(TaxRegistered&lt;&gt;"Yes",0,IF(PricesIncludeTax="Yes",ROUND(AI248-AI248/(1+TaxRate),2),ROUND(AI248*TaxRate,2))))</f>
        <v>0</v>
      </c>
      <c r="AK248" s="29">
        <f>IF(AI248="","",IF(PricesIncludeTax="Yes",AI248,ROUND(AI248+AJ248,2)))</f>
        <v>0</v>
      </c>
      <c r="AQ248" s="21">
        <f>IF(OR(I248="",AP248="",AP248="None"),"",IF(AP248="Monthly",EDATE(I248,1),I248+IF(AP248="Daily",1,IF(AP248="Weekdays",IF(WEEKDAY(I248,2)&gt;=5,8-WEEKDAY(I248,2),1),IF(AP248="Weekly",7,IF(AP248="Fortnightly",14,0))))))</f>
        <v>0</v>
      </c>
      <c r="AR248" s="49">
        <f>IF(OR(I248="",AL248="",K248="",L248=""),"",IF(SUMPRODUCT((Bookings!$AL$5:$AL$404=AL248)*(Bookings!$I$5:$I$404=I248)*(Bookings!$K$5:$K$404&lt;L248)*(Bookings!$L$5:$L$404&gt;K248)*(Bookings!$AM$5:$AM$404&lt;&gt;"Cancelled"))&gt;1,"Conflict - double booked","OK"))</f>
        <v>0</v>
      </c>
      <c r="AS248" s="50">
        <f>IF(A248="","",IF(COUNTIF('Visit Log'!$B$5:$B$404,A248)&gt;0,"Yes","No"))</f>
        <v>0</v>
      </c>
      <c r="AT248" s="28">
        <f>IF(A248="","",IFERROR(INDEX(Invoices!$A$5:$A$304,MATCH(A248,Invoices!$E$5:$E$304,0)),""))</f>
        <v>0</v>
      </c>
      <c r="AU248" s="49">
        <f>IF(A248="","",IF(AT248="","Not invoiced",IFERROR(INDEX(Invoices!$U$5:$U$304,MATCH(AT248,Invoices!$A$5:$A$304,0)),"")))</f>
        <v>0</v>
      </c>
      <c r="AY248" s="28">
        <f>IF(I248="","",TEXT(I248,"yyyy-mm"))</f>
        <v>0</v>
      </c>
      <c r="AZ248" s="49">
        <f>IF(I248="","",IF(AM248="Cancelled","Cancelled",IF(AND(I248&lt;TODAY(),OR(AM248="Pending",AM248="Confirmed",AM248="Enquiry")),"Overdue - update status",IF(AND(AM248="Completed",AS248="No"),"Action - log the visit",IF(I248=TODAY(),"Today",IF(AND(I248&gt;TODAY(),I248-TODAY()&lt;=ReminderLeadDays,AN248&lt;&gt;"Yes"),"Action - unconfirmed",IF(AND(I248&gt;TODAY(),I248-TODAY()&lt;=ReminderLeadDays),"Upcoming","OK")))))))</f>
        <v>0</v>
      </c>
    </row>
    <row r="249" spans="1:52">
      <c r="A249" s="46">
        <f>IF(C249="","",BookingPrefix&amp;TEXT(ROW()-4,"0000"))</f>
        <v>0</v>
      </c>
      <c r="D249" s="28">
        <f>IF(C249="","",IFERROR(INDEX(Clients!$A$5:$A$254,MATCH(C249,Clients!$B$5:$B$254,0)),""))</f>
        <v>0</v>
      </c>
      <c r="J249" s="50">
        <f>IF(I249="","",TEXT(I249,"ddd"))</f>
        <v>0</v>
      </c>
      <c r="M249" s="51">
        <f>IF(OR(K249="",L249=""),"",ROUND((L249-K249+IF(L249&lt;K249,1,0))*24,2))</f>
        <v>0</v>
      </c>
      <c r="O249" s="28">
        <f>IF(H249="","",IFERROR(INDEX(Services!$E$5:$E$54,MATCH(H249,Services!$B$5:$B$54,0)),""))</f>
        <v>0</v>
      </c>
      <c r="P249" s="29">
        <f>IF(H249="","",IFERROR(INDEX(Services!$G$5:$G$54,MATCH(H249,Services!$B$5:$B$54,0)),0))</f>
        <v>0</v>
      </c>
      <c r="Q249" s="29">
        <f>IF(H249="","",IF(IFERROR(INDEX(Services!$H$5:$H$54,MATCH(H249,Services!$B$5:$B$54,0)),0)=0,ExtraPetFeeDefault,IFERROR(INDEX(Services!$H$5:$H$54,MATCH(H249,Services!$B$5:$B$54,0)),0)))</f>
        <v>0</v>
      </c>
      <c r="R249" s="30">
        <f>IF(H249="","",IF(IFERROR(INDEX(Services!$I$5:$I$54,MATCH(H249,Services!$B$5:$B$54,0)),0)=0,HolidaySurcharge,IFERROR(INDEX(Services!$I$5:$I$54,MATCH(H249,Services!$B$5:$B$54,0)),0)))</f>
        <v>0</v>
      </c>
      <c r="S249" s="30">
        <f>IF(H249="","",IF(IFERROR(INDEX(Services!$J$5:$J$54,MATCH(H249,Services!$B$5:$B$54,0)),0)=0,WeekendSurcharge,IFERROR(INDEX(Services!$J$5:$J$54,MATCH(H249,Services!$B$5:$B$54,0)),0)))</f>
        <v>0</v>
      </c>
      <c r="T249" s="50">
        <f>IF(H249="","",IFERROR(INDEX(Services!$K$5:$K$54,MATCH(H249,Services!$B$5:$B$54,0)),"No"))</f>
        <v>0</v>
      </c>
      <c r="U249" s="29">
        <f>IF(H249="","",ROUND(IF(O249="Per hour",P249*IF(M249="",IF(N249="",1,N249),M249),P249*IF(N249="",1,N249)),2))</f>
        <v>0</v>
      </c>
      <c r="V249" s="29">
        <f>IF(H249="","",ROUND(MAX(0,IF(G249="",1,G249)-1)*Q249,2))</f>
        <v>0</v>
      </c>
      <c r="W249" s="50">
        <f>IF(I249="","",IF(COUNTIF(HolidayDates,I249)&gt;0,"Yes","No"))</f>
        <v>0</v>
      </c>
      <c r="X249" s="50">
        <f>IF(I249="","",IF(WEEKDAY(I249,2)&gt;5,"Yes","No"))</f>
        <v>0</v>
      </c>
      <c r="Y249" s="29">
        <f>IF(H249="","",ROUND((U249+V249)*(IF(W249="Yes",R249,0)+IF(X249="Yes",S249,0)),2))</f>
        <v>0</v>
      </c>
      <c r="AA249" s="29">
        <f>IF(H249="","",IF(T249&lt;&gt;"Yes",0,ROUND(MAX(0,IF(Z249="",0,Z249)-FreeTravelDistance)*TravelFeeRate,2)))</f>
        <v>0</v>
      </c>
      <c r="AB249" s="31">
        <f>IF(I249="","",TravelTimeMins)</f>
        <v>0</v>
      </c>
      <c r="AC249" s="29">
        <f>IF(OR(I249="",B249=""),0,IF(I249-B249&lt;=LastMinuteDays,EmergencyFee,0))</f>
        <v>0</v>
      </c>
      <c r="AF249" s="29">
        <f>IF(H249="","",ROUND((U249+V249+Y249+AA249+AC249)*IF(AE249="",0,AE249),2))</f>
        <v>0</v>
      </c>
      <c r="AI249" s="29">
        <f>IF(H249="","",IF(AG249&lt;&gt;"",AG249,ROUND(U249+V249+Y249+AA249+AC249-AF249,2)))</f>
        <v>0</v>
      </c>
      <c r="AJ249" s="29">
        <f>IF(AI249="","",IF(TaxRegistered&lt;&gt;"Yes",0,IF(PricesIncludeTax="Yes",ROUND(AI249-AI249/(1+TaxRate),2),ROUND(AI249*TaxRate,2))))</f>
        <v>0</v>
      </c>
      <c r="AK249" s="29">
        <f>IF(AI249="","",IF(PricesIncludeTax="Yes",AI249,ROUND(AI249+AJ249,2)))</f>
        <v>0</v>
      </c>
      <c r="AQ249" s="21">
        <f>IF(OR(I249="",AP249="",AP249="None"),"",IF(AP249="Monthly",EDATE(I249,1),I249+IF(AP249="Daily",1,IF(AP249="Weekdays",IF(WEEKDAY(I249,2)&gt;=5,8-WEEKDAY(I249,2),1),IF(AP249="Weekly",7,IF(AP249="Fortnightly",14,0))))))</f>
        <v>0</v>
      </c>
      <c r="AR249" s="49">
        <f>IF(OR(I249="",AL249="",K249="",L249=""),"",IF(SUMPRODUCT((Bookings!$AL$5:$AL$404=AL249)*(Bookings!$I$5:$I$404=I249)*(Bookings!$K$5:$K$404&lt;L249)*(Bookings!$L$5:$L$404&gt;K249)*(Bookings!$AM$5:$AM$404&lt;&gt;"Cancelled"))&gt;1,"Conflict - double booked","OK"))</f>
        <v>0</v>
      </c>
      <c r="AS249" s="50">
        <f>IF(A249="","",IF(COUNTIF('Visit Log'!$B$5:$B$404,A249)&gt;0,"Yes","No"))</f>
        <v>0</v>
      </c>
      <c r="AT249" s="28">
        <f>IF(A249="","",IFERROR(INDEX(Invoices!$A$5:$A$304,MATCH(A249,Invoices!$E$5:$E$304,0)),""))</f>
        <v>0</v>
      </c>
      <c r="AU249" s="49">
        <f>IF(A249="","",IF(AT249="","Not invoiced",IFERROR(INDEX(Invoices!$U$5:$U$304,MATCH(AT249,Invoices!$A$5:$A$304,0)),"")))</f>
        <v>0</v>
      </c>
      <c r="AY249" s="28">
        <f>IF(I249="","",TEXT(I249,"yyyy-mm"))</f>
        <v>0</v>
      </c>
      <c r="AZ249" s="49">
        <f>IF(I249="","",IF(AM249="Cancelled","Cancelled",IF(AND(I249&lt;TODAY(),OR(AM249="Pending",AM249="Confirmed",AM249="Enquiry")),"Overdue - update status",IF(AND(AM249="Completed",AS249="No"),"Action - log the visit",IF(I249=TODAY(),"Today",IF(AND(I249&gt;TODAY(),I249-TODAY()&lt;=ReminderLeadDays,AN249&lt;&gt;"Yes"),"Action - unconfirmed",IF(AND(I249&gt;TODAY(),I249-TODAY()&lt;=ReminderLeadDays),"Upcoming","OK")))))))</f>
        <v>0</v>
      </c>
    </row>
    <row r="250" spans="1:52">
      <c r="A250" s="46">
        <f>IF(C250="","",BookingPrefix&amp;TEXT(ROW()-4,"0000"))</f>
        <v>0</v>
      </c>
      <c r="D250" s="28">
        <f>IF(C250="","",IFERROR(INDEX(Clients!$A$5:$A$254,MATCH(C250,Clients!$B$5:$B$254,0)),""))</f>
        <v>0</v>
      </c>
      <c r="J250" s="50">
        <f>IF(I250="","",TEXT(I250,"ddd"))</f>
        <v>0</v>
      </c>
      <c r="M250" s="51">
        <f>IF(OR(K250="",L250=""),"",ROUND((L250-K250+IF(L250&lt;K250,1,0))*24,2))</f>
        <v>0</v>
      </c>
      <c r="O250" s="28">
        <f>IF(H250="","",IFERROR(INDEX(Services!$E$5:$E$54,MATCH(H250,Services!$B$5:$B$54,0)),""))</f>
        <v>0</v>
      </c>
      <c r="P250" s="29">
        <f>IF(H250="","",IFERROR(INDEX(Services!$G$5:$G$54,MATCH(H250,Services!$B$5:$B$54,0)),0))</f>
        <v>0</v>
      </c>
      <c r="Q250" s="29">
        <f>IF(H250="","",IF(IFERROR(INDEX(Services!$H$5:$H$54,MATCH(H250,Services!$B$5:$B$54,0)),0)=0,ExtraPetFeeDefault,IFERROR(INDEX(Services!$H$5:$H$54,MATCH(H250,Services!$B$5:$B$54,0)),0)))</f>
        <v>0</v>
      </c>
      <c r="R250" s="30">
        <f>IF(H250="","",IF(IFERROR(INDEX(Services!$I$5:$I$54,MATCH(H250,Services!$B$5:$B$54,0)),0)=0,HolidaySurcharge,IFERROR(INDEX(Services!$I$5:$I$54,MATCH(H250,Services!$B$5:$B$54,0)),0)))</f>
        <v>0</v>
      </c>
      <c r="S250" s="30">
        <f>IF(H250="","",IF(IFERROR(INDEX(Services!$J$5:$J$54,MATCH(H250,Services!$B$5:$B$54,0)),0)=0,WeekendSurcharge,IFERROR(INDEX(Services!$J$5:$J$54,MATCH(H250,Services!$B$5:$B$54,0)),0)))</f>
        <v>0</v>
      </c>
      <c r="T250" s="50">
        <f>IF(H250="","",IFERROR(INDEX(Services!$K$5:$K$54,MATCH(H250,Services!$B$5:$B$54,0)),"No"))</f>
        <v>0</v>
      </c>
      <c r="U250" s="29">
        <f>IF(H250="","",ROUND(IF(O250="Per hour",P250*IF(M250="",IF(N250="",1,N250),M250),P250*IF(N250="",1,N250)),2))</f>
        <v>0</v>
      </c>
      <c r="V250" s="29">
        <f>IF(H250="","",ROUND(MAX(0,IF(G250="",1,G250)-1)*Q250,2))</f>
        <v>0</v>
      </c>
      <c r="W250" s="50">
        <f>IF(I250="","",IF(COUNTIF(HolidayDates,I250)&gt;0,"Yes","No"))</f>
        <v>0</v>
      </c>
      <c r="X250" s="50">
        <f>IF(I250="","",IF(WEEKDAY(I250,2)&gt;5,"Yes","No"))</f>
        <v>0</v>
      </c>
      <c r="Y250" s="29">
        <f>IF(H250="","",ROUND((U250+V250)*(IF(W250="Yes",R250,0)+IF(X250="Yes",S250,0)),2))</f>
        <v>0</v>
      </c>
      <c r="AA250" s="29">
        <f>IF(H250="","",IF(T250&lt;&gt;"Yes",0,ROUND(MAX(0,IF(Z250="",0,Z250)-FreeTravelDistance)*TravelFeeRate,2)))</f>
        <v>0</v>
      </c>
      <c r="AB250" s="31">
        <f>IF(I250="","",TravelTimeMins)</f>
        <v>0</v>
      </c>
      <c r="AC250" s="29">
        <f>IF(OR(I250="",B250=""),0,IF(I250-B250&lt;=LastMinuteDays,EmergencyFee,0))</f>
        <v>0</v>
      </c>
      <c r="AF250" s="29">
        <f>IF(H250="","",ROUND((U250+V250+Y250+AA250+AC250)*IF(AE250="",0,AE250),2))</f>
        <v>0</v>
      </c>
      <c r="AI250" s="29">
        <f>IF(H250="","",IF(AG250&lt;&gt;"",AG250,ROUND(U250+V250+Y250+AA250+AC250-AF250,2)))</f>
        <v>0</v>
      </c>
      <c r="AJ250" s="29">
        <f>IF(AI250="","",IF(TaxRegistered&lt;&gt;"Yes",0,IF(PricesIncludeTax="Yes",ROUND(AI250-AI250/(1+TaxRate),2),ROUND(AI250*TaxRate,2))))</f>
        <v>0</v>
      </c>
      <c r="AK250" s="29">
        <f>IF(AI250="","",IF(PricesIncludeTax="Yes",AI250,ROUND(AI250+AJ250,2)))</f>
        <v>0</v>
      </c>
      <c r="AQ250" s="21">
        <f>IF(OR(I250="",AP250="",AP250="None"),"",IF(AP250="Monthly",EDATE(I250,1),I250+IF(AP250="Daily",1,IF(AP250="Weekdays",IF(WEEKDAY(I250,2)&gt;=5,8-WEEKDAY(I250,2),1),IF(AP250="Weekly",7,IF(AP250="Fortnightly",14,0))))))</f>
        <v>0</v>
      </c>
      <c r="AR250" s="49">
        <f>IF(OR(I250="",AL250="",K250="",L250=""),"",IF(SUMPRODUCT((Bookings!$AL$5:$AL$404=AL250)*(Bookings!$I$5:$I$404=I250)*(Bookings!$K$5:$K$404&lt;L250)*(Bookings!$L$5:$L$404&gt;K250)*(Bookings!$AM$5:$AM$404&lt;&gt;"Cancelled"))&gt;1,"Conflict - double booked","OK"))</f>
        <v>0</v>
      </c>
      <c r="AS250" s="50">
        <f>IF(A250="","",IF(COUNTIF('Visit Log'!$B$5:$B$404,A250)&gt;0,"Yes","No"))</f>
        <v>0</v>
      </c>
      <c r="AT250" s="28">
        <f>IF(A250="","",IFERROR(INDEX(Invoices!$A$5:$A$304,MATCH(A250,Invoices!$E$5:$E$304,0)),""))</f>
        <v>0</v>
      </c>
      <c r="AU250" s="49">
        <f>IF(A250="","",IF(AT250="","Not invoiced",IFERROR(INDEX(Invoices!$U$5:$U$304,MATCH(AT250,Invoices!$A$5:$A$304,0)),"")))</f>
        <v>0</v>
      </c>
      <c r="AY250" s="28">
        <f>IF(I250="","",TEXT(I250,"yyyy-mm"))</f>
        <v>0</v>
      </c>
      <c r="AZ250" s="49">
        <f>IF(I250="","",IF(AM250="Cancelled","Cancelled",IF(AND(I250&lt;TODAY(),OR(AM250="Pending",AM250="Confirmed",AM250="Enquiry")),"Overdue - update status",IF(AND(AM250="Completed",AS250="No"),"Action - log the visit",IF(I250=TODAY(),"Today",IF(AND(I250&gt;TODAY(),I250-TODAY()&lt;=ReminderLeadDays,AN250&lt;&gt;"Yes"),"Action - unconfirmed",IF(AND(I250&gt;TODAY(),I250-TODAY()&lt;=ReminderLeadDays),"Upcoming","OK")))))))</f>
        <v>0</v>
      </c>
    </row>
    <row r="251" spans="1:52">
      <c r="A251" s="46">
        <f>IF(C251="","",BookingPrefix&amp;TEXT(ROW()-4,"0000"))</f>
        <v>0</v>
      </c>
      <c r="D251" s="28">
        <f>IF(C251="","",IFERROR(INDEX(Clients!$A$5:$A$254,MATCH(C251,Clients!$B$5:$B$254,0)),""))</f>
        <v>0</v>
      </c>
      <c r="J251" s="50">
        <f>IF(I251="","",TEXT(I251,"ddd"))</f>
        <v>0</v>
      </c>
      <c r="M251" s="51">
        <f>IF(OR(K251="",L251=""),"",ROUND((L251-K251+IF(L251&lt;K251,1,0))*24,2))</f>
        <v>0</v>
      </c>
      <c r="O251" s="28">
        <f>IF(H251="","",IFERROR(INDEX(Services!$E$5:$E$54,MATCH(H251,Services!$B$5:$B$54,0)),""))</f>
        <v>0</v>
      </c>
      <c r="P251" s="29">
        <f>IF(H251="","",IFERROR(INDEX(Services!$G$5:$G$54,MATCH(H251,Services!$B$5:$B$54,0)),0))</f>
        <v>0</v>
      </c>
      <c r="Q251" s="29">
        <f>IF(H251="","",IF(IFERROR(INDEX(Services!$H$5:$H$54,MATCH(H251,Services!$B$5:$B$54,0)),0)=0,ExtraPetFeeDefault,IFERROR(INDEX(Services!$H$5:$H$54,MATCH(H251,Services!$B$5:$B$54,0)),0)))</f>
        <v>0</v>
      </c>
      <c r="R251" s="30">
        <f>IF(H251="","",IF(IFERROR(INDEX(Services!$I$5:$I$54,MATCH(H251,Services!$B$5:$B$54,0)),0)=0,HolidaySurcharge,IFERROR(INDEX(Services!$I$5:$I$54,MATCH(H251,Services!$B$5:$B$54,0)),0)))</f>
        <v>0</v>
      </c>
      <c r="S251" s="30">
        <f>IF(H251="","",IF(IFERROR(INDEX(Services!$J$5:$J$54,MATCH(H251,Services!$B$5:$B$54,0)),0)=0,WeekendSurcharge,IFERROR(INDEX(Services!$J$5:$J$54,MATCH(H251,Services!$B$5:$B$54,0)),0)))</f>
        <v>0</v>
      </c>
      <c r="T251" s="50">
        <f>IF(H251="","",IFERROR(INDEX(Services!$K$5:$K$54,MATCH(H251,Services!$B$5:$B$54,0)),"No"))</f>
        <v>0</v>
      </c>
      <c r="U251" s="29">
        <f>IF(H251="","",ROUND(IF(O251="Per hour",P251*IF(M251="",IF(N251="",1,N251),M251),P251*IF(N251="",1,N251)),2))</f>
        <v>0</v>
      </c>
      <c r="V251" s="29">
        <f>IF(H251="","",ROUND(MAX(0,IF(G251="",1,G251)-1)*Q251,2))</f>
        <v>0</v>
      </c>
      <c r="W251" s="50">
        <f>IF(I251="","",IF(COUNTIF(HolidayDates,I251)&gt;0,"Yes","No"))</f>
        <v>0</v>
      </c>
      <c r="X251" s="50">
        <f>IF(I251="","",IF(WEEKDAY(I251,2)&gt;5,"Yes","No"))</f>
        <v>0</v>
      </c>
      <c r="Y251" s="29">
        <f>IF(H251="","",ROUND((U251+V251)*(IF(W251="Yes",R251,0)+IF(X251="Yes",S251,0)),2))</f>
        <v>0</v>
      </c>
      <c r="AA251" s="29">
        <f>IF(H251="","",IF(T251&lt;&gt;"Yes",0,ROUND(MAX(0,IF(Z251="",0,Z251)-FreeTravelDistance)*TravelFeeRate,2)))</f>
        <v>0</v>
      </c>
      <c r="AB251" s="31">
        <f>IF(I251="","",TravelTimeMins)</f>
        <v>0</v>
      </c>
      <c r="AC251" s="29">
        <f>IF(OR(I251="",B251=""),0,IF(I251-B251&lt;=LastMinuteDays,EmergencyFee,0))</f>
        <v>0</v>
      </c>
      <c r="AF251" s="29">
        <f>IF(H251="","",ROUND((U251+V251+Y251+AA251+AC251)*IF(AE251="",0,AE251),2))</f>
        <v>0</v>
      </c>
      <c r="AI251" s="29">
        <f>IF(H251="","",IF(AG251&lt;&gt;"",AG251,ROUND(U251+V251+Y251+AA251+AC251-AF251,2)))</f>
        <v>0</v>
      </c>
      <c r="AJ251" s="29">
        <f>IF(AI251="","",IF(TaxRegistered&lt;&gt;"Yes",0,IF(PricesIncludeTax="Yes",ROUND(AI251-AI251/(1+TaxRate),2),ROUND(AI251*TaxRate,2))))</f>
        <v>0</v>
      </c>
      <c r="AK251" s="29">
        <f>IF(AI251="","",IF(PricesIncludeTax="Yes",AI251,ROUND(AI251+AJ251,2)))</f>
        <v>0</v>
      </c>
      <c r="AQ251" s="21">
        <f>IF(OR(I251="",AP251="",AP251="None"),"",IF(AP251="Monthly",EDATE(I251,1),I251+IF(AP251="Daily",1,IF(AP251="Weekdays",IF(WEEKDAY(I251,2)&gt;=5,8-WEEKDAY(I251,2),1),IF(AP251="Weekly",7,IF(AP251="Fortnightly",14,0))))))</f>
        <v>0</v>
      </c>
      <c r="AR251" s="49">
        <f>IF(OR(I251="",AL251="",K251="",L251=""),"",IF(SUMPRODUCT((Bookings!$AL$5:$AL$404=AL251)*(Bookings!$I$5:$I$404=I251)*(Bookings!$K$5:$K$404&lt;L251)*(Bookings!$L$5:$L$404&gt;K251)*(Bookings!$AM$5:$AM$404&lt;&gt;"Cancelled"))&gt;1,"Conflict - double booked","OK"))</f>
        <v>0</v>
      </c>
      <c r="AS251" s="50">
        <f>IF(A251="","",IF(COUNTIF('Visit Log'!$B$5:$B$404,A251)&gt;0,"Yes","No"))</f>
        <v>0</v>
      </c>
      <c r="AT251" s="28">
        <f>IF(A251="","",IFERROR(INDEX(Invoices!$A$5:$A$304,MATCH(A251,Invoices!$E$5:$E$304,0)),""))</f>
        <v>0</v>
      </c>
      <c r="AU251" s="49">
        <f>IF(A251="","",IF(AT251="","Not invoiced",IFERROR(INDEX(Invoices!$U$5:$U$304,MATCH(AT251,Invoices!$A$5:$A$304,0)),"")))</f>
        <v>0</v>
      </c>
      <c r="AY251" s="28">
        <f>IF(I251="","",TEXT(I251,"yyyy-mm"))</f>
        <v>0</v>
      </c>
      <c r="AZ251" s="49">
        <f>IF(I251="","",IF(AM251="Cancelled","Cancelled",IF(AND(I251&lt;TODAY(),OR(AM251="Pending",AM251="Confirmed",AM251="Enquiry")),"Overdue - update status",IF(AND(AM251="Completed",AS251="No"),"Action - log the visit",IF(I251=TODAY(),"Today",IF(AND(I251&gt;TODAY(),I251-TODAY()&lt;=ReminderLeadDays,AN251&lt;&gt;"Yes"),"Action - unconfirmed",IF(AND(I251&gt;TODAY(),I251-TODAY()&lt;=ReminderLeadDays),"Upcoming","OK")))))))</f>
        <v>0</v>
      </c>
    </row>
    <row r="252" spans="1:52">
      <c r="A252" s="46">
        <f>IF(C252="","",BookingPrefix&amp;TEXT(ROW()-4,"0000"))</f>
        <v>0</v>
      </c>
      <c r="D252" s="28">
        <f>IF(C252="","",IFERROR(INDEX(Clients!$A$5:$A$254,MATCH(C252,Clients!$B$5:$B$254,0)),""))</f>
        <v>0</v>
      </c>
      <c r="J252" s="50">
        <f>IF(I252="","",TEXT(I252,"ddd"))</f>
        <v>0</v>
      </c>
      <c r="M252" s="51">
        <f>IF(OR(K252="",L252=""),"",ROUND((L252-K252+IF(L252&lt;K252,1,0))*24,2))</f>
        <v>0</v>
      </c>
      <c r="O252" s="28">
        <f>IF(H252="","",IFERROR(INDEX(Services!$E$5:$E$54,MATCH(H252,Services!$B$5:$B$54,0)),""))</f>
        <v>0</v>
      </c>
      <c r="P252" s="29">
        <f>IF(H252="","",IFERROR(INDEX(Services!$G$5:$G$54,MATCH(H252,Services!$B$5:$B$54,0)),0))</f>
        <v>0</v>
      </c>
      <c r="Q252" s="29">
        <f>IF(H252="","",IF(IFERROR(INDEX(Services!$H$5:$H$54,MATCH(H252,Services!$B$5:$B$54,0)),0)=0,ExtraPetFeeDefault,IFERROR(INDEX(Services!$H$5:$H$54,MATCH(H252,Services!$B$5:$B$54,0)),0)))</f>
        <v>0</v>
      </c>
      <c r="R252" s="30">
        <f>IF(H252="","",IF(IFERROR(INDEX(Services!$I$5:$I$54,MATCH(H252,Services!$B$5:$B$54,0)),0)=0,HolidaySurcharge,IFERROR(INDEX(Services!$I$5:$I$54,MATCH(H252,Services!$B$5:$B$54,0)),0)))</f>
        <v>0</v>
      </c>
      <c r="S252" s="30">
        <f>IF(H252="","",IF(IFERROR(INDEX(Services!$J$5:$J$54,MATCH(H252,Services!$B$5:$B$54,0)),0)=0,WeekendSurcharge,IFERROR(INDEX(Services!$J$5:$J$54,MATCH(H252,Services!$B$5:$B$54,0)),0)))</f>
        <v>0</v>
      </c>
      <c r="T252" s="50">
        <f>IF(H252="","",IFERROR(INDEX(Services!$K$5:$K$54,MATCH(H252,Services!$B$5:$B$54,0)),"No"))</f>
        <v>0</v>
      </c>
      <c r="U252" s="29">
        <f>IF(H252="","",ROUND(IF(O252="Per hour",P252*IF(M252="",IF(N252="",1,N252),M252),P252*IF(N252="",1,N252)),2))</f>
        <v>0</v>
      </c>
      <c r="V252" s="29">
        <f>IF(H252="","",ROUND(MAX(0,IF(G252="",1,G252)-1)*Q252,2))</f>
        <v>0</v>
      </c>
      <c r="W252" s="50">
        <f>IF(I252="","",IF(COUNTIF(HolidayDates,I252)&gt;0,"Yes","No"))</f>
        <v>0</v>
      </c>
      <c r="X252" s="50">
        <f>IF(I252="","",IF(WEEKDAY(I252,2)&gt;5,"Yes","No"))</f>
        <v>0</v>
      </c>
      <c r="Y252" s="29">
        <f>IF(H252="","",ROUND((U252+V252)*(IF(W252="Yes",R252,0)+IF(X252="Yes",S252,0)),2))</f>
        <v>0</v>
      </c>
      <c r="AA252" s="29">
        <f>IF(H252="","",IF(T252&lt;&gt;"Yes",0,ROUND(MAX(0,IF(Z252="",0,Z252)-FreeTravelDistance)*TravelFeeRate,2)))</f>
        <v>0</v>
      </c>
      <c r="AB252" s="31">
        <f>IF(I252="","",TravelTimeMins)</f>
        <v>0</v>
      </c>
      <c r="AC252" s="29">
        <f>IF(OR(I252="",B252=""),0,IF(I252-B252&lt;=LastMinuteDays,EmergencyFee,0))</f>
        <v>0</v>
      </c>
      <c r="AF252" s="29">
        <f>IF(H252="","",ROUND((U252+V252+Y252+AA252+AC252)*IF(AE252="",0,AE252),2))</f>
        <v>0</v>
      </c>
      <c r="AI252" s="29">
        <f>IF(H252="","",IF(AG252&lt;&gt;"",AG252,ROUND(U252+V252+Y252+AA252+AC252-AF252,2)))</f>
        <v>0</v>
      </c>
      <c r="AJ252" s="29">
        <f>IF(AI252="","",IF(TaxRegistered&lt;&gt;"Yes",0,IF(PricesIncludeTax="Yes",ROUND(AI252-AI252/(1+TaxRate),2),ROUND(AI252*TaxRate,2))))</f>
        <v>0</v>
      </c>
      <c r="AK252" s="29">
        <f>IF(AI252="","",IF(PricesIncludeTax="Yes",AI252,ROUND(AI252+AJ252,2)))</f>
        <v>0</v>
      </c>
      <c r="AQ252" s="21">
        <f>IF(OR(I252="",AP252="",AP252="None"),"",IF(AP252="Monthly",EDATE(I252,1),I252+IF(AP252="Daily",1,IF(AP252="Weekdays",IF(WEEKDAY(I252,2)&gt;=5,8-WEEKDAY(I252,2),1),IF(AP252="Weekly",7,IF(AP252="Fortnightly",14,0))))))</f>
        <v>0</v>
      </c>
      <c r="AR252" s="49">
        <f>IF(OR(I252="",AL252="",K252="",L252=""),"",IF(SUMPRODUCT((Bookings!$AL$5:$AL$404=AL252)*(Bookings!$I$5:$I$404=I252)*(Bookings!$K$5:$K$404&lt;L252)*(Bookings!$L$5:$L$404&gt;K252)*(Bookings!$AM$5:$AM$404&lt;&gt;"Cancelled"))&gt;1,"Conflict - double booked","OK"))</f>
        <v>0</v>
      </c>
      <c r="AS252" s="50">
        <f>IF(A252="","",IF(COUNTIF('Visit Log'!$B$5:$B$404,A252)&gt;0,"Yes","No"))</f>
        <v>0</v>
      </c>
      <c r="AT252" s="28">
        <f>IF(A252="","",IFERROR(INDEX(Invoices!$A$5:$A$304,MATCH(A252,Invoices!$E$5:$E$304,0)),""))</f>
        <v>0</v>
      </c>
      <c r="AU252" s="49">
        <f>IF(A252="","",IF(AT252="","Not invoiced",IFERROR(INDEX(Invoices!$U$5:$U$304,MATCH(AT252,Invoices!$A$5:$A$304,0)),"")))</f>
        <v>0</v>
      </c>
      <c r="AY252" s="28">
        <f>IF(I252="","",TEXT(I252,"yyyy-mm"))</f>
        <v>0</v>
      </c>
      <c r="AZ252" s="49">
        <f>IF(I252="","",IF(AM252="Cancelled","Cancelled",IF(AND(I252&lt;TODAY(),OR(AM252="Pending",AM252="Confirmed",AM252="Enquiry")),"Overdue - update status",IF(AND(AM252="Completed",AS252="No"),"Action - log the visit",IF(I252=TODAY(),"Today",IF(AND(I252&gt;TODAY(),I252-TODAY()&lt;=ReminderLeadDays,AN252&lt;&gt;"Yes"),"Action - unconfirmed",IF(AND(I252&gt;TODAY(),I252-TODAY()&lt;=ReminderLeadDays),"Upcoming","OK")))))))</f>
        <v>0</v>
      </c>
    </row>
    <row r="253" spans="1:52">
      <c r="A253" s="46">
        <f>IF(C253="","",BookingPrefix&amp;TEXT(ROW()-4,"0000"))</f>
        <v>0</v>
      </c>
      <c r="D253" s="28">
        <f>IF(C253="","",IFERROR(INDEX(Clients!$A$5:$A$254,MATCH(C253,Clients!$B$5:$B$254,0)),""))</f>
        <v>0</v>
      </c>
      <c r="J253" s="50">
        <f>IF(I253="","",TEXT(I253,"ddd"))</f>
        <v>0</v>
      </c>
      <c r="M253" s="51">
        <f>IF(OR(K253="",L253=""),"",ROUND((L253-K253+IF(L253&lt;K253,1,0))*24,2))</f>
        <v>0</v>
      </c>
      <c r="O253" s="28">
        <f>IF(H253="","",IFERROR(INDEX(Services!$E$5:$E$54,MATCH(H253,Services!$B$5:$B$54,0)),""))</f>
        <v>0</v>
      </c>
      <c r="P253" s="29">
        <f>IF(H253="","",IFERROR(INDEX(Services!$G$5:$G$54,MATCH(H253,Services!$B$5:$B$54,0)),0))</f>
        <v>0</v>
      </c>
      <c r="Q253" s="29">
        <f>IF(H253="","",IF(IFERROR(INDEX(Services!$H$5:$H$54,MATCH(H253,Services!$B$5:$B$54,0)),0)=0,ExtraPetFeeDefault,IFERROR(INDEX(Services!$H$5:$H$54,MATCH(H253,Services!$B$5:$B$54,0)),0)))</f>
        <v>0</v>
      </c>
      <c r="R253" s="30">
        <f>IF(H253="","",IF(IFERROR(INDEX(Services!$I$5:$I$54,MATCH(H253,Services!$B$5:$B$54,0)),0)=0,HolidaySurcharge,IFERROR(INDEX(Services!$I$5:$I$54,MATCH(H253,Services!$B$5:$B$54,0)),0)))</f>
        <v>0</v>
      </c>
      <c r="S253" s="30">
        <f>IF(H253="","",IF(IFERROR(INDEX(Services!$J$5:$J$54,MATCH(H253,Services!$B$5:$B$54,0)),0)=0,WeekendSurcharge,IFERROR(INDEX(Services!$J$5:$J$54,MATCH(H253,Services!$B$5:$B$54,0)),0)))</f>
        <v>0</v>
      </c>
      <c r="T253" s="50">
        <f>IF(H253="","",IFERROR(INDEX(Services!$K$5:$K$54,MATCH(H253,Services!$B$5:$B$54,0)),"No"))</f>
        <v>0</v>
      </c>
      <c r="U253" s="29">
        <f>IF(H253="","",ROUND(IF(O253="Per hour",P253*IF(M253="",IF(N253="",1,N253),M253),P253*IF(N253="",1,N253)),2))</f>
        <v>0</v>
      </c>
      <c r="V253" s="29">
        <f>IF(H253="","",ROUND(MAX(0,IF(G253="",1,G253)-1)*Q253,2))</f>
        <v>0</v>
      </c>
      <c r="W253" s="50">
        <f>IF(I253="","",IF(COUNTIF(HolidayDates,I253)&gt;0,"Yes","No"))</f>
        <v>0</v>
      </c>
      <c r="X253" s="50">
        <f>IF(I253="","",IF(WEEKDAY(I253,2)&gt;5,"Yes","No"))</f>
        <v>0</v>
      </c>
      <c r="Y253" s="29">
        <f>IF(H253="","",ROUND((U253+V253)*(IF(W253="Yes",R253,0)+IF(X253="Yes",S253,0)),2))</f>
        <v>0</v>
      </c>
      <c r="AA253" s="29">
        <f>IF(H253="","",IF(T253&lt;&gt;"Yes",0,ROUND(MAX(0,IF(Z253="",0,Z253)-FreeTravelDistance)*TravelFeeRate,2)))</f>
        <v>0</v>
      </c>
      <c r="AB253" s="31">
        <f>IF(I253="","",TravelTimeMins)</f>
        <v>0</v>
      </c>
      <c r="AC253" s="29">
        <f>IF(OR(I253="",B253=""),0,IF(I253-B253&lt;=LastMinuteDays,EmergencyFee,0))</f>
        <v>0</v>
      </c>
      <c r="AF253" s="29">
        <f>IF(H253="","",ROUND((U253+V253+Y253+AA253+AC253)*IF(AE253="",0,AE253),2))</f>
        <v>0</v>
      </c>
      <c r="AI253" s="29">
        <f>IF(H253="","",IF(AG253&lt;&gt;"",AG253,ROUND(U253+V253+Y253+AA253+AC253-AF253,2)))</f>
        <v>0</v>
      </c>
      <c r="AJ253" s="29">
        <f>IF(AI253="","",IF(TaxRegistered&lt;&gt;"Yes",0,IF(PricesIncludeTax="Yes",ROUND(AI253-AI253/(1+TaxRate),2),ROUND(AI253*TaxRate,2))))</f>
        <v>0</v>
      </c>
      <c r="AK253" s="29">
        <f>IF(AI253="","",IF(PricesIncludeTax="Yes",AI253,ROUND(AI253+AJ253,2)))</f>
        <v>0</v>
      </c>
      <c r="AQ253" s="21">
        <f>IF(OR(I253="",AP253="",AP253="None"),"",IF(AP253="Monthly",EDATE(I253,1),I253+IF(AP253="Daily",1,IF(AP253="Weekdays",IF(WEEKDAY(I253,2)&gt;=5,8-WEEKDAY(I253,2),1),IF(AP253="Weekly",7,IF(AP253="Fortnightly",14,0))))))</f>
        <v>0</v>
      </c>
      <c r="AR253" s="49">
        <f>IF(OR(I253="",AL253="",K253="",L253=""),"",IF(SUMPRODUCT((Bookings!$AL$5:$AL$404=AL253)*(Bookings!$I$5:$I$404=I253)*(Bookings!$K$5:$K$404&lt;L253)*(Bookings!$L$5:$L$404&gt;K253)*(Bookings!$AM$5:$AM$404&lt;&gt;"Cancelled"))&gt;1,"Conflict - double booked","OK"))</f>
        <v>0</v>
      </c>
      <c r="AS253" s="50">
        <f>IF(A253="","",IF(COUNTIF('Visit Log'!$B$5:$B$404,A253)&gt;0,"Yes","No"))</f>
        <v>0</v>
      </c>
      <c r="AT253" s="28">
        <f>IF(A253="","",IFERROR(INDEX(Invoices!$A$5:$A$304,MATCH(A253,Invoices!$E$5:$E$304,0)),""))</f>
        <v>0</v>
      </c>
      <c r="AU253" s="49">
        <f>IF(A253="","",IF(AT253="","Not invoiced",IFERROR(INDEX(Invoices!$U$5:$U$304,MATCH(AT253,Invoices!$A$5:$A$304,0)),"")))</f>
        <v>0</v>
      </c>
      <c r="AY253" s="28">
        <f>IF(I253="","",TEXT(I253,"yyyy-mm"))</f>
        <v>0</v>
      </c>
      <c r="AZ253" s="49">
        <f>IF(I253="","",IF(AM253="Cancelled","Cancelled",IF(AND(I253&lt;TODAY(),OR(AM253="Pending",AM253="Confirmed",AM253="Enquiry")),"Overdue - update status",IF(AND(AM253="Completed",AS253="No"),"Action - log the visit",IF(I253=TODAY(),"Today",IF(AND(I253&gt;TODAY(),I253-TODAY()&lt;=ReminderLeadDays,AN253&lt;&gt;"Yes"),"Action - unconfirmed",IF(AND(I253&gt;TODAY(),I253-TODAY()&lt;=ReminderLeadDays),"Upcoming","OK")))))))</f>
        <v>0</v>
      </c>
    </row>
    <row r="254" spans="1:52">
      <c r="A254" s="46">
        <f>IF(C254="","",BookingPrefix&amp;TEXT(ROW()-4,"0000"))</f>
        <v>0</v>
      </c>
      <c r="D254" s="28">
        <f>IF(C254="","",IFERROR(INDEX(Clients!$A$5:$A$254,MATCH(C254,Clients!$B$5:$B$254,0)),""))</f>
        <v>0</v>
      </c>
      <c r="J254" s="50">
        <f>IF(I254="","",TEXT(I254,"ddd"))</f>
        <v>0</v>
      </c>
      <c r="M254" s="51">
        <f>IF(OR(K254="",L254=""),"",ROUND((L254-K254+IF(L254&lt;K254,1,0))*24,2))</f>
        <v>0</v>
      </c>
      <c r="O254" s="28">
        <f>IF(H254="","",IFERROR(INDEX(Services!$E$5:$E$54,MATCH(H254,Services!$B$5:$B$54,0)),""))</f>
        <v>0</v>
      </c>
      <c r="P254" s="29">
        <f>IF(H254="","",IFERROR(INDEX(Services!$G$5:$G$54,MATCH(H254,Services!$B$5:$B$54,0)),0))</f>
        <v>0</v>
      </c>
      <c r="Q254" s="29">
        <f>IF(H254="","",IF(IFERROR(INDEX(Services!$H$5:$H$54,MATCH(H254,Services!$B$5:$B$54,0)),0)=0,ExtraPetFeeDefault,IFERROR(INDEX(Services!$H$5:$H$54,MATCH(H254,Services!$B$5:$B$54,0)),0)))</f>
        <v>0</v>
      </c>
      <c r="R254" s="30">
        <f>IF(H254="","",IF(IFERROR(INDEX(Services!$I$5:$I$54,MATCH(H254,Services!$B$5:$B$54,0)),0)=0,HolidaySurcharge,IFERROR(INDEX(Services!$I$5:$I$54,MATCH(H254,Services!$B$5:$B$54,0)),0)))</f>
        <v>0</v>
      </c>
      <c r="S254" s="30">
        <f>IF(H254="","",IF(IFERROR(INDEX(Services!$J$5:$J$54,MATCH(H254,Services!$B$5:$B$54,0)),0)=0,WeekendSurcharge,IFERROR(INDEX(Services!$J$5:$J$54,MATCH(H254,Services!$B$5:$B$54,0)),0)))</f>
        <v>0</v>
      </c>
      <c r="T254" s="50">
        <f>IF(H254="","",IFERROR(INDEX(Services!$K$5:$K$54,MATCH(H254,Services!$B$5:$B$54,0)),"No"))</f>
        <v>0</v>
      </c>
      <c r="U254" s="29">
        <f>IF(H254="","",ROUND(IF(O254="Per hour",P254*IF(M254="",IF(N254="",1,N254),M254),P254*IF(N254="",1,N254)),2))</f>
        <v>0</v>
      </c>
      <c r="V254" s="29">
        <f>IF(H254="","",ROUND(MAX(0,IF(G254="",1,G254)-1)*Q254,2))</f>
        <v>0</v>
      </c>
      <c r="W254" s="50">
        <f>IF(I254="","",IF(COUNTIF(HolidayDates,I254)&gt;0,"Yes","No"))</f>
        <v>0</v>
      </c>
      <c r="X254" s="50">
        <f>IF(I254="","",IF(WEEKDAY(I254,2)&gt;5,"Yes","No"))</f>
        <v>0</v>
      </c>
      <c r="Y254" s="29">
        <f>IF(H254="","",ROUND((U254+V254)*(IF(W254="Yes",R254,0)+IF(X254="Yes",S254,0)),2))</f>
        <v>0</v>
      </c>
      <c r="AA254" s="29">
        <f>IF(H254="","",IF(T254&lt;&gt;"Yes",0,ROUND(MAX(0,IF(Z254="",0,Z254)-FreeTravelDistance)*TravelFeeRate,2)))</f>
        <v>0</v>
      </c>
      <c r="AB254" s="31">
        <f>IF(I254="","",TravelTimeMins)</f>
        <v>0</v>
      </c>
      <c r="AC254" s="29">
        <f>IF(OR(I254="",B254=""),0,IF(I254-B254&lt;=LastMinuteDays,EmergencyFee,0))</f>
        <v>0</v>
      </c>
      <c r="AF254" s="29">
        <f>IF(H254="","",ROUND((U254+V254+Y254+AA254+AC254)*IF(AE254="",0,AE254),2))</f>
        <v>0</v>
      </c>
      <c r="AI254" s="29">
        <f>IF(H254="","",IF(AG254&lt;&gt;"",AG254,ROUND(U254+V254+Y254+AA254+AC254-AF254,2)))</f>
        <v>0</v>
      </c>
      <c r="AJ254" s="29">
        <f>IF(AI254="","",IF(TaxRegistered&lt;&gt;"Yes",0,IF(PricesIncludeTax="Yes",ROUND(AI254-AI254/(1+TaxRate),2),ROUND(AI254*TaxRate,2))))</f>
        <v>0</v>
      </c>
      <c r="AK254" s="29">
        <f>IF(AI254="","",IF(PricesIncludeTax="Yes",AI254,ROUND(AI254+AJ254,2)))</f>
        <v>0</v>
      </c>
      <c r="AQ254" s="21">
        <f>IF(OR(I254="",AP254="",AP254="None"),"",IF(AP254="Monthly",EDATE(I254,1),I254+IF(AP254="Daily",1,IF(AP254="Weekdays",IF(WEEKDAY(I254,2)&gt;=5,8-WEEKDAY(I254,2),1),IF(AP254="Weekly",7,IF(AP254="Fortnightly",14,0))))))</f>
        <v>0</v>
      </c>
      <c r="AR254" s="49">
        <f>IF(OR(I254="",AL254="",K254="",L254=""),"",IF(SUMPRODUCT((Bookings!$AL$5:$AL$404=AL254)*(Bookings!$I$5:$I$404=I254)*(Bookings!$K$5:$K$404&lt;L254)*(Bookings!$L$5:$L$404&gt;K254)*(Bookings!$AM$5:$AM$404&lt;&gt;"Cancelled"))&gt;1,"Conflict - double booked","OK"))</f>
        <v>0</v>
      </c>
      <c r="AS254" s="50">
        <f>IF(A254="","",IF(COUNTIF('Visit Log'!$B$5:$B$404,A254)&gt;0,"Yes","No"))</f>
        <v>0</v>
      </c>
      <c r="AT254" s="28">
        <f>IF(A254="","",IFERROR(INDEX(Invoices!$A$5:$A$304,MATCH(A254,Invoices!$E$5:$E$304,0)),""))</f>
        <v>0</v>
      </c>
      <c r="AU254" s="49">
        <f>IF(A254="","",IF(AT254="","Not invoiced",IFERROR(INDEX(Invoices!$U$5:$U$304,MATCH(AT254,Invoices!$A$5:$A$304,0)),"")))</f>
        <v>0</v>
      </c>
      <c r="AY254" s="28">
        <f>IF(I254="","",TEXT(I254,"yyyy-mm"))</f>
        <v>0</v>
      </c>
      <c r="AZ254" s="49">
        <f>IF(I254="","",IF(AM254="Cancelled","Cancelled",IF(AND(I254&lt;TODAY(),OR(AM254="Pending",AM254="Confirmed",AM254="Enquiry")),"Overdue - update status",IF(AND(AM254="Completed",AS254="No"),"Action - log the visit",IF(I254=TODAY(),"Today",IF(AND(I254&gt;TODAY(),I254-TODAY()&lt;=ReminderLeadDays,AN254&lt;&gt;"Yes"),"Action - unconfirmed",IF(AND(I254&gt;TODAY(),I254-TODAY()&lt;=ReminderLeadDays),"Upcoming","OK")))))))</f>
        <v>0</v>
      </c>
    </row>
    <row r="255" spans="1:52">
      <c r="A255" s="46">
        <f>IF(C255="","",BookingPrefix&amp;TEXT(ROW()-4,"0000"))</f>
        <v>0</v>
      </c>
      <c r="D255" s="28">
        <f>IF(C255="","",IFERROR(INDEX(Clients!$A$5:$A$254,MATCH(C255,Clients!$B$5:$B$254,0)),""))</f>
        <v>0</v>
      </c>
      <c r="J255" s="50">
        <f>IF(I255="","",TEXT(I255,"ddd"))</f>
        <v>0</v>
      </c>
      <c r="M255" s="51">
        <f>IF(OR(K255="",L255=""),"",ROUND((L255-K255+IF(L255&lt;K255,1,0))*24,2))</f>
        <v>0</v>
      </c>
      <c r="O255" s="28">
        <f>IF(H255="","",IFERROR(INDEX(Services!$E$5:$E$54,MATCH(H255,Services!$B$5:$B$54,0)),""))</f>
        <v>0</v>
      </c>
      <c r="P255" s="29">
        <f>IF(H255="","",IFERROR(INDEX(Services!$G$5:$G$54,MATCH(H255,Services!$B$5:$B$54,0)),0))</f>
        <v>0</v>
      </c>
      <c r="Q255" s="29">
        <f>IF(H255="","",IF(IFERROR(INDEX(Services!$H$5:$H$54,MATCH(H255,Services!$B$5:$B$54,0)),0)=0,ExtraPetFeeDefault,IFERROR(INDEX(Services!$H$5:$H$54,MATCH(H255,Services!$B$5:$B$54,0)),0)))</f>
        <v>0</v>
      </c>
      <c r="R255" s="30">
        <f>IF(H255="","",IF(IFERROR(INDEX(Services!$I$5:$I$54,MATCH(H255,Services!$B$5:$B$54,0)),0)=0,HolidaySurcharge,IFERROR(INDEX(Services!$I$5:$I$54,MATCH(H255,Services!$B$5:$B$54,0)),0)))</f>
        <v>0</v>
      </c>
      <c r="S255" s="30">
        <f>IF(H255="","",IF(IFERROR(INDEX(Services!$J$5:$J$54,MATCH(H255,Services!$B$5:$B$54,0)),0)=0,WeekendSurcharge,IFERROR(INDEX(Services!$J$5:$J$54,MATCH(H255,Services!$B$5:$B$54,0)),0)))</f>
        <v>0</v>
      </c>
      <c r="T255" s="50">
        <f>IF(H255="","",IFERROR(INDEX(Services!$K$5:$K$54,MATCH(H255,Services!$B$5:$B$54,0)),"No"))</f>
        <v>0</v>
      </c>
      <c r="U255" s="29">
        <f>IF(H255="","",ROUND(IF(O255="Per hour",P255*IF(M255="",IF(N255="",1,N255),M255),P255*IF(N255="",1,N255)),2))</f>
        <v>0</v>
      </c>
      <c r="V255" s="29">
        <f>IF(H255="","",ROUND(MAX(0,IF(G255="",1,G255)-1)*Q255,2))</f>
        <v>0</v>
      </c>
      <c r="W255" s="50">
        <f>IF(I255="","",IF(COUNTIF(HolidayDates,I255)&gt;0,"Yes","No"))</f>
        <v>0</v>
      </c>
      <c r="X255" s="50">
        <f>IF(I255="","",IF(WEEKDAY(I255,2)&gt;5,"Yes","No"))</f>
        <v>0</v>
      </c>
      <c r="Y255" s="29">
        <f>IF(H255="","",ROUND((U255+V255)*(IF(W255="Yes",R255,0)+IF(X255="Yes",S255,0)),2))</f>
        <v>0</v>
      </c>
      <c r="AA255" s="29">
        <f>IF(H255="","",IF(T255&lt;&gt;"Yes",0,ROUND(MAX(0,IF(Z255="",0,Z255)-FreeTravelDistance)*TravelFeeRate,2)))</f>
        <v>0</v>
      </c>
      <c r="AB255" s="31">
        <f>IF(I255="","",TravelTimeMins)</f>
        <v>0</v>
      </c>
      <c r="AC255" s="29">
        <f>IF(OR(I255="",B255=""),0,IF(I255-B255&lt;=LastMinuteDays,EmergencyFee,0))</f>
        <v>0</v>
      </c>
      <c r="AF255" s="29">
        <f>IF(H255="","",ROUND((U255+V255+Y255+AA255+AC255)*IF(AE255="",0,AE255),2))</f>
        <v>0</v>
      </c>
      <c r="AI255" s="29">
        <f>IF(H255="","",IF(AG255&lt;&gt;"",AG255,ROUND(U255+V255+Y255+AA255+AC255-AF255,2)))</f>
        <v>0</v>
      </c>
      <c r="AJ255" s="29">
        <f>IF(AI255="","",IF(TaxRegistered&lt;&gt;"Yes",0,IF(PricesIncludeTax="Yes",ROUND(AI255-AI255/(1+TaxRate),2),ROUND(AI255*TaxRate,2))))</f>
        <v>0</v>
      </c>
      <c r="AK255" s="29">
        <f>IF(AI255="","",IF(PricesIncludeTax="Yes",AI255,ROUND(AI255+AJ255,2)))</f>
        <v>0</v>
      </c>
      <c r="AQ255" s="21">
        <f>IF(OR(I255="",AP255="",AP255="None"),"",IF(AP255="Monthly",EDATE(I255,1),I255+IF(AP255="Daily",1,IF(AP255="Weekdays",IF(WEEKDAY(I255,2)&gt;=5,8-WEEKDAY(I255,2),1),IF(AP255="Weekly",7,IF(AP255="Fortnightly",14,0))))))</f>
        <v>0</v>
      </c>
      <c r="AR255" s="49">
        <f>IF(OR(I255="",AL255="",K255="",L255=""),"",IF(SUMPRODUCT((Bookings!$AL$5:$AL$404=AL255)*(Bookings!$I$5:$I$404=I255)*(Bookings!$K$5:$K$404&lt;L255)*(Bookings!$L$5:$L$404&gt;K255)*(Bookings!$AM$5:$AM$404&lt;&gt;"Cancelled"))&gt;1,"Conflict - double booked","OK"))</f>
        <v>0</v>
      </c>
      <c r="AS255" s="50">
        <f>IF(A255="","",IF(COUNTIF('Visit Log'!$B$5:$B$404,A255)&gt;0,"Yes","No"))</f>
        <v>0</v>
      </c>
      <c r="AT255" s="28">
        <f>IF(A255="","",IFERROR(INDEX(Invoices!$A$5:$A$304,MATCH(A255,Invoices!$E$5:$E$304,0)),""))</f>
        <v>0</v>
      </c>
      <c r="AU255" s="49">
        <f>IF(A255="","",IF(AT255="","Not invoiced",IFERROR(INDEX(Invoices!$U$5:$U$304,MATCH(AT255,Invoices!$A$5:$A$304,0)),"")))</f>
        <v>0</v>
      </c>
      <c r="AY255" s="28">
        <f>IF(I255="","",TEXT(I255,"yyyy-mm"))</f>
        <v>0</v>
      </c>
      <c r="AZ255" s="49">
        <f>IF(I255="","",IF(AM255="Cancelled","Cancelled",IF(AND(I255&lt;TODAY(),OR(AM255="Pending",AM255="Confirmed",AM255="Enquiry")),"Overdue - update status",IF(AND(AM255="Completed",AS255="No"),"Action - log the visit",IF(I255=TODAY(),"Today",IF(AND(I255&gt;TODAY(),I255-TODAY()&lt;=ReminderLeadDays,AN255&lt;&gt;"Yes"),"Action - unconfirmed",IF(AND(I255&gt;TODAY(),I255-TODAY()&lt;=ReminderLeadDays),"Upcoming","OK")))))))</f>
        <v>0</v>
      </c>
    </row>
    <row r="256" spans="1:52">
      <c r="A256" s="46">
        <f>IF(C256="","",BookingPrefix&amp;TEXT(ROW()-4,"0000"))</f>
        <v>0</v>
      </c>
      <c r="D256" s="28">
        <f>IF(C256="","",IFERROR(INDEX(Clients!$A$5:$A$254,MATCH(C256,Clients!$B$5:$B$254,0)),""))</f>
        <v>0</v>
      </c>
      <c r="J256" s="50">
        <f>IF(I256="","",TEXT(I256,"ddd"))</f>
        <v>0</v>
      </c>
      <c r="M256" s="51">
        <f>IF(OR(K256="",L256=""),"",ROUND((L256-K256+IF(L256&lt;K256,1,0))*24,2))</f>
        <v>0</v>
      </c>
      <c r="O256" s="28">
        <f>IF(H256="","",IFERROR(INDEX(Services!$E$5:$E$54,MATCH(H256,Services!$B$5:$B$54,0)),""))</f>
        <v>0</v>
      </c>
      <c r="P256" s="29">
        <f>IF(H256="","",IFERROR(INDEX(Services!$G$5:$G$54,MATCH(H256,Services!$B$5:$B$54,0)),0))</f>
        <v>0</v>
      </c>
      <c r="Q256" s="29">
        <f>IF(H256="","",IF(IFERROR(INDEX(Services!$H$5:$H$54,MATCH(H256,Services!$B$5:$B$54,0)),0)=0,ExtraPetFeeDefault,IFERROR(INDEX(Services!$H$5:$H$54,MATCH(H256,Services!$B$5:$B$54,0)),0)))</f>
        <v>0</v>
      </c>
      <c r="R256" s="30">
        <f>IF(H256="","",IF(IFERROR(INDEX(Services!$I$5:$I$54,MATCH(H256,Services!$B$5:$B$54,0)),0)=0,HolidaySurcharge,IFERROR(INDEX(Services!$I$5:$I$54,MATCH(H256,Services!$B$5:$B$54,0)),0)))</f>
        <v>0</v>
      </c>
      <c r="S256" s="30">
        <f>IF(H256="","",IF(IFERROR(INDEX(Services!$J$5:$J$54,MATCH(H256,Services!$B$5:$B$54,0)),0)=0,WeekendSurcharge,IFERROR(INDEX(Services!$J$5:$J$54,MATCH(H256,Services!$B$5:$B$54,0)),0)))</f>
        <v>0</v>
      </c>
      <c r="T256" s="50">
        <f>IF(H256="","",IFERROR(INDEX(Services!$K$5:$K$54,MATCH(H256,Services!$B$5:$B$54,0)),"No"))</f>
        <v>0</v>
      </c>
      <c r="U256" s="29">
        <f>IF(H256="","",ROUND(IF(O256="Per hour",P256*IF(M256="",IF(N256="",1,N256),M256),P256*IF(N256="",1,N256)),2))</f>
        <v>0</v>
      </c>
      <c r="V256" s="29">
        <f>IF(H256="","",ROUND(MAX(0,IF(G256="",1,G256)-1)*Q256,2))</f>
        <v>0</v>
      </c>
      <c r="W256" s="50">
        <f>IF(I256="","",IF(COUNTIF(HolidayDates,I256)&gt;0,"Yes","No"))</f>
        <v>0</v>
      </c>
      <c r="X256" s="50">
        <f>IF(I256="","",IF(WEEKDAY(I256,2)&gt;5,"Yes","No"))</f>
        <v>0</v>
      </c>
      <c r="Y256" s="29">
        <f>IF(H256="","",ROUND((U256+V256)*(IF(W256="Yes",R256,0)+IF(X256="Yes",S256,0)),2))</f>
        <v>0</v>
      </c>
      <c r="AA256" s="29">
        <f>IF(H256="","",IF(T256&lt;&gt;"Yes",0,ROUND(MAX(0,IF(Z256="",0,Z256)-FreeTravelDistance)*TravelFeeRate,2)))</f>
        <v>0</v>
      </c>
      <c r="AB256" s="31">
        <f>IF(I256="","",TravelTimeMins)</f>
        <v>0</v>
      </c>
      <c r="AC256" s="29">
        <f>IF(OR(I256="",B256=""),0,IF(I256-B256&lt;=LastMinuteDays,EmergencyFee,0))</f>
        <v>0</v>
      </c>
      <c r="AF256" s="29">
        <f>IF(H256="","",ROUND((U256+V256+Y256+AA256+AC256)*IF(AE256="",0,AE256),2))</f>
        <v>0</v>
      </c>
      <c r="AI256" s="29">
        <f>IF(H256="","",IF(AG256&lt;&gt;"",AG256,ROUND(U256+V256+Y256+AA256+AC256-AF256,2)))</f>
        <v>0</v>
      </c>
      <c r="AJ256" s="29">
        <f>IF(AI256="","",IF(TaxRegistered&lt;&gt;"Yes",0,IF(PricesIncludeTax="Yes",ROUND(AI256-AI256/(1+TaxRate),2),ROUND(AI256*TaxRate,2))))</f>
        <v>0</v>
      </c>
      <c r="AK256" s="29">
        <f>IF(AI256="","",IF(PricesIncludeTax="Yes",AI256,ROUND(AI256+AJ256,2)))</f>
        <v>0</v>
      </c>
      <c r="AQ256" s="21">
        <f>IF(OR(I256="",AP256="",AP256="None"),"",IF(AP256="Monthly",EDATE(I256,1),I256+IF(AP256="Daily",1,IF(AP256="Weekdays",IF(WEEKDAY(I256,2)&gt;=5,8-WEEKDAY(I256,2),1),IF(AP256="Weekly",7,IF(AP256="Fortnightly",14,0))))))</f>
        <v>0</v>
      </c>
      <c r="AR256" s="49">
        <f>IF(OR(I256="",AL256="",K256="",L256=""),"",IF(SUMPRODUCT((Bookings!$AL$5:$AL$404=AL256)*(Bookings!$I$5:$I$404=I256)*(Bookings!$K$5:$K$404&lt;L256)*(Bookings!$L$5:$L$404&gt;K256)*(Bookings!$AM$5:$AM$404&lt;&gt;"Cancelled"))&gt;1,"Conflict - double booked","OK"))</f>
        <v>0</v>
      </c>
      <c r="AS256" s="50">
        <f>IF(A256="","",IF(COUNTIF('Visit Log'!$B$5:$B$404,A256)&gt;0,"Yes","No"))</f>
        <v>0</v>
      </c>
      <c r="AT256" s="28">
        <f>IF(A256="","",IFERROR(INDEX(Invoices!$A$5:$A$304,MATCH(A256,Invoices!$E$5:$E$304,0)),""))</f>
        <v>0</v>
      </c>
      <c r="AU256" s="49">
        <f>IF(A256="","",IF(AT256="","Not invoiced",IFERROR(INDEX(Invoices!$U$5:$U$304,MATCH(AT256,Invoices!$A$5:$A$304,0)),"")))</f>
        <v>0</v>
      </c>
      <c r="AY256" s="28">
        <f>IF(I256="","",TEXT(I256,"yyyy-mm"))</f>
        <v>0</v>
      </c>
      <c r="AZ256" s="49">
        <f>IF(I256="","",IF(AM256="Cancelled","Cancelled",IF(AND(I256&lt;TODAY(),OR(AM256="Pending",AM256="Confirmed",AM256="Enquiry")),"Overdue - update status",IF(AND(AM256="Completed",AS256="No"),"Action - log the visit",IF(I256=TODAY(),"Today",IF(AND(I256&gt;TODAY(),I256-TODAY()&lt;=ReminderLeadDays,AN256&lt;&gt;"Yes"),"Action - unconfirmed",IF(AND(I256&gt;TODAY(),I256-TODAY()&lt;=ReminderLeadDays),"Upcoming","OK")))))))</f>
        <v>0</v>
      </c>
    </row>
    <row r="257" spans="1:52">
      <c r="A257" s="46">
        <f>IF(C257="","",BookingPrefix&amp;TEXT(ROW()-4,"0000"))</f>
        <v>0</v>
      </c>
      <c r="D257" s="28">
        <f>IF(C257="","",IFERROR(INDEX(Clients!$A$5:$A$254,MATCH(C257,Clients!$B$5:$B$254,0)),""))</f>
        <v>0</v>
      </c>
      <c r="J257" s="50">
        <f>IF(I257="","",TEXT(I257,"ddd"))</f>
        <v>0</v>
      </c>
      <c r="M257" s="51">
        <f>IF(OR(K257="",L257=""),"",ROUND((L257-K257+IF(L257&lt;K257,1,0))*24,2))</f>
        <v>0</v>
      </c>
      <c r="O257" s="28">
        <f>IF(H257="","",IFERROR(INDEX(Services!$E$5:$E$54,MATCH(H257,Services!$B$5:$B$54,0)),""))</f>
        <v>0</v>
      </c>
      <c r="P257" s="29">
        <f>IF(H257="","",IFERROR(INDEX(Services!$G$5:$G$54,MATCH(H257,Services!$B$5:$B$54,0)),0))</f>
        <v>0</v>
      </c>
      <c r="Q257" s="29">
        <f>IF(H257="","",IF(IFERROR(INDEX(Services!$H$5:$H$54,MATCH(H257,Services!$B$5:$B$54,0)),0)=0,ExtraPetFeeDefault,IFERROR(INDEX(Services!$H$5:$H$54,MATCH(H257,Services!$B$5:$B$54,0)),0)))</f>
        <v>0</v>
      </c>
      <c r="R257" s="30">
        <f>IF(H257="","",IF(IFERROR(INDEX(Services!$I$5:$I$54,MATCH(H257,Services!$B$5:$B$54,0)),0)=0,HolidaySurcharge,IFERROR(INDEX(Services!$I$5:$I$54,MATCH(H257,Services!$B$5:$B$54,0)),0)))</f>
        <v>0</v>
      </c>
      <c r="S257" s="30">
        <f>IF(H257="","",IF(IFERROR(INDEX(Services!$J$5:$J$54,MATCH(H257,Services!$B$5:$B$54,0)),0)=0,WeekendSurcharge,IFERROR(INDEX(Services!$J$5:$J$54,MATCH(H257,Services!$B$5:$B$54,0)),0)))</f>
        <v>0</v>
      </c>
      <c r="T257" s="50">
        <f>IF(H257="","",IFERROR(INDEX(Services!$K$5:$K$54,MATCH(H257,Services!$B$5:$B$54,0)),"No"))</f>
        <v>0</v>
      </c>
      <c r="U257" s="29">
        <f>IF(H257="","",ROUND(IF(O257="Per hour",P257*IF(M257="",IF(N257="",1,N257),M257),P257*IF(N257="",1,N257)),2))</f>
        <v>0</v>
      </c>
      <c r="V257" s="29">
        <f>IF(H257="","",ROUND(MAX(0,IF(G257="",1,G257)-1)*Q257,2))</f>
        <v>0</v>
      </c>
      <c r="W257" s="50">
        <f>IF(I257="","",IF(COUNTIF(HolidayDates,I257)&gt;0,"Yes","No"))</f>
        <v>0</v>
      </c>
      <c r="X257" s="50">
        <f>IF(I257="","",IF(WEEKDAY(I257,2)&gt;5,"Yes","No"))</f>
        <v>0</v>
      </c>
      <c r="Y257" s="29">
        <f>IF(H257="","",ROUND((U257+V257)*(IF(W257="Yes",R257,0)+IF(X257="Yes",S257,0)),2))</f>
        <v>0</v>
      </c>
      <c r="AA257" s="29">
        <f>IF(H257="","",IF(T257&lt;&gt;"Yes",0,ROUND(MAX(0,IF(Z257="",0,Z257)-FreeTravelDistance)*TravelFeeRate,2)))</f>
        <v>0</v>
      </c>
      <c r="AB257" s="31">
        <f>IF(I257="","",TravelTimeMins)</f>
        <v>0</v>
      </c>
      <c r="AC257" s="29">
        <f>IF(OR(I257="",B257=""),0,IF(I257-B257&lt;=LastMinuteDays,EmergencyFee,0))</f>
        <v>0</v>
      </c>
      <c r="AF257" s="29">
        <f>IF(H257="","",ROUND((U257+V257+Y257+AA257+AC257)*IF(AE257="",0,AE257),2))</f>
        <v>0</v>
      </c>
      <c r="AI257" s="29">
        <f>IF(H257="","",IF(AG257&lt;&gt;"",AG257,ROUND(U257+V257+Y257+AA257+AC257-AF257,2)))</f>
        <v>0</v>
      </c>
      <c r="AJ257" s="29">
        <f>IF(AI257="","",IF(TaxRegistered&lt;&gt;"Yes",0,IF(PricesIncludeTax="Yes",ROUND(AI257-AI257/(1+TaxRate),2),ROUND(AI257*TaxRate,2))))</f>
        <v>0</v>
      </c>
      <c r="AK257" s="29">
        <f>IF(AI257="","",IF(PricesIncludeTax="Yes",AI257,ROUND(AI257+AJ257,2)))</f>
        <v>0</v>
      </c>
      <c r="AQ257" s="21">
        <f>IF(OR(I257="",AP257="",AP257="None"),"",IF(AP257="Monthly",EDATE(I257,1),I257+IF(AP257="Daily",1,IF(AP257="Weekdays",IF(WEEKDAY(I257,2)&gt;=5,8-WEEKDAY(I257,2),1),IF(AP257="Weekly",7,IF(AP257="Fortnightly",14,0))))))</f>
        <v>0</v>
      </c>
      <c r="AR257" s="49">
        <f>IF(OR(I257="",AL257="",K257="",L257=""),"",IF(SUMPRODUCT((Bookings!$AL$5:$AL$404=AL257)*(Bookings!$I$5:$I$404=I257)*(Bookings!$K$5:$K$404&lt;L257)*(Bookings!$L$5:$L$404&gt;K257)*(Bookings!$AM$5:$AM$404&lt;&gt;"Cancelled"))&gt;1,"Conflict - double booked","OK"))</f>
        <v>0</v>
      </c>
      <c r="AS257" s="50">
        <f>IF(A257="","",IF(COUNTIF('Visit Log'!$B$5:$B$404,A257)&gt;0,"Yes","No"))</f>
        <v>0</v>
      </c>
      <c r="AT257" s="28">
        <f>IF(A257="","",IFERROR(INDEX(Invoices!$A$5:$A$304,MATCH(A257,Invoices!$E$5:$E$304,0)),""))</f>
        <v>0</v>
      </c>
      <c r="AU257" s="49">
        <f>IF(A257="","",IF(AT257="","Not invoiced",IFERROR(INDEX(Invoices!$U$5:$U$304,MATCH(AT257,Invoices!$A$5:$A$304,0)),"")))</f>
        <v>0</v>
      </c>
      <c r="AY257" s="28">
        <f>IF(I257="","",TEXT(I257,"yyyy-mm"))</f>
        <v>0</v>
      </c>
      <c r="AZ257" s="49">
        <f>IF(I257="","",IF(AM257="Cancelled","Cancelled",IF(AND(I257&lt;TODAY(),OR(AM257="Pending",AM257="Confirmed",AM257="Enquiry")),"Overdue - update status",IF(AND(AM257="Completed",AS257="No"),"Action - log the visit",IF(I257=TODAY(),"Today",IF(AND(I257&gt;TODAY(),I257-TODAY()&lt;=ReminderLeadDays,AN257&lt;&gt;"Yes"),"Action - unconfirmed",IF(AND(I257&gt;TODAY(),I257-TODAY()&lt;=ReminderLeadDays),"Upcoming","OK")))))))</f>
        <v>0</v>
      </c>
    </row>
    <row r="258" spans="1:52">
      <c r="A258" s="46">
        <f>IF(C258="","",BookingPrefix&amp;TEXT(ROW()-4,"0000"))</f>
        <v>0</v>
      </c>
      <c r="D258" s="28">
        <f>IF(C258="","",IFERROR(INDEX(Clients!$A$5:$A$254,MATCH(C258,Clients!$B$5:$B$254,0)),""))</f>
        <v>0</v>
      </c>
      <c r="J258" s="50">
        <f>IF(I258="","",TEXT(I258,"ddd"))</f>
        <v>0</v>
      </c>
      <c r="M258" s="51">
        <f>IF(OR(K258="",L258=""),"",ROUND((L258-K258+IF(L258&lt;K258,1,0))*24,2))</f>
        <v>0</v>
      </c>
      <c r="O258" s="28">
        <f>IF(H258="","",IFERROR(INDEX(Services!$E$5:$E$54,MATCH(H258,Services!$B$5:$B$54,0)),""))</f>
        <v>0</v>
      </c>
      <c r="P258" s="29">
        <f>IF(H258="","",IFERROR(INDEX(Services!$G$5:$G$54,MATCH(H258,Services!$B$5:$B$54,0)),0))</f>
        <v>0</v>
      </c>
      <c r="Q258" s="29">
        <f>IF(H258="","",IF(IFERROR(INDEX(Services!$H$5:$H$54,MATCH(H258,Services!$B$5:$B$54,0)),0)=0,ExtraPetFeeDefault,IFERROR(INDEX(Services!$H$5:$H$54,MATCH(H258,Services!$B$5:$B$54,0)),0)))</f>
        <v>0</v>
      </c>
      <c r="R258" s="30">
        <f>IF(H258="","",IF(IFERROR(INDEX(Services!$I$5:$I$54,MATCH(H258,Services!$B$5:$B$54,0)),0)=0,HolidaySurcharge,IFERROR(INDEX(Services!$I$5:$I$54,MATCH(H258,Services!$B$5:$B$54,0)),0)))</f>
        <v>0</v>
      </c>
      <c r="S258" s="30">
        <f>IF(H258="","",IF(IFERROR(INDEX(Services!$J$5:$J$54,MATCH(H258,Services!$B$5:$B$54,0)),0)=0,WeekendSurcharge,IFERROR(INDEX(Services!$J$5:$J$54,MATCH(H258,Services!$B$5:$B$54,0)),0)))</f>
        <v>0</v>
      </c>
      <c r="T258" s="50">
        <f>IF(H258="","",IFERROR(INDEX(Services!$K$5:$K$54,MATCH(H258,Services!$B$5:$B$54,0)),"No"))</f>
        <v>0</v>
      </c>
      <c r="U258" s="29">
        <f>IF(H258="","",ROUND(IF(O258="Per hour",P258*IF(M258="",IF(N258="",1,N258),M258),P258*IF(N258="",1,N258)),2))</f>
        <v>0</v>
      </c>
      <c r="V258" s="29">
        <f>IF(H258="","",ROUND(MAX(0,IF(G258="",1,G258)-1)*Q258,2))</f>
        <v>0</v>
      </c>
      <c r="W258" s="50">
        <f>IF(I258="","",IF(COUNTIF(HolidayDates,I258)&gt;0,"Yes","No"))</f>
        <v>0</v>
      </c>
      <c r="X258" s="50">
        <f>IF(I258="","",IF(WEEKDAY(I258,2)&gt;5,"Yes","No"))</f>
        <v>0</v>
      </c>
      <c r="Y258" s="29">
        <f>IF(H258="","",ROUND((U258+V258)*(IF(W258="Yes",R258,0)+IF(X258="Yes",S258,0)),2))</f>
        <v>0</v>
      </c>
      <c r="AA258" s="29">
        <f>IF(H258="","",IF(T258&lt;&gt;"Yes",0,ROUND(MAX(0,IF(Z258="",0,Z258)-FreeTravelDistance)*TravelFeeRate,2)))</f>
        <v>0</v>
      </c>
      <c r="AB258" s="31">
        <f>IF(I258="","",TravelTimeMins)</f>
        <v>0</v>
      </c>
      <c r="AC258" s="29">
        <f>IF(OR(I258="",B258=""),0,IF(I258-B258&lt;=LastMinuteDays,EmergencyFee,0))</f>
        <v>0</v>
      </c>
      <c r="AF258" s="29">
        <f>IF(H258="","",ROUND((U258+V258+Y258+AA258+AC258)*IF(AE258="",0,AE258),2))</f>
        <v>0</v>
      </c>
      <c r="AI258" s="29">
        <f>IF(H258="","",IF(AG258&lt;&gt;"",AG258,ROUND(U258+V258+Y258+AA258+AC258-AF258,2)))</f>
        <v>0</v>
      </c>
      <c r="AJ258" s="29">
        <f>IF(AI258="","",IF(TaxRegistered&lt;&gt;"Yes",0,IF(PricesIncludeTax="Yes",ROUND(AI258-AI258/(1+TaxRate),2),ROUND(AI258*TaxRate,2))))</f>
        <v>0</v>
      </c>
      <c r="AK258" s="29">
        <f>IF(AI258="","",IF(PricesIncludeTax="Yes",AI258,ROUND(AI258+AJ258,2)))</f>
        <v>0</v>
      </c>
      <c r="AQ258" s="21">
        <f>IF(OR(I258="",AP258="",AP258="None"),"",IF(AP258="Monthly",EDATE(I258,1),I258+IF(AP258="Daily",1,IF(AP258="Weekdays",IF(WEEKDAY(I258,2)&gt;=5,8-WEEKDAY(I258,2),1),IF(AP258="Weekly",7,IF(AP258="Fortnightly",14,0))))))</f>
        <v>0</v>
      </c>
      <c r="AR258" s="49">
        <f>IF(OR(I258="",AL258="",K258="",L258=""),"",IF(SUMPRODUCT((Bookings!$AL$5:$AL$404=AL258)*(Bookings!$I$5:$I$404=I258)*(Bookings!$K$5:$K$404&lt;L258)*(Bookings!$L$5:$L$404&gt;K258)*(Bookings!$AM$5:$AM$404&lt;&gt;"Cancelled"))&gt;1,"Conflict - double booked","OK"))</f>
        <v>0</v>
      </c>
      <c r="AS258" s="50">
        <f>IF(A258="","",IF(COUNTIF('Visit Log'!$B$5:$B$404,A258)&gt;0,"Yes","No"))</f>
        <v>0</v>
      </c>
      <c r="AT258" s="28">
        <f>IF(A258="","",IFERROR(INDEX(Invoices!$A$5:$A$304,MATCH(A258,Invoices!$E$5:$E$304,0)),""))</f>
        <v>0</v>
      </c>
      <c r="AU258" s="49">
        <f>IF(A258="","",IF(AT258="","Not invoiced",IFERROR(INDEX(Invoices!$U$5:$U$304,MATCH(AT258,Invoices!$A$5:$A$304,0)),"")))</f>
        <v>0</v>
      </c>
      <c r="AY258" s="28">
        <f>IF(I258="","",TEXT(I258,"yyyy-mm"))</f>
        <v>0</v>
      </c>
      <c r="AZ258" s="49">
        <f>IF(I258="","",IF(AM258="Cancelled","Cancelled",IF(AND(I258&lt;TODAY(),OR(AM258="Pending",AM258="Confirmed",AM258="Enquiry")),"Overdue - update status",IF(AND(AM258="Completed",AS258="No"),"Action - log the visit",IF(I258=TODAY(),"Today",IF(AND(I258&gt;TODAY(),I258-TODAY()&lt;=ReminderLeadDays,AN258&lt;&gt;"Yes"),"Action - unconfirmed",IF(AND(I258&gt;TODAY(),I258-TODAY()&lt;=ReminderLeadDays),"Upcoming","OK")))))))</f>
        <v>0</v>
      </c>
    </row>
    <row r="259" spans="1:52">
      <c r="A259" s="46">
        <f>IF(C259="","",BookingPrefix&amp;TEXT(ROW()-4,"0000"))</f>
        <v>0</v>
      </c>
      <c r="D259" s="28">
        <f>IF(C259="","",IFERROR(INDEX(Clients!$A$5:$A$254,MATCH(C259,Clients!$B$5:$B$254,0)),""))</f>
        <v>0</v>
      </c>
      <c r="J259" s="50">
        <f>IF(I259="","",TEXT(I259,"ddd"))</f>
        <v>0</v>
      </c>
      <c r="M259" s="51">
        <f>IF(OR(K259="",L259=""),"",ROUND((L259-K259+IF(L259&lt;K259,1,0))*24,2))</f>
        <v>0</v>
      </c>
      <c r="O259" s="28">
        <f>IF(H259="","",IFERROR(INDEX(Services!$E$5:$E$54,MATCH(H259,Services!$B$5:$B$54,0)),""))</f>
        <v>0</v>
      </c>
      <c r="P259" s="29">
        <f>IF(H259="","",IFERROR(INDEX(Services!$G$5:$G$54,MATCH(H259,Services!$B$5:$B$54,0)),0))</f>
        <v>0</v>
      </c>
      <c r="Q259" s="29">
        <f>IF(H259="","",IF(IFERROR(INDEX(Services!$H$5:$H$54,MATCH(H259,Services!$B$5:$B$54,0)),0)=0,ExtraPetFeeDefault,IFERROR(INDEX(Services!$H$5:$H$54,MATCH(H259,Services!$B$5:$B$54,0)),0)))</f>
        <v>0</v>
      </c>
      <c r="R259" s="30">
        <f>IF(H259="","",IF(IFERROR(INDEX(Services!$I$5:$I$54,MATCH(H259,Services!$B$5:$B$54,0)),0)=0,HolidaySurcharge,IFERROR(INDEX(Services!$I$5:$I$54,MATCH(H259,Services!$B$5:$B$54,0)),0)))</f>
        <v>0</v>
      </c>
      <c r="S259" s="30">
        <f>IF(H259="","",IF(IFERROR(INDEX(Services!$J$5:$J$54,MATCH(H259,Services!$B$5:$B$54,0)),0)=0,WeekendSurcharge,IFERROR(INDEX(Services!$J$5:$J$54,MATCH(H259,Services!$B$5:$B$54,0)),0)))</f>
        <v>0</v>
      </c>
      <c r="T259" s="50">
        <f>IF(H259="","",IFERROR(INDEX(Services!$K$5:$K$54,MATCH(H259,Services!$B$5:$B$54,0)),"No"))</f>
        <v>0</v>
      </c>
      <c r="U259" s="29">
        <f>IF(H259="","",ROUND(IF(O259="Per hour",P259*IF(M259="",IF(N259="",1,N259),M259),P259*IF(N259="",1,N259)),2))</f>
        <v>0</v>
      </c>
      <c r="V259" s="29">
        <f>IF(H259="","",ROUND(MAX(0,IF(G259="",1,G259)-1)*Q259,2))</f>
        <v>0</v>
      </c>
      <c r="W259" s="50">
        <f>IF(I259="","",IF(COUNTIF(HolidayDates,I259)&gt;0,"Yes","No"))</f>
        <v>0</v>
      </c>
      <c r="X259" s="50">
        <f>IF(I259="","",IF(WEEKDAY(I259,2)&gt;5,"Yes","No"))</f>
        <v>0</v>
      </c>
      <c r="Y259" s="29">
        <f>IF(H259="","",ROUND((U259+V259)*(IF(W259="Yes",R259,0)+IF(X259="Yes",S259,0)),2))</f>
        <v>0</v>
      </c>
      <c r="AA259" s="29">
        <f>IF(H259="","",IF(T259&lt;&gt;"Yes",0,ROUND(MAX(0,IF(Z259="",0,Z259)-FreeTravelDistance)*TravelFeeRate,2)))</f>
        <v>0</v>
      </c>
      <c r="AB259" s="31">
        <f>IF(I259="","",TravelTimeMins)</f>
        <v>0</v>
      </c>
      <c r="AC259" s="29">
        <f>IF(OR(I259="",B259=""),0,IF(I259-B259&lt;=LastMinuteDays,EmergencyFee,0))</f>
        <v>0</v>
      </c>
      <c r="AF259" s="29">
        <f>IF(H259="","",ROUND((U259+V259+Y259+AA259+AC259)*IF(AE259="",0,AE259),2))</f>
        <v>0</v>
      </c>
      <c r="AI259" s="29">
        <f>IF(H259="","",IF(AG259&lt;&gt;"",AG259,ROUND(U259+V259+Y259+AA259+AC259-AF259,2)))</f>
        <v>0</v>
      </c>
      <c r="AJ259" s="29">
        <f>IF(AI259="","",IF(TaxRegistered&lt;&gt;"Yes",0,IF(PricesIncludeTax="Yes",ROUND(AI259-AI259/(1+TaxRate),2),ROUND(AI259*TaxRate,2))))</f>
        <v>0</v>
      </c>
      <c r="AK259" s="29">
        <f>IF(AI259="","",IF(PricesIncludeTax="Yes",AI259,ROUND(AI259+AJ259,2)))</f>
        <v>0</v>
      </c>
      <c r="AQ259" s="21">
        <f>IF(OR(I259="",AP259="",AP259="None"),"",IF(AP259="Monthly",EDATE(I259,1),I259+IF(AP259="Daily",1,IF(AP259="Weekdays",IF(WEEKDAY(I259,2)&gt;=5,8-WEEKDAY(I259,2),1),IF(AP259="Weekly",7,IF(AP259="Fortnightly",14,0))))))</f>
        <v>0</v>
      </c>
      <c r="AR259" s="49">
        <f>IF(OR(I259="",AL259="",K259="",L259=""),"",IF(SUMPRODUCT((Bookings!$AL$5:$AL$404=AL259)*(Bookings!$I$5:$I$404=I259)*(Bookings!$K$5:$K$404&lt;L259)*(Bookings!$L$5:$L$404&gt;K259)*(Bookings!$AM$5:$AM$404&lt;&gt;"Cancelled"))&gt;1,"Conflict - double booked","OK"))</f>
        <v>0</v>
      </c>
      <c r="AS259" s="50">
        <f>IF(A259="","",IF(COUNTIF('Visit Log'!$B$5:$B$404,A259)&gt;0,"Yes","No"))</f>
        <v>0</v>
      </c>
      <c r="AT259" s="28">
        <f>IF(A259="","",IFERROR(INDEX(Invoices!$A$5:$A$304,MATCH(A259,Invoices!$E$5:$E$304,0)),""))</f>
        <v>0</v>
      </c>
      <c r="AU259" s="49">
        <f>IF(A259="","",IF(AT259="","Not invoiced",IFERROR(INDEX(Invoices!$U$5:$U$304,MATCH(AT259,Invoices!$A$5:$A$304,0)),"")))</f>
        <v>0</v>
      </c>
      <c r="AY259" s="28">
        <f>IF(I259="","",TEXT(I259,"yyyy-mm"))</f>
        <v>0</v>
      </c>
      <c r="AZ259" s="49">
        <f>IF(I259="","",IF(AM259="Cancelled","Cancelled",IF(AND(I259&lt;TODAY(),OR(AM259="Pending",AM259="Confirmed",AM259="Enquiry")),"Overdue - update status",IF(AND(AM259="Completed",AS259="No"),"Action - log the visit",IF(I259=TODAY(),"Today",IF(AND(I259&gt;TODAY(),I259-TODAY()&lt;=ReminderLeadDays,AN259&lt;&gt;"Yes"),"Action - unconfirmed",IF(AND(I259&gt;TODAY(),I259-TODAY()&lt;=ReminderLeadDays),"Upcoming","OK")))))))</f>
        <v>0</v>
      </c>
    </row>
    <row r="260" spans="1:52">
      <c r="A260" s="46">
        <f>IF(C260="","",BookingPrefix&amp;TEXT(ROW()-4,"0000"))</f>
        <v>0</v>
      </c>
      <c r="D260" s="28">
        <f>IF(C260="","",IFERROR(INDEX(Clients!$A$5:$A$254,MATCH(C260,Clients!$B$5:$B$254,0)),""))</f>
        <v>0</v>
      </c>
      <c r="J260" s="50">
        <f>IF(I260="","",TEXT(I260,"ddd"))</f>
        <v>0</v>
      </c>
      <c r="M260" s="51">
        <f>IF(OR(K260="",L260=""),"",ROUND((L260-K260+IF(L260&lt;K260,1,0))*24,2))</f>
        <v>0</v>
      </c>
      <c r="O260" s="28">
        <f>IF(H260="","",IFERROR(INDEX(Services!$E$5:$E$54,MATCH(H260,Services!$B$5:$B$54,0)),""))</f>
        <v>0</v>
      </c>
      <c r="P260" s="29">
        <f>IF(H260="","",IFERROR(INDEX(Services!$G$5:$G$54,MATCH(H260,Services!$B$5:$B$54,0)),0))</f>
        <v>0</v>
      </c>
      <c r="Q260" s="29">
        <f>IF(H260="","",IF(IFERROR(INDEX(Services!$H$5:$H$54,MATCH(H260,Services!$B$5:$B$54,0)),0)=0,ExtraPetFeeDefault,IFERROR(INDEX(Services!$H$5:$H$54,MATCH(H260,Services!$B$5:$B$54,0)),0)))</f>
        <v>0</v>
      </c>
      <c r="R260" s="30">
        <f>IF(H260="","",IF(IFERROR(INDEX(Services!$I$5:$I$54,MATCH(H260,Services!$B$5:$B$54,0)),0)=0,HolidaySurcharge,IFERROR(INDEX(Services!$I$5:$I$54,MATCH(H260,Services!$B$5:$B$54,0)),0)))</f>
        <v>0</v>
      </c>
      <c r="S260" s="30">
        <f>IF(H260="","",IF(IFERROR(INDEX(Services!$J$5:$J$54,MATCH(H260,Services!$B$5:$B$54,0)),0)=0,WeekendSurcharge,IFERROR(INDEX(Services!$J$5:$J$54,MATCH(H260,Services!$B$5:$B$54,0)),0)))</f>
        <v>0</v>
      </c>
      <c r="T260" s="50">
        <f>IF(H260="","",IFERROR(INDEX(Services!$K$5:$K$54,MATCH(H260,Services!$B$5:$B$54,0)),"No"))</f>
        <v>0</v>
      </c>
      <c r="U260" s="29">
        <f>IF(H260="","",ROUND(IF(O260="Per hour",P260*IF(M260="",IF(N260="",1,N260),M260),P260*IF(N260="",1,N260)),2))</f>
        <v>0</v>
      </c>
      <c r="V260" s="29">
        <f>IF(H260="","",ROUND(MAX(0,IF(G260="",1,G260)-1)*Q260,2))</f>
        <v>0</v>
      </c>
      <c r="W260" s="50">
        <f>IF(I260="","",IF(COUNTIF(HolidayDates,I260)&gt;0,"Yes","No"))</f>
        <v>0</v>
      </c>
      <c r="X260" s="50">
        <f>IF(I260="","",IF(WEEKDAY(I260,2)&gt;5,"Yes","No"))</f>
        <v>0</v>
      </c>
      <c r="Y260" s="29">
        <f>IF(H260="","",ROUND((U260+V260)*(IF(W260="Yes",R260,0)+IF(X260="Yes",S260,0)),2))</f>
        <v>0</v>
      </c>
      <c r="AA260" s="29">
        <f>IF(H260="","",IF(T260&lt;&gt;"Yes",0,ROUND(MAX(0,IF(Z260="",0,Z260)-FreeTravelDistance)*TravelFeeRate,2)))</f>
        <v>0</v>
      </c>
      <c r="AB260" s="31">
        <f>IF(I260="","",TravelTimeMins)</f>
        <v>0</v>
      </c>
      <c r="AC260" s="29">
        <f>IF(OR(I260="",B260=""),0,IF(I260-B260&lt;=LastMinuteDays,EmergencyFee,0))</f>
        <v>0</v>
      </c>
      <c r="AF260" s="29">
        <f>IF(H260="","",ROUND((U260+V260+Y260+AA260+AC260)*IF(AE260="",0,AE260),2))</f>
        <v>0</v>
      </c>
      <c r="AI260" s="29">
        <f>IF(H260="","",IF(AG260&lt;&gt;"",AG260,ROUND(U260+V260+Y260+AA260+AC260-AF260,2)))</f>
        <v>0</v>
      </c>
      <c r="AJ260" s="29">
        <f>IF(AI260="","",IF(TaxRegistered&lt;&gt;"Yes",0,IF(PricesIncludeTax="Yes",ROUND(AI260-AI260/(1+TaxRate),2),ROUND(AI260*TaxRate,2))))</f>
        <v>0</v>
      </c>
      <c r="AK260" s="29">
        <f>IF(AI260="","",IF(PricesIncludeTax="Yes",AI260,ROUND(AI260+AJ260,2)))</f>
        <v>0</v>
      </c>
      <c r="AQ260" s="21">
        <f>IF(OR(I260="",AP260="",AP260="None"),"",IF(AP260="Monthly",EDATE(I260,1),I260+IF(AP260="Daily",1,IF(AP260="Weekdays",IF(WEEKDAY(I260,2)&gt;=5,8-WEEKDAY(I260,2),1),IF(AP260="Weekly",7,IF(AP260="Fortnightly",14,0))))))</f>
        <v>0</v>
      </c>
      <c r="AR260" s="49">
        <f>IF(OR(I260="",AL260="",K260="",L260=""),"",IF(SUMPRODUCT((Bookings!$AL$5:$AL$404=AL260)*(Bookings!$I$5:$I$404=I260)*(Bookings!$K$5:$K$404&lt;L260)*(Bookings!$L$5:$L$404&gt;K260)*(Bookings!$AM$5:$AM$404&lt;&gt;"Cancelled"))&gt;1,"Conflict - double booked","OK"))</f>
        <v>0</v>
      </c>
      <c r="AS260" s="50">
        <f>IF(A260="","",IF(COUNTIF('Visit Log'!$B$5:$B$404,A260)&gt;0,"Yes","No"))</f>
        <v>0</v>
      </c>
      <c r="AT260" s="28">
        <f>IF(A260="","",IFERROR(INDEX(Invoices!$A$5:$A$304,MATCH(A260,Invoices!$E$5:$E$304,0)),""))</f>
        <v>0</v>
      </c>
      <c r="AU260" s="49">
        <f>IF(A260="","",IF(AT260="","Not invoiced",IFERROR(INDEX(Invoices!$U$5:$U$304,MATCH(AT260,Invoices!$A$5:$A$304,0)),"")))</f>
        <v>0</v>
      </c>
      <c r="AY260" s="28">
        <f>IF(I260="","",TEXT(I260,"yyyy-mm"))</f>
        <v>0</v>
      </c>
      <c r="AZ260" s="49">
        <f>IF(I260="","",IF(AM260="Cancelled","Cancelled",IF(AND(I260&lt;TODAY(),OR(AM260="Pending",AM260="Confirmed",AM260="Enquiry")),"Overdue - update status",IF(AND(AM260="Completed",AS260="No"),"Action - log the visit",IF(I260=TODAY(),"Today",IF(AND(I260&gt;TODAY(),I260-TODAY()&lt;=ReminderLeadDays,AN260&lt;&gt;"Yes"),"Action - unconfirmed",IF(AND(I260&gt;TODAY(),I260-TODAY()&lt;=ReminderLeadDays),"Upcoming","OK")))))))</f>
        <v>0</v>
      </c>
    </row>
    <row r="261" spans="1:52">
      <c r="A261" s="46">
        <f>IF(C261="","",BookingPrefix&amp;TEXT(ROW()-4,"0000"))</f>
        <v>0</v>
      </c>
      <c r="D261" s="28">
        <f>IF(C261="","",IFERROR(INDEX(Clients!$A$5:$A$254,MATCH(C261,Clients!$B$5:$B$254,0)),""))</f>
        <v>0</v>
      </c>
      <c r="J261" s="50">
        <f>IF(I261="","",TEXT(I261,"ddd"))</f>
        <v>0</v>
      </c>
      <c r="M261" s="51">
        <f>IF(OR(K261="",L261=""),"",ROUND((L261-K261+IF(L261&lt;K261,1,0))*24,2))</f>
        <v>0</v>
      </c>
      <c r="O261" s="28">
        <f>IF(H261="","",IFERROR(INDEX(Services!$E$5:$E$54,MATCH(H261,Services!$B$5:$B$54,0)),""))</f>
        <v>0</v>
      </c>
      <c r="P261" s="29">
        <f>IF(H261="","",IFERROR(INDEX(Services!$G$5:$G$54,MATCH(H261,Services!$B$5:$B$54,0)),0))</f>
        <v>0</v>
      </c>
      <c r="Q261" s="29">
        <f>IF(H261="","",IF(IFERROR(INDEX(Services!$H$5:$H$54,MATCH(H261,Services!$B$5:$B$54,0)),0)=0,ExtraPetFeeDefault,IFERROR(INDEX(Services!$H$5:$H$54,MATCH(H261,Services!$B$5:$B$54,0)),0)))</f>
        <v>0</v>
      </c>
      <c r="R261" s="30">
        <f>IF(H261="","",IF(IFERROR(INDEX(Services!$I$5:$I$54,MATCH(H261,Services!$B$5:$B$54,0)),0)=0,HolidaySurcharge,IFERROR(INDEX(Services!$I$5:$I$54,MATCH(H261,Services!$B$5:$B$54,0)),0)))</f>
        <v>0</v>
      </c>
      <c r="S261" s="30">
        <f>IF(H261="","",IF(IFERROR(INDEX(Services!$J$5:$J$54,MATCH(H261,Services!$B$5:$B$54,0)),0)=0,WeekendSurcharge,IFERROR(INDEX(Services!$J$5:$J$54,MATCH(H261,Services!$B$5:$B$54,0)),0)))</f>
        <v>0</v>
      </c>
      <c r="T261" s="50">
        <f>IF(H261="","",IFERROR(INDEX(Services!$K$5:$K$54,MATCH(H261,Services!$B$5:$B$54,0)),"No"))</f>
        <v>0</v>
      </c>
      <c r="U261" s="29">
        <f>IF(H261="","",ROUND(IF(O261="Per hour",P261*IF(M261="",IF(N261="",1,N261),M261),P261*IF(N261="",1,N261)),2))</f>
        <v>0</v>
      </c>
      <c r="V261" s="29">
        <f>IF(H261="","",ROUND(MAX(0,IF(G261="",1,G261)-1)*Q261,2))</f>
        <v>0</v>
      </c>
      <c r="W261" s="50">
        <f>IF(I261="","",IF(COUNTIF(HolidayDates,I261)&gt;0,"Yes","No"))</f>
        <v>0</v>
      </c>
      <c r="X261" s="50">
        <f>IF(I261="","",IF(WEEKDAY(I261,2)&gt;5,"Yes","No"))</f>
        <v>0</v>
      </c>
      <c r="Y261" s="29">
        <f>IF(H261="","",ROUND((U261+V261)*(IF(W261="Yes",R261,0)+IF(X261="Yes",S261,0)),2))</f>
        <v>0</v>
      </c>
      <c r="AA261" s="29">
        <f>IF(H261="","",IF(T261&lt;&gt;"Yes",0,ROUND(MAX(0,IF(Z261="",0,Z261)-FreeTravelDistance)*TravelFeeRate,2)))</f>
        <v>0</v>
      </c>
      <c r="AB261" s="31">
        <f>IF(I261="","",TravelTimeMins)</f>
        <v>0</v>
      </c>
      <c r="AC261" s="29">
        <f>IF(OR(I261="",B261=""),0,IF(I261-B261&lt;=LastMinuteDays,EmergencyFee,0))</f>
        <v>0</v>
      </c>
      <c r="AF261" s="29">
        <f>IF(H261="","",ROUND((U261+V261+Y261+AA261+AC261)*IF(AE261="",0,AE261),2))</f>
        <v>0</v>
      </c>
      <c r="AI261" s="29">
        <f>IF(H261="","",IF(AG261&lt;&gt;"",AG261,ROUND(U261+V261+Y261+AA261+AC261-AF261,2)))</f>
        <v>0</v>
      </c>
      <c r="AJ261" s="29">
        <f>IF(AI261="","",IF(TaxRegistered&lt;&gt;"Yes",0,IF(PricesIncludeTax="Yes",ROUND(AI261-AI261/(1+TaxRate),2),ROUND(AI261*TaxRate,2))))</f>
        <v>0</v>
      </c>
      <c r="AK261" s="29">
        <f>IF(AI261="","",IF(PricesIncludeTax="Yes",AI261,ROUND(AI261+AJ261,2)))</f>
        <v>0</v>
      </c>
      <c r="AQ261" s="21">
        <f>IF(OR(I261="",AP261="",AP261="None"),"",IF(AP261="Monthly",EDATE(I261,1),I261+IF(AP261="Daily",1,IF(AP261="Weekdays",IF(WEEKDAY(I261,2)&gt;=5,8-WEEKDAY(I261,2),1),IF(AP261="Weekly",7,IF(AP261="Fortnightly",14,0))))))</f>
        <v>0</v>
      </c>
      <c r="AR261" s="49">
        <f>IF(OR(I261="",AL261="",K261="",L261=""),"",IF(SUMPRODUCT((Bookings!$AL$5:$AL$404=AL261)*(Bookings!$I$5:$I$404=I261)*(Bookings!$K$5:$K$404&lt;L261)*(Bookings!$L$5:$L$404&gt;K261)*(Bookings!$AM$5:$AM$404&lt;&gt;"Cancelled"))&gt;1,"Conflict - double booked","OK"))</f>
        <v>0</v>
      </c>
      <c r="AS261" s="50">
        <f>IF(A261="","",IF(COUNTIF('Visit Log'!$B$5:$B$404,A261)&gt;0,"Yes","No"))</f>
        <v>0</v>
      </c>
      <c r="AT261" s="28">
        <f>IF(A261="","",IFERROR(INDEX(Invoices!$A$5:$A$304,MATCH(A261,Invoices!$E$5:$E$304,0)),""))</f>
        <v>0</v>
      </c>
      <c r="AU261" s="49">
        <f>IF(A261="","",IF(AT261="","Not invoiced",IFERROR(INDEX(Invoices!$U$5:$U$304,MATCH(AT261,Invoices!$A$5:$A$304,0)),"")))</f>
        <v>0</v>
      </c>
      <c r="AY261" s="28">
        <f>IF(I261="","",TEXT(I261,"yyyy-mm"))</f>
        <v>0</v>
      </c>
      <c r="AZ261" s="49">
        <f>IF(I261="","",IF(AM261="Cancelled","Cancelled",IF(AND(I261&lt;TODAY(),OR(AM261="Pending",AM261="Confirmed",AM261="Enquiry")),"Overdue - update status",IF(AND(AM261="Completed",AS261="No"),"Action - log the visit",IF(I261=TODAY(),"Today",IF(AND(I261&gt;TODAY(),I261-TODAY()&lt;=ReminderLeadDays,AN261&lt;&gt;"Yes"),"Action - unconfirmed",IF(AND(I261&gt;TODAY(),I261-TODAY()&lt;=ReminderLeadDays),"Upcoming","OK")))))))</f>
        <v>0</v>
      </c>
    </row>
    <row r="262" spans="1:52">
      <c r="A262" s="46">
        <f>IF(C262="","",BookingPrefix&amp;TEXT(ROW()-4,"0000"))</f>
        <v>0</v>
      </c>
      <c r="D262" s="28">
        <f>IF(C262="","",IFERROR(INDEX(Clients!$A$5:$A$254,MATCH(C262,Clients!$B$5:$B$254,0)),""))</f>
        <v>0</v>
      </c>
      <c r="J262" s="50">
        <f>IF(I262="","",TEXT(I262,"ddd"))</f>
        <v>0</v>
      </c>
      <c r="M262" s="51">
        <f>IF(OR(K262="",L262=""),"",ROUND((L262-K262+IF(L262&lt;K262,1,0))*24,2))</f>
        <v>0</v>
      </c>
      <c r="O262" s="28">
        <f>IF(H262="","",IFERROR(INDEX(Services!$E$5:$E$54,MATCH(H262,Services!$B$5:$B$54,0)),""))</f>
        <v>0</v>
      </c>
      <c r="P262" s="29">
        <f>IF(H262="","",IFERROR(INDEX(Services!$G$5:$G$54,MATCH(H262,Services!$B$5:$B$54,0)),0))</f>
        <v>0</v>
      </c>
      <c r="Q262" s="29">
        <f>IF(H262="","",IF(IFERROR(INDEX(Services!$H$5:$H$54,MATCH(H262,Services!$B$5:$B$54,0)),0)=0,ExtraPetFeeDefault,IFERROR(INDEX(Services!$H$5:$H$54,MATCH(H262,Services!$B$5:$B$54,0)),0)))</f>
        <v>0</v>
      </c>
      <c r="R262" s="30">
        <f>IF(H262="","",IF(IFERROR(INDEX(Services!$I$5:$I$54,MATCH(H262,Services!$B$5:$B$54,0)),0)=0,HolidaySurcharge,IFERROR(INDEX(Services!$I$5:$I$54,MATCH(H262,Services!$B$5:$B$54,0)),0)))</f>
        <v>0</v>
      </c>
      <c r="S262" s="30">
        <f>IF(H262="","",IF(IFERROR(INDEX(Services!$J$5:$J$54,MATCH(H262,Services!$B$5:$B$54,0)),0)=0,WeekendSurcharge,IFERROR(INDEX(Services!$J$5:$J$54,MATCH(H262,Services!$B$5:$B$54,0)),0)))</f>
        <v>0</v>
      </c>
      <c r="T262" s="50">
        <f>IF(H262="","",IFERROR(INDEX(Services!$K$5:$K$54,MATCH(H262,Services!$B$5:$B$54,0)),"No"))</f>
        <v>0</v>
      </c>
      <c r="U262" s="29">
        <f>IF(H262="","",ROUND(IF(O262="Per hour",P262*IF(M262="",IF(N262="",1,N262),M262),P262*IF(N262="",1,N262)),2))</f>
        <v>0</v>
      </c>
      <c r="V262" s="29">
        <f>IF(H262="","",ROUND(MAX(0,IF(G262="",1,G262)-1)*Q262,2))</f>
        <v>0</v>
      </c>
      <c r="W262" s="50">
        <f>IF(I262="","",IF(COUNTIF(HolidayDates,I262)&gt;0,"Yes","No"))</f>
        <v>0</v>
      </c>
      <c r="X262" s="50">
        <f>IF(I262="","",IF(WEEKDAY(I262,2)&gt;5,"Yes","No"))</f>
        <v>0</v>
      </c>
      <c r="Y262" s="29">
        <f>IF(H262="","",ROUND((U262+V262)*(IF(W262="Yes",R262,0)+IF(X262="Yes",S262,0)),2))</f>
        <v>0</v>
      </c>
      <c r="AA262" s="29">
        <f>IF(H262="","",IF(T262&lt;&gt;"Yes",0,ROUND(MAX(0,IF(Z262="",0,Z262)-FreeTravelDistance)*TravelFeeRate,2)))</f>
        <v>0</v>
      </c>
      <c r="AB262" s="31">
        <f>IF(I262="","",TravelTimeMins)</f>
        <v>0</v>
      </c>
      <c r="AC262" s="29">
        <f>IF(OR(I262="",B262=""),0,IF(I262-B262&lt;=LastMinuteDays,EmergencyFee,0))</f>
        <v>0</v>
      </c>
      <c r="AF262" s="29">
        <f>IF(H262="","",ROUND((U262+V262+Y262+AA262+AC262)*IF(AE262="",0,AE262),2))</f>
        <v>0</v>
      </c>
      <c r="AI262" s="29">
        <f>IF(H262="","",IF(AG262&lt;&gt;"",AG262,ROUND(U262+V262+Y262+AA262+AC262-AF262,2)))</f>
        <v>0</v>
      </c>
      <c r="AJ262" s="29">
        <f>IF(AI262="","",IF(TaxRegistered&lt;&gt;"Yes",0,IF(PricesIncludeTax="Yes",ROUND(AI262-AI262/(1+TaxRate),2),ROUND(AI262*TaxRate,2))))</f>
        <v>0</v>
      </c>
      <c r="AK262" s="29">
        <f>IF(AI262="","",IF(PricesIncludeTax="Yes",AI262,ROUND(AI262+AJ262,2)))</f>
        <v>0</v>
      </c>
      <c r="AQ262" s="21">
        <f>IF(OR(I262="",AP262="",AP262="None"),"",IF(AP262="Monthly",EDATE(I262,1),I262+IF(AP262="Daily",1,IF(AP262="Weekdays",IF(WEEKDAY(I262,2)&gt;=5,8-WEEKDAY(I262,2),1),IF(AP262="Weekly",7,IF(AP262="Fortnightly",14,0))))))</f>
        <v>0</v>
      </c>
      <c r="AR262" s="49">
        <f>IF(OR(I262="",AL262="",K262="",L262=""),"",IF(SUMPRODUCT((Bookings!$AL$5:$AL$404=AL262)*(Bookings!$I$5:$I$404=I262)*(Bookings!$K$5:$K$404&lt;L262)*(Bookings!$L$5:$L$404&gt;K262)*(Bookings!$AM$5:$AM$404&lt;&gt;"Cancelled"))&gt;1,"Conflict - double booked","OK"))</f>
        <v>0</v>
      </c>
      <c r="AS262" s="50">
        <f>IF(A262="","",IF(COUNTIF('Visit Log'!$B$5:$B$404,A262)&gt;0,"Yes","No"))</f>
        <v>0</v>
      </c>
      <c r="AT262" s="28">
        <f>IF(A262="","",IFERROR(INDEX(Invoices!$A$5:$A$304,MATCH(A262,Invoices!$E$5:$E$304,0)),""))</f>
        <v>0</v>
      </c>
      <c r="AU262" s="49">
        <f>IF(A262="","",IF(AT262="","Not invoiced",IFERROR(INDEX(Invoices!$U$5:$U$304,MATCH(AT262,Invoices!$A$5:$A$304,0)),"")))</f>
        <v>0</v>
      </c>
      <c r="AY262" s="28">
        <f>IF(I262="","",TEXT(I262,"yyyy-mm"))</f>
        <v>0</v>
      </c>
      <c r="AZ262" s="49">
        <f>IF(I262="","",IF(AM262="Cancelled","Cancelled",IF(AND(I262&lt;TODAY(),OR(AM262="Pending",AM262="Confirmed",AM262="Enquiry")),"Overdue - update status",IF(AND(AM262="Completed",AS262="No"),"Action - log the visit",IF(I262=TODAY(),"Today",IF(AND(I262&gt;TODAY(),I262-TODAY()&lt;=ReminderLeadDays,AN262&lt;&gt;"Yes"),"Action - unconfirmed",IF(AND(I262&gt;TODAY(),I262-TODAY()&lt;=ReminderLeadDays),"Upcoming","OK")))))))</f>
        <v>0</v>
      </c>
    </row>
    <row r="263" spans="1:52">
      <c r="A263" s="46">
        <f>IF(C263="","",BookingPrefix&amp;TEXT(ROW()-4,"0000"))</f>
        <v>0</v>
      </c>
      <c r="D263" s="28">
        <f>IF(C263="","",IFERROR(INDEX(Clients!$A$5:$A$254,MATCH(C263,Clients!$B$5:$B$254,0)),""))</f>
        <v>0</v>
      </c>
      <c r="J263" s="50">
        <f>IF(I263="","",TEXT(I263,"ddd"))</f>
        <v>0</v>
      </c>
      <c r="M263" s="51">
        <f>IF(OR(K263="",L263=""),"",ROUND((L263-K263+IF(L263&lt;K263,1,0))*24,2))</f>
        <v>0</v>
      </c>
      <c r="O263" s="28">
        <f>IF(H263="","",IFERROR(INDEX(Services!$E$5:$E$54,MATCH(H263,Services!$B$5:$B$54,0)),""))</f>
        <v>0</v>
      </c>
      <c r="P263" s="29">
        <f>IF(H263="","",IFERROR(INDEX(Services!$G$5:$G$54,MATCH(H263,Services!$B$5:$B$54,0)),0))</f>
        <v>0</v>
      </c>
      <c r="Q263" s="29">
        <f>IF(H263="","",IF(IFERROR(INDEX(Services!$H$5:$H$54,MATCH(H263,Services!$B$5:$B$54,0)),0)=0,ExtraPetFeeDefault,IFERROR(INDEX(Services!$H$5:$H$54,MATCH(H263,Services!$B$5:$B$54,0)),0)))</f>
        <v>0</v>
      </c>
      <c r="R263" s="30">
        <f>IF(H263="","",IF(IFERROR(INDEX(Services!$I$5:$I$54,MATCH(H263,Services!$B$5:$B$54,0)),0)=0,HolidaySurcharge,IFERROR(INDEX(Services!$I$5:$I$54,MATCH(H263,Services!$B$5:$B$54,0)),0)))</f>
        <v>0</v>
      </c>
      <c r="S263" s="30">
        <f>IF(H263="","",IF(IFERROR(INDEX(Services!$J$5:$J$54,MATCH(H263,Services!$B$5:$B$54,0)),0)=0,WeekendSurcharge,IFERROR(INDEX(Services!$J$5:$J$54,MATCH(H263,Services!$B$5:$B$54,0)),0)))</f>
        <v>0</v>
      </c>
      <c r="T263" s="50">
        <f>IF(H263="","",IFERROR(INDEX(Services!$K$5:$K$54,MATCH(H263,Services!$B$5:$B$54,0)),"No"))</f>
        <v>0</v>
      </c>
      <c r="U263" s="29">
        <f>IF(H263="","",ROUND(IF(O263="Per hour",P263*IF(M263="",IF(N263="",1,N263),M263),P263*IF(N263="",1,N263)),2))</f>
        <v>0</v>
      </c>
      <c r="V263" s="29">
        <f>IF(H263="","",ROUND(MAX(0,IF(G263="",1,G263)-1)*Q263,2))</f>
        <v>0</v>
      </c>
      <c r="W263" s="50">
        <f>IF(I263="","",IF(COUNTIF(HolidayDates,I263)&gt;0,"Yes","No"))</f>
        <v>0</v>
      </c>
      <c r="X263" s="50">
        <f>IF(I263="","",IF(WEEKDAY(I263,2)&gt;5,"Yes","No"))</f>
        <v>0</v>
      </c>
      <c r="Y263" s="29">
        <f>IF(H263="","",ROUND((U263+V263)*(IF(W263="Yes",R263,0)+IF(X263="Yes",S263,0)),2))</f>
        <v>0</v>
      </c>
      <c r="AA263" s="29">
        <f>IF(H263="","",IF(T263&lt;&gt;"Yes",0,ROUND(MAX(0,IF(Z263="",0,Z263)-FreeTravelDistance)*TravelFeeRate,2)))</f>
        <v>0</v>
      </c>
      <c r="AB263" s="31">
        <f>IF(I263="","",TravelTimeMins)</f>
        <v>0</v>
      </c>
      <c r="AC263" s="29">
        <f>IF(OR(I263="",B263=""),0,IF(I263-B263&lt;=LastMinuteDays,EmergencyFee,0))</f>
        <v>0</v>
      </c>
      <c r="AF263" s="29">
        <f>IF(H263="","",ROUND((U263+V263+Y263+AA263+AC263)*IF(AE263="",0,AE263),2))</f>
        <v>0</v>
      </c>
      <c r="AI263" s="29">
        <f>IF(H263="","",IF(AG263&lt;&gt;"",AG263,ROUND(U263+V263+Y263+AA263+AC263-AF263,2)))</f>
        <v>0</v>
      </c>
      <c r="AJ263" s="29">
        <f>IF(AI263="","",IF(TaxRegistered&lt;&gt;"Yes",0,IF(PricesIncludeTax="Yes",ROUND(AI263-AI263/(1+TaxRate),2),ROUND(AI263*TaxRate,2))))</f>
        <v>0</v>
      </c>
      <c r="AK263" s="29">
        <f>IF(AI263="","",IF(PricesIncludeTax="Yes",AI263,ROUND(AI263+AJ263,2)))</f>
        <v>0</v>
      </c>
      <c r="AQ263" s="21">
        <f>IF(OR(I263="",AP263="",AP263="None"),"",IF(AP263="Monthly",EDATE(I263,1),I263+IF(AP263="Daily",1,IF(AP263="Weekdays",IF(WEEKDAY(I263,2)&gt;=5,8-WEEKDAY(I263,2),1),IF(AP263="Weekly",7,IF(AP263="Fortnightly",14,0))))))</f>
        <v>0</v>
      </c>
      <c r="AR263" s="49">
        <f>IF(OR(I263="",AL263="",K263="",L263=""),"",IF(SUMPRODUCT((Bookings!$AL$5:$AL$404=AL263)*(Bookings!$I$5:$I$404=I263)*(Bookings!$K$5:$K$404&lt;L263)*(Bookings!$L$5:$L$404&gt;K263)*(Bookings!$AM$5:$AM$404&lt;&gt;"Cancelled"))&gt;1,"Conflict - double booked","OK"))</f>
        <v>0</v>
      </c>
      <c r="AS263" s="50">
        <f>IF(A263="","",IF(COUNTIF('Visit Log'!$B$5:$B$404,A263)&gt;0,"Yes","No"))</f>
        <v>0</v>
      </c>
      <c r="AT263" s="28">
        <f>IF(A263="","",IFERROR(INDEX(Invoices!$A$5:$A$304,MATCH(A263,Invoices!$E$5:$E$304,0)),""))</f>
        <v>0</v>
      </c>
      <c r="AU263" s="49">
        <f>IF(A263="","",IF(AT263="","Not invoiced",IFERROR(INDEX(Invoices!$U$5:$U$304,MATCH(AT263,Invoices!$A$5:$A$304,0)),"")))</f>
        <v>0</v>
      </c>
      <c r="AY263" s="28">
        <f>IF(I263="","",TEXT(I263,"yyyy-mm"))</f>
        <v>0</v>
      </c>
      <c r="AZ263" s="49">
        <f>IF(I263="","",IF(AM263="Cancelled","Cancelled",IF(AND(I263&lt;TODAY(),OR(AM263="Pending",AM263="Confirmed",AM263="Enquiry")),"Overdue - update status",IF(AND(AM263="Completed",AS263="No"),"Action - log the visit",IF(I263=TODAY(),"Today",IF(AND(I263&gt;TODAY(),I263-TODAY()&lt;=ReminderLeadDays,AN263&lt;&gt;"Yes"),"Action - unconfirmed",IF(AND(I263&gt;TODAY(),I263-TODAY()&lt;=ReminderLeadDays),"Upcoming","OK")))))))</f>
        <v>0</v>
      </c>
    </row>
    <row r="264" spans="1:52">
      <c r="A264" s="46">
        <f>IF(C264="","",BookingPrefix&amp;TEXT(ROW()-4,"0000"))</f>
        <v>0</v>
      </c>
      <c r="D264" s="28">
        <f>IF(C264="","",IFERROR(INDEX(Clients!$A$5:$A$254,MATCH(C264,Clients!$B$5:$B$254,0)),""))</f>
        <v>0</v>
      </c>
      <c r="J264" s="50">
        <f>IF(I264="","",TEXT(I264,"ddd"))</f>
        <v>0</v>
      </c>
      <c r="M264" s="51">
        <f>IF(OR(K264="",L264=""),"",ROUND((L264-K264+IF(L264&lt;K264,1,0))*24,2))</f>
        <v>0</v>
      </c>
      <c r="O264" s="28">
        <f>IF(H264="","",IFERROR(INDEX(Services!$E$5:$E$54,MATCH(H264,Services!$B$5:$B$54,0)),""))</f>
        <v>0</v>
      </c>
      <c r="P264" s="29">
        <f>IF(H264="","",IFERROR(INDEX(Services!$G$5:$G$54,MATCH(H264,Services!$B$5:$B$54,0)),0))</f>
        <v>0</v>
      </c>
      <c r="Q264" s="29">
        <f>IF(H264="","",IF(IFERROR(INDEX(Services!$H$5:$H$54,MATCH(H264,Services!$B$5:$B$54,0)),0)=0,ExtraPetFeeDefault,IFERROR(INDEX(Services!$H$5:$H$54,MATCH(H264,Services!$B$5:$B$54,0)),0)))</f>
        <v>0</v>
      </c>
      <c r="R264" s="30">
        <f>IF(H264="","",IF(IFERROR(INDEX(Services!$I$5:$I$54,MATCH(H264,Services!$B$5:$B$54,0)),0)=0,HolidaySurcharge,IFERROR(INDEX(Services!$I$5:$I$54,MATCH(H264,Services!$B$5:$B$54,0)),0)))</f>
        <v>0</v>
      </c>
      <c r="S264" s="30">
        <f>IF(H264="","",IF(IFERROR(INDEX(Services!$J$5:$J$54,MATCH(H264,Services!$B$5:$B$54,0)),0)=0,WeekendSurcharge,IFERROR(INDEX(Services!$J$5:$J$54,MATCH(H264,Services!$B$5:$B$54,0)),0)))</f>
        <v>0</v>
      </c>
      <c r="T264" s="50">
        <f>IF(H264="","",IFERROR(INDEX(Services!$K$5:$K$54,MATCH(H264,Services!$B$5:$B$54,0)),"No"))</f>
        <v>0</v>
      </c>
      <c r="U264" s="29">
        <f>IF(H264="","",ROUND(IF(O264="Per hour",P264*IF(M264="",IF(N264="",1,N264),M264),P264*IF(N264="",1,N264)),2))</f>
        <v>0</v>
      </c>
      <c r="V264" s="29">
        <f>IF(H264="","",ROUND(MAX(0,IF(G264="",1,G264)-1)*Q264,2))</f>
        <v>0</v>
      </c>
      <c r="W264" s="50">
        <f>IF(I264="","",IF(COUNTIF(HolidayDates,I264)&gt;0,"Yes","No"))</f>
        <v>0</v>
      </c>
      <c r="X264" s="50">
        <f>IF(I264="","",IF(WEEKDAY(I264,2)&gt;5,"Yes","No"))</f>
        <v>0</v>
      </c>
      <c r="Y264" s="29">
        <f>IF(H264="","",ROUND((U264+V264)*(IF(W264="Yes",R264,0)+IF(X264="Yes",S264,0)),2))</f>
        <v>0</v>
      </c>
      <c r="AA264" s="29">
        <f>IF(H264="","",IF(T264&lt;&gt;"Yes",0,ROUND(MAX(0,IF(Z264="",0,Z264)-FreeTravelDistance)*TravelFeeRate,2)))</f>
        <v>0</v>
      </c>
      <c r="AB264" s="31">
        <f>IF(I264="","",TravelTimeMins)</f>
        <v>0</v>
      </c>
      <c r="AC264" s="29">
        <f>IF(OR(I264="",B264=""),0,IF(I264-B264&lt;=LastMinuteDays,EmergencyFee,0))</f>
        <v>0</v>
      </c>
      <c r="AF264" s="29">
        <f>IF(H264="","",ROUND((U264+V264+Y264+AA264+AC264)*IF(AE264="",0,AE264),2))</f>
        <v>0</v>
      </c>
      <c r="AI264" s="29">
        <f>IF(H264="","",IF(AG264&lt;&gt;"",AG264,ROUND(U264+V264+Y264+AA264+AC264-AF264,2)))</f>
        <v>0</v>
      </c>
      <c r="AJ264" s="29">
        <f>IF(AI264="","",IF(TaxRegistered&lt;&gt;"Yes",0,IF(PricesIncludeTax="Yes",ROUND(AI264-AI264/(1+TaxRate),2),ROUND(AI264*TaxRate,2))))</f>
        <v>0</v>
      </c>
      <c r="AK264" s="29">
        <f>IF(AI264="","",IF(PricesIncludeTax="Yes",AI264,ROUND(AI264+AJ264,2)))</f>
        <v>0</v>
      </c>
      <c r="AQ264" s="21">
        <f>IF(OR(I264="",AP264="",AP264="None"),"",IF(AP264="Monthly",EDATE(I264,1),I264+IF(AP264="Daily",1,IF(AP264="Weekdays",IF(WEEKDAY(I264,2)&gt;=5,8-WEEKDAY(I264,2),1),IF(AP264="Weekly",7,IF(AP264="Fortnightly",14,0))))))</f>
        <v>0</v>
      </c>
      <c r="AR264" s="49">
        <f>IF(OR(I264="",AL264="",K264="",L264=""),"",IF(SUMPRODUCT((Bookings!$AL$5:$AL$404=AL264)*(Bookings!$I$5:$I$404=I264)*(Bookings!$K$5:$K$404&lt;L264)*(Bookings!$L$5:$L$404&gt;K264)*(Bookings!$AM$5:$AM$404&lt;&gt;"Cancelled"))&gt;1,"Conflict - double booked","OK"))</f>
        <v>0</v>
      </c>
      <c r="AS264" s="50">
        <f>IF(A264="","",IF(COUNTIF('Visit Log'!$B$5:$B$404,A264)&gt;0,"Yes","No"))</f>
        <v>0</v>
      </c>
      <c r="AT264" s="28">
        <f>IF(A264="","",IFERROR(INDEX(Invoices!$A$5:$A$304,MATCH(A264,Invoices!$E$5:$E$304,0)),""))</f>
        <v>0</v>
      </c>
      <c r="AU264" s="49">
        <f>IF(A264="","",IF(AT264="","Not invoiced",IFERROR(INDEX(Invoices!$U$5:$U$304,MATCH(AT264,Invoices!$A$5:$A$304,0)),"")))</f>
        <v>0</v>
      </c>
      <c r="AY264" s="28">
        <f>IF(I264="","",TEXT(I264,"yyyy-mm"))</f>
        <v>0</v>
      </c>
      <c r="AZ264" s="49">
        <f>IF(I264="","",IF(AM264="Cancelled","Cancelled",IF(AND(I264&lt;TODAY(),OR(AM264="Pending",AM264="Confirmed",AM264="Enquiry")),"Overdue - update status",IF(AND(AM264="Completed",AS264="No"),"Action - log the visit",IF(I264=TODAY(),"Today",IF(AND(I264&gt;TODAY(),I264-TODAY()&lt;=ReminderLeadDays,AN264&lt;&gt;"Yes"),"Action - unconfirmed",IF(AND(I264&gt;TODAY(),I264-TODAY()&lt;=ReminderLeadDays),"Upcoming","OK")))))))</f>
        <v>0</v>
      </c>
    </row>
    <row r="265" spans="1:52">
      <c r="A265" s="46">
        <f>IF(C265="","",BookingPrefix&amp;TEXT(ROW()-4,"0000"))</f>
        <v>0</v>
      </c>
      <c r="D265" s="28">
        <f>IF(C265="","",IFERROR(INDEX(Clients!$A$5:$A$254,MATCH(C265,Clients!$B$5:$B$254,0)),""))</f>
        <v>0</v>
      </c>
      <c r="J265" s="50">
        <f>IF(I265="","",TEXT(I265,"ddd"))</f>
        <v>0</v>
      </c>
      <c r="M265" s="51">
        <f>IF(OR(K265="",L265=""),"",ROUND((L265-K265+IF(L265&lt;K265,1,0))*24,2))</f>
        <v>0</v>
      </c>
      <c r="O265" s="28">
        <f>IF(H265="","",IFERROR(INDEX(Services!$E$5:$E$54,MATCH(H265,Services!$B$5:$B$54,0)),""))</f>
        <v>0</v>
      </c>
      <c r="P265" s="29">
        <f>IF(H265="","",IFERROR(INDEX(Services!$G$5:$G$54,MATCH(H265,Services!$B$5:$B$54,0)),0))</f>
        <v>0</v>
      </c>
      <c r="Q265" s="29">
        <f>IF(H265="","",IF(IFERROR(INDEX(Services!$H$5:$H$54,MATCH(H265,Services!$B$5:$B$54,0)),0)=0,ExtraPetFeeDefault,IFERROR(INDEX(Services!$H$5:$H$54,MATCH(H265,Services!$B$5:$B$54,0)),0)))</f>
        <v>0</v>
      </c>
      <c r="R265" s="30">
        <f>IF(H265="","",IF(IFERROR(INDEX(Services!$I$5:$I$54,MATCH(H265,Services!$B$5:$B$54,0)),0)=0,HolidaySurcharge,IFERROR(INDEX(Services!$I$5:$I$54,MATCH(H265,Services!$B$5:$B$54,0)),0)))</f>
        <v>0</v>
      </c>
      <c r="S265" s="30">
        <f>IF(H265="","",IF(IFERROR(INDEX(Services!$J$5:$J$54,MATCH(H265,Services!$B$5:$B$54,0)),0)=0,WeekendSurcharge,IFERROR(INDEX(Services!$J$5:$J$54,MATCH(H265,Services!$B$5:$B$54,0)),0)))</f>
        <v>0</v>
      </c>
      <c r="T265" s="50">
        <f>IF(H265="","",IFERROR(INDEX(Services!$K$5:$K$54,MATCH(H265,Services!$B$5:$B$54,0)),"No"))</f>
        <v>0</v>
      </c>
      <c r="U265" s="29">
        <f>IF(H265="","",ROUND(IF(O265="Per hour",P265*IF(M265="",IF(N265="",1,N265),M265),P265*IF(N265="",1,N265)),2))</f>
        <v>0</v>
      </c>
      <c r="V265" s="29">
        <f>IF(H265="","",ROUND(MAX(0,IF(G265="",1,G265)-1)*Q265,2))</f>
        <v>0</v>
      </c>
      <c r="W265" s="50">
        <f>IF(I265="","",IF(COUNTIF(HolidayDates,I265)&gt;0,"Yes","No"))</f>
        <v>0</v>
      </c>
      <c r="X265" s="50">
        <f>IF(I265="","",IF(WEEKDAY(I265,2)&gt;5,"Yes","No"))</f>
        <v>0</v>
      </c>
      <c r="Y265" s="29">
        <f>IF(H265="","",ROUND((U265+V265)*(IF(W265="Yes",R265,0)+IF(X265="Yes",S265,0)),2))</f>
        <v>0</v>
      </c>
      <c r="AA265" s="29">
        <f>IF(H265="","",IF(T265&lt;&gt;"Yes",0,ROUND(MAX(0,IF(Z265="",0,Z265)-FreeTravelDistance)*TravelFeeRate,2)))</f>
        <v>0</v>
      </c>
      <c r="AB265" s="31">
        <f>IF(I265="","",TravelTimeMins)</f>
        <v>0</v>
      </c>
      <c r="AC265" s="29">
        <f>IF(OR(I265="",B265=""),0,IF(I265-B265&lt;=LastMinuteDays,EmergencyFee,0))</f>
        <v>0</v>
      </c>
      <c r="AF265" s="29">
        <f>IF(H265="","",ROUND((U265+V265+Y265+AA265+AC265)*IF(AE265="",0,AE265),2))</f>
        <v>0</v>
      </c>
      <c r="AI265" s="29">
        <f>IF(H265="","",IF(AG265&lt;&gt;"",AG265,ROUND(U265+V265+Y265+AA265+AC265-AF265,2)))</f>
        <v>0</v>
      </c>
      <c r="AJ265" s="29">
        <f>IF(AI265="","",IF(TaxRegistered&lt;&gt;"Yes",0,IF(PricesIncludeTax="Yes",ROUND(AI265-AI265/(1+TaxRate),2),ROUND(AI265*TaxRate,2))))</f>
        <v>0</v>
      </c>
      <c r="AK265" s="29">
        <f>IF(AI265="","",IF(PricesIncludeTax="Yes",AI265,ROUND(AI265+AJ265,2)))</f>
        <v>0</v>
      </c>
      <c r="AQ265" s="21">
        <f>IF(OR(I265="",AP265="",AP265="None"),"",IF(AP265="Monthly",EDATE(I265,1),I265+IF(AP265="Daily",1,IF(AP265="Weekdays",IF(WEEKDAY(I265,2)&gt;=5,8-WEEKDAY(I265,2),1),IF(AP265="Weekly",7,IF(AP265="Fortnightly",14,0))))))</f>
        <v>0</v>
      </c>
      <c r="AR265" s="49">
        <f>IF(OR(I265="",AL265="",K265="",L265=""),"",IF(SUMPRODUCT((Bookings!$AL$5:$AL$404=AL265)*(Bookings!$I$5:$I$404=I265)*(Bookings!$K$5:$K$404&lt;L265)*(Bookings!$L$5:$L$404&gt;K265)*(Bookings!$AM$5:$AM$404&lt;&gt;"Cancelled"))&gt;1,"Conflict - double booked","OK"))</f>
        <v>0</v>
      </c>
      <c r="AS265" s="50">
        <f>IF(A265="","",IF(COUNTIF('Visit Log'!$B$5:$B$404,A265)&gt;0,"Yes","No"))</f>
        <v>0</v>
      </c>
      <c r="AT265" s="28">
        <f>IF(A265="","",IFERROR(INDEX(Invoices!$A$5:$A$304,MATCH(A265,Invoices!$E$5:$E$304,0)),""))</f>
        <v>0</v>
      </c>
      <c r="AU265" s="49">
        <f>IF(A265="","",IF(AT265="","Not invoiced",IFERROR(INDEX(Invoices!$U$5:$U$304,MATCH(AT265,Invoices!$A$5:$A$304,0)),"")))</f>
        <v>0</v>
      </c>
      <c r="AY265" s="28">
        <f>IF(I265="","",TEXT(I265,"yyyy-mm"))</f>
        <v>0</v>
      </c>
      <c r="AZ265" s="49">
        <f>IF(I265="","",IF(AM265="Cancelled","Cancelled",IF(AND(I265&lt;TODAY(),OR(AM265="Pending",AM265="Confirmed",AM265="Enquiry")),"Overdue - update status",IF(AND(AM265="Completed",AS265="No"),"Action - log the visit",IF(I265=TODAY(),"Today",IF(AND(I265&gt;TODAY(),I265-TODAY()&lt;=ReminderLeadDays,AN265&lt;&gt;"Yes"),"Action - unconfirmed",IF(AND(I265&gt;TODAY(),I265-TODAY()&lt;=ReminderLeadDays),"Upcoming","OK")))))))</f>
        <v>0</v>
      </c>
    </row>
    <row r="266" spans="1:52">
      <c r="A266" s="46">
        <f>IF(C266="","",BookingPrefix&amp;TEXT(ROW()-4,"0000"))</f>
        <v>0</v>
      </c>
      <c r="D266" s="28">
        <f>IF(C266="","",IFERROR(INDEX(Clients!$A$5:$A$254,MATCH(C266,Clients!$B$5:$B$254,0)),""))</f>
        <v>0</v>
      </c>
      <c r="J266" s="50">
        <f>IF(I266="","",TEXT(I266,"ddd"))</f>
        <v>0</v>
      </c>
      <c r="M266" s="51">
        <f>IF(OR(K266="",L266=""),"",ROUND((L266-K266+IF(L266&lt;K266,1,0))*24,2))</f>
        <v>0</v>
      </c>
      <c r="O266" s="28">
        <f>IF(H266="","",IFERROR(INDEX(Services!$E$5:$E$54,MATCH(H266,Services!$B$5:$B$54,0)),""))</f>
        <v>0</v>
      </c>
      <c r="P266" s="29">
        <f>IF(H266="","",IFERROR(INDEX(Services!$G$5:$G$54,MATCH(H266,Services!$B$5:$B$54,0)),0))</f>
        <v>0</v>
      </c>
      <c r="Q266" s="29">
        <f>IF(H266="","",IF(IFERROR(INDEX(Services!$H$5:$H$54,MATCH(H266,Services!$B$5:$B$54,0)),0)=0,ExtraPetFeeDefault,IFERROR(INDEX(Services!$H$5:$H$54,MATCH(H266,Services!$B$5:$B$54,0)),0)))</f>
        <v>0</v>
      </c>
      <c r="R266" s="30">
        <f>IF(H266="","",IF(IFERROR(INDEX(Services!$I$5:$I$54,MATCH(H266,Services!$B$5:$B$54,0)),0)=0,HolidaySurcharge,IFERROR(INDEX(Services!$I$5:$I$54,MATCH(H266,Services!$B$5:$B$54,0)),0)))</f>
        <v>0</v>
      </c>
      <c r="S266" s="30">
        <f>IF(H266="","",IF(IFERROR(INDEX(Services!$J$5:$J$54,MATCH(H266,Services!$B$5:$B$54,0)),0)=0,WeekendSurcharge,IFERROR(INDEX(Services!$J$5:$J$54,MATCH(H266,Services!$B$5:$B$54,0)),0)))</f>
        <v>0</v>
      </c>
      <c r="T266" s="50">
        <f>IF(H266="","",IFERROR(INDEX(Services!$K$5:$K$54,MATCH(H266,Services!$B$5:$B$54,0)),"No"))</f>
        <v>0</v>
      </c>
      <c r="U266" s="29">
        <f>IF(H266="","",ROUND(IF(O266="Per hour",P266*IF(M266="",IF(N266="",1,N266),M266),P266*IF(N266="",1,N266)),2))</f>
        <v>0</v>
      </c>
      <c r="V266" s="29">
        <f>IF(H266="","",ROUND(MAX(0,IF(G266="",1,G266)-1)*Q266,2))</f>
        <v>0</v>
      </c>
      <c r="W266" s="50">
        <f>IF(I266="","",IF(COUNTIF(HolidayDates,I266)&gt;0,"Yes","No"))</f>
        <v>0</v>
      </c>
      <c r="X266" s="50">
        <f>IF(I266="","",IF(WEEKDAY(I266,2)&gt;5,"Yes","No"))</f>
        <v>0</v>
      </c>
      <c r="Y266" s="29">
        <f>IF(H266="","",ROUND((U266+V266)*(IF(W266="Yes",R266,0)+IF(X266="Yes",S266,0)),2))</f>
        <v>0</v>
      </c>
      <c r="AA266" s="29">
        <f>IF(H266="","",IF(T266&lt;&gt;"Yes",0,ROUND(MAX(0,IF(Z266="",0,Z266)-FreeTravelDistance)*TravelFeeRate,2)))</f>
        <v>0</v>
      </c>
      <c r="AB266" s="31">
        <f>IF(I266="","",TravelTimeMins)</f>
        <v>0</v>
      </c>
      <c r="AC266" s="29">
        <f>IF(OR(I266="",B266=""),0,IF(I266-B266&lt;=LastMinuteDays,EmergencyFee,0))</f>
        <v>0</v>
      </c>
      <c r="AF266" s="29">
        <f>IF(H266="","",ROUND((U266+V266+Y266+AA266+AC266)*IF(AE266="",0,AE266),2))</f>
        <v>0</v>
      </c>
      <c r="AI266" s="29">
        <f>IF(H266="","",IF(AG266&lt;&gt;"",AG266,ROUND(U266+V266+Y266+AA266+AC266-AF266,2)))</f>
        <v>0</v>
      </c>
      <c r="AJ266" s="29">
        <f>IF(AI266="","",IF(TaxRegistered&lt;&gt;"Yes",0,IF(PricesIncludeTax="Yes",ROUND(AI266-AI266/(1+TaxRate),2),ROUND(AI266*TaxRate,2))))</f>
        <v>0</v>
      </c>
      <c r="AK266" s="29">
        <f>IF(AI266="","",IF(PricesIncludeTax="Yes",AI266,ROUND(AI266+AJ266,2)))</f>
        <v>0</v>
      </c>
      <c r="AQ266" s="21">
        <f>IF(OR(I266="",AP266="",AP266="None"),"",IF(AP266="Monthly",EDATE(I266,1),I266+IF(AP266="Daily",1,IF(AP266="Weekdays",IF(WEEKDAY(I266,2)&gt;=5,8-WEEKDAY(I266,2),1),IF(AP266="Weekly",7,IF(AP266="Fortnightly",14,0))))))</f>
        <v>0</v>
      </c>
      <c r="AR266" s="49">
        <f>IF(OR(I266="",AL266="",K266="",L266=""),"",IF(SUMPRODUCT((Bookings!$AL$5:$AL$404=AL266)*(Bookings!$I$5:$I$404=I266)*(Bookings!$K$5:$K$404&lt;L266)*(Bookings!$L$5:$L$404&gt;K266)*(Bookings!$AM$5:$AM$404&lt;&gt;"Cancelled"))&gt;1,"Conflict - double booked","OK"))</f>
        <v>0</v>
      </c>
      <c r="AS266" s="50">
        <f>IF(A266="","",IF(COUNTIF('Visit Log'!$B$5:$B$404,A266)&gt;0,"Yes","No"))</f>
        <v>0</v>
      </c>
      <c r="AT266" s="28">
        <f>IF(A266="","",IFERROR(INDEX(Invoices!$A$5:$A$304,MATCH(A266,Invoices!$E$5:$E$304,0)),""))</f>
        <v>0</v>
      </c>
      <c r="AU266" s="49">
        <f>IF(A266="","",IF(AT266="","Not invoiced",IFERROR(INDEX(Invoices!$U$5:$U$304,MATCH(AT266,Invoices!$A$5:$A$304,0)),"")))</f>
        <v>0</v>
      </c>
      <c r="AY266" s="28">
        <f>IF(I266="","",TEXT(I266,"yyyy-mm"))</f>
        <v>0</v>
      </c>
      <c r="AZ266" s="49">
        <f>IF(I266="","",IF(AM266="Cancelled","Cancelled",IF(AND(I266&lt;TODAY(),OR(AM266="Pending",AM266="Confirmed",AM266="Enquiry")),"Overdue - update status",IF(AND(AM266="Completed",AS266="No"),"Action - log the visit",IF(I266=TODAY(),"Today",IF(AND(I266&gt;TODAY(),I266-TODAY()&lt;=ReminderLeadDays,AN266&lt;&gt;"Yes"),"Action - unconfirmed",IF(AND(I266&gt;TODAY(),I266-TODAY()&lt;=ReminderLeadDays),"Upcoming","OK")))))))</f>
        <v>0</v>
      </c>
    </row>
    <row r="267" spans="1:52">
      <c r="A267" s="46">
        <f>IF(C267="","",BookingPrefix&amp;TEXT(ROW()-4,"0000"))</f>
        <v>0</v>
      </c>
      <c r="D267" s="28">
        <f>IF(C267="","",IFERROR(INDEX(Clients!$A$5:$A$254,MATCH(C267,Clients!$B$5:$B$254,0)),""))</f>
        <v>0</v>
      </c>
      <c r="J267" s="50">
        <f>IF(I267="","",TEXT(I267,"ddd"))</f>
        <v>0</v>
      </c>
      <c r="M267" s="51">
        <f>IF(OR(K267="",L267=""),"",ROUND((L267-K267+IF(L267&lt;K267,1,0))*24,2))</f>
        <v>0</v>
      </c>
      <c r="O267" s="28">
        <f>IF(H267="","",IFERROR(INDEX(Services!$E$5:$E$54,MATCH(H267,Services!$B$5:$B$54,0)),""))</f>
        <v>0</v>
      </c>
      <c r="P267" s="29">
        <f>IF(H267="","",IFERROR(INDEX(Services!$G$5:$G$54,MATCH(H267,Services!$B$5:$B$54,0)),0))</f>
        <v>0</v>
      </c>
      <c r="Q267" s="29">
        <f>IF(H267="","",IF(IFERROR(INDEX(Services!$H$5:$H$54,MATCH(H267,Services!$B$5:$B$54,0)),0)=0,ExtraPetFeeDefault,IFERROR(INDEX(Services!$H$5:$H$54,MATCH(H267,Services!$B$5:$B$54,0)),0)))</f>
        <v>0</v>
      </c>
      <c r="R267" s="30">
        <f>IF(H267="","",IF(IFERROR(INDEX(Services!$I$5:$I$54,MATCH(H267,Services!$B$5:$B$54,0)),0)=0,HolidaySurcharge,IFERROR(INDEX(Services!$I$5:$I$54,MATCH(H267,Services!$B$5:$B$54,0)),0)))</f>
        <v>0</v>
      </c>
      <c r="S267" s="30">
        <f>IF(H267="","",IF(IFERROR(INDEX(Services!$J$5:$J$54,MATCH(H267,Services!$B$5:$B$54,0)),0)=0,WeekendSurcharge,IFERROR(INDEX(Services!$J$5:$J$54,MATCH(H267,Services!$B$5:$B$54,0)),0)))</f>
        <v>0</v>
      </c>
      <c r="T267" s="50">
        <f>IF(H267="","",IFERROR(INDEX(Services!$K$5:$K$54,MATCH(H267,Services!$B$5:$B$54,0)),"No"))</f>
        <v>0</v>
      </c>
      <c r="U267" s="29">
        <f>IF(H267="","",ROUND(IF(O267="Per hour",P267*IF(M267="",IF(N267="",1,N267),M267),P267*IF(N267="",1,N267)),2))</f>
        <v>0</v>
      </c>
      <c r="V267" s="29">
        <f>IF(H267="","",ROUND(MAX(0,IF(G267="",1,G267)-1)*Q267,2))</f>
        <v>0</v>
      </c>
      <c r="W267" s="50">
        <f>IF(I267="","",IF(COUNTIF(HolidayDates,I267)&gt;0,"Yes","No"))</f>
        <v>0</v>
      </c>
      <c r="X267" s="50">
        <f>IF(I267="","",IF(WEEKDAY(I267,2)&gt;5,"Yes","No"))</f>
        <v>0</v>
      </c>
      <c r="Y267" s="29">
        <f>IF(H267="","",ROUND((U267+V267)*(IF(W267="Yes",R267,0)+IF(X267="Yes",S267,0)),2))</f>
        <v>0</v>
      </c>
      <c r="AA267" s="29">
        <f>IF(H267="","",IF(T267&lt;&gt;"Yes",0,ROUND(MAX(0,IF(Z267="",0,Z267)-FreeTravelDistance)*TravelFeeRate,2)))</f>
        <v>0</v>
      </c>
      <c r="AB267" s="31">
        <f>IF(I267="","",TravelTimeMins)</f>
        <v>0</v>
      </c>
      <c r="AC267" s="29">
        <f>IF(OR(I267="",B267=""),0,IF(I267-B267&lt;=LastMinuteDays,EmergencyFee,0))</f>
        <v>0</v>
      </c>
      <c r="AF267" s="29">
        <f>IF(H267="","",ROUND((U267+V267+Y267+AA267+AC267)*IF(AE267="",0,AE267),2))</f>
        <v>0</v>
      </c>
      <c r="AI267" s="29">
        <f>IF(H267="","",IF(AG267&lt;&gt;"",AG267,ROUND(U267+V267+Y267+AA267+AC267-AF267,2)))</f>
        <v>0</v>
      </c>
      <c r="AJ267" s="29">
        <f>IF(AI267="","",IF(TaxRegistered&lt;&gt;"Yes",0,IF(PricesIncludeTax="Yes",ROUND(AI267-AI267/(1+TaxRate),2),ROUND(AI267*TaxRate,2))))</f>
        <v>0</v>
      </c>
      <c r="AK267" s="29">
        <f>IF(AI267="","",IF(PricesIncludeTax="Yes",AI267,ROUND(AI267+AJ267,2)))</f>
        <v>0</v>
      </c>
      <c r="AQ267" s="21">
        <f>IF(OR(I267="",AP267="",AP267="None"),"",IF(AP267="Monthly",EDATE(I267,1),I267+IF(AP267="Daily",1,IF(AP267="Weekdays",IF(WEEKDAY(I267,2)&gt;=5,8-WEEKDAY(I267,2),1),IF(AP267="Weekly",7,IF(AP267="Fortnightly",14,0))))))</f>
        <v>0</v>
      </c>
      <c r="AR267" s="49">
        <f>IF(OR(I267="",AL267="",K267="",L267=""),"",IF(SUMPRODUCT((Bookings!$AL$5:$AL$404=AL267)*(Bookings!$I$5:$I$404=I267)*(Bookings!$K$5:$K$404&lt;L267)*(Bookings!$L$5:$L$404&gt;K267)*(Bookings!$AM$5:$AM$404&lt;&gt;"Cancelled"))&gt;1,"Conflict - double booked","OK"))</f>
        <v>0</v>
      </c>
      <c r="AS267" s="50">
        <f>IF(A267="","",IF(COUNTIF('Visit Log'!$B$5:$B$404,A267)&gt;0,"Yes","No"))</f>
        <v>0</v>
      </c>
      <c r="AT267" s="28">
        <f>IF(A267="","",IFERROR(INDEX(Invoices!$A$5:$A$304,MATCH(A267,Invoices!$E$5:$E$304,0)),""))</f>
        <v>0</v>
      </c>
      <c r="AU267" s="49">
        <f>IF(A267="","",IF(AT267="","Not invoiced",IFERROR(INDEX(Invoices!$U$5:$U$304,MATCH(AT267,Invoices!$A$5:$A$304,0)),"")))</f>
        <v>0</v>
      </c>
      <c r="AY267" s="28">
        <f>IF(I267="","",TEXT(I267,"yyyy-mm"))</f>
        <v>0</v>
      </c>
      <c r="AZ267" s="49">
        <f>IF(I267="","",IF(AM267="Cancelled","Cancelled",IF(AND(I267&lt;TODAY(),OR(AM267="Pending",AM267="Confirmed",AM267="Enquiry")),"Overdue - update status",IF(AND(AM267="Completed",AS267="No"),"Action - log the visit",IF(I267=TODAY(),"Today",IF(AND(I267&gt;TODAY(),I267-TODAY()&lt;=ReminderLeadDays,AN267&lt;&gt;"Yes"),"Action - unconfirmed",IF(AND(I267&gt;TODAY(),I267-TODAY()&lt;=ReminderLeadDays),"Upcoming","OK")))))))</f>
        <v>0</v>
      </c>
    </row>
    <row r="268" spans="1:52">
      <c r="A268" s="46">
        <f>IF(C268="","",BookingPrefix&amp;TEXT(ROW()-4,"0000"))</f>
        <v>0</v>
      </c>
      <c r="D268" s="28">
        <f>IF(C268="","",IFERROR(INDEX(Clients!$A$5:$A$254,MATCH(C268,Clients!$B$5:$B$254,0)),""))</f>
        <v>0</v>
      </c>
      <c r="J268" s="50">
        <f>IF(I268="","",TEXT(I268,"ddd"))</f>
        <v>0</v>
      </c>
      <c r="M268" s="51">
        <f>IF(OR(K268="",L268=""),"",ROUND((L268-K268+IF(L268&lt;K268,1,0))*24,2))</f>
        <v>0</v>
      </c>
      <c r="O268" s="28">
        <f>IF(H268="","",IFERROR(INDEX(Services!$E$5:$E$54,MATCH(H268,Services!$B$5:$B$54,0)),""))</f>
        <v>0</v>
      </c>
      <c r="P268" s="29">
        <f>IF(H268="","",IFERROR(INDEX(Services!$G$5:$G$54,MATCH(H268,Services!$B$5:$B$54,0)),0))</f>
        <v>0</v>
      </c>
      <c r="Q268" s="29">
        <f>IF(H268="","",IF(IFERROR(INDEX(Services!$H$5:$H$54,MATCH(H268,Services!$B$5:$B$54,0)),0)=0,ExtraPetFeeDefault,IFERROR(INDEX(Services!$H$5:$H$54,MATCH(H268,Services!$B$5:$B$54,0)),0)))</f>
        <v>0</v>
      </c>
      <c r="R268" s="30">
        <f>IF(H268="","",IF(IFERROR(INDEX(Services!$I$5:$I$54,MATCH(H268,Services!$B$5:$B$54,0)),0)=0,HolidaySurcharge,IFERROR(INDEX(Services!$I$5:$I$54,MATCH(H268,Services!$B$5:$B$54,0)),0)))</f>
        <v>0</v>
      </c>
      <c r="S268" s="30">
        <f>IF(H268="","",IF(IFERROR(INDEX(Services!$J$5:$J$54,MATCH(H268,Services!$B$5:$B$54,0)),0)=0,WeekendSurcharge,IFERROR(INDEX(Services!$J$5:$J$54,MATCH(H268,Services!$B$5:$B$54,0)),0)))</f>
        <v>0</v>
      </c>
      <c r="T268" s="50">
        <f>IF(H268="","",IFERROR(INDEX(Services!$K$5:$K$54,MATCH(H268,Services!$B$5:$B$54,0)),"No"))</f>
        <v>0</v>
      </c>
      <c r="U268" s="29">
        <f>IF(H268="","",ROUND(IF(O268="Per hour",P268*IF(M268="",IF(N268="",1,N268),M268),P268*IF(N268="",1,N268)),2))</f>
        <v>0</v>
      </c>
      <c r="V268" s="29">
        <f>IF(H268="","",ROUND(MAX(0,IF(G268="",1,G268)-1)*Q268,2))</f>
        <v>0</v>
      </c>
      <c r="W268" s="50">
        <f>IF(I268="","",IF(COUNTIF(HolidayDates,I268)&gt;0,"Yes","No"))</f>
        <v>0</v>
      </c>
      <c r="X268" s="50">
        <f>IF(I268="","",IF(WEEKDAY(I268,2)&gt;5,"Yes","No"))</f>
        <v>0</v>
      </c>
      <c r="Y268" s="29">
        <f>IF(H268="","",ROUND((U268+V268)*(IF(W268="Yes",R268,0)+IF(X268="Yes",S268,0)),2))</f>
        <v>0</v>
      </c>
      <c r="AA268" s="29">
        <f>IF(H268="","",IF(T268&lt;&gt;"Yes",0,ROUND(MAX(0,IF(Z268="",0,Z268)-FreeTravelDistance)*TravelFeeRate,2)))</f>
        <v>0</v>
      </c>
      <c r="AB268" s="31">
        <f>IF(I268="","",TravelTimeMins)</f>
        <v>0</v>
      </c>
      <c r="AC268" s="29">
        <f>IF(OR(I268="",B268=""),0,IF(I268-B268&lt;=LastMinuteDays,EmergencyFee,0))</f>
        <v>0</v>
      </c>
      <c r="AF268" s="29">
        <f>IF(H268="","",ROUND((U268+V268+Y268+AA268+AC268)*IF(AE268="",0,AE268),2))</f>
        <v>0</v>
      </c>
      <c r="AI268" s="29">
        <f>IF(H268="","",IF(AG268&lt;&gt;"",AG268,ROUND(U268+V268+Y268+AA268+AC268-AF268,2)))</f>
        <v>0</v>
      </c>
      <c r="AJ268" s="29">
        <f>IF(AI268="","",IF(TaxRegistered&lt;&gt;"Yes",0,IF(PricesIncludeTax="Yes",ROUND(AI268-AI268/(1+TaxRate),2),ROUND(AI268*TaxRate,2))))</f>
        <v>0</v>
      </c>
      <c r="AK268" s="29">
        <f>IF(AI268="","",IF(PricesIncludeTax="Yes",AI268,ROUND(AI268+AJ268,2)))</f>
        <v>0</v>
      </c>
      <c r="AQ268" s="21">
        <f>IF(OR(I268="",AP268="",AP268="None"),"",IF(AP268="Monthly",EDATE(I268,1),I268+IF(AP268="Daily",1,IF(AP268="Weekdays",IF(WEEKDAY(I268,2)&gt;=5,8-WEEKDAY(I268,2),1),IF(AP268="Weekly",7,IF(AP268="Fortnightly",14,0))))))</f>
        <v>0</v>
      </c>
      <c r="AR268" s="49">
        <f>IF(OR(I268="",AL268="",K268="",L268=""),"",IF(SUMPRODUCT((Bookings!$AL$5:$AL$404=AL268)*(Bookings!$I$5:$I$404=I268)*(Bookings!$K$5:$K$404&lt;L268)*(Bookings!$L$5:$L$404&gt;K268)*(Bookings!$AM$5:$AM$404&lt;&gt;"Cancelled"))&gt;1,"Conflict - double booked","OK"))</f>
        <v>0</v>
      </c>
      <c r="AS268" s="50">
        <f>IF(A268="","",IF(COUNTIF('Visit Log'!$B$5:$B$404,A268)&gt;0,"Yes","No"))</f>
        <v>0</v>
      </c>
      <c r="AT268" s="28">
        <f>IF(A268="","",IFERROR(INDEX(Invoices!$A$5:$A$304,MATCH(A268,Invoices!$E$5:$E$304,0)),""))</f>
        <v>0</v>
      </c>
      <c r="AU268" s="49">
        <f>IF(A268="","",IF(AT268="","Not invoiced",IFERROR(INDEX(Invoices!$U$5:$U$304,MATCH(AT268,Invoices!$A$5:$A$304,0)),"")))</f>
        <v>0</v>
      </c>
      <c r="AY268" s="28">
        <f>IF(I268="","",TEXT(I268,"yyyy-mm"))</f>
        <v>0</v>
      </c>
      <c r="AZ268" s="49">
        <f>IF(I268="","",IF(AM268="Cancelled","Cancelled",IF(AND(I268&lt;TODAY(),OR(AM268="Pending",AM268="Confirmed",AM268="Enquiry")),"Overdue - update status",IF(AND(AM268="Completed",AS268="No"),"Action - log the visit",IF(I268=TODAY(),"Today",IF(AND(I268&gt;TODAY(),I268-TODAY()&lt;=ReminderLeadDays,AN268&lt;&gt;"Yes"),"Action - unconfirmed",IF(AND(I268&gt;TODAY(),I268-TODAY()&lt;=ReminderLeadDays),"Upcoming","OK")))))))</f>
        <v>0</v>
      </c>
    </row>
    <row r="269" spans="1:52">
      <c r="A269" s="46">
        <f>IF(C269="","",BookingPrefix&amp;TEXT(ROW()-4,"0000"))</f>
        <v>0</v>
      </c>
      <c r="D269" s="28">
        <f>IF(C269="","",IFERROR(INDEX(Clients!$A$5:$A$254,MATCH(C269,Clients!$B$5:$B$254,0)),""))</f>
        <v>0</v>
      </c>
      <c r="J269" s="50">
        <f>IF(I269="","",TEXT(I269,"ddd"))</f>
        <v>0</v>
      </c>
      <c r="M269" s="51">
        <f>IF(OR(K269="",L269=""),"",ROUND((L269-K269+IF(L269&lt;K269,1,0))*24,2))</f>
        <v>0</v>
      </c>
      <c r="O269" s="28">
        <f>IF(H269="","",IFERROR(INDEX(Services!$E$5:$E$54,MATCH(H269,Services!$B$5:$B$54,0)),""))</f>
        <v>0</v>
      </c>
      <c r="P269" s="29">
        <f>IF(H269="","",IFERROR(INDEX(Services!$G$5:$G$54,MATCH(H269,Services!$B$5:$B$54,0)),0))</f>
        <v>0</v>
      </c>
      <c r="Q269" s="29">
        <f>IF(H269="","",IF(IFERROR(INDEX(Services!$H$5:$H$54,MATCH(H269,Services!$B$5:$B$54,0)),0)=0,ExtraPetFeeDefault,IFERROR(INDEX(Services!$H$5:$H$54,MATCH(H269,Services!$B$5:$B$54,0)),0)))</f>
        <v>0</v>
      </c>
      <c r="R269" s="30">
        <f>IF(H269="","",IF(IFERROR(INDEX(Services!$I$5:$I$54,MATCH(H269,Services!$B$5:$B$54,0)),0)=0,HolidaySurcharge,IFERROR(INDEX(Services!$I$5:$I$54,MATCH(H269,Services!$B$5:$B$54,0)),0)))</f>
        <v>0</v>
      </c>
      <c r="S269" s="30">
        <f>IF(H269="","",IF(IFERROR(INDEX(Services!$J$5:$J$54,MATCH(H269,Services!$B$5:$B$54,0)),0)=0,WeekendSurcharge,IFERROR(INDEX(Services!$J$5:$J$54,MATCH(H269,Services!$B$5:$B$54,0)),0)))</f>
        <v>0</v>
      </c>
      <c r="T269" s="50">
        <f>IF(H269="","",IFERROR(INDEX(Services!$K$5:$K$54,MATCH(H269,Services!$B$5:$B$54,0)),"No"))</f>
        <v>0</v>
      </c>
      <c r="U269" s="29">
        <f>IF(H269="","",ROUND(IF(O269="Per hour",P269*IF(M269="",IF(N269="",1,N269),M269),P269*IF(N269="",1,N269)),2))</f>
        <v>0</v>
      </c>
      <c r="V269" s="29">
        <f>IF(H269="","",ROUND(MAX(0,IF(G269="",1,G269)-1)*Q269,2))</f>
        <v>0</v>
      </c>
      <c r="W269" s="50">
        <f>IF(I269="","",IF(COUNTIF(HolidayDates,I269)&gt;0,"Yes","No"))</f>
        <v>0</v>
      </c>
      <c r="X269" s="50">
        <f>IF(I269="","",IF(WEEKDAY(I269,2)&gt;5,"Yes","No"))</f>
        <v>0</v>
      </c>
      <c r="Y269" s="29">
        <f>IF(H269="","",ROUND((U269+V269)*(IF(W269="Yes",R269,0)+IF(X269="Yes",S269,0)),2))</f>
        <v>0</v>
      </c>
      <c r="AA269" s="29">
        <f>IF(H269="","",IF(T269&lt;&gt;"Yes",0,ROUND(MAX(0,IF(Z269="",0,Z269)-FreeTravelDistance)*TravelFeeRate,2)))</f>
        <v>0</v>
      </c>
      <c r="AB269" s="31">
        <f>IF(I269="","",TravelTimeMins)</f>
        <v>0</v>
      </c>
      <c r="AC269" s="29">
        <f>IF(OR(I269="",B269=""),0,IF(I269-B269&lt;=LastMinuteDays,EmergencyFee,0))</f>
        <v>0</v>
      </c>
      <c r="AF269" s="29">
        <f>IF(H269="","",ROUND((U269+V269+Y269+AA269+AC269)*IF(AE269="",0,AE269),2))</f>
        <v>0</v>
      </c>
      <c r="AI269" s="29">
        <f>IF(H269="","",IF(AG269&lt;&gt;"",AG269,ROUND(U269+V269+Y269+AA269+AC269-AF269,2)))</f>
        <v>0</v>
      </c>
      <c r="AJ269" s="29">
        <f>IF(AI269="","",IF(TaxRegistered&lt;&gt;"Yes",0,IF(PricesIncludeTax="Yes",ROUND(AI269-AI269/(1+TaxRate),2),ROUND(AI269*TaxRate,2))))</f>
        <v>0</v>
      </c>
      <c r="AK269" s="29">
        <f>IF(AI269="","",IF(PricesIncludeTax="Yes",AI269,ROUND(AI269+AJ269,2)))</f>
        <v>0</v>
      </c>
      <c r="AQ269" s="21">
        <f>IF(OR(I269="",AP269="",AP269="None"),"",IF(AP269="Monthly",EDATE(I269,1),I269+IF(AP269="Daily",1,IF(AP269="Weekdays",IF(WEEKDAY(I269,2)&gt;=5,8-WEEKDAY(I269,2),1),IF(AP269="Weekly",7,IF(AP269="Fortnightly",14,0))))))</f>
        <v>0</v>
      </c>
      <c r="AR269" s="49">
        <f>IF(OR(I269="",AL269="",K269="",L269=""),"",IF(SUMPRODUCT((Bookings!$AL$5:$AL$404=AL269)*(Bookings!$I$5:$I$404=I269)*(Bookings!$K$5:$K$404&lt;L269)*(Bookings!$L$5:$L$404&gt;K269)*(Bookings!$AM$5:$AM$404&lt;&gt;"Cancelled"))&gt;1,"Conflict - double booked","OK"))</f>
        <v>0</v>
      </c>
      <c r="AS269" s="50">
        <f>IF(A269="","",IF(COUNTIF('Visit Log'!$B$5:$B$404,A269)&gt;0,"Yes","No"))</f>
        <v>0</v>
      </c>
      <c r="AT269" s="28">
        <f>IF(A269="","",IFERROR(INDEX(Invoices!$A$5:$A$304,MATCH(A269,Invoices!$E$5:$E$304,0)),""))</f>
        <v>0</v>
      </c>
      <c r="AU269" s="49">
        <f>IF(A269="","",IF(AT269="","Not invoiced",IFERROR(INDEX(Invoices!$U$5:$U$304,MATCH(AT269,Invoices!$A$5:$A$304,0)),"")))</f>
        <v>0</v>
      </c>
      <c r="AY269" s="28">
        <f>IF(I269="","",TEXT(I269,"yyyy-mm"))</f>
        <v>0</v>
      </c>
      <c r="AZ269" s="49">
        <f>IF(I269="","",IF(AM269="Cancelled","Cancelled",IF(AND(I269&lt;TODAY(),OR(AM269="Pending",AM269="Confirmed",AM269="Enquiry")),"Overdue - update status",IF(AND(AM269="Completed",AS269="No"),"Action - log the visit",IF(I269=TODAY(),"Today",IF(AND(I269&gt;TODAY(),I269-TODAY()&lt;=ReminderLeadDays,AN269&lt;&gt;"Yes"),"Action - unconfirmed",IF(AND(I269&gt;TODAY(),I269-TODAY()&lt;=ReminderLeadDays),"Upcoming","OK")))))))</f>
        <v>0</v>
      </c>
    </row>
    <row r="270" spans="1:52">
      <c r="A270" s="46">
        <f>IF(C270="","",BookingPrefix&amp;TEXT(ROW()-4,"0000"))</f>
        <v>0</v>
      </c>
      <c r="D270" s="28">
        <f>IF(C270="","",IFERROR(INDEX(Clients!$A$5:$A$254,MATCH(C270,Clients!$B$5:$B$254,0)),""))</f>
        <v>0</v>
      </c>
      <c r="J270" s="50">
        <f>IF(I270="","",TEXT(I270,"ddd"))</f>
        <v>0</v>
      </c>
      <c r="M270" s="51">
        <f>IF(OR(K270="",L270=""),"",ROUND((L270-K270+IF(L270&lt;K270,1,0))*24,2))</f>
        <v>0</v>
      </c>
      <c r="O270" s="28">
        <f>IF(H270="","",IFERROR(INDEX(Services!$E$5:$E$54,MATCH(H270,Services!$B$5:$B$54,0)),""))</f>
        <v>0</v>
      </c>
      <c r="P270" s="29">
        <f>IF(H270="","",IFERROR(INDEX(Services!$G$5:$G$54,MATCH(H270,Services!$B$5:$B$54,0)),0))</f>
        <v>0</v>
      </c>
      <c r="Q270" s="29">
        <f>IF(H270="","",IF(IFERROR(INDEX(Services!$H$5:$H$54,MATCH(H270,Services!$B$5:$B$54,0)),0)=0,ExtraPetFeeDefault,IFERROR(INDEX(Services!$H$5:$H$54,MATCH(H270,Services!$B$5:$B$54,0)),0)))</f>
        <v>0</v>
      </c>
      <c r="R270" s="30">
        <f>IF(H270="","",IF(IFERROR(INDEX(Services!$I$5:$I$54,MATCH(H270,Services!$B$5:$B$54,0)),0)=0,HolidaySurcharge,IFERROR(INDEX(Services!$I$5:$I$54,MATCH(H270,Services!$B$5:$B$54,0)),0)))</f>
        <v>0</v>
      </c>
      <c r="S270" s="30">
        <f>IF(H270="","",IF(IFERROR(INDEX(Services!$J$5:$J$54,MATCH(H270,Services!$B$5:$B$54,0)),0)=0,WeekendSurcharge,IFERROR(INDEX(Services!$J$5:$J$54,MATCH(H270,Services!$B$5:$B$54,0)),0)))</f>
        <v>0</v>
      </c>
      <c r="T270" s="50">
        <f>IF(H270="","",IFERROR(INDEX(Services!$K$5:$K$54,MATCH(H270,Services!$B$5:$B$54,0)),"No"))</f>
        <v>0</v>
      </c>
      <c r="U270" s="29">
        <f>IF(H270="","",ROUND(IF(O270="Per hour",P270*IF(M270="",IF(N270="",1,N270),M270),P270*IF(N270="",1,N270)),2))</f>
        <v>0</v>
      </c>
      <c r="V270" s="29">
        <f>IF(H270="","",ROUND(MAX(0,IF(G270="",1,G270)-1)*Q270,2))</f>
        <v>0</v>
      </c>
      <c r="W270" s="50">
        <f>IF(I270="","",IF(COUNTIF(HolidayDates,I270)&gt;0,"Yes","No"))</f>
        <v>0</v>
      </c>
      <c r="X270" s="50">
        <f>IF(I270="","",IF(WEEKDAY(I270,2)&gt;5,"Yes","No"))</f>
        <v>0</v>
      </c>
      <c r="Y270" s="29">
        <f>IF(H270="","",ROUND((U270+V270)*(IF(W270="Yes",R270,0)+IF(X270="Yes",S270,0)),2))</f>
        <v>0</v>
      </c>
      <c r="AA270" s="29">
        <f>IF(H270="","",IF(T270&lt;&gt;"Yes",0,ROUND(MAX(0,IF(Z270="",0,Z270)-FreeTravelDistance)*TravelFeeRate,2)))</f>
        <v>0</v>
      </c>
      <c r="AB270" s="31">
        <f>IF(I270="","",TravelTimeMins)</f>
        <v>0</v>
      </c>
      <c r="AC270" s="29">
        <f>IF(OR(I270="",B270=""),0,IF(I270-B270&lt;=LastMinuteDays,EmergencyFee,0))</f>
        <v>0</v>
      </c>
      <c r="AF270" s="29">
        <f>IF(H270="","",ROUND((U270+V270+Y270+AA270+AC270)*IF(AE270="",0,AE270),2))</f>
        <v>0</v>
      </c>
      <c r="AI270" s="29">
        <f>IF(H270="","",IF(AG270&lt;&gt;"",AG270,ROUND(U270+V270+Y270+AA270+AC270-AF270,2)))</f>
        <v>0</v>
      </c>
      <c r="AJ270" s="29">
        <f>IF(AI270="","",IF(TaxRegistered&lt;&gt;"Yes",0,IF(PricesIncludeTax="Yes",ROUND(AI270-AI270/(1+TaxRate),2),ROUND(AI270*TaxRate,2))))</f>
        <v>0</v>
      </c>
      <c r="AK270" s="29">
        <f>IF(AI270="","",IF(PricesIncludeTax="Yes",AI270,ROUND(AI270+AJ270,2)))</f>
        <v>0</v>
      </c>
      <c r="AQ270" s="21">
        <f>IF(OR(I270="",AP270="",AP270="None"),"",IF(AP270="Monthly",EDATE(I270,1),I270+IF(AP270="Daily",1,IF(AP270="Weekdays",IF(WEEKDAY(I270,2)&gt;=5,8-WEEKDAY(I270,2),1),IF(AP270="Weekly",7,IF(AP270="Fortnightly",14,0))))))</f>
        <v>0</v>
      </c>
      <c r="AR270" s="49">
        <f>IF(OR(I270="",AL270="",K270="",L270=""),"",IF(SUMPRODUCT((Bookings!$AL$5:$AL$404=AL270)*(Bookings!$I$5:$I$404=I270)*(Bookings!$K$5:$K$404&lt;L270)*(Bookings!$L$5:$L$404&gt;K270)*(Bookings!$AM$5:$AM$404&lt;&gt;"Cancelled"))&gt;1,"Conflict - double booked","OK"))</f>
        <v>0</v>
      </c>
      <c r="AS270" s="50">
        <f>IF(A270="","",IF(COUNTIF('Visit Log'!$B$5:$B$404,A270)&gt;0,"Yes","No"))</f>
        <v>0</v>
      </c>
      <c r="AT270" s="28">
        <f>IF(A270="","",IFERROR(INDEX(Invoices!$A$5:$A$304,MATCH(A270,Invoices!$E$5:$E$304,0)),""))</f>
        <v>0</v>
      </c>
      <c r="AU270" s="49">
        <f>IF(A270="","",IF(AT270="","Not invoiced",IFERROR(INDEX(Invoices!$U$5:$U$304,MATCH(AT270,Invoices!$A$5:$A$304,0)),"")))</f>
        <v>0</v>
      </c>
      <c r="AY270" s="28">
        <f>IF(I270="","",TEXT(I270,"yyyy-mm"))</f>
        <v>0</v>
      </c>
      <c r="AZ270" s="49">
        <f>IF(I270="","",IF(AM270="Cancelled","Cancelled",IF(AND(I270&lt;TODAY(),OR(AM270="Pending",AM270="Confirmed",AM270="Enquiry")),"Overdue - update status",IF(AND(AM270="Completed",AS270="No"),"Action - log the visit",IF(I270=TODAY(),"Today",IF(AND(I270&gt;TODAY(),I270-TODAY()&lt;=ReminderLeadDays,AN270&lt;&gt;"Yes"),"Action - unconfirmed",IF(AND(I270&gt;TODAY(),I270-TODAY()&lt;=ReminderLeadDays),"Upcoming","OK")))))))</f>
        <v>0</v>
      </c>
    </row>
    <row r="271" spans="1:52">
      <c r="A271" s="46">
        <f>IF(C271="","",BookingPrefix&amp;TEXT(ROW()-4,"0000"))</f>
        <v>0</v>
      </c>
      <c r="D271" s="28">
        <f>IF(C271="","",IFERROR(INDEX(Clients!$A$5:$A$254,MATCH(C271,Clients!$B$5:$B$254,0)),""))</f>
        <v>0</v>
      </c>
      <c r="J271" s="50">
        <f>IF(I271="","",TEXT(I271,"ddd"))</f>
        <v>0</v>
      </c>
      <c r="M271" s="51">
        <f>IF(OR(K271="",L271=""),"",ROUND((L271-K271+IF(L271&lt;K271,1,0))*24,2))</f>
        <v>0</v>
      </c>
      <c r="O271" s="28">
        <f>IF(H271="","",IFERROR(INDEX(Services!$E$5:$E$54,MATCH(H271,Services!$B$5:$B$54,0)),""))</f>
        <v>0</v>
      </c>
      <c r="P271" s="29">
        <f>IF(H271="","",IFERROR(INDEX(Services!$G$5:$G$54,MATCH(H271,Services!$B$5:$B$54,0)),0))</f>
        <v>0</v>
      </c>
      <c r="Q271" s="29">
        <f>IF(H271="","",IF(IFERROR(INDEX(Services!$H$5:$H$54,MATCH(H271,Services!$B$5:$B$54,0)),0)=0,ExtraPetFeeDefault,IFERROR(INDEX(Services!$H$5:$H$54,MATCH(H271,Services!$B$5:$B$54,0)),0)))</f>
        <v>0</v>
      </c>
      <c r="R271" s="30">
        <f>IF(H271="","",IF(IFERROR(INDEX(Services!$I$5:$I$54,MATCH(H271,Services!$B$5:$B$54,0)),0)=0,HolidaySurcharge,IFERROR(INDEX(Services!$I$5:$I$54,MATCH(H271,Services!$B$5:$B$54,0)),0)))</f>
        <v>0</v>
      </c>
      <c r="S271" s="30">
        <f>IF(H271="","",IF(IFERROR(INDEX(Services!$J$5:$J$54,MATCH(H271,Services!$B$5:$B$54,0)),0)=0,WeekendSurcharge,IFERROR(INDEX(Services!$J$5:$J$54,MATCH(H271,Services!$B$5:$B$54,0)),0)))</f>
        <v>0</v>
      </c>
      <c r="T271" s="50">
        <f>IF(H271="","",IFERROR(INDEX(Services!$K$5:$K$54,MATCH(H271,Services!$B$5:$B$54,0)),"No"))</f>
        <v>0</v>
      </c>
      <c r="U271" s="29">
        <f>IF(H271="","",ROUND(IF(O271="Per hour",P271*IF(M271="",IF(N271="",1,N271),M271),P271*IF(N271="",1,N271)),2))</f>
        <v>0</v>
      </c>
      <c r="V271" s="29">
        <f>IF(H271="","",ROUND(MAX(0,IF(G271="",1,G271)-1)*Q271,2))</f>
        <v>0</v>
      </c>
      <c r="W271" s="50">
        <f>IF(I271="","",IF(COUNTIF(HolidayDates,I271)&gt;0,"Yes","No"))</f>
        <v>0</v>
      </c>
      <c r="X271" s="50">
        <f>IF(I271="","",IF(WEEKDAY(I271,2)&gt;5,"Yes","No"))</f>
        <v>0</v>
      </c>
      <c r="Y271" s="29">
        <f>IF(H271="","",ROUND((U271+V271)*(IF(W271="Yes",R271,0)+IF(X271="Yes",S271,0)),2))</f>
        <v>0</v>
      </c>
      <c r="AA271" s="29">
        <f>IF(H271="","",IF(T271&lt;&gt;"Yes",0,ROUND(MAX(0,IF(Z271="",0,Z271)-FreeTravelDistance)*TravelFeeRate,2)))</f>
        <v>0</v>
      </c>
      <c r="AB271" s="31">
        <f>IF(I271="","",TravelTimeMins)</f>
        <v>0</v>
      </c>
      <c r="AC271" s="29">
        <f>IF(OR(I271="",B271=""),0,IF(I271-B271&lt;=LastMinuteDays,EmergencyFee,0))</f>
        <v>0</v>
      </c>
      <c r="AF271" s="29">
        <f>IF(H271="","",ROUND((U271+V271+Y271+AA271+AC271)*IF(AE271="",0,AE271),2))</f>
        <v>0</v>
      </c>
      <c r="AI271" s="29">
        <f>IF(H271="","",IF(AG271&lt;&gt;"",AG271,ROUND(U271+V271+Y271+AA271+AC271-AF271,2)))</f>
        <v>0</v>
      </c>
      <c r="AJ271" s="29">
        <f>IF(AI271="","",IF(TaxRegistered&lt;&gt;"Yes",0,IF(PricesIncludeTax="Yes",ROUND(AI271-AI271/(1+TaxRate),2),ROUND(AI271*TaxRate,2))))</f>
        <v>0</v>
      </c>
      <c r="AK271" s="29">
        <f>IF(AI271="","",IF(PricesIncludeTax="Yes",AI271,ROUND(AI271+AJ271,2)))</f>
        <v>0</v>
      </c>
      <c r="AQ271" s="21">
        <f>IF(OR(I271="",AP271="",AP271="None"),"",IF(AP271="Monthly",EDATE(I271,1),I271+IF(AP271="Daily",1,IF(AP271="Weekdays",IF(WEEKDAY(I271,2)&gt;=5,8-WEEKDAY(I271,2),1),IF(AP271="Weekly",7,IF(AP271="Fortnightly",14,0))))))</f>
        <v>0</v>
      </c>
      <c r="AR271" s="49">
        <f>IF(OR(I271="",AL271="",K271="",L271=""),"",IF(SUMPRODUCT((Bookings!$AL$5:$AL$404=AL271)*(Bookings!$I$5:$I$404=I271)*(Bookings!$K$5:$K$404&lt;L271)*(Bookings!$L$5:$L$404&gt;K271)*(Bookings!$AM$5:$AM$404&lt;&gt;"Cancelled"))&gt;1,"Conflict - double booked","OK"))</f>
        <v>0</v>
      </c>
      <c r="AS271" s="50">
        <f>IF(A271="","",IF(COUNTIF('Visit Log'!$B$5:$B$404,A271)&gt;0,"Yes","No"))</f>
        <v>0</v>
      </c>
      <c r="AT271" s="28">
        <f>IF(A271="","",IFERROR(INDEX(Invoices!$A$5:$A$304,MATCH(A271,Invoices!$E$5:$E$304,0)),""))</f>
        <v>0</v>
      </c>
      <c r="AU271" s="49">
        <f>IF(A271="","",IF(AT271="","Not invoiced",IFERROR(INDEX(Invoices!$U$5:$U$304,MATCH(AT271,Invoices!$A$5:$A$304,0)),"")))</f>
        <v>0</v>
      </c>
      <c r="AY271" s="28">
        <f>IF(I271="","",TEXT(I271,"yyyy-mm"))</f>
        <v>0</v>
      </c>
      <c r="AZ271" s="49">
        <f>IF(I271="","",IF(AM271="Cancelled","Cancelled",IF(AND(I271&lt;TODAY(),OR(AM271="Pending",AM271="Confirmed",AM271="Enquiry")),"Overdue - update status",IF(AND(AM271="Completed",AS271="No"),"Action - log the visit",IF(I271=TODAY(),"Today",IF(AND(I271&gt;TODAY(),I271-TODAY()&lt;=ReminderLeadDays,AN271&lt;&gt;"Yes"),"Action - unconfirmed",IF(AND(I271&gt;TODAY(),I271-TODAY()&lt;=ReminderLeadDays),"Upcoming","OK")))))))</f>
        <v>0</v>
      </c>
    </row>
    <row r="272" spans="1:52">
      <c r="A272" s="46">
        <f>IF(C272="","",BookingPrefix&amp;TEXT(ROW()-4,"0000"))</f>
        <v>0</v>
      </c>
      <c r="D272" s="28">
        <f>IF(C272="","",IFERROR(INDEX(Clients!$A$5:$A$254,MATCH(C272,Clients!$B$5:$B$254,0)),""))</f>
        <v>0</v>
      </c>
      <c r="J272" s="50">
        <f>IF(I272="","",TEXT(I272,"ddd"))</f>
        <v>0</v>
      </c>
      <c r="M272" s="51">
        <f>IF(OR(K272="",L272=""),"",ROUND((L272-K272+IF(L272&lt;K272,1,0))*24,2))</f>
        <v>0</v>
      </c>
      <c r="O272" s="28">
        <f>IF(H272="","",IFERROR(INDEX(Services!$E$5:$E$54,MATCH(H272,Services!$B$5:$B$54,0)),""))</f>
        <v>0</v>
      </c>
      <c r="P272" s="29">
        <f>IF(H272="","",IFERROR(INDEX(Services!$G$5:$G$54,MATCH(H272,Services!$B$5:$B$54,0)),0))</f>
        <v>0</v>
      </c>
      <c r="Q272" s="29">
        <f>IF(H272="","",IF(IFERROR(INDEX(Services!$H$5:$H$54,MATCH(H272,Services!$B$5:$B$54,0)),0)=0,ExtraPetFeeDefault,IFERROR(INDEX(Services!$H$5:$H$54,MATCH(H272,Services!$B$5:$B$54,0)),0)))</f>
        <v>0</v>
      </c>
      <c r="R272" s="30">
        <f>IF(H272="","",IF(IFERROR(INDEX(Services!$I$5:$I$54,MATCH(H272,Services!$B$5:$B$54,0)),0)=0,HolidaySurcharge,IFERROR(INDEX(Services!$I$5:$I$54,MATCH(H272,Services!$B$5:$B$54,0)),0)))</f>
        <v>0</v>
      </c>
      <c r="S272" s="30">
        <f>IF(H272="","",IF(IFERROR(INDEX(Services!$J$5:$J$54,MATCH(H272,Services!$B$5:$B$54,0)),0)=0,WeekendSurcharge,IFERROR(INDEX(Services!$J$5:$J$54,MATCH(H272,Services!$B$5:$B$54,0)),0)))</f>
        <v>0</v>
      </c>
      <c r="T272" s="50">
        <f>IF(H272="","",IFERROR(INDEX(Services!$K$5:$K$54,MATCH(H272,Services!$B$5:$B$54,0)),"No"))</f>
        <v>0</v>
      </c>
      <c r="U272" s="29">
        <f>IF(H272="","",ROUND(IF(O272="Per hour",P272*IF(M272="",IF(N272="",1,N272),M272),P272*IF(N272="",1,N272)),2))</f>
        <v>0</v>
      </c>
      <c r="V272" s="29">
        <f>IF(H272="","",ROUND(MAX(0,IF(G272="",1,G272)-1)*Q272,2))</f>
        <v>0</v>
      </c>
      <c r="W272" s="50">
        <f>IF(I272="","",IF(COUNTIF(HolidayDates,I272)&gt;0,"Yes","No"))</f>
        <v>0</v>
      </c>
      <c r="X272" s="50">
        <f>IF(I272="","",IF(WEEKDAY(I272,2)&gt;5,"Yes","No"))</f>
        <v>0</v>
      </c>
      <c r="Y272" s="29">
        <f>IF(H272="","",ROUND((U272+V272)*(IF(W272="Yes",R272,0)+IF(X272="Yes",S272,0)),2))</f>
        <v>0</v>
      </c>
      <c r="AA272" s="29">
        <f>IF(H272="","",IF(T272&lt;&gt;"Yes",0,ROUND(MAX(0,IF(Z272="",0,Z272)-FreeTravelDistance)*TravelFeeRate,2)))</f>
        <v>0</v>
      </c>
      <c r="AB272" s="31">
        <f>IF(I272="","",TravelTimeMins)</f>
        <v>0</v>
      </c>
      <c r="AC272" s="29">
        <f>IF(OR(I272="",B272=""),0,IF(I272-B272&lt;=LastMinuteDays,EmergencyFee,0))</f>
        <v>0</v>
      </c>
      <c r="AF272" s="29">
        <f>IF(H272="","",ROUND((U272+V272+Y272+AA272+AC272)*IF(AE272="",0,AE272),2))</f>
        <v>0</v>
      </c>
      <c r="AI272" s="29">
        <f>IF(H272="","",IF(AG272&lt;&gt;"",AG272,ROUND(U272+V272+Y272+AA272+AC272-AF272,2)))</f>
        <v>0</v>
      </c>
      <c r="AJ272" s="29">
        <f>IF(AI272="","",IF(TaxRegistered&lt;&gt;"Yes",0,IF(PricesIncludeTax="Yes",ROUND(AI272-AI272/(1+TaxRate),2),ROUND(AI272*TaxRate,2))))</f>
        <v>0</v>
      </c>
      <c r="AK272" s="29">
        <f>IF(AI272="","",IF(PricesIncludeTax="Yes",AI272,ROUND(AI272+AJ272,2)))</f>
        <v>0</v>
      </c>
      <c r="AQ272" s="21">
        <f>IF(OR(I272="",AP272="",AP272="None"),"",IF(AP272="Monthly",EDATE(I272,1),I272+IF(AP272="Daily",1,IF(AP272="Weekdays",IF(WEEKDAY(I272,2)&gt;=5,8-WEEKDAY(I272,2),1),IF(AP272="Weekly",7,IF(AP272="Fortnightly",14,0))))))</f>
        <v>0</v>
      </c>
      <c r="AR272" s="49">
        <f>IF(OR(I272="",AL272="",K272="",L272=""),"",IF(SUMPRODUCT((Bookings!$AL$5:$AL$404=AL272)*(Bookings!$I$5:$I$404=I272)*(Bookings!$K$5:$K$404&lt;L272)*(Bookings!$L$5:$L$404&gt;K272)*(Bookings!$AM$5:$AM$404&lt;&gt;"Cancelled"))&gt;1,"Conflict - double booked","OK"))</f>
        <v>0</v>
      </c>
      <c r="AS272" s="50">
        <f>IF(A272="","",IF(COUNTIF('Visit Log'!$B$5:$B$404,A272)&gt;0,"Yes","No"))</f>
        <v>0</v>
      </c>
      <c r="AT272" s="28">
        <f>IF(A272="","",IFERROR(INDEX(Invoices!$A$5:$A$304,MATCH(A272,Invoices!$E$5:$E$304,0)),""))</f>
        <v>0</v>
      </c>
      <c r="AU272" s="49">
        <f>IF(A272="","",IF(AT272="","Not invoiced",IFERROR(INDEX(Invoices!$U$5:$U$304,MATCH(AT272,Invoices!$A$5:$A$304,0)),"")))</f>
        <v>0</v>
      </c>
      <c r="AY272" s="28">
        <f>IF(I272="","",TEXT(I272,"yyyy-mm"))</f>
        <v>0</v>
      </c>
      <c r="AZ272" s="49">
        <f>IF(I272="","",IF(AM272="Cancelled","Cancelled",IF(AND(I272&lt;TODAY(),OR(AM272="Pending",AM272="Confirmed",AM272="Enquiry")),"Overdue - update status",IF(AND(AM272="Completed",AS272="No"),"Action - log the visit",IF(I272=TODAY(),"Today",IF(AND(I272&gt;TODAY(),I272-TODAY()&lt;=ReminderLeadDays,AN272&lt;&gt;"Yes"),"Action - unconfirmed",IF(AND(I272&gt;TODAY(),I272-TODAY()&lt;=ReminderLeadDays),"Upcoming","OK")))))))</f>
        <v>0</v>
      </c>
    </row>
    <row r="273" spans="1:52">
      <c r="A273" s="46">
        <f>IF(C273="","",BookingPrefix&amp;TEXT(ROW()-4,"0000"))</f>
        <v>0</v>
      </c>
      <c r="D273" s="28">
        <f>IF(C273="","",IFERROR(INDEX(Clients!$A$5:$A$254,MATCH(C273,Clients!$B$5:$B$254,0)),""))</f>
        <v>0</v>
      </c>
      <c r="J273" s="50">
        <f>IF(I273="","",TEXT(I273,"ddd"))</f>
        <v>0</v>
      </c>
      <c r="M273" s="51">
        <f>IF(OR(K273="",L273=""),"",ROUND((L273-K273+IF(L273&lt;K273,1,0))*24,2))</f>
        <v>0</v>
      </c>
      <c r="O273" s="28">
        <f>IF(H273="","",IFERROR(INDEX(Services!$E$5:$E$54,MATCH(H273,Services!$B$5:$B$54,0)),""))</f>
        <v>0</v>
      </c>
      <c r="P273" s="29">
        <f>IF(H273="","",IFERROR(INDEX(Services!$G$5:$G$54,MATCH(H273,Services!$B$5:$B$54,0)),0))</f>
        <v>0</v>
      </c>
      <c r="Q273" s="29">
        <f>IF(H273="","",IF(IFERROR(INDEX(Services!$H$5:$H$54,MATCH(H273,Services!$B$5:$B$54,0)),0)=0,ExtraPetFeeDefault,IFERROR(INDEX(Services!$H$5:$H$54,MATCH(H273,Services!$B$5:$B$54,0)),0)))</f>
        <v>0</v>
      </c>
      <c r="R273" s="30">
        <f>IF(H273="","",IF(IFERROR(INDEX(Services!$I$5:$I$54,MATCH(H273,Services!$B$5:$B$54,0)),0)=0,HolidaySurcharge,IFERROR(INDEX(Services!$I$5:$I$54,MATCH(H273,Services!$B$5:$B$54,0)),0)))</f>
        <v>0</v>
      </c>
      <c r="S273" s="30">
        <f>IF(H273="","",IF(IFERROR(INDEX(Services!$J$5:$J$54,MATCH(H273,Services!$B$5:$B$54,0)),0)=0,WeekendSurcharge,IFERROR(INDEX(Services!$J$5:$J$54,MATCH(H273,Services!$B$5:$B$54,0)),0)))</f>
        <v>0</v>
      </c>
      <c r="T273" s="50">
        <f>IF(H273="","",IFERROR(INDEX(Services!$K$5:$K$54,MATCH(H273,Services!$B$5:$B$54,0)),"No"))</f>
        <v>0</v>
      </c>
      <c r="U273" s="29">
        <f>IF(H273="","",ROUND(IF(O273="Per hour",P273*IF(M273="",IF(N273="",1,N273),M273),P273*IF(N273="",1,N273)),2))</f>
        <v>0</v>
      </c>
      <c r="V273" s="29">
        <f>IF(H273="","",ROUND(MAX(0,IF(G273="",1,G273)-1)*Q273,2))</f>
        <v>0</v>
      </c>
      <c r="W273" s="50">
        <f>IF(I273="","",IF(COUNTIF(HolidayDates,I273)&gt;0,"Yes","No"))</f>
        <v>0</v>
      </c>
      <c r="X273" s="50">
        <f>IF(I273="","",IF(WEEKDAY(I273,2)&gt;5,"Yes","No"))</f>
        <v>0</v>
      </c>
      <c r="Y273" s="29">
        <f>IF(H273="","",ROUND((U273+V273)*(IF(W273="Yes",R273,0)+IF(X273="Yes",S273,0)),2))</f>
        <v>0</v>
      </c>
      <c r="AA273" s="29">
        <f>IF(H273="","",IF(T273&lt;&gt;"Yes",0,ROUND(MAX(0,IF(Z273="",0,Z273)-FreeTravelDistance)*TravelFeeRate,2)))</f>
        <v>0</v>
      </c>
      <c r="AB273" s="31">
        <f>IF(I273="","",TravelTimeMins)</f>
        <v>0</v>
      </c>
      <c r="AC273" s="29">
        <f>IF(OR(I273="",B273=""),0,IF(I273-B273&lt;=LastMinuteDays,EmergencyFee,0))</f>
        <v>0</v>
      </c>
      <c r="AF273" s="29">
        <f>IF(H273="","",ROUND((U273+V273+Y273+AA273+AC273)*IF(AE273="",0,AE273),2))</f>
        <v>0</v>
      </c>
      <c r="AI273" s="29">
        <f>IF(H273="","",IF(AG273&lt;&gt;"",AG273,ROUND(U273+V273+Y273+AA273+AC273-AF273,2)))</f>
        <v>0</v>
      </c>
      <c r="AJ273" s="29">
        <f>IF(AI273="","",IF(TaxRegistered&lt;&gt;"Yes",0,IF(PricesIncludeTax="Yes",ROUND(AI273-AI273/(1+TaxRate),2),ROUND(AI273*TaxRate,2))))</f>
        <v>0</v>
      </c>
      <c r="AK273" s="29">
        <f>IF(AI273="","",IF(PricesIncludeTax="Yes",AI273,ROUND(AI273+AJ273,2)))</f>
        <v>0</v>
      </c>
      <c r="AQ273" s="21">
        <f>IF(OR(I273="",AP273="",AP273="None"),"",IF(AP273="Monthly",EDATE(I273,1),I273+IF(AP273="Daily",1,IF(AP273="Weekdays",IF(WEEKDAY(I273,2)&gt;=5,8-WEEKDAY(I273,2),1),IF(AP273="Weekly",7,IF(AP273="Fortnightly",14,0))))))</f>
        <v>0</v>
      </c>
      <c r="AR273" s="49">
        <f>IF(OR(I273="",AL273="",K273="",L273=""),"",IF(SUMPRODUCT((Bookings!$AL$5:$AL$404=AL273)*(Bookings!$I$5:$I$404=I273)*(Bookings!$K$5:$K$404&lt;L273)*(Bookings!$L$5:$L$404&gt;K273)*(Bookings!$AM$5:$AM$404&lt;&gt;"Cancelled"))&gt;1,"Conflict - double booked","OK"))</f>
        <v>0</v>
      </c>
      <c r="AS273" s="50">
        <f>IF(A273="","",IF(COUNTIF('Visit Log'!$B$5:$B$404,A273)&gt;0,"Yes","No"))</f>
        <v>0</v>
      </c>
      <c r="AT273" s="28">
        <f>IF(A273="","",IFERROR(INDEX(Invoices!$A$5:$A$304,MATCH(A273,Invoices!$E$5:$E$304,0)),""))</f>
        <v>0</v>
      </c>
      <c r="AU273" s="49">
        <f>IF(A273="","",IF(AT273="","Not invoiced",IFERROR(INDEX(Invoices!$U$5:$U$304,MATCH(AT273,Invoices!$A$5:$A$304,0)),"")))</f>
        <v>0</v>
      </c>
      <c r="AY273" s="28">
        <f>IF(I273="","",TEXT(I273,"yyyy-mm"))</f>
        <v>0</v>
      </c>
      <c r="AZ273" s="49">
        <f>IF(I273="","",IF(AM273="Cancelled","Cancelled",IF(AND(I273&lt;TODAY(),OR(AM273="Pending",AM273="Confirmed",AM273="Enquiry")),"Overdue - update status",IF(AND(AM273="Completed",AS273="No"),"Action - log the visit",IF(I273=TODAY(),"Today",IF(AND(I273&gt;TODAY(),I273-TODAY()&lt;=ReminderLeadDays,AN273&lt;&gt;"Yes"),"Action - unconfirmed",IF(AND(I273&gt;TODAY(),I273-TODAY()&lt;=ReminderLeadDays),"Upcoming","OK")))))))</f>
        <v>0</v>
      </c>
    </row>
    <row r="274" spans="1:52">
      <c r="A274" s="46">
        <f>IF(C274="","",BookingPrefix&amp;TEXT(ROW()-4,"0000"))</f>
        <v>0</v>
      </c>
      <c r="D274" s="28">
        <f>IF(C274="","",IFERROR(INDEX(Clients!$A$5:$A$254,MATCH(C274,Clients!$B$5:$B$254,0)),""))</f>
        <v>0</v>
      </c>
      <c r="J274" s="50">
        <f>IF(I274="","",TEXT(I274,"ddd"))</f>
        <v>0</v>
      </c>
      <c r="M274" s="51">
        <f>IF(OR(K274="",L274=""),"",ROUND((L274-K274+IF(L274&lt;K274,1,0))*24,2))</f>
        <v>0</v>
      </c>
      <c r="O274" s="28">
        <f>IF(H274="","",IFERROR(INDEX(Services!$E$5:$E$54,MATCH(H274,Services!$B$5:$B$54,0)),""))</f>
        <v>0</v>
      </c>
      <c r="P274" s="29">
        <f>IF(H274="","",IFERROR(INDEX(Services!$G$5:$G$54,MATCH(H274,Services!$B$5:$B$54,0)),0))</f>
        <v>0</v>
      </c>
      <c r="Q274" s="29">
        <f>IF(H274="","",IF(IFERROR(INDEX(Services!$H$5:$H$54,MATCH(H274,Services!$B$5:$B$54,0)),0)=0,ExtraPetFeeDefault,IFERROR(INDEX(Services!$H$5:$H$54,MATCH(H274,Services!$B$5:$B$54,0)),0)))</f>
        <v>0</v>
      </c>
      <c r="R274" s="30">
        <f>IF(H274="","",IF(IFERROR(INDEX(Services!$I$5:$I$54,MATCH(H274,Services!$B$5:$B$54,0)),0)=0,HolidaySurcharge,IFERROR(INDEX(Services!$I$5:$I$54,MATCH(H274,Services!$B$5:$B$54,0)),0)))</f>
        <v>0</v>
      </c>
      <c r="S274" s="30">
        <f>IF(H274="","",IF(IFERROR(INDEX(Services!$J$5:$J$54,MATCH(H274,Services!$B$5:$B$54,0)),0)=0,WeekendSurcharge,IFERROR(INDEX(Services!$J$5:$J$54,MATCH(H274,Services!$B$5:$B$54,0)),0)))</f>
        <v>0</v>
      </c>
      <c r="T274" s="50">
        <f>IF(H274="","",IFERROR(INDEX(Services!$K$5:$K$54,MATCH(H274,Services!$B$5:$B$54,0)),"No"))</f>
        <v>0</v>
      </c>
      <c r="U274" s="29">
        <f>IF(H274="","",ROUND(IF(O274="Per hour",P274*IF(M274="",IF(N274="",1,N274),M274),P274*IF(N274="",1,N274)),2))</f>
        <v>0</v>
      </c>
      <c r="V274" s="29">
        <f>IF(H274="","",ROUND(MAX(0,IF(G274="",1,G274)-1)*Q274,2))</f>
        <v>0</v>
      </c>
      <c r="W274" s="50">
        <f>IF(I274="","",IF(COUNTIF(HolidayDates,I274)&gt;0,"Yes","No"))</f>
        <v>0</v>
      </c>
      <c r="X274" s="50">
        <f>IF(I274="","",IF(WEEKDAY(I274,2)&gt;5,"Yes","No"))</f>
        <v>0</v>
      </c>
      <c r="Y274" s="29">
        <f>IF(H274="","",ROUND((U274+V274)*(IF(W274="Yes",R274,0)+IF(X274="Yes",S274,0)),2))</f>
        <v>0</v>
      </c>
      <c r="AA274" s="29">
        <f>IF(H274="","",IF(T274&lt;&gt;"Yes",0,ROUND(MAX(0,IF(Z274="",0,Z274)-FreeTravelDistance)*TravelFeeRate,2)))</f>
        <v>0</v>
      </c>
      <c r="AB274" s="31">
        <f>IF(I274="","",TravelTimeMins)</f>
        <v>0</v>
      </c>
      <c r="AC274" s="29">
        <f>IF(OR(I274="",B274=""),0,IF(I274-B274&lt;=LastMinuteDays,EmergencyFee,0))</f>
        <v>0</v>
      </c>
      <c r="AF274" s="29">
        <f>IF(H274="","",ROUND((U274+V274+Y274+AA274+AC274)*IF(AE274="",0,AE274),2))</f>
        <v>0</v>
      </c>
      <c r="AI274" s="29">
        <f>IF(H274="","",IF(AG274&lt;&gt;"",AG274,ROUND(U274+V274+Y274+AA274+AC274-AF274,2)))</f>
        <v>0</v>
      </c>
      <c r="AJ274" s="29">
        <f>IF(AI274="","",IF(TaxRegistered&lt;&gt;"Yes",0,IF(PricesIncludeTax="Yes",ROUND(AI274-AI274/(1+TaxRate),2),ROUND(AI274*TaxRate,2))))</f>
        <v>0</v>
      </c>
      <c r="AK274" s="29">
        <f>IF(AI274="","",IF(PricesIncludeTax="Yes",AI274,ROUND(AI274+AJ274,2)))</f>
        <v>0</v>
      </c>
      <c r="AQ274" s="21">
        <f>IF(OR(I274="",AP274="",AP274="None"),"",IF(AP274="Monthly",EDATE(I274,1),I274+IF(AP274="Daily",1,IF(AP274="Weekdays",IF(WEEKDAY(I274,2)&gt;=5,8-WEEKDAY(I274,2),1),IF(AP274="Weekly",7,IF(AP274="Fortnightly",14,0))))))</f>
        <v>0</v>
      </c>
      <c r="AR274" s="49">
        <f>IF(OR(I274="",AL274="",K274="",L274=""),"",IF(SUMPRODUCT((Bookings!$AL$5:$AL$404=AL274)*(Bookings!$I$5:$I$404=I274)*(Bookings!$K$5:$K$404&lt;L274)*(Bookings!$L$5:$L$404&gt;K274)*(Bookings!$AM$5:$AM$404&lt;&gt;"Cancelled"))&gt;1,"Conflict - double booked","OK"))</f>
        <v>0</v>
      </c>
      <c r="AS274" s="50">
        <f>IF(A274="","",IF(COUNTIF('Visit Log'!$B$5:$B$404,A274)&gt;0,"Yes","No"))</f>
        <v>0</v>
      </c>
      <c r="AT274" s="28">
        <f>IF(A274="","",IFERROR(INDEX(Invoices!$A$5:$A$304,MATCH(A274,Invoices!$E$5:$E$304,0)),""))</f>
        <v>0</v>
      </c>
      <c r="AU274" s="49">
        <f>IF(A274="","",IF(AT274="","Not invoiced",IFERROR(INDEX(Invoices!$U$5:$U$304,MATCH(AT274,Invoices!$A$5:$A$304,0)),"")))</f>
        <v>0</v>
      </c>
      <c r="AY274" s="28">
        <f>IF(I274="","",TEXT(I274,"yyyy-mm"))</f>
        <v>0</v>
      </c>
      <c r="AZ274" s="49">
        <f>IF(I274="","",IF(AM274="Cancelled","Cancelled",IF(AND(I274&lt;TODAY(),OR(AM274="Pending",AM274="Confirmed",AM274="Enquiry")),"Overdue - update status",IF(AND(AM274="Completed",AS274="No"),"Action - log the visit",IF(I274=TODAY(),"Today",IF(AND(I274&gt;TODAY(),I274-TODAY()&lt;=ReminderLeadDays,AN274&lt;&gt;"Yes"),"Action - unconfirmed",IF(AND(I274&gt;TODAY(),I274-TODAY()&lt;=ReminderLeadDays),"Upcoming","OK")))))))</f>
        <v>0</v>
      </c>
    </row>
    <row r="275" spans="1:52">
      <c r="A275" s="46">
        <f>IF(C275="","",BookingPrefix&amp;TEXT(ROW()-4,"0000"))</f>
        <v>0</v>
      </c>
      <c r="D275" s="28">
        <f>IF(C275="","",IFERROR(INDEX(Clients!$A$5:$A$254,MATCH(C275,Clients!$B$5:$B$254,0)),""))</f>
        <v>0</v>
      </c>
      <c r="J275" s="50">
        <f>IF(I275="","",TEXT(I275,"ddd"))</f>
        <v>0</v>
      </c>
      <c r="M275" s="51">
        <f>IF(OR(K275="",L275=""),"",ROUND((L275-K275+IF(L275&lt;K275,1,0))*24,2))</f>
        <v>0</v>
      </c>
      <c r="O275" s="28">
        <f>IF(H275="","",IFERROR(INDEX(Services!$E$5:$E$54,MATCH(H275,Services!$B$5:$B$54,0)),""))</f>
        <v>0</v>
      </c>
      <c r="P275" s="29">
        <f>IF(H275="","",IFERROR(INDEX(Services!$G$5:$G$54,MATCH(H275,Services!$B$5:$B$54,0)),0))</f>
        <v>0</v>
      </c>
      <c r="Q275" s="29">
        <f>IF(H275="","",IF(IFERROR(INDEX(Services!$H$5:$H$54,MATCH(H275,Services!$B$5:$B$54,0)),0)=0,ExtraPetFeeDefault,IFERROR(INDEX(Services!$H$5:$H$54,MATCH(H275,Services!$B$5:$B$54,0)),0)))</f>
        <v>0</v>
      </c>
      <c r="R275" s="30">
        <f>IF(H275="","",IF(IFERROR(INDEX(Services!$I$5:$I$54,MATCH(H275,Services!$B$5:$B$54,0)),0)=0,HolidaySurcharge,IFERROR(INDEX(Services!$I$5:$I$54,MATCH(H275,Services!$B$5:$B$54,0)),0)))</f>
        <v>0</v>
      </c>
      <c r="S275" s="30">
        <f>IF(H275="","",IF(IFERROR(INDEX(Services!$J$5:$J$54,MATCH(H275,Services!$B$5:$B$54,0)),0)=0,WeekendSurcharge,IFERROR(INDEX(Services!$J$5:$J$54,MATCH(H275,Services!$B$5:$B$54,0)),0)))</f>
        <v>0</v>
      </c>
      <c r="T275" s="50">
        <f>IF(H275="","",IFERROR(INDEX(Services!$K$5:$K$54,MATCH(H275,Services!$B$5:$B$54,0)),"No"))</f>
        <v>0</v>
      </c>
      <c r="U275" s="29">
        <f>IF(H275="","",ROUND(IF(O275="Per hour",P275*IF(M275="",IF(N275="",1,N275),M275),P275*IF(N275="",1,N275)),2))</f>
        <v>0</v>
      </c>
      <c r="V275" s="29">
        <f>IF(H275="","",ROUND(MAX(0,IF(G275="",1,G275)-1)*Q275,2))</f>
        <v>0</v>
      </c>
      <c r="W275" s="50">
        <f>IF(I275="","",IF(COUNTIF(HolidayDates,I275)&gt;0,"Yes","No"))</f>
        <v>0</v>
      </c>
      <c r="X275" s="50">
        <f>IF(I275="","",IF(WEEKDAY(I275,2)&gt;5,"Yes","No"))</f>
        <v>0</v>
      </c>
      <c r="Y275" s="29">
        <f>IF(H275="","",ROUND((U275+V275)*(IF(W275="Yes",R275,0)+IF(X275="Yes",S275,0)),2))</f>
        <v>0</v>
      </c>
      <c r="AA275" s="29">
        <f>IF(H275="","",IF(T275&lt;&gt;"Yes",0,ROUND(MAX(0,IF(Z275="",0,Z275)-FreeTravelDistance)*TravelFeeRate,2)))</f>
        <v>0</v>
      </c>
      <c r="AB275" s="31">
        <f>IF(I275="","",TravelTimeMins)</f>
        <v>0</v>
      </c>
      <c r="AC275" s="29">
        <f>IF(OR(I275="",B275=""),0,IF(I275-B275&lt;=LastMinuteDays,EmergencyFee,0))</f>
        <v>0</v>
      </c>
      <c r="AF275" s="29">
        <f>IF(H275="","",ROUND((U275+V275+Y275+AA275+AC275)*IF(AE275="",0,AE275),2))</f>
        <v>0</v>
      </c>
      <c r="AI275" s="29">
        <f>IF(H275="","",IF(AG275&lt;&gt;"",AG275,ROUND(U275+V275+Y275+AA275+AC275-AF275,2)))</f>
        <v>0</v>
      </c>
      <c r="AJ275" s="29">
        <f>IF(AI275="","",IF(TaxRegistered&lt;&gt;"Yes",0,IF(PricesIncludeTax="Yes",ROUND(AI275-AI275/(1+TaxRate),2),ROUND(AI275*TaxRate,2))))</f>
        <v>0</v>
      </c>
      <c r="AK275" s="29">
        <f>IF(AI275="","",IF(PricesIncludeTax="Yes",AI275,ROUND(AI275+AJ275,2)))</f>
        <v>0</v>
      </c>
      <c r="AQ275" s="21">
        <f>IF(OR(I275="",AP275="",AP275="None"),"",IF(AP275="Monthly",EDATE(I275,1),I275+IF(AP275="Daily",1,IF(AP275="Weekdays",IF(WEEKDAY(I275,2)&gt;=5,8-WEEKDAY(I275,2),1),IF(AP275="Weekly",7,IF(AP275="Fortnightly",14,0))))))</f>
        <v>0</v>
      </c>
      <c r="AR275" s="49">
        <f>IF(OR(I275="",AL275="",K275="",L275=""),"",IF(SUMPRODUCT((Bookings!$AL$5:$AL$404=AL275)*(Bookings!$I$5:$I$404=I275)*(Bookings!$K$5:$K$404&lt;L275)*(Bookings!$L$5:$L$404&gt;K275)*(Bookings!$AM$5:$AM$404&lt;&gt;"Cancelled"))&gt;1,"Conflict - double booked","OK"))</f>
        <v>0</v>
      </c>
      <c r="AS275" s="50">
        <f>IF(A275="","",IF(COUNTIF('Visit Log'!$B$5:$B$404,A275)&gt;0,"Yes","No"))</f>
        <v>0</v>
      </c>
      <c r="AT275" s="28">
        <f>IF(A275="","",IFERROR(INDEX(Invoices!$A$5:$A$304,MATCH(A275,Invoices!$E$5:$E$304,0)),""))</f>
        <v>0</v>
      </c>
      <c r="AU275" s="49">
        <f>IF(A275="","",IF(AT275="","Not invoiced",IFERROR(INDEX(Invoices!$U$5:$U$304,MATCH(AT275,Invoices!$A$5:$A$304,0)),"")))</f>
        <v>0</v>
      </c>
      <c r="AY275" s="28">
        <f>IF(I275="","",TEXT(I275,"yyyy-mm"))</f>
        <v>0</v>
      </c>
      <c r="AZ275" s="49">
        <f>IF(I275="","",IF(AM275="Cancelled","Cancelled",IF(AND(I275&lt;TODAY(),OR(AM275="Pending",AM275="Confirmed",AM275="Enquiry")),"Overdue - update status",IF(AND(AM275="Completed",AS275="No"),"Action - log the visit",IF(I275=TODAY(),"Today",IF(AND(I275&gt;TODAY(),I275-TODAY()&lt;=ReminderLeadDays,AN275&lt;&gt;"Yes"),"Action - unconfirmed",IF(AND(I275&gt;TODAY(),I275-TODAY()&lt;=ReminderLeadDays),"Upcoming","OK")))))))</f>
        <v>0</v>
      </c>
    </row>
    <row r="276" spans="1:52">
      <c r="A276" s="46">
        <f>IF(C276="","",BookingPrefix&amp;TEXT(ROW()-4,"0000"))</f>
        <v>0</v>
      </c>
      <c r="D276" s="28">
        <f>IF(C276="","",IFERROR(INDEX(Clients!$A$5:$A$254,MATCH(C276,Clients!$B$5:$B$254,0)),""))</f>
        <v>0</v>
      </c>
      <c r="J276" s="50">
        <f>IF(I276="","",TEXT(I276,"ddd"))</f>
        <v>0</v>
      </c>
      <c r="M276" s="51">
        <f>IF(OR(K276="",L276=""),"",ROUND((L276-K276+IF(L276&lt;K276,1,0))*24,2))</f>
        <v>0</v>
      </c>
      <c r="O276" s="28">
        <f>IF(H276="","",IFERROR(INDEX(Services!$E$5:$E$54,MATCH(H276,Services!$B$5:$B$54,0)),""))</f>
        <v>0</v>
      </c>
      <c r="P276" s="29">
        <f>IF(H276="","",IFERROR(INDEX(Services!$G$5:$G$54,MATCH(H276,Services!$B$5:$B$54,0)),0))</f>
        <v>0</v>
      </c>
      <c r="Q276" s="29">
        <f>IF(H276="","",IF(IFERROR(INDEX(Services!$H$5:$H$54,MATCH(H276,Services!$B$5:$B$54,0)),0)=0,ExtraPetFeeDefault,IFERROR(INDEX(Services!$H$5:$H$54,MATCH(H276,Services!$B$5:$B$54,0)),0)))</f>
        <v>0</v>
      </c>
      <c r="R276" s="30">
        <f>IF(H276="","",IF(IFERROR(INDEX(Services!$I$5:$I$54,MATCH(H276,Services!$B$5:$B$54,0)),0)=0,HolidaySurcharge,IFERROR(INDEX(Services!$I$5:$I$54,MATCH(H276,Services!$B$5:$B$54,0)),0)))</f>
        <v>0</v>
      </c>
      <c r="S276" s="30">
        <f>IF(H276="","",IF(IFERROR(INDEX(Services!$J$5:$J$54,MATCH(H276,Services!$B$5:$B$54,0)),0)=0,WeekendSurcharge,IFERROR(INDEX(Services!$J$5:$J$54,MATCH(H276,Services!$B$5:$B$54,0)),0)))</f>
        <v>0</v>
      </c>
      <c r="T276" s="50">
        <f>IF(H276="","",IFERROR(INDEX(Services!$K$5:$K$54,MATCH(H276,Services!$B$5:$B$54,0)),"No"))</f>
        <v>0</v>
      </c>
      <c r="U276" s="29">
        <f>IF(H276="","",ROUND(IF(O276="Per hour",P276*IF(M276="",IF(N276="",1,N276),M276),P276*IF(N276="",1,N276)),2))</f>
        <v>0</v>
      </c>
      <c r="V276" s="29">
        <f>IF(H276="","",ROUND(MAX(0,IF(G276="",1,G276)-1)*Q276,2))</f>
        <v>0</v>
      </c>
      <c r="W276" s="50">
        <f>IF(I276="","",IF(COUNTIF(HolidayDates,I276)&gt;0,"Yes","No"))</f>
        <v>0</v>
      </c>
      <c r="X276" s="50">
        <f>IF(I276="","",IF(WEEKDAY(I276,2)&gt;5,"Yes","No"))</f>
        <v>0</v>
      </c>
      <c r="Y276" s="29">
        <f>IF(H276="","",ROUND((U276+V276)*(IF(W276="Yes",R276,0)+IF(X276="Yes",S276,0)),2))</f>
        <v>0</v>
      </c>
      <c r="AA276" s="29">
        <f>IF(H276="","",IF(T276&lt;&gt;"Yes",0,ROUND(MAX(0,IF(Z276="",0,Z276)-FreeTravelDistance)*TravelFeeRate,2)))</f>
        <v>0</v>
      </c>
      <c r="AB276" s="31">
        <f>IF(I276="","",TravelTimeMins)</f>
        <v>0</v>
      </c>
      <c r="AC276" s="29">
        <f>IF(OR(I276="",B276=""),0,IF(I276-B276&lt;=LastMinuteDays,EmergencyFee,0))</f>
        <v>0</v>
      </c>
      <c r="AF276" s="29">
        <f>IF(H276="","",ROUND((U276+V276+Y276+AA276+AC276)*IF(AE276="",0,AE276),2))</f>
        <v>0</v>
      </c>
      <c r="AI276" s="29">
        <f>IF(H276="","",IF(AG276&lt;&gt;"",AG276,ROUND(U276+V276+Y276+AA276+AC276-AF276,2)))</f>
        <v>0</v>
      </c>
      <c r="AJ276" s="29">
        <f>IF(AI276="","",IF(TaxRegistered&lt;&gt;"Yes",0,IF(PricesIncludeTax="Yes",ROUND(AI276-AI276/(1+TaxRate),2),ROUND(AI276*TaxRate,2))))</f>
        <v>0</v>
      </c>
      <c r="AK276" s="29">
        <f>IF(AI276="","",IF(PricesIncludeTax="Yes",AI276,ROUND(AI276+AJ276,2)))</f>
        <v>0</v>
      </c>
      <c r="AQ276" s="21">
        <f>IF(OR(I276="",AP276="",AP276="None"),"",IF(AP276="Monthly",EDATE(I276,1),I276+IF(AP276="Daily",1,IF(AP276="Weekdays",IF(WEEKDAY(I276,2)&gt;=5,8-WEEKDAY(I276,2),1),IF(AP276="Weekly",7,IF(AP276="Fortnightly",14,0))))))</f>
        <v>0</v>
      </c>
      <c r="AR276" s="49">
        <f>IF(OR(I276="",AL276="",K276="",L276=""),"",IF(SUMPRODUCT((Bookings!$AL$5:$AL$404=AL276)*(Bookings!$I$5:$I$404=I276)*(Bookings!$K$5:$K$404&lt;L276)*(Bookings!$L$5:$L$404&gt;K276)*(Bookings!$AM$5:$AM$404&lt;&gt;"Cancelled"))&gt;1,"Conflict - double booked","OK"))</f>
        <v>0</v>
      </c>
      <c r="AS276" s="50">
        <f>IF(A276="","",IF(COUNTIF('Visit Log'!$B$5:$B$404,A276)&gt;0,"Yes","No"))</f>
        <v>0</v>
      </c>
      <c r="AT276" s="28">
        <f>IF(A276="","",IFERROR(INDEX(Invoices!$A$5:$A$304,MATCH(A276,Invoices!$E$5:$E$304,0)),""))</f>
        <v>0</v>
      </c>
      <c r="AU276" s="49">
        <f>IF(A276="","",IF(AT276="","Not invoiced",IFERROR(INDEX(Invoices!$U$5:$U$304,MATCH(AT276,Invoices!$A$5:$A$304,0)),"")))</f>
        <v>0</v>
      </c>
      <c r="AY276" s="28">
        <f>IF(I276="","",TEXT(I276,"yyyy-mm"))</f>
        <v>0</v>
      </c>
      <c r="AZ276" s="49">
        <f>IF(I276="","",IF(AM276="Cancelled","Cancelled",IF(AND(I276&lt;TODAY(),OR(AM276="Pending",AM276="Confirmed",AM276="Enquiry")),"Overdue - update status",IF(AND(AM276="Completed",AS276="No"),"Action - log the visit",IF(I276=TODAY(),"Today",IF(AND(I276&gt;TODAY(),I276-TODAY()&lt;=ReminderLeadDays,AN276&lt;&gt;"Yes"),"Action - unconfirmed",IF(AND(I276&gt;TODAY(),I276-TODAY()&lt;=ReminderLeadDays),"Upcoming","OK")))))))</f>
        <v>0</v>
      </c>
    </row>
    <row r="277" spans="1:52">
      <c r="A277" s="46">
        <f>IF(C277="","",BookingPrefix&amp;TEXT(ROW()-4,"0000"))</f>
        <v>0</v>
      </c>
      <c r="D277" s="28">
        <f>IF(C277="","",IFERROR(INDEX(Clients!$A$5:$A$254,MATCH(C277,Clients!$B$5:$B$254,0)),""))</f>
        <v>0</v>
      </c>
      <c r="J277" s="50">
        <f>IF(I277="","",TEXT(I277,"ddd"))</f>
        <v>0</v>
      </c>
      <c r="M277" s="51">
        <f>IF(OR(K277="",L277=""),"",ROUND((L277-K277+IF(L277&lt;K277,1,0))*24,2))</f>
        <v>0</v>
      </c>
      <c r="O277" s="28">
        <f>IF(H277="","",IFERROR(INDEX(Services!$E$5:$E$54,MATCH(H277,Services!$B$5:$B$54,0)),""))</f>
        <v>0</v>
      </c>
      <c r="P277" s="29">
        <f>IF(H277="","",IFERROR(INDEX(Services!$G$5:$G$54,MATCH(H277,Services!$B$5:$B$54,0)),0))</f>
        <v>0</v>
      </c>
      <c r="Q277" s="29">
        <f>IF(H277="","",IF(IFERROR(INDEX(Services!$H$5:$H$54,MATCH(H277,Services!$B$5:$B$54,0)),0)=0,ExtraPetFeeDefault,IFERROR(INDEX(Services!$H$5:$H$54,MATCH(H277,Services!$B$5:$B$54,0)),0)))</f>
        <v>0</v>
      </c>
      <c r="R277" s="30">
        <f>IF(H277="","",IF(IFERROR(INDEX(Services!$I$5:$I$54,MATCH(H277,Services!$B$5:$B$54,0)),0)=0,HolidaySurcharge,IFERROR(INDEX(Services!$I$5:$I$54,MATCH(H277,Services!$B$5:$B$54,0)),0)))</f>
        <v>0</v>
      </c>
      <c r="S277" s="30">
        <f>IF(H277="","",IF(IFERROR(INDEX(Services!$J$5:$J$54,MATCH(H277,Services!$B$5:$B$54,0)),0)=0,WeekendSurcharge,IFERROR(INDEX(Services!$J$5:$J$54,MATCH(H277,Services!$B$5:$B$54,0)),0)))</f>
        <v>0</v>
      </c>
      <c r="T277" s="50">
        <f>IF(H277="","",IFERROR(INDEX(Services!$K$5:$K$54,MATCH(H277,Services!$B$5:$B$54,0)),"No"))</f>
        <v>0</v>
      </c>
      <c r="U277" s="29">
        <f>IF(H277="","",ROUND(IF(O277="Per hour",P277*IF(M277="",IF(N277="",1,N277),M277),P277*IF(N277="",1,N277)),2))</f>
        <v>0</v>
      </c>
      <c r="V277" s="29">
        <f>IF(H277="","",ROUND(MAX(0,IF(G277="",1,G277)-1)*Q277,2))</f>
        <v>0</v>
      </c>
      <c r="W277" s="50">
        <f>IF(I277="","",IF(COUNTIF(HolidayDates,I277)&gt;0,"Yes","No"))</f>
        <v>0</v>
      </c>
      <c r="X277" s="50">
        <f>IF(I277="","",IF(WEEKDAY(I277,2)&gt;5,"Yes","No"))</f>
        <v>0</v>
      </c>
      <c r="Y277" s="29">
        <f>IF(H277="","",ROUND((U277+V277)*(IF(W277="Yes",R277,0)+IF(X277="Yes",S277,0)),2))</f>
        <v>0</v>
      </c>
      <c r="AA277" s="29">
        <f>IF(H277="","",IF(T277&lt;&gt;"Yes",0,ROUND(MAX(0,IF(Z277="",0,Z277)-FreeTravelDistance)*TravelFeeRate,2)))</f>
        <v>0</v>
      </c>
      <c r="AB277" s="31">
        <f>IF(I277="","",TravelTimeMins)</f>
        <v>0</v>
      </c>
      <c r="AC277" s="29">
        <f>IF(OR(I277="",B277=""),0,IF(I277-B277&lt;=LastMinuteDays,EmergencyFee,0))</f>
        <v>0</v>
      </c>
      <c r="AF277" s="29">
        <f>IF(H277="","",ROUND((U277+V277+Y277+AA277+AC277)*IF(AE277="",0,AE277),2))</f>
        <v>0</v>
      </c>
      <c r="AI277" s="29">
        <f>IF(H277="","",IF(AG277&lt;&gt;"",AG277,ROUND(U277+V277+Y277+AA277+AC277-AF277,2)))</f>
        <v>0</v>
      </c>
      <c r="AJ277" s="29">
        <f>IF(AI277="","",IF(TaxRegistered&lt;&gt;"Yes",0,IF(PricesIncludeTax="Yes",ROUND(AI277-AI277/(1+TaxRate),2),ROUND(AI277*TaxRate,2))))</f>
        <v>0</v>
      </c>
      <c r="AK277" s="29">
        <f>IF(AI277="","",IF(PricesIncludeTax="Yes",AI277,ROUND(AI277+AJ277,2)))</f>
        <v>0</v>
      </c>
      <c r="AQ277" s="21">
        <f>IF(OR(I277="",AP277="",AP277="None"),"",IF(AP277="Monthly",EDATE(I277,1),I277+IF(AP277="Daily",1,IF(AP277="Weekdays",IF(WEEKDAY(I277,2)&gt;=5,8-WEEKDAY(I277,2),1),IF(AP277="Weekly",7,IF(AP277="Fortnightly",14,0))))))</f>
        <v>0</v>
      </c>
      <c r="AR277" s="49">
        <f>IF(OR(I277="",AL277="",K277="",L277=""),"",IF(SUMPRODUCT((Bookings!$AL$5:$AL$404=AL277)*(Bookings!$I$5:$I$404=I277)*(Bookings!$K$5:$K$404&lt;L277)*(Bookings!$L$5:$L$404&gt;K277)*(Bookings!$AM$5:$AM$404&lt;&gt;"Cancelled"))&gt;1,"Conflict - double booked","OK"))</f>
        <v>0</v>
      </c>
      <c r="AS277" s="50">
        <f>IF(A277="","",IF(COUNTIF('Visit Log'!$B$5:$B$404,A277)&gt;0,"Yes","No"))</f>
        <v>0</v>
      </c>
      <c r="AT277" s="28">
        <f>IF(A277="","",IFERROR(INDEX(Invoices!$A$5:$A$304,MATCH(A277,Invoices!$E$5:$E$304,0)),""))</f>
        <v>0</v>
      </c>
      <c r="AU277" s="49">
        <f>IF(A277="","",IF(AT277="","Not invoiced",IFERROR(INDEX(Invoices!$U$5:$U$304,MATCH(AT277,Invoices!$A$5:$A$304,0)),"")))</f>
        <v>0</v>
      </c>
      <c r="AY277" s="28">
        <f>IF(I277="","",TEXT(I277,"yyyy-mm"))</f>
        <v>0</v>
      </c>
      <c r="AZ277" s="49">
        <f>IF(I277="","",IF(AM277="Cancelled","Cancelled",IF(AND(I277&lt;TODAY(),OR(AM277="Pending",AM277="Confirmed",AM277="Enquiry")),"Overdue - update status",IF(AND(AM277="Completed",AS277="No"),"Action - log the visit",IF(I277=TODAY(),"Today",IF(AND(I277&gt;TODAY(),I277-TODAY()&lt;=ReminderLeadDays,AN277&lt;&gt;"Yes"),"Action - unconfirmed",IF(AND(I277&gt;TODAY(),I277-TODAY()&lt;=ReminderLeadDays),"Upcoming","OK")))))))</f>
        <v>0</v>
      </c>
    </row>
    <row r="278" spans="1:52">
      <c r="A278" s="46">
        <f>IF(C278="","",BookingPrefix&amp;TEXT(ROW()-4,"0000"))</f>
        <v>0</v>
      </c>
      <c r="D278" s="28">
        <f>IF(C278="","",IFERROR(INDEX(Clients!$A$5:$A$254,MATCH(C278,Clients!$B$5:$B$254,0)),""))</f>
        <v>0</v>
      </c>
      <c r="J278" s="50">
        <f>IF(I278="","",TEXT(I278,"ddd"))</f>
        <v>0</v>
      </c>
      <c r="M278" s="51">
        <f>IF(OR(K278="",L278=""),"",ROUND((L278-K278+IF(L278&lt;K278,1,0))*24,2))</f>
        <v>0</v>
      </c>
      <c r="O278" s="28">
        <f>IF(H278="","",IFERROR(INDEX(Services!$E$5:$E$54,MATCH(H278,Services!$B$5:$B$54,0)),""))</f>
        <v>0</v>
      </c>
      <c r="P278" s="29">
        <f>IF(H278="","",IFERROR(INDEX(Services!$G$5:$G$54,MATCH(H278,Services!$B$5:$B$54,0)),0))</f>
        <v>0</v>
      </c>
      <c r="Q278" s="29">
        <f>IF(H278="","",IF(IFERROR(INDEX(Services!$H$5:$H$54,MATCH(H278,Services!$B$5:$B$54,0)),0)=0,ExtraPetFeeDefault,IFERROR(INDEX(Services!$H$5:$H$54,MATCH(H278,Services!$B$5:$B$54,0)),0)))</f>
        <v>0</v>
      </c>
      <c r="R278" s="30">
        <f>IF(H278="","",IF(IFERROR(INDEX(Services!$I$5:$I$54,MATCH(H278,Services!$B$5:$B$54,0)),0)=0,HolidaySurcharge,IFERROR(INDEX(Services!$I$5:$I$54,MATCH(H278,Services!$B$5:$B$54,0)),0)))</f>
        <v>0</v>
      </c>
      <c r="S278" s="30">
        <f>IF(H278="","",IF(IFERROR(INDEX(Services!$J$5:$J$54,MATCH(H278,Services!$B$5:$B$54,0)),0)=0,WeekendSurcharge,IFERROR(INDEX(Services!$J$5:$J$54,MATCH(H278,Services!$B$5:$B$54,0)),0)))</f>
        <v>0</v>
      </c>
      <c r="T278" s="50">
        <f>IF(H278="","",IFERROR(INDEX(Services!$K$5:$K$54,MATCH(H278,Services!$B$5:$B$54,0)),"No"))</f>
        <v>0</v>
      </c>
      <c r="U278" s="29">
        <f>IF(H278="","",ROUND(IF(O278="Per hour",P278*IF(M278="",IF(N278="",1,N278),M278),P278*IF(N278="",1,N278)),2))</f>
        <v>0</v>
      </c>
      <c r="V278" s="29">
        <f>IF(H278="","",ROUND(MAX(0,IF(G278="",1,G278)-1)*Q278,2))</f>
        <v>0</v>
      </c>
      <c r="W278" s="50">
        <f>IF(I278="","",IF(COUNTIF(HolidayDates,I278)&gt;0,"Yes","No"))</f>
        <v>0</v>
      </c>
      <c r="X278" s="50">
        <f>IF(I278="","",IF(WEEKDAY(I278,2)&gt;5,"Yes","No"))</f>
        <v>0</v>
      </c>
      <c r="Y278" s="29">
        <f>IF(H278="","",ROUND((U278+V278)*(IF(W278="Yes",R278,0)+IF(X278="Yes",S278,0)),2))</f>
        <v>0</v>
      </c>
      <c r="AA278" s="29">
        <f>IF(H278="","",IF(T278&lt;&gt;"Yes",0,ROUND(MAX(0,IF(Z278="",0,Z278)-FreeTravelDistance)*TravelFeeRate,2)))</f>
        <v>0</v>
      </c>
      <c r="AB278" s="31">
        <f>IF(I278="","",TravelTimeMins)</f>
        <v>0</v>
      </c>
      <c r="AC278" s="29">
        <f>IF(OR(I278="",B278=""),0,IF(I278-B278&lt;=LastMinuteDays,EmergencyFee,0))</f>
        <v>0</v>
      </c>
      <c r="AF278" s="29">
        <f>IF(H278="","",ROUND((U278+V278+Y278+AA278+AC278)*IF(AE278="",0,AE278),2))</f>
        <v>0</v>
      </c>
      <c r="AI278" s="29">
        <f>IF(H278="","",IF(AG278&lt;&gt;"",AG278,ROUND(U278+V278+Y278+AA278+AC278-AF278,2)))</f>
        <v>0</v>
      </c>
      <c r="AJ278" s="29">
        <f>IF(AI278="","",IF(TaxRegistered&lt;&gt;"Yes",0,IF(PricesIncludeTax="Yes",ROUND(AI278-AI278/(1+TaxRate),2),ROUND(AI278*TaxRate,2))))</f>
        <v>0</v>
      </c>
      <c r="AK278" s="29">
        <f>IF(AI278="","",IF(PricesIncludeTax="Yes",AI278,ROUND(AI278+AJ278,2)))</f>
        <v>0</v>
      </c>
      <c r="AQ278" s="21">
        <f>IF(OR(I278="",AP278="",AP278="None"),"",IF(AP278="Monthly",EDATE(I278,1),I278+IF(AP278="Daily",1,IF(AP278="Weekdays",IF(WEEKDAY(I278,2)&gt;=5,8-WEEKDAY(I278,2),1),IF(AP278="Weekly",7,IF(AP278="Fortnightly",14,0))))))</f>
        <v>0</v>
      </c>
      <c r="AR278" s="49">
        <f>IF(OR(I278="",AL278="",K278="",L278=""),"",IF(SUMPRODUCT((Bookings!$AL$5:$AL$404=AL278)*(Bookings!$I$5:$I$404=I278)*(Bookings!$K$5:$K$404&lt;L278)*(Bookings!$L$5:$L$404&gt;K278)*(Bookings!$AM$5:$AM$404&lt;&gt;"Cancelled"))&gt;1,"Conflict - double booked","OK"))</f>
        <v>0</v>
      </c>
      <c r="AS278" s="50">
        <f>IF(A278="","",IF(COUNTIF('Visit Log'!$B$5:$B$404,A278)&gt;0,"Yes","No"))</f>
        <v>0</v>
      </c>
      <c r="AT278" s="28">
        <f>IF(A278="","",IFERROR(INDEX(Invoices!$A$5:$A$304,MATCH(A278,Invoices!$E$5:$E$304,0)),""))</f>
        <v>0</v>
      </c>
      <c r="AU278" s="49">
        <f>IF(A278="","",IF(AT278="","Not invoiced",IFERROR(INDEX(Invoices!$U$5:$U$304,MATCH(AT278,Invoices!$A$5:$A$304,0)),"")))</f>
        <v>0</v>
      </c>
      <c r="AY278" s="28">
        <f>IF(I278="","",TEXT(I278,"yyyy-mm"))</f>
        <v>0</v>
      </c>
      <c r="AZ278" s="49">
        <f>IF(I278="","",IF(AM278="Cancelled","Cancelled",IF(AND(I278&lt;TODAY(),OR(AM278="Pending",AM278="Confirmed",AM278="Enquiry")),"Overdue - update status",IF(AND(AM278="Completed",AS278="No"),"Action - log the visit",IF(I278=TODAY(),"Today",IF(AND(I278&gt;TODAY(),I278-TODAY()&lt;=ReminderLeadDays,AN278&lt;&gt;"Yes"),"Action - unconfirmed",IF(AND(I278&gt;TODAY(),I278-TODAY()&lt;=ReminderLeadDays),"Upcoming","OK")))))))</f>
        <v>0</v>
      </c>
    </row>
    <row r="279" spans="1:52">
      <c r="A279" s="46">
        <f>IF(C279="","",BookingPrefix&amp;TEXT(ROW()-4,"0000"))</f>
        <v>0</v>
      </c>
      <c r="D279" s="28">
        <f>IF(C279="","",IFERROR(INDEX(Clients!$A$5:$A$254,MATCH(C279,Clients!$B$5:$B$254,0)),""))</f>
        <v>0</v>
      </c>
      <c r="J279" s="50">
        <f>IF(I279="","",TEXT(I279,"ddd"))</f>
        <v>0</v>
      </c>
      <c r="M279" s="51">
        <f>IF(OR(K279="",L279=""),"",ROUND((L279-K279+IF(L279&lt;K279,1,0))*24,2))</f>
        <v>0</v>
      </c>
      <c r="O279" s="28">
        <f>IF(H279="","",IFERROR(INDEX(Services!$E$5:$E$54,MATCH(H279,Services!$B$5:$B$54,0)),""))</f>
        <v>0</v>
      </c>
      <c r="P279" s="29">
        <f>IF(H279="","",IFERROR(INDEX(Services!$G$5:$G$54,MATCH(H279,Services!$B$5:$B$54,0)),0))</f>
        <v>0</v>
      </c>
      <c r="Q279" s="29">
        <f>IF(H279="","",IF(IFERROR(INDEX(Services!$H$5:$H$54,MATCH(H279,Services!$B$5:$B$54,0)),0)=0,ExtraPetFeeDefault,IFERROR(INDEX(Services!$H$5:$H$54,MATCH(H279,Services!$B$5:$B$54,0)),0)))</f>
        <v>0</v>
      </c>
      <c r="R279" s="30">
        <f>IF(H279="","",IF(IFERROR(INDEX(Services!$I$5:$I$54,MATCH(H279,Services!$B$5:$B$54,0)),0)=0,HolidaySurcharge,IFERROR(INDEX(Services!$I$5:$I$54,MATCH(H279,Services!$B$5:$B$54,0)),0)))</f>
        <v>0</v>
      </c>
      <c r="S279" s="30">
        <f>IF(H279="","",IF(IFERROR(INDEX(Services!$J$5:$J$54,MATCH(H279,Services!$B$5:$B$54,0)),0)=0,WeekendSurcharge,IFERROR(INDEX(Services!$J$5:$J$54,MATCH(H279,Services!$B$5:$B$54,0)),0)))</f>
        <v>0</v>
      </c>
      <c r="T279" s="50">
        <f>IF(H279="","",IFERROR(INDEX(Services!$K$5:$K$54,MATCH(H279,Services!$B$5:$B$54,0)),"No"))</f>
        <v>0</v>
      </c>
      <c r="U279" s="29">
        <f>IF(H279="","",ROUND(IF(O279="Per hour",P279*IF(M279="",IF(N279="",1,N279),M279),P279*IF(N279="",1,N279)),2))</f>
        <v>0</v>
      </c>
      <c r="V279" s="29">
        <f>IF(H279="","",ROUND(MAX(0,IF(G279="",1,G279)-1)*Q279,2))</f>
        <v>0</v>
      </c>
      <c r="W279" s="50">
        <f>IF(I279="","",IF(COUNTIF(HolidayDates,I279)&gt;0,"Yes","No"))</f>
        <v>0</v>
      </c>
      <c r="X279" s="50">
        <f>IF(I279="","",IF(WEEKDAY(I279,2)&gt;5,"Yes","No"))</f>
        <v>0</v>
      </c>
      <c r="Y279" s="29">
        <f>IF(H279="","",ROUND((U279+V279)*(IF(W279="Yes",R279,0)+IF(X279="Yes",S279,0)),2))</f>
        <v>0</v>
      </c>
      <c r="AA279" s="29">
        <f>IF(H279="","",IF(T279&lt;&gt;"Yes",0,ROUND(MAX(0,IF(Z279="",0,Z279)-FreeTravelDistance)*TravelFeeRate,2)))</f>
        <v>0</v>
      </c>
      <c r="AB279" s="31">
        <f>IF(I279="","",TravelTimeMins)</f>
        <v>0</v>
      </c>
      <c r="AC279" s="29">
        <f>IF(OR(I279="",B279=""),0,IF(I279-B279&lt;=LastMinuteDays,EmergencyFee,0))</f>
        <v>0</v>
      </c>
      <c r="AF279" s="29">
        <f>IF(H279="","",ROUND((U279+V279+Y279+AA279+AC279)*IF(AE279="",0,AE279),2))</f>
        <v>0</v>
      </c>
      <c r="AI279" s="29">
        <f>IF(H279="","",IF(AG279&lt;&gt;"",AG279,ROUND(U279+V279+Y279+AA279+AC279-AF279,2)))</f>
        <v>0</v>
      </c>
      <c r="AJ279" s="29">
        <f>IF(AI279="","",IF(TaxRegistered&lt;&gt;"Yes",0,IF(PricesIncludeTax="Yes",ROUND(AI279-AI279/(1+TaxRate),2),ROUND(AI279*TaxRate,2))))</f>
        <v>0</v>
      </c>
      <c r="AK279" s="29">
        <f>IF(AI279="","",IF(PricesIncludeTax="Yes",AI279,ROUND(AI279+AJ279,2)))</f>
        <v>0</v>
      </c>
      <c r="AQ279" s="21">
        <f>IF(OR(I279="",AP279="",AP279="None"),"",IF(AP279="Monthly",EDATE(I279,1),I279+IF(AP279="Daily",1,IF(AP279="Weekdays",IF(WEEKDAY(I279,2)&gt;=5,8-WEEKDAY(I279,2),1),IF(AP279="Weekly",7,IF(AP279="Fortnightly",14,0))))))</f>
        <v>0</v>
      </c>
      <c r="AR279" s="49">
        <f>IF(OR(I279="",AL279="",K279="",L279=""),"",IF(SUMPRODUCT((Bookings!$AL$5:$AL$404=AL279)*(Bookings!$I$5:$I$404=I279)*(Bookings!$K$5:$K$404&lt;L279)*(Bookings!$L$5:$L$404&gt;K279)*(Bookings!$AM$5:$AM$404&lt;&gt;"Cancelled"))&gt;1,"Conflict - double booked","OK"))</f>
        <v>0</v>
      </c>
      <c r="AS279" s="50">
        <f>IF(A279="","",IF(COUNTIF('Visit Log'!$B$5:$B$404,A279)&gt;0,"Yes","No"))</f>
        <v>0</v>
      </c>
      <c r="AT279" s="28">
        <f>IF(A279="","",IFERROR(INDEX(Invoices!$A$5:$A$304,MATCH(A279,Invoices!$E$5:$E$304,0)),""))</f>
        <v>0</v>
      </c>
      <c r="AU279" s="49">
        <f>IF(A279="","",IF(AT279="","Not invoiced",IFERROR(INDEX(Invoices!$U$5:$U$304,MATCH(AT279,Invoices!$A$5:$A$304,0)),"")))</f>
        <v>0</v>
      </c>
      <c r="AY279" s="28">
        <f>IF(I279="","",TEXT(I279,"yyyy-mm"))</f>
        <v>0</v>
      </c>
      <c r="AZ279" s="49">
        <f>IF(I279="","",IF(AM279="Cancelled","Cancelled",IF(AND(I279&lt;TODAY(),OR(AM279="Pending",AM279="Confirmed",AM279="Enquiry")),"Overdue - update status",IF(AND(AM279="Completed",AS279="No"),"Action - log the visit",IF(I279=TODAY(),"Today",IF(AND(I279&gt;TODAY(),I279-TODAY()&lt;=ReminderLeadDays,AN279&lt;&gt;"Yes"),"Action - unconfirmed",IF(AND(I279&gt;TODAY(),I279-TODAY()&lt;=ReminderLeadDays),"Upcoming","OK")))))))</f>
        <v>0</v>
      </c>
    </row>
    <row r="280" spans="1:52">
      <c r="A280" s="46">
        <f>IF(C280="","",BookingPrefix&amp;TEXT(ROW()-4,"0000"))</f>
        <v>0</v>
      </c>
      <c r="D280" s="28">
        <f>IF(C280="","",IFERROR(INDEX(Clients!$A$5:$A$254,MATCH(C280,Clients!$B$5:$B$254,0)),""))</f>
        <v>0</v>
      </c>
      <c r="J280" s="50">
        <f>IF(I280="","",TEXT(I280,"ddd"))</f>
        <v>0</v>
      </c>
      <c r="M280" s="51">
        <f>IF(OR(K280="",L280=""),"",ROUND((L280-K280+IF(L280&lt;K280,1,0))*24,2))</f>
        <v>0</v>
      </c>
      <c r="O280" s="28">
        <f>IF(H280="","",IFERROR(INDEX(Services!$E$5:$E$54,MATCH(H280,Services!$B$5:$B$54,0)),""))</f>
        <v>0</v>
      </c>
      <c r="P280" s="29">
        <f>IF(H280="","",IFERROR(INDEX(Services!$G$5:$G$54,MATCH(H280,Services!$B$5:$B$54,0)),0))</f>
        <v>0</v>
      </c>
      <c r="Q280" s="29">
        <f>IF(H280="","",IF(IFERROR(INDEX(Services!$H$5:$H$54,MATCH(H280,Services!$B$5:$B$54,0)),0)=0,ExtraPetFeeDefault,IFERROR(INDEX(Services!$H$5:$H$54,MATCH(H280,Services!$B$5:$B$54,0)),0)))</f>
        <v>0</v>
      </c>
      <c r="R280" s="30">
        <f>IF(H280="","",IF(IFERROR(INDEX(Services!$I$5:$I$54,MATCH(H280,Services!$B$5:$B$54,0)),0)=0,HolidaySurcharge,IFERROR(INDEX(Services!$I$5:$I$54,MATCH(H280,Services!$B$5:$B$54,0)),0)))</f>
        <v>0</v>
      </c>
      <c r="S280" s="30">
        <f>IF(H280="","",IF(IFERROR(INDEX(Services!$J$5:$J$54,MATCH(H280,Services!$B$5:$B$54,0)),0)=0,WeekendSurcharge,IFERROR(INDEX(Services!$J$5:$J$54,MATCH(H280,Services!$B$5:$B$54,0)),0)))</f>
        <v>0</v>
      </c>
      <c r="T280" s="50">
        <f>IF(H280="","",IFERROR(INDEX(Services!$K$5:$K$54,MATCH(H280,Services!$B$5:$B$54,0)),"No"))</f>
        <v>0</v>
      </c>
      <c r="U280" s="29">
        <f>IF(H280="","",ROUND(IF(O280="Per hour",P280*IF(M280="",IF(N280="",1,N280),M280),P280*IF(N280="",1,N280)),2))</f>
        <v>0</v>
      </c>
      <c r="V280" s="29">
        <f>IF(H280="","",ROUND(MAX(0,IF(G280="",1,G280)-1)*Q280,2))</f>
        <v>0</v>
      </c>
      <c r="W280" s="50">
        <f>IF(I280="","",IF(COUNTIF(HolidayDates,I280)&gt;0,"Yes","No"))</f>
        <v>0</v>
      </c>
      <c r="X280" s="50">
        <f>IF(I280="","",IF(WEEKDAY(I280,2)&gt;5,"Yes","No"))</f>
        <v>0</v>
      </c>
      <c r="Y280" s="29">
        <f>IF(H280="","",ROUND((U280+V280)*(IF(W280="Yes",R280,0)+IF(X280="Yes",S280,0)),2))</f>
        <v>0</v>
      </c>
      <c r="AA280" s="29">
        <f>IF(H280="","",IF(T280&lt;&gt;"Yes",0,ROUND(MAX(0,IF(Z280="",0,Z280)-FreeTravelDistance)*TravelFeeRate,2)))</f>
        <v>0</v>
      </c>
      <c r="AB280" s="31">
        <f>IF(I280="","",TravelTimeMins)</f>
        <v>0</v>
      </c>
      <c r="AC280" s="29">
        <f>IF(OR(I280="",B280=""),0,IF(I280-B280&lt;=LastMinuteDays,EmergencyFee,0))</f>
        <v>0</v>
      </c>
      <c r="AF280" s="29">
        <f>IF(H280="","",ROUND((U280+V280+Y280+AA280+AC280)*IF(AE280="",0,AE280),2))</f>
        <v>0</v>
      </c>
      <c r="AI280" s="29">
        <f>IF(H280="","",IF(AG280&lt;&gt;"",AG280,ROUND(U280+V280+Y280+AA280+AC280-AF280,2)))</f>
        <v>0</v>
      </c>
      <c r="AJ280" s="29">
        <f>IF(AI280="","",IF(TaxRegistered&lt;&gt;"Yes",0,IF(PricesIncludeTax="Yes",ROUND(AI280-AI280/(1+TaxRate),2),ROUND(AI280*TaxRate,2))))</f>
        <v>0</v>
      </c>
      <c r="AK280" s="29">
        <f>IF(AI280="","",IF(PricesIncludeTax="Yes",AI280,ROUND(AI280+AJ280,2)))</f>
        <v>0</v>
      </c>
      <c r="AQ280" s="21">
        <f>IF(OR(I280="",AP280="",AP280="None"),"",IF(AP280="Monthly",EDATE(I280,1),I280+IF(AP280="Daily",1,IF(AP280="Weekdays",IF(WEEKDAY(I280,2)&gt;=5,8-WEEKDAY(I280,2),1),IF(AP280="Weekly",7,IF(AP280="Fortnightly",14,0))))))</f>
        <v>0</v>
      </c>
      <c r="AR280" s="49">
        <f>IF(OR(I280="",AL280="",K280="",L280=""),"",IF(SUMPRODUCT((Bookings!$AL$5:$AL$404=AL280)*(Bookings!$I$5:$I$404=I280)*(Bookings!$K$5:$K$404&lt;L280)*(Bookings!$L$5:$L$404&gt;K280)*(Bookings!$AM$5:$AM$404&lt;&gt;"Cancelled"))&gt;1,"Conflict - double booked","OK"))</f>
        <v>0</v>
      </c>
      <c r="AS280" s="50">
        <f>IF(A280="","",IF(COUNTIF('Visit Log'!$B$5:$B$404,A280)&gt;0,"Yes","No"))</f>
        <v>0</v>
      </c>
      <c r="AT280" s="28">
        <f>IF(A280="","",IFERROR(INDEX(Invoices!$A$5:$A$304,MATCH(A280,Invoices!$E$5:$E$304,0)),""))</f>
        <v>0</v>
      </c>
      <c r="AU280" s="49">
        <f>IF(A280="","",IF(AT280="","Not invoiced",IFERROR(INDEX(Invoices!$U$5:$U$304,MATCH(AT280,Invoices!$A$5:$A$304,0)),"")))</f>
        <v>0</v>
      </c>
      <c r="AY280" s="28">
        <f>IF(I280="","",TEXT(I280,"yyyy-mm"))</f>
        <v>0</v>
      </c>
      <c r="AZ280" s="49">
        <f>IF(I280="","",IF(AM280="Cancelled","Cancelled",IF(AND(I280&lt;TODAY(),OR(AM280="Pending",AM280="Confirmed",AM280="Enquiry")),"Overdue - update status",IF(AND(AM280="Completed",AS280="No"),"Action - log the visit",IF(I280=TODAY(),"Today",IF(AND(I280&gt;TODAY(),I280-TODAY()&lt;=ReminderLeadDays,AN280&lt;&gt;"Yes"),"Action - unconfirmed",IF(AND(I280&gt;TODAY(),I280-TODAY()&lt;=ReminderLeadDays),"Upcoming","OK")))))))</f>
        <v>0</v>
      </c>
    </row>
    <row r="281" spans="1:52">
      <c r="A281" s="46">
        <f>IF(C281="","",BookingPrefix&amp;TEXT(ROW()-4,"0000"))</f>
        <v>0</v>
      </c>
      <c r="D281" s="28">
        <f>IF(C281="","",IFERROR(INDEX(Clients!$A$5:$A$254,MATCH(C281,Clients!$B$5:$B$254,0)),""))</f>
        <v>0</v>
      </c>
      <c r="J281" s="50">
        <f>IF(I281="","",TEXT(I281,"ddd"))</f>
        <v>0</v>
      </c>
      <c r="M281" s="51">
        <f>IF(OR(K281="",L281=""),"",ROUND((L281-K281+IF(L281&lt;K281,1,0))*24,2))</f>
        <v>0</v>
      </c>
      <c r="O281" s="28">
        <f>IF(H281="","",IFERROR(INDEX(Services!$E$5:$E$54,MATCH(H281,Services!$B$5:$B$54,0)),""))</f>
        <v>0</v>
      </c>
      <c r="P281" s="29">
        <f>IF(H281="","",IFERROR(INDEX(Services!$G$5:$G$54,MATCH(H281,Services!$B$5:$B$54,0)),0))</f>
        <v>0</v>
      </c>
      <c r="Q281" s="29">
        <f>IF(H281="","",IF(IFERROR(INDEX(Services!$H$5:$H$54,MATCH(H281,Services!$B$5:$B$54,0)),0)=0,ExtraPetFeeDefault,IFERROR(INDEX(Services!$H$5:$H$54,MATCH(H281,Services!$B$5:$B$54,0)),0)))</f>
        <v>0</v>
      </c>
      <c r="R281" s="30">
        <f>IF(H281="","",IF(IFERROR(INDEX(Services!$I$5:$I$54,MATCH(H281,Services!$B$5:$B$54,0)),0)=0,HolidaySurcharge,IFERROR(INDEX(Services!$I$5:$I$54,MATCH(H281,Services!$B$5:$B$54,0)),0)))</f>
        <v>0</v>
      </c>
      <c r="S281" s="30">
        <f>IF(H281="","",IF(IFERROR(INDEX(Services!$J$5:$J$54,MATCH(H281,Services!$B$5:$B$54,0)),0)=0,WeekendSurcharge,IFERROR(INDEX(Services!$J$5:$J$54,MATCH(H281,Services!$B$5:$B$54,0)),0)))</f>
        <v>0</v>
      </c>
      <c r="T281" s="50">
        <f>IF(H281="","",IFERROR(INDEX(Services!$K$5:$K$54,MATCH(H281,Services!$B$5:$B$54,0)),"No"))</f>
        <v>0</v>
      </c>
      <c r="U281" s="29">
        <f>IF(H281="","",ROUND(IF(O281="Per hour",P281*IF(M281="",IF(N281="",1,N281),M281),P281*IF(N281="",1,N281)),2))</f>
        <v>0</v>
      </c>
      <c r="V281" s="29">
        <f>IF(H281="","",ROUND(MAX(0,IF(G281="",1,G281)-1)*Q281,2))</f>
        <v>0</v>
      </c>
      <c r="W281" s="50">
        <f>IF(I281="","",IF(COUNTIF(HolidayDates,I281)&gt;0,"Yes","No"))</f>
        <v>0</v>
      </c>
      <c r="X281" s="50">
        <f>IF(I281="","",IF(WEEKDAY(I281,2)&gt;5,"Yes","No"))</f>
        <v>0</v>
      </c>
      <c r="Y281" s="29">
        <f>IF(H281="","",ROUND((U281+V281)*(IF(W281="Yes",R281,0)+IF(X281="Yes",S281,0)),2))</f>
        <v>0</v>
      </c>
      <c r="AA281" s="29">
        <f>IF(H281="","",IF(T281&lt;&gt;"Yes",0,ROUND(MAX(0,IF(Z281="",0,Z281)-FreeTravelDistance)*TravelFeeRate,2)))</f>
        <v>0</v>
      </c>
      <c r="AB281" s="31">
        <f>IF(I281="","",TravelTimeMins)</f>
        <v>0</v>
      </c>
      <c r="AC281" s="29">
        <f>IF(OR(I281="",B281=""),0,IF(I281-B281&lt;=LastMinuteDays,EmergencyFee,0))</f>
        <v>0</v>
      </c>
      <c r="AF281" s="29">
        <f>IF(H281="","",ROUND((U281+V281+Y281+AA281+AC281)*IF(AE281="",0,AE281),2))</f>
        <v>0</v>
      </c>
      <c r="AI281" s="29">
        <f>IF(H281="","",IF(AG281&lt;&gt;"",AG281,ROUND(U281+V281+Y281+AA281+AC281-AF281,2)))</f>
        <v>0</v>
      </c>
      <c r="AJ281" s="29">
        <f>IF(AI281="","",IF(TaxRegistered&lt;&gt;"Yes",0,IF(PricesIncludeTax="Yes",ROUND(AI281-AI281/(1+TaxRate),2),ROUND(AI281*TaxRate,2))))</f>
        <v>0</v>
      </c>
      <c r="AK281" s="29">
        <f>IF(AI281="","",IF(PricesIncludeTax="Yes",AI281,ROUND(AI281+AJ281,2)))</f>
        <v>0</v>
      </c>
      <c r="AQ281" s="21">
        <f>IF(OR(I281="",AP281="",AP281="None"),"",IF(AP281="Monthly",EDATE(I281,1),I281+IF(AP281="Daily",1,IF(AP281="Weekdays",IF(WEEKDAY(I281,2)&gt;=5,8-WEEKDAY(I281,2),1),IF(AP281="Weekly",7,IF(AP281="Fortnightly",14,0))))))</f>
        <v>0</v>
      </c>
      <c r="AR281" s="49">
        <f>IF(OR(I281="",AL281="",K281="",L281=""),"",IF(SUMPRODUCT((Bookings!$AL$5:$AL$404=AL281)*(Bookings!$I$5:$I$404=I281)*(Bookings!$K$5:$K$404&lt;L281)*(Bookings!$L$5:$L$404&gt;K281)*(Bookings!$AM$5:$AM$404&lt;&gt;"Cancelled"))&gt;1,"Conflict - double booked","OK"))</f>
        <v>0</v>
      </c>
      <c r="AS281" s="50">
        <f>IF(A281="","",IF(COUNTIF('Visit Log'!$B$5:$B$404,A281)&gt;0,"Yes","No"))</f>
        <v>0</v>
      </c>
      <c r="AT281" s="28">
        <f>IF(A281="","",IFERROR(INDEX(Invoices!$A$5:$A$304,MATCH(A281,Invoices!$E$5:$E$304,0)),""))</f>
        <v>0</v>
      </c>
      <c r="AU281" s="49">
        <f>IF(A281="","",IF(AT281="","Not invoiced",IFERROR(INDEX(Invoices!$U$5:$U$304,MATCH(AT281,Invoices!$A$5:$A$304,0)),"")))</f>
        <v>0</v>
      </c>
      <c r="AY281" s="28">
        <f>IF(I281="","",TEXT(I281,"yyyy-mm"))</f>
        <v>0</v>
      </c>
      <c r="AZ281" s="49">
        <f>IF(I281="","",IF(AM281="Cancelled","Cancelled",IF(AND(I281&lt;TODAY(),OR(AM281="Pending",AM281="Confirmed",AM281="Enquiry")),"Overdue - update status",IF(AND(AM281="Completed",AS281="No"),"Action - log the visit",IF(I281=TODAY(),"Today",IF(AND(I281&gt;TODAY(),I281-TODAY()&lt;=ReminderLeadDays,AN281&lt;&gt;"Yes"),"Action - unconfirmed",IF(AND(I281&gt;TODAY(),I281-TODAY()&lt;=ReminderLeadDays),"Upcoming","OK")))))))</f>
        <v>0</v>
      </c>
    </row>
    <row r="282" spans="1:52">
      <c r="A282" s="46">
        <f>IF(C282="","",BookingPrefix&amp;TEXT(ROW()-4,"0000"))</f>
        <v>0</v>
      </c>
      <c r="D282" s="28">
        <f>IF(C282="","",IFERROR(INDEX(Clients!$A$5:$A$254,MATCH(C282,Clients!$B$5:$B$254,0)),""))</f>
        <v>0</v>
      </c>
      <c r="J282" s="50">
        <f>IF(I282="","",TEXT(I282,"ddd"))</f>
        <v>0</v>
      </c>
      <c r="M282" s="51">
        <f>IF(OR(K282="",L282=""),"",ROUND((L282-K282+IF(L282&lt;K282,1,0))*24,2))</f>
        <v>0</v>
      </c>
      <c r="O282" s="28">
        <f>IF(H282="","",IFERROR(INDEX(Services!$E$5:$E$54,MATCH(H282,Services!$B$5:$B$54,0)),""))</f>
        <v>0</v>
      </c>
      <c r="P282" s="29">
        <f>IF(H282="","",IFERROR(INDEX(Services!$G$5:$G$54,MATCH(H282,Services!$B$5:$B$54,0)),0))</f>
        <v>0</v>
      </c>
      <c r="Q282" s="29">
        <f>IF(H282="","",IF(IFERROR(INDEX(Services!$H$5:$H$54,MATCH(H282,Services!$B$5:$B$54,0)),0)=0,ExtraPetFeeDefault,IFERROR(INDEX(Services!$H$5:$H$54,MATCH(H282,Services!$B$5:$B$54,0)),0)))</f>
        <v>0</v>
      </c>
      <c r="R282" s="30">
        <f>IF(H282="","",IF(IFERROR(INDEX(Services!$I$5:$I$54,MATCH(H282,Services!$B$5:$B$54,0)),0)=0,HolidaySurcharge,IFERROR(INDEX(Services!$I$5:$I$54,MATCH(H282,Services!$B$5:$B$54,0)),0)))</f>
        <v>0</v>
      </c>
      <c r="S282" s="30">
        <f>IF(H282="","",IF(IFERROR(INDEX(Services!$J$5:$J$54,MATCH(H282,Services!$B$5:$B$54,0)),0)=0,WeekendSurcharge,IFERROR(INDEX(Services!$J$5:$J$54,MATCH(H282,Services!$B$5:$B$54,0)),0)))</f>
        <v>0</v>
      </c>
      <c r="T282" s="50">
        <f>IF(H282="","",IFERROR(INDEX(Services!$K$5:$K$54,MATCH(H282,Services!$B$5:$B$54,0)),"No"))</f>
        <v>0</v>
      </c>
      <c r="U282" s="29">
        <f>IF(H282="","",ROUND(IF(O282="Per hour",P282*IF(M282="",IF(N282="",1,N282),M282),P282*IF(N282="",1,N282)),2))</f>
        <v>0</v>
      </c>
      <c r="V282" s="29">
        <f>IF(H282="","",ROUND(MAX(0,IF(G282="",1,G282)-1)*Q282,2))</f>
        <v>0</v>
      </c>
      <c r="W282" s="50">
        <f>IF(I282="","",IF(COUNTIF(HolidayDates,I282)&gt;0,"Yes","No"))</f>
        <v>0</v>
      </c>
      <c r="X282" s="50">
        <f>IF(I282="","",IF(WEEKDAY(I282,2)&gt;5,"Yes","No"))</f>
        <v>0</v>
      </c>
      <c r="Y282" s="29">
        <f>IF(H282="","",ROUND((U282+V282)*(IF(W282="Yes",R282,0)+IF(X282="Yes",S282,0)),2))</f>
        <v>0</v>
      </c>
      <c r="AA282" s="29">
        <f>IF(H282="","",IF(T282&lt;&gt;"Yes",0,ROUND(MAX(0,IF(Z282="",0,Z282)-FreeTravelDistance)*TravelFeeRate,2)))</f>
        <v>0</v>
      </c>
      <c r="AB282" s="31">
        <f>IF(I282="","",TravelTimeMins)</f>
        <v>0</v>
      </c>
      <c r="AC282" s="29">
        <f>IF(OR(I282="",B282=""),0,IF(I282-B282&lt;=LastMinuteDays,EmergencyFee,0))</f>
        <v>0</v>
      </c>
      <c r="AF282" s="29">
        <f>IF(H282="","",ROUND((U282+V282+Y282+AA282+AC282)*IF(AE282="",0,AE282),2))</f>
        <v>0</v>
      </c>
      <c r="AI282" s="29">
        <f>IF(H282="","",IF(AG282&lt;&gt;"",AG282,ROUND(U282+V282+Y282+AA282+AC282-AF282,2)))</f>
        <v>0</v>
      </c>
      <c r="AJ282" s="29">
        <f>IF(AI282="","",IF(TaxRegistered&lt;&gt;"Yes",0,IF(PricesIncludeTax="Yes",ROUND(AI282-AI282/(1+TaxRate),2),ROUND(AI282*TaxRate,2))))</f>
        <v>0</v>
      </c>
      <c r="AK282" s="29">
        <f>IF(AI282="","",IF(PricesIncludeTax="Yes",AI282,ROUND(AI282+AJ282,2)))</f>
        <v>0</v>
      </c>
      <c r="AQ282" s="21">
        <f>IF(OR(I282="",AP282="",AP282="None"),"",IF(AP282="Monthly",EDATE(I282,1),I282+IF(AP282="Daily",1,IF(AP282="Weekdays",IF(WEEKDAY(I282,2)&gt;=5,8-WEEKDAY(I282,2),1),IF(AP282="Weekly",7,IF(AP282="Fortnightly",14,0))))))</f>
        <v>0</v>
      </c>
      <c r="AR282" s="49">
        <f>IF(OR(I282="",AL282="",K282="",L282=""),"",IF(SUMPRODUCT((Bookings!$AL$5:$AL$404=AL282)*(Bookings!$I$5:$I$404=I282)*(Bookings!$K$5:$K$404&lt;L282)*(Bookings!$L$5:$L$404&gt;K282)*(Bookings!$AM$5:$AM$404&lt;&gt;"Cancelled"))&gt;1,"Conflict - double booked","OK"))</f>
        <v>0</v>
      </c>
      <c r="AS282" s="50">
        <f>IF(A282="","",IF(COUNTIF('Visit Log'!$B$5:$B$404,A282)&gt;0,"Yes","No"))</f>
        <v>0</v>
      </c>
      <c r="AT282" s="28">
        <f>IF(A282="","",IFERROR(INDEX(Invoices!$A$5:$A$304,MATCH(A282,Invoices!$E$5:$E$304,0)),""))</f>
        <v>0</v>
      </c>
      <c r="AU282" s="49">
        <f>IF(A282="","",IF(AT282="","Not invoiced",IFERROR(INDEX(Invoices!$U$5:$U$304,MATCH(AT282,Invoices!$A$5:$A$304,0)),"")))</f>
        <v>0</v>
      </c>
      <c r="AY282" s="28">
        <f>IF(I282="","",TEXT(I282,"yyyy-mm"))</f>
        <v>0</v>
      </c>
      <c r="AZ282" s="49">
        <f>IF(I282="","",IF(AM282="Cancelled","Cancelled",IF(AND(I282&lt;TODAY(),OR(AM282="Pending",AM282="Confirmed",AM282="Enquiry")),"Overdue - update status",IF(AND(AM282="Completed",AS282="No"),"Action - log the visit",IF(I282=TODAY(),"Today",IF(AND(I282&gt;TODAY(),I282-TODAY()&lt;=ReminderLeadDays,AN282&lt;&gt;"Yes"),"Action - unconfirmed",IF(AND(I282&gt;TODAY(),I282-TODAY()&lt;=ReminderLeadDays),"Upcoming","OK")))))))</f>
        <v>0</v>
      </c>
    </row>
    <row r="283" spans="1:52">
      <c r="A283" s="46">
        <f>IF(C283="","",BookingPrefix&amp;TEXT(ROW()-4,"0000"))</f>
        <v>0</v>
      </c>
      <c r="D283" s="28">
        <f>IF(C283="","",IFERROR(INDEX(Clients!$A$5:$A$254,MATCH(C283,Clients!$B$5:$B$254,0)),""))</f>
        <v>0</v>
      </c>
      <c r="J283" s="50">
        <f>IF(I283="","",TEXT(I283,"ddd"))</f>
        <v>0</v>
      </c>
      <c r="M283" s="51">
        <f>IF(OR(K283="",L283=""),"",ROUND((L283-K283+IF(L283&lt;K283,1,0))*24,2))</f>
        <v>0</v>
      </c>
      <c r="O283" s="28">
        <f>IF(H283="","",IFERROR(INDEX(Services!$E$5:$E$54,MATCH(H283,Services!$B$5:$B$54,0)),""))</f>
        <v>0</v>
      </c>
      <c r="P283" s="29">
        <f>IF(H283="","",IFERROR(INDEX(Services!$G$5:$G$54,MATCH(H283,Services!$B$5:$B$54,0)),0))</f>
        <v>0</v>
      </c>
      <c r="Q283" s="29">
        <f>IF(H283="","",IF(IFERROR(INDEX(Services!$H$5:$H$54,MATCH(H283,Services!$B$5:$B$54,0)),0)=0,ExtraPetFeeDefault,IFERROR(INDEX(Services!$H$5:$H$54,MATCH(H283,Services!$B$5:$B$54,0)),0)))</f>
        <v>0</v>
      </c>
      <c r="R283" s="30">
        <f>IF(H283="","",IF(IFERROR(INDEX(Services!$I$5:$I$54,MATCH(H283,Services!$B$5:$B$54,0)),0)=0,HolidaySurcharge,IFERROR(INDEX(Services!$I$5:$I$54,MATCH(H283,Services!$B$5:$B$54,0)),0)))</f>
        <v>0</v>
      </c>
      <c r="S283" s="30">
        <f>IF(H283="","",IF(IFERROR(INDEX(Services!$J$5:$J$54,MATCH(H283,Services!$B$5:$B$54,0)),0)=0,WeekendSurcharge,IFERROR(INDEX(Services!$J$5:$J$54,MATCH(H283,Services!$B$5:$B$54,0)),0)))</f>
        <v>0</v>
      </c>
      <c r="T283" s="50">
        <f>IF(H283="","",IFERROR(INDEX(Services!$K$5:$K$54,MATCH(H283,Services!$B$5:$B$54,0)),"No"))</f>
        <v>0</v>
      </c>
      <c r="U283" s="29">
        <f>IF(H283="","",ROUND(IF(O283="Per hour",P283*IF(M283="",IF(N283="",1,N283),M283),P283*IF(N283="",1,N283)),2))</f>
        <v>0</v>
      </c>
      <c r="V283" s="29">
        <f>IF(H283="","",ROUND(MAX(0,IF(G283="",1,G283)-1)*Q283,2))</f>
        <v>0</v>
      </c>
      <c r="W283" s="50">
        <f>IF(I283="","",IF(COUNTIF(HolidayDates,I283)&gt;0,"Yes","No"))</f>
        <v>0</v>
      </c>
      <c r="X283" s="50">
        <f>IF(I283="","",IF(WEEKDAY(I283,2)&gt;5,"Yes","No"))</f>
        <v>0</v>
      </c>
      <c r="Y283" s="29">
        <f>IF(H283="","",ROUND((U283+V283)*(IF(W283="Yes",R283,0)+IF(X283="Yes",S283,0)),2))</f>
        <v>0</v>
      </c>
      <c r="AA283" s="29">
        <f>IF(H283="","",IF(T283&lt;&gt;"Yes",0,ROUND(MAX(0,IF(Z283="",0,Z283)-FreeTravelDistance)*TravelFeeRate,2)))</f>
        <v>0</v>
      </c>
      <c r="AB283" s="31">
        <f>IF(I283="","",TravelTimeMins)</f>
        <v>0</v>
      </c>
      <c r="AC283" s="29">
        <f>IF(OR(I283="",B283=""),0,IF(I283-B283&lt;=LastMinuteDays,EmergencyFee,0))</f>
        <v>0</v>
      </c>
      <c r="AF283" s="29">
        <f>IF(H283="","",ROUND((U283+V283+Y283+AA283+AC283)*IF(AE283="",0,AE283),2))</f>
        <v>0</v>
      </c>
      <c r="AI283" s="29">
        <f>IF(H283="","",IF(AG283&lt;&gt;"",AG283,ROUND(U283+V283+Y283+AA283+AC283-AF283,2)))</f>
        <v>0</v>
      </c>
      <c r="AJ283" s="29">
        <f>IF(AI283="","",IF(TaxRegistered&lt;&gt;"Yes",0,IF(PricesIncludeTax="Yes",ROUND(AI283-AI283/(1+TaxRate),2),ROUND(AI283*TaxRate,2))))</f>
        <v>0</v>
      </c>
      <c r="AK283" s="29">
        <f>IF(AI283="","",IF(PricesIncludeTax="Yes",AI283,ROUND(AI283+AJ283,2)))</f>
        <v>0</v>
      </c>
      <c r="AQ283" s="21">
        <f>IF(OR(I283="",AP283="",AP283="None"),"",IF(AP283="Monthly",EDATE(I283,1),I283+IF(AP283="Daily",1,IF(AP283="Weekdays",IF(WEEKDAY(I283,2)&gt;=5,8-WEEKDAY(I283,2),1),IF(AP283="Weekly",7,IF(AP283="Fortnightly",14,0))))))</f>
        <v>0</v>
      </c>
      <c r="AR283" s="49">
        <f>IF(OR(I283="",AL283="",K283="",L283=""),"",IF(SUMPRODUCT((Bookings!$AL$5:$AL$404=AL283)*(Bookings!$I$5:$I$404=I283)*(Bookings!$K$5:$K$404&lt;L283)*(Bookings!$L$5:$L$404&gt;K283)*(Bookings!$AM$5:$AM$404&lt;&gt;"Cancelled"))&gt;1,"Conflict - double booked","OK"))</f>
        <v>0</v>
      </c>
      <c r="AS283" s="50">
        <f>IF(A283="","",IF(COUNTIF('Visit Log'!$B$5:$B$404,A283)&gt;0,"Yes","No"))</f>
        <v>0</v>
      </c>
      <c r="AT283" s="28">
        <f>IF(A283="","",IFERROR(INDEX(Invoices!$A$5:$A$304,MATCH(A283,Invoices!$E$5:$E$304,0)),""))</f>
        <v>0</v>
      </c>
      <c r="AU283" s="49">
        <f>IF(A283="","",IF(AT283="","Not invoiced",IFERROR(INDEX(Invoices!$U$5:$U$304,MATCH(AT283,Invoices!$A$5:$A$304,0)),"")))</f>
        <v>0</v>
      </c>
      <c r="AY283" s="28">
        <f>IF(I283="","",TEXT(I283,"yyyy-mm"))</f>
        <v>0</v>
      </c>
      <c r="AZ283" s="49">
        <f>IF(I283="","",IF(AM283="Cancelled","Cancelled",IF(AND(I283&lt;TODAY(),OR(AM283="Pending",AM283="Confirmed",AM283="Enquiry")),"Overdue - update status",IF(AND(AM283="Completed",AS283="No"),"Action - log the visit",IF(I283=TODAY(),"Today",IF(AND(I283&gt;TODAY(),I283-TODAY()&lt;=ReminderLeadDays,AN283&lt;&gt;"Yes"),"Action - unconfirmed",IF(AND(I283&gt;TODAY(),I283-TODAY()&lt;=ReminderLeadDays),"Upcoming","OK")))))))</f>
        <v>0</v>
      </c>
    </row>
    <row r="284" spans="1:52">
      <c r="A284" s="46">
        <f>IF(C284="","",BookingPrefix&amp;TEXT(ROW()-4,"0000"))</f>
        <v>0</v>
      </c>
      <c r="D284" s="28">
        <f>IF(C284="","",IFERROR(INDEX(Clients!$A$5:$A$254,MATCH(C284,Clients!$B$5:$B$254,0)),""))</f>
        <v>0</v>
      </c>
      <c r="J284" s="50">
        <f>IF(I284="","",TEXT(I284,"ddd"))</f>
        <v>0</v>
      </c>
      <c r="M284" s="51">
        <f>IF(OR(K284="",L284=""),"",ROUND((L284-K284+IF(L284&lt;K284,1,0))*24,2))</f>
        <v>0</v>
      </c>
      <c r="O284" s="28">
        <f>IF(H284="","",IFERROR(INDEX(Services!$E$5:$E$54,MATCH(H284,Services!$B$5:$B$54,0)),""))</f>
        <v>0</v>
      </c>
      <c r="P284" s="29">
        <f>IF(H284="","",IFERROR(INDEX(Services!$G$5:$G$54,MATCH(H284,Services!$B$5:$B$54,0)),0))</f>
        <v>0</v>
      </c>
      <c r="Q284" s="29">
        <f>IF(H284="","",IF(IFERROR(INDEX(Services!$H$5:$H$54,MATCH(H284,Services!$B$5:$B$54,0)),0)=0,ExtraPetFeeDefault,IFERROR(INDEX(Services!$H$5:$H$54,MATCH(H284,Services!$B$5:$B$54,0)),0)))</f>
        <v>0</v>
      </c>
      <c r="R284" s="30">
        <f>IF(H284="","",IF(IFERROR(INDEX(Services!$I$5:$I$54,MATCH(H284,Services!$B$5:$B$54,0)),0)=0,HolidaySurcharge,IFERROR(INDEX(Services!$I$5:$I$54,MATCH(H284,Services!$B$5:$B$54,0)),0)))</f>
        <v>0</v>
      </c>
      <c r="S284" s="30">
        <f>IF(H284="","",IF(IFERROR(INDEX(Services!$J$5:$J$54,MATCH(H284,Services!$B$5:$B$54,0)),0)=0,WeekendSurcharge,IFERROR(INDEX(Services!$J$5:$J$54,MATCH(H284,Services!$B$5:$B$54,0)),0)))</f>
        <v>0</v>
      </c>
      <c r="T284" s="50">
        <f>IF(H284="","",IFERROR(INDEX(Services!$K$5:$K$54,MATCH(H284,Services!$B$5:$B$54,0)),"No"))</f>
        <v>0</v>
      </c>
      <c r="U284" s="29">
        <f>IF(H284="","",ROUND(IF(O284="Per hour",P284*IF(M284="",IF(N284="",1,N284),M284),P284*IF(N284="",1,N284)),2))</f>
        <v>0</v>
      </c>
      <c r="V284" s="29">
        <f>IF(H284="","",ROUND(MAX(0,IF(G284="",1,G284)-1)*Q284,2))</f>
        <v>0</v>
      </c>
      <c r="W284" s="50">
        <f>IF(I284="","",IF(COUNTIF(HolidayDates,I284)&gt;0,"Yes","No"))</f>
        <v>0</v>
      </c>
      <c r="X284" s="50">
        <f>IF(I284="","",IF(WEEKDAY(I284,2)&gt;5,"Yes","No"))</f>
        <v>0</v>
      </c>
      <c r="Y284" s="29">
        <f>IF(H284="","",ROUND((U284+V284)*(IF(W284="Yes",R284,0)+IF(X284="Yes",S284,0)),2))</f>
        <v>0</v>
      </c>
      <c r="AA284" s="29">
        <f>IF(H284="","",IF(T284&lt;&gt;"Yes",0,ROUND(MAX(0,IF(Z284="",0,Z284)-FreeTravelDistance)*TravelFeeRate,2)))</f>
        <v>0</v>
      </c>
      <c r="AB284" s="31">
        <f>IF(I284="","",TravelTimeMins)</f>
        <v>0</v>
      </c>
      <c r="AC284" s="29">
        <f>IF(OR(I284="",B284=""),0,IF(I284-B284&lt;=LastMinuteDays,EmergencyFee,0))</f>
        <v>0</v>
      </c>
      <c r="AF284" s="29">
        <f>IF(H284="","",ROUND((U284+V284+Y284+AA284+AC284)*IF(AE284="",0,AE284),2))</f>
        <v>0</v>
      </c>
      <c r="AI284" s="29">
        <f>IF(H284="","",IF(AG284&lt;&gt;"",AG284,ROUND(U284+V284+Y284+AA284+AC284-AF284,2)))</f>
        <v>0</v>
      </c>
      <c r="AJ284" s="29">
        <f>IF(AI284="","",IF(TaxRegistered&lt;&gt;"Yes",0,IF(PricesIncludeTax="Yes",ROUND(AI284-AI284/(1+TaxRate),2),ROUND(AI284*TaxRate,2))))</f>
        <v>0</v>
      </c>
      <c r="AK284" s="29">
        <f>IF(AI284="","",IF(PricesIncludeTax="Yes",AI284,ROUND(AI284+AJ284,2)))</f>
        <v>0</v>
      </c>
      <c r="AQ284" s="21">
        <f>IF(OR(I284="",AP284="",AP284="None"),"",IF(AP284="Monthly",EDATE(I284,1),I284+IF(AP284="Daily",1,IF(AP284="Weekdays",IF(WEEKDAY(I284,2)&gt;=5,8-WEEKDAY(I284,2),1),IF(AP284="Weekly",7,IF(AP284="Fortnightly",14,0))))))</f>
        <v>0</v>
      </c>
      <c r="AR284" s="49">
        <f>IF(OR(I284="",AL284="",K284="",L284=""),"",IF(SUMPRODUCT((Bookings!$AL$5:$AL$404=AL284)*(Bookings!$I$5:$I$404=I284)*(Bookings!$K$5:$K$404&lt;L284)*(Bookings!$L$5:$L$404&gt;K284)*(Bookings!$AM$5:$AM$404&lt;&gt;"Cancelled"))&gt;1,"Conflict - double booked","OK"))</f>
        <v>0</v>
      </c>
      <c r="AS284" s="50">
        <f>IF(A284="","",IF(COUNTIF('Visit Log'!$B$5:$B$404,A284)&gt;0,"Yes","No"))</f>
        <v>0</v>
      </c>
      <c r="AT284" s="28">
        <f>IF(A284="","",IFERROR(INDEX(Invoices!$A$5:$A$304,MATCH(A284,Invoices!$E$5:$E$304,0)),""))</f>
        <v>0</v>
      </c>
      <c r="AU284" s="49">
        <f>IF(A284="","",IF(AT284="","Not invoiced",IFERROR(INDEX(Invoices!$U$5:$U$304,MATCH(AT284,Invoices!$A$5:$A$304,0)),"")))</f>
        <v>0</v>
      </c>
      <c r="AY284" s="28">
        <f>IF(I284="","",TEXT(I284,"yyyy-mm"))</f>
        <v>0</v>
      </c>
      <c r="AZ284" s="49">
        <f>IF(I284="","",IF(AM284="Cancelled","Cancelled",IF(AND(I284&lt;TODAY(),OR(AM284="Pending",AM284="Confirmed",AM284="Enquiry")),"Overdue - update status",IF(AND(AM284="Completed",AS284="No"),"Action - log the visit",IF(I284=TODAY(),"Today",IF(AND(I284&gt;TODAY(),I284-TODAY()&lt;=ReminderLeadDays,AN284&lt;&gt;"Yes"),"Action - unconfirmed",IF(AND(I284&gt;TODAY(),I284-TODAY()&lt;=ReminderLeadDays),"Upcoming","OK")))))))</f>
        <v>0</v>
      </c>
    </row>
    <row r="285" spans="1:52">
      <c r="A285" s="46">
        <f>IF(C285="","",BookingPrefix&amp;TEXT(ROW()-4,"0000"))</f>
        <v>0</v>
      </c>
      <c r="D285" s="28">
        <f>IF(C285="","",IFERROR(INDEX(Clients!$A$5:$A$254,MATCH(C285,Clients!$B$5:$B$254,0)),""))</f>
        <v>0</v>
      </c>
      <c r="J285" s="50">
        <f>IF(I285="","",TEXT(I285,"ddd"))</f>
        <v>0</v>
      </c>
      <c r="M285" s="51">
        <f>IF(OR(K285="",L285=""),"",ROUND((L285-K285+IF(L285&lt;K285,1,0))*24,2))</f>
        <v>0</v>
      </c>
      <c r="O285" s="28">
        <f>IF(H285="","",IFERROR(INDEX(Services!$E$5:$E$54,MATCH(H285,Services!$B$5:$B$54,0)),""))</f>
        <v>0</v>
      </c>
      <c r="P285" s="29">
        <f>IF(H285="","",IFERROR(INDEX(Services!$G$5:$G$54,MATCH(H285,Services!$B$5:$B$54,0)),0))</f>
        <v>0</v>
      </c>
      <c r="Q285" s="29">
        <f>IF(H285="","",IF(IFERROR(INDEX(Services!$H$5:$H$54,MATCH(H285,Services!$B$5:$B$54,0)),0)=0,ExtraPetFeeDefault,IFERROR(INDEX(Services!$H$5:$H$54,MATCH(H285,Services!$B$5:$B$54,0)),0)))</f>
        <v>0</v>
      </c>
      <c r="R285" s="30">
        <f>IF(H285="","",IF(IFERROR(INDEX(Services!$I$5:$I$54,MATCH(H285,Services!$B$5:$B$54,0)),0)=0,HolidaySurcharge,IFERROR(INDEX(Services!$I$5:$I$54,MATCH(H285,Services!$B$5:$B$54,0)),0)))</f>
        <v>0</v>
      </c>
      <c r="S285" s="30">
        <f>IF(H285="","",IF(IFERROR(INDEX(Services!$J$5:$J$54,MATCH(H285,Services!$B$5:$B$54,0)),0)=0,WeekendSurcharge,IFERROR(INDEX(Services!$J$5:$J$54,MATCH(H285,Services!$B$5:$B$54,0)),0)))</f>
        <v>0</v>
      </c>
      <c r="T285" s="50">
        <f>IF(H285="","",IFERROR(INDEX(Services!$K$5:$K$54,MATCH(H285,Services!$B$5:$B$54,0)),"No"))</f>
        <v>0</v>
      </c>
      <c r="U285" s="29">
        <f>IF(H285="","",ROUND(IF(O285="Per hour",P285*IF(M285="",IF(N285="",1,N285),M285),P285*IF(N285="",1,N285)),2))</f>
        <v>0</v>
      </c>
      <c r="V285" s="29">
        <f>IF(H285="","",ROUND(MAX(0,IF(G285="",1,G285)-1)*Q285,2))</f>
        <v>0</v>
      </c>
      <c r="W285" s="50">
        <f>IF(I285="","",IF(COUNTIF(HolidayDates,I285)&gt;0,"Yes","No"))</f>
        <v>0</v>
      </c>
      <c r="X285" s="50">
        <f>IF(I285="","",IF(WEEKDAY(I285,2)&gt;5,"Yes","No"))</f>
        <v>0</v>
      </c>
      <c r="Y285" s="29">
        <f>IF(H285="","",ROUND((U285+V285)*(IF(W285="Yes",R285,0)+IF(X285="Yes",S285,0)),2))</f>
        <v>0</v>
      </c>
      <c r="AA285" s="29">
        <f>IF(H285="","",IF(T285&lt;&gt;"Yes",0,ROUND(MAX(0,IF(Z285="",0,Z285)-FreeTravelDistance)*TravelFeeRate,2)))</f>
        <v>0</v>
      </c>
      <c r="AB285" s="31">
        <f>IF(I285="","",TravelTimeMins)</f>
        <v>0</v>
      </c>
      <c r="AC285" s="29">
        <f>IF(OR(I285="",B285=""),0,IF(I285-B285&lt;=LastMinuteDays,EmergencyFee,0))</f>
        <v>0</v>
      </c>
      <c r="AF285" s="29">
        <f>IF(H285="","",ROUND((U285+V285+Y285+AA285+AC285)*IF(AE285="",0,AE285),2))</f>
        <v>0</v>
      </c>
      <c r="AI285" s="29">
        <f>IF(H285="","",IF(AG285&lt;&gt;"",AG285,ROUND(U285+V285+Y285+AA285+AC285-AF285,2)))</f>
        <v>0</v>
      </c>
      <c r="AJ285" s="29">
        <f>IF(AI285="","",IF(TaxRegistered&lt;&gt;"Yes",0,IF(PricesIncludeTax="Yes",ROUND(AI285-AI285/(1+TaxRate),2),ROUND(AI285*TaxRate,2))))</f>
        <v>0</v>
      </c>
      <c r="AK285" s="29">
        <f>IF(AI285="","",IF(PricesIncludeTax="Yes",AI285,ROUND(AI285+AJ285,2)))</f>
        <v>0</v>
      </c>
      <c r="AQ285" s="21">
        <f>IF(OR(I285="",AP285="",AP285="None"),"",IF(AP285="Monthly",EDATE(I285,1),I285+IF(AP285="Daily",1,IF(AP285="Weekdays",IF(WEEKDAY(I285,2)&gt;=5,8-WEEKDAY(I285,2),1),IF(AP285="Weekly",7,IF(AP285="Fortnightly",14,0))))))</f>
        <v>0</v>
      </c>
      <c r="AR285" s="49">
        <f>IF(OR(I285="",AL285="",K285="",L285=""),"",IF(SUMPRODUCT((Bookings!$AL$5:$AL$404=AL285)*(Bookings!$I$5:$I$404=I285)*(Bookings!$K$5:$K$404&lt;L285)*(Bookings!$L$5:$L$404&gt;K285)*(Bookings!$AM$5:$AM$404&lt;&gt;"Cancelled"))&gt;1,"Conflict - double booked","OK"))</f>
        <v>0</v>
      </c>
      <c r="AS285" s="50">
        <f>IF(A285="","",IF(COUNTIF('Visit Log'!$B$5:$B$404,A285)&gt;0,"Yes","No"))</f>
        <v>0</v>
      </c>
      <c r="AT285" s="28">
        <f>IF(A285="","",IFERROR(INDEX(Invoices!$A$5:$A$304,MATCH(A285,Invoices!$E$5:$E$304,0)),""))</f>
        <v>0</v>
      </c>
      <c r="AU285" s="49">
        <f>IF(A285="","",IF(AT285="","Not invoiced",IFERROR(INDEX(Invoices!$U$5:$U$304,MATCH(AT285,Invoices!$A$5:$A$304,0)),"")))</f>
        <v>0</v>
      </c>
      <c r="AY285" s="28">
        <f>IF(I285="","",TEXT(I285,"yyyy-mm"))</f>
        <v>0</v>
      </c>
      <c r="AZ285" s="49">
        <f>IF(I285="","",IF(AM285="Cancelled","Cancelled",IF(AND(I285&lt;TODAY(),OR(AM285="Pending",AM285="Confirmed",AM285="Enquiry")),"Overdue - update status",IF(AND(AM285="Completed",AS285="No"),"Action - log the visit",IF(I285=TODAY(),"Today",IF(AND(I285&gt;TODAY(),I285-TODAY()&lt;=ReminderLeadDays,AN285&lt;&gt;"Yes"),"Action - unconfirmed",IF(AND(I285&gt;TODAY(),I285-TODAY()&lt;=ReminderLeadDays),"Upcoming","OK")))))))</f>
        <v>0</v>
      </c>
    </row>
    <row r="286" spans="1:52">
      <c r="A286" s="46">
        <f>IF(C286="","",BookingPrefix&amp;TEXT(ROW()-4,"0000"))</f>
        <v>0</v>
      </c>
      <c r="D286" s="28">
        <f>IF(C286="","",IFERROR(INDEX(Clients!$A$5:$A$254,MATCH(C286,Clients!$B$5:$B$254,0)),""))</f>
        <v>0</v>
      </c>
      <c r="J286" s="50">
        <f>IF(I286="","",TEXT(I286,"ddd"))</f>
        <v>0</v>
      </c>
      <c r="M286" s="51">
        <f>IF(OR(K286="",L286=""),"",ROUND((L286-K286+IF(L286&lt;K286,1,0))*24,2))</f>
        <v>0</v>
      </c>
      <c r="O286" s="28">
        <f>IF(H286="","",IFERROR(INDEX(Services!$E$5:$E$54,MATCH(H286,Services!$B$5:$B$54,0)),""))</f>
        <v>0</v>
      </c>
      <c r="P286" s="29">
        <f>IF(H286="","",IFERROR(INDEX(Services!$G$5:$G$54,MATCH(H286,Services!$B$5:$B$54,0)),0))</f>
        <v>0</v>
      </c>
      <c r="Q286" s="29">
        <f>IF(H286="","",IF(IFERROR(INDEX(Services!$H$5:$H$54,MATCH(H286,Services!$B$5:$B$54,0)),0)=0,ExtraPetFeeDefault,IFERROR(INDEX(Services!$H$5:$H$54,MATCH(H286,Services!$B$5:$B$54,0)),0)))</f>
        <v>0</v>
      </c>
      <c r="R286" s="30">
        <f>IF(H286="","",IF(IFERROR(INDEX(Services!$I$5:$I$54,MATCH(H286,Services!$B$5:$B$54,0)),0)=0,HolidaySurcharge,IFERROR(INDEX(Services!$I$5:$I$54,MATCH(H286,Services!$B$5:$B$54,0)),0)))</f>
        <v>0</v>
      </c>
      <c r="S286" s="30">
        <f>IF(H286="","",IF(IFERROR(INDEX(Services!$J$5:$J$54,MATCH(H286,Services!$B$5:$B$54,0)),0)=0,WeekendSurcharge,IFERROR(INDEX(Services!$J$5:$J$54,MATCH(H286,Services!$B$5:$B$54,0)),0)))</f>
        <v>0</v>
      </c>
      <c r="T286" s="50">
        <f>IF(H286="","",IFERROR(INDEX(Services!$K$5:$K$54,MATCH(H286,Services!$B$5:$B$54,0)),"No"))</f>
        <v>0</v>
      </c>
      <c r="U286" s="29">
        <f>IF(H286="","",ROUND(IF(O286="Per hour",P286*IF(M286="",IF(N286="",1,N286),M286),P286*IF(N286="",1,N286)),2))</f>
        <v>0</v>
      </c>
      <c r="V286" s="29">
        <f>IF(H286="","",ROUND(MAX(0,IF(G286="",1,G286)-1)*Q286,2))</f>
        <v>0</v>
      </c>
      <c r="W286" s="50">
        <f>IF(I286="","",IF(COUNTIF(HolidayDates,I286)&gt;0,"Yes","No"))</f>
        <v>0</v>
      </c>
      <c r="X286" s="50">
        <f>IF(I286="","",IF(WEEKDAY(I286,2)&gt;5,"Yes","No"))</f>
        <v>0</v>
      </c>
      <c r="Y286" s="29">
        <f>IF(H286="","",ROUND((U286+V286)*(IF(W286="Yes",R286,0)+IF(X286="Yes",S286,0)),2))</f>
        <v>0</v>
      </c>
      <c r="AA286" s="29">
        <f>IF(H286="","",IF(T286&lt;&gt;"Yes",0,ROUND(MAX(0,IF(Z286="",0,Z286)-FreeTravelDistance)*TravelFeeRate,2)))</f>
        <v>0</v>
      </c>
      <c r="AB286" s="31">
        <f>IF(I286="","",TravelTimeMins)</f>
        <v>0</v>
      </c>
      <c r="AC286" s="29">
        <f>IF(OR(I286="",B286=""),0,IF(I286-B286&lt;=LastMinuteDays,EmergencyFee,0))</f>
        <v>0</v>
      </c>
      <c r="AF286" s="29">
        <f>IF(H286="","",ROUND((U286+V286+Y286+AA286+AC286)*IF(AE286="",0,AE286),2))</f>
        <v>0</v>
      </c>
      <c r="AI286" s="29">
        <f>IF(H286="","",IF(AG286&lt;&gt;"",AG286,ROUND(U286+V286+Y286+AA286+AC286-AF286,2)))</f>
        <v>0</v>
      </c>
      <c r="AJ286" s="29">
        <f>IF(AI286="","",IF(TaxRegistered&lt;&gt;"Yes",0,IF(PricesIncludeTax="Yes",ROUND(AI286-AI286/(1+TaxRate),2),ROUND(AI286*TaxRate,2))))</f>
        <v>0</v>
      </c>
      <c r="AK286" s="29">
        <f>IF(AI286="","",IF(PricesIncludeTax="Yes",AI286,ROUND(AI286+AJ286,2)))</f>
        <v>0</v>
      </c>
      <c r="AQ286" s="21">
        <f>IF(OR(I286="",AP286="",AP286="None"),"",IF(AP286="Monthly",EDATE(I286,1),I286+IF(AP286="Daily",1,IF(AP286="Weekdays",IF(WEEKDAY(I286,2)&gt;=5,8-WEEKDAY(I286,2),1),IF(AP286="Weekly",7,IF(AP286="Fortnightly",14,0))))))</f>
        <v>0</v>
      </c>
      <c r="AR286" s="49">
        <f>IF(OR(I286="",AL286="",K286="",L286=""),"",IF(SUMPRODUCT((Bookings!$AL$5:$AL$404=AL286)*(Bookings!$I$5:$I$404=I286)*(Bookings!$K$5:$K$404&lt;L286)*(Bookings!$L$5:$L$404&gt;K286)*(Bookings!$AM$5:$AM$404&lt;&gt;"Cancelled"))&gt;1,"Conflict - double booked","OK"))</f>
        <v>0</v>
      </c>
      <c r="AS286" s="50">
        <f>IF(A286="","",IF(COUNTIF('Visit Log'!$B$5:$B$404,A286)&gt;0,"Yes","No"))</f>
        <v>0</v>
      </c>
      <c r="AT286" s="28">
        <f>IF(A286="","",IFERROR(INDEX(Invoices!$A$5:$A$304,MATCH(A286,Invoices!$E$5:$E$304,0)),""))</f>
        <v>0</v>
      </c>
      <c r="AU286" s="49">
        <f>IF(A286="","",IF(AT286="","Not invoiced",IFERROR(INDEX(Invoices!$U$5:$U$304,MATCH(AT286,Invoices!$A$5:$A$304,0)),"")))</f>
        <v>0</v>
      </c>
      <c r="AY286" s="28">
        <f>IF(I286="","",TEXT(I286,"yyyy-mm"))</f>
        <v>0</v>
      </c>
      <c r="AZ286" s="49">
        <f>IF(I286="","",IF(AM286="Cancelled","Cancelled",IF(AND(I286&lt;TODAY(),OR(AM286="Pending",AM286="Confirmed",AM286="Enquiry")),"Overdue - update status",IF(AND(AM286="Completed",AS286="No"),"Action - log the visit",IF(I286=TODAY(),"Today",IF(AND(I286&gt;TODAY(),I286-TODAY()&lt;=ReminderLeadDays,AN286&lt;&gt;"Yes"),"Action - unconfirmed",IF(AND(I286&gt;TODAY(),I286-TODAY()&lt;=ReminderLeadDays),"Upcoming","OK")))))))</f>
        <v>0</v>
      </c>
    </row>
    <row r="287" spans="1:52">
      <c r="A287" s="46">
        <f>IF(C287="","",BookingPrefix&amp;TEXT(ROW()-4,"0000"))</f>
        <v>0</v>
      </c>
      <c r="D287" s="28">
        <f>IF(C287="","",IFERROR(INDEX(Clients!$A$5:$A$254,MATCH(C287,Clients!$B$5:$B$254,0)),""))</f>
        <v>0</v>
      </c>
      <c r="J287" s="50">
        <f>IF(I287="","",TEXT(I287,"ddd"))</f>
        <v>0</v>
      </c>
      <c r="M287" s="51">
        <f>IF(OR(K287="",L287=""),"",ROUND((L287-K287+IF(L287&lt;K287,1,0))*24,2))</f>
        <v>0</v>
      </c>
      <c r="O287" s="28">
        <f>IF(H287="","",IFERROR(INDEX(Services!$E$5:$E$54,MATCH(H287,Services!$B$5:$B$54,0)),""))</f>
        <v>0</v>
      </c>
      <c r="P287" s="29">
        <f>IF(H287="","",IFERROR(INDEX(Services!$G$5:$G$54,MATCH(H287,Services!$B$5:$B$54,0)),0))</f>
        <v>0</v>
      </c>
      <c r="Q287" s="29">
        <f>IF(H287="","",IF(IFERROR(INDEX(Services!$H$5:$H$54,MATCH(H287,Services!$B$5:$B$54,0)),0)=0,ExtraPetFeeDefault,IFERROR(INDEX(Services!$H$5:$H$54,MATCH(H287,Services!$B$5:$B$54,0)),0)))</f>
        <v>0</v>
      </c>
      <c r="R287" s="30">
        <f>IF(H287="","",IF(IFERROR(INDEX(Services!$I$5:$I$54,MATCH(H287,Services!$B$5:$B$54,0)),0)=0,HolidaySurcharge,IFERROR(INDEX(Services!$I$5:$I$54,MATCH(H287,Services!$B$5:$B$54,0)),0)))</f>
        <v>0</v>
      </c>
      <c r="S287" s="30">
        <f>IF(H287="","",IF(IFERROR(INDEX(Services!$J$5:$J$54,MATCH(H287,Services!$B$5:$B$54,0)),0)=0,WeekendSurcharge,IFERROR(INDEX(Services!$J$5:$J$54,MATCH(H287,Services!$B$5:$B$54,0)),0)))</f>
        <v>0</v>
      </c>
      <c r="T287" s="50">
        <f>IF(H287="","",IFERROR(INDEX(Services!$K$5:$K$54,MATCH(H287,Services!$B$5:$B$54,0)),"No"))</f>
        <v>0</v>
      </c>
      <c r="U287" s="29">
        <f>IF(H287="","",ROUND(IF(O287="Per hour",P287*IF(M287="",IF(N287="",1,N287),M287),P287*IF(N287="",1,N287)),2))</f>
        <v>0</v>
      </c>
      <c r="V287" s="29">
        <f>IF(H287="","",ROUND(MAX(0,IF(G287="",1,G287)-1)*Q287,2))</f>
        <v>0</v>
      </c>
      <c r="W287" s="50">
        <f>IF(I287="","",IF(COUNTIF(HolidayDates,I287)&gt;0,"Yes","No"))</f>
        <v>0</v>
      </c>
      <c r="X287" s="50">
        <f>IF(I287="","",IF(WEEKDAY(I287,2)&gt;5,"Yes","No"))</f>
        <v>0</v>
      </c>
      <c r="Y287" s="29">
        <f>IF(H287="","",ROUND((U287+V287)*(IF(W287="Yes",R287,0)+IF(X287="Yes",S287,0)),2))</f>
        <v>0</v>
      </c>
      <c r="AA287" s="29">
        <f>IF(H287="","",IF(T287&lt;&gt;"Yes",0,ROUND(MAX(0,IF(Z287="",0,Z287)-FreeTravelDistance)*TravelFeeRate,2)))</f>
        <v>0</v>
      </c>
      <c r="AB287" s="31">
        <f>IF(I287="","",TravelTimeMins)</f>
        <v>0</v>
      </c>
      <c r="AC287" s="29">
        <f>IF(OR(I287="",B287=""),0,IF(I287-B287&lt;=LastMinuteDays,EmergencyFee,0))</f>
        <v>0</v>
      </c>
      <c r="AF287" s="29">
        <f>IF(H287="","",ROUND((U287+V287+Y287+AA287+AC287)*IF(AE287="",0,AE287),2))</f>
        <v>0</v>
      </c>
      <c r="AI287" s="29">
        <f>IF(H287="","",IF(AG287&lt;&gt;"",AG287,ROUND(U287+V287+Y287+AA287+AC287-AF287,2)))</f>
        <v>0</v>
      </c>
      <c r="AJ287" s="29">
        <f>IF(AI287="","",IF(TaxRegistered&lt;&gt;"Yes",0,IF(PricesIncludeTax="Yes",ROUND(AI287-AI287/(1+TaxRate),2),ROUND(AI287*TaxRate,2))))</f>
        <v>0</v>
      </c>
      <c r="AK287" s="29">
        <f>IF(AI287="","",IF(PricesIncludeTax="Yes",AI287,ROUND(AI287+AJ287,2)))</f>
        <v>0</v>
      </c>
      <c r="AQ287" s="21">
        <f>IF(OR(I287="",AP287="",AP287="None"),"",IF(AP287="Monthly",EDATE(I287,1),I287+IF(AP287="Daily",1,IF(AP287="Weekdays",IF(WEEKDAY(I287,2)&gt;=5,8-WEEKDAY(I287,2),1),IF(AP287="Weekly",7,IF(AP287="Fortnightly",14,0))))))</f>
        <v>0</v>
      </c>
      <c r="AR287" s="49">
        <f>IF(OR(I287="",AL287="",K287="",L287=""),"",IF(SUMPRODUCT((Bookings!$AL$5:$AL$404=AL287)*(Bookings!$I$5:$I$404=I287)*(Bookings!$K$5:$K$404&lt;L287)*(Bookings!$L$5:$L$404&gt;K287)*(Bookings!$AM$5:$AM$404&lt;&gt;"Cancelled"))&gt;1,"Conflict - double booked","OK"))</f>
        <v>0</v>
      </c>
      <c r="AS287" s="50">
        <f>IF(A287="","",IF(COUNTIF('Visit Log'!$B$5:$B$404,A287)&gt;0,"Yes","No"))</f>
        <v>0</v>
      </c>
      <c r="AT287" s="28">
        <f>IF(A287="","",IFERROR(INDEX(Invoices!$A$5:$A$304,MATCH(A287,Invoices!$E$5:$E$304,0)),""))</f>
        <v>0</v>
      </c>
      <c r="AU287" s="49">
        <f>IF(A287="","",IF(AT287="","Not invoiced",IFERROR(INDEX(Invoices!$U$5:$U$304,MATCH(AT287,Invoices!$A$5:$A$304,0)),"")))</f>
        <v>0</v>
      </c>
      <c r="AY287" s="28">
        <f>IF(I287="","",TEXT(I287,"yyyy-mm"))</f>
        <v>0</v>
      </c>
      <c r="AZ287" s="49">
        <f>IF(I287="","",IF(AM287="Cancelled","Cancelled",IF(AND(I287&lt;TODAY(),OR(AM287="Pending",AM287="Confirmed",AM287="Enquiry")),"Overdue - update status",IF(AND(AM287="Completed",AS287="No"),"Action - log the visit",IF(I287=TODAY(),"Today",IF(AND(I287&gt;TODAY(),I287-TODAY()&lt;=ReminderLeadDays,AN287&lt;&gt;"Yes"),"Action - unconfirmed",IF(AND(I287&gt;TODAY(),I287-TODAY()&lt;=ReminderLeadDays),"Upcoming","OK")))))))</f>
        <v>0</v>
      </c>
    </row>
    <row r="288" spans="1:52">
      <c r="A288" s="46">
        <f>IF(C288="","",BookingPrefix&amp;TEXT(ROW()-4,"0000"))</f>
        <v>0</v>
      </c>
      <c r="D288" s="28">
        <f>IF(C288="","",IFERROR(INDEX(Clients!$A$5:$A$254,MATCH(C288,Clients!$B$5:$B$254,0)),""))</f>
        <v>0</v>
      </c>
      <c r="J288" s="50">
        <f>IF(I288="","",TEXT(I288,"ddd"))</f>
        <v>0</v>
      </c>
      <c r="M288" s="51">
        <f>IF(OR(K288="",L288=""),"",ROUND((L288-K288+IF(L288&lt;K288,1,0))*24,2))</f>
        <v>0</v>
      </c>
      <c r="O288" s="28">
        <f>IF(H288="","",IFERROR(INDEX(Services!$E$5:$E$54,MATCH(H288,Services!$B$5:$B$54,0)),""))</f>
        <v>0</v>
      </c>
      <c r="P288" s="29">
        <f>IF(H288="","",IFERROR(INDEX(Services!$G$5:$G$54,MATCH(H288,Services!$B$5:$B$54,0)),0))</f>
        <v>0</v>
      </c>
      <c r="Q288" s="29">
        <f>IF(H288="","",IF(IFERROR(INDEX(Services!$H$5:$H$54,MATCH(H288,Services!$B$5:$B$54,0)),0)=0,ExtraPetFeeDefault,IFERROR(INDEX(Services!$H$5:$H$54,MATCH(H288,Services!$B$5:$B$54,0)),0)))</f>
        <v>0</v>
      </c>
      <c r="R288" s="30">
        <f>IF(H288="","",IF(IFERROR(INDEX(Services!$I$5:$I$54,MATCH(H288,Services!$B$5:$B$54,0)),0)=0,HolidaySurcharge,IFERROR(INDEX(Services!$I$5:$I$54,MATCH(H288,Services!$B$5:$B$54,0)),0)))</f>
        <v>0</v>
      </c>
      <c r="S288" s="30">
        <f>IF(H288="","",IF(IFERROR(INDEX(Services!$J$5:$J$54,MATCH(H288,Services!$B$5:$B$54,0)),0)=0,WeekendSurcharge,IFERROR(INDEX(Services!$J$5:$J$54,MATCH(H288,Services!$B$5:$B$54,0)),0)))</f>
        <v>0</v>
      </c>
      <c r="T288" s="50">
        <f>IF(H288="","",IFERROR(INDEX(Services!$K$5:$K$54,MATCH(H288,Services!$B$5:$B$54,0)),"No"))</f>
        <v>0</v>
      </c>
      <c r="U288" s="29">
        <f>IF(H288="","",ROUND(IF(O288="Per hour",P288*IF(M288="",IF(N288="",1,N288),M288),P288*IF(N288="",1,N288)),2))</f>
        <v>0</v>
      </c>
      <c r="V288" s="29">
        <f>IF(H288="","",ROUND(MAX(0,IF(G288="",1,G288)-1)*Q288,2))</f>
        <v>0</v>
      </c>
      <c r="W288" s="50">
        <f>IF(I288="","",IF(COUNTIF(HolidayDates,I288)&gt;0,"Yes","No"))</f>
        <v>0</v>
      </c>
      <c r="X288" s="50">
        <f>IF(I288="","",IF(WEEKDAY(I288,2)&gt;5,"Yes","No"))</f>
        <v>0</v>
      </c>
      <c r="Y288" s="29">
        <f>IF(H288="","",ROUND((U288+V288)*(IF(W288="Yes",R288,0)+IF(X288="Yes",S288,0)),2))</f>
        <v>0</v>
      </c>
      <c r="AA288" s="29">
        <f>IF(H288="","",IF(T288&lt;&gt;"Yes",0,ROUND(MAX(0,IF(Z288="",0,Z288)-FreeTravelDistance)*TravelFeeRate,2)))</f>
        <v>0</v>
      </c>
      <c r="AB288" s="31">
        <f>IF(I288="","",TravelTimeMins)</f>
        <v>0</v>
      </c>
      <c r="AC288" s="29">
        <f>IF(OR(I288="",B288=""),0,IF(I288-B288&lt;=LastMinuteDays,EmergencyFee,0))</f>
        <v>0</v>
      </c>
      <c r="AF288" s="29">
        <f>IF(H288="","",ROUND((U288+V288+Y288+AA288+AC288)*IF(AE288="",0,AE288),2))</f>
        <v>0</v>
      </c>
      <c r="AI288" s="29">
        <f>IF(H288="","",IF(AG288&lt;&gt;"",AG288,ROUND(U288+V288+Y288+AA288+AC288-AF288,2)))</f>
        <v>0</v>
      </c>
      <c r="AJ288" s="29">
        <f>IF(AI288="","",IF(TaxRegistered&lt;&gt;"Yes",0,IF(PricesIncludeTax="Yes",ROUND(AI288-AI288/(1+TaxRate),2),ROUND(AI288*TaxRate,2))))</f>
        <v>0</v>
      </c>
      <c r="AK288" s="29">
        <f>IF(AI288="","",IF(PricesIncludeTax="Yes",AI288,ROUND(AI288+AJ288,2)))</f>
        <v>0</v>
      </c>
      <c r="AQ288" s="21">
        <f>IF(OR(I288="",AP288="",AP288="None"),"",IF(AP288="Monthly",EDATE(I288,1),I288+IF(AP288="Daily",1,IF(AP288="Weekdays",IF(WEEKDAY(I288,2)&gt;=5,8-WEEKDAY(I288,2),1),IF(AP288="Weekly",7,IF(AP288="Fortnightly",14,0))))))</f>
        <v>0</v>
      </c>
      <c r="AR288" s="49">
        <f>IF(OR(I288="",AL288="",K288="",L288=""),"",IF(SUMPRODUCT((Bookings!$AL$5:$AL$404=AL288)*(Bookings!$I$5:$I$404=I288)*(Bookings!$K$5:$K$404&lt;L288)*(Bookings!$L$5:$L$404&gt;K288)*(Bookings!$AM$5:$AM$404&lt;&gt;"Cancelled"))&gt;1,"Conflict - double booked","OK"))</f>
        <v>0</v>
      </c>
      <c r="AS288" s="50">
        <f>IF(A288="","",IF(COUNTIF('Visit Log'!$B$5:$B$404,A288)&gt;0,"Yes","No"))</f>
        <v>0</v>
      </c>
      <c r="AT288" s="28">
        <f>IF(A288="","",IFERROR(INDEX(Invoices!$A$5:$A$304,MATCH(A288,Invoices!$E$5:$E$304,0)),""))</f>
        <v>0</v>
      </c>
      <c r="AU288" s="49">
        <f>IF(A288="","",IF(AT288="","Not invoiced",IFERROR(INDEX(Invoices!$U$5:$U$304,MATCH(AT288,Invoices!$A$5:$A$304,0)),"")))</f>
        <v>0</v>
      </c>
      <c r="AY288" s="28">
        <f>IF(I288="","",TEXT(I288,"yyyy-mm"))</f>
        <v>0</v>
      </c>
      <c r="AZ288" s="49">
        <f>IF(I288="","",IF(AM288="Cancelled","Cancelled",IF(AND(I288&lt;TODAY(),OR(AM288="Pending",AM288="Confirmed",AM288="Enquiry")),"Overdue - update status",IF(AND(AM288="Completed",AS288="No"),"Action - log the visit",IF(I288=TODAY(),"Today",IF(AND(I288&gt;TODAY(),I288-TODAY()&lt;=ReminderLeadDays,AN288&lt;&gt;"Yes"),"Action - unconfirmed",IF(AND(I288&gt;TODAY(),I288-TODAY()&lt;=ReminderLeadDays),"Upcoming","OK")))))))</f>
        <v>0</v>
      </c>
    </row>
    <row r="289" spans="1:52">
      <c r="A289" s="46">
        <f>IF(C289="","",BookingPrefix&amp;TEXT(ROW()-4,"0000"))</f>
        <v>0</v>
      </c>
      <c r="D289" s="28">
        <f>IF(C289="","",IFERROR(INDEX(Clients!$A$5:$A$254,MATCH(C289,Clients!$B$5:$B$254,0)),""))</f>
        <v>0</v>
      </c>
      <c r="J289" s="50">
        <f>IF(I289="","",TEXT(I289,"ddd"))</f>
        <v>0</v>
      </c>
      <c r="M289" s="51">
        <f>IF(OR(K289="",L289=""),"",ROUND((L289-K289+IF(L289&lt;K289,1,0))*24,2))</f>
        <v>0</v>
      </c>
      <c r="O289" s="28">
        <f>IF(H289="","",IFERROR(INDEX(Services!$E$5:$E$54,MATCH(H289,Services!$B$5:$B$54,0)),""))</f>
        <v>0</v>
      </c>
      <c r="P289" s="29">
        <f>IF(H289="","",IFERROR(INDEX(Services!$G$5:$G$54,MATCH(H289,Services!$B$5:$B$54,0)),0))</f>
        <v>0</v>
      </c>
      <c r="Q289" s="29">
        <f>IF(H289="","",IF(IFERROR(INDEX(Services!$H$5:$H$54,MATCH(H289,Services!$B$5:$B$54,0)),0)=0,ExtraPetFeeDefault,IFERROR(INDEX(Services!$H$5:$H$54,MATCH(H289,Services!$B$5:$B$54,0)),0)))</f>
        <v>0</v>
      </c>
      <c r="R289" s="30">
        <f>IF(H289="","",IF(IFERROR(INDEX(Services!$I$5:$I$54,MATCH(H289,Services!$B$5:$B$54,0)),0)=0,HolidaySurcharge,IFERROR(INDEX(Services!$I$5:$I$54,MATCH(H289,Services!$B$5:$B$54,0)),0)))</f>
        <v>0</v>
      </c>
      <c r="S289" s="30">
        <f>IF(H289="","",IF(IFERROR(INDEX(Services!$J$5:$J$54,MATCH(H289,Services!$B$5:$B$54,0)),0)=0,WeekendSurcharge,IFERROR(INDEX(Services!$J$5:$J$54,MATCH(H289,Services!$B$5:$B$54,0)),0)))</f>
        <v>0</v>
      </c>
      <c r="T289" s="50">
        <f>IF(H289="","",IFERROR(INDEX(Services!$K$5:$K$54,MATCH(H289,Services!$B$5:$B$54,0)),"No"))</f>
        <v>0</v>
      </c>
      <c r="U289" s="29">
        <f>IF(H289="","",ROUND(IF(O289="Per hour",P289*IF(M289="",IF(N289="",1,N289),M289),P289*IF(N289="",1,N289)),2))</f>
        <v>0</v>
      </c>
      <c r="V289" s="29">
        <f>IF(H289="","",ROUND(MAX(0,IF(G289="",1,G289)-1)*Q289,2))</f>
        <v>0</v>
      </c>
      <c r="W289" s="50">
        <f>IF(I289="","",IF(COUNTIF(HolidayDates,I289)&gt;0,"Yes","No"))</f>
        <v>0</v>
      </c>
      <c r="X289" s="50">
        <f>IF(I289="","",IF(WEEKDAY(I289,2)&gt;5,"Yes","No"))</f>
        <v>0</v>
      </c>
      <c r="Y289" s="29">
        <f>IF(H289="","",ROUND((U289+V289)*(IF(W289="Yes",R289,0)+IF(X289="Yes",S289,0)),2))</f>
        <v>0</v>
      </c>
      <c r="AA289" s="29">
        <f>IF(H289="","",IF(T289&lt;&gt;"Yes",0,ROUND(MAX(0,IF(Z289="",0,Z289)-FreeTravelDistance)*TravelFeeRate,2)))</f>
        <v>0</v>
      </c>
      <c r="AB289" s="31">
        <f>IF(I289="","",TravelTimeMins)</f>
        <v>0</v>
      </c>
      <c r="AC289" s="29">
        <f>IF(OR(I289="",B289=""),0,IF(I289-B289&lt;=LastMinuteDays,EmergencyFee,0))</f>
        <v>0</v>
      </c>
      <c r="AF289" s="29">
        <f>IF(H289="","",ROUND((U289+V289+Y289+AA289+AC289)*IF(AE289="",0,AE289),2))</f>
        <v>0</v>
      </c>
      <c r="AI289" s="29">
        <f>IF(H289="","",IF(AG289&lt;&gt;"",AG289,ROUND(U289+V289+Y289+AA289+AC289-AF289,2)))</f>
        <v>0</v>
      </c>
      <c r="AJ289" s="29">
        <f>IF(AI289="","",IF(TaxRegistered&lt;&gt;"Yes",0,IF(PricesIncludeTax="Yes",ROUND(AI289-AI289/(1+TaxRate),2),ROUND(AI289*TaxRate,2))))</f>
        <v>0</v>
      </c>
      <c r="AK289" s="29">
        <f>IF(AI289="","",IF(PricesIncludeTax="Yes",AI289,ROUND(AI289+AJ289,2)))</f>
        <v>0</v>
      </c>
      <c r="AQ289" s="21">
        <f>IF(OR(I289="",AP289="",AP289="None"),"",IF(AP289="Monthly",EDATE(I289,1),I289+IF(AP289="Daily",1,IF(AP289="Weekdays",IF(WEEKDAY(I289,2)&gt;=5,8-WEEKDAY(I289,2),1),IF(AP289="Weekly",7,IF(AP289="Fortnightly",14,0))))))</f>
        <v>0</v>
      </c>
      <c r="AR289" s="49">
        <f>IF(OR(I289="",AL289="",K289="",L289=""),"",IF(SUMPRODUCT((Bookings!$AL$5:$AL$404=AL289)*(Bookings!$I$5:$I$404=I289)*(Bookings!$K$5:$K$404&lt;L289)*(Bookings!$L$5:$L$404&gt;K289)*(Bookings!$AM$5:$AM$404&lt;&gt;"Cancelled"))&gt;1,"Conflict - double booked","OK"))</f>
        <v>0</v>
      </c>
      <c r="AS289" s="50">
        <f>IF(A289="","",IF(COUNTIF('Visit Log'!$B$5:$B$404,A289)&gt;0,"Yes","No"))</f>
        <v>0</v>
      </c>
      <c r="AT289" s="28">
        <f>IF(A289="","",IFERROR(INDEX(Invoices!$A$5:$A$304,MATCH(A289,Invoices!$E$5:$E$304,0)),""))</f>
        <v>0</v>
      </c>
      <c r="AU289" s="49">
        <f>IF(A289="","",IF(AT289="","Not invoiced",IFERROR(INDEX(Invoices!$U$5:$U$304,MATCH(AT289,Invoices!$A$5:$A$304,0)),"")))</f>
        <v>0</v>
      </c>
      <c r="AY289" s="28">
        <f>IF(I289="","",TEXT(I289,"yyyy-mm"))</f>
        <v>0</v>
      </c>
      <c r="AZ289" s="49">
        <f>IF(I289="","",IF(AM289="Cancelled","Cancelled",IF(AND(I289&lt;TODAY(),OR(AM289="Pending",AM289="Confirmed",AM289="Enquiry")),"Overdue - update status",IF(AND(AM289="Completed",AS289="No"),"Action - log the visit",IF(I289=TODAY(),"Today",IF(AND(I289&gt;TODAY(),I289-TODAY()&lt;=ReminderLeadDays,AN289&lt;&gt;"Yes"),"Action - unconfirmed",IF(AND(I289&gt;TODAY(),I289-TODAY()&lt;=ReminderLeadDays),"Upcoming","OK")))))))</f>
        <v>0</v>
      </c>
    </row>
    <row r="290" spans="1:52">
      <c r="A290" s="46">
        <f>IF(C290="","",BookingPrefix&amp;TEXT(ROW()-4,"0000"))</f>
        <v>0</v>
      </c>
      <c r="D290" s="28">
        <f>IF(C290="","",IFERROR(INDEX(Clients!$A$5:$A$254,MATCH(C290,Clients!$B$5:$B$254,0)),""))</f>
        <v>0</v>
      </c>
      <c r="J290" s="50">
        <f>IF(I290="","",TEXT(I290,"ddd"))</f>
        <v>0</v>
      </c>
      <c r="M290" s="51">
        <f>IF(OR(K290="",L290=""),"",ROUND((L290-K290+IF(L290&lt;K290,1,0))*24,2))</f>
        <v>0</v>
      </c>
      <c r="O290" s="28">
        <f>IF(H290="","",IFERROR(INDEX(Services!$E$5:$E$54,MATCH(H290,Services!$B$5:$B$54,0)),""))</f>
        <v>0</v>
      </c>
      <c r="P290" s="29">
        <f>IF(H290="","",IFERROR(INDEX(Services!$G$5:$G$54,MATCH(H290,Services!$B$5:$B$54,0)),0))</f>
        <v>0</v>
      </c>
      <c r="Q290" s="29">
        <f>IF(H290="","",IF(IFERROR(INDEX(Services!$H$5:$H$54,MATCH(H290,Services!$B$5:$B$54,0)),0)=0,ExtraPetFeeDefault,IFERROR(INDEX(Services!$H$5:$H$54,MATCH(H290,Services!$B$5:$B$54,0)),0)))</f>
        <v>0</v>
      </c>
      <c r="R290" s="30">
        <f>IF(H290="","",IF(IFERROR(INDEX(Services!$I$5:$I$54,MATCH(H290,Services!$B$5:$B$54,0)),0)=0,HolidaySurcharge,IFERROR(INDEX(Services!$I$5:$I$54,MATCH(H290,Services!$B$5:$B$54,0)),0)))</f>
        <v>0</v>
      </c>
      <c r="S290" s="30">
        <f>IF(H290="","",IF(IFERROR(INDEX(Services!$J$5:$J$54,MATCH(H290,Services!$B$5:$B$54,0)),0)=0,WeekendSurcharge,IFERROR(INDEX(Services!$J$5:$J$54,MATCH(H290,Services!$B$5:$B$54,0)),0)))</f>
        <v>0</v>
      </c>
      <c r="T290" s="50">
        <f>IF(H290="","",IFERROR(INDEX(Services!$K$5:$K$54,MATCH(H290,Services!$B$5:$B$54,0)),"No"))</f>
        <v>0</v>
      </c>
      <c r="U290" s="29">
        <f>IF(H290="","",ROUND(IF(O290="Per hour",P290*IF(M290="",IF(N290="",1,N290),M290),P290*IF(N290="",1,N290)),2))</f>
        <v>0</v>
      </c>
      <c r="V290" s="29">
        <f>IF(H290="","",ROUND(MAX(0,IF(G290="",1,G290)-1)*Q290,2))</f>
        <v>0</v>
      </c>
      <c r="W290" s="50">
        <f>IF(I290="","",IF(COUNTIF(HolidayDates,I290)&gt;0,"Yes","No"))</f>
        <v>0</v>
      </c>
      <c r="X290" s="50">
        <f>IF(I290="","",IF(WEEKDAY(I290,2)&gt;5,"Yes","No"))</f>
        <v>0</v>
      </c>
      <c r="Y290" s="29">
        <f>IF(H290="","",ROUND((U290+V290)*(IF(W290="Yes",R290,0)+IF(X290="Yes",S290,0)),2))</f>
        <v>0</v>
      </c>
      <c r="AA290" s="29">
        <f>IF(H290="","",IF(T290&lt;&gt;"Yes",0,ROUND(MAX(0,IF(Z290="",0,Z290)-FreeTravelDistance)*TravelFeeRate,2)))</f>
        <v>0</v>
      </c>
      <c r="AB290" s="31">
        <f>IF(I290="","",TravelTimeMins)</f>
        <v>0</v>
      </c>
      <c r="AC290" s="29">
        <f>IF(OR(I290="",B290=""),0,IF(I290-B290&lt;=LastMinuteDays,EmergencyFee,0))</f>
        <v>0</v>
      </c>
      <c r="AF290" s="29">
        <f>IF(H290="","",ROUND((U290+V290+Y290+AA290+AC290)*IF(AE290="",0,AE290),2))</f>
        <v>0</v>
      </c>
      <c r="AI290" s="29">
        <f>IF(H290="","",IF(AG290&lt;&gt;"",AG290,ROUND(U290+V290+Y290+AA290+AC290-AF290,2)))</f>
        <v>0</v>
      </c>
      <c r="AJ290" s="29">
        <f>IF(AI290="","",IF(TaxRegistered&lt;&gt;"Yes",0,IF(PricesIncludeTax="Yes",ROUND(AI290-AI290/(1+TaxRate),2),ROUND(AI290*TaxRate,2))))</f>
        <v>0</v>
      </c>
      <c r="AK290" s="29">
        <f>IF(AI290="","",IF(PricesIncludeTax="Yes",AI290,ROUND(AI290+AJ290,2)))</f>
        <v>0</v>
      </c>
      <c r="AQ290" s="21">
        <f>IF(OR(I290="",AP290="",AP290="None"),"",IF(AP290="Monthly",EDATE(I290,1),I290+IF(AP290="Daily",1,IF(AP290="Weekdays",IF(WEEKDAY(I290,2)&gt;=5,8-WEEKDAY(I290,2),1),IF(AP290="Weekly",7,IF(AP290="Fortnightly",14,0))))))</f>
        <v>0</v>
      </c>
      <c r="AR290" s="49">
        <f>IF(OR(I290="",AL290="",K290="",L290=""),"",IF(SUMPRODUCT((Bookings!$AL$5:$AL$404=AL290)*(Bookings!$I$5:$I$404=I290)*(Bookings!$K$5:$K$404&lt;L290)*(Bookings!$L$5:$L$404&gt;K290)*(Bookings!$AM$5:$AM$404&lt;&gt;"Cancelled"))&gt;1,"Conflict - double booked","OK"))</f>
        <v>0</v>
      </c>
      <c r="AS290" s="50">
        <f>IF(A290="","",IF(COUNTIF('Visit Log'!$B$5:$B$404,A290)&gt;0,"Yes","No"))</f>
        <v>0</v>
      </c>
      <c r="AT290" s="28">
        <f>IF(A290="","",IFERROR(INDEX(Invoices!$A$5:$A$304,MATCH(A290,Invoices!$E$5:$E$304,0)),""))</f>
        <v>0</v>
      </c>
      <c r="AU290" s="49">
        <f>IF(A290="","",IF(AT290="","Not invoiced",IFERROR(INDEX(Invoices!$U$5:$U$304,MATCH(AT290,Invoices!$A$5:$A$304,0)),"")))</f>
        <v>0</v>
      </c>
      <c r="AY290" s="28">
        <f>IF(I290="","",TEXT(I290,"yyyy-mm"))</f>
        <v>0</v>
      </c>
      <c r="AZ290" s="49">
        <f>IF(I290="","",IF(AM290="Cancelled","Cancelled",IF(AND(I290&lt;TODAY(),OR(AM290="Pending",AM290="Confirmed",AM290="Enquiry")),"Overdue - update status",IF(AND(AM290="Completed",AS290="No"),"Action - log the visit",IF(I290=TODAY(),"Today",IF(AND(I290&gt;TODAY(),I290-TODAY()&lt;=ReminderLeadDays,AN290&lt;&gt;"Yes"),"Action - unconfirmed",IF(AND(I290&gt;TODAY(),I290-TODAY()&lt;=ReminderLeadDays),"Upcoming","OK")))))))</f>
        <v>0</v>
      </c>
    </row>
    <row r="291" spans="1:52">
      <c r="A291" s="46">
        <f>IF(C291="","",BookingPrefix&amp;TEXT(ROW()-4,"0000"))</f>
        <v>0</v>
      </c>
      <c r="D291" s="28">
        <f>IF(C291="","",IFERROR(INDEX(Clients!$A$5:$A$254,MATCH(C291,Clients!$B$5:$B$254,0)),""))</f>
        <v>0</v>
      </c>
      <c r="J291" s="50">
        <f>IF(I291="","",TEXT(I291,"ddd"))</f>
        <v>0</v>
      </c>
      <c r="M291" s="51">
        <f>IF(OR(K291="",L291=""),"",ROUND((L291-K291+IF(L291&lt;K291,1,0))*24,2))</f>
        <v>0</v>
      </c>
      <c r="O291" s="28">
        <f>IF(H291="","",IFERROR(INDEX(Services!$E$5:$E$54,MATCH(H291,Services!$B$5:$B$54,0)),""))</f>
        <v>0</v>
      </c>
      <c r="P291" s="29">
        <f>IF(H291="","",IFERROR(INDEX(Services!$G$5:$G$54,MATCH(H291,Services!$B$5:$B$54,0)),0))</f>
        <v>0</v>
      </c>
      <c r="Q291" s="29">
        <f>IF(H291="","",IF(IFERROR(INDEX(Services!$H$5:$H$54,MATCH(H291,Services!$B$5:$B$54,0)),0)=0,ExtraPetFeeDefault,IFERROR(INDEX(Services!$H$5:$H$54,MATCH(H291,Services!$B$5:$B$54,0)),0)))</f>
        <v>0</v>
      </c>
      <c r="R291" s="30">
        <f>IF(H291="","",IF(IFERROR(INDEX(Services!$I$5:$I$54,MATCH(H291,Services!$B$5:$B$54,0)),0)=0,HolidaySurcharge,IFERROR(INDEX(Services!$I$5:$I$54,MATCH(H291,Services!$B$5:$B$54,0)),0)))</f>
        <v>0</v>
      </c>
      <c r="S291" s="30">
        <f>IF(H291="","",IF(IFERROR(INDEX(Services!$J$5:$J$54,MATCH(H291,Services!$B$5:$B$54,0)),0)=0,WeekendSurcharge,IFERROR(INDEX(Services!$J$5:$J$54,MATCH(H291,Services!$B$5:$B$54,0)),0)))</f>
        <v>0</v>
      </c>
      <c r="T291" s="50">
        <f>IF(H291="","",IFERROR(INDEX(Services!$K$5:$K$54,MATCH(H291,Services!$B$5:$B$54,0)),"No"))</f>
        <v>0</v>
      </c>
      <c r="U291" s="29">
        <f>IF(H291="","",ROUND(IF(O291="Per hour",P291*IF(M291="",IF(N291="",1,N291),M291),P291*IF(N291="",1,N291)),2))</f>
        <v>0</v>
      </c>
      <c r="V291" s="29">
        <f>IF(H291="","",ROUND(MAX(0,IF(G291="",1,G291)-1)*Q291,2))</f>
        <v>0</v>
      </c>
      <c r="W291" s="50">
        <f>IF(I291="","",IF(COUNTIF(HolidayDates,I291)&gt;0,"Yes","No"))</f>
        <v>0</v>
      </c>
      <c r="X291" s="50">
        <f>IF(I291="","",IF(WEEKDAY(I291,2)&gt;5,"Yes","No"))</f>
        <v>0</v>
      </c>
      <c r="Y291" s="29">
        <f>IF(H291="","",ROUND((U291+V291)*(IF(W291="Yes",R291,0)+IF(X291="Yes",S291,0)),2))</f>
        <v>0</v>
      </c>
      <c r="AA291" s="29">
        <f>IF(H291="","",IF(T291&lt;&gt;"Yes",0,ROUND(MAX(0,IF(Z291="",0,Z291)-FreeTravelDistance)*TravelFeeRate,2)))</f>
        <v>0</v>
      </c>
      <c r="AB291" s="31">
        <f>IF(I291="","",TravelTimeMins)</f>
        <v>0</v>
      </c>
      <c r="AC291" s="29">
        <f>IF(OR(I291="",B291=""),0,IF(I291-B291&lt;=LastMinuteDays,EmergencyFee,0))</f>
        <v>0</v>
      </c>
      <c r="AF291" s="29">
        <f>IF(H291="","",ROUND((U291+V291+Y291+AA291+AC291)*IF(AE291="",0,AE291),2))</f>
        <v>0</v>
      </c>
      <c r="AI291" s="29">
        <f>IF(H291="","",IF(AG291&lt;&gt;"",AG291,ROUND(U291+V291+Y291+AA291+AC291-AF291,2)))</f>
        <v>0</v>
      </c>
      <c r="AJ291" s="29">
        <f>IF(AI291="","",IF(TaxRegistered&lt;&gt;"Yes",0,IF(PricesIncludeTax="Yes",ROUND(AI291-AI291/(1+TaxRate),2),ROUND(AI291*TaxRate,2))))</f>
        <v>0</v>
      </c>
      <c r="AK291" s="29">
        <f>IF(AI291="","",IF(PricesIncludeTax="Yes",AI291,ROUND(AI291+AJ291,2)))</f>
        <v>0</v>
      </c>
      <c r="AQ291" s="21">
        <f>IF(OR(I291="",AP291="",AP291="None"),"",IF(AP291="Monthly",EDATE(I291,1),I291+IF(AP291="Daily",1,IF(AP291="Weekdays",IF(WEEKDAY(I291,2)&gt;=5,8-WEEKDAY(I291,2),1),IF(AP291="Weekly",7,IF(AP291="Fortnightly",14,0))))))</f>
        <v>0</v>
      </c>
      <c r="AR291" s="49">
        <f>IF(OR(I291="",AL291="",K291="",L291=""),"",IF(SUMPRODUCT((Bookings!$AL$5:$AL$404=AL291)*(Bookings!$I$5:$I$404=I291)*(Bookings!$K$5:$K$404&lt;L291)*(Bookings!$L$5:$L$404&gt;K291)*(Bookings!$AM$5:$AM$404&lt;&gt;"Cancelled"))&gt;1,"Conflict - double booked","OK"))</f>
        <v>0</v>
      </c>
      <c r="AS291" s="50">
        <f>IF(A291="","",IF(COUNTIF('Visit Log'!$B$5:$B$404,A291)&gt;0,"Yes","No"))</f>
        <v>0</v>
      </c>
      <c r="AT291" s="28">
        <f>IF(A291="","",IFERROR(INDEX(Invoices!$A$5:$A$304,MATCH(A291,Invoices!$E$5:$E$304,0)),""))</f>
        <v>0</v>
      </c>
      <c r="AU291" s="49">
        <f>IF(A291="","",IF(AT291="","Not invoiced",IFERROR(INDEX(Invoices!$U$5:$U$304,MATCH(AT291,Invoices!$A$5:$A$304,0)),"")))</f>
        <v>0</v>
      </c>
      <c r="AY291" s="28">
        <f>IF(I291="","",TEXT(I291,"yyyy-mm"))</f>
        <v>0</v>
      </c>
      <c r="AZ291" s="49">
        <f>IF(I291="","",IF(AM291="Cancelled","Cancelled",IF(AND(I291&lt;TODAY(),OR(AM291="Pending",AM291="Confirmed",AM291="Enquiry")),"Overdue - update status",IF(AND(AM291="Completed",AS291="No"),"Action - log the visit",IF(I291=TODAY(),"Today",IF(AND(I291&gt;TODAY(),I291-TODAY()&lt;=ReminderLeadDays,AN291&lt;&gt;"Yes"),"Action - unconfirmed",IF(AND(I291&gt;TODAY(),I291-TODAY()&lt;=ReminderLeadDays),"Upcoming","OK")))))))</f>
        <v>0</v>
      </c>
    </row>
    <row r="292" spans="1:52">
      <c r="A292" s="46">
        <f>IF(C292="","",BookingPrefix&amp;TEXT(ROW()-4,"0000"))</f>
        <v>0</v>
      </c>
      <c r="D292" s="28">
        <f>IF(C292="","",IFERROR(INDEX(Clients!$A$5:$A$254,MATCH(C292,Clients!$B$5:$B$254,0)),""))</f>
        <v>0</v>
      </c>
      <c r="J292" s="50">
        <f>IF(I292="","",TEXT(I292,"ddd"))</f>
        <v>0</v>
      </c>
      <c r="M292" s="51">
        <f>IF(OR(K292="",L292=""),"",ROUND((L292-K292+IF(L292&lt;K292,1,0))*24,2))</f>
        <v>0</v>
      </c>
      <c r="O292" s="28">
        <f>IF(H292="","",IFERROR(INDEX(Services!$E$5:$E$54,MATCH(H292,Services!$B$5:$B$54,0)),""))</f>
        <v>0</v>
      </c>
      <c r="P292" s="29">
        <f>IF(H292="","",IFERROR(INDEX(Services!$G$5:$G$54,MATCH(H292,Services!$B$5:$B$54,0)),0))</f>
        <v>0</v>
      </c>
      <c r="Q292" s="29">
        <f>IF(H292="","",IF(IFERROR(INDEX(Services!$H$5:$H$54,MATCH(H292,Services!$B$5:$B$54,0)),0)=0,ExtraPetFeeDefault,IFERROR(INDEX(Services!$H$5:$H$54,MATCH(H292,Services!$B$5:$B$54,0)),0)))</f>
        <v>0</v>
      </c>
      <c r="R292" s="30">
        <f>IF(H292="","",IF(IFERROR(INDEX(Services!$I$5:$I$54,MATCH(H292,Services!$B$5:$B$54,0)),0)=0,HolidaySurcharge,IFERROR(INDEX(Services!$I$5:$I$54,MATCH(H292,Services!$B$5:$B$54,0)),0)))</f>
        <v>0</v>
      </c>
      <c r="S292" s="30">
        <f>IF(H292="","",IF(IFERROR(INDEX(Services!$J$5:$J$54,MATCH(H292,Services!$B$5:$B$54,0)),0)=0,WeekendSurcharge,IFERROR(INDEX(Services!$J$5:$J$54,MATCH(H292,Services!$B$5:$B$54,0)),0)))</f>
        <v>0</v>
      </c>
      <c r="T292" s="50">
        <f>IF(H292="","",IFERROR(INDEX(Services!$K$5:$K$54,MATCH(H292,Services!$B$5:$B$54,0)),"No"))</f>
        <v>0</v>
      </c>
      <c r="U292" s="29">
        <f>IF(H292="","",ROUND(IF(O292="Per hour",P292*IF(M292="",IF(N292="",1,N292),M292),P292*IF(N292="",1,N292)),2))</f>
        <v>0</v>
      </c>
      <c r="V292" s="29">
        <f>IF(H292="","",ROUND(MAX(0,IF(G292="",1,G292)-1)*Q292,2))</f>
        <v>0</v>
      </c>
      <c r="W292" s="50">
        <f>IF(I292="","",IF(COUNTIF(HolidayDates,I292)&gt;0,"Yes","No"))</f>
        <v>0</v>
      </c>
      <c r="X292" s="50">
        <f>IF(I292="","",IF(WEEKDAY(I292,2)&gt;5,"Yes","No"))</f>
        <v>0</v>
      </c>
      <c r="Y292" s="29">
        <f>IF(H292="","",ROUND((U292+V292)*(IF(W292="Yes",R292,0)+IF(X292="Yes",S292,0)),2))</f>
        <v>0</v>
      </c>
      <c r="AA292" s="29">
        <f>IF(H292="","",IF(T292&lt;&gt;"Yes",0,ROUND(MAX(0,IF(Z292="",0,Z292)-FreeTravelDistance)*TravelFeeRate,2)))</f>
        <v>0</v>
      </c>
      <c r="AB292" s="31">
        <f>IF(I292="","",TravelTimeMins)</f>
        <v>0</v>
      </c>
      <c r="AC292" s="29">
        <f>IF(OR(I292="",B292=""),0,IF(I292-B292&lt;=LastMinuteDays,EmergencyFee,0))</f>
        <v>0</v>
      </c>
      <c r="AF292" s="29">
        <f>IF(H292="","",ROUND((U292+V292+Y292+AA292+AC292)*IF(AE292="",0,AE292),2))</f>
        <v>0</v>
      </c>
      <c r="AI292" s="29">
        <f>IF(H292="","",IF(AG292&lt;&gt;"",AG292,ROUND(U292+V292+Y292+AA292+AC292-AF292,2)))</f>
        <v>0</v>
      </c>
      <c r="AJ292" s="29">
        <f>IF(AI292="","",IF(TaxRegistered&lt;&gt;"Yes",0,IF(PricesIncludeTax="Yes",ROUND(AI292-AI292/(1+TaxRate),2),ROUND(AI292*TaxRate,2))))</f>
        <v>0</v>
      </c>
      <c r="AK292" s="29">
        <f>IF(AI292="","",IF(PricesIncludeTax="Yes",AI292,ROUND(AI292+AJ292,2)))</f>
        <v>0</v>
      </c>
      <c r="AQ292" s="21">
        <f>IF(OR(I292="",AP292="",AP292="None"),"",IF(AP292="Monthly",EDATE(I292,1),I292+IF(AP292="Daily",1,IF(AP292="Weekdays",IF(WEEKDAY(I292,2)&gt;=5,8-WEEKDAY(I292,2),1),IF(AP292="Weekly",7,IF(AP292="Fortnightly",14,0))))))</f>
        <v>0</v>
      </c>
      <c r="AR292" s="49">
        <f>IF(OR(I292="",AL292="",K292="",L292=""),"",IF(SUMPRODUCT((Bookings!$AL$5:$AL$404=AL292)*(Bookings!$I$5:$I$404=I292)*(Bookings!$K$5:$K$404&lt;L292)*(Bookings!$L$5:$L$404&gt;K292)*(Bookings!$AM$5:$AM$404&lt;&gt;"Cancelled"))&gt;1,"Conflict - double booked","OK"))</f>
        <v>0</v>
      </c>
      <c r="AS292" s="50">
        <f>IF(A292="","",IF(COUNTIF('Visit Log'!$B$5:$B$404,A292)&gt;0,"Yes","No"))</f>
        <v>0</v>
      </c>
      <c r="AT292" s="28">
        <f>IF(A292="","",IFERROR(INDEX(Invoices!$A$5:$A$304,MATCH(A292,Invoices!$E$5:$E$304,0)),""))</f>
        <v>0</v>
      </c>
      <c r="AU292" s="49">
        <f>IF(A292="","",IF(AT292="","Not invoiced",IFERROR(INDEX(Invoices!$U$5:$U$304,MATCH(AT292,Invoices!$A$5:$A$304,0)),"")))</f>
        <v>0</v>
      </c>
      <c r="AY292" s="28">
        <f>IF(I292="","",TEXT(I292,"yyyy-mm"))</f>
        <v>0</v>
      </c>
      <c r="AZ292" s="49">
        <f>IF(I292="","",IF(AM292="Cancelled","Cancelled",IF(AND(I292&lt;TODAY(),OR(AM292="Pending",AM292="Confirmed",AM292="Enquiry")),"Overdue - update status",IF(AND(AM292="Completed",AS292="No"),"Action - log the visit",IF(I292=TODAY(),"Today",IF(AND(I292&gt;TODAY(),I292-TODAY()&lt;=ReminderLeadDays,AN292&lt;&gt;"Yes"),"Action - unconfirmed",IF(AND(I292&gt;TODAY(),I292-TODAY()&lt;=ReminderLeadDays),"Upcoming","OK")))))))</f>
        <v>0</v>
      </c>
    </row>
    <row r="293" spans="1:52">
      <c r="A293" s="46">
        <f>IF(C293="","",BookingPrefix&amp;TEXT(ROW()-4,"0000"))</f>
        <v>0</v>
      </c>
      <c r="D293" s="28">
        <f>IF(C293="","",IFERROR(INDEX(Clients!$A$5:$A$254,MATCH(C293,Clients!$B$5:$B$254,0)),""))</f>
        <v>0</v>
      </c>
      <c r="J293" s="50">
        <f>IF(I293="","",TEXT(I293,"ddd"))</f>
        <v>0</v>
      </c>
      <c r="M293" s="51">
        <f>IF(OR(K293="",L293=""),"",ROUND((L293-K293+IF(L293&lt;K293,1,0))*24,2))</f>
        <v>0</v>
      </c>
      <c r="O293" s="28">
        <f>IF(H293="","",IFERROR(INDEX(Services!$E$5:$E$54,MATCH(H293,Services!$B$5:$B$54,0)),""))</f>
        <v>0</v>
      </c>
      <c r="P293" s="29">
        <f>IF(H293="","",IFERROR(INDEX(Services!$G$5:$G$54,MATCH(H293,Services!$B$5:$B$54,0)),0))</f>
        <v>0</v>
      </c>
      <c r="Q293" s="29">
        <f>IF(H293="","",IF(IFERROR(INDEX(Services!$H$5:$H$54,MATCH(H293,Services!$B$5:$B$54,0)),0)=0,ExtraPetFeeDefault,IFERROR(INDEX(Services!$H$5:$H$54,MATCH(H293,Services!$B$5:$B$54,0)),0)))</f>
        <v>0</v>
      </c>
      <c r="R293" s="30">
        <f>IF(H293="","",IF(IFERROR(INDEX(Services!$I$5:$I$54,MATCH(H293,Services!$B$5:$B$54,0)),0)=0,HolidaySurcharge,IFERROR(INDEX(Services!$I$5:$I$54,MATCH(H293,Services!$B$5:$B$54,0)),0)))</f>
        <v>0</v>
      </c>
      <c r="S293" s="30">
        <f>IF(H293="","",IF(IFERROR(INDEX(Services!$J$5:$J$54,MATCH(H293,Services!$B$5:$B$54,0)),0)=0,WeekendSurcharge,IFERROR(INDEX(Services!$J$5:$J$54,MATCH(H293,Services!$B$5:$B$54,0)),0)))</f>
        <v>0</v>
      </c>
      <c r="T293" s="50">
        <f>IF(H293="","",IFERROR(INDEX(Services!$K$5:$K$54,MATCH(H293,Services!$B$5:$B$54,0)),"No"))</f>
        <v>0</v>
      </c>
      <c r="U293" s="29">
        <f>IF(H293="","",ROUND(IF(O293="Per hour",P293*IF(M293="",IF(N293="",1,N293),M293),P293*IF(N293="",1,N293)),2))</f>
        <v>0</v>
      </c>
      <c r="V293" s="29">
        <f>IF(H293="","",ROUND(MAX(0,IF(G293="",1,G293)-1)*Q293,2))</f>
        <v>0</v>
      </c>
      <c r="W293" s="50">
        <f>IF(I293="","",IF(COUNTIF(HolidayDates,I293)&gt;0,"Yes","No"))</f>
        <v>0</v>
      </c>
      <c r="X293" s="50">
        <f>IF(I293="","",IF(WEEKDAY(I293,2)&gt;5,"Yes","No"))</f>
        <v>0</v>
      </c>
      <c r="Y293" s="29">
        <f>IF(H293="","",ROUND((U293+V293)*(IF(W293="Yes",R293,0)+IF(X293="Yes",S293,0)),2))</f>
        <v>0</v>
      </c>
      <c r="AA293" s="29">
        <f>IF(H293="","",IF(T293&lt;&gt;"Yes",0,ROUND(MAX(0,IF(Z293="",0,Z293)-FreeTravelDistance)*TravelFeeRate,2)))</f>
        <v>0</v>
      </c>
      <c r="AB293" s="31">
        <f>IF(I293="","",TravelTimeMins)</f>
        <v>0</v>
      </c>
      <c r="AC293" s="29">
        <f>IF(OR(I293="",B293=""),0,IF(I293-B293&lt;=LastMinuteDays,EmergencyFee,0))</f>
        <v>0</v>
      </c>
      <c r="AF293" s="29">
        <f>IF(H293="","",ROUND((U293+V293+Y293+AA293+AC293)*IF(AE293="",0,AE293),2))</f>
        <v>0</v>
      </c>
      <c r="AI293" s="29">
        <f>IF(H293="","",IF(AG293&lt;&gt;"",AG293,ROUND(U293+V293+Y293+AA293+AC293-AF293,2)))</f>
        <v>0</v>
      </c>
      <c r="AJ293" s="29">
        <f>IF(AI293="","",IF(TaxRegistered&lt;&gt;"Yes",0,IF(PricesIncludeTax="Yes",ROUND(AI293-AI293/(1+TaxRate),2),ROUND(AI293*TaxRate,2))))</f>
        <v>0</v>
      </c>
      <c r="AK293" s="29">
        <f>IF(AI293="","",IF(PricesIncludeTax="Yes",AI293,ROUND(AI293+AJ293,2)))</f>
        <v>0</v>
      </c>
      <c r="AQ293" s="21">
        <f>IF(OR(I293="",AP293="",AP293="None"),"",IF(AP293="Monthly",EDATE(I293,1),I293+IF(AP293="Daily",1,IF(AP293="Weekdays",IF(WEEKDAY(I293,2)&gt;=5,8-WEEKDAY(I293,2),1),IF(AP293="Weekly",7,IF(AP293="Fortnightly",14,0))))))</f>
        <v>0</v>
      </c>
      <c r="AR293" s="49">
        <f>IF(OR(I293="",AL293="",K293="",L293=""),"",IF(SUMPRODUCT((Bookings!$AL$5:$AL$404=AL293)*(Bookings!$I$5:$I$404=I293)*(Bookings!$K$5:$K$404&lt;L293)*(Bookings!$L$5:$L$404&gt;K293)*(Bookings!$AM$5:$AM$404&lt;&gt;"Cancelled"))&gt;1,"Conflict - double booked","OK"))</f>
        <v>0</v>
      </c>
      <c r="AS293" s="50">
        <f>IF(A293="","",IF(COUNTIF('Visit Log'!$B$5:$B$404,A293)&gt;0,"Yes","No"))</f>
        <v>0</v>
      </c>
      <c r="AT293" s="28">
        <f>IF(A293="","",IFERROR(INDEX(Invoices!$A$5:$A$304,MATCH(A293,Invoices!$E$5:$E$304,0)),""))</f>
        <v>0</v>
      </c>
      <c r="AU293" s="49">
        <f>IF(A293="","",IF(AT293="","Not invoiced",IFERROR(INDEX(Invoices!$U$5:$U$304,MATCH(AT293,Invoices!$A$5:$A$304,0)),"")))</f>
        <v>0</v>
      </c>
      <c r="AY293" s="28">
        <f>IF(I293="","",TEXT(I293,"yyyy-mm"))</f>
        <v>0</v>
      </c>
      <c r="AZ293" s="49">
        <f>IF(I293="","",IF(AM293="Cancelled","Cancelled",IF(AND(I293&lt;TODAY(),OR(AM293="Pending",AM293="Confirmed",AM293="Enquiry")),"Overdue - update status",IF(AND(AM293="Completed",AS293="No"),"Action - log the visit",IF(I293=TODAY(),"Today",IF(AND(I293&gt;TODAY(),I293-TODAY()&lt;=ReminderLeadDays,AN293&lt;&gt;"Yes"),"Action - unconfirmed",IF(AND(I293&gt;TODAY(),I293-TODAY()&lt;=ReminderLeadDays),"Upcoming","OK")))))))</f>
        <v>0</v>
      </c>
    </row>
    <row r="294" spans="1:52">
      <c r="A294" s="46">
        <f>IF(C294="","",BookingPrefix&amp;TEXT(ROW()-4,"0000"))</f>
        <v>0</v>
      </c>
      <c r="D294" s="28">
        <f>IF(C294="","",IFERROR(INDEX(Clients!$A$5:$A$254,MATCH(C294,Clients!$B$5:$B$254,0)),""))</f>
        <v>0</v>
      </c>
      <c r="J294" s="50">
        <f>IF(I294="","",TEXT(I294,"ddd"))</f>
        <v>0</v>
      </c>
      <c r="M294" s="51">
        <f>IF(OR(K294="",L294=""),"",ROUND((L294-K294+IF(L294&lt;K294,1,0))*24,2))</f>
        <v>0</v>
      </c>
      <c r="O294" s="28">
        <f>IF(H294="","",IFERROR(INDEX(Services!$E$5:$E$54,MATCH(H294,Services!$B$5:$B$54,0)),""))</f>
        <v>0</v>
      </c>
      <c r="P294" s="29">
        <f>IF(H294="","",IFERROR(INDEX(Services!$G$5:$G$54,MATCH(H294,Services!$B$5:$B$54,0)),0))</f>
        <v>0</v>
      </c>
      <c r="Q294" s="29">
        <f>IF(H294="","",IF(IFERROR(INDEX(Services!$H$5:$H$54,MATCH(H294,Services!$B$5:$B$54,0)),0)=0,ExtraPetFeeDefault,IFERROR(INDEX(Services!$H$5:$H$54,MATCH(H294,Services!$B$5:$B$54,0)),0)))</f>
        <v>0</v>
      </c>
      <c r="R294" s="30">
        <f>IF(H294="","",IF(IFERROR(INDEX(Services!$I$5:$I$54,MATCH(H294,Services!$B$5:$B$54,0)),0)=0,HolidaySurcharge,IFERROR(INDEX(Services!$I$5:$I$54,MATCH(H294,Services!$B$5:$B$54,0)),0)))</f>
        <v>0</v>
      </c>
      <c r="S294" s="30">
        <f>IF(H294="","",IF(IFERROR(INDEX(Services!$J$5:$J$54,MATCH(H294,Services!$B$5:$B$54,0)),0)=0,WeekendSurcharge,IFERROR(INDEX(Services!$J$5:$J$54,MATCH(H294,Services!$B$5:$B$54,0)),0)))</f>
        <v>0</v>
      </c>
      <c r="T294" s="50">
        <f>IF(H294="","",IFERROR(INDEX(Services!$K$5:$K$54,MATCH(H294,Services!$B$5:$B$54,0)),"No"))</f>
        <v>0</v>
      </c>
      <c r="U294" s="29">
        <f>IF(H294="","",ROUND(IF(O294="Per hour",P294*IF(M294="",IF(N294="",1,N294),M294),P294*IF(N294="",1,N294)),2))</f>
        <v>0</v>
      </c>
      <c r="V294" s="29">
        <f>IF(H294="","",ROUND(MAX(0,IF(G294="",1,G294)-1)*Q294,2))</f>
        <v>0</v>
      </c>
      <c r="W294" s="50">
        <f>IF(I294="","",IF(COUNTIF(HolidayDates,I294)&gt;0,"Yes","No"))</f>
        <v>0</v>
      </c>
      <c r="X294" s="50">
        <f>IF(I294="","",IF(WEEKDAY(I294,2)&gt;5,"Yes","No"))</f>
        <v>0</v>
      </c>
      <c r="Y294" s="29">
        <f>IF(H294="","",ROUND((U294+V294)*(IF(W294="Yes",R294,0)+IF(X294="Yes",S294,0)),2))</f>
        <v>0</v>
      </c>
      <c r="AA294" s="29">
        <f>IF(H294="","",IF(T294&lt;&gt;"Yes",0,ROUND(MAX(0,IF(Z294="",0,Z294)-FreeTravelDistance)*TravelFeeRate,2)))</f>
        <v>0</v>
      </c>
      <c r="AB294" s="31">
        <f>IF(I294="","",TravelTimeMins)</f>
        <v>0</v>
      </c>
      <c r="AC294" s="29">
        <f>IF(OR(I294="",B294=""),0,IF(I294-B294&lt;=LastMinuteDays,EmergencyFee,0))</f>
        <v>0</v>
      </c>
      <c r="AF294" s="29">
        <f>IF(H294="","",ROUND((U294+V294+Y294+AA294+AC294)*IF(AE294="",0,AE294),2))</f>
        <v>0</v>
      </c>
      <c r="AI294" s="29">
        <f>IF(H294="","",IF(AG294&lt;&gt;"",AG294,ROUND(U294+V294+Y294+AA294+AC294-AF294,2)))</f>
        <v>0</v>
      </c>
      <c r="AJ294" s="29">
        <f>IF(AI294="","",IF(TaxRegistered&lt;&gt;"Yes",0,IF(PricesIncludeTax="Yes",ROUND(AI294-AI294/(1+TaxRate),2),ROUND(AI294*TaxRate,2))))</f>
        <v>0</v>
      </c>
      <c r="AK294" s="29">
        <f>IF(AI294="","",IF(PricesIncludeTax="Yes",AI294,ROUND(AI294+AJ294,2)))</f>
        <v>0</v>
      </c>
      <c r="AQ294" s="21">
        <f>IF(OR(I294="",AP294="",AP294="None"),"",IF(AP294="Monthly",EDATE(I294,1),I294+IF(AP294="Daily",1,IF(AP294="Weekdays",IF(WEEKDAY(I294,2)&gt;=5,8-WEEKDAY(I294,2),1),IF(AP294="Weekly",7,IF(AP294="Fortnightly",14,0))))))</f>
        <v>0</v>
      </c>
      <c r="AR294" s="49">
        <f>IF(OR(I294="",AL294="",K294="",L294=""),"",IF(SUMPRODUCT((Bookings!$AL$5:$AL$404=AL294)*(Bookings!$I$5:$I$404=I294)*(Bookings!$K$5:$K$404&lt;L294)*(Bookings!$L$5:$L$404&gt;K294)*(Bookings!$AM$5:$AM$404&lt;&gt;"Cancelled"))&gt;1,"Conflict - double booked","OK"))</f>
        <v>0</v>
      </c>
      <c r="AS294" s="50">
        <f>IF(A294="","",IF(COUNTIF('Visit Log'!$B$5:$B$404,A294)&gt;0,"Yes","No"))</f>
        <v>0</v>
      </c>
      <c r="AT294" s="28">
        <f>IF(A294="","",IFERROR(INDEX(Invoices!$A$5:$A$304,MATCH(A294,Invoices!$E$5:$E$304,0)),""))</f>
        <v>0</v>
      </c>
      <c r="AU294" s="49">
        <f>IF(A294="","",IF(AT294="","Not invoiced",IFERROR(INDEX(Invoices!$U$5:$U$304,MATCH(AT294,Invoices!$A$5:$A$304,0)),"")))</f>
        <v>0</v>
      </c>
      <c r="AY294" s="28">
        <f>IF(I294="","",TEXT(I294,"yyyy-mm"))</f>
        <v>0</v>
      </c>
      <c r="AZ294" s="49">
        <f>IF(I294="","",IF(AM294="Cancelled","Cancelled",IF(AND(I294&lt;TODAY(),OR(AM294="Pending",AM294="Confirmed",AM294="Enquiry")),"Overdue - update status",IF(AND(AM294="Completed",AS294="No"),"Action - log the visit",IF(I294=TODAY(),"Today",IF(AND(I294&gt;TODAY(),I294-TODAY()&lt;=ReminderLeadDays,AN294&lt;&gt;"Yes"),"Action - unconfirmed",IF(AND(I294&gt;TODAY(),I294-TODAY()&lt;=ReminderLeadDays),"Upcoming","OK")))))))</f>
        <v>0</v>
      </c>
    </row>
    <row r="295" spans="1:52">
      <c r="A295" s="46">
        <f>IF(C295="","",BookingPrefix&amp;TEXT(ROW()-4,"0000"))</f>
        <v>0</v>
      </c>
      <c r="D295" s="28">
        <f>IF(C295="","",IFERROR(INDEX(Clients!$A$5:$A$254,MATCH(C295,Clients!$B$5:$B$254,0)),""))</f>
        <v>0</v>
      </c>
      <c r="J295" s="50">
        <f>IF(I295="","",TEXT(I295,"ddd"))</f>
        <v>0</v>
      </c>
      <c r="M295" s="51">
        <f>IF(OR(K295="",L295=""),"",ROUND((L295-K295+IF(L295&lt;K295,1,0))*24,2))</f>
        <v>0</v>
      </c>
      <c r="O295" s="28">
        <f>IF(H295="","",IFERROR(INDEX(Services!$E$5:$E$54,MATCH(H295,Services!$B$5:$B$54,0)),""))</f>
        <v>0</v>
      </c>
      <c r="P295" s="29">
        <f>IF(H295="","",IFERROR(INDEX(Services!$G$5:$G$54,MATCH(H295,Services!$B$5:$B$54,0)),0))</f>
        <v>0</v>
      </c>
      <c r="Q295" s="29">
        <f>IF(H295="","",IF(IFERROR(INDEX(Services!$H$5:$H$54,MATCH(H295,Services!$B$5:$B$54,0)),0)=0,ExtraPetFeeDefault,IFERROR(INDEX(Services!$H$5:$H$54,MATCH(H295,Services!$B$5:$B$54,0)),0)))</f>
        <v>0</v>
      </c>
      <c r="R295" s="30">
        <f>IF(H295="","",IF(IFERROR(INDEX(Services!$I$5:$I$54,MATCH(H295,Services!$B$5:$B$54,0)),0)=0,HolidaySurcharge,IFERROR(INDEX(Services!$I$5:$I$54,MATCH(H295,Services!$B$5:$B$54,0)),0)))</f>
        <v>0</v>
      </c>
      <c r="S295" s="30">
        <f>IF(H295="","",IF(IFERROR(INDEX(Services!$J$5:$J$54,MATCH(H295,Services!$B$5:$B$54,0)),0)=0,WeekendSurcharge,IFERROR(INDEX(Services!$J$5:$J$54,MATCH(H295,Services!$B$5:$B$54,0)),0)))</f>
        <v>0</v>
      </c>
      <c r="T295" s="50">
        <f>IF(H295="","",IFERROR(INDEX(Services!$K$5:$K$54,MATCH(H295,Services!$B$5:$B$54,0)),"No"))</f>
        <v>0</v>
      </c>
      <c r="U295" s="29">
        <f>IF(H295="","",ROUND(IF(O295="Per hour",P295*IF(M295="",IF(N295="",1,N295),M295),P295*IF(N295="",1,N295)),2))</f>
        <v>0</v>
      </c>
      <c r="V295" s="29">
        <f>IF(H295="","",ROUND(MAX(0,IF(G295="",1,G295)-1)*Q295,2))</f>
        <v>0</v>
      </c>
      <c r="W295" s="50">
        <f>IF(I295="","",IF(COUNTIF(HolidayDates,I295)&gt;0,"Yes","No"))</f>
        <v>0</v>
      </c>
      <c r="X295" s="50">
        <f>IF(I295="","",IF(WEEKDAY(I295,2)&gt;5,"Yes","No"))</f>
        <v>0</v>
      </c>
      <c r="Y295" s="29">
        <f>IF(H295="","",ROUND((U295+V295)*(IF(W295="Yes",R295,0)+IF(X295="Yes",S295,0)),2))</f>
        <v>0</v>
      </c>
      <c r="AA295" s="29">
        <f>IF(H295="","",IF(T295&lt;&gt;"Yes",0,ROUND(MAX(0,IF(Z295="",0,Z295)-FreeTravelDistance)*TravelFeeRate,2)))</f>
        <v>0</v>
      </c>
      <c r="AB295" s="31">
        <f>IF(I295="","",TravelTimeMins)</f>
        <v>0</v>
      </c>
      <c r="AC295" s="29">
        <f>IF(OR(I295="",B295=""),0,IF(I295-B295&lt;=LastMinuteDays,EmergencyFee,0))</f>
        <v>0</v>
      </c>
      <c r="AF295" s="29">
        <f>IF(H295="","",ROUND((U295+V295+Y295+AA295+AC295)*IF(AE295="",0,AE295),2))</f>
        <v>0</v>
      </c>
      <c r="AI295" s="29">
        <f>IF(H295="","",IF(AG295&lt;&gt;"",AG295,ROUND(U295+V295+Y295+AA295+AC295-AF295,2)))</f>
        <v>0</v>
      </c>
      <c r="AJ295" s="29">
        <f>IF(AI295="","",IF(TaxRegistered&lt;&gt;"Yes",0,IF(PricesIncludeTax="Yes",ROUND(AI295-AI295/(1+TaxRate),2),ROUND(AI295*TaxRate,2))))</f>
        <v>0</v>
      </c>
      <c r="AK295" s="29">
        <f>IF(AI295="","",IF(PricesIncludeTax="Yes",AI295,ROUND(AI295+AJ295,2)))</f>
        <v>0</v>
      </c>
      <c r="AQ295" s="21">
        <f>IF(OR(I295="",AP295="",AP295="None"),"",IF(AP295="Monthly",EDATE(I295,1),I295+IF(AP295="Daily",1,IF(AP295="Weekdays",IF(WEEKDAY(I295,2)&gt;=5,8-WEEKDAY(I295,2),1),IF(AP295="Weekly",7,IF(AP295="Fortnightly",14,0))))))</f>
        <v>0</v>
      </c>
      <c r="AR295" s="49">
        <f>IF(OR(I295="",AL295="",K295="",L295=""),"",IF(SUMPRODUCT((Bookings!$AL$5:$AL$404=AL295)*(Bookings!$I$5:$I$404=I295)*(Bookings!$K$5:$K$404&lt;L295)*(Bookings!$L$5:$L$404&gt;K295)*(Bookings!$AM$5:$AM$404&lt;&gt;"Cancelled"))&gt;1,"Conflict - double booked","OK"))</f>
        <v>0</v>
      </c>
      <c r="AS295" s="50">
        <f>IF(A295="","",IF(COUNTIF('Visit Log'!$B$5:$B$404,A295)&gt;0,"Yes","No"))</f>
        <v>0</v>
      </c>
      <c r="AT295" s="28">
        <f>IF(A295="","",IFERROR(INDEX(Invoices!$A$5:$A$304,MATCH(A295,Invoices!$E$5:$E$304,0)),""))</f>
        <v>0</v>
      </c>
      <c r="AU295" s="49">
        <f>IF(A295="","",IF(AT295="","Not invoiced",IFERROR(INDEX(Invoices!$U$5:$U$304,MATCH(AT295,Invoices!$A$5:$A$304,0)),"")))</f>
        <v>0</v>
      </c>
      <c r="AY295" s="28">
        <f>IF(I295="","",TEXT(I295,"yyyy-mm"))</f>
        <v>0</v>
      </c>
      <c r="AZ295" s="49">
        <f>IF(I295="","",IF(AM295="Cancelled","Cancelled",IF(AND(I295&lt;TODAY(),OR(AM295="Pending",AM295="Confirmed",AM295="Enquiry")),"Overdue - update status",IF(AND(AM295="Completed",AS295="No"),"Action - log the visit",IF(I295=TODAY(),"Today",IF(AND(I295&gt;TODAY(),I295-TODAY()&lt;=ReminderLeadDays,AN295&lt;&gt;"Yes"),"Action - unconfirmed",IF(AND(I295&gt;TODAY(),I295-TODAY()&lt;=ReminderLeadDays),"Upcoming","OK")))))))</f>
        <v>0</v>
      </c>
    </row>
    <row r="296" spans="1:52">
      <c r="A296" s="46">
        <f>IF(C296="","",BookingPrefix&amp;TEXT(ROW()-4,"0000"))</f>
        <v>0</v>
      </c>
      <c r="D296" s="28">
        <f>IF(C296="","",IFERROR(INDEX(Clients!$A$5:$A$254,MATCH(C296,Clients!$B$5:$B$254,0)),""))</f>
        <v>0</v>
      </c>
      <c r="J296" s="50">
        <f>IF(I296="","",TEXT(I296,"ddd"))</f>
        <v>0</v>
      </c>
      <c r="M296" s="51">
        <f>IF(OR(K296="",L296=""),"",ROUND((L296-K296+IF(L296&lt;K296,1,0))*24,2))</f>
        <v>0</v>
      </c>
      <c r="O296" s="28">
        <f>IF(H296="","",IFERROR(INDEX(Services!$E$5:$E$54,MATCH(H296,Services!$B$5:$B$54,0)),""))</f>
        <v>0</v>
      </c>
      <c r="P296" s="29">
        <f>IF(H296="","",IFERROR(INDEX(Services!$G$5:$G$54,MATCH(H296,Services!$B$5:$B$54,0)),0))</f>
        <v>0</v>
      </c>
      <c r="Q296" s="29">
        <f>IF(H296="","",IF(IFERROR(INDEX(Services!$H$5:$H$54,MATCH(H296,Services!$B$5:$B$54,0)),0)=0,ExtraPetFeeDefault,IFERROR(INDEX(Services!$H$5:$H$54,MATCH(H296,Services!$B$5:$B$54,0)),0)))</f>
        <v>0</v>
      </c>
      <c r="R296" s="30">
        <f>IF(H296="","",IF(IFERROR(INDEX(Services!$I$5:$I$54,MATCH(H296,Services!$B$5:$B$54,0)),0)=0,HolidaySurcharge,IFERROR(INDEX(Services!$I$5:$I$54,MATCH(H296,Services!$B$5:$B$54,0)),0)))</f>
        <v>0</v>
      </c>
      <c r="S296" s="30">
        <f>IF(H296="","",IF(IFERROR(INDEX(Services!$J$5:$J$54,MATCH(H296,Services!$B$5:$B$54,0)),0)=0,WeekendSurcharge,IFERROR(INDEX(Services!$J$5:$J$54,MATCH(H296,Services!$B$5:$B$54,0)),0)))</f>
        <v>0</v>
      </c>
      <c r="T296" s="50">
        <f>IF(H296="","",IFERROR(INDEX(Services!$K$5:$K$54,MATCH(H296,Services!$B$5:$B$54,0)),"No"))</f>
        <v>0</v>
      </c>
      <c r="U296" s="29">
        <f>IF(H296="","",ROUND(IF(O296="Per hour",P296*IF(M296="",IF(N296="",1,N296),M296),P296*IF(N296="",1,N296)),2))</f>
        <v>0</v>
      </c>
      <c r="V296" s="29">
        <f>IF(H296="","",ROUND(MAX(0,IF(G296="",1,G296)-1)*Q296,2))</f>
        <v>0</v>
      </c>
      <c r="W296" s="50">
        <f>IF(I296="","",IF(COUNTIF(HolidayDates,I296)&gt;0,"Yes","No"))</f>
        <v>0</v>
      </c>
      <c r="X296" s="50">
        <f>IF(I296="","",IF(WEEKDAY(I296,2)&gt;5,"Yes","No"))</f>
        <v>0</v>
      </c>
      <c r="Y296" s="29">
        <f>IF(H296="","",ROUND((U296+V296)*(IF(W296="Yes",R296,0)+IF(X296="Yes",S296,0)),2))</f>
        <v>0</v>
      </c>
      <c r="AA296" s="29">
        <f>IF(H296="","",IF(T296&lt;&gt;"Yes",0,ROUND(MAX(0,IF(Z296="",0,Z296)-FreeTravelDistance)*TravelFeeRate,2)))</f>
        <v>0</v>
      </c>
      <c r="AB296" s="31">
        <f>IF(I296="","",TravelTimeMins)</f>
        <v>0</v>
      </c>
      <c r="AC296" s="29">
        <f>IF(OR(I296="",B296=""),0,IF(I296-B296&lt;=LastMinuteDays,EmergencyFee,0))</f>
        <v>0</v>
      </c>
      <c r="AF296" s="29">
        <f>IF(H296="","",ROUND((U296+V296+Y296+AA296+AC296)*IF(AE296="",0,AE296),2))</f>
        <v>0</v>
      </c>
      <c r="AI296" s="29">
        <f>IF(H296="","",IF(AG296&lt;&gt;"",AG296,ROUND(U296+V296+Y296+AA296+AC296-AF296,2)))</f>
        <v>0</v>
      </c>
      <c r="AJ296" s="29">
        <f>IF(AI296="","",IF(TaxRegistered&lt;&gt;"Yes",0,IF(PricesIncludeTax="Yes",ROUND(AI296-AI296/(1+TaxRate),2),ROUND(AI296*TaxRate,2))))</f>
        <v>0</v>
      </c>
      <c r="AK296" s="29">
        <f>IF(AI296="","",IF(PricesIncludeTax="Yes",AI296,ROUND(AI296+AJ296,2)))</f>
        <v>0</v>
      </c>
      <c r="AQ296" s="21">
        <f>IF(OR(I296="",AP296="",AP296="None"),"",IF(AP296="Monthly",EDATE(I296,1),I296+IF(AP296="Daily",1,IF(AP296="Weekdays",IF(WEEKDAY(I296,2)&gt;=5,8-WEEKDAY(I296,2),1),IF(AP296="Weekly",7,IF(AP296="Fortnightly",14,0))))))</f>
        <v>0</v>
      </c>
      <c r="AR296" s="49">
        <f>IF(OR(I296="",AL296="",K296="",L296=""),"",IF(SUMPRODUCT((Bookings!$AL$5:$AL$404=AL296)*(Bookings!$I$5:$I$404=I296)*(Bookings!$K$5:$K$404&lt;L296)*(Bookings!$L$5:$L$404&gt;K296)*(Bookings!$AM$5:$AM$404&lt;&gt;"Cancelled"))&gt;1,"Conflict - double booked","OK"))</f>
        <v>0</v>
      </c>
      <c r="AS296" s="50">
        <f>IF(A296="","",IF(COUNTIF('Visit Log'!$B$5:$B$404,A296)&gt;0,"Yes","No"))</f>
        <v>0</v>
      </c>
      <c r="AT296" s="28">
        <f>IF(A296="","",IFERROR(INDEX(Invoices!$A$5:$A$304,MATCH(A296,Invoices!$E$5:$E$304,0)),""))</f>
        <v>0</v>
      </c>
      <c r="AU296" s="49">
        <f>IF(A296="","",IF(AT296="","Not invoiced",IFERROR(INDEX(Invoices!$U$5:$U$304,MATCH(AT296,Invoices!$A$5:$A$304,0)),"")))</f>
        <v>0</v>
      </c>
      <c r="AY296" s="28">
        <f>IF(I296="","",TEXT(I296,"yyyy-mm"))</f>
        <v>0</v>
      </c>
      <c r="AZ296" s="49">
        <f>IF(I296="","",IF(AM296="Cancelled","Cancelled",IF(AND(I296&lt;TODAY(),OR(AM296="Pending",AM296="Confirmed",AM296="Enquiry")),"Overdue - update status",IF(AND(AM296="Completed",AS296="No"),"Action - log the visit",IF(I296=TODAY(),"Today",IF(AND(I296&gt;TODAY(),I296-TODAY()&lt;=ReminderLeadDays,AN296&lt;&gt;"Yes"),"Action - unconfirmed",IF(AND(I296&gt;TODAY(),I296-TODAY()&lt;=ReminderLeadDays),"Upcoming","OK")))))))</f>
        <v>0</v>
      </c>
    </row>
    <row r="297" spans="1:52">
      <c r="A297" s="46">
        <f>IF(C297="","",BookingPrefix&amp;TEXT(ROW()-4,"0000"))</f>
        <v>0</v>
      </c>
      <c r="D297" s="28">
        <f>IF(C297="","",IFERROR(INDEX(Clients!$A$5:$A$254,MATCH(C297,Clients!$B$5:$B$254,0)),""))</f>
        <v>0</v>
      </c>
      <c r="J297" s="50">
        <f>IF(I297="","",TEXT(I297,"ddd"))</f>
        <v>0</v>
      </c>
      <c r="M297" s="51">
        <f>IF(OR(K297="",L297=""),"",ROUND((L297-K297+IF(L297&lt;K297,1,0))*24,2))</f>
        <v>0</v>
      </c>
      <c r="O297" s="28">
        <f>IF(H297="","",IFERROR(INDEX(Services!$E$5:$E$54,MATCH(H297,Services!$B$5:$B$54,0)),""))</f>
        <v>0</v>
      </c>
      <c r="P297" s="29">
        <f>IF(H297="","",IFERROR(INDEX(Services!$G$5:$G$54,MATCH(H297,Services!$B$5:$B$54,0)),0))</f>
        <v>0</v>
      </c>
      <c r="Q297" s="29">
        <f>IF(H297="","",IF(IFERROR(INDEX(Services!$H$5:$H$54,MATCH(H297,Services!$B$5:$B$54,0)),0)=0,ExtraPetFeeDefault,IFERROR(INDEX(Services!$H$5:$H$54,MATCH(H297,Services!$B$5:$B$54,0)),0)))</f>
        <v>0</v>
      </c>
      <c r="R297" s="30">
        <f>IF(H297="","",IF(IFERROR(INDEX(Services!$I$5:$I$54,MATCH(H297,Services!$B$5:$B$54,0)),0)=0,HolidaySurcharge,IFERROR(INDEX(Services!$I$5:$I$54,MATCH(H297,Services!$B$5:$B$54,0)),0)))</f>
        <v>0</v>
      </c>
      <c r="S297" s="30">
        <f>IF(H297="","",IF(IFERROR(INDEX(Services!$J$5:$J$54,MATCH(H297,Services!$B$5:$B$54,0)),0)=0,WeekendSurcharge,IFERROR(INDEX(Services!$J$5:$J$54,MATCH(H297,Services!$B$5:$B$54,0)),0)))</f>
        <v>0</v>
      </c>
      <c r="T297" s="50">
        <f>IF(H297="","",IFERROR(INDEX(Services!$K$5:$K$54,MATCH(H297,Services!$B$5:$B$54,0)),"No"))</f>
        <v>0</v>
      </c>
      <c r="U297" s="29">
        <f>IF(H297="","",ROUND(IF(O297="Per hour",P297*IF(M297="",IF(N297="",1,N297),M297),P297*IF(N297="",1,N297)),2))</f>
        <v>0</v>
      </c>
      <c r="V297" s="29">
        <f>IF(H297="","",ROUND(MAX(0,IF(G297="",1,G297)-1)*Q297,2))</f>
        <v>0</v>
      </c>
      <c r="W297" s="50">
        <f>IF(I297="","",IF(COUNTIF(HolidayDates,I297)&gt;0,"Yes","No"))</f>
        <v>0</v>
      </c>
      <c r="X297" s="50">
        <f>IF(I297="","",IF(WEEKDAY(I297,2)&gt;5,"Yes","No"))</f>
        <v>0</v>
      </c>
      <c r="Y297" s="29">
        <f>IF(H297="","",ROUND((U297+V297)*(IF(W297="Yes",R297,0)+IF(X297="Yes",S297,0)),2))</f>
        <v>0</v>
      </c>
      <c r="AA297" s="29">
        <f>IF(H297="","",IF(T297&lt;&gt;"Yes",0,ROUND(MAX(0,IF(Z297="",0,Z297)-FreeTravelDistance)*TravelFeeRate,2)))</f>
        <v>0</v>
      </c>
      <c r="AB297" s="31">
        <f>IF(I297="","",TravelTimeMins)</f>
        <v>0</v>
      </c>
      <c r="AC297" s="29">
        <f>IF(OR(I297="",B297=""),0,IF(I297-B297&lt;=LastMinuteDays,EmergencyFee,0))</f>
        <v>0</v>
      </c>
      <c r="AF297" s="29">
        <f>IF(H297="","",ROUND((U297+V297+Y297+AA297+AC297)*IF(AE297="",0,AE297),2))</f>
        <v>0</v>
      </c>
      <c r="AI297" s="29">
        <f>IF(H297="","",IF(AG297&lt;&gt;"",AG297,ROUND(U297+V297+Y297+AA297+AC297-AF297,2)))</f>
        <v>0</v>
      </c>
      <c r="AJ297" s="29">
        <f>IF(AI297="","",IF(TaxRegistered&lt;&gt;"Yes",0,IF(PricesIncludeTax="Yes",ROUND(AI297-AI297/(1+TaxRate),2),ROUND(AI297*TaxRate,2))))</f>
        <v>0</v>
      </c>
      <c r="AK297" s="29">
        <f>IF(AI297="","",IF(PricesIncludeTax="Yes",AI297,ROUND(AI297+AJ297,2)))</f>
        <v>0</v>
      </c>
      <c r="AQ297" s="21">
        <f>IF(OR(I297="",AP297="",AP297="None"),"",IF(AP297="Monthly",EDATE(I297,1),I297+IF(AP297="Daily",1,IF(AP297="Weekdays",IF(WEEKDAY(I297,2)&gt;=5,8-WEEKDAY(I297,2),1),IF(AP297="Weekly",7,IF(AP297="Fortnightly",14,0))))))</f>
        <v>0</v>
      </c>
      <c r="AR297" s="49">
        <f>IF(OR(I297="",AL297="",K297="",L297=""),"",IF(SUMPRODUCT((Bookings!$AL$5:$AL$404=AL297)*(Bookings!$I$5:$I$404=I297)*(Bookings!$K$5:$K$404&lt;L297)*(Bookings!$L$5:$L$404&gt;K297)*(Bookings!$AM$5:$AM$404&lt;&gt;"Cancelled"))&gt;1,"Conflict - double booked","OK"))</f>
        <v>0</v>
      </c>
      <c r="AS297" s="50">
        <f>IF(A297="","",IF(COUNTIF('Visit Log'!$B$5:$B$404,A297)&gt;0,"Yes","No"))</f>
        <v>0</v>
      </c>
      <c r="AT297" s="28">
        <f>IF(A297="","",IFERROR(INDEX(Invoices!$A$5:$A$304,MATCH(A297,Invoices!$E$5:$E$304,0)),""))</f>
        <v>0</v>
      </c>
      <c r="AU297" s="49">
        <f>IF(A297="","",IF(AT297="","Not invoiced",IFERROR(INDEX(Invoices!$U$5:$U$304,MATCH(AT297,Invoices!$A$5:$A$304,0)),"")))</f>
        <v>0</v>
      </c>
      <c r="AY297" s="28">
        <f>IF(I297="","",TEXT(I297,"yyyy-mm"))</f>
        <v>0</v>
      </c>
      <c r="AZ297" s="49">
        <f>IF(I297="","",IF(AM297="Cancelled","Cancelled",IF(AND(I297&lt;TODAY(),OR(AM297="Pending",AM297="Confirmed",AM297="Enquiry")),"Overdue - update status",IF(AND(AM297="Completed",AS297="No"),"Action - log the visit",IF(I297=TODAY(),"Today",IF(AND(I297&gt;TODAY(),I297-TODAY()&lt;=ReminderLeadDays,AN297&lt;&gt;"Yes"),"Action - unconfirmed",IF(AND(I297&gt;TODAY(),I297-TODAY()&lt;=ReminderLeadDays),"Upcoming","OK")))))))</f>
        <v>0</v>
      </c>
    </row>
    <row r="298" spans="1:52">
      <c r="A298" s="46">
        <f>IF(C298="","",BookingPrefix&amp;TEXT(ROW()-4,"0000"))</f>
        <v>0</v>
      </c>
      <c r="D298" s="28">
        <f>IF(C298="","",IFERROR(INDEX(Clients!$A$5:$A$254,MATCH(C298,Clients!$B$5:$B$254,0)),""))</f>
        <v>0</v>
      </c>
      <c r="J298" s="50">
        <f>IF(I298="","",TEXT(I298,"ddd"))</f>
        <v>0</v>
      </c>
      <c r="M298" s="51">
        <f>IF(OR(K298="",L298=""),"",ROUND((L298-K298+IF(L298&lt;K298,1,0))*24,2))</f>
        <v>0</v>
      </c>
      <c r="O298" s="28">
        <f>IF(H298="","",IFERROR(INDEX(Services!$E$5:$E$54,MATCH(H298,Services!$B$5:$B$54,0)),""))</f>
        <v>0</v>
      </c>
      <c r="P298" s="29">
        <f>IF(H298="","",IFERROR(INDEX(Services!$G$5:$G$54,MATCH(H298,Services!$B$5:$B$54,0)),0))</f>
        <v>0</v>
      </c>
      <c r="Q298" s="29">
        <f>IF(H298="","",IF(IFERROR(INDEX(Services!$H$5:$H$54,MATCH(H298,Services!$B$5:$B$54,0)),0)=0,ExtraPetFeeDefault,IFERROR(INDEX(Services!$H$5:$H$54,MATCH(H298,Services!$B$5:$B$54,0)),0)))</f>
        <v>0</v>
      </c>
      <c r="R298" s="30">
        <f>IF(H298="","",IF(IFERROR(INDEX(Services!$I$5:$I$54,MATCH(H298,Services!$B$5:$B$54,0)),0)=0,HolidaySurcharge,IFERROR(INDEX(Services!$I$5:$I$54,MATCH(H298,Services!$B$5:$B$54,0)),0)))</f>
        <v>0</v>
      </c>
      <c r="S298" s="30">
        <f>IF(H298="","",IF(IFERROR(INDEX(Services!$J$5:$J$54,MATCH(H298,Services!$B$5:$B$54,0)),0)=0,WeekendSurcharge,IFERROR(INDEX(Services!$J$5:$J$54,MATCH(H298,Services!$B$5:$B$54,0)),0)))</f>
        <v>0</v>
      </c>
      <c r="T298" s="50">
        <f>IF(H298="","",IFERROR(INDEX(Services!$K$5:$K$54,MATCH(H298,Services!$B$5:$B$54,0)),"No"))</f>
        <v>0</v>
      </c>
      <c r="U298" s="29">
        <f>IF(H298="","",ROUND(IF(O298="Per hour",P298*IF(M298="",IF(N298="",1,N298),M298),P298*IF(N298="",1,N298)),2))</f>
        <v>0</v>
      </c>
      <c r="V298" s="29">
        <f>IF(H298="","",ROUND(MAX(0,IF(G298="",1,G298)-1)*Q298,2))</f>
        <v>0</v>
      </c>
      <c r="W298" s="50">
        <f>IF(I298="","",IF(COUNTIF(HolidayDates,I298)&gt;0,"Yes","No"))</f>
        <v>0</v>
      </c>
      <c r="X298" s="50">
        <f>IF(I298="","",IF(WEEKDAY(I298,2)&gt;5,"Yes","No"))</f>
        <v>0</v>
      </c>
      <c r="Y298" s="29">
        <f>IF(H298="","",ROUND((U298+V298)*(IF(W298="Yes",R298,0)+IF(X298="Yes",S298,0)),2))</f>
        <v>0</v>
      </c>
      <c r="AA298" s="29">
        <f>IF(H298="","",IF(T298&lt;&gt;"Yes",0,ROUND(MAX(0,IF(Z298="",0,Z298)-FreeTravelDistance)*TravelFeeRate,2)))</f>
        <v>0</v>
      </c>
      <c r="AB298" s="31">
        <f>IF(I298="","",TravelTimeMins)</f>
        <v>0</v>
      </c>
      <c r="AC298" s="29">
        <f>IF(OR(I298="",B298=""),0,IF(I298-B298&lt;=LastMinuteDays,EmergencyFee,0))</f>
        <v>0</v>
      </c>
      <c r="AF298" s="29">
        <f>IF(H298="","",ROUND((U298+V298+Y298+AA298+AC298)*IF(AE298="",0,AE298),2))</f>
        <v>0</v>
      </c>
      <c r="AI298" s="29">
        <f>IF(H298="","",IF(AG298&lt;&gt;"",AG298,ROUND(U298+V298+Y298+AA298+AC298-AF298,2)))</f>
        <v>0</v>
      </c>
      <c r="AJ298" s="29">
        <f>IF(AI298="","",IF(TaxRegistered&lt;&gt;"Yes",0,IF(PricesIncludeTax="Yes",ROUND(AI298-AI298/(1+TaxRate),2),ROUND(AI298*TaxRate,2))))</f>
        <v>0</v>
      </c>
      <c r="AK298" s="29">
        <f>IF(AI298="","",IF(PricesIncludeTax="Yes",AI298,ROUND(AI298+AJ298,2)))</f>
        <v>0</v>
      </c>
      <c r="AQ298" s="21">
        <f>IF(OR(I298="",AP298="",AP298="None"),"",IF(AP298="Monthly",EDATE(I298,1),I298+IF(AP298="Daily",1,IF(AP298="Weekdays",IF(WEEKDAY(I298,2)&gt;=5,8-WEEKDAY(I298,2),1),IF(AP298="Weekly",7,IF(AP298="Fortnightly",14,0))))))</f>
        <v>0</v>
      </c>
      <c r="AR298" s="49">
        <f>IF(OR(I298="",AL298="",K298="",L298=""),"",IF(SUMPRODUCT((Bookings!$AL$5:$AL$404=AL298)*(Bookings!$I$5:$I$404=I298)*(Bookings!$K$5:$K$404&lt;L298)*(Bookings!$L$5:$L$404&gt;K298)*(Bookings!$AM$5:$AM$404&lt;&gt;"Cancelled"))&gt;1,"Conflict - double booked","OK"))</f>
        <v>0</v>
      </c>
      <c r="AS298" s="50">
        <f>IF(A298="","",IF(COUNTIF('Visit Log'!$B$5:$B$404,A298)&gt;0,"Yes","No"))</f>
        <v>0</v>
      </c>
      <c r="AT298" s="28">
        <f>IF(A298="","",IFERROR(INDEX(Invoices!$A$5:$A$304,MATCH(A298,Invoices!$E$5:$E$304,0)),""))</f>
        <v>0</v>
      </c>
      <c r="AU298" s="49">
        <f>IF(A298="","",IF(AT298="","Not invoiced",IFERROR(INDEX(Invoices!$U$5:$U$304,MATCH(AT298,Invoices!$A$5:$A$304,0)),"")))</f>
        <v>0</v>
      </c>
      <c r="AY298" s="28">
        <f>IF(I298="","",TEXT(I298,"yyyy-mm"))</f>
        <v>0</v>
      </c>
      <c r="AZ298" s="49">
        <f>IF(I298="","",IF(AM298="Cancelled","Cancelled",IF(AND(I298&lt;TODAY(),OR(AM298="Pending",AM298="Confirmed",AM298="Enquiry")),"Overdue - update status",IF(AND(AM298="Completed",AS298="No"),"Action - log the visit",IF(I298=TODAY(),"Today",IF(AND(I298&gt;TODAY(),I298-TODAY()&lt;=ReminderLeadDays,AN298&lt;&gt;"Yes"),"Action - unconfirmed",IF(AND(I298&gt;TODAY(),I298-TODAY()&lt;=ReminderLeadDays),"Upcoming","OK")))))))</f>
        <v>0</v>
      </c>
    </row>
    <row r="299" spans="1:52">
      <c r="A299" s="46">
        <f>IF(C299="","",BookingPrefix&amp;TEXT(ROW()-4,"0000"))</f>
        <v>0</v>
      </c>
      <c r="D299" s="28">
        <f>IF(C299="","",IFERROR(INDEX(Clients!$A$5:$A$254,MATCH(C299,Clients!$B$5:$B$254,0)),""))</f>
        <v>0</v>
      </c>
      <c r="J299" s="50">
        <f>IF(I299="","",TEXT(I299,"ddd"))</f>
        <v>0</v>
      </c>
      <c r="M299" s="51">
        <f>IF(OR(K299="",L299=""),"",ROUND((L299-K299+IF(L299&lt;K299,1,0))*24,2))</f>
        <v>0</v>
      </c>
      <c r="O299" s="28">
        <f>IF(H299="","",IFERROR(INDEX(Services!$E$5:$E$54,MATCH(H299,Services!$B$5:$B$54,0)),""))</f>
        <v>0</v>
      </c>
      <c r="P299" s="29">
        <f>IF(H299="","",IFERROR(INDEX(Services!$G$5:$G$54,MATCH(H299,Services!$B$5:$B$54,0)),0))</f>
        <v>0</v>
      </c>
      <c r="Q299" s="29">
        <f>IF(H299="","",IF(IFERROR(INDEX(Services!$H$5:$H$54,MATCH(H299,Services!$B$5:$B$54,0)),0)=0,ExtraPetFeeDefault,IFERROR(INDEX(Services!$H$5:$H$54,MATCH(H299,Services!$B$5:$B$54,0)),0)))</f>
        <v>0</v>
      </c>
      <c r="R299" s="30">
        <f>IF(H299="","",IF(IFERROR(INDEX(Services!$I$5:$I$54,MATCH(H299,Services!$B$5:$B$54,0)),0)=0,HolidaySurcharge,IFERROR(INDEX(Services!$I$5:$I$54,MATCH(H299,Services!$B$5:$B$54,0)),0)))</f>
        <v>0</v>
      </c>
      <c r="S299" s="30">
        <f>IF(H299="","",IF(IFERROR(INDEX(Services!$J$5:$J$54,MATCH(H299,Services!$B$5:$B$54,0)),0)=0,WeekendSurcharge,IFERROR(INDEX(Services!$J$5:$J$54,MATCH(H299,Services!$B$5:$B$54,0)),0)))</f>
        <v>0</v>
      </c>
      <c r="T299" s="50">
        <f>IF(H299="","",IFERROR(INDEX(Services!$K$5:$K$54,MATCH(H299,Services!$B$5:$B$54,0)),"No"))</f>
        <v>0</v>
      </c>
      <c r="U299" s="29">
        <f>IF(H299="","",ROUND(IF(O299="Per hour",P299*IF(M299="",IF(N299="",1,N299),M299),P299*IF(N299="",1,N299)),2))</f>
        <v>0</v>
      </c>
      <c r="V299" s="29">
        <f>IF(H299="","",ROUND(MAX(0,IF(G299="",1,G299)-1)*Q299,2))</f>
        <v>0</v>
      </c>
      <c r="W299" s="50">
        <f>IF(I299="","",IF(COUNTIF(HolidayDates,I299)&gt;0,"Yes","No"))</f>
        <v>0</v>
      </c>
      <c r="X299" s="50">
        <f>IF(I299="","",IF(WEEKDAY(I299,2)&gt;5,"Yes","No"))</f>
        <v>0</v>
      </c>
      <c r="Y299" s="29">
        <f>IF(H299="","",ROUND((U299+V299)*(IF(W299="Yes",R299,0)+IF(X299="Yes",S299,0)),2))</f>
        <v>0</v>
      </c>
      <c r="AA299" s="29">
        <f>IF(H299="","",IF(T299&lt;&gt;"Yes",0,ROUND(MAX(0,IF(Z299="",0,Z299)-FreeTravelDistance)*TravelFeeRate,2)))</f>
        <v>0</v>
      </c>
      <c r="AB299" s="31">
        <f>IF(I299="","",TravelTimeMins)</f>
        <v>0</v>
      </c>
      <c r="AC299" s="29">
        <f>IF(OR(I299="",B299=""),0,IF(I299-B299&lt;=LastMinuteDays,EmergencyFee,0))</f>
        <v>0</v>
      </c>
      <c r="AF299" s="29">
        <f>IF(H299="","",ROUND((U299+V299+Y299+AA299+AC299)*IF(AE299="",0,AE299),2))</f>
        <v>0</v>
      </c>
      <c r="AI299" s="29">
        <f>IF(H299="","",IF(AG299&lt;&gt;"",AG299,ROUND(U299+V299+Y299+AA299+AC299-AF299,2)))</f>
        <v>0</v>
      </c>
      <c r="AJ299" s="29">
        <f>IF(AI299="","",IF(TaxRegistered&lt;&gt;"Yes",0,IF(PricesIncludeTax="Yes",ROUND(AI299-AI299/(1+TaxRate),2),ROUND(AI299*TaxRate,2))))</f>
        <v>0</v>
      </c>
      <c r="AK299" s="29">
        <f>IF(AI299="","",IF(PricesIncludeTax="Yes",AI299,ROUND(AI299+AJ299,2)))</f>
        <v>0</v>
      </c>
      <c r="AQ299" s="21">
        <f>IF(OR(I299="",AP299="",AP299="None"),"",IF(AP299="Monthly",EDATE(I299,1),I299+IF(AP299="Daily",1,IF(AP299="Weekdays",IF(WEEKDAY(I299,2)&gt;=5,8-WEEKDAY(I299,2),1),IF(AP299="Weekly",7,IF(AP299="Fortnightly",14,0))))))</f>
        <v>0</v>
      </c>
      <c r="AR299" s="49">
        <f>IF(OR(I299="",AL299="",K299="",L299=""),"",IF(SUMPRODUCT((Bookings!$AL$5:$AL$404=AL299)*(Bookings!$I$5:$I$404=I299)*(Bookings!$K$5:$K$404&lt;L299)*(Bookings!$L$5:$L$404&gt;K299)*(Bookings!$AM$5:$AM$404&lt;&gt;"Cancelled"))&gt;1,"Conflict - double booked","OK"))</f>
        <v>0</v>
      </c>
      <c r="AS299" s="50">
        <f>IF(A299="","",IF(COUNTIF('Visit Log'!$B$5:$B$404,A299)&gt;0,"Yes","No"))</f>
        <v>0</v>
      </c>
      <c r="AT299" s="28">
        <f>IF(A299="","",IFERROR(INDEX(Invoices!$A$5:$A$304,MATCH(A299,Invoices!$E$5:$E$304,0)),""))</f>
        <v>0</v>
      </c>
      <c r="AU299" s="49">
        <f>IF(A299="","",IF(AT299="","Not invoiced",IFERROR(INDEX(Invoices!$U$5:$U$304,MATCH(AT299,Invoices!$A$5:$A$304,0)),"")))</f>
        <v>0</v>
      </c>
      <c r="AY299" s="28">
        <f>IF(I299="","",TEXT(I299,"yyyy-mm"))</f>
        <v>0</v>
      </c>
      <c r="AZ299" s="49">
        <f>IF(I299="","",IF(AM299="Cancelled","Cancelled",IF(AND(I299&lt;TODAY(),OR(AM299="Pending",AM299="Confirmed",AM299="Enquiry")),"Overdue - update status",IF(AND(AM299="Completed",AS299="No"),"Action - log the visit",IF(I299=TODAY(),"Today",IF(AND(I299&gt;TODAY(),I299-TODAY()&lt;=ReminderLeadDays,AN299&lt;&gt;"Yes"),"Action - unconfirmed",IF(AND(I299&gt;TODAY(),I299-TODAY()&lt;=ReminderLeadDays),"Upcoming","OK")))))))</f>
        <v>0</v>
      </c>
    </row>
    <row r="300" spans="1:52">
      <c r="A300" s="46">
        <f>IF(C300="","",BookingPrefix&amp;TEXT(ROW()-4,"0000"))</f>
        <v>0</v>
      </c>
      <c r="D300" s="28">
        <f>IF(C300="","",IFERROR(INDEX(Clients!$A$5:$A$254,MATCH(C300,Clients!$B$5:$B$254,0)),""))</f>
        <v>0</v>
      </c>
      <c r="J300" s="50">
        <f>IF(I300="","",TEXT(I300,"ddd"))</f>
        <v>0</v>
      </c>
      <c r="M300" s="51">
        <f>IF(OR(K300="",L300=""),"",ROUND((L300-K300+IF(L300&lt;K300,1,0))*24,2))</f>
        <v>0</v>
      </c>
      <c r="O300" s="28">
        <f>IF(H300="","",IFERROR(INDEX(Services!$E$5:$E$54,MATCH(H300,Services!$B$5:$B$54,0)),""))</f>
        <v>0</v>
      </c>
      <c r="P300" s="29">
        <f>IF(H300="","",IFERROR(INDEX(Services!$G$5:$G$54,MATCH(H300,Services!$B$5:$B$54,0)),0))</f>
        <v>0</v>
      </c>
      <c r="Q300" s="29">
        <f>IF(H300="","",IF(IFERROR(INDEX(Services!$H$5:$H$54,MATCH(H300,Services!$B$5:$B$54,0)),0)=0,ExtraPetFeeDefault,IFERROR(INDEX(Services!$H$5:$H$54,MATCH(H300,Services!$B$5:$B$54,0)),0)))</f>
        <v>0</v>
      </c>
      <c r="R300" s="30">
        <f>IF(H300="","",IF(IFERROR(INDEX(Services!$I$5:$I$54,MATCH(H300,Services!$B$5:$B$54,0)),0)=0,HolidaySurcharge,IFERROR(INDEX(Services!$I$5:$I$54,MATCH(H300,Services!$B$5:$B$54,0)),0)))</f>
        <v>0</v>
      </c>
      <c r="S300" s="30">
        <f>IF(H300="","",IF(IFERROR(INDEX(Services!$J$5:$J$54,MATCH(H300,Services!$B$5:$B$54,0)),0)=0,WeekendSurcharge,IFERROR(INDEX(Services!$J$5:$J$54,MATCH(H300,Services!$B$5:$B$54,0)),0)))</f>
        <v>0</v>
      </c>
      <c r="T300" s="50">
        <f>IF(H300="","",IFERROR(INDEX(Services!$K$5:$K$54,MATCH(H300,Services!$B$5:$B$54,0)),"No"))</f>
        <v>0</v>
      </c>
      <c r="U300" s="29">
        <f>IF(H300="","",ROUND(IF(O300="Per hour",P300*IF(M300="",IF(N300="",1,N300),M300),P300*IF(N300="",1,N300)),2))</f>
        <v>0</v>
      </c>
      <c r="V300" s="29">
        <f>IF(H300="","",ROUND(MAX(0,IF(G300="",1,G300)-1)*Q300,2))</f>
        <v>0</v>
      </c>
      <c r="W300" s="50">
        <f>IF(I300="","",IF(COUNTIF(HolidayDates,I300)&gt;0,"Yes","No"))</f>
        <v>0</v>
      </c>
      <c r="X300" s="50">
        <f>IF(I300="","",IF(WEEKDAY(I300,2)&gt;5,"Yes","No"))</f>
        <v>0</v>
      </c>
      <c r="Y300" s="29">
        <f>IF(H300="","",ROUND((U300+V300)*(IF(W300="Yes",R300,0)+IF(X300="Yes",S300,0)),2))</f>
        <v>0</v>
      </c>
      <c r="AA300" s="29">
        <f>IF(H300="","",IF(T300&lt;&gt;"Yes",0,ROUND(MAX(0,IF(Z300="",0,Z300)-FreeTravelDistance)*TravelFeeRate,2)))</f>
        <v>0</v>
      </c>
      <c r="AB300" s="31">
        <f>IF(I300="","",TravelTimeMins)</f>
        <v>0</v>
      </c>
      <c r="AC300" s="29">
        <f>IF(OR(I300="",B300=""),0,IF(I300-B300&lt;=LastMinuteDays,EmergencyFee,0))</f>
        <v>0</v>
      </c>
      <c r="AF300" s="29">
        <f>IF(H300="","",ROUND((U300+V300+Y300+AA300+AC300)*IF(AE300="",0,AE300),2))</f>
        <v>0</v>
      </c>
      <c r="AI300" s="29">
        <f>IF(H300="","",IF(AG300&lt;&gt;"",AG300,ROUND(U300+V300+Y300+AA300+AC300-AF300,2)))</f>
        <v>0</v>
      </c>
      <c r="AJ300" s="29">
        <f>IF(AI300="","",IF(TaxRegistered&lt;&gt;"Yes",0,IF(PricesIncludeTax="Yes",ROUND(AI300-AI300/(1+TaxRate),2),ROUND(AI300*TaxRate,2))))</f>
        <v>0</v>
      </c>
      <c r="AK300" s="29">
        <f>IF(AI300="","",IF(PricesIncludeTax="Yes",AI300,ROUND(AI300+AJ300,2)))</f>
        <v>0</v>
      </c>
      <c r="AQ300" s="21">
        <f>IF(OR(I300="",AP300="",AP300="None"),"",IF(AP300="Monthly",EDATE(I300,1),I300+IF(AP300="Daily",1,IF(AP300="Weekdays",IF(WEEKDAY(I300,2)&gt;=5,8-WEEKDAY(I300,2),1),IF(AP300="Weekly",7,IF(AP300="Fortnightly",14,0))))))</f>
        <v>0</v>
      </c>
      <c r="AR300" s="49">
        <f>IF(OR(I300="",AL300="",K300="",L300=""),"",IF(SUMPRODUCT((Bookings!$AL$5:$AL$404=AL300)*(Bookings!$I$5:$I$404=I300)*(Bookings!$K$5:$K$404&lt;L300)*(Bookings!$L$5:$L$404&gt;K300)*(Bookings!$AM$5:$AM$404&lt;&gt;"Cancelled"))&gt;1,"Conflict - double booked","OK"))</f>
        <v>0</v>
      </c>
      <c r="AS300" s="50">
        <f>IF(A300="","",IF(COUNTIF('Visit Log'!$B$5:$B$404,A300)&gt;0,"Yes","No"))</f>
        <v>0</v>
      </c>
      <c r="AT300" s="28">
        <f>IF(A300="","",IFERROR(INDEX(Invoices!$A$5:$A$304,MATCH(A300,Invoices!$E$5:$E$304,0)),""))</f>
        <v>0</v>
      </c>
      <c r="AU300" s="49">
        <f>IF(A300="","",IF(AT300="","Not invoiced",IFERROR(INDEX(Invoices!$U$5:$U$304,MATCH(AT300,Invoices!$A$5:$A$304,0)),"")))</f>
        <v>0</v>
      </c>
      <c r="AY300" s="28">
        <f>IF(I300="","",TEXT(I300,"yyyy-mm"))</f>
        <v>0</v>
      </c>
      <c r="AZ300" s="49">
        <f>IF(I300="","",IF(AM300="Cancelled","Cancelled",IF(AND(I300&lt;TODAY(),OR(AM300="Pending",AM300="Confirmed",AM300="Enquiry")),"Overdue - update status",IF(AND(AM300="Completed",AS300="No"),"Action - log the visit",IF(I300=TODAY(),"Today",IF(AND(I300&gt;TODAY(),I300-TODAY()&lt;=ReminderLeadDays,AN300&lt;&gt;"Yes"),"Action - unconfirmed",IF(AND(I300&gt;TODAY(),I300-TODAY()&lt;=ReminderLeadDays),"Upcoming","OK")))))))</f>
        <v>0</v>
      </c>
    </row>
    <row r="301" spans="1:52">
      <c r="A301" s="46">
        <f>IF(C301="","",BookingPrefix&amp;TEXT(ROW()-4,"0000"))</f>
        <v>0</v>
      </c>
      <c r="D301" s="28">
        <f>IF(C301="","",IFERROR(INDEX(Clients!$A$5:$A$254,MATCH(C301,Clients!$B$5:$B$254,0)),""))</f>
        <v>0</v>
      </c>
      <c r="J301" s="50">
        <f>IF(I301="","",TEXT(I301,"ddd"))</f>
        <v>0</v>
      </c>
      <c r="M301" s="51">
        <f>IF(OR(K301="",L301=""),"",ROUND((L301-K301+IF(L301&lt;K301,1,0))*24,2))</f>
        <v>0</v>
      </c>
      <c r="O301" s="28">
        <f>IF(H301="","",IFERROR(INDEX(Services!$E$5:$E$54,MATCH(H301,Services!$B$5:$B$54,0)),""))</f>
        <v>0</v>
      </c>
      <c r="P301" s="29">
        <f>IF(H301="","",IFERROR(INDEX(Services!$G$5:$G$54,MATCH(H301,Services!$B$5:$B$54,0)),0))</f>
        <v>0</v>
      </c>
      <c r="Q301" s="29">
        <f>IF(H301="","",IF(IFERROR(INDEX(Services!$H$5:$H$54,MATCH(H301,Services!$B$5:$B$54,0)),0)=0,ExtraPetFeeDefault,IFERROR(INDEX(Services!$H$5:$H$54,MATCH(H301,Services!$B$5:$B$54,0)),0)))</f>
        <v>0</v>
      </c>
      <c r="R301" s="30">
        <f>IF(H301="","",IF(IFERROR(INDEX(Services!$I$5:$I$54,MATCH(H301,Services!$B$5:$B$54,0)),0)=0,HolidaySurcharge,IFERROR(INDEX(Services!$I$5:$I$54,MATCH(H301,Services!$B$5:$B$54,0)),0)))</f>
        <v>0</v>
      </c>
      <c r="S301" s="30">
        <f>IF(H301="","",IF(IFERROR(INDEX(Services!$J$5:$J$54,MATCH(H301,Services!$B$5:$B$54,0)),0)=0,WeekendSurcharge,IFERROR(INDEX(Services!$J$5:$J$54,MATCH(H301,Services!$B$5:$B$54,0)),0)))</f>
        <v>0</v>
      </c>
      <c r="T301" s="50">
        <f>IF(H301="","",IFERROR(INDEX(Services!$K$5:$K$54,MATCH(H301,Services!$B$5:$B$54,0)),"No"))</f>
        <v>0</v>
      </c>
      <c r="U301" s="29">
        <f>IF(H301="","",ROUND(IF(O301="Per hour",P301*IF(M301="",IF(N301="",1,N301),M301),P301*IF(N301="",1,N301)),2))</f>
        <v>0</v>
      </c>
      <c r="V301" s="29">
        <f>IF(H301="","",ROUND(MAX(0,IF(G301="",1,G301)-1)*Q301,2))</f>
        <v>0</v>
      </c>
      <c r="W301" s="50">
        <f>IF(I301="","",IF(COUNTIF(HolidayDates,I301)&gt;0,"Yes","No"))</f>
        <v>0</v>
      </c>
      <c r="X301" s="50">
        <f>IF(I301="","",IF(WEEKDAY(I301,2)&gt;5,"Yes","No"))</f>
        <v>0</v>
      </c>
      <c r="Y301" s="29">
        <f>IF(H301="","",ROUND((U301+V301)*(IF(W301="Yes",R301,0)+IF(X301="Yes",S301,0)),2))</f>
        <v>0</v>
      </c>
      <c r="AA301" s="29">
        <f>IF(H301="","",IF(T301&lt;&gt;"Yes",0,ROUND(MAX(0,IF(Z301="",0,Z301)-FreeTravelDistance)*TravelFeeRate,2)))</f>
        <v>0</v>
      </c>
      <c r="AB301" s="31">
        <f>IF(I301="","",TravelTimeMins)</f>
        <v>0</v>
      </c>
      <c r="AC301" s="29">
        <f>IF(OR(I301="",B301=""),0,IF(I301-B301&lt;=LastMinuteDays,EmergencyFee,0))</f>
        <v>0</v>
      </c>
      <c r="AF301" s="29">
        <f>IF(H301="","",ROUND((U301+V301+Y301+AA301+AC301)*IF(AE301="",0,AE301),2))</f>
        <v>0</v>
      </c>
      <c r="AI301" s="29">
        <f>IF(H301="","",IF(AG301&lt;&gt;"",AG301,ROUND(U301+V301+Y301+AA301+AC301-AF301,2)))</f>
        <v>0</v>
      </c>
      <c r="AJ301" s="29">
        <f>IF(AI301="","",IF(TaxRegistered&lt;&gt;"Yes",0,IF(PricesIncludeTax="Yes",ROUND(AI301-AI301/(1+TaxRate),2),ROUND(AI301*TaxRate,2))))</f>
        <v>0</v>
      </c>
      <c r="AK301" s="29">
        <f>IF(AI301="","",IF(PricesIncludeTax="Yes",AI301,ROUND(AI301+AJ301,2)))</f>
        <v>0</v>
      </c>
      <c r="AQ301" s="21">
        <f>IF(OR(I301="",AP301="",AP301="None"),"",IF(AP301="Monthly",EDATE(I301,1),I301+IF(AP301="Daily",1,IF(AP301="Weekdays",IF(WEEKDAY(I301,2)&gt;=5,8-WEEKDAY(I301,2),1),IF(AP301="Weekly",7,IF(AP301="Fortnightly",14,0))))))</f>
        <v>0</v>
      </c>
      <c r="AR301" s="49">
        <f>IF(OR(I301="",AL301="",K301="",L301=""),"",IF(SUMPRODUCT((Bookings!$AL$5:$AL$404=AL301)*(Bookings!$I$5:$I$404=I301)*(Bookings!$K$5:$K$404&lt;L301)*(Bookings!$L$5:$L$404&gt;K301)*(Bookings!$AM$5:$AM$404&lt;&gt;"Cancelled"))&gt;1,"Conflict - double booked","OK"))</f>
        <v>0</v>
      </c>
      <c r="AS301" s="50">
        <f>IF(A301="","",IF(COUNTIF('Visit Log'!$B$5:$B$404,A301)&gt;0,"Yes","No"))</f>
        <v>0</v>
      </c>
      <c r="AT301" s="28">
        <f>IF(A301="","",IFERROR(INDEX(Invoices!$A$5:$A$304,MATCH(A301,Invoices!$E$5:$E$304,0)),""))</f>
        <v>0</v>
      </c>
      <c r="AU301" s="49">
        <f>IF(A301="","",IF(AT301="","Not invoiced",IFERROR(INDEX(Invoices!$U$5:$U$304,MATCH(AT301,Invoices!$A$5:$A$304,0)),"")))</f>
        <v>0</v>
      </c>
      <c r="AY301" s="28">
        <f>IF(I301="","",TEXT(I301,"yyyy-mm"))</f>
        <v>0</v>
      </c>
      <c r="AZ301" s="49">
        <f>IF(I301="","",IF(AM301="Cancelled","Cancelled",IF(AND(I301&lt;TODAY(),OR(AM301="Pending",AM301="Confirmed",AM301="Enquiry")),"Overdue - update status",IF(AND(AM301="Completed",AS301="No"),"Action - log the visit",IF(I301=TODAY(),"Today",IF(AND(I301&gt;TODAY(),I301-TODAY()&lt;=ReminderLeadDays,AN301&lt;&gt;"Yes"),"Action - unconfirmed",IF(AND(I301&gt;TODAY(),I301-TODAY()&lt;=ReminderLeadDays),"Upcoming","OK")))))))</f>
        <v>0</v>
      </c>
    </row>
    <row r="302" spans="1:52">
      <c r="A302" s="46">
        <f>IF(C302="","",BookingPrefix&amp;TEXT(ROW()-4,"0000"))</f>
        <v>0</v>
      </c>
      <c r="D302" s="28">
        <f>IF(C302="","",IFERROR(INDEX(Clients!$A$5:$A$254,MATCH(C302,Clients!$B$5:$B$254,0)),""))</f>
        <v>0</v>
      </c>
      <c r="J302" s="50">
        <f>IF(I302="","",TEXT(I302,"ddd"))</f>
        <v>0</v>
      </c>
      <c r="M302" s="51">
        <f>IF(OR(K302="",L302=""),"",ROUND((L302-K302+IF(L302&lt;K302,1,0))*24,2))</f>
        <v>0</v>
      </c>
      <c r="O302" s="28">
        <f>IF(H302="","",IFERROR(INDEX(Services!$E$5:$E$54,MATCH(H302,Services!$B$5:$B$54,0)),""))</f>
        <v>0</v>
      </c>
      <c r="P302" s="29">
        <f>IF(H302="","",IFERROR(INDEX(Services!$G$5:$G$54,MATCH(H302,Services!$B$5:$B$54,0)),0))</f>
        <v>0</v>
      </c>
      <c r="Q302" s="29">
        <f>IF(H302="","",IF(IFERROR(INDEX(Services!$H$5:$H$54,MATCH(H302,Services!$B$5:$B$54,0)),0)=0,ExtraPetFeeDefault,IFERROR(INDEX(Services!$H$5:$H$54,MATCH(H302,Services!$B$5:$B$54,0)),0)))</f>
        <v>0</v>
      </c>
      <c r="R302" s="30">
        <f>IF(H302="","",IF(IFERROR(INDEX(Services!$I$5:$I$54,MATCH(H302,Services!$B$5:$B$54,0)),0)=0,HolidaySurcharge,IFERROR(INDEX(Services!$I$5:$I$54,MATCH(H302,Services!$B$5:$B$54,0)),0)))</f>
        <v>0</v>
      </c>
      <c r="S302" s="30">
        <f>IF(H302="","",IF(IFERROR(INDEX(Services!$J$5:$J$54,MATCH(H302,Services!$B$5:$B$54,0)),0)=0,WeekendSurcharge,IFERROR(INDEX(Services!$J$5:$J$54,MATCH(H302,Services!$B$5:$B$54,0)),0)))</f>
        <v>0</v>
      </c>
      <c r="T302" s="50">
        <f>IF(H302="","",IFERROR(INDEX(Services!$K$5:$K$54,MATCH(H302,Services!$B$5:$B$54,0)),"No"))</f>
        <v>0</v>
      </c>
      <c r="U302" s="29">
        <f>IF(H302="","",ROUND(IF(O302="Per hour",P302*IF(M302="",IF(N302="",1,N302),M302),P302*IF(N302="",1,N302)),2))</f>
        <v>0</v>
      </c>
      <c r="V302" s="29">
        <f>IF(H302="","",ROUND(MAX(0,IF(G302="",1,G302)-1)*Q302,2))</f>
        <v>0</v>
      </c>
      <c r="W302" s="50">
        <f>IF(I302="","",IF(COUNTIF(HolidayDates,I302)&gt;0,"Yes","No"))</f>
        <v>0</v>
      </c>
      <c r="X302" s="50">
        <f>IF(I302="","",IF(WEEKDAY(I302,2)&gt;5,"Yes","No"))</f>
        <v>0</v>
      </c>
      <c r="Y302" s="29">
        <f>IF(H302="","",ROUND((U302+V302)*(IF(W302="Yes",R302,0)+IF(X302="Yes",S302,0)),2))</f>
        <v>0</v>
      </c>
      <c r="AA302" s="29">
        <f>IF(H302="","",IF(T302&lt;&gt;"Yes",0,ROUND(MAX(0,IF(Z302="",0,Z302)-FreeTravelDistance)*TravelFeeRate,2)))</f>
        <v>0</v>
      </c>
      <c r="AB302" s="31">
        <f>IF(I302="","",TravelTimeMins)</f>
        <v>0</v>
      </c>
      <c r="AC302" s="29">
        <f>IF(OR(I302="",B302=""),0,IF(I302-B302&lt;=LastMinuteDays,EmergencyFee,0))</f>
        <v>0</v>
      </c>
      <c r="AF302" s="29">
        <f>IF(H302="","",ROUND((U302+V302+Y302+AA302+AC302)*IF(AE302="",0,AE302),2))</f>
        <v>0</v>
      </c>
      <c r="AI302" s="29">
        <f>IF(H302="","",IF(AG302&lt;&gt;"",AG302,ROUND(U302+V302+Y302+AA302+AC302-AF302,2)))</f>
        <v>0</v>
      </c>
      <c r="AJ302" s="29">
        <f>IF(AI302="","",IF(TaxRegistered&lt;&gt;"Yes",0,IF(PricesIncludeTax="Yes",ROUND(AI302-AI302/(1+TaxRate),2),ROUND(AI302*TaxRate,2))))</f>
        <v>0</v>
      </c>
      <c r="AK302" s="29">
        <f>IF(AI302="","",IF(PricesIncludeTax="Yes",AI302,ROUND(AI302+AJ302,2)))</f>
        <v>0</v>
      </c>
      <c r="AQ302" s="21">
        <f>IF(OR(I302="",AP302="",AP302="None"),"",IF(AP302="Monthly",EDATE(I302,1),I302+IF(AP302="Daily",1,IF(AP302="Weekdays",IF(WEEKDAY(I302,2)&gt;=5,8-WEEKDAY(I302,2),1),IF(AP302="Weekly",7,IF(AP302="Fortnightly",14,0))))))</f>
        <v>0</v>
      </c>
      <c r="AR302" s="49">
        <f>IF(OR(I302="",AL302="",K302="",L302=""),"",IF(SUMPRODUCT((Bookings!$AL$5:$AL$404=AL302)*(Bookings!$I$5:$I$404=I302)*(Bookings!$K$5:$K$404&lt;L302)*(Bookings!$L$5:$L$404&gt;K302)*(Bookings!$AM$5:$AM$404&lt;&gt;"Cancelled"))&gt;1,"Conflict - double booked","OK"))</f>
        <v>0</v>
      </c>
      <c r="AS302" s="50">
        <f>IF(A302="","",IF(COUNTIF('Visit Log'!$B$5:$B$404,A302)&gt;0,"Yes","No"))</f>
        <v>0</v>
      </c>
      <c r="AT302" s="28">
        <f>IF(A302="","",IFERROR(INDEX(Invoices!$A$5:$A$304,MATCH(A302,Invoices!$E$5:$E$304,0)),""))</f>
        <v>0</v>
      </c>
      <c r="AU302" s="49">
        <f>IF(A302="","",IF(AT302="","Not invoiced",IFERROR(INDEX(Invoices!$U$5:$U$304,MATCH(AT302,Invoices!$A$5:$A$304,0)),"")))</f>
        <v>0</v>
      </c>
      <c r="AY302" s="28">
        <f>IF(I302="","",TEXT(I302,"yyyy-mm"))</f>
        <v>0</v>
      </c>
      <c r="AZ302" s="49">
        <f>IF(I302="","",IF(AM302="Cancelled","Cancelled",IF(AND(I302&lt;TODAY(),OR(AM302="Pending",AM302="Confirmed",AM302="Enquiry")),"Overdue - update status",IF(AND(AM302="Completed",AS302="No"),"Action - log the visit",IF(I302=TODAY(),"Today",IF(AND(I302&gt;TODAY(),I302-TODAY()&lt;=ReminderLeadDays,AN302&lt;&gt;"Yes"),"Action - unconfirmed",IF(AND(I302&gt;TODAY(),I302-TODAY()&lt;=ReminderLeadDays),"Upcoming","OK")))))))</f>
        <v>0</v>
      </c>
    </row>
    <row r="303" spans="1:52">
      <c r="A303" s="46">
        <f>IF(C303="","",BookingPrefix&amp;TEXT(ROW()-4,"0000"))</f>
        <v>0</v>
      </c>
      <c r="D303" s="28">
        <f>IF(C303="","",IFERROR(INDEX(Clients!$A$5:$A$254,MATCH(C303,Clients!$B$5:$B$254,0)),""))</f>
        <v>0</v>
      </c>
      <c r="J303" s="50">
        <f>IF(I303="","",TEXT(I303,"ddd"))</f>
        <v>0</v>
      </c>
      <c r="M303" s="51">
        <f>IF(OR(K303="",L303=""),"",ROUND((L303-K303+IF(L303&lt;K303,1,0))*24,2))</f>
        <v>0</v>
      </c>
      <c r="O303" s="28">
        <f>IF(H303="","",IFERROR(INDEX(Services!$E$5:$E$54,MATCH(H303,Services!$B$5:$B$54,0)),""))</f>
        <v>0</v>
      </c>
      <c r="P303" s="29">
        <f>IF(H303="","",IFERROR(INDEX(Services!$G$5:$G$54,MATCH(H303,Services!$B$5:$B$54,0)),0))</f>
        <v>0</v>
      </c>
      <c r="Q303" s="29">
        <f>IF(H303="","",IF(IFERROR(INDEX(Services!$H$5:$H$54,MATCH(H303,Services!$B$5:$B$54,0)),0)=0,ExtraPetFeeDefault,IFERROR(INDEX(Services!$H$5:$H$54,MATCH(H303,Services!$B$5:$B$54,0)),0)))</f>
        <v>0</v>
      </c>
      <c r="R303" s="30">
        <f>IF(H303="","",IF(IFERROR(INDEX(Services!$I$5:$I$54,MATCH(H303,Services!$B$5:$B$54,0)),0)=0,HolidaySurcharge,IFERROR(INDEX(Services!$I$5:$I$54,MATCH(H303,Services!$B$5:$B$54,0)),0)))</f>
        <v>0</v>
      </c>
      <c r="S303" s="30">
        <f>IF(H303="","",IF(IFERROR(INDEX(Services!$J$5:$J$54,MATCH(H303,Services!$B$5:$B$54,0)),0)=0,WeekendSurcharge,IFERROR(INDEX(Services!$J$5:$J$54,MATCH(H303,Services!$B$5:$B$54,0)),0)))</f>
        <v>0</v>
      </c>
      <c r="T303" s="50">
        <f>IF(H303="","",IFERROR(INDEX(Services!$K$5:$K$54,MATCH(H303,Services!$B$5:$B$54,0)),"No"))</f>
        <v>0</v>
      </c>
      <c r="U303" s="29">
        <f>IF(H303="","",ROUND(IF(O303="Per hour",P303*IF(M303="",IF(N303="",1,N303),M303),P303*IF(N303="",1,N303)),2))</f>
        <v>0</v>
      </c>
      <c r="V303" s="29">
        <f>IF(H303="","",ROUND(MAX(0,IF(G303="",1,G303)-1)*Q303,2))</f>
        <v>0</v>
      </c>
      <c r="W303" s="50">
        <f>IF(I303="","",IF(COUNTIF(HolidayDates,I303)&gt;0,"Yes","No"))</f>
        <v>0</v>
      </c>
      <c r="X303" s="50">
        <f>IF(I303="","",IF(WEEKDAY(I303,2)&gt;5,"Yes","No"))</f>
        <v>0</v>
      </c>
      <c r="Y303" s="29">
        <f>IF(H303="","",ROUND((U303+V303)*(IF(W303="Yes",R303,0)+IF(X303="Yes",S303,0)),2))</f>
        <v>0</v>
      </c>
      <c r="AA303" s="29">
        <f>IF(H303="","",IF(T303&lt;&gt;"Yes",0,ROUND(MAX(0,IF(Z303="",0,Z303)-FreeTravelDistance)*TravelFeeRate,2)))</f>
        <v>0</v>
      </c>
      <c r="AB303" s="31">
        <f>IF(I303="","",TravelTimeMins)</f>
        <v>0</v>
      </c>
      <c r="AC303" s="29">
        <f>IF(OR(I303="",B303=""),0,IF(I303-B303&lt;=LastMinuteDays,EmergencyFee,0))</f>
        <v>0</v>
      </c>
      <c r="AF303" s="29">
        <f>IF(H303="","",ROUND((U303+V303+Y303+AA303+AC303)*IF(AE303="",0,AE303),2))</f>
        <v>0</v>
      </c>
      <c r="AI303" s="29">
        <f>IF(H303="","",IF(AG303&lt;&gt;"",AG303,ROUND(U303+V303+Y303+AA303+AC303-AF303,2)))</f>
        <v>0</v>
      </c>
      <c r="AJ303" s="29">
        <f>IF(AI303="","",IF(TaxRegistered&lt;&gt;"Yes",0,IF(PricesIncludeTax="Yes",ROUND(AI303-AI303/(1+TaxRate),2),ROUND(AI303*TaxRate,2))))</f>
        <v>0</v>
      </c>
      <c r="AK303" s="29">
        <f>IF(AI303="","",IF(PricesIncludeTax="Yes",AI303,ROUND(AI303+AJ303,2)))</f>
        <v>0</v>
      </c>
      <c r="AQ303" s="21">
        <f>IF(OR(I303="",AP303="",AP303="None"),"",IF(AP303="Monthly",EDATE(I303,1),I303+IF(AP303="Daily",1,IF(AP303="Weekdays",IF(WEEKDAY(I303,2)&gt;=5,8-WEEKDAY(I303,2),1),IF(AP303="Weekly",7,IF(AP303="Fortnightly",14,0))))))</f>
        <v>0</v>
      </c>
      <c r="AR303" s="49">
        <f>IF(OR(I303="",AL303="",K303="",L303=""),"",IF(SUMPRODUCT((Bookings!$AL$5:$AL$404=AL303)*(Bookings!$I$5:$I$404=I303)*(Bookings!$K$5:$K$404&lt;L303)*(Bookings!$L$5:$L$404&gt;K303)*(Bookings!$AM$5:$AM$404&lt;&gt;"Cancelled"))&gt;1,"Conflict - double booked","OK"))</f>
        <v>0</v>
      </c>
      <c r="AS303" s="50">
        <f>IF(A303="","",IF(COUNTIF('Visit Log'!$B$5:$B$404,A303)&gt;0,"Yes","No"))</f>
        <v>0</v>
      </c>
      <c r="AT303" s="28">
        <f>IF(A303="","",IFERROR(INDEX(Invoices!$A$5:$A$304,MATCH(A303,Invoices!$E$5:$E$304,0)),""))</f>
        <v>0</v>
      </c>
      <c r="AU303" s="49">
        <f>IF(A303="","",IF(AT303="","Not invoiced",IFERROR(INDEX(Invoices!$U$5:$U$304,MATCH(AT303,Invoices!$A$5:$A$304,0)),"")))</f>
        <v>0</v>
      </c>
      <c r="AY303" s="28">
        <f>IF(I303="","",TEXT(I303,"yyyy-mm"))</f>
        <v>0</v>
      </c>
      <c r="AZ303" s="49">
        <f>IF(I303="","",IF(AM303="Cancelled","Cancelled",IF(AND(I303&lt;TODAY(),OR(AM303="Pending",AM303="Confirmed",AM303="Enquiry")),"Overdue - update status",IF(AND(AM303="Completed",AS303="No"),"Action - log the visit",IF(I303=TODAY(),"Today",IF(AND(I303&gt;TODAY(),I303-TODAY()&lt;=ReminderLeadDays,AN303&lt;&gt;"Yes"),"Action - unconfirmed",IF(AND(I303&gt;TODAY(),I303-TODAY()&lt;=ReminderLeadDays),"Upcoming","OK")))))))</f>
        <v>0</v>
      </c>
    </row>
    <row r="304" spans="1:52">
      <c r="A304" s="46">
        <f>IF(C304="","",BookingPrefix&amp;TEXT(ROW()-4,"0000"))</f>
        <v>0</v>
      </c>
      <c r="D304" s="28">
        <f>IF(C304="","",IFERROR(INDEX(Clients!$A$5:$A$254,MATCH(C304,Clients!$B$5:$B$254,0)),""))</f>
        <v>0</v>
      </c>
      <c r="J304" s="50">
        <f>IF(I304="","",TEXT(I304,"ddd"))</f>
        <v>0</v>
      </c>
      <c r="M304" s="51">
        <f>IF(OR(K304="",L304=""),"",ROUND((L304-K304+IF(L304&lt;K304,1,0))*24,2))</f>
        <v>0</v>
      </c>
      <c r="O304" s="28">
        <f>IF(H304="","",IFERROR(INDEX(Services!$E$5:$E$54,MATCH(H304,Services!$B$5:$B$54,0)),""))</f>
        <v>0</v>
      </c>
      <c r="P304" s="29">
        <f>IF(H304="","",IFERROR(INDEX(Services!$G$5:$G$54,MATCH(H304,Services!$B$5:$B$54,0)),0))</f>
        <v>0</v>
      </c>
      <c r="Q304" s="29">
        <f>IF(H304="","",IF(IFERROR(INDEX(Services!$H$5:$H$54,MATCH(H304,Services!$B$5:$B$54,0)),0)=0,ExtraPetFeeDefault,IFERROR(INDEX(Services!$H$5:$H$54,MATCH(H304,Services!$B$5:$B$54,0)),0)))</f>
        <v>0</v>
      </c>
      <c r="R304" s="30">
        <f>IF(H304="","",IF(IFERROR(INDEX(Services!$I$5:$I$54,MATCH(H304,Services!$B$5:$B$54,0)),0)=0,HolidaySurcharge,IFERROR(INDEX(Services!$I$5:$I$54,MATCH(H304,Services!$B$5:$B$54,0)),0)))</f>
        <v>0</v>
      </c>
      <c r="S304" s="30">
        <f>IF(H304="","",IF(IFERROR(INDEX(Services!$J$5:$J$54,MATCH(H304,Services!$B$5:$B$54,0)),0)=0,WeekendSurcharge,IFERROR(INDEX(Services!$J$5:$J$54,MATCH(H304,Services!$B$5:$B$54,0)),0)))</f>
        <v>0</v>
      </c>
      <c r="T304" s="50">
        <f>IF(H304="","",IFERROR(INDEX(Services!$K$5:$K$54,MATCH(H304,Services!$B$5:$B$54,0)),"No"))</f>
        <v>0</v>
      </c>
      <c r="U304" s="29">
        <f>IF(H304="","",ROUND(IF(O304="Per hour",P304*IF(M304="",IF(N304="",1,N304),M304),P304*IF(N304="",1,N304)),2))</f>
        <v>0</v>
      </c>
      <c r="V304" s="29">
        <f>IF(H304="","",ROUND(MAX(0,IF(G304="",1,G304)-1)*Q304,2))</f>
        <v>0</v>
      </c>
      <c r="W304" s="50">
        <f>IF(I304="","",IF(COUNTIF(HolidayDates,I304)&gt;0,"Yes","No"))</f>
        <v>0</v>
      </c>
      <c r="X304" s="50">
        <f>IF(I304="","",IF(WEEKDAY(I304,2)&gt;5,"Yes","No"))</f>
        <v>0</v>
      </c>
      <c r="Y304" s="29">
        <f>IF(H304="","",ROUND((U304+V304)*(IF(W304="Yes",R304,0)+IF(X304="Yes",S304,0)),2))</f>
        <v>0</v>
      </c>
      <c r="AA304" s="29">
        <f>IF(H304="","",IF(T304&lt;&gt;"Yes",0,ROUND(MAX(0,IF(Z304="",0,Z304)-FreeTravelDistance)*TravelFeeRate,2)))</f>
        <v>0</v>
      </c>
      <c r="AB304" s="31">
        <f>IF(I304="","",TravelTimeMins)</f>
        <v>0</v>
      </c>
      <c r="AC304" s="29">
        <f>IF(OR(I304="",B304=""),0,IF(I304-B304&lt;=LastMinuteDays,EmergencyFee,0))</f>
        <v>0</v>
      </c>
      <c r="AF304" s="29">
        <f>IF(H304="","",ROUND((U304+V304+Y304+AA304+AC304)*IF(AE304="",0,AE304),2))</f>
        <v>0</v>
      </c>
      <c r="AI304" s="29">
        <f>IF(H304="","",IF(AG304&lt;&gt;"",AG304,ROUND(U304+V304+Y304+AA304+AC304-AF304,2)))</f>
        <v>0</v>
      </c>
      <c r="AJ304" s="29">
        <f>IF(AI304="","",IF(TaxRegistered&lt;&gt;"Yes",0,IF(PricesIncludeTax="Yes",ROUND(AI304-AI304/(1+TaxRate),2),ROUND(AI304*TaxRate,2))))</f>
        <v>0</v>
      </c>
      <c r="AK304" s="29">
        <f>IF(AI304="","",IF(PricesIncludeTax="Yes",AI304,ROUND(AI304+AJ304,2)))</f>
        <v>0</v>
      </c>
      <c r="AQ304" s="21">
        <f>IF(OR(I304="",AP304="",AP304="None"),"",IF(AP304="Monthly",EDATE(I304,1),I304+IF(AP304="Daily",1,IF(AP304="Weekdays",IF(WEEKDAY(I304,2)&gt;=5,8-WEEKDAY(I304,2),1),IF(AP304="Weekly",7,IF(AP304="Fortnightly",14,0))))))</f>
        <v>0</v>
      </c>
      <c r="AR304" s="49">
        <f>IF(OR(I304="",AL304="",K304="",L304=""),"",IF(SUMPRODUCT((Bookings!$AL$5:$AL$404=AL304)*(Bookings!$I$5:$I$404=I304)*(Bookings!$K$5:$K$404&lt;L304)*(Bookings!$L$5:$L$404&gt;K304)*(Bookings!$AM$5:$AM$404&lt;&gt;"Cancelled"))&gt;1,"Conflict - double booked","OK"))</f>
        <v>0</v>
      </c>
      <c r="AS304" s="50">
        <f>IF(A304="","",IF(COUNTIF('Visit Log'!$B$5:$B$404,A304)&gt;0,"Yes","No"))</f>
        <v>0</v>
      </c>
      <c r="AT304" s="28">
        <f>IF(A304="","",IFERROR(INDEX(Invoices!$A$5:$A$304,MATCH(A304,Invoices!$E$5:$E$304,0)),""))</f>
        <v>0</v>
      </c>
      <c r="AU304" s="49">
        <f>IF(A304="","",IF(AT304="","Not invoiced",IFERROR(INDEX(Invoices!$U$5:$U$304,MATCH(AT304,Invoices!$A$5:$A$304,0)),"")))</f>
        <v>0</v>
      </c>
      <c r="AY304" s="28">
        <f>IF(I304="","",TEXT(I304,"yyyy-mm"))</f>
        <v>0</v>
      </c>
      <c r="AZ304" s="49">
        <f>IF(I304="","",IF(AM304="Cancelled","Cancelled",IF(AND(I304&lt;TODAY(),OR(AM304="Pending",AM304="Confirmed",AM304="Enquiry")),"Overdue - update status",IF(AND(AM304="Completed",AS304="No"),"Action - log the visit",IF(I304=TODAY(),"Today",IF(AND(I304&gt;TODAY(),I304-TODAY()&lt;=ReminderLeadDays,AN304&lt;&gt;"Yes"),"Action - unconfirmed",IF(AND(I304&gt;TODAY(),I304-TODAY()&lt;=ReminderLeadDays),"Upcoming","OK")))))))</f>
        <v>0</v>
      </c>
    </row>
    <row r="305" spans="1:52">
      <c r="A305" s="46">
        <f>IF(C305="","",BookingPrefix&amp;TEXT(ROW()-4,"0000"))</f>
        <v>0</v>
      </c>
      <c r="D305" s="28">
        <f>IF(C305="","",IFERROR(INDEX(Clients!$A$5:$A$254,MATCH(C305,Clients!$B$5:$B$254,0)),""))</f>
        <v>0</v>
      </c>
      <c r="J305" s="50">
        <f>IF(I305="","",TEXT(I305,"ddd"))</f>
        <v>0</v>
      </c>
      <c r="M305" s="51">
        <f>IF(OR(K305="",L305=""),"",ROUND((L305-K305+IF(L305&lt;K305,1,0))*24,2))</f>
        <v>0</v>
      </c>
      <c r="O305" s="28">
        <f>IF(H305="","",IFERROR(INDEX(Services!$E$5:$E$54,MATCH(H305,Services!$B$5:$B$54,0)),""))</f>
        <v>0</v>
      </c>
      <c r="P305" s="29">
        <f>IF(H305="","",IFERROR(INDEX(Services!$G$5:$G$54,MATCH(H305,Services!$B$5:$B$54,0)),0))</f>
        <v>0</v>
      </c>
      <c r="Q305" s="29">
        <f>IF(H305="","",IF(IFERROR(INDEX(Services!$H$5:$H$54,MATCH(H305,Services!$B$5:$B$54,0)),0)=0,ExtraPetFeeDefault,IFERROR(INDEX(Services!$H$5:$H$54,MATCH(H305,Services!$B$5:$B$54,0)),0)))</f>
        <v>0</v>
      </c>
      <c r="R305" s="30">
        <f>IF(H305="","",IF(IFERROR(INDEX(Services!$I$5:$I$54,MATCH(H305,Services!$B$5:$B$54,0)),0)=0,HolidaySurcharge,IFERROR(INDEX(Services!$I$5:$I$54,MATCH(H305,Services!$B$5:$B$54,0)),0)))</f>
        <v>0</v>
      </c>
      <c r="S305" s="30">
        <f>IF(H305="","",IF(IFERROR(INDEX(Services!$J$5:$J$54,MATCH(H305,Services!$B$5:$B$54,0)),0)=0,WeekendSurcharge,IFERROR(INDEX(Services!$J$5:$J$54,MATCH(H305,Services!$B$5:$B$54,0)),0)))</f>
        <v>0</v>
      </c>
      <c r="T305" s="50">
        <f>IF(H305="","",IFERROR(INDEX(Services!$K$5:$K$54,MATCH(H305,Services!$B$5:$B$54,0)),"No"))</f>
        <v>0</v>
      </c>
      <c r="U305" s="29">
        <f>IF(H305="","",ROUND(IF(O305="Per hour",P305*IF(M305="",IF(N305="",1,N305),M305),P305*IF(N305="",1,N305)),2))</f>
        <v>0</v>
      </c>
      <c r="V305" s="29">
        <f>IF(H305="","",ROUND(MAX(0,IF(G305="",1,G305)-1)*Q305,2))</f>
        <v>0</v>
      </c>
      <c r="W305" s="50">
        <f>IF(I305="","",IF(COUNTIF(HolidayDates,I305)&gt;0,"Yes","No"))</f>
        <v>0</v>
      </c>
      <c r="X305" s="50">
        <f>IF(I305="","",IF(WEEKDAY(I305,2)&gt;5,"Yes","No"))</f>
        <v>0</v>
      </c>
      <c r="Y305" s="29">
        <f>IF(H305="","",ROUND((U305+V305)*(IF(W305="Yes",R305,0)+IF(X305="Yes",S305,0)),2))</f>
        <v>0</v>
      </c>
      <c r="AA305" s="29">
        <f>IF(H305="","",IF(T305&lt;&gt;"Yes",0,ROUND(MAX(0,IF(Z305="",0,Z305)-FreeTravelDistance)*TravelFeeRate,2)))</f>
        <v>0</v>
      </c>
      <c r="AB305" s="31">
        <f>IF(I305="","",TravelTimeMins)</f>
        <v>0</v>
      </c>
      <c r="AC305" s="29">
        <f>IF(OR(I305="",B305=""),0,IF(I305-B305&lt;=LastMinuteDays,EmergencyFee,0))</f>
        <v>0</v>
      </c>
      <c r="AF305" s="29">
        <f>IF(H305="","",ROUND((U305+V305+Y305+AA305+AC305)*IF(AE305="",0,AE305),2))</f>
        <v>0</v>
      </c>
      <c r="AI305" s="29">
        <f>IF(H305="","",IF(AG305&lt;&gt;"",AG305,ROUND(U305+V305+Y305+AA305+AC305-AF305,2)))</f>
        <v>0</v>
      </c>
      <c r="AJ305" s="29">
        <f>IF(AI305="","",IF(TaxRegistered&lt;&gt;"Yes",0,IF(PricesIncludeTax="Yes",ROUND(AI305-AI305/(1+TaxRate),2),ROUND(AI305*TaxRate,2))))</f>
        <v>0</v>
      </c>
      <c r="AK305" s="29">
        <f>IF(AI305="","",IF(PricesIncludeTax="Yes",AI305,ROUND(AI305+AJ305,2)))</f>
        <v>0</v>
      </c>
      <c r="AQ305" s="21">
        <f>IF(OR(I305="",AP305="",AP305="None"),"",IF(AP305="Monthly",EDATE(I305,1),I305+IF(AP305="Daily",1,IF(AP305="Weekdays",IF(WEEKDAY(I305,2)&gt;=5,8-WEEKDAY(I305,2),1),IF(AP305="Weekly",7,IF(AP305="Fortnightly",14,0))))))</f>
        <v>0</v>
      </c>
      <c r="AR305" s="49">
        <f>IF(OR(I305="",AL305="",K305="",L305=""),"",IF(SUMPRODUCT((Bookings!$AL$5:$AL$404=AL305)*(Bookings!$I$5:$I$404=I305)*(Bookings!$K$5:$K$404&lt;L305)*(Bookings!$L$5:$L$404&gt;K305)*(Bookings!$AM$5:$AM$404&lt;&gt;"Cancelled"))&gt;1,"Conflict - double booked","OK"))</f>
        <v>0</v>
      </c>
      <c r="AS305" s="50">
        <f>IF(A305="","",IF(COUNTIF('Visit Log'!$B$5:$B$404,A305)&gt;0,"Yes","No"))</f>
        <v>0</v>
      </c>
      <c r="AT305" s="28">
        <f>IF(A305="","",IFERROR(INDEX(Invoices!$A$5:$A$304,MATCH(A305,Invoices!$E$5:$E$304,0)),""))</f>
        <v>0</v>
      </c>
      <c r="AU305" s="49">
        <f>IF(A305="","",IF(AT305="","Not invoiced",IFERROR(INDEX(Invoices!$U$5:$U$304,MATCH(AT305,Invoices!$A$5:$A$304,0)),"")))</f>
        <v>0</v>
      </c>
      <c r="AY305" s="28">
        <f>IF(I305="","",TEXT(I305,"yyyy-mm"))</f>
        <v>0</v>
      </c>
      <c r="AZ305" s="49">
        <f>IF(I305="","",IF(AM305="Cancelled","Cancelled",IF(AND(I305&lt;TODAY(),OR(AM305="Pending",AM305="Confirmed",AM305="Enquiry")),"Overdue - update status",IF(AND(AM305="Completed",AS305="No"),"Action - log the visit",IF(I305=TODAY(),"Today",IF(AND(I305&gt;TODAY(),I305-TODAY()&lt;=ReminderLeadDays,AN305&lt;&gt;"Yes"),"Action - unconfirmed",IF(AND(I305&gt;TODAY(),I305-TODAY()&lt;=ReminderLeadDays),"Upcoming","OK")))))))</f>
        <v>0</v>
      </c>
    </row>
    <row r="306" spans="1:52">
      <c r="A306" s="46">
        <f>IF(C306="","",BookingPrefix&amp;TEXT(ROW()-4,"0000"))</f>
        <v>0</v>
      </c>
      <c r="D306" s="28">
        <f>IF(C306="","",IFERROR(INDEX(Clients!$A$5:$A$254,MATCH(C306,Clients!$B$5:$B$254,0)),""))</f>
        <v>0</v>
      </c>
      <c r="J306" s="50">
        <f>IF(I306="","",TEXT(I306,"ddd"))</f>
        <v>0</v>
      </c>
      <c r="M306" s="51">
        <f>IF(OR(K306="",L306=""),"",ROUND((L306-K306+IF(L306&lt;K306,1,0))*24,2))</f>
        <v>0</v>
      </c>
      <c r="O306" s="28">
        <f>IF(H306="","",IFERROR(INDEX(Services!$E$5:$E$54,MATCH(H306,Services!$B$5:$B$54,0)),""))</f>
        <v>0</v>
      </c>
      <c r="P306" s="29">
        <f>IF(H306="","",IFERROR(INDEX(Services!$G$5:$G$54,MATCH(H306,Services!$B$5:$B$54,0)),0))</f>
        <v>0</v>
      </c>
      <c r="Q306" s="29">
        <f>IF(H306="","",IF(IFERROR(INDEX(Services!$H$5:$H$54,MATCH(H306,Services!$B$5:$B$54,0)),0)=0,ExtraPetFeeDefault,IFERROR(INDEX(Services!$H$5:$H$54,MATCH(H306,Services!$B$5:$B$54,0)),0)))</f>
        <v>0</v>
      </c>
      <c r="R306" s="30">
        <f>IF(H306="","",IF(IFERROR(INDEX(Services!$I$5:$I$54,MATCH(H306,Services!$B$5:$B$54,0)),0)=0,HolidaySurcharge,IFERROR(INDEX(Services!$I$5:$I$54,MATCH(H306,Services!$B$5:$B$54,0)),0)))</f>
        <v>0</v>
      </c>
      <c r="S306" s="30">
        <f>IF(H306="","",IF(IFERROR(INDEX(Services!$J$5:$J$54,MATCH(H306,Services!$B$5:$B$54,0)),0)=0,WeekendSurcharge,IFERROR(INDEX(Services!$J$5:$J$54,MATCH(H306,Services!$B$5:$B$54,0)),0)))</f>
        <v>0</v>
      </c>
      <c r="T306" s="50">
        <f>IF(H306="","",IFERROR(INDEX(Services!$K$5:$K$54,MATCH(H306,Services!$B$5:$B$54,0)),"No"))</f>
        <v>0</v>
      </c>
      <c r="U306" s="29">
        <f>IF(H306="","",ROUND(IF(O306="Per hour",P306*IF(M306="",IF(N306="",1,N306),M306),P306*IF(N306="",1,N306)),2))</f>
        <v>0</v>
      </c>
      <c r="V306" s="29">
        <f>IF(H306="","",ROUND(MAX(0,IF(G306="",1,G306)-1)*Q306,2))</f>
        <v>0</v>
      </c>
      <c r="W306" s="50">
        <f>IF(I306="","",IF(COUNTIF(HolidayDates,I306)&gt;0,"Yes","No"))</f>
        <v>0</v>
      </c>
      <c r="X306" s="50">
        <f>IF(I306="","",IF(WEEKDAY(I306,2)&gt;5,"Yes","No"))</f>
        <v>0</v>
      </c>
      <c r="Y306" s="29">
        <f>IF(H306="","",ROUND((U306+V306)*(IF(W306="Yes",R306,0)+IF(X306="Yes",S306,0)),2))</f>
        <v>0</v>
      </c>
      <c r="AA306" s="29">
        <f>IF(H306="","",IF(T306&lt;&gt;"Yes",0,ROUND(MAX(0,IF(Z306="",0,Z306)-FreeTravelDistance)*TravelFeeRate,2)))</f>
        <v>0</v>
      </c>
      <c r="AB306" s="31">
        <f>IF(I306="","",TravelTimeMins)</f>
        <v>0</v>
      </c>
      <c r="AC306" s="29">
        <f>IF(OR(I306="",B306=""),0,IF(I306-B306&lt;=LastMinuteDays,EmergencyFee,0))</f>
        <v>0</v>
      </c>
      <c r="AF306" s="29">
        <f>IF(H306="","",ROUND((U306+V306+Y306+AA306+AC306)*IF(AE306="",0,AE306),2))</f>
        <v>0</v>
      </c>
      <c r="AI306" s="29">
        <f>IF(H306="","",IF(AG306&lt;&gt;"",AG306,ROUND(U306+V306+Y306+AA306+AC306-AF306,2)))</f>
        <v>0</v>
      </c>
      <c r="AJ306" s="29">
        <f>IF(AI306="","",IF(TaxRegistered&lt;&gt;"Yes",0,IF(PricesIncludeTax="Yes",ROUND(AI306-AI306/(1+TaxRate),2),ROUND(AI306*TaxRate,2))))</f>
        <v>0</v>
      </c>
      <c r="AK306" s="29">
        <f>IF(AI306="","",IF(PricesIncludeTax="Yes",AI306,ROUND(AI306+AJ306,2)))</f>
        <v>0</v>
      </c>
      <c r="AQ306" s="21">
        <f>IF(OR(I306="",AP306="",AP306="None"),"",IF(AP306="Monthly",EDATE(I306,1),I306+IF(AP306="Daily",1,IF(AP306="Weekdays",IF(WEEKDAY(I306,2)&gt;=5,8-WEEKDAY(I306,2),1),IF(AP306="Weekly",7,IF(AP306="Fortnightly",14,0))))))</f>
        <v>0</v>
      </c>
      <c r="AR306" s="49">
        <f>IF(OR(I306="",AL306="",K306="",L306=""),"",IF(SUMPRODUCT((Bookings!$AL$5:$AL$404=AL306)*(Bookings!$I$5:$I$404=I306)*(Bookings!$K$5:$K$404&lt;L306)*(Bookings!$L$5:$L$404&gt;K306)*(Bookings!$AM$5:$AM$404&lt;&gt;"Cancelled"))&gt;1,"Conflict - double booked","OK"))</f>
        <v>0</v>
      </c>
      <c r="AS306" s="50">
        <f>IF(A306="","",IF(COUNTIF('Visit Log'!$B$5:$B$404,A306)&gt;0,"Yes","No"))</f>
        <v>0</v>
      </c>
      <c r="AT306" s="28">
        <f>IF(A306="","",IFERROR(INDEX(Invoices!$A$5:$A$304,MATCH(A306,Invoices!$E$5:$E$304,0)),""))</f>
        <v>0</v>
      </c>
      <c r="AU306" s="49">
        <f>IF(A306="","",IF(AT306="","Not invoiced",IFERROR(INDEX(Invoices!$U$5:$U$304,MATCH(AT306,Invoices!$A$5:$A$304,0)),"")))</f>
        <v>0</v>
      </c>
      <c r="AY306" s="28">
        <f>IF(I306="","",TEXT(I306,"yyyy-mm"))</f>
        <v>0</v>
      </c>
      <c r="AZ306" s="49">
        <f>IF(I306="","",IF(AM306="Cancelled","Cancelled",IF(AND(I306&lt;TODAY(),OR(AM306="Pending",AM306="Confirmed",AM306="Enquiry")),"Overdue - update status",IF(AND(AM306="Completed",AS306="No"),"Action - log the visit",IF(I306=TODAY(),"Today",IF(AND(I306&gt;TODAY(),I306-TODAY()&lt;=ReminderLeadDays,AN306&lt;&gt;"Yes"),"Action - unconfirmed",IF(AND(I306&gt;TODAY(),I306-TODAY()&lt;=ReminderLeadDays),"Upcoming","OK")))))))</f>
        <v>0</v>
      </c>
    </row>
    <row r="307" spans="1:52">
      <c r="A307" s="46">
        <f>IF(C307="","",BookingPrefix&amp;TEXT(ROW()-4,"0000"))</f>
        <v>0</v>
      </c>
      <c r="D307" s="28">
        <f>IF(C307="","",IFERROR(INDEX(Clients!$A$5:$A$254,MATCH(C307,Clients!$B$5:$B$254,0)),""))</f>
        <v>0</v>
      </c>
      <c r="J307" s="50">
        <f>IF(I307="","",TEXT(I307,"ddd"))</f>
        <v>0</v>
      </c>
      <c r="M307" s="51">
        <f>IF(OR(K307="",L307=""),"",ROUND((L307-K307+IF(L307&lt;K307,1,0))*24,2))</f>
        <v>0</v>
      </c>
      <c r="O307" s="28">
        <f>IF(H307="","",IFERROR(INDEX(Services!$E$5:$E$54,MATCH(H307,Services!$B$5:$B$54,0)),""))</f>
        <v>0</v>
      </c>
      <c r="P307" s="29">
        <f>IF(H307="","",IFERROR(INDEX(Services!$G$5:$G$54,MATCH(H307,Services!$B$5:$B$54,0)),0))</f>
        <v>0</v>
      </c>
      <c r="Q307" s="29">
        <f>IF(H307="","",IF(IFERROR(INDEX(Services!$H$5:$H$54,MATCH(H307,Services!$B$5:$B$54,0)),0)=0,ExtraPetFeeDefault,IFERROR(INDEX(Services!$H$5:$H$54,MATCH(H307,Services!$B$5:$B$54,0)),0)))</f>
        <v>0</v>
      </c>
      <c r="R307" s="30">
        <f>IF(H307="","",IF(IFERROR(INDEX(Services!$I$5:$I$54,MATCH(H307,Services!$B$5:$B$54,0)),0)=0,HolidaySurcharge,IFERROR(INDEX(Services!$I$5:$I$54,MATCH(H307,Services!$B$5:$B$54,0)),0)))</f>
        <v>0</v>
      </c>
      <c r="S307" s="30">
        <f>IF(H307="","",IF(IFERROR(INDEX(Services!$J$5:$J$54,MATCH(H307,Services!$B$5:$B$54,0)),0)=0,WeekendSurcharge,IFERROR(INDEX(Services!$J$5:$J$54,MATCH(H307,Services!$B$5:$B$54,0)),0)))</f>
        <v>0</v>
      </c>
      <c r="T307" s="50">
        <f>IF(H307="","",IFERROR(INDEX(Services!$K$5:$K$54,MATCH(H307,Services!$B$5:$B$54,0)),"No"))</f>
        <v>0</v>
      </c>
      <c r="U307" s="29">
        <f>IF(H307="","",ROUND(IF(O307="Per hour",P307*IF(M307="",IF(N307="",1,N307),M307),P307*IF(N307="",1,N307)),2))</f>
        <v>0</v>
      </c>
      <c r="V307" s="29">
        <f>IF(H307="","",ROUND(MAX(0,IF(G307="",1,G307)-1)*Q307,2))</f>
        <v>0</v>
      </c>
      <c r="W307" s="50">
        <f>IF(I307="","",IF(COUNTIF(HolidayDates,I307)&gt;0,"Yes","No"))</f>
        <v>0</v>
      </c>
      <c r="X307" s="50">
        <f>IF(I307="","",IF(WEEKDAY(I307,2)&gt;5,"Yes","No"))</f>
        <v>0</v>
      </c>
      <c r="Y307" s="29">
        <f>IF(H307="","",ROUND((U307+V307)*(IF(W307="Yes",R307,0)+IF(X307="Yes",S307,0)),2))</f>
        <v>0</v>
      </c>
      <c r="AA307" s="29">
        <f>IF(H307="","",IF(T307&lt;&gt;"Yes",0,ROUND(MAX(0,IF(Z307="",0,Z307)-FreeTravelDistance)*TravelFeeRate,2)))</f>
        <v>0</v>
      </c>
      <c r="AB307" s="31">
        <f>IF(I307="","",TravelTimeMins)</f>
        <v>0</v>
      </c>
      <c r="AC307" s="29">
        <f>IF(OR(I307="",B307=""),0,IF(I307-B307&lt;=LastMinuteDays,EmergencyFee,0))</f>
        <v>0</v>
      </c>
      <c r="AF307" s="29">
        <f>IF(H307="","",ROUND((U307+V307+Y307+AA307+AC307)*IF(AE307="",0,AE307),2))</f>
        <v>0</v>
      </c>
      <c r="AI307" s="29">
        <f>IF(H307="","",IF(AG307&lt;&gt;"",AG307,ROUND(U307+V307+Y307+AA307+AC307-AF307,2)))</f>
        <v>0</v>
      </c>
      <c r="AJ307" s="29">
        <f>IF(AI307="","",IF(TaxRegistered&lt;&gt;"Yes",0,IF(PricesIncludeTax="Yes",ROUND(AI307-AI307/(1+TaxRate),2),ROUND(AI307*TaxRate,2))))</f>
        <v>0</v>
      </c>
      <c r="AK307" s="29">
        <f>IF(AI307="","",IF(PricesIncludeTax="Yes",AI307,ROUND(AI307+AJ307,2)))</f>
        <v>0</v>
      </c>
      <c r="AQ307" s="21">
        <f>IF(OR(I307="",AP307="",AP307="None"),"",IF(AP307="Monthly",EDATE(I307,1),I307+IF(AP307="Daily",1,IF(AP307="Weekdays",IF(WEEKDAY(I307,2)&gt;=5,8-WEEKDAY(I307,2),1),IF(AP307="Weekly",7,IF(AP307="Fortnightly",14,0))))))</f>
        <v>0</v>
      </c>
      <c r="AR307" s="49">
        <f>IF(OR(I307="",AL307="",K307="",L307=""),"",IF(SUMPRODUCT((Bookings!$AL$5:$AL$404=AL307)*(Bookings!$I$5:$I$404=I307)*(Bookings!$K$5:$K$404&lt;L307)*(Bookings!$L$5:$L$404&gt;K307)*(Bookings!$AM$5:$AM$404&lt;&gt;"Cancelled"))&gt;1,"Conflict - double booked","OK"))</f>
        <v>0</v>
      </c>
      <c r="AS307" s="50">
        <f>IF(A307="","",IF(COUNTIF('Visit Log'!$B$5:$B$404,A307)&gt;0,"Yes","No"))</f>
        <v>0</v>
      </c>
      <c r="AT307" s="28">
        <f>IF(A307="","",IFERROR(INDEX(Invoices!$A$5:$A$304,MATCH(A307,Invoices!$E$5:$E$304,0)),""))</f>
        <v>0</v>
      </c>
      <c r="AU307" s="49">
        <f>IF(A307="","",IF(AT307="","Not invoiced",IFERROR(INDEX(Invoices!$U$5:$U$304,MATCH(AT307,Invoices!$A$5:$A$304,0)),"")))</f>
        <v>0</v>
      </c>
      <c r="AY307" s="28">
        <f>IF(I307="","",TEXT(I307,"yyyy-mm"))</f>
        <v>0</v>
      </c>
      <c r="AZ307" s="49">
        <f>IF(I307="","",IF(AM307="Cancelled","Cancelled",IF(AND(I307&lt;TODAY(),OR(AM307="Pending",AM307="Confirmed",AM307="Enquiry")),"Overdue - update status",IF(AND(AM307="Completed",AS307="No"),"Action - log the visit",IF(I307=TODAY(),"Today",IF(AND(I307&gt;TODAY(),I307-TODAY()&lt;=ReminderLeadDays,AN307&lt;&gt;"Yes"),"Action - unconfirmed",IF(AND(I307&gt;TODAY(),I307-TODAY()&lt;=ReminderLeadDays),"Upcoming","OK")))))))</f>
        <v>0</v>
      </c>
    </row>
    <row r="308" spans="1:52">
      <c r="A308" s="46">
        <f>IF(C308="","",BookingPrefix&amp;TEXT(ROW()-4,"0000"))</f>
        <v>0</v>
      </c>
      <c r="D308" s="28">
        <f>IF(C308="","",IFERROR(INDEX(Clients!$A$5:$A$254,MATCH(C308,Clients!$B$5:$B$254,0)),""))</f>
        <v>0</v>
      </c>
      <c r="J308" s="50">
        <f>IF(I308="","",TEXT(I308,"ddd"))</f>
        <v>0</v>
      </c>
      <c r="M308" s="51">
        <f>IF(OR(K308="",L308=""),"",ROUND((L308-K308+IF(L308&lt;K308,1,0))*24,2))</f>
        <v>0</v>
      </c>
      <c r="O308" s="28">
        <f>IF(H308="","",IFERROR(INDEX(Services!$E$5:$E$54,MATCH(H308,Services!$B$5:$B$54,0)),""))</f>
        <v>0</v>
      </c>
      <c r="P308" s="29">
        <f>IF(H308="","",IFERROR(INDEX(Services!$G$5:$G$54,MATCH(H308,Services!$B$5:$B$54,0)),0))</f>
        <v>0</v>
      </c>
      <c r="Q308" s="29">
        <f>IF(H308="","",IF(IFERROR(INDEX(Services!$H$5:$H$54,MATCH(H308,Services!$B$5:$B$54,0)),0)=0,ExtraPetFeeDefault,IFERROR(INDEX(Services!$H$5:$H$54,MATCH(H308,Services!$B$5:$B$54,0)),0)))</f>
        <v>0</v>
      </c>
      <c r="R308" s="30">
        <f>IF(H308="","",IF(IFERROR(INDEX(Services!$I$5:$I$54,MATCH(H308,Services!$B$5:$B$54,0)),0)=0,HolidaySurcharge,IFERROR(INDEX(Services!$I$5:$I$54,MATCH(H308,Services!$B$5:$B$54,0)),0)))</f>
        <v>0</v>
      </c>
      <c r="S308" s="30">
        <f>IF(H308="","",IF(IFERROR(INDEX(Services!$J$5:$J$54,MATCH(H308,Services!$B$5:$B$54,0)),0)=0,WeekendSurcharge,IFERROR(INDEX(Services!$J$5:$J$54,MATCH(H308,Services!$B$5:$B$54,0)),0)))</f>
        <v>0</v>
      </c>
      <c r="T308" s="50">
        <f>IF(H308="","",IFERROR(INDEX(Services!$K$5:$K$54,MATCH(H308,Services!$B$5:$B$54,0)),"No"))</f>
        <v>0</v>
      </c>
      <c r="U308" s="29">
        <f>IF(H308="","",ROUND(IF(O308="Per hour",P308*IF(M308="",IF(N308="",1,N308),M308),P308*IF(N308="",1,N308)),2))</f>
        <v>0</v>
      </c>
      <c r="V308" s="29">
        <f>IF(H308="","",ROUND(MAX(0,IF(G308="",1,G308)-1)*Q308,2))</f>
        <v>0</v>
      </c>
      <c r="W308" s="50">
        <f>IF(I308="","",IF(COUNTIF(HolidayDates,I308)&gt;0,"Yes","No"))</f>
        <v>0</v>
      </c>
      <c r="X308" s="50">
        <f>IF(I308="","",IF(WEEKDAY(I308,2)&gt;5,"Yes","No"))</f>
        <v>0</v>
      </c>
      <c r="Y308" s="29">
        <f>IF(H308="","",ROUND((U308+V308)*(IF(W308="Yes",R308,0)+IF(X308="Yes",S308,0)),2))</f>
        <v>0</v>
      </c>
      <c r="AA308" s="29">
        <f>IF(H308="","",IF(T308&lt;&gt;"Yes",0,ROUND(MAX(0,IF(Z308="",0,Z308)-FreeTravelDistance)*TravelFeeRate,2)))</f>
        <v>0</v>
      </c>
      <c r="AB308" s="31">
        <f>IF(I308="","",TravelTimeMins)</f>
        <v>0</v>
      </c>
      <c r="AC308" s="29">
        <f>IF(OR(I308="",B308=""),0,IF(I308-B308&lt;=LastMinuteDays,EmergencyFee,0))</f>
        <v>0</v>
      </c>
      <c r="AF308" s="29">
        <f>IF(H308="","",ROUND((U308+V308+Y308+AA308+AC308)*IF(AE308="",0,AE308),2))</f>
        <v>0</v>
      </c>
      <c r="AI308" s="29">
        <f>IF(H308="","",IF(AG308&lt;&gt;"",AG308,ROUND(U308+V308+Y308+AA308+AC308-AF308,2)))</f>
        <v>0</v>
      </c>
      <c r="AJ308" s="29">
        <f>IF(AI308="","",IF(TaxRegistered&lt;&gt;"Yes",0,IF(PricesIncludeTax="Yes",ROUND(AI308-AI308/(1+TaxRate),2),ROUND(AI308*TaxRate,2))))</f>
        <v>0</v>
      </c>
      <c r="AK308" s="29">
        <f>IF(AI308="","",IF(PricesIncludeTax="Yes",AI308,ROUND(AI308+AJ308,2)))</f>
        <v>0</v>
      </c>
      <c r="AQ308" s="21">
        <f>IF(OR(I308="",AP308="",AP308="None"),"",IF(AP308="Monthly",EDATE(I308,1),I308+IF(AP308="Daily",1,IF(AP308="Weekdays",IF(WEEKDAY(I308,2)&gt;=5,8-WEEKDAY(I308,2),1),IF(AP308="Weekly",7,IF(AP308="Fortnightly",14,0))))))</f>
        <v>0</v>
      </c>
      <c r="AR308" s="49">
        <f>IF(OR(I308="",AL308="",K308="",L308=""),"",IF(SUMPRODUCT((Bookings!$AL$5:$AL$404=AL308)*(Bookings!$I$5:$I$404=I308)*(Bookings!$K$5:$K$404&lt;L308)*(Bookings!$L$5:$L$404&gt;K308)*(Bookings!$AM$5:$AM$404&lt;&gt;"Cancelled"))&gt;1,"Conflict - double booked","OK"))</f>
        <v>0</v>
      </c>
      <c r="AS308" s="50">
        <f>IF(A308="","",IF(COUNTIF('Visit Log'!$B$5:$B$404,A308)&gt;0,"Yes","No"))</f>
        <v>0</v>
      </c>
      <c r="AT308" s="28">
        <f>IF(A308="","",IFERROR(INDEX(Invoices!$A$5:$A$304,MATCH(A308,Invoices!$E$5:$E$304,0)),""))</f>
        <v>0</v>
      </c>
      <c r="AU308" s="49">
        <f>IF(A308="","",IF(AT308="","Not invoiced",IFERROR(INDEX(Invoices!$U$5:$U$304,MATCH(AT308,Invoices!$A$5:$A$304,0)),"")))</f>
        <v>0</v>
      </c>
      <c r="AY308" s="28">
        <f>IF(I308="","",TEXT(I308,"yyyy-mm"))</f>
        <v>0</v>
      </c>
      <c r="AZ308" s="49">
        <f>IF(I308="","",IF(AM308="Cancelled","Cancelled",IF(AND(I308&lt;TODAY(),OR(AM308="Pending",AM308="Confirmed",AM308="Enquiry")),"Overdue - update status",IF(AND(AM308="Completed",AS308="No"),"Action - log the visit",IF(I308=TODAY(),"Today",IF(AND(I308&gt;TODAY(),I308-TODAY()&lt;=ReminderLeadDays,AN308&lt;&gt;"Yes"),"Action - unconfirmed",IF(AND(I308&gt;TODAY(),I308-TODAY()&lt;=ReminderLeadDays),"Upcoming","OK")))))))</f>
        <v>0</v>
      </c>
    </row>
    <row r="309" spans="1:52">
      <c r="A309" s="46">
        <f>IF(C309="","",BookingPrefix&amp;TEXT(ROW()-4,"0000"))</f>
        <v>0</v>
      </c>
      <c r="D309" s="28">
        <f>IF(C309="","",IFERROR(INDEX(Clients!$A$5:$A$254,MATCH(C309,Clients!$B$5:$B$254,0)),""))</f>
        <v>0</v>
      </c>
      <c r="J309" s="50">
        <f>IF(I309="","",TEXT(I309,"ddd"))</f>
        <v>0</v>
      </c>
      <c r="M309" s="51">
        <f>IF(OR(K309="",L309=""),"",ROUND((L309-K309+IF(L309&lt;K309,1,0))*24,2))</f>
        <v>0</v>
      </c>
      <c r="O309" s="28">
        <f>IF(H309="","",IFERROR(INDEX(Services!$E$5:$E$54,MATCH(H309,Services!$B$5:$B$54,0)),""))</f>
        <v>0</v>
      </c>
      <c r="P309" s="29">
        <f>IF(H309="","",IFERROR(INDEX(Services!$G$5:$G$54,MATCH(H309,Services!$B$5:$B$54,0)),0))</f>
        <v>0</v>
      </c>
      <c r="Q309" s="29">
        <f>IF(H309="","",IF(IFERROR(INDEX(Services!$H$5:$H$54,MATCH(H309,Services!$B$5:$B$54,0)),0)=0,ExtraPetFeeDefault,IFERROR(INDEX(Services!$H$5:$H$54,MATCH(H309,Services!$B$5:$B$54,0)),0)))</f>
        <v>0</v>
      </c>
      <c r="R309" s="30">
        <f>IF(H309="","",IF(IFERROR(INDEX(Services!$I$5:$I$54,MATCH(H309,Services!$B$5:$B$54,0)),0)=0,HolidaySurcharge,IFERROR(INDEX(Services!$I$5:$I$54,MATCH(H309,Services!$B$5:$B$54,0)),0)))</f>
        <v>0</v>
      </c>
      <c r="S309" s="30">
        <f>IF(H309="","",IF(IFERROR(INDEX(Services!$J$5:$J$54,MATCH(H309,Services!$B$5:$B$54,0)),0)=0,WeekendSurcharge,IFERROR(INDEX(Services!$J$5:$J$54,MATCH(H309,Services!$B$5:$B$54,0)),0)))</f>
        <v>0</v>
      </c>
      <c r="T309" s="50">
        <f>IF(H309="","",IFERROR(INDEX(Services!$K$5:$K$54,MATCH(H309,Services!$B$5:$B$54,0)),"No"))</f>
        <v>0</v>
      </c>
      <c r="U309" s="29">
        <f>IF(H309="","",ROUND(IF(O309="Per hour",P309*IF(M309="",IF(N309="",1,N309),M309),P309*IF(N309="",1,N309)),2))</f>
        <v>0</v>
      </c>
      <c r="V309" s="29">
        <f>IF(H309="","",ROUND(MAX(0,IF(G309="",1,G309)-1)*Q309,2))</f>
        <v>0</v>
      </c>
      <c r="W309" s="50">
        <f>IF(I309="","",IF(COUNTIF(HolidayDates,I309)&gt;0,"Yes","No"))</f>
        <v>0</v>
      </c>
      <c r="X309" s="50">
        <f>IF(I309="","",IF(WEEKDAY(I309,2)&gt;5,"Yes","No"))</f>
        <v>0</v>
      </c>
      <c r="Y309" s="29">
        <f>IF(H309="","",ROUND((U309+V309)*(IF(W309="Yes",R309,0)+IF(X309="Yes",S309,0)),2))</f>
        <v>0</v>
      </c>
      <c r="AA309" s="29">
        <f>IF(H309="","",IF(T309&lt;&gt;"Yes",0,ROUND(MAX(0,IF(Z309="",0,Z309)-FreeTravelDistance)*TravelFeeRate,2)))</f>
        <v>0</v>
      </c>
      <c r="AB309" s="31">
        <f>IF(I309="","",TravelTimeMins)</f>
        <v>0</v>
      </c>
      <c r="AC309" s="29">
        <f>IF(OR(I309="",B309=""),0,IF(I309-B309&lt;=LastMinuteDays,EmergencyFee,0))</f>
        <v>0</v>
      </c>
      <c r="AF309" s="29">
        <f>IF(H309="","",ROUND((U309+V309+Y309+AA309+AC309)*IF(AE309="",0,AE309),2))</f>
        <v>0</v>
      </c>
      <c r="AI309" s="29">
        <f>IF(H309="","",IF(AG309&lt;&gt;"",AG309,ROUND(U309+V309+Y309+AA309+AC309-AF309,2)))</f>
        <v>0</v>
      </c>
      <c r="AJ309" s="29">
        <f>IF(AI309="","",IF(TaxRegistered&lt;&gt;"Yes",0,IF(PricesIncludeTax="Yes",ROUND(AI309-AI309/(1+TaxRate),2),ROUND(AI309*TaxRate,2))))</f>
        <v>0</v>
      </c>
      <c r="AK309" s="29">
        <f>IF(AI309="","",IF(PricesIncludeTax="Yes",AI309,ROUND(AI309+AJ309,2)))</f>
        <v>0</v>
      </c>
      <c r="AQ309" s="21">
        <f>IF(OR(I309="",AP309="",AP309="None"),"",IF(AP309="Monthly",EDATE(I309,1),I309+IF(AP309="Daily",1,IF(AP309="Weekdays",IF(WEEKDAY(I309,2)&gt;=5,8-WEEKDAY(I309,2),1),IF(AP309="Weekly",7,IF(AP309="Fortnightly",14,0))))))</f>
        <v>0</v>
      </c>
      <c r="AR309" s="49">
        <f>IF(OR(I309="",AL309="",K309="",L309=""),"",IF(SUMPRODUCT((Bookings!$AL$5:$AL$404=AL309)*(Bookings!$I$5:$I$404=I309)*(Bookings!$K$5:$K$404&lt;L309)*(Bookings!$L$5:$L$404&gt;K309)*(Bookings!$AM$5:$AM$404&lt;&gt;"Cancelled"))&gt;1,"Conflict - double booked","OK"))</f>
        <v>0</v>
      </c>
      <c r="AS309" s="50">
        <f>IF(A309="","",IF(COUNTIF('Visit Log'!$B$5:$B$404,A309)&gt;0,"Yes","No"))</f>
        <v>0</v>
      </c>
      <c r="AT309" s="28">
        <f>IF(A309="","",IFERROR(INDEX(Invoices!$A$5:$A$304,MATCH(A309,Invoices!$E$5:$E$304,0)),""))</f>
        <v>0</v>
      </c>
      <c r="AU309" s="49">
        <f>IF(A309="","",IF(AT309="","Not invoiced",IFERROR(INDEX(Invoices!$U$5:$U$304,MATCH(AT309,Invoices!$A$5:$A$304,0)),"")))</f>
        <v>0</v>
      </c>
      <c r="AY309" s="28">
        <f>IF(I309="","",TEXT(I309,"yyyy-mm"))</f>
        <v>0</v>
      </c>
      <c r="AZ309" s="49">
        <f>IF(I309="","",IF(AM309="Cancelled","Cancelled",IF(AND(I309&lt;TODAY(),OR(AM309="Pending",AM309="Confirmed",AM309="Enquiry")),"Overdue - update status",IF(AND(AM309="Completed",AS309="No"),"Action - log the visit",IF(I309=TODAY(),"Today",IF(AND(I309&gt;TODAY(),I309-TODAY()&lt;=ReminderLeadDays,AN309&lt;&gt;"Yes"),"Action - unconfirmed",IF(AND(I309&gt;TODAY(),I309-TODAY()&lt;=ReminderLeadDays),"Upcoming","OK")))))))</f>
        <v>0</v>
      </c>
    </row>
    <row r="310" spans="1:52">
      <c r="A310" s="46">
        <f>IF(C310="","",BookingPrefix&amp;TEXT(ROW()-4,"0000"))</f>
        <v>0</v>
      </c>
      <c r="D310" s="28">
        <f>IF(C310="","",IFERROR(INDEX(Clients!$A$5:$A$254,MATCH(C310,Clients!$B$5:$B$254,0)),""))</f>
        <v>0</v>
      </c>
      <c r="J310" s="50">
        <f>IF(I310="","",TEXT(I310,"ddd"))</f>
        <v>0</v>
      </c>
      <c r="M310" s="51">
        <f>IF(OR(K310="",L310=""),"",ROUND((L310-K310+IF(L310&lt;K310,1,0))*24,2))</f>
        <v>0</v>
      </c>
      <c r="O310" s="28">
        <f>IF(H310="","",IFERROR(INDEX(Services!$E$5:$E$54,MATCH(H310,Services!$B$5:$B$54,0)),""))</f>
        <v>0</v>
      </c>
      <c r="P310" s="29">
        <f>IF(H310="","",IFERROR(INDEX(Services!$G$5:$G$54,MATCH(H310,Services!$B$5:$B$54,0)),0))</f>
        <v>0</v>
      </c>
      <c r="Q310" s="29">
        <f>IF(H310="","",IF(IFERROR(INDEX(Services!$H$5:$H$54,MATCH(H310,Services!$B$5:$B$54,0)),0)=0,ExtraPetFeeDefault,IFERROR(INDEX(Services!$H$5:$H$54,MATCH(H310,Services!$B$5:$B$54,0)),0)))</f>
        <v>0</v>
      </c>
      <c r="R310" s="30">
        <f>IF(H310="","",IF(IFERROR(INDEX(Services!$I$5:$I$54,MATCH(H310,Services!$B$5:$B$54,0)),0)=0,HolidaySurcharge,IFERROR(INDEX(Services!$I$5:$I$54,MATCH(H310,Services!$B$5:$B$54,0)),0)))</f>
        <v>0</v>
      </c>
      <c r="S310" s="30">
        <f>IF(H310="","",IF(IFERROR(INDEX(Services!$J$5:$J$54,MATCH(H310,Services!$B$5:$B$54,0)),0)=0,WeekendSurcharge,IFERROR(INDEX(Services!$J$5:$J$54,MATCH(H310,Services!$B$5:$B$54,0)),0)))</f>
        <v>0</v>
      </c>
      <c r="T310" s="50">
        <f>IF(H310="","",IFERROR(INDEX(Services!$K$5:$K$54,MATCH(H310,Services!$B$5:$B$54,0)),"No"))</f>
        <v>0</v>
      </c>
      <c r="U310" s="29">
        <f>IF(H310="","",ROUND(IF(O310="Per hour",P310*IF(M310="",IF(N310="",1,N310),M310),P310*IF(N310="",1,N310)),2))</f>
        <v>0</v>
      </c>
      <c r="V310" s="29">
        <f>IF(H310="","",ROUND(MAX(0,IF(G310="",1,G310)-1)*Q310,2))</f>
        <v>0</v>
      </c>
      <c r="W310" s="50">
        <f>IF(I310="","",IF(COUNTIF(HolidayDates,I310)&gt;0,"Yes","No"))</f>
        <v>0</v>
      </c>
      <c r="X310" s="50">
        <f>IF(I310="","",IF(WEEKDAY(I310,2)&gt;5,"Yes","No"))</f>
        <v>0</v>
      </c>
      <c r="Y310" s="29">
        <f>IF(H310="","",ROUND((U310+V310)*(IF(W310="Yes",R310,0)+IF(X310="Yes",S310,0)),2))</f>
        <v>0</v>
      </c>
      <c r="AA310" s="29">
        <f>IF(H310="","",IF(T310&lt;&gt;"Yes",0,ROUND(MAX(0,IF(Z310="",0,Z310)-FreeTravelDistance)*TravelFeeRate,2)))</f>
        <v>0</v>
      </c>
      <c r="AB310" s="31">
        <f>IF(I310="","",TravelTimeMins)</f>
        <v>0</v>
      </c>
      <c r="AC310" s="29">
        <f>IF(OR(I310="",B310=""),0,IF(I310-B310&lt;=LastMinuteDays,EmergencyFee,0))</f>
        <v>0</v>
      </c>
      <c r="AF310" s="29">
        <f>IF(H310="","",ROUND((U310+V310+Y310+AA310+AC310)*IF(AE310="",0,AE310),2))</f>
        <v>0</v>
      </c>
      <c r="AI310" s="29">
        <f>IF(H310="","",IF(AG310&lt;&gt;"",AG310,ROUND(U310+V310+Y310+AA310+AC310-AF310,2)))</f>
        <v>0</v>
      </c>
      <c r="AJ310" s="29">
        <f>IF(AI310="","",IF(TaxRegistered&lt;&gt;"Yes",0,IF(PricesIncludeTax="Yes",ROUND(AI310-AI310/(1+TaxRate),2),ROUND(AI310*TaxRate,2))))</f>
        <v>0</v>
      </c>
      <c r="AK310" s="29">
        <f>IF(AI310="","",IF(PricesIncludeTax="Yes",AI310,ROUND(AI310+AJ310,2)))</f>
        <v>0</v>
      </c>
      <c r="AQ310" s="21">
        <f>IF(OR(I310="",AP310="",AP310="None"),"",IF(AP310="Monthly",EDATE(I310,1),I310+IF(AP310="Daily",1,IF(AP310="Weekdays",IF(WEEKDAY(I310,2)&gt;=5,8-WEEKDAY(I310,2),1),IF(AP310="Weekly",7,IF(AP310="Fortnightly",14,0))))))</f>
        <v>0</v>
      </c>
      <c r="AR310" s="49">
        <f>IF(OR(I310="",AL310="",K310="",L310=""),"",IF(SUMPRODUCT((Bookings!$AL$5:$AL$404=AL310)*(Bookings!$I$5:$I$404=I310)*(Bookings!$K$5:$K$404&lt;L310)*(Bookings!$L$5:$L$404&gt;K310)*(Bookings!$AM$5:$AM$404&lt;&gt;"Cancelled"))&gt;1,"Conflict - double booked","OK"))</f>
        <v>0</v>
      </c>
      <c r="AS310" s="50">
        <f>IF(A310="","",IF(COUNTIF('Visit Log'!$B$5:$B$404,A310)&gt;0,"Yes","No"))</f>
        <v>0</v>
      </c>
      <c r="AT310" s="28">
        <f>IF(A310="","",IFERROR(INDEX(Invoices!$A$5:$A$304,MATCH(A310,Invoices!$E$5:$E$304,0)),""))</f>
        <v>0</v>
      </c>
      <c r="AU310" s="49">
        <f>IF(A310="","",IF(AT310="","Not invoiced",IFERROR(INDEX(Invoices!$U$5:$U$304,MATCH(AT310,Invoices!$A$5:$A$304,0)),"")))</f>
        <v>0</v>
      </c>
      <c r="AY310" s="28">
        <f>IF(I310="","",TEXT(I310,"yyyy-mm"))</f>
        <v>0</v>
      </c>
      <c r="AZ310" s="49">
        <f>IF(I310="","",IF(AM310="Cancelled","Cancelled",IF(AND(I310&lt;TODAY(),OR(AM310="Pending",AM310="Confirmed",AM310="Enquiry")),"Overdue - update status",IF(AND(AM310="Completed",AS310="No"),"Action - log the visit",IF(I310=TODAY(),"Today",IF(AND(I310&gt;TODAY(),I310-TODAY()&lt;=ReminderLeadDays,AN310&lt;&gt;"Yes"),"Action - unconfirmed",IF(AND(I310&gt;TODAY(),I310-TODAY()&lt;=ReminderLeadDays),"Upcoming","OK")))))))</f>
        <v>0</v>
      </c>
    </row>
    <row r="311" spans="1:52">
      <c r="A311" s="46">
        <f>IF(C311="","",BookingPrefix&amp;TEXT(ROW()-4,"0000"))</f>
        <v>0</v>
      </c>
      <c r="D311" s="28">
        <f>IF(C311="","",IFERROR(INDEX(Clients!$A$5:$A$254,MATCH(C311,Clients!$B$5:$B$254,0)),""))</f>
        <v>0</v>
      </c>
      <c r="J311" s="50">
        <f>IF(I311="","",TEXT(I311,"ddd"))</f>
        <v>0</v>
      </c>
      <c r="M311" s="51">
        <f>IF(OR(K311="",L311=""),"",ROUND((L311-K311+IF(L311&lt;K311,1,0))*24,2))</f>
        <v>0</v>
      </c>
      <c r="O311" s="28">
        <f>IF(H311="","",IFERROR(INDEX(Services!$E$5:$E$54,MATCH(H311,Services!$B$5:$B$54,0)),""))</f>
        <v>0</v>
      </c>
      <c r="P311" s="29">
        <f>IF(H311="","",IFERROR(INDEX(Services!$G$5:$G$54,MATCH(H311,Services!$B$5:$B$54,0)),0))</f>
        <v>0</v>
      </c>
      <c r="Q311" s="29">
        <f>IF(H311="","",IF(IFERROR(INDEX(Services!$H$5:$H$54,MATCH(H311,Services!$B$5:$B$54,0)),0)=0,ExtraPetFeeDefault,IFERROR(INDEX(Services!$H$5:$H$54,MATCH(H311,Services!$B$5:$B$54,0)),0)))</f>
        <v>0</v>
      </c>
      <c r="R311" s="30">
        <f>IF(H311="","",IF(IFERROR(INDEX(Services!$I$5:$I$54,MATCH(H311,Services!$B$5:$B$54,0)),0)=0,HolidaySurcharge,IFERROR(INDEX(Services!$I$5:$I$54,MATCH(H311,Services!$B$5:$B$54,0)),0)))</f>
        <v>0</v>
      </c>
      <c r="S311" s="30">
        <f>IF(H311="","",IF(IFERROR(INDEX(Services!$J$5:$J$54,MATCH(H311,Services!$B$5:$B$54,0)),0)=0,WeekendSurcharge,IFERROR(INDEX(Services!$J$5:$J$54,MATCH(H311,Services!$B$5:$B$54,0)),0)))</f>
        <v>0</v>
      </c>
      <c r="T311" s="50">
        <f>IF(H311="","",IFERROR(INDEX(Services!$K$5:$K$54,MATCH(H311,Services!$B$5:$B$54,0)),"No"))</f>
        <v>0</v>
      </c>
      <c r="U311" s="29">
        <f>IF(H311="","",ROUND(IF(O311="Per hour",P311*IF(M311="",IF(N311="",1,N311),M311),P311*IF(N311="",1,N311)),2))</f>
        <v>0</v>
      </c>
      <c r="V311" s="29">
        <f>IF(H311="","",ROUND(MAX(0,IF(G311="",1,G311)-1)*Q311,2))</f>
        <v>0</v>
      </c>
      <c r="W311" s="50">
        <f>IF(I311="","",IF(COUNTIF(HolidayDates,I311)&gt;0,"Yes","No"))</f>
        <v>0</v>
      </c>
      <c r="X311" s="50">
        <f>IF(I311="","",IF(WEEKDAY(I311,2)&gt;5,"Yes","No"))</f>
        <v>0</v>
      </c>
      <c r="Y311" s="29">
        <f>IF(H311="","",ROUND((U311+V311)*(IF(W311="Yes",R311,0)+IF(X311="Yes",S311,0)),2))</f>
        <v>0</v>
      </c>
      <c r="AA311" s="29">
        <f>IF(H311="","",IF(T311&lt;&gt;"Yes",0,ROUND(MAX(0,IF(Z311="",0,Z311)-FreeTravelDistance)*TravelFeeRate,2)))</f>
        <v>0</v>
      </c>
      <c r="AB311" s="31">
        <f>IF(I311="","",TravelTimeMins)</f>
        <v>0</v>
      </c>
      <c r="AC311" s="29">
        <f>IF(OR(I311="",B311=""),0,IF(I311-B311&lt;=LastMinuteDays,EmergencyFee,0))</f>
        <v>0</v>
      </c>
      <c r="AF311" s="29">
        <f>IF(H311="","",ROUND((U311+V311+Y311+AA311+AC311)*IF(AE311="",0,AE311),2))</f>
        <v>0</v>
      </c>
      <c r="AI311" s="29">
        <f>IF(H311="","",IF(AG311&lt;&gt;"",AG311,ROUND(U311+V311+Y311+AA311+AC311-AF311,2)))</f>
        <v>0</v>
      </c>
      <c r="AJ311" s="29">
        <f>IF(AI311="","",IF(TaxRegistered&lt;&gt;"Yes",0,IF(PricesIncludeTax="Yes",ROUND(AI311-AI311/(1+TaxRate),2),ROUND(AI311*TaxRate,2))))</f>
        <v>0</v>
      </c>
      <c r="AK311" s="29">
        <f>IF(AI311="","",IF(PricesIncludeTax="Yes",AI311,ROUND(AI311+AJ311,2)))</f>
        <v>0</v>
      </c>
      <c r="AQ311" s="21">
        <f>IF(OR(I311="",AP311="",AP311="None"),"",IF(AP311="Monthly",EDATE(I311,1),I311+IF(AP311="Daily",1,IF(AP311="Weekdays",IF(WEEKDAY(I311,2)&gt;=5,8-WEEKDAY(I311,2),1),IF(AP311="Weekly",7,IF(AP311="Fortnightly",14,0))))))</f>
        <v>0</v>
      </c>
      <c r="AR311" s="49">
        <f>IF(OR(I311="",AL311="",K311="",L311=""),"",IF(SUMPRODUCT((Bookings!$AL$5:$AL$404=AL311)*(Bookings!$I$5:$I$404=I311)*(Bookings!$K$5:$K$404&lt;L311)*(Bookings!$L$5:$L$404&gt;K311)*(Bookings!$AM$5:$AM$404&lt;&gt;"Cancelled"))&gt;1,"Conflict - double booked","OK"))</f>
        <v>0</v>
      </c>
      <c r="AS311" s="50">
        <f>IF(A311="","",IF(COUNTIF('Visit Log'!$B$5:$B$404,A311)&gt;0,"Yes","No"))</f>
        <v>0</v>
      </c>
      <c r="AT311" s="28">
        <f>IF(A311="","",IFERROR(INDEX(Invoices!$A$5:$A$304,MATCH(A311,Invoices!$E$5:$E$304,0)),""))</f>
        <v>0</v>
      </c>
      <c r="AU311" s="49">
        <f>IF(A311="","",IF(AT311="","Not invoiced",IFERROR(INDEX(Invoices!$U$5:$U$304,MATCH(AT311,Invoices!$A$5:$A$304,0)),"")))</f>
        <v>0</v>
      </c>
      <c r="AY311" s="28">
        <f>IF(I311="","",TEXT(I311,"yyyy-mm"))</f>
        <v>0</v>
      </c>
      <c r="AZ311" s="49">
        <f>IF(I311="","",IF(AM311="Cancelled","Cancelled",IF(AND(I311&lt;TODAY(),OR(AM311="Pending",AM311="Confirmed",AM311="Enquiry")),"Overdue - update status",IF(AND(AM311="Completed",AS311="No"),"Action - log the visit",IF(I311=TODAY(),"Today",IF(AND(I311&gt;TODAY(),I311-TODAY()&lt;=ReminderLeadDays,AN311&lt;&gt;"Yes"),"Action - unconfirmed",IF(AND(I311&gt;TODAY(),I311-TODAY()&lt;=ReminderLeadDays),"Upcoming","OK")))))))</f>
        <v>0</v>
      </c>
    </row>
    <row r="312" spans="1:52">
      <c r="A312" s="46">
        <f>IF(C312="","",BookingPrefix&amp;TEXT(ROW()-4,"0000"))</f>
        <v>0</v>
      </c>
      <c r="D312" s="28">
        <f>IF(C312="","",IFERROR(INDEX(Clients!$A$5:$A$254,MATCH(C312,Clients!$B$5:$B$254,0)),""))</f>
        <v>0</v>
      </c>
      <c r="J312" s="50">
        <f>IF(I312="","",TEXT(I312,"ddd"))</f>
        <v>0</v>
      </c>
      <c r="M312" s="51">
        <f>IF(OR(K312="",L312=""),"",ROUND((L312-K312+IF(L312&lt;K312,1,0))*24,2))</f>
        <v>0</v>
      </c>
      <c r="O312" s="28">
        <f>IF(H312="","",IFERROR(INDEX(Services!$E$5:$E$54,MATCH(H312,Services!$B$5:$B$54,0)),""))</f>
        <v>0</v>
      </c>
      <c r="P312" s="29">
        <f>IF(H312="","",IFERROR(INDEX(Services!$G$5:$G$54,MATCH(H312,Services!$B$5:$B$54,0)),0))</f>
        <v>0</v>
      </c>
      <c r="Q312" s="29">
        <f>IF(H312="","",IF(IFERROR(INDEX(Services!$H$5:$H$54,MATCH(H312,Services!$B$5:$B$54,0)),0)=0,ExtraPetFeeDefault,IFERROR(INDEX(Services!$H$5:$H$54,MATCH(H312,Services!$B$5:$B$54,0)),0)))</f>
        <v>0</v>
      </c>
      <c r="R312" s="30">
        <f>IF(H312="","",IF(IFERROR(INDEX(Services!$I$5:$I$54,MATCH(H312,Services!$B$5:$B$54,0)),0)=0,HolidaySurcharge,IFERROR(INDEX(Services!$I$5:$I$54,MATCH(H312,Services!$B$5:$B$54,0)),0)))</f>
        <v>0</v>
      </c>
      <c r="S312" s="30">
        <f>IF(H312="","",IF(IFERROR(INDEX(Services!$J$5:$J$54,MATCH(H312,Services!$B$5:$B$54,0)),0)=0,WeekendSurcharge,IFERROR(INDEX(Services!$J$5:$J$54,MATCH(H312,Services!$B$5:$B$54,0)),0)))</f>
        <v>0</v>
      </c>
      <c r="T312" s="50">
        <f>IF(H312="","",IFERROR(INDEX(Services!$K$5:$K$54,MATCH(H312,Services!$B$5:$B$54,0)),"No"))</f>
        <v>0</v>
      </c>
      <c r="U312" s="29">
        <f>IF(H312="","",ROUND(IF(O312="Per hour",P312*IF(M312="",IF(N312="",1,N312),M312),P312*IF(N312="",1,N312)),2))</f>
        <v>0</v>
      </c>
      <c r="V312" s="29">
        <f>IF(H312="","",ROUND(MAX(0,IF(G312="",1,G312)-1)*Q312,2))</f>
        <v>0</v>
      </c>
      <c r="W312" s="50">
        <f>IF(I312="","",IF(COUNTIF(HolidayDates,I312)&gt;0,"Yes","No"))</f>
        <v>0</v>
      </c>
      <c r="X312" s="50">
        <f>IF(I312="","",IF(WEEKDAY(I312,2)&gt;5,"Yes","No"))</f>
        <v>0</v>
      </c>
      <c r="Y312" s="29">
        <f>IF(H312="","",ROUND((U312+V312)*(IF(W312="Yes",R312,0)+IF(X312="Yes",S312,0)),2))</f>
        <v>0</v>
      </c>
      <c r="AA312" s="29">
        <f>IF(H312="","",IF(T312&lt;&gt;"Yes",0,ROUND(MAX(0,IF(Z312="",0,Z312)-FreeTravelDistance)*TravelFeeRate,2)))</f>
        <v>0</v>
      </c>
      <c r="AB312" s="31">
        <f>IF(I312="","",TravelTimeMins)</f>
        <v>0</v>
      </c>
      <c r="AC312" s="29">
        <f>IF(OR(I312="",B312=""),0,IF(I312-B312&lt;=LastMinuteDays,EmergencyFee,0))</f>
        <v>0</v>
      </c>
      <c r="AF312" s="29">
        <f>IF(H312="","",ROUND((U312+V312+Y312+AA312+AC312)*IF(AE312="",0,AE312),2))</f>
        <v>0</v>
      </c>
      <c r="AI312" s="29">
        <f>IF(H312="","",IF(AG312&lt;&gt;"",AG312,ROUND(U312+V312+Y312+AA312+AC312-AF312,2)))</f>
        <v>0</v>
      </c>
      <c r="AJ312" s="29">
        <f>IF(AI312="","",IF(TaxRegistered&lt;&gt;"Yes",0,IF(PricesIncludeTax="Yes",ROUND(AI312-AI312/(1+TaxRate),2),ROUND(AI312*TaxRate,2))))</f>
        <v>0</v>
      </c>
      <c r="AK312" s="29">
        <f>IF(AI312="","",IF(PricesIncludeTax="Yes",AI312,ROUND(AI312+AJ312,2)))</f>
        <v>0</v>
      </c>
      <c r="AQ312" s="21">
        <f>IF(OR(I312="",AP312="",AP312="None"),"",IF(AP312="Monthly",EDATE(I312,1),I312+IF(AP312="Daily",1,IF(AP312="Weekdays",IF(WEEKDAY(I312,2)&gt;=5,8-WEEKDAY(I312,2),1),IF(AP312="Weekly",7,IF(AP312="Fortnightly",14,0))))))</f>
        <v>0</v>
      </c>
      <c r="AR312" s="49">
        <f>IF(OR(I312="",AL312="",K312="",L312=""),"",IF(SUMPRODUCT((Bookings!$AL$5:$AL$404=AL312)*(Bookings!$I$5:$I$404=I312)*(Bookings!$K$5:$K$404&lt;L312)*(Bookings!$L$5:$L$404&gt;K312)*(Bookings!$AM$5:$AM$404&lt;&gt;"Cancelled"))&gt;1,"Conflict - double booked","OK"))</f>
        <v>0</v>
      </c>
      <c r="AS312" s="50">
        <f>IF(A312="","",IF(COUNTIF('Visit Log'!$B$5:$B$404,A312)&gt;0,"Yes","No"))</f>
        <v>0</v>
      </c>
      <c r="AT312" s="28">
        <f>IF(A312="","",IFERROR(INDEX(Invoices!$A$5:$A$304,MATCH(A312,Invoices!$E$5:$E$304,0)),""))</f>
        <v>0</v>
      </c>
      <c r="AU312" s="49">
        <f>IF(A312="","",IF(AT312="","Not invoiced",IFERROR(INDEX(Invoices!$U$5:$U$304,MATCH(AT312,Invoices!$A$5:$A$304,0)),"")))</f>
        <v>0</v>
      </c>
      <c r="AY312" s="28">
        <f>IF(I312="","",TEXT(I312,"yyyy-mm"))</f>
        <v>0</v>
      </c>
      <c r="AZ312" s="49">
        <f>IF(I312="","",IF(AM312="Cancelled","Cancelled",IF(AND(I312&lt;TODAY(),OR(AM312="Pending",AM312="Confirmed",AM312="Enquiry")),"Overdue - update status",IF(AND(AM312="Completed",AS312="No"),"Action - log the visit",IF(I312=TODAY(),"Today",IF(AND(I312&gt;TODAY(),I312-TODAY()&lt;=ReminderLeadDays,AN312&lt;&gt;"Yes"),"Action - unconfirmed",IF(AND(I312&gt;TODAY(),I312-TODAY()&lt;=ReminderLeadDays),"Upcoming","OK")))))))</f>
        <v>0</v>
      </c>
    </row>
    <row r="313" spans="1:52">
      <c r="A313" s="46">
        <f>IF(C313="","",BookingPrefix&amp;TEXT(ROW()-4,"0000"))</f>
        <v>0</v>
      </c>
      <c r="D313" s="28">
        <f>IF(C313="","",IFERROR(INDEX(Clients!$A$5:$A$254,MATCH(C313,Clients!$B$5:$B$254,0)),""))</f>
        <v>0</v>
      </c>
      <c r="J313" s="50">
        <f>IF(I313="","",TEXT(I313,"ddd"))</f>
        <v>0</v>
      </c>
      <c r="M313" s="51">
        <f>IF(OR(K313="",L313=""),"",ROUND((L313-K313+IF(L313&lt;K313,1,0))*24,2))</f>
        <v>0</v>
      </c>
      <c r="O313" s="28">
        <f>IF(H313="","",IFERROR(INDEX(Services!$E$5:$E$54,MATCH(H313,Services!$B$5:$B$54,0)),""))</f>
        <v>0</v>
      </c>
      <c r="P313" s="29">
        <f>IF(H313="","",IFERROR(INDEX(Services!$G$5:$G$54,MATCH(H313,Services!$B$5:$B$54,0)),0))</f>
        <v>0</v>
      </c>
      <c r="Q313" s="29">
        <f>IF(H313="","",IF(IFERROR(INDEX(Services!$H$5:$H$54,MATCH(H313,Services!$B$5:$B$54,0)),0)=0,ExtraPetFeeDefault,IFERROR(INDEX(Services!$H$5:$H$54,MATCH(H313,Services!$B$5:$B$54,0)),0)))</f>
        <v>0</v>
      </c>
      <c r="R313" s="30">
        <f>IF(H313="","",IF(IFERROR(INDEX(Services!$I$5:$I$54,MATCH(H313,Services!$B$5:$B$54,0)),0)=0,HolidaySurcharge,IFERROR(INDEX(Services!$I$5:$I$54,MATCH(H313,Services!$B$5:$B$54,0)),0)))</f>
        <v>0</v>
      </c>
      <c r="S313" s="30">
        <f>IF(H313="","",IF(IFERROR(INDEX(Services!$J$5:$J$54,MATCH(H313,Services!$B$5:$B$54,0)),0)=0,WeekendSurcharge,IFERROR(INDEX(Services!$J$5:$J$54,MATCH(H313,Services!$B$5:$B$54,0)),0)))</f>
        <v>0</v>
      </c>
      <c r="T313" s="50">
        <f>IF(H313="","",IFERROR(INDEX(Services!$K$5:$K$54,MATCH(H313,Services!$B$5:$B$54,0)),"No"))</f>
        <v>0</v>
      </c>
      <c r="U313" s="29">
        <f>IF(H313="","",ROUND(IF(O313="Per hour",P313*IF(M313="",IF(N313="",1,N313),M313),P313*IF(N313="",1,N313)),2))</f>
        <v>0</v>
      </c>
      <c r="V313" s="29">
        <f>IF(H313="","",ROUND(MAX(0,IF(G313="",1,G313)-1)*Q313,2))</f>
        <v>0</v>
      </c>
      <c r="W313" s="50">
        <f>IF(I313="","",IF(COUNTIF(HolidayDates,I313)&gt;0,"Yes","No"))</f>
        <v>0</v>
      </c>
      <c r="X313" s="50">
        <f>IF(I313="","",IF(WEEKDAY(I313,2)&gt;5,"Yes","No"))</f>
        <v>0</v>
      </c>
      <c r="Y313" s="29">
        <f>IF(H313="","",ROUND((U313+V313)*(IF(W313="Yes",R313,0)+IF(X313="Yes",S313,0)),2))</f>
        <v>0</v>
      </c>
      <c r="AA313" s="29">
        <f>IF(H313="","",IF(T313&lt;&gt;"Yes",0,ROUND(MAX(0,IF(Z313="",0,Z313)-FreeTravelDistance)*TravelFeeRate,2)))</f>
        <v>0</v>
      </c>
      <c r="AB313" s="31">
        <f>IF(I313="","",TravelTimeMins)</f>
        <v>0</v>
      </c>
      <c r="AC313" s="29">
        <f>IF(OR(I313="",B313=""),0,IF(I313-B313&lt;=LastMinuteDays,EmergencyFee,0))</f>
        <v>0</v>
      </c>
      <c r="AF313" s="29">
        <f>IF(H313="","",ROUND((U313+V313+Y313+AA313+AC313)*IF(AE313="",0,AE313),2))</f>
        <v>0</v>
      </c>
      <c r="AI313" s="29">
        <f>IF(H313="","",IF(AG313&lt;&gt;"",AG313,ROUND(U313+V313+Y313+AA313+AC313-AF313,2)))</f>
        <v>0</v>
      </c>
      <c r="AJ313" s="29">
        <f>IF(AI313="","",IF(TaxRegistered&lt;&gt;"Yes",0,IF(PricesIncludeTax="Yes",ROUND(AI313-AI313/(1+TaxRate),2),ROUND(AI313*TaxRate,2))))</f>
        <v>0</v>
      </c>
      <c r="AK313" s="29">
        <f>IF(AI313="","",IF(PricesIncludeTax="Yes",AI313,ROUND(AI313+AJ313,2)))</f>
        <v>0</v>
      </c>
      <c r="AQ313" s="21">
        <f>IF(OR(I313="",AP313="",AP313="None"),"",IF(AP313="Monthly",EDATE(I313,1),I313+IF(AP313="Daily",1,IF(AP313="Weekdays",IF(WEEKDAY(I313,2)&gt;=5,8-WEEKDAY(I313,2),1),IF(AP313="Weekly",7,IF(AP313="Fortnightly",14,0))))))</f>
        <v>0</v>
      </c>
      <c r="AR313" s="49">
        <f>IF(OR(I313="",AL313="",K313="",L313=""),"",IF(SUMPRODUCT((Bookings!$AL$5:$AL$404=AL313)*(Bookings!$I$5:$I$404=I313)*(Bookings!$K$5:$K$404&lt;L313)*(Bookings!$L$5:$L$404&gt;K313)*(Bookings!$AM$5:$AM$404&lt;&gt;"Cancelled"))&gt;1,"Conflict - double booked","OK"))</f>
        <v>0</v>
      </c>
      <c r="AS313" s="50">
        <f>IF(A313="","",IF(COUNTIF('Visit Log'!$B$5:$B$404,A313)&gt;0,"Yes","No"))</f>
        <v>0</v>
      </c>
      <c r="AT313" s="28">
        <f>IF(A313="","",IFERROR(INDEX(Invoices!$A$5:$A$304,MATCH(A313,Invoices!$E$5:$E$304,0)),""))</f>
        <v>0</v>
      </c>
      <c r="AU313" s="49">
        <f>IF(A313="","",IF(AT313="","Not invoiced",IFERROR(INDEX(Invoices!$U$5:$U$304,MATCH(AT313,Invoices!$A$5:$A$304,0)),"")))</f>
        <v>0</v>
      </c>
      <c r="AY313" s="28">
        <f>IF(I313="","",TEXT(I313,"yyyy-mm"))</f>
        <v>0</v>
      </c>
      <c r="AZ313" s="49">
        <f>IF(I313="","",IF(AM313="Cancelled","Cancelled",IF(AND(I313&lt;TODAY(),OR(AM313="Pending",AM313="Confirmed",AM313="Enquiry")),"Overdue - update status",IF(AND(AM313="Completed",AS313="No"),"Action - log the visit",IF(I313=TODAY(),"Today",IF(AND(I313&gt;TODAY(),I313-TODAY()&lt;=ReminderLeadDays,AN313&lt;&gt;"Yes"),"Action - unconfirmed",IF(AND(I313&gt;TODAY(),I313-TODAY()&lt;=ReminderLeadDays),"Upcoming","OK")))))))</f>
        <v>0</v>
      </c>
    </row>
    <row r="314" spans="1:52">
      <c r="A314" s="46">
        <f>IF(C314="","",BookingPrefix&amp;TEXT(ROW()-4,"0000"))</f>
        <v>0</v>
      </c>
      <c r="D314" s="28">
        <f>IF(C314="","",IFERROR(INDEX(Clients!$A$5:$A$254,MATCH(C314,Clients!$B$5:$B$254,0)),""))</f>
        <v>0</v>
      </c>
      <c r="J314" s="50">
        <f>IF(I314="","",TEXT(I314,"ddd"))</f>
        <v>0</v>
      </c>
      <c r="M314" s="51">
        <f>IF(OR(K314="",L314=""),"",ROUND((L314-K314+IF(L314&lt;K314,1,0))*24,2))</f>
        <v>0</v>
      </c>
      <c r="O314" s="28">
        <f>IF(H314="","",IFERROR(INDEX(Services!$E$5:$E$54,MATCH(H314,Services!$B$5:$B$54,0)),""))</f>
        <v>0</v>
      </c>
      <c r="P314" s="29">
        <f>IF(H314="","",IFERROR(INDEX(Services!$G$5:$G$54,MATCH(H314,Services!$B$5:$B$54,0)),0))</f>
        <v>0</v>
      </c>
      <c r="Q314" s="29">
        <f>IF(H314="","",IF(IFERROR(INDEX(Services!$H$5:$H$54,MATCH(H314,Services!$B$5:$B$54,0)),0)=0,ExtraPetFeeDefault,IFERROR(INDEX(Services!$H$5:$H$54,MATCH(H314,Services!$B$5:$B$54,0)),0)))</f>
        <v>0</v>
      </c>
      <c r="R314" s="30">
        <f>IF(H314="","",IF(IFERROR(INDEX(Services!$I$5:$I$54,MATCH(H314,Services!$B$5:$B$54,0)),0)=0,HolidaySurcharge,IFERROR(INDEX(Services!$I$5:$I$54,MATCH(H314,Services!$B$5:$B$54,0)),0)))</f>
        <v>0</v>
      </c>
      <c r="S314" s="30">
        <f>IF(H314="","",IF(IFERROR(INDEX(Services!$J$5:$J$54,MATCH(H314,Services!$B$5:$B$54,0)),0)=0,WeekendSurcharge,IFERROR(INDEX(Services!$J$5:$J$54,MATCH(H314,Services!$B$5:$B$54,0)),0)))</f>
        <v>0</v>
      </c>
      <c r="T314" s="50">
        <f>IF(H314="","",IFERROR(INDEX(Services!$K$5:$K$54,MATCH(H314,Services!$B$5:$B$54,0)),"No"))</f>
        <v>0</v>
      </c>
      <c r="U314" s="29">
        <f>IF(H314="","",ROUND(IF(O314="Per hour",P314*IF(M314="",IF(N314="",1,N314),M314),P314*IF(N314="",1,N314)),2))</f>
        <v>0</v>
      </c>
      <c r="V314" s="29">
        <f>IF(H314="","",ROUND(MAX(0,IF(G314="",1,G314)-1)*Q314,2))</f>
        <v>0</v>
      </c>
      <c r="W314" s="50">
        <f>IF(I314="","",IF(COUNTIF(HolidayDates,I314)&gt;0,"Yes","No"))</f>
        <v>0</v>
      </c>
      <c r="X314" s="50">
        <f>IF(I314="","",IF(WEEKDAY(I314,2)&gt;5,"Yes","No"))</f>
        <v>0</v>
      </c>
      <c r="Y314" s="29">
        <f>IF(H314="","",ROUND((U314+V314)*(IF(W314="Yes",R314,0)+IF(X314="Yes",S314,0)),2))</f>
        <v>0</v>
      </c>
      <c r="AA314" s="29">
        <f>IF(H314="","",IF(T314&lt;&gt;"Yes",0,ROUND(MAX(0,IF(Z314="",0,Z314)-FreeTravelDistance)*TravelFeeRate,2)))</f>
        <v>0</v>
      </c>
      <c r="AB314" s="31">
        <f>IF(I314="","",TravelTimeMins)</f>
        <v>0</v>
      </c>
      <c r="AC314" s="29">
        <f>IF(OR(I314="",B314=""),0,IF(I314-B314&lt;=LastMinuteDays,EmergencyFee,0))</f>
        <v>0</v>
      </c>
      <c r="AF314" s="29">
        <f>IF(H314="","",ROUND((U314+V314+Y314+AA314+AC314)*IF(AE314="",0,AE314),2))</f>
        <v>0</v>
      </c>
      <c r="AI314" s="29">
        <f>IF(H314="","",IF(AG314&lt;&gt;"",AG314,ROUND(U314+V314+Y314+AA314+AC314-AF314,2)))</f>
        <v>0</v>
      </c>
      <c r="AJ314" s="29">
        <f>IF(AI314="","",IF(TaxRegistered&lt;&gt;"Yes",0,IF(PricesIncludeTax="Yes",ROUND(AI314-AI314/(1+TaxRate),2),ROUND(AI314*TaxRate,2))))</f>
        <v>0</v>
      </c>
      <c r="AK314" s="29">
        <f>IF(AI314="","",IF(PricesIncludeTax="Yes",AI314,ROUND(AI314+AJ314,2)))</f>
        <v>0</v>
      </c>
      <c r="AQ314" s="21">
        <f>IF(OR(I314="",AP314="",AP314="None"),"",IF(AP314="Monthly",EDATE(I314,1),I314+IF(AP314="Daily",1,IF(AP314="Weekdays",IF(WEEKDAY(I314,2)&gt;=5,8-WEEKDAY(I314,2),1),IF(AP314="Weekly",7,IF(AP314="Fortnightly",14,0))))))</f>
        <v>0</v>
      </c>
      <c r="AR314" s="49">
        <f>IF(OR(I314="",AL314="",K314="",L314=""),"",IF(SUMPRODUCT((Bookings!$AL$5:$AL$404=AL314)*(Bookings!$I$5:$I$404=I314)*(Bookings!$K$5:$K$404&lt;L314)*(Bookings!$L$5:$L$404&gt;K314)*(Bookings!$AM$5:$AM$404&lt;&gt;"Cancelled"))&gt;1,"Conflict - double booked","OK"))</f>
        <v>0</v>
      </c>
      <c r="AS314" s="50">
        <f>IF(A314="","",IF(COUNTIF('Visit Log'!$B$5:$B$404,A314)&gt;0,"Yes","No"))</f>
        <v>0</v>
      </c>
      <c r="AT314" s="28">
        <f>IF(A314="","",IFERROR(INDEX(Invoices!$A$5:$A$304,MATCH(A314,Invoices!$E$5:$E$304,0)),""))</f>
        <v>0</v>
      </c>
      <c r="AU314" s="49">
        <f>IF(A314="","",IF(AT314="","Not invoiced",IFERROR(INDEX(Invoices!$U$5:$U$304,MATCH(AT314,Invoices!$A$5:$A$304,0)),"")))</f>
        <v>0</v>
      </c>
      <c r="AY314" s="28">
        <f>IF(I314="","",TEXT(I314,"yyyy-mm"))</f>
        <v>0</v>
      </c>
      <c r="AZ314" s="49">
        <f>IF(I314="","",IF(AM314="Cancelled","Cancelled",IF(AND(I314&lt;TODAY(),OR(AM314="Pending",AM314="Confirmed",AM314="Enquiry")),"Overdue - update status",IF(AND(AM314="Completed",AS314="No"),"Action - log the visit",IF(I314=TODAY(),"Today",IF(AND(I314&gt;TODAY(),I314-TODAY()&lt;=ReminderLeadDays,AN314&lt;&gt;"Yes"),"Action - unconfirmed",IF(AND(I314&gt;TODAY(),I314-TODAY()&lt;=ReminderLeadDays),"Upcoming","OK")))))))</f>
        <v>0</v>
      </c>
    </row>
    <row r="315" spans="1:52">
      <c r="A315" s="46">
        <f>IF(C315="","",BookingPrefix&amp;TEXT(ROW()-4,"0000"))</f>
        <v>0</v>
      </c>
      <c r="D315" s="28">
        <f>IF(C315="","",IFERROR(INDEX(Clients!$A$5:$A$254,MATCH(C315,Clients!$B$5:$B$254,0)),""))</f>
        <v>0</v>
      </c>
      <c r="J315" s="50">
        <f>IF(I315="","",TEXT(I315,"ddd"))</f>
        <v>0</v>
      </c>
      <c r="M315" s="51">
        <f>IF(OR(K315="",L315=""),"",ROUND((L315-K315+IF(L315&lt;K315,1,0))*24,2))</f>
        <v>0</v>
      </c>
      <c r="O315" s="28">
        <f>IF(H315="","",IFERROR(INDEX(Services!$E$5:$E$54,MATCH(H315,Services!$B$5:$B$54,0)),""))</f>
        <v>0</v>
      </c>
      <c r="P315" s="29">
        <f>IF(H315="","",IFERROR(INDEX(Services!$G$5:$G$54,MATCH(H315,Services!$B$5:$B$54,0)),0))</f>
        <v>0</v>
      </c>
      <c r="Q315" s="29">
        <f>IF(H315="","",IF(IFERROR(INDEX(Services!$H$5:$H$54,MATCH(H315,Services!$B$5:$B$54,0)),0)=0,ExtraPetFeeDefault,IFERROR(INDEX(Services!$H$5:$H$54,MATCH(H315,Services!$B$5:$B$54,0)),0)))</f>
        <v>0</v>
      </c>
      <c r="R315" s="30">
        <f>IF(H315="","",IF(IFERROR(INDEX(Services!$I$5:$I$54,MATCH(H315,Services!$B$5:$B$54,0)),0)=0,HolidaySurcharge,IFERROR(INDEX(Services!$I$5:$I$54,MATCH(H315,Services!$B$5:$B$54,0)),0)))</f>
        <v>0</v>
      </c>
      <c r="S315" s="30">
        <f>IF(H315="","",IF(IFERROR(INDEX(Services!$J$5:$J$54,MATCH(H315,Services!$B$5:$B$54,0)),0)=0,WeekendSurcharge,IFERROR(INDEX(Services!$J$5:$J$54,MATCH(H315,Services!$B$5:$B$54,0)),0)))</f>
        <v>0</v>
      </c>
      <c r="T315" s="50">
        <f>IF(H315="","",IFERROR(INDEX(Services!$K$5:$K$54,MATCH(H315,Services!$B$5:$B$54,0)),"No"))</f>
        <v>0</v>
      </c>
      <c r="U315" s="29">
        <f>IF(H315="","",ROUND(IF(O315="Per hour",P315*IF(M315="",IF(N315="",1,N315),M315),P315*IF(N315="",1,N315)),2))</f>
        <v>0</v>
      </c>
      <c r="V315" s="29">
        <f>IF(H315="","",ROUND(MAX(0,IF(G315="",1,G315)-1)*Q315,2))</f>
        <v>0</v>
      </c>
      <c r="W315" s="50">
        <f>IF(I315="","",IF(COUNTIF(HolidayDates,I315)&gt;0,"Yes","No"))</f>
        <v>0</v>
      </c>
      <c r="X315" s="50">
        <f>IF(I315="","",IF(WEEKDAY(I315,2)&gt;5,"Yes","No"))</f>
        <v>0</v>
      </c>
      <c r="Y315" s="29">
        <f>IF(H315="","",ROUND((U315+V315)*(IF(W315="Yes",R315,0)+IF(X315="Yes",S315,0)),2))</f>
        <v>0</v>
      </c>
      <c r="AA315" s="29">
        <f>IF(H315="","",IF(T315&lt;&gt;"Yes",0,ROUND(MAX(0,IF(Z315="",0,Z315)-FreeTravelDistance)*TravelFeeRate,2)))</f>
        <v>0</v>
      </c>
      <c r="AB315" s="31">
        <f>IF(I315="","",TravelTimeMins)</f>
        <v>0</v>
      </c>
      <c r="AC315" s="29">
        <f>IF(OR(I315="",B315=""),0,IF(I315-B315&lt;=LastMinuteDays,EmergencyFee,0))</f>
        <v>0</v>
      </c>
      <c r="AF315" s="29">
        <f>IF(H315="","",ROUND((U315+V315+Y315+AA315+AC315)*IF(AE315="",0,AE315),2))</f>
        <v>0</v>
      </c>
      <c r="AI315" s="29">
        <f>IF(H315="","",IF(AG315&lt;&gt;"",AG315,ROUND(U315+V315+Y315+AA315+AC315-AF315,2)))</f>
        <v>0</v>
      </c>
      <c r="AJ315" s="29">
        <f>IF(AI315="","",IF(TaxRegistered&lt;&gt;"Yes",0,IF(PricesIncludeTax="Yes",ROUND(AI315-AI315/(1+TaxRate),2),ROUND(AI315*TaxRate,2))))</f>
        <v>0</v>
      </c>
      <c r="AK315" s="29">
        <f>IF(AI315="","",IF(PricesIncludeTax="Yes",AI315,ROUND(AI315+AJ315,2)))</f>
        <v>0</v>
      </c>
      <c r="AQ315" s="21">
        <f>IF(OR(I315="",AP315="",AP315="None"),"",IF(AP315="Monthly",EDATE(I315,1),I315+IF(AP315="Daily",1,IF(AP315="Weekdays",IF(WEEKDAY(I315,2)&gt;=5,8-WEEKDAY(I315,2),1),IF(AP315="Weekly",7,IF(AP315="Fortnightly",14,0))))))</f>
        <v>0</v>
      </c>
      <c r="AR315" s="49">
        <f>IF(OR(I315="",AL315="",K315="",L315=""),"",IF(SUMPRODUCT((Bookings!$AL$5:$AL$404=AL315)*(Bookings!$I$5:$I$404=I315)*(Bookings!$K$5:$K$404&lt;L315)*(Bookings!$L$5:$L$404&gt;K315)*(Bookings!$AM$5:$AM$404&lt;&gt;"Cancelled"))&gt;1,"Conflict - double booked","OK"))</f>
        <v>0</v>
      </c>
      <c r="AS315" s="50">
        <f>IF(A315="","",IF(COUNTIF('Visit Log'!$B$5:$B$404,A315)&gt;0,"Yes","No"))</f>
        <v>0</v>
      </c>
      <c r="AT315" s="28">
        <f>IF(A315="","",IFERROR(INDEX(Invoices!$A$5:$A$304,MATCH(A315,Invoices!$E$5:$E$304,0)),""))</f>
        <v>0</v>
      </c>
      <c r="AU315" s="49">
        <f>IF(A315="","",IF(AT315="","Not invoiced",IFERROR(INDEX(Invoices!$U$5:$U$304,MATCH(AT315,Invoices!$A$5:$A$304,0)),"")))</f>
        <v>0</v>
      </c>
      <c r="AY315" s="28">
        <f>IF(I315="","",TEXT(I315,"yyyy-mm"))</f>
        <v>0</v>
      </c>
      <c r="AZ315" s="49">
        <f>IF(I315="","",IF(AM315="Cancelled","Cancelled",IF(AND(I315&lt;TODAY(),OR(AM315="Pending",AM315="Confirmed",AM315="Enquiry")),"Overdue - update status",IF(AND(AM315="Completed",AS315="No"),"Action - log the visit",IF(I315=TODAY(),"Today",IF(AND(I315&gt;TODAY(),I315-TODAY()&lt;=ReminderLeadDays,AN315&lt;&gt;"Yes"),"Action - unconfirmed",IF(AND(I315&gt;TODAY(),I315-TODAY()&lt;=ReminderLeadDays),"Upcoming","OK")))))))</f>
        <v>0</v>
      </c>
    </row>
    <row r="316" spans="1:52">
      <c r="A316" s="46">
        <f>IF(C316="","",BookingPrefix&amp;TEXT(ROW()-4,"0000"))</f>
        <v>0</v>
      </c>
      <c r="D316" s="28">
        <f>IF(C316="","",IFERROR(INDEX(Clients!$A$5:$A$254,MATCH(C316,Clients!$B$5:$B$254,0)),""))</f>
        <v>0</v>
      </c>
      <c r="J316" s="50">
        <f>IF(I316="","",TEXT(I316,"ddd"))</f>
        <v>0</v>
      </c>
      <c r="M316" s="51">
        <f>IF(OR(K316="",L316=""),"",ROUND((L316-K316+IF(L316&lt;K316,1,0))*24,2))</f>
        <v>0</v>
      </c>
      <c r="O316" s="28">
        <f>IF(H316="","",IFERROR(INDEX(Services!$E$5:$E$54,MATCH(H316,Services!$B$5:$B$54,0)),""))</f>
        <v>0</v>
      </c>
      <c r="P316" s="29">
        <f>IF(H316="","",IFERROR(INDEX(Services!$G$5:$G$54,MATCH(H316,Services!$B$5:$B$54,0)),0))</f>
        <v>0</v>
      </c>
      <c r="Q316" s="29">
        <f>IF(H316="","",IF(IFERROR(INDEX(Services!$H$5:$H$54,MATCH(H316,Services!$B$5:$B$54,0)),0)=0,ExtraPetFeeDefault,IFERROR(INDEX(Services!$H$5:$H$54,MATCH(H316,Services!$B$5:$B$54,0)),0)))</f>
        <v>0</v>
      </c>
      <c r="R316" s="30">
        <f>IF(H316="","",IF(IFERROR(INDEX(Services!$I$5:$I$54,MATCH(H316,Services!$B$5:$B$54,0)),0)=0,HolidaySurcharge,IFERROR(INDEX(Services!$I$5:$I$54,MATCH(H316,Services!$B$5:$B$54,0)),0)))</f>
        <v>0</v>
      </c>
      <c r="S316" s="30">
        <f>IF(H316="","",IF(IFERROR(INDEX(Services!$J$5:$J$54,MATCH(H316,Services!$B$5:$B$54,0)),0)=0,WeekendSurcharge,IFERROR(INDEX(Services!$J$5:$J$54,MATCH(H316,Services!$B$5:$B$54,0)),0)))</f>
        <v>0</v>
      </c>
      <c r="T316" s="50">
        <f>IF(H316="","",IFERROR(INDEX(Services!$K$5:$K$54,MATCH(H316,Services!$B$5:$B$54,0)),"No"))</f>
        <v>0</v>
      </c>
      <c r="U316" s="29">
        <f>IF(H316="","",ROUND(IF(O316="Per hour",P316*IF(M316="",IF(N316="",1,N316),M316),P316*IF(N316="",1,N316)),2))</f>
        <v>0</v>
      </c>
      <c r="V316" s="29">
        <f>IF(H316="","",ROUND(MAX(0,IF(G316="",1,G316)-1)*Q316,2))</f>
        <v>0</v>
      </c>
      <c r="W316" s="50">
        <f>IF(I316="","",IF(COUNTIF(HolidayDates,I316)&gt;0,"Yes","No"))</f>
        <v>0</v>
      </c>
      <c r="X316" s="50">
        <f>IF(I316="","",IF(WEEKDAY(I316,2)&gt;5,"Yes","No"))</f>
        <v>0</v>
      </c>
      <c r="Y316" s="29">
        <f>IF(H316="","",ROUND((U316+V316)*(IF(W316="Yes",R316,0)+IF(X316="Yes",S316,0)),2))</f>
        <v>0</v>
      </c>
      <c r="AA316" s="29">
        <f>IF(H316="","",IF(T316&lt;&gt;"Yes",0,ROUND(MAX(0,IF(Z316="",0,Z316)-FreeTravelDistance)*TravelFeeRate,2)))</f>
        <v>0</v>
      </c>
      <c r="AB316" s="31">
        <f>IF(I316="","",TravelTimeMins)</f>
        <v>0</v>
      </c>
      <c r="AC316" s="29">
        <f>IF(OR(I316="",B316=""),0,IF(I316-B316&lt;=LastMinuteDays,EmergencyFee,0))</f>
        <v>0</v>
      </c>
      <c r="AF316" s="29">
        <f>IF(H316="","",ROUND((U316+V316+Y316+AA316+AC316)*IF(AE316="",0,AE316),2))</f>
        <v>0</v>
      </c>
      <c r="AI316" s="29">
        <f>IF(H316="","",IF(AG316&lt;&gt;"",AG316,ROUND(U316+V316+Y316+AA316+AC316-AF316,2)))</f>
        <v>0</v>
      </c>
      <c r="AJ316" s="29">
        <f>IF(AI316="","",IF(TaxRegistered&lt;&gt;"Yes",0,IF(PricesIncludeTax="Yes",ROUND(AI316-AI316/(1+TaxRate),2),ROUND(AI316*TaxRate,2))))</f>
        <v>0</v>
      </c>
      <c r="AK316" s="29">
        <f>IF(AI316="","",IF(PricesIncludeTax="Yes",AI316,ROUND(AI316+AJ316,2)))</f>
        <v>0</v>
      </c>
      <c r="AQ316" s="21">
        <f>IF(OR(I316="",AP316="",AP316="None"),"",IF(AP316="Monthly",EDATE(I316,1),I316+IF(AP316="Daily",1,IF(AP316="Weekdays",IF(WEEKDAY(I316,2)&gt;=5,8-WEEKDAY(I316,2),1),IF(AP316="Weekly",7,IF(AP316="Fortnightly",14,0))))))</f>
        <v>0</v>
      </c>
      <c r="AR316" s="49">
        <f>IF(OR(I316="",AL316="",K316="",L316=""),"",IF(SUMPRODUCT((Bookings!$AL$5:$AL$404=AL316)*(Bookings!$I$5:$I$404=I316)*(Bookings!$K$5:$K$404&lt;L316)*(Bookings!$L$5:$L$404&gt;K316)*(Bookings!$AM$5:$AM$404&lt;&gt;"Cancelled"))&gt;1,"Conflict - double booked","OK"))</f>
        <v>0</v>
      </c>
      <c r="AS316" s="50">
        <f>IF(A316="","",IF(COUNTIF('Visit Log'!$B$5:$B$404,A316)&gt;0,"Yes","No"))</f>
        <v>0</v>
      </c>
      <c r="AT316" s="28">
        <f>IF(A316="","",IFERROR(INDEX(Invoices!$A$5:$A$304,MATCH(A316,Invoices!$E$5:$E$304,0)),""))</f>
        <v>0</v>
      </c>
      <c r="AU316" s="49">
        <f>IF(A316="","",IF(AT316="","Not invoiced",IFERROR(INDEX(Invoices!$U$5:$U$304,MATCH(AT316,Invoices!$A$5:$A$304,0)),"")))</f>
        <v>0</v>
      </c>
      <c r="AY316" s="28">
        <f>IF(I316="","",TEXT(I316,"yyyy-mm"))</f>
        <v>0</v>
      </c>
      <c r="AZ316" s="49">
        <f>IF(I316="","",IF(AM316="Cancelled","Cancelled",IF(AND(I316&lt;TODAY(),OR(AM316="Pending",AM316="Confirmed",AM316="Enquiry")),"Overdue - update status",IF(AND(AM316="Completed",AS316="No"),"Action - log the visit",IF(I316=TODAY(),"Today",IF(AND(I316&gt;TODAY(),I316-TODAY()&lt;=ReminderLeadDays,AN316&lt;&gt;"Yes"),"Action - unconfirmed",IF(AND(I316&gt;TODAY(),I316-TODAY()&lt;=ReminderLeadDays),"Upcoming","OK")))))))</f>
        <v>0</v>
      </c>
    </row>
    <row r="317" spans="1:52">
      <c r="A317" s="46">
        <f>IF(C317="","",BookingPrefix&amp;TEXT(ROW()-4,"0000"))</f>
        <v>0</v>
      </c>
      <c r="D317" s="28">
        <f>IF(C317="","",IFERROR(INDEX(Clients!$A$5:$A$254,MATCH(C317,Clients!$B$5:$B$254,0)),""))</f>
        <v>0</v>
      </c>
      <c r="J317" s="50">
        <f>IF(I317="","",TEXT(I317,"ddd"))</f>
        <v>0</v>
      </c>
      <c r="M317" s="51">
        <f>IF(OR(K317="",L317=""),"",ROUND((L317-K317+IF(L317&lt;K317,1,0))*24,2))</f>
        <v>0</v>
      </c>
      <c r="O317" s="28">
        <f>IF(H317="","",IFERROR(INDEX(Services!$E$5:$E$54,MATCH(H317,Services!$B$5:$B$54,0)),""))</f>
        <v>0</v>
      </c>
      <c r="P317" s="29">
        <f>IF(H317="","",IFERROR(INDEX(Services!$G$5:$G$54,MATCH(H317,Services!$B$5:$B$54,0)),0))</f>
        <v>0</v>
      </c>
      <c r="Q317" s="29">
        <f>IF(H317="","",IF(IFERROR(INDEX(Services!$H$5:$H$54,MATCH(H317,Services!$B$5:$B$54,0)),0)=0,ExtraPetFeeDefault,IFERROR(INDEX(Services!$H$5:$H$54,MATCH(H317,Services!$B$5:$B$54,0)),0)))</f>
        <v>0</v>
      </c>
      <c r="R317" s="30">
        <f>IF(H317="","",IF(IFERROR(INDEX(Services!$I$5:$I$54,MATCH(H317,Services!$B$5:$B$54,0)),0)=0,HolidaySurcharge,IFERROR(INDEX(Services!$I$5:$I$54,MATCH(H317,Services!$B$5:$B$54,0)),0)))</f>
        <v>0</v>
      </c>
      <c r="S317" s="30">
        <f>IF(H317="","",IF(IFERROR(INDEX(Services!$J$5:$J$54,MATCH(H317,Services!$B$5:$B$54,0)),0)=0,WeekendSurcharge,IFERROR(INDEX(Services!$J$5:$J$54,MATCH(H317,Services!$B$5:$B$54,0)),0)))</f>
        <v>0</v>
      </c>
      <c r="T317" s="50">
        <f>IF(H317="","",IFERROR(INDEX(Services!$K$5:$K$54,MATCH(H317,Services!$B$5:$B$54,0)),"No"))</f>
        <v>0</v>
      </c>
      <c r="U317" s="29">
        <f>IF(H317="","",ROUND(IF(O317="Per hour",P317*IF(M317="",IF(N317="",1,N317),M317),P317*IF(N317="",1,N317)),2))</f>
        <v>0</v>
      </c>
      <c r="V317" s="29">
        <f>IF(H317="","",ROUND(MAX(0,IF(G317="",1,G317)-1)*Q317,2))</f>
        <v>0</v>
      </c>
      <c r="W317" s="50">
        <f>IF(I317="","",IF(COUNTIF(HolidayDates,I317)&gt;0,"Yes","No"))</f>
        <v>0</v>
      </c>
      <c r="X317" s="50">
        <f>IF(I317="","",IF(WEEKDAY(I317,2)&gt;5,"Yes","No"))</f>
        <v>0</v>
      </c>
      <c r="Y317" s="29">
        <f>IF(H317="","",ROUND((U317+V317)*(IF(W317="Yes",R317,0)+IF(X317="Yes",S317,0)),2))</f>
        <v>0</v>
      </c>
      <c r="AA317" s="29">
        <f>IF(H317="","",IF(T317&lt;&gt;"Yes",0,ROUND(MAX(0,IF(Z317="",0,Z317)-FreeTravelDistance)*TravelFeeRate,2)))</f>
        <v>0</v>
      </c>
      <c r="AB317" s="31">
        <f>IF(I317="","",TravelTimeMins)</f>
        <v>0</v>
      </c>
      <c r="AC317" s="29">
        <f>IF(OR(I317="",B317=""),0,IF(I317-B317&lt;=LastMinuteDays,EmergencyFee,0))</f>
        <v>0</v>
      </c>
      <c r="AF317" s="29">
        <f>IF(H317="","",ROUND((U317+V317+Y317+AA317+AC317)*IF(AE317="",0,AE317),2))</f>
        <v>0</v>
      </c>
      <c r="AI317" s="29">
        <f>IF(H317="","",IF(AG317&lt;&gt;"",AG317,ROUND(U317+V317+Y317+AA317+AC317-AF317,2)))</f>
        <v>0</v>
      </c>
      <c r="AJ317" s="29">
        <f>IF(AI317="","",IF(TaxRegistered&lt;&gt;"Yes",0,IF(PricesIncludeTax="Yes",ROUND(AI317-AI317/(1+TaxRate),2),ROUND(AI317*TaxRate,2))))</f>
        <v>0</v>
      </c>
      <c r="AK317" s="29">
        <f>IF(AI317="","",IF(PricesIncludeTax="Yes",AI317,ROUND(AI317+AJ317,2)))</f>
        <v>0</v>
      </c>
      <c r="AQ317" s="21">
        <f>IF(OR(I317="",AP317="",AP317="None"),"",IF(AP317="Monthly",EDATE(I317,1),I317+IF(AP317="Daily",1,IF(AP317="Weekdays",IF(WEEKDAY(I317,2)&gt;=5,8-WEEKDAY(I317,2),1),IF(AP317="Weekly",7,IF(AP317="Fortnightly",14,0))))))</f>
        <v>0</v>
      </c>
      <c r="AR317" s="49">
        <f>IF(OR(I317="",AL317="",K317="",L317=""),"",IF(SUMPRODUCT((Bookings!$AL$5:$AL$404=AL317)*(Bookings!$I$5:$I$404=I317)*(Bookings!$K$5:$K$404&lt;L317)*(Bookings!$L$5:$L$404&gt;K317)*(Bookings!$AM$5:$AM$404&lt;&gt;"Cancelled"))&gt;1,"Conflict - double booked","OK"))</f>
        <v>0</v>
      </c>
      <c r="AS317" s="50">
        <f>IF(A317="","",IF(COUNTIF('Visit Log'!$B$5:$B$404,A317)&gt;0,"Yes","No"))</f>
        <v>0</v>
      </c>
      <c r="AT317" s="28">
        <f>IF(A317="","",IFERROR(INDEX(Invoices!$A$5:$A$304,MATCH(A317,Invoices!$E$5:$E$304,0)),""))</f>
        <v>0</v>
      </c>
      <c r="AU317" s="49">
        <f>IF(A317="","",IF(AT317="","Not invoiced",IFERROR(INDEX(Invoices!$U$5:$U$304,MATCH(AT317,Invoices!$A$5:$A$304,0)),"")))</f>
        <v>0</v>
      </c>
      <c r="AY317" s="28">
        <f>IF(I317="","",TEXT(I317,"yyyy-mm"))</f>
        <v>0</v>
      </c>
      <c r="AZ317" s="49">
        <f>IF(I317="","",IF(AM317="Cancelled","Cancelled",IF(AND(I317&lt;TODAY(),OR(AM317="Pending",AM317="Confirmed",AM317="Enquiry")),"Overdue - update status",IF(AND(AM317="Completed",AS317="No"),"Action - log the visit",IF(I317=TODAY(),"Today",IF(AND(I317&gt;TODAY(),I317-TODAY()&lt;=ReminderLeadDays,AN317&lt;&gt;"Yes"),"Action - unconfirmed",IF(AND(I317&gt;TODAY(),I317-TODAY()&lt;=ReminderLeadDays),"Upcoming","OK")))))))</f>
        <v>0</v>
      </c>
    </row>
    <row r="318" spans="1:52">
      <c r="A318" s="46">
        <f>IF(C318="","",BookingPrefix&amp;TEXT(ROW()-4,"0000"))</f>
        <v>0</v>
      </c>
      <c r="D318" s="28">
        <f>IF(C318="","",IFERROR(INDEX(Clients!$A$5:$A$254,MATCH(C318,Clients!$B$5:$B$254,0)),""))</f>
        <v>0</v>
      </c>
      <c r="J318" s="50">
        <f>IF(I318="","",TEXT(I318,"ddd"))</f>
        <v>0</v>
      </c>
      <c r="M318" s="51">
        <f>IF(OR(K318="",L318=""),"",ROUND((L318-K318+IF(L318&lt;K318,1,0))*24,2))</f>
        <v>0</v>
      </c>
      <c r="O318" s="28">
        <f>IF(H318="","",IFERROR(INDEX(Services!$E$5:$E$54,MATCH(H318,Services!$B$5:$B$54,0)),""))</f>
        <v>0</v>
      </c>
      <c r="P318" s="29">
        <f>IF(H318="","",IFERROR(INDEX(Services!$G$5:$G$54,MATCH(H318,Services!$B$5:$B$54,0)),0))</f>
        <v>0</v>
      </c>
      <c r="Q318" s="29">
        <f>IF(H318="","",IF(IFERROR(INDEX(Services!$H$5:$H$54,MATCH(H318,Services!$B$5:$B$54,0)),0)=0,ExtraPetFeeDefault,IFERROR(INDEX(Services!$H$5:$H$54,MATCH(H318,Services!$B$5:$B$54,0)),0)))</f>
        <v>0</v>
      </c>
      <c r="R318" s="30">
        <f>IF(H318="","",IF(IFERROR(INDEX(Services!$I$5:$I$54,MATCH(H318,Services!$B$5:$B$54,0)),0)=0,HolidaySurcharge,IFERROR(INDEX(Services!$I$5:$I$54,MATCH(H318,Services!$B$5:$B$54,0)),0)))</f>
        <v>0</v>
      </c>
      <c r="S318" s="30">
        <f>IF(H318="","",IF(IFERROR(INDEX(Services!$J$5:$J$54,MATCH(H318,Services!$B$5:$B$54,0)),0)=0,WeekendSurcharge,IFERROR(INDEX(Services!$J$5:$J$54,MATCH(H318,Services!$B$5:$B$54,0)),0)))</f>
        <v>0</v>
      </c>
      <c r="T318" s="50">
        <f>IF(H318="","",IFERROR(INDEX(Services!$K$5:$K$54,MATCH(H318,Services!$B$5:$B$54,0)),"No"))</f>
        <v>0</v>
      </c>
      <c r="U318" s="29">
        <f>IF(H318="","",ROUND(IF(O318="Per hour",P318*IF(M318="",IF(N318="",1,N318),M318),P318*IF(N318="",1,N318)),2))</f>
        <v>0</v>
      </c>
      <c r="V318" s="29">
        <f>IF(H318="","",ROUND(MAX(0,IF(G318="",1,G318)-1)*Q318,2))</f>
        <v>0</v>
      </c>
      <c r="W318" s="50">
        <f>IF(I318="","",IF(COUNTIF(HolidayDates,I318)&gt;0,"Yes","No"))</f>
        <v>0</v>
      </c>
      <c r="X318" s="50">
        <f>IF(I318="","",IF(WEEKDAY(I318,2)&gt;5,"Yes","No"))</f>
        <v>0</v>
      </c>
      <c r="Y318" s="29">
        <f>IF(H318="","",ROUND((U318+V318)*(IF(W318="Yes",R318,0)+IF(X318="Yes",S318,0)),2))</f>
        <v>0</v>
      </c>
      <c r="AA318" s="29">
        <f>IF(H318="","",IF(T318&lt;&gt;"Yes",0,ROUND(MAX(0,IF(Z318="",0,Z318)-FreeTravelDistance)*TravelFeeRate,2)))</f>
        <v>0</v>
      </c>
      <c r="AB318" s="31">
        <f>IF(I318="","",TravelTimeMins)</f>
        <v>0</v>
      </c>
      <c r="AC318" s="29">
        <f>IF(OR(I318="",B318=""),0,IF(I318-B318&lt;=LastMinuteDays,EmergencyFee,0))</f>
        <v>0</v>
      </c>
      <c r="AF318" s="29">
        <f>IF(H318="","",ROUND((U318+V318+Y318+AA318+AC318)*IF(AE318="",0,AE318),2))</f>
        <v>0</v>
      </c>
      <c r="AI318" s="29">
        <f>IF(H318="","",IF(AG318&lt;&gt;"",AG318,ROUND(U318+V318+Y318+AA318+AC318-AF318,2)))</f>
        <v>0</v>
      </c>
      <c r="AJ318" s="29">
        <f>IF(AI318="","",IF(TaxRegistered&lt;&gt;"Yes",0,IF(PricesIncludeTax="Yes",ROUND(AI318-AI318/(1+TaxRate),2),ROUND(AI318*TaxRate,2))))</f>
        <v>0</v>
      </c>
      <c r="AK318" s="29">
        <f>IF(AI318="","",IF(PricesIncludeTax="Yes",AI318,ROUND(AI318+AJ318,2)))</f>
        <v>0</v>
      </c>
      <c r="AQ318" s="21">
        <f>IF(OR(I318="",AP318="",AP318="None"),"",IF(AP318="Monthly",EDATE(I318,1),I318+IF(AP318="Daily",1,IF(AP318="Weekdays",IF(WEEKDAY(I318,2)&gt;=5,8-WEEKDAY(I318,2),1),IF(AP318="Weekly",7,IF(AP318="Fortnightly",14,0))))))</f>
        <v>0</v>
      </c>
      <c r="AR318" s="49">
        <f>IF(OR(I318="",AL318="",K318="",L318=""),"",IF(SUMPRODUCT((Bookings!$AL$5:$AL$404=AL318)*(Bookings!$I$5:$I$404=I318)*(Bookings!$K$5:$K$404&lt;L318)*(Bookings!$L$5:$L$404&gt;K318)*(Bookings!$AM$5:$AM$404&lt;&gt;"Cancelled"))&gt;1,"Conflict - double booked","OK"))</f>
        <v>0</v>
      </c>
      <c r="AS318" s="50">
        <f>IF(A318="","",IF(COUNTIF('Visit Log'!$B$5:$B$404,A318)&gt;0,"Yes","No"))</f>
        <v>0</v>
      </c>
      <c r="AT318" s="28">
        <f>IF(A318="","",IFERROR(INDEX(Invoices!$A$5:$A$304,MATCH(A318,Invoices!$E$5:$E$304,0)),""))</f>
        <v>0</v>
      </c>
      <c r="AU318" s="49">
        <f>IF(A318="","",IF(AT318="","Not invoiced",IFERROR(INDEX(Invoices!$U$5:$U$304,MATCH(AT318,Invoices!$A$5:$A$304,0)),"")))</f>
        <v>0</v>
      </c>
      <c r="AY318" s="28">
        <f>IF(I318="","",TEXT(I318,"yyyy-mm"))</f>
        <v>0</v>
      </c>
      <c r="AZ318" s="49">
        <f>IF(I318="","",IF(AM318="Cancelled","Cancelled",IF(AND(I318&lt;TODAY(),OR(AM318="Pending",AM318="Confirmed",AM318="Enquiry")),"Overdue - update status",IF(AND(AM318="Completed",AS318="No"),"Action - log the visit",IF(I318=TODAY(),"Today",IF(AND(I318&gt;TODAY(),I318-TODAY()&lt;=ReminderLeadDays,AN318&lt;&gt;"Yes"),"Action - unconfirmed",IF(AND(I318&gt;TODAY(),I318-TODAY()&lt;=ReminderLeadDays),"Upcoming","OK")))))))</f>
        <v>0</v>
      </c>
    </row>
    <row r="319" spans="1:52">
      <c r="A319" s="46">
        <f>IF(C319="","",BookingPrefix&amp;TEXT(ROW()-4,"0000"))</f>
        <v>0</v>
      </c>
      <c r="D319" s="28">
        <f>IF(C319="","",IFERROR(INDEX(Clients!$A$5:$A$254,MATCH(C319,Clients!$B$5:$B$254,0)),""))</f>
        <v>0</v>
      </c>
      <c r="J319" s="50">
        <f>IF(I319="","",TEXT(I319,"ddd"))</f>
        <v>0</v>
      </c>
      <c r="M319" s="51">
        <f>IF(OR(K319="",L319=""),"",ROUND((L319-K319+IF(L319&lt;K319,1,0))*24,2))</f>
        <v>0</v>
      </c>
      <c r="O319" s="28">
        <f>IF(H319="","",IFERROR(INDEX(Services!$E$5:$E$54,MATCH(H319,Services!$B$5:$B$54,0)),""))</f>
        <v>0</v>
      </c>
      <c r="P319" s="29">
        <f>IF(H319="","",IFERROR(INDEX(Services!$G$5:$G$54,MATCH(H319,Services!$B$5:$B$54,0)),0))</f>
        <v>0</v>
      </c>
      <c r="Q319" s="29">
        <f>IF(H319="","",IF(IFERROR(INDEX(Services!$H$5:$H$54,MATCH(H319,Services!$B$5:$B$54,0)),0)=0,ExtraPetFeeDefault,IFERROR(INDEX(Services!$H$5:$H$54,MATCH(H319,Services!$B$5:$B$54,0)),0)))</f>
        <v>0</v>
      </c>
      <c r="R319" s="30">
        <f>IF(H319="","",IF(IFERROR(INDEX(Services!$I$5:$I$54,MATCH(H319,Services!$B$5:$B$54,0)),0)=0,HolidaySurcharge,IFERROR(INDEX(Services!$I$5:$I$54,MATCH(H319,Services!$B$5:$B$54,0)),0)))</f>
        <v>0</v>
      </c>
      <c r="S319" s="30">
        <f>IF(H319="","",IF(IFERROR(INDEX(Services!$J$5:$J$54,MATCH(H319,Services!$B$5:$B$54,0)),0)=0,WeekendSurcharge,IFERROR(INDEX(Services!$J$5:$J$54,MATCH(H319,Services!$B$5:$B$54,0)),0)))</f>
        <v>0</v>
      </c>
      <c r="T319" s="50">
        <f>IF(H319="","",IFERROR(INDEX(Services!$K$5:$K$54,MATCH(H319,Services!$B$5:$B$54,0)),"No"))</f>
        <v>0</v>
      </c>
      <c r="U319" s="29">
        <f>IF(H319="","",ROUND(IF(O319="Per hour",P319*IF(M319="",IF(N319="",1,N319),M319),P319*IF(N319="",1,N319)),2))</f>
        <v>0</v>
      </c>
      <c r="V319" s="29">
        <f>IF(H319="","",ROUND(MAX(0,IF(G319="",1,G319)-1)*Q319,2))</f>
        <v>0</v>
      </c>
      <c r="W319" s="50">
        <f>IF(I319="","",IF(COUNTIF(HolidayDates,I319)&gt;0,"Yes","No"))</f>
        <v>0</v>
      </c>
      <c r="X319" s="50">
        <f>IF(I319="","",IF(WEEKDAY(I319,2)&gt;5,"Yes","No"))</f>
        <v>0</v>
      </c>
      <c r="Y319" s="29">
        <f>IF(H319="","",ROUND((U319+V319)*(IF(W319="Yes",R319,0)+IF(X319="Yes",S319,0)),2))</f>
        <v>0</v>
      </c>
      <c r="AA319" s="29">
        <f>IF(H319="","",IF(T319&lt;&gt;"Yes",0,ROUND(MAX(0,IF(Z319="",0,Z319)-FreeTravelDistance)*TravelFeeRate,2)))</f>
        <v>0</v>
      </c>
      <c r="AB319" s="31">
        <f>IF(I319="","",TravelTimeMins)</f>
        <v>0</v>
      </c>
      <c r="AC319" s="29">
        <f>IF(OR(I319="",B319=""),0,IF(I319-B319&lt;=LastMinuteDays,EmergencyFee,0))</f>
        <v>0</v>
      </c>
      <c r="AF319" s="29">
        <f>IF(H319="","",ROUND((U319+V319+Y319+AA319+AC319)*IF(AE319="",0,AE319),2))</f>
        <v>0</v>
      </c>
      <c r="AI319" s="29">
        <f>IF(H319="","",IF(AG319&lt;&gt;"",AG319,ROUND(U319+V319+Y319+AA319+AC319-AF319,2)))</f>
        <v>0</v>
      </c>
      <c r="AJ319" s="29">
        <f>IF(AI319="","",IF(TaxRegistered&lt;&gt;"Yes",0,IF(PricesIncludeTax="Yes",ROUND(AI319-AI319/(1+TaxRate),2),ROUND(AI319*TaxRate,2))))</f>
        <v>0</v>
      </c>
      <c r="AK319" s="29">
        <f>IF(AI319="","",IF(PricesIncludeTax="Yes",AI319,ROUND(AI319+AJ319,2)))</f>
        <v>0</v>
      </c>
      <c r="AQ319" s="21">
        <f>IF(OR(I319="",AP319="",AP319="None"),"",IF(AP319="Monthly",EDATE(I319,1),I319+IF(AP319="Daily",1,IF(AP319="Weekdays",IF(WEEKDAY(I319,2)&gt;=5,8-WEEKDAY(I319,2),1),IF(AP319="Weekly",7,IF(AP319="Fortnightly",14,0))))))</f>
        <v>0</v>
      </c>
      <c r="AR319" s="49">
        <f>IF(OR(I319="",AL319="",K319="",L319=""),"",IF(SUMPRODUCT((Bookings!$AL$5:$AL$404=AL319)*(Bookings!$I$5:$I$404=I319)*(Bookings!$K$5:$K$404&lt;L319)*(Bookings!$L$5:$L$404&gt;K319)*(Bookings!$AM$5:$AM$404&lt;&gt;"Cancelled"))&gt;1,"Conflict - double booked","OK"))</f>
        <v>0</v>
      </c>
      <c r="AS319" s="50">
        <f>IF(A319="","",IF(COUNTIF('Visit Log'!$B$5:$B$404,A319)&gt;0,"Yes","No"))</f>
        <v>0</v>
      </c>
      <c r="AT319" s="28">
        <f>IF(A319="","",IFERROR(INDEX(Invoices!$A$5:$A$304,MATCH(A319,Invoices!$E$5:$E$304,0)),""))</f>
        <v>0</v>
      </c>
      <c r="AU319" s="49">
        <f>IF(A319="","",IF(AT319="","Not invoiced",IFERROR(INDEX(Invoices!$U$5:$U$304,MATCH(AT319,Invoices!$A$5:$A$304,0)),"")))</f>
        <v>0</v>
      </c>
      <c r="AY319" s="28">
        <f>IF(I319="","",TEXT(I319,"yyyy-mm"))</f>
        <v>0</v>
      </c>
      <c r="AZ319" s="49">
        <f>IF(I319="","",IF(AM319="Cancelled","Cancelled",IF(AND(I319&lt;TODAY(),OR(AM319="Pending",AM319="Confirmed",AM319="Enquiry")),"Overdue - update status",IF(AND(AM319="Completed",AS319="No"),"Action - log the visit",IF(I319=TODAY(),"Today",IF(AND(I319&gt;TODAY(),I319-TODAY()&lt;=ReminderLeadDays,AN319&lt;&gt;"Yes"),"Action - unconfirmed",IF(AND(I319&gt;TODAY(),I319-TODAY()&lt;=ReminderLeadDays),"Upcoming","OK")))))))</f>
        <v>0</v>
      </c>
    </row>
    <row r="320" spans="1:52">
      <c r="A320" s="46">
        <f>IF(C320="","",BookingPrefix&amp;TEXT(ROW()-4,"0000"))</f>
        <v>0</v>
      </c>
      <c r="D320" s="28">
        <f>IF(C320="","",IFERROR(INDEX(Clients!$A$5:$A$254,MATCH(C320,Clients!$B$5:$B$254,0)),""))</f>
        <v>0</v>
      </c>
      <c r="J320" s="50">
        <f>IF(I320="","",TEXT(I320,"ddd"))</f>
        <v>0</v>
      </c>
      <c r="M320" s="51">
        <f>IF(OR(K320="",L320=""),"",ROUND((L320-K320+IF(L320&lt;K320,1,0))*24,2))</f>
        <v>0</v>
      </c>
      <c r="O320" s="28">
        <f>IF(H320="","",IFERROR(INDEX(Services!$E$5:$E$54,MATCH(H320,Services!$B$5:$B$54,0)),""))</f>
        <v>0</v>
      </c>
      <c r="P320" s="29">
        <f>IF(H320="","",IFERROR(INDEX(Services!$G$5:$G$54,MATCH(H320,Services!$B$5:$B$54,0)),0))</f>
        <v>0</v>
      </c>
      <c r="Q320" s="29">
        <f>IF(H320="","",IF(IFERROR(INDEX(Services!$H$5:$H$54,MATCH(H320,Services!$B$5:$B$54,0)),0)=0,ExtraPetFeeDefault,IFERROR(INDEX(Services!$H$5:$H$54,MATCH(H320,Services!$B$5:$B$54,0)),0)))</f>
        <v>0</v>
      </c>
      <c r="R320" s="30">
        <f>IF(H320="","",IF(IFERROR(INDEX(Services!$I$5:$I$54,MATCH(H320,Services!$B$5:$B$54,0)),0)=0,HolidaySurcharge,IFERROR(INDEX(Services!$I$5:$I$54,MATCH(H320,Services!$B$5:$B$54,0)),0)))</f>
        <v>0</v>
      </c>
      <c r="S320" s="30">
        <f>IF(H320="","",IF(IFERROR(INDEX(Services!$J$5:$J$54,MATCH(H320,Services!$B$5:$B$54,0)),0)=0,WeekendSurcharge,IFERROR(INDEX(Services!$J$5:$J$54,MATCH(H320,Services!$B$5:$B$54,0)),0)))</f>
        <v>0</v>
      </c>
      <c r="T320" s="50">
        <f>IF(H320="","",IFERROR(INDEX(Services!$K$5:$K$54,MATCH(H320,Services!$B$5:$B$54,0)),"No"))</f>
        <v>0</v>
      </c>
      <c r="U320" s="29">
        <f>IF(H320="","",ROUND(IF(O320="Per hour",P320*IF(M320="",IF(N320="",1,N320),M320),P320*IF(N320="",1,N320)),2))</f>
        <v>0</v>
      </c>
      <c r="V320" s="29">
        <f>IF(H320="","",ROUND(MAX(0,IF(G320="",1,G320)-1)*Q320,2))</f>
        <v>0</v>
      </c>
      <c r="W320" s="50">
        <f>IF(I320="","",IF(COUNTIF(HolidayDates,I320)&gt;0,"Yes","No"))</f>
        <v>0</v>
      </c>
      <c r="X320" s="50">
        <f>IF(I320="","",IF(WEEKDAY(I320,2)&gt;5,"Yes","No"))</f>
        <v>0</v>
      </c>
      <c r="Y320" s="29">
        <f>IF(H320="","",ROUND((U320+V320)*(IF(W320="Yes",R320,0)+IF(X320="Yes",S320,0)),2))</f>
        <v>0</v>
      </c>
      <c r="AA320" s="29">
        <f>IF(H320="","",IF(T320&lt;&gt;"Yes",0,ROUND(MAX(0,IF(Z320="",0,Z320)-FreeTravelDistance)*TravelFeeRate,2)))</f>
        <v>0</v>
      </c>
      <c r="AB320" s="31">
        <f>IF(I320="","",TravelTimeMins)</f>
        <v>0</v>
      </c>
      <c r="AC320" s="29">
        <f>IF(OR(I320="",B320=""),0,IF(I320-B320&lt;=LastMinuteDays,EmergencyFee,0))</f>
        <v>0</v>
      </c>
      <c r="AF320" s="29">
        <f>IF(H320="","",ROUND((U320+V320+Y320+AA320+AC320)*IF(AE320="",0,AE320),2))</f>
        <v>0</v>
      </c>
      <c r="AI320" s="29">
        <f>IF(H320="","",IF(AG320&lt;&gt;"",AG320,ROUND(U320+V320+Y320+AA320+AC320-AF320,2)))</f>
        <v>0</v>
      </c>
      <c r="AJ320" s="29">
        <f>IF(AI320="","",IF(TaxRegistered&lt;&gt;"Yes",0,IF(PricesIncludeTax="Yes",ROUND(AI320-AI320/(1+TaxRate),2),ROUND(AI320*TaxRate,2))))</f>
        <v>0</v>
      </c>
      <c r="AK320" s="29">
        <f>IF(AI320="","",IF(PricesIncludeTax="Yes",AI320,ROUND(AI320+AJ320,2)))</f>
        <v>0</v>
      </c>
      <c r="AQ320" s="21">
        <f>IF(OR(I320="",AP320="",AP320="None"),"",IF(AP320="Monthly",EDATE(I320,1),I320+IF(AP320="Daily",1,IF(AP320="Weekdays",IF(WEEKDAY(I320,2)&gt;=5,8-WEEKDAY(I320,2),1),IF(AP320="Weekly",7,IF(AP320="Fortnightly",14,0))))))</f>
        <v>0</v>
      </c>
      <c r="AR320" s="49">
        <f>IF(OR(I320="",AL320="",K320="",L320=""),"",IF(SUMPRODUCT((Bookings!$AL$5:$AL$404=AL320)*(Bookings!$I$5:$I$404=I320)*(Bookings!$K$5:$K$404&lt;L320)*(Bookings!$L$5:$L$404&gt;K320)*(Bookings!$AM$5:$AM$404&lt;&gt;"Cancelled"))&gt;1,"Conflict - double booked","OK"))</f>
        <v>0</v>
      </c>
      <c r="AS320" s="50">
        <f>IF(A320="","",IF(COUNTIF('Visit Log'!$B$5:$B$404,A320)&gt;0,"Yes","No"))</f>
        <v>0</v>
      </c>
      <c r="AT320" s="28">
        <f>IF(A320="","",IFERROR(INDEX(Invoices!$A$5:$A$304,MATCH(A320,Invoices!$E$5:$E$304,0)),""))</f>
        <v>0</v>
      </c>
      <c r="AU320" s="49">
        <f>IF(A320="","",IF(AT320="","Not invoiced",IFERROR(INDEX(Invoices!$U$5:$U$304,MATCH(AT320,Invoices!$A$5:$A$304,0)),"")))</f>
        <v>0</v>
      </c>
      <c r="AY320" s="28">
        <f>IF(I320="","",TEXT(I320,"yyyy-mm"))</f>
        <v>0</v>
      </c>
      <c r="AZ320" s="49">
        <f>IF(I320="","",IF(AM320="Cancelled","Cancelled",IF(AND(I320&lt;TODAY(),OR(AM320="Pending",AM320="Confirmed",AM320="Enquiry")),"Overdue - update status",IF(AND(AM320="Completed",AS320="No"),"Action - log the visit",IF(I320=TODAY(),"Today",IF(AND(I320&gt;TODAY(),I320-TODAY()&lt;=ReminderLeadDays,AN320&lt;&gt;"Yes"),"Action - unconfirmed",IF(AND(I320&gt;TODAY(),I320-TODAY()&lt;=ReminderLeadDays),"Upcoming","OK")))))))</f>
        <v>0</v>
      </c>
    </row>
    <row r="321" spans="1:52">
      <c r="A321" s="46">
        <f>IF(C321="","",BookingPrefix&amp;TEXT(ROW()-4,"0000"))</f>
        <v>0</v>
      </c>
      <c r="D321" s="28">
        <f>IF(C321="","",IFERROR(INDEX(Clients!$A$5:$A$254,MATCH(C321,Clients!$B$5:$B$254,0)),""))</f>
        <v>0</v>
      </c>
      <c r="J321" s="50">
        <f>IF(I321="","",TEXT(I321,"ddd"))</f>
        <v>0</v>
      </c>
      <c r="M321" s="51">
        <f>IF(OR(K321="",L321=""),"",ROUND((L321-K321+IF(L321&lt;K321,1,0))*24,2))</f>
        <v>0</v>
      </c>
      <c r="O321" s="28">
        <f>IF(H321="","",IFERROR(INDEX(Services!$E$5:$E$54,MATCH(H321,Services!$B$5:$B$54,0)),""))</f>
        <v>0</v>
      </c>
      <c r="P321" s="29">
        <f>IF(H321="","",IFERROR(INDEX(Services!$G$5:$G$54,MATCH(H321,Services!$B$5:$B$54,0)),0))</f>
        <v>0</v>
      </c>
      <c r="Q321" s="29">
        <f>IF(H321="","",IF(IFERROR(INDEX(Services!$H$5:$H$54,MATCH(H321,Services!$B$5:$B$54,0)),0)=0,ExtraPetFeeDefault,IFERROR(INDEX(Services!$H$5:$H$54,MATCH(H321,Services!$B$5:$B$54,0)),0)))</f>
        <v>0</v>
      </c>
      <c r="R321" s="30">
        <f>IF(H321="","",IF(IFERROR(INDEX(Services!$I$5:$I$54,MATCH(H321,Services!$B$5:$B$54,0)),0)=0,HolidaySurcharge,IFERROR(INDEX(Services!$I$5:$I$54,MATCH(H321,Services!$B$5:$B$54,0)),0)))</f>
        <v>0</v>
      </c>
      <c r="S321" s="30">
        <f>IF(H321="","",IF(IFERROR(INDEX(Services!$J$5:$J$54,MATCH(H321,Services!$B$5:$B$54,0)),0)=0,WeekendSurcharge,IFERROR(INDEX(Services!$J$5:$J$54,MATCH(H321,Services!$B$5:$B$54,0)),0)))</f>
        <v>0</v>
      </c>
      <c r="T321" s="50">
        <f>IF(H321="","",IFERROR(INDEX(Services!$K$5:$K$54,MATCH(H321,Services!$B$5:$B$54,0)),"No"))</f>
        <v>0</v>
      </c>
      <c r="U321" s="29">
        <f>IF(H321="","",ROUND(IF(O321="Per hour",P321*IF(M321="",IF(N321="",1,N321),M321),P321*IF(N321="",1,N321)),2))</f>
        <v>0</v>
      </c>
      <c r="V321" s="29">
        <f>IF(H321="","",ROUND(MAX(0,IF(G321="",1,G321)-1)*Q321,2))</f>
        <v>0</v>
      </c>
      <c r="W321" s="50">
        <f>IF(I321="","",IF(COUNTIF(HolidayDates,I321)&gt;0,"Yes","No"))</f>
        <v>0</v>
      </c>
      <c r="X321" s="50">
        <f>IF(I321="","",IF(WEEKDAY(I321,2)&gt;5,"Yes","No"))</f>
        <v>0</v>
      </c>
      <c r="Y321" s="29">
        <f>IF(H321="","",ROUND((U321+V321)*(IF(W321="Yes",R321,0)+IF(X321="Yes",S321,0)),2))</f>
        <v>0</v>
      </c>
      <c r="AA321" s="29">
        <f>IF(H321="","",IF(T321&lt;&gt;"Yes",0,ROUND(MAX(0,IF(Z321="",0,Z321)-FreeTravelDistance)*TravelFeeRate,2)))</f>
        <v>0</v>
      </c>
      <c r="AB321" s="31">
        <f>IF(I321="","",TravelTimeMins)</f>
        <v>0</v>
      </c>
      <c r="AC321" s="29">
        <f>IF(OR(I321="",B321=""),0,IF(I321-B321&lt;=LastMinuteDays,EmergencyFee,0))</f>
        <v>0</v>
      </c>
      <c r="AF321" s="29">
        <f>IF(H321="","",ROUND((U321+V321+Y321+AA321+AC321)*IF(AE321="",0,AE321),2))</f>
        <v>0</v>
      </c>
      <c r="AI321" s="29">
        <f>IF(H321="","",IF(AG321&lt;&gt;"",AG321,ROUND(U321+V321+Y321+AA321+AC321-AF321,2)))</f>
        <v>0</v>
      </c>
      <c r="AJ321" s="29">
        <f>IF(AI321="","",IF(TaxRegistered&lt;&gt;"Yes",0,IF(PricesIncludeTax="Yes",ROUND(AI321-AI321/(1+TaxRate),2),ROUND(AI321*TaxRate,2))))</f>
        <v>0</v>
      </c>
      <c r="AK321" s="29">
        <f>IF(AI321="","",IF(PricesIncludeTax="Yes",AI321,ROUND(AI321+AJ321,2)))</f>
        <v>0</v>
      </c>
      <c r="AQ321" s="21">
        <f>IF(OR(I321="",AP321="",AP321="None"),"",IF(AP321="Monthly",EDATE(I321,1),I321+IF(AP321="Daily",1,IF(AP321="Weekdays",IF(WEEKDAY(I321,2)&gt;=5,8-WEEKDAY(I321,2),1),IF(AP321="Weekly",7,IF(AP321="Fortnightly",14,0))))))</f>
        <v>0</v>
      </c>
      <c r="AR321" s="49">
        <f>IF(OR(I321="",AL321="",K321="",L321=""),"",IF(SUMPRODUCT((Bookings!$AL$5:$AL$404=AL321)*(Bookings!$I$5:$I$404=I321)*(Bookings!$K$5:$K$404&lt;L321)*(Bookings!$L$5:$L$404&gt;K321)*(Bookings!$AM$5:$AM$404&lt;&gt;"Cancelled"))&gt;1,"Conflict - double booked","OK"))</f>
        <v>0</v>
      </c>
      <c r="AS321" s="50">
        <f>IF(A321="","",IF(COUNTIF('Visit Log'!$B$5:$B$404,A321)&gt;0,"Yes","No"))</f>
        <v>0</v>
      </c>
      <c r="AT321" s="28">
        <f>IF(A321="","",IFERROR(INDEX(Invoices!$A$5:$A$304,MATCH(A321,Invoices!$E$5:$E$304,0)),""))</f>
        <v>0</v>
      </c>
      <c r="AU321" s="49">
        <f>IF(A321="","",IF(AT321="","Not invoiced",IFERROR(INDEX(Invoices!$U$5:$U$304,MATCH(AT321,Invoices!$A$5:$A$304,0)),"")))</f>
        <v>0</v>
      </c>
      <c r="AY321" s="28">
        <f>IF(I321="","",TEXT(I321,"yyyy-mm"))</f>
        <v>0</v>
      </c>
      <c r="AZ321" s="49">
        <f>IF(I321="","",IF(AM321="Cancelled","Cancelled",IF(AND(I321&lt;TODAY(),OR(AM321="Pending",AM321="Confirmed",AM321="Enquiry")),"Overdue - update status",IF(AND(AM321="Completed",AS321="No"),"Action - log the visit",IF(I321=TODAY(),"Today",IF(AND(I321&gt;TODAY(),I321-TODAY()&lt;=ReminderLeadDays,AN321&lt;&gt;"Yes"),"Action - unconfirmed",IF(AND(I321&gt;TODAY(),I321-TODAY()&lt;=ReminderLeadDays),"Upcoming","OK")))))))</f>
        <v>0</v>
      </c>
    </row>
    <row r="322" spans="1:52">
      <c r="A322" s="46">
        <f>IF(C322="","",BookingPrefix&amp;TEXT(ROW()-4,"0000"))</f>
        <v>0</v>
      </c>
      <c r="D322" s="28">
        <f>IF(C322="","",IFERROR(INDEX(Clients!$A$5:$A$254,MATCH(C322,Clients!$B$5:$B$254,0)),""))</f>
        <v>0</v>
      </c>
      <c r="J322" s="50">
        <f>IF(I322="","",TEXT(I322,"ddd"))</f>
        <v>0</v>
      </c>
      <c r="M322" s="51">
        <f>IF(OR(K322="",L322=""),"",ROUND((L322-K322+IF(L322&lt;K322,1,0))*24,2))</f>
        <v>0</v>
      </c>
      <c r="O322" s="28">
        <f>IF(H322="","",IFERROR(INDEX(Services!$E$5:$E$54,MATCH(H322,Services!$B$5:$B$54,0)),""))</f>
        <v>0</v>
      </c>
      <c r="P322" s="29">
        <f>IF(H322="","",IFERROR(INDEX(Services!$G$5:$G$54,MATCH(H322,Services!$B$5:$B$54,0)),0))</f>
        <v>0</v>
      </c>
      <c r="Q322" s="29">
        <f>IF(H322="","",IF(IFERROR(INDEX(Services!$H$5:$H$54,MATCH(H322,Services!$B$5:$B$54,0)),0)=0,ExtraPetFeeDefault,IFERROR(INDEX(Services!$H$5:$H$54,MATCH(H322,Services!$B$5:$B$54,0)),0)))</f>
        <v>0</v>
      </c>
      <c r="R322" s="30">
        <f>IF(H322="","",IF(IFERROR(INDEX(Services!$I$5:$I$54,MATCH(H322,Services!$B$5:$B$54,0)),0)=0,HolidaySurcharge,IFERROR(INDEX(Services!$I$5:$I$54,MATCH(H322,Services!$B$5:$B$54,0)),0)))</f>
        <v>0</v>
      </c>
      <c r="S322" s="30">
        <f>IF(H322="","",IF(IFERROR(INDEX(Services!$J$5:$J$54,MATCH(H322,Services!$B$5:$B$54,0)),0)=0,WeekendSurcharge,IFERROR(INDEX(Services!$J$5:$J$54,MATCH(H322,Services!$B$5:$B$54,0)),0)))</f>
        <v>0</v>
      </c>
      <c r="T322" s="50">
        <f>IF(H322="","",IFERROR(INDEX(Services!$K$5:$K$54,MATCH(H322,Services!$B$5:$B$54,0)),"No"))</f>
        <v>0</v>
      </c>
      <c r="U322" s="29">
        <f>IF(H322="","",ROUND(IF(O322="Per hour",P322*IF(M322="",IF(N322="",1,N322),M322),P322*IF(N322="",1,N322)),2))</f>
        <v>0</v>
      </c>
      <c r="V322" s="29">
        <f>IF(H322="","",ROUND(MAX(0,IF(G322="",1,G322)-1)*Q322,2))</f>
        <v>0</v>
      </c>
      <c r="W322" s="50">
        <f>IF(I322="","",IF(COUNTIF(HolidayDates,I322)&gt;0,"Yes","No"))</f>
        <v>0</v>
      </c>
      <c r="X322" s="50">
        <f>IF(I322="","",IF(WEEKDAY(I322,2)&gt;5,"Yes","No"))</f>
        <v>0</v>
      </c>
      <c r="Y322" s="29">
        <f>IF(H322="","",ROUND((U322+V322)*(IF(W322="Yes",R322,0)+IF(X322="Yes",S322,0)),2))</f>
        <v>0</v>
      </c>
      <c r="AA322" s="29">
        <f>IF(H322="","",IF(T322&lt;&gt;"Yes",0,ROUND(MAX(0,IF(Z322="",0,Z322)-FreeTravelDistance)*TravelFeeRate,2)))</f>
        <v>0</v>
      </c>
      <c r="AB322" s="31">
        <f>IF(I322="","",TravelTimeMins)</f>
        <v>0</v>
      </c>
      <c r="AC322" s="29">
        <f>IF(OR(I322="",B322=""),0,IF(I322-B322&lt;=LastMinuteDays,EmergencyFee,0))</f>
        <v>0</v>
      </c>
      <c r="AF322" s="29">
        <f>IF(H322="","",ROUND((U322+V322+Y322+AA322+AC322)*IF(AE322="",0,AE322),2))</f>
        <v>0</v>
      </c>
      <c r="AI322" s="29">
        <f>IF(H322="","",IF(AG322&lt;&gt;"",AG322,ROUND(U322+V322+Y322+AA322+AC322-AF322,2)))</f>
        <v>0</v>
      </c>
      <c r="AJ322" s="29">
        <f>IF(AI322="","",IF(TaxRegistered&lt;&gt;"Yes",0,IF(PricesIncludeTax="Yes",ROUND(AI322-AI322/(1+TaxRate),2),ROUND(AI322*TaxRate,2))))</f>
        <v>0</v>
      </c>
      <c r="AK322" s="29">
        <f>IF(AI322="","",IF(PricesIncludeTax="Yes",AI322,ROUND(AI322+AJ322,2)))</f>
        <v>0</v>
      </c>
      <c r="AQ322" s="21">
        <f>IF(OR(I322="",AP322="",AP322="None"),"",IF(AP322="Monthly",EDATE(I322,1),I322+IF(AP322="Daily",1,IF(AP322="Weekdays",IF(WEEKDAY(I322,2)&gt;=5,8-WEEKDAY(I322,2),1),IF(AP322="Weekly",7,IF(AP322="Fortnightly",14,0))))))</f>
        <v>0</v>
      </c>
      <c r="AR322" s="49">
        <f>IF(OR(I322="",AL322="",K322="",L322=""),"",IF(SUMPRODUCT((Bookings!$AL$5:$AL$404=AL322)*(Bookings!$I$5:$I$404=I322)*(Bookings!$K$5:$K$404&lt;L322)*(Bookings!$L$5:$L$404&gt;K322)*(Bookings!$AM$5:$AM$404&lt;&gt;"Cancelled"))&gt;1,"Conflict - double booked","OK"))</f>
        <v>0</v>
      </c>
      <c r="AS322" s="50">
        <f>IF(A322="","",IF(COUNTIF('Visit Log'!$B$5:$B$404,A322)&gt;0,"Yes","No"))</f>
        <v>0</v>
      </c>
      <c r="AT322" s="28">
        <f>IF(A322="","",IFERROR(INDEX(Invoices!$A$5:$A$304,MATCH(A322,Invoices!$E$5:$E$304,0)),""))</f>
        <v>0</v>
      </c>
      <c r="AU322" s="49">
        <f>IF(A322="","",IF(AT322="","Not invoiced",IFERROR(INDEX(Invoices!$U$5:$U$304,MATCH(AT322,Invoices!$A$5:$A$304,0)),"")))</f>
        <v>0</v>
      </c>
      <c r="AY322" s="28">
        <f>IF(I322="","",TEXT(I322,"yyyy-mm"))</f>
        <v>0</v>
      </c>
      <c r="AZ322" s="49">
        <f>IF(I322="","",IF(AM322="Cancelled","Cancelled",IF(AND(I322&lt;TODAY(),OR(AM322="Pending",AM322="Confirmed",AM322="Enquiry")),"Overdue - update status",IF(AND(AM322="Completed",AS322="No"),"Action - log the visit",IF(I322=TODAY(),"Today",IF(AND(I322&gt;TODAY(),I322-TODAY()&lt;=ReminderLeadDays,AN322&lt;&gt;"Yes"),"Action - unconfirmed",IF(AND(I322&gt;TODAY(),I322-TODAY()&lt;=ReminderLeadDays),"Upcoming","OK")))))))</f>
        <v>0</v>
      </c>
    </row>
    <row r="323" spans="1:52">
      <c r="A323" s="46">
        <f>IF(C323="","",BookingPrefix&amp;TEXT(ROW()-4,"0000"))</f>
        <v>0</v>
      </c>
      <c r="D323" s="28">
        <f>IF(C323="","",IFERROR(INDEX(Clients!$A$5:$A$254,MATCH(C323,Clients!$B$5:$B$254,0)),""))</f>
        <v>0</v>
      </c>
      <c r="J323" s="50">
        <f>IF(I323="","",TEXT(I323,"ddd"))</f>
        <v>0</v>
      </c>
      <c r="M323" s="51">
        <f>IF(OR(K323="",L323=""),"",ROUND((L323-K323+IF(L323&lt;K323,1,0))*24,2))</f>
        <v>0</v>
      </c>
      <c r="O323" s="28">
        <f>IF(H323="","",IFERROR(INDEX(Services!$E$5:$E$54,MATCH(H323,Services!$B$5:$B$54,0)),""))</f>
        <v>0</v>
      </c>
      <c r="P323" s="29">
        <f>IF(H323="","",IFERROR(INDEX(Services!$G$5:$G$54,MATCH(H323,Services!$B$5:$B$54,0)),0))</f>
        <v>0</v>
      </c>
      <c r="Q323" s="29">
        <f>IF(H323="","",IF(IFERROR(INDEX(Services!$H$5:$H$54,MATCH(H323,Services!$B$5:$B$54,0)),0)=0,ExtraPetFeeDefault,IFERROR(INDEX(Services!$H$5:$H$54,MATCH(H323,Services!$B$5:$B$54,0)),0)))</f>
        <v>0</v>
      </c>
      <c r="R323" s="30">
        <f>IF(H323="","",IF(IFERROR(INDEX(Services!$I$5:$I$54,MATCH(H323,Services!$B$5:$B$54,0)),0)=0,HolidaySurcharge,IFERROR(INDEX(Services!$I$5:$I$54,MATCH(H323,Services!$B$5:$B$54,0)),0)))</f>
        <v>0</v>
      </c>
      <c r="S323" s="30">
        <f>IF(H323="","",IF(IFERROR(INDEX(Services!$J$5:$J$54,MATCH(H323,Services!$B$5:$B$54,0)),0)=0,WeekendSurcharge,IFERROR(INDEX(Services!$J$5:$J$54,MATCH(H323,Services!$B$5:$B$54,0)),0)))</f>
        <v>0</v>
      </c>
      <c r="T323" s="50">
        <f>IF(H323="","",IFERROR(INDEX(Services!$K$5:$K$54,MATCH(H323,Services!$B$5:$B$54,0)),"No"))</f>
        <v>0</v>
      </c>
      <c r="U323" s="29">
        <f>IF(H323="","",ROUND(IF(O323="Per hour",P323*IF(M323="",IF(N323="",1,N323),M323),P323*IF(N323="",1,N323)),2))</f>
        <v>0</v>
      </c>
      <c r="V323" s="29">
        <f>IF(H323="","",ROUND(MAX(0,IF(G323="",1,G323)-1)*Q323,2))</f>
        <v>0</v>
      </c>
      <c r="W323" s="50">
        <f>IF(I323="","",IF(COUNTIF(HolidayDates,I323)&gt;0,"Yes","No"))</f>
        <v>0</v>
      </c>
      <c r="X323" s="50">
        <f>IF(I323="","",IF(WEEKDAY(I323,2)&gt;5,"Yes","No"))</f>
        <v>0</v>
      </c>
      <c r="Y323" s="29">
        <f>IF(H323="","",ROUND((U323+V323)*(IF(W323="Yes",R323,0)+IF(X323="Yes",S323,0)),2))</f>
        <v>0</v>
      </c>
      <c r="AA323" s="29">
        <f>IF(H323="","",IF(T323&lt;&gt;"Yes",0,ROUND(MAX(0,IF(Z323="",0,Z323)-FreeTravelDistance)*TravelFeeRate,2)))</f>
        <v>0</v>
      </c>
      <c r="AB323" s="31">
        <f>IF(I323="","",TravelTimeMins)</f>
        <v>0</v>
      </c>
      <c r="AC323" s="29">
        <f>IF(OR(I323="",B323=""),0,IF(I323-B323&lt;=LastMinuteDays,EmergencyFee,0))</f>
        <v>0</v>
      </c>
      <c r="AF323" s="29">
        <f>IF(H323="","",ROUND((U323+V323+Y323+AA323+AC323)*IF(AE323="",0,AE323),2))</f>
        <v>0</v>
      </c>
      <c r="AI323" s="29">
        <f>IF(H323="","",IF(AG323&lt;&gt;"",AG323,ROUND(U323+V323+Y323+AA323+AC323-AF323,2)))</f>
        <v>0</v>
      </c>
      <c r="AJ323" s="29">
        <f>IF(AI323="","",IF(TaxRegistered&lt;&gt;"Yes",0,IF(PricesIncludeTax="Yes",ROUND(AI323-AI323/(1+TaxRate),2),ROUND(AI323*TaxRate,2))))</f>
        <v>0</v>
      </c>
      <c r="AK323" s="29">
        <f>IF(AI323="","",IF(PricesIncludeTax="Yes",AI323,ROUND(AI323+AJ323,2)))</f>
        <v>0</v>
      </c>
      <c r="AQ323" s="21">
        <f>IF(OR(I323="",AP323="",AP323="None"),"",IF(AP323="Monthly",EDATE(I323,1),I323+IF(AP323="Daily",1,IF(AP323="Weekdays",IF(WEEKDAY(I323,2)&gt;=5,8-WEEKDAY(I323,2),1),IF(AP323="Weekly",7,IF(AP323="Fortnightly",14,0))))))</f>
        <v>0</v>
      </c>
      <c r="AR323" s="49">
        <f>IF(OR(I323="",AL323="",K323="",L323=""),"",IF(SUMPRODUCT((Bookings!$AL$5:$AL$404=AL323)*(Bookings!$I$5:$I$404=I323)*(Bookings!$K$5:$K$404&lt;L323)*(Bookings!$L$5:$L$404&gt;K323)*(Bookings!$AM$5:$AM$404&lt;&gt;"Cancelled"))&gt;1,"Conflict - double booked","OK"))</f>
        <v>0</v>
      </c>
      <c r="AS323" s="50">
        <f>IF(A323="","",IF(COUNTIF('Visit Log'!$B$5:$B$404,A323)&gt;0,"Yes","No"))</f>
        <v>0</v>
      </c>
      <c r="AT323" s="28">
        <f>IF(A323="","",IFERROR(INDEX(Invoices!$A$5:$A$304,MATCH(A323,Invoices!$E$5:$E$304,0)),""))</f>
        <v>0</v>
      </c>
      <c r="AU323" s="49">
        <f>IF(A323="","",IF(AT323="","Not invoiced",IFERROR(INDEX(Invoices!$U$5:$U$304,MATCH(AT323,Invoices!$A$5:$A$304,0)),"")))</f>
        <v>0</v>
      </c>
      <c r="AY323" s="28">
        <f>IF(I323="","",TEXT(I323,"yyyy-mm"))</f>
        <v>0</v>
      </c>
      <c r="AZ323" s="49">
        <f>IF(I323="","",IF(AM323="Cancelled","Cancelled",IF(AND(I323&lt;TODAY(),OR(AM323="Pending",AM323="Confirmed",AM323="Enquiry")),"Overdue - update status",IF(AND(AM323="Completed",AS323="No"),"Action - log the visit",IF(I323=TODAY(),"Today",IF(AND(I323&gt;TODAY(),I323-TODAY()&lt;=ReminderLeadDays,AN323&lt;&gt;"Yes"),"Action - unconfirmed",IF(AND(I323&gt;TODAY(),I323-TODAY()&lt;=ReminderLeadDays),"Upcoming","OK")))))))</f>
        <v>0</v>
      </c>
    </row>
    <row r="324" spans="1:52">
      <c r="A324" s="46">
        <f>IF(C324="","",BookingPrefix&amp;TEXT(ROW()-4,"0000"))</f>
        <v>0</v>
      </c>
      <c r="D324" s="28">
        <f>IF(C324="","",IFERROR(INDEX(Clients!$A$5:$A$254,MATCH(C324,Clients!$B$5:$B$254,0)),""))</f>
        <v>0</v>
      </c>
      <c r="J324" s="50">
        <f>IF(I324="","",TEXT(I324,"ddd"))</f>
        <v>0</v>
      </c>
      <c r="M324" s="51">
        <f>IF(OR(K324="",L324=""),"",ROUND((L324-K324+IF(L324&lt;K324,1,0))*24,2))</f>
        <v>0</v>
      </c>
      <c r="O324" s="28">
        <f>IF(H324="","",IFERROR(INDEX(Services!$E$5:$E$54,MATCH(H324,Services!$B$5:$B$54,0)),""))</f>
        <v>0</v>
      </c>
      <c r="P324" s="29">
        <f>IF(H324="","",IFERROR(INDEX(Services!$G$5:$G$54,MATCH(H324,Services!$B$5:$B$54,0)),0))</f>
        <v>0</v>
      </c>
      <c r="Q324" s="29">
        <f>IF(H324="","",IF(IFERROR(INDEX(Services!$H$5:$H$54,MATCH(H324,Services!$B$5:$B$54,0)),0)=0,ExtraPetFeeDefault,IFERROR(INDEX(Services!$H$5:$H$54,MATCH(H324,Services!$B$5:$B$54,0)),0)))</f>
        <v>0</v>
      </c>
      <c r="R324" s="30">
        <f>IF(H324="","",IF(IFERROR(INDEX(Services!$I$5:$I$54,MATCH(H324,Services!$B$5:$B$54,0)),0)=0,HolidaySurcharge,IFERROR(INDEX(Services!$I$5:$I$54,MATCH(H324,Services!$B$5:$B$54,0)),0)))</f>
        <v>0</v>
      </c>
      <c r="S324" s="30">
        <f>IF(H324="","",IF(IFERROR(INDEX(Services!$J$5:$J$54,MATCH(H324,Services!$B$5:$B$54,0)),0)=0,WeekendSurcharge,IFERROR(INDEX(Services!$J$5:$J$54,MATCH(H324,Services!$B$5:$B$54,0)),0)))</f>
        <v>0</v>
      </c>
      <c r="T324" s="50">
        <f>IF(H324="","",IFERROR(INDEX(Services!$K$5:$K$54,MATCH(H324,Services!$B$5:$B$54,0)),"No"))</f>
        <v>0</v>
      </c>
      <c r="U324" s="29">
        <f>IF(H324="","",ROUND(IF(O324="Per hour",P324*IF(M324="",IF(N324="",1,N324),M324),P324*IF(N324="",1,N324)),2))</f>
        <v>0</v>
      </c>
      <c r="V324" s="29">
        <f>IF(H324="","",ROUND(MAX(0,IF(G324="",1,G324)-1)*Q324,2))</f>
        <v>0</v>
      </c>
      <c r="W324" s="50">
        <f>IF(I324="","",IF(COUNTIF(HolidayDates,I324)&gt;0,"Yes","No"))</f>
        <v>0</v>
      </c>
      <c r="X324" s="50">
        <f>IF(I324="","",IF(WEEKDAY(I324,2)&gt;5,"Yes","No"))</f>
        <v>0</v>
      </c>
      <c r="Y324" s="29">
        <f>IF(H324="","",ROUND((U324+V324)*(IF(W324="Yes",R324,0)+IF(X324="Yes",S324,0)),2))</f>
        <v>0</v>
      </c>
      <c r="AA324" s="29">
        <f>IF(H324="","",IF(T324&lt;&gt;"Yes",0,ROUND(MAX(0,IF(Z324="",0,Z324)-FreeTravelDistance)*TravelFeeRate,2)))</f>
        <v>0</v>
      </c>
      <c r="AB324" s="31">
        <f>IF(I324="","",TravelTimeMins)</f>
        <v>0</v>
      </c>
      <c r="AC324" s="29">
        <f>IF(OR(I324="",B324=""),0,IF(I324-B324&lt;=LastMinuteDays,EmergencyFee,0))</f>
        <v>0</v>
      </c>
      <c r="AF324" s="29">
        <f>IF(H324="","",ROUND((U324+V324+Y324+AA324+AC324)*IF(AE324="",0,AE324),2))</f>
        <v>0</v>
      </c>
      <c r="AI324" s="29">
        <f>IF(H324="","",IF(AG324&lt;&gt;"",AG324,ROUND(U324+V324+Y324+AA324+AC324-AF324,2)))</f>
        <v>0</v>
      </c>
      <c r="AJ324" s="29">
        <f>IF(AI324="","",IF(TaxRegistered&lt;&gt;"Yes",0,IF(PricesIncludeTax="Yes",ROUND(AI324-AI324/(1+TaxRate),2),ROUND(AI324*TaxRate,2))))</f>
        <v>0</v>
      </c>
      <c r="AK324" s="29">
        <f>IF(AI324="","",IF(PricesIncludeTax="Yes",AI324,ROUND(AI324+AJ324,2)))</f>
        <v>0</v>
      </c>
      <c r="AQ324" s="21">
        <f>IF(OR(I324="",AP324="",AP324="None"),"",IF(AP324="Monthly",EDATE(I324,1),I324+IF(AP324="Daily",1,IF(AP324="Weekdays",IF(WEEKDAY(I324,2)&gt;=5,8-WEEKDAY(I324,2),1),IF(AP324="Weekly",7,IF(AP324="Fortnightly",14,0))))))</f>
        <v>0</v>
      </c>
      <c r="AR324" s="49">
        <f>IF(OR(I324="",AL324="",K324="",L324=""),"",IF(SUMPRODUCT((Bookings!$AL$5:$AL$404=AL324)*(Bookings!$I$5:$I$404=I324)*(Bookings!$K$5:$K$404&lt;L324)*(Bookings!$L$5:$L$404&gt;K324)*(Bookings!$AM$5:$AM$404&lt;&gt;"Cancelled"))&gt;1,"Conflict - double booked","OK"))</f>
        <v>0</v>
      </c>
      <c r="AS324" s="50">
        <f>IF(A324="","",IF(COUNTIF('Visit Log'!$B$5:$B$404,A324)&gt;0,"Yes","No"))</f>
        <v>0</v>
      </c>
      <c r="AT324" s="28">
        <f>IF(A324="","",IFERROR(INDEX(Invoices!$A$5:$A$304,MATCH(A324,Invoices!$E$5:$E$304,0)),""))</f>
        <v>0</v>
      </c>
      <c r="AU324" s="49">
        <f>IF(A324="","",IF(AT324="","Not invoiced",IFERROR(INDEX(Invoices!$U$5:$U$304,MATCH(AT324,Invoices!$A$5:$A$304,0)),"")))</f>
        <v>0</v>
      </c>
      <c r="AY324" s="28">
        <f>IF(I324="","",TEXT(I324,"yyyy-mm"))</f>
        <v>0</v>
      </c>
      <c r="AZ324" s="49">
        <f>IF(I324="","",IF(AM324="Cancelled","Cancelled",IF(AND(I324&lt;TODAY(),OR(AM324="Pending",AM324="Confirmed",AM324="Enquiry")),"Overdue - update status",IF(AND(AM324="Completed",AS324="No"),"Action - log the visit",IF(I324=TODAY(),"Today",IF(AND(I324&gt;TODAY(),I324-TODAY()&lt;=ReminderLeadDays,AN324&lt;&gt;"Yes"),"Action - unconfirmed",IF(AND(I324&gt;TODAY(),I324-TODAY()&lt;=ReminderLeadDays),"Upcoming","OK")))))))</f>
        <v>0</v>
      </c>
    </row>
    <row r="325" spans="1:52">
      <c r="A325" s="46">
        <f>IF(C325="","",BookingPrefix&amp;TEXT(ROW()-4,"0000"))</f>
        <v>0</v>
      </c>
      <c r="D325" s="28">
        <f>IF(C325="","",IFERROR(INDEX(Clients!$A$5:$A$254,MATCH(C325,Clients!$B$5:$B$254,0)),""))</f>
        <v>0</v>
      </c>
      <c r="J325" s="50">
        <f>IF(I325="","",TEXT(I325,"ddd"))</f>
        <v>0</v>
      </c>
      <c r="M325" s="51">
        <f>IF(OR(K325="",L325=""),"",ROUND((L325-K325+IF(L325&lt;K325,1,0))*24,2))</f>
        <v>0</v>
      </c>
      <c r="O325" s="28">
        <f>IF(H325="","",IFERROR(INDEX(Services!$E$5:$E$54,MATCH(H325,Services!$B$5:$B$54,0)),""))</f>
        <v>0</v>
      </c>
      <c r="P325" s="29">
        <f>IF(H325="","",IFERROR(INDEX(Services!$G$5:$G$54,MATCH(H325,Services!$B$5:$B$54,0)),0))</f>
        <v>0</v>
      </c>
      <c r="Q325" s="29">
        <f>IF(H325="","",IF(IFERROR(INDEX(Services!$H$5:$H$54,MATCH(H325,Services!$B$5:$B$54,0)),0)=0,ExtraPetFeeDefault,IFERROR(INDEX(Services!$H$5:$H$54,MATCH(H325,Services!$B$5:$B$54,0)),0)))</f>
        <v>0</v>
      </c>
      <c r="R325" s="30">
        <f>IF(H325="","",IF(IFERROR(INDEX(Services!$I$5:$I$54,MATCH(H325,Services!$B$5:$B$54,0)),0)=0,HolidaySurcharge,IFERROR(INDEX(Services!$I$5:$I$54,MATCH(H325,Services!$B$5:$B$54,0)),0)))</f>
        <v>0</v>
      </c>
      <c r="S325" s="30">
        <f>IF(H325="","",IF(IFERROR(INDEX(Services!$J$5:$J$54,MATCH(H325,Services!$B$5:$B$54,0)),0)=0,WeekendSurcharge,IFERROR(INDEX(Services!$J$5:$J$54,MATCH(H325,Services!$B$5:$B$54,0)),0)))</f>
        <v>0</v>
      </c>
      <c r="T325" s="50">
        <f>IF(H325="","",IFERROR(INDEX(Services!$K$5:$K$54,MATCH(H325,Services!$B$5:$B$54,0)),"No"))</f>
        <v>0</v>
      </c>
      <c r="U325" s="29">
        <f>IF(H325="","",ROUND(IF(O325="Per hour",P325*IF(M325="",IF(N325="",1,N325),M325),P325*IF(N325="",1,N325)),2))</f>
        <v>0</v>
      </c>
      <c r="V325" s="29">
        <f>IF(H325="","",ROUND(MAX(0,IF(G325="",1,G325)-1)*Q325,2))</f>
        <v>0</v>
      </c>
      <c r="W325" s="50">
        <f>IF(I325="","",IF(COUNTIF(HolidayDates,I325)&gt;0,"Yes","No"))</f>
        <v>0</v>
      </c>
      <c r="X325" s="50">
        <f>IF(I325="","",IF(WEEKDAY(I325,2)&gt;5,"Yes","No"))</f>
        <v>0</v>
      </c>
      <c r="Y325" s="29">
        <f>IF(H325="","",ROUND((U325+V325)*(IF(W325="Yes",R325,0)+IF(X325="Yes",S325,0)),2))</f>
        <v>0</v>
      </c>
      <c r="AA325" s="29">
        <f>IF(H325="","",IF(T325&lt;&gt;"Yes",0,ROUND(MAX(0,IF(Z325="",0,Z325)-FreeTravelDistance)*TravelFeeRate,2)))</f>
        <v>0</v>
      </c>
      <c r="AB325" s="31">
        <f>IF(I325="","",TravelTimeMins)</f>
        <v>0</v>
      </c>
      <c r="AC325" s="29">
        <f>IF(OR(I325="",B325=""),0,IF(I325-B325&lt;=LastMinuteDays,EmergencyFee,0))</f>
        <v>0</v>
      </c>
      <c r="AF325" s="29">
        <f>IF(H325="","",ROUND((U325+V325+Y325+AA325+AC325)*IF(AE325="",0,AE325),2))</f>
        <v>0</v>
      </c>
      <c r="AI325" s="29">
        <f>IF(H325="","",IF(AG325&lt;&gt;"",AG325,ROUND(U325+V325+Y325+AA325+AC325-AF325,2)))</f>
        <v>0</v>
      </c>
      <c r="AJ325" s="29">
        <f>IF(AI325="","",IF(TaxRegistered&lt;&gt;"Yes",0,IF(PricesIncludeTax="Yes",ROUND(AI325-AI325/(1+TaxRate),2),ROUND(AI325*TaxRate,2))))</f>
        <v>0</v>
      </c>
      <c r="AK325" s="29">
        <f>IF(AI325="","",IF(PricesIncludeTax="Yes",AI325,ROUND(AI325+AJ325,2)))</f>
        <v>0</v>
      </c>
      <c r="AQ325" s="21">
        <f>IF(OR(I325="",AP325="",AP325="None"),"",IF(AP325="Monthly",EDATE(I325,1),I325+IF(AP325="Daily",1,IF(AP325="Weekdays",IF(WEEKDAY(I325,2)&gt;=5,8-WEEKDAY(I325,2),1),IF(AP325="Weekly",7,IF(AP325="Fortnightly",14,0))))))</f>
        <v>0</v>
      </c>
      <c r="AR325" s="49">
        <f>IF(OR(I325="",AL325="",K325="",L325=""),"",IF(SUMPRODUCT((Bookings!$AL$5:$AL$404=AL325)*(Bookings!$I$5:$I$404=I325)*(Bookings!$K$5:$K$404&lt;L325)*(Bookings!$L$5:$L$404&gt;K325)*(Bookings!$AM$5:$AM$404&lt;&gt;"Cancelled"))&gt;1,"Conflict - double booked","OK"))</f>
        <v>0</v>
      </c>
      <c r="AS325" s="50">
        <f>IF(A325="","",IF(COUNTIF('Visit Log'!$B$5:$B$404,A325)&gt;0,"Yes","No"))</f>
        <v>0</v>
      </c>
      <c r="AT325" s="28">
        <f>IF(A325="","",IFERROR(INDEX(Invoices!$A$5:$A$304,MATCH(A325,Invoices!$E$5:$E$304,0)),""))</f>
        <v>0</v>
      </c>
      <c r="AU325" s="49">
        <f>IF(A325="","",IF(AT325="","Not invoiced",IFERROR(INDEX(Invoices!$U$5:$U$304,MATCH(AT325,Invoices!$A$5:$A$304,0)),"")))</f>
        <v>0</v>
      </c>
      <c r="AY325" s="28">
        <f>IF(I325="","",TEXT(I325,"yyyy-mm"))</f>
        <v>0</v>
      </c>
      <c r="AZ325" s="49">
        <f>IF(I325="","",IF(AM325="Cancelled","Cancelled",IF(AND(I325&lt;TODAY(),OR(AM325="Pending",AM325="Confirmed",AM325="Enquiry")),"Overdue - update status",IF(AND(AM325="Completed",AS325="No"),"Action - log the visit",IF(I325=TODAY(),"Today",IF(AND(I325&gt;TODAY(),I325-TODAY()&lt;=ReminderLeadDays,AN325&lt;&gt;"Yes"),"Action - unconfirmed",IF(AND(I325&gt;TODAY(),I325-TODAY()&lt;=ReminderLeadDays),"Upcoming","OK")))))))</f>
        <v>0</v>
      </c>
    </row>
    <row r="326" spans="1:52">
      <c r="A326" s="46">
        <f>IF(C326="","",BookingPrefix&amp;TEXT(ROW()-4,"0000"))</f>
        <v>0</v>
      </c>
      <c r="D326" s="28">
        <f>IF(C326="","",IFERROR(INDEX(Clients!$A$5:$A$254,MATCH(C326,Clients!$B$5:$B$254,0)),""))</f>
        <v>0</v>
      </c>
      <c r="J326" s="50">
        <f>IF(I326="","",TEXT(I326,"ddd"))</f>
        <v>0</v>
      </c>
      <c r="M326" s="51">
        <f>IF(OR(K326="",L326=""),"",ROUND((L326-K326+IF(L326&lt;K326,1,0))*24,2))</f>
        <v>0</v>
      </c>
      <c r="O326" s="28">
        <f>IF(H326="","",IFERROR(INDEX(Services!$E$5:$E$54,MATCH(H326,Services!$B$5:$B$54,0)),""))</f>
        <v>0</v>
      </c>
      <c r="P326" s="29">
        <f>IF(H326="","",IFERROR(INDEX(Services!$G$5:$G$54,MATCH(H326,Services!$B$5:$B$54,0)),0))</f>
        <v>0</v>
      </c>
      <c r="Q326" s="29">
        <f>IF(H326="","",IF(IFERROR(INDEX(Services!$H$5:$H$54,MATCH(H326,Services!$B$5:$B$54,0)),0)=0,ExtraPetFeeDefault,IFERROR(INDEX(Services!$H$5:$H$54,MATCH(H326,Services!$B$5:$B$54,0)),0)))</f>
        <v>0</v>
      </c>
      <c r="R326" s="30">
        <f>IF(H326="","",IF(IFERROR(INDEX(Services!$I$5:$I$54,MATCH(H326,Services!$B$5:$B$54,0)),0)=0,HolidaySurcharge,IFERROR(INDEX(Services!$I$5:$I$54,MATCH(H326,Services!$B$5:$B$54,0)),0)))</f>
        <v>0</v>
      </c>
      <c r="S326" s="30">
        <f>IF(H326="","",IF(IFERROR(INDEX(Services!$J$5:$J$54,MATCH(H326,Services!$B$5:$B$54,0)),0)=0,WeekendSurcharge,IFERROR(INDEX(Services!$J$5:$J$54,MATCH(H326,Services!$B$5:$B$54,0)),0)))</f>
        <v>0</v>
      </c>
      <c r="T326" s="50">
        <f>IF(H326="","",IFERROR(INDEX(Services!$K$5:$K$54,MATCH(H326,Services!$B$5:$B$54,0)),"No"))</f>
        <v>0</v>
      </c>
      <c r="U326" s="29">
        <f>IF(H326="","",ROUND(IF(O326="Per hour",P326*IF(M326="",IF(N326="",1,N326),M326),P326*IF(N326="",1,N326)),2))</f>
        <v>0</v>
      </c>
      <c r="V326" s="29">
        <f>IF(H326="","",ROUND(MAX(0,IF(G326="",1,G326)-1)*Q326,2))</f>
        <v>0</v>
      </c>
      <c r="W326" s="50">
        <f>IF(I326="","",IF(COUNTIF(HolidayDates,I326)&gt;0,"Yes","No"))</f>
        <v>0</v>
      </c>
      <c r="X326" s="50">
        <f>IF(I326="","",IF(WEEKDAY(I326,2)&gt;5,"Yes","No"))</f>
        <v>0</v>
      </c>
      <c r="Y326" s="29">
        <f>IF(H326="","",ROUND((U326+V326)*(IF(W326="Yes",R326,0)+IF(X326="Yes",S326,0)),2))</f>
        <v>0</v>
      </c>
      <c r="AA326" s="29">
        <f>IF(H326="","",IF(T326&lt;&gt;"Yes",0,ROUND(MAX(0,IF(Z326="",0,Z326)-FreeTravelDistance)*TravelFeeRate,2)))</f>
        <v>0</v>
      </c>
      <c r="AB326" s="31">
        <f>IF(I326="","",TravelTimeMins)</f>
        <v>0</v>
      </c>
      <c r="AC326" s="29">
        <f>IF(OR(I326="",B326=""),0,IF(I326-B326&lt;=LastMinuteDays,EmergencyFee,0))</f>
        <v>0</v>
      </c>
      <c r="AF326" s="29">
        <f>IF(H326="","",ROUND((U326+V326+Y326+AA326+AC326)*IF(AE326="",0,AE326),2))</f>
        <v>0</v>
      </c>
      <c r="AI326" s="29">
        <f>IF(H326="","",IF(AG326&lt;&gt;"",AG326,ROUND(U326+V326+Y326+AA326+AC326-AF326,2)))</f>
        <v>0</v>
      </c>
      <c r="AJ326" s="29">
        <f>IF(AI326="","",IF(TaxRegistered&lt;&gt;"Yes",0,IF(PricesIncludeTax="Yes",ROUND(AI326-AI326/(1+TaxRate),2),ROUND(AI326*TaxRate,2))))</f>
        <v>0</v>
      </c>
      <c r="AK326" s="29">
        <f>IF(AI326="","",IF(PricesIncludeTax="Yes",AI326,ROUND(AI326+AJ326,2)))</f>
        <v>0</v>
      </c>
      <c r="AQ326" s="21">
        <f>IF(OR(I326="",AP326="",AP326="None"),"",IF(AP326="Monthly",EDATE(I326,1),I326+IF(AP326="Daily",1,IF(AP326="Weekdays",IF(WEEKDAY(I326,2)&gt;=5,8-WEEKDAY(I326,2),1),IF(AP326="Weekly",7,IF(AP326="Fortnightly",14,0))))))</f>
        <v>0</v>
      </c>
      <c r="AR326" s="49">
        <f>IF(OR(I326="",AL326="",K326="",L326=""),"",IF(SUMPRODUCT((Bookings!$AL$5:$AL$404=AL326)*(Bookings!$I$5:$I$404=I326)*(Bookings!$K$5:$K$404&lt;L326)*(Bookings!$L$5:$L$404&gt;K326)*(Bookings!$AM$5:$AM$404&lt;&gt;"Cancelled"))&gt;1,"Conflict - double booked","OK"))</f>
        <v>0</v>
      </c>
      <c r="AS326" s="50">
        <f>IF(A326="","",IF(COUNTIF('Visit Log'!$B$5:$B$404,A326)&gt;0,"Yes","No"))</f>
        <v>0</v>
      </c>
      <c r="AT326" s="28">
        <f>IF(A326="","",IFERROR(INDEX(Invoices!$A$5:$A$304,MATCH(A326,Invoices!$E$5:$E$304,0)),""))</f>
        <v>0</v>
      </c>
      <c r="AU326" s="49">
        <f>IF(A326="","",IF(AT326="","Not invoiced",IFERROR(INDEX(Invoices!$U$5:$U$304,MATCH(AT326,Invoices!$A$5:$A$304,0)),"")))</f>
        <v>0</v>
      </c>
      <c r="AY326" s="28">
        <f>IF(I326="","",TEXT(I326,"yyyy-mm"))</f>
        <v>0</v>
      </c>
      <c r="AZ326" s="49">
        <f>IF(I326="","",IF(AM326="Cancelled","Cancelled",IF(AND(I326&lt;TODAY(),OR(AM326="Pending",AM326="Confirmed",AM326="Enquiry")),"Overdue - update status",IF(AND(AM326="Completed",AS326="No"),"Action - log the visit",IF(I326=TODAY(),"Today",IF(AND(I326&gt;TODAY(),I326-TODAY()&lt;=ReminderLeadDays,AN326&lt;&gt;"Yes"),"Action - unconfirmed",IF(AND(I326&gt;TODAY(),I326-TODAY()&lt;=ReminderLeadDays),"Upcoming","OK")))))))</f>
        <v>0</v>
      </c>
    </row>
    <row r="327" spans="1:52">
      <c r="A327" s="46">
        <f>IF(C327="","",BookingPrefix&amp;TEXT(ROW()-4,"0000"))</f>
        <v>0</v>
      </c>
      <c r="D327" s="28">
        <f>IF(C327="","",IFERROR(INDEX(Clients!$A$5:$A$254,MATCH(C327,Clients!$B$5:$B$254,0)),""))</f>
        <v>0</v>
      </c>
      <c r="J327" s="50">
        <f>IF(I327="","",TEXT(I327,"ddd"))</f>
        <v>0</v>
      </c>
      <c r="M327" s="51">
        <f>IF(OR(K327="",L327=""),"",ROUND((L327-K327+IF(L327&lt;K327,1,0))*24,2))</f>
        <v>0</v>
      </c>
      <c r="O327" s="28">
        <f>IF(H327="","",IFERROR(INDEX(Services!$E$5:$E$54,MATCH(H327,Services!$B$5:$B$54,0)),""))</f>
        <v>0</v>
      </c>
      <c r="P327" s="29">
        <f>IF(H327="","",IFERROR(INDEX(Services!$G$5:$G$54,MATCH(H327,Services!$B$5:$B$54,0)),0))</f>
        <v>0</v>
      </c>
      <c r="Q327" s="29">
        <f>IF(H327="","",IF(IFERROR(INDEX(Services!$H$5:$H$54,MATCH(H327,Services!$B$5:$B$54,0)),0)=0,ExtraPetFeeDefault,IFERROR(INDEX(Services!$H$5:$H$54,MATCH(H327,Services!$B$5:$B$54,0)),0)))</f>
        <v>0</v>
      </c>
      <c r="R327" s="30">
        <f>IF(H327="","",IF(IFERROR(INDEX(Services!$I$5:$I$54,MATCH(H327,Services!$B$5:$B$54,0)),0)=0,HolidaySurcharge,IFERROR(INDEX(Services!$I$5:$I$54,MATCH(H327,Services!$B$5:$B$54,0)),0)))</f>
        <v>0</v>
      </c>
      <c r="S327" s="30">
        <f>IF(H327="","",IF(IFERROR(INDEX(Services!$J$5:$J$54,MATCH(H327,Services!$B$5:$B$54,0)),0)=0,WeekendSurcharge,IFERROR(INDEX(Services!$J$5:$J$54,MATCH(H327,Services!$B$5:$B$54,0)),0)))</f>
        <v>0</v>
      </c>
      <c r="T327" s="50">
        <f>IF(H327="","",IFERROR(INDEX(Services!$K$5:$K$54,MATCH(H327,Services!$B$5:$B$54,0)),"No"))</f>
        <v>0</v>
      </c>
      <c r="U327" s="29">
        <f>IF(H327="","",ROUND(IF(O327="Per hour",P327*IF(M327="",IF(N327="",1,N327),M327),P327*IF(N327="",1,N327)),2))</f>
        <v>0</v>
      </c>
      <c r="V327" s="29">
        <f>IF(H327="","",ROUND(MAX(0,IF(G327="",1,G327)-1)*Q327,2))</f>
        <v>0</v>
      </c>
      <c r="W327" s="50">
        <f>IF(I327="","",IF(COUNTIF(HolidayDates,I327)&gt;0,"Yes","No"))</f>
        <v>0</v>
      </c>
      <c r="X327" s="50">
        <f>IF(I327="","",IF(WEEKDAY(I327,2)&gt;5,"Yes","No"))</f>
        <v>0</v>
      </c>
      <c r="Y327" s="29">
        <f>IF(H327="","",ROUND((U327+V327)*(IF(W327="Yes",R327,0)+IF(X327="Yes",S327,0)),2))</f>
        <v>0</v>
      </c>
      <c r="AA327" s="29">
        <f>IF(H327="","",IF(T327&lt;&gt;"Yes",0,ROUND(MAX(0,IF(Z327="",0,Z327)-FreeTravelDistance)*TravelFeeRate,2)))</f>
        <v>0</v>
      </c>
      <c r="AB327" s="31">
        <f>IF(I327="","",TravelTimeMins)</f>
        <v>0</v>
      </c>
      <c r="AC327" s="29">
        <f>IF(OR(I327="",B327=""),0,IF(I327-B327&lt;=LastMinuteDays,EmergencyFee,0))</f>
        <v>0</v>
      </c>
      <c r="AF327" s="29">
        <f>IF(H327="","",ROUND((U327+V327+Y327+AA327+AC327)*IF(AE327="",0,AE327),2))</f>
        <v>0</v>
      </c>
      <c r="AI327" s="29">
        <f>IF(H327="","",IF(AG327&lt;&gt;"",AG327,ROUND(U327+V327+Y327+AA327+AC327-AF327,2)))</f>
        <v>0</v>
      </c>
      <c r="AJ327" s="29">
        <f>IF(AI327="","",IF(TaxRegistered&lt;&gt;"Yes",0,IF(PricesIncludeTax="Yes",ROUND(AI327-AI327/(1+TaxRate),2),ROUND(AI327*TaxRate,2))))</f>
        <v>0</v>
      </c>
      <c r="AK327" s="29">
        <f>IF(AI327="","",IF(PricesIncludeTax="Yes",AI327,ROUND(AI327+AJ327,2)))</f>
        <v>0</v>
      </c>
      <c r="AQ327" s="21">
        <f>IF(OR(I327="",AP327="",AP327="None"),"",IF(AP327="Monthly",EDATE(I327,1),I327+IF(AP327="Daily",1,IF(AP327="Weekdays",IF(WEEKDAY(I327,2)&gt;=5,8-WEEKDAY(I327,2),1),IF(AP327="Weekly",7,IF(AP327="Fortnightly",14,0))))))</f>
        <v>0</v>
      </c>
      <c r="AR327" s="49">
        <f>IF(OR(I327="",AL327="",K327="",L327=""),"",IF(SUMPRODUCT((Bookings!$AL$5:$AL$404=AL327)*(Bookings!$I$5:$I$404=I327)*(Bookings!$K$5:$K$404&lt;L327)*(Bookings!$L$5:$L$404&gt;K327)*(Bookings!$AM$5:$AM$404&lt;&gt;"Cancelled"))&gt;1,"Conflict - double booked","OK"))</f>
        <v>0</v>
      </c>
      <c r="AS327" s="50">
        <f>IF(A327="","",IF(COUNTIF('Visit Log'!$B$5:$B$404,A327)&gt;0,"Yes","No"))</f>
        <v>0</v>
      </c>
      <c r="AT327" s="28">
        <f>IF(A327="","",IFERROR(INDEX(Invoices!$A$5:$A$304,MATCH(A327,Invoices!$E$5:$E$304,0)),""))</f>
        <v>0</v>
      </c>
      <c r="AU327" s="49">
        <f>IF(A327="","",IF(AT327="","Not invoiced",IFERROR(INDEX(Invoices!$U$5:$U$304,MATCH(AT327,Invoices!$A$5:$A$304,0)),"")))</f>
        <v>0</v>
      </c>
      <c r="AY327" s="28">
        <f>IF(I327="","",TEXT(I327,"yyyy-mm"))</f>
        <v>0</v>
      </c>
      <c r="AZ327" s="49">
        <f>IF(I327="","",IF(AM327="Cancelled","Cancelled",IF(AND(I327&lt;TODAY(),OR(AM327="Pending",AM327="Confirmed",AM327="Enquiry")),"Overdue - update status",IF(AND(AM327="Completed",AS327="No"),"Action - log the visit",IF(I327=TODAY(),"Today",IF(AND(I327&gt;TODAY(),I327-TODAY()&lt;=ReminderLeadDays,AN327&lt;&gt;"Yes"),"Action - unconfirmed",IF(AND(I327&gt;TODAY(),I327-TODAY()&lt;=ReminderLeadDays),"Upcoming","OK")))))))</f>
        <v>0</v>
      </c>
    </row>
    <row r="328" spans="1:52">
      <c r="A328" s="46">
        <f>IF(C328="","",BookingPrefix&amp;TEXT(ROW()-4,"0000"))</f>
        <v>0</v>
      </c>
      <c r="D328" s="28">
        <f>IF(C328="","",IFERROR(INDEX(Clients!$A$5:$A$254,MATCH(C328,Clients!$B$5:$B$254,0)),""))</f>
        <v>0</v>
      </c>
      <c r="J328" s="50">
        <f>IF(I328="","",TEXT(I328,"ddd"))</f>
        <v>0</v>
      </c>
      <c r="M328" s="51">
        <f>IF(OR(K328="",L328=""),"",ROUND((L328-K328+IF(L328&lt;K328,1,0))*24,2))</f>
        <v>0</v>
      </c>
      <c r="O328" s="28">
        <f>IF(H328="","",IFERROR(INDEX(Services!$E$5:$E$54,MATCH(H328,Services!$B$5:$B$54,0)),""))</f>
        <v>0</v>
      </c>
      <c r="P328" s="29">
        <f>IF(H328="","",IFERROR(INDEX(Services!$G$5:$G$54,MATCH(H328,Services!$B$5:$B$54,0)),0))</f>
        <v>0</v>
      </c>
      <c r="Q328" s="29">
        <f>IF(H328="","",IF(IFERROR(INDEX(Services!$H$5:$H$54,MATCH(H328,Services!$B$5:$B$54,0)),0)=0,ExtraPetFeeDefault,IFERROR(INDEX(Services!$H$5:$H$54,MATCH(H328,Services!$B$5:$B$54,0)),0)))</f>
        <v>0</v>
      </c>
      <c r="R328" s="30">
        <f>IF(H328="","",IF(IFERROR(INDEX(Services!$I$5:$I$54,MATCH(H328,Services!$B$5:$B$54,0)),0)=0,HolidaySurcharge,IFERROR(INDEX(Services!$I$5:$I$54,MATCH(H328,Services!$B$5:$B$54,0)),0)))</f>
        <v>0</v>
      </c>
      <c r="S328" s="30">
        <f>IF(H328="","",IF(IFERROR(INDEX(Services!$J$5:$J$54,MATCH(H328,Services!$B$5:$B$54,0)),0)=0,WeekendSurcharge,IFERROR(INDEX(Services!$J$5:$J$54,MATCH(H328,Services!$B$5:$B$54,0)),0)))</f>
        <v>0</v>
      </c>
      <c r="T328" s="50">
        <f>IF(H328="","",IFERROR(INDEX(Services!$K$5:$K$54,MATCH(H328,Services!$B$5:$B$54,0)),"No"))</f>
        <v>0</v>
      </c>
      <c r="U328" s="29">
        <f>IF(H328="","",ROUND(IF(O328="Per hour",P328*IF(M328="",IF(N328="",1,N328),M328),P328*IF(N328="",1,N328)),2))</f>
        <v>0</v>
      </c>
      <c r="V328" s="29">
        <f>IF(H328="","",ROUND(MAX(0,IF(G328="",1,G328)-1)*Q328,2))</f>
        <v>0</v>
      </c>
      <c r="W328" s="50">
        <f>IF(I328="","",IF(COUNTIF(HolidayDates,I328)&gt;0,"Yes","No"))</f>
        <v>0</v>
      </c>
      <c r="X328" s="50">
        <f>IF(I328="","",IF(WEEKDAY(I328,2)&gt;5,"Yes","No"))</f>
        <v>0</v>
      </c>
      <c r="Y328" s="29">
        <f>IF(H328="","",ROUND((U328+V328)*(IF(W328="Yes",R328,0)+IF(X328="Yes",S328,0)),2))</f>
        <v>0</v>
      </c>
      <c r="AA328" s="29">
        <f>IF(H328="","",IF(T328&lt;&gt;"Yes",0,ROUND(MAX(0,IF(Z328="",0,Z328)-FreeTravelDistance)*TravelFeeRate,2)))</f>
        <v>0</v>
      </c>
      <c r="AB328" s="31">
        <f>IF(I328="","",TravelTimeMins)</f>
        <v>0</v>
      </c>
      <c r="AC328" s="29">
        <f>IF(OR(I328="",B328=""),0,IF(I328-B328&lt;=LastMinuteDays,EmergencyFee,0))</f>
        <v>0</v>
      </c>
      <c r="AF328" s="29">
        <f>IF(H328="","",ROUND((U328+V328+Y328+AA328+AC328)*IF(AE328="",0,AE328),2))</f>
        <v>0</v>
      </c>
      <c r="AI328" s="29">
        <f>IF(H328="","",IF(AG328&lt;&gt;"",AG328,ROUND(U328+V328+Y328+AA328+AC328-AF328,2)))</f>
        <v>0</v>
      </c>
      <c r="AJ328" s="29">
        <f>IF(AI328="","",IF(TaxRegistered&lt;&gt;"Yes",0,IF(PricesIncludeTax="Yes",ROUND(AI328-AI328/(1+TaxRate),2),ROUND(AI328*TaxRate,2))))</f>
        <v>0</v>
      </c>
      <c r="AK328" s="29">
        <f>IF(AI328="","",IF(PricesIncludeTax="Yes",AI328,ROUND(AI328+AJ328,2)))</f>
        <v>0</v>
      </c>
      <c r="AQ328" s="21">
        <f>IF(OR(I328="",AP328="",AP328="None"),"",IF(AP328="Monthly",EDATE(I328,1),I328+IF(AP328="Daily",1,IF(AP328="Weekdays",IF(WEEKDAY(I328,2)&gt;=5,8-WEEKDAY(I328,2),1),IF(AP328="Weekly",7,IF(AP328="Fortnightly",14,0))))))</f>
        <v>0</v>
      </c>
      <c r="AR328" s="49">
        <f>IF(OR(I328="",AL328="",K328="",L328=""),"",IF(SUMPRODUCT((Bookings!$AL$5:$AL$404=AL328)*(Bookings!$I$5:$I$404=I328)*(Bookings!$K$5:$K$404&lt;L328)*(Bookings!$L$5:$L$404&gt;K328)*(Bookings!$AM$5:$AM$404&lt;&gt;"Cancelled"))&gt;1,"Conflict - double booked","OK"))</f>
        <v>0</v>
      </c>
      <c r="AS328" s="50">
        <f>IF(A328="","",IF(COUNTIF('Visit Log'!$B$5:$B$404,A328)&gt;0,"Yes","No"))</f>
        <v>0</v>
      </c>
      <c r="AT328" s="28">
        <f>IF(A328="","",IFERROR(INDEX(Invoices!$A$5:$A$304,MATCH(A328,Invoices!$E$5:$E$304,0)),""))</f>
        <v>0</v>
      </c>
      <c r="AU328" s="49">
        <f>IF(A328="","",IF(AT328="","Not invoiced",IFERROR(INDEX(Invoices!$U$5:$U$304,MATCH(AT328,Invoices!$A$5:$A$304,0)),"")))</f>
        <v>0</v>
      </c>
      <c r="AY328" s="28">
        <f>IF(I328="","",TEXT(I328,"yyyy-mm"))</f>
        <v>0</v>
      </c>
      <c r="AZ328" s="49">
        <f>IF(I328="","",IF(AM328="Cancelled","Cancelled",IF(AND(I328&lt;TODAY(),OR(AM328="Pending",AM328="Confirmed",AM328="Enquiry")),"Overdue - update status",IF(AND(AM328="Completed",AS328="No"),"Action - log the visit",IF(I328=TODAY(),"Today",IF(AND(I328&gt;TODAY(),I328-TODAY()&lt;=ReminderLeadDays,AN328&lt;&gt;"Yes"),"Action - unconfirmed",IF(AND(I328&gt;TODAY(),I328-TODAY()&lt;=ReminderLeadDays),"Upcoming","OK")))))))</f>
        <v>0</v>
      </c>
    </row>
    <row r="329" spans="1:52">
      <c r="A329" s="46">
        <f>IF(C329="","",BookingPrefix&amp;TEXT(ROW()-4,"0000"))</f>
        <v>0</v>
      </c>
      <c r="D329" s="28">
        <f>IF(C329="","",IFERROR(INDEX(Clients!$A$5:$A$254,MATCH(C329,Clients!$B$5:$B$254,0)),""))</f>
        <v>0</v>
      </c>
      <c r="J329" s="50">
        <f>IF(I329="","",TEXT(I329,"ddd"))</f>
        <v>0</v>
      </c>
      <c r="M329" s="51">
        <f>IF(OR(K329="",L329=""),"",ROUND((L329-K329+IF(L329&lt;K329,1,0))*24,2))</f>
        <v>0</v>
      </c>
      <c r="O329" s="28">
        <f>IF(H329="","",IFERROR(INDEX(Services!$E$5:$E$54,MATCH(H329,Services!$B$5:$B$54,0)),""))</f>
        <v>0</v>
      </c>
      <c r="P329" s="29">
        <f>IF(H329="","",IFERROR(INDEX(Services!$G$5:$G$54,MATCH(H329,Services!$B$5:$B$54,0)),0))</f>
        <v>0</v>
      </c>
      <c r="Q329" s="29">
        <f>IF(H329="","",IF(IFERROR(INDEX(Services!$H$5:$H$54,MATCH(H329,Services!$B$5:$B$54,0)),0)=0,ExtraPetFeeDefault,IFERROR(INDEX(Services!$H$5:$H$54,MATCH(H329,Services!$B$5:$B$54,0)),0)))</f>
        <v>0</v>
      </c>
      <c r="R329" s="30">
        <f>IF(H329="","",IF(IFERROR(INDEX(Services!$I$5:$I$54,MATCH(H329,Services!$B$5:$B$54,0)),0)=0,HolidaySurcharge,IFERROR(INDEX(Services!$I$5:$I$54,MATCH(H329,Services!$B$5:$B$54,0)),0)))</f>
        <v>0</v>
      </c>
      <c r="S329" s="30">
        <f>IF(H329="","",IF(IFERROR(INDEX(Services!$J$5:$J$54,MATCH(H329,Services!$B$5:$B$54,0)),0)=0,WeekendSurcharge,IFERROR(INDEX(Services!$J$5:$J$54,MATCH(H329,Services!$B$5:$B$54,0)),0)))</f>
        <v>0</v>
      </c>
      <c r="T329" s="50">
        <f>IF(H329="","",IFERROR(INDEX(Services!$K$5:$K$54,MATCH(H329,Services!$B$5:$B$54,0)),"No"))</f>
        <v>0</v>
      </c>
      <c r="U329" s="29">
        <f>IF(H329="","",ROUND(IF(O329="Per hour",P329*IF(M329="",IF(N329="",1,N329),M329),P329*IF(N329="",1,N329)),2))</f>
        <v>0</v>
      </c>
      <c r="V329" s="29">
        <f>IF(H329="","",ROUND(MAX(0,IF(G329="",1,G329)-1)*Q329,2))</f>
        <v>0</v>
      </c>
      <c r="W329" s="50">
        <f>IF(I329="","",IF(COUNTIF(HolidayDates,I329)&gt;0,"Yes","No"))</f>
        <v>0</v>
      </c>
      <c r="X329" s="50">
        <f>IF(I329="","",IF(WEEKDAY(I329,2)&gt;5,"Yes","No"))</f>
        <v>0</v>
      </c>
      <c r="Y329" s="29">
        <f>IF(H329="","",ROUND((U329+V329)*(IF(W329="Yes",R329,0)+IF(X329="Yes",S329,0)),2))</f>
        <v>0</v>
      </c>
      <c r="AA329" s="29">
        <f>IF(H329="","",IF(T329&lt;&gt;"Yes",0,ROUND(MAX(0,IF(Z329="",0,Z329)-FreeTravelDistance)*TravelFeeRate,2)))</f>
        <v>0</v>
      </c>
      <c r="AB329" s="31">
        <f>IF(I329="","",TravelTimeMins)</f>
        <v>0</v>
      </c>
      <c r="AC329" s="29">
        <f>IF(OR(I329="",B329=""),0,IF(I329-B329&lt;=LastMinuteDays,EmergencyFee,0))</f>
        <v>0</v>
      </c>
      <c r="AF329" s="29">
        <f>IF(H329="","",ROUND((U329+V329+Y329+AA329+AC329)*IF(AE329="",0,AE329),2))</f>
        <v>0</v>
      </c>
      <c r="AI329" s="29">
        <f>IF(H329="","",IF(AG329&lt;&gt;"",AG329,ROUND(U329+V329+Y329+AA329+AC329-AF329,2)))</f>
        <v>0</v>
      </c>
      <c r="AJ329" s="29">
        <f>IF(AI329="","",IF(TaxRegistered&lt;&gt;"Yes",0,IF(PricesIncludeTax="Yes",ROUND(AI329-AI329/(1+TaxRate),2),ROUND(AI329*TaxRate,2))))</f>
        <v>0</v>
      </c>
      <c r="AK329" s="29">
        <f>IF(AI329="","",IF(PricesIncludeTax="Yes",AI329,ROUND(AI329+AJ329,2)))</f>
        <v>0</v>
      </c>
      <c r="AQ329" s="21">
        <f>IF(OR(I329="",AP329="",AP329="None"),"",IF(AP329="Monthly",EDATE(I329,1),I329+IF(AP329="Daily",1,IF(AP329="Weekdays",IF(WEEKDAY(I329,2)&gt;=5,8-WEEKDAY(I329,2),1),IF(AP329="Weekly",7,IF(AP329="Fortnightly",14,0))))))</f>
        <v>0</v>
      </c>
      <c r="AR329" s="49">
        <f>IF(OR(I329="",AL329="",K329="",L329=""),"",IF(SUMPRODUCT((Bookings!$AL$5:$AL$404=AL329)*(Bookings!$I$5:$I$404=I329)*(Bookings!$K$5:$K$404&lt;L329)*(Bookings!$L$5:$L$404&gt;K329)*(Bookings!$AM$5:$AM$404&lt;&gt;"Cancelled"))&gt;1,"Conflict - double booked","OK"))</f>
        <v>0</v>
      </c>
      <c r="AS329" s="50">
        <f>IF(A329="","",IF(COUNTIF('Visit Log'!$B$5:$B$404,A329)&gt;0,"Yes","No"))</f>
        <v>0</v>
      </c>
      <c r="AT329" s="28">
        <f>IF(A329="","",IFERROR(INDEX(Invoices!$A$5:$A$304,MATCH(A329,Invoices!$E$5:$E$304,0)),""))</f>
        <v>0</v>
      </c>
      <c r="AU329" s="49">
        <f>IF(A329="","",IF(AT329="","Not invoiced",IFERROR(INDEX(Invoices!$U$5:$U$304,MATCH(AT329,Invoices!$A$5:$A$304,0)),"")))</f>
        <v>0</v>
      </c>
      <c r="AY329" s="28">
        <f>IF(I329="","",TEXT(I329,"yyyy-mm"))</f>
        <v>0</v>
      </c>
      <c r="AZ329" s="49">
        <f>IF(I329="","",IF(AM329="Cancelled","Cancelled",IF(AND(I329&lt;TODAY(),OR(AM329="Pending",AM329="Confirmed",AM329="Enquiry")),"Overdue - update status",IF(AND(AM329="Completed",AS329="No"),"Action - log the visit",IF(I329=TODAY(),"Today",IF(AND(I329&gt;TODAY(),I329-TODAY()&lt;=ReminderLeadDays,AN329&lt;&gt;"Yes"),"Action - unconfirmed",IF(AND(I329&gt;TODAY(),I329-TODAY()&lt;=ReminderLeadDays),"Upcoming","OK")))))))</f>
        <v>0</v>
      </c>
    </row>
    <row r="330" spans="1:52">
      <c r="A330" s="46">
        <f>IF(C330="","",BookingPrefix&amp;TEXT(ROW()-4,"0000"))</f>
        <v>0</v>
      </c>
      <c r="D330" s="28">
        <f>IF(C330="","",IFERROR(INDEX(Clients!$A$5:$A$254,MATCH(C330,Clients!$B$5:$B$254,0)),""))</f>
        <v>0</v>
      </c>
      <c r="J330" s="50">
        <f>IF(I330="","",TEXT(I330,"ddd"))</f>
        <v>0</v>
      </c>
      <c r="M330" s="51">
        <f>IF(OR(K330="",L330=""),"",ROUND((L330-K330+IF(L330&lt;K330,1,0))*24,2))</f>
        <v>0</v>
      </c>
      <c r="O330" s="28">
        <f>IF(H330="","",IFERROR(INDEX(Services!$E$5:$E$54,MATCH(H330,Services!$B$5:$B$54,0)),""))</f>
        <v>0</v>
      </c>
      <c r="P330" s="29">
        <f>IF(H330="","",IFERROR(INDEX(Services!$G$5:$G$54,MATCH(H330,Services!$B$5:$B$54,0)),0))</f>
        <v>0</v>
      </c>
      <c r="Q330" s="29">
        <f>IF(H330="","",IF(IFERROR(INDEX(Services!$H$5:$H$54,MATCH(H330,Services!$B$5:$B$54,0)),0)=0,ExtraPetFeeDefault,IFERROR(INDEX(Services!$H$5:$H$54,MATCH(H330,Services!$B$5:$B$54,0)),0)))</f>
        <v>0</v>
      </c>
      <c r="R330" s="30">
        <f>IF(H330="","",IF(IFERROR(INDEX(Services!$I$5:$I$54,MATCH(H330,Services!$B$5:$B$54,0)),0)=0,HolidaySurcharge,IFERROR(INDEX(Services!$I$5:$I$54,MATCH(H330,Services!$B$5:$B$54,0)),0)))</f>
        <v>0</v>
      </c>
      <c r="S330" s="30">
        <f>IF(H330="","",IF(IFERROR(INDEX(Services!$J$5:$J$54,MATCH(H330,Services!$B$5:$B$54,0)),0)=0,WeekendSurcharge,IFERROR(INDEX(Services!$J$5:$J$54,MATCH(H330,Services!$B$5:$B$54,0)),0)))</f>
        <v>0</v>
      </c>
      <c r="T330" s="50">
        <f>IF(H330="","",IFERROR(INDEX(Services!$K$5:$K$54,MATCH(H330,Services!$B$5:$B$54,0)),"No"))</f>
        <v>0</v>
      </c>
      <c r="U330" s="29">
        <f>IF(H330="","",ROUND(IF(O330="Per hour",P330*IF(M330="",IF(N330="",1,N330),M330),P330*IF(N330="",1,N330)),2))</f>
        <v>0</v>
      </c>
      <c r="V330" s="29">
        <f>IF(H330="","",ROUND(MAX(0,IF(G330="",1,G330)-1)*Q330,2))</f>
        <v>0</v>
      </c>
      <c r="W330" s="50">
        <f>IF(I330="","",IF(COUNTIF(HolidayDates,I330)&gt;0,"Yes","No"))</f>
        <v>0</v>
      </c>
      <c r="X330" s="50">
        <f>IF(I330="","",IF(WEEKDAY(I330,2)&gt;5,"Yes","No"))</f>
        <v>0</v>
      </c>
      <c r="Y330" s="29">
        <f>IF(H330="","",ROUND((U330+V330)*(IF(W330="Yes",R330,0)+IF(X330="Yes",S330,0)),2))</f>
        <v>0</v>
      </c>
      <c r="AA330" s="29">
        <f>IF(H330="","",IF(T330&lt;&gt;"Yes",0,ROUND(MAX(0,IF(Z330="",0,Z330)-FreeTravelDistance)*TravelFeeRate,2)))</f>
        <v>0</v>
      </c>
      <c r="AB330" s="31">
        <f>IF(I330="","",TravelTimeMins)</f>
        <v>0</v>
      </c>
      <c r="AC330" s="29">
        <f>IF(OR(I330="",B330=""),0,IF(I330-B330&lt;=LastMinuteDays,EmergencyFee,0))</f>
        <v>0</v>
      </c>
      <c r="AF330" s="29">
        <f>IF(H330="","",ROUND((U330+V330+Y330+AA330+AC330)*IF(AE330="",0,AE330),2))</f>
        <v>0</v>
      </c>
      <c r="AI330" s="29">
        <f>IF(H330="","",IF(AG330&lt;&gt;"",AG330,ROUND(U330+V330+Y330+AA330+AC330-AF330,2)))</f>
        <v>0</v>
      </c>
      <c r="AJ330" s="29">
        <f>IF(AI330="","",IF(TaxRegistered&lt;&gt;"Yes",0,IF(PricesIncludeTax="Yes",ROUND(AI330-AI330/(1+TaxRate),2),ROUND(AI330*TaxRate,2))))</f>
        <v>0</v>
      </c>
      <c r="AK330" s="29">
        <f>IF(AI330="","",IF(PricesIncludeTax="Yes",AI330,ROUND(AI330+AJ330,2)))</f>
        <v>0</v>
      </c>
      <c r="AQ330" s="21">
        <f>IF(OR(I330="",AP330="",AP330="None"),"",IF(AP330="Monthly",EDATE(I330,1),I330+IF(AP330="Daily",1,IF(AP330="Weekdays",IF(WEEKDAY(I330,2)&gt;=5,8-WEEKDAY(I330,2),1),IF(AP330="Weekly",7,IF(AP330="Fortnightly",14,0))))))</f>
        <v>0</v>
      </c>
      <c r="AR330" s="49">
        <f>IF(OR(I330="",AL330="",K330="",L330=""),"",IF(SUMPRODUCT((Bookings!$AL$5:$AL$404=AL330)*(Bookings!$I$5:$I$404=I330)*(Bookings!$K$5:$K$404&lt;L330)*(Bookings!$L$5:$L$404&gt;K330)*(Bookings!$AM$5:$AM$404&lt;&gt;"Cancelled"))&gt;1,"Conflict - double booked","OK"))</f>
        <v>0</v>
      </c>
      <c r="AS330" s="50">
        <f>IF(A330="","",IF(COUNTIF('Visit Log'!$B$5:$B$404,A330)&gt;0,"Yes","No"))</f>
        <v>0</v>
      </c>
      <c r="AT330" s="28">
        <f>IF(A330="","",IFERROR(INDEX(Invoices!$A$5:$A$304,MATCH(A330,Invoices!$E$5:$E$304,0)),""))</f>
        <v>0</v>
      </c>
      <c r="AU330" s="49">
        <f>IF(A330="","",IF(AT330="","Not invoiced",IFERROR(INDEX(Invoices!$U$5:$U$304,MATCH(AT330,Invoices!$A$5:$A$304,0)),"")))</f>
        <v>0</v>
      </c>
      <c r="AY330" s="28">
        <f>IF(I330="","",TEXT(I330,"yyyy-mm"))</f>
        <v>0</v>
      </c>
      <c r="AZ330" s="49">
        <f>IF(I330="","",IF(AM330="Cancelled","Cancelled",IF(AND(I330&lt;TODAY(),OR(AM330="Pending",AM330="Confirmed",AM330="Enquiry")),"Overdue - update status",IF(AND(AM330="Completed",AS330="No"),"Action - log the visit",IF(I330=TODAY(),"Today",IF(AND(I330&gt;TODAY(),I330-TODAY()&lt;=ReminderLeadDays,AN330&lt;&gt;"Yes"),"Action - unconfirmed",IF(AND(I330&gt;TODAY(),I330-TODAY()&lt;=ReminderLeadDays),"Upcoming","OK")))))))</f>
        <v>0</v>
      </c>
    </row>
    <row r="331" spans="1:52">
      <c r="A331" s="46">
        <f>IF(C331="","",BookingPrefix&amp;TEXT(ROW()-4,"0000"))</f>
        <v>0</v>
      </c>
      <c r="D331" s="28">
        <f>IF(C331="","",IFERROR(INDEX(Clients!$A$5:$A$254,MATCH(C331,Clients!$B$5:$B$254,0)),""))</f>
        <v>0</v>
      </c>
      <c r="J331" s="50">
        <f>IF(I331="","",TEXT(I331,"ddd"))</f>
        <v>0</v>
      </c>
      <c r="M331" s="51">
        <f>IF(OR(K331="",L331=""),"",ROUND((L331-K331+IF(L331&lt;K331,1,0))*24,2))</f>
        <v>0</v>
      </c>
      <c r="O331" s="28">
        <f>IF(H331="","",IFERROR(INDEX(Services!$E$5:$E$54,MATCH(H331,Services!$B$5:$B$54,0)),""))</f>
        <v>0</v>
      </c>
      <c r="P331" s="29">
        <f>IF(H331="","",IFERROR(INDEX(Services!$G$5:$G$54,MATCH(H331,Services!$B$5:$B$54,0)),0))</f>
        <v>0</v>
      </c>
      <c r="Q331" s="29">
        <f>IF(H331="","",IF(IFERROR(INDEX(Services!$H$5:$H$54,MATCH(H331,Services!$B$5:$B$54,0)),0)=0,ExtraPetFeeDefault,IFERROR(INDEX(Services!$H$5:$H$54,MATCH(H331,Services!$B$5:$B$54,0)),0)))</f>
        <v>0</v>
      </c>
      <c r="R331" s="30">
        <f>IF(H331="","",IF(IFERROR(INDEX(Services!$I$5:$I$54,MATCH(H331,Services!$B$5:$B$54,0)),0)=0,HolidaySurcharge,IFERROR(INDEX(Services!$I$5:$I$54,MATCH(H331,Services!$B$5:$B$54,0)),0)))</f>
        <v>0</v>
      </c>
      <c r="S331" s="30">
        <f>IF(H331="","",IF(IFERROR(INDEX(Services!$J$5:$J$54,MATCH(H331,Services!$B$5:$B$54,0)),0)=0,WeekendSurcharge,IFERROR(INDEX(Services!$J$5:$J$54,MATCH(H331,Services!$B$5:$B$54,0)),0)))</f>
        <v>0</v>
      </c>
      <c r="T331" s="50">
        <f>IF(H331="","",IFERROR(INDEX(Services!$K$5:$K$54,MATCH(H331,Services!$B$5:$B$54,0)),"No"))</f>
        <v>0</v>
      </c>
      <c r="U331" s="29">
        <f>IF(H331="","",ROUND(IF(O331="Per hour",P331*IF(M331="",IF(N331="",1,N331),M331),P331*IF(N331="",1,N331)),2))</f>
        <v>0</v>
      </c>
      <c r="V331" s="29">
        <f>IF(H331="","",ROUND(MAX(0,IF(G331="",1,G331)-1)*Q331,2))</f>
        <v>0</v>
      </c>
      <c r="W331" s="50">
        <f>IF(I331="","",IF(COUNTIF(HolidayDates,I331)&gt;0,"Yes","No"))</f>
        <v>0</v>
      </c>
      <c r="X331" s="50">
        <f>IF(I331="","",IF(WEEKDAY(I331,2)&gt;5,"Yes","No"))</f>
        <v>0</v>
      </c>
      <c r="Y331" s="29">
        <f>IF(H331="","",ROUND((U331+V331)*(IF(W331="Yes",R331,0)+IF(X331="Yes",S331,0)),2))</f>
        <v>0</v>
      </c>
      <c r="AA331" s="29">
        <f>IF(H331="","",IF(T331&lt;&gt;"Yes",0,ROUND(MAX(0,IF(Z331="",0,Z331)-FreeTravelDistance)*TravelFeeRate,2)))</f>
        <v>0</v>
      </c>
      <c r="AB331" s="31">
        <f>IF(I331="","",TravelTimeMins)</f>
        <v>0</v>
      </c>
      <c r="AC331" s="29">
        <f>IF(OR(I331="",B331=""),0,IF(I331-B331&lt;=LastMinuteDays,EmergencyFee,0))</f>
        <v>0</v>
      </c>
      <c r="AF331" s="29">
        <f>IF(H331="","",ROUND((U331+V331+Y331+AA331+AC331)*IF(AE331="",0,AE331),2))</f>
        <v>0</v>
      </c>
      <c r="AI331" s="29">
        <f>IF(H331="","",IF(AG331&lt;&gt;"",AG331,ROUND(U331+V331+Y331+AA331+AC331-AF331,2)))</f>
        <v>0</v>
      </c>
      <c r="AJ331" s="29">
        <f>IF(AI331="","",IF(TaxRegistered&lt;&gt;"Yes",0,IF(PricesIncludeTax="Yes",ROUND(AI331-AI331/(1+TaxRate),2),ROUND(AI331*TaxRate,2))))</f>
        <v>0</v>
      </c>
      <c r="AK331" s="29">
        <f>IF(AI331="","",IF(PricesIncludeTax="Yes",AI331,ROUND(AI331+AJ331,2)))</f>
        <v>0</v>
      </c>
      <c r="AQ331" s="21">
        <f>IF(OR(I331="",AP331="",AP331="None"),"",IF(AP331="Monthly",EDATE(I331,1),I331+IF(AP331="Daily",1,IF(AP331="Weekdays",IF(WEEKDAY(I331,2)&gt;=5,8-WEEKDAY(I331,2),1),IF(AP331="Weekly",7,IF(AP331="Fortnightly",14,0))))))</f>
        <v>0</v>
      </c>
      <c r="AR331" s="49">
        <f>IF(OR(I331="",AL331="",K331="",L331=""),"",IF(SUMPRODUCT((Bookings!$AL$5:$AL$404=AL331)*(Bookings!$I$5:$I$404=I331)*(Bookings!$K$5:$K$404&lt;L331)*(Bookings!$L$5:$L$404&gt;K331)*(Bookings!$AM$5:$AM$404&lt;&gt;"Cancelled"))&gt;1,"Conflict - double booked","OK"))</f>
        <v>0</v>
      </c>
      <c r="AS331" s="50">
        <f>IF(A331="","",IF(COUNTIF('Visit Log'!$B$5:$B$404,A331)&gt;0,"Yes","No"))</f>
        <v>0</v>
      </c>
      <c r="AT331" s="28">
        <f>IF(A331="","",IFERROR(INDEX(Invoices!$A$5:$A$304,MATCH(A331,Invoices!$E$5:$E$304,0)),""))</f>
        <v>0</v>
      </c>
      <c r="AU331" s="49">
        <f>IF(A331="","",IF(AT331="","Not invoiced",IFERROR(INDEX(Invoices!$U$5:$U$304,MATCH(AT331,Invoices!$A$5:$A$304,0)),"")))</f>
        <v>0</v>
      </c>
      <c r="AY331" s="28">
        <f>IF(I331="","",TEXT(I331,"yyyy-mm"))</f>
        <v>0</v>
      </c>
      <c r="AZ331" s="49">
        <f>IF(I331="","",IF(AM331="Cancelled","Cancelled",IF(AND(I331&lt;TODAY(),OR(AM331="Pending",AM331="Confirmed",AM331="Enquiry")),"Overdue - update status",IF(AND(AM331="Completed",AS331="No"),"Action - log the visit",IF(I331=TODAY(),"Today",IF(AND(I331&gt;TODAY(),I331-TODAY()&lt;=ReminderLeadDays,AN331&lt;&gt;"Yes"),"Action - unconfirmed",IF(AND(I331&gt;TODAY(),I331-TODAY()&lt;=ReminderLeadDays),"Upcoming","OK")))))))</f>
        <v>0</v>
      </c>
    </row>
    <row r="332" spans="1:52">
      <c r="A332" s="46">
        <f>IF(C332="","",BookingPrefix&amp;TEXT(ROW()-4,"0000"))</f>
        <v>0</v>
      </c>
      <c r="D332" s="28">
        <f>IF(C332="","",IFERROR(INDEX(Clients!$A$5:$A$254,MATCH(C332,Clients!$B$5:$B$254,0)),""))</f>
        <v>0</v>
      </c>
      <c r="J332" s="50">
        <f>IF(I332="","",TEXT(I332,"ddd"))</f>
        <v>0</v>
      </c>
      <c r="M332" s="51">
        <f>IF(OR(K332="",L332=""),"",ROUND((L332-K332+IF(L332&lt;K332,1,0))*24,2))</f>
        <v>0</v>
      </c>
      <c r="O332" s="28">
        <f>IF(H332="","",IFERROR(INDEX(Services!$E$5:$E$54,MATCH(H332,Services!$B$5:$B$54,0)),""))</f>
        <v>0</v>
      </c>
      <c r="P332" s="29">
        <f>IF(H332="","",IFERROR(INDEX(Services!$G$5:$G$54,MATCH(H332,Services!$B$5:$B$54,0)),0))</f>
        <v>0</v>
      </c>
      <c r="Q332" s="29">
        <f>IF(H332="","",IF(IFERROR(INDEX(Services!$H$5:$H$54,MATCH(H332,Services!$B$5:$B$54,0)),0)=0,ExtraPetFeeDefault,IFERROR(INDEX(Services!$H$5:$H$54,MATCH(H332,Services!$B$5:$B$54,0)),0)))</f>
        <v>0</v>
      </c>
      <c r="R332" s="30">
        <f>IF(H332="","",IF(IFERROR(INDEX(Services!$I$5:$I$54,MATCH(H332,Services!$B$5:$B$54,0)),0)=0,HolidaySurcharge,IFERROR(INDEX(Services!$I$5:$I$54,MATCH(H332,Services!$B$5:$B$54,0)),0)))</f>
        <v>0</v>
      </c>
      <c r="S332" s="30">
        <f>IF(H332="","",IF(IFERROR(INDEX(Services!$J$5:$J$54,MATCH(H332,Services!$B$5:$B$54,0)),0)=0,WeekendSurcharge,IFERROR(INDEX(Services!$J$5:$J$54,MATCH(H332,Services!$B$5:$B$54,0)),0)))</f>
        <v>0</v>
      </c>
      <c r="T332" s="50">
        <f>IF(H332="","",IFERROR(INDEX(Services!$K$5:$K$54,MATCH(H332,Services!$B$5:$B$54,0)),"No"))</f>
        <v>0</v>
      </c>
      <c r="U332" s="29">
        <f>IF(H332="","",ROUND(IF(O332="Per hour",P332*IF(M332="",IF(N332="",1,N332),M332),P332*IF(N332="",1,N332)),2))</f>
        <v>0</v>
      </c>
      <c r="V332" s="29">
        <f>IF(H332="","",ROUND(MAX(0,IF(G332="",1,G332)-1)*Q332,2))</f>
        <v>0</v>
      </c>
      <c r="W332" s="50">
        <f>IF(I332="","",IF(COUNTIF(HolidayDates,I332)&gt;0,"Yes","No"))</f>
        <v>0</v>
      </c>
      <c r="X332" s="50">
        <f>IF(I332="","",IF(WEEKDAY(I332,2)&gt;5,"Yes","No"))</f>
        <v>0</v>
      </c>
      <c r="Y332" s="29">
        <f>IF(H332="","",ROUND((U332+V332)*(IF(W332="Yes",R332,0)+IF(X332="Yes",S332,0)),2))</f>
        <v>0</v>
      </c>
      <c r="AA332" s="29">
        <f>IF(H332="","",IF(T332&lt;&gt;"Yes",0,ROUND(MAX(0,IF(Z332="",0,Z332)-FreeTravelDistance)*TravelFeeRate,2)))</f>
        <v>0</v>
      </c>
      <c r="AB332" s="31">
        <f>IF(I332="","",TravelTimeMins)</f>
        <v>0</v>
      </c>
      <c r="AC332" s="29">
        <f>IF(OR(I332="",B332=""),0,IF(I332-B332&lt;=LastMinuteDays,EmergencyFee,0))</f>
        <v>0</v>
      </c>
      <c r="AF332" s="29">
        <f>IF(H332="","",ROUND((U332+V332+Y332+AA332+AC332)*IF(AE332="",0,AE332),2))</f>
        <v>0</v>
      </c>
      <c r="AI332" s="29">
        <f>IF(H332="","",IF(AG332&lt;&gt;"",AG332,ROUND(U332+V332+Y332+AA332+AC332-AF332,2)))</f>
        <v>0</v>
      </c>
      <c r="AJ332" s="29">
        <f>IF(AI332="","",IF(TaxRegistered&lt;&gt;"Yes",0,IF(PricesIncludeTax="Yes",ROUND(AI332-AI332/(1+TaxRate),2),ROUND(AI332*TaxRate,2))))</f>
        <v>0</v>
      </c>
      <c r="AK332" s="29">
        <f>IF(AI332="","",IF(PricesIncludeTax="Yes",AI332,ROUND(AI332+AJ332,2)))</f>
        <v>0</v>
      </c>
      <c r="AQ332" s="21">
        <f>IF(OR(I332="",AP332="",AP332="None"),"",IF(AP332="Monthly",EDATE(I332,1),I332+IF(AP332="Daily",1,IF(AP332="Weekdays",IF(WEEKDAY(I332,2)&gt;=5,8-WEEKDAY(I332,2),1),IF(AP332="Weekly",7,IF(AP332="Fortnightly",14,0))))))</f>
        <v>0</v>
      </c>
      <c r="AR332" s="49">
        <f>IF(OR(I332="",AL332="",K332="",L332=""),"",IF(SUMPRODUCT((Bookings!$AL$5:$AL$404=AL332)*(Bookings!$I$5:$I$404=I332)*(Bookings!$K$5:$K$404&lt;L332)*(Bookings!$L$5:$L$404&gt;K332)*(Bookings!$AM$5:$AM$404&lt;&gt;"Cancelled"))&gt;1,"Conflict - double booked","OK"))</f>
        <v>0</v>
      </c>
      <c r="AS332" s="50">
        <f>IF(A332="","",IF(COUNTIF('Visit Log'!$B$5:$B$404,A332)&gt;0,"Yes","No"))</f>
        <v>0</v>
      </c>
      <c r="AT332" s="28">
        <f>IF(A332="","",IFERROR(INDEX(Invoices!$A$5:$A$304,MATCH(A332,Invoices!$E$5:$E$304,0)),""))</f>
        <v>0</v>
      </c>
      <c r="AU332" s="49">
        <f>IF(A332="","",IF(AT332="","Not invoiced",IFERROR(INDEX(Invoices!$U$5:$U$304,MATCH(AT332,Invoices!$A$5:$A$304,0)),"")))</f>
        <v>0</v>
      </c>
      <c r="AY332" s="28">
        <f>IF(I332="","",TEXT(I332,"yyyy-mm"))</f>
        <v>0</v>
      </c>
      <c r="AZ332" s="49">
        <f>IF(I332="","",IF(AM332="Cancelled","Cancelled",IF(AND(I332&lt;TODAY(),OR(AM332="Pending",AM332="Confirmed",AM332="Enquiry")),"Overdue - update status",IF(AND(AM332="Completed",AS332="No"),"Action - log the visit",IF(I332=TODAY(),"Today",IF(AND(I332&gt;TODAY(),I332-TODAY()&lt;=ReminderLeadDays,AN332&lt;&gt;"Yes"),"Action - unconfirmed",IF(AND(I332&gt;TODAY(),I332-TODAY()&lt;=ReminderLeadDays),"Upcoming","OK")))))))</f>
        <v>0</v>
      </c>
    </row>
    <row r="333" spans="1:52">
      <c r="A333" s="46">
        <f>IF(C333="","",BookingPrefix&amp;TEXT(ROW()-4,"0000"))</f>
        <v>0</v>
      </c>
      <c r="D333" s="28">
        <f>IF(C333="","",IFERROR(INDEX(Clients!$A$5:$A$254,MATCH(C333,Clients!$B$5:$B$254,0)),""))</f>
        <v>0</v>
      </c>
      <c r="J333" s="50">
        <f>IF(I333="","",TEXT(I333,"ddd"))</f>
        <v>0</v>
      </c>
      <c r="M333" s="51">
        <f>IF(OR(K333="",L333=""),"",ROUND((L333-K333+IF(L333&lt;K333,1,0))*24,2))</f>
        <v>0</v>
      </c>
      <c r="O333" s="28">
        <f>IF(H333="","",IFERROR(INDEX(Services!$E$5:$E$54,MATCH(H333,Services!$B$5:$B$54,0)),""))</f>
        <v>0</v>
      </c>
      <c r="P333" s="29">
        <f>IF(H333="","",IFERROR(INDEX(Services!$G$5:$G$54,MATCH(H333,Services!$B$5:$B$54,0)),0))</f>
        <v>0</v>
      </c>
      <c r="Q333" s="29">
        <f>IF(H333="","",IF(IFERROR(INDEX(Services!$H$5:$H$54,MATCH(H333,Services!$B$5:$B$54,0)),0)=0,ExtraPetFeeDefault,IFERROR(INDEX(Services!$H$5:$H$54,MATCH(H333,Services!$B$5:$B$54,0)),0)))</f>
        <v>0</v>
      </c>
      <c r="R333" s="30">
        <f>IF(H333="","",IF(IFERROR(INDEX(Services!$I$5:$I$54,MATCH(H333,Services!$B$5:$B$54,0)),0)=0,HolidaySurcharge,IFERROR(INDEX(Services!$I$5:$I$54,MATCH(H333,Services!$B$5:$B$54,0)),0)))</f>
        <v>0</v>
      </c>
      <c r="S333" s="30">
        <f>IF(H333="","",IF(IFERROR(INDEX(Services!$J$5:$J$54,MATCH(H333,Services!$B$5:$B$54,0)),0)=0,WeekendSurcharge,IFERROR(INDEX(Services!$J$5:$J$54,MATCH(H333,Services!$B$5:$B$54,0)),0)))</f>
        <v>0</v>
      </c>
      <c r="T333" s="50">
        <f>IF(H333="","",IFERROR(INDEX(Services!$K$5:$K$54,MATCH(H333,Services!$B$5:$B$54,0)),"No"))</f>
        <v>0</v>
      </c>
      <c r="U333" s="29">
        <f>IF(H333="","",ROUND(IF(O333="Per hour",P333*IF(M333="",IF(N333="",1,N333),M333),P333*IF(N333="",1,N333)),2))</f>
        <v>0</v>
      </c>
      <c r="V333" s="29">
        <f>IF(H333="","",ROUND(MAX(0,IF(G333="",1,G333)-1)*Q333,2))</f>
        <v>0</v>
      </c>
      <c r="W333" s="50">
        <f>IF(I333="","",IF(COUNTIF(HolidayDates,I333)&gt;0,"Yes","No"))</f>
        <v>0</v>
      </c>
      <c r="X333" s="50">
        <f>IF(I333="","",IF(WEEKDAY(I333,2)&gt;5,"Yes","No"))</f>
        <v>0</v>
      </c>
      <c r="Y333" s="29">
        <f>IF(H333="","",ROUND((U333+V333)*(IF(W333="Yes",R333,0)+IF(X333="Yes",S333,0)),2))</f>
        <v>0</v>
      </c>
      <c r="AA333" s="29">
        <f>IF(H333="","",IF(T333&lt;&gt;"Yes",0,ROUND(MAX(0,IF(Z333="",0,Z333)-FreeTravelDistance)*TravelFeeRate,2)))</f>
        <v>0</v>
      </c>
      <c r="AB333" s="31">
        <f>IF(I333="","",TravelTimeMins)</f>
        <v>0</v>
      </c>
      <c r="AC333" s="29">
        <f>IF(OR(I333="",B333=""),0,IF(I333-B333&lt;=LastMinuteDays,EmergencyFee,0))</f>
        <v>0</v>
      </c>
      <c r="AF333" s="29">
        <f>IF(H333="","",ROUND((U333+V333+Y333+AA333+AC333)*IF(AE333="",0,AE333),2))</f>
        <v>0</v>
      </c>
      <c r="AI333" s="29">
        <f>IF(H333="","",IF(AG333&lt;&gt;"",AG333,ROUND(U333+V333+Y333+AA333+AC333-AF333,2)))</f>
        <v>0</v>
      </c>
      <c r="AJ333" s="29">
        <f>IF(AI333="","",IF(TaxRegistered&lt;&gt;"Yes",0,IF(PricesIncludeTax="Yes",ROUND(AI333-AI333/(1+TaxRate),2),ROUND(AI333*TaxRate,2))))</f>
        <v>0</v>
      </c>
      <c r="AK333" s="29">
        <f>IF(AI333="","",IF(PricesIncludeTax="Yes",AI333,ROUND(AI333+AJ333,2)))</f>
        <v>0</v>
      </c>
      <c r="AQ333" s="21">
        <f>IF(OR(I333="",AP333="",AP333="None"),"",IF(AP333="Monthly",EDATE(I333,1),I333+IF(AP333="Daily",1,IF(AP333="Weekdays",IF(WEEKDAY(I333,2)&gt;=5,8-WEEKDAY(I333,2),1),IF(AP333="Weekly",7,IF(AP333="Fortnightly",14,0))))))</f>
        <v>0</v>
      </c>
      <c r="AR333" s="49">
        <f>IF(OR(I333="",AL333="",K333="",L333=""),"",IF(SUMPRODUCT((Bookings!$AL$5:$AL$404=AL333)*(Bookings!$I$5:$I$404=I333)*(Bookings!$K$5:$K$404&lt;L333)*(Bookings!$L$5:$L$404&gt;K333)*(Bookings!$AM$5:$AM$404&lt;&gt;"Cancelled"))&gt;1,"Conflict - double booked","OK"))</f>
        <v>0</v>
      </c>
      <c r="AS333" s="50">
        <f>IF(A333="","",IF(COUNTIF('Visit Log'!$B$5:$B$404,A333)&gt;0,"Yes","No"))</f>
        <v>0</v>
      </c>
      <c r="AT333" s="28">
        <f>IF(A333="","",IFERROR(INDEX(Invoices!$A$5:$A$304,MATCH(A333,Invoices!$E$5:$E$304,0)),""))</f>
        <v>0</v>
      </c>
      <c r="AU333" s="49">
        <f>IF(A333="","",IF(AT333="","Not invoiced",IFERROR(INDEX(Invoices!$U$5:$U$304,MATCH(AT333,Invoices!$A$5:$A$304,0)),"")))</f>
        <v>0</v>
      </c>
      <c r="AY333" s="28">
        <f>IF(I333="","",TEXT(I333,"yyyy-mm"))</f>
        <v>0</v>
      </c>
      <c r="AZ333" s="49">
        <f>IF(I333="","",IF(AM333="Cancelled","Cancelled",IF(AND(I333&lt;TODAY(),OR(AM333="Pending",AM333="Confirmed",AM333="Enquiry")),"Overdue - update status",IF(AND(AM333="Completed",AS333="No"),"Action - log the visit",IF(I333=TODAY(),"Today",IF(AND(I333&gt;TODAY(),I333-TODAY()&lt;=ReminderLeadDays,AN333&lt;&gt;"Yes"),"Action - unconfirmed",IF(AND(I333&gt;TODAY(),I333-TODAY()&lt;=ReminderLeadDays),"Upcoming","OK")))))))</f>
        <v>0</v>
      </c>
    </row>
    <row r="334" spans="1:52">
      <c r="A334" s="46">
        <f>IF(C334="","",BookingPrefix&amp;TEXT(ROW()-4,"0000"))</f>
        <v>0</v>
      </c>
      <c r="D334" s="28">
        <f>IF(C334="","",IFERROR(INDEX(Clients!$A$5:$A$254,MATCH(C334,Clients!$B$5:$B$254,0)),""))</f>
        <v>0</v>
      </c>
      <c r="J334" s="50">
        <f>IF(I334="","",TEXT(I334,"ddd"))</f>
        <v>0</v>
      </c>
      <c r="M334" s="51">
        <f>IF(OR(K334="",L334=""),"",ROUND((L334-K334+IF(L334&lt;K334,1,0))*24,2))</f>
        <v>0</v>
      </c>
      <c r="O334" s="28">
        <f>IF(H334="","",IFERROR(INDEX(Services!$E$5:$E$54,MATCH(H334,Services!$B$5:$B$54,0)),""))</f>
        <v>0</v>
      </c>
      <c r="P334" s="29">
        <f>IF(H334="","",IFERROR(INDEX(Services!$G$5:$G$54,MATCH(H334,Services!$B$5:$B$54,0)),0))</f>
        <v>0</v>
      </c>
      <c r="Q334" s="29">
        <f>IF(H334="","",IF(IFERROR(INDEX(Services!$H$5:$H$54,MATCH(H334,Services!$B$5:$B$54,0)),0)=0,ExtraPetFeeDefault,IFERROR(INDEX(Services!$H$5:$H$54,MATCH(H334,Services!$B$5:$B$54,0)),0)))</f>
        <v>0</v>
      </c>
      <c r="R334" s="30">
        <f>IF(H334="","",IF(IFERROR(INDEX(Services!$I$5:$I$54,MATCH(H334,Services!$B$5:$B$54,0)),0)=0,HolidaySurcharge,IFERROR(INDEX(Services!$I$5:$I$54,MATCH(H334,Services!$B$5:$B$54,0)),0)))</f>
        <v>0</v>
      </c>
      <c r="S334" s="30">
        <f>IF(H334="","",IF(IFERROR(INDEX(Services!$J$5:$J$54,MATCH(H334,Services!$B$5:$B$54,0)),0)=0,WeekendSurcharge,IFERROR(INDEX(Services!$J$5:$J$54,MATCH(H334,Services!$B$5:$B$54,0)),0)))</f>
        <v>0</v>
      </c>
      <c r="T334" s="50">
        <f>IF(H334="","",IFERROR(INDEX(Services!$K$5:$K$54,MATCH(H334,Services!$B$5:$B$54,0)),"No"))</f>
        <v>0</v>
      </c>
      <c r="U334" s="29">
        <f>IF(H334="","",ROUND(IF(O334="Per hour",P334*IF(M334="",IF(N334="",1,N334),M334),P334*IF(N334="",1,N334)),2))</f>
        <v>0</v>
      </c>
      <c r="V334" s="29">
        <f>IF(H334="","",ROUND(MAX(0,IF(G334="",1,G334)-1)*Q334,2))</f>
        <v>0</v>
      </c>
      <c r="W334" s="50">
        <f>IF(I334="","",IF(COUNTIF(HolidayDates,I334)&gt;0,"Yes","No"))</f>
        <v>0</v>
      </c>
      <c r="X334" s="50">
        <f>IF(I334="","",IF(WEEKDAY(I334,2)&gt;5,"Yes","No"))</f>
        <v>0</v>
      </c>
      <c r="Y334" s="29">
        <f>IF(H334="","",ROUND((U334+V334)*(IF(W334="Yes",R334,0)+IF(X334="Yes",S334,0)),2))</f>
        <v>0</v>
      </c>
      <c r="AA334" s="29">
        <f>IF(H334="","",IF(T334&lt;&gt;"Yes",0,ROUND(MAX(0,IF(Z334="",0,Z334)-FreeTravelDistance)*TravelFeeRate,2)))</f>
        <v>0</v>
      </c>
      <c r="AB334" s="31">
        <f>IF(I334="","",TravelTimeMins)</f>
        <v>0</v>
      </c>
      <c r="AC334" s="29">
        <f>IF(OR(I334="",B334=""),0,IF(I334-B334&lt;=LastMinuteDays,EmergencyFee,0))</f>
        <v>0</v>
      </c>
      <c r="AF334" s="29">
        <f>IF(H334="","",ROUND((U334+V334+Y334+AA334+AC334)*IF(AE334="",0,AE334),2))</f>
        <v>0</v>
      </c>
      <c r="AI334" s="29">
        <f>IF(H334="","",IF(AG334&lt;&gt;"",AG334,ROUND(U334+V334+Y334+AA334+AC334-AF334,2)))</f>
        <v>0</v>
      </c>
      <c r="AJ334" s="29">
        <f>IF(AI334="","",IF(TaxRegistered&lt;&gt;"Yes",0,IF(PricesIncludeTax="Yes",ROUND(AI334-AI334/(1+TaxRate),2),ROUND(AI334*TaxRate,2))))</f>
        <v>0</v>
      </c>
      <c r="AK334" s="29">
        <f>IF(AI334="","",IF(PricesIncludeTax="Yes",AI334,ROUND(AI334+AJ334,2)))</f>
        <v>0</v>
      </c>
      <c r="AQ334" s="21">
        <f>IF(OR(I334="",AP334="",AP334="None"),"",IF(AP334="Monthly",EDATE(I334,1),I334+IF(AP334="Daily",1,IF(AP334="Weekdays",IF(WEEKDAY(I334,2)&gt;=5,8-WEEKDAY(I334,2),1),IF(AP334="Weekly",7,IF(AP334="Fortnightly",14,0))))))</f>
        <v>0</v>
      </c>
      <c r="AR334" s="49">
        <f>IF(OR(I334="",AL334="",K334="",L334=""),"",IF(SUMPRODUCT((Bookings!$AL$5:$AL$404=AL334)*(Bookings!$I$5:$I$404=I334)*(Bookings!$K$5:$K$404&lt;L334)*(Bookings!$L$5:$L$404&gt;K334)*(Bookings!$AM$5:$AM$404&lt;&gt;"Cancelled"))&gt;1,"Conflict - double booked","OK"))</f>
        <v>0</v>
      </c>
      <c r="AS334" s="50">
        <f>IF(A334="","",IF(COUNTIF('Visit Log'!$B$5:$B$404,A334)&gt;0,"Yes","No"))</f>
        <v>0</v>
      </c>
      <c r="AT334" s="28">
        <f>IF(A334="","",IFERROR(INDEX(Invoices!$A$5:$A$304,MATCH(A334,Invoices!$E$5:$E$304,0)),""))</f>
        <v>0</v>
      </c>
      <c r="AU334" s="49">
        <f>IF(A334="","",IF(AT334="","Not invoiced",IFERROR(INDEX(Invoices!$U$5:$U$304,MATCH(AT334,Invoices!$A$5:$A$304,0)),"")))</f>
        <v>0</v>
      </c>
      <c r="AY334" s="28">
        <f>IF(I334="","",TEXT(I334,"yyyy-mm"))</f>
        <v>0</v>
      </c>
      <c r="AZ334" s="49">
        <f>IF(I334="","",IF(AM334="Cancelled","Cancelled",IF(AND(I334&lt;TODAY(),OR(AM334="Pending",AM334="Confirmed",AM334="Enquiry")),"Overdue - update status",IF(AND(AM334="Completed",AS334="No"),"Action - log the visit",IF(I334=TODAY(),"Today",IF(AND(I334&gt;TODAY(),I334-TODAY()&lt;=ReminderLeadDays,AN334&lt;&gt;"Yes"),"Action - unconfirmed",IF(AND(I334&gt;TODAY(),I334-TODAY()&lt;=ReminderLeadDays),"Upcoming","OK")))))))</f>
        <v>0</v>
      </c>
    </row>
    <row r="335" spans="1:52">
      <c r="A335" s="46">
        <f>IF(C335="","",BookingPrefix&amp;TEXT(ROW()-4,"0000"))</f>
        <v>0</v>
      </c>
      <c r="D335" s="28">
        <f>IF(C335="","",IFERROR(INDEX(Clients!$A$5:$A$254,MATCH(C335,Clients!$B$5:$B$254,0)),""))</f>
        <v>0</v>
      </c>
      <c r="J335" s="50">
        <f>IF(I335="","",TEXT(I335,"ddd"))</f>
        <v>0</v>
      </c>
      <c r="M335" s="51">
        <f>IF(OR(K335="",L335=""),"",ROUND((L335-K335+IF(L335&lt;K335,1,0))*24,2))</f>
        <v>0</v>
      </c>
      <c r="O335" s="28">
        <f>IF(H335="","",IFERROR(INDEX(Services!$E$5:$E$54,MATCH(H335,Services!$B$5:$B$54,0)),""))</f>
        <v>0</v>
      </c>
      <c r="P335" s="29">
        <f>IF(H335="","",IFERROR(INDEX(Services!$G$5:$G$54,MATCH(H335,Services!$B$5:$B$54,0)),0))</f>
        <v>0</v>
      </c>
      <c r="Q335" s="29">
        <f>IF(H335="","",IF(IFERROR(INDEX(Services!$H$5:$H$54,MATCH(H335,Services!$B$5:$B$54,0)),0)=0,ExtraPetFeeDefault,IFERROR(INDEX(Services!$H$5:$H$54,MATCH(H335,Services!$B$5:$B$54,0)),0)))</f>
        <v>0</v>
      </c>
      <c r="R335" s="30">
        <f>IF(H335="","",IF(IFERROR(INDEX(Services!$I$5:$I$54,MATCH(H335,Services!$B$5:$B$54,0)),0)=0,HolidaySurcharge,IFERROR(INDEX(Services!$I$5:$I$54,MATCH(H335,Services!$B$5:$B$54,0)),0)))</f>
        <v>0</v>
      </c>
      <c r="S335" s="30">
        <f>IF(H335="","",IF(IFERROR(INDEX(Services!$J$5:$J$54,MATCH(H335,Services!$B$5:$B$54,0)),0)=0,WeekendSurcharge,IFERROR(INDEX(Services!$J$5:$J$54,MATCH(H335,Services!$B$5:$B$54,0)),0)))</f>
        <v>0</v>
      </c>
      <c r="T335" s="50">
        <f>IF(H335="","",IFERROR(INDEX(Services!$K$5:$K$54,MATCH(H335,Services!$B$5:$B$54,0)),"No"))</f>
        <v>0</v>
      </c>
      <c r="U335" s="29">
        <f>IF(H335="","",ROUND(IF(O335="Per hour",P335*IF(M335="",IF(N335="",1,N335),M335),P335*IF(N335="",1,N335)),2))</f>
        <v>0</v>
      </c>
      <c r="V335" s="29">
        <f>IF(H335="","",ROUND(MAX(0,IF(G335="",1,G335)-1)*Q335,2))</f>
        <v>0</v>
      </c>
      <c r="W335" s="50">
        <f>IF(I335="","",IF(COUNTIF(HolidayDates,I335)&gt;0,"Yes","No"))</f>
        <v>0</v>
      </c>
      <c r="X335" s="50">
        <f>IF(I335="","",IF(WEEKDAY(I335,2)&gt;5,"Yes","No"))</f>
        <v>0</v>
      </c>
      <c r="Y335" s="29">
        <f>IF(H335="","",ROUND((U335+V335)*(IF(W335="Yes",R335,0)+IF(X335="Yes",S335,0)),2))</f>
        <v>0</v>
      </c>
      <c r="AA335" s="29">
        <f>IF(H335="","",IF(T335&lt;&gt;"Yes",0,ROUND(MAX(0,IF(Z335="",0,Z335)-FreeTravelDistance)*TravelFeeRate,2)))</f>
        <v>0</v>
      </c>
      <c r="AB335" s="31">
        <f>IF(I335="","",TravelTimeMins)</f>
        <v>0</v>
      </c>
      <c r="AC335" s="29">
        <f>IF(OR(I335="",B335=""),0,IF(I335-B335&lt;=LastMinuteDays,EmergencyFee,0))</f>
        <v>0</v>
      </c>
      <c r="AF335" s="29">
        <f>IF(H335="","",ROUND((U335+V335+Y335+AA335+AC335)*IF(AE335="",0,AE335),2))</f>
        <v>0</v>
      </c>
      <c r="AI335" s="29">
        <f>IF(H335="","",IF(AG335&lt;&gt;"",AG335,ROUND(U335+V335+Y335+AA335+AC335-AF335,2)))</f>
        <v>0</v>
      </c>
      <c r="AJ335" s="29">
        <f>IF(AI335="","",IF(TaxRegistered&lt;&gt;"Yes",0,IF(PricesIncludeTax="Yes",ROUND(AI335-AI335/(1+TaxRate),2),ROUND(AI335*TaxRate,2))))</f>
        <v>0</v>
      </c>
      <c r="AK335" s="29">
        <f>IF(AI335="","",IF(PricesIncludeTax="Yes",AI335,ROUND(AI335+AJ335,2)))</f>
        <v>0</v>
      </c>
      <c r="AQ335" s="21">
        <f>IF(OR(I335="",AP335="",AP335="None"),"",IF(AP335="Monthly",EDATE(I335,1),I335+IF(AP335="Daily",1,IF(AP335="Weekdays",IF(WEEKDAY(I335,2)&gt;=5,8-WEEKDAY(I335,2),1),IF(AP335="Weekly",7,IF(AP335="Fortnightly",14,0))))))</f>
        <v>0</v>
      </c>
      <c r="AR335" s="49">
        <f>IF(OR(I335="",AL335="",K335="",L335=""),"",IF(SUMPRODUCT((Bookings!$AL$5:$AL$404=AL335)*(Bookings!$I$5:$I$404=I335)*(Bookings!$K$5:$K$404&lt;L335)*(Bookings!$L$5:$L$404&gt;K335)*(Bookings!$AM$5:$AM$404&lt;&gt;"Cancelled"))&gt;1,"Conflict - double booked","OK"))</f>
        <v>0</v>
      </c>
      <c r="AS335" s="50">
        <f>IF(A335="","",IF(COUNTIF('Visit Log'!$B$5:$B$404,A335)&gt;0,"Yes","No"))</f>
        <v>0</v>
      </c>
      <c r="AT335" s="28">
        <f>IF(A335="","",IFERROR(INDEX(Invoices!$A$5:$A$304,MATCH(A335,Invoices!$E$5:$E$304,0)),""))</f>
        <v>0</v>
      </c>
      <c r="AU335" s="49">
        <f>IF(A335="","",IF(AT335="","Not invoiced",IFERROR(INDEX(Invoices!$U$5:$U$304,MATCH(AT335,Invoices!$A$5:$A$304,0)),"")))</f>
        <v>0</v>
      </c>
      <c r="AY335" s="28">
        <f>IF(I335="","",TEXT(I335,"yyyy-mm"))</f>
        <v>0</v>
      </c>
      <c r="AZ335" s="49">
        <f>IF(I335="","",IF(AM335="Cancelled","Cancelled",IF(AND(I335&lt;TODAY(),OR(AM335="Pending",AM335="Confirmed",AM335="Enquiry")),"Overdue - update status",IF(AND(AM335="Completed",AS335="No"),"Action - log the visit",IF(I335=TODAY(),"Today",IF(AND(I335&gt;TODAY(),I335-TODAY()&lt;=ReminderLeadDays,AN335&lt;&gt;"Yes"),"Action - unconfirmed",IF(AND(I335&gt;TODAY(),I335-TODAY()&lt;=ReminderLeadDays),"Upcoming","OK")))))))</f>
        <v>0</v>
      </c>
    </row>
    <row r="336" spans="1:52">
      <c r="A336" s="46">
        <f>IF(C336="","",BookingPrefix&amp;TEXT(ROW()-4,"0000"))</f>
        <v>0</v>
      </c>
      <c r="D336" s="28">
        <f>IF(C336="","",IFERROR(INDEX(Clients!$A$5:$A$254,MATCH(C336,Clients!$B$5:$B$254,0)),""))</f>
        <v>0</v>
      </c>
      <c r="J336" s="50">
        <f>IF(I336="","",TEXT(I336,"ddd"))</f>
        <v>0</v>
      </c>
      <c r="M336" s="51">
        <f>IF(OR(K336="",L336=""),"",ROUND((L336-K336+IF(L336&lt;K336,1,0))*24,2))</f>
        <v>0</v>
      </c>
      <c r="O336" s="28">
        <f>IF(H336="","",IFERROR(INDEX(Services!$E$5:$E$54,MATCH(H336,Services!$B$5:$B$54,0)),""))</f>
        <v>0</v>
      </c>
      <c r="P336" s="29">
        <f>IF(H336="","",IFERROR(INDEX(Services!$G$5:$G$54,MATCH(H336,Services!$B$5:$B$54,0)),0))</f>
        <v>0</v>
      </c>
      <c r="Q336" s="29">
        <f>IF(H336="","",IF(IFERROR(INDEX(Services!$H$5:$H$54,MATCH(H336,Services!$B$5:$B$54,0)),0)=0,ExtraPetFeeDefault,IFERROR(INDEX(Services!$H$5:$H$54,MATCH(H336,Services!$B$5:$B$54,0)),0)))</f>
        <v>0</v>
      </c>
      <c r="R336" s="30">
        <f>IF(H336="","",IF(IFERROR(INDEX(Services!$I$5:$I$54,MATCH(H336,Services!$B$5:$B$54,0)),0)=0,HolidaySurcharge,IFERROR(INDEX(Services!$I$5:$I$54,MATCH(H336,Services!$B$5:$B$54,0)),0)))</f>
        <v>0</v>
      </c>
      <c r="S336" s="30">
        <f>IF(H336="","",IF(IFERROR(INDEX(Services!$J$5:$J$54,MATCH(H336,Services!$B$5:$B$54,0)),0)=0,WeekendSurcharge,IFERROR(INDEX(Services!$J$5:$J$54,MATCH(H336,Services!$B$5:$B$54,0)),0)))</f>
        <v>0</v>
      </c>
      <c r="T336" s="50">
        <f>IF(H336="","",IFERROR(INDEX(Services!$K$5:$K$54,MATCH(H336,Services!$B$5:$B$54,0)),"No"))</f>
        <v>0</v>
      </c>
      <c r="U336" s="29">
        <f>IF(H336="","",ROUND(IF(O336="Per hour",P336*IF(M336="",IF(N336="",1,N336),M336),P336*IF(N336="",1,N336)),2))</f>
        <v>0</v>
      </c>
      <c r="V336" s="29">
        <f>IF(H336="","",ROUND(MAX(0,IF(G336="",1,G336)-1)*Q336,2))</f>
        <v>0</v>
      </c>
      <c r="W336" s="50">
        <f>IF(I336="","",IF(COUNTIF(HolidayDates,I336)&gt;0,"Yes","No"))</f>
        <v>0</v>
      </c>
      <c r="X336" s="50">
        <f>IF(I336="","",IF(WEEKDAY(I336,2)&gt;5,"Yes","No"))</f>
        <v>0</v>
      </c>
      <c r="Y336" s="29">
        <f>IF(H336="","",ROUND((U336+V336)*(IF(W336="Yes",R336,0)+IF(X336="Yes",S336,0)),2))</f>
        <v>0</v>
      </c>
      <c r="AA336" s="29">
        <f>IF(H336="","",IF(T336&lt;&gt;"Yes",0,ROUND(MAX(0,IF(Z336="",0,Z336)-FreeTravelDistance)*TravelFeeRate,2)))</f>
        <v>0</v>
      </c>
      <c r="AB336" s="31">
        <f>IF(I336="","",TravelTimeMins)</f>
        <v>0</v>
      </c>
      <c r="AC336" s="29">
        <f>IF(OR(I336="",B336=""),0,IF(I336-B336&lt;=LastMinuteDays,EmergencyFee,0))</f>
        <v>0</v>
      </c>
      <c r="AF336" s="29">
        <f>IF(H336="","",ROUND((U336+V336+Y336+AA336+AC336)*IF(AE336="",0,AE336),2))</f>
        <v>0</v>
      </c>
      <c r="AI336" s="29">
        <f>IF(H336="","",IF(AG336&lt;&gt;"",AG336,ROUND(U336+V336+Y336+AA336+AC336-AF336,2)))</f>
        <v>0</v>
      </c>
      <c r="AJ336" s="29">
        <f>IF(AI336="","",IF(TaxRegistered&lt;&gt;"Yes",0,IF(PricesIncludeTax="Yes",ROUND(AI336-AI336/(1+TaxRate),2),ROUND(AI336*TaxRate,2))))</f>
        <v>0</v>
      </c>
      <c r="AK336" s="29">
        <f>IF(AI336="","",IF(PricesIncludeTax="Yes",AI336,ROUND(AI336+AJ336,2)))</f>
        <v>0</v>
      </c>
      <c r="AQ336" s="21">
        <f>IF(OR(I336="",AP336="",AP336="None"),"",IF(AP336="Monthly",EDATE(I336,1),I336+IF(AP336="Daily",1,IF(AP336="Weekdays",IF(WEEKDAY(I336,2)&gt;=5,8-WEEKDAY(I336,2),1),IF(AP336="Weekly",7,IF(AP336="Fortnightly",14,0))))))</f>
        <v>0</v>
      </c>
      <c r="AR336" s="49">
        <f>IF(OR(I336="",AL336="",K336="",L336=""),"",IF(SUMPRODUCT((Bookings!$AL$5:$AL$404=AL336)*(Bookings!$I$5:$I$404=I336)*(Bookings!$K$5:$K$404&lt;L336)*(Bookings!$L$5:$L$404&gt;K336)*(Bookings!$AM$5:$AM$404&lt;&gt;"Cancelled"))&gt;1,"Conflict - double booked","OK"))</f>
        <v>0</v>
      </c>
      <c r="AS336" s="50">
        <f>IF(A336="","",IF(COUNTIF('Visit Log'!$B$5:$B$404,A336)&gt;0,"Yes","No"))</f>
        <v>0</v>
      </c>
      <c r="AT336" s="28">
        <f>IF(A336="","",IFERROR(INDEX(Invoices!$A$5:$A$304,MATCH(A336,Invoices!$E$5:$E$304,0)),""))</f>
        <v>0</v>
      </c>
      <c r="AU336" s="49">
        <f>IF(A336="","",IF(AT336="","Not invoiced",IFERROR(INDEX(Invoices!$U$5:$U$304,MATCH(AT336,Invoices!$A$5:$A$304,0)),"")))</f>
        <v>0</v>
      </c>
      <c r="AY336" s="28">
        <f>IF(I336="","",TEXT(I336,"yyyy-mm"))</f>
        <v>0</v>
      </c>
      <c r="AZ336" s="49">
        <f>IF(I336="","",IF(AM336="Cancelled","Cancelled",IF(AND(I336&lt;TODAY(),OR(AM336="Pending",AM336="Confirmed",AM336="Enquiry")),"Overdue - update status",IF(AND(AM336="Completed",AS336="No"),"Action - log the visit",IF(I336=TODAY(),"Today",IF(AND(I336&gt;TODAY(),I336-TODAY()&lt;=ReminderLeadDays,AN336&lt;&gt;"Yes"),"Action - unconfirmed",IF(AND(I336&gt;TODAY(),I336-TODAY()&lt;=ReminderLeadDays),"Upcoming","OK")))))))</f>
        <v>0</v>
      </c>
    </row>
    <row r="337" spans="1:52">
      <c r="A337" s="46">
        <f>IF(C337="","",BookingPrefix&amp;TEXT(ROW()-4,"0000"))</f>
        <v>0</v>
      </c>
      <c r="D337" s="28">
        <f>IF(C337="","",IFERROR(INDEX(Clients!$A$5:$A$254,MATCH(C337,Clients!$B$5:$B$254,0)),""))</f>
        <v>0</v>
      </c>
      <c r="J337" s="50">
        <f>IF(I337="","",TEXT(I337,"ddd"))</f>
        <v>0</v>
      </c>
      <c r="M337" s="51">
        <f>IF(OR(K337="",L337=""),"",ROUND((L337-K337+IF(L337&lt;K337,1,0))*24,2))</f>
        <v>0</v>
      </c>
      <c r="O337" s="28">
        <f>IF(H337="","",IFERROR(INDEX(Services!$E$5:$E$54,MATCH(H337,Services!$B$5:$B$54,0)),""))</f>
        <v>0</v>
      </c>
      <c r="P337" s="29">
        <f>IF(H337="","",IFERROR(INDEX(Services!$G$5:$G$54,MATCH(H337,Services!$B$5:$B$54,0)),0))</f>
        <v>0</v>
      </c>
      <c r="Q337" s="29">
        <f>IF(H337="","",IF(IFERROR(INDEX(Services!$H$5:$H$54,MATCH(H337,Services!$B$5:$B$54,0)),0)=0,ExtraPetFeeDefault,IFERROR(INDEX(Services!$H$5:$H$54,MATCH(H337,Services!$B$5:$B$54,0)),0)))</f>
        <v>0</v>
      </c>
      <c r="R337" s="30">
        <f>IF(H337="","",IF(IFERROR(INDEX(Services!$I$5:$I$54,MATCH(H337,Services!$B$5:$B$54,0)),0)=0,HolidaySurcharge,IFERROR(INDEX(Services!$I$5:$I$54,MATCH(H337,Services!$B$5:$B$54,0)),0)))</f>
        <v>0</v>
      </c>
      <c r="S337" s="30">
        <f>IF(H337="","",IF(IFERROR(INDEX(Services!$J$5:$J$54,MATCH(H337,Services!$B$5:$B$54,0)),0)=0,WeekendSurcharge,IFERROR(INDEX(Services!$J$5:$J$54,MATCH(H337,Services!$B$5:$B$54,0)),0)))</f>
        <v>0</v>
      </c>
      <c r="T337" s="50">
        <f>IF(H337="","",IFERROR(INDEX(Services!$K$5:$K$54,MATCH(H337,Services!$B$5:$B$54,0)),"No"))</f>
        <v>0</v>
      </c>
      <c r="U337" s="29">
        <f>IF(H337="","",ROUND(IF(O337="Per hour",P337*IF(M337="",IF(N337="",1,N337),M337),P337*IF(N337="",1,N337)),2))</f>
        <v>0</v>
      </c>
      <c r="V337" s="29">
        <f>IF(H337="","",ROUND(MAX(0,IF(G337="",1,G337)-1)*Q337,2))</f>
        <v>0</v>
      </c>
      <c r="W337" s="50">
        <f>IF(I337="","",IF(COUNTIF(HolidayDates,I337)&gt;0,"Yes","No"))</f>
        <v>0</v>
      </c>
      <c r="X337" s="50">
        <f>IF(I337="","",IF(WEEKDAY(I337,2)&gt;5,"Yes","No"))</f>
        <v>0</v>
      </c>
      <c r="Y337" s="29">
        <f>IF(H337="","",ROUND((U337+V337)*(IF(W337="Yes",R337,0)+IF(X337="Yes",S337,0)),2))</f>
        <v>0</v>
      </c>
      <c r="AA337" s="29">
        <f>IF(H337="","",IF(T337&lt;&gt;"Yes",0,ROUND(MAX(0,IF(Z337="",0,Z337)-FreeTravelDistance)*TravelFeeRate,2)))</f>
        <v>0</v>
      </c>
      <c r="AB337" s="31">
        <f>IF(I337="","",TravelTimeMins)</f>
        <v>0</v>
      </c>
      <c r="AC337" s="29">
        <f>IF(OR(I337="",B337=""),0,IF(I337-B337&lt;=LastMinuteDays,EmergencyFee,0))</f>
        <v>0</v>
      </c>
      <c r="AF337" s="29">
        <f>IF(H337="","",ROUND((U337+V337+Y337+AA337+AC337)*IF(AE337="",0,AE337),2))</f>
        <v>0</v>
      </c>
      <c r="AI337" s="29">
        <f>IF(H337="","",IF(AG337&lt;&gt;"",AG337,ROUND(U337+V337+Y337+AA337+AC337-AF337,2)))</f>
        <v>0</v>
      </c>
      <c r="AJ337" s="29">
        <f>IF(AI337="","",IF(TaxRegistered&lt;&gt;"Yes",0,IF(PricesIncludeTax="Yes",ROUND(AI337-AI337/(1+TaxRate),2),ROUND(AI337*TaxRate,2))))</f>
        <v>0</v>
      </c>
      <c r="AK337" s="29">
        <f>IF(AI337="","",IF(PricesIncludeTax="Yes",AI337,ROUND(AI337+AJ337,2)))</f>
        <v>0</v>
      </c>
      <c r="AQ337" s="21">
        <f>IF(OR(I337="",AP337="",AP337="None"),"",IF(AP337="Monthly",EDATE(I337,1),I337+IF(AP337="Daily",1,IF(AP337="Weekdays",IF(WEEKDAY(I337,2)&gt;=5,8-WEEKDAY(I337,2),1),IF(AP337="Weekly",7,IF(AP337="Fortnightly",14,0))))))</f>
        <v>0</v>
      </c>
      <c r="AR337" s="49">
        <f>IF(OR(I337="",AL337="",K337="",L337=""),"",IF(SUMPRODUCT((Bookings!$AL$5:$AL$404=AL337)*(Bookings!$I$5:$I$404=I337)*(Bookings!$K$5:$K$404&lt;L337)*(Bookings!$L$5:$L$404&gt;K337)*(Bookings!$AM$5:$AM$404&lt;&gt;"Cancelled"))&gt;1,"Conflict - double booked","OK"))</f>
        <v>0</v>
      </c>
      <c r="AS337" s="50">
        <f>IF(A337="","",IF(COUNTIF('Visit Log'!$B$5:$B$404,A337)&gt;0,"Yes","No"))</f>
        <v>0</v>
      </c>
      <c r="AT337" s="28">
        <f>IF(A337="","",IFERROR(INDEX(Invoices!$A$5:$A$304,MATCH(A337,Invoices!$E$5:$E$304,0)),""))</f>
        <v>0</v>
      </c>
      <c r="AU337" s="49">
        <f>IF(A337="","",IF(AT337="","Not invoiced",IFERROR(INDEX(Invoices!$U$5:$U$304,MATCH(AT337,Invoices!$A$5:$A$304,0)),"")))</f>
        <v>0</v>
      </c>
      <c r="AY337" s="28">
        <f>IF(I337="","",TEXT(I337,"yyyy-mm"))</f>
        <v>0</v>
      </c>
      <c r="AZ337" s="49">
        <f>IF(I337="","",IF(AM337="Cancelled","Cancelled",IF(AND(I337&lt;TODAY(),OR(AM337="Pending",AM337="Confirmed",AM337="Enquiry")),"Overdue - update status",IF(AND(AM337="Completed",AS337="No"),"Action - log the visit",IF(I337=TODAY(),"Today",IF(AND(I337&gt;TODAY(),I337-TODAY()&lt;=ReminderLeadDays,AN337&lt;&gt;"Yes"),"Action - unconfirmed",IF(AND(I337&gt;TODAY(),I337-TODAY()&lt;=ReminderLeadDays),"Upcoming","OK")))))))</f>
        <v>0</v>
      </c>
    </row>
    <row r="338" spans="1:52">
      <c r="A338" s="46">
        <f>IF(C338="","",BookingPrefix&amp;TEXT(ROW()-4,"0000"))</f>
        <v>0</v>
      </c>
      <c r="D338" s="28">
        <f>IF(C338="","",IFERROR(INDEX(Clients!$A$5:$A$254,MATCH(C338,Clients!$B$5:$B$254,0)),""))</f>
        <v>0</v>
      </c>
      <c r="J338" s="50">
        <f>IF(I338="","",TEXT(I338,"ddd"))</f>
        <v>0</v>
      </c>
      <c r="M338" s="51">
        <f>IF(OR(K338="",L338=""),"",ROUND((L338-K338+IF(L338&lt;K338,1,0))*24,2))</f>
        <v>0</v>
      </c>
      <c r="O338" s="28">
        <f>IF(H338="","",IFERROR(INDEX(Services!$E$5:$E$54,MATCH(H338,Services!$B$5:$B$54,0)),""))</f>
        <v>0</v>
      </c>
      <c r="P338" s="29">
        <f>IF(H338="","",IFERROR(INDEX(Services!$G$5:$G$54,MATCH(H338,Services!$B$5:$B$54,0)),0))</f>
        <v>0</v>
      </c>
      <c r="Q338" s="29">
        <f>IF(H338="","",IF(IFERROR(INDEX(Services!$H$5:$H$54,MATCH(H338,Services!$B$5:$B$54,0)),0)=0,ExtraPetFeeDefault,IFERROR(INDEX(Services!$H$5:$H$54,MATCH(H338,Services!$B$5:$B$54,0)),0)))</f>
        <v>0</v>
      </c>
      <c r="R338" s="30">
        <f>IF(H338="","",IF(IFERROR(INDEX(Services!$I$5:$I$54,MATCH(H338,Services!$B$5:$B$54,0)),0)=0,HolidaySurcharge,IFERROR(INDEX(Services!$I$5:$I$54,MATCH(H338,Services!$B$5:$B$54,0)),0)))</f>
        <v>0</v>
      </c>
      <c r="S338" s="30">
        <f>IF(H338="","",IF(IFERROR(INDEX(Services!$J$5:$J$54,MATCH(H338,Services!$B$5:$B$54,0)),0)=0,WeekendSurcharge,IFERROR(INDEX(Services!$J$5:$J$54,MATCH(H338,Services!$B$5:$B$54,0)),0)))</f>
        <v>0</v>
      </c>
      <c r="T338" s="50">
        <f>IF(H338="","",IFERROR(INDEX(Services!$K$5:$K$54,MATCH(H338,Services!$B$5:$B$54,0)),"No"))</f>
        <v>0</v>
      </c>
      <c r="U338" s="29">
        <f>IF(H338="","",ROUND(IF(O338="Per hour",P338*IF(M338="",IF(N338="",1,N338),M338),P338*IF(N338="",1,N338)),2))</f>
        <v>0</v>
      </c>
      <c r="V338" s="29">
        <f>IF(H338="","",ROUND(MAX(0,IF(G338="",1,G338)-1)*Q338,2))</f>
        <v>0</v>
      </c>
      <c r="W338" s="50">
        <f>IF(I338="","",IF(COUNTIF(HolidayDates,I338)&gt;0,"Yes","No"))</f>
        <v>0</v>
      </c>
      <c r="X338" s="50">
        <f>IF(I338="","",IF(WEEKDAY(I338,2)&gt;5,"Yes","No"))</f>
        <v>0</v>
      </c>
      <c r="Y338" s="29">
        <f>IF(H338="","",ROUND((U338+V338)*(IF(W338="Yes",R338,0)+IF(X338="Yes",S338,0)),2))</f>
        <v>0</v>
      </c>
      <c r="AA338" s="29">
        <f>IF(H338="","",IF(T338&lt;&gt;"Yes",0,ROUND(MAX(0,IF(Z338="",0,Z338)-FreeTravelDistance)*TravelFeeRate,2)))</f>
        <v>0</v>
      </c>
      <c r="AB338" s="31">
        <f>IF(I338="","",TravelTimeMins)</f>
        <v>0</v>
      </c>
      <c r="AC338" s="29">
        <f>IF(OR(I338="",B338=""),0,IF(I338-B338&lt;=LastMinuteDays,EmergencyFee,0))</f>
        <v>0</v>
      </c>
      <c r="AF338" s="29">
        <f>IF(H338="","",ROUND((U338+V338+Y338+AA338+AC338)*IF(AE338="",0,AE338),2))</f>
        <v>0</v>
      </c>
      <c r="AI338" s="29">
        <f>IF(H338="","",IF(AG338&lt;&gt;"",AG338,ROUND(U338+V338+Y338+AA338+AC338-AF338,2)))</f>
        <v>0</v>
      </c>
      <c r="AJ338" s="29">
        <f>IF(AI338="","",IF(TaxRegistered&lt;&gt;"Yes",0,IF(PricesIncludeTax="Yes",ROUND(AI338-AI338/(1+TaxRate),2),ROUND(AI338*TaxRate,2))))</f>
        <v>0</v>
      </c>
      <c r="AK338" s="29">
        <f>IF(AI338="","",IF(PricesIncludeTax="Yes",AI338,ROUND(AI338+AJ338,2)))</f>
        <v>0</v>
      </c>
      <c r="AQ338" s="21">
        <f>IF(OR(I338="",AP338="",AP338="None"),"",IF(AP338="Monthly",EDATE(I338,1),I338+IF(AP338="Daily",1,IF(AP338="Weekdays",IF(WEEKDAY(I338,2)&gt;=5,8-WEEKDAY(I338,2),1),IF(AP338="Weekly",7,IF(AP338="Fortnightly",14,0))))))</f>
        <v>0</v>
      </c>
      <c r="AR338" s="49">
        <f>IF(OR(I338="",AL338="",K338="",L338=""),"",IF(SUMPRODUCT((Bookings!$AL$5:$AL$404=AL338)*(Bookings!$I$5:$I$404=I338)*(Bookings!$K$5:$K$404&lt;L338)*(Bookings!$L$5:$L$404&gt;K338)*(Bookings!$AM$5:$AM$404&lt;&gt;"Cancelled"))&gt;1,"Conflict - double booked","OK"))</f>
        <v>0</v>
      </c>
      <c r="AS338" s="50">
        <f>IF(A338="","",IF(COUNTIF('Visit Log'!$B$5:$B$404,A338)&gt;0,"Yes","No"))</f>
        <v>0</v>
      </c>
      <c r="AT338" s="28">
        <f>IF(A338="","",IFERROR(INDEX(Invoices!$A$5:$A$304,MATCH(A338,Invoices!$E$5:$E$304,0)),""))</f>
        <v>0</v>
      </c>
      <c r="AU338" s="49">
        <f>IF(A338="","",IF(AT338="","Not invoiced",IFERROR(INDEX(Invoices!$U$5:$U$304,MATCH(AT338,Invoices!$A$5:$A$304,0)),"")))</f>
        <v>0</v>
      </c>
      <c r="AY338" s="28">
        <f>IF(I338="","",TEXT(I338,"yyyy-mm"))</f>
        <v>0</v>
      </c>
      <c r="AZ338" s="49">
        <f>IF(I338="","",IF(AM338="Cancelled","Cancelled",IF(AND(I338&lt;TODAY(),OR(AM338="Pending",AM338="Confirmed",AM338="Enquiry")),"Overdue - update status",IF(AND(AM338="Completed",AS338="No"),"Action - log the visit",IF(I338=TODAY(),"Today",IF(AND(I338&gt;TODAY(),I338-TODAY()&lt;=ReminderLeadDays,AN338&lt;&gt;"Yes"),"Action - unconfirmed",IF(AND(I338&gt;TODAY(),I338-TODAY()&lt;=ReminderLeadDays),"Upcoming","OK")))))))</f>
        <v>0</v>
      </c>
    </row>
    <row r="339" spans="1:52">
      <c r="A339" s="46">
        <f>IF(C339="","",BookingPrefix&amp;TEXT(ROW()-4,"0000"))</f>
        <v>0</v>
      </c>
      <c r="D339" s="28">
        <f>IF(C339="","",IFERROR(INDEX(Clients!$A$5:$A$254,MATCH(C339,Clients!$B$5:$B$254,0)),""))</f>
        <v>0</v>
      </c>
      <c r="J339" s="50">
        <f>IF(I339="","",TEXT(I339,"ddd"))</f>
        <v>0</v>
      </c>
      <c r="M339" s="51">
        <f>IF(OR(K339="",L339=""),"",ROUND((L339-K339+IF(L339&lt;K339,1,0))*24,2))</f>
        <v>0</v>
      </c>
      <c r="O339" s="28">
        <f>IF(H339="","",IFERROR(INDEX(Services!$E$5:$E$54,MATCH(H339,Services!$B$5:$B$54,0)),""))</f>
        <v>0</v>
      </c>
      <c r="P339" s="29">
        <f>IF(H339="","",IFERROR(INDEX(Services!$G$5:$G$54,MATCH(H339,Services!$B$5:$B$54,0)),0))</f>
        <v>0</v>
      </c>
      <c r="Q339" s="29">
        <f>IF(H339="","",IF(IFERROR(INDEX(Services!$H$5:$H$54,MATCH(H339,Services!$B$5:$B$54,0)),0)=0,ExtraPetFeeDefault,IFERROR(INDEX(Services!$H$5:$H$54,MATCH(H339,Services!$B$5:$B$54,0)),0)))</f>
        <v>0</v>
      </c>
      <c r="R339" s="30">
        <f>IF(H339="","",IF(IFERROR(INDEX(Services!$I$5:$I$54,MATCH(H339,Services!$B$5:$B$54,0)),0)=0,HolidaySurcharge,IFERROR(INDEX(Services!$I$5:$I$54,MATCH(H339,Services!$B$5:$B$54,0)),0)))</f>
        <v>0</v>
      </c>
      <c r="S339" s="30">
        <f>IF(H339="","",IF(IFERROR(INDEX(Services!$J$5:$J$54,MATCH(H339,Services!$B$5:$B$54,0)),0)=0,WeekendSurcharge,IFERROR(INDEX(Services!$J$5:$J$54,MATCH(H339,Services!$B$5:$B$54,0)),0)))</f>
        <v>0</v>
      </c>
      <c r="T339" s="50">
        <f>IF(H339="","",IFERROR(INDEX(Services!$K$5:$K$54,MATCH(H339,Services!$B$5:$B$54,0)),"No"))</f>
        <v>0</v>
      </c>
      <c r="U339" s="29">
        <f>IF(H339="","",ROUND(IF(O339="Per hour",P339*IF(M339="",IF(N339="",1,N339),M339),P339*IF(N339="",1,N339)),2))</f>
        <v>0</v>
      </c>
      <c r="V339" s="29">
        <f>IF(H339="","",ROUND(MAX(0,IF(G339="",1,G339)-1)*Q339,2))</f>
        <v>0</v>
      </c>
      <c r="W339" s="50">
        <f>IF(I339="","",IF(COUNTIF(HolidayDates,I339)&gt;0,"Yes","No"))</f>
        <v>0</v>
      </c>
      <c r="X339" s="50">
        <f>IF(I339="","",IF(WEEKDAY(I339,2)&gt;5,"Yes","No"))</f>
        <v>0</v>
      </c>
      <c r="Y339" s="29">
        <f>IF(H339="","",ROUND((U339+V339)*(IF(W339="Yes",R339,0)+IF(X339="Yes",S339,0)),2))</f>
        <v>0</v>
      </c>
      <c r="AA339" s="29">
        <f>IF(H339="","",IF(T339&lt;&gt;"Yes",0,ROUND(MAX(0,IF(Z339="",0,Z339)-FreeTravelDistance)*TravelFeeRate,2)))</f>
        <v>0</v>
      </c>
      <c r="AB339" s="31">
        <f>IF(I339="","",TravelTimeMins)</f>
        <v>0</v>
      </c>
      <c r="AC339" s="29">
        <f>IF(OR(I339="",B339=""),0,IF(I339-B339&lt;=LastMinuteDays,EmergencyFee,0))</f>
        <v>0</v>
      </c>
      <c r="AF339" s="29">
        <f>IF(H339="","",ROUND((U339+V339+Y339+AA339+AC339)*IF(AE339="",0,AE339),2))</f>
        <v>0</v>
      </c>
      <c r="AI339" s="29">
        <f>IF(H339="","",IF(AG339&lt;&gt;"",AG339,ROUND(U339+V339+Y339+AA339+AC339-AF339,2)))</f>
        <v>0</v>
      </c>
      <c r="AJ339" s="29">
        <f>IF(AI339="","",IF(TaxRegistered&lt;&gt;"Yes",0,IF(PricesIncludeTax="Yes",ROUND(AI339-AI339/(1+TaxRate),2),ROUND(AI339*TaxRate,2))))</f>
        <v>0</v>
      </c>
      <c r="AK339" s="29">
        <f>IF(AI339="","",IF(PricesIncludeTax="Yes",AI339,ROUND(AI339+AJ339,2)))</f>
        <v>0</v>
      </c>
      <c r="AQ339" s="21">
        <f>IF(OR(I339="",AP339="",AP339="None"),"",IF(AP339="Monthly",EDATE(I339,1),I339+IF(AP339="Daily",1,IF(AP339="Weekdays",IF(WEEKDAY(I339,2)&gt;=5,8-WEEKDAY(I339,2),1),IF(AP339="Weekly",7,IF(AP339="Fortnightly",14,0))))))</f>
        <v>0</v>
      </c>
      <c r="AR339" s="49">
        <f>IF(OR(I339="",AL339="",K339="",L339=""),"",IF(SUMPRODUCT((Bookings!$AL$5:$AL$404=AL339)*(Bookings!$I$5:$I$404=I339)*(Bookings!$K$5:$K$404&lt;L339)*(Bookings!$L$5:$L$404&gt;K339)*(Bookings!$AM$5:$AM$404&lt;&gt;"Cancelled"))&gt;1,"Conflict - double booked","OK"))</f>
        <v>0</v>
      </c>
      <c r="AS339" s="50">
        <f>IF(A339="","",IF(COUNTIF('Visit Log'!$B$5:$B$404,A339)&gt;0,"Yes","No"))</f>
        <v>0</v>
      </c>
      <c r="AT339" s="28">
        <f>IF(A339="","",IFERROR(INDEX(Invoices!$A$5:$A$304,MATCH(A339,Invoices!$E$5:$E$304,0)),""))</f>
        <v>0</v>
      </c>
      <c r="AU339" s="49">
        <f>IF(A339="","",IF(AT339="","Not invoiced",IFERROR(INDEX(Invoices!$U$5:$U$304,MATCH(AT339,Invoices!$A$5:$A$304,0)),"")))</f>
        <v>0</v>
      </c>
      <c r="AY339" s="28">
        <f>IF(I339="","",TEXT(I339,"yyyy-mm"))</f>
        <v>0</v>
      </c>
      <c r="AZ339" s="49">
        <f>IF(I339="","",IF(AM339="Cancelled","Cancelled",IF(AND(I339&lt;TODAY(),OR(AM339="Pending",AM339="Confirmed",AM339="Enquiry")),"Overdue - update status",IF(AND(AM339="Completed",AS339="No"),"Action - log the visit",IF(I339=TODAY(),"Today",IF(AND(I339&gt;TODAY(),I339-TODAY()&lt;=ReminderLeadDays,AN339&lt;&gt;"Yes"),"Action - unconfirmed",IF(AND(I339&gt;TODAY(),I339-TODAY()&lt;=ReminderLeadDays),"Upcoming","OK")))))))</f>
        <v>0</v>
      </c>
    </row>
    <row r="340" spans="1:52">
      <c r="A340" s="46">
        <f>IF(C340="","",BookingPrefix&amp;TEXT(ROW()-4,"0000"))</f>
        <v>0</v>
      </c>
      <c r="D340" s="28">
        <f>IF(C340="","",IFERROR(INDEX(Clients!$A$5:$A$254,MATCH(C340,Clients!$B$5:$B$254,0)),""))</f>
        <v>0</v>
      </c>
      <c r="J340" s="50">
        <f>IF(I340="","",TEXT(I340,"ddd"))</f>
        <v>0</v>
      </c>
      <c r="M340" s="51">
        <f>IF(OR(K340="",L340=""),"",ROUND((L340-K340+IF(L340&lt;K340,1,0))*24,2))</f>
        <v>0</v>
      </c>
      <c r="O340" s="28">
        <f>IF(H340="","",IFERROR(INDEX(Services!$E$5:$E$54,MATCH(H340,Services!$B$5:$B$54,0)),""))</f>
        <v>0</v>
      </c>
      <c r="P340" s="29">
        <f>IF(H340="","",IFERROR(INDEX(Services!$G$5:$G$54,MATCH(H340,Services!$B$5:$B$54,0)),0))</f>
        <v>0</v>
      </c>
      <c r="Q340" s="29">
        <f>IF(H340="","",IF(IFERROR(INDEX(Services!$H$5:$H$54,MATCH(H340,Services!$B$5:$B$54,0)),0)=0,ExtraPetFeeDefault,IFERROR(INDEX(Services!$H$5:$H$54,MATCH(H340,Services!$B$5:$B$54,0)),0)))</f>
        <v>0</v>
      </c>
      <c r="R340" s="30">
        <f>IF(H340="","",IF(IFERROR(INDEX(Services!$I$5:$I$54,MATCH(H340,Services!$B$5:$B$54,0)),0)=0,HolidaySurcharge,IFERROR(INDEX(Services!$I$5:$I$54,MATCH(H340,Services!$B$5:$B$54,0)),0)))</f>
        <v>0</v>
      </c>
      <c r="S340" s="30">
        <f>IF(H340="","",IF(IFERROR(INDEX(Services!$J$5:$J$54,MATCH(H340,Services!$B$5:$B$54,0)),0)=0,WeekendSurcharge,IFERROR(INDEX(Services!$J$5:$J$54,MATCH(H340,Services!$B$5:$B$54,0)),0)))</f>
        <v>0</v>
      </c>
      <c r="T340" s="50">
        <f>IF(H340="","",IFERROR(INDEX(Services!$K$5:$K$54,MATCH(H340,Services!$B$5:$B$54,0)),"No"))</f>
        <v>0</v>
      </c>
      <c r="U340" s="29">
        <f>IF(H340="","",ROUND(IF(O340="Per hour",P340*IF(M340="",IF(N340="",1,N340),M340),P340*IF(N340="",1,N340)),2))</f>
        <v>0</v>
      </c>
      <c r="V340" s="29">
        <f>IF(H340="","",ROUND(MAX(0,IF(G340="",1,G340)-1)*Q340,2))</f>
        <v>0</v>
      </c>
      <c r="W340" s="50">
        <f>IF(I340="","",IF(COUNTIF(HolidayDates,I340)&gt;0,"Yes","No"))</f>
        <v>0</v>
      </c>
      <c r="X340" s="50">
        <f>IF(I340="","",IF(WEEKDAY(I340,2)&gt;5,"Yes","No"))</f>
        <v>0</v>
      </c>
      <c r="Y340" s="29">
        <f>IF(H340="","",ROUND((U340+V340)*(IF(W340="Yes",R340,0)+IF(X340="Yes",S340,0)),2))</f>
        <v>0</v>
      </c>
      <c r="AA340" s="29">
        <f>IF(H340="","",IF(T340&lt;&gt;"Yes",0,ROUND(MAX(0,IF(Z340="",0,Z340)-FreeTravelDistance)*TravelFeeRate,2)))</f>
        <v>0</v>
      </c>
      <c r="AB340" s="31">
        <f>IF(I340="","",TravelTimeMins)</f>
        <v>0</v>
      </c>
      <c r="AC340" s="29">
        <f>IF(OR(I340="",B340=""),0,IF(I340-B340&lt;=LastMinuteDays,EmergencyFee,0))</f>
        <v>0</v>
      </c>
      <c r="AF340" s="29">
        <f>IF(H340="","",ROUND((U340+V340+Y340+AA340+AC340)*IF(AE340="",0,AE340),2))</f>
        <v>0</v>
      </c>
      <c r="AI340" s="29">
        <f>IF(H340="","",IF(AG340&lt;&gt;"",AG340,ROUND(U340+V340+Y340+AA340+AC340-AF340,2)))</f>
        <v>0</v>
      </c>
      <c r="AJ340" s="29">
        <f>IF(AI340="","",IF(TaxRegistered&lt;&gt;"Yes",0,IF(PricesIncludeTax="Yes",ROUND(AI340-AI340/(1+TaxRate),2),ROUND(AI340*TaxRate,2))))</f>
        <v>0</v>
      </c>
      <c r="AK340" s="29">
        <f>IF(AI340="","",IF(PricesIncludeTax="Yes",AI340,ROUND(AI340+AJ340,2)))</f>
        <v>0</v>
      </c>
      <c r="AQ340" s="21">
        <f>IF(OR(I340="",AP340="",AP340="None"),"",IF(AP340="Monthly",EDATE(I340,1),I340+IF(AP340="Daily",1,IF(AP340="Weekdays",IF(WEEKDAY(I340,2)&gt;=5,8-WEEKDAY(I340,2),1),IF(AP340="Weekly",7,IF(AP340="Fortnightly",14,0))))))</f>
        <v>0</v>
      </c>
      <c r="AR340" s="49">
        <f>IF(OR(I340="",AL340="",K340="",L340=""),"",IF(SUMPRODUCT((Bookings!$AL$5:$AL$404=AL340)*(Bookings!$I$5:$I$404=I340)*(Bookings!$K$5:$K$404&lt;L340)*(Bookings!$L$5:$L$404&gt;K340)*(Bookings!$AM$5:$AM$404&lt;&gt;"Cancelled"))&gt;1,"Conflict - double booked","OK"))</f>
        <v>0</v>
      </c>
      <c r="AS340" s="50">
        <f>IF(A340="","",IF(COUNTIF('Visit Log'!$B$5:$B$404,A340)&gt;0,"Yes","No"))</f>
        <v>0</v>
      </c>
      <c r="AT340" s="28">
        <f>IF(A340="","",IFERROR(INDEX(Invoices!$A$5:$A$304,MATCH(A340,Invoices!$E$5:$E$304,0)),""))</f>
        <v>0</v>
      </c>
      <c r="AU340" s="49">
        <f>IF(A340="","",IF(AT340="","Not invoiced",IFERROR(INDEX(Invoices!$U$5:$U$304,MATCH(AT340,Invoices!$A$5:$A$304,0)),"")))</f>
        <v>0</v>
      </c>
      <c r="AY340" s="28">
        <f>IF(I340="","",TEXT(I340,"yyyy-mm"))</f>
        <v>0</v>
      </c>
      <c r="AZ340" s="49">
        <f>IF(I340="","",IF(AM340="Cancelled","Cancelled",IF(AND(I340&lt;TODAY(),OR(AM340="Pending",AM340="Confirmed",AM340="Enquiry")),"Overdue - update status",IF(AND(AM340="Completed",AS340="No"),"Action - log the visit",IF(I340=TODAY(),"Today",IF(AND(I340&gt;TODAY(),I340-TODAY()&lt;=ReminderLeadDays,AN340&lt;&gt;"Yes"),"Action - unconfirmed",IF(AND(I340&gt;TODAY(),I340-TODAY()&lt;=ReminderLeadDays),"Upcoming","OK")))))))</f>
        <v>0</v>
      </c>
    </row>
    <row r="341" spans="1:52">
      <c r="A341" s="46">
        <f>IF(C341="","",BookingPrefix&amp;TEXT(ROW()-4,"0000"))</f>
        <v>0</v>
      </c>
      <c r="D341" s="28">
        <f>IF(C341="","",IFERROR(INDEX(Clients!$A$5:$A$254,MATCH(C341,Clients!$B$5:$B$254,0)),""))</f>
        <v>0</v>
      </c>
      <c r="J341" s="50">
        <f>IF(I341="","",TEXT(I341,"ddd"))</f>
        <v>0</v>
      </c>
      <c r="M341" s="51">
        <f>IF(OR(K341="",L341=""),"",ROUND((L341-K341+IF(L341&lt;K341,1,0))*24,2))</f>
        <v>0</v>
      </c>
      <c r="O341" s="28">
        <f>IF(H341="","",IFERROR(INDEX(Services!$E$5:$E$54,MATCH(H341,Services!$B$5:$B$54,0)),""))</f>
        <v>0</v>
      </c>
      <c r="P341" s="29">
        <f>IF(H341="","",IFERROR(INDEX(Services!$G$5:$G$54,MATCH(H341,Services!$B$5:$B$54,0)),0))</f>
        <v>0</v>
      </c>
      <c r="Q341" s="29">
        <f>IF(H341="","",IF(IFERROR(INDEX(Services!$H$5:$H$54,MATCH(H341,Services!$B$5:$B$54,0)),0)=0,ExtraPetFeeDefault,IFERROR(INDEX(Services!$H$5:$H$54,MATCH(H341,Services!$B$5:$B$54,0)),0)))</f>
        <v>0</v>
      </c>
      <c r="R341" s="30">
        <f>IF(H341="","",IF(IFERROR(INDEX(Services!$I$5:$I$54,MATCH(H341,Services!$B$5:$B$54,0)),0)=0,HolidaySurcharge,IFERROR(INDEX(Services!$I$5:$I$54,MATCH(H341,Services!$B$5:$B$54,0)),0)))</f>
        <v>0</v>
      </c>
      <c r="S341" s="30">
        <f>IF(H341="","",IF(IFERROR(INDEX(Services!$J$5:$J$54,MATCH(H341,Services!$B$5:$B$54,0)),0)=0,WeekendSurcharge,IFERROR(INDEX(Services!$J$5:$J$54,MATCH(H341,Services!$B$5:$B$54,0)),0)))</f>
        <v>0</v>
      </c>
      <c r="T341" s="50">
        <f>IF(H341="","",IFERROR(INDEX(Services!$K$5:$K$54,MATCH(H341,Services!$B$5:$B$54,0)),"No"))</f>
        <v>0</v>
      </c>
      <c r="U341" s="29">
        <f>IF(H341="","",ROUND(IF(O341="Per hour",P341*IF(M341="",IF(N341="",1,N341),M341),P341*IF(N341="",1,N341)),2))</f>
        <v>0</v>
      </c>
      <c r="V341" s="29">
        <f>IF(H341="","",ROUND(MAX(0,IF(G341="",1,G341)-1)*Q341,2))</f>
        <v>0</v>
      </c>
      <c r="W341" s="50">
        <f>IF(I341="","",IF(COUNTIF(HolidayDates,I341)&gt;0,"Yes","No"))</f>
        <v>0</v>
      </c>
      <c r="X341" s="50">
        <f>IF(I341="","",IF(WEEKDAY(I341,2)&gt;5,"Yes","No"))</f>
        <v>0</v>
      </c>
      <c r="Y341" s="29">
        <f>IF(H341="","",ROUND((U341+V341)*(IF(W341="Yes",R341,0)+IF(X341="Yes",S341,0)),2))</f>
        <v>0</v>
      </c>
      <c r="AA341" s="29">
        <f>IF(H341="","",IF(T341&lt;&gt;"Yes",0,ROUND(MAX(0,IF(Z341="",0,Z341)-FreeTravelDistance)*TravelFeeRate,2)))</f>
        <v>0</v>
      </c>
      <c r="AB341" s="31">
        <f>IF(I341="","",TravelTimeMins)</f>
        <v>0</v>
      </c>
      <c r="AC341" s="29">
        <f>IF(OR(I341="",B341=""),0,IF(I341-B341&lt;=LastMinuteDays,EmergencyFee,0))</f>
        <v>0</v>
      </c>
      <c r="AF341" s="29">
        <f>IF(H341="","",ROUND((U341+V341+Y341+AA341+AC341)*IF(AE341="",0,AE341),2))</f>
        <v>0</v>
      </c>
      <c r="AI341" s="29">
        <f>IF(H341="","",IF(AG341&lt;&gt;"",AG341,ROUND(U341+V341+Y341+AA341+AC341-AF341,2)))</f>
        <v>0</v>
      </c>
      <c r="AJ341" s="29">
        <f>IF(AI341="","",IF(TaxRegistered&lt;&gt;"Yes",0,IF(PricesIncludeTax="Yes",ROUND(AI341-AI341/(1+TaxRate),2),ROUND(AI341*TaxRate,2))))</f>
        <v>0</v>
      </c>
      <c r="AK341" s="29">
        <f>IF(AI341="","",IF(PricesIncludeTax="Yes",AI341,ROUND(AI341+AJ341,2)))</f>
        <v>0</v>
      </c>
      <c r="AQ341" s="21">
        <f>IF(OR(I341="",AP341="",AP341="None"),"",IF(AP341="Monthly",EDATE(I341,1),I341+IF(AP341="Daily",1,IF(AP341="Weekdays",IF(WEEKDAY(I341,2)&gt;=5,8-WEEKDAY(I341,2),1),IF(AP341="Weekly",7,IF(AP341="Fortnightly",14,0))))))</f>
        <v>0</v>
      </c>
      <c r="AR341" s="49">
        <f>IF(OR(I341="",AL341="",K341="",L341=""),"",IF(SUMPRODUCT((Bookings!$AL$5:$AL$404=AL341)*(Bookings!$I$5:$I$404=I341)*(Bookings!$K$5:$K$404&lt;L341)*(Bookings!$L$5:$L$404&gt;K341)*(Bookings!$AM$5:$AM$404&lt;&gt;"Cancelled"))&gt;1,"Conflict - double booked","OK"))</f>
        <v>0</v>
      </c>
      <c r="AS341" s="50">
        <f>IF(A341="","",IF(COUNTIF('Visit Log'!$B$5:$B$404,A341)&gt;0,"Yes","No"))</f>
        <v>0</v>
      </c>
      <c r="AT341" s="28">
        <f>IF(A341="","",IFERROR(INDEX(Invoices!$A$5:$A$304,MATCH(A341,Invoices!$E$5:$E$304,0)),""))</f>
        <v>0</v>
      </c>
      <c r="AU341" s="49">
        <f>IF(A341="","",IF(AT341="","Not invoiced",IFERROR(INDEX(Invoices!$U$5:$U$304,MATCH(AT341,Invoices!$A$5:$A$304,0)),"")))</f>
        <v>0</v>
      </c>
      <c r="AY341" s="28">
        <f>IF(I341="","",TEXT(I341,"yyyy-mm"))</f>
        <v>0</v>
      </c>
      <c r="AZ341" s="49">
        <f>IF(I341="","",IF(AM341="Cancelled","Cancelled",IF(AND(I341&lt;TODAY(),OR(AM341="Pending",AM341="Confirmed",AM341="Enquiry")),"Overdue - update status",IF(AND(AM341="Completed",AS341="No"),"Action - log the visit",IF(I341=TODAY(),"Today",IF(AND(I341&gt;TODAY(),I341-TODAY()&lt;=ReminderLeadDays,AN341&lt;&gt;"Yes"),"Action - unconfirmed",IF(AND(I341&gt;TODAY(),I341-TODAY()&lt;=ReminderLeadDays),"Upcoming","OK")))))))</f>
        <v>0</v>
      </c>
    </row>
    <row r="342" spans="1:52">
      <c r="A342" s="46">
        <f>IF(C342="","",BookingPrefix&amp;TEXT(ROW()-4,"0000"))</f>
        <v>0</v>
      </c>
      <c r="D342" s="28">
        <f>IF(C342="","",IFERROR(INDEX(Clients!$A$5:$A$254,MATCH(C342,Clients!$B$5:$B$254,0)),""))</f>
        <v>0</v>
      </c>
      <c r="J342" s="50">
        <f>IF(I342="","",TEXT(I342,"ddd"))</f>
        <v>0</v>
      </c>
      <c r="M342" s="51">
        <f>IF(OR(K342="",L342=""),"",ROUND((L342-K342+IF(L342&lt;K342,1,0))*24,2))</f>
        <v>0</v>
      </c>
      <c r="O342" s="28">
        <f>IF(H342="","",IFERROR(INDEX(Services!$E$5:$E$54,MATCH(H342,Services!$B$5:$B$54,0)),""))</f>
        <v>0</v>
      </c>
      <c r="P342" s="29">
        <f>IF(H342="","",IFERROR(INDEX(Services!$G$5:$G$54,MATCH(H342,Services!$B$5:$B$54,0)),0))</f>
        <v>0</v>
      </c>
      <c r="Q342" s="29">
        <f>IF(H342="","",IF(IFERROR(INDEX(Services!$H$5:$H$54,MATCH(H342,Services!$B$5:$B$54,0)),0)=0,ExtraPetFeeDefault,IFERROR(INDEX(Services!$H$5:$H$54,MATCH(H342,Services!$B$5:$B$54,0)),0)))</f>
        <v>0</v>
      </c>
      <c r="R342" s="30">
        <f>IF(H342="","",IF(IFERROR(INDEX(Services!$I$5:$I$54,MATCH(H342,Services!$B$5:$B$54,0)),0)=0,HolidaySurcharge,IFERROR(INDEX(Services!$I$5:$I$54,MATCH(H342,Services!$B$5:$B$54,0)),0)))</f>
        <v>0</v>
      </c>
      <c r="S342" s="30">
        <f>IF(H342="","",IF(IFERROR(INDEX(Services!$J$5:$J$54,MATCH(H342,Services!$B$5:$B$54,0)),0)=0,WeekendSurcharge,IFERROR(INDEX(Services!$J$5:$J$54,MATCH(H342,Services!$B$5:$B$54,0)),0)))</f>
        <v>0</v>
      </c>
      <c r="T342" s="50">
        <f>IF(H342="","",IFERROR(INDEX(Services!$K$5:$K$54,MATCH(H342,Services!$B$5:$B$54,0)),"No"))</f>
        <v>0</v>
      </c>
      <c r="U342" s="29">
        <f>IF(H342="","",ROUND(IF(O342="Per hour",P342*IF(M342="",IF(N342="",1,N342),M342),P342*IF(N342="",1,N342)),2))</f>
        <v>0</v>
      </c>
      <c r="V342" s="29">
        <f>IF(H342="","",ROUND(MAX(0,IF(G342="",1,G342)-1)*Q342,2))</f>
        <v>0</v>
      </c>
      <c r="W342" s="50">
        <f>IF(I342="","",IF(COUNTIF(HolidayDates,I342)&gt;0,"Yes","No"))</f>
        <v>0</v>
      </c>
      <c r="X342" s="50">
        <f>IF(I342="","",IF(WEEKDAY(I342,2)&gt;5,"Yes","No"))</f>
        <v>0</v>
      </c>
      <c r="Y342" s="29">
        <f>IF(H342="","",ROUND((U342+V342)*(IF(W342="Yes",R342,0)+IF(X342="Yes",S342,0)),2))</f>
        <v>0</v>
      </c>
      <c r="AA342" s="29">
        <f>IF(H342="","",IF(T342&lt;&gt;"Yes",0,ROUND(MAX(0,IF(Z342="",0,Z342)-FreeTravelDistance)*TravelFeeRate,2)))</f>
        <v>0</v>
      </c>
      <c r="AB342" s="31">
        <f>IF(I342="","",TravelTimeMins)</f>
        <v>0</v>
      </c>
      <c r="AC342" s="29">
        <f>IF(OR(I342="",B342=""),0,IF(I342-B342&lt;=LastMinuteDays,EmergencyFee,0))</f>
        <v>0</v>
      </c>
      <c r="AF342" s="29">
        <f>IF(H342="","",ROUND((U342+V342+Y342+AA342+AC342)*IF(AE342="",0,AE342),2))</f>
        <v>0</v>
      </c>
      <c r="AI342" s="29">
        <f>IF(H342="","",IF(AG342&lt;&gt;"",AG342,ROUND(U342+V342+Y342+AA342+AC342-AF342,2)))</f>
        <v>0</v>
      </c>
      <c r="AJ342" s="29">
        <f>IF(AI342="","",IF(TaxRegistered&lt;&gt;"Yes",0,IF(PricesIncludeTax="Yes",ROUND(AI342-AI342/(1+TaxRate),2),ROUND(AI342*TaxRate,2))))</f>
        <v>0</v>
      </c>
      <c r="AK342" s="29">
        <f>IF(AI342="","",IF(PricesIncludeTax="Yes",AI342,ROUND(AI342+AJ342,2)))</f>
        <v>0</v>
      </c>
      <c r="AQ342" s="21">
        <f>IF(OR(I342="",AP342="",AP342="None"),"",IF(AP342="Monthly",EDATE(I342,1),I342+IF(AP342="Daily",1,IF(AP342="Weekdays",IF(WEEKDAY(I342,2)&gt;=5,8-WEEKDAY(I342,2),1),IF(AP342="Weekly",7,IF(AP342="Fortnightly",14,0))))))</f>
        <v>0</v>
      </c>
      <c r="AR342" s="49">
        <f>IF(OR(I342="",AL342="",K342="",L342=""),"",IF(SUMPRODUCT((Bookings!$AL$5:$AL$404=AL342)*(Bookings!$I$5:$I$404=I342)*(Bookings!$K$5:$K$404&lt;L342)*(Bookings!$L$5:$L$404&gt;K342)*(Bookings!$AM$5:$AM$404&lt;&gt;"Cancelled"))&gt;1,"Conflict - double booked","OK"))</f>
        <v>0</v>
      </c>
      <c r="AS342" s="50">
        <f>IF(A342="","",IF(COUNTIF('Visit Log'!$B$5:$B$404,A342)&gt;0,"Yes","No"))</f>
        <v>0</v>
      </c>
      <c r="AT342" s="28">
        <f>IF(A342="","",IFERROR(INDEX(Invoices!$A$5:$A$304,MATCH(A342,Invoices!$E$5:$E$304,0)),""))</f>
        <v>0</v>
      </c>
      <c r="AU342" s="49">
        <f>IF(A342="","",IF(AT342="","Not invoiced",IFERROR(INDEX(Invoices!$U$5:$U$304,MATCH(AT342,Invoices!$A$5:$A$304,0)),"")))</f>
        <v>0</v>
      </c>
      <c r="AY342" s="28">
        <f>IF(I342="","",TEXT(I342,"yyyy-mm"))</f>
        <v>0</v>
      </c>
      <c r="AZ342" s="49">
        <f>IF(I342="","",IF(AM342="Cancelled","Cancelled",IF(AND(I342&lt;TODAY(),OR(AM342="Pending",AM342="Confirmed",AM342="Enquiry")),"Overdue - update status",IF(AND(AM342="Completed",AS342="No"),"Action - log the visit",IF(I342=TODAY(),"Today",IF(AND(I342&gt;TODAY(),I342-TODAY()&lt;=ReminderLeadDays,AN342&lt;&gt;"Yes"),"Action - unconfirmed",IF(AND(I342&gt;TODAY(),I342-TODAY()&lt;=ReminderLeadDays),"Upcoming","OK")))))))</f>
        <v>0</v>
      </c>
    </row>
    <row r="343" spans="1:52">
      <c r="A343" s="46">
        <f>IF(C343="","",BookingPrefix&amp;TEXT(ROW()-4,"0000"))</f>
        <v>0</v>
      </c>
      <c r="D343" s="28">
        <f>IF(C343="","",IFERROR(INDEX(Clients!$A$5:$A$254,MATCH(C343,Clients!$B$5:$B$254,0)),""))</f>
        <v>0</v>
      </c>
      <c r="J343" s="50">
        <f>IF(I343="","",TEXT(I343,"ddd"))</f>
        <v>0</v>
      </c>
      <c r="M343" s="51">
        <f>IF(OR(K343="",L343=""),"",ROUND((L343-K343+IF(L343&lt;K343,1,0))*24,2))</f>
        <v>0</v>
      </c>
      <c r="O343" s="28">
        <f>IF(H343="","",IFERROR(INDEX(Services!$E$5:$E$54,MATCH(H343,Services!$B$5:$B$54,0)),""))</f>
        <v>0</v>
      </c>
      <c r="P343" s="29">
        <f>IF(H343="","",IFERROR(INDEX(Services!$G$5:$G$54,MATCH(H343,Services!$B$5:$B$54,0)),0))</f>
        <v>0</v>
      </c>
      <c r="Q343" s="29">
        <f>IF(H343="","",IF(IFERROR(INDEX(Services!$H$5:$H$54,MATCH(H343,Services!$B$5:$B$54,0)),0)=0,ExtraPetFeeDefault,IFERROR(INDEX(Services!$H$5:$H$54,MATCH(H343,Services!$B$5:$B$54,0)),0)))</f>
        <v>0</v>
      </c>
      <c r="R343" s="30">
        <f>IF(H343="","",IF(IFERROR(INDEX(Services!$I$5:$I$54,MATCH(H343,Services!$B$5:$B$54,0)),0)=0,HolidaySurcharge,IFERROR(INDEX(Services!$I$5:$I$54,MATCH(H343,Services!$B$5:$B$54,0)),0)))</f>
        <v>0</v>
      </c>
      <c r="S343" s="30">
        <f>IF(H343="","",IF(IFERROR(INDEX(Services!$J$5:$J$54,MATCH(H343,Services!$B$5:$B$54,0)),0)=0,WeekendSurcharge,IFERROR(INDEX(Services!$J$5:$J$54,MATCH(H343,Services!$B$5:$B$54,0)),0)))</f>
        <v>0</v>
      </c>
      <c r="T343" s="50">
        <f>IF(H343="","",IFERROR(INDEX(Services!$K$5:$K$54,MATCH(H343,Services!$B$5:$B$54,0)),"No"))</f>
        <v>0</v>
      </c>
      <c r="U343" s="29">
        <f>IF(H343="","",ROUND(IF(O343="Per hour",P343*IF(M343="",IF(N343="",1,N343),M343),P343*IF(N343="",1,N343)),2))</f>
        <v>0</v>
      </c>
      <c r="V343" s="29">
        <f>IF(H343="","",ROUND(MAX(0,IF(G343="",1,G343)-1)*Q343,2))</f>
        <v>0</v>
      </c>
      <c r="W343" s="50">
        <f>IF(I343="","",IF(COUNTIF(HolidayDates,I343)&gt;0,"Yes","No"))</f>
        <v>0</v>
      </c>
      <c r="X343" s="50">
        <f>IF(I343="","",IF(WEEKDAY(I343,2)&gt;5,"Yes","No"))</f>
        <v>0</v>
      </c>
      <c r="Y343" s="29">
        <f>IF(H343="","",ROUND((U343+V343)*(IF(W343="Yes",R343,0)+IF(X343="Yes",S343,0)),2))</f>
        <v>0</v>
      </c>
      <c r="AA343" s="29">
        <f>IF(H343="","",IF(T343&lt;&gt;"Yes",0,ROUND(MAX(0,IF(Z343="",0,Z343)-FreeTravelDistance)*TravelFeeRate,2)))</f>
        <v>0</v>
      </c>
      <c r="AB343" s="31">
        <f>IF(I343="","",TravelTimeMins)</f>
        <v>0</v>
      </c>
      <c r="AC343" s="29">
        <f>IF(OR(I343="",B343=""),0,IF(I343-B343&lt;=LastMinuteDays,EmergencyFee,0))</f>
        <v>0</v>
      </c>
      <c r="AF343" s="29">
        <f>IF(H343="","",ROUND((U343+V343+Y343+AA343+AC343)*IF(AE343="",0,AE343),2))</f>
        <v>0</v>
      </c>
      <c r="AI343" s="29">
        <f>IF(H343="","",IF(AG343&lt;&gt;"",AG343,ROUND(U343+V343+Y343+AA343+AC343-AF343,2)))</f>
        <v>0</v>
      </c>
      <c r="AJ343" s="29">
        <f>IF(AI343="","",IF(TaxRegistered&lt;&gt;"Yes",0,IF(PricesIncludeTax="Yes",ROUND(AI343-AI343/(1+TaxRate),2),ROUND(AI343*TaxRate,2))))</f>
        <v>0</v>
      </c>
      <c r="AK343" s="29">
        <f>IF(AI343="","",IF(PricesIncludeTax="Yes",AI343,ROUND(AI343+AJ343,2)))</f>
        <v>0</v>
      </c>
      <c r="AQ343" s="21">
        <f>IF(OR(I343="",AP343="",AP343="None"),"",IF(AP343="Monthly",EDATE(I343,1),I343+IF(AP343="Daily",1,IF(AP343="Weekdays",IF(WEEKDAY(I343,2)&gt;=5,8-WEEKDAY(I343,2),1),IF(AP343="Weekly",7,IF(AP343="Fortnightly",14,0))))))</f>
        <v>0</v>
      </c>
      <c r="AR343" s="49">
        <f>IF(OR(I343="",AL343="",K343="",L343=""),"",IF(SUMPRODUCT((Bookings!$AL$5:$AL$404=AL343)*(Bookings!$I$5:$I$404=I343)*(Bookings!$K$5:$K$404&lt;L343)*(Bookings!$L$5:$L$404&gt;K343)*(Bookings!$AM$5:$AM$404&lt;&gt;"Cancelled"))&gt;1,"Conflict - double booked","OK"))</f>
        <v>0</v>
      </c>
      <c r="AS343" s="50">
        <f>IF(A343="","",IF(COUNTIF('Visit Log'!$B$5:$B$404,A343)&gt;0,"Yes","No"))</f>
        <v>0</v>
      </c>
      <c r="AT343" s="28">
        <f>IF(A343="","",IFERROR(INDEX(Invoices!$A$5:$A$304,MATCH(A343,Invoices!$E$5:$E$304,0)),""))</f>
        <v>0</v>
      </c>
      <c r="AU343" s="49">
        <f>IF(A343="","",IF(AT343="","Not invoiced",IFERROR(INDEX(Invoices!$U$5:$U$304,MATCH(AT343,Invoices!$A$5:$A$304,0)),"")))</f>
        <v>0</v>
      </c>
      <c r="AY343" s="28">
        <f>IF(I343="","",TEXT(I343,"yyyy-mm"))</f>
        <v>0</v>
      </c>
      <c r="AZ343" s="49">
        <f>IF(I343="","",IF(AM343="Cancelled","Cancelled",IF(AND(I343&lt;TODAY(),OR(AM343="Pending",AM343="Confirmed",AM343="Enquiry")),"Overdue - update status",IF(AND(AM343="Completed",AS343="No"),"Action - log the visit",IF(I343=TODAY(),"Today",IF(AND(I343&gt;TODAY(),I343-TODAY()&lt;=ReminderLeadDays,AN343&lt;&gt;"Yes"),"Action - unconfirmed",IF(AND(I343&gt;TODAY(),I343-TODAY()&lt;=ReminderLeadDays),"Upcoming","OK")))))))</f>
        <v>0</v>
      </c>
    </row>
    <row r="344" spans="1:52">
      <c r="A344" s="46">
        <f>IF(C344="","",BookingPrefix&amp;TEXT(ROW()-4,"0000"))</f>
        <v>0</v>
      </c>
      <c r="D344" s="28">
        <f>IF(C344="","",IFERROR(INDEX(Clients!$A$5:$A$254,MATCH(C344,Clients!$B$5:$B$254,0)),""))</f>
        <v>0</v>
      </c>
      <c r="J344" s="50">
        <f>IF(I344="","",TEXT(I344,"ddd"))</f>
        <v>0</v>
      </c>
      <c r="M344" s="51">
        <f>IF(OR(K344="",L344=""),"",ROUND((L344-K344+IF(L344&lt;K344,1,0))*24,2))</f>
        <v>0</v>
      </c>
      <c r="O344" s="28">
        <f>IF(H344="","",IFERROR(INDEX(Services!$E$5:$E$54,MATCH(H344,Services!$B$5:$B$54,0)),""))</f>
        <v>0</v>
      </c>
      <c r="P344" s="29">
        <f>IF(H344="","",IFERROR(INDEX(Services!$G$5:$G$54,MATCH(H344,Services!$B$5:$B$54,0)),0))</f>
        <v>0</v>
      </c>
      <c r="Q344" s="29">
        <f>IF(H344="","",IF(IFERROR(INDEX(Services!$H$5:$H$54,MATCH(H344,Services!$B$5:$B$54,0)),0)=0,ExtraPetFeeDefault,IFERROR(INDEX(Services!$H$5:$H$54,MATCH(H344,Services!$B$5:$B$54,0)),0)))</f>
        <v>0</v>
      </c>
      <c r="R344" s="30">
        <f>IF(H344="","",IF(IFERROR(INDEX(Services!$I$5:$I$54,MATCH(H344,Services!$B$5:$B$54,0)),0)=0,HolidaySurcharge,IFERROR(INDEX(Services!$I$5:$I$54,MATCH(H344,Services!$B$5:$B$54,0)),0)))</f>
        <v>0</v>
      </c>
      <c r="S344" s="30">
        <f>IF(H344="","",IF(IFERROR(INDEX(Services!$J$5:$J$54,MATCH(H344,Services!$B$5:$B$54,0)),0)=0,WeekendSurcharge,IFERROR(INDEX(Services!$J$5:$J$54,MATCH(H344,Services!$B$5:$B$54,0)),0)))</f>
        <v>0</v>
      </c>
      <c r="T344" s="50">
        <f>IF(H344="","",IFERROR(INDEX(Services!$K$5:$K$54,MATCH(H344,Services!$B$5:$B$54,0)),"No"))</f>
        <v>0</v>
      </c>
      <c r="U344" s="29">
        <f>IF(H344="","",ROUND(IF(O344="Per hour",P344*IF(M344="",IF(N344="",1,N344),M344),P344*IF(N344="",1,N344)),2))</f>
        <v>0</v>
      </c>
      <c r="V344" s="29">
        <f>IF(H344="","",ROUND(MAX(0,IF(G344="",1,G344)-1)*Q344,2))</f>
        <v>0</v>
      </c>
      <c r="W344" s="50">
        <f>IF(I344="","",IF(COUNTIF(HolidayDates,I344)&gt;0,"Yes","No"))</f>
        <v>0</v>
      </c>
      <c r="X344" s="50">
        <f>IF(I344="","",IF(WEEKDAY(I344,2)&gt;5,"Yes","No"))</f>
        <v>0</v>
      </c>
      <c r="Y344" s="29">
        <f>IF(H344="","",ROUND((U344+V344)*(IF(W344="Yes",R344,0)+IF(X344="Yes",S344,0)),2))</f>
        <v>0</v>
      </c>
      <c r="AA344" s="29">
        <f>IF(H344="","",IF(T344&lt;&gt;"Yes",0,ROUND(MAX(0,IF(Z344="",0,Z344)-FreeTravelDistance)*TravelFeeRate,2)))</f>
        <v>0</v>
      </c>
      <c r="AB344" s="31">
        <f>IF(I344="","",TravelTimeMins)</f>
        <v>0</v>
      </c>
      <c r="AC344" s="29">
        <f>IF(OR(I344="",B344=""),0,IF(I344-B344&lt;=LastMinuteDays,EmergencyFee,0))</f>
        <v>0</v>
      </c>
      <c r="AF344" s="29">
        <f>IF(H344="","",ROUND((U344+V344+Y344+AA344+AC344)*IF(AE344="",0,AE344),2))</f>
        <v>0</v>
      </c>
      <c r="AI344" s="29">
        <f>IF(H344="","",IF(AG344&lt;&gt;"",AG344,ROUND(U344+V344+Y344+AA344+AC344-AF344,2)))</f>
        <v>0</v>
      </c>
      <c r="AJ344" s="29">
        <f>IF(AI344="","",IF(TaxRegistered&lt;&gt;"Yes",0,IF(PricesIncludeTax="Yes",ROUND(AI344-AI344/(1+TaxRate),2),ROUND(AI344*TaxRate,2))))</f>
        <v>0</v>
      </c>
      <c r="AK344" s="29">
        <f>IF(AI344="","",IF(PricesIncludeTax="Yes",AI344,ROUND(AI344+AJ344,2)))</f>
        <v>0</v>
      </c>
      <c r="AQ344" s="21">
        <f>IF(OR(I344="",AP344="",AP344="None"),"",IF(AP344="Monthly",EDATE(I344,1),I344+IF(AP344="Daily",1,IF(AP344="Weekdays",IF(WEEKDAY(I344,2)&gt;=5,8-WEEKDAY(I344,2),1),IF(AP344="Weekly",7,IF(AP344="Fortnightly",14,0))))))</f>
        <v>0</v>
      </c>
      <c r="AR344" s="49">
        <f>IF(OR(I344="",AL344="",K344="",L344=""),"",IF(SUMPRODUCT((Bookings!$AL$5:$AL$404=AL344)*(Bookings!$I$5:$I$404=I344)*(Bookings!$K$5:$K$404&lt;L344)*(Bookings!$L$5:$L$404&gt;K344)*(Bookings!$AM$5:$AM$404&lt;&gt;"Cancelled"))&gt;1,"Conflict - double booked","OK"))</f>
        <v>0</v>
      </c>
      <c r="AS344" s="50">
        <f>IF(A344="","",IF(COUNTIF('Visit Log'!$B$5:$B$404,A344)&gt;0,"Yes","No"))</f>
        <v>0</v>
      </c>
      <c r="AT344" s="28">
        <f>IF(A344="","",IFERROR(INDEX(Invoices!$A$5:$A$304,MATCH(A344,Invoices!$E$5:$E$304,0)),""))</f>
        <v>0</v>
      </c>
      <c r="AU344" s="49">
        <f>IF(A344="","",IF(AT344="","Not invoiced",IFERROR(INDEX(Invoices!$U$5:$U$304,MATCH(AT344,Invoices!$A$5:$A$304,0)),"")))</f>
        <v>0</v>
      </c>
      <c r="AY344" s="28">
        <f>IF(I344="","",TEXT(I344,"yyyy-mm"))</f>
        <v>0</v>
      </c>
      <c r="AZ344" s="49">
        <f>IF(I344="","",IF(AM344="Cancelled","Cancelled",IF(AND(I344&lt;TODAY(),OR(AM344="Pending",AM344="Confirmed",AM344="Enquiry")),"Overdue - update status",IF(AND(AM344="Completed",AS344="No"),"Action - log the visit",IF(I344=TODAY(),"Today",IF(AND(I344&gt;TODAY(),I344-TODAY()&lt;=ReminderLeadDays,AN344&lt;&gt;"Yes"),"Action - unconfirmed",IF(AND(I344&gt;TODAY(),I344-TODAY()&lt;=ReminderLeadDays),"Upcoming","OK")))))))</f>
        <v>0</v>
      </c>
    </row>
    <row r="345" spans="1:52">
      <c r="A345" s="46">
        <f>IF(C345="","",BookingPrefix&amp;TEXT(ROW()-4,"0000"))</f>
        <v>0</v>
      </c>
      <c r="D345" s="28">
        <f>IF(C345="","",IFERROR(INDEX(Clients!$A$5:$A$254,MATCH(C345,Clients!$B$5:$B$254,0)),""))</f>
        <v>0</v>
      </c>
      <c r="J345" s="50">
        <f>IF(I345="","",TEXT(I345,"ddd"))</f>
        <v>0</v>
      </c>
      <c r="M345" s="51">
        <f>IF(OR(K345="",L345=""),"",ROUND((L345-K345+IF(L345&lt;K345,1,0))*24,2))</f>
        <v>0</v>
      </c>
      <c r="O345" s="28">
        <f>IF(H345="","",IFERROR(INDEX(Services!$E$5:$E$54,MATCH(H345,Services!$B$5:$B$54,0)),""))</f>
        <v>0</v>
      </c>
      <c r="P345" s="29">
        <f>IF(H345="","",IFERROR(INDEX(Services!$G$5:$G$54,MATCH(H345,Services!$B$5:$B$54,0)),0))</f>
        <v>0</v>
      </c>
      <c r="Q345" s="29">
        <f>IF(H345="","",IF(IFERROR(INDEX(Services!$H$5:$H$54,MATCH(H345,Services!$B$5:$B$54,0)),0)=0,ExtraPetFeeDefault,IFERROR(INDEX(Services!$H$5:$H$54,MATCH(H345,Services!$B$5:$B$54,0)),0)))</f>
        <v>0</v>
      </c>
      <c r="R345" s="30">
        <f>IF(H345="","",IF(IFERROR(INDEX(Services!$I$5:$I$54,MATCH(H345,Services!$B$5:$B$54,0)),0)=0,HolidaySurcharge,IFERROR(INDEX(Services!$I$5:$I$54,MATCH(H345,Services!$B$5:$B$54,0)),0)))</f>
        <v>0</v>
      </c>
      <c r="S345" s="30">
        <f>IF(H345="","",IF(IFERROR(INDEX(Services!$J$5:$J$54,MATCH(H345,Services!$B$5:$B$54,0)),0)=0,WeekendSurcharge,IFERROR(INDEX(Services!$J$5:$J$54,MATCH(H345,Services!$B$5:$B$54,0)),0)))</f>
        <v>0</v>
      </c>
      <c r="T345" s="50">
        <f>IF(H345="","",IFERROR(INDEX(Services!$K$5:$K$54,MATCH(H345,Services!$B$5:$B$54,0)),"No"))</f>
        <v>0</v>
      </c>
      <c r="U345" s="29">
        <f>IF(H345="","",ROUND(IF(O345="Per hour",P345*IF(M345="",IF(N345="",1,N345),M345),P345*IF(N345="",1,N345)),2))</f>
        <v>0</v>
      </c>
      <c r="V345" s="29">
        <f>IF(H345="","",ROUND(MAX(0,IF(G345="",1,G345)-1)*Q345,2))</f>
        <v>0</v>
      </c>
      <c r="W345" s="50">
        <f>IF(I345="","",IF(COUNTIF(HolidayDates,I345)&gt;0,"Yes","No"))</f>
        <v>0</v>
      </c>
      <c r="X345" s="50">
        <f>IF(I345="","",IF(WEEKDAY(I345,2)&gt;5,"Yes","No"))</f>
        <v>0</v>
      </c>
      <c r="Y345" s="29">
        <f>IF(H345="","",ROUND((U345+V345)*(IF(W345="Yes",R345,0)+IF(X345="Yes",S345,0)),2))</f>
        <v>0</v>
      </c>
      <c r="AA345" s="29">
        <f>IF(H345="","",IF(T345&lt;&gt;"Yes",0,ROUND(MAX(0,IF(Z345="",0,Z345)-FreeTravelDistance)*TravelFeeRate,2)))</f>
        <v>0</v>
      </c>
      <c r="AB345" s="31">
        <f>IF(I345="","",TravelTimeMins)</f>
        <v>0</v>
      </c>
      <c r="AC345" s="29">
        <f>IF(OR(I345="",B345=""),0,IF(I345-B345&lt;=LastMinuteDays,EmergencyFee,0))</f>
        <v>0</v>
      </c>
      <c r="AF345" s="29">
        <f>IF(H345="","",ROUND((U345+V345+Y345+AA345+AC345)*IF(AE345="",0,AE345),2))</f>
        <v>0</v>
      </c>
      <c r="AI345" s="29">
        <f>IF(H345="","",IF(AG345&lt;&gt;"",AG345,ROUND(U345+V345+Y345+AA345+AC345-AF345,2)))</f>
        <v>0</v>
      </c>
      <c r="AJ345" s="29">
        <f>IF(AI345="","",IF(TaxRegistered&lt;&gt;"Yes",0,IF(PricesIncludeTax="Yes",ROUND(AI345-AI345/(1+TaxRate),2),ROUND(AI345*TaxRate,2))))</f>
        <v>0</v>
      </c>
      <c r="AK345" s="29">
        <f>IF(AI345="","",IF(PricesIncludeTax="Yes",AI345,ROUND(AI345+AJ345,2)))</f>
        <v>0</v>
      </c>
      <c r="AQ345" s="21">
        <f>IF(OR(I345="",AP345="",AP345="None"),"",IF(AP345="Monthly",EDATE(I345,1),I345+IF(AP345="Daily",1,IF(AP345="Weekdays",IF(WEEKDAY(I345,2)&gt;=5,8-WEEKDAY(I345,2),1),IF(AP345="Weekly",7,IF(AP345="Fortnightly",14,0))))))</f>
        <v>0</v>
      </c>
      <c r="AR345" s="49">
        <f>IF(OR(I345="",AL345="",K345="",L345=""),"",IF(SUMPRODUCT((Bookings!$AL$5:$AL$404=AL345)*(Bookings!$I$5:$I$404=I345)*(Bookings!$K$5:$K$404&lt;L345)*(Bookings!$L$5:$L$404&gt;K345)*(Bookings!$AM$5:$AM$404&lt;&gt;"Cancelled"))&gt;1,"Conflict - double booked","OK"))</f>
        <v>0</v>
      </c>
      <c r="AS345" s="50">
        <f>IF(A345="","",IF(COUNTIF('Visit Log'!$B$5:$B$404,A345)&gt;0,"Yes","No"))</f>
        <v>0</v>
      </c>
      <c r="AT345" s="28">
        <f>IF(A345="","",IFERROR(INDEX(Invoices!$A$5:$A$304,MATCH(A345,Invoices!$E$5:$E$304,0)),""))</f>
        <v>0</v>
      </c>
      <c r="AU345" s="49">
        <f>IF(A345="","",IF(AT345="","Not invoiced",IFERROR(INDEX(Invoices!$U$5:$U$304,MATCH(AT345,Invoices!$A$5:$A$304,0)),"")))</f>
        <v>0</v>
      </c>
      <c r="AY345" s="28">
        <f>IF(I345="","",TEXT(I345,"yyyy-mm"))</f>
        <v>0</v>
      </c>
      <c r="AZ345" s="49">
        <f>IF(I345="","",IF(AM345="Cancelled","Cancelled",IF(AND(I345&lt;TODAY(),OR(AM345="Pending",AM345="Confirmed",AM345="Enquiry")),"Overdue - update status",IF(AND(AM345="Completed",AS345="No"),"Action - log the visit",IF(I345=TODAY(),"Today",IF(AND(I345&gt;TODAY(),I345-TODAY()&lt;=ReminderLeadDays,AN345&lt;&gt;"Yes"),"Action - unconfirmed",IF(AND(I345&gt;TODAY(),I345-TODAY()&lt;=ReminderLeadDays),"Upcoming","OK")))))))</f>
        <v>0</v>
      </c>
    </row>
    <row r="346" spans="1:52">
      <c r="A346" s="46">
        <f>IF(C346="","",BookingPrefix&amp;TEXT(ROW()-4,"0000"))</f>
        <v>0</v>
      </c>
      <c r="D346" s="28">
        <f>IF(C346="","",IFERROR(INDEX(Clients!$A$5:$A$254,MATCH(C346,Clients!$B$5:$B$254,0)),""))</f>
        <v>0</v>
      </c>
      <c r="J346" s="50">
        <f>IF(I346="","",TEXT(I346,"ddd"))</f>
        <v>0</v>
      </c>
      <c r="M346" s="51">
        <f>IF(OR(K346="",L346=""),"",ROUND((L346-K346+IF(L346&lt;K346,1,0))*24,2))</f>
        <v>0</v>
      </c>
      <c r="O346" s="28">
        <f>IF(H346="","",IFERROR(INDEX(Services!$E$5:$E$54,MATCH(H346,Services!$B$5:$B$54,0)),""))</f>
        <v>0</v>
      </c>
      <c r="P346" s="29">
        <f>IF(H346="","",IFERROR(INDEX(Services!$G$5:$G$54,MATCH(H346,Services!$B$5:$B$54,0)),0))</f>
        <v>0</v>
      </c>
      <c r="Q346" s="29">
        <f>IF(H346="","",IF(IFERROR(INDEX(Services!$H$5:$H$54,MATCH(H346,Services!$B$5:$B$54,0)),0)=0,ExtraPetFeeDefault,IFERROR(INDEX(Services!$H$5:$H$54,MATCH(H346,Services!$B$5:$B$54,0)),0)))</f>
        <v>0</v>
      </c>
      <c r="R346" s="30">
        <f>IF(H346="","",IF(IFERROR(INDEX(Services!$I$5:$I$54,MATCH(H346,Services!$B$5:$B$54,0)),0)=0,HolidaySurcharge,IFERROR(INDEX(Services!$I$5:$I$54,MATCH(H346,Services!$B$5:$B$54,0)),0)))</f>
        <v>0</v>
      </c>
      <c r="S346" s="30">
        <f>IF(H346="","",IF(IFERROR(INDEX(Services!$J$5:$J$54,MATCH(H346,Services!$B$5:$B$54,0)),0)=0,WeekendSurcharge,IFERROR(INDEX(Services!$J$5:$J$54,MATCH(H346,Services!$B$5:$B$54,0)),0)))</f>
        <v>0</v>
      </c>
      <c r="T346" s="50">
        <f>IF(H346="","",IFERROR(INDEX(Services!$K$5:$K$54,MATCH(H346,Services!$B$5:$B$54,0)),"No"))</f>
        <v>0</v>
      </c>
      <c r="U346" s="29">
        <f>IF(H346="","",ROUND(IF(O346="Per hour",P346*IF(M346="",IF(N346="",1,N346),M346),P346*IF(N346="",1,N346)),2))</f>
        <v>0</v>
      </c>
      <c r="V346" s="29">
        <f>IF(H346="","",ROUND(MAX(0,IF(G346="",1,G346)-1)*Q346,2))</f>
        <v>0</v>
      </c>
      <c r="W346" s="50">
        <f>IF(I346="","",IF(COUNTIF(HolidayDates,I346)&gt;0,"Yes","No"))</f>
        <v>0</v>
      </c>
      <c r="X346" s="50">
        <f>IF(I346="","",IF(WEEKDAY(I346,2)&gt;5,"Yes","No"))</f>
        <v>0</v>
      </c>
      <c r="Y346" s="29">
        <f>IF(H346="","",ROUND((U346+V346)*(IF(W346="Yes",R346,0)+IF(X346="Yes",S346,0)),2))</f>
        <v>0</v>
      </c>
      <c r="AA346" s="29">
        <f>IF(H346="","",IF(T346&lt;&gt;"Yes",0,ROUND(MAX(0,IF(Z346="",0,Z346)-FreeTravelDistance)*TravelFeeRate,2)))</f>
        <v>0</v>
      </c>
      <c r="AB346" s="31">
        <f>IF(I346="","",TravelTimeMins)</f>
        <v>0</v>
      </c>
      <c r="AC346" s="29">
        <f>IF(OR(I346="",B346=""),0,IF(I346-B346&lt;=LastMinuteDays,EmergencyFee,0))</f>
        <v>0</v>
      </c>
      <c r="AF346" s="29">
        <f>IF(H346="","",ROUND((U346+V346+Y346+AA346+AC346)*IF(AE346="",0,AE346),2))</f>
        <v>0</v>
      </c>
      <c r="AI346" s="29">
        <f>IF(H346="","",IF(AG346&lt;&gt;"",AG346,ROUND(U346+V346+Y346+AA346+AC346-AF346,2)))</f>
        <v>0</v>
      </c>
      <c r="AJ346" s="29">
        <f>IF(AI346="","",IF(TaxRegistered&lt;&gt;"Yes",0,IF(PricesIncludeTax="Yes",ROUND(AI346-AI346/(1+TaxRate),2),ROUND(AI346*TaxRate,2))))</f>
        <v>0</v>
      </c>
      <c r="AK346" s="29">
        <f>IF(AI346="","",IF(PricesIncludeTax="Yes",AI346,ROUND(AI346+AJ346,2)))</f>
        <v>0</v>
      </c>
      <c r="AQ346" s="21">
        <f>IF(OR(I346="",AP346="",AP346="None"),"",IF(AP346="Monthly",EDATE(I346,1),I346+IF(AP346="Daily",1,IF(AP346="Weekdays",IF(WEEKDAY(I346,2)&gt;=5,8-WEEKDAY(I346,2),1),IF(AP346="Weekly",7,IF(AP346="Fortnightly",14,0))))))</f>
        <v>0</v>
      </c>
      <c r="AR346" s="49">
        <f>IF(OR(I346="",AL346="",K346="",L346=""),"",IF(SUMPRODUCT((Bookings!$AL$5:$AL$404=AL346)*(Bookings!$I$5:$I$404=I346)*(Bookings!$K$5:$K$404&lt;L346)*(Bookings!$L$5:$L$404&gt;K346)*(Bookings!$AM$5:$AM$404&lt;&gt;"Cancelled"))&gt;1,"Conflict - double booked","OK"))</f>
        <v>0</v>
      </c>
      <c r="AS346" s="50">
        <f>IF(A346="","",IF(COUNTIF('Visit Log'!$B$5:$B$404,A346)&gt;0,"Yes","No"))</f>
        <v>0</v>
      </c>
      <c r="AT346" s="28">
        <f>IF(A346="","",IFERROR(INDEX(Invoices!$A$5:$A$304,MATCH(A346,Invoices!$E$5:$E$304,0)),""))</f>
        <v>0</v>
      </c>
      <c r="AU346" s="49">
        <f>IF(A346="","",IF(AT346="","Not invoiced",IFERROR(INDEX(Invoices!$U$5:$U$304,MATCH(AT346,Invoices!$A$5:$A$304,0)),"")))</f>
        <v>0</v>
      </c>
      <c r="AY346" s="28">
        <f>IF(I346="","",TEXT(I346,"yyyy-mm"))</f>
        <v>0</v>
      </c>
      <c r="AZ346" s="49">
        <f>IF(I346="","",IF(AM346="Cancelled","Cancelled",IF(AND(I346&lt;TODAY(),OR(AM346="Pending",AM346="Confirmed",AM346="Enquiry")),"Overdue - update status",IF(AND(AM346="Completed",AS346="No"),"Action - log the visit",IF(I346=TODAY(),"Today",IF(AND(I346&gt;TODAY(),I346-TODAY()&lt;=ReminderLeadDays,AN346&lt;&gt;"Yes"),"Action - unconfirmed",IF(AND(I346&gt;TODAY(),I346-TODAY()&lt;=ReminderLeadDays),"Upcoming","OK")))))))</f>
        <v>0</v>
      </c>
    </row>
    <row r="347" spans="1:52">
      <c r="A347" s="46">
        <f>IF(C347="","",BookingPrefix&amp;TEXT(ROW()-4,"0000"))</f>
        <v>0</v>
      </c>
      <c r="D347" s="28">
        <f>IF(C347="","",IFERROR(INDEX(Clients!$A$5:$A$254,MATCH(C347,Clients!$B$5:$B$254,0)),""))</f>
        <v>0</v>
      </c>
      <c r="J347" s="50">
        <f>IF(I347="","",TEXT(I347,"ddd"))</f>
        <v>0</v>
      </c>
      <c r="M347" s="51">
        <f>IF(OR(K347="",L347=""),"",ROUND((L347-K347+IF(L347&lt;K347,1,0))*24,2))</f>
        <v>0</v>
      </c>
      <c r="O347" s="28">
        <f>IF(H347="","",IFERROR(INDEX(Services!$E$5:$E$54,MATCH(H347,Services!$B$5:$B$54,0)),""))</f>
        <v>0</v>
      </c>
      <c r="P347" s="29">
        <f>IF(H347="","",IFERROR(INDEX(Services!$G$5:$G$54,MATCH(H347,Services!$B$5:$B$54,0)),0))</f>
        <v>0</v>
      </c>
      <c r="Q347" s="29">
        <f>IF(H347="","",IF(IFERROR(INDEX(Services!$H$5:$H$54,MATCH(H347,Services!$B$5:$B$54,0)),0)=0,ExtraPetFeeDefault,IFERROR(INDEX(Services!$H$5:$H$54,MATCH(H347,Services!$B$5:$B$54,0)),0)))</f>
        <v>0</v>
      </c>
      <c r="R347" s="30">
        <f>IF(H347="","",IF(IFERROR(INDEX(Services!$I$5:$I$54,MATCH(H347,Services!$B$5:$B$54,0)),0)=0,HolidaySurcharge,IFERROR(INDEX(Services!$I$5:$I$54,MATCH(H347,Services!$B$5:$B$54,0)),0)))</f>
        <v>0</v>
      </c>
      <c r="S347" s="30">
        <f>IF(H347="","",IF(IFERROR(INDEX(Services!$J$5:$J$54,MATCH(H347,Services!$B$5:$B$54,0)),0)=0,WeekendSurcharge,IFERROR(INDEX(Services!$J$5:$J$54,MATCH(H347,Services!$B$5:$B$54,0)),0)))</f>
        <v>0</v>
      </c>
      <c r="T347" s="50">
        <f>IF(H347="","",IFERROR(INDEX(Services!$K$5:$K$54,MATCH(H347,Services!$B$5:$B$54,0)),"No"))</f>
        <v>0</v>
      </c>
      <c r="U347" s="29">
        <f>IF(H347="","",ROUND(IF(O347="Per hour",P347*IF(M347="",IF(N347="",1,N347),M347),P347*IF(N347="",1,N347)),2))</f>
        <v>0</v>
      </c>
      <c r="V347" s="29">
        <f>IF(H347="","",ROUND(MAX(0,IF(G347="",1,G347)-1)*Q347,2))</f>
        <v>0</v>
      </c>
      <c r="W347" s="50">
        <f>IF(I347="","",IF(COUNTIF(HolidayDates,I347)&gt;0,"Yes","No"))</f>
        <v>0</v>
      </c>
      <c r="X347" s="50">
        <f>IF(I347="","",IF(WEEKDAY(I347,2)&gt;5,"Yes","No"))</f>
        <v>0</v>
      </c>
      <c r="Y347" s="29">
        <f>IF(H347="","",ROUND((U347+V347)*(IF(W347="Yes",R347,0)+IF(X347="Yes",S347,0)),2))</f>
        <v>0</v>
      </c>
      <c r="AA347" s="29">
        <f>IF(H347="","",IF(T347&lt;&gt;"Yes",0,ROUND(MAX(0,IF(Z347="",0,Z347)-FreeTravelDistance)*TravelFeeRate,2)))</f>
        <v>0</v>
      </c>
      <c r="AB347" s="31">
        <f>IF(I347="","",TravelTimeMins)</f>
        <v>0</v>
      </c>
      <c r="AC347" s="29">
        <f>IF(OR(I347="",B347=""),0,IF(I347-B347&lt;=LastMinuteDays,EmergencyFee,0))</f>
        <v>0</v>
      </c>
      <c r="AF347" s="29">
        <f>IF(H347="","",ROUND((U347+V347+Y347+AA347+AC347)*IF(AE347="",0,AE347),2))</f>
        <v>0</v>
      </c>
      <c r="AI347" s="29">
        <f>IF(H347="","",IF(AG347&lt;&gt;"",AG347,ROUND(U347+V347+Y347+AA347+AC347-AF347,2)))</f>
        <v>0</v>
      </c>
      <c r="AJ347" s="29">
        <f>IF(AI347="","",IF(TaxRegistered&lt;&gt;"Yes",0,IF(PricesIncludeTax="Yes",ROUND(AI347-AI347/(1+TaxRate),2),ROUND(AI347*TaxRate,2))))</f>
        <v>0</v>
      </c>
      <c r="AK347" s="29">
        <f>IF(AI347="","",IF(PricesIncludeTax="Yes",AI347,ROUND(AI347+AJ347,2)))</f>
        <v>0</v>
      </c>
      <c r="AQ347" s="21">
        <f>IF(OR(I347="",AP347="",AP347="None"),"",IF(AP347="Monthly",EDATE(I347,1),I347+IF(AP347="Daily",1,IF(AP347="Weekdays",IF(WEEKDAY(I347,2)&gt;=5,8-WEEKDAY(I347,2),1),IF(AP347="Weekly",7,IF(AP347="Fortnightly",14,0))))))</f>
        <v>0</v>
      </c>
      <c r="AR347" s="49">
        <f>IF(OR(I347="",AL347="",K347="",L347=""),"",IF(SUMPRODUCT((Bookings!$AL$5:$AL$404=AL347)*(Bookings!$I$5:$I$404=I347)*(Bookings!$K$5:$K$404&lt;L347)*(Bookings!$L$5:$L$404&gt;K347)*(Bookings!$AM$5:$AM$404&lt;&gt;"Cancelled"))&gt;1,"Conflict - double booked","OK"))</f>
        <v>0</v>
      </c>
      <c r="AS347" s="50">
        <f>IF(A347="","",IF(COUNTIF('Visit Log'!$B$5:$B$404,A347)&gt;0,"Yes","No"))</f>
        <v>0</v>
      </c>
      <c r="AT347" s="28">
        <f>IF(A347="","",IFERROR(INDEX(Invoices!$A$5:$A$304,MATCH(A347,Invoices!$E$5:$E$304,0)),""))</f>
        <v>0</v>
      </c>
      <c r="AU347" s="49">
        <f>IF(A347="","",IF(AT347="","Not invoiced",IFERROR(INDEX(Invoices!$U$5:$U$304,MATCH(AT347,Invoices!$A$5:$A$304,0)),"")))</f>
        <v>0</v>
      </c>
      <c r="AY347" s="28">
        <f>IF(I347="","",TEXT(I347,"yyyy-mm"))</f>
        <v>0</v>
      </c>
      <c r="AZ347" s="49">
        <f>IF(I347="","",IF(AM347="Cancelled","Cancelled",IF(AND(I347&lt;TODAY(),OR(AM347="Pending",AM347="Confirmed",AM347="Enquiry")),"Overdue - update status",IF(AND(AM347="Completed",AS347="No"),"Action - log the visit",IF(I347=TODAY(),"Today",IF(AND(I347&gt;TODAY(),I347-TODAY()&lt;=ReminderLeadDays,AN347&lt;&gt;"Yes"),"Action - unconfirmed",IF(AND(I347&gt;TODAY(),I347-TODAY()&lt;=ReminderLeadDays),"Upcoming","OK")))))))</f>
        <v>0</v>
      </c>
    </row>
    <row r="348" spans="1:52">
      <c r="A348" s="46">
        <f>IF(C348="","",BookingPrefix&amp;TEXT(ROW()-4,"0000"))</f>
        <v>0</v>
      </c>
      <c r="D348" s="28">
        <f>IF(C348="","",IFERROR(INDEX(Clients!$A$5:$A$254,MATCH(C348,Clients!$B$5:$B$254,0)),""))</f>
        <v>0</v>
      </c>
      <c r="J348" s="50">
        <f>IF(I348="","",TEXT(I348,"ddd"))</f>
        <v>0</v>
      </c>
      <c r="M348" s="51">
        <f>IF(OR(K348="",L348=""),"",ROUND((L348-K348+IF(L348&lt;K348,1,0))*24,2))</f>
        <v>0</v>
      </c>
      <c r="O348" s="28">
        <f>IF(H348="","",IFERROR(INDEX(Services!$E$5:$E$54,MATCH(H348,Services!$B$5:$B$54,0)),""))</f>
        <v>0</v>
      </c>
      <c r="P348" s="29">
        <f>IF(H348="","",IFERROR(INDEX(Services!$G$5:$G$54,MATCH(H348,Services!$B$5:$B$54,0)),0))</f>
        <v>0</v>
      </c>
      <c r="Q348" s="29">
        <f>IF(H348="","",IF(IFERROR(INDEX(Services!$H$5:$H$54,MATCH(H348,Services!$B$5:$B$54,0)),0)=0,ExtraPetFeeDefault,IFERROR(INDEX(Services!$H$5:$H$54,MATCH(H348,Services!$B$5:$B$54,0)),0)))</f>
        <v>0</v>
      </c>
      <c r="R348" s="30">
        <f>IF(H348="","",IF(IFERROR(INDEX(Services!$I$5:$I$54,MATCH(H348,Services!$B$5:$B$54,0)),0)=0,HolidaySurcharge,IFERROR(INDEX(Services!$I$5:$I$54,MATCH(H348,Services!$B$5:$B$54,0)),0)))</f>
        <v>0</v>
      </c>
      <c r="S348" s="30">
        <f>IF(H348="","",IF(IFERROR(INDEX(Services!$J$5:$J$54,MATCH(H348,Services!$B$5:$B$54,0)),0)=0,WeekendSurcharge,IFERROR(INDEX(Services!$J$5:$J$54,MATCH(H348,Services!$B$5:$B$54,0)),0)))</f>
        <v>0</v>
      </c>
      <c r="T348" s="50">
        <f>IF(H348="","",IFERROR(INDEX(Services!$K$5:$K$54,MATCH(H348,Services!$B$5:$B$54,0)),"No"))</f>
        <v>0</v>
      </c>
      <c r="U348" s="29">
        <f>IF(H348="","",ROUND(IF(O348="Per hour",P348*IF(M348="",IF(N348="",1,N348),M348),P348*IF(N348="",1,N348)),2))</f>
        <v>0</v>
      </c>
      <c r="V348" s="29">
        <f>IF(H348="","",ROUND(MAX(0,IF(G348="",1,G348)-1)*Q348,2))</f>
        <v>0</v>
      </c>
      <c r="W348" s="50">
        <f>IF(I348="","",IF(COUNTIF(HolidayDates,I348)&gt;0,"Yes","No"))</f>
        <v>0</v>
      </c>
      <c r="X348" s="50">
        <f>IF(I348="","",IF(WEEKDAY(I348,2)&gt;5,"Yes","No"))</f>
        <v>0</v>
      </c>
      <c r="Y348" s="29">
        <f>IF(H348="","",ROUND((U348+V348)*(IF(W348="Yes",R348,0)+IF(X348="Yes",S348,0)),2))</f>
        <v>0</v>
      </c>
      <c r="AA348" s="29">
        <f>IF(H348="","",IF(T348&lt;&gt;"Yes",0,ROUND(MAX(0,IF(Z348="",0,Z348)-FreeTravelDistance)*TravelFeeRate,2)))</f>
        <v>0</v>
      </c>
      <c r="AB348" s="31">
        <f>IF(I348="","",TravelTimeMins)</f>
        <v>0</v>
      </c>
      <c r="AC348" s="29">
        <f>IF(OR(I348="",B348=""),0,IF(I348-B348&lt;=LastMinuteDays,EmergencyFee,0))</f>
        <v>0</v>
      </c>
      <c r="AF348" s="29">
        <f>IF(H348="","",ROUND((U348+V348+Y348+AA348+AC348)*IF(AE348="",0,AE348),2))</f>
        <v>0</v>
      </c>
      <c r="AI348" s="29">
        <f>IF(H348="","",IF(AG348&lt;&gt;"",AG348,ROUND(U348+V348+Y348+AA348+AC348-AF348,2)))</f>
        <v>0</v>
      </c>
      <c r="AJ348" s="29">
        <f>IF(AI348="","",IF(TaxRegistered&lt;&gt;"Yes",0,IF(PricesIncludeTax="Yes",ROUND(AI348-AI348/(1+TaxRate),2),ROUND(AI348*TaxRate,2))))</f>
        <v>0</v>
      </c>
      <c r="AK348" s="29">
        <f>IF(AI348="","",IF(PricesIncludeTax="Yes",AI348,ROUND(AI348+AJ348,2)))</f>
        <v>0</v>
      </c>
      <c r="AQ348" s="21">
        <f>IF(OR(I348="",AP348="",AP348="None"),"",IF(AP348="Monthly",EDATE(I348,1),I348+IF(AP348="Daily",1,IF(AP348="Weekdays",IF(WEEKDAY(I348,2)&gt;=5,8-WEEKDAY(I348,2),1),IF(AP348="Weekly",7,IF(AP348="Fortnightly",14,0))))))</f>
        <v>0</v>
      </c>
      <c r="AR348" s="49">
        <f>IF(OR(I348="",AL348="",K348="",L348=""),"",IF(SUMPRODUCT((Bookings!$AL$5:$AL$404=AL348)*(Bookings!$I$5:$I$404=I348)*(Bookings!$K$5:$K$404&lt;L348)*(Bookings!$L$5:$L$404&gt;K348)*(Bookings!$AM$5:$AM$404&lt;&gt;"Cancelled"))&gt;1,"Conflict - double booked","OK"))</f>
        <v>0</v>
      </c>
      <c r="AS348" s="50">
        <f>IF(A348="","",IF(COUNTIF('Visit Log'!$B$5:$B$404,A348)&gt;0,"Yes","No"))</f>
        <v>0</v>
      </c>
      <c r="AT348" s="28">
        <f>IF(A348="","",IFERROR(INDEX(Invoices!$A$5:$A$304,MATCH(A348,Invoices!$E$5:$E$304,0)),""))</f>
        <v>0</v>
      </c>
      <c r="AU348" s="49">
        <f>IF(A348="","",IF(AT348="","Not invoiced",IFERROR(INDEX(Invoices!$U$5:$U$304,MATCH(AT348,Invoices!$A$5:$A$304,0)),"")))</f>
        <v>0</v>
      </c>
      <c r="AY348" s="28">
        <f>IF(I348="","",TEXT(I348,"yyyy-mm"))</f>
        <v>0</v>
      </c>
      <c r="AZ348" s="49">
        <f>IF(I348="","",IF(AM348="Cancelled","Cancelled",IF(AND(I348&lt;TODAY(),OR(AM348="Pending",AM348="Confirmed",AM348="Enquiry")),"Overdue - update status",IF(AND(AM348="Completed",AS348="No"),"Action - log the visit",IF(I348=TODAY(),"Today",IF(AND(I348&gt;TODAY(),I348-TODAY()&lt;=ReminderLeadDays,AN348&lt;&gt;"Yes"),"Action - unconfirmed",IF(AND(I348&gt;TODAY(),I348-TODAY()&lt;=ReminderLeadDays),"Upcoming","OK")))))))</f>
        <v>0</v>
      </c>
    </row>
    <row r="349" spans="1:52">
      <c r="A349" s="46">
        <f>IF(C349="","",BookingPrefix&amp;TEXT(ROW()-4,"0000"))</f>
        <v>0</v>
      </c>
      <c r="D349" s="28">
        <f>IF(C349="","",IFERROR(INDEX(Clients!$A$5:$A$254,MATCH(C349,Clients!$B$5:$B$254,0)),""))</f>
        <v>0</v>
      </c>
      <c r="J349" s="50">
        <f>IF(I349="","",TEXT(I349,"ddd"))</f>
        <v>0</v>
      </c>
      <c r="M349" s="51">
        <f>IF(OR(K349="",L349=""),"",ROUND((L349-K349+IF(L349&lt;K349,1,0))*24,2))</f>
        <v>0</v>
      </c>
      <c r="O349" s="28">
        <f>IF(H349="","",IFERROR(INDEX(Services!$E$5:$E$54,MATCH(H349,Services!$B$5:$B$54,0)),""))</f>
        <v>0</v>
      </c>
      <c r="P349" s="29">
        <f>IF(H349="","",IFERROR(INDEX(Services!$G$5:$G$54,MATCH(H349,Services!$B$5:$B$54,0)),0))</f>
        <v>0</v>
      </c>
      <c r="Q349" s="29">
        <f>IF(H349="","",IF(IFERROR(INDEX(Services!$H$5:$H$54,MATCH(H349,Services!$B$5:$B$54,0)),0)=0,ExtraPetFeeDefault,IFERROR(INDEX(Services!$H$5:$H$54,MATCH(H349,Services!$B$5:$B$54,0)),0)))</f>
        <v>0</v>
      </c>
      <c r="R349" s="30">
        <f>IF(H349="","",IF(IFERROR(INDEX(Services!$I$5:$I$54,MATCH(H349,Services!$B$5:$B$54,0)),0)=0,HolidaySurcharge,IFERROR(INDEX(Services!$I$5:$I$54,MATCH(H349,Services!$B$5:$B$54,0)),0)))</f>
        <v>0</v>
      </c>
      <c r="S349" s="30">
        <f>IF(H349="","",IF(IFERROR(INDEX(Services!$J$5:$J$54,MATCH(H349,Services!$B$5:$B$54,0)),0)=0,WeekendSurcharge,IFERROR(INDEX(Services!$J$5:$J$54,MATCH(H349,Services!$B$5:$B$54,0)),0)))</f>
        <v>0</v>
      </c>
      <c r="T349" s="50">
        <f>IF(H349="","",IFERROR(INDEX(Services!$K$5:$K$54,MATCH(H349,Services!$B$5:$B$54,0)),"No"))</f>
        <v>0</v>
      </c>
      <c r="U349" s="29">
        <f>IF(H349="","",ROUND(IF(O349="Per hour",P349*IF(M349="",IF(N349="",1,N349),M349),P349*IF(N349="",1,N349)),2))</f>
        <v>0</v>
      </c>
      <c r="V349" s="29">
        <f>IF(H349="","",ROUND(MAX(0,IF(G349="",1,G349)-1)*Q349,2))</f>
        <v>0</v>
      </c>
      <c r="W349" s="50">
        <f>IF(I349="","",IF(COUNTIF(HolidayDates,I349)&gt;0,"Yes","No"))</f>
        <v>0</v>
      </c>
      <c r="X349" s="50">
        <f>IF(I349="","",IF(WEEKDAY(I349,2)&gt;5,"Yes","No"))</f>
        <v>0</v>
      </c>
      <c r="Y349" s="29">
        <f>IF(H349="","",ROUND((U349+V349)*(IF(W349="Yes",R349,0)+IF(X349="Yes",S349,0)),2))</f>
        <v>0</v>
      </c>
      <c r="AA349" s="29">
        <f>IF(H349="","",IF(T349&lt;&gt;"Yes",0,ROUND(MAX(0,IF(Z349="",0,Z349)-FreeTravelDistance)*TravelFeeRate,2)))</f>
        <v>0</v>
      </c>
      <c r="AB349" s="31">
        <f>IF(I349="","",TravelTimeMins)</f>
        <v>0</v>
      </c>
      <c r="AC349" s="29">
        <f>IF(OR(I349="",B349=""),0,IF(I349-B349&lt;=LastMinuteDays,EmergencyFee,0))</f>
        <v>0</v>
      </c>
      <c r="AF349" s="29">
        <f>IF(H349="","",ROUND((U349+V349+Y349+AA349+AC349)*IF(AE349="",0,AE349),2))</f>
        <v>0</v>
      </c>
      <c r="AI349" s="29">
        <f>IF(H349="","",IF(AG349&lt;&gt;"",AG349,ROUND(U349+V349+Y349+AA349+AC349-AF349,2)))</f>
        <v>0</v>
      </c>
      <c r="AJ349" s="29">
        <f>IF(AI349="","",IF(TaxRegistered&lt;&gt;"Yes",0,IF(PricesIncludeTax="Yes",ROUND(AI349-AI349/(1+TaxRate),2),ROUND(AI349*TaxRate,2))))</f>
        <v>0</v>
      </c>
      <c r="AK349" s="29">
        <f>IF(AI349="","",IF(PricesIncludeTax="Yes",AI349,ROUND(AI349+AJ349,2)))</f>
        <v>0</v>
      </c>
      <c r="AQ349" s="21">
        <f>IF(OR(I349="",AP349="",AP349="None"),"",IF(AP349="Monthly",EDATE(I349,1),I349+IF(AP349="Daily",1,IF(AP349="Weekdays",IF(WEEKDAY(I349,2)&gt;=5,8-WEEKDAY(I349,2),1),IF(AP349="Weekly",7,IF(AP349="Fortnightly",14,0))))))</f>
        <v>0</v>
      </c>
      <c r="AR349" s="49">
        <f>IF(OR(I349="",AL349="",K349="",L349=""),"",IF(SUMPRODUCT((Bookings!$AL$5:$AL$404=AL349)*(Bookings!$I$5:$I$404=I349)*(Bookings!$K$5:$K$404&lt;L349)*(Bookings!$L$5:$L$404&gt;K349)*(Bookings!$AM$5:$AM$404&lt;&gt;"Cancelled"))&gt;1,"Conflict - double booked","OK"))</f>
        <v>0</v>
      </c>
      <c r="AS349" s="50">
        <f>IF(A349="","",IF(COUNTIF('Visit Log'!$B$5:$B$404,A349)&gt;0,"Yes","No"))</f>
        <v>0</v>
      </c>
      <c r="AT349" s="28">
        <f>IF(A349="","",IFERROR(INDEX(Invoices!$A$5:$A$304,MATCH(A349,Invoices!$E$5:$E$304,0)),""))</f>
        <v>0</v>
      </c>
      <c r="AU349" s="49">
        <f>IF(A349="","",IF(AT349="","Not invoiced",IFERROR(INDEX(Invoices!$U$5:$U$304,MATCH(AT349,Invoices!$A$5:$A$304,0)),"")))</f>
        <v>0</v>
      </c>
      <c r="AY349" s="28">
        <f>IF(I349="","",TEXT(I349,"yyyy-mm"))</f>
        <v>0</v>
      </c>
      <c r="AZ349" s="49">
        <f>IF(I349="","",IF(AM349="Cancelled","Cancelled",IF(AND(I349&lt;TODAY(),OR(AM349="Pending",AM349="Confirmed",AM349="Enquiry")),"Overdue - update status",IF(AND(AM349="Completed",AS349="No"),"Action - log the visit",IF(I349=TODAY(),"Today",IF(AND(I349&gt;TODAY(),I349-TODAY()&lt;=ReminderLeadDays,AN349&lt;&gt;"Yes"),"Action - unconfirmed",IF(AND(I349&gt;TODAY(),I349-TODAY()&lt;=ReminderLeadDays),"Upcoming","OK")))))))</f>
        <v>0</v>
      </c>
    </row>
    <row r="350" spans="1:52">
      <c r="A350" s="46">
        <f>IF(C350="","",BookingPrefix&amp;TEXT(ROW()-4,"0000"))</f>
        <v>0</v>
      </c>
      <c r="D350" s="28">
        <f>IF(C350="","",IFERROR(INDEX(Clients!$A$5:$A$254,MATCH(C350,Clients!$B$5:$B$254,0)),""))</f>
        <v>0</v>
      </c>
      <c r="J350" s="50">
        <f>IF(I350="","",TEXT(I350,"ddd"))</f>
        <v>0</v>
      </c>
      <c r="M350" s="51">
        <f>IF(OR(K350="",L350=""),"",ROUND((L350-K350+IF(L350&lt;K350,1,0))*24,2))</f>
        <v>0</v>
      </c>
      <c r="O350" s="28">
        <f>IF(H350="","",IFERROR(INDEX(Services!$E$5:$E$54,MATCH(H350,Services!$B$5:$B$54,0)),""))</f>
        <v>0</v>
      </c>
      <c r="P350" s="29">
        <f>IF(H350="","",IFERROR(INDEX(Services!$G$5:$G$54,MATCH(H350,Services!$B$5:$B$54,0)),0))</f>
        <v>0</v>
      </c>
      <c r="Q350" s="29">
        <f>IF(H350="","",IF(IFERROR(INDEX(Services!$H$5:$H$54,MATCH(H350,Services!$B$5:$B$54,0)),0)=0,ExtraPetFeeDefault,IFERROR(INDEX(Services!$H$5:$H$54,MATCH(H350,Services!$B$5:$B$54,0)),0)))</f>
        <v>0</v>
      </c>
      <c r="R350" s="30">
        <f>IF(H350="","",IF(IFERROR(INDEX(Services!$I$5:$I$54,MATCH(H350,Services!$B$5:$B$54,0)),0)=0,HolidaySurcharge,IFERROR(INDEX(Services!$I$5:$I$54,MATCH(H350,Services!$B$5:$B$54,0)),0)))</f>
        <v>0</v>
      </c>
      <c r="S350" s="30">
        <f>IF(H350="","",IF(IFERROR(INDEX(Services!$J$5:$J$54,MATCH(H350,Services!$B$5:$B$54,0)),0)=0,WeekendSurcharge,IFERROR(INDEX(Services!$J$5:$J$54,MATCH(H350,Services!$B$5:$B$54,0)),0)))</f>
        <v>0</v>
      </c>
      <c r="T350" s="50">
        <f>IF(H350="","",IFERROR(INDEX(Services!$K$5:$K$54,MATCH(H350,Services!$B$5:$B$54,0)),"No"))</f>
        <v>0</v>
      </c>
      <c r="U350" s="29">
        <f>IF(H350="","",ROUND(IF(O350="Per hour",P350*IF(M350="",IF(N350="",1,N350),M350),P350*IF(N350="",1,N350)),2))</f>
        <v>0</v>
      </c>
      <c r="V350" s="29">
        <f>IF(H350="","",ROUND(MAX(0,IF(G350="",1,G350)-1)*Q350,2))</f>
        <v>0</v>
      </c>
      <c r="W350" s="50">
        <f>IF(I350="","",IF(COUNTIF(HolidayDates,I350)&gt;0,"Yes","No"))</f>
        <v>0</v>
      </c>
      <c r="X350" s="50">
        <f>IF(I350="","",IF(WEEKDAY(I350,2)&gt;5,"Yes","No"))</f>
        <v>0</v>
      </c>
      <c r="Y350" s="29">
        <f>IF(H350="","",ROUND((U350+V350)*(IF(W350="Yes",R350,0)+IF(X350="Yes",S350,0)),2))</f>
        <v>0</v>
      </c>
      <c r="AA350" s="29">
        <f>IF(H350="","",IF(T350&lt;&gt;"Yes",0,ROUND(MAX(0,IF(Z350="",0,Z350)-FreeTravelDistance)*TravelFeeRate,2)))</f>
        <v>0</v>
      </c>
      <c r="AB350" s="31">
        <f>IF(I350="","",TravelTimeMins)</f>
        <v>0</v>
      </c>
      <c r="AC350" s="29">
        <f>IF(OR(I350="",B350=""),0,IF(I350-B350&lt;=LastMinuteDays,EmergencyFee,0))</f>
        <v>0</v>
      </c>
      <c r="AF350" s="29">
        <f>IF(H350="","",ROUND((U350+V350+Y350+AA350+AC350)*IF(AE350="",0,AE350),2))</f>
        <v>0</v>
      </c>
      <c r="AI350" s="29">
        <f>IF(H350="","",IF(AG350&lt;&gt;"",AG350,ROUND(U350+V350+Y350+AA350+AC350-AF350,2)))</f>
        <v>0</v>
      </c>
      <c r="AJ350" s="29">
        <f>IF(AI350="","",IF(TaxRegistered&lt;&gt;"Yes",0,IF(PricesIncludeTax="Yes",ROUND(AI350-AI350/(1+TaxRate),2),ROUND(AI350*TaxRate,2))))</f>
        <v>0</v>
      </c>
      <c r="AK350" s="29">
        <f>IF(AI350="","",IF(PricesIncludeTax="Yes",AI350,ROUND(AI350+AJ350,2)))</f>
        <v>0</v>
      </c>
      <c r="AQ350" s="21">
        <f>IF(OR(I350="",AP350="",AP350="None"),"",IF(AP350="Monthly",EDATE(I350,1),I350+IF(AP350="Daily",1,IF(AP350="Weekdays",IF(WEEKDAY(I350,2)&gt;=5,8-WEEKDAY(I350,2),1),IF(AP350="Weekly",7,IF(AP350="Fortnightly",14,0))))))</f>
        <v>0</v>
      </c>
      <c r="AR350" s="49">
        <f>IF(OR(I350="",AL350="",K350="",L350=""),"",IF(SUMPRODUCT((Bookings!$AL$5:$AL$404=AL350)*(Bookings!$I$5:$I$404=I350)*(Bookings!$K$5:$K$404&lt;L350)*(Bookings!$L$5:$L$404&gt;K350)*(Bookings!$AM$5:$AM$404&lt;&gt;"Cancelled"))&gt;1,"Conflict - double booked","OK"))</f>
        <v>0</v>
      </c>
      <c r="AS350" s="50">
        <f>IF(A350="","",IF(COUNTIF('Visit Log'!$B$5:$B$404,A350)&gt;0,"Yes","No"))</f>
        <v>0</v>
      </c>
      <c r="AT350" s="28">
        <f>IF(A350="","",IFERROR(INDEX(Invoices!$A$5:$A$304,MATCH(A350,Invoices!$E$5:$E$304,0)),""))</f>
        <v>0</v>
      </c>
      <c r="AU350" s="49">
        <f>IF(A350="","",IF(AT350="","Not invoiced",IFERROR(INDEX(Invoices!$U$5:$U$304,MATCH(AT350,Invoices!$A$5:$A$304,0)),"")))</f>
        <v>0</v>
      </c>
      <c r="AY350" s="28">
        <f>IF(I350="","",TEXT(I350,"yyyy-mm"))</f>
        <v>0</v>
      </c>
      <c r="AZ350" s="49">
        <f>IF(I350="","",IF(AM350="Cancelled","Cancelled",IF(AND(I350&lt;TODAY(),OR(AM350="Pending",AM350="Confirmed",AM350="Enquiry")),"Overdue - update status",IF(AND(AM350="Completed",AS350="No"),"Action - log the visit",IF(I350=TODAY(),"Today",IF(AND(I350&gt;TODAY(),I350-TODAY()&lt;=ReminderLeadDays,AN350&lt;&gt;"Yes"),"Action - unconfirmed",IF(AND(I350&gt;TODAY(),I350-TODAY()&lt;=ReminderLeadDays),"Upcoming","OK")))))))</f>
        <v>0</v>
      </c>
    </row>
    <row r="351" spans="1:52">
      <c r="A351" s="46">
        <f>IF(C351="","",BookingPrefix&amp;TEXT(ROW()-4,"0000"))</f>
        <v>0</v>
      </c>
      <c r="D351" s="28">
        <f>IF(C351="","",IFERROR(INDEX(Clients!$A$5:$A$254,MATCH(C351,Clients!$B$5:$B$254,0)),""))</f>
        <v>0</v>
      </c>
      <c r="J351" s="50">
        <f>IF(I351="","",TEXT(I351,"ddd"))</f>
        <v>0</v>
      </c>
      <c r="M351" s="51">
        <f>IF(OR(K351="",L351=""),"",ROUND((L351-K351+IF(L351&lt;K351,1,0))*24,2))</f>
        <v>0</v>
      </c>
      <c r="O351" s="28">
        <f>IF(H351="","",IFERROR(INDEX(Services!$E$5:$E$54,MATCH(H351,Services!$B$5:$B$54,0)),""))</f>
        <v>0</v>
      </c>
      <c r="P351" s="29">
        <f>IF(H351="","",IFERROR(INDEX(Services!$G$5:$G$54,MATCH(H351,Services!$B$5:$B$54,0)),0))</f>
        <v>0</v>
      </c>
      <c r="Q351" s="29">
        <f>IF(H351="","",IF(IFERROR(INDEX(Services!$H$5:$H$54,MATCH(H351,Services!$B$5:$B$54,0)),0)=0,ExtraPetFeeDefault,IFERROR(INDEX(Services!$H$5:$H$54,MATCH(H351,Services!$B$5:$B$54,0)),0)))</f>
        <v>0</v>
      </c>
      <c r="R351" s="30">
        <f>IF(H351="","",IF(IFERROR(INDEX(Services!$I$5:$I$54,MATCH(H351,Services!$B$5:$B$54,0)),0)=0,HolidaySurcharge,IFERROR(INDEX(Services!$I$5:$I$54,MATCH(H351,Services!$B$5:$B$54,0)),0)))</f>
        <v>0</v>
      </c>
      <c r="S351" s="30">
        <f>IF(H351="","",IF(IFERROR(INDEX(Services!$J$5:$J$54,MATCH(H351,Services!$B$5:$B$54,0)),0)=0,WeekendSurcharge,IFERROR(INDEX(Services!$J$5:$J$54,MATCH(H351,Services!$B$5:$B$54,0)),0)))</f>
        <v>0</v>
      </c>
      <c r="T351" s="50">
        <f>IF(H351="","",IFERROR(INDEX(Services!$K$5:$K$54,MATCH(H351,Services!$B$5:$B$54,0)),"No"))</f>
        <v>0</v>
      </c>
      <c r="U351" s="29">
        <f>IF(H351="","",ROUND(IF(O351="Per hour",P351*IF(M351="",IF(N351="",1,N351),M351),P351*IF(N351="",1,N351)),2))</f>
        <v>0</v>
      </c>
      <c r="V351" s="29">
        <f>IF(H351="","",ROUND(MAX(0,IF(G351="",1,G351)-1)*Q351,2))</f>
        <v>0</v>
      </c>
      <c r="W351" s="50">
        <f>IF(I351="","",IF(COUNTIF(HolidayDates,I351)&gt;0,"Yes","No"))</f>
        <v>0</v>
      </c>
      <c r="X351" s="50">
        <f>IF(I351="","",IF(WEEKDAY(I351,2)&gt;5,"Yes","No"))</f>
        <v>0</v>
      </c>
      <c r="Y351" s="29">
        <f>IF(H351="","",ROUND((U351+V351)*(IF(W351="Yes",R351,0)+IF(X351="Yes",S351,0)),2))</f>
        <v>0</v>
      </c>
      <c r="AA351" s="29">
        <f>IF(H351="","",IF(T351&lt;&gt;"Yes",0,ROUND(MAX(0,IF(Z351="",0,Z351)-FreeTravelDistance)*TravelFeeRate,2)))</f>
        <v>0</v>
      </c>
      <c r="AB351" s="31">
        <f>IF(I351="","",TravelTimeMins)</f>
        <v>0</v>
      </c>
      <c r="AC351" s="29">
        <f>IF(OR(I351="",B351=""),0,IF(I351-B351&lt;=LastMinuteDays,EmergencyFee,0))</f>
        <v>0</v>
      </c>
      <c r="AF351" s="29">
        <f>IF(H351="","",ROUND((U351+V351+Y351+AA351+AC351)*IF(AE351="",0,AE351),2))</f>
        <v>0</v>
      </c>
      <c r="AI351" s="29">
        <f>IF(H351="","",IF(AG351&lt;&gt;"",AG351,ROUND(U351+V351+Y351+AA351+AC351-AF351,2)))</f>
        <v>0</v>
      </c>
      <c r="AJ351" s="29">
        <f>IF(AI351="","",IF(TaxRegistered&lt;&gt;"Yes",0,IF(PricesIncludeTax="Yes",ROUND(AI351-AI351/(1+TaxRate),2),ROUND(AI351*TaxRate,2))))</f>
        <v>0</v>
      </c>
      <c r="AK351" s="29">
        <f>IF(AI351="","",IF(PricesIncludeTax="Yes",AI351,ROUND(AI351+AJ351,2)))</f>
        <v>0</v>
      </c>
      <c r="AQ351" s="21">
        <f>IF(OR(I351="",AP351="",AP351="None"),"",IF(AP351="Monthly",EDATE(I351,1),I351+IF(AP351="Daily",1,IF(AP351="Weekdays",IF(WEEKDAY(I351,2)&gt;=5,8-WEEKDAY(I351,2),1),IF(AP351="Weekly",7,IF(AP351="Fortnightly",14,0))))))</f>
        <v>0</v>
      </c>
      <c r="AR351" s="49">
        <f>IF(OR(I351="",AL351="",K351="",L351=""),"",IF(SUMPRODUCT((Bookings!$AL$5:$AL$404=AL351)*(Bookings!$I$5:$I$404=I351)*(Bookings!$K$5:$K$404&lt;L351)*(Bookings!$L$5:$L$404&gt;K351)*(Bookings!$AM$5:$AM$404&lt;&gt;"Cancelled"))&gt;1,"Conflict - double booked","OK"))</f>
        <v>0</v>
      </c>
      <c r="AS351" s="50">
        <f>IF(A351="","",IF(COUNTIF('Visit Log'!$B$5:$B$404,A351)&gt;0,"Yes","No"))</f>
        <v>0</v>
      </c>
      <c r="AT351" s="28">
        <f>IF(A351="","",IFERROR(INDEX(Invoices!$A$5:$A$304,MATCH(A351,Invoices!$E$5:$E$304,0)),""))</f>
        <v>0</v>
      </c>
      <c r="AU351" s="49">
        <f>IF(A351="","",IF(AT351="","Not invoiced",IFERROR(INDEX(Invoices!$U$5:$U$304,MATCH(AT351,Invoices!$A$5:$A$304,0)),"")))</f>
        <v>0</v>
      </c>
      <c r="AY351" s="28">
        <f>IF(I351="","",TEXT(I351,"yyyy-mm"))</f>
        <v>0</v>
      </c>
      <c r="AZ351" s="49">
        <f>IF(I351="","",IF(AM351="Cancelled","Cancelled",IF(AND(I351&lt;TODAY(),OR(AM351="Pending",AM351="Confirmed",AM351="Enquiry")),"Overdue - update status",IF(AND(AM351="Completed",AS351="No"),"Action - log the visit",IF(I351=TODAY(),"Today",IF(AND(I351&gt;TODAY(),I351-TODAY()&lt;=ReminderLeadDays,AN351&lt;&gt;"Yes"),"Action - unconfirmed",IF(AND(I351&gt;TODAY(),I351-TODAY()&lt;=ReminderLeadDays),"Upcoming","OK")))))))</f>
        <v>0</v>
      </c>
    </row>
    <row r="352" spans="1:52">
      <c r="A352" s="46">
        <f>IF(C352="","",BookingPrefix&amp;TEXT(ROW()-4,"0000"))</f>
        <v>0</v>
      </c>
      <c r="D352" s="28">
        <f>IF(C352="","",IFERROR(INDEX(Clients!$A$5:$A$254,MATCH(C352,Clients!$B$5:$B$254,0)),""))</f>
        <v>0</v>
      </c>
      <c r="J352" s="50">
        <f>IF(I352="","",TEXT(I352,"ddd"))</f>
        <v>0</v>
      </c>
      <c r="M352" s="51">
        <f>IF(OR(K352="",L352=""),"",ROUND((L352-K352+IF(L352&lt;K352,1,0))*24,2))</f>
        <v>0</v>
      </c>
      <c r="O352" s="28">
        <f>IF(H352="","",IFERROR(INDEX(Services!$E$5:$E$54,MATCH(H352,Services!$B$5:$B$54,0)),""))</f>
        <v>0</v>
      </c>
      <c r="P352" s="29">
        <f>IF(H352="","",IFERROR(INDEX(Services!$G$5:$G$54,MATCH(H352,Services!$B$5:$B$54,0)),0))</f>
        <v>0</v>
      </c>
      <c r="Q352" s="29">
        <f>IF(H352="","",IF(IFERROR(INDEX(Services!$H$5:$H$54,MATCH(H352,Services!$B$5:$B$54,0)),0)=0,ExtraPetFeeDefault,IFERROR(INDEX(Services!$H$5:$H$54,MATCH(H352,Services!$B$5:$B$54,0)),0)))</f>
        <v>0</v>
      </c>
      <c r="R352" s="30">
        <f>IF(H352="","",IF(IFERROR(INDEX(Services!$I$5:$I$54,MATCH(H352,Services!$B$5:$B$54,0)),0)=0,HolidaySurcharge,IFERROR(INDEX(Services!$I$5:$I$54,MATCH(H352,Services!$B$5:$B$54,0)),0)))</f>
        <v>0</v>
      </c>
      <c r="S352" s="30">
        <f>IF(H352="","",IF(IFERROR(INDEX(Services!$J$5:$J$54,MATCH(H352,Services!$B$5:$B$54,0)),0)=0,WeekendSurcharge,IFERROR(INDEX(Services!$J$5:$J$54,MATCH(H352,Services!$B$5:$B$54,0)),0)))</f>
        <v>0</v>
      </c>
      <c r="T352" s="50">
        <f>IF(H352="","",IFERROR(INDEX(Services!$K$5:$K$54,MATCH(H352,Services!$B$5:$B$54,0)),"No"))</f>
        <v>0</v>
      </c>
      <c r="U352" s="29">
        <f>IF(H352="","",ROUND(IF(O352="Per hour",P352*IF(M352="",IF(N352="",1,N352),M352),P352*IF(N352="",1,N352)),2))</f>
        <v>0</v>
      </c>
      <c r="V352" s="29">
        <f>IF(H352="","",ROUND(MAX(0,IF(G352="",1,G352)-1)*Q352,2))</f>
        <v>0</v>
      </c>
      <c r="W352" s="50">
        <f>IF(I352="","",IF(COUNTIF(HolidayDates,I352)&gt;0,"Yes","No"))</f>
        <v>0</v>
      </c>
      <c r="X352" s="50">
        <f>IF(I352="","",IF(WEEKDAY(I352,2)&gt;5,"Yes","No"))</f>
        <v>0</v>
      </c>
      <c r="Y352" s="29">
        <f>IF(H352="","",ROUND((U352+V352)*(IF(W352="Yes",R352,0)+IF(X352="Yes",S352,0)),2))</f>
        <v>0</v>
      </c>
      <c r="AA352" s="29">
        <f>IF(H352="","",IF(T352&lt;&gt;"Yes",0,ROUND(MAX(0,IF(Z352="",0,Z352)-FreeTravelDistance)*TravelFeeRate,2)))</f>
        <v>0</v>
      </c>
      <c r="AB352" s="31">
        <f>IF(I352="","",TravelTimeMins)</f>
        <v>0</v>
      </c>
      <c r="AC352" s="29">
        <f>IF(OR(I352="",B352=""),0,IF(I352-B352&lt;=LastMinuteDays,EmergencyFee,0))</f>
        <v>0</v>
      </c>
      <c r="AF352" s="29">
        <f>IF(H352="","",ROUND((U352+V352+Y352+AA352+AC352)*IF(AE352="",0,AE352),2))</f>
        <v>0</v>
      </c>
      <c r="AI352" s="29">
        <f>IF(H352="","",IF(AG352&lt;&gt;"",AG352,ROUND(U352+V352+Y352+AA352+AC352-AF352,2)))</f>
        <v>0</v>
      </c>
      <c r="AJ352" s="29">
        <f>IF(AI352="","",IF(TaxRegistered&lt;&gt;"Yes",0,IF(PricesIncludeTax="Yes",ROUND(AI352-AI352/(1+TaxRate),2),ROUND(AI352*TaxRate,2))))</f>
        <v>0</v>
      </c>
      <c r="AK352" s="29">
        <f>IF(AI352="","",IF(PricesIncludeTax="Yes",AI352,ROUND(AI352+AJ352,2)))</f>
        <v>0</v>
      </c>
      <c r="AQ352" s="21">
        <f>IF(OR(I352="",AP352="",AP352="None"),"",IF(AP352="Monthly",EDATE(I352,1),I352+IF(AP352="Daily",1,IF(AP352="Weekdays",IF(WEEKDAY(I352,2)&gt;=5,8-WEEKDAY(I352,2),1),IF(AP352="Weekly",7,IF(AP352="Fortnightly",14,0))))))</f>
        <v>0</v>
      </c>
      <c r="AR352" s="49">
        <f>IF(OR(I352="",AL352="",K352="",L352=""),"",IF(SUMPRODUCT((Bookings!$AL$5:$AL$404=AL352)*(Bookings!$I$5:$I$404=I352)*(Bookings!$K$5:$K$404&lt;L352)*(Bookings!$L$5:$L$404&gt;K352)*(Bookings!$AM$5:$AM$404&lt;&gt;"Cancelled"))&gt;1,"Conflict - double booked","OK"))</f>
        <v>0</v>
      </c>
      <c r="AS352" s="50">
        <f>IF(A352="","",IF(COUNTIF('Visit Log'!$B$5:$B$404,A352)&gt;0,"Yes","No"))</f>
        <v>0</v>
      </c>
      <c r="AT352" s="28">
        <f>IF(A352="","",IFERROR(INDEX(Invoices!$A$5:$A$304,MATCH(A352,Invoices!$E$5:$E$304,0)),""))</f>
        <v>0</v>
      </c>
      <c r="AU352" s="49">
        <f>IF(A352="","",IF(AT352="","Not invoiced",IFERROR(INDEX(Invoices!$U$5:$U$304,MATCH(AT352,Invoices!$A$5:$A$304,0)),"")))</f>
        <v>0</v>
      </c>
      <c r="AY352" s="28">
        <f>IF(I352="","",TEXT(I352,"yyyy-mm"))</f>
        <v>0</v>
      </c>
      <c r="AZ352" s="49">
        <f>IF(I352="","",IF(AM352="Cancelled","Cancelled",IF(AND(I352&lt;TODAY(),OR(AM352="Pending",AM352="Confirmed",AM352="Enquiry")),"Overdue - update status",IF(AND(AM352="Completed",AS352="No"),"Action - log the visit",IF(I352=TODAY(),"Today",IF(AND(I352&gt;TODAY(),I352-TODAY()&lt;=ReminderLeadDays,AN352&lt;&gt;"Yes"),"Action - unconfirmed",IF(AND(I352&gt;TODAY(),I352-TODAY()&lt;=ReminderLeadDays),"Upcoming","OK")))))))</f>
        <v>0</v>
      </c>
    </row>
    <row r="353" spans="1:52">
      <c r="A353" s="46">
        <f>IF(C353="","",BookingPrefix&amp;TEXT(ROW()-4,"0000"))</f>
        <v>0</v>
      </c>
      <c r="D353" s="28">
        <f>IF(C353="","",IFERROR(INDEX(Clients!$A$5:$A$254,MATCH(C353,Clients!$B$5:$B$254,0)),""))</f>
        <v>0</v>
      </c>
      <c r="J353" s="50">
        <f>IF(I353="","",TEXT(I353,"ddd"))</f>
        <v>0</v>
      </c>
      <c r="M353" s="51">
        <f>IF(OR(K353="",L353=""),"",ROUND((L353-K353+IF(L353&lt;K353,1,0))*24,2))</f>
        <v>0</v>
      </c>
      <c r="O353" s="28">
        <f>IF(H353="","",IFERROR(INDEX(Services!$E$5:$E$54,MATCH(H353,Services!$B$5:$B$54,0)),""))</f>
        <v>0</v>
      </c>
      <c r="P353" s="29">
        <f>IF(H353="","",IFERROR(INDEX(Services!$G$5:$G$54,MATCH(H353,Services!$B$5:$B$54,0)),0))</f>
        <v>0</v>
      </c>
      <c r="Q353" s="29">
        <f>IF(H353="","",IF(IFERROR(INDEX(Services!$H$5:$H$54,MATCH(H353,Services!$B$5:$B$54,0)),0)=0,ExtraPetFeeDefault,IFERROR(INDEX(Services!$H$5:$H$54,MATCH(H353,Services!$B$5:$B$54,0)),0)))</f>
        <v>0</v>
      </c>
      <c r="R353" s="30">
        <f>IF(H353="","",IF(IFERROR(INDEX(Services!$I$5:$I$54,MATCH(H353,Services!$B$5:$B$54,0)),0)=0,HolidaySurcharge,IFERROR(INDEX(Services!$I$5:$I$54,MATCH(H353,Services!$B$5:$B$54,0)),0)))</f>
        <v>0</v>
      </c>
      <c r="S353" s="30">
        <f>IF(H353="","",IF(IFERROR(INDEX(Services!$J$5:$J$54,MATCH(H353,Services!$B$5:$B$54,0)),0)=0,WeekendSurcharge,IFERROR(INDEX(Services!$J$5:$J$54,MATCH(H353,Services!$B$5:$B$54,0)),0)))</f>
        <v>0</v>
      </c>
      <c r="T353" s="50">
        <f>IF(H353="","",IFERROR(INDEX(Services!$K$5:$K$54,MATCH(H353,Services!$B$5:$B$54,0)),"No"))</f>
        <v>0</v>
      </c>
      <c r="U353" s="29">
        <f>IF(H353="","",ROUND(IF(O353="Per hour",P353*IF(M353="",IF(N353="",1,N353),M353),P353*IF(N353="",1,N353)),2))</f>
        <v>0</v>
      </c>
      <c r="V353" s="29">
        <f>IF(H353="","",ROUND(MAX(0,IF(G353="",1,G353)-1)*Q353,2))</f>
        <v>0</v>
      </c>
      <c r="W353" s="50">
        <f>IF(I353="","",IF(COUNTIF(HolidayDates,I353)&gt;0,"Yes","No"))</f>
        <v>0</v>
      </c>
      <c r="X353" s="50">
        <f>IF(I353="","",IF(WEEKDAY(I353,2)&gt;5,"Yes","No"))</f>
        <v>0</v>
      </c>
      <c r="Y353" s="29">
        <f>IF(H353="","",ROUND((U353+V353)*(IF(W353="Yes",R353,0)+IF(X353="Yes",S353,0)),2))</f>
        <v>0</v>
      </c>
      <c r="AA353" s="29">
        <f>IF(H353="","",IF(T353&lt;&gt;"Yes",0,ROUND(MAX(0,IF(Z353="",0,Z353)-FreeTravelDistance)*TravelFeeRate,2)))</f>
        <v>0</v>
      </c>
      <c r="AB353" s="31">
        <f>IF(I353="","",TravelTimeMins)</f>
        <v>0</v>
      </c>
      <c r="AC353" s="29">
        <f>IF(OR(I353="",B353=""),0,IF(I353-B353&lt;=LastMinuteDays,EmergencyFee,0))</f>
        <v>0</v>
      </c>
      <c r="AF353" s="29">
        <f>IF(H353="","",ROUND((U353+V353+Y353+AA353+AC353)*IF(AE353="",0,AE353),2))</f>
        <v>0</v>
      </c>
      <c r="AI353" s="29">
        <f>IF(H353="","",IF(AG353&lt;&gt;"",AG353,ROUND(U353+V353+Y353+AA353+AC353-AF353,2)))</f>
        <v>0</v>
      </c>
      <c r="AJ353" s="29">
        <f>IF(AI353="","",IF(TaxRegistered&lt;&gt;"Yes",0,IF(PricesIncludeTax="Yes",ROUND(AI353-AI353/(1+TaxRate),2),ROUND(AI353*TaxRate,2))))</f>
        <v>0</v>
      </c>
      <c r="AK353" s="29">
        <f>IF(AI353="","",IF(PricesIncludeTax="Yes",AI353,ROUND(AI353+AJ353,2)))</f>
        <v>0</v>
      </c>
      <c r="AQ353" s="21">
        <f>IF(OR(I353="",AP353="",AP353="None"),"",IF(AP353="Monthly",EDATE(I353,1),I353+IF(AP353="Daily",1,IF(AP353="Weekdays",IF(WEEKDAY(I353,2)&gt;=5,8-WEEKDAY(I353,2),1),IF(AP353="Weekly",7,IF(AP353="Fortnightly",14,0))))))</f>
        <v>0</v>
      </c>
      <c r="AR353" s="49">
        <f>IF(OR(I353="",AL353="",K353="",L353=""),"",IF(SUMPRODUCT((Bookings!$AL$5:$AL$404=AL353)*(Bookings!$I$5:$I$404=I353)*(Bookings!$K$5:$K$404&lt;L353)*(Bookings!$L$5:$L$404&gt;K353)*(Bookings!$AM$5:$AM$404&lt;&gt;"Cancelled"))&gt;1,"Conflict - double booked","OK"))</f>
        <v>0</v>
      </c>
      <c r="AS353" s="50">
        <f>IF(A353="","",IF(COUNTIF('Visit Log'!$B$5:$B$404,A353)&gt;0,"Yes","No"))</f>
        <v>0</v>
      </c>
      <c r="AT353" s="28">
        <f>IF(A353="","",IFERROR(INDEX(Invoices!$A$5:$A$304,MATCH(A353,Invoices!$E$5:$E$304,0)),""))</f>
        <v>0</v>
      </c>
      <c r="AU353" s="49">
        <f>IF(A353="","",IF(AT353="","Not invoiced",IFERROR(INDEX(Invoices!$U$5:$U$304,MATCH(AT353,Invoices!$A$5:$A$304,0)),"")))</f>
        <v>0</v>
      </c>
      <c r="AY353" s="28">
        <f>IF(I353="","",TEXT(I353,"yyyy-mm"))</f>
        <v>0</v>
      </c>
      <c r="AZ353" s="49">
        <f>IF(I353="","",IF(AM353="Cancelled","Cancelled",IF(AND(I353&lt;TODAY(),OR(AM353="Pending",AM353="Confirmed",AM353="Enquiry")),"Overdue - update status",IF(AND(AM353="Completed",AS353="No"),"Action - log the visit",IF(I353=TODAY(),"Today",IF(AND(I353&gt;TODAY(),I353-TODAY()&lt;=ReminderLeadDays,AN353&lt;&gt;"Yes"),"Action - unconfirmed",IF(AND(I353&gt;TODAY(),I353-TODAY()&lt;=ReminderLeadDays),"Upcoming","OK")))))))</f>
        <v>0</v>
      </c>
    </row>
    <row r="354" spans="1:52">
      <c r="A354" s="46">
        <f>IF(C354="","",BookingPrefix&amp;TEXT(ROW()-4,"0000"))</f>
        <v>0</v>
      </c>
      <c r="D354" s="28">
        <f>IF(C354="","",IFERROR(INDEX(Clients!$A$5:$A$254,MATCH(C354,Clients!$B$5:$B$254,0)),""))</f>
        <v>0</v>
      </c>
      <c r="J354" s="50">
        <f>IF(I354="","",TEXT(I354,"ddd"))</f>
        <v>0</v>
      </c>
      <c r="M354" s="51">
        <f>IF(OR(K354="",L354=""),"",ROUND((L354-K354+IF(L354&lt;K354,1,0))*24,2))</f>
        <v>0</v>
      </c>
      <c r="O354" s="28">
        <f>IF(H354="","",IFERROR(INDEX(Services!$E$5:$E$54,MATCH(H354,Services!$B$5:$B$54,0)),""))</f>
        <v>0</v>
      </c>
      <c r="P354" s="29">
        <f>IF(H354="","",IFERROR(INDEX(Services!$G$5:$G$54,MATCH(H354,Services!$B$5:$B$54,0)),0))</f>
        <v>0</v>
      </c>
      <c r="Q354" s="29">
        <f>IF(H354="","",IF(IFERROR(INDEX(Services!$H$5:$H$54,MATCH(H354,Services!$B$5:$B$54,0)),0)=0,ExtraPetFeeDefault,IFERROR(INDEX(Services!$H$5:$H$54,MATCH(H354,Services!$B$5:$B$54,0)),0)))</f>
        <v>0</v>
      </c>
      <c r="R354" s="30">
        <f>IF(H354="","",IF(IFERROR(INDEX(Services!$I$5:$I$54,MATCH(H354,Services!$B$5:$B$54,0)),0)=0,HolidaySurcharge,IFERROR(INDEX(Services!$I$5:$I$54,MATCH(H354,Services!$B$5:$B$54,0)),0)))</f>
        <v>0</v>
      </c>
      <c r="S354" s="30">
        <f>IF(H354="","",IF(IFERROR(INDEX(Services!$J$5:$J$54,MATCH(H354,Services!$B$5:$B$54,0)),0)=0,WeekendSurcharge,IFERROR(INDEX(Services!$J$5:$J$54,MATCH(H354,Services!$B$5:$B$54,0)),0)))</f>
        <v>0</v>
      </c>
      <c r="T354" s="50">
        <f>IF(H354="","",IFERROR(INDEX(Services!$K$5:$K$54,MATCH(H354,Services!$B$5:$B$54,0)),"No"))</f>
        <v>0</v>
      </c>
      <c r="U354" s="29">
        <f>IF(H354="","",ROUND(IF(O354="Per hour",P354*IF(M354="",IF(N354="",1,N354),M354),P354*IF(N354="",1,N354)),2))</f>
        <v>0</v>
      </c>
      <c r="V354" s="29">
        <f>IF(H354="","",ROUND(MAX(0,IF(G354="",1,G354)-1)*Q354,2))</f>
        <v>0</v>
      </c>
      <c r="W354" s="50">
        <f>IF(I354="","",IF(COUNTIF(HolidayDates,I354)&gt;0,"Yes","No"))</f>
        <v>0</v>
      </c>
      <c r="X354" s="50">
        <f>IF(I354="","",IF(WEEKDAY(I354,2)&gt;5,"Yes","No"))</f>
        <v>0</v>
      </c>
      <c r="Y354" s="29">
        <f>IF(H354="","",ROUND((U354+V354)*(IF(W354="Yes",R354,0)+IF(X354="Yes",S354,0)),2))</f>
        <v>0</v>
      </c>
      <c r="AA354" s="29">
        <f>IF(H354="","",IF(T354&lt;&gt;"Yes",0,ROUND(MAX(0,IF(Z354="",0,Z354)-FreeTravelDistance)*TravelFeeRate,2)))</f>
        <v>0</v>
      </c>
      <c r="AB354" s="31">
        <f>IF(I354="","",TravelTimeMins)</f>
        <v>0</v>
      </c>
      <c r="AC354" s="29">
        <f>IF(OR(I354="",B354=""),0,IF(I354-B354&lt;=LastMinuteDays,EmergencyFee,0))</f>
        <v>0</v>
      </c>
      <c r="AF354" s="29">
        <f>IF(H354="","",ROUND((U354+V354+Y354+AA354+AC354)*IF(AE354="",0,AE354),2))</f>
        <v>0</v>
      </c>
      <c r="AI354" s="29">
        <f>IF(H354="","",IF(AG354&lt;&gt;"",AG354,ROUND(U354+V354+Y354+AA354+AC354-AF354,2)))</f>
        <v>0</v>
      </c>
      <c r="AJ354" s="29">
        <f>IF(AI354="","",IF(TaxRegistered&lt;&gt;"Yes",0,IF(PricesIncludeTax="Yes",ROUND(AI354-AI354/(1+TaxRate),2),ROUND(AI354*TaxRate,2))))</f>
        <v>0</v>
      </c>
      <c r="AK354" s="29">
        <f>IF(AI354="","",IF(PricesIncludeTax="Yes",AI354,ROUND(AI354+AJ354,2)))</f>
        <v>0</v>
      </c>
      <c r="AQ354" s="21">
        <f>IF(OR(I354="",AP354="",AP354="None"),"",IF(AP354="Monthly",EDATE(I354,1),I354+IF(AP354="Daily",1,IF(AP354="Weekdays",IF(WEEKDAY(I354,2)&gt;=5,8-WEEKDAY(I354,2),1),IF(AP354="Weekly",7,IF(AP354="Fortnightly",14,0))))))</f>
        <v>0</v>
      </c>
      <c r="AR354" s="49">
        <f>IF(OR(I354="",AL354="",K354="",L354=""),"",IF(SUMPRODUCT((Bookings!$AL$5:$AL$404=AL354)*(Bookings!$I$5:$I$404=I354)*(Bookings!$K$5:$K$404&lt;L354)*(Bookings!$L$5:$L$404&gt;K354)*(Bookings!$AM$5:$AM$404&lt;&gt;"Cancelled"))&gt;1,"Conflict - double booked","OK"))</f>
        <v>0</v>
      </c>
      <c r="AS354" s="50">
        <f>IF(A354="","",IF(COUNTIF('Visit Log'!$B$5:$B$404,A354)&gt;0,"Yes","No"))</f>
        <v>0</v>
      </c>
      <c r="AT354" s="28">
        <f>IF(A354="","",IFERROR(INDEX(Invoices!$A$5:$A$304,MATCH(A354,Invoices!$E$5:$E$304,0)),""))</f>
        <v>0</v>
      </c>
      <c r="AU354" s="49">
        <f>IF(A354="","",IF(AT354="","Not invoiced",IFERROR(INDEX(Invoices!$U$5:$U$304,MATCH(AT354,Invoices!$A$5:$A$304,0)),"")))</f>
        <v>0</v>
      </c>
      <c r="AY354" s="28">
        <f>IF(I354="","",TEXT(I354,"yyyy-mm"))</f>
        <v>0</v>
      </c>
      <c r="AZ354" s="49">
        <f>IF(I354="","",IF(AM354="Cancelled","Cancelled",IF(AND(I354&lt;TODAY(),OR(AM354="Pending",AM354="Confirmed",AM354="Enquiry")),"Overdue - update status",IF(AND(AM354="Completed",AS354="No"),"Action - log the visit",IF(I354=TODAY(),"Today",IF(AND(I354&gt;TODAY(),I354-TODAY()&lt;=ReminderLeadDays,AN354&lt;&gt;"Yes"),"Action - unconfirmed",IF(AND(I354&gt;TODAY(),I354-TODAY()&lt;=ReminderLeadDays),"Upcoming","OK")))))))</f>
        <v>0</v>
      </c>
    </row>
    <row r="355" spans="1:52">
      <c r="A355" s="46">
        <f>IF(C355="","",BookingPrefix&amp;TEXT(ROW()-4,"0000"))</f>
        <v>0</v>
      </c>
      <c r="D355" s="28">
        <f>IF(C355="","",IFERROR(INDEX(Clients!$A$5:$A$254,MATCH(C355,Clients!$B$5:$B$254,0)),""))</f>
        <v>0</v>
      </c>
      <c r="J355" s="50">
        <f>IF(I355="","",TEXT(I355,"ddd"))</f>
        <v>0</v>
      </c>
      <c r="M355" s="51">
        <f>IF(OR(K355="",L355=""),"",ROUND((L355-K355+IF(L355&lt;K355,1,0))*24,2))</f>
        <v>0</v>
      </c>
      <c r="O355" s="28">
        <f>IF(H355="","",IFERROR(INDEX(Services!$E$5:$E$54,MATCH(H355,Services!$B$5:$B$54,0)),""))</f>
        <v>0</v>
      </c>
      <c r="P355" s="29">
        <f>IF(H355="","",IFERROR(INDEX(Services!$G$5:$G$54,MATCH(H355,Services!$B$5:$B$54,0)),0))</f>
        <v>0</v>
      </c>
      <c r="Q355" s="29">
        <f>IF(H355="","",IF(IFERROR(INDEX(Services!$H$5:$H$54,MATCH(H355,Services!$B$5:$B$54,0)),0)=0,ExtraPetFeeDefault,IFERROR(INDEX(Services!$H$5:$H$54,MATCH(H355,Services!$B$5:$B$54,0)),0)))</f>
        <v>0</v>
      </c>
      <c r="R355" s="30">
        <f>IF(H355="","",IF(IFERROR(INDEX(Services!$I$5:$I$54,MATCH(H355,Services!$B$5:$B$54,0)),0)=0,HolidaySurcharge,IFERROR(INDEX(Services!$I$5:$I$54,MATCH(H355,Services!$B$5:$B$54,0)),0)))</f>
        <v>0</v>
      </c>
      <c r="S355" s="30">
        <f>IF(H355="","",IF(IFERROR(INDEX(Services!$J$5:$J$54,MATCH(H355,Services!$B$5:$B$54,0)),0)=0,WeekendSurcharge,IFERROR(INDEX(Services!$J$5:$J$54,MATCH(H355,Services!$B$5:$B$54,0)),0)))</f>
        <v>0</v>
      </c>
      <c r="T355" s="50">
        <f>IF(H355="","",IFERROR(INDEX(Services!$K$5:$K$54,MATCH(H355,Services!$B$5:$B$54,0)),"No"))</f>
        <v>0</v>
      </c>
      <c r="U355" s="29">
        <f>IF(H355="","",ROUND(IF(O355="Per hour",P355*IF(M355="",IF(N355="",1,N355),M355),P355*IF(N355="",1,N355)),2))</f>
        <v>0</v>
      </c>
      <c r="V355" s="29">
        <f>IF(H355="","",ROUND(MAX(0,IF(G355="",1,G355)-1)*Q355,2))</f>
        <v>0</v>
      </c>
      <c r="W355" s="50">
        <f>IF(I355="","",IF(COUNTIF(HolidayDates,I355)&gt;0,"Yes","No"))</f>
        <v>0</v>
      </c>
      <c r="X355" s="50">
        <f>IF(I355="","",IF(WEEKDAY(I355,2)&gt;5,"Yes","No"))</f>
        <v>0</v>
      </c>
      <c r="Y355" s="29">
        <f>IF(H355="","",ROUND((U355+V355)*(IF(W355="Yes",R355,0)+IF(X355="Yes",S355,0)),2))</f>
        <v>0</v>
      </c>
      <c r="AA355" s="29">
        <f>IF(H355="","",IF(T355&lt;&gt;"Yes",0,ROUND(MAX(0,IF(Z355="",0,Z355)-FreeTravelDistance)*TravelFeeRate,2)))</f>
        <v>0</v>
      </c>
      <c r="AB355" s="31">
        <f>IF(I355="","",TravelTimeMins)</f>
        <v>0</v>
      </c>
      <c r="AC355" s="29">
        <f>IF(OR(I355="",B355=""),0,IF(I355-B355&lt;=LastMinuteDays,EmergencyFee,0))</f>
        <v>0</v>
      </c>
      <c r="AF355" s="29">
        <f>IF(H355="","",ROUND((U355+V355+Y355+AA355+AC355)*IF(AE355="",0,AE355),2))</f>
        <v>0</v>
      </c>
      <c r="AI355" s="29">
        <f>IF(H355="","",IF(AG355&lt;&gt;"",AG355,ROUND(U355+V355+Y355+AA355+AC355-AF355,2)))</f>
        <v>0</v>
      </c>
      <c r="AJ355" s="29">
        <f>IF(AI355="","",IF(TaxRegistered&lt;&gt;"Yes",0,IF(PricesIncludeTax="Yes",ROUND(AI355-AI355/(1+TaxRate),2),ROUND(AI355*TaxRate,2))))</f>
        <v>0</v>
      </c>
      <c r="AK355" s="29">
        <f>IF(AI355="","",IF(PricesIncludeTax="Yes",AI355,ROUND(AI355+AJ355,2)))</f>
        <v>0</v>
      </c>
      <c r="AQ355" s="21">
        <f>IF(OR(I355="",AP355="",AP355="None"),"",IF(AP355="Monthly",EDATE(I355,1),I355+IF(AP355="Daily",1,IF(AP355="Weekdays",IF(WEEKDAY(I355,2)&gt;=5,8-WEEKDAY(I355,2),1),IF(AP355="Weekly",7,IF(AP355="Fortnightly",14,0))))))</f>
        <v>0</v>
      </c>
      <c r="AR355" s="49">
        <f>IF(OR(I355="",AL355="",K355="",L355=""),"",IF(SUMPRODUCT((Bookings!$AL$5:$AL$404=AL355)*(Bookings!$I$5:$I$404=I355)*(Bookings!$K$5:$K$404&lt;L355)*(Bookings!$L$5:$L$404&gt;K355)*(Bookings!$AM$5:$AM$404&lt;&gt;"Cancelled"))&gt;1,"Conflict - double booked","OK"))</f>
        <v>0</v>
      </c>
      <c r="AS355" s="50">
        <f>IF(A355="","",IF(COUNTIF('Visit Log'!$B$5:$B$404,A355)&gt;0,"Yes","No"))</f>
        <v>0</v>
      </c>
      <c r="AT355" s="28">
        <f>IF(A355="","",IFERROR(INDEX(Invoices!$A$5:$A$304,MATCH(A355,Invoices!$E$5:$E$304,0)),""))</f>
        <v>0</v>
      </c>
      <c r="AU355" s="49">
        <f>IF(A355="","",IF(AT355="","Not invoiced",IFERROR(INDEX(Invoices!$U$5:$U$304,MATCH(AT355,Invoices!$A$5:$A$304,0)),"")))</f>
        <v>0</v>
      </c>
      <c r="AY355" s="28">
        <f>IF(I355="","",TEXT(I355,"yyyy-mm"))</f>
        <v>0</v>
      </c>
      <c r="AZ355" s="49">
        <f>IF(I355="","",IF(AM355="Cancelled","Cancelled",IF(AND(I355&lt;TODAY(),OR(AM355="Pending",AM355="Confirmed",AM355="Enquiry")),"Overdue - update status",IF(AND(AM355="Completed",AS355="No"),"Action - log the visit",IF(I355=TODAY(),"Today",IF(AND(I355&gt;TODAY(),I355-TODAY()&lt;=ReminderLeadDays,AN355&lt;&gt;"Yes"),"Action - unconfirmed",IF(AND(I355&gt;TODAY(),I355-TODAY()&lt;=ReminderLeadDays),"Upcoming","OK")))))))</f>
        <v>0</v>
      </c>
    </row>
    <row r="356" spans="1:52">
      <c r="A356" s="46">
        <f>IF(C356="","",BookingPrefix&amp;TEXT(ROW()-4,"0000"))</f>
        <v>0</v>
      </c>
      <c r="D356" s="28">
        <f>IF(C356="","",IFERROR(INDEX(Clients!$A$5:$A$254,MATCH(C356,Clients!$B$5:$B$254,0)),""))</f>
        <v>0</v>
      </c>
      <c r="J356" s="50">
        <f>IF(I356="","",TEXT(I356,"ddd"))</f>
        <v>0</v>
      </c>
      <c r="M356" s="51">
        <f>IF(OR(K356="",L356=""),"",ROUND((L356-K356+IF(L356&lt;K356,1,0))*24,2))</f>
        <v>0</v>
      </c>
      <c r="O356" s="28">
        <f>IF(H356="","",IFERROR(INDEX(Services!$E$5:$E$54,MATCH(H356,Services!$B$5:$B$54,0)),""))</f>
        <v>0</v>
      </c>
      <c r="P356" s="29">
        <f>IF(H356="","",IFERROR(INDEX(Services!$G$5:$G$54,MATCH(H356,Services!$B$5:$B$54,0)),0))</f>
        <v>0</v>
      </c>
      <c r="Q356" s="29">
        <f>IF(H356="","",IF(IFERROR(INDEX(Services!$H$5:$H$54,MATCH(H356,Services!$B$5:$B$54,0)),0)=0,ExtraPetFeeDefault,IFERROR(INDEX(Services!$H$5:$H$54,MATCH(H356,Services!$B$5:$B$54,0)),0)))</f>
        <v>0</v>
      </c>
      <c r="R356" s="30">
        <f>IF(H356="","",IF(IFERROR(INDEX(Services!$I$5:$I$54,MATCH(H356,Services!$B$5:$B$54,0)),0)=0,HolidaySurcharge,IFERROR(INDEX(Services!$I$5:$I$54,MATCH(H356,Services!$B$5:$B$54,0)),0)))</f>
        <v>0</v>
      </c>
      <c r="S356" s="30">
        <f>IF(H356="","",IF(IFERROR(INDEX(Services!$J$5:$J$54,MATCH(H356,Services!$B$5:$B$54,0)),0)=0,WeekendSurcharge,IFERROR(INDEX(Services!$J$5:$J$54,MATCH(H356,Services!$B$5:$B$54,0)),0)))</f>
        <v>0</v>
      </c>
      <c r="T356" s="50">
        <f>IF(H356="","",IFERROR(INDEX(Services!$K$5:$K$54,MATCH(H356,Services!$B$5:$B$54,0)),"No"))</f>
        <v>0</v>
      </c>
      <c r="U356" s="29">
        <f>IF(H356="","",ROUND(IF(O356="Per hour",P356*IF(M356="",IF(N356="",1,N356),M356),P356*IF(N356="",1,N356)),2))</f>
        <v>0</v>
      </c>
      <c r="V356" s="29">
        <f>IF(H356="","",ROUND(MAX(0,IF(G356="",1,G356)-1)*Q356,2))</f>
        <v>0</v>
      </c>
      <c r="W356" s="50">
        <f>IF(I356="","",IF(COUNTIF(HolidayDates,I356)&gt;0,"Yes","No"))</f>
        <v>0</v>
      </c>
      <c r="X356" s="50">
        <f>IF(I356="","",IF(WEEKDAY(I356,2)&gt;5,"Yes","No"))</f>
        <v>0</v>
      </c>
      <c r="Y356" s="29">
        <f>IF(H356="","",ROUND((U356+V356)*(IF(W356="Yes",R356,0)+IF(X356="Yes",S356,0)),2))</f>
        <v>0</v>
      </c>
      <c r="AA356" s="29">
        <f>IF(H356="","",IF(T356&lt;&gt;"Yes",0,ROUND(MAX(0,IF(Z356="",0,Z356)-FreeTravelDistance)*TravelFeeRate,2)))</f>
        <v>0</v>
      </c>
      <c r="AB356" s="31">
        <f>IF(I356="","",TravelTimeMins)</f>
        <v>0</v>
      </c>
      <c r="AC356" s="29">
        <f>IF(OR(I356="",B356=""),0,IF(I356-B356&lt;=LastMinuteDays,EmergencyFee,0))</f>
        <v>0</v>
      </c>
      <c r="AF356" s="29">
        <f>IF(H356="","",ROUND((U356+V356+Y356+AA356+AC356)*IF(AE356="",0,AE356),2))</f>
        <v>0</v>
      </c>
      <c r="AI356" s="29">
        <f>IF(H356="","",IF(AG356&lt;&gt;"",AG356,ROUND(U356+V356+Y356+AA356+AC356-AF356,2)))</f>
        <v>0</v>
      </c>
      <c r="AJ356" s="29">
        <f>IF(AI356="","",IF(TaxRegistered&lt;&gt;"Yes",0,IF(PricesIncludeTax="Yes",ROUND(AI356-AI356/(1+TaxRate),2),ROUND(AI356*TaxRate,2))))</f>
        <v>0</v>
      </c>
      <c r="AK356" s="29">
        <f>IF(AI356="","",IF(PricesIncludeTax="Yes",AI356,ROUND(AI356+AJ356,2)))</f>
        <v>0</v>
      </c>
      <c r="AQ356" s="21">
        <f>IF(OR(I356="",AP356="",AP356="None"),"",IF(AP356="Monthly",EDATE(I356,1),I356+IF(AP356="Daily",1,IF(AP356="Weekdays",IF(WEEKDAY(I356,2)&gt;=5,8-WEEKDAY(I356,2),1),IF(AP356="Weekly",7,IF(AP356="Fortnightly",14,0))))))</f>
        <v>0</v>
      </c>
      <c r="AR356" s="49">
        <f>IF(OR(I356="",AL356="",K356="",L356=""),"",IF(SUMPRODUCT((Bookings!$AL$5:$AL$404=AL356)*(Bookings!$I$5:$I$404=I356)*(Bookings!$K$5:$K$404&lt;L356)*(Bookings!$L$5:$L$404&gt;K356)*(Bookings!$AM$5:$AM$404&lt;&gt;"Cancelled"))&gt;1,"Conflict - double booked","OK"))</f>
        <v>0</v>
      </c>
      <c r="AS356" s="50">
        <f>IF(A356="","",IF(COUNTIF('Visit Log'!$B$5:$B$404,A356)&gt;0,"Yes","No"))</f>
        <v>0</v>
      </c>
      <c r="AT356" s="28">
        <f>IF(A356="","",IFERROR(INDEX(Invoices!$A$5:$A$304,MATCH(A356,Invoices!$E$5:$E$304,0)),""))</f>
        <v>0</v>
      </c>
      <c r="AU356" s="49">
        <f>IF(A356="","",IF(AT356="","Not invoiced",IFERROR(INDEX(Invoices!$U$5:$U$304,MATCH(AT356,Invoices!$A$5:$A$304,0)),"")))</f>
        <v>0</v>
      </c>
      <c r="AY356" s="28">
        <f>IF(I356="","",TEXT(I356,"yyyy-mm"))</f>
        <v>0</v>
      </c>
      <c r="AZ356" s="49">
        <f>IF(I356="","",IF(AM356="Cancelled","Cancelled",IF(AND(I356&lt;TODAY(),OR(AM356="Pending",AM356="Confirmed",AM356="Enquiry")),"Overdue - update status",IF(AND(AM356="Completed",AS356="No"),"Action - log the visit",IF(I356=TODAY(),"Today",IF(AND(I356&gt;TODAY(),I356-TODAY()&lt;=ReminderLeadDays,AN356&lt;&gt;"Yes"),"Action - unconfirmed",IF(AND(I356&gt;TODAY(),I356-TODAY()&lt;=ReminderLeadDays),"Upcoming","OK")))))))</f>
        <v>0</v>
      </c>
    </row>
    <row r="357" spans="1:52">
      <c r="A357" s="46">
        <f>IF(C357="","",BookingPrefix&amp;TEXT(ROW()-4,"0000"))</f>
        <v>0</v>
      </c>
      <c r="D357" s="28">
        <f>IF(C357="","",IFERROR(INDEX(Clients!$A$5:$A$254,MATCH(C357,Clients!$B$5:$B$254,0)),""))</f>
        <v>0</v>
      </c>
      <c r="J357" s="50">
        <f>IF(I357="","",TEXT(I357,"ddd"))</f>
        <v>0</v>
      </c>
      <c r="M357" s="51">
        <f>IF(OR(K357="",L357=""),"",ROUND((L357-K357+IF(L357&lt;K357,1,0))*24,2))</f>
        <v>0</v>
      </c>
      <c r="O357" s="28">
        <f>IF(H357="","",IFERROR(INDEX(Services!$E$5:$E$54,MATCH(H357,Services!$B$5:$B$54,0)),""))</f>
        <v>0</v>
      </c>
      <c r="P357" s="29">
        <f>IF(H357="","",IFERROR(INDEX(Services!$G$5:$G$54,MATCH(H357,Services!$B$5:$B$54,0)),0))</f>
        <v>0</v>
      </c>
      <c r="Q357" s="29">
        <f>IF(H357="","",IF(IFERROR(INDEX(Services!$H$5:$H$54,MATCH(H357,Services!$B$5:$B$54,0)),0)=0,ExtraPetFeeDefault,IFERROR(INDEX(Services!$H$5:$H$54,MATCH(H357,Services!$B$5:$B$54,0)),0)))</f>
        <v>0</v>
      </c>
      <c r="R357" s="30">
        <f>IF(H357="","",IF(IFERROR(INDEX(Services!$I$5:$I$54,MATCH(H357,Services!$B$5:$B$54,0)),0)=0,HolidaySurcharge,IFERROR(INDEX(Services!$I$5:$I$54,MATCH(H357,Services!$B$5:$B$54,0)),0)))</f>
        <v>0</v>
      </c>
      <c r="S357" s="30">
        <f>IF(H357="","",IF(IFERROR(INDEX(Services!$J$5:$J$54,MATCH(H357,Services!$B$5:$B$54,0)),0)=0,WeekendSurcharge,IFERROR(INDEX(Services!$J$5:$J$54,MATCH(H357,Services!$B$5:$B$54,0)),0)))</f>
        <v>0</v>
      </c>
      <c r="T357" s="50">
        <f>IF(H357="","",IFERROR(INDEX(Services!$K$5:$K$54,MATCH(H357,Services!$B$5:$B$54,0)),"No"))</f>
        <v>0</v>
      </c>
      <c r="U357" s="29">
        <f>IF(H357="","",ROUND(IF(O357="Per hour",P357*IF(M357="",IF(N357="",1,N357),M357),P357*IF(N357="",1,N357)),2))</f>
        <v>0</v>
      </c>
      <c r="V357" s="29">
        <f>IF(H357="","",ROUND(MAX(0,IF(G357="",1,G357)-1)*Q357,2))</f>
        <v>0</v>
      </c>
      <c r="W357" s="50">
        <f>IF(I357="","",IF(COUNTIF(HolidayDates,I357)&gt;0,"Yes","No"))</f>
        <v>0</v>
      </c>
      <c r="X357" s="50">
        <f>IF(I357="","",IF(WEEKDAY(I357,2)&gt;5,"Yes","No"))</f>
        <v>0</v>
      </c>
      <c r="Y357" s="29">
        <f>IF(H357="","",ROUND((U357+V357)*(IF(W357="Yes",R357,0)+IF(X357="Yes",S357,0)),2))</f>
        <v>0</v>
      </c>
      <c r="AA357" s="29">
        <f>IF(H357="","",IF(T357&lt;&gt;"Yes",0,ROUND(MAX(0,IF(Z357="",0,Z357)-FreeTravelDistance)*TravelFeeRate,2)))</f>
        <v>0</v>
      </c>
      <c r="AB357" s="31">
        <f>IF(I357="","",TravelTimeMins)</f>
        <v>0</v>
      </c>
      <c r="AC357" s="29">
        <f>IF(OR(I357="",B357=""),0,IF(I357-B357&lt;=LastMinuteDays,EmergencyFee,0))</f>
        <v>0</v>
      </c>
      <c r="AF357" s="29">
        <f>IF(H357="","",ROUND((U357+V357+Y357+AA357+AC357)*IF(AE357="",0,AE357),2))</f>
        <v>0</v>
      </c>
      <c r="AI357" s="29">
        <f>IF(H357="","",IF(AG357&lt;&gt;"",AG357,ROUND(U357+V357+Y357+AA357+AC357-AF357,2)))</f>
        <v>0</v>
      </c>
      <c r="AJ357" s="29">
        <f>IF(AI357="","",IF(TaxRegistered&lt;&gt;"Yes",0,IF(PricesIncludeTax="Yes",ROUND(AI357-AI357/(1+TaxRate),2),ROUND(AI357*TaxRate,2))))</f>
        <v>0</v>
      </c>
      <c r="AK357" s="29">
        <f>IF(AI357="","",IF(PricesIncludeTax="Yes",AI357,ROUND(AI357+AJ357,2)))</f>
        <v>0</v>
      </c>
      <c r="AQ357" s="21">
        <f>IF(OR(I357="",AP357="",AP357="None"),"",IF(AP357="Monthly",EDATE(I357,1),I357+IF(AP357="Daily",1,IF(AP357="Weekdays",IF(WEEKDAY(I357,2)&gt;=5,8-WEEKDAY(I357,2),1),IF(AP357="Weekly",7,IF(AP357="Fortnightly",14,0))))))</f>
        <v>0</v>
      </c>
      <c r="AR357" s="49">
        <f>IF(OR(I357="",AL357="",K357="",L357=""),"",IF(SUMPRODUCT((Bookings!$AL$5:$AL$404=AL357)*(Bookings!$I$5:$I$404=I357)*(Bookings!$K$5:$K$404&lt;L357)*(Bookings!$L$5:$L$404&gt;K357)*(Bookings!$AM$5:$AM$404&lt;&gt;"Cancelled"))&gt;1,"Conflict - double booked","OK"))</f>
        <v>0</v>
      </c>
      <c r="AS357" s="50">
        <f>IF(A357="","",IF(COUNTIF('Visit Log'!$B$5:$B$404,A357)&gt;0,"Yes","No"))</f>
        <v>0</v>
      </c>
      <c r="AT357" s="28">
        <f>IF(A357="","",IFERROR(INDEX(Invoices!$A$5:$A$304,MATCH(A357,Invoices!$E$5:$E$304,0)),""))</f>
        <v>0</v>
      </c>
      <c r="AU357" s="49">
        <f>IF(A357="","",IF(AT357="","Not invoiced",IFERROR(INDEX(Invoices!$U$5:$U$304,MATCH(AT357,Invoices!$A$5:$A$304,0)),"")))</f>
        <v>0</v>
      </c>
      <c r="AY357" s="28">
        <f>IF(I357="","",TEXT(I357,"yyyy-mm"))</f>
        <v>0</v>
      </c>
      <c r="AZ357" s="49">
        <f>IF(I357="","",IF(AM357="Cancelled","Cancelled",IF(AND(I357&lt;TODAY(),OR(AM357="Pending",AM357="Confirmed",AM357="Enquiry")),"Overdue - update status",IF(AND(AM357="Completed",AS357="No"),"Action - log the visit",IF(I357=TODAY(),"Today",IF(AND(I357&gt;TODAY(),I357-TODAY()&lt;=ReminderLeadDays,AN357&lt;&gt;"Yes"),"Action - unconfirmed",IF(AND(I357&gt;TODAY(),I357-TODAY()&lt;=ReminderLeadDays),"Upcoming","OK")))))))</f>
        <v>0</v>
      </c>
    </row>
    <row r="358" spans="1:52">
      <c r="A358" s="46">
        <f>IF(C358="","",BookingPrefix&amp;TEXT(ROW()-4,"0000"))</f>
        <v>0</v>
      </c>
      <c r="D358" s="28">
        <f>IF(C358="","",IFERROR(INDEX(Clients!$A$5:$A$254,MATCH(C358,Clients!$B$5:$B$254,0)),""))</f>
        <v>0</v>
      </c>
      <c r="J358" s="50">
        <f>IF(I358="","",TEXT(I358,"ddd"))</f>
        <v>0</v>
      </c>
      <c r="M358" s="51">
        <f>IF(OR(K358="",L358=""),"",ROUND((L358-K358+IF(L358&lt;K358,1,0))*24,2))</f>
        <v>0</v>
      </c>
      <c r="O358" s="28">
        <f>IF(H358="","",IFERROR(INDEX(Services!$E$5:$E$54,MATCH(H358,Services!$B$5:$B$54,0)),""))</f>
        <v>0</v>
      </c>
      <c r="P358" s="29">
        <f>IF(H358="","",IFERROR(INDEX(Services!$G$5:$G$54,MATCH(H358,Services!$B$5:$B$54,0)),0))</f>
        <v>0</v>
      </c>
      <c r="Q358" s="29">
        <f>IF(H358="","",IF(IFERROR(INDEX(Services!$H$5:$H$54,MATCH(H358,Services!$B$5:$B$54,0)),0)=0,ExtraPetFeeDefault,IFERROR(INDEX(Services!$H$5:$H$54,MATCH(H358,Services!$B$5:$B$54,0)),0)))</f>
        <v>0</v>
      </c>
      <c r="R358" s="30">
        <f>IF(H358="","",IF(IFERROR(INDEX(Services!$I$5:$I$54,MATCH(H358,Services!$B$5:$B$54,0)),0)=0,HolidaySurcharge,IFERROR(INDEX(Services!$I$5:$I$54,MATCH(H358,Services!$B$5:$B$54,0)),0)))</f>
        <v>0</v>
      </c>
      <c r="S358" s="30">
        <f>IF(H358="","",IF(IFERROR(INDEX(Services!$J$5:$J$54,MATCH(H358,Services!$B$5:$B$54,0)),0)=0,WeekendSurcharge,IFERROR(INDEX(Services!$J$5:$J$54,MATCH(H358,Services!$B$5:$B$54,0)),0)))</f>
        <v>0</v>
      </c>
      <c r="T358" s="50">
        <f>IF(H358="","",IFERROR(INDEX(Services!$K$5:$K$54,MATCH(H358,Services!$B$5:$B$54,0)),"No"))</f>
        <v>0</v>
      </c>
      <c r="U358" s="29">
        <f>IF(H358="","",ROUND(IF(O358="Per hour",P358*IF(M358="",IF(N358="",1,N358),M358),P358*IF(N358="",1,N358)),2))</f>
        <v>0</v>
      </c>
      <c r="V358" s="29">
        <f>IF(H358="","",ROUND(MAX(0,IF(G358="",1,G358)-1)*Q358,2))</f>
        <v>0</v>
      </c>
      <c r="W358" s="50">
        <f>IF(I358="","",IF(COUNTIF(HolidayDates,I358)&gt;0,"Yes","No"))</f>
        <v>0</v>
      </c>
      <c r="X358" s="50">
        <f>IF(I358="","",IF(WEEKDAY(I358,2)&gt;5,"Yes","No"))</f>
        <v>0</v>
      </c>
      <c r="Y358" s="29">
        <f>IF(H358="","",ROUND((U358+V358)*(IF(W358="Yes",R358,0)+IF(X358="Yes",S358,0)),2))</f>
        <v>0</v>
      </c>
      <c r="AA358" s="29">
        <f>IF(H358="","",IF(T358&lt;&gt;"Yes",0,ROUND(MAX(0,IF(Z358="",0,Z358)-FreeTravelDistance)*TravelFeeRate,2)))</f>
        <v>0</v>
      </c>
      <c r="AB358" s="31">
        <f>IF(I358="","",TravelTimeMins)</f>
        <v>0</v>
      </c>
      <c r="AC358" s="29">
        <f>IF(OR(I358="",B358=""),0,IF(I358-B358&lt;=LastMinuteDays,EmergencyFee,0))</f>
        <v>0</v>
      </c>
      <c r="AF358" s="29">
        <f>IF(H358="","",ROUND((U358+V358+Y358+AA358+AC358)*IF(AE358="",0,AE358),2))</f>
        <v>0</v>
      </c>
      <c r="AI358" s="29">
        <f>IF(H358="","",IF(AG358&lt;&gt;"",AG358,ROUND(U358+V358+Y358+AA358+AC358-AF358,2)))</f>
        <v>0</v>
      </c>
      <c r="AJ358" s="29">
        <f>IF(AI358="","",IF(TaxRegistered&lt;&gt;"Yes",0,IF(PricesIncludeTax="Yes",ROUND(AI358-AI358/(1+TaxRate),2),ROUND(AI358*TaxRate,2))))</f>
        <v>0</v>
      </c>
      <c r="AK358" s="29">
        <f>IF(AI358="","",IF(PricesIncludeTax="Yes",AI358,ROUND(AI358+AJ358,2)))</f>
        <v>0</v>
      </c>
      <c r="AQ358" s="21">
        <f>IF(OR(I358="",AP358="",AP358="None"),"",IF(AP358="Monthly",EDATE(I358,1),I358+IF(AP358="Daily",1,IF(AP358="Weekdays",IF(WEEKDAY(I358,2)&gt;=5,8-WEEKDAY(I358,2),1),IF(AP358="Weekly",7,IF(AP358="Fortnightly",14,0))))))</f>
        <v>0</v>
      </c>
      <c r="AR358" s="49">
        <f>IF(OR(I358="",AL358="",K358="",L358=""),"",IF(SUMPRODUCT((Bookings!$AL$5:$AL$404=AL358)*(Bookings!$I$5:$I$404=I358)*(Bookings!$K$5:$K$404&lt;L358)*(Bookings!$L$5:$L$404&gt;K358)*(Bookings!$AM$5:$AM$404&lt;&gt;"Cancelled"))&gt;1,"Conflict - double booked","OK"))</f>
        <v>0</v>
      </c>
      <c r="AS358" s="50">
        <f>IF(A358="","",IF(COUNTIF('Visit Log'!$B$5:$B$404,A358)&gt;0,"Yes","No"))</f>
        <v>0</v>
      </c>
      <c r="AT358" s="28">
        <f>IF(A358="","",IFERROR(INDEX(Invoices!$A$5:$A$304,MATCH(A358,Invoices!$E$5:$E$304,0)),""))</f>
        <v>0</v>
      </c>
      <c r="AU358" s="49">
        <f>IF(A358="","",IF(AT358="","Not invoiced",IFERROR(INDEX(Invoices!$U$5:$U$304,MATCH(AT358,Invoices!$A$5:$A$304,0)),"")))</f>
        <v>0</v>
      </c>
      <c r="AY358" s="28">
        <f>IF(I358="","",TEXT(I358,"yyyy-mm"))</f>
        <v>0</v>
      </c>
      <c r="AZ358" s="49">
        <f>IF(I358="","",IF(AM358="Cancelled","Cancelled",IF(AND(I358&lt;TODAY(),OR(AM358="Pending",AM358="Confirmed",AM358="Enquiry")),"Overdue - update status",IF(AND(AM358="Completed",AS358="No"),"Action - log the visit",IF(I358=TODAY(),"Today",IF(AND(I358&gt;TODAY(),I358-TODAY()&lt;=ReminderLeadDays,AN358&lt;&gt;"Yes"),"Action - unconfirmed",IF(AND(I358&gt;TODAY(),I358-TODAY()&lt;=ReminderLeadDays),"Upcoming","OK")))))))</f>
        <v>0</v>
      </c>
    </row>
    <row r="359" spans="1:52">
      <c r="A359" s="46">
        <f>IF(C359="","",BookingPrefix&amp;TEXT(ROW()-4,"0000"))</f>
        <v>0</v>
      </c>
      <c r="D359" s="28">
        <f>IF(C359="","",IFERROR(INDEX(Clients!$A$5:$A$254,MATCH(C359,Clients!$B$5:$B$254,0)),""))</f>
        <v>0</v>
      </c>
      <c r="J359" s="50">
        <f>IF(I359="","",TEXT(I359,"ddd"))</f>
        <v>0</v>
      </c>
      <c r="M359" s="51">
        <f>IF(OR(K359="",L359=""),"",ROUND((L359-K359+IF(L359&lt;K359,1,0))*24,2))</f>
        <v>0</v>
      </c>
      <c r="O359" s="28">
        <f>IF(H359="","",IFERROR(INDEX(Services!$E$5:$E$54,MATCH(H359,Services!$B$5:$B$54,0)),""))</f>
        <v>0</v>
      </c>
      <c r="P359" s="29">
        <f>IF(H359="","",IFERROR(INDEX(Services!$G$5:$G$54,MATCH(H359,Services!$B$5:$B$54,0)),0))</f>
        <v>0</v>
      </c>
      <c r="Q359" s="29">
        <f>IF(H359="","",IF(IFERROR(INDEX(Services!$H$5:$H$54,MATCH(H359,Services!$B$5:$B$54,0)),0)=0,ExtraPetFeeDefault,IFERROR(INDEX(Services!$H$5:$H$54,MATCH(H359,Services!$B$5:$B$54,0)),0)))</f>
        <v>0</v>
      </c>
      <c r="R359" s="30">
        <f>IF(H359="","",IF(IFERROR(INDEX(Services!$I$5:$I$54,MATCH(H359,Services!$B$5:$B$54,0)),0)=0,HolidaySurcharge,IFERROR(INDEX(Services!$I$5:$I$54,MATCH(H359,Services!$B$5:$B$54,0)),0)))</f>
        <v>0</v>
      </c>
      <c r="S359" s="30">
        <f>IF(H359="","",IF(IFERROR(INDEX(Services!$J$5:$J$54,MATCH(H359,Services!$B$5:$B$54,0)),0)=0,WeekendSurcharge,IFERROR(INDEX(Services!$J$5:$J$54,MATCH(H359,Services!$B$5:$B$54,0)),0)))</f>
        <v>0</v>
      </c>
      <c r="T359" s="50">
        <f>IF(H359="","",IFERROR(INDEX(Services!$K$5:$K$54,MATCH(H359,Services!$B$5:$B$54,0)),"No"))</f>
        <v>0</v>
      </c>
      <c r="U359" s="29">
        <f>IF(H359="","",ROUND(IF(O359="Per hour",P359*IF(M359="",IF(N359="",1,N359),M359),P359*IF(N359="",1,N359)),2))</f>
        <v>0</v>
      </c>
      <c r="V359" s="29">
        <f>IF(H359="","",ROUND(MAX(0,IF(G359="",1,G359)-1)*Q359,2))</f>
        <v>0</v>
      </c>
      <c r="W359" s="50">
        <f>IF(I359="","",IF(COUNTIF(HolidayDates,I359)&gt;0,"Yes","No"))</f>
        <v>0</v>
      </c>
      <c r="X359" s="50">
        <f>IF(I359="","",IF(WEEKDAY(I359,2)&gt;5,"Yes","No"))</f>
        <v>0</v>
      </c>
      <c r="Y359" s="29">
        <f>IF(H359="","",ROUND((U359+V359)*(IF(W359="Yes",R359,0)+IF(X359="Yes",S359,0)),2))</f>
        <v>0</v>
      </c>
      <c r="AA359" s="29">
        <f>IF(H359="","",IF(T359&lt;&gt;"Yes",0,ROUND(MAX(0,IF(Z359="",0,Z359)-FreeTravelDistance)*TravelFeeRate,2)))</f>
        <v>0</v>
      </c>
      <c r="AB359" s="31">
        <f>IF(I359="","",TravelTimeMins)</f>
        <v>0</v>
      </c>
      <c r="AC359" s="29">
        <f>IF(OR(I359="",B359=""),0,IF(I359-B359&lt;=LastMinuteDays,EmergencyFee,0))</f>
        <v>0</v>
      </c>
      <c r="AF359" s="29">
        <f>IF(H359="","",ROUND((U359+V359+Y359+AA359+AC359)*IF(AE359="",0,AE359),2))</f>
        <v>0</v>
      </c>
      <c r="AI359" s="29">
        <f>IF(H359="","",IF(AG359&lt;&gt;"",AG359,ROUND(U359+V359+Y359+AA359+AC359-AF359,2)))</f>
        <v>0</v>
      </c>
      <c r="AJ359" s="29">
        <f>IF(AI359="","",IF(TaxRegistered&lt;&gt;"Yes",0,IF(PricesIncludeTax="Yes",ROUND(AI359-AI359/(1+TaxRate),2),ROUND(AI359*TaxRate,2))))</f>
        <v>0</v>
      </c>
      <c r="AK359" s="29">
        <f>IF(AI359="","",IF(PricesIncludeTax="Yes",AI359,ROUND(AI359+AJ359,2)))</f>
        <v>0</v>
      </c>
      <c r="AQ359" s="21">
        <f>IF(OR(I359="",AP359="",AP359="None"),"",IF(AP359="Monthly",EDATE(I359,1),I359+IF(AP359="Daily",1,IF(AP359="Weekdays",IF(WEEKDAY(I359,2)&gt;=5,8-WEEKDAY(I359,2),1),IF(AP359="Weekly",7,IF(AP359="Fortnightly",14,0))))))</f>
        <v>0</v>
      </c>
      <c r="AR359" s="49">
        <f>IF(OR(I359="",AL359="",K359="",L359=""),"",IF(SUMPRODUCT((Bookings!$AL$5:$AL$404=AL359)*(Bookings!$I$5:$I$404=I359)*(Bookings!$K$5:$K$404&lt;L359)*(Bookings!$L$5:$L$404&gt;K359)*(Bookings!$AM$5:$AM$404&lt;&gt;"Cancelled"))&gt;1,"Conflict - double booked","OK"))</f>
        <v>0</v>
      </c>
      <c r="AS359" s="50">
        <f>IF(A359="","",IF(COUNTIF('Visit Log'!$B$5:$B$404,A359)&gt;0,"Yes","No"))</f>
        <v>0</v>
      </c>
      <c r="AT359" s="28">
        <f>IF(A359="","",IFERROR(INDEX(Invoices!$A$5:$A$304,MATCH(A359,Invoices!$E$5:$E$304,0)),""))</f>
        <v>0</v>
      </c>
      <c r="AU359" s="49">
        <f>IF(A359="","",IF(AT359="","Not invoiced",IFERROR(INDEX(Invoices!$U$5:$U$304,MATCH(AT359,Invoices!$A$5:$A$304,0)),"")))</f>
        <v>0</v>
      </c>
      <c r="AY359" s="28">
        <f>IF(I359="","",TEXT(I359,"yyyy-mm"))</f>
        <v>0</v>
      </c>
      <c r="AZ359" s="49">
        <f>IF(I359="","",IF(AM359="Cancelled","Cancelled",IF(AND(I359&lt;TODAY(),OR(AM359="Pending",AM359="Confirmed",AM359="Enquiry")),"Overdue - update status",IF(AND(AM359="Completed",AS359="No"),"Action - log the visit",IF(I359=TODAY(),"Today",IF(AND(I359&gt;TODAY(),I359-TODAY()&lt;=ReminderLeadDays,AN359&lt;&gt;"Yes"),"Action - unconfirmed",IF(AND(I359&gt;TODAY(),I359-TODAY()&lt;=ReminderLeadDays),"Upcoming","OK")))))))</f>
        <v>0</v>
      </c>
    </row>
    <row r="360" spans="1:52">
      <c r="A360" s="46">
        <f>IF(C360="","",BookingPrefix&amp;TEXT(ROW()-4,"0000"))</f>
        <v>0</v>
      </c>
      <c r="D360" s="28">
        <f>IF(C360="","",IFERROR(INDEX(Clients!$A$5:$A$254,MATCH(C360,Clients!$B$5:$B$254,0)),""))</f>
        <v>0</v>
      </c>
      <c r="J360" s="50">
        <f>IF(I360="","",TEXT(I360,"ddd"))</f>
        <v>0</v>
      </c>
      <c r="M360" s="51">
        <f>IF(OR(K360="",L360=""),"",ROUND((L360-K360+IF(L360&lt;K360,1,0))*24,2))</f>
        <v>0</v>
      </c>
      <c r="O360" s="28">
        <f>IF(H360="","",IFERROR(INDEX(Services!$E$5:$E$54,MATCH(H360,Services!$B$5:$B$54,0)),""))</f>
        <v>0</v>
      </c>
      <c r="P360" s="29">
        <f>IF(H360="","",IFERROR(INDEX(Services!$G$5:$G$54,MATCH(H360,Services!$B$5:$B$54,0)),0))</f>
        <v>0</v>
      </c>
      <c r="Q360" s="29">
        <f>IF(H360="","",IF(IFERROR(INDEX(Services!$H$5:$H$54,MATCH(H360,Services!$B$5:$B$54,0)),0)=0,ExtraPetFeeDefault,IFERROR(INDEX(Services!$H$5:$H$54,MATCH(H360,Services!$B$5:$B$54,0)),0)))</f>
        <v>0</v>
      </c>
      <c r="R360" s="30">
        <f>IF(H360="","",IF(IFERROR(INDEX(Services!$I$5:$I$54,MATCH(H360,Services!$B$5:$B$54,0)),0)=0,HolidaySurcharge,IFERROR(INDEX(Services!$I$5:$I$54,MATCH(H360,Services!$B$5:$B$54,0)),0)))</f>
        <v>0</v>
      </c>
      <c r="S360" s="30">
        <f>IF(H360="","",IF(IFERROR(INDEX(Services!$J$5:$J$54,MATCH(H360,Services!$B$5:$B$54,0)),0)=0,WeekendSurcharge,IFERROR(INDEX(Services!$J$5:$J$54,MATCH(H360,Services!$B$5:$B$54,0)),0)))</f>
        <v>0</v>
      </c>
      <c r="T360" s="50">
        <f>IF(H360="","",IFERROR(INDEX(Services!$K$5:$K$54,MATCH(H360,Services!$B$5:$B$54,0)),"No"))</f>
        <v>0</v>
      </c>
      <c r="U360" s="29">
        <f>IF(H360="","",ROUND(IF(O360="Per hour",P360*IF(M360="",IF(N360="",1,N360),M360),P360*IF(N360="",1,N360)),2))</f>
        <v>0</v>
      </c>
      <c r="V360" s="29">
        <f>IF(H360="","",ROUND(MAX(0,IF(G360="",1,G360)-1)*Q360,2))</f>
        <v>0</v>
      </c>
      <c r="W360" s="50">
        <f>IF(I360="","",IF(COUNTIF(HolidayDates,I360)&gt;0,"Yes","No"))</f>
        <v>0</v>
      </c>
      <c r="X360" s="50">
        <f>IF(I360="","",IF(WEEKDAY(I360,2)&gt;5,"Yes","No"))</f>
        <v>0</v>
      </c>
      <c r="Y360" s="29">
        <f>IF(H360="","",ROUND((U360+V360)*(IF(W360="Yes",R360,0)+IF(X360="Yes",S360,0)),2))</f>
        <v>0</v>
      </c>
      <c r="AA360" s="29">
        <f>IF(H360="","",IF(T360&lt;&gt;"Yes",0,ROUND(MAX(0,IF(Z360="",0,Z360)-FreeTravelDistance)*TravelFeeRate,2)))</f>
        <v>0</v>
      </c>
      <c r="AB360" s="31">
        <f>IF(I360="","",TravelTimeMins)</f>
        <v>0</v>
      </c>
      <c r="AC360" s="29">
        <f>IF(OR(I360="",B360=""),0,IF(I360-B360&lt;=LastMinuteDays,EmergencyFee,0))</f>
        <v>0</v>
      </c>
      <c r="AF360" s="29">
        <f>IF(H360="","",ROUND((U360+V360+Y360+AA360+AC360)*IF(AE360="",0,AE360),2))</f>
        <v>0</v>
      </c>
      <c r="AI360" s="29">
        <f>IF(H360="","",IF(AG360&lt;&gt;"",AG360,ROUND(U360+V360+Y360+AA360+AC360-AF360,2)))</f>
        <v>0</v>
      </c>
      <c r="AJ360" s="29">
        <f>IF(AI360="","",IF(TaxRegistered&lt;&gt;"Yes",0,IF(PricesIncludeTax="Yes",ROUND(AI360-AI360/(1+TaxRate),2),ROUND(AI360*TaxRate,2))))</f>
        <v>0</v>
      </c>
      <c r="AK360" s="29">
        <f>IF(AI360="","",IF(PricesIncludeTax="Yes",AI360,ROUND(AI360+AJ360,2)))</f>
        <v>0</v>
      </c>
      <c r="AQ360" s="21">
        <f>IF(OR(I360="",AP360="",AP360="None"),"",IF(AP360="Monthly",EDATE(I360,1),I360+IF(AP360="Daily",1,IF(AP360="Weekdays",IF(WEEKDAY(I360,2)&gt;=5,8-WEEKDAY(I360,2),1),IF(AP360="Weekly",7,IF(AP360="Fortnightly",14,0))))))</f>
        <v>0</v>
      </c>
      <c r="AR360" s="49">
        <f>IF(OR(I360="",AL360="",K360="",L360=""),"",IF(SUMPRODUCT((Bookings!$AL$5:$AL$404=AL360)*(Bookings!$I$5:$I$404=I360)*(Bookings!$K$5:$K$404&lt;L360)*(Bookings!$L$5:$L$404&gt;K360)*(Bookings!$AM$5:$AM$404&lt;&gt;"Cancelled"))&gt;1,"Conflict - double booked","OK"))</f>
        <v>0</v>
      </c>
      <c r="AS360" s="50">
        <f>IF(A360="","",IF(COUNTIF('Visit Log'!$B$5:$B$404,A360)&gt;0,"Yes","No"))</f>
        <v>0</v>
      </c>
      <c r="AT360" s="28">
        <f>IF(A360="","",IFERROR(INDEX(Invoices!$A$5:$A$304,MATCH(A360,Invoices!$E$5:$E$304,0)),""))</f>
        <v>0</v>
      </c>
      <c r="AU360" s="49">
        <f>IF(A360="","",IF(AT360="","Not invoiced",IFERROR(INDEX(Invoices!$U$5:$U$304,MATCH(AT360,Invoices!$A$5:$A$304,0)),"")))</f>
        <v>0</v>
      </c>
      <c r="AY360" s="28">
        <f>IF(I360="","",TEXT(I360,"yyyy-mm"))</f>
        <v>0</v>
      </c>
      <c r="AZ360" s="49">
        <f>IF(I360="","",IF(AM360="Cancelled","Cancelled",IF(AND(I360&lt;TODAY(),OR(AM360="Pending",AM360="Confirmed",AM360="Enquiry")),"Overdue - update status",IF(AND(AM360="Completed",AS360="No"),"Action - log the visit",IF(I360=TODAY(),"Today",IF(AND(I360&gt;TODAY(),I360-TODAY()&lt;=ReminderLeadDays,AN360&lt;&gt;"Yes"),"Action - unconfirmed",IF(AND(I360&gt;TODAY(),I360-TODAY()&lt;=ReminderLeadDays),"Upcoming","OK")))))))</f>
        <v>0</v>
      </c>
    </row>
    <row r="361" spans="1:52">
      <c r="A361" s="46">
        <f>IF(C361="","",BookingPrefix&amp;TEXT(ROW()-4,"0000"))</f>
        <v>0</v>
      </c>
      <c r="D361" s="28">
        <f>IF(C361="","",IFERROR(INDEX(Clients!$A$5:$A$254,MATCH(C361,Clients!$B$5:$B$254,0)),""))</f>
        <v>0</v>
      </c>
      <c r="J361" s="50">
        <f>IF(I361="","",TEXT(I361,"ddd"))</f>
        <v>0</v>
      </c>
      <c r="M361" s="51">
        <f>IF(OR(K361="",L361=""),"",ROUND((L361-K361+IF(L361&lt;K361,1,0))*24,2))</f>
        <v>0</v>
      </c>
      <c r="O361" s="28">
        <f>IF(H361="","",IFERROR(INDEX(Services!$E$5:$E$54,MATCH(H361,Services!$B$5:$B$54,0)),""))</f>
        <v>0</v>
      </c>
      <c r="P361" s="29">
        <f>IF(H361="","",IFERROR(INDEX(Services!$G$5:$G$54,MATCH(H361,Services!$B$5:$B$54,0)),0))</f>
        <v>0</v>
      </c>
      <c r="Q361" s="29">
        <f>IF(H361="","",IF(IFERROR(INDEX(Services!$H$5:$H$54,MATCH(H361,Services!$B$5:$B$54,0)),0)=0,ExtraPetFeeDefault,IFERROR(INDEX(Services!$H$5:$H$54,MATCH(H361,Services!$B$5:$B$54,0)),0)))</f>
        <v>0</v>
      </c>
      <c r="R361" s="30">
        <f>IF(H361="","",IF(IFERROR(INDEX(Services!$I$5:$I$54,MATCH(H361,Services!$B$5:$B$54,0)),0)=0,HolidaySurcharge,IFERROR(INDEX(Services!$I$5:$I$54,MATCH(H361,Services!$B$5:$B$54,0)),0)))</f>
        <v>0</v>
      </c>
      <c r="S361" s="30">
        <f>IF(H361="","",IF(IFERROR(INDEX(Services!$J$5:$J$54,MATCH(H361,Services!$B$5:$B$54,0)),0)=0,WeekendSurcharge,IFERROR(INDEX(Services!$J$5:$J$54,MATCH(H361,Services!$B$5:$B$54,0)),0)))</f>
        <v>0</v>
      </c>
      <c r="T361" s="50">
        <f>IF(H361="","",IFERROR(INDEX(Services!$K$5:$K$54,MATCH(H361,Services!$B$5:$B$54,0)),"No"))</f>
        <v>0</v>
      </c>
      <c r="U361" s="29">
        <f>IF(H361="","",ROUND(IF(O361="Per hour",P361*IF(M361="",IF(N361="",1,N361),M361),P361*IF(N361="",1,N361)),2))</f>
        <v>0</v>
      </c>
      <c r="V361" s="29">
        <f>IF(H361="","",ROUND(MAX(0,IF(G361="",1,G361)-1)*Q361,2))</f>
        <v>0</v>
      </c>
      <c r="W361" s="50">
        <f>IF(I361="","",IF(COUNTIF(HolidayDates,I361)&gt;0,"Yes","No"))</f>
        <v>0</v>
      </c>
      <c r="X361" s="50">
        <f>IF(I361="","",IF(WEEKDAY(I361,2)&gt;5,"Yes","No"))</f>
        <v>0</v>
      </c>
      <c r="Y361" s="29">
        <f>IF(H361="","",ROUND((U361+V361)*(IF(W361="Yes",R361,0)+IF(X361="Yes",S361,0)),2))</f>
        <v>0</v>
      </c>
      <c r="AA361" s="29">
        <f>IF(H361="","",IF(T361&lt;&gt;"Yes",0,ROUND(MAX(0,IF(Z361="",0,Z361)-FreeTravelDistance)*TravelFeeRate,2)))</f>
        <v>0</v>
      </c>
      <c r="AB361" s="31">
        <f>IF(I361="","",TravelTimeMins)</f>
        <v>0</v>
      </c>
      <c r="AC361" s="29">
        <f>IF(OR(I361="",B361=""),0,IF(I361-B361&lt;=LastMinuteDays,EmergencyFee,0))</f>
        <v>0</v>
      </c>
      <c r="AF361" s="29">
        <f>IF(H361="","",ROUND((U361+V361+Y361+AA361+AC361)*IF(AE361="",0,AE361),2))</f>
        <v>0</v>
      </c>
      <c r="AI361" s="29">
        <f>IF(H361="","",IF(AG361&lt;&gt;"",AG361,ROUND(U361+V361+Y361+AA361+AC361-AF361,2)))</f>
        <v>0</v>
      </c>
      <c r="AJ361" s="29">
        <f>IF(AI361="","",IF(TaxRegistered&lt;&gt;"Yes",0,IF(PricesIncludeTax="Yes",ROUND(AI361-AI361/(1+TaxRate),2),ROUND(AI361*TaxRate,2))))</f>
        <v>0</v>
      </c>
      <c r="AK361" s="29">
        <f>IF(AI361="","",IF(PricesIncludeTax="Yes",AI361,ROUND(AI361+AJ361,2)))</f>
        <v>0</v>
      </c>
      <c r="AQ361" s="21">
        <f>IF(OR(I361="",AP361="",AP361="None"),"",IF(AP361="Monthly",EDATE(I361,1),I361+IF(AP361="Daily",1,IF(AP361="Weekdays",IF(WEEKDAY(I361,2)&gt;=5,8-WEEKDAY(I361,2),1),IF(AP361="Weekly",7,IF(AP361="Fortnightly",14,0))))))</f>
        <v>0</v>
      </c>
      <c r="AR361" s="49">
        <f>IF(OR(I361="",AL361="",K361="",L361=""),"",IF(SUMPRODUCT((Bookings!$AL$5:$AL$404=AL361)*(Bookings!$I$5:$I$404=I361)*(Bookings!$K$5:$K$404&lt;L361)*(Bookings!$L$5:$L$404&gt;K361)*(Bookings!$AM$5:$AM$404&lt;&gt;"Cancelled"))&gt;1,"Conflict - double booked","OK"))</f>
        <v>0</v>
      </c>
      <c r="AS361" s="50">
        <f>IF(A361="","",IF(COUNTIF('Visit Log'!$B$5:$B$404,A361)&gt;0,"Yes","No"))</f>
        <v>0</v>
      </c>
      <c r="AT361" s="28">
        <f>IF(A361="","",IFERROR(INDEX(Invoices!$A$5:$A$304,MATCH(A361,Invoices!$E$5:$E$304,0)),""))</f>
        <v>0</v>
      </c>
      <c r="AU361" s="49">
        <f>IF(A361="","",IF(AT361="","Not invoiced",IFERROR(INDEX(Invoices!$U$5:$U$304,MATCH(AT361,Invoices!$A$5:$A$304,0)),"")))</f>
        <v>0</v>
      </c>
      <c r="AY361" s="28">
        <f>IF(I361="","",TEXT(I361,"yyyy-mm"))</f>
        <v>0</v>
      </c>
      <c r="AZ361" s="49">
        <f>IF(I361="","",IF(AM361="Cancelled","Cancelled",IF(AND(I361&lt;TODAY(),OR(AM361="Pending",AM361="Confirmed",AM361="Enquiry")),"Overdue - update status",IF(AND(AM361="Completed",AS361="No"),"Action - log the visit",IF(I361=TODAY(),"Today",IF(AND(I361&gt;TODAY(),I361-TODAY()&lt;=ReminderLeadDays,AN361&lt;&gt;"Yes"),"Action - unconfirmed",IF(AND(I361&gt;TODAY(),I361-TODAY()&lt;=ReminderLeadDays),"Upcoming","OK")))))))</f>
        <v>0</v>
      </c>
    </row>
    <row r="362" spans="1:52">
      <c r="A362" s="46">
        <f>IF(C362="","",BookingPrefix&amp;TEXT(ROW()-4,"0000"))</f>
        <v>0</v>
      </c>
      <c r="D362" s="28">
        <f>IF(C362="","",IFERROR(INDEX(Clients!$A$5:$A$254,MATCH(C362,Clients!$B$5:$B$254,0)),""))</f>
        <v>0</v>
      </c>
      <c r="J362" s="50">
        <f>IF(I362="","",TEXT(I362,"ddd"))</f>
        <v>0</v>
      </c>
      <c r="M362" s="51">
        <f>IF(OR(K362="",L362=""),"",ROUND((L362-K362+IF(L362&lt;K362,1,0))*24,2))</f>
        <v>0</v>
      </c>
      <c r="O362" s="28">
        <f>IF(H362="","",IFERROR(INDEX(Services!$E$5:$E$54,MATCH(H362,Services!$B$5:$B$54,0)),""))</f>
        <v>0</v>
      </c>
      <c r="P362" s="29">
        <f>IF(H362="","",IFERROR(INDEX(Services!$G$5:$G$54,MATCH(H362,Services!$B$5:$B$54,0)),0))</f>
        <v>0</v>
      </c>
      <c r="Q362" s="29">
        <f>IF(H362="","",IF(IFERROR(INDEX(Services!$H$5:$H$54,MATCH(H362,Services!$B$5:$B$54,0)),0)=0,ExtraPetFeeDefault,IFERROR(INDEX(Services!$H$5:$H$54,MATCH(H362,Services!$B$5:$B$54,0)),0)))</f>
        <v>0</v>
      </c>
      <c r="R362" s="30">
        <f>IF(H362="","",IF(IFERROR(INDEX(Services!$I$5:$I$54,MATCH(H362,Services!$B$5:$B$54,0)),0)=0,HolidaySurcharge,IFERROR(INDEX(Services!$I$5:$I$54,MATCH(H362,Services!$B$5:$B$54,0)),0)))</f>
        <v>0</v>
      </c>
      <c r="S362" s="30">
        <f>IF(H362="","",IF(IFERROR(INDEX(Services!$J$5:$J$54,MATCH(H362,Services!$B$5:$B$54,0)),0)=0,WeekendSurcharge,IFERROR(INDEX(Services!$J$5:$J$54,MATCH(H362,Services!$B$5:$B$54,0)),0)))</f>
        <v>0</v>
      </c>
      <c r="T362" s="50">
        <f>IF(H362="","",IFERROR(INDEX(Services!$K$5:$K$54,MATCH(H362,Services!$B$5:$B$54,0)),"No"))</f>
        <v>0</v>
      </c>
      <c r="U362" s="29">
        <f>IF(H362="","",ROUND(IF(O362="Per hour",P362*IF(M362="",IF(N362="",1,N362),M362),P362*IF(N362="",1,N362)),2))</f>
        <v>0</v>
      </c>
      <c r="V362" s="29">
        <f>IF(H362="","",ROUND(MAX(0,IF(G362="",1,G362)-1)*Q362,2))</f>
        <v>0</v>
      </c>
      <c r="W362" s="50">
        <f>IF(I362="","",IF(COUNTIF(HolidayDates,I362)&gt;0,"Yes","No"))</f>
        <v>0</v>
      </c>
      <c r="X362" s="50">
        <f>IF(I362="","",IF(WEEKDAY(I362,2)&gt;5,"Yes","No"))</f>
        <v>0</v>
      </c>
      <c r="Y362" s="29">
        <f>IF(H362="","",ROUND((U362+V362)*(IF(W362="Yes",R362,0)+IF(X362="Yes",S362,0)),2))</f>
        <v>0</v>
      </c>
      <c r="AA362" s="29">
        <f>IF(H362="","",IF(T362&lt;&gt;"Yes",0,ROUND(MAX(0,IF(Z362="",0,Z362)-FreeTravelDistance)*TravelFeeRate,2)))</f>
        <v>0</v>
      </c>
      <c r="AB362" s="31">
        <f>IF(I362="","",TravelTimeMins)</f>
        <v>0</v>
      </c>
      <c r="AC362" s="29">
        <f>IF(OR(I362="",B362=""),0,IF(I362-B362&lt;=LastMinuteDays,EmergencyFee,0))</f>
        <v>0</v>
      </c>
      <c r="AF362" s="29">
        <f>IF(H362="","",ROUND((U362+V362+Y362+AA362+AC362)*IF(AE362="",0,AE362),2))</f>
        <v>0</v>
      </c>
      <c r="AI362" s="29">
        <f>IF(H362="","",IF(AG362&lt;&gt;"",AG362,ROUND(U362+V362+Y362+AA362+AC362-AF362,2)))</f>
        <v>0</v>
      </c>
      <c r="AJ362" s="29">
        <f>IF(AI362="","",IF(TaxRegistered&lt;&gt;"Yes",0,IF(PricesIncludeTax="Yes",ROUND(AI362-AI362/(1+TaxRate),2),ROUND(AI362*TaxRate,2))))</f>
        <v>0</v>
      </c>
      <c r="AK362" s="29">
        <f>IF(AI362="","",IF(PricesIncludeTax="Yes",AI362,ROUND(AI362+AJ362,2)))</f>
        <v>0</v>
      </c>
      <c r="AQ362" s="21">
        <f>IF(OR(I362="",AP362="",AP362="None"),"",IF(AP362="Monthly",EDATE(I362,1),I362+IF(AP362="Daily",1,IF(AP362="Weekdays",IF(WEEKDAY(I362,2)&gt;=5,8-WEEKDAY(I362,2),1),IF(AP362="Weekly",7,IF(AP362="Fortnightly",14,0))))))</f>
        <v>0</v>
      </c>
      <c r="AR362" s="49">
        <f>IF(OR(I362="",AL362="",K362="",L362=""),"",IF(SUMPRODUCT((Bookings!$AL$5:$AL$404=AL362)*(Bookings!$I$5:$I$404=I362)*(Bookings!$K$5:$K$404&lt;L362)*(Bookings!$L$5:$L$404&gt;K362)*(Bookings!$AM$5:$AM$404&lt;&gt;"Cancelled"))&gt;1,"Conflict - double booked","OK"))</f>
        <v>0</v>
      </c>
      <c r="AS362" s="50">
        <f>IF(A362="","",IF(COUNTIF('Visit Log'!$B$5:$B$404,A362)&gt;0,"Yes","No"))</f>
        <v>0</v>
      </c>
      <c r="AT362" s="28">
        <f>IF(A362="","",IFERROR(INDEX(Invoices!$A$5:$A$304,MATCH(A362,Invoices!$E$5:$E$304,0)),""))</f>
        <v>0</v>
      </c>
      <c r="AU362" s="49">
        <f>IF(A362="","",IF(AT362="","Not invoiced",IFERROR(INDEX(Invoices!$U$5:$U$304,MATCH(AT362,Invoices!$A$5:$A$304,0)),"")))</f>
        <v>0</v>
      </c>
      <c r="AY362" s="28">
        <f>IF(I362="","",TEXT(I362,"yyyy-mm"))</f>
        <v>0</v>
      </c>
      <c r="AZ362" s="49">
        <f>IF(I362="","",IF(AM362="Cancelled","Cancelled",IF(AND(I362&lt;TODAY(),OR(AM362="Pending",AM362="Confirmed",AM362="Enquiry")),"Overdue - update status",IF(AND(AM362="Completed",AS362="No"),"Action - log the visit",IF(I362=TODAY(),"Today",IF(AND(I362&gt;TODAY(),I362-TODAY()&lt;=ReminderLeadDays,AN362&lt;&gt;"Yes"),"Action - unconfirmed",IF(AND(I362&gt;TODAY(),I362-TODAY()&lt;=ReminderLeadDays),"Upcoming","OK")))))))</f>
        <v>0</v>
      </c>
    </row>
    <row r="363" spans="1:52">
      <c r="A363" s="46">
        <f>IF(C363="","",BookingPrefix&amp;TEXT(ROW()-4,"0000"))</f>
        <v>0</v>
      </c>
      <c r="D363" s="28">
        <f>IF(C363="","",IFERROR(INDEX(Clients!$A$5:$A$254,MATCH(C363,Clients!$B$5:$B$254,0)),""))</f>
        <v>0</v>
      </c>
      <c r="J363" s="50">
        <f>IF(I363="","",TEXT(I363,"ddd"))</f>
        <v>0</v>
      </c>
      <c r="M363" s="51">
        <f>IF(OR(K363="",L363=""),"",ROUND((L363-K363+IF(L363&lt;K363,1,0))*24,2))</f>
        <v>0</v>
      </c>
      <c r="O363" s="28">
        <f>IF(H363="","",IFERROR(INDEX(Services!$E$5:$E$54,MATCH(H363,Services!$B$5:$B$54,0)),""))</f>
        <v>0</v>
      </c>
      <c r="P363" s="29">
        <f>IF(H363="","",IFERROR(INDEX(Services!$G$5:$G$54,MATCH(H363,Services!$B$5:$B$54,0)),0))</f>
        <v>0</v>
      </c>
      <c r="Q363" s="29">
        <f>IF(H363="","",IF(IFERROR(INDEX(Services!$H$5:$H$54,MATCH(H363,Services!$B$5:$B$54,0)),0)=0,ExtraPetFeeDefault,IFERROR(INDEX(Services!$H$5:$H$54,MATCH(H363,Services!$B$5:$B$54,0)),0)))</f>
        <v>0</v>
      </c>
      <c r="R363" s="30">
        <f>IF(H363="","",IF(IFERROR(INDEX(Services!$I$5:$I$54,MATCH(H363,Services!$B$5:$B$54,0)),0)=0,HolidaySurcharge,IFERROR(INDEX(Services!$I$5:$I$54,MATCH(H363,Services!$B$5:$B$54,0)),0)))</f>
        <v>0</v>
      </c>
      <c r="S363" s="30">
        <f>IF(H363="","",IF(IFERROR(INDEX(Services!$J$5:$J$54,MATCH(H363,Services!$B$5:$B$54,0)),0)=0,WeekendSurcharge,IFERROR(INDEX(Services!$J$5:$J$54,MATCH(H363,Services!$B$5:$B$54,0)),0)))</f>
        <v>0</v>
      </c>
      <c r="T363" s="50">
        <f>IF(H363="","",IFERROR(INDEX(Services!$K$5:$K$54,MATCH(H363,Services!$B$5:$B$54,0)),"No"))</f>
        <v>0</v>
      </c>
      <c r="U363" s="29">
        <f>IF(H363="","",ROUND(IF(O363="Per hour",P363*IF(M363="",IF(N363="",1,N363),M363),P363*IF(N363="",1,N363)),2))</f>
        <v>0</v>
      </c>
      <c r="V363" s="29">
        <f>IF(H363="","",ROUND(MAX(0,IF(G363="",1,G363)-1)*Q363,2))</f>
        <v>0</v>
      </c>
      <c r="W363" s="50">
        <f>IF(I363="","",IF(COUNTIF(HolidayDates,I363)&gt;0,"Yes","No"))</f>
        <v>0</v>
      </c>
      <c r="X363" s="50">
        <f>IF(I363="","",IF(WEEKDAY(I363,2)&gt;5,"Yes","No"))</f>
        <v>0</v>
      </c>
      <c r="Y363" s="29">
        <f>IF(H363="","",ROUND((U363+V363)*(IF(W363="Yes",R363,0)+IF(X363="Yes",S363,0)),2))</f>
        <v>0</v>
      </c>
      <c r="AA363" s="29">
        <f>IF(H363="","",IF(T363&lt;&gt;"Yes",0,ROUND(MAX(0,IF(Z363="",0,Z363)-FreeTravelDistance)*TravelFeeRate,2)))</f>
        <v>0</v>
      </c>
      <c r="AB363" s="31">
        <f>IF(I363="","",TravelTimeMins)</f>
        <v>0</v>
      </c>
      <c r="AC363" s="29">
        <f>IF(OR(I363="",B363=""),0,IF(I363-B363&lt;=LastMinuteDays,EmergencyFee,0))</f>
        <v>0</v>
      </c>
      <c r="AF363" s="29">
        <f>IF(H363="","",ROUND((U363+V363+Y363+AA363+AC363)*IF(AE363="",0,AE363),2))</f>
        <v>0</v>
      </c>
      <c r="AI363" s="29">
        <f>IF(H363="","",IF(AG363&lt;&gt;"",AG363,ROUND(U363+V363+Y363+AA363+AC363-AF363,2)))</f>
        <v>0</v>
      </c>
      <c r="AJ363" s="29">
        <f>IF(AI363="","",IF(TaxRegistered&lt;&gt;"Yes",0,IF(PricesIncludeTax="Yes",ROUND(AI363-AI363/(1+TaxRate),2),ROUND(AI363*TaxRate,2))))</f>
        <v>0</v>
      </c>
      <c r="AK363" s="29">
        <f>IF(AI363="","",IF(PricesIncludeTax="Yes",AI363,ROUND(AI363+AJ363,2)))</f>
        <v>0</v>
      </c>
      <c r="AQ363" s="21">
        <f>IF(OR(I363="",AP363="",AP363="None"),"",IF(AP363="Monthly",EDATE(I363,1),I363+IF(AP363="Daily",1,IF(AP363="Weekdays",IF(WEEKDAY(I363,2)&gt;=5,8-WEEKDAY(I363,2),1),IF(AP363="Weekly",7,IF(AP363="Fortnightly",14,0))))))</f>
        <v>0</v>
      </c>
      <c r="AR363" s="49">
        <f>IF(OR(I363="",AL363="",K363="",L363=""),"",IF(SUMPRODUCT((Bookings!$AL$5:$AL$404=AL363)*(Bookings!$I$5:$I$404=I363)*(Bookings!$K$5:$K$404&lt;L363)*(Bookings!$L$5:$L$404&gt;K363)*(Bookings!$AM$5:$AM$404&lt;&gt;"Cancelled"))&gt;1,"Conflict - double booked","OK"))</f>
        <v>0</v>
      </c>
      <c r="AS363" s="50">
        <f>IF(A363="","",IF(COUNTIF('Visit Log'!$B$5:$B$404,A363)&gt;0,"Yes","No"))</f>
        <v>0</v>
      </c>
      <c r="AT363" s="28">
        <f>IF(A363="","",IFERROR(INDEX(Invoices!$A$5:$A$304,MATCH(A363,Invoices!$E$5:$E$304,0)),""))</f>
        <v>0</v>
      </c>
      <c r="AU363" s="49">
        <f>IF(A363="","",IF(AT363="","Not invoiced",IFERROR(INDEX(Invoices!$U$5:$U$304,MATCH(AT363,Invoices!$A$5:$A$304,0)),"")))</f>
        <v>0</v>
      </c>
      <c r="AY363" s="28">
        <f>IF(I363="","",TEXT(I363,"yyyy-mm"))</f>
        <v>0</v>
      </c>
      <c r="AZ363" s="49">
        <f>IF(I363="","",IF(AM363="Cancelled","Cancelled",IF(AND(I363&lt;TODAY(),OR(AM363="Pending",AM363="Confirmed",AM363="Enquiry")),"Overdue - update status",IF(AND(AM363="Completed",AS363="No"),"Action - log the visit",IF(I363=TODAY(),"Today",IF(AND(I363&gt;TODAY(),I363-TODAY()&lt;=ReminderLeadDays,AN363&lt;&gt;"Yes"),"Action - unconfirmed",IF(AND(I363&gt;TODAY(),I363-TODAY()&lt;=ReminderLeadDays),"Upcoming","OK")))))))</f>
        <v>0</v>
      </c>
    </row>
    <row r="364" spans="1:52">
      <c r="A364" s="46">
        <f>IF(C364="","",BookingPrefix&amp;TEXT(ROW()-4,"0000"))</f>
        <v>0</v>
      </c>
      <c r="D364" s="28">
        <f>IF(C364="","",IFERROR(INDEX(Clients!$A$5:$A$254,MATCH(C364,Clients!$B$5:$B$254,0)),""))</f>
        <v>0</v>
      </c>
      <c r="J364" s="50">
        <f>IF(I364="","",TEXT(I364,"ddd"))</f>
        <v>0</v>
      </c>
      <c r="M364" s="51">
        <f>IF(OR(K364="",L364=""),"",ROUND((L364-K364+IF(L364&lt;K364,1,0))*24,2))</f>
        <v>0</v>
      </c>
      <c r="O364" s="28">
        <f>IF(H364="","",IFERROR(INDEX(Services!$E$5:$E$54,MATCH(H364,Services!$B$5:$B$54,0)),""))</f>
        <v>0</v>
      </c>
      <c r="P364" s="29">
        <f>IF(H364="","",IFERROR(INDEX(Services!$G$5:$G$54,MATCH(H364,Services!$B$5:$B$54,0)),0))</f>
        <v>0</v>
      </c>
      <c r="Q364" s="29">
        <f>IF(H364="","",IF(IFERROR(INDEX(Services!$H$5:$H$54,MATCH(H364,Services!$B$5:$B$54,0)),0)=0,ExtraPetFeeDefault,IFERROR(INDEX(Services!$H$5:$H$54,MATCH(H364,Services!$B$5:$B$54,0)),0)))</f>
        <v>0</v>
      </c>
      <c r="R364" s="30">
        <f>IF(H364="","",IF(IFERROR(INDEX(Services!$I$5:$I$54,MATCH(H364,Services!$B$5:$B$54,0)),0)=0,HolidaySurcharge,IFERROR(INDEX(Services!$I$5:$I$54,MATCH(H364,Services!$B$5:$B$54,0)),0)))</f>
        <v>0</v>
      </c>
      <c r="S364" s="30">
        <f>IF(H364="","",IF(IFERROR(INDEX(Services!$J$5:$J$54,MATCH(H364,Services!$B$5:$B$54,0)),0)=0,WeekendSurcharge,IFERROR(INDEX(Services!$J$5:$J$54,MATCH(H364,Services!$B$5:$B$54,0)),0)))</f>
        <v>0</v>
      </c>
      <c r="T364" s="50">
        <f>IF(H364="","",IFERROR(INDEX(Services!$K$5:$K$54,MATCH(H364,Services!$B$5:$B$54,0)),"No"))</f>
        <v>0</v>
      </c>
      <c r="U364" s="29">
        <f>IF(H364="","",ROUND(IF(O364="Per hour",P364*IF(M364="",IF(N364="",1,N364),M364),P364*IF(N364="",1,N364)),2))</f>
        <v>0</v>
      </c>
      <c r="V364" s="29">
        <f>IF(H364="","",ROUND(MAX(0,IF(G364="",1,G364)-1)*Q364,2))</f>
        <v>0</v>
      </c>
      <c r="W364" s="50">
        <f>IF(I364="","",IF(COUNTIF(HolidayDates,I364)&gt;0,"Yes","No"))</f>
        <v>0</v>
      </c>
      <c r="X364" s="50">
        <f>IF(I364="","",IF(WEEKDAY(I364,2)&gt;5,"Yes","No"))</f>
        <v>0</v>
      </c>
      <c r="Y364" s="29">
        <f>IF(H364="","",ROUND((U364+V364)*(IF(W364="Yes",R364,0)+IF(X364="Yes",S364,0)),2))</f>
        <v>0</v>
      </c>
      <c r="AA364" s="29">
        <f>IF(H364="","",IF(T364&lt;&gt;"Yes",0,ROUND(MAX(0,IF(Z364="",0,Z364)-FreeTravelDistance)*TravelFeeRate,2)))</f>
        <v>0</v>
      </c>
      <c r="AB364" s="31">
        <f>IF(I364="","",TravelTimeMins)</f>
        <v>0</v>
      </c>
      <c r="AC364" s="29">
        <f>IF(OR(I364="",B364=""),0,IF(I364-B364&lt;=LastMinuteDays,EmergencyFee,0))</f>
        <v>0</v>
      </c>
      <c r="AF364" s="29">
        <f>IF(H364="","",ROUND((U364+V364+Y364+AA364+AC364)*IF(AE364="",0,AE364),2))</f>
        <v>0</v>
      </c>
      <c r="AI364" s="29">
        <f>IF(H364="","",IF(AG364&lt;&gt;"",AG364,ROUND(U364+V364+Y364+AA364+AC364-AF364,2)))</f>
        <v>0</v>
      </c>
      <c r="AJ364" s="29">
        <f>IF(AI364="","",IF(TaxRegistered&lt;&gt;"Yes",0,IF(PricesIncludeTax="Yes",ROUND(AI364-AI364/(1+TaxRate),2),ROUND(AI364*TaxRate,2))))</f>
        <v>0</v>
      </c>
      <c r="AK364" s="29">
        <f>IF(AI364="","",IF(PricesIncludeTax="Yes",AI364,ROUND(AI364+AJ364,2)))</f>
        <v>0</v>
      </c>
      <c r="AQ364" s="21">
        <f>IF(OR(I364="",AP364="",AP364="None"),"",IF(AP364="Monthly",EDATE(I364,1),I364+IF(AP364="Daily",1,IF(AP364="Weekdays",IF(WEEKDAY(I364,2)&gt;=5,8-WEEKDAY(I364,2),1),IF(AP364="Weekly",7,IF(AP364="Fortnightly",14,0))))))</f>
        <v>0</v>
      </c>
      <c r="AR364" s="49">
        <f>IF(OR(I364="",AL364="",K364="",L364=""),"",IF(SUMPRODUCT((Bookings!$AL$5:$AL$404=AL364)*(Bookings!$I$5:$I$404=I364)*(Bookings!$K$5:$K$404&lt;L364)*(Bookings!$L$5:$L$404&gt;K364)*(Bookings!$AM$5:$AM$404&lt;&gt;"Cancelled"))&gt;1,"Conflict - double booked","OK"))</f>
        <v>0</v>
      </c>
      <c r="AS364" s="50">
        <f>IF(A364="","",IF(COUNTIF('Visit Log'!$B$5:$B$404,A364)&gt;0,"Yes","No"))</f>
        <v>0</v>
      </c>
      <c r="AT364" s="28">
        <f>IF(A364="","",IFERROR(INDEX(Invoices!$A$5:$A$304,MATCH(A364,Invoices!$E$5:$E$304,0)),""))</f>
        <v>0</v>
      </c>
      <c r="AU364" s="49">
        <f>IF(A364="","",IF(AT364="","Not invoiced",IFERROR(INDEX(Invoices!$U$5:$U$304,MATCH(AT364,Invoices!$A$5:$A$304,0)),"")))</f>
        <v>0</v>
      </c>
      <c r="AY364" s="28">
        <f>IF(I364="","",TEXT(I364,"yyyy-mm"))</f>
        <v>0</v>
      </c>
      <c r="AZ364" s="49">
        <f>IF(I364="","",IF(AM364="Cancelled","Cancelled",IF(AND(I364&lt;TODAY(),OR(AM364="Pending",AM364="Confirmed",AM364="Enquiry")),"Overdue - update status",IF(AND(AM364="Completed",AS364="No"),"Action - log the visit",IF(I364=TODAY(),"Today",IF(AND(I364&gt;TODAY(),I364-TODAY()&lt;=ReminderLeadDays,AN364&lt;&gt;"Yes"),"Action - unconfirmed",IF(AND(I364&gt;TODAY(),I364-TODAY()&lt;=ReminderLeadDays),"Upcoming","OK")))))))</f>
        <v>0</v>
      </c>
    </row>
    <row r="365" spans="1:52">
      <c r="A365" s="46">
        <f>IF(C365="","",BookingPrefix&amp;TEXT(ROW()-4,"0000"))</f>
        <v>0</v>
      </c>
      <c r="D365" s="28">
        <f>IF(C365="","",IFERROR(INDEX(Clients!$A$5:$A$254,MATCH(C365,Clients!$B$5:$B$254,0)),""))</f>
        <v>0</v>
      </c>
      <c r="J365" s="50">
        <f>IF(I365="","",TEXT(I365,"ddd"))</f>
        <v>0</v>
      </c>
      <c r="M365" s="51">
        <f>IF(OR(K365="",L365=""),"",ROUND((L365-K365+IF(L365&lt;K365,1,0))*24,2))</f>
        <v>0</v>
      </c>
      <c r="O365" s="28">
        <f>IF(H365="","",IFERROR(INDEX(Services!$E$5:$E$54,MATCH(H365,Services!$B$5:$B$54,0)),""))</f>
        <v>0</v>
      </c>
      <c r="P365" s="29">
        <f>IF(H365="","",IFERROR(INDEX(Services!$G$5:$G$54,MATCH(H365,Services!$B$5:$B$54,0)),0))</f>
        <v>0</v>
      </c>
      <c r="Q365" s="29">
        <f>IF(H365="","",IF(IFERROR(INDEX(Services!$H$5:$H$54,MATCH(H365,Services!$B$5:$B$54,0)),0)=0,ExtraPetFeeDefault,IFERROR(INDEX(Services!$H$5:$H$54,MATCH(H365,Services!$B$5:$B$54,0)),0)))</f>
        <v>0</v>
      </c>
      <c r="R365" s="30">
        <f>IF(H365="","",IF(IFERROR(INDEX(Services!$I$5:$I$54,MATCH(H365,Services!$B$5:$B$54,0)),0)=0,HolidaySurcharge,IFERROR(INDEX(Services!$I$5:$I$54,MATCH(H365,Services!$B$5:$B$54,0)),0)))</f>
        <v>0</v>
      </c>
      <c r="S365" s="30">
        <f>IF(H365="","",IF(IFERROR(INDEX(Services!$J$5:$J$54,MATCH(H365,Services!$B$5:$B$54,0)),0)=0,WeekendSurcharge,IFERROR(INDEX(Services!$J$5:$J$54,MATCH(H365,Services!$B$5:$B$54,0)),0)))</f>
        <v>0</v>
      </c>
      <c r="T365" s="50">
        <f>IF(H365="","",IFERROR(INDEX(Services!$K$5:$K$54,MATCH(H365,Services!$B$5:$B$54,0)),"No"))</f>
        <v>0</v>
      </c>
      <c r="U365" s="29">
        <f>IF(H365="","",ROUND(IF(O365="Per hour",P365*IF(M365="",IF(N365="",1,N365),M365),P365*IF(N365="",1,N365)),2))</f>
        <v>0</v>
      </c>
      <c r="V365" s="29">
        <f>IF(H365="","",ROUND(MAX(0,IF(G365="",1,G365)-1)*Q365,2))</f>
        <v>0</v>
      </c>
      <c r="W365" s="50">
        <f>IF(I365="","",IF(COUNTIF(HolidayDates,I365)&gt;0,"Yes","No"))</f>
        <v>0</v>
      </c>
      <c r="X365" s="50">
        <f>IF(I365="","",IF(WEEKDAY(I365,2)&gt;5,"Yes","No"))</f>
        <v>0</v>
      </c>
      <c r="Y365" s="29">
        <f>IF(H365="","",ROUND((U365+V365)*(IF(W365="Yes",R365,0)+IF(X365="Yes",S365,0)),2))</f>
        <v>0</v>
      </c>
      <c r="AA365" s="29">
        <f>IF(H365="","",IF(T365&lt;&gt;"Yes",0,ROUND(MAX(0,IF(Z365="",0,Z365)-FreeTravelDistance)*TravelFeeRate,2)))</f>
        <v>0</v>
      </c>
      <c r="AB365" s="31">
        <f>IF(I365="","",TravelTimeMins)</f>
        <v>0</v>
      </c>
      <c r="AC365" s="29">
        <f>IF(OR(I365="",B365=""),0,IF(I365-B365&lt;=LastMinuteDays,EmergencyFee,0))</f>
        <v>0</v>
      </c>
      <c r="AF365" s="29">
        <f>IF(H365="","",ROUND((U365+V365+Y365+AA365+AC365)*IF(AE365="",0,AE365),2))</f>
        <v>0</v>
      </c>
      <c r="AI365" s="29">
        <f>IF(H365="","",IF(AG365&lt;&gt;"",AG365,ROUND(U365+V365+Y365+AA365+AC365-AF365,2)))</f>
        <v>0</v>
      </c>
      <c r="AJ365" s="29">
        <f>IF(AI365="","",IF(TaxRegistered&lt;&gt;"Yes",0,IF(PricesIncludeTax="Yes",ROUND(AI365-AI365/(1+TaxRate),2),ROUND(AI365*TaxRate,2))))</f>
        <v>0</v>
      </c>
      <c r="AK365" s="29">
        <f>IF(AI365="","",IF(PricesIncludeTax="Yes",AI365,ROUND(AI365+AJ365,2)))</f>
        <v>0</v>
      </c>
      <c r="AQ365" s="21">
        <f>IF(OR(I365="",AP365="",AP365="None"),"",IF(AP365="Monthly",EDATE(I365,1),I365+IF(AP365="Daily",1,IF(AP365="Weekdays",IF(WEEKDAY(I365,2)&gt;=5,8-WEEKDAY(I365,2),1),IF(AP365="Weekly",7,IF(AP365="Fortnightly",14,0))))))</f>
        <v>0</v>
      </c>
      <c r="AR365" s="49">
        <f>IF(OR(I365="",AL365="",K365="",L365=""),"",IF(SUMPRODUCT((Bookings!$AL$5:$AL$404=AL365)*(Bookings!$I$5:$I$404=I365)*(Bookings!$K$5:$K$404&lt;L365)*(Bookings!$L$5:$L$404&gt;K365)*(Bookings!$AM$5:$AM$404&lt;&gt;"Cancelled"))&gt;1,"Conflict - double booked","OK"))</f>
        <v>0</v>
      </c>
      <c r="AS365" s="50">
        <f>IF(A365="","",IF(COUNTIF('Visit Log'!$B$5:$B$404,A365)&gt;0,"Yes","No"))</f>
        <v>0</v>
      </c>
      <c r="AT365" s="28">
        <f>IF(A365="","",IFERROR(INDEX(Invoices!$A$5:$A$304,MATCH(A365,Invoices!$E$5:$E$304,0)),""))</f>
        <v>0</v>
      </c>
      <c r="AU365" s="49">
        <f>IF(A365="","",IF(AT365="","Not invoiced",IFERROR(INDEX(Invoices!$U$5:$U$304,MATCH(AT365,Invoices!$A$5:$A$304,0)),"")))</f>
        <v>0</v>
      </c>
      <c r="AY365" s="28">
        <f>IF(I365="","",TEXT(I365,"yyyy-mm"))</f>
        <v>0</v>
      </c>
      <c r="AZ365" s="49">
        <f>IF(I365="","",IF(AM365="Cancelled","Cancelled",IF(AND(I365&lt;TODAY(),OR(AM365="Pending",AM365="Confirmed",AM365="Enquiry")),"Overdue - update status",IF(AND(AM365="Completed",AS365="No"),"Action - log the visit",IF(I365=TODAY(),"Today",IF(AND(I365&gt;TODAY(),I365-TODAY()&lt;=ReminderLeadDays,AN365&lt;&gt;"Yes"),"Action - unconfirmed",IF(AND(I365&gt;TODAY(),I365-TODAY()&lt;=ReminderLeadDays),"Upcoming","OK")))))))</f>
        <v>0</v>
      </c>
    </row>
    <row r="366" spans="1:52">
      <c r="A366" s="46">
        <f>IF(C366="","",BookingPrefix&amp;TEXT(ROW()-4,"0000"))</f>
        <v>0</v>
      </c>
      <c r="D366" s="28">
        <f>IF(C366="","",IFERROR(INDEX(Clients!$A$5:$A$254,MATCH(C366,Clients!$B$5:$B$254,0)),""))</f>
        <v>0</v>
      </c>
      <c r="J366" s="50">
        <f>IF(I366="","",TEXT(I366,"ddd"))</f>
        <v>0</v>
      </c>
      <c r="M366" s="51">
        <f>IF(OR(K366="",L366=""),"",ROUND((L366-K366+IF(L366&lt;K366,1,0))*24,2))</f>
        <v>0</v>
      </c>
      <c r="O366" s="28">
        <f>IF(H366="","",IFERROR(INDEX(Services!$E$5:$E$54,MATCH(H366,Services!$B$5:$B$54,0)),""))</f>
        <v>0</v>
      </c>
      <c r="P366" s="29">
        <f>IF(H366="","",IFERROR(INDEX(Services!$G$5:$G$54,MATCH(H366,Services!$B$5:$B$54,0)),0))</f>
        <v>0</v>
      </c>
      <c r="Q366" s="29">
        <f>IF(H366="","",IF(IFERROR(INDEX(Services!$H$5:$H$54,MATCH(H366,Services!$B$5:$B$54,0)),0)=0,ExtraPetFeeDefault,IFERROR(INDEX(Services!$H$5:$H$54,MATCH(H366,Services!$B$5:$B$54,0)),0)))</f>
        <v>0</v>
      </c>
      <c r="R366" s="30">
        <f>IF(H366="","",IF(IFERROR(INDEX(Services!$I$5:$I$54,MATCH(H366,Services!$B$5:$B$54,0)),0)=0,HolidaySurcharge,IFERROR(INDEX(Services!$I$5:$I$54,MATCH(H366,Services!$B$5:$B$54,0)),0)))</f>
        <v>0</v>
      </c>
      <c r="S366" s="30">
        <f>IF(H366="","",IF(IFERROR(INDEX(Services!$J$5:$J$54,MATCH(H366,Services!$B$5:$B$54,0)),0)=0,WeekendSurcharge,IFERROR(INDEX(Services!$J$5:$J$54,MATCH(H366,Services!$B$5:$B$54,0)),0)))</f>
        <v>0</v>
      </c>
      <c r="T366" s="50">
        <f>IF(H366="","",IFERROR(INDEX(Services!$K$5:$K$54,MATCH(H366,Services!$B$5:$B$54,0)),"No"))</f>
        <v>0</v>
      </c>
      <c r="U366" s="29">
        <f>IF(H366="","",ROUND(IF(O366="Per hour",P366*IF(M366="",IF(N366="",1,N366),M366),P366*IF(N366="",1,N366)),2))</f>
        <v>0</v>
      </c>
      <c r="V366" s="29">
        <f>IF(H366="","",ROUND(MAX(0,IF(G366="",1,G366)-1)*Q366,2))</f>
        <v>0</v>
      </c>
      <c r="W366" s="50">
        <f>IF(I366="","",IF(COUNTIF(HolidayDates,I366)&gt;0,"Yes","No"))</f>
        <v>0</v>
      </c>
      <c r="X366" s="50">
        <f>IF(I366="","",IF(WEEKDAY(I366,2)&gt;5,"Yes","No"))</f>
        <v>0</v>
      </c>
      <c r="Y366" s="29">
        <f>IF(H366="","",ROUND((U366+V366)*(IF(W366="Yes",R366,0)+IF(X366="Yes",S366,0)),2))</f>
        <v>0</v>
      </c>
      <c r="AA366" s="29">
        <f>IF(H366="","",IF(T366&lt;&gt;"Yes",0,ROUND(MAX(0,IF(Z366="",0,Z366)-FreeTravelDistance)*TravelFeeRate,2)))</f>
        <v>0</v>
      </c>
      <c r="AB366" s="31">
        <f>IF(I366="","",TravelTimeMins)</f>
        <v>0</v>
      </c>
      <c r="AC366" s="29">
        <f>IF(OR(I366="",B366=""),0,IF(I366-B366&lt;=LastMinuteDays,EmergencyFee,0))</f>
        <v>0</v>
      </c>
      <c r="AF366" s="29">
        <f>IF(H366="","",ROUND((U366+V366+Y366+AA366+AC366)*IF(AE366="",0,AE366),2))</f>
        <v>0</v>
      </c>
      <c r="AI366" s="29">
        <f>IF(H366="","",IF(AG366&lt;&gt;"",AG366,ROUND(U366+V366+Y366+AA366+AC366-AF366,2)))</f>
        <v>0</v>
      </c>
      <c r="AJ366" s="29">
        <f>IF(AI366="","",IF(TaxRegistered&lt;&gt;"Yes",0,IF(PricesIncludeTax="Yes",ROUND(AI366-AI366/(1+TaxRate),2),ROUND(AI366*TaxRate,2))))</f>
        <v>0</v>
      </c>
      <c r="AK366" s="29">
        <f>IF(AI366="","",IF(PricesIncludeTax="Yes",AI366,ROUND(AI366+AJ366,2)))</f>
        <v>0</v>
      </c>
      <c r="AQ366" s="21">
        <f>IF(OR(I366="",AP366="",AP366="None"),"",IF(AP366="Monthly",EDATE(I366,1),I366+IF(AP366="Daily",1,IF(AP366="Weekdays",IF(WEEKDAY(I366,2)&gt;=5,8-WEEKDAY(I366,2),1),IF(AP366="Weekly",7,IF(AP366="Fortnightly",14,0))))))</f>
        <v>0</v>
      </c>
      <c r="AR366" s="49">
        <f>IF(OR(I366="",AL366="",K366="",L366=""),"",IF(SUMPRODUCT((Bookings!$AL$5:$AL$404=AL366)*(Bookings!$I$5:$I$404=I366)*(Bookings!$K$5:$K$404&lt;L366)*(Bookings!$L$5:$L$404&gt;K366)*(Bookings!$AM$5:$AM$404&lt;&gt;"Cancelled"))&gt;1,"Conflict - double booked","OK"))</f>
        <v>0</v>
      </c>
      <c r="AS366" s="50">
        <f>IF(A366="","",IF(COUNTIF('Visit Log'!$B$5:$B$404,A366)&gt;0,"Yes","No"))</f>
        <v>0</v>
      </c>
      <c r="AT366" s="28">
        <f>IF(A366="","",IFERROR(INDEX(Invoices!$A$5:$A$304,MATCH(A366,Invoices!$E$5:$E$304,0)),""))</f>
        <v>0</v>
      </c>
      <c r="AU366" s="49">
        <f>IF(A366="","",IF(AT366="","Not invoiced",IFERROR(INDEX(Invoices!$U$5:$U$304,MATCH(AT366,Invoices!$A$5:$A$304,0)),"")))</f>
        <v>0</v>
      </c>
      <c r="AY366" s="28">
        <f>IF(I366="","",TEXT(I366,"yyyy-mm"))</f>
        <v>0</v>
      </c>
      <c r="AZ366" s="49">
        <f>IF(I366="","",IF(AM366="Cancelled","Cancelled",IF(AND(I366&lt;TODAY(),OR(AM366="Pending",AM366="Confirmed",AM366="Enquiry")),"Overdue - update status",IF(AND(AM366="Completed",AS366="No"),"Action - log the visit",IF(I366=TODAY(),"Today",IF(AND(I366&gt;TODAY(),I366-TODAY()&lt;=ReminderLeadDays,AN366&lt;&gt;"Yes"),"Action - unconfirmed",IF(AND(I366&gt;TODAY(),I366-TODAY()&lt;=ReminderLeadDays),"Upcoming","OK")))))))</f>
        <v>0</v>
      </c>
    </row>
    <row r="367" spans="1:52">
      <c r="A367" s="46">
        <f>IF(C367="","",BookingPrefix&amp;TEXT(ROW()-4,"0000"))</f>
        <v>0</v>
      </c>
      <c r="D367" s="28">
        <f>IF(C367="","",IFERROR(INDEX(Clients!$A$5:$A$254,MATCH(C367,Clients!$B$5:$B$254,0)),""))</f>
        <v>0</v>
      </c>
      <c r="J367" s="50">
        <f>IF(I367="","",TEXT(I367,"ddd"))</f>
        <v>0</v>
      </c>
      <c r="M367" s="51">
        <f>IF(OR(K367="",L367=""),"",ROUND((L367-K367+IF(L367&lt;K367,1,0))*24,2))</f>
        <v>0</v>
      </c>
      <c r="O367" s="28">
        <f>IF(H367="","",IFERROR(INDEX(Services!$E$5:$E$54,MATCH(H367,Services!$B$5:$B$54,0)),""))</f>
        <v>0</v>
      </c>
      <c r="P367" s="29">
        <f>IF(H367="","",IFERROR(INDEX(Services!$G$5:$G$54,MATCH(H367,Services!$B$5:$B$54,0)),0))</f>
        <v>0</v>
      </c>
      <c r="Q367" s="29">
        <f>IF(H367="","",IF(IFERROR(INDEX(Services!$H$5:$H$54,MATCH(H367,Services!$B$5:$B$54,0)),0)=0,ExtraPetFeeDefault,IFERROR(INDEX(Services!$H$5:$H$54,MATCH(H367,Services!$B$5:$B$54,0)),0)))</f>
        <v>0</v>
      </c>
      <c r="R367" s="30">
        <f>IF(H367="","",IF(IFERROR(INDEX(Services!$I$5:$I$54,MATCH(H367,Services!$B$5:$B$54,0)),0)=0,HolidaySurcharge,IFERROR(INDEX(Services!$I$5:$I$54,MATCH(H367,Services!$B$5:$B$54,0)),0)))</f>
        <v>0</v>
      </c>
      <c r="S367" s="30">
        <f>IF(H367="","",IF(IFERROR(INDEX(Services!$J$5:$J$54,MATCH(H367,Services!$B$5:$B$54,0)),0)=0,WeekendSurcharge,IFERROR(INDEX(Services!$J$5:$J$54,MATCH(H367,Services!$B$5:$B$54,0)),0)))</f>
        <v>0</v>
      </c>
      <c r="T367" s="50">
        <f>IF(H367="","",IFERROR(INDEX(Services!$K$5:$K$54,MATCH(H367,Services!$B$5:$B$54,0)),"No"))</f>
        <v>0</v>
      </c>
      <c r="U367" s="29">
        <f>IF(H367="","",ROUND(IF(O367="Per hour",P367*IF(M367="",IF(N367="",1,N367),M367),P367*IF(N367="",1,N367)),2))</f>
        <v>0</v>
      </c>
      <c r="V367" s="29">
        <f>IF(H367="","",ROUND(MAX(0,IF(G367="",1,G367)-1)*Q367,2))</f>
        <v>0</v>
      </c>
      <c r="W367" s="50">
        <f>IF(I367="","",IF(COUNTIF(HolidayDates,I367)&gt;0,"Yes","No"))</f>
        <v>0</v>
      </c>
      <c r="X367" s="50">
        <f>IF(I367="","",IF(WEEKDAY(I367,2)&gt;5,"Yes","No"))</f>
        <v>0</v>
      </c>
      <c r="Y367" s="29">
        <f>IF(H367="","",ROUND((U367+V367)*(IF(W367="Yes",R367,0)+IF(X367="Yes",S367,0)),2))</f>
        <v>0</v>
      </c>
      <c r="AA367" s="29">
        <f>IF(H367="","",IF(T367&lt;&gt;"Yes",0,ROUND(MAX(0,IF(Z367="",0,Z367)-FreeTravelDistance)*TravelFeeRate,2)))</f>
        <v>0</v>
      </c>
      <c r="AB367" s="31">
        <f>IF(I367="","",TravelTimeMins)</f>
        <v>0</v>
      </c>
      <c r="AC367" s="29">
        <f>IF(OR(I367="",B367=""),0,IF(I367-B367&lt;=LastMinuteDays,EmergencyFee,0))</f>
        <v>0</v>
      </c>
      <c r="AF367" s="29">
        <f>IF(H367="","",ROUND((U367+V367+Y367+AA367+AC367)*IF(AE367="",0,AE367),2))</f>
        <v>0</v>
      </c>
      <c r="AI367" s="29">
        <f>IF(H367="","",IF(AG367&lt;&gt;"",AG367,ROUND(U367+V367+Y367+AA367+AC367-AF367,2)))</f>
        <v>0</v>
      </c>
      <c r="AJ367" s="29">
        <f>IF(AI367="","",IF(TaxRegistered&lt;&gt;"Yes",0,IF(PricesIncludeTax="Yes",ROUND(AI367-AI367/(1+TaxRate),2),ROUND(AI367*TaxRate,2))))</f>
        <v>0</v>
      </c>
      <c r="AK367" s="29">
        <f>IF(AI367="","",IF(PricesIncludeTax="Yes",AI367,ROUND(AI367+AJ367,2)))</f>
        <v>0</v>
      </c>
      <c r="AQ367" s="21">
        <f>IF(OR(I367="",AP367="",AP367="None"),"",IF(AP367="Monthly",EDATE(I367,1),I367+IF(AP367="Daily",1,IF(AP367="Weekdays",IF(WEEKDAY(I367,2)&gt;=5,8-WEEKDAY(I367,2),1),IF(AP367="Weekly",7,IF(AP367="Fortnightly",14,0))))))</f>
        <v>0</v>
      </c>
      <c r="AR367" s="49">
        <f>IF(OR(I367="",AL367="",K367="",L367=""),"",IF(SUMPRODUCT((Bookings!$AL$5:$AL$404=AL367)*(Bookings!$I$5:$I$404=I367)*(Bookings!$K$5:$K$404&lt;L367)*(Bookings!$L$5:$L$404&gt;K367)*(Bookings!$AM$5:$AM$404&lt;&gt;"Cancelled"))&gt;1,"Conflict - double booked","OK"))</f>
        <v>0</v>
      </c>
      <c r="AS367" s="50">
        <f>IF(A367="","",IF(COUNTIF('Visit Log'!$B$5:$B$404,A367)&gt;0,"Yes","No"))</f>
        <v>0</v>
      </c>
      <c r="AT367" s="28">
        <f>IF(A367="","",IFERROR(INDEX(Invoices!$A$5:$A$304,MATCH(A367,Invoices!$E$5:$E$304,0)),""))</f>
        <v>0</v>
      </c>
      <c r="AU367" s="49">
        <f>IF(A367="","",IF(AT367="","Not invoiced",IFERROR(INDEX(Invoices!$U$5:$U$304,MATCH(AT367,Invoices!$A$5:$A$304,0)),"")))</f>
        <v>0</v>
      </c>
      <c r="AY367" s="28">
        <f>IF(I367="","",TEXT(I367,"yyyy-mm"))</f>
        <v>0</v>
      </c>
      <c r="AZ367" s="49">
        <f>IF(I367="","",IF(AM367="Cancelled","Cancelled",IF(AND(I367&lt;TODAY(),OR(AM367="Pending",AM367="Confirmed",AM367="Enquiry")),"Overdue - update status",IF(AND(AM367="Completed",AS367="No"),"Action - log the visit",IF(I367=TODAY(),"Today",IF(AND(I367&gt;TODAY(),I367-TODAY()&lt;=ReminderLeadDays,AN367&lt;&gt;"Yes"),"Action - unconfirmed",IF(AND(I367&gt;TODAY(),I367-TODAY()&lt;=ReminderLeadDays),"Upcoming","OK")))))))</f>
        <v>0</v>
      </c>
    </row>
    <row r="368" spans="1:52">
      <c r="A368" s="46">
        <f>IF(C368="","",BookingPrefix&amp;TEXT(ROW()-4,"0000"))</f>
        <v>0</v>
      </c>
      <c r="D368" s="28">
        <f>IF(C368="","",IFERROR(INDEX(Clients!$A$5:$A$254,MATCH(C368,Clients!$B$5:$B$254,0)),""))</f>
        <v>0</v>
      </c>
      <c r="J368" s="50">
        <f>IF(I368="","",TEXT(I368,"ddd"))</f>
        <v>0</v>
      </c>
      <c r="M368" s="51">
        <f>IF(OR(K368="",L368=""),"",ROUND((L368-K368+IF(L368&lt;K368,1,0))*24,2))</f>
        <v>0</v>
      </c>
      <c r="O368" s="28">
        <f>IF(H368="","",IFERROR(INDEX(Services!$E$5:$E$54,MATCH(H368,Services!$B$5:$B$54,0)),""))</f>
        <v>0</v>
      </c>
      <c r="P368" s="29">
        <f>IF(H368="","",IFERROR(INDEX(Services!$G$5:$G$54,MATCH(H368,Services!$B$5:$B$54,0)),0))</f>
        <v>0</v>
      </c>
      <c r="Q368" s="29">
        <f>IF(H368="","",IF(IFERROR(INDEX(Services!$H$5:$H$54,MATCH(H368,Services!$B$5:$B$54,0)),0)=0,ExtraPetFeeDefault,IFERROR(INDEX(Services!$H$5:$H$54,MATCH(H368,Services!$B$5:$B$54,0)),0)))</f>
        <v>0</v>
      </c>
      <c r="R368" s="30">
        <f>IF(H368="","",IF(IFERROR(INDEX(Services!$I$5:$I$54,MATCH(H368,Services!$B$5:$B$54,0)),0)=0,HolidaySurcharge,IFERROR(INDEX(Services!$I$5:$I$54,MATCH(H368,Services!$B$5:$B$54,0)),0)))</f>
        <v>0</v>
      </c>
      <c r="S368" s="30">
        <f>IF(H368="","",IF(IFERROR(INDEX(Services!$J$5:$J$54,MATCH(H368,Services!$B$5:$B$54,0)),0)=0,WeekendSurcharge,IFERROR(INDEX(Services!$J$5:$J$54,MATCH(H368,Services!$B$5:$B$54,0)),0)))</f>
        <v>0</v>
      </c>
      <c r="T368" s="50">
        <f>IF(H368="","",IFERROR(INDEX(Services!$K$5:$K$54,MATCH(H368,Services!$B$5:$B$54,0)),"No"))</f>
        <v>0</v>
      </c>
      <c r="U368" s="29">
        <f>IF(H368="","",ROUND(IF(O368="Per hour",P368*IF(M368="",IF(N368="",1,N368),M368),P368*IF(N368="",1,N368)),2))</f>
        <v>0</v>
      </c>
      <c r="V368" s="29">
        <f>IF(H368="","",ROUND(MAX(0,IF(G368="",1,G368)-1)*Q368,2))</f>
        <v>0</v>
      </c>
      <c r="W368" s="50">
        <f>IF(I368="","",IF(COUNTIF(HolidayDates,I368)&gt;0,"Yes","No"))</f>
        <v>0</v>
      </c>
      <c r="X368" s="50">
        <f>IF(I368="","",IF(WEEKDAY(I368,2)&gt;5,"Yes","No"))</f>
        <v>0</v>
      </c>
      <c r="Y368" s="29">
        <f>IF(H368="","",ROUND((U368+V368)*(IF(W368="Yes",R368,0)+IF(X368="Yes",S368,0)),2))</f>
        <v>0</v>
      </c>
      <c r="AA368" s="29">
        <f>IF(H368="","",IF(T368&lt;&gt;"Yes",0,ROUND(MAX(0,IF(Z368="",0,Z368)-FreeTravelDistance)*TravelFeeRate,2)))</f>
        <v>0</v>
      </c>
      <c r="AB368" s="31">
        <f>IF(I368="","",TravelTimeMins)</f>
        <v>0</v>
      </c>
      <c r="AC368" s="29">
        <f>IF(OR(I368="",B368=""),0,IF(I368-B368&lt;=LastMinuteDays,EmergencyFee,0))</f>
        <v>0</v>
      </c>
      <c r="AF368" s="29">
        <f>IF(H368="","",ROUND((U368+V368+Y368+AA368+AC368)*IF(AE368="",0,AE368),2))</f>
        <v>0</v>
      </c>
      <c r="AI368" s="29">
        <f>IF(H368="","",IF(AG368&lt;&gt;"",AG368,ROUND(U368+V368+Y368+AA368+AC368-AF368,2)))</f>
        <v>0</v>
      </c>
      <c r="AJ368" s="29">
        <f>IF(AI368="","",IF(TaxRegistered&lt;&gt;"Yes",0,IF(PricesIncludeTax="Yes",ROUND(AI368-AI368/(1+TaxRate),2),ROUND(AI368*TaxRate,2))))</f>
        <v>0</v>
      </c>
      <c r="AK368" s="29">
        <f>IF(AI368="","",IF(PricesIncludeTax="Yes",AI368,ROUND(AI368+AJ368,2)))</f>
        <v>0</v>
      </c>
      <c r="AQ368" s="21">
        <f>IF(OR(I368="",AP368="",AP368="None"),"",IF(AP368="Monthly",EDATE(I368,1),I368+IF(AP368="Daily",1,IF(AP368="Weekdays",IF(WEEKDAY(I368,2)&gt;=5,8-WEEKDAY(I368,2),1),IF(AP368="Weekly",7,IF(AP368="Fortnightly",14,0))))))</f>
        <v>0</v>
      </c>
      <c r="AR368" s="49">
        <f>IF(OR(I368="",AL368="",K368="",L368=""),"",IF(SUMPRODUCT((Bookings!$AL$5:$AL$404=AL368)*(Bookings!$I$5:$I$404=I368)*(Bookings!$K$5:$K$404&lt;L368)*(Bookings!$L$5:$L$404&gt;K368)*(Bookings!$AM$5:$AM$404&lt;&gt;"Cancelled"))&gt;1,"Conflict - double booked","OK"))</f>
        <v>0</v>
      </c>
      <c r="AS368" s="50">
        <f>IF(A368="","",IF(COUNTIF('Visit Log'!$B$5:$B$404,A368)&gt;0,"Yes","No"))</f>
        <v>0</v>
      </c>
      <c r="AT368" s="28">
        <f>IF(A368="","",IFERROR(INDEX(Invoices!$A$5:$A$304,MATCH(A368,Invoices!$E$5:$E$304,0)),""))</f>
        <v>0</v>
      </c>
      <c r="AU368" s="49">
        <f>IF(A368="","",IF(AT368="","Not invoiced",IFERROR(INDEX(Invoices!$U$5:$U$304,MATCH(AT368,Invoices!$A$5:$A$304,0)),"")))</f>
        <v>0</v>
      </c>
      <c r="AY368" s="28">
        <f>IF(I368="","",TEXT(I368,"yyyy-mm"))</f>
        <v>0</v>
      </c>
      <c r="AZ368" s="49">
        <f>IF(I368="","",IF(AM368="Cancelled","Cancelled",IF(AND(I368&lt;TODAY(),OR(AM368="Pending",AM368="Confirmed",AM368="Enquiry")),"Overdue - update status",IF(AND(AM368="Completed",AS368="No"),"Action - log the visit",IF(I368=TODAY(),"Today",IF(AND(I368&gt;TODAY(),I368-TODAY()&lt;=ReminderLeadDays,AN368&lt;&gt;"Yes"),"Action - unconfirmed",IF(AND(I368&gt;TODAY(),I368-TODAY()&lt;=ReminderLeadDays),"Upcoming","OK")))))))</f>
        <v>0</v>
      </c>
    </row>
    <row r="369" spans="1:52">
      <c r="A369" s="46">
        <f>IF(C369="","",BookingPrefix&amp;TEXT(ROW()-4,"0000"))</f>
        <v>0</v>
      </c>
      <c r="D369" s="28">
        <f>IF(C369="","",IFERROR(INDEX(Clients!$A$5:$A$254,MATCH(C369,Clients!$B$5:$B$254,0)),""))</f>
        <v>0</v>
      </c>
      <c r="J369" s="50">
        <f>IF(I369="","",TEXT(I369,"ddd"))</f>
        <v>0</v>
      </c>
      <c r="M369" s="51">
        <f>IF(OR(K369="",L369=""),"",ROUND((L369-K369+IF(L369&lt;K369,1,0))*24,2))</f>
        <v>0</v>
      </c>
      <c r="O369" s="28">
        <f>IF(H369="","",IFERROR(INDEX(Services!$E$5:$E$54,MATCH(H369,Services!$B$5:$B$54,0)),""))</f>
        <v>0</v>
      </c>
      <c r="P369" s="29">
        <f>IF(H369="","",IFERROR(INDEX(Services!$G$5:$G$54,MATCH(H369,Services!$B$5:$B$54,0)),0))</f>
        <v>0</v>
      </c>
      <c r="Q369" s="29">
        <f>IF(H369="","",IF(IFERROR(INDEX(Services!$H$5:$H$54,MATCH(H369,Services!$B$5:$B$54,0)),0)=0,ExtraPetFeeDefault,IFERROR(INDEX(Services!$H$5:$H$54,MATCH(H369,Services!$B$5:$B$54,0)),0)))</f>
        <v>0</v>
      </c>
      <c r="R369" s="30">
        <f>IF(H369="","",IF(IFERROR(INDEX(Services!$I$5:$I$54,MATCH(H369,Services!$B$5:$B$54,0)),0)=0,HolidaySurcharge,IFERROR(INDEX(Services!$I$5:$I$54,MATCH(H369,Services!$B$5:$B$54,0)),0)))</f>
        <v>0</v>
      </c>
      <c r="S369" s="30">
        <f>IF(H369="","",IF(IFERROR(INDEX(Services!$J$5:$J$54,MATCH(H369,Services!$B$5:$B$54,0)),0)=0,WeekendSurcharge,IFERROR(INDEX(Services!$J$5:$J$54,MATCH(H369,Services!$B$5:$B$54,0)),0)))</f>
        <v>0</v>
      </c>
      <c r="T369" s="50">
        <f>IF(H369="","",IFERROR(INDEX(Services!$K$5:$K$54,MATCH(H369,Services!$B$5:$B$54,0)),"No"))</f>
        <v>0</v>
      </c>
      <c r="U369" s="29">
        <f>IF(H369="","",ROUND(IF(O369="Per hour",P369*IF(M369="",IF(N369="",1,N369),M369),P369*IF(N369="",1,N369)),2))</f>
        <v>0</v>
      </c>
      <c r="V369" s="29">
        <f>IF(H369="","",ROUND(MAX(0,IF(G369="",1,G369)-1)*Q369,2))</f>
        <v>0</v>
      </c>
      <c r="W369" s="50">
        <f>IF(I369="","",IF(COUNTIF(HolidayDates,I369)&gt;0,"Yes","No"))</f>
        <v>0</v>
      </c>
      <c r="X369" s="50">
        <f>IF(I369="","",IF(WEEKDAY(I369,2)&gt;5,"Yes","No"))</f>
        <v>0</v>
      </c>
      <c r="Y369" s="29">
        <f>IF(H369="","",ROUND((U369+V369)*(IF(W369="Yes",R369,0)+IF(X369="Yes",S369,0)),2))</f>
        <v>0</v>
      </c>
      <c r="AA369" s="29">
        <f>IF(H369="","",IF(T369&lt;&gt;"Yes",0,ROUND(MAX(0,IF(Z369="",0,Z369)-FreeTravelDistance)*TravelFeeRate,2)))</f>
        <v>0</v>
      </c>
      <c r="AB369" s="31">
        <f>IF(I369="","",TravelTimeMins)</f>
        <v>0</v>
      </c>
      <c r="AC369" s="29">
        <f>IF(OR(I369="",B369=""),0,IF(I369-B369&lt;=LastMinuteDays,EmergencyFee,0))</f>
        <v>0</v>
      </c>
      <c r="AF369" s="29">
        <f>IF(H369="","",ROUND((U369+V369+Y369+AA369+AC369)*IF(AE369="",0,AE369),2))</f>
        <v>0</v>
      </c>
      <c r="AI369" s="29">
        <f>IF(H369="","",IF(AG369&lt;&gt;"",AG369,ROUND(U369+V369+Y369+AA369+AC369-AF369,2)))</f>
        <v>0</v>
      </c>
      <c r="AJ369" s="29">
        <f>IF(AI369="","",IF(TaxRegistered&lt;&gt;"Yes",0,IF(PricesIncludeTax="Yes",ROUND(AI369-AI369/(1+TaxRate),2),ROUND(AI369*TaxRate,2))))</f>
        <v>0</v>
      </c>
      <c r="AK369" s="29">
        <f>IF(AI369="","",IF(PricesIncludeTax="Yes",AI369,ROUND(AI369+AJ369,2)))</f>
        <v>0</v>
      </c>
      <c r="AQ369" s="21">
        <f>IF(OR(I369="",AP369="",AP369="None"),"",IF(AP369="Monthly",EDATE(I369,1),I369+IF(AP369="Daily",1,IF(AP369="Weekdays",IF(WEEKDAY(I369,2)&gt;=5,8-WEEKDAY(I369,2),1),IF(AP369="Weekly",7,IF(AP369="Fortnightly",14,0))))))</f>
        <v>0</v>
      </c>
      <c r="AR369" s="49">
        <f>IF(OR(I369="",AL369="",K369="",L369=""),"",IF(SUMPRODUCT((Bookings!$AL$5:$AL$404=AL369)*(Bookings!$I$5:$I$404=I369)*(Bookings!$K$5:$K$404&lt;L369)*(Bookings!$L$5:$L$404&gt;K369)*(Bookings!$AM$5:$AM$404&lt;&gt;"Cancelled"))&gt;1,"Conflict - double booked","OK"))</f>
        <v>0</v>
      </c>
      <c r="AS369" s="50">
        <f>IF(A369="","",IF(COUNTIF('Visit Log'!$B$5:$B$404,A369)&gt;0,"Yes","No"))</f>
        <v>0</v>
      </c>
      <c r="AT369" s="28">
        <f>IF(A369="","",IFERROR(INDEX(Invoices!$A$5:$A$304,MATCH(A369,Invoices!$E$5:$E$304,0)),""))</f>
        <v>0</v>
      </c>
      <c r="AU369" s="49">
        <f>IF(A369="","",IF(AT369="","Not invoiced",IFERROR(INDEX(Invoices!$U$5:$U$304,MATCH(AT369,Invoices!$A$5:$A$304,0)),"")))</f>
        <v>0</v>
      </c>
      <c r="AY369" s="28">
        <f>IF(I369="","",TEXT(I369,"yyyy-mm"))</f>
        <v>0</v>
      </c>
      <c r="AZ369" s="49">
        <f>IF(I369="","",IF(AM369="Cancelled","Cancelled",IF(AND(I369&lt;TODAY(),OR(AM369="Pending",AM369="Confirmed",AM369="Enquiry")),"Overdue - update status",IF(AND(AM369="Completed",AS369="No"),"Action - log the visit",IF(I369=TODAY(),"Today",IF(AND(I369&gt;TODAY(),I369-TODAY()&lt;=ReminderLeadDays,AN369&lt;&gt;"Yes"),"Action - unconfirmed",IF(AND(I369&gt;TODAY(),I369-TODAY()&lt;=ReminderLeadDays),"Upcoming","OK")))))))</f>
        <v>0</v>
      </c>
    </row>
    <row r="370" spans="1:52">
      <c r="A370" s="46">
        <f>IF(C370="","",BookingPrefix&amp;TEXT(ROW()-4,"0000"))</f>
        <v>0</v>
      </c>
      <c r="D370" s="28">
        <f>IF(C370="","",IFERROR(INDEX(Clients!$A$5:$A$254,MATCH(C370,Clients!$B$5:$B$254,0)),""))</f>
        <v>0</v>
      </c>
      <c r="J370" s="50">
        <f>IF(I370="","",TEXT(I370,"ddd"))</f>
        <v>0</v>
      </c>
      <c r="M370" s="51">
        <f>IF(OR(K370="",L370=""),"",ROUND((L370-K370+IF(L370&lt;K370,1,0))*24,2))</f>
        <v>0</v>
      </c>
      <c r="O370" s="28">
        <f>IF(H370="","",IFERROR(INDEX(Services!$E$5:$E$54,MATCH(H370,Services!$B$5:$B$54,0)),""))</f>
        <v>0</v>
      </c>
      <c r="P370" s="29">
        <f>IF(H370="","",IFERROR(INDEX(Services!$G$5:$G$54,MATCH(H370,Services!$B$5:$B$54,0)),0))</f>
        <v>0</v>
      </c>
      <c r="Q370" s="29">
        <f>IF(H370="","",IF(IFERROR(INDEX(Services!$H$5:$H$54,MATCH(H370,Services!$B$5:$B$54,0)),0)=0,ExtraPetFeeDefault,IFERROR(INDEX(Services!$H$5:$H$54,MATCH(H370,Services!$B$5:$B$54,0)),0)))</f>
        <v>0</v>
      </c>
      <c r="R370" s="30">
        <f>IF(H370="","",IF(IFERROR(INDEX(Services!$I$5:$I$54,MATCH(H370,Services!$B$5:$B$54,0)),0)=0,HolidaySurcharge,IFERROR(INDEX(Services!$I$5:$I$54,MATCH(H370,Services!$B$5:$B$54,0)),0)))</f>
        <v>0</v>
      </c>
      <c r="S370" s="30">
        <f>IF(H370="","",IF(IFERROR(INDEX(Services!$J$5:$J$54,MATCH(H370,Services!$B$5:$B$54,0)),0)=0,WeekendSurcharge,IFERROR(INDEX(Services!$J$5:$J$54,MATCH(H370,Services!$B$5:$B$54,0)),0)))</f>
        <v>0</v>
      </c>
      <c r="T370" s="50">
        <f>IF(H370="","",IFERROR(INDEX(Services!$K$5:$K$54,MATCH(H370,Services!$B$5:$B$54,0)),"No"))</f>
        <v>0</v>
      </c>
      <c r="U370" s="29">
        <f>IF(H370="","",ROUND(IF(O370="Per hour",P370*IF(M370="",IF(N370="",1,N370),M370),P370*IF(N370="",1,N370)),2))</f>
        <v>0</v>
      </c>
      <c r="V370" s="29">
        <f>IF(H370="","",ROUND(MAX(0,IF(G370="",1,G370)-1)*Q370,2))</f>
        <v>0</v>
      </c>
      <c r="W370" s="50">
        <f>IF(I370="","",IF(COUNTIF(HolidayDates,I370)&gt;0,"Yes","No"))</f>
        <v>0</v>
      </c>
      <c r="X370" s="50">
        <f>IF(I370="","",IF(WEEKDAY(I370,2)&gt;5,"Yes","No"))</f>
        <v>0</v>
      </c>
      <c r="Y370" s="29">
        <f>IF(H370="","",ROUND((U370+V370)*(IF(W370="Yes",R370,0)+IF(X370="Yes",S370,0)),2))</f>
        <v>0</v>
      </c>
      <c r="AA370" s="29">
        <f>IF(H370="","",IF(T370&lt;&gt;"Yes",0,ROUND(MAX(0,IF(Z370="",0,Z370)-FreeTravelDistance)*TravelFeeRate,2)))</f>
        <v>0</v>
      </c>
      <c r="AB370" s="31">
        <f>IF(I370="","",TravelTimeMins)</f>
        <v>0</v>
      </c>
      <c r="AC370" s="29">
        <f>IF(OR(I370="",B370=""),0,IF(I370-B370&lt;=LastMinuteDays,EmergencyFee,0))</f>
        <v>0</v>
      </c>
      <c r="AF370" s="29">
        <f>IF(H370="","",ROUND((U370+V370+Y370+AA370+AC370)*IF(AE370="",0,AE370),2))</f>
        <v>0</v>
      </c>
      <c r="AI370" s="29">
        <f>IF(H370="","",IF(AG370&lt;&gt;"",AG370,ROUND(U370+V370+Y370+AA370+AC370-AF370,2)))</f>
        <v>0</v>
      </c>
      <c r="AJ370" s="29">
        <f>IF(AI370="","",IF(TaxRegistered&lt;&gt;"Yes",0,IF(PricesIncludeTax="Yes",ROUND(AI370-AI370/(1+TaxRate),2),ROUND(AI370*TaxRate,2))))</f>
        <v>0</v>
      </c>
      <c r="AK370" s="29">
        <f>IF(AI370="","",IF(PricesIncludeTax="Yes",AI370,ROUND(AI370+AJ370,2)))</f>
        <v>0</v>
      </c>
      <c r="AQ370" s="21">
        <f>IF(OR(I370="",AP370="",AP370="None"),"",IF(AP370="Monthly",EDATE(I370,1),I370+IF(AP370="Daily",1,IF(AP370="Weekdays",IF(WEEKDAY(I370,2)&gt;=5,8-WEEKDAY(I370,2),1),IF(AP370="Weekly",7,IF(AP370="Fortnightly",14,0))))))</f>
        <v>0</v>
      </c>
      <c r="AR370" s="49">
        <f>IF(OR(I370="",AL370="",K370="",L370=""),"",IF(SUMPRODUCT((Bookings!$AL$5:$AL$404=AL370)*(Bookings!$I$5:$I$404=I370)*(Bookings!$K$5:$K$404&lt;L370)*(Bookings!$L$5:$L$404&gt;K370)*(Bookings!$AM$5:$AM$404&lt;&gt;"Cancelled"))&gt;1,"Conflict - double booked","OK"))</f>
        <v>0</v>
      </c>
      <c r="AS370" s="50">
        <f>IF(A370="","",IF(COUNTIF('Visit Log'!$B$5:$B$404,A370)&gt;0,"Yes","No"))</f>
        <v>0</v>
      </c>
      <c r="AT370" s="28">
        <f>IF(A370="","",IFERROR(INDEX(Invoices!$A$5:$A$304,MATCH(A370,Invoices!$E$5:$E$304,0)),""))</f>
        <v>0</v>
      </c>
      <c r="AU370" s="49">
        <f>IF(A370="","",IF(AT370="","Not invoiced",IFERROR(INDEX(Invoices!$U$5:$U$304,MATCH(AT370,Invoices!$A$5:$A$304,0)),"")))</f>
        <v>0</v>
      </c>
      <c r="AY370" s="28">
        <f>IF(I370="","",TEXT(I370,"yyyy-mm"))</f>
        <v>0</v>
      </c>
      <c r="AZ370" s="49">
        <f>IF(I370="","",IF(AM370="Cancelled","Cancelled",IF(AND(I370&lt;TODAY(),OR(AM370="Pending",AM370="Confirmed",AM370="Enquiry")),"Overdue - update status",IF(AND(AM370="Completed",AS370="No"),"Action - log the visit",IF(I370=TODAY(),"Today",IF(AND(I370&gt;TODAY(),I370-TODAY()&lt;=ReminderLeadDays,AN370&lt;&gt;"Yes"),"Action - unconfirmed",IF(AND(I370&gt;TODAY(),I370-TODAY()&lt;=ReminderLeadDays),"Upcoming","OK")))))))</f>
        <v>0</v>
      </c>
    </row>
    <row r="371" spans="1:52">
      <c r="A371" s="46">
        <f>IF(C371="","",BookingPrefix&amp;TEXT(ROW()-4,"0000"))</f>
        <v>0</v>
      </c>
      <c r="D371" s="28">
        <f>IF(C371="","",IFERROR(INDEX(Clients!$A$5:$A$254,MATCH(C371,Clients!$B$5:$B$254,0)),""))</f>
        <v>0</v>
      </c>
      <c r="J371" s="50">
        <f>IF(I371="","",TEXT(I371,"ddd"))</f>
        <v>0</v>
      </c>
      <c r="M371" s="51">
        <f>IF(OR(K371="",L371=""),"",ROUND((L371-K371+IF(L371&lt;K371,1,0))*24,2))</f>
        <v>0</v>
      </c>
      <c r="O371" s="28">
        <f>IF(H371="","",IFERROR(INDEX(Services!$E$5:$E$54,MATCH(H371,Services!$B$5:$B$54,0)),""))</f>
        <v>0</v>
      </c>
      <c r="P371" s="29">
        <f>IF(H371="","",IFERROR(INDEX(Services!$G$5:$G$54,MATCH(H371,Services!$B$5:$B$54,0)),0))</f>
        <v>0</v>
      </c>
      <c r="Q371" s="29">
        <f>IF(H371="","",IF(IFERROR(INDEX(Services!$H$5:$H$54,MATCH(H371,Services!$B$5:$B$54,0)),0)=0,ExtraPetFeeDefault,IFERROR(INDEX(Services!$H$5:$H$54,MATCH(H371,Services!$B$5:$B$54,0)),0)))</f>
        <v>0</v>
      </c>
      <c r="R371" s="30">
        <f>IF(H371="","",IF(IFERROR(INDEX(Services!$I$5:$I$54,MATCH(H371,Services!$B$5:$B$54,0)),0)=0,HolidaySurcharge,IFERROR(INDEX(Services!$I$5:$I$54,MATCH(H371,Services!$B$5:$B$54,0)),0)))</f>
        <v>0</v>
      </c>
      <c r="S371" s="30">
        <f>IF(H371="","",IF(IFERROR(INDEX(Services!$J$5:$J$54,MATCH(H371,Services!$B$5:$B$54,0)),0)=0,WeekendSurcharge,IFERROR(INDEX(Services!$J$5:$J$54,MATCH(H371,Services!$B$5:$B$54,0)),0)))</f>
        <v>0</v>
      </c>
      <c r="T371" s="50">
        <f>IF(H371="","",IFERROR(INDEX(Services!$K$5:$K$54,MATCH(H371,Services!$B$5:$B$54,0)),"No"))</f>
        <v>0</v>
      </c>
      <c r="U371" s="29">
        <f>IF(H371="","",ROUND(IF(O371="Per hour",P371*IF(M371="",IF(N371="",1,N371),M371),P371*IF(N371="",1,N371)),2))</f>
        <v>0</v>
      </c>
      <c r="V371" s="29">
        <f>IF(H371="","",ROUND(MAX(0,IF(G371="",1,G371)-1)*Q371,2))</f>
        <v>0</v>
      </c>
      <c r="W371" s="50">
        <f>IF(I371="","",IF(COUNTIF(HolidayDates,I371)&gt;0,"Yes","No"))</f>
        <v>0</v>
      </c>
      <c r="X371" s="50">
        <f>IF(I371="","",IF(WEEKDAY(I371,2)&gt;5,"Yes","No"))</f>
        <v>0</v>
      </c>
      <c r="Y371" s="29">
        <f>IF(H371="","",ROUND((U371+V371)*(IF(W371="Yes",R371,0)+IF(X371="Yes",S371,0)),2))</f>
        <v>0</v>
      </c>
      <c r="AA371" s="29">
        <f>IF(H371="","",IF(T371&lt;&gt;"Yes",0,ROUND(MAX(0,IF(Z371="",0,Z371)-FreeTravelDistance)*TravelFeeRate,2)))</f>
        <v>0</v>
      </c>
      <c r="AB371" s="31">
        <f>IF(I371="","",TravelTimeMins)</f>
        <v>0</v>
      </c>
      <c r="AC371" s="29">
        <f>IF(OR(I371="",B371=""),0,IF(I371-B371&lt;=LastMinuteDays,EmergencyFee,0))</f>
        <v>0</v>
      </c>
      <c r="AF371" s="29">
        <f>IF(H371="","",ROUND((U371+V371+Y371+AA371+AC371)*IF(AE371="",0,AE371),2))</f>
        <v>0</v>
      </c>
      <c r="AI371" s="29">
        <f>IF(H371="","",IF(AG371&lt;&gt;"",AG371,ROUND(U371+V371+Y371+AA371+AC371-AF371,2)))</f>
        <v>0</v>
      </c>
      <c r="AJ371" s="29">
        <f>IF(AI371="","",IF(TaxRegistered&lt;&gt;"Yes",0,IF(PricesIncludeTax="Yes",ROUND(AI371-AI371/(1+TaxRate),2),ROUND(AI371*TaxRate,2))))</f>
        <v>0</v>
      </c>
      <c r="AK371" s="29">
        <f>IF(AI371="","",IF(PricesIncludeTax="Yes",AI371,ROUND(AI371+AJ371,2)))</f>
        <v>0</v>
      </c>
      <c r="AQ371" s="21">
        <f>IF(OR(I371="",AP371="",AP371="None"),"",IF(AP371="Monthly",EDATE(I371,1),I371+IF(AP371="Daily",1,IF(AP371="Weekdays",IF(WEEKDAY(I371,2)&gt;=5,8-WEEKDAY(I371,2),1),IF(AP371="Weekly",7,IF(AP371="Fortnightly",14,0))))))</f>
        <v>0</v>
      </c>
      <c r="AR371" s="49">
        <f>IF(OR(I371="",AL371="",K371="",L371=""),"",IF(SUMPRODUCT((Bookings!$AL$5:$AL$404=AL371)*(Bookings!$I$5:$I$404=I371)*(Bookings!$K$5:$K$404&lt;L371)*(Bookings!$L$5:$L$404&gt;K371)*(Bookings!$AM$5:$AM$404&lt;&gt;"Cancelled"))&gt;1,"Conflict - double booked","OK"))</f>
        <v>0</v>
      </c>
      <c r="AS371" s="50">
        <f>IF(A371="","",IF(COUNTIF('Visit Log'!$B$5:$B$404,A371)&gt;0,"Yes","No"))</f>
        <v>0</v>
      </c>
      <c r="AT371" s="28">
        <f>IF(A371="","",IFERROR(INDEX(Invoices!$A$5:$A$304,MATCH(A371,Invoices!$E$5:$E$304,0)),""))</f>
        <v>0</v>
      </c>
      <c r="AU371" s="49">
        <f>IF(A371="","",IF(AT371="","Not invoiced",IFERROR(INDEX(Invoices!$U$5:$U$304,MATCH(AT371,Invoices!$A$5:$A$304,0)),"")))</f>
        <v>0</v>
      </c>
      <c r="AY371" s="28">
        <f>IF(I371="","",TEXT(I371,"yyyy-mm"))</f>
        <v>0</v>
      </c>
      <c r="AZ371" s="49">
        <f>IF(I371="","",IF(AM371="Cancelled","Cancelled",IF(AND(I371&lt;TODAY(),OR(AM371="Pending",AM371="Confirmed",AM371="Enquiry")),"Overdue - update status",IF(AND(AM371="Completed",AS371="No"),"Action - log the visit",IF(I371=TODAY(),"Today",IF(AND(I371&gt;TODAY(),I371-TODAY()&lt;=ReminderLeadDays,AN371&lt;&gt;"Yes"),"Action - unconfirmed",IF(AND(I371&gt;TODAY(),I371-TODAY()&lt;=ReminderLeadDays),"Upcoming","OK")))))))</f>
        <v>0</v>
      </c>
    </row>
    <row r="372" spans="1:52">
      <c r="A372" s="46">
        <f>IF(C372="","",BookingPrefix&amp;TEXT(ROW()-4,"0000"))</f>
        <v>0</v>
      </c>
      <c r="D372" s="28">
        <f>IF(C372="","",IFERROR(INDEX(Clients!$A$5:$A$254,MATCH(C372,Clients!$B$5:$B$254,0)),""))</f>
        <v>0</v>
      </c>
      <c r="J372" s="50">
        <f>IF(I372="","",TEXT(I372,"ddd"))</f>
        <v>0</v>
      </c>
      <c r="M372" s="51">
        <f>IF(OR(K372="",L372=""),"",ROUND((L372-K372+IF(L372&lt;K372,1,0))*24,2))</f>
        <v>0</v>
      </c>
      <c r="O372" s="28">
        <f>IF(H372="","",IFERROR(INDEX(Services!$E$5:$E$54,MATCH(H372,Services!$B$5:$B$54,0)),""))</f>
        <v>0</v>
      </c>
      <c r="P372" s="29">
        <f>IF(H372="","",IFERROR(INDEX(Services!$G$5:$G$54,MATCH(H372,Services!$B$5:$B$54,0)),0))</f>
        <v>0</v>
      </c>
      <c r="Q372" s="29">
        <f>IF(H372="","",IF(IFERROR(INDEX(Services!$H$5:$H$54,MATCH(H372,Services!$B$5:$B$54,0)),0)=0,ExtraPetFeeDefault,IFERROR(INDEX(Services!$H$5:$H$54,MATCH(H372,Services!$B$5:$B$54,0)),0)))</f>
        <v>0</v>
      </c>
      <c r="R372" s="30">
        <f>IF(H372="","",IF(IFERROR(INDEX(Services!$I$5:$I$54,MATCH(H372,Services!$B$5:$B$54,0)),0)=0,HolidaySurcharge,IFERROR(INDEX(Services!$I$5:$I$54,MATCH(H372,Services!$B$5:$B$54,0)),0)))</f>
        <v>0</v>
      </c>
      <c r="S372" s="30">
        <f>IF(H372="","",IF(IFERROR(INDEX(Services!$J$5:$J$54,MATCH(H372,Services!$B$5:$B$54,0)),0)=0,WeekendSurcharge,IFERROR(INDEX(Services!$J$5:$J$54,MATCH(H372,Services!$B$5:$B$54,0)),0)))</f>
        <v>0</v>
      </c>
      <c r="T372" s="50">
        <f>IF(H372="","",IFERROR(INDEX(Services!$K$5:$K$54,MATCH(H372,Services!$B$5:$B$54,0)),"No"))</f>
        <v>0</v>
      </c>
      <c r="U372" s="29">
        <f>IF(H372="","",ROUND(IF(O372="Per hour",P372*IF(M372="",IF(N372="",1,N372),M372),P372*IF(N372="",1,N372)),2))</f>
        <v>0</v>
      </c>
      <c r="V372" s="29">
        <f>IF(H372="","",ROUND(MAX(0,IF(G372="",1,G372)-1)*Q372,2))</f>
        <v>0</v>
      </c>
      <c r="W372" s="50">
        <f>IF(I372="","",IF(COUNTIF(HolidayDates,I372)&gt;0,"Yes","No"))</f>
        <v>0</v>
      </c>
      <c r="X372" s="50">
        <f>IF(I372="","",IF(WEEKDAY(I372,2)&gt;5,"Yes","No"))</f>
        <v>0</v>
      </c>
      <c r="Y372" s="29">
        <f>IF(H372="","",ROUND((U372+V372)*(IF(W372="Yes",R372,0)+IF(X372="Yes",S372,0)),2))</f>
        <v>0</v>
      </c>
      <c r="AA372" s="29">
        <f>IF(H372="","",IF(T372&lt;&gt;"Yes",0,ROUND(MAX(0,IF(Z372="",0,Z372)-FreeTravelDistance)*TravelFeeRate,2)))</f>
        <v>0</v>
      </c>
      <c r="AB372" s="31">
        <f>IF(I372="","",TravelTimeMins)</f>
        <v>0</v>
      </c>
      <c r="AC372" s="29">
        <f>IF(OR(I372="",B372=""),0,IF(I372-B372&lt;=LastMinuteDays,EmergencyFee,0))</f>
        <v>0</v>
      </c>
      <c r="AF372" s="29">
        <f>IF(H372="","",ROUND((U372+V372+Y372+AA372+AC372)*IF(AE372="",0,AE372),2))</f>
        <v>0</v>
      </c>
      <c r="AI372" s="29">
        <f>IF(H372="","",IF(AG372&lt;&gt;"",AG372,ROUND(U372+V372+Y372+AA372+AC372-AF372,2)))</f>
        <v>0</v>
      </c>
      <c r="AJ372" s="29">
        <f>IF(AI372="","",IF(TaxRegistered&lt;&gt;"Yes",0,IF(PricesIncludeTax="Yes",ROUND(AI372-AI372/(1+TaxRate),2),ROUND(AI372*TaxRate,2))))</f>
        <v>0</v>
      </c>
      <c r="AK372" s="29">
        <f>IF(AI372="","",IF(PricesIncludeTax="Yes",AI372,ROUND(AI372+AJ372,2)))</f>
        <v>0</v>
      </c>
      <c r="AQ372" s="21">
        <f>IF(OR(I372="",AP372="",AP372="None"),"",IF(AP372="Monthly",EDATE(I372,1),I372+IF(AP372="Daily",1,IF(AP372="Weekdays",IF(WEEKDAY(I372,2)&gt;=5,8-WEEKDAY(I372,2),1),IF(AP372="Weekly",7,IF(AP372="Fortnightly",14,0))))))</f>
        <v>0</v>
      </c>
      <c r="AR372" s="49">
        <f>IF(OR(I372="",AL372="",K372="",L372=""),"",IF(SUMPRODUCT((Bookings!$AL$5:$AL$404=AL372)*(Bookings!$I$5:$I$404=I372)*(Bookings!$K$5:$K$404&lt;L372)*(Bookings!$L$5:$L$404&gt;K372)*(Bookings!$AM$5:$AM$404&lt;&gt;"Cancelled"))&gt;1,"Conflict - double booked","OK"))</f>
        <v>0</v>
      </c>
      <c r="AS372" s="50">
        <f>IF(A372="","",IF(COUNTIF('Visit Log'!$B$5:$B$404,A372)&gt;0,"Yes","No"))</f>
        <v>0</v>
      </c>
      <c r="AT372" s="28">
        <f>IF(A372="","",IFERROR(INDEX(Invoices!$A$5:$A$304,MATCH(A372,Invoices!$E$5:$E$304,0)),""))</f>
        <v>0</v>
      </c>
      <c r="AU372" s="49">
        <f>IF(A372="","",IF(AT372="","Not invoiced",IFERROR(INDEX(Invoices!$U$5:$U$304,MATCH(AT372,Invoices!$A$5:$A$304,0)),"")))</f>
        <v>0</v>
      </c>
      <c r="AY372" s="28">
        <f>IF(I372="","",TEXT(I372,"yyyy-mm"))</f>
        <v>0</v>
      </c>
      <c r="AZ372" s="49">
        <f>IF(I372="","",IF(AM372="Cancelled","Cancelled",IF(AND(I372&lt;TODAY(),OR(AM372="Pending",AM372="Confirmed",AM372="Enquiry")),"Overdue - update status",IF(AND(AM372="Completed",AS372="No"),"Action - log the visit",IF(I372=TODAY(),"Today",IF(AND(I372&gt;TODAY(),I372-TODAY()&lt;=ReminderLeadDays,AN372&lt;&gt;"Yes"),"Action - unconfirmed",IF(AND(I372&gt;TODAY(),I372-TODAY()&lt;=ReminderLeadDays),"Upcoming","OK")))))))</f>
        <v>0</v>
      </c>
    </row>
    <row r="373" spans="1:52">
      <c r="A373" s="46">
        <f>IF(C373="","",BookingPrefix&amp;TEXT(ROW()-4,"0000"))</f>
        <v>0</v>
      </c>
      <c r="D373" s="28">
        <f>IF(C373="","",IFERROR(INDEX(Clients!$A$5:$A$254,MATCH(C373,Clients!$B$5:$B$254,0)),""))</f>
        <v>0</v>
      </c>
      <c r="J373" s="50">
        <f>IF(I373="","",TEXT(I373,"ddd"))</f>
        <v>0</v>
      </c>
      <c r="M373" s="51">
        <f>IF(OR(K373="",L373=""),"",ROUND((L373-K373+IF(L373&lt;K373,1,0))*24,2))</f>
        <v>0</v>
      </c>
      <c r="O373" s="28">
        <f>IF(H373="","",IFERROR(INDEX(Services!$E$5:$E$54,MATCH(H373,Services!$B$5:$B$54,0)),""))</f>
        <v>0</v>
      </c>
      <c r="P373" s="29">
        <f>IF(H373="","",IFERROR(INDEX(Services!$G$5:$G$54,MATCH(H373,Services!$B$5:$B$54,0)),0))</f>
        <v>0</v>
      </c>
      <c r="Q373" s="29">
        <f>IF(H373="","",IF(IFERROR(INDEX(Services!$H$5:$H$54,MATCH(H373,Services!$B$5:$B$54,0)),0)=0,ExtraPetFeeDefault,IFERROR(INDEX(Services!$H$5:$H$54,MATCH(H373,Services!$B$5:$B$54,0)),0)))</f>
        <v>0</v>
      </c>
      <c r="R373" s="30">
        <f>IF(H373="","",IF(IFERROR(INDEX(Services!$I$5:$I$54,MATCH(H373,Services!$B$5:$B$54,0)),0)=0,HolidaySurcharge,IFERROR(INDEX(Services!$I$5:$I$54,MATCH(H373,Services!$B$5:$B$54,0)),0)))</f>
        <v>0</v>
      </c>
      <c r="S373" s="30">
        <f>IF(H373="","",IF(IFERROR(INDEX(Services!$J$5:$J$54,MATCH(H373,Services!$B$5:$B$54,0)),0)=0,WeekendSurcharge,IFERROR(INDEX(Services!$J$5:$J$54,MATCH(H373,Services!$B$5:$B$54,0)),0)))</f>
        <v>0</v>
      </c>
      <c r="T373" s="50">
        <f>IF(H373="","",IFERROR(INDEX(Services!$K$5:$K$54,MATCH(H373,Services!$B$5:$B$54,0)),"No"))</f>
        <v>0</v>
      </c>
      <c r="U373" s="29">
        <f>IF(H373="","",ROUND(IF(O373="Per hour",P373*IF(M373="",IF(N373="",1,N373),M373),P373*IF(N373="",1,N373)),2))</f>
        <v>0</v>
      </c>
      <c r="V373" s="29">
        <f>IF(H373="","",ROUND(MAX(0,IF(G373="",1,G373)-1)*Q373,2))</f>
        <v>0</v>
      </c>
      <c r="W373" s="50">
        <f>IF(I373="","",IF(COUNTIF(HolidayDates,I373)&gt;0,"Yes","No"))</f>
        <v>0</v>
      </c>
      <c r="X373" s="50">
        <f>IF(I373="","",IF(WEEKDAY(I373,2)&gt;5,"Yes","No"))</f>
        <v>0</v>
      </c>
      <c r="Y373" s="29">
        <f>IF(H373="","",ROUND((U373+V373)*(IF(W373="Yes",R373,0)+IF(X373="Yes",S373,0)),2))</f>
        <v>0</v>
      </c>
      <c r="AA373" s="29">
        <f>IF(H373="","",IF(T373&lt;&gt;"Yes",0,ROUND(MAX(0,IF(Z373="",0,Z373)-FreeTravelDistance)*TravelFeeRate,2)))</f>
        <v>0</v>
      </c>
      <c r="AB373" s="31">
        <f>IF(I373="","",TravelTimeMins)</f>
        <v>0</v>
      </c>
      <c r="AC373" s="29">
        <f>IF(OR(I373="",B373=""),0,IF(I373-B373&lt;=LastMinuteDays,EmergencyFee,0))</f>
        <v>0</v>
      </c>
      <c r="AF373" s="29">
        <f>IF(H373="","",ROUND((U373+V373+Y373+AA373+AC373)*IF(AE373="",0,AE373),2))</f>
        <v>0</v>
      </c>
      <c r="AI373" s="29">
        <f>IF(H373="","",IF(AG373&lt;&gt;"",AG373,ROUND(U373+V373+Y373+AA373+AC373-AF373,2)))</f>
        <v>0</v>
      </c>
      <c r="AJ373" s="29">
        <f>IF(AI373="","",IF(TaxRegistered&lt;&gt;"Yes",0,IF(PricesIncludeTax="Yes",ROUND(AI373-AI373/(1+TaxRate),2),ROUND(AI373*TaxRate,2))))</f>
        <v>0</v>
      </c>
      <c r="AK373" s="29">
        <f>IF(AI373="","",IF(PricesIncludeTax="Yes",AI373,ROUND(AI373+AJ373,2)))</f>
        <v>0</v>
      </c>
      <c r="AQ373" s="21">
        <f>IF(OR(I373="",AP373="",AP373="None"),"",IF(AP373="Monthly",EDATE(I373,1),I373+IF(AP373="Daily",1,IF(AP373="Weekdays",IF(WEEKDAY(I373,2)&gt;=5,8-WEEKDAY(I373,2),1),IF(AP373="Weekly",7,IF(AP373="Fortnightly",14,0))))))</f>
        <v>0</v>
      </c>
      <c r="AR373" s="49">
        <f>IF(OR(I373="",AL373="",K373="",L373=""),"",IF(SUMPRODUCT((Bookings!$AL$5:$AL$404=AL373)*(Bookings!$I$5:$I$404=I373)*(Bookings!$K$5:$K$404&lt;L373)*(Bookings!$L$5:$L$404&gt;K373)*(Bookings!$AM$5:$AM$404&lt;&gt;"Cancelled"))&gt;1,"Conflict - double booked","OK"))</f>
        <v>0</v>
      </c>
      <c r="AS373" s="50">
        <f>IF(A373="","",IF(COUNTIF('Visit Log'!$B$5:$B$404,A373)&gt;0,"Yes","No"))</f>
        <v>0</v>
      </c>
      <c r="AT373" s="28">
        <f>IF(A373="","",IFERROR(INDEX(Invoices!$A$5:$A$304,MATCH(A373,Invoices!$E$5:$E$304,0)),""))</f>
        <v>0</v>
      </c>
      <c r="AU373" s="49">
        <f>IF(A373="","",IF(AT373="","Not invoiced",IFERROR(INDEX(Invoices!$U$5:$U$304,MATCH(AT373,Invoices!$A$5:$A$304,0)),"")))</f>
        <v>0</v>
      </c>
      <c r="AY373" s="28">
        <f>IF(I373="","",TEXT(I373,"yyyy-mm"))</f>
        <v>0</v>
      </c>
      <c r="AZ373" s="49">
        <f>IF(I373="","",IF(AM373="Cancelled","Cancelled",IF(AND(I373&lt;TODAY(),OR(AM373="Pending",AM373="Confirmed",AM373="Enquiry")),"Overdue - update status",IF(AND(AM373="Completed",AS373="No"),"Action - log the visit",IF(I373=TODAY(),"Today",IF(AND(I373&gt;TODAY(),I373-TODAY()&lt;=ReminderLeadDays,AN373&lt;&gt;"Yes"),"Action - unconfirmed",IF(AND(I373&gt;TODAY(),I373-TODAY()&lt;=ReminderLeadDays),"Upcoming","OK")))))))</f>
        <v>0</v>
      </c>
    </row>
    <row r="374" spans="1:52">
      <c r="A374" s="46">
        <f>IF(C374="","",BookingPrefix&amp;TEXT(ROW()-4,"0000"))</f>
        <v>0</v>
      </c>
      <c r="D374" s="28">
        <f>IF(C374="","",IFERROR(INDEX(Clients!$A$5:$A$254,MATCH(C374,Clients!$B$5:$B$254,0)),""))</f>
        <v>0</v>
      </c>
      <c r="J374" s="50">
        <f>IF(I374="","",TEXT(I374,"ddd"))</f>
        <v>0</v>
      </c>
      <c r="M374" s="51">
        <f>IF(OR(K374="",L374=""),"",ROUND((L374-K374+IF(L374&lt;K374,1,0))*24,2))</f>
        <v>0</v>
      </c>
      <c r="O374" s="28">
        <f>IF(H374="","",IFERROR(INDEX(Services!$E$5:$E$54,MATCH(H374,Services!$B$5:$B$54,0)),""))</f>
        <v>0</v>
      </c>
      <c r="P374" s="29">
        <f>IF(H374="","",IFERROR(INDEX(Services!$G$5:$G$54,MATCH(H374,Services!$B$5:$B$54,0)),0))</f>
        <v>0</v>
      </c>
      <c r="Q374" s="29">
        <f>IF(H374="","",IF(IFERROR(INDEX(Services!$H$5:$H$54,MATCH(H374,Services!$B$5:$B$54,0)),0)=0,ExtraPetFeeDefault,IFERROR(INDEX(Services!$H$5:$H$54,MATCH(H374,Services!$B$5:$B$54,0)),0)))</f>
        <v>0</v>
      </c>
      <c r="R374" s="30">
        <f>IF(H374="","",IF(IFERROR(INDEX(Services!$I$5:$I$54,MATCH(H374,Services!$B$5:$B$54,0)),0)=0,HolidaySurcharge,IFERROR(INDEX(Services!$I$5:$I$54,MATCH(H374,Services!$B$5:$B$54,0)),0)))</f>
        <v>0</v>
      </c>
      <c r="S374" s="30">
        <f>IF(H374="","",IF(IFERROR(INDEX(Services!$J$5:$J$54,MATCH(H374,Services!$B$5:$B$54,0)),0)=0,WeekendSurcharge,IFERROR(INDEX(Services!$J$5:$J$54,MATCH(H374,Services!$B$5:$B$54,0)),0)))</f>
        <v>0</v>
      </c>
      <c r="T374" s="50">
        <f>IF(H374="","",IFERROR(INDEX(Services!$K$5:$K$54,MATCH(H374,Services!$B$5:$B$54,0)),"No"))</f>
        <v>0</v>
      </c>
      <c r="U374" s="29">
        <f>IF(H374="","",ROUND(IF(O374="Per hour",P374*IF(M374="",IF(N374="",1,N374),M374),P374*IF(N374="",1,N374)),2))</f>
        <v>0</v>
      </c>
      <c r="V374" s="29">
        <f>IF(H374="","",ROUND(MAX(0,IF(G374="",1,G374)-1)*Q374,2))</f>
        <v>0</v>
      </c>
      <c r="W374" s="50">
        <f>IF(I374="","",IF(COUNTIF(HolidayDates,I374)&gt;0,"Yes","No"))</f>
        <v>0</v>
      </c>
      <c r="X374" s="50">
        <f>IF(I374="","",IF(WEEKDAY(I374,2)&gt;5,"Yes","No"))</f>
        <v>0</v>
      </c>
      <c r="Y374" s="29">
        <f>IF(H374="","",ROUND((U374+V374)*(IF(W374="Yes",R374,0)+IF(X374="Yes",S374,0)),2))</f>
        <v>0</v>
      </c>
      <c r="AA374" s="29">
        <f>IF(H374="","",IF(T374&lt;&gt;"Yes",0,ROUND(MAX(0,IF(Z374="",0,Z374)-FreeTravelDistance)*TravelFeeRate,2)))</f>
        <v>0</v>
      </c>
      <c r="AB374" s="31">
        <f>IF(I374="","",TravelTimeMins)</f>
        <v>0</v>
      </c>
      <c r="AC374" s="29">
        <f>IF(OR(I374="",B374=""),0,IF(I374-B374&lt;=LastMinuteDays,EmergencyFee,0))</f>
        <v>0</v>
      </c>
      <c r="AF374" s="29">
        <f>IF(H374="","",ROUND((U374+V374+Y374+AA374+AC374)*IF(AE374="",0,AE374),2))</f>
        <v>0</v>
      </c>
      <c r="AI374" s="29">
        <f>IF(H374="","",IF(AG374&lt;&gt;"",AG374,ROUND(U374+V374+Y374+AA374+AC374-AF374,2)))</f>
        <v>0</v>
      </c>
      <c r="AJ374" s="29">
        <f>IF(AI374="","",IF(TaxRegistered&lt;&gt;"Yes",0,IF(PricesIncludeTax="Yes",ROUND(AI374-AI374/(1+TaxRate),2),ROUND(AI374*TaxRate,2))))</f>
        <v>0</v>
      </c>
      <c r="AK374" s="29">
        <f>IF(AI374="","",IF(PricesIncludeTax="Yes",AI374,ROUND(AI374+AJ374,2)))</f>
        <v>0</v>
      </c>
      <c r="AQ374" s="21">
        <f>IF(OR(I374="",AP374="",AP374="None"),"",IF(AP374="Monthly",EDATE(I374,1),I374+IF(AP374="Daily",1,IF(AP374="Weekdays",IF(WEEKDAY(I374,2)&gt;=5,8-WEEKDAY(I374,2),1),IF(AP374="Weekly",7,IF(AP374="Fortnightly",14,0))))))</f>
        <v>0</v>
      </c>
      <c r="AR374" s="49">
        <f>IF(OR(I374="",AL374="",K374="",L374=""),"",IF(SUMPRODUCT((Bookings!$AL$5:$AL$404=AL374)*(Bookings!$I$5:$I$404=I374)*(Bookings!$K$5:$K$404&lt;L374)*(Bookings!$L$5:$L$404&gt;K374)*(Bookings!$AM$5:$AM$404&lt;&gt;"Cancelled"))&gt;1,"Conflict - double booked","OK"))</f>
        <v>0</v>
      </c>
      <c r="AS374" s="50">
        <f>IF(A374="","",IF(COUNTIF('Visit Log'!$B$5:$B$404,A374)&gt;0,"Yes","No"))</f>
        <v>0</v>
      </c>
      <c r="AT374" s="28">
        <f>IF(A374="","",IFERROR(INDEX(Invoices!$A$5:$A$304,MATCH(A374,Invoices!$E$5:$E$304,0)),""))</f>
        <v>0</v>
      </c>
      <c r="AU374" s="49">
        <f>IF(A374="","",IF(AT374="","Not invoiced",IFERROR(INDEX(Invoices!$U$5:$U$304,MATCH(AT374,Invoices!$A$5:$A$304,0)),"")))</f>
        <v>0</v>
      </c>
      <c r="AY374" s="28">
        <f>IF(I374="","",TEXT(I374,"yyyy-mm"))</f>
        <v>0</v>
      </c>
      <c r="AZ374" s="49">
        <f>IF(I374="","",IF(AM374="Cancelled","Cancelled",IF(AND(I374&lt;TODAY(),OR(AM374="Pending",AM374="Confirmed",AM374="Enquiry")),"Overdue - update status",IF(AND(AM374="Completed",AS374="No"),"Action - log the visit",IF(I374=TODAY(),"Today",IF(AND(I374&gt;TODAY(),I374-TODAY()&lt;=ReminderLeadDays,AN374&lt;&gt;"Yes"),"Action - unconfirmed",IF(AND(I374&gt;TODAY(),I374-TODAY()&lt;=ReminderLeadDays),"Upcoming","OK")))))))</f>
        <v>0</v>
      </c>
    </row>
    <row r="375" spans="1:52">
      <c r="A375" s="46">
        <f>IF(C375="","",BookingPrefix&amp;TEXT(ROW()-4,"0000"))</f>
        <v>0</v>
      </c>
      <c r="D375" s="28">
        <f>IF(C375="","",IFERROR(INDEX(Clients!$A$5:$A$254,MATCH(C375,Clients!$B$5:$B$254,0)),""))</f>
        <v>0</v>
      </c>
      <c r="J375" s="50">
        <f>IF(I375="","",TEXT(I375,"ddd"))</f>
        <v>0</v>
      </c>
      <c r="M375" s="51">
        <f>IF(OR(K375="",L375=""),"",ROUND((L375-K375+IF(L375&lt;K375,1,0))*24,2))</f>
        <v>0</v>
      </c>
      <c r="O375" s="28">
        <f>IF(H375="","",IFERROR(INDEX(Services!$E$5:$E$54,MATCH(H375,Services!$B$5:$B$54,0)),""))</f>
        <v>0</v>
      </c>
      <c r="P375" s="29">
        <f>IF(H375="","",IFERROR(INDEX(Services!$G$5:$G$54,MATCH(H375,Services!$B$5:$B$54,0)),0))</f>
        <v>0</v>
      </c>
      <c r="Q375" s="29">
        <f>IF(H375="","",IF(IFERROR(INDEX(Services!$H$5:$H$54,MATCH(H375,Services!$B$5:$B$54,0)),0)=0,ExtraPetFeeDefault,IFERROR(INDEX(Services!$H$5:$H$54,MATCH(H375,Services!$B$5:$B$54,0)),0)))</f>
        <v>0</v>
      </c>
      <c r="R375" s="30">
        <f>IF(H375="","",IF(IFERROR(INDEX(Services!$I$5:$I$54,MATCH(H375,Services!$B$5:$B$54,0)),0)=0,HolidaySurcharge,IFERROR(INDEX(Services!$I$5:$I$54,MATCH(H375,Services!$B$5:$B$54,0)),0)))</f>
        <v>0</v>
      </c>
      <c r="S375" s="30">
        <f>IF(H375="","",IF(IFERROR(INDEX(Services!$J$5:$J$54,MATCH(H375,Services!$B$5:$B$54,0)),0)=0,WeekendSurcharge,IFERROR(INDEX(Services!$J$5:$J$54,MATCH(H375,Services!$B$5:$B$54,0)),0)))</f>
        <v>0</v>
      </c>
      <c r="T375" s="50">
        <f>IF(H375="","",IFERROR(INDEX(Services!$K$5:$K$54,MATCH(H375,Services!$B$5:$B$54,0)),"No"))</f>
        <v>0</v>
      </c>
      <c r="U375" s="29">
        <f>IF(H375="","",ROUND(IF(O375="Per hour",P375*IF(M375="",IF(N375="",1,N375),M375),P375*IF(N375="",1,N375)),2))</f>
        <v>0</v>
      </c>
      <c r="V375" s="29">
        <f>IF(H375="","",ROUND(MAX(0,IF(G375="",1,G375)-1)*Q375,2))</f>
        <v>0</v>
      </c>
      <c r="W375" s="50">
        <f>IF(I375="","",IF(COUNTIF(HolidayDates,I375)&gt;0,"Yes","No"))</f>
        <v>0</v>
      </c>
      <c r="X375" s="50">
        <f>IF(I375="","",IF(WEEKDAY(I375,2)&gt;5,"Yes","No"))</f>
        <v>0</v>
      </c>
      <c r="Y375" s="29">
        <f>IF(H375="","",ROUND((U375+V375)*(IF(W375="Yes",R375,0)+IF(X375="Yes",S375,0)),2))</f>
        <v>0</v>
      </c>
      <c r="AA375" s="29">
        <f>IF(H375="","",IF(T375&lt;&gt;"Yes",0,ROUND(MAX(0,IF(Z375="",0,Z375)-FreeTravelDistance)*TravelFeeRate,2)))</f>
        <v>0</v>
      </c>
      <c r="AB375" s="31">
        <f>IF(I375="","",TravelTimeMins)</f>
        <v>0</v>
      </c>
      <c r="AC375" s="29">
        <f>IF(OR(I375="",B375=""),0,IF(I375-B375&lt;=LastMinuteDays,EmergencyFee,0))</f>
        <v>0</v>
      </c>
      <c r="AF375" s="29">
        <f>IF(H375="","",ROUND((U375+V375+Y375+AA375+AC375)*IF(AE375="",0,AE375),2))</f>
        <v>0</v>
      </c>
      <c r="AI375" s="29">
        <f>IF(H375="","",IF(AG375&lt;&gt;"",AG375,ROUND(U375+V375+Y375+AA375+AC375-AF375,2)))</f>
        <v>0</v>
      </c>
      <c r="AJ375" s="29">
        <f>IF(AI375="","",IF(TaxRegistered&lt;&gt;"Yes",0,IF(PricesIncludeTax="Yes",ROUND(AI375-AI375/(1+TaxRate),2),ROUND(AI375*TaxRate,2))))</f>
        <v>0</v>
      </c>
      <c r="AK375" s="29">
        <f>IF(AI375="","",IF(PricesIncludeTax="Yes",AI375,ROUND(AI375+AJ375,2)))</f>
        <v>0</v>
      </c>
      <c r="AQ375" s="21">
        <f>IF(OR(I375="",AP375="",AP375="None"),"",IF(AP375="Monthly",EDATE(I375,1),I375+IF(AP375="Daily",1,IF(AP375="Weekdays",IF(WEEKDAY(I375,2)&gt;=5,8-WEEKDAY(I375,2),1),IF(AP375="Weekly",7,IF(AP375="Fortnightly",14,0))))))</f>
        <v>0</v>
      </c>
      <c r="AR375" s="49">
        <f>IF(OR(I375="",AL375="",K375="",L375=""),"",IF(SUMPRODUCT((Bookings!$AL$5:$AL$404=AL375)*(Bookings!$I$5:$I$404=I375)*(Bookings!$K$5:$K$404&lt;L375)*(Bookings!$L$5:$L$404&gt;K375)*(Bookings!$AM$5:$AM$404&lt;&gt;"Cancelled"))&gt;1,"Conflict - double booked","OK"))</f>
        <v>0</v>
      </c>
      <c r="AS375" s="50">
        <f>IF(A375="","",IF(COUNTIF('Visit Log'!$B$5:$B$404,A375)&gt;0,"Yes","No"))</f>
        <v>0</v>
      </c>
      <c r="AT375" s="28">
        <f>IF(A375="","",IFERROR(INDEX(Invoices!$A$5:$A$304,MATCH(A375,Invoices!$E$5:$E$304,0)),""))</f>
        <v>0</v>
      </c>
      <c r="AU375" s="49">
        <f>IF(A375="","",IF(AT375="","Not invoiced",IFERROR(INDEX(Invoices!$U$5:$U$304,MATCH(AT375,Invoices!$A$5:$A$304,0)),"")))</f>
        <v>0</v>
      </c>
      <c r="AY375" s="28">
        <f>IF(I375="","",TEXT(I375,"yyyy-mm"))</f>
        <v>0</v>
      </c>
      <c r="AZ375" s="49">
        <f>IF(I375="","",IF(AM375="Cancelled","Cancelled",IF(AND(I375&lt;TODAY(),OR(AM375="Pending",AM375="Confirmed",AM375="Enquiry")),"Overdue - update status",IF(AND(AM375="Completed",AS375="No"),"Action - log the visit",IF(I375=TODAY(),"Today",IF(AND(I375&gt;TODAY(),I375-TODAY()&lt;=ReminderLeadDays,AN375&lt;&gt;"Yes"),"Action - unconfirmed",IF(AND(I375&gt;TODAY(),I375-TODAY()&lt;=ReminderLeadDays),"Upcoming","OK")))))))</f>
        <v>0</v>
      </c>
    </row>
    <row r="376" spans="1:52">
      <c r="A376" s="46">
        <f>IF(C376="","",BookingPrefix&amp;TEXT(ROW()-4,"0000"))</f>
        <v>0</v>
      </c>
      <c r="D376" s="28">
        <f>IF(C376="","",IFERROR(INDEX(Clients!$A$5:$A$254,MATCH(C376,Clients!$B$5:$B$254,0)),""))</f>
        <v>0</v>
      </c>
      <c r="J376" s="50">
        <f>IF(I376="","",TEXT(I376,"ddd"))</f>
        <v>0</v>
      </c>
      <c r="M376" s="51">
        <f>IF(OR(K376="",L376=""),"",ROUND((L376-K376+IF(L376&lt;K376,1,0))*24,2))</f>
        <v>0</v>
      </c>
      <c r="O376" s="28">
        <f>IF(H376="","",IFERROR(INDEX(Services!$E$5:$E$54,MATCH(H376,Services!$B$5:$B$54,0)),""))</f>
        <v>0</v>
      </c>
      <c r="P376" s="29">
        <f>IF(H376="","",IFERROR(INDEX(Services!$G$5:$G$54,MATCH(H376,Services!$B$5:$B$54,0)),0))</f>
        <v>0</v>
      </c>
      <c r="Q376" s="29">
        <f>IF(H376="","",IF(IFERROR(INDEX(Services!$H$5:$H$54,MATCH(H376,Services!$B$5:$B$54,0)),0)=0,ExtraPetFeeDefault,IFERROR(INDEX(Services!$H$5:$H$54,MATCH(H376,Services!$B$5:$B$54,0)),0)))</f>
        <v>0</v>
      </c>
      <c r="R376" s="30">
        <f>IF(H376="","",IF(IFERROR(INDEX(Services!$I$5:$I$54,MATCH(H376,Services!$B$5:$B$54,0)),0)=0,HolidaySurcharge,IFERROR(INDEX(Services!$I$5:$I$54,MATCH(H376,Services!$B$5:$B$54,0)),0)))</f>
        <v>0</v>
      </c>
      <c r="S376" s="30">
        <f>IF(H376="","",IF(IFERROR(INDEX(Services!$J$5:$J$54,MATCH(H376,Services!$B$5:$B$54,0)),0)=0,WeekendSurcharge,IFERROR(INDEX(Services!$J$5:$J$54,MATCH(H376,Services!$B$5:$B$54,0)),0)))</f>
        <v>0</v>
      </c>
      <c r="T376" s="50">
        <f>IF(H376="","",IFERROR(INDEX(Services!$K$5:$K$54,MATCH(H376,Services!$B$5:$B$54,0)),"No"))</f>
        <v>0</v>
      </c>
      <c r="U376" s="29">
        <f>IF(H376="","",ROUND(IF(O376="Per hour",P376*IF(M376="",IF(N376="",1,N376),M376),P376*IF(N376="",1,N376)),2))</f>
        <v>0</v>
      </c>
      <c r="V376" s="29">
        <f>IF(H376="","",ROUND(MAX(0,IF(G376="",1,G376)-1)*Q376,2))</f>
        <v>0</v>
      </c>
      <c r="W376" s="50">
        <f>IF(I376="","",IF(COUNTIF(HolidayDates,I376)&gt;0,"Yes","No"))</f>
        <v>0</v>
      </c>
      <c r="X376" s="50">
        <f>IF(I376="","",IF(WEEKDAY(I376,2)&gt;5,"Yes","No"))</f>
        <v>0</v>
      </c>
      <c r="Y376" s="29">
        <f>IF(H376="","",ROUND((U376+V376)*(IF(W376="Yes",R376,0)+IF(X376="Yes",S376,0)),2))</f>
        <v>0</v>
      </c>
      <c r="AA376" s="29">
        <f>IF(H376="","",IF(T376&lt;&gt;"Yes",0,ROUND(MAX(0,IF(Z376="",0,Z376)-FreeTravelDistance)*TravelFeeRate,2)))</f>
        <v>0</v>
      </c>
      <c r="AB376" s="31">
        <f>IF(I376="","",TravelTimeMins)</f>
        <v>0</v>
      </c>
      <c r="AC376" s="29">
        <f>IF(OR(I376="",B376=""),0,IF(I376-B376&lt;=LastMinuteDays,EmergencyFee,0))</f>
        <v>0</v>
      </c>
      <c r="AF376" s="29">
        <f>IF(H376="","",ROUND((U376+V376+Y376+AA376+AC376)*IF(AE376="",0,AE376),2))</f>
        <v>0</v>
      </c>
      <c r="AI376" s="29">
        <f>IF(H376="","",IF(AG376&lt;&gt;"",AG376,ROUND(U376+V376+Y376+AA376+AC376-AF376,2)))</f>
        <v>0</v>
      </c>
      <c r="AJ376" s="29">
        <f>IF(AI376="","",IF(TaxRegistered&lt;&gt;"Yes",0,IF(PricesIncludeTax="Yes",ROUND(AI376-AI376/(1+TaxRate),2),ROUND(AI376*TaxRate,2))))</f>
        <v>0</v>
      </c>
      <c r="AK376" s="29">
        <f>IF(AI376="","",IF(PricesIncludeTax="Yes",AI376,ROUND(AI376+AJ376,2)))</f>
        <v>0</v>
      </c>
      <c r="AQ376" s="21">
        <f>IF(OR(I376="",AP376="",AP376="None"),"",IF(AP376="Monthly",EDATE(I376,1),I376+IF(AP376="Daily",1,IF(AP376="Weekdays",IF(WEEKDAY(I376,2)&gt;=5,8-WEEKDAY(I376,2),1),IF(AP376="Weekly",7,IF(AP376="Fortnightly",14,0))))))</f>
        <v>0</v>
      </c>
      <c r="AR376" s="49">
        <f>IF(OR(I376="",AL376="",K376="",L376=""),"",IF(SUMPRODUCT((Bookings!$AL$5:$AL$404=AL376)*(Bookings!$I$5:$I$404=I376)*(Bookings!$K$5:$K$404&lt;L376)*(Bookings!$L$5:$L$404&gt;K376)*(Bookings!$AM$5:$AM$404&lt;&gt;"Cancelled"))&gt;1,"Conflict - double booked","OK"))</f>
        <v>0</v>
      </c>
      <c r="AS376" s="50">
        <f>IF(A376="","",IF(COUNTIF('Visit Log'!$B$5:$B$404,A376)&gt;0,"Yes","No"))</f>
        <v>0</v>
      </c>
      <c r="AT376" s="28">
        <f>IF(A376="","",IFERROR(INDEX(Invoices!$A$5:$A$304,MATCH(A376,Invoices!$E$5:$E$304,0)),""))</f>
        <v>0</v>
      </c>
      <c r="AU376" s="49">
        <f>IF(A376="","",IF(AT376="","Not invoiced",IFERROR(INDEX(Invoices!$U$5:$U$304,MATCH(AT376,Invoices!$A$5:$A$304,0)),"")))</f>
        <v>0</v>
      </c>
      <c r="AY376" s="28">
        <f>IF(I376="","",TEXT(I376,"yyyy-mm"))</f>
        <v>0</v>
      </c>
      <c r="AZ376" s="49">
        <f>IF(I376="","",IF(AM376="Cancelled","Cancelled",IF(AND(I376&lt;TODAY(),OR(AM376="Pending",AM376="Confirmed",AM376="Enquiry")),"Overdue - update status",IF(AND(AM376="Completed",AS376="No"),"Action - log the visit",IF(I376=TODAY(),"Today",IF(AND(I376&gt;TODAY(),I376-TODAY()&lt;=ReminderLeadDays,AN376&lt;&gt;"Yes"),"Action - unconfirmed",IF(AND(I376&gt;TODAY(),I376-TODAY()&lt;=ReminderLeadDays),"Upcoming","OK")))))))</f>
        <v>0</v>
      </c>
    </row>
    <row r="377" spans="1:52">
      <c r="A377" s="46">
        <f>IF(C377="","",BookingPrefix&amp;TEXT(ROW()-4,"0000"))</f>
        <v>0</v>
      </c>
      <c r="D377" s="28">
        <f>IF(C377="","",IFERROR(INDEX(Clients!$A$5:$A$254,MATCH(C377,Clients!$B$5:$B$254,0)),""))</f>
        <v>0</v>
      </c>
      <c r="J377" s="50">
        <f>IF(I377="","",TEXT(I377,"ddd"))</f>
        <v>0</v>
      </c>
      <c r="M377" s="51">
        <f>IF(OR(K377="",L377=""),"",ROUND((L377-K377+IF(L377&lt;K377,1,0))*24,2))</f>
        <v>0</v>
      </c>
      <c r="O377" s="28">
        <f>IF(H377="","",IFERROR(INDEX(Services!$E$5:$E$54,MATCH(H377,Services!$B$5:$B$54,0)),""))</f>
        <v>0</v>
      </c>
      <c r="P377" s="29">
        <f>IF(H377="","",IFERROR(INDEX(Services!$G$5:$G$54,MATCH(H377,Services!$B$5:$B$54,0)),0))</f>
        <v>0</v>
      </c>
      <c r="Q377" s="29">
        <f>IF(H377="","",IF(IFERROR(INDEX(Services!$H$5:$H$54,MATCH(H377,Services!$B$5:$B$54,0)),0)=0,ExtraPetFeeDefault,IFERROR(INDEX(Services!$H$5:$H$54,MATCH(H377,Services!$B$5:$B$54,0)),0)))</f>
        <v>0</v>
      </c>
      <c r="R377" s="30">
        <f>IF(H377="","",IF(IFERROR(INDEX(Services!$I$5:$I$54,MATCH(H377,Services!$B$5:$B$54,0)),0)=0,HolidaySurcharge,IFERROR(INDEX(Services!$I$5:$I$54,MATCH(H377,Services!$B$5:$B$54,0)),0)))</f>
        <v>0</v>
      </c>
      <c r="S377" s="30">
        <f>IF(H377="","",IF(IFERROR(INDEX(Services!$J$5:$J$54,MATCH(H377,Services!$B$5:$B$54,0)),0)=0,WeekendSurcharge,IFERROR(INDEX(Services!$J$5:$J$54,MATCH(H377,Services!$B$5:$B$54,0)),0)))</f>
        <v>0</v>
      </c>
      <c r="T377" s="50">
        <f>IF(H377="","",IFERROR(INDEX(Services!$K$5:$K$54,MATCH(H377,Services!$B$5:$B$54,0)),"No"))</f>
        <v>0</v>
      </c>
      <c r="U377" s="29">
        <f>IF(H377="","",ROUND(IF(O377="Per hour",P377*IF(M377="",IF(N377="",1,N377),M377),P377*IF(N377="",1,N377)),2))</f>
        <v>0</v>
      </c>
      <c r="V377" s="29">
        <f>IF(H377="","",ROUND(MAX(0,IF(G377="",1,G377)-1)*Q377,2))</f>
        <v>0</v>
      </c>
      <c r="W377" s="50">
        <f>IF(I377="","",IF(COUNTIF(HolidayDates,I377)&gt;0,"Yes","No"))</f>
        <v>0</v>
      </c>
      <c r="X377" s="50">
        <f>IF(I377="","",IF(WEEKDAY(I377,2)&gt;5,"Yes","No"))</f>
        <v>0</v>
      </c>
      <c r="Y377" s="29">
        <f>IF(H377="","",ROUND((U377+V377)*(IF(W377="Yes",R377,0)+IF(X377="Yes",S377,0)),2))</f>
        <v>0</v>
      </c>
      <c r="AA377" s="29">
        <f>IF(H377="","",IF(T377&lt;&gt;"Yes",0,ROUND(MAX(0,IF(Z377="",0,Z377)-FreeTravelDistance)*TravelFeeRate,2)))</f>
        <v>0</v>
      </c>
      <c r="AB377" s="31">
        <f>IF(I377="","",TravelTimeMins)</f>
        <v>0</v>
      </c>
      <c r="AC377" s="29">
        <f>IF(OR(I377="",B377=""),0,IF(I377-B377&lt;=LastMinuteDays,EmergencyFee,0))</f>
        <v>0</v>
      </c>
      <c r="AF377" s="29">
        <f>IF(H377="","",ROUND((U377+V377+Y377+AA377+AC377)*IF(AE377="",0,AE377),2))</f>
        <v>0</v>
      </c>
      <c r="AI377" s="29">
        <f>IF(H377="","",IF(AG377&lt;&gt;"",AG377,ROUND(U377+V377+Y377+AA377+AC377-AF377,2)))</f>
        <v>0</v>
      </c>
      <c r="AJ377" s="29">
        <f>IF(AI377="","",IF(TaxRegistered&lt;&gt;"Yes",0,IF(PricesIncludeTax="Yes",ROUND(AI377-AI377/(1+TaxRate),2),ROUND(AI377*TaxRate,2))))</f>
        <v>0</v>
      </c>
      <c r="AK377" s="29">
        <f>IF(AI377="","",IF(PricesIncludeTax="Yes",AI377,ROUND(AI377+AJ377,2)))</f>
        <v>0</v>
      </c>
      <c r="AQ377" s="21">
        <f>IF(OR(I377="",AP377="",AP377="None"),"",IF(AP377="Monthly",EDATE(I377,1),I377+IF(AP377="Daily",1,IF(AP377="Weekdays",IF(WEEKDAY(I377,2)&gt;=5,8-WEEKDAY(I377,2),1),IF(AP377="Weekly",7,IF(AP377="Fortnightly",14,0))))))</f>
        <v>0</v>
      </c>
      <c r="AR377" s="49">
        <f>IF(OR(I377="",AL377="",K377="",L377=""),"",IF(SUMPRODUCT((Bookings!$AL$5:$AL$404=AL377)*(Bookings!$I$5:$I$404=I377)*(Bookings!$K$5:$K$404&lt;L377)*(Bookings!$L$5:$L$404&gt;K377)*(Bookings!$AM$5:$AM$404&lt;&gt;"Cancelled"))&gt;1,"Conflict - double booked","OK"))</f>
        <v>0</v>
      </c>
      <c r="AS377" s="50">
        <f>IF(A377="","",IF(COUNTIF('Visit Log'!$B$5:$B$404,A377)&gt;0,"Yes","No"))</f>
        <v>0</v>
      </c>
      <c r="AT377" s="28">
        <f>IF(A377="","",IFERROR(INDEX(Invoices!$A$5:$A$304,MATCH(A377,Invoices!$E$5:$E$304,0)),""))</f>
        <v>0</v>
      </c>
      <c r="AU377" s="49">
        <f>IF(A377="","",IF(AT377="","Not invoiced",IFERROR(INDEX(Invoices!$U$5:$U$304,MATCH(AT377,Invoices!$A$5:$A$304,0)),"")))</f>
        <v>0</v>
      </c>
      <c r="AY377" s="28">
        <f>IF(I377="","",TEXT(I377,"yyyy-mm"))</f>
        <v>0</v>
      </c>
      <c r="AZ377" s="49">
        <f>IF(I377="","",IF(AM377="Cancelled","Cancelled",IF(AND(I377&lt;TODAY(),OR(AM377="Pending",AM377="Confirmed",AM377="Enquiry")),"Overdue - update status",IF(AND(AM377="Completed",AS377="No"),"Action - log the visit",IF(I377=TODAY(),"Today",IF(AND(I377&gt;TODAY(),I377-TODAY()&lt;=ReminderLeadDays,AN377&lt;&gt;"Yes"),"Action - unconfirmed",IF(AND(I377&gt;TODAY(),I377-TODAY()&lt;=ReminderLeadDays),"Upcoming","OK")))))))</f>
        <v>0</v>
      </c>
    </row>
    <row r="378" spans="1:52">
      <c r="A378" s="46">
        <f>IF(C378="","",BookingPrefix&amp;TEXT(ROW()-4,"0000"))</f>
        <v>0</v>
      </c>
      <c r="D378" s="28">
        <f>IF(C378="","",IFERROR(INDEX(Clients!$A$5:$A$254,MATCH(C378,Clients!$B$5:$B$254,0)),""))</f>
        <v>0</v>
      </c>
      <c r="J378" s="50">
        <f>IF(I378="","",TEXT(I378,"ddd"))</f>
        <v>0</v>
      </c>
      <c r="M378" s="51">
        <f>IF(OR(K378="",L378=""),"",ROUND((L378-K378+IF(L378&lt;K378,1,0))*24,2))</f>
        <v>0</v>
      </c>
      <c r="O378" s="28">
        <f>IF(H378="","",IFERROR(INDEX(Services!$E$5:$E$54,MATCH(H378,Services!$B$5:$B$54,0)),""))</f>
        <v>0</v>
      </c>
      <c r="P378" s="29">
        <f>IF(H378="","",IFERROR(INDEX(Services!$G$5:$G$54,MATCH(H378,Services!$B$5:$B$54,0)),0))</f>
        <v>0</v>
      </c>
      <c r="Q378" s="29">
        <f>IF(H378="","",IF(IFERROR(INDEX(Services!$H$5:$H$54,MATCH(H378,Services!$B$5:$B$54,0)),0)=0,ExtraPetFeeDefault,IFERROR(INDEX(Services!$H$5:$H$54,MATCH(H378,Services!$B$5:$B$54,0)),0)))</f>
        <v>0</v>
      </c>
      <c r="R378" s="30">
        <f>IF(H378="","",IF(IFERROR(INDEX(Services!$I$5:$I$54,MATCH(H378,Services!$B$5:$B$54,0)),0)=0,HolidaySurcharge,IFERROR(INDEX(Services!$I$5:$I$54,MATCH(H378,Services!$B$5:$B$54,0)),0)))</f>
        <v>0</v>
      </c>
      <c r="S378" s="30">
        <f>IF(H378="","",IF(IFERROR(INDEX(Services!$J$5:$J$54,MATCH(H378,Services!$B$5:$B$54,0)),0)=0,WeekendSurcharge,IFERROR(INDEX(Services!$J$5:$J$54,MATCH(H378,Services!$B$5:$B$54,0)),0)))</f>
        <v>0</v>
      </c>
      <c r="T378" s="50">
        <f>IF(H378="","",IFERROR(INDEX(Services!$K$5:$K$54,MATCH(H378,Services!$B$5:$B$54,0)),"No"))</f>
        <v>0</v>
      </c>
      <c r="U378" s="29">
        <f>IF(H378="","",ROUND(IF(O378="Per hour",P378*IF(M378="",IF(N378="",1,N378),M378),P378*IF(N378="",1,N378)),2))</f>
        <v>0</v>
      </c>
      <c r="V378" s="29">
        <f>IF(H378="","",ROUND(MAX(0,IF(G378="",1,G378)-1)*Q378,2))</f>
        <v>0</v>
      </c>
      <c r="W378" s="50">
        <f>IF(I378="","",IF(COUNTIF(HolidayDates,I378)&gt;0,"Yes","No"))</f>
        <v>0</v>
      </c>
      <c r="X378" s="50">
        <f>IF(I378="","",IF(WEEKDAY(I378,2)&gt;5,"Yes","No"))</f>
        <v>0</v>
      </c>
      <c r="Y378" s="29">
        <f>IF(H378="","",ROUND((U378+V378)*(IF(W378="Yes",R378,0)+IF(X378="Yes",S378,0)),2))</f>
        <v>0</v>
      </c>
      <c r="AA378" s="29">
        <f>IF(H378="","",IF(T378&lt;&gt;"Yes",0,ROUND(MAX(0,IF(Z378="",0,Z378)-FreeTravelDistance)*TravelFeeRate,2)))</f>
        <v>0</v>
      </c>
      <c r="AB378" s="31">
        <f>IF(I378="","",TravelTimeMins)</f>
        <v>0</v>
      </c>
      <c r="AC378" s="29">
        <f>IF(OR(I378="",B378=""),0,IF(I378-B378&lt;=LastMinuteDays,EmergencyFee,0))</f>
        <v>0</v>
      </c>
      <c r="AF378" s="29">
        <f>IF(H378="","",ROUND((U378+V378+Y378+AA378+AC378)*IF(AE378="",0,AE378),2))</f>
        <v>0</v>
      </c>
      <c r="AI378" s="29">
        <f>IF(H378="","",IF(AG378&lt;&gt;"",AG378,ROUND(U378+V378+Y378+AA378+AC378-AF378,2)))</f>
        <v>0</v>
      </c>
      <c r="AJ378" s="29">
        <f>IF(AI378="","",IF(TaxRegistered&lt;&gt;"Yes",0,IF(PricesIncludeTax="Yes",ROUND(AI378-AI378/(1+TaxRate),2),ROUND(AI378*TaxRate,2))))</f>
        <v>0</v>
      </c>
      <c r="AK378" s="29">
        <f>IF(AI378="","",IF(PricesIncludeTax="Yes",AI378,ROUND(AI378+AJ378,2)))</f>
        <v>0</v>
      </c>
      <c r="AQ378" s="21">
        <f>IF(OR(I378="",AP378="",AP378="None"),"",IF(AP378="Monthly",EDATE(I378,1),I378+IF(AP378="Daily",1,IF(AP378="Weekdays",IF(WEEKDAY(I378,2)&gt;=5,8-WEEKDAY(I378,2),1),IF(AP378="Weekly",7,IF(AP378="Fortnightly",14,0))))))</f>
        <v>0</v>
      </c>
      <c r="AR378" s="49">
        <f>IF(OR(I378="",AL378="",K378="",L378=""),"",IF(SUMPRODUCT((Bookings!$AL$5:$AL$404=AL378)*(Bookings!$I$5:$I$404=I378)*(Bookings!$K$5:$K$404&lt;L378)*(Bookings!$L$5:$L$404&gt;K378)*(Bookings!$AM$5:$AM$404&lt;&gt;"Cancelled"))&gt;1,"Conflict - double booked","OK"))</f>
        <v>0</v>
      </c>
      <c r="AS378" s="50">
        <f>IF(A378="","",IF(COUNTIF('Visit Log'!$B$5:$B$404,A378)&gt;0,"Yes","No"))</f>
        <v>0</v>
      </c>
      <c r="AT378" s="28">
        <f>IF(A378="","",IFERROR(INDEX(Invoices!$A$5:$A$304,MATCH(A378,Invoices!$E$5:$E$304,0)),""))</f>
        <v>0</v>
      </c>
      <c r="AU378" s="49">
        <f>IF(A378="","",IF(AT378="","Not invoiced",IFERROR(INDEX(Invoices!$U$5:$U$304,MATCH(AT378,Invoices!$A$5:$A$304,0)),"")))</f>
        <v>0</v>
      </c>
      <c r="AY378" s="28">
        <f>IF(I378="","",TEXT(I378,"yyyy-mm"))</f>
        <v>0</v>
      </c>
      <c r="AZ378" s="49">
        <f>IF(I378="","",IF(AM378="Cancelled","Cancelled",IF(AND(I378&lt;TODAY(),OR(AM378="Pending",AM378="Confirmed",AM378="Enquiry")),"Overdue - update status",IF(AND(AM378="Completed",AS378="No"),"Action - log the visit",IF(I378=TODAY(),"Today",IF(AND(I378&gt;TODAY(),I378-TODAY()&lt;=ReminderLeadDays,AN378&lt;&gt;"Yes"),"Action - unconfirmed",IF(AND(I378&gt;TODAY(),I378-TODAY()&lt;=ReminderLeadDays),"Upcoming","OK")))))))</f>
        <v>0</v>
      </c>
    </row>
    <row r="379" spans="1:52">
      <c r="A379" s="46">
        <f>IF(C379="","",BookingPrefix&amp;TEXT(ROW()-4,"0000"))</f>
        <v>0</v>
      </c>
      <c r="D379" s="28">
        <f>IF(C379="","",IFERROR(INDEX(Clients!$A$5:$A$254,MATCH(C379,Clients!$B$5:$B$254,0)),""))</f>
        <v>0</v>
      </c>
      <c r="J379" s="50">
        <f>IF(I379="","",TEXT(I379,"ddd"))</f>
        <v>0</v>
      </c>
      <c r="M379" s="51">
        <f>IF(OR(K379="",L379=""),"",ROUND((L379-K379+IF(L379&lt;K379,1,0))*24,2))</f>
        <v>0</v>
      </c>
      <c r="O379" s="28">
        <f>IF(H379="","",IFERROR(INDEX(Services!$E$5:$E$54,MATCH(H379,Services!$B$5:$B$54,0)),""))</f>
        <v>0</v>
      </c>
      <c r="P379" s="29">
        <f>IF(H379="","",IFERROR(INDEX(Services!$G$5:$G$54,MATCH(H379,Services!$B$5:$B$54,0)),0))</f>
        <v>0</v>
      </c>
      <c r="Q379" s="29">
        <f>IF(H379="","",IF(IFERROR(INDEX(Services!$H$5:$H$54,MATCH(H379,Services!$B$5:$B$54,0)),0)=0,ExtraPetFeeDefault,IFERROR(INDEX(Services!$H$5:$H$54,MATCH(H379,Services!$B$5:$B$54,0)),0)))</f>
        <v>0</v>
      </c>
      <c r="R379" s="30">
        <f>IF(H379="","",IF(IFERROR(INDEX(Services!$I$5:$I$54,MATCH(H379,Services!$B$5:$B$54,0)),0)=0,HolidaySurcharge,IFERROR(INDEX(Services!$I$5:$I$54,MATCH(H379,Services!$B$5:$B$54,0)),0)))</f>
        <v>0</v>
      </c>
      <c r="S379" s="30">
        <f>IF(H379="","",IF(IFERROR(INDEX(Services!$J$5:$J$54,MATCH(H379,Services!$B$5:$B$54,0)),0)=0,WeekendSurcharge,IFERROR(INDEX(Services!$J$5:$J$54,MATCH(H379,Services!$B$5:$B$54,0)),0)))</f>
        <v>0</v>
      </c>
      <c r="T379" s="50">
        <f>IF(H379="","",IFERROR(INDEX(Services!$K$5:$K$54,MATCH(H379,Services!$B$5:$B$54,0)),"No"))</f>
        <v>0</v>
      </c>
      <c r="U379" s="29">
        <f>IF(H379="","",ROUND(IF(O379="Per hour",P379*IF(M379="",IF(N379="",1,N379),M379),P379*IF(N379="",1,N379)),2))</f>
        <v>0</v>
      </c>
      <c r="V379" s="29">
        <f>IF(H379="","",ROUND(MAX(0,IF(G379="",1,G379)-1)*Q379,2))</f>
        <v>0</v>
      </c>
      <c r="W379" s="50">
        <f>IF(I379="","",IF(COUNTIF(HolidayDates,I379)&gt;0,"Yes","No"))</f>
        <v>0</v>
      </c>
      <c r="X379" s="50">
        <f>IF(I379="","",IF(WEEKDAY(I379,2)&gt;5,"Yes","No"))</f>
        <v>0</v>
      </c>
      <c r="Y379" s="29">
        <f>IF(H379="","",ROUND((U379+V379)*(IF(W379="Yes",R379,0)+IF(X379="Yes",S379,0)),2))</f>
        <v>0</v>
      </c>
      <c r="AA379" s="29">
        <f>IF(H379="","",IF(T379&lt;&gt;"Yes",0,ROUND(MAX(0,IF(Z379="",0,Z379)-FreeTravelDistance)*TravelFeeRate,2)))</f>
        <v>0</v>
      </c>
      <c r="AB379" s="31">
        <f>IF(I379="","",TravelTimeMins)</f>
        <v>0</v>
      </c>
      <c r="AC379" s="29">
        <f>IF(OR(I379="",B379=""),0,IF(I379-B379&lt;=LastMinuteDays,EmergencyFee,0))</f>
        <v>0</v>
      </c>
      <c r="AF379" s="29">
        <f>IF(H379="","",ROUND((U379+V379+Y379+AA379+AC379)*IF(AE379="",0,AE379),2))</f>
        <v>0</v>
      </c>
      <c r="AI379" s="29">
        <f>IF(H379="","",IF(AG379&lt;&gt;"",AG379,ROUND(U379+V379+Y379+AA379+AC379-AF379,2)))</f>
        <v>0</v>
      </c>
      <c r="AJ379" s="29">
        <f>IF(AI379="","",IF(TaxRegistered&lt;&gt;"Yes",0,IF(PricesIncludeTax="Yes",ROUND(AI379-AI379/(1+TaxRate),2),ROUND(AI379*TaxRate,2))))</f>
        <v>0</v>
      </c>
      <c r="AK379" s="29">
        <f>IF(AI379="","",IF(PricesIncludeTax="Yes",AI379,ROUND(AI379+AJ379,2)))</f>
        <v>0</v>
      </c>
      <c r="AQ379" s="21">
        <f>IF(OR(I379="",AP379="",AP379="None"),"",IF(AP379="Monthly",EDATE(I379,1),I379+IF(AP379="Daily",1,IF(AP379="Weekdays",IF(WEEKDAY(I379,2)&gt;=5,8-WEEKDAY(I379,2),1),IF(AP379="Weekly",7,IF(AP379="Fortnightly",14,0))))))</f>
        <v>0</v>
      </c>
      <c r="AR379" s="49">
        <f>IF(OR(I379="",AL379="",K379="",L379=""),"",IF(SUMPRODUCT((Bookings!$AL$5:$AL$404=AL379)*(Bookings!$I$5:$I$404=I379)*(Bookings!$K$5:$K$404&lt;L379)*(Bookings!$L$5:$L$404&gt;K379)*(Bookings!$AM$5:$AM$404&lt;&gt;"Cancelled"))&gt;1,"Conflict - double booked","OK"))</f>
        <v>0</v>
      </c>
      <c r="AS379" s="50">
        <f>IF(A379="","",IF(COUNTIF('Visit Log'!$B$5:$B$404,A379)&gt;0,"Yes","No"))</f>
        <v>0</v>
      </c>
      <c r="AT379" s="28">
        <f>IF(A379="","",IFERROR(INDEX(Invoices!$A$5:$A$304,MATCH(A379,Invoices!$E$5:$E$304,0)),""))</f>
        <v>0</v>
      </c>
      <c r="AU379" s="49">
        <f>IF(A379="","",IF(AT379="","Not invoiced",IFERROR(INDEX(Invoices!$U$5:$U$304,MATCH(AT379,Invoices!$A$5:$A$304,0)),"")))</f>
        <v>0</v>
      </c>
      <c r="AY379" s="28">
        <f>IF(I379="","",TEXT(I379,"yyyy-mm"))</f>
        <v>0</v>
      </c>
      <c r="AZ379" s="49">
        <f>IF(I379="","",IF(AM379="Cancelled","Cancelled",IF(AND(I379&lt;TODAY(),OR(AM379="Pending",AM379="Confirmed",AM379="Enquiry")),"Overdue - update status",IF(AND(AM379="Completed",AS379="No"),"Action - log the visit",IF(I379=TODAY(),"Today",IF(AND(I379&gt;TODAY(),I379-TODAY()&lt;=ReminderLeadDays,AN379&lt;&gt;"Yes"),"Action - unconfirmed",IF(AND(I379&gt;TODAY(),I379-TODAY()&lt;=ReminderLeadDays),"Upcoming","OK")))))))</f>
        <v>0</v>
      </c>
    </row>
    <row r="380" spans="1:52">
      <c r="A380" s="46">
        <f>IF(C380="","",BookingPrefix&amp;TEXT(ROW()-4,"0000"))</f>
        <v>0</v>
      </c>
      <c r="D380" s="28">
        <f>IF(C380="","",IFERROR(INDEX(Clients!$A$5:$A$254,MATCH(C380,Clients!$B$5:$B$254,0)),""))</f>
        <v>0</v>
      </c>
      <c r="J380" s="50">
        <f>IF(I380="","",TEXT(I380,"ddd"))</f>
        <v>0</v>
      </c>
      <c r="M380" s="51">
        <f>IF(OR(K380="",L380=""),"",ROUND((L380-K380+IF(L380&lt;K380,1,0))*24,2))</f>
        <v>0</v>
      </c>
      <c r="O380" s="28">
        <f>IF(H380="","",IFERROR(INDEX(Services!$E$5:$E$54,MATCH(H380,Services!$B$5:$B$54,0)),""))</f>
        <v>0</v>
      </c>
      <c r="P380" s="29">
        <f>IF(H380="","",IFERROR(INDEX(Services!$G$5:$G$54,MATCH(H380,Services!$B$5:$B$54,0)),0))</f>
        <v>0</v>
      </c>
      <c r="Q380" s="29">
        <f>IF(H380="","",IF(IFERROR(INDEX(Services!$H$5:$H$54,MATCH(H380,Services!$B$5:$B$54,0)),0)=0,ExtraPetFeeDefault,IFERROR(INDEX(Services!$H$5:$H$54,MATCH(H380,Services!$B$5:$B$54,0)),0)))</f>
        <v>0</v>
      </c>
      <c r="R380" s="30">
        <f>IF(H380="","",IF(IFERROR(INDEX(Services!$I$5:$I$54,MATCH(H380,Services!$B$5:$B$54,0)),0)=0,HolidaySurcharge,IFERROR(INDEX(Services!$I$5:$I$54,MATCH(H380,Services!$B$5:$B$54,0)),0)))</f>
        <v>0</v>
      </c>
      <c r="S380" s="30">
        <f>IF(H380="","",IF(IFERROR(INDEX(Services!$J$5:$J$54,MATCH(H380,Services!$B$5:$B$54,0)),0)=0,WeekendSurcharge,IFERROR(INDEX(Services!$J$5:$J$54,MATCH(H380,Services!$B$5:$B$54,0)),0)))</f>
        <v>0</v>
      </c>
      <c r="T380" s="50">
        <f>IF(H380="","",IFERROR(INDEX(Services!$K$5:$K$54,MATCH(H380,Services!$B$5:$B$54,0)),"No"))</f>
        <v>0</v>
      </c>
      <c r="U380" s="29">
        <f>IF(H380="","",ROUND(IF(O380="Per hour",P380*IF(M380="",IF(N380="",1,N380),M380),P380*IF(N380="",1,N380)),2))</f>
        <v>0</v>
      </c>
      <c r="V380" s="29">
        <f>IF(H380="","",ROUND(MAX(0,IF(G380="",1,G380)-1)*Q380,2))</f>
        <v>0</v>
      </c>
      <c r="W380" s="50">
        <f>IF(I380="","",IF(COUNTIF(HolidayDates,I380)&gt;0,"Yes","No"))</f>
        <v>0</v>
      </c>
      <c r="X380" s="50">
        <f>IF(I380="","",IF(WEEKDAY(I380,2)&gt;5,"Yes","No"))</f>
        <v>0</v>
      </c>
      <c r="Y380" s="29">
        <f>IF(H380="","",ROUND((U380+V380)*(IF(W380="Yes",R380,0)+IF(X380="Yes",S380,0)),2))</f>
        <v>0</v>
      </c>
      <c r="AA380" s="29">
        <f>IF(H380="","",IF(T380&lt;&gt;"Yes",0,ROUND(MAX(0,IF(Z380="",0,Z380)-FreeTravelDistance)*TravelFeeRate,2)))</f>
        <v>0</v>
      </c>
      <c r="AB380" s="31">
        <f>IF(I380="","",TravelTimeMins)</f>
        <v>0</v>
      </c>
      <c r="AC380" s="29">
        <f>IF(OR(I380="",B380=""),0,IF(I380-B380&lt;=LastMinuteDays,EmergencyFee,0))</f>
        <v>0</v>
      </c>
      <c r="AF380" s="29">
        <f>IF(H380="","",ROUND((U380+V380+Y380+AA380+AC380)*IF(AE380="",0,AE380),2))</f>
        <v>0</v>
      </c>
      <c r="AI380" s="29">
        <f>IF(H380="","",IF(AG380&lt;&gt;"",AG380,ROUND(U380+V380+Y380+AA380+AC380-AF380,2)))</f>
        <v>0</v>
      </c>
      <c r="AJ380" s="29">
        <f>IF(AI380="","",IF(TaxRegistered&lt;&gt;"Yes",0,IF(PricesIncludeTax="Yes",ROUND(AI380-AI380/(1+TaxRate),2),ROUND(AI380*TaxRate,2))))</f>
        <v>0</v>
      </c>
      <c r="AK380" s="29">
        <f>IF(AI380="","",IF(PricesIncludeTax="Yes",AI380,ROUND(AI380+AJ380,2)))</f>
        <v>0</v>
      </c>
      <c r="AQ380" s="21">
        <f>IF(OR(I380="",AP380="",AP380="None"),"",IF(AP380="Monthly",EDATE(I380,1),I380+IF(AP380="Daily",1,IF(AP380="Weekdays",IF(WEEKDAY(I380,2)&gt;=5,8-WEEKDAY(I380,2),1),IF(AP380="Weekly",7,IF(AP380="Fortnightly",14,0))))))</f>
        <v>0</v>
      </c>
      <c r="AR380" s="49">
        <f>IF(OR(I380="",AL380="",K380="",L380=""),"",IF(SUMPRODUCT((Bookings!$AL$5:$AL$404=AL380)*(Bookings!$I$5:$I$404=I380)*(Bookings!$K$5:$K$404&lt;L380)*(Bookings!$L$5:$L$404&gt;K380)*(Bookings!$AM$5:$AM$404&lt;&gt;"Cancelled"))&gt;1,"Conflict - double booked","OK"))</f>
        <v>0</v>
      </c>
      <c r="AS380" s="50">
        <f>IF(A380="","",IF(COUNTIF('Visit Log'!$B$5:$B$404,A380)&gt;0,"Yes","No"))</f>
        <v>0</v>
      </c>
      <c r="AT380" s="28">
        <f>IF(A380="","",IFERROR(INDEX(Invoices!$A$5:$A$304,MATCH(A380,Invoices!$E$5:$E$304,0)),""))</f>
        <v>0</v>
      </c>
      <c r="AU380" s="49">
        <f>IF(A380="","",IF(AT380="","Not invoiced",IFERROR(INDEX(Invoices!$U$5:$U$304,MATCH(AT380,Invoices!$A$5:$A$304,0)),"")))</f>
        <v>0</v>
      </c>
      <c r="AY380" s="28">
        <f>IF(I380="","",TEXT(I380,"yyyy-mm"))</f>
        <v>0</v>
      </c>
      <c r="AZ380" s="49">
        <f>IF(I380="","",IF(AM380="Cancelled","Cancelled",IF(AND(I380&lt;TODAY(),OR(AM380="Pending",AM380="Confirmed",AM380="Enquiry")),"Overdue - update status",IF(AND(AM380="Completed",AS380="No"),"Action - log the visit",IF(I380=TODAY(),"Today",IF(AND(I380&gt;TODAY(),I380-TODAY()&lt;=ReminderLeadDays,AN380&lt;&gt;"Yes"),"Action - unconfirmed",IF(AND(I380&gt;TODAY(),I380-TODAY()&lt;=ReminderLeadDays),"Upcoming","OK")))))))</f>
        <v>0</v>
      </c>
    </row>
    <row r="381" spans="1:52">
      <c r="A381" s="46">
        <f>IF(C381="","",BookingPrefix&amp;TEXT(ROW()-4,"0000"))</f>
        <v>0</v>
      </c>
      <c r="D381" s="28">
        <f>IF(C381="","",IFERROR(INDEX(Clients!$A$5:$A$254,MATCH(C381,Clients!$B$5:$B$254,0)),""))</f>
        <v>0</v>
      </c>
      <c r="J381" s="50">
        <f>IF(I381="","",TEXT(I381,"ddd"))</f>
        <v>0</v>
      </c>
      <c r="M381" s="51">
        <f>IF(OR(K381="",L381=""),"",ROUND((L381-K381+IF(L381&lt;K381,1,0))*24,2))</f>
        <v>0</v>
      </c>
      <c r="O381" s="28">
        <f>IF(H381="","",IFERROR(INDEX(Services!$E$5:$E$54,MATCH(H381,Services!$B$5:$B$54,0)),""))</f>
        <v>0</v>
      </c>
      <c r="P381" s="29">
        <f>IF(H381="","",IFERROR(INDEX(Services!$G$5:$G$54,MATCH(H381,Services!$B$5:$B$54,0)),0))</f>
        <v>0</v>
      </c>
      <c r="Q381" s="29">
        <f>IF(H381="","",IF(IFERROR(INDEX(Services!$H$5:$H$54,MATCH(H381,Services!$B$5:$B$54,0)),0)=0,ExtraPetFeeDefault,IFERROR(INDEX(Services!$H$5:$H$54,MATCH(H381,Services!$B$5:$B$54,0)),0)))</f>
        <v>0</v>
      </c>
      <c r="R381" s="30">
        <f>IF(H381="","",IF(IFERROR(INDEX(Services!$I$5:$I$54,MATCH(H381,Services!$B$5:$B$54,0)),0)=0,HolidaySurcharge,IFERROR(INDEX(Services!$I$5:$I$54,MATCH(H381,Services!$B$5:$B$54,0)),0)))</f>
        <v>0</v>
      </c>
      <c r="S381" s="30">
        <f>IF(H381="","",IF(IFERROR(INDEX(Services!$J$5:$J$54,MATCH(H381,Services!$B$5:$B$54,0)),0)=0,WeekendSurcharge,IFERROR(INDEX(Services!$J$5:$J$54,MATCH(H381,Services!$B$5:$B$54,0)),0)))</f>
        <v>0</v>
      </c>
      <c r="T381" s="50">
        <f>IF(H381="","",IFERROR(INDEX(Services!$K$5:$K$54,MATCH(H381,Services!$B$5:$B$54,0)),"No"))</f>
        <v>0</v>
      </c>
      <c r="U381" s="29">
        <f>IF(H381="","",ROUND(IF(O381="Per hour",P381*IF(M381="",IF(N381="",1,N381),M381),P381*IF(N381="",1,N381)),2))</f>
        <v>0</v>
      </c>
      <c r="V381" s="29">
        <f>IF(H381="","",ROUND(MAX(0,IF(G381="",1,G381)-1)*Q381,2))</f>
        <v>0</v>
      </c>
      <c r="W381" s="50">
        <f>IF(I381="","",IF(COUNTIF(HolidayDates,I381)&gt;0,"Yes","No"))</f>
        <v>0</v>
      </c>
      <c r="X381" s="50">
        <f>IF(I381="","",IF(WEEKDAY(I381,2)&gt;5,"Yes","No"))</f>
        <v>0</v>
      </c>
      <c r="Y381" s="29">
        <f>IF(H381="","",ROUND((U381+V381)*(IF(W381="Yes",R381,0)+IF(X381="Yes",S381,0)),2))</f>
        <v>0</v>
      </c>
      <c r="AA381" s="29">
        <f>IF(H381="","",IF(T381&lt;&gt;"Yes",0,ROUND(MAX(0,IF(Z381="",0,Z381)-FreeTravelDistance)*TravelFeeRate,2)))</f>
        <v>0</v>
      </c>
      <c r="AB381" s="31">
        <f>IF(I381="","",TravelTimeMins)</f>
        <v>0</v>
      </c>
      <c r="AC381" s="29">
        <f>IF(OR(I381="",B381=""),0,IF(I381-B381&lt;=LastMinuteDays,EmergencyFee,0))</f>
        <v>0</v>
      </c>
      <c r="AF381" s="29">
        <f>IF(H381="","",ROUND((U381+V381+Y381+AA381+AC381)*IF(AE381="",0,AE381),2))</f>
        <v>0</v>
      </c>
      <c r="AI381" s="29">
        <f>IF(H381="","",IF(AG381&lt;&gt;"",AG381,ROUND(U381+V381+Y381+AA381+AC381-AF381,2)))</f>
        <v>0</v>
      </c>
      <c r="AJ381" s="29">
        <f>IF(AI381="","",IF(TaxRegistered&lt;&gt;"Yes",0,IF(PricesIncludeTax="Yes",ROUND(AI381-AI381/(1+TaxRate),2),ROUND(AI381*TaxRate,2))))</f>
        <v>0</v>
      </c>
      <c r="AK381" s="29">
        <f>IF(AI381="","",IF(PricesIncludeTax="Yes",AI381,ROUND(AI381+AJ381,2)))</f>
        <v>0</v>
      </c>
      <c r="AQ381" s="21">
        <f>IF(OR(I381="",AP381="",AP381="None"),"",IF(AP381="Monthly",EDATE(I381,1),I381+IF(AP381="Daily",1,IF(AP381="Weekdays",IF(WEEKDAY(I381,2)&gt;=5,8-WEEKDAY(I381,2),1),IF(AP381="Weekly",7,IF(AP381="Fortnightly",14,0))))))</f>
        <v>0</v>
      </c>
      <c r="AR381" s="49">
        <f>IF(OR(I381="",AL381="",K381="",L381=""),"",IF(SUMPRODUCT((Bookings!$AL$5:$AL$404=AL381)*(Bookings!$I$5:$I$404=I381)*(Bookings!$K$5:$K$404&lt;L381)*(Bookings!$L$5:$L$404&gt;K381)*(Bookings!$AM$5:$AM$404&lt;&gt;"Cancelled"))&gt;1,"Conflict - double booked","OK"))</f>
        <v>0</v>
      </c>
      <c r="AS381" s="50">
        <f>IF(A381="","",IF(COUNTIF('Visit Log'!$B$5:$B$404,A381)&gt;0,"Yes","No"))</f>
        <v>0</v>
      </c>
      <c r="AT381" s="28">
        <f>IF(A381="","",IFERROR(INDEX(Invoices!$A$5:$A$304,MATCH(A381,Invoices!$E$5:$E$304,0)),""))</f>
        <v>0</v>
      </c>
      <c r="AU381" s="49">
        <f>IF(A381="","",IF(AT381="","Not invoiced",IFERROR(INDEX(Invoices!$U$5:$U$304,MATCH(AT381,Invoices!$A$5:$A$304,0)),"")))</f>
        <v>0</v>
      </c>
      <c r="AY381" s="28">
        <f>IF(I381="","",TEXT(I381,"yyyy-mm"))</f>
        <v>0</v>
      </c>
      <c r="AZ381" s="49">
        <f>IF(I381="","",IF(AM381="Cancelled","Cancelled",IF(AND(I381&lt;TODAY(),OR(AM381="Pending",AM381="Confirmed",AM381="Enquiry")),"Overdue - update status",IF(AND(AM381="Completed",AS381="No"),"Action - log the visit",IF(I381=TODAY(),"Today",IF(AND(I381&gt;TODAY(),I381-TODAY()&lt;=ReminderLeadDays,AN381&lt;&gt;"Yes"),"Action - unconfirmed",IF(AND(I381&gt;TODAY(),I381-TODAY()&lt;=ReminderLeadDays),"Upcoming","OK")))))))</f>
        <v>0</v>
      </c>
    </row>
    <row r="382" spans="1:52">
      <c r="A382" s="46">
        <f>IF(C382="","",BookingPrefix&amp;TEXT(ROW()-4,"0000"))</f>
        <v>0</v>
      </c>
      <c r="D382" s="28">
        <f>IF(C382="","",IFERROR(INDEX(Clients!$A$5:$A$254,MATCH(C382,Clients!$B$5:$B$254,0)),""))</f>
        <v>0</v>
      </c>
      <c r="J382" s="50">
        <f>IF(I382="","",TEXT(I382,"ddd"))</f>
        <v>0</v>
      </c>
      <c r="M382" s="51">
        <f>IF(OR(K382="",L382=""),"",ROUND((L382-K382+IF(L382&lt;K382,1,0))*24,2))</f>
        <v>0</v>
      </c>
      <c r="O382" s="28">
        <f>IF(H382="","",IFERROR(INDEX(Services!$E$5:$E$54,MATCH(H382,Services!$B$5:$B$54,0)),""))</f>
        <v>0</v>
      </c>
      <c r="P382" s="29">
        <f>IF(H382="","",IFERROR(INDEX(Services!$G$5:$G$54,MATCH(H382,Services!$B$5:$B$54,0)),0))</f>
        <v>0</v>
      </c>
      <c r="Q382" s="29">
        <f>IF(H382="","",IF(IFERROR(INDEX(Services!$H$5:$H$54,MATCH(H382,Services!$B$5:$B$54,0)),0)=0,ExtraPetFeeDefault,IFERROR(INDEX(Services!$H$5:$H$54,MATCH(H382,Services!$B$5:$B$54,0)),0)))</f>
        <v>0</v>
      </c>
      <c r="R382" s="30">
        <f>IF(H382="","",IF(IFERROR(INDEX(Services!$I$5:$I$54,MATCH(H382,Services!$B$5:$B$54,0)),0)=0,HolidaySurcharge,IFERROR(INDEX(Services!$I$5:$I$54,MATCH(H382,Services!$B$5:$B$54,0)),0)))</f>
        <v>0</v>
      </c>
      <c r="S382" s="30">
        <f>IF(H382="","",IF(IFERROR(INDEX(Services!$J$5:$J$54,MATCH(H382,Services!$B$5:$B$54,0)),0)=0,WeekendSurcharge,IFERROR(INDEX(Services!$J$5:$J$54,MATCH(H382,Services!$B$5:$B$54,0)),0)))</f>
        <v>0</v>
      </c>
      <c r="T382" s="50">
        <f>IF(H382="","",IFERROR(INDEX(Services!$K$5:$K$54,MATCH(H382,Services!$B$5:$B$54,0)),"No"))</f>
        <v>0</v>
      </c>
      <c r="U382" s="29">
        <f>IF(H382="","",ROUND(IF(O382="Per hour",P382*IF(M382="",IF(N382="",1,N382),M382),P382*IF(N382="",1,N382)),2))</f>
        <v>0</v>
      </c>
      <c r="V382" s="29">
        <f>IF(H382="","",ROUND(MAX(0,IF(G382="",1,G382)-1)*Q382,2))</f>
        <v>0</v>
      </c>
      <c r="W382" s="50">
        <f>IF(I382="","",IF(COUNTIF(HolidayDates,I382)&gt;0,"Yes","No"))</f>
        <v>0</v>
      </c>
      <c r="X382" s="50">
        <f>IF(I382="","",IF(WEEKDAY(I382,2)&gt;5,"Yes","No"))</f>
        <v>0</v>
      </c>
      <c r="Y382" s="29">
        <f>IF(H382="","",ROUND((U382+V382)*(IF(W382="Yes",R382,0)+IF(X382="Yes",S382,0)),2))</f>
        <v>0</v>
      </c>
      <c r="AA382" s="29">
        <f>IF(H382="","",IF(T382&lt;&gt;"Yes",0,ROUND(MAX(0,IF(Z382="",0,Z382)-FreeTravelDistance)*TravelFeeRate,2)))</f>
        <v>0</v>
      </c>
      <c r="AB382" s="31">
        <f>IF(I382="","",TravelTimeMins)</f>
        <v>0</v>
      </c>
      <c r="AC382" s="29">
        <f>IF(OR(I382="",B382=""),0,IF(I382-B382&lt;=LastMinuteDays,EmergencyFee,0))</f>
        <v>0</v>
      </c>
      <c r="AF382" s="29">
        <f>IF(H382="","",ROUND((U382+V382+Y382+AA382+AC382)*IF(AE382="",0,AE382),2))</f>
        <v>0</v>
      </c>
      <c r="AI382" s="29">
        <f>IF(H382="","",IF(AG382&lt;&gt;"",AG382,ROUND(U382+V382+Y382+AA382+AC382-AF382,2)))</f>
        <v>0</v>
      </c>
      <c r="AJ382" s="29">
        <f>IF(AI382="","",IF(TaxRegistered&lt;&gt;"Yes",0,IF(PricesIncludeTax="Yes",ROUND(AI382-AI382/(1+TaxRate),2),ROUND(AI382*TaxRate,2))))</f>
        <v>0</v>
      </c>
      <c r="AK382" s="29">
        <f>IF(AI382="","",IF(PricesIncludeTax="Yes",AI382,ROUND(AI382+AJ382,2)))</f>
        <v>0</v>
      </c>
      <c r="AQ382" s="21">
        <f>IF(OR(I382="",AP382="",AP382="None"),"",IF(AP382="Monthly",EDATE(I382,1),I382+IF(AP382="Daily",1,IF(AP382="Weekdays",IF(WEEKDAY(I382,2)&gt;=5,8-WEEKDAY(I382,2),1),IF(AP382="Weekly",7,IF(AP382="Fortnightly",14,0))))))</f>
        <v>0</v>
      </c>
      <c r="AR382" s="49">
        <f>IF(OR(I382="",AL382="",K382="",L382=""),"",IF(SUMPRODUCT((Bookings!$AL$5:$AL$404=AL382)*(Bookings!$I$5:$I$404=I382)*(Bookings!$K$5:$K$404&lt;L382)*(Bookings!$L$5:$L$404&gt;K382)*(Bookings!$AM$5:$AM$404&lt;&gt;"Cancelled"))&gt;1,"Conflict - double booked","OK"))</f>
        <v>0</v>
      </c>
      <c r="AS382" s="50">
        <f>IF(A382="","",IF(COUNTIF('Visit Log'!$B$5:$B$404,A382)&gt;0,"Yes","No"))</f>
        <v>0</v>
      </c>
      <c r="AT382" s="28">
        <f>IF(A382="","",IFERROR(INDEX(Invoices!$A$5:$A$304,MATCH(A382,Invoices!$E$5:$E$304,0)),""))</f>
        <v>0</v>
      </c>
      <c r="AU382" s="49">
        <f>IF(A382="","",IF(AT382="","Not invoiced",IFERROR(INDEX(Invoices!$U$5:$U$304,MATCH(AT382,Invoices!$A$5:$A$304,0)),"")))</f>
        <v>0</v>
      </c>
      <c r="AY382" s="28">
        <f>IF(I382="","",TEXT(I382,"yyyy-mm"))</f>
        <v>0</v>
      </c>
      <c r="AZ382" s="49">
        <f>IF(I382="","",IF(AM382="Cancelled","Cancelled",IF(AND(I382&lt;TODAY(),OR(AM382="Pending",AM382="Confirmed",AM382="Enquiry")),"Overdue - update status",IF(AND(AM382="Completed",AS382="No"),"Action - log the visit",IF(I382=TODAY(),"Today",IF(AND(I382&gt;TODAY(),I382-TODAY()&lt;=ReminderLeadDays,AN382&lt;&gt;"Yes"),"Action - unconfirmed",IF(AND(I382&gt;TODAY(),I382-TODAY()&lt;=ReminderLeadDays),"Upcoming","OK")))))))</f>
        <v>0</v>
      </c>
    </row>
    <row r="383" spans="1:52">
      <c r="A383" s="46">
        <f>IF(C383="","",BookingPrefix&amp;TEXT(ROW()-4,"0000"))</f>
        <v>0</v>
      </c>
      <c r="D383" s="28">
        <f>IF(C383="","",IFERROR(INDEX(Clients!$A$5:$A$254,MATCH(C383,Clients!$B$5:$B$254,0)),""))</f>
        <v>0</v>
      </c>
      <c r="J383" s="50">
        <f>IF(I383="","",TEXT(I383,"ddd"))</f>
        <v>0</v>
      </c>
      <c r="M383" s="51">
        <f>IF(OR(K383="",L383=""),"",ROUND((L383-K383+IF(L383&lt;K383,1,0))*24,2))</f>
        <v>0</v>
      </c>
      <c r="O383" s="28">
        <f>IF(H383="","",IFERROR(INDEX(Services!$E$5:$E$54,MATCH(H383,Services!$B$5:$B$54,0)),""))</f>
        <v>0</v>
      </c>
      <c r="P383" s="29">
        <f>IF(H383="","",IFERROR(INDEX(Services!$G$5:$G$54,MATCH(H383,Services!$B$5:$B$54,0)),0))</f>
        <v>0</v>
      </c>
      <c r="Q383" s="29">
        <f>IF(H383="","",IF(IFERROR(INDEX(Services!$H$5:$H$54,MATCH(H383,Services!$B$5:$B$54,0)),0)=0,ExtraPetFeeDefault,IFERROR(INDEX(Services!$H$5:$H$54,MATCH(H383,Services!$B$5:$B$54,0)),0)))</f>
        <v>0</v>
      </c>
      <c r="R383" s="30">
        <f>IF(H383="","",IF(IFERROR(INDEX(Services!$I$5:$I$54,MATCH(H383,Services!$B$5:$B$54,0)),0)=0,HolidaySurcharge,IFERROR(INDEX(Services!$I$5:$I$54,MATCH(H383,Services!$B$5:$B$54,0)),0)))</f>
        <v>0</v>
      </c>
      <c r="S383" s="30">
        <f>IF(H383="","",IF(IFERROR(INDEX(Services!$J$5:$J$54,MATCH(H383,Services!$B$5:$B$54,0)),0)=0,WeekendSurcharge,IFERROR(INDEX(Services!$J$5:$J$54,MATCH(H383,Services!$B$5:$B$54,0)),0)))</f>
        <v>0</v>
      </c>
      <c r="T383" s="50">
        <f>IF(H383="","",IFERROR(INDEX(Services!$K$5:$K$54,MATCH(H383,Services!$B$5:$B$54,0)),"No"))</f>
        <v>0</v>
      </c>
      <c r="U383" s="29">
        <f>IF(H383="","",ROUND(IF(O383="Per hour",P383*IF(M383="",IF(N383="",1,N383),M383),P383*IF(N383="",1,N383)),2))</f>
        <v>0</v>
      </c>
      <c r="V383" s="29">
        <f>IF(H383="","",ROUND(MAX(0,IF(G383="",1,G383)-1)*Q383,2))</f>
        <v>0</v>
      </c>
      <c r="W383" s="50">
        <f>IF(I383="","",IF(COUNTIF(HolidayDates,I383)&gt;0,"Yes","No"))</f>
        <v>0</v>
      </c>
      <c r="X383" s="50">
        <f>IF(I383="","",IF(WEEKDAY(I383,2)&gt;5,"Yes","No"))</f>
        <v>0</v>
      </c>
      <c r="Y383" s="29">
        <f>IF(H383="","",ROUND((U383+V383)*(IF(W383="Yes",R383,0)+IF(X383="Yes",S383,0)),2))</f>
        <v>0</v>
      </c>
      <c r="AA383" s="29">
        <f>IF(H383="","",IF(T383&lt;&gt;"Yes",0,ROUND(MAX(0,IF(Z383="",0,Z383)-FreeTravelDistance)*TravelFeeRate,2)))</f>
        <v>0</v>
      </c>
      <c r="AB383" s="31">
        <f>IF(I383="","",TravelTimeMins)</f>
        <v>0</v>
      </c>
      <c r="AC383" s="29">
        <f>IF(OR(I383="",B383=""),0,IF(I383-B383&lt;=LastMinuteDays,EmergencyFee,0))</f>
        <v>0</v>
      </c>
      <c r="AF383" s="29">
        <f>IF(H383="","",ROUND((U383+V383+Y383+AA383+AC383)*IF(AE383="",0,AE383),2))</f>
        <v>0</v>
      </c>
      <c r="AI383" s="29">
        <f>IF(H383="","",IF(AG383&lt;&gt;"",AG383,ROUND(U383+V383+Y383+AA383+AC383-AF383,2)))</f>
        <v>0</v>
      </c>
      <c r="AJ383" s="29">
        <f>IF(AI383="","",IF(TaxRegistered&lt;&gt;"Yes",0,IF(PricesIncludeTax="Yes",ROUND(AI383-AI383/(1+TaxRate),2),ROUND(AI383*TaxRate,2))))</f>
        <v>0</v>
      </c>
      <c r="AK383" s="29">
        <f>IF(AI383="","",IF(PricesIncludeTax="Yes",AI383,ROUND(AI383+AJ383,2)))</f>
        <v>0</v>
      </c>
      <c r="AQ383" s="21">
        <f>IF(OR(I383="",AP383="",AP383="None"),"",IF(AP383="Monthly",EDATE(I383,1),I383+IF(AP383="Daily",1,IF(AP383="Weekdays",IF(WEEKDAY(I383,2)&gt;=5,8-WEEKDAY(I383,2),1),IF(AP383="Weekly",7,IF(AP383="Fortnightly",14,0))))))</f>
        <v>0</v>
      </c>
      <c r="AR383" s="49">
        <f>IF(OR(I383="",AL383="",K383="",L383=""),"",IF(SUMPRODUCT((Bookings!$AL$5:$AL$404=AL383)*(Bookings!$I$5:$I$404=I383)*(Bookings!$K$5:$K$404&lt;L383)*(Bookings!$L$5:$L$404&gt;K383)*(Bookings!$AM$5:$AM$404&lt;&gt;"Cancelled"))&gt;1,"Conflict - double booked","OK"))</f>
        <v>0</v>
      </c>
      <c r="AS383" s="50">
        <f>IF(A383="","",IF(COUNTIF('Visit Log'!$B$5:$B$404,A383)&gt;0,"Yes","No"))</f>
        <v>0</v>
      </c>
      <c r="AT383" s="28">
        <f>IF(A383="","",IFERROR(INDEX(Invoices!$A$5:$A$304,MATCH(A383,Invoices!$E$5:$E$304,0)),""))</f>
        <v>0</v>
      </c>
      <c r="AU383" s="49">
        <f>IF(A383="","",IF(AT383="","Not invoiced",IFERROR(INDEX(Invoices!$U$5:$U$304,MATCH(AT383,Invoices!$A$5:$A$304,0)),"")))</f>
        <v>0</v>
      </c>
      <c r="AY383" s="28">
        <f>IF(I383="","",TEXT(I383,"yyyy-mm"))</f>
        <v>0</v>
      </c>
      <c r="AZ383" s="49">
        <f>IF(I383="","",IF(AM383="Cancelled","Cancelled",IF(AND(I383&lt;TODAY(),OR(AM383="Pending",AM383="Confirmed",AM383="Enquiry")),"Overdue - update status",IF(AND(AM383="Completed",AS383="No"),"Action - log the visit",IF(I383=TODAY(),"Today",IF(AND(I383&gt;TODAY(),I383-TODAY()&lt;=ReminderLeadDays,AN383&lt;&gt;"Yes"),"Action - unconfirmed",IF(AND(I383&gt;TODAY(),I383-TODAY()&lt;=ReminderLeadDays),"Upcoming","OK")))))))</f>
        <v>0</v>
      </c>
    </row>
    <row r="384" spans="1:52">
      <c r="A384" s="46">
        <f>IF(C384="","",BookingPrefix&amp;TEXT(ROW()-4,"0000"))</f>
        <v>0</v>
      </c>
      <c r="D384" s="28">
        <f>IF(C384="","",IFERROR(INDEX(Clients!$A$5:$A$254,MATCH(C384,Clients!$B$5:$B$254,0)),""))</f>
        <v>0</v>
      </c>
      <c r="J384" s="50">
        <f>IF(I384="","",TEXT(I384,"ddd"))</f>
        <v>0</v>
      </c>
      <c r="M384" s="51">
        <f>IF(OR(K384="",L384=""),"",ROUND((L384-K384+IF(L384&lt;K384,1,0))*24,2))</f>
        <v>0</v>
      </c>
      <c r="O384" s="28">
        <f>IF(H384="","",IFERROR(INDEX(Services!$E$5:$E$54,MATCH(H384,Services!$B$5:$B$54,0)),""))</f>
        <v>0</v>
      </c>
      <c r="P384" s="29">
        <f>IF(H384="","",IFERROR(INDEX(Services!$G$5:$G$54,MATCH(H384,Services!$B$5:$B$54,0)),0))</f>
        <v>0</v>
      </c>
      <c r="Q384" s="29">
        <f>IF(H384="","",IF(IFERROR(INDEX(Services!$H$5:$H$54,MATCH(H384,Services!$B$5:$B$54,0)),0)=0,ExtraPetFeeDefault,IFERROR(INDEX(Services!$H$5:$H$54,MATCH(H384,Services!$B$5:$B$54,0)),0)))</f>
        <v>0</v>
      </c>
      <c r="R384" s="30">
        <f>IF(H384="","",IF(IFERROR(INDEX(Services!$I$5:$I$54,MATCH(H384,Services!$B$5:$B$54,0)),0)=0,HolidaySurcharge,IFERROR(INDEX(Services!$I$5:$I$54,MATCH(H384,Services!$B$5:$B$54,0)),0)))</f>
        <v>0</v>
      </c>
      <c r="S384" s="30">
        <f>IF(H384="","",IF(IFERROR(INDEX(Services!$J$5:$J$54,MATCH(H384,Services!$B$5:$B$54,0)),0)=0,WeekendSurcharge,IFERROR(INDEX(Services!$J$5:$J$54,MATCH(H384,Services!$B$5:$B$54,0)),0)))</f>
        <v>0</v>
      </c>
      <c r="T384" s="50">
        <f>IF(H384="","",IFERROR(INDEX(Services!$K$5:$K$54,MATCH(H384,Services!$B$5:$B$54,0)),"No"))</f>
        <v>0</v>
      </c>
      <c r="U384" s="29">
        <f>IF(H384="","",ROUND(IF(O384="Per hour",P384*IF(M384="",IF(N384="",1,N384),M384),P384*IF(N384="",1,N384)),2))</f>
        <v>0</v>
      </c>
      <c r="V384" s="29">
        <f>IF(H384="","",ROUND(MAX(0,IF(G384="",1,G384)-1)*Q384,2))</f>
        <v>0</v>
      </c>
      <c r="W384" s="50">
        <f>IF(I384="","",IF(COUNTIF(HolidayDates,I384)&gt;0,"Yes","No"))</f>
        <v>0</v>
      </c>
      <c r="X384" s="50">
        <f>IF(I384="","",IF(WEEKDAY(I384,2)&gt;5,"Yes","No"))</f>
        <v>0</v>
      </c>
      <c r="Y384" s="29">
        <f>IF(H384="","",ROUND((U384+V384)*(IF(W384="Yes",R384,0)+IF(X384="Yes",S384,0)),2))</f>
        <v>0</v>
      </c>
      <c r="AA384" s="29">
        <f>IF(H384="","",IF(T384&lt;&gt;"Yes",0,ROUND(MAX(0,IF(Z384="",0,Z384)-FreeTravelDistance)*TravelFeeRate,2)))</f>
        <v>0</v>
      </c>
      <c r="AB384" s="31">
        <f>IF(I384="","",TravelTimeMins)</f>
        <v>0</v>
      </c>
      <c r="AC384" s="29">
        <f>IF(OR(I384="",B384=""),0,IF(I384-B384&lt;=LastMinuteDays,EmergencyFee,0))</f>
        <v>0</v>
      </c>
      <c r="AF384" s="29">
        <f>IF(H384="","",ROUND((U384+V384+Y384+AA384+AC384)*IF(AE384="",0,AE384),2))</f>
        <v>0</v>
      </c>
      <c r="AI384" s="29">
        <f>IF(H384="","",IF(AG384&lt;&gt;"",AG384,ROUND(U384+V384+Y384+AA384+AC384-AF384,2)))</f>
        <v>0</v>
      </c>
      <c r="AJ384" s="29">
        <f>IF(AI384="","",IF(TaxRegistered&lt;&gt;"Yes",0,IF(PricesIncludeTax="Yes",ROUND(AI384-AI384/(1+TaxRate),2),ROUND(AI384*TaxRate,2))))</f>
        <v>0</v>
      </c>
      <c r="AK384" s="29">
        <f>IF(AI384="","",IF(PricesIncludeTax="Yes",AI384,ROUND(AI384+AJ384,2)))</f>
        <v>0</v>
      </c>
      <c r="AQ384" s="21">
        <f>IF(OR(I384="",AP384="",AP384="None"),"",IF(AP384="Monthly",EDATE(I384,1),I384+IF(AP384="Daily",1,IF(AP384="Weekdays",IF(WEEKDAY(I384,2)&gt;=5,8-WEEKDAY(I384,2),1),IF(AP384="Weekly",7,IF(AP384="Fortnightly",14,0))))))</f>
        <v>0</v>
      </c>
      <c r="AR384" s="49">
        <f>IF(OR(I384="",AL384="",K384="",L384=""),"",IF(SUMPRODUCT((Bookings!$AL$5:$AL$404=AL384)*(Bookings!$I$5:$I$404=I384)*(Bookings!$K$5:$K$404&lt;L384)*(Bookings!$L$5:$L$404&gt;K384)*(Bookings!$AM$5:$AM$404&lt;&gt;"Cancelled"))&gt;1,"Conflict - double booked","OK"))</f>
        <v>0</v>
      </c>
      <c r="AS384" s="50">
        <f>IF(A384="","",IF(COUNTIF('Visit Log'!$B$5:$B$404,A384)&gt;0,"Yes","No"))</f>
        <v>0</v>
      </c>
      <c r="AT384" s="28">
        <f>IF(A384="","",IFERROR(INDEX(Invoices!$A$5:$A$304,MATCH(A384,Invoices!$E$5:$E$304,0)),""))</f>
        <v>0</v>
      </c>
      <c r="AU384" s="49">
        <f>IF(A384="","",IF(AT384="","Not invoiced",IFERROR(INDEX(Invoices!$U$5:$U$304,MATCH(AT384,Invoices!$A$5:$A$304,0)),"")))</f>
        <v>0</v>
      </c>
      <c r="AY384" s="28">
        <f>IF(I384="","",TEXT(I384,"yyyy-mm"))</f>
        <v>0</v>
      </c>
      <c r="AZ384" s="49">
        <f>IF(I384="","",IF(AM384="Cancelled","Cancelled",IF(AND(I384&lt;TODAY(),OR(AM384="Pending",AM384="Confirmed",AM384="Enquiry")),"Overdue - update status",IF(AND(AM384="Completed",AS384="No"),"Action - log the visit",IF(I384=TODAY(),"Today",IF(AND(I384&gt;TODAY(),I384-TODAY()&lt;=ReminderLeadDays,AN384&lt;&gt;"Yes"),"Action - unconfirmed",IF(AND(I384&gt;TODAY(),I384-TODAY()&lt;=ReminderLeadDays),"Upcoming","OK")))))))</f>
        <v>0</v>
      </c>
    </row>
    <row r="385" spans="1:52">
      <c r="A385" s="46">
        <f>IF(C385="","",BookingPrefix&amp;TEXT(ROW()-4,"0000"))</f>
        <v>0</v>
      </c>
      <c r="D385" s="28">
        <f>IF(C385="","",IFERROR(INDEX(Clients!$A$5:$A$254,MATCH(C385,Clients!$B$5:$B$254,0)),""))</f>
        <v>0</v>
      </c>
      <c r="J385" s="50">
        <f>IF(I385="","",TEXT(I385,"ddd"))</f>
        <v>0</v>
      </c>
      <c r="M385" s="51">
        <f>IF(OR(K385="",L385=""),"",ROUND((L385-K385+IF(L385&lt;K385,1,0))*24,2))</f>
        <v>0</v>
      </c>
      <c r="O385" s="28">
        <f>IF(H385="","",IFERROR(INDEX(Services!$E$5:$E$54,MATCH(H385,Services!$B$5:$B$54,0)),""))</f>
        <v>0</v>
      </c>
      <c r="P385" s="29">
        <f>IF(H385="","",IFERROR(INDEX(Services!$G$5:$G$54,MATCH(H385,Services!$B$5:$B$54,0)),0))</f>
        <v>0</v>
      </c>
      <c r="Q385" s="29">
        <f>IF(H385="","",IF(IFERROR(INDEX(Services!$H$5:$H$54,MATCH(H385,Services!$B$5:$B$54,0)),0)=0,ExtraPetFeeDefault,IFERROR(INDEX(Services!$H$5:$H$54,MATCH(H385,Services!$B$5:$B$54,0)),0)))</f>
        <v>0</v>
      </c>
      <c r="R385" s="30">
        <f>IF(H385="","",IF(IFERROR(INDEX(Services!$I$5:$I$54,MATCH(H385,Services!$B$5:$B$54,0)),0)=0,HolidaySurcharge,IFERROR(INDEX(Services!$I$5:$I$54,MATCH(H385,Services!$B$5:$B$54,0)),0)))</f>
        <v>0</v>
      </c>
      <c r="S385" s="30">
        <f>IF(H385="","",IF(IFERROR(INDEX(Services!$J$5:$J$54,MATCH(H385,Services!$B$5:$B$54,0)),0)=0,WeekendSurcharge,IFERROR(INDEX(Services!$J$5:$J$54,MATCH(H385,Services!$B$5:$B$54,0)),0)))</f>
        <v>0</v>
      </c>
      <c r="T385" s="50">
        <f>IF(H385="","",IFERROR(INDEX(Services!$K$5:$K$54,MATCH(H385,Services!$B$5:$B$54,0)),"No"))</f>
        <v>0</v>
      </c>
      <c r="U385" s="29">
        <f>IF(H385="","",ROUND(IF(O385="Per hour",P385*IF(M385="",IF(N385="",1,N385),M385),P385*IF(N385="",1,N385)),2))</f>
        <v>0</v>
      </c>
      <c r="V385" s="29">
        <f>IF(H385="","",ROUND(MAX(0,IF(G385="",1,G385)-1)*Q385,2))</f>
        <v>0</v>
      </c>
      <c r="W385" s="50">
        <f>IF(I385="","",IF(COUNTIF(HolidayDates,I385)&gt;0,"Yes","No"))</f>
        <v>0</v>
      </c>
      <c r="X385" s="50">
        <f>IF(I385="","",IF(WEEKDAY(I385,2)&gt;5,"Yes","No"))</f>
        <v>0</v>
      </c>
      <c r="Y385" s="29">
        <f>IF(H385="","",ROUND((U385+V385)*(IF(W385="Yes",R385,0)+IF(X385="Yes",S385,0)),2))</f>
        <v>0</v>
      </c>
      <c r="AA385" s="29">
        <f>IF(H385="","",IF(T385&lt;&gt;"Yes",0,ROUND(MAX(0,IF(Z385="",0,Z385)-FreeTravelDistance)*TravelFeeRate,2)))</f>
        <v>0</v>
      </c>
      <c r="AB385" s="31">
        <f>IF(I385="","",TravelTimeMins)</f>
        <v>0</v>
      </c>
      <c r="AC385" s="29">
        <f>IF(OR(I385="",B385=""),0,IF(I385-B385&lt;=LastMinuteDays,EmergencyFee,0))</f>
        <v>0</v>
      </c>
      <c r="AF385" s="29">
        <f>IF(H385="","",ROUND((U385+V385+Y385+AA385+AC385)*IF(AE385="",0,AE385),2))</f>
        <v>0</v>
      </c>
      <c r="AI385" s="29">
        <f>IF(H385="","",IF(AG385&lt;&gt;"",AG385,ROUND(U385+V385+Y385+AA385+AC385-AF385,2)))</f>
        <v>0</v>
      </c>
      <c r="AJ385" s="29">
        <f>IF(AI385="","",IF(TaxRegistered&lt;&gt;"Yes",0,IF(PricesIncludeTax="Yes",ROUND(AI385-AI385/(1+TaxRate),2),ROUND(AI385*TaxRate,2))))</f>
        <v>0</v>
      </c>
      <c r="AK385" s="29">
        <f>IF(AI385="","",IF(PricesIncludeTax="Yes",AI385,ROUND(AI385+AJ385,2)))</f>
        <v>0</v>
      </c>
      <c r="AQ385" s="21">
        <f>IF(OR(I385="",AP385="",AP385="None"),"",IF(AP385="Monthly",EDATE(I385,1),I385+IF(AP385="Daily",1,IF(AP385="Weekdays",IF(WEEKDAY(I385,2)&gt;=5,8-WEEKDAY(I385,2),1),IF(AP385="Weekly",7,IF(AP385="Fortnightly",14,0))))))</f>
        <v>0</v>
      </c>
      <c r="AR385" s="49">
        <f>IF(OR(I385="",AL385="",K385="",L385=""),"",IF(SUMPRODUCT((Bookings!$AL$5:$AL$404=AL385)*(Bookings!$I$5:$I$404=I385)*(Bookings!$K$5:$K$404&lt;L385)*(Bookings!$L$5:$L$404&gt;K385)*(Bookings!$AM$5:$AM$404&lt;&gt;"Cancelled"))&gt;1,"Conflict - double booked","OK"))</f>
        <v>0</v>
      </c>
      <c r="AS385" s="50">
        <f>IF(A385="","",IF(COUNTIF('Visit Log'!$B$5:$B$404,A385)&gt;0,"Yes","No"))</f>
        <v>0</v>
      </c>
      <c r="AT385" s="28">
        <f>IF(A385="","",IFERROR(INDEX(Invoices!$A$5:$A$304,MATCH(A385,Invoices!$E$5:$E$304,0)),""))</f>
        <v>0</v>
      </c>
      <c r="AU385" s="49">
        <f>IF(A385="","",IF(AT385="","Not invoiced",IFERROR(INDEX(Invoices!$U$5:$U$304,MATCH(AT385,Invoices!$A$5:$A$304,0)),"")))</f>
        <v>0</v>
      </c>
      <c r="AY385" s="28">
        <f>IF(I385="","",TEXT(I385,"yyyy-mm"))</f>
        <v>0</v>
      </c>
      <c r="AZ385" s="49">
        <f>IF(I385="","",IF(AM385="Cancelled","Cancelled",IF(AND(I385&lt;TODAY(),OR(AM385="Pending",AM385="Confirmed",AM385="Enquiry")),"Overdue - update status",IF(AND(AM385="Completed",AS385="No"),"Action - log the visit",IF(I385=TODAY(),"Today",IF(AND(I385&gt;TODAY(),I385-TODAY()&lt;=ReminderLeadDays,AN385&lt;&gt;"Yes"),"Action - unconfirmed",IF(AND(I385&gt;TODAY(),I385-TODAY()&lt;=ReminderLeadDays),"Upcoming","OK")))))))</f>
        <v>0</v>
      </c>
    </row>
    <row r="386" spans="1:52">
      <c r="A386" s="46">
        <f>IF(C386="","",BookingPrefix&amp;TEXT(ROW()-4,"0000"))</f>
        <v>0</v>
      </c>
      <c r="D386" s="28">
        <f>IF(C386="","",IFERROR(INDEX(Clients!$A$5:$A$254,MATCH(C386,Clients!$B$5:$B$254,0)),""))</f>
        <v>0</v>
      </c>
      <c r="J386" s="50">
        <f>IF(I386="","",TEXT(I386,"ddd"))</f>
        <v>0</v>
      </c>
      <c r="M386" s="51">
        <f>IF(OR(K386="",L386=""),"",ROUND((L386-K386+IF(L386&lt;K386,1,0))*24,2))</f>
        <v>0</v>
      </c>
      <c r="O386" s="28">
        <f>IF(H386="","",IFERROR(INDEX(Services!$E$5:$E$54,MATCH(H386,Services!$B$5:$B$54,0)),""))</f>
        <v>0</v>
      </c>
      <c r="P386" s="29">
        <f>IF(H386="","",IFERROR(INDEX(Services!$G$5:$G$54,MATCH(H386,Services!$B$5:$B$54,0)),0))</f>
        <v>0</v>
      </c>
      <c r="Q386" s="29">
        <f>IF(H386="","",IF(IFERROR(INDEX(Services!$H$5:$H$54,MATCH(H386,Services!$B$5:$B$54,0)),0)=0,ExtraPetFeeDefault,IFERROR(INDEX(Services!$H$5:$H$54,MATCH(H386,Services!$B$5:$B$54,0)),0)))</f>
        <v>0</v>
      </c>
      <c r="R386" s="30">
        <f>IF(H386="","",IF(IFERROR(INDEX(Services!$I$5:$I$54,MATCH(H386,Services!$B$5:$B$54,0)),0)=0,HolidaySurcharge,IFERROR(INDEX(Services!$I$5:$I$54,MATCH(H386,Services!$B$5:$B$54,0)),0)))</f>
        <v>0</v>
      </c>
      <c r="S386" s="30">
        <f>IF(H386="","",IF(IFERROR(INDEX(Services!$J$5:$J$54,MATCH(H386,Services!$B$5:$B$54,0)),0)=0,WeekendSurcharge,IFERROR(INDEX(Services!$J$5:$J$54,MATCH(H386,Services!$B$5:$B$54,0)),0)))</f>
        <v>0</v>
      </c>
      <c r="T386" s="50">
        <f>IF(H386="","",IFERROR(INDEX(Services!$K$5:$K$54,MATCH(H386,Services!$B$5:$B$54,0)),"No"))</f>
        <v>0</v>
      </c>
      <c r="U386" s="29">
        <f>IF(H386="","",ROUND(IF(O386="Per hour",P386*IF(M386="",IF(N386="",1,N386),M386),P386*IF(N386="",1,N386)),2))</f>
        <v>0</v>
      </c>
      <c r="V386" s="29">
        <f>IF(H386="","",ROUND(MAX(0,IF(G386="",1,G386)-1)*Q386,2))</f>
        <v>0</v>
      </c>
      <c r="W386" s="50">
        <f>IF(I386="","",IF(COUNTIF(HolidayDates,I386)&gt;0,"Yes","No"))</f>
        <v>0</v>
      </c>
      <c r="X386" s="50">
        <f>IF(I386="","",IF(WEEKDAY(I386,2)&gt;5,"Yes","No"))</f>
        <v>0</v>
      </c>
      <c r="Y386" s="29">
        <f>IF(H386="","",ROUND((U386+V386)*(IF(W386="Yes",R386,0)+IF(X386="Yes",S386,0)),2))</f>
        <v>0</v>
      </c>
      <c r="AA386" s="29">
        <f>IF(H386="","",IF(T386&lt;&gt;"Yes",0,ROUND(MAX(0,IF(Z386="",0,Z386)-FreeTravelDistance)*TravelFeeRate,2)))</f>
        <v>0</v>
      </c>
      <c r="AB386" s="31">
        <f>IF(I386="","",TravelTimeMins)</f>
        <v>0</v>
      </c>
      <c r="AC386" s="29">
        <f>IF(OR(I386="",B386=""),0,IF(I386-B386&lt;=LastMinuteDays,EmergencyFee,0))</f>
        <v>0</v>
      </c>
      <c r="AF386" s="29">
        <f>IF(H386="","",ROUND((U386+V386+Y386+AA386+AC386)*IF(AE386="",0,AE386),2))</f>
        <v>0</v>
      </c>
      <c r="AI386" s="29">
        <f>IF(H386="","",IF(AG386&lt;&gt;"",AG386,ROUND(U386+V386+Y386+AA386+AC386-AF386,2)))</f>
        <v>0</v>
      </c>
      <c r="AJ386" s="29">
        <f>IF(AI386="","",IF(TaxRegistered&lt;&gt;"Yes",0,IF(PricesIncludeTax="Yes",ROUND(AI386-AI386/(1+TaxRate),2),ROUND(AI386*TaxRate,2))))</f>
        <v>0</v>
      </c>
      <c r="AK386" s="29">
        <f>IF(AI386="","",IF(PricesIncludeTax="Yes",AI386,ROUND(AI386+AJ386,2)))</f>
        <v>0</v>
      </c>
      <c r="AQ386" s="21">
        <f>IF(OR(I386="",AP386="",AP386="None"),"",IF(AP386="Monthly",EDATE(I386,1),I386+IF(AP386="Daily",1,IF(AP386="Weekdays",IF(WEEKDAY(I386,2)&gt;=5,8-WEEKDAY(I386,2),1),IF(AP386="Weekly",7,IF(AP386="Fortnightly",14,0))))))</f>
        <v>0</v>
      </c>
      <c r="AR386" s="49">
        <f>IF(OR(I386="",AL386="",K386="",L386=""),"",IF(SUMPRODUCT((Bookings!$AL$5:$AL$404=AL386)*(Bookings!$I$5:$I$404=I386)*(Bookings!$K$5:$K$404&lt;L386)*(Bookings!$L$5:$L$404&gt;K386)*(Bookings!$AM$5:$AM$404&lt;&gt;"Cancelled"))&gt;1,"Conflict - double booked","OK"))</f>
        <v>0</v>
      </c>
      <c r="AS386" s="50">
        <f>IF(A386="","",IF(COUNTIF('Visit Log'!$B$5:$B$404,A386)&gt;0,"Yes","No"))</f>
        <v>0</v>
      </c>
      <c r="AT386" s="28">
        <f>IF(A386="","",IFERROR(INDEX(Invoices!$A$5:$A$304,MATCH(A386,Invoices!$E$5:$E$304,0)),""))</f>
        <v>0</v>
      </c>
      <c r="AU386" s="49">
        <f>IF(A386="","",IF(AT386="","Not invoiced",IFERROR(INDEX(Invoices!$U$5:$U$304,MATCH(AT386,Invoices!$A$5:$A$304,0)),"")))</f>
        <v>0</v>
      </c>
      <c r="AY386" s="28">
        <f>IF(I386="","",TEXT(I386,"yyyy-mm"))</f>
        <v>0</v>
      </c>
      <c r="AZ386" s="49">
        <f>IF(I386="","",IF(AM386="Cancelled","Cancelled",IF(AND(I386&lt;TODAY(),OR(AM386="Pending",AM386="Confirmed",AM386="Enquiry")),"Overdue - update status",IF(AND(AM386="Completed",AS386="No"),"Action - log the visit",IF(I386=TODAY(),"Today",IF(AND(I386&gt;TODAY(),I386-TODAY()&lt;=ReminderLeadDays,AN386&lt;&gt;"Yes"),"Action - unconfirmed",IF(AND(I386&gt;TODAY(),I386-TODAY()&lt;=ReminderLeadDays),"Upcoming","OK")))))))</f>
        <v>0</v>
      </c>
    </row>
    <row r="387" spans="1:52">
      <c r="A387" s="46">
        <f>IF(C387="","",BookingPrefix&amp;TEXT(ROW()-4,"0000"))</f>
        <v>0</v>
      </c>
      <c r="D387" s="28">
        <f>IF(C387="","",IFERROR(INDEX(Clients!$A$5:$A$254,MATCH(C387,Clients!$B$5:$B$254,0)),""))</f>
        <v>0</v>
      </c>
      <c r="J387" s="50">
        <f>IF(I387="","",TEXT(I387,"ddd"))</f>
        <v>0</v>
      </c>
      <c r="M387" s="51">
        <f>IF(OR(K387="",L387=""),"",ROUND((L387-K387+IF(L387&lt;K387,1,0))*24,2))</f>
        <v>0</v>
      </c>
      <c r="O387" s="28">
        <f>IF(H387="","",IFERROR(INDEX(Services!$E$5:$E$54,MATCH(H387,Services!$B$5:$B$54,0)),""))</f>
        <v>0</v>
      </c>
      <c r="P387" s="29">
        <f>IF(H387="","",IFERROR(INDEX(Services!$G$5:$G$54,MATCH(H387,Services!$B$5:$B$54,0)),0))</f>
        <v>0</v>
      </c>
      <c r="Q387" s="29">
        <f>IF(H387="","",IF(IFERROR(INDEX(Services!$H$5:$H$54,MATCH(H387,Services!$B$5:$B$54,0)),0)=0,ExtraPetFeeDefault,IFERROR(INDEX(Services!$H$5:$H$54,MATCH(H387,Services!$B$5:$B$54,0)),0)))</f>
        <v>0</v>
      </c>
      <c r="R387" s="30">
        <f>IF(H387="","",IF(IFERROR(INDEX(Services!$I$5:$I$54,MATCH(H387,Services!$B$5:$B$54,0)),0)=0,HolidaySurcharge,IFERROR(INDEX(Services!$I$5:$I$54,MATCH(H387,Services!$B$5:$B$54,0)),0)))</f>
        <v>0</v>
      </c>
      <c r="S387" s="30">
        <f>IF(H387="","",IF(IFERROR(INDEX(Services!$J$5:$J$54,MATCH(H387,Services!$B$5:$B$54,0)),0)=0,WeekendSurcharge,IFERROR(INDEX(Services!$J$5:$J$54,MATCH(H387,Services!$B$5:$B$54,0)),0)))</f>
        <v>0</v>
      </c>
      <c r="T387" s="50">
        <f>IF(H387="","",IFERROR(INDEX(Services!$K$5:$K$54,MATCH(H387,Services!$B$5:$B$54,0)),"No"))</f>
        <v>0</v>
      </c>
      <c r="U387" s="29">
        <f>IF(H387="","",ROUND(IF(O387="Per hour",P387*IF(M387="",IF(N387="",1,N387),M387),P387*IF(N387="",1,N387)),2))</f>
        <v>0</v>
      </c>
      <c r="V387" s="29">
        <f>IF(H387="","",ROUND(MAX(0,IF(G387="",1,G387)-1)*Q387,2))</f>
        <v>0</v>
      </c>
      <c r="W387" s="50">
        <f>IF(I387="","",IF(COUNTIF(HolidayDates,I387)&gt;0,"Yes","No"))</f>
        <v>0</v>
      </c>
      <c r="X387" s="50">
        <f>IF(I387="","",IF(WEEKDAY(I387,2)&gt;5,"Yes","No"))</f>
        <v>0</v>
      </c>
      <c r="Y387" s="29">
        <f>IF(H387="","",ROUND((U387+V387)*(IF(W387="Yes",R387,0)+IF(X387="Yes",S387,0)),2))</f>
        <v>0</v>
      </c>
      <c r="AA387" s="29">
        <f>IF(H387="","",IF(T387&lt;&gt;"Yes",0,ROUND(MAX(0,IF(Z387="",0,Z387)-FreeTravelDistance)*TravelFeeRate,2)))</f>
        <v>0</v>
      </c>
      <c r="AB387" s="31">
        <f>IF(I387="","",TravelTimeMins)</f>
        <v>0</v>
      </c>
      <c r="AC387" s="29">
        <f>IF(OR(I387="",B387=""),0,IF(I387-B387&lt;=LastMinuteDays,EmergencyFee,0))</f>
        <v>0</v>
      </c>
      <c r="AF387" s="29">
        <f>IF(H387="","",ROUND((U387+V387+Y387+AA387+AC387)*IF(AE387="",0,AE387),2))</f>
        <v>0</v>
      </c>
      <c r="AI387" s="29">
        <f>IF(H387="","",IF(AG387&lt;&gt;"",AG387,ROUND(U387+V387+Y387+AA387+AC387-AF387,2)))</f>
        <v>0</v>
      </c>
      <c r="AJ387" s="29">
        <f>IF(AI387="","",IF(TaxRegistered&lt;&gt;"Yes",0,IF(PricesIncludeTax="Yes",ROUND(AI387-AI387/(1+TaxRate),2),ROUND(AI387*TaxRate,2))))</f>
        <v>0</v>
      </c>
      <c r="AK387" s="29">
        <f>IF(AI387="","",IF(PricesIncludeTax="Yes",AI387,ROUND(AI387+AJ387,2)))</f>
        <v>0</v>
      </c>
      <c r="AQ387" s="21">
        <f>IF(OR(I387="",AP387="",AP387="None"),"",IF(AP387="Monthly",EDATE(I387,1),I387+IF(AP387="Daily",1,IF(AP387="Weekdays",IF(WEEKDAY(I387,2)&gt;=5,8-WEEKDAY(I387,2),1),IF(AP387="Weekly",7,IF(AP387="Fortnightly",14,0))))))</f>
        <v>0</v>
      </c>
      <c r="AR387" s="49">
        <f>IF(OR(I387="",AL387="",K387="",L387=""),"",IF(SUMPRODUCT((Bookings!$AL$5:$AL$404=AL387)*(Bookings!$I$5:$I$404=I387)*(Bookings!$K$5:$K$404&lt;L387)*(Bookings!$L$5:$L$404&gt;K387)*(Bookings!$AM$5:$AM$404&lt;&gt;"Cancelled"))&gt;1,"Conflict - double booked","OK"))</f>
        <v>0</v>
      </c>
      <c r="AS387" s="50">
        <f>IF(A387="","",IF(COUNTIF('Visit Log'!$B$5:$B$404,A387)&gt;0,"Yes","No"))</f>
        <v>0</v>
      </c>
      <c r="AT387" s="28">
        <f>IF(A387="","",IFERROR(INDEX(Invoices!$A$5:$A$304,MATCH(A387,Invoices!$E$5:$E$304,0)),""))</f>
        <v>0</v>
      </c>
      <c r="AU387" s="49">
        <f>IF(A387="","",IF(AT387="","Not invoiced",IFERROR(INDEX(Invoices!$U$5:$U$304,MATCH(AT387,Invoices!$A$5:$A$304,0)),"")))</f>
        <v>0</v>
      </c>
      <c r="AY387" s="28">
        <f>IF(I387="","",TEXT(I387,"yyyy-mm"))</f>
        <v>0</v>
      </c>
      <c r="AZ387" s="49">
        <f>IF(I387="","",IF(AM387="Cancelled","Cancelled",IF(AND(I387&lt;TODAY(),OR(AM387="Pending",AM387="Confirmed",AM387="Enquiry")),"Overdue - update status",IF(AND(AM387="Completed",AS387="No"),"Action - log the visit",IF(I387=TODAY(),"Today",IF(AND(I387&gt;TODAY(),I387-TODAY()&lt;=ReminderLeadDays,AN387&lt;&gt;"Yes"),"Action - unconfirmed",IF(AND(I387&gt;TODAY(),I387-TODAY()&lt;=ReminderLeadDays),"Upcoming","OK")))))))</f>
        <v>0</v>
      </c>
    </row>
    <row r="388" spans="1:52">
      <c r="A388" s="46">
        <f>IF(C388="","",BookingPrefix&amp;TEXT(ROW()-4,"0000"))</f>
        <v>0</v>
      </c>
      <c r="D388" s="28">
        <f>IF(C388="","",IFERROR(INDEX(Clients!$A$5:$A$254,MATCH(C388,Clients!$B$5:$B$254,0)),""))</f>
        <v>0</v>
      </c>
      <c r="J388" s="50">
        <f>IF(I388="","",TEXT(I388,"ddd"))</f>
        <v>0</v>
      </c>
      <c r="M388" s="51">
        <f>IF(OR(K388="",L388=""),"",ROUND((L388-K388+IF(L388&lt;K388,1,0))*24,2))</f>
        <v>0</v>
      </c>
      <c r="O388" s="28">
        <f>IF(H388="","",IFERROR(INDEX(Services!$E$5:$E$54,MATCH(H388,Services!$B$5:$B$54,0)),""))</f>
        <v>0</v>
      </c>
      <c r="P388" s="29">
        <f>IF(H388="","",IFERROR(INDEX(Services!$G$5:$G$54,MATCH(H388,Services!$B$5:$B$54,0)),0))</f>
        <v>0</v>
      </c>
      <c r="Q388" s="29">
        <f>IF(H388="","",IF(IFERROR(INDEX(Services!$H$5:$H$54,MATCH(H388,Services!$B$5:$B$54,0)),0)=0,ExtraPetFeeDefault,IFERROR(INDEX(Services!$H$5:$H$54,MATCH(H388,Services!$B$5:$B$54,0)),0)))</f>
        <v>0</v>
      </c>
      <c r="R388" s="30">
        <f>IF(H388="","",IF(IFERROR(INDEX(Services!$I$5:$I$54,MATCH(H388,Services!$B$5:$B$54,0)),0)=0,HolidaySurcharge,IFERROR(INDEX(Services!$I$5:$I$54,MATCH(H388,Services!$B$5:$B$54,0)),0)))</f>
        <v>0</v>
      </c>
      <c r="S388" s="30">
        <f>IF(H388="","",IF(IFERROR(INDEX(Services!$J$5:$J$54,MATCH(H388,Services!$B$5:$B$54,0)),0)=0,WeekendSurcharge,IFERROR(INDEX(Services!$J$5:$J$54,MATCH(H388,Services!$B$5:$B$54,0)),0)))</f>
        <v>0</v>
      </c>
      <c r="T388" s="50">
        <f>IF(H388="","",IFERROR(INDEX(Services!$K$5:$K$54,MATCH(H388,Services!$B$5:$B$54,0)),"No"))</f>
        <v>0</v>
      </c>
      <c r="U388" s="29">
        <f>IF(H388="","",ROUND(IF(O388="Per hour",P388*IF(M388="",IF(N388="",1,N388),M388),P388*IF(N388="",1,N388)),2))</f>
        <v>0</v>
      </c>
      <c r="V388" s="29">
        <f>IF(H388="","",ROUND(MAX(0,IF(G388="",1,G388)-1)*Q388,2))</f>
        <v>0</v>
      </c>
      <c r="W388" s="50">
        <f>IF(I388="","",IF(COUNTIF(HolidayDates,I388)&gt;0,"Yes","No"))</f>
        <v>0</v>
      </c>
      <c r="X388" s="50">
        <f>IF(I388="","",IF(WEEKDAY(I388,2)&gt;5,"Yes","No"))</f>
        <v>0</v>
      </c>
      <c r="Y388" s="29">
        <f>IF(H388="","",ROUND((U388+V388)*(IF(W388="Yes",R388,0)+IF(X388="Yes",S388,0)),2))</f>
        <v>0</v>
      </c>
      <c r="AA388" s="29">
        <f>IF(H388="","",IF(T388&lt;&gt;"Yes",0,ROUND(MAX(0,IF(Z388="",0,Z388)-FreeTravelDistance)*TravelFeeRate,2)))</f>
        <v>0</v>
      </c>
      <c r="AB388" s="31">
        <f>IF(I388="","",TravelTimeMins)</f>
        <v>0</v>
      </c>
      <c r="AC388" s="29">
        <f>IF(OR(I388="",B388=""),0,IF(I388-B388&lt;=LastMinuteDays,EmergencyFee,0))</f>
        <v>0</v>
      </c>
      <c r="AF388" s="29">
        <f>IF(H388="","",ROUND((U388+V388+Y388+AA388+AC388)*IF(AE388="",0,AE388),2))</f>
        <v>0</v>
      </c>
      <c r="AI388" s="29">
        <f>IF(H388="","",IF(AG388&lt;&gt;"",AG388,ROUND(U388+V388+Y388+AA388+AC388-AF388,2)))</f>
        <v>0</v>
      </c>
      <c r="AJ388" s="29">
        <f>IF(AI388="","",IF(TaxRegistered&lt;&gt;"Yes",0,IF(PricesIncludeTax="Yes",ROUND(AI388-AI388/(1+TaxRate),2),ROUND(AI388*TaxRate,2))))</f>
        <v>0</v>
      </c>
      <c r="AK388" s="29">
        <f>IF(AI388="","",IF(PricesIncludeTax="Yes",AI388,ROUND(AI388+AJ388,2)))</f>
        <v>0</v>
      </c>
      <c r="AQ388" s="21">
        <f>IF(OR(I388="",AP388="",AP388="None"),"",IF(AP388="Monthly",EDATE(I388,1),I388+IF(AP388="Daily",1,IF(AP388="Weekdays",IF(WEEKDAY(I388,2)&gt;=5,8-WEEKDAY(I388,2),1),IF(AP388="Weekly",7,IF(AP388="Fortnightly",14,0))))))</f>
        <v>0</v>
      </c>
      <c r="AR388" s="49">
        <f>IF(OR(I388="",AL388="",K388="",L388=""),"",IF(SUMPRODUCT((Bookings!$AL$5:$AL$404=AL388)*(Bookings!$I$5:$I$404=I388)*(Bookings!$K$5:$K$404&lt;L388)*(Bookings!$L$5:$L$404&gt;K388)*(Bookings!$AM$5:$AM$404&lt;&gt;"Cancelled"))&gt;1,"Conflict - double booked","OK"))</f>
        <v>0</v>
      </c>
      <c r="AS388" s="50">
        <f>IF(A388="","",IF(COUNTIF('Visit Log'!$B$5:$B$404,A388)&gt;0,"Yes","No"))</f>
        <v>0</v>
      </c>
      <c r="AT388" s="28">
        <f>IF(A388="","",IFERROR(INDEX(Invoices!$A$5:$A$304,MATCH(A388,Invoices!$E$5:$E$304,0)),""))</f>
        <v>0</v>
      </c>
      <c r="AU388" s="49">
        <f>IF(A388="","",IF(AT388="","Not invoiced",IFERROR(INDEX(Invoices!$U$5:$U$304,MATCH(AT388,Invoices!$A$5:$A$304,0)),"")))</f>
        <v>0</v>
      </c>
      <c r="AY388" s="28">
        <f>IF(I388="","",TEXT(I388,"yyyy-mm"))</f>
        <v>0</v>
      </c>
      <c r="AZ388" s="49">
        <f>IF(I388="","",IF(AM388="Cancelled","Cancelled",IF(AND(I388&lt;TODAY(),OR(AM388="Pending",AM388="Confirmed",AM388="Enquiry")),"Overdue - update status",IF(AND(AM388="Completed",AS388="No"),"Action - log the visit",IF(I388=TODAY(),"Today",IF(AND(I388&gt;TODAY(),I388-TODAY()&lt;=ReminderLeadDays,AN388&lt;&gt;"Yes"),"Action - unconfirmed",IF(AND(I388&gt;TODAY(),I388-TODAY()&lt;=ReminderLeadDays),"Upcoming","OK")))))))</f>
        <v>0</v>
      </c>
    </row>
    <row r="389" spans="1:52">
      <c r="A389" s="46">
        <f>IF(C389="","",BookingPrefix&amp;TEXT(ROW()-4,"0000"))</f>
        <v>0</v>
      </c>
      <c r="D389" s="28">
        <f>IF(C389="","",IFERROR(INDEX(Clients!$A$5:$A$254,MATCH(C389,Clients!$B$5:$B$254,0)),""))</f>
        <v>0</v>
      </c>
      <c r="J389" s="50">
        <f>IF(I389="","",TEXT(I389,"ddd"))</f>
        <v>0</v>
      </c>
      <c r="M389" s="51">
        <f>IF(OR(K389="",L389=""),"",ROUND((L389-K389+IF(L389&lt;K389,1,0))*24,2))</f>
        <v>0</v>
      </c>
      <c r="O389" s="28">
        <f>IF(H389="","",IFERROR(INDEX(Services!$E$5:$E$54,MATCH(H389,Services!$B$5:$B$54,0)),""))</f>
        <v>0</v>
      </c>
      <c r="P389" s="29">
        <f>IF(H389="","",IFERROR(INDEX(Services!$G$5:$G$54,MATCH(H389,Services!$B$5:$B$54,0)),0))</f>
        <v>0</v>
      </c>
      <c r="Q389" s="29">
        <f>IF(H389="","",IF(IFERROR(INDEX(Services!$H$5:$H$54,MATCH(H389,Services!$B$5:$B$54,0)),0)=0,ExtraPetFeeDefault,IFERROR(INDEX(Services!$H$5:$H$54,MATCH(H389,Services!$B$5:$B$54,0)),0)))</f>
        <v>0</v>
      </c>
      <c r="R389" s="30">
        <f>IF(H389="","",IF(IFERROR(INDEX(Services!$I$5:$I$54,MATCH(H389,Services!$B$5:$B$54,0)),0)=0,HolidaySurcharge,IFERROR(INDEX(Services!$I$5:$I$54,MATCH(H389,Services!$B$5:$B$54,0)),0)))</f>
        <v>0</v>
      </c>
      <c r="S389" s="30">
        <f>IF(H389="","",IF(IFERROR(INDEX(Services!$J$5:$J$54,MATCH(H389,Services!$B$5:$B$54,0)),0)=0,WeekendSurcharge,IFERROR(INDEX(Services!$J$5:$J$54,MATCH(H389,Services!$B$5:$B$54,0)),0)))</f>
        <v>0</v>
      </c>
      <c r="T389" s="50">
        <f>IF(H389="","",IFERROR(INDEX(Services!$K$5:$K$54,MATCH(H389,Services!$B$5:$B$54,0)),"No"))</f>
        <v>0</v>
      </c>
      <c r="U389" s="29">
        <f>IF(H389="","",ROUND(IF(O389="Per hour",P389*IF(M389="",IF(N389="",1,N389),M389),P389*IF(N389="",1,N389)),2))</f>
        <v>0</v>
      </c>
      <c r="V389" s="29">
        <f>IF(H389="","",ROUND(MAX(0,IF(G389="",1,G389)-1)*Q389,2))</f>
        <v>0</v>
      </c>
      <c r="W389" s="50">
        <f>IF(I389="","",IF(COUNTIF(HolidayDates,I389)&gt;0,"Yes","No"))</f>
        <v>0</v>
      </c>
      <c r="X389" s="50">
        <f>IF(I389="","",IF(WEEKDAY(I389,2)&gt;5,"Yes","No"))</f>
        <v>0</v>
      </c>
      <c r="Y389" s="29">
        <f>IF(H389="","",ROUND((U389+V389)*(IF(W389="Yes",R389,0)+IF(X389="Yes",S389,0)),2))</f>
        <v>0</v>
      </c>
      <c r="AA389" s="29">
        <f>IF(H389="","",IF(T389&lt;&gt;"Yes",0,ROUND(MAX(0,IF(Z389="",0,Z389)-FreeTravelDistance)*TravelFeeRate,2)))</f>
        <v>0</v>
      </c>
      <c r="AB389" s="31">
        <f>IF(I389="","",TravelTimeMins)</f>
        <v>0</v>
      </c>
      <c r="AC389" s="29">
        <f>IF(OR(I389="",B389=""),0,IF(I389-B389&lt;=LastMinuteDays,EmergencyFee,0))</f>
        <v>0</v>
      </c>
      <c r="AF389" s="29">
        <f>IF(H389="","",ROUND((U389+V389+Y389+AA389+AC389)*IF(AE389="",0,AE389),2))</f>
        <v>0</v>
      </c>
      <c r="AI389" s="29">
        <f>IF(H389="","",IF(AG389&lt;&gt;"",AG389,ROUND(U389+V389+Y389+AA389+AC389-AF389,2)))</f>
        <v>0</v>
      </c>
      <c r="AJ389" s="29">
        <f>IF(AI389="","",IF(TaxRegistered&lt;&gt;"Yes",0,IF(PricesIncludeTax="Yes",ROUND(AI389-AI389/(1+TaxRate),2),ROUND(AI389*TaxRate,2))))</f>
        <v>0</v>
      </c>
      <c r="AK389" s="29">
        <f>IF(AI389="","",IF(PricesIncludeTax="Yes",AI389,ROUND(AI389+AJ389,2)))</f>
        <v>0</v>
      </c>
      <c r="AQ389" s="21">
        <f>IF(OR(I389="",AP389="",AP389="None"),"",IF(AP389="Monthly",EDATE(I389,1),I389+IF(AP389="Daily",1,IF(AP389="Weekdays",IF(WEEKDAY(I389,2)&gt;=5,8-WEEKDAY(I389,2),1),IF(AP389="Weekly",7,IF(AP389="Fortnightly",14,0))))))</f>
        <v>0</v>
      </c>
      <c r="AR389" s="49">
        <f>IF(OR(I389="",AL389="",K389="",L389=""),"",IF(SUMPRODUCT((Bookings!$AL$5:$AL$404=AL389)*(Bookings!$I$5:$I$404=I389)*(Bookings!$K$5:$K$404&lt;L389)*(Bookings!$L$5:$L$404&gt;K389)*(Bookings!$AM$5:$AM$404&lt;&gt;"Cancelled"))&gt;1,"Conflict - double booked","OK"))</f>
        <v>0</v>
      </c>
      <c r="AS389" s="50">
        <f>IF(A389="","",IF(COUNTIF('Visit Log'!$B$5:$B$404,A389)&gt;0,"Yes","No"))</f>
        <v>0</v>
      </c>
      <c r="AT389" s="28">
        <f>IF(A389="","",IFERROR(INDEX(Invoices!$A$5:$A$304,MATCH(A389,Invoices!$E$5:$E$304,0)),""))</f>
        <v>0</v>
      </c>
      <c r="AU389" s="49">
        <f>IF(A389="","",IF(AT389="","Not invoiced",IFERROR(INDEX(Invoices!$U$5:$U$304,MATCH(AT389,Invoices!$A$5:$A$304,0)),"")))</f>
        <v>0</v>
      </c>
      <c r="AY389" s="28">
        <f>IF(I389="","",TEXT(I389,"yyyy-mm"))</f>
        <v>0</v>
      </c>
      <c r="AZ389" s="49">
        <f>IF(I389="","",IF(AM389="Cancelled","Cancelled",IF(AND(I389&lt;TODAY(),OR(AM389="Pending",AM389="Confirmed",AM389="Enquiry")),"Overdue - update status",IF(AND(AM389="Completed",AS389="No"),"Action - log the visit",IF(I389=TODAY(),"Today",IF(AND(I389&gt;TODAY(),I389-TODAY()&lt;=ReminderLeadDays,AN389&lt;&gt;"Yes"),"Action - unconfirmed",IF(AND(I389&gt;TODAY(),I389-TODAY()&lt;=ReminderLeadDays),"Upcoming","OK")))))))</f>
        <v>0</v>
      </c>
    </row>
    <row r="390" spans="1:52">
      <c r="A390" s="46">
        <f>IF(C390="","",BookingPrefix&amp;TEXT(ROW()-4,"0000"))</f>
        <v>0</v>
      </c>
      <c r="D390" s="28">
        <f>IF(C390="","",IFERROR(INDEX(Clients!$A$5:$A$254,MATCH(C390,Clients!$B$5:$B$254,0)),""))</f>
        <v>0</v>
      </c>
      <c r="J390" s="50">
        <f>IF(I390="","",TEXT(I390,"ddd"))</f>
        <v>0</v>
      </c>
      <c r="M390" s="51">
        <f>IF(OR(K390="",L390=""),"",ROUND((L390-K390+IF(L390&lt;K390,1,0))*24,2))</f>
        <v>0</v>
      </c>
      <c r="O390" s="28">
        <f>IF(H390="","",IFERROR(INDEX(Services!$E$5:$E$54,MATCH(H390,Services!$B$5:$B$54,0)),""))</f>
        <v>0</v>
      </c>
      <c r="P390" s="29">
        <f>IF(H390="","",IFERROR(INDEX(Services!$G$5:$G$54,MATCH(H390,Services!$B$5:$B$54,0)),0))</f>
        <v>0</v>
      </c>
      <c r="Q390" s="29">
        <f>IF(H390="","",IF(IFERROR(INDEX(Services!$H$5:$H$54,MATCH(H390,Services!$B$5:$B$54,0)),0)=0,ExtraPetFeeDefault,IFERROR(INDEX(Services!$H$5:$H$54,MATCH(H390,Services!$B$5:$B$54,0)),0)))</f>
        <v>0</v>
      </c>
      <c r="R390" s="30">
        <f>IF(H390="","",IF(IFERROR(INDEX(Services!$I$5:$I$54,MATCH(H390,Services!$B$5:$B$54,0)),0)=0,HolidaySurcharge,IFERROR(INDEX(Services!$I$5:$I$54,MATCH(H390,Services!$B$5:$B$54,0)),0)))</f>
        <v>0</v>
      </c>
      <c r="S390" s="30">
        <f>IF(H390="","",IF(IFERROR(INDEX(Services!$J$5:$J$54,MATCH(H390,Services!$B$5:$B$54,0)),0)=0,WeekendSurcharge,IFERROR(INDEX(Services!$J$5:$J$54,MATCH(H390,Services!$B$5:$B$54,0)),0)))</f>
        <v>0</v>
      </c>
      <c r="T390" s="50">
        <f>IF(H390="","",IFERROR(INDEX(Services!$K$5:$K$54,MATCH(H390,Services!$B$5:$B$54,0)),"No"))</f>
        <v>0</v>
      </c>
      <c r="U390" s="29">
        <f>IF(H390="","",ROUND(IF(O390="Per hour",P390*IF(M390="",IF(N390="",1,N390),M390),P390*IF(N390="",1,N390)),2))</f>
        <v>0</v>
      </c>
      <c r="V390" s="29">
        <f>IF(H390="","",ROUND(MAX(0,IF(G390="",1,G390)-1)*Q390,2))</f>
        <v>0</v>
      </c>
      <c r="W390" s="50">
        <f>IF(I390="","",IF(COUNTIF(HolidayDates,I390)&gt;0,"Yes","No"))</f>
        <v>0</v>
      </c>
      <c r="X390" s="50">
        <f>IF(I390="","",IF(WEEKDAY(I390,2)&gt;5,"Yes","No"))</f>
        <v>0</v>
      </c>
      <c r="Y390" s="29">
        <f>IF(H390="","",ROUND((U390+V390)*(IF(W390="Yes",R390,0)+IF(X390="Yes",S390,0)),2))</f>
        <v>0</v>
      </c>
      <c r="AA390" s="29">
        <f>IF(H390="","",IF(T390&lt;&gt;"Yes",0,ROUND(MAX(0,IF(Z390="",0,Z390)-FreeTravelDistance)*TravelFeeRate,2)))</f>
        <v>0</v>
      </c>
      <c r="AB390" s="31">
        <f>IF(I390="","",TravelTimeMins)</f>
        <v>0</v>
      </c>
      <c r="AC390" s="29">
        <f>IF(OR(I390="",B390=""),0,IF(I390-B390&lt;=LastMinuteDays,EmergencyFee,0))</f>
        <v>0</v>
      </c>
      <c r="AF390" s="29">
        <f>IF(H390="","",ROUND((U390+V390+Y390+AA390+AC390)*IF(AE390="",0,AE390),2))</f>
        <v>0</v>
      </c>
      <c r="AI390" s="29">
        <f>IF(H390="","",IF(AG390&lt;&gt;"",AG390,ROUND(U390+V390+Y390+AA390+AC390-AF390,2)))</f>
        <v>0</v>
      </c>
      <c r="AJ390" s="29">
        <f>IF(AI390="","",IF(TaxRegistered&lt;&gt;"Yes",0,IF(PricesIncludeTax="Yes",ROUND(AI390-AI390/(1+TaxRate),2),ROUND(AI390*TaxRate,2))))</f>
        <v>0</v>
      </c>
      <c r="AK390" s="29">
        <f>IF(AI390="","",IF(PricesIncludeTax="Yes",AI390,ROUND(AI390+AJ390,2)))</f>
        <v>0</v>
      </c>
      <c r="AQ390" s="21">
        <f>IF(OR(I390="",AP390="",AP390="None"),"",IF(AP390="Monthly",EDATE(I390,1),I390+IF(AP390="Daily",1,IF(AP390="Weekdays",IF(WEEKDAY(I390,2)&gt;=5,8-WEEKDAY(I390,2),1),IF(AP390="Weekly",7,IF(AP390="Fortnightly",14,0))))))</f>
        <v>0</v>
      </c>
      <c r="AR390" s="49">
        <f>IF(OR(I390="",AL390="",K390="",L390=""),"",IF(SUMPRODUCT((Bookings!$AL$5:$AL$404=AL390)*(Bookings!$I$5:$I$404=I390)*(Bookings!$K$5:$K$404&lt;L390)*(Bookings!$L$5:$L$404&gt;K390)*(Bookings!$AM$5:$AM$404&lt;&gt;"Cancelled"))&gt;1,"Conflict - double booked","OK"))</f>
        <v>0</v>
      </c>
      <c r="AS390" s="50">
        <f>IF(A390="","",IF(COUNTIF('Visit Log'!$B$5:$B$404,A390)&gt;0,"Yes","No"))</f>
        <v>0</v>
      </c>
      <c r="AT390" s="28">
        <f>IF(A390="","",IFERROR(INDEX(Invoices!$A$5:$A$304,MATCH(A390,Invoices!$E$5:$E$304,0)),""))</f>
        <v>0</v>
      </c>
      <c r="AU390" s="49">
        <f>IF(A390="","",IF(AT390="","Not invoiced",IFERROR(INDEX(Invoices!$U$5:$U$304,MATCH(AT390,Invoices!$A$5:$A$304,0)),"")))</f>
        <v>0</v>
      </c>
      <c r="AY390" s="28">
        <f>IF(I390="","",TEXT(I390,"yyyy-mm"))</f>
        <v>0</v>
      </c>
      <c r="AZ390" s="49">
        <f>IF(I390="","",IF(AM390="Cancelled","Cancelled",IF(AND(I390&lt;TODAY(),OR(AM390="Pending",AM390="Confirmed",AM390="Enquiry")),"Overdue - update status",IF(AND(AM390="Completed",AS390="No"),"Action - log the visit",IF(I390=TODAY(),"Today",IF(AND(I390&gt;TODAY(),I390-TODAY()&lt;=ReminderLeadDays,AN390&lt;&gt;"Yes"),"Action - unconfirmed",IF(AND(I390&gt;TODAY(),I390-TODAY()&lt;=ReminderLeadDays),"Upcoming","OK")))))))</f>
        <v>0</v>
      </c>
    </row>
    <row r="391" spans="1:52">
      <c r="A391" s="46">
        <f>IF(C391="","",BookingPrefix&amp;TEXT(ROW()-4,"0000"))</f>
        <v>0</v>
      </c>
      <c r="D391" s="28">
        <f>IF(C391="","",IFERROR(INDEX(Clients!$A$5:$A$254,MATCH(C391,Clients!$B$5:$B$254,0)),""))</f>
        <v>0</v>
      </c>
      <c r="J391" s="50">
        <f>IF(I391="","",TEXT(I391,"ddd"))</f>
        <v>0</v>
      </c>
      <c r="M391" s="51">
        <f>IF(OR(K391="",L391=""),"",ROUND((L391-K391+IF(L391&lt;K391,1,0))*24,2))</f>
        <v>0</v>
      </c>
      <c r="O391" s="28">
        <f>IF(H391="","",IFERROR(INDEX(Services!$E$5:$E$54,MATCH(H391,Services!$B$5:$B$54,0)),""))</f>
        <v>0</v>
      </c>
      <c r="P391" s="29">
        <f>IF(H391="","",IFERROR(INDEX(Services!$G$5:$G$54,MATCH(H391,Services!$B$5:$B$54,0)),0))</f>
        <v>0</v>
      </c>
      <c r="Q391" s="29">
        <f>IF(H391="","",IF(IFERROR(INDEX(Services!$H$5:$H$54,MATCH(H391,Services!$B$5:$B$54,0)),0)=0,ExtraPetFeeDefault,IFERROR(INDEX(Services!$H$5:$H$54,MATCH(H391,Services!$B$5:$B$54,0)),0)))</f>
        <v>0</v>
      </c>
      <c r="R391" s="30">
        <f>IF(H391="","",IF(IFERROR(INDEX(Services!$I$5:$I$54,MATCH(H391,Services!$B$5:$B$54,0)),0)=0,HolidaySurcharge,IFERROR(INDEX(Services!$I$5:$I$54,MATCH(H391,Services!$B$5:$B$54,0)),0)))</f>
        <v>0</v>
      </c>
      <c r="S391" s="30">
        <f>IF(H391="","",IF(IFERROR(INDEX(Services!$J$5:$J$54,MATCH(H391,Services!$B$5:$B$54,0)),0)=0,WeekendSurcharge,IFERROR(INDEX(Services!$J$5:$J$54,MATCH(H391,Services!$B$5:$B$54,0)),0)))</f>
        <v>0</v>
      </c>
      <c r="T391" s="50">
        <f>IF(H391="","",IFERROR(INDEX(Services!$K$5:$K$54,MATCH(H391,Services!$B$5:$B$54,0)),"No"))</f>
        <v>0</v>
      </c>
      <c r="U391" s="29">
        <f>IF(H391="","",ROUND(IF(O391="Per hour",P391*IF(M391="",IF(N391="",1,N391),M391),P391*IF(N391="",1,N391)),2))</f>
        <v>0</v>
      </c>
      <c r="V391" s="29">
        <f>IF(H391="","",ROUND(MAX(0,IF(G391="",1,G391)-1)*Q391,2))</f>
        <v>0</v>
      </c>
      <c r="W391" s="50">
        <f>IF(I391="","",IF(COUNTIF(HolidayDates,I391)&gt;0,"Yes","No"))</f>
        <v>0</v>
      </c>
      <c r="X391" s="50">
        <f>IF(I391="","",IF(WEEKDAY(I391,2)&gt;5,"Yes","No"))</f>
        <v>0</v>
      </c>
      <c r="Y391" s="29">
        <f>IF(H391="","",ROUND((U391+V391)*(IF(W391="Yes",R391,0)+IF(X391="Yes",S391,0)),2))</f>
        <v>0</v>
      </c>
      <c r="AA391" s="29">
        <f>IF(H391="","",IF(T391&lt;&gt;"Yes",0,ROUND(MAX(0,IF(Z391="",0,Z391)-FreeTravelDistance)*TravelFeeRate,2)))</f>
        <v>0</v>
      </c>
      <c r="AB391" s="31">
        <f>IF(I391="","",TravelTimeMins)</f>
        <v>0</v>
      </c>
      <c r="AC391" s="29">
        <f>IF(OR(I391="",B391=""),0,IF(I391-B391&lt;=LastMinuteDays,EmergencyFee,0))</f>
        <v>0</v>
      </c>
      <c r="AF391" s="29">
        <f>IF(H391="","",ROUND((U391+V391+Y391+AA391+AC391)*IF(AE391="",0,AE391),2))</f>
        <v>0</v>
      </c>
      <c r="AI391" s="29">
        <f>IF(H391="","",IF(AG391&lt;&gt;"",AG391,ROUND(U391+V391+Y391+AA391+AC391-AF391,2)))</f>
        <v>0</v>
      </c>
      <c r="AJ391" s="29">
        <f>IF(AI391="","",IF(TaxRegistered&lt;&gt;"Yes",0,IF(PricesIncludeTax="Yes",ROUND(AI391-AI391/(1+TaxRate),2),ROUND(AI391*TaxRate,2))))</f>
        <v>0</v>
      </c>
      <c r="AK391" s="29">
        <f>IF(AI391="","",IF(PricesIncludeTax="Yes",AI391,ROUND(AI391+AJ391,2)))</f>
        <v>0</v>
      </c>
      <c r="AQ391" s="21">
        <f>IF(OR(I391="",AP391="",AP391="None"),"",IF(AP391="Monthly",EDATE(I391,1),I391+IF(AP391="Daily",1,IF(AP391="Weekdays",IF(WEEKDAY(I391,2)&gt;=5,8-WEEKDAY(I391,2),1),IF(AP391="Weekly",7,IF(AP391="Fortnightly",14,0))))))</f>
        <v>0</v>
      </c>
      <c r="AR391" s="49">
        <f>IF(OR(I391="",AL391="",K391="",L391=""),"",IF(SUMPRODUCT((Bookings!$AL$5:$AL$404=AL391)*(Bookings!$I$5:$I$404=I391)*(Bookings!$K$5:$K$404&lt;L391)*(Bookings!$L$5:$L$404&gt;K391)*(Bookings!$AM$5:$AM$404&lt;&gt;"Cancelled"))&gt;1,"Conflict - double booked","OK"))</f>
        <v>0</v>
      </c>
      <c r="AS391" s="50">
        <f>IF(A391="","",IF(COUNTIF('Visit Log'!$B$5:$B$404,A391)&gt;0,"Yes","No"))</f>
        <v>0</v>
      </c>
      <c r="AT391" s="28">
        <f>IF(A391="","",IFERROR(INDEX(Invoices!$A$5:$A$304,MATCH(A391,Invoices!$E$5:$E$304,0)),""))</f>
        <v>0</v>
      </c>
      <c r="AU391" s="49">
        <f>IF(A391="","",IF(AT391="","Not invoiced",IFERROR(INDEX(Invoices!$U$5:$U$304,MATCH(AT391,Invoices!$A$5:$A$304,0)),"")))</f>
        <v>0</v>
      </c>
      <c r="AY391" s="28">
        <f>IF(I391="","",TEXT(I391,"yyyy-mm"))</f>
        <v>0</v>
      </c>
      <c r="AZ391" s="49">
        <f>IF(I391="","",IF(AM391="Cancelled","Cancelled",IF(AND(I391&lt;TODAY(),OR(AM391="Pending",AM391="Confirmed",AM391="Enquiry")),"Overdue - update status",IF(AND(AM391="Completed",AS391="No"),"Action - log the visit",IF(I391=TODAY(),"Today",IF(AND(I391&gt;TODAY(),I391-TODAY()&lt;=ReminderLeadDays,AN391&lt;&gt;"Yes"),"Action - unconfirmed",IF(AND(I391&gt;TODAY(),I391-TODAY()&lt;=ReminderLeadDays),"Upcoming","OK")))))))</f>
        <v>0</v>
      </c>
    </row>
    <row r="392" spans="1:52">
      <c r="A392" s="46">
        <f>IF(C392="","",BookingPrefix&amp;TEXT(ROW()-4,"0000"))</f>
        <v>0</v>
      </c>
      <c r="D392" s="28">
        <f>IF(C392="","",IFERROR(INDEX(Clients!$A$5:$A$254,MATCH(C392,Clients!$B$5:$B$254,0)),""))</f>
        <v>0</v>
      </c>
      <c r="J392" s="50">
        <f>IF(I392="","",TEXT(I392,"ddd"))</f>
        <v>0</v>
      </c>
      <c r="M392" s="51">
        <f>IF(OR(K392="",L392=""),"",ROUND((L392-K392+IF(L392&lt;K392,1,0))*24,2))</f>
        <v>0</v>
      </c>
      <c r="O392" s="28">
        <f>IF(H392="","",IFERROR(INDEX(Services!$E$5:$E$54,MATCH(H392,Services!$B$5:$B$54,0)),""))</f>
        <v>0</v>
      </c>
      <c r="P392" s="29">
        <f>IF(H392="","",IFERROR(INDEX(Services!$G$5:$G$54,MATCH(H392,Services!$B$5:$B$54,0)),0))</f>
        <v>0</v>
      </c>
      <c r="Q392" s="29">
        <f>IF(H392="","",IF(IFERROR(INDEX(Services!$H$5:$H$54,MATCH(H392,Services!$B$5:$B$54,0)),0)=0,ExtraPetFeeDefault,IFERROR(INDEX(Services!$H$5:$H$54,MATCH(H392,Services!$B$5:$B$54,0)),0)))</f>
        <v>0</v>
      </c>
      <c r="R392" s="30">
        <f>IF(H392="","",IF(IFERROR(INDEX(Services!$I$5:$I$54,MATCH(H392,Services!$B$5:$B$54,0)),0)=0,HolidaySurcharge,IFERROR(INDEX(Services!$I$5:$I$54,MATCH(H392,Services!$B$5:$B$54,0)),0)))</f>
        <v>0</v>
      </c>
      <c r="S392" s="30">
        <f>IF(H392="","",IF(IFERROR(INDEX(Services!$J$5:$J$54,MATCH(H392,Services!$B$5:$B$54,0)),0)=0,WeekendSurcharge,IFERROR(INDEX(Services!$J$5:$J$54,MATCH(H392,Services!$B$5:$B$54,0)),0)))</f>
        <v>0</v>
      </c>
      <c r="T392" s="50">
        <f>IF(H392="","",IFERROR(INDEX(Services!$K$5:$K$54,MATCH(H392,Services!$B$5:$B$54,0)),"No"))</f>
        <v>0</v>
      </c>
      <c r="U392" s="29">
        <f>IF(H392="","",ROUND(IF(O392="Per hour",P392*IF(M392="",IF(N392="",1,N392),M392),P392*IF(N392="",1,N392)),2))</f>
        <v>0</v>
      </c>
      <c r="V392" s="29">
        <f>IF(H392="","",ROUND(MAX(0,IF(G392="",1,G392)-1)*Q392,2))</f>
        <v>0</v>
      </c>
      <c r="W392" s="50">
        <f>IF(I392="","",IF(COUNTIF(HolidayDates,I392)&gt;0,"Yes","No"))</f>
        <v>0</v>
      </c>
      <c r="X392" s="50">
        <f>IF(I392="","",IF(WEEKDAY(I392,2)&gt;5,"Yes","No"))</f>
        <v>0</v>
      </c>
      <c r="Y392" s="29">
        <f>IF(H392="","",ROUND((U392+V392)*(IF(W392="Yes",R392,0)+IF(X392="Yes",S392,0)),2))</f>
        <v>0</v>
      </c>
      <c r="AA392" s="29">
        <f>IF(H392="","",IF(T392&lt;&gt;"Yes",0,ROUND(MAX(0,IF(Z392="",0,Z392)-FreeTravelDistance)*TravelFeeRate,2)))</f>
        <v>0</v>
      </c>
      <c r="AB392" s="31">
        <f>IF(I392="","",TravelTimeMins)</f>
        <v>0</v>
      </c>
      <c r="AC392" s="29">
        <f>IF(OR(I392="",B392=""),0,IF(I392-B392&lt;=LastMinuteDays,EmergencyFee,0))</f>
        <v>0</v>
      </c>
      <c r="AF392" s="29">
        <f>IF(H392="","",ROUND((U392+V392+Y392+AA392+AC392)*IF(AE392="",0,AE392),2))</f>
        <v>0</v>
      </c>
      <c r="AI392" s="29">
        <f>IF(H392="","",IF(AG392&lt;&gt;"",AG392,ROUND(U392+V392+Y392+AA392+AC392-AF392,2)))</f>
        <v>0</v>
      </c>
      <c r="AJ392" s="29">
        <f>IF(AI392="","",IF(TaxRegistered&lt;&gt;"Yes",0,IF(PricesIncludeTax="Yes",ROUND(AI392-AI392/(1+TaxRate),2),ROUND(AI392*TaxRate,2))))</f>
        <v>0</v>
      </c>
      <c r="AK392" s="29">
        <f>IF(AI392="","",IF(PricesIncludeTax="Yes",AI392,ROUND(AI392+AJ392,2)))</f>
        <v>0</v>
      </c>
      <c r="AQ392" s="21">
        <f>IF(OR(I392="",AP392="",AP392="None"),"",IF(AP392="Monthly",EDATE(I392,1),I392+IF(AP392="Daily",1,IF(AP392="Weekdays",IF(WEEKDAY(I392,2)&gt;=5,8-WEEKDAY(I392,2),1),IF(AP392="Weekly",7,IF(AP392="Fortnightly",14,0))))))</f>
        <v>0</v>
      </c>
      <c r="AR392" s="49">
        <f>IF(OR(I392="",AL392="",K392="",L392=""),"",IF(SUMPRODUCT((Bookings!$AL$5:$AL$404=AL392)*(Bookings!$I$5:$I$404=I392)*(Bookings!$K$5:$K$404&lt;L392)*(Bookings!$L$5:$L$404&gt;K392)*(Bookings!$AM$5:$AM$404&lt;&gt;"Cancelled"))&gt;1,"Conflict - double booked","OK"))</f>
        <v>0</v>
      </c>
      <c r="AS392" s="50">
        <f>IF(A392="","",IF(COUNTIF('Visit Log'!$B$5:$B$404,A392)&gt;0,"Yes","No"))</f>
        <v>0</v>
      </c>
      <c r="AT392" s="28">
        <f>IF(A392="","",IFERROR(INDEX(Invoices!$A$5:$A$304,MATCH(A392,Invoices!$E$5:$E$304,0)),""))</f>
        <v>0</v>
      </c>
      <c r="AU392" s="49">
        <f>IF(A392="","",IF(AT392="","Not invoiced",IFERROR(INDEX(Invoices!$U$5:$U$304,MATCH(AT392,Invoices!$A$5:$A$304,0)),"")))</f>
        <v>0</v>
      </c>
      <c r="AY392" s="28">
        <f>IF(I392="","",TEXT(I392,"yyyy-mm"))</f>
        <v>0</v>
      </c>
      <c r="AZ392" s="49">
        <f>IF(I392="","",IF(AM392="Cancelled","Cancelled",IF(AND(I392&lt;TODAY(),OR(AM392="Pending",AM392="Confirmed",AM392="Enquiry")),"Overdue - update status",IF(AND(AM392="Completed",AS392="No"),"Action - log the visit",IF(I392=TODAY(),"Today",IF(AND(I392&gt;TODAY(),I392-TODAY()&lt;=ReminderLeadDays,AN392&lt;&gt;"Yes"),"Action - unconfirmed",IF(AND(I392&gt;TODAY(),I392-TODAY()&lt;=ReminderLeadDays),"Upcoming","OK")))))))</f>
        <v>0</v>
      </c>
    </row>
    <row r="393" spans="1:52">
      <c r="A393" s="46">
        <f>IF(C393="","",BookingPrefix&amp;TEXT(ROW()-4,"0000"))</f>
        <v>0</v>
      </c>
      <c r="D393" s="28">
        <f>IF(C393="","",IFERROR(INDEX(Clients!$A$5:$A$254,MATCH(C393,Clients!$B$5:$B$254,0)),""))</f>
        <v>0</v>
      </c>
      <c r="J393" s="50">
        <f>IF(I393="","",TEXT(I393,"ddd"))</f>
        <v>0</v>
      </c>
      <c r="M393" s="51">
        <f>IF(OR(K393="",L393=""),"",ROUND((L393-K393+IF(L393&lt;K393,1,0))*24,2))</f>
        <v>0</v>
      </c>
      <c r="O393" s="28">
        <f>IF(H393="","",IFERROR(INDEX(Services!$E$5:$E$54,MATCH(H393,Services!$B$5:$B$54,0)),""))</f>
        <v>0</v>
      </c>
      <c r="P393" s="29">
        <f>IF(H393="","",IFERROR(INDEX(Services!$G$5:$G$54,MATCH(H393,Services!$B$5:$B$54,0)),0))</f>
        <v>0</v>
      </c>
      <c r="Q393" s="29">
        <f>IF(H393="","",IF(IFERROR(INDEX(Services!$H$5:$H$54,MATCH(H393,Services!$B$5:$B$54,0)),0)=0,ExtraPetFeeDefault,IFERROR(INDEX(Services!$H$5:$H$54,MATCH(H393,Services!$B$5:$B$54,0)),0)))</f>
        <v>0</v>
      </c>
      <c r="R393" s="30">
        <f>IF(H393="","",IF(IFERROR(INDEX(Services!$I$5:$I$54,MATCH(H393,Services!$B$5:$B$54,0)),0)=0,HolidaySurcharge,IFERROR(INDEX(Services!$I$5:$I$54,MATCH(H393,Services!$B$5:$B$54,0)),0)))</f>
        <v>0</v>
      </c>
      <c r="S393" s="30">
        <f>IF(H393="","",IF(IFERROR(INDEX(Services!$J$5:$J$54,MATCH(H393,Services!$B$5:$B$54,0)),0)=0,WeekendSurcharge,IFERROR(INDEX(Services!$J$5:$J$54,MATCH(H393,Services!$B$5:$B$54,0)),0)))</f>
        <v>0</v>
      </c>
      <c r="T393" s="50">
        <f>IF(H393="","",IFERROR(INDEX(Services!$K$5:$K$54,MATCH(H393,Services!$B$5:$B$54,0)),"No"))</f>
        <v>0</v>
      </c>
      <c r="U393" s="29">
        <f>IF(H393="","",ROUND(IF(O393="Per hour",P393*IF(M393="",IF(N393="",1,N393),M393),P393*IF(N393="",1,N393)),2))</f>
        <v>0</v>
      </c>
      <c r="V393" s="29">
        <f>IF(H393="","",ROUND(MAX(0,IF(G393="",1,G393)-1)*Q393,2))</f>
        <v>0</v>
      </c>
      <c r="W393" s="50">
        <f>IF(I393="","",IF(COUNTIF(HolidayDates,I393)&gt;0,"Yes","No"))</f>
        <v>0</v>
      </c>
      <c r="X393" s="50">
        <f>IF(I393="","",IF(WEEKDAY(I393,2)&gt;5,"Yes","No"))</f>
        <v>0</v>
      </c>
      <c r="Y393" s="29">
        <f>IF(H393="","",ROUND((U393+V393)*(IF(W393="Yes",R393,0)+IF(X393="Yes",S393,0)),2))</f>
        <v>0</v>
      </c>
      <c r="AA393" s="29">
        <f>IF(H393="","",IF(T393&lt;&gt;"Yes",0,ROUND(MAX(0,IF(Z393="",0,Z393)-FreeTravelDistance)*TravelFeeRate,2)))</f>
        <v>0</v>
      </c>
      <c r="AB393" s="31">
        <f>IF(I393="","",TravelTimeMins)</f>
        <v>0</v>
      </c>
      <c r="AC393" s="29">
        <f>IF(OR(I393="",B393=""),0,IF(I393-B393&lt;=LastMinuteDays,EmergencyFee,0))</f>
        <v>0</v>
      </c>
      <c r="AF393" s="29">
        <f>IF(H393="","",ROUND((U393+V393+Y393+AA393+AC393)*IF(AE393="",0,AE393),2))</f>
        <v>0</v>
      </c>
      <c r="AI393" s="29">
        <f>IF(H393="","",IF(AG393&lt;&gt;"",AG393,ROUND(U393+V393+Y393+AA393+AC393-AF393,2)))</f>
        <v>0</v>
      </c>
      <c r="AJ393" s="29">
        <f>IF(AI393="","",IF(TaxRegistered&lt;&gt;"Yes",0,IF(PricesIncludeTax="Yes",ROUND(AI393-AI393/(1+TaxRate),2),ROUND(AI393*TaxRate,2))))</f>
        <v>0</v>
      </c>
      <c r="AK393" s="29">
        <f>IF(AI393="","",IF(PricesIncludeTax="Yes",AI393,ROUND(AI393+AJ393,2)))</f>
        <v>0</v>
      </c>
      <c r="AQ393" s="21">
        <f>IF(OR(I393="",AP393="",AP393="None"),"",IF(AP393="Monthly",EDATE(I393,1),I393+IF(AP393="Daily",1,IF(AP393="Weekdays",IF(WEEKDAY(I393,2)&gt;=5,8-WEEKDAY(I393,2),1),IF(AP393="Weekly",7,IF(AP393="Fortnightly",14,0))))))</f>
        <v>0</v>
      </c>
      <c r="AR393" s="49">
        <f>IF(OR(I393="",AL393="",K393="",L393=""),"",IF(SUMPRODUCT((Bookings!$AL$5:$AL$404=AL393)*(Bookings!$I$5:$I$404=I393)*(Bookings!$K$5:$K$404&lt;L393)*(Bookings!$L$5:$L$404&gt;K393)*(Bookings!$AM$5:$AM$404&lt;&gt;"Cancelled"))&gt;1,"Conflict - double booked","OK"))</f>
        <v>0</v>
      </c>
      <c r="AS393" s="50">
        <f>IF(A393="","",IF(COUNTIF('Visit Log'!$B$5:$B$404,A393)&gt;0,"Yes","No"))</f>
        <v>0</v>
      </c>
      <c r="AT393" s="28">
        <f>IF(A393="","",IFERROR(INDEX(Invoices!$A$5:$A$304,MATCH(A393,Invoices!$E$5:$E$304,0)),""))</f>
        <v>0</v>
      </c>
      <c r="AU393" s="49">
        <f>IF(A393="","",IF(AT393="","Not invoiced",IFERROR(INDEX(Invoices!$U$5:$U$304,MATCH(AT393,Invoices!$A$5:$A$304,0)),"")))</f>
        <v>0</v>
      </c>
      <c r="AY393" s="28">
        <f>IF(I393="","",TEXT(I393,"yyyy-mm"))</f>
        <v>0</v>
      </c>
      <c r="AZ393" s="49">
        <f>IF(I393="","",IF(AM393="Cancelled","Cancelled",IF(AND(I393&lt;TODAY(),OR(AM393="Pending",AM393="Confirmed",AM393="Enquiry")),"Overdue - update status",IF(AND(AM393="Completed",AS393="No"),"Action - log the visit",IF(I393=TODAY(),"Today",IF(AND(I393&gt;TODAY(),I393-TODAY()&lt;=ReminderLeadDays,AN393&lt;&gt;"Yes"),"Action - unconfirmed",IF(AND(I393&gt;TODAY(),I393-TODAY()&lt;=ReminderLeadDays),"Upcoming","OK")))))))</f>
        <v>0</v>
      </c>
    </row>
    <row r="394" spans="1:52">
      <c r="A394" s="46">
        <f>IF(C394="","",BookingPrefix&amp;TEXT(ROW()-4,"0000"))</f>
        <v>0</v>
      </c>
      <c r="D394" s="28">
        <f>IF(C394="","",IFERROR(INDEX(Clients!$A$5:$A$254,MATCH(C394,Clients!$B$5:$B$254,0)),""))</f>
        <v>0</v>
      </c>
      <c r="J394" s="50">
        <f>IF(I394="","",TEXT(I394,"ddd"))</f>
        <v>0</v>
      </c>
      <c r="M394" s="51">
        <f>IF(OR(K394="",L394=""),"",ROUND((L394-K394+IF(L394&lt;K394,1,0))*24,2))</f>
        <v>0</v>
      </c>
      <c r="O394" s="28">
        <f>IF(H394="","",IFERROR(INDEX(Services!$E$5:$E$54,MATCH(H394,Services!$B$5:$B$54,0)),""))</f>
        <v>0</v>
      </c>
      <c r="P394" s="29">
        <f>IF(H394="","",IFERROR(INDEX(Services!$G$5:$G$54,MATCH(H394,Services!$B$5:$B$54,0)),0))</f>
        <v>0</v>
      </c>
      <c r="Q394" s="29">
        <f>IF(H394="","",IF(IFERROR(INDEX(Services!$H$5:$H$54,MATCH(H394,Services!$B$5:$B$54,0)),0)=0,ExtraPetFeeDefault,IFERROR(INDEX(Services!$H$5:$H$54,MATCH(H394,Services!$B$5:$B$54,0)),0)))</f>
        <v>0</v>
      </c>
      <c r="R394" s="30">
        <f>IF(H394="","",IF(IFERROR(INDEX(Services!$I$5:$I$54,MATCH(H394,Services!$B$5:$B$54,0)),0)=0,HolidaySurcharge,IFERROR(INDEX(Services!$I$5:$I$54,MATCH(H394,Services!$B$5:$B$54,0)),0)))</f>
        <v>0</v>
      </c>
      <c r="S394" s="30">
        <f>IF(H394="","",IF(IFERROR(INDEX(Services!$J$5:$J$54,MATCH(H394,Services!$B$5:$B$54,0)),0)=0,WeekendSurcharge,IFERROR(INDEX(Services!$J$5:$J$54,MATCH(H394,Services!$B$5:$B$54,0)),0)))</f>
        <v>0</v>
      </c>
      <c r="T394" s="50">
        <f>IF(H394="","",IFERROR(INDEX(Services!$K$5:$K$54,MATCH(H394,Services!$B$5:$B$54,0)),"No"))</f>
        <v>0</v>
      </c>
      <c r="U394" s="29">
        <f>IF(H394="","",ROUND(IF(O394="Per hour",P394*IF(M394="",IF(N394="",1,N394),M394),P394*IF(N394="",1,N394)),2))</f>
        <v>0</v>
      </c>
      <c r="V394" s="29">
        <f>IF(H394="","",ROUND(MAX(0,IF(G394="",1,G394)-1)*Q394,2))</f>
        <v>0</v>
      </c>
      <c r="W394" s="50">
        <f>IF(I394="","",IF(COUNTIF(HolidayDates,I394)&gt;0,"Yes","No"))</f>
        <v>0</v>
      </c>
      <c r="X394" s="50">
        <f>IF(I394="","",IF(WEEKDAY(I394,2)&gt;5,"Yes","No"))</f>
        <v>0</v>
      </c>
      <c r="Y394" s="29">
        <f>IF(H394="","",ROUND((U394+V394)*(IF(W394="Yes",R394,0)+IF(X394="Yes",S394,0)),2))</f>
        <v>0</v>
      </c>
      <c r="AA394" s="29">
        <f>IF(H394="","",IF(T394&lt;&gt;"Yes",0,ROUND(MAX(0,IF(Z394="",0,Z394)-FreeTravelDistance)*TravelFeeRate,2)))</f>
        <v>0</v>
      </c>
      <c r="AB394" s="31">
        <f>IF(I394="","",TravelTimeMins)</f>
        <v>0</v>
      </c>
      <c r="AC394" s="29">
        <f>IF(OR(I394="",B394=""),0,IF(I394-B394&lt;=LastMinuteDays,EmergencyFee,0))</f>
        <v>0</v>
      </c>
      <c r="AF394" s="29">
        <f>IF(H394="","",ROUND((U394+V394+Y394+AA394+AC394)*IF(AE394="",0,AE394),2))</f>
        <v>0</v>
      </c>
      <c r="AI394" s="29">
        <f>IF(H394="","",IF(AG394&lt;&gt;"",AG394,ROUND(U394+V394+Y394+AA394+AC394-AF394,2)))</f>
        <v>0</v>
      </c>
      <c r="AJ394" s="29">
        <f>IF(AI394="","",IF(TaxRegistered&lt;&gt;"Yes",0,IF(PricesIncludeTax="Yes",ROUND(AI394-AI394/(1+TaxRate),2),ROUND(AI394*TaxRate,2))))</f>
        <v>0</v>
      </c>
      <c r="AK394" s="29">
        <f>IF(AI394="","",IF(PricesIncludeTax="Yes",AI394,ROUND(AI394+AJ394,2)))</f>
        <v>0</v>
      </c>
      <c r="AQ394" s="21">
        <f>IF(OR(I394="",AP394="",AP394="None"),"",IF(AP394="Monthly",EDATE(I394,1),I394+IF(AP394="Daily",1,IF(AP394="Weekdays",IF(WEEKDAY(I394,2)&gt;=5,8-WEEKDAY(I394,2),1),IF(AP394="Weekly",7,IF(AP394="Fortnightly",14,0))))))</f>
        <v>0</v>
      </c>
      <c r="AR394" s="49">
        <f>IF(OR(I394="",AL394="",K394="",L394=""),"",IF(SUMPRODUCT((Bookings!$AL$5:$AL$404=AL394)*(Bookings!$I$5:$I$404=I394)*(Bookings!$K$5:$K$404&lt;L394)*(Bookings!$L$5:$L$404&gt;K394)*(Bookings!$AM$5:$AM$404&lt;&gt;"Cancelled"))&gt;1,"Conflict - double booked","OK"))</f>
        <v>0</v>
      </c>
      <c r="AS394" s="50">
        <f>IF(A394="","",IF(COUNTIF('Visit Log'!$B$5:$B$404,A394)&gt;0,"Yes","No"))</f>
        <v>0</v>
      </c>
      <c r="AT394" s="28">
        <f>IF(A394="","",IFERROR(INDEX(Invoices!$A$5:$A$304,MATCH(A394,Invoices!$E$5:$E$304,0)),""))</f>
        <v>0</v>
      </c>
      <c r="AU394" s="49">
        <f>IF(A394="","",IF(AT394="","Not invoiced",IFERROR(INDEX(Invoices!$U$5:$U$304,MATCH(AT394,Invoices!$A$5:$A$304,0)),"")))</f>
        <v>0</v>
      </c>
      <c r="AY394" s="28">
        <f>IF(I394="","",TEXT(I394,"yyyy-mm"))</f>
        <v>0</v>
      </c>
      <c r="AZ394" s="49">
        <f>IF(I394="","",IF(AM394="Cancelled","Cancelled",IF(AND(I394&lt;TODAY(),OR(AM394="Pending",AM394="Confirmed",AM394="Enquiry")),"Overdue - update status",IF(AND(AM394="Completed",AS394="No"),"Action - log the visit",IF(I394=TODAY(),"Today",IF(AND(I394&gt;TODAY(),I394-TODAY()&lt;=ReminderLeadDays,AN394&lt;&gt;"Yes"),"Action - unconfirmed",IF(AND(I394&gt;TODAY(),I394-TODAY()&lt;=ReminderLeadDays),"Upcoming","OK")))))))</f>
        <v>0</v>
      </c>
    </row>
    <row r="395" spans="1:52">
      <c r="A395" s="46">
        <f>IF(C395="","",BookingPrefix&amp;TEXT(ROW()-4,"0000"))</f>
        <v>0</v>
      </c>
      <c r="D395" s="28">
        <f>IF(C395="","",IFERROR(INDEX(Clients!$A$5:$A$254,MATCH(C395,Clients!$B$5:$B$254,0)),""))</f>
        <v>0</v>
      </c>
      <c r="J395" s="50">
        <f>IF(I395="","",TEXT(I395,"ddd"))</f>
        <v>0</v>
      </c>
      <c r="M395" s="51">
        <f>IF(OR(K395="",L395=""),"",ROUND((L395-K395+IF(L395&lt;K395,1,0))*24,2))</f>
        <v>0</v>
      </c>
      <c r="O395" s="28">
        <f>IF(H395="","",IFERROR(INDEX(Services!$E$5:$E$54,MATCH(H395,Services!$B$5:$B$54,0)),""))</f>
        <v>0</v>
      </c>
      <c r="P395" s="29">
        <f>IF(H395="","",IFERROR(INDEX(Services!$G$5:$G$54,MATCH(H395,Services!$B$5:$B$54,0)),0))</f>
        <v>0</v>
      </c>
      <c r="Q395" s="29">
        <f>IF(H395="","",IF(IFERROR(INDEX(Services!$H$5:$H$54,MATCH(H395,Services!$B$5:$B$54,0)),0)=0,ExtraPetFeeDefault,IFERROR(INDEX(Services!$H$5:$H$54,MATCH(H395,Services!$B$5:$B$54,0)),0)))</f>
        <v>0</v>
      </c>
      <c r="R395" s="30">
        <f>IF(H395="","",IF(IFERROR(INDEX(Services!$I$5:$I$54,MATCH(H395,Services!$B$5:$B$54,0)),0)=0,HolidaySurcharge,IFERROR(INDEX(Services!$I$5:$I$54,MATCH(H395,Services!$B$5:$B$54,0)),0)))</f>
        <v>0</v>
      </c>
      <c r="S395" s="30">
        <f>IF(H395="","",IF(IFERROR(INDEX(Services!$J$5:$J$54,MATCH(H395,Services!$B$5:$B$54,0)),0)=0,WeekendSurcharge,IFERROR(INDEX(Services!$J$5:$J$54,MATCH(H395,Services!$B$5:$B$54,0)),0)))</f>
        <v>0</v>
      </c>
      <c r="T395" s="50">
        <f>IF(H395="","",IFERROR(INDEX(Services!$K$5:$K$54,MATCH(H395,Services!$B$5:$B$54,0)),"No"))</f>
        <v>0</v>
      </c>
      <c r="U395" s="29">
        <f>IF(H395="","",ROUND(IF(O395="Per hour",P395*IF(M395="",IF(N395="",1,N395),M395),P395*IF(N395="",1,N395)),2))</f>
        <v>0</v>
      </c>
      <c r="V395" s="29">
        <f>IF(H395="","",ROUND(MAX(0,IF(G395="",1,G395)-1)*Q395,2))</f>
        <v>0</v>
      </c>
      <c r="W395" s="50">
        <f>IF(I395="","",IF(COUNTIF(HolidayDates,I395)&gt;0,"Yes","No"))</f>
        <v>0</v>
      </c>
      <c r="X395" s="50">
        <f>IF(I395="","",IF(WEEKDAY(I395,2)&gt;5,"Yes","No"))</f>
        <v>0</v>
      </c>
      <c r="Y395" s="29">
        <f>IF(H395="","",ROUND((U395+V395)*(IF(W395="Yes",R395,0)+IF(X395="Yes",S395,0)),2))</f>
        <v>0</v>
      </c>
      <c r="AA395" s="29">
        <f>IF(H395="","",IF(T395&lt;&gt;"Yes",0,ROUND(MAX(0,IF(Z395="",0,Z395)-FreeTravelDistance)*TravelFeeRate,2)))</f>
        <v>0</v>
      </c>
      <c r="AB395" s="31">
        <f>IF(I395="","",TravelTimeMins)</f>
        <v>0</v>
      </c>
      <c r="AC395" s="29">
        <f>IF(OR(I395="",B395=""),0,IF(I395-B395&lt;=LastMinuteDays,EmergencyFee,0))</f>
        <v>0</v>
      </c>
      <c r="AF395" s="29">
        <f>IF(H395="","",ROUND((U395+V395+Y395+AA395+AC395)*IF(AE395="",0,AE395),2))</f>
        <v>0</v>
      </c>
      <c r="AI395" s="29">
        <f>IF(H395="","",IF(AG395&lt;&gt;"",AG395,ROUND(U395+V395+Y395+AA395+AC395-AF395,2)))</f>
        <v>0</v>
      </c>
      <c r="AJ395" s="29">
        <f>IF(AI395="","",IF(TaxRegistered&lt;&gt;"Yes",0,IF(PricesIncludeTax="Yes",ROUND(AI395-AI395/(1+TaxRate),2),ROUND(AI395*TaxRate,2))))</f>
        <v>0</v>
      </c>
      <c r="AK395" s="29">
        <f>IF(AI395="","",IF(PricesIncludeTax="Yes",AI395,ROUND(AI395+AJ395,2)))</f>
        <v>0</v>
      </c>
      <c r="AQ395" s="21">
        <f>IF(OR(I395="",AP395="",AP395="None"),"",IF(AP395="Monthly",EDATE(I395,1),I395+IF(AP395="Daily",1,IF(AP395="Weekdays",IF(WEEKDAY(I395,2)&gt;=5,8-WEEKDAY(I395,2),1),IF(AP395="Weekly",7,IF(AP395="Fortnightly",14,0))))))</f>
        <v>0</v>
      </c>
      <c r="AR395" s="49">
        <f>IF(OR(I395="",AL395="",K395="",L395=""),"",IF(SUMPRODUCT((Bookings!$AL$5:$AL$404=AL395)*(Bookings!$I$5:$I$404=I395)*(Bookings!$K$5:$K$404&lt;L395)*(Bookings!$L$5:$L$404&gt;K395)*(Bookings!$AM$5:$AM$404&lt;&gt;"Cancelled"))&gt;1,"Conflict - double booked","OK"))</f>
        <v>0</v>
      </c>
      <c r="AS395" s="50">
        <f>IF(A395="","",IF(COUNTIF('Visit Log'!$B$5:$B$404,A395)&gt;0,"Yes","No"))</f>
        <v>0</v>
      </c>
      <c r="AT395" s="28">
        <f>IF(A395="","",IFERROR(INDEX(Invoices!$A$5:$A$304,MATCH(A395,Invoices!$E$5:$E$304,0)),""))</f>
        <v>0</v>
      </c>
      <c r="AU395" s="49">
        <f>IF(A395="","",IF(AT395="","Not invoiced",IFERROR(INDEX(Invoices!$U$5:$U$304,MATCH(AT395,Invoices!$A$5:$A$304,0)),"")))</f>
        <v>0</v>
      </c>
      <c r="AY395" s="28">
        <f>IF(I395="","",TEXT(I395,"yyyy-mm"))</f>
        <v>0</v>
      </c>
      <c r="AZ395" s="49">
        <f>IF(I395="","",IF(AM395="Cancelled","Cancelled",IF(AND(I395&lt;TODAY(),OR(AM395="Pending",AM395="Confirmed",AM395="Enquiry")),"Overdue - update status",IF(AND(AM395="Completed",AS395="No"),"Action - log the visit",IF(I395=TODAY(),"Today",IF(AND(I395&gt;TODAY(),I395-TODAY()&lt;=ReminderLeadDays,AN395&lt;&gt;"Yes"),"Action - unconfirmed",IF(AND(I395&gt;TODAY(),I395-TODAY()&lt;=ReminderLeadDays),"Upcoming","OK")))))))</f>
        <v>0</v>
      </c>
    </row>
    <row r="396" spans="1:52">
      <c r="A396" s="46">
        <f>IF(C396="","",BookingPrefix&amp;TEXT(ROW()-4,"0000"))</f>
        <v>0</v>
      </c>
      <c r="D396" s="28">
        <f>IF(C396="","",IFERROR(INDEX(Clients!$A$5:$A$254,MATCH(C396,Clients!$B$5:$B$254,0)),""))</f>
        <v>0</v>
      </c>
      <c r="J396" s="50">
        <f>IF(I396="","",TEXT(I396,"ddd"))</f>
        <v>0</v>
      </c>
      <c r="M396" s="51">
        <f>IF(OR(K396="",L396=""),"",ROUND((L396-K396+IF(L396&lt;K396,1,0))*24,2))</f>
        <v>0</v>
      </c>
      <c r="O396" s="28">
        <f>IF(H396="","",IFERROR(INDEX(Services!$E$5:$E$54,MATCH(H396,Services!$B$5:$B$54,0)),""))</f>
        <v>0</v>
      </c>
      <c r="P396" s="29">
        <f>IF(H396="","",IFERROR(INDEX(Services!$G$5:$G$54,MATCH(H396,Services!$B$5:$B$54,0)),0))</f>
        <v>0</v>
      </c>
      <c r="Q396" s="29">
        <f>IF(H396="","",IF(IFERROR(INDEX(Services!$H$5:$H$54,MATCH(H396,Services!$B$5:$B$54,0)),0)=0,ExtraPetFeeDefault,IFERROR(INDEX(Services!$H$5:$H$54,MATCH(H396,Services!$B$5:$B$54,0)),0)))</f>
        <v>0</v>
      </c>
      <c r="R396" s="30">
        <f>IF(H396="","",IF(IFERROR(INDEX(Services!$I$5:$I$54,MATCH(H396,Services!$B$5:$B$54,0)),0)=0,HolidaySurcharge,IFERROR(INDEX(Services!$I$5:$I$54,MATCH(H396,Services!$B$5:$B$54,0)),0)))</f>
        <v>0</v>
      </c>
      <c r="S396" s="30">
        <f>IF(H396="","",IF(IFERROR(INDEX(Services!$J$5:$J$54,MATCH(H396,Services!$B$5:$B$54,0)),0)=0,WeekendSurcharge,IFERROR(INDEX(Services!$J$5:$J$54,MATCH(H396,Services!$B$5:$B$54,0)),0)))</f>
        <v>0</v>
      </c>
      <c r="T396" s="50">
        <f>IF(H396="","",IFERROR(INDEX(Services!$K$5:$K$54,MATCH(H396,Services!$B$5:$B$54,0)),"No"))</f>
        <v>0</v>
      </c>
      <c r="U396" s="29">
        <f>IF(H396="","",ROUND(IF(O396="Per hour",P396*IF(M396="",IF(N396="",1,N396),M396),P396*IF(N396="",1,N396)),2))</f>
        <v>0</v>
      </c>
      <c r="V396" s="29">
        <f>IF(H396="","",ROUND(MAX(0,IF(G396="",1,G396)-1)*Q396,2))</f>
        <v>0</v>
      </c>
      <c r="W396" s="50">
        <f>IF(I396="","",IF(COUNTIF(HolidayDates,I396)&gt;0,"Yes","No"))</f>
        <v>0</v>
      </c>
      <c r="X396" s="50">
        <f>IF(I396="","",IF(WEEKDAY(I396,2)&gt;5,"Yes","No"))</f>
        <v>0</v>
      </c>
      <c r="Y396" s="29">
        <f>IF(H396="","",ROUND((U396+V396)*(IF(W396="Yes",R396,0)+IF(X396="Yes",S396,0)),2))</f>
        <v>0</v>
      </c>
      <c r="AA396" s="29">
        <f>IF(H396="","",IF(T396&lt;&gt;"Yes",0,ROUND(MAX(0,IF(Z396="",0,Z396)-FreeTravelDistance)*TravelFeeRate,2)))</f>
        <v>0</v>
      </c>
      <c r="AB396" s="31">
        <f>IF(I396="","",TravelTimeMins)</f>
        <v>0</v>
      </c>
      <c r="AC396" s="29">
        <f>IF(OR(I396="",B396=""),0,IF(I396-B396&lt;=LastMinuteDays,EmergencyFee,0))</f>
        <v>0</v>
      </c>
      <c r="AF396" s="29">
        <f>IF(H396="","",ROUND((U396+V396+Y396+AA396+AC396)*IF(AE396="",0,AE396),2))</f>
        <v>0</v>
      </c>
      <c r="AI396" s="29">
        <f>IF(H396="","",IF(AG396&lt;&gt;"",AG396,ROUND(U396+V396+Y396+AA396+AC396-AF396,2)))</f>
        <v>0</v>
      </c>
      <c r="AJ396" s="29">
        <f>IF(AI396="","",IF(TaxRegistered&lt;&gt;"Yes",0,IF(PricesIncludeTax="Yes",ROUND(AI396-AI396/(1+TaxRate),2),ROUND(AI396*TaxRate,2))))</f>
        <v>0</v>
      </c>
      <c r="AK396" s="29">
        <f>IF(AI396="","",IF(PricesIncludeTax="Yes",AI396,ROUND(AI396+AJ396,2)))</f>
        <v>0</v>
      </c>
      <c r="AQ396" s="21">
        <f>IF(OR(I396="",AP396="",AP396="None"),"",IF(AP396="Monthly",EDATE(I396,1),I396+IF(AP396="Daily",1,IF(AP396="Weekdays",IF(WEEKDAY(I396,2)&gt;=5,8-WEEKDAY(I396,2),1),IF(AP396="Weekly",7,IF(AP396="Fortnightly",14,0))))))</f>
        <v>0</v>
      </c>
      <c r="AR396" s="49">
        <f>IF(OR(I396="",AL396="",K396="",L396=""),"",IF(SUMPRODUCT((Bookings!$AL$5:$AL$404=AL396)*(Bookings!$I$5:$I$404=I396)*(Bookings!$K$5:$K$404&lt;L396)*(Bookings!$L$5:$L$404&gt;K396)*(Bookings!$AM$5:$AM$404&lt;&gt;"Cancelled"))&gt;1,"Conflict - double booked","OK"))</f>
        <v>0</v>
      </c>
      <c r="AS396" s="50">
        <f>IF(A396="","",IF(COUNTIF('Visit Log'!$B$5:$B$404,A396)&gt;0,"Yes","No"))</f>
        <v>0</v>
      </c>
      <c r="AT396" s="28">
        <f>IF(A396="","",IFERROR(INDEX(Invoices!$A$5:$A$304,MATCH(A396,Invoices!$E$5:$E$304,0)),""))</f>
        <v>0</v>
      </c>
      <c r="AU396" s="49">
        <f>IF(A396="","",IF(AT396="","Not invoiced",IFERROR(INDEX(Invoices!$U$5:$U$304,MATCH(AT396,Invoices!$A$5:$A$304,0)),"")))</f>
        <v>0</v>
      </c>
      <c r="AY396" s="28">
        <f>IF(I396="","",TEXT(I396,"yyyy-mm"))</f>
        <v>0</v>
      </c>
      <c r="AZ396" s="49">
        <f>IF(I396="","",IF(AM396="Cancelled","Cancelled",IF(AND(I396&lt;TODAY(),OR(AM396="Pending",AM396="Confirmed",AM396="Enquiry")),"Overdue - update status",IF(AND(AM396="Completed",AS396="No"),"Action - log the visit",IF(I396=TODAY(),"Today",IF(AND(I396&gt;TODAY(),I396-TODAY()&lt;=ReminderLeadDays,AN396&lt;&gt;"Yes"),"Action - unconfirmed",IF(AND(I396&gt;TODAY(),I396-TODAY()&lt;=ReminderLeadDays),"Upcoming","OK")))))))</f>
        <v>0</v>
      </c>
    </row>
    <row r="397" spans="1:52">
      <c r="A397" s="46">
        <f>IF(C397="","",BookingPrefix&amp;TEXT(ROW()-4,"0000"))</f>
        <v>0</v>
      </c>
      <c r="D397" s="28">
        <f>IF(C397="","",IFERROR(INDEX(Clients!$A$5:$A$254,MATCH(C397,Clients!$B$5:$B$254,0)),""))</f>
        <v>0</v>
      </c>
      <c r="J397" s="50">
        <f>IF(I397="","",TEXT(I397,"ddd"))</f>
        <v>0</v>
      </c>
      <c r="M397" s="51">
        <f>IF(OR(K397="",L397=""),"",ROUND((L397-K397+IF(L397&lt;K397,1,0))*24,2))</f>
        <v>0</v>
      </c>
      <c r="O397" s="28">
        <f>IF(H397="","",IFERROR(INDEX(Services!$E$5:$E$54,MATCH(H397,Services!$B$5:$B$54,0)),""))</f>
        <v>0</v>
      </c>
      <c r="P397" s="29">
        <f>IF(H397="","",IFERROR(INDEX(Services!$G$5:$G$54,MATCH(H397,Services!$B$5:$B$54,0)),0))</f>
        <v>0</v>
      </c>
      <c r="Q397" s="29">
        <f>IF(H397="","",IF(IFERROR(INDEX(Services!$H$5:$H$54,MATCH(H397,Services!$B$5:$B$54,0)),0)=0,ExtraPetFeeDefault,IFERROR(INDEX(Services!$H$5:$H$54,MATCH(H397,Services!$B$5:$B$54,0)),0)))</f>
        <v>0</v>
      </c>
      <c r="R397" s="30">
        <f>IF(H397="","",IF(IFERROR(INDEX(Services!$I$5:$I$54,MATCH(H397,Services!$B$5:$B$54,0)),0)=0,HolidaySurcharge,IFERROR(INDEX(Services!$I$5:$I$54,MATCH(H397,Services!$B$5:$B$54,0)),0)))</f>
        <v>0</v>
      </c>
      <c r="S397" s="30">
        <f>IF(H397="","",IF(IFERROR(INDEX(Services!$J$5:$J$54,MATCH(H397,Services!$B$5:$B$54,0)),0)=0,WeekendSurcharge,IFERROR(INDEX(Services!$J$5:$J$54,MATCH(H397,Services!$B$5:$B$54,0)),0)))</f>
        <v>0</v>
      </c>
      <c r="T397" s="50">
        <f>IF(H397="","",IFERROR(INDEX(Services!$K$5:$K$54,MATCH(H397,Services!$B$5:$B$54,0)),"No"))</f>
        <v>0</v>
      </c>
      <c r="U397" s="29">
        <f>IF(H397="","",ROUND(IF(O397="Per hour",P397*IF(M397="",IF(N397="",1,N397),M397),P397*IF(N397="",1,N397)),2))</f>
        <v>0</v>
      </c>
      <c r="V397" s="29">
        <f>IF(H397="","",ROUND(MAX(0,IF(G397="",1,G397)-1)*Q397,2))</f>
        <v>0</v>
      </c>
      <c r="W397" s="50">
        <f>IF(I397="","",IF(COUNTIF(HolidayDates,I397)&gt;0,"Yes","No"))</f>
        <v>0</v>
      </c>
      <c r="X397" s="50">
        <f>IF(I397="","",IF(WEEKDAY(I397,2)&gt;5,"Yes","No"))</f>
        <v>0</v>
      </c>
      <c r="Y397" s="29">
        <f>IF(H397="","",ROUND((U397+V397)*(IF(W397="Yes",R397,0)+IF(X397="Yes",S397,0)),2))</f>
        <v>0</v>
      </c>
      <c r="AA397" s="29">
        <f>IF(H397="","",IF(T397&lt;&gt;"Yes",0,ROUND(MAX(0,IF(Z397="",0,Z397)-FreeTravelDistance)*TravelFeeRate,2)))</f>
        <v>0</v>
      </c>
      <c r="AB397" s="31">
        <f>IF(I397="","",TravelTimeMins)</f>
        <v>0</v>
      </c>
      <c r="AC397" s="29">
        <f>IF(OR(I397="",B397=""),0,IF(I397-B397&lt;=LastMinuteDays,EmergencyFee,0))</f>
        <v>0</v>
      </c>
      <c r="AF397" s="29">
        <f>IF(H397="","",ROUND((U397+V397+Y397+AA397+AC397)*IF(AE397="",0,AE397),2))</f>
        <v>0</v>
      </c>
      <c r="AI397" s="29">
        <f>IF(H397="","",IF(AG397&lt;&gt;"",AG397,ROUND(U397+V397+Y397+AA397+AC397-AF397,2)))</f>
        <v>0</v>
      </c>
      <c r="AJ397" s="29">
        <f>IF(AI397="","",IF(TaxRegistered&lt;&gt;"Yes",0,IF(PricesIncludeTax="Yes",ROUND(AI397-AI397/(1+TaxRate),2),ROUND(AI397*TaxRate,2))))</f>
        <v>0</v>
      </c>
      <c r="AK397" s="29">
        <f>IF(AI397="","",IF(PricesIncludeTax="Yes",AI397,ROUND(AI397+AJ397,2)))</f>
        <v>0</v>
      </c>
      <c r="AQ397" s="21">
        <f>IF(OR(I397="",AP397="",AP397="None"),"",IF(AP397="Monthly",EDATE(I397,1),I397+IF(AP397="Daily",1,IF(AP397="Weekdays",IF(WEEKDAY(I397,2)&gt;=5,8-WEEKDAY(I397,2),1),IF(AP397="Weekly",7,IF(AP397="Fortnightly",14,0))))))</f>
        <v>0</v>
      </c>
      <c r="AR397" s="49">
        <f>IF(OR(I397="",AL397="",K397="",L397=""),"",IF(SUMPRODUCT((Bookings!$AL$5:$AL$404=AL397)*(Bookings!$I$5:$I$404=I397)*(Bookings!$K$5:$K$404&lt;L397)*(Bookings!$L$5:$L$404&gt;K397)*(Bookings!$AM$5:$AM$404&lt;&gt;"Cancelled"))&gt;1,"Conflict - double booked","OK"))</f>
        <v>0</v>
      </c>
      <c r="AS397" s="50">
        <f>IF(A397="","",IF(COUNTIF('Visit Log'!$B$5:$B$404,A397)&gt;0,"Yes","No"))</f>
        <v>0</v>
      </c>
      <c r="AT397" s="28">
        <f>IF(A397="","",IFERROR(INDEX(Invoices!$A$5:$A$304,MATCH(A397,Invoices!$E$5:$E$304,0)),""))</f>
        <v>0</v>
      </c>
      <c r="AU397" s="49">
        <f>IF(A397="","",IF(AT397="","Not invoiced",IFERROR(INDEX(Invoices!$U$5:$U$304,MATCH(AT397,Invoices!$A$5:$A$304,0)),"")))</f>
        <v>0</v>
      </c>
      <c r="AY397" s="28">
        <f>IF(I397="","",TEXT(I397,"yyyy-mm"))</f>
        <v>0</v>
      </c>
      <c r="AZ397" s="49">
        <f>IF(I397="","",IF(AM397="Cancelled","Cancelled",IF(AND(I397&lt;TODAY(),OR(AM397="Pending",AM397="Confirmed",AM397="Enquiry")),"Overdue - update status",IF(AND(AM397="Completed",AS397="No"),"Action - log the visit",IF(I397=TODAY(),"Today",IF(AND(I397&gt;TODAY(),I397-TODAY()&lt;=ReminderLeadDays,AN397&lt;&gt;"Yes"),"Action - unconfirmed",IF(AND(I397&gt;TODAY(),I397-TODAY()&lt;=ReminderLeadDays),"Upcoming","OK")))))))</f>
        <v>0</v>
      </c>
    </row>
    <row r="398" spans="1:52">
      <c r="A398" s="46">
        <f>IF(C398="","",BookingPrefix&amp;TEXT(ROW()-4,"0000"))</f>
        <v>0</v>
      </c>
      <c r="D398" s="28">
        <f>IF(C398="","",IFERROR(INDEX(Clients!$A$5:$A$254,MATCH(C398,Clients!$B$5:$B$254,0)),""))</f>
        <v>0</v>
      </c>
      <c r="J398" s="50">
        <f>IF(I398="","",TEXT(I398,"ddd"))</f>
        <v>0</v>
      </c>
      <c r="M398" s="51">
        <f>IF(OR(K398="",L398=""),"",ROUND((L398-K398+IF(L398&lt;K398,1,0))*24,2))</f>
        <v>0</v>
      </c>
      <c r="O398" s="28">
        <f>IF(H398="","",IFERROR(INDEX(Services!$E$5:$E$54,MATCH(H398,Services!$B$5:$B$54,0)),""))</f>
        <v>0</v>
      </c>
      <c r="P398" s="29">
        <f>IF(H398="","",IFERROR(INDEX(Services!$G$5:$G$54,MATCH(H398,Services!$B$5:$B$54,0)),0))</f>
        <v>0</v>
      </c>
      <c r="Q398" s="29">
        <f>IF(H398="","",IF(IFERROR(INDEX(Services!$H$5:$H$54,MATCH(H398,Services!$B$5:$B$54,0)),0)=0,ExtraPetFeeDefault,IFERROR(INDEX(Services!$H$5:$H$54,MATCH(H398,Services!$B$5:$B$54,0)),0)))</f>
        <v>0</v>
      </c>
      <c r="R398" s="30">
        <f>IF(H398="","",IF(IFERROR(INDEX(Services!$I$5:$I$54,MATCH(H398,Services!$B$5:$B$54,0)),0)=0,HolidaySurcharge,IFERROR(INDEX(Services!$I$5:$I$54,MATCH(H398,Services!$B$5:$B$54,0)),0)))</f>
        <v>0</v>
      </c>
      <c r="S398" s="30">
        <f>IF(H398="","",IF(IFERROR(INDEX(Services!$J$5:$J$54,MATCH(H398,Services!$B$5:$B$54,0)),0)=0,WeekendSurcharge,IFERROR(INDEX(Services!$J$5:$J$54,MATCH(H398,Services!$B$5:$B$54,0)),0)))</f>
        <v>0</v>
      </c>
      <c r="T398" s="50">
        <f>IF(H398="","",IFERROR(INDEX(Services!$K$5:$K$54,MATCH(H398,Services!$B$5:$B$54,0)),"No"))</f>
        <v>0</v>
      </c>
      <c r="U398" s="29">
        <f>IF(H398="","",ROUND(IF(O398="Per hour",P398*IF(M398="",IF(N398="",1,N398),M398),P398*IF(N398="",1,N398)),2))</f>
        <v>0</v>
      </c>
      <c r="V398" s="29">
        <f>IF(H398="","",ROUND(MAX(0,IF(G398="",1,G398)-1)*Q398,2))</f>
        <v>0</v>
      </c>
      <c r="W398" s="50">
        <f>IF(I398="","",IF(COUNTIF(HolidayDates,I398)&gt;0,"Yes","No"))</f>
        <v>0</v>
      </c>
      <c r="X398" s="50">
        <f>IF(I398="","",IF(WEEKDAY(I398,2)&gt;5,"Yes","No"))</f>
        <v>0</v>
      </c>
      <c r="Y398" s="29">
        <f>IF(H398="","",ROUND((U398+V398)*(IF(W398="Yes",R398,0)+IF(X398="Yes",S398,0)),2))</f>
        <v>0</v>
      </c>
      <c r="AA398" s="29">
        <f>IF(H398="","",IF(T398&lt;&gt;"Yes",0,ROUND(MAX(0,IF(Z398="",0,Z398)-FreeTravelDistance)*TravelFeeRate,2)))</f>
        <v>0</v>
      </c>
      <c r="AB398" s="31">
        <f>IF(I398="","",TravelTimeMins)</f>
        <v>0</v>
      </c>
      <c r="AC398" s="29">
        <f>IF(OR(I398="",B398=""),0,IF(I398-B398&lt;=LastMinuteDays,EmergencyFee,0))</f>
        <v>0</v>
      </c>
      <c r="AF398" s="29">
        <f>IF(H398="","",ROUND((U398+V398+Y398+AA398+AC398)*IF(AE398="",0,AE398),2))</f>
        <v>0</v>
      </c>
      <c r="AI398" s="29">
        <f>IF(H398="","",IF(AG398&lt;&gt;"",AG398,ROUND(U398+V398+Y398+AA398+AC398-AF398,2)))</f>
        <v>0</v>
      </c>
      <c r="AJ398" s="29">
        <f>IF(AI398="","",IF(TaxRegistered&lt;&gt;"Yes",0,IF(PricesIncludeTax="Yes",ROUND(AI398-AI398/(1+TaxRate),2),ROUND(AI398*TaxRate,2))))</f>
        <v>0</v>
      </c>
      <c r="AK398" s="29">
        <f>IF(AI398="","",IF(PricesIncludeTax="Yes",AI398,ROUND(AI398+AJ398,2)))</f>
        <v>0</v>
      </c>
      <c r="AQ398" s="21">
        <f>IF(OR(I398="",AP398="",AP398="None"),"",IF(AP398="Monthly",EDATE(I398,1),I398+IF(AP398="Daily",1,IF(AP398="Weekdays",IF(WEEKDAY(I398,2)&gt;=5,8-WEEKDAY(I398,2),1),IF(AP398="Weekly",7,IF(AP398="Fortnightly",14,0))))))</f>
        <v>0</v>
      </c>
      <c r="AR398" s="49">
        <f>IF(OR(I398="",AL398="",K398="",L398=""),"",IF(SUMPRODUCT((Bookings!$AL$5:$AL$404=AL398)*(Bookings!$I$5:$I$404=I398)*(Bookings!$K$5:$K$404&lt;L398)*(Bookings!$L$5:$L$404&gt;K398)*(Bookings!$AM$5:$AM$404&lt;&gt;"Cancelled"))&gt;1,"Conflict - double booked","OK"))</f>
        <v>0</v>
      </c>
      <c r="AS398" s="50">
        <f>IF(A398="","",IF(COUNTIF('Visit Log'!$B$5:$B$404,A398)&gt;0,"Yes","No"))</f>
        <v>0</v>
      </c>
      <c r="AT398" s="28">
        <f>IF(A398="","",IFERROR(INDEX(Invoices!$A$5:$A$304,MATCH(A398,Invoices!$E$5:$E$304,0)),""))</f>
        <v>0</v>
      </c>
      <c r="AU398" s="49">
        <f>IF(A398="","",IF(AT398="","Not invoiced",IFERROR(INDEX(Invoices!$U$5:$U$304,MATCH(AT398,Invoices!$A$5:$A$304,0)),"")))</f>
        <v>0</v>
      </c>
      <c r="AY398" s="28">
        <f>IF(I398="","",TEXT(I398,"yyyy-mm"))</f>
        <v>0</v>
      </c>
      <c r="AZ398" s="49">
        <f>IF(I398="","",IF(AM398="Cancelled","Cancelled",IF(AND(I398&lt;TODAY(),OR(AM398="Pending",AM398="Confirmed",AM398="Enquiry")),"Overdue - update status",IF(AND(AM398="Completed",AS398="No"),"Action - log the visit",IF(I398=TODAY(),"Today",IF(AND(I398&gt;TODAY(),I398-TODAY()&lt;=ReminderLeadDays,AN398&lt;&gt;"Yes"),"Action - unconfirmed",IF(AND(I398&gt;TODAY(),I398-TODAY()&lt;=ReminderLeadDays),"Upcoming","OK")))))))</f>
        <v>0</v>
      </c>
    </row>
    <row r="399" spans="1:52">
      <c r="A399" s="46">
        <f>IF(C399="","",BookingPrefix&amp;TEXT(ROW()-4,"0000"))</f>
        <v>0</v>
      </c>
      <c r="D399" s="28">
        <f>IF(C399="","",IFERROR(INDEX(Clients!$A$5:$A$254,MATCH(C399,Clients!$B$5:$B$254,0)),""))</f>
        <v>0</v>
      </c>
      <c r="J399" s="50">
        <f>IF(I399="","",TEXT(I399,"ddd"))</f>
        <v>0</v>
      </c>
      <c r="M399" s="51">
        <f>IF(OR(K399="",L399=""),"",ROUND((L399-K399+IF(L399&lt;K399,1,0))*24,2))</f>
        <v>0</v>
      </c>
      <c r="O399" s="28">
        <f>IF(H399="","",IFERROR(INDEX(Services!$E$5:$E$54,MATCH(H399,Services!$B$5:$B$54,0)),""))</f>
        <v>0</v>
      </c>
      <c r="P399" s="29">
        <f>IF(H399="","",IFERROR(INDEX(Services!$G$5:$G$54,MATCH(H399,Services!$B$5:$B$54,0)),0))</f>
        <v>0</v>
      </c>
      <c r="Q399" s="29">
        <f>IF(H399="","",IF(IFERROR(INDEX(Services!$H$5:$H$54,MATCH(H399,Services!$B$5:$B$54,0)),0)=0,ExtraPetFeeDefault,IFERROR(INDEX(Services!$H$5:$H$54,MATCH(H399,Services!$B$5:$B$54,0)),0)))</f>
        <v>0</v>
      </c>
      <c r="R399" s="30">
        <f>IF(H399="","",IF(IFERROR(INDEX(Services!$I$5:$I$54,MATCH(H399,Services!$B$5:$B$54,0)),0)=0,HolidaySurcharge,IFERROR(INDEX(Services!$I$5:$I$54,MATCH(H399,Services!$B$5:$B$54,0)),0)))</f>
        <v>0</v>
      </c>
      <c r="S399" s="30">
        <f>IF(H399="","",IF(IFERROR(INDEX(Services!$J$5:$J$54,MATCH(H399,Services!$B$5:$B$54,0)),0)=0,WeekendSurcharge,IFERROR(INDEX(Services!$J$5:$J$54,MATCH(H399,Services!$B$5:$B$54,0)),0)))</f>
        <v>0</v>
      </c>
      <c r="T399" s="50">
        <f>IF(H399="","",IFERROR(INDEX(Services!$K$5:$K$54,MATCH(H399,Services!$B$5:$B$54,0)),"No"))</f>
        <v>0</v>
      </c>
      <c r="U399" s="29">
        <f>IF(H399="","",ROUND(IF(O399="Per hour",P399*IF(M399="",IF(N399="",1,N399),M399),P399*IF(N399="",1,N399)),2))</f>
        <v>0</v>
      </c>
      <c r="V399" s="29">
        <f>IF(H399="","",ROUND(MAX(0,IF(G399="",1,G399)-1)*Q399,2))</f>
        <v>0</v>
      </c>
      <c r="W399" s="50">
        <f>IF(I399="","",IF(COUNTIF(HolidayDates,I399)&gt;0,"Yes","No"))</f>
        <v>0</v>
      </c>
      <c r="X399" s="50">
        <f>IF(I399="","",IF(WEEKDAY(I399,2)&gt;5,"Yes","No"))</f>
        <v>0</v>
      </c>
      <c r="Y399" s="29">
        <f>IF(H399="","",ROUND((U399+V399)*(IF(W399="Yes",R399,0)+IF(X399="Yes",S399,0)),2))</f>
        <v>0</v>
      </c>
      <c r="AA399" s="29">
        <f>IF(H399="","",IF(T399&lt;&gt;"Yes",0,ROUND(MAX(0,IF(Z399="",0,Z399)-FreeTravelDistance)*TravelFeeRate,2)))</f>
        <v>0</v>
      </c>
      <c r="AB399" s="31">
        <f>IF(I399="","",TravelTimeMins)</f>
        <v>0</v>
      </c>
      <c r="AC399" s="29">
        <f>IF(OR(I399="",B399=""),0,IF(I399-B399&lt;=LastMinuteDays,EmergencyFee,0))</f>
        <v>0</v>
      </c>
      <c r="AF399" s="29">
        <f>IF(H399="","",ROUND((U399+V399+Y399+AA399+AC399)*IF(AE399="",0,AE399),2))</f>
        <v>0</v>
      </c>
      <c r="AI399" s="29">
        <f>IF(H399="","",IF(AG399&lt;&gt;"",AG399,ROUND(U399+V399+Y399+AA399+AC399-AF399,2)))</f>
        <v>0</v>
      </c>
      <c r="AJ399" s="29">
        <f>IF(AI399="","",IF(TaxRegistered&lt;&gt;"Yes",0,IF(PricesIncludeTax="Yes",ROUND(AI399-AI399/(1+TaxRate),2),ROUND(AI399*TaxRate,2))))</f>
        <v>0</v>
      </c>
      <c r="AK399" s="29">
        <f>IF(AI399="","",IF(PricesIncludeTax="Yes",AI399,ROUND(AI399+AJ399,2)))</f>
        <v>0</v>
      </c>
      <c r="AQ399" s="21">
        <f>IF(OR(I399="",AP399="",AP399="None"),"",IF(AP399="Monthly",EDATE(I399,1),I399+IF(AP399="Daily",1,IF(AP399="Weekdays",IF(WEEKDAY(I399,2)&gt;=5,8-WEEKDAY(I399,2),1),IF(AP399="Weekly",7,IF(AP399="Fortnightly",14,0))))))</f>
        <v>0</v>
      </c>
      <c r="AR399" s="49">
        <f>IF(OR(I399="",AL399="",K399="",L399=""),"",IF(SUMPRODUCT((Bookings!$AL$5:$AL$404=AL399)*(Bookings!$I$5:$I$404=I399)*(Bookings!$K$5:$K$404&lt;L399)*(Bookings!$L$5:$L$404&gt;K399)*(Bookings!$AM$5:$AM$404&lt;&gt;"Cancelled"))&gt;1,"Conflict - double booked","OK"))</f>
        <v>0</v>
      </c>
      <c r="AS399" s="50">
        <f>IF(A399="","",IF(COUNTIF('Visit Log'!$B$5:$B$404,A399)&gt;0,"Yes","No"))</f>
        <v>0</v>
      </c>
      <c r="AT399" s="28">
        <f>IF(A399="","",IFERROR(INDEX(Invoices!$A$5:$A$304,MATCH(A399,Invoices!$E$5:$E$304,0)),""))</f>
        <v>0</v>
      </c>
      <c r="AU399" s="49">
        <f>IF(A399="","",IF(AT399="","Not invoiced",IFERROR(INDEX(Invoices!$U$5:$U$304,MATCH(AT399,Invoices!$A$5:$A$304,0)),"")))</f>
        <v>0</v>
      </c>
      <c r="AY399" s="28">
        <f>IF(I399="","",TEXT(I399,"yyyy-mm"))</f>
        <v>0</v>
      </c>
      <c r="AZ399" s="49">
        <f>IF(I399="","",IF(AM399="Cancelled","Cancelled",IF(AND(I399&lt;TODAY(),OR(AM399="Pending",AM399="Confirmed",AM399="Enquiry")),"Overdue - update status",IF(AND(AM399="Completed",AS399="No"),"Action - log the visit",IF(I399=TODAY(),"Today",IF(AND(I399&gt;TODAY(),I399-TODAY()&lt;=ReminderLeadDays,AN399&lt;&gt;"Yes"),"Action - unconfirmed",IF(AND(I399&gt;TODAY(),I399-TODAY()&lt;=ReminderLeadDays),"Upcoming","OK")))))))</f>
        <v>0</v>
      </c>
    </row>
    <row r="400" spans="1:52">
      <c r="A400" s="46">
        <f>IF(C400="","",BookingPrefix&amp;TEXT(ROW()-4,"0000"))</f>
        <v>0</v>
      </c>
      <c r="D400" s="28">
        <f>IF(C400="","",IFERROR(INDEX(Clients!$A$5:$A$254,MATCH(C400,Clients!$B$5:$B$254,0)),""))</f>
        <v>0</v>
      </c>
      <c r="J400" s="50">
        <f>IF(I400="","",TEXT(I400,"ddd"))</f>
        <v>0</v>
      </c>
      <c r="M400" s="51">
        <f>IF(OR(K400="",L400=""),"",ROUND((L400-K400+IF(L400&lt;K400,1,0))*24,2))</f>
        <v>0</v>
      </c>
      <c r="O400" s="28">
        <f>IF(H400="","",IFERROR(INDEX(Services!$E$5:$E$54,MATCH(H400,Services!$B$5:$B$54,0)),""))</f>
        <v>0</v>
      </c>
      <c r="P400" s="29">
        <f>IF(H400="","",IFERROR(INDEX(Services!$G$5:$G$54,MATCH(H400,Services!$B$5:$B$54,0)),0))</f>
        <v>0</v>
      </c>
      <c r="Q400" s="29">
        <f>IF(H400="","",IF(IFERROR(INDEX(Services!$H$5:$H$54,MATCH(H400,Services!$B$5:$B$54,0)),0)=0,ExtraPetFeeDefault,IFERROR(INDEX(Services!$H$5:$H$54,MATCH(H400,Services!$B$5:$B$54,0)),0)))</f>
        <v>0</v>
      </c>
      <c r="R400" s="30">
        <f>IF(H400="","",IF(IFERROR(INDEX(Services!$I$5:$I$54,MATCH(H400,Services!$B$5:$B$54,0)),0)=0,HolidaySurcharge,IFERROR(INDEX(Services!$I$5:$I$54,MATCH(H400,Services!$B$5:$B$54,0)),0)))</f>
        <v>0</v>
      </c>
      <c r="S400" s="30">
        <f>IF(H400="","",IF(IFERROR(INDEX(Services!$J$5:$J$54,MATCH(H400,Services!$B$5:$B$54,0)),0)=0,WeekendSurcharge,IFERROR(INDEX(Services!$J$5:$J$54,MATCH(H400,Services!$B$5:$B$54,0)),0)))</f>
        <v>0</v>
      </c>
      <c r="T400" s="50">
        <f>IF(H400="","",IFERROR(INDEX(Services!$K$5:$K$54,MATCH(H400,Services!$B$5:$B$54,0)),"No"))</f>
        <v>0</v>
      </c>
      <c r="U400" s="29">
        <f>IF(H400="","",ROUND(IF(O400="Per hour",P400*IF(M400="",IF(N400="",1,N400),M400),P400*IF(N400="",1,N400)),2))</f>
        <v>0</v>
      </c>
      <c r="V400" s="29">
        <f>IF(H400="","",ROUND(MAX(0,IF(G400="",1,G400)-1)*Q400,2))</f>
        <v>0</v>
      </c>
      <c r="W400" s="50">
        <f>IF(I400="","",IF(COUNTIF(HolidayDates,I400)&gt;0,"Yes","No"))</f>
        <v>0</v>
      </c>
      <c r="X400" s="50">
        <f>IF(I400="","",IF(WEEKDAY(I400,2)&gt;5,"Yes","No"))</f>
        <v>0</v>
      </c>
      <c r="Y400" s="29">
        <f>IF(H400="","",ROUND((U400+V400)*(IF(W400="Yes",R400,0)+IF(X400="Yes",S400,0)),2))</f>
        <v>0</v>
      </c>
      <c r="AA400" s="29">
        <f>IF(H400="","",IF(T400&lt;&gt;"Yes",0,ROUND(MAX(0,IF(Z400="",0,Z400)-FreeTravelDistance)*TravelFeeRate,2)))</f>
        <v>0</v>
      </c>
      <c r="AB400" s="31">
        <f>IF(I400="","",TravelTimeMins)</f>
        <v>0</v>
      </c>
      <c r="AC400" s="29">
        <f>IF(OR(I400="",B400=""),0,IF(I400-B400&lt;=LastMinuteDays,EmergencyFee,0))</f>
        <v>0</v>
      </c>
      <c r="AF400" s="29">
        <f>IF(H400="","",ROUND((U400+V400+Y400+AA400+AC400)*IF(AE400="",0,AE400),2))</f>
        <v>0</v>
      </c>
      <c r="AI400" s="29">
        <f>IF(H400="","",IF(AG400&lt;&gt;"",AG400,ROUND(U400+V400+Y400+AA400+AC400-AF400,2)))</f>
        <v>0</v>
      </c>
      <c r="AJ400" s="29">
        <f>IF(AI400="","",IF(TaxRegistered&lt;&gt;"Yes",0,IF(PricesIncludeTax="Yes",ROUND(AI400-AI400/(1+TaxRate),2),ROUND(AI400*TaxRate,2))))</f>
        <v>0</v>
      </c>
      <c r="AK400" s="29">
        <f>IF(AI400="","",IF(PricesIncludeTax="Yes",AI400,ROUND(AI400+AJ400,2)))</f>
        <v>0</v>
      </c>
      <c r="AQ400" s="21">
        <f>IF(OR(I400="",AP400="",AP400="None"),"",IF(AP400="Monthly",EDATE(I400,1),I400+IF(AP400="Daily",1,IF(AP400="Weekdays",IF(WEEKDAY(I400,2)&gt;=5,8-WEEKDAY(I400,2),1),IF(AP400="Weekly",7,IF(AP400="Fortnightly",14,0))))))</f>
        <v>0</v>
      </c>
      <c r="AR400" s="49">
        <f>IF(OR(I400="",AL400="",K400="",L400=""),"",IF(SUMPRODUCT((Bookings!$AL$5:$AL$404=AL400)*(Bookings!$I$5:$I$404=I400)*(Bookings!$K$5:$K$404&lt;L400)*(Bookings!$L$5:$L$404&gt;K400)*(Bookings!$AM$5:$AM$404&lt;&gt;"Cancelled"))&gt;1,"Conflict - double booked","OK"))</f>
        <v>0</v>
      </c>
      <c r="AS400" s="50">
        <f>IF(A400="","",IF(COUNTIF('Visit Log'!$B$5:$B$404,A400)&gt;0,"Yes","No"))</f>
        <v>0</v>
      </c>
      <c r="AT400" s="28">
        <f>IF(A400="","",IFERROR(INDEX(Invoices!$A$5:$A$304,MATCH(A400,Invoices!$E$5:$E$304,0)),""))</f>
        <v>0</v>
      </c>
      <c r="AU400" s="49">
        <f>IF(A400="","",IF(AT400="","Not invoiced",IFERROR(INDEX(Invoices!$U$5:$U$304,MATCH(AT400,Invoices!$A$5:$A$304,0)),"")))</f>
        <v>0</v>
      </c>
      <c r="AY400" s="28">
        <f>IF(I400="","",TEXT(I400,"yyyy-mm"))</f>
        <v>0</v>
      </c>
      <c r="AZ400" s="49">
        <f>IF(I400="","",IF(AM400="Cancelled","Cancelled",IF(AND(I400&lt;TODAY(),OR(AM400="Pending",AM400="Confirmed",AM400="Enquiry")),"Overdue - update status",IF(AND(AM400="Completed",AS400="No"),"Action - log the visit",IF(I400=TODAY(),"Today",IF(AND(I400&gt;TODAY(),I400-TODAY()&lt;=ReminderLeadDays,AN400&lt;&gt;"Yes"),"Action - unconfirmed",IF(AND(I400&gt;TODAY(),I400-TODAY()&lt;=ReminderLeadDays),"Upcoming","OK")))))))</f>
        <v>0</v>
      </c>
    </row>
    <row r="401" spans="1:52">
      <c r="A401" s="46">
        <f>IF(C401="","",BookingPrefix&amp;TEXT(ROW()-4,"0000"))</f>
        <v>0</v>
      </c>
      <c r="D401" s="28">
        <f>IF(C401="","",IFERROR(INDEX(Clients!$A$5:$A$254,MATCH(C401,Clients!$B$5:$B$254,0)),""))</f>
        <v>0</v>
      </c>
      <c r="J401" s="50">
        <f>IF(I401="","",TEXT(I401,"ddd"))</f>
        <v>0</v>
      </c>
      <c r="M401" s="51">
        <f>IF(OR(K401="",L401=""),"",ROUND((L401-K401+IF(L401&lt;K401,1,0))*24,2))</f>
        <v>0</v>
      </c>
      <c r="O401" s="28">
        <f>IF(H401="","",IFERROR(INDEX(Services!$E$5:$E$54,MATCH(H401,Services!$B$5:$B$54,0)),""))</f>
        <v>0</v>
      </c>
      <c r="P401" s="29">
        <f>IF(H401="","",IFERROR(INDEX(Services!$G$5:$G$54,MATCH(H401,Services!$B$5:$B$54,0)),0))</f>
        <v>0</v>
      </c>
      <c r="Q401" s="29">
        <f>IF(H401="","",IF(IFERROR(INDEX(Services!$H$5:$H$54,MATCH(H401,Services!$B$5:$B$54,0)),0)=0,ExtraPetFeeDefault,IFERROR(INDEX(Services!$H$5:$H$54,MATCH(H401,Services!$B$5:$B$54,0)),0)))</f>
        <v>0</v>
      </c>
      <c r="R401" s="30">
        <f>IF(H401="","",IF(IFERROR(INDEX(Services!$I$5:$I$54,MATCH(H401,Services!$B$5:$B$54,0)),0)=0,HolidaySurcharge,IFERROR(INDEX(Services!$I$5:$I$54,MATCH(H401,Services!$B$5:$B$54,0)),0)))</f>
        <v>0</v>
      </c>
      <c r="S401" s="30">
        <f>IF(H401="","",IF(IFERROR(INDEX(Services!$J$5:$J$54,MATCH(H401,Services!$B$5:$B$54,0)),0)=0,WeekendSurcharge,IFERROR(INDEX(Services!$J$5:$J$54,MATCH(H401,Services!$B$5:$B$54,0)),0)))</f>
        <v>0</v>
      </c>
      <c r="T401" s="50">
        <f>IF(H401="","",IFERROR(INDEX(Services!$K$5:$K$54,MATCH(H401,Services!$B$5:$B$54,0)),"No"))</f>
        <v>0</v>
      </c>
      <c r="U401" s="29">
        <f>IF(H401="","",ROUND(IF(O401="Per hour",P401*IF(M401="",IF(N401="",1,N401),M401),P401*IF(N401="",1,N401)),2))</f>
        <v>0</v>
      </c>
      <c r="V401" s="29">
        <f>IF(H401="","",ROUND(MAX(0,IF(G401="",1,G401)-1)*Q401,2))</f>
        <v>0</v>
      </c>
      <c r="W401" s="50">
        <f>IF(I401="","",IF(COUNTIF(HolidayDates,I401)&gt;0,"Yes","No"))</f>
        <v>0</v>
      </c>
      <c r="X401" s="50">
        <f>IF(I401="","",IF(WEEKDAY(I401,2)&gt;5,"Yes","No"))</f>
        <v>0</v>
      </c>
      <c r="Y401" s="29">
        <f>IF(H401="","",ROUND((U401+V401)*(IF(W401="Yes",R401,0)+IF(X401="Yes",S401,0)),2))</f>
        <v>0</v>
      </c>
      <c r="AA401" s="29">
        <f>IF(H401="","",IF(T401&lt;&gt;"Yes",0,ROUND(MAX(0,IF(Z401="",0,Z401)-FreeTravelDistance)*TravelFeeRate,2)))</f>
        <v>0</v>
      </c>
      <c r="AB401" s="31">
        <f>IF(I401="","",TravelTimeMins)</f>
        <v>0</v>
      </c>
      <c r="AC401" s="29">
        <f>IF(OR(I401="",B401=""),0,IF(I401-B401&lt;=LastMinuteDays,EmergencyFee,0))</f>
        <v>0</v>
      </c>
      <c r="AF401" s="29">
        <f>IF(H401="","",ROUND((U401+V401+Y401+AA401+AC401)*IF(AE401="",0,AE401),2))</f>
        <v>0</v>
      </c>
      <c r="AI401" s="29">
        <f>IF(H401="","",IF(AG401&lt;&gt;"",AG401,ROUND(U401+V401+Y401+AA401+AC401-AF401,2)))</f>
        <v>0</v>
      </c>
      <c r="AJ401" s="29">
        <f>IF(AI401="","",IF(TaxRegistered&lt;&gt;"Yes",0,IF(PricesIncludeTax="Yes",ROUND(AI401-AI401/(1+TaxRate),2),ROUND(AI401*TaxRate,2))))</f>
        <v>0</v>
      </c>
      <c r="AK401" s="29">
        <f>IF(AI401="","",IF(PricesIncludeTax="Yes",AI401,ROUND(AI401+AJ401,2)))</f>
        <v>0</v>
      </c>
      <c r="AQ401" s="21">
        <f>IF(OR(I401="",AP401="",AP401="None"),"",IF(AP401="Monthly",EDATE(I401,1),I401+IF(AP401="Daily",1,IF(AP401="Weekdays",IF(WEEKDAY(I401,2)&gt;=5,8-WEEKDAY(I401,2),1),IF(AP401="Weekly",7,IF(AP401="Fortnightly",14,0))))))</f>
        <v>0</v>
      </c>
      <c r="AR401" s="49">
        <f>IF(OR(I401="",AL401="",K401="",L401=""),"",IF(SUMPRODUCT((Bookings!$AL$5:$AL$404=AL401)*(Bookings!$I$5:$I$404=I401)*(Bookings!$K$5:$K$404&lt;L401)*(Bookings!$L$5:$L$404&gt;K401)*(Bookings!$AM$5:$AM$404&lt;&gt;"Cancelled"))&gt;1,"Conflict - double booked","OK"))</f>
        <v>0</v>
      </c>
      <c r="AS401" s="50">
        <f>IF(A401="","",IF(COUNTIF('Visit Log'!$B$5:$B$404,A401)&gt;0,"Yes","No"))</f>
        <v>0</v>
      </c>
      <c r="AT401" s="28">
        <f>IF(A401="","",IFERROR(INDEX(Invoices!$A$5:$A$304,MATCH(A401,Invoices!$E$5:$E$304,0)),""))</f>
        <v>0</v>
      </c>
      <c r="AU401" s="49">
        <f>IF(A401="","",IF(AT401="","Not invoiced",IFERROR(INDEX(Invoices!$U$5:$U$304,MATCH(AT401,Invoices!$A$5:$A$304,0)),"")))</f>
        <v>0</v>
      </c>
      <c r="AY401" s="28">
        <f>IF(I401="","",TEXT(I401,"yyyy-mm"))</f>
        <v>0</v>
      </c>
      <c r="AZ401" s="49">
        <f>IF(I401="","",IF(AM401="Cancelled","Cancelled",IF(AND(I401&lt;TODAY(),OR(AM401="Pending",AM401="Confirmed",AM401="Enquiry")),"Overdue - update status",IF(AND(AM401="Completed",AS401="No"),"Action - log the visit",IF(I401=TODAY(),"Today",IF(AND(I401&gt;TODAY(),I401-TODAY()&lt;=ReminderLeadDays,AN401&lt;&gt;"Yes"),"Action - unconfirmed",IF(AND(I401&gt;TODAY(),I401-TODAY()&lt;=ReminderLeadDays),"Upcoming","OK")))))))</f>
        <v>0</v>
      </c>
    </row>
    <row r="402" spans="1:52">
      <c r="A402" s="46">
        <f>IF(C402="","",BookingPrefix&amp;TEXT(ROW()-4,"0000"))</f>
        <v>0</v>
      </c>
      <c r="D402" s="28">
        <f>IF(C402="","",IFERROR(INDEX(Clients!$A$5:$A$254,MATCH(C402,Clients!$B$5:$B$254,0)),""))</f>
        <v>0</v>
      </c>
      <c r="J402" s="50">
        <f>IF(I402="","",TEXT(I402,"ddd"))</f>
        <v>0</v>
      </c>
      <c r="M402" s="51">
        <f>IF(OR(K402="",L402=""),"",ROUND((L402-K402+IF(L402&lt;K402,1,0))*24,2))</f>
        <v>0</v>
      </c>
      <c r="O402" s="28">
        <f>IF(H402="","",IFERROR(INDEX(Services!$E$5:$E$54,MATCH(H402,Services!$B$5:$B$54,0)),""))</f>
        <v>0</v>
      </c>
      <c r="P402" s="29">
        <f>IF(H402="","",IFERROR(INDEX(Services!$G$5:$G$54,MATCH(H402,Services!$B$5:$B$54,0)),0))</f>
        <v>0</v>
      </c>
      <c r="Q402" s="29">
        <f>IF(H402="","",IF(IFERROR(INDEX(Services!$H$5:$H$54,MATCH(H402,Services!$B$5:$B$54,0)),0)=0,ExtraPetFeeDefault,IFERROR(INDEX(Services!$H$5:$H$54,MATCH(H402,Services!$B$5:$B$54,0)),0)))</f>
        <v>0</v>
      </c>
      <c r="R402" s="30">
        <f>IF(H402="","",IF(IFERROR(INDEX(Services!$I$5:$I$54,MATCH(H402,Services!$B$5:$B$54,0)),0)=0,HolidaySurcharge,IFERROR(INDEX(Services!$I$5:$I$54,MATCH(H402,Services!$B$5:$B$54,0)),0)))</f>
        <v>0</v>
      </c>
      <c r="S402" s="30">
        <f>IF(H402="","",IF(IFERROR(INDEX(Services!$J$5:$J$54,MATCH(H402,Services!$B$5:$B$54,0)),0)=0,WeekendSurcharge,IFERROR(INDEX(Services!$J$5:$J$54,MATCH(H402,Services!$B$5:$B$54,0)),0)))</f>
        <v>0</v>
      </c>
      <c r="T402" s="50">
        <f>IF(H402="","",IFERROR(INDEX(Services!$K$5:$K$54,MATCH(H402,Services!$B$5:$B$54,0)),"No"))</f>
        <v>0</v>
      </c>
      <c r="U402" s="29">
        <f>IF(H402="","",ROUND(IF(O402="Per hour",P402*IF(M402="",IF(N402="",1,N402),M402),P402*IF(N402="",1,N402)),2))</f>
        <v>0</v>
      </c>
      <c r="V402" s="29">
        <f>IF(H402="","",ROUND(MAX(0,IF(G402="",1,G402)-1)*Q402,2))</f>
        <v>0</v>
      </c>
      <c r="W402" s="50">
        <f>IF(I402="","",IF(COUNTIF(HolidayDates,I402)&gt;0,"Yes","No"))</f>
        <v>0</v>
      </c>
      <c r="X402" s="50">
        <f>IF(I402="","",IF(WEEKDAY(I402,2)&gt;5,"Yes","No"))</f>
        <v>0</v>
      </c>
      <c r="Y402" s="29">
        <f>IF(H402="","",ROUND((U402+V402)*(IF(W402="Yes",R402,0)+IF(X402="Yes",S402,0)),2))</f>
        <v>0</v>
      </c>
      <c r="AA402" s="29">
        <f>IF(H402="","",IF(T402&lt;&gt;"Yes",0,ROUND(MAX(0,IF(Z402="",0,Z402)-FreeTravelDistance)*TravelFeeRate,2)))</f>
        <v>0</v>
      </c>
      <c r="AB402" s="31">
        <f>IF(I402="","",TravelTimeMins)</f>
        <v>0</v>
      </c>
      <c r="AC402" s="29">
        <f>IF(OR(I402="",B402=""),0,IF(I402-B402&lt;=LastMinuteDays,EmergencyFee,0))</f>
        <v>0</v>
      </c>
      <c r="AF402" s="29">
        <f>IF(H402="","",ROUND((U402+V402+Y402+AA402+AC402)*IF(AE402="",0,AE402),2))</f>
        <v>0</v>
      </c>
      <c r="AI402" s="29">
        <f>IF(H402="","",IF(AG402&lt;&gt;"",AG402,ROUND(U402+V402+Y402+AA402+AC402-AF402,2)))</f>
        <v>0</v>
      </c>
      <c r="AJ402" s="29">
        <f>IF(AI402="","",IF(TaxRegistered&lt;&gt;"Yes",0,IF(PricesIncludeTax="Yes",ROUND(AI402-AI402/(1+TaxRate),2),ROUND(AI402*TaxRate,2))))</f>
        <v>0</v>
      </c>
      <c r="AK402" s="29">
        <f>IF(AI402="","",IF(PricesIncludeTax="Yes",AI402,ROUND(AI402+AJ402,2)))</f>
        <v>0</v>
      </c>
      <c r="AQ402" s="21">
        <f>IF(OR(I402="",AP402="",AP402="None"),"",IF(AP402="Monthly",EDATE(I402,1),I402+IF(AP402="Daily",1,IF(AP402="Weekdays",IF(WEEKDAY(I402,2)&gt;=5,8-WEEKDAY(I402,2),1),IF(AP402="Weekly",7,IF(AP402="Fortnightly",14,0))))))</f>
        <v>0</v>
      </c>
      <c r="AR402" s="49">
        <f>IF(OR(I402="",AL402="",K402="",L402=""),"",IF(SUMPRODUCT((Bookings!$AL$5:$AL$404=AL402)*(Bookings!$I$5:$I$404=I402)*(Bookings!$K$5:$K$404&lt;L402)*(Bookings!$L$5:$L$404&gt;K402)*(Bookings!$AM$5:$AM$404&lt;&gt;"Cancelled"))&gt;1,"Conflict - double booked","OK"))</f>
        <v>0</v>
      </c>
      <c r="AS402" s="50">
        <f>IF(A402="","",IF(COUNTIF('Visit Log'!$B$5:$B$404,A402)&gt;0,"Yes","No"))</f>
        <v>0</v>
      </c>
      <c r="AT402" s="28">
        <f>IF(A402="","",IFERROR(INDEX(Invoices!$A$5:$A$304,MATCH(A402,Invoices!$E$5:$E$304,0)),""))</f>
        <v>0</v>
      </c>
      <c r="AU402" s="49">
        <f>IF(A402="","",IF(AT402="","Not invoiced",IFERROR(INDEX(Invoices!$U$5:$U$304,MATCH(AT402,Invoices!$A$5:$A$304,0)),"")))</f>
        <v>0</v>
      </c>
      <c r="AY402" s="28">
        <f>IF(I402="","",TEXT(I402,"yyyy-mm"))</f>
        <v>0</v>
      </c>
      <c r="AZ402" s="49">
        <f>IF(I402="","",IF(AM402="Cancelled","Cancelled",IF(AND(I402&lt;TODAY(),OR(AM402="Pending",AM402="Confirmed",AM402="Enquiry")),"Overdue - update status",IF(AND(AM402="Completed",AS402="No"),"Action - log the visit",IF(I402=TODAY(),"Today",IF(AND(I402&gt;TODAY(),I402-TODAY()&lt;=ReminderLeadDays,AN402&lt;&gt;"Yes"),"Action - unconfirmed",IF(AND(I402&gt;TODAY(),I402-TODAY()&lt;=ReminderLeadDays),"Upcoming","OK")))))))</f>
        <v>0</v>
      </c>
    </row>
    <row r="403" spans="1:52">
      <c r="A403" s="46">
        <f>IF(C403="","",BookingPrefix&amp;TEXT(ROW()-4,"0000"))</f>
        <v>0</v>
      </c>
      <c r="D403" s="28">
        <f>IF(C403="","",IFERROR(INDEX(Clients!$A$5:$A$254,MATCH(C403,Clients!$B$5:$B$254,0)),""))</f>
        <v>0</v>
      </c>
      <c r="J403" s="50">
        <f>IF(I403="","",TEXT(I403,"ddd"))</f>
        <v>0</v>
      </c>
      <c r="M403" s="51">
        <f>IF(OR(K403="",L403=""),"",ROUND((L403-K403+IF(L403&lt;K403,1,0))*24,2))</f>
        <v>0</v>
      </c>
      <c r="O403" s="28">
        <f>IF(H403="","",IFERROR(INDEX(Services!$E$5:$E$54,MATCH(H403,Services!$B$5:$B$54,0)),""))</f>
        <v>0</v>
      </c>
      <c r="P403" s="29">
        <f>IF(H403="","",IFERROR(INDEX(Services!$G$5:$G$54,MATCH(H403,Services!$B$5:$B$54,0)),0))</f>
        <v>0</v>
      </c>
      <c r="Q403" s="29">
        <f>IF(H403="","",IF(IFERROR(INDEX(Services!$H$5:$H$54,MATCH(H403,Services!$B$5:$B$54,0)),0)=0,ExtraPetFeeDefault,IFERROR(INDEX(Services!$H$5:$H$54,MATCH(H403,Services!$B$5:$B$54,0)),0)))</f>
        <v>0</v>
      </c>
      <c r="R403" s="30">
        <f>IF(H403="","",IF(IFERROR(INDEX(Services!$I$5:$I$54,MATCH(H403,Services!$B$5:$B$54,0)),0)=0,HolidaySurcharge,IFERROR(INDEX(Services!$I$5:$I$54,MATCH(H403,Services!$B$5:$B$54,0)),0)))</f>
        <v>0</v>
      </c>
      <c r="S403" s="30">
        <f>IF(H403="","",IF(IFERROR(INDEX(Services!$J$5:$J$54,MATCH(H403,Services!$B$5:$B$54,0)),0)=0,WeekendSurcharge,IFERROR(INDEX(Services!$J$5:$J$54,MATCH(H403,Services!$B$5:$B$54,0)),0)))</f>
        <v>0</v>
      </c>
      <c r="T403" s="50">
        <f>IF(H403="","",IFERROR(INDEX(Services!$K$5:$K$54,MATCH(H403,Services!$B$5:$B$54,0)),"No"))</f>
        <v>0</v>
      </c>
      <c r="U403" s="29">
        <f>IF(H403="","",ROUND(IF(O403="Per hour",P403*IF(M403="",IF(N403="",1,N403),M403),P403*IF(N403="",1,N403)),2))</f>
        <v>0</v>
      </c>
      <c r="V403" s="29">
        <f>IF(H403="","",ROUND(MAX(0,IF(G403="",1,G403)-1)*Q403,2))</f>
        <v>0</v>
      </c>
      <c r="W403" s="50">
        <f>IF(I403="","",IF(COUNTIF(HolidayDates,I403)&gt;0,"Yes","No"))</f>
        <v>0</v>
      </c>
      <c r="X403" s="50">
        <f>IF(I403="","",IF(WEEKDAY(I403,2)&gt;5,"Yes","No"))</f>
        <v>0</v>
      </c>
      <c r="Y403" s="29">
        <f>IF(H403="","",ROUND((U403+V403)*(IF(W403="Yes",R403,0)+IF(X403="Yes",S403,0)),2))</f>
        <v>0</v>
      </c>
      <c r="AA403" s="29">
        <f>IF(H403="","",IF(T403&lt;&gt;"Yes",0,ROUND(MAX(0,IF(Z403="",0,Z403)-FreeTravelDistance)*TravelFeeRate,2)))</f>
        <v>0</v>
      </c>
      <c r="AB403" s="31">
        <f>IF(I403="","",TravelTimeMins)</f>
        <v>0</v>
      </c>
      <c r="AC403" s="29">
        <f>IF(OR(I403="",B403=""),0,IF(I403-B403&lt;=LastMinuteDays,EmergencyFee,0))</f>
        <v>0</v>
      </c>
      <c r="AF403" s="29">
        <f>IF(H403="","",ROUND((U403+V403+Y403+AA403+AC403)*IF(AE403="",0,AE403),2))</f>
        <v>0</v>
      </c>
      <c r="AI403" s="29">
        <f>IF(H403="","",IF(AG403&lt;&gt;"",AG403,ROUND(U403+V403+Y403+AA403+AC403-AF403,2)))</f>
        <v>0</v>
      </c>
      <c r="AJ403" s="29">
        <f>IF(AI403="","",IF(TaxRegistered&lt;&gt;"Yes",0,IF(PricesIncludeTax="Yes",ROUND(AI403-AI403/(1+TaxRate),2),ROUND(AI403*TaxRate,2))))</f>
        <v>0</v>
      </c>
      <c r="AK403" s="29">
        <f>IF(AI403="","",IF(PricesIncludeTax="Yes",AI403,ROUND(AI403+AJ403,2)))</f>
        <v>0</v>
      </c>
      <c r="AQ403" s="21">
        <f>IF(OR(I403="",AP403="",AP403="None"),"",IF(AP403="Monthly",EDATE(I403,1),I403+IF(AP403="Daily",1,IF(AP403="Weekdays",IF(WEEKDAY(I403,2)&gt;=5,8-WEEKDAY(I403,2),1),IF(AP403="Weekly",7,IF(AP403="Fortnightly",14,0))))))</f>
        <v>0</v>
      </c>
      <c r="AR403" s="49">
        <f>IF(OR(I403="",AL403="",K403="",L403=""),"",IF(SUMPRODUCT((Bookings!$AL$5:$AL$404=AL403)*(Bookings!$I$5:$I$404=I403)*(Bookings!$K$5:$K$404&lt;L403)*(Bookings!$L$5:$L$404&gt;K403)*(Bookings!$AM$5:$AM$404&lt;&gt;"Cancelled"))&gt;1,"Conflict - double booked","OK"))</f>
        <v>0</v>
      </c>
      <c r="AS403" s="50">
        <f>IF(A403="","",IF(COUNTIF('Visit Log'!$B$5:$B$404,A403)&gt;0,"Yes","No"))</f>
        <v>0</v>
      </c>
      <c r="AT403" s="28">
        <f>IF(A403="","",IFERROR(INDEX(Invoices!$A$5:$A$304,MATCH(A403,Invoices!$E$5:$E$304,0)),""))</f>
        <v>0</v>
      </c>
      <c r="AU403" s="49">
        <f>IF(A403="","",IF(AT403="","Not invoiced",IFERROR(INDEX(Invoices!$U$5:$U$304,MATCH(AT403,Invoices!$A$5:$A$304,0)),"")))</f>
        <v>0</v>
      </c>
      <c r="AY403" s="28">
        <f>IF(I403="","",TEXT(I403,"yyyy-mm"))</f>
        <v>0</v>
      </c>
      <c r="AZ403" s="49">
        <f>IF(I403="","",IF(AM403="Cancelled","Cancelled",IF(AND(I403&lt;TODAY(),OR(AM403="Pending",AM403="Confirmed",AM403="Enquiry")),"Overdue - update status",IF(AND(AM403="Completed",AS403="No"),"Action - log the visit",IF(I403=TODAY(),"Today",IF(AND(I403&gt;TODAY(),I403-TODAY()&lt;=ReminderLeadDays,AN403&lt;&gt;"Yes"),"Action - unconfirmed",IF(AND(I403&gt;TODAY(),I403-TODAY()&lt;=ReminderLeadDays),"Upcoming","OK")))))))</f>
        <v>0</v>
      </c>
    </row>
    <row r="404" spans="1:52">
      <c r="A404" s="46">
        <f>IF(C404="","",BookingPrefix&amp;TEXT(ROW()-4,"0000"))</f>
        <v>0</v>
      </c>
      <c r="D404" s="28">
        <f>IF(C404="","",IFERROR(INDEX(Clients!$A$5:$A$254,MATCH(C404,Clients!$B$5:$B$254,0)),""))</f>
        <v>0</v>
      </c>
      <c r="J404" s="50">
        <f>IF(I404="","",TEXT(I404,"ddd"))</f>
        <v>0</v>
      </c>
      <c r="M404" s="51">
        <f>IF(OR(K404="",L404=""),"",ROUND((L404-K404+IF(L404&lt;K404,1,0))*24,2))</f>
        <v>0</v>
      </c>
      <c r="O404" s="28">
        <f>IF(H404="","",IFERROR(INDEX(Services!$E$5:$E$54,MATCH(H404,Services!$B$5:$B$54,0)),""))</f>
        <v>0</v>
      </c>
      <c r="P404" s="29">
        <f>IF(H404="","",IFERROR(INDEX(Services!$G$5:$G$54,MATCH(H404,Services!$B$5:$B$54,0)),0))</f>
        <v>0</v>
      </c>
      <c r="Q404" s="29">
        <f>IF(H404="","",IF(IFERROR(INDEX(Services!$H$5:$H$54,MATCH(H404,Services!$B$5:$B$54,0)),0)=0,ExtraPetFeeDefault,IFERROR(INDEX(Services!$H$5:$H$54,MATCH(H404,Services!$B$5:$B$54,0)),0)))</f>
        <v>0</v>
      </c>
      <c r="R404" s="30">
        <f>IF(H404="","",IF(IFERROR(INDEX(Services!$I$5:$I$54,MATCH(H404,Services!$B$5:$B$54,0)),0)=0,HolidaySurcharge,IFERROR(INDEX(Services!$I$5:$I$54,MATCH(H404,Services!$B$5:$B$54,0)),0)))</f>
        <v>0</v>
      </c>
      <c r="S404" s="30">
        <f>IF(H404="","",IF(IFERROR(INDEX(Services!$J$5:$J$54,MATCH(H404,Services!$B$5:$B$54,0)),0)=0,WeekendSurcharge,IFERROR(INDEX(Services!$J$5:$J$54,MATCH(H404,Services!$B$5:$B$54,0)),0)))</f>
        <v>0</v>
      </c>
      <c r="T404" s="50">
        <f>IF(H404="","",IFERROR(INDEX(Services!$K$5:$K$54,MATCH(H404,Services!$B$5:$B$54,0)),"No"))</f>
        <v>0</v>
      </c>
      <c r="U404" s="29">
        <f>IF(H404="","",ROUND(IF(O404="Per hour",P404*IF(M404="",IF(N404="",1,N404),M404),P404*IF(N404="",1,N404)),2))</f>
        <v>0</v>
      </c>
      <c r="V404" s="29">
        <f>IF(H404="","",ROUND(MAX(0,IF(G404="",1,G404)-1)*Q404,2))</f>
        <v>0</v>
      </c>
      <c r="W404" s="50">
        <f>IF(I404="","",IF(COUNTIF(HolidayDates,I404)&gt;0,"Yes","No"))</f>
        <v>0</v>
      </c>
      <c r="X404" s="50">
        <f>IF(I404="","",IF(WEEKDAY(I404,2)&gt;5,"Yes","No"))</f>
        <v>0</v>
      </c>
      <c r="Y404" s="29">
        <f>IF(H404="","",ROUND((U404+V404)*(IF(W404="Yes",R404,0)+IF(X404="Yes",S404,0)),2))</f>
        <v>0</v>
      </c>
      <c r="AA404" s="29">
        <f>IF(H404="","",IF(T404&lt;&gt;"Yes",0,ROUND(MAX(0,IF(Z404="",0,Z404)-FreeTravelDistance)*TravelFeeRate,2)))</f>
        <v>0</v>
      </c>
      <c r="AB404" s="31">
        <f>IF(I404="","",TravelTimeMins)</f>
        <v>0</v>
      </c>
      <c r="AC404" s="29">
        <f>IF(OR(I404="",B404=""),0,IF(I404-B404&lt;=LastMinuteDays,EmergencyFee,0))</f>
        <v>0</v>
      </c>
      <c r="AF404" s="29">
        <f>IF(H404="","",ROUND((U404+V404+Y404+AA404+AC404)*IF(AE404="",0,AE404),2))</f>
        <v>0</v>
      </c>
      <c r="AI404" s="29">
        <f>IF(H404="","",IF(AG404&lt;&gt;"",AG404,ROUND(U404+V404+Y404+AA404+AC404-AF404,2)))</f>
        <v>0</v>
      </c>
      <c r="AJ404" s="29">
        <f>IF(AI404="","",IF(TaxRegistered&lt;&gt;"Yes",0,IF(PricesIncludeTax="Yes",ROUND(AI404-AI404/(1+TaxRate),2),ROUND(AI404*TaxRate,2))))</f>
        <v>0</v>
      </c>
      <c r="AK404" s="29">
        <f>IF(AI404="","",IF(PricesIncludeTax="Yes",AI404,ROUND(AI404+AJ404,2)))</f>
        <v>0</v>
      </c>
      <c r="AQ404" s="21">
        <f>IF(OR(I404="",AP404="",AP404="None"),"",IF(AP404="Monthly",EDATE(I404,1),I404+IF(AP404="Daily",1,IF(AP404="Weekdays",IF(WEEKDAY(I404,2)&gt;=5,8-WEEKDAY(I404,2),1),IF(AP404="Weekly",7,IF(AP404="Fortnightly",14,0))))))</f>
        <v>0</v>
      </c>
      <c r="AR404" s="49">
        <f>IF(OR(I404="",AL404="",K404="",L404=""),"",IF(SUMPRODUCT((Bookings!$AL$5:$AL$404=AL404)*(Bookings!$I$5:$I$404=I404)*(Bookings!$K$5:$K$404&lt;L404)*(Bookings!$L$5:$L$404&gt;K404)*(Bookings!$AM$5:$AM$404&lt;&gt;"Cancelled"))&gt;1,"Conflict - double booked","OK"))</f>
        <v>0</v>
      </c>
      <c r="AS404" s="50">
        <f>IF(A404="","",IF(COUNTIF('Visit Log'!$B$5:$B$404,A404)&gt;0,"Yes","No"))</f>
        <v>0</v>
      </c>
      <c r="AT404" s="28">
        <f>IF(A404="","",IFERROR(INDEX(Invoices!$A$5:$A$304,MATCH(A404,Invoices!$E$5:$E$304,0)),""))</f>
        <v>0</v>
      </c>
      <c r="AU404" s="49">
        <f>IF(A404="","",IF(AT404="","Not invoiced",IFERROR(INDEX(Invoices!$U$5:$U$304,MATCH(AT404,Invoices!$A$5:$A$304,0)),"")))</f>
        <v>0</v>
      </c>
      <c r="AY404" s="28">
        <f>IF(I404="","",TEXT(I404,"yyyy-mm"))</f>
        <v>0</v>
      </c>
      <c r="AZ404" s="49">
        <f>IF(I404="","",IF(AM404="Cancelled","Cancelled",IF(AND(I404&lt;TODAY(),OR(AM404="Pending",AM404="Confirmed",AM404="Enquiry")),"Overdue - update status",IF(AND(AM404="Completed",AS404="No"),"Action - log the visit",IF(I404=TODAY(),"Today",IF(AND(I404&gt;TODAY(),I404-TODAY()&lt;=ReminderLeadDays,AN404&lt;&gt;"Yes"),"Action - unconfirmed",IF(AND(I404&gt;TODAY(),I404-TODAY()&lt;=ReminderLeadDays),"Upcoming","OK")))))))</f>
        <v>0</v>
      </c>
    </row>
  </sheetData>
  <sheetProtection password="EC7C" sheet="1" objects="1" scenarios="1" formatCells="0" formatColumns="0" formatRows="0" insertRows="0" insertHyperlinks="0" deleteRows="0" autoFilter="0"/>
  <autoFilter ref="A4:AZ404"/>
  <mergeCells count="13">
    <mergeCell ref="A1:AW1"/>
    <mergeCell ref="AX1:AZ1"/>
    <mergeCell ref="A2:AZ2"/>
    <mergeCell ref="A3:B3"/>
    <mergeCell ref="C3:D3"/>
    <mergeCell ref="E3:F3"/>
    <mergeCell ref="G3:H3"/>
    <mergeCell ref="I3:J3"/>
    <mergeCell ref="K3:L3"/>
    <mergeCell ref="M3:N3"/>
    <mergeCell ref="O3:P3"/>
    <mergeCell ref="Q3:R3"/>
    <mergeCell ref="S3:AZ3"/>
  </mergeCells>
  <conditionalFormatting sqref="AC5:AC404">
    <cfRule type="cellIs" dxfId="2" priority="3" operator="greaterThan">
      <formula>0</formula>
    </cfRule>
  </conditionalFormatting>
  <conditionalFormatting sqref="AK5:AK404">
    <cfRule type="dataBar" priority="4">
      <dataBar>
        <cfvo type="min" val="0"/>
        <cfvo type="max" val="0"/>
        <color rgb="FF2E7D8F"/>
      </dataBar>
    </cfRule>
  </conditionalFormatting>
  <conditionalFormatting sqref="AM5:AM404">
    <cfRule type="containsText" dxfId="0" priority="5" operator="containsText" text="Completed">
      <formula>NOT(ISERROR(SEARCH("Completed",AM5)))</formula>
    </cfRule>
    <cfRule type="containsText" dxfId="0" priority="6" operator="containsText" text="Confirmed">
      <formula>NOT(ISERROR(SEARCH("Confirmed",AM5)))</formula>
    </cfRule>
    <cfRule type="containsText" dxfId="0" priority="7" operator="containsText" text="Paid">
      <formula>NOT(ISERROR(SEARCH("Paid",AM5)))</formula>
    </cfRule>
    <cfRule type="containsText" dxfId="0" priority="8" operator="containsText" text="Active">
      <formula>NOT(ISERROR(SEARCH("Active",AM5)))</formula>
    </cfRule>
    <cfRule type="containsText" dxfId="0" priority="9" operator="containsText" text="Resolved">
      <formula>NOT(ISERROR(SEARCH("Resolved",AM5)))</formula>
    </cfRule>
    <cfRule type="containsText" dxfId="0" priority="10" operator="containsText" text="Given">
      <formula>NOT(ISERROR(SEARCH("Given",AM5)))</formula>
    </cfRule>
    <cfRule type="containsText" dxfId="2" priority="11" operator="containsText" text="Pending">
      <formula>NOT(ISERROR(SEARCH("Pending",AM5)))</formula>
    </cfRule>
    <cfRule type="containsText" dxfId="2" priority="12" operator="containsText" text="Draft">
      <formula>NOT(ISERROR(SEARCH("Draft",AM5)))</formula>
    </cfRule>
    <cfRule type="containsText" dxfId="2" priority="13" operator="containsText" text="Enquiry">
      <formula>NOT(ISERROR(SEARCH("Enquiry",AM5)))</formula>
    </cfRule>
    <cfRule type="containsText" dxfId="2" priority="14" operator="containsText" text="Partially">
      <formula>NOT(ISERROR(SEARCH("Partially",AM5)))</formula>
    </cfRule>
    <cfRule type="containsText" dxfId="3" priority="15" operator="containsText" text="In progress">
      <formula>NOT(ISERROR(SEARCH("In progress",AM5)))</formula>
    </cfRule>
    <cfRule type="containsText" dxfId="3" priority="16" operator="containsText" text="Scheduled">
      <formula>NOT(ISERROR(SEARCH("Scheduled",AM5)))</formula>
    </cfRule>
    <cfRule type="containsText" dxfId="3" priority="17" operator="containsText" text="Sent">
      <formula>NOT(ISERROR(SEARCH("Sent",AM5)))</formula>
    </cfRule>
    <cfRule type="containsText" dxfId="1" priority="18" operator="containsText" text="Cancelled">
      <formula>NOT(ISERROR(SEARCH("Cancelled",AM5)))</formula>
    </cfRule>
    <cfRule type="containsText" dxfId="1" priority="19" operator="containsText" text="No show">
      <formula>NOT(ISERROR(SEARCH("No show",AM5)))</formula>
    </cfRule>
    <cfRule type="containsText" dxfId="1" priority="20" operator="containsText" text="Missed">
      <formula>NOT(ISERROR(SEARCH("Missed",AM5)))</formula>
    </cfRule>
    <cfRule type="containsText" dxfId="1" priority="21" operator="containsText" text="Overdue">
      <formula>NOT(ISERROR(SEARCH("Overdue",AM5)))</formula>
    </cfRule>
    <cfRule type="containsText" dxfId="4" priority="22" operator="containsText" text="Inactive">
      <formula>NOT(ISERROR(SEARCH("Inactive",AM5)))</formula>
    </cfRule>
    <cfRule type="containsText" dxfId="1" priority="23" operator="containsText" text="Lost">
      <formula>NOT(ISERROR(SEARCH("Lost",AM5)))</formula>
    </cfRule>
  </conditionalFormatting>
  <conditionalFormatting sqref="AN5:AN404">
    <cfRule type="containsText" dxfId="0" priority="24" operator="containsText" text="Completed">
      <formula>NOT(ISERROR(SEARCH("Completed",AN5)))</formula>
    </cfRule>
    <cfRule type="containsText" dxfId="0" priority="25" operator="containsText" text="Confirmed">
      <formula>NOT(ISERROR(SEARCH("Confirmed",AN5)))</formula>
    </cfRule>
    <cfRule type="containsText" dxfId="0" priority="26" operator="containsText" text="Paid">
      <formula>NOT(ISERROR(SEARCH("Paid",AN5)))</formula>
    </cfRule>
    <cfRule type="containsText" dxfId="0" priority="27" operator="containsText" text="Active">
      <formula>NOT(ISERROR(SEARCH("Active",AN5)))</formula>
    </cfRule>
    <cfRule type="containsText" dxfId="0" priority="28" operator="containsText" text="Resolved">
      <formula>NOT(ISERROR(SEARCH("Resolved",AN5)))</formula>
    </cfRule>
    <cfRule type="containsText" dxfId="0" priority="29" operator="containsText" text="Given">
      <formula>NOT(ISERROR(SEARCH("Given",AN5)))</formula>
    </cfRule>
    <cfRule type="containsText" dxfId="2" priority="30" operator="containsText" text="Pending">
      <formula>NOT(ISERROR(SEARCH("Pending",AN5)))</formula>
    </cfRule>
    <cfRule type="containsText" dxfId="2" priority="31" operator="containsText" text="Draft">
      <formula>NOT(ISERROR(SEARCH("Draft",AN5)))</formula>
    </cfRule>
    <cfRule type="containsText" dxfId="2" priority="32" operator="containsText" text="Enquiry">
      <formula>NOT(ISERROR(SEARCH("Enquiry",AN5)))</formula>
    </cfRule>
    <cfRule type="containsText" dxfId="2" priority="33" operator="containsText" text="Partially">
      <formula>NOT(ISERROR(SEARCH("Partially",AN5)))</formula>
    </cfRule>
    <cfRule type="containsText" dxfId="3" priority="34" operator="containsText" text="In progress">
      <formula>NOT(ISERROR(SEARCH("In progress",AN5)))</formula>
    </cfRule>
    <cfRule type="containsText" dxfId="3" priority="35" operator="containsText" text="Scheduled">
      <formula>NOT(ISERROR(SEARCH("Scheduled",AN5)))</formula>
    </cfRule>
    <cfRule type="containsText" dxfId="3" priority="36" operator="containsText" text="Sent">
      <formula>NOT(ISERROR(SEARCH("Sent",AN5)))</formula>
    </cfRule>
    <cfRule type="containsText" dxfId="1" priority="37" operator="containsText" text="Cancelled">
      <formula>NOT(ISERROR(SEARCH("Cancelled",AN5)))</formula>
    </cfRule>
    <cfRule type="containsText" dxfId="1" priority="38" operator="containsText" text="No show">
      <formula>NOT(ISERROR(SEARCH("No show",AN5)))</formula>
    </cfRule>
    <cfRule type="containsText" dxfId="1" priority="39" operator="containsText" text="Missed">
      <formula>NOT(ISERROR(SEARCH("Missed",AN5)))</formula>
    </cfRule>
    <cfRule type="containsText" dxfId="1" priority="40" operator="containsText" text="Overdue">
      <formula>NOT(ISERROR(SEARCH("Overdue",AN5)))</formula>
    </cfRule>
    <cfRule type="containsText" dxfId="4" priority="41" operator="containsText" text="Inactive">
      <formula>NOT(ISERROR(SEARCH("Inactive",AN5)))</formula>
    </cfRule>
    <cfRule type="containsText" dxfId="1" priority="42" operator="containsText" text="Lost">
      <formula>NOT(ISERROR(SEARCH("Lost",AN5)))</formula>
    </cfRule>
  </conditionalFormatting>
  <conditionalFormatting sqref="AO5:AO404">
    <cfRule type="containsText" dxfId="0" priority="43" operator="containsText" text="Completed">
      <formula>NOT(ISERROR(SEARCH("Completed",AO5)))</formula>
    </cfRule>
    <cfRule type="containsText" dxfId="0" priority="44" operator="containsText" text="Confirmed">
      <formula>NOT(ISERROR(SEARCH("Confirmed",AO5)))</formula>
    </cfRule>
    <cfRule type="containsText" dxfId="0" priority="45" operator="containsText" text="Paid">
      <formula>NOT(ISERROR(SEARCH("Paid",AO5)))</formula>
    </cfRule>
    <cfRule type="containsText" dxfId="0" priority="46" operator="containsText" text="Active">
      <formula>NOT(ISERROR(SEARCH("Active",AO5)))</formula>
    </cfRule>
    <cfRule type="containsText" dxfId="0" priority="47" operator="containsText" text="Resolved">
      <formula>NOT(ISERROR(SEARCH("Resolved",AO5)))</formula>
    </cfRule>
    <cfRule type="containsText" dxfId="0" priority="48" operator="containsText" text="Given">
      <formula>NOT(ISERROR(SEARCH("Given",AO5)))</formula>
    </cfRule>
    <cfRule type="containsText" dxfId="2" priority="49" operator="containsText" text="Pending">
      <formula>NOT(ISERROR(SEARCH("Pending",AO5)))</formula>
    </cfRule>
    <cfRule type="containsText" dxfId="2" priority="50" operator="containsText" text="Draft">
      <formula>NOT(ISERROR(SEARCH("Draft",AO5)))</formula>
    </cfRule>
    <cfRule type="containsText" dxfId="2" priority="51" operator="containsText" text="Enquiry">
      <formula>NOT(ISERROR(SEARCH("Enquiry",AO5)))</formula>
    </cfRule>
    <cfRule type="containsText" dxfId="2" priority="52" operator="containsText" text="Partially">
      <formula>NOT(ISERROR(SEARCH("Partially",AO5)))</formula>
    </cfRule>
    <cfRule type="containsText" dxfId="3" priority="53" operator="containsText" text="In progress">
      <formula>NOT(ISERROR(SEARCH("In progress",AO5)))</formula>
    </cfRule>
    <cfRule type="containsText" dxfId="3" priority="54" operator="containsText" text="Scheduled">
      <formula>NOT(ISERROR(SEARCH("Scheduled",AO5)))</formula>
    </cfRule>
    <cfRule type="containsText" dxfId="3" priority="55" operator="containsText" text="Sent">
      <formula>NOT(ISERROR(SEARCH("Sent",AO5)))</formula>
    </cfRule>
    <cfRule type="containsText" dxfId="1" priority="56" operator="containsText" text="Cancelled">
      <formula>NOT(ISERROR(SEARCH("Cancelled",AO5)))</formula>
    </cfRule>
    <cfRule type="containsText" dxfId="1" priority="57" operator="containsText" text="No show">
      <formula>NOT(ISERROR(SEARCH("No show",AO5)))</formula>
    </cfRule>
    <cfRule type="containsText" dxfId="1" priority="58" operator="containsText" text="Missed">
      <formula>NOT(ISERROR(SEARCH("Missed",AO5)))</formula>
    </cfRule>
    <cfRule type="containsText" dxfId="1" priority="59" operator="containsText" text="Overdue">
      <formula>NOT(ISERROR(SEARCH("Overdue",AO5)))</formula>
    </cfRule>
    <cfRule type="containsText" dxfId="4" priority="60" operator="containsText" text="Inactive">
      <formula>NOT(ISERROR(SEARCH("Inactive",AO5)))</formula>
    </cfRule>
    <cfRule type="containsText" dxfId="1" priority="61" operator="containsText" text="Lost">
      <formula>NOT(ISERROR(SEARCH("Lost",AO5)))</formula>
    </cfRule>
  </conditionalFormatting>
  <conditionalFormatting sqref="AR5:AR404">
    <cfRule type="beginsWith" dxfId="0" priority="62" operator="beginsWith" text="OK">
      <formula>LEFT(AR5,2)="OK"</formula>
    </cfRule>
    <cfRule type="containsText" dxfId="1" priority="63" operator="containsText" text="Overdue">
      <formula>NOT(ISERROR(SEARCH("Overdue",AR5)))</formula>
    </cfRule>
    <cfRule type="containsText" dxfId="1" priority="64" operator="containsText" text="Missed">
      <formula>NOT(ISERROR(SEARCH("Missed",AR5)))</formula>
    </cfRule>
    <cfRule type="containsText" dxfId="1" priority="65" operator="containsText" text="Conflict">
      <formula>NOT(ISERROR(SEARCH("Conflict",AR5)))</formula>
    </cfRule>
    <cfRule type="containsText" dxfId="1" priority="66" operator="containsText" text="Expired">
      <formula>NOT(ISERROR(SEARCH("Expired",AR5)))</formula>
    </cfRule>
    <cfRule type="containsText" dxfId="1" priority="67" operator="containsText" text="Duplicate">
      <formula>NOT(ISERROR(SEARCH("Duplicate",AR5)))</formula>
    </cfRule>
    <cfRule type="containsText" dxfId="2" priority="68" operator="containsText" text="Action">
      <formula>NOT(ISERROR(SEARCH("Action",AR5)))</formula>
    </cfRule>
    <cfRule type="containsText" dxfId="2" priority="69" operator="containsText" text="Due">
      <formula>NOT(ISERROR(SEARCH("Due",AR5)))</formula>
    </cfRule>
    <cfRule type="containsText" dxfId="2" priority="70" operator="containsText" text="Check">
      <formula>NOT(ISERROR(SEARCH("Check",AR5)))</formula>
    </cfRule>
    <cfRule type="containsText" dxfId="3" priority="71" operator="containsText" text="Today">
      <formula>NOT(ISERROR(SEARCH("Today",AR5)))</formula>
    </cfRule>
    <cfRule type="containsText" dxfId="3" priority="72" operator="containsText" text="Upcoming">
      <formula>NOT(ISERROR(SEARCH("Upcoming",AR5)))</formula>
    </cfRule>
  </conditionalFormatting>
  <conditionalFormatting sqref="AS5:AS404">
    <cfRule type="containsText" dxfId="0" priority="73" operator="containsText" text="Completed">
      <formula>NOT(ISERROR(SEARCH("Completed",AS5)))</formula>
    </cfRule>
    <cfRule type="containsText" dxfId="0" priority="74" operator="containsText" text="Confirmed">
      <formula>NOT(ISERROR(SEARCH("Confirmed",AS5)))</formula>
    </cfRule>
    <cfRule type="containsText" dxfId="0" priority="75" operator="containsText" text="Paid">
      <formula>NOT(ISERROR(SEARCH("Paid",AS5)))</formula>
    </cfRule>
    <cfRule type="containsText" dxfId="0" priority="76" operator="containsText" text="Active">
      <formula>NOT(ISERROR(SEARCH("Active",AS5)))</formula>
    </cfRule>
    <cfRule type="containsText" dxfId="0" priority="77" operator="containsText" text="Resolved">
      <formula>NOT(ISERROR(SEARCH("Resolved",AS5)))</formula>
    </cfRule>
    <cfRule type="containsText" dxfId="0" priority="78" operator="containsText" text="Given">
      <formula>NOT(ISERROR(SEARCH("Given",AS5)))</formula>
    </cfRule>
    <cfRule type="containsText" dxfId="2" priority="79" operator="containsText" text="Pending">
      <formula>NOT(ISERROR(SEARCH("Pending",AS5)))</formula>
    </cfRule>
    <cfRule type="containsText" dxfId="2" priority="80" operator="containsText" text="Draft">
      <formula>NOT(ISERROR(SEARCH("Draft",AS5)))</formula>
    </cfRule>
    <cfRule type="containsText" dxfId="2" priority="81" operator="containsText" text="Enquiry">
      <formula>NOT(ISERROR(SEARCH("Enquiry",AS5)))</formula>
    </cfRule>
    <cfRule type="containsText" dxfId="2" priority="82" operator="containsText" text="Partially">
      <formula>NOT(ISERROR(SEARCH("Partially",AS5)))</formula>
    </cfRule>
    <cfRule type="containsText" dxfId="3" priority="83" operator="containsText" text="In progress">
      <formula>NOT(ISERROR(SEARCH("In progress",AS5)))</formula>
    </cfRule>
    <cfRule type="containsText" dxfId="3" priority="84" operator="containsText" text="Scheduled">
      <formula>NOT(ISERROR(SEARCH("Scheduled",AS5)))</formula>
    </cfRule>
    <cfRule type="containsText" dxfId="3" priority="85" operator="containsText" text="Sent">
      <formula>NOT(ISERROR(SEARCH("Sent",AS5)))</formula>
    </cfRule>
    <cfRule type="containsText" dxfId="1" priority="86" operator="containsText" text="Cancelled">
      <formula>NOT(ISERROR(SEARCH("Cancelled",AS5)))</formula>
    </cfRule>
    <cfRule type="containsText" dxfId="1" priority="87" operator="containsText" text="No show">
      <formula>NOT(ISERROR(SEARCH("No show",AS5)))</formula>
    </cfRule>
    <cfRule type="containsText" dxfId="1" priority="88" operator="containsText" text="Missed">
      <formula>NOT(ISERROR(SEARCH("Missed",AS5)))</formula>
    </cfRule>
    <cfRule type="containsText" dxfId="1" priority="89" operator="containsText" text="Overdue">
      <formula>NOT(ISERROR(SEARCH("Overdue",AS5)))</formula>
    </cfRule>
    <cfRule type="containsText" dxfId="4" priority="90" operator="containsText" text="Inactive">
      <formula>NOT(ISERROR(SEARCH("Inactive",AS5)))</formula>
    </cfRule>
    <cfRule type="containsText" dxfId="1" priority="91" operator="containsText" text="Lost">
      <formula>NOT(ISERROR(SEARCH("Lost",AS5)))</formula>
    </cfRule>
  </conditionalFormatting>
  <conditionalFormatting sqref="AU5:AU404">
    <cfRule type="containsText" dxfId="0" priority="92" operator="containsText" text="Completed">
      <formula>NOT(ISERROR(SEARCH("Completed",AU5)))</formula>
    </cfRule>
    <cfRule type="containsText" dxfId="0" priority="93" operator="containsText" text="Confirmed">
      <formula>NOT(ISERROR(SEARCH("Confirmed",AU5)))</formula>
    </cfRule>
    <cfRule type="containsText" dxfId="0" priority="94" operator="containsText" text="Paid">
      <formula>NOT(ISERROR(SEARCH("Paid",AU5)))</formula>
    </cfRule>
    <cfRule type="containsText" dxfId="0" priority="95" operator="containsText" text="Active">
      <formula>NOT(ISERROR(SEARCH("Active",AU5)))</formula>
    </cfRule>
    <cfRule type="containsText" dxfId="0" priority="96" operator="containsText" text="Resolved">
      <formula>NOT(ISERROR(SEARCH("Resolved",AU5)))</formula>
    </cfRule>
    <cfRule type="containsText" dxfId="0" priority="97" operator="containsText" text="Given">
      <formula>NOT(ISERROR(SEARCH("Given",AU5)))</formula>
    </cfRule>
    <cfRule type="containsText" dxfId="2" priority="98" operator="containsText" text="Pending">
      <formula>NOT(ISERROR(SEARCH("Pending",AU5)))</formula>
    </cfRule>
    <cfRule type="containsText" dxfId="2" priority="99" operator="containsText" text="Draft">
      <formula>NOT(ISERROR(SEARCH("Draft",AU5)))</formula>
    </cfRule>
    <cfRule type="containsText" dxfId="2" priority="100" operator="containsText" text="Enquiry">
      <formula>NOT(ISERROR(SEARCH("Enquiry",AU5)))</formula>
    </cfRule>
    <cfRule type="containsText" dxfId="2" priority="101" operator="containsText" text="Partially">
      <formula>NOT(ISERROR(SEARCH("Partially",AU5)))</formula>
    </cfRule>
    <cfRule type="containsText" dxfId="3" priority="102" operator="containsText" text="In progress">
      <formula>NOT(ISERROR(SEARCH("In progress",AU5)))</formula>
    </cfRule>
    <cfRule type="containsText" dxfId="3" priority="103" operator="containsText" text="Scheduled">
      <formula>NOT(ISERROR(SEARCH("Scheduled",AU5)))</formula>
    </cfRule>
    <cfRule type="containsText" dxfId="3" priority="104" operator="containsText" text="Sent">
      <formula>NOT(ISERROR(SEARCH("Sent",AU5)))</formula>
    </cfRule>
    <cfRule type="containsText" dxfId="1" priority="105" operator="containsText" text="Cancelled">
      <formula>NOT(ISERROR(SEARCH("Cancelled",AU5)))</formula>
    </cfRule>
    <cfRule type="containsText" dxfId="1" priority="106" operator="containsText" text="No show">
      <formula>NOT(ISERROR(SEARCH("No show",AU5)))</formula>
    </cfRule>
    <cfRule type="containsText" dxfId="1" priority="107" operator="containsText" text="Missed">
      <formula>NOT(ISERROR(SEARCH("Missed",AU5)))</formula>
    </cfRule>
    <cfRule type="containsText" dxfId="1" priority="108" operator="containsText" text="Overdue">
      <formula>NOT(ISERROR(SEARCH("Overdue",AU5)))</formula>
    </cfRule>
    <cfRule type="containsText" dxfId="4" priority="109" operator="containsText" text="Inactive">
      <formula>NOT(ISERROR(SEARCH("Inactive",AU5)))</formula>
    </cfRule>
    <cfRule type="containsText" dxfId="1" priority="110" operator="containsText" text="Lost">
      <formula>NOT(ISERROR(SEARCH("Lost",AU5)))</formula>
    </cfRule>
    <cfRule type="containsText" dxfId="2" priority="111" operator="containsText" text="Not invoiced">
      <formula>NOT(ISERROR(SEARCH("Not invoiced",AU5)))</formula>
    </cfRule>
  </conditionalFormatting>
  <conditionalFormatting sqref="AZ5:AZ404">
    <cfRule type="beginsWith" dxfId="0" priority="112" operator="beginsWith" text="OK">
      <formula>LEFT(AZ5,2)="OK"</formula>
    </cfRule>
    <cfRule type="containsText" dxfId="1" priority="113" operator="containsText" text="Overdue">
      <formula>NOT(ISERROR(SEARCH("Overdue",AZ5)))</formula>
    </cfRule>
    <cfRule type="containsText" dxfId="1" priority="114" operator="containsText" text="Missed">
      <formula>NOT(ISERROR(SEARCH("Missed",AZ5)))</formula>
    </cfRule>
    <cfRule type="containsText" dxfId="1" priority="115" operator="containsText" text="Conflict">
      <formula>NOT(ISERROR(SEARCH("Conflict",AZ5)))</formula>
    </cfRule>
    <cfRule type="containsText" dxfId="1" priority="116" operator="containsText" text="Expired">
      <formula>NOT(ISERROR(SEARCH("Expired",AZ5)))</formula>
    </cfRule>
    <cfRule type="containsText" dxfId="1" priority="117" operator="containsText" text="Duplicate">
      <formula>NOT(ISERROR(SEARCH("Duplicate",AZ5)))</formula>
    </cfRule>
    <cfRule type="containsText" dxfId="2" priority="118" operator="containsText" text="Action">
      <formula>NOT(ISERROR(SEARCH("Action",AZ5)))</formula>
    </cfRule>
    <cfRule type="containsText" dxfId="2" priority="119" operator="containsText" text="Due">
      <formula>NOT(ISERROR(SEARCH("Due",AZ5)))</formula>
    </cfRule>
    <cfRule type="containsText" dxfId="2" priority="120" operator="containsText" text="Check">
      <formula>NOT(ISERROR(SEARCH("Check",AZ5)))</formula>
    </cfRule>
    <cfRule type="containsText" dxfId="3" priority="121" operator="containsText" text="Today">
      <formula>NOT(ISERROR(SEARCH("Today",AZ5)))</formula>
    </cfRule>
    <cfRule type="containsText" dxfId="3" priority="122" operator="containsText" text="Upcoming">
      <formula>NOT(ISERROR(SEARCH("Upcoming",AZ5)))</formula>
    </cfRule>
  </conditionalFormatting>
  <conditionalFormatting sqref="W5:W404">
    <cfRule type="containsText" dxfId="2" priority="1" operator="containsText" text="Yes">
      <formula>NOT(ISERROR(SEARCH("Yes",W5)))</formula>
    </cfRule>
  </conditionalFormatting>
  <conditionalFormatting sqref="X5:X404">
    <cfRule type="containsText" dxfId="3" priority="2" operator="containsText" text="Yes">
      <formula>NOT(ISERROR(SEARCH("Yes",X5)))</formula>
    </cfRule>
  </conditionalFormatting>
  <dataValidations count="18">
    <dataValidation type="date" allowBlank="1" showInputMessage="1" showErrorMessage="1" errorTitle="Check the date" error="Enter a real date between 2000 and 2100." promptTitle="Requested on" prompt="When the client asked for the booking. Used to spot last-minute bookings." sqref="B5:B404">
      <formula1>36526</formula1>
      <formula2>73415</formula2>
    </dataValidation>
    <dataValidation type="list" allowBlank="1" showInputMessage="1" showErrorMessage="1" sqref="C5:C404">
      <formula1>ClientNames</formula1>
    </dataValidation>
    <dataValidation type="list" allowBlank="1" showInputMessage="1" showErrorMessage="1" sqref="E5:E404">
      <formula1>PetLabels</formula1>
    </dataValidation>
    <dataValidation type="whole" allowBlank="1" showInputMessage="1" showErrorMessage="1" errorTitle="Check the value" error="Enter a number between 1 and 20." promptTitle="No. of pets" prompt="Blank counts as 1. Extra pets are charged the additional pet fee." sqref="G5:G404">
      <formula1>1</formula1>
      <formula2>20</formula2>
    </dataValidation>
    <dataValidation type="list" allowBlank="1" showInputMessage="1" showErrorMessage="1" sqref="H5:H404">
      <formula1>ServiceNames</formula1>
    </dataValidation>
    <dataValidation type="date" allowBlank="1" showInputMessage="1" showErrorMessage="1" errorTitle="Check the date" error="Enter a real date between 2000 and 2100." sqref="I5:I404">
      <formula1>36526</formula1>
      <formula2>73415</formula2>
    </dataValidation>
    <dataValidation type="decimal" allowBlank="1" showInputMessage="1" showErrorMessage="1" errorTitle="Check the value" error="Enter a number between 0 and 1000." promptTitle="Qty / nights" prompt="Number of visits, nights or hours being billed. Blank counts as 1." sqref="N5:N404">
      <formula1>0</formula1>
      <formula2>1000</formula2>
    </dataValidation>
    <dataValidation type="decimal" allowBlank="1" showInputMessage="1" showErrorMessage="1" errorTitle="Check the value" error="Enter a number between 0 and 2000." sqref="Z5:Z404">
      <formula1>0</formula1>
      <formula2>2000</formula2>
    </dataValidation>
    <dataValidation type="list" allowBlank="1" showInputMessage="1" showErrorMessage="1" sqref="AD5:AD404">
      <formula1>DiscountTypeList</formula1>
    </dataValidation>
    <dataValidation type="decimal" allowBlank="1" showInputMessage="1" showErrorMessage="1" errorTitle="Check the value" error="Enter a number between 0 and 1." sqref="AE5:AE404">
      <formula1>0</formula1>
      <formula2>1</formula2>
    </dataValidation>
    <dataValidation type="decimal" allowBlank="1" showInputMessage="1" showErrorMessage="1" errorTitle="Check the value" error="Enter a number between 0 and 100000." promptTitle="Price override" prompt="Only fill this in to force a price. Always add the reason in the next column." sqref="AG5:AG404">
      <formula1>0</formula1>
      <formula2>100000</formula2>
    </dataValidation>
    <dataValidation type="list" allowBlank="1" showInputMessage="1" showErrorMessage="1" sqref="AL5:AL404">
      <formula1>StaffNames</formula1>
    </dataValidation>
    <dataValidation type="list" allowBlank="1" showInputMessage="1" showErrorMessage="1" sqref="AM5:AM404">
      <formula1>BookingStatusList</formula1>
    </dataValidation>
    <dataValidation type="list" allowBlank="1" showInputMessage="1" showErrorMessage="1" sqref="AN5:AN404">
      <formula1>"Yes,No"</formula1>
    </dataValidation>
    <dataValidation type="list" allowBlank="1" showInputMessage="1" showErrorMessage="1" sqref="AO5:AO404">
      <formula1>"Yes,No"</formula1>
    </dataValidation>
    <dataValidation type="list" allowBlank="1" showInputMessage="1" showErrorMessage="1" sqref="AP5:AP404">
      <formula1>RecurringList</formula1>
    </dataValidation>
    <dataValidation type="list" allowBlank="1" showInputMessage="1" showErrorMessage="1" sqref="AV5:AV404">
      <formula1>CancelReasonList</formula1>
    </dataValidation>
    <dataValidation type="date" allowBlank="1" showInputMessage="1" showErrorMessage="1" errorTitle="Check the date" error="Enter a real date between 2000 and 2100." sqref="AW5:AW40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&amp;L&amp;"Calibri,Bold"&amp;12&amp;C&amp;"Calibri,Bold"&amp;11Bookings&amp;R&amp;"Calibri,Italic"&amp;9Pet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9.xml><?xml version="1.0" encoding="utf-8"?>
<worksheet xmlns="http://schemas.openxmlformats.org/spreadsheetml/2006/main" xmlns:r="http://schemas.openxmlformats.org/officeDocument/2006/relationships">
  <sheetPr>
    <tabColor rgb="FFE2A33C"/>
    <pageSetUpPr fitToPage="1"/>
  </sheetPr>
  <dimension ref="A1:AJ4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6" customWidth="1"/>
    <col min="2" max="2" width="12.7109375" style="20" customWidth="1"/>
    <col min="3" max="3" width="12.7109375" style="39" customWidth="1"/>
    <col min="4" max="4" width="20.7109375" style="28" customWidth="1"/>
    <col min="5" max="5" width="24.7109375" style="28" customWidth="1"/>
    <col min="6" max="6" width="22.7109375" style="28" customWidth="1"/>
    <col min="7" max="7" width="15.7109375" style="20" customWidth="1"/>
    <col min="8" max="8" width="9.7109375" style="53" customWidth="1"/>
    <col min="9" max="9" width="9.7109375" style="44" customWidth="1"/>
    <col min="10" max="10" width="9.7109375" style="44" customWidth="1"/>
    <col min="11" max="11" width="10.7109375" style="31" customWidth="1"/>
    <col min="12" max="12" width="13.7109375" style="49" customWidth="1"/>
    <col min="13" max="13" width="9.7109375" style="44" customWidth="1"/>
    <col min="14" max="14" width="9.7109375" style="44" customWidth="1"/>
    <col min="15" max="15" width="9.7109375" style="31" customWidth="1"/>
    <col min="16" max="16" width="10.7109375" style="43" customWidth="1"/>
    <col min="17" max="17" width="8.7109375" style="12" customWidth="1"/>
    <col min="18" max="18" width="9.7109375" style="12" customWidth="1"/>
    <col min="19" max="19" width="10.7109375" style="12" customWidth="1"/>
    <col min="20" max="20" width="14.7109375" style="20" customWidth="1"/>
    <col min="21" max="21" width="22.7109375" style="20" customWidth="1"/>
    <col min="22" max="22" width="20.7109375" style="20" customWidth="1"/>
    <col min="23" max="23" width="14.7109375" style="20" customWidth="1"/>
    <col min="24" max="24" width="12.7109375" style="20" customWidth="1"/>
    <col min="25" max="25" width="30.7109375" style="47" customWidth="1"/>
    <col min="26" max="26" width="9.7109375" style="12" customWidth="1"/>
    <col min="27" max="27" width="11.7109375" style="20" customWidth="1"/>
    <col min="28" max="28" width="20.7109375" style="20" customWidth="1"/>
    <col min="29" max="29" width="10.7109375" style="12" customWidth="1"/>
    <col min="30" max="30" width="10.7109375" style="12" customWidth="1"/>
    <col min="31" max="31" width="15.7109375" style="48" customWidth="1"/>
    <col min="32" max="32" width="36.7109375" style="47" customWidth="1"/>
    <col min="33" max="33" width="10.7109375" style="28" customWidth="1"/>
    <col min="34" max="34" width="10.7109375" style="28" hidden="1" customWidth="1"/>
    <col min="35" max="35" width="10.7109375" style="28" hidden="1" customWidth="1"/>
    <col min="36" max="36" width="24.7109375" style="49" customWidth="1"/>
  </cols>
  <sheetData>
    <row r="1" spans="1:36" ht="34" customHeight="1">
      <c r="A1" s="2" t="s">
        <v>775</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3" t="s">
        <v>118</v>
      </c>
      <c r="AI1" s="3"/>
      <c r="AJ1" s="3"/>
    </row>
    <row r="2" spans="1:36" ht="18" customHeight="1">
      <c r="A2" s="4" t="s">
        <v>776</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row>
    <row r="3" spans="1:36"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777</v>
      </c>
      <c r="T3" s="45"/>
      <c r="U3" s="45"/>
      <c r="V3" s="45"/>
      <c r="W3" s="45"/>
      <c r="X3" s="45"/>
      <c r="Y3" s="45"/>
      <c r="Z3" s="45"/>
      <c r="AA3" s="45"/>
      <c r="AB3" s="45"/>
      <c r="AC3" s="45"/>
      <c r="AD3" s="45"/>
      <c r="AE3" s="45"/>
      <c r="AF3" s="45"/>
      <c r="AG3" s="45"/>
      <c r="AH3" s="45"/>
      <c r="AI3" s="45"/>
      <c r="AJ3" s="45"/>
    </row>
    <row r="4" spans="1:36" ht="30" customHeight="1">
      <c r="A4" s="8" t="s">
        <v>642</v>
      </c>
      <c r="B4" s="8" t="s">
        <v>778</v>
      </c>
      <c r="C4" s="9" t="s">
        <v>779</v>
      </c>
      <c r="D4" s="9" t="s">
        <v>207</v>
      </c>
      <c r="E4" s="9" t="s">
        <v>734</v>
      </c>
      <c r="F4" s="9" t="s">
        <v>198</v>
      </c>
      <c r="G4" s="9" t="s">
        <v>780</v>
      </c>
      <c r="H4" s="9" t="s">
        <v>467</v>
      </c>
      <c r="I4" s="9" t="s">
        <v>781</v>
      </c>
      <c r="J4" s="9" t="s">
        <v>782</v>
      </c>
      <c r="K4" s="9" t="s">
        <v>783</v>
      </c>
      <c r="L4" s="9" t="s">
        <v>784</v>
      </c>
      <c r="M4" s="9" t="s">
        <v>785</v>
      </c>
      <c r="N4" s="9" t="s">
        <v>786</v>
      </c>
      <c r="O4" s="9" t="s">
        <v>787</v>
      </c>
      <c r="P4" s="9" t="s">
        <v>788</v>
      </c>
      <c r="Q4" s="9" t="s">
        <v>789</v>
      </c>
      <c r="R4" s="9" t="s">
        <v>790</v>
      </c>
      <c r="S4" s="9" t="s">
        <v>791</v>
      </c>
      <c r="T4" s="9" t="s">
        <v>481</v>
      </c>
      <c r="U4" s="9" t="s">
        <v>792</v>
      </c>
      <c r="V4" s="9" t="s">
        <v>793</v>
      </c>
      <c r="W4" s="9" t="s">
        <v>794</v>
      </c>
      <c r="X4" s="9" t="s">
        <v>795</v>
      </c>
      <c r="Y4" s="9" t="s">
        <v>796</v>
      </c>
      <c r="Z4" s="9" t="s">
        <v>797</v>
      </c>
      <c r="AA4" s="9" t="s">
        <v>798</v>
      </c>
      <c r="AB4" s="9" t="s">
        <v>799</v>
      </c>
      <c r="AC4" s="9" t="s">
        <v>800</v>
      </c>
      <c r="AD4" s="9" t="s">
        <v>801</v>
      </c>
      <c r="AE4" s="9" t="s">
        <v>466</v>
      </c>
      <c r="AF4" s="9" t="s">
        <v>802</v>
      </c>
      <c r="AG4" s="9" t="s">
        <v>131</v>
      </c>
      <c r="AH4" s="9" t="s">
        <v>803</v>
      </c>
      <c r="AI4" s="9" t="s">
        <v>804</v>
      </c>
      <c r="AJ4" s="9" t="s">
        <v>686</v>
      </c>
    </row>
    <row r="5" spans="1:36">
      <c r="A5" s="46">
        <f>IF(C5="","","VS-"&amp;TEXT(ROW()-4,"0000"))</f>
        <v>0</v>
      </c>
      <c r="D5" s="28">
        <f>IF(B5="","",IFERROR(INDEX(Bookings!$C$5:$C$404,MATCH(B5,Bookings!$A$5:$A$404,0)),""))</f>
        <v>0</v>
      </c>
      <c r="E5" s="28">
        <f>IF(B5="","",IFERROR(INDEX(Bookings!$E$5:$E$404,MATCH(B5,Bookings!$A$5:$A$404,0)),""))</f>
        <v>0</v>
      </c>
      <c r="F5" s="28">
        <f>IF(B5="","",IFERROR(INDEX(Bookings!$H$5:$H$404,MATCH(B5,Bookings!$A$5:$A$404,0)),""))</f>
        <v>0</v>
      </c>
      <c r="H5" s="53">
        <f>IF(B5="","",IFERROR(INDEX(Bookings!$K$5:$K$404,MATCH(B5,Bookings!$A$5:$A$404,0)),""))</f>
        <v>0</v>
      </c>
      <c r="K5" s="31">
        <f>IF(OR(I5="",J5=""),"",ROUND((J5-I5+IF(J5&lt;I5,1,0))*1440,0))</f>
        <v>0</v>
      </c>
      <c r="L5" s="49">
        <f>IF(OR(I5="",H5=""),"",IF(I5&lt;=H5+TIME(0,10,0),"On time","Late "&amp;TEXT((I5-H5)*1440,"0")&amp;" min"))</f>
        <v>0</v>
      </c>
      <c r="O5" s="31">
        <f>IF(OR(M5="",N5=""),"",ROUND((N5-M5+IF(N5&lt;M5,1,0))*1440,0))</f>
        <v>0</v>
      </c>
      <c r="AG5" s="28">
        <f>IF(C5="","",TEXT(C5,"yyyy-mm"))</f>
        <v>0</v>
      </c>
      <c r="AH5" s="28">
        <f>IF(B5="","",B5&amp;"|"&amp;COUNTIF($B$5:$B5,B5))</f>
        <v>0</v>
      </c>
      <c r="AI5" s="28">
        <f>IF(E5="","",E5&amp;"|"&amp;COUNTIF($E$5:$E5,E5))</f>
        <v>0</v>
      </c>
      <c r="AJ5" s="49">
        <f>IF(C5="","",IF(AE5="Missed","Missed visit - contact client",IF(Z5="Yes","Incident logged - follow up",IF(AND(AE5="Completed",AC5&lt;&gt;"Yes"),"Action - send client update",IF(AND(AE5="Completed",AD5&lt;&gt;"Yes"),"Check care checklist",IF(AND(C5&lt;TODAY(),AE5="Scheduled"),"Overdue - log the result","OK"))))))</f>
        <v>0</v>
      </c>
    </row>
    <row r="6" spans="1:36">
      <c r="A6" s="46">
        <f>IF(C6="","","VS-"&amp;TEXT(ROW()-4,"0000"))</f>
        <v>0</v>
      </c>
      <c r="D6" s="28">
        <f>IF(B6="","",IFERROR(INDEX(Bookings!$C$5:$C$404,MATCH(B6,Bookings!$A$5:$A$404,0)),""))</f>
        <v>0</v>
      </c>
      <c r="E6" s="28">
        <f>IF(B6="","",IFERROR(INDEX(Bookings!$E$5:$E$404,MATCH(B6,Bookings!$A$5:$A$404,0)),""))</f>
        <v>0</v>
      </c>
      <c r="F6" s="28">
        <f>IF(B6="","",IFERROR(INDEX(Bookings!$H$5:$H$404,MATCH(B6,Bookings!$A$5:$A$404,0)),""))</f>
        <v>0</v>
      </c>
      <c r="H6" s="53">
        <f>IF(B6="","",IFERROR(INDEX(Bookings!$K$5:$K$404,MATCH(B6,Bookings!$A$5:$A$404,0)),""))</f>
        <v>0</v>
      </c>
      <c r="K6" s="31">
        <f>IF(OR(I6="",J6=""),"",ROUND((J6-I6+IF(J6&lt;I6,1,0))*1440,0))</f>
        <v>0</v>
      </c>
      <c r="L6" s="49">
        <f>IF(OR(I6="",H6=""),"",IF(I6&lt;=H6+TIME(0,10,0),"On time","Late "&amp;TEXT((I6-H6)*1440,"0")&amp;" min"))</f>
        <v>0</v>
      </c>
      <c r="O6" s="31">
        <f>IF(OR(M6="",N6=""),"",ROUND((N6-M6+IF(N6&lt;M6,1,0))*1440,0))</f>
        <v>0</v>
      </c>
      <c r="AG6" s="28">
        <f>IF(C6="","",TEXT(C6,"yyyy-mm"))</f>
        <v>0</v>
      </c>
      <c r="AH6" s="28">
        <f>IF(B6="","",B6&amp;"|"&amp;COUNTIF($B$5:$B6,B6))</f>
        <v>0</v>
      </c>
      <c r="AI6" s="28">
        <f>IF(E6="","",E6&amp;"|"&amp;COUNTIF($E$5:$E6,E6))</f>
        <v>0</v>
      </c>
      <c r="AJ6" s="49">
        <f>IF(C6="","",IF(AE6="Missed","Missed visit - contact client",IF(Z6="Yes","Incident logged - follow up",IF(AND(AE6="Completed",AC6&lt;&gt;"Yes"),"Action - send client update",IF(AND(AE6="Completed",AD6&lt;&gt;"Yes"),"Check care checklist",IF(AND(C6&lt;TODAY(),AE6="Scheduled"),"Overdue - log the result","OK"))))))</f>
        <v>0</v>
      </c>
    </row>
    <row r="7" spans="1:36">
      <c r="A7" s="46">
        <f>IF(C7="","","VS-"&amp;TEXT(ROW()-4,"0000"))</f>
        <v>0</v>
      </c>
      <c r="D7" s="28">
        <f>IF(B7="","",IFERROR(INDEX(Bookings!$C$5:$C$404,MATCH(B7,Bookings!$A$5:$A$404,0)),""))</f>
        <v>0</v>
      </c>
      <c r="E7" s="28">
        <f>IF(B7="","",IFERROR(INDEX(Bookings!$E$5:$E$404,MATCH(B7,Bookings!$A$5:$A$404,0)),""))</f>
        <v>0</v>
      </c>
      <c r="F7" s="28">
        <f>IF(B7="","",IFERROR(INDEX(Bookings!$H$5:$H$404,MATCH(B7,Bookings!$A$5:$A$404,0)),""))</f>
        <v>0</v>
      </c>
      <c r="H7" s="53">
        <f>IF(B7="","",IFERROR(INDEX(Bookings!$K$5:$K$404,MATCH(B7,Bookings!$A$5:$A$404,0)),""))</f>
        <v>0</v>
      </c>
      <c r="K7" s="31">
        <f>IF(OR(I7="",J7=""),"",ROUND((J7-I7+IF(J7&lt;I7,1,0))*1440,0))</f>
        <v>0</v>
      </c>
      <c r="L7" s="49">
        <f>IF(OR(I7="",H7=""),"",IF(I7&lt;=H7+TIME(0,10,0),"On time","Late "&amp;TEXT((I7-H7)*1440,"0")&amp;" min"))</f>
        <v>0</v>
      </c>
      <c r="O7" s="31">
        <f>IF(OR(M7="",N7=""),"",ROUND((N7-M7+IF(N7&lt;M7,1,0))*1440,0))</f>
        <v>0</v>
      </c>
      <c r="AG7" s="28">
        <f>IF(C7="","",TEXT(C7,"yyyy-mm"))</f>
        <v>0</v>
      </c>
      <c r="AH7" s="28">
        <f>IF(B7="","",B7&amp;"|"&amp;COUNTIF($B$5:$B7,B7))</f>
        <v>0</v>
      </c>
      <c r="AI7" s="28">
        <f>IF(E7="","",E7&amp;"|"&amp;COUNTIF($E$5:$E7,E7))</f>
        <v>0</v>
      </c>
      <c r="AJ7" s="49">
        <f>IF(C7="","",IF(AE7="Missed","Missed visit - contact client",IF(Z7="Yes","Incident logged - follow up",IF(AND(AE7="Completed",AC7&lt;&gt;"Yes"),"Action - send client update",IF(AND(AE7="Completed",AD7&lt;&gt;"Yes"),"Check care checklist",IF(AND(C7&lt;TODAY(),AE7="Scheduled"),"Overdue - log the result","OK"))))))</f>
        <v>0</v>
      </c>
    </row>
    <row r="8" spans="1:36">
      <c r="A8" s="46">
        <f>IF(C8="","","VS-"&amp;TEXT(ROW()-4,"0000"))</f>
        <v>0</v>
      </c>
      <c r="D8" s="28">
        <f>IF(B8="","",IFERROR(INDEX(Bookings!$C$5:$C$404,MATCH(B8,Bookings!$A$5:$A$404,0)),""))</f>
        <v>0</v>
      </c>
      <c r="E8" s="28">
        <f>IF(B8="","",IFERROR(INDEX(Bookings!$E$5:$E$404,MATCH(B8,Bookings!$A$5:$A$404,0)),""))</f>
        <v>0</v>
      </c>
      <c r="F8" s="28">
        <f>IF(B8="","",IFERROR(INDEX(Bookings!$H$5:$H$404,MATCH(B8,Bookings!$A$5:$A$404,0)),""))</f>
        <v>0</v>
      </c>
      <c r="H8" s="53">
        <f>IF(B8="","",IFERROR(INDEX(Bookings!$K$5:$K$404,MATCH(B8,Bookings!$A$5:$A$404,0)),""))</f>
        <v>0</v>
      </c>
      <c r="K8" s="31">
        <f>IF(OR(I8="",J8=""),"",ROUND((J8-I8+IF(J8&lt;I8,1,0))*1440,0))</f>
        <v>0</v>
      </c>
      <c r="L8" s="49">
        <f>IF(OR(I8="",H8=""),"",IF(I8&lt;=H8+TIME(0,10,0),"On time","Late "&amp;TEXT((I8-H8)*1440,"0")&amp;" min"))</f>
        <v>0</v>
      </c>
      <c r="O8" s="31">
        <f>IF(OR(M8="",N8=""),"",ROUND((N8-M8+IF(N8&lt;M8,1,0))*1440,0))</f>
        <v>0</v>
      </c>
      <c r="AG8" s="28">
        <f>IF(C8="","",TEXT(C8,"yyyy-mm"))</f>
        <v>0</v>
      </c>
      <c r="AH8" s="28">
        <f>IF(B8="","",B8&amp;"|"&amp;COUNTIF($B$5:$B8,B8))</f>
        <v>0</v>
      </c>
      <c r="AI8" s="28">
        <f>IF(E8="","",E8&amp;"|"&amp;COUNTIF($E$5:$E8,E8))</f>
        <v>0</v>
      </c>
      <c r="AJ8" s="49">
        <f>IF(C8="","",IF(AE8="Missed","Missed visit - contact client",IF(Z8="Yes","Incident logged - follow up",IF(AND(AE8="Completed",AC8&lt;&gt;"Yes"),"Action - send client update",IF(AND(AE8="Completed",AD8&lt;&gt;"Yes"),"Check care checklist",IF(AND(C8&lt;TODAY(),AE8="Scheduled"),"Overdue - log the result","OK"))))))</f>
        <v>0</v>
      </c>
    </row>
    <row r="9" spans="1:36">
      <c r="A9" s="46">
        <f>IF(C9="","","VS-"&amp;TEXT(ROW()-4,"0000"))</f>
        <v>0</v>
      </c>
      <c r="D9" s="28">
        <f>IF(B9="","",IFERROR(INDEX(Bookings!$C$5:$C$404,MATCH(B9,Bookings!$A$5:$A$404,0)),""))</f>
        <v>0</v>
      </c>
      <c r="E9" s="28">
        <f>IF(B9="","",IFERROR(INDEX(Bookings!$E$5:$E$404,MATCH(B9,Bookings!$A$5:$A$404,0)),""))</f>
        <v>0</v>
      </c>
      <c r="F9" s="28">
        <f>IF(B9="","",IFERROR(INDEX(Bookings!$H$5:$H$404,MATCH(B9,Bookings!$A$5:$A$404,0)),""))</f>
        <v>0</v>
      </c>
      <c r="H9" s="53">
        <f>IF(B9="","",IFERROR(INDEX(Bookings!$K$5:$K$404,MATCH(B9,Bookings!$A$5:$A$404,0)),""))</f>
        <v>0</v>
      </c>
      <c r="K9" s="31">
        <f>IF(OR(I9="",J9=""),"",ROUND((J9-I9+IF(J9&lt;I9,1,0))*1440,0))</f>
        <v>0</v>
      </c>
      <c r="L9" s="49">
        <f>IF(OR(I9="",H9=""),"",IF(I9&lt;=H9+TIME(0,10,0),"On time","Late "&amp;TEXT((I9-H9)*1440,"0")&amp;" min"))</f>
        <v>0</v>
      </c>
      <c r="O9" s="31">
        <f>IF(OR(M9="",N9=""),"",ROUND((N9-M9+IF(N9&lt;M9,1,0))*1440,0))</f>
        <v>0</v>
      </c>
      <c r="AG9" s="28">
        <f>IF(C9="","",TEXT(C9,"yyyy-mm"))</f>
        <v>0</v>
      </c>
      <c r="AH9" s="28">
        <f>IF(B9="","",B9&amp;"|"&amp;COUNTIF($B$5:$B9,B9))</f>
        <v>0</v>
      </c>
      <c r="AI9" s="28">
        <f>IF(E9="","",E9&amp;"|"&amp;COUNTIF($E$5:$E9,E9))</f>
        <v>0</v>
      </c>
      <c r="AJ9" s="49">
        <f>IF(C9="","",IF(AE9="Missed","Missed visit - contact client",IF(Z9="Yes","Incident logged - follow up",IF(AND(AE9="Completed",AC9&lt;&gt;"Yes"),"Action - send client update",IF(AND(AE9="Completed",AD9&lt;&gt;"Yes"),"Check care checklist",IF(AND(C9&lt;TODAY(),AE9="Scheduled"),"Overdue - log the result","OK"))))))</f>
        <v>0</v>
      </c>
    </row>
    <row r="10" spans="1:36">
      <c r="A10" s="46">
        <f>IF(C10="","","VS-"&amp;TEXT(ROW()-4,"0000"))</f>
        <v>0</v>
      </c>
      <c r="D10" s="28">
        <f>IF(B10="","",IFERROR(INDEX(Bookings!$C$5:$C$404,MATCH(B10,Bookings!$A$5:$A$404,0)),""))</f>
        <v>0</v>
      </c>
      <c r="E10" s="28">
        <f>IF(B10="","",IFERROR(INDEX(Bookings!$E$5:$E$404,MATCH(B10,Bookings!$A$5:$A$404,0)),""))</f>
        <v>0</v>
      </c>
      <c r="F10" s="28">
        <f>IF(B10="","",IFERROR(INDEX(Bookings!$H$5:$H$404,MATCH(B10,Bookings!$A$5:$A$404,0)),""))</f>
        <v>0</v>
      </c>
      <c r="H10" s="53">
        <f>IF(B10="","",IFERROR(INDEX(Bookings!$K$5:$K$404,MATCH(B10,Bookings!$A$5:$A$404,0)),""))</f>
        <v>0</v>
      </c>
      <c r="K10" s="31">
        <f>IF(OR(I10="",J10=""),"",ROUND((J10-I10+IF(J10&lt;I10,1,0))*1440,0))</f>
        <v>0</v>
      </c>
      <c r="L10" s="49">
        <f>IF(OR(I10="",H10=""),"",IF(I10&lt;=H10+TIME(0,10,0),"On time","Late "&amp;TEXT((I10-H10)*1440,"0")&amp;" min"))</f>
        <v>0</v>
      </c>
      <c r="O10" s="31">
        <f>IF(OR(M10="",N10=""),"",ROUND((N10-M10+IF(N10&lt;M10,1,0))*1440,0))</f>
        <v>0</v>
      </c>
      <c r="AG10" s="28">
        <f>IF(C10="","",TEXT(C10,"yyyy-mm"))</f>
        <v>0</v>
      </c>
      <c r="AH10" s="28">
        <f>IF(B10="","",B10&amp;"|"&amp;COUNTIF($B$5:$B10,B10))</f>
        <v>0</v>
      </c>
      <c r="AI10" s="28">
        <f>IF(E10="","",E10&amp;"|"&amp;COUNTIF($E$5:$E10,E10))</f>
        <v>0</v>
      </c>
      <c r="AJ10" s="49">
        <f>IF(C10="","",IF(AE10="Missed","Missed visit - contact client",IF(Z10="Yes","Incident logged - follow up",IF(AND(AE10="Completed",AC10&lt;&gt;"Yes"),"Action - send client update",IF(AND(AE10="Completed",AD10&lt;&gt;"Yes"),"Check care checklist",IF(AND(C10&lt;TODAY(),AE10="Scheduled"),"Overdue - log the result","OK"))))))</f>
        <v>0</v>
      </c>
    </row>
    <row r="11" spans="1:36">
      <c r="A11" s="46">
        <f>IF(C11="","","VS-"&amp;TEXT(ROW()-4,"0000"))</f>
        <v>0</v>
      </c>
      <c r="D11" s="28">
        <f>IF(B11="","",IFERROR(INDEX(Bookings!$C$5:$C$404,MATCH(B11,Bookings!$A$5:$A$404,0)),""))</f>
        <v>0</v>
      </c>
      <c r="E11" s="28">
        <f>IF(B11="","",IFERROR(INDEX(Bookings!$E$5:$E$404,MATCH(B11,Bookings!$A$5:$A$404,0)),""))</f>
        <v>0</v>
      </c>
      <c r="F11" s="28">
        <f>IF(B11="","",IFERROR(INDEX(Bookings!$H$5:$H$404,MATCH(B11,Bookings!$A$5:$A$404,0)),""))</f>
        <v>0</v>
      </c>
      <c r="H11" s="53">
        <f>IF(B11="","",IFERROR(INDEX(Bookings!$K$5:$K$404,MATCH(B11,Bookings!$A$5:$A$404,0)),""))</f>
        <v>0</v>
      </c>
      <c r="K11" s="31">
        <f>IF(OR(I11="",J11=""),"",ROUND((J11-I11+IF(J11&lt;I11,1,0))*1440,0))</f>
        <v>0</v>
      </c>
      <c r="L11" s="49">
        <f>IF(OR(I11="",H11=""),"",IF(I11&lt;=H11+TIME(0,10,0),"On time","Late "&amp;TEXT((I11-H11)*1440,"0")&amp;" min"))</f>
        <v>0</v>
      </c>
      <c r="O11" s="31">
        <f>IF(OR(M11="",N11=""),"",ROUND((N11-M11+IF(N11&lt;M11,1,0))*1440,0))</f>
        <v>0</v>
      </c>
      <c r="AG11" s="28">
        <f>IF(C11="","",TEXT(C11,"yyyy-mm"))</f>
        <v>0</v>
      </c>
      <c r="AH11" s="28">
        <f>IF(B11="","",B11&amp;"|"&amp;COUNTIF($B$5:$B11,B11))</f>
        <v>0</v>
      </c>
      <c r="AI11" s="28">
        <f>IF(E11="","",E11&amp;"|"&amp;COUNTIF($E$5:$E11,E11))</f>
        <v>0</v>
      </c>
      <c r="AJ11" s="49">
        <f>IF(C11="","",IF(AE11="Missed","Missed visit - contact client",IF(Z11="Yes","Incident logged - follow up",IF(AND(AE11="Completed",AC11&lt;&gt;"Yes"),"Action - send client update",IF(AND(AE11="Completed",AD11&lt;&gt;"Yes"),"Check care checklist",IF(AND(C11&lt;TODAY(),AE11="Scheduled"),"Overdue - log the result","OK"))))))</f>
        <v>0</v>
      </c>
    </row>
    <row r="12" spans="1:36">
      <c r="A12" s="46">
        <f>IF(C12="","","VS-"&amp;TEXT(ROW()-4,"0000"))</f>
        <v>0</v>
      </c>
      <c r="D12" s="28">
        <f>IF(B12="","",IFERROR(INDEX(Bookings!$C$5:$C$404,MATCH(B12,Bookings!$A$5:$A$404,0)),""))</f>
        <v>0</v>
      </c>
      <c r="E12" s="28">
        <f>IF(B12="","",IFERROR(INDEX(Bookings!$E$5:$E$404,MATCH(B12,Bookings!$A$5:$A$404,0)),""))</f>
        <v>0</v>
      </c>
      <c r="F12" s="28">
        <f>IF(B12="","",IFERROR(INDEX(Bookings!$H$5:$H$404,MATCH(B12,Bookings!$A$5:$A$404,0)),""))</f>
        <v>0</v>
      </c>
      <c r="H12" s="53">
        <f>IF(B12="","",IFERROR(INDEX(Bookings!$K$5:$K$404,MATCH(B12,Bookings!$A$5:$A$404,0)),""))</f>
        <v>0</v>
      </c>
      <c r="K12" s="31">
        <f>IF(OR(I12="",J12=""),"",ROUND((J12-I12+IF(J12&lt;I12,1,0))*1440,0))</f>
        <v>0</v>
      </c>
      <c r="L12" s="49">
        <f>IF(OR(I12="",H12=""),"",IF(I12&lt;=H12+TIME(0,10,0),"On time","Late "&amp;TEXT((I12-H12)*1440,"0")&amp;" min"))</f>
        <v>0</v>
      </c>
      <c r="O12" s="31">
        <f>IF(OR(M12="",N12=""),"",ROUND((N12-M12+IF(N12&lt;M12,1,0))*1440,0))</f>
        <v>0</v>
      </c>
      <c r="AG12" s="28">
        <f>IF(C12="","",TEXT(C12,"yyyy-mm"))</f>
        <v>0</v>
      </c>
      <c r="AH12" s="28">
        <f>IF(B12="","",B12&amp;"|"&amp;COUNTIF($B$5:$B12,B12))</f>
        <v>0</v>
      </c>
      <c r="AI12" s="28">
        <f>IF(E12="","",E12&amp;"|"&amp;COUNTIF($E$5:$E12,E12))</f>
        <v>0</v>
      </c>
      <c r="AJ12" s="49">
        <f>IF(C12="","",IF(AE12="Missed","Missed visit - contact client",IF(Z12="Yes","Incident logged - follow up",IF(AND(AE12="Completed",AC12&lt;&gt;"Yes"),"Action - send client update",IF(AND(AE12="Completed",AD12&lt;&gt;"Yes"),"Check care checklist",IF(AND(C12&lt;TODAY(),AE12="Scheduled"),"Overdue - log the result","OK"))))))</f>
        <v>0</v>
      </c>
    </row>
    <row r="13" spans="1:36">
      <c r="A13" s="46">
        <f>IF(C13="","","VS-"&amp;TEXT(ROW()-4,"0000"))</f>
        <v>0</v>
      </c>
      <c r="D13" s="28">
        <f>IF(B13="","",IFERROR(INDEX(Bookings!$C$5:$C$404,MATCH(B13,Bookings!$A$5:$A$404,0)),""))</f>
        <v>0</v>
      </c>
      <c r="E13" s="28">
        <f>IF(B13="","",IFERROR(INDEX(Bookings!$E$5:$E$404,MATCH(B13,Bookings!$A$5:$A$404,0)),""))</f>
        <v>0</v>
      </c>
      <c r="F13" s="28">
        <f>IF(B13="","",IFERROR(INDEX(Bookings!$H$5:$H$404,MATCH(B13,Bookings!$A$5:$A$404,0)),""))</f>
        <v>0</v>
      </c>
      <c r="H13" s="53">
        <f>IF(B13="","",IFERROR(INDEX(Bookings!$K$5:$K$404,MATCH(B13,Bookings!$A$5:$A$404,0)),""))</f>
        <v>0</v>
      </c>
      <c r="K13" s="31">
        <f>IF(OR(I13="",J13=""),"",ROUND((J13-I13+IF(J13&lt;I13,1,0))*1440,0))</f>
        <v>0</v>
      </c>
      <c r="L13" s="49">
        <f>IF(OR(I13="",H13=""),"",IF(I13&lt;=H13+TIME(0,10,0),"On time","Late "&amp;TEXT((I13-H13)*1440,"0")&amp;" min"))</f>
        <v>0</v>
      </c>
      <c r="O13" s="31">
        <f>IF(OR(M13="",N13=""),"",ROUND((N13-M13+IF(N13&lt;M13,1,0))*1440,0))</f>
        <v>0</v>
      </c>
      <c r="AG13" s="28">
        <f>IF(C13="","",TEXT(C13,"yyyy-mm"))</f>
        <v>0</v>
      </c>
      <c r="AH13" s="28">
        <f>IF(B13="","",B13&amp;"|"&amp;COUNTIF($B$5:$B13,B13))</f>
        <v>0</v>
      </c>
      <c r="AI13" s="28">
        <f>IF(E13="","",E13&amp;"|"&amp;COUNTIF($E$5:$E13,E13))</f>
        <v>0</v>
      </c>
      <c r="AJ13" s="49">
        <f>IF(C13="","",IF(AE13="Missed","Missed visit - contact client",IF(Z13="Yes","Incident logged - follow up",IF(AND(AE13="Completed",AC13&lt;&gt;"Yes"),"Action - send client update",IF(AND(AE13="Completed",AD13&lt;&gt;"Yes"),"Check care checklist",IF(AND(C13&lt;TODAY(),AE13="Scheduled"),"Overdue - log the result","OK"))))))</f>
        <v>0</v>
      </c>
    </row>
    <row r="14" spans="1:36">
      <c r="A14" s="46">
        <f>IF(C14="","","VS-"&amp;TEXT(ROW()-4,"0000"))</f>
        <v>0</v>
      </c>
      <c r="D14" s="28">
        <f>IF(B14="","",IFERROR(INDEX(Bookings!$C$5:$C$404,MATCH(B14,Bookings!$A$5:$A$404,0)),""))</f>
        <v>0</v>
      </c>
      <c r="E14" s="28">
        <f>IF(B14="","",IFERROR(INDEX(Bookings!$E$5:$E$404,MATCH(B14,Bookings!$A$5:$A$404,0)),""))</f>
        <v>0</v>
      </c>
      <c r="F14" s="28">
        <f>IF(B14="","",IFERROR(INDEX(Bookings!$H$5:$H$404,MATCH(B14,Bookings!$A$5:$A$404,0)),""))</f>
        <v>0</v>
      </c>
      <c r="H14" s="53">
        <f>IF(B14="","",IFERROR(INDEX(Bookings!$K$5:$K$404,MATCH(B14,Bookings!$A$5:$A$404,0)),""))</f>
        <v>0</v>
      </c>
      <c r="K14" s="31">
        <f>IF(OR(I14="",J14=""),"",ROUND((J14-I14+IF(J14&lt;I14,1,0))*1440,0))</f>
        <v>0</v>
      </c>
      <c r="L14" s="49">
        <f>IF(OR(I14="",H14=""),"",IF(I14&lt;=H14+TIME(0,10,0),"On time","Late "&amp;TEXT((I14-H14)*1440,"0")&amp;" min"))</f>
        <v>0</v>
      </c>
      <c r="O14" s="31">
        <f>IF(OR(M14="",N14=""),"",ROUND((N14-M14+IF(N14&lt;M14,1,0))*1440,0))</f>
        <v>0</v>
      </c>
      <c r="AG14" s="28">
        <f>IF(C14="","",TEXT(C14,"yyyy-mm"))</f>
        <v>0</v>
      </c>
      <c r="AH14" s="28">
        <f>IF(B14="","",B14&amp;"|"&amp;COUNTIF($B$5:$B14,B14))</f>
        <v>0</v>
      </c>
      <c r="AI14" s="28">
        <f>IF(E14="","",E14&amp;"|"&amp;COUNTIF($E$5:$E14,E14))</f>
        <v>0</v>
      </c>
      <c r="AJ14" s="49">
        <f>IF(C14="","",IF(AE14="Missed","Missed visit - contact client",IF(Z14="Yes","Incident logged - follow up",IF(AND(AE14="Completed",AC14&lt;&gt;"Yes"),"Action - send client update",IF(AND(AE14="Completed",AD14&lt;&gt;"Yes"),"Check care checklist",IF(AND(C14&lt;TODAY(),AE14="Scheduled"),"Overdue - log the result","OK"))))))</f>
        <v>0</v>
      </c>
    </row>
    <row r="15" spans="1:36">
      <c r="A15" s="46">
        <f>IF(C15="","","VS-"&amp;TEXT(ROW()-4,"0000"))</f>
        <v>0</v>
      </c>
      <c r="D15" s="28">
        <f>IF(B15="","",IFERROR(INDEX(Bookings!$C$5:$C$404,MATCH(B15,Bookings!$A$5:$A$404,0)),""))</f>
        <v>0</v>
      </c>
      <c r="E15" s="28">
        <f>IF(B15="","",IFERROR(INDEX(Bookings!$E$5:$E$404,MATCH(B15,Bookings!$A$5:$A$404,0)),""))</f>
        <v>0</v>
      </c>
      <c r="F15" s="28">
        <f>IF(B15="","",IFERROR(INDEX(Bookings!$H$5:$H$404,MATCH(B15,Bookings!$A$5:$A$404,0)),""))</f>
        <v>0</v>
      </c>
      <c r="H15" s="53">
        <f>IF(B15="","",IFERROR(INDEX(Bookings!$K$5:$K$404,MATCH(B15,Bookings!$A$5:$A$404,0)),""))</f>
        <v>0</v>
      </c>
      <c r="K15" s="31">
        <f>IF(OR(I15="",J15=""),"",ROUND((J15-I15+IF(J15&lt;I15,1,0))*1440,0))</f>
        <v>0</v>
      </c>
      <c r="L15" s="49">
        <f>IF(OR(I15="",H15=""),"",IF(I15&lt;=H15+TIME(0,10,0),"On time","Late "&amp;TEXT((I15-H15)*1440,"0")&amp;" min"))</f>
        <v>0</v>
      </c>
      <c r="O15" s="31">
        <f>IF(OR(M15="",N15=""),"",ROUND((N15-M15+IF(N15&lt;M15,1,0))*1440,0))</f>
        <v>0</v>
      </c>
      <c r="AG15" s="28">
        <f>IF(C15="","",TEXT(C15,"yyyy-mm"))</f>
        <v>0</v>
      </c>
      <c r="AH15" s="28">
        <f>IF(B15="","",B15&amp;"|"&amp;COUNTIF($B$5:$B15,B15))</f>
        <v>0</v>
      </c>
      <c r="AI15" s="28">
        <f>IF(E15="","",E15&amp;"|"&amp;COUNTIF($E$5:$E15,E15))</f>
        <v>0</v>
      </c>
      <c r="AJ15" s="49">
        <f>IF(C15="","",IF(AE15="Missed","Missed visit - contact client",IF(Z15="Yes","Incident logged - follow up",IF(AND(AE15="Completed",AC15&lt;&gt;"Yes"),"Action - send client update",IF(AND(AE15="Completed",AD15&lt;&gt;"Yes"),"Check care checklist",IF(AND(C15&lt;TODAY(),AE15="Scheduled"),"Overdue - log the result","OK"))))))</f>
        <v>0</v>
      </c>
    </row>
    <row r="16" spans="1:36">
      <c r="A16" s="46">
        <f>IF(C16="","","VS-"&amp;TEXT(ROW()-4,"0000"))</f>
        <v>0</v>
      </c>
      <c r="D16" s="28">
        <f>IF(B16="","",IFERROR(INDEX(Bookings!$C$5:$C$404,MATCH(B16,Bookings!$A$5:$A$404,0)),""))</f>
        <v>0</v>
      </c>
      <c r="E16" s="28">
        <f>IF(B16="","",IFERROR(INDEX(Bookings!$E$5:$E$404,MATCH(B16,Bookings!$A$5:$A$404,0)),""))</f>
        <v>0</v>
      </c>
      <c r="F16" s="28">
        <f>IF(B16="","",IFERROR(INDEX(Bookings!$H$5:$H$404,MATCH(B16,Bookings!$A$5:$A$404,0)),""))</f>
        <v>0</v>
      </c>
      <c r="H16" s="53">
        <f>IF(B16="","",IFERROR(INDEX(Bookings!$K$5:$K$404,MATCH(B16,Bookings!$A$5:$A$404,0)),""))</f>
        <v>0</v>
      </c>
      <c r="K16" s="31">
        <f>IF(OR(I16="",J16=""),"",ROUND((J16-I16+IF(J16&lt;I16,1,0))*1440,0))</f>
        <v>0</v>
      </c>
      <c r="L16" s="49">
        <f>IF(OR(I16="",H16=""),"",IF(I16&lt;=H16+TIME(0,10,0),"On time","Late "&amp;TEXT((I16-H16)*1440,"0")&amp;" min"))</f>
        <v>0</v>
      </c>
      <c r="O16" s="31">
        <f>IF(OR(M16="",N16=""),"",ROUND((N16-M16+IF(N16&lt;M16,1,0))*1440,0))</f>
        <v>0</v>
      </c>
      <c r="AG16" s="28">
        <f>IF(C16="","",TEXT(C16,"yyyy-mm"))</f>
        <v>0</v>
      </c>
      <c r="AH16" s="28">
        <f>IF(B16="","",B16&amp;"|"&amp;COUNTIF($B$5:$B16,B16))</f>
        <v>0</v>
      </c>
      <c r="AI16" s="28">
        <f>IF(E16="","",E16&amp;"|"&amp;COUNTIF($E$5:$E16,E16))</f>
        <v>0</v>
      </c>
      <c r="AJ16" s="49">
        <f>IF(C16="","",IF(AE16="Missed","Missed visit - contact client",IF(Z16="Yes","Incident logged - follow up",IF(AND(AE16="Completed",AC16&lt;&gt;"Yes"),"Action - send client update",IF(AND(AE16="Completed",AD16&lt;&gt;"Yes"),"Check care checklist",IF(AND(C16&lt;TODAY(),AE16="Scheduled"),"Overdue - log the result","OK"))))))</f>
        <v>0</v>
      </c>
    </row>
    <row r="17" spans="1:36">
      <c r="A17" s="46">
        <f>IF(C17="","","VS-"&amp;TEXT(ROW()-4,"0000"))</f>
        <v>0</v>
      </c>
      <c r="D17" s="28">
        <f>IF(B17="","",IFERROR(INDEX(Bookings!$C$5:$C$404,MATCH(B17,Bookings!$A$5:$A$404,0)),""))</f>
        <v>0</v>
      </c>
      <c r="E17" s="28">
        <f>IF(B17="","",IFERROR(INDEX(Bookings!$E$5:$E$404,MATCH(B17,Bookings!$A$5:$A$404,0)),""))</f>
        <v>0</v>
      </c>
      <c r="F17" s="28">
        <f>IF(B17="","",IFERROR(INDEX(Bookings!$H$5:$H$404,MATCH(B17,Bookings!$A$5:$A$404,0)),""))</f>
        <v>0</v>
      </c>
      <c r="H17" s="53">
        <f>IF(B17="","",IFERROR(INDEX(Bookings!$K$5:$K$404,MATCH(B17,Bookings!$A$5:$A$404,0)),""))</f>
        <v>0</v>
      </c>
      <c r="K17" s="31">
        <f>IF(OR(I17="",J17=""),"",ROUND((J17-I17+IF(J17&lt;I17,1,0))*1440,0))</f>
        <v>0</v>
      </c>
      <c r="L17" s="49">
        <f>IF(OR(I17="",H17=""),"",IF(I17&lt;=H17+TIME(0,10,0),"On time","Late "&amp;TEXT((I17-H17)*1440,"0")&amp;" min"))</f>
        <v>0</v>
      </c>
      <c r="O17" s="31">
        <f>IF(OR(M17="",N17=""),"",ROUND((N17-M17+IF(N17&lt;M17,1,0))*1440,0))</f>
        <v>0</v>
      </c>
      <c r="AG17" s="28">
        <f>IF(C17="","",TEXT(C17,"yyyy-mm"))</f>
        <v>0</v>
      </c>
      <c r="AH17" s="28">
        <f>IF(B17="","",B17&amp;"|"&amp;COUNTIF($B$5:$B17,B17))</f>
        <v>0</v>
      </c>
      <c r="AI17" s="28">
        <f>IF(E17="","",E17&amp;"|"&amp;COUNTIF($E$5:$E17,E17))</f>
        <v>0</v>
      </c>
      <c r="AJ17" s="49">
        <f>IF(C17="","",IF(AE17="Missed","Missed visit - contact client",IF(Z17="Yes","Incident logged - follow up",IF(AND(AE17="Completed",AC17&lt;&gt;"Yes"),"Action - send client update",IF(AND(AE17="Completed",AD17&lt;&gt;"Yes"),"Check care checklist",IF(AND(C17&lt;TODAY(),AE17="Scheduled"),"Overdue - log the result","OK"))))))</f>
        <v>0</v>
      </c>
    </row>
    <row r="18" spans="1:36">
      <c r="A18" s="46">
        <f>IF(C18="","","VS-"&amp;TEXT(ROW()-4,"0000"))</f>
        <v>0</v>
      </c>
      <c r="D18" s="28">
        <f>IF(B18="","",IFERROR(INDEX(Bookings!$C$5:$C$404,MATCH(B18,Bookings!$A$5:$A$404,0)),""))</f>
        <v>0</v>
      </c>
      <c r="E18" s="28">
        <f>IF(B18="","",IFERROR(INDEX(Bookings!$E$5:$E$404,MATCH(B18,Bookings!$A$5:$A$404,0)),""))</f>
        <v>0</v>
      </c>
      <c r="F18" s="28">
        <f>IF(B18="","",IFERROR(INDEX(Bookings!$H$5:$H$404,MATCH(B18,Bookings!$A$5:$A$404,0)),""))</f>
        <v>0</v>
      </c>
      <c r="H18" s="53">
        <f>IF(B18="","",IFERROR(INDEX(Bookings!$K$5:$K$404,MATCH(B18,Bookings!$A$5:$A$404,0)),""))</f>
        <v>0</v>
      </c>
      <c r="K18" s="31">
        <f>IF(OR(I18="",J18=""),"",ROUND((J18-I18+IF(J18&lt;I18,1,0))*1440,0))</f>
        <v>0</v>
      </c>
      <c r="L18" s="49">
        <f>IF(OR(I18="",H18=""),"",IF(I18&lt;=H18+TIME(0,10,0),"On time","Late "&amp;TEXT((I18-H18)*1440,"0")&amp;" min"))</f>
        <v>0</v>
      </c>
      <c r="O18" s="31">
        <f>IF(OR(M18="",N18=""),"",ROUND((N18-M18+IF(N18&lt;M18,1,0))*1440,0))</f>
        <v>0</v>
      </c>
      <c r="AG18" s="28">
        <f>IF(C18="","",TEXT(C18,"yyyy-mm"))</f>
        <v>0</v>
      </c>
      <c r="AH18" s="28">
        <f>IF(B18="","",B18&amp;"|"&amp;COUNTIF($B$5:$B18,B18))</f>
        <v>0</v>
      </c>
      <c r="AI18" s="28">
        <f>IF(E18="","",E18&amp;"|"&amp;COUNTIF($E$5:$E18,E18))</f>
        <v>0</v>
      </c>
      <c r="AJ18" s="49">
        <f>IF(C18="","",IF(AE18="Missed","Missed visit - contact client",IF(Z18="Yes","Incident logged - follow up",IF(AND(AE18="Completed",AC18&lt;&gt;"Yes"),"Action - send client update",IF(AND(AE18="Completed",AD18&lt;&gt;"Yes"),"Check care checklist",IF(AND(C18&lt;TODAY(),AE18="Scheduled"),"Overdue - log the result","OK"))))))</f>
        <v>0</v>
      </c>
    </row>
    <row r="19" spans="1:36">
      <c r="A19" s="46">
        <f>IF(C19="","","VS-"&amp;TEXT(ROW()-4,"0000"))</f>
        <v>0</v>
      </c>
      <c r="D19" s="28">
        <f>IF(B19="","",IFERROR(INDEX(Bookings!$C$5:$C$404,MATCH(B19,Bookings!$A$5:$A$404,0)),""))</f>
        <v>0</v>
      </c>
      <c r="E19" s="28">
        <f>IF(B19="","",IFERROR(INDEX(Bookings!$E$5:$E$404,MATCH(B19,Bookings!$A$5:$A$404,0)),""))</f>
        <v>0</v>
      </c>
      <c r="F19" s="28">
        <f>IF(B19="","",IFERROR(INDEX(Bookings!$H$5:$H$404,MATCH(B19,Bookings!$A$5:$A$404,0)),""))</f>
        <v>0</v>
      </c>
      <c r="H19" s="53">
        <f>IF(B19="","",IFERROR(INDEX(Bookings!$K$5:$K$404,MATCH(B19,Bookings!$A$5:$A$404,0)),""))</f>
        <v>0</v>
      </c>
      <c r="K19" s="31">
        <f>IF(OR(I19="",J19=""),"",ROUND((J19-I19+IF(J19&lt;I19,1,0))*1440,0))</f>
        <v>0</v>
      </c>
      <c r="L19" s="49">
        <f>IF(OR(I19="",H19=""),"",IF(I19&lt;=H19+TIME(0,10,0),"On time","Late "&amp;TEXT((I19-H19)*1440,"0")&amp;" min"))</f>
        <v>0</v>
      </c>
      <c r="O19" s="31">
        <f>IF(OR(M19="",N19=""),"",ROUND((N19-M19+IF(N19&lt;M19,1,0))*1440,0))</f>
        <v>0</v>
      </c>
      <c r="AG19" s="28">
        <f>IF(C19="","",TEXT(C19,"yyyy-mm"))</f>
        <v>0</v>
      </c>
      <c r="AH19" s="28">
        <f>IF(B19="","",B19&amp;"|"&amp;COUNTIF($B$5:$B19,B19))</f>
        <v>0</v>
      </c>
      <c r="AI19" s="28">
        <f>IF(E19="","",E19&amp;"|"&amp;COUNTIF($E$5:$E19,E19))</f>
        <v>0</v>
      </c>
      <c r="AJ19" s="49">
        <f>IF(C19="","",IF(AE19="Missed","Missed visit - contact client",IF(Z19="Yes","Incident logged - follow up",IF(AND(AE19="Completed",AC19&lt;&gt;"Yes"),"Action - send client update",IF(AND(AE19="Completed",AD19&lt;&gt;"Yes"),"Check care checklist",IF(AND(C19&lt;TODAY(),AE19="Scheduled"),"Overdue - log the result","OK"))))))</f>
        <v>0</v>
      </c>
    </row>
    <row r="20" spans="1:36">
      <c r="A20" s="46">
        <f>IF(C20="","","VS-"&amp;TEXT(ROW()-4,"0000"))</f>
        <v>0</v>
      </c>
      <c r="D20" s="28">
        <f>IF(B20="","",IFERROR(INDEX(Bookings!$C$5:$C$404,MATCH(B20,Bookings!$A$5:$A$404,0)),""))</f>
        <v>0</v>
      </c>
      <c r="E20" s="28">
        <f>IF(B20="","",IFERROR(INDEX(Bookings!$E$5:$E$404,MATCH(B20,Bookings!$A$5:$A$404,0)),""))</f>
        <v>0</v>
      </c>
      <c r="F20" s="28">
        <f>IF(B20="","",IFERROR(INDEX(Bookings!$H$5:$H$404,MATCH(B20,Bookings!$A$5:$A$404,0)),""))</f>
        <v>0</v>
      </c>
      <c r="H20" s="53">
        <f>IF(B20="","",IFERROR(INDEX(Bookings!$K$5:$K$404,MATCH(B20,Bookings!$A$5:$A$404,0)),""))</f>
        <v>0</v>
      </c>
      <c r="K20" s="31">
        <f>IF(OR(I20="",J20=""),"",ROUND((J20-I20+IF(J20&lt;I20,1,0))*1440,0))</f>
        <v>0</v>
      </c>
      <c r="L20" s="49">
        <f>IF(OR(I20="",H20=""),"",IF(I20&lt;=H20+TIME(0,10,0),"On time","Late "&amp;TEXT((I20-H20)*1440,"0")&amp;" min"))</f>
        <v>0</v>
      </c>
      <c r="O20" s="31">
        <f>IF(OR(M20="",N20=""),"",ROUND((N20-M20+IF(N20&lt;M20,1,0))*1440,0))</f>
        <v>0</v>
      </c>
      <c r="AG20" s="28">
        <f>IF(C20="","",TEXT(C20,"yyyy-mm"))</f>
        <v>0</v>
      </c>
      <c r="AH20" s="28">
        <f>IF(B20="","",B20&amp;"|"&amp;COUNTIF($B$5:$B20,B20))</f>
        <v>0</v>
      </c>
      <c r="AI20" s="28">
        <f>IF(E20="","",E20&amp;"|"&amp;COUNTIF($E$5:$E20,E20))</f>
        <v>0</v>
      </c>
      <c r="AJ20" s="49">
        <f>IF(C20="","",IF(AE20="Missed","Missed visit - contact client",IF(Z20="Yes","Incident logged - follow up",IF(AND(AE20="Completed",AC20&lt;&gt;"Yes"),"Action - send client update",IF(AND(AE20="Completed",AD20&lt;&gt;"Yes"),"Check care checklist",IF(AND(C20&lt;TODAY(),AE20="Scheduled"),"Overdue - log the result","OK"))))))</f>
        <v>0</v>
      </c>
    </row>
    <row r="21" spans="1:36">
      <c r="A21" s="46">
        <f>IF(C21="","","VS-"&amp;TEXT(ROW()-4,"0000"))</f>
        <v>0</v>
      </c>
      <c r="D21" s="28">
        <f>IF(B21="","",IFERROR(INDEX(Bookings!$C$5:$C$404,MATCH(B21,Bookings!$A$5:$A$404,0)),""))</f>
        <v>0</v>
      </c>
      <c r="E21" s="28">
        <f>IF(B21="","",IFERROR(INDEX(Bookings!$E$5:$E$404,MATCH(B21,Bookings!$A$5:$A$404,0)),""))</f>
        <v>0</v>
      </c>
      <c r="F21" s="28">
        <f>IF(B21="","",IFERROR(INDEX(Bookings!$H$5:$H$404,MATCH(B21,Bookings!$A$5:$A$404,0)),""))</f>
        <v>0</v>
      </c>
      <c r="H21" s="53">
        <f>IF(B21="","",IFERROR(INDEX(Bookings!$K$5:$K$404,MATCH(B21,Bookings!$A$5:$A$404,0)),""))</f>
        <v>0</v>
      </c>
      <c r="K21" s="31">
        <f>IF(OR(I21="",J21=""),"",ROUND((J21-I21+IF(J21&lt;I21,1,0))*1440,0))</f>
        <v>0</v>
      </c>
      <c r="L21" s="49">
        <f>IF(OR(I21="",H21=""),"",IF(I21&lt;=H21+TIME(0,10,0),"On time","Late "&amp;TEXT((I21-H21)*1440,"0")&amp;" min"))</f>
        <v>0</v>
      </c>
      <c r="O21" s="31">
        <f>IF(OR(M21="",N21=""),"",ROUND((N21-M21+IF(N21&lt;M21,1,0))*1440,0))</f>
        <v>0</v>
      </c>
      <c r="AG21" s="28">
        <f>IF(C21="","",TEXT(C21,"yyyy-mm"))</f>
        <v>0</v>
      </c>
      <c r="AH21" s="28">
        <f>IF(B21="","",B21&amp;"|"&amp;COUNTIF($B$5:$B21,B21))</f>
        <v>0</v>
      </c>
      <c r="AI21" s="28">
        <f>IF(E21="","",E21&amp;"|"&amp;COUNTIF($E$5:$E21,E21))</f>
        <v>0</v>
      </c>
      <c r="AJ21" s="49">
        <f>IF(C21="","",IF(AE21="Missed","Missed visit - contact client",IF(Z21="Yes","Incident logged - follow up",IF(AND(AE21="Completed",AC21&lt;&gt;"Yes"),"Action - send client update",IF(AND(AE21="Completed",AD21&lt;&gt;"Yes"),"Check care checklist",IF(AND(C21&lt;TODAY(),AE21="Scheduled"),"Overdue - log the result","OK"))))))</f>
        <v>0</v>
      </c>
    </row>
    <row r="22" spans="1:36">
      <c r="A22" s="46">
        <f>IF(C22="","","VS-"&amp;TEXT(ROW()-4,"0000"))</f>
        <v>0</v>
      </c>
      <c r="D22" s="28">
        <f>IF(B22="","",IFERROR(INDEX(Bookings!$C$5:$C$404,MATCH(B22,Bookings!$A$5:$A$404,0)),""))</f>
        <v>0</v>
      </c>
      <c r="E22" s="28">
        <f>IF(B22="","",IFERROR(INDEX(Bookings!$E$5:$E$404,MATCH(B22,Bookings!$A$5:$A$404,0)),""))</f>
        <v>0</v>
      </c>
      <c r="F22" s="28">
        <f>IF(B22="","",IFERROR(INDEX(Bookings!$H$5:$H$404,MATCH(B22,Bookings!$A$5:$A$404,0)),""))</f>
        <v>0</v>
      </c>
      <c r="H22" s="53">
        <f>IF(B22="","",IFERROR(INDEX(Bookings!$K$5:$K$404,MATCH(B22,Bookings!$A$5:$A$404,0)),""))</f>
        <v>0</v>
      </c>
      <c r="K22" s="31">
        <f>IF(OR(I22="",J22=""),"",ROUND((J22-I22+IF(J22&lt;I22,1,0))*1440,0))</f>
        <v>0</v>
      </c>
      <c r="L22" s="49">
        <f>IF(OR(I22="",H22=""),"",IF(I22&lt;=H22+TIME(0,10,0),"On time","Late "&amp;TEXT((I22-H22)*1440,"0")&amp;" min"))</f>
        <v>0</v>
      </c>
      <c r="O22" s="31">
        <f>IF(OR(M22="",N22=""),"",ROUND((N22-M22+IF(N22&lt;M22,1,0))*1440,0))</f>
        <v>0</v>
      </c>
      <c r="AG22" s="28">
        <f>IF(C22="","",TEXT(C22,"yyyy-mm"))</f>
        <v>0</v>
      </c>
      <c r="AH22" s="28">
        <f>IF(B22="","",B22&amp;"|"&amp;COUNTIF($B$5:$B22,B22))</f>
        <v>0</v>
      </c>
      <c r="AI22" s="28">
        <f>IF(E22="","",E22&amp;"|"&amp;COUNTIF($E$5:$E22,E22))</f>
        <v>0</v>
      </c>
      <c r="AJ22" s="49">
        <f>IF(C22="","",IF(AE22="Missed","Missed visit - contact client",IF(Z22="Yes","Incident logged - follow up",IF(AND(AE22="Completed",AC22&lt;&gt;"Yes"),"Action - send client update",IF(AND(AE22="Completed",AD22&lt;&gt;"Yes"),"Check care checklist",IF(AND(C22&lt;TODAY(),AE22="Scheduled"),"Overdue - log the result","OK"))))))</f>
        <v>0</v>
      </c>
    </row>
    <row r="23" spans="1:36">
      <c r="A23" s="46">
        <f>IF(C23="","","VS-"&amp;TEXT(ROW()-4,"0000"))</f>
        <v>0</v>
      </c>
      <c r="D23" s="28">
        <f>IF(B23="","",IFERROR(INDEX(Bookings!$C$5:$C$404,MATCH(B23,Bookings!$A$5:$A$404,0)),""))</f>
        <v>0</v>
      </c>
      <c r="E23" s="28">
        <f>IF(B23="","",IFERROR(INDEX(Bookings!$E$5:$E$404,MATCH(B23,Bookings!$A$5:$A$404,0)),""))</f>
        <v>0</v>
      </c>
      <c r="F23" s="28">
        <f>IF(B23="","",IFERROR(INDEX(Bookings!$H$5:$H$404,MATCH(B23,Bookings!$A$5:$A$404,0)),""))</f>
        <v>0</v>
      </c>
      <c r="H23" s="53">
        <f>IF(B23="","",IFERROR(INDEX(Bookings!$K$5:$K$404,MATCH(B23,Bookings!$A$5:$A$404,0)),""))</f>
        <v>0</v>
      </c>
      <c r="K23" s="31">
        <f>IF(OR(I23="",J23=""),"",ROUND((J23-I23+IF(J23&lt;I23,1,0))*1440,0))</f>
        <v>0</v>
      </c>
      <c r="L23" s="49">
        <f>IF(OR(I23="",H23=""),"",IF(I23&lt;=H23+TIME(0,10,0),"On time","Late "&amp;TEXT((I23-H23)*1440,"0")&amp;" min"))</f>
        <v>0</v>
      </c>
      <c r="O23" s="31">
        <f>IF(OR(M23="",N23=""),"",ROUND((N23-M23+IF(N23&lt;M23,1,0))*1440,0))</f>
        <v>0</v>
      </c>
      <c r="AG23" s="28">
        <f>IF(C23="","",TEXT(C23,"yyyy-mm"))</f>
        <v>0</v>
      </c>
      <c r="AH23" s="28">
        <f>IF(B23="","",B23&amp;"|"&amp;COUNTIF($B$5:$B23,B23))</f>
        <v>0</v>
      </c>
      <c r="AI23" s="28">
        <f>IF(E23="","",E23&amp;"|"&amp;COUNTIF($E$5:$E23,E23))</f>
        <v>0</v>
      </c>
      <c r="AJ23" s="49">
        <f>IF(C23="","",IF(AE23="Missed","Missed visit - contact client",IF(Z23="Yes","Incident logged - follow up",IF(AND(AE23="Completed",AC23&lt;&gt;"Yes"),"Action - send client update",IF(AND(AE23="Completed",AD23&lt;&gt;"Yes"),"Check care checklist",IF(AND(C23&lt;TODAY(),AE23="Scheduled"),"Overdue - log the result","OK"))))))</f>
        <v>0</v>
      </c>
    </row>
    <row r="24" spans="1:36">
      <c r="A24" s="46">
        <f>IF(C24="","","VS-"&amp;TEXT(ROW()-4,"0000"))</f>
        <v>0</v>
      </c>
      <c r="D24" s="28">
        <f>IF(B24="","",IFERROR(INDEX(Bookings!$C$5:$C$404,MATCH(B24,Bookings!$A$5:$A$404,0)),""))</f>
        <v>0</v>
      </c>
      <c r="E24" s="28">
        <f>IF(B24="","",IFERROR(INDEX(Bookings!$E$5:$E$404,MATCH(B24,Bookings!$A$5:$A$404,0)),""))</f>
        <v>0</v>
      </c>
      <c r="F24" s="28">
        <f>IF(B24="","",IFERROR(INDEX(Bookings!$H$5:$H$404,MATCH(B24,Bookings!$A$5:$A$404,0)),""))</f>
        <v>0</v>
      </c>
      <c r="H24" s="53">
        <f>IF(B24="","",IFERROR(INDEX(Bookings!$K$5:$K$404,MATCH(B24,Bookings!$A$5:$A$404,0)),""))</f>
        <v>0</v>
      </c>
      <c r="K24" s="31">
        <f>IF(OR(I24="",J24=""),"",ROUND((J24-I24+IF(J24&lt;I24,1,0))*1440,0))</f>
        <v>0</v>
      </c>
      <c r="L24" s="49">
        <f>IF(OR(I24="",H24=""),"",IF(I24&lt;=H24+TIME(0,10,0),"On time","Late "&amp;TEXT((I24-H24)*1440,"0")&amp;" min"))</f>
        <v>0</v>
      </c>
      <c r="O24" s="31">
        <f>IF(OR(M24="",N24=""),"",ROUND((N24-M24+IF(N24&lt;M24,1,0))*1440,0))</f>
        <v>0</v>
      </c>
      <c r="AG24" s="28">
        <f>IF(C24="","",TEXT(C24,"yyyy-mm"))</f>
        <v>0</v>
      </c>
      <c r="AH24" s="28">
        <f>IF(B24="","",B24&amp;"|"&amp;COUNTIF($B$5:$B24,B24))</f>
        <v>0</v>
      </c>
      <c r="AI24" s="28">
        <f>IF(E24="","",E24&amp;"|"&amp;COUNTIF($E$5:$E24,E24))</f>
        <v>0</v>
      </c>
      <c r="AJ24" s="49">
        <f>IF(C24="","",IF(AE24="Missed","Missed visit - contact client",IF(Z24="Yes","Incident logged - follow up",IF(AND(AE24="Completed",AC24&lt;&gt;"Yes"),"Action - send client update",IF(AND(AE24="Completed",AD24&lt;&gt;"Yes"),"Check care checklist",IF(AND(C24&lt;TODAY(),AE24="Scheduled"),"Overdue - log the result","OK"))))))</f>
        <v>0</v>
      </c>
    </row>
    <row r="25" spans="1:36">
      <c r="A25" s="46">
        <f>IF(C25="","","VS-"&amp;TEXT(ROW()-4,"0000"))</f>
        <v>0</v>
      </c>
      <c r="D25" s="28">
        <f>IF(B25="","",IFERROR(INDEX(Bookings!$C$5:$C$404,MATCH(B25,Bookings!$A$5:$A$404,0)),""))</f>
        <v>0</v>
      </c>
      <c r="E25" s="28">
        <f>IF(B25="","",IFERROR(INDEX(Bookings!$E$5:$E$404,MATCH(B25,Bookings!$A$5:$A$404,0)),""))</f>
        <v>0</v>
      </c>
      <c r="F25" s="28">
        <f>IF(B25="","",IFERROR(INDEX(Bookings!$H$5:$H$404,MATCH(B25,Bookings!$A$5:$A$404,0)),""))</f>
        <v>0</v>
      </c>
      <c r="H25" s="53">
        <f>IF(B25="","",IFERROR(INDEX(Bookings!$K$5:$K$404,MATCH(B25,Bookings!$A$5:$A$404,0)),""))</f>
        <v>0</v>
      </c>
      <c r="K25" s="31">
        <f>IF(OR(I25="",J25=""),"",ROUND((J25-I25+IF(J25&lt;I25,1,0))*1440,0))</f>
        <v>0</v>
      </c>
      <c r="L25" s="49">
        <f>IF(OR(I25="",H25=""),"",IF(I25&lt;=H25+TIME(0,10,0),"On time","Late "&amp;TEXT((I25-H25)*1440,"0")&amp;" min"))</f>
        <v>0</v>
      </c>
      <c r="O25" s="31">
        <f>IF(OR(M25="",N25=""),"",ROUND((N25-M25+IF(N25&lt;M25,1,0))*1440,0))</f>
        <v>0</v>
      </c>
      <c r="AG25" s="28">
        <f>IF(C25="","",TEXT(C25,"yyyy-mm"))</f>
        <v>0</v>
      </c>
      <c r="AH25" s="28">
        <f>IF(B25="","",B25&amp;"|"&amp;COUNTIF($B$5:$B25,B25))</f>
        <v>0</v>
      </c>
      <c r="AI25" s="28">
        <f>IF(E25="","",E25&amp;"|"&amp;COUNTIF($E$5:$E25,E25))</f>
        <v>0</v>
      </c>
      <c r="AJ25" s="49">
        <f>IF(C25="","",IF(AE25="Missed","Missed visit - contact client",IF(Z25="Yes","Incident logged - follow up",IF(AND(AE25="Completed",AC25&lt;&gt;"Yes"),"Action - send client update",IF(AND(AE25="Completed",AD25&lt;&gt;"Yes"),"Check care checklist",IF(AND(C25&lt;TODAY(),AE25="Scheduled"),"Overdue - log the result","OK"))))))</f>
        <v>0</v>
      </c>
    </row>
    <row r="26" spans="1:36">
      <c r="A26" s="46">
        <f>IF(C26="","","VS-"&amp;TEXT(ROW()-4,"0000"))</f>
        <v>0</v>
      </c>
      <c r="D26" s="28">
        <f>IF(B26="","",IFERROR(INDEX(Bookings!$C$5:$C$404,MATCH(B26,Bookings!$A$5:$A$404,0)),""))</f>
        <v>0</v>
      </c>
      <c r="E26" s="28">
        <f>IF(B26="","",IFERROR(INDEX(Bookings!$E$5:$E$404,MATCH(B26,Bookings!$A$5:$A$404,0)),""))</f>
        <v>0</v>
      </c>
      <c r="F26" s="28">
        <f>IF(B26="","",IFERROR(INDEX(Bookings!$H$5:$H$404,MATCH(B26,Bookings!$A$5:$A$404,0)),""))</f>
        <v>0</v>
      </c>
      <c r="H26" s="53">
        <f>IF(B26="","",IFERROR(INDEX(Bookings!$K$5:$K$404,MATCH(B26,Bookings!$A$5:$A$404,0)),""))</f>
        <v>0</v>
      </c>
      <c r="K26" s="31">
        <f>IF(OR(I26="",J26=""),"",ROUND((J26-I26+IF(J26&lt;I26,1,0))*1440,0))</f>
        <v>0</v>
      </c>
      <c r="L26" s="49">
        <f>IF(OR(I26="",H26=""),"",IF(I26&lt;=H26+TIME(0,10,0),"On time","Late "&amp;TEXT((I26-H26)*1440,"0")&amp;" min"))</f>
        <v>0</v>
      </c>
      <c r="O26" s="31">
        <f>IF(OR(M26="",N26=""),"",ROUND((N26-M26+IF(N26&lt;M26,1,0))*1440,0))</f>
        <v>0</v>
      </c>
      <c r="AG26" s="28">
        <f>IF(C26="","",TEXT(C26,"yyyy-mm"))</f>
        <v>0</v>
      </c>
      <c r="AH26" s="28">
        <f>IF(B26="","",B26&amp;"|"&amp;COUNTIF($B$5:$B26,B26))</f>
        <v>0</v>
      </c>
      <c r="AI26" s="28">
        <f>IF(E26="","",E26&amp;"|"&amp;COUNTIF($E$5:$E26,E26))</f>
        <v>0</v>
      </c>
      <c r="AJ26" s="49">
        <f>IF(C26="","",IF(AE26="Missed","Missed visit - contact client",IF(Z26="Yes","Incident logged - follow up",IF(AND(AE26="Completed",AC26&lt;&gt;"Yes"),"Action - send client update",IF(AND(AE26="Completed",AD26&lt;&gt;"Yes"),"Check care checklist",IF(AND(C26&lt;TODAY(),AE26="Scheduled"),"Overdue - log the result","OK"))))))</f>
        <v>0</v>
      </c>
    </row>
    <row r="27" spans="1:36">
      <c r="A27" s="46">
        <f>IF(C27="","","VS-"&amp;TEXT(ROW()-4,"0000"))</f>
        <v>0</v>
      </c>
      <c r="D27" s="28">
        <f>IF(B27="","",IFERROR(INDEX(Bookings!$C$5:$C$404,MATCH(B27,Bookings!$A$5:$A$404,0)),""))</f>
        <v>0</v>
      </c>
      <c r="E27" s="28">
        <f>IF(B27="","",IFERROR(INDEX(Bookings!$E$5:$E$404,MATCH(B27,Bookings!$A$5:$A$404,0)),""))</f>
        <v>0</v>
      </c>
      <c r="F27" s="28">
        <f>IF(B27="","",IFERROR(INDEX(Bookings!$H$5:$H$404,MATCH(B27,Bookings!$A$5:$A$404,0)),""))</f>
        <v>0</v>
      </c>
      <c r="H27" s="53">
        <f>IF(B27="","",IFERROR(INDEX(Bookings!$K$5:$K$404,MATCH(B27,Bookings!$A$5:$A$404,0)),""))</f>
        <v>0</v>
      </c>
      <c r="K27" s="31">
        <f>IF(OR(I27="",J27=""),"",ROUND((J27-I27+IF(J27&lt;I27,1,0))*1440,0))</f>
        <v>0</v>
      </c>
      <c r="L27" s="49">
        <f>IF(OR(I27="",H27=""),"",IF(I27&lt;=H27+TIME(0,10,0),"On time","Late "&amp;TEXT((I27-H27)*1440,"0")&amp;" min"))</f>
        <v>0</v>
      </c>
      <c r="O27" s="31">
        <f>IF(OR(M27="",N27=""),"",ROUND((N27-M27+IF(N27&lt;M27,1,0))*1440,0))</f>
        <v>0</v>
      </c>
      <c r="AG27" s="28">
        <f>IF(C27="","",TEXT(C27,"yyyy-mm"))</f>
        <v>0</v>
      </c>
      <c r="AH27" s="28">
        <f>IF(B27="","",B27&amp;"|"&amp;COUNTIF($B$5:$B27,B27))</f>
        <v>0</v>
      </c>
      <c r="AI27" s="28">
        <f>IF(E27="","",E27&amp;"|"&amp;COUNTIF($E$5:$E27,E27))</f>
        <v>0</v>
      </c>
      <c r="AJ27" s="49">
        <f>IF(C27="","",IF(AE27="Missed","Missed visit - contact client",IF(Z27="Yes","Incident logged - follow up",IF(AND(AE27="Completed",AC27&lt;&gt;"Yes"),"Action - send client update",IF(AND(AE27="Completed",AD27&lt;&gt;"Yes"),"Check care checklist",IF(AND(C27&lt;TODAY(),AE27="Scheduled"),"Overdue - log the result","OK"))))))</f>
        <v>0</v>
      </c>
    </row>
    <row r="28" spans="1:36">
      <c r="A28" s="46">
        <f>IF(C28="","","VS-"&amp;TEXT(ROW()-4,"0000"))</f>
        <v>0</v>
      </c>
      <c r="D28" s="28">
        <f>IF(B28="","",IFERROR(INDEX(Bookings!$C$5:$C$404,MATCH(B28,Bookings!$A$5:$A$404,0)),""))</f>
        <v>0</v>
      </c>
      <c r="E28" s="28">
        <f>IF(B28="","",IFERROR(INDEX(Bookings!$E$5:$E$404,MATCH(B28,Bookings!$A$5:$A$404,0)),""))</f>
        <v>0</v>
      </c>
      <c r="F28" s="28">
        <f>IF(B28="","",IFERROR(INDEX(Bookings!$H$5:$H$404,MATCH(B28,Bookings!$A$5:$A$404,0)),""))</f>
        <v>0</v>
      </c>
      <c r="H28" s="53">
        <f>IF(B28="","",IFERROR(INDEX(Bookings!$K$5:$K$404,MATCH(B28,Bookings!$A$5:$A$404,0)),""))</f>
        <v>0</v>
      </c>
      <c r="K28" s="31">
        <f>IF(OR(I28="",J28=""),"",ROUND((J28-I28+IF(J28&lt;I28,1,0))*1440,0))</f>
        <v>0</v>
      </c>
      <c r="L28" s="49">
        <f>IF(OR(I28="",H28=""),"",IF(I28&lt;=H28+TIME(0,10,0),"On time","Late "&amp;TEXT((I28-H28)*1440,"0")&amp;" min"))</f>
        <v>0</v>
      </c>
      <c r="O28" s="31">
        <f>IF(OR(M28="",N28=""),"",ROUND((N28-M28+IF(N28&lt;M28,1,0))*1440,0))</f>
        <v>0</v>
      </c>
      <c r="AG28" s="28">
        <f>IF(C28="","",TEXT(C28,"yyyy-mm"))</f>
        <v>0</v>
      </c>
      <c r="AH28" s="28">
        <f>IF(B28="","",B28&amp;"|"&amp;COUNTIF($B$5:$B28,B28))</f>
        <v>0</v>
      </c>
      <c r="AI28" s="28">
        <f>IF(E28="","",E28&amp;"|"&amp;COUNTIF($E$5:$E28,E28))</f>
        <v>0</v>
      </c>
      <c r="AJ28" s="49">
        <f>IF(C28="","",IF(AE28="Missed","Missed visit - contact client",IF(Z28="Yes","Incident logged - follow up",IF(AND(AE28="Completed",AC28&lt;&gt;"Yes"),"Action - send client update",IF(AND(AE28="Completed",AD28&lt;&gt;"Yes"),"Check care checklist",IF(AND(C28&lt;TODAY(),AE28="Scheduled"),"Overdue - log the result","OK"))))))</f>
        <v>0</v>
      </c>
    </row>
    <row r="29" spans="1:36">
      <c r="A29" s="46">
        <f>IF(C29="","","VS-"&amp;TEXT(ROW()-4,"0000"))</f>
        <v>0</v>
      </c>
      <c r="D29" s="28">
        <f>IF(B29="","",IFERROR(INDEX(Bookings!$C$5:$C$404,MATCH(B29,Bookings!$A$5:$A$404,0)),""))</f>
        <v>0</v>
      </c>
      <c r="E29" s="28">
        <f>IF(B29="","",IFERROR(INDEX(Bookings!$E$5:$E$404,MATCH(B29,Bookings!$A$5:$A$404,0)),""))</f>
        <v>0</v>
      </c>
      <c r="F29" s="28">
        <f>IF(B29="","",IFERROR(INDEX(Bookings!$H$5:$H$404,MATCH(B29,Bookings!$A$5:$A$404,0)),""))</f>
        <v>0</v>
      </c>
      <c r="H29" s="53">
        <f>IF(B29="","",IFERROR(INDEX(Bookings!$K$5:$K$404,MATCH(B29,Bookings!$A$5:$A$404,0)),""))</f>
        <v>0</v>
      </c>
      <c r="K29" s="31">
        <f>IF(OR(I29="",J29=""),"",ROUND((J29-I29+IF(J29&lt;I29,1,0))*1440,0))</f>
        <v>0</v>
      </c>
      <c r="L29" s="49">
        <f>IF(OR(I29="",H29=""),"",IF(I29&lt;=H29+TIME(0,10,0),"On time","Late "&amp;TEXT((I29-H29)*1440,"0")&amp;" min"))</f>
        <v>0</v>
      </c>
      <c r="O29" s="31">
        <f>IF(OR(M29="",N29=""),"",ROUND((N29-M29+IF(N29&lt;M29,1,0))*1440,0))</f>
        <v>0</v>
      </c>
      <c r="AG29" s="28">
        <f>IF(C29="","",TEXT(C29,"yyyy-mm"))</f>
        <v>0</v>
      </c>
      <c r="AH29" s="28">
        <f>IF(B29="","",B29&amp;"|"&amp;COUNTIF($B$5:$B29,B29))</f>
        <v>0</v>
      </c>
      <c r="AI29" s="28">
        <f>IF(E29="","",E29&amp;"|"&amp;COUNTIF($E$5:$E29,E29))</f>
        <v>0</v>
      </c>
      <c r="AJ29" s="49">
        <f>IF(C29="","",IF(AE29="Missed","Missed visit - contact client",IF(Z29="Yes","Incident logged - follow up",IF(AND(AE29="Completed",AC29&lt;&gt;"Yes"),"Action - send client update",IF(AND(AE29="Completed",AD29&lt;&gt;"Yes"),"Check care checklist",IF(AND(C29&lt;TODAY(),AE29="Scheduled"),"Overdue - log the result","OK"))))))</f>
        <v>0</v>
      </c>
    </row>
    <row r="30" spans="1:36">
      <c r="A30" s="46">
        <f>IF(C30="","","VS-"&amp;TEXT(ROW()-4,"0000"))</f>
        <v>0</v>
      </c>
      <c r="D30" s="28">
        <f>IF(B30="","",IFERROR(INDEX(Bookings!$C$5:$C$404,MATCH(B30,Bookings!$A$5:$A$404,0)),""))</f>
        <v>0</v>
      </c>
      <c r="E30" s="28">
        <f>IF(B30="","",IFERROR(INDEX(Bookings!$E$5:$E$404,MATCH(B30,Bookings!$A$5:$A$404,0)),""))</f>
        <v>0</v>
      </c>
      <c r="F30" s="28">
        <f>IF(B30="","",IFERROR(INDEX(Bookings!$H$5:$H$404,MATCH(B30,Bookings!$A$5:$A$404,0)),""))</f>
        <v>0</v>
      </c>
      <c r="H30" s="53">
        <f>IF(B30="","",IFERROR(INDEX(Bookings!$K$5:$K$404,MATCH(B30,Bookings!$A$5:$A$404,0)),""))</f>
        <v>0</v>
      </c>
      <c r="K30" s="31">
        <f>IF(OR(I30="",J30=""),"",ROUND((J30-I30+IF(J30&lt;I30,1,0))*1440,0))</f>
        <v>0</v>
      </c>
      <c r="L30" s="49">
        <f>IF(OR(I30="",H30=""),"",IF(I30&lt;=H30+TIME(0,10,0),"On time","Late "&amp;TEXT((I30-H30)*1440,"0")&amp;" min"))</f>
        <v>0</v>
      </c>
      <c r="O30" s="31">
        <f>IF(OR(M30="",N30=""),"",ROUND((N30-M30+IF(N30&lt;M30,1,0))*1440,0))</f>
        <v>0</v>
      </c>
      <c r="AG30" s="28">
        <f>IF(C30="","",TEXT(C30,"yyyy-mm"))</f>
        <v>0</v>
      </c>
      <c r="AH30" s="28">
        <f>IF(B30="","",B30&amp;"|"&amp;COUNTIF($B$5:$B30,B30))</f>
        <v>0</v>
      </c>
      <c r="AI30" s="28">
        <f>IF(E30="","",E30&amp;"|"&amp;COUNTIF($E$5:$E30,E30))</f>
        <v>0</v>
      </c>
      <c r="AJ30" s="49">
        <f>IF(C30="","",IF(AE30="Missed","Missed visit - contact client",IF(Z30="Yes","Incident logged - follow up",IF(AND(AE30="Completed",AC30&lt;&gt;"Yes"),"Action - send client update",IF(AND(AE30="Completed",AD30&lt;&gt;"Yes"),"Check care checklist",IF(AND(C30&lt;TODAY(),AE30="Scheduled"),"Overdue - log the result","OK"))))))</f>
        <v>0</v>
      </c>
    </row>
    <row r="31" spans="1:36">
      <c r="A31" s="46">
        <f>IF(C31="","","VS-"&amp;TEXT(ROW()-4,"0000"))</f>
        <v>0</v>
      </c>
      <c r="D31" s="28">
        <f>IF(B31="","",IFERROR(INDEX(Bookings!$C$5:$C$404,MATCH(B31,Bookings!$A$5:$A$404,0)),""))</f>
        <v>0</v>
      </c>
      <c r="E31" s="28">
        <f>IF(B31="","",IFERROR(INDEX(Bookings!$E$5:$E$404,MATCH(B31,Bookings!$A$5:$A$404,0)),""))</f>
        <v>0</v>
      </c>
      <c r="F31" s="28">
        <f>IF(B31="","",IFERROR(INDEX(Bookings!$H$5:$H$404,MATCH(B31,Bookings!$A$5:$A$404,0)),""))</f>
        <v>0</v>
      </c>
      <c r="H31" s="53">
        <f>IF(B31="","",IFERROR(INDEX(Bookings!$K$5:$K$404,MATCH(B31,Bookings!$A$5:$A$404,0)),""))</f>
        <v>0</v>
      </c>
      <c r="K31" s="31">
        <f>IF(OR(I31="",J31=""),"",ROUND((J31-I31+IF(J31&lt;I31,1,0))*1440,0))</f>
        <v>0</v>
      </c>
      <c r="L31" s="49">
        <f>IF(OR(I31="",H31=""),"",IF(I31&lt;=H31+TIME(0,10,0),"On time","Late "&amp;TEXT((I31-H31)*1440,"0")&amp;" min"))</f>
        <v>0</v>
      </c>
      <c r="O31" s="31">
        <f>IF(OR(M31="",N31=""),"",ROUND((N31-M31+IF(N31&lt;M31,1,0))*1440,0))</f>
        <v>0</v>
      </c>
      <c r="AG31" s="28">
        <f>IF(C31="","",TEXT(C31,"yyyy-mm"))</f>
        <v>0</v>
      </c>
      <c r="AH31" s="28">
        <f>IF(B31="","",B31&amp;"|"&amp;COUNTIF($B$5:$B31,B31))</f>
        <v>0</v>
      </c>
      <c r="AI31" s="28">
        <f>IF(E31="","",E31&amp;"|"&amp;COUNTIF($E$5:$E31,E31))</f>
        <v>0</v>
      </c>
      <c r="AJ31" s="49">
        <f>IF(C31="","",IF(AE31="Missed","Missed visit - contact client",IF(Z31="Yes","Incident logged - follow up",IF(AND(AE31="Completed",AC31&lt;&gt;"Yes"),"Action - send client update",IF(AND(AE31="Completed",AD31&lt;&gt;"Yes"),"Check care checklist",IF(AND(C31&lt;TODAY(),AE31="Scheduled"),"Overdue - log the result","OK"))))))</f>
        <v>0</v>
      </c>
    </row>
    <row r="32" spans="1:36">
      <c r="A32" s="46">
        <f>IF(C32="","","VS-"&amp;TEXT(ROW()-4,"0000"))</f>
        <v>0</v>
      </c>
      <c r="D32" s="28">
        <f>IF(B32="","",IFERROR(INDEX(Bookings!$C$5:$C$404,MATCH(B32,Bookings!$A$5:$A$404,0)),""))</f>
        <v>0</v>
      </c>
      <c r="E32" s="28">
        <f>IF(B32="","",IFERROR(INDEX(Bookings!$E$5:$E$404,MATCH(B32,Bookings!$A$5:$A$404,0)),""))</f>
        <v>0</v>
      </c>
      <c r="F32" s="28">
        <f>IF(B32="","",IFERROR(INDEX(Bookings!$H$5:$H$404,MATCH(B32,Bookings!$A$5:$A$404,0)),""))</f>
        <v>0</v>
      </c>
      <c r="H32" s="53">
        <f>IF(B32="","",IFERROR(INDEX(Bookings!$K$5:$K$404,MATCH(B32,Bookings!$A$5:$A$404,0)),""))</f>
        <v>0</v>
      </c>
      <c r="K32" s="31">
        <f>IF(OR(I32="",J32=""),"",ROUND((J32-I32+IF(J32&lt;I32,1,0))*1440,0))</f>
        <v>0</v>
      </c>
      <c r="L32" s="49">
        <f>IF(OR(I32="",H32=""),"",IF(I32&lt;=H32+TIME(0,10,0),"On time","Late "&amp;TEXT((I32-H32)*1440,"0")&amp;" min"))</f>
        <v>0</v>
      </c>
      <c r="O32" s="31">
        <f>IF(OR(M32="",N32=""),"",ROUND((N32-M32+IF(N32&lt;M32,1,0))*1440,0))</f>
        <v>0</v>
      </c>
      <c r="AG32" s="28">
        <f>IF(C32="","",TEXT(C32,"yyyy-mm"))</f>
        <v>0</v>
      </c>
      <c r="AH32" s="28">
        <f>IF(B32="","",B32&amp;"|"&amp;COUNTIF($B$5:$B32,B32))</f>
        <v>0</v>
      </c>
      <c r="AI32" s="28">
        <f>IF(E32="","",E32&amp;"|"&amp;COUNTIF($E$5:$E32,E32))</f>
        <v>0</v>
      </c>
      <c r="AJ32" s="49">
        <f>IF(C32="","",IF(AE32="Missed","Missed visit - contact client",IF(Z32="Yes","Incident logged - follow up",IF(AND(AE32="Completed",AC32&lt;&gt;"Yes"),"Action - send client update",IF(AND(AE32="Completed",AD32&lt;&gt;"Yes"),"Check care checklist",IF(AND(C32&lt;TODAY(),AE32="Scheduled"),"Overdue - log the result","OK"))))))</f>
        <v>0</v>
      </c>
    </row>
    <row r="33" spans="1:36">
      <c r="A33" s="46">
        <f>IF(C33="","","VS-"&amp;TEXT(ROW()-4,"0000"))</f>
        <v>0</v>
      </c>
      <c r="D33" s="28">
        <f>IF(B33="","",IFERROR(INDEX(Bookings!$C$5:$C$404,MATCH(B33,Bookings!$A$5:$A$404,0)),""))</f>
        <v>0</v>
      </c>
      <c r="E33" s="28">
        <f>IF(B33="","",IFERROR(INDEX(Bookings!$E$5:$E$404,MATCH(B33,Bookings!$A$5:$A$404,0)),""))</f>
        <v>0</v>
      </c>
      <c r="F33" s="28">
        <f>IF(B33="","",IFERROR(INDEX(Bookings!$H$5:$H$404,MATCH(B33,Bookings!$A$5:$A$404,0)),""))</f>
        <v>0</v>
      </c>
      <c r="H33" s="53">
        <f>IF(B33="","",IFERROR(INDEX(Bookings!$K$5:$K$404,MATCH(B33,Bookings!$A$5:$A$404,0)),""))</f>
        <v>0</v>
      </c>
      <c r="K33" s="31">
        <f>IF(OR(I33="",J33=""),"",ROUND((J33-I33+IF(J33&lt;I33,1,0))*1440,0))</f>
        <v>0</v>
      </c>
      <c r="L33" s="49">
        <f>IF(OR(I33="",H33=""),"",IF(I33&lt;=H33+TIME(0,10,0),"On time","Late "&amp;TEXT((I33-H33)*1440,"0")&amp;" min"))</f>
        <v>0</v>
      </c>
      <c r="O33" s="31">
        <f>IF(OR(M33="",N33=""),"",ROUND((N33-M33+IF(N33&lt;M33,1,0))*1440,0))</f>
        <v>0</v>
      </c>
      <c r="AG33" s="28">
        <f>IF(C33="","",TEXT(C33,"yyyy-mm"))</f>
        <v>0</v>
      </c>
      <c r="AH33" s="28">
        <f>IF(B33="","",B33&amp;"|"&amp;COUNTIF($B$5:$B33,B33))</f>
        <v>0</v>
      </c>
      <c r="AI33" s="28">
        <f>IF(E33="","",E33&amp;"|"&amp;COUNTIF($E$5:$E33,E33))</f>
        <v>0</v>
      </c>
      <c r="AJ33" s="49">
        <f>IF(C33="","",IF(AE33="Missed","Missed visit - contact client",IF(Z33="Yes","Incident logged - follow up",IF(AND(AE33="Completed",AC33&lt;&gt;"Yes"),"Action - send client update",IF(AND(AE33="Completed",AD33&lt;&gt;"Yes"),"Check care checklist",IF(AND(C33&lt;TODAY(),AE33="Scheduled"),"Overdue - log the result","OK"))))))</f>
        <v>0</v>
      </c>
    </row>
    <row r="34" spans="1:36">
      <c r="A34" s="46">
        <f>IF(C34="","","VS-"&amp;TEXT(ROW()-4,"0000"))</f>
        <v>0</v>
      </c>
      <c r="D34" s="28">
        <f>IF(B34="","",IFERROR(INDEX(Bookings!$C$5:$C$404,MATCH(B34,Bookings!$A$5:$A$404,0)),""))</f>
        <v>0</v>
      </c>
      <c r="E34" s="28">
        <f>IF(B34="","",IFERROR(INDEX(Bookings!$E$5:$E$404,MATCH(B34,Bookings!$A$5:$A$404,0)),""))</f>
        <v>0</v>
      </c>
      <c r="F34" s="28">
        <f>IF(B34="","",IFERROR(INDEX(Bookings!$H$5:$H$404,MATCH(B34,Bookings!$A$5:$A$404,0)),""))</f>
        <v>0</v>
      </c>
      <c r="H34" s="53">
        <f>IF(B34="","",IFERROR(INDEX(Bookings!$K$5:$K$404,MATCH(B34,Bookings!$A$5:$A$404,0)),""))</f>
        <v>0</v>
      </c>
      <c r="K34" s="31">
        <f>IF(OR(I34="",J34=""),"",ROUND((J34-I34+IF(J34&lt;I34,1,0))*1440,0))</f>
        <v>0</v>
      </c>
      <c r="L34" s="49">
        <f>IF(OR(I34="",H34=""),"",IF(I34&lt;=H34+TIME(0,10,0),"On time","Late "&amp;TEXT((I34-H34)*1440,"0")&amp;" min"))</f>
        <v>0</v>
      </c>
      <c r="O34" s="31">
        <f>IF(OR(M34="",N34=""),"",ROUND((N34-M34+IF(N34&lt;M34,1,0))*1440,0))</f>
        <v>0</v>
      </c>
      <c r="AG34" s="28">
        <f>IF(C34="","",TEXT(C34,"yyyy-mm"))</f>
        <v>0</v>
      </c>
      <c r="AH34" s="28">
        <f>IF(B34="","",B34&amp;"|"&amp;COUNTIF($B$5:$B34,B34))</f>
        <v>0</v>
      </c>
      <c r="AI34" s="28">
        <f>IF(E34="","",E34&amp;"|"&amp;COUNTIF($E$5:$E34,E34))</f>
        <v>0</v>
      </c>
      <c r="AJ34" s="49">
        <f>IF(C34="","",IF(AE34="Missed","Missed visit - contact client",IF(Z34="Yes","Incident logged - follow up",IF(AND(AE34="Completed",AC34&lt;&gt;"Yes"),"Action - send client update",IF(AND(AE34="Completed",AD34&lt;&gt;"Yes"),"Check care checklist",IF(AND(C34&lt;TODAY(),AE34="Scheduled"),"Overdue - log the result","OK"))))))</f>
        <v>0</v>
      </c>
    </row>
    <row r="35" spans="1:36">
      <c r="A35" s="46">
        <f>IF(C35="","","VS-"&amp;TEXT(ROW()-4,"0000"))</f>
        <v>0</v>
      </c>
      <c r="D35" s="28">
        <f>IF(B35="","",IFERROR(INDEX(Bookings!$C$5:$C$404,MATCH(B35,Bookings!$A$5:$A$404,0)),""))</f>
        <v>0</v>
      </c>
      <c r="E35" s="28">
        <f>IF(B35="","",IFERROR(INDEX(Bookings!$E$5:$E$404,MATCH(B35,Bookings!$A$5:$A$404,0)),""))</f>
        <v>0</v>
      </c>
      <c r="F35" s="28">
        <f>IF(B35="","",IFERROR(INDEX(Bookings!$H$5:$H$404,MATCH(B35,Bookings!$A$5:$A$404,0)),""))</f>
        <v>0</v>
      </c>
      <c r="H35" s="53">
        <f>IF(B35="","",IFERROR(INDEX(Bookings!$K$5:$K$404,MATCH(B35,Bookings!$A$5:$A$404,0)),""))</f>
        <v>0</v>
      </c>
      <c r="K35" s="31">
        <f>IF(OR(I35="",J35=""),"",ROUND((J35-I35+IF(J35&lt;I35,1,0))*1440,0))</f>
        <v>0</v>
      </c>
      <c r="L35" s="49">
        <f>IF(OR(I35="",H35=""),"",IF(I35&lt;=H35+TIME(0,10,0),"On time","Late "&amp;TEXT((I35-H35)*1440,"0")&amp;" min"))</f>
        <v>0</v>
      </c>
      <c r="O35" s="31">
        <f>IF(OR(M35="",N35=""),"",ROUND((N35-M35+IF(N35&lt;M35,1,0))*1440,0))</f>
        <v>0</v>
      </c>
      <c r="AG35" s="28">
        <f>IF(C35="","",TEXT(C35,"yyyy-mm"))</f>
        <v>0</v>
      </c>
      <c r="AH35" s="28">
        <f>IF(B35="","",B35&amp;"|"&amp;COUNTIF($B$5:$B35,B35))</f>
        <v>0</v>
      </c>
      <c r="AI35" s="28">
        <f>IF(E35="","",E35&amp;"|"&amp;COUNTIF($E$5:$E35,E35))</f>
        <v>0</v>
      </c>
      <c r="AJ35" s="49">
        <f>IF(C35="","",IF(AE35="Missed","Missed visit - contact client",IF(Z35="Yes","Incident logged - follow up",IF(AND(AE35="Completed",AC35&lt;&gt;"Yes"),"Action - send client update",IF(AND(AE35="Completed",AD35&lt;&gt;"Yes"),"Check care checklist",IF(AND(C35&lt;TODAY(),AE35="Scheduled"),"Overdue - log the result","OK"))))))</f>
        <v>0</v>
      </c>
    </row>
    <row r="36" spans="1:36">
      <c r="A36" s="46">
        <f>IF(C36="","","VS-"&amp;TEXT(ROW()-4,"0000"))</f>
        <v>0</v>
      </c>
      <c r="D36" s="28">
        <f>IF(B36="","",IFERROR(INDEX(Bookings!$C$5:$C$404,MATCH(B36,Bookings!$A$5:$A$404,0)),""))</f>
        <v>0</v>
      </c>
      <c r="E36" s="28">
        <f>IF(B36="","",IFERROR(INDEX(Bookings!$E$5:$E$404,MATCH(B36,Bookings!$A$5:$A$404,0)),""))</f>
        <v>0</v>
      </c>
      <c r="F36" s="28">
        <f>IF(B36="","",IFERROR(INDEX(Bookings!$H$5:$H$404,MATCH(B36,Bookings!$A$5:$A$404,0)),""))</f>
        <v>0</v>
      </c>
      <c r="H36" s="53">
        <f>IF(B36="","",IFERROR(INDEX(Bookings!$K$5:$K$404,MATCH(B36,Bookings!$A$5:$A$404,0)),""))</f>
        <v>0</v>
      </c>
      <c r="K36" s="31">
        <f>IF(OR(I36="",J36=""),"",ROUND((J36-I36+IF(J36&lt;I36,1,0))*1440,0))</f>
        <v>0</v>
      </c>
      <c r="L36" s="49">
        <f>IF(OR(I36="",H36=""),"",IF(I36&lt;=H36+TIME(0,10,0),"On time","Late "&amp;TEXT((I36-H36)*1440,"0")&amp;" min"))</f>
        <v>0</v>
      </c>
      <c r="O36" s="31">
        <f>IF(OR(M36="",N36=""),"",ROUND((N36-M36+IF(N36&lt;M36,1,0))*1440,0))</f>
        <v>0</v>
      </c>
      <c r="AG36" s="28">
        <f>IF(C36="","",TEXT(C36,"yyyy-mm"))</f>
        <v>0</v>
      </c>
      <c r="AH36" s="28">
        <f>IF(B36="","",B36&amp;"|"&amp;COUNTIF($B$5:$B36,B36))</f>
        <v>0</v>
      </c>
      <c r="AI36" s="28">
        <f>IF(E36="","",E36&amp;"|"&amp;COUNTIF($E$5:$E36,E36))</f>
        <v>0</v>
      </c>
      <c r="AJ36" s="49">
        <f>IF(C36="","",IF(AE36="Missed","Missed visit - contact client",IF(Z36="Yes","Incident logged - follow up",IF(AND(AE36="Completed",AC36&lt;&gt;"Yes"),"Action - send client update",IF(AND(AE36="Completed",AD36&lt;&gt;"Yes"),"Check care checklist",IF(AND(C36&lt;TODAY(),AE36="Scheduled"),"Overdue - log the result","OK"))))))</f>
        <v>0</v>
      </c>
    </row>
    <row r="37" spans="1:36">
      <c r="A37" s="46">
        <f>IF(C37="","","VS-"&amp;TEXT(ROW()-4,"0000"))</f>
        <v>0</v>
      </c>
      <c r="D37" s="28">
        <f>IF(B37="","",IFERROR(INDEX(Bookings!$C$5:$C$404,MATCH(B37,Bookings!$A$5:$A$404,0)),""))</f>
        <v>0</v>
      </c>
      <c r="E37" s="28">
        <f>IF(B37="","",IFERROR(INDEX(Bookings!$E$5:$E$404,MATCH(B37,Bookings!$A$5:$A$404,0)),""))</f>
        <v>0</v>
      </c>
      <c r="F37" s="28">
        <f>IF(B37="","",IFERROR(INDEX(Bookings!$H$5:$H$404,MATCH(B37,Bookings!$A$5:$A$404,0)),""))</f>
        <v>0</v>
      </c>
      <c r="H37" s="53">
        <f>IF(B37="","",IFERROR(INDEX(Bookings!$K$5:$K$404,MATCH(B37,Bookings!$A$5:$A$404,0)),""))</f>
        <v>0</v>
      </c>
      <c r="K37" s="31">
        <f>IF(OR(I37="",J37=""),"",ROUND((J37-I37+IF(J37&lt;I37,1,0))*1440,0))</f>
        <v>0</v>
      </c>
      <c r="L37" s="49">
        <f>IF(OR(I37="",H37=""),"",IF(I37&lt;=H37+TIME(0,10,0),"On time","Late "&amp;TEXT((I37-H37)*1440,"0")&amp;" min"))</f>
        <v>0</v>
      </c>
      <c r="O37" s="31">
        <f>IF(OR(M37="",N37=""),"",ROUND((N37-M37+IF(N37&lt;M37,1,0))*1440,0))</f>
        <v>0</v>
      </c>
      <c r="AG37" s="28">
        <f>IF(C37="","",TEXT(C37,"yyyy-mm"))</f>
        <v>0</v>
      </c>
      <c r="AH37" s="28">
        <f>IF(B37="","",B37&amp;"|"&amp;COUNTIF($B$5:$B37,B37))</f>
        <v>0</v>
      </c>
      <c r="AI37" s="28">
        <f>IF(E37="","",E37&amp;"|"&amp;COUNTIF($E$5:$E37,E37))</f>
        <v>0</v>
      </c>
      <c r="AJ37" s="49">
        <f>IF(C37="","",IF(AE37="Missed","Missed visit - contact client",IF(Z37="Yes","Incident logged - follow up",IF(AND(AE37="Completed",AC37&lt;&gt;"Yes"),"Action - send client update",IF(AND(AE37="Completed",AD37&lt;&gt;"Yes"),"Check care checklist",IF(AND(C37&lt;TODAY(),AE37="Scheduled"),"Overdue - log the result","OK"))))))</f>
        <v>0</v>
      </c>
    </row>
    <row r="38" spans="1:36">
      <c r="A38" s="46">
        <f>IF(C38="","","VS-"&amp;TEXT(ROW()-4,"0000"))</f>
        <v>0</v>
      </c>
      <c r="D38" s="28">
        <f>IF(B38="","",IFERROR(INDEX(Bookings!$C$5:$C$404,MATCH(B38,Bookings!$A$5:$A$404,0)),""))</f>
        <v>0</v>
      </c>
      <c r="E38" s="28">
        <f>IF(B38="","",IFERROR(INDEX(Bookings!$E$5:$E$404,MATCH(B38,Bookings!$A$5:$A$404,0)),""))</f>
        <v>0</v>
      </c>
      <c r="F38" s="28">
        <f>IF(B38="","",IFERROR(INDEX(Bookings!$H$5:$H$404,MATCH(B38,Bookings!$A$5:$A$404,0)),""))</f>
        <v>0</v>
      </c>
      <c r="H38" s="53">
        <f>IF(B38="","",IFERROR(INDEX(Bookings!$K$5:$K$404,MATCH(B38,Bookings!$A$5:$A$404,0)),""))</f>
        <v>0</v>
      </c>
      <c r="K38" s="31">
        <f>IF(OR(I38="",J38=""),"",ROUND((J38-I38+IF(J38&lt;I38,1,0))*1440,0))</f>
        <v>0</v>
      </c>
      <c r="L38" s="49">
        <f>IF(OR(I38="",H38=""),"",IF(I38&lt;=H38+TIME(0,10,0),"On time","Late "&amp;TEXT((I38-H38)*1440,"0")&amp;" min"))</f>
        <v>0</v>
      </c>
      <c r="O38" s="31">
        <f>IF(OR(M38="",N38=""),"",ROUND((N38-M38+IF(N38&lt;M38,1,0))*1440,0))</f>
        <v>0</v>
      </c>
      <c r="AG38" s="28">
        <f>IF(C38="","",TEXT(C38,"yyyy-mm"))</f>
        <v>0</v>
      </c>
      <c r="AH38" s="28">
        <f>IF(B38="","",B38&amp;"|"&amp;COUNTIF($B$5:$B38,B38))</f>
        <v>0</v>
      </c>
      <c r="AI38" s="28">
        <f>IF(E38="","",E38&amp;"|"&amp;COUNTIF($E$5:$E38,E38))</f>
        <v>0</v>
      </c>
      <c r="AJ38" s="49">
        <f>IF(C38="","",IF(AE38="Missed","Missed visit - contact client",IF(Z38="Yes","Incident logged - follow up",IF(AND(AE38="Completed",AC38&lt;&gt;"Yes"),"Action - send client update",IF(AND(AE38="Completed",AD38&lt;&gt;"Yes"),"Check care checklist",IF(AND(C38&lt;TODAY(),AE38="Scheduled"),"Overdue - log the result","OK"))))))</f>
        <v>0</v>
      </c>
    </row>
    <row r="39" spans="1:36">
      <c r="A39" s="46">
        <f>IF(C39="","","VS-"&amp;TEXT(ROW()-4,"0000"))</f>
        <v>0</v>
      </c>
      <c r="D39" s="28">
        <f>IF(B39="","",IFERROR(INDEX(Bookings!$C$5:$C$404,MATCH(B39,Bookings!$A$5:$A$404,0)),""))</f>
        <v>0</v>
      </c>
      <c r="E39" s="28">
        <f>IF(B39="","",IFERROR(INDEX(Bookings!$E$5:$E$404,MATCH(B39,Bookings!$A$5:$A$404,0)),""))</f>
        <v>0</v>
      </c>
      <c r="F39" s="28">
        <f>IF(B39="","",IFERROR(INDEX(Bookings!$H$5:$H$404,MATCH(B39,Bookings!$A$5:$A$404,0)),""))</f>
        <v>0</v>
      </c>
      <c r="H39" s="53">
        <f>IF(B39="","",IFERROR(INDEX(Bookings!$K$5:$K$404,MATCH(B39,Bookings!$A$5:$A$404,0)),""))</f>
        <v>0</v>
      </c>
      <c r="K39" s="31">
        <f>IF(OR(I39="",J39=""),"",ROUND((J39-I39+IF(J39&lt;I39,1,0))*1440,0))</f>
        <v>0</v>
      </c>
      <c r="L39" s="49">
        <f>IF(OR(I39="",H39=""),"",IF(I39&lt;=H39+TIME(0,10,0),"On time","Late "&amp;TEXT((I39-H39)*1440,"0")&amp;" min"))</f>
        <v>0</v>
      </c>
      <c r="O39" s="31">
        <f>IF(OR(M39="",N39=""),"",ROUND((N39-M39+IF(N39&lt;M39,1,0))*1440,0))</f>
        <v>0</v>
      </c>
      <c r="AG39" s="28">
        <f>IF(C39="","",TEXT(C39,"yyyy-mm"))</f>
        <v>0</v>
      </c>
      <c r="AH39" s="28">
        <f>IF(B39="","",B39&amp;"|"&amp;COUNTIF($B$5:$B39,B39))</f>
        <v>0</v>
      </c>
      <c r="AI39" s="28">
        <f>IF(E39="","",E39&amp;"|"&amp;COUNTIF($E$5:$E39,E39))</f>
        <v>0</v>
      </c>
      <c r="AJ39" s="49">
        <f>IF(C39="","",IF(AE39="Missed","Missed visit - contact client",IF(Z39="Yes","Incident logged - follow up",IF(AND(AE39="Completed",AC39&lt;&gt;"Yes"),"Action - send client update",IF(AND(AE39="Completed",AD39&lt;&gt;"Yes"),"Check care checklist",IF(AND(C39&lt;TODAY(),AE39="Scheduled"),"Overdue - log the result","OK"))))))</f>
        <v>0</v>
      </c>
    </row>
    <row r="40" spans="1:36">
      <c r="A40" s="46">
        <f>IF(C40="","","VS-"&amp;TEXT(ROW()-4,"0000"))</f>
        <v>0</v>
      </c>
      <c r="D40" s="28">
        <f>IF(B40="","",IFERROR(INDEX(Bookings!$C$5:$C$404,MATCH(B40,Bookings!$A$5:$A$404,0)),""))</f>
        <v>0</v>
      </c>
      <c r="E40" s="28">
        <f>IF(B40="","",IFERROR(INDEX(Bookings!$E$5:$E$404,MATCH(B40,Bookings!$A$5:$A$404,0)),""))</f>
        <v>0</v>
      </c>
      <c r="F40" s="28">
        <f>IF(B40="","",IFERROR(INDEX(Bookings!$H$5:$H$404,MATCH(B40,Bookings!$A$5:$A$404,0)),""))</f>
        <v>0</v>
      </c>
      <c r="H40" s="53">
        <f>IF(B40="","",IFERROR(INDEX(Bookings!$K$5:$K$404,MATCH(B40,Bookings!$A$5:$A$404,0)),""))</f>
        <v>0</v>
      </c>
      <c r="K40" s="31">
        <f>IF(OR(I40="",J40=""),"",ROUND((J40-I40+IF(J40&lt;I40,1,0))*1440,0))</f>
        <v>0</v>
      </c>
      <c r="L40" s="49">
        <f>IF(OR(I40="",H40=""),"",IF(I40&lt;=H40+TIME(0,10,0),"On time","Late "&amp;TEXT((I40-H40)*1440,"0")&amp;" min"))</f>
        <v>0</v>
      </c>
      <c r="O40" s="31">
        <f>IF(OR(M40="",N40=""),"",ROUND((N40-M40+IF(N40&lt;M40,1,0))*1440,0))</f>
        <v>0</v>
      </c>
      <c r="AG40" s="28">
        <f>IF(C40="","",TEXT(C40,"yyyy-mm"))</f>
        <v>0</v>
      </c>
      <c r="AH40" s="28">
        <f>IF(B40="","",B40&amp;"|"&amp;COUNTIF($B$5:$B40,B40))</f>
        <v>0</v>
      </c>
      <c r="AI40" s="28">
        <f>IF(E40="","",E40&amp;"|"&amp;COUNTIF($E$5:$E40,E40))</f>
        <v>0</v>
      </c>
      <c r="AJ40" s="49">
        <f>IF(C40="","",IF(AE40="Missed","Missed visit - contact client",IF(Z40="Yes","Incident logged - follow up",IF(AND(AE40="Completed",AC40&lt;&gt;"Yes"),"Action - send client update",IF(AND(AE40="Completed",AD40&lt;&gt;"Yes"),"Check care checklist",IF(AND(C40&lt;TODAY(),AE40="Scheduled"),"Overdue - log the result","OK"))))))</f>
        <v>0</v>
      </c>
    </row>
    <row r="41" spans="1:36">
      <c r="A41" s="46">
        <f>IF(C41="","","VS-"&amp;TEXT(ROW()-4,"0000"))</f>
        <v>0</v>
      </c>
      <c r="D41" s="28">
        <f>IF(B41="","",IFERROR(INDEX(Bookings!$C$5:$C$404,MATCH(B41,Bookings!$A$5:$A$404,0)),""))</f>
        <v>0</v>
      </c>
      <c r="E41" s="28">
        <f>IF(B41="","",IFERROR(INDEX(Bookings!$E$5:$E$404,MATCH(B41,Bookings!$A$5:$A$404,0)),""))</f>
        <v>0</v>
      </c>
      <c r="F41" s="28">
        <f>IF(B41="","",IFERROR(INDEX(Bookings!$H$5:$H$404,MATCH(B41,Bookings!$A$5:$A$404,0)),""))</f>
        <v>0</v>
      </c>
      <c r="H41" s="53">
        <f>IF(B41="","",IFERROR(INDEX(Bookings!$K$5:$K$404,MATCH(B41,Bookings!$A$5:$A$404,0)),""))</f>
        <v>0</v>
      </c>
      <c r="K41" s="31">
        <f>IF(OR(I41="",J41=""),"",ROUND((J41-I41+IF(J41&lt;I41,1,0))*1440,0))</f>
        <v>0</v>
      </c>
      <c r="L41" s="49">
        <f>IF(OR(I41="",H41=""),"",IF(I41&lt;=H41+TIME(0,10,0),"On time","Late "&amp;TEXT((I41-H41)*1440,"0")&amp;" min"))</f>
        <v>0</v>
      </c>
      <c r="O41" s="31">
        <f>IF(OR(M41="",N41=""),"",ROUND((N41-M41+IF(N41&lt;M41,1,0))*1440,0))</f>
        <v>0</v>
      </c>
      <c r="AG41" s="28">
        <f>IF(C41="","",TEXT(C41,"yyyy-mm"))</f>
        <v>0</v>
      </c>
      <c r="AH41" s="28">
        <f>IF(B41="","",B41&amp;"|"&amp;COUNTIF($B$5:$B41,B41))</f>
        <v>0</v>
      </c>
      <c r="AI41" s="28">
        <f>IF(E41="","",E41&amp;"|"&amp;COUNTIF($E$5:$E41,E41))</f>
        <v>0</v>
      </c>
      <c r="AJ41" s="49">
        <f>IF(C41="","",IF(AE41="Missed","Missed visit - contact client",IF(Z41="Yes","Incident logged - follow up",IF(AND(AE41="Completed",AC41&lt;&gt;"Yes"),"Action - send client update",IF(AND(AE41="Completed",AD41&lt;&gt;"Yes"),"Check care checklist",IF(AND(C41&lt;TODAY(),AE41="Scheduled"),"Overdue - log the result","OK"))))))</f>
        <v>0</v>
      </c>
    </row>
    <row r="42" spans="1:36">
      <c r="A42" s="46">
        <f>IF(C42="","","VS-"&amp;TEXT(ROW()-4,"0000"))</f>
        <v>0</v>
      </c>
      <c r="D42" s="28">
        <f>IF(B42="","",IFERROR(INDEX(Bookings!$C$5:$C$404,MATCH(B42,Bookings!$A$5:$A$404,0)),""))</f>
        <v>0</v>
      </c>
      <c r="E42" s="28">
        <f>IF(B42="","",IFERROR(INDEX(Bookings!$E$5:$E$404,MATCH(B42,Bookings!$A$5:$A$404,0)),""))</f>
        <v>0</v>
      </c>
      <c r="F42" s="28">
        <f>IF(B42="","",IFERROR(INDEX(Bookings!$H$5:$H$404,MATCH(B42,Bookings!$A$5:$A$404,0)),""))</f>
        <v>0</v>
      </c>
      <c r="H42" s="53">
        <f>IF(B42="","",IFERROR(INDEX(Bookings!$K$5:$K$404,MATCH(B42,Bookings!$A$5:$A$404,0)),""))</f>
        <v>0</v>
      </c>
      <c r="K42" s="31">
        <f>IF(OR(I42="",J42=""),"",ROUND((J42-I42+IF(J42&lt;I42,1,0))*1440,0))</f>
        <v>0</v>
      </c>
      <c r="L42" s="49">
        <f>IF(OR(I42="",H42=""),"",IF(I42&lt;=H42+TIME(0,10,0),"On time","Late "&amp;TEXT((I42-H42)*1440,"0")&amp;" min"))</f>
        <v>0</v>
      </c>
      <c r="O42" s="31">
        <f>IF(OR(M42="",N42=""),"",ROUND((N42-M42+IF(N42&lt;M42,1,0))*1440,0))</f>
        <v>0</v>
      </c>
      <c r="AG42" s="28">
        <f>IF(C42="","",TEXT(C42,"yyyy-mm"))</f>
        <v>0</v>
      </c>
      <c r="AH42" s="28">
        <f>IF(B42="","",B42&amp;"|"&amp;COUNTIF($B$5:$B42,B42))</f>
        <v>0</v>
      </c>
      <c r="AI42" s="28">
        <f>IF(E42="","",E42&amp;"|"&amp;COUNTIF($E$5:$E42,E42))</f>
        <v>0</v>
      </c>
      <c r="AJ42" s="49">
        <f>IF(C42="","",IF(AE42="Missed","Missed visit - contact client",IF(Z42="Yes","Incident logged - follow up",IF(AND(AE42="Completed",AC42&lt;&gt;"Yes"),"Action - send client update",IF(AND(AE42="Completed",AD42&lt;&gt;"Yes"),"Check care checklist",IF(AND(C42&lt;TODAY(),AE42="Scheduled"),"Overdue - log the result","OK"))))))</f>
        <v>0</v>
      </c>
    </row>
    <row r="43" spans="1:36">
      <c r="A43" s="46">
        <f>IF(C43="","","VS-"&amp;TEXT(ROW()-4,"0000"))</f>
        <v>0</v>
      </c>
      <c r="D43" s="28">
        <f>IF(B43="","",IFERROR(INDEX(Bookings!$C$5:$C$404,MATCH(B43,Bookings!$A$5:$A$404,0)),""))</f>
        <v>0</v>
      </c>
      <c r="E43" s="28">
        <f>IF(B43="","",IFERROR(INDEX(Bookings!$E$5:$E$404,MATCH(B43,Bookings!$A$5:$A$404,0)),""))</f>
        <v>0</v>
      </c>
      <c r="F43" s="28">
        <f>IF(B43="","",IFERROR(INDEX(Bookings!$H$5:$H$404,MATCH(B43,Bookings!$A$5:$A$404,0)),""))</f>
        <v>0</v>
      </c>
      <c r="H43" s="53">
        <f>IF(B43="","",IFERROR(INDEX(Bookings!$K$5:$K$404,MATCH(B43,Bookings!$A$5:$A$404,0)),""))</f>
        <v>0</v>
      </c>
      <c r="K43" s="31">
        <f>IF(OR(I43="",J43=""),"",ROUND((J43-I43+IF(J43&lt;I43,1,0))*1440,0))</f>
        <v>0</v>
      </c>
      <c r="L43" s="49">
        <f>IF(OR(I43="",H43=""),"",IF(I43&lt;=H43+TIME(0,10,0),"On time","Late "&amp;TEXT((I43-H43)*1440,"0")&amp;" min"))</f>
        <v>0</v>
      </c>
      <c r="O43" s="31">
        <f>IF(OR(M43="",N43=""),"",ROUND((N43-M43+IF(N43&lt;M43,1,0))*1440,0))</f>
        <v>0</v>
      </c>
      <c r="AG43" s="28">
        <f>IF(C43="","",TEXT(C43,"yyyy-mm"))</f>
        <v>0</v>
      </c>
      <c r="AH43" s="28">
        <f>IF(B43="","",B43&amp;"|"&amp;COUNTIF($B$5:$B43,B43))</f>
        <v>0</v>
      </c>
      <c r="AI43" s="28">
        <f>IF(E43="","",E43&amp;"|"&amp;COUNTIF($E$5:$E43,E43))</f>
        <v>0</v>
      </c>
      <c r="AJ43" s="49">
        <f>IF(C43="","",IF(AE43="Missed","Missed visit - contact client",IF(Z43="Yes","Incident logged - follow up",IF(AND(AE43="Completed",AC43&lt;&gt;"Yes"),"Action - send client update",IF(AND(AE43="Completed",AD43&lt;&gt;"Yes"),"Check care checklist",IF(AND(C43&lt;TODAY(),AE43="Scheduled"),"Overdue - log the result","OK"))))))</f>
        <v>0</v>
      </c>
    </row>
    <row r="44" spans="1:36">
      <c r="A44" s="46">
        <f>IF(C44="","","VS-"&amp;TEXT(ROW()-4,"0000"))</f>
        <v>0</v>
      </c>
      <c r="D44" s="28">
        <f>IF(B44="","",IFERROR(INDEX(Bookings!$C$5:$C$404,MATCH(B44,Bookings!$A$5:$A$404,0)),""))</f>
        <v>0</v>
      </c>
      <c r="E44" s="28">
        <f>IF(B44="","",IFERROR(INDEX(Bookings!$E$5:$E$404,MATCH(B44,Bookings!$A$5:$A$404,0)),""))</f>
        <v>0</v>
      </c>
      <c r="F44" s="28">
        <f>IF(B44="","",IFERROR(INDEX(Bookings!$H$5:$H$404,MATCH(B44,Bookings!$A$5:$A$404,0)),""))</f>
        <v>0</v>
      </c>
      <c r="H44" s="53">
        <f>IF(B44="","",IFERROR(INDEX(Bookings!$K$5:$K$404,MATCH(B44,Bookings!$A$5:$A$404,0)),""))</f>
        <v>0</v>
      </c>
      <c r="K44" s="31">
        <f>IF(OR(I44="",J44=""),"",ROUND((J44-I44+IF(J44&lt;I44,1,0))*1440,0))</f>
        <v>0</v>
      </c>
      <c r="L44" s="49">
        <f>IF(OR(I44="",H44=""),"",IF(I44&lt;=H44+TIME(0,10,0),"On time","Late "&amp;TEXT((I44-H44)*1440,"0")&amp;" min"))</f>
        <v>0</v>
      </c>
      <c r="O44" s="31">
        <f>IF(OR(M44="",N44=""),"",ROUND((N44-M44+IF(N44&lt;M44,1,0))*1440,0))</f>
        <v>0</v>
      </c>
      <c r="AG44" s="28">
        <f>IF(C44="","",TEXT(C44,"yyyy-mm"))</f>
        <v>0</v>
      </c>
      <c r="AH44" s="28">
        <f>IF(B44="","",B44&amp;"|"&amp;COUNTIF($B$5:$B44,B44))</f>
        <v>0</v>
      </c>
      <c r="AI44" s="28">
        <f>IF(E44="","",E44&amp;"|"&amp;COUNTIF($E$5:$E44,E44))</f>
        <v>0</v>
      </c>
      <c r="AJ44" s="49">
        <f>IF(C44="","",IF(AE44="Missed","Missed visit - contact client",IF(Z44="Yes","Incident logged - follow up",IF(AND(AE44="Completed",AC44&lt;&gt;"Yes"),"Action - send client update",IF(AND(AE44="Completed",AD44&lt;&gt;"Yes"),"Check care checklist",IF(AND(C44&lt;TODAY(),AE44="Scheduled"),"Overdue - log the result","OK"))))))</f>
        <v>0</v>
      </c>
    </row>
    <row r="45" spans="1:36">
      <c r="A45" s="46">
        <f>IF(C45="","","VS-"&amp;TEXT(ROW()-4,"0000"))</f>
        <v>0</v>
      </c>
      <c r="D45" s="28">
        <f>IF(B45="","",IFERROR(INDEX(Bookings!$C$5:$C$404,MATCH(B45,Bookings!$A$5:$A$404,0)),""))</f>
        <v>0</v>
      </c>
      <c r="E45" s="28">
        <f>IF(B45="","",IFERROR(INDEX(Bookings!$E$5:$E$404,MATCH(B45,Bookings!$A$5:$A$404,0)),""))</f>
        <v>0</v>
      </c>
      <c r="F45" s="28">
        <f>IF(B45="","",IFERROR(INDEX(Bookings!$H$5:$H$404,MATCH(B45,Bookings!$A$5:$A$404,0)),""))</f>
        <v>0</v>
      </c>
      <c r="H45" s="53">
        <f>IF(B45="","",IFERROR(INDEX(Bookings!$K$5:$K$404,MATCH(B45,Bookings!$A$5:$A$404,0)),""))</f>
        <v>0</v>
      </c>
      <c r="K45" s="31">
        <f>IF(OR(I45="",J45=""),"",ROUND((J45-I45+IF(J45&lt;I45,1,0))*1440,0))</f>
        <v>0</v>
      </c>
      <c r="L45" s="49">
        <f>IF(OR(I45="",H45=""),"",IF(I45&lt;=H45+TIME(0,10,0),"On time","Late "&amp;TEXT((I45-H45)*1440,"0")&amp;" min"))</f>
        <v>0</v>
      </c>
      <c r="O45" s="31">
        <f>IF(OR(M45="",N45=""),"",ROUND((N45-M45+IF(N45&lt;M45,1,0))*1440,0))</f>
        <v>0</v>
      </c>
      <c r="AG45" s="28">
        <f>IF(C45="","",TEXT(C45,"yyyy-mm"))</f>
        <v>0</v>
      </c>
      <c r="AH45" s="28">
        <f>IF(B45="","",B45&amp;"|"&amp;COUNTIF($B$5:$B45,B45))</f>
        <v>0</v>
      </c>
      <c r="AI45" s="28">
        <f>IF(E45="","",E45&amp;"|"&amp;COUNTIF($E$5:$E45,E45))</f>
        <v>0</v>
      </c>
      <c r="AJ45" s="49">
        <f>IF(C45="","",IF(AE45="Missed","Missed visit - contact client",IF(Z45="Yes","Incident logged - follow up",IF(AND(AE45="Completed",AC45&lt;&gt;"Yes"),"Action - send client update",IF(AND(AE45="Completed",AD45&lt;&gt;"Yes"),"Check care checklist",IF(AND(C45&lt;TODAY(),AE45="Scheduled"),"Overdue - log the result","OK"))))))</f>
        <v>0</v>
      </c>
    </row>
    <row r="46" spans="1:36">
      <c r="A46" s="46">
        <f>IF(C46="","","VS-"&amp;TEXT(ROW()-4,"0000"))</f>
        <v>0</v>
      </c>
      <c r="D46" s="28">
        <f>IF(B46="","",IFERROR(INDEX(Bookings!$C$5:$C$404,MATCH(B46,Bookings!$A$5:$A$404,0)),""))</f>
        <v>0</v>
      </c>
      <c r="E46" s="28">
        <f>IF(B46="","",IFERROR(INDEX(Bookings!$E$5:$E$404,MATCH(B46,Bookings!$A$5:$A$404,0)),""))</f>
        <v>0</v>
      </c>
      <c r="F46" s="28">
        <f>IF(B46="","",IFERROR(INDEX(Bookings!$H$5:$H$404,MATCH(B46,Bookings!$A$5:$A$404,0)),""))</f>
        <v>0</v>
      </c>
      <c r="H46" s="53">
        <f>IF(B46="","",IFERROR(INDEX(Bookings!$K$5:$K$404,MATCH(B46,Bookings!$A$5:$A$404,0)),""))</f>
        <v>0</v>
      </c>
      <c r="K46" s="31">
        <f>IF(OR(I46="",J46=""),"",ROUND((J46-I46+IF(J46&lt;I46,1,0))*1440,0))</f>
        <v>0</v>
      </c>
      <c r="L46" s="49">
        <f>IF(OR(I46="",H46=""),"",IF(I46&lt;=H46+TIME(0,10,0),"On time","Late "&amp;TEXT((I46-H46)*1440,"0")&amp;" min"))</f>
        <v>0</v>
      </c>
      <c r="O46" s="31">
        <f>IF(OR(M46="",N46=""),"",ROUND((N46-M46+IF(N46&lt;M46,1,0))*1440,0))</f>
        <v>0</v>
      </c>
      <c r="AG46" s="28">
        <f>IF(C46="","",TEXT(C46,"yyyy-mm"))</f>
        <v>0</v>
      </c>
      <c r="AH46" s="28">
        <f>IF(B46="","",B46&amp;"|"&amp;COUNTIF($B$5:$B46,B46))</f>
        <v>0</v>
      </c>
      <c r="AI46" s="28">
        <f>IF(E46="","",E46&amp;"|"&amp;COUNTIF($E$5:$E46,E46))</f>
        <v>0</v>
      </c>
      <c r="AJ46" s="49">
        <f>IF(C46="","",IF(AE46="Missed","Missed visit - contact client",IF(Z46="Yes","Incident logged - follow up",IF(AND(AE46="Completed",AC46&lt;&gt;"Yes"),"Action - send client update",IF(AND(AE46="Completed",AD46&lt;&gt;"Yes"),"Check care checklist",IF(AND(C46&lt;TODAY(),AE46="Scheduled"),"Overdue - log the result","OK"))))))</f>
        <v>0</v>
      </c>
    </row>
    <row r="47" spans="1:36">
      <c r="A47" s="46">
        <f>IF(C47="","","VS-"&amp;TEXT(ROW()-4,"0000"))</f>
        <v>0</v>
      </c>
      <c r="D47" s="28">
        <f>IF(B47="","",IFERROR(INDEX(Bookings!$C$5:$C$404,MATCH(B47,Bookings!$A$5:$A$404,0)),""))</f>
        <v>0</v>
      </c>
      <c r="E47" s="28">
        <f>IF(B47="","",IFERROR(INDEX(Bookings!$E$5:$E$404,MATCH(B47,Bookings!$A$5:$A$404,0)),""))</f>
        <v>0</v>
      </c>
      <c r="F47" s="28">
        <f>IF(B47="","",IFERROR(INDEX(Bookings!$H$5:$H$404,MATCH(B47,Bookings!$A$5:$A$404,0)),""))</f>
        <v>0</v>
      </c>
      <c r="H47" s="53">
        <f>IF(B47="","",IFERROR(INDEX(Bookings!$K$5:$K$404,MATCH(B47,Bookings!$A$5:$A$404,0)),""))</f>
        <v>0</v>
      </c>
      <c r="K47" s="31">
        <f>IF(OR(I47="",J47=""),"",ROUND((J47-I47+IF(J47&lt;I47,1,0))*1440,0))</f>
        <v>0</v>
      </c>
      <c r="L47" s="49">
        <f>IF(OR(I47="",H47=""),"",IF(I47&lt;=H47+TIME(0,10,0),"On time","Late "&amp;TEXT((I47-H47)*1440,"0")&amp;" min"))</f>
        <v>0</v>
      </c>
      <c r="O47" s="31">
        <f>IF(OR(M47="",N47=""),"",ROUND((N47-M47+IF(N47&lt;M47,1,0))*1440,0))</f>
        <v>0</v>
      </c>
      <c r="AG47" s="28">
        <f>IF(C47="","",TEXT(C47,"yyyy-mm"))</f>
        <v>0</v>
      </c>
      <c r="AH47" s="28">
        <f>IF(B47="","",B47&amp;"|"&amp;COUNTIF($B$5:$B47,B47))</f>
        <v>0</v>
      </c>
      <c r="AI47" s="28">
        <f>IF(E47="","",E47&amp;"|"&amp;COUNTIF($E$5:$E47,E47))</f>
        <v>0</v>
      </c>
      <c r="AJ47" s="49">
        <f>IF(C47="","",IF(AE47="Missed","Missed visit - contact client",IF(Z47="Yes","Incident logged - follow up",IF(AND(AE47="Completed",AC47&lt;&gt;"Yes"),"Action - send client update",IF(AND(AE47="Completed",AD47&lt;&gt;"Yes"),"Check care checklist",IF(AND(C47&lt;TODAY(),AE47="Scheduled"),"Overdue - log the result","OK"))))))</f>
        <v>0</v>
      </c>
    </row>
    <row r="48" spans="1:36">
      <c r="A48" s="46">
        <f>IF(C48="","","VS-"&amp;TEXT(ROW()-4,"0000"))</f>
        <v>0</v>
      </c>
      <c r="D48" s="28">
        <f>IF(B48="","",IFERROR(INDEX(Bookings!$C$5:$C$404,MATCH(B48,Bookings!$A$5:$A$404,0)),""))</f>
        <v>0</v>
      </c>
      <c r="E48" s="28">
        <f>IF(B48="","",IFERROR(INDEX(Bookings!$E$5:$E$404,MATCH(B48,Bookings!$A$5:$A$404,0)),""))</f>
        <v>0</v>
      </c>
      <c r="F48" s="28">
        <f>IF(B48="","",IFERROR(INDEX(Bookings!$H$5:$H$404,MATCH(B48,Bookings!$A$5:$A$404,0)),""))</f>
        <v>0</v>
      </c>
      <c r="H48" s="53">
        <f>IF(B48="","",IFERROR(INDEX(Bookings!$K$5:$K$404,MATCH(B48,Bookings!$A$5:$A$404,0)),""))</f>
        <v>0</v>
      </c>
      <c r="K48" s="31">
        <f>IF(OR(I48="",J48=""),"",ROUND((J48-I48+IF(J48&lt;I48,1,0))*1440,0))</f>
        <v>0</v>
      </c>
      <c r="L48" s="49">
        <f>IF(OR(I48="",H48=""),"",IF(I48&lt;=H48+TIME(0,10,0),"On time","Late "&amp;TEXT((I48-H48)*1440,"0")&amp;" min"))</f>
        <v>0</v>
      </c>
      <c r="O48" s="31">
        <f>IF(OR(M48="",N48=""),"",ROUND((N48-M48+IF(N48&lt;M48,1,0))*1440,0))</f>
        <v>0</v>
      </c>
      <c r="AG48" s="28">
        <f>IF(C48="","",TEXT(C48,"yyyy-mm"))</f>
        <v>0</v>
      </c>
      <c r="AH48" s="28">
        <f>IF(B48="","",B48&amp;"|"&amp;COUNTIF($B$5:$B48,B48))</f>
        <v>0</v>
      </c>
      <c r="AI48" s="28">
        <f>IF(E48="","",E48&amp;"|"&amp;COUNTIF($E$5:$E48,E48))</f>
        <v>0</v>
      </c>
      <c r="AJ48" s="49">
        <f>IF(C48="","",IF(AE48="Missed","Missed visit - contact client",IF(Z48="Yes","Incident logged - follow up",IF(AND(AE48="Completed",AC48&lt;&gt;"Yes"),"Action - send client update",IF(AND(AE48="Completed",AD48&lt;&gt;"Yes"),"Check care checklist",IF(AND(C48&lt;TODAY(),AE48="Scheduled"),"Overdue - log the result","OK"))))))</f>
        <v>0</v>
      </c>
    </row>
    <row r="49" spans="1:36">
      <c r="A49" s="46">
        <f>IF(C49="","","VS-"&amp;TEXT(ROW()-4,"0000"))</f>
        <v>0</v>
      </c>
      <c r="D49" s="28">
        <f>IF(B49="","",IFERROR(INDEX(Bookings!$C$5:$C$404,MATCH(B49,Bookings!$A$5:$A$404,0)),""))</f>
        <v>0</v>
      </c>
      <c r="E49" s="28">
        <f>IF(B49="","",IFERROR(INDEX(Bookings!$E$5:$E$404,MATCH(B49,Bookings!$A$5:$A$404,0)),""))</f>
        <v>0</v>
      </c>
      <c r="F49" s="28">
        <f>IF(B49="","",IFERROR(INDEX(Bookings!$H$5:$H$404,MATCH(B49,Bookings!$A$5:$A$404,0)),""))</f>
        <v>0</v>
      </c>
      <c r="H49" s="53">
        <f>IF(B49="","",IFERROR(INDEX(Bookings!$K$5:$K$404,MATCH(B49,Bookings!$A$5:$A$404,0)),""))</f>
        <v>0</v>
      </c>
      <c r="K49" s="31">
        <f>IF(OR(I49="",J49=""),"",ROUND((J49-I49+IF(J49&lt;I49,1,0))*1440,0))</f>
        <v>0</v>
      </c>
      <c r="L49" s="49">
        <f>IF(OR(I49="",H49=""),"",IF(I49&lt;=H49+TIME(0,10,0),"On time","Late "&amp;TEXT((I49-H49)*1440,"0")&amp;" min"))</f>
        <v>0</v>
      </c>
      <c r="O49" s="31">
        <f>IF(OR(M49="",N49=""),"",ROUND((N49-M49+IF(N49&lt;M49,1,0))*1440,0))</f>
        <v>0</v>
      </c>
      <c r="AG49" s="28">
        <f>IF(C49="","",TEXT(C49,"yyyy-mm"))</f>
        <v>0</v>
      </c>
      <c r="AH49" s="28">
        <f>IF(B49="","",B49&amp;"|"&amp;COUNTIF($B$5:$B49,B49))</f>
        <v>0</v>
      </c>
      <c r="AI49" s="28">
        <f>IF(E49="","",E49&amp;"|"&amp;COUNTIF($E$5:$E49,E49))</f>
        <v>0</v>
      </c>
      <c r="AJ49" s="49">
        <f>IF(C49="","",IF(AE49="Missed","Missed visit - contact client",IF(Z49="Yes","Incident logged - follow up",IF(AND(AE49="Completed",AC49&lt;&gt;"Yes"),"Action - send client update",IF(AND(AE49="Completed",AD49&lt;&gt;"Yes"),"Check care checklist",IF(AND(C49&lt;TODAY(),AE49="Scheduled"),"Overdue - log the result","OK"))))))</f>
        <v>0</v>
      </c>
    </row>
    <row r="50" spans="1:36">
      <c r="A50" s="46">
        <f>IF(C50="","","VS-"&amp;TEXT(ROW()-4,"0000"))</f>
        <v>0</v>
      </c>
      <c r="D50" s="28">
        <f>IF(B50="","",IFERROR(INDEX(Bookings!$C$5:$C$404,MATCH(B50,Bookings!$A$5:$A$404,0)),""))</f>
        <v>0</v>
      </c>
      <c r="E50" s="28">
        <f>IF(B50="","",IFERROR(INDEX(Bookings!$E$5:$E$404,MATCH(B50,Bookings!$A$5:$A$404,0)),""))</f>
        <v>0</v>
      </c>
      <c r="F50" s="28">
        <f>IF(B50="","",IFERROR(INDEX(Bookings!$H$5:$H$404,MATCH(B50,Bookings!$A$5:$A$404,0)),""))</f>
        <v>0</v>
      </c>
      <c r="H50" s="53">
        <f>IF(B50="","",IFERROR(INDEX(Bookings!$K$5:$K$404,MATCH(B50,Bookings!$A$5:$A$404,0)),""))</f>
        <v>0</v>
      </c>
      <c r="K50" s="31">
        <f>IF(OR(I50="",J50=""),"",ROUND((J50-I50+IF(J50&lt;I50,1,0))*1440,0))</f>
        <v>0</v>
      </c>
      <c r="L50" s="49">
        <f>IF(OR(I50="",H50=""),"",IF(I50&lt;=H50+TIME(0,10,0),"On time","Late "&amp;TEXT((I50-H50)*1440,"0")&amp;" min"))</f>
        <v>0</v>
      </c>
      <c r="O50" s="31">
        <f>IF(OR(M50="",N50=""),"",ROUND((N50-M50+IF(N50&lt;M50,1,0))*1440,0))</f>
        <v>0</v>
      </c>
      <c r="AG50" s="28">
        <f>IF(C50="","",TEXT(C50,"yyyy-mm"))</f>
        <v>0</v>
      </c>
      <c r="AH50" s="28">
        <f>IF(B50="","",B50&amp;"|"&amp;COUNTIF($B$5:$B50,B50))</f>
        <v>0</v>
      </c>
      <c r="AI50" s="28">
        <f>IF(E50="","",E50&amp;"|"&amp;COUNTIF($E$5:$E50,E50))</f>
        <v>0</v>
      </c>
      <c r="AJ50" s="49">
        <f>IF(C50="","",IF(AE50="Missed","Missed visit - contact client",IF(Z50="Yes","Incident logged - follow up",IF(AND(AE50="Completed",AC50&lt;&gt;"Yes"),"Action - send client update",IF(AND(AE50="Completed",AD50&lt;&gt;"Yes"),"Check care checklist",IF(AND(C50&lt;TODAY(),AE50="Scheduled"),"Overdue - log the result","OK"))))))</f>
        <v>0</v>
      </c>
    </row>
    <row r="51" spans="1:36">
      <c r="A51" s="46">
        <f>IF(C51="","","VS-"&amp;TEXT(ROW()-4,"0000"))</f>
        <v>0</v>
      </c>
      <c r="D51" s="28">
        <f>IF(B51="","",IFERROR(INDEX(Bookings!$C$5:$C$404,MATCH(B51,Bookings!$A$5:$A$404,0)),""))</f>
        <v>0</v>
      </c>
      <c r="E51" s="28">
        <f>IF(B51="","",IFERROR(INDEX(Bookings!$E$5:$E$404,MATCH(B51,Bookings!$A$5:$A$404,0)),""))</f>
        <v>0</v>
      </c>
      <c r="F51" s="28">
        <f>IF(B51="","",IFERROR(INDEX(Bookings!$H$5:$H$404,MATCH(B51,Bookings!$A$5:$A$404,0)),""))</f>
        <v>0</v>
      </c>
      <c r="H51" s="53">
        <f>IF(B51="","",IFERROR(INDEX(Bookings!$K$5:$K$404,MATCH(B51,Bookings!$A$5:$A$404,0)),""))</f>
        <v>0</v>
      </c>
      <c r="K51" s="31">
        <f>IF(OR(I51="",J51=""),"",ROUND((J51-I51+IF(J51&lt;I51,1,0))*1440,0))</f>
        <v>0</v>
      </c>
      <c r="L51" s="49">
        <f>IF(OR(I51="",H51=""),"",IF(I51&lt;=H51+TIME(0,10,0),"On time","Late "&amp;TEXT((I51-H51)*1440,"0")&amp;" min"))</f>
        <v>0</v>
      </c>
      <c r="O51" s="31">
        <f>IF(OR(M51="",N51=""),"",ROUND((N51-M51+IF(N51&lt;M51,1,0))*1440,0))</f>
        <v>0</v>
      </c>
      <c r="AG51" s="28">
        <f>IF(C51="","",TEXT(C51,"yyyy-mm"))</f>
        <v>0</v>
      </c>
      <c r="AH51" s="28">
        <f>IF(B51="","",B51&amp;"|"&amp;COUNTIF($B$5:$B51,B51))</f>
        <v>0</v>
      </c>
      <c r="AI51" s="28">
        <f>IF(E51="","",E51&amp;"|"&amp;COUNTIF($E$5:$E51,E51))</f>
        <v>0</v>
      </c>
      <c r="AJ51" s="49">
        <f>IF(C51="","",IF(AE51="Missed","Missed visit - contact client",IF(Z51="Yes","Incident logged - follow up",IF(AND(AE51="Completed",AC51&lt;&gt;"Yes"),"Action - send client update",IF(AND(AE51="Completed",AD51&lt;&gt;"Yes"),"Check care checklist",IF(AND(C51&lt;TODAY(),AE51="Scheduled"),"Overdue - log the result","OK"))))))</f>
        <v>0</v>
      </c>
    </row>
    <row r="52" spans="1:36">
      <c r="A52" s="46">
        <f>IF(C52="","","VS-"&amp;TEXT(ROW()-4,"0000"))</f>
        <v>0</v>
      </c>
      <c r="D52" s="28">
        <f>IF(B52="","",IFERROR(INDEX(Bookings!$C$5:$C$404,MATCH(B52,Bookings!$A$5:$A$404,0)),""))</f>
        <v>0</v>
      </c>
      <c r="E52" s="28">
        <f>IF(B52="","",IFERROR(INDEX(Bookings!$E$5:$E$404,MATCH(B52,Bookings!$A$5:$A$404,0)),""))</f>
        <v>0</v>
      </c>
      <c r="F52" s="28">
        <f>IF(B52="","",IFERROR(INDEX(Bookings!$H$5:$H$404,MATCH(B52,Bookings!$A$5:$A$404,0)),""))</f>
        <v>0</v>
      </c>
      <c r="H52" s="53">
        <f>IF(B52="","",IFERROR(INDEX(Bookings!$K$5:$K$404,MATCH(B52,Bookings!$A$5:$A$404,0)),""))</f>
        <v>0</v>
      </c>
      <c r="K52" s="31">
        <f>IF(OR(I52="",J52=""),"",ROUND((J52-I52+IF(J52&lt;I52,1,0))*1440,0))</f>
        <v>0</v>
      </c>
      <c r="L52" s="49">
        <f>IF(OR(I52="",H52=""),"",IF(I52&lt;=H52+TIME(0,10,0),"On time","Late "&amp;TEXT((I52-H52)*1440,"0")&amp;" min"))</f>
        <v>0</v>
      </c>
      <c r="O52" s="31">
        <f>IF(OR(M52="",N52=""),"",ROUND((N52-M52+IF(N52&lt;M52,1,0))*1440,0))</f>
        <v>0</v>
      </c>
      <c r="AG52" s="28">
        <f>IF(C52="","",TEXT(C52,"yyyy-mm"))</f>
        <v>0</v>
      </c>
      <c r="AH52" s="28">
        <f>IF(B52="","",B52&amp;"|"&amp;COUNTIF($B$5:$B52,B52))</f>
        <v>0</v>
      </c>
      <c r="AI52" s="28">
        <f>IF(E52="","",E52&amp;"|"&amp;COUNTIF($E$5:$E52,E52))</f>
        <v>0</v>
      </c>
      <c r="AJ52" s="49">
        <f>IF(C52="","",IF(AE52="Missed","Missed visit - contact client",IF(Z52="Yes","Incident logged - follow up",IF(AND(AE52="Completed",AC52&lt;&gt;"Yes"),"Action - send client update",IF(AND(AE52="Completed",AD52&lt;&gt;"Yes"),"Check care checklist",IF(AND(C52&lt;TODAY(),AE52="Scheduled"),"Overdue - log the result","OK"))))))</f>
        <v>0</v>
      </c>
    </row>
    <row r="53" spans="1:36">
      <c r="A53" s="46">
        <f>IF(C53="","","VS-"&amp;TEXT(ROW()-4,"0000"))</f>
        <v>0</v>
      </c>
      <c r="D53" s="28">
        <f>IF(B53="","",IFERROR(INDEX(Bookings!$C$5:$C$404,MATCH(B53,Bookings!$A$5:$A$404,0)),""))</f>
        <v>0</v>
      </c>
      <c r="E53" s="28">
        <f>IF(B53="","",IFERROR(INDEX(Bookings!$E$5:$E$404,MATCH(B53,Bookings!$A$5:$A$404,0)),""))</f>
        <v>0</v>
      </c>
      <c r="F53" s="28">
        <f>IF(B53="","",IFERROR(INDEX(Bookings!$H$5:$H$404,MATCH(B53,Bookings!$A$5:$A$404,0)),""))</f>
        <v>0</v>
      </c>
      <c r="H53" s="53">
        <f>IF(B53="","",IFERROR(INDEX(Bookings!$K$5:$K$404,MATCH(B53,Bookings!$A$5:$A$404,0)),""))</f>
        <v>0</v>
      </c>
      <c r="K53" s="31">
        <f>IF(OR(I53="",J53=""),"",ROUND((J53-I53+IF(J53&lt;I53,1,0))*1440,0))</f>
        <v>0</v>
      </c>
      <c r="L53" s="49">
        <f>IF(OR(I53="",H53=""),"",IF(I53&lt;=H53+TIME(0,10,0),"On time","Late "&amp;TEXT((I53-H53)*1440,"0")&amp;" min"))</f>
        <v>0</v>
      </c>
      <c r="O53" s="31">
        <f>IF(OR(M53="",N53=""),"",ROUND((N53-M53+IF(N53&lt;M53,1,0))*1440,0))</f>
        <v>0</v>
      </c>
      <c r="AG53" s="28">
        <f>IF(C53="","",TEXT(C53,"yyyy-mm"))</f>
        <v>0</v>
      </c>
      <c r="AH53" s="28">
        <f>IF(B53="","",B53&amp;"|"&amp;COUNTIF($B$5:$B53,B53))</f>
        <v>0</v>
      </c>
      <c r="AI53" s="28">
        <f>IF(E53="","",E53&amp;"|"&amp;COUNTIF($E$5:$E53,E53))</f>
        <v>0</v>
      </c>
      <c r="AJ53" s="49">
        <f>IF(C53="","",IF(AE53="Missed","Missed visit - contact client",IF(Z53="Yes","Incident logged - follow up",IF(AND(AE53="Completed",AC53&lt;&gt;"Yes"),"Action - send client update",IF(AND(AE53="Completed",AD53&lt;&gt;"Yes"),"Check care checklist",IF(AND(C53&lt;TODAY(),AE53="Scheduled"),"Overdue - log the result","OK"))))))</f>
        <v>0</v>
      </c>
    </row>
    <row r="54" spans="1:36">
      <c r="A54" s="46">
        <f>IF(C54="","","VS-"&amp;TEXT(ROW()-4,"0000"))</f>
        <v>0</v>
      </c>
      <c r="D54" s="28">
        <f>IF(B54="","",IFERROR(INDEX(Bookings!$C$5:$C$404,MATCH(B54,Bookings!$A$5:$A$404,0)),""))</f>
        <v>0</v>
      </c>
      <c r="E54" s="28">
        <f>IF(B54="","",IFERROR(INDEX(Bookings!$E$5:$E$404,MATCH(B54,Bookings!$A$5:$A$404,0)),""))</f>
        <v>0</v>
      </c>
      <c r="F54" s="28">
        <f>IF(B54="","",IFERROR(INDEX(Bookings!$H$5:$H$404,MATCH(B54,Bookings!$A$5:$A$404,0)),""))</f>
        <v>0</v>
      </c>
      <c r="H54" s="53">
        <f>IF(B54="","",IFERROR(INDEX(Bookings!$K$5:$K$404,MATCH(B54,Bookings!$A$5:$A$404,0)),""))</f>
        <v>0</v>
      </c>
      <c r="K54" s="31">
        <f>IF(OR(I54="",J54=""),"",ROUND((J54-I54+IF(J54&lt;I54,1,0))*1440,0))</f>
        <v>0</v>
      </c>
      <c r="L54" s="49">
        <f>IF(OR(I54="",H54=""),"",IF(I54&lt;=H54+TIME(0,10,0),"On time","Late "&amp;TEXT((I54-H54)*1440,"0")&amp;" min"))</f>
        <v>0</v>
      </c>
      <c r="O54" s="31">
        <f>IF(OR(M54="",N54=""),"",ROUND((N54-M54+IF(N54&lt;M54,1,0))*1440,0))</f>
        <v>0</v>
      </c>
      <c r="AG54" s="28">
        <f>IF(C54="","",TEXT(C54,"yyyy-mm"))</f>
        <v>0</v>
      </c>
      <c r="AH54" s="28">
        <f>IF(B54="","",B54&amp;"|"&amp;COUNTIF($B$5:$B54,B54))</f>
        <v>0</v>
      </c>
      <c r="AI54" s="28">
        <f>IF(E54="","",E54&amp;"|"&amp;COUNTIF($E$5:$E54,E54))</f>
        <v>0</v>
      </c>
      <c r="AJ54" s="49">
        <f>IF(C54="","",IF(AE54="Missed","Missed visit - contact client",IF(Z54="Yes","Incident logged - follow up",IF(AND(AE54="Completed",AC54&lt;&gt;"Yes"),"Action - send client update",IF(AND(AE54="Completed",AD54&lt;&gt;"Yes"),"Check care checklist",IF(AND(C54&lt;TODAY(),AE54="Scheduled"),"Overdue - log the result","OK"))))))</f>
        <v>0</v>
      </c>
    </row>
    <row r="55" spans="1:36">
      <c r="A55" s="46">
        <f>IF(C55="","","VS-"&amp;TEXT(ROW()-4,"0000"))</f>
        <v>0</v>
      </c>
      <c r="D55" s="28">
        <f>IF(B55="","",IFERROR(INDEX(Bookings!$C$5:$C$404,MATCH(B55,Bookings!$A$5:$A$404,0)),""))</f>
        <v>0</v>
      </c>
      <c r="E55" s="28">
        <f>IF(B55="","",IFERROR(INDEX(Bookings!$E$5:$E$404,MATCH(B55,Bookings!$A$5:$A$404,0)),""))</f>
        <v>0</v>
      </c>
      <c r="F55" s="28">
        <f>IF(B55="","",IFERROR(INDEX(Bookings!$H$5:$H$404,MATCH(B55,Bookings!$A$5:$A$404,0)),""))</f>
        <v>0</v>
      </c>
      <c r="H55" s="53">
        <f>IF(B55="","",IFERROR(INDEX(Bookings!$K$5:$K$404,MATCH(B55,Bookings!$A$5:$A$404,0)),""))</f>
        <v>0</v>
      </c>
      <c r="K55" s="31">
        <f>IF(OR(I55="",J55=""),"",ROUND((J55-I55+IF(J55&lt;I55,1,0))*1440,0))</f>
        <v>0</v>
      </c>
      <c r="L55" s="49">
        <f>IF(OR(I55="",H55=""),"",IF(I55&lt;=H55+TIME(0,10,0),"On time","Late "&amp;TEXT((I55-H55)*1440,"0")&amp;" min"))</f>
        <v>0</v>
      </c>
      <c r="O55" s="31">
        <f>IF(OR(M55="",N55=""),"",ROUND((N55-M55+IF(N55&lt;M55,1,0))*1440,0))</f>
        <v>0</v>
      </c>
      <c r="AG55" s="28">
        <f>IF(C55="","",TEXT(C55,"yyyy-mm"))</f>
        <v>0</v>
      </c>
      <c r="AH55" s="28">
        <f>IF(B55="","",B55&amp;"|"&amp;COUNTIF($B$5:$B55,B55))</f>
        <v>0</v>
      </c>
      <c r="AI55" s="28">
        <f>IF(E55="","",E55&amp;"|"&amp;COUNTIF($E$5:$E55,E55))</f>
        <v>0</v>
      </c>
      <c r="AJ55" s="49">
        <f>IF(C55="","",IF(AE55="Missed","Missed visit - contact client",IF(Z55="Yes","Incident logged - follow up",IF(AND(AE55="Completed",AC55&lt;&gt;"Yes"),"Action - send client update",IF(AND(AE55="Completed",AD55&lt;&gt;"Yes"),"Check care checklist",IF(AND(C55&lt;TODAY(),AE55="Scheduled"),"Overdue - log the result","OK"))))))</f>
        <v>0</v>
      </c>
    </row>
    <row r="56" spans="1:36">
      <c r="A56" s="46">
        <f>IF(C56="","","VS-"&amp;TEXT(ROW()-4,"0000"))</f>
        <v>0</v>
      </c>
      <c r="D56" s="28">
        <f>IF(B56="","",IFERROR(INDEX(Bookings!$C$5:$C$404,MATCH(B56,Bookings!$A$5:$A$404,0)),""))</f>
        <v>0</v>
      </c>
      <c r="E56" s="28">
        <f>IF(B56="","",IFERROR(INDEX(Bookings!$E$5:$E$404,MATCH(B56,Bookings!$A$5:$A$404,0)),""))</f>
        <v>0</v>
      </c>
      <c r="F56" s="28">
        <f>IF(B56="","",IFERROR(INDEX(Bookings!$H$5:$H$404,MATCH(B56,Bookings!$A$5:$A$404,0)),""))</f>
        <v>0</v>
      </c>
      <c r="H56" s="53">
        <f>IF(B56="","",IFERROR(INDEX(Bookings!$K$5:$K$404,MATCH(B56,Bookings!$A$5:$A$404,0)),""))</f>
        <v>0</v>
      </c>
      <c r="K56" s="31">
        <f>IF(OR(I56="",J56=""),"",ROUND((J56-I56+IF(J56&lt;I56,1,0))*1440,0))</f>
        <v>0</v>
      </c>
      <c r="L56" s="49">
        <f>IF(OR(I56="",H56=""),"",IF(I56&lt;=H56+TIME(0,10,0),"On time","Late "&amp;TEXT((I56-H56)*1440,"0")&amp;" min"))</f>
        <v>0</v>
      </c>
      <c r="O56" s="31">
        <f>IF(OR(M56="",N56=""),"",ROUND((N56-M56+IF(N56&lt;M56,1,0))*1440,0))</f>
        <v>0</v>
      </c>
      <c r="AG56" s="28">
        <f>IF(C56="","",TEXT(C56,"yyyy-mm"))</f>
        <v>0</v>
      </c>
      <c r="AH56" s="28">
        <f>IF(B56="","",B56&amp;"|"&amp;COUNTIF($B$5:$B56,B56))</f>
        <v>0</v>
      </c>
      <c r="AI56" s="28">
        <f>IF(E56="","",E56&amp;"|"&amp;COUNTIF($E$5:$E56,E56))</f>
        <v>0</v>
      </c>
      <c r="AJ56" s="49">
        <f>IF(C56="","",IF(AE56="Missed","Missed visit - contact client",IF(Z56="Yes","Incident logged - follow up",IF(AND(AE56="Completed",AC56&lt;&gt;"Yes"),"Action - send client update",IF(AND(AE56="Completed",AD56&lt;&gt;"Yes"),"Check care checklist",IF(AND(C56&lt;TODAY(),AE56="Scheduled"),"Overdue - log the result","OK"))))))</f>
        <v>0</v>
      </c>
    </row>
    <row r="57" spans="1:36">
      <c r="A57" s="46">
        <f>IF(C57="","","VS-"&amp;TEXT(ROW()-4,"0000"))</f>
        <v>0</v>
      </c>
      <c r="D57" s="28">
        <f>IF(B57="","",IFERROR(INDEX(Bookings!$C$5:$C$404,MATCH(B57,Bookings!$A$5:$A$404,0)),""))</f>
        <v>0</v>
      </c>
      <c r="E57" s="28">
        <f>IF(B57="","",IFERROR(INDEX(Bookings!$E$5:$E$404,MATCH(B57,Bookings!$A$5:$A$404,0)),""))</f>
        <v>0</v>
      </c>
      <c r="F57" s="28">
        <f>IF(B57="","",IFERROR(INDEX(Bookings!$H$5:$H$404,MATCH(B57,Bookings!$A$5:$A$404,0)),""))</f>
        <v>0</v>
      </c>
      <c r="H57" s="53">
        <f>IF(B57="","",IFERROR(INDEX(Bookings!$K$5:$K$404,MATCH(B57,Bookings!$A$5:$A$404,0)),""))</f>
        <v>0</v>
      </c>
      <c r="K57" s="31">
        <f>IF(OR(I57="",J57=""),"",ROUND((J57-I57+IF(J57&lt;I57,1,0))*1440,0))</f>
        <v>0</v>
      </c>
      <c r="L57" s="49">
        <f>IF(OR(I57="",H57=""),"",IF(I57&lt;=H57+TIME(0,10,0),"On time","Late "&amp;TEXT((I57-H57)*1440,"0")&amp;" min"))</f>
        <v>0</v>
      </c>
      <c r="O57" s="31">
        <f>IF(OR(M57="",N57=""),"",ROUND((N57-M57+IF(N57&lt;M57,1,0))*1440,0))</f>
        <v>0</v>
      </c>
      <c r="AG57" s="28">
        <f>IF(C57="","",TEXT(C57,"yyyy-mm"))</f>
        <v>0</v>
      </c>
      <c r="AH57" s="28">
        <f>IF(B57="","",B57&amp;"|"&amp;COUNTIF($B$5:$B57,B57))</f>
        <v>0</v>
      </c>
      <c r="AI57" s="28">
        <f>IF(E57="","",E57&amp;"|"&amp;COUNTIF($E$5:$E57,E57))</f>
        <v>0</v>
      </c>
      <c r="AJ57" s="49">
        <f>IF(C57="","",IF(AE57="Missed","Missed visit - contact client",IF(Z57="Yes","Incident logged - follow up",IF(AND(AE57="Completed",AC57&lt;&gt;"Yes"),"Action - send client update",IF(AND(AE57="Completed",AD57&lt;&gt;"Yes"),"Check care checklist",IF(AND(C57&lt;TODAY(),AE57="Scheduled"),"Overdue - log the result","OK"))))))</f>
        <v>0</v>
      </c>
    </row>
    <row r="58" spans="1:36">
      <c r="A58" s="46">
        <f>IF(C58="","","VS-"&amp;TEXT(ROW()-4,"0000"))</f>
        <v>0</v>
      </c>
      <c r="D58" s="28">
        <f>IF(B58="","",IFERROR(INDEX(Bookings!$C$5:$C$404,MATCH(B58,Bookings!$A$5:$A$404,0)),""))</f>
        <v>0</v>
      </c>
      <c r="E58" s="28">
        <f>IF(B58="","",IFERROR(INDEX(Bookings!$E$5:$E$404,MATCH(B58,Bookings!$A$5:$A$404,0)),""))</f>
        <v>0</v>
      </c>
      <c r="F58" s="28">
        <f>IF(B58="","",IFERROR(INDEX(Bookings!$H$5:$H$404,MATCH(B58,Bookings!$A$5:$A$404,0)),""))</f>
        <v>0</v>
      </c>
      <c r="H58" s="53">
        <f>IF(B58="","",IFERROR(INDEX(Bookings!$K$5:$K$404,MATCH(B58,Bookings!$A$5:$A$404,0)),""))</f>
        <v>0</v>
      </c>
      <c r="K58" s="31">
        <f>IF(OR(I58="",J58=""),"",ROUND((J58-I58+IF(J58&lt;I58,1,0))*1440,0))</f>
        <v>0</v>
      </c>
      <c r="L58" s="49">
        <f>IF(OR(I58="",H58=""),"",IF(I58&lt;=H58+TIME(0,10,0),"On time","Late "&amp;TEXT((I58-H58)*1440,"0")&amp;" min"))</f>
        <v>0</v>
      </c>
      <c r="O58" s="31">
        <f>IF(OR(M58="",N58=""),"",ROUND((N58-M58+IF(N58&lt;M58,1,0))*1440,0))</f>
        <v>0</v>
      </c>
      <c r="AG58" s="28">
        <f>IF(C58="","",TEXT(C58,"yyyy-mm"))</f>
        <v>0</v>
      </c>
      <c r="AH58" s="28">
        <f>IF(B58="","",B58&amp;"|"&amp;COUNTIF($B$5:$B58,B58))</f>
        <v>0</v>
      </c>
      <c r="AI58" s="28">
        <f>IF(E58="","",E58&amp;"|"&amp;COUNTIF($E$5:$E58,E58))</f>
        <v>0</v>
      </c>
      <c r="AJ58" s="49">
        <f>IF(C58="","",IF(AE58="Missed","Missed visit - contact client",IF(Z58="Yes","Incident logged - follow up",IF(AND(AE58="Completed",AC58&lt;&gt;"Yes"),"Action - send client update",IF(AND(AE58="Completed",AD58&lt;&gt;"Yes"),"Check care checklist",IF(AND(C58&lt;TODAY(),AE58="Scheduled"),"Overdue - log the result","OK"))))))</f>
        <v>0</v>
      </c>
    </row>
    <row r="59" spans="1:36">
      <c r="A59" s="46">
        <f>IF(C59="","","VS-"&amp;TEXT(ROW()-4,"0000"))</f>
        <v>0</v>
      </c>
      <c r="D59" s="28">
        <f>IF(B59="","",IFERROR(INDEX(Bookings!$C$5:$C$404,MATCH(B59,Bookings!$A$5:$A$404,0)),""))</f>
        <v>0</v>
      </c>
      <c r="E59" s="28">
        <f>IF(B59="","",IFERROR(INDEX(Bookings!$E$5:$E$404,MATCH(B59,Bookings!$A$5:$A$404,0)),""))</f>
        <v>0</v>
      </c>
      <c r="F59" s="28">
        <f>IF(B59="","",IFERROR(INDEX(Bookings!$H$5:$H$404,MATCH(B59,Bookings!$A$5:$A$404,0)),""))</f>
        <v>0</v>
      </c>
      <c r="H59" s="53">
        <f>IF(B59="","",IFERROR(INDEX(Bookings!$K$5:$K$404,MATCH(B59,Bookings!$A$5:$A$404,0)),""))</f>
        <v>0</v>
      </c>
      <c r="K59" s="31">
        <f>IF(OR(I59="",J59=""),"",ROUND((J59-I59+IF(J59&lt;I59,1,0))*1440,0))</f>
        <v>0</v>
      </c>
      <c r="L59" s="49">
        <f>IF(OR(I59="",H59=""),"",IF(I59&lt;=H59+TIME(0,10,0),"On time","Late "&amp;TEXT((I59-H59)*1440,"0")&amp;" min"))</f>
        <v>0</v>
      </c>
      <c r="O59" s="31">
        <f>IF(OR(M59="",N59=""),"",ROUND((N59-M59+IF(N59&lt;M59,1,0))*1440,0))</f>
        <v>0</v>
      </c>
      <c r="AG59" s="28">
        <f>IF(C59="","",TEXT(C59,"yyyy-mm"))</f>
        <v>0</v>
      </c>
      <c r="AH59" s="28">
        <f>IF(B59="","",B59&amp;"|"&amp;COUNTIF($B$5:$B59,B59))</f>
        <v>0</v>
      </c>
      <c r="AI59" s="28">
        <f>IF(E59="","",E59&amp;"|"&amp;COUNTIF($E$5:$E59,E59))</f>
        <v>0</v>
      </c>
      <c r="AJ59" s="49">
        <f>IF(C59="","",IF(AE59="Missed","Missed visit - contact client",IF(Z59="Yes","Incident logged - follow up",IF(AND(AE59="Completed",AC59&lt;&gt;"Yes"),"Action - send client update",IF(AND(AE59="Completed",AD59&lt;&gt;"Yes"),"Check care checklist",IF(AND(C59&lt;TODAY(),AE59="Scheduled"),"Overdue - log the result","OK"))))))</f>
        <v>0</v>
      </c>
    </row>
    <row r="60" spans="1:36">
      <c r="A60" s="46">
        <f>IF(C60="","","VS-"&amp;TEXT(ROW()-4,"0000"))</f>
        <v>0</v>
      </c>
      <c r="D60" s="28">
        <f>IF(B60="","",IFERROR(INDEX(Bookings!$C$5:$C$404,MATCH(B60,Bookings!$A$5:$A$404,0)),""))</f>
        <v>0</v>
      </c>
      <c r="E60" s="28">
        <f>IF(B60="","",IFERROR(INDEX(Bookings!$E$5:$E$404,MATCH(B60,Bookings!$A$5:$A$404,0)),""))</f>
        <v>0</v>
      </c>
      <c r="F60" s="28">
        <f>IF(B60="","",IFERROR(INDEX(Bookings!$H$5:$H$404,MATCH(B60,Bookings!$A$5:$A$404,0)),""))</f>
        <v>0</v>
      </c>
      <c r="H60" s="53">
        <f>IF(B60="","",IFERROR(INDEX(Bookings!$K$5:$K$404,MATCH(B60,Bookings!$A$5:$A$404,0)),""))</f>
        <v>0</v>
      </c>
      <c r="K60" s="31">
        <f>IF(OR(I60="",J60=""),"",ROUND((J60-I60+IF(J60&lt;I60,1,0))*1440,0))</f>
        <v>0</v>
      </c>
      <c r="L60" s="49">
        <f>IF(OR(I60="",H60=""),"",IF(I60&lt;=H60+TIME(0,10,0),"On time","Late "&amp;TEXT((I60-H60)*1440,"0")&amp;" min"))</f>
        <v>0</v>
      </c>
      <c r="O60" s="31">
        <f>IF(OR(M60="",N60=""),"",ROUND((N60-M60+IF(N60&lt;M60,1,0))*1440,0))</f>
        <v>0</v>
      </c>
      <c r="AG60" s="28">
        <f>IF(C60="","",TEXT(C60,"yyyy-mm"))</f>
        <v>0</v>
      </c>
      <c r="AH60" s="28">
        <f>IF(B60="","",B60&amp;"|"&amp;COUNTIF($B$5:$B60,B60))</f>
        <v>0</v>
      </c>
      <c r="AI60" s="28">
        <f>IF(E60="","",E60&amp;"|"&amp;COUNTIF($E$5:$E60,E60))</f>
        <v>0</v>
      </c>
      <c r="AJ60" s="49">
        <f>IF(C60="","",IF(AE60="Missed","Missed visit - contact client",IF(Z60="Yes","Incident logged - follow up",IF(AND(AE60="Completed",AC60&lt;&gt;"Yes"),"Action - send client update",IF(AND(AE60="Completed",AD60&lt;&gt;"Yes"),"Check care checklist",IF(AND(C60&lt;TODAY(),AE60="Scheduled"),"Overdue - log the result","OK"))))))</f>
        <v>0</v>
      </c>
    </row>
    <row r="61" spans="1:36">
      <c r="A61" s="46">
        <f>IF(C61="","","VS-"&amp;TEXT(ROW()-4,"0000"))</f>
        <v>0</v>
      </c>
      <c r="D61" s="28">
        <f>IF(B61="","",IFERROR(INDEX(Bookings!$C$5:$C$404,MATCH(B61,Bookings!$A$5:$A$404,0)),""))</f>
        <v>0</v>
      </c>
      <c r="E61" s="28">
        <f>IF(B61="","",IFERROR(INDEX(Bookings!$E$5:$E$404,MATCH(B61,Bookings!$A$5:$A$404,0)),""))</f>
        <v>0</v>
      </c>
      <c r="F61" s="28">
        <f>IF(B61="","",IFERROR(INDEX(Bookings!$H$5:$H$404,MATCH(B61,Bookings!$A$5:$A$404,0)),""))</f>
        <v>0</v>
      </c>
      <c r="H61" s="53">
        <f>IF(B61="","",IFERROR(INDEX(Bookings!$K$5:$K$404,MATCH(B61,Bookings!$A$5:$A$404,0)),""))</f>
        <v>0</v>
      </c>
      <c r="K61" s="31">
        <f>IF(OR(I61="",J61=""),"",ROUND((J61-I61+IF(J61&lt;I61,1,0))*1440,0))</f>
        <v>0</v>
      </c>
      <c r="L61" s="49">
        <f>IF(OR(I61="",H61=""),"",IF(I61&lt;=H61+TIME(0,10,0),"On time","Late "&amp;TEXT((I61-H61)*1440,"0")&amp;" min"))</f>
        <v>0</v>
      </c>
      <c r="O61" s="31">
        <f>IF(OR(M61="",N61=""),"",ROUND((N61-M61+IF(N61&lt;M61,1,0))*1440,0))</f>
        <v>0</v>
      </c>
      <c r="AG61" s="28">
        <f>IF(C61="","",TEXT(C61,"yyyy-mm"))</f>
        <v>0</v>
      </c>
      <c r="AH61" s="28">
        <f>IF(B61="","",B61&amp;"|"&amp;COUNTIF($B$5:$B61,B61))</f>
        <v>0</v>
      </c>
      <c r="AI61" s="28">
        <f>IF(E61="","",E61&amp;"|"&amp;COUNTIF($E$5:$E61,E61))</f>
        <v>0</v>
      </c>
      <c r="AJ61" s="49">
        <f>IF(C61="","",IF(AE61="Missed","Missed visit - contact client",IF(Z61="Yes","Incident logged - follow up",IF(AND(AE61="Completed",AC61&lt;&gt;"Yes"),"Action - send client update",IF(AND(AE61="Completed",AD61&lt;&gt;"Yes"),"Check care checklist",IF(AND(C61&lt;TODAY(),AE61="Scheduled"),"Overdue - log the result","OK"))))))</f>
        <v>0</v>
      </c>
    </row>
    <row r="62" spans="1:36">
      <c r="A62" s="46">
        <f>IF(C62="","","VS-"&amp;TEXT(ROW()-4,"0000"))</f>
        <v>0</v>
      </c>
      <c r="D62" s="28">
        <f>IF(B62="","",IFERROR(INDEX(Bookings!$C$5:$C$404,MATCH(B62,Bookings!$A$5:$A$404,0)),""))</f>
        <v>0</v>
      </c>
      <c r="E62" s="28">
        <f>IF(B62="","",IFERROR(INDEX(Bookings!$E$5:$E$404,MATCH(B62,Bookings!$A$5:$A$404,0)),""))</f>
        <v>0</v>
      </c>
      <c r="F62" s="28">
        <f>IF(B62="","",IFERROR(INDEX(Bookings!$H$5:$H$404,MATCH(B62,Bookings!$A$5:$A$404,0)),""))</f>
        <v>0</v>
      </c>
      <c r="H62" s="53">
        <f>IF(B62="","",IFERROR(INDEX(Bookings!$K$5:$K$404,MATCH(B62,Bookings!$A$5:$A$404,0)),""))</f>
        <v>0</v>
      </c>
      <c r="K62" s="31">
        <f>IF(OR(I62="",J62=""),"",ROUND((J62-I62+IF(J62&lt;I62,1,0))*1440,0))</f>
        <v>0</v>
      </c>
      <c r="L62" s="49">
        <f>IF(OR(I62="",H62=""),"",IF(I62&lt;=H62+TIME(0,10,0),"On time","Late "&amp;TEXT((I62-H62)*1440,"0")&amp;" min"))</f>
        <v>0</v>
      </c>
      <c r="O62" s="31">
        <f>IF(OR(M62="",N62=""),"",ROUND((N62-M62+IF(N62&lt;M62,1,0))*1440,0))</f>
        <v>0</v>
      </c>
      <c r="AG62" s="28">
        <f>IF(C62="","",TEXT(C62,"yyyy-mm"))</f>
        <v>0</v>
      </c>
      <c r="AH62" s="28">
        <f>IF(B62="","",B62&amp;"|"&amp;COUNTIF($B$5:$B62,B62))</f>
        <v>0</v>
      </c>
      <c r="AI62" s="28">
        <f>IF(E62="","",E62&amp;"|"&amp;COUNTIF($E$5:$E62,E62))</f>
        <v>0</v>
      </c>
      <c r="AJ62" s="49">
        <f>IF(C62="","",IF(AE62="Missed","Missed visit - contact client",IF(Z62="Yes","Incident logged - follow up",IF(AND(AE62="Completed",AC62&lt;&gt;"Yes"),"Action - send client update",IF(AND(AE62="Completed",AD62&lt;&gt;"Yes"),"Check care checklist",IF(AND(C62&lt;TODAY(),AE62="Scheduled"),"Overdue - log the result","OK"))))))</f>
        <v>0</v>
      </c>
    </row>
    <row r="63" spans="1:36">
      <c r="A63" s="46">
        <f>IF(C63="","","VS-"&amp;TEXT(ROW()-4,"0000"))</f>
        <v>0</v>
      </c>
      <c r="D63" s="28">
        <f>IF(B63="","",IFERROR(INDEX(Bookings!$C$5:$C$404,MATCH(B63,Bookings!$A$5:$A$404,0)),""))</f>
        <v>0</v>
      </c>
      <c r="E63" s="28">
        <f>IF(B63="","",IFERROR(INDEX(Bookings!$E$5:$E$404,MATCH(B63,Bookings!$A$5:$A$404,0)),""))</f>
        <v>0</v>
      </c>
      <c r="F63" s="28">
        <f>IF(B63="","",IFERROR(INDEX(Bookings!$H$5:$H$404,MATCH(B63,Bookings!$A$5:$A$404,0)),""))</f>
        <v>0</v>
      </c>
      <c r="H63" s="53">
        <f>IF(B63="","",IFERROR(INDEX(Bookings!$K$5:$K$404,MATCH(B63,Bookings!$A$5:$A$404,0)),""))</f>
        <v>0</v>
      </c>
      <c r="K63" s="31">
        <f>IF(OR(I63="",J63=""),"",ROUND((J63-I63+IF(J63&lt;I63,1,0))*1440,0))</f>
        <v>0</v>
      </c>
      <c r="L63" s="49">
        <f>IF(OR(I63="",H63=""),"",IF(I63&lt;=H63+TIME(0,10,0),"On time","Late "&amp;TEXT((I63-H63)*1440,"0")&amp;" min"))</f>
        <v>0</v>
      </c>
      <c r="O63" s="31">
        <f>IF(OR(M63="",N63=""),"",ROUND((N63-M63+IF(N63&lt;M63,1,0))*1440,0))</f>
        <v>0</v>
      </c>
      <c r="AG63" s="28">
        <f>IF(C63="","",TEXT(C63,"yyyy-mm"))</f>
        <v>0</v>
      </c>
      <c r="AH63" s="28">
        <f>IF(B63="","",B63&amp;"|"&amp;COUNTIF($B$5:$B63,B63))</f>
        <v>0</v>
      </c>
      <c r="AI63" s="28">
        <f>IF(E63="","",E63&amp;"|"&amp;COUNTIF($E$5:$E63,E63))</f>
        <v>0</v>
      </c>
      <c r="AJ63" s="49">
        <f>IF(C63="","",IF(AE63="Missed","Missed visit - contact client",IF(Z63="Yes","Incident logged - follow up",IF(AND(AE63="Completed",AC63&lt;&gt;"Yes"),"Action - send client update",IF(AND(AE63="Completed",AD63&lt;&gt;"Yes"),"Check care checklist",IF(AND(C63&lt;TODAY(),AE63="Scheduled"),"Overdue - log the result","OK"))))))</f>
        <v>0</v>
      </c>
    </row>
    <row r="64" spans="1:36">
      <c r="A64" s="46">
        <f>IF(C64="","","VS-"&amp;TEXT(ROW()-4,"0000"))</f>
        <v>0</v>
      </c>
      <c r="D64" s="28">
        <f>IF(B64="","",IFERROR(INDEX(Bookings!$C$5:$C$404,MATCH(B64,Bookings!$A$5:$A$404,0)),""))</f>
        <v>0</v>
      </c>
      <c r="E64" s="28">
        <f>IF(B64="","",IFERROR(INDEX(Bookings!$E$5:$E$404,MATCH(B64,Bookings!$A$5:$A$404,0)),""))</f>
        <v>0</v>
      </c>
      <c r="F64" s="28">
        <f>IF(B64="","",IFERROR(INDEX(Bookings!$H$5:$H$404,MATCH(B64,Bookings!$A$5:$A$404,0)),""))</f>
        <v>0</v>
      </c>
      <c r="H64" s="53">
        <f>IF(B64="","",IFERROR(INDEX(Bookings!$K$5:$K$404,MATCH(B64,Bookings!$A$5:$A$404,0)),""))</f>
        <v>0</v>
      </c>
      <c r="K64" s="31">
        <f>IF(OR(I64="",J64=""),"",ROUND((J64-I64+IF(J64&lt;I64,1,0))*1440,0))</f>
        <v>0</v>
      </c>
      <c r="L64" s="49">
        <f>IF(OR(I64="",H64=""),"",IF(I64&lt;=H64+TIME(0,10,0),"On time","Late "&amp;TEXT((I64-H64)*1440,"0")&amp;" min"))</f>
        <v>0</v>
      </c>
      <c r="O64" s="31">
        <f>IF(OR(M64="",N64=""),"",ROUND((N64-M64+IF(N64&lt;M64,1,0))*1440,0))</f>
        <v>0</v>
      </c>
      <c r="AG64" s="28">
        <f>IF(C64="","",TEXT(C64,"yyyy-mm"))</f>
        <v>0</v>
      </c>
      <c r="AH64" s="28">
        <f>IF(B64="","",B64&amp;"|"&amp;COUNTIF($B$5:$B64,B64))</f>
        <v>0</v>
      </c>
      <c r="AI64" s="28">
        <f>IF(E64="","",E64&amp;"|"&amp;COUNTIF($E$5:$E64,E64))</f>
        <v>0</v>
      </c>
      <c r="AJ64" s="49">
        <f>IF(C64="","",IF(AE64="Missed","Missed visit - contact client",IF(Z64="Yes","Incident logged - follow up",IF(AND(AE64="Completed",AC64&lt;&gt;"Yes"),"Action - send client update",IF(AND(AE64="Completed",AD64&lt;&gt;"Yes"),"Check care checklist",IF(AND(C64&lt;TODAY(),AE64="Scheduled"),"Overdue - log the result","OK"))))))</f>
        <v>0</v>
      </c>
    </row>
    <row r="65" spans="1:36">
      <c r="A65" s="46">
        <f>IF(C65="","","VS-"&amp;TEXT(ROW()-4,"0000"))</f>
        <v>0</v>
      </c>
      <c r="D65" s="28">
        <f>IF(B65="","",IFERROR(INDEX(Bookings!$C$5:$C$404,MATCH(B65,Bookings!$A$5:$A$404,0)),""))</f>
        <v>0</v>
      </c>
      <c r="E65" s="28">
        <f>IF(B65="","",IFERROR(INDEX(Bookings!$E$5:$E$404,MATCH(B65,Bookings!$A$5:$A$404,0)),""))</f>
        <v>0</v>
      </c>
      <c r="F65" s="28">
        <f>IF(B65="","",IFERROR(INDEX(Bookings!$H$5:$H$404,MATCH(B65,Bookings!$A$5:$A$404,0)),""))</f>
        <v>0</v>
      </c>
      <c r="H65" s="53">
        <f>IF(B65="","",IFERROR(INDEX(Bookings!$K$5:$K$404,MATCH(B65,Bookings!$A$5:$A$404,0)),""))</f>
        <v>0</v>
      </c>
      <c r="K65" s="31">
        <f>IF(OR(I65="",J65=""),"",ROUND((J65-I65+IF(J65&lt;I65,1,0))*1440,0))</f>
        <v>0</v>
      </c>
      <c r="L65" s="49">
        <f>IF(OR(I65="",H65=""),"",IF(I65&lt;=H65+TIME(0,10,0),"On time","Late "&amp;TEXT((I65-H65)*1440,"0")&amp;" min"))</f>
        <v>0</v>
      </c>
      <c r="O65" s="31">
        <f>IF(OR(M65="",N65=""),"",ROUND((N65-M65+IF(N65&lt;M65,1,0))*1440,0))</f>
        <v>0</v>
      </c>
      <c r="AG65" s="28">
        <f>IF(C65="","",TEXT(C65,"yyyy-mm"))</f>
        <v>0</v>
      </c>
      <c r="AH65" s="28">
        <f>IF(B65="","",B65&amp;"|"&amp;COUNTIF($B$5:$B65,B65))</f>
        <v>0</v>
      </c>
      <c r="AI65" s="28">
        <f>IF(E65="","",E65&amp;"|"&amp;COUNTIF($E$5:$E65,E65))</f>
        <v>0</v>
      </c>
      <c r="AJ65" s="49">
        <f>IF(C65="","",IF(AE65="Missed","Missed visit - contact client",IF(Z65="Yes","Incident logged - follow up",IF(AND(AE65="Completed",AC65&lt;&gt;"Yes"),"Action - send client update",IF(AND(AE65="Completed",AD65&lt;&gt;"Yes"),"Check care checklist",IF(AND(C65&lt;TODAY(),AE65="Scheduled"),"Overdue - log the result","OK"))))))</f>
        <v>0</v>
      </c>
    </row>
    <row r="66" spans="1:36">
      <c r="A66" s="46">
        <f>IF(C66="","","VS-"&amp;TEXT(ROW()-4,"0000"))</f>
        <v>0</v>
      </c>
      <c r="D66" s="28">
        <f>IF(B66="","",IFERROR(INDEX(Bookings!$C$5:$C$404,MATCH(B66,Bookings!$A$5:$A$404,0)),""))</f>
        <v>0</v>
      </c>
      <c r="E66" s="28">
        <f>IF(B66="","",IFERROR(INDEX(Bookings!$E$5:$E$404,MATCH(B66,Bookings!$A$5:$A$404,0)),""))</f>
        <v>0</v>
      </c>
      <c r="F66" s="28">
        <f>IF(B66="","",IFERROR(INDEX(Bookings!$H$5:$H$404,MATCH(B66,Bookings!$A$5:$A$404,0)),""))</f>
        <v>0</v>
      </c>
      <c r="H66" s="53">
        <f>IF(B66="","",IFERROR(INDEX(Bookings!$K$5:$K$404,MATCH(B66,Bookings!$A$5:$A$404,0)),""))</f>
        <v>0</v>
      </c>
      <c r="K66" s="31">
        <f>IF(OR(I66="",J66=""),"",ROUND((J66-I66+IF(J66&lt;I66,1,0))*1440,0))</f>
        <v>0</v>
      </c>
      <c r="L66" s="49">
        <f>IF(OR(I66="",H66=""),"",IF(I66&lt;=H66+TIME(0,10,0),"On time","Late "&amp;TEXT((I66-H66)*1440,"0")&amp;" min"))</f>
        <v>0</v>
      </c>
      <c r="O66" s="31">
        <f>IF(OR(M66="",N66=""),"",ROUND((N66-M66+IF(N66&lt;M66,1,0))*1440,0))</f>
        <v>0</v>
      </c>
      <c r="AG66" s="28">
        <f>IF(C66="","",TEXT(C66,"yyyy-mm"))</f>
        <v>0</v>
      </c>
      <c r="AH66" s="28">
        <f>IF(B66="","",B66&amp;"|"&amp;COUNTIF($B$5:$B66,B66))</f>
        <v>0</v>
      </c>
      <c r="AI66" s="28">
        <f>IF(E66="","",E66&amp;"|"&amp;COUNTIF($E$5:$E66,E66))</f>
        <v>0</v>
      </c>
      <c r="AJ66" s="49">
        <f>IF(C66="","",IF(AE66="Missed","Missed visit - contact client",IF(Z66="Yes","Incident logged - follow up",IF(AND(AE66="Completed",AC66&lt;&gt;"Yes"),"Action - send client update",IF(AND(AE66="Completed",AD66&lt;&gt;"Yes"),"Check care checklist",IF(AND(C66&lt;TODAY(),AE66="Scheduled"),"Overdue - log the result","OK"))))))</f>
        <v>0</v>
      </c>
    </row>
    <row r="67" spans="1:36">
      <c r="A67" s="46">
        <f>IF(C67="","","VS-"&amp;TEXT(ROW()-4,"0000"))</f>
        <v>0</v>
      </c>
      <c r="D67" s="28">
        <f>IF(B67="","",IFERROR(INDEX(Bookings!$C$5:$C$404,MATCH(B67,Bookings!$A$5:$A$404,0)),""))</f>
        <v>0</v>
      </c>
      <c r="E67" s="28">
        <f>IF(B67="","",IFERROR(INDEX(Bookings!$E$5:$E$404,MATCH(B67,Bookings!$A$5:$A$404,0)),""))</f>
        <v>0</v>
      </c>
      <c r="F67" s="28">
        <f>IF(B67="","",IFERROR(INDEX(Bookings!$H$5:$H$404,MATCH(B67,Bookings!$A$5:$A$404,0)),""))</f>
        <v>0</v>
      </c>
      <c r="H67" s="53">
        <f>IF(B67="","",IFERROR(INDEX(Bookings!$K$5:$K$404,MATCH(B67,Bookings!$A$5:$A$404,0)),""))</f>
        <v>0</v>
      </c>
      <c r="K67" s="31">
        <f>IF(OR(I67="",J67=""),"",ROUND((J67-I67+IF(J67&lt;I67,1,0))*1440,0))</f>
        <v>0</v>
      </c>
      <c r="L67" s="49">
        <f>IF(OR(I67="",H67=""),"",IF(I67&lt;=H67+TIME(0,10,0),"On time","Late "&amp;TEXT((I67-H67)*1440,"0")&amp;" min"))</f>
        <v>0</v>
      </c>
      <c r="O67" s="31">
        <f>IF(OR(M67="",N67=""),"",ROUND((N67-M67+IF(N67&lt;M67,1,0))*1440,0))</f>
        <v>0</v>
      </c>
      <c r="AG67" s="28">
        <f>IF(C67="","",TEXT(C67,"yyyy-mm"))</f>
        <v>0</v>
      </c>
      <c r="AH67" s="28">
        <f>IF(B67="","",B67&amp;"|"&amp;COUNTIF($B$5:$B67,B67))</f>
        <v>0</v>
      </c>
      <c r="AI67" s="28">
        <f>IF(E67="","",E67&amp;"|"&amp;COUNTIF($E$5:$E67,E67))</f>
        <v>0</v>
      </c>
      <c r="AJ67" s="49">
        <f>IF(C67="","",IF(AE67="Missed","Missed visit - contact client",IF(Z67="Yes","Incident logged - follow up",IF(AND(AE67="Completed",AC67&lt;&gt;"Yes"),"Action - send client update",IF(AND(AE67="Completed",AD67&lt;&gt;"Yes"),"Check care checklist",IF(AND(C67&lt;TODAY(),AE67="Scheduled"),"Overdue - log the result","OK"))))))</f>
        <v>0</v>
      </c>
    </row>
    <row r="68" spans="1:36">
      <c r="A68" s="46">
        <f>IF(C68="","","VS-"&amp;TEXT(ROW()-4,"0000"))</f>
        <v>0</v>
      </c>
      <c r="D68" s="28">
        <f>IF(B68="","",IFERROR(INDEX(Bookings!$C$5:$C$404,MATCH(B68,Bookings!$A$5:$A$404,0)),""))</f>
        <v>0</v>
      </c>
      <c r="E68" s="28">
        <f>IF(B68="","",IFERROR(INDEX(Bookings!$E$5:$E$404,MATCH(B68,Bookings!$A$5:$A$404,0)),""))</f>
        <v>0</v>
      </c>
      <c r="F68" s="28">
        <f>IF(B68="","",IFERROR(INDEX(Bookings!$H$5:$H$404,MATCH(B68,Bookings!$A$5:$A$404,0)),""))</f>
        <v>0</v>
      </c>
      <c r="H68" s="53">
        <f>IF(B68="","",IFERROR(INDEX(Bookings!$K$5:$K$404,MATCH(B68,Bookings!$A$5:$A$404,0)),""))</f>
        <v>0</v>
      </c>
      <c r="K68" s="31">
        <f>IF(OR(I68="",J68=""),"",ROUND((J68-I68+IF(J68&lt;I68,1,0))*1440,0))</f>
        <v>0</v>
      </c>
      <c r="L68" s="49">
        <f>IF(OR(I68="",H68=""),"",IF(I68&lt;=H68+TIME(0,10,0),"On time","Late "&amp;TEXT((I68-H68)*1440,"0")&amp;" min"))</f>
        <v>0</v>
      </c>
      <c r="O68" s="31">
        <f>IF(OR(M68="",N68=""),"",ROUND((N68-M68+IF(N68&lt;M68,1,0))*1440,0))</f>
        <v>0</v>
      </c>
      <c r="AG68" s="28">
        <f>IF(C68="","",TEXT(C68,"yyyy-mm"))</f>
        <v>0</v>
      </c>
      <c r="AH68" s="28">
        <f>IF(B68="","",B68&amp;"|"&amp;COUNTIF($B$5:$B68,B68))</f>
        <v>0</v>
      </c>
      <c r="AI68" s="28">
        <f>IF(E68="","",E68&amp;"|"&amp;COUNTIF($E$5:$E68,E68))</f>
        <v>0</v>
      </c>
      <c r="AJ68" s="49">
        <f>IF(C68="","",IF(AE68="Missed","Missed visit - contact client",IF(Z68="Yes","Incident logged - follow up",IF(AND(AE68="Completed",AC68&lt;&gt;"Yes"),"Action - send client update",IF(AND(AE68="Completed",AD68&lt;&gt;"Yes"),"Check care checklist",IF(AND(C68&lt;TODAY(),AE68="Scheduled"),"Overdue - log the result","OK"))))))</f>
        <v>0</v>
      </c>
    </row>
    <row r="69" spans="1:36">
      <c r="A69" s="46">
        <f>IF(C69="","","VS-"&amp;TEXT(ROW()-4,"0000"))</f>
        <v>0</v>
      </c>
      <c r="D69" s="28">
        <f>IF(B69="","",IFERROR(INDEX(Bookings!$C$5:$C$404,MATCH(B69,Bookings!$A$5:$A$404,0)),""))</f>
        <v>0</v>
      </c>
      <c r="E69" s="28">
        <f>IF(B69="","",IFERROR(INDEX(Bookings!$E$5:$E$404,MATCH(B69,Bookings!$A$5:$A$404,0)),""))</f>
        <v>0</v>
      </c>
      <c r="F69" s="28">
        <f>IF(B69="","",IFERROR(INDEX(Bookings!$H$5:$H$404,MATCH(B69,Bookings!$A$5:$A$404,0)),""))</f>
        <v>0</v>
      </c>
      <c r="H69" s="53">
        <f>IF(B69="","",IFERROR(INDEX(Bookings!$K$5:$K$404,MATCH(B69,Bookings!$A$5:$A$404,0)),""))</f>
        <v>0</v>
      </c>
      <c r="K69" s="31">
        <f>IF(OR(I69="",J69=""),"",ROUND((J69-I69+IF(J69&lt;I69,1,0))*1440,0))</f>
        <v>0</v>
      </c>
      <c r="L69" s="49">
        <f>IF(OR(I69="",H69=""),"",IF(I69&lt;=H69+TIME(0,10,0),"On time","Late "&amp;TEXT((I69-H69)*1440,"0")&amp;" min"))</f>
        <v>0</v>
      </c>
      <c r="O69" s="31">
        <f>IF(OR(M69="",N69=""),"",ROUND((N69-M69+IF(N69&lt;M69,1,0))*1440,0))</f>
        <v>0</v>
      </c>
      <c r="AG69" s="28">
        <f>IF(C69="","",TEXT(C69,"yyyy-mm"))</f>
        <v>0</v>
      </c>
      <c r="AH69" s="28">
        <f>IF(B69="","",B69&amp;"|"&amp;COUNTIF($B$5:$B69,B69))</f>
        <v>0</v>
      </c>
      <c r="AI69" s="28">
        <f>IF(E69="","",E69&amp;"|"&amp;COUNTIF($E$5:$E69,E69))</f>
        <v>0</v>
      </c>
      <c r="AJ69" s="49">
        <f>IF(C69="","",IF(AE69="Missed","Missed visit - contact client",IF(Z69="Yes","Incident logged - follow up",IF(AND(AE69="Completed",AC69&lt;&gt;"Yes"),"Action - send client update",IF(AND(AE69="Completed",AD69&lt;&gt;"Yes"),"Check care checklist",IF(AND(C69&lt;TODAY(),AE69="Scheduled"),"Overdue - log the result","OK"))))))</f>
        <v>0</v>
      </c>
    </row>
    <row r="70" spans="1:36">
      <c r="A70" s="46">
        <f>IF(C70="","","VS-"&amp;TEXT(ROW()-4,"0000"))</f>
        <v>0</v>
      </c>
      <c r="D70" s="28">
        <f>IF(B70="","",IFERROR(INDEX(Bookings!$C$5:$C$404,MATCH(B70,Bookings!$A$5:$A$404,0)),""))</f>
        <v>0</v>
      </c>
      <c r="E70" s="28">
        <f>IF(B70="","",IFERROR(INDEX(Bookings!$E$5:$E$404,MATCH(B70,Bookings!$A$5:$A$404,0)),""))</f>
        <v>0</v>
      </c>
      <c r="F70" s="28">
        <f>IF(B70="","",IFERROR(INDEX(Bookings!$H$5:$H$404,MATCH(B70,Bookings!$A$5:$A$404,0)),""))</f>
        <v>0</v>
      </c>
      <c r="H70" s="53">
        <f>IF(B70="","",IFERROR(INDEX(Bookings!$K$5:$K$404,MATCH(B70,Bookings!$A$5:$A$404,0)),""))</f>
        <v>0</v>
      </c>
      <c r="K70" s="31">
        <f>IF(OR(I70="",J70=""),"",ROUND((J70-I70+IF(J70&lt;I70,1,0))*1440,0))</f>
        <v>0</v>
      </c>
      <c r="L70" s="49">
        <f>IF(OR(I70="",H70=""),"",IF(I70&lt;=H70+TIME(0,10,0),"On time","Late "&amp;TEXT((I70-H70)*1440,"0")&amp;" min"))</f>
        <v>0</v>
      </c>
      <c r="O70" s="31">
        <f>IF(OR(M70="",N70=""),"",ROUND((N70-M70+IF(N70&lt;M70,1,0))*1440,0))</f>
        <v>0</v>
      </c>
      <c r="AG70" s="28">
        <f>IF(C70="","",TEXT(C70,"yyyy-mm"))</f>
        <v>0</v>
      </c>
      <c r="AH70" s="28">
        <f>IF(B70="","",B70&amp;"|"&amp;COUNTIF($B$5:$B70,B70))</f>
        <v>0</v>
      </c>
      <c r="AI70" s="28">
        <f>IF(E70="","",E70&amp;"|"&amp;COUNTIF($E$5:$E70,E70))</f>
        <v>0</v>
      </c>
      <c r="AJ70" s="49">
        <f>IF(C70="","",IF(AE70="Missed","Missed visit - contact client",IF(Z70="Yes","Incident logged - follow up",IF(AND(AE70="Completed",AC70&lt;&gt;"Yes"),"Action - send client update",IF(AND(AE70="Completed",AD70&lt;&gt;"Yes"),"Check care checklist",IF(AND(C70&lt;TODAY(),AE70="Scheduled"),"Overdue - log the result","OK"))))))</f>
        <v>0</v>
      </c>
    </row>
    <row r="71" spans="1:36">
      <c r="A71" s="46">
        <f>IF(C71="","","VS-"&amp;TEXT(ROW()-4,"0000"))</f>
        <v>0</v>
      </c>
      <c r="D71" s="28">
        <f>IF(B71="","",IFERROR(INDEX(Bookings!$C$5:$C$404,MATCH(B71,Bookings!$A$5:$A$404,0)),""))</f>
        <v>0</v>
      </c>
      <c r="E71" s="28">
        <f>IF(B71="","",IFERROR(INDEX(Bookings!$E$5:$E$404,MATCH(B71,Bookings!$A$5:$A$404,0)),""))</f>
        <v>0</v>
      </c>
      <c r="F71" s="28">
        <f>IF(B71="","",IFERROR(INDEX(Bookings!$H$5:$H$404,MATCH(B71,Bookings!$A$5:$A$404,0)),""))</f>
        <v>0</v>
      </c>
      <c r="H71" s="53">
        <f>IF(B71="","",IFERROR(INDEX(Bookings!$K$5:$K$404,MATCH(B71,Bookings!$A$5:$A$404,0)),""))</f>
        <v>0</v>
      </c>
      <c r="K71" s="31">
        <f>IF(OR(I71="",J71=""),"",ROUND((J71-I71+IF(J71&lt;I71,1,0))*1440,0))</f>
        <v>0</v>
      </c>
      <c r="L71" s="49">
        <f>IF(OR(I71="",H71=""),"",IF(I71&lt;=H71+TIME(0,10,0),"On time","Late "&amp;TEXT((I71-H71)*1440,"0")&amp;" min"))</f>
        <v>0</v>
      </c>
      <c r="O71" s="31">
        <f>IF(OR(M71="",N71=""),"",ROUND((N71-M71+IF(N71&lt;M71,1,0))*1440,0))</f>
        <v>0</v>
      </c>
      <c r="AG71" s="28">
        <f>IF(C71="","",TEXT(C71,"yyyy-mm"))</f>
        <v>0</v>
      </c>
      <c r="AH71" s="28">
        <f>IF(B71="","",B71&amp;"|"&amp;COUNTIF($B$5:$B71,B71))</f>
        <v>0</v>
      </c>
      <c r="AI71" s="28">
        <f>IF(E71="","",E71&amp;"|"&amp;COUNTIF($E$5:$E71,E71))</f>
        <v>0</v>
      </c>
      <c r="AJ71" s="49">
        <f>IF(C71="","",IF(AE71="Missed","Missed visit - contact client",IF(Z71="Yes","Incident logged - follow up",IF(AND(AE71="Completed",AC71&lt;&gt;"Yes"),"Action - send client update",IF(AND(AE71="Completed",AD71&lt;&gt;"Yes"),"Check care checklist",IF(AND(C71&lt;TODAY(),AE71="Scheduled"),"Overdue - log the result","OK"))))))</f>
        <v>0</v>
      </c>
    </row>
    <row r="72" spans="1:36">
      <c r="A72" s="46">
        <f>IF(C72="","","VS-"&amp;TEXT(ROW()-4,"0000"))</f>
        <v>0</v>
      </c>
      <c r="D72" s="28">
        <f>IF(B72="","",IFERROR(INDEX(Bookings!$C$5:$C$404,MATCH(B72,Bookings!$A$5:$A$404,0)),""))</f>
        <v>0</v>
      </c>
      <c r="E72" s="28">
        <f>IF(B72="","",IFERROR(INDEX(Bookings!$E$5:$E$404,MATCH(B72,Bookings!$A$5:$A$404,0)),""))</f>
        <v>0</v>
      </c>
      <c r="F72" s="28">
        <f>IF(B72="","",IFERROR(INDEX(Bookings!$H$5:$H$404,MATCH(B72,Bookings!$A$5:$A$404,0)),""))</f>
        <v>0</v>
      </c>
      <c r="H72" s="53">
        <f>IF(B72="","",IFERROR(INDEX(Bookings!$K$5:$K$404,MATCH(B72,Bookings!$A$5:$A$404,0)),""))</f>
        <v>0</v>
      </c>
      <c r="K72" s="31">
        <f>IF(OR(I72="",J72=""),"",ROUND((J72-I72+IF(J72&lt;I72,1,0))*1440,0))</f>
        <v>0</v>
      </c>
      <c r="L72" s="49">
        <f>IF(OR(I72="",H72=""),"",IF(I72&lt;=H72+TIME(0,10,0),"On time","Late "&amp;TEXT((I72-H72)*1440,"0")&amp;" min"))</f>
        <v>0</v>
      </c>
      <c r="O72" s="31">
        <f>IF(OR(M72="",N72=""),"",ROUND((N72-M72+IF(N72&lt;M72,1,0))*1440,0))</f>
        <v>0</v>
      </c>
      <c r="AG72" s="28">
        <f>IF(C72="","",TEXT(C72,"yyyy-mm"))</f>
        <v>0</v>
      </c>
      <c r="AH72" s="28">
        <f>IF(B72="","",B72&amp;"|"&amp;COUNTIF($B$5:$B72,B72))</f>
        <v>0</v>
      </c>
      <c r="AI72" s="28">
        <f>IF(E72="","",E72&amp;"|"&amp;COUNTIF($E$5:$E72,E72))</f>
        <v>0</v>
      </c>
      <c r="AJ72" s="49">
        <f>IF(C72="","",IF(AE72="Missed","Missed visit - contact client",IF(Z72="Yes","Incident logged - follow up",IF(AND(AE72="Completed",AC72&lt;&gt;"Yes"),"Action - send client update",IF(AND(AE72="Completed",AD72&lt;&gt;"Yes"),"Check care checklist",IF(AND(C72&lt;TODAY(),AE72="Scheduled"),"Overdue - log the result","OK"))))))</f>
        <v>0</v>
      </c>
    </row>
    <row r="73" spans="1:36">
      <c r="A73" s="46">
        <f>IF(C73="","","VS-"&amp;TEXT(ROW()-4,"0000"))</f>
        <v>0</v>
      </c>
      <c r="D73" s="28">
        <f>IF(B73="","",IFERROR(INDEX(Bookings!$C$5:$C$404,MATCH(B73,Bookings!$A$5:$A$404,0)),""))</f>
        <v>0</v>
      </c>
      <c r="E73" s="28">
        <f>IF(B73="","",IFERROR(INDEX(Bookings!$E$5:$E$404,MATCH(B73,Bookings!$A$5:$A$404,0)),""))</f>
        <v>0</v>
      </c>
      <c r="F73" s="28">
        <f>IF(B73="","",IFERROR(INDEX(Bookings!$H$5:$H$404,MATCH(B73,Bookings!$A$5:$A$404,0)),""))</f>
        <v>0</v>
      </c>
      <c r="H73" s="53">
        <f>IF(B73="","",IFERROR(INDEX(Bookings!$K$5:$K$404,MATCH(B73,Bookings!$A$5:$A$404,0)),""))</f>
        <v>0</v>
      </c>
      <c r="K73" s="31">
        <f>IF(OR(I73="",J73=""),"",ROUND((J73-I73+IF(J73&lt;I73,1,0))*1440,0))</f>
        <v>0</v>
      </c>
      <c r="L73" s="49">
        <f>IF(OR(I73="",H73=""),"",IF(I73&lt;=H73+TIME(0,10,0),"On time","Late "&amp;TEXT((I73-H73)*1440,"0")&amp;" min"))</f>
        <v>0</v>
      </c>
      <c r="O73" s="31">
        <f>IF(OR(M73="",N73=""),"",ROUND((N73-M73+IF(N73&lt;M73,1,0))*1440,0))</f>
        <v>0</v>
      </c>
      <c r="AG73" s="28">
        <f>IF(C73="","",TEXT(C73,"yyyy-mm"))</f>
        <v>0</v>
      </c>
      <c r="AH73" s="28">
        <f>IF(B73="","",B73&amp;"|"&amp;COUNTIF($B$5:$B73,B73))</f>
        <v>0</v>
      </c>
      <c r="AI73" s="28">
        <f>IF(E73="","",E73&amp;"|"&amp;COUNTIF($E$5:$E73,E73))</f>
        <v>0</v>
      </c>
      <c r="AJ73" s="49">
        <f>IF(C73="","",IF(AE73="Missed","Missed visit - contact client",IF(Z73="Yes","Incident logged - follow up",IF(AND(AE73="Completed",AC73&lt;&gt;"Yes"),"Action - send client update",IF(AND(AE73="Completed",AD73&lt;&gt;"Yes"),"Check care checklist",IF(AND(C73&lt;TODAY(),AE73="Scheduled"),"Overdue - log the result","OK"))))))</f>
        <v>0</v>
      </c>
    </row>
    <row r="74" spans="1:36">
      <c r="A74" s="46">
        <f>IF(C74="","","VS-"&amp;TEXT(ROW()-4,"0000"))</f>
        <v>0</v>
      </c>
      <c r="D74" s="28">
        <f>IF(B74="","",IFERROR(INDEX(Bookings!$C$5:$C$404,MATCH(B74,Bookings!$A$5:$A$404,0)),""))</f>
        <v>0</v>
      </c>
      <c r="E74" s="28">
        <f>IF(B74="","",IFERROR(INDEX(Bookings!$E$5:$E$404,MATCH(B74,Bookings!$A$5:$A$404,0)),""))</f>
        <v>0</v>
      </c>
      <c r="F74" s="28">
        <f>IF(B74="","",IFERROR(INDEX(Bookings!$H$5:$H$404,MATCH(B74,Bookings!$A$5:$A$404,0)),""))</f>
        <v>0</v>
      </c>
      <c r="H74" s="53">
        <f>IF(B74="","",IFERROR(INDEX(Bookings!$K$5:$K$404,MATCH(B74,Bookings!$A$5:$A$404,0)),""))</f>
        <v>0</v>
      </c>
      <c r="K74" s="31">
        <f>IF(OR(I74="",J74=""),"",ROUND((J74-I74+IF(J74&lt;I74,1,0))*1440,0))</f>
        <v>0</v>
      </c>
      <c r="L74" s="49">
        <f>IF(OR(I74="",H74=""),"",IF(I74&lt;=H74+TIME(0,10,0),"On time","Late "&amp;TEXT((I74-H74)*1440,"0")&amp;" min"))</f>
        <v>0</v>
      </c>
      <c r="O74" s="31">
        <f>IF(OR(M74="",N74=""),"",ROUND((N74-M74+IF(N74&lt;M74,1,0))*1440,0))</f>
        <v>0</v>
      </c>
      <c r="AG74" s="28">
        <f>IF(C74="","",TEXT(C74,"yyyy-mm"))</f>
        <v>0</v>
      </c>
      <c r="AH74" s="28">
        <f>IF(B74="","",B74&amp;"|"&amp;COUNTIF($B$5:$B74,B74))</f>
        <v>0</v>
      </c>
      <c r="AI74" s="28">
        <f>IF(E74="","",E74&amp;"|"&amp;COUNTIF($E$5:$E74,E74))</f>
        <v>0</v>
      </c>
      <c r="AJ74" s="49">
        <f>IF(C74="","",IF(AE74="Missed","Missed visit - contact client",IF(Z74="Yes","Incident logged - follow up",IF(AND(AE74="Completed",AC74&lt;&gt;"Yes"),"Action - send client update",IF(AND(AE74="Completed",AD74&lt;&gt;"Yes"),"Check care checklist",IF(AND(C74&lt;TODAY(),AE74="Scheduled"),"Overdue - log the result","OK"))))))</f>
        <v>0</v>
      </c>
    </row>
    <row r="75" spans="1:36">
      <c r="A75" s="46">
        <f>IF(C75="","","VS-"&amp;TEXT(ROW()-4,"0000"))</f>
        <v>0</v>
      </c>
      <c r="D75" s="28">
        <f>IF(B75="","",IFERROR(INDEX(Bookings!$C$5:$C$404,MATCH(B75,Bookings!$A$5:$A$404,0)),""))</f>
        <v>0</v>
      </c>
      <c r="E75" s="28">
        <f>IF(B75="","",IFERROR(INDEX(Bookings!$E$5:$E$404,MATCH(B75,Bookings!$A$5:$A$404,0)),""))</f>
        <v>0</v>
      </c>
      <c r="F75" s="28">
        <f>IF(B75="","",IFERROR(INDEX(Bookings!$H$5:$H$404,MATCH(B75,Bookings!$A$5:$A$404,0)),""))</f>
        <v>0</v>
      </c>
      <c r="H75" s="53">
        <f>IF(B75="","",IFERROR(INDEX(Bookings!$K$5:$K$404,MATCH(B75,Bookings!$A$5:$A$404,0)),""))</f>
        <v>0</v>
      </c>
      <c r="K75" s="31">
        <f>IF(OR(I75="",J75=""),"",ROUND((J75-I75+IF(J75&lt;I75,1,0))*1440,0))</f>
        <v>0</v>
      </c>
      <c r="L75" s="49">
        <f>IF(OR(I75="",H75=""),"",IF(I75&lt;=H75+TIME(0,10,0),"On time","Late "&amp;TEXT((I75-H75)*1440,"0")&amp;" min"))</f>
        <v>0</v>
      </c>
      <c r="O75" s="31">
        <f>IF(OR(M75="",N75=""),"",ROUND((N75-M75+IF(N75&lt;M75,1,0))*1440,0))</f>
        <v>0</v>
      </c>
      <c r="AG75" s="28">
        <f>IF(C75="","",TEXT(C75,"yyyy-mm"))</f>
        <v>0</v>
      </c>
      <c r="AH75" s="28">
        <f>IF(B75="","",B75&amp;"|"&amp;COUNTIF($B$5:$B75,B75))</f>
        <v>0</v>
      </c>
      <c r="AI75" s="28">
        <f>IF(E75="","",E75&amp;"|"&amp;COUNTIF($E$5:$E75,E75))</f>
        <v>0</v>
      </c>
      <c r="AJ75" s="49">
        <f>IF(C75="","",IF(AE75="Missed","Missed visit - contact client",IF(Z75="Yes","Incident logged - follow up",IF(AND(AE75="Completed",AC75&lt;&gt;"Yes"),"Action - send client update",IF(AND(AE75="Completed",AD75&lt;&gt;"Yes"),"Check care checklist",IF(AND(C75&lt;TODAY(),AE75="Scheduled"),"Overdue - log the result","OK"))))))</f>
        <v>0</v>
      </c>
    </row>
    <row r="76" spans="1:36">
      <c r="A76" s="46">
        <f>IF(C76="","","VS-"&amp;TEXT(ROW()-4,"0000"))</f>
        <v>0</v>
      </c>
      <c r="D76" s="28">
        <f>IF(B76="","",IFERROR(INDEX(Bookings!$C$5:$C$404,MATCH(B76,Bookings!$A$5:$A$404,0)),""))</f>
        <v>0</v>
      </c>
      <c r="E76" s="28">
        <f>IF(B76="","",IFERROR(INDEX(Bookings!$E$5:$E$404,MATCH(B76,Bookings!$A$5:$A$404,0)),""))</f>
        <v>0</v>
      </c>
      <c r="F76" s="28">
        <f>IF(B76="","",IFERROR(INDEX(Bookings!$H$5:$H$404,MATCH(B76,Bookings!$A$5:$A$404,0)),""))</f>
        <v>0</v>
      </c>
      <c r="H76" s="53">
        <f>IF(B76="","",IFERROR(INDEX(Bookings!$K$5:$K$404,MATCH(B76,Bookings!$A$5:$A$404,0)),""))</f>
        <v>0</v>
      </c>
      <c r="K76" s="31">
        <f>IF(OR(I76="",J76=""),"",ROUND((J76-I76+IF(J76&lt;I76,1,0))*1440,0))</f>
        <v>0</v>
      </c>
      <c r="L76" s="49">
        <f>IF(OR(I76="",H76=""),"",IF(I76&lt;=H76+TIME(0,10,0),"On time","Late "&amp;TEXT((I76-H76)*1440,"0")&amp;" min"))</f>
        <v>0</v>
      </c>
      <c r="O76" s="31">
        <f>IF(OR(M76="",N76=""),"",ROUND((N76-M76+IF(N76&lt;M76,1,0))*1440,0))</f>
        <v>0</v>
      </c>
      <c r="AG76" s="28">
        <f>IF(C76="","",TEXT(C76,"yyyy-mm"))</f>
        <v>0</v>
      </c>
      <c r="AH76" s="28">
        <f>IF(B76="","",B76&amp;"|"&amp;COUNTIF($B$5:$B76,B76))</f>
        <v>0</v>
      </c>
      <c r="AI76" s="28">
        <f>IF(E76="","",E76&amp;"|"&amp;COUNTIF($E$5:$E76,E76))</f>
        <v>0</v>
      </c>
      <c r="AJ76" s="49">
        <f>IF(C76="","",IF(AE76="Missed","Missed visit - contact client",IF(Z76="Yes","Incident logged - follow up",IF(AND(AE76="Completed",AC76&lt;&gt;"Yes"),"Action - send client update",IF(AND(AE76="Completed",AD76&lt;&gt;"Yes"),"Check care checklist",IF(AND(C76&lt;TODAY(),AE76="Scheduled"),"Overdue - log the result","OK"))))))</f>
        <v>0</v>
      </c>
    </row>
    <row r="77" spans="1:36">
      <c r="A77" s="46">
        <f>IF(C77="","","VS-"&amp;TEXT(ROW()-4,"0000"))</f>
        <v>0</v>
      </c>
      <c r="D77" s="28">
        <f>IF(B77="","",IFERROR(INDEX(Bookings!$C$5:$C$404,MATCH(B77,Bookings!$A$5:$A$404,0)),""))</f>
        <v>0</v>
      </c>
      <c r="E77" s="28">
        <f>IF(B77="","",IFERROR(INDEX(Bookings!$E$5:$E$404,MATCH(B77,Bookings!$A$5:$A$404,0)),""))</f>
        <v>0</v>
      </c>
      <c r="F77" s="28">
        <f>IF(B77="","",IFERROR(INDEX(Bookings!$H$5:$H$404,MATCH(B77,Bookings!$A$5:$A$404,0)),""))</f>
        <v>0</v>
      </c>
      <c r="H77" s="53">
        <f>IF(B77="","",IFERROR(INDEX(Bookings!$K$5:$K$404,MATCH(B77,Bookings!$A$5:$A$404,0)),""))</f>
        <v>0</v>
      </c>
      <c r="K77" s="31">
        <f>IF(OR(I77="",J77=""),"",ROUND((J77-I77+IF(J77&lt;I77,1,0))*1440,0))</f>
        <v>0</v>
      </c>
      <c r="L77" s="49">
        <f>IF(OR(I77="",H77=""),"",IF(I77&lt;=H77+TIME(0,10,0),"On time","Late "&amp;TEXT((I77-H77)*1440,"0")&amp;" min"))</f>
        <v>0</v>
      </c>
      <c r="O77" s="31">
        <f>IF(OR(M77="",N77=""),"",ROUND((N77-M77+IF(N77&lt;M77,1,0))*1440,0))</f>
        <v>0</v>
      </c>
      <c r="AG77" s="28">
        <f>IF(C77="","",TEXT(C77,"yyyy-mm"))</f>
        <v>0</v>
      </c>
      <c r="AH77" s="28">
        <f>IF(B77="","",B77&amp;"|"&amp;COUNTIF($B$5:$B77,B77))</f>
        <v>0</v>
      </c>
      <c r="AI77" s="28">
        <f>IF(E77="","",E77&amp;"|"&amp;COUNTIF($E$5:$E77,E77))</f>
        <v>0</v>
      </c>
      <c r="AJ77" s="49">
        <f>IF(C77="","",IF(AE77="Missed","Missed visit - contact client",IF(Z77="Yes","Incident logged - follow up",IF(AND(AE77="Completed",AC77&lt;&gt;"Yes"),"Action - send client update",IF(AND(AE77="Completed",AD77&lt;&gt;"Yes"),"Check care checklist",IF(AND(C77&lt;TODAY(),AE77="Scheduled"),"Overdue - log the result","OK"))))))</f>
        <v>0</v>
      </c>
    </row>
    <row r="78" spans="1:36">
      <c r="A78" s="46">
        <f>IF(C78="","","VS-"&amp;TEXT(ROW()-4,"0000"))</f>
        <v>0</v>
      </c>
      <c r="D78" s="28">
        <f>IF(B78="","",IFERROR(INDEX(Bookings!$C$5:$C$404,MATCH(B78,Bookings!$A$5:$A$404,0)),""))</f>
        <v>0</v>
      </c>
      <c r="E78" s="28">
        <f>IF(B78="","",IFERROR(INDEX(Bookings!$E$5:$E$404,MATCH(B78,Bookings!$A$5:$A$404,0)),""))</f>
        <v>0</v>
      </c>
      <c r="F78" s="28">
        <f>IF(B78="","",IFERROR(INDEX(Bookings!$H$5:$H$404,MATCH(B78,Bookings!$A$5:$A$404,0)),""))</f>
        <v>0</v>
      </c>
      <c r="H78" s="53">
        <f>IF(B78="","",IFERROR(INDEX(Bookings!$K$5:$K$404,MATCH(B78,Bookings!$A$5:$A$404,0)),""))</f>
        <v>0</v>
      </c>
      <c r="K78" s="31">
        <f>IF(OR(I78="",J78=""),"",ROUND((J78-I78+IF(J78&lt;I78,1,0))*1440,0))</f>
        <v>0</v>
      </c>
      <c r="L78" s="49">
        <f>IF(OR(I78="",H78=""),"",IF(I78&lt;=H78+TIME(0,10,0),"On time","Late "&amp;TEXT((I78-H78)*1440,"0")&amp;" min"))</f>
        <v>0</v>
      </c>
      <c r="O78" s="31">
        <f>IF(OR(M78="",N78=""),"",ROUND((N78-M78+IF(N78&lt;M78,1,0))*1440,0))</f>
        <v>0</v>
      </c>
      <c r="AG78" s="28">
        <f>IF(C78="","",TEXT(C78,"yyyy-mm"))</f>
        <v>0</v>
      </c>
      <c r="AH78" s="28">
        <f>IF(B78="","",B78&amp;"|"&amp;COUNTIF($B$5:$B78,B78))</f>
        <v>0</v>
      </c>
      <c r="AI78" s="28">
        <f>IF(E78="","",E78&amp;"|"&amp;COUNTIF($E$5:$E78,E78))</f>
        <v>0</v>
      </c>
      <c r="AJ78" s="49">
        <f>IF(C78="","",IF(AE78="Missed","Missed visit - contact client",IF(Z78="Yes","Incident logged - follow up",IF(AND(AE78="Completed",AC78&lt;&gt;"Yes"),"Action - send client update",IF(AND(AE78="Completed",AD78&lt;&gt;"Yes"),"Check care checklist",IF(AND(C78&lt;TODAY(),AE78="Scheduled"),"Overdue - log the result","OK"))))))</f>
        <v>0</v>
      </c>
    </row>
    <row r="79" spans="1:36">
      <c r="A79" s="46">
        <f>IF(C79="","","VS-"&amp;TEXT(ROW()-4,"0000"))</f>
        <v>0</v>
      </c>
      <c r="D79" s="28">
        <f>IF(B79="","",IFERROR(INDEX(Bookings!$C$5:$C$404,MATCH(B79,Bookings!$A$5:$A$404,0)),""))</f>
        <v>0</v>
      </c>
      <c r="E79" s="28">
        <f>IF(B79="","",IFERROR(INDEX(Bookings!$E$5:$E$404,MATCH(B79,Bookings!$A$5:$A$404,0)),""))</f>
        <v>0</v>
      </c>
      <c r="F79" s="28">
        <f>IF(B79="","",IFERROR(INDEX(Bookings!$H$5:$H$404,MATCH(B79,Bookings!$A$5:$A$404,0)),""))</f>
        <v>0</v>
      </c>
      <c r="H79" s="53">
        <f>IF(B79="","",IFERROR(INDEX(Bookings!$K$5:$K$404,MATCH(B79,Bookings!$A$5:$A$404,0)),""))</f>
        <v>0</v>
      </c>
      <c r="K79" s="31">
        <f>IF(OR(I79="",J79=""),"",ROUND((J79-I79+IF(J79&lt;I79,1,0))*1440,0))</f>
        <v>0</v>
      </c>
      <c r="L79" s="49">
        <f>IF(OR(I79="",H79=""),"",IF(I79&lt;=H79+TIME(0,10,0),"On time","Late "&amp;TEXT((I79-H79)*1440,"0")&amp;" min"))</f>
        <v>0</v>
      </c>
      <c r="O79" s="31">
        <f>IF(OR(M79="",N79=""),"",ROUND((N79-M79+IF(N79&lt;M79,1,0))*1440,0))</f>
        <v>0</v>
      </c>
      <c r="AG79" s="28">
        <f>IF(C79="","",TEXT(C79,"yyyy-mm"))</f>
        <v>0</v>
      </c>
      <c r="AH79" s="28">
        <f>IF(B79="","",B79&amp;"|"&amp;COUNTIF($B$5:$B79,B79))</f>
        <v>0</v>
      </c>
      <c r="AI79" s="28">
        <f>IF(E79="","",E79&amp;"|"&amp;COUNTIF($E$5:$E79,E79))</f>
        <v>0</v>
      </c>
      <c r="AJ79" s="49">
        <f>IF(C79="","",IF(AE79="Missed","Missed visit - contact client",IF(Z79="Yes","Incident logged - follow up",IF(AND(AE79="Completed",AC79&lt;&gt;"Yes"),"Action - send client update",IF(AND(AE79="Completed",AD79&lt;&gt;"Yes"),"Check care checklist",IF(AND(C79&lt;TODAY(),AE79="Scheduled"),"Overdue - log the result","OK"))))))</f>
        <v>0</v>
      </c>
    </row>
    <row r="80" spans="1:36">
      <c r="A80" s="46">
        <f>IF(C80="","","VS-"&amp;TEXT(ROW()-4,"0000"))</f>
        <v>0</v>
      </c>
      <c r="D80" s="28">
        <f>IF(B80="","",IFERROR(INDEX(Bookings!$C$5:$C$404,MATCH(B80,Bookings!$A$5:$A$404,0)),""))</f>
        <v>0</v>
      </c>
      <c r="E80" s="28">
        <f>IF(B80="","",IFERROR(INDEX(Bookings!$E$5:$E$404,MATCH(B80,Bookings!$A$5:$A$404,0)),""))</f>
        <v>0</v>
      </c>
      <c r="F80" s="28">
        <f>IF(B80="","",IFERROR(INDEX(Bookings!$H$5:$H$404,MATCH(B80,Bookings!$A$5:$A$404,0)),""))</f>
        <v>0</v>
      </c>
      <c r="H80" s="53">
        <f>IF(B80="","",IFERROR(INDEX(Bookings!$K$5:$K$404,MATCH(B80,Bookings!$A$5:$A$404,0)),""))</f>
        <v>0</v>
      </c>
      <c r="K80" s="31">
        <f>IF(OR(I80="",J80=""),"",ROUND((J80-I80+IF(J80&lt;I80,1,0))*1440,0))</f>
        <v>0</v>
      </c>
      <c r="L80" s="49">
        <f>IF(OR(I80="",H80=""),"",IF(I80&lt;=H80+TIME(0,10,0),"On time","Late "&amp;TEXT((I80-H80)*1440,"0")&amp;" min"))</f>
        <v>0</v>
      </c>
      <c r="O80" s="31">
        <f>IF(OR(M80="",N80=""),"",ROUND((N80-M80+IF(N80&lt;M80,1,0))*1440,0))</f>
        <v>0</v>
      </c>
      <c r="AG80" s="28">
        <f>IF(C80="","",TEXT(C80,"yyyy-mm"))</f>
        <v>0</v>
      </c>
      <c r="AH80" s="28">
        <f>IF(B80="","",B80&amp;"|"&amp;COUNTIF($B$5:$B80,B80))</f>
        <v>0</v>
      </c>
      <c r="AI80" s="28">
        <f>IF(E80="","",E80&amp;"|"&amp;COUNTIF($E$5:$E80,E80))</f>
        <v>0</v>
      </c>
      <c r="AJ80" s="49">
        <f>IF(C80="","",IF(AE80="Missed","Missed visit - contact client",IF(Z80="Yes","Incident logged - follow up",IF(AND(AE80="Completed",AC80&lt;&gt;"Yes"),"Action - send client update",IF(AND(AE80="Completed",AD80&lt;&gt;"Yes"),"Check care checklist",IF(AND(C80&lt;TODAY(),AE80="Scheduled"),"Overdue - log the result","OK"))))))</f>
        <v>0</v>
      </c>
    </row>
    <row r="81" spans="1:36">
      <c r="A81" s="46">
        <f>IF(C81="","","VS-"&amp;TEXT(ROW()-4,"0000"))</f>
        <v>0</v>
      </c>
      <c r="D81" s="28">
        <f>IF(B81="","",IFERROR(INDEX(Bookings!$C$5:$C$404,MATCH(B81,Bookings!$A$5:$A$404,0)),""))</f>
        <v>0</v>
      </c>
      <c r="E81" s="28">
        <f>IF(B81="","",IFERROR(INDEX(Bookings!$E$5:$E$404,MATCH(B81,Bookings!$A$5:$A$404,0)),""))</f>
        <v>0</v>
      </c>
      <c r="F81" s="28">
        <f>IF(B81="","",IFERROR(INDEX(Bookings!$H$5:$H$404,MATCH(B81,Bookings!$A$5:$A$404,0)),""))</f>
        <v>0</v>
      </c>
      <c r="H81" s="53">
        <f>IF(B81="","",IFERROR(INDEX(Bookings!$K$5:$K$404,MATCH(B81,Bookings!$A$5:$A$404,0)),""))</f>
        <v>0</v>
      </c>
      <c r="K81" s="31">
        <f>IF(OR(I81="",J81=""),"",ROUND((J81-I81+IF(J81&lt;I81,1,0))*1440,0))</f>
        <v>0</v>
      </c>
      <c r="L81" s="49">
        <f>IF(OR(I81="",H81=""),"",IF(I81&lt;=H81+TIME(0,10,0),"On time","Late "&amp;TEXT((I81-H81)*1440,"0")&amp;" min"))</f>
        <v>0</v>
      </c>
      <c r="O81" s="31">
        <f>IF(OR(M81="",N81=""),"",ROUND((N81-M81+IF(N81&lt;M81,1,0))*1440,0))</f>
        <v>0</v>
      </c>
      <c r="AG81" s="28">
        <f>IF(C81="","",TEXT(C81,"yyyy-mm"))</f>
        <v>0</v>
      </c>
      <c r="AH81" s="28">
        <f>IF(B81="","",B81&amp;"|"&amp;COUNTIF($B$5:$B81,B81))</f>
        <v>0</v>
      </c>
      <c r="AI81" s="28">
        <f>IF(E81="","",E81&amp;"|"&amp;COUNTIF($E$5:$E81,E81))</f>
        <v>0</v>
      </c>
      <c r="AJ81" s="49">
        <f>IF(C81="","",IF(AE81="Missed","Missed visit - contact client",IF(Z81="Yes","Incident logged - follow up",IF(AND(AE81="Completed",AC81&lt;&gt;"Yes"),"Action - send client update",IF(AND(AE81="Completed",AD81&lt;&gt;"Yes"),"Check care checklist",IF(AND(C81&lt;TODAY(),AE81="Scheduled"),"Overdue - log the result","OK"))))))</f>
        <v>0</v>
      </c>
    </row>
    <row r="82" spans="1:36">
      <c r="A82" s="46">
        <f>IF(C82="","","VS-"&amp;TEXT(ROW()-4,"0000"))</f>
        <v>0</v>
      </c>
      <c r="D82" s="28">
        <f>IF(B82="","",IFERROR(INDEX(Bookings!$C$5:$C$404,MATCH(B82,Bookings!$A$5:$A$404,0)),""))</f>
        <v>0</v>
      </c>
      <c r="E82" s="28">
        <f>IF(B82="","",IFERROR(INDEX(Bookings!$E$5:$E$404,MATCH(B82,Bookings!$A$5:$A$404,0)),""))</f>
        <v>0</v>
      </c>
      <c r="F82" s="28">
        <f>IF(B82="","",IFERROR(INDEX(Bookings!$H$5:$H$404,MATCH(B82,Bookings!$A$5:$A$404,0)),""))</f>
        <v>0</v>
      </c>
      <c r="H82" s="53">
        <f>IF(B82="","",IFERROR(INDEX(Bookings!$K$5:$K$404,MATCH(B82,Bookings!$A$5:$A$404,0)),""))</f>
        <v>0</v>
      </c>
      <c r="K82" s="31">
        <f>IF(OR(I82="",J82=""),"",ROUND((J82-I82+IF(J82&lt;I82,1,0))*1440,0))</f>
        <v>0</v>
      </c>
      <c r="L82" s="49">
        <f>IF(OR(I82="",H82=""),"",IF(I82&lt;=H82+TIME(0,10,0),"On time","Late "&amp;TEXT((I82-H82)*1440,"0")&amp;" min"))</f>
        <v>0</v>
      </c>
      <c r="O82" s="31">
        <f>IF(OR(M82="",N82=""),"",ROUND((N82-M82+IF(N82&lt;M82,1,0))*1440,0))</f>
        <v>0</v>
      </c>
      <c r="AG82" s="28">
        <f>IF(C82="","",TEXT(C82,"yyyy-mm"))</f>
        <v>0</v>
      </c>
      <c r="AH82" s="28">
        <f>IF(B82="","",B82&amp;"|"&amp;COUNTIF($B$5:$B82,B82))</f>
        <v>0</v>
      </c>
      <c r="AI82" s="28">
        <f>IF(E82="","",E82&amp;"|"&amp;COUNTIF($E$5:$E82,E82))</f>
        <v>0</v>
      </c>
      <c r="AJ82" s="49">
        <f>IF(C82="","",IF(AE82="Missed","Missed visit - contact client",IF(Z82="Yes","Incident logged - follow up",IF(AND(AE82="Completed",AC82&lt;&gt;"Yes"),"Action - send client update",IF(AND(AE82="Completed",AD82&lt;&gt;"Yes"),"Check care checklist",IF(AND(C82&lt;TODAY(),AE82="Scheduled"),"Overdue - log the result","OK"))))))</f>
        <v>0</v>
      </c>
    </row>
    <row r="83" spans="1:36">
      <c r="A83" s="46">
        <f>IF(C83="","","VS-"&amp;TEXT(ROW()-4,"0000"))</f>
        <v>0</v>
      </c>
      <c r="D83" s="28">
        <f>IF(B83="","",IFERROR(INDEX(Bookings!$C$5:$C$404,MATCH(B83,Bookings!$A$5:$A$404,0)),""))</f>
        <v>0</v>
      </c>
      <c r="E83" s="28">
        <f>IF(B83="","",IFERROR(INDEX(Bookings!$E$5:$E$404,MATCH(B83,Bookings!$A$5:$A$404,0)),""))</f>
        <v>0</v>
      </c>
      <c r="F83" s="28">
        <f>IF(B83="","",IFERROR(INDEX(Bookings!$H$5:$H$404,MATCH(B83,Bookings!$A$5:$A$404,0)),""))</f>
        <v>0</v>
      </c>
      <c r="H83" s="53">
        <f>IF(B83="","",IFERROR(INDEX(Bookings!$K$5:$K$404,MATCH(B83,Bookings!$A$5:$A$404,0)),""))</f>
        <v>0</v>
      </c>
      <c r="K83" s="31">
        <f>IF(OR(I83="",J83=""),"",ROUND((J83-I83+IF(J83&lt;I83,1,0))*1440,0))</f>
        <v>0</v>
      </c>
      <c r="L83" s="49">
        <f>IF(OR(I83="",H83=""),"",IF(I83&lt;=H83+TIME(0,10,0),"On time","Late "&amp;TEXT((I83-H83)*1440,"0")&amp;" min"))</f>
        <v>0</v>
      </c>
      <c r="O83" s="31">
        <f>IF(OR(M83="",N83=""),"",ROUND((N83-M83+IF(N83&lt;M83,1,0))*1440,0))</f>
        <v>0</v>
      </c>
      <c r="AG83" s="28">
        <f>IF(C83="","",TEXT(C83,"yyyy-mm"))</f>
        <v>0</v>
      </c>
      <c r="AH83" s="28">
        <f>IF(B83="","",B83&amp;"|"&amp;COUNTIF($B$5:$B83,B83))</f>
        <v>0</v>
      </c>
      <c r="AI83" s="28">
        <f>IF(E83="","",E83&amp;"|"&amp;COUNTIF($E$5:$E83,E83))</f>
        <v>0</v>
      </c>
      <c r="AJ83" s="49">
        <f>IF(C83="","",IF(AE83="Missed","Missed visit - contact client",IF(Z83="Yes","Incident logged - follow up",IF(AND(AE83="Completed",AC83&lt;&gt;"Yes"),"Action - send client update",IF(AND(AE83="Completed",AD83&lt;&gt;"Yes"),"Check care checklist",IF(AND(C83&lt;TODAY(),AE83="Scheduled"),"Overdue - log the result","OK"))))))</f>
        <v>0</v>
      </c>
    </row>
    <row r="84" spans="1:36">
      <c r="A84" s="46">
        <f>IF(C84="","","VS-"&amp;TEXT(ROW()-4,"0000"))</f>
        <v>0</v>
      </c>
      <c r="D84" s="28">
        <f>IF(B84="","",IFERROR(INDEX(Bookings!$C$5:$C$404,MATCH(B84,Bookings!$A$5:$A$404,0)),""))</f>
        <v>0</v>
      </c>
      <c r="E84" s="28">
        <f>IF(B84="","",IFERROR(INDEX(Bookings!$E$5:$E$404,MATCH(B84,Bookings!$A$5:$A$404,0)),""))</f>
        <v>0</v>
      </c>
      <c r="F84" s="28">
        <f>IF(B84="","",IFERROR(INDEX(Bookings!$H$5:$H$404,MATCH(B84,Bookings!$A$5:$A$404,0)),""))</f>
        <v>0</v>
      </c>
      <c r="H84" s="53">
        <f>IF(B84="","",IFERROR(INDEX(Bookings!$K$5:$K$404,MATCH(B84,Bookings!$A$5:$A$404,0)),""))</f>
        <v>0</v>
      </c>
      <c r="K84" s="31">
        <f>IF(OR(I84="",J84=""),"",ROUND((J84-I84+IF(J84&lt;I84,1,0))*1440,0))</f>
        <v>0</v>
      </c>
      <c r="L84" s="49">
        <f>IF(OR(I84="",H84=""),"",IF(I84&lt;=H84+TIME(0,10,0),"On time","Late "&amp;TEXT((I84-H84)*1440,"0")&amp;" min"))</f>
        <v>0</v>
      </c>
      <c r="O84" s="31">
        <f>IF(OR(M84="",N84=""),"",ROUND((N84-M84+IF(N84&lt;M84,1,0))*1440,0))</f>
        <v>0</v>
      </c>
      <c r="AG84" s="28">
        <f>IF(C84="","",TEXT(C84,"yyyy-mm"))</f>
        <v>0</v>
      </c>
      <c r="AH84" s="28">
        <f>IF(B84="","",B84&amp;"|"&amp;COUNTIF($B$5:$B84,B84))</f>
        <v>0</v>
      </c>
      <c r="AI84" s="28">
        <f>IF(E84="","",E84&amp;"|"&amp;COUNTIF($E$5:$E84,E84))</f>
        <v>0</v>
      </c>
      <c r="AJ84" s="49">
        <f>IF(C84="","",IF(AE84="Missed","Missed visit - contact client",IF(Z84="Yes","Incident logged - follow up",IF(AND(AE84="Completed",AC84&lt;&gt;"Yes"),"Action - send client update",IF(AND(AE84="Completed",AD84&lt;&gt;"Yes"),"Check care checklist",IF(AND(C84&lt;TODAY(),AE84="Scheduled"),"Overdue - log the result","OK"))))))</f>
        <v>0</v>
      </c>
    </row>
    <row r="85" spans="1:36">
      <c r="A85" s="46">
        <f>IF(C85="","","VS-"&amp;TEXT(ROW()-4,"0000"))</f>
        <v>0</v>
      </c>
      <c r="D85" s="28">
        <f>IF(B85="","",IFERROR(INDEX(Bookings!$C$5:$C$404,MATCH(B85,Bookings!$A$5:$A$404,0)),""))</f>
        <v>0</v>
      </c>
      <c r="E85" s="28">
        <f>IF(B85="","",IFERROR(INDEX(Bookings!$E$5:$E$404,MATCH(B85,Bookings!$A$5:$A$404,0)),""))</f>
        <v>0</v>
      </c>
      <c r="F85" s="28">
        <f>IF(B85="","",IFERROR(INDEX(Bookings!$H$5:$H$404,MATCH(B85,Bookings!$A$5:$A$404,0)),""))</f>
        <v>0</v>
      </c>
      <c r="H85" s="53">
        <f>IF(B85="","",IFERROR(INDEX(Bookings!$K$5:$K$404,MATCH(B85,Bookings!$A$5:$A$404,0)),""))</f>
        <v>0</v>
      </c>
      <c r="K85" s="31">
        <f>IF(OR(I85="",J85=""),"",ROUND((J85-I85+IF(J85&lt;I85,1,0))*1440,0))</f>
        <v>0</v>
      </c>
      <c r="L85" s="49">
        <f>IF(OR(I85="",H85=""),"",IF(I85&lt;=H85+TIME(0,10,0),"On time","Late "&amp;TEXT((I85-H85)*1440,"0")&amp;" min"))</f>
        <v>0</v>
      </c>
      <c r="O85" s="31">
        <f>IF(OR(M85="",N85=""),"",ROUND((N85-M85+IF(N85&lt;M85,1,0))*1440,0))</f>
        <v>0</v>
      </c>
      <c r="AG85" s="28">
        <f>IF(C85="","",TEXT(C85,"yyyy-mm"))</f>
        <v>0</v>
      </c>
      <c r="AH85" s="28">
        <f>IF(B85="","",B85&amp;"|"&amp;COUNTIF($B$5:$B85,B85))</f>
        <v>0</v>
      </c>
      <c r="AI85" s="28">
        <f>IF(E85="","",E85&amp;"|"&amp;COUNTIF($E$5:$E85,E85))</f>
        <v>0</v>
      </c>
      <c r="AJ85" s="49">
        <f>IF(C85="","",IF(AE85="Missed","Missed visit - contact client",IF(Z85="Yes","Incident logged - follow up",IF(AND(AE85="Completed",AC85&lt;&gt;"Yes"),"Action - send client update",IF(AND(AE85="Completed",AD85&lt;&gt;"Yes"),"Check care checklist",IF(AND(C85&lt;TODAY(),AE85="Scheduled"),"Overdue - log the result","OK"))))))</f>
        <v>0</v>
      </c>
    </row>
    <row r="86" spans="1:36">
      <c r="A86" s="46">
        <f>IF(C86="","","VS-"&amp;TEXT(ROW()-4,"0000"))</f>
        <v>0</v>
      </c>
      <c r="D86" s="28">
        <f>IF(B86="","",IFERROR(INDEX(Bookings!$C$5:$C$404,MATCH(B86,Bookings!$A$5:$A$404,0)),""))</f>
        <v>0</v>
      </c>
      <c r="E86" s="28">
        <f>IF(B86="","",IFERROR(INDEX(Bookings!$E$5:$E$404,MATCH(B86,Bookings!$A$5:$A$404,0)),""))</f>
        <v>0</v>
      </c>
      <c r="F86" s="28">
        <f>IF(B86="","",IFERROR(INDEX(Bookings!$H$5:$H$404,MATCH(B86,Bookings!$A$5:$A$404,0)),""))</f>
        <v>0</v>
      </c>
      <c r="H86" s="53">
        <f>IF(B86="","",IFERROR(INDEX(Bookings!$K$5:$K$404,MATCH(B86,Bookings!$A$5:$A$404,0)),""))</f>
        <v>0</v>
      </c>
      <c r="K86" s="31">
        <f>IF(OR(I86="",J86=""),"",ROUND((J86-I86+IF(J86&lt;I86,1,0))*1440,0))</f>
        <v>0</v>
      </c>
      <c r="L86" s="49">
        <f>IF(OR(I86="",H86=""),"",IF(I86&lt;=H86+TIME(0,10,0),"On time","Late "&amp;TEXT((I86-H86)*1440,"0")&amp;" min"))</f>
        <v>0</v>
      </c>
      <c r="O86" s="31">
        <f>IF(OR(M86="",N86=""),"",ROUND((N86-M86+IF(N86&lt;M86,1,0))*1440,0))</f>
        <v>0</v>
      </c>
      <c r="AG86" s="28">
        <f>IF(C86="","",TEXT(C86,"yyyy-mm"))</f>
        <v>0</v>
      </c>
      <c r="AH86" s="28">
        <f>IF(B86="","",B86&amp;"|"&amp;COUNTIF($B$5:$B86,B86))</f>
        <v>0</v>
      </c>
      <c r="AI86" s="28">
        <f>IF(E86="","",E86&amp;"|"&amp;COUNTIF($E$5:$E86,E86))</f>
        <v>0</v>
      </c>
      <c r="AJ86" s="49">
        <f>IF(C86="","",IF(AE86="Missed","Missed visit - contact client",IF(Z86="Yes","Incident logged - follow up",IF(AND(AE86="Completed",AC86&lt;&gt;"Yes"),"Action - send client update",IF(AND(AE86="Completed",AD86&lt;&gt;"Yes"),"Check care checklist",IF(AND(C86&lt;TODAY(),AE86="Scheduled"),"Overdue - log the result","OK"))))))</f>
        <v>0</v>
      </c>
    </row>
    <row r="87" spans="1:36">
      <c r="A87" s="46">
        <f>IF(C87="","","VS-"&amp;TEXT(ROW()-4,"0000"))</f>
        <v>0</v>
      </c>
      <c r="D87" s="28">
        <f>IF(B87="","",IFERROR(INDEX(Bookings!$C$5:$C$404,MATCH(B87,Bookings!$A$5:$A$404,0)),""))</f>
        <v>0</v>
      </c>
      <c r="E87" s="28">
        <f>IF(B87="","",IFERROR(INDEX(Bookings!$E$5:$E$404,MATCH(B87,Bookings!$A$5:$A$404,0)),""))</f>
        <v>0</v>
      </c>
      <c r="F87" s="28">
        <f>IF(B87="","",IFERROR(INDEX(Bookings!$H$5:$H$404,MATCH(B87,Bookings!$A$5:$A$404,0)),""))</f>
        <v>0</v>
      </c>
      <c r="H87" s="53">
        <f>IF(B87="","",IFERROR(INDEX(Bookings!$K$5:$K$404,MATCH(B87,Bookings!$A$5:$A$404,0)),""))</f>
        <v>0</v>
      </c>
      <c r="K87" s="31">
        <f>IF(OR(I87="",J87=""),"",ROUND((J87-I87+IF(J87&lt;I87,1,0))*1440,0))</f>
        <v>0</v>
      </c>
      <c r="L87" s="49">
        <f>IF(OR(I87="",H87=""),"",IF(I87&lt;=H87+TIME(0,10,0),"On time","Late "&amp;TEXT((I87-H87)*1440,"0")&amp;" min"))</f>
        <v>0</v>
      </c>
      <c r="O87" s="31">
        <f>IF(OR(M87="",N87=""),"",ROUND((N87-M87+IF(N87&lt;M87,1,0))*1440,0))</f>
        <v>0</v>
      </c>
      <c r="AG87" s="28">
        <f>IF(C87="","",TEXT(C87,"yyyy-mm"))</f>
        <v>0</v>
      </c>
      <c r="AH87" s="28">
        <f>IF(B87="","",B87&amp;"|"&amp;COUNTIF($B$5:$B87,B87))</f>
        <v>0</v>
      </c>
      <c r="AI87" s="28">
        <f>IF(E87="","",E87&amp;"|"&amp;COUNTIF($E$5:$E87,E87))</f>
        <v>0</v>
      </c>
      <c r="AJ87" s="49">
        <f>IF(C87="","",IF(AE87="Missed","Missed visit - contact client",IF(Z87="Yes","Incident logged - follow up",IF(AND(AE87="Completed",AC87&lt;&gt;"Yes"),"Action - send client update",IF(AND(AE87="Completed",AD87&lt;&gt;"Yes"),"Check care checklist",IF(AND(C87&lt;TODAY(),AE87="Scheduled"),"Overdue - log the result","OK"))))))</f>
        <v>0</v>
      </c>
    </row>
    <row r="88" spans="1:36">
      <c r="A88" s="46">
        <f>IF(C88="","","VS-"&amp;TEXT(ROW()-4,"0000"))</f>
        <v>0</v>
      </c>
      <c r="D88" s="28">
        <f>IF(B88="","",IFERROR(INDEX(Bookings!$C$5:$C$404,MATCH(B88,Bookings!$A$5:$A$404,0)),""))</f>
        <v>0</v>
      </c>
      <c r="E88" s="28">
        <f>IF(B88="","",IFERROR(INDEX(Bookings!$E$5:$E$404,MATCH(B88,Bookings!$A$5:$A$404,0)),""))</f>
        <v>0</v>
      </c>
      <c r="F88" s="28">
        <f>IF(B88="","",IFERROR(INDEX(Bookings!$H$5:$H$404,MATCH(B88,Bookings!$A$5:$A$404,0)),""))</f>
        <v>0</v>
      </c>
      <c r="H88" s="53">
        <f>IF(B88="","",IFERROR(INDEX(Bookings!$K$5:$K$404,MATCH(B88,Bookings!$A$5:$A$404,0)),""))</f>
        <v>0</v>
      </c>
      <c r="K88" s="31">
        <f>IF(OR(I88="",J88=""),"",ROUND((J88-I88+IF(J88&lt;I88,1,0))*1440,0))</f>
        <v>0</v>
      </c>
      <c r="L88" s="49">
        <f>IF(OR(I88="",H88=""),"",IF(I88&lt;=H88+TIME(0,10,0),"On time","Late "&amp;TEXT((I88-H88)*1440,"0")&amp;" min"))</f>
        <v>0</v>
      </c>
      <c r="O88" s="31">
        <f>IF(OR(M88="",N88=""),"",ROUND((N88-M88+IF(N88&lt;M88,1,0))*1440,0))</f>
        <v>0</v>
      </c>
      <c r="AG88" s="28">
        <f>IF(C88="","",TEXT(C88,"yyyy-mm"))</f>
        <v>0</v>
      </c>
      <c r="AH88" s="28">
        <f>IF(B88="","",B88&amp;"|"&amp;COUNTIF($B$5:$B88,B88))</f>
        <v>0</v>
      </c>
      <c r="AI88" s="28">
        <f>IF(E88="","",E88&amp;"|"&amp;COUNTIF($E$5:$E88,E88))</f>
        <v>0</v>
      </c>
      <c r="AJ88" s="49">
        <f>IF(C88="","",IF(AE88="Missed","Missed visit - contact client",IF(Z88="Yes","Incident logged - follow up",IF(AND(AE88="Completed",AC88&lt;&gt;"Yes"),"Action - send client update",IF(AND(AE88="Completed",AD88&lt;&gt;"Yes"),"Check care checklist",IF(AND(C88&lt;TODAY(),AE88="Scheduled"),"Overdue - log the result","OK"))))))</f>
        <v>0</v>
      </c>
    </row>
    <row r="89" spans="1:36">
      <c r="A89" s="46">
        <f>IF(C89="","","VS-"&amp;TEXT(ROW()-4,"0000"))</f>
        <v>0</v>
      </c>
      <c r="D89" s="28">
        <f>IF(B89="","",IFERROR(INDEX(Bookings!$C$5:$C$404,MATCH(B89,Bookings!$A$5:$A$404,0)),""))</f>
        <v>0</v>
      </c>
      <c r="E89" s="28">
        <f>IF(B89="","",IFERROR(INDEX(Bookings!$E$5:$E$404,MATCH(B89,Bookings!$A$5:$A$404,0)),""))</f>
        <v>0</v>
      </c>
      <c r="F89" s="28">
        <f>IF(B89="","",IFERROR(INDEX(Bookings!$H$5:$H$404,MATCH(B89,Bookings!$A$5:$A$404,0)),""))</f>
        <v>0</v>
      </c>
      <c r="H89" s="53">
        <f>IF(B89="","",IFERROR(INDEX(Bookings!$K$5:$K$404,MATCH(B89,Bookings!$A$5:$A$404,0)),""))</f>
        <v>0</v>
      </c>
      <c r="K89" s="31">
        <f>IF(OR(I89="",J89=""),"",ROUND((J89-I89+IF(J89&lt;I89,1,0))*1440,0))</f>
        <v>0</v>
      </c>
      <c r="L89" s="49">
        <f>IF(OR(I89="",H89=""),"",IF(I89&lt;=H89+TIME(0,10,0),"On time","Late "&amp;TEXT((I89-H89)*1440,"0")&amp;" min"))</f>
        <v>0</v>
      </c>
      <c r="O89" s="31">
        <f>IF(OR(M89="",N89=""),"",ROUND((N89-M89+IF(N89&lt;M89,1,0))*1440,0))</f>
        <v>0</v>
      </c>
      <c r="AG89" s="28">
        <f>IF(C89="","",TEXT(C89,"yyyy-mm"))</f>
        <v>0</v>
      </c>
      <c r="AH89" s="28">
        <f>IF(B89="","",B89&amp;"|"&amp;COUNTIF($B$5:$B89,B89))</f>
        <v>0</v>
      </c>
      <c r="AI89" s="28">
        <f>IF(E89="","",E89&amp;"|"&amp;COUNTIF($E$5:$E89,E89))</f>
        <v>0</v>
      </c>
      <c r="AJ89" s="49">
        <f>IF(C89="","",IF(AE89="Missed","Missed visit - contact client",IF(Z89="Yes","Incident logged - follow up",IF(AND(AE89="Completed",AC89&lt;&gt;"Yes"),"Action - send client update",IF(AND(AE89="Completed",AD89&lt;&gt;"Yes"),"Check care checklist",IF(AND(C89&lt;TODAY(),AE89="Scheduled"),"Overdue - log the result","OK"))))))</f>
        <v>0</v>
      </c>
    </row>
    <row r="90" spans="1:36">
      <c r="A90" s="46">
        <f>IF(C90="","","VS-"&amp;TEXT(ROW()-4,"0000"))</f>
        <v>0</v>
      </c>
      <c r="D90" s="28">
        <f>IF(B90="","",IFERROR(INDEX(Bookings!$C$5:$C$404,MATCH(B90,Bookings!$A$5:$A$404,0)),""))</f>
        <v>0</v>
      </c>
      <c r="E90" s="28">
        <f>IF(B90="","",IFERROR(INDEX(Bookings!$E$5:$E$404,MATCH(B90,Bookings!$A$5:$A$404,0)),""))</f>
        <v>0</v>
      </c>
      <c r="F90" s="28">
        <f>IF(B90="","",IFERROR(INDEX(Bookings!$H$5:$H$404,MATCH(B90,Bookings!$A$5:$A$404,0)),""))</f>
        <v>0</v>
      </c>
      <c r="H90" s="53">
        <f>IF(B90="","",IFERROR(INDEX(Bookings!$K$5:$K$404,MATCH(B90,Bookings!$A$5:$A$404,0)),""))</f>
        <v>0</v>
      </c>
      <c r="K90" s="31">
        <f>IF(OR(I90="",J90=""),"",ROUND((J90-I90+IF(J90&lt;I90,1,0))*1440,0))</f>
        <v>0</v>
      </c>
      <c r="L90" s="49">
        <f>IF(OR(I90="",H90=""),"",IF(I90&lt;=H90+TIME(0,10,0),"On time","Late "&amp;TEXT((I90-H90)*1440,"0")&amp;" min"))</f>
        <v>0</v>
      </c>
      <c r="O90" s="31">
        <f>IF(OR(M90="",N90=""),"",ROUND((N90-M90+IF(N90&lt;M90,1,0))*1440,0))</f>
        <v>0</v>
      </c>
      <c r="AG90" s="28">
        <f>IF(C90="","",TEXT(C90,"yyyy-mm"))</f>
        <v>0</v>
      </c>
      <c r="AH90" s="28">
        <f>IF(B90="","",B90&amp;"|"&amp;COUNTIF($B$5:$B90,B90))</f>
        <v>0</v>
      </c>
      <c r="AI90" s="28">
        <f>IF(E90="","",E90&amp;"|"&amp;COUNTIF($E$5:$E90,E90))</f>
        <v>0</v>
      </c>
      <c r="AJ90" s="49">
        <f>IF(C90="","",IF(AE90="Missed","Missed visit - contact client",IF(Z90="Yes","Incident logged - follow up",IF(AND(AE90="Completed",AC90&lt;&gt;"Yes"),"Action - send client update",IF(AND(AE90="Completed",AD90&lt;&gt;"Yes"),"Check care checklist",IF(AND(C90&lt;TODAY(),AE90="Scheduled"),"Overdue - log the result","OK"))))))</f>
        <v>0</v>
      </c>
    </row>
    <row r="91" spans="1:36">
      <c r="A91" s="46">
        <f>IF(C91="","","VS-"&amp;TEXT(ROW()-4,"0000"))</f>
        <v>0</v>
      </c>
      <c r="D91" s="28">
        <f>IF(B91="","",IFERROR(INDEX(Bookings!$C$5:$C$404,MATCH(B91,Bookings!$A$5:$A$404,0)),""))</f>
        <v>0</v>
      </c>
      <c r="E91" s="28">
        <f>IF(B91="","",IFERROR(INDEX(Bookings!$E$5:$E$404,MATCH(B91,Bookings!$A$5:$A$404,0)),""))</f>
        <v>0</v>
      </c>
      <c r="F91" s="28">
        <f>IF(B91="","",IFERROR(INDEX(Bookings!$H$5:$H$404,MATCH(B91,Bookings!$A$5:$A$404,0)),""))</f>
        <v>0</v>
      </c>
      <c r="H91" s="53">
        <f>IF(B91="","",IFERROR(INDEX(Bookings!$K$5:$K$404,MATCH(B91,Bookings!$A$5:$A$404,0)),""))</f>
        <v>0</v>
      </c>
      <c r="K91" s="31">
        <f>IF(OR(I91="",J91=""),"",ROUND((J91-I91+IF(J91&lt;I91,1,0))*1440,0))</f>
        <v>0</v>
      </c>
      <c r="L91" s="49">
        <f>IF(OR(I91="",H91=""),"",IF(I91&lt;=H91+TIME(0,10,0),"On time","Late "&amp;TEXT((I91-H91)*1440,"0")&amp;" min"))</f>
        <v>0</v>
      </c>
      <c r="O91" s="31">
        <f>IF(OR(M91="",N91=""),"",ROUND((N91-M91+IF(N91&lt;M91,1,0))*1440,0))</f>
        <v>0</v>
      </c>
      <c r="AG91" s="28">
        <f>IF(C91="","",TEXT(C91,"yyyy-mm"))</f>
        <v>0</v>
      </c>
      <c r="AH91" s="28">
        <f>IF(B91="","",B91&amp;"|"&amp;COUNTIF($B$5:$B91,B91))</f>
        <v>0</v>
      </c>
      <c r="AI91" s="28">
        <f>IF(E91="","",E91&amp;"|"&amp;COUNTIF($E$5:$E91,E91))</f>
        <v>0</v>
      </c>
      <c r="AJ91" s="49">
        <f>IF(C91="","",IF(AE91="Missed","Missed visit - contact client",IF(Z91="Yes","Incident logged - follow up",IF(AND(AE91="Completed",AC91&lt;&gt;"Yes"),"Action - send client update",IF(AND(AE91="Completed",AD91&lt;&gt;"Yes"),"Check care checklist",IF(AND(C91&lt;TODAY(),AE91="Scheduled"),"Overdue - log the result","OK"))))))</f>
        <v>0</v>
      </c>
    </row>
    <row r="92" spans="1:36">
      <c r="A92" s="46">
        <f>IF(C92="","","VS-"&amp;TEXT(ROW()-4,"0000"))</f>
        <v>0</v>
      </c>
      <c r="D92" s="28">
        <f>IF(B92="","",IFERROR(INDEX(Bookings!$C$5:$C$404,MATCH(B92,Bookings!$A$5:$A$404,0)),""))</f>
        <v>0</v>
      </c>
      <c r="E92" s="28">
        <f>IF(B92="","",IFERROR(INDEX(Bookings!$E$5:$E$404,MATCH(B92,Bookings!$A$5:$A$404,0)),""))</f>
        <v>0</v>
      </c>
      <c r="F92" s="28">
        <f>IF(B92="","",IFERROR(INDEX(Bookings!$H$5:$H$404,MATCH(B92,Bookings!$A$5:$A$404,0)),""))</f>
        <v>0</v>
      </c>
      <c r="H92" s="53">
        <f>IF(B92="","",IFERROR(INDEX(Bookings!$K$5:$K$404,MATCH(B92,Bookings!$A$5:$A$404,0)),""))</f>
        <v>0</v>
      </c>
      <c r="K92" s="31">
        <f>IF(OR(I92="",J92=""),"",ROUND((J92-I92+IF(J92&lt;I92,1,0))*1440,0))</f>
        <v>0</v>
      </c>
      <c r="L92" s="49">
        <f>IF(OR(I92="",H92=""),"",IF(I92&lt;=H92+TIME(0,10,0),"On time","Late "&amp;TEXT((I92-H92)*1440,"0")&amp;" min"))</f>
        <v>0</v>
      </c>
      <c r="O92" s="31">
        <f>IF(OR(M92="",N92=""),"",ROUND((N92-M92+IF(N92&lt;M92,1,0))*1440,0))</f>
        <v>0</v>
      </c>
      <c r="AG92" s="28">
        <f>IF(C92="","",TEXT(C92,"yyyy-mm"))</f>
        <v>0</v>
      </c>
      <c r="AH92" s="28">
        <f>IF(B92="","",B92&amp;"|"&amp;COUNTIF($B$5:$B92,B92))</f>
        <v>0</v>
      </c>
      <c r="AI92" s="28">
        <f>IF(E92="","",E92&amp;"|"&amp;COUNTIF($E$5:$E92,E92))</f>
        <v>0</v>
      </c>
      <c r="AJ92" s="49">
        <f>IF(C92="","",IF(AE92="Missed","Missed visit - contact client",IF(Z92="Yes","Incident logged - follow up",IF(AND(AE92="Completed",AC92&lt;&gt;"Yes"),"Action - send client update",IF(AND(AE92="Completed",AD92&lt;&gt;"Yes"),"Check care checklist",IF(AND(C92&lt;TODAY(),AE92="Scheduled"),"Overdue - log the result","OK"))))))</f>
        <v>0</v>
      </c>
    </row>
    <row r="93" spans="1:36">
      <c r="A93" s="46">
        <f>IF(C93="","","VS-"&amp;TEXT(ROW()-4,"0000"))</f>
        <v>0</v>
      </c>
      <c r="D93" s="28">
        <f>IF(B93="","",IFERROR(INDEX(Bookings!$C$5:$C$404,MATCH(B93,Bookings!$A$5:$A$404,0)),""))</f>
        <v>0</v>
      </c>
      <c r="E93" s="28">
        <f>IF(B93="","",IFERROR(INDEX(Bookings!$E$5:$E$404,MATCH(B93,Bookings!$A$5:$A$404,0)),""))</f>
        <v>0</v>
      </c>
      <c r="F93" s="28">
        <f>IF(B93="","",IFERROR(INDEX(Bookings!$H$5:$H$404,MATCH(B93,Bookings!$A$5:$A$404,0)),""))</f>
        <v>0</v>
      </c>
      <c r="H93" s="53">
        <f>IF(B93="","",IFERROR(INDEX(Bookings!$K$5:$K$404,MATCH(B93,Bookings!$A$5:$A$404,0)),""))</f>
        <v>0</v>
      </c>
      <c r="K93" s="31">
        <f>IF(OR(I93="",J93=""),"",ROUND((J93-I93+IF(J93&lt;I93,1,0))*1440,0))</f>
        <v>0</v>
      </c>
      <c r="L93" s="49">
        <f>IF(OR(I93="",H93=""),"",IF(I93&lt;=H93+TIME(0,10,0),"On time","Late "&amp;TEXT((I93-H93)*1440,"0")&amp;" min"))</f>
        <v>0</v>
      </c>
      <c r="O93" s="31">
        <f>IF(OR(M93="",N93=""),"",ROUND((N93-M93+IF(N93&lt;M93,1,0))*1440,0))</f>
        <v>0</v>
      </c>
      <c r="AG93" s="28">
        <f>IF(C93="","",TEXT(C93,"yyyy-mm"))</f>
        <v>0</v>
      </c>
      <c r="AH93" s="28">
        <f>IF(B93="","",B93&amp;"|"&amp;COUNTIF($B$5:$B93,B93))</f>
        <v>0</v>
      </c>
      <c r="AI93" s="28">
        <f>IF(E93="","",E93&amp;"|"&amp;COUNTIF($E$5:$E93,E93))</f>
        <v>0</v>
      </c>
      <c r="AJ93" s="49">
        <f>IF(C93="","",IF(AE93="Missed","Missed visit - contact client",IF(Z93="Yes","Incident logged - follow up",IF(AND(AE93="Completed",AC93&lt;&gt;"Yes"),"Action - send client update",IF(AND(AE93="Completed",AD93&lt;&gt;"Yes"),"Check care checklist",IF(AND(C93&lt;TODAY(),AE93="Scheduled"),"Overdue - log the result","OK"))))))</f>
        <v>0</v>
      </c>
    </row>
    <row r="94" spans="1:36">
      <c r="A94" s="46">
        <f>IF(C94="","","VS-"&amp;TEXT(ROW()-4,"0000"))</f>
        <v>0</v>
      </c>
      <c r="D94" s="28">
        <f>IF(B94="","",IFERROR(INDEX(Bookings!$C$5:$C$404,MATCH(B94,Bookings!$A$5:$A$404,0)),""))</f>
        <v>0</v>
      </c>
      <c r="E94" s="28">
        <f>IF(B94="","",IFERROR(INDEX(Bookings!$E$5:$E$404,MATCH(B94,Bookings!$A$5:$A$404,0)),""))</f>
        <v>0</v>
      </c>
      <c r="F94" s="28">
        <f>IF(B94="","",IFERROR(INDEX(Bookings!$H$5:$H$404,MATCH(B94,Bookings!$A$5:$A$404,0)),""))</f>
        <v>0</v>
      </c>
      <c r="H94" s="53">
        <f>IF(B94="","",IFERROR(INDEX(Bookings!$K$5:$K$404,MATCH(B94,Bookings!$A$5:$A$404,0)),""))</f>
        <v>0</v>
      </c>
      <c r="K94" s="31">
        <f>IF(OR(I94="",J94=""),"",ROUND((J94-I94+IF(J94&lt;I94,1,0))*1440,0))</f>
        <v>0</v>
      </c>
      <c r="L94" s="49">
        <f>IF(OR(I94="",H94=""),"",IF(I94&lt;=H94+TIME(0,10,0),"On time","Late "&amp;TEXT((I94-H94)*1440,"0")&amp;" min"))</f>
        <v>0</v>
      </c>
      <c r="O94" s="31">
        <f>IF(OR(M94="",N94=""),"",ROUND((N94-M94+IF(N94&lt;M94,1,0))*1440,0))</f>
        <v>0</v>
      </c>
      <c r="AG94" s="28">
        <f>IF(C94="","",TEXT(C94,"yyyy-mm"))</f>
        <v>0</v>
      </c>
      <c r="AH94" s="28">
        <f>IF(B94="","",B94&amp;"|"&amp;COUNTIF($B$5:$B94,B94))</f>
        <v>0</v>
      </c>
      <c r="AI94" s="28">
        <f>IF(E94="","",E94&amp;"|"&amp;COUNTIF($E$5:$E94,E94))</f>
        <v>0</v>
      </c>
      <c r="AJ94" s="49">
        <f>IF(C94="","",IF(AE94="Missed","Missed visit - contact client",IF(Z94="Yes","Incident logged - follow up",IF(AND(AE94="Completed",AC94&lt;&gt;"Yes"),"Action - send client update",IF(AND(AE94="Completed",AD94&lt;&gt;"Yes"),"Check care checklist",IF(AND(C94&lt;TODAY(),AE94="Scheduled"),"Overdue - log the result","OK"))))))</f>
        <v>0</v>
      </c>
    </row>
    <row r="95" spans="1:36">
      <c r="A95" s="46">
        <f>IF(C95="","","VS-"&amp;TEXT(ROW()-4,"0000"))</f>
        <v>0</v>
      </c>
      <c r="D95" s="28">
        <f>IF(B95="","",IFERROR(INDEX(Bookings!$C$5:$C$404,MATCH(B95,Bookings!$A$5:$A$404,0)),""))</f>
        <v>0</v>
      </c>
      <c r="E95" s="28">
        <f>IF(B95="","",IFERROR(INDEX(Bookings!$E$5:$E$404,MATCH(B95,Bookings!$A$5:$A$404,0)),""))</f>
        <v>0</v>
      </c>
      <c r="F95" s="28">
        <f>IF(B95="","",IFERROR(INDEX(Bookings!$H$5:$H$404,MATCH(B95,Bookings!$A$5:$A$404,0)),""))</f>
        <v>0</v>
      </c>
      <c r="H95" s="53">
        <f>IF(B95="","",IFERROR(INDEX(Bookings!$K$5:$K$404,MATCH(B95,Bookings!$A$5:$A$404,0)),""))</f>
        <v>0</v>
      </c>
      <c r="K95" s="31">
        <f>IF(OR(I95="",J95=""),"",ROUND((J95-I95+IF(J95&lt;I95,1,0))*1440,0))</f>
        <v>0</v>
      </c>
      <c r="L95" s="49">
        <f>IF(OR(I95="",H95=""),"",IF(I95&lt;=H95+TIME(0,10,0),"On time","Late "&amp;TEXT((I95-H95)*1440,"0")&amp;" min"))</f>
        <v>0</v>
      </c>
      <c r="O95" s="31">
        <f>IF(OR(M95="",N95=""),"",ROUND((N95-M95+IF(N95&lt;M95,1,0))*1440,0))</f>
        <v>0</v>
      </c>
      <c r="AG95" s="28">
        <f>IF(C95="","",TEXT(C95,"yyyy-mm"))</f>
        <v>0</v>
      </c>
      <c r="AH95" s="28">
        <f>IF(B95="","",B95&amp;"|"&amp;COUNTIF($B$5:$B95,B95))</f>
        <v>0</v>
      </c>
      <c r="AI95" s="28">
        <f>IF(E95="","",E95&amp;"|"&amp;COUNTIF($E$5:$E95,E95))</f>
        <v>0</v>
      </c>
      <c r="AJ95" s="49">
        <f>IF(C95="","",IF(AE95="Missed","Missed visit - contact client",IF(Z95="Yes","Incident logged - follow up",IF(AND(AE95="Completed",AC95&lt;&gt;"Yes"),"Action - send client update",IF(AND(AE95="Completed",AD95&lt;&gt;"Yes"),"Check care checklist",IF(AND(C95&lt;TODAY(),AE95="Scheduled"),"Overdue - log the result","OK"))))))</f>
        <v>0</v>
      </c>
    </row>
    <row r="96" spans="1:36">
      <c r="A96" s="46">
        <f>IF(C96="","","VS-"&amp;TEXT(ROW()-4,"0000"))</f>
        <v>0</v>
      </c>
      <c r="D96" s="28">
        <f>IF(B96="","",IFERROR(INDEX(Bookings!$C$5:$C$404,MATCH(B96,Bookings!$A$5:$A$404,0)),""))</f>
        <v>0</v>
      </c>
      <c r="E96" s="28">
        <f>IF(B96="","",IFERROR(INDEX(Bookings!$E$5:$E$404,MATCH(B96,Bookings!$A$5:$A$404,0)),""))</f>
        <v>0</v>
      </c>
      <c r="F96" s="28">
        <f>IF(B96="","",IFERROR(INDEX(Bookings!$H$5:$H$404,MATCH(B96,Bookings!$A$5:$A$404,0)),""))</f>
        <v>0</v>
      </c>
      <c r="H96" s="53">
        <f>IF(B96="","",IFERROR(INDEX(Bookings!$K$5:$K$404,MATCH(B96,Bookings!$A$5:$A$404,0)),""))</f>
        <v>0</v>
      </c>
      <c r="K96" s="31">
        <f>IF(OR(I96="",J96=""),"",ROUND((J96-I96+IF(J96&lt;I96,1,0))*1440,0))</f>
        <v>0</v>
      </c>
      <c r="L96" s="49">
        <f>IF(OR(I96="",H96=""),"",IF(I96&lt;=H96+TIME(0,10,0),"On time","Late "&amp;TEXT((I96-H96)*1440,"0")&amp;" min"))</f>
        <v>0</v>
      </c>
      <c r="O96" s="31">
        <f>IF(OR(M96="",N96=""),"",ROUND((N96-M96+IF(N96&lt;M96,1,0))*1440,0))</f>
        <v>0</v>
      </c>
      <c r="AG96" s="28">
        <f>IF(C96="","",TEXT(C96,"yyyy-mm"))</f>
        <v>0</v>
      </c>
      <c r="AH96" s="28">
        <f>IF(B96="","",B96&amp;"|"&amp;COUNTIF($B$5:$B96,B96))</f>
        <v>0</v>
      </c>
      <c r="AI96" s="28">
        <f>IF(E96="","",E96&amp;"|"&amp;COUNTIF($E$5:$E96,E96))</f>
        <v>0</v>
      </c>
      <c r="AJ96" s="49">
        <f>IF(C96="","",IF(AE96="Missed","Missed visit - contact client",IF(Z96="Yes","Incident logged - follow up",IF(AND(AE96="Completed",AC96&lt;&gt;"Yes"),"Action - send client update",IF(AND(AE96="Completed",AD96&lt;&gt;"Yes"),"Check care checklist",IF(AND(C96&lt;TODAY(),AE96="Scheduled"),"Overdue - log the result","OK"))))))</f>
        <v>0</v>
      </c>
    </row>
    <row r="97" spans="1:36">
      <c r="A97" s="46">
        <f>IF(C97="","","VS-"&amp;TEXT(ROW()-4,"0000"))</f>
        <v>0</v>
      </c>
      <c r="D97" s="28">
        <f>IF(B97="","",IFERROR(INDEX(Bookings!$C$5:$C$404,MATCH(B97,Bookings!$A$5:$A$404,0)),""))</f>
        <v>0</v>
      </c>
      <c r="E97" s="28">
        <f>IF(B97="","",IFERROR(INDEX(Bookings!$E$5:$E$404,MATCH(B97,Bookings!$A$5:$A$404,0)),""))</f>
        <v>0</v>
      </c>
      <c r="F97" s="28">
        <f>IF(B97="","",IFERROR(INDEX(Bookings!$H$5:$H$404,MATCH(B97,Bookings!$A$5:$A$404,0)),""))</f>
        <v>0</v>
      </c>
      <c r="H97" s="53">
        <f>IF(B97="","",IFERROR(INDEX(Bookings!$K$5:$K$404,MATCH(B97,Bookings!$A$5:$A$404,0)),""))</f>
        <v>0</v>
      </c>
      <c r="K97" s="31">
        <f>IF(OR(I97="",J97=""),"",ROUND((J97-I97+IF(J97&lt;I97,1,0))*1440,0))</f>
        <v>0</v>
      </c>
      <c r="L97" s="49">
        <f>IF(OR(I97="",H97=""),"",IF(I97&lt;=H97+TIME(0,10,0),"On time","Late "&amp;TEXT((I97-H97)*1440,"0")&amp;" min"))</f>
        <v>0</v>
      </c>
      <c r="O97" s="31">
        <f>IF(OR(M97="",N97=""),"",ROUND((N97-M97+IF(N97&lt;M97,1,0))*1440,0))</f>
        <v>0</v>
      </c>
      <c r="AG97" s="28">
        <f>IF(C97="","",TEXT(C97,"yyyy-mm"))</f>
        <v>0</v>
      </c>
      <c r="AH97" s="28">
        <f>IF(B97="","",B97&amp;"|"&amp;COUNTIF($B$5:$B97,B97))</f>
        <v>0</v>
      </c>
      <c r="AI97" s="28">
        <f>IF(E97="","",E97&amp;"|"&amp;COUNTIF($E$5:$E97,E97))</f>
        <v>0</v>
      </c>
      <c r="AJ97" s="49">
        <f>IF(C97="","",IF(AE97="Missed","Missed visit - contact client",IF(Z97="Yes","Incident logged - follow up",IF(AND(AE97="Completed",AC97&lt;&gt;"Yes"),"Action - send client update",IF(AND(AE97="Completed",AD97&lt;&gt;"Yes"),"Check care checklist",IF(AND(C97&lt;TODAY(),AE97="Scheduled"),"Overdue - log the result","OK"))))))</f>
        <v>0</v>
      </c>
    </row>
    <row r="98" spans="1:36">
      <c r="A98" s="46">
        <f>IF(C98="","","VS-"&amp;TEXT(ROW()-4,"0000"))</f>
        <v>0</v>
      </c>
      <c r="D98" s="28">
        <f>IF(B98="","",IFERROR(INDEX(Bookings!$C$5:$C$404,MATCH(B98,Bookings!$A$5:$A$404,0)),""))</f>
        <v>0</v>
      </c>
      <c r="E98" s="28">
        <f>IF(B98="","",IFERROR(INDEX(Bookings!$E$5:$E$404,MATCH(B98,Bookings!$A$5:$A$404,0)),""))</f>
        <v>0</v>
      </c>
      <c r="F98" s="28">
        <f>IF(B98="","",IFERROR(INDEX(Bookings!$H$5:$H$404,MATCH(B98,Bookings!$A$5:$A$404,0)),""))</f>
        <v>0</v>
      </c>
      <c r="H98" s="53">
        <f>IF(B98="","",IFERROR(INDEX(Bookings!$K$5:$K$404,MATCH(B98,Bookings!$A$5:$A$404,0)),""))</f>
        <v>0</v>
      </c>
      <c r="K98" s="31">
        <f>IF(OR(I98="",J98=""),"",ROUND((J98-I98+IF(J98&lt;I98,1,0))*1440,0))</f>
        <v>0</v>
      </c>
      <c r="L98" s="49">
        <f>IF(OR(I98="",H98=""),"",IF(I98&lt;=H98+TIME(0,10,0),"On time","Late "&amp;TEXT((I98-H98)*1440,"0")&amp;" min"))</f>
        <v>0</v>
      </c>
      <c r="O98" s="31">
        <f>IF(OR(M98="",N98=""),"",ROUND((N98-M98+IF(N98&lt;M98,1,0))*1440,0))</f>
        <v>0</v>
      </c>
      <c r="AG98" s="28">
        <f>IF(C98="","",TEXT(C98,"yyyy-mm"))</f>
        <v>0</v>
      </c>
      <c r="AH98" s="28">
        <f>IF(B98="","",B98&amp;"|"&amp;COUNTIF($B$5:$B98,B98))</f>
        <v>0</v>
      </c>
      <c r="AI98" s="28">
        <f>IF(E98="","",E98&amp;"|"&amp;COUNTIF($E$5:$E98,E98))</f>
        <v>0</v>
      </c>
      <c r="AJ98" s="49">
        <f>IF(C98="","",IF(AE98="Missed","Missed visit - contact client",IF(Z98="Yes","Incident logged - follow up",IF(AND(AE98="Completed",AC98&lt;&gt;"Yes"),"Action - send client update",IF(AND(AE98="Completed",AD98&lt;&gt;"Yes"),"Check care checklist",IF(AND(C98&lt;TODAY(),AE98="Scheduled"),"Overdue - log the result","OK"))))))</f>
        <v>0</v>
      </c>
    </row>
    <row r="99" spans="1:36">
      <c r="A99" s="46">
        <f>IF(C99="","","VS-"&amp;TEXT(ROW()-4,"0000"))</f>
        <v>0</v>
      </c>
      <c r="D99" s="28">
        <f>IF(B99="","",IFERROR(INDEX(Bookings!$C$5:$C$404,MATCH(B99,Bookings!$A$5:$A$404,0)),""))</f>
        <v>0</v>
      </c>
      <c r="E99" s="28">
        <f>IF(B99="","",IFERROR(INDEX(Bookings!$E$5:$E$404,MATCH(B99,Bookings!$A$5:$A$404,0)),""))</f>
        <v>0</v>
      </c>
      <c r="F99" s="28">
        <f>IF(B99="","",IFERROR(INDEX(Bookings!$H$5:$H$404,MATCH(B99,Bookings!$A$5:$A$404,0)),""))</f>
        <v>0</v>
      </c>
      <c r="H99" s="53">
        <f>IF(B99="","",IFERROR(INDEX(Bookings!$K$5:$K$404,MATCH(B99,Bookings!$A$5:$A$404,0)),""))</f>
        <v>0</v>
      </c>
      <c r="K99" s="31">
        <f>IF(OR(I99="",J99=""),"",ROUND((J99-I99+IF(J99&lt;I99,1,0))*1440,0))</f>
        <v>0</v>
      </c>
      <c r="L99" s="49">
        <f>IF(OR(I99="",H99=""),"",IF(I99&lt;=H99+TIME(0,10,0),"On time","Late "&amp;TEXT((I99-H99)*1440,"0")&amp;" min"))</f>
        <v>0</v>
      </c>
      <c r="O99" s="31">
        <f>IF(OR(M99="",N99=""),"",ROUND((N99-M99+IF(N99&lt;M99,1,0))*1440,0))</f>
        <v>0</v>
      </c>
      <c r="AG99" s="28">
        <f>IF(C99="","",TEXT(C99,"yyyy-mm"))</f>
        <v>0</v>
      </c>
      <c r="AH99" s="28">
        <f>IF(B99="","",B99&amp;"|"&amp;COUNTIF($B$5:$B99,B99))</f>
        <v>0</v>
      </c>
      <c r="AI99" s="28">
        <f>IF(E99="","",E99&amp;"|"&amp;COUNTIF($E$5:$E99,E99))</f>
        <v>0</v>
      </c>
      <c r="AJ99" s="49">
        <f>IF(C99="","",IF(AE99="Missed","Missed visit - contact client",IF(Z99="Yes","Incident logged - follow up",IF(AND(AE99="Completed",AC99&lt;&gt;"Yes"),"Action - send client update",IF(AND(AE99="Completed",AD99&lt;&gt;"Yes"),"Check care checklist",IF(AND(C99&lt;TODAY(),AE99="Scheduled"),"Overdue - log the result","OK"))))))</f>
        <v>0</v>
      </c>
    </row>
    <row r="100" spans="1:36">
      <c r="A100" s="46">
        <f>IF(C100="","","VS-"&amp;TEXT(ROW()-4,"0000"))</f>
        <v>0</v>
      </c>
      <c r="D100" s="28">
        <f>IF(B100="","",IFERROR(INDEX(Bookings!$C$5:$C$404,MATCH(B100,Bookings!$A$5:$A$404,0)),""))</f>
        <v>0</v>
      </c>
      <c r="E100" s="28">
        <f>IF(B100="","",IFERROR(INDEX(Bookings!$E$5:$E$404,MATCH(B100,Bookings!$A$5:$A$404,0)),""))</f>
        <v>0</v>
      </c>
      <c r="F100" s="28">
        <f>IF(B100="","",IFERROR(INDEX(Bookings!$H$5:$H$404,MATCH(B100,Bookings!$A$5:$A$404,0)),""))</f>
        <v>0</v>
      </c>
      <c r="H100" s="53">
        <f>IF(B100="","",IFERROR(INDEX(Bookings!$K$5:$K$404,MATCH(B100,Bookings!$A$5:$A$404,0)),""))</f>
        <v>0</v>
      </c>
      <c r="K100" s="31">
        <f>IF(OR(I100="",J100=""),"",ROUND((J100-I100+IF(J100&lt;I100,1,0))*1440,0))</f>
        <v>0</v>
      </c>
      <c r="L100" s="49">
        <f>IF(OR(I100="",H100=""),"",IF(I100&lt;=H100+TIME(0,10,0),"On time","Late "&amp;TEXT((I100-H100)*1440,"0")&amp;" min"))</f>
        <v>0</v>
      </c>
      <c r="O100" s="31">
        <f>IF(OR(M100="",N100=""),"",ROUND((N100-M100+IF(N100&lt;M100,1,0))*1440,0))</f>
        <v>0</v>
      </c>
      <c r="AG100" s="28">
        <f>IF(C100="","",TEXT(C100,"yyyy-mm"))</f>
        <v>0</v>
      </c>
      <c r="AH100" s="28">
        <f>IF(B100="","",B100&amp;"|"&amp;COUNTIF($B$5:$B100,B100))</f>
        <v>0</v>
      </c>
      <c r="AI100" s="28">
        <f>IF(E100="","",E100&amp;"|"&amp;COUNTIF($E$5:$E100,E100))</f>
        <v>0</v>
      </c>
      <c r="AJ100" s="49">
        <f>IF(C100="","",IF(AE100="Missed","Missed visit - contact client",IF(Z100="Yes","Incident logged - follow up",IF(AND(AE100="Completed",AC100&lt;&gt;"Yes"),"Action - send client update",IF(AND(AE100="Completed",AD100&lt;&gt;"Yes"),"Check care checklist",IF(AND(C100&lt;TODAY(),AE100="Scheduled"),"Overdue - log the result","OK"))))))</f>
        <v>0</v>
      </c>
    </row>
    <row r="101" spans="1:36">
      <c r="A101" s="46">
        <f>IF(C101="","","VS-"&amp;TEXT(ROW()-4,"0000"))</f>
        <v>0</v>
      </c>
      <c r="D101" s="28">
        <f>IF(B101="","",IFERROR(INDEX(Bookings!$C$5:$C$404,MATCH(B101,Bookings!$A$5:$A$404,0)),""))</f>
        <v>0</v>
      </c>
      <c r="E101" s="28">
        <f>IF(B101="","",IFERROR(INDEX(Bookings!$E$5:$E$404,MATCH(B101,Bookings!$A$5:$A$404,0)),""))</f>
        <v>0</v>
      </c>
      <c r="F101" s="28">
        <f>IF(B101="","",IFERROR(INDEX(Bookings!$H$5:$H$404,MATCH(B101,Bookings!$A$5:$A$404,0)),""))</f>
        <v>0</v>
      </c>
      <c r="H101" s="53">
        <f>IF(B101="","",IFERROR(INDEX(Bookings!$K$5:$K$404,MATCH(B101,Bookings!$A$5:$A$404,0)),""))</f>
        <v>0</v>
      </c>
      <c r="K101" s="31">
        <f>IF(OR(I101="",J101=""),"",ROUND((J101-I101+IF(J101&lt;I101,1,0))*1440,0))</f>
        <v>0</v>
      </c>
      <c r="L101" s="49">
        <f>IF(OR(I101="",H101=""),"",IF(I101&lt;=H101+TIME(0,10,0),"On time","Late "&amp;TEXT((I101-H101)*1440,"0")&amp;" min"))</f>
        <v>0</v>
      </c>
      <c r="O101" s="31">
        <f>IF(OR(M101="",N101=""),"",ROUND((N101-M101+IF(N101&lt;M101,1,0))*1440,0))</f>
        <v>0</v>
      </c>
      <c r="AG101" s="28">
        <f>IF(C101="","",TEXT(C101,"yyyy-mm"))</f>
        <v>0</v>
      </c>
      <c r="AH101" s="28">
        <f>IF(B101="","",B101&amp;"|"&amp;COUNTIF($B$5:$B101,B101))</f>
        <v>0</v>
      </c>
      <c r="AI101" s="28">
        <f>IF(E101="","",E101&amp;"|"&amp;COUNTIF($E$5:$E101,E101))</f>
        <v>0</v>
      </c>
      <c r="AJ101" s="49">
        <f>IF(C101="","",IF(AE101="Missed","Missed visit - contact client",IF(Z101="Yes","Incident logged - follow up",IF(AND(AE101="Completed",AC101&lt;&gt;"Yes"),"Action - send client update",IF(AND(AE101="Completed",AD101&lt;&gt;"Yes"),"Check care checklist",IF(AND(C101&lt;TODAY(),AE101="Scheduled"),"Overdue - log the result","OK"))))))</f>
        <v>0</v>
      </c>
    </row>
    <row r="102" spans="1:36">
      <c r="A102" s="46">
        <f>IF(C102="","","VS-"&amp;TEXT(ROW()-4,"0000"))</f>
        <v>0</v>
      </c>
      <c r="D102" s="28">
        <f>IF(B102="","",IFERROR(INDEX(Bookings!$C$5:$C$404,MATCH(B102,Bookings!$A$5:$A$404,0)),""))</f>
        <v>0</v>
      </c>
      <c r="E102" s="28">
        <f>IF(B102="","",IFERROR(INDEX(Bookings!$E$5:$E$404,MATCH(B102,Bookings!$A$5:$A$404,0)),""))</f>
        <v>0</v>
      </c>
      <c r="F102" s="28">
        <f>IF(B102="","",IFERROR(INDEX(Bookings!$H$5:$H$404,MATCH(B102,Bookings!$A$5:$A$404,0)),""))</f>
        <v>0</v>
      </c>
      <c r="H102" s="53">
        <f>IF(B102="","",IFERROR(INDEX(Bookings!$K$5:$K$404,MATCH(B102,Bookings!$A$5:$A$404,0)),""))</f>
        <v>0</v>
      </c>
      <c r="K102" s="31">
        <f>IF(OR(I102="",J102=""),"",ROUND((J102-I102+IF(J102&lt;I102,1,0))*1440,0))</f>
        <v>0</v>
      </c>
      <c r="L102" s="49">
        <f>IF(OR(I102="",H102=""),"",IF(I102&lt;=H102+TIME(0,10,0),"On time","Late "&amp;TEXT((I102-H102)*1440,"0")&amp;" min"))</f>
        <v>0</v>
      </c>
      <c r="O102" s="31">
        <f>IF(OR(M102="",N102=""),"",ROUND((N102-M102+IF(N102&lt;M102,1,0))*1440,0))</f>
        <v>0</v>
      </c>
      <c r="AG102" s="28">
        <f>IF(C102="","",TEXT(C102,"yyyy-mm"))</f>
        <v>0</v>
      </c>
      <c r="AH102" s="28">
        <f>IF(B102="","",B102&amp;"|"&amp;COUNTIF($B$5:$B102,B102))</f>
        <v>0</v>
      </c>
      <c r="AI102" s="28">
        <f>IF(E102="","",E102&amp;"|"&amp;COUNTIF($E$5:$E102,E102))</f>
        <v>0</v>
      </c>
      <c r="AJ102" s="49">
        <f>IF(C102="","",IF(AE102="Missed","Missed visit - contact client",IF(Z102="Yes","Incident logged - follow up",IF(AND(AE102="Completed",AC102&lt;&gt;"Yes"),"Action - send client update",IF(AND(AE102="Completed",AD102&lt;&gt;"Yes"),"Check care checklist",IF(AND(C102&lt;TODAY(),AE102="Scheduled"),"Overdue - log the result","OK"))))))</f>
        <v>0</v>
      </c>
    </row>
    <row r="103" spans="1:36">
      <c r="A103" s="46">
        <f>IF(C103="","","VS-"&amp;TEXT(ROW()-4,"0000"))</f>
        <v>0</v>
      </c>
      <c r="D103" s="28">
        <f>IF(B103="","",IFERROR(INDEX(Bookings!$C$5:$C$404,MATCH(B103,Bookings!$A$5:$A$404,0)),""))</f>
        <v>0</v>
      </c>
      <c r="E103" s="28">
        <f>IF(B103="","",IFERROR(INDEX(Bookings!$E$5:$E$404,MATCH(B103,Bookings!$A$5:$A$404,0)),""))</f>
        <v>0</v>
      </c>
      <c r="F103" s="28">
        <f>IF(B103="","",IFERROR(INDEX(Bookings!$H$5:$H$404,MATCH(B103,Bookings!$A$5:$A$404,0)),""))</f>
        <v>0</v>
      </c>
      <c r="H103" s="53">
        <f>IF(B103="","",IFERROR(INDEX(Bookings!$K$5:$K$404,MATCH(B103,Bookings!$A$5:$A$404,0)),""))</f>
        <v>0</v>
      </c>
      <c r="K103" s="31">
        <f>IF(OR(I103="",J103=""),"",ROUND((J103-I103+IF(J103&lt;I103,1,0))*1440,0))</f>
        <v>0</v>
      </c>
      <c r="L103" s="49">
        <f>IF(OR(I103="",H103=""),"",IF(I103&lt;=H103+TIME(0,10,0),"On time","Late "&amp;TEXT((I103-H103)*1440,"0")&amp;" min"))</f>
        <v>0</v>
      </c>
      <c r="O103" s="31">
        <f>IF(OR(M103="",N103=""),"",ROUND((N103-M103+IF(N103&lt;M103,1,0))*1440,0))</f>
        <v>0</v>
      </c>
      <c r="AG103" s="28">
        <f>IF(C103="","",TEXT(C103,"yyyy-mm"))</f>
        <v>0</v>
      </c>
      <c r="AH103" s="28">
        <f>IF(B103="","",B103&amp;"|"&amp;COUNTIF($B$5:$B103,B103))</f>
        <v>0</v>
      </c>
      <c r="AI103" s="28">
        <f>IF(E103="","",E103&amp;"|"&amp;COUNTIF($E$5:$E103,E103))</f>
        <v>0</v>
      </c>
      <c r="AJ103" s="49">
        <f>IF(C103="","",IF(AE103="Missed","Missed visit - contact client",IF(Z103="Yes","Incident logged - follow up",IF(AND(AE103="Completed",AC103&lt;&gt;"Yes"),"Action - send client update",IF(AND(AE103="Completed",AD103&lt;&gt;"Yes"),"Check care checklist",IF(AND(C103&lt;TODAY(),AE103="Scheduled"),"Overdue - log the result","OK"))))))</f>
        <v>0</v>
      </c>
    </row>
    <row r="104" spans="1:36">
      <c r="A104" s="46">
        <f>IF(C104="","","VS-"&amp;TEXT(ROW()-4,"0000"))</f>
        <v>0</v>
      </c>
      <c r="D104" s="28">
        <f>IF(B104="","",IFERROR(INDEX(Bookings!$C$5:$C$404,MATCH(B104,Bookings!$A$5:$A$404,0)),""))</f>
        <v>0</v>
      </c>
      <c r="E104" s="28">
        <f>IF(B104="","",IFERROR(INDEX(Bookings!$E$5:$E$404,MATCH(B104,Bookings!$A$5:$A$404,0)),""))</f>
        <v>0</v>
      </c>
      <c r="F104" s="28">
        <f>IF(B104="","",IFERROR(INDEX(Bookings!$H$5:$H$404,MATCH(B104,Bookings!$A$5:$A$404,0)),""))</f>
        <v>0</v>
      </c>
      <c r="H104" s="53">
        <f>IF(B104="","",IFERROR(INDEX(Bookings!$K$5:$K$404,MATCH(B104,Bookings!$A$5:$A$404,0)),""))</f>
        <v>0</v>
      </c>
      <c r="K104" s="31">
        <f>IF(OR(I104="",J104=""),"",ROUND((J104-I104+IF(J104&lt;I104,1,0))*1440,0))</f>
        <v>0</v>
      </c>
      <c r="L104" s="49">
        <f>IF(OR(I104="",H104=""),"",IF(I104&lt;=H104+TIME(0,10,0),"On time","Late "&amp;TEXT((I104-H104)*1440,"0")&amp;" min"))</f>
        <v>0</v>
      </c>
      <c r="O104" s="31">
        <f>IF(OR(M104="",N104=""),"",ROUND((N104-M104+IF(N104&lt;M104,1,0))*1440,0))</f>
        <v>0</v>
      </c>
      <c r="AG104" s="28">
        <f>IF(C104="","",TEXT(C104,"yyyy-mm"))</f>
        <v>0</v>
      </c>
      <c r="AH104" s="28">
        <f>IF(B104="","",B104&amp;"|"&amp;COUNTIF($B$5:$B104,B104))</f>
        <v>0</v>
      </c>
      <c r="AI104" s="28">
        <f>IF(E104="","",E104&amp;"|"&amp;COUNTIF($E$5:$E104,E104))</f>
        <v>0</v>
      </c>
      <c r="AJ104" s="49">
        <f>IF(C104="","",IF(AE104="Missed","Missed visit - contact client",IF(Z104="Yes","Incident logged - follow up",IF(AND(AE104="Completed",AC104&lt;&gt;"Yes"),"Action - send client update",IF(AND(AE104="Completed",AD104&lt;&gt;"Yes"),"Check care checklist",IF(AND(C104&lt;TODAY(),AE104="Scheduled"),"Overdue - log the result","OK"))))))</f>
        <v>0</v>
      </c>
    </row>
    <row r="105" spans="1:36">
      <c r="A105" s="46">
        <f>IF(C105="","","VS-"&amp;TEXT(ROW()-4,"0000"))</f>
        <v>0</v>
      </c>
      <c r="D105" s="28">
        <f>IF(B105="","",IFERROR(INDEX(Bookings!$C$5:$C$404,MATCH(B105,Bookings!$A$5:$A$404,0)),""))</f>
        <v>0</v>
      </c>
      <c r="E105" s="28">
        <f>IF(B105="","",IFERROR(INDEX(Bookings!$E$5:$E$404,MATCH(B105,Bookings!$A$5:$A$404,0)),""))</f>
        <v>0</v>
      </c>
      <c r="F105" s="28">
        <f>IF(B105="","",IFERROR(INDEX(Bookings!$H$5:$H$404,MATCH(B105,Bookings!$A$5:$A$404,0)),""))</f>
        <v>0</v>
      </c>
      <c r="H105" s="53">
        <f>IF(B105="","",IFERROR(INDEX(Bookings!$K$5:$K$404,MATCH(B105,Bookings!$A$5:$A$404,0)),""))</f>
        <v>0</v>
      </c>
      <c r="K105" s="31">
        <f>IF(OR(I105="",J105=""),"",ROUND((J105-I105+IF(J105&lt;I105,1,0))*1440,0))</f>
        <v>0</v>
      </c>
      <c r="L105" s="49">
        <f>IF(OR(I105="",H105=""),"",IF(I105&lt;=H105+TIME(0,10,0),"On time","Late "&amp;TEXT((I105-H105)*1440,"0")&amp;" min"))</f>
        <v>0</v>
      </c>
      <c r="O105" s="31">
        <f>IF(OR(M105="",N105=""),"",ROUND((N105-M105+IF(N105&lt;M105,1,0))*1440,0))</f>
        <v>0</v>
      </c>
      <c r="AG105" s="28">
        <f>IF(C105="","",TEXT(C105,"yyyy-mm"))</f>
        <v>0</v>
      </c>
      <c r="AH105" s="28">
        <f>IF(B105="","",B105&amp;"|"&amp;COUNTIF($B$5:$B105,B105))</f>
        <v>0</v>
      </c>
      <c r="AI105" s="28">
        <f>IF(E105="","",E105&amp;"|"&amp;COUNTIF($E$5:$E105,E105))</f>
        <v>0</v>
      </c>
      <c r="AJ105" s="49">
        <f>IF(C105="","",IF(AE105="Missed","Missed visit - contact client",IF(Z105="Yes","Incident logged - follow up",IF(AND(AE105="Completed",AC105&lt;&gt;"Yes"),"Action - send client update",IF(AND(AE105="Completed",AD105&lt;&gt;"Yes"),"Check care checklist",IF(AND(C105&lt;TODAY(),AE105="Scheduled"),"Overdue - log the result","OK"))))))</f>
        <v>0</v>
      </c>
    </row>
    <row r="106" spans="1:36">
      <c r="A106" s="46">
        <f>IF(C106="","","VS-"&amp;TEXT(ROW()-4,"0000"))</f>
        <v>0</v>
      </c>
      <c r="D106" s="28">
        <f>IF(B106="","",IFERROR(INDEX(Bookings!$C$5:$C$404,MATCH(B106,Bookings!$A$5:$A$404,0)),""))</f>
        <v>0</v>
      </c>
      <c r="E106" s="28">
        <f>IF(B106="","",IFERROR(INDEX(Bookings!$E$5:$E$404,MATCH(B106,Bookings!$A$5:$A$404,0)),""))</f>
        <v>0</v>
      </c>
      <c r="F106" s="28">
        <f>IF(B106="","",IFERROR(INDEX(Bookings!$H$5:$H$404,MATCH(B106,Bookings!$A$5:$A$404,0)),""))</f>
        <v>0</v>
      </c>
      <c r="H106" s="53">
        <f>IF(B106="","",IFERROR(INDEX(Bookings!$K$5:$K$404,MATCH(B106,Bookings!$A$5:$A$404,0)),""))</f>
        <v>0</v>
      </c>
      <c r="K106" s="31">
        <f>IF(OR(I106="",J106=""),"",ROUND((J106-I106+IF(J106&lt;I106,1,0))*1440,0))</f>
        <v>0</v>
      </c>
      <c r="L106" s="49">
        <f>IF(OR(I106="",H106=""),"",IF(I106&lt;=H106+TIME(0,10,0),"On time","Late "&amp;TEXT((I106-H106)*1440,"0")&amp;" min"))</f>
        <v>0</v>
      </c>
      <c r="O106" s="31">
        <f>IF(OR(M106="",N106=""),"",ROUND((N106-M106+IF(N106&lt;M106,1,0))*1440,0))</f>
        <v>0</v>
      </c>
      <c r="AG106" s="28">
        <f>IF(C106="","",TEXT(C106,"yyyy-mm"))</f>
        <v>0</v>
      </c>
      <c r="AH106" s="28">
        <f>IF(B106="","",B106&amp;"|"&amp;COUNTIF($B$5:$B106,B106))</f>
        <v>0</v>
      </c>
      <c r="AI106" s="28">
        <f>IF(E106="","",E106&amp;"|"&amp;COUNTIF($E$5:$E106,E106))</f>
        <v>0</v>
      </c>
      <c r="AJ106" s="49">
        <f>IF(C106="","",IF(AE106="Missed","Missed visit - contact client",IF(Z106="Yes","Incident logged - follow up",IF(AND(AE106="Completed",AC106&lt;&gt;"Yes"),"Action - send client update",IF(AND(AE106="Completed",AD106&lt;&gt;"Yes"),"Check care checklist",IF(AND(C106&lt;TODAY(),AE106="Scheduled"),"Overdue - log the result","OK"))))))</f>
        <v>0</v>
      </c>
    </row>
    <row r="107" spans="1:36">
      <c r="A107" s="46">
        <f>IF(C107="","","VS-"&amp;TEXT(ROW()-4,"0000"))</f>
        <v>0</v>
      </c>
      <c r="D107" s="28">
        <f>IF(B107="","",IFERROR(INDEX(Bookings!$C$5:$C$404,MATCH(B107,Bookings!$A$5:$A$404,0)),""))</f>
        <v>0</v>
      </c>
      <c r="E107" s="28">
        <f>IF(B107="","",IFERROR(INDEX(Bookings!$E$5:$E$404,MATCH(B107,Bookings!$A$5:$A$404,0)),""))</f>
        <v>0</v>
      </c>
      <c r="F107" s="28">
        <f>IF(B107="","",IFERROR(INDEX(Bookings!$H$5:$H$404,MATCH(B107,Bookings!$A$5:$A$404,0)),""))</f>
        <v>0</v>
      </c>
      <c r="H107" s="53">
        <f>IF(B107="","",IFERROR(INDEX(Bookings!$K$5:$K$404,MATCH(B107,Bookings!$A$5:$A$404,0)),""))</f>
        <v>0</v>
      </c>
      <c r="K107" s="31">
        <f>IF(OR(I107="",J107=""),"",ROUND((J107-I107+IF(J107&lt;I107,1,0))*1440,0))</f>
        <v>0</v>
      </c>
      <c r="L107" s="49">
        <f>IF(OR(I107="",H107=""),"",IF(I107&lt;=H107+TIME(0,10,0),"On time","Late "&amp;TEXT((I107-H107)*1440,"0")&amp;" min"))</f>
        <v>0</v>
      </c>
      <c r="O107" s="31">
        <f>IF(OR(M107="",N107=""),"",ROUND((N107-M107+IF(N107&lt;M107,1,0))*1440,0))</f>
        <v>0</v>
      </c>
      <c r="AG107" s="28">
        <f>IF(C107="","",TEXT(C107,"yyyy-mm"))</f>
        <v>0</v>
      </c>
      <c r="AH107" s="28">
        <f>IF(B107="","",B107&amp;"|"&amp;COUNTIF($B$5:$B107,B107))</f>
        <v>0</v>
      </c>
      <c r="AI107" s="28">
        <f>IF(E107="","",E107&amp;"|"&amp;COUNTIF($E$5:$E107,E107))</f>
        <v>0</v>
      </c>
      <c r="AJ107" s="49">
        <f>IF(C107="","",IF(AE107="Missed","Missed visit - contact client",IF(Z107="Yes","Incident logged - follow up",IF(AND(AE107="Completed",AC107&lt;&gt;"Yes"),"Action - send client update",IF(AND(AE107="Completed",AD107&lt;&gt;"Yes"),"Check care checklist",IF(AND(C107&lt;TODAY(),AE107="Scheduled"),"Overdue - log the result","OK"))))))</f>
        <v>0</v>
      </c>
    </row>
    <row r="108" spans="1:36">
      <c r="A108" s="46">
        <f>IF(C108="","","VS-"&amp;TEXT(ROW()-4,"0000"))</f>
        <v>0</v>
      </c>
      <c r="D108" s="28">
        <f>IF(B108="","",IFERROR(INDEX(Bookings!$C$5:$C$404,MATCH(B108,Bookings!$A$5:$A$404,0)),""))</f>
        <v>0</v>
      </c>
      <c r="E108" s="28">
        <f>IF(B108="","",IFERROR(INDEX(Bookings!$E$5:$E$404,MATCH(B108,Bookings!$A$5:$A$404,0)),""))</f>
        <v>0</v>
      </c>
      <c r="F108" s="28">
        <f>IF(B108="","",IFERROR(INDEX(Bookings!$H$5:$H$404,MATCH(B108,Bookings!$A$5:$A$404,0)),""))</f>
        <v>0</v>
      </c>
      <c r="H108" s="53">
        <f>IF(B108="","",IFERROR(INDEX(Bookings!$K$5:$K$404,MATCH(B108,Bookings!$A$5:$A$404,0)),""))</f>
        <v>0</v>
      </c>
      <c r="K108" s="31">
        <f>IF(OR(I108="",J108=""),"",ROUND((J108-I108+IF(J108&lt;I108,1,0))*1440,0))</f>
        <v>0</v>
      </c>
      <c r="L108" s="49">
        <f>IF(OR(I108="",H108=""),"",IF(I108&lt;=H108+TIME(0,10,0),"On time","Late "&amp;TEXT((I108-H108)*1440,"0")&amp;" min"))</f>
        <v>0</v>
      </c>
      <c r="O108" s="31">
        <f>IF(OR(M108="",N108=""),"",ROUND((N108-M108+IF(N108&lt;M108,1,0))*1440,0))</f>
        <v>0</v>
      </c>
      <c r="AG108" s="28">
        <f>IF(C108="","",TEXT(C108,"yyyy-mm"))</f>
        <v>0</v>
      </c>
      <c r="AH108" s="28">
        <f>IF(B108="","",B108&amp;"|"&amp;COUNTIF($B$5:$B108,B108))</f>
        <v>0</v>
      </c>
      <c r="AI108" s="28">
        <f>IF(E108="","",E108&amp;"|"&amp;COUNTIF($E$5:$E108,E108))</f>
        <v>0</v>
      </c>
      <c r="AJ108" s="49">
        <f>IF(C108="","",IF(AE108="Missed","Missed visit - contact client",IF(Z108="Yes","Incident logged - follow up",IF(AND(AE108="Completed",AC108&lt;&gt;"Yes"),"Action - send client update",IF(AND(AE108="Completed",AD108&lt;&gt;"Yes"),"Check care checklist",IF(AND(C108&lt;TODAY(),AE108="Scheduled"),"Overdue - log the result","OK"))))))</f>
        <v>0</v>
      </c>
    </row>
    <row r="109" spans="1:36">
      <c r="A109" s="46">
        <f>IF(C109="","","VS-"&amp;TEXT(ROW()-4,"0000"))</f>
        <v>0</v>
      </c>
      <c r="D109" s="28">
        <f>IF(B109="","",IFERROR(INDEX(Bookings!$C$5:$C$404,MATCH(B109,Bookings!$A$5:$A$404,0)),""))</f>
        <v>0</v>
      </c>
      <c r="E109" s="28">
        <f>IF(B109="","",IFERROR(INDEX(Bookings!$E$5:$E$404,MATCH(B109,Bookings!$A$5:$A$404,0)),""))</f>
        <v>0</v>
      </c>
      <c r="F109" s="28">
        <f>IF(B109="","",IFERROR(INDEX(Bookings!$H$5:$H$404,MATCH(B109,Bookings!$A$5:$A$404,0)),""))</f>
        <v>0</v>
      </c>
      <c r="H109" s="53">
        <f>IF(B109="","",IFERROR(INDEX(Bookings!$K$5:$K$404,MATCH(B109,Bookings!$A$5:$A$404,0)),""))</f>
        <v>0</v>
      </c>
      <c r="K109" s="31">
        <f>IF(OR(I109="",J109=""),"",ROUND((J109-I109+IF(J109&lt;I109,1,0))*1440,0))</f>
        <v>0</v>
      </c>
      <c r="L109" s="49">
        <f>IF(OR(I109="",H109=""),"",IF(I109&lt;=H109+TIME(0,10,0),"On time","Late "&amp;TEXT((I109-H109)*1440,"0")&amp;" min"))</f>
        <v>0</v>
      </c>
      <c r="O109" s="31">
        <f>IF(OR(M109="",N109=""),"",ROUND((N109-M109+IF(N109&lt;M109,1,0))*1440,0))</f>
        <v>0</v>
      </c>
      <c r="AG109" s="28">
        <f>IF(C109="","",TEXT(C109,"yyyy-mm"))</f>
        <v>0</v>
      </c>
      <c r="AH109" s="28">
        <f>IF(B109="","",B109&amp;"|"&amp;COUNTIF($B$5:$B109,B109))</f>
        <v>0</v>
      </c>
      <c r="AI109" s="28">
        <f>IF(E109="","",E109&amp;"|"&amp;COUNTIF($E$5:$E109,E109))</f>
        <v>0</v>
      </c>
      <c r="AJ109" s="49">
        <f>IF(C109="","",IF(AE109="Missed","Missed visit - contact client",IF(Z109="Yes","Incident logged - follow up",IF(AND(AE109="Completed",AC109&lt;&gt;"Yes"),"Action - send client update",IF(AND(AE109="Completed",AD109&lt;&gt;"Yes"),"Check care checklist",IF(AND(C109&lt;TODAY(),AE109="Scheduled"),"Overdue - log the result","OK"))))))</f>
        <v>0</v>
      </c>
    </row>
    <row r="110" spans="1:36">
      <c r="A110" s="46">
        <f>IF(C110="","","VS-"&amp;TEXT(ROW()-4,"0000"))</f>
        <v>0</v>
      </c>
      <c r="D110" s="28">
        <f>IF(B110="","",IFERROR(INDEX(Bookings!$C$5:$C$404,MATCH(B110,Bookings!$A$5:$A$404,0)),""))</f>
        <v>0</v>
      </c>
      <c r="E110" s="28">
        <f>IF(B110="","",IFERROR(INDEX(Bookings!$E$5:$E$404,MATCH(B110,Bookings!$A$5:$A$404,0)),""))</f>
        <v>0</v>
      </c>
      <c r="F110" s="28">
        <f>IF(B110="","",IFERROR(INDEX(Bookings!$H$5:$H$404,MATCH(B110,Bookings!$A$5:$A$404,0)),""))</f>
        <v>0</v>
      </c>
      <c r="H110" s="53">
        <f>IF(B110="","",IFERROR(INDEX(Bookings!$K$5:$K$404,MATCH(B110,Bookings!$A$5:$A$404,0)),""))</f>
        <v>0</v>
      </c>
      <c r="K110" s="31">
        <f>IF(OR(I110="",J110=""),"",ROUND((J110-I110+IF(J110&lt;I110,1,0))*1440,0))</f>
        <v>0</v>
      </c>
      <c r="L110" s="49">
        <f>IF(OR(I110="",H110=""),"",IF(I110&lt;=H110+TIME(0,10,0),"On time","Late "&amp;TEXT((I110-H110)*1440,"0")&amp;" min"))</f>
        <v>0</v>
      </c>
      <c r="O110" s="31">
        <f>IF(OR(M110="",N110=""),"",ROUND((N110-M110+IF(N110&lt;M110,1,0))*1440,0))</f>
        <v>0</v>
      </c>
      <c r="AG110" s="28">
        <f>IF(C110="","",TEXT(C110,"yyyy-mm"))</f>
        <v>0</v>
      </c>
      <c r="AH110" s="28">
        <f>IF(B110="","",B110&amp;"|"&amp;COUNTIF($B$5:$B110,B110))</f>
        <v>0</v>
      </c>
      <c r="AI110" s="28">
        <f>IF(E110="","",E110&amp;"|"&amp;COUNTIF($E$5:$E110,E110))</f>
        <v>0</v>
      </c>
      <c r="AJ110" s="49">
        <f>IF(C110="","",IF(AE110="Missed","Missed visit - contact client",IF(Z110="Yes","Incident logged - follow up",IF(AND(AE110="Completed",AC110&lt;&gt;"Yes"),"Action - send client update",IF(AND(AE110="Completed",AD110&lt;&gt;"Yes"),"Check care checklist",IF(AND(C110&lt;TODAY(),AE110="Scheduled"),"Overdue - log the result","OK"))))))</f>
        <v>0</v>
      </c>
    </row>
    <row r="111" spans="1:36">
      <c r="A111" s="46">
        <f>IF(C111="","","VS-"&amp;TEXT(ROW()-4,"0000"))</f>
        <v>0</v>
      </c>
      <c r="D111" s="28">
        <f>IF(B111="","",IFERROR(INDEX(Bookings!$C$5:$C$404,MATCH(B111,Bookings!$A$5:$A$404,0)),""))</f>
        <v>0</v>
      </c>
      <c r="E111" s="28">
        <f>IF(B111="","",IFERROR(INDEX(Bookings!$E$5:$E$404,MATCH(B111,Bookings!$A$5:$A$404,0)),""))</f>
        <v>0</v>
      </c>
      <c r="F111" s="28">
        <f>IF(B111="","",IFERROR(INDEX(Bookings!$H$5:$H$404,MATCH(B111,Bookings!$A$5:$A$404,0)),""))</f>
        <v>0</v>
      </c>
      <c r="H111" s="53">
        <f>IF(B111="","",IFERROR(INDEX(Bookings!$K$5:$K$404,MATCH(B111,Bookings!$A$5:$A$404,0)),""))</f>
        <v>0</v>
      </c>
      <c r="K111" s="31">
        <f>IF(OR(I111="",J111=""),"",ROUND((J111-I111+IF(J111&lt;I111,1,0))*1440,0))</f>
        <v>0</v>
      </c>
      <c r="L111" s="49">
        <f>IF(OR(I111="",H111=""),"",IF(I111&lt;=H111+TIME(0,10,0),"On time","Late "&amp;TEXT((I111-H111)*1440,"0")&amp;" min"))</f>
        <v>0</v>
      </c>
      <c r="O111" s="31">
        <f>IF(OR(M111="",N111=""),"",ROUND((N111-M111+IF(N111&lt;M111,1,0))*1440,0))</f>
        <v>0</v>
      </c>
      <c r="AG111" s="28">
        <f>IF(C111="","",TEXT(C111,"yyyy-mm"))</f>
        <v>0</v>
      </c>
      <c r="AH111" s="28">
        <f>IF(B111="","",B111&amp;"|"&amp;COUNTIF($B$5:$B111,B111))</f>
        <v>0</v>
      </c>
      <c r="AI111" s="28">
        <f>IF(E111="","",E111&amp;"|"&amp;COUNTIF($E$5:$E111,E111))</f>
        <v>0</v>
      </c>
      <c r="AJ111" s="49">
        <f>IF(C111="","",IF(AE111="Missed","Missed visit - contact client",IF(Z111="Yes","Incident logged - follow up",IF(AND(AE111="Completed",AC111&lt;&gt;"Yes"),"Action - send client update",IF(AND(AE111="Completed",AD111&lt;&gt;"Yes"),"Check care checklist",IF(AND(C111&lt;TODAY(),AE111="Scheduled"),"Overdue - log the result","OK"))))))</f>
        <v>0</v>
      </c>
    </row>
    <row r="112" spans="1:36">
      <c r="A112" s="46">
        <f>IF(C112="","","VS-"&amp;TEXT(ROW()-4,"0000"))</f>
        <v>0</v>
      </c>
      <c r="D112" s="28">
        <f>IF(B112="","",IFERROR(INDEX(Bookings!$C$5:$C$404,MATCH(B112,Bookings!$A$5:$A$404,0)),""))</f>
        <v>0</v>
      </c>
      <c r="E112" s="28">
        <f>IF(B112="","",IFERROR(INDEX(Bookings!$E$5:$E$404,MATCH(B112,Bookings!$A$5:$A$404,0)),""))</f>
        <v>0</v>
      </c>
      <c r="F112" s="28">
        <f>IF(B112="","",IFERROR(INDEX(Bookings!$H$5:$H$404,MATCH(B112,Bookings!$A$5:$A$404,0)),""))</f>
        <v>0</v>
      </c>
      <c r="H112" s="53">
        <f>IF(B112="","",IFERROR(INDEX(Bookings!$K$5:$K$404,MATCH(B112,Bookings!$A$5:$A$404,0)),""))</f>
        <v>0</v>
      </c>
      <c r="K112" s="31">
        <f>IF(OR(I112="",J112=""),"",ROUND((J112-I112+IF(J112&lt;I112,1,0))*1440,0))</f>
        <v>0</v>
      </c>
      <c r="L112" s="49">
        <f>IF(OR(I112="",H112=""),"",IF(I112&lt;=H112+TIME(0,10,0),"On time","Late "&amp;TEXT((I112-H112)*1440,"0")&amp;" min"))</f>
        <v>0</v>
      </c>
      <c r="O112" s="31">
        <f>IF(OR(M112="",N112=""),"",ROUND((N112-M112+IF(N112&lt;M112,1,0))*1440,0))</f>
        <v>0</v>
      </c>
      <c r="AG112" s="28">
        <f>IF(C112="","",TEXT(C112,"yyyy-mm"))</f>
        <v>0</v>
      </c>
      <c r="AH112" s="28">
        <f>IF(B112="","",B112&amp;"|"&amp;COUNTIF($B$5:$B112,B112))</f>
        <v>0</v>
      </c>
      <c r="AI112" s="28">
        <f>IF(E112="","",E112&amp;"|"&amp;COUNTIF($E$5:$E112,E112))</f>
        <v>0</v>
      </c>
      <c r="AJ112" s="49">
        <f>IF(C112="","",IF(AE112="Missed","Missed visit - contact client",IF(Z112="Yes","Incident logged - follow up",IF(AND(AE112="Completed",AC112&lt;&gt;"Yes"),"Action - send client update",IF(AND(AE112="Completed",AD112&lt;&gt;"Yes"),"Check care checklist",IF(AND(C112&lt;TODAY(),AE112="Scheduled"),"Overdue - log the result","OK"))))))</f>
        <v>0</v>
      </c>
    </row>
    <row r="113" spans="1:36">
      <c r="A113" s="46">
        <f>IF(C113="","","VS-"&amp;TEXT(ROW()-4,"0000"))</f>
        <v>0</v>
      </c>
      <c r="D113" s="28">
        <f>IF(B113="","",IFERROR(INDEX(Bookings!$C$5:$C$404,MATCH(B113,Bookings!$A$5:$A$404,0)),""))</f>
        <v>0</v>
      </c>
      <c r="E113" s="28">
        <f>IF(B113="","",IFERROR(INDEX(Bookings!$E$5:$E$404,MATCH(B113,Bookings!$A$5:$A$404,0)),""))</f>
        <v>0</v>
      </c>
      <c r="F113" s="28">
        <f>IF(B113="","",IFERROR(INDEX(Bookings!$H$5:$H$404,MATCH(B113,Bookings!$A$5:$A$404,0)),""))</f>
        <v>0</v>
      </c>
      <c r="H113" s="53">
        <f>IF(B113="","",IFERROR(INDEX(Bookings!$K$5:$K$404,MATCH(B113,Bookings!$A$5:$A$404,0)),""))</f>
        <v>0</v>
      </c>
      <c r="K113" s="31">
        <f>IF(OR(I113="",J113=""),"",ROUND((J113-I113+IF(J113&lt;I113,1,0))*1440,0))</f>
        <v>0</v>
      </c>
      <c r="L113" s="49">
        <f>IF(OR(I113="",H113=""),"",IF(I113&lt;=H113+TIME(0,10,0),"On time","Late "&amp;TEXT((I113-H113)*1440,"0")&amp;" min"))</f>
        <v>0</v>
      </c>
      <c r="O113" s="31">
        <f>IF(OR(M113="",N113=""),"",ROUND((N113-M113+IF(N113&lt;M113,1,0))*1440,0))</f>
        <v>0</v>
      </c>
      <c r="AG113" s="28">
        <f>IF(C113="","",TEXT(C113,"yyyy-mm"))</f>
        <v>0</v>
      </c>
      <c r="AH113" s="28">
        <f>IF(B113="","",B113&amp;"|"&amp;COUNTIF($B$5:$B113,B113))</f>
        <v>0</v>
      </c>
      <c r="AI113" s="28">
        <f>IF(E113="","",E113&amp;"|"&amp;COUNTIF($E$5:$E113,E113))</f>
        <v>0</v>
      </c>
      <c r="AJ113" s="49">
        <f>IF(C113="","",IF(AE113="Missed","Missed visit - contact client",IF(Z113="Yes","Incident logged - follow up",IF(AND(AE113="Completed",AC113&lt;&gt;"Yes"),"Action - send client update",IF(AND(AE113="Completed",AD113&lt;&gt;"Yes"),"Check care checklist",IF(AND(C113&lt;TODAY(),AE113="Scheduled"),"Overdue - log the result","OK"))))))</f>
        <v>0</v>
      </c>
    </row>
    <row r="114" spans="1:36">
      <c r="A114" s="46">
        <f>IF(C114="","","VS-"&amp;TEXT(ROW()-4,"0000"))</f>
        <v>0</v>
      </c>
      <c r="D114" s="28">
        <f>IF(B114="","",IFERROR(INDEX(Bookings!$C$5:$C$404,MATCH(B114,Bookings!$A$5:$A$404,0)),""))</f>
        <v>0</v>
      </c>
      <c r="E114" s="28">
        <f>IF(B114="","",IFERROR(INDEX(Bookings!$E$5:$E$404,MATCH(B114,Bookings!$A$5:$A$404,0)),""))</f>
        <v>0</v>
      </c>
      <c r="F114" s="28">
        <f>IF(B114="","",IFERROR(INDEX(Bookings!$H$5:$H$404,MATCH(B114,Bookings!$A$5:$A$404,0)),""))</f>
        <v>0</v>
      </c>
      <c r="H114" s="53">
        <f>IF(B114="","",IFERROR(INDEX(Bookings!$K$5:$K$404,MATCH(B114,Bookings!$A$5:$A$404,0)),""))</f>
        <v>0</v>
      </c>
      <c r="K114" s="31">
        <f>IF(OR(I114="",J114=""),"",ROUND((J114-I114+IF(J114&lt;I114,1,0))*1440,0))</f>
        <v>0</v>
      </c>
      <c r="L114" s="49">
        <f>IF(OR(I114="",H114=""),"",IF(I114&lt;=H114+TIME(0,10,0),"On time","Late "&amp;TEXT((I114-H114)*1440,"0")&amp;" min"))</f>
        <v>0</v>
      </c>
      <c r="O114" s="31">
        <f>IF(OR(M114="",N114=""),"",ROUND((N114-M114+IF(N114&lt;M114,1,0))*1440,0))</f>
        <v>0</v>
      </c>
      <c r="AG114" s="28">
        <f>IF(C114="","",TEXT(C114,"yyyy-mm"))</f>
        <v>0</v>
      </c>
      <c r="AH114" s="28">
        <f>IF(B114="","",B114&amp;"|"&amp;COUNTIF($B$5:$B114,B114))</f>
        <v>0</v>
      </c>
      <c r="AI114" s="28">
        <f>IF(E114="","",E114&amp;"|"&amp;COUNTIF($E$5:$E114,E114))</f>
        <v>0</v>
      </c>
      <c r="AJ114" s="49">
        <f>IF(C114="","",IF(AE114="Missed","Missed visit - contact client",IF(Z114="Yes","Incident logged - follow up",IF(AND(AE114="Completed",AC114&lt;&gt;"Yes"),"Action - send client update",IF(AND(AE114="Completed",AD114&lt;&gt;"Yes"),"Check care checklist",IF(AND(C114&lt;TODAY(),AE114="Scheduled"),"Overdue - log the result","OK"))))))</f>
        <v>0</v>
      </c>
    </row>
    <row r="115" spans="1:36">
      <c r="A115" s="46">
        <f>IF(C115="","","VS-"&amp;TEXT(ROW()-4,"0000"))</f>
        <v>0</v>
      </c>
      <c r="D115" s="28">
        <f>IF(B115="","",IFERROR(INDEX(Bookings!$C$5:$C$404,MATCH(B115,Bookings!$A$5:$A$404,0)),""))</f>
        <v>0</v>
      </c>
      <c r="E115" s="28">
        <f>IF(B115="","",IFERROR(INDEX(Bookings!$E$5:$E$404,MATCH(B115,Bookings!$A$5:$A$404,0)),""))</f>
        <v>0</v>
      </c>
      <c r="F115" s="28">
        <f>IF(B115="","",IFERROR(INDEX(Bookings!$H$5:$H$404,MATCH(B115,Bookings!$A$5:$A$404,0)),""))</f>
        <v>0</v>
      </c>
      <c r="H115" s="53">
        <f>IF(B115="","",IFERROR(INDEX(Bookings!$K$5:$K$404,MATCH(B115,Bookings!$A$5:$A$404,0)),""))</f>
        <v>0</v>
      </c>
      <c r="K115" s="31">
        <f>IF(OR(I115="",J115=""),"",ROUND((J115-I115+IF(J115&lt;I115,1,0))*1440,0))</f>
        <v>0</v>
      </c>
      <c r="L115" s="49">
        <f>IF(OR(I115="",H115=""),"",IF(I115&lt;=H115+TIME(0,10,0),"On time","Late "&amp;TEXT((I115-H115)*1440,"0")&amp;" min"))</f>
        <v>0</v>
      </c>
      <c r="O115" s="31">
        <f>IF(OR(M115="",N115=""),"",ROUND((N115-M115+IF(N115&lt;M115,1,0))*1440,0))</f>
        <v>0</v>
      </c>
      <c r="AG115" s="28">
        <f>IF(C115="","",TEXT(C115,"yyyy-mm"))</f>
        <v>0</v>
      </c>
      <c r="AH115" s="28">
        <f>IF(B115="","",B115&amp;"|"&amp;COUNTIF($B$5:$B115,B115))</f>
        <v>0</v>
      </c>
      <c r="AI115" s="28">
        <f>IF(E115="","",E115&amp;"|"&amp;COUNTIF($E$5:$E115,E115))</f>
        <v>0</v>
      </c>
      <c r="AJ115" s="49">
        <f>IF(C115="","",IF(AE115="Missed","Missed visit - contact client",IF(Z115="Yes","Incident logged - follow up",IF(AND(AE115="Completed",AC115&lt;&gt;"Yes"),"Action - send client update",IF(AND(AE115="Completed",AD115&lt;&gt;"Yes"),"Check care checklist",IF(AND(C115&lt;TODAY(),AE115="Scheduled"),"Overdue - log the result","OK"))))))</f>
        <v>0</v>
      </c>
    </row>
    <row r="116" spans="1:36">
      <c r="A116" s="46">
        <f>IF(C116="","","VS-"&amp;TEXT(ROW()-4,"0000"))</f>
        <v>0</v>
      </c>
      <c r="D116" s="28">
        <f>IF(B116="","",IFERROR(INDEX(Bookings!$C$5:$C$404,MATCH(B116,Bookings!$A$5:$A$404,0)),""))</f>
        <v>0</v>
      </c>
      <c r="E116" s="28">
        <f>IF(B116="","",IFERROR(INDEX(Bookings!$E$5:$E$404,MATCH(B116,Bookings!$A$5:$A$404,0)),""))</f>
        <v>0</v>
      </c>
      <c r="F116" s="28">
        <f>IF(B116="","",IFERROR(INDEX(Bookings!$H$5:$H$404,MATCH(B116,Bookings!$A$5:$A$404,0)),""))</f>
        <v>0</v>
      </c>
      <c r="H116" s="53">
        <f>IF(B116="","",IFERROR(INDEX(Bookings!$K$5:$K$404,MATCH(B116,Bookings!$A$5:$A$404,0)),""))</f>
        <v>0</v>
      </c>
      <c r="K116" s="31">
        <f>IF(OR(I116="",J116=""),"",ROUND((J116-I116+IF(J116&lt;I116,1,0))*1440,0))</f>
        <v>0</v>
      </c>
      <c r="L116" s="49">
        <f>IF(OR(I116="",H116=""),"",IF(I116&lt;=H116+TIME(0,10,0),"On time","Late "&amp;TEXT((I116-H116)*1440,"0")&amp;" min"))</f>
        <v>0</v>
      </c>
      <c r="O116" s="31">
        <f>IF(OR(M116="",N116=""),"",ROUND((N116-M116+IF(N116&lt;M116,1,0))*1440,0))</f>
        <v>0</v>
      </c>
      <c r="AG116" s="28">
        <f>IF(C116="","",TEXT(C116,"yyyy-mm"))</f>
        <v>0</v>
      </c>
      <c r="AH116" s="28">
        <f>IF(B116="","",B116&amp;"|"&amp;COUNTIF($B$5:$B116,B116))</f>
        <v>0</v>
      </c>
      <c r="AI116" s="28">
        <f>IF(E116="","",E116&amp;"|"&amp;COUNTIF($E$5:$E116,E116))</f>
        <v>0</v>
      </c>
      <c r="AJ116" s="49">
        <f>IF(C116="","",IF(AE116="Missed","Missed visit - contact client",IF(Z116="Yes","Incident logged - follow up",IF(AND(AE116="Completed",AC116&lt;&gt;"Yes"),"Action - send client update",IF(AND(AE116="Completed",AD116&lt;&gt;"Yes"),"Check care checklist",IF(AND(C116&lt;TODAY(),AE116="Scheduled"),"Overdue - log the result","OK"))))))</f>
        <v>0</v>
      </c>
    </row>
    <row r="117" spans="1:36">
      <c r="A117" s="46">
        <f>IF(C117="","","VS-"&amp;TEXT(ROW()-4,"0000"))</f>
        <v>0</v>
      </c>
      <c r="D117" s="28">
        <f>IF(B117="","",IFERROR(INDEX(Bookings!$C$5:$C$404,MATCH(B117,Bookings!$A$5:$A$404,0)),""))</f>
        <v>0</v>
      </c>
      <c r="E117" s="28">
        <f>IF(B117="","",IFERROR(INDEX(Bookings!$E$5:$E$404,MATCH(B117,Bookings!$A$5:$A$404,0)),""))</f>
        <v>0</v>
      </c>
      <c r="F117" s="28">
        <f>IF(B117="","",IFERROR(INDEX(Bookings!$H$5:$H$404,MATCH(B117,Bookings!$A$5:$A$404,0)),""))</f>
        <v>0</v>
      </c>
      <c r="H117" s="53">
        <f>IF(B117="","",IFERROR(INDEX(Bookings!$K$5:$K$404,MATCH(B117,Bookings!$A$5:$A$404,0)),""))</f>
        <v>0</v>
      </c>
      <c r="K117" s="31">
        <f>IF(OR(I117="",J117=""),"",ROUND((J117-I117+IF(J117&lt;I117,1,0))*1440,0))</f>
        <v>0</v>
      </c>
      <c r="L117" s="49">
        <f>IF(OR(I117="",H117=""),"",IF(I117&lt;=H117+TIME(0,10,0),"On time","Late "&amp;TEXT((I117-H117)*1440,"0")&amp;" min"))</f>
        <v>0</v>
      </c>
      <c r="O117" s="31">
        <f>IF(OR(M117="",N117=""),"",ROUND((N117-M117+IF(N117&lt;M117,1,0))*1440,0))</f>
        <v>0</v>
      </c>
      <c r="AG117" s="28">
        <f>IF(C117="","",TEXT(C117,"yyyy-mm"))</f>
        <v>0</v>
      </c>
      <c r="AH117" s="28">
        <f>IF(B117="","",B117&amp;"|"&amp;COUNTIF($B$5:$B117,B117))</f>
        <v>0</v>
      </c>
      <c r="AI117" s="28">
        <f>IF(E117="","",E117&amp;"|"&amp;COUNTIF($E$5:$E117,E117))</f>
        <v>0</v>
      </c>
      <c r="AJ117" s="49">
        <f>IF(C117="","",IF(AE117="Missed","Missed visit - contact client",IF(Z117="Yes","Incident logged - follow up",IF(AND(AE117="Completed",AC117&lt;&gt;"Yes"),"Action - send client update",IF(AND(AE117="Completed",AD117&lt;&gt;"Yes"),"Check care checklist",IF(AND(C117&lt;TODAY(),AE117="Scheduled"),"Overdue - log the result","OK"))))))</f>
        <v>0</v>
      </c>
    </row>
    <row r="118" spans="1:36">
      <c r="A118" s="46">
        <f>IF(C118="","","VS-"&amp;TEXT(ROW()-4,"0000"))</f>
        <v>0</v>
      </c>
      <c r="D118" s="28">
        <f>IF(B118="","",IFERROR(INDEX(Bookings!$C$5:$C$404,MATCH(B118,Bookings!$A$5:$A$404,0)),""))</f>
        <v>0</v>
      </c>
      <c r="E118" s="28">
        <f>IF(B118="","",IFERROR(INDEX(Bookings!$E$5:$E$404,MATCH(B118,Bookings!$A$5:$A$404,0)),""))</f>
        <v>0</v>
      </c>
      <c r="F118" s="28">
        <f>IF(B118="","",IFERROR(INDEX(Bookings!$H$5:$H$404,MATCH(B118,Bookings!$A$5:$A$404,0)),""))</f>
        <v>0</v>
      </c>
      <c r="H118" s="53">
        <f>IF(B118="","",IFERROR(INDEX(Bookings!$K$5:$K$404,MATCH(B118,Bookings!$A$5:$A$404,0)),""))</f>
        <v>0</v>
      </c>
      <c r="K118" s="31">
        <f>IF(OR(I118="",J118=""),"",ROUND((J118-I118+IF(J118&lt;I118,1,0))*1440,0))</f>
        <v>0</v>
      </c>
      <c r="L118" s="49">
        <f>IF(OR(I118="",H118=""),"",IF(I118&lt;=H118+TIME(0,10,0),"On time","Late "&amp;TEXT((I118-H118)*1440,"0")&amp;" min"))</f>
        <v>0</v>
      </c>
      <c r="O118" s="31">
        <f>IF(OR(M118="",N118=""),"",ROUND((N118-M118+IF(N118&lt;M118,1,0))*1440,0))</f>
        <v>0</v>
      </c>
      <c r="AG118" s="28">
        <f>IF(C118="","",TEXT(C118,"yyyy-mm"))</f>
        <v>0</v>
      </c>
      <c r="AH118" s="28">
        <f>IF(B118="","",B118&amp;"|"&amp;COUNTIF($B$5:$B118,B118))</f>
        <v>0</v>
      </c>
      <c r="AI118" s="28">
        <f>IF(E118="","",E118&amp;"|"&amp;COUNTIF($E$5:$E118,E118))</f>
        <v>0</v>
      </c>
      <c r="AJ118" s="49">
        <f>IF(C118="","",IF(AE118="Missed","Missed visit - contact client",IF(Z118="Yes","Incident logged - follow up",IF(AND(AE118="Completed",AC118&lt;&gt;"Yes"),"Action - send client update",IF(AND(AE118="Completed",AD118&lt;&gt;"Yes"),"Check care checklist",IF(AND(C118&lt;TODAY(),AE118="Scheduled"),"Overdue - log the result","OK"))))))</f>
        <v>0</v>
      </c>
    </row>
    <row r="119" spans="1:36">
      <c r="A119" s="46">
        <f>IF(C119="","","VS-"&amp;TEXT(ROW()-4,"0000"))</f>
        <v>0</v>
      </c>
      <c r="D119" s="28">
        <f>IF(B119="","",IFERROR(INDEX(Bookings!$C$5:$C$404,MATCH(B119,Bookings!$A$5:$A$404,0)),""))</f>
        <v>0</v>
      </c>
      <c r="E119" s="28">
        <f>IF(B119="","",IFERROR(INDEX(Bookings!$E$5:$E$404,MATCH(B119,Bookings!$A$5:$A$404,0)),""))</f>
        <v>0</v>
      </c>
      <c r="F119" s="28">
        <f>IF(B119="","",IFERROR(INDEX(Bookings!$H$5:$H$404,MATCH(B119,Bookings!$A$5:$A$404,0)),""))</f>
        <v>0</v>
      </c>
      <c r="H119" s="53">
        <f>IF(B119="","",IFERROR(INDEX(Bookings!$K$5:$K$404,MATCH(B119,Bookings!$A$5:$A$404,0)),""))</f>
        <v>0</v>
      </c>
      <c r="K119" s="31">
        <f>IF(OR(I119="",J119=""),"",ROUND((J119-I119+IF(J119&lt;I119,1,0))*1440,0))</f>
        <v>0</v>
      </c>
      <c r="L119" s="49">
        <f>IF(OR(I119="",H119=""),"",IF(I119&lt;=H119+TIME(0,10,0),"On time","Late "&amp;TEXT((I119-H119)*1440,"0")&amp;" min"))</f>
        <v>0</v>
      </c>
      <c r="O119" s="31">
        <f>IF(OR(M119="",N119=""),"",ROUND((N119-M119+IF(N119&lt;M119,1,0))*1440,0))</f>
        <v>0</v>
      </c>
      <c r="AG119" s="28">
        <f>IF(C119="","",TEXT(C119,"yyyy-mm"))</f>
        <v>0</v>
      </c>
      <c r="AH119" s="28">
        <f>IF(B119="","",B119&amp;"|"&amp;COUNTIF($B$5:$B119,B119))</f>
        <v>0</v>
      </c>
      <c r="AI119" s="28">
        <f>IF(E119="","",E119&amp;"|"&amp;COUNTIF($E$5:$E119,E119))</f>
        <v>0</v>
      </c>
      <c r="AJ119" s="49">
        <f>IF(C119="","",IF(AE119="Missed","Missed visit - contact client",IF(Z119="Yes","Incident logged - follow up",IF(AND(AE119="Completed",AC119&lt;&gt;"Yes"),"Action - send client update",IF(AND(AE119="Completed",AD119&lt;&gt;"Yes"),"Check care checklist",IF(AND(C119&lt;TODAY(),AE119="Scheduled"),"Overdue - log the result","OK"))))))</f>
        <v>0</v>
      </c>
    </row>
    <row r="120" spans="1:36">
      <c r="A120" s="46">
        <f>IF(C120="","","VS-"&amp;TEXT(ROW()-4,"0000"))</f>
        <v>0</v>
      </c>
      <c r="D120" s="28">
        <f>IF(B120="","",IFERROR(INDEX(Bookings!$C$5:$C$404,MATCH(B120,Bookings!$A$5:$A$404,0)),""))</f>
        <v>0</v>
      </c>
      <c r="E120" s="28">
        <f>IF(B120="","",IFERROR(INDEX(Bookings!$E$5:$E$404,MATCH(B120,Bookings!$A$5:$A$404,0)),""))</f>
        <v>0</v>
      </c>
      <c r="F120" s="28">
        <f>IF(B120="","",IFERROR(INDEX(Bookings!$H$5:$H$404,MATCH(B120,Bookings!$A$5:$A$404,0)),""))</f>
        <v>0</v>
      </c>
      <c r="H120" s="53">
        <f>IF(B120="","",IFERROR(INDEX(Bookings!$K$5:$K$404,MATCH(B120,Bookings!$A$5:$A$404,0)),""))</f>
        <v>0</v>
      </c>
      <c r="K120" s="31">
        <f>IF(OR(I120="",J120=""),"",ROUND((J120-I120+IF(J120&lt;I120,1,0))*1440,0))</f>
        <v>0</v>
      </c>
      <c r="L120" s="49">
        <f>IF(OR(I120="",H120=""),"",IF(I120&lt;=H120+TIME(0,10,0),"On time","Late "&amp;TEXT((I120-H120)*1440,"0")&amp;" min"))</f>
        <v>0</v>
      </c>
      <c r="O120" s="31">
        <f>IF(OR(M120="",N120=""),"",ROUND((N120-M120+IF(N120&lt;M120,1,0))*1440,0))</f>
        <v>0</v>
      </c>
      <c r="AG120" s="28">
        <f>IF(C120="","",TEXT(C120,"yyyy-mm"))</f>
        <v>0</v>
      </c>
      <c r="AH120" s="28">
        <f>IF(B120="","",B120&amp;"|"&amp;COUNTIF($B$5:$B120,B120))</f>
        <v>0</v>
      </c>
      <c r="AI120" s="28">
        <f>IF(E120="","",E120&amp;"|"&amp;COUNTIF($E$5:$E120,E120))</f>
        <v>0</v>
      </c>
      <c r="AJ120" s="49">
        <f>IF(C120="","",IF(AE120="Missed","Missed visit - contact client",IF(Z120="Yes","Incident logged - follow up",IF(AND(AE120="Completed",AC120&lt;&gt;"Yes"),"Action - send client update",IF(AND(AE120="Completed",AD120&lt;&gt;"Yes"),"Check care checklist",IF(AND(C120&lt;TODAY(),AE120="Scheduled"),"Overdue - log the result","OK"))))))</f>
        <v>0</v>
      </c>
    </row>
    <row r="121" spans="1:36">
      <c r="A121" s="46">
        <f>IF(C121="","","VS-"&amp;TEXT(ROW()-4,"0000"))</f>
        <v>0</v>
      </c>
      <c r="D121" s="28">
        <f>IF(B121="","",IFERROR(INDEX(Bookings!$C$5:$C$404,MATCH(B121,Bookings!$A$5:$A$404,0)),""))</f>
        <v>0</v>
      </c>
      <c r="E121" s="28">
        <f>IF(B121="","",IFERROR(INDEX(Bookings!$E$5:$E$404,MATCH(B121,Bookings!$A$5:$A$404,0)),""))</f>
        <v>0</v>
      </c>
      <c r="F121" s="28">
        <f>IF(B121="","",IFERROR(INDEX(Bookings!$H$5:$H$404,MATCH(B121,Bookings!$A$5:$A$404,0)),""))</f>
        <v>0</v>
      </c>
      <c r="H121" s="53">
        <f>IF(B121="","",IFERROR(INDEX(Bookings!$K$5:$K$404,MATCH(B121,Bookings!$A$5:$A$404,0)),""))</f>
        <v>0</v>
      </c>
      <c r="K121" s="31">
        <f>IF(OR(I121="",J121=""),"",ROUND((J121-I121+IF(J121&lt;I121,1,0))*1440,0))</f>
        <v>0</v>
      </c>
      <c r="L121" s="49">
        <f>IF(OR(I121="",H121=""),"",IF(I121&lt;=H121+TIME(0,10,0),"On time","Late "&amp;TEXT((I121-H121)*1440,"0")&amp;" min"))</f>
        <v>0</v>
      </c>
      <c r="O121" s="31">
        <f>IF(OR(M121="",N121=""),"",ROUND((N121-M121+IF(N121&lt;M121,1,0))*1440,0))</f>
        <v>0</v>
      </c>
      <c r="AG121" s="28">
        <f>IF(C121="","",TEXT(C121,"yyyy-mm"))</f>
        <v>0</v>
      </c>
      <c r="AH121" s="28">
        <f>IF(B121="","",B121&amp;"|"&amp;COUNTIF($B$5:$B121,B121))</f>
        <v>0</v>
      </c>
      <c r="AI121" s="28">
        <f>IF(E121="","",E121&amp;"|"&amp;COUNTIF($E$5:$E121,E121))</f>
        <v>0</v>
      </c>
      <c r="AJ121" s="49">
        <f>IF(C121="","",IF(AE121="Missed","Missed visit - contact client",IF(Z121="Yes","Incident logged - follow up",IF(AND(AE121="Completed",AC121&lt;&gt;"Yes"),"Action - send client update",IF(AND(AE121="Completed",AD121&lt;&gt;"Yes"),"Check care checklist",IF(AND(C121&lt;TODAY(),AE121="Scheduled"),"Overdue - log the result","OK"))))))</f>
        <v>0</v>
      </c>
    </row>
    <row r="122" spans="1:36">
      <c r="A122" s="46">
        <f>IF(C122="","","VS-"&amp;TEXT(ROW()-4,"0000"))</f>
        <v>0</v>
      </c>
      <c r="D122" s="28">
        <f>IF(B122="","",IFERROR(INDEX(Bookings!$C$5:$C$404,MATCH(B122,Bookings!$A$5:$A$404,0)),""))</f>
        <v>0</v>
      </c>
      <c r="E122" s="28">
        <f>IF(B122="","",IFERROR(INDEX(Bookings!$E$5:$E$404,MATCH(B122,Bookings!$A$5:$A$404,0)),""))</f>
        <v>0</v>
      </c>
      <c r="F122" s="28">
        <f>IF(B122="","",IFERROR(INDEX(Bookings!$H$5:$H$404,MATCH(B122,Bookings!$A$5:$A$404,0)),""))</f>
        <v>0</v>
      </c>
      <c r="H122" s="53">
        <f>IF(B122="","",IFERROR(INDEX(Bookings!$K$5:$K$404,MATCH(B122,Bookings!$A$5:$A$404,0)),""))</f>
        <v>0</v>
      </c>
      <c r="K122" s="31">
        <f>IF(OR(I122="",J122=""),"",ROUND((J122-I122+IF(J122&lt;I122,1,0))*1440,0))</f>
        <v>0</v>
      </c>
      <c r="L122" s="49">
        <f>IF(OR(I122="",H122=""),"",IF(I122&lt;=H122+TIME(0,10,0),"On time","Late "&amp;TEXT((I122-H122)*1440,"0")&amp;" min"))</f>
        <v>0</v>
      </c>
      <c r="O122" s="31">
        <f>IF(OR(M122="",N122=""),"",ROUND((N122-M122+IF(N122&lt;M122,1,0))*1440,0))</f>
        <v>0</v>
      </c>
      <c r="AG122" s="28">
        <f>IF(C122="","",TEXT(C122,"yyyy-mm"))</f>
        <v>0</v>
      </c>
      <c r="AH122" s="28">
        <f>IF(B122="","",B122&amp;"|"&amp;COUNTIF($B$5:$B122,B122))</f>
        <v>0</v>
      </c>
      <c r="AI122" s="28">
        <f>IF(E122="","",E122&amp;"|"&amp;COUNTIF($E$5:$E122,E122))</f>
        <v>0</v>
      </c>
      <c r="AJ122" s="49">
        <f>IF(C122="","",IF(AE122="Missed","Missed visit - contact client",IF(Z122="Yes","Incident logged - follow up",IF(AND(AE122="Completed",AC122&lt;&gt;"Yes"),"Action - send client update",IF(AND(AE122="Completed",AD122&lt;&gt;"Yes"),"Check care checklist",IF(AND(C122&lt;TODAY(),AE122="Scheduled"),"Overdue - log the result","OK"))))))</f>
        <v>0</v>
      </c>
    </row>
    <row r="123" spans="1:36">
      <c r="A123" s="46">
        <f>IF(C123="","","VS-"&amp;TEXT(ROW()-4,"0000"))</f>
        <v>0</v>
      </c>
      <c r="D123" s="28">
        <f>IF(B123="","",IFERROR(INDEX(Bookings!$C$5:$C$404,MATCH(B123,Bookings!$A$5:$A$404,0)),""))</f>
        <v>0</v>
      </c>
      <c r="E123" s="28">
        <f>IF(B123="","",IFERROR(INDEX(Bookings!$E$5:$E$404,MATCH(B123,Bookings!$A$5:$A$404,0)),""))</f>
        <v>0</v>
      </c>
      <c r="F123" s="28">
        <f>IF(B123="","",IFERROR(INDEX(Bookings!$H$5:$H$404,MATCH(B123,Bookings!$A$5:$A$404,0)),""))</f>
        <v>0</v>
      </c>
      <c r="H123" s="53">
        <f>IF(B123="","",IFERROR(INDEX(Bookings!$K$5:$K$404,MATCH(B123,Bookings!$A$5:$A$404,0)),""))</f>
        <v>0</v>
      </c>
      <c r="K123" s="31">
        <f>IF(OR(I123="",J123=""),"",ROUND((J123-I123+IF(J123&lt;I123,1,0))*1440,0))</f>
        <v>0</v>
      </c>
      <c r="L123" s="49">
        <f>IF(OR(I123="",H123=""),"",IF(I123&lt;=H123+TIME(0,10,0),"On time","Late "&amp;TEXT((I123-H123)*1440,"0")&amp;" min"))</f>
        <v>0</v>
      </c>
      <c r="O123" s="31">
        <f>IF(OR(M123="",N123=""),"",ROUND((N123-M123+IF(N123&lt;M123,1,0))*1440,0))</f>
        <v>0</v>
      </c>
      <c r="AG123" s="28">
        <f>IF(C123="","",TEXT(C123,"yyyy-mm"))</f>
        <v>0</v>
      </c>
      <c r="AH123" s="28">
        <f>IF(B123="","",B123&amp;"|"&amp;COUNTIF($B$5:$B123,B123))</f>
        <v>0</v>
      </c>
      <c r="AI123" s="28">
        <f>IF(E123="","",E123&amp;"|"&amp;COUNTIF($E$5:$E123,E123))</f>
        <v>0</v>
      </c>
      <c r="AJ123" s="49">
        <f>IF(C123="","",IF(AE123="Missed","Missed visit - contact client",IF(Z123="Yes","Incident logged - follow up",IF(AND(AE123="Completed",AC123&lt;&gt;"Yes"),"Action - send client update",IF(AND(AE123="Completed",AD123&lt;&gt;"Yes"),"Check care checklist",IF(AND(C123&lt;TODAY(),AE123="Scheduled"),"Overdue - log the result","OK"))))))</f>
        <v>0</v>
      </c>
    </row>
    <row r="124" spans="1:36">
      <c r="A124" s="46">
        <f>IF(C124="","","VS-"&amp;TEXT(ROW()-4,"0000"))</f>
        <v>0</v>
      </c>
      <c r="D124" s="28">
        <f>IF(B124="","",IFERROR(INDEX(Bookings!$C$5:$C$404,MATCH(B124,Bookings!$A$5:$A$404,0)),""))</f>
        <v>0</v>
      </c>
      <c r="E124" s="28">
        <f>IF(B124="","",IFERROR(INDEX(Bookings!$E$5:$E$404,MATCH(B124,Bookings!$A$5:$A$404,0)),""))</f>
        <v>0</v>
      </c>
      <c r="F124" s="28">
        <f>IF(B124="","",IFERROR(INDEX(Bookings!$H$5:$H$404,MATCH(B124,Bookings!$A$5:$A$404,0)),""))</f>
        <v>0</v>
      </c>
      <c r="H124" s="53">
        <f>IF(B124="","",IFERROR(INDEX(Bookings!$K$5:$K$404,MATCH(B124,Bookings!$A$5:$A$404,0)),""))</f>
        <v>0</v>
      </c>
      <c r="K124" s="31">
        <f>IF(OR(I124="",J124=""),"",ROUND((J124-I124+IF(J124&lt;I124,1,0))*1440,0))</f>
        <v>0</v>
      </c>
      <c r="L124" s="49">
        <f>IF(OR(I124="",H124=""),"",IF(I124&lt;=H124+TIME(0,10,0),"On time","Late "&amp;TEXT((I124-H124)*1440,"0")&amp;" min"))</f>
        <v>0</v>
      </c>
      <c r="O124" s="31">
        <f>IF(OR(M124="",N124=""),"",ROUND((N124-M124+IF(N124&lt;M124,1,0))*1440,0))</f>
        <v>0</v>
      </c>
      <c r="AG124" s="28">
        <f>IF(C124="","",TEXT(C124,"yyyy-mm"))</f>
        <v>0</v>
      </c>
      <c r="AH124" s="28">
        <f>IF(B124="","",B124&amp;"|"&amp;COUNTIF($B$5:$B124,B124))</f>
        <v>0</v>
      </c>
      <c r="AI124" s="28">
        <f>IF(E124="","",E124&amp;"|"&amp;COUNTIF($E$5:$E124,E124))</f>
        <v>0</v>
      </c>
      <c r="AJ124" s="49">
        <f>IF(C124="","",IF(AE124="Missed","Missed visit - contact client",IF(Z124="Yes","Incident logged - follow up",IF(AND(AE124="Completed",AC124&lt;&gt;"Yes"),"Action - send client update",IF(AND(AE124="Completed",AD124&lt;&gt;"Yes"),"Check care checklist",IF(AND(C124&lt;TODAY(),AE124="Scheduled"),"Overdue - log the result","OK"))))))</f>
        <v>0</v>
      </c>
    </row>
    <row r="125" spans="1:36">
      <c r="A125" s="46">
        <f>IF(C125="","","VS-"&amp;TEXT(ROW()-4,"0000"))</f>
        <v>0</v>
      </c>
      <c r="D125" s="28">
        <f>IF(B125="","",IFERROR(INDEX(Bookings!$C$5:$C$404,MATCH(B125,Bookings!$A$5:$A$404,0)),""))</f>
        <v>0</v>
      </c>
      <c r="E125" s="28">
        <f>IF(B125="","",IFERROR(INDEX(Bookings!$E$5:$E$404,MATCH(B125,Bookings!$A$5:$A$404,0)),""))</f>
        <v>0</v>
      </c>
      <c r="F125" s="28">
        <f>IF(B125="","",IFERROR(INDEX(Bookings!$H$5:$H$404,MATCH(B125,Bookings!$A$5:$A$404,0)),""))</f>
        <v>0</v>
      </c>
      <c r="H125" s="53">
        <f>IF(B125="","",IFERROR(INDEX(Bookings!$K$5:$K$404,MATCH(B125,Bookings!$A$5:$A$404,0)),""))</f>
        <v>0</v>
      </c>
      <c r="K125" s="31">
        <f>IF(OR(I125="",J125=""),"",ROUND((J125-I125+IF(J125&lt;I125,1,0))*1440,0))</f>
        <v>0</v>
      </c>
      <c r="L125" s="49">
        <f>IF(OR(I125="",H125=""),"",IF(I125&lt;=H125+TIME(0,10,0),"On time","Late "&amp;TEXT((I125-H125)*1440,"0")&amp;" min"))</f>
        <v>0</v>
      </c>
      <c r="O125" s="31">
        <f>IF(OR(M125="",N125=""),"",ROUND((N125-M125+IF(N125&lt;M125,1,0))*1440,0))</f>
        <v>0</v>
      </c>
      <c r="AG125" s="28">
        <f>IF(C125="","",TEXT(C125,"yyyy-mm"))</f>
        <v>0</v>
      </c>
      <c r="AH125" s="28">
        <f>IF(B125="","",B125&amp;"|"&amp;COUNTIF($B$5:$B125,B125))</f>
        <v>0</v>
      </c>
      <c r="AI125" s="28">
        <f>IF(E125="","",E125&amp;"|"&amp;COUNTIF($E$5:$E125,E125))</f>
        <v>0</v>
      </c>
      <c r="AJ125" s="49">
        <f>IF(C125="","",IF(AE125="Missed","Missed visit - contact client",IF(Z125="Yes","Incident logged - follow up",IF(AND(AE125="Completed",AC125&lt;&gt;"Yes"),"Action - send client update",IF(AND(AE125="Completed",AD125&lt;&gt;"Yes"),"Check care checklist",IF(AND(C125&lt;TODAY(),AE125="Scheduled"),"Overdue - log the result","OK"))))))</f>
        <v>0</v>
      </c>
    </row>
    <row r="126" spans="1:36">
      <c r="A126" s="46">
        <f>IF(C126="","","VS-"&amp;TEXT(ROW()-4,"0000"))</f>
        <v>0</v>
      </c>
      <c r="D126" s="28">
        <f>IF(B126="","",IFERROR(INDEX(Bookings!$C$5:$C$404,MATCH(B126,Bookings!$A$5:$A$404,0)),""))</f>
        <v>0</v>
      </c>
      <c r="E126" s="28">
        <f>IF(B126="","",IFERROR(INDEX(Bookings!$E$5:$E$404,MATCH(B126,Bookings!$A$5:$A$404,0)),""))</f>
        <v>0</v>
      </c>
      <c r="F126" s="28">
        <f>IF(B126="","",IFERROR(INDEX(Bookings!$H$5:$H$404,MATCH(B126,Bookings!$A$5:$A$404,0)),""))</f>
        <v>0</v>
      </c>
      <c r="H126" s="53">
        <f>IF(B126="","",IFERROR(INDEX(Bookings!$K$5:$K$404,MATCH(B126,Bookings!$A$5:$A$404,0)),""))</f>
        <v>0</v>
      </c>
      <c r="K126" s="31">
        <f>IF(OR(I126="",J126=""),"",ROUND((J126-I126+IF(J126&lt;I126,1,0))*1440,0))</f>
        <v>0</v>
      </c>
      <c r="L126" s="49">
        <f>IF(OR(I126="",H126=""),"",IF(I126&lt;=H126+TIME(0,10,0),"On time","Late "&amp;TEXT((I126-H126)*1440,"0")&amp;" min"))</f>
        <v>0</v>
      </c>
      <c r="O126" s="31">
        <f>IF(OR(M126="",N126=""),"",ROUND((N126-M126+IF(N126&lt;M126,1,0))*1440,0))</f>
        <v>0</v>
      </c>
      <c r="AG126" s="28">
        <f>IF(C126="","",TEXT(C126,"yyyy-mm"))</f>
        <v>0</v>
      </c>
      <c r="AH126" s="28">
        <f>IF(B126="","",B126&amp;"|"&amp;COUNTIF($B$5:$B126,B126))</f>
        <v>0</v>
      </c>
      <c r="AI126" s="28">
        <f>IF(E126="","",E126&amp;"|"&amp;COUNTIF($E$5:$E126,E126))</f>
        <v>0</v>
      </c>
      <c r="AJ126" s="49">
        <f>IF(C126="","",IF(AE126="Missed","Missed visit - contact client",IF(Z126="Yes","Incident logged - follow up",IF(AND(AE126="Completed",AC126&lt;&gt;"Yes"),"Action - send client update",IF(AND(AE126="Completed",AD126&lt;&gt;"Yes"),"Check care checklist",IF(AND(C126&lt;TODAY(),AE126="Scheduled"),"Overdue - log the result","OK"))))))</f>
        <v>0</v>
      </c>
    </row>
    <row r="127" spans="1:36">
      <c r="A127" s="46">
        <f>IF(C127="","","VS-"&amp;TEXT(ROW()-4,"0000"))</f>
        <v>0</v>
      </c>
      <c r="D127" s="28">
        <f>IF(B127="","",IFERROR(INDEX(Bookings!$C$5:$C$404,MATCH(B127,Bookings!$A$5:$A$404,0)),""))</f>
        <v>0</v>
      </c>
      <c r="E127" s="28">
        <f>IF(B127="","",IFERROR(INDEX(Bookings!$E$5:$E$404,MATCH(B127,Bookings!$A$5:$A$404,0)),""))</f>
        <v>0</v>
      </c>
      <c r="F127" s="28">
        <f>IF(B127="","",IFERROR(INDEX(Bookings!$H$5:$H$404,MATCH(B127,Bookings!$A$5:$A$404,0)),""))</f>
        <v>0</v>
      </c>
      <c r="H127" s="53">
        <f>IF(B127="","",IFERROR(INDEX(Bookings!$K$5:$K$404,MATCH(B127,Bookings!$A$5:$A$404,0)),""))</f>
        <v>0</v>
      </c>
      <c r="K127" s="31">
        <f>IF(OR(I127="",J127=""),"",ROUND((J127-I127+IF(J127&lt;I127,1,0))*1440,0))</f>
        <v>0</v>
      </c>
      <c r="L127" s="49">
        <f>IF(OR(I127="",H127=""),"",IF(I127&lt;=H127+TIME(0,10,0),"On time","Late "&amp;TEXT((I127-H127)*1440,"0")&amp;" min"))</f>
        <v>0</v>
      </c>
      <c r="O127" s="31">
        <f>IF(OR(M127="",N127=""),"",ROUND((N127-M127+IF(N127&lt;M127,1,0))*1440,0))</f>
        <v>0</v>
      </c>
      <c r="AG127" s="28">
        <f>IF(C127="","",TEXT(C127,"yyyy-mm"))</f>
        <v>0</v>
      </c>
      <c r="AH127" s="28">
        <f>IF(B127="","",B127&amp;"|"&amp;COUNTIF($B$5:$B127,B127))</f>
        <v>0</v>
      </c>
      <c r="AI127" s="28">
        <f>IF(E127="","",E127&amp;"|"&amp;COUNTIF($E$5:$E127,E127))</f>
        <v>0</v>
      </c>
      <c r="AJ127" s="49">
        <f>IF(C127="","",IF(AE127="Missed","Missed visit - contact client",IF(Z127="Yes","Incident logged - follow up",IF(AND(AE127="Completed",AC127&lt;&gt;"Yes"),"Action - send client update",IF(AND(AE127="Completed",AD127&lt;&gt;"Yes"),"Check care checklist",IF(AND(C127&lt;TODAY(),AE127="Scheduled"),"Overdue - log the result","OK"))))))</f>
        <v>0</v>
      </c>
    </row>
    <row r="128" spans="1:36">
      <c r="A128" s="46">
        <f>IF(C128="","","VS-"&amp;TEXT(ROW()-4,"0000"))</f>
        <v>0</v>
      </c>
      <c r="D128" s="28">
        <f>IF(B128="","",IFERROR(INDEX(Bookings!$C$5:$C$404,MATCH(B128,Bookings!$A$5:$A$404,0)),""))</f>
        <v>0</v>
      </c>
      <c r="E128" s="28">
        <f>IF(B128="","",IFERROR(INDEX(Bookings!$E$5:$E$404,MATCH(B128,Bookings!$A$5:$A$404,0)),""))</f>
        <v>0</v>
      </c>
      <c r="F128" s="28">
        <f>IF(B128="","",IFERROR(INDEX(Bookings!$H$5:$H$404,MATCH(B128,Bookings!$A$5:$A$404,0)),""))</f>
        <v>0</v>
      </c>
      <c r="H128" s="53">
        <f>IF(B128="","",IFERROR(INDEX(Bookings!$K$5:$K$404,MATCH(B128,Bookings!$A$5:$A$404,0)),""))</f>
        <v>0</v>
      </c>
      <c r="K128" s="31">
        <f>IF(OR(I128="",J128=""),"",ROUND((J128-I128+IF(J128&lt;I128,1,0))*1440,0))</f>
        <v>0</v>
      </c>
      <c r="L128" s="49">
        <f>IF(OR(I128="",H128=""),"",IF(I128&lt;=H128+TIME(0,10,0),"On time","Late "&amp;TEXT((I128-H128)*1440,"0")&amp;" min"))</f>
        <v>0</v>
      </c>
      <c r="O128" s="31">
        <f>IF(OR(M128="",N128=""),"",ROUND((N128-M128+IF(N128&lt;M128,1,0))*1440,0))</f>
        <v>0</v>
      </c>
      <c r="AG128" s="28">
        <f>IF(C128="","",TEXT(C128,"yyyy-mm"))</f>
        <v>0</v>
      </c>
      <c r="AH128" s="28">
        <f>IF(B128="","",B128&amp;"|"&amp;COUNTIF($B$5:$B128,B128))</f>
        <v>0</v>
      </c>
      <c r="AI128" s="28">
        <f>IF(E128="","",E128&amp;"|"&amp;COUNTIF($E$5:$E128,E128))</f>
        <v>0</v>
      </c>
      <c r="AJ128" s="49">
        <f>IF(C128="","",IF(AE128="Missed","Missed visit - contact client",IF(Z128="Yes","Incident logged - follow up",IF(AND(AE128="Completed",AC128&lt;&gt;"Yes"),"Action - send client update",IF(AND(AE128="Completed",AD128&lt;&gt;"Yes"),"Check care checklist",IF(AND(C128&lt;TODAY(),AE128="Scheduled"),"Overdue - log the result","OK"))))))</f>
        <v>0</v>
      </c>
    </row>
    <row r="129" spans="1:36">
      <c r="A129" s="46">
        <f>IF(C129="","","VS-"&amp;TEXT(ROW()-4,"0000"))</f>
        <v>0</v>
      </c>
      <c r="D129" s="28">
        <f>IF(B129="","",IFERROR(INDEX(Bookings!$C$5:$C$404,MATCH(B129,Bookings!$A$5:$A$404,0)),""))</f>
        <v>0</v>
      </c>
      <c r="E129" s="28">
        <f>IF(B129="","",IFERROR(INDEX(Bookings!$E$5:$E$404,MATCH(B129,Bookings!$A$5:$A$404,0)),""))</f>
        <v>0</v>
      </c>
      <c r="F129" s="28">
        <f>IF(B129="","",IFERROR(INDEX(Bookings!$H$5:$H$404,MATCH(B129,Bookings!$A$5:$A$404,0)),""))</f>
        <v>0</v>
      </c>
      <c r="H129" s="53">
        <f>IF(B129="","",IFERROR(INDEX(Bookings!$K$5:$K$404,MATCH(B129,Bookings!$A$5:$A$404,0)),""))</f>
        <v>0</v>
      </c>
      <c r="K129" s="31">
        <f>IF(OR(I129="",J129=""),"",ROUND((J129-I129+IF(J129&lt;I129,1,0))*1440,0))</f>
        <v>0</v>
      </c>
      <c r="L129" s="49">
        <f>IF(OR(I129="",H129=""),"",IF(I129&lt;=H129+TIME(0,10,0),"On time","Late "&amp;TEXT((I129-H129)*1440,"0")&amp;" min"))</f>
        <v>0</v>
      </c>
      <c r="O129" s="31">
        <f>IF(OR(M129="",N129=""),"",ROUND((N129-M129+IF(N129&lt;M129,1,0))*1440,0))</f>
        <v>0</v>
      </c>
      <c r="AG129" s="28">
        <f>IF(C129="","",TEXT(C129,"yyyy-mm"))</f>
        <v>0</v>
      </c>
      <c r="AH129" s="28">
        <f>IF(B129="","",B129&amp;"|"&amp;COUNTIF($B$5:$B129,B129))</f>
        <v>0</v>
      </c>
      <c r="AI129" s="28">
        <f>IF(E129="","",E129&amp;"|"&amp;COUNTIF($E$5:$E129,E129))</f>
        <v>0</v>
      </c>
      <c r="AJ129" s="49">
        <f>IF(C129="","",IF(AE129="Missed","Missed visit - contact client",IF(Z129="Yes","Incident logged - follow up",IF(AND(AE129="Completed",AC129&lt;&gt;"Yes"),"Action - send client update",IF(AND(AE129="Completed",AD129&lt;&gt;"Yes"),"Check care checklist",IF(AND(C129&lt;TODAY(),AE129="Scheduled"),"Overdue - log the result","OK"))))))</f>
        <v>0</v>
      </c>
    </row>
    <row r="130" spans="1:36">
      <c r="A130" s="46">
        <f>IF(C130="","","VS-"&amp;TEXT(ROW()-4,"0000"))</f>
        <v>0</v>
      </c>
      <c r="D130" s="28">
        <f>IF(B130="","",IFERROR(INDEX(Bookings!$C$5:$C$404,MATCH(B130,Bookings!$A$5:$A$404,0)),""))</f>
        <v>0</v>
      </c>
      <c r="E130" s="28">
        <f>IF(B130="","",IFERROR(INDEX(Bookings!$E$5:$E$404,MATCH(B130,Bookings!$A$5:$A$404,0)),""))</f>
        <v>0</v>
      </c>
      <c r="F130" s="28">
        <f>IF(B130="","",IFERROR(INDEX(Bookings!$H$5:$H$404,MATCH(B130,Bookings!$A$5:$A$404,0)),""))</f>
        <v>0</v>
      </c>
      <c r="H130" s="53">
        <f>IF(B130="","",IFERROR(INDEX(Bookings!$K$5:$K$404,MATCH(B130,Bookings!$A$5:$A$404,0)),""))</f>
        <v>0</v>
      </c>
      <c r="K130" s="31">
        <f>IF(OR(I130="",J130=""),"",ROUND((J130-I130+IF(J130&lt;I130,1,0))*1440,0))</f>
        <v>0</v>
      </c>
      <c r="L130" s="49">
        <f>IF(OR(I130="",H130=""),"",IF(I130&lt;=H130+TIME(0,10,0),"On time","Late "&amp;TEXT((I130-H130)*1440,"0")&amp;" min"))</f>
        <v>0</v>
      </c>
      <c r="O130" s="31">
        <f>IF(OR(M130="",N130=""),"",ROUND((N130-M130+IF(N130&lt;M130,1,0))*1440,0))</f>
        <v>0</v>
      </c>
      <c r="AG130" s="28">
        <f>IF(C130="","",TEXT(C130,"yyyy-mm"))</f>
        <v>0</v>
      </c>
      <c r="AH130" s="28">
        <f>IF(B130="","",B130&amp;"|"&amp;COUNTIF($B$5:$B130,B130))</f>
        <v>0</v>
      </c>
      <c r="AI130" s="28">
        <f>IF(E130="","",E130&amp;"|"&amp;COUNTIF($E$5:$E130,E130))</f>
        <v>0</v>
      </c>
      <c r="AJ130" s="49">
        <f>IF(C130="","",IF(AE130="Missed","Missed visit - contact client",IF(Z130="Yes","Incident logged - follow up",IF(AND(AE130="Completed",AC130&lt;&gt;"Yes"),"Action - send client update",IF(AND(AE130="Completed",AD130&lt;&gt;"Yes"),"Check care checklist",IF(AND(C130&lt;TODAY(),AE130="Scheduled"),"Overdue - log the result","OK"))))))</f>
        <v>0</v>
      </c>
    </row>
    <row r="131" spans="1:36">
      <c r="A131" s="46">
        <f>IF(C131="","","VS-"&amp;TEXT(ROW()-4,"0000"))</f>
        <v>0</v>
      </c>
      <c r="D131" s="28">
        <f>IF(B131="","",IFERROR(INDEX(Bookings!$C$5:$C$404,MATCH(B131,Bookings!$A$5:$A$404,0)),""))</f>
        <v>0</v>
      </c>
      <c r="E131" s="28">
        <f>IF(B131="","",IFERROR(INDEX(Bookings!$E$5:$E$404,MATCH(B131,Bookings!$A$5:$A$404,0)),""))</f>
        <v>0</v>
      </c>
      <c r="F131" s="28">
        <f>IF(B131="","",IFERROR(INDEX(Bookings!$H$5:$H$404,MATCH(B131,Bookings!$A$5:$A$404,0)),""))</f>
        <v>0</v>
      </c>
      <c r="H131" s="53">
        <f>IF(B131="","",IFERROR(INDEX(Bookings!$K$5:$K$404,MATCH(B131,Bookings!$A$5:$A$404,0)),""))</f>
        <v>0</v>
      </c>
      <c r="K131" s="31">
        <f>IF(OR(I131="",J131=""),"",ROUND((J131-I131+IF(J131&lt;I131,1,0))*1440,0))</f>
        <v>0</v>
      </c>
      <c r="L131" s="49">
        <f>IF(OR(I131="",H131=""),"",IF(I131&lt;=H131+TIME(0,10,0),"On time","Late "&amp;TEXT((I131-H131)*1440,"0")&amp;" min"))</f>
        <v>0</v>
      </c>
      <c r="O131" s="31">
        <f>IF(OR(M131="",N131=""),"",ROUND((N131-M131+IF(N131&lt;M131,1,0))*1440,0))</f>
        <v>0</v>
      </c>
      <c r="AG131" s="28">
        <f>IF(C131="","",TEXT(C131,"yyyy-mm"))</f>
        <v>0</v>
      </c>
      <c r="AH131" s="28">
        <f>IF(B131="","",B131&amp;"|"&amp;COUNTIF($B$5:$B131,B131))</f>
        <v>0</v>
      </c>
      <c r="AI131" s="28">
        <f>IF(E131="","",E131&amp;"|"&amp;COUNTIF($E$5:$E131,E131))</f>
        <v>0</v>
      </c>
      <c r="AJ131" s="49">
        <f>IF(C131="","",IF(AE131="Missed","Missed visit - contact client",IF(Z131="Yes","Incident logged - follow up",IF(AND(AE131="Completed",AC131&lt;&gt;"Yes"),"Action - send client update",IF(AND(AE131="Completed",AD131&lt;&gt;"Yes"),"Check care checklist",IF(AND(C131&lt;TODAY(),AE131="Scheduled"),"Overdue - log the result","OK"))))))</f>
        <v>0</v>
      </c>
    </row>
    <row r="132" spans="1:36">
      <c r="A132" s="46">
        <f>IF(C132="","","VS-"&amp;TEXT(ROW()-4,"0000"))</f>
        <v>0</v>
      </c>
      <c r="D132" s="28">
        <f>IF(B132="","",IFERROR(INDEX(Bookings!$C$5:$C$404,MATCH(B132,Bookings!$A$5:$A$404,0)),""))</f>
        <v>0</v>
      </c>
      <c r="E132" s="28">
        <f>IF(B132="","",IFERROR(INDEX(Bookings!$E$5:$E$404,MATCH(B132,Bookings!$A$5:$A$404,0)),""))</f>
        <v>0</v>
      </c>
      <c r="F132" s="28">
        <f>IF(B132="","",IFERROR(INDEX(Bookings!$H$5:$H$404,MATCH(B132,Bookings!$A$5:$A$404,0)),""))</f>
        <v>0</v>
      </c>
      <c r="H132" s="53">
        <f>IF(B132="","",IFERROR(INDEX(Bookings!$K$5:$K$404,MATCH(B132,Bookings!$A$5:$A$404,0)),""))</f>
        <v>0</v>
      </c>
      <c r="K132" s="31">
        <f>IF(OR(I132="",J132=""),"",ROUND((J132-I132+IF(J132&lt;I132,1,0))*1440,0))</f>
        <v>0</v>
      </c>
      <c r="L132" s="49">
        <f>IF(OR(I132="",H132=""),"",IF(I132&lt;=H132+TIME(0,10,0),"On time","Late "&amp;TEXT((I132-H132)*1440,"0")&amp;" min"))</f>
        <v>0</v>
      </c>
      <c r="O132" s="31">
        <f>IF(OR(M132="",N132=""),"",ROUND((N132-M132+IF(N132&lt;M132,1,0))*1440,0))</f>
        <v>0</v>
      </c>
      <c r="AG132" s="28">
        <f>IF(C132="","",TEXT(C132,"yyyy-mm"))</f>
        <v>0</v>
      </c>
      <c r="AH132" s="28">
        <f>IF(B132="","",B132&amp;"|"&amp;COUNTIF($B$5:$B132,B132))</f>
        <v>0</v>
      </c>
      <c r="AI132" s="28">
        <f>IF(E132="","",E132&amp;"|"&amp;COUNTIF($E$5:$E132,E132))</f>
        <v>0</v>
      </c>
      <c r="AJ132" s="49">
        <f>IF(C132="","",IF(AE132="Missed","Missed visit - contact client",IF(Z132="Yes","Incident logged - follow up",IF(AND(AE132="Completed",AC132&lt;&gt;"Yes"),"Action - send client update",IF(AND(AE132="Completed",AD132&lt;&gt;"Yes"),"Check care checklist",IF(AND(C132&lt;TODAY(),AE132="Scheduled"),"Overdue - log the result","OK"))))))</f>
        <v>0</v>
      </c>
    </row>
    <row r="133" spans="1:36">
      <c r="A133" s="46">
        <f>IF(C133="","","VS-"&amp;TEXT(ROW()-4,"0000"))</f>
        <v>0</v>
      </c>
      <c r="D133" s="28">
        <f>IF(B133="","",IFERROR(INDEX(Bookings!$C$5:$C$404,MATCH(B133,Bookings!$A$5:$A$404,0)),""))</f>
        <v>0</v>
      </c>
      <c r="E133" s="28">
        <f>IF(B133="","",IFERROR(INDEX(Bookings!$E$5:$E$404,MATCH(B133,Bookings!$A$5:$A$404,0)),""))</f>
        <v>0</v>
      </c>
      <c r="F133" s="28">
        <f>IF(B133="","",IFERROR(INDEX(Bookings!$H$5:$H$404,MATCH(B133,Bookings!$A$5:$A$404,0)),""))</f>
        <v>0</v>
      </c>
      <c r="H133" s="53">
        <f>IF(B133="","",IFERROR(INDEX(Bookings!$K$5:$K$404,MATCH(B133,Bookings!$A$5:$A$404,0)),""))</f>
        <v>0</v>
      </c>
      <c r="K133" s="31">
        <f>IF(OR(I133="",J133=""),"",ROUND((J133-I133+IF(J133&lt;I133,1,0))*1440,0))</f>
        <v>0</v>
      </c>
      <c r="L133" s="49">
        <f>IF(OR(I133="",H133=""),"",IF(I133&lt;=H133+TIME(0,10,0),"On time","Late "&amp;TEXT((I133-H133)*1440,"0")&amp;" min"))</f>
        <v>0</v>
      </c>
      <c r="O133" s="31">
        <f>IF(OR(M133="",N133=""),"",ROUND((N133-M133+IF(N133&lt;M133,1,0))*1440,0))</f>
        <v>0</v>
      </c>
      <c r="AG133" s="28">
        <f>IF(C133="","",TEXT(C133,"yyyy-mm"))</f>
        <v>0</v>
      </c>
      <c r="AH133" s="28">
        <f>IF(B133="","",B133&amp;"|"&amp;COUNTIF($B$5:$B133,B133))</f>
        <v>0</v>
      </c>
      <c r="AI133" s="28">
        <f>IF(E133="","",E133&amp;"|"&amp;COUNTIF($E$5:$E133,E133))</f>
        <v>0</v>
      </c>
      <c r="AJ133" s="49">
        <f>IF(C133="","",IF(AE133="Missed","Missed visit - contact client",IF(Z133="Yes","Incident logged - follow up",IF(AND(AE133="Completed",AC133&lt;&gt;"Yes"),"Action - send client update",IF(AND(AE133="Completed",AD133&lt;&gt;"Yes"),"Check care checklist",IF(AND(C133&lt;TODAY(),AE133="Scheduled"),"Overdue - log the result","OK"))))))</f>
        <v>0</v>
      </c>
    </row>
    <row r="134" spans="1:36">
      <c r="A134" s="46">
        <f>IF(C134="","","VS-"&amp;TEXT(ROW()-4,"0000"))</f>
        <v>0</v>
      </c>
      <c r="D134" s="28">
        <f>IF(B134="","",IFERROR(INDEX(Bookings!$C$5:$C$404,MATCH(B134,Bookings!$A$5:$A$404,0)),""))</f>
        <v>0</v>
      </c>
      <c r="E134" s="28">
        <f>IF(B134="","",IFERROR(INDEX(Bookings!$E$5:$E$404,MATCH(B134,Bookings!$A$5:$A$404,0)),""))</f>
        <v>0</v>
      </c>
      <c r="F134" s="28">
        <f>IF(B134="","",IFERROR(INDEX(Bookings!$H$5:$H$404,MATCH(B134,Bookings!$A$5:$A$404,0)),""))</f>
        <v>0</v>
      </c>
      <c r="H134" s="53">
        <f>IF(B134="","",IFERROR(INDEX(Bookings!$K$5:$K$404,MATCH(B134,Bookings!$A$5:$A$404,0)),""))</f>
        <v>0</v>
      </c>
      <c r="K134" s="31">
        <f>IF(OR(I134="",J134=""),"",ROUND((J134-I134+IF(J134&lt;I134,1,0))*1440,0))</f>
        <v>0</v>
      </c>
      <c r="L134" s="49">
        <f>IF(OR(I134="",H134=""),"",IF(I134&lt;=H134+TIME(0,10,0),"On time","Late "&amp;TEXT((I134-H134)*1440,"0")&amp;" min"))</f>
        <v>0</v>
      </c>
      <c r="O134" s="31">
        <f>IF(OR(M134="",N134=""),"",ROUND((N134-M134+IF(N134&lt;M134,1,0))*1440,0))</f>
        <v>0</v>
      </c>
      <c r="AG134" s="28">
        <f>IF(C134="","",TEXT(C134,"yyyy-mm"))</f>
        <v>0</v>
      </c>
      <c r="AH134" s="28">
        <f>IF(B134="","",B134&amp;"|"&amp;COUNTIF($B$5:$B134,B134))</f>
        <v>0</v>
      </c>
      <c r="AI134" s="28">
        <f>IF(E134="","",E134&amp;"|"&amp;COUNTIF($E$5:$E134,E134))</f>
        <v>0</v>
      </c>
      <c r="AJ134" s="49">
        <f>IF(C134="","",IF(AE134="Missed","Missed visit - contact client",IF(Z134="Yes","Incident logged - follow up",IF(AND(AE134="Completed",AC134&lt;&gt;"Yes"),"Action - send client update",IF(AND(AE134="Completed",AD134&lt;&gt;"Yes"),"Check care checklist",IF(AND(C134&lt;TODAY(),AE134="Scheduled"),"Overdue - log the result","OK"))))))</f>
        <v>0</v>
      </c>
    </row>
    <row r="135" spans="1:36">
      <c r="A135" s="46">
        <f>IF(C135="","","VS-"&amp;TEXT(ROW()-4,"0000"))</f>
        <v>0</v>
      </c>
      <c r="D135" s="28">
        <f>IF(B135="","",IFERROR(INDEX(Bookings!$C$5:$C$404,MATCH(B135,Bookings!$A$5:$A$404,0)),""))</f>
        <v>0</v>
      </c>
      <c r="E135" s="28">
        <f>IF(B135="","",IFERROR(INDEX(Bookings!$E$5:$E$404,MATCH(B135,Bookings!$A$5:$A$404,0)),""))</f>
        <v>0</v>
      </c>
      <c r="F135" s="28">
        <f>IF(B135="","",IFERROR(INDEX(Bookings!$H$5:$H$404,MATCH(B135,Bookings!$A$5:$A$404,0)),""))</f>
        <v>0</v>
      </c>
      <c r="H135" s="53">
        <f>IF(B135="","",IFERROR(INDEX(Bookings!$K$5:$K$404,MATCH(B135,Bookings!$A$5:$A$404,0)),""))</f>
        <v>0</v>
      </c>
      <c r="K135" s="31">
        <f>IF(OR(I135="",J135=""),"",ROUND((J135-I135+IF(J135&lt;I135,1,0))*1440,0))</f>
        <v>0</v>
      </c>
      <c r="L135" s="49">
        <f>IF(OR(I135="",H135=""),"",IF(I135&lt;=H135+TIME(0,10,0),"On time","Late "&amp;TEXT((I135-H135)*1440,"0")&amp;" min"))</f>
        <v>0</v>
      </c>
      <c r="O135" s="31">
        <f>IF(OR(M135="",N135=""),"",ROUND((N135-M135+IF(N135&lt;M135,1,0))*1440,0))</f>
        <v>0</v>
      </c>
      <c r="AG135" s="28">
        <f>IF(C135="","",TEXT(C135,"yyyy-mm"))</f>
        <v>0</v>
      </c>
      <c r="AH135" s="28">
        <f>IF(B135="","",B135&amp;"|"&amp;COUNTIF($B$5:$B135,B135))</f>
        <v>0</v>
      </c>
      <c r="AI135" s="28">
        <f>IF(E135="","",E135&amp;"|"&amp;COUNTIF($E$5:$E135,E135))</f>
        <v>0</v>
      </c>
      <c r="AJ135" s="49">
        <f>IF(C135="","",IF(AE135="Missed","Missed visit - contact client",IF(Z135="Yes","Incident logged - follow up",IF(AND(AE135="Completed",AC135&lt;&gt;"Yes"),"Action - send client update",IF(AND(AE135="Completed",AD135&lt;&gt;"Yes"),"Check care checklist",IF(AND(C135&lt;TODAY(),AE135="Scheduled"),"Overdue - log the result","OK"))))))</f>
        <v>0</v>
      </c>
    </row>
    <row r="136" spans="1:36">
      <c r="A136" s="46">
        <f>IF(C136="","","VS-"&amp;TEXT(ROW()-4,"0000"))</f>
        <v>0</v>
      </c>
      <c r="D136" s="28">
        <f>IF(B136="","",IFERROR(INDEX(Bookings!$C$5:$C$404,MATCH(B136,Bookings!$A$5:$A$404,0)),""))</f>
        <v>0</v>
      </c>
      <c r="E136" s="28">
        <f>IF(B136="","",IFERROR(INDEX(Bookings!$E$5:$E$404,MATCH(B136,Bookings!$A$5:$A$404,0)),""))</f>
        <v>0</v>
      </c>
      <c r="F136" s="28">
        <f>IF(B136="","",IFERROR(INDEX(Bookings!$H$5:$H$404,MATCH(B136,Bookings!$A$5:$A$404,0)),""))</f>
        <v>0</v>
      </c>
      <c r="H136" s="53">
        <f>IF(B136="","",IFERROR(INDEX(Bookings!$K$5:$K$404,MATCH(B136,Bookings!$A$5:$A$404,0)),""))</f>
        <v>0</v>
      </c>
      <c r="K136" s="31">
        <f>IF(OR(I136="",J136=""),"",ROUND((J136-I136+IF(J136&lt;I136,1,0))*1440,0))</f>
        <v>0</v>
      </c>
      <c r="L136" s="49">
        <f>IF(OR(I136="",H136=""),"",IF(I136&lt;=H136+TIME(0,10,0),"On time","Late "&amp;TEXT((I136-H136)*1440,"0")&amp;" min"))</f>
        <v>0</v>
      </c>
      <c r="O136" s="31">
        <f>IF(OR(M136="",N136=""),"",ROUND((N136-M136+IF(N136&lt;M136,1,0))*1440,0))</f>
        <v>0</v>
      </c>
      <c r="AG136" s="28">
        <f>IF(C136="","",TEXT(C136,"yyyy-mm"))</f>
        <v>0</v>
      </c>
      <c r="AH136" s="28">
        <f>IF(B136="","",B136&amp;"|"&amp;COUNTIF($B$5:$B136,B136))</f>
        <v>0</v>
      </c>
      <c r="AI136" s="28">
        <f>IF(E136="","",E136&amp;"|"&amp;COUNTIF($E$5:$E136,E136))</f>
        <v>0</v>
      </c>
      <c r="AJ136" s="49">
        <f>IF(C136="","",IF(AE136="Missed","Missed visit - contact client",IF(Z136="Yes","Incident logged - follow up",IF(AND(AE136="Completed",AC136&lt;&gt;"Yes"),"Action - send client update",IF(AND(AE136="Completed",AD136&lt;&gt;"Yes"),"Check care checklist",IF(AND(C136&lt;TODAY(),AE136="Scheduled"),"Overdue - log the result","OK"))))))</f>
        <v>0</v>
      </c>
    </row>
    <row r="137" spans="1:36">
      <c r="A137" s="46">
        <f>IF(C137="","","VS-"&amp;TEXT(ROW()-4,"0000"))</f>
        <v>0</v>
      </c>
      <c r="D137" s="28">
        <f>IF(B137="","",IFERROR(INDEX(Bookings!$C$5:$C$404,MATCH(B137,Bookings!$A$5:$A$404,0)),""))</f>
        <v>0</v>
      </c>
      <c r="E137" s="28">
        <f>IF(B137="","",IFERROR(INDEX(Bookings!$E$5:$E$404,MATCH(B137,Bookings!$A$5:$A$404,0)),""))</f>
        <v>0</v>
      </c>
      <c r="F137" s="28">
        <f>IF(B137="","",IFERROR(INDEX(Bookings!$H$5:$H$404,MATCH(B137,Bookings!$A$5:$A$404,0)),""))</f>
        <v>0</v>
      </c>
      <c r="H137" s="53">
        <f>IF(B137="","",IFERROR(INDEX(Bookings!$K$5:$K$404,MATCH(B137,Bookings!$A$5:$A$404,0)),""))</f>
        <v>0</v>
      </c>
      <c r="K137" s="31">
        <f>IF(OR(I137="",J137=""),"",ROUND((J137-I137+IF(J137&lt;I137,1,0))*1440,0))</f>
        <v>0</v>
      </c>
      <c r="L137" s="49">
        <f>IF(OR(I137="",H137=""),"",IF(I137&lt;=H137+TIME(0,10,0),"On time","Late "&amp;TEXT((I137-H137)*1440,"0")&amp;" min"))</f>
        <v>0</v>
      </c>
      <c r="O137" s="31">
        <f>IF(OR(M137="",N137=""),"",ROUND((N137-M137+IF(N137&lt;M137,1,0))*1440,0))</f>
        <v>0</v>
      </c>
      <c r="AG137" s="28">
        <f>IF(C137="","",TEXT(C137,"yyyy-mm"))</f>
        <v>0</v>
      </c>
      <c r="AH137" s="28">
        <f>IF(B137="","",B137&amp;"|"&amp;COUNTIF($B$5:$B137,B137))</f>
        <v>0</v>
      </c>
      <c r="AI137" s="28">
        <f>IF(E137="","",E137&amp;"|"&amp;COUNTIF($E$5:$E137,E137))</f>
        <v>0</v>
      </c>
      <c r="AJ137" s="49">
        <f>IF(C137="","",IF(AE137="Missed","Missed visit - contact client",IF(Z137="Yes","Incident logged - follow up",IF(AND(AE137="Completed",AC137&lt;&gt;"Yes"),"Action - send client update",IF(AND(AE137="Completed",AD137&lt;&gt;"Yes"),"Check care checklist",IF(AND(C137&lt;TODAY(),AE137="Scheduled"),"Overdue - log the result","OK"))))))</f>
        <v>0</v>
      </c>
    </row>
    <row r="138" spans="1:36">
      <c r="A138" s="46">
        <f>IF(C138="","","VS-"&amp;TEXT(ROW()-4,"0000"))</f>
        <v>0</v>
      </c>
      <c r="D138" s="28">
        <f>IF(B138="","",IFERROR(INDEX(Bookings!$C$5:$C$404,MATCH(B138,Bookings!$A$5:$A$404,0)),""))</f>
        <v>0</v>
      </c>
      <c r="E138" s="28">
        <f>IF(B138="","",IFERROR(INDEX(Bookings!$E$5:$E$404,MATCH(B138,Bookings!$A$5:$A$404,0)),""))</f>
        <v>0</v>
      </c>
      <c r="F138" s="28">
        <f>IF(B138="","",IFERROR(INDEX(Bookings!$H$5:$H$404,MATCH(B138,Bookings!$A$5:$A$404,0)),""))</f>
        <v>0</v>
      </c>
      <c r="H138" s="53">
        <f>IF(B138="","",IFERROR(INDEX(Bookings!$K$5:$K$404,MATCH(B138,Bookings!$A$5:$A$404,0)),""))</f>
        <v>0</v>
      </c>
      <c r="K138" s="31">
        <f>IF(OR(I138="",J138=""),"",ROUND((J138-I138+IF(J138&lt;I138,1,0))*1440,0))</f>
        <v>0</v>
      </c>
      <c r="L138" s="49">
        <f>IF(OR(I138="",H138=""),"",IF(I138&lt;=H138+TIME(0,10,0),"On time","Late "&amp;TEXT((I138-H138)*1440,"0")&amp;" min"))</f>
        <v>0</v>
      </c>
      <c r="O138" s="31">
        <f>IF(OR(M138="",N138=""),"",ROUND((N138-M138+IF(N138&lt;M138,1,0))*1440,0))</f>
        <v>0</v>
      </c>
      <c r="AG138" s="28">
        <f>IF(C138="","",TEXT(C138,"yyyy-mm"))</f>
        <v>0</v>
      </c>
      <c r="AH138" s="28">
        <f>IF(B138="","",B138&amp;"|"&amp;COUNTIF($B$5:$B138,B138))</f>
        <v>0</v>
      </c>
      <c r="AI138" s="28">
        <f>IF(E138="","",E138&amp;"|"&amp;COUNTIF($E$5:$E138,E138))</f>
        <v>0</v>
      </c>
      <c r="AJ138" s="49">
        <f>IF(C138="","",IF(AE138="Missed","Missed visit - contact client",IF(Z138="Yes","Incident logged - follow up",IF(AND(AE138="Completed",AC138&lt;&gt;"Yes"),"Action - send client update",IF(AND(AE138="Completed",AD138&lt;&gt;"Yes"),"Check care checklist",IF(AND(C138&lt;TODAY(),AE138="Scheduled"),"Overdue - log the result","OK"))))))</f>
        <v>0</v>
      </c>
    </row>
    <row r="139" spans="1:36">
      <c r="A139" s="46">
        <f>IF(C139="","","VS-"&amp;TEXT(ROW()-4,"0000"))</f>
        <v>0</v>
      </c>
      <c r="D139" s="28">
        <f>IF(B139="","",IFERROR(INDEX(Bookings!$C$5:$C$404,MATCH(B139,Bookings!$A$5:$A$404,0)),""))</f>
        <v>0</v>
      </c>
      <c r="E139" s="28">
        <f>IF(B139="","",IFERROR(INDEX(Bookings!$E$5:$E$404,MATCH(B139,Bookings!$A$5:$A$404,0)),""))</f>
        <v>0</v>
      </c>
      <c r="F139" s="28">
        <f>IF(B139="","",IFERROR(INDEX(Bookings!$H$5:$H$404,MATCH(B139,Bookings!$A$5:$A$404,0)),""))</f>
        <v>0</v>
      </c>
      <c r="H139" s="53">
        <f>IF(B139="","",IFERROR(INDEX(Bookings!$K$5:$K$404,MATCH(B139,Bookings!$A$5:$A$404,0)),""))</f>
        <v>0</v>
      </c>
      <c r="K139" s="31">
        <f>IF(OR(I139="",J139=""),"",ROUND((J139-I139+IF(J139&lt;I139,1,0))*1440,0))</f>
        <v>0</v>
      </c>
      <c r="L139" s="49">
        <f>IF(OR(I139="",H139=""),"",IF(I139&lt;=H139+TIME(0,10,0),"On time","Late "&amp;TEXT((I139-H139)*1440,"0")&amp;" min"))</f>
        <v>0</v>
      </c>
      <c r="O139" s="31">
        <f>IF(OR(M139="",N139=""),"",ROUND((N139-M139+IF(N139&lt;M139,1,0))*1440,0))</f>
        <v>0</v>
      </c>
      <c r="AG139" s="28">
        <f>IF(C139="","",TEXT(C139,"yyyy-mm"))</f>
        <v>0</v>
      </c>
      <c r="AH139" s="28">
        <f>IF(B139="","",B139&amp;"|"&amp;COUNTIF($B$5:$B139,B139))</f>
        <v>0</v>
      </c>
      <c r="AI139" s="28">
        <f>IF(E139="","",E139&amp;"|"&amp;COUNTIF($E$5:$E139,E139))</f>
        <v>0</v>
      </c>
      <c r="AJ139" s="49">
        <f>IF(C139="","",IF(AE139="Missed","Missed visit - contact client",IF(Z139="Yes","Incident logged - follow up",IF(AND(AE139="Completed",AC139&lt;&gt;"Yes"),"Action - send client update",IF(AND(AE139="Completed",AD139&lt;&gt;"Yes"),"Check care checklist",IF(AND(C139&lt;TODAY(),AE139="Scheduled"),"Overdue - log the result","OK"))))))</f>
        <v>0</v>
      </c>
    </row>
    <row r="140" spans="1:36">
      <c r="A140" s="46">
        <f>IF(C140="","","VS-"&amp;TEXT(ROW()-4,"0000"))</f>
        <v>0</v>
      </c>
      <c r="D140" s="28">
        <f>IF(B140="","",IFERROR(INDEX(Bookings!$C$5:$C$404,MATCH(B140,Bookings!$A$5:$A$404,0)),""))</f>
        <v>0</v>
      </c>
      <c r="E140" s="28">
        <f>IF(B140="","",IFERROR(INDEX(Bookings!$E$5:$E$404,MATCH(B140,Bookings!$A$5:$A$404,0)),""))</f>
        <v>0</v>
      </c>
      <c r="F140" s="28">
        <f>IF(B140="","",IFERROR(INDEX(Bookings!$H$5:$H$404,MATCH(B140,Bookings!$A$5:$A$404,0)),""))</f>
        <v>0</v>
      </c>
      <c r="H140" s="53">
        <f>IF(B140="","",IFERROR(INDEX(Bookings!$K$5:$K$404,MATCH(B140,Bookings!$A$5:$A$404,0)),""))</f>
        <v>0</v>
      </c>
      <c r="K140" s="31">
        <f>IF(OR(I140="",J140=""),"",ROUND((J140-I140+IF(J140&lt;I140,1,0))*1440,0))</f>
        <v>0</v>
      </c>
      <c r="L140" s="49">
        <f>IF(OR(I140="",H140=""),"",IF(I140&lt;=H140+TIME(0,10,0),"On time","Late "&amp;TEXT((I140-H140)*1440,"0")&amp;" min"))</f>
        <v>0</v>
      </c>
      <c r="O140" s="31">
        <f>IF(OR(M140="",N140=""),"",ROUND((N140-M140+IF(N140&lt;M140,1,0))*1440,0))</f>
        <v>0</v>
      </c>
      <c r="AG140" s="28">
        <f>IF(C140="","",TEXT(C140,"yyyy-mm"))</f>
        <v>0</v>
      </c>
      <c r="AH140" s="28">
        <f>IF(B140="","",B140&amp;"|"&amp;COUNTIF($B$5:$B140,B140))</f>
        <v>0</v>
      </c>
      <c r="AI140" s="28">
        <f>IF(E140="","",E140&amp;"|"&amp;COUNTIF($E$5:$E140,E140))</f>
        <v>0</v>
      </c>
      <c r="AJ140" s="49">
        <f>IF(C140="","",IF(AE140="Missed","Missed visit - contact client",IF(Z140="Yes","Incident logged - follow up",IF(AND(AE140="Completed",AC140&lt;&gt;"Yes"),"Action - send client update",IF(AND(AE140="Completed",AD140&lt;&gt;"Yes"),"Check care checklist",IF(AND(C140&lt;TODAY(),AE140="Scheduled"),"Overdue - log the result","OK"))))))</f>
        <v>0</v>
      </c>
    </row>
    <row r="141" spans="1:36">
      <c r="A141" s="46">
        <f>IF(C141="","","VS-"&amp;TEXT(ROW()-4,"0000"))</f>
        <v>0</v>
      </c>
      <c r="D141" s="28">
        <f>IF(B141="","",IFERROR(INDEX(Bookings!$C$5:$C$404,MATCH(B141,Bookings!$A$5:$A$404,0)),""))</f>
        <v>0</v>
      </c>
      <c r="E141" s="28">
        <f>IF(B141="","",IFERROR(INDEX(Bookings!$E$5:$E$404,MATCH(B141,Bookings!$A$5:$A$404,0)),""))</f>
        <v>0</v>
      </c>
      <c r="F141" s="28">
        <f>IF(B141="","",IFERROR(INDEX(Bookings!$H$5:$H$404,MATCH(B141,Bookings!$A$5:$A$404,0)),""))</f>
        <v>0</v>
      </c>
      <c r="H141" s="53">
        <f>IF(B141="","",IFERROR(INDEX(Bookings!$K$5:$K$404,MATCH(B141,Bookings!$A$5:$A$404,0)),""))</f>
        <v>0</v>
      </c>
      <c r="K141" s="31">
        <f>IF(OR(I141="",J141=""),"",ROUND((J141-I141+IF(J141&lt;I141,1,0))*1440,0))</f>
        <v>0</v>
      </c>
      <c r="L141" s="49">
        <f>IF(OR(I141="",H141=""),"",IF(I141&lt;=H141+TIME(0,10,0),"On time","Late "&amp;TEXT((I141-H141)*1440,"0")&amp;" min"))</f>
        <v>0</v>
      </c>
      <c r="O141" s="31">
        <f>IF(OR(M141="",N141=""),"",ROUND((N141-M141+IF(N141&lt;M141,1,0))*1440,0))</f>
        <v>0</v>
      </c>
      <c r="AG141" s="28">
        <f>IF(C141="","",TEXT(C141,"yyyy-mm"))</f>
        <v>0</v>
      </c>
      <c r="AH141" s="28">
        <f>IF(B141="","",B141&amp;"|"&amp;COUNTIF($B$5:$B141,B141))</f>
        <v>0</v>
      </c>
      <c r="AI141" s="28">
        <f>IF(E141="","",E141&amp;"|"&amp;COUNTIF($E$5:$E141,E141))</f>
        <v>0</v>
      </c>
      <c r="AJ141" s="49">
        <f>IF(C141="","",IF(AE141="Missed","Missed visit - contact client",IF(Z141="Yes","Incident logged - follow up",IF(AND(AE141="Completed",AC141&lt;&gt;"Yes"),"Action - send client update",IF(AND(AE141="Completed",AD141&lt;&gt;"Yes"),"Check care checklist",IF(AND(C141&lt;TODAY(),AE141="Scheduled"),"Overdue - log the result","OK"))))))</f>
        <v>0</v>
      </c>
    </row>
    <row r="142" spans="1:36">
      <c r="A142" s="46">
        <f>IF(C142="","","VS-"&amp;TEXT(ROW()-4,"0000"))</f>
        <v>0</v>
      </c>
      <c r="D142" s="28">
        <f>IF(B142="","",IFERROR(INDEX(Bookings!$C$5:$C$404,MATCH(B142,Bookings!$A$5:$A$404,0)),""))</f>
        <v>0</v>
      </c>
      <c r="E142" s="28">
        <f>IF(B142="","",IFERROR(INDEX(Bookings!$E$5:$E$404,MATCH(B142,Bookings!$A$5:$A$404,0)),""))</f>
        <v>0</v>
      </c>
      <c r="F142" s="28">
        <f>IF(B142="","",IFERROR(INDEX(Bookings!$H$5:$H$404,MATCH(B142,Bookings!$A$5:$A$404,0)),""))</f>
        <v>0</v>
      </c>
      <c r="H142" s="53">
        <f>IF(B142="","",IFERROR(INDEX(Bookings!$K$5:$K$404,MATCH(B142,Bookings!$A$5:$A$404,0)),""))</f>
        <v>0</v>
      </c>
      <c r="K142" s="31">
        <f>IF(OR(I142="",J142=""),"",ROUND((J142-I142+IF(J142&lt;I142,1,0))*1440,0))</f>
        <v>0</v>
      </c>
      <c r="L142" s="49">
        <f>IF(OR(I142="",H142=""),"",IF(I142&lt;=H142+TIME(0,10,0),"On time","Late "&amp;TEXT((I142-H142)*1440,"0")&amp;" min"))</f>
        <v>0</v>
      </c>
      <c r="O142" s="31">
        <f>IF(OR(M142="",N142=""),"",ROUND((N142-M142+IF(N142&lt;M142,1,0))*1440,0))</f>
        <v>0</v>
      </c>
      <c r="AG142" s="28">
        <f>IF(C142="","",TEXT(C142,"yyyy-mm"))</f>
        <v>0</v>
      </c>
      <c r="AH142" s="28">
        <f>IF(B142="","",B142&amp;"|"&amp;COUNTIF($B$5:$B142,B142))</f>
        <v>0</v>
      </c>
      <c r="AI142" s="28">
        <f>IF(E142="","",E142&amp;"|"&amp;COUNTIF($E$5:$E142,E142))</f>
        <v>0</v>
      </c>
      <c r="AJ142" s="49">
        <f>IF(C142="","",IF(AE142="Missed","Missed visit - contact client",IF(Z142="Yes","Incident logged - follow up",IF(AND(AE142="Completed",AC142&lt;&gt;"Yes"),"Action - send client update",IF(AND(AE142="Completed",AD142&lt;&gt;"Yes"),"Check care checklist",IF(AND(C142&lt;TODAY(),AE142="Scheduled"),"Overdue - log the result","OK"))))))</f>
        <v>0</v>
      </c>
    </row>
    <row r="143" spans="1:36">
      <c r="A143" s="46">
        <f>IF(C143="","","VS-"&amp;TEXT(ROW()-4,"0000"))</f>
        <v>0</v>
      </c>
      <c r="D143" s="28">
        <f>IF(B143="","",IFERROR(INDEX(Bookings!$C$5:$C$404,MATCH(B143,Bookings!$A$5:$A$404,0)),""))</f>
        <v>0</v>
      </c>
      <c r="E143" s="28">
        <f>IF(B143="","",IFERROR(INDEX(Bookings!$E$5:$E$404,MATCH(B143,Bookings!$A$5:$A$404,0)),""))</f>
        <v>0</v>
      </c>
      <c r="F143" s="28">
        <f>IF(B143="","",IFERROR(INDEX(Bookings!$H$5:$H$404,MATCH(B143,Bookings!$A$5:$A$404,0)),""))</f>
        <v>0</v>
      </c>
      <c r="H143" s="53">
        <f>IF(B143="","",IFERROR(INDEX(Bookings!$K$5:$K$404,MATCH(B143,Bookings!$A$5:$A$404,0)),""))</f>
        <v>0</v>
      </c>
      <c r="K143" s="31">
        <f>IF(OR(I143="",J143=""),"",ROUND((J143-I143+IF(J143&lt;I143,1,0))*1440,0))</f>
        <v>0</v>
      </c>
      <c r="L143" s="49">
        <f>IF(OR(I143="",H143=""),"",IF(I143&lt;=H143+TIME(0,10,0),"On time","Late "&amp;TEXT((I143-H143)*1440,"0")&amp;" min"))</f>
        <v>0</v>
      </c>
      <c r="O143" s="31">
        <f>IF(OR(M143="",N143=""),"",ROUND((N143-M143+IF(N143&lt;M143,1,0))*1440,0))</f>
        <v>0</v>
      </c>
      <c r="AG143" s="28">
        <f>IF(C143="","",TEXT(C143,"yyyy-mm"))</f>
        <v>0</v>
      </c>
      <c r="AH143" s="28">
        <f>IF(B143="","",B143&amp;"|"&amp;COUNTIF($B$5:$B143,B143))</f>
        <v>0</v>
      </c>
      <c r="AI143" s="28">
        <f>IF(E143="","",E143&amp;"|"&amp;COUNTIF($E$5:$E143,E143))</f>
        <v>0</v>
      </c>
      <c r="AJ143" s="49">
        <f>IF(C143="","",IF(AE143="Missed","Missed visit - contact client",IF(Z143="Yes","Incident logged - follow up",IF(AND(AE143="Completed",AC143&lt;&gt;"Yes"),"Action - send client update",IF(AND(AE143="Completed",AD143&lt;&gt;"Yes"),"Check care checklist",IF(AND(C143&lt;TODAY(),AE143="Scheduled"),"Overdue - log the result","OK"))))))</f>
        <v>0</v>
      </c>
    </row>
    <row r="144" spans="1:36">
      <c r="A144" s="46">
        <f>IF(C144="","","VS-"&amp;TEXT(ROW()-4,"0000"))</f>
        <v>0</v>
      </c>
      <c r="D144" s="28">
        <f>IF(B144="","",IFERROR(INDEX(Bookings!$C$5:$C$404,MATCH(B144,Bookings!$A$5:$A$404,0)),""))</f>
        <v>0</v>
      </c>
      <c r="E144" s="28">
        <f>IF(B144="","",IFERROR(INDEX(Bookings!$E$5:$E$404,MATCH(B144,Bookings!$A$5:$A$404,0)),""))</f>
        <v>0</v>
      </c>
      <c r="F144" s="28">
        <f>IF(B144="","",IFERROR(INDEX(Bookings!$H$5:$H$404,MATCH(B144,Bookings!$A$5:$A$404,0)),""))</f>
        <v>0</v>
      </c>
      <c r="H144" s="53">
        <f>IF(B144="","",IFERROR(INDEX(Bookings!$K$5:$K$404,MATCH(B144,Bookings!$A$5:$A$404,0)),""))</f>
        <v>0</v>
      </c>
      <c r="K144" s="31">
        <f>IF(OR(I144="",J144=""),"",ROUND((J144-I144+IF(J144&lt;I144,1,0))*1440,0))</f>
        <v>0</v>
      </c>
      <c r="L144" s="49">
        <f>IF(OR(I144="",H144=""),"",IF(I144&lt;=H144+TIME(0,10,0),"On time","Late "&amp;TEXT((I144-H144)*1440,"0")&amp;" min"))</f>
        <v>0</v>
      </c>
      <c r="O144" s="31">
        <f>IF(OR(M144="",N144=""),"",ROUND((N144-M144+IF(N144&lt;M144,1,0))*1440,0))</f>
        <v>0</v>
      </c>
      <c r="AG144" s="28">
        <f>IF(C144="","",TEXT(C144,"yyyy-mm"))</f>
        <v>0</v>
      </c>
      <c r="AH144" s="28">
        <f>IF(B144="","",B144&amp;"|"&amp;COUNTIF($B$5:$B144,B144))</f>
        <v>0</v>
      </c>
      <c r="AI144" s="28">
        <f>IF(E144="","",E144&amp;"|"&amp;COUNTIF($E$5:$E144,E144))</f>
        <v>0</v>
      </c>
      <c r="AJ144" s="49">
        <f>IF(C144="","",IF(AE144="Missed","Missed visit - contact client",IF(Z144="Yes","Incident logged - follow up",IF(AND(AE144="Completed",AC144&lt;&gt;"Yes"),"Action - send client update",IF(AND(AE144="Completed",AD144&lt;&gt;"Yes"),"Check care checklist",IF(AND(C144&lt;TODAY(),AE144="Scheduled"),"Overdue - log the result","OK"))))))</f>
        <v>0</v>
      </c>
    </row>
    <row r="145" spans="1:36">
      <c r="A145" s="46">
        <f>IF(C145="","","VS-"&amp;TEXT(ROW()-4,"0000"))</f>
        <v>0</v>
      </c>
      <c r="D145" s="28">
        <f>IF(B145="","",IFERROR(INDEX(Bookings!$C$5:$C$404,MATCH(B145,Bookings!$A$5:$A$404,0)),""))</f>
        <v>0</v>
      </c>
      <c r="E145" s="28">
        <f>IF(B145="","",IFERROR(INDEX(Bookings!$E$5:$E$404,MATCH(B145,Bookings!$A$5:$A$404,0)),""))</f>
        <v>0</v>
      </c>
      <c r="F145" s="28">
        <f>IF(B145="","",IFERROR(INDEX(Bookings!$H$5:$H$404,MATCH(B145,Bookings!$A$5:$A$404,0)),""))</f>
        <v>0</v>
      </c>
      <c r="H145" s="53">
        <f>IF(B145="","",IFERROR(INDEX(Bookings!$K$5:$K$404,MATCH(B145,Bookings!$A$5:$A$404,0)),""))</f>
        <v>0</v>
      </c>
      <c r="K145" s="31">
        <f>IF(OR(I145="",J145=""),"",ROUND((J145-I145+IF(J145&lt;I145,1,0))*1440,0))</f>
        <v>0</v>
      </c>
      <c r="L145" s="49">
        <f>IF(OR(I145="",H145=""),"",IF(I145&lt;=H145+TIME(0,10,0),"On time","Late "&amp;TEXT((I145-H145)*1440,"0")&amp;" min"))</f>
        <v>0</v>
      </c>
      <c r="O145" s="31">
        <f>IF(OR(M145="",N145=""),"",ROUND((N145-M145+IF(N145&lt;M145,1,0))*1440,0))</f>
        <v>0</v>
      </c>
      <c r="AG145" s="28">
        <f>IF(C145="","",TEXT(C145,"yyyy-mm"))</f>
        <v>0</v>
      </c>
      <c r="AH145" s="28">
        <f>IF(B145="","",B145&amp;"|"&amp;COUNTIF($B$5:$B145,B145))</f>
        <v>0</v>
      </c>
      <c r="AI145" s="28">
        <f>IF(E145="","",E145&amp;"|"&amp;COUNTIF($E$5:$E145,E145))</f>
        <v>0</v>
      </c>
      <c r="AJ145" s="49">
        <f>IF(C145="","",IF(AE145="Missed","Missed visit - contact client",IF(Z145="Yes","Incident logged - follow up",IF(AND(AE145="Completed",AC145&lt;&gt;"Yes"),"Action - send client update",IF(AND(AE145="Completed",AD145&lt;&gt;"Yes"),"Check care checklist",IF(AND(C145&lt;TODAY(),AE145="Scheduled"),"Overdue - log the result","OK"))))))</f>
        <v>0</v>
      </c>
    </row>
    <row r="146" spans="1:36">
      <c r="A146" s="46">
        <f>IF(C146="","","VS-"&amp;TEXT(ROW()-4,"0000"))</f>
        <v>0</v>
      </c>
      <c r="D146" s="28">
        <f>IF(B146="","",IFERROR(INDEX(Bookings!$C$5:$C$404,MATCH(B146,Bookings!$A$5:$A$404,0)),""))</f>
        <v>0</v>
      </c>
      <c r="E146" s="28">
        <f>IF(B146="","",IFERROR(INDEX(Bookings!$E$5:$E$404,MATCH(B146,Bookings!$A$5:$A$404,0)),""))</f>
        <v>0</v>
      </c>
      <c r="F146" s="28">
        <f>IF(B146="","",IFERROR(INDEX(Bookings!$H$5:$H$404,MATCH(B146,Bookings!$A$5:$A$404,0)),""))</f>
        <v>0</v>
      </c>
      <c r="H146" s="53">
        <f>IF(B146="","",IFERROR(INDEX(Bookings!$K$5:$K$404,MATCH(B146,Bookings!$A$5:$A$404,0)),""))</f>
        <v>0</v>
      </c>
      <c r="K146" s="31">
        <f>IF(OR(I146="",J146=""),"",ROUND((J146-I146+IF(J146&lt;I146,1,0))*1440,0))</f>
        <v>0</v>
      </c>
      <c r="L146" s="49">
        <f>IF(OR(I146="",H146=""),"",IF(I146&lt;=H146+TIME(0,10,0),"On time","Late "&amp;TEXT((I146-H146)*1440,"0")&amp;" min"))</f>
        <v>0</v>
      </c>
      <c r="O146" s="31">
        <f>IF(OR(M146="",N146=""),"",ROUND((N146-M146+IF(N146&lt;M146,1,0))*1440,0))</f>
        <v>0</v>
      </c>
      <c r="AG146" s="28">
        <f>IF(C146="","",TEXT(C146,"yyyy-mm"))</f>
        <v>0</v>
      </c>
      <c r="AH146" s="28">
        <f>IF(B146="","",B146&amp;"|"&amp;COUNTIF($B$5:$B146,B146))</f>
        <v>0</v>
      </c>
      <c r="AI146" s="28">
        <f>IF(E146="","",E146&amp;"|"&amp;COUNTIF($E$5:$E146,E146))</f>
        <v>0</v>
      </c>
      <c r="AJ146" s="49">
        <f>IF(C146="","",IF(AE146="Missed","Missed visit - contact client",IF(Z146="Yes","Incident logged - follow up",IF(AND(AE146="Completed",AC146&lt;&gt;"Yes"),"Action - send client update",IF(AND(AE146="Completed",AD146&lt;&gt;"Yes"),"Check care checklist",IF(AND(C146&lt;TODAY(),AE146="Scheduled"),"Overdue - log the result","OK"))))))</f>
        <v>0</v>
      </c>
    </row>
    <row r="147" spans="1:36">
      <c r="A147" s="46">
        <f>IF(C147="","","VS-"&amp;TEXT(ROW()-4,"0000"))</f>
        <v>0</v>
      </c>
      <c r="D147" s="28">
        <f>IF(B147="","",IFERROR(INDEX(Bookings!$C$5:$C$404,MATCH(B147,Bookings!$A$5:$A$404,0)),""))</f>
        <v>0</v>
      </c>
      <c r="E147" s="28">
        <f>IF(B147="","",IFERROR(INDEX(Bookings!$E$5:$E$404,MATCH(B147,Bookings!$A$5:$A$404,0)),""))</f>
        <v>0</v>
      </c>
      <c r="F147" s="28">
        <f>IF(B147="","",IFERROR(INDEX(Bookings!$H$5:$H$404,MATCH(B147,Bookings!$A$5:$A$404,0)),""))</f>
        <v>0</v>
      </c>
      <c r="H147" s="53">
        <f>IF(B147="","",IFERROR(INDEX(Bookings!$K$5:$K$404,MATCH(B147,Bookings!$A$5:$A$404,0)),""))</f>
        <v>0</v>
      </c>
      <c r="K147" s="31">
        <f>IF(OR(I147="",J147=""),"",ROUND((J147-I147+IF(J147&lt;I147,1,0))*1440,0))</f>
        <v>0</v>
      </c>
      <c r="L147" s="49">
        <f>IF(OR(I147="",H147=""),"",IF(I147&lt;=H147+TIME(0,10,0),"On time","Late "&amp;TEXT((I147-H147)*1440,"0")&amp;" min"))</f>
        <v>0</v>
      </c>
      <c r="O147" s="31">
        <f>IF(OR(M147="",N147=""),"",ROUND((N147-M147+IF(N147&lt;M147,1,0))*1440,0))</f>
        <v>0</v>
      </c>
      <c r="AG147" s="28">
        <f>IF(C147="","",TEXT(C147,"yyyy-mm"))</f>
        <v>0</v>
      </c>
      <c r="AH147" s="28">
        <f>IF(B147="","",B147&amp;"|"&amp;COUNTIF($B$5:$B147,B147))</f>
        <v>0</v>
      </c>
      <c r="AI147" s="28">
        <f>IF(E147="","",E147&amp;"|"&amp;COUNTIF($E$5:$E147,E147))</f>
        <v>0</v>
      </c>
      <c r="AJ147" s="49">
        <f>IF(C147="","",IF(AE147="Missed","Missed visit - contact client",IF(Z147="Yes","Incident logged - follow up",IF(AND(AE147="Completed",AC147&lt;&gt;"Yes"),"Action - send client update",IF(AND(AE147="Completed",AD147&lt;&gt;"Yes"),"Check care checklist",IF(AND(C147&lt;TODAY(),AE147="Scheduled"),"Overdue - log the result","OK"))))))</f>
        <v>0</v>
      </c>
    </row>
    <row r="148" spans="1:36">
      <c r="A148" s="46">
        <f>IF(C148="","","VS-"&amp;TEXT(ROW()-4,"0000"))</f>
        <v>0</v>
      </c>
      <c r="D148" s="28">
        <f>IF(B148="","",IFERROR(INDEX(Bookings!$C$5:$C$404,MATCH(B148,Bookings!$A$5:$A$404,0)),""))</f>
        <v>0</v>
      </c>
      <c r="E148" s="28">
        <f>IF(B148="","",IFERROR(INDEX(Bookings!$E$5:$E$404,MATCH(B148,Bookings!$A$5:$A$404,0)),""))</f>
        <v>0</v>
      </c>
      <c r="F148" s="28">
        <f>IF(B148="","",IFERROR(INDEX(Bookings!$H$5:$H$404,MATCH(B148,Bookings!$A$5:$A$404,0)),""))</f>
        <v>0</v>
      </c>
      <c r="H148" s="53">
        <f>IF(B148="","",IFERROR(INDEX(Bookings!$K$5:$K$404,MATCH(B148,Bookings!$A$5:$A$404,0)),""))</f>
        <v>0</v>
      </c>
      <c r="K148" s="31">
        <f>IF(OR(I148="",J148=""),"",ROUND((J148-I148+IF(J148&lt;I148,1,0))*1440,0))</f>
        <v>0</v>
      </c>
      <c r="L148" s="49">
        <f>IF(OR(I148="",H148=""),"",IF(I148&lt;=H148+TIME(0,10,0),"On time","Late "&amp;TEXT((I148-H148)*1440,"0")&amp;" min"))</f>
        <v>0</v>
      </c>
      <c r="O148" s="31">
        <f>IF(OR(M148="",N148=""),"",ROUND((N148-M148+IF(N148&lt;M148,1,0))*1440,0))</f>
        <v>0</v>
      </c>
      <c r="AG148" s="28">
        <f>IF(C148="","",TEXT(C148,"yyyy-mm"))</f>
        <v>0</v>
      </c>
      <c r="AH148" s="28">
        <f>IF(B148="","",B148&amp;"|"&amp;COUNTIF($B$5:$B148,B148))</f>
        <v>0</v>
      </c>
      <c r="AI148" s="28">
        <f>IF(E148="","",E148&amp;"|"&amp;COUNTIF($E$5:$E148,E148))</f>
        <v>0</v>
      </c>
      <c r="AJ148" s="49">
        <f>IF(C148="","",IF(AE148="Missed","Missed visit - contact client",IF(Z148="Yes","Incident logged - follow up",IF(AND(AE148="Completed",AC148&lt;&gt;"Yes"),"Action - send client update",IF(AND(AE148="Completed",AD148&lt;&gt;"Yes"),"Check care checklist",IF(AND(C148&lt;TODAY(),AE148="Scheduled"),"Overdue - log the result","OK"))))))</f>
        <v>0</v>
      </c>
    </row>
    <row r="149" spans="1:36">
      <c r="A149" s="46">
        <f>IF(C149="","","VS-"&amp;TEXT(ROW()-4,"0000"))</f>
        <v>0</v>
      </c>
      <c r="D149" s="28">
        <f>IF(B149="","",IFERROR(INDEX(Bookings!$C$5:$C$404,MATCH(B149,Bookings!$A$5:$A$404,0)),""))</f>
        <v>0</v>
      </c>
      <c r="E149" s="28">
        <f>IF(B149="","",IFERROR(INDEX(Bookings!$E$5:$E$404,MATCH(B149,Bookings!$A$5:$A$404,0)),""))</f>
        <v>0</v>
      </c>
      <c r="F149" s="28">
        <f>IF(B149="","",IFERROR(INDEX(Bookings!$H$5:$H$404,MATCH(B149,Bookings!$A$5:$A$404,0)),""))</f>
        <v>0</v>
      </c>
      <c r="H149" s="53">
        <f>IF(B149="","",IFERROR(INDEX(Bookings!$K$5:$K$404,MATCH(B149,Bookings!$A$5:$A$404,0)),""))</f>
        <v>0</v>
      </c>
      <c r="K149" s="31">
        <f>IF(OR(I149="",J149=""),"",ROUND((J149-I149+IF(J149&lt;I149,1,0))*1440,0))</f>
        <v>0</v>
      </c>
      <c r="L149" s="49">
        <f>IF(OR(I149="",H149=""),"",IF(I149&lt;=H149+TIME(0,10,0),"On time","Late "&amp;TEXT((I149-H149)*1440,"0")&amp;" min"))</f>
        <v>0</v>
      </c>
      <c r="O149" s="31">
        <f>IF(OR(M149="",N149=""),"",ROUND((N149-M149+IF(N149&lt;M149,1,0))*1440,0))</f>
        <v>0</v>
      </c>
      <c r="AG149" s="28">
        <f>IF(C149="","",TEXT(C149,"yyyy-mm"))</f>
        <v>0</v>
      </c>
      <c r="AH149" s="28">
        <f>IF(B149="","",B149&amp;"|"&amp;COUNTIF($B$5:$B149,B149))</f>
        <v>0</v>
      </c>
      <c r="AI149" s="28">
        <f>IF(E149="","",E149&amp;"|"&amp;COUNTIF($E$5:$E149,E149))</f>
        <v>0</v>
      </c>
      <c r="AJ149" s="49">
        <f>IF(C149="","",IF(AE149="Missed","Missed visit - contact client",IF(Z149="Yes","Incident logged - follow up",IF(AND(AE149="Completed",AC149&lt;&gt;"Yes"),"Action - send client update",IF(AND(AE149="Completed",AD149&lt;&gt;"Yes"),"Check care checklist",IF(AND(C149&lt;TODAY(),AE149="Scheduled"),"Overdue - log the result","OK"))))))</f>
        <v>0</v>
      </c>
    </row>
    <row r="150" spans="1:36">
      <c r="A150" s="46">
        <f>IF(C150="","","VS-"&amp;TEXT(ROW()-4,"0000"))</f>
        <v>0</v>
      </c>
      <c r="D150" s="28">
        <f>IF(B150="","",IFERROR(INDEX(Bookings!$C$5:$C$404,MATCH(B150,Bookings!$A$5:$A$404,0)),""))</f>
        <v>0</v>
      </c>
      <c r="E150" s="28">
        <f>IF(B150="","",IFERROR(INDEX(Bookings!$E$5:$E$404,MATCH(B150,Bookings!$A$5:$A$404,0)),""))</f>
        <v>0</v>
      </c>
      <c r="F150" s="28">
        <f>IF(B150="","",IFERROR(INDEX(Bookings!$H$5:$H$404,MATCH(B150,Bookings!$A$5:$A$404,0)),""))</f>
        <v>0</v>
      </c>
      <c r="H150" s="53">
        <f>IF(B150="","",IFERROR(INDEX(Bookings!$K$5:$K$404,MATCH(B150,Bookings!$A$5:$A$404,0)),""))</f>
        <v>0</v>
      </c>
      <c r="K150" s="31">
        <f>IF(OR(I150="",J150=""),"",ROUND((J150-I150+IF(J150&lt;I150,1,0))*1440,0))</f>
        <v>0</v>
      </c>
      <c r="L150" s="49">
        <f>IF(OR(I150="",H150=""),"",IF(I150&lt;=H150+TIME(0,10,0),"On time","Late "&amp;TEXT((I150-H150)*1440,"0")&amp;" min"))</f>
        <v>0</v>
      </c>
      <c r="O150" s="31">
        <f>IF(OR(M150="",N150=""),"",ROUND((N150-M150+IF(N150&lt;M150,1,0))*1440,0))</f>
        <v>0</v>
      </c>
      <c r="AG150" s="28">
        <f>IF(C150="","",TEXT(C150,"yyyy-mm"))</f>
        <v>0</v>
      </c>
      <c r="AH150" s="28">
        <f>IF(B150="","",B150&amp;"|"&amp;COUNTIF($B$5:$B150,B150))</f>
        <v>0</v>
      </c>
      <c r="AI150" s="28">
        <f>IF(E150="","",E150&amp;"|"&amp;COUNTIF($E$5:$E150,E150))</f>
        <v>0</v>
      </c>
      <c r="AJ150" s="49">
        <f>IF(C150="","",IF(AE150="Missed","Missed visit - contact client",IF(Z150="Yes","Incident logged - follow up",IF(AND(AE150="Completed",AC150&lt;&gt;"Yes"),"Action - send client update",IF(AND(AE150="Completed",AD150&lt;&gt;"Yes"),"Check care checklist",IF(AND(C150&lt;TODAY(),AE150="Scheduled"),"Overdue - log the result","OK"))))))</f>
        <v>0</v>
      </c>
    </row>
    <row r="151" spans="1:36">
      <c r="A151" s="46">
        <f>IF(C151="","","VS-"&amp;TEXT(ROW()-4,"0000"))</f>
        <v>0</v>
      </c>
      <c r="D151" s="28">
        <f>IF(B151="","",IFERROR(INDEX(Bookings!$C$5:$C$404,MATCH(B151,Bookings!$A$5:$A$404,0)),""))</f>
        <v>0</v>
      </c>
      <c r="E151" s="28">
        <f>IF(B151="","",IFERROR(INDEX(Bookings!$E$5:$E$404,MATCH(B151,Bookings!$A$5:$A$404,0)),""))</f>
        <v>0</v>
      </c>
      <c r="F151" s="28">
        <f>IF(B151="","",IFERROR(INDEX(Bookings!$H$5:$H$404,MATCH(B151,Bookings!$A$5:$A$404,0)),""))</f>
        <v>0</v>
      </c>
      <c r="H151" s="53">
        <f>IF(B151="","",IFERROR(INDEX(Bookings!$K$5:$K$404,MATCH(B151,Bookings!$A$5:$A$404,0)),""))</f>
        <v>0</v>
      </c>
      <c r="K151" s="31">
        <f>IF(OR(I151="",J151=""),"",ROUND((J151-I151+IF(J151&lt;I151,1,0))*1440,0))</f>
        <v>0</v>
      </c>
      <c r="L151" s="49">
        <f>IF(OR(I151="",H151=""),"",IF(I151&lt;=H151+TIME(0,10,0),"On time","Late "&amp;TEXT((I151-H151)*1440,"0")&amp;" min"))</f>
        <v>0</v>
      </c>
      <c r="O151" s="31">
        <f>IF(OR(M151="",N151=""),"",ROUND((N151-M151+IF(N151&lt;M151,1,0))*1440,0))</f>
        <v>0</v>
      </c>
      <c r="AG151" s="28">
        <f>IF(C151="","",TEXT(C151,"yyyy-mm"))</f>
        <v>0</v>
      </c>
      <c r="AH151" s="28">
        <f>IF(B151="","",B151&amp;"|"&amp;COUNTIF($B$5:$B151,B151))</f>
        <v>0</v>
      </c>
      <c r="AI151" s="28">
        <f>IF(E151="","",E151&amp;"|"&amp;COUNTIF($E$5:$E151,E151))</f>
        <v>0</v>
      </c>
      <c r="AJ151" s="49">
        <f>IF(C151="","",IF(AE151="Missed","Missed visit - contact client",IF(Z151="Yes","Incident logged - follow up",IF(AND(AE151="Completed",AC151&lt;&gt;"Yes"),"Action - send client update",IF(AND(AE151="Completed",AD151&lt;&gt;"Yes"),"Check care checklist",IF(AND(C151&lt;TODAY(),AE151="Scheduled"),"Overdue - log the result","OK"))))))</f>
        <v>0</v>
      </c>
    </row>
    <row r="152" spans="1:36">
      <c r="A152" s="46">
        <f>IF(C152="","","VS-"&amp;TEXT(ROW()-4,"0000"))</f>
        <v>0</v>
      </c>
      <c r="D152" s="28">
        <f>IF(B152="","",IFERROR(INDEX(Bookings!$C$5:$C$404,MATCH(B152,Bookings!$A$5:$A$404,0)),""))</f>
        <v>0</v>
      </c>
      <c r="E152" s="28">
        <f>IF(B152="","",IFERROR(INDEX(Bookings!$E$5:$E$404,MATCH(B152,Bookings!$A$5:$A$404,0)),""))</f>
        <v>0</v>
      </c>
      <c r="F152" s="28">
        <f>IF(B152="","",IFERROR(INDEX(Bookings!$H$5:$H$404,MATCH(B152,Bookings!$A$5:$A$404,0)),""))</f>
        <v>0</v>
      </c>
      <c r="H152" s="53">
        <f>IF(B152="","",IFERROR(INDEX(Bookings!$K$5:$K$404,MATCH(B152,Bookings!$A$5:$A$404,0)),""))</f>
        <v>0</v>
      </c>
      <c r="K152" s="31">
        <f>IF(OR(I152="",J152=""),"",ROUND((J152-I152+IF(J152&lt;I152,1,0))*1440,0))</f>
        <v>0</v>
      </c>
      <c r="L152" s="49">
        <f>IF(OR(I152="",H152=""),"",IF(I152&lt;=H152+TIME(0,10,0),"On time","Late "&amp;TEXT((I152-H152)*1440,"0")&amp;" min"))</f>
        <v>0</v>
      </c>
      <c r="O152" s="31">
        <f>IF(OR(M152="",N152=""),"",ROUND((N152-M152+IF(N152&lt;M152,1,0))*1440,0))</f>
        <v>0</v>
      </c>
      <c r="AG152" s="28">
        <f>IF(C152="","",TEXT(C152,"yyyy-mm"))</f>
        <v>0</v>
      </c>
      <c r="AH152" s="28">
        <f>IF(B152="","",B152&amp;"|"&amp;COUNTIF($B$5:$B152,B152))</f>
        <v>0</v>
      </c>
      <c r="AI152" s="28">
        <f>IF(E152="","",E152&amp;"|"&amp;COUNTIF($E$5:$E152,E152))</f>
        <v>0</v>
      </c>
      <c r="AJ152" s="49">
        <f>IF(C152="","",IF(AE152="Missed","Missed visit - contact client",IF(Z152="Yes","Incident logged - follow up",IF(AND(AE152="Completed",AC152&lt;&gt;"Yes"),"Action - send client update",IF(AND(AE152="Completed",AD152&lt;&gt;"Yes"),"Check care checklist",IF(AND(C152&lt;TODAY(),AE152="Scheduled"),"Overdue - log the result","OK"))))))</f>
        <v>0</v>
      </c>
    </row>
    <row r="153" spans="1:36">
      <c r="A153" s="46">
        <f>IF(C153="","","VS-"&amp;TEXT(ROW()-4,"0000"))</f>
        <v>0</v>
      </c>
      <c r="D153" s="28">
        <f>IF(B153="","",IFERROR(INDEX(Bookings!$C$5:$C$404,MATCH(B153,Bookings!$A$5:$A$404,0)),""))</f>
        <v>0</v>
      </c>
      <c r="E153" s="28">
        <f>IF(B153="","",IFERROR(INDEX(Bookings!$E$5:$E$404,MATCH(B153,Bookings!$A$5:$A$404,0)),""))</f>
        <v>0</v>
      </c>
      <c r="F153" s="28">
        <f>IF(B153="","",IFERROR(INDEX(Bookings!$H$5:$H$404,MATCH(B153,Bookings!$A$5:$A$404,0)),""))</f>
        <v>0</v>
      </c>
      <c r="H153" s="53">
        <f>IF(B153="","",IFERROR(INDEX(Bookings!$K$5:$K$404,MATCH(B153,Bookings!$A$5:$A$404,0)),""))</f>
        <v>0</v>
      </c>
      <c r="K153" s="31">
        <f>IF(OR(I153="",J153=""),"",ROUND((J153-I153+IF(J153&lt;I153,1,0))*1440,0))</f>
        <v>0</v>
      </c>
      <c r="L153" s="49">
        <f>IF(OR(I153="",H153=""),"",IF(I153&lt;=H153+TIME(0,10,0),"On time","Late "&amp;TEXT((I153-H153)*1440,"0")&amp;" min"))</f>
        <v>0</v>
      </c>
      <c r="O153" s="31">
        <f>IF(OR(M153="",N153=""),"",ROUND((N153-M153+IF(N153&lt;M153,1,0))*1440,0))</f>
        <v>0</v>
      </c>
      <c r="AG153" s="28">
        <f>IF(C153="","",TEXT(C153,"yyyy-mm"))</f>
        <v>0</v>
      </c>
      <c r="AH153" s="28">
        <f>IF(B153="","",B153&amp;"|"&amp;COUNTIF($B$5:$B153,B153))</f>
        <v>0</v>
      </c>
      <c r="AI153" s="28">
        <f>IF(E153="","",E153&amp;"|"&amp;COUNTIF($E$5:$E153,E153))</f>
        <v>0</v>
      </c>
      <c r="AJ153" s="49">
        <f>IF(C153="","",IF(AE153="Missed","Missed visit - contact client",IF(Z153="Yes","Incident logged - follow up",IF(AND(AE153="Completed",AC153&lt;&gt;"Yes"),"Action - send client update",IF(AND(AE153="Completed",AD153&lt;&gt;"Yes"),"Check care checklist",IF(AND(C153&lt;TODAY(),AE153="Scheduled"),"Overdue - log the result","OK"))))))</f>
        <v>0</v>
      </c>
    </row>
    <row r="154" spans="1:36">
      <c r="A154" s="46">
        <f>IF(C154="","","VS-"&amp;TEXT(ROW()-4,"0000"))</f>
        <v>0</v>
      </c>
      <c r="D154" s="28">
        <f>IF(B154="","",IFERROR(INDEX(Bookings!$C$5:$C$404,MATCH(B154,Bookings!$A$5:$A$404,0)),""))</f>
        <v>0</v>
      </c>
      <c r="E154" s="28">
        <f>IF(B154="","",IFERROR(INDEX(Bookings!$E$5:$E$404,MATCH(B154,Bookings!$A$5:$A$404,0)),""))</f>
        <v>0</v>
      </c>
      <c r="F154" s="28">
        <f>IF(B154="","",IFERROR(INDEX(Bookings!$H$5:$H$404,MATCH(B154,Bookings!$A$5:$A$404,0)),""))</f>
        <v>0</v>
      </c>
      <c r="H154" s="53">
        <f>IF(B154="","",IFERROR(INDEX(Bookings!$K$5:$K$404,MATCH(B154,Bookings!$A$5:$A$404,0)),""))</f>
        <v>0</v>
      </c>
      <c r="K154" s="31">
        <f>IF(OR(I154="",J154=""),"",ROUND((J154-I154+IF(J154&lt;I154,1,0))*1440,0))</f>
        <v>0</v>
      </c>
      <c r="L154" s="49">
        <f>IF(OR(I154="",H154=""),"",IF(I154&lt;=H154+TIME(0,10,0),"On time","Late "&amp;TEXT((I154-H154)*1440,"0")&amp;" min"))</f>
        <v>0</v>
      </c>
      <c r="O154" s="31">
        <f>IF(OR(M154="",N154=""),"",ROUND((N154-M154+IF(N154&lt;M154,1,0))*1440,0))</f>
        <v>0</v>
      </c>
      <c r="AG154" s="28">
        <f>IF(C154="","",TEXT(C154,"yyyy-mm"))</f>
        <v>0</v>
      </c>
      <c r="AH154" s="28">
        <f>IF(B154="","",B154&amp;"|"&amp;COUNTIF($B$5:$B154,B154))</f>
        <v>0</v>
      </c>
      <c r="AI154" s="28">
        <f>IF(E154="","",E154&amp;"|"&amp;COUNTIF($E$5:$E154,E154))</f>
        <v>0</v>
      </c>
      <c r="AJ154" s="49">
        <f>IF(C154="","",IF(AE154="Missed","Missed visit - contact client",IF(Z154="Yes","Incident logged - follow up",IF(AND(AE154="Completed",AC154&lt;&gt;"Yes"),"Action - send client update",IF(AND(AE154="Completed",AD154&lt;&gt;"Yes"),"Check care checklist",IF(AND(C154&lt;TODAY(),AE154="Scheduled"),"Overdue - log the result","OK"))))))</f>
        <v>0</v>
      </c>
    </row>
    <row r="155" spans="1:36">
      <c r="A155" s="46">
        <f>IF(C155="","","VS-"&amp;TEXT(ROW()-4,"0000"))</f>
        <v>0</v>
      </c>
      <c r="D155" s="28">
        <f>IF(B155="","",IFERROR(INDEX(Bookings!$C$5:$C$404,MATCH(B155,Bookings!$A$5:$A$404,0)),""))</f>
        <v>0</v>
      </c>
      <c r="E155" s="28">
        <f>IF(B155="","",IFERROR(INDEX(Bookings!$E$5:$E$404,MATCH(B155,Bookings!$A$5:$A$404,0)),""))</f>
        <v>0</v>
      </c>
      <c r="F155" s="28">
        <f>IF(B155="","",IFERROR(INDEX(Bookings!$H$5:$H$404,MATCH(B155,Bookings!$A$5:$A$404,0)),""))</f>
        <v>0</v>
      </c>
      <c r="H155" s="53">
        <f>IF(B155="","",IFERROR(INDEX(Bookings!$K$5:$K$404,MATCH(B155,Bookings!$A$5:$A$404,0)),""))</f>
        <v>0</v>
      </c>
      <c r="K155" s="31">
        <f>IF(OR(I155="",J155=""),"",ROUND((J155-I155+IF(J155&lt;I155,1,0))*1440,0))</f>
        <v>0</v>
      </c>
      <c r="L155" s="49">
        <f>IF(OR(I155="",H155=""),"",IF(I155&lt;=H155+TIME(0,10,0),"On time","Late "&amp;TEXT((I155-H155)*1440,"0")&amp;" min"))</f>
        <v>0</v>
      </c>
      <c r="O155" s="31">
        <f>IF(OR(M155="",N155=""),"",ROUND((N155-M155+IF(N155&lt;M155,1,0))*1440,0))</f>
        <v>0</v>
      </c>
      <c r="AG155" s="28">
        <f>IF(C155="","",TEXT(C155,"yyyy-mm"))</f>
        <v>0</v>
      </c>
      <c r="AH155" s="28">
        <f>IF(B155="","",B155&amp;"|"&amp;COUNTIF($B$5:$B155,B155))</f>
        <v>0</v>
      </c>
      <c r="AI155" s="28">
        <f>IF(E155="","",E155&amp;"|"&amp;COUNTIF($E$5:$E155,E155))</f>
        <v>0</v>
      </c>
      <c r="AJ155" s="49">
        <f>IF(C155="","",IF(AE155="Missed","Missed visit - contact client",IF(Z155="Yes","Incident logged - follow up",IF(AND(AE155="Completed",AC155&lt;&gt;"Yes"),"Action - send client update",IF(AND(AE155="Completed",AD155&lt;&gt;"Yes"),"Check care checklist",IF(AND(C155&lt;TODAY(),AE155="Scheduled"),"Overdue - log the result","OK"))))))</f>
        <v>0</v>
      </c>
    </row>
    <row r="156" spans="1:36">
      <c r="A156" s="46">
        <f>IF(C156="","","VS-"&amp;TEXT(ROW()-4,"0000"))</f>
        <v>0</v>
      </c>
      <c r="D156" s="28">
        <f>IF(B156="","",IFERROR(INDEX(Bookings!$C$5:$C$404,MATCH(B156,Bookings!$A$5:$A$404,0)),""))</f>
        <v>0</v>
      </c>
      <c r="E156" s="28">
        <f>IF(B156="","",IFERROR(INDEX(Bookings!$E$5:$E$404,MATCH(B156,Bookings!$A$5:$A$404,0)),""))</f>
        <v>0</v>
      </c>
      <c r="F156" s="28">
        <f>IF(B156="","",IFERROR(INDEX(Bookings!$H$5:$H$404,MATCH(B156,Bookings!$A$5:$A$404,0)),""))</f>
        <v>0</v>
      </c>
      <c r="H156" s="53">
        <f>IF(B156="","",IFERROR(INDEX(Bookings!$K$5:$K$404,MATCH(B156,Bookings!$A$5:$A$404,0)),""))</f>
        <v>0</v>
      </c>
      <c r="K156" s="31">
        <f>IF(OR(I156="",J156=""),"",ROUND((J156-I156+IF(J156&lt;I156,1,0))*1440,0))</f>
        <v>0</v>
      </c>
      <c r="L156" s="49">
        <f>IF(OR(I156="",H156=""),"",IF(I156&lt;=H156+TIME(0,10,0),"On time","Late "&amp;TEXT((I156-H156)*1440,"0")&amp;" min"))</f>
        <v>0</v>
      </c>
      <c r="O156" s="31">
        <f>IF(OR(M156="",N156=""),"",ROUND((N156-M156+IF(N156&lt;M156,1,0))*1440,0))</f>
        <v>0</v>
      </c>
      <c r="AG156" s="28">
        <f>IF(C156="","",TEXT(C156,"yyyy-mm"))</f>
        <v>0</v>
      </c>
      <c r="AH156" s="28">
        <f>IF(B156="","",B156&amp;"|"&amp;COUNTIF($B$5:$B156,B156))</f>
        <v>0</v>
      </c>
      <c r="AI156" s="28">
        <f>IF(E156="","",E156&amp;"|"&amp;COUNTIF($E$5:$E156,E156))</f>
        <v>0</v>
      </c>
      <c r="AJ156" s="49">
        <f>IF(C156="","",IF(AE156="Missed","Missed visit - contact client",IF(Z156="Yes","Incident logged - follow up",IF(AND(AE156="Completed",AC156&lt;&gt;"Yes"),"Action - send client update",IF(AND(AE156="Completed",AD156&lt;&gt;"Yes"),"Check care checklist",IF(AND(C156&lt;TODAY(),AE156="Scheduled"),"Overdue - log the result","OK"))))))</f>
        <v>0</v>
      </c>
    </row>
    <row r="157" spans="1:36">
      <c r="A157" s="46">
        <f>IF(C157="","","VS-"&amp;TEXT(ROW()-4,"0000"))</f>
        <v>0</v>
      </c>
      <c r="D157" s="28">
        <f>IF(B157="","",IFERROR(INDEX(Bookings!$C$5:$C$404,MATCH(B157,Bookings!$A$5:$A$404,0)),""))</f>
        <v>0</v>
      </c>
      <c r="E157" s="28">
        <f>IF(B157="","",IFERROR(INDEX(Bookings!$E$5:$E$404,MATCH(B157,Bookings!$A$5:$A$404,0)),""))</f>
        <v>0</v>
      </c>
      <c r="F157" s="28">
        <f>IF(B157="","",IFERROR(INDEX(Bookings!$H$5:$H$404,MATCH(B157,Bookings!$A$5:$A$404,0)),""))</f>
        <v>0</v>
      </c>
      <c r="H157" s="53">
        <f>IF(B157="","",IFERROR(INDEX(Bookings!$K$5:$K$404,MATCH(B157,Bookings!$A$5:$A$404,0)),""))</f>
        <v>0</v>
      </c>
      <c r="K157" s="31">
        <f>IF(OR(I157="",J157=""),"",ROUND((J157-I157+IF(J157&lt;I157,1,0))*1440,0))</f>
        <v>0</v>
      </c>
      <c r="L157" s="49">
        <f>IF(OR(I157="",H157=""),"",IF(I157&lt;=H157+TIME(0,10,0),"On time","Late "&amp;TEXT((I157-H157)*1440,"0")&amp;" min"))</f>
        <v>0</v>
      </c>
      <c r="O157" s="31">
        <f>IF(OR(M157="",N157=""),"",ROUND((N157-M157+IF(N157&lt;M157,1,0))*1440,0))</f>
        <v>0</v>
      </c>
      <c r="AG157" s="28">
        <f>IF(C157="","",TEXT(C157,"yyyy-mm"))</f>
        <v>0</v>
      </c>
      <c r="AH157" s="28">
        <f>IF(B157="","",B157&amp;"|"&amp;COUNTIF($B$5:$B157,B157))</f>
        <v>0</v>
      </c>
      <c r="AI157" s="28">
        <f>IF(E157="","",E157&amp;"|"&amp;COUNTIF($E$5:$E157,E157))</f>
        <v>0</v>
      </c>
      <c r="AJ157" s="49">
        <f>IF(C157="","",IF(AE157="Missed","Missed visit - contact client",IF(Z157="Yes","Incident logged - follow up",IF(AND(AE157="Completed",AC157&lt;&gt;"Yes"),"Action - send client update",IF(AND(AE157="Completed",AD157&lt;&gt;"Yes"),"Check care checklist",IF(AND(C157&lt;TODAY(),AE157="Scheduled"),"Overdue - log the result","OK"))))))</f>
        <v>0</v>
      </c>
    </row>
    <row r="158" spans="1:36">
      <c r="A158" s="46">
        <f>IF(C158="","","VS-"&amp;TEXT(ROW()-4,"0000"))</f>
        <v>0</v>
      </c>
      <c r="D158" s="28">
        <f>IF(B158="","",IFERROR(INDEX(Bookings!$C$5:$C$404,MATCH(B158,Bookings!$A$5:$A$404,0)),""))</f>
        <v>0</v>
      </c>
      <c r="E158" s="28">
        <f>IF(B158="","",IFERROR(INDEX(Bookings!$E$5:$E$404,MATCH(B158,Bookings!$A$5:$A$404,0)),""))</f>
        <v>0</v>
      </c>
      <c r="F158" s="28">
        <f>IF(B158="","",IFERROR(INDEX(Bookings!$H$5:$H$404,MATCH(B158,Bookings!$A$5:$A$404,0)),""))</f>
        <v>0</v>
      </c>
      <c r="H158" s="53">
        <f>IF(B158="","",IFERROR(INDEX(Bookings!$K$5:$K$404,MATCH(B158,Bookings!$A$5:$A$404,0)),""))</f>
        <v>0</v>
      </c>
      <c r="K158" s="31">
        <f>IF(OR(I158="",J158=""),"",ROUND((J158-I158+IF(J158&lt;I158,1,0))*1440,0))</f>
        <v>0</v>
      </c>
      <c r="L158" s="49">
        <f>IF(OR(I158="",H158=""),"",IF(I158&lt;=H158+TIME(0,10,0),"On time","Late "&amp;TEXT((I158-H158)*1440,"0")&amp;" min"))</f>
        <v>0</v>
      </c>
      <c r="O158" s="31">
        <f>IF(OR(M158="",N158=""),"",ROUND((N158-M158+IF(N158&lt;M158,1,0))*1440,0))</f>
        <v>0</v>
      </c>
      <c r="AG158" s="28">
        <f>IF(C158="","",TEXT(C158,"yyyy-mm"))</f>
        <v>0</v>
      </c>
      <c r="AH158" s="28">
        <f>IF(B158="","",B158&amp;"|"&amp;COUNTIF($B$5:$B158,B158))</f>
        <v>0</v>
      </c>
      <c r="AI158" s="28">
        <f>IF(E158="","",E158&amp;"|"&amp;COUNTIF($E$5:$E158,E158))</f>
        <v>0</v>
      </c>
      <c r="AJ158" s="49">
        <f>IF(C158="","",IF(AE158="Missed","Missed visit - contact client",IF(Z158="Yes","Incident logged - follow up",IF(AND(AE158="Completed",AC158&lt;&gt;"Yes"),"Action - send client update",IF(AND(AE158="Completed",AD158&lt;&gt;"Yes"),"Check care checklist",IF(AND(C158&lt;TODAY(),AE158="Scheduled"),"Overdue - log the result","OK"))))))</f>
        <v>0</v>
      </c>
    </row>
    <row r="159" spans="1:36">
      <c r="A159" s="46">
        <f>IF(C159="","","VS-"&amp;TEXT(ROW()-4,"0000"))</f>
        <v>0</v>
      </c>
      <c r="D159" s="28">
        <f>IF(B159="","",IFERROR(INDEX(Bookings!$C$5:$C$404,MATCH(B159,Bookings!$A$5:$A$404,0)),""))</f>
        <v>0</v>
      </c>
      <c r="E159" s="28">
        <f>IF(B159="","",IFERROR(INDEX(Bookings!$E$5:$E$404,MATCH(B159,Bookings!$A$5:$A$404,0)),""))</f>
        <v>0</v>
      </c>
      <c r="F159" s="28">
        <f>IF(B159="","",IFERROR(INDEX(Bookings!$H$5:$H$404,MATCH(B159,Bookings!$A$5:$A$404,0)),""))</f>
        <v>0</v>
      </c>
      <c r="H159" s="53">
        <f>IF(B159="","",IFERROR(INDEX(Bookings!$K$5:$K$404,MATCH(B159,Bookings!$A$5:$A$404,0)),""))</f>
        <v>0</v>
      </c>
      <c r="K159" s="31">
        <f>IF(OR(I159="",J159=""),"",ROUND((J159-I159+IF(J159&lt;I159,1,0))*1440,0))</f>
        <v>0</v>
      </c>
      <c r="L159" s="49">
        <f>IF(OR(I159="",H159=""),"",IF(I159&lt;=H159+TIME(0,10,0),"On time","Late "&amp;TEXT((I159-H159)*1440,"0")&amp;" min"))</f>
        <v>0</v>
      </c>
      <c r="O159" s="31">
        <f>IF(OR(M159="",N159=""),"",ROUND((N159-M159+IF(N159&lt;M159,1,0))*1440,0))</f>
        <v>0</v>
      </c>
      <c r="AG159" s="28">
        <f>IF(C159="","",TEXT(C159,"yyyy-mm"))</f>
        <v>0</v>
      </c>
      <c r="AH159" s="28">
        <f>IF(B159="","",B159&amp;"|"&amp;COUNTIF($B$5:$B159,B159))</f>
        <v>0</v>
      </c>
      <c r="AI159" s="28">
        <f>IF(E159="","",E159&amp;"|"&amp;COUNTIF($E$5:$E159,E159))</f>
        <v>0</v>
      </c>
      <c r="AJ159" s="49">
        <f>IF(C159="","",IF(AE159="Missed","Missed visit - contact client",IF(Z159="Yes","Incident logged - follow up",IF(AND(AE159="Completed",AC159&lt;&gt;"Yes"),"Action - send client update",IF(AND(AE159="Completed",AD159&lt;&gt;"Yes"),"Check care checklist",IF(AND(C159&lt;TODAY(),AE159="Scheduled"),"Overdue - log the result","OK"))))))</f>
        <v>0</v>
      </c>
    </row>
    <row r="160" spans="1:36">
      <c r="A160" s="46">
        <f>IF(C160="","","VS-"&amp;TEXT(ROW()-4,"0000"))</f>
        <v>0</v>
      </c>
      <c r="D160" s="28">
        <f>IF(B160="","",IFERROR(INDEX(Bookings!$C$5:$C$404,MATCH(B160,Bookings!$A$5:$A$404,0)),""))</f>
        <v>0</v>
      </c>
      <c r="E160" s="28">
        <f>IF(B160="","",IFERROR(INDEX(Bookings!$E$5:$E$404,MATCH(B160,Bookings!$A$5:$A$404,0)),""))</f>
        <v>0</v>
      </c>
      <c r="F160" s="28">
        <f>IF(B160="","",IFERROR(INDEX(Bookings!$H$5:$H$404,MATCH(B160,Bookings!$A$5:$A$404,0)),""))</f>
        <v>0</v>
      </c>
      <c r="H160" s="53">
        <f>IF(B160="","",IFERROR(INDEX(Bookings!$K$5:$K$404,MATCH(B160,Bookings!$A$5:$A$404,0)),""))</f>
        <v>0</v>
      </c>
      <c r="K160" s="31">
        <f>IF(OR(I160="",J160=""),"",ROUND((J160-I160+IF(J160&lt;I160,1,0))*1440,0))</f>
        <v>0</v>
      </c>
      <c r="L160" s="49">
        <f>IF(OR(I160="",H160=""),"",IF(I160&lt;=H160+TIME(0,10,0),"On time","Late "&amp;TEXT((I160-H160)*1440,"0")&amp;" min"))</f>
        <v>0</v>
      </c>
      <c r="O160" s="31">
        <f>IF(OR(M160="",N160=""),"",ROUND((N160-M160+IF(N160&lt;M160,1,0))*1440,0))</f>
        <v>0</v>
      </c>
      <c r="AG160" s="28">
        <f>IF(C160="","",TEXT(C160,"yyyy-mm"))</f>
        <v>0</v>
      </c>
      <c r="AH160" s="28">
        <f>IF(B160="","",B160&amp;"|"&amp;COUNTIF($B$5:$B160,B160))</f>
        <v>0</v>
      </c>
      <c r="AI160" s="28">
        <f>IF(E160="","",E160&amp;"|"&amp;COUNTIF($E$5:$E160,E160))</f>
        <v>0</v>
      </c>
      <c r="AJ160" s="49">
        <f>IF(C160="","",IF(AE160="Missed","Missed visit - contact client",IF(Z160="Yes","Incident logged - follow up",IF(AND(AE160="Completed",AC160&lt;&gt;"Yes"),"Action - send client update",IF(AND(AE160="Completed",AD160&lt;&gt;"Yes"),"Check care checklist",IF(AND(C160&lt;TODAY(),AE160="Scheduled"),"Overdue - log the result","OK"))))))</f>
        <v>0</v>
      </c>
    </row>
    <row r="161" spans="1:36">
      <c r="A161" s="46">
        <f>IF(C161="","","VS-"&amp;TEXT(ROW()-4,"0000"))</f>
        <v>0</v>
      </c>
      <c r="D161" s="28">
        <f>IF(B161="","",IFERROR(INDEX(Bookings!$C$5:$C$404,MATCH(B161,Bookings!$A$5:$A$404,0)),""))</f>
        <v>0</v>
      </c>
      <c r="E161" s="28">
        <f>IF(B161="","",IFERROR(INDEX(Bookings!$E$5:$E$404,MATCH(B161,Bookings!$A$5:$A$404,0)),""))</f>
        <v>0</v>
      </c>
      <c r="F161" s="28">
        <f>IF(B161="","",IFERROR(INDEX(Bookings!$H$5:$H$404,MATCH(B161,Bookings!$A$5:$A$404,0)),""))</f>
        <v>0</v>
      </c>
      <c r="H161" s="53">
        <f>IF(B161="","",IFERROR(INDEX(Bookings!$K$5:$K$404,MATCH(B161,Bookings!$A$5:$A$404,0)),""))</f>
        <v>0</v>
      </c>
      <c r="K161" s="31">
        <f>IF(OR(I161="",J161=""),"",ROUND((J161-I161+IF(J161&lt;I161,1,0))*1440,0))</f>
        <v>0</v>
      </c>
      <c r="L161" s="49">
        <f>IF(OR(I161="",H161=""),"",IF(I161&lt;=H161+TIME(0,10,0),"On time","Late "&amp;TEXT((I161-H161)*1440,"0")&amp;" min"))</f>
        <v>0</v>
      </c>
      <c r="O161" s="31">
        <f>IF(OR(M161="",N161=""),"",ROUND((N161-M161+IF(N161&lt;M161,1,0))*1440,0))</f>
        <v>0</v>
      </c>
      <c r="AG161" s="28">
        <f>IF(C161="","",TEXT(C161,"yyyy-mm"))</f>
        <v>0</v>
      </c>
      <c r="AH161" s="28">
        <f>IF(B161="","",B161&amp;"|"&amp;COUNTIF($B$5:$B161,B161))</f>
        <v>0</v>
      </c>
      <c r="AI161" s="28">
        <f>IF(E161="","",E161&amp;"|"&amp;COUNTIF($E$5:$E161,E161))</f>
        <v>0</v>
      </c>
      <c r="AJ161" s="49">
        <f>IF(C161="","",IF(AE161="Missed","Missed visit - contact client",IF(Z161="Yes","Incident logged - follow up",IF(AND(AE161="Completed",AC161&lt;&gt;"Yes"),"Action - send client update",IF(AND(AE161="Completed",AD161&lt;&gt;"Yes"),"Check care checklist",IF(AND(C161&lt;TODAY(),AE161="Scheduled"),"Overdue - log the result","OK"))))))</f>
        <v>0</v>
      </c>
    </row>
    <row r="162" spans="1:36">
      <c r="A162" s="46">
        <f>IF(C162="","","VS-"&amp;TEXT(ROW()-4,"0000"))</f>
        <v>0</v>
      </c>
      <c r="D162" s="28">
        <f>IF(B162="","",IFERROR(INDEX(Bookings!$C$5:$C$404,MATCH(B162,Bookings!$A$5:$A$404,0)),""))</f>
        <v>0</v>
      </c>
      <c r="E162" s="28">
        <f>IF(B162="","",IFERROR(INDEX(Bookings!$E$5:$E$404,MATCH(B162,Bookings!$A$5:$A$404,0)),""))</f>
        <v>0</v>
      </c>
      <c r="F162" s="28">
        <f>IF(B162="","",IFERROR(INDEX(Bookings!$H$5:$H$404,MATCH(B162,Bookings!$A$5:$A$404,0)),""))</f>
        <v>0</v>
      </c>
      <c r="H162" s="53">
        <f>IF(B162="","",IFERROR(INDEX(Bookings!$K$5:$K$404,MATCH(B162,Bookings!$A$5:$A$404,0)),""))</f>
        <v>0</v>
      </c>
      <c r="K162" s="31">
        <f>IF(OR(I162="",J162=""),"",ROUND((J162-I162+IF(J162&lt;I162,1,0))*1440,0))</f>
        <v>0</v>
      </c>
      <c r="L162" s="49">
        <f>IF(OR(I162="",H162=""),"",IF(I162&lt;=H162+TIME(0,10,0),"On time","Late "&amp;TEXT((I162-H162)*1440,"0")&amp;" min"))</f>
        <v>0</v>
      </c>
      <c r="O162" s="31">
        <f>IF(OR(M162="",N162=""),"",ROUND((N162-M162+IF(N162&lt;M162,1,0))*1440,0))</f>
        <v>0</v>
      </c>
      <c r="AG162" s="28">
        <f>IF(C162="","",TEXT(C162,"yyyy-mm"))</f>
        <v>0</v>
      </c>
      <c r="AH162" s="28">
        <f>IF(B162="","",B162&amp;"|"&amp;COUNTIF($B$5:$B162,B162))</f>
        <v>0</v>
      </c>
      <c r="AI162" s="28">
        <f>IF(E162="","",E162&amp;"|"&amp;COUNTIF($E$5:$E162,E162))</f>
        <v>0</v>
      </c>
      <c r="AJ162" s="49">
        <f>IF(C162="","",IF(AE162="Missed","Missed visit - contact client",IF(Z162="Yes","Incident logged - follow up",IF(AND(AE162="Completed",AC162&lt;&gt;"Yes"),"Action - send client update",IF(AND(AE162="Completed",AD162&lt;&gt;"Yes"),"Check care checklist",IF(AND(C162&lt;TODAY(),AE162="Scheduled"),"Overdue - log the result","OK"))))))</f>
        <v>0</v>
      </c>
    </row>
    <row r="163" spans="1:36">
      <c r="A163" s="46">
        <f>IF(C163="","","VS-"&amp;TEXT(ROW()-4,"0000"))</f>
        <v>0</v>
      </c>
      <c r="D163" s="28">
        <f>IF(B163="","",IFERROR(INDEX(Bookings!$C$5:$C$404,MATCH(B163,Bookings!$A$5:$A$404,0)),""))</f>
        <v>0</v>
      </c>
      <c r="E163" s="28">
        <f>IF(B163="","",IFERROR(INDEX(Bookings!$E$5:$E$404,MATCH(B163,Bookings!$A$5:$A$404,0)),""))</f>
        <v>0</v>
      </c>
      <c r="F163" s="28">
        <f>IF(B163="","",IFERROR(INDEX(Bookings!$H$5:$H$404,MATCH(B163,Bookings!$A$5:$A$404,0)),""))</f>
        <v>0</v>
      </c>
      <c r="H163" s="53">
        <f>IF(B163="","",IFERROR(INDEX(Bookings!$K$5:$K$404,MATCH(B163,Bookings!$A$5:$A$404,0)),""))</f>
        <v>0</v>
      </c>
      <c r="K163" s="31">
        <f>IF(OR(I163="",J163=""),"",ROUND((J163-I163+IF(J163&lt;I163,1,0))*1440,0))</f>
        <v>0</v>
      </c>
      <c r="L163" s="49">
        <f>IF(OR(I163="",H163=""),"",IF(I163&lt;=H163+TIME(0,10,0),"On time","Late "&amp;TEXT((I163-H163)*1440,"0")&amp;" min"))</f>
        <v>0</v>
      </c>
      <c r="O163" s="31">
        <f>IF(OR(M163="",N163=""),"",ROUND((N163-M163+IF(N163&lt;M163,1,0))*1440,0))</f>
        <v>0</v>
      </c>
      <c r="AG163" s="28">
        <f>IF(C163="","",TEXT(C163,"yyyy-mm"))</f>
        <v>0</v>
      </c>
      <c r="AH163" s="28">
        <f>IF(B163="","",B163&amp;"|"&amp;COUNTIF($B$5:$B163,B163))</f>
        <v>0</v>
      </c>
      <c r="AI163" s="28">
        <f>IF(E163="","",E163&amp;"|"&amp;COUNTIF($E$5:$E163,E163))</f>
        <v>0</v>
      </c>
      <c r="AJ163" s="49">
        <f>IF(C163="","",IF(AE163="Missed","Missed visit - contact client",IF(Z163="Yes","Incident logged - follow up",IF(AND(AE163="Completed",AC163&lt;&gt;"Yes"),"Action - send client update",IF(AND(AE163="Completed",AD163&lt;&gt;"Yes"),"Check care checklist",IF(AND(C163&lt;TODAY(),AE163="Scheduled"),"Overdue - log the result","OK"))))))</f>
        <v>0</v>
      </c>
    </row>
    <row r="164" spans="1:36">
      <c r="A164" s="46">
        <f>IF(C164="","","VS-"&amp;TEXT(ROW()-4,"0000"))</f>
        <v>0</v>
      </c>
      <c r="D164" s="28">
        <f>IF(B164="","",IFERROR(INDEX(Bookings!$C$5:$C$404,MATCH(B164,Bookings!$A$5:$A$404,0)),""))</f>
        <v>0</v>
      </c>
      <c r="E164" s="28">
        <f>IF(B164="","",IFERROR(INDEX(Bookings!$E$5:$E$404,MATCH(B164,Bookings!$A$5:$A$404,0)),""))</f>
        <v>0</v>
      </c>
      <c r="F164" s="28">
        <f>IF(B164="","",IFERROR(INDEX(Bookings!$H$5:$H$404,MATCH(B164,Bookings!$A$5:$A$404,0)),""))</f>
        <v>0</v>
      </c>
      <c r="H164" s="53">
        <f>IF(B164="","",IFERROR(INDEX(Bookings!$K$5:$K$404,MATCH(B164,Bookings!$A$5:$A$404,0)),""))</f>
        <v>0</v>
      </c>
      <c r="K164" s="31">
        <f>IF(OR(I164="",J164=""),"",ROUND((J164-I164+IF(J164&lt;I164,1,0))*1440,0))</f>
        <v>0</v>
      </c>
      <c r="L164" s="49">
        <f>IF(OR(I164="",H164=""),"",IF(I164&lt;=H164+TIME(0,10,0),"On time","Late "&amp;TEXT((I164-H164)*1440,"0")&amp;" min"))</f>
        <v>0</v>
      </c>
      <c r="O164" s="31">
        <f>IF(OR(M164="",N164=""),"",ROUND((N164-M164+IF(N164&lt;M164,1,0))*1440,0))</f>
        <v>0</v>
      </c>
      <c r="AG164" s="28">
        <f>IF(C164="","",TEXT(C164,"yyyy-mm"))</f>
        <v>0</v>
      </c>
      <c r="AH164" s="28">
        <f>IF(B164="","",B164&amp;"|"&amp;COUNTIF($B$5:$B164,B164))</f>
        <v>0</v>
      </c>
      <c r="AI164" s="28">
        <f>IF(E164="","",E164&amp;"|"&amp;COUNTIF($E$5:$E164,E164))</f>
        <v>0</v>
      </c>
      <c r="AJ164" s="49">
        <f>IF(C164="","",IF(AE164="Missed","Missed visit - contact client",IF(Z164="Yes","Incident logged - follow up",IF(AND(AE164="Completed",AC164&lt;&gt;"Yes"),"Action - send client update",IF(AND(AE164="Completed",AD164&lt;&gt;"Yes"),"Check care checklist",IF(AND(C164&lt;TODAY(),AE164="Scheduled"),"Overdue - log the result","OK"))))))</f>
        <v>0</v>
      </c>
    </row>
    <row r="165" spans="1:36">
      <c r="A165" s="46">
        <f>IF(C165="","","VS-"&amp;TEXT(ROW()-4,"0000"))</f>
        <v>0</v>
      </c>
      <c r="D165" s="28">
        <f>IF(B165="","",IFERROR(INDEX(Bookings!$C$5:$C$404,MATCH(B165,Bookings!$A$5:$A$404,0)),""))</f>
        <v>0</v>
      </c>
      <c r="E165" s="28">
        <f>IF(B165="","",IFERROR(INDEX(Bookings!$E$5:$E$404,MATCH(B165,Bookings!$A$5:$A$404,0)),""))</f>
        <v>0</v>
      </c>
      <c r="F165" s="28">
        <f>IF(B165="","",IFERROR(INDEX(Bookings!$H$5:$H$404,MATCH(B165,Bookings!$A$5:$A$404,0)),""))</f>
        <v>0</v>
      </c>
      <c r="H165" s="53">
        <f>IF(B165="","",IFERROR(INDEX(Bookings!$K$5:$K$404,MATCH(B165,Bookings!$A$5:$A$404,0)),""))</f>
        <v>0</v>
      </c>
      <c r="K165" s="31">
        <f>IF(OR(I165="",J165=""),"",ROUND((J165-I165+IF(J165&lt;I165,1,0))*1440,0))</f>
        <v>0</v>
      </c>
      <c r="L165" s="49">
        <f>IF(OR(I165="",H165=""),"",IF(I165&lt;=H165+TIME(0,10,0),"On time","Late "&amp;TEXT((I165-H165)*1440,"0")&amp;" min"))</f>
        <v>0</v>
      </c>
      <c r="O165" s="31">
        <f>IF(OR(M165="",N165=""),"",ROUND((N165-M165+IF(N165&lt;M165,1,0))*1440,0))</f>
        <v>0</v>
      </c>
      <c r="AG165" s="28">
        <f>IF(C165="","",TEXT(C165,"yyyy-mm"))</f>
        <v>0</v>
      </c>
      <c r="AH165" s="28">
        <f>IF(B165="","",B165&amp;"|"&amp;COUNTIF($B$5:$B165,B165))</f>
        <v>0</v>
      </c>
      <c r="AI165" s="28">
        <f>IF(E165="","",E165&amp;"|"&amp;COUNTIF($E$5:$E165,E165))</f>
        <v>0</v>
      </c>
      <c r="AJ165" s="49">
        <f>IF(C165="","",IF(AE165="Missed","Missed visit - contact client",IF(Z165="Yes","Incident logged - follow up",IF(AND(AE165="Completed",AC165&lt;&gt;"Yes"),"Action - send client update",IF(AND(AE165="Completed",AD165&lt;&gt;"Yes"),"Check care checklist",IF(AND(C165&lt;TODAY(),AE165="Scheduled"),"Overdue - log the result","OK"))))))</f>
        <v>0</v>
      </c>
    </row>
    <row r="166" spans="1:36">
      <c r="A166" s="46">
        <f>IF(C166="","","VS-"&amp;TEXT(ROW()-4,"0000"))</f>
        <v>0</v>
      </c>
      <c r="D166" s="28">
        <f>IF(B166="","",IFERROR(INDEX(Bookings!$C$5:$C$404,MATCH(B166,Bookings!$A$5:$A$404,0)),""))</f>
        <v>0</v>
      </c>
      <c r="E166" s="28">
        <f>IF(B166="","",IFERROR(INDEX(Bookings!$E$5:$E$404,MATCH(B166,Bookings!$A$5:$A$404,0)),""))</f>
        <v>0</v>
      </c>
      <c r="F166" s="28">
        <f>IF(B166="","",IFERROR(INDEX(Bookings!$H$5:$H$404,MATCH(B166,Bookings!$A$5:$A$404,0)),""))</f>
        <v>0</v>
      </c>
      <c r="H166" s="53">
        <f>IF(B166="","",IFERROR(INDEX(Bookings!$K$5:$K$404,MATCH(B166,Bookings!$A$5:$A$404,0)),""))</f>
        <v>0</v>
      </c>
      <c r="K166" s="31">
        <f>IF(OR(I166="",J166=""),"",ROUND((J166-I166+IF(J166&lt;I166,1,0))*1440,0))</f>
        <v>0</v>
      </c>
      <c r="L166" s="49">
        <f>IF(OR(I166="",H166=""),"",IF(I166&lt;=H166+TIME(0,10,0),"On time","Late "&amp;TEXT((I166-H166)*1440,"0")&amp;" min"))</f>
        <v>0</v>
      </c>
      <c r="O166" s="31">
        <f>IF(OR(M166="",N166=""),"",ROUND((N166-M166+IF(N166&lt;M166,1,0))*1440,0))</f>
        <v>0</v>
      </c>
      <c r="AG166" s="28">
        <f>IF(C166="","",TEXT(C166,"yyyy-mm"))</f>
        <v>0</v>
      </c>
      <c r="AH166" s="28">
        <f>IF(B166="","",B166&amp;"|"&amp;COUNTIF($B$5:$B166,B166))</f>
        <v>0</v>
      </c>
      <c r="AI166" s="28">
        <f>IF(E166="","",E166&amp;"|"&amp;COUNTIF($E$5:$E166,E166))</f>
        <v>0</v>
      </c>
      <c r="AJ166" s="49">
        <f>IF(C166="","",IF(AE166="Missed","Missed visit - contact client",IF(Z166="Yes","Incident logged - follow up",IF(AND(AE166="Completed",AC166&lt;&gt;"Yes"),"Action - send client update",IF(AND(AE166="Completed",AD166&lt;&gt;"Yes"),"Check care checklist",IF(AND(C166&lt;TODAY(),AE166="Scheduled"),"Overdue - log the result","OK"))))))</f>
        <v>0</v>
      </c>
    </row>
    <row r="167" spans="1:36">
      <c r="A167" s="46">
        <f>IF(C167="","","VS-"&amp;TEXT(ROW()-4,"0000"))</f>
        <v>0</v>
      </c>
      <c r="D167" s="28">
        <f>IF(B167="","",IFERROR(INDEX(Bookings!$C$5:$C$404,MATCH(B167,Bookings!$A$5:$A$404,0)),""))</f>
        <v>0</v>
      </c>
      <c r="E167" s="28">
        <f>IF(B167="","",IFERROR(INDEX(Bookings!$E$5:$E$404,MATCH(B167,Bookings!$A$5:$A$404,0)),""))</f>
        <v>0</v>
      </c>
      <c r="F167" s="28">
        <f>IF(B167="","",IFERROR(INDEX(Bookings!$H$5:$H$404,MATCH(B167,Bookings!$A$5:$A$404,0)),""))</f>
        <v>0</v>
      </c>
      <c r="H167" s="53">
        <f>IF(B167="","",IFERROR(INDEX(Bookings!$K$5:$K$404,MATCH(B167,Bookings!$A$5:$A$404,0)),""))</f>
        <v>0</v>
      </c>
      <c r="K167" s="31">
        <f>IF(OR(I167="",J167=""),"",ROUND((J167-I167+IF(J167&lt;I167,1,0))*1440,0))</f>
        <v>0</v>
      </c>
      <c r="L167" s="49">
        <f>IF(OR(I167="",H167=""),"",IF(I167&lt;=H167+TIME(0,10,0),"On time","Late "&amp;TEXT((I167-H167)*1440,"0")&amp;" min"))</f>
        <v>0</v>
      </c>
      <c r="O167" s="31">
        <f>IF(OR(M167="",N167=""),"",ROUND((N167-M167+IF(N167&lt;M167,1,0))*1440,0))</f>
        <v>0</v>
      </c>
      <c r="AG167" s="28">
        <f>IF(C167="","",TEXT(C167,"yyyy-mm"))</f>
        <v>0</v>
      </c>
      <c r="AH167" s="28">
        <f>IF(B167="","",B167&amp;"|"&amp;COUNTIF($B$5:$B167,B167))</f>
        <v>0</v>
      </c>
      <c r="AI167" s="28">
        <f>IF(E167="","",E167&amp;"|"&amp;COUNTIF($E$5:$E167,E167))</f>
        <v>0</v>
      </c>
      <c r="AJ167" s="49">
        <f>IF(C167="","",IF(AE167="Missed","Missed visit - contact client",IF(Z167="Yes","Incident logged - follow up",IF(AND(AE167="Completed",AC167&lt;&gt;"Yes"),"Action - send client update",IF(AND(AE167="Completed",AD167&lt;&gt;"Yes"),"Check care checklist",IF(AND(C167&lt;TODAY(),AE167="Scheduled"),"Overdue - log the result","OK"))))))</f>
        <v>0</v>
      </c>
    </row>
    <row r="168" spans="1:36">
      <c r="A168" s="46">
        <f>IF(C168="","","VS-"&amp;TEXT(ROW()-4,"0000"))</f>
        <v>0</v>
      </c>
      <c r="D168" s="28">
        <f>IF(B168="","",IFERROR(INDEX(Bookings!$C$5:$C$404,MATCH(B168,Bookings!$A$5:$A$404,0)),""))</f>
        <v>0</v>
      </c>
      <c r="E168" s="28">
        <f>IF(B168="","",IFERROR(INDEX(Bookings!$E$5:$E$404,MATCH(B168,Bookings!$A$5:$A$404,0)),""))</f>
        <v>0</v>
      </c>
      <c r="F168" s="28">
        <f>IF(B168="","",IFERROR(INDEX(Bookings!$H$5:$H$404,MATCH(B168,Bookings!$A$5:$A$404,0)),""))</f>
        <v>0</v>
      </c>
      <c r="H168" s="53">
        <f>IF(B168="","",IFERROR(INDEX(Bookings!$K$5:$K$404,MATCH(B168,Bookings!$A$5:$A$404,0)),""))</f>
        <v>0</v>
      </c>
      <c r="K168" s="31">
        <f>IF(OR(I168="",J168=""),"",ROUND((J168-I168+IF(J168&lt;I168,1,0))*1440,0))</f>
        <v>0</v>
      </c>
      <c r="L168" s="49">
        <f>IF(OR(I168="",H168=""),"",IF(I168&lt;=H168+TIME(0,10,0),"On time","Late "&amp;TEXT((I168-H168)*1440,"0")&amp;" min"))</f>
        <v>0</v>
      </c>
      <c r="O168" s="31">
        <f>IF(OR(M168="",N168=""),"",ROUND((N168-M168+IF(N168&lt;M168,1,0))*1440,0))</f>
        <v>0</v>
      </c>
      <c r="AG168" s="28">
        <f>IF(C168="","",TEXT(C168,"yyyy-mm"))</f>
        <v>0</v>
      </c>
      <c r="AH168" s="28">
        <f>IF(B168="","",B168&amp;"|"&amp;COUNTIF($B$5:$B168,B168))</f>
        <v>0</v>
      </c>
      <c r="AI168" s="28">
        <f>IF(E168="","",E168&amp;"|"&amp;COUNTIF($E$5:$E168,E168))</f>
        <v>0</v>
      </c>
      <c r="AJ168" s="49">
        <f>IF(C168="","",IF(AE168="Missed","Missed visit - contact client",IF(Z168="Yes","Incident logged - follow up",IF(AND(AE168="Completed",AC168&lt;&gt;"Yes"),"Action - send client update",IF(AND(AE168="Completed",AD168&lt;&gt;"Yes"),"Check care checklist",IF(AND(C168&lt;TODAY(),AE168="Scheduled"),"Overdue - log the result","OK"))))))</f>
        <v>0</v>
      </c>
    </row>
    <row r="169" spans="1:36">
      <c r="A169" s="46">
        <f>IF(C169="","","VS-"&amp;TEXT(ROW()-4,"0000"))</f>
        <v>0</v>
      </c>
      <c r="D169" s="28">
        <f>IF(B169="","",IFERROR(INDEX(Bookings!$C$5:$C$404,MATCH(B169,Bookings!$A$5:$A$404,0)),""))</f>
        <v>0</v>
      </c>
      <c r="E169" s="28">
        <f>IF(B169="","",IFERROR(INDEX(Bookings!$E$5:$E$404,MATCH(B169,Bookings!$A$5:$A$404,0)),""))</f>
        <v>0</v>
      </c>
      <c r="F169" s="28">
        <f>IF(B169="","",IFERROR(INDEX(Bookings!$H$5:$H$404,MATCH(B169,Bookings!$A$5:$A$404,0)),""))</f>
        <v>0</v>
      </c>
      <c r="H169" s="53">
        <f>IF(B169="","",IFERROR(INDEX(Bookings!$K$5:$K$404,MATCH(B169,Bookings!$A$5:$A$404,0)),""))</f>
        <v>0</v>
      </c>
      <c r="K169" s="31">
        <f>IF(OR(I169="",J169=""),"",ROUND((J169-I169+IF(J169&lt;I169,1,0))*1440,0))</f>
        <v>0</v>
      </c>
      <c r="L169" s="49">
        <f>IF(OR(I169="",H169=""),"",IF(I169&lt;=H169+TIME(0,10,0),"On time","Late "&amp;TEXT((I169-H169)*1440,"0")&amp;" min"))</f>
        <v>0</v>
      </c>
      <c r="O169" s="31">
        <f>IF(OR(M169="",N169=""),"",ROUND((N169-M169+IF(N169&lt;M169,1,0))*1440,0))</f>
        <v>0</v>
      </c>
      <c r="AG169" s="28">
        <f>IF(C169="","",TEXT(C169,"yyyy-mm"))</f>
        <v>0</v>
      </c>
      <c r="AH169" s="28">
        <f>IF(B169="","",B169&amp;"|"&amp;COUNTIF($B$5:$B169,B169))</f>
        <v>0</v>
      </c>
      <c r="AI169" s="28">
        <f>IF(E169="","",E169&amp;"|"&amp;COUNTIF($E$5:$E169,E169))</f>
        <v>0</v>
      </c>
      <c r="AJ169" s="49">
        <f>IF(C169="","",IF(AE169="Missed","Missed visit - contact client",IF(Z169="Yes","Incident logged - follow up",IF(AND(AE169="Completed",AC169&lt;&gt;"Yes"),"Action - send client update",IF(AND(AE169="Completed",AD169&lt;&gt;"Yes"),"Check care checklist",IF(AND(C169&lt;TODAY(),AE169="Scheduled"),"Overdue - log the result","OK"))))))</f>
        <v>0</v>
      </c>
    </row>
    <row r="170" spans="1:36">
      <c r="A170" s="46">
        <f>IF(C170="","","VS-"&amp;TEXT(ROW()-4,"0000"))</f>
        <v>0</v>
      </c>
      <c r="D170" s="28">
        <f>IF(B170="","",IFERROR(INDEX(Bookings!$C$5:$C$404,MATCH(B170,Bookings!$A$5:$A$404,0)),""))</f>
        <v>0</v>
      </c>
      <c r="E170" s="28">
        <f>IF(B170="","",IFERROR(INDEX(Bookings!$E$5:$E$404,MATCH(B170,Bookings!$A$5:$A$404,0)),""))</f>
        <v>0</v>
      </c>
      <c r="F170" s="28">
        <f>IF(B170="","",IFERROR(INDEX(Bookings!$H$5:$H$404,MATCH(B170,Bookings!$A$5:$A$404,0)),""))</f>
        <v>0</v>
      </c>
      <c r="H170" s="53">
        <f>IF(B170="","",IFERROR(INDEX(Bookings!$K$5:$K$404,MATCH(B170,Bookings!$A$5:$A$404,0)),""))</f>
        <v>0</v>
      </c>
      <c r="K170" s="31">
        <f>IF(OR(I170="",J170=""),"",ROUND((J170-I170+IF(J170&lt;I170,1,0))*1440,0))</f>
        <v>0</v>
      </c>
      <c r="L170" s="49">
        <f>IF(OR(I170="",H170=""),"",IF(I170&lt;=H170+TIME(0,10,0),"On time","Late "&amp;TEXT((I170-H170)*1440,"0")&amp;" min"))</f>
        <v>0</v>
      </c>
      <c r="O170" s="31">
        <f>IF(OR(M170="",N170=""),"",ROUND((N170-M170+IF(N170&lt;M170,1,0))*1440,0))</f>
        <v>0</v>
      </c>
      <c r="AG170" s="28">
        <f>IF(C170="","",TEXT(C170,"yyyy-mm"))</f>
        <v>0</v>
      </c>
      <c r="AH170" s="28">
        <f>IF(B170="","",B170&amp;"|"&amp;COUNTIF($B$5:$B170,B170))</f>
        <v>0</v>
      </c>
      <c r="AI170" s="28">
        <f>IF(E170="","",E170&amp;"|"&amp;COUNTIF($E$5:$E170,E170))</f>
        <v>0</v>
      </c>
      <c r="AJ170" s="49">
        <f>IF(C170="","",IF(AE170="Missed","Missed visit - contact client",IF(Z170="Yes","Incident logged - follow up",IF(AND(AE170="Completed",AC170&lt;&gt;"Yes"),"Action - send client update",IF(AND(AE170="Completed",AD170&lt;&gt;"Yes"),"Check care checklist",IF(AND(C170&lt;TODAY(),AE170="Scheduled"),"Overdue - log the result","OK"))))))</f>
        <v>0</v>
      </c>
    </row>
    <row r="171" spans="1:36">
      <c r="A171" s="46">
        <f>IF(C171="","","VS-"&amp;TEXT(ROW()-4,"0000"))</f>
        <v>0</v>
      </c>
      <c r="D171" s="28">
        <f>IF(B171="","",IFERROR(INDEX(Bookings!$C$5:$C$404,MATCH(B171,Bookings!$A$5:$A$404,0)),""))</f>
        <v>0</v>
      </c>
      <c r="E171" s="28">
        <f>IF(B171="","",IFERROR(INDEX(Bookings!$E$5:$E$404,MATCH(B171,Bookings!$A$5:$A$404,0)),""))</f>
        <v>0</v>
      </c>
      <c r="F171" s="28">
        <f>IF(B171="","",IFERROR(INDEX(Bookings!$H$5:$H$404,MATCH(B171,Bookings!$A$5:$A$404,0)),""))</f>
        <v>0</v>
      </c>
      <c r="H171" s="53">
        <f>IF(B171="","",IFERROR(INDEX(Bookings!$K$5:$K$404,MATCH(B171,Bookings!$A$5:$A$404,0)),""))</f>
        <v>0</v>
      </c>
      <c r="K171" s="31">
        <f>IF(OR(I171="",J171=""),"",ROUND((J171-I171+IF(J171&lt;I171,1,0))*1440,0))</f>
        <v>0</v>
      </c>
      <c r="L171" s="49">
        <f>IF(OR(I171="",H171=""),"",IF(I171&lt;=H171+TIME(0,10,0),"On time","Late "&amp;TEXT((I171-H171)*1440,"0")&amp;" min"))</f>
        <v>0</v>
      </c>
      <c r="O171" s="31">
        <f>IF(OR(M171="",N171=""),"",ROUND((N171-M171+IF(N171&lt;M171,1,0))*1440,0))</f>
        <v>0</v>
      </c>
      <c r="AG171" s="28">
        <f>IF(C171="","",TEXT(C171,"yyyy-mm"))</f>
        <v>0</v>
      </c>
      <c r="AH171" s="28">
        <f>IF(B171="","",B171&amp;"|"&amp;COUNTIF($B$5:$B171,B171))</f>
        <v>0</v>
      </c>
      <c r="AI171" s="28">
        <f>IF(E171="","",E171&amp;"|"&amp;COUNTIF($E$5:$E171,E171))</f>
        <v>0</v>
      </c>
      <c r="AJ171" s="49">
        <f>IF(C171="","",IF(AE171="Missed","Missed visit - contact client",IF(Z171="Yes","Incident logged - follow up",IF(AND(AE171="Completed",AC171&lt;&gt;"Yes"),"Action - send client update",IF(AND(AE171="Completed",AD171&lt;&gt;"Yes"),"Check care checklist",IF(AND(C171&lt;TODAY(),AE171="Scheduled"),"Overdue - log the result","OK"))))))</f>
        <v>0</v>
      </c>
    </row>
    <row r="172" spans="1:36">
      <c r="A172" s="46">
        <f>IF(C172="","","VS-"&amp;TEXT(ROW()-4,"0000"))</f>
        <v>0</v>
      </c>
      <c r="D172" s="28">
        <f>IF(B172="","",IFERROR(INDEX(Bookings!$C$5:$C$404,MATCH(B172,Bookings!$A$5:$A$404,0)),""))</f>
        <v>0</v>
      </c>
      <c r="E172" s="28">
        <f>IF(B172="","",IFERROR(INDEX(Bookings!$E$5:$E$404,MATCH(B172,Bookings!$A$5:$A$404,0)),""))</f>
        <v>0</v>
      </c>
      <c r="F172" s="28">
        <f>IF(B172="","",IFERROR(INDEX(Bookings!$H$5:$H$404,MATCH(B172,Bookings!$A$5:$A$404,0)),""))</f>
        <v>0</v>
      </c>
      <c r="H172" s="53">
        <f>IF(B172="","",IFERROR(INDEX(Bookings!$K$5:$K$404,MATCH(B172,Bookings!$A$5:$A$404,0)),""))</f>
        <v>0</v>
      </c>
      <c r="K172" s="31">
        <f>IF(OR(I172="",J172=""),"",ROUND((J172-I172+IF(J172&lt;I172,1,0))*1440,0))</f>
        <v>0</v>
      </c>
      <c r="L172" s="49">
        <f>IF(OR(I172="",H172=""),"",IF(I172&lt;=H172+TIME(0,10,0),"On time","Late "&amp;TEXT((I172-H172)*1440,"0")&amp;" min"))</f>
        <v>0</v>
      </c>
      <c r="O172" s="31">
        <f>IF(OR(M172="",N172=""),"",ROUND((N172-M172+IF(N172&lt;M172,1,0))*1440,0))</f>
        <v>0</v>
      </c>
      <c r="AG172" s="28">
        <f>IF(C172="","",TEXT(C172,"yyyy-mm"))</f>
        <v>0</v>
      </c>
      <c r="AH172" s="28">
        <f>IF(B172="","",B172&amp;"|"&amp;COUNTIF($B$5:$B172,B172))</f>
        <v>0</v>
      </c>
      <c r="AI172" s="28">
        <f>IF(E172="","",E172&amp;"|"&amp;COUNTIF($E$5:$E172,E172))</f>
        <v>0</v>
      </c>
      <c r="AJ172" s="49">
        <f>IF(C172="","",IF(AE172="Missed","Missed visit - contact client",IF(Z172="Yes","Incident logged - follow up",IF(AND(AE172="Completed",AC172&lt;&gt;"Yes"),"Action - send client update",IF(AND(AE172="Completed",AD172&lt;&gt;"Yes"),"Check care checklist",IF(AND(C172&lt;TODAY(),AE172="Scheduled"),"Overdue - log the result","OK"))))))</f>
        <v>0</v>
      </c>
    </row>
    <row r="173" spans="1:36">
      <c r="A173" s="46">
        <f>IF(C173="","","VS-"&amp;TEXT(ROW()-4,"0000"))</f>
        <v>0</v>
      </c>
      <c r="D173" s="28">
        <f>IF(B173="","",IFERROR(INDEX(Bookings!$C$5:$C$404,MATCH(B173,Bookings!$A$5:$A$404,0)),""))</f>
        <v>0</v>
      </c>
      <c r="E173" s="28">
        <f>IF(B173="","",IFERROR(INDEX(Bookings!$E$5:$E$404,MATCH(B173,Bookings!$A$5:$A$404,0)),""))</f>
        <v>0</v>
      </c>
      <c r="F173" s="28">
        <f>IF(B173="","",IFERROR(INDEX(Bookings!$H$5:$H$404,MATCH(B173,Bookings!$A$5:$A$404,0)),""))</f>
        <v>0</v>
      </c>
      <c r="H173" s="53">
        <f>IF(B173="","",IFERROR(INDEX(Bookings!$K$5:$K$404,MATCH(B173,Bookings!$A$5:$A$404,0)),""))</f>
        <v>0</v>
      </c>
      <c r="K173" s="31">
        <f>IF(OR(I173="",J173=""),"",ROUND((J173-I173+IF(J173&lt;I173,1,0))*1440,0))</f>
        <v>0</v>
      </c>
      <c r="L173" s="49">
        <f>IF(OR(I173="",H173=""),"",IF(I173&lt;=H173+TIME(0,10,0),"On time","Late "&amp;TEXT((I173-H173)*1440,"0")&amp;" min"))</f>
        <v>0</v>
      </c>
      <c r="O173" s="31">
        <f>IF(OR(M173="",N173=""),"",ROUND((N173-M173+IF(N173&lt;M173,1,0))*1440,0))</f>
        <v>0</v>
      </c>
      <c r="AG173" s="28">
        <f>IF(C173="","",TEXT(C173,"yyyy-mm"))</f>
        <v>0</v>
      </c>
      <c r="AH173" s="28">
        <f>IF(B173="","",B173&amp;"|"&amp;COUNTIF($B$5:$B173,B173))</f>
        <v>0</v>
      </c>
      <c r="AI173" s="28">
        <f>IF(E173="","",E173&amp;"|"&amp;COUNTIF($E$5:$E173,E173))</f>
        <v>0</v>
      </c>
      <c r="AJ173" s="49">
        <f>IF(C173="","",IF(AE173="Missed","Missed visit - contact client",IF(Z173="Yes","Incident logged - follow up",IF(AND(AE173="Completed",AC173&lt;&gt;"Yes"),"Action - send client update",IF(AND(AE173="Completed",AD173&lt;&gt;"Yes"),"Check care checklist",IF(AND(C173&lt;TODAY(),AE173="Scheduled"),"Overdue - log the result","OK"))))))</f>
        <v>0</v>
      </c>
    </row>
    <row r="174" spans="1:36">
      <c r="A174" s="46">
        <f>IF(C174="","","VS-"&amp;TEXT(ROW()-4,"0000"))</f>
        <v>0</v>
      </c>
      <c r="D174" s="28">
        <f>IF(B174="","",IFERROR(INDEX(Bookings!$C$5:$C$404,MATCH(B174,Bookings!$A$5:$A$404,0)),""))</f>
        <v>0</v>
      </c>
      <c r="E174" s="28">
        <f>IF(B174="","",IFERROR(INDEX(Bookings!$E$5:$E$404,MATCH(B174,Bookings!$A$5:$A$404,0)),""))</f>
        <v>0</v>
      </c>
      <c r="F174" s="28">
        <f>IF(B174="","",IFERROR(INDEX(Bookings!$H$5:$H$404,MATCH(B174,Bookings!$A$5:$A$404,0)),""))</f>
        <v>0</v>
      </c>
      <c r="H174" s="53">
        <f>IF(B174="","",IFERROR(INDEX(Bookings!$K$5:$K$404,MATCH(B174,Bookings!$A$5:$A$404,0)),""))</f>
        <v>0</v>
      </c>
      <c r="K174" s="31">
        <f>IF(OR(I174="",J174=""),"",ROUND((J174-I174+IF(J174&lt;I174,1,0))*1440,0))</f>
        <v>0</v>
      </c>
      <c r="L174" s="49">
        <f>IF(OR(I174="",H174=""),"",IF(I174&lt;=H174+TIME(0,10,0),"On time","Late "&amp;TEXT((I174-H174)*1440,"0")&amp;" min"))</f>
        <v>0</v>
      </c>
      <c r="O174" s="31">
        <f>IF(OR(M174="",N174=""),"",ROUND((N174-M174+IF(N174&lt;M174,1,0))*1440,0))</f>
        <v>0</v>
      </c>
      <c r="AG174" s="28">
        <f>IF(C174="","",TEXT(C174,"yyyy-mm"))</f>
        <v>0</v>
      </c>
      <c r="AH174" s="28">
        <f>IF(B174="","",B174&amp;"|"&amp;COUNTIF($B$5:$B174,B174))</f>
        <v>0</v>
      </c>
      <c r="AI174" s="28">
        <f>IF(E174="","",E174&amp;"|"&amp;COUNTIF($E$5:$E174,E174))</f>
        <v>0</v>
      </c>
      <c r="AJ174" s="49">
        <f>IF(C174="","",IF(AE174="Missed","Missed visit - contact client",IF(Z174="Yes","Incident logged - follow up",IF(AND(AE174="Completed",AC174&lt;&gt;"Yes"),"Action - send client update",IF(AND(AE174="Completed",AD174&lt;&gt;"Yes"),"Check care checklist",IF(AND(C174&lt;TODAY(),AE174="Scheduled"),"Overdue - log the result","OK"))))))</f>
        <v>0</v>
      </c>
    </row>
    <row r="175" spans="1:36">
      <c r="A175" s="46">
        <f>IF(C175="","","VS-"&amp;TEXT(ROW()-4,"0000"))</f>
        <v>0</v>
      </c>
      <c r="D175" s="28">
        <f>IF(B175="","",IFERROR(INDEX(Bookings!$C$5:$C$404,MATCH(B175,Bookings!$A$5:$A$404,0)),""))</f>
        <v>0</v>
      </c>
      <c r="E175" s="28">
        <f>IF(B175="","",IFERROR(INDEX(Bookings!$E$5:$E$404,MATCH(B175,Bookings!$A$5:$A$404,0)),""))</f>
        <v>0</v>
      </c>
      <c r="F175" s="28">
        <f>IF(B175="","",IFERROR(INDEX(Bookings!$H$5:$H$404,MATCH(B175,Bookings!$A$5:$A$404,0)),""))</f>
        <v>0</v>
      </c>
      <c r="H175" s="53">
        <f>IF(B175="","",IFERROR(INDEX(Bookings!$K$5:$K$404,MATCH(B175,Bookings!$A$5:$A$404,0)),""))</f>
        <v>0</v>
      </c>
      <c r="K175" s="31">
        <f>IF(OR(I175="",J175=""),"",ROUND((J175-I175+IF(J175&lt;I175,1,0))*1440,0))</f>
        <v>0</v>
      </c>
      <c r="L175" s="49">
        <f>IF(OR(I175="",H175=""),"",IF(I175&lt;=H175+TIME(0,10,0),"On time","Late "&amp;TEXT((I175-H175)*1440,"0")&amp;" min"))</f>
        <v>0</v>
      </c>
      <c r="O175" s="31">
        <f>IF(OR(M175="",N175=""),"",ROUND((N175-M175+IF(N175&lt;M175,1,0))*1440,0))</f>
        <v>0</v>
      </c>
      <c r="AG175" s="28">
        <f>IF(C175="","",TEXT(C175,"yyyy-mm"))</f>
        <v>0</v>
      </c>
      <c r="AH175" s="28">
        <f>IF(B175="","",B175&amp;"|"&amp;COUNTIF($B$5:$B175,B175))</f>
        <v>0</v>
      </c>
      <c r="AI175" s="28">
        <f>IF(E175="","",E175&amp;"|"&amp;COUNTIF($E$5:$E175,E175))</f>
        <v>0</v>
      </c>
      <c r="AJ175" s="49">
        <f>IF(C175="","",IF(AE175="Missed","Missed visit - contact client",IF(Z175="Yes","Incident logged - follow up",IF(AND(AE175="Completed",AC175&lt;&gt;"Yes"),"Action - send client update",IF(AND(AE175="Completed",AD175&lt;&gt;"Yes"),"Check care checklist",IF(AND(C175&lt;TODAY(),AE175="Scheduled"),"Overdue - log the result","OK"))))))</f>
        <v>0</v>
      </c>
    </row>
    <row r="176" spans="1:36">
      <c r="A176" s="46">
        <f>IF(C176="","","VS-"&amp;TEXT(ROW()-4,"0000"))</f>
        <v>0</v>
      </c>
      <c r="D176" s="28">
        <f>IF(B176="","",IFERROR(INDEX(Bookings!$C$5:$C$404,MATCH(B176,Bookings!$A$5:$A$404,0)),""))</f>
        <v>0</v>
      </c>
      <c r="E176" s="28">
        <f>IF(B176="","",IFERROR(INDEX(Bookings!$E$5:$E$404,MATCH(B176,Bookings!$A$5:$A$404,0)),""))</f>
        <v>0</v>
      </c>
      <c r="F176" s="28">
        <f>IF(B176="","",IFERROR(INDEX(Bookings!$H$5:$H$404,MATCH(B176,Bookings!$A$5:$A$404,0)),""))</f>
        <v>0</v>
      </c>
      <c r="H176" s="53">
        <f>IF(B176="","",IFERROR(INDEX(Bookings!$K$5:$K$404,MATCH(B176,Bookings!$A$5:$A$404,0)),""))</f>
        <v>0</v>
      </c>
      <c r="K176" s="31">
        <f>IF(OR(I176="",J176=""),"",ROUND((J176-I176+IF(J176&lt;I176,1,0))*1440,0))</f>
        <v>0</v>
      </c>
      <c r="L176" s="49">
        <f>IF(OR(I176="",H176=""),"",IF(I176&lt;=H176+TIME(0,10,0),"On time","Late "&amp;TEXT((I176-H176)*1440,"0")&amp;" min"))</f>
        <v>0</v>
      </c>
      <c r="O176" s="31">
        <f>IF(OR(M176="",N176=""),"",ROUND((N176-M176+IF(N176&lt;M176,1,0))*1440,0))</f>
        <v>0</v>
      </c>
      <c r="AG176" s="28">
        <f>IF(C176="","",TEXT(C176,"yyyy-mm"))</f>
        <v>0</v>
      </c>
      <c r="AH176" s="28">
        <f>IF(B176="","",B176&amp;"|"&amp;COUNTIF($B$5:$B176,B176))</f>
        <v>0</v>
      </c>
      <c r="AI176" s="28">
        <f>IF(E176="","",E176&amp;"|"&amp;COUNTIF($E$5:$E176,E176))</f>
        <v>0</v>
      </c>
      <c r="AJ176" s="49">
        <f>IF(C176="","",IF(AE176="Missed","Missed visit - contact client",IF(Z176="Yes","Incident logged - follow up",IF(AND(AE176="Completed",AC176&lt;&gt;"Yes"),"Action - send client update",IF(AND(AE176="Completed",AD176&lt;&gt;"Yes"),"Check care checklist",IF(AND(C176&lt;TODAY(),AE176="Scheduled"),"Overdue - log the result","OK"))))))</f>
        <v>0</v>
      </c>
    </row>
    <row r="177" spans="1:36">
      <c r="A177" s="46">
        <f>IF(C177="","","VS-"&amp;TEXT(ROW()-4,"0000"))</f>
        <v>0</v>
      </c>
      <c r="D177" s="28">
        <f>IF(B177="","",IFERROR(INDEX(Bookings!$C$5:$C$404,MATCH(B177,Bookings!$A$5:$A$404,0)),""))</f>
        <v>0</v>
      </c>
      <c r="E177" s="28">
        <f>IF(B177="","",IFERROR(INDEX(Bookings!$E$5:$E$404,MATCH(B177,Bookings!$A$5:$A$404,0)),""))</f>
        <v>0</v>
      </c>
      <c r="F177" s="28">
        <f>IF(B177="","",IFERROR(INDEX(Bookings!$H$5:$H$404,MATCH(B177,Bookings!$A$5:$A$404,0)),""))</f>
        <v>0</v>
      </c>
      <c r="H177" s="53">
        <f>IF(B177="","",IFERROR(INDEX(Bookings!$K$5:$K$404,MATCH(B177,Bookings!$A$5:$A$404,0)),""))</f>
        <v>0</v>
      </c>
      <c r="K177" s="31">
        <f>IF(OR(I177="",J177=""),"",ROUND((J177-I177+IF(J177&lt;I177,1,0))*1440,0))</f>
        <v>0</v>
      </c>
      <c r="L177" s="49">
        <f>IF(OR(I177="",H177=""),"",IF(I177&lt;=H177+TIME(0,10,0),"On time","Late "&amp;TEXT((I177-H177)*1440,"0")&amp;" min"))</f>
        <v>0</v>
      </c>
      <c r="O177" s="31">
        <f>IF(OR(M177="",N177=""),"",ROUND((N177-M177+IF(N177&lt;M177,1,0))*1440,0))</f>
        <v>0</v>
      </c>
      <c r="AG177" s="28">
        <f>IF(C177="","",TEXT(C177,"yyyy-mm"))</f>
        <v>0</v>
      </c>
      <c r="AH177" s="28">
        <f>IF(B177="","",B177&amp;"|"&amp;COUNTIF($B$5:$B177,B177))</f>
        <v>0</v>
      </c>
      <c r="AI177" s="28">
        <f>IF(E177="","",E177&amp;"|"&amp;COUNTIF($E$5:$E177,E177))</f>
        <v>0</v>
      </c>
      <c r="AJ177" s="49">
        <f>IF(C177="","",IF(AE177="Missed","Missed visit - contact client",IF(Z177="Yes","Incident logged - follow up",IF(AND(AE177="Completed",AC177&lt;&gt;"Yes"),"Action - send client update",IF(AND(AE177="Completed",AD177&lt;&gt;"Yes"),"Check care checklist",IF(AND(C177&lt;TODAY(),AE177="Scheduled"),"Overdue - log the result","OK"))))))</f>
        <v>0</v>
      </c>
    </row>
    <row r="178" spans="1:36">
      <c r="A178" s="46">
        <f>IF(C178="","","VS-"&amp;TEXT(ROW()-4,"0000"))</f>
        <v>0</v>
      </c>
      <c r="D178" s="28">
        <f>IF(B178="","",IFERROR(INDEX(Bookings!$C$5:$C$404,MATCH(B178,Bookings!$A$5:$A$404,0)),""))</f>
        <v>0</v>
      </c>
      <c r="E178" s="28">
        <f>IF(B178="","",IFERROR(INDEX(Bookings!$E$5:$E$404,MATCH(B178,Bookings!$A$5:$A$404,0)),""))</f>
        <v>0</v>
      </c>
      <c r="F178" s="28">
        <f>IF(B178="","",IFERROR(INDEX(Bookings!$H$5:$H$404,MATCH(B178,Bookings!$A$5:$A$404,0)),""))</f>
        <v>0</v>
      </c>
      <c r="H178" s="53">
        <f>IF(B178="","",IFERROR(INDEX(Bookings!$K$5:$K$404,MATCH(B178,Bookings!$A$5:$A$404,0)),""))</f>
        <v>0</v>
      </c>
      <c r="K178" s="31">
        <f>IF(OR(I178="",J178=""),"",ROUND((J178-I178+IF(J178&lt;I178,1,0))*1440,0))</f>
        <v>0</v>
      </c>
      <c r="L178" s="49">
        <f>IF(OR(I178="",H178=""),"",IF(I178&lt;=H178+TIME(0,10,0),"On time","Late "&amp;TEXT((I178-H178)*1440,"0")&amp;" min"))</f>
        <v>0</v>
      </c>
      <c r="O178" s="31">
        <f>IF(OR(M178="",N178=""),"",ROUND((N178-M178+IF(N178&lt;M178,1,0))*1440,0))</f>
        <v>0</v>
      </c>
      <c r="AG178" s="28">
        <f>IF(C178="","",TEXT(C178,"yyyy-mm"))</f>
        <v>0</v>
      </c>
      <c r="AH178" s="28">
        <f>IF(B178="","",B178&amp;"|"&amp;COUNTIF($B$5:$B178,B178))</f>
        <v>0</v>
      </c>
      <c r="AI178" s="28">
        <f>IF(E178="","",E178&amp;"|"&amp;COUNTIF($E$5:$E178,E178))</f>
        <v>0</v>
      </c>
      <c r="AJ178" s="49">
        <f>IF(C178="","",IF(AE178="Missed","Missed visit - contact client",IF(Z178="Yes","Incident logged - follow up",IF(AND(AE178="Completed",AC178&lt;&gt;"Yes"),"Action - send client update",IF(AND(AE178="Completed",AD178&lt;&gt;"Yes"),"Check care checklist",IF(AND(C178&lt;TODAY(),AE178="Scheduled"),"Overdue - log the result","OK"))))))</f>
        <v>0</v>
      </c>
    </row>
    <row r="179" spans="1:36">
      <c r="A179" s="46">
        <f>IF(C179="","","VS-"&amp;TEXT(ROW()-4,"0000"))</f>
        <v>0</v>
      </c>
      <c r="D179" s="28">
        <f>IF(B179="","",IFERROR(INDEX(Bookings!$C$5:$C$404,MATCH(B179,Bookings!$A$5:$A$404,0)),""))</f>
        <v>0</v>
      </c>
      <c r="E179" s="28">
        <f>IF(B179="","",IFERROR(INDEX(Bookings!$E$5:$E$404,MATCH(B179,Bookings!$A$5:$A$404,0)),""))</f>
        <v>0</v>
      </c>
      <c r="F179" s="28">
        <f>IF(B179="","",IFERROR(INDEX(Bookings!$H$5:$H$404,MATCH(B179,Bookings!$A$5:$A$404,0)),""))</f>
        <v>0</v>
      </c>
      <c r="H179" s="53">
        <f>IF(B179="","",IFERROR(INDEX(Bookings!$K$5:$K$404,MATCH(B179,Bookings!$A$5:$A$404,0)),""))</f>
        <v>0</v>
      </c>
      <c r="K179" s="31">
        <f>IF(OR(I179="",J179=""),"",ROUND((J179-I179+IF(J179&lt;I179,1,0))*1440,0))</f>
        <v>0</v>
      </c>
      <c r="L179" s="49">
        <f>IF(OR(I179="",H179=""),"",IF(I179&lt;=H179+TIME(0,10,0),"On time","Late "&amp;TEXT((I179-H179)*1440,"0")&amp;" min"))</f>
        <v>0</v>
      </c>
      <c r="O179" s="31">
        <f>IF(OR(M179="",N179=""),"",ROUND((N179-M179+IF(N179&lt;M179,1,0))*1440,0))</f>
        <v>0</v>
      </c>
      <c r="AG179" s="28">
        <f>IF(C179="","",TEXT(C179,"yyyy-mm"))</f>
        <v>0</v>
      </c>
      <c r="AH179" s="28">
        <f>IF(B179="","",B179&amp;"|"&amp;COUNTIF($B$5:$B179,B179))</f>
        <v>0</v>
      </c>
      <c r="AI179" s="28">
        <f>IF(E179="","",E179&amp;"|"&amp;COUNTIF($E$5:$E179,E179))</f>
        <v>0</v>
      </c>
      <c r="AJ179" s="49">
        <f>IF(C179="","",IF(AE179="Missed","Missed visit - contact client",IF(Z179="Yes","Incident logged - follow up",IF(AND(AE179="Completed",AC179&lt;&gt;"Yes"),"Action - send client update",IF(AND(AE179="Completed",AD179&lt;&gt;"Yes"),"Check care checklist",IF(AND(C179&lt;TODAY(),AE179="Scheduled"),"Overdue - log the result","OK"))))))</f>
        <v>0</v>
      </c>
    </row>
    <row r="180" spans="1:36">
      <c r="A180" s="46">
        <f>IF(C180="","","VS-"&amp;TEXT(ROW()-4,"0000"))</f>
        <v>0</v>
      </c>
      <c r="D180" s="28">
        <f>IF(B180="","",IFERROR(INDEX(Bookings!$C$5:$C$404,MATCH(B180,Bookings!$A$5:$A$404,0)),""))</f>
        <v>0</v>
      </c>
      <c r="E180" s="28">
        <f>IF(B180="","",IFERROR(INDEX(Bookings!$E$5:$E$404,MATCH(B180,Bookings!$A$5:$A$404,0)),""))</f>
        <v>0</v>
      </c>
      <c r="F180" s="28">
        <f>IF(B180="","",IFERROR(INDEX(Bookings!$H$5:$H$404,MATCH(B180,Bookings!$A$5:$A$404,0)),""))</f>
        <v>0</v>
      </c>
      <c r="H180" s="53">
        <f>IF(B180="","",IFERROR(INDEX(Bookings!$K$5:$K$404,MATCH(B180,Bookings!$A$5:$A$404,0)),""))</f>
        <v>0</v>
      </c>
      <c r="K180" s="31">
        <f>IF(OR(I180="",J180=""),"",ROUND((J180-I180+IF(J180&lt;I180,1,0))*1440,0))</f>
        <v>0</v>
      </c>
      <c r="L180" s="49">
        <f>IF(OR(I180="",H180=""),"",IF(I180&lt;=H180+TIME(0,10,0),"On time","Late "&amp;TEXT((I180-H180)*1440,"0")&amp;" min"))</f>
        <v>0</v>
      </c>
      <c r="O180" s="31">
        <f>IF(OR(M180="",N180=""),"",ROUND((N180-M180+IF(N180&lt;M180,1,0))*1440,0))</f>
        <v>0</v>
      </c>
      <c r="AG180" s="28">
        <f>IF(C180="","",TEXT(C180,"yyyy-mm"))</f>
        <v>0</v>
      </c>
      <c r="AH180" s="28">
        <f>IF(B180="","",B180&amp;"|"&amp;COUNTIF($B$5:$B180,B180))</f>
        <v>0</v>
      </c>
      <c r="AI180" s="28">
        <f>IF(E180="","",E180&amp;"|"&amp;COUNTIF($E$5:$E180,E180))</f>
        <v>0</v>
      </c>
      <c r="AJ180" s="49">
        <f>IF(C180="","",IF(AE180="Missed","Missed visit - contact client",IF(Z180="Yes","Incident logged - follow up",IF(AND(AE180="Completed",AC180&lt;&gt;"Yes"),"Action - send client update",IF(AND(AE180="Completed",AD180&lt;&gt;"Yes"),"Check care checklist",IF(AND(C180&lt;TODAY(),AE180="Scheduled"),"Overdue - log the result","OK"))))))</f>
        <v>0</v>
      </c>
    </row>
    <row r="181" spans="1:36">
      <c r="A181" s="46">
        <f>IF(C181="","","VS-"&amp;TEXT(ROW()-4,"0000"))</f>
        <v>0</v>
      </c>
      <c r="D181" s="28">
        <f>IF(B181="","",IFERROR(INDEX(Bookings!$C$5:$C$404,MATCH(B181,Bookings!$A$5:$A$404,0)),""))</f>
        <v>0</v>
      </c>
      <c r="E181" s="28">
        <f>IF(B181="","",IFERROR(INDEX(Bookings!$E$5:$E$404,MATCH(B181,Bookings!$A$5:$A$404,0)),""))</f>
        <v>0</v>
      </c>
      <c r="F181" s="28">
        <f>IF(B181="","",IFERROR(INDEX(Bookings!$H$5:$H$404,MATCH(B181,Bookings!$A$5:$A$404,0)),""))</f>
        <v>0</v>
      </c>
      <c r="H181" s="53">
        <f>IF(B181="","",IFERROR(INDEX(Bookings!$K$5:$K$404,MATCH(B181,Bookings!$A$5:$A$404,0)),""))</f>
        <v>0</v>
      </c>
      <c r="K181" s="31">
        <f>IF(OR(I181="",J181=""),"",ROUND((J181-I181+IF(J181&lt;I181,1,0))*1440,0))</f>
        <v>0</v>
      </c>
      <c r="L181" s="49">
        <f>IF(OR(I181="",H181=""),"",IF(I181&lt;=H181+TIME(0,10,0),"On time","Late "&amp;TEXT((I181-H181)*1440,"0")&amp;" min"))</f>
        <v>0</v>
      </c>
      <c r="O181" s="31">
        <f>IF(OR(M181="",N181=""),"",ROUND((N181-M181+IF(N181&lt;M181,1,0))*1440,0))</f>
        <v>0</v>
      </c>
      <c r="AG181" s="28">
        <f>IF(C181="","",TEXT(C181,"yyyy-mm"))</f>
        <v>0</v>
      </c>
      <c r="AH181" s="28">
        <f>IF(B181="","",B181&amp;"|"&amp;COUNTIF($B$5:$B181,B181))</f>
        <v>0</v>
      </c>
      <c r="AI181" s="28">
        <f>IF(E181="","",E181&amp;"|"&amp;COUNTIF($E$5:$E181,E181))</f>
        <v>0</v>
      </c>
      <c r="AJ181" s="49">
        <f>IF(C181="","",IF(AE181="Missed","Missed visit - contact client",IF(Z181="Yes","Incident logged - follow up",IF(AND(AE181="Completed",AC181&lt;&gt;"Yes"),"Action - send client update",IF(AND(AE181="Completed",AD181&lt;&gt;"Yes"),"Check care checklist",IF(AND(C181&lt;TODAY(),AE181="Scheduled"),"Overdue - log the result","OK"))))))</f>
        <v>0</v>
      </c>
    </row>
    <row r="182" spans="1:36">
      <c r="A182" s="46">
        <f>IF(C182="","","VS-"&amp;TEXT(ROW()-4,"0000"))</f>
        <v>0</v>
      </c>
      <c r="D182" s="28">
        <f>IF(B182="","",IFERROR(INDEX(Bookings!$C$5:$C$404,MATCH(B182,Bookings!$A$5:$A$404,0)),""))</f>
        <v>0</v>
      </c>
      <c r="E182" s="28">
        <f>IF(B182="","",IFERROR(INDEX(Bookings!$E$5:$E$404,MATCH(B182,Bookings!$A$5:$A$404,0)),""))</f>
        <v>0</v>
      </c>
      <c r="F182" s="28">
        <f>IF(B182="","",IFERROR(INDEX(Bookings!$H$5:$H$404,MATCH(B182,Bookings!$A$5:$A$404,0)),""))</f>
        <v>0</v>
      </c>
      <c r="H182" s="53">
        <f>IF(B182="","",IFERROR(INDEX(Bookings!$K$5:$K$404,MATCH(B182,Bookings!$A$5:$A$404,0)),""))</f>
        <v>0</v>
      </c>
      <c r="K182" s="31">
        <f>IF(OR(I182="",J182=""),"",ROUND((J182-I182+IF(J182&lt;I182,1,0))*1440,0))</f>
        <v>0</v>
      </c>
      <c r="L182" s="49">
        <f>IF(OR(I182="",H182=""),"",IF(I182&lt;=H182+TIME(0,10,0),"On time","Late "&amp;TEXT((I182-H182)*1440,"0")&amp;" min"))</f>
        <v>0</v>
      </c>
      <c r="O182" s="31">
        <f>IF(OR(M182="",N182=""),"",ROUND((N182-M182+IF(N182&lt;M182,1,0))*1440,0))</f>
        <v>0</v>
      </c>
      <c r="AG182" s="28">
        <f>IF(C182="","",TEXT(C182,"yyyy-mm"))</f>
        <v>0</v>
      </c>
      <c r="AH182" s="28">
        <f>IF(B182="","",B182&amp;"|"&amp;COUNTIF($B$5:$B182,B182))</f>
        <v>0</v>
      </c>
      <c r="AI182" s="28">
        <f>IF(E182="","",E182&amp;"|"&amp;COUNTIF($E$5:$E182,E182))</f>
        <v>0</v>
      </c>
      <c r="AJ182" s="49">
        <f>IF(C182="","",IF(AE182="Missed","Missed visit - contact client",IF(Z182="Yes","Incident logged - follow up",IF(AND(AE182="Completed",AC182&lt;&gt;"Yes"),"Action - send client update",IF(AND(AE182="Completed",AD182&lt;&gt;"Yes"),"Check care checklist",IF(AND(C182&lt;TODAY(),AE182="Scheduled"),"Overdue - log the result","OK"))))))</f>
        <v>0</v>
      </c>
    </row>
    <row r="183" spans="1:36">
      <c r="A183" s="46">
        <f>IF(C183="","","VS-"&amp;TEXT(ROW()-4,"0000"))</f>
        <v>0</v>
      </c>
      <c r="D183" s="28">
        <f>IF(B183="","",IFERROR(INDEX(Bookings!$C$5:$C$404,MATCH(B183,Bookings!$A$5:$A$404,0)),""))</f>
        <v>0</v>
      </c>
      <c r="E183" s="28">
        <f>IF(B183="","",IFERROR(INDEX(Bookings!$E$5:$E$404,MATCH(B183,Bookings!$A$5:$A$404,0)),""))</f>
        <v>0</v>
      </c>
      <c r="F183" s="28">
        <f>IF(B183="","",IFERROR(INDEX(Bookings!$H$5:$H$404,MATCH(B183,Bookings!$A$5:$A$404,0)),""))</f>
        <v>0</v>
      </c>
      <c r="H183" s="53">
        <f>IF(B183="","",IFERROR(INDEX(Bookings!$K$5:$K$404,MATCH(B183,Bookings!$A$5:$A$404,0)),""))</f>
        <v>0</v>
      </c>
      <c r="K183" s="31">
        <f>IF(OR(I183="",J183=""),"",ROUND((J183-I183+IF(J183&lt;I183,1,0))*1440,0))</f>
        <v>0</v>
      </c>
      <c r="L183" s="49">
        <f>IF(OR(I183="",H183=""),"",IF(I183&lt;=H183+TIME(0,10,0),"On time","Late "&amp;TEXT((I183-H183)*1440,"0")&amp;" min"))</f>
        <v>0</v>
      </c>
      <c r="O183" s="31">
        <f>IF(OR(M183="",N183=""),"",ROUND((N183-M183+IF(N183&lt;M183,1,0))*1440,0))</f>
        <v>0</v>
      </c>
      <c r="AG183" s="28">
        <f>IF(C183="","",TEXT(C183,"yyyy-mm"))</f>
        <v>0</v>
      </c>
      <c r="AH183" s="28">
        <f>IF(B183="","",B183&amp;"|"&amp;COUNTIF($B$5:$B183,B183))</f>
        <v>0</v>
      </c>
      <c r="AI183" s="28">
        <f>IF(E183="","",E183&amp;"|"&amp;COUNTIF($E$5:$E183,E183))</f>
        <v>0</v>
      </c>
      <c r="AJ183" s="49">
        <f>IF(C183="","",IF(AE183="Missed","Missed visit - contact client",IF(Z183="Yes","Incident logged - follow up",IF(AND(AE183="Completed",AC183&lt;&gt;"Yes"),"Action - send client update",IF(AND(AE183="Completed",AD183&lt;&gt;"Yes"),"Check care checklist",IF(AND(C183&lt;TODAY(),AE183="Scheduled"),"Overdue - log the result","OK"))))))</f>
        <v>0</v>
      </c>
    </row>
    <row r="184" spans="1:36">
      <c r="A184" s="46">
        <f>IF(C184="","","VS-"&amp;TEXT(ROW()-4,"0000"))</f>
        <v>0</v>
      </c>
      <c r="D184" s="28">
        <f>IF(B184="","",IFERROR(INDEX(Bookings!$C$5:$C$404,MATCH(B184,Bookings!$A$5:$A$404,0)),""))</f>
        <v>0</v>
      </c>
      <c r="E184" s="28">
        <f>IF(B184="","",IFERROR(INDEX(Bookings!$E$5:$E$404,MATCH(B184,Bookings!$A$5:$A$404,0)),""))</f>
        <v>0</v>
      </c>
      <c r="F184" s="28">
        <f>IF(B184="","",IFERROR(INDEX(Bookings!$H$5:$H$404,MATCH(B184,Bookings!$A$5:$A$404,0)),""))</f>
        <v>0</v>
      </c>
      <c r="H184" s="53">
        <f>IF(B184="","",IFERROR(INDEX(Bookings!$K$5:$K$404,MATCH(B184,Bookings!$A$5:$A$404,0)),""))</f>
        <v>0</v>
      </c>
      <c r="K184" s="31">
        <f>IF(OR(I184="",J184=""),"",ROUND((J184-I184+IF(J184&lt;I184,1,0))*1440,0))</f>
        <v>0</v>
      </c>
      <c r="L184" s="49">
        <f>IF(OR(I184="",H184=""),"",IF(I184&lt;=H184+TIME(0,10,0),"On time","Late "&amp;TEXT((I184-H184)*1440,"0")&amp;" min"))</f>
        <v>0</v>
      </c>
      <c r="O184" s="31">
        <f>IF(OR(M184="",N184=""),"",ROUND((N184-M184+IF(N184&lt;M184,1,0))*1440,0))</f>
        <v>0</v>
      </c>
      <c r="AG184" s="28">
        <f>IF(C184="","",TEXT(C184,"yyyy-mm"))</f>
        <v>0</v>
      </c>
      <c r="AH184" s="28">
        <f>IF(B184="","",B184&amp;"|"&amp;COUNTIF($B$5:$B184,B184))</f>
        <v>0</v>
      </c>
      <c r="AI184" s="28">
        <f>IF(E184="","",E184&amp;"|"&amp;COUNTIF($E$5:$E184,E184))</f>
        <v>0</v>
      </c>
      <c r="AJ184" s="49">
        <f>IF(C184="","",IF(AE184="Missed","Missed visit - contact client",IF(Z184="Yes","Incident logged - follow up",IF(AND(AE184="Completed",AC184&lt;&gt;"Yes"),"Action - send client update",IF(AND(AE184="Completed",AD184&lt;&gt;"Yes"),"Check care checklist",IF(AND(C184&lt;TODAY(),AE184="Scheduled"),"Overdue - log the result","OK"))))))</f>
        <v>0</v>
      </c>
    </row>
    <row r="185" spans="1:36">
      <c r="A185" s="46">
        <f>IF(C185="","","VS-"&amp;TEXT(ROW()-4,"0000"))</f>
        <v>0</v>
      </c>
      <c r="D185" s="28">
        <f>IF(B185="","",IFERROR(INDEX(Bookings!$C$5:$C$404,MATCH(B185,Bookings!$A$5:$A$404,0)),""))</f>
        <v>0</v>
      </c>
      <c r="E185" s="28">
        <f>IF(B185="","",IFERROR(INDEX(Bookings!$E$5:$E$404,MATCH(B185,Bookings!$A$5:$A$404,0)),""))</f>
        <v>0</v>
      </c>
      <c r="F185" s="28">
        <f>IF(B185="","",IFERROR(INDEX(Bookings!$H$5:$H$404,MATCH(B185,Bookings!$A$5:$A$404,0)),""))</f>
        <v>0</v>
      </c>
      <c r="H185" s="53">
        <f>IF(B185="","",IFERROR(INDEX(Bookings!$K$5:$K$404,MATCH(B185,Bookings!$A$5:$A$404,0)),""))</f>
        <v>0</v>
      </c>
      <c r="K185" s="31">
        <f>IF(OR(I185="",J185=""),"",ROUND((J185-I185+IF(J185&lt;I185,1,0))*1440,0))</f>
        <v>0</v>
      </c>
      <c r="L185" s="49">
        <f>IF(OR(I185="",H185=""),"",IF(I185&lt;=H185+TIME(0,10,0),"On time","Late "&amp;TEXT((I185-H185)*1440,"0")&amp;" min"))</f>
        <v>0</v>
      </c>
      <c r="O185" s="31">
        <f>IF(OR(M185="",N185=""),"",ROUND((N185-M185+IF(N185&lt;M185,1,0))*1440,0))</f>
        <v>0</v>
      </c>
      <c r="AG185" s="28">
        <f>IF(C185="","",TEXT(C185,"yyyy-mm"))</f>
        <v>0</v>
      </c>
      <c r="AH185" s="28">
        <f>IF(B185="","",B185&amp;"|"&amp;COUNTIF($B$5:$B185,B185))</f>
        <v>0</v>
      </c>
      <c r="AI185" s="28">
        <f>IF(E185="","",E185&amp;"|"&amp;COUNTIF($E$5:$E185,E185))</f>
        <v>0</v>
      </c>
      <c r="AJ185" s="49">
        <f>IF(C185="","",IF(AE185="Missed","Missed visit - contact client",IF(Z185="Yes","Incident logged - follow up",IF(AND(AE185="Completed",AC185&lt;&gt;"Yes"),"Action - send client update",IF(AND(AE185="Completed",AD185&lt;&gt;"Yes"),"Check care checklist",IF(AND(C185&lt;TODAY(),AE185="Scheduled"),"Overdue - log the result","OK"))))))</f>
        <v>0</v>
      </c>
    </row>
    <row r="186" spans="1:36">
      <c r="A186" s="46">
        <f>IF(C186="","","VS-"&amp;TEXT(ROW()-4,"0000"))</f>
        <v>0</v>
      </c>
      <c r="D186" s="28">
        <f>IF(B186="","",IFERROR(INDEX(Bookings!$C$5:$C$404,MATCH(B186,Bookings!$A$5:$A$404,0)),""))</f>
        <v>0</v>
      </c>
      <c r="E186" s="28">
        <f>IF(B186="","",IFERROR(INDEX(Bookings!$E$5:$E$404,MATCH(B186,Bookings!$A$5:$A$404,0)),""))</f>
        <v>0</v>
      </c>
      <c r="F186" s="28">
        <f>IF(B186="","",IFERROR(INDEX(Bookings!$H$5:$H$404,MATCH(B186,Bookings!$A$5:$A$404,0)),""))</f>
        <v>0</v>
      </c>
      <c r="H186" s="53">
        <f>IF(B186="","",IFERROR(INDEX(Bookings!$K$5:$K$404,MATCH(B186,Bookings!$A$5:$A$404,0)),""))</f>
        <v>0</v>
      </c>
      <c r="K186" s="31">
        <f>IF(OR(I186="",J186=""),"",ROUND((J186-I186+IF(J186&lt;I186,1,0))*1440,0))</f>
        <v>0</v>
      </c>
      <c r="L186" s="49">
        <f>IF(OR(I186="",H186=""),"",IF(I186&lt;=H186+TIME(0,10,0),"On time","Late "&amp;TEXT((I186-H186)*1440,"0")&amp;" min"))</f>
        <v>0</v>
      </c>
      <c r="O186" s="31">
        <f>IF(OR(M186="",N186=""),"",ROUND((N186-M186+IF(N186&lt;M186,1,0))*1440,0))</f>
        <v>0</v>
      </c>
      <c r="AG186" s="28">
        <f>IF(C186="","",TEXT(C186,"yyyy-mm"))</f>
        <v>0</v>
      </c>
      <c r="AH186" s="28">
        <f>IF(B186="","",B186&amp;"|"&amp;COUNTIF($B$5:$B186,B186))</f>
        <v>0</v>
      </c>
      <c r="AI186" s="28">
        <f>IF(E186="","",E186&amp;"|"&amp;COUNTIF($E$5:$E186,E186))</f>
        <v>0</v>
      </c>
      <c r="AJ186" s="49">
        <f>IF(C186="","",IF(AE186="Missed","Missed visit - contact client",IF(Z186="Yes","Incident logged - follow up",IF(AND(AE186="Completed",AC186&lt;&gt;"Yes"),"Action - send client update",IF(AND(AE186="Completed",AD186&lt;&gt;"Yes"),"Check care checklist",IF(AND(C186&lt;TODAY(),AE186="Scheduled"),"Overdue - log the result","OK"))))))</f>
        <v>0</v>
      </c>
    </row>
    <row r="187" spans="1:36">
      <c r="A187" s="46">
        <f>IF(C187="","","VS-"&amp;TEXT(ROW()-4,"0000"))</f>
        <v>0</v>
      </c>
      <c r="D187" s="28">
        <f>IF(B187="","",IFERROR(INDEX(Bookings!$C$5:$C$404,MATCH(B187,Bookings!$A$5:$A$404,0)),""))</f>
        <v>0</v>
      </c>
      <c r="E187" s="28">
        <f>IF(B187="","",IFERROR(INDEX(Bookings!$E$5:$E$404,MATCH(B187,Bookings!$A$5:$A$404,0)),""))</f>
        <v>0</v>
      </c>
      <c r="F187" s="28">
        <f>IF(B187="","",IFERROR(INDEX(Bookings!$H$5:$H$404,MATCH(B187,Bookings!$A$5:$A$404,0)),""))</f>
        <v>0</v>
      </c>
      <c r="H187" s="53">
        <f>IF(B187="","",IFERROR(INDEX(Bookings!$K$5:$K$404,MATCH(B187,Bookings!$A$5:$A$404,0)),""))</f>
        <v>0</v>
      </c>
      <c r="K187" s="31">
        <f>IF(OR(I187="",J187=""),"",ROUND((J187-I187+IF(J187&lt;I187,1,0))*1440,0))</f>
        <v>0</v>
      </c>
      <c r="L187" s="49">
        <f>IF(OR(I187="",H187=""),"",IF(I187&lt;=H187+TIME(0,10,0),"On time","Late "&amp;TEXT((I187-H187)*1440,"0")&amp;" min"))</f>
        <v>0</v>
      </c>
      <c r="O187" s="31">
        <f>IF(OR(M187="",N187=""),"",ROUND((N187-M187+IF(N187&lt;M187,1,0))*1440,0))</f>
        <v>0</v>
      </c>
      <c r="AG187" s="28">
        <f>IF(C187="","",TEXT(C187,"yyyy-mm"))</f>
        <v>0</v>
      </c>
      <c r="AH187" s="28">
        <f>IF(B187="","",B187&amp;"|"&amp;COUNTIF($B$5:$B187,B187))</f>
        <v>0</v>
      </c>
      <c r="AI187" s="28">
        <f>IF(E187="","",E187&amp;"|"&amp;COUNTIF($E$5:$E187,E187))</f>
        <v>0</v>
      </c>
      <c r="AJ187" s="49">
        <f>IF(C187="","",IF(AE187="Missed","Missed visit - contact client",IF(Z187="Yes","Incident logged - follow up",IF(AND(AE187="Completed",AC187&lt;&gt;"Yes"),"Action - send client update",IF(AND(AE187="Completed",AD187&lt;&gt;"Yes"),"Check care checklist",IF(AND(C187&lt;TODAY(),AE187="Scheduled"),"Overdue - log the result","OK"))))))</f>
        <v>0</v>
      </c>
    </row>
    <row r="188" spans="1:36">
      <c r="A188" s="46">
        <f>IF(C188="","","VS-"&amp;TEXT(ROW()-4,"0000"))</f>
        <v>0</v>
      </c>
      <c r="D188" s="28">
        <f>IF(B188="","",IFERROR(INDEX(Bookings!$C$5:$C$404,MATCH(B188,Bookings!$A$5:$A$404,0)),""))</f>
        <v>0</v>
      </c>
      <c r="E188" s="28">
        <f>IF(B188="","",IFERROR(INDEX(Bookings!$E$5:$E$404,MATCH(B188,Bookings!$A$5:$A$404,0)),""))</f>
        <v>0</v>
      </c>
      <c r="F188" s="28">
        <f>IF(B188="","",IFERROR(INDEX(Bookings!$H$5:$H$404,MATCH(B188,Bookings!$A$5:$A$404,0)),""))</f>
        <v>0</v>
      </c>
      <c r="H188" s="53">
        <f>IF(B188="","",IFERROR(INDEX(Bookings!$K$5:$K$404,MATCH(B188,Bookings!$A$5:$A$404,0)),""))</f>
        <v>0</v>
      </c>
      <c r="K188" s="31">
        <f>IF(OR(I188="",J188=""),"",ROUND((J188-I188+IF(J188&lt;I188,1,0))*1440,0))</f>
        <v>0</v>
      </c>
      <c r="L188" s="49">
        <f>IF(OR(I188="",H188=""),"",IF(I188&lt;=H188+TIME(0,10,0),"On time","Late "&amp;TEXT((I188-H188)*1440,"0")&amp;" min"))</f>
        <v>0</v>
      </c>
      <c r="O188" s="31">
        <f>IF(OR(M188="",N188=""),"",ROUND((N188-M188+IF(N188&lt;M188,1,0))*1440,0))</f>
        <v>0</v>
      </c>
      <c r="AG188" s="28">
        <f>IF(C188="","",TEXT(C188,"yyyy-mm"))</f>
        <v>0</v>
      </c>
      <c r="AH188" s="28">
        <f>IF(B188="","",B188&amp;"|"&amp;COUNTIF($B$5:$B188,B188))</f>
        <v>0</v>
      </c>
      <c r="AI188" s="28">
        <f>IF(E188="","",E188&amp;"|"&amp;COUNTIF($E$5:$E188,E188))</f>
        <v>0</v>
      </c>
      <c r="AJ188" s="49">
        <f>IF(C188="","",IF(AE188="Missed","Missed visit - contact client",IF(Z188="Yes","Incident logged - follow up",IF(AND(AE188="Completed",AC188&lt;&gt;"Yes"),"Action - send client update",IF(AND(AE188="Completed",AD188&lt;&gt;"Yes"),"Check care checklist",IF(AND(C188&lt;TODAY(),AE188="Scheduled"),"Overdue - log the result","OK"))))))</f>
        <v>0</v>
      </c>
    </row>
    <row r="189" spans="1:36">
      <c r="A189" s="46">
        <f>IF(C189="","","VS-"&amp;TEXT(ROW()-4,"0000"))</f>
        <v>0</v>
      </c>
      <c r="D189" s="28">
        <f>IF(B189="","",IFERROR(INDEX(Bookings!$C$5:$C$404,MATCH(B189,Bookings!$A$5:$A$404,0)),""))</f>
        <v>0</v>
      </c>
      <c r="E189" s="28">
        <f>IF(B189="","",IFERROR(INDEX(Bookings!$E$5:$E$404,MATCH(B189,Bookings!$A$5:$A$404,0)),""))</f>
        <v>0</v>
      </c>
      <c r="F189" s="28">
        <f>IF(B189="","",IFERROR(INDEX(Bookings!$H$5:$H$404,MATCH(B189,Bookings!$A$5:$A$404,0)),""))</f>
        <v>0</v>
      </c>
      <c r="H189" s="53">
        <f>IF(B189="","",IFERROR(INDEX(Bookings!$K$5:$K$404,MATCH(B189,Bookings!$A$5:$A$404,0)),""))</f>
        <v>0</v>
      </c>
      <c r="K189" s="31">
        <f>IF(OR(I189="",J189=""),"",ROUND((J189-I189+IF(J189&lt;I189,1,0))*1440,0))</f>
        <v>0</v>
      </c>
      <c r="L189" s="49">
        <f>IF(OR(I189="",H189=""),"",IF(I189&lt;=H189+TIME(0,10,0),"On time","Late "&amp;TEXT((I189-H189)*1440,"0")&amp;" min"))</f>
        <v>0</v>
      </c>
      <c r="O189" s="31">
        <f>IF(OR(M189="",N189=""),"",ROUND((N189-M189+IF(N189&lt;M189,1,0))*1440,0))</f>
        <v>0</v>
      </c>
      <c r="AG189" s="28">
        <f>IF(C189="","",TEXT(C189,"yyyy-mm"))</f>
        <v>0</v>
      </c>
      <c r="AH189" s="28">
        <f>IF(B189="","",B189&amp;"|"&amp;COUNTIF($B$5:$B189,B189))</f>
        <v>0</v>
      </c>
      <c r="AI189" s="28">
        <f>IF(E189="","",E189&amp;"|"&amp;COUNTIF($E$5:$E189,E189))</f>
        <v>0</v>
      </c>
      <c r="AJ189" s="49">
        <f>IF(C189="","",IF(AE189="Missed","Missed visit - contact client",IF(Z189="Yes","Incident logged - follow up",IF(AND(AE189="Completed",AC189&lt;&gt;"Yes"),"Action - send client update",IF(AND(AE189="Completed",AD189&lt;&gt;"Yes"),"Check care checklist",IF(AND(C189&lt;TODAY(),AE189="Scheduled"),"Overdue - log the result","OK"))))))</f>
        <v>0</v>
      </c>
    </row>
    <row r="190" spans="1:36">
      <c r="A190" s="46">
        <f>IF(C190="","","VS-"&amp;TEXT(ROW()-4,"0000"))</f>
        <v>0</v>
      </c>
      <c r="D190" s="28">
        <f>IF(B190="","",IFERROR(INDEX(Bookings!$C$5:$C$404,MATCH(B190,Bookings!$A$5:$A$404,0)),""))</f>
        <v>0</v>
      </c>
      <c r="E190" s="28">
        <f>IF(B190="","",IFERROR(INDEX(Bookings!$E$5:$E$404,MATCH(B190,Bookings!$A$5:$A$404,0)),""))</f>
        <v>0</v>
      </c>
      <c r="F190" s="28">
        <f>IF(B190="","",IFERROR(INDEX(Bookings!$H$5:$H$404,MATCH(B190,Bookings!$A$5:$A$404,0)),""))</f>
        <v>0</v>
      </c>
      <c r="H190" s="53">
        <f>IF(B190="","",IFERROR(INDEX(Bookings!$K$5:$K$404,MATCH(B190,Bookings!$A$5:$A$404,0)),""))</f>
        <v>0</v>
      </c>
      <c r="K190" s="31">
        <f>IF(OR(I190="",J190=""),"",ROUND((J190-I190+IF(J190&lt;I190,1,0))*1440,0))</f>
        <v>0</v>
      </c>
      <c r="L190" s="49">
        <f>IF(OR(I190="",H190=""),"",IF(I190&lt;=H190+TIME(0,10,0),"On time","Late "&amp;TEXT((I190-H190)*1440,"0")&amp;" min"))</f>
        <v>0</v>
      </c>
      <c r="O190" s="31">
        <f>IF(OR(M190="",N190=""),"",ROUND((N190-M190+IF(N190&lt;M190,1,0))*1440,0))</f>
        <v>0</v>
      </c>
      <c r="AG190" s="28">
        <f>IF(C190="","",TEXT(C190,"yyyy-mm"))</f>
        <v>0</v>
      </c>
      <c r="AH190" s="28">
        <f>IF(B190="","",B190&amp;"|"&amp;COUNTIF($B$5:$B190,B190))</f>
        <v>0</v>
      </c>
      <c r="AI190" s="28">
        <f>IF(E190="","",E190&amp;"|"&amp;COUNTIF($E$5:$E190,E190))</f>
        <v>0</v>
      </c>
      <c r="AJ190" s="49">
        <f>IF(C190="","",IF(AE190="Missed","Missed visit - contact client",IF(Z190="Yes","Incident logged - follow up",IF(AND(AE190="Completed",AC190&lt;&gt;"Yes"),"Action - send client update",IF(AND(AE190="Completed",AD190&lt;&gt;"Yes"),"Check care checklist",IF(AND(C190&lt;TODAY(),AE190="Scheduled"),"Overdue - log the result","OK"))))))</f>
        <v>0</v>
      </c>
    </row>
    <row r="191" spans="1:36">
      <c r="A191" s="46">
        <f>IF(C191="","","VS-"&amp;TEXT(ROW()-4,"0000"))</f>
        <v>0</v>
      </c>
      <c r="D191" s="28">
        <f>IF(B191="","",IFERROR(INDEX(Bookings!$C$5:$C$404,MATCH(B191,Bookings!$A$5:$A$404,0)),""))</f>
        <v>0</v>
      </c>
      <c r="E191" s="28">
        <f>IF(B191="","",IFERROR(INDEX(Bookings!$E$5:$E$404,MATCH(B191,Bookings!$A$5:$A$404,0)),""))</f>
        <v>0</v>
      </c>
      <c r="F191" s="28">
        <f>IF(B191="","",IFERROR(INDEX(Bookings!$H$5:$H$404,MATCH(B191,Bookings!$A$5:$A$404,0)),""))</f>
        <v>0</v>
      </c>
      <c r="H191" s="53">
        <f>IF(B191="","",IFERROR(INDEX(Bookings!$K$5:$K$404,MATCH(B191,Bookings!$A$5:$A$404,0)),""))</f>
        <v>0</v>
      </c>
      <c r="K191" s="31">
        <f>IF(OR(I191="",J191=""),"",ROUND((J191-I191+IF(J191&lt;I191,1,0))*1440,0))</f>
        <v>0</v>
      </c>
      <c r="L191" s="49">
        <f>IF(OR(I191="",H191=""),"",IF(I191&lt;=H191+TIME(0,10,0),"On time","Late "&amp;TEXT((I191-H191)*1440,"0")&amp;" min"))</f>
        <v>0</v>
      </c>
      <c r="O191" s="31">
        <f>IF(OR(M191="",N191=""),"",ROUND((N191-M191+IF(N191&lt;M191,1,0))*1440,0))</f>
        <v>0</v>
      </c>
      <c r="AG191" s="28">
        <f>IF(C191="","",TEXT(C191,"yyyy-mm"))</f>
        <v>0</v>
      </c>
      <c r="AH191" s="28">
        <f>IF(B191="","",B191&amp;"|"&amp;COUNTIF($B$5:$B191,B191))</f>
        <v>0</v>
      </c>
      <c r="AI191" s="28">
        <f>IF(E191="","",E191&amp;"|"&amp;COUNTIF($E$5:$E191,E191))</f>
        <v>0</v>
      </c>
      <c r="AJ191" s="49">
        <f>IF(C191="","",IF(AE191="Missed","Missed visit - contact client",IF(Z191="Yes","Incident logged - follow up",IF(AND(AE191="Completed",AC191&lt;&gt;"Yes"),"Action - send client update",IF(AND(AE191="Completed",AD191&lt;&gt;"Yes"),"Check care checklist",IF(AND(C191&lt;TODAY(),AE191="Scheduled"),"Overdue - log the result","OK"))))))</f>
        <v>0</v>
      </c>
    </row>
    <row r="192" spans="1:36">
      <c r="A192" s="46">
        <f>IF(C192="","","VS-"&amp;TEXT(ROW()-4,"0000"))</f>
        <v>0</v>
      </c>
      <c r="D192" s="28">
        <f>IF(B192="","",IFERROR(INDEX(Bookings!$C$5:$C$404,MATCH(B192,Bookings!$A$5:$A$404,0)),""))</f>
        <v>0</v>
      </c>
      <c r="E192" s="28">
        <f>IF(B192="","",IFERROR(INDEX(Bookings!$E$5:$E$404,MATCH(B192,Bookings!$A$5:$A$404,0)),""))</f>
        <v>0</v>
      </c>
      <c r="F192" s="28">
        <f>IF(B192="","",IFERROR(INDEX(Bookings!$H$5:$H$404,MATCH(B192,Bookings!$A$5:$A$404,0)),""))</f>
        <v>0</v>
      </c>
      <c r="H192" s="53">
        <f>IF(B192="","",IFERROR(INDEX(Bookings!$K$5:$K$404,MATCH(B192,Bookings!$A$5:$A$404,0)),""))</f>
        <v>0</v>
      </c>
      <c r="K192" s="31">
        <f>IF(OR(I192="",J192=""),"",ROUND((J192-I192+IF(J192&lt;I192,1,0))*1440,0))</f>
        <v>0</v>
      </c>
      <c r="L192" s="49">
        <f>IF(OR(I192="",H192=""),"",IF(I192&lt;=H192+TIME(0,10,0),"On time","Late "&amp;TEXT((I192-H192)*1440,"0")&amp;" min"))</f>
        <v>0</v>
      </c>
      <c r="O192" s="31">
        <f>IF(OR(M192="",N192=""),"",ROUND((N192-M192+IF(N192&lt;M192,1,0))*1440,0))</f>
        <v>0</v>
      </c>
      <c r="AG192" s="28">
        <f>IF(C192="","",TEXT(C192,"yyyy-mm"))</f>
        <v>0</v>
      </c>
      <c r="AH192" s="28">
        <f>IF(B192="","",B192&amp;"|"&amp;COUNTIF($B$5:$B192,B192))</f>
        <v>0</v>
      </c>
      <c r="AI192" s="28">
        <f>IF(E192="","",E192&amp;"|"&amp;COUNTIF($E$5:$E192,E192))</f>
        <v>0</v>
      </c>
      <c r="AJ192" s="49">
        <f>IF(C192="","",IF(AE192="Missed","Missed visit - contact client",IF(Z192="Yes","Incident logged - follow up",IF(AND(AE192="Completed",AC192&lt;&gt;"Yes"),"Action - send client update",IF(AND(AE192="Completed",AD192&lt;&gt;"Yes"),"Check care checklist",IF(AND(C192&lt;TODAY(),AE192="Scheduled"),"Overdue - log the result","OK"))))))</f>
        <v>0</v>
      </c>
    </row>
    <row r="193" spans="1:36">
      <c r="A193" s="46">
        <f>IF(C193="","","VS-"&amp;TEXT(ROW()-4,"0000"))</f>
        <v>0</v>
      </c>
      <c r="D193" s="28">
        <f>IF(B193="","",IFERROR(INDEX(Bookings!$C$5:$C$404,MATCH(B193,Bookings!$A$5:$A$404,0)),""))</f>
        <v>0</v>
      </c>
      <c r="E193" s="28">
        <f>IF(B193="","",IFERROR(INDEX(Bookings!$E$5:$E$404,MATCH(B193,Bookings!$A$5:$A$404,0)),""))</f>
        <v>0</v>
      </c>
      <c r="F193" s="28">
        <f>IF(B193="","",IFERROR(INDEX(Bookings!$H$5:$H$404,MATCH(B193,Bookings!$A$5:$A$404,0)),""))</f>
        <v>0</v>
      </c>
      <c r="H193" s="53">
        <f>IF(B193="","",IFERROR(INDEX(Bookings!$K$5:$K$404,MATCH(B193,Bookings!$A$5:$A$404,0)),""))</f>
        <v>0</v>
      </c>
      <c r="K193" s="31">
        <f>IF(OR(I193="",J193=""),"",ROUND((J193-I193+IF(J193&lt;I193,1,0))*1440,0))</f>
        <v>0</v>
      </c>
      <c r="L193" s="49">
        <f>IF(OR(I193="",H193=""),"",IF(I193&lt;=H193+TIME(0,10,0),"On time","Late "&amp;TEXT((I193-H193)*1440,"0")&amp;" min"))</f>
        <v>0</v>
      </c>
      <c r="O193" s="31">
        <f>IF(OR(M193="",N193=""),"",ROUND((N193-M193+IF(N193&lt;M193,1,0))*1440,0))</f>
        <v>0</v>
      </c>
      <c r="AG193" s="28">
        <f>IF(C193="","",TEXT(C193,"yyyy-mm"))</f>
        <v>0</v>
      </c>
      <c r="AH193" s="28">
        <f>IF(B193="","",B193&amp;"|"&amp;COUNTIF($B$5:$B193,B193))</f>
        <v>0</v>
      </c>
      <c r="AI193" s="28">
        <f>IF(E193="","",E193&amp;"|"&amp;COUNTIF($E$5:$E193,E193))</f>
        <v>0</v>
      </c>
      <c r="AJ193" s="49">
        <f>IF(C193="","",IF(AE193="Missed","Missed visit - contact client",IF(Z193="Yes","Incident logged - follow up",IF(AND(AE193="Completed",AC193&lt;&gt;"Yes"),"Action - send client update",IF(AND(AE193="Completed",AD193&lt;&gt;"Yes"),"Check care checklist",IF(AND(C193&lt;TODAY(),AE193="Scheduled"),"Overdue - log the result","OK"))))))</f>
        <v>0</v>
      </c>
    </row>
    <row r="194" spans="1:36">
      <c r="A194" s="46">
        <f>IF(C194="","","VS-"&amp;TEXT(ROW()-4,"0000"))</f>
        <v>0</v>
      </c>
      <c r="D194" s="28">
        <f>IF(B194="","",IFERROR(INDEX(Bookings!$C$5:$C$404,MATCH(B194,Bookings!$A$5:$A$404,0)),""))</f>
        <v>0</v>
      </c>
      <c r="E194" s="28">
        <f>IF(B194="","",IFERROR(INDEX(Bookings!$E$5:$E$404,MATCH(B194,Bookings!$A$5:$A$404,0)),""))</f>
        <v>0</v>
      </c>
      <c r="F194" s="28">
        <f>IF(B194="","",IFERROR(INDEX(Bookings!$H$5:$H$404,MATCH(B194,Bookings!$A$5:$A$404,0)),""))</f>
        <v>0</v>
      </c>
      <c r="H194" s="53">
        <f>IF(B194="","",IFERROR(INDEX(Bookings!$K$5:$K$404,MATCH(B194,Bookings!$A$5:$A$404,0)),""))</f>
        <v>0</v>
      </c>
      <c r="K194" s="31">
        <f>IF(OR(I194="",J194=""),"",ROUND((J194-I194+IF(J194&lt;I194,1,0))*1440,0))</f>
        <v>0</v>
      </c>
      <c r="L194" s="49">
        <f>IF(OR(I194="",H194=""),"",IF(I194&lt;=H194+TIME(0,10,0),"On time","Late "&amp;TEXT((I194-H194)*1440,"0")&amp;" min"))</f>
        <v>0</v>
      </c>
      <c r="O194" s="31">
        <f>IF(OR(M194="",N194=""),"",ROUND((N194-M194+IF(N194&lt;M194,1,0))*1440,0))</f>
        <v>0</v>
      </c>
      <c r="AG194" s="28">
        <f>IF(C194="","",TEXT(C194,"yyyy-mm"))</f>
        <v>0</v>
      </c>
      <c r="AH194" s="28">
        <f>IF(B194="","",B194&amp;"|"&amp;COUNTIF($B$5:$B194,B194))</f>
        <v>0</v>
      </c>
      <c r="AI194" s="28">
        <f>IF(E194="","",E194&amp;"|"&amp;COUNTIF($E$5:$E194,E194))</f>
        <v>0</v>
      </c>
      <c r="AJ194" s="49">
        <f>IF(C194="","",IF(AE194="Missed","Missed visit - contact client",IF(Z194="Yes","Incident logged - follow up",IF(AND(AE194="Completed",AC194&lt;&gt;"Yes"),"Action - send client update",IF(AND(AE194="Completed",AD194&lt;&gt;"Yes"),"Check care checklist",IF(AND(C194&lt;TODAY(),AE194="Scheduled"),"Overdue - log the result","OK"))))))</f>
        <v>0</v>
      </c>
    </row>
    <row r="195" spans="1:36">
      <c r="A195" s="46">
        <f>IF(C195="","","VS-"&amp;TEXT(ROW()-4,"0000"))</f>
        <v>0</v>
      </c>
      <c r="D195" s="28">
        <f>IF(B195="","",IFERROR(INDEX(Bookings!$C$5:$C$404,MATCH(B195,Bookings!$A$5:$A$404,0)),""))</f>
        <v>0</v>
      </c>
      <c r="E195" s="28">
        <f>IF(B195="","",IFERROR(INDEX(Bookings!$E$5:$E$404,MATCH(B195,Bookings!$A$5:$A$404,0)),""))</f>
        <v>0</v>
      </c>
      <c r="F195" s="28">
        <f>IF(B195="","",IFERROR(INDEX(Bookings!$H$5:$H$404,MATCH(B195,Bookings!$A$5:$A$404,0)),""))</f>
        <v>0</v>
      </c>
      <c r="H195" s="53">
        <f>IF(B195="","",IFERROR(INDEX(Bookings!$K$5:$K$404,MATCH(B195,Bookings!$A$5:$A$404,0)),""))</f>
        <v>0</v>
      </c>
      <c r="K195" s="31">
        <f>IF(OR(I195="",J195=""),"",ROUND((J195-I195+IF(J195&lt;I195,1,0))*1440,0))</f>
        <v>0</v>
      </c>
      <c r="L195" s="49">
        <f>IF(OR(I195="",H195=""),"",IF(I195&lt;=H195+TIME(0,10,0),"On time","Late "&amp;TEXT((I195-H195)*1440,"0")&amp;" min"))</f>
        <v>0</v>
      </c>
      <c r="O195" s="31">
        <f>IF(OR(M195="",N195=""),"",ROUND((N195-M195+IF(N195&lt;M195,1,0))*1440,0))</f>
        <v>0</v>
      </c>
      <c r="AG195" s="28">
        <f>IF(C195="","",TEXT(C195,"yyyy-mm"))</f>
        <v>0</v>
      </c>
      <c r="AH195" s="28">
        <f>IF(B195="","",B195&amp;"|"&amp;COUNTIF($B$5:$B195,B195))</f>
        <v>0</v>
      </c>
      <c r="AI195" s="28">
        <f>IF(E195="","",E195&amp;"|"&amp;COUNTIF($E$5:$E195,E195))</f>
        <v>0</v>
      </c>
      <c r="AJ195" s="49">
        <f>IF(C195="","",IF(AE195="Missed","Missed visit - contact client",IF(Z195="Yes","Incident logged - follow up",IF(AND(AE195="Completed",AC195&lt;&gt;"Yes"),"Action - send client update",IF(AND(AE195="Completed",AD195&lt;&gt;"Yes"),"Check care checklist",IF(AND(C195&lt;TODAY(),AE195="Scheduled"),"Overdue - log the result","OK"))))))</f>
        <v>0</v>
      </c>
    </row>
    <row r="196" spans="1:36">
      <c r="A196" s="46">
        <f>IF(C196="","","VS-"&amp;TEXT(ROW()-4,"0000"))</f>
        <v>0</v>
      </c>
      <c r="D196" s="28">
        <f>IF(B196="","",IFERROR(INDEX(Bookings!$C$5:$C$404,MATCH(B196,Bookings!$A$5:$A$404,0)),""))</f>
        <v>0</v>
      </c>
      <c r="E196" s="28">
        <f>IF(B196="","",IFERROR(INDEX(Bookings!$E$5:$E$404,MATCH(B196,Bookings!$A$5:$A$404,0)),""))</f>
        <v>0</v>
      </c>
      <c r="F196" s="28">
        <f>IF(B196="","",IFERROR(INDEX(Bookings!$H$5:$H$404,MATCH(B196,Bookings!$A$5:$A$404,0)),""))</f>
        <v>0</v>
      </c>
      <c r="H196" s="53">
        <f>IF(B196="","",IFERROR(INDEX(Bookings!$K$5:$K$404,MATCH(B196,Bookings!$A$5:$A$404,0)),""))</f>
        <v>0</v>
      </c>
      <c r="K196" s="31">
        <f>IF(OR(I196="",J196=""),"",ROUND((J196-I196+IF(J196&lt;I196,1,0))*1440,0))</f>
        <v>0</v>
      </c>
      <c r="L196" s="49">
        <f>IF(OR(I196="",H196=""),"",IF(I196&lt;=H196+TIME(0,10,0),"On time","Late "&amp;TEXT((I196-H196)*1440,"0")&amp;" min"))</f>
        <v>0</v>
      </c>
      <c r="O196" s="31">
        <f>IF(OR(M196="",N196=""),"",ROUND((N196-M196+IF(N196&lt;M196,1,0))*1440,0))</f>
        <v>0</v>
      </c>
      <c r="AG196" s="28">
        <f>IF(C196="","",TEXT(C196,"yyyy-mm"))</f>
        <v>0</v>
      </c>
      <c r="AH196" s="28">
        <f>IF(B196="","",B196&amp;"|"&amp;COUNTIF($B$5:$B196,B196))</f>
        <v>0</v>
      </c>
      <c r="AI196" s="28">
        <f>IF(E196="","",E196&amp;"|"&amp;COUNTIF($E$5:$E196,E196))</f>
        <v>0</v>
      </c>
      <c r="AJ196" s="49">
        <f>IF(C196="","",IF(AE196="Missed","Missed visit - contact client",IF(Z196="Yes","Incident logged - follow up",IF(AND(AE196="Completed",AC196&lt;&gt;"Yes"),"Action - send client update",IF(AND(AE196="Completed",AD196&lt;&gt;"Yes"),"Check care checklist",IF(AND(C196&lt;TODAY(),AE196="Scheduled"),"Overdue - log the result","OK"))))))</f>
        <v>0</v>
      </c>
    </row>
    <row r="197" spans="1:36">
      <c r="A197" s="46">
        <f>IF(C197="","","VS-"&amp;TEXT(ROW()-4,"0000"))</f>
        <v>0</v>
      </c>
      <c r="D197" s="28">
        <f>IF(B197="","",IFERROR(INDEX(Bookings!$C$5:$C$404,MATCH(B197,Bookings!$A$5:$A$404,0)),""))</f>
        <v>0</v>
      </c>
      <c r="E197" s="28">
        <f>IF(B197="","",IFERROR(INDEX(Bookings!$E$5:$E$404,MATCH(B197,Bookings!$A$5:$A$404,0)),""))</f>
        <v>0</v>
      </c>
      <c r="F197" s="28">
        <f>IF(B197="","",IFERROR(INDEX(Bookings!$H$5:$H$404,MATCH(B197,Bookings!$A$5:$A$404,0)),""))</f>
        <v>0</v>
      </c>
      <c r="H197" s="53">
        <f>IF(B197="","",IFERROR(INDEX(Bookings!$K$5:$K$404,MATCH(B197,Bookings!$A$5:$A$404,0)),""))</f>
        <v>0</v>
      </c>
      <c r="K197" s="31">
        <f>IF(OR(I197="",J197=""),"",ROUND((J197-I197+IF(J197&lt;I197,1,0))*1440,0))</f>
        <v>0</v>
      </c>
      <c r="L197" s="49">
        <f>IF(OR(I197="",H197=""),"",IF(I197&lt;=H197+TIME(0,10,0),"On time","Late "&amp;TEXT((I197-H197)*1440,"0")&amp;" min"))</f>
        <v>0</v>
      </c>
      <c r="O197" s="31">
        <f>IF(OR(M197="",N197=""),"",ROUND((N197-M197+IF(N197&lt;M197,1,0))*1440,0))</f>
        <v>0</v>
      </c>
      <c r="AG197" s="28">
        <f>IF(C197="","",TEXT(C197,"yyyy-mm"))</f>
        <v>0</v>
      </c>
      <c r="AH197" s="28">
        <f>IF(B197="","",B197&amp;"|"&amp;COUNTIF($B$5:$B197,B197))</f>
        <v>0</v>
      </c>
      <c r="AI197" s="28">
        <f>IF(E197="","",E197&amp;"|"&amp;COUNTIF($E$5:$E197,E197))</f>
        <v>0</v>
      </c>
      <c r="AJ197" s="49">
        <f>IF(C197="","",IF(AE197="Missed","Missed visit - contact client",IF(Z197="Yes","Incident logged - follow up",IF(AND(AE197="Completed",AC197&lt;&gt;"Yes"),"Action - send client update",IF(AND(AE197="Completed",AD197&lt;&gt;"Yes"),"Check care checklist",IF(AND(C197&lt;TODAY(),AE197="Scheduled"),"Overdue - log the result","OK"))))))</f>
        <v>0</v>
      </c>
    </row>
    <row r="198" spans="1:36">
      <c r="A198" s="46">
        <f>IF(C198="","","VS-"&amp;TEXT(ROW()-4,"0000"))</f>
        <v>0</v>
      </c>
      <c r="D198" s="28">
        <f>IF(B198="","",IFERROR(INDEX(Bookings!$C$5:$C$404,MATCH(B198,Bookings!$A$5:$A$404,0)),""))</f>
        <v>0</v>
      </c>
      <c r="E198" s="28">
        <f>IF(B198="","",IFERROR(INDEX(Bookings!$E$5:$E$404,MATCH(B198,Bookings!$A$5:$A$404,0)),""))</f>
        <v>0</v>
      </c>
      <c r="F198" s="28">
        <f>IF(B198="","",IFERROR(INDEX(Bookings!$H$5:$H$404,MATCH(B198,Bookings!$A$5:$A$404,0)),""))</f>
        <v>0</v>
      </c>
      <c r="H198" s="53">
        <f>IF(B198="","",IFERROR(INDEX(Bookings!$K$5:$K$404,MATCH(B198,Bookings!$A$5:$A$404,0)),""))</f>
        <v>0</v>
      </c>
      <c r="K198" s="31">
        <f>IF(OR(I198="",J198=""),"",ROUND((J198-I198+IF(J198&lt;I198,1,0))*1440,0))</f>
        <v>0</v>
      </c>
      <c r="L198" s="49">
        <f>IF(OR(I198="",H198=""),"",IF(I198&lt;=H198+TIME(0,10,0),"On time","Late "&amp;TEXT((I198-H198)*1440,"0")&amp;" min"))</f>
        <v>0</v>
      </c>
      <c r="O198" s="31">
        <f>IF(OR(M198="",N198=""),"",ROUND((N198-M198+IF(N198&lt;M198,1,0))*1440,0))</f>
        <v>0</v>
      </c>
      <c r="AG198" s="28">
        <f>IF(C198="","",TEXT(C198,"yyyy-mm"))</f>
        <v>0</v>
      </c>
      <c r="AH198" s="28">
        <f>IF(B198="","",B198&amp;"|"&amp;COUNTIF($B$5:$B198,B198))</f>
        <v>0</v>
      </c>
      <c r="AI198" s="28">
        <f>IF(E198="","",E198&amp;"|"&amp;COUNTIF($E$5:$E198,E198))</f>
        <v>0</v>
      </c>
      <c r="AJ198" s="49">
        <f>IF(C198="","",IF(AE198="Missed","Missed visit - contact client",IF(Z198="Yes","Incident logged - follow up",IF(AND(AE198="Completed",AC198&lt;&gt;"Yes"),"Action - send client update",IF(AND(AE198="Completed",AD198&lt;&gt;"Yes"),"Check care checklist",IF(AND(C198&lt;TODAY(),AE198="Scheduled"),"Overdue - log the result","OK"))))))</f>
        <v>0</v>
      </c>
    </row>
    <row r="199" spans="1:36">
      <c r="A199" s="46">
        <f>IF(C199="","","VS-"&amp;TEXT(ROW()-4,"0000"))</f>
        <v>0</v>
      </c>
      <c r="D199" s="28">
        <f>IF(B199="","",IFERROR(INDEX(Bookings!$C$5:$C$404,MATCH(B199,Bookings!$A$5:$A$404,0)),""))</f>
        <v>0</v>
      </c>
      <c r="E199" s="28">
        <f>IF(B199="","",IFERROR(INDEX(Bookings!$E$5:$E$404,MATCH(B199,Bookings!$A$5:$A$404,0)),""))</f>
        <v>0</v>
      </c>
      <c r="F199" s="28">
        <f>IF(B199="","",IFERROR(INDEX(Bookings!$H$5:$H$404,MATCH(B199,Bookings!$A$5:$A$404,0)),""))</f>
        <v>0</v>
      </c>
      <c r="H199" s="53">
        <f>IF(B199="","",IFERROR(INDEX(Bookings!$K$5:$K$404,MATCH(B199,Bookings!$A$5:$A$404,0)),""))</f>
        <v>0</v>
      </c>
      <c r="K199" s="31">
        <f>IF(OR(I199="",J199=""),"",ROUND((J199-I199+IF(J199&lt;I199,1,0))*1440,0))</f>
        <v>0</v>
      </c>
      <c r="L199" s="49">
        <f>IF(OR(I199="",H199=""),"",IF(I199&lt;=H199+TIME(0,10,0),"On time","Late "&amp;TEXT((I199-H199)*1440,"0")&amp;" min"))</f>
        <v>0</v>
      </c>
      <c r="O199" s="31">
        <f>IF(OR(M199="",N199=""),"",ROUND((N199-M199+IF(N199&lt;M199,1,0))*1440,0))</f>
        <v>0</v>
      </c>
      <c r="AG199" s="28">
        <f>IF(C199="","",TEXT(C199,"yyyy-mm"))</f>
        <v>0</v>
      </c>
      <c r="AH199" s="28">
        <f>IF(B199="","",B199&amp;"|"&amp;COUNTIF($B$5:$B199,B199))</f>
        <v>0</v>
      </c>
      <c r="AI199" s="28">
        <f>IF(E199="","",E199&amp;"|"&amp;COUNTIF($E$5:$E199,E199))</f>
        <v>0</v>
      </c>
      <c r="AJ199" s="49">
        <f>IF(C199="","",IF(AE199="Missed","Missed visit - contact client",IF(Z199="Yes","Incident logged - follow up",IF(AND(AE199="Completed",AC199&lt;&gt;"Yes"),"Action - send client update",IF(AND(AE199="Completed",AD199&lt;&gt;"Yes"),"Check care checklist",IF(AND(C199&lt;TODAY(),AE199="Scheduled"),"Overdue - log the result","OK"))))))</f>
        <v>0</v>
      </c>
    </row>
    <row r="200" spans="1:36">
      <c r="A200" s="46">
        <f>IF(C200="","","VS-"&amp;TEXT(ROW()-4,"0000"))</f>
        <v>0</v>
      </c>
      <c r="D200" s="28">
        <f>IF(B200="","",IFERROR(INDEX(Bookings!$C$5:$C$404,MATCH(B200,Bookings!$A$5:$A$404,0)),""))</f>
        <v>0</v>
      </c>
      <c r="E200" s="28">
        <f>IF(B200="","",IFERROR(INDEX(Bookings!$E$5:$E$404,MATCH(B200,Bookings!$A$5:$A$404,0)),""))</f>
        <v>0</v>
      </c>
      <c r="F200" s="28">
        <f>IF(B200="","",IFERROR(INDEX(Bookings!$H$5:$H$404,MATCH(B200,Bookings!$A$5:$A$404,0)),""))</f>
        <v>0</v>
      </c>
      <c r="H200" s="53">
        <f>IF(B200="","",IFERROR(INDEX(Bookings!$K$5:$K$404,MATCH(B200,Bookings!$A$5:$A$404,0)),""))</f>
        <v>0</v>
      </c>
      <c r="K200" s="31">
        <f>IF(OR(I200="",J200=""),"",ROUND((J200-I200+IF(J200&lt;I200,1,0))*1440,0))</f>
        <v>0</v>
      </c>
      <c r="L200" s="49">
        <f>IF(OR(I200="",H200=""),"",IF(I200&lt;=H200+TIME(0,10,0),"On time","Late "&amp;TEXT((I200-H200)*1440,"0")&amp;" min"))</f>
        <v>0</v>
      </c>
      <c r="O200" s="31">
        <f>IF(OR(M200="",N200=""),"",ROUND((N200-M200+IF(N200&lt;M200,1,0))*1440,0))</f>
        <v>0</v>
      </c>
      <c r="AG200" s="28">
        <f>IF(C200="","",TEXT(C200,"yyyy-mm"))</f>
        <v>0</v>
      </c>
      <c r="AH200" s="28">
        <f>IF(B200="","",B200&amp;"|"&amp;COUNTIF($B$5:$B200,B200))</f>
        <v>0</v>
      </c>
      <c r="AI200" s="28">
        <f>IF(E200="","",E200&amp;"|"&amp;COUNTIF($E$5:$E200,E200))</f>
        <v>0</v>
      </c>
      <c r="AJ200" s="49">
        <f>IF(C200="","",IF(AE200="Missed","Missed visit - contact client",IF(Z200="Yes","Incident logged - follow up",IF(AND(AE200="Completed",AC200&lt;&gt;"Yes"),"Action - send client update",IF(AND(AE200="Completed",AD200&lt;&gt;"Yes"),"Check care checklist",IF(AND(C200&lt;TODAY(),AE200="Scheduled"),"Overdue - log the result","OK"))))))</f>
        <v>0</v>
      </c>
    </row>
    <row r="201" spans="1:36">
      <c r="A201" s="46">
        <f>IF(C201="","","VS-"&amp;TEXT(ROW()-4,"0000"))</f>
        <v>0</v>
      </c>
      <c r="D201" s="28">
        <f>IF(B201="","",IFERROR(INDEX(Bookings!$C$5:$C$404,MATCH(B201,Bookings!$A$5:$A$404,0)),""))</f>
        <v>0</v>
      </c>
      <c r="E201" s="28">
        <f>IF(B201="","",IFERROR(INDEX(Bookings!$E$5:$E$404,MATCH(B201,Bookings!$A$5:$A$404,0)),""))</f>
        <v>0</v>
      </c>
      <c r="F201" s="28">
        <f>IF(B201="","",IFERROR(INDEX(Bookings!$H$5:$H$404,MATCH(B201,Bookings!$A$5:$A$404,0)),""))</f>
        <v>0</v>
      </c>
      <c r="H201" s="53">
        <f>IF(B201="","",IFERROR(INDEX(Bookings!$K$5:$K$404,MATCH(B201,Bookings!$A$5:$A$404,0)),""))</f>
        <v>0</v>
      </c>
      <c r="K201" s="31">
        <f>IF(OR(I201="",J201=""),"",ROUND((J201-I201+IF(J201&lt;I201,1,0))*1440,0))</f>
        <v>0</v>
      </c>
      <c r="L201" s="49">
        <f>IF(OR(I201="",H201=""),"",IF(I201&lt;=H201+TIME(0,10,0),"On time","Late "&amp;TEXT((I201-H201)*1440,"0")&amp;" min"))</f>
        <v>0</v>
      </c>
      <c r="O201" s="31">
        <f>IF(OR(M201="",N201=""),"",ROUND((N201-M201+IF(N201&lt;M201,1,0))*1440,0))</f>
        <v>0</v>
      </c>
      <c r="AG201" s="28">
        <f>IF(C201="","",TEXT(C201,"yyyy-mm"))</f>
        <v>0</v>
      </c>
      <c r="AH201" s="28">
        <f>IF(B201="","",B201&amp;"|"&amp;COUNTIF($B$5:$B201,B201))</f>
        <v>0</v>
      </c>
      <c r="AI201" s="28">
        <f>IF(E201="","",E201&amp;"|"&amp;COUNTIF($E$5:$E201,E201))</f>
        <v>0</v>
      </c>
      <c r="AJ201" s="49">
        <f>IF(C201="","",IF(AE201="Missed","Missed visit - contact client",IF(Z201="Yes","Incident logged - follow up",IF(AND(AE201="Completed",AC201&lt;&gt;"Yes"),"Action - send client update",IF(AND(AE201="Completed",AD201&lt;&gt;"Yes"),"Check care checklist",IF(AND(C201&lt;TODAY(),AE201="Scheduled"),"Overdue - log the result","OK"))))))</f>
        <v>0</v>
      </c>
    </row>
    <row r="202" spans="1:36">
      <c r="A202" s="46">
        <f>IF(C202="","","VS-"&amp;TEXT(ROW()-4,"0000"))</f>
        <v>0</v>
      </c>
      <c r="D202" s="28">
        <f>IF(B202="","",IFERROR(INDEX(Bookings!$C$5:$C$404,MATCH(B202,Bookings!$A$5:$A$404,0)),""))</f>
        <v>0</v>
      </c>
      <c r="E202" s="28">
        <f>IF(B202="","",IFERROR(INDEX(Bookings!$E$5:$E$404,MATCH(B202,Bookings!$A$5:$A$404,0)),""))</f>
        <v>0</v>
      </c>
      <c r="F202" s="28">
        <f>IF(B202="","",IFERROR(INDEX(Bookings!$H$5:$H$404,MATCH(B202,Bookings!$A$5:$A$404,0)),""))</f>
        <v>0</v>
      </c>
      <c r="H202" s="53">
        <f>IF(B202="","",IFERROR(INDEX(Bookings!$K$5:$K$404,MATCH(B202,Bookings!$A$5:$A$404,0)),""))</f>
        <v>0</v>
      </c>
      <c r="K202" s="31">
        <f>IF(OR(I202="",J202=""),"",ROUND((J202-I202+IF(J202&lt;I202,1,0))*1440,0))</f>
        <v>0</v>
      </c>
      <c r="L202" s="49">
        <f>IF(OR(I202="",H202=""),"",IF(I202&lt;=H202+TIME(0,10,0),"On time","Late "&amp;TEXT((I202-H202)*1440,"0")&amp;" min"))</f>
        <v>0</v>
      </c>
      <c r="O202" s="31">
        <f>IF(OR(M202="",N202=""),"",ROUND((N202-M202+IF(N202&lt;M202,1,0))*1440,0))</f>
        <v>0</v>
      </c>
      <c r="AG202" s="28">
        <f>IF(C202="","",TEXT(C202,"yyyy-mm"))</f>
        <v>0</v>
      </c>
      <c r="AH202" s="28">
        <f>IF(B202="","",B202&amp;"|"&amp;COUNTIF($B$5:$B202,B202))</f>
        <v>0</v>
      </c>
      <c r="AI202" s="28">
        <f>IF(E202="","",E202&amp;"|"&amp;COUNTIF($E$5:$E202,E202))</f>
        <v>0</v>
      </c>
      <c r="AJ202" s="49">
        <f>IF(C202="","",IF(AE202="Missed","Missed visit - contact client",IF(Z202="Yes","Incident logged - follow up",IF(AND(AE202="Completed",AC202&lt;&gt;"Yes"),"Action - send client update",IF(AND(AE202="Completed",AD202&lt;&gt;"Yes"),"Check care checklist",IF(AND(C202&lt;TODAY(),AE202="Scheduled"),"Overdue - log the result","OK"))))))</f>
        <v>0</v>
      </c>
    </row>
    <row r="203" spans="1:36">
      <c r="A203" s="46">
        <f>IF(C203="","","VS-"&amp;TEXT(ROW()-4,"0000"))</f>
        <v>0</v>
      </c>
      <c r="D203" s="28">
        <f>IF(B203="","",IFERROR(INDEX(Bookings!$C$5:$C$404,MATCH(B203,Bookings!$A$5:$A$404,0)),""))</f>
        <v>0</v>
      </c>
      <c r="E203" s="28">
        <f>IF(B203="","",IFERROR(INDEX(Bookings!$E$5:$E$404,MATCH(B203,Bookings!$A$5:$A$404,0)),""))</f>
        <v>0</v>
      </c>
      <c r="F203" s="28">
        <f>IF(B203="","",IFERROR(INDEX(Bookings!$H$5:$H$404,MATCH(B203,Bookings!$A$5:$A$404,0)),""))</f>
        <v>0</v>
      </c>
      <c r="H203" s="53">
        <f>IF(B203="","",IFERROR(INDEX(Bookings!$K$5:$K$404,MATCH(B203,Bookings!$A$5:$A$404,0)),""))</f>
        <v>0</v>
      </c>
      <c r="K203" s="31">
        <f>IF(OR(I203="",J203=""),"",ROUND((J203-I203+IF(J203&lt;I203,1,0))*1440,0))</f>
        <v>0</v>
      </c>
      <c r="L203" s="49">
        <f>IF(OR(I203="",H203=""),"",IF(I203&lt;=H203+TIME(0,10,0),"On time","Late "&amp;TEXT((I203-H203)*1440,"0")&amp;" min"))</f>
        <v>0</v>
      </c>
      <c r="O203" s="31">
        <f>IF(OR(M203="",N203=""),"",ROUND((N203-M203+IF(N203&lt;M203,1,0))*1440,0))</f>
        <v>0</v>
      </c>
      <c r="AG203" s="28">
        <f>IF(C203="","",TEXT(C203,"yyyy-mm"))</f>
        <v>0</v>
      </c>
      <c r="AH203" s="28">
        <f>IF(B203="","",B203&amp;"|"&amp;COUNTIF($B$5:$B203,B203))</f>
        <v>0</v>
      </c>
      <c r="AI203" s="28">
        <f>IF(E203="","",E203&amp;"|"&amp;COUNTIF($E$5:$E203,E203))</f>
        <v>0</v>
      </c>
      <c r="AJ203" s="49">
        <f>IF(C203="","",IF(AE203="Missed","Missed visit - contact client",IF(Z203="Yes","Incident logged - follow up",IF(AND(AE203="Completed",AC203&lt;&gt;"Yes"),"Action - send client update",IF(AND(AE203="Completed",AD203&lt;&gt;"Yes"),"Check care checklist",IF(AND(C203&lt;TODAY(),AE203="Scheduled"),"Overdue - log the result","OK"))))))</f>
        <v>0</v>
      </c>
    </row>
    <row r="204" spans="1:36">
      <c r="A204" s="46">
        <f>IF(C204="","","VS-"&amp;TEXT(ROW()-4,"0000"))</f>
        <v>0</v>
      </c>
      <c r="D204" s="28">
        <f>IF(B204="","",IFERROR(INDEX(Bookings!$C$5:$C$404,MATCH(B204,Bookings!$A$5:$A$404,0)),""))</f>
        <v>0</v>
      </c>
      <c r="E204" s="28">
        <f>IF(B204="","",IFERROR(INDEX(Bookings!$E$5:$E$404,MATCH(B204,Bookings!$A$5:$A$404,0)),""))</f>
        <v>0</v>
      </c>
      <c r="F204" s="28">
        <f>IF(B204="","",IFERROR(INDEX(Bookings!$H$5:$H$404,MATCH(B204,Bookings!$A$5:$A$404,0)),""))</f>
        <v>0</v>
      </c>
      <c r="H204" s="53">
        <f>IF(B204="","",IFERROR(INDEX(Bookings!$K$5:$K$404,MATCH(B204,Bookings!$A$5:$A$404,0)),""))</f>
        <v>0</v>
      </c>
      <c r="K204" s="31">
        <f>IF(OR(I204="",J204=""),"",ROUND((J204-I204+IF(J204&lt;I204,1,0))*1440,0))</f>
        <v>0</v>
      </c>
      <c r="L204" s="49">
        <f>IF(OR(I204="",H204=""),"",IF(I204&lt;=H204+TIME(0,10,0),"On time","Late "&amp;TEXT((I204-H204)*1440,"0")&amp;" min"))</f>
        <v>0</v>
      </c>
      <c r="O204" s="31">
        <f>IF(OR(M204="",N204=""),"",ROUND((N204-M204+IF(N204&lt;M204,1,0))*1440,0))</f>
        <v>0</v>
      </c>
      <c r="AG204" s="28">
        <f>IF(C204="","",TEXT(C204,"yyyy-mm"))</f>
        <v>0</v>
      </c>
      <c r="AH204" s="28">
        <f>IF(B204="","",B204&amp;"|"&amp;COUNTIF($B$5:$B204,B204))</f>
        <v>0</v>
      </c>
      <c r="AI204" s="28">
        <f>IF(E204="","",E204&amp;"|"&amp;COUNTIF($E$5:$E204,E204))</f>
        <v>0</v>
      </c>
      <c r="AJ204" s="49">
        <f>IF(C204="","",IF(AE204="Missed","Missed visit - contact client",IF(Z204="Yes","Incident logged - follow up",IF(AND(AE204="Completed",AC204&lt;&gt;"Yes"),"Action - send client update",IF(AND(AE204="Completed",AD204&lt;&gt;"Yes"),"Check care checklist",IF(AND(C204&lt;TODAY(),AE204="Scheduled"),"Overdue - log the result","OK"))))))</f>
        <v>0</v>
      </c>
    </row>
    <row r="205" spans="1:36">
      <c r="A205" s="46">
        <f>IF(C205="","","VS-"&amp;TEXT(ROW()-4,"0000"))</f>
        <v>0</v>
      </c>
      <c r="D205" s="28">
        <f>IF(B205="","",IFERROR(INDEX(Bookings!$C$5:$C$404,MATCH(B205,Bookings!$A$5:$A$404,0)),""))</f>
        <v>0</v>
      </c>
      <c r="E205" s="28">
        <f>IF(B205="","",IFERROR(INDEX(Bookings!$E$5:$E$404,MATCH(B205,Bookings!$A$5:$A$404,0)),""))</f>
        <v>0</v>
      </c>
      <c r="F205" s="28">
        <f>IF(B205="","",IFERROR(INDEX(Bookings!$H$5:$H$404,MATCH(B205,Bookings!$A$5:$A$404,0)),""))</f>
        <v>0</v>
      </c>
      <c r="H205" s="53">
        <f>IF(B205="","",IFERROR(INDEX(Bookings!$K$5:$K$404,MATCH(B205,Bookings!$A$5:$A$404,0)),""))</f>
        <v>0</v>
      </c>
      <c r="K205" s="31">
        <f>IF(OR(I205="",J205=""),"",ROUND((J205-I205+IF(J205&lt;I205,1,0))*1440,0))</f>
        <v>0</v>
      </c>
      <c r="L205" s="49">
        <f>IF(OR(I205="",H205=""),"",IF(I205&lt;=H205+TIME(0,10,0),"On time","Late "&amp;TEXT((I205-H205)*1440,"0")&amp;" min"))</f>
        <v>0</v>
      </c>
      <c r="O205" s="31">
        <f>IF(OR(M205="",N205=""),"",ROUND((N205-M205+IF(N205&lt;M205,1,0))*1440,0))</f>
        <v>0</v>
      </c>
      <c r="AG205" s="28">
        <f>IF(C205="","",TEXT(C205,"yyyy-mm"))</f>
        <v>0</v>
      </c>
      <c r="AH205" s="28">
        <f>IF(B205="","",B205&amp;"|"&amp;COUNTIF($B$5:$B205,B205))</f>
        <v>0</v>
      </c>
      <c r="AI205" s="28">
        <f>IF(E205="","",E205&amp;"|"&amp;COUNTIF($E$5:$E205,E205))</f>
        <v>0</v>
      </c>
      <c r="AJ205" s="49">
        <f>IF(C205="","",IF(AE205="Missed","Missed visit - contact client",IF(Z205="Yes","Incident logged - follow up",IF(AND(AE205="Completed",AC205&lt;&gt;"Yes"),"Action - send client update",IF(AND(AE205="Completed",AD205&lt;&gt;"Yes"),"Check care checklist",IF(AND(C205&lt;TODAY(),AE205="Scheduled"),"Overdue - log the result","OK"))))))</f>
        <v>0</v>
      </c>
    </row>
    <row r="206" spans="1:36">
      <c r="A206" s="46">
        <f>IF(C206="","","VS-"&amp;TEXT(ROW()-4,"0000"))</f>
        <v>0</v>
      </c>
      <c r="D206" s="28">
        <f>IF(B206="","",IFERROR(INDEX(Bookings!$C$5:$C$404,MATCH(B206,Bookings!$A$5:$A$404,0)),""))</f>
        <v>0</v>
      </c>
      <c r="E206" s="28">
        <f>IF(B206="","",IFERROR(INDEX(Bookings!$E$5:$E$404,MATCH(B206,Bookings!$A$5:$A$404,0)),""))</f>
        <v>0</v>
      </c>
      <c r="F206" s="28">
        <f>IF(B206="","",IFERROR(INDEX(Bookings!$H$5:$H$404,MATCH(B206,Bookings!$A$5:$A$404,0)),""))</f>
        <v>0</v>
      </c>
      <c r="H206" s="53">
        <f>IF(B206="","",IFERROR(INDEX(Bookings!$K$5:$K$404,MATCH(B206,Bookings!$A$5:$A$404,0)),""))</f>
        <v>0</v>
      </c>
      <c r="K206" s="31">
        <f>IF(OR(I206="",J206=""),"",ROUND((J206-I206+IF(J206&lt;I206,1,0))*1440,0))</f>
        <v>0</v>
      </c>
      <c r="L206" s="49">
        <f>IF(OR(I206="",H206=""),"",IF(I206&lt;=H206+TIME(0,10,0),"On time","Late "&amp;TEXT((I206-H206)*1440,"0")&amp;" min"))</f>
        <v>0</v>
      </c>
      <c r="O206" s="31">
        <f>IF(OR(M206="",N206=""),"",ROUND((N206-M206+IF(N206&lt;M206,1,0))*1440,0))</f>
        <v>0</v>
      </c>
      <c r="AG206" s="28">
        <f>IF(C206="","",TEXT(C206,"yyyy-mm"))</f>
        <v>0</v>
      </c>
      <c r="AH206" s="28">
        <f>IF(B206="","",B206&amp;"|"&amp;COUNTIF($B$5:$B206,B206))</f>
        <v>0</v>
      </c>
      <c r="AI206" s="28">
        <f>IF(E206="","",E206&amp;"|"&amp;COUNTIF($E$5:$E206,E206))</f>
        <v>0</v>
      </c>
      <c r="AJ206" s="49">
        <f>IF(C206="","",IF(AE206="Missed","Missed visit - contact client",IF(Z206="Yes","Incident logged - follow up",IF(AND(AE206="Completed",AC206&lt;&gt;"Yes"),"Action - send client update",IF(AND(AE206="Completed",AD206&lt;&gt;"Yes"),"Check care checklist",IF(AND(C206&lt;TODAY(),AE206="Scheduled"),"Overdue - log the result","OK"))))))</f>
        <v>0</v>
      </c>
    </row>
    <row r="207" spans="1:36">
      <c r="A207" s="46">
        <f>IF(C207="","","VS-"&amp;TEXT(ROW()-4,"0000"))</f>
        <v>0</v>
      </c>
      <c r="D207" s="28">
        <f>IF(B207="","",IFERROR(INDEX(Bookings!$C$5:$C$404,MATCH(B207,Bookings!$A$5:$A$404,0)),""))</f>
        <v>0</v>
      </c>
      <c r="E207" s="28">
        <f>IF(B207="","",IFERROR(INDEX(Bookings!$E$5:$E$404,MATCH(B207,Bookings!$A$5:$A$404,0)),""))</f>
        <v>0</v>
      </c>
      <c r="F207" s="28">
        <f>IF(B207="","",IFERROR(INDEX(Bookings!$H$5:$H$404,MATCH(B207,Bookings!$A$5:$A$404,0)),""))</f>
        <v>0</v>
      </c>
      <c r="H207" s="53">
        <f>IF(B207="","",IFERROR(INDEX(Bookings!$K$5:$K$404,MATCH(B207,Bookings!$A$5:$A$404,0)),""))</f>
        <v>0</v>
      </c>
      <c r="K207" s="31">
        <f>IF(OR(I207="",J207=""),"",ROUND((J207-I207+IF(J207&lt;I207,1,0))*1440,0))</f>
        <v>0</v>
      </c>
      <c r="L207" s="49">
        <f>IF(OR(I207="",H207=""),"",IF(I207&lt;=H207+TIME(0,10,0),"On time","Late "&amp;TEXT((I207-H207)*1440,"0")&amp;" min"))</f>
        <v>0</v>
      </c>
      <c r="O207" s="31">
        <f>IF(OR(M207="",N207=""),"",ROUND((N207-M207+IF(N207&lt;M207,1,0))*1440,0))</f>
        <v>0</v>
      </c>
      <c r="AG207" s="28">
        <f>IF(C207="","",TEXT(C207,"yyyy-mm"))</f>
        <v>0</v>
      </c>
      <c r="AH207" s="28">
        <f>IF(B207="","",B207&amp;"|"&amp;COUNTIF($B$5:$B207,B207))</f>
        <v>0</v>
      </c>
      <c r="AI207" s="28">
        <f>IF(E207="","",E207&amp;"|"&amp;COUNTIF($E$5:$E207,E207))</f>
        <v>0</v>
      </c>
      <c r="AJ207" s="49">
        <f>IF(C207="","",IF(AE207="Missed","Missed visit - contact client",IF(Z207="Yes","Incident logged - follow up",IF(AND(AE207="Completed",AC207&lt;&gt;"Yes"),"Action - send client update",IF(AND(AE207="Completed",AD207&lt;&gt;"Yes"),"Check care checklist",IF(AND(C207&lt;TODAY(),AE207="Scheduled"),"Overdue - log the result","OK"))))))</f>
        <v>0</v>
      </c>
    </row>
    <row r="208" spans="1:36">
      <c r="A208" s="46">
        <f>IF(C208="","","VS-"&amp;TEXT(ROW()-4,"0000"))</f>
        <v>0</v>
      </c>
      <c r="D208" s="28">
        <f>IF(B208="","",IFERROR(INDEX(Bookings!$C$5:$C$404,MATCH(B208,Bookings!$A$5:$A$404,0)),""))</f>
        <v>0</v>
      </c>
      <c r="E208" s="28">
        <f>IF(B208="","",IFERROR(INDEX(Bookings!$E$5:$E$404,MATCH(B208,Bookings!$A$5:$A$404,0)),""))</f>
        <v>0</v>
      </c>
      <c r="F208" s="28">
        <f>IF(B208="","",IFERROR(INDEX(Bookings!$H$5:$H$404,MATCH(B208,Bookings!$A$5:$A$404,0)),""))</f>
        <v>0</v>
      </c>
      <c r="H208" s="53">
        <f>IF(B208="","",IFERROR(INDEX(Bookings!$K$5:$K$404,MATCH(B208,Bookings!$A$5:$A$404,0)),""))</f>
        <v>0</v>
      </c>
      <c r="K208" s="31">
        <f>IF(OR(I208="",J208=""),"",ROUND((J208-I208+IF(J208&lt;I208,1,0))*1440,0))</f>
        <v>0</v>
      </c>
      <c r="L208" s="49">
        <f>IF(OR(I208="",H208=""),"",IF(I208&lt;=H208+TIME(0,10,0),"On time","Late "&amp;TEXT((I208-H208)*1440,"0")&amp;" min"))</f>
        <v>0</v>
      </c>
      <c r="O208" s="31">
        <f>IF(OR(M208="",N208=""),"",ROUND((N208-M208+IF(N208&lt;M208,1,0))*1440,0))</f>
        <v>0</v>
      </c>
      <c r="AG208" s="28">
        <f>IF(C208="","",TEXT(C208,"yyyy-mm"))</f>
        <v>0</v>
      </c>
      <c r="AH208" s="28">
        <f>IF(B208="","",B208&amp;"|"&amp;COUNTIF($B$5:$B208,B208))</f>
        <v>0</v>
      </c>
      <c r="AI208" s="28">
        <f>IF(E208="","",E208&amp;"|"&amp;COUNTIF($E$5:$E208,E208))</f>
        <v>0</v>
      </c>
      <c r="AJ208" s="49">
        <f>IF(C208="","",IF(AE208="Missed","Missed visit - contact client",IF(Z208="Yes","Incident logged - follow up",IF(AND(AE208="Completed",AC208&lt;&gt;"Yes"),"Action - send client update",IF(AND(AE208="Completed",AD208&lt;&gt;"Yes"),"Check care checklist",IF(AND(C208&lt;TODAY(),AE208="Scheduled"),"Overdue - log the result","OK"))))))</f>
        <v>0</v>
      </c>
    </row>
    <row r="209" spans="1:36">
      <c r="A209" s="46">
        <f>IF(C209="","","VS-"&amp;TEXT(ROW()-4,"0000"))</f>
        <v>0</v>
      </c>
      <c r="D209" s="28">
        <f>IF(B209="","",IFERROR(INDEX(Bookings!$C$5:$C$404,MATCH(B209,Bookings!$A$5:$A$404,0)),""))</f>
        <v>0</v>
      </c>
      <c r="E209" s="28">
        <f>IF(B209="","",IFERROR(INDEX(Bookings!$E$5:$E$404,MATCH(B209,Bookings!$A$5:$A$404,0)),""))</f>
        <v>0</v>
      </c>
      <c r="F209" s="28">
        <f>IF(B209="","",IFERROR(INDEX(Bookings!$H$5:$H$404,MATCH(B209,Bookings!$A$5:$A$404,0)),""))</f>
        <v>0</v>
      </c>
      <c r="H209" s="53">
        <f>IF(B209="","",IFERROR(INDEX(Bookings!$K$5:$K$404,MATCH(B209,Bookings!$A$5:$A$404,0)),""))</f>
        <v>0</v>
      </c>
      <c r="K209" s="31">
        <f>IF(OR(I209="",J209=""),"",ROUND((J209-I209+IF(J209&lt;I209,1,0))*1440,0))</f>
        <v>0</v>
      </c>
      <c r="L209" s="49">
        <f>IF(OR(I209="",H209=""),"",IF(I209&lt;=H209+TIME(0,10,0),"On time","Late "&amp;TEXT((I209-H209)*1440,"0")&amp;" min"))</f>
        <v>0</v>
      </c>
      <c r="O209" s="31">
        <f>IF(OR(M209="",N209=""),"",ROUND((N209-M209+IF(N209&lt;M209,1,0))*1440,0))</f>
        <v>0</v>
      </c>
      <c r="AG209" s="28">
        <f>IF(C209="","",TEXT(C209,"yyyy-mm"))</f>
        <v>0</v>
      </c>
      <c r="AH209" s="28">
        <f>IF(B209="","",B209&amp;"|"&amp;COUNTIF($B$5:$B209,B209))</f>
        <v>0</v>
      </c>
      <c r="AI209" s="28">
        <f>IF(E209="","",E209&amp;"|"&amp;COUNTIF($E$5:$E209,E209))</f>
        <v>0</v>
      </c>
      <c r="AJ209" s="49">
        <f>IF(C209="","",IF(AE209="Missed","Missed visit - contact client",IF(Z209="Yes","Incident logged - follow up",IF(AND(AE209="Completed",AC209&lt;&gt;"Yes"),"Action - send client update",IF(AND(AE209="Completed",AD209&lt;&gt;"Yes"),"Check care checklist",IF(AND(C209&lt;TODAY(),AE209="Scheduled"),"Overdue - log the result","OK"))))))</f>
        <v>0</v>
      </c>
    </row>
    <row r="210" spans="1:36">
      <c r="A210" s="46">
        <f>IF(C210="","","VS-"&amp;TEXT(ROW()-4,"0000"))</f>
        <v>0</v>
      </c>
      <c r="D210" s="28">
        <f>IF(B210="","",IFERROR(INDEX(Bookings!$C$5:$C$404,MATCH(B210,Bookings!$A$5:$A$404,0)),""))</f>
        <v>0</v>
      </c>
      <c r="E210" s="28">
        <f>IF(B210="","",IFERROR(INDEX(Bookings!$E$5:$E$404,MATCH(B210,Bookings!$A$5:$A$404,0)),""))</f>
        <v>0</v>
      </c>
      <c r="F210" s="28">
        <f>IF(B210="","",IFERROR(INDEX(Bookings!$H$5:$H$404,MATCH(B210,Bookings!$A$5:$A$404,0)),""))</f>
        <v>0</v>
      </c>
      <c r="H210" s="53">
        <f>IF(B210="","",IFERROR(INDEX(Bookings!$K$5:$K$404,MATCH(B210,Bookings!$A$5:$A$404,0)),""))</f>
        <v>0</v>
      </c>
      <c r="K210" s="31">
        <f>IF(OR(I210="",J210=""),"",ROUND((J210-I210+IF(J210&lt;I210,1,0))*1440,0))</f>
        <v>0</v>
      </c>
      <c r="L210" s="49">
        <f>IF(OR(I210="",H210=""),"",IF(I210&lt;=H210+TIME(0,10,0),"On time","Late "&amp;TEXT((I210-H210)*1440,"0")&amp;" min"))</f>
        <v>0</v>
      </c>
      <c r="O210" s="31">
        <f>IF(OR(M210="",N210=""),"",ROUND((N210-M210+IF(N210&lt;M210,1,0))*1440,0))</f>
        <v>0</v>
      </c>
      <c r="AG210" s="28">
        <f>IF(C210="","",TEXT(C210,"yyyy-mm"))</f>
        <v>0</v>
      </c>
      <c r="AH210" s="28">
        <f>IF(B210="","",B210&amp;"|"&amp;COUNTIF($B$5:$B210,B210))</f>
        <v>0</v>
      </c>
      <c r="AI210" s="28">
        <f>IF(E210="","",E210&amp;"|"&amp;COUNTIF($E$5:$E210,E210))</f>
        <v>0</v>
      </c>
      <c r="AJ210" s="49">
        <f>IF(C210="","",IF(AE210="Missed","Missed visit - contact client",IF(Z210="Yes","Incident logged - follow up",IF(AND(AE210="Completed",AC210&lt;&gt;"Yes"),"Action - send client update",IF(AND(AE210="Completed",AD210&lt;&gt;"Yes"),"Check care checklist",IF(AND(C210&lt;TODAY(),AE210="Scheduled"),"Overdue - log the result","OK"))))))</f>
        <v>0</v>
      </c>
    </row>
    <row r="211" spans="1:36">
      <c r="A211" s="46">
        <f>IF(C211="","","VS-"&amp;TEXT(ROW()-4,"0000"))</f>
        <v>0</v>
      </c>
      <c r="D211" s="28">
        <f>IF(B211="","",IFERROR(INDEX(Bookings!$C$5:$C$404,MATCH(B211,Bookings!$A$5:$A$404,0)),""))</f>
        <v>0</v>
      </c>
      <c r="E211" s="28">
        <f>IF(B211="","",IFERROR(INDEX(Bookings!$E$5:$E$404,MATCH(B211,Bookings!$A$5:$A$404,0)),""))</f>
        <v>0</v>
      </c>
      <c r="F211" s="28">
        <f>IF(B211="","",IFERROR(INDEX(Bookings!$H$5:$H$404,MATCH(B211,Bookings!$A$5:$A$404,0)),""))</f>
        <v>0</v>
      </c>
      <c r="H211" s="53">
        <f>IF(B211="","",IFERROR(INDEX(Bookings!$K$5:$K$404,MATCH(B211,Bookings!$A$5:$A$404,0)),""))</f>
        <v>0</v>
      </c>
      <c r="K211" s="31">
        <f>IF(OR(I211="",J211=""),"",ROUND((J211-I211+IF(J211&lt;I211,1,0))*1440,0))</f>
        <v>0</v>
      </c>
      <c r="L211" s="49">
        <f>IF(OR(I211="",H211=""),"",IF(I211&lt;=H211+TIME(0,10,0),"On time","Late "&amp;TEXT((I211-H211)*1440,"0")&amp;" min"))</f>
        <v>0</v>
      </c>
      <c r="O211" s="31">
        <f>IF(OR(M211="",N211=""),"",ROUND((N211-M211+IF(N211&lt;M211,1,0))*1440,0))</f>
        <v>0</v>
      </c>
      <c r="AG211" s="28">
        <f>IF(C211="","",TEXT(C211,"yyyy-mm"))</f>
        <v>0</v>
      </c>
      <c r="AH211" s="28">
        <f>IF(B211="","",B211&amp;"|"&amp;COUNTIF($B$5:$B211,B211))</f>
        <v>0</v>
      </c>
      <c r="AI211" s="28">
        <f>IF(E211="","",E211&amp;"|"&amp;COUNTIF($E$5:$E211,E211))</f>
        <v>0</v>
      </c>
      <c r="AJ211" s="49">
        <f>IF(C211="","",IF(AE211="Missed","Missed visit - contact client",IF(Z211="Yes","Incident logged - follow up",IF(AND(AE211="Completed",AC211&lt;&gt;"Yes"),"Action - send client update",IF(AND(AE211="Completed",AD211&lt;&gt;"Yes"),"Check care checklist",IF(AND(C211&lt;TODAY(),AE211="Scheduled"),"Overdue - log the result","OK"))))))</f>
        <v>0</v>
      </c>
    </row>
    <row r="212" spans="1:36">
      <c r="A212" s="46">
        <f>IF(C212="","","VS-"&amp;TEXT(ROW()-4,"0000"))</f>
        <v>0</v>
      </c>
      <c r="D212" s="28">
        <f>IF(B212="","",IFERROR(INDEX(Bookings!$C$5:$C$404,MATCH(B212,Bookings!$A$5:$A$404,0)),""))</f>
        <v>0</v>
      </c>
      <c r="E212" s="28">
        <f>IF(B212="","",IFERROR(INDEX(Bookings!$E$5:$E$404,MATCH(B212,Bookings!$A$5:$A$404,0)),""))</f>
        <v>0</v>
      </c>
      <c r="F212" s="28">
        <f>IF(B212="","",IFERROR(INDEX(Bookings!$H$5:$H$404,MATCH(B212,Bookings!$A$5:$A$404,0)),""))</f>
        <v>0</v>
      </c>
      <c r="H212" s="53">
        <f>IF(B212="","",IFERROR(INDEX(Bookings!$K$5:$K$404,MATCH(B212,Bookings!$A$5:$A$404,0)),""))</f>
        <v>0</v>
      </c>
      <c r="K212" s="31">
        <f>IF(OR(I212="",J212=""),"",ROUND((J212-I212+IF(J212&lt;I212,1,0))*1440,0))</f>
        <v>0</v>
      </c>
      <c r="L212" s="49">
        <f>IF(OR(I212="",H212=""),"",IF(I212&lt;=H212+TIME(0,10,0),"On time","Late "&amp;TEXT((I212-H212)*1440,"0")&amp;" min"))</f>
        <v>0</v>
      </c>
      <c r="O212" s="31">
        <f>IF(OR(M212="",N212=""),"",ROUND((N212-M212+IF(N212&lt;M212,1,0))*1440,0))</f>
        <v>0</v>
      </c>
      <c r="AG212" s="28">
        <f>IF(C212="","",TEXT(C212,"yyyy-mm"))</f>
        <v>0</v>
      </c>
      <c r="AH212" s="28">
        <f>IF(B212="","",B212&amp;"|"&amp;COUNTIF($B$5:$B212,B212))</f>
        <v>0</v>
      </c>
      <c r="AI212" s="28">
        <f>IF(E212="","",E212&amp;"|"&amp;COUNTIF($E$5:$E212,E212))</f>
        <v>0</v>
      </c>
      <c r="AJ212" s="49">
        <f>IF(C212="","",IF(AE212="Missed","Missed visit - contact client",IF(Z212="Yes","Incident logged - follow up",IF(AND(AE212="Completed",AC212&lt;&gt;"Yes"),"Action - send client update",IF(AND(AE212="Completed",AD212&lt;&gt;"Yes"),"Check care checklist",IF(AND(C212&lt;TODAY(),AE212="Scheduled"),"Overdue - log the result","OK"))))))</f>
        <v>0</v>
      </c>
    </row>
    <row r="213" spans="1:36">
      <c r="A213" s="46">
        <f>IF(C213="","","VS-"&amp;TEXT(ROW()-4,"0000"))</f>
        <v>0</v>
      </c>
      <c r="D213" s="28">
        <f>IF(B213="","",IFERROR(INDEX(Bookings!$C$5:$C$404,MATCH(B213,Bookings!$A$5:$A$404,0)),""))</f>
        <v>0</v>
      </c>
      <c r="E213" s="28">
        <f>IF(B213="","",IFERROR(INDEX(Bookings!$E$5:$E$404,MATCH(B213,Bookings!$A$5:$A$404,0)),""))</f>
        <v>0</v>
      </c>
      <c r="F213" s="28">
        <f>IF(B213="","",IFERROR(INDEX(Bookings!$H$5:$H$404,MATCH(B213,Bookings!$A$5:$A$404,0)),""))</f>
        <v>0</v>
      </c>
      <c r="H213" s="53">
        <f>IF(B213="","",IFERROR(INDEX(Bookings!$K$5:$K$404,MATCH(B213,Bookings!$A$5:$A$404,0)),""))</f>
        <v>0</v>
      </c>
      <c r="K213" s="31">
        <f>IF(OR(I213="",J213=""),"",ROUND((J213-I213+IF(J213&lt;I213,1,0))*1440,0))</f>
        <v>0</v>
      </c>
      <c r="L213" s="49">
        <f>IF(OR(I213="",H213=""),"",IF(I213&lt;=H213+TIME(0,10,0),"On time","Late "&amp;TEXT((I213-H213)*1440,"0")&amp;" min"))</f>
        <v>0</v>
      </c>
      <c r="O213" s="31">
        <f>IF(OR(M213="",N213=""),"",ROUND((N213-M213+IF(N213&lt;M213,1,0))*1440,0))</f>
        <v>0</v>
      </c>
      <c r="AG213" s="28">
        <f>IF(C213="","",TEXT(C213,"yyyy-mm"))</f>
        <v>0</v>
      </c>
      <c r="AH213" s="28">
        <f>IF(B213="","",B213&amp;"|"&amp;COUNTIF($B$5:$B213,B213))</f>
        <v>0</v>
      </c>
      <c r="AI213" s="28">
        <f>IF(E213="","",E213&amp;"|"&amp;COUNTIF($E$5:$E213,E213))</f>
        <v>0</v>
      </c>
      <c r="AJ213" s="49">
        <f>IF(C213="","",IF(AE213="Missed","Missed visit - contact client",IF(Z213="Yes","Incident logged - follow up",IF(AND(AE213="Completed",AC213&lt;&gt;"Yes"),"Action - send client update",IF(AND(AE213="Completed",AD213&lt;&gt;"Yes"),"Check care checklist",IF(AND(C213&lt;TODAY(),AE213="Scheduled"),"Overdue - log the result","OK"))))))</f>
        <v>0</v>
      </c>
    </row>
    <row r="214" spans="1:36">
      <c r="A214" s="46">
        <f>IF(C214="","","VS-"&amp;TEXT(ROW()-4,"0000"))</f>
        <v>0</v>
      </c>
      <c r="D214" s="28">
        <f>IF(B214="","",IFERROR(INDEX(Bookings!$C$5:$C$404,MATCH(B214,Bookings!$A$5:$A$404,0)),""))</f>
        <v>0</v>
      </c>
      <c r="E214" s="28">
        <f>IF(B214="","",IFERROR(INDEX(Bookings!$E$5:$E$404,MATCH(B214,Bookings!$A$5:$A$404,0)),""))</f>
        <v>0</v>
      </c>
      <c r="F214" s="28">
        <f>IF(B214="","",IFERROR(INDEX(Bookings!$H$5:$H$404,MATCH(B214,Bookings!$A$5:$A$404,0)),""))</f>
        <v>0</v>
      </c>
      <c r="H214" s="53">
        <f>IF(B214="","",IFERROR(INDEX(Bookings!$K$5:$K$404,MATCH(B214,Bookings!$A$5:$A$404,0)),""))</f>
        <v>0</v>
      </c>
      <c r="K214" s="31">
        <f>IF(OR(I214="",J214=""),"",ROUND((J214-I214+IF(J214&lt;I214,1,0))*1440,0))</f>
        <v>0</v>
      </c>
      <c r="L214" s="49">
        <f>IF(OR(I214="",H214=""),"",IF(I214&lt;=H214+TIME(0,10,0),"On time","Late "&amp;TEXT((I214-H214)*1440,"0")&amp;" min"))</f>
        <v>0</v>
      </c>
      <c r="O214" s="31">
        <f>IF(OR(M214="",N214=""),"",ROUND((N214-M214+IF(N214&lt;M214,1,0))*1440,0))</f>
        <v>0</v>
      </c>
      <c r="AG214" s="28">
        <f>IF(C214="","",TEXT(C214,"yyyy-mm"))</f>
        <v>0</v>
      </c>
      <c r="AH214" s="28">
        <f>IF(B214="","",B214&amp;"|"&amp;COUNTIF($B$5:$B214,B214))</f>
        <v>0</v>
      </c>
      <c r="AI214" s="28">
        <f>IF(E214="","",E214&amp;"|"&amp;COUNTIF($E$5:$E214,E214))</f>
        <v>0</v>
      </c>
      <c r="AJ214" s="49">
        <f>IF(C214="","",IF(AE214="Missed","Missed visit - contact client",IF(Z214="Yes","Incident logged - follow up",IF(AND(AE214="Completed",AC214&lt;&gt;"Yes"),"Action - send client update",IF(AND(AE214="Completed",AD214&lt;&gt;"Yes"),"Check care checklist",IF(AND(C214&lt;TODAY(),AE214="Scheduled"),"Overdue - log the result","OK"))))))</f>
        <v>0</v>
      </c>
    </row>
    <row r="215" spans="1:36">
      <c r="A215" s="46">
        <f>IF(C215="","","VS-"&amp;TEXT(ROW()-4,"0000"))</f>
        <v>0</v>
      </c>
      <c r="D215" s="28">
        <f>IF(B215="","",IFERROR(INDEX(Bookings!$C$5:$C$404,MATCH(B215,Bookings!$A$5:$A$404,0)),""))</f>
        <v>0</v>
      </c>
      <c r="E215" s="28">
        <f>IF(B215="","",IFERROR(INDEX(Bookings!$E$5:$E$404,MATCH(B215,Bookings!$A$5:$A$404,0)),""))</f>
        <v>0</v>
      </c>
      <c r="F215" s="28">
        <f>IF(B215="","",IFERROR(INDEX(Bookings!$H$5:$H$404,MATCH(B215,Bookings!$A$5:$A$404,0)),""))</f>
        <v>0</v>
      </c>
      <c r="H215" s="53">
        <f>IF(B215="","",IFERROR(INDEX(Bookings!$K$5:$K$404,MATCH(B215,Bookings!$A$5:$A$404,0)),""))</f>
        <v>0</v>
      </c>
      <c r="K215" s="31">
        <f>IF(OR(I215="",J215=""),"",ROUND((J215-I215+IF(J215&lt;I215,1,0))*1440,0))</f>
        <v>0</v>
      </c>
      <c r="L215" s="49">
        <f>IF(OR(I215="",H215=""),"",IF(I215&lt;=H215+TIME(0,10,0),"On time","Late "&amp;TEXT((I215-H215)*1440,"0")&amp;" min"))</f>
        <v>0</v>
      </c>
      <c r="O215" s="31">
        <f>IF(OR(M215="",N215=""),"",ROUND((N215-M215+IF(N215&lt;M215,1,0))*1440,0))</f>
        <v>0</v>
      </c>
      <c r="AG215" s="28">
        <f>IF(C215="","",TEXT(C215,"yyyy-mm"))</f>
        <v>0</v>
      </c>
      <c r="AH215" s="28">
        <f>IF(B215="","",B215&amp;"|"&amp;COUNTIF($B$5:$B215,B215))</f>
        <v>0</v>
      </c>
      <c r="AI215" s="28">
        <f>IF(E215="","",E215&amp;"|"&amp;COUNTIF($E$5:$E215,E215))</f>
        <v>0</v>
      </c>
      <c r="AJ215" s="49">
        <f>IF(C215="","",IF(AE215="Missed","Missed visit - contact client",IF(Z215="Yes","Incident logged - follow up",IF(AND(AE215="Completed",AC215&lt;&gt;"Yes"),"Action - send client update",IF(AND(AE215="Completed",AD215&lt;&gt;"Yes"),"Check care checklist",IF(AND(C215&lt;TODAY(),AE215="Scheduled"),"Overdue - log the result","OK"))))))</f>
        <v>0</v>
      </c>
    </row>
    <row r="216" spans="1:36">
      <c r="A216" s="46">
        <f>IF(C216="","","VS-"&amp;TEXT(ROW()-4,"0000"))</f>
        <v>0</v>
      </c>
      <c r="D216" s="28">
        <f>IF(B216="","",IFERROR(INDEX(Bookings!$C$5:$C$404,MATCH(B216,Bookings!$A$5:$A$404,0)),""))</f>
        <v>0</v>
      </c>
      <c r="E216" s="28">
        <f>IF(B216="","",IFERROR(INDEX(Bookings!$E$5:$E$404,MATCH(B216,Bookings!$A$5:$A$404,0)),""))</f>
        <v>0</v>
      </c>
      <c r="F216" s="28">
        <f>IF(B216="","",IFERROR(INDEX(Bookings!$H$5:$H$404,MATCH(B216,Bookings!$A$5:$A$404,0)),""))</f>
        <v>0</v>
      </c>
      <c r="H216" s="53">
        <f>IF(B216="","",IFERROR(INDEX(Bookings!$K$5:$K$404,MATCH(B216,Bookings!$A$5:$A$404,0)),""))</f>
        <v>0</v>
      </c>
      <c r="K216" s="31">
        <f>IF(OR(I216="",J216=""),"",ROUND((J216-I216+IF(J216&lt;I216,1,0))*1440,0))</f>
        <v>0</v>
      </c>
      <c r="L216" s="49">
        <f>IF(OR(I216="",H216=""),"",IF(I216&lt;=H216+TIME(0,10,0),"On time","Late "&amp;TEXT((I216-H216)*1440,"0")&amp;" min"))</f>
        <v>0</v>
      </c>
      <c r="O216" s="31">
        <f>IF(OR(M216="",N216=""),"",ROUND((N216-M216+IF(N216&lt;M216,1,0))*1440,0))</f>
        <v>0</v>
      </c>
      <c r="AG216" s="28">
        <f>IF(C216="","",TEXT(C216,"yyyy-mm"))</f>
        <v>0</v>
      </c>
      <c r="AH216" s="28">
        <f>IF(B216="","",B216&amp;"|"&amp;COUNTIF($B$5:$B216,B216))</f>
        <v>0</v>
      </c>
      <c r="AI216" s="28">
        <f>IF(E216="","",E216&amp;"|"&amp;COUNTIF($E$5:$E216,E216))</f>
        <v>0</v>
      </c>
      <c r="AJ216" s="49">
        <f>IF(C216="","",IF(AE216="Missed","Missed visit - contact client",IF(Z216="Yes","Incident logged - follow up",IF(AND(AE216="Completed",AC216&lt;&gt;"Yes"),"Action - send client update",IF(AND(AE216="Completed",AD216&lt;&gt;"Yes"),"Check care checklist",IF(AND(C216&lt;TODAY(),AE216="Scheduled"),"Overdue - log the result","OK"))))))</f>
        <v>0</v>
      </c>
    </row>
    <row r="217" spans="1:36">
      <c r="A217" s="46">
        <f>IF(C217="","","VS-"&amp;TEXT(ROW()-4,"0000"))</f>
        <v>0</v>
      </c>
      <c r="D217" s="28">
        <f>IF(B217="","",IFERROR(INDEX(Bookings!$C$5:$C$404,MATCH(B217,Bookings!$A$5:$A$404,0)),""))</f>
        <v>0</v>
      </c>
      <c r="E217" s="28">
        <f>IF(B217="","",IFERROR(INDEX(Bookings!$E$5:$E$404,MATCH(B217,Bookings!$A$5:$A$404,0)),""))</f>
        <v>0</v>
      </c>
      <c r="F217" s="28">
        <f>IF(B217="","",IFERROR(INDEX(Bookings!$H$5:$H$404,MATCH(B217,Bookings!$A$5:$A$404,0)),""))</f>
        <v>0</v>
      </c>
      <c r="H217" s="53">
        <f>IF(B217="","",IFERROR(INDEX(Bookings!$K$5:$K$404,MATCH(B217,Bookings!$A$5:$A$404,0)),""))</f>
        <v>0</v>
      </c>
      <c r="K217" s="31">
        <f>IF(OR(I217="",J217=""),"",ROUND((J217-I217+IF(J217&lt;I217,1,0))*1440,0))</f>
        <v>0</v>
      </c>
      <c r="L217" s="49">
        <f>IF(OR(I217="",H217=""),"",IF(I217&lt;=H217+TIME(0,10,0),"On time","Late "&amp;TEXT((I217-H217)*1440,"0")&amp;" min"))</f>
        <v>0</v>
      </c>
      <c r="O217" s="31">
        <f>IF(OR(M217="",N217=""),"",ROUND((N217-M217+IF(N217&lt;M217,1,0))*1440,0))</f>
        <v>0</v>
      </c>
      <c r="AG217" s="28">
        <f>IF(C217="","",TEXT(C217,"yyyy-mm"))</f>
        <v>0</v>
      </c>
      <c r="AH217" s="28">
        <f>IF(B217="","",B217&amp;"|"&amp;COUNTIF($B$5:$B217,B217))</f>
        <v>0</v>
      </c>
      <c r="AI217" s="28">
        <f>IF(E217="","",E217&amp;"|"&amp;COUNTIF($E$5:$E217,E217))</f>
        <v>0</v>
      </c>
      <c r="AJ217" s="49">
        <f>IF(C217="","",IF(AE217="Missed","Missed visit - contact client",IF(Z217="Yes","Incident logged - follow up",IF(AND(AE217="Completed",AC217&lt;&gt;"Yes"),"Action - send client update",IF(AND(AE217="Completed",AD217&lt;&gt;"Yes"),"Check care checklist",IF(AND(C217&lt;TODAY(),AE217="Scheduled"),"Overdue - log the result","OK"))))))</f>
        <v>0</v>
      </c>
    </row>
    <row r="218" spans="1:36">
      <c r="A218" s="46">
        <f>IF(C218="","","VS-"&amp;TEXT(ROW()-4,"0000"))</f>
        <v>0</v>
      </c>
      <c r="D218" s="28">
        <f>IF(B218="","",IFERROR(INDEX(Bookings!$C$5:$C$404,MATCH(B218,Bookings!$A$5:$A$404,0)),""))</f>
        <v>0</v>
      </c>
      <c r="E218" s="28">
        <f>IF(B218="","",IFERROR(INDEX(Bookings!$E$5:$E$404,MATCH(B218,Bookings!$A$5:$A$404,0)),""))</f>
        <v>0</v>
      </c>
      <c r="F218" s="28">
        <f>IF(B218="","",IFERROR(INDEX(Bookings!$H$5:$H$404,MATCH(B218,Bookings!$A$5:$A$404,0)),""))</f>
        <v>0</v>
      </c>
      <c r="H218" s="53">
        <f>IF(B218="","",IFERROR(INDEX(Bookings!$K$5:$K$404,MATCH(B218,Bookings!$A$5:$A$404,0)),""))</f>
        <v>0</v>
      </c>
      <c r="K218" s="31">
        <f>IF(OR(I218="",J218=""),"",ROUND((J218-I218+IF(J218&lt;I218,1,0))*1440,0))</f>
        <v>0</v>
      </c>
      <c r="L218" s="49">
        <f>IF(OR(I218="",H218=""),"",IF(I218&lt;=H218+TIME(0,10,0),"On time","Late "&amp;TEXT((I218-H218)*1440,"0")&amp;" min"))</f>
        <v>0</v>
      </c>
      <c r="O218" s="31">
        <f>IF(OR(M218="",N218=""),"",ROUND((N218-M218+IF(N218&lt;M218,1,0))*1440,0))</f>
        <v>0</v>
      </c>
      <c r="AG218" s="28">
        <f>IF(C218="","",TEXT(C218,"yyyy-mm"))</f>
        <v>0</v>
      </c>
      <c r="AH218" s="28">
        <f>IF(B218="","",B218&amp;"|"&amp;COUNTIF($B$5:$B218,B218))</f>
        <v>0</v>
      </c>
      <c r="AI218" s="28">
        <f>IF(E218="","",E218&amp;"|"&amp;COUNTIF($E$5:$E218,E218))</f>
        <v>0</v>
      </c>
      <c r="AJ218" s="49">
        <f>IF(C218="","",IF(AE218="Missed","Missed visit - contact client",IF(Z218="Yes","Incident logged - follow up",IF(AND(AE218="Completed",AC218&lt;&gt;"Yes"),"Action - send client update",IF(AND(AE218="Completed",AD218&lt;&gt;"Yes"),"Check care checklist",IF(AND(C218&lt;TODAY(),AE218="Scheduled"),"Overdue - log the result","OK"))))))</f>
        <v>0</v>
      </c>
    </row>
    <row r="219" spans="1:36">
      <c r="A219" s="46">
        <f>IF(C219="","","VS-"&amp;TEXT(ROW()-4,"0000"))</f>
        <v>0</v>
      </c>
      <c r="D219" s="28">
        <f>IF(B219="","",IFERROR(INDEX(Bookings!$C$5:$C$404,MATCH(B219,Bookings!$A$5:$A$404,0)),""))</f>
        <v>0</v>
      </c>
      <c r="E219" s="28">
        <f>IF(B219="","",IFERROR(INDEX(Bookings!$E$5:$E$404,MATCH(B219,Bookings!$A$5:$A$404,0)),""))</f>
        <v>0</v>
      </c>
      <c r="F219" s="28">
        <f>IF(B219="","",IFERROR(INDEX(Bookings!$H$5:$H$404,MATCH(B219,Bookings!$A$5:$A$404,0)),""))</f>
        <v>0</v>
      </c>
      <c r="H219" s="53">
        <f>IF(B219="","",IFERROR(INDEX(Bookings!$K$5:$K$404,MATCH(B219,Bookings!$A$5:$A$404,0)),""))</f>
        <v>0</v>
      </c>
      <c r="K219" s="31">
        <f>IF(OR(I219="",J219=""),"",ROUND((J219-I219+IF(J219&lt;I219,1,0))*1440,0))</f>
        <v>0</v>
      </c>
      <c r="L219" s="49">
        <f>IF(OR(I219="",H219=""),"",IF(I219&lt;=H219+TIME(0,10,0),"On time","Late "&amp;TEXT((I219-H219)*1440,"0")&amp;" min"))</f>
        <v>0</v>
      </c>
      <c r="O219" s="31">
        <f>IF(OR(M219="",N219=""),"",ROUND((N219-M219+IF(N219&lt;M219,1,0))*1440,0))</f>
        <v>0</v>
      </c>
      <c r="AG219" s="28">
        <f>IF(C219="","",TEXT(C219,"yyyy-mm"))</f>
        <v>0</v>
      </c>
      <c r="AH219" s="28">
        <f>IF(B219="","",B219&amp;"|"&amp;COUNTIF($B$5:$B219,B219))</f>
        <v>0</v>
      </c>
      <c r="AI219" s="28">
        <f>IF(E219="","",E219&amp;"|"&amp;COUNTIF($E$5:$E219,E219))</f>
        <v>0</v>
      </c>
      <c r="AJ219" s="49">
        <f>IF(C219="","",IF(AE219="Missed","Missed visit - contact client",IF(Z219="Yes","Incident logged - follow up",IF(AND(AE219="Completed",AC219&lt;&gt;"Yes"),"Action - send client update",IF(AND(AE219="Completed",AD219&lt;&gt;"Yes"),"Check care checklist",IF(AND(C219&lt;TODAY(),AE219="Scheduled"),"Overdue - log the result","OK"))))))</f>
        <v>0</v>
      </c>
    </row>
    <row r="220" spans="1:36">
      <c r="A220" s="46">
        <f>IF(C220="","","VS-"&amp;TEXT(ROW()-4,"0000"))</f>
        <v>0</v>
      </c>
      <c r="D220" s="28">
        <f>IF(B220="","",IFERROR(INDEX(Bookings!$C$5:$C$404,MATCH(B220,Bookings!$A$5:$A$404,0)),""))</f>
        <v>0</v>
      </c>
      <c r="E220" s="28">
        <f>IF(B220="","",IFERROR(INDEX(Bookings!$E$5:$E$404,MATCH(B220,Bookings!$A$5:$A$404,0)),""))</f>
        <v>0</v>
      </c>
      <c r="F220" s="28">
        <f>IF(B220="","",IFERROR(INDEX(Bookings!$H$5:$H$404,MATCH(B220,Bookings!$A$5:$A$404,0)),""))</f>
        <v>0</v>
      </c>
      <c r="H220" s="53">
        <f>IF(B220="","",IFERROR(INDEX(Bookings!$K$5:$K$404,MATCH(B220,Bookings!$A$5:$A$404,0)),""))</f>
        <v>0</v>
      </c>
      <c r="K220" s="31">
        <f>IF(OR(I220="",J220=""),"",ROUND((J220-I220+IF(J220&lt;I220,1,0))*1440,0))</f>
        <v>0</v>
      </c>
      <c r="L220" s="49">
        <f>IF(OR(I220="",H220=""),"",IF(I220&lt;=H220+TIME(0,10,0),"On time","Late "&amp;TEXT((I220-H220)*1440,"0")&amp;" min"))</f>
        <v>0</v>
      </c>
      <c r="O220" s="31">
        <f>IF(OR(M220="",N220=""),"",ROUND((N220-M220+IF(N220&lt;M220,1,0))*1440,0))</f>
        <v>0</v>
      </c>
      <c r="AG220" s="28">
        <f>IF(C220="","",TEXT(C220,"yyyy-mm"))</f>
        <v>0</v>
      </c>
      <c r="AH220" s="28">
        <f>IF(B220="","",B220&amp;"|"&amp;COUNTIF($B$5:$B220,B220))</f>
        <v>0</v>
      </c>
      <c r="AI220" s="28">
        <f>IF(E220="","",E220&amp;"|"&amp;COUNTIF($E$5:$E220,E220))</f>
        <v>0</v>
      </c>
      <c r="AJ220" s="49">
        <f>IF(C220="","",IF(AE220="Missed","Missed visit - contact client",IF(Z220="Yes","Incident logged - follow up",IF(AND(AE220="Completed",AC220&lt;&gt;"Yes"),"Action - send client update",IF(AND(AE220="Completed",AD220&lt;&gt;"Yes"),"Check care checklist",IF(AND(C220&lt;TODAY(),AE220="Scheduled"),"Overdue - log the result","OK"))))))</f>
        <v>0</v>
      </c>
    </row>
    <row r="221" spans="1:36">
      <c r="A221" s="46">
        <f>IF(C221="","","VS-"&amp;TEXT(ROW()-4,"0000"))</f>
        <v>0</v>
      </c>
      <c r="D221" s="28">
        <f>IF(B221="","",IFERROR(INDEX(Bookings!$C$5:$C$404,MATCH(B221,Bookings!$A$5:$A$404,0)),""))</f>
        <v>0</v>
      </c>
      <c r="E221" s="28">
        <f>IF(B221="","",IFERROR(INDEX(Bookings!$E$5:$E$404,MATCH(B221,Bookings!$A$5:$A$404,0)),""))</f>
        <v>0</v>
      </c>
      <c r="F221" s="28">
        <f>IF(B221="","",IFERROR(INDEX(Bookings!$H$5:$H$404,MATCH(B221,Bookings!$A$5:$A$404,0)),""))</f>
        <v>0</v>
      </c>
      <c r="H221" s="53">
        <f>IF(B221="","",IFERROR(INDEX(Bookings!$K$5:$K$404,MATCH(B221,Bookings!$A$5:$A$404,0)),""))</f>
        <v>0</v>
      </c>
      <c r="K221" s="31">
        <f>IF(OR(I221="",J221=""),"",ROUND((J221-I221+IF(J221&lt;I221,1,0))*1440,0))</f>
        <v>0</v>
      </c>
      <c r="L221" s="49">
        <f>IF(OR(I221="",H221=""),"",IF(I221&lt;=H221+TIME(0,10,0),"On time","Late "&amp;TEXT((I221-H221)*1440,"0")&amp;" min"))</f>
        <v>0</v>
      </c>
      <c r="O221" s="31">
        <f>IF(OR(M221="",N221=""),"",ROUND((N221-M221+IF(N221&lt;M221,1,0))*1440,0))</f>
        <v>0</v>
      </c>
      <c r="AG221" s="28">
        <f>IF(C221="","",TEXT(C221,"yyyy-mm"))</f>
        <v>0</v>
      </c>
      <c r="AH221" s="28">
        <f>IF(B221="","",B221&amp;"|"&amp;COUNTIF($B$5:$B221,B221))</f>
        <v>0</v>
      </c>
      <c r="AI221" s="28">
        <f>IF(E221="","",E221&amp;"|"&amp;COUNTIF($E$5:$E221,E221))</f>
        <v>0</v>
      </c>
      <c r="AJ221" s="49">
        <f>IF(C221="","",IF(AE221="Missed","Missed visit - contact client",IF(Z221="Yes","Incident logged - follow up",IF(AND(AE221="Completed",AC221&lt;&gt;"Yes"),"Action - send client update",IF(AND(AE221="Completed",AD221&lt;&gt;"Yes"),"Check care checklist",IF(AND(C221&lt;TODAY(),AE221="Scheduled"),"Overdue - log the result","OK"))))))</f>
        <v>0</v>
      </c>
    </row>
    <row r="222" spans="1:36">
      <c r="A222" s="46">
        <f>IF(C222="","","VS-"&amp;TEXT(ROW()-4,"0000"))</f>
        <v>0</v>
      </c>
      <c r="D222" s="28">
        <f>IF(B222="","",IFERROR(INDEX(Bookings!$C$5:$C$404,MATCH(B222,Bookings!$A$5:$A$404,0)),""))</f>
        <v>0</v>
      </c>
      <c r="E222" s="28">
        <f>IF(B222="","",IFERROR(INDEX(Bookings!$E$5:$E$404,MATCH(B222,Bookings!$A$5:$A$404,0)),""))</f>
        <v>0</v>
      </c>
      <c r="F222" s="28">
        <f>IF(B222="","",IFERROR(INDEX(Bookings!$H$5:$H$404,MATCH(B222,Bookings!$A$5:$A$404,0)),""))</f>
        <v>0</v>
      </c>
      <c r="H222" s="53">
        <f>IF(B222="","",IFERROR(INDEX(Bookings!$K$5:$K$404,MATCH(B222,Bookings!$A$5:$A$404,0)),""))</f>
        <v>0</v>
      </c>
      <c r="K222" s="31">
        <f>IF(OR(I222="",J222=""),"",ROUND((J222-I222+IF(J222&lt;I222,1,0))*1440,0))</f>
        <v>0</v>
      </c>
      <c r="L222" s="49">
        <f>IF(OR(I222="",H222=""),"",IF(I222&lt;=H222+TIME(0,10,0),"On time","Late "&amp;TEXT((I222-H222)*1440,"0")&amp;" min"))</f>
        <v>0</v>
      </c>
      <c r="O222" s="31">
        <f>IF(OR(M222="",N222=""),"",ROUND((N222-M222+IF(N222&lt;M222,1,0))*1440,0))</f>
        <v>0</v>
      </c>
      <c r="AG222" s="28">
        <f>IF(C222="","",TEXT(C222,"yyyy-mm"))</f>
        <v>0</v>
      </c>
      <c r="AH222" s="28">
        <f>IF(B222="","",B222&amp;"|"&amp;COUNTIF($B$5:$B222,B222))</f>
        <v>0</v>
      </c>
      <c r="AI222" s="28">
        <f>IF(E222="","",E222&amp;"|"&amp;COUNTIF($E$5:$E222,E222))</f>
        <v>0</v>
      </c>
      <c r="AJ222" s="49">
        <f>IF(C222="","",IF(AE222="Missed","Missed visit - contact client",IF(Z222="Yes","Incident logged - follow up",IF(AND(AE222="Completed",AC222&lt;&gt;"Yes"),"Action - send client update",IF(AND(AE222="Completed",AD222&lt;&gt;"Yes"),"Check care checklist",IF(AND(C222&lt;TODAY(),AE222="Scheduled"),"Overdue - log the result","OK"))))))</f>
        <v>0</v>
      </c>
    </row>
    <row r="223" spans="1:36">
      <c r="A223" s="46">
        <f>IF(C223="","","VS-"&amp;TEXT(ROW()-4,"0000"))</f>
        <v>0</v>
      </c>
      <c r="D223" s="28">
        <f>IF(B223="","",IFERROR(INDEX(Bookings!$C$5:$C$404,MATCH(B223,Bookings!$A$5:$A$404,0)),""))</f>
        <v>0</v>
      </c>
      <c r="E223" s="28">
        <f>IF(B223="","",IFERROR(INDEX(Bookings!$E$5:$E$404,MATCH(B223,Bookings!$A$5:$A$404,0)),""))</f>
        <v>0</v>
      </c>
      <c r="F223" s="28">
        <f>IF(B223="","",IFERROR(INDEX(Bookings!$H$5:$H$404,MATCH(B223,Bookings!$A$5:$A$404,0)),""))</f>
        <v>0</v>
      </c>
      <c r="H223" s="53">
        <f>IF(B223="","",IFERROR(INDEX(Bookings!$K$5:$K$404,MATCH(B223,Bookings!$A$5:$A$404,0)),""))</f>
        <v>0</v>
      </c>
      <c r="K223" s="31">
        <f>IF(OR(I223="",J223=""),"",ROUND((J223-I223+IF(J223&lt;I223,1,0))*1440,0))</f>
        <v>0</v>
      </c>
      <c r="L223" s="49">
        <f>IF(OR(I223="",H223=""),"",IF(I223&lt;=H223+TIME(0,10,0),"On time","Late "&amp;TEXT((I223-H223)*1440,"0")&amp;" min"))</f>
        <v>0</v>
      </c>
      <c r="O223" s="31">
        <f>IF(OR(M223="",N223=""),"",ROUND((N223-M223+IF(N223&lt;M223,1,0))*1440,0))</f>
        <v>0</v>
      </c>
      <c r="AG223" s="28">
        <f>IF(C223="","",TEXT(C223,"yyyy-mm"))</f>
        <v>0</v>
      </c>
      <c r="AH223" s="28">
        <f>IF(B223="","",B223&amp;"|"&amp;COUNTIF($B$5:$B223,B223))</f>
        <v>0</v>
      </c>
      <c r="AI223" s="28">
        <f>IF(E223="","",E223&amp;"|"&amp;COUNTIF($E$5:$E223,E223))</f>
        <v>0</v>
      </c>
      <c r="AJ223" s="49">
        <f>IF(C223="","",IF(AE223="Missed","Missed visit - contact client",IF(Z223="Yes","Incident logged - follow up",IF(AND(AE223="Completed",AC223&lt;&gt;"Yes"),"Action - send client update",IF(AND(AE223="Completed",AD223&lt;&gt;"Yes"),"Check care checklist",IF(AND(C223&lt;TODAY(),AE223="Scheduled"),"Overdue - log the result","OK"))))))</f>
        <v>0</v>
      </c>
    </row>
    <row r="224" spans="1:36">
      <c r="A224" s="46">
        <f>IF(C224="","","VS-"&amp;TEXT(ROW()-4,"0000"))</f>
        <v>0</v>
      </c>
      <c r="D224" s="28">
        <f>IF(B224="","",IFERROR(INDEX(Bookings!$C$5:$C$404,MATCH(B224,Bookings!$A$5:$A$404,0)),""))</f>
        <v>0</v>
      </c>
      <c r="E224" s="28">
        <f>IF(B224="","",IFERROR(INDEX(Bookings!$E$5:$E$404,MATCH(B224,Bookings!$A$5:$A$404,0)),""))</f>
        <v>0</v>
      </c>
      <c r="F224" s="28">
        <f>IF(B224="","",IFERROR(INDEX(Bookings!$H$5:$H$404,MATCH(B224,Bookings!$A$5:$A$404,0)),""))</f>
        <v>0</v>
      </c>
      <c r="H224" s="53">
        <f>IF(B224="","",IFERROR(INDEX(Bookings!$K$5:$K$404,MATCH(B224,Bookings!$A$5:$A$404,0)),""))</f>
        <v>0</v>
      </c>
      <c r="K224" s="31">
        <f>IF(OR(I224="",J224=""),"",ROUND((J224-I224+IF(J224&lt;I224,1,0))*1440,0))</f>
        <v>0</v>
      </c>
      <c r="L224" s="49">
        <f>IF(OR(I224="",H224=""),"",IF(I224&lt;=H224+TIME(0,10,0),"On time","Late "&amp;TEXT((I224-H224)*1440,"0")&amp;" min"))</f>
        <v>0</v>
      </c>
      <c r="O224" s="31">
        <f>IF(OR(M224="",N224=""),"",ROUND((N224-M224+IF(N224&lt;M224,1,0))*1440,0))</f>
        <v>0</v>
      </c>
      <c r="AG224" s="28">
        <f>IF(C224="","",TEXT(C224,"yyyy-mm"))</f>
        <v>0</v>
      </c>
      <c r="AH224" s="28">
        <f>IF(B224="","",B224&amp;"|"&amp;COUNTIF($B$5:$B224,B224))</f>
        <v>0</v>
      </c>
      <c r="AI224" s="28">
        <f>IF(E224="","",E224&amp;"|"&amp;COUNTIF($E$5:$E224,E224))</f>
        <v>0</v>
      </c>
      <c r="AJ224" s="49">
        <f>IF(C224="","",IF(AE224="Missed","Missed visit - contact client",IF(Z224="Yes","Incident logged - follow up",IF(AND(AE224="Completed",AC224&lt;&gt;"Yes"),"Action - send client update",IF(AND(AE224="Completed",AD224&lt;&gt;"Yes"),"Check care checklist",IF(AND(C224&lt;TODAY(),AE224="Scheduled"),"Overdue - log the result","OK"))))))</f>
        <v>0</v>
      </c>
    </row>
    <row r="225" spans="1:36">
      <c r="A225" s="46">
        <f>IF(C225="","","VS-"&amp;TEXT(ROW()-4,"0000"))</f>
        <v>0</v>
      </c>
      <c r="D225" s="28">
        <f>IF(B225="","",IFERROR(INDEX(Bookings!$C$5:$C$404,MATCH(B225,Bookings!$A$5:$A$404,0)),""))</f>
        <v>0</v>
      </c>
      <c r="E225" s="28">
        <f>IF(B225="","",IFERROR(INDEX(Bookings!$E$5:$E$404,MATCH(B225,Bookings!$A$5:$A$404,0)),""))</f>
        <v>0</v>
      </c>
      <c r="F225" s="28">
        <f>IF(B225="","",IFERROR(INDEX(Bookings!$H$5:$H$404,MATCH(B225,Bookings!$A$5:$A$404,0)),""))</f>
        <v>0</v>
      </c>
      <c r="H225" s="53">
        <f>IF(B225="","",IFERROR(INDEX(Bookings!$K$5:$K$404,MATCH(B225,Bookings!$A$5:$A$404,0)),""))</f>
        <v>0</v>
      </c>
      <c r="K225" s="31">
        <f>IF(OR(I225="",J225=""),"",ROUND((J225-I225+IF(J225&lt;I225,1,0))*1440,0))</f>
        <v>0</v>
      </c>
      <c r="L225" s="49">
        <f>IF(OR(I225="",H225=""),"",IF(I225&lt;=H225+TIME(0,10,0),"On time","Late "&amp;TEXT((I225-H225)*1440,"0")&amp;" min"))</f>
        <v>0</v>
      </c>
      <c r="O225" s="31">
        <f>IF(OR(M225="",N225=""),"",ROUND((N225-M225+IF(N225&lt;M225,1,0))*1440,0))</f>
        <v>0</v>
      </c>
      <c r="AG225" s="28">
        <f>IF(C225="","",TEXT(C225,"yyyy-mm"))</f>
        <v>0</v>
      </c>
      <c r="AH225" s="28">
        <f>IF(B225="","",B225&amp;"|"&amp;COUNTIF($B$5:$B225,B225))</f>
        <v>0</v>
      </c>
      <c r="AI225" s="28">
        <f>IF(E225="","",E225&amp;"|"&amp;COUNTIF($E$5:$E225,E225))</f>
        <v>0</v>
      </c>
      <c r="AJ225" s="49">
        <f>IF(C225="","",IF(AE225="Missed","Missed visit - contact client",IF(Z225="Yes","Incident logged - follow up",IF(AND(AE225="Completed",AC225&lt;&gt;"Yes"),"Action - send client update",IF(AND(AE225="Completed",AD225&lt;&gt;"Yes"),"Check care checklist",IF(AND(C225&lt;TODAY(),AE225="Scheduled"),"Overdue - log the result","OK"))))))</f>
        <v>0</v>
      </c>
    </row>
    <row r="226" spans="1:36">
      <c r="A226" s="46">
        <f>IF(C226="","","VS-"&amp;TEXT(ROW()-4,"0000"))</f>
        <v>0</v>
      </c>
      <c r="D226" s="28">
        <f>IF(B226="","",IFERROR(INDEX(Bookings!$C$5:$C$404,MATCH(B226,Bookings!$A$5:$A$404,0)),""))</f>
        <v>0</v>
      </c>
      <c r="E226" s="28">
        <f>IF(B226="","",IFERROR(INDEX(Bookings!$E$5:$E$404,MATCH(B226,Bookings!$A$5:$A$404,0)),""))</f>
        <v>0</v>
      </c>
      <c r="F226" s="28">
        <f>IF(B226="","",IFERROR(INDEX(Bookings!$H$5:$H$404,MATCH(B226,Bookings!$A$5:$A$404,0)),""))</f>
        <v>0</v>
      </c>
      <c r="H226" s="53">
        <f>IF(B226="","",IFERROR(INDEX(Bookings!$K$5:$K$404,MATCH(B226,Bookings!$A$5:$A$404,0)),""))</f>
        <v>0</v>
      </c>
      <c r="K226" s="31">
        <f>IF(OR(I226="",J226=""),"",ROUND((J226-I226+IF(J226&lt;I226,1,0))*1440,0))</f>
        <v>0</v>
      </c>
      <c r="L226" s="49">
        <f>IF(OR(I226="",H226=""),"",IF(I226&lt;=H226+TIME(0,10,0),"On time","Late "&amp;TEXT((I226-H226)*1440,"0")&amp;" min"))</f>
        <v>0</v>
      </c>
      <c r="O226" s="31">
        <f>IF(OR(M226="",N226=""),"",ROUND((N226-M226+IF(N226&lt;M226,1,0))*1440,0))</f>
        <v>0</v>
      </c>
      <c r="AG226" s="28">
        <f>IF(C226="","",TEXT(C226,"yyyy-mm"))</f>
        <v>0</v>
      </c>
      <c r="AH226" s="28">
        <f>IF(B226="","",B226&amp;"|"&amp;COUNTIF($B$5:$B226,B226))</f>
        <v>0</v>
      </c>
      <c r="AI226" s="28">
        <f>IF(E226="","",E226&amp;"|"&amp;COUNTIF($E$5:$E226,E226))</f>
        <v>0</v>
      </c>
      <c r="AJ226" s="49">
        <f>IF(C226="","",IF(AE226="Missed","Missed visit - contact client",IF(Z226="Yes","Incident logged - follow up",IF(AND(AE226="Completed",AC226&lt;&gt;"Yes"),"Action - send client update",IF(AND(AE226="Completed",AD226&lt;&gt;"Yes"),"Check care checklist",IF(AND(C226&lt;TODAY(),AE226="Scheduled"),"Overdue - log the result","OK"))))))</f>
        <v>0</v>
      </c>
    </row>
    <row r="227" spans="1:36">
      <c r="A227" s="46">
        <f>IF(C227="","","VS-"&amp;TEXT(ROW()-4,"0000"))</f>
        <v>0</v>
      </c>
      <c r="D227" s="28">
        <f>IF(B227="","",IFERROR(INDEX(Bookings!$C$5:$C$404,MATCH(B227,Bookings!$A$5:$A$404,0)),""))</f>
        <v>0</v>
      </c>
      <c r="E227" s="28">
        <f>IF(B227="","",IFERROR(INDEX(Bookings!$E$5:$E$404,MATCH(B227,Bookings!$A$5:$A$404,0)),""))</f>
        <v>0</v>
      </c>
      <c r="F227" s="28">
        <f>IF(B227="","",IFERROR(INDEX(Bookings!$H$5:$H$404,MATCH(B227,Bookings!$A$5:$A$404,0)),""))</f>
        <v>0</v>
      </c>
      <c r="H227" s="53">
        <f>IF(B227="","",IFERROR(INDEX(Bookings!$K$5:$K$404,MATCH(B227,Bookings!$A$5:$A$404,0)),""))</f>
        <v>0</v>
      </c>
      <c r="K227" s="31">
        <f>IF(OR(I227="",J227=""),"",ROUND((J227-I227+IF(J227&lt;I227,1,0))*1440,0))</f>
        <v>0</v>
      </c>
      <c r="L227" s="49">
        <f>IF(OR(I227="",H227=""),"",IF(I227&lt;=H227+TIME(0,10,0),"On time","Late "&amp;TEXT((I227-H227)*1440,"0")&amp;" min"))</f>
        <v>0</v>
      </c>
      <c r="O227" s="31">
        <f>IF(OR(M227="",N227=""),"",ROUND((N227-M227+IF(N227&lt;M227,1,0))*1440,0))</f>
        <v>0</v>
      </c>
      <c r="AG227" s="28">
        <f>IF(C227="","",TEXT(C227,"yyyy-mm"))</f>
        <v>0</v>
      </c>
      <c r="AH227" s="28">
        <f>IF(B227="","",B227&amp;"|"&amp;COUNTIF($B$5:$B227,B227))</f>
        <v>0</v>
      </c>
      <c r="AI227" s="28">
        <f>IF(E227="","",E227&amp;"|"&amp;COUNTIF($E$5:$E227,E227))</f>
        <v>0</v>
      </c>
      <c r="AJ227" s="49">
        <f>IF(C227="","",IF(AE227="Missed","Missed visit - contact client",IF(Z227="Yes","Incident logged - follow up",IF(AND(AE227="Completed",AC227&lt;&gt;"Yes"),"Action - send client update",IF(AND(AE227="Completed",AD227&lt;&gt;"Yes"),"Check care checklist",IF(AND(C227&lt;TODAY(),AE227="Scheduled"),"Overdue - log the result","OK"))))))</f>
        <v>0</v>
      </c>
    </row>
    <row r="228" spans="1:36">
      <c r="A228" s="46">
        <f>IF(C228="","","VS-"&amp;TEXT(ROW()-4,"0000"))</f>
        <v>0</v>
      </c>
      <c r="D228" s="28">
        <f>IF(B228="","",IFERROR(INDEX(Bookings!$C$5:$C$404,MATCH(B228,Bookings!$A$5:$A$404,0)),""))</f>
        <v>0</v>
      </c>
      <c r="E228" s="28">
        <f>IF(B228="","",IFERROR(INDEX(Bookings!$E$5:$E$404,MATCH(B228,Bookings!$A$5:$A$404,0)),""))</f>
        <v>0</v>
      </c>
      <c r="F228" s="28">
        <f>IF(B228="","",IFERROR(INDEX(Bookings!$H$5:$H$404,MATCH(B228,Bookings!$A$5:$A$404,0)),""))</f>
        <v>0</v>
      </c>
      <c r="H228" s="53">
        <f>IF(B228="","",IFERROR(INDEX(Bookings!$K$5:$K$404,MATCH(B228,Bookings!$A$5:$A$404,0)),""))</f>
        <v>0</v>
      </c>
      <c r="K228" s="31">
        <f>IF(OR(I228="",J228=""),"",ROUND((J228-I228+IF(J228&lt;I228,1,0))*1440,0))</f>
        <v>0</v>
      </c>
      <c r="L228" s="49">
        <f>IF(OR(I228="",H228=""),"",IF(I228&lt;=H228+TIME(0,10,0),"On time","Late "&amp;TEXT((I228-H228)*1440,"0")&amp;" min"))</f>
        <v>0</v>
      </c>
      <c r="O228" s="31">
        <f>IF(OR(M228="",N228=""),"",ROUND((N228-M228+IF(N228&lt;M228,1,0))*1440,0))</f>
        <v>0</v>
      </c>
      <c r="AG228" s="28">
        <f>IF(C228="","",TEXT(C228,"yyyy-mm"))</f>
        <v>0</v>
      </c>
      <c r="AH228" s="28">
        <f>IF(B228="","",B228&amp;"|"&amp;COUNTIF($B$5:$B228,B228))</f>
        <v>0</v>
      </c>
      <c r="AI228" s="28">
        <f>IF(E228="","",E228&amp;"|"&amp;COUNTIF($E$5:$E228,E228))</f>
        <v>0</v>
      </c>
      <c r="AJ228" s="49">
        <f>IF(C228="","",IF(AE228="Missed","Missed visit - contact client",IF(Z228="Yes","Incident logged - follow up",IF(AND(AE228="Completed",AC228&lt;&gt;"Yes"),"Action - send client update",IF(AND(AE228="Completed",AD228&lt;&gt;"Yes"),"Check care checklist",IF(AND(C228&lt;TODAY(),AE228="Scheduled"),"Overdue - log the result","OK"))))))</f>
        <v>0</v>
      </c>
    </row>
    <row r="229" spans="1:36">
      <c r="A229" s="46">
        <f>IF(C229="","","VS-"&amp;TEXT(ROW()-4,"0000"))</f>
        <v>0</v>
      </c>
      <c r="D229" s="28">
        <f>IF(B229="","",IFERROR(INDEX(Bookings!$C$5:$C$404,MATCH(B229,Bookings!$A$5:$A$404,0)),""))</f>
        <v>0</v>
      </c>
      <c r="E229" s="28">
        <f>IF(B229="","",IFERROR(INDEX(Bookings!$E$5:$E$404,MATCH(B229,Bookings!$A$5:$A$404,0)),""))</f>
        <v>0</v>
      </c>
      <c r="F229" s="28">
        <f>IF(B229="","",IFERROR(INDEX(Bookings!$H$5:$H$404,MATCH(B229,Bookings!$A$5:$A$404,0)),""))</f>
        <v>0</v>
      </c>
      <c r="H229" s="53">
        <f>IF(B229="","",IFERROR(INDEX(Bookings!$K$5:$K$404,MATCH(B229,Bookings!$A$5:$A$404,0)),""))</f>
        <v>0</v>
      </c>
      <c r="K229" s="31">
        <f>IF(OR(I229="",J229=""),"",ROUND((J229-I229+IF(J229&lt;I229,1,0))*1440,0))</f>
        <v>0</v>
      </c>
      <c r="L229" s="49">
        <f>IF(OR(I229="",H229=""),"",IF(I229&lt;=H229+TIME(0,10,0),"On time","Late "&amp;TEXT((I229-H229)*1440,"0")&amp;" min"))</f>
        <v>0</v>
      </c>
      <c r="O229" s="31">
        <f>IF(OR(M229="",N229=""),"",ROUND((N229-M229+IF(N229&lt;M229,1,0))*1440,0))</f>
        <v>0</v>
      </c>
      <c r="AG229" s="28">
        <f>IF(C229="","",TEXT(C229,"yyyy-mm"))</f>
        <v>0</v>
      </c>
      <c r="AH229" s="28">
        <f>IF(B229="","",B229&amp;"|"&amp;COUNTIF($B$5:$B229,B229))</f>
        <v>0</v>
      </c>
      <c r="AI229" s="28">
        <f>IF(E229="","",E229&amp;"|"&amp;COUNTIF($E$5:$E229,E229))</f>
        <v>0</v>
      </c>
      <c r="AJ229" s="49">
        <f>IF(C229="","",IF(AE229="Missed","Missed visit - contact client",IF(Z229="Yes","Incident logged - follow up",IF(AND(AE229="Completed",AC229&lt;&gt;"Yes"),"Action - send client update",IF(AND(AE229="Completed",AD229&lt;&gt;"Yes"),"Check care checklist",IF(AND(C229&lt;TODAY(),AE229="Scheduled"),"Overdue - log the result","OK"))))))</f>
        <v>0</v>
      </c>
    </row>
    <row r="230" spans="1:36">
      <c r="A230" s="46">
        <f>IF(C230="","","VS-"&amp;TEXT(ROW()-4,"0000"))</f>
        <v>0</v>
      </c>
      <c r="D230" s="28">
        <f>IF(B230="","",IFERROR(INDEX(Bookings!$C$5:$C$404,MATCH(B230,Bookings!$A$5:$A$404,0)),""))</f>
        <v>0</v>
      </c>
      <c r="E230" s="28">
        <f>IF(B230="","",IFERROR(INDEX(Bookings!$E$5:$E$404,MATCH(B230,Bookings!$A$5:$A$404,0)),""))</f>
        <v>0</v>
      </c>
      <c r="F230" s="28">
        <f>IF(B230="","",IFERROR(INDEX(Bookings!$H$5:$H$404,MATCH(B230,Bookings!$A$5:$A$404,0)),""))</f>
        <v>0</v>
      </c>
      <c r="H230" s="53">
        <f>IF(B230="","",IFERROR(INDEX(Bookings!$K$5:$K$404,MATCH(B230,Bookings!$A$5:$A$404,0)),""))</f>
        <v>0</v>
      </c>
      <c r="K230" s="31">
        <f>IF(OR(I230="",J230=""),"",ROUND((J230-I230+IF(J230&lt;I230,1,0))*1440,0))</f>
        <v>0</v>
      </c>
      <c r="L230" s="49">
        <f>IF(OR(I230="",H230=""),"",IF(I230&lt;=H230+TIME(0,10,0),"On time","Late "&amp;TEXT((I230-H230)*1440,"0")&amp;" min"))</f>
        <v>0</v>
      </c>
      <c r="O230" s="31">
        <f>IF(OR(M230="",N230=""),"",ROUND((N230-M230+IF(N230&lt;M230,1,0))*1440,0))</f>
        <v>0</v>
      </c>
      <c r="AG230" s="28">
        <f>IF(C230="","",TEXT(C230,"yyyy-mm"))</f>
        <v>0</v>
      </c>
      <c r="AH230" s="28">
        <f>IF(B230="","",B230&amp;"|"&amp;COUNTIF($B$5:$B230,B230))</f>
        <v>0</v>
      </c>
      <c r="AI230" s="28">
        <f>IF(E230="","",E230&amp;"|"&amp;COUNTIF($E$5:$E230,E230))</f>
        <v>0</v>
      </c>
      <c r="AJ230" s="49">
        <f>IF(C230="","",IF(AE230="Missed","Missed visit - contact client",IF(Z230="Yes","Incident logged - follow up",IF(AND(AE230="Completed",AC230&lt;&gt;"Yes"),"Action - send client update",IF(AND(AE230="Completed",AD230&lt;&gt;"Yes"),"Check care checklist",IF(AND(C230&lt;TODAY(),AE230="Scheduled"),"Overdue - log the result","OK"))))))</f>
        <v>0</v>
      </c>
    </row>
    <row r="231" spans="1:36">
      <c r="A231" s="46">
        <f>IF(C231="","","VS-"&amp;TEXT(ROW()-4,"0000"))</f>
        <v>0</v>
      </c>
      <c r="D231" s="28">
        <f>IF(B231="","",IFERROR(INDEX(Bookings!$C$5:$C$404,MATCH(B231,Bookings!$A$5:$A$404,0)),""))</f>
        <v>0</v>
      </c>
      <c r="E231" s="28">
        <f>IF(B231="","",IFERROR(INDEX(Bookings!$E$5:$E$404,MATCH(B231,Bookings!$A$5:$A$404,0)),""))</f>
        <v>0</v>
      </c>
      <c r="F231" s="28">
        <f>IF(B231="","",IFERROR(INDEX(Bookings!$H$5:$H$404,MATCH(B231,Bookings!$A$5:$A$404,0)),""))</f>
        <v>0</v>
      </c>
      <c r="H231" s="53">
        <f>IF(B231="","",IFERROR(INDEX(Bookings!$K$5:$K$404,MATCH(B231,Bookings!$A$5:$A$404,0)),""))</f>
        <v>0</v>
      </c>
      <c r="K231" s="31">
        <f>IF(OR(I231="",J231=""),"",ROUND((J231-I231+IF(J231&lt;I231,1,0))*1440,0))</f>
        <v>0</v>
      </c>
      <c r="L231" s="49">
        <f>IF(OR(I231="",H231=""),"",IF(I231&lt;=H231+TIME(0,10,0),"On time","Late "&amp;TEXT((I231-H231)*1440,"0")&amp;" min"))</f>
        <v>0</v>
      </c>
      <c r="O231" s="31">
        <f>IF(OR(M231="",N231=""),"",ROUND((N231-M231+IF(N231&lt;M231,1,0))*1440,0))</f>
        <v>0</v>
      </c>
      <c r="AG231" s="28">
        <f>IF(C231="","",TEXT(C231,"yyyy-mm"))</f>
        <v>0</v>
      </c>
      <c r="AH231" s="28">
        <f>IF(B231="","",B231&amp;"|"&amp;COUNTIF($B$5:$B231,B231))</f>
        <v>0</v>
      </c>
      <c r="AI231" s="28">
        <f>IF(E231="","",E231&amp;"|"&amp;COUNTIF($E$5:$E231,E231))</f>
        <v>0</v>
      </c>
      <c r="AJ231" s="49">
        <f>IF(C231="","",IF(AE231="Missed","Missed visit - contact client",IF(Z231="Yes","Incident logged - follow up",IF(AND(AE231="Completed",AC231&lt;&gt;"Yes"),"Action - send client update",IF(AND(AE231="Completed",AD231&lt;&gt;"Yes"),"Check care checklist",IF(AND(C231&lt;TODAY(),AE231="Scheduled"),"Overdue - log the result","OK"))))))</f>
        <v>0</v>
      </c>
    </row>
    <row r="232" spans="1:36">
      <c r="A232" s="46">
        <f>IF(C232="","","VS-"&amp;TEXT(ROW()-4,"0000"))</f>
        <v>0</v>
      </c>
      <c r="D232" s="28">
        <f>IF(B232="","",IFERROR(INDEX(Bookings!$C$5:$C$404,MATCH(B232,Bookings!$A$5:$A$404,0)),""))</f>
        <v>0</v>
      </c>
      <c r="E232" s="28">
        <f>IF(B232="","",IFERROR(INDEX(Bookings!$E$5:$E$404,MATCH(B232,Bookings!$A$5:$A$404,0)),""))</f>
        <v>0</v>
      </c>
      <c r="F232" s="28">
        <f>IF(B232="","",IFERROR(INDEX(Bookings!$H$5:$H$404,MATCH(B232,Bookings!$A$5:$A$404,0)),""))</f>
        <v>0</v>
      </c>
      <c r="H232" s="53">
        <f>IF(B232="","",IFERROR(INDEX(Bookings!$K$5:$K$404,MATCH(B232,Bookings!$A$5:$A$404,0)),""))</f>
        <v>0</v>
      </c>
      <c r="K232" s="31">
        <f>IF(OR(I232="",J232=""),"",ROUND((J232-I232+IF(J232&lt;I232,1,0))*1440,0))</f>
        <v>0</v>
      </c>
      <c r="L232" s="49">
        <f>IF(OR(I232="",H232=""),"",IF(I232&lt;=H232+TIME(0,10,0),"On time","Late "&amp;TEXT((I232-H232)*1440,"0")&amp;" min"))</f>
        <v>0</v>
      </c>
      <c r="O232" s="31">
        <f>IF(OR(M232="",N232=""),"",ROUND((N232-M232+IF(N232&lt;M232,1,0))*1440,0))</f>
        <v>0</v>
      </c>
      <c r="AG232" s="28">
        <f>IF(C232="","",TEXT(C232,"yyyy-mm"))</f>
        <v>0</v>
      </c>
      <c r="AH232" s="28">
        <f>IF(B232="","",B232&amp;"|"&amp;COUNTIF($B$5:$B232,B232))</f>
        <v>0</v>
      </c>
      <c r="AI232" s="28">
        <f>IF(E232="","",E232&amp;"|"&amp;COUNTIF($E$5:$E232,E232))</f>
        <v>0</v>
      </c>
      <c r="AJ232" s="49">
        <f>IF(C232="","",IF(AE232="Missed","Missed visit - contact client",IF(Z232="Yes","Incident logged - follow up",IF(AND(AE232="Completed",AC232&lt;&gt;"Yes"),"Action - send client update",IF(AND(AE232="Completed",AD232&lt;&gt;"Yes"),"Check care checklist",IF(AND(C232&lt;TODAY(),AE232="Scheduled"),"Overdue - log the result","OK"))))))</f>
        <v>0</v>
      </c>
    </row>
    <row r="233" spans="1:36">
      <c r="A233" s="46">
        <f>IF(C233="","","VS-"&amp;TEXT(ROW()-4,"0000"))</f>
        <v>0</v>
      </c>
      <c r="D233" s="28">
        <f>IF(B233="","",IFERROR(INDEX(Bookings!$C$5:$C$404,MATCH(B233,Bookings!$A$5:$A$404,0)),""))</f>
        <v>0</v>
      </c>
      <c r="E233" s="28">
        <f>IF(B233="","",IFERROR(INDEX(Bookings!$E$5:$E$404,MATCH(B233,Bookings!$A$5:$A$404,0)),""))</f>
        <v>0</v>
      </c>
      <c r="F233" s="28">
        <f>IF(B233="","",IFERROR(INDEX(Bookings!$H$5:$H$404,MATCH(B233,Bookings!$A$5:$A$404,0)),""))</f>
        <v>0</v>
      </c>
      <c r="H233" s="53">
        <f>IF(B233="","",IFERROR(INDEX(Bookings!$K$5:$K$404,MATCH(B233,Bookings!$A$5:$A$404,0)),""))</f>
        <v>0</v>
      </c>
      <c r="K233" s="31">
        <f>IF(OR(I233="",J233=""),"",ROUND((J233-I233+IF(J233&lt;I233,1,0))*1440,0))</f>
        <v>0</v>
      </c>
      <c r="L233" s="49">
        <f>IF(OR(I233="",H233=""),"",IF(I233&lt;=H233+TIME(0,10,0),"On time","Late "&amp;TEXT((I233-H233)*1440,"0")&amp;" min"))</f>
        <v>0</v>
      </c>
      <c r="O233" s="31">
        <f>IF(OR(M233="",N233=""),"",ROUND((N233-M233+IF(N233&lt;M233,1,0))*1440,0))</f>
        <v>0</v>
      </c>
      <c r="AG233" s="28">
        <f>IF(C233="","",TEXT(C233,"yyyy-mm"))</f>
        <v>0</v>
      </c>
      <c r="AH233" s="28">
        <f>IF(B233="","",B233&amp;"|"&amp;COUNTIF($B$5:$B233,B233))</f>
        <v>0</v>
      </c>
      <c r="AI233" s="28">
        <f>IF(E233="","",E233&amp;"|"&amp;COUNTIF($E$5:$E233,E233))</f>
        <v>0</v>
      </c>
      <c r="AJ233" s="49">
        <f>IF(C233="","",IF(AE233="Missed","Missed visit - contact client",IF(Z233="Yes","Incident logged - follow up",IF(AND(AE233="Completed",AC233&lt;&gt;"Yes"),"Action - send client update",IF(AND(AE233="Completed",AD233&lt;&gt;"Yes"),"Check care checklist",IF(AND(C233&lt;TODAY(),AE233="Scheduled"),"Overdue - log the result","OK"))))))</f>
        <v>0</v>
      </c>
    </row>
    <row r="234" spans="1:36">
      <c r="A234" s="46">
        <f>IF(C234="","","VS-"&amp;TEXT(ROW()-4,"0000"))</f>
        <v>0</v>
      </c>
      <c r="D234" s="28">
        <f>IF(B234="","",IFERROR(INDEX(Bookings!$C$5:$C$404,MATCH(B234,Bookings!$A$5:$A$404,0)),""))</f>
        <v>0</v>
      </c>
      <c r="E234" s="28">
        <f>IF(B234="","",IFERROR(INDEX(Bookings!$E$5:$E$404,MATCH(B234,Bookings!$A$5:$A$404,0)),""))</f>
        <v>0</v>
      </c>
      <c r="F234" s="28">
        <f>IF(B234="","",IFERROR(INDEX(Bookings!$H$5:$H$404,MATCH(B234,Bookings!$A$5:$A$404,0)),""))</f>
        <v>0</v>
      </c>
      <c r="H234" s="53">
        <f>IF(B234="","",IFERROR(INDEX(Bookings!$K$5:$K$404,MATCH(B234,Bookings!$A$5:$A$404,0)),""))</f>
        <v>0</v>
      </c>
      <c r="K234" s="31">
        <f>IF(OR(I234="",J234=""),"",ROUND((J234-I234+IF(J234&lt;I234,1,0))*1440,0))</f>
        <v>0</v>
      </c>
      <c r="L234" s="49">
        <f>IF(OR(I234="",H234=""),"",IF(I234&lt;=H234+TIME(0,10,0),"On time","Late "&amp;TEXT((I234-H234)*1440,"0")&amp;" min"))</f>
        <v>0</v>
      </c>
      <c r="O234" s="31">
        <f>IF(OR(M234="",N234=""),"",ROUND((N234-M234+IF(N234&lt;M234,1,0))*1440,0))</f>
        <v>0</v>
      </c>
      <c r="AG234" s="28">
        <f>IF(C234="","",TEXT(C234,"yyyy-mm"))</f>
        <v>0</v>
      </c>
      <c r="AH234" s="28">
        <f>IF(B234="","",B234&amp;"|"&amp;COUNTIF($B$5:$B234,B234))</f>
        <v>0</v>
      </c>
      <c r="AI234" s="28">
        <f>IF(E234="","",E234&amp;"|"&amp;COUNTIF($E$5:$E234,E234))</f>
        <v>0</v>
      </c>
      <c r="AJ234" s="49">
        <f>IF(C234="","",IF(AE234="Missed","Missed visit - contact client",IF(Z234="Yes","Incident logged - follow up",IF(AND(AE234="Completed",AC234&lt;&gt;"Yes"),"Action - send client update",IF(AND(AE234="Completed",AD234&lt;&gt;"Yes"),"Check care checklist",IF(AND(C234&lt;TODAY(),AE234="Scheduled"),"Overdue - log the result","OK"))))))</f>
        <v>0</v>
      </c>
    </row>
    <row r="235" spans="1:36">
      <c r="A235" s="46">
        <f>IF(C235="","","VS-"&amp;TEXT(ROW()-4,"0000"))</f>
        <v>0</v>
      </c>
      <c r="D235" s="28">
        <f>IF(B235="","",IFERROR(INDEX(Bookings!$C$5:$C$404,MATCH(B235,Bookings!$A$5:$A$404,0)),""))</f>
        <v>0</v>
      </c>
      <c r="E235" s="28">
        <f>IF(B235="","",IFERROR(INDEX(Bookings!$E$5:$E$404,MATCH(B235,Bookings!$A$5:$A$404,0)),""))</f>
        <v>0</v>
      </c>
      <c r="F235" s="28">
        <f>IF(B235="","",IFERROR(INDEX(Bookings!$H$5:$H$404,MATCH(B235,Bookings!$A$5:$A$404,0)),""))</f>
        <v>0</v>
      </c>
      <c r="H235" s="53">
        <f>IF(B235="","",IFERROR(INDEX(Bookings!$K$5:$K$404,MATCH(B235,Bookings!$A$5:$A$404,0)),""))</f>
        <v>0</v>
      </c>
      <c r="K235" s="31">
        <f>IF(OR(I235="",J235=""),"",ROUND((J235-I235+IF(J235&lt;I235,1,0))*1440,0))</f>
        <v>0</v>
      </c>
      <c r="L235" s="49">
        <f>IF(OR(I235="",H235=""),"",IF(I235&lt;=H235+TIME(0,10,0),"On time","Late "&amp;TEXT((I235-H235)*1440,"0")&amp;" min"))</f>
        <v>0</v>
      </c>
      <c r="O235" s="31">
        <f>IF(OR(M235="",N235=""),"",ROUND((N235-M235+IF(N235&lt;M235,1,0))*1440,0))</f>
        <v>0</v>
      </c>
      <c r="AG235" s="28">
        <f>IF(C235="","",TEXT(C235,"yyyy-mm"))</f>
        <v>0</v>
      </c>
      <c r="AH235" s="28">
        <f>IF(B235="","",B235&amp;"|"&amp;COUNTIF($B$5:$B235,B235))</f>
        <v>0</v>
      </c>
      <c r="AI235" s="28">
        <f>IF(E235="","",E235&amp;"|"&amp;COUNTIF($E$5:$E235,E235))</f>
        <v>0</v>
      </c>
      <c r="AJ235" s="49">
        <f>IF(C235="","",IF(AE235="Missed","Missed visit - contact client",IF(Z235="Yes","Incident logged - follow up",IF(AND(AE235="Completed",AC235&lt;&gt;"Yes"),"Action - send client update",IF(AND(AE235="Completed",AD235&lt;&gt;"Yes"),"Check care checklist",IF(AND(C235&lt;TODAY(),AE235="Scheduled"),"Overdue - log the result","OK"))))))</f>
        <v>0</v>
      </c>
    </row>
    <row r="236" spans="1:36">
      <c r="A236" s="46">
        <f>IF(C236="","","VS-"&amp;TEXT(ROW()-4,"0000"))</f>
        <v>0</v>
      </c>
      <c r="D236" s="28">
        <f>IF(B236="","",IFERROR(INDEX(Bookings!$C$5:$C$404,MATCH(B236,Bookings!$A$5:$A$404,0)),""))</f>
        <v>0</v>
      </c>
      <c r="E236" s="28">
        <f>IF(B236="","",IFERROR(INDEX(Bookings!$E$5:$E$404,MATCH(B236,Bookings!$A$5:$A$404,0)),""))</f>
        <v>0</v>
      </c>
      <c r="F236" s="28">
        <f>IF(B236="","",IFERROR(INDEX(Bookings!$H$5:$H$404,MATCH(B236,Bookings!$A$5:$A$404,0)),""))</f>
        <v>0</v>
      </c>
      <c r="H236" s="53">
        <f>IF(B236="","",IFERROR(INDEX(Bookings!$K$5:$K$404,MATCH(B236,Bookings!$A$5:$A$404,0)),""))</f>
        <v>0</v>
      </c>
      <c r="K236" s="31">
        <f>IF(OR(I236="",J236=""),"",ROUND((J236-I236+IF(J236&lt;I236,1,0))*1440,0))</f>
        <v>0</v>
      </c>
      <c r="L236" s="49">
        <f>IF(OR(I236="",H236=""),"",IF(I236&lt;=H236+TIME(0,10,0),"On time","Late "&amp;TEXT((I236-H236)*1440,"0")&amp;" min"))</f>
        <v>0</v>
      </c>
      <c r="O236" s="31">
        <f>IF(OR(M236="",N236=""),"",ROUND((N236-M236+IF(N236&lt;M236,1,0))*1440,0))</f>
        <v>0</v>
      </c>
      <c r="AG236" s="28">
        <f>IF(C236="","",TEXT(C236,"yyyy-mm"))</f>
        <v>0</v>
      </c>
      <c r="AH236" s="28">
        <f>IF(B236="","",B236&amp;"|"&amp;COUNTIF($B$5:$B236,B236))</f>
        <v>0</v>
      </c>
      <c r="AI236" s="28">
        <f>IF(E236="","",E236&amp;"|"&amp;COUNTIF($E$5:$E236,E236))</f>
        <v>0</v>
      </c>
      <c r="AJ236" s="49">
        <f>IF(C236="","",IF(AE236="Missed","Missed visit - contact client",IF(Z236="Yes","Incident logged - follow up",IF(AND(AE236="Completed",AC236&lt;&gt;"Yes"),"Action - send client update",IF(AND(AE236="Completed",AD236&lt;&gt;"Yes"),"Check care checklist",IF(AND(C236&lt;TODAY(),AE236="Scheduled"),"Overdue - log the result","OK"))))))</f>
        <v>0</v>
      </c>
    </row>
    <row r="237" spans="1:36">
      <c r="A237" s="46">
        <f>IF(C237="","","VS-"&amp;TEXT(ROW()-4,"0000"))</f>
        <v>0</v>
      </c>
      <c r="D237" s="28">
        <f>IF(B237="","",IFERROR(INDEX(Bookings!$C$5:$C$404,MATCH(B237,Bookings!$A$5:$A$404,0)),""))</f>
        <v>0</v>
      </c>
      <c r="E237" s="28">
        <f>IF(B237="","",IFERROR(INDEX(Bookings!$E$5:$E$404,MATCH(B237,Bookings!$A$5:$A$404,0)),""))</f>
        <v>0</v>
      </c>
      <c r="F237" s="28">
        <f>IF(B237="","",IFERROR(INDEX(Bookings!$H$5:$H$404,MATCH(B237,Bookings!$A$5:$A$404,0)),""))</f>
        <v>0</v>
      </c>
      <c r="H237" s="53">
        <f>IF(B237="","",IFERROR(INDEX(Bookings!$K$5:$K$404,MATCH(B237,Bookings!$A$5:$A$404,0)),""))</f>
        <v>0</v>
      </c>
      <c r="K237" s="31">
        <f>IF(OR(I237="",J237=""),"",ROUND((J237-I237+IF(J237&lt;I237,1,0))*1440,0))</f>
        <v>0</v>
      </c>
      <c r="L237" s="49">
        <f>IF(OR(I237="",H237=""),"",IF(I237&lt;=H237+TIME(0,10,0),"On time","Late "&amp;TEXT((I237-H237)*1440,"0")&amp;" min"))</f>
        <v>0</v>
      </c>
      <c r="O237" s="31">
        <f>IF(OR(M237="",N237=""),"",ROUND((N237-M237+IF(N237&lt;M237,1,0))*1440,0))</f>
        <v>0</v>
      </c>
      <c r="AG237" s="28">
        <f>IF(C237="","",TEXT(C237,"yyyy-mm"))</f>
        <v>0</v>
      </c>
      <c r="AH237" s="28">
        <f>IF(B237="","",B237&amp;"|"&amp;COUNTIF($B$5:$B237,B237))</f>
        <v>0</v>
      </c>
      <c r="AI237" s="28">
        <f>IF(E237="","",E237&amp;"|"&amp;COUNTIF($E$5:$E237,E237))</f>
        <v>0</v>
      </c>
      <c r="AJ237" s="49">
        <f>IF(C237="","",IF(AE237="Missed","Missed visit - contact client",IF(Z237="Yes","Incident logged - follow up",IF(AND(AE237="Completed",AC237&lt;&gt;"Yes"),"Action - send client update",IF(AND(AE237="Completed",AD237&lt;&gt;"Yes"),"Check care checklist",IF(AND(C237&lt;TODAY(),AE237="Scheduled"),"Overdue - log the result","OK"))))))</f>
        <v>0</v>
      </c>
    </row>
    <row r="238" spans="1:36">
      <c r="A238" s="46">
        <f>IF(C238="","","VS-"&amp;TEXT(ROW()-4,"0000"))</f>
        <v>0</v>
      </c>
      <c r="D238" s="28">
        <f>IF(B238="","",IFERROR(INDEX(Bookings!$C$5:$C$404,MATCH(B238,Bookings!$A$5:$A$404,0)),""))</f>
        <v>0</v>
      </c>
      <c r="E238" s="28">
        <f>IF(B238="","",IFERROR(INDEX(Bookings!$E$5:$E$404,MATCH(B238,Bookings!$A$5:$A$404,0)),""))</f>
        <v>0</v>
      </c>
      <c r="F238" s="28">
        <f>IF(B238="","",IFERROR(INDEX(Bookings!$H$5:$H$404,MATCH(B238,Bookings!$A$5:$A$404,0)),""))</f>
        <v>0</v>
      </c>
      <c r="H238" s="53">
        <f>IF(B238="","",IFERROR(INDEX(Bookings!$K$5:$K$404,MATCH(B238,Bookings!$A$5:$A$404,0)),""))</f>
        <v>0</v>
      </c>
      <c r="K238" s="31">
        <f>IF(OR(I238="",J238=""),"",ROUND((J238-I238+IF(J238&lt;I238,1,0))*1440,0))</f>
        <v>0</v>
      </c>
      <c r="L238" s="49">
        <f>IF(OR(I238="",H238=""),"",IF(I238&lt;=H238+TIME(0,10,0),"On time","Late "&amp;TEXT((I238-H238)*1440,"0")&amp;" min"))</f>
        <v>0</v>
      </c>
      <c r="O238" s="31">
        <f>IF(OR(M238="",N238=""),"",ROUND((N238-M238+IF(N238&lt;M238,1,0))*1440,0))</f>
        <v>0</v>
      </c>
      <c r="AG238" s="28">
        <f>IF(C238="","",TEXT(C238,"yyyy-mm"))</f>
        <v>0</v>
      </c>
      <c r="AH238" s="28">
        <f>IF(B238="","",B238&amp;"|"&amp;COUNTIF($B$5:$B238,B238))</f>
        <v>0</v>
      </c>
      <c r="AI238" s="28">
        <f>IF(E238="","",E238&amp;"|"&amp;COUNTIF($E$5:$E238,E238))</f>
        <v>0</v>
      </c>
      <c r="AJ238" s="49">
        <f>IF(C238="","",IF(AE238="Missed","Missed visit - contact client",IF(Z238="Yes","Incident logged - follow up",IF(AND(AE238="Completed",AC238&lt;&gt;"Yes"),"Action - send client update",IF(AND(AE238="Completed",AD238&lt;&gt;"Yes"),"Check care checklist",IF(AND(C238&lt;TODAY(),AE238="Scheduled"),"Overdue - log the result","OK"))))))</f>
        <v>0</v>
      </c>
    </row>
    <row r="239" spans="1:36">
      <c r="A239" s="46">
        <f>IF(C239="","","VS-"&amp;TEXT(ROW()-4,"0000"))</f>
        <v>0</v>
      </c>
      <c r="D239" s="28">
        <f>IF(B239="","",IFERROR(INDEX(Bookings!$C$5:$C$404,MATCH(B239,Bookings!$A$5:$A$404,0)),""))</f>
        <v>0</v>
      </c>
      <c r="E239" s="28">
        <f>IF(B239="","",IFERROR(INDEX(Bookings!$E$5:$E$404,MATCH(B239,Bookings!$A$5:$A$404,0)),""))</f>
        <v>0</v>
      </c>
      <c r="F239" s="28">
        <f>IF(B239="","",IFERROR(INDEX(Bookings!$H$5:$H$404,MATCH(B239,Bookings!$A$5:$A$404,0)),""))</f>
        <v>0</v>
      </c>
      <c r="H239" s="53">
        <f>IF(B239="","",IFERROR(INDEX(Bookings!$K$5:$K$404,MATCH(B239,Bookings!$A$5:$A$404,0)),""))</f>
        <v>0</v>
      </c>
      <c r="K239" s="31">
        <f>IF(OR(I239="",J239=""),"",ROUND((J239-I239+IF(J239&lt;I239,1,0))*1440,0))</f>
        <v>0</v>
      </c>
      <c r="L239" s="49">
        <f>IF(OR(I239="",H239=""),"",IF(I239&lt;=H239+TIME(0,10,0),"On time","Late "&amp;TEXT((I239-H239)*1440,"0")&amp;" min"))</f>
        <v>0</v>
      </c>
      <c r="O239" s="31">
        <f>IF(OR(M239="",N239=""),"",ROUND((N239-M239+IF(N239&lt;M239,1,0))*1440,0))</f>
        <v>0</v>
      </c>
      <c r="AG239" s="28">
        <f>IF(C239="","",TEXT(C239,"yyyy-mm"))</f>
        <v>0</v>
      </c>
      <c r="AH239" s="28">
        <f>IF(B239="","",B239&amp;"|"&amp;COUNTIF($B$5:$B239,B239))</f>
        <v>0</v>
      </c>
      <c r="AI239" s="28">
        <f>IF(E239="","",E239&amp;"|"&amp;COUNTIF($E$5:$E239,E239))</f>
        <v>0</v>
      </c>
      <c r="AJ239" s="49">
        <f>IF(C239="","",IF(AE239="Missed","Missed visit - contact client",IF(Z239="Yes","Incident logged - follow up",IF(AND(AE239="Completed",AC239&lt;&gt;"Yes"),"Action - send client update",IF(AND(AE239="Completed",AD239&lt;&gt;"Yes"),"Check care checklist",IF(AND(C239&lt;TODAY(),AE239="Scheduled"),"Overdue - log the result","OK"))))))</f>
        <v>0</v>
      </c>
    </row>
    <row r="240" spans="1:36">
      <c r="A240" s="46">
        <f>IF(C240="","","VS-"&amp;TEXT(ROW()-4,"0000"))</f>
        <v>0</v>
      </c>
      <c r="D240" s="28">
        <f>IF(B240="","",IFERROR(INDEX(Bookings!$C$5:$C$404,MATCH(B240,Bookings!$A$5:$A$404,0)),""))</f>
        <v>0</v>
      </c>
      <c r="E240" s="28">
        <f>IF(B240="","",IFERROR(INDEX(Bookings!$E$5:$E$404,MATCH(B240,Bookings!$A$5:$A$404,0)),""))</f>
        <v>0</v>
      </c>
      <c r="F240" s="28">
        <f>IF(B240="","",IFERROR(INDEX(Bookings!$H$5:$H$404,MATCH(B240,Bookings!$A$5:$A$404,0)),""))</f>
        <v>0</v>
      </c>
      <c r="H240" s="53">
        <f>IF(B240="","",IFERROR(INDEX(Bookings!$K$5:$K$404,MATCH(B240,Bookings!$A$5:$A$404,0)),""))</f>
        <v>0</v>
      </c>
      <c r="K240" s="31">
        <f>IF(OR(I240="",J240=""),"",ROUND((J240-I240+IF(J240&lt;I240,1,0))*1440,0))</f>
        <v>0</v>
      </c>
      <c r="L240" s="49">
        <f>IF(OR(I240="",H240=""),"",IF(I240&lt;=H240+TIME(0,10,0),"On time","Late "&amp;TEXT((I240-H240)*1440,"0")&amp;" min"))</f>
        <v>0</v>
      </c>
      <c r="O240" s="31">
        <f>IF(OR(M240="",N240=""),"",ROUND((N240-M240+IF(N240&lt;M240,1,0))*1440,0))</f>
        <v>0</v>
      </c>
      <c r="AG240" s="28">
        <f>IF(C240="","",TEXT(C240,"yyyy-mm"))</f>
        <v>0</v>
      </c>
      <c r="AH240" s="28">
        <f>IF(B240="","",B240&amp;"|"&amp;COUNTIF($B$5:$B240,B240))</f>
        <v>0</v>
      </c>
      <c r="AI240" s="28">
        <f>IF(E240="","",E240&amp;"|"&amp;COUNTIF($E$5:$E240,E240))</f>
        <v>0</v>
      </c>
      <c r="AJ240" s="49">
        <f>IF(C240="","",IF(AE240="Missed","Missed visit - contact client",IF(Z240="Yes","Incident logged - follow up",IF(AND(AE240="Completed",AC240&lt;&gt;"Yes"),"Action - send client update",IF(AND(AE240="Completed",AD240&lt;&gt;"Yes"),"Check care checklist",IF(AND(C240&lt;TODAY(),AE240="Scheduled"),"Overdue - log the result","OK"))))))</f>
        <v>0</v>
      </c>
    </row>
    <row r="241" spans="1:36">
      <c r="A241" s="46">
        <f>IF(C241="","","VS-"&amp;TEXT(ROW()-4,"0000"))</f>
        <v>0</v>
      </c>
      <c r="D241" s="28">
        <f>IF(B241="","",IFERROR(INDEX(Bookings!$C$5:$C$404,MATCH(B241,Bookings!$A$5:$A$404,0)),""))</f>
        <v>0</v>
      </c>
      <c r="E241" s="28">
        <f>IF(B241="","",IFERROR(INDEX(Bookings!$E$5:$E$404,MATCH(B241,Bookings!$A$5:$A$404,0)),""))</f>
        <v>0</v>
      </c>
      <c r="F241" s="28">
        <f>IF(B241="","",IFERROR(INDEX(Bookings!$H$5:$H$404,MATCH(B241,Bookings!$A$5:$A$404,0)),""))</f>
        <v>0</v>
      </c>
      <c r="H241" s="53">
        <f>IF(B241="","",IFERROR(INDEX(Bookings!$K$5:$K$404,MATCH(B241,Bookings!$A$5:$A$404,0)),""))</f>
        <v>0</v>
      </c>
      <c r="K241" s="31">
        <f>IF(OR(I241="",J241=""),"",ROUND((J241-I241+IF(J241&lt;I241,1,0))*1440,0))</f>
        <v>0</v>
      </c>
      <c r="L241" s="49">
        <f>IF(OR(I241="",H241=""),"",IF(I241&lt;=H241+TIME(0,10,0),"On time","Late "&amp;TEXT((I241-H241)*1440,"0")&amp;" min"))</f>
        <v>0</v>
      </c>
      <c r="O241" s="31">
        <f>IF(OR(M241="",N241=""),"",ROUND((N241-M241+IF(N241&lt;M241,1,0))*1440,0))</f>
        <v>0</v>
      </c>
      <c r="AG241" s="28">
        <f>IF(C241="","",TEXT(C241,"yyyy-mm"))</f>
        <v>0</v>
      </c>
      <c r="AH241" s="28">
        <f>IF(B241="","",B241&amp;"|"&amp;COUNTIF($B$5:$B241,B241))</f>
        <v>0</v>
      </c>
      <c r="AI241" s="28">
        <f>IF(E241="","",E241&amp;"|"&amp;COUNTIF($E$5:$E241,E241))</f>
        <v>0</v>
      </c>
      <c r="AJ241" s="49">
        <f>IF(C241="","",IF(AE241="Missed","Missed visit - contact client",IF(Z241="Yes","Incident logged - follow up",IF(AND(AE241="Completed",AC241&lt;&gt;"Yes"),"Action - send client update",IF(AND(AE241="Completed",AD241&lt;&gt;"Yes"),"Check care checklist",IF(AND(C241&lt;TODAY(),AE241="Scheduled"),"Overdue - log the result","OK"))))))</f>
        <v>0</v>
      </c>
    </row>
    <row r="242" spans="1:36">
      <c r="A242" s="46">
        <f>IF(C242="","","VS-"&amp;TEXT(ROW()-4,"0000"))</f>
        <v>0</v>
      </c>
      <c r="D242" s="28">
        <f>IF(B242="","",IFERROR(INDEX(Bookings!$C$5:$C$404,MATCH(B242,Bookings!$A$5:$A$404,0)),""))</f>
        <v>0</v>
      </c>
      <c r="E242" s="28">
        <f>IF(B242="","",IFERROR(INDEX(Bookings!$E$5:$E$404,MATCH(B242,Bookings!$A$5:$A$404,0)),""))</f>
        <v>0</v>
      </c>
      <c r="F242" s="28">
        <f>IF(B242="","",IFERROR(INDEX(Bookings!$H$5:$H$404,MATCH(B242,Bookings!$A$5:$A$404,0)),""))</f>
        <v>0</v>
      </c>
      <c r="H242" s="53">
        <f>IF(B242="","",IFERROR(INDEX(Bookings!$K$5:$K$404,MATCH(B242,Bookings!$A$5:$A$404,0)),""))</f>
        <v>0</v>
      </c>
      <c r="K242" s="31">
        <f>IF(OR(I242="",J242=""),"",ROUND((J242-I242+IF(J242&lt;I242,1,0))*1440,0))</f>
        <v>0</v>
      </c>
      <c r="L242" s="49">
        <f>IF(OR(I242="",H242=""),"",IF(I242&lt;=H242+TIME(0,10,0),"On time","Late "&amp;TEXT((I242-H242)*1440,"0")&amp;" min"))</f>
        <v>0</v>
      </c>
      <c r="O242" s="31">
        <f>IF(OR(M242="",N242=""),"",ROUND((N242-M242+IF(N242&lt;M242,1,0))*1440,0))</f>
        <v>0</v>
      </c>
      <c r="AG242" s="28">
        <f>IF(C242="","",TEXT(C242,"yyyy-mm"))</f>
        <v>0</v>
      </c>
      <c r="AH242" s="28">
        <f>IF(B242="","",B242&amp;"|"&amp;COUNTIF($B$5:$B242,B242))</f>
        <v>0</v>
      </c>
      <c r="AI242" s="28">
        <f>IF(E242="","",E242&amp;"|"&amp;COUNTIF($E$5:$E242,E242))</f>
        <v>0</v>
      </c>
      <c r="AJ242" s="49">
        <f>IF(C242="","",IF(AE242="Missed","Missed visit - contact client",IF(Z242="Yes","Incident logged - follow up",IF(AND(AE242="Completed",AC242&lt;&gt;"Yes"),"Action - send client update",IF(AND(AE242="Completed",AD242&lt;&gt;"Yes"),"Check care checklist",IF(AND(C242&lt;TODAY(),AE242="Scheduled"),"Overdue - log the result","OK"))))))</f>
        <v>0</v>
      </c>
    </row>
    <row r="243" spans="1:36">
      <c r="A243" s="46">
        <f>IF(C243="","","VS-"&amp;TEXT(ROW()-4,"0000"))</f>
        <v>0</v>
      </c>
      <c r="D243" s="28">
        <f>IF(B243="","",IFERROR(INDEX(Bookings!$C$5:$C$404,MATCH(B243,Bookings!$A$5:$A$404,0)),""))</f>
        <v>0</v>
      </c>
      <c r="E243" s="28">
        <f>IF(B243="","",IFERROR(INDEX(Bookings!$E$5:$E$404,MATCH(B243,Bookings!$A$5:$A$404,0)),""))</f>
        <v>0</v>
      </c>
      <c r="F243" s="28">
        <f>IF(B243="","",IFERROR(INDEX(Bookings!$H$5:$H$404,MATCH(B243,Bookings!$A$5:$A$404,0)),""))</f>
        <v>0</v>
      </c>
      <c r="H243" s="53">
        <f>IF(B243="","",IFERROR(INDEX(Bookings!$K$5:$K$404,MATCH(B243,Bookings!$A$5:$A$404,0)),""))</f>
        <v>0</v>
      </c>
      <c r="K243" s="31">
        <f>IF(OR(I243="",J243=""),"",ROUND((J243-I243+IF(J243&lt;I243,1,0))*1440,0))</f>
        <v>0</v>
      </c>
      <c r="L243" s="49">
        <f>IF(OR(I243="",H243=""),"",IF(I243&lt;=H243+TIME(0,10,0),"On time","Late "&amp;TEXT((I243-H243)*1440,"0")&amp;" min"))</f>
        <v>0</v>
      </c>
      <c r="O243" s="31">
        <f>IF(OR(M243="",N243=""),"",ROUND((N243-M243+IF(N243&lt;M243,1,0))*1440,0))</f>
        <v>0</v>
      </c>
      <c r="AG243" s="28">
        <f>IF(C243="","",TEXT(C243,"yyyy-mm"))</f>
        <v>0</v>
      </c>
      <c r="AH243" s="28">
        <f>IF(B243="","",B243&amp;"|"&amp;COUNTIF($B$5:$B243,B243))</f>
        <v>0</v>
      </c>
      <c r="AI243" s="28">
        <f>IF(E243="","",E243&amp;"|"&amp;COUNTIF($E$5:$E243,E243))</f>
        <v>0</v>
      </c>
      <c r="AJ243" s="49">
        <f>IF(C243="","",IF(AE243="Missed","Missed visit - contact client",IF(Z243="Yes","Incident logged - follow up",IF(AND(AE243="Completed",AC243&lt;&gt;"Yes"),"Action - send client update",IF(AND(AE243="Completed",AD243&lt;&gt;"Yes"),"Check care checklist",IF(AND(C243&lt;TODAY(),AE243="Scheduled"),"Overdue - log the result","OK"))))))</f>
        <v>0</v>
      </c>
    </row>
    <row r="244" spans="1:36">
      <c r="A244" s="46">
        <f>IF(C244="","","VS-"&amp;TEXT(ROW()-4,"0000"))</f>
        <v>0</v>
      </c>
      <c r="D244" s="28">
        <f>IF(B244="","",IFERROR(INDEX(Bookings!$C$5:$C$404,MATCH(B244,Bookings!$A$5:$A$404,0)),""))</f>
        <v>0</v>
      </c>
      <c r="E244" s="28">
        <f>IF(B244="","",IFERROR(INDEX(Bookings!$E$5:$E$404,MATCH(B244,Bookings!$A$5:$A$404,0)),""))</f>
        <v>0</v>
      </c>
      <c r="F244" s="28">
        <f>IF(B244="","",IFERROR(INDEX(Bookings!$H$5:$H$404,MATCH(B244,Bookings!$A$5:$A$404,0)),""))</f>
        <v>0</v>
      </c>
      <c r="H244" s="53">
        <f>IF(B244="","",IFERROR(INDEX(Bookings!$K$5:$K$404,MATCH(B244,Bookings!$A$5:$A$404,0)),""))</f>
        <v>0</v>
      </c>
      <c r="K244" s="31">
        <f>IF(OR(I244="",J244=""),"",ROUND((J244-I244+IF(J244&lt;I244,1,0))*1440,0))</f>
        <v>0</v>
      </c>
      <c r="L244" s="49">
        <f>IF(OR(I244="",H244=""),"",IF(I244&lt;=H244+TIME(0,10,0),"On time","Late "&amp;TEXT((I244-H244)*1440,"0")&amp;" min"))</f>
        <v>0</v>
      </c>
      <c r="O244" s="31">
        <f>IF(OR(M244="",N244=""),"",ROUND((N244-M244+IF(N244&lt;M244,1,0))*1440,0))</f>
        <v>0</v>
      </c>
      <c r="AG244" s="28">
        <f>IF(C244="","",TEXT(C244,"yyyy-mm"))</f>
        <v>0</v>
      </c>
      <c r="AH244" s="28">
        <f>IF(B244="","",B244&amp;"|"&amp;COUNTIF($B$5:$B244,B244))</f>
        <v>0</v>
      </c>
      <c r="AI244" s="28">
        <f>IF(E244="","",E244&amp;"|"&amp;COUNTIF($E$5:$E244,E244))</f>
        <v>0</v>
      </c>
      <c r="AJ244" s="49">
        <f>IF(C244="","",IF(AE244="Missed","Missed visit - contact client",IF(Z244="Yes","Incident logged - follow up",IF(AND(AE244="Completed",AC244&lt;&gt;"Yes"),"Action - send client update",IF(AND(AE244="Completed",AD244&lt;&gt;"Yes"),"Check care checklist",IF(AND(C244&lt;TODAY(),AE244="Scheduled"),"Overdue - log the result","OK"))))))</f>
        <v>0</v>
      </c>
    </row>
    <row r="245" spans="1:36">
      <c r="A245" s="46">
        <f>IF(C245="","","VS-"&amp;TEXT(ROW()-4,"0000"))</f>
        <v>0</v>
      </c>
      <c r="D245" s="28">
        <f>IF(B245="","",IFERROR(INDEX(Bookings!$C$5:$C$404,MATCH(B245,Bookings!$A$5:$A$404,0)),""))</f>
        <v>0</v>
      </c>
      <c r="E245" s="28">
        <f>IF(B245="","",IFERROR(INDEX(Bookings!$E$5:$E$404,MATCH(B245,Bookings!$A$5:$A$404,0)),""))</f>
        <v>0</v>
      </c>
      <c r="F245" s="28">
        <f>IF(B245="","",IFERROR(INDEX(Bookings!$H$5:$H$404,MATCH(B245,Bookings!$A$5:$A$404,0)),""))</f>
        <v>0</v>
      </c>
      <c r="H245" s="53">
        <f>IF(B245="","",IFERROR(INDEX(Bookings!$K$5:$K$404,MATCH(B245,Bookings!$A$5:$A$404,0)),""))</f>
        <v>0</v>
      </c>
      <c r="K245" s="31">
        <f>IF(OR(I245="",J245=""),"",ROUND((J245-I245+IF(J245&lt;I245,1,0))*1440,0))</f>
        <v>0</v>
      </c>
      <c r="L245" s="49">
        <f>IF(OR(I245="",H245=""),"",IF(I245&lt;=H245+TIME(0,10,0),"On time","Late "&amp;TEXT((I245-H245)*1440,"0")&amp;" min"))</f>
        <v>0</v>
      </c>
      <c r="O245" s="31">
        <f>IF(OR(M245="",N245=""),"",ROUND((N245-M245+IF(N245&lt;M245,1,0))*1440,0))</f>
        <v>0</v>
      </c>
      <c r="AG245" s="28">
        <f>IF(C245="","",TEXT(C245,"yyyy-mm"))</f>
        <v>0</v>
      </c>
      <c r="AH245" s="28">
        <f>IF(B245="","",B245&amp;"|"&amp;COUNTIF($B$5:$B245,B245))</f>
        <v>0</v>
      </c>
      <c r="AI245" s="28">
        <f>IF(E245="","",E245&amp;"|"&amp;COUNTIF($E$5:$E245,E245))</f>
        <v>0</v>
      </c>
      <c r="AJ245" s="49">
        <f>IF(C245="","",IF(AE245="Missed","Missed visit - contact client",IF(Z245="Yes","Incident logged - follow up",IF(AND(AE245="Completed",AC245&lt;&gt;"Yes"),"Action - send client update",IF(AND(AE245="Completed",AD245&lt;&gt;"Yes"),"Check care checklist",IF(AND(C245&lt;TODAY(),AE245="Scheduled"),"Overdue - log the result","OK"))))))</f>
        <v>0</v>
      </c>
    </row>
    <row r="246" spans="1:36">
      <c r="A246" s="46">
        <f>IF(C246="","","VS-"&amp;TEXT(ROW()-4,"0000"))</f>
        <v>0</v>
      </c>
      <c r="D246" s="28">
        <f>IF(B246="","",IFERROR(INDEX(Bookings!$C$5:$C$404,MATCH(B246,Bookings!$A$5:$A$404,0)),""))</f>
        <v>0</v>
      </c>
      <c r="E246" s="28">
        <f>IF(B246="","",IFERROR(INDEX(Bookings!$E$5:$E$404,MATCH(B246,Bookings!$A$5:$A$404,0)),""))</f>
        <v>0</v>
      </c>
      <c r="F246" s="28">
        <f>IF(B246="","",IFERROR(INDEX(Bookings!$H$5:$H$404,MATCH(B246,Bookings!$A$5:$A$404,0)),""))</f>
        <v>0</v>
      </c>
      <c r="H246" s="53">
        <f>IF(B246="","",IFERROR(INDEX(Bookings!$K$5:$K$404,MATCH(B246,Bookings!$A$5:$A$404,0)),""))</f>
        <v>0</v>
      </c>
      <c r="K246" s="31">
        <f>IF(OR(I246="",J246=""),"",ROUND((J246-I246+IF(J246&lt;I246,1,0))*1440,0))</f>
        <v>0</v>
      </c>
      <c r="L246" s="49">
        <f>IF(OR(I246="",H246=""),"",IF(I246&lt;=H246+TIME(0,10,0),"On time","Late "&amp;TEXT((I246-H246)*1440,"0")&amp;" min"))</f>
        <v>0</v>
      </c>
      <c r="O246" s="31">
        <f>IF(OR(M246="",N246=""),"",ROUND((N246-M246+IF(N246&lt;M246,1,0))*1440,0))</f>
        <v>0</v>
      </c>
      <c r="AG246" s="28">
        <f>IF(C246="","",TEXT(C246,"yyyy-mm"))</f>
        <v>0</v>
      </c>
      <c r="AH246" s="28">
        <f>IF(B246="","",B246&amp;"|"&amp;COUNTIF($B$5:$B246,B246))</f>
        <v>0</v>
      </c>
      <c r="AI246" s="28">
        <f>IF(E246="","",E246&amp;"|"&amp;COUNTIF($E$5:$E246,E246))</f>
        <v>0</v>
      </c>
      <c r="AJ246" s="49">
        <f>IF(C246="","",IF(AE246="Missed","Missed visit - contact client",IF(Z246="Yes","Incident logged - follow up",IF(AND(AE246="Completed",AC246&lt;&gt;"Yes"),"Action - send client update",IF(AND(AE246="Completed",AD246&lt;&gt;"Yes"),"Check care checklist",IF(AND(C246&lt;TODAY(),AE246="Scheduled"),"Overdue - log the result","OK"))))))</f>
        <v>0</v>
      </c>
    </row>
    <row r="247" spans="1:36">
      <c r="A247" s="46">
        <f>IF(C247="","","VS-"&amp;TEXT(ROW()-4,"0000"))</f>
        <v>0</v>
      </c>
      <c r="D247" s="28">
        <f>IF(B247="","",IFERROR(INDEX(Bookings!$C$5:$C$404,MATCH(B247,Bookings!$A$5:$A$404,0)),""))</f>
        <v>0</v>
      </c>
      <c r="E247" s="28">
        <f>IF(B247="","",IFERROR(INDEX(Bookings!$E$5:$E$404,MATCH(B247,Bookings!$A$5:$A$404,0)),""))</f>
        <v>0</v>
      </c>
      <c r="F247" s="28">
        <f>IF(B247="","",IFERROR(INDEX(Bookings!$H$5:$H$404,MATCH(B247,Bookings!$A$5:$A$404,0)),""))</f>
        <v>0</v>
      </c>
      <c r="H247" s="53">
        <f>IF(B247="","",IFERROR(INDEX(Bookings!$K$5:$K$404,MATCH(B247,Bookings!$A$5:$A$404,0)),""))</f>
        <v>0</v>
      </c>
      <c r="K247" s="31">
        <f>IF(OR(I247="",J247=""),"",ROUND((J247-I247+IF(J247&lt;I247,1,0))*1440,0))</f>
        <v>0</v>
      </c>
      <c r="L247" s="49">
        <f>IF(OR(I247="",H247=""),"",IF(I247&lt;=H247+TIME(0,10,0),"On time","Late "&amp;TEXT((I247-H247)*1440,"0")&amp;" min"))</f>
        <v>0</v>
      </c>
      <c r="O247" s="31">
        <f>IF(OR(M247="",N247=""),"",ROUND((N247-M247+IF(N247&lt;M247,1,0))*1440,0))</f>
        <v>0</v>
      </c>
      <c r="AG247" s="28">
        <f>IF(C247="","",TEXT(C247,"yyyy-mm"))</f>
        <v>0</v>
      </c>
      <c r="AH247" s="28">
        <f>IF(B247="","",B247&amp;"|"&amp;COUNTIF($B$5:$B247,B247))</f>
        <v>0</v>
      </c>
      <c r="AI247" s="28">
        <f>IF(E247="","",E247&amp;"|"&amp;COUNTIF($E$5:$E247,E247))</f>
        <v>0</v>
      </c>
      <c r="AJ247" s="49">
        <f>IF(C247="","",IF(AE247="Missed","Missed visit - contact client",IF(Z247="Yes","Incident logged - follow up",IF(AND(AE247="Completed",AC247&lt;&gt;"Yes"),"Action - send client update",IF(AND(AE247="Completed",AD247&lt;&gt;"Yes"),"Check care checklist",IF(AND(C247&lt;TODAY(),AE247="Scheduled"),"Overdue - log the result","OK"))))))</f>
        <v>0</v>
      </c>
    </row>
    <row r="248" spans="1:36">
      <c r="A248" s="46">
        <f>IF(C248="","","VS-"&amp;TEXT(ROW()-4,"0000"))</f>
        <v>0</v>
      </c>
      <c r="D248" s="28">
        <f>IF(B248="","",IFERROR(INDEX(Bookings!$C$5:$C$404,MATCH(B248,Bookings!$A$5:$A$404,0)),""))</f>
        <v>0</v>
      </c>
      <c r="E248" s="28">
        <f>IF(B248="","",IFERROR(INDEX(Bookings!$E$5:$E$404,MATCH(B248,Bookings!$A$5:$A$404,0)),""))</f>
        <v>0</v>
      </c>
      <c r="F248" s="28">
        <f>IF(B248="","",IFERROR(INDEX(Bookings!$H$5:$H$404,MATCH(B248,Bookings!$A$5:$A$404,0)),""))</f>
        <v>0</v>
      </c>
      <c r="H248" s="53">
        <f>IF(B248="","",IFERROR(INDEX(Bookings!$K$5:$K$404,MATCH(B248,Bookings!$A$5:$A$404,0)),""))</f>
        <v>0</v>
      </c>
      <c r="K248" s="31">
        <f>IF(OR(I248="",J248=""),"",ROUND((J248-I248+IF(J248&lt;I248,1,0))*1440,0))</f>
        <v>0</v>
      </c>
      <c r="L248" s="49">
        <f>IF(OR(I248="",H248=""),"",IF(I248&lt;=H248+TIME(0,10,0),"On time","Late "&amp;TEXT((I248-H248)*1440,"0")&amp;" min"))</f>
        <v>0</v>
      </c>
      <c r="O248" s="31">
        <f>IF(OR(M248="",N248=""),"",ROUND((N248-M248+IF(N248&lt;M248,1,0))*1440,0))</f>
        <v>0</v>
      </c>
      <c r="AG248" s="28">
        <f>IF(C248="","",TEXT(C248,"yyyy-mm"))</f>
        <v>0</v>
      </c>
      <c r="AH248" s="28">
        <f>IF(B248="","",B248&amp;"|"&amp;COUNTIF($B$5:$B248,B248))</f>
        <v>0</v>
      </c>
      <c r="AI248" s="28">
        <f>IF(E248="","",E248&amp;"|"&amp;COUNTIF($E$5:$E248,E248))</f>
        <v>0</v>
      </c>
      <c r="AJ248" s="49">
        <f>IF(C248="","",IF(AE248="Missed","Missed visit - contact client",IF(Z248="Yes","Incident logged - follow up",IF(AND(AE248="Completed",AC248&lt;&gt;"Yes"),"Action - send client update",IF(AND(AE248="Completed",AD248&lt;&gt;"Yes"),"Check care checklist",IF(AND(C248&lt;TODAY(),AE248="Scheduled"),"Overdue - log the result","OK"))))))</f>
        <v>0</v>
      </c>
    </row>
    <row r="249" spans="1:36">
      <c r="A249" s="46">
        <f>IF(C249="","","VS-"&amp;TEXT(ROW()-4,"0000"))</f>
        <v>0</v>
      </c>
      <c r="D249" s="28">
        <f>IF(B249="","",IFERROR(INDEX(Bookings!$C$5:$C$404,MATCH(B249,Bookings!$A$5:$A$404,0)),""))</f>
        <v>0</v>
      </c>
      <c r="E249" s="28">
        <f>IF(B249="","",IFERROR(INDEX(Bookings!$E$5:$E$404,MATCH(B249,Bookings!$A$5:$A$404,0)),""))</f>
        <v>0</v>
      </c>
      <c r="F249" s="28">
        <f>IF(B249="","",IFERROR(INDEX(Bookings!$H$5:$H$404,MATCH(B249,Bookings!$A$5:$A$404,0)),""))</f>
        <v>0</v>
      </c>
      <c r="H249" s="53">
        <f>IF(B249="","",IFERROR(INDEX(Bookings!$K$5:$K$404,MATCH(B249,Bookings!$A$5:$A$404,0)),""))</f>
        <v>0</v>
      </c>
      <c r="K249" s="31">
        <f>IF(OR(I249="",J249=""),"",ROUND((J249-I249+IF(J249&lt;I249,1,0))*1440,0))</f>
        <v>0</v>
      </c>
      <c r="L249" s="49">
        <f>IF(OR(I249="",H249=""),"",IF(I249&lt;=H249+TIME(0,10,0),"On time","Late "&amp;TEXT((I249-H249)*1440,"0")&amp;" min"))</f>
        <v>0</v>
      </c>
      <c r="O249" s="31">
        <f>IF(OR(M249="",N249=""),"",ROUND((N249-M249+IF(N249&lt;M249,1,0))*1440,0))</f>
        <v>0</v>
      </c>
      <c r="AG249" s="28">
        <f>IF(C249="","",TEXT(C249,"yyyy-mm"))</f>
        <v>0</v>
      </c>
      <c r="AH249" s="28">
        <f>IF(B249="","",B249&amp;"|"&amp;COUNTIF($B$5:$B249,B249))</f>
        <v>0</v>
      </c>
      <c r="AI249" s="28">
        <f>IF(E249="","",E249&amp;"|"&amp;COUNTIF($E$5:$E249,E249))</f>
        <v>0</v>
      </c>
      <c r="AJ249" s="49">
        <f>IF(C249="","",IF(AE249="Missed","Missed visit - contact client",IF(Z249="Yes","Incident logged - follow up",IF(AND(AE249="Completed",AC249&lt;&gt;"Yes"),"Action - send client update",IF(AND(AE249="Completed",AD249&lt;&gt;"Yes"),"Check care checklist",IF(AND(C249&lt;TODAY(),AE249="Scheduled"),"Overdue - log the result","OK"))))))</f>
        <v>0</v>
      </c>
    </row>
    <row r="250" spans="1:36">
      <c r="A250" s="46">
        <f>IF(C250="","","VS-"&amp;TEXT(ROW()-4,"0000"))</f>
        <v>0</v>
      </c>
      <c r="D250" s="28">
        <f>IF(B250="","",IFERROR(INDEX(Bookings!$C$5:$C$404,MATCH(B250,Bookings!$A$5:$A$404,0)),""))</f>
        <v>0</v>
      </c>
      <c r="E250" s="28">
        <f>IF(B250="","",IFERROR(INDEX(Bookings!$E$5:$E$404,MATCH(B250,Bookings!$A$5:$A$404,0)),""))</f>
        <v>0</v>
      </c>
      <c r="F250" s="28">
        <f>IF(B250="","",IFERROR(INDEX(Bookings!$H$5:$H$404,MATCH(B250,Bookings!$A$5:$A$404,0)),""))</f>
        <v>0</v>
      </c>
      <c r="H250" s="53">
        <f>IF(B250="","",IFERROR(INDEX(Bookings!$K$5:$K$404,MATCH(B250,Bookings!$A$5:$A$404,0)),""))</f>
        <v>0</v>
      </c>
      <c r="K250" s="31">
        <f>IF(OR(I250="",J250=""),"",ROUND((J250-I250+IF(J250&lt;I250,1,0))*1440,0))</f>
        <v>0</v>
      </c>
      <c r="L250" s="49">
        <f>IF(OR(I250="",H250=""),"",IF(I250&lt;=H250+TIME(0,10,0),"On time","Late "&amp;TEXT((I250-H250)*1440,"0")&amp;" min"))</f>
        <v>0</v>
      </c>
      <c r="O250" s="31">
        <f>IF(OR(M250="",N250=""),"",ROUND((N250-M250+IF(N250&lt;M250,1,0))*1440,0))</f>
        <v>0</v>
      </c>
      <c r="AG250" s="28">
        <f>IF(C250="","",TEXT(C250,"yyyy-mm"))</f>
        <v>0</v>
      </c>
      <c r="AH250" s="28">
        <f>IF(B250="","",B250&amp;"|"&amp;COUNTIF($B$5:$B250,B250))</f>
        <v>0</v>
      </c>
      <c r="AI250" s="28">
        <f>IF(E250="","",E250&amp;"|"&amp;COUNTIF($E$5:$E250,E250))</f>
        <v>0</v>
      </c>
      <c r="AJ250" s="49">
        <f>IF(C250="","",IF(AE250="Missed","Missed visit - contact client",IF(Z250="Yes","Incident logged - follow up",IF(AND(AE250="Completed",AC250&lt;&gt;"Yes"),"Action - send client update",IF(AND(AE250="Completed",AD250&lt;&gt;"Yes"),"Check care checklist",IF(AND(C250&lt;TODAY(),AE250="Scheduled"),"Overdue - log the result","OK"))))))</f>
        <v>0</v>
      </c>
    </row>
    <row r="251" spans="1:36">
      <c r="A251" s="46">
        <f>IF(C251="","","VS-"&amp;TEXT(ROW()-4,"0000"))</f>
        <v>0</v>
      </c>
      <c r="D251" s="28">
        <f>IF(B251="","",IFERROR(INDEX(Bookings!$C$5:$C$404,MATCH(B251,Bookings!$A$5:$A$404,0)),""))</f>
        <v>0</v>
      </c>
      <c r="E251" s="28">
        <f>IF(B251="","",IFERROR(INDEX(Bookings!$E$5:$E$404,MATCH(B251,Bookings!$A$5:$A$404,0)),""))</f>
        <v>0</v>
      </c>
      <c r="F251" s="28">
        <f>IF(B251="","",IFERROR(INDEX(Bookings!$H$5:$H$404,MATCH(B251,Bookings!$A$5:$A$404,0)),""))</f>
        <v>0</v>
      </c>
      <c r="H251" s="53">
        <f>IF(B251="","",IFERROR(INDEX(Bookings!$K$5:$K$404,MATCH(B251,Bookings!$A$5:$A$404,0)),""))</f>
        <v>0</v>
      </c>
      <c r="K251" s="31">
        <f>IF(OR(I251="",J251=""),"",ROUND((J251-I251+IF(J251&lt;I251,1,0))*1440,0))</f>
        <v>0</v>
      </c>
      <c r="L251" s="49">
        <f>IF(OR(I251="",H251=""),"",IF(I251&lt;=H251+TIME(0,10,0),"On time","Late "&amp;TEXT((I251-H251)*1440,"0")&amp;" min"))</f>
        <v>0</v>
      </c>
      <c r="O251" s="31">
        <f>IF(OR(M251="",N251=""),"",ROUND((N251-M251+IF(N251&lt;M251,1,0))*1440,0))</f>
        <v>0</v>
      </c>
      <c r="AG251" s="28">
        <f>IF(C251="","",TEXT(C251,"yyyy-mm"))</f>
        <v>0</v>
      </c>
      <c r="AH251" s="28">
        <f>IF(B251="","",B251&amp;"|"&amp;COUNTIF($B$5:$B251,B251))</f>
        <v>0</v>
      </c>
      <c r="AI251" s="28">
        <f>IF(E251="","",E251&amp;"|"&amp;COUNTIF($E$5:$E251,E251))</f>
        <v>0</v>
      </c>
      <c r="AJ251" s="49">
        <f>IF(C251="","",IF(AE251="Missed","Missed visit - contact client",IF(Z251="Yes","Incident logged - follow up",IF(AND(AE251="Completed",AC251&lt;&gt;"Yes"),"Action - send client update",IF(AND(AE251="Completed",AD251&lt;&gt;"Yes"),"Check care checklist",IF(AND(C251&lt;TODAY(),AE251="Scheduled"),"Overdue - log the result","OK"))))))</f>
        <v>0</v>
      </c>
    </row>
    <row r="252" spans="1:36">
      <c r="A252" s="46">
        <f>IF(C252="","","VS-"&amp;TEXT(ROW()-4,"0000"))</f>
        <v>0</v>
      </c>
      <c r="D252" s="28">
        <f>IF(B252="","",IFERROR(INDEX(Bookings!$C$5:$C$404,MATCH(B252,Bookings!$A$5:$A$404,0)),""))</f>
        <v>0</v>
      </c>
      <c r="E252" s="28">
        <f>IF(B252="","",IFERROR(INDEX(Bookings!$E$5:$E$404,MATCH(B252,Bookings!$A$5:$A$404,0)),""))</f>
        <v>0</v>
      </c>
      <c r="F252" s="28">
        <f>IF(B252="","",IFERROR(INDEX(Bookings!$H$5:$H$404,MATCH(B252,Bookings!$A$5:$A$404,0)),""))</f>
        <v>0</v>
      </c>
      <c r="H252" s="53">
        <f>IF(B252="","",IFERROR(INDEX(Bookings!$K$5:$K$404,MATCH(B252,Bookings!$A$5:$A$404,0)),""))</f>
        <v>0</v>
      </c>
      <c r="K252" s="31">
        <f>IF(OR(I252="",J252=""),"",ROUND((J252-I252+IF(J252&lt;I252,1,0))*1440,0))</f>
        <v>0</v>
      </c>
      <c r="L252" s="49">
        <f>IF(OR(I252="",H252=""),"",IF(I252&lt;=H252+TIME(0,10,0),"On time","Late "&amp;TEXT((I252-H252)*1440,"0")&amp;" min"))</f>
        <v>0</v>
      </c>
      <c r="O252" s="31">
        <f>IF(OR(M252="",N252=""),"",ROUND((N252-M252+IF(N252&lt;M252,1,0))*1440,0))</f>
        <v>0</v>
      </c>
      <c r="AG252" s="28">
        <f>IF(C252="","",TEXT(C252,"yyyy-mm"))</f>
        <v>0</v>
      </c>
      <c r="AH252" s="28">
        <f>IF(B252="","",B252&amp;"|"&amp;COUNTIF($B$5:$B252,B252))</f>
        <v>0</v>
      </c>
      <c r="AI252" s="28">
        <f>IF(E252="","",E252&amp;"|"&amp;COUNTIF($E$5:$E252,E252))</f>
        <v>0</v>
      </c>
      <c r="AJ252" s="49">
        <f>IF(C252="","",IF(AE252="Missed","Missed visit - contact client",IF(Z252="Yes","Incident logged - follow up",IF(AND(AE252="Completed",AC252&lt;&gt;"Yes"),"Action - send client update",IF(AND(AE252="Completed",AD252&lt;&gt;"Yes"),"Check care checklist",IF(AND(C252&lt;TODAY(),AE252="Scheduled"),"Overdue - log the result","OK"))))))</f>
        <v>0</v>
      </c>
    </row>
    <row r="253" spans="1:36">
      <c r="A253" s="46">
        <f>IF(C253="","","VS-"&amp;TEXT(ROW()-4,"0000"))</f>
        <v>0</v>
      </c>
      <c r="D253" s="28">
        <f>IF(B253="","",IFERROR(INDEX(Bookings!$C$5:$C$404,MATCH(B253,Bookings!$A$5:$A$404,0)),""))</f>
        <v>0</v>
      </c>
      <c r="E253" s="28">
        <f>IF(B253="","",IFERROR(INDEX(Bookings!$E$5:$E$404,MATCH(B253,Bookings!$A$5:$A$404,0)),""))</f>
        <v>0</v>
      </c>
      <c r="F253" s="28">
        <f>IF(B253="","",IFERROR(INDEX(Bookings!$H$5:$H$404,MATCH(B253,Bookings!$A$5:$A$404,0)),""))</f>
        <v>0</v>
      </c>
      <c r="H253" s="53">
        <f>IF(B253="","",IFERROR(INDEX(Bookings!$K$5:$K$404,MATCH(B253,Bookings!$A$5:$A$404,0)),""))</f>
        <v>0</v>
      </c>
      <c r="K253" s="31">
        <f>IF(OR(I253="",J253=""),"",ROUND((J253-I253+IF(J253&lt;I253,1,0))*1440,0))</f>
        <v>0</v>
      </c>
      <c r="L253" s="49">
        <f>IF(OR(I253="",H253=""),"",IF(I253&lt;=H253+TIME(0,10,0),"On time","Late "&amp;TEXT((I253-H253)*1440,"0")&amp;" min"))</f>
        <v>0</v>
      </c>
      <c r="O253" s="31">
        <f>IF(OR(M253="",N253=""),"",ROUND((N253-M253+IF(N253&lt;M253,1,0))*1440,0))</f>
        <v>0</v>
      </c>
      <c r="AG253" s="28">
        <f>IF(C253="","",TEXT(C253,"yyyy-mm"))</f>
        <v>0</v>
      </c>
      <c r="AH253" s="28">
        <f>IF(B253="","",B253&amp;"|"&amp;COUNTIF($B$5:$B253,B253))</f>
        <v>0</v>
      </c>
      <c r="AI253" s="28">
        <f>IF(E253="","",E253&amp;"|"&amp;COUNTIF($E$5:$E253,E253))</f>
        <v>0</v>
      </c>
      <c r="AJ253" s="49">
        <f>IF(C253="","",IF(AE253="Missed","Missed visit - contact client",IF(Z253="Yes","Incident logged - follow up",IF(AND(AE253="Completed",AC253&lt;&gt;"Yes"),"Action - send client update",IF(AND(AE253="Completed",AD253&lt;&gt;"Yes"),"Check care checklist",IF(AND(C253&lt;TODAY(),AE253="Scheduled"),"Overdue - log the result","OK"))))))</f>
        <v>0</v>
      </c>
    </row>
    <row r="254" spans="1:36">
      <c r="A254" s="46">
        <f>IF(C254="","","VS-"&amp;TEXT(ROW()-4,"0000"))</f>
        <v>0</v>
      </c>
      <c r="D254" s="28">
        <f>IF(B254="","",IFERROR(INDEX(Bookings!$C$5:$C$404,MATCH(B254,Bookings!$A$5:$A$404,0)),""))</f>
        <v>0</v>
      </c>
      <c r="E254" s="28">
        <f>IF(B254="","",IFERROR(INDEX(Bookings!$E$5:$E$404,MATCH(B254,Bookings!$A$5:$A$404,0)),""))</f>
        <v>0</v>
      </c>
      <c r="F254" s="28">
        <f>IF(B254="","",IFERROR(INDEX(Bookings!$H$5:$H$404,MATCH(B254,Bookings!$A$5:$A$404,0)),""))</f>
        <v>0</v>
      </c>
      <c r="H254" s="53">
        <f>IF(B254="","",IFERROR(INDEX(Bookings!$K$5:$K$404,MATCH(B254,Bookings!$A$5:$A$404,0)),""))</f>
        <v>0</v>
      </c>
      <c r="K254" s="31">
        <f>IF(OR(I254="",J254=""),"",ROUND((J254-I254+IF(J254&lt;I254,1,0))*1440,0))</f>
        <v>0</v>
      </c>
      <c r="L254" s="49">
        <f>IF(OR(I254="",H254=""),"",IF(I254&lt;=H254+TIME(0,10,0),"On time","Late "&amp;TEXT((I254-H254)*1440,"0")&amp;" min"))</f>
        <v>0</v>
      </c>
      <c r="O254" s="31">
        <f>IF(OR(M254="",N254=""),"",ROUND((N254-M254+IF(N254&lt;M254,1,0))*1440,0))</f>
        <v>0</v>
      </c>
      <c r="AG254" s="28">
        <f>IF(C254="","",TEXT(C254,"yyyy-mm"))</f>
        <v>0</v>
      </c>
      <c r="AH254" s="28">
        <f>IF(B254="","",B254&amp;"|"&amp;COUNTIF($B$5:$B254,B254))</f>
        <v>0</v>
      </c>
      <c r="AI254" s="28">
        <f>IF(E254="","",E254&amp;"|"&amp;COUNTIF($E$5:$E254,E254))</f>
        <v>0</v>
      </c>
      <c r="AJ254" s="49">
        <f>IF(C254="","",IF(AE254="Missed","Missed visit - contact client",IF(Z254="Yes","Incident logged - follow up",IF(AND(AE254="Completed",AC254&lt;&gt;"Yes"),"Action - send client update",IF(AND(AE254="Completed",AD254&lt;&gt;"Yes"),"Check care checklist",IF(AND(C254&lt;TODAY(),AE254="Scheduled"),"Overdue - log the result","OK"))))))</f>
        <v>0</v>
      </c>
    </row>
    <row r="255" spans="1:36">
      <c r="A255" s="46">
        <f>IF(C255="","","VS-"&amp;TEXT(ROW()-4,"0000"))</f>
        <v>0</v>
      </c>
      <c r="D255" s="28">
        <f>IF(B255="","",IFERROR(INDEX(Bookings!$C$5:$C$404,MATCH(B255,Bookings!$A$5:$A$404,0)),""))</f>
        <v>0</v>
      </c>
      <c r="E255" s="28">
        <f>IF(B255="","",IFERROR(INDEX(Bookings!$E$5:$E$404,MATCH(B255,Bookings!$A$5:$A$404,0)),""))</f>
        <v>0</v>
      </c>
      <c r="F255" s="28">
        <f>IF(B255="","",IFERROR(INDEX(Bookings!$H$5:$H$404,MATCH(B255,Bookings!$A$5:$A$404,0)),""))</f>
        <v>0</v>
      </c>
      <c r="H255" s="53">
        <f>IF(B255="","",IFERROR(INDEX(Bookings!$K$5:$K$404,MATCH(B255,Bookings!$A$5:$A$404,0)),""))</f>
        <v>0</v>
      </c>
      <c r="K255" s="31">
        <f>IF(OR(I255="",J255=""),"",ROUND((J255-I255+IF(J255&lt;I255,1,0))*1440,0))</f>
        <v>0</v>
      </c>
      <c r="L255" s="49">
        <f>IF(OR(I255="",H255=""),"",IF(I255&lt;=H255+TIME(0,10,0),"On time","Late "&amp;TEXT((I255-H255)*1440,"0")&amp;" min"))</f>
        <v>0</v>
      </c>
      <c r="O255" s="31">
        <f>IF(OR(M255="",N255=""),"",ROUND((N255-M255+IF(N255&lt;M255,1,0))*1440,0))</f>
        <v>0</v>
      </c>
      <c r="AG255" s="28">
        <f>IF(C255="","",TEXT(C255,"yyyy-mm"))</f>
        <v>0</v>
      </c>
      <c r="AH255" s="28">
        <f>IF(B255="","",B255&amp;"|"&amp;COUNTIF($B$5:$B255,B255))</f>
        <v>0</v>
      </c>
      <c r="AI255" s="28">
        <f>IF(E255="","",E255&amp;"|"&amp;COUNTIF($E$5:$E255,E255))</f>
        <v>0</v>
      </c>
      <c r="AJ255" s="49">
        <f>IF(C255="","",IF(AE255="Missed","Missed visit - contact client",IF(Z255="Yes","Incident logged - follow up",IF(AND(AE255="Completed",AC255&lt;&gt;"Yes"),"Action - send client update",IF(AND(AE255="Completed",AD255&lt;&gt;"Yes"),"Check care checklist",IF(AND(C255&lt;TODAY(),AE255="Scheduled"),"Overdue - log the result","OK"))))))</f>
        <v>0</v>
      </c>
    </row>
    <row r="256" spans="1:36">
      <c r="A256" s="46">
        <f>IF(C256="","","VS-"&amp;TEXT(ROW()-4,"0000"))</f>
        <v>0</v>
      </c>
      <c r="D256" s="28">
        <f>IF(B256="","",IFERROR(INDEX(Bookings!$C$5:$C$404,MATCH(B256,Bookings!$A$5:$A$404,0)),""))</f>
        <v>0</v>
      </c>
      <c r="E256" s="28">
        <f>IF(B256="","",IFERROR(INDEX(Bookings!$E$5:$E$404,MATCH(B256,Bookings!$A$5:$A$404,0)),""))</f>
        <v>0</v>
      </c>
      <c r="F256" s="28">
        <f>IF(B256="","",IFERROR(INDEX(Bookings!$H$5:$H$404,MATCH(B256,Bookings!$A$5:$A$404,0)),""))</f>
        <v>0</v>
      </c>
      <c r="H256" s="53">
        <f>IF(B256="","",IFERROR(INDEX(Bookings!$K$5:$K$404,MATCH(B256,Bookings!$A$5:$A$404,0)),""))</f>
        <v>0</v>
      </c>
      <c r="K256" s="31">
        <f>IF(OR(I256="",J256=""),"",ROUND((J256-I256+IF(J256&lt;I256,1,0))*1440,0))</f>
        <v>0</v>
      </c>
      <c r="L256" s="49">
        <f>IF(OR(I256="",H256=""),"",IF(I256&lt;=H256+TIME(0,10,0),"On time","Late "&amp;TEXT((I256-H256)*1440,"0")&amp;" min"))</f>
        <v>0</v>
      </c>
      <c r="O256" s="31">
        <f>IF(OR(M256="",N256=""),"",ROUND((N256-M256+IF(N256&lt;M256,1,0))*1440,0))</f>
        <v>0</v>
      </c>
      <c r="AG256" s="28">
        <f>IF(C256="","",TEXT(C256,"yyyy-mm"))</f>
        <v>0</v>
      </c>
      <c r="AH256" s="28">
        <f>IF(B256="","",B256&amp;"|"&amp;COUNTIF($B$5:$B256,B256))</f>
        <v>0</v>
      </c>
      <c r="AI256" s="28">
        <f>IF(E256="","",E256&amp;"|"&amp;COUNTIF($E$5:$E256,E256))</f>
        <v>0</v>
      </c>
      <c r="AJ256" s="49">
        <f>IF(C256="","",IF(AE256="Missed","Missed visit - contact client",IF(Z256="Yes","Incident logged - follow up",IF(AND(AE256="Completed",AC256&lt;&gt;"Yes"),"Action - send client update",IF(AND(AE256="Completed",AD256&lt;&gt;"Yes"),"Check care checklist",IF(AND(C256&lt;TODAY(),AE256="Scheduled"),"Overdue - log the result","OK"))))))</f>
        <v>0</v>
      </c>
    </row>
    <row r="257" spans="1:36">
      <c r="A257" s="46">
        <f>IF(C257="","","VS-"&amp;TEXT(ROW()-4,"0000"))</f>
        <v>0</v>
      </c>
      <c r="D257" s="28">
        <f>IF(B257="","",IFERROR(INDEX(Bookings!$C$5:$C$404,MATCH(B257,Bookings!$A$5:$A$404,0)),""))</f>
        <v>0</v>
      </c>
      <c r="E257" s="28">
        <f>IF(B257="","",IFERROR(INDEX(Bookings!$E$5:$E$404,MATCH(B257,Bookings!$A$5:$A$404,0)),""))</f>
        <v>0</v>
      </c>
      <c r="F257" s="28">
        <f>IF(B257="","",IFERROR(INDEX(Bookings!$H$5:$H$404,MATCH(B257,Bookings!$A$5:$A$404,0)),""))</f>
        <v>0</v>
      </c>
      <c r="H257" s="53">
        <f>IF(B257="","",IFERROR(INDEX(Bookings!$K$5:$K$404,MATCH(B257,Bookings!$A$5:$A$404,0)),""))</f>
        <v>0</v>
      </c>
      <c r="K257" s="31">
        <f>IF(OR(I257="",J257=""),"",ROUND((J257-I257+IF(J257&lt;I257,1,0))*1440,0))</f>
        <v>0</v>
      </c>
      <c r="L257" s="49">
        <f>IF(OR(I257="",H257=""),"",IF(I257&lt;=H257+TIME(0,10,0),"On time","Late "&amp;TEXT((I257-H257)*1440,"0")&amp;" min"))</f>
        <v>0</v>
      </c>
      <c r="O257" s="31">
        <f>IF(OR(M257="",N257=""),"",ROUND((N257-M257+IF(N257&lt;M257,1,0))*1440,0))</f>
        <v>0</v>
      </c>
      <c r="AG257" s="28">
        <f>IF(C257="","",TEXT(C257,"yyyy-mm"))</f>
        <v>0</v>
      </c>
      <c r="AH257" s="28">
        <f>IF(B257="","",B257&amp;"|"&amp;COUNTIF($B$5:$B257,B257))</f>
        <v>0</v>
      </c>
      <c r="AI257" s="28">
        <f>IF(E257="","",E257&amp;"|"&amp;COUNTIF($E$5:$E257,E257))</f>
        <v>0</v>
      </c>
      <c r="AJ257" s="49">
        <f>IF(C257="","",IF(AE257="Missed","Missed visit - contact client",IF(Z257="Yes","Incident logged - follow up",IF(AND(AE257="Completed",AC257&lt;&gt;"Yes"),"Action - send client update",IF(AND(AE257="Completed",AD257&lt;&gt;"Yes"),"Check care checklist",IF(AND(C257&lt;TODAY(),AE257="Scheduled"),"Overdue - log the result","OK"))))))</f>
        <v>0</v>
      </c>
    </row>
    <row r="258" spans="1:36">
      <c r="A258" s="46">
        <f>IF(C258="","","VS-"&amp;TEXT(ROW()-4,"0000"))</f>
        <v>0</v>
      </c>
      <c r="D258" s="28">
        <f>IF(B258="","",IFERROR(INDEX(Bookings!$C$5:$C$404,MATCH(B258,Bookings!$A$5:$A$404,0)),""))</f>
        <v>0</v>
      </c>
      <c r="E258" s="28">
        <f>IF(B258="","",IFERROR(INDEX(Bookings!$E$5:$E$404,MATCH(B258,Bookings!$A$5:$A$404,0)),""))</f>
        <v>0</v>
      </c>
      <c r="F258" s="28">
        <f>IF(B258="","",IFERROR(INDEX(Bookings!$H$5:$H$404,MATCH(B258,Bookings!$A$5:$A$404,0)),""))</f>
        <v>0</v>
      </c>
      <c r="H258" s="53">
        <f>IF(B258="","",IFERROR(INDEX(Bookings!$K$5:$K$404,MATCH(B258,Bookings!$A$5:$A$404,0)),""))</f>
        <v>0</v>
      </c>
      <c r="K258" s="31">
        <f>IF(OR(I258="",J258=""),"",ROUND((J258-I258+IF(J258&lt;I258,1,0))*1440,0))</f>
        <v>0</v>
      </c>
      <c r="L258" s="49">
        <f>IF(OR(I258="",H258=""),"",IF(I258&lt;=H258+TIME(0,10,0),"On time","Late "&amp;TEXT((I258-H258)*1440,"0")&amp;" min"))</f>
        <v>0</v>
      </c>
      <c r="O258" s="31">
        <f>IF(OR(M258="",N258=""),"",ROUND((N258-M258+IF(N258&lt;M258,1,0))*1440,0))</f>
        <v>0</v>
      </c>
      <c r="AG258" s="28">
        <f>IF(C258="","",TEXT(C258,"yyyy-mm"))</f>
        <v>0</v>
      </c>
      <c r="AH258" s="28">
        <f>IF(B258="","",B258&amp;"|"&amp;COUNTIF($B$5:$B258,B258))</f>
        <v>0</v>
      </c>
      <c r="AI258" s="28">
        <f>IF(E258="","",E258&amp;"|"&amp;COUNTIF($E$5:$E258,E258))</f>
        <v>0</v>
      </c>
      <c r="AJ258" s="49">
        <f>IF(C258="","",IF(AE258="Missed","Missed visit - contact client",IF(Z258="Yes","Incident logged - follow up",IF(AND(AE258="Completed",AC258&lt;&gt;"Yes"),"Action - send client update",IF(AND(AE258="Completed",AD258&lt;&gt;"Yes"),"Check care checklist",IF(AND(C258&lt;TODAY(),AE258="Scheduled"),"Overdue - log the result","OK"))))))</f>
        <v>0</v>
      </c>
    </row>
    <row r="259" spans="1:36">
      <c r="A259" s="46">
        <f>IF(C259="","","VS-"&amp;TEXT(ROW()-4,"0000"))</f>
        <v>0</v>
      </c>
      <c r="D259" s="28">
        <f>IF(B259="","",IFERROR(INDEX(Bookings!$C$5:$C$404,MATCH(B259,Bookings!$A$5:$A$404,0)),""))</f>
        <v>0</v>
      </c>
      <c r="E259" s="28">
        <f>IF(B259="","",IFERROR(INDEX(Bookings!$E$5:$E$404,MATCH(B259,Bookings!$A$5:$A$404,0)),""))</f>
        <v>0</v>
      </c>
      <c r="F259" s="28">
        <f>IF(B259="","",IFERROR(INDEX(Bookings!$H$5:$H$404,MATCH(B259,Bookings!$A$5:$A$404,0)),""))</f>
        <v>0</v>
      </c>
      <c r="H259" s="53">
        <f>IF(B259="","",IFERROR(INDEX(Bookings!$K$5:$K$404,MATCH(B259,Bookings!$A$5:$A$404,0)),""))</f>
        <v>0</v>
      </c>
      <c r="K259" s="31">
        <f>IF(OR(I259="",J259=""),"",ROUND((J259-I259+IF(J259&lt;I259,1,0))*1440,0))</f>
        <v>0</v>
      </c>
      <c r="L259" s="49">
        <f>IF(OR(I259="",H259=""),"",IF(I259&lt;=H259+TIME(0,10,0),"On time","Late "&amp;TEXT((I259-H259)*1440,"0")&amp;" min"))</f>
        <v>0</v>
      </c>
      <c r="O259" s="31">
        <f>IF(OR(M259="",N259=""),"",ROUND((N259-M259+IF(N259&lt;M259,1,0))*1440,0))</f>
        <v>0</v>
      </c>
      <c r="AG259" s="28">
        <f>IF(C259="","",TEXT(C259,"yyyy-mm"))</f>
        <v>0</v>
      </c>
      <c r="AH259" s="28">
        <f>IF(B259="","",B259&amp;"|"&amp;COUNTIF($B$5:$B259,B259))</f>
        <v>0</v>
      </c>
      <c r="AI259" s="28">
        <f>IF(E259="","",E259&amp;"|"&amp;COUNTIF($E$5:$E259,E259))</f>
        <v>0</v>
      </c>
      <c r="AJ259" s="49">
        <f>IF(C259="","",IF(AE259="Missed","Missed visit - contact client",IF(Z259="Yes","Incident logged - follow up",IF(AND(AE259="Completed",AC259&lt;&gt;"Yes"),"Action - send client update",IF(AND(AE259="Completed",AD259&lt;&gt;"Yes"),"Check care checklist",IF(AND(C259&lt;TODAY(),AE259="Scheduled"),"Overdue - log the result","OK"))))))</f>
        <v>0</v>
      </c>
    </row>
    <row r="260" spans="1:36">
      <c r="A260" s="46">
        <f>IF(C260="","","VS-"&amp;TEXT(ROW()-4,"0000"))</f>
        <v>0</v>
      </c>
      <c r="D260" s="28">
        <f>IF(B260="","",IFERROR(INDEX(Bookings!$C$5:$C$404,MATCH(B260,Bookings!$A$5:$A$404,0)),""))</f>
        <v>0</v>
      </c>
      <c r="E260" s="28">
        <f>IF(B260="","",IFERROR(INDEX(Bookings!$E$5:$E$404,MATCH(B260,Bookings!$A$5:$A$404,0)),""))</f>
        <v>0</v>
      </c>
      <c r="F260" s="28">
        <f>IF(B260="","",IFERROR(INDEX(Bookings!$H$5:$H$404,MATCH(B260,Bookings!$A$5:$A$404,0)),""))</f>
        <v>0</v>
      </c>
      <c r="H260" s="53">
        <f>IF(B260="","",IFERROR(INDEX(Bookings!$K$5:$K$404,MATCH(B260,Bookings!$A$5:$A$404,0)),""))</f>
        <v>0</v>
      </c>
      <c r="K260" s="31">
        <f>IF(OR(I260="",J260=""),"",ROUND((J260-I260+IF(J260&lt;I260,1,0))*1440,0))</f>
        <v>0</v>
      </c>
      <c r="L260" s="49">
        <f>IF(OR(I260="",H260=""),"",IF(I260&lt;=H260+TIME(0,10,0),"On time","Late "&amp;TEXT((I260-H260)*1440,"0")&amp;" min"))</f>
        <v>0</v>
      </c>
      <c r="O260" s="31">
        <f>IF(OR(M260="",N260=""),"",ROUND((N260-M260+IF(N260&lt;M260,1,0))*1440,0))</f>
        <v>0</v>
      </c>
      <c r="AG260" s="28">
        <f>IF(C260="","",TEXT(C260,"yyyy-mm"))</f>
        <v>0</v>
      </c>
      <c r="AH260" s="28">
        <f>IF(B260="","",B260&amp;"|"&amp;COUNTIF($B$5:$B260,B260))</f>
        <v>0</v>
      </c>
      <c r="AI260" s="28">
        <f>IF(E260="","",E260&amp;"|"&amp;COUNTIF($E$5:$E260,E260))</f>
        <v>0</v>
      </c>
      <c r="AJ260" s="49">
        <f>IF(C260="","",IF(AE260="Missed","Missed visit - contact client",IF(Z260="Yes","Incident logged - follow up",IF(AND(AE260="Completed",AC260&lt;&gt;"Yes"),"Action - send client update",IF(AND(AE260="Completed",AD260&lt;&gt;"Yes"),"Check care checklist",IF(AND(C260&lt;TODAY(),AE260="Scheduled"),"Overdue - log the result","OK"))))))</f>
        <v>0</v>
      </c>
    </row>
    <row r="261" spans="1:36">
      <c r="A261" s="46">
        <f>IF(C261="","","VS-"&amp;TEXT(ROW()-4,"0000"))</f>
        <v>0</v>
      </c>
      <c r="D261" s="28">
        <f>IF(B261="","",IFERROR(INDEX(Bookings!$C$5:$C$404,MATCH(B261,Bookings!$A$5:$A$404,0)),""))</f>
        <v>0</v>
      </c>
      <c r="E261" s="28">
        <f>IF(B261="","",IFERROR(INDEX(Bookings!$E$5:$E$404,MATCH(B261,Bookings!$A$5:$A$404,0)),""))</f>
        <v>0</v>
      </c>
      <c r="F261" s="28">
        <f>IF(B261="","",IFERROR(INDEX(Bookings!$H$5:$H$404,MATCH(B261,Bookings!$A$5:$A$404,0)),""))</f>
        <v>0</v>
      </c>
      <c r="H261" s="53">
        <f>IF(B261="","",IFERROR(INDEX(Bookings!$K$5:$K$404,MATCH(B261,Bookings!$A$5:$A$404,0)),""))</f>
        <v>0</v>
      </c>
      <c r="K261" s="31">
        <f>IF(OR(I261="",J261=""),"",ROUND((J261-I261+IF(J261&lt;I261,1,0))*1440,0))</f>
        <v>0</v>
      </c>
      <c r="L261" s="49">
        <f>IF(OR(I261="",H261=""),"",IF(I261&lt;=H261+TIME(0,10,0),"On time","Late "&amp;TEXT((I261-H261)*1440,"0")&amp;" min"))</f>
        <v>0</v>
      </c>
      <c r="O261" s="31">
        <f>IF(OR(M261="",N261=""),"",ROUND((N261-M261+IF(N261&lt;M261,1,0))*1440,0))</f>
        <v>0</v>
      </c>
      <c r="AG261" s="28">
        <f>IF(C261="","",TEXT(C261,"yyyy-mm"))</f>
        <v>0</v>
      </c>
      <c r="AH261" s="28">
        <f>IF(B261="","",B261&amp;"|"&amp;COUNTIF($B$5:$B261,B261))</f>
        <v>0</v>
      </c>
      <c r="AI261" s="28">
        <f>IF(E261="","",E261&amp;"|"&amp;COUNTIF($E$5:$E261,E261))</f>
        <v>0</v>
      </c>
      <c r="AJ261" s="49">
        <f>IF(C261="","",IF(AE261="Missed","Missed visit - contact client",IF(Z261="Yes","Incident logged - follow up",IF(AND(AE261="Completed",AC261&lt;&gt;"Yes"),"Action - send client update",IF(AND(AE261="Completed",AD261&lt;&gt;"Yes"),"Check care checklist",IF(AND(C261&lt;TODAY(),AE261="Scheduled"),"Overdue - log the result","OK"))))))</f>
        <v>0</v>
      </c>
    </row>
    <row r="262" spans="1:36">
      <c r="A262" s="46">
        <f>IF(C262="","","VS-"&amp;TEXT(ROW()-4,"0000"))</f>
        <v>0</v>
      </c>
      <c r="D262" s="28">
        <f>IF(B262="","",IFERROR(INDEX(Bookings!$C$5:$C$404,MATCH(B262,Bookings!$A$5:$A$404,0)),""))</f>
        <v>0</v>
      </c>
      <c r="E262" s="28">
        <f>IF(B262="","",IFERROR(INDEX(Bookings!$E$5:$E$404,MATCH(B262,Bookings!$A$5:$A$404,0)),""))</f>
        <v>0</v>
      </c>
      <c r="F262" s="28">
        <f>IF(B262="","",IFERROR(INDEX(Bookings!$H$5:$H$404,MATCH(B262,Bookings!$A$5:$A$404,0)),""))</f>
        <v>0</v>
      </c>
      <c r="H262" s="53">
        <f>IF(B262="","",IFERROR(INDEX(Bookings!$K$5:$K$404,MATCH(B262,Bookings!$A$5:$A$404,0)),""))</f>
        <v>0</v>
      </c>
      <c r="K262" s="31">
        <f>IF(OR(I262="",J262=""),"",ROUND((J262-I262+IF(J262&lt;I262,1,0))*1440,0))</f>
        <v>0</v>
      </c>
      <c r="L262" s="49">
        <f>IF(OR(I262="",H262=""),"",IF(I262&lt;=H262+TIME(0,10,0),"On time","Late "&amp;TEXT((I262-H262)*1440,"0")&amp;" min"))</f>
        <v>0</v>
      </c>
      <c r="O262" s="31">
        <f>IF(OR(M262="",N262=""),"",ROUND((N262-M262+IF(N262&lt;M262,1,0))*1440,0))</f>
        <v>0</v>
      </c>
      <c r="AG262" s="28">
        <f>IF(C262="","",TEXT(C262,"yyyy-mm"))</f>
        <v>0</v>
      </c>
      <c r="AH262" s="28">
        <f>IF(B262="","",B262&amp;"|"&amp;COUNTIF($B$5:$B262,B262))</f>
        <v>0</v>
      </c>
      <c r="AI262" s="28">
        <f>IF(E262="","",E262&amp;"|"&amp;COUNTIF($E$5:$E262,E262))</f>
        <v>0</v>
      </c>
      <c r="AJ262" s="49">
        <f>IF(C262="","",IF(AE262="Missed","Missed visit - contact client",IF(Z262="Yes","Incident logged - follow up",IF(AND(AE262="Completed",AC262&lt;&gt;"Yes"),"Action - send client update",IF(AND(AE262="Completed",AD262&lt;&gt;"Yes"),"Check care checklist",IF(AND(C262&lt;TODAY(),AE262="Scheduled"),"Overdue - log the result","OK"))))))</f>
        <v>0</v>
      </c>
    </row>
    <row r="263" spans="1:36">
      <c r="A263" s="46">
        <f>IF(C263="","","VS-"&amp;TEXT(ROW()-4,"0000"))</f>
        <v>0</v>
      </c>
      <c r="D263" s="28">
        <f>IF(B263="","",IFERROR(INDEX(Bookings!$C$5:$C$404,MATCH(B263,Bookings!$A$5:$A$404,0)),""))</f>
        <v>0</v>
      </c>
      <c r="E263" s="28">
        <f>IF(B263="","",IFERROR(INDEX(Bookings!$E$5:$E$404,MATCH(B263,Bookings!$A$5:$A$404,0)),""))</f>
        <v>0</v>
      </c>
      <c r="F263" s="28">
        <f>IF(B263="","",IFERROR(INDEX(Bookings!$H$5:$H$404,MATCH(B263,Bookings!$A$5:$A$404,0)),""))</f>
        <v>0</v>
      </c>
      <c r="H263" s="53">
        <f>IF(B263="","",IFERROR(INDEX(Bookings!$K$5:$K$404,MATCH(B263,Bookings!$A$5:$A$404,0)),""))</f>
        <v>0</v>
      </c>
      <c r="K263" s="31">
        <f>IF(OR(I263="",J263=""),"",ROUND((J263-I263+IF(J263&lt;I263,1,0))*1440,0))</f>
        <v>0</v>
      </c>
      <c r="L263" s="49">
        <f>IF(OR(I263="",H263=""),"",IF(I263&lt;=H263+TIME(0,10,0),"On time","Late "&amp;TEXT((I263-H263)*1440,"0")&amp;" min"))</f>
        <v>0</v>
      </c>
      <c r="O263" s="31">
        <f>IF(OR(M263="",N263=""),"",ROUND((N263-M263+IF(N263&lt;M263,1,0))*1440,0))</f>
        <v>0</v>
      </c>
      <c r="AG263" s="28">
        <f>IF(C263="","",TEXT(C263,"yyyy-mm"))</f>
        <v>0</v>
      </c>
      <c r="AH263" s="28">
        <f>IF(B263="","",B263&amp;"|"&amp;COUNTIF($B$5:$B263,B263))</f>
        <v>0</v>
      </c>
      <c r="AI263" s="28">
        <f>IF(E263="","",E263&amp;"|"&amp;COUNTIF($E$5:$E263,E263))</f>
        <v>0</v>
      </c>
      <c r="AJ263" s="49">
        <f>IF(C263="","",IF(AE263="Missed","Missed visit - contact client",IF(Z263="Yes","Incident logged - follow up",IF(AND(AE263="Completed",AC263&lt;&gt;"Yes"),"Action - send client update",IF(AND(AE263="Completed",AD263&lt;&gt;"Yes"),"Check care checklist",IF(AND(C263&lt;TODAY(),AE263="Scheduled"),"Overdue - log the result","OK"))))))</f>
        <v>0</v>
      </c>
    </row>
    <row r="264" spans="1:36">
      <c r="A264" s="46">
        <f>IF(C264="","","VS-"&amp;TEXT(ROW()-4,"0000"))</f>
        <v>0</v>
      </c>
      <c r="D264" s="28">
        <f>IF(B264="","",IFERROR(INDEX(Bookings!$C$5:$C$404,MATCH(B264,Bookings!$A$5:$A$404,0)),""))</f>
        <v>0</v>
      </c>
      <c r="E264" s="28">
        <f>IF(B264="","",IFERROR(INDEX(Bookings!$E$5:$E$404,MATCH(B264,Bookings!$A$5:$A$404,0)),""))</f>
        <v>0</v>
      </c>
      <c r="F264" s="28">
        <f>IF(B264="","",IFERROR(INDEX(Bookings!$H$5:$H$404,MATCH(B264,Bookings!$A$5:$A$404,0)),""))</f>
        <v>0</v>
      </c>
      <c r="H264" s="53">
        <f>IF(B264="","",IFERROR(INDEX(Bookings!$K$5:$K$404,MATCH(B264,Bookings!$A$5:$A$404,0)),""))</f>
        <v>0</v>
      </c>
      <c r="K264" s="31">
        <f>IF(OR(I264="",J264=""),"",ROUND((J264-I264+IF(J264&lt;I264,1,0))*1440,0))</f>
        <v>0</v>
      </c>
      <c r="L264" s="49">
        <f>IF(OR(I264="",H264=""),"",IF(I264&lt;=H264+TIME(0,10,0),"On time","Late "&amp;TEXT((I264-H264)*1440,"0")&amp;" min"))</f>
        <v>0</v>
      </c>
      <c r="O264" s="31">
        <f>IF(OR(M264="",N264=""),"",ROUND((N264-M264+IF(N264&lt;M264,1,0))*1440,0))</f>
        <v>0</v>
      </c>
      <c r="AG264" s="28">
        <f>IF(C264="","",TEXT(C264,"yyyy-mm"))</f>
        <v>0</v>
      </c>
      <c r="AH264" s="28">
        <f>IF(B264="","",B264&amp;"|"&amp;COUNTIF($B$5:$B264,B264))</f>
        <v>0</v>
      </c>
      <c r="AI264" s="28">
        <f>IF(E264="","",E264&amp;"|"&amp;COUNTIF($E$5:$E264,E264))</f>
        <v>0</v>
      </c>
      <c r="AJ264" s="49">
        <f>IF(C264="","",IF(AE264="Missed","Missed visit - contact client",IF(Z264="Yes","Incident logged - follow up",IF(AND(AE264="Completed",AC264&lt;&gt;"Yes"),"Action - send client update",IF(AND(AE264="Completed",AD264&lt;&gt;"Yes"),"Check care checklist",IF(AND(C264&lt;TODAY(),AE264="Scheduled"),"Overdue - log the result","OK"))))))</f>
        <v>0</v>
      </c>
    </row>
    <row r="265" spans="1:36">
      <c r="A265" s="46">
        <f>IF(C265="","","VS-"&amp;TEXT(ROW()-4,"0000"))</f>
        <v>0</v>
      </c>
      <c r="D265" s="28">
        <f>IF(B265="","",IFERROR(INDEX(Bookings!$C$5:$C$404,MATCH(B265,Bookings!$A$5:$A$404,0)),""))</f>
        <v>0</v>
      </c>
      <c r="E265" s="28">
        <f>IF(B265="","",IFERROR(INDEX(Bookings!$E$5:$E$404,MATCH(B265,Bookings!$A$5:$A$404,0)),""))</f>
        <v>0</v>
      </c>
      <c r="F265" s="28">
        <f>IF(B265="","",IFERROR(INDEX(Bookings!$H$5:$H$404,MATCH(B265,Bookings!$A$5:$A$404,0)),""))</f>
        <v>0</v>
      </c>
      <c r="H265" s="53">
        <f>IF(B265="","",IFERROR(INDEX(Bookings!$K$5:$K$404,MATCH(B265,Bookings!$A$5:$A$404,0)),""))</f>
        <v>0</v>
      </c>
      <c r="K265" s="31">
        <f>IF(OR(I265="",J265=""),"",ROUND((J265-I265+IF(J265&lt;I265,1,0))*1440,0))</f>
        <v>0</v>
      </c>
      <c r="L265" s="49">
        <f>IF(OR(I265="",H265=""),"",IF(I265&lt;=H265+TIME(0,10,0),"On time","Late "&amp;TEXT((I265-H265)*1440,"0")&amp;" min"))</f>
        <v>0</v>
      </c>
      <c r="O265" s="31">
        <f>IF(OR(M265="",N265=""),"",ROUND((N265-M265+IF(N265&lt;M265,1,0))*1440,0))</f>
        <v>0</v>
      </c>
      <c r="AG265" s="28">
        <f>IF(C265="","",TEXT(C265,"yyyy-mm"))</f>
        <v>0</v>
      </c>
      <c r="AH265" s="28">
        <f>IF(B265="","",B265&amp;"|"&amp;COUNTIF($B$5:$B265,B265))</f>
        <v>0</v>
      </c>
      <c r="AI265" s="28">
        <f>IF(E265="","",E265&amp;"|"&amp;COUNTIF($E$5:$E265,E265))</f>
        <v>0</v>
      </c>
      <c r="AJ265" s="49">
        <f>IF(C265="","",IF(AE265="Missed","Missed visit - contact client",IF(Z265="Yes","Incident logged - follow up",IF(AND(AE265="Completed",AC265&lt;&gt;"Yes"),"Action - send client update",IF(AND(AE265="Completed",AD265&lt;&gt;"Yes"),"Check care checklist",IF(AND(C265&lt;TODAY(),AE265="Scheduled"),"Overdue - log the result","OK"))))))</f>
        <v>0</v>
      </c>
    </row>
    <row r="266" spans="1:36">
      <c r="A266" s="46">
        <f>IF(C266="","","VS-"&amp;TEXT(ROW()-4,"0000"))</f>
        <v>0</v>
      </c>
      <c r="D266" s="28">
        <f>IF(B266="","",IFERROR(INDEX(Bookings!$C$5:$C$404,MATCH(B266,Bookings!$A$5:$A$404,0)),""))</f>
        <v>0</v>
      </c>
      <c r="E266" s="28">
        <f>IF(B266="","",IFERROR(INDEX(Bookings!$E$5:$E$404,MATCH(B266,Bookings!$A$5:$A$404,0)),""))</f>
        <v>0</v>
      </c>
      <c r="F266" s="28">
        <f>IF(B266="","",IFERROR(INDEX(Bookings!$H$5:$H$404,MATCH(B266,Bookings!$A$5:$A$404,0)),""))</f>
        <v>0</v>
      </c>
      <c r="H266" s="53">
        <f>IF(B266="","",IFERROR(INDEX(Bookings!$K$5:$K$404,MATCH(B266,Bookings!$A$5:$A$404,0)),""))</f>
        <v>0</v>
      </c>
      <c r="K266" s="31">
        <f>IF(OR(I266="",J266=""),"",ROUND((J266-I266+IF(J266&lt;I266,1,0))*1440,0))</f>
        <v>0</v>
      </c>
      <c r="L266" s="49">
        <f>IF(OR(I266="",H266=""),"",IF(I266&lt;=H266+TIME(0,10,0),"On time","Late "&amp;TEXT((I266-H266)*1440,"0")&amp;" min"))</f>
        <v>0</v>
      </c>
      <c r="O266" s="31">
        <f>IF(OR(M266="",N266=""),"",ROUND((N266-M266+IF(N266&lt;M266,1,0))*1440,0))</f>
        <v>0</v>
      </c>
      <c r="AG266" s="28">
        <f>IF(C266="","",TEXT(C266,"yyyy-mm"))</f>
        <v>0</v>
      </c>
      <c r="AH266" s="28">
        <f>IF(B266="","",B266&amp;"|"&amp;COUNTIF($B$5:$B266,B266))</f>
        <v>0</v>
      </c>
      <c r="AI266" s="28">
        <f>IF(E266="","",E266&amp;"|"&amp;COUNTIF($E$5:$E266,E266))</f>
        <v>0</v>
      </c>
      <c r="AJ266" s="49">
        <f>IF(C266="","",IF(AE266="Missed","Missed visit - contact client",IF(Z266="Yes","Incident logged - follow up",IF(AND(AE266="Completed",AC266&lt;&gt;"Yes"),"Action - send client update",IF(AND(AE266="Completed",AD266&lt;&gt;"Yes"),"Check care checklist",IF(AND(C266&lt;TODAY(),AE266="Scheduled"),"Overdue - log the result","OK"))))))</f>
        <v>0</v>
      </c>
    </row>
    <row r="267" spans="1:36">
      <c r="A267" s="46">
        <f>IF(C267="","","VS-"&amp;TEXT(ROW()-4,"0000"))</f>
        <v>0</v>
      </c>
      <c r="D267" s="28">
        <f>IF(B267="","",IFERROR(INDEX(Bookings!$C$5:$C$404,MATCH(B267,Bookings!$A$5:$A$404,0)),""))</f>
        <v>0</v>
      </c>
      <c r="E267" s="28">
        <f>IF(B267="","",IFERROR(INDEX(Bookings!$E$5:$E$404,MATCH(B267,Bookings!$A$5:$A$404,0)),""))</f>
        <v>0</v>
      </c>
      <c r="F267" s="28">
        <f>IF(B267="","",IFERROR(INDEX(Bookings!$H$5:$H$404,MATCH(B267,Bookings!$A$5:$A$404,0)),""))</f>
        <v>0</v>
      </c>
      <c r="H267" s="53">
        <f>IF(B267="","",IFERROR(INDEX(Bookings!$K$5:$K$404,MATCH(B267,Bookings!$A$5:$A$404,0)),""))</f>
        <v>0</v>
      </c>
      <c r="K267" s="31">
        <f>IF(OR(I267="",J267=""),"",ROUND((J267-I267+IF(J267&lt;I267,1,0))*1440,0))</f>
        <v>0</v>
      </c>
      <c r="L267" s="49">
        <f>IF(OR(I267="",H267=""),"",IF(I267&lt;=H267+TIME(0,10,0),"On time","Late "&amp;TEXT((I267-H267)*1440,"0")&amp;" min"))</f>
        <v>0</v>
      </c>
      <c r="O267" s="31">
        <f>IF(OR(M267="",N267=""),"",ROUND((N267-M267+IF(N267&lt;M267,1,0))*1440,0))</f>
        <v>0</v>
      </c>
      <c r="AG267" s="28">
        <f>IF(C267="","",TEXT(C267,"yyyy-mm"))</f>
        <v>0</v>
      </c>
      <c r="AH267" s="28">
        <f>IF(B267="","",B267&amp;"|"&amp;COUNTIF($B$5:$B267,B267))</f>
        <v>0</v>
      </c>
      <c r="AI267" s="28">
        <f>IF(E267="","",E267&amp;"|"&amp;COUNTIF($E$5:$E267,E267))</f>
        <v>0</v>
      </c>
      <c r="AJ267" s="49">
        <f>IF(C267="","",IF(AE267="Missed","Missed visit - contact client",IF(Z267="Yes","Incident logged - follow up",IF(AND(AE267="Completed",AC267&lt;&gt;"Yes"),"Action - send client update",IF(AND(AE267="Completed",AD267&lt;&gt;"Yes"),"Check care checklist",IF(AND(C267&lt;TODAY(),AE267="Scheduled"),"Overdue - log the result","OK"))))))</f>
        <v>0</v>
      </c>
    </row>
    <row r="268" spans="1:36">
      <c r="A268" s="46">
        <f>IF(C268="","","VS-"&amp;TEXT(ROW()-4,"0000"))</f>
        <v>0</v>
      </c>
      <c r="D268" s="28">
        <f>IF(B268="","",IFERROR(INDEX(Bookings!$C$5:$C$404,MATCH(B268,Bookings!$A$5:$A$404,0)),""))</f>
        <v>0</v>
      </c>
      <c r="E268" s="28">
        <f>IF(B268="","",IFERROR(INDEX(Bookings!$E$5:$E$404,MATCH(B268,Bookings!$A$5:$A$404,0)),""))</f>
        <v>0</v>
      </c>
      <c r="F268" s="28">
        <f>IF(B268="","",IFERROR(INDEX(Bookings!$H$5:$H$404,MATCH(B268,Bookings!$A$5:$A$404,0)),""))</f>
        <v>0</v>
      </c>
      <c r="H268" s="53">
        <f>IF(B268="","",IFERROR(INDEX(Bookings!$K$5:$K$404,MATCH(B268,Bookings!$A$5:$A$404,0)),""))</f>
        <v>0</v>
      </c>
      <c r="K268" s="31">
        <f>IF(OR(I268="",J268=""),"",ROUND((J268-I268+IF(J268&lt;I268,1,0))*1440,0))</f>
        <v>0</v>
      </c>
      <c r="L268" s="49">
        <f>IF(OR(I268="",H268=""),"",IF(I268&lt;=H268+TIME(0,10,0),"On time","Late "&amp;TEXT((I268-H268)*1440,"0")&amp;" min"))</f>
        <v>0</v>
      </c>
      <c r="O268" s="31">
        <f>IF(OR(M268="",N268=""),"",ROUND((N268-M268+IF(N268&lt;M268,1,0))*1440,0))</f>
        <v>0</v>
      </c>
      <c r="AG268" s="28">
        <f>IF(C268="","",TEXT(C268,"yyyy-mm"))</f>
        <v>0</v>
      </c>
      <c r="AH268" s="28">
        <f>IF(B268="","",B268&amp;"|"&amp;COUNTIF($B$5:$B268,B268))</f>
        <v>0</v>
      </c>
      <c r="AI268" s="28">
        <f>IF(E268="","",E268&amp;"|"&amp;COUNTIF($E$5:$E268,E268))</f>
        <v>0</v>
      </c>
      <c r="AJ268" s="49">
        <f>IF(C268="","",IF(AE268="Missed","Missed visit - contact client",IF(Z268="Yes","Incident logged - follow up",IF(AND(AE268="Completed",AC268&lt;&gt;"Yes"),"Action - send client update",IF(AND(AE268="Completed",AD268&lt;&gt;"Yes"),"Check care checklist",IF(AND(C268&lt;TODAY(),AE268="Scheduled"),"Overdue - log the result","OK"))))))</f>
        <v>0</v>
      </c>
    </row>
    <row r="269" spans="1:36">
      <c r="A269" s="46">
        <f>IF(C269="","","VS-"&amp;TEXT(ROW()-4,"0000"))</f>
        <v>0</v>
      </c>
      <c r="D269" s="28">
        <f>IF(B269="","",IFERROR(INDEX(Bookings!$C$5:$C$404,MATCH(B269,Bookings!$A$5:$A$404,0)),""))</f>
        <v>0</v>
      </c>
      <c r="E269" s="28">
        <f>IF(B269="","",IFERROR(INDEX(Bookings!$E$5:$E$404,MATCH(B269,Bookings!$A$5:$A$404,0)),""))</f>
        <v>0</v>
      </c>
      <c r="F269" s="28">
        <f>IF(B269="","",IFERROR(INDEX(Bookings!$H$5:$H$404,MATCH(B269,Bookings!$A$5:$A$404,0)),""))</f>
        <v>0</v>
      </c>
      <c r="H269" s="53">
        <f>IF(B269="","",IFERROR(INDEX(Bookings!$K$5:$K$404,MATCH(B269,Bookings!$A$5:$A$404,0)),""))</f>
        <v>0</v>
      </c>
      <c r="K269" s="31">
        <f>IF(OR(I269="",J269=""),"",ROUND((J269-I269+IF(J269&lt;I269,1,0))*1440,0))</f>
        <v>0</v>
      </c>
      <c r="L269" s="49">
        <f>IF(OR(I269="",H269=""),"",IF(I269&lt;=H269+TIME(0,10,0),"On time","Late "&amp;TEXT((I269-H269)*1440,"0")&amp;" min"))</f>
        <v>0</v>
      </c>
      <c r="O269" s="31">
        <f>IF(OR(M269="",N269=""),"",ROUND((N269-M269+IF(N269&lt;M269,1,0))*1440,0))</f>
        <v>0</v>
      </c>
      <c r="AG269" s="28">
        <f>IF(C269="","",TEXT(C269,"yyyy-mm"))</f>
        <v>0</v>
      </c>
      <c r="AH269" s="28">
        <f>IF(B269="","",B269&amp;"|"&amp;COUNTIF($B$5:$B269,B269))</f>
        <v>0</v>
      </c>
      <c r="AI269" s="28">
        <f>IF(E269="","",E269&amp;"|"&amp;COUNTIF($E$5:$E269,E269))</f>
        <v>0</v>
      </c>
      <c r="AJ269" s="49">
        <f>IF(C269="","",IF(AE269="Missed","Missed visit - contact client",IF(Z269="Yes","Incident logged - follow up",IF(AND(AE269="Completed",AC269&lt;&gt;"Yes"),"Action - send client update",IF(AND(AE269="Completed",AD269&lt;&gt;"Yes"),"Check care checklist",IF(AND(C269&lt;TODAY(),AE269="Scheduled"),"Overdue - log the result","OK"))))))</f>
        <v>0</v>
      </c>
    </row>
    <row r="270" spans="1:36">
      <c r="A270" s="46">
        <f>IF(C270="","","VS-"&amp;TEXT(ROW()-4,"0000"))</f>
        <v>0</v>
      </c>
      <c r="D270" s="28">
        <f>IF(B270="","",IFERROR(INDEX(Bookings!$C$5:$C$404,MATCH(B270,Bookings!$A$5:$A$404,0)),""))</f>
        <v>0</v>
      </c>
      <c r="E270" s="28">
        <f>IF(B270="","",IFERROR(INDEX(Bookings!$E$5:$E$404,MATCH(B270,Bookings!$A$5:$A$404,0)),""))</f>
        <v>0</v>
      </c>
      <c r="F270" s="28">
        <f>IF(B270="","",IFERROR(INDEX(Bookings!$H$5:$H$404,MATCH(B270,Bookings!$A$5:$A$404,0)),""))</f>
        <v>0</v>
      </c>
      <c r="H270" s="53">
        <f>IF(B270="","",IFERROR(INDEX(Bookings!$K$5:$K$404,MATCH(B270,Bookings!$A$5:$A$404,0)),""))</f>
        <v>0</v>
      </c>
      <c r="K270" s="31">
        <f>IF(OR(I270="",J270=""),"",ROUND((J270-I270+IF(J270&lt;I270,1,0))*1440,0))</f>
        <v>0</v>
      </c>
      <c r="L270" s="49">
        <f>IF(OR(I270="",H270=""),"",IF(I270&lt;=H270+TIME(0,10,0),"On time","Late "&amp;TEXT((I270-H270)*1440,"0")&amp;" min"))</f>
        <v>0</v>
      </c>
      <c r="O270" s="31">
        <f>IF(OR(M270="",N270=""),"",ROUND((N270-M270+IF(N270&lt;M270,1,0))*1440,0))</f>
        <v>0</v>
      </c>
      <c r="AG270" s="28">
        <f>IF(C270="","",TEXT(C270,"yyyy-mm"))</f>
        <v>0</v>
      </c>
      <c r="AH270" s="28">
        <f>IF(B270="","",B270&amp;"|"&amp;COUNTIF($B$5:$B270,B270))</f>
        <v>0</v>
      </c>
      <c r="AI270" s="28">
        <f>IF(E270="","",E270&amp;"|"&amp;COUNTIF($E$5:$E270,E270))</f>
        <v>0</v>
      </c>
      <c r="AJ270" s="49">
        <f>IF(C270="","",IF(AE270="Missed","Missed visit - contact client",IF(Z270="Yes","Incident logged - follow up",IF(AND(AE270="Completed",AC270&lt;&gt;"Yes"),"Action - send client update",IF(AND(AE270="Completed",AD270&lt;&gt;"Yes"),"Check care checklist",IF(AND(C270&lt;TODAY(),AE270="Scheduled"),"Overdue - log the result","OK"))))))</f>
        <v>0</v>
      </c>
    </row>
    <row r="271" spans="1:36">
      <c r="A271" s="46">
        <f>IF(C271="","","VS-"&amp;TEXT(ROW()-4,"0000"))</f>
        <v>0</v>
      </c>
      <c r="D271" s="28">
        <f>IF(B271="","",IFERROR(INDEX(Bookings!$C$5:$C$404,MATCH(B271,Bookings!$A$5:$A$404,0)),""))</f>
        <v>0</v>
      </c>
      <c r="E271" s="28">
        <f>IF(B271="","",IFERROR(INDEX(Bookings!$E$5:$E$404,MATCH(B271,Bookings!$A$5:$A$404,0)),""))</f>
        <v>0</v>
      </c>
      <c r="F271" s="28">
        <f>IF(B271="","",IFERROR(INDEX(Bookings!$H$5:$H$404,MATCH(B271,Bookings!$A$5:$A$404,0)),""))</f>
        <v>0</v>
      </c>
      <c r="H271" s="53">
        <f>IF(B271="","",IFERROR(INDEX(Bookings!$K$5:$K$404,MATCH(B271,Bookings!$A$5:$A$404,0)),""))</f>
        <v>0</v>
      </c>
      <c r="K271" s="31">
        <f>IF(OR(I271="",J271=""),"",ROUND((J271-I271+IF(J271&lt;I271,1,0))*1440,0))</f>
        <v>0</v>
      </c>
      <c r="L271" s="49">
        <f>IF(OR(I271="",H271=""),"",IF(I271&lt;=H271+TIME(0,10,0),"On time","Late "&amp;TEXT((I271-H271)*1440,"0")&amp;" min"))</f>
        <v>0</v>
      </c>
      <c r="O271" s="31">
        <f>IF(OR(M271="",N271=""),"",ROUND((N271-M271+IF(N271&lt;M271,1,0))*1440,0))</f>
        <v>0</v>
      </c>
      <c r="AG271" s="28">
        <f>IF(C271="","",TEXT(C271,"yyyy-mm"))</f>
        <v>0</v>
      </c>
      <c r="AH271" s="28">
        <f>IF(B271="","",B271&amp;"|"&amp;COUNTIF($B$5:$B271,B271))</f>
        <v>0</v>
      </c>
      <c r="AI271" s="28">
        <f>IF(E271="","",E271&amp;"|"&amp;COUNTIF($E$5:$E271,E271))</f>
        <v>0</v>
      </c>
      <c r="AJ271" s="49">
        <f>IF(C271="","",IF(AE271="Missed","Missed visit - contact client",IF(Z271="Yes","Incident logged - follow up",IF(AND(AE271="Completed",AC271&lt;&gt;"Yes"),"Action - send client update",IF(AND(AE271="Completed",AD271&lt;&gt;"Yes"),"Check care checklist",IF(AND(C271&lt;TODAY(),AE271="Scheduled"),"Overdue - log the result","OK"))))))</f>
        <v>0</v>
      </c>
    </row>
    <row r="272" spans="1:36">
      <c r="A272" s="46">
        <f>IF(C272="","","VS-"&amp;TEXT(ROW()-4,"0000"))</f>
        <v>0</v>
      </c>
      <c r="D272" s="28">
        <f>IF(B272="","",IFERROR(INDEX(Bookings!$C$5:$C$404,MATCH(B272,Bookings!$A$5:$A$404,0)),""))</f>
        <v>0</v>
      </c>
      <c r="E272" s="28">
        <f>IF(B272="","",IFERROR(INDEX(Bookings!$E$5:$E$404,MATCH(B272,Bookings!$A$5:$A$404,0)),""))</f>
        <v>0</v>
      </c>
      <c r="F272" s="28">
        <f>IF(B272="","",IFERROR(INDEX(Bookings!$H$5:$H$404,MATCH(B272,Bookings!$A$5:$A$404,0)),""))</f>
        <v>0</v>
      </c>
      <c r="H272" s="53">
        <f>IF(B272="","",IFERROR(INDEX(Bookings!$K$5:$K$404,MATCH(B272,Bookings!$A$5:$A$404,0)),""))</f>
        <v>0</v>
      </c>
      <c r="K272" s="31">
        <f>IF(OR(I272="",J272=""),"",ROUND((J272-I272+IF(J272&lt;I272,1,0))*1440,0))</f>
        <v>0</v>
      </c>
      <c r="L272" s="49">
        <f>IF(OR(I272="",H272=""),"",IF(I272&lt;=H272+TIME(0,10,0),"On time","Late "&amp;TEXT((I272-H272)*1440,"0")&amp;" min"))</f>
        <v>0</v>
      </c>
      <c r="O272" s="31">
        <f>IF(OR(M272="",N272=""),"",ROUND((N272-M272+IF(N272&lt;M272,1,0))*1440,0))</f>
        <v>0</v>
      </c>
      <c r="AG272" s="28">
        <f>IF(C272="","",TEXT(C272,"yyyy-mm"))</f>
        <v>0</v>
      </c>
      <c r="AH272" s="28">
        <f>IF(B272="","",B272&amp;"|"&amp;COUNTIF($B$5:$B272,B272))</f>
        <v>0</v>
      </c>
      <c r="AI272" s="28">
        <f>IF(E272="","",E272&amp;"|"&amp;COUNTIF($E$5:$E272,E272))</f>
        <v>0</v>
      </c>
      <c r="AJ272" s="49">
        <f>IF(C272="","",IF(AE272="Missed","Missed visit - contact client",IF(Z272="Yes","Incident logged - follow up",IF(AND(AE272="Completed",AC272&lt;&gt;"Yes"),"Action - send client update",IF(AND(AE272="Completed",AD272&lt;&gt;"Yes"),"Check care checklist",IF(AND(C272&lt;TODAY(),AE272="Scheduled"),"Overdue - log the result","OK"))))))</f>
        <v>0</v>
      </c>
    </row>
    <row r="273" spans="1:36">
      <c r="A273" s="46">
        <f>IF(C273="","","VS-"&amp;TEXT(ROW()-4,"0000"))</f>
        <v>0</v>
      </c>
      <c r="D273" s="28">
        <f>IF(B273="","",IFERROR(INDEX(Bookings!$C$5:$C$404,MATCH(B273,Bookings!$A$5:$A$404,0)),""))</f>
        <v>0</v>
      </c>
      <c r="E273" s="28">
        <f>IF(B273="","",IFERROR(INDEX(Bookings!$E$5:$E$404,MATCH(B273,Bookings!$A$5:$A$404,0)),""))</f>
        <v>0</v>
      </c>
      <c r="F273" s="28">
        <f>IF(B273="","",IFERROR(INDEX(Bookings!$H$5:$H$404,MATCH(B273,Bookings!$A$5:$A$404,0)),""))</f>
        <v>0</v>
      </c>
      <c r="H273" s="53">
        <f>IF(B273="","",IFERROR(INDEX(Bookings!$K$5:$K$404,MATCH(B273,Bookings!$A$5:$A$404,0)),""))</f>
        <v>0</v>
      </c>
      <c r="K273" s="31">
        <f>IF(OR(I273="",J273=""),"",ROUND((J273-I273+IF(J273&lt;I273,1,0))*1440,0))</f>
        <v>0</v>
      </c>
      <c r="L273" s="49">
        <f>IF(OR(I273="",H273=""),"",IF(I273&lt;=H273+TIME(0,10,0),"On time","Late "&amp;TEXT((I273-H273)*1440,"0")&amp;" min"))</f>
        <v>0</v>
      </c>
      <c r="O273" s="31">
        <f>IF(OR(M273="",N273=""),"",ROUND((N273-M273+IF(N273&lt;M273,1,0))*1440,0))</f>
        <v>0</v>
      </c>
      <c r="AG273" s="28">
        <f>IF(C273="","",TEXT(C273,"yyyy-mm"))</f>
        <v>0</v>
      </c>
      <c r="AH273" s="28">
        <f>IF(B273="","",B273&amp;"|"&amp;COUNTIF($B$5:$B273,B273))</f>
        <v>0</v>
      </c>
      <c r="AI273" s="28">
        <f>IF(E273="","",E273&amp;"|"&amp;COUNTIF($E$5:$E273,E273))</f>
        <v>0</v>
      </c>
      <c r="AJ273" s="49">
        <f>IF(C273="","",IF(AE273="Missed","Missed visit - contact client",IF(Z273="Yes","Incident logged - follow up",IF(AND(AE273="Completed",AC273&lt;&gt;"Yes"),"Action - send client update",IF(AND(AE273="Completed",AD273&lt;&gt;"Yes"),"Check care checklist",IF(AND(C273&lt;TODAY(),AE273="Scheduled"),"Overdue - log the result","OK"))))))</f>
        <v>0</v>
      </c>
    </row>
    <row r="274" spans="1:36">
      <c r="A274" s="46">
        <f>IF(C274="","","VS-"&amp;TEXT(ROW()-4,"0000"))</f>
        <v>0</v>
      </c>
      <c r="D274" s="28">
        <f>IF(B274="","",IFERROR(INDEX(Bookings!$C$5:$C$404,MATCH(B274,Bookings!$A$5:$A$404,0)),""))</f>
        <v>0</v>
      </c>
      <c r="E274" s="28">
        <f>IF(B274="","",IFERROR(INDEX(Bookings!$E$5:$E$404,MATCH(B274,Bookings!$A$5:$A$404,0)),""))</f>
        <v>0</v>
      </c>
      <c r="F274" s="28">
        <f>IF(B274="","",IFERROR(INDEX(Bookings!$H$5:$H$404,MATCH(B274,Bookings!$A$5:$A$404,0)),""))</f>
        <v>0</v>
      </c>
      <c r="H274" s="53">
        <f>IF(B274="","",IFERROR(INDEX(Bookings!$K$5:$K$404,MATCH(B274,Bookings!$A$5:$A$404,0)),""))</f>
        <v>0</v>
      </c>
      <c r="K274" s="31">
        <f>IF(OR(I274="",J274=""),"",ROUND((J274-I274+IF(J274&lt;I274,1,0))*1440,0))</f>
        <v>0</v>
      </c>
      <c r="L274" s="49">
        <f>IF(OR(I274="",H274=""),"",IF(I274&lt;=H274+TIME(0,10,0),"On time","Late "&amp;TEXT((I274-H274)*1440,"0")&amp;" min"))</f>
        <v>0</v>
      </c>
      <c r="O274" s="31">
        <f>IF(OR(M274="",N274=""),"",ROUND((N274-M274+IF(N274&lt;M274,1,0))*1440,0))</f>
        <v>0</v>
      </c>
      <c r="AG274" s="28">
        <f>IF(C274="","",TEXT(C274,"yyyy-mm"))</f>
        <v>0</v>
      </c>
      <c r="AH274" s="28">
        <f>IF(B274="","",B274&amp;"|"&amp;COUNTIF($B$5:$B274,B274))</f>
        <v>0</v>
      </c>
      <c r="AI274" s="28">
        <f>IF(E274="","",E274&amp;"|"&amp;COUNTIF($E$5:$E274,E274))</f>
        <v>0</v>
      </c>
      <c r="AJ274" s="49">
        <f>IF(C274="","",IF(AE274="Missed","Missed visit - contact client",IF(Z274="Yes","Incident logged - follow up",IF(AND(AE274="Completed",AC274&lt;&gt;"Yes"),"Action - send client update",IF(AND(AE274="Completed",AD274&lt;&gt;"Yes"),"Check care checklist",IF(AND(C274&lt;TODAY(),AE274="Scheduled"),"Overdue - log the result","OK"))))))</f>
        <v>0</v>
      </c>
    </row>
    <row r="275" spans="1:36">
      <c r="A275" s="46">
        <f>IF(C275="","","VS-"&amp;TEXT(ROW()-4,"0000"))</f>
        <v>0</v>
      </c>
      <c r="D275" s="28">
        <f>IF(B275="","",IFERROR(INDEX(Bookings!$C$5:$C$404,MATCH(B275,Bookings!$A$5:$A$404,0)),""))</f>
        <v>0</v>
      </c>
      <c r="E275" s="28">
        <f>IF(B275="","",IFERROR(INDEX(Bookings!$E$5:$E$404,MATCH(B275,Bookings!$A$5:$A$404,0)),""))</f>
        <v>0</v>
      </c>
      <c r="F275" s="28">
        <f>IF(B275="","",IFERROR(INDEX(Bookings!$H$5:$H$404,MATCH(B275,Bookings!$A$5:$A$404,0)),""))</f>
        <v>0</v>
      </c>
      <c r="H275" s="53">
        <f>IF(B275="","",IFERROR(INDEX(Bookings!$K$5:$K$404,MATCH(B275,Bookings!$A$5:$A$404,0)),""))</f>
        <v>0</v>
      </c>
      <c r="K275" s="31">
        <f>IF(OR(I275="",J275=""),"",ROUND((J275-I275+IF(J275&lt;I275,1,0))*1440,0))</f>
        <v>0</v>
      </c>
      <c r="L275" s="49">
        <f>IF(OR(I275="",H275=""),"",IF(I275&lt;=H275+TIME(0,10,0),"On time","Late "&amp;TEXT((I275-H275)*1440,"0")&amp;" min"))</f>
        <v>0</v>
      </c>
      <c r="O275" s="31">
        <f>IF(OR(M275="",N275=""),"",ROUND((N275-M275+IF(N275&lt;M275,1,0))*1440,0))</f>
        <v>0</v>
      </c>
      <c r="AG275" s="28">
        <f>IF(C275="","",TEXT(C275,"yyyy-mm"))</f>
        <v>0</v>
      </c>
      <c r="AH275" s="28">
        <f>IF(B275="","",B275&amp;"|"&amp;COUNTIF($B$5:$B275,B275))</f>
        <v>0</v>
      </c>
      <c r="AI275" s="28">
        <f>IF(E275="","",E275&amp;"|"&amp;COUNTIF($E$5:$E275,E275))</f>
        <v>0</v>
      </c>
      <c r="AJ275" s="49">
        <f>IF(C275="","",IF(AE275="Missed","Missed visit - contact client",IF(Z275="Yes","Incident logged - follow up",IF(AND(AE275="Completed",AC275&lt;&gt;"Yes"),"Action - send client update",IF(AND(AE275="Completed",AD275&lt;&gt;"Yes"),"Check care checklist",IF(AND(C275&lt;TODAY(),AE275="Scheduled"),"Overdue - log the result","OK"))))))</f>
        <v>0</v>
      </c>
    </row>
    <row r="276" spans="1:36">
      <c r="A276" s="46">
        <f>IF(C276="","","VS-"&amp;TEXT(ROW()-4,"0000"))</f>
        <v>0</v>
      </c>
      <c r="D276" s="28">
        <f>IF(B276="","",IFERROR(INDEX(Bookings!$C$5:$C$404,MATCH(B276,Bookings!$A$5:$A$404,0)),""))</f>
        <v>0</v>
      </c>
      <c r="E276" s="28">
        <f>IF(B276="","",IFERROR(INDEX(Bookings!$E$5:$E$404,MATCH(B276,Bookings!$A$5:$A$404,0)),""))</f>
        <v>0</v>
      </c>
      <c r="F276" s="28">
        <f>IF(B276="","",IFERROR(INDEX(Bookings!$H$5:$H$404,MATCH(B276,Bookings!$A$5:$A$404,0)),""))</f>
        <v>0</v>
      </c>
      <c r="H276" s="53">
        <f>IF(B276="","",IFERROR(INDEX(Bookings!$K$5:$K$404,MATCH(B276,Bookings!$A$5:$A$404,0)),""))</f>
        <v>0</v>
      </c>
      <c r="K276" s="31">
        <f>IF(OR(I276="",J276=""),"",ROUND((J276-I276+IF(J276&lt;I276,1,0))*1440,0))</f>
        <v>0</v>
      </c>
      <c r="L276" s="49">
        <f>IF(OR(I276="",H276=""),"",IF(I276&lt;=H276+TIME(0,10,0),"On time","Late "&amp;TEXT((I276-H276)*1440,"0")&amp;" min"))</f>
        <v>0</v>
      </c>
      <c r="O276" s="31">
        <f>IF(OR(M276="",N276=""),"",ROUND((N276-M276+IF(N276&lt;M276,1,0))*1440,0))</f>
        <v>0</v>
      </c>
      <c r="AG276" s="28">
        <f>IF(C276="","",TEXT(C276,"yyyy-mm"))</f>
        <v>0</v>
      </c>
      <c r="AH276" s="28">
        <f>IF(B276="","",B276&amp;"|"&amp;COUNTIF($B$5:$B276,B276))</f>
        <v>0</v>
      </c>
      <c r="AI276" s="28">
        <f>IF(E276="","",E276&amp;"|"&amp;COUNTIF($E$5:$E276,E276))</f>
        <v>0</v>
      </c>
      <c r="AJ276" s="49">
        <f>IF(C276="","",IF(AE276="Missed","Missed visit - contact client",IF(Z276="Yes","Incident logged - follow up",IF(AND(AE276="Completed",AC276&lt;&gt;"Yes"),"Action - send client update",IF(AND(AE276="Completed",AD276&lt;&gt;"Yes"),"Check care checklist",IF(AND(C276&lt;TODAY(),AE276="Scheduled"),"Overdue - log the result","OK"))))))</f>
        <v>0</v>
      </c>
    </row>
    <row r="277" spans="1:36">
      <c r="A277" s="46">
        <f>IF(C277="","","VS-"&amp;TEXT(ROW()-4,"0000"))</f>
        <v>0</v>
      </c>
      <c r="D277" s="28">
        <f>IF(B277="","",IFERROR(INDEX(Bookings!$C$5:$C$404,MATCH(B277,Bookings!$A$5:$A$404,0)),""))</f>
        <v>0</v>
      </c>
      <c r="E277" s="28">
        <f>IF(B277="","",IFERROR(INDEX(Bookings!$E$5:$E$404,MATCH(B277,Bookings!$A$5:$A$404,0)),""))</f>
        <v>0</v>
      </c>
      <c r="F277" s="28">
        <f>IF(B277="","",IFERROR(INDEX(Bookings!$H$5:$H$404,MATCH(B277,Bookings!$A$5:$A$404,0)),""))</f>
        <v>0</v>
      </c>
      <c r="H277" s="53">
        <f>IF(B277="","",IFERROR(INDEX(Bookings!$K$5:$K$404,MATCH(B277,Bookings!$A$5:$A$404,0)),""))</f>
        <v>0</v>
      </c>
      <c r="K277" s="31">
        <f>IF(OR(I277="",J277=""),"",ROUND((J277-I277+IF(J277&lt;I277,1,0))*1440,0))</f>
        <v>0</v>
      </c>
      <c r="L277" s="49">
        <f>IF(OR(I277="",H277=""),"",IF(I277&lt;=H277+TIME(0,10,0),"On time","Late "&amp;TEXT((I277-H277)*1440,"0")&amp;" min"))</f>
        <v>0</v>
      </c>
      <c r="O277" s="31">
        <f>IF(OR(M277="",N277=""),"",ROUND((N277-M277+IF(N277&lt;M277,1,0))*1440,0))</f>
        <v>0</v>
      </c>
      <c r="AG277" s="28">
        <f>IF(C277="","",TEXT(C277,"yyyy-mm"))</f>
        <v>0</v>
      </c>
      <c r="AH277" s="28">
        <f>IF(B277="","",B277&amp;"|"&amp;COUNTIF($B$5:$B277,B277))</f>
        <v>0</v>
      </c>
      <c r="AI277" s="28">
        <f>IF(E277="","",E277&amp;"|"&amp;COUNTIF($E$5:$E277,E277))</f>
        <v>0</v>
      </c>
      <c r="AJ277" s="49">
        <f>IF(C277="","",IF(AE277="Missed","Missed visit - contact client",IF(Z277="Yes","Incident logged - follow up",IF(AND(AE277="Completed",AC277&lt;&gt;"Yes"),"Action - send client update",IF(AND(AE277="Completed",AD277&lt;&gt;"Yes"),"Check care checklist",IF(AND(C277&lt;TODAY(),AE277="Scheduled"),"Overdue - log the result","OK"))))))</f>
        <v>0</v>
      </c>
    </row>
    <row r="278" spans="1:36">
      <c r="A278" s="46">
        <f>IF(C278="","","VS-"&amp;TEXT(ROW()-4,"0000"))</f>
        <v>0</v>
      </c>
      <c r="D278" s="28">
        <f>IF(B278="","",IFERROR(INDEX(Bookings!$C$5:$C$404,MATCH(B278,Bookings!$A$5:$A$404,0)),""))</f>
        <v>0</v>
      </c>
      <c r="E278" s="28">
        <f>IF(B278="","",IFERROR(INDEX(Bookings!$E$5:$E$404,MATCH(B278,Bookings!$A$5:$A$404,0)),""))</f>
        <v>0</v>
      </c>
      <c r="F278" s="28">
        <f>IF(B278="","",IFERROR(INDEX(Bookings!$H$5:$H$404,MATCH(B278,Bookings!$A$5:$A$404,0)),""))</f>
        <v>0</v>
      </c>
      <c r="H278" s="53">
        <f>IF(B278="","",IFERROR(INDEX(Bookings!$K$5:$K$404,MATCH(B278,Bookings!$A$5:$A$404,0)),""))</f>
        <v>0</v>
      </c>
      <c r="K278" s="31">
        <f>IF(OR(I278="",J278=""),"",ROUND((J278-I278+IF(J278&lt;I278,1,0))*1440,0))</f>
        <v>0</v>
      </c>
      <c r="L278" s="49">
        <f>IF(OR(I278="",H278=""),"",IF(I278&lt;=H278+TIME(0,10,0),"On time","Late "&amp;TEXT((I278-H278)*1440,"0")&amp;" min"))</f>
        <v>0</v>
      </c>
      <c r="O278" s="31">
        <f>IF(OR(M278="",N278=""),"",ROUND((N278-M278+IF(N278&lt;M278,1,0))*1440,0))</f>
        <v>0</v>
      </c>
      <c r="AG278" s="28">
        <f>IF(C278="","",TEXT(C278,"yyyy-mm"))</f>
        <v>0</v>
      </c>
      <c r="AH278" s="28">
        <f>IF(B278="","",B278&amp;"|"&amp;COUNTIF($B$5:$B278,B278))</f>
        <v>0</v>
      </c>
      <c r="AI278" s="28">
        <f>IF(E278="","",E278&amp;"|"&amp;COUNTIF($E$5:$E278,E278))</f>
        <v>0</v>
      </c>
      <c r="AJ278" s="49">
        <f>IF(C278="","",IF(AE278="Missed","Missed visit - contact client",IF(Z278="Yes","Incident logged - follow up",IF(AND(AE278="Completed",AC278&lt;&gt;"Yes"),"Action - send client update",IF(AND(AE278="Completed",AD278&lt;&gt;"Yes"),"Check care checklist",IF(AND(C278&lt;TODAY(),AE278="Scheduled"),"Overdue - log the result","OK"))))))</f>
        <v>0</v>
      </c>
    </row>
    <row r="279" spans="1:36">
      <c r="A279" s="46">
        <f>IF(C279="","","VS-"&amp;TEXT(ROW()-4,"0000"))</f>
        <v>0</v>
      </c>
      <c r="D279" s="28">
        <f>IF(B279="","",IFERROR(INDEX(Bookings!$C$5:$C$404,MATCH(B279,Bookings!$A$5:$A$404,0)),""))</f>
        <v>0</v>
      </c>
      <c r="E279" s="28">
        <f>IF(B279="","",IFERROR(INDEX(Bookings!$E$5:$E$404,MATCH(B279,Bookings!$A$5:$A$404,0)),""))</f>
        <v>0</v>
      </c>
      <c r="F279" s="28">
        <f>IF(B279="","",IFERROR(INDEX(Bookings!$H$5:$H$404,MATCH(B279,Bookings!$A$5:$A$404,0)),""))</f>
        <v>0</v>
      </c>
      <c r="H279" s="53">
        <f>IF(B279="","",IFERROR(INDEX(Bookings!$K$5:$K$404,MATCH(B279,Bookings!$A$5:$A$404,0)),""))</f>
        <v>0</v>
      </c>
      <c r="K279" s="31">
        <f>IF(OR(I279="",J279=""),"",ROUND((J279-I279+IF(J279&lt;I279,1,0))*1440,0))</f>
        <v>0</v>
      </c>
      <c r="L279" s="49">
        <f>IF(OR(I279="",H279=""),"",IF(I279&lt;=H279+TIME(0,10,0),"On time","Late "&amp;TEXT((I279-H279)*1440,"0")&amp;" min"))</f>
        <v>0</v>
      </c>
      <c r="O279" s="31">
        <f>IF(OR(M279="",N279=""),"",ROUND((N279-M279+IF(N279&lt;M279,1,0))*1440,0))</f>
        <v>0</v>
      </c>
      <c r="AG279" s="28">
        <f>IF(C279="","",TEXT(C279,"yyyy-mm"))</f>
        <v>0</v>
      </c>
      <c r="AH279" s="28">
        <f>IF(B279="","",B279&amp;"|"&amp;COUNTIF($B$5:$B279,B279))</f>
        <v>0</v>
      </c>
      <c r="AI279" s="28">
        <f>IF(E279="","",E279&amp;"|"&amp;COUNTIF($E$5:$E279,E279))</f>
        <v>0</v>
      </c>
      <c r="AJ279" s="49">
        <f>IF(C279="","",IF(AE279="Missed","Missed visit - contact client",IF(Z279="Yes","Incident logged - follow up",IF(AND(AE279="Completed",AC279&lt;&gt;"Yes"),"Action - send client update",IF(AND(AE279="Completed",AD279&lt;&gt;"Yes"),"Check care checklist",IF(AND(C279&lt;TODAY(),AE279="Scheduled"),"Overdue - log the result","OK"))))))</f>
        <v>0</v>
      </c>
    </row>
    <row r="280" spans="1:36">
      <c r="A280" s="46">
        <f>IF(C280="","","VS-"&amp;TEXT(ROW()-4,"0000"))</f>
        <v>0</v>
      </c>
      <c r="D280" s="28">
        <f>IF(B280="","",IFERROR(INDEX(Bookings!$C$5:$C$404,MATCH(B280,Bookings!$A$5:$A$404,0)),""))</f>
        <v>0</v>
      </c>
      <c r="E280" s="28">
        <f>IF(B280="","",IFERROR(INDEX(Bookings!$E$5:$E$404,MATCH(B280,Bookings!$A$5:$A$404,0)),""))</f>
        <v>0</v>
      </c>
      <c r="F280" s="28">
        <f>IF(B280="","",IFERROR(INDEX(Bookings!$H$5:$H$404,MATCH(B280,Bookings!$A$5:$A$404,0)),""))</f>
        <v>0</v>
      </c>
      <c r="H280" s="53">
        <f>IF(B280="","",IFERROR(INDEX(Bookings!$K$5:$K$404,MATCH(B280,Bookings!$A$5:$A$404,0)),""))</f>
        <v>0</v>
      </c>
      <c r="K280" s="31">
        <f>IF(OR(I280="",J280=""),"",ROUND((J280-I280+IF(J280&lt;I280,1,0))*1440,0))</f>
        <v>0</v>
      </c>
      <c r="L280" s="49">
        <f>IF(OR(I280="",H280=""),"",IF(I280&lt;=H280+TIME(0,10,0),"On time","Late "&amp;TEXT((I280-H280)*1440,"0")&amp;" min"))</f>
        <v>0</v>
      </c>
      <c r="O280" s="31">
        <f>IF(OR(M280="",N280=""),"",ROUND((N280-M280+IF(N280&lt;M280,1,0))*1440,0))</f>
        <v>0</v>
      </c>
      <c r="AG280" s="28">
        <f>IF(C280="","",TEXT(C280,"yyyy-mm"))</f>
        <v>0</v>
      </c>
      <c r="AH280" s="28">
        <f>IF(B280="","",B280&amp;"|"&amp;COUNTIF($B$5:$B280,B280))</f>
        <v>0</v>
      </c>
      <c r="AI280" s="28">
        <f>IF(E280="","",E280&amp;"|"&amp;COUNTIF($E$5:$E280,E280))</f>
        <v>0</v>
      </c>
      <c r="AJ280" s="49">
        <f>IF(C280="","",IF(AE280="Missed","Missed visit - contact client",IF(Z280="Yes","Incident logged - follow up",IF(AND(AE280="Completed",AC280&lt;&gt;"Yes"),"Action - send client update",IF(AND(AE280="Completed",AD280&lt;&gt;"Yes"),"Check care checklist",IF(AND(C280&lt;TODAY(),AE280="Scheduled"),"Overdue - log the result","OK"))))))</f>
        <v>0</v>
      </c>
    </row>
    <row r="281" spans="1:36">
      <c r="A281" s="46">
        <f>IF(C281="","","VS-"&amp;TEXT(ROW()-4,"0000"))</f>
        <v>0</v>
      </c>
      <c r="D281" s="28">
        <f>IF(B281="","",IFERROR(INDEX(Bookings!$C$5:$C$404,MATCH(B281,Bookings!$A$5:$A$404,0)),""))</f>
        <v>0</v>
      </c>
      <c r="E281" s="28">
        <f>IF(B281="","",IFERROR(INDEX(Bookings!$E$5:$E$404,MATCH(B281,Bookings!$A$5:$A$404,0)),""))</f>
        <v>0</v>
      </c>
      <c r="F281" s="28">
        <f>IF(B281="","",IFERROR(INDEX(Bookings!$H$5:$H$404,MATCH(B281,Bookings!$A$5:$A$404,0)),""))</f>
        <v>0</v>
      </c>
      <c r="H281" s="53">
        <f>IF(B281="","",IFERROR(INDEX(Bookings!$K$5:$K$404,MATCH(B281,Bookings!$A$5:$A$404,0)),""))</f>
        <v>0</v>
      </c>
      <c r="K281" s="31">
        <f>IF(OR(I281="",J281=""),"",ROUND((J281-I281+IF(J281&lt;I281,1,0))*1440,0))</f>
        <v>0</v>
      </c>
      <c r="L281" s="49">
        <f>IF(OR(I281="",H281=""),"",IF(I281&lt;=H281+TIME(0,10,0),"On time","Late "&amp;TEXT((I281-H281)*1440,"0")&amp;" min"))</f>
        <v>0</v>
      </c>
      <c r="O281" s="31">
        <f>IF(OR(M281="",N281=""),"",ROUND((N281-M281+IF(N281&lt;M281,1,0))*1440,0))</f>
        <v>0</v>
      </c>
      <c r="AG281" s="28">
        <f>IF(C281="","",TEXT(C281,"yyyy-mm"))</f>
        <v>0</v>
      </c>
      <c r="AH281" s="28">
        <f>IF(B281="","",B281&amp;"|"&amp;COUNTIF($B$5:$B281,B281))</f>
        <v>0</v>
      </c>
      <c r="AI281" s="28">
        <f>IF(E281="","",E281&amp;"|"&amp;COUNTIF($E$5:$E281,E281))</f>
        <v>0</v>
      </c>
      <c r="AJ281" s="49">
        <f>IF(C281="","",IF(AE281="Missed","Missed visit - contact client",IF(Z281="Yes","Incident logged - follow up",IF(AND(AE281="Completed",AC281&lt;&gt;"Yes"),"Action - send client update",IF(AND(AE281="Completed",AD281&lt;&gt;"Yes"),"Check care checklist",IF(AND(C281&lt;TODAY(),AE281="Scheduled"),"Overdue - log the result","OK"))))))</f>
        <v>0</v>
      </c>
    </row>
    <row r="282" spans="1:36">
      <c r="A282" s="46">
        <f>IF(C282="","","VS-"&amp;TEXT(ROW()-4,"0000"))</f>
        <v>0</v>
      </c>
      <c r="D282" s="28">
        <f>IF(B282="","",IFERROR(INDEX(Bookings!$C$5:$C$404,MATCH(B282,Bookings!$A$5:$A$404,0)),""))</f>
        <v>0</v>
      </c>
      <c r="E282" s="28">
        <f>IF(B282="","",IFERROR(INDEX(Bookings!$E$5:$E$404,MATCH(B282,Bookings!$A$5:$A$404,0)),""))</f>
        <v>0</v>
      </c>
      <c r="F282" s="28">
        <f>IF(B282="","",IFERROR(INDEX(Bookings!$H$5:$H$404,MATCH(B282,Bookings!$A$5:$A$404,0)),""))</f>
        <v>0</v>
      </c>
      <c r="H282" s="53">
        <f>IF(B282="","",IFERROR(INDEX(Bookings!$K$5:$K$404,MATCH(B282,Bookings!$A$5:$A$404,0)),""))</f>
        <v>0</v>
      </c>
      <c r="K282" s="31">
        <f>IF(OR(I282="",J282=""),"",ROUND((J282-I282+IF(J282&lt;I282,1,0))*1440,0))</f>
        <v>0</v>
      </c>
      <c r="L282" s="49">
        <f>IF(OR(I282="",H282=""),"",IF(I282&lt;=H282+TIME(0,10,0),"On time","Late "&amp;TEXT((I282-H282)*1440,"0")&amp;" min"))</f>
        <v>0</v>
      </c>
      <c r="O282" s="31">
        <f>IF(OR(M282="",N282=""),"",ROUND((N282-M282+IF(N282&lt;M282,1,0))*1440,0))</f>
        <v>0</v>
      </c>
      <c r="AG282" s="28">
        <f>IF(C282="","",TEXT(C282,"yyyy-mm"))</f>
        <v>0</v>
      </c>
      <c r="AH282" s="28">
        <f>IF(B282="","",B282&amp;"|"&amp;COUNTIF($B$5:$B282,B282))</f>
        <v>0</v>
      </c>
      <c r="AI282" s="28">
        <f>IF(E282="","",E282&amp;"|"&amp;COUNTIF($E$5:$E282,E282))</f>
        <v>0</v>
      </c>
      <c r="AJ282" s="49">
        <f>IF(C282="","",IF(AE282="Missed","Missed visit - contact client",IF(Z282="Yes","Incident logged - follow up",IF(AND(AE282="Completed",AC282&lt;&gt;"Yes"),"Action - send client update",IF(AND(AE282="Completed",AD282&lt;&gt;"Yes"),"Check care checklist",IF(AND(C282&lt;TODAY(),AE282="Scheduled"),"Overdue - log the result","OK"))))))</f>
        <v>0</v>
      </c>
    </row>
    <row r="283" spans="1:36">
      <c r="A283" s="46">
        <f>IF(C283="","","VS-"&amp;TEXT(ROW()-4,"0000"))</f>
        <v>0</v>
      </c>
      <c r="D283" s="28">
        <f>IF(B283="","",IFERROR(INDEX(Bookings!$C$5:$C$404,MATCH(B283,Bookings!$A$5:$A$404,0)),""))</f>
        <v>0</v>
      </c>
      <c r="E283" s="28">
        <f>IF(B283="","",IFERROR(INDEX(Bookings!$E$5:$E$404,MATCH(B283,Bookings!$A$5:$A$404,0)),""))</f>
        <v>0</v>
      </c>
      <c r="F283" s="28">
        <f>IF(B283="","",IFERROR(INDEX(Bookings!$H$5:$H$404,MATCH(B283,Bookings!$A$5:$A$404,0)),""))</f>
        <v>0</v>
      </c>
      <c r="H283" s="53">
        <f>IF(B283="","",IFERROR(INDEX(Bookings!$K$5:$K$404,MATCH(B283,Bookings!$A$5:$A$404,0)),""))</f>
        <v>0</v>
      </c>
      <c r="K283" s="31">
        <f>IF(OR(I283="",J283=""),"",ROUND((J283-I283+IF(J283&lt;I283,1,0))*1440,0))</f>
        <v>0</v>
      </c>
      <c r="L283" s="49">
        <f>IF(OR(I283="",H283=""),"",IF(I283&lt;=H283+TIME(0,10,0),"On time","Late "&amp;TEXT((I283-H283)*1440,"0")&amp;" min"))</f>
        <v>0</v>
      </c>
      <c r="O283" s="31">
        <f>IF(OR(M283="",N283=""),"",ROUND((N283-M283+IF(N283&lt;M283,1,0))*1440,0))</f>
        <v>0</v>
      </c>
      <c r="AG283" s="28">
        <f>IF(C283="","",TEXT(C283,"yyyy-mm"))</f>
        <v>0</v>
      </c>
      <c r="AH283" s="28">
        <f>IF(B283="","",B283&amp;"|"&amp;COUNTIF($B$5:$B283,B283))</f>
        <v>0</v>
      </c>
      <c r="AI283" s="28">
        <f>IF(E283="","",E283&amp;"|"&amp;COUNTIF($E$5:$E283,E283))</f>
        <v>0</v>
      </c>
      <c r="AJ283" s="49">
        <f>IF(C283="","",IF(AE283="Missed","Missed visit - contact client",IF(Z283="Yes","Incident logged - follow up",IF(AND(AE283="Completed",AC283&lt;&gt;"Yes"),"Action - send client update",IF(AND(AE283="Completed",AD283&lt;&gt;"Yes"),"Check care checklist",IF(AND(C283&lt;TODAY(),AE283="Scheduled"),"Overdue - log the result","OK"))))))</f>
        <v>0</v>
      </c>
    </row>
    <row r="284" spans="1:36">
      <c r="A284" s="46">
        <f>IF(C284="","","VS-"&amp;TEXT(ROW()-4,"0000"))</f>
        <v>0</v>
      </c>
      <c r="D284" s="28">
        <f>IF(B284="","",IFERROR(INDEX(Bookings!$C$5:$C$404,MATCH(B284,Bookings!$A$5:$A$404,0)),""))</f>
        <v>0</v>
      </c>
      <c r="E284" s="28">
        <f>IF(B284="","",IFERROR(INDEX(Bookings!$E$5:$E$404,MATCH(B284,Bookings!$A$5:$A$404,0)),""))</f>
        <v>0</v>
      </c>
      <c r="F284" s="28">
        <f>IF(B284="","",IFERROR(INDEX(Bookings!$H$5:$H$404,MATCH(B284,Bookings!$A$5:$A$404,0)),""))</f>
        <v>0</v>
      </c>
      <c r="H284" s="53">
        <f>IF(B284="","",IFERROR(INDEX(Bookings!$K$5:$K$404,MATCH(B284,Bookings!$A$5:$A$404,0)),""))</f>
        <v>0</v>
      </c>
      <c r="K284" s="31">
        <f>IF(OR(I284="",J284=""),"",ROUND((J284-I284+IF(J284&lt;I284,1,0))*1440,0))</f>
        <v>0</v>
      </c>
      <c r="L284" s="49">
        <f>IF(OR(I284="",H284=""),"",IF(I284&lt;=H284+TIME(0,10,0),"On time","Late "&amp;TEXT((I284-H284)*1440,"0")&amp;" min"))</f>
        <v>0</v>
      </c>
      <c r="O284" s="31">
        <f>IF(OR(M284="",N284=""),"",ROUND((N284-M284+IF(N284&lt;M284,1,0))*1440,0))</f>
        <v>0</v>
      </c>
      <c r="AG284" s="28">
        <f>IF(C284="","",TEXT(C284,"yyyy-mm"))</f>
        <v>0</v>
      </c>
      <c r="AH284" s="28">
        <f>IF(B284="","",B284&amp;"|"&amp;COUNTIF($B$5:$B284,B284))</f>
        <v>0</v>
      </c>
      <c r="AI284" s="28">
        <f>IF(E284="","",E284&amp;"|"&amp;COUNTIF($E$5:$E284,E284))</f>
        <v>0</v>
      </c>
      <c r="AJ284" s="49">
        <f>IF(C284="","",IF(AE284="Missed","Missed visit - contact client",IF(Z284="Yes","Incident logged - follow up",IF(AND(AE284="Completed",AC284&lt;&gt;"Yes"),"Action - send client update",IF(AND(AE284="Completed",AD284&lt;&gt;"Yes"),"Check care checklist",IF(AND(C284&lt;TODAY(),AE284="Scheduled"),"Overdue - log the result","OK"))))))</f>
        <v>0</v>
      </c>
    </row>
    <row r="285" spans="1:36">
      <c r="A285" s="46">
        <f>IF(C285="","","VS-"&amp;TEXT(ROW()-4,"0000"))</f>
        <v>0</v>
      </c>
      <c r="D285" s="28">
        <f>IF(B285="","",IFERROR(INDEX(Bookings!$C$5:$C$404,MATCH(B285,Bookings!$A$5:$A$404,0)),""))</f>
        <v>0</v>
      </c>
      <c r="E285" s="28">
        <f>IF(B285="","",IFERROR(INDEX(Bookings!$E$5:$E$404,MATCH(B285,Bookings!$A$5:$A$404,0)),""))</f>
        <v>0</v>
      </c>
      <c r="F285" s="28">
        <f>IF(B285="","",IFERROR(INDEX(Bookings!$H$5:$H$404,MATCH(B285,Bookings!$A$5:$A$404,0)),""))</f>
        <v>0</v>
      </c>
      <c r="H285" s="53">
        <f>IF(B285="","",IFERROR(INDEX(Bookings!$K$5:$K$404,MATCH(B285,Bookings!$A$5:$A$404,0)),""))</f>
        <v>0</v>
      </c>
      <c r="K285" s="31">
        <f>IF(OR(I285="",J285=""),"",ROUND((J285-I285+IF(J285&lt;I285,1,0))*1440,0))</f>
        <v>0</v>
      </c>
      <c r="L285" s="49">
        <f>IF(OR(I285="",H285=""),"",IF(I285&lt;=H285+TIME(0,10,0),"On time","Late "&amp;TEXT((I285-H285)*1440,"0")&amp;" min"))</f>
        <v>0</v>
      </c>
      <c r="O285" s="31">
        <f>IF(OR(M285="",N285=""),"",ROUND((N285-M285+IF(N285&lt;M285,1,0))*1440,0))</f>
        <v>0</v>
      </c>
      <c r="AG285" s="28">
        <f>IF(C285="","",TEXT(C285,"yyyy-mm"))</f>
        <v>0</v>
      </c>
      <c r="AH285" s="28">
        <f>IF(B285="","",B285&amp;"|"&amp;COUNTIF($B$5:$B285,B285))</f>
        <v>0</v>
      </c>
      <c r="AI285" s="28">
        <f>IF(E285="","",E285&amp;"|"&amp;COUNTIF($E$5:$E285,E285))</f>
        <v>0</v>
      </c>
      <c r="AJ285" s="49">
        <f>IF(C285="","",IF(AE285="Missed","Missed visit - contact client",IF(Z285="Yes","Incident logged - follow up",IF(AND(AE285="Completed",AC285&lt;&gt;"Yes"),"Action - send client update",IF(AND(AE285="Completed",AD285&lt;&gt;"Yes"),"Check care checklist",IF(AND(C285&lt;TODAY(),AE285="Scheduled"),"Overdue - log the result","OK"))))))</f>
        <v>0</v>
      </c>
    </row>
    <row r="286" spans="1:36">
      <c r="A286" s="46">
        <f>IF(C286="","","VS-"&amp;TEXT(ROW()-4,"0000"))</f>
        <v>0</v>
      </c>
      <c r="D286" s="28">
        <f>IF(B286="","",IFERROR(INDEX(Bookings!$C$5:$C$404,MATCH(B286,Bookings!$A$5:$A$404,0)),""))</f>
        <v>0</v>
      </c>
      <c r="E286" s="28">
        <f>IF(B286="","",IFERROR(INDEX(Bookings!$E$5:$E$404,MATCH(B286,Bookings!$A$5:$A$404,0)),""))</f>
        <v>0</v>
      </c>
      <c r="F286" s="28">
        <f>IF(B286="","",IFERROR(INDEX(Bookings!$H$5:$H$404,MATCH(B286,Bookings!$A$5:$A$404,0)),""))</f>
        <v>0</v>
      </c>
      <c r="H286" s="53">
        <f>IF(B286="","",IFERROR(INDEX(Bookings!$K$5:$K$404,MATCH(B286,Bookings!$A$5:$A$404,0)),""))</f>
        <v>0</v>
      </c>
      <c r="K286" s="31">
        <f>IF(OR(I286="",J286=""),"",ROUND((J286-I286+IF(J286&lt;I286,1,0))*1440,0))</f>
        <v>0</v>
      </c>
      <c r="L286" s="49">
        <f>IF(OR(I286="",H286=""),"",IF(I286&lt;=H286+TIME(0,10,0),"On time","Late "&amp;TEXT((I286-H286)*1440,"0")&amp;" min"))</f>
        <v>0</v>
      </c>
      <c r="O286" s="31">
        <f>IF(OR(M286="",N286=""),"",ROUND((N286-M286+IF(N286&lt;M286,1,0))*1440,0))</f>
        <v>0</v>
      </c>
      <c r="AG286" s="28">
        <f>IF(C286="","",TEXT(C286,"yyyy-mm"))</f>
        <v>0</v>
      </c>
      <c r="AH286" s="28">
        <f>IF(B286="","",B286&amp;"|"&amp;COUNTIF($B$5:$B286,B286))</f>
        <v>0</v>
      </c>
      <c r="AI286" s="28">
        <f>IF(E286="","",E286&amp;"|"&amp;COUNTIF($E$5:$E286,E286))</f>
        <v>0</v>
      </c>
      <c r="AJ286" s="49">
        <f>IF(C286="","",IF(AE286="Missed","Missed visit - contact client",IF(Z286="Yes","Incident logged - follow up",IF(AND(AE286="Completed",AC286&lt;&gt;"Yes"),"Action - send client update",IF(AND(AE286="Completed",AD286&lt;&gt;"Yes"),"Check care checklist",IF(AND(C286&lt;TODAY(),AE286="Scheduled"),"Overdue - log the result","OK"))))))</f>
        <v>0</v>
      </c>
    </row>
    <row r="287" spans="1:36">
      <c r="A287" s="46">
        <f>IF(C287="","","VS-"&amp;TEXT(ROW()-4,"0000"))</f>
        <v>0</v>
      </c>
      <c r="D287" s="28">
        <f>IF(B287="","",IFERROR(INDEX(Bookings!$C$5:$C$404,MATCH(B287,Bookings!$A$5:$A$404,0)),""))</f>
        <v>0</v>
      </c>
      <c r="E287" s="28">
        <f>IF(B287="","",IFERROR(INDEX(Bookings!$E$5:$E$404,MATCH(B287,Bookings!$A$5:$A$404,0)),""))</f>
        <v>0</v>
      </c>
      <c r="F287" s="28">
        <f>IF(B287="","",IFERROR(INDEX(Bookings!$H$5:$H$404,MATCH(B287,Bookings!$A$5:$A$404,0)),""))</f>
        <v>0</v>
      </c>
      <c r="H287" s="53">
        <f>IF(B287="","",IFERROR(INDEX(Bookings!$K$5:$K$404,MATCH(B287,Bookings!$A$5:$A$404,0)),""))</f>
        <v>0</v>
      </c>
      <c r="K287" s="31">
        <f>IF(OR(I287="",J287=""),"",ROUND((J287-I287+IF(J287&lt;I287,1,0))*1440,0))</f>
        <v>0</v>
      </c>
      <c r="L287" s="49">
        <f>IF(OR(I287="",H287=""),"",IF(I287&lt;=H287+TIME(0,10,0),"On time","Late "&amp;TEXT((I287-H287)*1440,"0")&amp;" min"))</f>
        <v>0</v>
      </c>
      <c r="O287" s="31">
        <f>IF(OR(M287="",N287=""),"",ROUND((N287-M287+IF(N287&lt;M287,1,0))*1440,0))</f>
        <v>0</v>
      </c>
      <c r="AG287" s="28">
        <f>IF(C287="","",TEXT(C287,"yyyy-mm"))</f>
        <v>0</v>
      </c>
      <c r="AH287" s="28">
        <f>IF(B287="","",B287&amp;"|"&amp;COUNTIF($B$5:$B287,B287))</f>
        <v>0</v>
      </c>
      <c r="AI287" s="28">
        <f>IF(E287="","",E287&amp;"|"&amp;COUNTIF($E$5:$E287,E287))</f>
        <v>0</v>
      </c>
      <c r="AJ287" s="49">
        <f>IF(C287="","",IF(AE287="Missed","Missed visit - contact client",IF(Z287="Yes","Incident logged - follow up",IF(AND(AE287="Completed",AC287&lt;&gt;"Yes"),"Action - send client update",IF(AND(AE287="Completed",AD287&lt;&gt;"Yes"),"Check care checklist",IF(AND(C287&lt;TODAY(),AE287="Scheduled"),"Overdue - log the result","OK"))))))</f>
        <v>0</v>
      </c>
    </row>
    <row r="288" spans="1:36">
      <c r="A288" s="46">
        <f>IF(C288="","","VS-"&amp;TEXT(ROW()-4,"0000"))</f>
        <v>0</v>
      </c>
      <c r="D288" s="28">
        <f>IF(B288="","",IFERROR(INDEX(Bookings!$C$5:$C$404,MATCH(B288,Bookings!$A$5:$A$404,0)),""))</f>
        <v>0</v>
      </c>
      <c r="E288" s="28">
        <f>IF(B288="","",IFERROR(INDEX(Bookings!$E$5:$E$404,MATCH(B288,Bookings!$A$5:$A$404,0)),""))</f>
        <v>0</v>
      </c>
      <c r="F288" s="28">
        <f>IF(B288="","",IFERROR(INDEX(Bookings!$H$5:$H$404,MATCH(B288,Bookings!$A$5:$A$404,0)),""))</f>
        <v>0</v>
      </c>
      <c r="H288" s="53">
        <f>IF(B288="","",IFERROR(INDEX(Bookings!$K$5:$K$404,MATCH(B288,Bookings!$A$5:$A$404,0)),""))</f>
        <v>0</v>
      </c>
      <c r="K288" s="31">
        <f>IF(OR(I288="",J288=""),"",ROUND((J288-I288+IF(J288&lt;I288,1,0))*1440,0))</f>
        <v>0</v>
      </c>
      <c r="L288" s="49">
        <f>IF(OR(I288="",H288=""),"",IF(I288&lt;=H288+TIME(0,10,0),"On time","Late "&amp;TEXT((I288-H288)*1440,"0")&amp;" min"))</f>
        <v>0</v>
      </c>
      <c r="O288" s="31">
        <f>IF(OR(M288="",N288=""),"",ROUND((N288-M288+IF(N288&lt;M288,1,0))*1440,0))</f>
        <v>0</v>
      </c>
      <c r="AG288" s="28">
        <f>IF(C288="","",TEXT(C288,"yyyy-mm"))</f>
        <v>0</v>
      </c>
      <c r="AH288" s="28">
        <f>IF(B288="","",B288&amp;"|"&amp;COUNTIF($B$5:$B288,B288))</f>
        <v>0</v>
      </c>
      <c r="AI288" s="28">
        <f>IF(E288="","",E288&amp;"|"&amp;COUNTIF($E$5:$E288,E288))</f>
        <v>0</v>
      </c>
      <c r="AJ288" s="49">
        <f>IF(C288="","",IF(AE288="Missed","Missed visit - contact client",IF(Z288="Yes","Incident logged - follow up",IF(AND(AE288="Completed",AC288&lt;&gt;"Yes"),"Action - send client update",IF(AND(AE288="Completed",AD288&lt;&gt;"Yes"),"Check care checklist",IF(AND(C288&lt;TODAY(),AE288="Scheduled"),"Overdue - log the result","OK"))))))</f>
        <v>0</v>
      </c>
    </row>
    <row r="289" spans="1:36">
      <c r="A289" s="46">
        <f>IF(C289="","","VS-"&amp;TEXT(ROW()-4,"0000"))</f>
        <v>0</v>
      </c>
      <c r="D289" s="28">
        <f>IF(B289="","",IFERROR(INDEX(Bookings!$C$5:$C$404,MATCH(B289,Bookings!$A$5:$A$404,0)),""))</f>
        <v>0</v>
      </c>
      <c r="E289" s="28">
        <f>IF(B289="","",IFERROR(INDEX(Bookings!$E$5:$E$404,MATCH(B289,Bookings!$A$5:$A$404,0)),""))</f>
        <v>0</v>
      </c>
      <c r="F289" s="28">
        <f>IF(B289="","",IFERROR(INDEX(Bookings!$H$5:$H$404,MATCH(B289,Bookings!$A$5:$A$404,0)),""))</f>
        <v>0</v>
      </c>
      <c r="H289" s="53">
        <f>IF(B289="","",IFERROR(INDEX(Bookings!$K$5:$K$404,MATCH(B289,Bookings!$A$5:$A$404,0)),""))</f>
        <v>0</v>
      </c>
      <c r="K289" s="31">
        <f>IF(OR(I289="",J289=""),"",ROUND((J289-I289+IF(J289&lt;I289,1,0))*1440,0))</f>
        <v>0</v>
      </c>
      <c r="L289" s="49">
        <f>IF(OR(I289="",H289=""),"",IF(I289&lt;=H289+TIME(0,10,0),"On time","Late "&amp;TEXT((I289-H289)*1440,"0")&amp;" min"))</f>
        <v>0</v>
      </c>
      <c r="O289" s="31">
        <f>IF(OR(M289="",N289=""),"",ROUND((N289-M289+IF(N289&lt;M289,1,0))*1440,0))</f>
        <v>0</v>
      </c>
      <c r="AG289" s="28">
        <f>IF(C289="","",TEXT(C289,"yyyy-mm"))</f>
        <v>0</v>
      </c>
      <c r="AH289" s="28">
        <f>IF(B289="","",B289&amp;"|"&amp;COUNTIF($B$5:$B289,B289))</f>
        <v>0</v>
      </c>
      <c r="AI289" s="28">
        <f>IF(E289="","",E289&amp;"|"&amp;COUNTIF($E$5:$E289,E289))</f>
        <v>0</v>
      </c>
      <c r="AJ289" s="49">
        <f>IF(C289="","",IF(AE289="Missed","Missed visit - contact client",IF(Z289="Yes","Incident logged - follow up",IF(AND(AE289="Completed",AC289&lt;&gt;"Yes"),"Action - send client update",IF(AND(AE289="Completed",AD289&lt;&gt;"Yes"),"Check care checklist",IF(AND(C289&lt;TODAY(),AE289="Scheduled"),"Overdue - log the result","OK"))))))</f>
        <v>0</v>
      </c>
    </row>
    <row r="290" spans="1:36">
      <c r="A290" s="46">
        <f>IF(C290="","","VS-"&amp;TEXT(ROW()-4,"0000"))</f>
        <v>0</v>
      </c>
      <c r="D290" s="28">
        <f>IF(B290="","",IFERROR(INDEX(Bookings!$C$5:$C$404,MATCH(B290,Bookings!$A$5:$A$404,0)),""))</f>
        <v>0</v>
      </c>
      <c r="E290" s="28">
        <f>IF(B290="","",IFERROR(INDEX(Bookings!$E$5:$E$404,MATCH(B290,Bookings!$A$5:$A$404,0)),""))</f>
        <v>0</v>
      </c>
      <c r="F290" s="28">
        <f>IF(B290="","",IFERROR(INDEX(Bookings!$H$5:$H$404,MATCH(B290,Bookings!$A$5:$A$404,0)),""))</f>
        <v>0</v>
      </c>
      <c r="H290" s="53">
        <f>IF(B290="","",IFERROR(INDEX(Bookings!$K$5:$K$404,MATCH(B290,Bookings!$A$5:$A$404,0)),""))</f>
        <v>0</v>
      </c>
      <c r="K290" s="31">
        <f>IF(OR(I290="",J290=""),"",ROUND((J290-I290+IF(J290&lt;I290,1,0))*1440,0))</f>
        <v>0</v>
      </c>
      <c r="L290" s="49">
        <f>IF(OR(I290="",H290=""),"",IF(I290&lt;=H290+TIME(0,10,0),"On time","Late "&amp;TEXT((I290-H290)*1440,"0")&amp;" min"))</f>
        <v>0</v>
      </c>
      <c r="O290" s="31">
        <f>IF(OR(M290="",N290=""),"",ROUND((N290-M290+IF(N290&lt;M290,1,0))*1440,0))</f>
        <v>0</v>
      </c>
      <c r="AG290" s="28">
        <f>IF(C290="","",TEXT(C290,"yyyy-mm"))</f>
        <v>0</v>
      </c>
      <c r="AH290" s="28">
        <f>IF(B290="","",B290&amp;"|"&amp;COUNTIF($B$5:$B290,B290))</f>
        <v>0</v>
      </c>
      <c r="AI290" s="28">
        <f>IF(E290="","",E290&amp;"|"&amp;COUNTIF($E$5:$E290,E290))</f>
        <v>0</v>
      </c>
      <c r="AJ290" s="49">
        <f>IF(C290="","",IF(AE290="Missed","Missed visit - contact client",IF(Z290="Yes","Incident logged - follow up",IF(AND(AE290="Completed",AC290&lt;&gt;"Yes"),"Action - send client update",IF(AND(AE290="Completed",AD290&lt;&gt;"Yes"),"Check care checklist",IF(AND(C290&lt;TODAY(),AE290="Scheduled"),"Overdue - log the result","OK"))))))</f>
        <v>0</v>
      </c>
    </row>
    <row r="291" spans="1:36">
      <c r="A291" s="46">
        <f>IF(C291="","","VS-"&amp;TEXT(ROW()-4,"0000"))</f>
        <v>0</v>
      </c>
      <c r="D291" s="28">
        <f>IF(B291="","",IFERROR(INDEX(Bookings!$C$5:$C$404,MATCH(B291,Bookings!$A$5:$A$404,0)),""))</f>
        <v>0</v>
      </c>
      <c r="E291" s="28">
        <f>IF(B291="","",IFERROR(INDEX(Bookings!$E$5:$E$404,MATCH(B291,Bookings!$A$5:$A$404,0)),""))</f>
        <v>0</v>
      </c>
      <c r="F291" s="28">
        <f>IF(B291="","",IFERROR(INDEX(Bookings!$H$5:$H$404,MATCH(B291,Bookings!$A$5:$A$404,0)),""))</f>
        <v>0</v>
      </c>
      <c r="H291" s="53">
        <f>IF(B291="","",IFERROR(INDEX(Bookings!$K$5:$K$404,MATCH(B291,Bookings!$A$5:$A$404,0)),""))</f>
        <v>0</v>
      </c>
      <c r="K291" s="31">
        <f>IF(OR(I291="",J291=""),"",ROUND((J291-I291+IF(J291&lt;I291,1,0))*1440,0))</f>
        <v>0</v>
      </c>
      <c r="L291" s="49">
        <f>IF(OR(I291="",H291=""),"",IF(I291&lt;=H291+TIME(0,10,0),"On time","Late "&amp;TEXT((I291-H291)*1440,"0")&amp;" min"))</f>
        <v>0</v>
      </c>
      <c r="O291" s="31">
        <f>IF(OR(M291="",N291=""),"",ROUND((N291-M291+IF(N291&lt;M291,1,0))*1440,0))</f>
        <v>0</v>
      </c>
      <c r="AG291" s="28">
        <f>IF(C291="","",TEXT(C291,"yyyy-mm"))</f>
        <v>0</v>
      </c>
      <c r="AH291" s="28">
        <f>IF(B291="","",B291&amp;"|"&amp;COUNTIF($B$5:$B291,B291))</f>
        <v>0</v>
      </c>
      <c r="AI291" s="28">
        <f>IF(E291="","",E291&amp;"|"&amp;COUNTIF($E$5:$E291,E291))</f>
        <v>0</v>
      </c>
      <c r="AJ291" s="49">
        <f>IF(C291="","",IF(AE291="Missed","Missed visit - contact client",IF(Z291="Yes","Incident logged - follow up",IF(AND(AE291="Completed",AC291&lt;&gt;"Yes"),"Action - send client update",IF(AND(AE291="Completed",AD291&lt;&gt;"Yes"),"Check care checklist",IF(AND(C291&lt;TODAY(),AE291="Scheduled"),"Overdue - log the result","OK"))))))</f>
        <v>0</v>
      </c>
    </row>
    <row r="292" spans="1:36">
      <c r="A292" s="46">
        <f>IF(C292="","","VS-"&amp;TEXT(ROW()-4,"0000"))</f>
        <v>0</v>
      </c>
      <c r="D292" s="28">
        <f>IF(B292="","",IFERROR(INDEX(Bookings!$C$5:$C$404,MATCH(B292,Bookings!$A$5:$A$404,0)),""))</f>
        <v>0</v>
      </c>
      <c r="E292" s="28">
        <f>IF(B292="","",IFERROR(INDEX(Bookings!$E$5:$E$404,MATCH(B292,Bookings!$A$5:$A$404,0)),""))</f>
        <v>0</v>
      </c>
      <c r="F292" s="28">
        <f>IF(B292="","",IFERROR(INDEX(Bookings!$H$5:$H$404,MATCH(B292,Bookings!$A$5:$A$404,0)),""))</f>
        <v>0</v>
      </c>
      <c r="H292" s="53">
        <f>IF(B292="","",IFERROR(INDEX(Bookings!$K$5:$K$404,MATCH(B292,Bookings!$A$5:$A$404,0)),""))</f>
        <v>0</v>
      </c>
      <c r="K292" s="31">
        <f>IF(OR(I292="",J292=""),"",ROUND((J292-I292+IF(J292&lt;I292,1,0))*1440,0))</f>
        <v>0</v>
      </c>
      <c r="L292" s="49">
        <f>IF(OR(I292="",H292=""),"",IF(I292&lt;=H292+TIME(0,10,0),"On time","Late "&amp;TEXT((I292-H292)*1440,"0")&amp;" min"))</f>
        <v>0</v>
      </c>
      <c r="O292" s="31">
        <f>IF(OR(M292="",N292=""),"",ROUND((N292-M292+IF(N292&lt;M292,1,0))*1440,0))</f>
        <v>0</v>
      </c>
      <c r="AG292" s="28">
        <f>IF(C292="","",TEXT(C292,"yyyy-mm"))</f>
        <v>0</v>
      </c>
      <c r="AH292" s="28">
        <f>IF(B292="","",B292&amp;"|"&amp;COUNTIF($B$5:$B292,B292))</f>
        <v>0</v>
      </c>
      <c r="AI292" s="28">
        <f>IF(E292="","",E292&amp;"|"&amp;COUNTIF($E$5:$E292,E292))</f>
        <v>0</v>
      </c>
      <c r="AJ292" s="49">
        <f>IF(C292="","",IF(AE292="Missed","Missed visit - contact client",IF(Z292="Yes","Incident logged - follow up",IF(AND(AE292="Completed",AC292&lt;&gt;"Yes"),"Action - send client update",IF(AND(AE292="Completed",AD292&lt;&gt;"Yes"),"Check care checklist",IF(AND(C292&lt;TODAY(),AE292="Scheduled"),"Overdue - log the result","OK"))))))</f>
        <v>0</v>
      </c>
    </row>
    <row r="293" spans="1:36">
      <c r="A293" s="46">
        <f>IF(C293="","","VS-"&amp;TEXT(ROW()-4,"0000"))</f>
        <v>0</v>
      </c>
      <c r="D293" s="28">
        <f>IF(B293="","",IFERROR(INDEX(Bookings!$C$5:$C$404,MATCH(B293,Bookings!$A$5:$A$404,0)),""))</f>
        <v>0</v>
      </c>
      <c r="E293" s="28">
        <f>IF(B293="","",IFERROR(INDEX(Bookings!$E$5:$E$404,MATCH(B293,Bookings!$A$5:$A$404,0)),""))</f>
        <v>0</v>
      </c>
      <c r="F293" s="28">
        <f>IF(B293="","",IFERROR(INDEX(Bookings!$H$5:$H$404,MATCH(B293,Bookings!$A$5:$A$404,0)),""))</f>
        <v>0</v>
      </c>
      <c r="H293" s="53">
        <f>IF(B293="","",IFERROR(INDEX(Bookings!$K$5:$K$404,MATCH(B293,Bookings!$A$5:$A$404,0)),""))</f>
        <v>0</v>
      </c>
      <c r="K293" s="31">
        <f>IF(OR(I293="",J293=""),"",ROUND((J293-I293+IF(J293&lt;I293,1,0))*1440,0))</f>
        <v>0</v>
      </c>
      <c r="L293" s="49">
        <f>IF(OR(I293="",H293=""),"",IF(I293&lt;=H293+TIME(0,10,0),"On time","Late "&amp;TEXT((I293-H293)*1440,"0")&amp;" min"))</f>
        <v>0</v>
      </c>
      <c r="O293" s="31">
        <f>IF(OR(M293="",N293=""),"",ROUND((N293-M293+IF(N293&lt;M293,1,0))*1440,0))</f>
        <v>0</v>
      </c>
      <c r="AG293" s="28">
        <f>IF(C293="","",TEXT(C293,"yyyy-mm"))</f>
        <v>0</v>
      </c>
      <c r="AH293" s="28">
        <f>IF(B293="","",B293&amp;"|"&amp;COUNTIF($B$5:$B293,B293))</f>
        <v>0</v>
      </c>
      <c r="AI293" s="28">
        <f>IF(E293="","",E293&amp;"|"&amp;COUNTIF($E$5:$E293,E293))</f>
        <v>0</v>
      </c>
      <c r="AJ293" s="49">
        <f>IF(C293="","",IF(AE293="Missed","Missed visit - contact client",IF(Z293="Yes","Incident logged - follow up",IF(AND(AE293="Completed",AC293&lt;&gt;"Yes"),"Action - send client update",IF(AND(AE293="Completed",AD293&lt;&gt;"Yes"),"Check care checklist",IF(AND(C293&lt;TODAY(),AE293="Scheduled"),"Overdue - log the result","OK"))))))</f>
        <v>0</v>
      </c>
    </row>
    <row r="294" spans="1:36">
      <c r="A294" s="46">
        <f>IF(C294="","","VS-"&amp;TEXT(ROW()-4,"0000"))</f>
        <v>0</v>
      </c>
      <c r="D294" s="28">
        <f>IF(B294="","",IFERROR(INDEX(Bookings!$C$5:$C$404,MATCH(B294,Bookings!$A$5:$A$404,0)),""))</f>
        <v>0</v>
      </c>
      <c r="E294" s="28">
        <f>IF(B294="","",IFERROR(INDEX(Bookings!$E$5:$E$404,MATCH(B294,Bookings!$A$5:$A$404,0)),""))</f>
        <v>0</v>
      </c>
      <c r="F294" s="28">
        <f>IF(B294="","",IFERROR(INDEX(Bookings!$H$5:$H$404,MATCH(B294,Bookings!$A$5:$A$404,0)),""))</f>
        <v>0</v>
      </c>
      <c r="H294" s="53">
        <f>IF(B294="","",IFERROR(INDEX(Bookings!$K$5:$K$404,MATCH(B294,Bookings!$A$5:$A$404,0)),""))</f>
        <v>0</v>
      </c>
      <c r="K294" s="31">
        <f>IF(OR(I294="",J294=""),"",ROUND((J294-I294+IF(J294&lt;I294,1,0))*1440,0))</f>
        <v>0</v>
      </c>
      <c r="L294" s="49">
        <f>IF(OR(I294="",H294=""),"",IF(I294&lt;=H294+TIME(0,10,0),"On time","Late "&amp;TEXT((I294-H294)*1440,"0")&amp;" min"))</f>
        <v>0</v>
      </c>
      <c r="O294" s="31">
        <f>IF(OR(M294="",N294=""),"",ROUND((N294-M294+IF(N294&lt;M294,1,0))*1440,0))</f>
        <v>0</v>
      </c>
      <c r="AG294" s="28">
        <f>IF(C294="","",TEXT(C294,"yyyy-mm"))</f>
        <v>0</v>
      </c>
      <c r="AH294" s="28">
        <f>IF(B294="","",B294&amp;"|"&amp;COUNTIF($B$5:$B294,B294))</f>
        <v>0</v>
      </c>
      <c r="AI294" s="28">
        <f>IF(E294="","",E294&amp;"|"&amp;COUNTIF($E$5:$E294,E294))</f>
        <v>0</v>
      </c>
      <c r="AJ294" s="49">
        <f>IF(C294="","",IF(AE294="Missed","Missed visit - contact client",IF(Z294="Yes","Incident logged - follow up",IF(AND(AE294="Completed",AC294&lt;&gt;"Yes"),"Action - send client update",IF(AND(AE294="Completed",AD294&lt;&gt;"Yes"),"Check care checklist",IF(AND(C294&lt;TODAY(),AE294="Scheduled"),"Overdue - log the result","OK"))))))</f>
        <v>0</v>
      </c>
    </row>
    <row r="295" spans="1:36">
      <c r="A295" s="46">
        <f>IF(C295="","","VS-"&amp;TEXT(ROW()-4,"0000"))</f>
        <v>0</v>
      </c>
      <c r="D295" s="28">
        <f>IF(B295="","",IFERROR(INDEX(Bookings!$C$5:$C$404,MATCH(B295,Bookings!$A$5:$A$404,0)),""))</f>
        <v>0</v>
      </c>
      <c r="E295" s="28">
        <f>IF(B295="","",IFERROR(INDEX(Bookings!$E$5:$E$404,MATCH(B295,Bookings!$A$5:$A$404,0)),""))</f>
        <v>0</v>
      </c>
      <c r="F295" s="28">
        <f>IF(B295="","",IFERROR(INDEX(Bookings!$H$5:$H$404,MATCH(B295,Bookings!$A$5:$A$404,0)),""))</f>
        <v>0</v>
      </c>
      <c r="H295" s="53">
        <f>IF(B295="","",IFERROR(INDEX(Bookings!$K$5:$K$404,MATCH(B295,Bookings!$A$5:$A$404,0)),""))</f>
        <v>0</v>
      </c>
      <c r="K295" s="31">
        <f>IF(OR(I295="",J295=""),"",ROUND((J295-I295+IF(J295&lt;I295,1,0))*1440,0))</f>
        <v>0</v>
      </c>
      <c r="L295" s="49">
        <f>IF(OR(I295="",H295=""),"",IF(I295&lt;=H295+TIME(0,10,0),"On time","Late "&amp;TEXT((I295-H295)*1440,"0")&amp;" min"))</f>
        <v>0</v>
      </c>
      <c r="O295" s="31">
        <f>IF(OR(M295="",N295=""),"",ROUND((N295-M295+IF(N295&lt;M295,1,0))*1440,0))</f>
        <v>0</v>
      </c>
      <c r="AG295" s="28">
        <f>IF(C295="","",TEXT(C295,"yyyy-mm"))</f>
        <v>0</v>
      </c>
      <c r="AH295" s="28">
        <f>IF(B295="","",B295&amp;"|"&amp;COUNTIF($B$5:$B295,B295))</f>
        <v>0</v>
      </c>
      <c r="AI295" s="28">
        <f>IF(E295="","",E295&amp;"|"&amp;COUNTIF($E$5:$E295,E295))</f>
        <v>0</v>
      </c>
      <c r="AJ295" s="49">
        <f>IF(C295="","",IF(AE295="Missed","Missed visit - contact client",IF(Z295="Yes","Incident logged - follow up",IF(AND(AE295="Completed",AC295&lt;&gt;"Yes"),"Action - send client update",IF(AND(AE295="Completed",AD295&lt;&gt;"Yes"),"Check care checklist",IF(AND(C295&lt;TODAY(),AE295="Scheduled"),"Overdue - log the result","OK"))))))</f>
        <v>0</v>
      </c>
    </row>
    <row r="296" spans="1:36">
      <c r="A296" s="46">
        <f>IF(C296="","","VS-"&amp;TEXT(ROW()-4,"0000"))</f>
        <v>0</v>
      </c>
      <c r="D296" s="28">
        <f>IF(B296="","",IFERROR(INDEX(Bookings!$C$5:$C$404,MATCH(B296,Bookings!$A$5:$A$404,0)),""))</f>
        <v>0</v>
      </c>
      <c r="E296" s="28">
        <f>IF(B296="","",IFERROR(INDEX(Bookings!$E$5:$E$404,MATCH(B296,Bookings!$A$5:$A$404,0)),""))</f>
        <v>0</v>
      </c>
      <c r="F296" s="28">
        <f>IF(B296="","",IFERROR(INDEX(Bookings!$H$5:$H$404,MATCH(B296,Bookings!$A$5:$A$404,0)),""))</f>
        <v>0</v>
      </c>
      <c r="H296" s="53">
        <f>IF(B296="","",IFERROR(INDEX(Bookings!$K$5:$K$404,MATCH(B296,Bookings!$A$5:$A$404,0)),""))</f>
        <v>0</v>
      </c>
      <c r="K296" s="31">
        <f>IF(OR(I296="",J296=""),"",ROUND((J296-I296+IF(J296&lt;I296,1,0))*1440,0))</f>
        <v>0</v>
      </c>
      <c r="L296" s="49">
        <f>IF(OR(I296="",H296=""),"",IF(I296&lt;=H296+TIME(0,10,0),"On time","Late "&amp;TEXT((I296-H296)*1440,"0")&amp;" min"))</f>
        <v>0</v>
      </c>
      <c r="O296" s="31">
        <f>IF(OR(M296="",N296=""),"",ROUND((N296-M296+IF(N296&lt;M296,1,0))*1440,0))</f>
        <v>0</v>
      </c>
      <c r="AG296" s="28">
        <f>IF(C296="","",TEXT(C296,"yyyy-mm"))</f>
        <v>0</v>
      </c>
      <c r="AH296" s="28">
        <f>IF(B296="","",B296&amp;"|"&amp;COUNTIF($B$5:$B296,B296))</f>
        <v>0</v>
      </c>
      <c r="AI296" s="28">
        <f>IF(E296="","",E296&amp;"|"&amp;COUNTIF($E$5:$E296,E296))</f>
        <v>0</v>
      </c>
      <c r="AJ296" s="49">
        <f>IF(C296="","",IF(AE296="Missed","Missed visit - contact client",IF(Z296="Yes","Incident logged - follow up",IF(AND(AE296="Completed",AC296&lt;&gt;"Yes"),"Action - send client update",IF(AND(AE296="Completed",AD296&lt;&gt;"Yes"),"Check care checklist",IF(AND(C296&lt;TODAY(),AE296="Scheduled"),"Overdue - log the result","OK"))))))</f>
        <v>0</v>
      </c>
    </row>
    <row r="297" spans="1:36">
      <c r="A297" s="46">
        <f>IF(C297="","","VS-"&amp;TEXT(ROW()-4,"0000"))</f>
        <v>0</v>
      </c>
      <c r="D297" s="28">
        <f>IF(B297="","",IFERROR(INDEX(Bookings!$C$5:$C$404,MATCH(B297,Bookings!$A$5:$A$404,0)),""))</f>
        <v>0</v>
      </c>
      <c r="E297" s="28">
        <f>IF(B297="","",IFERROR(INDEX(Bookings!$E$5:$E$404,MATCH(B297,Bookings!$A$5:$A$404,0)),""))</f>
        <v>0</v>
      </c>
      <c r="F297" s="28">
        <f>IF(B297="","",IFERROR(INDEX(Bookings!$H$5:$H$404,MATCH(B297,Bookings!$A$5:$A$404,0)),""))</f>
        <v>0</v>
      </c>
      <c r="H297" s="53">
        <f>IF(B297="","",IFERROR(INDEX(Bookings!$K$5:$K$404,MATCH(B297,Bookings!$A$5:$A$404,0)),""))</f>
        <v>0</v>
      </c>
      <c r="K297" s="31">
        <f>IF(OR(I297="",J297=""),"",ROUND((J297-I297+IF(J297&lt;I297,1,0))*1440,0))</f>
        <v>0</v>
      </c>
      <c r="L297" s="49">
        <f>IF(OR(I297="",H297=""),"",IF(I297&lt;=H297+TIME(0,10,0),"On time","Late "&amp;TEXT((I297-H297)*1440,"0")&amp;" min"))</f>
        <v>0</v>
      </c>
      <c r="O297" s="31">
        <f>IF(OR(M297="",N297=""),"",ROUND((N297-M297+IF(N297&lt;M297,1,0))*1440,0))</f>
        <v>0</v>
      </c>
      <c r="AG297" s="28">
        <f>IF(C297="","",TEXT(C297,"yyyy-mm"))</f>
        <v>0</v>
      </c>
      <c r="AH297" s="28">
        <f>IF(B297="","",B297&amp;"|"&amp;COUNTIF($B$5:$B297,B297))</f>
        <v>0</v>
      </c>
      <c r="AI297" s="28">
        <f>IF(E297="","",E297&amp;"|"&amp;COUNTIF($E$5:$E297,E297))</f>
        <v>0</v>
      </c>
      <c r="AJ297" s="49">
        <f>IF(C297="","",IF(AE297="Missed","Missed visit - contact client",IF(Z297="Yes","Incident logged - follow up",IF(AND(AE297="Completed",AC297&lt;&gt;"Yes"),"Action - send client update",IF(AND(AE297="Completed",AD297&lt;&gt;"Yes"),"Check care checklist",IF(AND(C297&lt;TODAY(),AE297="Scheduled"),"Overdue - log the result","OK"))))))</f>
        <v>0</v>
      </c>
    </row>
    <row r="298" spans="1:36">
      <c r="A298" s="46">
        <f>IF(C298="","","VS-"&amp;TEXT(ROW()-4,"0000"))</f>
        <v>0</v>
      </c>
      <c r="D298" s="28">
        <f>IF(B298="","",IFERROR(INDEX(Bookings!$C$5:$C$404,MATCH(B298,Bookings!$A$5:$A$404,0)),""))</f>
        <v>0</v>
      </c>
      <c r="E298" s="28">
        <f>IF(B298="","",IFERROR(INDEX(Bookings!$E$5:$E$404,MATCH(B298,Bookings!$A$5:$A$404,0)),""))</f>
        <v>0</v>
      </c>
      <c r="F298" s="28">
        <f>IF(B298="","",IFERROR(INDEX(Bookings!$H$5:$H$404,MATCH(B298,Bookings!$A$5:$A$404,0)),""))</f>
        <v>0</v>
      </c>
      <c r="H298" s="53">
        <f>IF(B298="","",IFERROR(INDEX(Bookings!$K$5:$K$404,MATCH(B298,Bookings!$A$5:$A$404,0)),""))</f>
        <v>0</v>
      </c>
      <c r="K298" s="31">
        <f>IF(OR(I298="",J298=""),"",ROUND((J298-I298+IF(J298&lt;I298,1,0))*1440,0))</f>
        <v>0</v>
      </c>
      <c r="L298" s="49">
        <f>IF(OR(I298="",H298=""),"",IF(I298&lt;=H298+TIME(0,10,0),"On time","Late "&amp;TEXT((I298-H298)*1440,"0")&amp;" min"))</f>
        <v>0</v>
      </c>
      <c r="O298" s="31">
        <f>IF(OR(M298="",N298=""),"",ROUND((N298-M298+IF(N298&lt;M298,1,0))*1440,0))</f>
        <v>0</v>
      </c>
      <c r="AG298" s="28">
        <f>IF(C298="","",TEXT(C298,"yyyy-mm"))</f>
        <v>0</v>
      </c>
      <c r="AH298" s="28">
        <f>IF(B298="","",B298&amp;"|"&amp;COUNTIF($B$5:$B298,B298))</f>
        <v>0</v>
      </c>
      <c r="AI298" s="28">
        <f>IF(E298="","",E298&amp;"|"&amp;COUNTIF($E$5:$E298,E298))</f>
        <v>0</v>
      </c>
      <c r="AJ298" s="49">
        <f>IF(C298="","",IF(AE298="Missed","Missed visit - contact client",IF(Z298="Yes","Incident logged - follow up",IF(AND(AE298="Completed",AC298&lt;&gt;"Yes"),"Action - send client update",IF(AND(AE298="Completed",AD298&lt;&gt;"Yes"),"Check care checklist",IF(AND(C298&lt;TODAY(),AE298="Scheduled"),"Overdue - log the result","OK"))))))</f>
        <v>0</v>
      </c>
    </row>
    <row r="299" spans="1:36">
      <c r="A299" s="46">
        <f>IF(C299="","","VS-"&amp;TEXT(ROW()-4,"0000"))</f>
        <v>0</v>
      </c>
      <c r="D299" s="28">
        <f>IF(B299="","",IFERROR(INDEX(Bookings!$C$5:$C$404,MATCH(B299,Bookings!$A$5:$A$404,0)),""))</f>
        <v>0</v>
      </c>
      <c r="E299" s="28">
        <f>IF(B299="","",IFERROR(INDEX(Bookings!$E$5:$E$404,MATCH(B299,Bookings!$A$5:$A$404,0)),""))</f>
        <v>0</v>
      </c>
      <c r="F299" s="28">
        <f>IF(B299="","",IFERROR(INDEX(Bookings!$H$5:$H$404,MATCH(B299,Bookings!$A$5:$A$404,0)),""))</f>
        <v>0</v>
      </c>
      <c r="H299" s="53">
        <f>IF(B299="","",IFERROR(INDEX(Bookings!$K$5:$K$404,MATCH(B299,Bookings!$A$5:$A$404,0)),""))</f>
        <v>0</v>
      </c>
      <c r="K299" s="31">
        <f>IF(OR(I299="",J299=""),"",ROUND((J299-I299+IF(J299&lt;I299,1,0))*1440,0))</f>
        <v>0</v>
      </c>
      <c r="L299" s="49">
        <f>IF(OR(I299="",H299=""),"",IF(I299&lt;=H299+TIME(0,10,0),"On time","Late "&amp;TEXT((I299-H299)*1440,"0")&amp;" min"))</f>
        <v>0</v>
      </c>
      <c r="O299" s="31">
        <f>IF(OR(M299="",N299=""),"",ROUND((N299-M299+IF(N299&lt;M299,1,0))*1440,0))</f>
        <v>0</v>
      </c>
      <c r="AG299" s="28">
        <f>IF(C299="","",TEXT(C299,"yyyy-mm"))</f>
        <v>0</v>
      </c>
      <c r="AH299" s="28">
        <f>IF(B299="","",B299&amp;"|"&amp;COUNTIF($B$5:$B299,B299))</f>
        <v>0</v>
      </c>
      <c r="AI299" s="28">
        <f>IF(E299="","",E299&amp;"|"&amp;COUNTIF($E$5:$E299,E299))</f>
        <v>0</v>
      </c>
      <c r="AJ299" s="49">
        <f>IF(C299="","",IF(AE299="Missed","Missed visit - contact client",IF(Z299="Yes","Incident logged - follow up",IF(AND(AE299="Completed",AC299&lt;&gt;"Yes"),"Action - send client update",IF(AND(AE299="Completed",AD299&lt;&gt;"Yes"),"Check care checklist",IF(AND(C299&lt;TODAY(),AE299="Scheduled"),"Overdue - log the result","OK"))))))</f>
        <v>0</v>
      </c>
    </row>
    <row r="300" spans="1:36">
      <c r="A300" s="46">
        <f>IF(C300="","","VS-"&amp;TEXT(ROW()-4,"0000"))</f>
        <v>0</v>
      </c>
      <c r="D300" s="28">
        <f>IF(B300="","",IFERROR(INDEX(Bookings!$C$5:$C$404,MATCH(B300,Bookings!$A$5:$A$404,0)),""))</f>
        <v>0</v>
      </c>
      <c r="E300" s="28">
        <f>IF(B300="","",IFERROR(INDEX(Bookings!$E$5:$E$404,MATCH(B300,Bookings!$A$5:$A$404,0)),""))</f>
        <v>0</v>
      </c>
      <c r="F300" s="28">
        <f>IF(B300="","",IFERROR(INDEX(Bookings!$H$5:$H$404,MATCH(B300,Bookings!$A$5:$A$404,0)),""))</f>
        <v>0</v>
      </c>
      <c r="H300" s="53">
        <f>IF(B300="","",IFERROR(INDEX(Bookings!$K$5:$K$404,MATCH(B300,Bookings!$A$5:$A$404,0)),""))</f>
        <v>0</v>
      </c>
      <c r="K300" s="31">
        <f>IF(OR(I300="",J300=""),"",ROUND((J300-I300+IF(J300&lt;I300,1,0))*1440,0))</f>
        <v>0</v>
      </c>
      <c r="L300" s="49">
        <f>IF(OR(I300="",H300=""),"",IF(I300&lt;=H300+TIME(0,10,0),"On time","Late "&amp;TEXT((I300-H300)*1440,"0")&amp;" min"))</f>
        <v>0</v>
      </c>
      <c r="O300" s="31">
        <f>IF(OR(M300="",N300=""),"",ROUND((N300-M300+IF(N300&lt;M300,1,0))*1440,0))</f>
        <v>0</v>
      </c>
      <c r="AG300" s="28">
        <f>IF(C300="","",TEXT(C300,"yyyy-mm"))</f>
        <v>0</v>
      </c>
      <c r="AH300" s="28">
        <f>IF(B300="","",B300&amp;"|"&amp;COUNTIF($B$5:$B300,B300))</f>
        <v>0</v>
      </c>
      <c r="AI300" s="28">
        <f>IF(E300="","",E300&amp;"|"&amp;COUNTIF($E$5:$E300,E300))</f>
        <v>0</v>
      </c>
      <c r="AJ300" s="49">
        <f>IF(C300="","",IF(AE300="Missed","Missed visit - contact client",IF(Z300="Yes","Incident logged - follow up",IF(AND(AE300="Completed",AC300&lt;&gt;"Yes"),"Action - send client update",IF(AND(AE300="Completed",AD300&lt;&gt;"Yes"),"Check care checklist",IF(AND(C300&lt;TODAY(),AE300="Scheduled"),"Overdue - log the result","OK"))))))</f>
        <v>0</v>
      </c>
    </row>
    <row r="301" spans="1:36">
      <c r="A301" s="46">
        <f>IF(C301="","","VS-"&amp;TEXT(ROW()-4,"0000"))</f>
        <v>0</v>
      </c>
      <c r="D301" s="28">
        <f>IF(B301="","",IFERROR(INDEX(Bookings!$C$5:$C$404,MATCH(B301,Bookings!$A$5:$A$404,0)),""))</f>
        <v>0</v>
      </c>
      <c r="E301" s="28">
        <f>IF(B301="","",IFERROR(INDEX(Bookings!$E$5:$E$404,MATCH(B301,Bookings!$A$5:$A$404,0)),""))</f>
        <v>0</v>
      </c>
      <c r="F301" s="28">
        <f>IF(B301="","",IFERROR(INDEX(Bookings!$H$5:$H$404,MATCH(B301,Bookings!$A$5:$A$404,0)),""))</f>
        <v>0</v>
      </c>
      <c r="H301" s="53">
        <f>IF(B301="","",IFERROR(INDEX(Bookings!$K$5:$K$404,MATCH(B301,Bookings!$A$5:$A$404,0)),""))</f>
        <v>0</v>
      </c>
      <c r="K301" s="31">
        <f>IF(OR(I301="",J301=""),"",ROUND((J301-I301+IF(J301&lt;I301,1,0))*1440,0))</f>
        <v>0</v>
      </c>
      <c r="L301" s="49">
        <f>IF(OR(I301="",H301=""),"",IF(I301&lt;=H301+TIME(0,10,0),"On time","Late "&amp;TEXT((I301-H301)*1440,"0")&amp;" min"))</f>
        <v>0</v>
      </c>
      <c r="O301" s="31">
        <f>IF(OR(M301="",N301=""),"",ROUND((N301-M301+IF(N301&lt;M301,1,0))*1440,0))</f>
        <v>0</v>
      </c>
      <c r="AG301" s="28">
        <f>IF(C301="","",TEXT(C301,"yyyy-mm"))</f>
        <v>0</v>
      </c>
      <c r="AH301" s="28">
        <f>IF(B301="","",B301&amp;"|"&amp;COUNTIF($B$5:$B301,B301))</f>
        <v>0</v>
      </c>
      <c r="AI301" s="28">
        <f>IF(E301="","",E301&amp;"|"&amp;COUNTIF($E$5:$E301,E301))</f>
        <v>0</v>
      </c>
      <c r="AJ301" s="49">
        <f>IF(C301="","",IF(AE301="Missed","Missed visit - contact client",IF(Z301="Yes","Incident logged - follow up",IF(AND(AE301="Completed",AC301&lt;&gt;"Yes"),"Action - send client update",IF(AND(AE301="Completed",AD301&lt;&gt;"Yes"),"Check care checklist",IF(AND(C301&lt;TODAY(),AE301="Scheduled"),"Overdue - log the result","OK"))))))</f>
        <v>0</v>
      </c>
    </row>
    <row r="302" spans="1:36">
      <c r="A302" s="46">
        <f>IF(C302="","","VS-"&amp;TEXT(ROW()-4,"0000"))</f>
        <v>0</v>
      </c>
      <c r="D302" s="28">
        <f>IF(B302="","",IFERROR(INDEX(Bookings!$C$5:$C$404,MATCH(B302,Bookings!$A$5:$A$404,0)),""))</f>
        <v>0</v>
      </c>
      <c r="E302" s="28">
        <f>IF(B302="","",IFERROR(INDEX(Bookings!$E$5:$E$404,MATCH(B302,Bookings!$A$5:$A$404,0)),""))</f>
        <v>0</v>
      </c>
      <c r="F302" s="28">
        <f>IF(B302="","",IFERROR(INDEX(Bookings!$H$5:$H$404,MATCH(B302,Bookings!$A$5:$A$404,0)),""))</f>
        <v>0</v>
      </c>
      <c r="H302" s="53">
        <f>IF(B302="","",IFERROR(INDEX(Bookings!$K$5:$K$404,MATCH(B302,Bookings!$A$5:$A$404,0)),""))</f>
        <v>0</v>
      </c>
      <c r="K302" s="31">
        <f>IF(OR(I302="",J302=""),"",ROUND((J302-I302+IF(J302&lt;I302,1,0))*1440,0))</f>
        <v>0</v>
      </c>
      <c r="L302" s="49">
        <f>IF(OR(I302="",H302=""),"",IF(I302&lt;=H302+TIME(0,10,0),"On time","Late "&amp;TEXT((I302-H302)*1440,"0")&amp;" min"))</f>
        <v>0</v>
      </c>
      <c r="O302" s="31">
        <f>IF(OR(M302="",N302=""),"",ROUND((N302-M302+IF(N302&lt;M302,1,0))*1440,0))</f>
        <v>0</v>
      </c>
      <c r="AG302" s="28">
        <f>IF(C302="","",TEXT(C302,"yyyy-mm"))</f>
        <v>0</v>
      </c>
      <c r="AH302" s="28">
        <f>IF(B302="","",B302&amp;"|"&amp;COUNTIF($B$5:$B302,B302))</f>
        <v>0</v>
      </c>
      <c r="AI302" s="28">
        <f>IF(E302="","",E302&amp;"|"&amp;COUNTIF($E$5:$E302,E302))</f>
        <v>0</v>
      </c>
      <c r="AJ302" s="49">
        <f>IF(C302="","",IF(AE302="Missed","Missed visit - contact client",IF(Z302="Yes","Incident logged - follow up",IF(AND(AE302="Completed",AC302&lt;&gt;"Yes"),"Action - send client update",IF(AND(AE302="Completed",AD302&lt;&gt;"Yes"),"Check care checklist",IF(AND(C302&lt;TODAY(),AE302="Scheduled"),"Overdue - log the result","OK"))))))</f>
        <v>0</v>
      </c>
    </row>
    <row r="303" spans="1:36">
      <c r="A303" s="46">
        <f>IF(C303="","","VS-"&amp;TEXT(ROW()-4,"0000"))</f>
        <v>0</v>
      </c>
      <c r="D303" s="28">
        <f>IF(B303="","",IFERROR(INDEX(Bookings!$C$5:$C$404,MATCH(B303,Bookings!$A$5:$A$404,0)),""))</f>
        <v>0</v>
      </c>
      <c r="E303" s="28">
        <f>IF(B303="","",IFERROR(INDEX(Bookings!$E$5:$E$404,MATCH(B303,Bookings!$A$5:$A$404,0)),""))</f>
        <v>0</v>
      </c>
      <c r="F303" s="28">
        <f>IF(B303="","",IFERROR(INDEX(Bookings!$H$5:$H$404,MATCH(B303,Bookings!$A$5:$A$404,0)),""))</f>
        <v>0</v>
      </c>
      <c r="H303" s="53">
        <f>IF(B303="","",IFERROR(INDEX(Bookings!$K$5:$K$404,MATCH(B303,Bookings!$A$5:$A$404,0)),""))</f>
        <v>0</v>
      </c>
      <c r="K303" s="31">
        <f>IF(OR(I303="",J303=""),"",ROUND((J303-I303+IF(J303&lt;I303,1,0))*1440,0))</f>
        <v>0</v>
      </c>
      <c r="L303" s="49">
        <f>IF(OR(I303="",H303=""),"",IF(I303&lt;=H303+TIME(0,10,0),"On time","Late "&amp;TEXT((I303-H303)*1440,"0")&amp;" min"))</f>
        <v>0</v>
      </c>
      <c r="O303" s="31">
        <f>IF(OR(M303="",N303=""),"",ROUND((N303-M303+IF(N303&lt;M303,1,0))*1440,0))</f>
        <v>0</v>
      </c>
      <c r="AG303" s="28">
        <f>IF(C303="","",TEXT(C303,"yyyy-mm"))</f>
        <v>0</v>
      </c>
      <c r="AH303" s="28">
        <f>IF(B303="","",B303&amp;"|"&amp;COUNTIF($B$5:$B303,B303))</f>
        <v>0</v>
      </c>
      <c r="AI303" s="28">
        <f>IF(E303="","",E303&amp;"|"&amp;COUNTIF($E$5:$E303,E303))</f>
        <v>0</v>
      </c>
      <c r="AJ303" s="49">
        <f>IF(C303="","",IF(AE303="Missed","Missed visit - contact client",IF(Z303="Yes","Incident logged - follow up",IF(AND(AE303="Completed",AC303&lt;&gt;"Yes"),"Action - send client update",IF(AND(AE303="Completed",AD303&lt;&gt;"Yes"),"Check care checklist",IF(AND(C303&lt;TODAY(),AE303="Scheduled"),"Overdue - log the result","OK"))))))</f>
        <v>0</v>
      </c>
    </row>
    <row r="304" spans="1:36">
      <c r="A304" s="46">
        <f>IF(C304="","","VS-"&amp;TEXT(ROW()-4,"0000"))</f>
        <v>0</v>
      </c>
      <c r="D304" s="28">
        <f>IF(B304="","",IFERROR(INDEX(Bookings!$C$5:$C$404,MATCH(B304,Bookings!$A$5:$A$404,0)),""))</f>
        <v>0</v>
      </c>
      <c r="E304" s="28">
        <f>IF(B304="","",IFERROR(INDEX(Bookings!$E$5:$E$404,MATCH(B304,Bookings!$A$5:$A$404,0)),""))</f>
        <v>0</v>
      </c>
      <c r="F304" s="28">
        <f>IF(B304="","",IFERROR(INDEX(Bookings!$H$5:$H$404,MATCH(B304,Bookings!$A$5:$A$404,0)),""))</f>
        <v>0</v>
      </c>
      <c r="H304" s="53">
        <f>IF(B304="","",IFERROR(INDEX(Bookings!$K$5:$K$404,MATCH(B304,Bookings!$A$5:$A$404,0)),""))</f>
        <v>0</v>
      </c>
      <c r="K304" s="31">
        <f>IF(OR(I304="",J304=""),"",ROUND((J304-I304+IF(J304&lt;I304,1,0))*1440,0))</f>
        <v>0</v>
      </c>
      <c r="L304" s="49">
        <f>IF(OR(I304="",H304=""),"",IF(I304&lt;=H304+TIME(0,10,0),"On time","Late "&amp;TEXT((I304-H304)*1440,"0")&amp;" min"))</f>
        <v>0</v>
      </c>
      <c r="O304" s="31">
        <f>IF(OR(M304="",N304=""),"",ROUND((N304-M304+IF(N304&lt;M304,1,0))*1440,0))</f>
        <v>0</v>
      </c>
      <c r="AG304" s="28">
        <f>IF(C304="","",TEXT(C304,"yyyy-mm"))</f>
        <v>0</v>
      </c>
      <c r="AH304" s="28">
        <f>IF(B304="","",B304&amp;"|"&amp;COUNTIF($B$5:$B304,B304))</f>
        <v>0</v>
      </c>
      <c r="AI304" s="28">
        <f>IF(E304="","",E304&amp;"|"&amp;COUNTIF($E$5:$E304,E304))</f>
        <v>0</v>
      </c>
      <c r="AJ304" s="49">
        <f>IF(C304="","",IF(AE304="Missed","Missed visit - contact client",IF(Z304="Yes","Incident logged - follow up",IF(AND(AE304="Completed",AC304&lt;&gt;"Yes"),"Action - send client update",IF(AND(AE304="Completed",AD304&lt;&gt;"Yes"),"Check care checklist",IF(AND(C304&lt;TODAY(),AE304="Scheduled"),"Overdue - log the result","OK"))))))</f>
        <v>0</v>
      </c>
    </row>
    <row r="305" spans="1:36">
      <c r="A305" s="46">
        <f>IF(C305="","","VS-"&amp;TEXT(ROW()-4,"0000"))</f>
        <v>0</v>
      </c>
      <c r="D305" s="28">
        <f>IF(B305="","",IFERROR(INDEX(Bookings!$C$5:$C$404,MATCH(B305,Bookings!$A$5:$A$404,0)),""))</f>
        <v>0</v>
      </c>
      <c r="E305" s="28">
        <f>IF(B305="","",IFERROR(INDEX(Bookings!$E$5:$E$404,MATCH(B305,Bookings!$A$5:$A$404,0)),""))</f>
        <v>0</v>
      </c>
      <c r="F305" s="28">
        <f>IF(B305="","",IFERROR(INDEX(Bookings!$H$5:$H$404,MATCH(B305,Bookings!$A$5:$A$404,0)),""))</f>
        <v>0</v>
      </c>
      <c r="H305" s="53">
        <f>IF(B305="","",IFERROR(INDEX(Bookings!$K$5:$K$404,MATCH(B305,Bookings!$A$5:$A$404,0)),""))</f>
        <v>0</v>
      </c>
      <c r="K305" s="31">
        <f>IF(OR(I305="",J305=""),"",ROUND((J305-I305+IF(J305&lt;I305,1,0))*1440,0))</f>
        <v>0</v>
      </c>
      <c r="L305" s="49">
        <f>IF(OR(I305="",H305=""),"",IF(I305&lt;=H305+TIME(0,10,0),"On time","Late "&amp;TEXT((I305-H305)*1440,"0")&amp;" min"))</f>
        <v>0</v>
      </c>
      <c r="O305" s="31">
        <f>IF(OR(M305="",N305=""),"",ROUND((N305-M305+IF(N305&lt;M305,1,0))*1440,0))</f>
        <v>0</v>
      </c>
      <c r="AG305" s="28">
        <f>IF(C305="","",TEXT(C305,"yyyy-mm"))</f>
        <v>0</v>
      </c>
      <c r="AH305" s="28">
        <f>IF(B305="","",B305&amp;"|"&amp;COUNTIF($B$5:$B305,B305))</f>
        <v>0</v>
      </c>
      <c r="AI305" s="28">
        <f>IF(E305="","",E305&amp;"|"&amp;COUNTIF($E$5:$E305,E305))</f>
        <v>0</v>
      </c>
      <c r="AJ305" s="49">
        <f>IF(C305="","",IF(AE305="Missed","Missed visit - contact client",IF(Z305="Yes","Incident logged - follow up",IF(AND(AE305="Completed",AC305&lt;&gt;"Yes"),"Action - send client update",IF(AND(AE305="Completed",AD305&lt;&gt;"Yes"),"Check care checklist",IF(AND(C305&lt;TODAY(),AE305="Scheduled"),"Overdue - log the result","OK"))))))</f>
        <v>0</v>
      </c>
    </row>
    <row r="306" spans="1:36">
      <c r="A306" s="46">
        <f>IF(C306="","","VS-"&amp;TEXT(ROW()-4,"0000"))</f>
        <v>0</v>
      </c>
      <c r="D306" s="28">
        <f>IF(B306="","",IFERROR(INDEX(Bookings!$C$5:$C$404,MATCH(B306,Bookings!$A$5:$A$404,0)),""))</f>
        <v>0</v>
      </c>
      <c r="E306" s="28">
        <f>IF(B306="","",IFERROR(INDEX(Bookings!$E$5:$E$404,MATCH(B306,Bookings!$A$5:$A$404,0)),""))</f>
        <v>0</v>
      </c>
      <c r="F306" s="28">
        <f>IF(B306="","",IFERROR(INDEX(Bookings!$H$5:$H$404,MATCH(B306,Bookings!$A$5:$A$404,0)),""))</f>
        <v>0</v>
      </c>
      <c r="H306" s="53">
        <f>IF(B306="","",IFERROR(INDEX(Bookings!$K$5:$K$404,MATCH(B306,Bookings!$A$5:$A$404,0)),""))</f>
        <v>0</v>
      </c>
      <c r="K306" s="31">
        <f>IF(OR(I306="",J306=""),"",ROUND((J306-I306+IF(J306&lt;I306,1,0))*1440,0))</f>
        <v>0</v>
      </c>
      <c r="L306" s="49">
        <f>IF(OR(I306="",H306=""),"",IF(I306&lt;=H306+TIME(0,10,0),"On time","Late "&amp;TEXT((I306-H306)*1440,"0")&amp;" min"))</f>
        <v>0</v>
      </c>
      <c r="O306" s="31">
        <f>IF(OR(M306="",N306=""),"",ROUND((N306-M306+IF(N306&lt;M306,1,0))*1440,0))</f>
        <v>0</v>
      </c>
      <c r="AG306" s="28">
        <f>IF(C306="","",TEXT(C306,"yyyy-mm"))</f>
        <v>0</v>
      </c>
      <c r="AH306" s="28">
        <f>IF(B306="","",B306&amp;"|"&amp;COUNTIF($B$5:$B306,B306))</f>
        <v>0</v>
      </c>
      <c r="AI306" s="28">
        <f>IF(E306="","",E306&amp;"|"&amp;COUNTIF($E$5:$E306,E306))</f>
        <v>0</v>
      </c>
      <c r="AJ306" s="49">
        <f>IF(C306="","",IF(AE306="Missed","Missed visit - contact client",IF(Z306="Yes","Incident logged - follow up",IF(AND(AE306="Completed",AC306&lt;&gt;"Yes"),"Action - send client update",IF(AND(AE306="Completed",AD306&lt;&gt;"Yes"),"Check care checklist",IF(AND(C306&lt;TODAY(),AE306="Scheduled"),"Overdue - log the result","OK"))))))</f>
        <v>0</v>
      </c>
    </row>
    <row r="307" spans="1:36">
      <c r="A307" s="46">
        <f>IF(C307="","","VS-"&amp;TEXT(ROW()-4,"0000"))</f>
        <v>0</v>
      </c>
      <c r="D307" s="28">
        <f>IF(B307="","",IFERROR(INDEX(Bookings!$C$5:$C$404,MATCH(B307,Bookings!$A$5:$A$404,0)),""))</f>
        <v>0</v>
      </c>
      <c r="E307" s="28">
        <f>IF(B307="","",IFERROR(INDEX(Bookings!$E$5:$E$404,MATCH(B307,Bookings!$A$5:$A$404,0)),""))</f>
        <v>0</v>
      </c>
      <c r="F307" s="28">
        <f>IF(B307="","",IFERROR(INDEX(Bookings!$H$5:$H$404,MATCH(B307,Bookings!$A$5:$A$404,0)),""))</f>
        <v>0</v>
      </c>
      <c r="H307" s="53">
        <f>IF(B307="","",IFERROR(INDEX(Bookings!$K$5:$K$404,MATCH(B307,Bookings!$A$5:$A$404,0)),""))</f>
        <v>0</v>
      </c>
      <c r="K307" s="31">
        <f>IF(OR(I307="",J307=""),"",ROUND((J307-I307+IF(J307&lt;I307,1,0))*1440,0))</f>
        <v>0</v>
      </c>
      <c r="L307" s="49">
        <f>IF(OR(I307="",H307=""),"",IF(I307&lt;=H307+TIME(0,10,0),"On time","Late "&amp;TEXT((I307-H307)*1440,"0")&amp;" min"))</f>
        <v>0</v>
      </c>
      <c r="O307" s="31">
        <f>IF(OR(M307="",N307=""),"",ROUND((N307-M307+IF(N307&lt;M307,1,0))*1440,0))</f>
        <v>0</v>
      </c>
      <c r="AG307" s="28">
        <f>IF(C307="","",TEXT(C307,"yyyy-mm"))</f>
        <v>0</v>
      </c>
      <c r="AH307" s="28">
        <f>IF(B307="","",B307&amp;"|"&amp;COUNTIF($B$5:$B307,B307))</f>
        <v>0</v>
      </c>
      <c r="AI307" s="28">
        <f>IF(E307="","",E307&amp;"|"&amp;COUNTIF($E$5:$E307,E307))</f>
        <v>0</v>
      </c>
      <c r="AJ307" s="49">
        <f>IF(C307="","",IF(AE307="Missed","Missed visit - contact client",IF(Z307="Yes","Incident logged - follow up",IF(AND(AE307="Completed",AC307&lt;&gt;"Yes"),"Action - send client update",IF(AND(AE307="Completed",AD307&lt;&gt;"Yes"),"Check care checklist",IF(AND(C307&lt;TODAY(),AE307="Scheduled"),"Overdue - log the result","OK"))))))</f>
        <v>0</v>
      </c>
    </row>
    <row r="308" spans="1:36">
      <c r="A308" s="46">
        <f>IF(C308="","","VS-"&amp;TEXT(ROW()-4,"0000"))</f>
        <v>0</v>
      </c>
      <c r="D308" s="28">
        <f>IF(B308="","",IFERROR(INDEX(Bookings!$C$5:$C$404,MATCH(B308,Bookings!$A$5:$A$404,0)),""))</f>
        <v>0</v>
      </c>
      <c r="E308" s="28">
        <f>IF(B308="","",IFERROR(INDEX(Bookings!$E$5:$E$404,MATCH(B308,Bookings!$A$5:$A$404,0)),""))</f>
        <v>0</v>
      </c>
      <c r="F308" s="28">
        <f>IF(B308="","",IFERROR(INDEX(Bookings!$H$5:$H$404,MATCH(B308,Bookings!$A$5:$A$404,0)),""))</f>
        <v>0</v>
      </c>
      <c r="H308" s="53">
        <f>IF(B308="","",IFERROR(INDEX(Bookings!$K$5:$K$404,MATCH(B308,Bookings!$A$5:$A$404,0)),""))</f>
        <v>0</v>
      </c>
      <c r="K308" s="31">
        <f>IF(OR(I308="",J308=""),"",ROUND((J308-I308+IF(J308&lt;I308,1,0))*1440,0))</f>
        <v>0</v>
      </c>
      <c r="L308" s="49">
        <f>IF(OR(I308="",H308=""),"",IF(I308&lt;=H308+TIME(0,10,0),"On time","Late "&amp;TEXT((I308-H308)*1440,"0")&amp;" min"))</f>
        <v>0</v>
      </c>
      <c r="O308" s="31">
        <f>IF(OR(M308="",N308=""),"",ROUND((N308-M308+IF(N308&lt;M308,1,0))*1440,0))</f>
        <v>0</v>
      </c>
      <c r="AG308" s="28">
        <f>IF(C308="","",TEXT(C308,"yyyy-mm"))</f>
        <v>0</v>
      </c>
      <c r="AH308" s="28">
        <f>IF(B308="","",B308&amp;"|"&amp;COUNTIF($B$5:$B308,B308))</f>
        <v>0</v>
      </c>
      <c r="AI308" s="28">
        <f>IF(E308="","",E308&amp;"|"&amp;COUNTIF($E$5:$E308,E308))</f>
        <v>0</v>
      </c>
      <c r="AJ308" s="49">
        <f>IF(C308="","",IF(AE308="Missed","Missed visit - contact client",IF(Z308="Yes","Incident logged - follow up",IF(AND(AE308="Completed",AC308&lt;&gt;"Yes"),"Action - send client update",IF(AND(AE308="Completed",AD308&lt;&gt;"Yes"),"Check care checklist",IF(AND(C308&lt;TODAY(),AE308="Scheduled"),"Overdue - log the result","OK"))))))</f>
        <v>0</v>
      </c>
    </row>
    <row r="309" spans="1:36">
      <c r="A309" s="46">
        <f>IF(C309="","","VS-"&amp;TEXT(ROW()-4,"0000"))</f>
        <v>0</v>
      </c>
      <c r="D309" s="28">
        <f>IF(B309="","",IFERROR(INDEX(Bookings!$C$5:$C$404,MATCH(B309,Bookings!$A$5:$A$404,0)),""))</f>
        <v>0</v>
      </c>
      <c r="E309" s="28">
        <f>IF(B309="","",IFERROR(INDEX(Bookings!$E$5:$E$404,MATCH(B309,Bookings!$A$5:$A$404,0)),""))</f>
        <v>0</v>
      </c>
      <c r="F309" s="28">
        <f>IF(B309="","",IFERROR(INDEX(Bookings!$H$5:$H$404,MATCH(B309,Bookings!$A$5:$A$404,0)),""))</f>
        <v>0</v>
      </c>
      <c r="H309" s="53">
        <f>IF(B309="","",IFERROR(INDEX(Bookings!$K$5:$K$404,MATCH(B309,Bookings!$A$5:$A$404,0)),""))</f>
        <v>0</v>
      </c>
      <c r="K309" s="31">
        <f>IF(OR(I309="",J309=""),"",ROUND((J309-I309+IF(J309&lt;I309,1,0))*1440,0))</f>
        <v>0</v>
      </c>
      <c r="L309" s="49">
        <f>IF(OR(I309="",H309=""),"",IF(I309&lt;=H309+TIME(0,10,0),"On time","Late "&amp;TEXT((I309-H309)*1440,"0")&amp;" min"))</f>
        <v>0</v>
      </c>
      <c r="O309" s="31">
        <f>IF(OR(M309="",N309=""),"",ROUND((N309-M309+IF(N309&lt;M309,1,0))*1440,0))</f>
        <v>0</v>
      </c>
      <c r="AG309" s="28">
        <f>IF(C309="","",TEXT(C309,"yyyy-mm"))</f>
        <v>0</v>
      </c>
      <c r="AH309" s="28">
        <f>IF(B309="","",B309&amp;"|"&amp;COUNTIF($B$5:$B309,B309))</f>
        <v>0</v>
      </c>
      <c r="AI309" s="28">
        <f>IF(E309="","",E309&amp;"|"&amp;COUNTIF($E$5:$E309,E309))</f>
        <v>0</v>
      </c>
      <c r="AJ309" s="49">
        <f>IF(C309="","",IF(AE309="Missed","Missed visit - contact client",IF(Z309="Yes","Incident logged - follow up",IF(AND(AE309="Completed",AC309&lt;&gt;"Yes"),"Action - send client update",IF(AND(AE309="Completed",AD309&lt;&gt;"Yes"),"Check care checklist",IF(AND(C309&lt;TODAY(),AE309="Scheduled"),"Overdue - log the result","OK"))))))</f>
        <v>0</v>
      </c>
    </row>
    <row r="310" spans="1:36">
      <c r="A310" s="46">
        <f>IF(C310="","","VS-"&amp;TEXT(ROW()-4,"0000"))</f>
        <v>0</v>
      </c>
      <c r="D310" s="28">
        <f>IF(B310="","",IFERROR(INDEX(Bookings!$C$5:$C$404,MATCH(B310,Bookings!$A$5:$A$404,0)),""))</f>
        <v>0</v>
      </c>
      <c r="E310" s="28">
        <f>IF(B310="","",IFERROR(INDEX(Bookings!$E$5:$E$404,MATCH(B310,Bookings!$A$5:$A$404,0)),""))</f>
        <v>0</v>
      </c>
      <c r="F310" s="28">
        <f>IF(B310="","",IFERROR(INDEX(Bookings!$H$5:$H$404,MATCH(B310,Bookings!$A$5:$A$404,0)),""))</f>
        <v>0</v>
      </c>
      <c r="H310" s="53">
        <f>IF(B310="","",IFERROR(INDEX(Bookings!$K$5:$K$404,MATCH(B310,Bookings!$A$5:$A$404,0)),""))</f>
        <v>0</v>
      </c>
      <c r="K310" s="31">
        <f>IF(OR(I310="",J310=""),"",ROUND((J310-I310+IF(J310&lt;I310,1,0))*1440,0))</f>
        <v>0</v>
      </c>
      <c r="L310" s="49">
        <f>IF(OR(I310="",H310=""),"",IF(I310&lt;=H310+TIME(0,10,0),"On time","Late "&amp;TEXT((I310-H310)*1440,"0")&amp;" min"))</f>
        <v>0</v>
      </c>
      <c r="O310" s="31">
        <f>IF(OR(M310="",N310=""),"",ROUND((N310-M310+IF(N310&lt;M310,1,0))*1440,0))</f>
        <v>0</v>
      </c>
      <c r="AG310" s="28">
        <f>IF(C310="","",TEXT(C310,"yyyy-mm"))</f>
        <v>0</v>
      </c>
      <c r="AH310" s="28">
        <f>IF(B310="","",B310&amp;"|"&amp;COUNTIF($B$5:$B310,B310))</f>
        <v>0</v>
      </c>
      <c r="AI310" s="28">
        <f>IF(E310="","",E310&amp;"|"&amp;COUNTIF($E$5:$E310,E310))</f>
        <v>0</v>
      </c>
      <c r="AJ310" s="49">
        <f>IF(C310="","",IF(AE310="Missed","Missed visit - contact client",IF(Z310="Yes","Incident logged - follow up",IF(AND(AE310="Completed",AC310&lt;&gt;"Yes"),"Action - send client update",IF(AND(AE310="Completed",AD310&lt;&gt;"Yes"),"Check care checklist",IF(AND(C310&lt;TODAY(),AE310="Scheduled"),"Overdue - log the result","OK"))))))</f>
        <v>0</v>
      </c>
    </row>
    <row r="311" spans="1:36">
      <c r="A311" s="46">
        <f>IF(C311="","","VS-"&amp;TEXT(ROW()-4,"0000"))</f>
        <v>0</v>
      </c>
      <c r="D311" s="28">
        <f>IF(B311="","",IFERROR(INDEX(Bookings!$C$5:$C$404,MATCH(B311,Bookings!$A$5:$A$404,0)),""))</f>
        <v>0</v>
      </c>
      <c r="E311" s="28">
        <f>IF(B311="","",IFERROR(INDEX(Bookings!$E$5:$E$404,MATCH(B311,Bookings!$A$5:$A$404,0)),""))</f>
        <v>0</v>
      </c>
      <c r="F311" s="28">
        <f>IF(B311="","",IFERROR(INDEX(Bookings!$H$5:$H$404,MATCH(B311,Bookings!$A$5:$A$404,0)),""))</f>
        <v>0</v>
      </c>
      <c r="H311" s="53">
        <f>IF(B311="","",IFERROR(INDEX(Bookings!$K$5:$K$404,MATCH(B311,Bookings!$A$5:$A$404,0)),""))</f>
        <v>0</v>
      </c>
      <c r="K311" s="31">
        <f>IF(OR(I311="",J311=""),"",ROUND((J311-I311+IF(J311&lt;I311,1,0))*1440,0))</f>
        <v>0</v>
      </c>
      <c r="L311" s="49">
        <f>IF(OR(I311="",H311=""),"",IF(I311&lt;=H311+TIME(0,10,0),"On time","Late "&amp;TEXT((I311-H311)*1440,"0")&amp;" min"))</f>
        <v>0</v>
      </c>
      <c r="O311" s="31">
        <f>IF(OR(M311="",N311=""),"",ROUND((N311-M311+IF(N311&lt;M311,1,0))*1440,0))</f>
        <v>0</v>
      </c>
      <c r="AG311" s="28">
        <f>IF(C311="","",TEXT(C311,"yyyy-mm"))</f>
        <v>0</v>
      </c>
      <c r="AH311" s="28">
        <f>IF(B311="","",B311&amp;"|"&amp;COUNTIF($B$5:$B311,B311))</f>
        <v>0</v>
      </c>
      <c r="AI311" s="28">
        <f>IF(E311="","",E311&amp;"|"&amp;COUNTIF($E$5:$E311,E311))</f>
        <v>0</v>
      </c>
      <c r="AJ311" s="49">
        <f>IF(C311="","",IF(AE311="Missed","Missed visit - contact client",IF(Z311="Yes","Incident logged - follow up",IF(AND(AE311="Completed",AC311&lt;&gt;"Yes"),"Action - send client update",IF(AND(AE311="Completed",AD311&lt;&gt;"Yes"),"Check care checklist",IF(AND(C311&lt;TODAY(),AE311="Scheduled"),"Overdue - log the result","OK"))))))</f>
        <v>0</v>
      </c>
    </row>
    <row r="312" spans="1:36">
      <c r="A312" s="46">
        <f>IF(C312="","","VS-"&amp;TEXT(ROW()-4,"0000"))</f>
        <v>0</v>
      </c>
      <c r="D312" s="28">
        <f>IF(B312="","",IFERROR(INDEX(Bookings!$C$5:$C$404,MATCH(B312,Bookings!$A$5:$A$404,0)),""))</f>
        <v>0</v>
      </c>
      <c r="E312" s="28">
        <f>IF(B312="","",IFERROR(INDEX(Bookings!$E$5:$E$404,MATCH(B312,Bookings!$A$5:$A$404,0)),""))</f>
        <v>0</v>
      </c>
      <c r="F312" s="28">
        <f>IF(B312="","",IFERROR(INDEX(Bookings!$H$5:$H$404,MATCH(B312,Bookings!$A$5:$A$404,0)),""))</f>
        <v>0</v>
      </c>
      <c r="H312" s="53">
        <f>IF(B312="","",IFERROR(INDEX(Bookings!$K$5:$K$404,MATCH(B312,Bookings!$A$5:$A$404,0)),""))</f>
        <v>0</v>
      </c>
      <c r="K312" s="31">
        <f>IF(OR(I312="",J312=""),"",ROUND((J312-I312+IF(J312&lt;I312,1,0))*1440,0))</f>
        <v>0</v>
      </c>
      <c r="L312" s="49">
        <f>IF(OR(I312="",H312=""),"",IF(I312&lt;=H312+TIME(0,10,0),"On time","Late "&amp;TEXT((I312-H312)*1440,"0")&amp;" min"))</f>
        <v>0</v>
      </c>
      <c r="O312" s="31">
        <f>IF(OR(M312="",N312=""),"",ROUND((N312-M312+IF(N312&lt;M312,1,0))*1440,0))</f>
        <v>0</v>
      </c>
      <c r="AG312" s="28">
        <f>IF(C312="","",TEXT(C312,"yyyy-mm"))</f>
        <v>0</v>
      </c>
      <c r="AH312" s="28">
        <f>IF(B312="","",B312&amp;"|"&amp;COUNTIF($B$5:$B312,B312))</f>
        <v>0</v>
      </c>
      <c r="AI312" s="28">
        <f>IF(E312="","",E312&amp;"|"&amp;COUNTIF($E$5:$E312,E312))</f>
        <v>0</v>
      </c>
      <c r="AJ312" s="49">
        <f>IF(C312="","",IF(AE312="Missed","Missed visit - contact client",IF(Z312="Yes","Incident logged - follow up",IF(AND(AE312="Completed",AC312&lt;&gt;"Yes"),"Action - send client update",IF(AND(AE312="Completed",AD312&lt;&gt;"Yes"),"Check care checklist",IF(AND(C312&lt;TODAY(),AE312="Scheduled"),"Overdue - log the result","OK"))))))</f>
        <v>0</v>
      </c>
    </row>
    <row r="313" spans="1:36">
      <c r="A313" s="46">
        <f>IF(C313="","","VS-"&amp;TEXT(ROW()-4,"0000"))</f>
        <v>0</v>
      </c>
      <c r="D313" s="28">
        <f>IF(B313="","",IFERROR(INDEX(Bookings!$C$5:$C$404,MATCH(B313,Bookings!$A$5:$A$404,0)),""))</f>
        <v>0</v>
      </c>
      <c r="E313" s="28">
        <f>IF(B313="","",IFERROR(INDEX(Bookings!$E$5:$E$404,MATCH(B313,Bookings!$A$5:$A$404,0)),""))</f>
        <v>0</v>
      </c>
      <c r="F313" s="28">
        <f>IF(B313="","",IFERROR(INDEX(Bookings!$H$5:$H$404,MATCH(B313,Bookings!$A$5:$A$404,0)),""))</f>
        <v>0</v>
      </c>
      <c r="H313" s="53">
        <f>IF(B313="","",IFERROR(INDEX(Bookings!$K$5:$K$404,MATCH(B313,Bookings!$A$5:$A$404,0)),""))</f>
        <v>0</v>
      </c>
      <c r="K313" s="31">
        <f>IF(OR(I313="",J313=""),"",ROUND((J313-I313+IF(J313&lt;I313,1,0))*1440,0))</f>
        <v>0</v>
      </c>
      <c r="L313" s="49">
        <f>IF(OR(I313="",H313=""),"",IF(I313&lt;=H313+TIME(0,10,0),"On time","Late "&amp;TEXT((I313-H313)*1440,"0")&amp;" min"))</f>
        <v>0</v>
      </c>
      <c r="O313" s="31">
        <f>IF(OR(M313="",N313=""),"",ROUND((N313-M313+IF(N313&lt;M313,1,0))*1440,0))</f>
        <v>0</v>
      </c>
      <c r="AG313" s="28">
        <f>IF(C313="","",TEXT(C313,"yyyy-mm"))</f>
        <v>0</v>
      </c>
      <c r="AH313" s="28">
        <f>IF(B313="","",B313&amp;"|"&amp;COUNTIF($B$5:$B313,B313))</f>
        <v>0</v>
      </c>
      <c r="AI313" s="28">
        <f>IF(E313="","",E313&amp;"|"&amp;COUNTIF($E$5:$E313,E313))</f>
        <v>0</v>
      </c>
      <c r="AJ313" s="49">
        <f>IF(C313="","",IF(AE313="Missed","Missed visit - contact client",IF(Z313="Yes","Incident logged - follow up",IF(AND(AE313="Completed",AC313&lt;&gt;"Yes"),"Action - send client update",IF(AND(AE313="Completed",AD313&lt;&gt;"Yes"),"Check care checklist",IF(AND(C313&lt;TODAY(),AE313="Scheduled"),"Overdue - log the result","OK"))))))</f>
        <v>0</v>
      </c>
    </row>
    <row r="314" spans="1:36">
      <c r="A314" s="46">
        <f>IF(C314="","","VS-"&amp;TEXT(ROW()-4,"0000"))</f>
        <v>0</v>
      </c>
      <c r="D314" s="28">
        <f>IF(B314="","",IFERROR(INDEX(Bookings!$C$5:$C$404,MATCH(B314,Bookings!$A$5:$A$404,0)),""))</f>
        <v>0</v>
      </c>
      <c r="E314" s="28">
        <f>IF(B314="","",IFERROR(INDEX(Bookings!$E$5:$E$404,MATCH(B314,Bookings!$A$5:$A$404,0)),""))</f>
        <v>0</v>
      </c>
      <c r="F314" s="28">
        <f>IF(B314="","",IFERROR(INDEX(Bookings!$H$5:$H$404,MATCH(B314,Bookings!$A$5:$A$404,0)),""))</f>
        <v>0</v>
      </c>
      <c r="H314" s="53">
        <f>IF(B314="","",IFERROR(INDEX(Bookings!$K$5:$K$404,MATCH(B314,Bookings!$A$5:$A$404,0)),""))</f>
        <v>0</v>
      </c>
      <c r="K314" s="31">
        <f>IF(OR(I314="",J314=""),"",ROUND((J314-I314+IF(J314&lt;I314,1,0))*1440,0))</f>
        <v>0</v>
      </c>
      <c r="L314" s="49">
        <f>IF(OR(I314="",H314=""),"",IF(I314&lt;=H314+TIME(0,10,0),"On time","Late "&amp;TEXT((I314-H314)*1440,"0")&amp;" min"))</f>
        <v>0</v>
      </c>
      <c r="O314" s="31">
        <f>IF(OR(M314="",N314=""),"",ROUND((N314-M314+IF(N314&lt;M314,1,0))*1440,0))</f>
        <v>0</v>
      </c>
      <c r="AG314" s="28">
        <f>IF(C314="","",TEXT(C314,"yyyy-mm"))</f>
        <v>0</v>
      </c>
      <c r="AH314" s="28">
        <f>IF(B314="","",B314&amp;"|"&amp;COUNTIF($B$5:$B314,B314))</f>
        <v>0</v>
      </c>
      <c r="AI314" s="28">
        <f>IF(E314="","",E314&amp;"|"&amp;COUNTIF($E$5:$E314,E314))</f>
        <v>0</v>
      </c>
      <c r="AJ314" s="49">
        <f>IF(C314="","",IF(AE314="Missed","Missed visit - contact client",IF(Z314="Yes","Incident logged - follow up",IF(AND(AE314="Completed",AC314&lt;&gt;"Yes"),"Action - send client update",IF(AND(AE314="Completed",AD314&lt;&gt;"Yes"),"Check care checklist",IF(AND(C314&lt;TODAY(),AE314="Scheduled"),"Overdue - log the result","OK"))))))</f>
        <v>0</v>
      </c>
    </row>
    <row r="315" spans="1:36">
      <c r="A315" s="46">
        <f>IF(C315="","","VS-"&amp;TEXT(ROW()-4,"0000"))</f>
        <v>0</v>
      </c>
      <c r="D315" s="28">
        <f>IF(B315="","",IFERROR(INDEX(Bookings!$C$5:$C$404,MATCH(B315,Bookings!$A$5:$A$404,0)),""))</f>
        <v>0</v>
      </c>
      <c r="E315" s="28">
        <f>IF(B315="","",IFERROR(INDEX(Bookings!$E$5:$E$404,MATCH(B315,Bookings!$A$5:$A$404,0)),""))</f>
        <v>0</v>
      </c>
      <c r="F315" s="28">
        <f>IF(B315="","",IFERROR(INDEX(Bookings!$H$5:$H$404,MATCH(B315,Bookings!$A$5:$A$404,0)),""))</f>
        <v>0</v>
      </c>
      <c r="H315" s="53">
        <f>IF(B315="","",IFERROR(INDEX(Bookings!$K$5:$K$404,MATCH(B315,Bookings!$A$5:$A$404,0)),""))</f>
        <v>0</v>
      </c>
      <c r="K315" s="31">
        <f>IF(OR(I315="",J315=""),"",ROUND((J315-I315+IF(J315&lt;I315,1,0))*1440,0))</f>
        <v>0</v>
      </c>
      <c r="L315" s="49">
        <f>IF(OR(I315="",H315=""),"",IF(I315&lt;=H315+TIME(0,10,0),"On time","Late "&amp;TEXT((I315-H315)*1440,"0")&amp;" min"))</f>
        <v>0</v>
      </c>
      <c r="O315" s="31">
        <f>IF(OR(M315="",N315=""),"",ROUND((N315-M315+IF(N315&lt;M315,1,0))*1440,0))</f>
        <v>0</v>
      </c>
      <c r="AG315" s="28">
        <f>IF(C315="","",TEXT(C315,"yyyy-mm"))</f>
        <v>0</v>
      </c>
      <c r="AH315" s="28">
        <f>IF(B315="","",B315&amp;"|"&amp;COUNTIF($B$5:$B315,B315))</f>
        <v>0</v>
      </c>
      <c r="AI315" s="28">
        <f>IF(E315="","",E315&amp;"|"&amp;COUNTIF($E$5:$E315,E315))</f>
        <v>0</v>
      </c>
      <c r="AJ315" s="49">
        <f>IF(C315="","",IF(AE315="Missed","Missed visit - contact client",IF(Z315="Yes","Incident logged - follow up",IF(AND(AE315="Completed",AC315&lt;&gt;"Yes"),"Action - send client update",IF(AND(AE315="Completed",AD315&lt;&gt;"Yes"),"Check care checklist",IF(AND(C315&lt;TODAY(),AE315="Scheduled"),"Overdue - log the result","OK"))))))</f>
        <v>0</v>
      </c>
    </row>
    <row r="316" spans="1:36">
      <c r="A316" s="46">
        <f>IF(C316="","","VS-"&amp;TEXT(ROW()-4,"0000"))</f>
        <v>0</v>
      </c>
      <c r="D316" s="28">
        <f>IF(B316="","",IFERROR(INDEX(Bookings!$C$5:$C$404,MATCH(B316,Bookings!$A$5:$A$404,0)),""))</f>
        <v>0</v>
      </c>
      <c r="E316" s="28">
        <f>IF(B316="","",IFERROR(INDEX(Bookings!$E$5:$E$404,MATCH(B316,Bookings!$A$5:$A$404,0)),""))</f>
        <v>0</v>
      </c>
      <c r="F316" s="28">
        <f>IF(B316="","",IFERROR(INDEX(Bookings!$H$5:$H$404,MATCH(B316,Bookings!$A$5:$A$404,0)),""))</f>
        <v>0</v>
      </c>
      <c r="H316" s="53">
        <f>IF(B316="","",IFERROR(INDEX(Bookings!$K$5:$K$404,MATCH(B316,Bookings!$A$5:$A$404,0)),""))</f>
        <v>0</v>
      </c>
      <c r="K316" s="31">
        <f>IF(OR(I316="",J316=""),"",ROUND((J316-I316+IF(J316&lt;I316,1,0))*1440,0))</f>
        <v>0</v>
      </c>
      <c r="L316" s="49">
        <f>IF(OR(I316="",H316=""),"",IF(I316&lt;=H316+TIME(0,10,0),"On time","Late "&amp;TEXT((I316-H316)*1440,"0")&amp;" min"))</f>
        <v>0</v>
      </c>
      <c r="O316" s="31">
        <f>IF(OR(M316="",N316=""),"",ROUND((N316-M316+IF(N316&lt;M316,1,0))*1440,0))</f>
        <v>0</v>
      </c>
      <c r="AG316" s="28">
        <f>IF(C316="","",TEXT(C316,"yyyy-mm"))</f>
        <v>0</v>
      </c>
      <c r="AH316" s="28">
        <f>IF(B316="","",B316&amp;"|"&amp;COUNTIF($B$5:$B316,B316))</f>
        <v>0</v>
      </c>
      <c r="AI316" s="28">
        <f>IF(E316="","",E316&amp;"|"&amp;COUNTIF($E$5:$E316,E316))</f>
        <v>0</v>
      </c>
      <c r="AJ316" s="49">
        <f>IF(C316="","",IF(AE316="Missed","Missed visit - contact client",IF(Z316="Yes","Incident logged - follow up",IF(AND(AE316="Completed",AC316&lt;&gt;"Yes"),"Action - send client update",IF(AND(AE316="Completed",AD316&lt;&gt;"Yes"),"Check care checklist",IF(AND(C316&lt;TODAY(),AE316="Scheduled"),"Overdue - log the result","OK"))))))</f>
        <v>0</v>
      </c>
    </row>
    <row r="317" spans="1:36">
      <c r="A317" s="46">
        <f>IF(C317="","","VS-"&amp;TEXT(ROW()-4,"0000"))</f>
        <v>0</v>
      </c>
      <c r="D317" s="28">
        <f>IF(B317="","",IFERROR(INDEX(Bookings!$C$5:$C$404,MATCH(B317,Bookings!$A$5:$A$404,0)),""))</f>
        <v>0</v>
      </c>
      <c r="E317" s="28">
        <f>IF(B317="","",IFERROR(INDEX(Bookings!$E$5:$E$404,MATCH(B317,Bookings!$A$5:$A$404,0)),""))</f>
        <v>0</v>
      </c>
      <c r="F317" s="28">
        <f>IF(B317="","",IFERROR(INDEX(Bookings!$H$5:$H$404,MATCH(B317,Bookings!$A$5:$A$404,0)),""))</f>
        <v>0</v>
      </c>
      <c r="H317" s="53">
        <f>IF(B317="","",IFERROR(INDEX(Bookings!$K$5:$K$404,MATCH(B317,Bookings!$A$5:$A$404,0)),""))</f>
        <v>0</v>
      </c>
      <c r="K317" s="31">
        <f>IF(OR(I317="",J317=""),"",ROUND((J317-I317+IF(J317&lt;I317,1,0))*1440,0))</f>
        <v>0</v>
      </c>
      <c r="L317" s="49">
        <f>IF(OR(I317="",H317=""),"",IF(I317&lt;=H317+TIME(0,10,0),"On time","Late "&amp;TEXT((I317-H317)*1440,"0")&amp;" min"))</f>
        <v>0</v>
      </c>
      <c r="O317" s="31">
        <f>IF(OR(M317="",N317=""),"",ROUND((N317-M317+IF(N317&lt;M317,1,0))*1440,0))</f>
        <v>0</v>
      </c>
      <c r="AG317" s="28">
        <f>IF(C317="","",TEXT(C317,"yyyy-mm"))</f>
        <v>0</v>
      </c>
      <c r="AH317" s="28">
        <f>IF(B317="","",B317&amp;"|"&amp;COUNTIF($B$5:$B317,B317))</f>
        <v>0</v>
      </c>
      <c r="AI317" s="28">
        <f>IF(E317="","",E317&amp;"|"&amp;COUNTIF($E$5:$E317,E317))</f>
        <v>0</v>
      </c>
      <c r="AJ317" s="49">
        <f>IF(C317="","",IF(AE317="Missed","Missed visit - contact client",IF(Z317="Yes","Incident logged - follow up",IF(AND(AE317="Completed",AC317&lt;&gt;"Yes"),"Action - send client update",IF(AND(AE317="Completed",AD317&lt;&gt;"Yes"),"Check care checklist",IF(AND(C317&lt;TODAY(),AE317="Scheduled"),"Overdue - log the result","OK"))))))</f>
        <v>0</v>
      </c>
    </row>
    <row r="318" spans="1:36">
      <c r="A318" s="46">
        <f>IF(C318="","","VS-"&amp;TEXT(ROW()-4,"0000"))</f>
        <v>0</v>
      </c>
      <c r="D318" s="28">
        <f>IF(B318="","",IFERROR(INDEX(Bookings!$C$5:$C$404,MATCH(B318,Bookings!$A$5:$A$404,0)),""))</f>
        <v>0</v>
      </c>
      <c r="E318" s="28">
        <f>IF(B318="","",IFERROR(INDEX(Bookings!$E$5:$E$404,MATCH(B318,Bookings!$A$5:$A$404,0)),""))</f>
        <v>0</v>
      </c>
      <c r="F318" s="28">
        <f>IF(B318="","",IFERROR(INDEX(Bookings!$H$5:$H$404,MATCH(B318,Bookings!$A$5:$A$404,0)),""))</f>
        <v>0</v>
      </c>
      <c r="H318" s="53">
        <f>IF(B318="","",IFERROR(INDEX(Bookings!$K$5:$K$404,MATCH(B318,Bookings!$A$5:$A$404,0)),""))</f>
        <v>0</v>
      </c>
      <c r="K318" s="31">
        <f>IF(OR(I318="",J318=""),"",ROUND((J318-I318+IF(J318&lt;I318,1,0))*1440,0))</f>
        <v>0</v>
      </c>
      <c r="L318" s="49">
        <f>IF(OR(I318="",H318=""),"",IF(I318&lt;=H318+TIME(0,10,0),"On time","Late "&amp;TEXT((I318-H318)*1440,"0")&amp;" min"))</f>
        <v>0</v>
      </c>
      <c r="O318" s="31">
        <f>IF(OR(M318="",N318=""),"",ROUND((N318-M318+IF(N318&lt;M318,1,0))*1440,0))</f>
        <v>0</v>
      </c>
      <c r="AG318" s="28">
        <f>IF(C318="","",TEXT(C318,"yyyy-mm"))</f>
        <v>0</v>
      </c>
      <c r="AH318" s="28">
        <f>IF(B318="","",B318&amp;"|"&amp;COUNTIF($B$5:$B318,B318))</f>
        <v>0</v>
      </c>
      <c r="AI318" s="28">
        <f>IF(E318="","",E318&amp;"|"&amp;COUNTIF($E$5:$E318,E318))</f>
        <v>0</v>
      </c>
      <c r="AJ318" s="49">
        <f>IF(C318="","",IF(AE318="Missed","Missed visit - contact client",IF(Z318="Yes","Incident logged - follow up",IF(AND(AE318="Completed",AC318&lt;&gt;"Yes"),"Action - send client update",IF(AND(AE318="Completed",AD318&lt;&gt;"Yes"),"Check care checklist",IF(AND(C318&lt;TODAY(),AE318="Scheduled"),"Overdue - log the result","OK"))))))</f>
        <v>0</v>
      </c>
    </row>
    <row r="319" spans="1:36">
      <c r="A319" s="46">
        <f>IF(C319="","","VS-"&amp;TEXT(ROW()-4,"0000"))</f>
        <v>0</v>
      </c>
      <c r="D319" s="28">
        <f>IF(B319="","",IFERROR(INDEX(Bookings!$C$5:$C$404,MATCH(B319,Bookings!$A$5:$A$404,0)),""))</f>
        <v>0</v>
      </c>
      <c r="E319" s="28">
        <f>IF(B319="","",IFERROR(INDEX(Bookings!$E$5:$E$404,MATCH(B319,Bookings!$A$5:$A$404,0)),""))</f>
        <v>0</v>
      </c>
      <c r="F319" s="28">
        <f>IF(B319="","",IFERROR(INDEX(Bookings!$H$5:$H$404,MATCH(B319,Bookings!$A$5:$A$404,0)),""))</f>
        <v>0</v>
      </c>
      <c r="H319" s="53">
        <f>IF(B319="","",IFERROR(INDEX(Bookings!$K$5:$K$404,MATCH(B319,Bookings!$A$5:$A$404,0)),""))</f>
        <v>0</v>
      </c>
      <c r="K319" s="31">
        <f>IF(OR(I319="",J319=""),"",ROUND((J319-I319+IF(J319&lt;I319,1,0))*1440,0))</f>
        <v>0</v>
      </c>
      <c r="L319" s="49">
        <f>IF(OR(I319="",H319=""),"",IF(I319&lt;=H319+TIME(0,10,0),"On time","Late "&amp;TEXT((I319-H319)*1440,"0")&amp;" min"))</f>
        <v>0</v>
      </c>
      <c r="O319" s="31">
        <f>IF(OR(M319="",N319=""),"",ROUND((N319-M319+IF(N319&lt;M319,1,0))*1440,0))</f>
        <v>0</v>
      </c>
      <c r="AG319" s="28">
        <f>IF(C319="","",TEXT(C319,"yyyy-mm"))</f>
        <v>0</v>
      </c>
      <c r="AH319" s="28">
        <f>IF(B319="","",B319&amp;"|"&amp;COUNTIF($B$5:$B319,B319))</f>
        <v>0</v>
      </c>
      <c r="AI319" s="28">
        <f>IF(E319="","",E319&amp;"|"&amp;COUNTIF($E$5:$E319,E319))</f>
        <v>0</v>
      </c>
      <c r="AJ319" s="49">
        <f>IF(C319="","",IF(AE319="Missed","Missed visit - contact client",IF(Z319="Yes","Incident logged - follow up",IF(AND(AE319="Completed",AC319&lt;&gt;"Yes"),"Action - send client update",IF(AND(AE319="Completed",AD319&lt;&gt;"Yes"),"Check care checklist",IF(AND(C319&lt;TODAY(),AE319="Scheduled"),"Overdue - log the result","OK"))))))</f>
        <v>0</v>
      </c>
    </row>
    <row r="320" spans="1:36">
      <c r="A320" s="46">
        <f>IF(C320="","","VS-"&amp;TEXT(ROW()-4,"0000"))</f>
        <v>0</v>
      </c>
      <c r="D320" s="28">
        <f>IF(B320="","",IFERROR(INDEX(Bookings!$C$5:$C$404,MATCH(B320,Bookings!$A$5:$A$404,0)),""))</f>
        <v>0</v>
      </c>
      <c r="E320" s="28">
        <f>IF(B320="","",IFERROR(INDEX(Bookings!$E$5:$E$404,MATCH(B320,Bookings!$A$5:$A$404,0)),""))</f>
        <v>0</v>
      </c>
      <c r="F320" s="28">
        <f>IF(B320="","",IFERROR(INDEX(Bookings!$H$5:$H$404,MATCH(B320,Bookings!$A$5:$A$404,0)),""))</f>
        <v>0</v>
      </c>
      <c r="H320" s="53">
        <f>IF(B320="","",IFERROR(INDEX(Bookings!$K$5:$K$404,MATCH(B320,Bookings!$A$5:$A$404,0)),""))</f>
        <v>0</v>
      </c>
      <c r="K320" s="31">
        <f>IF(OR(I320="",J320=""),"",ROUND((J320-I320+IF(J320&lt;I320,1,0))*1440,0))</f>
        <v>0</v>
      </c>
      <c r="L320" s="49">
        <f>IF(OR(I320="",H320=""),"",IF(I320&lt;=H320+TIME(0,10,0),"On time","Late "&amp;TEXT((I320-H320)*1440,"0")&amp;" min"))</f>
        <v>0</v>
      </c>
      <c r="O320" s="31">
        <f>IF(OR(M320="",N320=""),"",ROUND((N320-M320+IF(N320&lt;M320,1,0))*1440,0))</f>
        <v>0</v>
      </c>
      <c r="AG320" s="28">
        <f>IF(C320="","",TEXT(C320,"yyyy-mm"))</f>
        <v>0</v>
      </c>
      <c r="AH320" s="28">
        <f>IF(B320="","",B320&amp;"|"&amp;COUNTIF($B$5:$B320,B320))</f>
        <v>0</v>
      </c>
      <c r="AI320" s="28">
        <f>IF(E320="","",E320&amp;"|"&amp;COUNTIF($E$5:$E320,E320))</f>
        <v>0</v>
      </c>
      <c r="AJ320" s="49">
        <f>IF(C320="","",IF(AE320="Missed","Missed visit - contact client",IF(Z320="Yes","Incident logged - follow up",IF(AND(AE320="Completed",AC320&lt;&gt;"Yes"),"Action - send client update",IF(AND(AE320="Completed",AD320&lt;&gt;"Yes"),"Check care checklist",IF(AND(C320&lt;TODAY(),AE320="Scheduled"),"Overdue - log the result","OK"))))))</f>
        <v>0</v>
      </c>
    </row>
    <row r="321" spans="1:36">
      <c r="A321" s="46">
        <f>IF(C321="","","VS-"&amp;TEXT(ROW()-4,"0000"))</f>
        <v>0</v>
      </c>
      <c r="D321" s="28">
        <f>IF(B321="","",IFERROR(INDEX(Bookings!$C$5:$C$404,MATCH(B321,Bookings!$A$5:$A$404,0)),""))</f>
        <v>0</v>
      </c>
      <c r="E321" s="28">
        <f>IF(B321="","",IFERROR(INDEX(Bookings!$E$5:$E$404,MATCH(B321,Bookings!$A$5:$A$404,0)),""))</f>
        <v>0</v>
      </c>
      <c r="F321" s="28">
        <f>IF(B321="","",IFERROR(INDEX(Bookings!$H$5:$H$404,MATCH(B321,Bookings!$A$5:$A$404,0)),""))</f>
        <v>0</v>
      </c>
      <c r="H321" s="53">
        <f>IF(B321="","",IFERROR(INDEX(Bookings!$K$5:$K$404,MATCH(B321,Bookings!$A$5:$A$404,0)),""))</f>
        <v>0</v>
      </c>
      <c r="K321" s="31">
        <f>IF(OR(I321="",J321=""),"",ROUND((J321-I321+IF(J321&lt;I321,1,0))*1440,0))</f>
        <v>0</v>
      </c>
      <c r="L321" s="49">
        <f>IF(OR(I321="",H321=""),"",IF(I321&lt;=H321+TIME(0,10,0),"On time","Late "&amp;TEXT((I321-H321)*1440,"0")&amp;" min"))</f>
        <v>0</v>
      </c>
      <c r="O321" s="31">
        <f>IF(OR(M321="",N321=""),"",ROUND((N321-M321+IF(N321&lt;M321,1,0))*1440,0))</f>
        <v>0</v>
      </c>
      <c r="AG321" s="28">
        <f>IF(C321="","",TEXT(C321,"yyyy-mm"))</f>
        <v>0</v>
      </c>
      <c r="AH321" s="28">
        <f>IF(B321="","",B321&amp;"|"&amp;COUNTIF($B$5:$B321,B321))</f>
        <v>0</v>
      </c>
      <c r="AI321" s="28">
        <f>IF(E321="","",E321&amp;"|"&amp;COUNTIF($E$5:$E321,E321))</f>
        <v>0</v>
      </c>
      <c r="AJ321" s="49">
        <f>IF(C321="","",IF(AE321="Missed","Missed visit - contact client",IF(Z321="Yes","Incident logged - follow up",IF(AND(AE321="Completed",AC321&lt;&gt;"Yes"),"Action - send client update",IF(AND(AE321="Completed",AD321&lt;&gt;"Yes"),"Check care checklist",IF(AND(C321&lt;TODAY(),AE321="Scheduled"),"Overdue - log the result","OK"))))))</f>
        <v>0</v>
      </c>
    </row>
    <row r="322" spans="1:36">
      <c r="A322" s="46">
        <f>IF(C322="","","VS-"&amp;TEXT(ROW()-4,"0000"))</f>
        <v>0</v>
      </c>
      <c r="D322" s="28">
        <f>IF(B322="","",IFERROR(INDEX(Bookings!$C$5:$C$404,MATCH(B322,Bookings!$A$5:$A$404,0)),""))</f>
        <v>0</v>
      </c>
      <c r="E322" s="28">
        <f>IF(B322="","",IFERROR(INDEX(Bookings!$E$5:$E$404,MATCH(B322,Bookings!$A$5:$A$404,0)),""))</f>
        <v>0</v>
      </c>
      <c r="F322" s="28">
        <f>IF(B322="","",IFERROR(INDEX(Bookings!$H$5:$H$404,MATCH(B322,Bookings!$A$5:$A$404,0)),""))</f>
        <v>0</v>
      </c>
      <c r="H322" s="53">
        <f>IF(B322="","",IFERROR(INDEX(Bookings!$K$5:$K$404,MATCH(B322,Bookings!$A$5:$A$404,0)),""))</f>
        <v>0</v>
      </c>
      <c r="K322" s="31">
        <f>IF(OR(I322="",J322=""),"",ROUND((J322-I322+IF(J322&lt;I322,1,0))*1440,0))</f>
        <v>0</v>
      </c>
      <c r="L322" s="49">
        <f>IF(OR(I322="",H322=""),"",IF(I322&lt;=H322+TIME(0,10,0),"On time","Late "&amp;TEXT((I322-H322)*1440,"0")&amp;" min"))</f>
        <v>0</v>
      </c>
      <c r="O322" s="31">
        <f>IF(OR(M322="",N322=""),"",ROUND((N322-M322+IF(N322&lt;M322,1,0))*1440,0))</f>
        <v>0</v>
      </c>
      <c r="AG322" s="28">
        <f>IF(C322="","",TEXT(C322,"yyyy-mm"))</f>
        <v>0</v>
      </c>
      <c r="AH322" s="28">
        <f>IF(B322="","",B322&amp;"|"&amp;COUNTIF($B$5:$B322,B322))</f>
        <v>0</v>
      </c>
      <c r="AI322" s="28">
        <f>IF(E322="","",E322&amp;"|"&amp;COUNTIF($E$5:$E322,E322))</f>
        <v>0</v>
      </c>
      <c r="AJ322" s="49">
        <f>IF(C322="","",IF(AE322="Missed","Missed visit - contact client",IF(Z322="Yes","Incident logged - follow up",IF(AND(AE322="Completed",AC322&lt;&gt;"Yes"),"Action - send client update",IF(AND(AE322="Completed",AD322&lt;&gt;"Yes"),"Check care checklist",IF(AND(C322&lt;TODAY(),AE322="Scheduled"),"Overdue - log the result","OK"))))))</f>
        <v>0</v>
      </c>
    </row>
    <row r="323" spans="1:36">
      <c r="A323" s="46">
        <f>IF(C323="","","VS-"&amp;TEXT(ROW()-4,"0000"))</f>
        <v>0</v>
      </c>
      <c r="D323" s="28">
        <f>IF(B323="","",IFERROR(INDEX(Bookings!$C$5:$C$404,MATCH(B323,Bookings!$A$5:$A$404,0)),""))</f>
        <v>0</v>
      </c>
      <c r="E323" s="28">
        <f>IF(B323="","",IFERROR(INDEX(Bookings!$E$5:$E$404,MATCH(B323,Bookings!$A$5:$A$404,0)),""))</f>
        <v>0</v>
      </c>
      <c r="F323" s="28">
        <f>IF(B323="","",IFERROR(INDEX(Bookings!$H$5:$H$404,MATCH(B323,Bookings!$A$5:$A$404,0)),""))</f>
        <v>0</v>
      </c>
      <c r="H323" s="53">
        <f>IF(B323="","",IFERROR(INDEX(Bookings!$K$5:$K$404,MATCH(B323,Bookings!$A$5:$A$404,0)),""))</f>
        <v>0</v>
      </c>
      <c r="K323" s="31">
        <f>IF(OR(I323="",J323=""),"",ROUND((J323-I323+IF(J323&lt;I323,1,0))*1440,0))</f>
        <v>0</v>
      </c>
      <c r="L323" s="49">
        <f>IF(OR(I323="",H323=""),"",IF(I323&lt;=H323+TIME(0,10,0),"On time","Late "&amp;TEXT((I323-H323)*1440,"0")&amp;" min"))</f>
        <v>0</v>
      </c>
      <c r="O323" s="31">
        <f>IF(OR(M323="",N323=""),"",ROUND((N323-M323+IF(N323&lt;M323,1,0))*1440,0))</f>
        <v>0</v>
      </c>
      <c r="AG323" s="28">
        <f>IF(C323="","",TEXT(C323,"yyyy-mm"))</f>
        <v>0</v>
      </c>
      <c r="AH323" s="28">
        <f>IF(B323="","",B323&amp;"|"&amp;COUNTIF($B$5:$B323,B323))</f>
        <v>0</v>
      </c>
      <c r="AI323" s="28">
        <f>IF(E323="","",E323&amp;"|"&amp;COUNTIF($E$5:$E323,E323))</f>
        <v>0</v>
      </c>
      <c r="AJ323" s="49">
        <f>IF(C323="","",IF(AE323="Missed","Missed visit - contact client",IF(Z323="Yes","Incident logged - follow up",IF(AND(AE323="Completed",AC323&lt;&gt;"Yes"),"Action - send client update",IF(AND(AE323="Completed",AD323&lt;&gt;"Yes"),"Check care checklist",IF(AND(C323&lt;TODAY(),AE323="Scheduled"),"Overdue - log the result","OK"))))))</f>
        <v>0</v>
      </c>
    </row>
    <row r="324" spans="1:36">
      <c r="A324" s="46">
        <f>IF(C324="","","VS-"&amp;TEXT(ROW()-4,"0000"))</f>
        <v>0</v>
      </c>
      <c r="D324" s="28">
        <f>IF(B324="","",IFERROR(INDEX(Bookings!$C$5:$C$404,MATCH(B324,Bookings!$A$5:$A$404,0)),""))</f>
        <v>0</v>
      </c>
      <c r="E324" s="28">
        <f>IF(B324="","",IFERROR(INDEX(Bookings!$E$5:$E$404,MATCH(B324,Bookings!$A$5:$A$404,0)),""))</f>
        <v>0</v>
      </c>
      <c r="F324" s="28">
        <f>IF(B324="","",IFERROR(INDEX(Bookings!$H$5:$H$404,MATCH(B324,Bookings!$A$5:$A$404,0)),""))</f>
        <v>0</v>
      </c>
      <c r="H324" s="53">
        <f>IF(B324="","",IFERROR(INDEX(Bookings!$K$5:$K$404,MATCH(B324,Bookings!$A$5:$A$404,0)),""))</f>
        <v>0</v>
      </c>
      <c r="K324" s="31">
        <f>IF(OR(I324="",J324=""),"",ROUND((J324-I324+IF(J324&lt;I324,1,0))*1440,0))</f>
        <v>0</v>
      </c>
      <c r="L324" s="49">
        <f>IF(OR(I324="",H324=""),"",IF(I324&lt;=H324+TIME(0,10,0),"On time","Late "&amp;TEXT((I324-H324)*1440,"0")&amp;" min"))</f>
        <v>0</v>
      </c>
      <c r="O324" s="31">
        <f>IF(OR(M324="",N324=""),"",ROUND((N324-M324+IF(N324&lt;M324,1,0))*1440,0))</f>
        <v>0</v>
      </c>
      <c r="AG324" s="28">
        <f>IF(C324="","",TEXT(C324,"yyyy-mm"))</f>
        <v>0</v>
      </c>
      <c r="AH324" s="28">
        <f>IF(B324="","",B324&amp;"|"&amp;COUNTIF($B$5:$B324,B324))</f>
        <v>0</v>
      </c>
      <c r="AI324" s="28">
        <f>IF(E324="","",E324&amp;"|"&amp;COUNTIF($E$5:$E324,E324))</f>
        <v>0</v>
      </c>
      <c r="AJ324" s="49">
        <f>IF(C324="","",IF(AE324="Missed","Missed visit - contact client",IF(Z324="Yes","Incident logged - follow up",IF(AND(AE324="Completed",AC324&lt;&gt;"Yes"),"Action - send client update",IF(AND(AE324="Completed",AD324&lt;&gt;"Yes"),"Check care checklist",IF(AND(C324&lt;TODAY(),AE324="Scheduled"),"Overdue - log the result","OK"))))))</f>
        <v>0</v>
      </c>
    </row>
    <row r="325" spans="1:36">
      <c r="A325" s="46">
        <f>IF(C325="","","VS-"&amp;TEXT(ROW()-4,"0000"))</f>
        <v>0</v>
      </c>
      <c r="D325" s="28">
        <f>IF(B325="","",IFERROR(INDEX(Bookings!$C$5:$C$404,MATCH(B325,Bookings!$A$5:$A$404,0)),""))</f>
        <v>0</v>
      </c>
      <c r="E325" s="28">
        <f>IF(B325="","",IFERROR(INDEX(Bookings!$E$5:$E$404,MATCH(B325,Bookings!$A$5:$A$404,0)),""))</f>
        <v>0</v>
      </c>
      <c r="F325" s="28">
        <f>IF(B325="","",IFERROR(INDEX(Bookings!$H$5:$H$404,MATCH(B325,Bookings!$A$5:$A$404,0)),""))</f>
        <v>0</v>
      </c>
      <c r="H325" s="53">
        <f>IF(B325="","",IFERROR(INDEX(Bookings!$K$5:$K$404,MATCH(B325,Bookings!$A$5:$A$404,0)),""))</f>
        <v>0</v>
      </c>
      <c r="K325" s="31">
        <f>IF(OR(I325="",J325=""),"",ROUND((J325-I325+IF(J325&lt;I325,1,0))*1440,0))</f>
        <v>0</v>
      </c>
      <c r="L325" s="49">
        <f>IF(OR(I325="",H325=""),"",IF(I325&lt;=H325+TIME(0,10,0),"On time","Late "&amp;TEXT((I325-H325)*1440,"0")&amp;" min"))</f>
        <v>0</v>
      </c>
      <c r="O325" s="31">
        <f>IF(OR(M325="",N325=""),"",ROUND((N325-M325+IF(N325&lt;M325,1,0))*1440,0))</f>
        <v>0</v>
      </c>
      <c r="AG325" s="28">
        <f>IF(C325="","",TEXT(C325,"yyyy-mm"))</f>
        <v>0</v>
      </c>
      <c r="AH325" s="28">
        <f>IF(B325="","",B325&amp;"|"&amp;COUNTIF($B$5:$B325,B325))</f>
        <v>0</v>
      </c>
      <c r="AI325" s="28">
        <f>IF(E325="","",E325&amp;"|"&amp;COUNTIF($E$5:$E325,E325))</f>
        <v>0</v>
      </c>
      <c r="AJ325" s="49">
        <f>IF(C325="","",IF(AE325="Missed","Missed visit - contact client",IF(Z325="Yes","Incident logged - follow up",IF(AND(AE325="Completed",AC325&lt;&gt;"Yes"),"Action - send client update",IF(AND(AE325="Completed",AD325&lt;&gt;"Yes"),"Check care checklist",IF(AND(C325&lt;TODAY(),AE325="Scheduled"),"Overdue - log the result","OK"))))))</f>
        <v>0</v>
      </c>
    </row>
    <row r="326" spans="1:36">
      <c r="A326" s="46">
        <f>IF(C326="","","VS-"&amp;TEXT(ROW()-4,"0000"))</f>
        <v>0</v>
      </c>
      <c r="D326" s="28">
        <f>IF(B326="","",IFERROR(INDEX(Bookings!$C$5:$C$404,MATCH(B326,Bookings!$A$5:$A$404,0)),""))</f>
        <v>0</v>
      </c>
      <c r="E326" s="28">
        <f>IF(B326="","",IFERROR(INDEX(Bookings!$E$5:$E$404,MATCH(B326,Bookings!$A$5:$A$404,0)),""))</f>
        <v>0</v>
      </c>
      <c r="F326" s="28">
        <f>IF(B326="","",IFERROR(INDEX(Bookings!$H$5:$H$404,MATCH(B326,Bookings!$A$5:$A$404,0)),""))</f>
        <v>0</v>
      </c>
      <c r="H326" s="53">
        <f>IF(B326="","",IFERROR(INDEX(Bookings!$K$5:$K$404,MATCH(B326,Bookings!$A$5:$A$404,0)),""))</f>
        <v>0</v>
      </c>
      <c r="K326" s="31">
        <f>IF(OR(I326="",J326=""),"",ROUND((J326-I326+IF(J326&lt;I326,1,0))*1440,0))</f>
        <v>0</v>
      </c>
      <c r="L326" s="49">
        <f>IF(OR(I326="",H326=""),"",IF(I326&lt;=H326+TIME(0,10,0),"On time","Late "&amp;TEXT((I326-H326)*1440,"0")&amp;" min"))</f>
        <v>0</v>
      </c>
      <c r="O326" s="31">
        <f>IF(OR(M326="",N326=""),"",ROUND((N326-M326+IF(N326&lt;M326,1,0))*1440,0))</f>
        <v>0</v>
      </c>
      <c r="AG326" s="28">
        <f>IF(C326="","",TEXT(C326,"yyyy-mm"))</f>
        <v>0</v>
      </c>
      <c r="AH326" s="28">
        <f>IF(B326="","",B326&amp;"|"&amp;COUNTIF($B$5:$B326,B326))</f>
        <v>0</v>
      </c>
      <c r="AI326" s="28">
        <f>IF(E326="","",E326&amp;"|"&amp;COUNTIF($E$5:$E326,E326))</f>
        <v>0</v>
      </c>
      <c r="AJ326" s="49">
        <f>IF(C326="","",IF(AE326="Missed","Missed visit - contact client",IF(Z326="Yes","Incident logged - follow up",IF(AND(AE326="Completed",AC326&lt;&gt;"Yes"),"Action - send client update",IF(AND(AE326="Completed",AD326&lt;&gt;"Yes"),"Check care checklist",IF(AND(C326&lt;TODAY(),AE326="Scheduled"),"Overdue - log the result","OK"))))))</f>
        <v>0</v>
      </c>
    </row>
    <row r="327" spans="1:36">
      <c r="A327" s="46">
        <f>IF(C327="","","VS-"&amp;TEXT(ROW()-4,"0000"))</f>
        <v>0</v>
      </c>
      <c r="D327" s="28">
        <f>IF(B327="","",IFERROR(INDEX(Bookings!$C$5:$C$404,MATCH(B327,Bookings!$A$5:$A$404,0)),""))</f>
        <v>0</v>
      </c>
      <c r="E327" s="28">
        <f>IF(B327="","",IFERROR(INDEX(Bookings!$E$5:$E$404,MATCH(B327,Bookings!$A$5:$A$404,0)),""))</f>
        <v>0</v>
      </c>
      <c r="F327" s="28">
        <f>IF(B327="","",IFERROR(INDEX(Bookings!$H$5:$H$404,MATCH(B327,Bookings!$A$5:$A$404,0)),""))</f>
        <v>0</v>
      </c>
      <c r="H327" s="53">
        <f>IF(B327="","",IFERROR(INDEX(Bookings!$K$5:$K$404,MATCH(B327,Bookings!$A$5:$A$404,0)),""))</f>
        <v>0</v>
      </c>
      <c r="K327" s="31">
        <f>IF(OR(I327="",J327=""),"",ROUND((J327-I327+IF(J327&lt;I327,1,0))*1440,0))</f>
        <v>0</v>
      </c>
      <c r="L327" s="49">
        <f>IF(OR(I327="",H327=""),"",IF(I327&lt;=H327+TIME(0,10,0),"On time","Late "&amp;TEXT((I327-H327)*1440,"0")&amp;" min"))</f>
        <v>0</v>
      </c>
      <c r="O327" s="31">
        <f>IF(OR(M327="",N327=""),"",ROUND((N327-M327+IF(N327&lt;M327,1,0))*1440,0))</f>
        <v>0</v>
      </c>
      <c r="AG327" s="28">
        <f>IF(C327="","",TEXT(C327,"yyyy-mm"))</f>
        <v>0</v>
      </c>
      <c r="AH327" s="28">
        <f>IF(B327="","",B327&amp;"|"&amp;COUNTIF($B$5:$B327,B327))</f>
        <v>0</v>
      </c>
      <c r="AI327" s="28">
        <f>IF(E327="","",E327&amp;"|"&amp;COUNTIF($E$5:$E327,E327))</f>
        <v>0</v>
      </c>
      <c r="AJ327" s="49">
        <f>IF(C327="","",IF(AE327="Missed","Missed visit - contact client",IF(Z327="Yes","Incident logged - follow up",IF(AND(AE327="Completed",AC327&lt;&gt;"Yes"),"Action - send client update",IF(AND(AE327="Completed",AD327&lt;&gt;"Yes"),"Check care checklist",IF(AND(C327&lt;TODAY(),AE327="Scheduled"),"Overdue - log the result","OK"))))))</f>
        <v>0</v>
      </c>
    </row>
    <row r="328" spans="1:36">
      <c r="A328" s="46">
        <f>IF(C328="","","VS-"&amp;TEXT(ROW()-4,"0000"))</f>
        <v>0</v>
      </c>
      <c r="D328" s="28">
        <f>IF(B328="","",IFERROR(INDEX(Bookings!$C$5:$C$404,MATCH(B328,Bookings!$A$5:$A$404,0)),""))</f>
        <v>0</v>
      </c>
      <c r="E328" s="28">
        <f>IF(B328="","",IFERROR(INDEX(Bookings!$E$5:$E$404,MATCH(B328,Bookings!$A$5:$A$404,0)),""))</f>
        <v>0</v>
      </c>
      <c r="F328" s="28">
        <f>IF(B328="","",IFERROR(INDEX(Bookings!$H$5:$H$404,MATCH(B328,Bookings!$A$5:$A$404,0)),""))</f>
        <v>0</v>
      </c>
      <c r="H328" s="53">
        <f>IF(B328="","",IFERROR(INDEX(Bookings!$K$5:$K$404,MATCH(B328,Bookings!$A$5:$A$404,0)),""))</f>
        <v>0</v>
      </c>
      <c r="K328" s="31">
        <f>IF(OR(I328="",J328=""),"",ROUND((J328-I328+IF(J328&lt;I328,1,0))*1440,0))</f>
        <v>0</v>
      </c>
      <c r="L328" s="49">
        <f>IF(OR(I328="",H328=""),"",IF(I328&lt;=H328+TIME(0,10,0),"On time","Late "&amp;TEXT((I328-H328)*1440,"0")&amp;" min"))</f>
        <v>0</v>
      </c>
      <c r="O328" s="31">
        <f>IF(OR(M328="",N328=""),"",ROUND((N328-M328+IF(N328&lt;M328,1,0))*1440,0))</f>
        <v>0</v>
      </c>
      <c r="AG328" s="28">
        <f>IF(C328="","",TEXT(C328,"yyyy-mm"))</f>
        <v>0</v>
      </c>
      <c r="AH328" s="28">
        <f>IF(B328="","",B328&amp;"|"&amp;COUNTIF($B$5:$B328,B328))</f>
        <v>0</v>
      </c>
      <c r="AI328" s="28">
        <f>IF(E328="","",E328&amp;"|"&amp;COUNTIF($E$5:$E328,E328))</f>
        <v>0</v>
      </c>
      <c r="AJ328" s="49">
        <f>IF(C328="","",IF(AE328="Missed","Missed visit - contact client",IF(Z328="Yes","Incident logged - follow up",IF(AND(AE328="Completed",AC328&lt;&gt;"Yes"),"Action - send client update",IF(AND(AE328="Completed",AD328&lt;&gt;"Yes"),"Check care checklist",IF(AND(C328&lt;TODAY(),AE328="Scheduled"),"Overdue - log the result","OK"))))))</f>
        <v>0</v>
      </c>
    </row>
    <row r="329" spans="1:36">
      <c r="A329" s="46">
        <f>IF(C329="","","VS-"&amp;TEXT(ROW()-4,"0000"))</f>
        <v>0</v>
      </c>
      <c r="D329" s="28">
        <f>IF(B329="","",IFERROR(INDEX(Bookings!$C$5:$C$404,MATCH(B329,Bookings!$A$5:$A$404,0)),""))</f>
        <v>0</v>
      </c>
      <c r="E329" s="28">
        <f>IF(B329="","",IFERROR(INDEX(Bookings!$E$5:$E$404,MATCH(B329,Bookings!$A$5:$A$404,0)),""))</f>
        <v>0</v>
      </c>
      <c r="F329" s="28">
        <f>IF(B329="","",IFERROR(INDEX(Bookings!$H$5:$H$404,MATCH(B329,Bookings!$A$5:$A$404,0)),""))</f>
        <v>0</v>
      </c>
      <c r="H329" s="53">
        <f>IF(B329="","",IFERROR(INDEX(Bookings!$K$5:$K$404,MATCH(B329,Bookings!$A$5:$A$404,0)),""))</f>
        <v>0</v>
      </c>
      <c r="K329" s="31">
        <f>IF(OR(I329="",J329=""),"",ROUND((J329-I329+IF(J329&lt;I329,1,0))*1440,0))</f>
        <v>0</v>
      </c>
      <c r="L329" s="49">
        <f>IF(OR(I329="",H329=""),"",IF(I329&lt;=H329+TIME(0,10,0),"On time","Late "&amp;TEXT((I329-H329)*1440,"0")&amp;" min"))</f>
        <v>0</v>
      </c>
      <c r="O329" s="31">
        <f>IF(OR(M329="",N329=""),"",ROUND((N329-M329+IF(N329&lt;M329,1,0))*1440,0))</f>
        <v>0</v>
      </c>
      <c r="AG329" s="28">
        <f>IF(C329="","",TEXT(C329,"yyyy-mm"))</f>
        <v>0</v>
      </c>
      <c r="AH329" s="28">
        <f>IF(B329="","",B329&amp;"|"&amp;COUNTIF($B$5:$B329,B329))</f>
        <v>0</v>
      </c>
      <c r="AI329" s="28">
        <f>IF(E329="","",E329&amp;"|"&amp;COUNTIF($E$5:$E329,E329))</f>
        <v>0</v>
      </c>
      <c r="AJ329" s="49">
        <f>IF(C329="","",IF(AE329="Missed","Missed visit - contact client",IF(Z329="Yes","Incident logged - follow up",IF(AND(AE329="Completed",AC329&lt;&gt;"Yes"),"Action - send client update",IF(AND(AE329="Completed",AD329&lt;&gt;"Yes"),"Check care checklist",IF(AND(C329&lt;TODAY(),AE329="Scheduled"),"Overdue - log the result","OK"))))))</f>
        <v>0</v>
      </c>
    </row>
    <row r="330" spans="1:36">
      <c r="A330" s="46">
        <f>IF(C330="","","VS-"&amp;TEXT(ROW()-4,"0000"))</f>
        <v>0</v>
      </c>
      <c r="D330" s="28">
        <f>IF(B330="","",IFERROR(INDEX(Bookings!$C$5:$C$404,MATCH(B330,Bookings!$A$5:$A$404,0)),""))</f>
        <v>0</v>
      </c>
      <c r="E330" s="28">
        <f>IF(B330="","",IFERROR(INDEX(Bookings!$E$5:$E$404,MATCH(B330,Bookings!$A$5:$A$404,0)),""))</f>
        <v>0</v>
      </c>
      <c r="F330" s="28">
        <f>IF(B330="","",IFERROR(INDEX(Bookings!$H$5:$H$404,MATCH(B330,Bookings!$A$5:$A$404,0)),""))</f>
        <v>0</v>
      </c>
      <c r="H330" s="53">
        <f>IF(B330="","",IFERROR(INDEX(Bookings!$K$5:$K$404,MATCH(B330,Bookings!$A$5:$A$404,0)),""))</f>
        <v>0</v>
      </c>
      <c r="K330" s="31">
        <f>IF(OR(I330="",J330=""),"",ROUND((J330-I330+IF(J330&lt;I330,1,0))*1440,0))</f>
        <v>0</v>
      </c>
      <c r="L330" s="49">
        <f>IF(OR(I330="",H330=""),"",IF(I330&lt;=H330+TIME(0,10,0),"On time","Late "&amp;TEXT((I330-H330)*1440,"0")&amp;" min"))</f>
        <v>0</v>
      </c>
      <c r="O330" s="31">
        <f>IF(OR(M330="",N330=""),"",ROUND((N330-M330+IF(N330&lt;M330,1,0))*1440,0))</f>
        <v>0</v>
      </c>
      <c r="AG330" s="28">
        <f>IF(C330="","",TEXT(C330,"yyyy-mm"))</f>
        <v>0</v>
      </c>
      <c r="AH330" s="28">
        <f>IF(B330="","",B330&amp;"|"&amp;COUNTIF($B$5:$B330,B330))</f>
        <v>0</v>
      </c>
      <c r="AI330" s="28">
        <f>IF(E330="","",E330&amp;"|"&amp;COUNTIF($E$5:$E330,E330))</f>
        <v>0</v>
      </c>
      <c r="AJ330" s="49">
        <f>IF(C330="","",IF(AE330="Missed","Missed visit - contact client",IF(Z330="Yes","Incident logged - follow up",IF(AND(AE330="Completed",AC330&lt;&gt;"Yes"),"Action - send client update",IF(AND(AE330="Completed",AD330&lt;&gt;"Yes"),"Check care checklist",IF(AND(C330&lt;TODAY(),AE330="Scheduled"),"Overdue - log the result","OK"))))))</f>
        <v>0</v>
      </c>
    </row>
    <row r="331" spans="1:36">
      <c r="A331" s="46">
        <f>IF(C331="","","VS-"&amp;TEXT(ROW()-4,"0000"))</f>
        <v>0</v>
      </c>
      <c r="D331" s="28">
        <f>IF(B331="","",IFERROR(INDEX(Bookings!$C$5:$C$404,MATCH(B331,Bookings!$A$5:$A$404,0)),""))</f>
        <v>0</v>
      </c>
      <c r="E331" s="28">
        <f>IF(B331="","",IFERROR(INDEX(Bookings!$E$5:$E$404,MATCH(B331,Bookings!$A$5:$A$404,0)),""))</f>
        <v>0</v>
      </c>
      <c r="F331" s="28">
        <f>IF(B331="","",IFERROR(INDEX(Bookings!$H$5:$H$404,MATCH(B331,Bookings!$A$5:$A$404,0)),""))</f>
        <v>0</v>
      </c>
      <c r="H331" s="53">
        <f>IF(B331="","",IFERROR(INDEX(Bookings!$K$5:$K$404,MATCH(B331,Bookings!$A$5:$A$404,0)),""))</f>
        <v>0</v>
      </c>
      <c r="K331" s="31">
        <f>IF(OR(I331="",J331=""),"",ROUND((J331-I331+IF(J331&lt;I331,1,0))*1440,0))</f>
        <v>0</v>
      </c>
      <c r="L331" s="49">
        <f>IF(OR(I331="",H331=""),"",IF(I331&lt;=H331+TIME(0,10,0),"On time","Late "&amp;TEXT((I331-H331)*1440,"0")&amp;" min"))</f>
        <v>0</v>
      </c>
      <c r="O331" s="31">
        <f>IF(OR(M331="",N331=""),"",ROUND((N331-M331+IF(N331&lt;M331,1,0))*1440,0))</f>
        <v>0</v>
      </c>
      <c r="AG331" s="28">
        <f>IF(C331="","",TEXT(C331,"yyyy-mm"))</f>
        <v>0</v>
      </c>
      <c r="AH331" s="28">
        <f>IF(B331="","",B331&amp;"|"&amp;COUNTIF($B$5:$B331,B331))</f>
        <v>0</v>
      </c>
      <c r="AI331" s="28">
        <f>IF(E331="","",E331&amp;"|"&amp;COUNTIF($E$5:$E331,E331))</f>
        <v>0</v>
      </c>
      <c r="AJ331" s="49">
        <f>IF(C331="","",IF(AE331="Missed","Missed visit - contact client",IF(Z331="Yes","Incident logged - follow up",IF(AND(AE331="Completed",AC331&lt;&gt;"Yes"),"Action - send client update",IF(AND(AE331="Completed",AD331&lt;&gt;"Yes"),"Check care checklist",IF(AND(C331&lt;TODAY(),AE331="Scheduled"),"Overdue - log the result","OK"))))))</f>
        <v>0</v>
      </c>
    </row>
    <row r="332" spans="1:36">
      <c r="A332" s="46">
        <f>IF(C332="","","VS-"&amp;TEXT(ROW()-4,"0000"))</f>
        <v>0</v>
      </c>
      <c r="D332" s="28">
        <f>IF(B332="","",IFERROR(INDEX(Bookings!$C$5:$C$404,MATCH(B332,Bookings!$A$5:$A$404,0)),""))</f>
        <v>0</v>
      </c>
      <c r="E332" s="28">
        <f>IF(B332="","",IFERROR(INDEX(Bookings!$E$5:$E$404,MATCH(B332,Bookings!$A$5:$A$404,0)),""))</f>
        <v>0</v>
      </c>
      <c r="F332" s="28">
        <f>IF(B332="","",IFERROR(INDEX(Bookings!$H$5:$H$404,MATCH(B332,Bookings!$A$5:$A$404,0)),""))</f>
        <v>0</v>
      </c>
      <c r="H332" s="53">
        <f>IF(B332="","",IFERROR(INDEX(Bookings!$K$5:$K$404,MATCH(B332,Bookings!$A$5:$A$404,0)),""))</f>
        <v>0</v>
      </c>
      <c r="K332" s="31">
        <f>IF(OR(I332="",J332=""),"",ROUND((J332-I332+IF(J332&lt;I332,1,0))*1440,0))</f>
        <v>0</v>
      </c>
      <c r="L332" s="49">
        <f>IF(OR(I332="",H332=""),"",IF(I332&lt;=H332+TIME(0,10,0),"On time","Late "&amp;TEXT((I332-H332)*1440,"0")&amp;" min"))</f>
        <v>0</v>
      </c>
      <c r="O332" s="31">
        <f>IF(OR(M332="",N332=""),"",ROUND((N332-M332+IF(N332&lt;M332,1,0))*1440,0))</f>
        <v>0</v>
      </c>
      <c r="AG332" s="28">
        <f>IF(C332="","",TEXT(C332,"yyyy-mm"))</f>
        <v>0</v>
      </c>
      <c r="AH332" s="28">
        <f>IF(B332="","",B332&amp;"|"&amp;COUNTIF($B$5:$B332,B332))</f>
        <v>0</v>
      </c>
      <c r="AI332" s="28">
        <f>IF(E332="","",E332&amp;"|"&amp;COUNTIF($E$5:$E332,E332))</f>
        <v>0</v>
      </c>
      <c r="AJ332" s="49">
        <f>IF(C332="","",IF(AE332="Missed","Missed visit - contact client",IF(Z332="Yes","Incident logged - follow up",IF(AND(AE332="Completed",AC332&lt;&gt;"Yes"),"Action - send client update",IF(AND(AE332="Completed",AD332&lt;&gt;"Yes"),"Check care checklist",IF(AND(C332&lt;TODAY(),AE332="Scheduled"),"Overdue - log the result","OK"))))))</f>
        <v>0</v>
      </c>
    </row>
    <row r="333" spans="1:36">
      <c r="A333" s="46">
        <f>IF(C333="","","VS-"&amp;TEXT(ROW()-4,"0000"))</f>
        <v>0</v>
      </c>
      <c r="D333" s="28">
        <f>IF(B333="","",IFERROR(INDEX(Bookings!$C$5:$C$404,MATCH(B333,Bookings!$A$5:$A$404,0)),""))</f>
        <v>0</v>
      </c>
      <c r="E333" s="28">
        <f>IF(B333="","",IFERROR(INDEX(Bookings!$E$5:$E$404,MATCH(B333,Bookings!$A$5:$A$404,0)),""))</f>
        <v>0</v>
      </c>
      <c r="F333" s="28">
        <f>IF(B333="","",IFERROR(INDEX(Bookings!$H$5:$H$404,MATCH(B333,Bookings!$A$5:$A$404,0)),""))</f>
        <v>0</v>
      </c>
      <c r="H333" s="53">
        <f>IF(B333="","",IFERROR(INDEX(Bookings!$K$5:$K$404,MATCH(B333,Bookings!$A$5:$A$404,0)),""))</f>
        <v>0</v>
      </c>
      <c r="K333" s="31">
        <f>IF(OR(I333="",J333=""),"",ROUND((J333-I333+IF(J333&lt;I333,1,0))*1440,0))</f>
        <v>0</v>
      </c>
      <c r="L333" s="49">
        <f>IF(OR(I333="",H333=""),"",IF(I333&lt;=H333+TIME(0,10,0),"On time","Late "&amp;TEXT((I333-H333)*1440,"0")&amp;" min"))</f>
        <v>0</v>
      </c>
      <c r="O333" s="31">
        <f>IF(OR(M333="",N333=""),"",ROUND((N333-M333+IF(N333&lt;M333,1,0))*1440,0))</f>
        <v>0</v>
      </c>
      <c r="AG333" s="28">
        <f>IF(C333="","",TEXT(C333,"yyyy-mm"))</f>
        <v>0</v>
      </c>
      <c r="AH333" s="28">
        <f>IF(B333="","",B333&amp;"|"&amp;COUNTIF($B$5:$B333,B333))</f>
        <v>0</v>
      </c>
      <c r="AI333" s="28">
        <f>IF(E333="","",E333&amp;"|"&amp;COUNTIF($E$5:$E333,E333))</f>
        <v>0</v>
      </c>
      <c r="AJ333" s="49">
        <f>IF(C333="","",IF(AE333="Missed","Missed visit - contact client",IF(Z333="Yes","Incident logged - follow up",IF(AND(AE333="Completed",AC333&lt;&gt;"Yes"),"Action - send client update",IF(AND(AE333="Completed",AD333&lt;&gt;"Yes"),"Check care checklist",IF(AND(C333&lt;TODAY(),AE333="Scheduled"),"Overdue - log the result","OK"))))))</f>
        <v>0</v>
      </c>
    </row>
    <row r="334" spans="1:36">
      <c r="A334" s="46">
        <f>IF(C334="","","VS-"&amp;TEXT(ROW()-4,"0000"))</f>
        <v>0</v>
      </c>
      <c r="D334" s="28">
        <f>IF(B334="","",IFERROR(INDEX(Bookings!$C$5:$C$404,MATCH(B334,Bookings!$A$5:$A$404,0)),""))</f>
        <v>0</v>
      </c>
      <c r="E334" s="28">
        <f>IF(B334="","",IFERROR(INDEX(Bookings!$E$5:$E$404,MATCH(B334,Bookings!$A$5:$A$404,0)),""))</f>
        <v>0</v>
      </c>
      <c r="F334" s="28">
        <f>IF(B334="","",IFERROR(INDEX(Bookings!$H$5:$H$404,MATCH(B334,Bookings!$A$5:$A$404,0)),""))</f>
        <v>0</v>
      </c>
      <c r="H334" s="53">
        <f>IF(B334="","",IFERROR(INDEX(Bookings!$K$5:$K$404,MATCH(B334,Bookings!$A$5:$A$404,0)),""))</f>
        <v>0</v>
      </c>
      <c r="K334" s="31">
        <f>IF(OR(I334="",J334=""),"",ROUND((J334-I334+IF(J334&lt;I334,1,0))*1440,0))</f>
        <v>0</v>
      </c>
      <c r="L334" s="49">
        <f>IF(OR(I334="",H334=""),"",IF(I334&lt;=H334+TIME(0,10,0),"On time","Late "&amp;TEXT((I334-H334)*1440,"0")&amp;" min"))</f>
        <v>0</v>
      </c>
      <c r="O334" s="31">
        <f>IF(OR(M334="",N334=""),"",ROUND((N334-M334+IF(N334&lt;M334,1,0))*1440,0))</f>
        <v>0</v>
      </c>
      <c r="AG334" s="28">
        <f>IF(C334="","",TEXT(C334,"yyyy-mm"))</f>
        <v>0</v>
      </c>
      <c r="AH334" s="28">
        <f>IF(B334="","",B334&amp;"|"&amp;COUNTIF($B$5:$B334,B334))</f>
        <v>0</v>
      </c>
      <c r="AI334" s="28">
        <f>IF(E334="","",E334&amp;"|"&amp;COUNTIF($E$5:$E334,E334))</f>
        <v>0</v>
      </c>
      <c r="AJ334" s="49">
        <f>IF(C334="","",IF(AE334="Missed","Missed visit - contact client",IF(Z334="Yes","Incident logged - follow up",IF(AND(AE334="Completed",AC334&lt;&gt;"Yes"),"Action - send client update",IF(AND(AE334="Completed",AD334&lt;&gt;"Yes"),"Check care checklist",IF(AND(C334&lt;TODAY(),AE334="Scheduled"),"Overdue - log the result","OK"))))))</f>
        <v>0</v>
      </c>
    </row>
    <row r="335" spans="1:36">
      <c r="A335" s="46">
        <f>IF(C335="","","VS-"&amp;TEXT(ROW()-4,"0000"))</f>
        <v>0</v>
      </c>
      <c r="D335" s="28">
        <f>IF(B335="","",IFERROR(INDEX(Bookings!$C$5:$C$404,MATCH(B335,Bookings!$A$5:$A$404,0)),""))</f>
        <v>0</v>
      </c>
      <c r="E335" s="28">
        <f>IF(B335="","",IFERROR(INDEX(Bookings!$E$5:$E$404,MATCH(B335,Bookings!$A$5:$A$404,0)),""))</f>
        <v>0</v>
      </c>
      <c r="F335" s="28">
        <f>IF(B335="","",IFERROR(INDEX(Bookings!$H$5:$H$404,MATCH(B335,Bookings!$A$5:$A$404,0)),""))</f>
        <v>0</v>
      </c>
      <c r="H335" s="53">
        <f>IF(B335="","",IFERROR(INDEX(Bookings!$K$5:$K$404,MATCH(B335,Bookings!$A$5:$A$404,0)),""))</f>
        <v>0</v>
      </c>
      <c r="K335" s="31">
        <f>IF(OR(I335="",J335=""),"",ROUND((J335-I335+IF(J335&lt;I335,1,0))*1440,0))</f>
        <v>0</v>
      </c>
      <c r="L335" s="49">
        <f>IF(OR(I335="",H335=""),"",IF(I335&lt;=H335+TIME(0,10,0),"On time","Late "&amp;TEXT((I335-H335)*1440,"0")&amp;" min"))</f>
        <v>0</v>
      </c>
      <c r="O335" s="31">
        <f>IF(OR(M335="",N335=""),"",ROUND((N335-M335+IF(N335&lt;M335,1,0))*1440,0))</f>
        <v>0</v>
      </c>
      <c r="AG335" s="28">
        <f>IF(C335="","",TEXT(C335,"yyyy-mm"))</f>
        <v>0</v>
      </c>
      <c r="AH335" s="28">
        <f>IF(B335="","",B335&amp;"|"&amp;COUNTIF($B$5:$B335,B335))</f>
        <v>0</v>
      </c>
      <c r="AI335" s="28">
        <f>IF(E335="","",E335&amp;"|"&amp;COUNTIF($E$5:$E335,E335))</f>
        <v>0</v>
      </c>
      <c r="AJ335" s="49">
        <f>IF(C335="","",IF(AE335="Missed","Missed visit - contact client",IF(Z335="Yes","Incident logged - follow up",IF(AND(AE335="Completed",AC335&lt;&gt;"Yes"),"Action - send client update",IF(AND(AE335="Completed",AD335&lt;&gt;"Yes"),"Check care checklist",IF(AND(C335&lt;TODAY(),AE335="Scheduled"),"Overdue - log the result","OK"))))))</f>
        <v>0</v>
      </c>
    </row>
    <row r="336" spans="1:36">
      <c r="A336" s="46">
        <f>IF(C336="","","VS-"&amp;TEXT(ROW()-4,"0000"))</f>
        <v>0</v>
      </c>
      <c r="D336" s="28">
        <f>IF(B336="","",IFERROR(INDEX(Bookings!$C$5:$C$404,MATCH(B336,Bookings!$A$5:$A$404,0)),""))</f>
        <v>0</v>
      </c>
      <c r="E336" s="28">
        <f>IF(B336="","",IFERROR(INDEX(Bookings!$E$5:$E$404,MATCH(B336,Bookings!$A$5:$A$404,0)),""))</f>
        <v>0</v>
      </c>
      <c r="F336" s="28">
        <f>IF(B336="","",IFERROR(INDEX(Bookings!$H$5:$H$404,MATCH(B336,Bookings!$A$5:$A$404,0)),""))</f>
        <v>0</v>
      </c>
      <c r="H336" s="53">
        <f>IF(B336="","",IFERROR(INDEX(Bookings!$K$5:$K$404,MATCH(B336,Bookings!$A$5:$A$404,0)),""))</f>
        <v>0</v>
      </c>
      <c r="K336" s="31">
        <f>IF(OR(I336="",J336=""),"",ROUND((J336-I336+IF(J336&lt;I336,1,0))*1440,0))</f>
        <v>0</v>
      </c>
      <c r="L336" s="49">
        <f>IF(OR(I336="",H336=""),"",IF(I336&lt;=H336+TIME(0,10,0),"On time","Late "&amp;TEXT((I336-H336)*1440,"0")&amp;" min"))</f>
        <v>0</v>
      </c>
      <c r="O336" s="31">
        <f>IF(OR(M336="",N336=""),"",ROUND((N336-M336+IF(N336&lt;M336,1,0))*1440,0))</f>
        <v>0</v>
      </c>
      <c r="AG336" s="28">
        <f>IF(C336="","",TEXT(C336,"yyyy-mm"))</f>
        <v>0</v>
      </c>
      <c r="AH336" s="28">
        <f>IF(B336="","",B336&amp;"|"&amp;COUNTIF($B$5:$B336,B336))</f>
        <v>0</v>
      </c>
      <c r="AI336" s="28">
        <f>IF(E336="","",E336&amp;"|"&amp;COUNTIF($E$5:$E336,E336))</f>
        <v>0</v>
      </c>
      <c r="AJ336" s="49">
        <f>IF(C336="","",IF(AE336="Missed","Missed visit - contact client",IF(Z336="Yes","Incident logged - follow up",IF(AND(AE336="Completed",AC336&lt;&gt;"Yes"),"Action - send client update",IF(AND(AE336="Completed",AD336&lt;&gt;"Yes"),"Check care checklist",IF(AND(C336&lt;TODAY(),AE336="Scheduled"),"Overdue - log the result","OK"))))))</f>
        <v>0</v>
      </c>
    </row>
    <row r="337" spans="1:36">
      <c r="A337" s="46">
        <f>IF(C337="","","VS-"&amp;TEXT(ROW()-4,"0000"))</f>
        <v>0</v>
      </c>
      <c r="D337" s="28">
        <f>IF(B337="","",IFERROR(INDEX(Bookings!$C$5:$C$404,MATCH(B337,Bookings!$A$5:$A$404,0)),""))</f>
        <v>0</v>
      </c>
      <c r="E337" s="28">
        <f>IF(B337="","",IFERROR(INDEX(Bookings!$E$5:$E$404,MATCH(B337,Bookings!$A$5:$A$404,0)),""))</f>
        <v>0</v>
      </c>
      <c r="F337" s="28">
        <f>IF(B337="","",IFERROR(INDEX(Bookings!$H$5:$H$404,MATCH(B337,Bookings!$A$5:$A$404,0)),""))</f>
        <v>0</v>
      </c>
      <c r="H337" s="53">
        <f>IF(B337="","",IFERROR(INDEX(Bookings!$K$5:$K$404,MATCH(B337,Bookings!$A$5:$A$404,0)),""))</f>
        <v>0</v>
      </c>
      <c r="K337" s="31">
        <f>IF(OR(I337="",J337=""),"",ROUND((J337-I337+IF(J337&lt;I337,1,0))*1440,0))</f>
        <v>0</v>
      </c>
      <c r="L337" s="49">
        <f>IF(OR(I337="",H337=""),"",IF(I337&lt;=H337+TIME(0,10,0),"On time","Late "&amp;TEXT((I337-H337)*1440,"0")&amp;" min"))</f>
        <v>0</v>
      </c>
      <c r="O337" s="31">
        <f>IF(OR(M337="",N337=""),"",ROUND((N337-M337+IF(N337&lt;M337,1,0))*1440,0))</f>
        <v>0</v>
      </c>
      <c r="AG337" s="28">
        <f>IF(C337="","",TEXT(C337,"yyyy-mm"))</f>
        <v>0</v>
      </c>
      <c r="AH337" s="28">
        <f>IF(B337="","",B337&amp;"|"&amp;COUNTIF($B$5:$B337,B337))</f>
        <v>0</v>
      </c>
      <c r="AI337" s="28">
        <f>IF(E337="","",E337&amp;"|"&amp;COUNTIF($E$5:$E337,E337))</f>
        <v>0</v>
      </c>
      <c r="AJ337" s="49">
        <f>IF(C337="","",IF(AE337="Missed","Missed visit - contact client",IF(Z337="Yes","Incident logged - follow up",IF(AND(AE337="Completed",AC337&lt;&gt;"Yes"),"Action - send client update",IF(AND(AE337="Completed",AD337&lt;&gt;"Yes"),"Check care checklist",IF(AND(C337&lt;TODAY(),AE337="Scheduled"),"Overdue - log the result","OK"))))))</f>
        <v>0</v>
      </c>
    </row>
    <row r="338" spans="1:36">
      <c r="A338" s="46">
        <f>IF(C338="","","VS-"&amp;TEXT(ROW()-4,"0000"))</f>
        <v>0</v>
      </c>
      <c r="D338" s="28">
        <f>IF(B338="","",IFERROR(INDEX(Bookings!$C$5:$C$404,MATCH(B338,Bookings!$A$5:$A$404,0)),""))</f>
        <v>0</v>
      </c>
      <c r="E338" s="28">
        <f>IF(B338="","",IFERROR(INDEX(Bookings!$E$5:$E$404,MATCH(B338,Bookings!$A$5:$A$404,0)),""))</f>
        <v>0</v>
      </c>
      <c r="F338" s="28">
        <f>IF(B338="","",IFERROR(INDEX(Bookings!$H$5:$H$404,MATCH(B338,Bookings!$A$5:$A$404,0)),""))</f>
        <v>0</v>
      </c>
      <c r="H338" s="53">
        <f>IF(B338="","",IFERROR(INDEX(Bookings!$K$5:$K$404,MATCH(B338,Bookings!$A$5:$A$404,0)),""))</f>
        <v>0</v>
      </c>
      <c r="K338" s="31">
        <f>IF(OR(I338="",J338=""),"",ROUND((J338-I338+IF(J338&lt;I338,1,0))*1440,0))</f>
        <v>0</v>
      </c>
      <c r="L338" s="49">
        <f>IF(OR(I338="",H338=""),"",IF(I338&lt;=H338+TIME(0,10,0),"On time","Late "&amp;TEXT((I338-H338)*1440,"0")&amp;" min"))</f>
        <v>0</v>
      </c>
      <c r="O338" s="31">
        <f>IF(OR(M338="",N338=""),"",ROUND((N338-M338+IF(N338&lt;M338,1,0))*1440,0))</f>
        <v>0</v>
      </c>
      <c r="AG338" s="28">
        <f>IF(C338="","",TEXT(C338,"yyyy-mm"))</f>
        <v>0</v>
      </c>
      <c r="AH338" s="28">
        <f>IF(B338="","",B338&amp;"|"&amp;COUNTIF($B$5:$B338,B338))</f>
        <v>0</v>
      </c>
      <c r="AI338" s="28">
        <f>IF(E338="","",E338&amp;"|"&amp;COUNTIF($E$5:$E338,E338))</f>
        <v>0</v>
      </c>
      <c r="AJ338" s="49">
        <f>IF(C338="","",IF(AE338="Missed","Missed visit - contact client",IF(Z338="Yes","Incident logged - follow up",IF(AND(AE338="Completed",AC338&lt;&gt;"Yes"),"Action - send client update",IF(AND(AE338="Completed",AD338&lt;&gt;"Yes"),"Check care checklist",IF(AND(C338&lt;TODAY(),AE338="Scheduled"),"Overdue - log the result","OK"))))))</f>
        <v>0</v>
      </c>
    </row>
    <row r="339" spans="1:36">
      <c r="A339" s="46">
        <f>IF(C339="","","VS-"&amp;TEXT(ROW()-4,"0000"))</f>
        <v>0</v>
      </c>
      <c r="D339" s="28">
        <f>IF(B339="","",IFERROR(INDEX(Bookings!$C$5:$C$404,MATCH(B339,Bookings!$A$5:$A$404,0)),""))</f>
        <v>0</v>
      </c>
      <c r="E339" s="28">
        <f>IF(B339="","",IFERROR(INDEX(Bookings!$E$5:$E$404,MATCH(B339,Bookings!$A$5:$A$404,0)),""))</f>
        <v>0</v>
      </c>
      <c r="F339" s="28">
        <f>IF(B339="","",IFERROR(INDEX(Bookings!$H$5:$H$404,MATCH(B339,Bookings!$A$5:$A$404,0)),""))</f>
        <v>0</v>
      </c>
      <c r="H339" s="53">
        <f>IF(B339="","",IFERROR(INDEX(Bookings!$K$5:$K$404,MATCH(B339,Bookings!$A$5:$A$404,0)),""))</f>
        <v>0</v>
      </c>
      <c r="K339" s="31">
        <f>IF(OR(I339="",J339=""),"",ROUND((J339-I339+IF(J339&lt;I339,1,0))*1440,0))</f>
        <v>0</v>
      </c>
      <c r="L339" s="49">
        <f>IF(OR(I339="",H339=""),"",IF(I339&lt;=H339+TIME(0,10,0),"On time","Late "&amp;TEXT((I339-H339)*1440,"0")&amp;" min"))</f>
        <v>0</v>
      </c>
      <c r="O339" s="31">
        <f>IF(OR(M339="",N339=""),"",ROUND((N339-M339+IF(N339&lt;M339,1,0))*1440,0))</f>
        <v>0</v>
      </c>
      <c r="AG339" s="28">
        <f>IF(C339="","",TEXT(C339,"yyyy-mm"))</f>
        <v>0</v>
      </c>
      <c r="AH339" s="28">
        <f>IF(B339="","",B339&amp;"|"&amp;COUNTIF($B$5:$B339,B339))</f>
        <v>0</v>
      </c>
      <c r="AI339" s="28">
        <f>IF(E339="","",E339&amp;"|"&amp;COUNTIF($E$5:$E339,E339))</f>
        <v>0</v>
      </c>
      <c r="AJ339" s="49">
        <f>IF(C339="","",IF(AE339="Missed","Missed visit - contact client",IF(Z339="Yes","Incident logged - follow up",IF(AND(AE339="Completed",AC339&lt;&gt;"Yes"),"Action - send client update",IF(AND(AE339="Completed",AD339&lt;&gt;"Yes"),"Check care checklist",IF(AND(C339&lt;TODAY(),AE339="Scheduled"),"Overdue - log the result","OK"))))))</f>
        <v>0</v>
      </c>
    </row>
    <row r="340" spans="1:36">
      <c r="A340" s="46">
        <f>IF(C340="","","VS-"&amp;TEXT(ROW()-4,"0000"))</f>
        <v>0</v>
      </c>
      <c r="D340" s="28">
        <f>IF(B340="","",IFERROR(INDEX(Bookings!$C$5:$C$404,MATCH(B340,Bookings!$A$5:$A$404,0)),""))</f>
        <v>0</v>
      </c>
      <c r="E340" s="28">
        <f>IF(B340="","",IFERROR(INDEX(Bookings!$E$5:$E$404,MATCH(B340,Bookings!$A$5:$A$404,0)),""))</f>
        <v>0</v>
      </c>
      <c r="F340" s="28">
        <f>IF(B340="","",IFERROR(INDEX(Bookings!$H$5:$H$404,MATCH(B340,Bookings!$A$5:$A$404,0)),""))</f>
        <v>0</v>
      </c>
      <c r="H340" s="53">
        <f>IF(B340="","",IFERROR(INDEX(Bookings!$K$5:$K$404,MATCH(B340,Bookings!$A$5:$A$404,0)),""))</f>
        <v>0</v>
      </c>
      <c r="K340" s="31">
        <f>IF(OR(I340="",J340=""),"",ROUND((J340-I340+IF(J340&lt;I340,1,0))*1440,0))</f>
        <v>0</v>
      </c>
      <c r="L340" s="49">
        <f>IF(OR(I340="",H340=""),"",IF(I340&lt;=H340+TIME(0,10,0),"On time","Late "&amp;TEXT((I340-H340)*1440,"0")&amp;" min"))</f>
        <v>0</v>
      </c>
      <c r="O340" s="31">
        <f>IF(OR(M340="",N340=""),"",ROUND((N340-M340+IF(N340&lt;M340,1,0))*1440,0))</f>
        <v>0</v>
      </c>
      <c r="AG340" s="28">
        <f>IF(C340="","",TEXT(C340,"yyyy-mm"))</f>
        <v>0</v>
      </c>
      <c r="AH340" s="28">
        <f>IF(B340="","",B340&amp;"|"&amp;COUNTIF($B$5:$B340,B340))</f>
        <v>0</v>
      </c>
      <c r="AI340" s="28">
        <f>IF(E340="","",E340&amp;"|"&amp;COUNTIF($E$5:$E340,E340))</f>
        <v>0</v>
      </c>
      <c r="AJ340" s="49">
        <f>IF(C340="","",IF(AE340="Missed","Missed visit - contact client",IF(Z340="Yes","Incident logged - follow up",IF(AND(AE340="Completed",AC340&lt;&gt;"Yes"),"Action - send client update",IF(AND(AE340="Completed",AD340&lt;&gt;"Yes"),"Check care checklist",IF(AND(C340&lt;TODAY(),AE340="Scheduled"),"Overdue - log the result","OK"))))))</f>
        <v>0</v>
      </c>
    </row>
    <row r="341" spans="1:36">
      <c r="A341" s="46">
        <f>IF(C341="","","VS-"&amp;TEXT(ROW()-4,"0000"))</f>
        <v>0</v>
      </c>
      <c r="D341" s="28">
        <f>IF(B341="","",IFERROR(INDEX(Bookings!$C$5:$C$404,MATCH(B341,Bookings!$A$5:$A$404,0)),""))</f>
        <v>0</v>
      </c>
      <c r="E341" s="28">
        <f>IF(B341="","",IFERROR(INDEX(Bookings!$E$5:$E$404,MATCH(B341,Bookings!$A$5:$A$404,0)),""))</f>
        <v>0</v>
      </c>
      <c r="F341" s="28">
        <f>IF(B341="","",IFERROR(INDEX(Bookings!$H$5:$H$404,MATCH(B341,Bookings!$A$5:$A$404,0)),""))</f>
        <v>0</v>
      </c>
      <c r="H341" s="53">
        <f>IF(B341="","",IFERROR(INDEX(Bookings!$K$5:$K$404,MATCH(B341,Bookings!$A$5:$A$404,0)),""))</f>
        <v>0</v>
      </c>
      <c r="K341" s="31">
        <f>IF(OR(I341="",J341=""),"",ROUND((J341-I341+IF(J341&lt;I341,1,0))*1440,0))</f>
        <v>0</v>
      </c>
      <c r="L341" s="49">
        <f>IF(OR(I341="",H341=""),"",IF(I341&lt;=H341+TIME(0,10,0),"On time","Late "&amp;TEXT((I341-H341)*1440,"0")&amp;" min"))</f>
        <v>0</v>
      </c>
      <c r="O341" s="31">
        <f>IF(OR(M341="",N341=""),"",ROUND((N341-M341+IF(N341&lt;M341,1,0))*1440,0))</f>
        <v>0</v>
      </c>
      <c r="AG341" s="28">
        <f>IF(C341="","",TEXT(C341,"yyyy-mm"))</f>
        <v>0</v>
      </c>
      <c r="AH341" s="28">
        <f>IF(B341="","",B341&amp;"|"&amp;COUNTIF($B$5:$B341,B341))</f>
        <v>0</v>
      </c>
      <c r="AI341" s="28">
        <f>IF(E341="","",E341&amp;"|"&amp;COUNTIF($E$5:$E341,E341))</f>
        <v>0</v>
      </c>
      <c r="AJ341" s="49">
        <f>IF(C341="","",IF(AE341="Missed","Missed visit - contact client",IF(Z341="Yes","Incident logged - follow up",IF(AND(AE341="Completed",AC341&lt;&gt;"Yes"),"Action - send client update",IF(AND(AE341="Completed",AD341&lt;&gt;"Yes"),"Check care checklist",IF(AND(C341&lt;TODAY(),AE341="Scheduled"),"Overdue - log the result","OK"))))))</f>
        <v>0</v>
      </c>
    </row>
    <row r="342" spans="1:36">
      <c r="A342" s="46">
        <f>IF(C342="","","VS-"&amp;TEXT(ROW()-4,"0000"))</f>
        <v>0</v>
      </c>
      <c r="D342" s="28">
        <f>IF(B342="","",IFERROR(INDEX(Bookings!$C$5:$C$404,MATCH(B342,Bookings!$A$5:$A$404,0)),""))</f>
        <v>0</v>
      </c>
      <c r="E342" s="28">
        <f>IF(B342="","",IFERROR(INDEX(Bookings!$E$5:$E$404,MATCH(B342,Bookings!$A$5:$A$404,0)),""))</f>
        <v>0</v>
      </c>
      <c r="F342" s="28">
        <f>IF(B342="","",IFERROR(INDEX(Bookings!$H$5:$H$404,MATCH(B342,Bookings!$A$5:$A$404,0)),""))</f>
        <v>0</v>
      </c>
      <c r="H342" s="53">
        <f>IF(B342="","",IFERROR(INDEX(Bookings!$K$5:$K$404,MATCH(B342,Bookings!$A$5:$A$404,0)),""))</f>
        <v>0</v>
      </c>
      <c r="K342" s="31">
        <f>IF(OR(I342="",J342=""),"",ROUND((J342-I342+IF(J342&lt;I342,1,0))*1440,0))</f>
        <v>0</v>
      </c>
      <c r="L342" s="49">
        <f>IF(OR(I342="",H342=""),"",IF(I342&lt;=H342+TIME(0,10,0),"On time","Late "&amp;TEXT((I342-H342)*1440,"0")&amp;" min"))</f>
        <v>0</v>
      </c>
      <c r="O342" s="31">
        <f>IF(OR(M342="",N342=""),"",ROUND((N342-M342+IF(N342&lt;M342,1,0))*1440,0))</f>
        <v>0</v>
      </c>
      <c r="AG342" s="28">
        <f>IF(C342="","",TEXT(C342,"yyyy-mm"))</f>
        <v>0</v>
      </c>
      <c r="AH342" s="28">
        <f>IF(B342="","",B342&amp;"|"&amp;COUNTIF($B$5:$B342,B342))</f>
        <v>0</v>
      </c>
      <c r="AI342" s="28">
        <f>IF(E342="","",E342&amp;"|"&amp;COUNTIF($E$5:$E342,E342))</f>
        <v>0</v>
      </c>
      <c r="AJ342" s="49">
        <f>IF(C342="","",IF(AE342="Missed","Missed visit - contact client",IF(Z342="Yes","Incident logged - follow up",IF(AND(AE342="Completed",AC342&lt;&gt;"Yes"),"Action - send client update",IF(AND(AE342="Completed",AD342&lt;&gt;"Yes"),"Check care checklist",IF(AND(C342&lt;TODAY(),AE342="Scheduled"),"Overdue - log the result","OK"))))))</f>
        <v>0</v>
      </c>
    </row>
    <row r="343" spans="1:36">
      <c r="A343" s="46">
        <f>IF(C343="","","VS-"&amp;TEXT(ROW()-4,"0000"))</f>
        <v>0</v>
      </c>
      <c r="D343" s="28">
        <f>IF(B343="","",IFERROR(INDEX(Bookings!$C$5:$C$404,MATCH(B343,Bookings!$A$5:$A$404,0)),""))</f>
        <v>0</v>
      </c>
      <c r="E343" s="28">
        <f>IF(B343="","",IFERROR(INDEX(Bookings!$E$5:$E$404,MATCH(B343,Bookings!$A$5:$A$404,0)),""))</f>
        <v>0</v>
      </c>
      <c r="F343" s="28">
        <f>IF(B343="","",IFERROR(INDEX(Bookings!$H$5:$H$404,MATCH(B343,Bookings!$A$5:$A$404,0)),""))</f>
        <v>0</v>
      </c>
      <c r="H343" s="53">
        <f>IF(B343="","",IFERROR(INDEX(Bookings!$K$5:$K$404,MATCH(B343,Bookings!$A$5:$A$404,0)),""))</f>
        <v>0</v>
      </c>
      <c r="K343" s="31">
        <f>IF(OR(I343="",J343=""),"",ROUND((J343-I343+IF(J343&lt;I343,1,0))*1440,0))</f>
        <v>0</v>
      </c>
      <c r="L343" s="49">
        <f>IF(OR(I343="",H343=""),"",IF(I343&lt;=H343+TIME(0,10,0),"On time","Late "&amp;TEXT((I343-H343)*1440,"0")&amp;" min"))</f>
        <v>0</v>
      </c>
      <c r="O343" s="31">
        <f>IF(OR(M343="",N343=""),"",ROUND((N343-M343+IF(N343&lt;M343,1,0))*1440,0))</f>
        <v>0</v>
      </c>
      <c r="AG343" s="28">
        <f>IF(C343="","",TEXT(C343,"yyyy-mm"))</f>
        <v>0</v>
      </c>
      <c r="AH343" s="28">
        <f>IF(B343="","",B343&amp;"|"&amp;COUNTIF($B$5:$B343,B343))</f>
        <v>0</v>
      </c>
      <c r="AI343" s="28">
        <f>IF(E343="","",E343&amp;"|"&amp;COUNTIF($E$5:$E343,E343))</f>
        <v>0</v>
      </c>
      <c r="AJ343" s="49">
        <f>IF(C343="","",IF(AE343="Missed","Missed visit - contact client",IF(Z343="Yes","Incident logged - follow up",IF(AND(AE343="Completed",AC343&lt;&gt;"Yes"),"Action - send client update",IF(AND(AE343="Completed",AD343&lt;&gt;"Yes"),"Check care checklist",IF(AND(C343&lt;TODAY(),AE343="Scheduled"),"Overdue - log the result","OK"))))))</f>
        <v>0</v>
      </c>
    </row>
    <row r="344" spans="1:36">
      <c r="A344" s="46">
        <f>IF(C344="","","VS-"&amp;TEXT(ROW()-4,"0000"))</f>
        <v>0</v>
      </c>
      <c r="D344" s="28">
        <f>IF(B344="","",IFERROR(INDEX(Bookings!$C$5:$C$404,MATCH(B344,Bookings!$A$5:$A$404,0)),""))</f>
        <v>0</v>
      </c>
      <c r="E344" s="28">
        <f>IF(B344="","",IFERROR(INDEX(Bookings!$E$5:$E$404,MATCH(B344,Bookings!$A$5:$A$404,0)),""))</f>
        <v>0</v>
      </c>
      <c r="F344" s="28">
        <f>IF(B344="","",IFERROR(INDEX(Bookings!$H$5:$H$404,MATCH(B344,Bookings!$A$5:$A$404,0)),""))</f>
        <v>0</v>
      </c>
      <c r="H344" s="53">
        <f>IF(B344="","",IFERROR(INDEX(Bookings!$K$5:$K$404,MATCH(B344,Bookings!$A$5:$A$404,0)),""))</f>
        <v>0</v>
      </c>
      <c r="K344" s="31">
        <f>IF(OR(I344="",J344=""),"",ROUND((J344-I344+IF(J344&lt;I344,1,0))*1440,0))</f>
        <v>0</v>
      </c>
      <c r="L344" s="49">
        <f>IF(OR(I344="",H344=""),"",IF(I344&lt;=H344+TIME(0,10,0),"On time","Late "&amp;TEXT((I344-H344)*1440,"0")&amp;" min"))</f>
        <v>0</v>
      </c>
      <c r="O344" s="31">
        <f>IF(OR(M344="",N344=""),"",ROUND((N344-M344+IF(N344&lt;M344,1,0))*1440,0))</f>
        <v>0</v>
      </c>
      <c r="AG344" s="28">
        <f>IF(C344="","",TEXT(C344,"yyyy-mm"))</f>
        <v>0</v>
      </c>
      <c r="AH344" s="28">
        <f>IF(B344="","",B344&amp;"|"&amp;COUNTIF($B$5:$B344,B344))</f>
        <v>0</v>
      </c>
      <c r="AI344" s="28">
        <f>IF(E344="","",E344&amp;"|"&amp;COUNTIF($E$5:$E344,E344))</f>
        <v>0</v>
      </c>
      <c r="AJ344" s="49">
        <f>IF(C344="","",IF(AE344="Missed","Missed visit - contact client",IF(Z344="Yes","Incident logged - follow up",IF(AND(AE344="Completed",AC344&lt;&gt;"Yes"),"Action - send client update",IF(AND(AE344="Completed",AD344&lt;&gt;"Yes"),"Check care checklist",IF(AND(C344&lt;TODAY(),AE344="Scheduled"),"Overdue - log the result","OK"))))))</f>
        <v>0</v>
      </c>
    </row>
    <row r="345" spans="1:36">
      <c r="A345" s="46">
        <f>IF(C345="","","VS-"&amp;TEXT(ROW()-4,"0000"))</f>
        <v>0</v>
      </c>
      <c r="D345" s="28">
        <f>IF(B345="","",IFERROR(INDEX(Bookings!$C$5:$C$404,MATCH(B345,Bookings!$A$5:$A$404,0)),""))</f>
        <v>0</v>
      </c>
      <c r="E345" s="28">
        <f>IF(B345="","",IFERROR(INDEX(Bookings!$E$5:$E$404,MATCH(B345,Bookings!$A$5:$A$404,0)),""))</f>
        <v>0</v>
      </c>
      <c r="F345" s="28">
        <f>IF(B345="","",IFERROR(INDEX(Bookings!$H$5:$H$404,MATCH(B345,Bookings!$A$5:$A$404,0)),""))</f>
        <v>0</v>
      </c>
      <c r="H345" s="53">
        <f>IF(B345="","",IFERROR(INDEX(Bookings!$K$5:$K$404,MATCH(B345,Bookings!$A$5:$A$404,0)),""))</f>
        <v>0</v>
      </c>
      <c r="K345" s="31">
        <f>IF(OR(I345="",J345=""),"",ROUND((J345-I345+IF(J345&lt;I345,1,0))*1440,0))</f>
        <v>0</v>
      </c>
      <c r="L345" s="49">
        <f>IF(OR(I345="",H345=""),"",IF(I345&lt;=H345+TIME(0,10,0),"On time","Late "&amp;TEXT((I345-H345)*1440,"0")&amp;" min"))</f>
        <v>0</v>
      </c>
      <c r="O345" s="31">
        <f>IF(OR(M345="",N345=""),"",ROUND((N345-M345+IF(N345&lt;M345,1,0))*1440,0))</f>
        <v>0</v>
      </c>
      <c r="AG345" s="28">
        <f>IF(C345="","",TEXT(C345,"yyyy-mm"))</f>
        <v>0</v>
      </c>
      <c r="AH345" s="28">
        <f>IF(B345="","",B345&amp;"|"&amp;COUNTIF($B$5:$B345,B345))</f>
        <v>0</v>
      </c>
      <c r="AI345" s="28">
        <f>IF(E345="","",E345&amp;"|"&amp;COUNTIF($E$5:$E345,E345))</f>
        <v>0</v>
      </c>
      <c r="AJ345" s="49">
        <f>IF(C345="","",IF(AE345="Missed","Missed visit - contact client",IF(Z345="Yes","Incident logged - follow up",IF(AND(AE345="Completed",AC345&lt;&gt;"Yes"),"Action - send client update",IF(AND(AE345="Completed",AD345&lt;&gt;"Yes"),"Check care checklist",IF(AND(C345&lt;TODAY(),AE345="Scheduled"),"Overdue - log the result","OK"))))))</f>
        <v>0</v>
      </c>
    </row>
    <row r="346" spans="1:36">
      <c r="A346" s="46">
        <f>IF(C346="","","VS-"&amp;TEXT(ROW()-4,"0000"))</f>
        <v>0</v>
      </c>
      <c r="D346" s="28">
        <f>IF(B346="","",IFERROR(INDEX(Bookings!$C$5:$C$404,MATCH(B346,Bookings!$A$5:$A$404,0)),""))</f>
        <v>0</v>
      </c>
      <c r="E346" s="28">
        <f>IF(B346="","",IFERROR(INDEX(Bookings!$E$5:$E$404,MATCH(B346,Bookings!$A$5:$A$404,0)),""))</f>
        <v>0</v>
      </c>
      <c r="F346" s="28">
        <f>IF(B346="","",IFERROR(INDEX(Bookings!$H$5:$H$404,MATCH(B346,Bookings!$A$5:$A$404,0)),""))</f>
        <v>0</v>
      </c>
      <c r="H346" s="53">
        <f>IF(B346="","",IFERROR(INDEX(Bookings!$K$5:$K$404,MATCH(B346,Bookings!$A$5:$A$404,0)),""))</f>
        <v>0</v>
      </c>
      <c r="K346" s="31">
        <f>IF(OR(I346="",J346=""),"",ROUND((J346-I346+IF(J346&lt;I346,1,0))*1440,0))</f>
        <v>0</v>
      </c>
      <c r="L346" s="49">
        <f>IF(OR(I346="",H346=""),"",IF(I346&lt;=H346+TIME(0,10,0),"On time","Late "&amp;TEXT((I346-H346)*1440,"0")&amp;" min"))</f>
        <v>0</v>
      </c>
      <c r="O346" s="31">
        <f>IF(OR(M346="",N346=""),"",ROUND((N346-M346+IF(N346&lt;M346,1,0))*1440,0))</f>
        <v>0</v>
      </c>
      <c r="AG346" s="28">
        <f>IF(C346="","",TEXT(C346,"yyyy-mm"))</f>
        <v>0</v>
      </c>
      <c r="AH346" s="28">
        <f>IF(B346="","",B346&amp;"|"&amp;COUNTIF($B$5:$B346,B346))</f>
        <v>0</v>
      </c>
      <c r="AI346" s="28">
        <f>IF(E346="","",E346&amp;"|"&amp;COUNTIF($E$5:$E346,E346))</f>
        <v>0</v>
      </c>
      <c r="AJ346" s="49">
        <f>IF(C346="","",IF(AE346="Missed","Missed visit - contact client",IF(Z346="Yes","Incident logged - follow up",IF(AND(AE346="Completed",AC346&lt;&gt;"Yes"),"Action - send client update",IF(AND(AE346="Completed",AD346&lt;&gt;"Yes"),"Check care checklist",IF(AND(C346&lt;TODAY(),AE346="Scheduled"),"Overdue - log the result","OK"))))))</f>
        <v>0</v>
      </c>
    </row>
    <row r="347" spans="1:36">
      <c r="A347" s="46">
        <f>IF(C347="","","VS-"&amp;TEXT(ROW()-4,"0000"))</f>
        <v>0</v>
      </c>
      <c r="D347" s="28">
        <f>IF(B347="","",IFERROR(INDEX(Bookings!$C$5:$C$404,MATCH(B347,Bookings!$A$5:$A$404,0)),""))</f>
        <v>0</v>
      </c>
      <c r="E347" s="28">
        <f>IF(B347="","",IFERROR(INDEX(Bookings!$E$5:$E$404,MATCH(B347,Bookings!$A$5:$A$404,0)),""))</f>
        <v>0</v>
      </c>
      <c r="F347" s="28">
        <f>IF(B347="","",IFERROR(INDEX(Bookings!$H$5:$H$404,MATCH(B347,Bookings!$A$5:$A$404,0)),""))</f>
        <v>0</v>
      </c>
      <c r="H347" s="53">
        <f>IF(B347="","",IFERROR(INDEX(Bookings!$K$5:$K$404,MATCH(B347,Bookings!$A$5:$A$404,0)),""))</f>
        <v>0</v>
      </c>
      <c r="K347" s="31">
        <f>IF(OR(I347="",J347=""),"",ROUND((J347-I347+IF(J347&lt;I347,1,0))*1440,0))</f>
        <v>0</v>
      </c>
      <c r="L347" s="49">
        <f>IF(OR(I347="",H347=""),"",IF(I347&lt;=H347+TIME(0,10,0),"On time","Late "&amp;TEXT((I347-H347)*1440,"0")&amp;" min"))</f>
        <v>0</v>
      </c>
      <c r="O347" s="31">
        <f>IF(OR(M347="",N347=""),"",ROUND((N347-M347+IF(N347&lt;M347,1,0))*1440,0))</f>
        <v>0</v>
      </c>
      <c r="AG347" s="28">
        <f>IF(C347="","",TEXT(C347,"yyyy-mm"))</f>
        <v>0</v>
      </c>
      <c r="AH347" s="28">
        <f>IF(B347="","",B347&amp;"|"&amp;COUNTIF($B$5:$B347,B347))</f>
        <v>0</v>
      </c>
      <c r="AI347" s="28">
        <f>IF(E347="","",E347&amp;"|"&amp;COUNTIF($E$5:$E347,E347))</f>
        <v>0</v>
      </c>
      <c r="AJ347" s="49">
        <f>IF(C347="","",IF(AE347="Missed","Missed visit - contact client",IF(Z347="Yes","Incident logged - follow up",IF(AND(AE347="Completed",AC347&lt;&gt;"Yes"),"Action - send client update",IF(AND(AE347="Completed",AD347&lt;&gt;"Yes"),"Check care checklist",IF(AND(C347&lt;TODAY(),AE347="Scheduled"),"Overdue - log the result","OK"))))))</f>
        <v>0</v>
      </c>
    </row>
    <row r="348" spans="1:36">
      <c r="A348" s="46">
        <f>IF(C348="","","VS-"&amp;TEXT(ROW()-4,"0000"))</f>
        <v>0</v>
      </c>
      <c r="D348" s="28">
        <f>IF(B348="","",IFERROR(INDEX(Bookings!$C$5:$C$404,MATCH(B348,Bookings!$A$5:$A$404,0)),""))</f>
        <v>0</v>
      </c>
      <c r="E348" s="28">
        <f>IF(B348="","",IFERROR(INDEX(Bookings!$E$5:$E$404,MATCH(B348,Bookings!$A$5:$A$404,0)),""))</f>
        <v>0</v>
      </c>
      <c r="F348" s="28">
        <f>IF(B348="","",IFERROR(INDEX(Bookings!$H$5:$H$404,MATCH(B348,Bookings!$A$5:$A$404,0)),""))</f>
        <v>0</v>
      </c>
      <c r="H348" s="53">
        <f>IF(B348="","",IFERROR(INDEX(Bookings!$K$5:$K$404,MATCH(B348,Bookings!$A$5:$A$404,0)),""))</f>
        <v>0</v>
      </c>
      <c r="K348" s="31">
        <f>IF(OR(I348="",J348=""),"",ROUND((J348-I348+IF(J348&lt;I348,1,0))*1440,0))</f>
        <v>0</v>
      </c>
      <c r="L348" s="49">
        <f>IF(OR(I348="",H348=""),"",IF(I348&lt;=H348+TIME(0,10,0),"On time","Late "&amp;TEXT((I348-H348)*1440,"0")&amp;" min"))</f>
        <v>0</v>
      </c>
      <c r="O348" s="31">
        <f>IF(OR(M348="",N348=""),"",ROUND((N348-M348+IF(N348&lt;M348,1,0))*1440,0))</f>
        <v>0</v>
      </c>
      <c r="AG348" s="28">
        <f>IF(C348="","",TEXT(C348,"yyyy-mm"))</f>
        <v>0</v>
      </c>
      <c r="AH348" s="28">
        <f>IF(B348="","",B348&amp;"|"&amp;COUNTIF($B$5:$B348,B348))</f>
        <v>0</v>
      </c>
      <c r="AI348" s="28">
        <f>IF(E348="","",E348&amp;"|"&amp;COUNTIF($E$5:$E348,E348))</f>
        <v>0</v>
      </c>
      <c r="AJ348" s="49">
        <f>IF(C348="","",IF(AE348="Missed","Missed visit - contact client",IF(Z348="Yes","Incident logged - follow up",IF(AND(AE348="Completed",AC348&lt;&gt;"Yes"),"Action - send client update",IF(AND(AE348="Completed",AD348&lt;&gt;"Yes"),"Check care checklist",IF(AND(C348&lt;TODAY(),AE348="Scheduled"),"Overdue - log the result","OK"))))))</f>
        <v>0</v>
      </c>
    </row>
    <row r="349" spans="1:36">
      <c r="A349" s="46">
        <f>IF(C349="","","VS-"&amp;TEXT(ROW()-4,"0000"))</f>
        <v>0</v>
      </c>
      <c r="D349" s="28">
        <f>IF(B349="","",IFERROR(INDEX(Bookings!$C$5:$C$404,MATCH(B349,Bookings!$A$5:$A$404,0)),""))</f>
        <v>0</v>
      </c>
      <c r="E349" s="28">
        <f>IF(B349="","",IFERROR(INDEX(Bookings!$E$5:$E$404,MATCH(B349,Bookings!$A$5:$A$404,0)),""))</f>
        <v>0</v>
      </c>
      <c r="F349" s="28">
        <f>IF(B349="","",IFERROR(INDEX(Bookings!$H$5:$H$404,MATCH(B349,Bookings!$A$5:$A$404,0)),""))</f>
        <v>0</v>
      </c>
      <c r="H349" s="53">
        <f>IF(B349="","",IFERROR(INDEX(Bookings!$K$5:$K$404,MATCH(B349,Bookings!$A$5:$A$404,0)),""))</f>
        <v>0</v>
      </c>
      <c r="K349" s="31">
        <f>IF(OR(I349="",J349=""),"",ROUND((J349-I349+IF(J349&lt;I349,1,0))*1440,0))</f>
        <v>0</v>
      </c>
      <c r="L349" s="49">
        <f>IF(OR(I349="",H349=""),"",IF(I349&lt;=H349+TIME(0,10,0),"On time","Late "&amp;TEXT((I349-H349)*1440,"0")&amp;" min"))</f>
        <v>0</v>
      </c>
      <c r="O349" s="31">
        <f>IF(OR(M349="",N349=""),"",ROUND((N349-M349+IF(N349&lt;M349,1,0))*1440,0))</f>
        <v>0</v>
      </c>
      <c r="AG349" s="28">
        <f>IF(C349="","",TEXT(C349,"yyyy-mm"))</f>
        <v>0</v>
      </c>
      <c r="AH349" s="28">
        <f>IF(B349="","",B349&amp;"|"&amp;COUNTIF($B$5:$B349,B349))</f>
        <v>0</v>
      </c>
      <c r="AI349" s="28">
        <f>IF(E349="","",E349&amp;"|"&amp;COUNTIF($E$5:$E349,E349))</f>
        <v>0</v>
      </c>
      <c r="AJ349" s="49">
        <f>IF(C349="","",IF(AE349="Missed","Missed visit - contact client",IF(Z349="Yes","Incident logged - follow up",IF(AND(AE349="Completed",AC349&lt;&gt;"Yes"),"Action - send client update",IF(AND(AE349="Completed",AD349&lt;&gt;"Yes"),"Check care checklist",IF(AND(C349&lt;TODAY(),AE349="Scheduled"),"Overdue - log the result","OK"))))))</f>
        <v>0</v>
      </c>
    </row>
    <row r="350" spans="1:36">
      <c r="A350" s="46">
        <f>IF(C350="","","VS-"&amp;TEXT(ROW()-4,"0000"))</f>
        <v>0</v>
      </c>
      <c r="D350" s="28">
        <f>IF(B350="","",IFERROR(INDEX(Bookings!$C$5:$C$404,MATCH(B350,Bookings!$A$5:$A$404,0)),""))</f>
        <v>0</v>
      </c>
      <c r="E350" s="28">
        <f>IF(B350="","",IFERROR(INDEX(Bookings!$E$5:$E$404,MATCH(B350,Bookings!$A$5:$A$404,0)),""))</f>
        <v>0</v>
      </c>
      <c r="F350" s="28">
        <f>IF(B350="","",IFERROR(INDEX(Bookings!$H$5:$H$404,MATCH(B350,Bookings!$A$5:$A$404,0)),""))</f>
        <v>0</v>
      </c>
      <c r="H350" s="53">
        <f>IF(B350="","",IFERROR(INDEX(Bookings!$K$5:$K$404,MATCH(B350,Bookings!$A$5:$A$404,0)),""))</f>
        <v>0</v>
      </c>
      <c r="K350" s="31">
        <f>IF(OR(I350="",J350=""),"",ROUND((J350-I350+IF(J350&lt;I350,1,0))*1440,0))</f>
        <v>0</v>
      </c>
      <c r="L350" s="49">
        <f>IF(OR(I350="",H350=""),"",IF(I350&lt;=H350+TIME(0,10,0),"On time","Late "&amp;TEXT((I350-H350)*1440,"0")&amp;" min"))</f>
        <v>0</v>
      </c>
      <c r="O350" s="31">
        <f>IF(OR(M350="",N350=""),"",ROUND((N350-M350+IF(N350&lt;M350,1,0))*1440,0))</f>
        <v>0</v>
      </c>
      <c r="AG350" s="28">
        <f>IF(C350="","",TEXT(C350,"yyyy-mm"))</f>
        <v>0</v>
      </c>
      <c r="AH350" s="28">
        <f>IF(B350="","",B350&amp;"|"&amp;COUNTIF($B$5:$B350,B350))</f>
        <v>0</v>
      </c>
      <c r="AI350" s="28">
        <f>IF(E350="","",E350&amp;"|"&amp;COUNTIF($E$5:$E350,E350))</f>
        <v>0</v>
      </c>
      <c r="AJ350" s="49">
        <f>IF(C350="","",IF(AE350="Missed","Missed visit - contact client",IF(Z350="Yes","Incident logged - follow up",IF(AND(AE350="Completed",AC350&lt;&gt;"Yes"),"Action - send client update",IF(AND(AE350="Completed",AD350&lt;&gt;"Yes"),"Check care checklist",IF(AND(C350&lt;TODAY(),AE350="Scheduled"),"Overdue - log the result","OK"))))))</f>
        <v>0</v>
      </c>
    </row>
    <row r="351" spans="1:36">
      <c r="A351" s="46">
        <f>IF(C351="","","VS-"&amp;TEXT(ROW()-4,"0000"))</f>
        <v>0</v>
      </c>
      <c r="D351" s="28">
        <f>IF(B351="","",IFERROR(INDEX(Bookings!$C$5:$C$404,MATCH(B351,Bookings!$A$5:$A$404,0)),""))</f>
        <v>0</v>
      </c>
      <c r="E351" s="28">
        <f>IF(B351="","",IFERROR(INDEX(Bookings!$E$5:$E$404,MATCH(B351,Bookings!$A$5:$A$404,0)),""))</f>
        <v>0</v>
      </c>
      <c r="F351" s="28">
        <f>IF(B351="","",IFERROR(INDEX(Bookings!$H$5:$H$404,MATCH(B351,Bookings!$A$5:$A$404,0)),""))</f>
        <v>0</v>
      </c>
      <c r="H351" s="53">
        <f>IF(B351="","",IFERROR(INDEX(Bookings!$K$5:$K$404,MATCH(B351,Bookings!$A$5:$A$404,0)),""))</f>
        <v>0</v>
      </c>
      <c r="K351" s="31">
        <f>IF(OR(I351="",J351=""),"",ROUND((J351-I351+IF(J351&lt;I351,1,0))*1440,0))</f>
        <v>0</v>
      </c>
      <c r="L351" s="49">
        <f>IF(OR(I351="",H351=""),"",IF(I351&lt;=H351+TIME(0,10,0),"On time","Late "&amp;TEXT((I351-H351)*1440,"0")&amp;" min"))</f>
        <v>0</v>
      </c>
      <c r="O351" s="31">
        <f>IF(OR(M351="",N351=""),"",ROUND((N351-M351+IF(N351&lt;M351,1,0))*1440,0))</f>
        <v>0</v>
      </c>
      <c r="AG351" s="28">
        <f>IF(C351="","",TEXT(C351,"yyyy-mm"))</f>
        <v>0</v>
      </c>
      <c r="AH351" s="28">
        <f>IF(B351="","",B351&amp;"|"&amp;COUNTIF($B$5:$B351,B351))</f>
        <v>0</v>
      </c>
      <c r="AI351" s="28">
        <f>IF(E351="","",E351&amp;"|"&amp;COUNTIF($E$5:$E351,E351))</f>
        <v>0</v>
      </c>
      <c r="AJ351" s="49">
        <f>IF(C351="","",IF(AE351="Missed","Missed visit - contact client",IF(Z351="Yes","Incident logged - follow up",IF(AND(AE351="Completed",AC351&lt;&gt;"Yes"),"Action - send client update",IF(AND(AE351="Completed",AD351&lt;&gt;"Yes"),"Check care checklist",IF(AND(C351&lt;TODAY(),AE351="Scheduled"),"Overdue - log the result","OK"))))))</f>
        <v>0</v>
      </c>
    </row>
    <row r="352" spans="1:36">
      <c r="A352" s="46">
        <f>IF(C352="","","VS-"&amp;TEXT(ROW()-4,"0000"))</f>
        <v>0</v>
      </c>
      <c r="D352" s="28">
        <f>IF(B352="","",IFERROR(INDEX(Bookings!$C$5:$C$404,MATCH(B352,Bookings!$A$5:$A$404,0)),""))</f>
        <v>0</v>
      </c>
      <c r="E352" s="28">
        <f>IF(B352="","",IFERROR(INDEX(Bookings!$E$5:$E$404,MATCH(B352,Bookings!$A$5:$A$404,0)),""))</f>
        <v>0</v>
      </c>
      <c r="F352" s="28">
        <f>IF(B352="","",IFERROR(INDEX(Bookings!$H$5:$H$404,MATCH(B352,Bookings!$A$5:$A$404,0)),""))</f>
        <v>0</v>
      </c>
      <c r="H352" s="53">
        <f>IF(B352="","",IFERROR(INDEX(Bookings!$K$5:$K$404,MATCH(B352,Bookings!$A$5:$A$404,0)),""))</f>
        <v>0</v>
      </c>
      <c r="K352" s="31">
        <f>IF(OR(I352="",J352=""),"",ROUND((J352-I352+IF(J352&lt;I352,1,0))*1440,0))</f>
        <v>0</v>
      </c>
      <c r="L352" s="49">
        <f>IF(OR(I352="",H352=""),"",IF(I352&lt;=H352+TIME(0,10,0),"On time","Late "&amp;TEXT((I352-H352)*1440,"0")&amp;" min"))</f>
        <v>0</v>
      </c>
      <c r="O352" s="31">
        <f>IF(OR(M352="",N352=""),"",ROUND((N352-M352+IF(N352&lt;M352,1,0))*1440,0))</f>
        <v>0</v>
      </c>
      <c r="AG352" s="28">
        <f>IF(C352="","",TEXT(C352,"yyyy-mm"))</f>
        <v>0</v>
      </c>
      <c r="AH352" s="28">
        <f>IF(B352="","",B352&amp;"|"&amp;COUNTIF($B$5:$B352,B352))</f>
        <v>0</v>
      </c>
      <c r="AI352" s="28">
        <f>IF(E352="","",E352&amp;"|"&amp;COUNTIF($E$5:$E352,E352))</f>
        <v>0</v>
      </c>
      <c r="AJ352" s="49">
        <f>IF(C352="","",IF(AE352="Missed","Missed visit - contact client",IF(Z352="Yes","Incident logged - follow up",IF(AND(AE352="Completed",AC352&lt;&gt;"Yes"),"Action - send client update",IF(AND(AE352="Completed",AD352&lt;&gt;"Yes"),"Check care checklist",IF(AND(C352&lt;TODAY(),AE352="Scheduled"),"Overdue - log the result","OK"))))))</f>
        <v>0</v>
      </c>
    </row>
    <row r="353" spans="1:36">
      <c r="A353" s="46">
        <f>IF(C353="","","VS-"&amp;TEXT(ROW()-4,"0000"))</f>
        <v>0</v>
      </c>
      <c r="D353" s="28">
        <f>IF(B353="","",IFERROR(INDEX(Bookings!$C$5:$C$404,MATCH(B353,Bookings!$A$5:$A$404,0)),""))</f>
        <v>0</v>
      </c>
      <c r="E353" s="28">
        <f>IF(B353="","",IFERROR(INDEX(Bookings!$E$5:$E$404,MATCH(B353,Bookings!$A$5:$A$404,0)),""))</f>
        <v>0</v>
      </c>
      <c r="F353" s="28">
        <f>IF(B353="","",IFERROR(INDEX(Bookings!$H$5:$H$404,MATCH(B353,Bookings!$A$5:$A$404,0)),""))</f>
        <v>0</v>
      </c>
      <c r="H353" s="53">
        <f>IF(B353="","",IFERROR(INDEX(Bookings!$K$5:$K$404,MATCH(B353,Bookings!$A$5:$A$404,0)),""))</f>
        <v>0</v>
      </c>
      <c r="K353" s="31">
        <f>IF(OR(I353="",J353=""),"",ROUND((J353-I353+IF(J353&lt;I353,1,0))*1440,0))</f>
        <v>0</v>
      </c>
      <c r="L353" s="49">
        <f>IF(OR(I353="",H353=""),"",IF(I353&lt;=H353+TIME(0,10,0),"On time","Late "&amp;TEXT((I353-H353)*1440,"0")&amp;" min"))</f>
        <v>0</v>
      </c>
      <c r="O353" s="31">
        <f>IF(OR(M353="",N353=""),"",ROUND((N353-M353+IF(N353&lt;M353,1,0))*1440,0))</f>
        <v>0</v>
      </c>
      <c r="AG353" s="28">
        <f>IF(C353="","",TEXT(C353,"yyyy-mm"))</f>
        <v>0</v>
      </c>
      <c r="AH353" s="28">
        <f>IF(B353="","",B353&amp;"|"&amp;COUNTIF($B$5:$B353,B353))</f>
        <v>0</v>
      </c>
      <c r="AI353" s="28">
        <f>IF(E353="","",E353&amp;"|"&amp;COUNTIF($E$5:$E353,E353))</f>
        <v>0</v>
      </c>
      <c r="AJ353" s="49">
        <f>IF(C353="","",IF(AE353="Missed","Missed visit - contact client",IF(Z353="Yes","Incident logged - follow up",IF(AND(AE353="Completed",AC353&lt;&gt;"Yes"),"Action - send client update",IF(AND(AE353="Completed",AD353&lt;&gt;"Yes"),"Check care checklist",IF(AND(C353&lt;TODAY(),AE353="Scheduled"),"Overdue - log the result","OK"))))))</f>
        <v>0</v>
      </c>
    </row>
    <row r="354" spans="1:36">
      <c r="A354" s="46">
        <f>IF(C354="","","VS-"&amp;TEXT(ROW()-4,"0000"))</f>
        <v>0</v>
      </c>
      <c r="D354" s="28">
        <f>IF(B354="","",IFERROR(INDEX(Bookings!$C$5:$C$404,MATCH(B354,Bookings!$A$5:$A$404,0)),""))</f>
        <v>0</v>
      </c>
      <c r="E354" s="28">
        <f>IF(B354="","",IFERROR(INDEX(Bookings!$E$5:$E$404,MATCH(B354,Bookings!$A$5:$A$404,0)),""))</f>
        <v>0</v>
      </c>
      <c r="F354" s="28">
        <f>IF(B354="","",IFERROR(INDEX(Bookings!$H$5:$H$404,MATCH(B354,Bookings!$A$5:$A$404,0)),""))</f>
        <v>0</v>
      </c>
      <c r="H354" s="53">
        <f>IF(B354="","",IFERROR(INDEX(Bookings!$K$5:$K$404,MATCH(B354,Bookings!$A$5:$A$404,0)),""))</f>
        <v>0</v>
      </c>
      <c r="K354" s="31">
        <f>IF(OR(I354="",J354=""),"",ROUND((J354-I354+IF(J354&lt;I354,1,0))*1440,0))</f>
        <v>0</v>
      </c>
      <c r="L354" s="49">
        <f>IF(OR(I354="",H354=""),"",IF(I354&lt;=H354+TIME(0,10,0),"On time","Late "&amp;TEXT((I354-H354)*1440,"0")&amp;" min"))</f>
        <v>0</v>
      </c>
      <c r="O354" s="31">
        <f>IF(OR(M354="",N354=""),"",ROUND((N354-M354+IF(N354&lt;M354,1,0))*1440,0))</f>
        <v>0</v>
      </c>
      <c r="AG354" s="28">
        <f>IF(C354="","",TEXT(C354,"yyyy-mm"))</f>
        <v>0</v>
      </c>
      <c r="AH354" s="28">
        <f>IF(B354="","",B354&amp;"|"&amp;COUNTIF($B$5:$B354,B354))</f>
        <v>0</v>
      </c>
      <c r="AI354" s="28">
        <f>IF(E354="","",E354&amp;"|"&amp;COUNTIF($E$5:$E354,E354))</f>
        <v>0</v>
      </c>
      <c r="AJ354" s="49">
        <f>IF(C354="","",IF(AE354="Missed","Missed visit - contact client",IF(Z354="Yes","Incident logged - follow up",IF(AND(AE354="Completed",AC354&lt;&gt;"Yes"),"Action - send client update",IF(AND(AE354="Completed",AD354&lt;&gt;"Yes"),"Check care checklist",IF(AND(C354&lt;TODAY(),AE354="Scheduled"),"Overdue - log the result","OK"))))))</f>
        <v>0</v>
      </c>
    </row>
    <row r="355" spans="1:36">
      <c r="A355" s="46">
        <f>IF(C355="","","VS-"&amp;TEXT(ROW()-4,"0000"))</f>
        <v>0</v>
      </c>
      <c r="D355" s="28">
        <f>IF(B355="","",IFERROR(INDEX(Bookings!$C$5:$C$404,MATCH(B355,Bookings!$A$5:$A$404,0)),""))</f>
        <v>0</v>
      </c>
      <c r="E355" s="28">
        <f>IF(B355="","",IFERROR(INDEX(Bookings!$E$5:$E$404,MATCH(B355,Bookings!$A$5:$A$404,0)),""))</f>
        <v>0</v>
      </c>
      <c r="F355" s="28">
        <f>IF(B355="","",IFERROR(INDEX(Bookings!$H$5:$H$404,MATCH(B355,Bookings!$A$5:$A$404,0)),""))</f>
        <v>0</v>
      </c>
      <c r="H355" s="53">
        <f>IF(B355="","",IFERROR(INDEX(Bookings!$K$5:$K$404,MATCH(B355,Bookings!$A$5:$A$404,0)),""))</f>
        <v>0</v>
      </c>
      <c r="K355" s="31">
        <f>IF(OR(I355="",J355=""),"",ROUND((J355-I355+IF(J355&lt;I355,1,0))*1440,0))</f>
        <v>0</v>
      </c>
      <c r="L355" s="49">
        <f>IF(OR(I355="",H355=""),"",IF(I355&lt;=H355+TIME(0,10,0),"On time","Late "&amp;TEXT((I355-H355)*1440,"0")&amp;" min"))</f>
        <v>0</v>
      </c>
      <c r="O355" s="31">
        <f>IF(OR(M355="",N355=""),"",ROUND((N355-M355+IF(N355&lt;M355,1,0))*1440,0))</f>
        <v>0</v>
      </c>
      <c r="AG355" s="28">
        <f>IF(C355="","",TEXT(C355,"yyyy-mm"))</f>
        <v>0</v>
      </c>
      <c r="AH355" s="28">
        <f>IF(B355="","",B355&amp;"|"&amp;COUNTIF($B$5:$B355,B355))</f>
        <v>0</v>
      </c>
      <c r="AI355" s="28">
        <f>IF(E355="","",E355&amp;"|"&amp;COUNTIF($E$5:$E355,E355))</f>
        <v>0</v>
      </c>
      <c r="AJ355" s="49">
        <f>IF(C355="","",IF(AE355="Missed","Missed visit - contact client",IF(Z355="Yes","Incident logged - follow up",IF(AND(AE355="Completed",AC355&lt;&gt;"Yes"),"Action - send client update",IF(AND(AE355="Completed",AD355&lt;&gt;"Yes"),"Check care checklist",IF(AND(C355&lt;TODAY(),AE355="Scheduled"),"Overdue - log the result","OK"))))))</f>
        <v>0</v>
      </c>
    </row>
    <row r="356" spans="1:36">
      <c r="A356" s="46">
        <f>IF(C356="","","VS-"&amp;TEXT(ROW()-4,"0000"))</f>
        <v>0</v>
      </c>
      <c r="D356" s="28">
        <f>IF(B356="","",IFERROR(INDEX(Bookings!$C$5:$C$404,MATCH(B356,Bookings!$A$5:$A$404,0)),""))</f>
        <v>0</v>
      </c>
      <c r="E356" s="28">
        <f>IF(B356="","",IFERROR(INDEX(Bookings!$E$5:$E$404,MATCH(B356,Bookings!$A$5:$A$404,0)),""))</f>
        <v>0</v>
      </c>
      <c r="F356" s="28">
        <f>IF(B356="","",IFERROR(INDEX(Bookings!$H$5:$H$404,MATCH(B356,Bookings!$A$5:$A$404,0)),""))</f>
        <v>0</v>
      </c>
      <c r="H356" s="53">
        <f>IF(B356="","",IFERROR(INDEX(Bookings!$K$5:$K$404,MATCH(B356,Bookings!$A$5:$A$404,0)),""))</f>
        <v>0</v>
      </c>
      <c r="K356" s="31">
        <f>IF(OR(I356="",J356=""),"",ROUND((J356-I356+IF(J356&lt;I356,1,0))*1440,0))</f>
        <v>0</v>
      </c>
      <c r="L356" s="49">
        <f>IF(OR(I356="",H356=""),"",IF(I356&lt;=H356+TIME(0,10,0),"On time","Late "&amp;TEXT((I356-H356)*1440,"0")&amp;" min"))</f>
        <v>0</v>
      </c>
      <c r="O356" s="31">
        <f>IF(OR(M356="",N356=""),"",ROUND((N356-M356+IF(N356&lt;M356,1,0))*1440,0))</f>
        <v>0</v>
      </c>
      <c r="AG356" s="28">
        <f>IF(C356="","",TEXT(C356,"yyyy-mm"))</f>
        <v>0</v>
      </c>
      <c r="AH356" s="28">
        <f>IF(B356="","",B356&amp;"|"&amp;COUNTIF($B$5:$B356,B356))</f>
        <v>0</v>
      </c>
      <c r="AI356" s="28">
        <f>IF(E356="","",E356&amp;"|"&amp;COUNTIF($E$5:$E356,E356))</f>
        <v>0</v>
      </c>
      <c r="AJ356" s="49">
        <f>IF(C356="","",IF(AE356="Missed","Missed visit - contact client",IF(Z356="Yes","Incident logged - follow up",IF(AND(AE356="Completed",AC356&lt;&gt;"Yes"),"Action - send client update",IF(AND(AE356="Completed",AD356&lt;&gt;"Yes"),"Check care checklist",IF(AND(C356&lt;TODAY(),AE356="Scheduled"),"Overdue - log the result","OK"))))))</f>
        <v>0</v>
      </c>
    </row>
    <row r="357" spans="1:36">
      <c r="A357" s="46">
        <f>IF(C357="","","VS-"&amp;TEXT(ROW()-4,"0000"))</f>
        <v>0</v>
      </c>
      <c r="D357" s="28">
        <f>IF(B357="","",IFERROR(INDEX(Bookings!$C$5:$C$404,MATCH(B357,Bookings!$A$5:$A$404,0)),""))</f>
        <v>0</v>
      </c>
      <c r="E357" s="28">
        <f>IF(B357="","",IFERROR(INDEX(Bookings!$E$5:$E$404,MATCH(B357,Bookings!$A$5:$A$404,0)),""))</f>
        <v>0</v>
      </c>
      <c r="F357" s="28">
        <f>IF(B357="","",IFERROR(INDEX(Bookings!$H$5:$H$404,MATCH(B357,Bookings!$A$5:$A$404,0)),""))</f>
        <v>0</v>
      </c>
      <c r="H357" s="53">
        <f>IF(B357="","",IFERROR(INDEX(Bookings!$K$5:$K$404,MATCH(B357,Bookings!$A$5:$A$404,0)),""))</f>
        <v>0</v>
      </c>
      <c r="K357" s="31">
        <f>IF(OR(I357="",J357=""),"",ROUND((J357-I357+IF(J357&lt;I357,1,0))*1440,0))</f>
        <v>0</v>
      </c>
      <c r="L357" s="49">
        <f>IF(OR(I357="",H357=""),"",IF(I357&lt;=H357+TIME(0,10,0),"On time","Late "&amp;TEXT((I357-H357)*1440,"0")&amp;" min"))</f>
        <v>0</v>
      </c>
      <c r="O357" s="31">
        <f>IF(OR(M357="",N357=""),"",ROUND((N357-M357+IF(N357&lt;M357,1,0))*1440,0))</f>
        <v>0</v>
      </c>
      <c r="AG357" s="28">
        <f>IF(C357="","",TEXT(C357,"yyyy-mm"))</f>
        <v>0</v>
      </c>
      <c r="AH357" s="28">
        <f>IF(B357="","",B357&amp;"|"&amp;COUNTIF($B$5:$B357,B357))</f>
        <v>0</v>
      </c>
      <c r="AI357" s="28">
        <f>IF(E357="","",E357&amp;"|"&amp;COUNTIF($E$5:$E357,E357))</f>
        <v>0</v>
      </c>
      <c r="AJ357" s="49">
        <f>IF(C357="","",IF(AE357="Missed","Missed visit - contact client",IF(Z357="Yes","Incident logged - follow up",IF(AND(AE357="Completed",AC357&lt;&gt;"Yes"),"Action - send client update",IF(AND(AE357="Completed",AD357&lt;&gt;"Yes"),"Check care checklist",IF(AND(C357&lt;TODAY(),AE357="Scheduled"),"Overdue - log the result","OK"))))))</f>
        <v>0</v>
      </c>
    </row>
    <row r="358" spans="1:36">
      <c r="A358" s="46">
        <f>IF(C358="","","VS-"&amp;TEXT(ROW()-4,"0000"))</f>
        <v>0</v>
      </c>
      <c r="D358" s="28">
        <f>IF(B358="","",IFERROR(INDEX(Bookings!$C$5:$C$404,MATCH(B358,Bookings!$A$5:$A$404,0)),""))</f>
        <v>0</v>
      </c>
      <c r="E358" s="28">
        <f>IF(B358="","",IFERROR(INDEX(Bookings!$E$5:$E$404,MATCH(B358,Bookings!$A$5:$A$404,0)),""))</f>
        <v>0</v>
      </c>
      <c r="F358" s="28">
        <f>IF(B358="","",IFERROR(INDEX(Bookings!$H$5:$H$404,MATCH(B358,Bookings!$A$5:$A$404,0)),""))</f>
        <v>0</v>
      </c>
      <c r="H358" s="53">
        <f>IF(B358="","",IFERROR(INDEX(Bookings!$K$5:$K$404,MATCH(B358,Bookings!$A$5:$A$404,0)),""))</f>
        <v>0</v>
      </c>
      <c r="K358" s="31">
        <f>IF(OR(I358="",J358=""),"",ROUND((J358-I358+IF(J358&lt;I358,1,0))*1440,0))</f>
        <v>0</v>
      </c>
      <c r="L358" s="49">
        <f>IF(OR(I358="",H358=""),"",IF(I358&lt;=H358+TIME(0,10,0),"On time","Late "&amp;TEXT((I358-H358)*1440,"0")&amp;" min"))</f>
        <v>0</v>
      </c>
      <c r="O358" s="31">
        <f>IF(OR(M358="",N358=""),"",ROUND((N358-M358+IF(N358&lt;M358,1,0))*1440,0))</f>
        <v>0</v>
      </c>
      <c r="AG358" s="28">
        <f>IF(C358="","",TEXT(C358,"yyyy-mm"))</f>
        <v>0</v>
      </c>
      <c r="AH358" s="28">
        <f>IF(B358="","",B358&amp;"|"&amp;COUNTIF($B$5:$B358,B358))</f>
        <v>0</v>
      </c>
      <c r="AI358" s="28">
        <f>IF(E358="","",E358&amp;"|"&amp;COUNTIF($E$5:$E358,E358))</f>
        <v>0</v>
      </c>
      <c r="AJ358" s="49">
        <f>IF(C358="","",IF(AE358="Missed","Missed visit - contact client",IF(Z358="Yes","Incident logged - follow up",IF(AND(AE358="Completed",AC358&lt;&gt;"Yes"),"Action - send client update",IF(AND(AE358="Completed",AD358&lt;&gt;"Yes"),"Check care checklist",IF(AND(C358&lt;TODAY(),AE358="Scheduled"),"Overdue - log the result","OK"))))))</f>
        <v>0</v>
      </c>
    </row>
    <row r="359" spans="1:36">
      <c r="A359" s="46">
        <f>IF(C359="","","VS-"&amp;TEXT(ROW()-4,"0000"))</f>
        <v>0</v>
      </c>
      <c r="D359" s="28">
        <f>IF(B359="","",IFERROR(INDEX(Bookings!$C$5:$C$404,MATCH(B359,Bookings!$A$5:$A$404,0)),""))</f>
        <v>0</v>
      </c>
      <c r="E359" s="28">
        <f>IF(B359="","",IFERROR(INDEX(Bookings!$E$5:$E$404,MATCH(B359,Bookings!$A$5:$A$404,0)),""))</f>
        <v>0</v>
      </c>
      <c r="F359" s="28">
        <f>IF(B359="","",IFERROR(INDEX(Bookings!$H$5:$H$404,MATCH(B359,Bookings!$A$5:$A$404,0)),""))</f>
        <v>0</v>
      </c>
      <c r="H359" s="53">
        <f>IF(B359="","",IFERROR(INDEX(Bookings!$K$5:$K$404,MATCH(B359,Bookings!$A$5:$A$404,0)),""))</f>
        <v>0</v>
      </c>
      <c r="K359" s="31">
        <f>IF(OR(I359="",J359=""),"",ROUND((J359-I359+IF(J359&lt;I359,1,0))*1440,0))</f>
        <v>0</v>
      </c>
      <c r="L359" s="49">
        <f>IF(OR(I359="",H359=""),"",IF(I359&lt;=H359+TIME(0,10,0),"On time","Late "&amp;TEXT((I359-H359)*1440,"0")&amp;" min"))</f>
        <v>0</v>
      </c>
      <c r="O359" s="31">
        <f>IF(OR(M359="",N359=""),"",ROUND((N359-M359+IF(N359&lt;M359,1,0))*1440,0))</f>
        <v>0</v>
      </c>
      <c r="AG359" s="28">
        <f>IF(C359="","",TEXT(C359,"yyyy-mm"))</f>
        <v>0</v>
      </c>
      <c r="AH359" s="28">
        <f>IF(B359="","",B359&amp;"|"&amp;COUNTIF($B$5:$B359,B359))</f>
        <v>0</v>
      </c>
      <c r="AI359" s="28">
        <f>IF(E359="","",E359&amp;"|"&amp;COUNTIF($E$5:$E359,E359))</f>
        <v>0</v>
      </c>
      <c r="AJ359" s="49">
        <f>IF(C359="","",IF(AE359="Missed","Missed visit - contact client",IF(Z359="Yes","Incident logged - follow up",IF(AND(AE359="Completed",AC359&lt;&gt;"Yes"),"Action - send client update",IF(AND(AE359="Completed",AD359&lt;&gt;"Yes"),"Check care checklist",IF(AND(C359&lt;TODAY(),AE359="Scheduled"),"Overdue - log the result","OK"))))))</f>
        <v>0</v>
      </c>
    </row>
    <row r="360" spans="1:36">
      <c r="A360" s="46">
        <f>IF(C360="","","VS-"&amp;TEXT(ROW()-4,"0000"))</f>
        <v>0</v>
      </c>
      <c r="D360" s="28">
        <f>IF(B360="","",IFERROR(INDEX(Bookings!$C$5:$C$404,MATCH(B360,Bookings!$A$5:$A$404,0)),""))</f>
        <v>0</v>
      </c>
      <c r="E360" s="28">
        <f>IF(B360="","",IFERROR(INDEX(Bookings!$E$5:$E$404,MATCH(B360,Bookings!$A$5:$A$404,0)),""))</f>
        <v>0</v>
      </c>
      <c r="F360" s="28">
        <f>IF(B360="","",IFERROR(INDEX(Bookings!$H$5:$H$404,MATCH(B360,Bookings!$A$5:$A$404,0)),""))</f>
        <v>0</v>
      </c>
      <c r="H360" s="53">
        <f>IF(B360="","",IFERROR(INDEX(Bookings!$K$5:$K$404,MATCH(B360,Bookings!$A$5:$A$404,0)),""))</f>
        <v>0</v>
      </c>
      <c r="K360" s="31">
        <f>IF(OR(I360="",J360=""),"",ROUND((J360-I360+IF(J360&lt;I360,1,0))*1440,0))</f>
        <v>0</v>
      </c>
      <c r="L360" s="49">
        <f>IF(OR(I360="",H360=""),"",IF(I360&lt;=H360+TIME(0,10,0),"On time","Late "&amp;TEXT((I360-H360)*1440,"0")&amp;" min"))</f>
        <v>0</v>
      </c>
      <c r="O360" s="31">
        <f>IF(OR(M360="",N360=""),"",ROUND((N360-M360+IF(N360&lt;M360,1,0))*1440,0))</f>
        <v>0</v>
      </c>
      <c r="AG360" s="28">
        <f>IF(C360="","",TEXT(C360,"yyyy-mm"))</f>
        <v>0</v>
      </c>
      <c r="AH360" s="28">
        <f>IF(B360="","",B360&amp;"|"&amp;COUNTIF($B$5:$B360,B360))</f>
        <v>0</v>
      </c>
      <c r="AI360" s="28">
        <f>IF(E360="","",E360&amp;"|"&amp;COUNTIF($E$5:$E360,E360))</f>
        <v>0</v>
      </c>
      <c r="AJ360" s="49">
        <f>IF(C360="","",IF(AE360="Missed","Missed visit - contact client",IF(Z360="Yes","Incident logged - follow up",IF(AND(AE360="Completed",AC360&lt;&gt;"Yes"),"Action - send client update",IF(AND(AE360="Completed",AD360&lt;&gt;"Yes"),"Check care checklist",IF(AND(C360&lt;TODAY(),AE360="Scheduled"),"Overdue - log the result","OK"))))))</f>
        <v>0</v>
      </c>
    </row>
    <row r="361" spans="1:36">
      <c r="A361" s="46">
        <f>IF(C361="","","VS-"&amp;TEXT(ROW()-4,"0000"))</f>
        <v>0</v>
      </c>
      <c r="D361" s="28">
        <f>IF(B361="","",IFERROR(INDEX(Bookings!$C$5:$C$404,MATCH(B361,Bookings!$A$5:$A$404,0)),""))</f>
        <v>0</v>
      </c>
      <c r="E361" s="28">
        <f>IF(B361="","",IFERROR(INDEX(Bookings!$E$5:$E$404,MATCH(B361,Bookings!$A$5:$A$404,0)),""))</f>
        <v>0</v>
      </c>
      <c r="F361" s="28">
        <f>IF(B361="","",IFERROR(INDEX(Bookings!$H$5:$H$404,MATCH(B361,Bookings!$A$5:$A$404,0)),""))</f>
        <v>0</v>
      </c>
      <c r="H361" s="53">
        <f>IF(B361="","",IFERROR(INDEX(Bookings!$K$5:$K$404,MATCH(B361,Bookings!$A$5:$A$404,0)),""))</f>
        <v>0</v>
      </c>
      <c r="K361" s="31">
        <f>IF(OR(I361="",J361=""),"",ROUND((J361-I361+IF(J361&lt;I361,1,0))*1440,0))</f>
        <v>0</v>
      </c>
      <c r="L361" s="49">
        <f>IF(OR(I361="",H361=""),"",IF(I361&lt;=H361+TIME(0,10,0),"On time","Late "&amp;TEXT((I361-H361)*1440,"0")&amp;" min"))</f>
        <v>0</v>
      </c>
      <c r="O361" s="31">
        <f>IF(OR(M361="",N361=""),"",ROUND((N361-M361+IF(N361&lt;M361,1,0))*1440,0))</f>
        <v>0</v>
      </c>
      <c r="AG361" s="28">
        <f>IF(C361="","",TEXT(C361,"yyyy-mm"))</f>
        <v>0</v>
      </c>
      <c r="AH361" s="28">
        <f>IF(B361="","",B361&amp;"|"&amp;COUNTIF($B$5:$B361,B361))</f>
        <v>0</v>
      </c>
      <c r="AI361" s="28">
        <f>IF(E361="","",E361&amp;"|"&amp;COUNTIF($E$5:$E361,E361))</f>
        <v>0</v>
      </c>
      <c r="AJ361" s="49">
        <f>IF(C361="","",IF(AE361="Missed","Missed visit - contact client",IF(Z361="Yes","Incident logged - follow up",IF(AND(AE361="Completed",AC361&lt;&gt;"Yes"),"Action - send client update",IF(AND(AE361="Completed",AD361&lt;&gt;"Yes"),"Check care checklist",IF(AND(C361&lt;TODAY(),AE361="Scheduled"),"Overdue - log the result","OK"))))))</f>
        <v>0</v>
      </c>
    </row>
    <row r="362" spans="1:36">
      <c r="A362" s="46">
        <f>IF(C362="","","VS-"&amp;TEXT(ROW()-4,"0000"))</f>
        <v>0</v>
      </c>
      <c r="D362" s="28">
        <f>IF(B362="","",IFERROR(INDEX(Bookings!$C$5:$C$404,MATCH(B362,Bookings!$A$5:$A$404,0)),""))</f>
        <v>0</v>
      </c>
      <c r="E362" s="28">
        <f>IF(B362="","",IFERROR(INDEX(Bookings!$E$5:$E$404,MATCH(B362,Bookings!$A$5:$A$404,0)),""))</f>
        <v>0</v>
      </c>
      <c r="F362" s="28">
        <f>IF(B362="","",IFERROR(INDEX(Bookings!$H$5:$H$404,MATCH(B362,Bookings!$A$5:$A$404,0)),""))</f>
        <v>0</v>
      </c>
      <c r="H362" s="53">
        <f>IF(B362="","",IFERROR(INDEX(Bookings!$K$5:$K$404,MATCH(B362,Bookings!$A$5:$A$404,0)),""))</f>
        <v>0</v>
      </c>
      <c r="K362" s="31">
        <f>IF(OR(I362="",J362=""),"",ROUND((J362-I362+IF(J362&lt;I362,1,0))*1440,0))</f>
        <v>0</v>
      </c>
      <c r="L362" s="49">
        <f>IF(OR(I362="",H362=""),"",IF(I362&lt;=H362+TIME(0,10,0),"On time","Late "&amp;TEXT((I362-H362)*1440,"0")&amp;" min"))</f>
        <v>0</v>
      </c>
      <c r="O362" s="31">
        <f>IF(OR(M362="",N362=""),"",ROUND((N362-M362+IF(N362&lt;M362,1,0))*1440,0))</f>
        <v>0</v>
      </c>
      <c r="AG362" s="28">
        <f>IF(C362="","",TEXT(C362,"yyyy-mm"))</f>
        <v>0</v>
      </c>
      <c r="AH362" s="28">
        <f>IF(B362="","",B362&amp;"|"&amp;COUNTIF($B$5:$B362,B362))</f>
        <v>0</v>
      </c>
      <c r="AI362" s="28">
        <f>IF(E362="","",E362&amp;"|"&amp;COUNTIF($E$5:$E362,E362))</f>
        <v>0</v>
      </c>
      <c r="AJ362" s="49">
        <f>IF(C362="","",IF(AE362="Missed","Missed visit - contact client",IF(Z362="Yes","Incident logged - follow up",IF(AND(AE362="Completed",AC362&lt;&gt;"Yes"),"Action - send client update",IF(AND(AE362="Completed",AD362&lt;&gt;"Yes"),"Check care checklist",IF(AND(C362&lt;TODAY(),AE362="Scheduled"),"Overdue - log the result","OK"))))))</f>
        <v>0</v>
      </c>
    </row>
    <row r="363" spans="1:36">
      <c r="A363" s="46">
        <f>IF(C363="","","VS-"&amp;TEXT(ROW()-4,"0000"))</f>
        <v>0</v>
      </c>
      <c r="D363" s="28">
        <f>IF(B363="","",IFERROR(INDEX(Bookings!$C$5:$C$404,MATCH(B363,Bookings!$A$5:$A$404,0)),""))</f>
        <v>0</v>
      </c>
      <c r="E363" s="28">
        <f>IF(B363="","",IFERROR(INDEX(Bookings!$E$5:$E$404,MATCH(B363,Bookings!$A$5:$A$404,0)),""))</f>
        <v>0</v>
      </c>
      <c r="F363" s="28">
        <f>IF(B363="","",IFERROR(INDEX(Bookings!$H$5:$H$404,MATCH(B363,Bookings!$A$5:$A$404,0)),""))</f>
        <v>0</v>
      </c>
      <c r="H363" s="53">
        <f>IF(B363="","",IFERROR(INDEX(Bookings!$K$5:$K$404,MATCH(B363,Bookings!$A$5:$A$404,0)),""))</f>
        <v>0</v>
      </c>
      <c r="K363" s="31">
        <f>IF(OR(I363="",J363=""),"",ROUND((J363-I363+IF(J363&lt;I363,1,0))*1440,0))</f>
        <v>0</v>
      </c>
      <c r="L363" s="49">
        <f>IF(OR(I363="",H363=""),"",IF(I363&lt;=H363+TIME(0,10,0),"On time","Late "&amp;TEXT((I363-H363)*1440,"0")&amp;" min"))</f>
        <v>0</v>
      </c>
      <c r="O363" s="31">
        <f>IF(OR(M363="",N363=""),"",ROUND((N363-M363+IF(N363&lt;M363,1,0))*1440,0))</f>
        <v>0</v>
      </c>
      <c r="AG363" s="28">
        <f>IF(C363="","",TEXT(C363,"yyyy-mm"))</f>
        <v>0</v>
      </c>
      <c r="AH363" s="28">
        <f>IF(B363="","",B363&amp;"|"&amp;COUNTIF($B$5:$B363,B363))</f>
        <v>0</v>
      </c>
      <c r="AI363" s="28">
        <f>IF(E363="","",E363&amp;"|"&amp;COUNTIF($E$5:$E363,E363))</f>
        <v>0</v>
      </c>
      <c r="AJ363" s="49">
        <f>IF(C363="","",IF(AE363="Missed","Missed visit - contact client",IF(Z363="Yes","Incident logged - follow up",IF(AND(AE363="Completed",AC363&lt;&gt;"Yes"),"Action - send client update",IF(AND(AE363="Completed",AD363&lt;&gt;"Yes"),"Check care checklist",IF(AND(C363&lt;TODAY(),AE363="Scheduled"),"Overdue - log the result","OK"))))))</f>
        <v>0</v>
      </c>
    </row>
    <row r="364" spans="1:36">
      <c r="A364" s="46">
        <f>IF(C364="","","VS-"&amp;TEXT(ROW()-4,"0000"))</f>
        <v>0</v>
      </c>
      <c r="D364" s="28">
        <f>IF(B364="","",IFERROR(INDEX(Bookings!$C$5:$C$404,MATCH(B364,Bookings!$A$5:$A$404,0)),""))</f>
        <v>0</v>
      </c>
      <c r="E364" s="28">
        <f>IF(B364="","",IFERROR(INDEX(Bookings!$E$5:$E$404,MATCH(B364,Bookings!$A$5:$A$404,0)),""))</f>
        <v>0</v>
      </c>
      <c r="F364" s="28">
        <f>IF(B364="","",IFERROR(INDEX(Bookings!$H$5:$H$404,MATCH(B364,Bookings!$A$5:$A$404,0)),""))</f>
        <v>0</v>
      </c>
      <c r="H364" s="53">
        <f>IF(B364="","",IFERROR(INDEX(Bookings!$K$5:$K$404,MATCH(B364,Bookings!$A$5:$A$404,0)),""))</f>
        <v>0</v>
      </c>
      <c r="K364" s="31">
        <f>IF(OR(I364="",J364=""),"",ROUND((J364-I364+IF(J364&lt;I364,1,0))*1440,0))</f>
        <v>0</v>
      </c>
      <c r="L364" s="49">
        <f>IF(OR(I364="",H364=""),"",IF(I364&lt;=H364+TIME(0,10,0),"On time","Late "&amp;TEXT((I364-H364)*1440,"0")&amp;" min"))</f>
        <v>0</v>
      </c>
      <c r="O364" s="31">
        <f>IF(OR(M364="",N364=""),"",ROUND((N364-M364+IF(N364&lt;M364,1,0))*1440,0))</f>
        <v>0</v>
      </c>
      <c r="AG364" s="28">
        <f>IF(C364="","",TEXT(C364,"yyyy-mm"))</f>
        <v>0</v>
      </c>
      <c r="AH364" s="28">
        <f>IF(B364="","",B364&amp;"|"&amp;COUNTIF($B$5:$B364,B364))</f>
        <v>0</v>
      </c>
      <c r="AI364" s="28">
        <f>IF(E364="","",E364&amp;"|"&amp;COUNTIF($E$5:$E364,E364))</f>
        <v>0</v>
      </c>
      <c r="AJ364" s="49">
        <f>IF(C364="","",IF(AE364="Missed","Missed visit - contact client",IF(Z364="Yes","Incident logged - follow up",IF(AND(AE364="Completed",AC364&lt;&gt;"Yes"),"Action - send client update",IF(AND(AE364="Completed",AD364&lt;&gt;"Yes"),"Check care checklist",IF(AND(C364&lt;TODAY(),AE364="Scheduled"),"Overdue - log the result","OK"))))))</f>
        <v>0</v>
      </c>
    </row>
    <row r="365" spans="1:36">
      <c r="A365" s="46">
        <f>IF(C365="","","VS-"&amp;TEXT(ROW()-4,"0000"))</f>
        <v>0</v>
      </c>
      <c r="D365" s="28">
        <f>IF(B365="","",IFERROR(INDEX(Bookings!$C$5:$C$404,MATCH(B365,Bookings!$A$5:$A$404,0)),""))</f>
        <v>0</v>
      </c>
      <c r="E365" s="28">
        <f>IF(B365="","",IFERROR(INDEX(Bookings!$E$5:$E$404,MATCH(B365,Bookings!$A$5:$A$404,0)),""))</f>
        <v>0</v>
      </c>
      <c r="F365" s="28">
        <f>IF(B365="","",IFERROR(INDEX(Bookings!$H$5:$H$404,MATCH(B365,Bookings!$A$5:$A$404,0)),""))</f>
        <v>0</v>
      </c>
      <c r="H365" s="53">
        <f>IF(B365="","",IFERROR(INDEX(Bookings!$K$5:$K$404,MATCH(B365,Bookings!$A$5:$A$404,0)),""))</f>
        <v>0</v>
      </c>
      <c r="K365" s="31">
        <f>IF(OR(I365="",J365=""),"",ROUND((J365-I365+IF(J365&lt;I365,1,0))*1440,0))</f>
        <v>0</v>
      </c>
      <c r="L365" s="49">
        <f>IF(OR(I365="",H365=""),"",IF(I365&lt;=H365+TIME(0,10,0),"On time","Late "&amp;TEXT((I365-H365)*1440,"0")&amp;" min"))</f>
        <v>0</v>
      </c>
      <c r="O365" s="31">
        <f>IF(OR(M365="",N365=""),"",ROUND((N365-M365+IF(N365&lt;M365,1,0))*1440,0))</f>
        <v>0</v>
      </c>
      <c r="AG365" s="28">
        <f>IF(C365="","",TEXT(C365,"yyyy-mm"))</f>
        <v>0</v>
      </c>
      <c r="AH365" s="28">
        <f>IF(B365="","",B365&amp;"|"&amp;COUNTIF($B$5:$B365,B365))</f>
        <v>0</v>
      </c>
      <c r="AI365" s="28">
        <f>IF(E365="","",E365&amp;"|"&amp;COUNTIF($E$5:$E365,E365))</f>
        <v>0</v>
      </c>
      <c r="AJ365" s="49">
        <f>IF(C365="","",IF(AE365="Missed","Missed visit - contact client",IF(Z365="Yes","Incident logged - follow up",IF(AND(AE365="Completed",AC365&lt;&gt;"Yes"),"Action - send client update",IF(AND(AE365="Completed",AD365&lt;&gt;"Yes"),"Check care checklist",IF(AND(C365&lt;TODAY(),AE365="Scheduled"),"Overdue - log the result","OK"))))))</f>
        <v>0</v>
      </c>
    </row>
    <row r="366" spans="1:36">
      <c r="A366" s="46">
        <f>IF(C366="","","VS-"&amp;TEXT(ROW()-4,"0000"))</f>
        <v>0</v>
      </c>
      <c r="D366" s="28">
        <f>IF(B366="","",IFERROR(INDEX(Bookings!$C$5:$C$404,MATCH(B366,Bookings!$A$5:$A$404,0)),""))</f>
        <v>0</v>
      </c>
      <c r="E366" s="28">
        <f>IF(B366="","",IFERROR(INDEX(Bookings!$E$5:$E$404,MATCH(B366,Bookings!$A$5:$A$404,0)),""))</f>
        <v>0</v>
      </c>
      <c r="F366" s="28">
        <f>IF(B366="","",IFERROR(INDEX(Bookings!$H$5:$H$404,MATCH(B366,Bookings!$A$5:$A$404,0)),""))</f>
        <v>0</v>
      </c>
      <c r="H366" s="53">
        <f>IF(B366="","",IFERROR(INDEX(Bookings!$K$5:$K$404,MATCH(B366,Bookings!$A$5:$A$404,0)),""))</f>
        <v>0</v>
      </c>
      <c r="K366" s="31">
        <f>IF(OR(I366="",J366=""),"",ROUND((J366-I366+IF(J366&lt;I366,1,0))*1440,0))</f>
        <v>0</v>
      </c>
      <c r="L366" s="49">
        <f>IF(OR(I366="",H366=""),"",IF(I366&lt;=H366+TIME(0,10,0),"On time","Late "&amp;TEXT((I366-H366)*1440,"0")&amp;" min"))</f>
        <v>0</v>
      </c>
      <c r="O366" s="31">
        <f>IF(OR(M366="",N366=""),"",ROUND((N366-M366+IF(N366&lt;M366,1,0))*1440,0))</f>
        <v>0</v>
      </c>
      <c r="AG366" s="28">
        <f>IF(C366="","",TEXT(C366,"yyyy-mm"))</f>
        <v>0</v>
      </c>
      <c r="AH366" s="28">
        <f>IF(B366="","",B366&amp;"|"&amp;COUNTIF($B$5:$B366,B366))</f>
        <v>0</v>
      </c>
      <c r="AI366" s="28">
        <f>IF(E366="","",E366&amp;"|"&amp;COUNTIF($E$5:$E366,E366))</f>
        <v>0</v>
      </c>
      <c r="AJ366" s="49">
        <f>IF(C366="","",IF(AE366="Missed","Missed visit - contact client",IF(Z366="Yes","Incident logged - follow up",IF(AND(AE366="Completed",AC366&lt;&gt;"Yes"),"Action - send client update",IF(AND(AE366="Completed",AD366&lt;&gt;"Yes"),"Check care checklist",IF(AND(C366&lt;TODAY(),AE366="Scheduled"),"Overdue - log the result","OK"))))))</f>
        <v>0</v>
      </c>
    </row>
    <row r="367" spans="1:36">
      <c r="A367" s="46">
        <f>IF(C367="","","VS-"&amp;TEXT(ROW()-4,"0000"))</f>
        <v>0</v>
      </c>
      <c r="D367" s="28">
        <f>IF(B367="","",IFERROR(INDEX(Bookings!$C$5:$C$404,MATCH(B367,Bookings!$A$5:$A$404,0)),""))</f>
        <v>0</v>
      </c>
      <c r="E367" s="28">
        <f>IF(B367="","",IFERROR(INDEX(Bookings!$E$5:$E$404,MATCH(B367,Bookings!$A$5:$A$404,0)),""))</f>
        <v>0</v>
      </c>
      <c r="F367" s="28">
        <f>IF(B367="","",IFERROR(INDEX(Bookings!$H$5:$H$404,MATCH(B367,Bookings!$A$5:$A$404,0)),""))</f>
        <v>0</v>
      </c>
      <c r="H367" s="53">
        <f>IF(B367="","",IFERROR(INDEX(Bookings!$K$5:$K$404,MATCH(B367,Bookings!$A$5:$A$404,0)),""))</f>
        <v>0</v>
      </c>
      <c r="K367" s="31">
        <f>IF(OR(I367="",J367=""),"",ROUND((J367-I367+IF(J367&lt;I367,1,0))*1440,0))</f>
        <v>0</v>
      </c>
      <c r="L367" s="49">
        <f>IF(OR(I367="",H367=""),"",IF(I367&lt;=H367+TIME(0,10,0),"On time","Late "&amp;TEXT((I367-H367)*1440,"0")&amp;" min"))</f>
        <v>0</v>
      </c>
      <c r="O367" s="31">
        <f>IF(OR(M367="",N367=""),"",ROUND((N367-M367+IF(N367&lt;M367,1,0))*1440,0))</f>
        <v>0</v>
      </c>
      <c r="AG367" s="28">
        <f>IF(C367="","",TEXT(C367,"yyyy-mm"))</f>
        <v>0</v>
      </c>
      <c r="AH367" s="28">
        <f>IF(B367="","",B367&amp;"|"&amp;COUNTIF($B$5:$B367,B367))</f>
        <v>0</v>
      </c>
      <c r="AI367" s="28">
        <f>IF(E367="","",E367&amp;"|"&amp;COUNTIF($E$5:$E367,E367))</f>
        <v>0</v>
      </c>
      <c r="AJ367" s="49">
        <f>IF(C367="","",IF(AE367="Missed","Missed visit - contact client",IF(Z367="Yes","Incident logged - follow up",IF(AND(AE367="Completed",AC367&lt;&gt;"Yes"),"Action - send client update",IF(AND(AE367="Completed",AD367&lt;&gt;"Yes"),"Check care checklist",IF(AND(C367&lt;TODAY(),AE367="Scheduled"),"Overdue - log the result","OK"))))))</f>
        <v>0</v>
      </c>
    </row>
    <row r="368" spans="1:36">
      <c r="A368" s="46">
        <f>IF(C368="","","VS-"&amp;TEXT(ROW()-4,"0000"))</f>
        <v>0</v>
      </c>
      <c r="D368" s="28">
        <f>IF(B368="","",IFERROR(INDEX(Bookings!$C$5:$C$404,MATCH(B368,Bookings!$A$5:$A$404,0)),""))</f>
        <v>0</v>
      </c>
      <c r="E368" s="28">
        <f>IF(B368="","",IFERROR(INDEX(Bookings!$E$5:$E$404,MATCH(B368,Bookings!$A$5:$A$404,0)),""))</f>
        <v>0</v>
      </c>
      <c r="F368" s="28">
        <f>IF(B368="","",IFERROR(INDEX(Bookings!$H$5:$H$404,MATCH(B368,Bookings!$A$5:$A$404,0)),""))</f>
        <v>0</v>
      </c>
      <c r="H368" s="53">
        <f>IF(B368="","",IFERROR(INDEX(Bookings!$K$5:$K$404,MATCH(B368,Bookings!$A$5:$A$404,0)),""))</f>
        <v>0</v>
      </c>
      <c r="K368" s="31">
        <f>IF(OR(I368="",J368=""),"",ROUND((J368-I368+IF(J368&lt;I368,1,0))*1440,0))</f>
        <v>0</v>
      </c>
      <c r="L368" s="49">
        <f>IF(OR(I368="",H368=""),"",IF(I368&lt;=H368+TIME(0,10,0),"On time","Late "&amp;TEXT((I368-H368)*1440,"0")&amp;" min"))</f>
        <v>0</v>
      </c>
      <c r="O368" s="31">
        <f>IF(OR(M368="",N368=""),"",ROUND((N368-M368+IF(N368&lt;M368,1,0))*1440,0))</f>
        <v>0</v>
      </c>
      <c r="AG368" s="28">
        <f>IF(C368="","",TEXT(C368,"yyyy-mm"))</f>
        <v>0</v>
      </c>
      <c r="AH368" s="28">
        <f>IF(B368="","",B368&amp;"|"&amp;COUNTIF($B$5:$B368,B368))</f>
        <v>0</v>
      </c>
      <c r="AI368" s="28">
        <f>IF(E368="","",E368&amp;"|"&amp;COUNTIF($E$5:$E368,E368))</f>
        <v>0</v>
      </c>
      <c r="AJ368" s="49">
        <f>IF(C368="","",IF(AE368="Missed","Missed visit - contact client",IF(Z368="Yes","Incident logged - follow up",IF(AND(AE368="Completed",AC368&lt;&gt;"Yes"),"Action - send client update",IF(AND(AE368="Completed",AD368&lt;&gt;"Yes"),"Check care checklist",IF(AND(C368&lt;TODAY(),AE368="Scheduled"),"Overdue - log the result","OK"))))))</f>
        <v>0</v>
      </c>
    </row>
    <row r="369" spans="1:36">
      <c r="A369" s="46">
        <f>IF(C369="","","VS-"&amp;TEXT(ROW()-4,"0000"))</f>
        <v>0</v>
      </c>
      <c r="D369" s="28">
        <f>IF(B369="","",IFERROR(INDEX(Bookings!$C$5:$C$404,MATCH(B369,Bookings!$A$5:$A$404,0)),""))</f>
        <v>0</v>
      </c>
      <c r="E369" s="28">
        <f>IF(B369="","",IFERROR(INDEX(Bookings!$E$5:$E$404,MATCH(B369,Bookings!$A$5:$A$404,0)),""))</f>
        <v>0</v>
      </c>
      <c r="F369" s="28">
        <f>IF(B369="","",IFERROR(INDEX(Bookings!$H$5:$H$404,MATCH(B369,Bookings!$A$5:$A$404,0)),""))</f>
        <v>0</v>
      </c>
      <c r="H369" s="53">
        <f>IF(B369="","",IFERROR(INDEX(Bookings!$K$5:$K$404,MATCH(B369,Bookings!$A$5:$A$404,0)),""))</f>
        <v>0</v>
      </c>
      <c r="K369" s="31">
        <f>IF(OR(I369="",J369=""),"",ROUND((J369-I369+IF(J369&lt;I369,1,0))*1440,0))</f>
        <v>0</v>
      </c>
      <c r="L369" s="49">
        <f>IF(OR(I369="",H369=""),"",IF(I369&lt;=H369+TIME(0,10,0),"On time","Late "&amp;TEXT((I369-H369)*1440,"0")&amp;" min"))</f>
        <v>0</v>
      </c>
      <c r="O369" s="31">
        <f>IF(OR(M369="",N369=""),"",ROUND((N369-M369+IF(N369&lt;M369,1,0))*1440,0))</f>
        <v>0</v>
      </c>
      <c r="AG369" s="28">
        <f>IF(C369="","",TEXT(C369,"yyyy-mm"))</f>
        <v>0</v>
      </c>
      <c r="AH369" s="28">
        <f>IF(B369="","",B369&amp;"|"&amp;COUNTIF($B$5:$B369,B369))</f>
        <v>0</v>
      </c>
      <c r="AI369" s="28">
        <f>IF(E369="","",E369&amp;"|"&amp;COUNTIF($E$5:$E369,E369))</f>
        <v>0</v>
      </c>
      <c r="AJ369" s="49">
        <f>IF(C369="","",IF(AE369="Missed","Missed visit - contact client",IF(Z369="Yes","Incident logged - follow up",IF(AND(AE369="Completed",AC369&lt;&gt;"Yes"),"Action - send client update",IF(AND(AE369="Completed",AD369&lt;&gt;"Yes"),"Check care checklist",IF(AND(C369&lt;TODAY(),AE369="Scheduled"),"Overdue - log the result","OK"))))))</f>
        <v>0</v>
      </c>
    </row>
    <row r="370" spans="1:36">
      <c r="A370" s="46">
        <f>IF(C370="","","VS-"&amp;TEXT(ROW()-4,"0000"))</f>
        <v>0</v>
      </c>
      <c r="D370" s="28">
        <f>IF(B370="","",IFERROR(INDEX(Bookings!$C$5:$C$404,MATCH(B370,Bookings!$A$5:$A$404,0)),""))</f>
        <v>0</v>
      </c>
      <c r="E370" s="28">
        <f>IF(B370="","",IFERROR(INDEX(Bookings!$E$5:$E$404,MATCH(B370,Bookings!$A$5:$A$404,0)),""))</f>
        <v>0</v>
      </c>
      <c r="F370" s="28">
        <f>IF(B370="","",IFERROR(INDEX(Bookings!$H$5:$H$404,MATCH(B370,Bookings!$A$5:$A$404,0)),""))</f>
        <v>0</v>
      </c>
      <c r="H370" s="53">
        <f>IF(B370="","",IFERROR(INDEX(Bookings!$K$5:$K$404,MATCH(B370,Bookings!$A$5:$A$404,0)),""))</f>
        <v>0</v>
      </c>
      <c r="K370" s="31">
        <f>IF(OR(I370="",J370=""),"",ROUND((J370-I370+IF(J370&lt;I370,1,0))*1440,0))</f>
        <v>0</v>
      </c>
      <c r="L370" s="49">
        <f>IF(OR(I370="",H370=""),"",IF(I370&lt;=H370+TIME(0,10,0),"On time","Late "&amp;TEXT((I370-H370)*1440,"0")&amp;" min"))</f>
        <v>0</v>
      </c>
      <c r="O370" s="31">
        <f>IF(OR(M370="",N370=""),"",ROUND((N370-M370+IF(N370&lt;M370,1,0))*1440,0))</f>
        <v>0</v>
      </c>
      <c r="AG370" s="28">
        <f>IF(C370="","",TEXT(C370,"yyyy-mm"))</f>
        <v>0</v>
      </c>
      <c r="AH370" s="28">
        <f>IF(B370="","",B370&amp;"|"&amp;COUNTIF($B$5:$B370,B370))</f>
        <v>0</v>
      </c>
      <c r="AI370" s="28">
        <f>IF(E370="","",E370&amp;"|"&amp;COUNTIF($E$5:$E370,E370))</f>
        <v>0</v>
      </c>
      <c r="AJ370" s="49">
        <f>IF(C370="","",IF(AE370="Missed","Missed visit - contact client",IF(Z370="Yes","Incident logged - follow up",IF(AND(AE370="Completed",AC370&lt;&gt;"Yes"),"Action - send client update",IF(AND(AE370="Completed",AD370&lt;&gt;"Yes"),"Check care checklist",IF(AND(C370&lt;TODAY(),AE370="Scheduled"),"Overdue - log the result","OK"))))))</f>
        <v>0</v>
      </c>
    </row>
    <row r="371" spans="1:36">
      <c r="A371" s="46">
        <f>IF(C371="","","VS-"&amp;TEXT(ROW()-4,"0000"))</f>
        <v>0</v>
      </c>
      <c r="D371" s="28">
        <f>IF(B371="","",IFERROR(INDEX(Bookings!$C$5:$C$404,MATCH(B371,Bookings!$A$5:$A$404,0)),""))</f>
        <v>0</v>
      </c>
      <c r="E371" s="28">
        <f>IF(B371="","",IFERROR(INDEX(Bookings!$E$5:$E$404,MATCH(B371,Bookings!$A$5:$A$404,0)),""))</f>
        <v>0</v>
      </c>
      <c r="F371" s="28">
        <f>IF(B371="","",IFERROR(INDEX(Bookings!$H$5:$H$404,MATCH(B371,Bookings!$A$5:$A$404,0)),""))</f>
        <v>0</v>
      </c>
      <c r="H371" s="53">
        <f>IF(B371="","",IFERROR(INDEX(Bookings!$K$5:$K$404,MATCH(B371,Bookings!$A$5:$A$404,0)),""))</f>
        <v>0</v>
      </c>
      <c r="K371" s="31">
        <f>IF(OR(I371="",J371=""),"",ROUND((J371-I371+IF(J371&lt;I371,1,0))*1440,0))</f>
        <v>0</v>
      </c>
      <c r="L371" s="49">
        <f>IF(OR(I371="",H371=""),"",IF(I371&lt;=H371+TIME(0,10,0),"On time","Late "&amp;TEXT((I371-H371)*1440,"0")&amp;" min"))</f>
        <v>0</v>
      </c>
      <c r="O371" s="31">
        <f>IF(OR(M371="",N371=""),"",ROUND((N371-M371+IF(N371&lt;M371,1,0))*1440,0))</f>
        <v>0</v>
      </c>
      <c r="AG371" s="28">
        <f>IF(C371="","",TEXT(C371,"yyyy-mm"))</f>
        <v>0</v>
      </c>
      <c r="AH371" s="28">
        <f>IF(B371="","",B371&amp;"|"&amp;COUNTIF($B$5:$B371,B371))</f>
        <v>0</v>
      </c>
      <c r="AI371" s="28">
        <f>IF(E371="","",E371&amp;"|"&amp;COUNTIF($E$5:$E371,E371))</f>
        <v>0</v>
      </c>
      <c r="AJ371" s="49">
        <f>IF(C371="","",IF(AE371="Missed","Missed visit - contact client",IF(Z371="Yes","Incident logged - follow up",IF(AND(AE371="Completed",AC371&lt;&gt;"Yes"),"Action - send client update",IF(AND(AE371="Completed",AD371&lt;&gt;"Yes"),"Check care checklist",IF(AND(C371&lt;TODAY(),AE371="Scheduled"),"Overdue - log the result","OK"))))))</f>
        <v>0</v>
      </c>
    </row>
    <row r="372" spans="1:36">
      <c r="A372" s="46">
        <f>IF(C372="","","VS-"&amp;TEXT(ROW()-4,"0000"))</f>
        <v>0</v>
      </c>
      <c r="D372" s="28">
        <f>IF(B372="","",IFERROR(INDEX(Bookings!$C$5:$C$404,MATCH(B372,Bookings!$A$5:$A$404,0)),""))</f>
        <v>0</v>
      </c>
      <c r="E372" s="28">
        <f>IF(B372="","",IFERROR(INDEX(Bookings!$E$5:$E$404,MATCH(B372,Bookings!$A$5:$A$404,0)),""))</f>
        <v>0</v>
      </c>
      <c r="F372" s="28">
        <f>IF(B372="","",IFERROR(INDEX(Bookings!$H$5:$H$404,MATCH(B372,Bookings!$A$5:$A$404,0)),""))</f>
        <v>0</v>
      </c>
      <c r="H372" s="53">
        <f>IF(B372="","",IFERROR(INDEX(Bookings!$K$5:$K$404,MATCH(B372,Bookings!$A$5:$A$404,0)),""))</f>
        <v>0</v>
      </c>
      <c r="K372" s="31">
        <f>IF(OR(I372="",J372=""),"",ROUND((J372-I372+IF(J372&lt;I372,1,0))*1440,0))</f>
        <v>0</v>
      </c>
      <c r="L372" s="49">
        <f>IF(OR(I372="",H372=""),"",IF(I372&lt;=H372+TIME(0,10,0),"On time","Late "&amp;TEXT((I372-H372)*1440,"0")&amp;" min"))</f>
        <v>0</v>
      </c>
      <c r="O372" s="31">
        <f>IF(OR(M372="",N372=""),"",ROUND((N372-M372+IF(N372&lt;M372,1,0))*1440,0))</f>
        <v>0</v>
      </c>
      <c r="AG372" s="28">
        <f>IF(C372="","",TEXT(C372,"yyyy-mm"))</f>
        <v>0</v>
      </c>
      <c r="AH372" s="28">
        <f>IF(B372="","",B372&amp;"|"&amp;COUNTIF($B$5:$B372,B372))</f>
        <v>0</v>
      </c>
      <c r="AI372" s="28">
        <f>IF(E372="","",E372&amp;"|"&amp;COUNTIF($E$5:$E372,E372))</f>
        <v>0</v>
      </c>
      <c r="AJ372" s="49">
        <f>IF(C372="","",IF(AE372="Missed","Missed visit - contact client",IF(Z372="Yes","Incident logged - follow up",IF(AND(AE372="Completed",AC372&lt;&gt;"Yes"),"Action - send client update",IF(AND(AE372="Completed",AD372&lt;&gt;"Yes"),"Check care checklist",IF(AND(C372&lt;TODAY(),AE372="Scheduled"),"Overdue - log the result","OK"))))))</f>
        <v>0</v>
      </c>
    </row>
    <row r="373" spans="1:36">
      <c r="A373" s="46">
        <f>IF(C373="","","VS-"&amp;TEXT(ROW()-4,"0000"))</f>
        <v>0</v>
      </c>
      <c r="D373" s="28">
        <f>IF(B373="","",IFERROR(INDEX(Bookings!$C$5:$C$404,MATCH(B373,Bookings!$A$5:$A$404,0)),""))</f>
        <v>0</v>
      </c>
      <c r="E373" s="28">
        <f>IF(B373="","",IFERROR(INDEX(Bookings!$E$5:$E$404,MATCH(B373,Bookings!$A$5:$A$404,0)),""))</f>
        <v>0</v>
      </c>
      <c r="F373" s="28">
        <f>IF(B373="","",IFERROR(INDEX(Bookings!$H$5:$H$404,MATCH(B373,Bookings!$A$5:$A$404,0)),""))</f>
        <v>0</v>
      </c>
      <c r="H373" s="53">
        <f>IF(B373="","",IFERROR(INDEX(Bookings!$K$5:$K$404,MATCH(B373,Bookings!$A$5:$A$404,0)),""))</f>
        <v>0</v>
      </c>
      <c r="K373" s="31">
        <f>IF(OR(I373="",J373=""),"",ROUND((J373-I373+IF(J373&lt;I373,1,0))*1440,0))</f>
        <v>0</v>
      </c>
      <c r="L373" s="49">
        <f>IF(OR(I373="",H373=""),"",IF(I373&lt;=H373+TIME(0,10,0),"On time","Late "&amp;TEXT((I373-H373)*1440,"0")&amp;" min"))</f>
        <v>0</v>
      </c>
      <c r="O373" s="31">
        <f>IF(OR(M373="",N373=""),"",ROUND((N373-M373+IF(N373&lt;M373,1,0))*1440,0))</f>
        <v>0</v>
      </c>
      <c r="AG373" s="28">
        <f>IF(C373="","",TEXT(C373,"yyyy-mm"))</f>
        <v>0</v>
      </c>
      <c r="AH373" s="28">
        <f>IF(B373="","",B373&amp;"|"&amp;COUNTIF($B$5:$B373,B373))</f>
        <v>0</v>
      </c>
      <c r="AI373" s="28">
        <f>IF(E373="","",E373&amp;"|"&amp;COUNTIF($E$5:$E373,E373))</f>
        <v>0</v>
      </c>
      <c r="AJ373" s="49">
        <f>IF(C373="","",IF(AE373="Missed","Missed visit - contact client",IF(Z373="Yes","Incident logged - follow up",IF(AND(AE373="Completed",AC373&lt;&gt;"Yes"),"Action - send client update",IF(AND(AE373="Completed",AD373&lt;&gt;"Yes"),"Check care checklist",IF(AND(C373&lt;TODAY(),AE373="Scheduled"),"Overdue - log the result","OK"))))))</f>
        <v>0</v>
      </c>
    </row>
    <row r="374" spans="1:36">
      <c r="A374" s="46">
        <f>IF(C374="","","VS-"&amp;TEXT(ROW()-4,"0000"))</f>
        <v>0</v>
      </c>
      <c r="D374" s="28">
        <f>IF(B374="","",IFERROR(INDEX(Bookings!$C$5:$C$404,MATCH(B374,Bookings!$A$5:$A$404,0)),""))</f>
        <v>0</v>
      </c>
      <c r="E374" s="28">
        <f>IF(B374="","",IFERROR(INDEX(Bookings!$E$5:$E$404,MATCH(B374,Bookings!$A$5:$A$404,0)),""))</f>
        <v>0</v>
      </c>
      <c r="F374" s="28">
        <f>IF(B374="","",IFERROR(INDEX(Bookings!$H$5:$H$404,MATCH(B374,Bookings!$A$5:$A$404,0)),""))</f>
        <v>0</v>
      </c>
      <c r="H374" s="53">
        <f>IF(B374="","",IFERROR(INDEX(Bookings!$K$5:$K$404,MATCH(B374,Bookings!$A$5:$A$404,0)),""))</f>
        <v>0</v>
      </c>
      <c r="K374" s="31">
        <f>IF(OR(I374="",J374=""),"",ROUND((J374-I374+IF(J374&lt;I374,1,0))*1440,0))</f>
        <v>0</v>
      </c>
      <c r="L374" s="49">
        <f>IF(OR(I374="",H374=""),"",IF(I374&lt;=H374+TIME(0,10,0),"On time","Late "&amp;TEXT((I374-H374)*1440,"0")&amp;" min"))</f>
        <v>0</v>
      </c>
      <c r="O374" s="31">
        <f>IF(OR(M374="",N374=""),"",ROUND((N374-M374+IF(N374&lt;M374,1,0))*1440,0))</f>
        <v>0</v>
      </c>
      <c r="AG374" s="28">
        <f>IF(C374="","",TEXT(C374,"yyyy-mm"))</f>
        <v>0</v>
      </c>
      <c r="AH374" s="28">
        <f>IF(B374="","",B374&amp;"|"&amp;COUNTIF($B$5:$B374,B374))</f>
        <v>0</v>
      </c>
      <c r="AI374" s="28">
        <f>IF(E374="","",E374&amp;"|"&amp;COUNTIF($E$5:$E374,E374))</f>
        <v>0</v>
      </c>
      <c r="AJ374" s="49">
        <f>IF(C374="","",IF(AE374="Missed","Missed visit - contact client",IF(Z374="Yes","Incident logged - follow up",IF(AND(AE374="Completed",AC374&lt;&gt;"Yes"),"Action - send client update",IF(AND(AE374="Completed",AD374&lt;&gt;"Yes"),"Check care checklist",IF(AND(C374&lt;TODAY(),AE374="Scheduled"),"Overdue - log the result","OK"))))))</f>
        <v>0</v>
      </c>
    </row>
    <row r="375" spans="1:36">
      <c r="A375" s="46">
        <f>IF(C375="","","VS-"&amp;TEXT(ROW()-4,"0000"))</f>
        <v>0</v>
      </c>
      <c r="D375" s="28">
        <f>IF(B375="","",IFERROR(INDEX(Bookings!$C$5:$C$404,MATCH(B375,Bookings!$A$5:$A$404,0)),""))</f>
        <v>0</v>
      </c>
      <c r="E375" s="28">
        <f>IF(B375="","",IFERROR(INDEX(Bookings!$E$5:$E$404,MATCH(B375,Bookings!$A$5:$A$404,0)),""))</f>
        <v>0</v>
      </c>
      <c r="F375" s="28">
        <f>IF(B375="","",IFERROR(INDEX(Bookings!$H$5:$H$404,MATCH(B375,Bookings!$A$5:$A$404,0)),""))</f>
        <v>0</v>
      </c>
      <c r="H375" s="53">
        <f>IF(B375="","",IFERROR(INDEX(Bookings!$K$5:$K$404,MATCH(B375,Bookings!$A$5:$A$404,0)),""))</f>
        <v>0</v>
      </c>
      <c r="K375" s="31">
        <f>IF(OR(I375="",J375=""),"",ROUND((J375-I375+IF(J375&lt;I375,1,0))*1440,0))</f>
        <v>0</v>
      </c>
      <c r="L375" s="49">
        <f>IF(OR(I375="",H375=""),"",IF(I375&lt;=H375+TIME(0,10,0),"On time","Late "&amp;TEXT((I375-H375)*1440,"0")&amp;" min"))</f>
        <v>0</v>
      </c>
      <c r="O375" s="31">
        <f>IF(OR(M375="",N375=""),"",ROUND((N375-M375+IF(N375&lt;M375,1,0))*1440,0))</f>
        <v>0</v>
      </c>
      <c r="AG375" s="28">
        <f>IF(C375="","",TEXT(C375,"yyyy-mm"))</f>
        <v>0</v>
      </c>
      <c r="AH375" s="28">
        <f>IF(B375="","",B375&amp;"|"&amp;COUNTIF($B$5:$B375,B375))</f>
        <v>0</v>
      </c>
      <c r="AI375" s="28">
        <f>IF(E375="","",E375&amp;"|"&amp;COUNTIF($E$5:$E375,E375))</f>
        <v>0</v>
      </c>
      <c r="AJ375" s="49">
        <f>IF(C375="","",IF(AE375="Missed","Missed visit - contact client",IF(Z375="Yes","Incident logged - follow up",IF(AND(AE375="Completed",AC375&lt;&gt;"Yes"),"Action - send client update",IF(AND(AE375="Completed",AD375&lt;&gt;"Yes"),"Check care checklist",IF(AND(C375&lt;TODAY(),AE375="Scheduled"),"Overdue - log the result","OK"))))))</f>
        <v>0</v>
      </c>
    </row>
    <row r="376" spans="1:36">
      <c r="A376" s="46">
        <f>IF(C376="","","VS-"&amp;TEXT(ROW()-4,"0000"))</f>
        <v>0</v>
      </c>
      <c r="D376" s="28">
        <f>IF(B376="","",IFERROR(INDEX(Bookings!$C$5:$C$404,MATCH(B376,Bookings!$A$5:$A$404,0)),""))</f>
        <v>0</v>
      </c>
      <c r="E376" s="28">
        <f>IF(B376="","",IFERROR(INDEX(Bookings!$E$5:$E$404,MATCH(B376,Bookings!$A$5:$A$404,0)),""))</f>
        <v>0</v>
      </c>
      <c r="F376" s="28">
        <f>IF(B376="","",IFERROR(INDEX(Bookings!$H$5:$H$404,MATCH(B376,Bookings!$A$5:$A$404,0)),""))</f>
        <v>0</v>
      </c>
      <c r="H376" s="53">
        <f>IF(B376="","",IFERROR(INDEX(Bookings!$K$5:$K$404,MATCH(B376,Bookings!$A$5:$A$404,0)),""))</f>
        <v>0</v>
      </c>
      <c r="K376" s="31">
        <f>IF(OR(I376="",J376=""),"",ROUND((J376-I376+IF(J376&lt;I376,1,0))*1440,0))</f>
        <v>0</v>
      </c>
      <c r="L376" s="49">
        <f>IF(OR(I376="",H376=""),"",IF(I376&lt;=H376+TIME(0,10,0),"On time","Late "&amp;TEXT((I376-H376)*1440,"0")&amp;" min"))</f>
        <v>0</v>
      </c>
      <c r="O376" s="31">
        <f>IF(OR(M376="",N376=""),"",ROUND((N376-M376+IF(N376&lt;M376,1,0))*1440,0))</f>
        <v>0</v>
      </c>
      <c r="AG376" s="28">
        <f>IF(C376="","",TEXT(C376,"yyyy-mm"))</f>
        <v>0</v>
      </c>
      <c r="AH376" s="28">
        <f>IF(B376="","",B376&amp;"|"&amp;COUNTIF($B$5:$B376,B376))</f>
        <v>0</v>
      </c>
      <c r="AI376" s="28">
        <f>IF(E376="","",E376&amp;"|"&amp;COUNTIF($E$5:$E376,E376))</f>
        <v>0</v>
      </c>
      <c r="AJ376" s="49">
        <f>IF(C376="","",IF(AE376="Missed","Missed visit - contact client",IF(Z376="Yes","Incident logged - follow up",IF(AND(AE376="Completed",AC376&lt;&gt;"Yes"),"Action - send client update",IF(AND(AE376="Completed",AD376&lt;&gt;"Yes"),"Check care checklist",IF(AND(C376&lt;TODAY(),AE376="Scheduled"),"Overdue - log the result","OK"))))))</f>
        <v>0</v>
      </c>
    </row>
    <row r="377" spans="1:36">
      <c r="A377" s="46">
        <f>IF(C377="","","VS-"&amp;TEXT(ROW()-4,"0000"))</f>
        <v>0</v>
      </c>
      <c r="D377" s="28">
        <f>IF(B377="","",IFERROR(INDEX(Bookings!$C$5:$C$404,MATCH(B377,Bookings!$A$5:$A$404,0)),""))</f>
        <v>0</v>
      </c>
      <c r="E377" s="28">
        <f>IF(B377="","",IFERROR(INDEX(Bookings!$E$5:$E$404,MATCH(B377,Bookings!$A$5:$A$404,0)),""))</f>
        <v>0</v>
      </c>
      <c r="F377" s="28">
        <f>IF(B377="","",IFERROR(INDEX(Bookings!$H$5:$H$404,MATCH(B377,Bookings!$A$5:$A$404,0)),""))</f>
        <v>0</v>
      </c>
      <c r="H377" s="53">
        <f>IF(B377="","",IFERROR(INDEX(Bookings!$K$5:$K$404,MATCH(B377,Bookings!$A$5:$A$404,0)),""))</f>
        <v>0</v>
      </c>
      <c r="K377" s="31">
        <f>IF(OR(I377="",J377=""),"",ROUND((J377-I377+IF(J377&lt;I377,1,0))*1440,0))</f>
        <v>0</v>
      </c>
      <c r="L377" s="49">
        <f>IF(OR(I377="",H377=""),"",IF(I377&lt;=H377+TIME(0,10,0),"On time","Late "&amp;TEXT((I377-H377)*1440,"0")&amp;" min"))</f>
        <v>0</v>
      </c>
      <c r="O377" s="31">
        <f>IF(OR(M377="",N377=""),"",ROUND((N377-M377+IF(N377&lt;M377,1,0))*1440,0))</f>
        <v>0</v>
      </c>
      <c r="AG377" s="28">
        <f>IF(C377="","",TEXT(C377,"yyyy-mm"))</f>
        <v>0</v>
      </c>
      <c r="AH377" s="28">
        <f>IF(B377="","",B377&amp;"|"&amp;COUNTIF($B$5:$B377,B377))</f>
        <v>0</v>
      </c>
      <c r="AI377" s="28">
        <f>IF(E377="","",E377&amp;"|"&amp;COUNTIF($E$5:$E377,E377))</f>
        <v>0</v>
      </c>
      <c r="AJ377" s="49">
        <f>IF(C377="","",IF(AE377="Missed","Missed visit - contact client",IF(Z377="Yes","Incident logged - follow up",IF(AND(AE377="Completed",AC377&lt;&gt;"Yes"),"Action - send client update",IF(AND(AE377="Completed",AD377&lt;&gt;"Yes"),"Check care checklist",IF(AND(C377&lt;TODAY(),AE377="Scheduled"),"Overdue - log the result","OK"))))))</f>
        <v>0</v>
      </c>
    </row>
    <row r="378" spans="1:36">
      <c r="A378" s="46">
        <f>IF(C378="","","VS-"&amp;TEXT(ROW()-4,"0000"))</f>
        <v>0</v>
      </c>
      <c r="D378" s="28">
        <f>IF(B378="","",IFERROR(INDEX(Bookings!$C$5:$C$404,MATCH(B378,Bookings!$A$5:$A$404,0)),""))</f>
        <v>0</v>
      </c>
      <c r="E378" s="28">
        <f>IF(B378="","",IFERROR(INDEX(Bookings!$E$5:$E$404,MATCH(B378,Bookings!$A$5:$A$404,0)),""))</f>
        <v>0</v>
      </c>
      <c r="F378" s="28">
        <f>IF(B378="","",IFERROR(INDEX(Bookings!$H$5:$H$404,MATCH(B378,Bookings!$A$5:$A$404,0)),""))</f>
        <v>0</v>
      </c>
      <c r="H378" s="53">
        <f>IF(B378="","",IFERROR(INDEX(Bookings!$K$5:$K$404,MATCH(B378,Bookings!$A$5:$A$404,0)),""))</f>
        <v>0</v>
      </c>
      <c r="K378" s="31">
        <f>IF(OR(I378="",J378=""),"",ROUND((J378-I378+IF(J378&lt;I378,1,0))*1440,0))</f>
        <v>0</v>
      </c>
      <c r="L378" s="49">
        <f>IF(OR(I378="",H378=""),"",IF(I378&lt;=H378+TIME(0,10,0),"On time","Late "&amp;TEXT((I378-H378)*1440,"0")&amp;" min"))</f>
        <v>0</v>
      </c>
      <c r="O378" s="31">
        <f>IF(OR(M378="",N378=""),"",ROUND((N378-M378+IF(N378&lt;M378,1,0))*1440,0))</f>
        <v>0</v>
      </c>
      <c r="AG378" s="28">
        <f>IF(C378="","",TEXT(C378,"yyyy-mm"))</f>
        <v>0</v>
      </c>
      <c r="AH378" s="28">
        <f>IF(B378="","",B378&amp;"|"&amp;COUNTIF($B$5:$B378,B378))</f>
        <v>0</v>
      </c>
      <c r="AI378" s="28">
        <f>IF(E378="","",E378&amp;"|"&amp;COUNTIF($E$5:$E378,E378))</f>
        <v>0</v>
      </c>
      <c r="AJ378" s="49">
        <f>IF(C378="","",IF(AE378="Missed","Missed visit - contact client",IF(Z378="Yes","Incident logged - follow up",IF(AND(AE378="Completed",AC378&lt;&gt;"Yes"),"Action - send client update",IF(AND(AE378="Completed",AD378&lt;&gt;"Yes"),"Check care checklist",IF(AND(C378&lt;TODAY(),AE378="Scheduled"),"Overdue - log the result","OK"))))))</f>
        <v>0</v>
      </c>
    </row>
    <row r="379" spans="1:36">
      <c r="A379" s="46">
        <f>IF(C379="","","VS-"&amp;TEXT(ROW()-4,"0000"))</f>
        <v>0</v>
      </c>
      <c r="D379" s="28">
        <f>IF(B379="","",IFERROR(INDEX(Bookings!$C$5:$C$404,MATCH(B379,Bookings!$A$5:$A$404,0)),""))</f>
        <v>0</v>
      </c>
      <c r="E379" s="28">
        <f>IF(B379="","",IFERROR(INDEX(Bookings!$E$5:$E$404,MATCH(B379,Bookings!$A$5:$A$404,0)),""))</f>
        <v>0</v>
      </c>
      <c r="F379" s="28">
        <f>IF(B379="","",IFERROR(INDEX(Bookings!$H$5:$H$404,MATCH(B379,Bookings!$A$5:$A$404,0)),""))</f>
        <v>0</v>
      </c>
      <c r="H379" s="53">
        <f>IF(B379="","",IFERROR(INDEX(Bookings!$K$5:$K$404,MATCH(B379,Bookings!$A$5:$A$404,0)),""))</f>
        <v>0</v>
      </c>
      <c r="K379" s="31">
        <f>IF(OR(I379="",J379=""),"",ROUND((J379-I379+IF(J379&lt;I379,1,0))*1440,0))</f>
        <v>0</v>
      </c>
      <c r="L379" s="49">
        <f>IF(OR(I379="",H379=""),"",IF(I379&lt;=H379+TIME(0,10,0),"On time","Late "&amp;TEXT((I379-H379)*1440,"0")&amp;" min"))</f>
        <v>0</v>
      </c>
      <c r="O379" s="31">
        <f>IF(OR(M379="",N379=""),"",ROUND((N379-M379+IF(N379&lt;M379,1,0))*1440,0))</f>
        <v>0</v>
      </c>
      <c r="AG379" s="28">
        <f>IF(C379="","",TEXT(C379,"yyyy-mm"))</f>
        <v>0</v>
      </c>
      <c r="AH379" s="28">
        <f>IF(B379="","",B379&amp;"|"&amp;COUNTIF($B$5:$B379,B379))</f>
        <v>0</v>
      </c>
      <c r="AI379" s="28">
        <f>IF(E379="","",E379&amp;"|"&amp;COUNTIF($E$5:$E379,E379))</f>
        <v>0</v>
      </c>
      <c r="AJ379" s="49">
        <f>IF(C379="","",IF(AE379="Missed","Missed visit - contact client",IF(Z379="Yes","Incident logged - follow up",IF(AND(AE379="Completed",AC379&lt;&gt;"Yes"),"Action - send client update",IF(AND(AE379="Completed",AD379&lt;&gt;"Yes"),"Check care checklist",IF(AND(C379&lt;TODAY(),AE379="Scheduled"),"Overdue - log the result","OK"))))))</f>
        <v>0</v>
      </c>
    </row>
    <row r="380" spans="1:36">
      <c r="A380" s="46">
        <f>IF(C380="","","VS-"&amp;TEXT(ROW()-4,"0000"))</f>
        <v>0</v>
      </c>
      <c r="D380" s="28">
        <f>IF(B380="","",IFERROR(INDEX(Bookings!$C$5:$C$404,MATCH(B380,Bookings!$A$5:$A$404,0)),""))</f>
        <v>0</v>
      </c>
      <c r="E380" s="28">
        <f>IF(B380="","",IFERROR(INDEX(Bookings!$E$5:$E$404,MATCH(B380,Bookings!$A$5:$A$404,0)),""))</f>
        <v>0</v>
      </c>
      <c r="F380" s="28">
        <f>IF(B380="","",IFERROR(INDEX(Bookings!$H$5:$H$404,MATCH(B380,Bookings!$A$5:$A$404,0)),""))</f>
        <v>0</v>
      </c>
      <c r="H380" s="53">
        <f>IF(B380="","",IFERROR(INDEX(Bookings!$K$5:$K$404,MATCH(B380,Bookings!$A$5:$A$404,0)),""))</f>
        <v>0</v>
      </c>
      <c r="K380" s="31">
        <f>IF(OR(I380="",J380=""),"",ROUND((J380-I380+IF(J380&lt;I380,1,0))*1440,0))</f>
        <v>0</v>
      </c>
      <c r="L380" s="49">
        <f>IF(OR(I380="",H380=""),"",IF(I380&lt;=H380+TIME(0,10,0),"On time","Late "&amp;TEXT((I380-H380)*1440,"0")&amp;" min"))</f>
        <v>0</v>
      </c>
      <c r="O380" s="31">
        <f>IF(OR(M380="",N380=""),"",ROUND((N380-M380+IF(N380&lt;M380,1,0))*1440,0))</f>
        <v>0</v>
      </c>
      <c r="AG380" s="28">
        <f>IF(C380="","",TEXT(C380,"yyyy-mm"))</f>
        <v>0</v>
      </c>
      <c r="AH380" s="28">
        <f>IF(B380="","",B380&amp;"|"&amp;COUNTIF($B$5:$B380,B380))</f>
        <v>0</v>
      </c>
      <c r="AI380" s="28">
        <f>IF(E380="","",E380&amp;"|"&amp;COUNTIF($E$5:$E380,E380))</f>
        <v>0</v>
      </c>
      <c r="AJ380" s="49">
        <f>IF(C380="","",IF(AE380="Missed","Missed visit - contact client",IF(Z380="Yes","Incident logged - follow up",IF(AND(AE380="Completed",AC380&lt;&gt;"Yes"),"Action - send client update",IF(AND(AE380="Completed",AD380&lt;&gt;"Yes"),"Check care checklist",IF(AND(C380&lt;TODAY(),AE380="Scheduled"),"Overdue - log the result","OK"))))))</f>
        <v>0</v>
      </c>
    </row>
    <row r="381" spans="1:36">
      <c r="A381" s="46">
        <f>IF(C381="","","VS-"&amp;TEXT(ROW()-4,"0000"))</f>
        <v>0</v>
      </c>
      <c r="D381" s="28">
        <f>IF(B381="","",IFERROR(INDEX(Bookings!$C$5:$C$404,MATCH(B381,Bookings!$A$5:$A$404,0)),""))</f>
        <v>0</v>
      </c>
      <c r="E381" s="28">
        <f>IF(B381="","",IFERROR(INDEX(Bookings!$E$5:$E$404,MATCH(B381,Bookings!$A$5:$A$404,0)),""))</f>
        <v>0</v>
      </c>
      <c r="F381" s="28">
        <f>IF(B381="","",IFERROR(INDEX(Bookings!$H$5:$H$404,MATCH(B381,Bookings!$A$5:$A$404,0)),""))</f>
        <v>0</v>
      </c>
      <c r="H381" s="53">
        <f>IF(B381="","",IFERROR(INDEX(Bookings!$K$5:$K$404,MATCH(B381,Bookings!$A$5:$A$404,0)),""))</f>
        <v>0</v>
      </c>
      <c r="K381" s="31">
        <f>IF(OR(I381="",J381=""),"",ROUND((J381-I381+IF(J381&lt;I381,1,0))*1440,0))</f>
        <v>0</v>
      </c>
      <c r="L381" s="49">
        <f>IF(OR(I381="",H381=""),"",IF(I381&lt;=H381+TIME(0,10,0),"On time","Late "&amp;TEXT((I381-H381)*1440,"0")&amp;" min"))</f>
        <v>0</v>
      </c>
      <c r="O381" s="31">
        <f>IF(OR(M381="",N381=""),"",ROUND((N381-M381+IF(N381&lt;M381,1,0))*1440,0))</f>
        <v>0</v>
      </c>
      <c r="AG381" s="28">
        <f>IF(C381="","",TEXT(C381,"yyyy-mm"))</f>
        <v>0</v>
      </c>
      <c r="AH381" s="28">
        <f>IF(B381="","",B381&amp;"|"&amp;COUNTIF($B$5:$B381,B381))</f>
        <v>0</v>
      </c>
      <c r="AI381" s="28">
        <f>IF(E381="","",E381&amp;"|"&amp;COUNTIF($E$5:$E381,E381))</f>
        <v>0</v>
      </c>
      <c r="AJ381" s="49">
        <f>IF(C381="","",IF(AE381="Missed","Missed visit - contact client",IF(Z381="Yes","Incident logged - follow up",IF(AND(AE381="Completed",AC381&lt;&gt;"Yes"),"Action - send client update",IF(AND(AE381="Completed",AD381&lt;&gt;"Yes"),"Check care checklist",IF(AND(C381&lt;TODAY(),AE381="Scheduled"),"Overdue - log the result","OK"))))))</f>
        <v>0</v>
      </c>
    </row>
    <row r="382" spans="1:36">
      <c r="A382" s="46">
        <f>IF(C382="","","VS-"&amp;TEXT(ROW()-4,"0000"))</f>
        <v>0</v>
      </c>
      <c r="D382" s="28">
        <f>IF(B382="","",IFERROR(INDEX(Bookings!$C$5:$C$404,MATCH(B382,Bookings!$A$5:$A$404,0)),""))</f>
        <v>0</v>
      </c>
      <c r="E382" s="28">
        <f>IF(B382="","",IFERROR(INDEX(Bookings!$E$5:$E$404,MATCH(B382,Bookings!$A$5:$A$404,0)),""))</f>
        <v>0</v>
      </c>
      <c r="F382" s="28">
        <f>IF(B382="","",IFERROR(INDEX(Bookings!$H$5:$H$404,MATCH(B382,Bookings!$A$5:$A$404,0)),""))</f>
        <v>0</v>
      </c>
      <c r="H382" s="53">
        <f>IF(B382="","",IFERROR(INDEX(Bookings!$K$5:$K$404,MATCH(B382,Bookings!$A$5:$A$404,0)),""))</f>
        <v>0</v>
      </c>
      <c r="K382" s="31">
        <f>IF(OR(I382="",J382=""),"",ROUND((J382-I382+IF(J382&lt;I382,1,0))*1440,0))</f>
        <v>0</v>
      </c>
      <c r="L382" s="49">
        <f>IF(OR(I382="",H382=""),"",IF(I382&lt;=H382+TIME(0,10,0),"On time","Late "&amp;TEXT((I382-H382)*1440,"0")&amp;" min"))</f>
        <v>0</v>
      </c>
      <c r="O382" s="31">
        <f>IF(OR(M382="",N382=""),"",ROUND((N382-M382+IF(N382&lt;M382,1,0))*1440,0))</f>
        <v>0</v>
      </c>
      <c r="AG382" s="28">
        <f>IF(C382="","",TEXT(C382,"yyyy-mm"))</f>
        <v>0</v>
      </c>
      <c r="AH382" s="28">
        <f>IF(B382="","",B382&amp;"|"&amp;COUNTIF($B$5:$B382,B382))</f>
        <v>0</v>
      </c>
      <c r="AI382" s="28">
        <f>IF(E382="","",E382&amp;"|"&amp;COUNTIF($E$5:$E382,E382))</f>
        <v>0</v>
      </c>
      <c r="AJ382" s="49">
        <f>IF(C382="","",IF(AE382="Missed","Missed visit - contact client",IF(Z382="Yes","Incident logged - follow up",IF(AND(AE382="Completed",AC382&lt;&gt;"Yes"),"Action - send client update",IF(AND(AE382="Completed",AD382&lt;&gt;"Yes"),"Check care checklist",IF(AND(C382&lt;TODAY(),AE382="Scheduled"),"Overdue - log the result","OK"))))))</f>
        <v>0</v>
      </c>
    </row>
    <row r="383" spans="1:36">
      <c r="A383" s="46">
        <f>IF(C383="","","VS-"&amp;TEXT(ROW()-4,"0000"))</f>
        <v>0</v>
      </c>
      <c r="D383" s="28">
        <f>IF(B383="","",IFERROR(INDEX(Bookings!$C$5:$C$404,MATCH(B383,Bookings!$A$5:$A$404,0)),""))</f>
        <v>0</v>
      </c>
      <c r="E383" s="28">
        <f>IF(B383="","",IFERROR(INDEX(Bookings!$E$5:$E$404,MATCH(B383,Bookings!$A$5:$A$404,0)),""))</f>
        <v>0</v>
      </c>
      <c r="F383" s="28">
        <f>IF(B383="","",IFERROR(INDEX(Bookings!$H$5:$H$404,MATCH(B383,Bookings!$A$5:$A$404,0)),""))</f>
        <v>0</v>
      </c>
      <c r="H383" s="53">
        <f>IF(B383="","",IFERROR(INDEX(Bookings!$K$5:$K$404,MATCH(B383,Bookings!$A$5:$A$404,0)),""))</f>
        <v>0</v>
      </c>
      <c r="K383" s="31">
        <f>IF(OR(I383="",J383=""),"",ROUND((J383-I383+IF(J383&lt;I383,1,0))*1440,0))</f>
        <v>0</v>
      </c>
      <c r="L383" s="49">
        <f>IF(OR(I383="",H383=""),"",IF(I383&lt;=H383+TIME(0,10,0),"On time","Late "&amp;TEXT((I383-H383)*1440,"0")&amp;" min"))</f>
        <v>0</v>
      </c>
      <c r="O383" s="31">
        <f>IF(OR(M383="",N383=""),"",ROUND((N383-M383+IF(N383&lt;M383,1,0))*1440,0))</f>
        <v>0</v>
      </c>
      <c r="AG383" s="28">
        <f>IF(C383="","",TEXT(C383,"yyyy-mm"))</f>
        <v>0</v>
      </c>
      <c r="AH383" s="28">
        <f>IF(B383="","",B383&amp;"|"&amp;COUNTIF($B$5:$B383,B383))</f>
        <v>0</v>
      </c>
      <c r="AI383" s="28">
        <f>IF(E383="","",E383&amp;"|"&amp;COUNTIF($E$5:$E383,E383))</f>
        <v>0</v>
      </c>
      <c r="AJ383" s="49">
        <f>IF(C383="","",IF(AE383="Missed","Missed visit - contact client",IF(Z383="Yes","Incident logged - follow up",IF(AND(AE383="Completed",AC383&lt;&gt;"Yes"),"Action - send client update",IF(AND(AE383="Completed",AD383&lt;&gt;"Yes"),"Check care checklist",IF(AND(C383&lt;TODAY(),AE383="Scheduled"),"Overdue - log the result","OK"))))))</f>
        <v>0</v>
      </c>
    </row>
    <row r="384" spans="1:36">
      <c r="A384" s="46">
        <f>IF(C384="","","VS-"&amp;TEXT(ROW()-4,"0000"))</f>
        <v>0</v>
      </c>
      <c r="D384" s="28">
        <f>IF(B384="","",IFERROR(INDEX(Bookings!$C$5:$C$404,MATCH(B384,Bookings!$A$5:$A$404,0)),""))</f>
        <v>0</v>
      </c>
      <c r="E384" s="28">
        <f>IF(B384="","",IFERROR(INDEX(Bookings!$E$5:$E$404,MATCH(B384,Bookings!$A$5:$A$404,0)),""))</f>
        <v>0</v>
      </c>
      <c r="F384" s="28">
        <f>IF(B384="","",IFERROR(INDEX(Bookings!$H$5:$H$404,MATCH(B384,Bookings!$A$5:$A$404,0)),""))</f>
        <v>0</v>
      </c>
      <c r="H384" s="53">
        <f>IF(B384="","",IFERROR(INDEX(Bookings!$K$5:$K$404,MATCH(B384,Bookings!$A$5:$A$404,0)),""))</f>
        <v>0</v>
      </c>
      <c r="K384" s="31">
        <f>IF(OR(I384="",J384=""),"",ROUND((J384-I384+IF(J384&lt;I384,1,0))*1440,0))</f>
        <v>0</v>
      </c>
      <c r="L384" s="49">
        <f>IF(OR(I384="",H384=""),"",IF(I384&lt;=H384+TIME(0,10,0),"On time","Late "&amp;TEXT((I384-H384)*1440,"0")&amp;" min"))</f>
        <v>0</v>
      </c>
      <c r="O384" s="31">
        <f>IF(OR(M384="",N384=""),"",ROUND((N384-M384+IF(N384&lt;M384,1,0))*1440,0))</f>
        <v>0</v>
      </c>
      <c r="AG384" s="28">
        <f>IF(C384="","",TEXT(C384,"yyyy-mm"))</f>
        <v>0</v>
      </c>
      <c r="AH384" s="28">
        <f>IF(B384="","",B384&amp;"|"&amp;COUNTIF($B$5:$B384,B384))</f>
        <v>0</v>
      </c>
      <c r="AI384" s="28">
        <f>IF(E384="","",E384&amp;"|"&amp;COUNTIF($E$5:$E384,E384))</f>
        <v>0</v>
      </c>
      <c r="AJ384" s="49">
        <f>IF(C384="","",IF(AE384="Missed","Missed visit - contact client",IF(Z384="Yes","Incident logged - follow up",IF(AND(AE384="Completed",AC384&lt;&gt;"Yes"),"Action - send client update",IF(AND(AE384="Completed",AD384&lt;&gt;"Yes"),"Check care checklist",IF(AND(C384&lt;TODAY(),AE384="Scheduled"),"Overdue - log the result","OK"))))))</f>
        <v>0</v>
      </c>
    </row>
    <row r="385" spans="1:36">
      <c r="A385" s="46">
        <f>IF(C385="","","VS-"&amp;TEXT(ROW()-4,"0000"))</f>
        <v>0</v>
      </c>
      <c r="D385" s="28">
        <f>IF(B385="","",IFERROR(INDEX(Bookings!$C$5:$C$404,MATCH(B385,Bookings!$A$5:$A$404,0)),""))</f>
        <v>0</v>
      </c>
      <c r="E385" s="28">
        <f>IF(B385="","",IFERROR(INDEX(Bookings!$E$5:$E$404,MATCH(B385,Bookings!$A$5:$A$404,0)),""))</f>
        <v>0</v>
      </c>
      <c r="F385" s="28">
        <f>IF(B385="","",IFERROR(INDEX(Bookings!$H$5:$H$404,MATCH(B385,Bookings!$A$5:$A$404,0)),""))</f>
        <v>0</v>
      </c>
      <c r="H385" s="53">
        <f>IF(B385="","",IFERROR(INDEX(Bookings!$K$5:$K$404,MATCH(B385,Bookings!$A$5:$A$404,0)),""))</f>
        <v>0</v>
      </c>
      <c r="K385" s="31">
        <f>IF(OR(I385="",J385=""),"",ROUND((J385-I385+IF(J385&lt;I385,1,0))*1440,0))</f>
        <v>0</v>
      </c>
      <c r="L385" s="49">
        <f>IF(OR(I385="",H385=""),"",IF(I385&lt;=H385+TIME(0,10,0),"On time","Late "&amp;TEXT((I385-H385)*1440,"0")&amp;" min"))</f>
        <v>0</v>
      </c>
      <c r="O385" s="31">
        <f>IF(OR(M385="",N385=""),"",ROUND((N385-M385+IF(N385&lt;M385,1,0))*1440,0))</f>
        <v>0</v>
      </c>
      <c r="AG385" s="28">
        <f>IF(C385="","",TEXT(C385,"yyyy-mm"))</f>
        <v>0</v>
      </c>
      <c r="AH385" s="28">
        <f>IF(B385="","",B385&amp;"|"&amp;COUNTIF($B$5:$B385,B385))</f>
        <v>0</v>
      </c>
      <c r="AI385" s="28">
        <f>IF(E385="","",E385&amp;"|"&amp;COUNTIF($E$5:$E385,E385))</f>
        <v>0</v>
      </c>
      <c r="AJ385" s="49">
        <f>IF(C385="","",IF(AE385="Missed","Missed visit - contact client",IF(Z385="Yes","Incident logged - follow up",IF(AND(AE385="Completed",AC385&lt;&gt;"Yes"),"Action - send client update",IF(AND(AE385="Completed",AD385&lt;&gt;"Yes"),"Check care checklist",IF(AND(C385&lt;TODAY(),AE385="Scheduled"),"Overdue - log the result","OK"))))))</f>
        <v>0</v>
      </c>
    </row>
    <row r="386" spans="1:36">
      <c r="A386" s="46">
        <f>IF(C386="","","VS-"&amp;TEXT(ROW()-4,"0000"))</f>
        <v>0</v>
      </c>
      <c r="D386" s="28">
        <f>IF(B386="","",IFERROR(INDEX(Bookings!$C$5:$C$404,MATCH(B386,Bookings!$A$5:$A$404,0)),""))</f>
        <v>0</v>
      </c>
      <c r="E386" s="28">
        <f>IF(B386="","",IFERROR(INDEX(Bookings!$E$5:$E$404,MATCH(B386,Bookings!$A$5:$A$404,0)),""))</f>
        <v>0</v>
      </c>
      <c r="F386" s="28">
        <f>IF(B386="","",IFERROR(INDEX(Bookings!$H$5:$H$404,MATCH(B386,Bookings!$A$5:$A$404,0)),""))</f>
        <v>0</v>
      </c>
      <c r="H386" s="53">
        <f>IF(B386="","",IFERROR(INDEX(Bookings!$K$5:$K$404,MATCH(B386,Bookings!$A$5:$A$404,0)),""))</f>
        <v>0</v>
      </c>
      <c r="K386" s="31">
        <f>IF(OR(I386="",J386=""),"",ROUND((J386-I386+IF(J386&lt;I386,1,0))*1440,0))</f>
        <v>0</v>
      </c>
      <c r="L386" s="49">
        <f>IF(OR(I386="",H386=""),"",IF(I386&lt;=H386+TIME(0,10,0),"On time","Late "&amp;TEXT((I386-H386)*1440,"0")&amp;" min"))</f>
        <v>0</v>
      </c>
      <c r="O386" s="31">
        <f>IF(OR(M386="",N386=""),"",ROUND((N386-M386+IF(N386&lt;M386,1,0))*1440,0))</f>
        <v>0</v>
      </c>
      <c r="AG386" s="28">
        <f>IF(C386="","",TEXT(C386,"yyyy-mm"))</f>
        <v>0</v>
      </c>
      <c r="AH386" s="28">
        <f>IF(B386="","",B386&amp;"|"&amp;COUNTIF($B$5:$B386,B386))</f>
        <v>0</v>
      </c>
      <c r="AI386" s="28">
        <f>IF(E386="","",E386&amp;"|"&amp;COUNTIF($E$5:$E386,E386))</f>
        <v>0</v>
      </c>
      <c r="AJ386" s="49">
        <f>IF(C386="","",IF(AE386="Missed","Missed visit - contact client",IF(Z386="Yes","Incident logged - follow up",IF(AND(AE386="Completed",AC386&lt;&gt;"Yes"),"Action - send client update",IF(AND(AE386="Completed",AD386&lt;&gt;"Yes"),"Check care checklist",IF(AND(C386&lt;TODAY(),AE386="Scheduled"),"Overdue - log the result","OK"))))))</f>
        <v>0</v>
      </c>
    </row>
    <row r="387" spans="1:36">
      <c r="A387" s="46">
        <f>IF(C387="","","VS-"&amp;TEXT(ROW()-4,"0000"))</f>
        <v>0</v>
      </c>
      <c r="D387" s="28">
        <f>IF(B387="","",IFERROR(INDEX(Bookings!$C$5:$C$404,MATCH(B387,Bookings!$A$5:$A$404,0)),""))</f>
        <v>0</v>
      </c>
      <c r="E387" s="28">
        <f>IF(B387="","",IFERROR(INDEX(Bookings!$E$5:$E$404,MATCH(B387,Bookings!$A$5:$A$404,0)),""))</f>
        <v>0</v>
      </c>
      <c r="F387" s="28">
        <f>IF(B387="","",IFERROR(INDEX(Bookings!$H$5:$H$404,MATCH(B387,Bookings!$A$5:$A$404,0)),""))</f>
        <v>0</v>
      </c>
      <c r="H387" s="53">
        <f>IF(B387="","",IFERROR(INDEX(Bookings!$K$5:$K$404,MATCH(B387,Bookings!$A$5:$A$404,0)),""))</f>
        <v>0</v>
      </c>
      <c r="K387" s="31">
        <f>IF(OR(I387="",J387=""),"",ROUND((J387-I387+IF(J387&lt;I387,1,0))*1440,0))</f>
        <v>0</v>
      </c>
      <c r="L387" s="49">
        <f>IF(OR(I387="",H387=""),"",IF(I387&lt;=H387+TIME(0,10,0),"On time","Late "&amp;TEXT((I387-H387)*1440,"0")&amp;" min"))</f>
        <v>0</v>
      </c>
      <c r="O387" s="31">
        <f>IF(OR(M387="",N387=""),"",ROUND((N387-M387+IF(N387&lt;M387,1,0))*1440,0))</f>
        <v>0</v>
      </c>
      <c r="AG387" s="28">
        <f>IF(C387="","",TEXT(C387,"yyyy-mm"))</f>
        <v>0</v>
      </c>
      <c r="AH387" s="28">
        <f>IF(B387="","",B387&amp;"|"&amp;COUNTIF($B$5:$B387,B387))</f>
        <v>0</v>
      </c>
      <c r="AI387" s="28">
        <f>IF(E387="","",E387&amp;"|"&amp;COUNTIF($E$5:$E387,E387))</f>
        <v>0</v>
      </c>
      <c r="AJ387" s="49">
        <f>IF(C387="","",IF(AE387="Missed","Missed visit - contact client",IF(Z387="Yes","Incident logged - follow up",IF(AND(AE387="Completed",AC387&lt;&gt;"Yes"),"Action - send client update",IF(AND(AE387="Completed",AD387&lt;&gt;"Yes"),"Check care checklist",IF(AND(C387&lt;TODAY(),AE387="Scheduled"),"Overdue - log the result","OK"))))))</f>
        <v>0</v>
      </c>
    </row>
    <row r="388" spans="1:36">
      <c r="A388" s="46">
        <f>IF(C388="","","VS-"&amp;TEXT(ROW()-4,"0000"))</f>
        <v>0</v>
      </c>
      <c r="D388" s="28">
        <f>IF(B388="","",IFERROR(INDEX(Bookings!$C$5:$C$404,MATCH(B388,Bookings!$A$5:$A$404,0)),""))</f>
        <v>0</v>
      </c>
      <c r="E388" s="28">
        <f>IF(B388="","",IFERROR(INDEX(Bookings!$E$5:$E$404,MATCH(B388,Bookings!$A$5:$A$404,0)),""))</f>
        <v>0</v>
      </c>
      <c r="F388" s="28">
        <f>IF(B388="","",IFERROR(INDEX(Bookings!$H$5:$H$404,MATCH(B388,Bookings!$A$5:$A$404,0)),""))</f>
        <v>0</v>
      </c>
      <c r="H388" s="53">
        <f>IF(B388="","",IFERROR(INDEX(Bookings!$K$5:$K$404,MATCH(B388,Bookings!$A$5:$A$404,0)),""))</f>
        <v>0</v>
      </c>
      <c r="K388" s="31">
        <f>IF(OR(I388="",J388=""),"",ROUND((J388-I388+IF(J388&lt;I388,1,0))*1440,0))</f>
        <v>0</v>
      </c>
      <c r="L388" s="49">
        <f>IF(OR(I388="",H388=""),"",IF(I388&lt;=H388+TIME(0,10,0),"On time","Late "&amp;TEXT((I388-H388)*1440,"0")&amp;" min"))</f>
        <v>0</v>
      </c>
      <c r="O388" s="31">
        <f>IF(OR(M388="",N388=""),"",ROUND((N388-M388+IF(N388&lt;M388,1,0))*1440,0))</f>
        <v>0</v>
      </c>
      <c r="AG388" s="28">
        <f>IF(C388="","",TEXT(C388,"yyyy-mm"))</f>
        <v>0</v>
      </c>
      <c r="AH388" s="28">
        <f>IF(B388="","",B388&amp;"|"&amp;COUNTIF($B$5:$B388,B388))</f>
        <v>0</v>
      </c>
      <c r="AI388" s="28">
        <f>IF(E388="","",E388&amp;"|"&amp;COUNTIF($E$5:$E388,E388))</f>
        <v>0</v>
      </c>
      <c r="AJ388" s="49">
        <f>IF(C388="","",IF(AE388="Missed","Missed visit - contact client",IF(Z388="Yes","Incident logged - follow up",IF(AND(AE388="Completed",AC388&lt;&gt;"Yes"),"Action - send client update",IF(AND(AE388="Completed",AD388&lt;&gt;"Yes"),"Check care checklist",IF(AND(C388&lt;TODAY(),AE388="Scheduled"),"Overdue - log the result","OK"))))))</f>
        <v>0</v>
      </c>
    </row>
    <row r="389" spans="1:36">
      <c r="A389" s="46">
        <f>IF(C389="","","VS-"&amp;TEXT(ROW()-4,"0000"))</f>
        <v>0</v>
      </c>
      <c r="D389" s="28">
        <f>IF(B389="","",IFERROR(INDEX(Bookings!$C$5:$C$404,MATCH(B389,Bookings!$A$5:$A$404,0)),""))</f>
        <v>0</v>
      </c>
      <c r="E389" s="28">
        <f>IF(B389="","",IFERROR(INDEX(Bookings!$E$5:$E$404,MATCH(B389,Bookings!$A$5:$A$404,0)),""))</f>
        <v>0</v>
      </c>
      <c r="F389" s="28">
        <f>IF(B389="","",IFERROR(INDEX(Bookings!$H$5:$H$404,MATCH(B389,Bookings!$A$5:$A$404,0)),""))</f>
        <v>0</v>
      </c>
      <c r="H389" s="53">
        <f>IF(B389="","",IFERROR(INDEX(Bookings!$K$5:$K$404,MATCH(B389,Bookings!$A$5:$A$404,0)),""))</f>
        <v>0</v>
      </c>
      <c r="K389" s="31">
        <f>IF(OR(I389="",J389=""),"",ROUND((J389-I389+IF(J389&lt;I389,1,0))*1440,0))</f>
        <v>0</v>
      </c>
      <c r="L389" s="49">
        <f>IF(OR(I389="",H389=""),"",IF(I389&lt;=H389+TIME(0,10,0),"On time","Late "&amp;TEXT((I389-H389)*1440,"0")&amp;" min"))</f>
        <v>0</v>
      </c>
      <c r="O389" s="31">
        <f>IF(OR(M389="",N389=""),"",ROUND((N389-M389+IF(N389&lt;M389,1,0))*1440,0))</f>
        <v>0</v>
      </c>
      <c r="AG389" s="28">
        <f>IF(C389="","",TEXT(C389,"yyyy-mm"))</f>
        <v>0</v>
      </c>
      <c r="AH389" s="28">
        <f>IF(B389="","",B389&amp;"|"&amp;COUNTIF($B$5:$B389,B389))</f>
        <v>0</v>
      </c>
      <c r="AI389" s="28">
        <f>IF(E389="","",E389&amp;"|"&amp;COUNTIF($E$5:$E389,E389))</f>
        <v>0</v>
      </c>
      <c r="AJ389" s="49">
        <f>IF(C389="","",IF(AE389="Missed","Missed visit - contact client",IF(Z389="Yes","Incident logged - follow up",IF(AND(AE389="Completed",AC389&lt;&gt;"Yes"),"Action - send client update",IF(AND(AE389="Completed",AD389&lt;&gt;"Yes"),"Check care checklist",IF(AND(C389&lt;TODAY(),AE389="Scheduled"),"Overdue - log the result","OK"))))))</f>
        <v>0</v>
      </c>
    </row>
    <row r="390" spans="1:36">
      <c r="A390" s="46">
        <f>IF(C390="","","VS-"&amp;TEXT(ROW()-4,"0000"))</f>
        <v>0</v>
      </c>
      <c r="D390" s="28">
        <f>IF(B390="","",IFERROR(INDEX(Bookings!$C$5:$C$404,MATCH(B390,Bookings!$A$5:$A$404,0)),""))</f>
        <v>0</v>
      </c>
      <c r="E390" s="28">
        <f>IF(B390="","",IFERROR(INDEX(Bookings!$E$5:$E$404,MATCH(B390,Bookings!$A$5:$A$404,0)),""))</f>
        <v>0</v>
      </c>
      <c r="F390" s="28">
        <f>IF(B390="","",IFERROR(INDEX(Bookings!$H$5:$H$404,MATCH(B390,Bookings!$A$5:$A$404,0)),""))</f>
        <v>0</v>
      </c>
      <c r="H390" s="53">
        <f>IF(B390="","",IFERROR(INDEX(Bookings!$K$5:$K$404,MATCH(B390,Bookings!$A$5:$A$404,0)),""))</f>
        <v>0</v>
      </c>
      <c r="K390" s="31">
        <f>IF(OR(I390="",J390=""),"",ROUND((J390-I390+IF(J390&lt;I390,1,0))*1440,0))</f>
        <v>0</v>
      </c>
      <c r="L390" s="49">
        <f>IF(OR(I390="",H390=""),"",IF(I390&lt;=H390+TIME(0,10,0),"On time","Late "&amp;TEXT((I390-H390)*1440,"0")&amp;" min"))</f>
        <v>0</v>
      </c>
      <c r="O390" s="31">
        <f>IF(OR(M390="",N390=""),"",ROUND((N390-M390+IF(N390&lt;M390,1,0))*1440,0))</f>
        <v>0</v>
      </c>
      <c r="AG390" s="28">
        <f>IF(C390="","",TEXT(C390,"yyyy-mm"))</f>
        <v>0</v>
      </c>
      <c r="AH390" s="28">
        <f>IF(B390="","",B390&amp;"|"&amp;COUNTIF($B$5:$B390,B390))</f>
        <v>0</v>
      </c>
      <c r="AI390" s="28">
        <f>IF(E390="","",E390&amp;"|"&amp;COUNTIF($E$5:$E390,E390))</f>
        <v>0</v>
      </c>
      <c r="AJ390" s="49">
        <f>IF(C390="","",IF(AE390="Missed","Missed visit - contact client",IF(Z390="Yes","Incident logged - follow up",IF(AND(AE390="Completed",AC390&lt;&gt;"Yes"),"Action - send client update",IF(AND(AE390="Completed",AD390&lt;&gt;"Yes"),"Check care checklist",IF(AND(C390&lt;TODAY(),AE390="Scheduled"),"Overdue - log the result","OK"))))))</f>
        <v>0</v>
      </c>
    </row>
    <row r="391" spans="1:36">
      <c r="A391" s="46">
        <f>IF(C391="","","VS-"&amp;TEXT(ROW()-4,"0000"))</f>
        <v>0</v>
      </c>
      <c r="D391" s="28">
        <f>IF(B391="","",IFERROR(INDEX(Bookings!$C$5:$C$404,MATCH(B391,Bookings!$A$5:$A$404,0)),""))</f>
        <v>0</v>
      </c>
      <c r="E391" s="28">
        <f>IF(B391="","",IFERROR(INDEX(Bookings!$E$5:$E$404,MATCH(B391,Bookings!$A$5:$A$404,0)),""))</f>
        <v>0</v>
      </c>
      <c r="F391" s="28">
        <f>IF(B391="","",IFERROR(INDEX(Bookings!$H$5:$H$404,MATCH(B391,Bookings!$A$5:$A$404,0)),""))</f>
        <v>0</v>
      </c>
      <c r="H391" s="53">
        <f>IF(B391="","",IFERROR(INDEX(Bookings!$K$5:$K$404,MATCH(B391,Bookings!$A$5:$A$404,0)),""))</f>
        <v>0</v>
      </c>
      <c r="K391" s="31">
        <f>IF(OR(I391="",J391=""),"",ROUND((J391-I391+IF(J391&lt;I391,1,0))*1440,0))</f>
        <v>0</v>
      </c>
      <c r="L391" s="49">
        <f>IF(OR(I391="",H391=""),"",IF(I391&lt;=H391+TIME(0,10,0),"On time","Late "&amp;TEXT((I391-H391)*1440,"0")&amp;" min"))</f>
        <v>0</v>
      </c>
      <c r="O391" s="31">
        <f>IF(OR(M391="",N391=""),"",ROUND((N391-M391+IF(N391&lt;M391,1,0))*1440,0))</f>
        <v>0</v>
      </c>
      <c r="AG391" s="28">
        <f>IF(C391="","",TEXT(C391,"yyyy-mm"))</f>
        <v>0</v>
      </c>
      <c r="AH391" s="28">
        <f>IF(B391="","",B391&amp;"|"&amp;COUNTIF($B$5:$B391,B391))</f>
        <v>0</v>
      </c>
      <c r="AI391" s="28">
        <f>IF(E391="","",E391&amp;"|"&amp;COUNTIF($E$5:$E391,E391))</f>
        <v>0</v>
      </c>
      <c r="AJ391" s="49">
        <f>IF(C391="","",IF(AE391="Missed","Missed visit - contact client",IF(Z391="Yes","Incident logged - follow up",IF(AND(AE391="Completed",AC391&lt;&gt;"Yes"),"Action - send client update",IF(AND(AE391="Completed",AD391&lt;&gt;"Yes"),"Check care checklist",IF(AND(C391&lt;TODAY(),AE391="Scheduled"),"Overdue - log the result","OK"))))))</f>
        <v>0</v>
      </c>
    </row>
    <row r="392" spans="1:36">
      <c r="A392" s="46">
        <f>IF(C392="","","VS-"&amp;TEXT(ROW()-4,"0000"))</f>
        <v>0</v>
      </c>
      <c r="D392" s="28">
        <f>IF(B392="","",IFERROR(INDEX(Bookings!$C$5:$C$404,MATCH(B392,Bookings!$A$5:$A$404,0)),""))</f>
        <v>0</v>
      </c>
      <c r="E392" s="28">
        <f>IF(B392="","",IFERROR(INDEX(Bookings!$E$5:$E$404,MATCH(B392,Bookings!$A$5:$A$404,0)),""))</f>
        <v>0</v>
      </c>
      <c r="F392" s="28">
        <f>IF(B392="","",IFERROR(INDEX(Bookings!$H$5:$H$404,MATCH(B392,Bookings!$A$5:$A$404,0)),""))</f>
        <v>0</v>
      </c>
      <c r="H392" s="53">
        <f>IF(B392="","",IFERROR(INDEX(Bookings!$K$5:$K$404,MATCH(B392,Bookings!$A$5:$A$404,0)),""))</f>
        <v>0</v>
      </c>
      <c r="K392" s="31">
        <f>IF(OR(I392="",J392=""),"",ROUND((J392-I392+IF(J392&lt;I392,1,0))*1440,0))</f>
        <v>0</v>
      </c>
      <c r="L392" s="49">
        <f>IF(OR(I392="",H392=""),"",IF(I392&lt;=H392+TIME(0,10,0),"On time","Late "&amp;TEXT((I392-H392)*1440,"0")&amp;" min"))</f>
        <v>0</v>
      </c>
      <c r="O392" s="31">
        <f>IF(OR(M392="",N392=""),"",ROUND((N392-M392+IF(N392&lt;M392,1,0))*1440,0))</f>
        <v>0</v>
      </c>
      <c r="AG392" s="28">
        <f>IF(C392="","",TEXT(C392,"yyyy-mm"))</f>
        <v>0</v>
      </c>
      <c r="AH392" s="28">
        <f>IF(B392="","",B392&amp;"|"&amp;COUNTIF($B$5:$B392,B392))</f>
        <v>0</v>
      </c>
      <c r="AI392" s="28">
        <f>IF(E392="","",E392&amp;"|"&amp;COUNTIF($E$5:$E392,E392))</f>
        <v>0</v>
      </c>
      <c r="AJ392" s="49">
        <f>IF(C392="","",IF(AE392="Missed","Missed visit - contact client",IF(Z392="Yes","Incident logged - follow up",IF(AND(AE392="Completed",AC392&lt;&gt;"Yes"),"Action - send client update",IF(AND(AE392="Completed",AD392&lt;&gt;"Yes"),"Check care checklist",IF(AND(C392&lt;TODAY(),AE392="Scheduled"),"Overdue - log the result","OK"))))))</f>
        <v>0</v>
      </c>
    </row>
    <row r="393" spans="1:36">
      <c r="A393" s="46">
        <f>IF(C393="","","VS-"&amp;TEXT(ROW()-4,"0000"))</f>
        <v>0</v>
      </c>
      <c r="D393" s="28">
        <f>IF(B393="","",IFERROR(INDEX(Bookings!$C$5:$C$404,MATCH(B393,Bookings!$A$5:$A$404,0)),""))</f>
        <v>0</v>
      </c>
      <c r="E393" s="28">
        <f>IF(B393="","",IFERROR(INDEX(Bookings!$E$5:$E$404,MATCH(B393,Bookings!$A$5:$A$404,0)),""))</f>
        <v>0</v>
      </c>
      <c r="F393" s="28">
        <f>IF(B393="","",IFERROR(INDEX(Bookings!$H$5:$H$404,MATCH(B393,Bookings!$A$5:$A$404,0)),""))</f>
        <v>0</v>
      </c>
      <c r="H393" s="53">
        <f>IF(B393="","",IFERROR(INDEX(Bookings!$K$5:$K$404,MATCH(B393,Bookings!$A$5:$A$404,0)),""))</f>
        <v>0</v>
      </c>
      <c r="K393" s="31">
        <f>IF(OR(I393="",J393=""),"",ROUND((J393-I393+IF(J393&lt;I393,1,0))*1440,0))</f>
        <v>0</v>
      </c>
      <c r="L393" s="49">
        <f>IF(OR(I393="",H393=""),"",IF(I393&lt;=H393+TIME(0,10,0),"On time","Late "&amp;TEXT((I393-H393)*1440,"0")&amp;" min"))</f>
        <v>0</v>
      </c>
      <c r="O393" s="31">
        <f>IF(OR(M393="",N393=""),"",ROUND((N393-M393+IF(N393&lt;M393,1,0))*1440,0))</f>
        <v>0</v>
      </c>
      <c r="AG393" s="28">
        <f>IF(C393="","",TEXT(C393,"yyyy-mm"))</f>
        <v>0</v>
      </c>
      <c r="AH393" s="28">
        <f>IF(B393="","",B393&amp;"|"&amp;COUNTIF($B$5:$B393,B393))</f>
        <v>0</v>
      </c>
      <c r="AI393" s="28">
        <f>IF(E393="","",E393&amp;"|"&amp;COUNTIF($E$5:$E393,E393))</f>
        <v>0</v>
      </c>
      <c r="AJ393" s="49">
        <f>IF(C393="","",IF(AE393="Missed","Missed visit - contact client",IF(Z393="Yes","Incident logged - follow up",IF(AND(AE393="Completed",AC393&lt;&gt;"Yes"),"Action - send client update",IF(AND(AE393="Completed",AD393&lt;&gt;"Yes"),"Check care checklist",IF(AND(C393&lt;TODAY(),AE393="Scheduled"),"Overdue - log the result","OK"))))))</f>
        <v>0</v>
      </c>
    </row>
    <row r="394" spans="1:36">
      <c r="A394" s="46">
        <f>IF(C394="","","VS-"&amp;TEXT(ROW()-4,"0000"))</f>
        <v>0</v>
      </c>
      <c r="D394" s="28">
        <f>IF(B394="","",IFERROR(INDEX(Bookings!$C$5:$C$404,MATCH(B394,Bookings!$A$5:$A$404,0)),""))</f>
        <v>0</v>
      </c>
      <c r="E394" s="28">
        <f>IF(B394="","",IFERROR(INDEX(Bookings!$E$5:$E$404,MATCH(B394,Bookings!$A$5:$A$404,0)),""))</f>
        <v>0</v>
      </c>
      <c r="F394" s="28">
        <f>IF(B394="","",IFERROR(INDEX(Bookings!$H$5:$H$404,MATCH(B394,Bookings!$A$5:$A$404,0)),""))</f>
        <v>0</v>
      </c>
      <c r="H394" s="53">
        <f>IF(B394="","",IFERROR(INDEX(Bookings!$K$5:$K$404,MATCH(B394,Bookings!$A$5:$A$404,0)),""))</f>
        <v>0</v>
      </c>
      <c r="K394" s="31">
        <f>IF(OR(I394="",J394=""),"",ROUND((J394-I394+IF(J394&lt;I394,1,0))*1440,0))</f>
        <v>0</v>
      </c>
      <c r="L394" s="49">
        <f>IF(OR(I394="",H394=""),"",IF(I394&lt;=H394+TIME(0,10,0),"On time","Late "&amp;TEXT((I394-H394)*1440,"0")&amp;" min"))</f>
        <v>0</v>
      </c>
      <c r="O394" s="31">
        <f>IF(OR(M394="",N394=""),"",ROUND((N394-M394+IF(N394&lt;M394,1,0))*1440,0))</f>
        <v>0</v>
      </c>
      <c r="AG394" s="28">
        <f>IF(C394="","",TEXT(C394,"yyyy-mm"))</f>
        <v>0</v>
      </c>
      <c r="AH394" s="28">
        <f>IF(B394="","",B394&amp;"|"&amp;COUNTIF($B$5:$B394,B394))</f>
        <v>0</v>
      </c>
      <c r="AI394" s="28">
        <f>IF(E394="","",E394&amp;"|"&amp;COUNTIF($E$5:$E394,E394))</f>
        <v>0</v>
      </c>
      <c r="AJ394" s="49">
        <f>IF(C394="","",IF(AE394="Missed","Missed visit - contact client",IF(Z394="Yes","Incident logged - follow up",IF(AND(AE394="Completed",AC394&lt;&gt;"Yes"),"Action - send client update",IF(AND(AE394="Completed",AD394&lt;&gt;"Yes"),"Check care checklist",IF(AND(C394&lt;TODAY(),AE394="Scheduled"),"Overdue - log the result","OK"))))))</f>
        <v>0</v>
      </c>
    </row>
    <row r="395" spans="1:36">
      <c r="A395" s="46">
        <f>IF(C395="","","VS-"&amp;TEXT(ROW()-4,"0000"))</f>
        <v>0</v>
      </c>
      <c r="D395" s="28">
        <f>IF(B395="","",IFERROR(INDEX(Bookings!$C$5:$C$404,MATCH(B395,Bookings!$A$5:$A$404,0)),""))</f>
        <v>0</v>
      </c>
      <c r="E395" s="28">
        <f>IF(B395="","",IFERROR(INDEX(Bookings!$E$5:$E$404,MATCH(B395,Bookings!$A$5:$A$404,0)),""))</f>
        <v>0</v>
      </c>
      <c r="F395" s="28">
        <f>IF(B395="","",IFERROR(INDEX(Bookings!$H$5:$H$404,MATCH(B395,Bookings!$A$5:$A$404,0)),""))</f>
        <v>0</v>
      </c>
      <c r="H395" s="53">
        <f>IF(B395="","",IFERROR(INDEX(Bookings!$K$5:$K$404,MATCH(B395,Bookings!$A$5:$A$404,0)),""))</f>
        <v>0</v>
      </c>
      <c r="K395" s="31">
        <f>IF(OR(I395="",J395=""),"",ROUND((J395-I395+IF(J395&lt;I395,1,0))*1440,0))</f>
        <v>0</v>
      </c>
      <c r="L395" s="49">
        <f>IF(OR(I395="",H395=""),"",IF(I395&lt;=H395+TIME(0,10,0),"On time","Late "&amp;TEXT((I395-H395)*1440,"0")&amp;" min"))</f>
        <v>0</v>
      </c>
      <c r="O395" s="31">
        <f>IF(OR(M395="",N395=""),"",ROUND((N395-M395+IF(N395&lt;M395,1,0))*1440,0))</f>
        <v>0</v>
      </c>
      <c r="AG395" s="28">
        <f>IF(C395="","",TEXT(C395,"yyyy-mm"))</f>
        <v>0</v>
      </c>
      <c r="AH395" s="28">
        <f>IF(B395="","",B395&amp;"|"&amp;COUNTIF($B$5:$B395,B395))</f>
        <v>0</v>
      </c>
      <c r="AI395" s="28">
        <f>IF(E395="","",E395&amp;"|"&amp;COUNTIF($E$5:$E395,E395))</f>
        <v>0</v>
      </c>
      <c r="AJ395" s="49">
        <f>IF(C395="","",IF(AE395="Missed","Missed visit - contact client",IF(Z395="Yes","Incident logged - follow up",IF(AND(AE395="Completed",AC395&lt;&gt;"Yes"),"Action - send client update",IF(AND(AE395="Completed",AD395&lt;&gt;"Yes"),"Check care checklist",IF(AND(C395&lt;TODAY(),AE395="Scheduled"),"Overdue - log the result","OK"))))))</f>
        <v>0</v>
      </c>
    </row>
    <row r="396" spans="1:36">
      <c r="A396" s="46">
        <f>IF(C396="","","VS-"&amp;TEXT(ROW()-4,"0000"))</f>
        <v>0</v>
      </c>
      <c r="D396" s="28">
        <f>IF(B396="","",IFERROR(INDEX(Bookings!$C$5:$C$404,MATCH(B396,Bookings!$A$5:$A$404,0)),""))</f>
        <v>0</v>
      </c>
      <c r="E396" s="28">
        <f>IF(B396="","",IFERROR(INDEX(Bookings!$E$5:$E$404,MATCH(B396,Bookings!$A$5:$A$404,0)),""))</f>
        <v>0</v>
      </c>
      <c r="F396" s="28">
        <f>IF(B396="","",IFERROR(INDEX(Bookings!$H$5:$H$404,MATCH(B396,Bookings!$A$5:$A$404,0)),""))</f>
        <v>0</v>
      </c>
      <c r="H396" s="53">
        <f>IF(B396="","",IFERROR(INDEX(Bookings!$K$5:$K$404,MATCH(B396,Bookings!$A$5:$A$404,0)),""))</f>
        <v>0</v>
      </c>
      <c r="K396" s="31">
        <f>IF(OR(I396="",J396=""),"",ROUND((J396-I396+IF(J396&lt;I396,1,0))*1440,0))</f>
        <v>0</v>
      </c>
      <c r="L396" s="49">
        <f>IF(OR(I396="",H396=""),"",IF(I396&lt;=H396+TIME(0,10,0),"On time","Late "&amp;TEXT((I396-H396)*1440,"0")&amp;" min"))</f>
        <v>0</v>
      </c>
      <c r="O396" s="31">
        <f>IF(OR(M396="",N396=""),"",ROUND((N396-M396+IF(N396&lt;M396,1,0))*1440,0))</f>
        <v>0</v>
      </c>
      <c r="AG396" s="28">
        <f>IF(C396="","",TEXT(C396,"yyyy-mm"))</f>
        <v>0</v>
      </c>
      <c r="AH396" s="28">
        <f>IF(B396="","",B396&amp;"|"&amp;COUNTIF($B$5:$B396,B396))</f>
        <v>0</v>
      </c>
      <c r="AI396" s="28">
        <f>IF(E396="","",E396&amp;"|"&amp;COUNTIF($E$5:$E396,E396))</f>
        <v>0</v>
      </c>
      <c r="AJ396" s="49">
        <f>IF(C396="","",IF(AE396="Missed","Missed visit - contact client",IF(Z396="Yes","Incident logged - follow up",IF(AND(AE396="Completed",AC396&lt;&gt;"Yes"),"Action - send client update",IF(AND(AE396="Completed",AD396&lt;&gt;"Yes"),"Check care checklist",IF(AND(C396&lt;TODAY(),AE396="Scheduled"),"Overdue - log the result","OK"))))))</f>
        <v>0</v>
      </c>
    </row>
    <row r="397" spans="1:36">
      <c r="A397" s="46">
        <f>IF(C397="","","VS-"&amp;TEXT(ROW()-4,"0000"))</f>
        <v>0</v>
      </c>
      <c r="D397" s="28">
        <f>IF(B397="","",IFERROR(INDEX(Bookings!$C$5:$C$404,MATCH(B397,Bookings!$A$5:$A$404,0)),""))</f>
        <v>0</v>
      </c>
      <c r="E397" s="28">
        <f>IF(B397="","",IFERROR(INDEX(Bookings!$E$5:$E$404,MATCH(B397,Bookings!$A$5:$A$404,0)),""))</f>
        <v>0</v>
      </c>
      <c r="F397" s="28">
        <f>IF(B397="","",IFERROR(INDEX(Bookings!$H$5:$H$404,MATCH(B397,Bookings!$A$5:$A$404,0)),""))</f>
        <v>0</v>
      </c>
      <c r="H397" s="53">
        <f>IF(B397="","",IFERROR(INDEX(Bookings!$K$5:$K$404,MATCH(B397,Bookings!$A$5:$A$404,0)),""))</f>
        <v>0</v>
      </c>
      <c r="K397" s="31">
        <f>IF(OR(I397="",J397=""),"",ROUND((J397-I397+IF(J397&lt;I397,1,0))*1440,0))</f>
        <v>0</v>
      </c>
      <c r="L397" s="49">
        <f>IF(OR(I397="",H397=""),"",IF(I397&lt;=H397+TIME(0,10,0),"On time","Late "&amp;TEXT((I397-H397)*1440,"0")&amp;" min"))</f>
        <v>0</v>
      </c>
      <c r="O397" s="31">
        <f>IF(OR(M397="",N397=""),"",ROUND((N397-M397+IF(N397&lt;M397,1,0))*1440,0))</f>
        <v>0</v>
      </c>
      <c r="AG397" s="28">
        <f>IF(C397="","",TEXT(C397,"yyyy-mm"))</f>
        <v>0</v>
      </c>
      <c r="AH397" s="28">
        <f>IF(B397="","",B397&amp;"|"&amp;COUNTIF($B$5:$B397,B397))</f>
        <v>0</v>
      </c>
      <c r="AI397" s="28">
        <f>IF(E397="","",E397&amp;"|"&amp;COUNTIF($E$5:$E397,E397))</f>
        <v>0</v>
      </c>
      <c r="AJ397" s="49">
        <f>IF(C397="","",IF(AE397="Missed","Missed visit - contact client",IF(Z397="Yes","Incident logged - follow up",IF(AND(AE397="Completed",AC397&lt;&gt;"Yes"),"Action - send client update",IF(AND(AE397="Completed",AD397&lt;&gt;"Yes"),"Check care checklist",IF(AND(C397&lt;TODAY(),AE397="Scheduled"),"Overdue - log the result","OK"))))))</f>
        <v>0</v>
      </c>
    </row>
    <row r="398" spans="1:36">
      <c r="A398" s="46">
        <f>IF(C398="","","VS-"&amp;TEXT(ROW()-4,"0000"))</f>
        <v>0</v>
      </c>
      <c r="D398" s="28">
        <f>IF(B398="","",IFERROR(INDEX(Bookings!$C$5:$C$404,MATCH(B398,Bookings!$A$5:$A$404,0)),""))</f>
        <v>0</v>
      </c>
      <c r="E398" s="28">
        <f>IF(B398="","",IFERROR(INDEX(Bookings!$E$5:$E$404,MATCH(B398,Bookings!$A$5:$A$404,0)),""))</f>
        <v>0</v>
      </c>
      <c r="F398" s="28">
        <f>IF(B398="","",IFERROR(INDEX(Bookings!$H$5:$H$404,MATCH(B398,Bookings!$A$5:$A$404,0)),""))</f>
        <v>0</v>
      </c>
      <c r="H398" s="53">
        <f>IF(B398="","",IFERROR(INDEX(Bookings!$K$5:$K$404,MATCH(B398,Bookings!$A$5:$A$404,0)),""))</f>
        <v>0</v>
      </c>
      <c r="K398" s="31">
        <f>IF(OR(I398="",J398=""),"",ROUND((J398-I398+IF(J398&lt;I398,1,0))*1440,0))</f>
        <v>0</v>
      </c>
      <c r="L398" s="49">
        <f>IF(OR(I398="",H398=""),"",IF(I398&lt;=H398+TIME(0,10,0),"On time","Late "&amp;TEXT((I398-H398)*1440,"0")&amp;" min"))</f>
        <v>0</v>
      </c>
      <c r="O398" s="31">
        <f>IF(OR(M398="",N398=""),"",ROUND((N398-M398+IF(N398&lt;M398,1,0))*1440,0))</f>
        <v>0</v>
      </c>
      <c r="AG398" s="28">
        <f>IF(C398="","",TEXT(C398,"yyyy-mm"))</f>
        <v>0</v>
      </c>
      <c r="AH398" s="28">
        <f>IF(B398="","",B398&amp;"|"&amp;COUNTIF($B$5:$B398,B398))</f>
        <v>0</v>
      </c>
      <c r="AI398" s="28">
        <f>IF(E398="","",E398&amp;"|"&amp;COUNTIF($E$5:$E398,E398))</f>
        <v>0</v>
      </c>
      <c r="AJ398" s="49">
        <f>IF(C398="","",IF(AE398="Missed","Missed visit - contact client",IF(Z398="Yes","Incident logged - follow up",IF(AND(AE398="Completed",AC398&lt;&gt;"Yes"),"Action - send client update",IF(AND(AE398="Completed",AD398&lt;&gt;"Yes"),"Check care checklist",IF(AND(C398&lt;TODAY(),AE398="Scheduled"),"Overdue - log the result","OK"))))))</f>
        <v>0</v>
      </c>
    </row>
    <row r="399" spans="1:36">
      <c r="A399" s="46">
        <f>IF(C399="","","VS-"&amp;TEXT(ROW()-4,"0000"))</f>
        <v>0</v>
      </c>
      <c r="D399" s="28">
        <f>IF(B399="","",IFERROR(INDEX(Bookings!$C$5:$C$404,MATCH(B399,Bookings!$A$5:$A$404,0)),""))</f>
        <v>0</v>
      </c>
      <c r="E399" s="28">
        <f>IF(B399="","",IFERROR(INDEX(Bookings!$E$5:$E$404,MATCH(B399,Bookings!$A$5:$A$404,0)),""))</f>
        <v>0</v>
      </c>
      <c r="F399" s="28">
        <f>IF(B399="","",IFERROR(INDEX(Bookings!$H$5:$H$404,MATCH(B399,Bookings!$A$5:$A$404,0)),""))</f>
        <v>0</v>
      </c>
      <c r="H399" s="53">
        <f>IF(B399="","",IFERROR(INDEX(Bookings!$K$5:$K$404,MATCH(B399,Bookings!$A$5:$A$404,0)),""))</f>
        <v>0</v>
      </c>
      <c r="K399" s="31">
        <f>IF(OR(I399="",J399=""),"",ROUND((J399-I399+IF(J399&lt;I399,1,0))*1440,0))</f>
        <v>0</v>
      </c>
      <c r="L399" s="49">
        <f>IF(OR(I399="",H399=""),"",IF(I399&lt;=H399+TIME(0,10,0),"On time","Late "&amp;TEXT((I399-H399)*1440,"0")&amp;" min"))</f>
        <v>0</v>
      </c>
      <c r="O399" s="31">
        <f>IF(OR(M399="",N399=""),"",ROUND((N399-M399+IF(N399&lt;M399,1,0))*1440,0))</f>
        <v>0</v>
      </c>
      <c r="AG399" s="28">
        <f>IF(C399="","",TEXT(C399,"yyyy-mm"))</f>
        <v>0</v>
      </c>
      <c r="AH399" s="28">
        <f>IF(B399="","",B399&amp;"|"&amp;COUNTIF($B$5:$B399,B399))</f>
        <v>0</v>
      </c>
      <c r="AI399" s="28">
        <f>IF(E399="","",E399&amp;"|"&amp;COUNTIF($E$5:$E399,E399))</f>
        <v>0</v>
      </c>
      <c r="AJ399" s="49">
        <f>IF(C399="","",IF(AE399="Missed","Missed visit - contact client",IF(Z399="Yes","Incident logged - follow up",IF(AND(AE399="Completed",AC399&lt;&gt;"Yes"),"Action - send client update",IF(AND(AE399="Completed",AD399&lt;&gt;"Yes"),"Check care checklist",IF(AND(C399&lt;TODAY(),AE399="Scheduled"),"Overdue - log the result","OK"))))))</f>
        <v>0</v>
      </c>
    </row>
    <row r="400" spans="1:36">
      <c r="A400" s="46">
        <f>IF(C400="","","VS-"&amp;TEXT(ROW()-4,"0000"))</f>
        <v>0</v>
      </c>
      <c r="D400" s="28">
        <f>IF(B400="","",IFERROR(INDEX(Bookings!$C$5:$C$404,MATCH(B400,Bookings!$A$5:$A$404,0)),""))</f>
        <v>0</v>
      </c>
      <c r="E400" s="28">
        <f>IF(B400="","",IFERROR(INDEX(Bookings!$E$5:$E$404,MATCH(B400,Bookings!$A$5:$A$404,0)),""))</f>
        <v>0</v>
      </c>
      <c r="F400" s="28">
        <f>IF(B400="","",IFERROR(INDEX(Bookings!$H$5:$H$404,MATCH(B400,Bookings!$A$5:$A$404,0)),""))</f>
        <v>0</v>
      </c>
      <c r="H400" s="53">
        <f>IF(B400="","",IFERROR(INDEX(Bookings!$K$5:$K$404,MATCH(B400,Bookings!$A$5:$A$404,0)),""))</f>
        <v>0</v>
      </c>
      <c r="K400" s="31">
        <f>IF(OR(I400="",J400=""),"",ROUND((J400-I400+IF(J400&lt;I400,1,0))*1440,0))</f>
        <v>0</v>
      </c>
      <c r="L400" s="49">
        <f>IF(OR(I400="",H400=""),"",IF(I400&lt;=H400+TIME(0,10,0),"On time","Late "&amp;TEXT((I400-H400)*1440,"0")&amp;" min"))</f>
        <v>0</v>
      </c>
      <c r="O400" s="31">
        <f>IF(OR(M400="",N400=""),"",ROUND((N400-M400+IF(N400&lt;M400,1,0))*1440,0))</f>
        <v>0</v>
      </c>
      <c r="AG400" s="28">
        <f>IF(C400="","",TEXT(C400,"yyyy-mm"))</f>
        <v>0</v>
      </c>
      <c r="AH400" s="28">
        <f>IF(B400="","",B400&amp;"|"&amp;COUNTIF($B$5:$B400,B400))</f>
        <v>0</v>
      </c>
      <c r="AI400" s="28">
        <f>IF(E400="","",E400&amp;"|"&amp;COUNTIF($E$5:$E400,E400))</f>
        <v>0</v>
      </c>
      <c r="AJ400" s="49">
        <f>IF(C400="","",IF(AE400="Missed","Missed visit - contact client",IF(Z400="Yes","Incident logged - follow up",IF(AND(AE400="Completed",AC400&lt;&gt;"Yes"),"Action - send client update",IF(AND(AE400="Completed",AD400&lt;&gt;"Yes"),"Check care checklist",IF(AND(C400&lt;TODAY(),AE400="Scheduled"),"Overdue - log the result","OK"))))))</f>
        <v>0</v>
      </c>
    </row>
    <row r="401" spans="1:36">
      <c r="A401" s="46">
        <f>IF(C401="","","VS-"&amp;TEXT(ROW()-4,"0000"))</f>
        <v>0</v>
      </c>
      <c r="D401" s="28">
        <f>IF(B401="","",IFERROR(INDEX(Bookings!$C$5:$C$404,MATCH(B401,Bookings!$A$5:$A$404,0)),""))</f>
        <v>0</v>
      </c>
      <c r="E401" s="28">
        <f>IF(B401="","",IFERROR(INDEX(Bookings!$E$5:$E$404,MATCH(B401,Bookings!$A$5:$A$404,0)),""))</f>
        <v>0</v>
      </c>
      <c r="F401" s="28">
        <f>IF(B401="","",IFERROR(INDEX(Bookings!$H$5:$H$404,MATCH(B401,Bookings!$A$5:$A$404,0)),""))</f>
        <v>0</v>
      </c>
      <c r="H401" s="53">
        <f>IF(B401="","",IFERROR(INDEX(Bookings!$K$5:$K$404,MATCH(B401,Bookings!$A$5:$A$404,0)),""))</f>
        <v>0</v>
      </c>
      <c r="K401" s="31">
        <f>IF(OR(I401="",J401=""),"",ROUND((J401-I401+IF(J401&lt;I401,1,0))*1440,0))</f>
        <v>0</v>
      </c>
      <c r="L401" s="49">
        <f>IF(OR(I401="",H401=""),"",IF(I401&lt;=H401+TIME(0,10,0),"On time","Late "&amp;TEXT((I401-H401)*1440,"0")&amp;" min"))</f>
        <v>0</v>
      </c>
      <c r="O401" s="31">
        <f>IF(OR(M401="",N401=""),"",ROUND((N401-M401+IF(N401&lt;M401,1,0))*1440,0))</f>
        <v>0</v>
      </c>
      <c r="AG401" s="28">
        <f>IF(C401="","",TEXT(C401,"yyyy-mm"))</f>
        <v>0</v>
      </c>
      <c r="AH401" s="28">
        <f>IF(B401="","",B401&amp;"|"&amp;COUNTIF($B$5:$B401,B401))</f>
        <v>0</v>
      </c>
      <c r="AI401" s="28">
        <f>IF(E401="","",E401&amp;"|"&amp;COUNTIF($E$5:$E401,E401))</f>
        <v>0</v>
      </c>
      <c r="AJ401" s="49">
        <f>IF(C401="","",IF(AE401="Missed","Missed visit - contact client",IF(Z401="Yes","Incident logged - follow up",IF(AND(AE401="Completed",AC401&lt;&gt;"Yes"),"Action - send client update",IF(AND(AE401="Completed",AD401&lt;&gt;"Yes"),"Check care checklist",IF(AND(C401&lt;TODAY(),AE401="Scheduled"),"Overdue - log the result","OK"))))))</f>
        <v>0</v>
      </c>
    </row>
    <row r="402" spans="1:36">
      <c r="A402" s="46">
        <f>IF(C402="","","VS-"&amp;TEXT(ROW()-4,"0000"))</f>
        <v>0</v>
      </c>
      <c r="D402" s="28">
        <f>IF(B402="","",IFERROR(INDEX(Bookings!$C$5:$C$404,MATCH(B402,Bookings!$A$5:$A$404,0)),""))</f>
        <v>0</v>
      </c>
      <c r="E402" s="28">
        <f>IF(B402="","",IFERROR(INDEX(Bookings!$E$5:$E$404,MATCH(B402,Bookings!$A$5:$A$404,0)),""))</f>
        <v>0</v>
      </c>
      <c r="F402" s="28">
        <f>IF(B402="","",IFERROR(INDEX(Bookings!$H$5:$H$404,MATCH(B402,Bookings!$A$5:$A$404,0)),""))</f>
        <v>0</v>
      </c>
      <c r="H402" s="53">
        <f>IF(B402="","",IFERROR(INDEX(Bookings!$K$5:$K$404,MATCH(B402,Bookings!$A$5:$A$404,0)),""))</f>
        <v>0</v>
      </c>
      <c r="K402" s="31">
        <f>IF(OR(I402="",J402=""),"",ROUND((J402-I402+IF(J402&lt;I402,1,0))*1440,0))</f>
        <v>0</v>
      </c>
      <c r="L402" s="49">
        <f>IF(OR(I402="",H402=""),"",IF(I402&lt;=H402+TIME(0,10,0),"On time","Late "&amp;TEXT((I402-H402)*1440,"0")&amp;" min"))</f>
        <v>0</v>
      </c>
      <c r="O402" s="31">
        <f>IF(OR(M402="",N402=""),"",ROUND((N402-M402+IF(N402&lt;M402,1,0))*1440,0))</f>
        <v>0</v>
      </c>
      <c r="AG402" s="28">
        <f>IF(C402="","",TEXT(C402,"yyyy-mm"))</f>
        <v>0</v>
      </c>
      <c r="AH402" s="28">
        <f>IF(B402="","",B402&amp;"|"&amp;COUNTIF($B$5:$B402,B402))</f>
        <v>0</v>
      </c>
      <c r="AI402" s="28">
        <f>IF(E402="","",E402&amp;"|"&amp;COUNTIF($E$5:$E402,E402))</f>
        <v>0</v>
      </c>
      <c r="AJ402" s="49">
        <f>IF(C402="","",IF(AE402="Missed","Missed visit - contact client",IF(Z402="Yes","Incident logged - follow up",IF(AND(AE402="Completed",AC402&lt;&gt;"Yes"),"Action - send client update",IF(AND(AE402="Completed",AD402&lt;&gt;"Yes"),"Check care checklist",IF(AND(C402&lt;TODAY(),AE402="Scheduled"),"Overdue - log the result","OK"))))))</f>
        <v>0</v>
      </c>
    </row>
    <row r="403" spans="1:36">
      <c r="A403" s="46">
        <f>IF(C403="","","VS-"&amp;TEXT(ROW()-4,"0000"))</f>
        <v>0</v>
      </c>
      <c r="D403" s="28">
        <f>IF(B403="","",IFERROR(INDEX(Bookings!$C$5:$C$404,MATCH(B403,Bookings!$A$5:$A$404,0)),""))</f>
        <v>0</v>
      </c>
      <c r="E403" s="28">
        <f>IF(B403="","",IFERROR(INDEX(Bookings!$E$5:$E$404,MATCH(B403,Bookings!$A$5:$A$404,0)),""))</f>
        <v>0</v>
      </c>
      <c r="F403" s="28">
        <f>IF(B403="","",IFERROR(INDEX(Bookings!$H$5:$H$404,MATCH(B403,Bookings!$A$5:$A$404,0)),""))</f>
        <v>0</v>
      </c>
      <c r="H403" s="53">
        <f>IF(B403="","",IFERROR(INDEX(Bookings!$K$5:$K$404,MATCH(B403,Bookings!$A$5:$A$404,0)),""))</f>
        <v>0</v>
      </c>
      <c r="K403" s="31">
        <f>IF(OR(I403="",J403=""),"",ROUND((J403-I403+IF(J403&lt;I403,1,0))*1440,0))</f>
        <v>0</v>
      </c>
      <c r="L403" s="49">
        <f>IF(OR(I403="",H403=""),"",IF(I403&lt;=H403+TIME(0,10,0),"On time","Late "&amp;TEXT((I403-H403)*1440,"0")&amp;" min"))</f>
        <v>0</v>
      </c>
      <c r="O403" s="31">
        <f>IF(OR(M403="",N403=""),"",ROUND((N403-M403+IF(N403&lt;M403,1,0))*1440,0))</f>
        <v>0</v>
      </c>
      <c r="AG403" s="28">
        <f>IF(C403="","",TEXT(C403,"yyyy-mm"))</f>
        <v>0</v>
      </c>
      <c r="AH403" s="28">
        <f>IF(B403="","",B403&amp;"|"&amp;COUNTIF($B$5:$B403,B403))</f>
        <v>0</v>
      </c>
      <c r="AI403" s="28">
        <f>IF(E403="","",E403&amp;"|"&amp;COUNTIF($E$5:$E403,E403))</f>
        <v>0</v>
      </c>
      <c r="AJ403" s="49">
        <f>IF(C403="","",IF(AE403="Missed","Missed visit - contact client",IF(Z403="Yes","Incident logged - follow up",IF(AND(AE403="Completed",AC403&lt;&gt;"Yes"),"Action - send client update",IF(AND(AE403="Completed",AD403&lt;&gt;"Yes"),"Check care checklist",IF(AND(C403&lt;TODAY(),AE403="Scheduled"),"Overdue - log the result","OK"))))))</f>
        <v>0</v>
      </c>
    </row>
    <row r="404" spans="1:36">
      <c r="A404" s="46">
        <f>IF(C404="","","VS-"&amp;TEXT(ROW()-4,"0000"))</f>
        <v>0</v>
      </c>
      <c r="D404" s="28">
        <f>IF(B404="","",IFERROR(INDEX(Bookings!$C$5:$C$404,MATCH(B404,Bookings!$A$5:$A$404,0)),""))</f>
        <v>0</v>
      </c>
      <c r="E404" s="28">
        <f>IF(B404="","",IFERROR(INDEX(Bookings!$E$5:$E$404,MATCH(B404,Bookings!$A$5:$A$404,0)),""))</f>
        <v>0</v>
      </c>
      <c r="F404" s="28">
        <f>IF(B404="","",IFERROR(INDEX(Bookings!$H$5:$H$404,MATCH(B404,Bookings!$A$5:$A$404,0)),""))</f>
        <v>0</v>
      </c>
      <c r="H404" s="53">
        <f>IF(B404="","",IFERROR(INDEX(Bookings!$K$5:$K$404,MATCH(B404,Bookings!$A$5:$A$404,0)),""))</f>
        <v>0</v>
      </c>
      <c r="K404" s="31">
        <f>IF(OR(I404="",J404=""),"",ROUND((J404-I404+IF(J404&lt;I404,1,0))*1440,0))</f>
        <v>0</v>
      </c>
      <c r="L404" s="49">
        <f>IF(OR(I404="",H404=""),"",IF(I404&lt;=H404+TIME(0,10,0),"On time","Late "&amp;TEXT((I404-H404)*1440,"0")&amp;" min"))</f>
        <v>0</v>
      </c>
      <c r="O404" s="31">
        <f>IF(OR(M404="",N404=""),"",ROUND((N404-M404+IF(N404&lt;M404,1,0))*1440,0))</f>
        <v>0</v>
      </c>
      <c r="AG404" s="28">
        <f>IF(C404="","",TEXT(C404,"yyyy-mm"))</f>
        <v>0</v>
      </c>
      <c r="AH404" s="28">
        <f>IF(B404="","",B404&amp;"|"&amp;COUNTIF($B$5:$B404,B404))</f>
        <v>0</v>
      </c>
      <c r="AI404" s="28">
        <f>IF(E404="","",E404&amp;"|"&amp;COUNTIF($E$5:$E404,E404))</f>
        <v>0</v>
      </c>
      <c r="AJ404" s="49">
        <f>IF(C404="","",IF(AE404="Missed","Missed visit - contact client",IF(Z404="Yes","Incident logged - follow up",IF(AND(AE404="Completed",AC404&lt;&gt;"Yes"),"Action - send client update",IF(AND(AE404="Completed",AD404&lt;&gt;"Yes"),"Check care checklist",IF(AND(C404&lt;TODAY(),AE404="Scheduled"),"Overdue - log the result","OK"))))))</f>
        <v>0</v>
      </c>
    </row>
  </sheetData>
  <sheetProtection password="EC7C" sheet="1" objects="1" scenarios="1" formatCells="0" formatColumns="0" formatRows="0" insertRows="0" insertHyperlinks="0" deleteRows="0" autoFilter="0"/>
  <autoFilter ref="A4:AJ404"/>
  <mergeCells count="13">
    <mergeCell ref="A1:AG1"/>
    <mergeCell ref="AH1:AJ1"/>
    <mergeCell ref="A2:AJ2"/>
    <mergeCell ref="A3:B3"/>
    <mergeCell ref="C3:D3"/>
    <mergeCell ref="E3:F3"/>
    <mergeCell ref="G3:H3"/>
    <mergeCell ref="I3:J3"/>
    <mergeCell ref="K3:L3"/>
    <mergeCell ref="M3:N3"/>
    <mergeCell ref="O3:P3"/>
    <mergeCell ref="Q3:R3"/>
    <mergeCell ref="S3:AJ3"/>
  </mergeCells>
  <conditionalFormatting sqref="AC5:AC404">
    <cfRule type="containsText" dxfId="0" priority="66" operator="containsText" text="Completed">
      <formula>NOT(ISERROR(SEARCH("Completed",AC5)))</formula>
    </cfRule>
    <cfRule type="containsText" dxfId="0" priority="67" operator="containsText" text="Confirmed">
      <formula>NOT(ISERROR(SEARCH("Confirmed",AC5)))</formula>
    </cfRule>
    <cfRule type="containsText" dxfId="0" priority="68" operator="containsText" text="Paid">
      <formula>NOT(ISERROR(SEARCH("Paid",AC5)))</formula>
    </cfRule>
    <cfRule type="containsText" dxfId="0" priority="69" operator="containsText" text="Active">
      <formula>NOT(ISERROR(SEARCH("Active",AC5)))</formula>
    </cfRule>
    <cfRule type="containsText" dxfId="0" priority="70" operator="containsText" text="Resolved">
      <formula>NOT(ISERROR(SEARCH("Resolved",AC5)))</formula>
    </cfRule>
    <cfRule type="containsText" dxfId="0" priority="71" operator="containsText" text="Given">
      <formula>NOT(ISERROR(SEARCH("Given",AC5)))</formula>
    </cfRule>
    <cfRule type="containsText" dxfId="2" priority="72" operator="containsText" text="Pending">
      <formula>NOT(ISERROR(SEARCH("Pending",AC5)))</formula>
    </cfRule>
    <cfRule type="containsText" dxfId="2" priority="73" operator="containsText" text="Draft">
      <formula>NOT(ISERROR(SEARCH("Draft",AC5)))</formula>
    </cfRule>
    <cfRule type="containsText" dxfId="2" priority="74" operator="containsText" text="Enquiry">
      <formula>NOT(ISERROR(SEARCH("Enquiry",AC5)))</formula>
    </cfRule>
    <cfRule type="containsText" dxfId="2" priority="75" operator="containsText" text="Partially">
      <formula>NOT(ISERROR(SEARCH("Partially",AC5)))</formula>
    </cfRule>
    <cfRule type="containsText" dxfId="3" priority="76" operator="containsText" text="In progress">
      <formula>NOT(ISERROR(SEARCH("In progress",AC5)))</formula>
    </cfRule>
    <cfRule type="containsText" dxfId="3" priority="77" operator="containsText" text="Scheduled">
      <formula>NOT(ISERROR(SEARCH("Scheduled",AC5)))</formula>
    </cfRule>
    <cfRule type="containsText" dxfId="3" priority="78" operator="containsText" text="Sent">
      <formula>NOT(ISERROR(SEARCH("Sent",AC5)))</formula>
    </cfRule>
    <cfRule type="containsText" dxfId="1" priority="79" operator="containsText" text="Cancelled">
      <formula>NOT(ISERROR(SEARCH("Cancelled",AC5)))</formula>
    </cfRule>
    <cfRule type="containsText" dxfId="1" priority="80" operator="containsText" text="No show">
      <formula>NOT(ISERROR(SEARCH("No show",AC5)))</formula>
    </cfRule>
    <cfRule type="containsText" dxfId="1" priority="81" operator="containsText" text="Missed">
      <formula>NOT(ISERROR(SEARCH("Missed",AC5)))</formula>
    </cfRule>
    <cfRule type="containsText" dxfId="1" priority="82" operator="containsText" text="Overdue">
      <formula>NOT(ISERROR(SEARCH("Overdue",AC5)))</formula>
    </cfRule>
    <cfRule type="containsText" dxfId="4" priority="83" operator="containsText" text="Inactive">
      <formula>NOT(ISERROR(SEARCH("Inactive",AC5)))</formula>
    </cfRule>
    <cfRule type="containsText" dxfId="1" priority="84" operator="containsText" text="Lost">
      <formula>NOT(ISERROR(SEARCH("Lost",AC5)))</formula>
    </cfRule>
  </conditionalFormatting>
  <conditionalFormatting sqref="AD5:AD404">
    <cfRule type="containsText" dxfId="0" priority="85" operator="containsText" text="Completed">
      <formula>NOT(ISERROR(SEARCH("Completed",AD5)))</formula>
    </cfRule>
    <cfRule type="containsText" dxfId="0" priority="86" operator="containsText" text="Confirmed">
      <formula>NOT(ISERROR(SEARCH("Confirmed",AD5)))</formula>
    </cfRule>
    <cfRule type="containsText" dxfId="0" priority="87" operator="containsText" text="Paid">
      <formula>NOT(ISERROR(SEARCH("Paid",AD5)))</formula>
    </cfRule>
    <cfRule type="containsText" dxfId="0" priority="88" operator="containsText" text="Active">
      <formula>NOT(ISERROR(SEARCH("Active",AD5)))</formula>
    </cfRule>
    <cfRule type="containsText" dxfId="0" priority="89" operator="containsText" text="Resolved">
      <formula>NOT(ISERROR(SEARCH("Resolved",AD5)))</formula>
    </cfRule>
    <cfRule type="containsText" dxfId="0" priority="90" operator="containsText" text="Given">
      <formula>NOT(ISERROR(SEARCH("Given",AD5)))</formula>
    </cfRule>
    <cfRule type="containsText" dxfId="2" priority="91" operator="containsText" text="Pending">
      <formula>NOT(ISERROR(SEARCH("Pending",AD5)))</formula>
    </cfRule>
    <cfRule type="containsText" dxfId="2" priority="92" operator="containsText" text="Draft">
      <formula>NOT(ISERROR(SEARCH("Draft",AD5)))</formula>
    </cfRule>
    <cfRule type="containsText" dxfId="2" priority="93" operator="containsText" text="Enquiry">
      <formula>NOT(ISERROR(SEARCH("Enquiry",AD5)))</formula>
    </cfRule>
    <cfRule type="containsText" dxfId="2" priority="94" operator="containsText" text="Partially">
      <formula>NOT(ISERROR(SEARCH("Partially",AD5)))</formula>
    </cfRule>
    <cfRule type="containsText" dxfId="3" priority="95" operator="containsText" text="In progress">
      <formula>NOT(ISERROR(SEARCH("In progress",AD5)))</formula>
    </cfRule>
    <cfRule type="containsText" dxfId="3" priority="96" operator="containsText" text="Scheduled">
      <formula>NOT(ISERROR(SEARCH("Scheduled",AD5)))</formula>
    </cfRule>
    <cfRule type="containsText" dxfId="3" priority="97" operator="containsText" text="Sent">
      <formula>NOT(ISERROR(SEARCH("Sent",AD5)))</formula>
    </cfRule>
    <cfRule type="containsText" dxfId="1" priority="98" operator="containsText" text="Cancelled">
      <formula>NOT(ISERROR(SEARCH("Cancelled",AD5)))</formula>
    </cfRule>
    <cfRule type="containsText" dxfId="1" priority="99" operator="containsText" text="No show">
      <formula>NOT(ISERROR(SEARCH("No show",AD5)))</formula>
    </cfRule>
    <cfRule type="containsText" dxfId="1" priority="100" operator="containsText" text="Missed">
      <formula>NOT(ISERROR(SEARCH("Missed",AD5)))</formula>
    </cfRule>
    <cfRule type="containsText" dxfId="1" priority="101" operator="containsText" text="Overdue">
      <formula>NOT(ISERROR(SEARCH("Overdue",AD5)))</formula>
    </cfRule>
    <cfRule type="containsText" dxfId="4" priority="102" operator="containsText" text="Inactive">
      <formula>NOT(ISERROR(SEARCH("Inactive",AD5)))</formula>
    </cfRule>
    <cfRule type="containsText" dxfId="1" priority="103" operator="containsText" text="Lost">
      <formula>NOT(ISERROR(SEARCH("Lost",AD5)))</formula>
    </cfRule>
  </conditionalFormatting>
  <conditionalFormatting sqref="AE5:AE404">
    <cfRule type="containsText" dxfId="0" priority="104" operator="containsText" text="Completed">
      <formula>NOT(ISERROR(SEARCH("Completed",AE5)))</formula>
    </cfRule>
    <cfRule type="containsText" dxfId="0" priority="105" operator="containsText" text="Confirmed">
      <formula>NOT(ISERROR(SEARCH("Confirmed",AE5)))</formula>
    </cfRule>
    <cfRule type="containsText" dxfId="0" priority="106" operator="containsText" text="Paid">
      <formula>NOT(ISERROR(SEARCH("Paid",AE5)))</formula>
    </cfRule>
    <cfRule type="containsText" dxfId="0" priority="107" operator="containsText" text="Active">
      <formula>NOT(ISERROR(SEARCH("Active",AE5)))</formula>
    </cfRule>
    <cfRule type="containsText" dxfId="0" priority="108" operator="containsText" text="Resolved">
      <formula>NOT(ISERROR(SEARCH("Resolved",AE5)))</formula>
    </cfRule>
    <cfRule type="containsText" dxfId="0" priority="109" operator="containsText" text="Given">
      <formula>NOT(ISERROR(SEARCH("Given",AE5)))</formula>
    </cfRule>
    <cfRule type="containsText" dxfId="2" priority="110" operator="containsText" text="Pending">
      <formula>NOT(ISERROR(SEARCH("Pending",AE5)))</formula>
    </cfRule>
    <cfRule type="containsText" dxfId="2" priority="111" operator="containsText" text="Draft">
      <formula>NOT(ISERROR(SEARCH("Draft",AE5)))</formula>
    </cfRule>
    <cfRule type="containsText" dxfId="2" priority="112" operator="containsText" text="Enquiry">
      <formula>NOT(ISERROR(SEARCH("Enquiry",AE5)))</formula>
    </cfRule>
    <cfRule type="containsText" dxfId="2" priority="113" operator="containsText" text="Partially">
      <formula>NOT(ISERROR(SEARCH("Partially",AE5)))</formula>
    </cfRule>
    <cfRule type="containsText" dxfId="3" priority="114" operator="containsText" text="In progress">
      <formula>NOT(ISERROR(SEARCH("In progress",AE5)))</formula>
    </cfRule>
    <cfRule type="containsText" dxfId="3" priority="115" operator="containsText" text="Scheduled">
      <formula>NOT(ISERROR(SEARCH("Scheduled",AE5)))</formula>
    </cfRule>
    <cfRule type="containsText" dxfId="3" priority="116" operator="containsText" text="Sent">
      <formula>NOT(ISERROR(SEARCH("Sent",AE5)))</formula>
    </cfRule>
    <cfRule type="containsText" dxfId="1" priority="117" operator="containsText" text="Cancelled">
      <formula>NOT(ISERROR(SEARCH("Cancelled",AE5)))</formula>
    </cfRule>
    <cfRule type="containsText" dxfId="1" priority="118" operator="containsText" text="No show">
      <formula>NOT(ISERROR(SEARCH("No show",AE5)))</formula>
    </cfRule>
    <cfRule type="containsText" dxfId="1" priority="119" operator="containsText" text="Missed">
      <formula>NOT(ISERROR(SEARCH("Missed",AE5)))</formula>
    </cfRule>
    <cfRule type="containsText" dxfId="1" priority="120" operator="containsText" text="Overdue">
      <formula>NOT(ISERROR(SEARCH("Overdue",AE5)))</formula>
    </cfRule>
    <cfRule type="containsText" dxfId="4" priority="121" operator="containsText" text="Inactive">
      <formula>NOT(ISERROR(SEARCH("Inactive",AE5)))</formula>
    </cfRule>
    <cfRule type="containsText" dxfId="1" priority="122" operator="containsText" text="Lost">
      <formula>NOT(ISERROR(SEARCH("Lost",AE5)))</formula>
    </cfRule>
  </conditionalFormatting>
  <conditionalFormatting sqref="AJ5:AJ404">
    <cfRule type="beginsWith" dxfId="0" priority="123" operator="beginsWith" text="OK">
      <formula>LEFT(AJ5,2)="OK"</formula>
    </cfRule>
    <cfRule type="containsText" dxfId="1" priority="124" operator="containsText" text="Overdue">
      <formula>NOT(ISERROR(SEARCH("Overdue",AJ5)))</formula>
    </cfRule>
    <cfRule type="containsText" dxfId="1" priority="125" operator="containsText" text="Missed">
      <formula>NOT(ISERROR(SEARCH("Missed",AJ5)))</formula>
    </cfRule>
    <cfRule type="containsText" dxfId="1" priority="126" operator="containsText" text="Conflict">
      <formula>NOT(ISERROR(SEARCH("Conflict",AJ5)))</formula>
    </cfRule>
    <cfRule type="containsText" dxfId="1" priority="127" operator="containsText" text="Expired">
      <formula>NOT(ISERROR(SEARCH("Expired",AJ5)))</formula>
    </cfRule>
    <cfRule type="containsText" dxfId="1" priority="128" operator="containsText" text="Duplicate">
      <formula>NOT(ISERROR(SEARCH("Duplicate",AJ5)))</formula>
    </cfRule>
    <cfRule type="containsText" dxfId="2" priority="129" operator="containsText" text="Action">
      <formula>NOT(ISERROR(SEARCH("Action",AJ5)))</formula>
    </cfRule>
    <cfRule type="containsText" dxfId="2" priority="130" operator="containsText" text="Due">
      <formula>NOT(ISERROR(SEARCH("Due",AJ5)))</formula>
    </cfRule>
    <cfRule type="containsText" dxfId="2" priority="131" operator="containsText" text="Check">
      <formula>NOT(ISERROR(SEARCH("Check",AJ5)))</formula>
    </cfRule>
    <cfRule type="containsText" dxfId="3" priority="132" operator="containsText" text="Today">
      <formula>NOT(ISERROR(SEARCH("Today",AJ5)))</formula>
    </cfRule>
    <cfRule type="containsText" dxfId="3" priority="133" operator="containsText" text="Upcoming">
      <formula>NOT(ISERROR(SEARCH("Upcoming",AJ5)))</formula>
    </cfRule>
  </conditionalFormatting>
  <conditionalFormatting sqref="L5:L404">
    <cfRule type="containsText" dxfId="0" priority="1" operator="containsText" text="On time">
      <formula>NOT(ISERROR(SEARCH("On time",L5)))</formula>
    </cfRule>
    <cfRule type="containsText" dxfId="2" priority="2" operator="containsText" text="Late">
      <formula>NOT(ISERROR(SEARCH("Late",L5)))</formula>
    </cfRule>
  </conditionalFormatting>
  <conditionalFormatting sqref="Q5:Q404">
    <cfRule type="containsText" dxfId="0" priority="3" operator="containsText" text="Completed">
      <formula>NOT(ISERROR(SEARCH("Completed",Q5)))</formula>
    </cfRule>
    <cfRule type="containsText" dxfId="0" priority="4" operator="containsText" text="Confirmed">
      <formula>NOT(ISERROR(SEARCH("Confirmed",Q5)))</formula>
    </cfRule>
    <cfRule type="containsText" dxfId="0" priority="5" operator="containsText" text="Paid">
      <formula>NOT(ISERROR(SEARCH("Paid",Q5)))</formula>
    </cfRule>
    <cfRule type="containsText" dxfId="0" priority="6" operator="containsText" text="Active">
      <formula>NOT(ISERROR(SEARCH("Active",Q5)))</formula>
    </cfRule>
    <cfRule type="containsText" dxfId="0" priority="7" operator="containsText" text="Resolved">
      <formula>NOT(ISERROR(SEARCH("Resolved",Q5)))</formula>
    </cfRule>
    <cfRule type="containsText" dxfId="0" priority="8" operator="containsText" text="Given">
      <formula>NOT(ISERROR(SEARCH("Given",Q5)))</formula>
    </cfRule>
    <cfRule type="containsText" dxfId="2" priority="9" operator="containsText" text="Pending">
      <formula>NOT(ISERROR(SEARCH("Pending",Q5)))</formula>
    </cfRule>
    <cfRule type="containsText" dxfId="2" priority="10" operator="containsText" text="Draft">
      <formula>NOT(ISERROR(SEARCH("Draft",Q5)))</formula>
    </cfRule>
    <cfRule type="containsText" dxfId="2" priority="11" operator="containsText" text="Enquiry">
      <formula>NOT(ISERROR(SEARCH("Enquiry",Q5)))</formula>
    </cfRule>
    <cfRule type="containsText" dxfId="2" priority="12" operator="containsText" text="Partially">
      <formula>NOT(ISERROR(SEARCH("Partially",Q5)))</formula>
    </cfRule>
    <cfRule type="containsText" dxfId="3" priority="13" operator="containsText" text="In progress">
      <formula>NOT(ISERROR(SEARCH("In progress",Q5)))</formula>
    </cfRule>
    <cfRule type="containsText" dxfId="3" priority="14" operator="containsText" text="Scheduled">
      <formula>NOT(ISERROR(SEARCH("Scheduled",Q5)))</formula>
    </cfRule>
    <cfRule type="containsText" dxfId="3" priority="15" operator="containsText" text="Sent">
      <formula>NOT(ISERROR(SEARCH("Sent",Q5)))</formula>
    </cfRule>
    <cfRule type="containsText" dxfId="1" priority="16" operator="containsText" text="Cancelled">
      <formula>NOT(ISERROR(SEARCH("Cancelled",Q5)))</formula>
    </cfRule>
    <cfRule type="containsText" dxfId="1" priority="17" operator="containsText" text="No show">
      <formula>NOT(ISERROR(SEARCH("No show",Q5)))</formula>
    </cfRule>
    <cfRule type="containsText" dxfId="1" priority="18" operator="containsText" text="Missed">
      <formula>NOT(ISERROR(SEARCH("Missed",Q5)))</formula>
    </cfRule>
    <cfRule type="containsText" dxfId="1" priority="19" operator="containsText" text="Overdue">
      <formula>NOT(ISERROR(SEARCH("Overdue",Q5)))</formula>
    </cfRule>
    <cfRule type="containsText" dxfId="4" priority="20" operator="containsText" text="Inactive">
      <formula>NOT(ISERROR(SEARCH("Inactive",Q5)))</formula>
    </cfRule>
    <cfRule type="containsText" dxfId="1" priority="21" operator="containsText" text="Lost">
      <formula>NOT(ISERROR(SEARCH("Lost",Q5)))</formula>
    </cfRule>
  </conditionalFormatting>
  <conditionalFormatting sqref="R5:R404">
    <cfRule type="containsText" dxfId="0" priority="22" operator="containsText" text="Completed">
      <formula>NOT(ISERROR(SEARCH("Completed",R5)))</formula>
    </cfRule>
    <cfRule type="containsText" dxfId="0" priority="23" operator="containsText" text="Confirmed">
      <formula>NOT(ISERROR(SEARCH("Confirmed",R5)))</formula>
    </cfRule>
    <cfRule type="containsText" dxfId="0" priority="24" operator="containsText" text="Paid">
      <formula>NOT(ISERROR(SEARCH("Paid",R5)))</formula>
    </cfRule>
    <cfRule type="containsText" dxfId="0" priority="25" operator="containsText" text="Active">
      <formula>NOT(ISERROR(SEARCH("Active",R5)))</formula>
    </cfRule>
    <cfRule type="containsText" dxfId="0" priority="26" operator="containsText" text="Resolved">
      <formula>NOT(ISERROR(SEARCH("Resolved",R5)))</formula>
    </cfRule>
    <cfRule type="containsText" dxfId="0" priority="27" operator="containsText" text="Given">
      <formula>NOT(ISERROR(SEARCH("Given",R5)))</formula>
    </cfRule>
    <cfRule type="containsText" dxfId="2" priority="28" operator="containsText" text="Pending">
      <formula>NOT(ISERROR(SEARCH("Pending",R5)))</formula>
    </cfRule>
    <cfRule type="containsText" dxfId="2" priority="29" operator="containsText" text="Draft">
      <formula>NOT(ISERROR(SEARCH("Draft",R5)))</formula>
    </cfRule>
    <cfRule type="containsText" dxfId="2" priority="30" operator="containsText" text="Enquiry">
      <formula>NOT(ISERROR(SEARCH("Enquiry",R5)))</formula>
    </cfRule>
    <cfRule type="containsText" dxfId="2" priority="31" operator="containsText" text="Partially">
      <formula>NOT(ISERROR(SEARCH("Partially",R5)))</formula>
    </cfRule>
    <cfRule type="containsText" dxfId="3" priority="32" operator="containsText" text="In progress">
      <formula>NOT(ISERROR(SEARCH("In progress",R5)))</formula>
    </cfRule>
    <cfRule type="containsText" dxfId="3" priority="33" operator="containsText" text="Scheduled">
      <formula>NOT(ISERROR(SEARCH("Scheduled",R5)))</formula>
    </cfRule>
    <cfRule type="containsText" dxfId="3" priority="34" operator="containsText" text="Sent">
      <formula>NOT(ISERROR(SEARCH("Sent",R5)))</formula>
    </cfRule>
    <cfRule type="containsText" dxfId="1" priority="35" operator="containsText" text="Cancelled">
      <formula>NOT(ISERROR(SEARCH("Cancelled",R5)))</formula>
    </cfRule>
    <cfRule type="containsText" dxfId="1" priority="36" operator="containsText" text="No show">
      <formula>NOT(ISERROR(SEARCH("No show",R5)))</formula>
    </cfRule>
    <cfRule type="containsText" dxfId="1" priority="37" operator="containsText" text="Missed">
      <formula>NOT(ISERROR(SEARCH("Missed",R5)))</formula>
    </cfRule>
    <cfRule type="containsText" dxfId="1" priority="38" operator="containsText" text="Overdue">
      <formula>NOT(ISERROR(SEARCH("Overdue",R5)))</formula>
    </cfRule>
    <cfRule type="containsText" dxfId="4" priority="39" operator="containsText" text="Inactive">
      <formula>NOT(ISERROR(SEARCH("Inactive",R5)))</formula>
    </cfRule>
    <cfRule type="containsText" dxfId="1" priority="40" operator="containsText" text="Lost">
      <formula>NOT(ISERROR(SEARCH("Lost",R5)))</formula>
    </cfRule>
  </conditionalFormatting>
  <conditionalFormatting sqref="S5:S404">
    <cfRule type="containsText" dxfId="0" priority="41" operator="containsText" text="Completed">
      <formula>NOT(ISERROR(SEARCH("Completed",S5)))</formula>
    </cfRule>
    <cfRule type="containsText" dxfId="0" priority="42" operator="containsText" text="Confirmed">
      <formula>NOT(ISERROR(SEARCH("Confirmed",S5)))</formula>
    </cfRule>
    <cfRule type="containsText" dxfId="0" priority="43" operator="containsText" text="Paid">
      <formula>NOT(ISERROR(SEARCH("Paid",S5)))</formula>
    </cfRule>
    <cfRule type="containsText" dxfId="0" priority="44" operator="containsText" text="Active">
      <formula>NOT(ISERROR(SEARCH("Active",S5)))</formula>
    </cfRule>
    <cfRule type="containsText" dxfId="0" priority="45" operator="containsText" text="Resolved">
      <formula>NOT(ISERROR(SEARCH("Resolved",S5)))</formula>
    </cfRule>
    <cfRule type="containsText" dxfId="0" priority="46" operator="containsText" text="Given">
      <formula>NOT(ISERROR(SEARCH("Given",S5)))</formula>
    </cfRule>
    <cfRule type="containsText" dxfId="2" priority="47" operator="containsText" text="Pending">
      <formula>NOT(ISERROR(SEARCH("Pending",S5)))</formula>
    </cfRule>
    <cfRule type="containsText" dxfId="2" priority="48" operator="containsText" text="Draft">
      <formula>NOT(ISERROR(SEARCH("Draft",S5)))</formula>
    </cfRule>
    <cfRule type="containsText" dxfId="2" priority="49" operator="containsText" text="Enquiry">
      <formula>NOT(ISERROR(SEARCH("Enquiry",S5)))</formula>
    </cfRule>
    <cfRule type="containsText" dxfId="2" priority="50" operator="containsText" text="Partially">
      <formula>NOT(ISERROR(SEARCH("Partially",S5)))</formula>
    </cfRule>
    <cfRule type="containsText" dxfId="3" priority="51" operator="containsText" text="In progress">
      <formula>NOT(ISERROR(SEARCH("In progress",S5)))</formula>
    </cfRule>
    <cfRule type="containsText" dxfId="3" priority="52" operator="containsText" text="Scheduled">
      <formula>NOT(ISERROR(SEARCH("Scheduled",S5)))</formula>
    </cfRule>
    <cfRule type="containsText" dxfId="3" priority="53" operator="containsText" text="Sent">
      <formula>NOT(ISERROR(SEARCH("Sent",S5)))</formula>
    </cfRule>
    <cfRule type="containsText" dxfId="1" priority="54" operator="containsText" text="Cancelled">
      <formula>NOT(ISERROR(SEARCH("Cancelled",S5)))</formula>
    </cfRule>
    <cfRule type="containsText" dxfId="1" priority="55" operator="containsText" text="No show">
      <formula>NOT(ISERROR(SEARCH("No show",S5)))</formula>
    </cfRule>
    <cfRule type="containsText" dxfId="1" priority="56" operator="containsText" text="Missed">
      <formula>NOT(ISERROR(SEARCH("Missed",S5)))</formula>
    </cfRule>
    <cfRule type="containsText" dxfId="1" priority="57" operator="containsText" text="Overdue">
      <formula>NOT(ISERROR(SEARCH("Overdue",S5)))</formula>
    </cfRule>
    <cfRule type="containsText" dxfId="4" priority="58" operator="containsText" text="Inactive">
      <formula>NOT(ISERROR(SEARCH("Inactive",S5)))</formula>
    </cfRule>
    <cfRule type="containsText" dxfId="1" priority="59" operator="containsText" text="Lost">
      <formula>NOT(ISERROR(SEARCH("Lost",S5)))</formula>
    </cfRule>
  </conditionalFormatting>
  <conditionalFormatting sqref="W5:W404">
    <cfRule type="containsText" dxfId="1" priority="60" operator="containsText" text="Unwell">
      <formula>NOT(ISERROR(SEARCH("Unwell",W5)))</formula>
    </cfRule>
    <cfRule type="containsText" dxfId="2" priority="61" operator="containsText" text="Anxious">
      <formula>NOT(ISERROR(SEARCH("Anxious",W5)))</formula>
    </cfRule>
    <cfRule type="containsText" dxfId="1" priority="62" operator="containsText" text="Aggressive">
      <formula>NOT(ISERROR(SEARCH("Aggressive",W5)))</formula>
    </cfRule>
  </conditionalFormatting>
  <conditionalFormatting sqref="X5:X404">
    <cfRule type="containsText" dxfId="1" priority="63" operator="containsText" text="None">
      <formula>NOT(ISERROR(SEARCH("None",X5)))</formula>
    </cfRule>
    <cfRule type="containsText" dxfId="2" priority="64" operator="containsText" text="Reduced">
      <formula>NOT(ISERROR(SEARCH("Reduced",X5)))</formula>
    </cfRule>
  </conditionalFormatting>
  <conditionalFormatting sqref="Z5:Z404">
    <cfRule type="containsText" dxfId="1" priority="65" operator="containsText" text="Yes">
      <formula>NOT(ISERROR(SEARCH("Yes",Z5)))</formula>
    </cfRule>
  </conditionalFormatting>
  <dataValidations count="14">
    <dataValidation type="list" allowBlank="1" showInputMessage="1" showErrorMessage="1" promptTitle="Booking ID" prompt="Pick the booking and the client, pet, service and scheduled time fill themselves in." sqref="B5:B404">
      <formula1>BookingIDs</formula1>
    </dataValidation>
    <dataValidation type="date" allowBlank="1" showInputMessage="1" showErrorMessage="1" errorTitle="Check the date" error="Enter a real date between 2000 and 2100." sqref="C5:C404">
      <formula1>36526</formula1>
      <formula2>73415</formula2>
    </dataValidation>
    <dataValidation type="list" allowBlank="1" showInputMessage="1" showErrorMessage="1" sqref="G5:G404">
      <formula1>StaffNames</formula1>
    </dataValidation>
    <dataValidation type="decimal" allowBlank="1" showInputMessage="1" showErrorMessage="1" errorTitle="Check the value" error="Enter a number between 0 and 100." sqref="P5:P404">
      <formula1>0</formula1>
      <formula2>100</formula2>
    </dataValidation>
    <dataValidation type="list" allowBlank="1" showInputMessage="1" showErrorMessage="1" sqref="Q5:Q404">
      <formula1>YesNoNAList</formula1>
    </dataValidation>
    <dataValidation type="list" allowBlank="1" showInputMessage="1" showErrorMessage="1" sqref="R5:R404">
      <formula1>YesNoNAList</formula1>
    </dataValidation>
    <dataValidation type="list" allowBlank="1" showInputMessage="1" showErrorMessage="1" sqref="S5:S404">
      <formula1>YesNoNAList</formula1>
    </dataValidation>
    <dataValidation type="list" allowBlank="1" showInputMessage="1" showErrorMessage="1" sqref="T5:T404">
      <formula1>PottyList</formula1>
    </dataValidation>
    <dataValidation type="list" allowBlank="1" showInputMessage="1" showErrorMessage="1" sqref="W5:W404">
      <formula1>MoodList</formula1>
    </dataValidation>
    <dataValidation type="list" allowBlank="1" showInputMessage="1" showErrorMessage="1" sqref="X5:X404">
      <formula1>AppetiteList</formula1>
    </dataValidation>
    <dataValidation type="list" allowBlank="1" showInputMessage="1" showErrorMessage="1" sqref="Z5:Z404">
      <formula1>"Yes,No"</formula1>
    </dataValidation>
    <dataValidation type="list" allowBlank="1" showInputMessage="1" showErrorMessage="1" sqref="AC5:AC404">
      <formula1>"Yes,No"</formula1>
    </dataValidation>
    <dataValidation type="list" allowBlank="1" showInputMessage="1" showErrorMessage="1" sqref="AD5:AD404">
      <formula1>"Yes,No"</formula1>
    </dataValidation>
    <dataValidation type="list" allowBlank="1" showInputMessage="1" showErrorMessage="1" sqref="AE5:AE404">
      <formula1>VisitStatusList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&amp;L&amp;"Calibri,Bold"&amp;12&amp;C&amp;"Calibri,Bold"&amp;11Visit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0.xml><?xml version="1.0" encoding="utf-8"?>
<worksheet xmlns="http://schemas.openxmlformats.org/spreadsheetml/2006/main" xmlns:r="http://schemas.openxmlformats.org/officeDocument/2006/relationships">
  <sheetPr>
    <tabColor rgb="FF2E7D8F"/>
    <pageSetUpPr fitToPage="1"/>
  </sheetPr>
  <dimension ref="A1:V2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9.7109375" style="44" customWidth="1"/>
    <col min="4" max="4" width="24.7109375" style="20" customWidth="1"/>
    <col min="5" max="5" width="20.7109375" style="28" customWidth="1"/>
    <col min="6" max="6" width="16.7109375" style="20" customWidth="1"/>
    <col min="7" max="7" width="24.7109375" style="20" customWidth="1"/>
    <col min="8" max="8" width="28.7109375" style="47" customWidth="1"/>
    <col min="9" max="9" width="9.7109375" style="44" customWidth="1"/>
    <col min="10" max="10" width="9.7109375" style="44" customWidth="1"/>
    <col min="11" max="11" width="15.7109375" style="20" customWidth="1"/>
    <col min="12" max="12" width="13.7109375" style="48" customWidth="1"/>
    <col min="13" max="13" width="10.7109375" style="43" customWidth="1"/>
    <col min="14" max="14" width="12.7109375" style="39" customWidth="1"/>
    <col min="15" max="15" width="16.7109375" style="49" customWidth="1"/>
    <col min="16" max="16" width="12.7109375" style="39" customWidth="1"/>
    <col min="17" max="17" width="16.7109375" style="49" customWidth="1"/>
    <col min="18" max="18" width="11.7109375" style="42" customWidth="1"/>
    <col min="19" max="19" width="10.7109375" style="12" customWidth="1"/>
    <col min="20" max="20" width="34.7109375" style="47" customWidth="1"/>
    <col min="21" max="21" width="10.7109375" style="28" customWidth="1"/>
    <col min="22" max="22" width="24.7109375" style="49" customWidth="1"/>
  </cols>
  <sheetData>
    <row r="1" spans="1:22" ht="34" customHeight="1">
      <c r="A1" s="2" t="s">
        <v>805</v>
      </c>
      <c r="B1" s="2"/>
      <c r="C1" s="2"/>
      <c r="D1" s="2"/>
      <c r="E1" s="2"/>
      <c r="F1" s="2"/>
      <c r="G1" s="2"/>
      <c r="H1" s="2"/>
      <c r="I1" s="2"/>
      <c r="J1" s="2"/>
      <c r="K1" s="2"/>
      <c r="L1" s="2"/>
      <c r="M1" s="2"/>
      <c r="N1" s="2"/>
      <c r="O1" s="2"/>
      <c r="P1" s="2"/>
      <c r="Q1" s="2"/>
      <c r="R1" s="2"/>
      <c r="S1" s="2"/>
      <c r="T1" s="3" t="s">
        <v>118</v>
      </c>
      <c r="U1" s="3"/>
      <c r="V1" s="3"/>
    </row>
    <row r="2" spans="1:22" ht="18" customHeight="1">
      <c r="A2" s="4" t="s">
        <v>806</v>
      </c>
      <c r="B2" s="4"/>
      <c r="C2" s="4"/>
      <c r="D2" s="4"/>
      <c r="E2" s="4"/>
      <c r="F2" s="4"/>
      <c r="G2" s="4"/>
      <c r="H2" s="4"/>
      <c r="I2" s="4"/>
      <c r="J2" s="4"/>
      <c r="K2" s="4"/>
      <c r="L2" s="4"/>
      <c r="M2" s="4"/>
      <c r="N2" s="4"/>
      <c r="O2" s="4"/>
      <c r="P2" s="4"/>
      <c r="Q2" s="4"/>
      <c r="R2" s="4"/>
      <c r="S2" s="4"/>
      <c r="T2" s="4"/>
      <c r="U2" s="4"/>
      <c r="V2" s="4"/>
    </row>
    <row r="3" spans="1:22"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c r="U3" s="38"/>
      <c r="V3" s="38"/>
    </row>
    <row r="4" spans="1:22" ht="30" customHeight="1">
      <c r="A4" s="8" t="s">
        <v>642</v>
      </c>
      <c r="B4" s="8" t="s">
        <v>337</v>
      </c>
      <c r="C4" s="9" t="s">
        <v>807</v>
      </c>
      <c r="D4" s="9" t="s">
        <v>734</v>
      </c>
      <c r="E4" s="9" t="s">
        <v>207</v>
      </c>
      <c r="F4" s="9" t="s">
        <v>808</v>
      </c>
      <c r="G4" s="9" t="s">
        <v>809</v>
      </c>
      <c r="H4" s="9" t="s">
        <v>719</v>
      </c>
      <c r="I4" s="9" t="s">
        <v>467</v>
      </c>
      <c r="J4" s="9" t="s">
        <v>810</v>
      </c>
      <c r="K4" s="9" t="s">
        <v>811</v>
      </c>
      <c r="L4" s="9" t="s">
        <v>665</v>
      </c>
      <c r="M4" s="9" t="s">
        <v>812</v>
      </c>
      <c r="N4" s="9" t="s">
        <v>813</v>
      </c>
      <c r="O4" s="9" t="s">
        <v>814</v>
      </c>
      <c r="P4" s="9" t="s">
        <v>815</v>
      </c>
      <c r="Q4" s="9" t="s">
        <v>816</v>
      </c>
      <c r="R4" s="9" t="s">
        <v>817</v>
      </c>
      <c r="S4" s="9" t="s">
        <v>818</v>
      </c>
      <c r="T4" s="9" t="s">
        <v>339</v>
      </c>
      <c r="U4" s="9" t="s">
        <v>131</v>
      </c>
      <c r="V4" s="9" t="s">
        <v>686</v>
      </c>
    </row>
    <row r="5" spans="1:22">
      <c r="A5" s="46">
        <f>IF(B5="","","HL-"&amp;TEXT(ROW()-4,"0000"))</f>
        <v>0</v>
      </c>
      <c r="E5" s="28">
        <f>IF(D5="","",IFERROR(INDEX(Pets!$C$5:$C$254,MATCH(D5,Pets!$D$5:$D$254,0)),""))</f>
        <v>0</v>
      </c>
      <c r="O5" s="49">
        <f>IF(N5="","",IF(N5&lt;TODAY(),"Overdue - refill now",IF(N5-TODAY()&lt;=ExpiryAlertDays,"Due in "&amp;TEXT(N5-TODAY(),"0")&amp;" days","OK")))</f>
        <v>0</v>
      </c>
      <c r="Q5" s="49">
        <f>IF(P5="","",IF(P5&lt;TODAY(),"Past",IF(P5-TODAY()&lt;=ExpiryAlertDays,"Due in "&amp;TEXT(P5-TODAY(),"0")&amp;" days","Booked")))</f>
        <v>0</v>
      </c>
      <c r="U5" s="28">
        <f>IF(B5="","",TEXT(B5,"yyyy-mm"))</f>
        <v>0</v>
      </c>
      <c r="V5" s="49">
        <f>IF(B5="","",IF(L5="Missed","Missed dose - tell the owner",IF(L5="Refused","Refused - monitor and report",IF(AND(L5="Scheduled",B5&lt;TODAY()),"Overdue - not recorded",IF(AND(S5&lt;&gt;"Yes",F5="Vet visit"),"Action - update the owner","OK")))))</f>
        <v>0</v>
      </c>
    </row>
    <row r="6" spans="1:22">
      <c r="A6" s="46">
        <f>IF(B6="","","HL-"&amp;TEXT(ROW()-4,"0000"))</f>
        <v>0</v>
      </c>
      <c r="E6" s="28">
        <f>IF(D6="","",IFERROR(INDEX(Pets!$C$5:$C$254,MATCH(D6,Pets!$D$5:$D$254,0)),""))</f>
        <v>0</v>
      </c>
      <c r="O6" s="49">
        <f>IF(N6="","",IF(N6&lt;TODAY(),"Overdue - refill now",IF(N6-TODAY()&lt;=ExpiryAlertDays,"Due in "&amp;TEXT(N6-TODAY(),"0")&amp;" days","OK")))</f>
        <v>0</v>
      </c>
      <c r="Q6" s="49">
        <f>IF(P6="","",IF(P6&lt;TODAY(),"Past",IF(P6-TODAY()&lt;=ExpiryAlertDays,"Due in "&amp;TEXT(P6-TODAY(),"0")&amp;" days","Booked")))</f>
        <v>0</v>
      </c>
      <c r="U6" s="28">
        <f>IF(B6="","",TEXT(B6,"yyyy-mm"))</f>
        <v>0</v>
      </c>
      <c r="V6" s="49">
        <f>IF(B6="","",IF(L6="Missed","Missed dose - tell the owner",IF(L6="Refused","Refused - monitor and report",IF(AND(L6="Scheduled",B6&lt;TODAY()),"Overdue - not recorded",IF(AND(S6&lt;&gt;"Yes",F6="Vet visit"),"Action - update the owner","OK")))))</f>
        <v>0</v>
      </c>
    </row>
    <row r="7" spans="1:22">
      <c r="A7" s="46">
        <f>IF(B7="","","HL-"&amp;TEXT(ROW()-4,"0000"))</f>
        <v>0</v>
      </c>
      <c r="E7" s="28">
        <f>IF(D7="","",IFERROR(INDEX(Pets!$C$5:$C$254,MATCH(D7,Pets!$D$5:$D$254,0)),""))</f>
        <v>0</v>
      </c>
      <c r="O7" s="49">
        <f>IF(N7="","",IF(N7&lt;TODAY(),"Overdue - refill now",IF(N7-TODAY()&lt;=ExpiryAlertDays,"Due in "&amp;TEXT(N7-TODAY(),"0")&amp;" days","OK")))</f>
        <v>0</v>
      </c>
      <c r="Q7" s="49">
        <f>IF(P7="","",IF(P7&lt;TODAY(),"Past",IF(P7-TODAY()&lt;=ExpiryAlertDays,"Due in "&amp;TEXT(P7-TODAY(),"0")&amp;" days","Booked")))</f>
        <v>0</v>
      </c>
      <c r="U7" s="28">
        <f>IF(B7="","",TEXT(B7,"yyyy-mm"))</f>
        <v>0</v>
      </c>
      <c r="V7" s="49">
        <f>IF(B7="","",IF(L7="Missed","Missed dose - tell the owner",IF(L7="Refused","Refused - monitor and report",IF(AND(L7="Scheduled",B7&lt;TODAY()),"Overdue - not recorded",IF(AND(S7&lt;&gt;"Yes",F7="Vet visit"),"Action - update the owner","OK")))))</f>
        <v>0</v>
      </c>
    </row>
    <row r="8" spans="1:22">
      <c r="A8" s="46">
        <f>IF(B8="","","HL-"&amp;TEXT(ROW()-4,"0000"))</f>
        <v>0</v>
      </c>
      <c r="E8" s="28">
        <f>IF(D8="","",IFERROR(INDEX(Pets!$C$5:$C$254,MATCH(D8,Pets!$D$5:$D$254,0)),""))</f>
        <v>0</v>
      </c>
      <c r="O8" s="49">
        <f>IF(N8="","",IF(N8&lt;TODAY(),"Overdue - refill now",IF(N8-TODAY()&lt;=ExpiryAlertDays,"Due in "&amp;TEXT(N8-TODAY(),"0")&amp;" days","OK")))</f>
        <v>0</v>
      </c>
      <c r="Q8" s="49">
        <f>IF(P8="","",IF(P8&lt;TODAY(),"Past",IF(P8-TODAY()&lt;=ExpiryAlertDays,"Due in "&amp;TEXT(P8-TODAY(),"0")&amp;" days","Booked")))</f>
        <v>0</v>
      </c>
      <c r="U8" s="28">
        <f>IF(B8="","",TEXT(B8,"yyyy-mm"))</f>
        <v>0</v>
      </c>
      <c r="V8" s="49">
        <f>IF(B8="","",IF(L8="Missed","Missed dose - tell the owner",IF(L8="Refused","Refused - monitor and report",IF(AND(L8="Scheduled",B8&lt;TODAY()),"Overdue - not recorded",IF(AND(S8&lt;&gt;"Yes",F8="Vet visit"),"Action - update the owner","OK")))))</f>
        <v>0</v>
      </c>
    </row>
    <row r="9" spans="1:22">
      <c r="A9" s="46">
        <f>IF(B9="","","HL-"&amp;TEXT(ROW()-4,"0000"))</f>
        <v>0</v>
      </c>
      <c r="E9" s="28">
        <f>IF(D9="","",IFERROR(INDEX(Pets!$C$5:$C$254,MATCH(D9,Pets!$D$5:$D$254,0)),""))</f>
        <v>0</v>
      </c>
      <c r="O9" s="49">
        <f>IF(N9="","",IF(N9&lt;TODAY(),"Overdue - refill now",IF(N9-TODAY()&lt;=ExpiryAlertDays,"Due in "&amp;TEXT(N9-TODAY(),"0")&amp;" days","OK")))</f>
        <v>0</v>
      </c>
      <c r="Q9" s="49">
        <f>IF(P9="","",IF(P9&lt;TODAY(),"Past",IF(P9-TODAY()&lt;=ExpiryAlertDays,"Due in "&amp;TEXT(P9-TODAY(),"0")&amp;" days","Booked")))</f>
        <v>0</v>
      </c>
      <c r="U9" s="28">
        <f>IF(B9="","",TEXT(B9,"yyyy-mm"))</f>
        <v>0</v>
      </c>
      <c r="V9" s="49">
        <f>IF(B9="","",IF(L9="Missed","Missed dose - tell the owner",IF(L9="Refused","Refused - monitor and report",IF(AND(L9="Scheduled",B9&lt;TODAY()),"Overdue - not recorded",IF(AND(S9&lt;&gt;"Yes",F9="Vet visit"),"Action - update the owner","OK")))))</f>
        <v>0</v>
      </c>
    </row>
    <row r="10" spans="1:22">
      <c r="A10" s="46">
        <f>IF(B10="","","HL-"&amp;TEXT(ROW()-4,"0000"))</f>
        <v>0</v>
      </c>
      <c r="E10" s="28">
        <f>IF(D10="","",IFERROR(INDEX(Pets!$C$5:$C$254,MATCH(D10,Pets!$D$5:$D$254,0)),""))</f>
        <v>0</v>
      </c>
      <c r="O10" s="49">
        <f>IF(N10="","",IF(N10&lt;TODAY(),"Overdue - refill now",IF(N10-TODAY()&lt;=ExpiryAlertDays,"Due in "&amp;TEXT(N10-TODAY(),"0")&amp;" days","OK")))</f>
        <v>0</v>
      </c>
      <c r="Q10" s="49">
        <f>IF(P10="","",IF(P10&lt;TODAY(),"Past",IF(P10-TODAY()&lt;=ExpiryAlertDays,"Due in "&amp;TEXT(P10-TODAY(),"0")&amp;" days","Booked")))</f>
        <v>0</v>
      </c>
      <c r="U10" s="28">
        <f>IF(B10="","",TEXT(B10,"yyyy-mm"))</f>
        <v>0</v>
      </c>
      <c r="V10" s="49">
        <f>IF(B10="","",IF(L10="Missed","Missed dose - tell the owner",IF(L10="Refused","Refused - monitor and report",IF(AND(L10="Scheduled",B10&lt;TODAY()),"Overdue - not recorded",IF(AND(S10&lt;&gt;"Yes",F10="Vet visit"),"Action - update the owner","OK")))))</f>
        <v>0</v>
      </c>
    </row>
    <row r="11" spans="1:22">
      <c r="A11" s="46">
        <f>IF(B11="","","HL-"&amp;TEXT(ROW()-4,"0000"))</f>
        <v>0</v>
      </c>
      <c r="E11" s="28">
        <f>IF(D11="","",IFERROR(INDEX(Pets!$C$5:$C$254,MATCH(D11,Pets!$D$5:$D$254,0)),""))</f>
        <v>0</v>
      </c>
      <c r="O11" s="49">
        <f>IF(N11="","",IF(N11&lt;TODAY(),"Overdue - refill now",IF(N11-TODAY()&lt;=ExpiryAlertDays,"Due in "&amp;TEXT(N11-TODAY(),"0")&amp;" days","OK")))</f>
        <v>0</v>
      </c>
      <c r="Q11" s="49">
        <f>IF(P11="","",IF(P11&lt;TODAY(),"Past",IF(P11-TODAY()&lt;=ExpiryAlertDays,"Due in "&amp;TEXT(P11-TODAY(),"0")&amp;" days","Booked")))</f>
        <v>0</v>
      </c>
      <c r="U11" s="28">
        <f>IF(B11="","",TEXT(B11,"yyyy-mm"))</f>
        <v>0</v>
      </c>
      <c r="V11" s="49">
        <f>IF(B11="","",IF(L11="Missed","Missed dose - tell the owner",IF(L11="Refused","Refused - monitor and report",IF(AND(L11="Scheduled",B11&lt;TODAY()),"Overdue - not recorded",IF(AND(S11&lt;&gt;"Yes",F11="Vet visit"),"Action - update the owner","OK")))))</f>
        <v>0</v>
      </c>
    </row>
    <row r="12" spans="1:22">
      <c r="A12" s="46">
        <f>IF(B12="","","HL-"&amp;TEXT(ROW()-4,"0000"))</f>
        <v>0</v>
      </c>
      <c r="E12" s="28">
        <f>IF(D12="","",IFERROR(INDEX(Pets!$C$5:$C$254,MATCH(D12,Pets!$D$5:$D$254,0)),""))</f>
        <v>0</v>
      </c>
      <c r="O12" s="49">
        <f>IF(N12="","",IF(N12&lt;TODAY(),"Overdue - refill now",IF(N12-TODAY()&lt;=ExpiryAlertDays,"Due in "&amp;TEXT(N12-TODAY(),"0")&amp;" days","OK")))</f>
        <v>0</v>
      </c>
      <c r="Q12" s="49">
        <f>IF(P12="","",IF(P12&lt;TODAY(),"Past",IF(P12-TODAY()&lt;=ExpiryAlertDays,"Due in "&amp;TEXT(P12-TODAY(),"0")&amp;" days","Booked")))</f>
        <v>0</v>
      </c>
      <c r="U12" s="28">
        <f>IF(B12="","",TEXT(B12,"yyyy-mm"))</f>
        <v>0</v>
      </c>
      <c r="V12" s="49">
        <f>IF(B12="","",IF(L12="Missed","Missed dose - tell the owner",IF(L12="Refused","Refused - monitor and report",IF(AND(L12="Scheduled",B12&lt;TODAY()),"Overdue - not recorded",IF(AND(S12&lt;&gt;"Yes",F12="Vet visit"),"Action - update the owner","OK")))))</f>
        <v>0</v>
      </c>
    </row>
    <row r="13" spans="1:22">
      <c r="A13" s="46">
        <f>IF(B13="","","HL-"&amp;TEXT(ROW()-4,"0000"))</f>
        <v>0</v>
      </c>
      <c r="E13" s="28">
        <f>IF(D13="","",IFERROR(INDEX(Pets!$C$5:$C$254,MATCH(D13,Pets!$D$5:$D$254,0)),""))</f>
        <v>0</v>
      </c>
      <c r="O13" s="49">
        <f>IF(N13="","",IF(N13&lt;TODAY(),"Overdue - refill now",IF(N13-TODAY()&lt;=ExpiryAlertDays,"Due in "&amp;TEXT(N13-TODAY(),"0")&amp;" days","OK")))</f>
        <v>0</v>
      </c>
      <c r="Q13" s="49">
        <f>IF(P13="","",IF(P13&lt;TODAY(),"Past",IF(P13-TODAY()&lt;=ExpiryAlertDays,"Due in "&amp;TEXT(P13-TODAY(),"0")&amp;" days","Booked")))</f>
        <v>0</v>
      </c>
      <c r="U13" s="28">
        <f>IF(B13="","",TEXT(B13,"yyyy-mm"))</f>
        <v>0</v>
      </c>
      <c r="V13" s="49">
        <f>IF(B13="","",IF(L13="Missed","Missed dose - tell the owner",IF(L13="Refused","Refused - monitor and report",IF(AND(L13="Scheduled",B13&lt;TODAY()),"Overdue - not recorded",IF(AND(S13&lt;&gt;"Yes",F13="Vet visit"),"Action - update the owner","OK")))))</f>
        <v>0</v>
      </c>
    </row>
    <row r="14" spans="1:22">
      <c r="A14" s="46">
        <f>IF(B14="","","HL-"&amp;TEXT(ROW()-4,"0000"))</f>
        <v>0</v>
      </c>
      <c r="E14" s="28">
        <f>IF(D14="","",IFERROR(INDEX(Pets!$C$5:$C$254,MATCH(D14,Pets!$D$5:$D$254,0)),""))</f>
        <v>0</v>
      </c>
      <c r="O14" s="49">
        <f>IF(N14="","",IF(N14&lt;TODAY(),"Overdue - refill now",IF(N14-TODAY()&lt;=ExpiryAlertDays,"Due in "&amp;TEXT(N14-TODAY(),"0")&amp;" days","OK")))</f>
        <v>0</v>
      </c>
      <c r="Q14" s="49">
        <f>IF(P14="","",IF(P14&lt;TODAY(),"Past",IF(P14-TODAY()&lt;=ExpiryAlertDays,"Due in "&amp;TEXT(P14-TODAY(),"0")&amp;" days","Booked")))</f>
        <v>0</v>
      </c>
      <c r="U14" s="28">
        <f>IF(B14="","",TEXT(B14,"yyyy-mm"))</f>
        <v>0</v>
      </c>
      <c r="V14" s="49">
        <f>IF(B14="","",IF(L14="Missed","Missed dose - tell the owner",IF(L14="Refused","Refused - monitor and report",IF(AND(L14="Scheduled",B14&lt;TODAY()),"Overdue - not recorded",IF(AND(S14&lt;&gt;"Yes",F14="Vet visit"),"Action - update the owner","OK")))))</f>
        <v>0</v>
      </c>
    </row>
    <row r="15" spans="1:22">
      <c r="A15" s="46">
        <f>IF(B15="","","HL-"&amp;TEXT(ROW()-4,"0000"))</f>
        <v>0</v>
      </c>
      <c r="E15" s="28">
        <f>IF(D15="","",IFERROR(INDEX(Pets!$C$5:$C$254,MATCH(D15,Pets!$D$5:$D$254,0)),""))</f>
        <v>0</v>
      </c>
      <c r="O15" s="49">
        <f>IF(N15="","",IF(N15&lt;TODAY(),"Overdue - refill now",IF(N15-TODAY()&lt;=ExpiryAlertDays,"Due in "&amp;TEXT(N15-TODAY(),"0")&amp;" days","OK")))</f>
        <v>0</v>
      </c>
      <c r="Q15" s="49">
        <f>IF(P15="","",IF(P15&lt;TODAY(),"Past",IF(P15-TODAY()&lt;=ExpiryAlertDays,"Due in "&amp;TEXT(P15-TODAY(),"0")&amp;" days","Booked")))</f>
        <v>0</v>
      </c>
      <c r="U15" s="28">
        <f>IF(B15="","",TEXT(B15,"yyyy-mm"))</f>
        <v>0</v>
      </c>
      <c r="V15" s="49">
        <f>IF(B15="","",IF(L15="Missed","Missed dose - tell the owner",IF(L15="Refused","Refused - monitor and report",IF(AND(L15="Scheduled",B15&lt;TODAY()),"Overdue - not recorded",IF(AND(S15&lt;&gt;"Yes",F15="Vet visit"),"Action - update the owner","OK")))))</f>
        <v>0</v>
      </c>
    </row>
    <row r="16" spans="1:22">
      <c r="A16" s="46">
        <f>IF(B16="","","HL-"&amp;TEXT(ROW()-4,"0000"))</f>
        <v>0</v>
      </c>
      <c r="E16" s="28">
        <f>IF(D16="","",IFERROR(INDEX(Pets!$C$5:$C$254,MATCH(D16,Pets!$D$5:$D$254,0)),""))</f>
        <v>0</v>
      </c>
      <c r="O16" s="49">
        <f>IF(N16="","",IF(N16&lt;TODAY(),"Overdue - refill now",IF(N16-TODAY()&lt;=ExpiryAlertDays,"Due in "&amp;TEXT(N16-TODAY(),"0")&amp;" days","OK")))</f>
        <v>0</v>
      </c>
      <c r="Q16" s="49">
        <f>IF(P16="","",IF(P16&lt;TODAY(),"Past",IF(P16-TODAY()&lt;=ExpiryAlertDays,"Due in "&amp;TEXT(P16-TODAY(),"0")&amp;" days","Booked")))</f>
        <v>0</v>
      </c>
      <c r="U16" s="28">
        <f>IF(B16="","",TEXT(B16,"yyyy-mm"))</f>
        <v>0</v>
      </c>
      <c r="V16" s="49">
        <f>IF(B16="","",IF(L16="Missed","Missed dose - tell the owner",IF(L16="Refused","Refused - monitor and report",IF(AND(L16="Scheduled",B16&lt;TODAY()),"Overdue - not recorded",IF(AND(S16&lt;&gt;"Yes",F16="Vet visit"),"Action - update the owner","OK")))))</f>
        <v>0</v>
      </c>
    </row>
    <row r="17" spans="1:22">
      <c r="A17" s="46">
        <f>IF(B17="","","HL-"&amp;TEXT(ROW()-4,"0000"))</f>
        <v>0</v>
      </c>
      <c r="E17" s="28">
        <f>IF(D17="","",IFERROR(INDEX(Pets!$C$5:$C$254,MATCH(D17,Pets!$D$5:$D$254,0)),""))</f>
        <v>0</v>
      </c>
      <c r="O17" s="49">
        <f>IF(N17="","",IF(N17&lt;TODAY(),"Overdue - refill now",IF(N17-TODAY()&lt;=ExpiryAlertDays,"Due in "&amp;TEXT(N17-TODAY(),"0")&amp;" days","OK")))</f>
        <v>0</v>
      </c>
      <c r="Q17" s="49">
        <f>IF(P17="","",IF(P17&lt;TODAY(),"Past",IF(P17-TODAY()&lt;=ExpiryAlertDays,"Due in "&amp;TEXT(P17-TODAY(),"0")&amp;" days","Booked")))</f>
        <v>0</v>
      </c>
      <c r="U17" s="28">
        <f>IF(B17="","",TEXT(B17,"yyyy-mm"))</f>
        <v>0</v>
      </c>
      <c r="V17" s="49">
        <f>IF(B17="","",IF(L17="Missed","Missed dose - tell the owner",IF(L17="Refused","Refused - monitor and report",IF(AND(L17="Scheduled",B17&lt;TODAY()),"Overdue - not recorded",IF(AND(S17&lt;&gt;"Yes",F17="Vet visit"),"Action - update the owner","OK")))))</f>
        <v>0</v>
      </c>
    </row>
    <row r="18" spans="1:22">
      <c r="A18" s="46">
        <f>IF(B18="","","HL-"&amp;TEXT(ROW()-4,"0000"))</f>
        <v>0</v>
      </c>
      <c r="E18" s="28">
        <f>IF(D18="","",IFERROR(INDEX(Pets!$C$5:$C$254,MATCH(D18,Pets!$D$5:$D$254,0)),""))</f>
        <v>0</v>
      </c>
      <c r="O18" s="49">
        <f>IF(N18="","",IF(N18&lt;TODAY(),"Overdue - refill now",IF(N18-TODAY()&lt;=ExpiryAlertDays,"Due in "&amp;TEXT(N18-TODAY(),"0")&amp;" days","OK")))</f>
        <v>0</v>
      </c>
      <c r="Q18" s="49">
        <f>IF(P18="","",IF(P18&lt;TODAY(),"Past",IF(P18-TODAY()&lt;=ExpiryAlertDays,"Due in "&amp;TEXT(P18-TODAY(),"0")&amp;" days","Booked")))</f>
        <v>0</v>
      </c>
      <c r="U18" s="28">
        <f>IF(B18="","",TEXT(B18,"yyyy-mm"))</f>
        <v>0</v>
      </c>
      <c r="V18" s="49">
        <f>IF(B18="","",IF(L18="Missed","Missed dose - tell the owner",IF(L18="Refused","Refused - monitor and report",IF(AND(L18="Scheduled",B18&lt;TODAY()),"Overdue - not recorded",IF(AND(S18&lt;&gt;"Yes",F18="Vet visit"),"Action - update the owner","OK")))))</f>
        <v>0</v>
      </c>
    </row>
    <row r="19" spans="1:22">
      <c r="A19" s="46">
        <f>IF(B19="","","HL-"&amp;TEXT(ROW()-4,"0000"))</f>
        <v>0</v>
      </c>
      <c r="E19" s="28">
        <f>IF(D19="","",IFERROR(INDEX(Pets!$C$5:$C$254,MATCH(D19,Pets!$D$5:$D$254,0)),""))</f>
        <v>0</v>
      </c>
      <c r="O19" s="49">
        <f>IF(N19="","",IF(N19&lt;TODAY(),"Overdue - refill now",IF(N19-TODAY()&lt;=ExpiryAlertDays,"Due in "&amp;TEXT(N19-TODAY(),"0")&amp;" days","OK")))</f>
        <v>0</v>
      </c>
      <c r="Q19" s="49">
        <f>IF(P19="","",IF(P19&lt;TODAY(),"Past",IF(P19-TODAY()&lt;=ExpiryAlertDays,"Due in "&amp;TEXT(P19-TODAY(),"0")&amp;" days","Booked")))</f>
        <v>0</v>
      </c>
      <c r="U19" s="28">
        <f>IF(B19="","",TEXT(B19,"yyyy-mm"))</f>
        <v>0</v>
      </c>
      <c r="V19" s="49">
        <f>IF(B19="","",IF(L19="Missed","Missed dose - tell the owner",IF(L19="Refused","Refused - monitor and report",IF(AND(L19="Scheduled",B19&lt;TODAY()),"Overdue - not recorded",IF(AND(S19&lt;&gt;"Yes",F19="Vet visit"),"Action - update the owner","OK")))))</f>
        <v>0</v>
      </c>
    </row>
    <row r="20" spans="1:22">
      <c r="A20" s="46">
        <f>IF(B20="","","HL-"&amp;TEXT(ROW()-4,"0000"))</f>
        <v>0</v>
      </c>
      <c r="E20" s="28">
        <f>IF(D20="","",IFERROR(INDEX(Pets!$C$5:$C$254,MATCH(D20,Pets!$D$5:$D$254,0)),""))</f>
        <v>0</v>
      </c>
      <c r="O20" s="49">
        <f>IF(N20="","",IF(N20&lt;TODAY(),"Overdue - refill now",IF(N20-TODAY()&lt;=ExpiryAlertDays,"Due in "&amp;TEXT(N20-TODAY(),"0")&amp;" days","OK")))</f>
        <v>0</v>
      </c>
      <c r="Q20" s="49">
        <f>IF(P20="","",IF(P20&lt;TODAY(),"Past",IF(P20-TODAY()&lt;=ExpiryAlertDays,"Due in "&amp;TEXT(P20-TODAY(),"0")&amp;" days","Booked")))</f>
        <v>0</v>
      </c>
      <c r="U20" s="28">
        <f>IF(B20="","",TEXT(B20,"yyyy-mm"))</f>
        <v>0</v>
      </c>
      <c r="V20" s="49">
        <f>IF(B20="","",IF(L20="Missed","Missed dose - tell the owner",IF(L20="Refused","Refused - monitor and report",IF(AND(L20="Scheduled",B20&lt;TODAY()),"Overdue - not recorded",IF(AND(S20&lt;&gt;"Yes",F20="Vet visit"),"Action - update the owner","OK")))))</f>
        <v>0</v>
      </c>
    </row>
    <row r="21" spans="1:22">
      <c r="A21" s="46">
        <f>IF(B21="","","HL-"&amp;TEXT(ROW()-4,"0000"))</f>
        <v>0</v>
      </c>
      <c r="E21" s="28">
        <f>IF(D21="","",IFERROR(INDEX(Pets!$C$5:$C$254,MATCH(D21,Pets!$D$5:$D$254,0)),""))</f>
        <v>0</v>
      </c>
      <c r="O21" s="49">
        <f>IF(N21="","",IF(N21&lt;TODAY(),"Overdue - refill now",IF(N21-TODAY()&lt;=ExpiryAlertDays,"Due in "&amp;TEXT(N21-TODAY(),"0")&amp;" days","OK")))</f>
        <v>0</v>
      </c>
      <c r="Q21" s="49">
        <f>IF(P21="","",IF(P21&lt;TODAY(),"Past",IF(P21-TODAY()&lt;=ExpiryAlertDays,"Due in "&amp;TEXT(P21-TODAY(),"0")&amp;" days","Booked")))</f>
        <v>0</v>
      </c>
      <c r="U21" s="28">
        <f>IF(B21="","",TEXT(B21,"yyyy-mm"))</f>
        <v>0</v>
      </c>
      <c r="V21" s="49">
        <f>IF(B21="","",IF(L21="Missed","Missed dose - tell the owner",IF(L21="Refused","Refused - monitor and report",IF(AND(L21="Scheduled",B21&lt;TODAY()),"Overdue - not recorded",IF(AND(S21&lt;&gt;"Yes",F21="Vet visit"),"Action - update the owner","OK")))))</f>
        <v>0</v>
      </c>
    </row>
    <row r="22" spans="1:22">
      <c r="A22" s="46">
        <f>IF(B22="","","HL-"&amp;TEXT(ROW()-4,"0000"))</f>
        <v>0</v>
      </c>
      <c r="E22" s="28">
        <f>IF(D22="","",IFERROR(INDEX(Pets!$C$5:$C$254,MATCH(D22,Pets!$D$5:$D$254,0)),""))</f>
        <v>0</v>
      </c>
      <c r="O22" s="49">
        <f>IF(N22="","",IF(N22&lt;TODAY(),"Overdue - refill now",IF(N22-TODAY()&lt;=ExpiryAlertDays,"Due in "&amp;TEXT(N22-TODAY(),"0")&amp;" days","OK")))</f>
        <v>0</v>
      </c>
      <c r="Q22" s="49">
        <f>IF(P22="","",IF(P22&lt;TODAY(),"Past",IF(P22-TODAY()&lt;=ExpiryAlertDays,"Due in "&amp;TEXT(P22-TODAY(),"0")&amp;" days","Booked")))</f>
        <v>0</v>
      </c>
      <c r="U22" s="28">
        <f>IF(B22="","",TEXT(B22,"yyyy-mm"))</f>
        <v>0</v>
      </c>
      <c r="V22" s="49">
        <f>IF(B22="","",IF(L22="Missed","Missed dose - tell the owner",IF(L22="Refused","Refused - monitor and report",IF(AND(L22="Scheduled",B22&lt;TODAY()),"Overdue - not recorded",IF(AND(S22&lt;&gt;"Yes",F22="Vet visit"),"Action - update the owner","OK")))))</f>
        <v>0</v>
      </c>
    </row>
    <row r="23" spans="1:22">
      <c r="A23" s="46">
        <f>IF(B23="","","HL-"&amp;TEXT(ROW()-4,"0000"))</f>
        <v>0</v>
      </c>
      <c r="E23" s="28">
        <f>IF(D23="","",IFERROR(INDEX(Pets!$C$5:$C$254,MATCH(D23,Pets!$D$5:$D$254,0)),""))</f>
        <v>0</v>
      </c>
      <c r="O23" s="49">
        <f>IF(N23="","",IF(N23&lt;TODAY(),"Overdue - refill now",IF(N23-TODAY()&lt;=ExpiryAlertDays,"Due in "&amp;TEXT(N23-TODAY(),"0")&amp;" days","OK")))</f>
        <v>0</v>
      </c>
      <c r="Q23" s="49">
        <f>IF(P23="","",IF(P23&lt;TODAY(),"Past",IF(P23-TODAY()&lt;=ExpiryAlertDays,"Due in "&amp;TEXT(P23-TODAY(),"0")&amp;" days","Booked")))</f>
        <v>0</v>
      </c>
      <c r="U23" s="28">
        <f>IF(B23="","",TEXT(B23,"yyyy-mm"))</f>
        <v>0</v>
      </c>
      <c r="V23" s="49">
        <f>IF(B23="","",IF(L23="Missed","Missed dose - tell the owner",IF(L23="Refused","Refused - monitor and report",IF(AND(L23="Scheduled",B23&lt;TODAY()),"Overdue - not recorded",IF(AND(S23&lt;&gt;"Yes",F23="Vet visit"),"Action - update the owner","OK")))))</f>
        <v>0</v>
      </c>
    </row>
    <row r="24" spans="1:22">
      <c r="A24" s="46">
        <f>IF(B24="","","HL-"&amp;TEXT(ROW()-4,"0000"))</f>
        <v>0</v>
      </c>
      <c r="E24" s="28">
        <f>IF(D24="","",IFERROR(INDEX(Pets!$C$5:$C$254,MATCH(D24,Pets!$D$5:$D$254,0)),""))</f>
        <v>0</v>
      </c>
      <c r="O24" s="49">
        <f>IF(N24="","",IF(N24&lt;TODAY(),"Overdue - refill now",IF(N24-TODAY()&lt;=ExpiryAlertDays,"Due in "&amp;TEXT(N24-TODAY(),"0")&amp;" days","OK")))</f>
        <v>0</v>
      </c>
      <c r="Q24" s="49">
        <f>IF(P24="","",IF(P24&lt;TODAY(),"Past",IF(P24-TODAY()&lt;=ExpiryAlertDays,"Due in "&amp;TEXT(P24-TODAY(),"0")&amp;" days","Booked")))</f>
        <v>0</v>
      </c>
      <c r="U24" s="28">
        <f>IF(B24="","",TEXT(B24,"yyyy-mm"))</f>
        <v>0</v>
      </c>
      <c r="V24" s="49">
        <f>IF(B24="","",IF(L24="Missed","Missed dose - tell the owner",IF(L24="Refused","Refused - monitor and report",IF(AND(L24="Scheduled",B24&lt;TODAY()),"Overdue - not recorded",IF(AND(S24&lt;&gt;"Yes",F24="Vet visit"),"Action - update the owner","OK")))))</f>
        <v>0</v>
      </c>
    </row>
    <row r="25" spans="1:22">
      <c r="A25" s="46">
        <f>IF(B25="","","HL-"&amp;TEXT(ROW()-4,"0000"))</f>
        <v>0</v>
      </c>
      <c r="E25" s="28">
        <f>IF(D25="","",IFERROR(INDEX(Pets!$C$5:$C$254,MATCH(D25,Pets!$D$5:$D$254,0)),""))</f>
        <v>0</v>
      </c>
      <c r="O25" s="49">
        <f>IF(N25="","",IF(N25&lt;TODAY(),"Overdue - refill now",IF(N25-TODAY()&lt;=ExpiryAlertDays,"Due in "&amp;TEXT(N25-TODAY(),"0")&amp;" days","OK")))</f>
        <v>0</v>
      </c>
      <c r="Q25" s="49">
        <f>IF(P25="","",IF(P25&lt;TODAY(),"Past",IF(P25-TODAY()&lt;=ExpiryAlertDays,"Due in "&amp;TEXT(P25-TODAY(),"0")&amp;" days","Booked")))</f>
        <v>0</v>
      </c>
      <c r="U25" s="28">
        <f>IF(B25="","",TEXT(B25,"yyyy-mm"))</f>
        <v>0</v>
      </c>
      <c r="V25" s="49">
        <f>IF(B25="","",IF(L25="Missed","Missed dose - tell the owner",IF(L25="Refused","Refused - monitor and report",IF(AND(L25="Scheduled",B25&lt;TODAY()),"Overdue - not recorded",IF(AND(S25&lt;&gt;"Yes",F25="Vet visit"),"Action - update the owner","OK")))))</f>
        <v>0</v>
      </c>
    </row>
    <row r="26" spans="1:22">
      <c r="A26" s="46">
        <f>IF(B26="","","HL-"&amp;TEXT(ROW()-4,"0000"))</f>
        <v>0</v>
      </c>
      <c r="E26" s="28">
        <f>IF(D26="","",IFERROR(INDEX(Pets!$C$5:$C$254,MATCH(D26,Pets!$D$5:$D$254,0)),""))</f>
        <v>0</v>
      </c>
      <c r="O26" s="49">
        <f>IF(N26="","",IF(N26&lt;TODAY(),"Overdue - refill now",IF(N26-TODAY()&lt;=ExpiryAlertDays,"Due in "&amp;TEXT(N26-TODAY(),"0")&amp;" days","OK")))</f>
        <v>0</v>
      </c>
      <c r="Q26" s="49">
        <f>IF(P26="","",IF(P26&lt;TODAY(),"Past",IF(P26-TODAY()&lt;=ExpiryAlertDays,"Due in "&amp;TEXT(P26-TODAY(),"0")&amp;" days","Booked")))</f>
        <v>0</v>
      </c>
      <c r="U26" s="28">
        <f>IF(B26="","",TEXT(B26,"yyyy-mm"))</f>
        <v>0</v>
      </c>
      <c r="V26" s="49">
        <f>IF(B26="","",IF(L26="Missed","Missed dose - tell the owner",IF(L26="Refused","Refused - monitor and report",IF(AND(L26="Scheduled",B26&lt;TODAY()),"Overdue - not recorded",IF(AND(S26&lt;&gt;"Yes",F26="Vet visit"),"Action - update the owner","OK")))))</f>
        <v>0</v>
      </c>
    </row>
    <row r="27" spans="1:22">
      <c r="A27" s="46">
        <f>IF(B27="","","HL-"&amp;TEXT(ROW()-4,"0000"))</f>
        <v>0</v>
      </c>
      <c r="E27" s="28">
        <f>IF(D27="","",IFERROR(INDEX(Pets!$C$5:$C$254,MATCH(D27,Pets!$D$5:$D$254,0)),""))</f>
        <v>0</v>
      </c>
      <c r="O27" s="49">
        <f>IF(N27="","",IF(N27&lt;TODAY(),"Overdue - refill now",IF(N27-TODAY()&lt;=ExpiryAlertDays,"Due in "&amp;TEXT(N27-TODAY(),"0")&amp;" days","OK")))</f>
        <v>0</v>
      </c>
      <c r="Q27" s="49">
        <f>IF(P27="","",IF(P27&lt;TODAY(),"Past",IF(P27-TODAY()&lt;=ExpiryAlertDays,"Due in "&amp;TEXT(P27-TODAY(),"0")&amp;" days","Booked")))</f>
        <v>0</v>
      </c>
      <c r="U27" s="28">
        <f>IF(B27="","",TEXT(B27,"yyyy-mm"))</f>
        <v>0</v>
      </c>
      <c r="V27" s="49">
        <f>IF(B27="","",IF(L27="Missed","Missed dose - tell the owner",IF(L27="Refused","Refused - monitor and report",IF(AND(L27="Scheduled",B27&lt;TODAY()),"Overdue - not recorded",IF(AND(S27&lt;&gt;"Yes",F27="Vet visit"),"Action - update the owner","OK")))))</f>
        <v>0</v>
      </c>
    </row>
    <row r="28" spans="1:22">
      <c r="A28" s="46">
        <f>IF(B28="","","HL-"&amp;TEXT(ROW()-4,"0000"))</f>
        <v>0</v>
      </c>
      <c r="E28" s="28">
        <f>IF(D28="","",IFERROR(INDEX(Pets!$C$5:$C$254,MATCH(D28,Pets!$D$5:$D$254,0)),""))</f>
        <v>0</v>
      </c>
      <c r="O28" s="49">
        <f>IF(N28="","",IF(N28&lt;TODAY(),"Overdue - refill now",IF(N28-TODAY()&lt;=ExpiryAlertDays,"Due in "&amp;TEXT(N28-TODAY(),"0")&amp;" days","OK")))</f>
        <v>0</v>
      </c>
      <c r="Q28" s="49">
        <f>IF(P28="","",IF(P28&lt;TODAY(),"Past",IF(P28-TODAY()&lt;=ExpiryAlertDays,"Due in "&amp;TEXT(P28-TODAY(),"0")&amp;" days","Booked")))</f>
        <v>0</v>
      </c>
      <c r="U28" s="28">
        <f>IF(B28="","",TEXT(B28,"yyyy-mm"))</f>
        <v>0</v>
      </c>
      <c r="V28" s="49">
        <f>IF(B28="","",IF(L28="Missed","Missed dose - tell the owner",IF(L28="Refused","Refused - monitor and report",IF(AND(L28="Scheduled",B28&lt;TODAY()),"Overdue - not recorded",IF(AND(S28&lt;&gt;"Yes",F28="Vet visit"),"Action - update the owner","OK")))))</f>
        <v>0</v>
      </c>
    </row>
    <row r="29" spans="1:22">
      <c r="A29" s="46">
        <f>IF(B29="","","HL-"&amp;TEXT(ROW()-4,"0000"))</f>
        <v>0</v>
      </c>
      <c r="E29" s="28">
        <f>IF(D29="","",IFERROR(INDEX(Pets!$C$5:$C$254,MATCH(D29,Pets!$D$5:$D$254,0)),""))</f>
        <v>0</v>
      </c>
      <c r="O29" s="49">
        <f>IF(N29="","",IF(N29&lt;TODAY(),"Overdue - refill now",IF(N29-TODAY()&lt;=ExpiryAlertDays,"Due in "&amp;TEXT(N29-TODAY(),"0")&amp;" days","OK")))</f>
        <v>0</v>
      </c>
      <c r="Q29" s="49">
        <f>IF(P29="","",IF(P29&lt;TODAY(),"Past",IF(P29-TODAY()&lt;=ExpiryAlertDays,"Due in "&amp;TEXT(P29-TODAY(),"0")&amp;" days","Booked")))</f>
        <v>0</v>
      </c>
      <c r="U29" s="28">
        <f>IF(B29="","",TEXT(B29,"yyyy-mm"))</f>
        <v>0</v>
      </c>
      <c r="V29" s="49">
        <f>IF(B29="","",IF(L29="Missed","Missed dose - tell the owner",IF(L29="Refused","Refused - monitor and report",IF(AND(L29="Scheduled",B29&lt;TODAY()),"Overdue - not recorded",IF(AND(S29&lt;&gt;"Yes",F29="Vet visit"),"Action - update the owner","OK")))))</f>
        <v>0</v>
      </c>
    </row>
    <row r="30" spans="1:22">
      <c r="A30" s="46">
        <f>IF(B30="","","HL-"&amp;TEXT(ROW()-4,"0000"))</f>
        <v>0</v>
      </c>
      <c r="E30" s="28">
        <f>IF(D30="","",IFERROR(INDEX(Pets!$C$5:$C$254,MATCH(D30,Pets!$D$5:$D$254,0)),""))</f>
        <v>0</v>
      </c>
      <c r="O30" s="49">
        <f>IF(N30="","",IF(N30&lt;TODAY(),"Overdue - refill now",IF(N30-TODAY()&lt;=ExpiryAlertDays,"Due in "&amp;TEXT(N30-TODAY(),"0")&amp;" days","OK")))</f>
        <v>0</v>
      </c>
      <c r="Q30" s="49">
        <f>IF(P30="","",IF(P30&lt;TODAY(),"Past",IF(P30-TODAY()&lt;=ExpiryAlertDays,"Due in "&amp;TEXT(P30-TODAY(),"0")&amp;" days","Booked")))</f>
        <v>0</v>
      </c>
      <c r="U30" s="28">
        <f>IF(B30="","",TEXT(B30,"yyyy-mm"))</f>
        <v>0</v>
      </c>
      <c r="V30" s="49">
        <f>IF(B30="","",IF(L30="Missed","Missed dose - tell the owner",IF(L30="Refused","Refused - monitor and report",IF(AND(L30="Scheduled",B30&lt;TODAY()),"Overdue - not recorded",IF(AND(S30&lt;&gt;"Yes",F30="Vet visit"),"Action - update the owner","OK")))))</f>
        <v>0</v>
      </c>
    </row>
    <row r="31" spans="1:22">
      <c r="A31" s="46">
        <f>IF(B31="","","HL-"&amp;TEXT(ROW()-4,"0000"))</f>
        <v>0</v>
      </c>
      <c r="E31" s="28">
        <f>IF(D31="","",IFERROR(INDEX(Pets!$C$5:$C$254,MATCH(D31,Pets!$D$5:$D$254,0)),""))</f>
        <v>0</v>
      </c>
      <c r="O31" s="49">
        <f>IF(N31="","",IF(N31&lt;TODAY(),"Overdue - refill now",IF(N31-TODAY()&lt;=ExpiryAlertDays,"Due in "&amp;TEXT(N31-TODAY(),"0")&amp;" days","OK")))</f>
        <v>0</v>
      </c>
      <c r="Q31" s="49">
        <f>IF(P31="","",IF(P31&lt;TODAY(),"Past",IF(P31-TODAY()&lt;=ExpiryAlertDays,"Due in "&amp;TEXT(P31-TODAY(),"0")&amp;" days","Booked")))</f>
        <v>0</v>
      </c>
      <c r="U31" s="28">
        <f>IF(B31="","",TEXT(B31,"yyyy-mm"))</f>
        <v>0</v>
      </c>
      <c r="V31" s="49">
        <f>IF(B31="","",IF(L31="Missed","Missed dose - tell the owner",IF(L31="Refused","Refused - monitor and report",IF(AND(L31="Scheduled",B31&lt;TODAY()),"Overdue - not recorded",IF(AND(S31&lt;&gt;"Yes",F31="Vet visit"),"Action - update the owner","OK")))))</f>
        <v>0</v>
      </c>
    </row>
    <row r="32" spans="1:22">
      <c r="A32" s="46">
        <f>IF(B32="","","HL-"&amp;TEXT(ROW()-4,"0000"))</f>
        <v>0</v>
      </c>
      <c r="E32" s="28">
        <f>IF(D32="","",IFERROR(INDEX(Pets!$C$5:$C$254,MATCH(D32,Pets!$D$5:$D$254,0)),""))</f>
        <v>0</v>
      </c>
      <c r="O32" s="49">
        <f>IF(N32="","",IF(N32&lt;TODAY(),"Overdue - refill now",IF(N32-TODAY()&lt;=ExpiryAlertDays,"Due in "&amp;TEXT(N32-TODAY(),"0")&amp;" days","OK")))</f>
        <v>0</v>
      </c>
      <c r="Q32" s="49">
        <f>IF(P32="","",IF(P32&lt;TODAY(),"Past",IF(P32-TODAY()&lt;=ExpiryAlertDays,"Due in "&amp;TEXT(P32-TODAY(),"0")&amp;" days","Booked")))</f>
        <v>0</v>
      </c>
      <c r="U32" s="28">
        <f>IF(B32="","",TEXT(B32,"yyyy-mm"))</f>
        <v>0</v>
      </c>
      <c r="V32" s="49">
        <f>IF(B32="","",IF(L32="Missed","Missed dose - tell the owner",IF(L32="Refused","Refused - monitor and report",IF(AND(L32="Scheduled",B32&lt;TODAY()),"Overdue - not recorded",IF(AND(S32&lt;&gt;"Yes",F32="Vet visit"),"Action - update the owner","OK")))))</f>
        <v>0</v>
      </c>
    </row>
    <row r="33" spans="1:22">
      <c r="A33" s="46">
        <f>IF(B33="","","HL-"&amp;TEXT(ROW()-4,"0000"))</f>
        <v>0</v>
      </c>
      <c r="E33" s="28">
        <f>IF(D33="","",IFERROR(INDEX(Pets!$C$5:$C$254,MATCH(D33,Pets!$D$5:$D$254,0)),""))</f>
        <v>0</v>
      </c>
      <c r="O33" s="49">
        <f>IF(N33="","",IF(N33&lt;TODAY(),"Overdue - refill now",IF(N33-TODAY()&lt;=ExpiryAlertDays,"Due in "&amp;TEXT(N33-TODAY(),"0")&amp;" days","OK")))</f>
        <v>0</v>
      </c>
      <c r="Q33" s="49">
        <f>IF(P33="","",IF(P33&lt;TODAY(),"Past",IF(P33-TODAY()&lt;=ExpiryAlertDays,"Due in "&amp;TEXT(P33-TODAY(),"0")&amp;" days","Booked")))</f>
        <v>0</v>
      </c>
      <c r="U33" s="28">
        <f>IF(B33="","",TEXT(B33,"yyyy-mm"))</f>
        <v>0</v>
      </c>
      <c r="V33" s="49">
        <f>IF(B33="","",IF(L33="Missed","Missed dose - tell the owner",IF(L33="Refused","Refused - monitor and report",IF(AND(L33="Scheduled",B33&lt;TODAY()),"Overdue - not recorded",IF(AND(S33&lt;&gt;"Yes",F33="Vet visit"),"Action - update the owner","OK")))))</f>
        <v>0</v>
      </c>
    </row>
    <row r="34" spans="1:22">
      <c r="A34" s="46">
        <f>IF(B34="","","HL-"&amp;TEXT(ROW()-4,"0000"))</f>
        <v>0</v>
      </c>
      <c r="E34" s="28">
        <f>IF(D34="","",IFERROR(INDEX(Pets!$C$5:$C$254,MATCH(D34,Pets!$D$5:$D$254,0)),""))</f>
        <v>0</v>
      </c>
      <c r="O34" s="49">
        <f>IF(N34="","",IF(N34&lt;TODAY(),"Overdue - refill now",IF(N34-TODAY()&lt;=ExpiryAlertDays,"Due in "&amp;TEXT(N34-TODAY(),"0")&amp;" days","OK")))</f>
        <v>0</v>
      </c>
      <c r="Q34" s="49">
        <f>IF(P34="","",IF(P34&lt;TODAY(),"Past",IF(P34-TODAY()&lt;=ExpiryAlertDays,"Due in "&amp;TEXT(P34-TODAY(),"0")&amp;" days","Booked")))</f>
        <v>0</v>
      </c>
      <c r="U34" s="28">
        <f>IF(B34="","",TEXT(B34,"yyyy-mm"))</f>
        <v>0</v>
      </c>
      <c r="V34" s="49">
        <f>IF(B34="","",IF(L34="Missed","Missed dose - tell the owner",IF(L34="Refused","Refused - monitor and report",IF(AND(L34="Scheduled",B34&lt;TODAY()),"Overdue - not recorded",IF(AND(S34&lt;&gt;"Yes",F34="Vet visit"),"Action - update the owner","OK")))))</f>
        <v>0</v>
      </c>
    </row>
    <row r="35" spans="1:22">
      <c r="A35" s="46">
        <f>IF(B35="","","HL-"&amp;TEXT(ROW()-4,"0000"))</f>
        <v>0</v>
      </c>
      <c r="E35" s="28">
        <f>IF(D35="","",IFERROR(INDEX(Pets!$C$5:$C$254,MATCH(D35,Pets!$D$5:$D$254,0)),""))</f>
        <v>0</v>
      </c>
      <c r="O35" s="49">
        <f>IF(N35="","",IF(N35&lt;TODAY(),"Overdue - refill now",IF(N35-TODAY()&lt;=ExpiryAlertDays,"Due in "&amp;TEXT(N35-TODAY(),"0")&amp;" days","OK")))</f>
        <v>0</v>
      </c>
      <c r="Q35" s="49">
        <f>IF(P35="","",IF(P35&lt;TODAY(),"Past",IF(P35-TODAY()&lt;=ExpiryAlertDays,"Due in "&amp;TEXT(P35-TODAY(),"0")&amp;" days","Booked")))</f>
        <v>0</v>
      </c>
      <c r="U35" s="28">
        <f>IF(B35="","",TEXT(B35,"yyyy-mm"))</f>
        <v>0</v>
      </c>
      <c r="V35" s="49">
        <f>IF(B35="","",IF(L35="Missed","Missed dose - tell the owner",IF(L35="Refused","Refused - monitor and report",IF(AND(L35="Scheduled",B35&lt;TODAY()),"Overdue - not recorded",IF(AND(S35&lt;&gt;"Yes",F35="Vet visit"),"Action - update the owner","OK")))))</f>
        <v>0</v>
      </c>
    </row>
    <row r="36" spans="1:22">
      <c r="A36" s="46">
        <f>IF(B36="","","HL-"&amp;TEXT(ROW()-4,"0000"))</f>
        <v>0</v>
      </c>
      <c r="E36" s="28">
        <f>IF(D36="","",IFERROR(INDEX(Pets!$C$5:$C$254,MATCH(D36,Pets!$D$5:$D$254,0)),""))</f>
        <v>0</v>
      </c>
      <c r="O36" s="49">
        <f>IF(N36="","",IF(N36&lt;TODAY(),"Overdue - refill now",IF(N36-TODAY()&lt;=ExpiryAlertDays,"Due in "&amp;TEXT(N36-TODAY(),"0")&amp;" days","OK")))</f>
        <v>0</v>
      </c>
      <c r="Q36" s="49">
        <f>IF(P36="","",IF(P36&lt;TODAY(),"Past",IF(P36-TODAY()&lt;=ExpiryAlertDays,"Due in "&amp;TEXT(P36-TODAY(),"0")&amp;" days","Booked")))</f>
        <v>0</v>
      </c>
      <c r="U36" s="28">
        <f>IF(B36="","",TEXT(B36,"yyyy-mm"))</f>
        <v>0</v>
      </c>
      <c r="V36" s="49">
        <f>IF(B36="","",IF(L36="Missed","Missed dose - tell the owner",IF(L36="Refused","Refused - monitor and report",IF(AND(L36="Scheduled",B36&lt;TODAY()),"Overdue - not recorded",IF(AND(S36&lt;&gt;"Yes",F36="Vet visit"),"Action - update the owner","OK")))))</f>
        <v>0</v>
      </c>
    </row>
    <row r="37" spans="1:22">
      <c r="A37" s="46">
        <f>IF(B37="","","HL-"&amp;TEXT(ROW()-4,"0000"))</f>
        <v>0</v>
      </c>
      <c r="E37" s="28">
        <f>IF(D37="","",IFERROR(INDEX(Pets!$C$5:$C$254,MATCH(D37,Pets!$D$5:$D$254,0)),""))</f>
        <v>0</v>
      </c>
      <c r="O37" s="49">
        <f>IF(N37="","",IF(N37&lt;TODAY(),"Overdue - refill now",IF(N37-TODAY()&lt;=ExpiryAlertDays,"Due in "&amp;TEXT(N37-TODAY(),"0")&amp;" days","OK")))</f>
        <v>0</v>
      </c>
      <c r="Q37" s="49">
        <f>IF(P37="","",IF(P37&lt;TODAY(),"Past",IF(P37-TODAY()&lt;=ExpiryAlertDays,"Due in "&amp;TEXT(P37-TODAY(),"0")&amp;" days","Booked")))</f>
        <v>0</v>
      </c>
      <c r="U37" s="28">
        <f>IF(B37="","",TEXT(B37,"yyyy-mm"))</f>
        <v>0</v>
      </c>
      <c r="V37" s="49">
        <f>IF(B37="","",IF(L37="Missed","Missed dose - tell the owner",IF(L37="Refused","Refused - monitor and report",IF(AND(L37="Scheduled",B37&lt;TODAY()),"Overdue - not recorded",IF(AND(S37&lt;&gt;"Yes",F37="Vet visit"),"Action - update the owner","OK")))))</f>
        <v>0</v>
      </c>
    </row>
    <row r="38" spans="1:22">
      <c r="A38" s="46">
        <f>IF(B38="","","HL-"&amp;TEXT(ROW()-4,"0000"))</f>
        <v>0</v>
      </c>
      <c r="E38" s="28">
        <f>IF(D38="","",IFERROR(INDEX(Pets!$C$5:$C$254,MATCH(D38,Pets!$D$5:$D$254,0)),""))</f>
        <v>0</v>
      </c>
      <c r="O38" s="49">
        <f>IF(N38="","",IF(N38&lt;TODAY(),"Overdue - refill now",IF(N38-TODAY()&lt;=ExpiryAlertDays,"Due in "&amp;TEXT(N38-TODAY(),"0")&amp;" days","OK")))</f>
        <v>0</v>
      </c>
      <c r="Q38" s="49">
        <f>IF(P38="","",IF(P38&lt;TODAY(),"Past",IF(P38-TODAY()&lt;=ExpiryAlertDays,"Due in "&amp;TEXT(P38-TODAY(),"0")&amp;" days","Booked")))</f>
        <v>0</v>
      </c>
      <c r="U38" s="28">
        <f>IF(B38="","",TEXT(B38,"yyyy-mm"))</f>
        <v>0</v>
      </c>
      <c r="V38" s="49">
        <f>IF(B38="","",IF(L38="Missed","Missed dose - tell the owner",IF(L38="Refused","Refused - monitor and report",IF(AND(L38="Scheduled",B38&lt;TODAY()),"Overdue - not recorded",IF(AND(S38&lt;&gt;"Yes",F38="Vet visit"),"Action - update the owner","OK")))))</f>
        <v>0</v>
      </c>
    </row>
    <row r="39" spans="1:22">
      <c r="A39" s="46">
        <f>IF(B39="","","HL-"&amp;TEXT(ROW()-4,"0000"))</f>
        <v>0</v>
      </c>
      <c r="E39" s="28">
        <f>IF(D39="","",IFERROR(INDEX(Pets!$C$5:$C$254,MATCH(D39,Pets!$D$5:$D$254,0)),""))</f>
        <v>0</v>
      </c>
      <c r="O39" s="49">
        <f>IF(N39="","",IF(N39&lt;TODAY(),"Overdue - refill now",IF(N39-TODAY()&lt;=ExpiryAlertDays,"Due in "&amp;TEXT(N39-TODAY(),"0")&amp;" days","OK")))</f>
        <v>0</v>
      </c>
      <c r="Q39" s="49">
        <f>IF(P39="","",IF(P39&lt;TODAY(),"Past",IF(P39-TODAY()&lt;=ExpiryAlertDays,"Due in "&amp;TEXT(P39-TODAY(),"0")&amp;" days","Booked")))</f>
        <v>0</v>
      </c>
      <c r="U39" s="28">
        <f>IF(B39="","",TEXT(B39,"yyyy-mm"))</f>
        <v>0</v>
      </c>
      <c r="V39" s="49">
        <f>IF(B39="","",IF(L39="Missed","Missed dose - tell the owner",IF(L39="Refused","Refused - monitor and report",IF(AND(L39="Scheduled",B39&lt;TODAY()),"Overdue - not recorded",IF(AND(S39&lt;&gt;"Yes",F39="Vet visit"),"Action - update the owner","OK")))))</f>
        <v>0</v>
      </c>
    </row>
    <row r="40" spans="1:22">
      <c r="A40" s="46">
        <f>IF(B40="","","HL-"&amp;TEXT(ROW()-4,"0000"))</f>
        <v>0</v>
      </c>
      <c r="E40" s="28">
        <f>IF(D40="","",IFERROR(INDEX(Pets!$C$5:$C$254,MATCH(D40,Pets!$D$5:$D$254,0)),""))</f>
        <v>0</v>
      </c>
      <c r="O40" s="49">
        <f>IF(N40="","",IF(N40&lt;TODAY(),"Overdue - refill now",IF(N40-TODAY()&lt;=ExpiryAlertDays,"Due in "&amp;TEXT(N40-TODAY(),"0")&amp;" days","OK")))</f>
        <v>0</v>
      </c>
      <c r="Q40" s="49">
        <f>IF(P40="","",IF(P40&lt;TODAY(),"Past",IF(P40-TODAY()&lt;=ExpiryAlertDays,"Due in "&amp;TEXT(P40-TODAY(),"0")&amp;" days","Booked")))</f>
        <v>0</v>
      </c>
      <c r="U40" s="28">
        <f>IF(B40="","",TEXT(B40,"yyyy-mm"))</f>
        <v>0</v>
      </c>
      <c r="V40" s="49">
        <f>IF(B40="","",IF(L40="Missed","Missed dose - tell the owner",IF(L40="Refused","Refused - monitor and report",IF(AND(L40="Scheduled",B40&lt;TODAY()),"Overdue - not recorded",IF(AND(S40&lt;&gt;"Yes",F40="Vet visit"),"Action - update the owner","OK")))))</f>
        <v>0</v>
      </c>
    </row>
    <row r="41" spans="1:22">
      <c r="A41" s="46">
        <f>IF(B41="","","HL-"&amp;TEXT(ROW()-4,"0000"))</f>
        <v>0</v>
      </c>
      <c r="E41" s="28">
        <f>IF(D41="","",IFERROR(INDEX(Pets!$C$5:$C$254,MATCH(D41,Pets!$D$5:$D$254,0)),""))</f>
        <v>0</v>
      </c>
      <c r="O41" s="49">
        <f>IF(N41="","",IF(N41&lt;TODAY(),"Overdue - refill now",IF(N41-TODAY()&lt;=ExpiryAlertDays,"Due in "&amp;TEXT(N41-TODAY(),"0")&amp;" days","OK")))</f>
        <v>0</v>
      </c>
      <c r="Q41" s="49">
        <f>IF(P41="","",IF(P41&lt;TODAY(),"Past",IF(P41-TODAY()&lt;=ExpiryAlertDays,"Due in "&amp;TEXT(P41-TODAY(),"0")&amp;" days","Booked")))</f>
        <v>0</v>
      </c>
      <c r="U41" s="28">
        <f>IF(B41="","",TEXT(B41,"yyyy-mm"))</f>
        <v>0</v>
      </c>
      <c r="V41" s="49">
        <f>IF(B41="","",IF(L41="Missed","Missed dose - tell the owner",IF(L41="Refused","Refused - monitor and report",IF(AND(L41="Scheduled",B41&lt;TODAY()),"Overdue - not recorded",IF(AND(S41&lt;&gt;"Yes",F41="Vet visit"),"Action - update the owner","OK")))))</f>
        <v>0</v>
      </c>
    </row>
    <row r="42" spans="1:22">
      <c r="A42" s="46">
        <f>IF(B42="","","HL-"&amp;TEXT(ROW()-4,"0000"))</f>
        <v>0</v>
      </c>
      <c r="E42" s="28">
        <f>IF(D42="","",IFERROR(INDEX(Pets!$C$5:$C$254,MATCH(D42,Pets!$D$5:$D$254,0)),""))</f>
        <v>0</v>
      </c>
      <c r="O42" s="49">
        <f>IF(N42="","",IF(N42&lt;TODAY(),"Overdue - refill now",IF(N42-TODAY()&lt;=ExpiryAlertDays,"Due in "&amp;TEXT(N42-TODAY(),"0")&amp;" days","OK")))</f>
        <v>0</v>
      </c>
      <c r="Q42" s="49">
        <f>IF(P42="","",IF(P42&lt;TODAY(),"Past",IF(P42-TODAY()&lt;=ExpiryAlertDays,"Due in "&amp;TEXT(P42-TODAY(),"0")&amp;" days","Booked")))</f>
        <v>0</v>
      </c>
      <c r="U42" s="28">
        <f>IF(B42="","",TEXT(B42,"yyyy-mm"))</f>
        <v>0</v>
      </c>
      <c r="V42" s="49">
        <f>IF(B42="","",IF(L42="Missed","Missed dose - tell the owner",IF(L42="Refused","Refused - monitor and report",IF(AND(L42="Scheduled",B42&lt;TODAY()),"Overdue - not recorded",IF(AND(S42&lt;&gt;"Yes",F42="Vet visit"),"Action - update the owner","OK")))))</f>
        <v>0</v>
      </c>
    </row>
    <row r="43" spans="1:22">
      <c r="A43" s="46">
        <f>IF(B43="","","HL-"&amp;TEXT(ROW()-4,"0000"))</f>
        <v>0</v>
      </c>
      <c r="E43" s="28">
        <f>IF(D43="","",IFERROR(INDEX(Pets!$C$5:$C$254,MATCH(D43,Pets!$D$5:$D$254,0)),""))</f>
        <v>0</v>
      </c>
      <c r="O43" s="49">
        <f>IF(N43="","",IF(N43&lt;TODAY(),"Overdue - refill now",IF(N43-TODAY()&lt;=ExpiryAlertDays,"Due in "&amp;TEXT(N43-TODAY(),"0")&amp;" days","OK")))</f>
        <v>0</v>
      </c>
      <c r="Q43" s="49">
        <f>IF(P43="","",IF(P43&lt;TODAY(),"Past",IF(P43-TODAY()&lt;=ExpiryAlertDays,"Due in "&amp;TEXT(P43-TODAY(),"0")&amp;" days","Booked")))</f>
        <v>0</v>
      </c>
      <c r="U43" s="28">
        <f>IF(B43="","",TEXT(B43,"yyyy-mm"))</f>
        <v>0</v>
      </c>
      <c r="V43" s="49">
        <f>IF(B43="","",IF(L43="Missed","Missed dose - tell the owner",IF(L43="Refused","Refused - monitor and report",IF(AND(L43="Scheduled",B43&lt;TODAY()),"Overdue - not recorded",IF(AND(S43&lt;&gt;"Yes",F43="Vet visit"),"Action - update the owner","OK")))))</f>
        <v>0</v>
      </c>
    </row>
    <row r="44" spans="1:22">
      <c r="A44" s="46">
        <f>IF(B44="","","HL-"&amp;TEXT(ROW()-4,"0000"))</f>
        <v>0</v>
      </c>
      <c r="E44" s="28">
        <f>IF(D44="","",IFERROR(INDEX(Pets!$C$5:$C$254,MATCH(D44,Pets!$D$5:$D$254,0)),""))</f>
        <v>0</v>
      </c>
      <c r="O44" s="49">
        <f>IF(N44="","",IF(N44&lt;TODAY(),"Overdue - refill now",IF(N44-TODAY()&lt;=ExpiryAlertDays,"Due in "&amp;TEXT(N44-TODAY(),"0")&amp;" days","OK")))</f>
        <v>0</v>
      </c>
      <c r="Q44" s="49">
        <f>IF(P44="","",IF(P44&lt;TODAY(),"Past",IF(P44-TODAY()&lt;=ExpiryAlertDays,"Due in "&amp;TEXT(P44-TODAY(),"0")&amp;" days","Booked")))</f>
        <v>0</v>
      </c>
      <c r="U44" s="28">
        <f>IF(B44="","",TEXT(B44,"yyyy-mm"))</f>
        <v>0</v>
      </c>
      <c r="V44" s="49">
        <f>IF(B44="","",IF(L44="Missed","Missed dose - tell the owner",IF(L44="Refused","Refused - monitor and report",IF(AND(L44="Scheduled",B44&lt;TODAY()),"Overdue - not recorded",IF(AND(S44&lt;&gt;"Yes",F44="Vet visit"),"Action - update the owner","OK")))))</f>
        <v>0</v>
      </c>
    </row>
    <row r="45" spans="1:22">
      <c r="A45" s="46">
        <f>IF(B45="","","HL-"&amp;TEXT(ROW()-4,"0000"))</f>
        <v>0</v>
      </c>
      <c r="E45" s="28">
        <f>IF(D45="","",IFERROR(INDEX(Pets!$C$5:$C$254,MATCH(D45,Pets!$D$5:$D$254,0)),""))</f>
        <v>0</v>
      </c>
      <c r="O45" s="49">
        <f>IF(N45="","",IF(N45&lt;TODAY(),"Overdue - refill now",IF(N45-TODAY()&lt;=ExpiryAlertDays,"Due in "&amp;TEXT(N45-TODAY(),"0")&amp;" days","OK")))</f>
        <v>0</v>
      </c>
      <c r="Q45" s="49">
        <f>IF(P45="","",IF(P45&lt;TODAY(),"Past",IF(P45-TODAY()&lt;=ExpiryAlertDays,"Due in "&amp;TEXT(P45-TODAY(),"0")&amp;" days","Booked")))</f>
        <v>0</v>
      </c>
      <c r="U45" s="28">
        <f>IF(B45="","",TEXT(B45,"yyyy-mm"))</f>
        <v>0</v>
      </c>
      <c r="V45" s="49">
        <f>IF(B45="","",IF(L45="Missed","Missed dose - tell the owner",IF(L45="Refused","Refused - monitor and report",IF(AND(L45="Scheduled",B45&lt;TODAY()),"Overdue - not recorded",IF(AND(S45&lt;&gt;"Yes",F45="Vet visit"),"Action - update the owner","OK")))))</f>
        <v>0</v>
      </c>
    </row>
    <row r="46" spans="1:22">
      <c r="A46" s="46">
        <f>IF(B46="","","HL-"&amp;TEXT(ROW()-4,"0000"))</f>
        <v>0</v>
      </c>
      <c r="E46" s="28">
        <f>IF(D46="","",IFERROR(INDEX(Pets!$C$5:$C$254,MATCH(D46,Pets!$D$5:$D$254,0)),""))</f>
        <v>0</v>
      </c>
      <c r="O46" s="49">
        <f>IF(N46="","",IF(N46&lt;TODAY(),"Overdue - refill now",IF(N46-TODAY()&lt;=ExpiryAlertDays,"Due in "&amp;TEXT(N46-TODAY(),"0")&amp;" days","OK")))</f>
        <v>0</v>
      </c>
      <c r="Q46" s="49">
        <f>IF(P46="","",IF(P46&lt;TODAY(),"Past",IF(P46-TODAY()&lt;=ExpiryAlertDays,"Due in "&amp;TEXT(P46-TODAY(),"0")&amp;" days","Booked")))</f>
        <v>0</v>
      </c>
      <c r="U46" s="28">
        <f>IF(B46="","",TEXT(B46,"yyyy-mm"))</f>
        <v>0</v>
      </c>
      <c r="V46" s="49">
        <f>IF(B46="","",IF(L46="Missed","Missed dose - tell the owner",IF(L46="Refused","Refused - monitor and report",IF(AND(L46="Scheduled",B46&lt;TODAY()),"Overdue - not recorded",IF(AND(S46&lt;&gt;"Yes",F46="Vet visit"),"Action - update the owner","OK")))))</f>
        <v>0</v>
      </c>
    </row>
    <row r="47" spans="1:22">
      <c r="A47" s="46">
        <f>IF(B47="","","HL-"&amp;TEXT(ROW()-4,"0000"))</f>
        <v>0</v>
      </c>
      <c r="E47" s="28">
        <f>IF(D47="","",IFERROR(INDEX(Pets!$C$5:$C$254,MATCH(D47,Pets!$D$5:$D$254,0)),""))</f>
        <v>0</v>
      </c>
      <c r="O47" s="49">
        <f>IF(N47="","",IF(N47&lt;TODAY(),"Overdue - refill now",IF(N47-TODAY()&lt;=ExpiryAlertDays,"Due in "&amp;TEXT(N47-TODAY(),"0")&amp;" days","OK")))</f>
        <v>0</v>
      </c>
      <c r="Q47" s="49">
        <f>IF(P47="","",IF(P47&lt;TODAY(),"Past",IF(P47-TODAY()&lt;=ExpiryAlertDays,"Due in "&amp;TEXT(P47-TODAY(),"0")&amp;" days","Booked")))</f>
        <v>0</v>
      </c>
      <c r="U47" s="28">
        <f>IF(B47="","",TEXT(B47,"yyyy-mm"))</f>
        <v>0</v>
      </c>
      <c r="V47" s="49">
        <f>IF(B47="","",IF(L47="Missed","Missed dose - tell the owner",IF(L47="Refused","Refused - monitor and report",IF(AND(L47="Scheduled",B47&lt;TODAY()),"Overdue - not recorded",IF(AND(S47&lt;&gt;"Yes",F47="Vet visit"),"Action - update the owner","OK")))))</f>
        <v>0</v>
      </c>
    </row>
    <row r="48" spans="1:22">
      <c r="A48" s="46">
        <f>IF(B48="","","HL-"&amp;TEXT(ROW()-4,"0000"))</f>
        <v>0</v>
      </c>
      <c r="E48" s="28">
        <f>IF(D48="","",IFERROR(INDEX(Pets!$C$5:$C$254,MATCH(D48,Pets!$D$5:$D$254,0)),""))</f>
        <v>0</v>
      </c>
      <c r="O48" s="49">
        <f>IF(N48="","",IF(N48&lt;TODAY(),"Overdue - refill now",IF(N48-TODAY()&lt;=ExpiryAlertDays,"Due in "&amp;TEXT(N48-TODAY(),"0")&amp;" days","OK")))</f>
        <v>0</v>
      </c>
      <c r="Q48" s="49">
        <f>IF(P48="","",IF(P48&lt;TODAY(),"Past",IF(P48-TODAY()&lt;=ExpiryAlertDays,"Due in "&amp;TEXT(P48-TODAY(),"0")&amp;" days","Booked")))</f>
        <v>0</v>
      </c>
      <c r="U48" s="28">
        <f>IF(B48="","",TEXT(B48,"yyyy-mm"))</f>
        <v>0</v>
      </c>
      <c r="V48" s="49">
        <f>IF(B48="","",IF(L48="Missed","Missed dose - tell the owner",IF(L48="Refused","Refused - monitor and report",IF(AND(L48="Scheduled",B48&lt;TODAY()),"Overdue - not recorded",IF(AND(S48&lt;&gt;"Yes",F48="Vet visit"),"Action - update the owner","OK")))))</f>
        <v>0</v>
      </c>
    </row>
    <row r="49" spans="1:22">
      <c r="A49" s="46">
        <f>IF(B49="","","HL-"&amp;TEXT(ROW()-4,"0000"))</f>
        <v>0</v>
      </c>
      <c r="E49" s="28">
        <f>IF(D49="","",IFERROR(INDEX(Pets!$C$5:$C$254,MATCH(D49,Pets!$D$5:$D$254,0)),""))</f>
        <v>0</v>
      </c>
      <c r="O49" s="49">
        <f>IF(N49="","",IF(N49&lt;TODAY(),"Overdue - refill now",IF(N49-TODAY()&lt;=ExpiryAlertDays,"Due in "&amp;TEXT(N49-TODAY(),"0")&amp;" days","OK")))</f>
        <v>0</v>
      </c>
      <c r="Q49" s="49">
        <f>IF(P49="","",IF(P49&lt;TODAY(),"Past",IF(P49-TODAY()&lt;=ExpiryAlertDays,"Due in "&amp;TEXT(P49-TODAY(),"0")&amp;" days","Booked")))</f>
        <v>0</v>
      </c>
      <c r="U49" s="28">
        <f>IF(B49="","",TEXT(B49,"yyyy-mm"))</f>
        <v>0</v>
      </c>
      <c r="V49" s="49">
        <f>IF(B49="","",IF(L49="Missed","Missed dose - tell the owner",IF(L49="Refused","Refused - monitor and report",IF(AND(L49="Scheduled",B49&lt;TODAY()),"Overdue - not recorded",IF(AND(S49&lt;&gt;"Yes",F49="Vet visit"),"Action - update the owner","OK")))))</f>
        <v>0</v>
      </c>
    </row>
    <row r="50" spans="1:22">
      <c r="A50" s="46">
        <f>IF(B50="","","HL-"&amp;TEXT(ROW()-4,"0000"))</f>
        <v>0</v>
      </c>
      <c r="E50" s="28">
        <f>IF(D50="","",IFERROR(INDEX(Pets!$C$5:$C$254,MATCH(D50,Pets!$D$5:$D$254,0)),""))</f>
        <v>0</v>
      </c>
      <c r="O50" s="49">
        <f>IF(N50="","",IF(N50&lt;TODAY(),"Overdue - refill now",IF(N50-TODAY()&lt;=ExpiryAlertDays,"Due in "&amp;TEXT(N50-TODAY(),"0")&amp;" days","OK")))</f>
        <v>0</v>
      </c>
      <c r="Q50" s="49">
        <f>IF(P50="","",IF(P50&lt;TODAY(),"Past",IF(P50-TODAY()&lt;=ExpiryAlertDays,"Due in "&amp;TEXT(P50-TODAY(),"0")&amp;" days","Booked")))</f>
        <v>0</v>
      </c>
      <c r="U50" s="28">
        <f>IF(B50="","",TEXT(B50,"yyyy-mm"))</f>
        <v>0</v>
      </c>
      <c r="V50" s="49">
        <f>IF(B50="","",IF(L50="Missed","Missed dose - tell the owner",IF(L50="Refused","Refused - monitor and report",IF(AND(L50="Scheduled",B50&lt;TODAY()),"Overdue - not recorded",IF(AND(S50&lt;&gt;"Yes",F50="Vet visit"),"Action - update the owner","OK")))))</f>
        <v>0</v>
      </c>
    </row>
    <row r="51" spans="1:22">
      <c r="A51" s="46">
        <f>IF(B51="","","HL-"&amp;TEXT(ROW()-4,"0000"))</f>
        <v>0</v>
      </c>
      <c r="E51" s="28">
        <f>IF(D51="","",IFERROR(INDEX(Pets!$C$5:$C$254,MATCH(D51,Pets!$D$5:$D$254,0)),""))</f>
        <v>0</v>
      </c>
      <c r="O51" s="49">
        <f>IF(N51="","",IF(N51&lt;TODAY(),"Overdue - refill now",IF(N51-TODAY()&lt;=ExpiryAlertDays,"Due in "&amp;TEXT(N51-TODAY(),"0")&amp;" days","OK")))</f>
        <v>0</v>
      </c>
      <c r="Q51" s="49">
        <f>IF(P51="","",IF(P51&lt;TODAY(),"Past",IF(P51-TODAY()&lt;=ExpiryAlertDays,"Due in "&amp;TEXT(P51-TODAY(),"0")&amp;" days","Booked")))</f>
        <v>0</v>
      </c>
      <c r="U51" s="28">
        <f>IF(B51="","",TEXT(B51,"yyyy-mm"))</f>
        <v>0</v>
      </c>
      <c r="V51" s="49">
        <f>IF(B51="","",IF(L51="Missed","Missed dose - tell the owner",IF(L51="Refused","Refused - monitor and report",IF(AND(L51="Scheduled",B51&lt;TODAY()),"Overdue - not recorded",IF(AND(S51&lt;&gt;"Yes",F51="Vet visit"),"Action - update the owner","OK")))))</f>
        <v>0</v>
      </c>
    </row>
    <row r="52" spans="1:22">
      <c r="A52" s="46">
        <f>IF(B52="","","HL-"&amp;TEXT(ROW()-4,"0000"))</f>
        <v>0</v>
      </c>
      <c r="E52" s="28">
        <f>IF(D52="","",IFERROR(INDEX(Pets!$C$5:$C$254,MATCH(D52,Pets!$D$5:$D$254,0)),""))</f>
        <v>0</v>
      </c>
      <c r="O52" s="49">
        <f>IF(N52="","",IF(N52&lt;TODAY(),"Overdue - refill now",IF(N52-TODAY()&lt;=ExpiryAlertDays,"Due in "&amp;TEXT(N52-TODAY(),"0")&amp;" days","OK")))</f>
        <v>0</v>
      </c>
      <c r="Q52" s="49">
        <f>IF(P52="","",IF(P52&lt;TODAY(),"Past",IF(P52-TODAY()&lt;=ExpiryAlertDays,"Due in "&amp;TEXT(P52-TODAY(),"0")&amp;" days","Booked")))</f>
        <v>0</v>
      </c>
      <c r="U52" s="28">
        <f>IF(B52="","",TEXT(B52,"yyyy-mm"))</f>
        <v>0</v>
      </c>
      <c r="V52" s="49">
        <f>IF(B52="","",IF(L52="Missed","Missed dose - tell the owner",IF(L52="Refused","Refused - monitor and report",IF(AND(L52="Scheduled",B52&lt;TODAY()),"Overdue - not recorded",IF(AND(S52&lt;&gt;"Yes",F52="Vet visit"),"Action - update the owner","OK")))))</f>
        <v>0</v>
      </c>
    </row>
    <row r="53" spans="1:22">
      <c r="A53" s="46">
        <f>IF(B53="","","HL-"&amp;TEXT(ROW()-4,"0000"))</f>
        <v>0</v>
      </c>
      <c r="E53" s="28">
        <f>IF(D53="","",IFERROR(INDEX(Pets!$C$5:$C$254,MATCH(D53,Pets!$D$5:$D$254,0)),""))</f>
        <v>0</v>
      </c>
      <c r="O53" s="49">
        <f>IF(N53="","",IF(N53&lt;TODAY(),"Overdue - refill now",IF(N53-TODAY()&lt;=ExpiryAlertDays,"Due in "&amp;TEXT(N53-TODAY(),"0")&amp;" days","OK")))</f>
        <v>0</v>
      </c>
      <c r="Q53" s="49">
        <f>IF(P53="","",IF(P53&lt;TODAY(),"Past",IF(P53-TODAY()&lt;=ExpiryAlertDays,"Due in "&amp;TEXT(P53-TODAY(),"0")&amp;" days","Booked")))</f>
        <v>0</v>
      </c>
      <c r="U53" s="28">
        <f>IF(B53="","",TEXT(B53,"yyyy-mm"))</f>
        <v>0</v>
      </c>
      <c r="V53" s="49">
        <f>IF(B53="","",IF(L53="Missed","Missed dose - tell the owner",IF(L53="Refused","Refused - monitor and report",IF(AND(L53="Scheduled",B53&lt;TODAY()),"Overdue - not recorded",IF(AND(S53&lt;&gt;"Yes",F53="Vet visit"),"Action - update the owner","OK")))))</f>
        <v>0</v>
      </c>
    </row>
    <row r="54" spans="1:22">
      <c r="A54" s="46">
        <f>IF(B54="","","HL-"&amp;TEXT(ROW()-4,"0000"))</f>
        <v>0</v>
      </c>
      <c r="E54" s="28">
        <f>IF(D54="","",IFERROR(INDEX(Pets!$C$5:$C$254,MATCH(D54,Pets!$D$5:$D$254,0)),""))</f>
        <v>0</v>
      </c>
      <c r="O54" s="49">
        <f>IF(N54="","",IF(N54&lt;TODAY(),"Overdue - refill now",IF(N54-TODAY()&lt;=ExpiryAlertDays,"Due in "&amp;TEXT(N54-TODAY(),"0")&amp;" days","OK")))</f>
        <v>0</v>
      </c>
      <c r="Q54" s="49">
        <f>IF(P54="","",IF(P54&lt;TODAY(),"Past",IF(P54-TODAY()&lt;=ExpiryAlertDays,"Due in "&amp;TEXT(P54-TODAY(),"0")&amp;" days","Booked")))</f>
        <v>0</v>
      </c>
      <c r="U54" s="28">
        <f>IF(B54="","",TEXT(B54,"yyyy-mm"))</f>
        <v>0</v>
      </c>
      <c r="V54" s="49">
        <f>IF(B54="","",IF(L54="Missed","Missed dose - tell the owner",IF(L54="Refused","Refused - monitor and report",IF(AND(L54="Scheduled",B54&lt;TODAY()),"Overdue - not recorded",IF(AND(S54&lt;&gt;"Yes",F54="Vet visit"),"Action - update the owner","OK")))))</f>
        <v>0</v>
      </c>
    </row>
    <row r="55" spans="1:22">
      <c r="A55" s="46">
        <f>IF(B55="","","HL-"&amp;TEXT(ROW()-4,"0000"))</f>
        <v>0</v>
      </c>
      <c r="E55" s="28">
        <f>IF(D55="","",IFERROR(INDEX(Pets!$C$5:$C$254,MATCH(D55,Pets!$D$5:$D$254,0)),""))</f>
        <v>0</v>
      </c>
      <c r="O55" s="49">
        <f>IF(N55="","",IF(N55&lt;TODAY(),"Overdue - refill now",IF(N55-TODAY()&lt;=ExpiryAlertDays,"Due in "&amp;TEXT(N55-TODAY(),"0")&amp;" days","OK")))</f>
        <v>0</v>
      </c>
      <c r="Q55" s="49">
        <f>IF(P55="","",IF(P55&lt;TODAY(),"Past",IF(P55-TODAY()&lt;=ExpiryAlertDays,"Due in "&amp;TEXT(P55-TODAY(),"0")&amp;" days","Booked")))</f>
        <v>0</v>
      </c>
      <c r="U55" s="28">
        <f>IF(B55="","",TEXT(B55,"yyyy-mm"))</f>
        <v>0</v>
      </c>
      <c r="V55" s="49">
        <f>IF(B55="","",IF(L55="Missed","Missed dose - tell the owner",IF(L55="Refused","Refused - monitor and report",IF(AND(L55="Scheduled",B55&lt;TODAY()),"Overdue - not recorded",IF(AND(S55&lt;&gt;"Yes",F55="Vet visit"),"Action - update the owner","OK")))))</f>
        <v>0</v>
      </c>
    </row>
    <row r="56" spans="1:22">
      <c r="A56" s="46">
        <f>IF(B56="","","HL-"&amp;TEXT(ROW()-4,"0000"))</f>
        <v>0</v>
      </c>
      <c r="E56" s="28">
        <f>IF(D56="","",IFERROR(INDEX(Pets!$C$5:$C$254,MATCH(D56,Pets!$D$5:$D$254,0)),""))</f>
        <v>0</v>
      </c>
      <c r="O56" s="49">
        <f>IF(N56="","",IF(N56&lt;TODAY(),"Overdue - refill now",IF(N56-TODAY()&lt;=ExpiryAlertDays,"Due in "&amp;TEXT(N56-TODAY(),"0")&amp;" days","OK")))</f>
        <v>0</v>
      </c>
      <c r="Q56" s="49">
        <f>IF(P56="","",IF(P56&lt;TODAY(),"Past",IF(P56-TODAY()&lt;=ExpiryAlertDays,"Due in "&amp;TEXT(P56-TODAY(),"0")&amp;" days","Booked")))</f>
        <v>0</v>
      </c>
      <c r="U56" s="28">
        <f>IF(B56="","",TEXT(B56,"yyyy-mm"))</f>
        <v>0</v>
      </c>
      <c r="V56" s="49">
        <f>IF(B56="","",IF(L56="Missed","Missed dose - tell the owner",IF(L56="Refused","Refused - monitor and report",IF(AND(L56="Scheduled",B56&lt;TODAY()),"Overdue - not recorded",IF(AND(S56&lt;&gt;"Yes",F56="Vet visit"),"Action - update the owner","OK")))))</f>
        <v>0</v>
      </c>
    </row>
    <row r="57" spans="1:22">
      <c r="A57" s="46">
        <f>IF(B57="","","HL-"&amp;TEXT(ROW()-4,"0000"))</f>
        <v>0</v>
      </c>
      <c r="E57" s="28">
        <f>IF(D57="","",IFERROR(INDEX(Pets!$C$5:$C$254,MATCH(D57,Pets!$D$5:$D$254,0)),""))</f>
        <v>0</v>
      </c>
      <c r="O57" s="49">
        <f>IF(N57="","",IF(N57&lt;TODAY(),"Overdue - refill now",IF(N57-TODAY()&lt;=ExpiryAlertDays,"Due in "&amp;TEXT(N57-TODAY(),"0")&amp;" days","OK")))</f>
        <v>0</v>
      </c>
      <c r="Q57" s="49">
        <f>IF(P57="","",IF(P57&lt;TODAY(),"Past",IF(P57-TODAY()&lt;=ExpiryAlertDays,"Due in "&amp;TEXT(P57-TODAY(),"0")&amp;" days","Booked")))</f>
        <v>0</v>
      </c>
      <c r="U57" s="28">
        <f>IF(B57="","",TEXT(B57,"yyyy-mm"))</f>
        <v>0</v>
      </c>
      <c r="V57" s="49">
        <f>IF(B57="","",IF(L57="Missed","Missed dose - tell the owner",IF(L57="Refused","Refused - monitor and report",IF(AND(L57="Scheduled",B57&lt;TODAY()),"Overdue - not recorded",IF(AND(S57&lt;&gt;"Yes",F57="Vet visit"),"Action - update the owner","OK")))))</f>
        <v>0</v>
      </c>
    </row>
    <row r="58" spans="1:22">
      <c r="A58" s="46">
        <f>IF(B58="","","HL-"&amp;TEXT(ROW()-4,"0000"))</f>
        <v>0</v>
      </c>
      <c r="E58" s="28">
        <f>IF(D58="","",IFERROR(INDEX(Pets!$C$5:$C$254,MATCH(D58,Pets!$D$5:$D$254,0)),""))</f>
        <v>0</v>
      </c>
      <c r="O58" s="49">
        <f>IF(N58="","",IF(N58&lt;TODAY(),"Overdue - refill now",IF(N58-TODAY()&lt;=ExpiryAlertDays,"Due in "&amp;TEXT(N58-TODAY(),"0")&amp;" days","OK")))</f>
        <v>0</v>
      </c>
      <c r="Q58" s="49">
        <f>IF(P58="","",IF(P58&lt;TODAY(),"Past",IF(P58-TODAY()&lt;=ExpiryAlertDays,"Due in "&amp;TEXT(P58-TODAY(),"0")&amp;" days","Booked")))</f>
        <v>0</v>
      </c>
      <c r="U58" s="28">
        <f>IF(B58="","",TEXT(B58,"yyyy-mm"))</f>
        <v>0</v>
      </c>
      <c r="V58" s="49">
        <f>IF(B58="","",IF(L58="Missed","Missed dose - tell the owner",IF(L58="Refused","Refused - monitor and report",IF(AND(L58="Scheduled",B58&lt;TODAY()),"Overdue - not recorded",IF(AND(S58&lt;&gt;"Yes",F58="Vet visit"),"Action - update the owner","OK")))))</f>
        <v>0</v>
      </c>
    </row>
    <row r="59" spans="1:22">
      <c r="A59" s="46">
        <f>IF(B59="","","HL-"&amp;TEXT(ROW()-4,"0000"))</f>
        <v>0</v>
      </c>
      <c r="E59" s="28">
        <f>IF(D59="","",IFERROR(INDEX(Pets!$C$5:$C$254,MATCH(D59,Pets!$D$5:$D$254,0)),""))</f>
        <v>0</v>
      </c>
      <c r="O59" s="49">
        <f>IF(N59="","",IF(N59&lt;TODAY(),"Overdue - refill now",IF(N59-TODAY()&lt;=ExpiryAlertDays,"Due in "&amp;TEXT(N59-TODAY(),"0")&amp;" days","OK")))</f>
        <v>0</v>
      </c>
      <c r="Q59" s="49">
        <f>IF(P59="","",IF(P59&lt;TODAY(),"Past",IF(P59-TODAY()&lt;=ExpiryAlertDays,"Due in "&amp;TEXT(P59-TODAY(),"0")&amp;" days","Booked")))</f>
        <v>0</v>
      </c>
      <c r="U59" s="28">
        <f>IF(B59="","",TEXT(B59,"yyyy-mm"))</f>
        <v>0</v>
      </c>
      <c r="V59" s="49">
        <f>IF(B59="","",IF(L59="Missed","Missed dose - tell the owner",IF(L59="Refused","Refused - monitor and report",IF(AND(L59="Scheduled",B59&lt;TODAY()),"Overdue - not recorded",IF(AND(S59&lt;&gt;"Yes",F59="Vet visit"),"Action - update the owner","OK")))))</f>
        <v>0</v>
      </c>
    </row>
    <row r="60" spans="1:22">
      <c r="A60" s="46">
        <f>IF(B60="","","HL-"&amp;TEXT(ROW()-4,"0000"))</f>
        <v>0</v>
      </c>
      <c r="E60" s="28">
        <f>IF(D60="","",IFERROR(INDEX(Pets!$C$5:$C$254,MATCH(D60,Pets!$D$5:$D$254,0)),""))</f>
        <v>0</v>
      </c>
      <c r="O60" s="49">
        <f>IF(N60="","",IF(N60&lt;TODAY(),"Overdue - refill now",IF(N60-TODAY()&lt;=ExpiryAlertDays,"Due in "&amp;TEXT(N60-TODAY(),"0")&amp;" days","OK")))</f>
        <v>0</v>
      </c>
      <c r="Q60" s="49">
        <f>IF(P60="","",IF(P60&lt;TODAY(),"Past",IF(P60-TODAY()&lt;=ExpiryAlertDays,"Due in "&amp;TEXT(P60-TODAY(),"0")&amp;" days","Booked")))</f>
        <v>0</v>
      </c>
      <c r="U60" s="28">
        <f>IF(B60="","",TEXT(B60,"yyyy-mm"))</f>
        <v>0</v>
      </c>
      <c r="V60" s="49">
        <f>IF(B60="","",IF(L60="Missed","Missed dose - tell the owner",IF(L60="Refused","Refused - monitor and report",IF(AND(L60="Scheduled",B60&lt;TODAY()),"Overdue - not recorded",IF(AND(S60&lt;&gt;"Yes",F60="Vet visit"),"Action - update the owner","OK")))))</f>
        <v>0</v>
      </c>
    </row>
    <row r="61" spans="1:22">
      <c r="A61" s="46">
        <f>IF(B61="","","HL-"&amp;TEXT(ROW()-4,"0000"))</f>
        <v>0</v>
      </c>
      <c r="E61" s="28">
        <f>IF(D61="","",IFERROR(INDEX(Pets!$C$5:$C$254,MATCH(D61,Pets!$D$5:$D$254,0)),""))</f>
        <v>0</v>
      </c>
      <c r="O61" s="49">
        <f>IF(N61="","",IF(N61&lt;TODAY(),"Overdue - refill now",IF(N61-TODAY()&lt;=ExpiryAlertDays,"Due in "&amp;TEXT(N61-TODAY(),"0")&amp;" days","OK")))</f>
        <v>0</v>
      </c>
      <c r="Q61" s="49">
        <f>IF(P61="","",IF(P61&lt;TODAY(),"Past",IF(P61-TODAY()&lt;=ExpiryAlertDays,"Due in "&amp;TEXT(P61-TODAY(),"0")&amp;" days","Booked")))</f>
        <v>0</v>
      </c>
      <c r="U61" s="28">
        <f>IF(B61="","",TEXT(B61,"yyyy-mm"))</f>
        <v>0</v>
      </c>
      <c r="V61" s="49">
        <f>IF(B61="","",IF(L61="Missed","Missed dose - tell the owner",IF(L61="Refused","Refused - monitor and report",IF(AND(L61="Scheduled",B61&lt;TODAY()),"Overdue - not recorded",IF(AND(S61&lt;&gt;"Yes",F61="Vet visit"),"Action - update the owner","OK")))))</f>
        <v>0</v>
      </c>
    </row>
    <row r="62" spans="1:22">
      <c r="A62" s="46">
        <f>IF(B62="","","HL-"&amp;TEXT(ROW()-4,"0000"))</f>
        <v>0</v>
      </c>
      <c r="E62" s="28">
        <f>IF(D62="","",IFERROR(INDEX(Pets!$C$5:$C$254,MATCH(D62,Pets!$D$5:$D$254,0)),""))</f>
        <v>0</v>
      </c>
      <c r="O62" s="49">
        <f>IF(N62="","",IF(N62&lt;TODAY(),"Overdue - refill now",IF(N62-TODAY()&lt;=ExpiryAlertDays,"Due in "&amp;TEXT(N62-TODAY(),"0")&amp;" days","OK")))</f>
        <v>0</v>
      </c>
      <c r="Q62" s="49">
        <f>IF(P62="","",IF(P62&lt;TODAY(),"Past",IF(P62-TODAY()&lt;=ExpiryAlertDays,"Due in "&amp;TEXT(P62-TODAY(),"0")&amp;" days","Booked")))</f>
        <v>0</v>
      </c>
      <c r="U62" s="28">
        <f>IF(B62="","",TEXT(B62,"yyyy-mm"))</f>
        <v>0</v>
      </c>
      <c r="V62" s="49">
        <f>IF(B62="","",IF(L62="Missed","Missed dose - tell the owner",IF(L62="Refused","Refused - monitor and report",IF(AND(L62="Scheduled",B62&lt;TODAY()),"Overdue - not recorded",IF(AND(S62&lt;&gt;"Yes",F62="Vet visit"),"Action - update the owner","OK")))))</f>
        <v>0</v>
      </c>
    </row>
    <row r="63" spans="1:22">
      <c r="A63" s="46">
        <f>IF(B63="","","HL-"&amp;TEXT(ROW()-4,"0000"))</f>
        <v>0</v>
      </c>
      <c r="E63" s="28">
        <f>IF(D63="","",IFERROR(INDEX(Pets!$C$5:$C$254,MATCH(D63,Pets!$D$5:$D$254,0)),""))</f>
        <v>0</v>
      </c>
      <c r="O63" s="49">
        <f>IF(N63="","",IF(N63&lt;TODAY(),"Overdue - refill now",IF(N63-TODAY()&lt;=ExpiryAlertDays,"Due in "&amp;TEXT(N63-TODAY(),"0")&amp;" days","OK")))</f>
        <v>0</v>
      </c>
      <c r="Q63" s="49">
        <f>IF(P63="","",IF(P63&lt;TODAY(),"Past",IF(P63-TODAY()&lt;=ExpiryAlertDays,"Due in "&amp;TEXT(P63-TODAY(),"0")&amp;" days","Booked")))</f>
        <v>0</v>
      </c>
      <c r="U63" s="28">
        <f>IF(B63="","",TEXT(B63,"yyyy-mm"))</f>
        <v>0</v>
      </c>
      <c r="V63" s="49">
        <f>IF(B63="","",IF(L63="Missed","Missed dose - tell the owner",IF(L63="Refused","Refused - monitor and report",IF(AND(L63="Scheduled",B63&lt;TODAY()),"Overdue - not recorded",IF(AND(S63&lt;&gt;"Yes",F63="Vet visit"),"Action - update the owner","OK")))))</f>
        <v>0</v>
      </c>
    </row>
    <row r="64" spans="1:22">
      <c r="A64" s="46">
        <f>IF(B64="","","HL-"&amp;TEXT(ROW()-4,"0000"))</f>
        <v>0</v>
      </c>
      <c r="E64" s="28">
        <f>IF(D64="","",IFERROR(INDEX(Pets!$C$5:$C$254,MATCH(D64,Pets!$D$5:$D$254,0)),""))</f>
        <v>0</v>
      </c>
      <c r="O64" s="49">
        <f>IF(N64="","",IF(N64&lt;TODAY(),"Overdue - refill now",IF(N64-TODAY()&lt;=ExpiryAlertDays,"Due in "&amp;TEXT(N64-TODAY(),"0")&amp;" days","OK")))</f>
        <v>0</v>
      </c>
      <c r="Q64" s="49">
        <f>IF(P64="","",IF(P64&lt;TODAY(),"Past",IF(P64-TODAY()&lt;=ExpiryAlertDays,"Due in "&amp;TEXT(P64-TODAY(),"0")&amp;" days","Booked")))</f>
        <v>0</v>
      </c>
      <c r="U64" s="28">
        <f>IF(B64="","",TEXT(B64,"yyyy-mm"))</f>
        <v>0</v>
      </c>
      <c r="V64" s="49">
        <f>IF(B64="","",IF(L64="Missed","Missed dose - tell the owner",IF(L64="Refused","Refused - monitor and report",IF(AND(L64="Scheduled",B64&lt;TODAY()),"Overdue - not recorded",IF(AND(S64&lt;&gt;"Yes",F64="Vet visit"),"Action - update the owner","OK")))))</f>
        <v>0</v>
      </c>
    </row>
    <row r="65" spans="1:22">
      <c r="A65" s="46">
        <f>IF(B65="","","HL-"&amp;TEXT(ROW()-4,"0000"))</f>
        <v>0</v>
      </c>
      <c r="E65" s="28">
        <f>IF(D65="","",IFERROR(INDEX(Pets!$C$5:$C$254,MATCH(D65,Pets!$D$5:$D$254,0)),""))</f>
        <v>0</v>
      </c>
      <c r="O65" s="49">
        <f>IF(N65="","",IF(N65&lt;TODAY(),"Overdue - refill now",IF(N65-TODAY()&lt;=ExpiryAlertDays,"Due in "&amp;TEXT(N65-TODAY(),"0")&amp;" days","OK")))</f>
        <v>0</v>
      </c>
      <c r="Q65" s="49">
        <f>IF(P65="","",IF(P65&lt;TODAY(),"Past",IF(P65-TODAY()&lt;=ExpiryAlertDays,"Due in "&amp;TEXT(P65-TODAY(),"0")&amp;" days","Booked")))</f>
        <v>0</v>
      </c>
      <c r="U65" s="28">
        <f>IF(B65="","",TEXT(B65,"yyyy-mm"))</f>
        <v>0</v>
      </c>
      <c r="V65" s="49">
        <f>IF(B65="","",IF(L65="Missed","Missed dose - tell the owner",IF(L65="Refused","Refused - monitor and report",IF(AND(L65="Scheduled",B65&lt;TODAY()),"Overdue - not recorded",IF(AND(S65&lt;&gt;"Yes",F65="Vet visit"),"Action - update the owner","OK")))))</f>
        <v>0</v>
      </c>
    </row>
    <row r="66" spans="1:22">
      <c r="A66" s="46">
        <f>IF(B66="","","HL-"&amp;TEXT(ROW()-4,"0000"))</f>
        <v>0</v>
      </c>
      <c r="E66" s="28">
        <f>IF(D66="","",IFERROR(INDEX(Pets!$C$5:$C$254,MATCH(D66,Pets!$D$5:$D$254,0)),""))</f>
        <v>0</v>
      </c>
      <c r="O66" s="49">
        <f>IF(N66="","",IF(N66&lt;TODAY(),"Overdue - refill now",IF(N66-TODAY()&lt;=ExpiryAlertDays,"Due in "&amp;TEXT(N66-TODAY(),"0")&amp;" days","OK")))</f>
        <v>0</v>
      </c>
      <c r="Q66" s="49">
        <f>IF(P66="","",IF(P66&lt;TODAY(),"Past",IF(P66-TODAY()&lt;=ExpiryAlertDays,"Due in "&amp;TEXT(P66-TODAY(),"0")&amp;" days","Booked")))</f>
        <v>0</v>
      </c>
      <c r="U66" s="28">
        <f>IF(B66="","",TEXT(B66,"yyyy-mm"))</f>
        <v>0</v>
      </c>
      <c r="V66" s="49">
        <f>IF(B66="","",IF(L66="Missed","Missed dose - tell the owner",IF(L66="Refused","Refused - monitor and report",IF(AND(L66="Scheduled",B66&lt;TODAY()),"Overdue - not recorded",IF(AND(S66&lt;&gt;"Yes",F66="Vet visit"),"Action - update the owner","OK")))))</f>
        <v>0</v>
      </c>
    </row>
    <row r="67" spans="1:22">
      <c r="A67" s="46">
        <f>IF(B67="","","HL-"&amp;TEXT(ROW()-4,"0000"))</f>
        <v>0</v>
      </c>
      <c r="E67" s="28">
        <f>IF(D67="","",IFERROR(INDEX(Pets!$C$5:$C$254,MATCH(D67,Pets!$D$5:$D$254,0)),""))</f>
        <v>0</v>
      </c>
      <c r="O67" s="49">
        <f>IF(N67="","",IF(N67&lt;TODAY(),"Overdue - refill now",IF(N67-TODAY()&lt;=ExpiryAlertDays,"Due in "&amp;TEXT(N67-TODAY(),"0")&amp;" days","OK")))</f>
        <v>0</v>
      </c>
      <c r="Q67" s="49">
        <f>IF(P67="","",IF(P67&lt;TODAY(),"Past",IF(P67-TODAY()&lt;=ExpiryAlertDays,"Due in "&amp;TEXT(P67-TODAY(),"0")&amp;" days","Booked")))</f>
        <v>0</v>
      </c>
      <c r="U67" s="28">
        <f>IF(B67="","",TEXT(B67,"yyyy-mm"))</f>
        <v>0</v>
      </c>
      <c r="V67" s="49">
        <f>IF(B67="","",IF(L67="Missed","Missed dose - tell the owner",IF(L67="Refused","Refused - monitor and report",IF(AND(L67="Scheduled",B67&lt;TODAY()),"Overdue - not recorded",IF(AND(S67&lt;&gt;"Yes",F67="Vet visit"),"Action - update the owner","OK")))))</f>
        <v>0</v>
      </c>
    </row>
    <row r="68" spans="1:22">
      <c r="A68" s="46">
        <f>IF(B68="","","HL-"&amp;TEXT(ROW()-4,"0000"))</f>
        <v>0</v>
      </c>
      <c r="E68" s="28">
        <f>IF(D68="","",IFERROR(INDEX(Pets!$C$5:$C$254,MATCH(D68,Pets!$D$5:$D$254,0)),""))</f>
        <v>0</v>
      </c>
      <c r="O68" s="49">
        <f>IF(N68="","",IF(N68&lt;TODAY(),"Overdue - refill now",IF(N68-TODAY()&lt;=ExpiryAlertDays,"Due in "&amp;TEXT(N68-TODAY(),"0")&amp;" days","OK")))</f>
        <v>0</v>
      </c>
      <c r="Q68" s="49">
        <f>IF(P68="","",IF(P68&lt;TODAY(),"Past",IF(P68-TODAY()&lt;=ExpiryAlertDays,"Due in "&amp;TEXT(P68-TODAY(),"0")&amp;" days","Booked")))</f>
        <v>0</v>
      </c>
      <c r="U68" s="28">
        <f>IF(B68="","",TEXT(B68,"yyyy-mm"))</f>
        <v>0</v>
      </c>
      <c r="V68" s="49">
        <f>IF(B68="","",IF(L68="Missed","Missed dose - tell the owner",IF(L68="Refused","Refused - monitor and report",IF(AND(L68="Scheduled",B68&lt;TODAY()),"Overdue - not recorded",IF(AND(S68&lt;&gt;"Yes",F68="Vet visit"),"Action - update the owner","OK")))))</f>
        <v>0</v>
      </c>
    </row>
    <row r="69" spans="1:22">
      <c r="A69" s="46">
        <f>IF(B69="","","HL-"&amp;TEXT(ROW()-4,"0000"))</f>
        <v>0</v>
      </c>
      <c r="E69" s="28">
        <f>IF(D69="","",IFERROR(INDEX(Pets!$C$5:$C$254,MATCH(D69,Pets!$D$5:$D$254,0)),""))</f>
        <v>0</v>
      </c>
      <c r="O69" s="49">
        <f>IF(N69="","",IF(N69&lt;TODAY(),"Overdue - refill now",IF(N69-TODAY()&lt;=ExpiryAlertDays,"Due in "&amp;TEXT(N69-TODAY(),"0")&amp;" days","OK")))</f>
        <v>0</v>
      </c>
      <c r="Q69" s="49">
        <f>IF(P69="","",IF(P69&lt;TODAY(),"Past",IF(P69-TODAY()&lt;=ExpiryAlertDays,"Due in "&amp;TEXT(P69-TODAY(),"0")&amp;" days","Booked")))</f>
        <v>0</v>
      </c>
      <c r="U69" s="28">
        <f>IF(B69="","",TEXT(B69,"yyyy-mm"))</f>
        <v>0</v>
      </c>
      <c r="V69" s="49">
        <f>IF(B69="","",IF(L69="Missed","Missed dose - tell the owner",IF(L69="Refused","Refused - monitor and report",IF(AND(L69="Scheduled",B69&lt;TODAY()),"Overdue - not recorded",IF(AND(S69&lt;&gt;"Yes",F69="Vet visit"),"Action - update the owner","OK")))))</f>
        <v>0</v>
      </c>
    </row>
    <row r="70" spans="1:22">
      <c r="A70" s="46">
        <f>IF(B70="","","HL-"&amp;TEXT(ROW()-4,"0000"))</f>
        <v>0</v>
      </c>
      <c r="E70" s="28">
        <f>IF(D70="","",IFERROR(INDEX(Pets!$C$5:$C$254,MATCH(D70,Pets!$D$5:$D$254,0)),""))</f>
        <v>0</v>
      </c>
      <c r="O70" s="49">
        <f>IF(N70="","",IF(N70&lt;TODAY(),"Overdue - refill now",IF(N70-TODAY()&lt;=ExpiryAlertDays,"Due in "&amp;TEXT(N70-TODAY(),"0")&amp;" days","OK")))</f>
        <v>0</v>
      </c>
      <c r="Q70" s="49">
        <f>IF(P70="","",IF(P70&lt;TODAY(),"Past",IF(P70-TODAY()&lt;=ExpiryAlertDays,"Due in "&amp;TEXT(P70-TODAY(),"0")&amp;" days","Booked")))</f>
        <v>0</v>
      </c>
      <c r="U70" s="28">
        <f>IF(B70="","",TEXT(B70,"yyyy-mm"))</f>
        <v>0</v>
      </c>
      <c r="V70" s="49">
        <f>IF(B70="","",IF(L70="Missed","Missed dose - tell the owner",IF(L70="Refused","Refused - monitor and report",IF(AND(L70="Scheduled",B70&lt;TODAY()),"Overdue - not recorded",IF(AND(S70&lt;&gt;"Yes",F70="Vet visit"),"Action - update the owner","OK")))))</f>
        <v>0</v>
      </c>
    </row>
    <row r="71" spans="1:22">
      <c r="A71" s="46">
        <f>IF(B71="","","HL-"&amp;TEXT(ROW()-4,"0000"))</f>
        <v>0</v>
      </c>
      <c r="E71" s="28">
        <f>IF(D71="","",IFERROR(INDEX(Pets!$C$5:$C$254,MATCH(D71,Pets!$D$5:$D$254,0)),""))</f>
        <v>0</v>
      </c>
      <c r="O71" s="49">
        <f>IF(N71="","",IF(N71&lt;TODAY(),"Overdue - refill now",IF(N71-TODAY()&lt;=ExpiryAlertDays,"Due in "&amp;TEXT(N71-TODAY(),"0")&amp;" days","OK")))</f>
        <v>0</v>
      </c>
      <c r="Q71" s="49">
        <f>IF(P71="","",IF(P71&lt;TODAY(),"Past",IF(P71-TODAY()&lt;=ExpiryAlertDays,"Due in "&amp;TEXT(P71-TODAY(),"0")&amp;" days","Booked")))</f>
        <v>0</v>
      </c>
      <c r="U71" s="28">
        <f>IF(B71="","",TEXT(B71,"yyyy-mm"))</f>
        <v>0</v>
      </c>
      <c r="V71" s="49">
        <f>IF(B71="","",IF(L71="Missed","Missed dose - tell the owner",IF(L71="Refused","Refused - monitor and report",IF(AND(L71="Scheduled",B71&lt;TODAY()),"Overdue - not recorded",IF(AND(S71&lt;&gt;"Yes",F71="Vet visit"),"Action - update the owner","OK")))))</f>
        <v>0</v>
      </c>
    </row>
    <row r="72" spans="1:22">
      <c r="A72" s="46">
        <f>IF(B72="","","HL-"&amp;TEXT(ROW()-4,"0000"))</f>
        <v>0</v>
      </c>
      <c r="E72" s="28">
        <f>IF(D72="","",IFERROR(INDEX(Pets!$C$5:$C$254,MATCH(D72,Pets!$D$5:$D$254,0)),""))</f>
        <v>0</v>
      </c>
      <c r="O72" s="49">
        <f>IF(N72="","",IF(N72&lt;TODAY(),"Overdue - refill now",IF(N72-TODAY()&lt;=ExpiryAlertDays,"Due in "&amp;TEXT(N72-TODAY(),"0")&amp;" days","OK")))</f>
        <v>0</v>
      </c>
      <c r="Q72" s="49">
        <f>IF(P72="","",IF(P72&lt;TODAY(),"Past",IF(P72-TODAY()&lt;=ExpiryAlertDays,"Due in "&amp;TEXT(P72-TODAY(),"0")&amp;" days","Booked")))</f>
        <v>0</v>
      </c>
      <c r="U72" s="28">
        <f>IF(B72="","",TEXT(B72,"yyyy-mm"))</f>
        <v>0</v>
      </c>
      <c r="V72" s="49">
        <f>IF(B72="","",IF(L72="Missed","Missed dose - tell the owner",IF(L72="Refused","Refused - monitor and report",IF(AND(L72="Scheduled",B72&lt;TODAY()),"Overdue - not recorded",IF(AND(S72&lt;&gt;"Yes",F72="Vet visit"),"Action - update the owner","OK")))))</f>
        <v>0</v>
      </c>
    </row>
    <row r="73" spans="1:22">
      <c r="A73" s="46">
        <f>IF(B73="","","HL-"&amp;TEXT(ROW()-4,"0000"))</f>
        <v>0</v>
      </c>
      <c r="E73" s="28">
        <f>IF(D73="","",IFERROR(INDEX(Pets!$C$5:$C$254,MATCH(D73,Pets!$D$5:$D$254,0)),""))</f>
        <v>0</v>
      </c>
      <c r="O73" s="49">
        <f>IF(N73="","",IF(N73&lt;TODAY(),"Overdue - refill now",IF(N73-TODAY()&lt;=ExpiryAlertDays,"Due in "&amp;TEXT(N73-TODAY(),"0")&amp;" days","OK")))</f>
        <v>0</v>
      </c>
      <c r="Q73" s="49">
        <f>IF(P73="","",IF(P73&lt;TODAY(),"Past",IF(P73-TODAY()&lt;=ExpiryAlertDays,"Due in "&amp;TEXT(P73-TODAY(),"0")&amp;" days","Booked")))</f>
        <v>0</v>
      </c>
      <c r="U73" s="28">
        <f>IF(B73="","",TEXT(B73,"yyyy-mm"))</f>
        <v>0</v>
      </c>
      <c r="V73" s="49">
        <f>IF(B73="","",IF(L73="Missed","Missed dose - tell the owner",IF(L73="Refused","Refused - monitor and report",IF(AND(L73="Scheduled",B73&lt;TODAY()),"Overdue - not recorded",IF(AND(S73&lt;&gt;"Yes",F73="Vet visit"),"Action - update the owner","OK")))))</f>
        <v>0</v>
      </c>
    </row>
    <row r="74" spans="1:22">
      <c r="A74" s="46">
        <f>IF(B74="","","HL-"&amp;TEXT(ROW()-4,"0000"))</f>
        <v>0</v>
      </c>
      <c r="E74" s="28">
        <f>IF(D74="","",IFERROR(INDEX(Pets!$C$5:$C$254,MATCH(D74,Pets!$D$5:$D$254,0)),""))</f>
        <v>0</v>
      </c>
      <c r="O74" s="49">
        <f>IF(N74="","",IF(N74&lt;TODAY(),"Overdue - refill now",IF(N74-TODAY()&lt;=ExpiryAlertDays,"Due in "&amp;TEXT(N74-TODAY(),"0")&amp;" days","OK")))</f>
        <v>0</v>
      </c>
      <c r="Q74" s="49">
        <f>IF(P74="","",IF(P74&lt;TODAY(),"Past",IF(P74-TODAY()&lt;=ExpiryAlertDays,"Due in "&amp;TEXT(P74-TODAY(),"0")&amp;" days","Booked")))</f>
        <v>0</v>
      </c>
      <c r="U74" s="28">
        <f>IF(B74="","",TEXT(B74,"yyyy-mm"))</f>
        <v>0</v>
      </c>
      <c r="V74" s="49">
        <f>IF(B74="","",IF(L74="Missed","Missed dose - tell the owner",IF(L74="Refused","Refused - monitor and report",IF(AND(L74="Scheduled",B74&lt;TODAY()),"Overdue - not recorded",IF(AND(S74&lt;&gt;"Yes",F74="Vet visit"),"Action - update the owner","OK")))))</f>
        <v>0</v>
      </c>
    </row>
    <row r="75" spans="1:22">
      <c r="A75" s="46">
        <f>IF(B75="","","HL-"&amp;TEXT(ROW()-4,"0000"))</f>
        <v>0</v>
      </c>
      <c r="E75" s="28">
        <f>IF(D75="","",IFERROR(INDEX(Pets!$C$5:$C$254,MATCH(D75,Pets!$D$5:$D$254,0)),""))</f>
        <v>0</v>
      </c>
      <c r="O75" s="49">
        <f>IF(N75="","",IF(N75&lt;TODAY(),"Overdue - refill now",IF(N75-TODAY()&lt;=ExpiryAlertDays,"Due in "&amp;TEXT(N75-TODAY(),"0")&amp;" days","OK")))</f>
        <v>0</v>
      </c>
      <c r="Q75" s="49">
        <f>IF(P75="","",IF(P75&lt;TODAY(),"Past",IF(P75-TODAY()&lt;=ExpiryAlertDays,"Due in "&amp;TEXT(P75-TODAY(),"0")&amp;" days","Booked")))</f>
        <v>0</v>
      </c>
      <c r="U75" s="28">
        <f>IF(B75="","",TEXT(B75,"yyyy-mm"))</f>
        <v>0</v>
      </c>
      <c r="V75" s="49">
        <f>IF(B75="","",IF(L75="Missed","Missed dose - tell the owner",IF(L75="Refused","Refused - monitor and report",IF(AND(L75="Scheduled",B75&lt;TODAY()),"Overdue - not recorded",IF(AND(S75&lt;&gt;"Yes",F75="Vet visit"),"Action - update the owner","OK")))))</f>
        <v>0</v>
      </c>
    </row>
    <row r="76" spans="1:22">
      <c r="A76" s="46">
        <f>IF(B76="","","HL-"&amp;TEXT(ROW()-4,"0000"))</f>
        <v>0</v>
      </c>
      <c r="E76" s="28">
        <f>IF(D76="","",IFERROR(INDEX(Pets!$C$5:$C$254,MATCH(D76,Pets!$D$5:$D$254,0)),""))</f>
        <v>0</v>
      </c>
      <c r="O76" s="49">
        <f>IF(N76="","",IF(N76&lt;TODAY(),"Overdue - refill now",IF(N76-TODAY()&lt;=ExpiryAlertDays,"Due in "&amp;TEXT(N76-TODAY(),"0")&amp;" days","OK")))</f>
        <v>0</v>
      </c>
      <c r="Q76" s="49">
        <f>IF(P76="","",IF(P76&lt;TODAY(),"Past",IF(P76-TODAY()&lt;=ExpiryAlertDays,"Due in "&amp;TEXT(P76-TODAY(),"0")&amp;" days","Booked")))</f>
        <v>0</v>
      </c>
      <c r="U76" s="28">
        <f>IF(B76="","",TEXT(B76,"yyyy-mm"))</f>
        <v>0</v>
      </c>
      <c r="V76" s="49">
        <f>IF(B76="","",IF(L76="Missed","Missed dose - tell the owner",IF(L76="Refused","Refused - monitor and report",IF(AND(L76="Scheduled",B76&lt;TODAY()),"Overdue - not recorded",IF(AND(S76&lt;&gt;"Yes",F76="Vet visit"),"Action - update the owner","OK")))))</f>
        <v>0</v>
      </c>
    </row>
    <row r="77" spans="1:22">
      <c r="A77" s="46">
        <f>IF(B77="","","HL-"&amp;TEXT(ROW()-4,"0000"))</f>
        <v>0</v>
      </c>
      <c r="E77" s="28">
        <f>IF(D77="","",IFERROR(INDEX(Pets!$C$5:$C$254,MATCH(D77,Pets!$D$5:$D$254,0)),""))</f>
        <v>0</v>
      </c>
      <c r="O77" s="49">
        <f>IF(N77="","",IF(N77&lt;TODAY(),"Overdue - refill now",IF(N77-TODAY()&lt;=ExpiryAlertDays,"Due in "&amp;TEXT(N77-TODAY(),"0")&amp;" days","OK")))</f>
        <v>0</v>
      </c>
      <c r="Q77" s="49">
        <f>IF(P77="","",IF(P77&lt;TODAY(),"Past",IF(P77-TODAY()&lt;=ExpiryAlertDays,"Due in "&amp;TEXT(P77-TODAY(),"0")&amp;" days","Booked")))</f>
        <v>0</v>
      </c>
      <c r="U77" s="28">
        <f>IF(B77="","",TEXT(B77,"yyyy-mm"))</f>
        <v>0</v>
      </c>
      <c r="V77" s="49">
        <f>IF(B77="","",IF(L77="Missed","Missed dose - tell the owner",IF(L77="Refused","Refused - monitor and report",IF(AND(L77="Scheduled",B77&lt;TODAY()),"Overdue - not recorded",IF(AND(S77&lt;&gt;"Yes",F77="Vet visit"),"Action - update the owner","OK")))))</f>
        <v>0</v>
      </c>
    </row>
    <row r="78" spans="1:22">
      <c r="A78" s="46">
        <f>IF(B78="","","HL-"&amp;TEXT(ROW()-4,"0000"))</f>
        <v>0</v>
      </c>
      <c r="E78" s="28">
        <f>IF(D78="","",IFERROR(INDEX(Pets!$C$5:$C$254,MATCH(D78,Pets!$D$5:$D$254,0)),""))</f>
        <v>0</v>
      </c>
      <c r="O78" s="49">
        <f>IF(N78="","",IF(N78&lt;TODAY(),"Overdue - refill now",IF(N78-TODAY()&lt;=ExpiryAlertDays,"Due in "&amp;TEXT(N78-TODAY(),"0")&amp;" days","OK")))</f>
        <v>0</v>
      </c>
      <c r="Q78" s="49">
        <f>IF(P78="","",IF(P78&lt;TODAY(),"Past",IF(P78-TODAY()&lt;=ExpiryAlertDays,"Due in "&amp;TEXT(P78-TODAY(),"0")&amp;" days","Booked")))</f>
        <v>0</v>
      </c>
      <c r="U78" s="28">
        <f>IF(B78="","",TEXT(B78,"yyyy-mm"))</f>
        <v>0</v>
      </c>
      <c r="V78" s="49">
        <f>IF(B78="","",IF(L78="Missed","Missed dose - tell the owner",IF(L78="Refused","Refused - monitor and report",IF(AND(L78="Scheduled",B78&lt;TODAY()),"Overdue - not recorded",IF(AND(S78&lt;&gt;"Yes",F78="Vet visit"),"Action - update the owner","OK")))))</f>
        <v>0</v>
      </c>
    </row>
    <row r="79" spans="1:22">
      <c r="A79" s="46">
        <f>IF(B79="","","HL-"&amp;TEXT(ROW()-4,"0000"))</f>
        <v>0</v>
      </c>
      <c r="E79" s="28">
        <f>IF(D79="","",IFERROR(INDEX(Pets!$C$5:$C$254,MATCH(D79,Pets!$D$5:$D$254,0)),""))</f>
        <v>0</v>
      </c>
      <c r="O79" s="49">
        <f>IF(N79="","",IF(N79&lt;TODAY(),"Overdue - refill now",IF(N79-TODAY()&lt;=ExpiryAlertDays,"Due in "&amp;TEXT(N79-TODAY(),"0")&amp;" days","OK")))</f>
        <v>0</v>
      </c>
      <c r="Q79" s="49">
        <f>IF(P79="","",IF(P79&lt;TODAY(),"Past",IF(P79-TODAY()&lt;=ExpiryAlertDays,"Due in "&amp;TEXT(P79-TODAY(),"0")&amp;" days","Booked")))</f>
        <v>0</v>
      </c>
      <c r="U79" s="28">
        <f>IF(B79="","",TEXT(B79,"yyyy-mm"))</f>
        <v>0</v>
      </c>
      <c r="V79" s="49">
        <f>IF(B79="","",IF(L79="Missed","Missed dose - tell the owner",IF(L79="Refused","Refused - monitor and report",IF(AND(L79="Scheduled",B79&lt;TODAY()),"Overdue - not recorded",IF(AND(S79&lt;&gt;"Yes",F79="Vet visit"),"Action - update the owner","OK")))))</f>
        <v>0</v>
      </c>
    </row>
    <row r="80" spans="1:22">
      <c r="A80" s="46">
        <f>IF(B80="","","HL-"&amp;TEXT(ROW()-4,"0000"))</f>
        <v>0</v>
      </c>
      <c r="E80" s="28">
        <f>IF(D80="","",IFERROR(INDEX(Pets!$C$5:$C$254,MATCH(D80,Pets!$D$5:$D$254,0)),""))</f>
        <v>0</v>
      </c>
      <c r="O80" s="49">
        <f>IF(N80="","",IF(N80&lt;TODAY(),"Overdue - refill now",IF(N80-TODAY()&lt;=ExpiryAlertDays,"Due in "&amp;TEXT(N80-TODAY(),"0")&amp;" days","OK")))</f>
        <v>0</v>
      </c>
      <c r="Q80" s="49">
        <f>IF(P80="","",IF(P80&lt;TODAY(),"Past",IF(P80-TODAY()&lt;=ExpiryAlertDays,"Due in "&amp;TEXT(P80-TODAY(),"0")&amp;" days","Booked")))</f>
        <v>0</v>
      </c>
      <c r="U80" s="28">
        <f>IF(B80="","",TEXT(B80,"yyyy-mm"))</f>
        <v>0</v>
      </c>
      <c r="V80" s="49">
        <f>IF(B80="","",IF(L80="Missed","Missed dose - tell the owner",IF(L80="Refused","Refused - monitor and report",IF(AND(L80="Scheduled",B80&lt;TODAY()),"Overdue - not recorded",IF(AND(S80&lt;&gt;"Yes",F80="Vet visit"),"Action - update the owner","OK")))))</f>
        <v>0</v>
      </c>
    </row>
    <row r="81" spans="1:22">
      <c r="A81" s="46">
        <f>IF(B81="","","HL-"&amp;TEXT(ROW()-4,"0000"))</f>
        <v>0</v>
      </c>
      <c r="E81" s="28">
        <f>IF(D81="","",IFERROR(INDEX(Pets!$C$5:$C$254,MATCH(D81,Pets!$D$5:$D$254,0)),""))</f>
        <v>0</v>
      </c>
      <c r="O81" s="49">
        <f>IF(N81="","",IF(N81&lt;TODAY(),"Overdue - refill now",IF(N81-TODAY()&lt;=ExpiryAlertDays,"Due in "&amp;TEXT(N81-TODAY(),"0")&amp;" days","OK")))</f>
        <v>0</v>
      </c>
      <c r="Q81" s="49">
        <f>IF(P81="","",IF(P81&lt;TODAY(),"Past",IF(P81-TODAY()&lt;=ExpiryAlertDays,"Due in "&amp;TEXT(P81-TODAY(),"0")&amp;" days","Booked")))</f>
        <v>0</v>
      </c>
      <c r="U81" s="28">
        <f>IF(B81="","",TEXT(B81,"yyyy-mm"))</f>
        <v>0</v>
      </c>
      <c r="V81" s="49">
        <f>IF(B81="","",IF(L81="Missed","Missed dose - tell the owner",IF(L81="Refused","Refused - monitor and report",IF(AND(L81="Scheduled",B81&lt;TODAY()),"Overdue - not recorded",IF(AND(S81&lt;&gt;"Yes",F81="Vet visit"),"Action - update the owner","OK")))))</f>
        <v>0</v>
      </c>
    </row>
    <row r="82" spans="1:22">
      <c r="A82" s="46">
        <f>IF(B82="","","HL-"&amp;TEXT(ROW()-4,"0000"))</f>
        <v>0</v>
      </c>
      <c r="E82" s="28">
        <f>IF(D82="","",IFERROR(INDEX(Pets!$C$5:$C$254,MATCH(D82,Pets!$D$5:$D$254,0)),""))</f>
        <v>0</v>
      </c>
      <c r="O82" s="49">
        <f>IF(N82="","",IF(N82&lt;TODAY(),"Overdue - refill now",IF(N82-TODAY()&lt;=ExpiryAlertDays,"Due in "&amp;TEXT(N82-TODAY(),"0")&amp;" days","OK")))</f>
        <v>0</v>
      </c>
      <c r="Q82" s="49">
        <f>IF(P82="","",IF(P82&lt;TODAY(),"Past",IF(P82-TODAY()&lt;=ExpiryAlertDays,"Due in "&amp;TEXT(P82-TODAY(),"0")&amp;" days","Booked")))</f>
        <v>0</v>
      </c>
      <c r="U82" s="28">
        <f>IF(B82="","",TEXT(B82,"yyyy-mm"))</f>
        <v>0</v>
      </c>
      <c r="V82" s="49">
        <f>IF(B82="","",IF(L82="Missed","Missed dose - tell the owner",IF(L82="Refused","Refused - monitor and report",IF(AND(L82="Scheduled",B82&lt;TODAY()),"Overdue - not recorded",IF(AND(S82&lt;&gt;"Yes",F82="Vet visit"),"Action - update the owner","OK")))))</f>
        <v>0</v>
      </c>
    </row>
    <row r="83" spans="1:22">
      <c r="A83" s="46">
        <f>IF(B83="","","HL-"&amp;TEXT(ROW()-4,"0000"))</f>
        <v>0</v>
      </c>
      <c r="E83" s="28">
        <f>IF(D83="","",IFERROR(INDEX(Pets!$C$5:$C$254,MATCH(D83,Pets!$D$5:$D$254,0)),""))</f>
        <v>0</v>
      </c>
      <c r="O83" s="49">
        <f>IF(N83="","",IF(N83&lt;TODAY(),"Overdue - refill now",IF(N83-TODAY()&lt;=ExpiryAlertDays,"Due in "&amp;TEXT(N83-TODAY(),"0")&amp;" days","OK")))</f>
        <v>0</v>
      </c>
      <c r="Q83" s="49">
        <f>IF(P83="","",IF(P83&lt;TODAY(),"Past",IF(P83-TODAY()&lt;=ExpiryAlertDays,"Due in "&amp;TEXT(P83-TODAY(),"0")&amp;" days","Booked")))</f>
        <v>0</v>
      </c>
      <c r="U83" s="28">
        <f>IF(B83="","",TEXT(B83,"yyyy-mm"))</f>
        <v>0</v>
      </c>
      <c r="V83" s="49">
        <f>IF(B83="","",IF(L83="Missed","Missed dose - tell the owner",IF(L83="Refused","Refused - monitor and report",IF(AND(L83="Scheduled",B83&lt;TODAY()),"Overdue - not recorded",IF(AND(S83&lt;&gt;"Yes",F83="Vet visit"),"Action - update the owner","OK")))))</f>
        <v>0</v>
      </c>
    </row>
    <row r="84" spans="1:22">
      <c r="A84" s="46">
        <f>IF(B84="","","HL-"&amp;TEXT(ROW()-4,"0000"))</f>
        <v>0</v>
      </c>
      <c r="E84" s="28">
        <f>IF(D84="","",IFERROR(INDEX(Pets!$C$5:$C$254,MATCH(D84,Pets!$D$5:$D$254,0)),""))</f>
        <v>0</v>
      </c>
      <c r="O84" s="49">
        <f>IF(N84="","",IF(N84&lt;TODAY(),"Overdue - refill now",IF(N84-TODAY()&lt;=ExpiryAlertDays,"Due in "&amp;TEXT(N84-TODAY(),"0")&amp;" days","OK")))</f>
        <v>0</v>
      </c>
      <c r="Q84" s="49">
        <f>IF(P84="","",IF(P84&lt;TODAY(),"Past",IF(P84-TODAY()&lt;=ExpiryAlertDays,"Due in "&amp;TEXT(P84-TODAY(),"0")&amp;" days","Booked")))</f>
        <v>0</v>
      </c>
      <c r="U84" s="28">
        <f>IF(B84="","",TEXT(B84,"yyyy-mm"))</f>
        <v>0</v>
      </c>
      <c r="V84" s="49">
        <f>IF(B84="","",IF(L84="Missed","Missed dose - tell the owner",IF(L84="Refused","Refused - monitor and report",IF(AND(L84="Scheduled",B84&lt;TODAY()),"Overdue - not recorded",IF(AND(S84&lt;&gt;"Yes",F84="Vet visit"),"Action - update the owner","OK")))))</f>
        <v>0</v>
      </c>
    </row>
    <row r="85" spans="1:22">
      <c r="A85" s="46">
        <f>IF(B85="","","HL-"&amp;TEXT(ROW()-4,"0000"))</f>
        <v>0</v>
      </c>
      <c r="E85" s="28">
        <f>IF(D85="","",IFERROR(INDEX(Pets!$C$5:$C$254,MATCH(D85,Pets!$D$5:$D$254,0)),""))</f>
        <v>0</v>
      </c>
      <c r="O85" s="49">
        <f>IF(N85="","",IF(N85&lt;TODAY(),"Overdue - refill now",IF(N85-TODAY()&lt;=ExpiryAlertDays,"Due in "&amp;TEXT(N85-TODAY(),"0")&amp;" days","OK")))</f>
        <v>0</v>
      </c>
      <c r="Q85" s="49">
        <f>IF(P85="","",IF(P85&lt;TODAY(),"Past",IF(P85-TODAY()&lt;=ExpiryAlertDays,"Due in "&amp;TEXT(P85-TODAY(),"0")&amp;" days","Booked")))</f>
        <v>0</v>
      </c>
      <c r="U85" s="28">
        <f>IF(B85="","",TEXT(B85,"yyyy-mm"))</f>
        <v>0</v>
      </c>
      <c r="V85" s="49">
        <f>IF(B85="","",IF(L85="Missed","Missed dose - tell the owner",IF(L85="Refused","Refused - monitor and report",IF(AND(L85="Scheduled",B85&lt;TODAY()),"Overdue - not recorded",IF(AND(S85&lt;&gt;"Yes",F85="Vet visit"),"Action - update the owner","OK")))))</f>
        <v>0</v>
      </c>
    </row>
    <row r="86" spans="1:22">
      <c r="A86" s="46">
        <f>IF(B86="","","HL-"&amp;TEXT(ROW()-4,"0000"))</f>
        <v>0</v>
      </c>
      <c r="E86" s="28">
        <f>IF(D86="","",IFERROR(INDEX(Pets!$C$5:$C$254,MATCH(D86,Pets!$D$5:$D$254,0)),""))</f>
        <v>0</v>
      </c>
      <c r="O86" s="49">
        <f>IF(N86="","",IF(N86&lt;TODAY(),"Overdue - refill now",IF(N86-TODAY()&lt;=ExpiryAlertDays,"Due in "&amp;TEXT(N86-TODAY(),"0")&amp;" days","OK")))</f>
        <v>0</v>
      </c>
      <c r="Q86" s="49">
        <f>IF(P86="","",IF(P86&lt;TODAY(),"Past",IF(P86-TODAY()&lt;=ExpiryAlertDays,"Due in "&amp;TEXT(P86-TODAY(),"0")&amp;" days","Booked")))</f>
        <v>0</v>
      </c>
      <c r="U86" s="28">
        <f>IF(B86="","",TEXT(B86,"yyyy-mm"))</f>
        <v>0</v>
      </c>
      <c r="V86" s="49">
        <f>IF(B86="","",IF(L86="Missed","Missed dose - tell the owner",IF(L86="Refused","Refused - monitor and report",IF(AND(L86="Scheduled",B86&lt;TODAY()),"Overdue - not recorded",IF(AND(S86&lt;&gt;"Yes",F86="Vet visit"),"Action - update the owner","OK")))))</f>
        <v>0</v>
      </c>
    </row>
    <row r="87" spans="1:22">
      <c r="A87" s="46">
        <f>IF(B87="","","HL-"&amp;TEXT(ROW()-4,"0000"))</f>
        <v>0</v>
      </c>
      <c r="E87" s="28">
        <f>IF(D87="","",IFERROR(INDEX(Pets!$C$5:$C$254,MATCH(D87,Pets!$D$5:$D$254,0)),""))</f>
        <v>0</v>
      </c>
      <c r="O87" s="49">
        <f>IF(N87="","",IF(N87&lt;TODAY(),"Overdue - refill now",IF(N87-TODAY()&lt;=ExpiryAlertDays,"Due in "&amp;TEXT(N87-TODAY(),"0")&amp;" days","OK")))</f>
        <v>0</v>
      </c>
      <c r="Q87" s="49">
        <f>IF(P87="","",IF(P87&lt;TODAY(),"Past",IF(P87-TODAY()&lt;=ExpiryAlertDays,"Due in "&amp;TEXT(P87-TODAY(),"0")&amp;" days","Booked")))</f>
        <v>0</v>
      </c>
      <c r="U87" s="28">
        <f>IF(B87="","",TEXT(B87,"yyyy-mm"))</f>
        <v>0</v>
      </c>
      <c r="V87" s="49">
        <f>IF(B87="","",IF(L87="Missed","Missed dose - tell the owner",IF(L87="Refused","Refused - monitor and report",IF(AND(L87="Scheduled",B87&lt;TODAY()),"Overdue - not recorded",IF(AND(S87&lt;&gt;"Yes",F87="Vet visit"),"Action - update the owner","OK")))))</f>
        <v>0</v>
      </c>
    </row>
    <row r="88" spans="1:22">
      <c r="A88" s="46">
        <f>IF(B88="","","HL-"&amp;TEXT(ROW()-4,"0000"))</f>
        <v>0</v>
      </c>
      <c r="E88" s="28">
        <f>IF(D88="","",IFERROR(INDEX(Pets!$C$5:$C$254,MATCH(D88,Pets!$D$5:$D$254,0)),""))</f>
        <v>0</v>
      </c>
      <c r="O88" s="49">
        <f>IF(N88="","",IF(N88&lt;TODAY(),"Overdue - refill now",IF(N88-TODAY()&lt;=ExpiryAlertDays,"Due in "&amp;TEXT(N88-TODAY(),"0")&amp;" days","OK")))</f>
        <v>0</v>
      </c>
      <c r="Q88" s="49">
        <f>IF(P88="","",IF(P88&lt;TODAY(),"Past",IF(P88-TODAY()&lt;=ExpiryAlertDays,"Due in "&amp;TEXT(P88-TODAY(),"0")&amp;" days","Booked")))</f>
        <v>0</v>
      </c>
      <c r="U88" s="28">
        <f>IF(B88="","",TEXT(B88,"yyyy-mm"))</f>
        <v>0</v>
      </c>
      <c r="V88" s="49">
        <f>IF(B88="","",IF(L88="Missed","Missed dose - tell the owner",IF(L88="Refused","Refused - monitor and report",IF(AND(L88="Scheduled",B88&lt;TODAY()),"Overdue - not recorded",IF(AND(S88&lt;&gt;"Yes",F88="Vet visit"),"Action - update the owner","OK")))))</f>
        <v>0</v>
      </c>
    </row>
    <row r="89" spans="1:22">
      <c r="A89" s="46">
        <f>IF(B89="","","HL-"&amp;TEXT(ROW()-4,"0000"))</f>
        <v>0</v>
      </c>
      <c r="E89" s="28">
        <f>IF(D89="","",IFERROR(INDEX(Pets!$C$5:$C$254,MATCH(D89,Pets!$D$5:$D$254,0)),""))</f>
        <v>0</v>
      </c>
      <c r="O89" s="49">
        <f>IF(N89="","",IF(N89&lt;TODAY(),"Overdue - refill now",IF(N89-TODAY()&lt;=ExpiryAlertDays,"Due in "&amp;TEXT(N89-TODAY(),"0")&amp;" days","OK")))</f>
        <v>0</v>
      </c>
      <c r="Q89" s="49">
        <f>IF(P89="","",IF(P89&lt;TODAY(),"Past",IF(P89-TODAY()&lt;=ExpiryAlertDays,"Due in "&amp;TEXT(P89-TODAY(),"0")&amp;" days","Booked")))</f>
        <v>0</v>
      </c>
      <c r="U89" s="28">
        <f>IF(B89="","",TEXT(B89,"yyyy-mm"))</f>
        <v>0</v>
      </c>
      <c r="V89" s="49">
        <f>IF(B89="","",IF(L89="Missed","Missed dose - tell the owner",IF(L89="Refused","Refused - monitor and report",IF(AND(L89="Scheduled",B89&lt;TODAY()),"Overdue - not recorded",IF(AND(S89&lt;&gt;"Yes",F89="Vet visit"),"Action - update the owner","OK")))))</f>
        <v>0</v>
      </c>
    </row>
    <row r="90" spans="1:22">
      <c r="A90" s="46">
        <f>IF(B90="","","HL-"&amp;TEXT(ROW()-4,"0000"))</f>
        <v>0</v>
      </c>
      <c r="E90" s="28">
        <f>IF(D90="","",IFERROR(INDEX(Pets!$C$5:$C$254,MATCH(D90,Pets!$D$5:$D$254,0)),""))</f>
        <v>0</v>
      </c>
      <c r="O90" s="49">
        <f>IF(N90="","",IF(N90&lt;TODAY(),"Overdue - refill now",IF(N90-TODAY()&lt;=ExpiryAlertDays,"Due in "&amp;TEXT(N90-TODAY(),"0")&amp;" days","OK")))</f>
        <v>0</v>
      </c>
      <c r="Q90" s="49">
        <f>IF(P90="","",IF(P90&lt;TODAY(),"Past",IF(P90-TODAY()&lt;=ExpiryAlertDays,"Due in "&amp;TEXT(P90-TODAY(),"0")&amp;" days","Booked")))</f>
        <v>0</v>
      </c>
      <c r="U90" s="28">
        <f>IF(B90="","",TEXT(B90,"yyyy-mm"))</f>
        <v>0</v>
      </c>
      <c r="V90" s="49">
        <f>IF(B90="","",IF(L90="Missed","Missed dose - tell the owner",IF(L90="Refused","Refused - monitor and report",IF(AND(L90="Scheduled",B90&lt;TODAY()),"Overdue - not recorded",IF(AND(S90&lt;&gt;"Yes",F90="Vet visit"),"Action - update the owner","OK")))))</f>
        <v>0</v>
      </c>
    </row>
    <row r="91" spans="1:22">
      <c r="A91" s="46">
        <f>IF(B91="","","HL-"&amp;TEXT(ROW()-4,"0000"))</f>
        <v>0</v>
      </c>
      <c r="E91" s="28">
        <f>IF(D91="","",IFERROR(INDEX(Pets!$C$5:$C$254,MATCH(D91,Pets!$D$5:$D$254,0)),""))</f>
        <v>0</v>
      </c>
      <c r="O91" s="49">
        <f>IF(N91="","",IF(N91&lt;TODAY(),"Overdue - refill now",IF(N91-TODAY()&lt;=ExpiryAlertDays,"Due in "&amp;TEXT(N91-TODAY(),"0")&amp;" days","OK")))</f>
        <v>0</v>
      </c>
      <c r="Q91" s="49">
        <f>IF(P91="","",IF(P91&lt;TODAY(),"Past",IF(P91-TODAY()&lt;=ExpiryAlertDays,"Due in "&amp;TEXT(P91-TODAY(),"0")&amp;" days","Booked")))</f>
        <v>0</v>
      </c>
      <c r="U91" s="28">
        <f>IF(B91="","",TEXT(B91,"yyyy-mm"))</f>
        <v>0</v>
      </c>
      <c r="V91" s="49">
        <f>IF(B91="","",IF(L91="Missed","Missed dose - tell the owner",IF(L91="Refused","Refused - monitor and report",IF(AND(L91="Scheduled",B91&lt;TODAY()),"Overdue - not recorded",IF(AND(S91&lt;&gt;"Yes",F91="Vet visit"),"Action - update the owner","OK")))))</f>
        <v>0</v>
      </c>
    </row>
    <row r="92" spans="1:22">
      <c r="A92" s="46">
        <f>IF(B92="","","HL-"&amp;TEXT(ROW()-4,"0000"))</f>
        <v>0</v>
      </c>
      <c r="E92" s="28">
        <f>IF(D92="","",IFERROR(INDEX(Pets!$C$5:$C$254,MATCH(D92,Pets!$D$5:$D$254,0)),""))</f>
        <v>0</v>
      </c>
      <c r="O92" s="49">
        <f>IF(N92="","",IF(N92&lt;TODAY(),"Overdue - refill now",IF(N92-TODAY()&lt;=ExpiryAlertDays,"Due in "&amp;TEXT(N92-TODAY(),"0")&amp;" days","OK")))</f>
        <v>0</v>
      </c>
      <c r="Q92" s="49">
        <f>IF(P92="","",IF(P92&lt;TODAY(),"Past",IF(P92-TODAY()&lt;=ExpiryAlertDays,"Due in "&amp;TEXT(P92-TODAY(),"0")&amp;" days","Booked")))</f>
        <v>0</v>
      </c>
      <c r="U92" s="28">
        <f>IF(B92="","",TEXT(B92,"yyyy-mm"))</f>
        <v>0</v>
      </c>
      <c r="V92" s="49">
        <f>IF(B92="","",IF(L92="Missed","Missed dose - tell the owner",IF(L92="Refused","Refused - monitor and report",IF(AND(L92="Scheduled",B92&lt;TODAY()),"Overdue - not recorded",IF(AND(S92&lt;&gt;"Yes",F92="Vet visit"),"Action - update the owner","OK")))))</f>
        <v>0</v>
      </c>
    </row>
    <row r="93" spans="1:22">
      <c r="A93" s="46">
        <f>IF(B93="","","HL-"&amp;TEXT(ROW()-4,"0000"))</f>
        <v>0</v>
      </c>
      <c r="E93" s="28">
        <f>IF(D93="","",IFERROR(INDEX(Pets!$C$5:$C$254,MATCH(D93,Pets!$D$5:$D$254,0)),""))</f>
        <v>0</v>
      </c>
      <c r="O93" s="49">
        <f>IF(N93="","",IF(N93&lt;TODAY(),"Overdue - refill now",IF(N93-TODAY()&lt;=ExpiryAlertDays,"Due in "&amp;TEXT(N93-TODAY(),"0")&amp;" days","OK")))</f>
        <v>0</v>
      </c>
      <c r="Q93" s="49">
        <f>IF(P93="","",IF(P93&lt;TODAY(),"Past",IF(P93-TODAY()&lt;=ExpiryAlertDays,"Due in "&amp;TEXT(P93-TODAY(),"0")&amp;" days","Booked")))</f>
        <v>0</v>
      </c>
      <c r="U93" s="28">
        <f>IF(B93="","",TEXT(B93,"yyyy-mm"))</f>
        <v>0</v>
      </c>
      <c r="V93" s="49">
        <f>IF(B93="","",IF(L93="Missed","Missed dose - tell the owner",IF(L93="Refused","Refused - monitor and report",IF(AND(L93="Scheduled",B93&lt;TODAY()),"Overdue - not recorded",IF(AND(S93&lt;&gt;"Yes",F93="Vet visit"),"Action - update the owner","OK")))))</f>
        <v>0</v>
      </c>
    </row>
    <row r="94" spans="1:22">
      <c r="A94" s="46">
        <f>IF(B94="","","HL-"&amp;TEXT(ROW()-4,"0000"))</f>
        <v>0</v>
      </c>
      <c r="E94" s="28">
        <f>IF(D94="","",IFERROR(INDEX(Pets!$C$5:$C$254,MATCH(D94,Pets!$D$5:$D$254,0)),""))</f>
        <v>0</v>
      </c>
      <c r="O94" s="49">
        <f>IF(N94="","",IF(N94&lt;TODAY(),"Overdue - refill now",IF(N94-TODAY()&lt;=ExpiryAlertDays,"Due in "&amp;TEXT(N94-TODAY(),"0")&amp;" days","OK")))</f>
        <v>0</v>
      </c>
      <c r="Q94" s="49">
        <f>IF(P94="","",IF(P94&lt;TODAY(),"Past",IF(P94-TODAY()&lt;=ExpiryAlertDays,"Due in "&amp;TEXT(P94-TODAY(),"0")&amp;" days","Booked")))</f>
        <v>0</v>
      </c>
      <c r="U94" s="28">
        <f>IF(B94="","",TEXT(B94,"yyyy-mm"))</f>
        <v>0</v>
      </c>
      <c r="V94" s="49">
        <f>IF(B94="","",IF(L94="Missed","Missed dose - tell the owner",IF(L94="Refused","Refused - monitor and report",IF(AND(L94="Scheduled",B94&lt;TODAY()),"Overdue - not recorded",IF(AND(S94&lt;&gt;"Yes",F94="Vet visit"),"Action - update the owner","OK")))))</f>
        <v>0</v>
      </c>
    </row>
    <row r="95" spans="1:22">
      <c r="A95" s="46">
        <f>IF(B95="","","HL-"&amp;TEXT(ROW()-4,"0000"))</f>
        <v>0</v>
      </c>
      <c r="E95" s="28">
        <f>IF(D95="","",IFERROR(INDEX(Pets!$C$5:$C$254,MATCH(D95,Pets!$D$5:$D$254,0)),""))</f>
        <v>0</v>
      </c>
      <c r="O95" s="49">
        <f>IF(N95="","",IF(N95&lt;TODAY(),"Overdue - refill now",IF(N95-TODAY()&lt;=ExpiryAlertDays,"Due in "&amp;TEXT(N95-TODAY(),"0")&amp;" days","OK")))</f>
        <v>0</v>
      </c>
      <c r="Q95" s="49">
        <f>IF(P95="","",IF(P95&lt;TODAY(),"Past",IF(P95-TODAY()&lt;=ExpiryAlertDays,"Due in "&amp;TEXT(P95-TODAY(),"0")&amp;" days","Booked")))</f>
        <v>0</v>
      </c>
      <c r="U95" s="28">
        <f>IF(B95="","",TEXT(B95,"yyyy-mm"))</f>
        <v>0</v>
      </c>
      <c r="V95" s="49">
        <f>IF(B95="","",IF(L95="Missed","Missed dose - tell the owner",IF(L95="Refused","Refused - monitor and report",IF(AND(L95="Scheduled",B95&lt;TODAY()),"Overdue - not recorded",IF(AND(S95&lt;&gt;"Yes",F95="Vet visit"),"Action - update the owner","OK")))))</f>
        <v>0</v>
      </c>
    </row>
    <row r="96" spans="1:22">
      <c r="A96" s="46">
        <f>IF(B96="","","HL-"&amp;TEXT(ROW()-4,"0000"))</f>
        <v>0</v>
      </c>
      <c r="E96" s="28">
        <f>IF(D96="","",IFERROR(INDEX(Pets!$C$5:$C$254,MATCH(D96,Pets!$D$5:$D$254,0)),""))</f>
        <v>0</v>
      </c>
      <c r="O96" s="49">
        <f>IF(N96="","",IF(N96&lt;TODAY(),"Overdue - refill now",IF(N96-TODAY()&lt;=ExpiryAlertDays,"Due in "&amp;TEXT(N96-TODAY(),"0")&amp;" days","OK")))</f>
        <v>0</v>
      </c>
      <c r="Q96" s="49">
        <f>IF(P96="","",IF(P96&lt;TODAY(),"Past",IF(P96-TODAY()&lt;=ExpiryAlertDays,"Due in "&amp;TEXT(P96-TODAY(),"0")&amp;" days","Booked")))</f>
        <v>0</v>
      </c>
      <c r="U96" s="28">
        <f>IF(B96="","",TEXT(B96,"yyyy-mm"))</f>
        <v>0</v>
      </c>
      <c r="V96" s="49">
        <f>IF(B96="","",IF(L96="Missed","Missed dose - tell the owner",IF(L96="Refused","Refused - monitor and report",IF(AND(L96="Scheduled",B96&lt;TODAY()),"Overdue - not recorded",IF(AND(S96&lt;&gt;"Yes",F96="Vet visit"),"Action - update the owner","OK")))))</f>
        <v>0</v>
      </c>
    </row>
    <row r="97" spans="1:22">
      <c r="A97" s="46">
        <f>IF(B97="","","HL-"&amp;TEXT(ROW()-4,"0000"))</f>
        <v>0</v>
      </c>
      <c r="E97" s="28">
        <f>IF(D97="","",IFERROR(INDEX(Pets!$C$5:$C$254,MATCH(D97,Pets!$D$5:$D$254,0)),""))</f>
        <v>0</v>
      </c>
      <c r="O97" s="49">
        <f>IF(N97="","",IF(N97&lt;TODAY(),"Overdue - refill now",IF(N97-TODAY()&lt;=ExpiryAlertDays,"Due in "&amp;TEXT(N97-TODAY(),"0")&amp;" days","OK")))</f>
        <v>0</v>
      </c>
      <c r="Q97" s="49">
        <f>IF(P97="","",IF(P97&lt;TODAY(),"Past",IF(P97-TODAY()&lt;=ExpiryAlertDays,"Due in "&amp;TEXT(P97-TODAY(),"0")&amp;" days","Booked")))</f>
        <v>0</v>
      </c>
      <c r="U97" s="28">
        <f>IF(B97="","",TEXT(B97,"yyyy-mm"))</f>
        <v>0</v>
      </c>
      <c r="V97" s="49">
        <f>IF(B97="","",IF(L97="Missed","Missed dose - tell the owner",IF(L97="Refused","Refused - monitor and report",IF(AND(L97="Scheduled",B97&lt;TODAY()),"Overdue - not recorded",IF(AND(S97&lt;&gt;"Yes",F97="Vet visit"),"Action - update the owner","OK")))))</f>
        <v>0</v>
      </c>
    </row>
    <row r="98" spans="1:22">
      <c r="A98" s="46">
        <f>IF(B98="","","HL-"&amp;TEXT(ROW()-4,"0000"))</f>
        <v>0</v>
      </c>
      <c r="E98" s="28">
        <f>IF(D98="","",IFERROR(INDEX(Pets!$C$5:$C$254,MATCH(D98,Pets!$D$5:$D$254,0)),""))</f>
        <v>0</v>
      </c>
      <c r="O98" s="49">
        <f>IF(N98="","",IF(N98&lt;TODAY(),"Overdue - refill now",IF(N98-TODAY()&lt;=ExpiryAlertDays,"Due in "&amp;TEXT(N98-TODAY(),"0")&amp;" days","OK")))</f>
        <v>0</v>
      </c>
      <c r="Q98" s="49">
        <f>IF(P98="","",IF(P98&lt;TODAY(),"Past",IF(P98-TODAY()&lt;=ExpiryAlertDays,"Due in "&amp;TEXT(P98-TODAY(),"0")&amp;" days","Booked")))</f>
        <v>0</v>
      </c>
      <c r="U98" s="28">
        <f>IF(B98="","",TEXT(B98,"yyyy-mm"))</f>
        <v>0</v>
      </c>
      <c r="V98" s="49">
        <f>IF(B98="","",IF(L98="Missed","Missed dose - tell the owner",IF(L98="Refused","Refused - monitor and report",IF(AND(L98="Scheduled",B98&lt;TODAY()),"Overdue - not recorded",IF(AND(S98&lt;&gt;"Yes",F98="Vet visit"),"Action - update the owner","OK")))))</f>
        <v>0</v>
      </c>
    </row>
    <row r="99" spans="1:22">
      <c r="A99" s="46">
        <f>IF(B99="","","HL-"&amp;TEXT(ROW()-4,"0000"))</f>
        <v>0</v>
      </c>
      <c r="E99" s="28">
        <f>IF(D99="","",IFERROR(INDEX(Pets!$C$5:$C$254,MATCH(D99,Pets!$D$5:$D$254,0)),""))</f>
        <v>0</v>
      </c>
      <c r="O99" s="49">
        <f>IF(N99="","",IF(N99&lt;TODAY(),"Overdue - refill now",IF(N99-TODAY()&lt;=ExpiryAlertDays,"Due in "&amp;TEXT(N99-TODAY(),"0")&amp;" days","OK")))</f>
        <v>0</v>
      </c>
      <c r="Q99" s="49">
        <f>IF(P99="","",IF(P99&lt;TODAY(),"Past",IF(P99-TODAY()&lt;=ExpiryAlertDays,"Due in "&amp;TEXT(P99-TODAY(),"0")&amp;" days","Booked")))</f>
        <v>0</v>
      </c>
      <c r="U99" s="28">
        <f>IF(B99="","",TEXT(B99,"yyyy-mm"))</f>
        <v>0</v>
      </c>
      <c r="V99" s="49">
        <f>IF(B99="","",IF(L99="Missed","Missed dose - tell the owner",IF(L99="Refused","Refused - monitor and report",IF(AND(L99="Scheduled",B99&lt;TODAY()),"Overdue - not recorded",IF(AND(S99&lt;&gt;"Yes",F99="Vet visit"),"Action - update the owner","OK")))))</f>
        <v>0</v>
      </c>
    </row>
    <row r="100" spans="1:22">
      <c r="A100" s="46">
        <f>IF(B100="","","HL-"&amp;TEXT(ROW()-4,"0000"))</f>
        <v>0</v>
      </c>
      <c r="E100" s="28">
        <f>IF(D100="","",IFERROR(INDEX(Pets!$C$5:$C$254,MATCH(D100,Pets!$D$5:$D$254,0)),""))</f>
        <v>0</v>
      </c>
      <c r="O100" s="49">
        <f>IF(N100="","",IF(N100&lt;TODAY(),"Overdue - refill now",IF(N100-TODAY()&lt;=ExpiryAlertDays,"Due in "&amp;TEXT(N100-TODAY(),"0")&amp;" days","OK")))</f>
        <v>0</v>
      </c>
      <c r="Q100" s="49">
        <f>IF(P100="","",IF(P100&lt;TODAY(),"Past",IF(P100-TODAY()&lt;=ExpiryAlertDays,"Due in "&amp;TEXT(P100-TODAY(),"0")&amp;" days","Booked")))</f>
        <v>0</v>
      </c>
      <c r="U100" s="28">
        <f>IF(B100="","",TEXT(B100,"yyyy-mm"))</f>
        <v>0</v>
      </c>
      <c r="V100" s="49">
        <f>IF(B100="","",IF(L100="Missed","Missed dose - tell the owner",IF(L100="Refused","Refused - monitor and report",IF(AND(L100="Scheduled",B100&lt;TODAY()),"Overdue - not recorded",IF(AND(S100&lt;&gt;"Yes",F100="Vet visit"),"Action - update the owner","OK")))))</f>
        <v>0</v>
      </c>
    </row>
    <row r="101" spans="1:22">
      <c r="A101" s="46">
        <f>IF(B101="","","HL-"&amp;TEXT(ROW()-4,"0000"))</f>
        <v>0</v>
      </c>
      <c r="E101" s="28">
        <f>IF(D101="","",IFERROR(INDEX(Pets!$C$5:$C$254,MATCH(D101,Pets!$D$5:$D$254,0)),""))</f>
        <v>0</v>
      </c>
      <c r="O101" s="49">
        <f>IF(N101="","",IF(N101&lt;TODAY(),"Overdue - refill now",IF(N101-TODAY()&lt;=ExpiryAlertDays,"Due in "&amp;TEXT(N101-TODAY(),"0")&amp;" days","OK")))</f>
        <v>0</v>
      </c>
      <c r="Q101" s="49">
        <f>IF(P101="","",IF(P101&lt;TODAY(),"Past",IF(P101-TODAY()&lt;=ExpiryAlertDays,"Due in "&amp;TEXT(P101-TODAY(),"0")&amp;" days","Booked")))</f>
        <v>0</v>
      </c>
      <c r="U101" s="28">
        <f>IF(B101="","",TEXT(B101,"yyyy-mm"))</f>
        <v>0</v>
      </c>
      <c r="V101" s="49">
        <f>IF(B101="","",IF(L101="Missed","Missed dose - tell the owner",IF(L101="Refused","Refused - monitor and report",IF(AND(L101="Scheduled",B101&lt;TODAY()),"Overdue - not recorded",IF(AND(S101&lt;&gt;"Yes",F101="Vet visit"),"Action - update the owner","OK")))))</f>
        <v>0</v>
      </c>
    </row>
    <row r="102" spans="1:22">
      <c r="A102" s="46">
        <f>IF(B102="","","HL-"&amp;TEXT(ROW()-4,"0000"))</f>
        <v>0</v>
      </c>
      <c r="E102" s="28">
        <f>IF(D102="","",IFERROR(INDEX(Pets!$C$5:$C$254,MATCH(D102,Pets!$D$5:$D$254,0)),""))</f>
        <v>0</v>
      </c>
      <c r="O102" s="49">
        <f>IF(N102="","",IF(N102&lt;TODAY(),"Overdue - refill now",IF(N102-TODAY()&lt;=ExpiryAlertDays,"Due in "&amp;TEXT(N102-TODAY(),"0")&amp;" days","OK")))</f>
        <v>0</v>
      </c>
      <c r="Q102" s="49">
        <f>IF(P102="","",IF(P102&lt;TODAY(),"Past",IF(P102-TODAY()&lt;=ExpiryAlertDays,"Due in "&amp;TEXT(P102-TODAY(),"0")&amp;" days","Booked")))</f>
        <v>0</v>
      </c>
      <c r="U102" s="28">
        <f>IF(B102="","",TEXT(B102,"yyyy-mm"))</f>
        <v>0</v>
      </c>
      <c r="V102" s="49">
        <f>IF(B102="","",IF(L102="Missed","Missed dose - tell the owner",IF(L102="Refused","Refused - monitor and report",IF(AND(L102="Scheduled",B102&lt;TODAY()),"Overdue - not recorded",IF(AND(S102&lt;&gt;"Yes",F102="Vet visit"),"Action - update the owner","OK")))))</f>
        <v>0</v>
      </c>
    </row>
    <row r="103" spans="1:22">
      <c r="A103" s="46">
        <f>IF(B103="","","HL-"&amp;TEXT(ROW()-4,"0000"))</f>
        <v>0</v>
      </c>
      <c r="E103" s="28">
        <f>IF(D103="","",IFERROR(INDEX(Pets!$C$5:$C$254,MATCH(D103,Pets!$D$5:$D$254,0)),""))</f>
        <v>0</v>
      </c>
      <c r="O103" s="49">
        <f>IF(N103="","",IF(N103&lt;TODAY(),"Overdue - refill now",IF(N103-TODAY()&lt;=ExpiryAlertDays,"Due in "&amp;TEXT(N103-TODAY(),"0")&amp;" days","OK")))</f>
        <v>0</v>
      </c>
      <c r="Q103" s="49">
        <f>IF(P103="","",IF(P103&lt;TODAY(),"Past",IF(P103-TODAY()&lt;=ExpiryAlertDays,"Due in "&amp;TEXT(P103-TODAY(),"0")&amp;" days","Booked")))</f>
        <v>0</v>
      </c>
      <c r="U103" s="28">
        <f>IF(B103="","",TEXT(B103,"yyyy-mm"))</f>
        <v>0</v>
      </c>
      <c r="V103" s="49">
        <f>IF(B103="","",IF(L103="Missed","Missed dose - tell the owner",IF(L103="Refused","Refused - monitor and report",IF(AND(L103="Scheduled",B103&lt;TODAY()),"Overdue - not recorded",IF(AND(S103&lt;&gt;"Yes",F103="Vet visit"),"Action - update the owner","OK")))))</f>
        <v>0</v>
      </c>
    </row>
    <row r="104" spans="1:22">
      <c r="A104" s="46">
        <f>IF(B104="","","HL-"&amp;TEXT(ROW()-4,"0000"))</f>
        <v>0</v>
      </c>
      <c r="E104" s="28">
        <f>IF(D104="","",IFERROR(INDEX(Pets!$C$5:$C$254,MATCH(D104,Pets!$D$5:$D$254,0)),""))</f>
        <v>0</v>
      </c>
      <c r="O104" s="49">
        <f>IF(N104="","",IF(N104&lt;TODAY(),"Overdue - refill now",IF(N104-TODAY()&lt;=ExpiryAlertDays,"Due in "&amp;TEXT(N104-TODAY(),"0")&amp;" days","OK")))</f>
        <v>0</v>
      </c>
      <c r="Q104" s="49">
        <f>IF(P104="","",IF(P104&lt;TODAY(),"Past",IF(P104-TODAY()&lt;=ExpiryAlertDays,"Due in "&amp;TEXT(P104-TODAY(),"0")&amp;" days","Booked")))</f>
        <v>0</v>
      </c>
      <c r="U104" s="28">
        <f>IF(B104="","",TEXT(B104,"yyyy-mm"))</f>
        <v>0</v>
      </c>
      <c r="V104" s="49">
        <f>IF(B104="","",IF(L104="Missed","Missed dose - tell the owner",IF(L104="Refused","Refused - monitor and report",IF(AND(L104="Scheduled",B104&lt;TODAY()),"Overdue - not recorded",IF(AND(S104&lt;&gt;"Yes",F104="Vet visit"),"Action - update the owner","OK")))))</f>
        <v>0</v>
      </c>
    </row>
    <row r="105" spans="1:22">
      <c r="A105" s="46">
        <f>IF(B105="","","HL-"&amp;TEXT(ROW()-4,"0000"))</f>
        <v>0</v>
      </c>
      <c r="E105" s="28">
        <f>IF(D105="","",IFERROR(INDEX(Pets!$C$5:$C$254,MATCH(D105,Pets!$D$5:$D$254,0)),""))</f>
        <v>0</v>
      </c>
      <c r="O105" s="49">
        <f>IF(N105="","",IF(N105&lt;TODAY(),"Overdue - refill now",IF(N105-TODAY()&lt;=ExpiryAlertDays,"Due in "&amp;TEXT(N105-TODAY(),"0")&amp;" days","OK")))</f>
        <v>0</v>
      </c>
      <c r="Q105" s="49">
        <f>IF(P105="","",IF(P105&lt;TODAY(),"Past",IF(P105-TODAY()&lt;=ExpiryAlertDays,"Due in "&amp;TEXT(P105-TODAY(),"0")&amp;" days","Booked")))</f>
        <v>0</v>
      </c>
      <c r="U105" s="28">
        <f>IF(B105="","",TEXT(B105,"yyyy-mm"))</f>
        <v>0</v>
      </c>
      <c r="V105" s="49">
        <f>IF(B105="","",IF(L105="Missed","Missed dose - tell the owner",IF(L105="Refused","Refused - monitor and report",IF(AND(L105="Scheduled",B105&lt;TODAY()),"Overdue - not recorded",IF(AND(S105&lt;&gt;"Yes",F105="Vet visit"),"Action - update the owner","OK")))))</f>
        <v>0</v>
      </c>
    </row>
    <row r="106" spans="1:22">
      <c r="A106" s="46">
        <f>IF(B106="","","HL-"&amp;TEXT(ROW()-4,"0000"))</f>
        <v>0</v>
      </c>
      <c r="E106" s="28">
        <f>IF(D106="","",IFERROR(INDEX(Pets!$C$5:$C$254,MATCH(D106,Pets!$D$5:$D$254,0)),""))</f>
        <v>0</v>
      </c>
      <c r="O106" s="49">
        <f>IF(N106="","",IF(N106&lt;TODAY(),"Overdue - refill now",IF(N106-TODAY()&lt;=ExpiryAlertDays,"Due in "&amp;TEXT(N106-TODAY(),"0")&amp;" days","OK")))</f>
        <v>0</v>
      </c>
      <c r="Q106" s="49">
        <f>IF(P106="","",IF(P106&lt;TODAY(),"Past",IF(P106-TODAY()&lt;=ExpiryAlertDays,"Due in "&amp;TEXT(P106-TODAY(),"0")&amp;" days","Booked")))</f>
        <v>0</v>
      </c>
      <c r="U106" s="28">
        <f>IF(B106="","",TEXT(B106,"yyyy-mm"))</f>
        <v>0</v>
      </c>
      <c r="V106" s="49">
        <f>IF(B106="","",IF(L106="Missed","Missed dose - tell the owner",IF(L106="Refused","Refused - monitor and report",IF(AND(L106="Scheduled",B106&lt;TODAY()),"Overdue - not recorded",IF(AND(S106&lt;&gt;"Yes",F106="Vet visit"),"Action - update the owner","OK")))))</f>
        <v>0</v>
      </c>
    </row>
    <row r="107" spans="1:22">
      <c r="A107" s="46">
        <f>IF(B107="","","HL-"&amp;TEXT(ROW()-4,"0000"))</f>
        <v>0</v>
      </c>
      <c r="E107" s="28">
        <f>IF(D107="","",IFERROR(INDEX(Pets!$C$5:$C$254,MATCH(D107,Pets!$D$5:$D$254,0)),""))</f>
        <v>0</v>
      </c>
      <c r="O107" s="49">
        <f>IF(N107="","",IF(N107&lt;TODAY(),"Overdue - refill now",IF(N107-TODAY()&lt;=ExpiryAlertDays,"Due in "&amp;TEXT(N107-TODAY(),"0")&amp;" days","OK")))</f>
        <v>0</v>
      </c>
      <c r="Q107" s="49">
        <f>IF(P107="","",IF(P107&lt;TODAY(),"Past",IF(P107-TODAY()&lt;=ExpiryAlertDays,"Due in "&amp;TEXT(P107-TODAY(),"0")&amp;" days","Booked")))</f>
        <v>0</v>
      </c>
      <c r="U107" s="28">
        <f>IF(B107="","",TEXT(B107,"yyyy-mm"))</f>
        <v>0</v>
      </c>
      <c r="V107" s="49">
        <f>IF(B107="","",IF(L107="Missed","Missed dose - tell the owner",IF(L107="Refused","Refused - monitor and report",IF(AND(L107="Scheduled",B107&lt;TODAY()),"Overdue - not recorded",IF(AND(S107&lt;&gt;"Yes",F107="Vet visit"),"Action - update the owner","OK")))))</f>
        <v>0</v>
      </c>
    </row>
    <row r="108" spans="1:22">
      <c r="A108" s="46">
        <f>IF(B108="","","HL-"&amp;TEXT(ROW()-4,"0000"))</f>
        <v>0</v>
      </c>
      <c r="E108" s="28">
        <f>IF(D108="","",IFERROR(INDEX(Pets!$C$5:$C$254,MATCH(D108,Pets!$D$5:$D$254,0)),""))</f>
        <v>0</v>
      </c>
      <c r="O108" s="49">
        <f>IF(N108="","",IF(N108&lt;TODAY(),"Overdue - refill now",IF(N108-TODAY()&lt;=ExpiryAlertDays,"Due in "&amp;TEXT(N108-TODAY(),"0")&amp;" days","OK")))</f>
        <v>0</v>
      </c>
      <c r="Q108" s="49">
        <f>IF(P108="","",IF(P108&lt;TODAY(),"Past",IF(P108-TODAY()&lt;=ExpiryAlertDays,"Due in "&amp;TEXT(P108-TODAY(),"0")&amp;" days","Booked")))</f>
        <v>0</v>
      </c>
      <c r="U108" s="28">
        <f>IF(B108="","",TEXT(B108,"yyyy-mm"))</f>
        <v>0</v>
      </c>
      <c r="V108" s="49">
        <f>IF(B108="","",IF(L108="Missed","Missed dose - tell the owner",IF(L108="Refused","Refused - monitor and report",IF(AND(L108="Scheduled",B108&lt;TODAY()),"Overdue - not recorded",IF(AND(S108&lt;&gt;"Yes",F108="Vet visit"),"Action - update the owner","OK")))))</f>
        <v>0</v>
      </c>
    </row>
    <row r="109" spans="1:22">
      <c r="A109" s="46">
        <f>IF(B109="","","HL-"&amp;TEXT(ROW()-4,"0000"))</f>
        <v>0</v>
      </c>
      <c r="E109" s="28">
        <f>IF(D109="","",IFERROR(INDEX(Pets!$C$5:$C$254,MATCH(D109,Pets!$D$5:$D$254,0)),""))</f>
        <v>0</v>
      </c>
      <c r="O109" s="49">
        <f>IF(N109="","",IF(N109&lt;TODAY(),"Overdue - refill now",IF(N109-TODAY()&lt;=ExpiryAlertDays,"Due in "&amp;TEXT(N109-TODAY(),"0")&amp;" days","OK")))</f>
        <v>0</v>
      </c>
      <c r="Q109" s="49">
        <f>IF(P109="","",IF(P109&lt;TODAY(),"Past",IF(P109-TODAY()&lt;=ExpiryAlertDays,"Due in "&amp;TEXT(P109-TODAY(),"0")&amp;" days","Booked")))</f>
        <v>0</v>
      </c>
      <c r="U109" s="28">
        <f>IF(B109="","",TEXT(B109,"yyyy-mm"))</f>
        <v>0</v>
      </c>
      <c r="V109" s="49">
        <f>IF(B109="","",IF(L109="Missed","Missed dose - tell the owner",IF(L109="Refused","Refused - monitor and report",IF(AND(L109="Scheduled",B109&lt;TODAY()),"Overdue - not recorded",IF(AND(S109&lt;&gt;"Yes",F109="Vet visit"),"Action - update the owner","OK")))))</f>
        <v>0</v>
      </c>
    </row>
    <row r="110" spans="1:22">
      <c r="A110" s="46">
        <f>IF(B110="","","HL-"&amp;TEXT(ROW()-4,"0000"))</f>
        <v>0</v>
      </c>
      <c r="E110" s="28">
        <f>IF(D110="","",IFERROR(INDEX(Pets!$C$5:$C$254,MATCH(D110,Pets!$D$5:$D$254,0)),""))</f>
        <v>0</v>
      </c>
      <c r="O110" s="49">
        <f>IF(N110="","",IF(N110&lt;TODAY(),"Overdue - refill now",IF(N110-TODAY()&lt;=ExpiryAlertDays,"Due in "&amp;TEXT(N110-TODAY(),"0")&amp;" days","OK")))</f>
        <v>0</v>
      </c>
      <c r="Q110" s="49">
        <f>IF(P110="","",IF(P110&lt;TODAY(),"Past",IF(P110-TODAY()&lt;=ExpiryAlertDays,"Due in "&amp;TEXT(P110-TODAY(),"0")&amp;" days","Booked")))</f>
        <v>0</v>
      </c>
      <c r="U110" s="28">
        <f>IF(B110="","",TEXT(B110,"yyyy-mm"))</f>
        <v>0</v>
      </c>
      <c r="V110" s="49">
        <f>IF(B110="","",IF(L110="Missed","Missed dose - tell the owner",IF(L110="Refused","Refused - monitor and report",IF(AND(L110="Scheduled",B110&lt;TODAY()),"Overdue - not recorded",IF(AND(S110&lt;&gt;"Yes",F110="Vet visit"),"Action - update the owner","OK")))))</f>
        <v>0</v>
      </c>
    </row>
    <row r="111" spans="1:22">
      <c r="A111" s="46">
        <f>IF(B111="","","HL-"&amp;TEXT(ROW()-4,"0000"))</f>
        <v>0</v>
      </c>
      <c r="E111" s="28">
        <f>IF(D111="","",IFERROR(INDEX(Pets!$C$5:$C$254,MATCH(D111,Pets!$D$5:$D$254,0)),""))</f>
        <v>0</v>
      </c>
      <c r="O111" s="49">
        <f>IF(N111="","",IF(N111&lt;TODAY(),"Overdue - refill now",IF(N111-TODAY()&lt;=ExpiryAlertDays,"Due in "&amp;TEXT(N111-TODAY(),"0")&amp;" days","OK")))</f>
        <v>0</v>
      </c>
      <c r="Q111" s="49">
        <f>IF(P111="","",IF(P111&lt;TODAY(),"Past",IF(P111-TODAY()&lt;=ExpiryAlertDays,"Due in "&amp;TEXT(P111-TODAY(),"0")&amp;" days","Booked")))</f>
        <v>0</v>
      </c>
      <c r="U111" s="28">
        <f>IF(B111="","",TEXT(B111,"yyyy-mm"))</f>
        <v>0</v>
      </c>
      <c r="V111" s="49">
        <f>IF(B111="","",IF(L111="Missed","Missed dose - tell the owner",IF(L111="Refused","Refused - monitor and report",IF(AND(L111="Scheduled",B111&lt;TODAY()),"Overdue - not recorded",IF(AND(S111&lt;&gt;"Yes",F111="Vet visit"),"Action - update the owner","OK")))))</f>
        <v>0</v>
      </c>
    </row>
    <row r="112" spans="1:22">
      <c r="A112" s="46">
        <f>IF(B112="","","HL-"&amp;TEXT(ROW()-4,"0000"))</f>
        <v>0</v>
      </c>
      <c r="E112" s="28">
        <f>IF(D112="","",IFERROR(INDEX(Pets!$C$5:$C$254,MATCH(D112,Pets!$D$5:$D$254,0)),""))</f>
        <v>0</v>
      </c>
      <c r="O112" s="49">
        <f>IF(N112="","",IF(N112&lt;TODAY(),"Overdue - refill now",IF(N112-TODAY()&lt;=ExpiryAlertDays,"Due in "&amp;TEXT(N112-TODAY(),"0")&amp;" days","OK")))</f>
        <v>0</v>
      </c>
      <c r="Q112" s="49">
        <f>IF(P112="","",IF(P112&lt;TODAY(),"Past",IF(P112-TODAY()&lt;=ExpiryAlertDays,"Due in "&amp;TEXT(P112-TODAY(),"0")&amp;" days","Booked")))</f>
        <v>0</v>
      </c>
      <c r="U112" s="28">
        <f>IF(B112="","",TEXT(B112,"yyyy-mm"))</f>
        <v>0</v>
      </c>
      <c r="V112" s="49">
        <f>IF(B112="","",IF(L112="Missed","Missed dose - tell the owner",IF(L112="Refused","Refused - monitor and report",IF(AND(L112="Scheduled",B112&lt;TODAY()),"Overdue - not recorded",IF(AND(S112&lt;&gt;"Yes",F112="Vet visit"),"Action - update the owner","OK")))))</f>
        <v>0</v>
      </c>
    </row>
    <row r="113" spans="1:22">
      <c r="A113" s="46">
        <f>IF(B113="","","HL-"&amp;TEXT(ROW()-4,"0000"))</f>
        <v>0</v>
      </c>
      <c r="E113" s="28">
        <f>IF(D113="","",IFERROR(INDEX(Pets!$C$5:$C$254,MATCH(D113,Pets!$D$5:$D$254,0)),""))</f>
        <v>0</v>
      </c>
      <c r="O113" s="49">
        <f>IF(N113="","",IF(N113&lt;TODAY(),"Overdue - refill now",IF(N113-TODAY()&lt;=ExpiryAlertDays,"Due in "&amp;TEXT(N113-TODAY(),"0")&amp;" days","OK")))</f>
        <v>0</v>
      </c>
      <c r="Q113" s="49">
        <f>IF(P113="","",IF(P113&lt;TODAY(),"Past",IF(P113-TODAY()&lt;=ExpiryAlertDays,"Due in "&amp;TEXT(P113-TODAY(),"0")&amp;" days","Booked")))</f>
        <v>0</v>
      </c>
      <c r="U113" s="28">
        <f>IF(B113="","",TEXT(B113,"yyyy-mm"))</f>
        <v>0</v>
      </c>
      <c r="V113" s="49">
        <f>IF(B113="","",IF(L113="Missed","Missed dose - tell the owner",IF(L113="Refused","Refused - monitor and report",IF(AND(L113="Scheduled",B113&lt;TODAY()),"Overdue - not recorded",IF(AND(S113&lt;&gt;"Yes",F113="Vet visit"),"Action - update the owner","OK")))))</f>
        <v>0</v>
      </c>
    </row>
    <row r="114" spans="1:22">
      <c r="A114" s="46">
        <f>IF(B114="","","HL-"&amp;TEXT(ROW()-4,"0000"))</f>
        <v>0</v>
      </c>
      <c r="E114" s="28">
        <f>IF(D114="","",IFERROR(INDEX(Pets!$C$5:$C$254,MATCH(D114,Pets!$D$5:$D$254,0)),""))</f>
        <v>0</v>
      </c>
      <c r="O114" s="49">
        <f>IF(N114="","",IF(N114&lt;TODAY(),"Overdue - refill now",IF(N114-TODAY()&lt;=ExpiryAlertDays,"Due in "&amp;TEXT(N114-TODAY(),"0")&amp;" days","OK")))</f>
        <v>0</v>
      </c>
      <c r="Q114" s="49">
        <f>IF(P114="","",IF(P114&lt;TODAY(),"Past",IF(P114-TODAY()&lt;=ExpiryAlertDays,"Due in "&amp;TEXT(P114-TODAY(),"0")&amp;" days","Booked")))</f>
        <v>0</v>
      </c>
      <c r="U114" s="28">
        <f>IF(B114="","",TEXT(B114,"yyyy-mm"))</f>
        <v>0</v>
      </c>
      <c r="V114" s="49">
        <f>IF(B114="","",IF(L114="Missed","Missed dose - tell the owner",IF(L114="Refused","Refused - monitor and report",IF(AND(L114="Scheduled",B114&lt;TODAY()),"Overdue - not recorded",IF(AND(S114&lt;&gt;"Yes",F114="Vet visit"),"Action - update the owner","OK")))))</f>
        <v>0</v>
      </c>
    </row>
    <row r="115" spans="1:22">
      <c r="A115" s="46">
        <f>IF(B115="","","HL-"&amp;TEXT(ROW()-4,"0000"))</f>
        <v>0</v>
      </c>
      <c r="E115" s="28">
        <f>IF(D115="","",IFERROR(INDEX(Pets!$C$5:$C$254,MATCH(D115,Pets!$D$5:$D$254,0)),""))</f>
        <v>0</v>
      </c>
      <c r="O115" s="49">
        <f>IF(N115="","",IF(N115&lt;TODAY(),"Overdue - refill now",IF(N115-TODAY()&lt;=ExpiryAlertDays,"Due in "&amp;TEXT(N115-TODAY(),"0")&amp;" days","OK")))</f>
        <v>0</v>
      </c>
      <c r="Q115" s="49">
        <f>IF(P115="","",IF(P115&lt;TODAY(),"Past",IF(P115-TODAY()&lt;=ExpiryAlertDays,"Due in "&amp;TEXT(P115-TODAY(),"0")&amp;" days","Booked")))</f>
        <v>0</v>
      </c>
      <c r="U115" s="28">
        <f>IF(B115="","",TEXT(B115,"yyyy-mm"))</f>
        <v>0</v>
      </c>
      <c r="V115" s="49">
        <f>IF(B115="","",IF(L115="Missed","Missed dose - tell the owner",IF(L115="Refused","Refused - monitor and report",IF(AND(L115="Scheduled",B115&lt;TODAY()),"Overdue - not recorded",IF(AND(S115&lt;&gt;"Yes",F115="Vet visit"),"Action - update the owner","OK")))))</f>
        <v>0</v>
      </c>
    </row>
    <row r="116" spans="1:22">
      <c r="A116" s="46">
        <f>IF(B116="","","HL-"&amp;TEXT(ROW()-4,"0000"))</f>
        <v>0</v>
      </c>
      <c r="E116" s="28">
        <f>IF(D116="","",IFERROR(INDEX(Pets!$C$5:$C$254,MATCH(D116,Pets!$D$5:$D$254,0)),""))</f>
        <v>0</v>
      </c>
      <c r="O116" s="49">
        <f>IF(N116="","",IF(N116&lt;TODAY(),"Overdue - refill now",IF(N116-TODAY()&lt;=ExpiryAlertDays,"Due in "&amp;TEXT(N116-TODAY(),"0")&amp;" days","OK")))</f>
        <v>0</v>
      </c>
      <c r="Q116" s="49">
        <f>IF(P116="","",IF(P116&lt;TODAY(),"Past",IF(P116-TODAY()&lt;=ExpiryAlertDays,"Due in "&amp;TEXT(P116-TODAY(),"0")&amp;" days","Booked")))</f>
        <v>0</v>
      </c>
      <c r="U116" s="28">
        <f>IF(B116="","",TEXT(B116,"yyyy-mm"))</f>
        <v>0</v>
      </c>
      <c r="V116" s="49">
        <f>IF(B116="","",IF(L116="Missed","Missed dose - tell the owner",IF(L116="Refused","Refused - monitor and report",IF(AND(L116="Scheduled",B116&lt;TODAY()),"Overdue - not recorded",IF(AND(S116&lt;&gt;"Yes",F116="Vet visit"),"Action - update the owner","OK")))))</f>
        <v>0</v>
      </c>
    </row>
    <row r="117" spans="1:22">
      <c r="A117" s="46">
        <f>IF(B117="","","HL-"&amp;TEXT(ROW()-4,"0000"))</f>
        <v>0</v>
      </c>
      <c r="E117" s="28">
        <f>IF(D117="","",IFERROR(INDEX(Pets!$C$5:$C$254,MATCH(D117,Pets!$D$5:$D$254,0)),""))</f>
        <v>0</v>
      </c>
      <c r="O117" s="49">
        <f>IF(N117="","",IF(N117&lt;TODAY(),"Overdue - refill now",IF(N117-TODAY()&lt;=ExpiryAlertDays,"Due in "&amp;TEXT(N117-TODAY(),"0")&amp;" days","OK")))</f>
        <v>0</v>
      </c>
      <c r="Q117" s="49">
        <f>IF(P117="","",IF(P117&lt;TODAY(),"Past",IF(P117-TODAY()&lt;=ExpiryAlertDays,"Due in "&amp;TEXT(P117-TODAY(),"0")&amp;" days","Booked")))</f>
        <v>0</v>
      </c>
      <c r="U117" s="28">
        <f>IF(B117="","",TEXT(B117,"yyyy-mm"))</f>
        <v>0</v>
      </c>
      <c r="V117" s="49">
        <f>IF(B117="","",IF(L117="Missed","Missed dose - tell the owner",IF(L117="Refused","Refused - monitor and report",IF(AND(L117="Scheduled",B117&lt;TODAY()),"Overdue - not recorded",IF(AND(S117&lt;&gt;"Yes",F117="Vet visit"),"Action - update the owner","OK")))))</f>
        <v>0</v>
      </c>
    </row>
    <row r="118" spans="1:22">
      <c r="A118" s="46">
        <f>IF(B118="","","HL-"&amp;TEXT(ROW()-4,"0000"))</f>
        <v>0</v>
      </c>
      <c r="E118" s="28">
        <f>IF(D118="","",IFERROR(INDEX(Pets!$C$5:$C$254,MATCH(D118,Pets!$D$5:$D$254,0)),""))</f>
        <v>0</v>
      </c>
      <c r="O118" s="49">
        <f>IF(N118="","",IF(N118&lt;TODAY(),"Overdue - refill now",IF(N118-TODAY()&lt;=ExpiryAlertDays,"Due in "&amp;TEXT(N118-TODAY(),"0")&amp;" days","OK")))</f>
        <v>0</v>
      </c>
      <c r="Q118" s="49">
        <f>IF(P118="","",IF(P118&lt;TODAY(),"Past",IF(P118-TODAY()&lt;=ExpiryAlertDays,"Due in "&amp;TEXT(P118-TODAY(),"0")&amp;" days","Booked")))</f>
        <v>0</v>
      </c>
      <c r="U118" s="28">
        <f>IF(B118="","",TEXT(B118,"yyyy-mm"))</f>
        <v>0</v>
      </c>
      <c r="V118" s="49">
        <f>IF(B118="","",IF(L118="Missed","Missed dose - tell the owner",IF(L118="Refused","Refused - monitor and report",IF(AND(L118="Scheduled",B118&lt;TODAY()),"Overdue - not recorded",IF(AND(S118&lt;&gt;"Yes",F118="Vet visit"),"Action - update the owner","OK")))))</f>
        <v>0</v>
      </c>
    </row>
    <row r="119" spans="1:22">
      <c r="A119" s="46">
        <f>IF(B119="","","HL-"&amp;TEXT(ROW()-4,"0000"))</f>
        <v>0</v>
      </c>
      <c r="E119" s="28">
        <f>IF(D119="","",IFERROR(INDEX(Pets!$C$5:$C$254,MATCH(D119,Pets!$D$5:$D$254,0)),""))</f>
        <v>0</v>
      </c>
      <c r="O119" s="49">
        <f>IF(N119="","",IF(N119&lt;TODAY(),"Overdue - refill now",IF(N119-TODAY()&lt;=ExpiryAlertDays,"Due in "&amp;TEXT(N119-TODAY(),"0")&amp;" days","OK")))</f>
        <v>0</v>
      </c>
      <c r="Q119" s="49">
        <f>IF(P119="","",IF(P119&lt;TODAY(),"Past",IF(P119-TODAY()&lt;=ExpiryAlertDays,"Due in "&amp;TEXT(P119-TODAY(),"0")&amp;" days","Booked")))</f>
        <v>0</v>
      </c>
      <c r="U119" s="28">
        <f>IF(B119="","",TEXT(B119,"yyyy-mm"))</f>
        <v>0</v>
      </c>
      <c r="V119" s="49">
        <f>IF(B119="","",IF(L119="Missed","Missed dose - tell the owner",IF(L119="Refused","Refused - monitor and report",IF(AND(L119="Scheduled",B119&lt;TODAY()),"Overdue - not recorded",IF(AND(S119&lt;&gt;"Yes",F119="Vet visit"),"Action - update the owner","OK")))))</f>
        <v>0</v>
      </c>
    </row>
    <row r="120" spans="1:22">
      <c r="A120" s="46">
        <f>IF(B120="","","HL-"&amp;TEXT(ROW()-4,"0000"))</f>
        <v>0</v>
      </c>
      <c r="E120" s="28">
        <f>IF(D120="","",IFERROR(INDEX(Pets!$C$5:$C$254,MATCH(D120,Pets!$D$5:$D$254,0)),""))</f>
        <v>0</v>
      </c>
      <c r="O120" s="49">
        <f>IF(N120="","",IF(N120&lt;TODAY(),"Overdue - refill now",IF(N120-TODAY()&lt;=ExpiryAlertDays,"Due in "&amp;TEXT(N120-TODAY(),"0")&amp;" days","OK")))</f>
        <v>0</v>
      </c>
      <c r="Q120" s="49">
        <f>IF(P120="","",IF(P120&lt;TODAY(),"Past",IF(P120-TODAY()&lt;=ExpiryAlertDays,"Due in "&amp;TEXT(P120-TODAY(),"0")&amp;" days","Booked")))</f>
        <v>0</v>
      </c>
      <c r="U120" s="28">
        <f>IF(B120="","",TEXT(B120,"yyyy-mm"))</f>
        <v>0</v>
      </c>
      <c r="V120" s="49">
        <f>IF(B120="","",IF(L120="Missed","Missed dose - tell the owner",IF(L120="Refused","Refused - monitor and report",IF(AND(L120="Scheduled",B120&lt;TODAY()),"Overdue - not recorded",IF(AND(S120&lt;&gt;"Yes",F120="Vet visit"),"Action - update the owner","OK")))))</f>
        <v>0</v>
      </c>
    </row>
    <row r="121" spans="1:22">
      <c r="A121" s="46">
        <f>IF(B121="","","HL-"&amp;TEXT(ROW()-4,"0000"))</f>
        <v>0</v>
      </c>
      <c r="E121" s="28">
        <f>IF(D121="","",IFERROR(INDEX(Pets!$C$5:$C$254,MATCH(D121,Pets!$D$5:$D$254,0)),""))</f>
        <v>0</v>
      </c>
      <c r="O121" s="49">
        <f>IF(N121="","",IF(N121&lt;TODAY(),"Overdue - refill now",IF(N121-TODAY()&lt;=ExpiryAlertDays,"Due in "&amp;TEXT(N121-TODAY(),"0")&amp;" days","OK")))</f>
        <v>0</v>
      </c>
      <c r="Q121" s="49">
        <f>IF(P121="","",IF(P121&lt;TODAY(),"Past",IF(P121-TODAY()&lt;=ExpiryAlertDays,"Due in "&amp;TEXT(P121-TODAY(),"0")&amp;" days","Booked")))</f>
        <v>0</v>
      </c>
      <c r="U121" s="28">
        <f>IF(B121="","",TEXT(B121,"yyyy-mm"))</f>
        <v>0</v>
      </c>
      <c r="V121" s="49">
        <f>IF(B121="","",IF(L121="Missed","Missed dose - tell the owner",IF(L121="Refused","Refused - monitor and report",IF(AND(L121="Scheduled",B121&lt;TODAY()),"Overdue - not recorded",IF(AND(S121&lt;&gt;"Yes",F121="Vet visit"),"Action - update the owner","OK")))))</f>
        <v>0</v>
      </c>
    </row>
    <row r="122" spans="1:22">
      <c r="A122" s="46">
        <f>IF(B122="","","HL-"&amp;TEXT(ROW()-4,"0000"))</f>
        <v>0</v>
      </c>
      <c r="E122" s="28">
        <f>IF(D122="","",IFERROR(INDEX(Pets!$C$5:$C$254,MATCH(D122,Pets!$D$5:$D$254,0)),""))</f>
        <v>0</v>
      </c>
      <c r="O122" s="49">
        <f>IF(N122="","",IF(N122&lt;TODAY(),"Overdue - refill now",IF(N122-TODAY()&lt;=ExpiryAlertDays,"Due in "&amp;TEXT(N122-TODAY(),"0")&amp;" days","OK")))</f>
        <v>0</v>
      </c>
      <c r="Q122" s="49">
        <f>IF(P122="","",IF(P122&lt;TODAY(),"Past",IF(P122-TODAY()&lt;=ExpiryAlertDays,"Due in "&amp;TEXT(P122-TODAY(),"0")&amp;" days","Booked")))</f>
        <v>0</v>
      </c>
      <c r="U122" s="28">
        <f>IF(B122="","",TEXT(B122,"yyyy-mm"))</f>
        <v>0</v>
      </c>
      <c r="V122" s="49">
        <f>IF(B122="","",IF(L122="Missed","Missed dose - tell the owner",IF(L122="Refused","Refused - monitor and report",IF(AND(L122="Scheduled",B122&lt;TODAY()),"Overdue - not recorded",IF(AND(S122&lt;&gt;"Yes",F122="Vet visit"),"Action - update the owner","OK")))))</f>
        <v>0</v>
      </c>
    </row>
    <row r="123" spans="1:22">
      <c r="A123" s="46">
        <f>IF(B123="","","HL-"&amp;TEXT(ROW()-4,"0000"))</f>
        <v>0</v>
      </c>
      <c r="E123" s="28">
        <f>IF(D123="","",IFERROR(INDEX(Pets!$C$5:$C$254,MATCH(D123,Pets!$D$5:$D$254,0)),""))</f>
        <v>0</v>
      </c>
      <c r="O123" s="49">
        <f>IF(N123="","",IF(N123&lt;TODAY(),"Overdue - refill now",IF(N123-TODAY()&lt;=ExpiryAlertDays,"Due in "&amp;TEXT(N123-TODAY(),"0")&amp;" days","OK")))</f>
        <v>0</v>
      </c>
      <c r="Q123" s="49">
        <f>IF(P123="","",IF(P123&lt;TODAY(),"Past",IF(P123-TODAY()&lt;=ExpiryAlertDays,"Due in "&amp;TEXT(P123-TODAY(),"0")&amp;" days","Booked")))</f>
        <v>0</v>
      </c>
      <c r="U123" s="28">
        <f>IF(B123="","",TEXT(B123,"yyyy-mm"))</f>
        <v>0</v>
      </c>
      <c r="V123" s="49">
        <f>IF(B123="","",IF(L123="Missed","Missed dose - tell the owner",IF(L123="Refused","Refused - monitor and report",IF(AND(L123="Scheduled",B123&lt;TODAY()),"Overdue - not recorded",IF(AND(S123&lt;&gt;"Yes",F123="Vet visit"),"Action - update the owner","OK")))))</f>
        <v>0</v>
      </c>
    </row>
    <row r="124" spans="1:22">
      <c r="A124" s="46">
        <f>IF(B124="","","HL-"&amp;TEXT(ROW()-4,"0000"))</f>
        <v>0</v>
      </c>
      <c r="E124" s="28">
        <f>IF(D124="","",IFERROR(INDEX(Pets!$C$5:$C$254,MATCH(D124,Pets!$D$5:$D$254,0)),""))</f>
        <v>0</v>
      </c>
      <c r="O124" s="49">
        <f>IF(N124="","",IF(N124&lt;TODAY(),"Overdue - refill now",IF(N124-TODAY()&lt;=ExpiryAlertDays,"Due in "&amp;TEXT(N124-TODAY(),"0")&amp;" days","OK")))</f>
        <v>0</v>
      </c>
      <c r="Q124" s="49">
        <f>IF(P124="","",IF(P124&lt;TODAY(),"Past",IF(P124-TODAY()&lt;=ExpiryAlertDays,"Due in "&amp;TEXT(P124-TODAY(),"0")&amp;" days","Booked")))</f>
        <v>0</v>
      </c>
      <c r="U124" s="28">
        <f>IF(B124="","",TEXT(B124,"yyyy-mm"))</f>
        <v>0</v>
      </c>
      <c r="V124" s="49">
        <f>IF(B124="","",IF(L124="Missed","Missed dose - tell the owner",IF(L124="Refused","Refused - monitor and report",IF(AND(L124="Scheduled",B124&lt;TODAY()),"Overdue - not recorded",IF(AND(S124&lt;&gt;"Yes",F124="Vet visit"),"Action - update the owner","OK")))))</f>
        <v>0</v>
      </c>
    </row>
    <row r="125" spans="1:22">
      <c r="A125" s="46">
        <f>IF(B125="","","HL-"&amp;TEXT(ROW()-4,"0000"))</f>
        <v>0</v>
      </c>
      <c r="E125" s="28">
        <f>IF(D125="","",IFERROR(INDEX(Pets!$C$5:$C$254,MATCH(D125,Pets!$D$5:$D$254,0)),""))</f>
        <v>0</v>
      </c>
      <c r="O125" s="49">
        <f>IF(N125="","",IF(N125&lt;TODAY(),"Overdue - refill now",IF(N125-TODAY()&lt;=ExpiryAlertDays,"Due in "&amp;TEXT(N125-TODAY(),"0")&amp;" days","OK")))</f>
        <v>0</v>
      </c>
      <c r="Q125" s="49">
        <f>IF(P125="","",IF(P125&lt;TODAY(),"Past",IF(P125-TODAY()&lt;=ExpiryAlertDays,"Due in "&amp;TEXT(P125-TODAY(),"0")&amp;" days","Booked")))</f>
        <v>0</v>
      </c>
      <c r="U125" s="28">
        <f>IF(B125="","",TEXT(B125,"yyyy-mm"))</f>
        <v>0</v>
      </c>
      <c r="V125" s="49">
        <f>IF(B125="","",IF(L125="Missed","Missed dose - tell the owner",IF(L125="Refused","Refused - monitor and report",IF(AND(L125="Scheduled",B125&lt;TODAY()),"Overdue - not recorded",IF(AND(S125&lt;&gt;"Yes",F125="Vet visit"),"Action - update the owner","OK")))))</f>
        <v>0</v>
      </c>
    </row>
    <row r="126" spans="1:22">
      <c r="A126" s="46">
        <f>IF(B126="","","HL-"&amp;TEXT(ROW()-4,"0000"))</f>
        <v>0</v>
      </c>
      <c r="E126" s="28">
        <f>IF(D126="","",IFERROR(INDEX(Pets!$C$5:$C$254,MATCH(D126,Pets!$D$5:$D$254,0)),""))</f>
        <v>0</v>
      </c>
      <c r="O126" s="49">
        <f>IF(N126="","",IF(N126&lt;TODAY(),"Overdue - refill now",IF(N126-TODAY()&lt;=ExpiryAlertDays,"Due in "&amp;TEXT(N126-TODAY(),"0")&amp;" days","OK")))</f>
        <v>0</v>
      </c>
      <c r="Q126" s="49">
        <f>IF(P126="","",IF(P126&lt;TODAY(),"Past",IF(P126-TODAY()&lt;=ExpiryAlertDays,"Due in "&amp;TEXT(P126-TODAY(),"0")&amp;" days","Booked")))</f>
        <v>0</v>
      </c>
      <c r="U126" s="28">
        <f>IF(B126="","",TEXT(B126,"yyyy-mm"))</f>
        <v>0</v>
      </c>
      <c r="V126" s="49">
        <f>IF(B126="","",IF(L126="Missed","Missed dose - tell the owner",IF(L126="Refused","Refused - monitor and report",IF(AND(L126="Scheduled",B126&lt;TODAY()),"Overdue - not recorded",IF(AND(S126&lt;&gt;"Yes",F126="Vet visit"),"Action - update the owner","OK")))))</f>
        <v>0</v>
      </c>
    </row>
    <row r="127" spans="1:22">
      <c r="A127" s="46">
        <f>IF(B127="","","HL-"&amp;TEXT(ROW()-4,"0000"))</f>
        <v>0</v>
      </c>
      <c r="E127" s="28">
        <f>IF(D127="","",IFERROR(INDEX(Pets!$C$5:$C$254,MATCH(D127,Pets!$D$5:$D$254,0)),""))</f>
        <v>0</v>
      </c>
      <c r="O127" s="49">
        <f>IF(N127="","",IF(N127&lt;TODAY(),"Overdue - refill now",IF(N127-TODAY()&lt;=ExpiryAlertDays,"Due in "&amp;TEXT(N127-TODAY(),"0")&amp;" days","OK")))</f>
        <v>0</v>
      </c>
      <c r="Q127" s="49">
        <f>IF(P127="","",IF(P127&lt;TODAY(),"Past",IF(P127-TODAY()&lt;=ExpiryAlertDays,"Due in "&amp;TEXT(P127-TODAY(),"0")&amp;" days","Booked")))</f>
        <v>0</v>
      </c>
      <c r="U127" s="28">
        <f>IF(B127="","",TEXT(B127,"yyyy-mm"))</f>
        <v>0</v>
      </c>
      <c r="V127" s="49">
        <f>IF(B127="","",IF(L127="Missed","Missed dose - tell the owner",IF(L127="Refused","Refused - monitor and report",IF(AND(L127="Scheduled",B127&lt;TODAY()),"Overdue - not recorded",IF(AND(S127&lt;&gt;"Yes",F127="Vet visit"),"Action - update the owner","OK")))))</f>
        <v>0</v>
      </c>
    </row>
    <row r="128" spans="1:22">
      <c r="A128" s="46">
        <f>IF(B128="","","HL-"&amp;TEXT(ROW()-4,"0000"))</f>
        <v>0</v>
      </c>
      <c r="E128" s="28">
        <f>IF(D128="","",IFERROR(INDEX(Pets!$C$5:$C$254,MATCH(D128,Pets!$D$5:$D$254,0)),""))</f>
        <v>0</v>
      </c>
      <c r="O128" s="49">
        <f>IF(N128="","",IF(N128&lt;TODAY(),"Overdue - refill now",IF(N128-TODAY()&lt;=ExpiryAlertDays,"Due in "&amp;TEXT(N128-TODAY(),"0")&amp;" days","OK")))</f>
        <v>0</v>
      </c>
      <c r="Q128" s="49">
        <f>IF(P128="","",IF(P128&lt;TODAY(),"Past",IF(P128-TODAY()&lt;=ExpiryAlertDays,"Due in "&amp;TEXT(P128-TODAY(),"0")&amp;" days","Booked")))</f>
        <v>0</v>
      </c>
      <c r="U128" s="28">
        <f>IF(B128="","",TEXT(B128,"yyyy-mm"))</f>
        <v>0</v>
      </c>
      <c r="V128" s="49">
        <f>IF(B128="","",IF(L128="Missed","Missed dose - tell the owner",IF(L128="Refused","Refused - monitor and report",IF(AND(L128="Scheduled",B128&lt;TODAY()),"Overdue - not recorded",IF(AND(S128&lt;&gt;"Yes",F128="Vet visit"),"Action - update the owner","OK")))))</f>
        <v>0</v>
      </c>
    </row>
    <row r="129" spans="1:22">
      <c r="A129" s="46">
        <f>IF(B129="","","HL-"&amp;TEXT(ROW()-4,"0000"))</f>
        <v>0</v>
      </c>
      <c r="E129" s="28">
        <f>IF(D129="","",IFERROR(INDEX(Pets!$C$5:$C$254,MATCH(D129,Pets!$D$5:$D$254,0)),""))</f>
        <v>0</v>
      </c>
      <c r="O129" s="49">
        <f>IF(N129="","",IF(N129&lt;TODAY(),"Overdue - refill now",IF(N129-TODAY()&lt;=ExpiryAlertDays,"Due in "&amp;TEXT(N129-TODAY(),"0")&amp;" days","OK")))</f>
        <v>0</v>
      </c>
      <c r="Q129" s="49">
        <f>IF(P129="","",IF(P129&lt;TODAY(),"Past",IF(P129-TODAY()&lt;=ExpiryAlertDays,"Due in "&amp;TEXT(P129-TODAY(),"0")&amp;" days","Booked")))</f>
        <v>0</v>
      </c>
      <c r="U129" s="28">
        <f>IF(B129="","",TEXT(B129,"yyyy-mm"))</f>
        <v>0</v>
      </c>
      <c r="V129" s="49">
        <f>IF(B129="","",IF(L129="Missed","Missed dose - tell the owner",IF(L129="Refused","Refused - monitor and report",IF(AND(L129="Scheduled",B129&lt;TODAY()),"Overdue - not recorded",IF(AND(S129&lt;&gt;"Yes",F129="Vet visit"),"Action - update the owner","OK")))))</f>
        <v>0</v>
      </c>
    </row>
    <row r="130" spans="1:22">
      <c r="A130" s="46">
        <f>IF(B130="","","HL-"&amp;TEXT(ROW()-4,"0000"))</f>
        <v>0</v>
      </c>
      <c r="E130" s="28">
        <f>IF(D130="","",IFERROR(INDEX(Pets!$C$5:$C$254,MATCH(D130,Pets!$D$5:$D$254,0)),""))</f>
        <v>0</v>
      </c>
      <c r="O130" s="49">
        <f>IF(N130="","",IF(N130&lt;TODAY(),"Overdue - refill now",IF(N130-TODAY()&lt;=ExpiryAlertDays,"Due in "&amp;TEXT(N130-TODAY(),"0")&amp;" days","OK")))</f>
        <v>0</v>
      </c>
      <c r="Q130" s="49">
        <f>IF(P130="","",IF(P130&lt;TODAY(),"Past",IF(P130-TODAY()&lt;=ExpiryAlertDays,"Due in "&amp;TEXT(P130-TODAY(),"0")&amp;" days","Booked")))</f>
        <v>0</v>
      </c>
      <c r="U130" s="28">
        <f>IF(B130="","",TEXT(B130,"yyyy-mm"))</f>
        <v>0</v>
      </c>
      <c r="V130" s="49">
        <f>IF(B130="","",IF(L130="Missed","Missed dose - tell the owner",IF(L130="Refused","Refused - monitor and report",IF(AND(L130="Scheduled",B130&lt;TODAY()),"Overdue - not recorded",IF(AND(S130&lt;&gt;"Yes",F130="Vet visit"),"Action - update the owner","OK")))))</f>
        <v>0</v>
      </c>
    </row>
    <row r="131" spans="1:22">
      <c r="A131" s="46">
        <f>IF(B131="","","HL-"&amp;TEXT(ROW()-4,"0000"))</f>
        <v>0</v>
      </c>
      <c r="E131" s="28">
        <f>IF(D131="","",IFERROR(INDEX(Pets!$C$5:$C$254,MATCH(D131,Pets!$D$5:$D$254,0)),""))</f>
        <v>0</v>
      </c>
      <c r="O131" s="49">
        <f>IF(N131="","",IF(N131&lt;TODAY(),"Overdue - refill now",IF(N131-TODAY()&lt;=ExpiryAlertDays,"Due in "&amp;TEXT(N131-TODAY(),"0")&amp;" days","OK")))</f>
        <v>0</v>
      </c>
      <c r="Q131" s="49">
        <f>IF(P131="","",IF(P131&lt;TODAY(),"Past",IF(P131-TODAY()&lt;=ExpiryAlertDays,"Due in "&amp;TEXT(P131-TODAY(),"0")&amp;" days","Booked")))</f>
        <v>0</v>
      </c>
      <c r="U131" s="28">
        <f>IF(B131="","",TEXT(B131,"yyyy-mm"))</f>
        <v>0</v>
      </c>
      <c r="V131" s="49">
        <f>IF(B131="","",IF(L131="Missed","Missed dose - tell the owner",IF(L131="Refused","Refused - monitor and report",IF(AND(L131="Scheduled",B131&lt;TODAY()),"Overdue - not recorded",IF(AND(S131&lt;&gt;"Yes",F131="Vet visit"),"Action - update the owner","OK")))))</f>
        <v>0</v>
      </c>
    </row>
    <row r="132" spans="1:22">
      <c r="A132" s="46">
        <f>IF(B132="","","HL-"&amp;TEXT(ROW()-4,"0000"))</f>
        <v>0</v>
      </c>
      <c r="E132" s="28">
        <f>IF(D132="","",IFERROR(INDEX(Pets!$C$5:$C$254,MATCH(D132,Pets!$D$5:$D$254,0)),""))</f>
        <v>0</v>
      </c>
      <c r="O132" s="49">
        <f>IF(N132="","",IF(N132&lt;TODAY(),"Overdue - refill now",IF(N132-TODAY()&lt;=ExpiryAlertDays,"Due in "&amp;TEXT(N132-TODAY(),"0")&amp;" days","OK")))</f>
        <v>0</v>
      </c>
      <c r="Q132" s="49">
        <f>IF(P132="","",IF(P132&lt;TODAY(),"Past",IF(P132-TODAY()&lt;=ExpiryAlertDays,"Due in "&amp;TEXT(P132-TODAY(),"0")&amp;" days","Booked")))</f>
        <v>0</v>
      </c>
      <c r="U132" s="28">
        <f>IF(B132="","",TEXT(B132,"yyyy-mm"))</f>
        <v>0</v>
      </c>
      <c r="V132" s="49">
        <f>IF(B132="","",IF(L132="Missed","Missed dose - tell the owner",IF(L132="Refused","Refused - monitor and report",IF(AND(L132="Scheduled",B132&lt;TODAY()),"Overdue - not recorded",IF(AND(S132&lt;&gt;"Yes",F132="Vet visit"),"Action - update the owner","OK")))))</f>
        <v>0</v>
      </c>
    </row>
    <row r="133" spans="1:22">
      <c r="A133" s="46">
        <f>IF(B133="","","HL-"&amp;TEXT(ROW()-4,"0000"))</f>
        <v>0</v>
      </c>
      <c r="E133" s="28">
        <f>IF(D133="","",IFERROR(INDEX(Pets!$C$5:$C$254,MATCH(D133,Pets!$D$5:$D$254,0)),""))</f>
        <v>0</v>
      </c>
      <c r="O133" s="49">
        <f>IF(N133="","",IF(N133&lt;TODAY(),"Overdue - refill now",IF(N133-TODAY()&lt;=ExpiryAlertDays,"Due in "&amp;TEXT(N133-TODAY(),"0")&amp;" days","OK")))</f>
        <v>0</v>
      </c>
      <c r="Q133" s="49">
        <f>IF(P133="","",IF(P133&lt;TODAY(),"Past",IF(P133-TODAY()&lt;=ExpiryAlertDays,"Due in "&amp;TEXT(P133-TODAY(),"0")&amp;" days","Booked")))</f>
        <v>0</v>
      </c>
      <c r="U133" s="28">
        <f>IF(B133="","",TEXT(B133,"yyyy-mm"))</f>
        <v>0</v>
      </c>
      <c r="V133" s="49">
        <f>IF(B133="","",IF(L133="Missed","Missed dose - tell the owner",IF(L133="Refused","Refused - monitor and report",IF(AND(L133="Scheduled",B133&lt;TODAY()),"Overdue - not recorded",IF(AND(S133&lt;&gt;"Yes",F133="Vet visit"),"Action - update the owner","OK")))))</f>
        <v>0</v>
      </c>
    </row>
    <row r="134" spans="1:22">
      <c r="A134" s="46">
        <f>IF(B134="","","HL-"&amp;TEXT(ROW()-4,"0000"))</f>
        <v>0</v>
      </c>
      <c r="E134" s="28">
        <f>IF(D134="","",IFERROR(INDEX(Pets!$C$5:$C$254,MATCH(D134,Pets!$D$5:$D$254,0)),""))</f>
        <v>0</v>
      </c>
      <c r="O134" s="49">
        <f>IF(N134="","",IF(N134&lt;TODAY(),"Overdue - refill now",IF(N134-TODAY()&lt;=ExpiryAlertDays,"Due in "&amp;TEXT(N134-TODAY(),"0")&amp;" days","OK")))</f>
        <v>0</v>
      </c>
      <c r="Q134" s="49">
        <f>IF(P134="","",IF(P134&lt;TODAY(),"Past",IF(P134-TODAY()&lt;=ExpiryAlertDays,"Due in "&amp;TEXT(P134-TODAY(),"0")&amp;" days","Booked")))</f>
        <v>0</v>
      </c>
      <c r="U134" s="28">
        <f>IF(B134="","",TEXT(B134,"yyyy-mm"))</f>
        <v>0</v>
      </c>
      <c r="V134" s="49">
        <f>IF(B134="","",IF(L134="Missed","Missed dose - tell the owner",IF(L134="Refused","Refused - monitor and report",IF(AND(L134="Scheduled",B134&lt;TODAY()),"Overdue - not recorded",IF(AND(S134&lt;&gt;"Yes",F134="Vet visit"),"Action - update the owner","OK")))))</f>
        <v>0</v>
      </c>
    </row>
    <row r="135" spans="1:22">
      <c r="A135" s="46">
        <f>IF(B135="","","HL-"&amp;TEXT(ROW()-4,"0000"))</f>
        <v>0</v>
      </c>
      <c r="E135" s="28">
        <f>IF(D135="","",IFERROR(INDEX(Pets!$C$5:$C$254,MATCH(D135,Pets!$D$5:$D$254,0)),""))</f>
        <v>0</v>
      </c>
      <c r="O135" s="49">
        <f>IF(N135="","",IF(N135&lt;TODAY(),"Overdue - refill now",IF(N135-TODAY()&lt;=ExpiryAlertDays,"Due in "&amp;TEXT(N135-TODAY(),"0")&amp;" days","OK")))</f>
        <v>0</v>
      </c>
      <c r="Q135" s="49">
        <f>IF(P135="","",IF(P135&lt;TODAY(),"Past",IF(P135-TODAY()&lt;=ExpiryAlertDays,"Due in "&amp;TEXT(P135-TODAY(),"0")&amp;" days","Booked")))</f>
        <v>0</v>
      </c>
      <c r="U135" s="28">
        <f>IF(B135="","",TEXT(B135,"yyyy-mm"))</f>
        <v>0</v>
      </c>
      <c r="V135" s="49">
        <f>IF(B135="","",IF(L135="Missed","Missed dose - tell the owner",IF(L135="Refused","Refused - monitor and report",IF(AND(L135="Scheduled",B135&lt;TODAY()),"Overdue - not recorded",IF(AND(S135&lt;&gt;"Yes",F135="Vet visit"),"Action - update the owner","OK")))))</f>
        <v>0</v>
      </c>
    </row>
    <row r="136" spans="1:22">
      <c r="A136" s="46">
        <f>IF(B136="","","HL-"&amp;TEXT(ROW()-4,"0000"))</f>
        <v>0</v>
      </c>
      <c r="E136" s="28">
        <f>IF(D136="","",IFERROR(INDEX(Pets!$C$5:$C$254,MATCH(D136,Pets!$D$5:$D$254,0)),""))</f>
        <v>0</v>
      </c>
      <c r="O136" s="49">
        <f>IF(N136="","",IF(N136&lt;TODAY(),"Overdue - refill now",IF(N136-TODAY()&lt;=ExpiryAlertDays,"Due in "&amp;TEXT(N136-TODAY(),"0")&amp;" days","OK")))</f>
        <v>0</v>
      </c>
      <c r="Q136" s="49">
        <f>IF(P136="","",IF(P136&lt;TODAY(),"Past",IF(P136-TODAY()&lt;=ExpiryAlertDays,"Due in "&amp;TEXT(P136-TODAY(),"0")&amp;" days","Booked")))</f>
        <v>0</v>
      </c>
      <c r="U136" s="28">
        <f>IF(B136="","",TEXT(B136,"yyyy-mm"))</f>
        <v>0</v>
      </c>
      <c r="V136" s="49">
        <f>IF(B136="","",IF(L136="Missed","Missed dose - tell the owner",IF(L136="Refused","Refused - monitor and report",IF(AND(L136="Scheduled",B136&lt;TODAY()),"Overdue - not recorded",IF(AND(S136&lt;&gt;"Yes",F136="Vet visit"),"Action - update the owner","OK")))))</f>
        <v>0</v>
      </c>
    </row>
    <row r="137" spans="1:22">
      <c r="A137" s="46">
        <f>IF(B137="","","HL-"&amp;TEXT(ROW()-4,"0000"))</f>
        <v>0</v>
      </c>
      <c r="E137" s="28">
        <f>IF(D137="","",IFERROR(INDEX(Pets!$C$5:$C$254,MATCH(D137,Pets!$D$5:$D$254,0)),""))</f>
        <v>0</v>
      </c>
      <c r="O137" s="49">
        <f>IF(N137="","",IF(N137&lt;TODAY(),"Overdue - refill now",IF(N137-TODAY()&lt;=ExpiryAlertDays,"Due in "&amp;TEXT(N137-TODAY(),"0")&amp;" days","OK")))</f>
        <v>0</v>
      </c>
      <c r="Q137" s="49">
        <f>IF(P137="","",IF(P137&lt;TODAY(),"Past",IF(P137-TODAY()&lt;=ExpiryAlertDays,"Due in "&amp;TEXT(P137-TODAY(),"0")&amp;" days","Booked")))</f>
        <v>0</v>
      </c>
      <c r="U137" s="28">
        <f>IF(B137="","",TEXT(B137,"yyyy-mm"))</f>
        <v>0</v>
      </c>
      <c r="V137" s="49">
        <f>IF(B137="","",IF(L137="Missed","Missed dose - tell the owner",IF(L137="Refused","Refused - monitor and report",IF(AND(L137="Scheduled",B137&lt;TODAY()),"Overdue - not recorded",IF(AND(S137&lt;&gt;"Yes",F137="Vet visit"),"Action - update the owner","OK")))))</f>
        <v>0</v>
      </c>
    </row>
    <row r="138" spans="1:22">
      <c r="A138" s="46">
        <f>IF(B138="","","HL-"&amp;TEXT(ROW()-4,"0000"))</f>
        <v>0</v>
      </c>
      <c r="E138" s="28">
        <f>IF(D138="","",IFERROR(INDEX(Pets!$C$5:$C$254,MATCH(D138,Pets!$D$5:$D$254,0)),""))</f>
        <v>0</v>
      </c>
      <c r="O138" s="49">
        <f>IF(N138="","",IF(N138&lt;TODAY(),"Overdue - refill now",IF(N138-TODAY()&lt;=ExpiryAlertDays,"Due in "&amp;TEXT(N138-TODAY(),"0")&amp;" days","OK")))</f>
        <v>0</v>
      </c>
      <c r="Q138" s="49">
        <f>IF(P138="","",IF(P138&lt;TODAY(),"Past",IF(P138-TODAY()&lt;=ExpiryAlertDays,"Due in "&amp;TEXT(P138-TODAY(),"0")&amp;" days","Booked")))</f>
        <v>0</v>
      </c>
      <c r="U138" s="28">
        <f>IF(B138="","",TEXT(B138,"yyyy-mm"))</f>
        <v>0</v>
      </c>
      <c r="V138" s="49">
        <f>IF(B138="","",IF(L138="Missed","Missed dose - tell the owner",IF(L138="Refused","Refused - monitor and report",IF(AND(L138="Scheduled",B138&lt;TODAY()),"Overdue - not recorded",IF(AND(S138&lt;&gt;"Yes",F138="Vet visit"),"Action - update the owner","OK")))))</f>
        <v>0</v>
      </c>
    </row>
    <row r="139" spans="1:22">
      <c r="A139" s="46">
        <f>IF(B139="","","HL-"&amp;TEXT(ROW()-4,"0000"))</f>
        <v>0</v>
      </c>
      <c r="E139" s="28">
        <f>IF(D139="","",IFERROR(INDEX(Pets!$C$5:$C$254,MATCH(D139,Pets!$D$5:$D$254,0)),""))</f>
        <v>0</v>
      </c>
      <c r="O139" s="49">
        <f>IF(N139="","",IF(N139&lt;TODAY(),"Overdue - refill now",IF(N139-TODAY()&lt;=ExpiryAlertDays,"Due in "&amp;TEXT(N139-TODAY(),"0")&amp;" days","OK")))</f>
        <v>0</v>
      </c>
      <c r="Q139" s="49">
        <f>IF(P139="","",IF(P139&lt;TODAY(),"Past",IF(P139-TODAY()&lt;=ExpiryAlertDays,"Due in "&amp;TEXT(P139-TODAY(),"0")&amp;" days","Booked")))</f>
        <v>0</v>
      </c>
      <c r="U139" s="28">
        <f>IF(B139="","",TEXT(B139,"yyyy-mm"))</f>
        <v>0</v>
      </c>
      <c r="V139" s="49">
        <f>IF(B139="","",IF(L139="Missed","Missed dose - tell the owner",IF(L139="Refused","Refused - monitor and report",IF(AND(L139="Scheduled",B139&lt;TODAY()),"Overdue - not recorded",IF(AND(S139&lt;&gt;"Yes",F139="Vet visit"),"Action - update the owner","OK")))))</f>
        <v>0</v>
      </c>
    </row>
    <row r="140" spans="1:22">
      <c r="A140" s="46">
        <f>IF(B140="","","HL-"&amp;TEXT(ROW()-4,"0000"))</f>
        <v>0</v>
      </c>
      <c r="E140" s="28">
        <f>IF(D140="","",IFERROR(INDEX(Pets!$C$5:$C$254,MATCH(D140,Pets!$D$5:$D$254,0)),""))</f>
        <v>0</v>
      </c>
      <c r="O140" s="49">
        <f>IF(N140="","",IF(N140&lt;TODAY(),"Overdue - refill now",IF(N140-TODAY()&lt;=ExpiryAlertDays,"Due in "&amp;TEXT(N140-TODAY(),"0")&amp;" days","OK")))</f>
        <v>0</v>
      </c>
      <c r="Q140" s="49">
        <f>IF(P140="","",IF(P140&lt;TODAY(),"Past",IF(P140-TODAY()&lt;=ExpiryAlertDays,"Due in "&amp;TEXT(P140-TODAY(),"0")&amp;" days","Booked")))</f>
        <v>0</v>
      </c>
      <c r="U140" s="28">
        <f>IF(B140="","",TEXT(B140,"yyyy-mm"))</f>
        <v>0</v>
      </c>
      <c r="V140" s="49">
        <f>IF(B140="","",IF(L140="Missed","Missed dose - tell the owner",IF(L140="Refused","Refused - monitor and report",IF(AND(L140="Scheduled",B140&lt;TODAY()),"Overdue - not recorded",IF(AND(S140&lt;&gt;"Yes",F140="Vet visit"),"Action - update the owner","OK")))))</f>
        <v>0</v>
      </c>
    </row>
    <row r="141" spans="1:22">
      <c r="A141" s="46">
        <f>IF(B141="","","HL-"&amp;TEXT(ROW()-4,"0000"))</f>
        <v>0</v>
      </c>
      <c r="E141" s="28">
        <f>IF(D141="","",IFERROR(INDEX(Pets!$C$5:$C$254,MATCH(D141,Pets!$D$5:$D$254,0)),""))</f>
        <v>0</v>
      </c>
      <c r="O141" s="49">
        <f>IF(N141="","",IF(N141&lt;TODAY(),"Overdue - refill now",IF(N141-TODAY()&lt;=ExpiryAlertDays,"Due in "&amp;TEXT(N141-TODAY(),"0")&amp;" days","OK")))</f>
        <v>0</v>
      </c>
      <c r="Q141" s="49">
        <f>IF(P141="","",IF(P141&lt;TODAY(),"Past",IF(P141-TODAY()&lt;=ExpiryAlertDays,"Due in "&amp;TEXT(P141-TODAY(),"0")&amp;" days","Booked")))</f>
        <v>0</v>
      </c>
      <c r="U141" s="28">
        <f>IF(B141="","",TEXT(B141,"yyyy-mm"))</f>
        <v>0</v>
      </c>
      <c r="V141" s="49">
        <f>IF(B141="","",IF(L141="Missed","Missed dose - tell the owner",IF(L141="Refused","Refused - monitor and report",IF(AND(L141="Scheduled",B141&lt;TODAY()),"Overdue - not recorded",IF(AND(S141&lt;&gt;"Yes",F141="Vet visit"),"Action - update the owner","OK")))))</f>
        <v>0</v>
      </c>
    </row>
    <row r="142" spans="1:22">
      <c r="A142" s="46">
        <f>IF(B142="","","HL-"&amp;TEXT(ROW()-4,"0000"))</f>
        <v>0</v>
      </c>
      <c r="E142" s="28">
        <f>IF(D142="","",IFERROR(INDEX(Pets!$C$5:$C$254,MATCH(D142,Pets!$D$5:$D$254,0)),""))</f>
        <v>0</v>
      </c>
      <c r="O142" s="49">
        <f>IF(N142="","",IF(N142&lt;TODAY(),"Overdue - refill now",IF(N142-TODAY()&lt;=ExpiryAlertDays,"Due in "&amp;TEXT(N142-TODAY(),"0")&amp;" days","OK")))</f>
        <v>0</v>
      </c>
      <c r="Q142" s="49">
        <f>IF(P142="","",IF(P142&lt;TODAY(),"Past",IF(P142-TODAY()&lt;=ExpiryAlertDays,"Due in "&amp;TEXT(P142-TODAY(),"0")&amp;" days","Booked")))</f>
        <v>0</v>
      </c>
      <c r="U142" s="28">
        <f>IF(B142="","",TEXT(B142,"yyyy-mm"))</f>
        <v>0</v>
      </c>
      <c r="V142" s="49">
        <f>IF(B142="","",IF(L142="Missed","Missed dose - tell the owner",IF(L142="Refused","Refused - monitor and report",IF(AND(L142="Scheduled",B142&lt;TODAY()),"Overdue - not recorded",IF(AND(S142&lt;&gt;"Yes",F142="Vet visit"),"Action - update the owner","OK")))))</f>
        <v>0</v>
      </c>
    </row>
    <row r="143" spans="1:22">
      <c r="A143" s="46">
        <f>IF(B143="","","HL-"&amp;TEXT(ROW()-4,"0000"))</f>
        <v>0</v>
      </c>
      <c r="E143" s="28">
        <f>IF(D143="","",IFERROR(INDEX(Pets!$C$5:$C$254,MATCH(D143,Pets!$D$5:$D$254,0)),""))</f>
        <v>0</v>
      </c>
      <c r="O143" s="49">
        <f>IF(N143="","",IF(N143&lt;TODAY(),"Overdue - refill now",IF(N143-TODAY()&lt;=ExpiryAlertDays,"Due in "&amp;TEXT(N143-TODAY(),"0")&amp;" days","OK")))</f>
        <v>0</v>
      </c>
      <c r="Q143" s="49">
        <f>IF(P143="","",IF(P143&lt;TODAY(),"Past",IF(P143-TODAY()&lt;=ExpiryAlertDays,"Due in "&amp;TEXT(P143-TODAY(),"0")&amp;" days","Booked")))</f>
        <v>0</v>
      </c>
      <c r="U143" s="28">
        <f>IF(B143="","",TEXT(B143,"yyyy-mm"))</f>
        <v>0</v>
      </c>
      <c r="V143" s="49">
        <f>IF(B143="","",IF(L143="Missed","Missed dose - tell the owner",IF(L143="Refused","Refused - monitor and report",IF(AND(L143="Scheduled",B143&lt;TODAY()),"Overdue - not recorded",IF(AND(S143&lt;&gt;"Yes",F143="Vet visit"),"Action - update the owner","OK")))))</f>
        <v>0</v>
      </c>
    </row>
    <row r="144" spans="1:22">
      <c r="A144" s="46">
        <f>IF(B144="","","HL-"&amp;TEXT(ROW()-4,"0000"))</f>
        <v>0</v>
      </c>
      <c r="E144" s="28">
        <f>IF(D144="","",IFERROR(INDEX(Pets!$C$5:$C$254,MATCH(D144,Pets!$D$5:$D$254,0)),""))</f>
        <v>0</v>
      </c>
      <c r="O144" s="49">
        <f>IF(N144="","",IF(N144&lt;TODAY(),"Overdue - refill now",IF(N144-TODAY()&lt;=ExpiryAlertDays,"Due in "&amp;TEXT(N144-TODAY(),"0")&amp;" days","OK")))</f>
        <v>0</v>
      </c>
      <c r="Q144" s="49">
        <f>IF(P144="","",IF(P144&lt;TODAY(),"Past",IF(P144-TODAY()&lt;=ExpiryAlertDays,"Due in "&amp;TEXT(P144-TODAY(),"0")&amp;" days","Booked")))</f>
        <v>0</v>
      </c>
      <c r="U144" s="28">
        <f>IF(B144="","",TEXT(B144,"yyyy-mm"))</f>
        <v>0</v>
      </c>
      <c r="V144" s="49">
        <f>IF(B144="","",IF(L144="Missed","Missed dose - tell the owner",IF(L144="Refused","Refused - monitor and report",IF(AND(L144="Scheduled",B144&lt;TODAY()),"Overdue - not recorded",IF(AND(S144&lt;&gt;"Yes",F144="Vet visit"),"Action - update the owner","OK")))))</f>
        <v>0</v>
      </c>
    </row>
    <row r="145" spans="1:22">
      <c r="A145" s="46">
        <f>IF(B145="","","HL-"&amp;TEXT(ROW()-4,"0000"))</f>
        <v>0</v>
      </c>
      <c r="E145" s="28">
        <f>IF(D145="","",IFERROR(INDEX(Pets!$C$5:$C$254,MATCH(D145,Pets!$D$5:$D$254,0)),""))</f>
        <v>0</v>
      </c>
      <c r="O145" s="49">
        <f>IF(N145="","",IF(N145&lt;TODAY(),"Overdue - refill now",IF(N145-TODAY()&lt;=ExpiryAlertDays,"Due in "&amp;TEXT(N145-TODAY(),"0")&amp;" days","OK")))</f>
        <v>0</v>
      </c>
      <c r="Q145" s="49">
        <f>IF(P145="","",IF(P145&lt;TODAY(),"Past",IF(P145-TODAY()&lt;=ExpiryAlertDays,"Due in "&amp;TEXT(P145-TODAY(),"0")&amp;" days","Booked")))</f>
        <v>0</v>
      </c>
      <c r="U145" s="28">
        <f>IF(B145="","",TEXT(B145,"yyyy-mm"))</f>
        <v>0</v>
      </c>
      <c r="V145" s="49">
        <f>IF(B145="","",IF(L145="Missed","Missed dose - tell the owner",IF(L145="Refused","Refused - monitor and report",IF(AND(L145="Scheduled",B145&lt;TODAY()),"Overdue - not recorded",IF(AND(S145&lt;&gt;"Yes",F145="Vet visit"),"Action - update the owner","OK")))))</f>
        <v>0</v>
      </c>
    </row>
    <row r="146" spans="1:22">
      <c r="A146" s="46">
        <f>IF(B146="","","HL-"&amp;TEXT(ROW()-4,"0000"))</f>
        <v>0</v>
      </c>
      <c r="E146" s="28">
        <f>IF(D146="","",IFERROR(INDEX(Pets!$C$5:$C$254,MATCH(D146,Pets!$D$5:$D$254,0)),""))</f>
        <v>0</v>
      </c>
      <c r="O146" s="49">
        <f>IF(N146="","",IF(N146&lt;TODAY(),"Overdue - refill now",IF(N146-TODAY()&lt;=ExpiryAlertDays,"Due in "&amp;TEXT(N146-TODAY(),"0")&amp;" days","OK")))</f>
        <v>0</v>
      </c>
      <c r="Q146" s="49">
        <f>IF(P146="","",IF(P146&lt;TODAY(),"Past",IF(P146-TODAY()&lt;=ExpiryAlertDays,"Due in "&amp;TEXT(P146-TODAY(),"0")&amp;" days","Booked")))</f>
        <v>0</v>
      </c>
      <c r="U146" s="28">
        <f>IF(B146="","",TEXT(B146,"yyyy-mm"))</f>
        <v>0</v>
      </c>
      <c r="V146" s="49">
        <f>IF(B146="","",IF(L146="Missed","Missed dose - tell the owner",IF(L146="Refused","Refused - monitor and report",IF(AND(L146="Scheduled",B146&lt;TODAY()),"Overdue - not recorded",IF(AND(S146&lt;&gt;"Yes",F146="Vet visit"),"Action - update the owner","OK")))))</f>
        <v>0</v>
      </c>
    </row>
    <row r="147" spans="1:22">
      <c r="A147" s="46">
        <f>IF(B147="","","HL-"&amp;TEXT(ROW()-4,"0000"))</f>
        <v>0</v>
      </c>
      <c r="E147" s="28">
        <f>IF(D147="","",IFERROR(INDEX(Pets!$C$5:$C$254,MATCH(D147,Pets!$D$5:$D$254,0)),""))</f>
        <v>0</v>
      </c>
      <c r="O147" s="49">
        <f>IF(N147="","",IF(N147&lt;TODAY(),"Overdue - refill now",IF(N147-TODAY()&lt;=ExpiryAlertDays,"Due in "&amp;TEXT(N147-TODAY(),"0")&amp;" days","OK")))</f>
        <v>0</v>
      </c>
      <c r="Q147" s="49">
        <f>IF(P147="","",IF(P147&lt;TODAY(),"Past",IF(P147-TODAY()&lt;=ExpiryAlertDays,"Due in "&amp;TEXT(P147-TODAY(),"0")&amp;" days","Booked")))</f>
        <v>0</v>
      </c>
      <c r="U147" s="28">
        <f>IF(B147="","",TEXT(B147,"yyyy-mm"))</f>
        <v>0</v>
      </c>
      <c r="V147" s="49">
        <f>IF(B147="","",IF(L147="Missed","Missed dose - tell the owner",IF(L147="Refused","Refused - monitor and report",IF(AND(L147="Scheduled",B147&lt;TODAY()),"Overdue - not recorded",IF(AND(S147&lt;&gt;"Yes",F147="Vet visit"),"Action - update the owner","OK")))))</f>
        <v>0</v>
      </c>
    </row>
    <row r="148" spans="1:22">
      <c r="A148" s="46">
        <f>IF(B148="","","HL-"&amp;TEXT(ROW()-4,"0000"))</f>
        <v>0</v>
      </c>
      <c r="E148" s="28">
        <f>IF(D148="","",IFERROR(INDEX(Pets!$C$5:$C$254,MATCH(D148,Pets!$D$5:$D$254,0)),""))</f>
        <v>0</v>
      </c>
      <c r="O148" s="49">
        <f>IF(N148="","",IF(N148&lt;TODAY(),"Overdue - refill now",IF(N148-TODAY()&lt;=ExpiryAlertDays,"Due in "&amp;TEXT(N148-TODAY(),"0")&amp;" days","OK")))</f>
        <v>0</v>
      </c>
      <c r="Q148" s="49">
        <f>IF(P148="","",IF(P148&lt;TODAY(),"Past",IF(P148-TODAY()&lt;=ExpiryAlertDays,"Due in "&amp;TEXT(P148-TODAY(),"0")&amp;" days","Booked")))</f>
        <v>0</v>
      </c>
      <c r="U148" s="28">
        <f>IF(B148="","",TEXT(B148,"yyyy-mm"))</f>
        <v>0</v>
      </c>
      <c r="V148" s="49">
        <f>IF(B148="","",IF(L148="Missed","Missed dose - tell the owner",IF(L148="Refused","Refused - monitor and report",IF(AND(L148="Scheduled",B148&lt;TODAY()),"Overdue - not recorded",IF(AND(S148&lt;&gt;"Yes",F148="Vet visit"),"Action - update the owner","OK")))))</f>
        <v>0</v>
      </c>
    </row>
    <row r="149" spans="1:22">
      <c r="A149" s="46">
        <f>IF(B149="","","HL-"&amp;TEXT(ROW()-4,"0000"))</f>
        <v>0</v>
      </c>
      <c r="E149" s="28">
        <f>IF(D149="","",IFERROR(INDEX(Pets!$C$5:$C$254,MATCH(D149,Pets!$D$5:$D$254,0)),""))</f>
        <v>0</v>
      </c>
      <c r="O149" s="49">
        <f>IF(N149="","",IF(N149&lt;TODAY(),"Overdue - refill now",IF(N149-TODAY()&lt;=ExpiryAlertDays,"Due in "&amp;TEXT(N149-TODAY(),"0")&amp;" days","OK")))</f>
        <v>0</v>
      </c>
      <c r="Q149" s="49">
        <f>IF(P149="","",IF(P149&lt;TODAY(),"Past",IF(P149-TODAY()&lt;=ExpiryAlertDays,"Due in "&amp;TEXT(P149-TODAY(),"0")&amp;" days","Booked")))</f>
        <v>0</v>
      </c>
      <c r="U149" s="28">
        <f>IF(B149="","",TEXT(B149,"yyyy-mm"))</f>
        <v>0</v>
      </c>
      <c r="V149" s="49">
        <f>IF(B149="","",IF(L149="Missed","Missed dose - tell the owner",IF(L149="Refused","Refused - monitor and report",IF(AND(L149="Scheduled",B149&lt;TODAY()),"Overdue - not recorded",IF(AND(S149&lt;&gt;"Yes",F149="Vet visit"),"Action - update the owner","OK")))))</f>
        <v>0</v>
      </c>
    </row>
    <row r="150" spans="1:22">
      <c r="A150" s="46">
        <f>IF(B150="","","HL-"&amp;TEXT(ROW()-4,"0000"))</f>
        <v>0</v>
      </c>
      <c r="E150" s="28">
        <f>IF(D150="","",IFERROR(INDEX(Pets!$C$5:$C$254,MATCH(D150,Pets!$D$5:$D$254,0)),""))</f>
        <v>0</v>
      </c>
      <c r="O150" s="49">
        <f>IF(N150="","",IF(N150&lt;TODAY(),"Overdue - refill now",IF(N150-TODAY()&lt;=ExpiryAlertDays,"Due in "&amp;TEXT(N150-TODAY(),"0")&amp;" days","OK")))</f>
        <v>0</v>
      </c>
      <c r="Q150" s="49">
        <f>IF(P150="","",IF(P150&lt;TODAY(),"Past",IF(P150-TODAY()&lt;=ExpiryAlertDays,"Due in "&amp;TEXT(P150-TODAY(),"0")&amp;" days","Booked")))</f>
        <v>0</v>
      </c>
      <c r="U150" s="28">
        <f>IF(B150="","",TEXT(B150,"yyyy-mm"))</f>
        <v>0</v>
      </c>
      <c r="V150" s="49">
        <f>IF(B150="","",IF(L150="Missed","Missed dose - tell the owner",IF(L150="Refused","Refused - monitor and report",IF(AND(L150="Scheduled",B150&lt;TODAY()),"Overdue - not recorded",IF(AND(S150&lt;&gt;"Yes",F150="Vet visit"),"Action - update the owner","OK")))))</f>
        <v>0</v>
      </c>
    </row>
    <row r="151" spans="1:22">
      <c r="A151" s="46">
        <f>IF(B151="","","HL-"&amp;TEXT(ROW()-4,"0000"))</f>
        <v>0</v>
      </c>
      <c r="E151" s="28">
        <f>IF(D151="","",IFERROR(INDEX(Pets!$C$5:$C$254,MATCH(D151,Pets!$D$5:$D$254,0)),""))</f>
        <v>0</v>
      </c>
      <c r="O151" s="49">
        <f>IF(N151="","",IF(N151&lt;TODAY(),"Overdue - refill now",IF(N151-TODAY()&lt;=ExpiryAlertDays,"Due in "&amp;TEXT(N151-TODAY(),"0")&amp;" days","OK")))</f>
        <v>0</v>
      </c>
      <c r="Q151" s="49">
        <f>IF(P151="","",IF(P151&lt;TODAY(),"Past",IF(P151-TODAY()&lt;=ExpiryAlertDays,"Due in "&amp;TEXT(P151-TODAY(),"0")&amp;" days","Booked")))</f>
        <v>0</v>
      </c>
      <c r="U151" s="28">
        <f>IF(B151="","",TEXT(B151,"yyyy-mm"))</f>
        <v>0</v>
      </c>
      <c r="V151" s="49">
        <f>IF(B151="","",IF(L151="Missed","Missed dose - tell the owner",IF(L151="Refused","Refused - monitor and report",IF(AND(L151="Scheduled",B151&lt;TODAY()),"Overdue - not recorded",IF(AND(S151&lt;&gt;"Yes",F151="Vet visit"),"Action - update the owner","OK")))))</f>
        <v>0</v>
      </c>
    </row>
    <row r="152" spans="1:22">
      <c r="A152" s="46">
        <f>IF(B152="","","HL-"&amp;TEXT(ROW()-4,"0000"))</f>
        <v>0</v>
      </c>
      <c r="E152" s="28">
        <f>IF(D152="","",IFERROR(INDEX(Pets!$C$5:$C$254,MATCH(D152,Pets!$D$5:$D$254,0)),""))</f>
        <v>0</v>
      </c>
      <c r="O152" s="49">
        <f>IF(N152="","",IF(N152&lt;TODAY(),"Overdue - refill now",IF(N152-TODAY()&lt;=ExpiryAlertDays,"Due in "&amp;TEXT(N152-TODAY(),"0")&amp;" days","OK")))</f>
        <v>0</v>
      </c>
      <c r="Q152" s="49">
        <f>IF(P152="","",IF(P152&lt;TODAY(),"Past",IF(P152-TODAY()&lt;=ExpiryAlertDays,"Due in "&amp;TEXT(P152-TODAY(),"0")&amp;" days","Booked")))</f>
        <v>0</v>
      </c>
      <c r="U152" s="28">
        <f>IF(B152="","",TEXT(B152,"yyyy-mm"))</f>
        <v>0</v>
      </c>
      <c r="V152" s="49">
        <f>IF(B152="","",IF(L152="Missed","Missed dose - tell the owner",IF(L152="Refused","Refused - monitor and report",IF(AND(L152="Scheduled",B152&lt;TODAY()),"Overdue - not recorded",IF(AND(S152&lt;&gt;"Yes",F152="Vet visit"),"Action - update the owner","OK")))))</f>
        <v>0</v>
      </c>
    </row>
    <row r="153" spans="1:22">
      <c r="A153" s="46">
        <f>IF(B153="","","HL-"&amp;TEXT(ROW()-4,"0000"))</f>
        <v>0</v>
      </c>
      <c r="E153" s="28">
        <f>IF(D153="","",IFERROR(INDEX(Pets!$C$5:$C$254,MATCH(D153,Pets!$D$5:$D$254,0)),""))</f>
        <v>0</v>
      </c>
      <c r="O153" s="49">
        <f>IF(N153="","",IF(N153&lt;TODAY(),"Overdue - refill now",IF(N153-TODAY()&lt;=ExpiryAlertDays,"Due in "&amp;TEXT(N153-TODAY(),"0")&amp;" days","OK")))</f>
        <v>0</v>
      </c>
      <c r="Q153" s="49">
        <f>IF(P153="","",IF(P153&lt;TODAY(),"Past",IF(P153-TODAY()&lt;=ExpiryAlertDays,"Due in "&amp;TEXT(P153-TODAY(),"0")&amp;" days","Booked")))</f>
        <v>0</v>
      </c>
      <c r="U153" s="28">
        <f>IF(B153="","",TEXT(B153,"yyyy-mm"))</f>
        <v>0</v>
      </c>
      <c r="V153" s="49">
        <f>IF(B153="","",IF(L153="Missed","Missed dose - tell the owner",IF(L153="Refused","Refused - monitor and report",IF(AND(L153="Scheduled",B153&lt;TODAY()),"Overdue - not recorded",IF(AND(S153&lt;&gt;"Yes",F153="Vet visit"),"Action - update the owner","OK")))))</f>
        <v>0</v>
      </c>
    </row>
    <row r="154" spans="1:22">
      <c r="A154" s="46">
        <f>IF(B154="","","HL-"&amp;TEXT(ROW()-4,"0000"))</f>
        <v>0</v>
      </c>
      <c r="E154" s="28">
        <f>IF(D154="","",IFERROR(INDEX(Pets!$C$5:$C$254,MATCH(D154,Pets!$D$5:$D$254,0)),""))</f>
        <v>0</v>
      </c>
      <c r="O154" s="49">
        <f>IF(N154="","",IF(N154&lt;TODAY(),"Overdue - refill now",IF(N154-TODAY()&lt;=ExpiryAlertDays,"Due in "&amp;TEXT(N154-TODAY(),"0")&amp;" days","OK")))</f>
        <v>0</v>
      </c>
      <c r="Q154" s="49">
        <f>IF(P154="","",IF(P154&lt;TODAY(),"Past",IF(P154-TODAY()&lt;=ExpiryAlertDays,"Due in "&amp;TEXT(P154-TODAY(),"0")&amp;" days","Booked")))</f>
        <v>0</v>
      </c>
      <c r="U154" s="28">
        <f>IF(B154="","",TEXT(B154,"yyyy-mm"))</f>
        <v>0</v>
      </c>
      <c r="V154" s="49">
        <f>IF(B154="","",IF(L154="Missed","Missed dose - tell the owner",IF(L154="Refused","Refused - monitor and report",IF(AND(L154="Scheduled",B154&lt;TODAY()),"Overdue - not recorded",IF(AND(S154&lt;&gt;"Yes",F154="Vet visit"),"Action - update the owner","OK")))))</f>
        <v>0</v>
      </c>
    </row>
    <row r="155" spans="1:22">
      <c r="A155" s="46">
        <f>IF(B155="","","HL-"&amp;TEXT(ROW()-4,"0000"))</f>
        <v>0</v>
      </c>
      <c r="E155" s="28">
        <f>IF(D155="","",IFERROR(INDEX(Pets!$C$5:$C$254,MATCH(D155,Pets!$D$5:$D$254,0)),""))</f>
        <v>0</v>
      </c>
      <c r="O155" s="49">
        <f>IF(N155="","",IF(N155&lt;TODAY(),"Overdue - refill now",IF(N155-TODAY()&lt;=ExpiryAlertDays,"Due in "&amp;TEXT(N155-TODAY(),"0")&amp;" days","OK")))</f>
        <v>0</v>
      </c>
      <c r="Q155" s="49">
        <f>IF(P155="","",IF(P155&lt;TODAY(),"Past",IF(P155-TODAY()&lt;=ExpiryAlertDays,"Due in "&amp;TEXT(P155-TODAY(),"0")&amp;" days","Booked")))</f>
        <v>0</v>
      </c>
      <c r="U155" s="28">
        <f>IF(B155="","",TEXT(B155,"yyyy-mm"))</f>
        <v>0</v>
      </c>
      <c r="V155" s="49">
        <f>IF(B155="","",IF(L155="Missed","Missed dose - tell the owner",IF(L155="Refused","Refused - monitor and report",IF(AND(L155="Scheduled",B155&lt;TODAY()),"Overdue - not recorded",IF(AND(S155&lt;&gt;"Yes",F155="Vet visit"),"Action - update the owner","OK")))))</f>
        <v>0</v>
      </c>
    </row>
    <row r="156" spans="1:22">
      <c r="A156" s="46">
        <f>IF(B156="","","HL-"&amp;TEXT(ROW()-4,"0000"))</f>
        <v>0</v>
      </c>
      <c r="E156" s="28">
        <f>IF(D156="","",IFERROR(INDEX(Pets!$C$5:$C$254,MATCH(D156,Pets!$D$5:$D$254,0)),""))</f>
        <v>0</v>
      </c>
      <c r="O156" s="49">
        <f>IF(N156="","",IF(N156&lt;TODAY(),"Overdue - refill now",IF(N156-TODAY()&lt;=ExpiryAlertDays,"Due in "&amp;TEXT(N156-TODAY(),"0")&amp;" days","OK")))</f>
        <v>0</v>
      </c>
      <c r="Q156" s="49">
        <f>IF(P156="","",IF(P156&lt;TODAY(),"Past",IF(P156-TODAY()&lt;=ExpiryAlertDays,"Due in "&amp;TEXT(P156-TODAY(),"0")&amp;" days","Booked")))</f>
        <v>0</v>
      </c>
      <c r="U156" s="28">
        <f>IF(B156="","",TEXT(B156,"yyyy-mm"))</f>
        <v>0</v>
      </c>
      <c r="V156" s="49">
        <f>IF(B156="","",IF(L156="Missed","Missed dose - tell the owner",IF(L156="Refused","Refused - monitor and report",IF(AND(L156="Scheduled",B156&lt;TODAY()),"Overdue - not recorded",IF(AND(S156&lt;&gt;"Yes",F156="Vet visit"),"Action - update the owner","OK")))))</f>
        <v>0</v>
      </c>
    </row>
    <row r="157" spans="1:22">
      <c r="A157" s="46">
        <f>IF(B157="","","HL-"&amp;TEXT(ROW()-4,"0000"))</f>
        <v>0</v>
      </c>
      <c r="E157" s="28">
        <f>IF(D157="","",IFERROR(INDEX(Pets!$C$5:$C$254,MATCH(D157,Pets!$D$5:$D$254,0)),""))</f>
        <v>0</v>
      </c>
      <c r="O157" s="49">
        <f>IF(N157="","",IF(N157&lt;TODAY(),"Overdue - refill now",IF(N157-TODAY()&lt;=ExpiryAlertDays,"Due in "&amp;TEXT(N157-TODAY(),"0")&amp;" days","OK")))</f>
        <v>0</v>
      </c>
      <c r="Q157" s="49">
        <f>IF(P157="","",IF(P157&lt;TODAY(),"Past",IF(P157-TODAY()&lt;=ExpiryAlertDays,"Due in "&amp;TEXT(P157-TODAY(),"0")&amp;" days","Booked")))</f>
        <v>0</v>
      </c>
      <c r="U157" s="28">
        <f>IF(B157="","",TEXT(B157,"yyyy-mm"))</f>
        <v>0</v>
      </c>
      <c r="V157" s="49">
        <f>IF(B157="","",IF(L157="Missed","Missed dose - tell the owner",IF(L157="Refused","Refused - monitor and report",IF(AND(L157="Scheduled",B157&lt;TODAY()),"Overdue - not recorded",IF(AND(S157&lt;&gt;"Yes",F157="Vet visit"),"Action - update the owner","OK")))))</f>
        <v>0</v>
      </c>
    </row>
    <row r="158" spans="1:22">
      <c r="A158" s="46">
        <f>IF(B158="","","HL-"&amp;TEXT(ROW()-4,"0000"))</f>
        <v>0</v>
      </c>
      <c r="E158" s="28">
        <f>IF(D158="","",IFERROR(INDEX(Pets!$C$5:$C$254,MATCH(D158,Pets!$D$5:$D$254,0)),""))</f>
        <v>0</v>
      </c>
      <c r="O158" s="49">
        <f>IF(N158="","",IF(N158&lt;TODAY(),"Overdue - refill now",IF(N158-TODAY()&lt;=ExpiryAlertDays,"Due in "&amp;TEXT(N158-TODAY(),"0")&amp;" days","OK")))</f>
        <v>0</v>
      </c>
      <c r="Q158" s="49">
        <f>IF(P158="","",IF(P158&lt;TODAY(),"Past",IF(P158-TODAY()&lt;=ExpiryAlertDays,"Due in "&amp;TEXT(P158-TODAY(),"0")&amp;" days","Booked")))</f>
        <v>0</v>
      </c>
      <c r="U158" s="28">
        <f>IF(B158="","",TEXT(B158,"yyyy-mm"))</f>
        <v>0</v>
      </c>
      <c r="V158" s="49">
        <f>IF(B158="","",IF(L158="Missed","Missed dose - tell the owner",IF(L158="Refused","Refused - monitor and report",IF(AND(L158="Scheduled",B158&lt;TODAY()),"Overdue - not recorded",IF(AND(S158&lt;&gt;"Yes",F158="Vet visit"),"Action - update the owner","OK")))))</f>
        <v>0</v>
      </c>
    </row>
    <row r="159" spans="1:22">
      <c r="A159" s="46">
        <f>IF(B159="","","HL-"&amp;TEXT(ROW()-4,"0000"))</f>
        <v>0</v>
      </c>
      <c r="E159" s="28">
        <f>IF(D159="","",IFERROR(INDEX(Pets!$C$5:$C$254,MATCH(D159,Pets!$D$5:$D$254,0)),""))</f>
        <v>0</v>
      </c>
      <c r="O159" s="49">
        <f>IF(N159="","",IF(N159&lt;TODAY(),"Overdue - refill now",IF(N159-TODAY()&lt;=ExpiryAlertDays,"Due in "&amp;TEXT(N159-TODAY(),"0")&amp;" days","OK")))</f>
        <v>0</v>
      </c>
      <c r="Q159" s="49">
        <f>IF(P159="","",IF(P159&lt;TODAY(),"Past",IF(P159-TODAY()&lt;=ExpiryAlertDays,"Due in "&amp;TEXT(P159-TODAY(),"0")&amp;" days","Booked")))</f>
        <v>0</v>
      </c>
      <c r="U159" s="28">
        <f>IF(B159="","",TEXT(B159,"yyyy-mm"))</f>
        <v>0</v>
      </c>
      <c r="V159" s="49">
        <f>IF(B159="","",IF(L159="Missed","Missed dose - tell the owner",IF(L159="Refused","Refused - monitor and report",IF(AND(L159="Scheduled",B159&lt;TODAY()),"Overdue - not recorded",IF(AND(S159&lt;&gt;"Yes",F159="Vet visit"),"Action - update the owner","OK")))))</f>
        <v>0</v>
      </c>
    </row>
    <row r="160" spans="1:22">
      <c r="A160" s="46">
        <f>IF(B160="","","HL-"&amp;TEXT(ROW()-4,"0000"))</f>
        <v>0</v>
      </c>
      <c r="E160" s="28">
        <f>IF(D160="","",IFERROR(INDEX(Pets!$C$5:$C$254,MATCH(D160,Pets!$D$5:$D$254,0)),""))</f>
        <v>0</v>
      </c>
      <c r="O160" s="49">
        <f>IF(N160="","",IF(N160&lt;TODAY(),"Overdue - refill now",IF(N160-TODAY()&lt;=ExpiryAlertDays,"Due in "&amp;TEXT(N160-TODAY(),"0")&amp;" days","OK")))</f>
        <v>0</v>
      </c>
      <c r="Q160" s="49">
        <f>IF(P160="","",IF(P160&lt;TODAY(),"Past",IF(P160-TODAY()&lt;=ExpiryAlertDays,"Due in "&amp;TEXT(P160-TODAY(),"0")&amp;" days","Booked")))</f>
        <v>0</v>
      </c>
      <c r="U160" s="28">
        <f>IF(B160="","",TEXT(B160,"yyyy-mm"))</f>
        <v>0</v>
      </c>
      <c r="V160" s="49">
        <f>IF(B160="","",IF(L160="Missed","Missed dose - tell the owner",IF(L160="Refused","Refused - monitor and report",IF(AND(L160="Scheduled",B160&lt;TODAY()),"Overdue - not recorded",IF(AND(S160&lt;&gt;"Yes",F160="Vet visit"),"Action - update the owner","OK")))))</f>
        <v>0</v>
      </c>
    </row>
    <row r="161" spans="1:22">
      <c r="A161" s="46">
        <f>IF(B161="","","HL-"&amp;TEXT(ROW()-4,"0000"))</f>
        <v>0</v>
      </c>
      <c r="E161" s="28">
        <f>IF(D161="","",IFERROR(INDEX(Pets!$C$5:$C$254,MATCH(D161,Pets!$D$5:$D$254,0)),""))</f>
        <v>0</v>
      </c>
      <c r="O161" s="49">
        <f>IF(N161="","",IF(N161&lt;TODAY(),"Overdue - refill now",IF(N161-TODAY()&lt;=ExpiryAlertDays,"Due in "&amp;TEXT(N161-TODAY(),"0")&amp;" days","OK")))</f>
        <v>0</v>
      </c>
      <c r="Q161" s="49">
        <f>IF(P161="","",IF(P161&lt;TODAY(),"Past",IF(P161-TODAY()&lt;=ExpiryAlertDays,"Due in "&amp;TEXT(P161-TODAY(),"0")&amp;" days","Booked")))</f>
        <v>0</v>
      </c>
      <c r="U161" s="28">
        <f>IF(B161="","",TEXT(B161,"yyyy-mm"))</f>
        <v>0</v>
      </c>
      <c r="V161" s="49">
        <f>IF(B161="","",IF(L161="Missed","Missed dose - tell the owner",IF(L161="Refused","Refused - monitor and report",IF(AND(L161="Scheduled",B161&lt;TODAY()),"Overdue - not recorded",IF(AND(S161&lt;&gt;"Yes",F161="Vet visit"),"Action - update the owner","OK")))))</f>
        <v>0</v>
      </c>
    </row>
    <row r="162" spans="1:22">
      <c r="A162" s="46">
        <f>IF(B162="","","HL-"&amp;TEXT(ROW()-4,"0000"))</f>
        <v>0</v>
      </c>
      <c r="E162" s="28">
        <f>IF(D162="","",IFERROR(INDEX(Pets!$C$5:$C$254,MATCH(D162,Pets!$D$5:$D$254,0)),""))</f>
        <v>0</v>
      </c>
      <c r="O162" s="49">
        <f>IF(N162="","",IF(N162&lt;TODAY(),"Overdue - refill now",IF(N162-TODAY()&lt;=ExpiryAlertDays,"Due in "&amp;TEXT(N162-TODAY(),"0")&amp;" days","OK")))</f>
        <v>0</v>
      </c>
      <c r="Q162" s="49">
        <f>IF(P162="","",IF(P162&lt;TODAY(),"Past",IF(P162-TODAY()&lt;=ExpiryAlertDays,"Due in "&amp;TEXT(P162-TODAY(),"0")&amp;" days","Booked")))</f>
        <v>0</v>
      </c>
      <c r="U162" s="28">
        <f>IF(B162="","",TEXT(B162,"yyyy-mm"))</f>
        <v>0</v>
      </c>
      <c r="V162" s="49">
        <f>IF(B162="","",IF(L162="Missed","Missed dose - tell the owner",IF(L162="Refused","Refused - monitor and report",IF(AND(L162="Scheduled",B162&lt;TODAY()),"Overdue - not recorded",IF(AND(S162&lt;&gt;"Yes",F162="Vet visit"),"Action - update the owner","OK")))))</f>
        <v>0</v>
      </c>
    </row>
    <row r="163" spans="1:22">
      <c r="A163" s="46">
        <f>IF(B163="","","HL-"&amp;TEXT(ROW()-4,"0000"))</f>
        <v>0</v>
      </c>
      <c r="E163" s="28">
        <f>IF(D163="","",IFERROR(INDEX(Pets!$C$5:$C$254,MATCH(D163,Pets!$D$5:$D$254,0)),""))</f>
        <v>0</v>
      </c>
      <c r="O163" s="49">
        <f>IF(N163="","",IF(N163&lt;TODAY(),"Overdue - refill now",IF(N163-TODAY()&lt;=ExpiryAlertDays,"Due in "&amp;TEXT(N163-TODAY(),"0")&amp;" days","OK")))</f>
        <v>0</v>
      </c>
      <c r="Q163" s="49">
        <f>IF(P163="","",IF(P163&lt;TODAY(),"Past",IF(P163-TODAY()&lt;=ExpiryAlertDays,"Due in "&amp;TEXT(P163-TODAY(),"0")&amp;" days","Booked")))</f>
        <v>0</v>
      </c>
      <c r="U163" s="28">
        <f>IF(B163="","",TEXT(B163,"yyyy-mm"))</f>
        <v>0</v>
      </c>
      <c r="V163" s="49">
        <f>IF(B163="","",IF(L163="Missed","Missed dose - tell the owner",IF(L163="Refused","Refused - monitor and report",IF(AND(L163="Scheduled",B163&lt;TODAY()),"Overdue - not recorded",IF(AND(S163&lt;&gt;"Yes",F163="Vet visit"),"Action - update the owner","OK")))))</f>
        <v>0</v>
      </c>
    </row>
    <row r="164" spans="1:22">
      <c r="A164" s="46">
        <f>IF(B164="","","HL-"&amp;TEXT(ROW()-4,"0000"))</f>
        <v>0</v>
      </c>
      <c r="E164" s="28">
        <f>IF(D164="","",IFERROR(INDEX(Pets!$C$5:$C$254,MATCH(D164,Pets!$D$5:$D$254,0)),""))</f>
        <v>0</v>
      </c>
      <c r="O164" s="49">
        <f>IF(N164="","",IF(N164&lt;TODAY(),"Overdue - refill now",IF(N164-TODAY()&lt;=ExpiryAlertDays,"Due in "&amp;TEXT(N164-TODAY(),"0")&amp;" days","OK")))</f>
        <v>0</v>
      </c>
      <c r="Q164" s="49">
        <f>IF(P164="","",IF(P164&lt;TODAY(),"Past",IF(P164-TODAY()&lt;=ExpiryAlertDays,"Due in "&amp;TEXT(P164-TODAY(),"0")&amp;" days","Booked")))</f>
        <v>0</v>
      </c>
      <c r="U164" s="28">
        <f>IF(B164="","",TEXT(B164,"yyyy-mm"))</f>
        <v>0</v>
      </c>
      <c r="V164" s="49">
        <f>IF(B164="","",IF(L164="Missed","Missed dose - tell the owner",IF(L164="Refused","Refused - monitor and report",IF(AND(L164="Scheduled",B164&lt;TODAY()),"Overdue - not recorded",IF(AND(S164&lt;&gt;"Yes",F164="Vet visit"),"Action - update the owner","OK")))))</f>
        <v>0</v>
      </c>
    </row>
    <row r="165" spans="1:22">
      <c r="A165" s="46">
        <f>IF(B165="","","HL-"&amp;TEXT(ROW()-4,"0000"))</f>
        <v>0</v>
      </c>
      <c r="E165" s="28">
        <f>IF(D165="","",IFERROR(INDEX(Pets!$C$5:$C$254,MATCH(D165,Pets!$D$5:$D$254,0)),""))</f>
        <v>0</v>
      </c>
      <c r="O165" s="49">
        <f>IF(N165="","",IF(N165&lt;TODAY(),"Overdue - refill now",IF(N165-TODAY()&lt;=ExpiryAlertDays,"Due in "&amp;TEXT(N165-TODAY(),"0")&amp;" days","OK")))</f>
        <v>0</v>
      </c>
      <c r="Q165" s="49">
        <f>IF(P165="","",IF(P165&lt;TODAY(),"Past",IF(P165-TODAY()&lt;=ExpiryAlertDays,"Due in "&amp;TEXT(P165-TODAY(),"0")&amp;" days","Booked")))</f>
        <v>0</v>
      </c>
      <c r="U165" s="28">
        <f>IF(B165="","",TEXT(B165,"yyyy-mm"))</f>
        <v>0</v>
      </c>
      <c r="V165" s="49">
        <f>IF(B165="","",IF(L165="Missed","Missed dose - tell the owner",IF(L165="Refused","Refused - monitor and report",IF(AND(L165="Scheduled",B165&lt;TODAY()),"Overdue - not recorded",IF(AND(S165&lt;&gt;"Yes",F165="Vet visit"),"Action - update the owner","OK")))))</f>
        <v>0</v>
      </c>
    </row>
    <row r="166" spans="1:22">
      <c r="A166" s="46">
        <f>IF(B166="","","HL-"&amp;TEXT(ROW()-4,"0000"))</f>
        <v>0</v>
      </c>
      <c r="E166" s="28">
        <f>IF(D166="","",IFERROR(INDEX(Pets!$C$5:$C$254,MATCH(D166,Pets!$D$5:$D$254,0)),""))</f>
        <v>0</v>
      </c>
      <c r="O166" s="49">
        <f>IF(N166="","",IF(N166&lt;TODAY(),"Overdue - refill now",IF(N166-TODAY()&lt;=ExpiryAlertDays,"Due in "&amp;TEXT(N166-TODAY(),"0")&amp;" days","OK")))</f>
        <v>0</v>
      </c>
      <c r="Q166" s="49">
        <f>IF(P166="","",IF(P166&lt;TODAY(),"Past",IF(P166-TODAY()&lt;=ExpiryAlertDays,"Due in "&amp;TEXT(P166-TODAY(),"0")&amp;" days","Booked")))</f>
        <v>0</v>
      </c>
      <c r="U166" s="28">
        <f>IF(B166="","",TEXT(B166,"yyyy-mm"))</f>
        <v>0</v>
      </c>
      <c r="V166" s="49">
        <f>IF(B166="","",IF(L166="Missed","Missed dose - tell the owner",IF(L166="Refused","Refused - monitor and report",IF(AND(L166="Scheduled",B166&lt;TODAY()),"Overdue - not recorded",IF(AND(S166&lt;&gt;"Yes",F166="Vet visit"),"Action - update the owner","OK")))))</f>
        <v>0</v>
      </c>
    </row>
    <row r="167" spans="1:22">
      <c r="A167" s="46">
        <f>IF(B167="","","HL-"&amp;TEXT(ROW()-4,"0000"))</f>
        <v>0</v>
      </c>
      <c r="E167" s="28">
        <f>IF(D167="","",IFERROR(INDEX(Pets!$C$5:$C$254,MATCH(D167,Pets!$D$5:$D$254,0)),""))</f>
        <v>0</v>
      </c>
      <c r="O167" s="49">
        <f>IF(N167="","",IF(N167&lt;TODAY(),"Overdue - refill now",IF(N167-TODAY()&lt;=ExpiryAlertDays,"Due in "&amp;TEXT(N167-TODAY(),"0")&amp;" days","OK")))</f>
        <v>0</v>
      </c>
      <c r="Q167" s="49">
        <f>IF(P167="","",IF(P167&lt;TODAY(),"Past",IF(P167-TODAY()&lt;=ExpiryAlertDays,"Due in "&amp;TEXT(P167-TODAY(),"0")&amp;" days","Booked")))</f>
        <v>0</v>
      </c>
      <c r="U167" s="28">
        <f>IF(B167="","",TEXT(B167,"yyyy-mm"))</f>
        <v>0</v>
      </c>
      <c r="V167" s="49">
        <f>IF(B167="","",IF(L167="Missed","Missed dose - tell the owner",IF(L167="Refused","Refused - monitor and report",IF(AND(L167="Scheduled",B167&lt;TODAY()),"Overdue - not recorded",IF(AND(S167&lt;&gt;"Yes",F167="Vet visit"),"Action - update the owner","OK")))))</f>
        <v>0</v>
      </c>
    </row>
    <row r="168" spans="1:22">
      <c r="A168" s="46">
        <f>IF(B168="","","HL-"&amp;TEXT(ROW()-4,"0000"))</f>
        <v>0</v>
      </c>
      <c r="E168" s="28">
        <f>IF(D168="","",IFERROR(INDEX(Pets!$C$5:$C$254,MATCH(D168,Pets!$D$5:$D$254,0)),""))</f>
        <v>0</v>
      </c>
      <c r="O168" s="49">
        <f>IF(N168="","",IF(N168&lt;TODAY(),"Overdue - refill now",IF(N168-TODAY()&lt;=ExpiryAlertDays,"Due in "&amp;TEXT(N168-TODAY(),"0")&amp;" days","OK")))</f>
        <v>0</v>
      </c>
      <c r="Q168" s="49">
        <f>IF(P168="","",IF(P168&lt;TODAY(),"Past",IF(P168-TODAY()&lt;=ExpiryAlertDays,"Due in "&amp;TEXT(P168-TODAY(),"0")&amp;" days","Booked")))</f>
        <v>0</v>
      </c>
      <c r="U168" s="28">
        <f>IF(B168="","",TEXT(B168,"yyyy-mm"))</f>
        <v>0</v>
      </c>
      <c r="V168" s="49">
        <f>IF(B168="","",IF(L168="Missed","Missed dose - tell the owner",IF(L168="Refused","Refused - monitor and report",IF(AND(L168="Scheduled",B168&lt;TODAY()),"Overdue - not recorded",IF(AND(S168&lt;&gt;"Yes",F168="Vet visit"),"Action - update the owner","OK")))))</f>
        <v>0</v>
      </c>
    </row>
    <row r="169" spans="1:22">
      <c r="A169" s="46">
        <f>IF(B169="","","HL-"&amp;TEXT(ROW()-4,"0000"))</f>
        <v>0</v>
      </c>
      <c r="E169" s="28">
        <f>IF(D169="","",IFERROR(INDEX(Pets!$C$5:$C$254,MATCH(D169,Pets!$D$5:$D$254,0)),""))</f>
        <v>0</v>
      </c>
      <c r="O169" s="49">
        <f>IF(N169="","",IF(N169&lt;TODAY(),"Overdue - refill now",IF(N169-TODAY()&lt;=ExpiryAlertDays,"Due in "&amp;TEXT(N169-TODAY(),"0")&amp;" days","OK")))</f>
        <v>0</v>
      </c>
      <c r="Q169" s="49">
        <f>IF(P169="","",IF(P169&lt;TODAY(),"Past",IF(P169-TODAY()&lt;=ExpiryAlertDays,"Due in "&amp;TEXT(P169-TODAY(),"0")&amp;" days","Booked")))</f>
        <v>0</v>
      </c>
      <c r="U169" s="28">
        <f>IF(B169="","",TEXT(B169,"yyyy-mm"))</f>
        <v>0</v>
      </c>
      <c r="V169" s="49">
        <f>IF(B169="","",IF(L169="Missed","Missed dose - tell the owner",IF(L169="Refused","Refused - monitor and report",IF(AND(L169="Scheduled",B169&lt;TODAY()),"Overdue - not recorded",IF(AND(S169&lt;&gt;"Yes",F169="Vet visit"),"Action - update the owner","OK")))))</f>
        <v>0</v>
      </c>
    </row>
    <row r="170" spans="1:22">
      <c r="A170" s="46">
        <f>IF(B170="","","HL-"&amp;TEXT(ROW()-4,"0000"))</f>
        <v>0</v>
      </c>
      <c r="E170" s="28">
        <f>IF(D170="","",IFERROR(INDEX(Pets!$C$5:$C$254,MATCH(D170,Pets!$D$5:$D$254,0)),""))</f>
        <v>0</v>
      </c>
      <c r="O170" s="49">
        <f>IF(N170="","",IF(N170&lt;TODAY(),"Overdue - refill now",IF(N170-TODAY()&lt;=ExpiryAlertDays,"Due in "&amp;TEXT(N170-TODAY(),"0")&amp;" days","OK")))</f>
        <v>0</v>
      </c>
      <c r="Q170" s="49">
        <f>IF(P170="","",IF(P170&lt;TODAY(),"Past",IF(P170-TODAY()&lt;=ExpiryAlertDays,"Due in "&amp;TEXT(P170-TODAY(),"0")&amp;" days","Booked")))</f>
        <v>0</v>
      </c>
      <c r="U170" s="28">
        <f>IF(B170="","",TEXT(B170,"yyyy-mm"))</f>
        <v>0</v>
      </c>
      <c r="V170" s="49">
        <f>IF(B170="","",IF(L170="Missed","Missed dose - tell the owner",IF(L170="Refused","Refused - monitor and report",IF(AND(L170="Scheduled",B170&lt;TODAY()),"Overdue - not recorded",IF(AND(S170&lt;&gt;"Yes",F170="Vet visit"),"Action - update the owner","OK")))))</f>
        <v>0</v>
      </c>
    </row>
    <row r="171" spans="1:22">
      <c r="A171" s="46">
        <f>IF(B171="","","HL-"&amp;TEXT(ROW()-4,"0000"))</f>
        <v>0</v>
      </c>
      <c r="E171" s="28">
        <f>IF(D171="","",IFERROR(INDEX(Pets!$C$5:$C$254,MATCH(D171,Pets!$D$5:$D$254,0)),""))</f>
        <v>0</v>
      </c>
      <c r="O171" s="49">
        <f>IF(N171="","",IF(N171&lt;TODAY(),"Overdue - refill now",IF(N171-TODAY()&lt;=ExpiryAlertDays,"Due in "&amp;TEXT(N171-TODAY(),"0")&amp;" days","OK")))</f>
        <v>0</v>
      </c>
      <c r="Q171" s="49">
        <f>IF(P171="","",IF(P171&lt;TODAY(),"Past",IF(P171-TODAY()&lt;=ExpiryAlertDays,"Due in "&amp;TEXT(P171-TODAY(),"0")&amp;" days","Booked")))</f>
        <v>0</v>
      </c>
      <c r="U171" s="28">
        <f>IF(B171="","",TEXT(B171,"yyyy-mm"))</f>
        <v>0</v>
      </c>
      <c r="V171" s="49">
        <f>IF(B171="","",IF(L171="Missed","Missed dose - tell the owner",IF(L171="Refused","Refused - monitor and report",IF(AND(L171="Scheduled",B171&lt;TODAY()),"Overdue - not recorded",IF(AND(S171&lt;&gt;"Yes",F171="Vet visit"),"Action - update the owner","OK")))))</f>
        <v>0</v>
      </c>
    </row>
    <row r="172" spans="1:22">
      <c r="A172" s="46">
        <f>IF(B172="","","HL-"&amp;TEXT(ROW()-4,"0000"))</f>
        <v>0</v>
      </c>
      <c r="E172" s="28">
        <f>IF(D172="","",IFERROR(INDEX(Pets!$C$5:$C$254,MATCH(D172,Pets!$D$5:$D$254,0)),""))</f>
        <v>0</v>
      </c>
      <c r="O172" s="49">
        <f>IF(N172="","",IF(N172&lt;TODAY(),"Overdue - refill now",IF(N172-TODAY()&lt;=ExpiryAlertDays,"Due in "&amp;TEXT(N172-TODAY(),"0")&amp;" days","OK")))</f>
        <v>0</v>
      </c>
      <c r="Q172" s="49">
        <f>IF(P172="","",IF(P172&lt;TODAY(),"Past",IF(P172-TODAY()&lt;=ExpiryAlertDays,"Due in "&amp;TEXT(P172-TODAY(),"0")&amp;" days","Booked")))</f>
        <v>0</v>
      </c>
      <c r="U172" s="28">
        <f>IF(B172="","",TEXT(B172,"yyyy-mm"))</f>
        <v>0</v>
      </c>
      <c r="V172" s="49">
        <f>IF(B172="","",IF(L172="Missed","Missed dose - tell the owner",IF(L172="Refused","Refused - monitor and report",IF(AND(L172="Scheduled",B172&lt;TODAY()),"Overdue - not recorded",IF(AND(S172&lt;&gt;"Yes",F172="Vet visit"),"Action - update the owner","OK")))))</f>
        <v>0</v>
      </c>
    </row>
    <row r="173" spans="1:22">
      <c r="A173" s="46">
        <f>IF(B173="","","HL-"&amp;TEXT(ROW()-4,"0000"))</f>
        <v>0</v>
      </c>
      <c r="E173" s="28">
        <f>IF(D173="","",IFERROR(INDEX(Pets!$C$5:$C$254,MATCH(D173,Pets!$D$5:$D$254,0)),""))</f>
        <v>0</v>
      </c>
      <c r="O173" s="49">
        <f>IF(N173="","",IF(N173&lt;TODAY(),"Overdue - refill now",IF(N173-TODAY()&lt;=ExpiryAlertDays,"Due in "&amp;TEXT(N173-TODAY(),"0")&amp;" days","OK")))</f>
        <v>0</v>
      </c>
      <c r="Q173" s="49">
        <f>IF(P173="","",IF(P173&lt;TODAY(),"Past",IF(P173-TODAY()&lt;=ExpiryAlertDays,"Due in "&amp;TEXT(P173-TODAY(),"0")&amp;" days","Booked")))</f>
        <v>0</v>
      </c>
      <c r="U173" s="28">
        <f>IF(B173="","",TEXT(B173,"yyyy-mm"))</f>
        <v>0</v>
      </c>
      <c r="V173" s="49">
        <f>IF(B173="","",IF(L173="Missed","Missed dose - tell the owner",IF(L173="Refused","Refused - monitor and report",IF(AND(L173="Scheduled",B173&lt;TODAY()),"Overdue - not recorded",IF(AND(S173&lt;&gt;"Yes",F173="Vet visit"),"Action - update the owner","OK")))))</f>
        <v>0</v>
      </c>
    </row>
    <row r="174" spans="1:22">
      <c r="A174" s="46">
        <f>IF(B174="","","HL-"&amp;TEXT(ROW()-4,"0000"))</f>
        <v>0</v>
      </c>
      <c r="E174" s="28">
        <f>IF(D174="","",IFERROR(INDEX(Pets!$C$5:$C$254,MATCH(D174,Pets!$D$5:$D$254,0)),""))</f>
        <v>0</v>
      </c>
      <c r="O174" s="49">
        <f>IF(N174="","",IF(N174&lt;TODAY(),"Overdue - refill now",IF(N174-TODAY()&lt;=ExpiryAlertDays,"Due in "&amp;TEXT(N174-TODAY(),"0")&amp;" days","OK")))</f>
        <v>0</v>
      </c>
      <c r="Q174" s="49">
        <f>IF(P174="","",IF(P174&lt;TODAY(),"Past",IF(P174-TODAY()&lt;=ExpiryAlertDays,"Due in "&amp;TEXT(P174-TODAY(),"0")&amp;" days","Booked")))</f>
        <v>0</v>
      </c>
      <c r="U174" s="28">
        <f>IF(B174="","",TEXT(B174,"yyyy-mm"))</f>
        <v>0</v>
      </c>
      <c r="V174" s="49">
        <f>IF(B174="","",IF(L174="Missed","Missed dose - tell the owner",IF(L174="Refused","Refused - monitor and report",IF(AND(L174="Scheduled",B174&lt;TODAY()),"Overdue - not recorded",IF(AND(S174&lt;&gt;"Yes",F174="Vet visit"),"Action - update the owner","OK")))))</f>
        <v>0</v>
      </c>
    </row>
    <row r="175" spans="1:22">
      <c r="A175" s="46">
        <f>IF(B175="","","HL-"&amp;TEXT(ROW()-4,"0000"))</f>
        <v>0</v>
      </c>
      <c r="E175" s="28">
        <f>IF(D175="","",IFERROR(INDEX(Pets!$C$5:$C$254,MATCH(D175,Pets!$D$5:$D$254,0)),""))</f>
        <v>0</v>
      </c>
      <c r="O175" s="49">
        <f>IF(N175="","",IF(N175&lt;TODAY(),"Overdue - refill now",IF(N175-TODAY()&lt;=ExpiryAlertDays,"Due in "&amp;TEXT(N175-TODAY(),"0")&amp;" days","OK")))</f>
        <v>0</v>
      </c>
      <c r="Q175" s="49">
        <f>IF(P175="","",IF(P175&lt;TODAY(),"Past",IF(P175-TODAY()&lt;=ExpiryAlertDays,"Due in "&amp;TEXT(P175-TODAY(),"0")&amp;" days","Booked")))</f>
        <v>0</v>
      </c>
      <c r="U175" s="28">
        <f>IF(B175="","",TEXT(B175,"yyyy-mm"))</f>
        <v>0</v>
      </c>
      <c r="V175" s="49">
        <f>IF(B175="","",IF(L175="Missed","Missed dose - tell the owner",IF(L175="Refused","Refused - monitor and report",IF(AND(L175="Scheduled",B175&lt;TODAY()),"Overdue - not recorded",IF(AND(S175&lt;&gt;"Yes",F175="Vet visit"),"Action - update the owner","OK")))))</f>
        <v>0</v>
      </c>
    </row>
    <row r="176" spans="1:22">
      <c r="A176" s="46">
        <f>IF(B176="","","HL-"&amp;TEXT(ROW()-4,"0000"))</f>
        <v>0</v>
      </c>
      <c r="E176" s="28">
        <f>IF(D176="","",IFERROR(INDEX(Pets!$C$5:$C$254,MATCH(D176,Pets!$D$5:$D$254,0)),""))</f>
        <v>0</v>
      </c>
      <c r="O176" s="49">
        <f>IF(N176="","",IF(N176&lt;TODAY(),"Overdue - refill now",IF(N176-TODAY()&lt;=ExpiryAlertDays,"Due in "&amp;TEXT(N176-TODAY(),"0")&amp;" days","OK")))</f>
        <v>0</v>
      </c>
      <c r="Q176" s="49">
        <f>IF(P176="","",IF(P176&lt;TODAY(),"Past",IF(P176-TODAY()&lt;=ExpiryAlertDays,"Due in "&amp;TEXT(P176-TODAY(),"0")&amp;" days","Booked")))</f>
        <v>0</v>
      </c>
      <c r="U176" s="28">
        <f>IF(B176="","",TEXT(B176,"yyyy-mm"))</f>
        <v>0</v>
      </c>
      <c r="V176" s="49">
        <f>IF(B176="","",IF(L176="Missed","Missed dose - tell the owner",IF(L176="Refused","Refused - monitor and report",IF(AND(L176="Scheduled",B176&lt;TODAY()),"Overdue - not recorded",IF(AND(S176&lt;&gt;"Yes",F176="Vet visit"),"Action - update the owner","OK")))))</f>
        <v>0</v>
      </c>
    </row>
    <row r="177" spans="1:22">
      <c r="A177" s="46">
        <f>IF(B177="","","HL-"&amp;TEXT(ROW()-4,"0000"))</f>
        <v>0</v>
      </c>
      <c r="E177" s="28">
        <f>IF(D177="","",IFERROR(INDEX(Pets!$C$5:$C$254,MATCH(D177,Pets!$D$5:$D$254,0)),""))</f>
        <v>0</v>
      </c>
      <c r="O177" s="49">
        <f>IF(N177="","",IF(N177&lt;TODAY(),"Overdue - refill now",IF(N177-TODAY()&lt;=ExpiryAlertDays,"Due in "&amp;TEXT(N177-TODAY(),"0")&amp;" days","OK")))</f>
        <v>0</v>
      </c>
      <c r="Q177" s="49">
        <f>IF(P177="","",IF(P177&lt;TODAY(),"Past",IF(P177-TODAY()&lt;=ExpiryAlertDays,"Due in "&amp;TEXT(P177-TODAY(),"0")&amp;" days","Booked")))</f>
        <v>0</v>
      </c>
      <c r="U177" s="28">
        <f>IF(B177="","",TEXT(B177,"yyyy-mm"))</f>
        <v>0</v>
      </c>
      <c r="V177" s="49">
        <f>IF(B177="","",IF(L177="Missed","Missed dose - tell the owner",IF(L177="Refused","Refused - monitor and report",IF(AND(L177="Scheduled",B177&lt;TODAY()),"Overdue - not recorded",IF(AND(S177&lt;&gt;"Yes",F177="Vet visit"),"Action - update the owner","OK")))))</f>
        <v>0</v>
      </c>
    </row>
    <row r="178" spans="1:22">
      <c r="A178" s="46">
        <f>IF(B178="","","HL-"&amp;TEXT(ROW()-4,"0000"))</f>
        <v>0</v>
      </c>
      <c r="E178" s="28">
        <f>IF(D178="","",IFERROR(INDEX(Pets!$C$5:$C$254,MATCH(D178,Pets!$D$5:$D$254,0)),""))</f>
        <v>0</v>
      </c>
      <c r="O178" s="49">
        <f>IF(N178="","",IF(N178&lt;TODAY(),"Overdue - refill now",IF(N178-TODAY()&lt;=ExpiryAlertDays,"Due in "&amp;TEXT(N178-TODAY(),"0")&amp;" days","OK")))</f>
        <v>0</v>
      </c>
      <c r="Q178" s="49">
        <f>IF(P178="","",IF(P178&lt;TODAY(),"Past",IF(P178-TODAY()&lt;=ExpiryAlertDays,"Due in "&amp;TEXT(P178-TODAY(),"0")&amp;" days","Booked")))</f>
        <v>0</v>
      </c>
      <c r="U178" s="28">
        <f>IF(B178="","",TEXT(B178,"yyyy-mm"))</f>
        <v>0</v>
      </c>
      <c r="V178" s="49">
        <f>IF(B178="","",IF(L178="Missed","Missed dose - tell the owner",IF(L178="Refused","Refused - monitor and report",IF(AND(L178="Scheduled",B178&lt;TODAY()),"Overdue - not recorded",IF(AND(S178&lt;&gt;"Yes",F178="Vet visit"),"Action - update the owner","OK")))))</f>
        <v>0</v>
      </c>
    </row>
    <row r="179" spans="1:22">
      <c r="A179" s="46">
        <f>IF(B179="","","HL-"&amp;TEXT(ROW()-4,"0000"))</f>
        <v>0</v>
      </c>
      <c r="E179" s="28">
        <f>IF(D179="","",IFERROR(INDEX(Pets!$C$5:$C$254,MATCH(D179,Pets!$D$5:$D$254,0)),""))</f>
        <v>0</v>
      </c>
      <c r="O179" s="49">
        <f>IF(N179="","",IF(N179&lt;TODAY(),"Overdue - refill now",IF(N179-TODAY()&lt;=ExpiryAlertDays,"Due in "&amp;TEXT(N179-TODAY(),"0")&amp;" days","OK")))</f>
        <v>0</v>
      </c>
      <c r="Q179" s="49">
        <f>IF(P179="","",IF(P179&lt;TODAY(),"Past",IF(P179-TODAY()&lt;=ExpiryAlertDays,"Due in "&amp;TEXT(P179-TODAY(),"0")&amp;" days","Booked")))</f>
        <v>0</v>
      </c>
      <c r="U179" s="28">
        <f>IF(B179="","",TEXT(B179,"yyyy-mm"))</f>
        <v>0</v>
      </c>
      <c r="V179" s="49">
        <f>IF(B179="","",IF(L179="Missed","Missed dose - tell the owner",IF(L179="Refused","Refused - monitor and report",IF(AND(L179="Scheduled",B179&lt;TODAY()),"Overdue - not recorded",IF(AND(S179&lt;&gt;"Yes",F179="Vet visit"),"Action - update the owner","OK")))))</f>
        <v>0</v>
      </c>
    </row>
    <row r="180" spans="1:22">
      <c r="A180" s="46">
        <f>IF(B180="","","HL-"&amp;TEXT(ROW()-4,"0000"))</f>
        <v>0</v>
      </c>
      <c r="E180" s="28">
        <f>IF(D180="","",IFERROR(INDEX(Pets!$C$5:$C$254,MATCH(D180,Pets!$D$5:$D$254,0)),""))</f>
        <v>0</v>
      </c>
      <c r="O180" s="49">
        <f>IF(N180="","",IF(N180&lt;TODAY(),"Overdue - refill now",IF(N180-TODAY()&lt;=ExpiryAlertDays,"Due in "&amp;TEXT(N180-TODAY(),"0")&amp;" days","OK")))</f>
        <v>0</v>
      </c>
      <c r="Q180" s="49">
        <f>IF(P180="","",IF(P180&lt;TODAY(),"Past",IF(P180-TODAY()&lt;=ExpiryAlertDays,"Due in "&amp;TEXT(P180-TODAY(),"0")&amp;" days","Booked")))</f>
        <v>0</v>
      </c>
      <c r="U180" s="28">
        <f>IF(B180="","",TEXT(B180,"yyyy-mm"))</f>
        <v>0</v>
      </c>
      <c r="V180" s="49">
        <f>IF(B180="","",IF(L180="Missed","Missed dose - tell the owner",IF(L180="Refused","Refused - monitor and report",IF(AND(L180="Scheduled",B180&lt;TODAY()),"Overdue - not recorded",IF(AND(S180&lt;&gt;"Yes",F180="Vet visit"),"Action - update the owner","OK")))))</f>
        <v>0</v>
      </c>
    </row>
    <row r="181" spans="1:22">
      <c r="A181" s="46">
        <f>IF(B181="","","HL-"&amp;TEXT(ROW()-4,"0000"))</f>
        <v>0</v>
      </c>
      <c r="E181" s="28">
        <f>IF(D181="","",IFERROR(INDEX(Pets!$C$5:$C$254,MATCH(D181,Pets!$D$5:$D$254,0)),""))</f>
        <v>0</v>
      </c>
      <c r="O181" s="49">
        <f>IF(N181="","",IF(N181&lt;TODAY(),"Overdue - refill now",IF(N181-TODAY()&lt;=ExpiryAlertDays,"Due in "&amp;TEXT(N181-TODAY(),"0")&amp;" days","OK")))</f>
        <v>0</v>
      </c>
      <c r="Q181" s="49">
        <f>IF(P181="","",IF(P181&lt;TODAY(),"Past",IF(P181-TODAY()&lt;=ExpiryAlertDays,"Due in "&amp;TEXT(P181-TODAY(),"0")&amp;" days","Booked")))</f>
        <v>0</v>
      </c>
      <c r="U181" s="28">
        <f>IF(B181="","",TEXT(B181,"yyyy-mm"))</f>
        <v>0</v>
      </c>
      <c r="V181" s="49">
        <f>IF(B181="","",IF(L181="Missed","Missed dose - tell the owner",IF(L181="Refused","Refused - monitor and report",IF(AND(L181="Scheduled",B181&lt;TODAY()),"Overdue - not recorded",IF(AND(S181&lt;&gt;"Yes",F181="Vet visit"),"Action - update the owner","OK")))))</f>
        <v>0</v>
      </c>
    </row>
    <row r="182" spans="1:22">
      <c r="A182" s="46">
        <f>IF(B182="","","HL-"&amp;TEXT(ROW()-4,"0000"))</f>
        <v>0</v>
      </c>
      <c r="E182" s="28">
        <f>IF(D182="","",IFERROR(INDEX(Pets!$C$5:$C$254,MATCH(D182,Pets!$D$5:$D$254,0)),""))</f>
        <v>0</v>
      </c>
      <c r="O182" s="49">
        <f>IF(N182="","",IF(N182&lt;TODAY(),"Overdue - refill now",IF(N182-TODAY()&lt;=ExpiryAlertDays,"Due in "&amp;TEXT(N182-TODAY(),"0")&amp;" days","OK")))</f>
        <v>0</v>
      </c>
      <c r="Q182" s="49">
        <f>IF(P182="","",IF(P182&lt;TODAY(),"Past",IF(P182-TODAY()&lt;=ExpiryAlertDays,"Due in "&amp;TEXT(P182-TODAY(),"0")&amp;" days","Booked")))</f>
        <v>0</v>
      </c>
      <c r="U182" s="28">
        <f>IF(B182="","",TEXT(B182,"yyyy-mm"))</f>
        <v>0</v>
      </c>
      <c r="V182" s="49">
        <f>IF(B182="","",IF(L182="Missed","Missed dose - tell the owner",IF(L182="Refused","Refused - monitor and report",IF(AND(L182="Scheduled",B182&lt;TODAY()),"Overdue - not recorded",IF(AND(S182&lt;&gt;"Yes",F182="Vet visit"),"Action - update the owner","OK")))))</f>
        <v>0</v>
      </c>
    </row>
    <row r="183" spans="1:22">
      <c r="A183" s="46">
        <f>IF(B183="","","HL-"&amp;TEXT(ROW()-4,"0000"))</f>
        <v>0</v>
      </c>
      <c r="E183" s="28">
        <f>IF(D183="","",IFERROR(INDEX(Pets!$C$5:$C$254,MATCH(D183,Pets!$D$5:$D$254,0)),""))</f>
        <v>0</v>
      </c>
      <c r="O183" s="49">
        <f>IF(N183="","",IF(N183&lt;TODAY(),"Overdue - refill now",IF(N183-TODAY()&lt;=ExpiryAlertDays,"Due in "&amp;TEXT(N183-TODAY(),"0")&amp;" days","OK")))</f>
        <v>0</v>
      </c>
      <c r="Q183" s="49">
        <f>IF(P183="","",IF(P183&lt;TODAY(),"Past",IF(P183-TODAY()&lt;=ExpiryAlertDays,"Due in "&amp;TEXT(P183-TODAY(),"0")&amp;" days","Booked")))</f>
        <v>0</v>
      </c>
      <c r="U183" s="28">
        <f>IF(B183="","",TEXT(B183,"yyyy-mm"))</f>
        <v>0</v>
      </c>
      <c r="V183" s="49">
        <f>IF(B183="","",IF(L183="Missed","Missed dose - tell the owner",IF(L183="Refused","Refused - monitor and report",IF(AND(L183="Scheduled",B183&lt;TODAY()),"Overdue - not recorded",IF(AND(S183&lt;&gt;"Yes",F183="Vet visit"),"Action - update the owner","OK")))))</f>
        <v>0</v>
      </c>
    </row>
    <row r="184" spans="1:22">
      <c r="A184" s="46">
        <f>IF(B184="","","HL-"&amp;TEXT(ROW()-4,"0000"))</f>
        <v>0</v>
      </c>
      <c r="E184" s="28">
        <f>IF(D184="","",IFERROR(INDEX(Pets!$C$5:$C$254,MATCH(D184,Pets!$D$5:$D$254,0)),""))</f>
        <v>0</v>
      </c>
      <c r="O184" s="49">
        <f>IF(N184="","",IF(N184&lt;TODAY(),"Overdue - refill now",IF(N184-TODAY()&lt;=ExpiryAlertDays,"Due in "&amp;TEXT(N184-TODAY(),"0")&amp;" days","OK")))</f>
        <v>0</v>
      </c>
      <c r="Q184" s="49">
        <f>IF(P184="","",IF(P184&lt;TODAY(),"Past",IF(P184-TODAY()&lt;=ExpiryAlertDays,"Due in "&amp;TEXT(P184-TODAY(),"0")&amp;" days","Booked")))</f>
        <v>0</v>
      </c>
      <c r="U184" s="28">
        <f>IF(B184="","",TEXT(B184,"yyyy-mm"))</f>
        <v>0</v>
      </c>
      <c r="V184" s="49">
        <f>IF(B184="","",IF(L184="Missed","Missed dose - tell the owner",IF(L184="Refused","Refused - monitor and report",IF(AND(L184="Scheduled",B184&lt;TODAY()),"Overdue - not recorded",IF(AND(S184&lt;&gt;"Yes",F184="Vet visit"),"Action - update the owner","OK")))))</f>
        <v>0</v>
      </c>
    </row>
    <row r="185" spans="1:22">
      <c r="A185" s="46">
        <f>IF(B185="","","HL-"&amp;TEXT(ROW()-4,"0000"))</f>
        <v>0</v>
      </c>
      <c r="E185" s="28">
        <f>IF(D185="","",IFERROR(INDEX(Pets!$C$5:$C$254,MATCH(D185,Pets!$D$5:$D$254,0)),""))</f>
        <v>0</v>
      </c>
      <c r="O185" s="49">
        <f>IF(N185="","",IF(N185&lt;TODAY(),"Overdue - refill now",IF(N185-TODAY()&lt;=ExpiryAlertDays,"Due in "&amp;TEXT(N185-TODAY(),"0")&amp;" days","OK")))</f>
        <v>0</v>
      </c>
      <c r="Q185" s="49">
        <f>IF(P185="","",IF(P185&lt;TODAY(),"Past",IF(P185-TODAY()&lt;=ExpiryAlertDays,"Due in "&amp;TEXT(P185-TODAY(),"0")&amp;" days","Booked")))</f>
        <v>0</v>
      </c>
      <c r="U185" s="28">
        <f>IF(B185="","",TEXT(B185,"yyyy-mm"))</f>
        <v>0</v>
      </c>
      <c r="V185" s="49">
        <f>IF(B185="","",IF(L185="Missed","Missed dose - tell the owner",IF(L185="Refused","Refused - monitor and report",IF(AND(L185="Scheduled",B185&lt;TODAY()),"Overdue - not recorded",IF(AND(S185&lt;&gt;"Yes",F185="Vet visit"),"Action - update the owner","OK")))))</f>
        <v>0</v>
      </c>
    </row>
    <row r="186" spans="1:22">
      <c r="A186" s="46">
        <f>IF(B186="","","HL-"&amp;TEXT(ROW()-4,"0000"))</f>
        <v>0</v>
      </c>
      <c r="E186" s="28">
        <f>IF(D186="","",IFERROR(INDEX(Pets!$C$5:$C$254,MATCH(D186,Pets!$D$5:$D$254,0)),""))</f>
        <v>0</v>
      </c>
      <c r="O186" s="49">
        <f>IF(N186="","",IF(N186&lt;TODAY(),"Overdue - refill now",IF(N186-TODAY()&lt;=ExpiryAlertDays,"Due in "&amp;TEXT(N186-TODAY(),"0")&amp;" days","OK")))</f>
        <v>0</v>
      </c>
      <c r="Q186" s="49">
        <f>IF(P186="","",IF(P186&lt;TODAY(),"Past",IF(P186-TODAY()&lt;=ExpiryAlertDays,"Due in "&amp;TEXT(P186-TODAY(),"0")&amp;" days","Booked")))</f>
        <v>0</v>
      </c>
      <c r="U186" s="28">
        <f>IF(B186="","",TEXT(B186,"yyyy-mm"))</f>
        <v>0</v>
      </c>
      <c r="V186" s="49">
        <f>IF(B186="","",IF(L186="Missed","Missed dose - tell the owner",IF(L186="Refused","Refused - monitor and report",IF(AND(L186="Scheduled",B186&lt;TODAY()),"Overdue - not recorded",IF(AND(S186&lt;&gt;"Yes",F186="Vet visit"),"Action - update the owner","OK")))))</f>
        <v>0</v>
      </c>
    </row>
    <row r="187" spans="1:22">
      <c r="A187" s="46">
        <f>IF(B187="","","HL-"&amp;TEXT(ROW()-4,"0000"))</f>
        <v>0</v>
      </c>
      <c r="E187" s="28">
        <f>IF(D187="","",IFERROR(INDEX(Pets!$C$5:$C$254,MATCH(D187,Pets!$D$5:$D$254,0)),""))</f>
        <v>0</v>
      </c>
      <c r="O187" s="49">
        <f>IF(N187="","",IF(N187&lt;TODAY(),"Overdue - refill now",IF(N187-TODAY()&lt;=ExpiryAlertDays,"Due in "&amp;TEXT(N187-TODAY(),"0")&amp;" days","OK")))</f>
        <v>0</v>
      </c>
      <c r="Q187" s="49">
        <f>IF(P187="","",IF(P187&lt;TODAY(),"Past",IF(P187-TODAY()&lt;=ExpiryAlertDays,"Due in "&amp;TEXT(P187-TODAY(),"0")&amp;" days","Booked")))</f>
        <v>0</v>
      </c>
      <c r="U187" s="28">
        <f>IF(B187="","",TEXT(B187,"yyyy-mm"))</f>
        <v>0</v>
      </c>
      <c r="V187" s="49">
        <f>IF(B187="","",IF(L187="Missed","Missed dose - tell the owner",IF(L187="Refused","Refused - monitor and report",IF(AND(L187="Scheduled",B187&lt;TODAY()),"Overdue - not recorded",IF(AND(S187&lt;&gt;"Yes",F187="Vet visit"),"Action - update the owner","OK")))))</f>
        <v>0</v>
      </c>
    </row>
    <row r="188" spans="1:22">
      <c r="A188" s="46">
        <f>IF(B188="","","HL-"&amp;TEXT(ROW()-4,"0000"))</f>
        <v>0</v>
      </c>
      <c r="E188" s="28">
        <f>IF(D188="","",IFERROR(INDEX(Pets!$C$5:$C$254,MATCH(D188,Pets!$D$5:$D$254,0)),""))</f>
        <v>0</v>
      </c>
      <c r="O188" s="49">
        <f>IF(N188="","",IF(N188&lt;TODAY(),"Overdue - refill now",IF(N188-TODAY()&lt;=ExpiryAlertDays,"Due in "&amp;TEXT(N188-TODAY(),"0")&amp;" days","OK")))</f>
        <v>0</v>
      </c>
      <c r="Q188" s="49">
        <f>IF(P188="","",IF(P188&lt;TODAY(),"Past",IF(P188-TODAY()&lt;=ExpiryAlertDays,"Due in "&amp;TEXT(P188-TODAY(),"0")&amp;" days","Booked")))</f>
        <v>0</v>
      </c>
      <c r="U188" s="28">
        <f>IF(B188="","",TEXT(B188,"yyyy-mm"))</f>
        <v>0</v>
      </c>
      <c r="V188" s="49">
        <f>IF(B188="","",IF(L188="Missed","Missed dose - tell the owner",IF(L188="Refused","Refused - monitor and report",IF(AND(L188="Scheduled",B188&lt;TODAY()),"Overdue - not recorded",IF(AND(S188&lt;&gt;"Yes",F188="Vet visit"),"Action - update the owner","OK")))))</f>
        <v>0</v>
      </c>
    </row>
    <row r="189" spans="1:22">
      <c r="A189" s="46">
        <f>IF(B189="","","HL-"&amp;TEXT(ROW()-4,"0000"))</f>
        <v>0</v>
      </c>
      <c r="E189" s="28">
        <f>IF(D189="","",IFERROR(INDEX(Pets!$C$5:$C$254,MATCH(D189,Pets!$D$5:$D$254,0)),""))</f>
        <v>0</v>
      </c>
      <c r="O189" s="49">
        <f>IF(N189="","",IF(N189&lt;TODAY(),"Overdue - refill now",IF(N189-TODAY()&lt;=ExpiryAlertDays,"Due in "&amp;TEXT(N189-TODAY(),"0")&amp;" days","OK")))</f>
        <v>0</v>
      </c>
      <c r="Q189" s="49">
        <f>IF(P189="","",IF(P189&lt;TODAY(),"Past",IF(P189-TODAY()&lt;=ExpiryAlertDays,"Due in "&amp;TEXT(P189-TODAY(),"0")&amp;" days","Booked")))</f>
        <v>0</v>
      </c>
      <c r="U189" s="28">
        <f>IF(B189="","",TEXT(B189,"yyyy-mm"))</f>
        <v>0</v>
      </c>
      <c r="V189" s="49">
        <f>IF(B189="","",IF(L189="Missed","Missed dose - tell the owner",IF(L189="Refused","Refused - monitor and report",IF(AND(L189="Scheduled",B189&lt;TODAY()),"Overdue - not recorded",IF(AND(S189&lt;&gt;"Yes",F189="Vet visit"),"Action - update the owner","OK")))))</f>
        <v>0</v>
      </c>
    </row>
    <row r="190" spans="1:22">
      <c r="A190" s="46">
        <f>IF(B190="","","HL-"&amp;TEXT(ROW()-4,"0000"))</f>
        <v>0</v>
      </c>
      <c r="E190" s="28">
        <f>IF(D190="","",IFERROR(INDEX(Pets!$C$5:$C$254,MATCH(D190,Pets!$D$5:$D$254,0)),""))</f>
        <v>0</v>
      </c>
      <c r="O190" s="49">
        <f>IF(N190="","",IF(N190&lt;TODAY(),"Overdue - refill now",IF(N190-TODAY()&lt;=ExpiryAlertDays,"Due in "&amp;TEXT(N190-TODAY(),"0")&amp;" days","OK")))</f>
        <v>0</v>
      </c>
      <c r="Q190" s="49">
        <f>IF(P190="","",IF(P190&lt;TODAY(),"Past",IF(P190-TODAY()&lt;=ExpiryAlertDays,"Due in "&amp;TEXT(P190-TODAY(),"0")&amp;" days","Booked")))</f>
        <v>0</v>
      </c>
      <c r="U190" s="28">
        <f>IF(B190="","",TEXT(B190,"yyyy-mm"))</f>
        <v>0</v>
      </c>
      <c r="V190" s="49">
        <f>IF(B190="","",IF(L190="Missed","Missed dose - tell the owner",IF(L190="Refused","Refused - monitor and report",IF(AND(L190="Scheduled",B190&lt;TODAY()),"Overdue - not recorded",IF(AND(S190&lt;&gt;"Yes",F190="Vet visit"),"Action - update the owner","OK")))))</f>
        <v>0</v>
      </c>
    </row>
    <row r="191" spans="1:22">
      <c r="A191" s="46">
        <f>IF(B191="","","HL-"&amp;TEXT(ROW()-4,"0000"))</f>
        <v>0</v>
      </c>
      <c r="E191" s="28">
        <f>IF(D191="","",IFERROR(INDEX(Pets!$C$5:$C$254,MATCH(D191,Pets!$D$5:$D$254,0)),""))</f>
        <v>0</v>
      </c>
      <c r="O191" s="49">
        <f>IF(N191="","",IF(N191&lt;TODAY(),"Overdue - refill now",IF(N191-TODAY()&lt;=ExpiryAlertDays,"Due in "&amp;TEXT(N191-TODAY(),"0")&amp;" days","OK")))</f>
        <v>0</v>
      </c>
      <c r="Q191" s="49">
        <f>IF(P191="","",IF(P191&lt;TODAY(),"Past",IF(P191-TODAY()&lt;=ExpiryAlertDays,"Due in "&amp;TEXT(P191-TODAY(),"0")&amp;" days","Booked")))</f>
        <v>0</v>
      </c>
      <c r="U191" s="28">
        <f>IF(B191="","",TEXT(B191,"yyyy-mm"))</f>
        <v>0</v>
      </c>
      <c r="V191" s="49">
        <f>IF(B191="","",IF(L191="Missed","Missed dose - tell the owner",IF(L191="Refused","Refused - monitor and report",IF(AND(L191="Scheduled",B191&lt;TODAY()),"Overdue - not recorded",IF(AND(S191&lt;&gt;"Yes",F191="Vet visit"),"Action - update the owner","OK")))))</f>
        <v>0</v>
      </c>
    </row>
    <row r="192" spans="1:22">
      <c r="A192" s="46">
        <f>IF(B192="","","HL-"&amp;TEXT(ROW()-4,"0000"))</f>
        <v>0</v>
      </c>
      <c r="E192" s="28">
        <f>IF(D192="","",IFERROR(INDEX(Pets!$C$5:$C$254,MATCH(D192,Pets!$D$5:$D$254,0)),""))</f>
        <v>0</v>
      </c>
      <c r="O192" s="49">
        <f>IF(N192="","",IF(N192&lt;TODAY(),"Overdue - refill now",IF(N192-TODAY()&lt;=ExpiryAlertDays,"Due in "&amp;TEXT(N192-TODAY(),"0")&amp;" days","OK")))</f>
        <v>0</v>
      </c>
      <c r="Q192" s="49">
        <f>IF(P192="","",IF(P192&lt;TODAY(),"Past",IF(P192-TODAY()&lt;=ExpiryAlertDays,"Due in "&amp;TEXT(P192-TODAY(),"0")&amp;" days","Booked")))</f>
        <v>0</v>
      </c>
      <c r="U192" s="28">
        <f>IF(B192="","",TEXT(B192,"yyyy-mm"))</f>
        <v>0</v>
      </c>
      <c r="V192" s="49">
        <f>IF(B192="","",IF(L192="Missed","Missed dose - tell the owner",IF(L192="Refused","Refused - monitor and report",IF(AND(L192="Scheduled",B192&lt;TODAY()),"Overdue - not recorded",IF(AND(S192&lt;&gt;"Yes",F192="Vet visit"),"Action - update the owner","OK")))))</f>
        <v>0</v>
      </c>
    </row>
    <row r="193" spans="1:22">
      <c r="A193" s="46">
        <f>IF(B193="","","HL-"&amp;TEXT(ROW()-4,"0000"))</f>
        <v>0</v>
      </c>
      <c r="E193" s="28">
        <f>IF(D193="","",IFERROR(INDEX(Pets!$C$5:$C$254,MATCH(D193,Pets!$D$5:$D$254,0)),""))</f>
        <v>0</v>
      </c>
      <c r="O193" s="49">
        <f>IF(N193="","",IF(N193&lt;TODAY(),"Overdue - refill now",IF(N193-TODAY()&lt;=ExpiryAlertDays,"Due in "&amp;TEXT(N193-TODAY(),"0")&amp;" days","OK")))</f>
        <v>0</v>
      </c>
      <c r="Q193" s="49">
        <f>IF(P193="","",IF(P193&lt;TODAY(),"Past",IF(P193-TODAY()&lt;=ExpiryAlertDays,"Due in "&amp;TEXT(P193-TODAY(),"0")&amp;" days","Booked")))</f>
        <v>0</v>
      </c>
      <c r="U193" s="28">
        <f>IF(B193="","",TEXT(B193,"yyyy-mm"))</f>
        <v>0</v>
      </c>
      <c r="V193" s="49">
        <f>IF(B193="","",IF(L193="Missed","Missed dose - tell the owner",IF(L193="Refused","Refused - monitor and report",IF(AND(L193="Scheduled",B193&lt;TODAY()),"Overdue - not recorded",IF(AND(S193&lt;&gt;"Yes",F193="Vet visit"),"Action - update the owner","OK")))))</f>
        <v>0</v>
      </c>
    </row>
    <row r="194" spans="1:22">
      <c r="A194" s="46">
        <f>IF(B194="","","HL-"&amp;TEXT(ROW()-4,"0000"))</f>
        <v>0</v>
      </c>
      <c r="E194" s="28">
        <f>IF(D194="","",IFERROR(INDEX(Pets!$C$5:$C$254,MATCH(D194,Pets!$D$5:$D$254,0)),""))</f>
        <v>0</v>
      </c>
      <c r="O194" s="49">
        <f>IF(N194="","",IF(N194&lt;TODAY(),"Overdue - refill now",IF(N194-TODAY()&lt;=ExpiryAlertDays,"Due in "&amp;TEXT(N194-TODAY(),"0")&amp;" days","OK")))</f>
        <v>0</v>
      </c>
      <c r="Q194" s="49">
        <f>IF(P194="","",IF(P194&lt;TODAY(),"Past",IF(P194-TODAY()&lt;=ExpiryAlertDays,"Due in "&amp;TEXT(P194-TODAY(),"0")&amp;" days","Booked")))</f>
        <v>0</v>
      </c>
      <c r="U194" s="28">
        <f>IF(B194="","",TEXT(B194,"yyyy-mm"))</f>
        <v>0</v>
      </c>
      <c r="V194" s="49">
        <f>IF(B194="","",IF(L194="Missed","Missed dose - tell the owner",IF(L194="Refused","Refused - monitor and report",IF(AND(L194="Scheduled",B194&lt;TODAY()),"Overdue - not recorded",IF(AND(S194&lt;&gt;"Yes",F194="Vet visit"),"Action - update the owner","OK")))))</f>
        <v>0</v>
      </c>
    </row>
    <row r="195" spans="1:22">
      <c r="A195" s="46">
        <f>IF(B195="","","HL-"&amp;TEXT(ROW()-4,"0000"))</f>
        <v>0</v>
      </c>
      <c r="E195" s="28">
        <f>IF(D195="","",IFERROR(INDEX(Pets!$C$5:$C$254,MATCH(D195,Pets!$D$5:$D$254,0)),""))</f>
        <v>0</v>
      </c>
      <c r="O195" s="49">
        <f>IF(N195="","",IF(N195&lt;TODAY(),"Overdue - refill now",IF(N195-TODAY()&lt;=ExpiryAlertDays,"Due in "&amp;TEXT(N195-TODAY(),"0")&amp;" days","OK")))</f>
        <v>0</v>
      </c>
      <c r="Q195" s="49">
        <f>IF(P195="","",IF(P195&lt;TODAY(),"Past",IF(P195-TODAY()&lt;=ExpiryAlertDays,"Due in "&amp;TEXT(P195-TODAY(),"0")&amp;" days","Booked")))</f>
        <v>0</v>
      </c>
      <c r="U195" s="28">
        <f>IF(B195="","",TEXT(B195,"yyyy-mm"))</f>
        <v>0</v>
      </c>
      <c r="V195" s="49">
        <f>IF(B195="","",IF(L195="Missed","Missed dose - tell the owner",IF(L195="Refused","Refused - monitor and report",IF(AND(L195="Scheduled",B195&lt;TODAY()),"Overdue - not recorded",IF(AND(S195&lt;&gt;"Yes",F195="Vet visit"),"Action - update the owner","OK")))))</f>
        <v>0</v>
      </c>
    </row>
    <row r="196" spans="1:22">
      <c r="A196" s="46">
        <f>IF(B196="","","HL-"&amp;TEXT(ROW()-4,"0000"))</f>
        <v>0</v>
      </c>
      <c r="E196" s="28">
        <f>IF(D196="","",IFERROR(INDEX(Pets!$C$5:$C$254,MATCH(D196,Pets!$D$5:$D$254,0)),""))</f>
        <v>0</v>
      </c>
      <c r="O196" s="49">
        <f>IF(N196="","",IF(N196&lt;TODAY(),"Overdue - refill now",IF(N196-TODAY()&lt;=ExpiryAlertDays,"Due in "&amp;TEXT(N196-TODAY(),"0")&amp;" days","OK")))</f>
        <v>0</v>
      </c>
      <c r="Q196" s="49">
        <f>IF(P196="","",IF(P196&lt;TODAY(),"Past",IF(P196-TODAY()&lt;=ExpiryAlertDays,"Due in "&amp;TEXT(P196-TODAY(),"0")&amp;" days","Booked")))</f>
        <v>0</v>
      </c>
      <c r="U196" s="28">
        <f>IF(B196="","",TEXT(B196,"yyyy-mm"))</f>
        <v>0</v>
      </c>
      <c r="V196" s="49">
        <f>IF(B196="","",IF(L196="Missed","Missed dose - tell the owner",IF(L196="Refused","Refused - monitor and report",IF(AND(L196="Scheduled",B196&lt;TODAY()),"Overdue - not recorded",IF(AND(S196&lt;&gt;"Yes",F196="Vet visit"),"Action - update the owner","OK")))))</f>
        <v>0</v>
      </c>
    </row>
    <row r="197" spans="1:22">
      <c r="A197" s="46">
        <f>IF(B197="","","HL-"&amp;TEXT(ROW()-4,"0000"))</f>
        <v>0</v>
      </c>
      <c r="E197" s="28">
        <f>IF(D197="","",IFERROR(INDEX(Pets!$C$5:$C$254,MATCH(D197,Pets!$D$5:$D$254,0)),""))</f>
        <v>0</v>
      </c>
      <c r="O197" s="49">
        <f>IF(N197="","",IF(N197&lt;TODAY(),"Overdue - refill now",IF(N197-TODAY()&lt;=ExpiryAlertDays,"Due in "&amp;TEXT(N197-TODAY(),"0")&amp;" days","OK")))</f>
        <v>0</v>
      </c>
      <c r="Q197" s="49">
        <f>IF(P197="","",IF(P197&lt;TODAY(),"Past",IF(P197-TODAY()&lt;=ExpiryAlertDays,"Due in "&amp;TEXT(P197-TODAY(),"0")&amp;" days","Booked")))</f>
        <v>0</v>
      </c>
      <c r="U197" s="28">
        <f>IF(B197="","",TEXT(B197,"yyyy-mm"))</f>
        <v>0</v>
      </c>
      <c r="V197" s="49">
        <f>IF(B197="","",IF(L197="Missed","Missed dose - tell the owner",IF(L197="Refused","Refused - monitor and report",IF(AND(L197="Scheduled",B197&lt;TODAY()),"Overdue - not recorded",IF(AND(S197&lt;&gt;"Yes",F197="Vet visit"),"Action - update the owner","OK")))))</f>
        <v>0</v>
      </c>
    </row>
    <row r="198" spans="1:22">
      <c r="A198" s="46">
        <f>IF(B198="","","HL-"&amp;TEXT(ROW()-4,"0000"))</f>
        <v>0</v>
      </c>
      <c r="E198" s="28">
        <f>IF(D198="","",IFERROR(INDEX(Pets!$C$5:$C$254,MATCH(D198,Pets!$D$5:$D$254,0)),""))</f>
        <v>0</v>
      </c>
      <c r="O198" s="49">
        <f>IF(N198="","",IF(N198&lt;TODAY(),"Overdue - refill now",IF(N198-TODAY()&lt;=ExpiryAlertDays,"Due in "&amp;TEXT(N198-TODAY(),"0")&amp;" days","OK")))</f>
        <v>0</v>
      </c>
      <c r="Q198" s="49">
        <f>IF(P198="","",IF(P198&lt;TODAY(),"Past",IF(P198-TODAY()&lt;=ExpiryAlertDays,"Due in "&amp;TEXT(P198-TODAY(),"0")&amp;" days","Booked")))</f>
        <v>0</v>
      </c>
      <c r="U198" s="28">
        <f>IF(B198="","",TEXT(B198,"yyyy-mm"))</f>
        <v>0</v>
      </c>
      <c r="V198" s="49">
        <f>IF(B198="","",IF(L198="Missed","Missed dose - tell the owner",IF(L198="Refused","Refused - monitor and report",IF(AND(L198="Scheduled",B198&lt;TODAY()),"Overdue - not recorded",IF(AND(S198&lt;&gt;"Yes",F198="Vet visit"),"Action - update the owner","OK")))))</f>
        <v>0</v>
      </c>
    </row>
    <row r="199" spans="1:22">
      <c r="A199" s="46">
        <f>IF(B199="","","HL-"&amp;TEXT(ROW()-4,"0000"))</f>
        <v>0</v>
      </c>
      <c r="E199" s="28">
        <f>IF(D199="","",IFERROR(INDEX(Pets!$C$5:$C$254,MATCH(D199,Pets!$D$5:$D$254,0)),""))</f>
        <v>0</v>
      </c>
      <c r="O199" s="49">
        <f>IF(N199="","",IF(N199&lt;TODAY(),"Overdue - refill now",IF(N199-TODAY()&lt;=ExpiryAlertDays,"Due in "&amp;TEXT(N199-TODAY(),"0")&amp;" days","OK")))</f>
        <v>0</v>
      </c>
      <c r="Q199" s="49">
        <f>IF(P199="","",IF(P199&lt;TODAY(),"Past",IF(P199-TODAY()&lt;=ExpiryAlertDays,"Due in "&amp;TEXT(P199-TODAY(),"0")&amp;" days","Booked")))</f>
        <v>0</v>
      </c>
      <c r="U199" s="28">
        <f>IF(B199="","",TEXT(B199,"yyyy-mm"))</f>
        <v>0</v>
      </c>
      <c r="V199" s="49">
        <f>IF(B199="","",IF(L199="Missed","Missed dose - tell the owner",IF(L199="Refused","Refused - monitor and report",IF(AND(L199="Scheduled",B199&lt;TODAY()),"Overdue - not recorded",IF(AND(S199&lt;&gt;"Yes",F199="Vet visit"),"Action - update the owner","OK")))))</f>
        <v>0</v>
      </c>
    </row>
    <row r="200" spans="1:22">
      <c r="A200" s="46">
        <f>IF(B200="","","HL-"&amp;TEXT(ROW()-4,"0000"))</f>
        <v>0</v>
      </c>
      <c r="E200" s="28">
        <f>IF(D200="","",IFERROR(INDEX(Pets!$C$5:$C$254,MATCH(D200,Pets!$D$5:$D$254,0)),""))</f>
        <v>0</v>
      </c>
      <c r="O200" s="49">
        <f>IF(N200="","",IF(N200&lt;TODAY(),"Overdue - refill now",IF(N200-TODAY()&lt;=ExpiryAlertDays,"Due in "&amp;TEXT(N200-TODAY(),"0")&amp;" days","OK")))</f>
        <v>0</v>
      </c>
      <c r="Q200" s="49">
        <f>IF(P200="","",IF(P200&lt;TODAY(),"Past",IF(P200-TODAY()&lt;=ExpiryAlertDays,"Due in "&amp;TEXT(P200-TODAY(),"0")&amp;" days","Booked")))</f>
        <v>0</v>
      </c>
      <c r="U200" s="28">
        <f>IF(B200="","",TEXT(B200,"yyyy-mm"))</f>
        <v>0</v>
      </c>
      <c r="V200" s="49">
        <f>IF(B200="","",IF(L200="Missed","Missed dose - tell the owner",IF(L200="Refused","Refused - monitor and report",IF(AND(L200="Scheduled",B200&lt;TODAY()),"Overdue - not recorded",IF(AND(S200&lt;&gt;"Yes",F200="Vet visit"),"Action - update the owner","OK")))))</f>
        <v>0</v>
      </c>
    </row>
    <row r="201" spans="1:22">
      <c r="A201" s="46">
        <f>IF(B201="","","HL-"&amp;TEXT(ROW()-4,"0000"))</f>
        <v>0</v>
      </c>
      <c r="E201" s="28">
        <f>IF(D201="","",IFERROR(INDEX(Pets!$C$5:$C$254,MATCH(D201,Pets!$D$5:$D$254,0)),""))</f>
        <v>0</v>
      </c>
      <c r="O201" s="49">
        <f>IF(N201="","",IF(N201&lt;TODAY(),"Overdue - refill now",IF(N201-TODAY()&lt;=ExpiryAlertDays,"Due in "&amp;TEXT(N201-TODAY(),"0")&amp;" days","OK")))</f>
        <v>0</v>
      </c>
      <c r="Q201" s="49">
        <f>IF(P201="","",IF(P201&lt;TODAY(),"Past",IF(P201-TODAY()&lt;=ExpiryAlertDays,"Due in "&amp;TEXT(P201-TODAY(),"0")&amp;" days","Booked")))</f>
        <v>0</v>
      </c>
      <c r="U201" s="28">
        <f>IF(B201="","",TEXT(B201,"yyyy-mm"))</f>
        <v>0</v>
      </c>
      <c r="V201" s="49">
        <f>IF(B201="","",IF(L201="Missed","Missed dose - tell the owner",IF(L201="Refused","Refused - monitor and report",IF(AND(L201="Scheduled",B201&lt;TODAY()),"Overdue - not recorded",IF(AND(S201&lt;&gt;"Yes",F201="Vet visit"),"Action - update the owner","OK")))))</f>
        <v>0</v>
      </c>
    </row>
    <row r="202" spans="1:22">
      <c r="A202" s="46">
        <f>IF(B202="","","HL-"&amp;TEXT(ROW()-4,"0000"))</f>
        <v>0</v>
      </c>
      <c r="E202" s="28">
        <f>IF(D202="","",IFERROR(INDEX(Pets!$C$5:$C$254,MATCH(D202,Pets!$D$5:$D$254,0)),""))</f>
        <v>0</v>
      </c>
      <c r="O202" s="49">
        <f>IF(N202="","",IF(N202&lt;TODAY(),"Overdue - refill now",IF(N202-TODAY()&lt;=ExpiryAlertDays,"Due in "&amp;TEXT(N202-TODAY(),"0")&amp;" days","OK")))</f>
        <v>0</v>
      </c>
      <c r="Q202" s="49">
        <f>IF(P202="","",IF(P202&lt;TODAY(),"Past",IF(P202-TODAY()&lt;=ExpiryAlertDays,"Due in "&amp;TEXT(P202-TODAY(),"0")&amp;" days","Booked")))</f>
        <v>0</v>
      </c>
      <c r="U202" s="28">
        <f>IF(B202="","",TEXT(B202,"yyyy-mm"))</f>
        <v>0</v>
      </c>
      <c r="V202" s="49">
        <f>IF(B202="","",IF(L202="Missed","Missed dose - tell the owner",IF(L202="Refused","Refused - monitor and report",IF(AND(L202="Scheduled",B202&lt;TODAY()),"Overdue - not recorded",IF(AND(S202&lt;&gt;"Yes",F202="Vet visit"),"Action - update the owner","OK")))))</f>
        <v>0</v>
      </c>
    </row>
    <row r="203" spans="1:22">
      <c r="A203" s="46">
        <f>IF(B203="","","HL-"&amp;TEXT(ROW()-4,"0000"))</f>
        <v>0</v>
      </c>
      <c r="E203" s="28">
        <f>IF(D203="","",IFERROR(INDEX(Pets!$C$5:$C$254,MATCH(D203,Pets!$D$5:$D$254,0)),""))</f>
        <v>0</v>
      </c>
      <c r="O203" s="49">
        <f>IF(N203="","",IF(N203&lt;TODAY(),"Overdue - refill now",IF(N203-TODAY()&lt;=ExpiryAlertDays,"Due in "&amp;TEXT(N203-TODAY(),"0")&amp;" days","OK")))</f>
        <v>0</v>
      </c>
      <c r="Q203" s="49">
        <f>IF(P203="","",IF(P203&lt;TODAY(),"Past",IF(P203-TODAY()&lt;=ExpiryAlertDays,"Due in "&amp;TEXT(P203-TODAY(),"0")&amp;" days","Booked")))</f>
        <v>0</v>
      </c>
      <c r="U203" s="28">
        <f>IF(B203="","",TEXT(B203,"yyyy-mm"))</f>
        <v>0</v>
      </c>
      <c r="V203" s="49">
        <f>IF(B203="","",IF(L203="Missed","Missed dose - tell the owner",IF(L203="Refused","Refused - monitor and report",IF(AND(L203="Scheduled",B203&lt;TODAY()),"Overdue - not recorded",IF(AND(S203&lt;&gt;"Yes",F203="Vet visit"),"Action - update the owner","OK")))))</f>
        <v>0</v>
      </c>
    </row>
    <row r="204" spans="1:22">
      <c r="A204" s="46">
        <f>IF(B204="","","HL-"&amp;TEXT(ROW()-4,"0000"))</f>
        <v>0</v>
      </c>
      <c r="E204" s="28">
        <f>IF(D204="","",IFERROR(INDEX(Pets!$C$5:$C$254,MATCH(D204,Pets!$D$5:$D$254,0)),""))</f>
        <v>0</v>
      </c>
      <c r="O204" s="49">
        <f>IF(N204="","",IF(N204&lt;TODAY(),"Overdue - refill now",IF(N204-TODAY()&lt;=ExpiryAlertDays,"Due in "&amp;TEXT(N204-TODAY(),"0")&amp;" days","OK")))</f>
        <v>0</v>
      </c>
      <c r="Q204" s="49">
        <f>IF(P204="","",IF(P204&lt;TODAY(),"Past",IF(P204-TODAY()&lt;=ExpiryAlertDays,"Due in "&amp;TEXT(P204-TODAY(),"0")&amp;" days","Booked")))</f>
        <v>0</v>
      </c>
      <c r="U204" s="28">
        <f>IF(B204="","",TEXT(B204,"yyyy-mm"))</f>
        <v>0</v>
      </c>
      <c r="V204" s="49">
        <f>IF(B204="","",IF(L204="Missed","Missed dose - tell the owner",IF(L204="Refused","Refused - monitor and report",IF(AND(L204="Scheduled",B204&lt;TODAY()),"Overdue - not recorded",IF(AND(S204&lt;&gt;"Yes",F204="Vet visit"),"Action - update the owner","OK")))))</f>
        <v>0</v>
      </c>
    </row>
  </sheetData>
  <sheetProtection password="EC7C" sheet="1" objects="1" scenarios="1" formatCells="0" formatColumns="0" formatRows="0" insertRows="0" insertHyperlinks="0" deleteRows="0" autoFilter="0"/>
  <autoFilter ref="A4:V204"/>
  <mergeCells count="13">
    <mergeCell ref="A1:S1"/>
    <mergeCell ref="T1:V1"/>
    <mergeCell ref="A2:V2"/>
    <mergeCell ref="A3:B3"/>
    <mergeCell ref="C3:D3"/>
    <mergeCell ref="E3:F3"/>
    <mergeCell ref="G3:H3"/>
    <mergeCell ref="I3:J3"/>
    <mergeCell ref="K3:L3"/>
    <mergeCell ref="M3:N3"/>
    <mergeCell ref="O3:P3"/>
    <mergeCell ref="Q3:R3"/>
    <mergeCell ref="S3:V3"/>
  </mergeCells>
  <conditionalFormatting sqref="L5:L204">
    <cfRule type="containsText" dxfId="0" priority="1" operator="containsText" text="Completed">
      <formula>NOT(ISERROR(SEARCH("Completed",L5)))</formula>
    </cfRule>
    <cfRule type="containsText" dxfId="0" priority="2" operator="containsText" text="Confirmed">
      <formula>NOT(ISERROR(SEARCH("Confirmed",L5)))</formula>
    </cfRule>
    <cfRule type="containsText" dxfId="0" priority="3" operator="containsText" text="Paid">
      <formula>NOT(ISERROR(SEARCH("Paid",L5)))</formula>
    </cfRule>
    <cfRule type="containsText" dxfId="0" priority="4" operator="containsText" text="Active">
      <formula>NOT(ISERROR(SEARCH("Active",L5)))</formula>
    </cfRule>
    <cfRule type="containsText" dxfId="0" priority="5" operator="containsText" text="Resolved">
      <formula>NOT(ISERROR(SEARCH("Resolved",L5)))</formula>
    </cfRule>
    <cfRule type="containsText" dxfId="0" priority="6" operator="containsText" text="Given">
      <formula>NOT(ISERROR(SEARCH("Given",L5)))</formula>
    </cfRule>
    <cfRule type="containsText" dxfId="2" priority="7" operator="containsText" text="Pending">
      <formula>NOT(ISERROR(SEARCH("Pending",L5)))</formula>
    </cfRule>
    <cfRule type="containsText" dxfId="2" priority="8" operator="containsText" text="Draft">
      <formula>NOT(ISERROR(SEARCH("Draft",L5)))</formula>
    </cfRule>
    <cfRule type="containsText" dxfId="2" priority="9" operator="containsText" text="Enquiry">
      <formula>NOT(ISERROR(SEARCH("Enquiry",L5)))</formula>
    </cfRule>
    <cfRule type="containsText" dxfId="2" priority="10" operator="containsText" text="Partially">
      <formula>NOT(ISERROR(SEARCH("Partially",L5)))</formula>
    </cfRule>
    <cfRule type="containsText" dxfId="3" priority="11" operator="containsText" text="In progress">
      <formula>NOT(ISERROR(SEARCH("In progress",L5)))</formula>
    </cfRule>
    <cfRule type="containsText" dxfId="3" priority="12" operator="containsText" text="Scheduled">
      <formula>NOT(ISERROR(SEARCH("Scheduled",L5)))</formula>
    </cfRule>
    <cfRule type="containsText" dxfId="3" priority="13" operator="containsText" text="Sent">
      <formula>NOT(ISERROR(SEARCH("Sent",L5)))</formula>
    </cfRule>
    <cfRule type="containsText" dxfId="1" priority="14" operator="containsText" text="Cancelled">
      <formula>NOT(ISERROR(SEARCH("Cancelled",L5)))</formula>
    </cfRule>
    <cfRule type="containsText" dxfId="1" priority="15" operator="containsText" text="No show">
      <formula>NOT(ISERROR(SEARCH("No show",L5)))</formula>
    </cfRule>
    <cfRule type="containsText" dxfId="1" priority="16" operator="containsText" text="Missed">
      <formula>NOT(ISERROR(SEARCH("Missed",L5)))</formula>
    </cfRule>
    <cfRule type="containsText" dxfId="1" priority="17" operator="containsText" text="Overdue">
      <formula>NOT(ISERROR(SEARCH("Overdue",L5)))</formula>
    </cfRule>
    <cfRule type="containsText" dxfId="4" priority="18" operator="containsText" text="Inactive">
      <formula>NOT(ISERROR(SEARCH("Inactive",L5)))</formula>
    </cfRule>
    <cfRule type="containsText" dxfId="1" priority="19" operator="containsText" text="Lost">
      <formula>NOT(ISERROR(SEARCH("Lost",L5)))</formula>
    </cfRule>
  </conditionalFormatting>
  <conditionalFormatting sqref="O5:O204">
    <cfRule type="beginsWith" dxfId="0" priority="20" operator="beginsWith" text="OK">
      <formula>LEFT(O5,2)="OK"</formula>
    </cfRule>
    <cfRule type="containsText" dxfId="1" priority="21" operator="containsText" text="Overdue">
      <formula>NOT(ISERROR(SEARCH("Overdue",O5)))</formula>
    </cfRule>
    <cfRule type="containsText" dxfId="1" priority="22" operator="containsText" text="Missed">
      <formula>NOT(ISERROR(SEARCH("Missed",O5)))</formula>
    </cfRule>
    <cfRule type="containsText" dxfId="1" priority="23" operator="containsText" text="Conflict">
      <formula>NOT(ISERROR(SEARCH("Conflict",O5)))</formula>
    </cfRule>
    <cfRule type="containsText" dxfId="1" priority="24" operator="containsText" text="Expired">
      <formula>NOT(ISERROR(SEARCH("Expired",O5)))</formula>
    </cfRule>
    <cfRule type="containsText" dxfId="1" priority="25" operator="containsText" text="Duplicate">
      <formula>NOT(ISERROR(SEARCH("Duplicate",O5)))</formula>
    </cfRule>
    <cfRule type="containsText" dxfId="2" priority="26" operator="containsText" text="Action">
      <formula>NOT(ISERROR(SEARCH("Action",O5)))</formula>
    </cfRule>
    <cfRule type="containsText" dxfId="2" priority="27" operator="containsText" text="Due">
      <formula>NOT(ISERROR(SEARCH("Due",O5)))</formula>
    </cfRule>
    <cfRule type="containsText" dxfId="2" priority="28" operator="containsText" text="Check">
      <formula>NOT(ISERROR(SEARCH("Check",O5)))</formula>
    </cfRule>
    <cfRule type="containsText" dxfId="3" priority="29" operator="containsText" text="Today">
      <formula>NOT(ISERROR(SEARCH("Today",O5)))</formula>
    </cfRule>
    <cfRule type="containsText" dxfId="3" priority="30" operator="containsText" text="Upcoming">
      <formula>NOT(ISERROR(SEARCH("Upcoming",O5)))</formula>
    </cfRule>
  </conditionalFormatting>
  <conditionalFormatting sqref="Q5:Q204">
    <cfRule type="beginsWith" dxfId="0" priority="31" operator="beginsWith" text="OK">
      <formula>LEFT(Q5,2)="OK"</formula>
    </cfRule>
    <cfRule type="containsText" dxfId="1" priority="32" operator="containsText" text="Overdue">
      <formula>NOT(ISERROR(SEARCH("Overdue",Q5)))</formula>
    </cfRule>
    <cfRule type="containsText" dxfId="1" priority="33" operator="containsText" text="Missed">
      <formula>NOT(ISERROR(SEARCH("Missed",Q5)))</formula>
    </cfRule>
    <cfRule type="containsText" dxfId="1" priority="34" operator="containsText" text="Conflict">
      <formula>NOT(ISERROR(SEARCH("Conflict",Q5)))</formula>
    </cfRule>
    <cfRule type="containsText" dxfId="1" priority="35" operator="containsText" text="Expired">
      <formula>NOT(ISERROR(SEARCH("Expired",Q5)))</formula>
    </cfRule>
    <cfRule type="containsText" dxfId="1" priority="36" operator="containsText" text="Duplicate">
      <formula>NOT(ISERROR(SEARCH("Duplicate",Q5)))</formula>
    </cfRule>
    <cfRule type="containsText" dxfId="2" priority="37" operator="containsText" text="Action">
      <formula>NOT(ISERROR(SEARCH("Action",Q5)))</formula>
    </cfRule>
    <cfRule type="containsText" dxfId="2" priority="38" operator="containsText" text="Due">
      <formula>NOT(ISERROR(SEARCH("Due",Q5)))</formula>
    </cfRule>
    <cfRule type="containsText" dxfId="2" priority="39" operator="containsText" text="Check">
      <formula>NOT(ISERROR(SEARCH("Check",Q5)))</formula>
    </cfRule>
    <cfRule type="containsText" dxfId="3" priority="40" operator="containsText" text="Today">
      <formula>NOT(ISERROR(SEARCH("Today",Q5)))</formula>
    </cfRule>
    <cfRule type="containsText" dxfId="3" priority="41" operator="containsText" text="Upcoming">
      <formula>NOT(ISERROR(SEARCH("Upcoming",Q5)))</formula>
    </cfRule>
    <cfRule type="containsText" dxfId="0" priority="42" operator="containsText" text="Booked">
      <formula>NOT(ISERROR(SEARCH("Booked",Q5)))</formula>
    </cfRule>
  </conditionalFormatting>
  <conditionalFormatting sqref="S5:S204">
    <cfRule type="containsText" dxfId="0" priority="43" operator="containsText" text="Completed">
      <formula>NOT(ISERROR(SEARCH("Completed",S5)))</formula>
    </cfRule>
    <cfRule type="containsText" dxfId="0" priority="44" operator="containsText" text="Confirmed">
      <formula>NOT(ISERROR(SEARCH("Confirmed",S5)))</formula>
    </cfRule>
    <cfRule type="containsText" dxfId="0" priority="45" operator="containsText" text="Paid">
      <formula>NOT(ISERROR(SEARCH("Paid",S5)))</formula>
    </cfRule>
    <cfRule type="containsText" dxfId="0" priority="46" operator="containsText" text="Active">
      <formula>NOT(ISERROR(SEARCH("Active",S5)))</formula>
    </cfRule>
    <cfRule type="containsText" dxfId="0" priority="47" operator="containsText" text="Resolved">
      <formula>NOT(ISERROR(SEARCH("Resolved",S5)))</formula>
    </cfRule>
    <cfRule type="containsText" dxfId="0" priority="48" operator="containsText" text="Given">
      <formula>NOT(ISERROR(SEARCH("Given",S5)))</formula>
    </cfRule>
    <cfRule type="containsText" dxfId="2" priority="49" operator="containsText" text="Pending">
      <formula>NOT(ISERROR(SEARCH("Pending",S5)))</formula>
    </cfRule>
    <cfRule type="containsText" dxfId="2" priority="50" operator="containsText" text="Draft">
      <formula>NOT(ISERROR(SEARCH("Draft",S5)))</formula>
    </cfRule>
    <cfRule type="containsText" dxfId="2" priority="51" operator="containsText" text="Enquiry">
      <formula>NOT(ISERROR(SEARCH("Enquiry",S5)))</formula>
    </cfRule>
    <cfRule type="containsText" dxfId="2" priority="52" operator="containsText" text="Partially">
      <formula>NOT(ISERROR(SEARCH("Partially",S5)))</formula>
    </cfRule>
    <cfRule type="containsText" dxfId="3" priority="53" operator="containsText" text="In progress">
      <formula>NOT(ISERROR(SEARCH("In progress",S5)))</formula>
    </cfRule>
    <cfRule type="containsText" dxfId="3" priority="54" operator="containsText" text="Scheduled">
      <formula>NOT(ISERROR(SEARCH("Scheduled",S5)))</formula>
    </cfRule>
    <cfRule type="containsText" dxfId="3" priority="55" operator="containsText" text="Sent">
      <formula>NOT(ISERROR(SEARCH("Sent",S5)))</formula>
    </cfRule>
    <cfRule type="containsText" dxfId="1" priority="56" operator="containsText" text="Cancelled">
      <formula>NOT(ISERROR(SEARCH("Cancelled",S5)))</formula>
    </cfRule>
    <cfRule type="containsText" dxfId="1" priority="57" operator="containsText" text="No show">
      <formula>NOT(ISERROR(SEARCH("No show",S5)))</formula>
    </cfRule>
    <cfRule type="containsText" dxfId="1" priority="58" operator="containsText" text="Missed">
      <formula>NOT(ISERROR(SEARCH("Missed",S5)))</formula>
    </cfRule>
    <cfRule type="containsText" dxfId="1" priority="59" operator="containsText" text="Overdue">
      <formula>NOT(ISERROR(SEARCH("Overdue",S5)))</formula>
    </cfRule>
    <cfRule type="containsText" dxfId="4" priority="60" operator="containsText" text="Inactive">
      <formula>NOT(ISERROR(SEARCH("Inactive",S5)))</formula>
    </cfRule>
    <cfRule type="containsText" dxfId="1" priority="61" operator="containsText" text="Lost">
      <formula>NOT(ISERROR(SEARCH("Lost",S5)))</formula>
    </cfRule>
  </conditionalFormatting>
  <conditionalFormatting sqref="V5:V204">
    <cfRule type="beginsWith" dxfId="0" priority="62" operator="beginsWith" text="OK">
      <formula>LEFT(V5,2)="OK"</formula>
    </cfRule>
    <cfRule type="containsText" dxfId="1" priority="63" operator="containsText" text="Overdue">
      <formula>NOT(ISERROR(SEARCH("Overdue",V5)))</formula>
    </cfRule>
    <cfRule type="containsText" dxfId="1" priority="64" operator="containsText" text="Missed">
      <formula>NOT(ISERROR(SEARCH("Missed",V5)))</formula>
    </cfRule>
    <cfRule type="containsText" dxfId="1" priority="65" operator="containsText" text="Conflict">
      <formula>NOT(ISERROR(SEARCH("Conflict",V5)))</formula>
    </cfRule>
    <cfRule type="containsText" dxfId="1" priority="66" operator="containsText" text="Expired">
      <formula>NOT(ISERROR(SEARCH("Expired",V5)))</formula>
    </cfRule>
    <cfRule type="containsText" dxfId="1" priority="67" operator="containsText" text="Duplicate">
      <formula>NOT(ISERROR(SEARCH("Duplicate",V5)))</formula>
    </cfRule>
    <cfRule type="containsText" dxfId="2" priority="68" operator="containsText" text="Action">
      <formula>NOT(ISERROR(SEARCH("Action",V5)))</formula>
    </cfRule>
    <cfRule type="containsText" dxfId="2" priority="69" operator="containsText" text="Due">
      <formula>NOT(ISERROR(SEARCH("Due",V5)))</formula>
    </cfRule>
    <cfRule type="containsText" dxfId="2" priority="70" operator="containsText" text="Check">
      <formula>NOT(ISERROR(SEARCH("Check",V5)))</formula>
    </cfRule>
    <cfRule type="containsText" dxfId="3" priority="71" operator="containsText" text="Today">
      <formula>NOT(ISERROR(SEARCH("Today",V5)))</formula>
    </cfRule>
    <cfRule type="containsText" dxfId="3" priority="72" operator="containsText" text="Upcoming">
      <formula>NOT(ISERROR(SEARCH("Upcoming",V5)))</formula>
    </cfRule>
  </conditionalFormatting>
  <dataValidations count="10">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D5:D204">
      <formula1>PetLabels</formula1>
    </dataValidation>
    <dataValidation type="list" allowBlank="1" showInputMessage="1" showErrorMessage="1" sqref="F5:F204">
      <formula1>HealthRecordTypeList</formula1>
    </dataValidation>
    <dataValidation type="list" allowBlank="1" showInputMessage="1" showErrorMessage="1" sqref="K5:K204">
      <formula1>StaffNames</formula1>
    </dataValidation>
    <dataValidation type="list" allowBlank="1" showInputMessage="1" showErrorMessage="1" sqref="L5:L204">
      <formula1>MedStatusList</formula1>
    </dataValidation>
    <dataValidation type="decimal" allowBlank="1" showInputMessage="1" showErrorMessage="1" errorTitle="Check the value" error="Enter a number between 0 and 10000." promptTitle="Supply left" prompt="Doses, tablets or ml left in the client's supply." sqref="M5:M204">
      <formula1>0</formula1>
      <formula2>10000</formula2>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P5:P204">
      <formula1>36526</formula1>
      <formula2>73415</formula2>
    </dataValidation>
    <dataValidation type="decimal" allowBlank="1" showInputMessage="1" showErrorMessage="1" errorTitle="Check the value" error="Enter a number between 0 and 100000." promptTitle="Cost" prompt="Vet bills or treatment costs you paid on behalf of the client - recharge them on the invoice." sqref="R5:R204">
      <formula1>0</formula1>
      <formula2>100000</formula2>
    </dataValidation>
    <dataValidation type="list" allowBlank="1" showInputMessage="1" showErrorMessage="1" sqref="S5:S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&amp;L&amp;"Calibri,Bold"&amp;12&amp;C&amp;"Calibri,Bold"&amp;11Health Log&amp;R&amp;"Calibri,Italic"&amp;9Pet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1.xml><?xml version="1.0" encoding="utf-8"?>
<worksheet xmlns="http://schemas.openxmlformats.org/spreadsheetml/2006/main" xmlns:r="http://schemas.openxmlformats.org/officeDocument/2006/relationships">
  <sheetPr>
    <tabColor rgb="FF9C1C2E"/>
    <pageSetUpPr fitToPage="1"/>
  </sheetPr>
  <dimension ref="A1:W117"/>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6" customWidth="1"/>
    <col min="2" max="2" width="12.7109375" style="39" customWidth="1"/>
    <col min="3" max="3" width="9.7109375" style="44" customWidth="1"/>
    <col min="4" max="4" width="20.7109375" style="20" customWidth="1"/>
    <col min="5" max="5" width="22.7109375" style="20" customWidth="1"/>
    <col min="6" max="6" width="15.7109375" style="20" customWidth="1"/>
    <col min="7" max="7" width="13.7109375" style="20" customWidth="1"/>
    <col min="8" max="8" width="16.7109375" style="20" customWidth="1"/>
    <col min="9" max="9" width="11.7109375" style="48" customWidth="1"/>
    <col min="10" max="10" width="44.7109375" style="47" customWidth="1"/>
    <col min="11" max="11" width="40.7109375" style="47" customWidth="1"/>
    <col min="12" max="12" width="10.7109375" style="12" customWidth="1"/>
    <col min="13" max="13" width="20.7109375" style="20" customWidth="1"/>
    <col min="14" max="14" width="10.7109375" style="12" customWidth="1"/>
    <col min="15" max="15" width="16.7109375" style="20" customWidth="1"/>
    <col min="16" max="16" width="10.7109375" style="12" customWidth="1"/>
    <col min="17" max="17" width="12.7109375" style="39" customWidth="1"/>
    <col min="18" max="18" width="13.7109375" style="48" customWidth="1"/>
    <col min="19" max="19" width="11.7109375" style="42" customWidth="1"/>
    <col min="20" max="20" width="10.7109375" style="12" customWidth="1"/>
    <col min="21" max="21" width="9.7109375" style="28" customWidth="1"/>
    <col min="22" max="22" width="34.7109375" style="47" customWidth="1"/>
    <col min="23" max="23" width="24.7109375" style="49" customWidth="1"/>
  </cols>
  <sheetData>
    <row r="1" spans="1:23" ht="34" customHeight="1">
      <c r="A1" s="2" t="s">
        <v>819</v>
      </c>
      <c r="B1" s="2"/>
      <c r="C1" s="2"/>
      <c r="D1" s="2"/>
      <c r="E1" s="2"/>
      <c r="F1" s="2"/>
      <c r="G1" s="2"/>
      <c r="H1" s="2"/>
      <c r="I1" s="2"/>
      <c r="J1" s="2"/>
      <c r="K1" s="2"/>
      <c r="L1" s="2"/>
      <c r="M1" s="2"/>
      <c r="N1" s="2"/>
      <c r="O1" s="2"/>
      <c r="P1" s="2"/>
      <c r="Q1" s="2"/>
      <c r="R1" s="2"/>
      <c r="S1" s="2"/>
      <c r="T1" s="2"/>
      <c r="U1" s="3" t="s">
        <v>118</v>
      </c>
      <c r="V1" s="3"/>
      <c r="W1" s="3"/>
    </row>
    <row r="2" spans="1:23" ht="18" customHeight="1">
      <c r="A2" s="4" t="s">
        <v>820</v>
      </c>
      <c r="B2" s="4"/>
      <c r="C2" s="4"/>
      <c r="D2" s="4"/>
      <c r="E2" s="4"/>
      <c r="F2" s="4"/>
      <c r="G2" s="4"/>
      <c r="H2" s="4"/>
      <c r="I2" s="4"/>
      <c r="J2" s="4"/>
      <c r="K2" s="4"/>
      <c r="L2" s="4"/>
      <c r="M2" s="4"/>
      <c r="N2" s="4"/>
      <c r="O2" s="4"/>
      <c r="P2" s="4"/>
      <c r="Q2" s="4"/>
      <c r="R2" s="4"/>
      <c r="S2" s="4"/>
      <c r="T2" s="4"/>
      <c r="U2" s="4"/>
      <c r="V2" s="4"/>
      <c r="W2" s="4"/>
    </row>
    <row r="3" spans="1:23"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c r="U3" s="38"/>
      <c r="V3" s="38"/>
      <c r="W3" s="38"/>
    </row>
    <row r="4" spans="1:23" ht="20" customHeight="1">
      <c r="A4" s="6" t="s">
        <v>835</v>
      </c>
      <c r="B4" s="6"/>
      <c r="C4" s="6"/>
      <c r="D4" s="6"/>
      <c r="E4" s="6"/>
      <c r="F4" s="6"/>
      <c r="G4" s="6"/>
      <c r="H4" s="6"/>
    </row>
    <row r="5" spans="1:23" ht="20" customHeight="1">
      <c r="A5" s="8" t="s">
        <v>836</v>
      </c>
      <c r="B5" s="9" t="s">
        <v>837</v>
      </c>
      <c r="C5" s="9"/>
      <c r="D5" s="9" t="s">
        <v>838</v>
      </c>
      <c r="E5" s="9"/>
      <c r="F5" s="9"/>
      <c r="G5" s="9"/>
      <c r="H5" s="9" t="s">
        <v>339</v>
      </c>
    </row>
    <row r="6" spans="1:23">
      <c r="A6" s="18" t="s">
        <v>839</v>
      </c>
      <c r="B6" s="28">
        <f>Biz_Phone</f>
        <v>0</v>
      </c>
      <c r="C6" s="28"/>
      <c r="D6" s="20" t="s">
        <v>840</v>
      </c>
      <c r="E6" s="20"/>
      <c r="F6" s="20"/>
      <c r="G6" s="20"/>
      <c r="H6" s="20"/>
    </row>
    <row r="7" spans="1:23">
      <c r="A7" s="18" t="s">
        <v>841</v>
      </c>
      <c r="B7" s="28">
        <f>Biz_Owner</f>
        <v>0</v>
      </c>
      <c r="C7" s="28"/>
      <c r="D7" s="20" t="s">
        <v>842</v>
      </c>
      <c r="E7" s="20"/>
      <c r="F7" s="20"/>
      <c r="G7" s="20"/>
      <c r="H7" s="20"/>
    </row>
    <row r="8" spans="1:23">
      <c r="A8" s="18" t="s">
        <v>843</v>
      </c>
      <c r="B8" s="20" t="s">
        <v>844</v>
      </c>
      <c r="C8" s="20"/>
      <c r="D8" s="20" t="s">
        <v>845</v>
      </c>
      <c r="E8" s="20"/>
      <c r="F8" s="20"/>
      <c r="G8" s="20"/>
      <c r="H8" s="20"/>
    </row>
    <row r="9" spans="1:23">
      <c r="A9" s="18" t="s">
        <v>846</v>
      </c>
      <c r="B9" s="20" t="s">
        <v>847</v>
      </c>
      <c r="C9" s="20"/>
      <c r="D9" s="20" t="s">
        <v>848</v>
      </c>
      <c r="E9" s="20"/>
      <c r="F9" s="20"/>
      <c r="G9" s="20"/>
      <c r="H9" s="20"/>
    </row>
    <row r="10" spans="1:23">
      <c r="A10" s="18" t="s">
        <v>849</v>
      </c>
      <c r="B10" s="20" t="s">
        <v>850</v>
      </c>
      <c r="C10" s="20"/>
      <c r="D10" s="20" t="s">
        <v>851</v>
      </c>
      <c r="E10" s="20"/>
      <c r="F10" s="20"/>
      <c r="G10" s="20"/>
      <c r="H10" s="20"/>
    </row>
    <row r="11" spans="1:23">
      <c r="A11" s="18" t="s">
        <v>852</v>
      </c>
      <c r="B11" s="20" t="s">
        <v>853</v>
      </c>
      <c r="C11" s="20"/>
      <c r="D11" s="20" t="s">
        <v>854</v>
      </c>
      <c r="E11" s="20"/>
      <c r="F11" s="20"/>
      <c r="G11" s="20"/>
      <c r="H11" s="20"/>
    </row>
    <row r="12" spans="1:23">
      <c r="A12" s="18" t="s">
        <v>855</v>
      </c>
      <c r="B12" s="28">
        <f>Biz_Insurer</f>
        <v>0</v>
      </c>
      <c r="C12" s="28"/>
      <c r="D12" s="28">
        <f>Biz_Policy</f>
        <v>0</v>
      </c>
      <c r="E12" s="28"/>
      <c r="F12" s="28"/>
      <c r="G12" s="28"/>
      <c r="H12" s="20"/>
    </row>
    <row r="13" spans="1:23">
      <c r="A13" s="18" t="s">
        <v>856</v>
      </c>
      <c r="B13" s="20" t="s">
        <v>857</v>
      </c>
      <c r="C13" s="20"/>
      <c r="D13" s="20" t="s">
        <v>858</v>
      </c>
      <c r="E13" s="20"/>
      <c r="F13" s="20"/>
      <c r="G13" s="20"/>
      <c r="H13" s="20"/>
    </row>
    <row r="14" spans="1:23">
      <c r="A14" s="18" t="s">
        <v>859</v>
      </c>
      <c r="B14" s="20" t="s">
        <v>860</v>
      </c>
      <c r="C14" s="20"/>
      <c r="D14" s="20" t="s">
        <v>861</v>
      </c>
      <c r="E14" s="20"/>
      <c r="F14" s="20"/>
      <c r="G14" s="20"/>
      <c r="H14" s="20"/>
    </row>
    <row r="16" spans="1:23" ht="26" customHeight="1">
      <c r="A16" s="5" t="s">
        <v>821</v>
      </c>
      <c r="B16" s="5"/>
      <c r="C16" s="5"/>
      <c r="D16" s="5"/>
      <c r="E16" s="5"/>
      <c r="F16" s="5"/>
      <c r="G16" s="5"/>
      <c r="H16" s="5"/>
      <c r="I16" s="5"/>
      <c r="J16" s="5"/>
      <c r="K16" s="5"/>
      <c r="L16" s="5"/>
      <c r="M16" s="5"/>
      <c r="N16" s="5"/>
      <c r="O16" s="5"/>
      <c r="P16" s="5"/>
      <c r="Q16" s="5"/>
      <c r="R16" s="5"/>
      <c r="S16" s="5"/>
      <c r="T16" s="5"/>
      <c r="U16" s="5"/>
      <c r="V16" s="5"/>
      <c r="W16" s="5"/>
    </row>
    <row r="17" spans="1:23" ht="30" customHeight="1">
      <c r="A17" s="8" t="s">
        <v>642</v>
      </c>
      <c r="B17" s="8" t="s">
        <v>337</v>
      </c>
      <c r="C17" s="9" t="s">
        <v>807</v>
      </c>
      <c r="D17" s="9" t="s">
        <v>207</v>
      </c>
      <c r="E17" s="9" t="s">
        <v>734</v>
      </c>
      <c r="F17" s="9" t="s">
        <v>822</v>
      </c>
      <c r="G17" s="9" t="s">
        <v>823</v>
      </c>
      <c r="H17" s="9" t="s">
        <v>498</v>
      </c>
      <c r="I17" s="9" t="s">
        <v>508</v>
      </c>
      <c r="J17" s="9" t="s">
        <v>824</v>
      </c>
      <c r="K17" s="9" t="s">
        <v>825</v>
      </c>
      <c r="L17" s="9" t="s">
        <v>826</v>
      </c>
      <c r="M17" s="9" t="s">
        <v>827</v>
      </c>
      <c r="N17" s="9" t="s">
        <v>818</v>
      </c>
      <c r="O17" s="9" t="s">
        <v>828</v>
      </c>
      <c r="P17" s="9" t="s">
        <v>829</v>
      </c>
      <c r="Q17" s="9" t="s">
        <v>830</v>
      </c>
      <c r="R17" s="9" t="s">
        <v>665</v>
      </c>
      <c r="S17" s="9" t="s">
        <v>831</v>
      </c>
      <c r="T17" s="9" t="s">
        <v>832</v>
      </c>
      <c r="U17" s="9" t="s">
        <v>833</v>
      </c>
      <c r="V17" s="9" t="s">
        <v>834</v>
      </c>
      <c r="W17" s="9" t="s">
        <v>686</v>
      </c>
    </row>
    <row r="18" spans="1:23">
      <c r="A18" s="46">
        <f>IF(B18="","","IN-"&amp;TEXT(ROW()-4,"000"))</f>
        <v>0</v>
      </c>
      <c r="U18" s="28">
        <f>IF(B18="","",IF(OR(R18="Resolved",R18="Closed"),"Closed",TEXT(TODAY()-B18,"0")&amp;" days"))</f>
        <v>0</v>
      </c>
      <c r="W18" s="49">
        <f>IF(B18="","",IF(N18&lt;&gt;"Yes","Action - notify the owner",IF(AND(P18="Yes",Q18&lt;&gt;"",Q18&lt;TODAY(),R18&lt;&gt;"Resolved",R18&lt;&gt;"Closed"),"Overdue follow-up",IF(OR(R18="Open",R18="In progress"),"Open - keep working it","OK"))))</f>
        <v>0</v>
      </c>
    </row>
    <row r="19" spans="1:23">
      <c r="A19" s="46">
        <f>IF(B19="","","IN-"&amp;TEXT(ROW()-4,"000"))</f>
        <v>0</v>
      </c>
      <c r="U19" s="28">
        <f>IF(B19="","",IF(OR(R19="Resolved",R19="Closed"),"Closed",TEXT(TODAY()-B19,"0")&amp;" days"))</f>
        <v>0</v>
      </c>
      <c r="W19" s="49">
        <f>IF(B19="","",IF(N19&lt;&gt;"Yes","Action - notify the owner",IF(AND(P19="Yes",Q19&lt;&gt;"",Q19&lt;TODAY(),R19&lt;&gt;"Resolved",R19&lt;&gt;"Closed"),"Overdue follow-up",IF(OR(R19="Open",R19="In progress"),"Open - keep working it","OK"))))</f>
        <v>0</v>
      </c>
    </row>
    <row r="20" spans="1:23">
      <c r="A20" s="46">
        <f>IF(B20="","","IN-"&amp;TEXT(ROW()-4,"000"))</f>
        <v>0</v>
      </c>
      <c r="U20" s="28">
        <f>IF(B20="","",IF(OR(R20="Resolved",R20="Closed"),"Closed",TEXT(TODAY()-B20,"0")&amp;" days"))</f>
        <v>0</v>
      </c>
      <c r="W20" s="49">
        <f>IF(B20="","",IF(N20&lt;&gt;"Yes","Action - notify the owner",IF(AND(P20="Yes",Q20&lt;&gt;"",Q20&lt;TODAY(),R20&lt;&gt;"Resolved",R20&lt;&gt;"Closed"),"Overdue follow-up",IF(OR(R20="Open",R20="In progress"),"Open - keep working it","OK"))))</f>
        <v>0</v>
      </c>
    </row>
    <row r="21" spans="1:23">
      <c r="A21" s="46">
        <f>IF(B21="","","IN-"&amp;TEXT(ROW()-4,"000"))</f>
        <v>0</v>
      </c>
      <c r="U21" s="28">
        <f>IF(B21="","",IF(OR(R21="Resolved",R21="Closed"),"Closed",TEXT(TODAY()-B21,"0")&amp;" days"))</f>
        <v>0</v>
      </c>
      <c r="W21" s="49">
        <f>IF(B21="","",IF(N21&lt;&gt;"Yes","Action - notify the owner",IF(AND(P21="Yes",Q21&lt;&gt;"",Q21&lt;TODAY(),R21&lt;&gt;"Resolved",R21&lt;&gt;"Closed"),"Overdue follow-up",IF(OR(R21="Open",R21="In progress"),"Open - keep working it","OK"))))</f>
        <v>0</v>
      </c>
    </row>
    <row r="22" spans="1:23">
      <c r="A22" s="46">
        <f>IF(B22="","","IN-"&amp;TEXT(ROW()-4,"000"))</f>
        <v>0</v>
      </c>
      <c r="U22" s="28">
        <f>IF(B22="","",IF(OR(R22="Resolved",R22="Closed"),"Closed",TEXT(TODAY()-B22,"0")&amp;" days"))</f>
        <v>0</v>
      </c>
      <c r="W22" s="49">
        <f>IF(B22="","",IF(N22&lt;&gt;"Yes","Action - notify the owner",IF(AND(P22="Yes",Q22&lt;&gt;"",Q22&lt;TODAY(),R22&lt;&gt;"Resolved",R22&lt;&gt;"Closed"),"Overdue follow-up",IF(OR(R22="Open",R22="In progress"),"Open - keep working it","OK"))))</f>
        <v>0</v>
      </c>
    </row>
    <row r="23" spans="1:23">
      <c r="A23" s="46">
        <f>IF(B23="","","IN-"&amp;TEXT(ROW()-4,"000"))</f>
        <v>0</v>
      </c>
      <c r="U23" s="28">
        <f>IF(B23="","",IF(OR(R23="Resolved",R23="Closed"),"Closed",TEXT(TODAY()-B23,"0")&amp;" days"))</f>
        <v>0</v>
      </c>
      <c r="W23" s="49">
        <f>IF(B23="","",IF(N23&lt;&gt;"Yes","Action - notify the owner",IF(AND(P23="Yes",Q23&lt;&gt;"",Q23&lt;TODAY(),R23&lt;&gt;"Resolved",R23&lt;&gt;"Closed"),"Overdue follow-up",IF(OR(R23="Open",R23="In progress"),"Open - keep working it","OK"))))</f>
        <v>0</v>
      </c>
    </row>
    <row r="24" spans="1:23">
      <c r="A24" s="46">
        <f>IF(B24="","","IN-"&amp;TEXT(ROW()-4,"000"))</f>
        <v>0</v>
      </c>
      <c r="U24" s="28">
        <f>IF(B24="","",IF(OR(R24="Resolved",R24="Closed"),"Closed",TEXT(TODAY()-B24,"0")&amp;" days"))</f>
        <v>0</v>
      </c>
      <c r="W24" s="49">
        <f>IF(B24="","",IF(N24&lt;&gt;"Yes","Action - notify the owner",IF(AND(P24="Yes",Q24&lt;&gt;"",Q24&lt;TODAY(),R24&lt;&gt;"Resolved",R24&lt;&gt;"Closed"),"Overdue follow-up",IF(OR(R24="Open",R24="In progress"),"Open - keep working it","OK"))))</f>
        <v>0</v>
      </c>
    </row>
    <row r="25" spans="1:23">
      <c r="A25" s="46">
        <f>IF(B25="","","IN-"&amp;TEXT(ROW()-4,"000"))</f>
        <v>0</v>
      </c>
      <c r="U25" s="28">
        <f>IF(B25="","",IF(OR(R25="Resolved",R25="Closed"),"Closed",TEXT(TODAY()-B25,"0")&amp;" days"))</f>
        <v>0</v>
      </c>
      <c r="W25" s="49">
        <f>IF(B25="","",IF(N25&lt;&gt;"Yes","Action - notify the owner",IF(AND(P25="Yes",Q25&lt;&gt;"",Q25&lt;TODAY(),R25&lt;&gt;"Resolved",R25&lt;&gt;"Closed"),"Overdue follow-up",IF(OR(R25="Open",R25="In progress"),"Open - keep working it","OK"))))</f>
        <v>0</v>
      </c>
    </row>
    <row r="26" spans="1:23">
      <c r="A26" s="46">
        <f>IF(B26="","","IN-"&amp;TEXT(ROW()-4,"000"))</f>
        <v>0</v>
      </c>
      <c r="U26" s="28">
        <f>IF(B26="","",IF(OR(R26="Resolved",R26="Closed"),"Closed",TEXT(TODAY()-B26,"0")&amp;" days"))</f>
        <v>0</v>
      </c>
      <c r="W26" s="49">
        <f>IF(B26="","",IF(N26&lt;&gt;"Yes","Action - notify the owner",IF(AND(P26="Yes",Q26&lt;&gt;"",Q26&lt;TODAY(),R26&lt;&gt;"Resolved",R26&lt;&gt;"Closed"),"Overdue follow-up",IF(OR(R26="Open",R26="In progress"),"Open - keep working it","OK"))))</f>
        <v>0</v>
      </c>
    </row>
    <row r="27" spans="1:23">
      <c r="A27" s="46">
        <f>IF(B27="","","IN-"&amp;TEXT(ROW()-4,"000"))</f>
        <v>0</v>
      </c>
      <c r="U27" s="28">
        <f>IF(B27="","",IF(OR(R27="Resolved",R27="Closed"),"Closed",TEXT(TODAY()-B27,"0")&amp;" days"))</f>
        <v>0</v>
      </c>
      <c r="W27" s="49">
        <f>IF(B27="","",IF(N27&lt;&gt;"Yes","Action - notify the owner",IF(AND(P27="Yes",Q27&lt;&gt;"",Q27&lt;TODAY(),R27&lt;&gt;"Resolved",R27&lt;&gt;"Closed"),"Overdue follow-up",IF(OR(R27="Open",R27="In progress"),"Open - keep working it","OK"))))</f>
        <v>0</v>
      </c>
    </row>
    <row r="28" spans="1:23">
      <c r="A28" s="46">
        <f>IF(B28="","","IN-"&amp;TEXT(ROW()-4,"000"))</f>
        <v>0</v>
      </c>
      <c r="U28" s="28">
        <f>IF(B28="","",IF(OR(R28="Resolved",R28="Closed"),"Closed",TEXT(TODAY()-B28,"0")&amp;" days"))</f>
        <v>0</v>
      </c>
      <c r="W28" s="49">
        <f>IF(B28="","",IF(N28&lt;&gt;"Yes","Action - notify the owner",IF(AND(P28="Yes",Q28&lt;&gt;"",Q28&lt;TODAY(),R28&lt;&gt;"Resolved",R28&lt;&gt;"Closed"),"Overdue follow-up",IF(OR(R28="Open",R28="In progress"),"Open - keep working it","OK"))))</f>
        <v>0</v>
      </c>
    </row>
    <row r="29" spans="1:23">
      <c r="A29" s="46">
        <f>IF(B29="","","IN-"&amp;TEXT(ROW()-4,"000"))</f>
        <v>0</v>
      </c>
      <c r="U29" s="28">
        <f>IF(B29="","",IF(OR(R29="Resolved",R29="Closed"),"Closed",TEXT(TODAY()-B29,"0")&amp;" days"))</f>
        <v>0</v>
      </c>
      <c r="W29" s="49">
        <f>IF(B29="","",IF(N29&lt;&gt;"Yes","Action - notify the owner",IF(AND(P29="Yes",Q29&lt;&gt;"",Q29&lt;TODAY(),R29&lt;&gt;"Resolved",R29&lt;&gt;"Closed"),"Overdue follow-up",IF(OR(R29="Open",R29="In progress"),"Open - keep working it","OK"))))</f>
        <v>0</v>
      </c>
    </row>
    <row r="30" spans="1:23">
      <c r="A30" s="46">
        <f>IF(B30="","","IN-"&amp;TEXT(ROW()-4,"000"))</f>
        <v>0</v>
      </c>
      <c r="U30" s="28">
        <f>IF(B30="","",IF(OR(R30="Resolved",R30="Closed"),"Closed",TEXT(TODAY()-B30,"0")&amp;" days"))</f>
        <v>0</v>
      </c>
      <c r="W30" s="49">
        <f>IF(B30="","",IF(N30&lt;&gt;"Yes","Action - notify the owner",IF(AND(P30="Yes",Q30&lt;&gt;"",Q30&lt;TODAY(),R30&lt;&gt;"Resolved",R30&lt;&gt;"Closed"),"Overdue follow-up",IF(OR(R30="Open",R30="In progress"),"Open - keep working it","OK"))))</f>
        <v>0</v>
      </c>
    </row>
    <row r="31" spans="1:23">
      <c r="A31" s="46">
        <f>IF(B31="","","IN-"&amp;TEXT(ROW()-4,"000"))</f>
        <v>0</v>
      </c>
      <c r="U31" s="28">
        <f>IF(B31="","",IF(OR(R31="Resolved",R31="Closed"),"Closed",TEXT(TODAY()-B31,"0")&amp;" days"))</f>
        <v>0</v>
      </c>
      <c r="W31" s="49">
        <f>IF(B31="","",IF(N31&lt;&gt;"Yes","Action - notify the owner",IF(AND(P31="Yes",Q31&lt;&gt;"",Q31&lt;TODAY(),R31&lt;&gt;"Resolved",R31&lt;&gt;"Closed"),"Overdue follow-up",IF(OR(R31="Open",R31="In progress"),"Open - keep working it","OK"))))</f>
        <v>0</v>
      </c>
    </row>
    <row r="32" spans="1:23">
      <c r="A32" s="46">
        <f>IF(B32="","","IN-"&amp;TEXT(ROW()-4,"000"))</f>
        <v>0</v>
      </c>
      <c r="U32" s="28">
        <f>IF(B32="","",IF(OR(R32="Resolved",R32="Closed"),"Closed",TEXT(TODAY()-B32,"0")&amp;" days"))</f>
        <v>0</v>
      </c>
      <c r="W32" s="49">
        <f>IF(B32="","",IF(N32&lt;&gt;"Yes","Action - notify the owner",IF(AND(P32="Yes",Q32&lt;&gt;"",Q32&lt;TODAY(),R32&lt;&gt;"Resolved",R32&lt;&gt;"Closed"),"Overdue follow-up",IF(OR(R32="Open",R32="In progress"),"Open - keep working it","OK"))))</f>
        <v>0</v>
      </c>
    </row>
    <row r="33" spans="1:23">
      <c r="A33" s="46">
        <f>IF(B33="","","IN-"&amp;TEXT(ROW()-4,"000"))</f>
        <v>0</v>
      </c>
      <c r="U33" s="28">
        <f>IF(B33="","",IF(OR(R33="Resolved",R33="Closed"),"Closed",TEXT(TODAY()-B33,"0")&amp;" days"))</f>
        <v>0</v>
      </c>
      <c r="W33" s="49">
        <f>IF(B33="","",IF(N33&lt;&gt;"Yes","Action - notify the owner",IF(AND(P33="Yes",Q33&lt;&gt;"",Q33&lt;TODAY(),R33&lt;&gt;"Resolved",R33&lt;&gt;"Closed"),"Overdue follow-up",IF(OR(R33="Open",R33="In progress"),"Open - keep working it","OK"))))</f>
        <v>0</v>
      </c>
    </row>
    <row r="34" spans="1:23">
      <c r="A34" s="46">
        <f>IF(B34="","","IN-"&amp;TEXT(ROW()-4,"000"))</f>
        <v>0</v>
      </c>
      <c r="U34" s="28">
        <f>IF(B34="","",IF(OR(R34="Resolved",R34="Closed"),"Closed",TEXT(TODAY()-B34,"0")&amp;" days"))</f>
        <v>0</v>
      </c>
      <c r="W34" s="49">
        <f>IF(B34="","",IF(N34&lt;&gt;"Yes","Action - notify the owner",IF(AND(P34="Yes",Q34&lt;&gt;"",Q34&lt;TODAY(),R34&lt;&gt;"Resolved",R34&lt;&gt;"Closed"),"Overdue follow-up",IF(OR(R34="Open",R34="In progress"),"Open - keep working it","OK"))))</f>
        <v>0</v>
      </c>
    </row>
    <row r="35" spans="1:23">
      <c r="A35" s="46">
        <f>IF(B35="","","IN-"&amp;TEXT(ROW()-4,"000"))</f>
        <v>0</v>
      </c>
      <c r="U35" s="28">
        <f>IF(B35="","",IF(OR(R35="Resolved",R35="Closed"),"Closed",TEXT(TODAY()-B35,"0")&amp;" days"))</f>
        <v>0</v>
      </c>
      <c r="W35" s="49">
        <f>IF(B35="","",IF(N35&lt;&gt;"Yes","Action - notify the owner",IF(AND(P35="Yes",Q35&lt;&gt;"",Q35&lt;TODAY(),R35&lt;&gt;"Resolved",R35&lt;&gt;"Closed"),"Overdue follow-up",IF(OR(R35="Open",R35="In progress"),"Open - keep working it","OK"))))</f>
        <v>0</v>
      </c>
    </row>
    <row r="36" spans="1:23">
      <c r="A36" s="46">
        <f>IF(B36="","","IN-"&amp;TEXT(ROW()-4,"000"))</f>
        <v>0</v>
      </c>
      <c r="U36" s="28">
        <f>IF(B36="","",IF(OR(R36="Resolved",R36="Closed"),"Closed",TEXT(TODAY()-B36,"0")&amp;" days"))</f>
        <v>0</v>
      </c>
      <c r="W36" s="49">
        <f>IF(B36="","",IF(N36&lt;&gt;"Yes","Action - notify the owner",IF(AND(P36="Yes",Q36&lt;&gt;"",Q36&lt;TODAY(),R36&lt;&gt;"Resolved",R36&lt;&gt;"Closed"),"Overdue follow-up",IF(OR(R36="Open",R36="In progress"),"Open - keep working it","OK"))))</f>
        <v>0</v>
      </c>
    </row>
    <row r="37" spans="1:23">
      <c r="A37" s="46">
        <f>IF(B37="","","IN-"&amp;TEXT(ROW()-4,"000"))</f>
        <v>0</v>
      </c>
      <c r="U37" s="28">
        <f>IF(B37="","",IF(OR(R37="Resolved",R37="Closed"),"Closed",TEXT(TODAY()-B37,"0")&amp;" days"))</f>
        <v>0</v>
      </c>
      <c r="W37" s="49">
        <f>IF(B37="","",IF(N37&lt;&gt;"Yes","Action - notify the owner",IF(AND(P37="Yes",Q37&lt;&gt;"",Q37&lt;TODAY(),R37&lt;&gt;"Resolved",R37&lt;&gt;"Closed"),"Overdue follow-up",IF(OR(R37="Open",R37="In progress"),"Open - keep working it","OK"))))</f>
        <v>0</v>
      </c>
    </row>
    <row r="38" spans="1:23">
      <c r="A38" s="46">
        <f>IF(B38="","","IN-"&amp;TEXT(ROW()-4,"000"))</f>
        <v>0</v>
      </c>
      <c r="U38" s="28">
        <f>IF(B38="","",IF(OR(R38="Resolved",R38="Closed"),"Closed",TEXT(TODAY()-B38,"0")&amp;" days"))</f>
        <v>0</v>
      </c>
      <c r="W38" s="49">
        <f>IF(B38="","",IF(N38&lt;&gt;"Yes","Action - notify the owner",IF(AND(P38="Yes",Q38&lt;&gt;"",Q38&lt;TODAY(),R38&lt;&gt;"Resolved",R38&lt;&gt;"Closed"),"Overdue follow-up",IF(OR(R38="Open",R38="In progress"),"Open - keep working it","OK"))))</f>
        <v>0</v>
      </c>
    </row>
    <row r="39" spans="1:23">
      <c r="A39" s="46">
        <f>IF(B39="","","IN-"&amp;TEXT(ROW()-4,"000"))</f>
        <v>0</v>
      </c>
      <c r="U39" s="28">
        <f>IF(B39="","",IF(OR(R39="Resolved",R39="Closed"),"Closed",TEXT(TODAY()-B39,"0")&amp;" days"))</f>
        <v>0</v>
      </c>
      <c r="W39" s="49">
        <f>IF(B39="","",IF(N39&lt;&gt;"Yes","Action - notify the owner",IF(AND(P39="Yes",Q39&lt;&gt;"",Q39&lt;TODAY(),R39&lt;&gt;"Resolved",R39&lt;&gt;"Closed"),"Overdue follow-up",IF(OR(R39="Open",R39="In progress"),"Open - keep working it","OK"))))</f>
        <v>0</v>
      </c>
    </row>
    <row r="40" spans="1:23">
      <c r="A40" s="46">
        <f>IF(B40="","","IN-"&amp;TEXT(ROW()-4,"000"))</f>
        <v>0</v>
      </c>
      <c r="U40" s="28">
        <f>IF(B40="","",IF(OR(R40="Resolved",R40="Closed"),"Closed",TEXT(TODAY()-B40,"0")&amp;" days"))</f>
        <v>0</v>
      </c>
      <c r="W40" s="49">
        <f>IF(B40="","",IF(N40&lt;&gt;"Yes","Action - notify the owner",IF(AND(P40="Yes",Q40&lt;&gt;"",Q40&lt;TODAY(),R40&lt;&gt;"Resolved",R40&lt;&gt;"Closed"),"Overdue follow-up",IF(OR(R40="Open",R40="In progress"),"Open - keep working it","OK"))))</f>
        <v>0</v>
      </c>
    </row>
    <row r="41" spans="1:23">
      <c r="A41" s="46">
        <f>IF(B41="","","IN-"&amp;TEXT(ROW()-4,"000"))</f>
        <v>0</v>
      </c>
      <c r="U41" s="28">
        <f>IF(B41="","",IF(OR(R41="Resolved",R41="Closed"),"Closed",TEXT(TODAY()-B41,"0")&amp;" days"))</f>
        <v>0</v>
      </c>
      <c r="W41" s="49">
        <f>IF(B41="","",IF(N41&lt;&gt;"Yes","Action - notify the owner",IF(AND(P41="Yes",Q41&lt;&gt;"",Q41&lt;TODAY(),R41&lt;&gt;"Resolved",R41&lt;&gt;"Closed"),"Overdue follow-up",IF(OR(R41="Open",R41="In progress"),"Open - keep working it","OK"))))</f>
        <v>0</v>
      </c>
    </row>
    <row r="42" spans="1:23">
      <c r="A42" s="46">
        <f>IF(B42="","","IN-"&amp;TEXT(ROW()-4,"000"))</f>
        <v>0</v>
      </c>
      <c r="U42" s="28">
        <f>IF(B42="","",IF(OR(R42="Resolved",R42="Closed"),"Closed",TEXT(TODAY()-B42,"0")&amp;" days"))</f>
        <v>0</v>
      </c>
      <c r="W42" s="49">
        <f>IF(B42="","",IF(N42&lt;&gt;"Yes","Action - notify the owner",IF(AND(P42="Yes",Q42&lt;&gt;"",Q42&lt;TODAY(),R42&lt;&gt;"Resolved",R42&lt;&gt;"Closed"),"Overdue follow-up",IF(OR(R42="Open",R42="In progress"),"Open - keep working it","OK"))))</f>
        <v>0</v>
      </c>
    </row>
    <row r="43" spans="1:23">
      <c r="A43" s="46">
        <f>IF(B43="","","IN-"&amp;TEXT(ROW()-4,"000"))</f>
        <v>0</v>
      </c>
      <c r="U43" s="28">
        <f>IF(B43="","",IF(OR(R43="Resolved",R43="Closed"),"Closed",TEXT(TODAY()-B43,"0")&amp;" days"))</f>
        <v>0</v>
      </c>
      <c r="W43" s="49">
        <f>IF(B43="","",IF(N43&lt;&gt;"Yes","Action - notify the owner",IF(AND(P43="Yes",Q43&lt;&gt;"",Q43&lt;TODAY(),R43&lt;&gt;"Resolved",R43&lt;&gt;"Closed"),"Overdue follow-up",IF(OR(R43="Open",R43="In progress"),"Open - keep working it","OK"))))</f>
        <v>0</v>
      </c>
    </row>
    <row r="44" spans="1:23">
      <c r="A44" s="46">
        <f>IF(B44="","","IN-"&amp;TEXT(ROW()-4,"000"))</f>
        <v>0</v>
      </c>
      <c r="U44" s="28">
        <f>IF(B44="","",IF(OR(R44="Resolved",R44="Closed"),"Closed",TEXT(TODAY()-B44,"0")&amp;" days"))</f>
        <v>0</v>
      </c>
      <c r="W44" s="49">
        <f>IF(B44="","",IF(N44&lt;&gt;"Yes","Action - notify the owner",IF(AND(P44="Yes",Q44&lt;&gt;"",Q44&lt;TODAY(),R44&lt;&gt;"Resolved",R44&lt;&gt;"Closed"),"Overdue follow-up",IF(OR(R44="Open",R44="In progress"),"Open - keep working it","OK"))))</f>
        <v>0</v>
      </c>
    </row>
    <row r="45" spans="1:23">
      <c r="A45" s="46">
        <f>IF(B45="","","IN-"&amp;TEXT(ROW()-4,"000"))</f>
        <v>0</v>
      </c>
      <c r="U45" s="28">
        <f>IF(B45="","",IF(OR(R45="Resolved",R45="Closed"),"Closed",TEXT(TODAY()-B45,"0")&amp;" days"))</f>
        <v>0</v>
      </c>
      <c r="W45" s="49">
        <f>IF(B45="","",IF(N45&lt;&gt;"Yes","Action - notify the owner",IF(AND(P45="Yes",Q45&lt;&gt;"",Q45&lt;TODAY(),R45&lt;&gt;"Resolved",R45&lt;&gt;"Closed"),"Overdue follow-up",IF(OR(R45="Open",R45="In progress"),"Open - keep working it","OK"))))</f>
        <v>0</v>
      </c>
    </row>
    <row r="46" spans="1:23">
      <c r="A46" s="46">
        <f>IF(B46="","","IN-"&amp;TEXT(ROW()-4,"000"))</f>
        <v>0</v>
      </c>
      <c r="U46" s="28">
        <f>IF(B46="","",IF(OR(R46="Resolved",R46="Closed"),"Closed",TEXT(TODAY()-B46,"0")&amp;" days"))</f>
        <v>0</v>
      </c>
      <c r="W46" s="49">
        <f>IF(B46="","",IF(N46&lt;&gt;"Yes","Action - notify the owner",IF(AND(P46="Yes",Q46&lt;&gt;"",Q46&lt;TODAY(),R46&lt;&gt;"Resolved",R46&lt;&gt;"Closed"),"Overdue follow-up",IF(OR(R46="Open",R46="In progress"),"Open - keep working it","OK"))))</f>
        <v>0</v>
      </c>
    </row>
    <row r="47" spans="1:23">
      <c r="A47" s="46">
        <f>IF(B47="","","IN-"&amp;TEXT(ROW()-4,"000"))</f>
        <v>0</v>
      </c>
      <c r="U47" s="28">
        <f>IF(B47="","",IF(OR(R47="Resolved",R47="Closed"),"Closed",TEXT(TODAY()-B47,"0")&amp;" days"))</f>
        <v>0</v>
      </c>
      <c r="W47" s="49">
        <f>IF(B47="","",IF(N47&lt;&gt;"Yes","Action - notify the owner",IF(AND(P47="Yes",Q47&lt;&gt;"",Q47&lt;TODAY(),R47&lt;&gt;"Resolved",R47&lt;&gt;"Closed"),"Overdue follow-up",IF(OR(R47="Open",R47="In progress"),"Open - keep working it","OK"))))</f>
        <v>0</v>
      </c>
    </row>
    <row r="48" spans="1:23">
      <c r="A48" s="46">
        <f>IF(B48="","","IN-"&amp;TEXT(ROW()-4,"000"))</f>
        <v>0</v>
      </c>
      <c r="U48" s="28">
        <f>IF(B48="","",IF(OR(R48="Resolved",R48="Closed"),"Closed",TEXT(TODAY()-B48,"0")&amp;" days"))</f>
        <v>0</v>
      </c>
      <c r="W48" s="49">
        <f>IF(B48="","",IF(N48&lt;&gt;"Yes","Action - notify the owner",IF(AND(P48="Yes",Q48&lt;&gt;"",Q48&lt;TODAY(),R48&lt;&gt;"Resolved",R48&lt;&gt;"Closed"),"Overdue follow-up",IF(OR(R48="Open",R48="In progress"),"Open - keep working it","OK"))))</f>
        <v>0</v>
      </c>
    </row>
    <row r="49" spans="1:23">
      <c r="A49" s="46">
        <f>IF(B49="","","IN-"&amp;TEXT(ROW()-4,"000"))</f>
        <v>0</v>
      </c>
      <c r="U49" s="28">
        <f>IF(B49="","",IF(OR(R49="Resolved",R49="Closed"),"Closed",TEXT(TODAY()-B49,"0")&amp;" days"))</f>
        <v>0</v>
      </c>
      <c r="W49" s="49">
        <f>IF(B49="","",IF(N49&lt;&gt;"Yes","Action - notify the owner",IF(AND(P49="Yes",Q49&lt;&gt;"",Q49&lt;TODAY(),R49&lt;&gt;"Resolved",R49&lt;&gt;"Closed"),"Overdue follow-up",IF(OR(R49="Open",R49="In progress"),"Open - keep working it","OK"))))</f>
        <v>0</v>
      </c>
    </row>
    <row r="50" spans="1:23">
      <c r="A50" s="46">
        <f>IF(B50="","","IN-"&amp;TEXT(ROW()-4,"000"))</f>
        <v>0</v>
      </c>
      <c r="U50" s="28">
        <f>IF(B50="","",IF(OR(R50="Resolved",R50="Closed"),"Closed",TEXT(TODAY()-B50,"0")&amp;" days"))</f>
        <v>0</v>
      </c>
      <c r="W50" s="49">
        <f>IF(B50="","",IF(N50&lt;&gt;"Yes","Action - notify the owner",IF(AND(P50="Yes",Q50&lt;&gt;"",Q50&lt;TODAY(),R50&lt;&gt;"Resolved",R50&lt;&gt;"Closed"),"Overdue follow-up",IF(OR(R50="Open",R50="In progress"),"Open - keep working it","OK"))))</f>
        <v>0</v>
      </c>
    </row>
    <row r="51" spans="1:23">
      <c r="A51" s="46">
        <f>IF(B51="","","IN-"&amp;TEXT(ROW()-4,"000"))</f>
        <v>0</v>
      </c>
      <c r="U51" s="28">
        <f>IF(B51="","",IF(OR(R51="Resolved",R51="Closed"),"Closed",TEXT(TODAY()-B51,"0")&amp;" days"))</f>
        <v>0</v>
      </c>
      <c r="W51" s="49">
        <f>IF(B51="","",IF(N51&lt;&gt;"Yes","Action - notify the owner",IF(AND(P51="Yes",Q51&lt;&gt;"",Q51&lt;TODAY(),R51&lt;&gt;"Resolved",R51&lt;&gt;"Closed"),"Overdue follow-up",IF(OR(R51="Open",R51="In progress"),"Open - keep working it","OK"))))</f>
        <v>0</v>
      </c>
    </row>
    <row r="52" spans="1:23">
      <c r="A52" s="46">
        <f>IF(B52="","","IN-"&amp;TEXT(ROW()-4,"000"))</f>
        <v>0</v>
      </c>
      <c r="U52" s="28">
        <f>IF(B52="","",IF(OR(R52="Resolved",R52="Closed"),"Closed",TEXT(TODAY()-B52,"0")&amp;" days"))</f>
        <v>0</v>
      </c>
      <c r="W52" s="49">
        <f>IF(B52="","",IF(N52&lt;&gt;"Yes","Action - notify the owner",IF(AND(P52="Yes",Q52&lt;&gt;"",Q52&lt;TODAY(),R52&lt;&gt;"Resolved",R52&lt;&gt;"Closed"),"Overdue follow-up",IF(OR(R52="Open",R52="In progress"),"Open - keep working it","OK"))))</f>
        <v>0</v>
      </c>
    </row>
    <row r="53" spans="1:23">
      <c r="A53" s="46">
        <f>IF(B53="","","IN-"&amp;TEXT(ROW()-4,"000"))</f>
        <v>0</v>
      </c>
      <c r="U53" s="28">
        <f>IF(B53="","",IF(OR(R53="Resolved",R53="Closed"),"Closed",TEXT(TODAY()-B53,"0")&amp;" days"))</f>
        <v>0</v>
      </c>
      <c r="W53" s="49">
        <f>IF(B53="","",IF(N53&lt;&gt;"Yes","Action - notify the owner",IF(AND(P53="Yes",Q53&lt;&gt;"",Q53&lt;TODAY(),R53&lt;&gt;"Resolved",R53&lt;&gt;"Closed"),"Overdue follow-up",IF(OR(R53="Open",R53="In progress"),"Open - keep working it","OK"))))</f>
        <v>0</v>
      </c>
    </row>
    <row r="54" spans="1:23">
      <c r="A54" s="46">
        <f>IF(B54="","","IN-"&amp;TEXT(ROW()-4,"000"))</f>
        <v>0</v>
      </c>
      <c r="U54" s="28">
        <f>IF(B54="","",IF(OR(R54="Resolved",R54="Closed"),"Closed",TEXT(TODAY()-B54,"0")&amp;" days"))</f>
        <v>0</v>
      </c>
      <c r="W54" s="49">
        <f>IF(B54="","",IF(N54&lt;&gt;"Yes","Action - notify the owner",IF(AND(P54="Yes",Q54&lt;&gt;"",Q54&lt;TODAY(),R54&lt;&gt;"Resolved",R54&lt;&gt;"Closed"),"Overdue follow-up",IF(OR(R54="Open",R54="In progress"),"Open - keep working it","OK"))))</f>
        <v>0</v>
      </c>
    </row>
    <row r="55" spans="1:23">
      <c r="A55" s="46">
        <f>IF(B55="","","IN-"&amp;TEXT(ROW()-4,"000"))</f>
        <v>0</v>
      </c>
      <c r="U55" s="28">
        <f>IF(B55="","",IF(OR(R55="Resolved",R55="Closed"),"Closed",TEXT(TODAY()-B55,"0")&amp;" days"))</f>
        <v>0</v>
      </c>
      <c r="W55" s="49">
        <f>IF(B55="","",IF(N55&lt;&gt;"Yes","Action - notify the owner",IF(AND(P55="Yes",Q55&lt;&gt;"",Q55&lt;TODAY(),R55&lt;&gt;"Resolved",R55&lt;&gt;"Closed"),"Overdue follow-up",IF(OR(R55="Open",R55="In progress"),"Open - keep working it","OK"))))</f>
        <v>0</v>
      </c>
    </row>
    <row r="56" spans="1:23">
      <c r="A56" s="46">
        <f>IF(B56="","","IN-"&amp;TEXT(ROW()-4,"000"))</f>
        <v>0</v>
      </c>
      <c r="U56" s="28">
        <f>IF(B56="","",IF(OR(R56="Resolved",R56="Closed"),"Closed",TEXT(TODAY()-B56,"0")&amp;" days"))</f>
        <v>0</v>
      </c>
      <c r="W56" s="49">
        <f>IF(B56="","",IF(N56&lt;&gt;"Yes","Action - notify the owner",IF(AND(P56="Yes",Q56&lt;&gt;"",Q56&lt;TODAY(),R56&lt;&gt;"Resolved",R56&lt;&gt;"Closed"),"Overdue follow-up",IF(OR(R56="Open",R56="In progress"),"Open - keep working it","OK"))))</f>
        <v>0</v>
      </c>
    </row>
    <row r="57" spans="1:23">
      <c r="A57" s="46">
        <f>IF(B57="","","IN-"&amp;TEXT(ROW()-4,"000"))</f>
        <v>0</v>
      </c>
      <c r="U57" s="28">
        <f>IF(B57="","",IF(OR(R57="Resolved",R57="Closed"),"Closed",TEXT(TODAY()-B57,"0")&amp;" days"))</f>
        <v>0</v>
      </c>
      <c r="W57" s="49">
        <f>IF(B57="","",IF(N57&lt;&gt;"Yes","Action - notify the owner",IF(AND(P57="Yes",Q57&lt;&gt;"",Q57&lt;TODAY(),R57&lt;&gt;"Resolved",R57&lt;&gt;"Closed"),"Overdue follow-up",IF(OR(R57="Open",R57="In progress"),"Open - keep working it","OK"))))</f>
        <v>0</v>
      </c>
    </row>
    <row r="58" spans="1:23">
      <c r="A58" s="46">
        <f>IF(B58="","","IN-"&amp;TEXT(ROW()-4,"000"))</f>
        <v>0</v>
      </c>
      <c r="U58" s="28">
        <f>IF(B58="","",IF(OR(R58="Resolved",R58="Closed"),"Closed",TEXT(TODAY()-B58,"0")&amp;" days"))</f>
        <v>0</v>
      </c>
      <c r="W58" s="49">
        <f>IF(B58="","",IF(N58&lt;&gt;"Yes","Action - notify the owner",IF(AND(P58="Yes",Q58&lt;&gt;"",Q58&lt;TODAY(),R58&lt;&gt;"Resolved",R58&lt;&gt;"Closed"),"Overdue follow-up",IF(OR(R58="Open",R58="In progress"),"Open - keep working it","OK"))))</f>
        <v>0</v>
      </c>
    </row>
    <row r="59" spans="1:23">
      <c r="A59" s="46">
        <f>IF(B59="","","IN-"&amp;TEXT(ROW()-4,"000"))</f>
        <v>0</v>
      </c>
      <c r="U59" s="28">
        <f>IF(B59="","",IF(OR(R59="Resolved",R59="Closed"),"Closed",TEXT(TODAY()-B59,"0")&amp;" days"))</f>
        <v>0</v>
      </c>
      <c r="W59" s="49">
        <f>IF(B59="","",IF(N59&lt;&gt;"Yes","Action - notify the owner",IF(AND(P59="Yes",Q59&lt;&gt;"",Q59&lt;TODAY(),R59&lt;&gt;"Resolved",R59&lt;&gt;"Closed"),"Overdue follow-up",IF(OR(R59="Open",R59="In progress"),"Open - keep working it","OK"))))</f>
        <v>0</v>
      </c>
    </row>
    <row r="60" spans="1:23">
      <c r="A60" s="46">
        <f>IF(B60="","","IN-"&amp;TEXT(ROW()-4,"000"))</f>
        <v>0</v>
      </c>
      <c r="U60" s="28">
        <f>IF(B60="","",IF(OR(R60="Resolved",R60="Closed"),"Closed",TEXT(TODAY()-B60,"0")&amp;" days"))</f>
        <v>0</v>
      </c>
      <c r="W60" s="49">
        <f>IF(B60="","",IF(N60&lt;&gt;"Yes","Action - notify the owner",IF(AND(P60="Yes",Q60&lt;&gt;"",Q60&lt;TODAY(),R60&lt;&gt;"Resolved",R60&lt;&gt;"Closed"),"Overdue follow-up",IF(OR(R60="Open",R60="In progress"),"Open - keep working it","OK"))))</f>
        <v>0</v>
      </c>
    </row>
    <row r="61" spans="1:23">
      <c r="A61" s="46">
        <f>IF(B61="","","IN-"&amp;TEXT(ROW()-4,"000"))</f>
        <v>0</v>
      </c>
      <c r="U61" s="28">
        <f>IF(B61="","",IF(OR(R61="Resolved",R61="Closed"),"Closed",TEXT(TODAY()-B61,"0")&amp;" days"))</f>
        <v>0</v>
      </c>
      <c r="W61" s="49">
        <f>IF(B61="","",IF(N61&lt;&gt;"Yes","Action - notify the owner",IF(AND(P61="Yes",Q61&lt;&gt;"",Q61&lt;TODAY(),R61&lt;&gt;"Resolved",R61&lt;&gt;"Closed"),"Overdue follow-up",IF(OR(R61="Open",R61="In progress"),"Open - keep working it","OK"))))</f>
        <v>0</v>
      </c>
    </row>
    <row r="62" spans="1:23">
      <c r="A62" s="46">
        <f>IF(B62="","","IN-"&amp;TEXT(ROW()-4,"000"))</f>
        <v>0</v>
      </c>
      <c r="U62" s="28">
        <f>IF(B62="","",IF(OR(R62="Resolved",R62="Closed"),"Closed",TEXT(TODAY()-B62,"0")&amp;" days"))</f>
        <v>0</v>
      </c>
      <c r="W62" s="49">
        <f>IF(B62="","",IF(N62&lt;&gt;"Yes","Action - notify the owner",IF(AND(P62="Yes",Q62&lt;&gt;"",Q62&lt;TODAY(),R62&lt;&gt;"Resolved",R62&lt;&gt;"Closed"),"Overdue follow-up",IF(OR(R62="Open",R62="In progress"),"Open - keep working it","OK"))))</f>
        <v>0</v>
      </c>
    </row>
    <row r="63" spans="1:23">
      <c r="A63" s="46">
        <f>IF(B63="","","IN-"&amp;TEXT(ROW()-4,"000"))</f>
        <v>0</v>
      </c>
      <c r="U63" s="28">
        <f>IF(B63="","",IF(OR(R63="Resolved",R63="Closed"),"Closed",TEXT(TODAY()-B63,"0")&amp;" days"))</f>
        <v>0</v>
      </c>
      <c r="W63" s="49">
        <f>IF(B63="","",IF(N63&lt;&gt;"Yes","Action - notify the owner",IF(AND(P63="Yes",Q63&lt;&gt;"",Q63&lt;TODAY(),R63&lt;&gt;"Resolved",R63&lt;&gt;"Closed"),"Overdue follow-up",IF(OR(R63="Open",R63="In progress"),"Open - keep working it","OK"))))</f>
        <v>0</v>
      </c>
    </row>
    <row r="64" spans="1:23">
      <c r="A64" s="46">
        <f>IF(B64="","","IN-"&amp;TEXT(ROW()-4,"000"))</f>
        <v>0</v>
      </c>
      <c r="U64" s="28">
        <f>IF(B64="","",IF(OR(R64="Resolved",R64="Closed"),"Closed",TEXT(TODAY()-B64,"0")&amp;" days"))</f>
        <v>0</v>
      </c>
      <c r="W64" s="49">
        <f>IF(B64="","",IF(N64&lt;&gt;"Yes","Action - notify the owner",IF(AND(P64="Yes",Q64&lt;&gt;"",Q64&lt;TODAY(),R64&lt;&gt;"Resolved",R64&lt;&gt;"Closed"),"Overdue follow-up",IF(OR(R64="Open",R64="In progress"),"Open - keep working it","OK"))))</f>
        <v>0</v>
      </c>
    </row>
    <row r="65" spans="1:23">
      <c r="A65" s="46">
        <f>IF(B65="","","IN-"&amp;TEXT(ROW()-4,"000"))</f>
        <v>0</v>
      </c>
      <c r="U65" s="28">
        <f>IF(B65="","",IF(OR(R65="Resolved",R65="Closed"),"Closed",TEXT(TODAY()-B65,"0")&amp;" days"))</f>
        <v>0</v>
      </c>
      <c r="W65" s="49">
        <f>IF(B65="","",IF(N65&lt;&gt;"Yes","Action - notify the owner",IF(AND(P65="Yes",Q65&lt;&gt;"",Q65&lt;TODAY(),R65&lt;&gt;"Resolved",R65&lt;&gt;"Closed"),"Overdue follow-up",IF(OR(R65="Open",R65="In progress"),"Open - keep working it","OK"))))</f>
        <v>0</v>
      </c>
    </row>
    <row r="66" spans="1:23">
      <c r="A66" s="46">
        <f>IF(B66="","","IN-"&amp;TEXT(ROW()-4,"000"))</f>
        <v>0</v>
      </c>
      <c r="U66" s="28">
        <f>IF(B66="","",IF(OR(R66="Resolved",R66="Closed"),"Closed",TEXT(TODAY()-B66,"0")&amp;" days"))</f>
        <v>0</v>
      </c>
      <c r="W66" s="49">
        <f>IF(B66="","",IF(N66&lt;&gt;"Yes","Action - notify the owner",IF(AND(P66="Yes",Q66&lt;&gt;"",Q66&lt;TODAY(),R66&lt;&gt;"Resolved",R66&lt;&gt;"Closed"),"Overdue follow-up",IF(OR(R66="Open",R66="In progress"),"Open - keep working it","OK"))))</f>
        <v>0</v>
      </c>
    </row>
    <row r="67" spans="1:23">
      <c r="A67" s="46">
        <f>IF(B67="","","IN-"&amp;TEXT(ROW()-4,"000"))</f>
        <v>0</v>
      </c>
      <c r="U67" s="28">
        <f>IF(B67="","",IF(OR(R67="Resolved",R67="Closed"),"Closed",TEXT(TODAY()-B67,"0")&amp;" days"))</f>
        <v>0</v>
      </c>
      <c r="W67" s="49">
        <f>IF(B67="","",IF(N67&lt;&gt;"Yes","Action - notify the owner",IF(AND(P67="Yes",Q67&lt;&gt;"",Q67&lt;TODAY(),R67&lt;&gt;"Resolved",R67&lt;&gt;"Closed"),"Overdue follow-up",IF(OR(R67="Open",R67="In progress"),"Open - keep working it","OK"))))</f>
        <v>0</v>
      </c>
    </row>
    <row r="68" spans="1:23">
      <c r="A68" s="46">
        <f>IF(B68="","","IN-"&amp;TEXT(ROW()-4,"000"))</f>
        <v>0</v>
      </c>
      <c r="U68" s="28">
        <f>IF(B68="","",IF(OR(R68="Resolved",R68="Closed"),"Closed",TEXT(TODAY()-B68,"0")&amp;" days"))</f>
        <v>0</v>
      </c>
      <c r="W68" s="49">
        <f>IF(B68="","",IF(N68&lt;&gt;"Yes","Action - notify the owner",IF(AND(P68="Yes",Q68&lt;&gt;"",Q68&lt;TODAY(),R68&lt;&gt;"Resolved",R68&lt;&gt;"Closed"),"Overdue follow-up",IF(OR(R68="Open",R68="In progress"),"Open - keep working it","OK"))))</f>
        <v>0</v>
      </c>
    </row>
    <row r="69" spans="1:23">
      <c r="A69" s="46">
        <f>IF(B69="","","IN-"&amp;TEXT(ROW()-4,"000"))</f>
        <v>0</v>
      </c>
      <c r="U69" s="28">
        <f>IF(B69="","",IF(OR(R69="Resolved",R69="Closed"),"Closed",TEXT(TODAY()-B69,"0")&amp;" days"))</f>
        <v>0</v>
      </c>
      <c r="W69" s="49">
        <f>IF(B69="","",IF(N69&lt;&gt;"Yes","Action - notify the owner",IF(AND(P69="Yes",Q69&lt;&gt;"",Q69&lt;TODAY(),R69&lt;&gt;"Resolved",R69&lt;&gt;"Closed"),"Overdue follow-up",IF(OR(R69="Open",R69="In progress"),"Open - keep working it","OK"))))</f>
        <v>0</v>
      </c>
    </row>
    <row r="70" spans="1:23">
      <c r="A70" s="46">
        <f>IF(B70="","","IN-"&amp;TEXT(ROW()-4,"000"))</f>
        <v>0</v>
      </c>
      <c r="U70" s="28">
        <f>IF(B70="","",IF(OR(R70="Resolved",R70="Closed"),"Closed",TEXT(TODAY()-B70,"0")&amp;" days"))</f>
        <v>0</v>
      </c>
      <c r="W70" s="49">
        <f>IF(B70="","",IF(N70&lt;&gt;"Yes","Action - notify the owner",IF(AND(P70="Yes",Q70&lt;&gt;"",Q70&lt;TODAY(),R70&lt;&gt;"Resolved",R70&lt;&gt;"Closed"),"Overdue follow-up",IF(OR(R70="Open",R70="In progress"),"Open - keep working it","OK"))))</f>
        <v>0</v>
      </c>
    </row>
    <row r="71" spans="1:23">
      <c r="A71" s="46">
        <f>IF(B71="","","IN-"&amp;TEXT(ROW()-4,"000"))</f>
        <v>0</v>
      </c>
      <c r="U71" s="28">
        <f>IF(B71="","",IF(OR(R71="Resolved",R71="Closed"),"Closed",TEXT(TODAY()-B71,"0")&amp;" days"))</f>
        <v>0</v>
      </c>
      <c r="W71" s="49">
        <f>IF(B71="","",IF(N71&lt;&gt;"Yes","Action - notify the owner",IF(AND(P71="Yes",Q71&lt;&gt;"",Q71&lt;TODAY(),R71&lt;&gt;"Resolved",R71&lt;&gt;"Closed"),"Overdue follow-up",IF(OR(R71="Open",R71="In progress"),"Open - keep working it","OK"))))</f>
        <v>0</v>
      </c>
    </row>
    <row r="72" spans="1:23">
      <c r="A72" s="46">
        <f>IF(B72="","","IN-"&amp;TEXT(ROW()-4,"000"))</f>
        <v>0</v>
      </c>
      <c r="U72" s="28">
        <f>IF(B72="","",IF(OR(R72="Resolved",R72="Closed"),"Closed",TEXT(TODAY()-B72,"0")&amp;" days"))</f>
        <v>0</v>
      </c>
      <c r="W72" s="49">
        <f>IF(B72="","",IF(N72&lt;&gt;"Yes","Action - notify the owner",IF(AND(P72="Yes",Q72&lt;&gt;"",Q72&lt;TODAY(),R72&lt;&gt;"Resolved",R72&lt;&gt;"Closed"),"Overdue follow-up",IF(OR(R72="Open",R72="In progress"),"Open - keep working it","OK"))))</f>
        <v>0</v>
      </c>
    </row>
    <row r="73" spans="1:23">
      <c r="A73" s="46">
        <f>IF(B73="","","IN-"&amp;TEXT(ROW()-4,"000"))</f>
        <v>0</v>
      </c>
      <c r="U73" s="28">
        <f>IF(B73="","",IF(OR(R73="Resolved",R73="Closed"),"Closed",TEXT(TODAY()-B73,"0")&amp;" days"))</f>
        <v>0</v>
      </c>
      <c r="W73" s="49">
        <f>IF(B73="","",IF(N73&lt;&gt;"Yes","Action - notify the owner",IF(AND(P73="Yes",Q73&lt;&gt;"",Q73&lt;TODAY(),R73&lt;&gt;"Resolved",R73&lt;&gt;"Closed"),"Overdue follow-up",IF(OR(R73="Open",R73="In progress"),"Open - keep working it","OK"))))</f>
        <v>0</v>
      </c>
    </row>
    <row r="74" spans="1:23">
      <c r="A74" s="46">
        <f>IF(B74="","","IN-"&amp;TEXT(ROW()-4,"000"))</f>
        <v>0</v>
      </c>
      <c r="U74" s="28">
        <f>IF(B74="","",IF(OR(R74="Resolved",R74="Closed"),"Closed",TEXT(TODAY()-B74,"0")&amp;" days"))</f>
        <v>0</v>
      </c>
      <c r="W74" s="49">
        <f>IF(B74="","",IF(N74&lt;&gt;"Yes","Action - notify the owner",IF(AND(P74="Yes",Q74&lt;&gt;"",Q74&lt;TODAY(),R74&lt;&gt;"Resolved",R74&lt;&gt;"Closed"),"Overdue follow-up",IF(OR(R74="Open",R74="In progress"),"Open - keep working it","OK"))))</f>
        <v>0</v>
      </c>
    </row>
    <row r="75" spans="1:23">
      <c r="A75" s="46">
        <f>IF(B75="","","IN-"&amp;TEXT(ROW()-4,"000"))</f>
        <v>0</v>
      </c>
      <c r="U75" s="28">
        <f>IF(B75="","",IF(OR(R75="Resolved",R75="Closed"),"Closed",TEXT(TODAY()-B75,"0")&amp;" days"))</f>
        <v>0</v>
      </c>
      <c r="W75" s="49">
        <f>IF(B75="","",IF(N75&lt;&gt;"Yes","Action - notify the owner",IF(AND(P75="Yes",Q75&lt;&gt;"",Q75&lt;TODAY(),R75&lt;&gt;"Resolved",R75&lt;&gt;"Closed"),"Overdue follow-up",IF(OR(R75="Open",R75="In progress"),"Open - keep working it","OK"))))</f>
        <v>0</v>
      </c>
    </row>
    <row r="76" spans="1:23">
      <c r="A76" s="46">
        <f>IF(B76="","","IN-"&amp;TEXT(ROW()-4,"000"))</f>
        <v>0</v>
      </c>
      <c r="U76" s="28">
        <f>IF(B76="","",IF(OR(R76="Resolved",R76="Closed"),"Closed",TEXT(TODAY()-B76,"0")&amp;" days"))</f>
        <v>0</v>
      </c>
      <c r="W76" s="49">
        <f>IF(B76="","",IF(N76&lt;&gt;"Yes","Action - notify the owner",IF(AND(P76="Yes",Q76&lt;&gt;"",Q76&lt;TODAY(),R76&lt;&gt;"Resolved",R76&lt;&gt;"Closed"),"Overdue follow-up",IF(OR(R76="Open",R76="In progress"),"Open - keep working it","OK"))))</f>
        <v>0</v>
      </c>
    </row>
    <row r="77" spans="1:23">
      <c r="A77" s="46">
        <f>IF(B77="","","IN-"&amp;TEXT(ROW()-4,"000"))</f>
        <v>0</v>
      </c>
      <c r="U77" s="28">
        <f>IF(B77="","",IF(OR(R77="Resolved",R77="Closed"),"Closed",TEXT(TODAY()-B77,"0")&amp;" days"))</f>
        <v>0</v>
      </c>
      <c r="W77" s="49">
        <f>IF(B77="","",IF(N77&lt;&gt;"Yes","Action - notify the owner",IF(AND(P77="Yes",Q77&lt;&gt;"",Q77&lt;TODAY(),R77&lt;&gt;"Resolved",R77&lt;&gt;"Closed"),"Overdue follow-up",IF(OR(R77="Open",R77="In progress"),"Open - keep working it","OK"))))</f>
        <v>0</v>
      </c>
    </row>
    <row r="78" spans="1:23">
      <c r="A78" s="46">
        <f>IF(B78="","","IN-"&amp;TEXT(ROW()-4,"000"))</f>
        <v>0</v>
      </c>
      <c r="U78" s="28">
        <f>IF(B78="","",IF(OR(R78="Resolved",R78="Closed"),"Closed",TEXT(TODAY()-B78,"0")&amp;" days"))</f>
        <v>0</v>
      </c>
      <c r="W78" s="49">
        <f>IF(B78="","",IF(N78&lt;&gt;"Yes","Action - notify the owner",IF(AND(P78="Yes",Q78&lt;&gt;"",Q78&lt;TODAY(),R78&lt;&gt;"Resolved",R78&lt;&gt;"Closed"),"Overdue follow-up",IF(OR(R78="Open",R78="In progress"),"Open - keep working it","OK"))))</f>
        <v>0</v>
      </c>
    </row>
    <row r="79" spans="1:23">
      <c r="A79" s="46">
        <f>IF(B79="","","IN-"&amp;TEXT(ROW()-4,"000"))</f>
        <v>0</v>
      </c>
      <c r="U79" s="28">
        <f>IF(B79="","",IF(OR(R79="Resolved",R79="Closed"),"Closed",TEXT(TODAY()-B79,"0")&amp;" days"))</f>
        <v>0</v>
      </c>
      <c r="W79" s="49">
        <f>IF(B79="","",IF(N79&lt;&gt;"Yes","Action - notify the owner",IF(AND(P79="Yes",Q79&lt;&gt;"",Q79&lt;TODAY(),R79&lt;&gt;"Resolved",R79&lt;&gt;"Closed"),"Overdue follow-up",IF(OR(R79="Open",R79="In progress"),"Open - keep working it","OK"))))</f>
        <v>0</v>
      </c>
    </row>
    <row r="80" spans="1:23">
      <c r="A80" s="46">
        <f>IF(B80="","","IN-"&amp;TEXT(ROW()-4,"000"))</f>
        <v>0</v>
      </c>
      <c r="U80" s="28">
        <f>IF(B80="","",IF(OR(R80="Resolved",R80="Closed"),"Closed",TEXT(TODAY()-B80,"0")&amp;" days"))</f>
        <v>0</v>
      </c>
      <c r="W80" s="49">
        <f>IF(B80="","",IF(N80&lt;&gt;"Yes","Action - notify the owner",IF(AND(P80="Yes",Q80&lt;&gt;"",Q80&lt;TODAY(),R80&lt;&gt;"Resolved",R80&lt;&gt;"Closed"),"Overdue follow-up",IF(OR(R80="Open",R80="In progress"),"Open - keep working it","OK"))))</f>
        <v>0</v>
      </c>
    </row>
    <row r="81" spans="1:23">
      <c r="A81" s="46">
        <f>IF(B81="","","IN-"&amp;TEXT(ROW()-4,"000"))</f>
        <v>0</v>
      </c>
      <c r="U81" s="28">
        <f>IF(B81="","",IF(OR(R81="Resolved",R81="Closed"),"Closed",TEXT(TODAY()-B81,"0")&amp;" days"))</f>
        <v>0</v>
      </c>
      <c r="W81" s="49">
        <f>IF(B81="","",IF(N81&lt;&gt;"Yes","Action - notify the owner",IF(AND(P81="Yes",Q81&lt;&gt;"",Q81&lt;TODAY(),R81&lt;&gt;"Resolved",R81&lt;&gt;"Closed"),"Overdue follow-up",IF(OR(R81="Open",R81="In progress"),"Open - keep working it","OK"))))</f>
        <v>0</v>
      </c>
    </row>
    <row r="82" spans="1:23">
      <c r="A82" s="46">
        <f>IF(B82="","","IN-"&amp;TEXT(ROW()-4,"000"))</f>
        <v>0</v>
      </c>
      <c r="U82" s="28">
        <f>IF(B82="","",IF(OR(R82="Resolved",R82="Closed"),"Closed",TEXT(TODAY()-B82,"0")&amp;" days"))</f>
        <v>0</v>
      </c>
      <c r="W82" s="49">
        <f>IF(B82="","",IF(N82&lt;&gt;"Yes","Action - notify the owner",IF(AND(P82="Yes",Q82&lt;&gt;"",Q82&lt;TODAY(),R82&lt;&gt;"Resolved",R82&lt;&gt;"Closed"),"Overdue follow-up",IF(OR(R82="Open",R82="In progress"),"Open - keep working it","OK"))))</f>
        <v>0</v>
      </c>
    </row>
    <row r="83" spans="1:23">
      <c r="A83" s="46">
        <f>IF(B83="","","IN-"&amp;TEXT(ROW()-4,"000"))</f>
        <v>0</v>
      </c>
      <c r="U83" s="28">
        <f>IF(B83="","",IF(OR(R83="Resolved",R83="Closed"),"Closed",TEXT(TODAY()-B83,"0")&amp;" days"))</f>
        <v>0</v>
      </c>
      <c r="W83" s="49">
        <f>IF(B83="","",IF(N83&lt;&gt;"Yes","Action - notify the owner",IF(AND(P83="Yes",Q83&lt;&gt;"",Q83&lt;TODAY(),R83&lt;&gt;"Resolved",R83&lt;&gt;"Closed"),"Overdue follow-up",IF(OR(R83="Open",R83="In progress"),"Open - keep working it","OK"))))</f>
        <v>0</v>
      </c>
    </row>
    <row r="84" spans="1:23">
      <c r="A84" s="46">
        <f>IF(B84="","","IN-"&amp;TEXT(ROW()-4,"000"))</f>
        <v>0</v>
      </c>
      <c r="U84" s="28">
        <f>IF(B84="","",IF(OR(R84="Resolved",R84="Closed"),"Closed",TEXT(TODAY()-B84,"0")&amp;" days"))</f>
        <v>0</v>
      </c>
      <c r="W84" s="49">
        <f>IF(B84="","",IF(N84&lt;&gt;"Yes","Action - notify the owner",IF(AND(P84="Yes",Q84&lt;&gt;"",Q84&lt;TODAY(),R84&lt;&gt;"Resolved",R84&lt;&gt;"Closed"),"Overdue follow-up",IF(OR(R84="Open",R84="In progress"),"Open - keep working it","OK"))))</f>
        <v>0</v>
      </c>
    </row>
    <row r="85" spans="1:23">
      <c r="A85" s="46">
        <f>IF(B85="","","IN-"&amp;TEXT(ROW()-4,"000"))</f>
        <v>0</v>
      </c>
      <c r="U85" s="28">
        <f>IF(B85="","",IF(OR(R85="Resolved",R85="Closed"),"Closed",TEXT(TODAY()-B85,"0")&amp;" days"))</f>
        <v>0</v>
      </c>
      <c r="W85" s="49">
        <f>IF(B85="","",IF(N85&lt;&gt;"Yes","Action - notify the owner",IF(AND(P85="Yes",Q85&lt;&gt;"",Q85&lt;TODAY(),R85&lt;&gt;"Resolved",R85&lt;&gt;"Closed"),"Overdue follow-up",IF(OR(R85="Open",R85="In progress"),"Open - keep working it","OK"))))</f>
        <v>0</v>
      </c>
    </row>
    <row r="86" spans="1:23">
      <c r="A86" s="46">
        <f>IF(B86="","","IN-"&amp;TEXT(ROW()-4,"000"))</f>
        <v>0</v>
      </c>
      <c r="U86" s="28">
        <f>IF(B86="","",IF(OR(R86="Resolved",R86="Closed"),"Closed",TEXT(TODAY()-B86,"0")&amp;" days"))</f>
        <v>0</v>
      </c>
      <c r="W86" s="49">
        <f>IF(B86="","",IF(N86&lt;&gt;"Yes","Action - notify the owner",IF(AND(P86="Yes",Q86&lt;&gt;"",Q86&lt;TODAY(),R86&lt;&gt;"Resolved",R86&lt;&gt;"Closed"),"Overdue follow-up",IF(OR(R86="Open",R86="In progress"),"Open - keep working it","OK"))))</f>
        <v>0</v>
      </c>
    </row>
    <row r="87" spans="1:23">
      <c r="A87" s="46">
        <f>IF(B87="","","IN-"&amp;TEXT(ROW()-4,"000"))</f>
        <v>0</v>
      </c>
      <c r="U87" s="28">
        <f>IF(B87="","",IF(OR(R87="Resolved",R87="Closed"),"Closed",TEXT(TODAY()-B87,"0")&amp;" days"))</f>
        <v>0</v>
      </c>
      <c r="W87" s="49">
        <f>IF(B87="","",IF(N87&lt;&gt;"Yes","Action - notify the owner",IF(AND(P87="Yes",Q87&lt;&gt;"",Q87&lt;TODAY(),R87&lt;&gt;"Resolved",R87&lt;&gt;"Closed"),"Overdue follow-up",IF(OR(R87="Open",R87="In progress"),"Open - keep working it","OK"))))</f>
        <v>0</v>
      </c>
    </row>
    <row r="88" spans="1:23">
      <c r="A88" s="46">
        <f>IF(B88="","","IN-"&amp;TEXT(ROW()-4,"000"))</f>
        <v>0</v>
      </c>
      <c r="U88" s="28">
        <f>IF(B88="","",IF(OR(R88="Resolved",R88="Closed"),"Closed",TEXT(TODAY()-B88,"0")&amp;" days"))</f>
        <v>0</v>
      </c>
      <c r="W88" s="49">
        <f>IF(B88="","",IF(N88&lt;&gt;"Yes","Action - notify the owner",IF(AND(P88="Yes",Q88&lt;&gt;"",Q88&lt;TODAY(),R88&lt;&gt;"Resolved",R88&lt;&gt;"Closed"),"Overdue follow-up",IF(OR(R88="Open",R88="In progress"),"Open - keep working it","OK"))))</f>
        <v>0</v>
      </c>
    </row>
    <row r="89" spans="1:23">
      <c r="A89" s="46">
        <f>IF(B89="","","IN-"&amp;TEXT(ROW()-4,"000"))</f>
        <v>0</v>
      </c>
      <c r="U89" s="28">
        <f>IF(B89="","",IF(OR(R89="Resolved",R89="Closed"),"Closed",TEXT(TODAY()-B89,"0")&amp;" days"))</f>
        <v>0</v>
      </c>
      <c r="W89" s="49">
        <f>IF(B89="","",IF(N89&lt;&gt;"Yes","Action - notify the owner",IF(AND(P89="Yes",Q89&lt;&gt;"",Q89&lt;TODAY(),R89&lt;&gt;"Resolved",R89&lt;&gt;"Closed"),"Overdue follow-up",IF(OR(R89="Open",R89="In progress"),"Open - keep working it","OK"))))</f>
        <v>0</v>
      </c>
    </row>
    <row r="90" spans="1:23">
      <c r="A90" s="46">
        <f>IF(B90="","","IN-"&amp;TEXT(ROW()-4,"000"))</f>
        <v>0</v>
      </c>
      <c r="U90" s="28">
        <f>IF(B90="","",IF(OR(R90="Resolved",R90="Closed"),"Closed",TEXT(TODAY()-B90,"0")&amp;" days"))</f>
        <v>0</v>
      </c>
      <c r="W90" s="49">
        <f>IF(B90="","",IF(N90&lt;&gt;"Yes","Action - notify the owner",IF(AND(P90="Yes",Q90&lt;&gt;"",Q90&lt;TODAY(),R90&lt;&gt;"Resolved",R90&lt;&gt;"Closed"),"Overdue follow-up",IF(OR(R90="Open",R90="In progress"),"Open - keep working it","OK"))))</f>
        <v>0</v>
      </c>
    </row>
    <row r="91" spans="1:23">
      <c r="A91" s="46">
        <f>IF(B91="","","IN-"&amp;TEXT(ROW()-4,"000"))</f>
        <v>0</v>
      </c>
      <c r="U91" s="28">
        <f>IF(B91="","",IF(OR(R91="Resolved",R91="Closed"),"Closed",TEXT(TODAY()-B91,"0")&amp;" days"))</f>
        <v>0</v>
      </c>
      <c r="W91" s="49">
        <f>IF(B91="","",IF(N91&lt;&gt;"Yes","Action - notify the owner",IF(AND(P91="Yes",Q91&lt;&gt;"",Q91&lt;TODAY(),R91&lt;&gt;"Resolved",R91&lt;&gt;"Closed"),"Overdue follow-up",IF(OR(R91="Open",R91="In progress"),"Open - keep working it","OK"))))</f>
        <v>0</v>
      </c>
    </row>
    <row r="92" spans="1:23">
      <c r="A92" s="46">
        <f>IF(B92="","","IN-"&amp;TEXT(ROW()-4,"000"))</f>
        <v>0</v>
      </c>
      <c r="U92" s="28">
        <f>IF(B92="","",IF(OR(R92="Resolved",R92="Closed"),"Closed",TEXT(TODAY()-B92,"0")&amp;" days"))</f>
        <v>0</v>
      </c>
      <c r="W92" s="49">
        <f>IF(B92="","",IF(N92&lt;&gt;"Yes","Action - notify the owner",IF(AND(P92="Yes",Q92&lt;&gt;"",Q92&lt;TODAY(),R92&lt;&gt;"Resolved",R92&lt;&gt;"Closed"),"Overdue follow-up",IF(OR(R92="Open",R92="In progress"),"Open - keep working it","OK"))))</f>
        <v>0</v>
      </c>
    </row>
    <row r="93" spans="1:23">
      <c r="A93" s="46">
        <f>IF(B93="","","IN-"&amp;TEXT(ROW()-4,"000"))</f>
        <v>0</v>
      </c>
      <c r="U93" s="28">
        <f>IF(B93="","",IF(OR(R93="Resolved",R93="Closed"),"Closed",TEXT(TODAY()-B93,"0")&amp;" days"))</f>
        <v>0</v>
      </c>
      <c r="W93" s="49">
        <f>IF(B93="","",IF(N93&lt;&gt;"Yes","Action - notify the owner",IF(AND(P93="Yes",Q93&lt;&gt;"",Q93&lt;TODAY(),R93&lt;&gt;"Resolved",R93&lt;&gt;"Closed"),"Overdue follow-up",IF(OR(R93="Open",R93="In progress"),"Open - keep working it","OK"))))</f>
        <v>0</v>
      </c>
    </row>
    <row r="94" spans="1:23">
      <c r="A94" s="46">
        <f>IF(B94="","","IN-"&amp;TEXT(ROW()-4,"000"))</f>
        <v>0</v>
      </c>
      <c r="U94" s="28">
        <f>IF(B94="","",IF(OR(R94="Resolved",R94="Closed"),"Closed",TEXT(TODAY()-B94,"0")&amp;" days"))</f>
        <v>0</v>
      </c>
      <c r="W94" s="49">
        <f>IF(B94="","",IF(N94&lt;&gt;"Yes","Action - notify the owner",IF(AND(P94="Yes",Q94&lt;&gt;"",Q94&lt;TODAY(),R94&lt;&gt;"Resolved",R94&lt;&gt;"Closed"),"Overdue follow-up",IF(OR(R94="Open",R94="In progress"),"Open - keep working it","OK"))))</f>
        <v>0</v>
      </c>
    </row>
    <row r="95" spans="1:23">
      <c r="A95" s="46">
        <f>IF(B95="","","IN-"&amp;TEXT(ROW()-4,"000"))</f>
        <v>0</v>
      </c>
      <c r="U95" s="28">
        <f>IF(B95="","",IF(OR(R95="Resolved",R95="Closed"),"Closed",TEXT(TODAY()-B95,"0")&amp;" days"))</f>
        <v>0</v>
      </c>
      <c r="W95" s="49">
        <f>IF(B95="","",IF(N95&lt;&gt;"Yes","Action - notify the owner",IF(AND(P95="Yes",Q95&lt;&gt;"",Q95&lt;TODAY(),R95&lt;&gt;"Resolved",R95&lt;&gt;"Closed"),"Overdue follow-up",IF(OR(R95="Open",R95="In progress"),"Open - keep working it","OK"))))</f>
        <v>0</v>
      </c>
    </row>
    <row r="96" spans="1:23">
      <c r="A96" s="46">
        <f>IF(B96="","","IN-"&amp;TEXT(ROW()-4,"000"))</f>
        <v>0</v>
      </c>
      <c r="U96" s="28">
        <f>IF(B96="","",IF(OR(R96="Resolved",R96="Closed"),"Closed",TEXT(TODAY()-B96,"0")&amp;" days"))</f>
        <v>0</v>
      </c>
      <c r="W96" s="49">
        <f>IF(B96="","",IF(N96&lt;&gt;"Yes","Action - notify the owner",IF(AND(P96="Yes",Q96&lt;&gt;"",Q96&lt;TODAY(),R96&lt;&gt;"Resolved",R96&lt;&gt;"Closed"),"Overdue follow-up",IF(OR(R96="Open",R96="In progress"),"Open - keep working it","OK"))))</f>
        <v>0</v>
      </c>
    </row>
    <row r="97" spans="1:23">
      <c r="A97" s="46">
        <f>IF(B97="","","IN-"&amp;TEXT(ROW()-4,"000"))</f>
        <v>0</v>
      </c>
      <c r="U97" s="28">
        <f>IF(B97="","",IF(OR(R97="Resolved",R97="Closed"),"Closed",TEXT(TODAY()-B97,"0")&amp;" days"))</f>
        <v>0</v>
      </c>
      <c r="W97" s="49">
        <f>IF(B97="","",IF(N97&lt;&gt;"Yes","Action - notify the owner",IF(AND(P97="Yes",Q97&lt;&gt;"",Q97&lt;TODAY(),R97&lt;&gt;"Resolved",R97&lt;&gt;"Closed"),"Overdue follow-up",IF(OR(R97="Open",R97="In progress"),"Open - keep working it","OK"))))</f>
        <v>0</v>
      </c>
    </row>
    <row r="98" spans="1:23">
      <c r="A98" s="46">
        <f>IF(B98="","","IN-"&amp;TEXT(ROW()-4,"000"))</f>
        <v>0</v>
      </c>
      <c r="U98" s="28">
        <f>IF(B98="","",IF(OR(R98="Resolved",R98="Closed"),"Closed",TEXT(TODAY()-B98,"0")&amp;" days"))</f>
        <v>0</v>
      </c>
      <c r="W98" s="49">
        <f>IF(B98="","",IF(N98&lt;&gt;"Yes","Action - notify the owner",IF(AND(P98="Yes",Q98&lt;&gt;"",Q98&lt;TODAY(),R98&lt;&gt;"Resolved",R98&lt;&gt;"Closed"),"Overdue follow-up",IF(OR(R98="Open",R98="In progress"),"Open - keep working it","OK"))))</f>
        <v>0</v>
      </c>
    </row>
    <row r="99" spans="1:23">
      <c r="A99" s="46">
        <f>IF(B99="","","IN-"&amp;TEXT(ROW()-4,"000"))</f>
        <v>0</v>
      </c>
      <c r="U99" s="28">
        <f>IF(B99="","",IF(OR(R99="Resolved",R99="Closed"),"Closed",TEXT(TODAY()-B99,"0")&amp;" days"))</f>
        <v>0</v>
      </c>
      <c r="W99" s="49">
        <f>IF(B99="","",IF(N99&lt;&gt;"Yes","Action - notify the owner",IF(AND(P99="Yes",Q99&lt;&gt;"",Q99&lt;TODAY(),R99&lt;&gt;"Resolved",R99&lt;&gt;"Closed"),"Overdue follow-up",IF(OR(R99="Open",R99="In progress"),"Open - keep working it","OK"))))</f>
        <v>0</v>
      </c>
    </row>
    <row r="100" spans="1:23">
      <c r="A100" s="46">
        <f>IF(B100="","","IN-"&amp;TEXT(ROW()-4,"000"))</f>
        <v>0</v>
      </c>
      <c r="U100" s="28">
        <f>IF(B100="","",IF(OR(R100="Resolved",R100="Closed"),"Closed",TEXT(TODAY()-B100,"0")&amp;" days"))</f>
        <v>0</v>
      </c>
      <c r="W100" s="49">
        <f>IF(B100="","",IF(N100&lt;&gt;"Yes","Action - notify the owner",IF(AND(P100="Yes",Q100&lt;&gt;"",Q100&lt;TODAY(),R100&lt;&gt;"Resolved",R100&lt;&gt;"Closed"),"Overdue follow-up",IF(OR(R100="Open",R100="In progress"),"Open - keep working it","OK"))))</f>
        <v>0</v>
      </c>
    </row>
    <row r="101" spans="1:23">
      <c r="A101" s="46">
        <f>IF(B101="","","IN-"&amp;TEXT(ROW()-4,"000"))</f>
        <v>0</v>
      </c>
      <c r="U101" s="28">
        <f>IF(B101="","",IF(OR(R101="Resolved",R101="Closed"),"Closed",TEXT(TODAY()-B101,"0")&amp;" days"))</f>
        <v>0</v>
      </c>
      <c r="W101" s="49">
        <f>IF(B101="","",IF(N101&lt;&gt;"Yes","Action - notify the owner",IF(AND(P101="Yes",Q101&lt;&gt;"",Q101&lt;TODAY(),R101&lt;&gt;"Resolved",R101&lt;&gt;"Closed"),"Overdue follow-up",IF(OR(R101="Open",R101="In progress"),"Open - keep working it","OK"))))</f>
        <v>0</v>
      </c>
    </row>
    <row r="102" spans="1:23">
      <c r="A102" s="46">
        <f>IF(B102="","","IN-"&amp;TEXT(ROW()-4,"000"))</f>
        <v>0</v>
      </c>
      <c r="U102" s="28">
        <f>IF(B102="","",IF(OR(R102="Resolved",R102="Closed"),"Closed",TEXT(TODAY()-B102,"0")&amp;" days"))</f>
        <v>0</v>
      </c>
      <c r="W102" s="49">
        <f>IF(B102="","",IF(N102&lt;&gt;"Yes","Action - notify the owner",IF(AND(P102="Yes",Q102&lt;&gt;"",Q102&lt;TODAY(),R102&lt;&gt;"Resolved",R102&lt;&gt;"Closed"),"Overdue follow-up",IF(OR(R102="Open",R102="In progress"),"Open - keep working it","OK"))))</f>
        <v>0</v>
      </c>
    </row>
    <row r="103" spans="1:23">
      <c r="A103" s="46">
        <f>IF(B103="","","IN-"&amp;TEXT(ROW()-4,"000"))</f>
        <v>0</v>
      </c>
      <c r="U103" s="28">
        <f>IF(B103="","",IF(OR(R103="Resolved",R103="Closed"),"Closed",TEXT(TODAY()-B103,"0")&amp;" days"))</f>
        <v>0</v>
      </c>
      <c r="W103" s="49">
        <f>IF(B103="","",IF(N103&lt;&gt;"Yes","Action - notify the owner",IF(AND(P103="Yes",Q103&lt;&gt;"",Q103&lt;TODAY(),R103&lt;&gt;"Resolved",R103&lt;&gt;"Closed"),"Overdue follow-up",IF(OR(R103="Open",R103="In progress"),"Open - keep working it","OK"))))</f>
        <v>0</v>
      </c>
    </row>
    <row r="104" spans="1:23">
      <c r="A104" s="46">
        <f>IF(B104="","","IN-"&amp;TEXT(ROW()-4,"000"))</f>
        <v>0</v>
      </c>
      <c r="U104" s="28">
        <f>IF(B104="","",IF(OR(R104="Resolved",R104="Closed"),"Closed",TEXT(TODAY()-B104,"0")&amp;" days"))</f>
        <v>0</v>
      </c>
      <c r="W104" s="49">
        <f>IF(B104="","",IF(N104&lt;&gt;"Yes","Action - notify the owner",IF(AND(P104="Yes",Q104&lt;&gt;"",Q104&lt;TODAY(),R104&lt;&gt;"Resolved",R104&lt;&gt;"Closed"),"Overdue follow-up",IF(OR(R104="Open",R104="In progress"),"Open - keep working it","OK"))))</f>
        <v>0</v>
      </c>
    </row>
    <row r="105" spans="1:23">
      <c r="A105" s="46">
        <f>IF(B105="","","IN-"&amp;TEXT(ROW()-4,"000"))</f>
        <v>0</v>
      </c>
      <c r="U105" s="28">
        <f>IF(B105="","",IF(OR(R105="Resolved",R105="Closed"),"Closed",TEXT(TODAY()-B105,"0")&amp;" days"))</f>
        <v>0</v>
      </c>
      <c r="W105" s="49">
        <f>IF(B105="","",IF(N105&lt;&gt;"Yes","Action - notify the owner",IF(AND(P105="Yes",Q105&lt;&gt;"",Q105&lt;TODAY(),R105&lt;&gt;"Resolved",R105&lt;&gt;"Closed"),"Overdue follow-up",IF(OR(R105="Open",R105="In progress"),"Open - keep working it","OK"))))</f>
        <v>0</v>
      </c>
    </row>
    <row r="106" spans="1:23">
      <c r="A106" s="46">
        <f>IF(B106="","","IN-"&amp;TEXT(ROW()-4,"000"))</f>
        <v>0</v>
      </c>
      <c r="U106" s="28">
        <f>IF(B106="","",IF(OR(R106="Resolved",R106="Closed"),"Closed",TEXT(TODAY()-B106,"0")&amp;" days"))</f>
        <v>0</v>
      </c>
      <c r="W106" s="49">
        <f>IF(B106="","",IF(N106&lt;&gt;"Yes","Action - notify the owner",IF(AND(P106="Yes",Q106&lt;&gt;"",Q106&lt;TODAY(),R106&lt;&gt;"Resolved",R106&lt;&gt;"Closed"),"Overdue follow-up",IF(OR(R106="Open",R106="In progress"),"Open - keep working it","OK"))))</f>
        <v>0</v>
      </c>
    </row>
    <row r="107" spans="1:23">
      <c r="A107" s="46">
        <f>IF(B107="","","IN-"&amp;TEXT(ROW()-4,"000"))</f>
        <v>0</v>
      </c>
      <c r="U107" s="28">
        <f>IF(B107="","",IF(OR(R107="Resolved",R107="Closed"),"Closed",TEXT(TODAY()-B107,"0")&amp;" days"))</f>
        <v>0</v>
      </c>
      <c r="W107" s="49">
        <f>IF(B107="","",IF(N107&lt;&gt;"Yes","Action - notify the owner",IF(AND(P107="Yes",Q107&lt;&gt;"",Q107&lt;TODAY(),R107&lt;&gt;"Resolved",R107&lt;&gt;"Closed"),"Overdue follow-up",IF(OR(R107="Open",R107="In progress"),"Open - keep working it","OK"))))</f>
        <v>0</v>
      </c>
    </row>
    <row r="108" spans="1:23">
      <c r="A108" s="46">
        <f>IF(B108="","","IN-"&amp;TEXT(ROW()-4,"000"))</f>
        <v>0</v>
      </c>
      <c r="U108" s="28">
        <f>IF(B108="","",IF(OR(R108="Resolved",R108="Closed"),"Closed",TEXT(TODAY()-B108,"0")&amp;" days"))</f>
        <v>0</v>
      </c>
      <c r="W108" s="49">
        <f>IF(B108="","",IF(N108&lt;&gt;"Yes","Action - notify the owner",IF(AND(P108="Yes",Q108&lt;&gt;"",Q108&lt;TODAY(),R108&lt;&gt;"Resolved",R108&lt;&gt;"Closed"),"Overdue follow-up",IF(OR(R108="Open",R108="In progress"),"Open - keep working it","OK"))))</f>
        <v>0</v>
      </c>
    </row>
    <row r="109" spans="1:23">
      <c r="A109" s="46">
        <f>IF(B109="","","IN-"&amp;TEXT(ROW()-4,"000"))</f>
        <v>0</v>
      </c>
      <c r="U109" s="28">
        <f>IF(B109="","",IF(OR(R109="Resolved",R109="Closed"),"Closed",TEXT(TODAY()-B109,"0")&amp;" days"))</f>
        <v>0</v>
      </c>
      <c r="W109" s="49">
        <f>IF(B109="","",IF(N109&lt;&gt;"Yes","Action - notify the owner",IF(AND(P109="Yes",Q109&lt;&gt;"",Q109&lt;TODAY(),R109&lt;&gt;"Resolved",R109&lt;&gt;"Closed"),"Overdue follow-up",IF(OR(R109="Open",R109="In progress"),"Open - keep working it","OK"))))</f>
        <v>0</v>
      </c>
    </row>
    <row r="110" spans="1:23">
      <c r="A110" s="46">
        <f>IF(B110="","","IN-"&amp;TEXT(ROW()-4,"000"))</f>
        <v>0</v>
      </c>
      <c r="U110" s="28">
        <f>IF(B110="","",IF(OR(R110="Resolved",R110="Closed"),"Closed",TEXT(TODAY()-B110,"0")&amp;" days"))</f>
        <v>0</v>
      </c>
      <c r="W110" s="49">
        <f>IF(B110="","",IF(N110&lt;&gt;"Yes","Action - notify the owner",IF(AND(P110="Yes",Q110&lt;&gt;"",Q110&lt;TODAY(),R110&lt;&gt;"Resolved",R110&lt;&gt;"Closed"),"Overdue follow-up",IF(OR(R110="Open",R110="In progress"),"Open - keep working it","OK"))))</f>
        <v>0</v>
      </c>
    </row>
    <row r="111" spans="1:23">
      <c r="A111" s="46">
        <f>IF(B111="","","IN-"&amp;TEXT(ROW()-4,"000"))</f>
        <v>0</v>
      </c>
      <c r="U111" s="28">
        <f>IF(B111="","",IF(OR(R111="Resolved",R111="Closed"),"Closed",TEXT(TODAY()-B111,"0")&amp;" days"))</f>
        <v>0</v>
      </c>
      <c r="W111" s="49">
        <f>IF(B111="","",IF(N111&lt;&gt;"Yes","Action - notify the owner",IF(AND(P111="Yes",Q111&lt;&gt;"",Q111&lt;TODAY(),R111&lt;&gt;"Resolved",R111&lt;&gt;"Closed"),"Overdue follow-up",IF(OR(R111="Open",R111="In progress"),"Open - keep working it","OK"))))</f>
        <v>0</v>
      </c>
    </row>
    <row r="112" spans="1:23">
      <c r="A112" s="46">
        <f>IF(B112="","","IN-"&amp;TEXT(ROW()-4,"000"))</f>
        <v>0</v>
      </c>
      <c r="U112" s="28">
        <f>IF(B112="","",IF(OR(R112="Resolved",R112="Closed"),"Closed",TEXT(TODAY()-B112,"0")&amp;" days"))</f>
        <v>0</v>
      </c>
      <c r="W112" s="49">
        <f>IF(B112="","",IF(N112&lt;&gt;"Yes","Action - notify the owner",IF(AND(P112="Yes",Q112&lt;&gt;"",Q112&lt;TODAY(),R112&lt;&gt;"Resolved",R112&lt;&gt;"Closed"),"Overdue follow-up",IF(OR(R112="Open",R112="In progress"),"Open - keep working it","OK"))))</f>
        <v>0</v>
      </c>
    </row>
    <row r="113" spans="1:23">
      <c r="A113" s="46">
        <f>IF(B113="","","IN-"&amp;TEXT(ROW()-4,"000"))</f>
        <v>0</v>
      </c>
      <c r="U113" s="28">
        <f>IF(B113="","",IF(OR(R113="Resolved",R113="Closed"),"Closed",TEXT(TODAY()-B113,"0")&amp;" days"))</f>
        <v>0</v>
      </c>
      <c r="W113" s="49">
        <f>IF(B113="","",IF(N113&lt;&gt;"Yes","Action - notify the owner",IF(AND(P113="Yes",Q113&lt;&gt;"",Q113&lt;TODAY(),R113&lt;&gt;"Resolved",R113&lt;&gt;"Closed"),"Overdue follow-up",IF(OR(R113="Open",R113="In progress"),"Open - keep working it","OK"))))</f>
        <v>0</v>
      </c>
    </row>
    <row r="114" spans="1:23">
      <c r="A114" s="46">
        <f>IF(B114="","","IN-"&amp;TEXT(ROW()-4,"000"))</f>
        <v>0</v>
      </c>
      <c r="U114" s="28">
        <f>IF(B114="","",IF(OR(R114="Resolved",R114="Closed"),"Closed",TEXT(TODAY()-B114,"0")&amp;" days"))</f>
        <v>0</v>
      </c>
      <c r="W114" s="49">
        <f>IF(B114="","",IF(N114&lt;&gt;"Yes","Action - notify the owner",IF(AND(P114="Yes",Q114&lt;&gt;"",Q114&lt;TODAY(),R114&lt;&gt;"Resolved",R114&lt;&gt;"Closed"),"Overdue follow-up",IF(OR(R114="Open",R114="In progress"),"Open - keep working it","OK"))))</f>
        <v>0</v>
      </c>
    </row>
    <row r="115" spans="1:23">
      <c r="A115" s="46">
        <f>IF(B115="","","IN-"&amp;TEXT(ROW()-4,"000"))</f>
        <v>0</v>
      </c>
      <c r="U115" s="28">
        <f>IF(B115="","",IF(OR(R115="Resolved",R115="Closed"),"Closed",TEXT(TODAY()-B115,"0")&amp;" days"))</f>
        <v>0</v>
      </c>
      <c r="W115" s="49">
        <f>IF(B115="","",IF(N115&lt;&gt;"Yes","Action - notify the owner",IF(AND(P115="Yes",Q115&lt;&gt;"",Q115&lt;TODAY(),R115&lt;&gt;"Resolved",R115&lt;&gt;"Closed"),"Overdue follow-up",IF(OR(R115="Open",R115="In progress"),"Open - keep working it","OK"))))</f>
        <v>0</v>
      </c>
    </row>
    <row r="116" spans="1:23">
      <c r="A116" s="46">
        <f>IF(B116="","","IN-"&amp;TEXT(ROW()-4,"000"))</f>
        <v>0</v>
      </c>
      <c r="U116" s="28">
        <f>IF(B116="","",IF(OR(R116="Resolved",R116="Closed"),"Closed",TEXT(TODAY()-B116,"0")&amp;" days"))</f>
        <v>0</v>
      </c>
      <c r="W116" s="49">
        <f>IF(B116="","",IF(N116&lt;&gt;"Yes","Action - notify the owner",IF(AND(P116="Yes",Q116&lt;&gt;"",Q116&lt;TODAY(),R116&lt;&gt;"Resolved",R116&lt;&gt;"Closed"),"Overdue follow-up",IF(OR(R116="Open",R116="In progress"),"Open - keep working it","OK"))))</f>
        <v>0</v>
      </c>
    </row>
    <row r="117" spans="1:23">
      <c r="A117" s="46">
        <f>IF(B117="","","IN-"&amp;TEXT(ROW()-4,"000"))</f>
        <v>0</v>
      </c>
      <c r="U117" s="28">
        <f>IF(B117="","",IF(OR(R117="Resolved",R117="Closed"),"Closed",TEXT(TODAY()-B117,"0")&amp;" days"))</f>
        <v>0</v>
      </c>
      <c r="W117" s="49">
        <f>IF(B117="","",IF(N117&lt;&gt;"Yes","Action - notify the owner",IF(AND(P117="Yes",Q117&lt;&gt;"",Q117&lt;TODAY(),R117&lt;&gt;"Resolved",R117&lt;&gt;"Closed"),"Overdue follow-up",IF(OR(R117="Open",R117="In progress"),"Open - keep working it","OK"))))</f>
        <v>0</v>
      </c>
    </row>
  </sheetData>
  <sheetProtection password="EC7C" sheet="1" objects="1" scenarios="1" formatCells="0" formatColumns="0" formatRows="0" insertRows="0" insertHyperlinks="0" deleteRows="0" autoFilter="0"/>
  <autoFilter ref="A17:W117"/>
  <mergeCells count="35">
    <mergeCell ref="A1:T1"/>
    <mergeCell ref="U1:W1"/>
    <mergeCell ref="A2:W2"/>
    <mergeCell ref="A3:B3"/>
    <mergeCell ref="C3:D3"/>
    <mergeCell ref="E3:F3"/>
    <mergeCell ref="G3:H3"/>
    <mergeCell ref="I3:J3"/>
    <mergeCell ref="K3:L3"/>
    <mergeCell ref="M3:N3"/>
    <mergeCell ref="O3:P3"/>
    <mergeCell ref="Q3:R3"/>
    <mergeCell ref="S3:W3"/>
    <mergeCell ref="A16:W16"/>
    <mergeCell ref="A4:H4"/>
    <mergeCell ref="B5:C5"/>
    <mergeCell ref="D5:G5"/>
    <mergeCell ref="B6:C6"/>
    <mergeCell ref="D6:G6"/>
    <mergeCell ref="B7:C7"/>
    <mergeCell ref="D7:G7"/>
    <mergeCell ref="B8:C8"/>
    <mergeCell ref="D8:G8"/>
    <mergeCell ref="B9:C9"/>
    <mergeCell ref="D9:G9"/>
    <mergeCell ref="B10:C10"/>
    <mergeCell ref="D10:G10"/>
    <mergeCell ref="B11:C11"/>
    <mergeCell ref="D11:G11"/>
    <mergeCell ref="B12:C12"/>
    <mergeCell ref="D12:G12"/>
    <mergeCell ref="B13:C13"/>
    <mergeCell ref="D13:G13"/>
    <mergeCell ref="B14:C14"/>
    <mergeCell ref="D14:G14"/>
  </mergeCells>
  <conditionalFormatting sqref="I18:I117">
    <cfRule type="containsText" dxfId="5" priority="1" operator="containsText" text="Critical">
      <formula>NOT(ISERROR(SEARCH("Critical",I18)))</formula>
    </cfRule>
    <cfRule type="containsText" dxfId="1" priority="2" operator="containsText" text="High">
      <formula>NOT(ISERROR(SEARCH("High",I18)))</formula>
    </cfRule>
    <cfRule type="containsText" dxfId="2" priority="3" operator="containsText" text="Medium">
      <formula>NOT(ISERROR(SEARCH("Medium",I18)))</formula>
    </cfRule>
    <cfRule type="containsText" dxfId="0" priority="4" operator="containsText" text="Low">
      <formula>NOT(ISERROR(SEARCH("Low",I18)))</formula>
    </cfRule>
  </conditionalFormatting>
  <conditionalFormatting sqref="L18:L117">
    <cfRule type="containsText" dxfId="0" priority="5" operator="containsText" text="Completed">
      <formula>NOT(ISERROR(SEARCH("Completed",L18)))</formula>
    </cfRule>
    <cfRule type="containsText" dxfId="0" priority="6" operator="containsText" text="Confirmed">
      <formula>NOT(ISERROR(SEARCH("Confirmed",L18)))</formula>
    </cfRule>
    <cfRule type="containsText" dxfId="0" priority="7" operator="containsText" text="Paid">
      <formula>NOT(ISERROR(SEARCH("Paid",L18)))</formula>
    </cfRule>
    <cfRule type="containsText" dxfId="0" priority="8" operator="containsText" text="Active">
      <formula>NOT(ISERROR(SEARCH("Active",L18)))</formula>
    </cfRule>
    <cfRule type="containsText" dxfId="0" priority="9" operator="containsText" text="Resolved">
      <formula>NOT(ISERROR(SEARCH("Resolved",L18)))</formula>
    </cfRule>
    <cfRule type="containsText" dxfId="0" priority="10" operator="containsText" text="Given">
      <formula>NOT(ISERROR(SEARCH("Given",L18)))</formula>
    </cfRule>
    <cfRule type="containsText" dxfId="2" priority="11" operator="containsText" text="Pending">
      <formula>NOT(ISERROR(SEARCH("Pending",L18)))</formula>
    </cfRule>
    <cfRule type="containsText" dxfId="2" priority="12" operator="containsText" text="Draft">
      <formula>NOT(ISERROR(SEARCH("Draft",L18)))</formula>
    </cfRule>
    <cfRule type="containsText" dxfId="2" priority="13" operator="containsText" text="Enquiry">
      <formula>NOT(ISERROR(SEARCH("Enquiry",L18)))</formula>
    </cfRule>
    <cfRule type="containsText" dxfId="2" priority="14" operator="containsText" text="Partially">
      <formula>NOT(ISERROR(SEARCH("Partially",L18)))</formula>
    </cfRule>
    <cfRule type="containsText" dxfId="3" priority="15" operator="containsText" text="In progress">
      <formula>NOT(ISERROR(SEARCH("In progress",L18)))</formula>
    </cfRule>
    <cfRule type="containsText" dxfId="3" priority="16" operator="containsText" text="Scheduled">
      <formula>NOT(ISERROR(SEARCH("Scheduled",L18)))</formula>
    </cfRule>
    <cfRule type="containsText" dxfId="3" priority="17" operator="containsText" text="Sent">
      <formula>NOT(ISERROR(SEARCH("Sent",L18)))</formula>
    </cfRule>
    <cfRule type="containsText" dxfId="1" priority="18" operator="containsText" text="Cancelled">
      <formula>NOT(ISERROR(SEARCH("Cancelled",L18)))</formula>
    </cfRule>
    <cfRule type="containsText" dxfId="1" priority="19" operator="containsText" text="No show">
      <formula>NOT(ISERROR(SEARCH("No show",L18)))</formula>
    </cfRule>
    <cfRule type="containsText" dxfId="1" priority="20" operator="containsText" text="Missed">
      <formula>NOT(ISERROR(SEARCH("Missed",L18)))</formula>
    </cfRule>
    <cfRule type="containsText" dxfId="1" priority="21" operator="containsText" text="Overdue">
      <formula>NOT(ISERROR(SEARCH("Overdue",L18)))</formula>
    </cfRule>
    <cfRule type="containsText" dxfId="4" priority="22" operator="containsText" text="Inactive">
      <formula>NOT(ISERROR(SEARCH("Inactive",L18)))</formula>
    </cfRule>
    <cfRule type="containsText" dxfId="1" priority="23" operator="containsText" text="Lost">
      <formula>NOT(ISERROR(SEARCH("Lost",L18)))</formula>
    </cfRule>
  </conditionalFormatting>
  <conditionalFormatting sqref="N18:N117">
    <cfRule type="containsText" dxfId="0" priority="24" operator="containsText" text="Completed">
      <formula>NOT(ISERROR(SEARCH("Completed",N18)))</formula>
    </cfRule>
    <cfRule type="containsText" dxfId="0" priority="25" operator="containsText" text="Confirmed">
      <formula>NOT(ISERROR(SEARCH("Confirmed",N18)))</formula>
    </cfRule>
    <cfRule type="containsText" dxfId="0" priority="26" operator="containsText" text="Paid">
      <formula>NOT(ISERROR(SEARCH("Paid",N18)))</formula>
    </cfRule>
    <cfRule type="containsText" dxfId="0" priority="27" operator="containsText" text="Active">
      <formula>NOT(ISERROR(SEARCH("Active",N18)))</formula>
    </cfRule>
    <cfRule type="containsText" dxfId="0" priority="28" operator="containsText" text="Resolved">
      <formula>NOT(ISERROR(SEARCH("Resolved",N18)))</formula>
    </cfRule>
    <cfRule type="containsText" dxfId="0" priority="29" operator="containsText" text="Given">
      <formula>NOT(ISERROR(SEARCH("Given",N18)))</formula>
    </cfRule>
    <cfRule type="containsText" dxfId="2" priority="30" operator="containsText" text="Pending">
      <formula>NOT(ISERROR(SEARCH("Pending",N18)))</formula>
    </cfRule>
    <cfRule type="containsText" dxfId="2" priority="31" operator="containsText" text="Draft">
      <formula>NOT(ISERROR(SEARCH("Draft",N18)))</formula>
    </cfRule>
    <cfRule type="containsText" dxfId="2" priority="32" operator="containsText" text="Enquiry">
      <formula>NOT(ISERROR(SEARCH("Enquiry",N18)))</formula>
    </cfRule>
    <cfRule type="containsText" dxfId="2" priority="33" operator="containsText" text="Partially">
      <formula>NOT(ISERROR(SEARCH("Partially",N18)))</formula>
    </cfRule>
    <cfRule type="containsText" dxfId="3" priority="34" operator="containsText" text="In progress">
      <formula>NOT(ISERROR(SEARCH("In progress",N18)))</formula>
    </cfRule>
    <cfRule type="containsText" dxfId="3" priority="35" operator="containsText" text="Scheduled">
      <formula>NOT(ISERROR(SEARCH("Scheduled",N18)))</formula>
    </cfRule>
    <cfRule type="containsText" dxfId="3" priority="36" operator="containsText" text="Sent">
      <formula>NOT(ISERROR(SEARCH("Sent",N18)))</formula>
    </cfRule>
    <cfRule type="containsText" dxfId="1" priority="37" operator="containsText" text="Cancelled">
      <formula>NOT(ISERROR(SEARCH("Cancelled",N18)))</formula>
    </cfRule>
    <cfRule type="containsText" dxfId="1" priority="38" operator="containsText" text="No show">
      <formula>NOT(ISERROR(SEARCH("No show",N18)))</formula>
    </cfRule>
    <cfRule type="containsText" dxfId="1" priority="39" operator="containsText" text="Missed">
      <formula>NOT(ISERROR(SEARCH("Missed",N18)))</formula>
    </cfRule>
    <cfRule type="containsText" dxfId="1" priority="40" operator="containsText" text="Overdue">
      <formula>NOT(ISERROR(SEARCH("Overdue",N18)))</formula>
    </cfRule>
    <cfRule type="containsText" dxfId="4" priority="41" operator="containsText" text="Inactive">
      <formula>NOT(ISERROR(SEARCH("Inactive",N18)))</formula>
    </cfRule>
    <cfRule type="containsText" dxfId="1" priority="42" operator="containsText" text="Lost">
      <formula>NOT(ISERROR(SEARCH("Lost",N18)))</formula>
    </cfRule>
  </conditionalFormatting>
  <conditionalFormatting sqref="P18:P117">
    <cfRule type="containsText" dxfId="0" priority="43" operator="containsText" text="Completed">
      <formula>NOT(ISERROR(SEARCH("Completed",P18)))</formula>
    </cfRule>
    <cfRule type="containsText" dxfId="0" priority="44" operator="containsText" text="Confirmed">
      <formula>NOT(ISERROR(SEARCH("Confirmed",P18)))</formula>
    </cfRule>
    <cfRule type="containsText" dxfId="0" priority="45" operator="containsText" text="Paid">
      <formula>NOT(ISERROR(SEARCH("Paid",P18)))</formula>
    </cfRule>
    <cfRule type="containsText" dxfId="0" priority="46" operator="containsText" text="Active">
      <formula>NOT(ISERROR(SEARCH("Active",P18)))</formula>
    </cfRule>
    <cfRule type="containsText" dxfId="0" priority="47" operator="containsText" text="Resolved">
      <formula>NOT(ISERROR(SEARCH("Resolved",P18)))</formula>
    </cfRule>
    <cfRule type="containsText" dxfId="0" priority="48" operator="containsText" text="Given">
      <formula>NOT(ISERROR(SEARCH("Given",P18)))</formula>
    </cfRule>
    <cfRule type="containsText" dxfId="2" priority="49" operator="containsText" text="Pending">
      <formula>NOT(ISERROR(SEARCH("Pending",P18)))</formula>
    </cfRule>
    <cfRule type="containsText" dxfId="2" priority="50" operator="containsText" text="Draft">
      <formula>NOT(ISERROR(SEARCH("Draft",P18)))</formula>
    </cfRule>
    <cfRule type="containsText" dxfId="2" priority="51" operator="containsText" text="Enquiry">
      <formula>NOT(ISERROR(SEARCH("Enquiry",P18)))</formula>
    </cfRule>
    <cfRule type="containsText" dxfId="2" priority="52" operator="containsText" text="Partially">
      <formula>NOT(ISERROR(SEARCH("Partially",P18)))</formula>
    </cfRule>
    <cfRule type="containsText" dxfId="3" priority="53" operator="containsText" text="In progress">
      <formula>NOT(ISERROR(SEARCH("In progress",P18)))</formula>
    </cfRule>
    <cfRule type="containsText" dxfId="3" priority="54" operator="containsText" text="Scheduled">
      <formula>NOT(ISERROR(SEARCH("Scheduled",P18)))</formula>
    </cfRule>
    <cfRule type="containsText" dxfId="3" priority="55" operator="containsText" text="Sent">
      <formula>NOT(ISERROR(SEARCH("Sent",P18)))</formula>
    </cfRule>
    <cfRule type="containsText" dxfId="1" priority="56" operator="containsText" text="Cancelled">
      <formula>NOT(ISERROR(SEARCH("Cancelled",P18)))</formula>
    </cfRule>
    <cfRule type="containsText" dxfId="1" priority="57" operator="containsText" text="No show">
      <formula>NOT(ISERROR(SEARCH("No show",P18)))</formula>
    </cfRule>
    <cfRule type="containsText" dxfId="1" priority="58" operator="containsText" text="Missed">
      <formula>NOT(ISERROR(SEARCH("Missed",P18)))</formula>
    </cfRule>
    <cfRule type="containsText" dxfId="1" priority="59" operator="containsText" text="Overdue">
      <formula>NOT(ISERROR(SEARCH("Overdue",P18)))</formula>
    </cfRule>
    <cfRule type="containsText" dxfId="4" priority="60" operator="containsText" text="Inactive">
      <formula>NOT(ISERROR(SEARCH("Inactive",P18)))</formula>
    </cfRule>
    <cfRule type="containsText" dxfId="1" priority="61" operator="containsText" text="Lost">
      <formula>NOT(ISERROR(SEARCH("Lost",P18)))</formula>
    </cfRule>
  </conditionalFormatting>
  <conditionalFormatting sqref="R18:R117">
    <cfRule type="containsText" dxfId="0" priority="62" operator="containsText" text="Completed">
      <formula>NOT(ISERROR(SEARCH("Completed",R18)))</formula>
    </cfRule>
    <cfRule type="containsText" dxfId="0" priority="63" operator="containsText" text="Confirmed">
      <formula>NOT(ISERROR(SEARCH("Confirmed",R18)))</formula>
    </cfRule>
    <cfRule type="containsText" dxfId="0" priority="64" operator="containsText" text="Paid">
      <formula>NOT(ISERROR(SEARCH("Paid",R18)))</formula>
    </cfRule>
    <cfRule type="containsText" dxfId="0" priority="65" operator="containsText" text="Active">
      <formula>NOT(ISERROR(SEARCH("Active",R18)))</formula>
    </cfRule>
    <cfRule type="containsText" dxfId="0" priority="66" operator="containsText" text="Resolved">
      <formula>NOT(ISERROR(SEARCH("Resolved",R18)))</formula>
    </cfRule>
    <cfRule type="containsText" dxfId="0" priority="67" operator="containsText" text="Given">
      <formula>NOT(ISERROR(SEARCH("Given",R18)))</formula>
    </cfRule>
    <cfRule type="containsText" dxfId="2" priority="68" operator="containsText" text="Pending">
      <formula>NOT(ISERROR(SEARCH("Pending",R18)))</formula>
    </cfRule>
    <cfRule type="containsText" dxfId="2" priority="69" operator="containsText" text="Draft">
      <formula>NOT(ISERROR(SEARCH("Draft",R18)))</formula>
    </cfRule>
    <cfRule type="containsText" dxfId="2" priority="70" operator="containsText" text="Enquiry">
      <formula>NOT(ISERROR(SEARCH("Enquiry",R18)))</formula>
    </cfRule>
    <cfRule type="containsText" dxfId="2" priority="71" operator="containsText" text="Partially">
      <formula>NOT(ISERROR(SEARCH("Partially",R18)))</formula>
    </cfRule>
    <cfRule type="containsText" dxfId="3" priority="72" operator="containsText" text="In progress">
      <formula>NOT(ISERROR(SEARCH("In progress",R18)))</formula>
    </cfRule>
    <cfRule type="containsText" dxfId="3" priority="73" operator="containsText" text="Scheduled">
      <formula>NOT(ISERROR(SEARCH("Scheduled",R18)))</formula>
    </cfRule>
    <cfRule type="containsText" dxfId="3" priority="74" operator="containsText" text="Sent">
      <formula>NOT(ISERROR(SEARCH("Sent",R18)))</formula>
    </cfRule>
    <cfRule type="containsText" dxfId="1" priority="75" operator="containsText" text="Cancelled">
      <formula>NOT(ISERROR(SEARCH("Cancelled",R18)))</formula>
    </cfRule>
    <cfRule type="containsText" dxfId="1" priority="76" operator="containsText" text="No show">
      <formula>NOT(ISERROR(SEARCH("No show",R18)))</formula>
    </cfRule>
    <cfRule type="containsText" dxfId="1" priority="77" operator="containsText" text="Missed">
      <formula>NOT(ISERROR(SEARCH("Missed",R18)))</formula>
    </cfRule>
    <cfRule type="containsText" dxfId="1" priority="78" operator="containsText" text="Overdue">
      <formula>NOT(ISERROR(SEARCH("Overdue",R18)))</formula>
    </cfRule>
    <cfRule type="containsText" dxfId="4" priority="79" operator="containsText" text="Inactive">
      <formula>NOT(ISERROR(SEARCH("Inactive",R18)))</formula>
    </cfRule>
    <cfRule type="containsText" dxfId="1" priority="80" operator="containsText" text="Lost">
      <formula>NOT(ISERROR(SEARCH("Lost",R18)))</formula>
    </cfRule>
  </conditionalFormatting>
  <conditionalFormatting sqref="W18:W117">
    <cfRule type="beginsWith" dxfId="0" priority="81" operator="beginsWith" text="OK">
      <formula>LEFT(W18,2)="OK"</formula>
    </cfRule>
    <cfRule type="containsText" dxfId="1" priority="82" operator="containsText" text="Overdue">
      <formula>NOT(ISERROR(SEARCH("Overdue",W18)))</formula>
    </cfRule>
    <cfRule type="containsText" dxfId="1" priority="83" operator="containsText" text="Missed">
      <formula>NOT(ISERROR(SEARCH("Missed",W18)))</formula>
    </cfRule>
    <cfRule type="containsText" dxfId="1" priority="84" operator="containsText" text="Conflict">
      <formula>NOT(ISERROR(SEARCH("Conflict",W18)))</formula>
    </cfRule>
    <cfRule type="containsText" dxfId="1" priority="85" operator="containsText" text="Expired">
      <formula>NOT(ISERROR(SEARCH("Expired",W18)))</formula>
    </cfRule>
    <cfRule type="containsText" dxfId="1" priority="86" operator="containsText" text="Duplicate">
      <formula>NOT(ISERROR(SEARCH("Duplicate",W18)))</formula>
    </cfRule>
    <cfRule type="containsText" dxfId="2" priority="87" operator="containsText" text="Action">
      <formula>NOT(ISERROR(SEARCH("Action",W18)))</formula>
    </cfRule>
    <cfRule type="containsText" dxfId="2" priority="88" operator="containsText" text="Due">
      <formula>NOT(ISERROR(SEARCH("Due",W18)))</formula>
    </cfRule>
    <cfRule type="containsText" dxfId="2" priority="89" operator="containsText" text="Check">
      <formula>NOT(ISERROR(SEARCH("Check",W18)))</formula>
    </cfRule>
    <cfRule type="containsText" dxfId="3" priority="90" operator="containsText" text="Today">
      <formula>NOT(ISERROR(SEARCH("Today",W18)))</formula>
    </cfRule>
    <cfRule type="containsText" dxfId="3" priority="91" operator="containsText" text="Upcoming">
      <formula>NOT(ISERROR(SEARCH("Upcoming",W18)))</formula>
    </cfRule>
  </conditionalFormatting>
  <dataValidations count="13">
    <dataValidation type="date" allowBlank="1" showInputMessage="1" showErrorMessage="1" errorTitle="Check the date" error="Enter a real date between 2000 and 2100." sqref="B18:B117">
      <formula1>36526</formula1>
      <formula2>73415</formula2>
    </dataValidation>
    <dataValidation type="list" allowBlank="1" showInputMessage="1" showErrorMessage="1" sqref="D18:D117">
      <formula1>ClientNames</formula1>
    </dataValidation>
    <dataValidation type="list" allowBlank="1" showInputMessage="1" showErrorMessage="1" sqref="E18:E117">
      <formula1>PetLabels</formula1>
    </dataValidation>
    <dataValidation type="list" allowBlank="1" showInputMessage="1" showErrorMessage="1" sqref="F18:F117">
      <formula1>StaffNames</formula1>
    </dataValidation>
    <dataValidation type="list" allowBlank="1" showInputMessage="1" showErrorMessage="1" sqref="H18:H117">
      <formula1>IncidentTypeList</formula1>
    </dataValidation>
    <dataValidation type="list" allowBlank="1" showInputMessage="1" showErrorMessage="1" sqref="I18:I117">
      <formula1>SeverityList</formula1>
    </dataValidation>
    <dataValidation type="list" allowBlank="1" showInputMessage="1" showErrorMessage="1" sqref="L18:L117">
      <formula1>"Yes,No"</formula1>
    </dataValidation>
    <dataValidation type="list" allowBlank="1" showInputMessage="1" showErrorMessage="1" sqref="N18:N117">
      <formula1>"Yes,No"</formula1>
    </dataValidation>
    <dataValidation type="list" allowBlank="1" showInputMessage="1" showErrorMessage="1" sqref="P18:P117">
      <formula1>"Yes,No"</formula1>
    </dataValidation>
    <dataValidation type="date" allowBlank="1" showInputMessage="1" showErrorMessage="1" errorTitle="Check the date" error="Enter a real date between 2000 and 2100." sqref="Q18:Q117">
      <formula1>36526</formula1>
      <formula2>73415</formula2>
    </dataValidation>
    <dataValidation type="list" allowBlank="1" showInputMessage="1" showErrorMessage="1" sqref="R18:R117">
      <formula1>IncidentStatusList</formula1>
    </dataValidation>
    <dataValidation type="decimal" allowBlank="1" showInputMessage="1" showErrorMessage="1" errorTitle="Check the value" error="Enter a number between 0 and 100000." sqref="S18:S117">
      <formula1>0</formula1>
      <formula2>100000</formula2>
    </dataValidation>
    <dataValidation type="list" allowBlank="1" showInputMessage="1" showErrorMessage="1" sqref="T18:T117">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&amp;L&amp;"Calibri,Bold"&amp;12&amp;C&amp;"Calibri,Bold"&amp;11Incidents&amp;R&amp;"Calibri,Italic"&amp;9Pet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2.xml><?xml version="1.0" encoding="utf-8"?>
<worksheet xmlns="http://schemas.openxmlformats.org/spreadsheetml/2006/main" xmlns:r="http://schemas.openxmlformats.org/officeDocument/2006/relationships">
  <sheetPr>
    <tabColor rgb="FF2E7D8F"/>
    <pageSetUpPr fitToPage="1"/>
  </sheetPr>
  <dimension ref="A1:T204"/>
  <sheetViews>
    <sheetView workbookViewId="0">
      <pane xSplit="3" ySplit="4" topLeftCell="D5" activePane="bottomRight" state="frozen"/>
      <selection pane="topRight" activeCell="D1" sqref="D1"/>
      <selection pane="bottomLeft" activeCell="A5" sqref="A5"/>
      <selection pane="bottomRight"/>
    </sheetView>
  </sheetViews>
  <sheetFormatPr defaultRowHeight="15"/>
  <cols>
    <col min="1" max="1" width="11.7109375" style="46" customWidth="1"/>
    <col min="2" max="2" width="12.7109375" style="39" customWidth="1"/>
    <col min="3" max="3" width="20.7109375" style="20" customWidth="1"/>
    <col min="4" max="4" width="20.7109375" style="20" customWidth="1"/>
    <col min="5" max="5" width="14.7109375" style="20" customWidth="1"/>
    <col min="6" max="6" width="11.7109375" style="20" customWidth="1"/>
    <col min="7" max="7" width="40.7109375" style="47" customWidth="1"/>
    <col min="8" max="8" width="10.7109375" style="12" customWidth="1"/>
    <col min="9" max="9" width="10.7109375" style="12" customWidth="1"/>
    <col min="10" max="10" width="40.7109375" style="47" customWidth="1"/>
    <col min="11" max="11" width="9.7109375" style="12" customWidth="1"/>
    <col min="12" max="12" width="32.7109375" style="47" customWidth="1"/>
    <col min="13" max="13" width="15.7109375" style="48" customWidth="1"/>
    <col min="14" max="14" width="12.7109375" style="39" customWidth="1"/>
    <col min="15" max="15" width="12.7109375" style="39" customWidth="1"/>
    <col min="16" max="16" width="10.7109375" style="12" customWidth="1"/>
    <col min="17" max="17" width="9.7109375" style="31" customWidth="1"/>
    <col min="18" max="18" width="30.7109375" style="47" customWidth="1"/>
    <col min="19" max="19" width="10.7109375" style="28" customWidth="1"/>
    <col min="20" max="20" width="26.7109375" style="49" customWidth="1"/>
  </cols>
  <sheetData>
    <row r="1" spans="1:20" ht="34" customHeight="1">
      <c r="A1" s="2" t="s">
        <v>862</v>
      </c>
      <c r="B1" s="2"/>
      <c r="C1" s="2"/>
      <c r="D1" s="2"/>
      <c r="E1" s="2"/>
      <c r="F1" s="2"/>
      <c r="G1" s="2"/>
      <c r="H1" s="2"/>
      <c r="I1" s="2"/>
      <c r="J1" s="2"/>
      <c r="K1" s="2"/>
      <c r="L1" s="2"/>
      <c r="M1" s="2"/>
      <c r="N1" s="2"/>
      <c r="O1" s="2"/>
      <c r="P1" s="2"/>
      <c r="Q1" s="2"/>
      <c r="R1" s="3" t="s">
        <v>118</v>
      </c>
      <c r="S1" s="3"/>
      <c r="T1" s="3"/>
    </row>
    <row r="2" spans="1:20" ht="18" customHeight="1">
      <c r="A2" s="4" t="s">
        <v>863</v>
      </c>
      <c r="B2" s="4"/>
      <c r="C2" s="4"/>
      <c r="D2" s="4"/>
      <c r="E2" s="4"/>
      <c r="F2" s="4"/>
      <c r="G2" s="4"/>
      <c r="H2" s="4"/>
      <c r="I2" s="4"/>
      <c r="J2" s="4"/>
      <c r="K2" s="4"/>
      <c r="L2" s="4"/>
      <c r="M2" s="4"/>
      <c r="N2" s="4"/>
      <c r="O2" s="4"/>
      <c r="P2" s="4"/>
      <c r="Q2" s="4"/>
      <c r="R2" s="4"/>
      <c r="S2" s="4"/>
      <c r="T2" s="4"/>
    </row>
    <row r="3" spans="1:2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row>
    <row r="4" spans="1:20" ht="30" customHeight="1">
      <c r="A4" s="8" t="s">
        <v>642</v>
      </c>
      <c r="B4" s="8" t="s">
        <v>337</v>
      </c>
      <c r="C4" s="9" t="s">
        <v>207</v>
      </c>
      <c r="D4" s="9" t="s">
        <v>517</v>
      </c>
      <c r="E4" s="9" t="s">
        <v>529</v>
      </c>
      <c r="F4" s="9" t="s">
        <v>532</v>
      </c>
      <c r="G4" s="9" t="s">
        <v>864</v>
      </c>
      <c r="H4" s="9" t="s">
        <v>865</v>
      </c>
      <c r="I4" s="9" t="s">
        <v>866</v>
      </c>
      <c r="J4" s="9" t="s">
        <v>867</v>
      </c>
      <c r="K4" s="9" t="s">
        <v>868</v>
      </c>
      <c r="L4" s="9" t="s">
        <v>869</v>
      </c>
      <c r="M4" s="9" t="s">
        <v>535</v>
      </c>
      <c r="N4" s="9" t="s">
        <v>870</v>
      </c>
      <c r="O4" s="9" t="s">
        <v>830</v>
      </c>
      <c r="P4" s="9" t="s">
        <v>871</v>
      </c>
      <c r="Q4" s="9" t="s">
        <v>833</v>
      </c>
      <c r="R4" s="9" t="s">
        <v>339</v>
      </c>
      <c r="S4" s="9" t="s">
        <v>131</v>
      </c>
      <c r="T4" s="9" t="s">
        <v>686</v>
      </c>
    </row>
    <row r="5" spans="1:20">
      <c r="A5" s="46">
        <f>IF(B5="","","MSG-"&amp;TEXT(ROW()-4,"0000"))</f>
        <v>0</v>
      </c>
      <c r="Q5" s="31">
        <f>IF(AND(K5="Yes",M5&lt;&gt;"Resolved",B5&lt;&gt;""),TODAY()-B5,"")</f>
        <v>0</v>
      </c>
      <c r="S5" s="28">
        <f>IF(B5="","",TEXT(B5,"yyyy-mm"))</f>
        <v>0</v>
      </c>
      <c r="T5" s="49">
        <f>IF(B5="","",IF(AND(K5="Yes",M5&lt;&gt;"Resolved"),"Action - unresolved complaint",IF(AND(O5&lt;&gt;"",O5&lt;TODAY(),P5&lt;&gt;"Yes"),"Overdue follow-up",IF(AND(O5&lt;&gt;"",O5-TODAY()&lt;=ReminderLeadDays,P5&lt;&gt;"Yes"),"Follow-up due soon","OK"))))</f>
        <v>0</v>
      </c>
    </row>
    <row r="6" spans="1:20">
      <c r="A6" s="46">
        <f>IF(B6="","","MSG-"&amp;TEXT(ROW()-4,"0000"))</f>
        <v>0</v>
      </c>
      <c r="Q6" s="31">
        <f>IF(AND(K6="Yes",M6&lt;&gt;"Resolved",B6&lt;&gt;""),TODAY()-B6,"")</f>
        <v>0</v>
      </c>
      <c r="S6" s="28">
        <f>IF(B6="","",TEXT(B6,"yyyy-mm"))</f>
        <v>0</v>
      </c>
      <c r="T6" s="49">
        <f>IF(B6="","",IF(AND(K6="Yes",M6&lt;&gt;"Resolved"),"Action - unresolved complaint",IF(AND(O6&lt;&gt;"",O6&lt;TODAY(),P6&lt;&gt;"Yes"),"Overdue follow-up",IF(AND(O6&lt;&gt;"",O6-TODAY()&lt;=ReminderLeadDays,P6&lt;&gt;"Yes"),"Follow-up due soon","OK"))))</f>
        <v>0</v>
      </c>
    </row>
    <row r="7" spans="1:20">
      <c r="A7" s="46">
        <f>IF(B7="","","MSG-"&amp;TEXT(ROW()-4,"0000"))</f>
        <v>0</v>
      </c>
      <c r="Q7" s="31">
        <f>IF(AND(K7="Yes",M7&lt;&gt;"Resolved",B7&lt;&gt;""),TODAY()-B7,"")</f>
        <v>0</v>
      </c>
      <c r="S7" s="28">
        <f>IF(B7="","",TEXT(B7,"yyyy-mm"))</f>
        <v>0</v>
      </c>
      <c r="T7" s="49">
        <f>IF(B7="","",IF(AND(K7="Yes",M7&lt;&gt;"Resolved"),"Action - unresolved complaint",IF(AND(O7&lt;&gt;"",O7&lt;TODAY(),P7&lt;&gt;"Yes"),"Overdue follow-up",IF(AND(O7&lt;&gt;"",O7-TODAY()&lt;=ReminderLeadDays,P7&lt;&gt;"Yes"),"Follow-up due soon","OK"))))</f>
        <v>0</v>
      </c>
    </row>
    <row r="8" spans="1:20">
      <c r="A8" s="46">
        <f>IF(B8="","","MSG-"&amp;TEXT(ROW()-4,"0000"))</f>
        <v>0</v>
      </c>
      <c r="Q8" s="31">
        <f>IF(AND(K8="Yes",M8&lt;&gt;"Resolved",B8&lt;&gt;""),TODAY()-B8,"")</f>
        <v>0</v>
      </c>
      <c r="S8" s="28">
        <f>IF(B8="","",TEXT(B8,"yyyy-mm"))</f>
        <v>0</v>
      </c>
      <c r="T8" s="49">
        <f>IF(B8="","",IF(AND(K8="Yes",M8&lt;&gt;"Resolved"),"Action - unresolved complaint",IF(AND(O8&lt;&gt;"",O8&lt;TODAY(),P8&lt;&gt;"Yes"),"Overdue follow-up",IF(AND(O8&lt;&gt;"",O8-TODAY()&lt;=ReminderLeadDays,P8&lt;&gt;"Yes"),"Follow-up due soon","OK"))))</f>
        <v>0</v>
      </c>
    </row>
    <row r="9" spans="1:20">
      <c r="A9" s="46">
        <f>IF(B9="","","MSG-"&amp;TEXT(ROW()-4,"0000"))</f>
        <v>0</v>
      </c>
      <c r="Q9" s="31">
        <f>IF(AND(K9="Yes",M9&lt;&gt;"Resolved",B9&lt;&gt;""),TODAY()-B9,"")</f>
        <v>0</v>
      </c>
      <c r="S9" s="28">
        <f>IF(B9="","",TEXT(B9,"yyyy-mm"))</f>
        <v>0</v>
      </c>
      <c r="T9" s="49">
        <f>IF(B9="","",IF(AND(K9="Yes",M9&lt;&gt;"Resolved"),"Action - unresolved complaint",IF(AND(O9&lt;&gt;"",O9&lt;TODAY(),P9&lt;&gt;"Yes"),"Overdue follow-up",IF(AND(O9&lt;&gt;"",O9-TODAY()&lt;=ReminderLeadDays,P9&lt;&gt;"Yes"),"Follow-up due soon","OK"))))</f>
        <v>0</v>
      </c>
    </row>
    <row r="10" spans="1:20">
      <c r="A10" s="46">
        <f>IF(B10="","","MSG-"&amp;TEXT(ROW()-4,"0000"))</f>
        <v>0</v>
      </c>
      <c r="Q10" s="31">
        <f>IF(AND(K10="Yes",M10&lt;&gt;"Resolved",B10&lt;&gt;""),TODAY()-B10,"")</f>
        <v>0</v>
      </c>
      <c r="S10" s="28">
        <f>IF(B10="","",TEXT(B10,"yyyy-mm"))</f>
        <v>0</v>
      </c>
      <c r="T10" s="49">
        <f>IF(B10="","",IF(AND(K10="Yes",M10&lt;&gt;"Resolved"),"Action - unresolved complaint",IF(AND(O10&lt;&gt;"",O10&lt;TODAY(),P10&lt;&gt;"Yes"),"Overdue follow-up",IF(AND(O10&lt;&gt;"",O10-TODAY()&lt;=ReminderLeadDays,P10&lt;&gt;"Yes"),"Follow-up due soon","OK"))))</f>
        <v>0</v>
      </c>
    </row>
    <row r="11" spans="1:20">
      <c r="A11" s="46">
        <f>IF(B11="","","MSG-"&amp;TEXT(ROW()-4,"0000"))</f>
        <v>0</v>
      </c>
      <c r="Q11" s="31">
        <f>IF(AND(K11="Yes",M11&lt;&gt;"Resolved",B11&lt;&gt;""),TODAY()-B11,"")</f>
        <v>0</v>
      </c>
      <c r="S11" s="28">
        <f>IF(B11="","",TEXT(B11,"yyyy-mm"))</f>
        <v>0</v>
      </c>
      <c r="T11" s="49">
        <f>IF(B11="","",IF(AND(K11="Yes",M11&lt;&gt;"Resolved"),"Action - unresolved complaint",IF(AND(O11&lt;&gt;"",O11&lt;TODAY(),P11&lt;&gt;"Yes"),"Overdue follow-up",IF(AND(O11&lt;&gt;"",O11-TODAY()&lt;=ReminderLeadDays,P11&lt;&gt;"Yes"),"Follow-up due soon","OK"))))</f>
        <v>0</v>
      </c>
    </row>
    <row r="12" spans="1:20">
      <c r="A12" s="46">
        <f>IF(B12="","","MSG-"&amp;TEXT(ROW()-4,"0000"))</f>
        <v>0</v>
      </c>
      <c r="Q12" s="31">
        <f>IF(AND(K12="Yes",M12&lt;&gt;"Resolved",B12&lt;&gt;""),TODAY()-B12,"")</f>
        <v>0</v>
      </c>
      <c r="S12" s="28">
        <f>IF(B12="","",TEXT(B12,"yyyy-mm"))</f>
        <v>0</v>
      </c>
      <c r="T12" s="49">
        <f>IF(B12="","",IF(AND(K12="Yes",M12&lt;&gt;"Resolved"),"Action - unresolved complaint",IF(AND(O12&lt;&gt;"",O12&lt;TODAY(),P12&lt;&gt;"Yes"),"Overdue follow-up",IF(AND(O12&lt;&gt;"",O12-TODAY()&lt;=ReminderLeadDays,P12&lt;&gt;"Yes"),"Follow-up due soon","OK"))))</f>
        <v>0</v>
      </c>
    </row>
    <row r="13" spans="1:20">
      <c r="A13" s="46">
        <f>IF(B13="","","MSG-"&amp;TEXT(ROW()-4,"0000"))</f>
        <v>0</v>
      </c>
      <c r="Q13" s="31">
        <f>IF(AND(K13="Yes",M13&lt;&gt;"Resolved",B13&lt;&gt;""),TODAY()-B13,"")</f>
        <v>0</v>
      </c>
      <c r="S13" s="28">
        <f>IF(B13="","",TEXT(B13,"yyyy-mm"))</f>
        <v>0</v>
      </c>
      <c r="T13" s="49">
        <f>IF(B13="","",IF(AND(K13="Yes",M13&lt;&gt;"Resolved"),"Action - unresolved complaint",IF(AND(O13&lt;&gt;"",O13&lt;TODAY(),P13&lt;&gt;"Yes"),"Overdue follow-up",IF(AND(O13&lt;&gt;"",O13-TODAY()&lt;=ReminderLeadDays,P13&lt;&gt;"Yes"),"Follow-up due soon","OK"))))</f>
        <v>0</v>
      </c>
    </row>
    <row r="14" spans="1:20">
      <c r="A14" s="46">
        <f>IF(B14="","","MSG-"&amp;TEXT(ROW()-4,"0000"))</f>
        <v>0</v>
      </c>
      <c r="Q14" s="31">
        <f>IF(AND(K14="Yes",M14&lt;&gt;"Resolved",B14&lt;&gt;""),TODAY()-B14,"")</f>
        <v>0</v>
      </c>
      <c r="S14" s="28">
        <f>IF(B14="","",TEXT(B14,"yyyy-mm"))</f>
        <v>0</v>
      </c>
      <c r="T14" s="49">
        <f>IF(B14="","",IF(AND(K14="Yes",M14&lt;&gt;"Resolved"),"Action - unresolved complaint",IF(AND(O14&lt;&gt;"",O14&lt;TODAY(),P14&lt;&gt;"Yes"),"Overdue follow-up",IF(AND(O14&lt;&gt;"",O14-TODAY()&lt;=ReminderLeadDays,P14&lt;&gt;"Yes"),"Follow-up due soon","OK"))))</f>
        <v>0</v>
      </c>
    </row>
    <row r="15" spans="1:20">
      <c r="A15" s="46">
        <f>IF(B15="","","MSG-"&amp;TEXT(ROW()-4,"0000"))</f>
        <v>0</v>
      </c>
      <c r="Q15" s="31">
        <f>IF(AND(K15="Yes",M15&lt;&gt;"Resolved",B15&lt;&gt;""),TODAY()-B15,"")</f>
        <v>0</v>
      </c>
      <c r="S15" s="28">
        <f>IF(B15="","",TEXT(B15,"yyyy-mm"))</f>
        <v>0</v>
      </c>
      <c r="T15" s="49">
        <f>IF(B15="","",IF(AND(K15="Yes",M15&lt;&gt;"Resolved"),"Action - unresolved complaint",IF(AND(O15&lt;&gt;"",O15&lt;TODAY(),P15&lt;&gt;"Yes"),"Overdue follow-up",IF(AND(O15&lt;&gt;"",O15-TODAY()&lt;=ReminderLeadDays,P15&lt;&gt;"Yes"),"Follow-up due soon","OK"))))</f>
        <v>0</v>
      </c>
    </row>
    <row r="16" spans="1:20">
      <c r="A16" s="46">
        <f>IF(B16="","","MSG-"&amp;TEXT(ROW()-4,"0000"))</f>
        <v>0</v>
      </c>
      <c r="Q16" s="31">
        <f>IF(AND(K16="Yes",M16&lt;&gt;"Resolved",B16&lt;&gt;""),TODAY()-B16,"")</f>
        <v>0</v>
      </c>
      <c r="S16" s="28">
        <f>IF(B16="","",TEXT(B16,"yyyy-mm"))</f>
        <v>0</v>
      </c>
      <c r="T16" s="49">
        <f>IF(B16="","",IF(AND(K16="Yes",M16&lt;&gt;"Resolved"),"Action - unresolved complaint",IF(AND(O16&lt;&gt;"",O16&lt;TODAY(),P16&lt;&gt;"Yes"),"Overdue follow-up",IF(AND(O16&lt;&gt;"",O16-TODAY()&lt;=ReminderLeadDays,P16&lt;&gt;"Yes"),"Follow-up due soon","OK"))))</f>
        <v>0</v>
      </c>
    </row>
    <row r="17" spans="1:20">
      <c r="A17" s="46">
        <f>IF(B17="","","MSG-"&amp;TEXT(ROW()-4,"0000"))</f>
        <v>0</v>
      </c>
      <c r="Q17" s="31">
        <f>IF(AND(K17="Yes",M17&lt;&gt;"Resolved",B17&lt;&gt;""),TODAY()-B17,"")</f>
        <v>0</v>
      </c>
      <c r="S17" s="28">
        <f>IF(B17="","",TEXT(B17,"yyyy-mm"))</f>
        <v>0</v>
      </c>
      <c r="T17" s="49">
        <f>IF(B17="","",IF(AND(K17="Yes",M17&lt;&gt;"Resolved"),"Action - unresolved complaint",IF(AND(O17&lt;&gt;"",O17&lt;TODAY(),P17&lt;&gt;"Yes"),"Overdue follow-up",IF(AND(O17&lt;&gt;"",O17-TODAY()&lt;=ReminderLeadDays,P17&lt;&gt;"Yes"),"Follow-up due soon","OK"))))</f>
        <v>0</v>
      </c>
    </row>
    <row r="18" spans="1:20">
      <c r="A18" s="46">
        <f>IF(B18="","","MSG-"&amp;TEXT(ROW()-4,"0000"))</f>
        <v>0</v>
      </c>
      <c r="Q18" s="31">
        <f>IF(AND(K18="Yes",M18&lt;&gt;"Resolved",B18&lt;&gt;""),TODAY()-B18,"")</f>
        <v>0</v>
      </c>
      <c r="S18" s="28">
        <f>IF(B18="","",TEXT(B18,"yyyy-mm"))</f>
        <v>0</v>
      </c>
      <c r="T18" s="49">
        <f>IF(B18="","",IF(AND(K18="Yes",M18&lt;&gt;"Resolved"),"Action - unresolved complaint",IF(AND(O18&lt;&gt;"",O18&lt;TODAY(),P18&lt;&gt;"Yes"),"Overdue follow-up",IF(AND(O18&lt;&gt;"",O18-TODAY()&lt;=ReminderLeadDays,P18&lt;&gt;"Yes"),"Follow-up due soon","OK"))))</f>
        <v>0</v>
      </c>
    </row>
    <row r="19" spans="1:20">
      <c r="A19" s="46">
        <f>IF(B19="","","MSG-"&amp;TEXT(ROW()-4,"0000"))</f>
        <v>0</v>
      </c>
      <c r="Q19" s="31">
        <f>IF(AND(K19="Yes",M19&lt;&gt;"Resolved",B19&lt;&gt;""),TODAY()-B19,"")</f>
        <v>0</v>
      </c>
      <c r="S19" s="28">
        <f>IF(B19="","",TEXT(B19,"yyyy-mm"))</f>
        <v>0</v>
      </c>
      <c r="T19" s="49">
        <f>IF(B19="","",IF(AND(K19="Yes",M19&lt;&gt;"Resolved"),"Action - unresolved complaint",IF(AND(O19&lt;&gt;"",O19&lt;TODAY(),P19&lt;&gt;"Yes"),"Overdue follow-up",IF(AND(O19&lt;&gt;"",O19-TODAY()&lt;=ReminderLeadDays,P19&lt;&gt;"Yes"),"Follow-up due soon","OK"))))</f>
        <v>0</v>
      </c>
    </row>
    <row r="20" spans="1:20">
      <c r="A20" s="46">
        <f>IF(B20="","","MSG-"&amp;TEXT(ROW()-4,"0000"))</f>
        <v>0</v>
      </c>
      <c r="Q20" s="31">
        <f>IF(AND(K20="Yes",M20&lt;&gt;"Resolved",B20&lt;&gt;""),TODAY()-B20,"")</f>
        <v>0</v>
      </c>
      <c r="S20" s="28">
        <f>IF(B20="","",TEXT(B20,"yyyy-mm"))</f>
        <v>0</v>
      </c>
      <c r="T20" s="49">
        <f>IF(B20="","",IF(AND(K20="Yes",M20&lt;&gt;"Resolved"),"Action - unresolved complaint",IF(AND(O20&lt;&gt;"",O20&lt;TODAY(),P20&lt;&gt;"Yes"),"Overdue follow-up",IF(AND(O20&lt;&gt;"",O20-TODAY()&lt;=ReminderLeadDays,P20&lt;&gt;"Yes"),"Follow-up due soon","OK"))))</f>
        <v>0</v>
      </c>
    </row>
    <row r="21" spans="1:20">
      <c r="A21" s="46">
        <f>IF(B21="","","MSG-"&amp;TEXT(ROW()-4,"0000"))</f>
        <v>0</v>
      </c>
      <c r="Q21" s="31">
        <f>IF(AND(K21="Yes",M21&lt;&gt;"Resolved",B21&lt;&gt;""),TODAY()-B21,"")</f>
        <v>0</v>
      </c>
      <c r="S21" s="28">
        <f>IF(B21="","",TEXT(B21,"yyyy-mm"))</f>
        <v>0</v>
      </c>
      <c r="T21" s="49">
        <f>IF(B21="","",IF(AND(K21="Yes",M21&lt;&gt;"Resolved"),"Action - unresolved complaint",IF(AND(O21&lt;&gt;"",O21&lt;TODAY(),P21&lt;&gt;"Yes"),"Overdue follow-up",IF(AND(O21&lt;&gt;"",O21-TODAY()&lt;=ReminderLeadDays,P21&lt;&gt;"Yes"),"Follow-up due soon","OK"))))</f>
        <v>0</v>
      </c>
    </row>
    <row r="22" spans="1:20">
      <c r="A22" s="46">
        <f>IF(B22="","","MSG-"&amp;TEXT(ROW()-4,"0000"))</f>
        <v>0</v>
      </c>
      <c r="Q22" s="31">
        <f>IF(AND(K22="Yes",M22&lt;&gt;"Resolved",B22&lt;&gt;""),TODAY()-B22,"")</f>
        <v>0</v>
      </c>
      <c r="S22" s="28">
        <f>IF(B22="","",TEXT(B22,"yyyy-mm"))</f>
        <v>0</v>
      </c>
      <c r="T22" s="49">
        <f>IF(B22="","",IF(AND(K22="Yes",M22&lt;&gt;"Resolved"),"Action - unresolved complaint",IF(AND(O22&lt;&gt;"",O22&lt;TODAY(),P22&lt;&gt;"Yes"),"Overdue follow-up",IF(AND(O22&lt;&gt;"",O22-TODAY()&lt;=ReminderLeadDays,P22&lt;&gt;"Yes"),"Follow-up due soon","OK"))))</f>
        <v>0</v>
      </c>
    </row>
    <row r="23" spans="1:20">
      <c r="A23" s="46">
        <f>IF(B23="","","MSG-"&amp;TEXT(ROW()-4,"0000"))</f>
        <v>0</v>
      </c>
      <c r="Q23" s="31">
        <f>IF(AND(K23="Yes",M23&lt;&gt;"Resolved",B23&lt;&gt;""),TODAY()-B23,"")</f>
        <v>0</v>
      </c>
      <c r="S23" s="28">
        <f>IF(B23="","",TEXT(B23,"yyyy-mm"))</f>
        <v>0</v>
      </c>
      <c r="T23" s="49">
        <f>IF(B23="","",IF(AND(K23="Yes",M23&lt;&gt;"Resolved"),"Action - unresolved complaint",IF(AND(O23&lt;&gt;"",O23&lt;TODAY(),P23&lt;&gt;"Yes"),"Overdue follow-up",IF(AND(O23&lt;&gt;"",O23-TODAY()&lt;=ReminderLeadDays,P23&lt;&gt;"Yes"),"Follow-up due soon","OK"))))</f>
        <v>0</v>
      </c>
    </row>
    <row r="24" spans="1:20">
      <c r="A24" s="46">
        <f>IF(B24="","","MSG-"&amp;TEXT(ROW()-4,"0000"))</f>
        <v>0</v>
      </c>
      <c r="Q24" s="31">
        <f>IF(AND(K24="Yes",M24&lt;&gt;"Resolved",B24&lt;&gt;""),TODAY()-B24,"")</f>
        <v>0</v>
      </c>
      <c r="S24" s="28">
        <f>IF(B24="","",TEXT(B24,"yyyy-mm"))</f>
        <v>0</v>
      </c>
      <c r="T24" s="49">
        <f>IF(B24="","",IF(AND(K24="Yes",M24&lt;&gt;"Resolved"),"Action - unresolved complaint",IF(AND(O24&lt;&gt;"",O24&lt;TODAY(),P24&lt;&gt;"Yes"),"Overdue follow-up",IF(AND(O24&lt;&gt;"",O24-TODAY()&lt;=ReminderLeadDays,P24&lt;&gt;"Yes"),"Follow-up due soon","OK"))))</f>
        <v>0</v>
      </c>
    </row>
    <row r="25" spans="1:20">
      <c r="A25" s="46">
        <f>IF(B25="","","MSG-"&amp;TEXT(ROW()-4,"0000"))</f>
        <v>0</v>
      </c>
      <c r="Q25" s="31">
        <f>IF(AND(K25="Yes",M25&lt;&gt;"Resolved",B25&lt;&gt;""),TODAY()-B25,"")</f>
        <v>0</v>
      </c>
      <c r="S25" s="28">
        <f>IF(B25="","",TEXT(B25,"yyyy-mm"))</f>
        <v>0</v>
      </c>
      <c r="T25" s="49">
        <f>IF(B25="","",IF(AND(K25="Yes",M25&lt;&gt;"Resolved"),"Action - unresolved complaint",IF(AND(O25&lt;&gt;"",O25&lt;TODAY(),P25&lt;&gt;"Yes"),"Overdue follow-up",IF(AND(O25&lt;&gt;"",O25-TODAY()&lt;=ReminderLeadDays,P25&lt;&gt;"Yes"),"Follow-up due soon","OK"))))</f>
        <v>0</v>
      </c>
    </row>
    <row r="26" spans="1:20">
      <c r="A26" s="46">
        <f>IF(B26="","","MSG-"&amp;TEXT(ROW()-4,"0000"))</f>
        <v>0</v>
      </c>
      <c r="Q26" s="31">
        <f>IF(AND(K26="Yes",M26&lt;&gt;"Resolved",B26&lt;&gt;""),TODAY()-B26,"")</f>
        <v>0</v>
      </c>
      <c r="S26" s="28">
        <f>IF(B26="","",TEXT(B26,"yyyy-mm"))</f>
        <v>0</v>
      </c>
      <c r="T26" s="49">
        <f>IF(B26="","",IF(AND(K26="Yes",M26&lt;&gt;"Resolved"),"Action - unresolved complaint",IF(AND(O26&lt;&gt;"",O26&lt;TODAY(),P26&lt;&gt;"Yes"),"Overdue follow-up",IF(AND(O26&lt;&gt;"",O26-TODAY()&lt;=ReminderLeadDays,P26&lt;&gt;"Yes"),"Follow-up due soon","OK"))))</f>
        <v>0</v>
      </c>
    </row>
    <row r="27" spans="1:20">
      <c r="A27" s="46">
        <f>IF(B27="","","MSG-"&amp;TEXT(ROW()-4,"0000"))</f>
        <v>0</v>
      </c>
      <c r="Q27" s="31">
        <f>IF(AND(K27="Yes",M27&lt;&gt;"Resolved",B27&lt;&gt;""),TODAY()-B27,"")</f>
        <v>0</v>
      </c>
      <c r="S27" s="28">
        <f>IF(B27="","",TEXT(B27,"yyyy-mm"))</f>
        <v>0</v>
      </c>
      <c r="T27" s="49">
        <f>IF(B27="","",IF(AND(K27="Yes",M27&lt;&gt;"Resolved"),"Action - unresolved complaint",IF(AND(O27&lt;&gt;"",O27&lt;TODAY(),P27&lt;&gt;"Yes"),"Overdue follow-up",IF(AND(O27&lt;&gt;"",O27-TODAY()&lt;=ReminderLeadDays,P27&lt;&gt;"Yes"),"Follow-up due soon","OK"))))</f>
        <v>0</v>
      </c>
    </row>
    <row r="28" spans="1:20">
      <c r="A28" s="46">
        <f>IF(B28="","","MSG-"&amp;TEXT(ROW()-4,"0000"))</f>
        <v>0</v>
      </c>
      <c r="Q28" s="31">
        <f>IF(AND(K28="Yes",M28&lt;&gt;"Resolved",B28&lt;&gt;""),TODAY()-B28,"")</f>
        <v>0</v>
      </c>
      <c r="S28" s="28">
        <f>IF(B28="","",TEXT(B28,"yyyy-mm"))</f>
        <v>0</v>
      </c>
      <c r="T28" s="49">
        <f>IF(B28="","",IF(AND(K28="Yes",M28&lt;&gt;"Resolved"),"Action - unresolved complaint",IF(AND(O28&lt;&gt;"",O28&lt;TODAY(),P28&lt;&gt;"Yes"),"Overdue follow-up",IF(AND(O28&lt;&gt;"",O28-TODAY()&lt;=ReminderLeadDays,P28&lt;&gt;"Yes"),"Follow-up due soon","OK"))))</f>
        <v>0</v>
      </c>
    </row>
    <row r="29" spans="1:20">
      <c r="A29" s="46">
        <f>IF(B29="","","MSG-"&amp;TEXT(ROW()-4,"0000"))</f>
        <v>0</v>
      </c>
      <c r="Q29" s="31">
        <f>IF(AND(K29="Yes",M29&lt;&gt;"Resolved",B29&lt;&gt;""),TODAY()-B29,"")</f>
        <v>0</v>
      </c>
      <c r="S29" s="28">
        <f>IF(B29="","",TEXT(B29,"yyyy-mm"))</f>
        <v>0</v>
      </c>
      <c r="T29" s="49">
        <f>IF(B29="","",IF(AND(K29="Yes",M29&lt;&gt;"Resolved"),"Action - unresolved complaint",IF(AND(O29&lt;&gt;"",O29&lt;TODAY(),P29&lt;&gt;"Yes"),"Overdue follow-up",IF(AND(O29&lt;&gt;"",O29-TODAY()&lt;=ReminderLeadDays,P29&lt;&gt;"Yes"),"Follow-up due soon","OK"))))</f>
        <v>0</v>
      </c>
    </row>
    <row r="30" spans="1:20">
      <c r="A30" s="46">
        <f>IF(B30="","","MSG-"&amp;TEXT(ROW()-4,"0000"))</f>
        <v>0</v>
      </c>
      <c r="Q30" s="31">
        <f>IF(AND(K30="Yes",M30&lt;&gt;"Resolved",B30&lt;&gt;""),TODAY()-B30,"")</f>
        <v>0</v>
      </c>
      <c r="S30" s="28">
        <f>IF(B30="","",TEXT(B30,"yyyy-mm"))</f>
        <v>0</v>
      </c>
      <c r="T30" s="49">
        <f>IF(B30="","",IF(AND(K30="Yes",M30&lt;&gt;"Resolved"),"Action - unresolved complaint",IF(AND(O30&lt;&gt;"",O30&lt;TODAY(),P30&lt;&gt;"Yes"),"Overdue follow-up",IF(AND(O30&lt;&gt;"",O30-TODAY()&lt;=ReminderLeadDays,P30&lt;&gt;"Yes"),"Follow-up due soon","OK"))))</f>
        <v>0</v>
      </c>
    </row>
    <row r="31" spans="1:20">
      <c r="A31" s="46">
        <f>IF(B31="","","MSG-"&amp;TEXT(ROW()-4,"0000"))</f>
        <v>0</v>
      </c>
      <c r="Q31" s="31">
        <f>IF(AND(K31="Yes",M31&lt;&gt;"Resolved",B31&lt;&gt;""),TODAY()-B31,"")</f>
        <v>0</v>
      </c>
      <c r="S31" s="28">
        <f>IF(B31="","",TEXT(B31,"yyyy-mm"))</f>
        <v>0</v>
      </c>
      <c r="T31" s="49">
        <f>IF(B31="","",IF(AND(K31="Yes",M31&lt;&gt;"Resolved"),"Action - unresolved complaint",IF(AND(O31&lt;&gt;"",O31&lt;TODAY(),P31&lt;&gt;"Yes"),"Overdue follow-up",IF(AND(O31&lt;&gt;"",O31-TODAY()&lt;=ReminderLeadDays,P31&lt;&gt;"Yes"),"Follow-up due soon","OK"))))</f>
        <v>0</v>
      </c>
    </row>
    <row r="32" spans="1:20">
      <c r="A32" s="46">
        <f>IF(B32="","","MSG-"&amp;TEXT(ROW()-4,"0000"))</f>
        <v>0</v>
      </c>
      <c r="Q32" s="31">
        <f>IF(AND(K32="Yes",M32&lt;&gt;"Resolved",B32&lt;&gt;""),TODAY()-B32,"")</f>
        <v>0</v>
      </c>
      <c r="S32" s="28">
        <f>IF(B32="","",TEXT(B32,"yyyy-mm"))</f>
        <v>0</v>
      </c>
      <c r="T32" s="49">
        <f>IF(B32="","",IF(AND(K32="Yes",M32&lt;&gt;"Resolved"),"Action - unresolved complaint",IF(AND(O32&lt;&gt;"",O32&lt;TODAY(),P32&lt;&gt;"Yes"),"Overdue follow-up",IF(AND(O32&lt;&gt;"",O32-TODAY()&lt;=ReminderLeadDays,P32&lt;&gt;"Yes"),"Follow-up due soon","OK"))))</f>
        <v>0</v>
      </c>
    </row>
    <row r="33" spans="1:20">
      <c r="A33" s="46">
        <f>IF(B33="","","MSG-"&amp;TEXT(ROW()-4,"0000"))</f>
        <v>0</v>
      </c>
      <c r="Q33" s="31">
        <f>IF(AND(K33="Yes",M33&lt;&gt;"Resolved",B33&lt;&gt;""),TODAY()-B33,"")</f>
        <v>0</v>
      </c>
      <c r="S33" s="28">
        <f>IF(B33="","",TEXT(B33,"yyyy-mm"))</f>
        <v>0</v>
      </c>
      <c r="T33" s="49">
        <f>IF(B33="","",IF(AND(K33="Yes",M33&lt;&gt;"Resolved"),"Action - unresolved complaint",IF(AND(O33&lt;&gt;"",O33&lt;TODAY(),P33&lt;&gt;"Yes"),"Overdue follow-up",IF(AND(O33&lt;&gt;"",O33-TODAY()&lt;=ReminderLeadDays,P33&lt;&gt;"Yes"),"Follow-up due soon","OK"))))</f>
        <v>0</v>
      </c>
    </row>
    <row r="34" spans="1:20">
      <c r="A34" s="46">
        <f>IF(B34="","","MSG-"&amp;TEXT(ROW()-4,"0000"))</f>
        <v>0</v>
      </c>
      <c r="Q34" s="31">
        <f>IF(AND(K34="Yes",M34&lt;&gt;"Resolved",B34&lt;&gt;""),TODAY()-B34,"")</f>
        <v>0</v>
      </c>
      <c r="S34" s="28">
        <f>IF(B34="","",TEXT(B34,"yyyy-mm"))</f>
        <v>0</v>
      </c>
      <c r="T34" s="49">
        <f>IF(B34="","",IF(AND(K34="Yes",M34&lt;&gt;"Resolved"),"Action - unresolved complaint",IF(AND(O34&lt;&gt;"",O34&lt;TODAY(),P34&lt;&gt;"Yes"),"Overdue follow-up",IF(AND(O34&lt;&gt;"",O34-TODAY()&lt;=ReminderLeadDays,P34&lt;&gt;"Yes"),"Follow-up due soon","OK"))))</f>
        <v>0</v>
      </c>
    </row>
    <row r="35" spans="1:20">
      <c r="A35" s="46">
        <f>IF(B35="","","MSG-"&amp;TEXT(ROW()-4,"0000"))</f>
        <v>0</v>
      </c>
      <c r="Q35" s="31">
        <f>IF(AND(K35="Yes",M35&lt;&gt;"Resolved",B35&lt;&gt;""),TODAY()-B35,"")</f>
        <v>0</v>
      </c>
      <c r="S35" s="28">
        <f>IF(B35="","",TEXT(B35,"yyyy-mm"))</f>
        <v>0</v>
      </c>
      <c r="T35" s="49">
        <f>IF(B35="","",IF(AND(K35="Yes",M35&lt;&gt;"Resolved"),"Action - unresolved complaint",IF(AND(O35&lt;&gt;"",O35&lt;TODAY(),P35&lt;&gt;"Yes"),"Overdue follow-up",IF(AND(O35&lt;&gt;"",O35-TODAY()&lt;=ReminderLeadDays,P35&lt;&gt;"Yes"),"Follow-up due soon","OK"))))</f>
        <v>0</v>
      </c>
    </row>
    <row r="36" spans="1:20">
      <c r="A36" s="46">
        <f>IF(B36="","","MSG-"&amp;TEXT(ROW()-4,"0000"))</f>
        <v>0</v>
      </c>
      <c r="Q36" s="31">
        <f>IF(AND(K36="Yes",M36&lt;&gt;"Resolved",B36&lt;&gt;""),TODAY()-B36,"")</f>
        <v>0</v>
      </c>
      <c r="S36" s="28">
        <f>IF(B36="","",TEXT(B36,"yyyy-mm"))</f>
        <v>0</v>
      </c>
      <c r="T36" s="49">
        <f>IF(B36="","",IF(AND(K36="Yes",M36&lt;&gt;"Resolved"),"Action - unresolved complaint",IF(AND(O36&lt;&gt;"",O36&lt;TODAY(),P36&lt;&gt;"Yes"),"Overdue follow-up",IF(AND(O36&lt;&gt;"",O36-TODAY()&lt;=ReminderLeadDays,P36&lt;&gt;"Yes"),"Follow-up due soon","OK"))))</f>
        <v>0</v>
      </c>
    </row>
    <row r="37" spans="1:20">
      <c r="A37" s="46">
        <f>IF(B37="","","MSG-"&amp;TEXT(ROW()-4,"0000"))</f>
        <v>0</v>
      </c>
      <c r="Q37" s="31">
        <f>IF(AND(K37="Yes",M37&lt;&gt;"Resolved",B37&lt;&gt;""),TODAY()-B37,"")</f>
        <v>0</v>
      </c>
      <c r="S37" s="28">
        <f>IF(B37="","",TEXT(B37,"yyyy-mm"))</f>
        <v>0</v>
      </c>
      <c r="T37" s="49">
        <f>IF(B37="","",IF(AND(K37="Yes",M37&lt;&gt;"Resolved"),"Action - unresolved complaint",IF(AND(O37&lt;&gt;"",O37&lt;TODAY(),P37&lt;&gt;"Yes"),"Overdue follow-up",IF(AND(O37&lt;&gt;"",O37-TODAY()&lt;=ReminderLeadDays,P37&lt;&gt;"Yes"),"Follow-up due soon","OK"))))</f>
        <v>0</v>
      </c>
    </row>
    <row r="38" spans="1:20">
      <c r="A38" s="46">
        <f>IF(B38="","","MSG-"&amp;TEXT(ROW()-4,"0000"))</f>
        <v>0</v>
      </c>
      <c r="Q38" s="31">
        <f>IF(AND(K38="Yes",M38&lt;&gt;"Resolved",B38&lt;&gt;""),TODAY()-B38,"")</f>
        <v>0</v>
      </c>
      <c r="S38" s="28">
        <f>IF(B38="","",TEXT(B38,"yyyy-mm"))</f>
        <v>0</v>
      </c>
      <c r="T38" s="49">
        <f>IF(B38="","",IF(AND(K38="Yes",M38&lt;&gt;"Resolved"),"Action - unresolved complaint",IF(AND(O38&lt;&gt;"",O38&lt;TODAY(),P38&lt;&gt;"Yes"),"Overdue follow-up",IF(AND(O38&lt;&gt;"",O38-TODAY()&lt;=ReminderLeadDays,P38&lt;&gt;"Yes"),"Follow-up due soon","OK"))))</f>
        <v>0</v>
      </c>
    </row>
    <row r="39" spans="1:20">
      <c r="A39" s="46">
        <f>IF(B39="","","MSG-"&amp;TEXT(ROW()-4,"0000"))</f>
        <v>0</v>
      </c>
      <c r="Q39" s="31">
        <f>IF(AND(K39="Yes",M39&lt;&gt;"Resolved",B39&lt;&gt;""),TODAY()-B39,"")</f>
        <v>0</v>
      </c>
      <c r="S39" s="28">
        <f>IF(B39="","",TEXT(B39,"yyyy-mm"))</f>
        <v>0</v>
      </c>
      <c r="T39" s="49">
        <f>IF(B39="","",IF(AND(K39="Yes",M39&lt;&gt;"Resolved"),"Action - unresolved complaint",IF(AND(O39&lt;&gt;"",O39&lt;TODAY(),P39&lt;&gt;"Yes"),"Overdue follow-up",IF(AND(O39&lt;&gt;"",O39-TODAY()&lt;=ReminderLeadDays,P39&lt;&gt;"Yes"),"Follow-up due soon","OK"))))</f>
        <v>0</v>
      </c>
    </row>
    <row r="40" spans="1:20">
      <c r="A40" s="46">
        <f>IF(B40="","","MSG-"&amp;TEXT(ROW()-4,"0000"))</f>
        <v>0</v>
      </c>
      <c r="Q40" s="31">
        <f>IF(AND(K40="Yes",M40&lt;&gt;"Resolved",B40&lt;&gt;""),TODAY()-B40,"")</f>
        <v>0</v>
      </c>
      <c r="S40" s="28">
        <f>IF(B40="","",TEXT(B40,"yyyy-mm"))</f>
        <v>0</v>
      </c>
      <c r="T40" s="49">
        <f>IF(B40="","",IF(AND(K40="Yes",M40&lt;&gt;"Resolved"),"Action - unresolved complaint",IF(AND(O40&lt;&gt;"",O40&lt;TODAY(),P40&lt;&gt;"Yes"),"Overdue follow-up",IF(AND(O40&lt;&gt;"",O40-TODAY()&lt;=ReminderLeadDays,P40&lt;&gt;"Yes"),"Follow-up due soon","OK"))))</f>
        <v>0</v>
      </c>
    </row>
    <row r="41" spans="1:20">
      <c r="A41" s="46">
        <f>IF(B41="","","MSG-"&amp;TEXT(ROW()-4,"0000"))</f>
        <v>0</v>
      </c>
      <c r="Q41" s="31">
        <f>IF(AND(K41="Yes",M41&lt;&gt;"Resolved",B41&lt;&gt;""),TODAY()-B41,"")</f>
        <v>0</v>
      </c>
      <c r="S41" s="28">
        <f>IF(B41="","",TEXT(B41,"yyyy-mm"))</f>
        <v>0</v>
      </c>
      <c r="T41" s="49">
        <f>IF(B41="","",IF(AND(K41="Yes",M41&lt;&gt;"Resolved"),"Action - unresolved complaint",IF(AND(O41&lt;&gt;"",O41&lt;TODAY(),P41&lt;&gt;"Yes"),"Overdue follow-up",IF(AND(O41&lt;&gt;"",O41-TODAY()&lt;=ReminderLeadDays,P41&lt;&gt;"Yes"),"Follow-up due soon","OK"))))</f>
        <v>0</v>
      </c>
    </row>
    <row r="42" spans="1:20">
      <c r="A42" s="46">
        <f>IF(B42="","","MSG-"&amp;TEXT(ROW()-4,"0000"))</f>
        <v>0</v>
      </c>
      <c r="Q42" s="31">
        <f>IF(AND(K42="Yes",M42&lt;&gt;"Resolved",B42&lt;&gt;""),TODAY()-B42,"")</f>
        <v>0</v>
      </c>
      <c r="S42" s="28">
        <f>IF(B42="","",TEXT(B42,"yyyy-mm"))</f>
        <v>0</v>
      </c>
      <c r="T42" s="49">
        <f>IF(B42="","",IF(AND(K42="Yes",M42&lt;&gt;"Resolved"),"Action - unresolved complaint",IF(AND(O42&lt;&gt;"",O42&lt;TODAY(),P42&lt;&gt;"Yes"),"Overdue follow-up",IF(AND(O42&lt;&gt;"",O42-TODAY()&lt;=ReminderLeadDays,P42&lt;&gt;"Yes"),"Follow-up due soon","OK"))))</f>
        <v>0</v>
      </c>
    </row>
    <row r="43" spans="1:20">
      <c r="A43" s="46">
        <f>IF(B43="","","MSG-"&amp;TEXT(ROW()-4,"0000"))</f>
        <v>0</v>
      </c>
      <c r="Q43" s="31">
        <f>IF(AND(K43="Yes",M43&lt;&gt;"Resolved",B43&lt;&gt;""),TODAY()-B43,"")</f>
        <v>0</v>
      </c>
      <c r="S43" s="28">
        <f>IF(B43="","",TEXT(B43,"yyyy-mm"))</f>
        <v>0</v>
      </c>
      <c r="T43" s="49">
        <f>IF(B43="","",IF(AND(K43="Yes",M43&lt;&gt;"Resolved"),"Action - unresolved complaint",IF(AND(O43&lt;&gt;"",O43&lt;TODAY(),P43&lt;&gt;"Yes"),"Overdue follow-up",IF(AND(O43&lt;&gt;"",O43-TODAY()&lt;=ReminderLeadDays,P43&lt;&gt;"Yes"),"Follow-up due soon","OK"))))</f>
        <v>0</v>
      </c>
    </row>
    <row r="44" spans="1:20">
      <c r="A44" s="46">
        <f>IF(B44="","","MSG-"&amp;TEXT(ROW()-4,"0000"))</f>
        <v>0</v>
      </c>
      <c r="Q44" s="31">
        <f>IF(AND(K44="Yes",M44&lt;&gt;"Resolved",B44&lt;&gt;""),TODAY()-B44,"")</f>
        <v>0</v>
      </c>
      <c r="S44" s="28">
        <f>IF(B44="","",TEXT(B44,"yyyy-mm"))</f>
        <v>0</v>
      </c>
      <c r="T44" s="49">
        <f>IF(B44="","",IF(AND(K44="Yes",M44&lt;&gt;"Resolved"),"Action - unresolved complaint",IF(AND(O44&lt;&gt;"",O44&lt;TODAY(),P44&lt;&gt;"Yes"),"Overdue follow-up",IF(AND(O44&lt;&gt;"",O44-TODAY()&lt;=ReminderLeadDays,P44&lt;&gt;"Yes"),"Follow-up due soon","OK"))))</f>
        <v>0</v>
      </c>
    </row>
    <row r="45" spans="1:20">
      <c r="A45" s="46">
        <f>IF(B45="","","MSG-"&amp;TEXT(ROW()-4,"0000"))</f>
        <v>0</v>
      </c>
      <c r="Q45" s="31">
        <f>IF(AND(K45="Yes",M45&lt;&gt;"Resolved",B45&lt;&gt;""),TODAY()-B45,"")</f>
        <v>0</v>
      </c>
      <c r="S45" s="28">
        <f>IF(B45="","",TEXT(B45,"yyyy-mm"))</f>
        <v>0</v>
      </c>
      <c r="T45" s="49">
        <f>IF(B45="","",IF(AND(K45="Yes",M45&lt;&gt;"Resolved"),"Action - unresolved complaint",IF(AND(O45&lt;&gt;"",O45&lt;TODAY(),P45&lt;&gt;"Yes"),"Overdue follow-up",IF(AND(O45&lt;&gt;"",O45-TODAY()&lt;=ReminderLeadDays,P45&lt;&gt;"Yes"),"Follow-up due soon","OK"))))</f>
        <v>0</v>
      </c>
    </row>
    <row r="46" spans="1:20">
      <c r="A46" s="46">
        <f>IF(B46="","","MSG-"&amp;TEXT(ROW()-4,"0000"))</f>
        <v>0</v>
      </c>
      <c r="Q46" s="31">
        <f>IF(AND(K46="Yes",M46&lt;&gt;"Resolved",B46&lt;&gt;""),TODAY()-B46,"")</f>
        <v>0</v>
      </c>
      <c r="S46" s="28">
        <f>IF(B46="","",TEXT(B46,"yyyy-mm"))</f>
        <v>0</v>
      </c>
      <c r="T46" s="49">
        <f>IF(B46="","",IF(AND(K46="Yes",M46&lt;&gt;"Resolved"),"Action - unresolved complaint",IF(AND(O46&lt;&gt;"",O46&lt;TODAY(),P46&lt;&gt;"Yes"),"Overdue follow-up",IF(AND(O46&lt;&gt;"",O46-TODAY()&lt;=ReminderLeadDays,P46&lt;&gt;"Yes"),"Follow-up due soon","OK"))))</f>
        <v>0</v>
      </c>
    </row>
    <row r="47" spans="1:20">
      <c r="A47" s="46">
        <f>IF(B47="","","MSG-"&amp;TEXT(ROW()-4,"0000"))</f>
        <v>0</v>
      </c>
      <c r="Q47" s="31">
        <f>IF(AND(K47="Yes",M47&lt;&gt;"Resolved",B47&lt;&gt;""),TODAY()-B47,"")</f>
        <v>0</v>
      </c>
      <c r="S47" s="28">
        <f>IF(B47="","",TEXT(B47,"yyyy-mm"))</f>
        <v>0</v>
      </c>
      <c r="T47" s="49">
        <f>IF(B47="","",IF(AND(K47="Yes",M47&lt;&gt;"Resolved"),"Action - unresolved complaint",IF(AND(O47&lt;&gt;"",O47&lt;TODAY(),P47&lt;&gt;"Yes"),"Overdue follow-up",IF(AND(O47&lt;&gt;"",O47-TODAY()&lt;=ReminderLeadDays,P47&lt;&gt;"Yes"),"Follow-up due soon","OK"))))</f>
        <v>0</v>
      </c>
    </row>
    <row r="48" spans="1:20">
      <c r="A48" s="46">
        <f>IF(B48="","","MSG-"&amp;TEXT(ROW()-4,"0000"))</f>
        <v>0</v>
      </c>
      <c r="Q48" s="31">
        <f>IF(AND(K48="Yes",M48&lt;&gt;"Resolved",B48&lt;&gt;""),TODAY()-B48,"")</f>
        <v>0</v>
      </c>
      <c r="S48" s="28">
        <f>IF(B48="","",TEXT(B48,"yyyy-mm"))</f>
        <v>0</v>
      </c>
      <c r="T48" s="49">
        <f>IF(B48="","",IF(AND(K48="Yes",M48&lt;&gt;"Resolved"),"Action - unresolved complaint",IF(AND(O48&lt;&gt;"",O48&lt;TODAY(),P48&lt;&gt;"Yes"),"Overdue follow-up",IF(AND(O48&lt;&gt;"",O48-TODAY()&lt;=ReminderLeadDays,P48&lt;&gt;"Yes"),"Follow-up due soon","OK"))))</f>
        <v>0</v>
      </c>
    </row>
    <row r="49" spans="1:20">
      <c r="A49" s="46">
        <f>IF(B49="","","MSG-"&amp;TEXT(ROW()-4,"0000"))</f>
        <v>0</v>
      </c>
      <c r="Q49" s="31">
        <f>IF(AND(K49="Yes",M49&lt;&gt;"Resolved",B49&lt;&gt;""),TODAY()-B49,"")</f>
        <v>0</v>
      </c>
      <c r="S49" s="28">
        <f>IF(B49="","",TEXT(B49,"yyyy-mm"))</f>
        <v>0</v>
      </c>
      <c r="T49" s="49">
        <f>IF(B49="","",IF(AND(K49="Yes",M49&lt;&gt;"Resolved"),"Action - unresolved complaint",IF(AND(O49&lt;&gt;"",O49&lt;TODAY(),P49&lt;&gt;"Yes"),"Overdue follow-up",IF(AND(O49&lt;&gt;"",O49-TODAY()&lt;=ReminderLeadDays,P49&lt;&gt;"Yes"),"Follow-up due soon","OK"))))</f>
        <v>0</v>
      </c>
    </row>
    <row r="50" spans="1:20">
      <c r="A50" s="46">
        <f>IF(B50="","","MSG-"&amp;TEXT(ROW()-4,"0000"))</f>
        <v>0</v>
      </c>
      <c r="Q50" s="31">
        <f>IF(AND(K50="Yes",M50&lt;&gt;"Resolved",B50&lt;&gt;""),TODAY()-B50,"")</f>
        <v>0</v>
      </c>
      <c r="S50" s="28">
        <f>IF(B50="","",TEXT(B50,"yyyy-mm"))</f>
        <v>0</v>
      </c>
      <c r="T50" s="49">
        <f>IF(B50="","",IF(AND(K50="Yes",M50&lt;&gt;"Resolved"),"Action - unresolved complaint",IF(AND(O50&lt;&gt;"",O50&lt;TODAY(),P50&lt;&gt;"Yes"),"Overdue follow-up",IF(AND(O50&lt;&gt;"",O50-TODAY()&lt;=ReminderLeadDays,P50&lt;&gt;"Yes"),"Follow-up due soon","OK"))))</f>
        <v>0</v>
      </c>
    </row>
    <row r="51" spans="1:20">
      <c r="A51" s="46">
        <f>IF(B51="","","MSG-"&amp;TEXT(ROW()-4,"0000"))</f>
        <v>0</v>
      </c>
      <c r="Q51" s="31">
        <f>IF(AND(K51="Yes",M51&lt;&gt;"Resolved",B51&lt;&gt;""),TODAY()-B51,"")</f>
        <v>0</v>
      </c>
      <c r="S51" s="28">
        <f>IF(B51="","",TEXT(B51,"yyyy-mm"))</f>
        <v>0</v>
      </c>
      <c r="T51" s="49">
        <f>IF(B51="","",IF(AND(K51="Yes",M51&lt;&gt;"Resolved"),"Action - unresolved complaint",IF(AND(O51&lt;&gt;"",O51&lt;TODAY(),P51&lt;&gt;"Yes"),"Overdue follow-up",IF(AND(O51&lt;&gt;"",O51-TODAY()&lt;=ReminderLeadDays,P51&lt;&gt;"Yes"),"Follow-up due soon","OK"))))</f>
        <v>0</v>
      </c>
    </row>
    <row r="52" spans="1:20">
      <c r="A52" s="46">
        <f>IF(B52="","","MSG-"&amp;TEXT(ROW()-4,"0000"))</f>
        <v>0</v>
      </c>
      <c r="Q52" s="31">
        <f>IF(AND(K52="Yes",M52&lt;&gt;"Resolved",B52&lt;&gt;""),TODAY()-B52,"")</f>
        <v>0</v>
      </c>
      <c r="S52" s="28">
        <f>IF(B52="","",TEXT(B52,"yyyy-mm"))</f>
        <v>0</v>
      </c>
      <c r="T52" s="49">
        <f>IF(B52="","",IF(AND(K52="Yes",M52&lt;&gt;"Resolved"),"Action - unresolved complaint",IF(AND(O52&lt;&gt;"",O52&lt;TODAY(),P52&lt;&gt;"Yes"),"Overdue follow-up",IF(AND(O52&lt;&gt;"",O52-TODAY()&lt;=ReminderLeadDays,P52&lt;&gt;"Yes"),"Follow-up due soon","OK"))))</f>
        <v>0</v>
      </c>
    </row>
    <row r="53" spans="1:20">
      <c r="A53" s="46">
        <f>IF(B53="","","MSG-"&amp;TEXT(ROW()-4,"0000"))</f>
        <v>0</v>
      </c>
      <c r="Q53" s="31">
        <f>IF(AND(K53="Yes",M53&lt;&gt;"Resolved",B53&lt;&gt;""),TODAY()-B53,"")</f>
        <v>0</v>
      </c>
      <c r="S53" s="28">
        <f>IF(B53="","",TEXT(B53,"yyyy-mm"))</f>
        <v>0</v>
      </c>
      <c r="T53" s="49">
        <f>IF(B53="","",IF(AND(K53="Yes",M53&lt;&gt;"Resolved"),"Action - unresolved complaint",IF(AND(O53&lt;&gt;"",O53&lt;TODAY(),P53&lt;&gt;"Yes"),"Overdue follow-up",IF(AND(O53&lt;&gt;"",O53-TODAY()&lt;=ReminderLeadDays,P53&lt;&gt;"Yes"),"Follow-up due soon","OK"))))</f>
        <v>0</v>
      </c>
    </row>
    <row r="54" spans="1:20">
      <c r="A54" s="46">
        <f>IF(B54="","","MSG-"&amp;TEXT(ROW()-4,"0000"))</f>
        <v>0</v>
      </c>
      <c r="Q54" s="31">
        <f>IF(AND(K54="Yes",M54&lt;&gt;"Resolved",B54&lt;&gt;""),TODAY()-B54,"")</f>
        <v>0</v>
      </c>
      <c r="S54" s="28">
        <f>IF(B54="","",TEXT(B54,"yyyy-mm"))</f>
        <v>0</v>
      </c>
      <c r="T54" s="49">
        <f>IF(B54="","",IF(AND(K54="Yes",M54&lt;&gt;"Resolved"),"Action - unresolved complaint",IF(AND(O54&lt;&gt;"",O54&lt;TODAY(),P54&lt;&gt;"Yes"),"Overdue follow-up",IF(AND(O54&lt;&gt;"",O54-TODAY()&lt;=ReminderLeadDays,P54&lt;&gt;"Yes"),"Follow-up due soon","OK"))))</f>
        <v>0</v>
      </c>
    </row>
    <row r="55" spans="1:20">
      <c r="A55" s="46">
        <f>IF(B55="","","MSG-"&amp;TEXT(ROW()-4,"0000"))</f>
        <v>0</v>
      </c>
      <c r="Q55" s="31">
        <f>IF(AND(K55="Yes",M55&lt;&gt;"Resolved",B55&lt;&gt;""),TODAY()-B55,"")</f>
        <v>0</v>
      </c>
      <c r="S55" s="28">
        <f>IF(B55="","",TEXT(B55,"yyyy-mm"))</f>
        <v>0</v>
      </c>
      <c r="T55" s="49">
        <f>IF(B55="","",IF(AND(K55="Yes",M55&lt;&gt;"Resolved"),"Action - unresolved complaint",IF(AND(O55&lt;&gt;"",O55&lt;TODAY(),P55&lt;&gt;"Yes"),"Overdue follow-up",IF(AND(O55&lt;&gt;"",O55-TODAY()&lt;=ReminderLeadDays,P55&lt;&gt;"Yes"),"Follow-up due soon","OK"))))</f>
        <v>0</v>
      </c>
    </row>
    <row r="56" spans="1:20">
      <c r="A56" s="46">
        <f>IF(B56="","","MSG-"&amp;TEXT(ROW()-4,"0000"))</f>
        <v>0</v>
      </c>
      <c r="Q56" s="31">
        <f>IF(AND(K56="Yes",M56&lt;&gt;"Resolved",B56&lt;&gt;""),TODAY()-B56,"")</f>
        <v>0</v>
      </c>
      <c r="S56" s="28">
        <f>IF(B56="","",TEXT(B56,"yyyy-mm"))</f>
        <v>0</v>
      </c>
      <c r="T56" s="49">
        <f>IF(B56="","",IF(AND(K56="Yes",M56&lt;&gt;"Resolved"),"Action - unresolved complaint",IF(AND(O56&lt;&gt;"",O56&lt;TODAY(),P56&lt;&gt;"Yes"),"Overdue follow-up",IF(AND(O56&lt;&gt;"",O56-TODAY()&lt;=ReminderLeadDays,P56&lt;&gt;"Yes"),"Follow-up due soon","OK"))))</f>
        <v>0</v>
      </c>
    </row>
    <row r="57" spans="1:20">
      <c r="A57" s="46">
        <f>IF(B57="","","MSG-"&amp;TEXT(ROW()-4,"0000"))</f>
        <v>0</v>
      </c>
      <c r="Q57" s="31">
        <f>IF(AND(K57="Yes",M57&lt;&gt;"Resolved",B57&lt;&gt;""),TODAY()-B57,"")</f>
        <v>0</v>
      </c>
      <c r="S57" s="28">
        <f>IF(B57="","",TEXT(B57,"yyyy-mm"))</f>
        <v>0</v>
      </c>
      <c r="T57" s="49">
        <f>IF(B57="","",IF(AND(K57="Yes",M57&lt;&gt;"Resolved"),"Action - unresolved complaint",IF(AND(O57&lt;&gt;"",O57&lt;TODAY(),P57&lt;&gt;"Yes"),"Overdue follow-up",IF(AND(O57&lt;&gt;"",O57-TODAY()&lt;=ReminderLeadDays,P57&lt;&gt;"Yes"),"Follow-up due soon","OK"))))</f>
        <v>0</v>
      </c>
    </row>
    <row r="58" spans="1:20">
      <c r="A58" s="46">
        <f>IF(B58="","","MSG-"&amp;TEXT(ROW()-4,"0000"))</f>
        <v>0</v>
      </c>
      <c r="Q58" s="31">
        <f>IF(AND(K58="Yes",M58&lt;&gt;"Resolved",B58&lt;&gt;""),TODAY()-B58,"")</f>
        <v>0</v>
      </c>
      <c r="S58" s="28">
        <f>IF(B58="","",TEXT(B58,"yyyy-mm"))</f>
        <v>0</v>
      </c>
      <c r="T58" s="49">
        <f>IF(B58="","",IF(AND(K58="Yes",M58&lt;&gt;"Resolved"),"Action - unresolved complaint",IF(AND(O58&lt;&gt;"",O58&lt;TODAY(),P58&lt;&gt;"Yes"),"Overdue follow-up",IF(AND(O58&lt;&gt;"",O58-TODAY()&lt;=ReminderLeadDays,P58&lt;&gt;"Yes"),"Follow-up due soon","OK"))))</f>
        <v>0</v>
      </c>
    </row>
    <row r="59" spans="1:20">
      <c r="A59" s="46">
        <f>IF(B59="","","MSG-"&amp;TEXT(ROW()-4,"0000"))</f>
        <v>0</v>
      </c>
      <c r="Q59" s="31">
        <f>IF(AND(K59="Yes",M59&lt;&gt;"Resolved",B59&lt;&gt;""),TODAY()-B59,"")</f>
        <v>0</v>
      </c>
      <c r="S59" s="28">
        <f>IF(B59="","",TEXT(B59,"yyyy-mm"))</f>
        <v>0</v>
      </c>
      <c r="T59" s="49">
        <f>IF(B59="","",IF(AND(K59="Yes",M59&lt;&gt;"Resolved"),"Action - unresolved complaint",IF(AND(O59&lt;&gt;"",O59&lt;TODAY(),P59&lt;&gt;"Yes"),"Overdue follow-up",IF(AND(O59&lt;&gt;"",O59-TODAY()&lt;=ReminderLeadDays,P59&lt;&gt;"Yes"),"Follow-up due soon","OK"))))</f>
        <v>0</v>
      </c>
    </row>
    <row r="60" spans="1:20">
      <c r="A60" s="46">
        <f>IF(B60="","","MSG-"&amp;TEXT(ROW()-4,"0000"))</f>
        <v>0</v>
      </c>
      <c r="Q60" s="31">
        <f>IF(AND(K60="Yes",M60&lt;&gt;"Resolved",B60&lt;&gt;""),TODAY()-B60,"")</f>
        <v>0</v>
      </c>
      <c r="S60" s="28">
        <f>IF(B60="","",TEXT(B60,"yyyy-mm"))</f>
        <v>0</v>
      </c>
      <c r="T60" s="49">
        <f>IF(B60="","",IF(AND(K60="Yes",M60&lt;&gt;"Resolved"),"Action - unresolved complaint",IF(AND(O60&lt;&gt;"",O60&lt;TODAY(),P60&lt;&gt;"Yes"),"Overdue follow-up",IF(AND(O60&lt;&gt;"",O60-TODAY()&lt;=ReminderLeadDays,P60&lt;&gt;"Yes"),"Follow-up due soon","OK"))))</f>
        <v>0</v>
      </c>
    </row>
    <row r="61" spans="1:20">
      <c r="A61" s="46">
        <f>IF(B61="","","MSG-"&amp;TEXT(ROW()-4,"0000"))</f>
        <v>0</v>
      </c>
      <c r="Q61" s="31">
        <f>IF(AND(K61="Yes",M61&lt;&gt;"Resolved",B61&lt;&gt;""),TODAY()-B61,"")</f>
        <v>0</v>
      </c>
      <c r="S61" s="28">
        <f>IF(B61="","",TEXT(B61,"yyyy-mm"))</f>
        <v>0</v>
      </c>
      <c r="T61" s="49">
        <f>IF(B61="","",IF(AND(K61="Yes",M61&lt;&gt;"Resolved"),"Action - unresolved complaint",IF(AND(O61&lt;&gt;"",O61&lt;TODAY(),P61&lt;&gt;"Yes"),"Overdue follow-up",IF(AND(O61&lt;&gt;"",O61-TODAY()&lt;=ReminderLeadDays,P61&lt;&gt;"Yes"),"Follow-up due soon","OK"))))</f>
        <v>0</v>
      </c>
    </row>
    <row r="62" spans="1:20">
      <c r="A62" s="46">
        <f>IF(B62="","","MSG-"&amp;TEXT(ROW()-4,"0000"))</f>
        <v>0</v>
      </c>
      <c r="Q62" s="31">
        <f>IF(AND(K62="Yes",M62&lt;&gt;"Resolved",B62&lt;&gt;""),TODAY()-B62,"")</f>
        <v>0</v>
      </c>
      <c r="S62" s="28">
        <f>IF(B62="","",TEXT(B62,"yyyy-mm"))</f>
        <v>0</v>
      </c>
      <c r="T62" s="49">
        <f>IF(B62="","",IF(AND(K62="Yes",M62&lt;&gt;"Resolved"),"Action - unresolved complaint",IF(AND(O62&lt;&gt;"",O62&lt;TODAY(),P62&lt;&gt;"Yes"),"Overdue follow-up",IF(AND(O62&lt;&gt;"",O62-TODAY()&lt;=ReminderLeadDays,P62&lt;&gt;"Yes"),"Follow-up due soon","OK"))))</f>
        <v>0</v>
      </c>
    </row>
    <row r="63" spans="1:20">
      <c r="A63" s="46">
        <f>IF(B63="","","MSG-"&amp;TEXT(ROW()-4,"0000"))</f>
        <v>0</v>
      </c>
      <c r="Q63" s="31">
        <f>IF(AND(K63="Yes",M63&lt;&gt;"Resolved",B63&lt;&gt;""),TODAY()-B63,"")</f>
        <v>0</v>
      </c>
      <c r="S63" s="28">
        <f>IF(B63="","",TEXT(B63,"yyyy-mm"))</f>
        <v>0</v>
      </c>
      <c r="T63" s="49">
        <f>IF(B63="","",IF(AND(K63="Yes",M63&lt;&gt;"Resolved"),"Action - unresolved complaint",IF(AND(O63&lt;&gt;"",O63&lt;TODAY(),P63&lt;&gt;"Yes"),"Overdue follow-up",IF(AND(O63&lt;&gt;"",O63-TODAY()&lt;=ReminderLeadDays,P63&lt;&gt;"Yes"),"Follow-up due soon","OK"))))</f>
        <v>0</v>
      </c>
    </row>
    <row r="64" spans="1:20">
      <c r="A64" s="46">
        <f>IF(B64="","","MSG-"&amp;TEXT(ROW()-4,"0000"))</f>
        <v>0</v>
      </c>
      <c r="Q64" s="31">
        <f>IF(AND(K64="Yes",M64&lt;&gt;"Resolved",B64&lt;&gt;""),TODAY()-B64,"")</f>
        <v>0</v>
      </c>
      <c r="S64" s="28">
        <f>IF(B64="","",TEXT(B64,"yyyy-mm"))</f>
        <v>0</v>
      </c>
      <c r="T64" s="49">
        <f>IF(B64="","",IF(AND(K64="Yes",M64&lt;&gt;"Resolved"),"Action - unresolved complaint",IF(AND(O64&lt;&gt;"",O64&lt;TODAY(),P64&lt;&gt;"Yes"),"Overdue follow-up",IF(AND(O64&lt;&gt;"",O64-TODAY()&lt;=ReminderLeadDays,P64&lt;&gt;"Yes"),"Follow-up due soon","OK"))))</f>
        <v>0</v>
      </c>
    </row>
    <row r="65" spans="1:20">
      <c r="A65" s="46">
        <f>IF(B65="","","MSG-"&amp;TEXT(ROW()-4,"0000"))</f>
        <v>0</v>
      </c>
      <c r="Q65" s="31">
        <f>IF(AND(K65="Yes",M65&lt;&gt;"Resolved",B65&lt;&gt;""),TODAY()-B65,"")</f>
        <v>0</v>
      </c>
      <c r="S65" s="28">
        <f>IF(B65="","",TEXT(B65,"yyyy-mm"))</f>
        <v>0</v>
      </c>
      <c r="T65" s="49">
        <f>IF(B65="","",IF(AND(K65="Yes",M65&lt;&gt;"Resolved"),"Action - unresolved complaint",IF(AND(O65&lt;&gt;"",O65&lt;TODAY(),P65&lt;&gt;"Yes"),"Overdue follow-up",IF(AND(O65&lt;&gt;"",O65-TODAY()&lt;=ReminderLeadDays,P65&lt;&gt;"Yes"),"Follow-up due soon","OK"))))</f>
        <v>0</v>
      </c>
    </row>
    <row r="66" spans="1:20">
      <c r="A66" s="46">
        <f>IF(B66="","","MSG-"&amp;TEXT(ROW()-4,"0000"))</f>
        <v>0</v>
      </c>
      <c r="Q66" s="31">
        <f>IF(AND(K66="Yes",M66&lt;&gt;"Resolved",B66&lt;&gt;""),TODAY()-B66,"")</f>
        <v>0</v>
      </c>
      <c r="S66" s="28">
        <f>IF(B66="","",TEXT(B66,"yyyy-mm"))</f>
        <v>0</v>
      </c>
      <c r="T66" s="49">
        <f>IF(B66="","",IF(AND(K66="Yes",M66&lt;&gt;"Resolved"),"Action - unresolved complaint",IF(AND(O66&lt;&gt;"",O66&lt;TODAY(),P66&lt;&gt;"Yes"),"Overdue follow-up",IF(AND(O66&lt;&gt;"",O66-TODAY()&lt;=ReminderLeadDays,P66&lt;&gt;"Yes"),"Follow-up due soon","OK"))))</f>
        <v>0</v>
      </c>
    </row>
    <row r="67" spans="1:20">
      <c r="A67" s="46">
        <f>IF(B67="","","MSG-"&amp;TEXT(ROW()-4,"0000"))</f>
        <v>0</v>
      </c>
      <c r="Q67" s="31">
        <f>IF(AND(K67="Yes",M67&lt;&gt;"Resolved",B67&lt;&gt;""),TODAY()-B67,"")</f>
        <v>0</v>
      </c>
      <c r="S67" s="28">
        <f>IF(B67="","",TEXT(B67,"yyyy-mm"))</f>
        <v>0</v>
      </c>
      <c r="T67" s="49">
        <f>IF(B67="","",IF(AND(K67="Yes",M67&lt;&gt;"Resolved"),"Action - unresolved complaint",IF(AND(O67&lt;&gt;"",O67&lt;TODAY(),P67&lt;&gt;"Yes"),"Overdue follow-up",IF(AND(O67&lt;&gt;"",O67-TODAY()&lt;=ReminderLeadDays,P67&lt;&gt;"Yes"),"Follow-up due soon","OK"))))</f>
        <v>0</v>
      </c>
    </row>
    <row r="68" spans="1:20">
      <c r="A68" s="46">
        <f>IF(B68="","","MSG-"&amp;TEXT(ROW()-4,"0000"))</f>
        <v>0</v>
      </c>
      <c r="Q68" s="31">
        <f>IF(AND(K68="Yes",M68&lt;&gt;"Resolved",B68&lt;&gt;""),TODAY()-B68,"")</f>
        <v>0</v>
      </c>
      <c r="S68" s="28">
        <f>IF(B68="","",TEXT(B68,"yyyy-mm"))</f>
        <v>0</v>
      </c>
      <c r="T68" s="49">
        <f>IF(B68="","",IF(AND(K68="Yes",M68&lt;&gt;"Resolved"),"Action - unresolved complaint",IF(AND(O68&lt;&gt;"",O68&lt;TODAY(),P68&lt;&gt;"Yes"),"Overdue follow-up",IF(AND(O68&lt;&gt;"",O68-TODAY()&lt;=ReminderLeadDays,P68&lt;&gt;"Yes"),"Follow-up due soon","OK"))))</f>
        <v>0</v>
      </c>
    </row>
    <row r="69" spans="1:20">
      <c r="A69" s="46">
        <f>IF(B69="","","MSG-"&amp;TEXT(ROW()-4,"0000"))</f>
        <v>0</v>
      </c>
      <c r="Q69" s="31">
        <f>IF(AND(K69="Yes",M69&lt;&gt;"Resolved",B69&lt;&gt;""),TODAY()-B69,"")</f>
        <v>0</v>
      </c>
      <c r="S69" s="28">
        <f>IF(B69="","",TEXT(B69,"yyyy-mm"))</f>
        <v>0</v>
      </c>
      <c r="T69" s="49">
        <f>IF(B69="","",IF(AND(K69="Yes",M69&lt;&gt;"Resolved"),"Action - unresolved complaint",IF(AND(O69&lt;&gt;"",O69&lt;TODAY(),P69&lt;&gt;"Yes"),"Overdue follow-up",IF(AND(O69&lt;&gt;"",O69-TODAY()&lt;=ReminderLeadDays,P69&lt;&gt;"Yes"),"Follow-up due soon","OK"))))</f>
        <v>0</v>
      </c>
    </row>
    <row r="70" spans="1:20">
      <c r="A70" s="46">
        <f>IF(B70="","","MSG-"&amp;TEXT(ROW()-4,"0000"))</f>
        <v>0</v>
      </c>
      <c r="Q70" s="31">
        <f>IF(AND(K70="Yes",M70&lt;&gt;"Resolved",B70&lt;&gt;""),TODAY()-B70,"")</f>
        <v>0</v>
      </c>
      <c r="S70" s="28">
        <f>IF(B70="","",TEXT(B70,"yyyy-mm"))</f>
        <v>0</v>
      </c>
      <c r="T70" s="49">
        <f>IF(B70="","",IF(AND(K70="Yes",M70&lt;&gt;"Resolved"),"Action - unresolved complaint",IF(AND(O70&lt;&gt;"",O70&lt;TODAY(),P70&lt;&gt;"Yes"),"Overdue follow-up",IF(AND(O70&lt;&gt;"",O70-TODAY()&lt;=ReminderLeadDays,P70&lt;&gt;"Yes"),"Follow-up due soon","OK"))))</f>
        <v>0</v>
      </c>
    </row>
    <row r="71" spans="1:20">
      <c r="A71" s="46">
        <f>IF(B71="","","MSG-"&amp;TEXT(ROW()-4,"0000"))</f>
        <v>0</v>
      </c>
      <c r="Q71" s="31">
        <f>IF(AND(K71="Yes",M71&lt;&gt;"Resolved",B71&lt;&gt;""),TODAY()-B71,"")</f>
        <v>0</v>
      </c>
      <c r="S71" s="28">
        <f>IF(B71="","",TEXT(B71,"yyyy-mm"))</f>
        <v>0</v>
      </c>
      <c r="T71" s="49">
        <f>IF(B71="","",IF(AND(K71="Yes",M71&lt;&gt;"Resolved"),"Action - unresolved complaint",IF(AND(O71&lt;&gt;"",O71&lt;TODAY(),P71&lt;&gt;"Yes"),"Overdue follow-up",IF(AND(O71&lt;&gt;"",O71-TODAY()&lt;=ReminderLeadDays,P71&lt;&gt;"Yes"),"Follow-up due soon","OK"))))</f>
        <v>0</v>
      </c>
    </row>
    <row r="72" spans="1:20">
      <c r="A72" s="46">
        <f>IF(B72="","","MSG-"&amp;TEXT(ROW()-4,"0000"))</f>
        <v>0</v>
      </c>
      <c r="Q72" s="31">
        <f>IF(AND(K72="Yes",M72&lt;&gt;"Resolved",B72&lt;&gt;""),TODAY()-B72,"")</f>
        <v>0</v>
      </c>
      <c r="S72" s="28">
        <f>IF(B72="","",TEXT(B72,"yyyy-mm"))</f>
        <v>0</v>
      </c>
      <c r="T72" s="49">
        <f>IF(B72="","",IF(AND(K72="Yes",M72&lt;&gt;"Resolved"),"Action - unresolved complaint",IF(AND(O72&lt;&gt;"",O72&lt;TODAY(),P72&lt;&gt;"Yes"),"Overdue follow-up",IF(AND(O72&lt;&gt;"",O72-TODAY()&lt;=ReminderLeadDays,P72&lt;&gt;"Yes"),"Follow-up due soon","OK"))))</f>
        <v>0</v>
      </c>
    </row>
    <row r="73" spans="1:20">
      <c r="A73" s="46">
        <f>IF(B73="","","MSG-"&amp;TEXT(ROW()-4,"0000"))</f>
        <v>0</v>
      </c>
      <c r="Q73" s="31">
        <f>IF(AND(K73="Yes",M73&lt;&gt;"Resolved",B73&lt;&gt;""),TODAY()-B73,"")</f>
        <v>0</v>
      </c>
      <c r="S73" s="28">
        <f>IF(B73="","",TEXT(B73,"yyyy-mm"))</f>
        <v>0</v>
      </c>
      <c r="T73" s="49">
        <f>IF(B73="","",IF(AND(K73="Yes",M73&lt;&gt;"Resolved"),"Action - unresolved complaint",IF(AND(O73&lt;&gt;"",O73&lt;TODAY(),P73&lt;&gt;"Yes"),"Overdue follow-up",IF(AND(O73&lt;&gt;"",O73-TODAY()&lt;=ReminderLeadDays,P73&lt;&gt;"Yes"),"Follow-up due soon","OK"))))</f>
        <v>0</v>
      </c>
    </row>
    <row r="74" spans="1:20">
      <c r="A74" s="46">
        <f>IF(B74="","","MSG-"&amp;TEXT(ROW()-4,"0000"))</f>
        <v>0</v>
      </c>
      <c r="Q74" s="31">
        <f>IF(AND(K74="Yes",M74&lt;&gt;"Resolved",B74&lt;&gt;""),TODAY()-B74,"")</f>
        <v>0</v>
      </c>
      <c r="S74" s="28">
        <f>IF(B74="","",TEXT(B74,"yyyy-mm"))</f>
        <v>0</v>
      </c>
      <c r="T74" s="49">
        <f>IF(B74="","",IF(AND(K74="Yes",M74&lt;&gt;"Resolved"),"Action - unresolved complaint",IF(AND(O74&lt;&gt;"",O74&lt;TODAY(),P74&lt;&gt;"Yes"),"Overdue follow-up",IF(AND(O74&lt;&gt;"",O74-TODAY()&lt;=ReminderLeadDays,P74&lt;&gt;"Yes"),"Follow-up due soon","OK"))))</f>
        <v>0</v>
      </c>
    </row>
    <row r="75" spans="1:20">
      <c r="A75" s="46">
        <f>IF(B75="","","MSG-"&amp;TEXT(ROW()-4,"0000"))</f>
        <v>0</v>
      </c>
      <c r="Q75" s="31">
        <f>IF(AND(K75="Yes",M75&lt;&gt;"Resolved",B75&lt;&gt;""),TODAY()-B75,"")</f>
        <v>0</v>
      </c>
      <c r="S75" s="28">
        <f>IF(B75="","",TEXT(B75,"yyyy-mm"))</f>
        <v>0</v>
      </c>
      <c r="T75" s="49">
        <f>IF(B75="","",IF(AND(K75="Yes",M75&lt;&gt;"Resolved"),"Action - unresolved complaint",IF(AND(O75&lt;&gt;"",O75&lt;TODAY(),P75&lt;&gt;"Yes"),"Overdue follow-up",IF(AND(O75&lt;&gt;"",O75-TODAY()&lt;=ReminderLeadDays,P75&lt;&gt;"Yes"),"Follow-up due soon","OK"))))</f>
        <v>0</v>
      </c>
    </row>
    <row r="76" spans="1:20">
      <c r="A76" s="46">
        <f>IF(B76="","","MSG-"&amp;TEXT(ROW()-4,"0000"))</f>
        <v>0</v>
      </c>
      <c r="Q76" s="31">
        <f>IF(AND(K76="Yes",M76&lt;&gt;"Resolved",B76&lt;&gt;""),TODAY()-B76,"")</f>
        <v>0</v>
      </c>
      <c r="S76" s="28">
        <f>IF(B76="","",TEXT(B76,"yyyy-mm"))</f>
        <v>0</v>
      </c>
      <c r="T76" s="49">
        <f>IF(B76="","",IF(AND(K76="Yes",M76&lt;&gt;"Resolved"),"Action - unresolved complaint",IF(AND(O76&lt;&gt;"",O76&lt;TODAY(),P76&lt;&gt;"Yes"),"Overdue follow-up",IF(AND(O76&lt;&gt;"",O76-TODAY()&lt;=ReminderLeadDays,P76&lt;&gt;"Yes"),"Follow-up due soon","OK"))))</f>
        <v>0</v>
      </c>
    </row>
    <row r="77" spans="1:20">
      <c r="A77" s="46">
        <f>IF(B77="","","MSG-"&amp;TEXT(ROW()-4,"0000"))</f>
        <v>0</v>
      </c>
      <c r="Q77" s="31">
        <f>IF(AND(K77="Yes",M77&lt;&gt;"Resolved",B77&lt;&gt;""),TODAY()-B77,"")</f>
        <v>0</v>
      </c>
      <c r="S77" s="28">
        <f>IF(B77="","",TEXT(B77,"yyyy-mm"))</f>
        <v>0</v>
      </c>
      <c r="T77" s="49">
        <f>IF(B77="","",IF(AND(K77="Yes",M77&lt;&gt;"Resolved"),"Action - unresolved complaint",IF(AND(O77&lt;&gt;"",O77&lt;TODAY(),P77&lt;&gt;"Yes"),"Overdue follow-up",IF(AND(O77&lt;&gt;"",O77-TODAY()&lt;=ReminderLeadDays,P77&lt;&gt;"Yes"),"Follow-up due soon","OK"))))</f>
        <v>0</v>
      </c>
    </row>
    <row r="78" spans="1:20">
      <c r="A78" s="46">
        <f>IF(B78="","","MSG-"&amp;TEXT(ROW()-4,"0000"))</f>
        <v>0</v>
      </c>
      <c r="Q78" s="31">
        <f>IF(AND(K78="Yes",M78&lt;&gt;"Resolved",B78&lt;&gt;""),TODAY()-B78,"")</f>
        <v>0</v>
      </c>
      <c r="S78" s="28">
        <f>IF(B78="","",TEXT(B78,"yyyy-mm"))</f>
        <v>0</v>
      </c>
      <c r="T78" s="49">
        <f>IF(B78="","",IF(AND(K78="Yes",M78&lt;&gt;"Resolved"),"Action - unresolved complaint",IF(AND(O78&lt;&gt;"",O78&lt;TODAY(),P78&lt;&gt;"Yes"),"Overdue follow-up",IF(AND(O78&lt;&gt;"",O78-TODAY()&lt;=ReminderLeadDays,P78&lt;&gt;"Yes"),"Follow-up due soon","OK"))))</f>
        <v>0</v>
      </c>
    </row>
    <row r="79" spans="1:20">
      <c r="A79" s="46">
        <f>IF(B79="","","MSG-"&amp;TEXT(ROW()-4,"0000"))</f>
        <v>0</v>
      </c>
      <c r="Q79" s="31">
        <f>IF(AND(K79="Yes",M79&lt;&gt;"Resolved",B79&lt;&gt;""),TODAY()-B79,"")</f>
        <v>0</v>
      </c>
      <c r="S79" s="28">
        <f>IF(B79="","",TEXT(B79,"yyyy-mm"))</f>
        <v>0</v>
      </c>
      <c r="T79" s="49">
        <f>IF(B79="","",IF(AND(K79="Yes",M79&lt;&gt;"Resolved"),"Action - unresolved complaint",IF(AND(O79&lt;&gt;"",O79&lt;TODAY(),P79&lt;&gt;"Yes"),"Overdue follow-up",IF(AND(O79&lt;&gt;"",O79-TODAY()&lt;=ReminderLeadDays,P79&lt;&gt;"Yes"),"Follow-up due soon","OK"))))</f>
        <v>0</v>
      </c>
    </row>
    <row r="80" spans="1:20">
      <c r="A80" s="46">
        <f>IF(B80="","","MSG-"&amp;TEXT(ROW()-4,"0000"))</f>
        <v>0</v>
      </c>
      <c r="Q80" s="31">
        <f>IF(AND(K80="Yes",M80&lt;&gt;"Resolved",B80&lt;&gt;""),TODAY()-B80,"")</f>
        <v>0</v>
      </c>
      <c r="S80" s="28">
        <f>IF(B80="","",TEXT(B80,"yyyy-mm"))</f>
        <v>0</v>
      </c>
      <c r="T80" s="49">
        <f>IF(B80="","",IF(AND(K80="Yes",M80&lt;&gt;"Resolved"),"Action - unresolved complaint",IF(AND(O80&lt;&gt;"",O80&lt;TODAY(),P80&lt;&gt;"Yes"),"Overdue follow-up",IF(AND(O80&lt;&gt;"",O80-TODAY()&lt;=ReminderLeadDays,P80&lt;&gt;"Yes"),"Follow-up due soon","OK"))))</f>
        <v>0</v>
      </c>
    </row>
    <row r="81" spans="1:20">
      <c r="A81" s="46">
        <f>IF(B81="","","MSG-"&amp;TEXT(ROW()-4,"0000"))</f>
        <v>0</v>
      </c>
      <c r="Q81" s="31">
        <f>IF(AND(K81="Yes",M81&lt;&gt;"Resolved",B81&lt;&gt;""),TODAY()-B81,"")</f>
        <v>0</v>
      </c>
      <c r="S81" s="28">
        <f>IF(B81="","",TEXT(B81,"yyyy-mm"))</f>
        <v>0</v>
      </c>
      <c r="T81" s="49">
        <f>IF(B81="","",IF(AND(K81="Yes",M81&lt;&gt;"Resolved"),"Action - unresolved complaint",IF(AND(O81&lt;&gt;"",O81&lt;TODAY(),P81&lt;&gt;"Yes"),"Overdue follow-up",IF(AND(O81&lt;&gt;"",O81-TODAY()&lt;=ReminderLeadDays,P81&lt;&gt;"Yes"),"Follow-up due soon","OK"))))</f>
        <v>0</v>
      </c>
    </row>
    <row r="82" spans="1:20">
      <c r="A82" s="46">
        <f>IF(B82="","","MSG-"&amp;TEXT(ROW()-4,"0000"))</f>
        <v>0</v>
      </c>
      <c r="Q82" s="31">
        <f>IF(AND(K82="Yes",M82&lt;&gt;"Resolved",B82&lt;&gt;""),TODAY()-B82,"")</f>
        <v>0</v>
      </c>
      <c r="S82" s="28">
        <f>IF(B82="","",TEXT(B82,"yyyy-mm"))</f>
        <v>0</v>
      </c>
      <c r="T82" s="49">
        <f>IF(B82="","",IF(AND(K82="Yes",M82&lt;&gt;"Resolved"),"Action - unresolved complaint",IF(AND(O82&lt;&gt;"",O82&lt;TODAY(),P82&lt;&gt;"Yes"),"Overdue follow-up",IF(AND(O82&lt;&gt;"",O82-TODAY()&lt;=ReminderLeadDays,P82&lt;&gt;"Yes"),"Follow-up due soon","OK"))))</f>
        <v>0</v>
      </c>
    </row>
    <row r="83" spans="1:20">
      <c r="A83" s="46">
        <f>IF(B83="","","MSG-"&amp;TEXT(ROW()-4,"0000"))</f>
        <v>0</v>
      </c>
      <c r="Q83" s="31">
        <f>IF(AND(K83="Yes",M83&lt;&gt;"Resolved",B83&lt;&gt;""),TODAY()-B83,"")</f>
        <v>0</v>
      </c>
      <c r="S83" s="28">
        <f>IF(B83="","",TEXT(B83,"yyyy-mm"))</f>
        <v>0</v>
      </c>
      <c r="T83" s="49">
        <f>IF(B83="","",IF(AND(K83="Yes",M83&lt;&gt;"Resolved"),"Action - unresolved complaint",IF(AND(O83&lt;&gt;"",O83&lt;TODAY(),P83&lt;&gt;"Yes"),"Overdue follow-up",IF(AND(O83&lt;&gt;"",O83-TODAY()&lt;=ReminderLeadDays,P83&lt;&gt;"Yes"),"Follow-up due soon","OK"))))</f>
        <v>0</v>
      </c>
    </row>
    <row r="84" spans="1:20">
      <c r="A84" s="46">
        <f>IF(B84="","","MSG-"&amp;TEXT(ROW()-4,"0000"))</f>
        <v>0</v>
      </c>
      <c r="Q84" s="31">
        <f>IF(AND(K84="Yes",M84&lt;&gt;"Resolved",B84&lt;&gt;""),TODAY()-B84,"")</f>
        <v>0</v>
      </c>
      <c r="S84" s="28">
        <f>IF(B84="","",TEXT(B84,"yyyy-mm"))</f>
        <v>0</v>
      </c>
      <c r="T84" s="49">
        <f>IF(B84="","",IF(AND(K84="Yes",M84&lt;&gt;"Resolved"),"Action - unresolved complaint",IF(AND(O84&lt;&gt;"",O84&lt;TODAY(),P84&lt;&gt;"Yes"),"Overdue follow-up",IF(AND(O84&lt;&gt;"",O84-TODAY()&lt;=ReminderLeadDays,P84&lt;&gt;"Yes"),"Follow-up due soon","OK"))))</f>
        <v>0</v>
      </c>
    </row>
    <row r="85" spans="1:20">
      <c r="A85" s="46">
        <f>IF(B85="","","MSG-"&amp;TEXT(ROW()-4,"0000"))</f>
        <v>0</v>
      </c>
      <c r="Q85" s="31">
        <f>IF(AND(K85="Yes",M85&lt;&gt;"Resolved",B85&lt;&gt;""),TODAY()-B85,"")</f>
        <v>0</v>
      </c>
      <c r="S85" s="28">
        <f>IF(B85="","",TEXT(B85,"yyyy-mm"))</f>
        <v>0</v>
      </c>
      <c r="T85" s="49">
        <f>IF(B85="","",IF(AND(K85="Yes",M85&lt;&gt;"Resolved"),"Action - unresolved complaint",IF(AND(O85&lt;&gt;"",O85&lt;TODAY(),P85&lt;&gt;"Yes"),"Overdue follow-up",IF(AND(O85&lt;&gt;"",O85-TODAY()&lt;=ReminderLeadDays,P85&lt;&gt;"Yes"),"Follow-up due soon","OK"))))</f>
        <v>0</v>
      </c>
    </row>
    <row r="86" spans="1:20">
      <c r="A86" s="46">
        <f>IF(B86="","","MSG-"&amp;TEXT(ROW()-4,"0000"))</f>
        <v>0</v>
      </c>
      <c r="Q86" s="31">
        <f>IF(AND(K86="Yes",M86&lt;&gt;"Resolved",B86&lt;&gt;""),TODAY()-B86,"")</f>
        <v>0</v>
      </c>
      <c r="S86" s="28">
        <f>IF(B86="","",TEXT(B86,"yyyy-mm"))</f>
        <v>0</v>
      </c>
      <c r="T86" s="49">
        <f>IF(B86="","",IF(AND(K86="Yes",M86&lt;&gt;"Resolved"),"Action - unresolved complaint",IF(AND(O86&lt;&gt;"",O86&lt;TODAY(),P86&lt;&gt;"Yes"),"Overdue follow-up",IF(AND(O86&lt;&gt;"",O86-TODAY()&lt;=ReminderLeadDays,P86&lt;&gt;"Yes"),"Follow-up due soon","OK"))))</f>
        <v>0</v>
      </c>
    </row>
    <row r="87" spans="1:20">
      <c r="A87" s="46">
        <f>IF(B87="","","MSG-"&amp;TEXT(ROW()-4,"0000"))</f>
        <v>0</v>
      </c>
      <c r="Q87" s="31">
        <f>IF(AND(K87="Yes",M87&lt;&gt;"Resolved",B87&lt;&gt;""),TODAY()-B87,"")</f>
        <v>0</v>
      </c>
      <c r="S87" s="28">
        <f>IF(B87="","",TEXT(B87,"yyyy-mm"))</f>
        <v>0</v>
      </c>
      <c r="T87" s="49">
        <f>IF(B87="","",IF(AND(K87="Yes",M87&lt;&gt;"Resolved"),"Action - unresolved complaint",IF(AND(O87&lt;&gt;"",O87&lt;TODAY(),P87&lt;&gt;"Yes"),"Overdue follow-up",IF(AND(O87&lt;&gt;"",O87-TODAY()&lt;=ReminderLeadDays,P87&lt;&gt;"Yes"),"Follow-up due soon","OK"))))</f>
        <v>0</v>
      </c>
    </row>
    <row r="88" spans="1:20">
      <c r="A88" s="46">
        <f>IF(B88="","","MSG-"&amp;TEXT(ROW()-4,"0000"))</f>
        <v>0</v>
      </c>
      <c r="Q88" s="31">
        <f>IF(AND(K88="Yes",M88&lt;&gt;"Resolved",B88&lt;&gt;""),TODAY()-B88,"")</f>
        <v>0</v>
      </c>
      <c r="S88" s="28">
        <f>IF(B88="","",TEXT(B88,"yyyy-mm"))</f>
        <v>0</v>
      </c>
      <c r="T88" s="49">
        <f>IF(B88="","",IF(AND(K88="Yes",M88&lt;&gt;"Resolved"),"Action - unresolved complaint",IF(AND(O88&lt;&gt;"",O88&lt;TODAY(),P88&lt;&gt;"Yes"),"Overdue follow-up",IF(AND(O88&lt;&gt;"",O88-TODAY()&lt;=ReminderLeadDays,P88&lt;&gt;"Yes"),"Follow-up due soon","OK"))))</f>
        <v>0</v>
      </c>
    </row>
    <row r="89" spans="1:20">
      <c r="A89" s="46">
        <f>IF(B89="","","MSG-"&amp;TEXT(ROW()-4,"0000"))</f>
        <v>0</v>
      </c>
      <c r="Q89" s="31">
        <f>IF(AND(K89="Yes",M89&lt;&gt;"Resolved",B89&lt;&gt;""),TODAY()-B89,"")</f>
        <v>0</v>
      </c>
      <c r="S89" s="28">
        <f>IF(B89="","",TEXT(B89,"yyyy-mm"))</f>
        <v>0</v>
      </c>
      <c r="T89" s="49">
        <f>IF(B89="","",IF(AND(K89="Yes",M89&lt;&gt;"Resolved"),"Action - unresolved complaint",IF(AND(O89&lt;&gt;"",O89&lt;TODAY(),P89&lt;&gt;"Yes"),"Overdue follow-up",IF(AND(O89&lt;&gt;"",O89-TODAY()&lt;=ReminderLeadDays,P89&lt;&gt;"Yes"),"Follow-up due soon","OK"))))</f>
        <v>0</v>
      </c>
    </row>
    <row r="90" spans="1:20">
      <c r="A90" s="46">
        <f>IF(B90="","","MSG-"&amp;TEXT(ROW()-4,"0000"))</f>
        <v>0</v>
      </c>
      <c r="Q90" s="31">
        <f>IF(AND(K90="Yes",M90&lt;&gt;"Resolved",B90&lt;&gt;""),TODAY()-B90,"")</f>
        <v>0</v>
      </c>
      <c r="S90" s="28">
        <f>IF(B90="","",TEXT(B90,"yyyy-mm"))</f>
        <v>0</v>
      </c>
      <c r="T90" s="49">
        <f>IF(B90="","",IF(AND(K90="Yes",M90&lt;&gt;"Resolved"),"Action - unresolved complaint",IF(AND(O90&lt;&gt;"",O90&lt;TODAY(),P90&lt;&gt;"Yes"),"Overdue follow-up",IF(AND(O90&lt;&gt;"",O90-TODAY()&lt;=ReminderLeadDays,P90&lt;&gt;"Yes"),"Follow-up due soon","OK"))))</f>
        <v>0</v>
      </c>
    </row>
    <row r="91" spans="1:20">
      <c r="A91" s="46">
        <f>IF(B91="","","MSG-"&amp;TEXT(ROW()-4,"0000"))</f>
        <v>0</v>
      </c>
      <c r="Q91" s="31">
        <f>IF(AND(K91="Yes",M91&lt;&gt;"Resolved",B91&lt;&gt;""),TODAY()-B91,"")</f>
        <v>0</v>
      </c>
      <c r="S91" s="28">
        <f>IF(B91="","",TEXT(B91,"yyyy-mm"))</f>
        <v>0</v>
      </c>
      <c r="T91" s="49">
        <f>IF(B91="","",IF(AND(K91="Yes",M91&lt;&gt;"Resolved"),"Action - unresolved complaint",IF(AND(O91&lt;&gt;"",O91&lt;TODAY(),P91&lt;&gt;"Yes"),"Overdue follow-up",IF(AND(O91&lt;&gt;"",O91-TODAY()&lt;=ReminderLeadDays,P91&lt;&gt;"Yes"),"Follow-up due soon","OK"))))</f>
        <v>0</v>
      </c>
    </row>
    <row r="92" spans="1:20">
      <c r="A92" s="46">
        <f>IF(B92="","","MSG-"&amp;TEXT(ROW()-4,"0000"))</f>
        <v>0</v>
      </c>
      <c r="Q92" s="31">
        <f>IF(AND(K92="Yes",M92&lt;&gt;"Resolved",B92&lt;&gt;""),TODAY()-B92,"")</f>
        <v>0</v>
      </c>
      <c r="S92" s="28">
        <f>IF(B92="","",TEXT(B92,"yyyy-mm"))</f>
        <v>0</v>
      </c>
      <c r="T92" s="49">
        <f>IF(B92="","",IF(AND(K92="Yes",M92&lt;&gt;"Resolved"),"Action - unresolved complaint",IF(AND(O92&lt;&gt;"",O92&lt;TODAY(),P92&lt;&gt;"Yes"),"Overdue follow-up",IF(AND(O92&lt;&gt;"",O92-TODAY()&lt;=ReminderLeadDays,P92&lt;&gt;"Yes"),"Follow-up due soon","OK"))))</f>
        <v>0</v>
      </c>
    </row>
    <row r="93" spans="1:20">
      <c r="A93" s="46">
        <f>IF(B93="","","MSG-"&amp;TEXT(ROW()-4,"0000"))</f>
        <v>0</v>
      </c>
      <c r="Q93" s="31">
        <f>IF(AND(K93="Yes",M93&lt;&gt;"Resolved",B93&lt;&gt;""),TODAY()-B93,"")</f>
        <v>0</v>
      </c>
      <c r="S93" s="28">
        <f>IF(B93="","",TEXT(B93,"yyyy-mm"))</f>
        <v>0</v>
      </c>
      <c r="T93" s="49">
        <f>IF(B93="","",IF(AND(K93="Yes",M93&lt;&gt;"Resolved"),"Action - unresolved complaint",IF(AND(O93&lt;&gt;"",O93&lt;TODAY(),P93&lt;&gt;"Yes"),"Overdue follow-up",IF(AND(O93&lt;&gt;"",O93-TODAY()&lt;=ReminderLeadDays,P93&lt;&gt;"Yes"),"Follow-up due soon","OK"))))</f>
        <v>0</v>
      </c>
    </row>
    <row r="94" spans="1:20">
      <c r="A94" s="46">
        <f>IF(B94="","","MSG-"&amp;TEXT(ROW()-4,"0000"))</f>
        <v>0</v>
      </c>
      <c r="Q94" s="31">
        <f>IF(AND(K94="Yes",M94&lt;&gt;"Resolved",B94&lt;&gt;""),TODAY()-B94,"")</f>
        <v>0</v>
      </c>
      <c r="S94" s="28">
        <f>IF(B94="","",TEXT(B94,"yyyy-mm"))</f>
        <v>0</v>
      </c>
      <c r="T94" s="49">
        <f>IF(B94="","",IF(AND(K94="Yes",M94&lt;&gt;"Resolved"),"Action - unresolved complaint",IF(AND(O94&lt;&gt;"",O94&lt;TODAY(),P94&lt;&gt;"Yes"),"Overdue follow-up",IF(AND(O94&lt;&gt;"",O94-TODAY()&lt;=ReminderLeadDays,P94&lt;&gt;"Yes"),"Follow-up due soon","OK"))))</f>
        <v>0</v>
      </c>
    </row>
    <row r="95" spans="1:20">
      <c r="A95" s="46">
        <f>IF(B95="","","MSG-"&amp;TEXT(ROW()-4,"0000"))</f>
        <v>0</v>
      </c>
      <c r="Q95" s="31">
        <f>IF(AND(K95="Yes",M95&lt;&gt;"Resolved",B95&lt;&gt;""),TODAY()-B95,"")</f>
        <v>0</v>
      </c>
      <c r="S95" s="28">
        <f>IF(B95="","",TEXT(B95,"yyyy-mm"))</f>
        <v>0</v>
      </c>
      <c r="T95" s="49">
        <f>IF(B95="","",IF(AND(K95="Yes",M95&lt;&gt;"Resolved"),"Action - unresolved complaint",IF(AND(O95&lt;&gt;"",O95&lt;TODAY(),P95&lt;&gt;"Yes"),"Overdue follow-up",IF(AND(O95&lt;&gt;"",O95-TODAY()&lt;=ReminderLeadDays,P95&lt;&gt;"Yes"),"Follow-up due soon","OK"))))</f>
        <v>0</v>
      </c>
    </row>
    <row r="96" spans="1:20">
      <c r="A96" s="46">
        <f>IF(B96="","","MSG-"&amp;TEXT(ROW()-4,"0000"))</f>
        <v>0</v>
      </c>
      <c r="Q96" s="31">
        <f>IF(AND(K96="Yes",M96&lt;&gt;"Resolved",B96&lt;&gt;""),TODAY()-B96,"")</f>
        <v>0</v>
      </c>
      <c r="S96" s="28">
        <f>IF(B96="","",TEXT(B96,"yyyy-mm"))</f>
        <v>0</v>
      </c>
      <c r="T96" s="49">
        <f>IF(B96="","",IF(AND(K96="Yes",M96&lt;&gt;"Resolved"),"Action - unresolved complaint",IF(AND(O96&lt;&gt;"",O96&lt;TODAY(),P96&lt;&gt;"Yes"),"Overdue follow-up",IF(AND(O96&lt;&gt;"",O96-TODAY()&lt;=ReminderLeadDays,P96&lt;&gt;"Yes"),"Follow-up due soon","OK"))))</f>
        <v>0</v>
      </c>
    </row>
    <row r="97" spans="1:20">
      <c r="A97" s="46">
        <f>IF(B97="","","MSG-"&amp;TEXT(ROW()-4,"0000"))</f>
        <v>0</v>
      </c>
      <c r="Q97" s="31">
        <f>IF(AND(K97="Yes",M97&lt;&gt;"Resolved",B97&lt;&gt;""),TODAY()-B97,"")</f>
        <v>0</v>
      </c>
      <c r="S97" s="28">
        <f>IF(B97="","",TEXT(B97,"yyyy-mm"))</f>
        <v>0</v>
      </c>
      <c r="T97" s="49">
        <f>IF(B97="","",IF(AND(K97="Yes",M97&lt;&gt;"Resolved"),"Action - unresolved complaint",IF(AND(O97&lt;&gt;"",O97&lt;TODAY(),P97&lt;&gt;"Yes"),"Overdue follow-up",IF(AND(O97&lt;&gt;"",O97-TODAY()&lt;=ReminderLeadDays,P97&lt;&gt;"Yes"),"Follow-up due soon","OK"))))</f>
        <v>0</v>
      </c>
    </row>
    <row r="98" spans="1:20">
      <c r="A98" s="46">
        <f>IF(B98="","","MSG-"&amp;TEXT(ROW()-4,"0000"))</f>
        <v>0</v>
      </c>
      <c r="Q98" s="31">
        <f>IF(AND(K98="Yes",M98&lt;&gt;"Resolved",B98&lt;&gt;""),TODAY()-B98,"")</f>
        <v>0</v>
      </c>
      <c r="S98" s="28">
        <f>IF(B98="","",TEXT(B98,"yyyy-mm"))</f>
        <v>0</v>
      </c>
      <c r="T98" s="49">
        <f>IF(B98="","",IF(AND(K98="Yes",M98&lt;&gt;"Resolved"),"Action - unresolved complaint",IF(AND(O98&lt;&gt;"",O98&lt;TODAY(),P98&lt;&gt;"Yes"),"Overdue follow-up",IF(AND(O98&lt;&gt;"",O98-TODAY()&lt;=ReminderLeadDays,P98&lt;&gt;"Yes"),"Follow-up due soon","OK"))))</f>
        <v>0</v>
      </c>
    </row>
    <row r="99" spans="1:20">
      <c r="A99" s="46">
        <f>IF(B99="","","MSG-"&amp;TEXT(ROW()-4,"0000"))</f>
        <v>0</v>
      </c>
      <c r="Q99" s="31">
        <f>IF(AND(K99="Yes",M99&lt;&gt;"Resolved",B99&lt;&gt;""),TODAY()-B99,"")</f>
        <v>0</v>
      </c>
      <c r="S99" s="28">
        <f>IF(B99="","",TEXT(B99,"yyyy-mm"))</f>
        <v>0</v>
      </c>
      <c r="T99" s="49">
        <f>IF(B99="","",IF(AND(K99="Yes",M99&lt;&gt;"Resolved"),"Action - unresolved complaint",IF(AND(O99&lt;&gt;"",O99&lt;TODAY(),P99&lt;&gt;"Yes"),"Overdue follow-up",IF(AND(O99&lt;&gt;"",O99-TODAY()&lt;=ReminderLeadDays,P99&lt;&gt;"Yes"),"Follow-up due soon","OK"))))</f>
        <v>0</v>
      </c>
    </row>
    <row r="100" spans="1:20">
      <c r="A100" s="46">
        <f>IF(B100="","","MSG-"&amp;TEXT(ROW()-4,"0000"))</f>
        <v>0</v>
      </c>
      <c r="Q100" s="31">
        <f>IF(AND(K100="Yes",M100&lt;&gt;"Resolved",B100&lt;&gt;""),TODAY()-B100,"")</f>
        <v>0</v>
      </c>
      <c r="S100" s="28">
        <f>IF(B100="","",TEXT(B100,"yyyy-mm"))</f>
        <v>0</v>
      </c>
      <c r="T100" s="49">
        <f>IF(B100="","",IF(AND(K100="Yes",M100&lt;&gt;"Resolved"),"Action - unresolved complaint",IF(AND(O100&lt;&gt;"",O100&lt;TODAY(),P100&lt;&gt;"Yes"),"Overdue follow-up",IF(AND(O100&lt;&gt;"",O100-TODAY()&lt;=ReminderLeadDays,P100&lt;&gt;"Yes"),"Follow-up due soon","OK"))))</f>
        <v>0</v>
      </c>
    </row>
    <row r="101" spans="1:20">
      <c r="A101" s="46">
        <f>IF(B101="","","MSG-"&amp;TEXT(ROW()-4,"0000"))</f>
        <v>0</v>
      </c>
      <c r="Q101" s="31">
        <f>IF(AND(K101="Yes",M101&lt;&gt;"Resolved",B101&lt;&gt;""),TODAY()-B101,"")</f>
        <v>0</v>
      </c>
      <c r="S101" s="28">
        <f>IF(B101="","",TEXT(B101,"yyyy-mm"))</f>
        <v>0</v>
      </c>
      <c r="T101" s="49">
        <f>IF(B101="","",IF(AND(K101="Yes",M101&lt;&gt;"Resolved"),"Action - unresolved complaint",IF(AND(O101&lt;&gt;"",O101&lt;TODAY(),P101&lt;&gt;"Yes"),"Overdue follow-up",IF(AND(O101&lt;&gt;"",O101-TODAY()&lt;=ReminderLeadDays,P101&lt;&gt;"Yes"),"Follow-up due soon","OK"))))</f>
        <v>0</v>
      </c>
    </row>
    <row r="102" spans="1:20">
      <c r="A102" s="46">
        <f>IF(B102="","","MSG-"&amp;TEXT(ROW()-4,"0000"))</f>
        <v>0</v>
      </c>
      <c r="Q102" s="31">
        <f>IF(AND(K102="Yes",M102&lt;&gt;"Resolved",B102&lt;&gt;""),TODAY()-B102,"")</f>
        <v>0</v>
      </c>
      <c r="S102" s="28">
        <f>IF(B102="","",TEXT(B102,"yyyy-mm"))</f>
        <v>0</v>
      </c>
      <c r="T102" s="49">
        <f>IF(B102="","",IF(AND(K102="Yes",M102&lt;&gt;"Resolved"),"Action - unresolved complaint",IF(AND(O102&lt;&gt;"",O102&lt;TODAY(),P102&lt;&gt;"Yes"),"Overdue follow-up",IF(AND(O102&lt;&gt;"",O102-TODAY()&lt;=ReminderLeadDays,P102&lt;&gt;"Yes"),"Follow-up due soon","OK"))))</f>
        <v>0</v>
      </c>
    </row>
    <row r="103" spans="1:20">
      <c r="A103" s="46">
        <f>IF(B103="","","MSG-"&amp;TEXT(ROW()-4,"0000"))</f>
        <v>0</v>
      </c>
      <c r="Q103" s="31">
        <f>IF(AND(K103="Yes",M103&lt;&gt;"Resolved",B103&lt;&gt;""),TODAY()-B103,"")</f>
        <v>0</v>
      </c>
      <c r="S103" s="28">
        <f>IF(B103="","",TEXT(B103,"yyyy-mm"))</f>
        <v>0</v>
      </c>
      <c r="T103" s="49">
        <f>IF(B103="","",IF(AND(K103="Yes",M103&lt;&gt;"Resolved"),"Action - unresolved complaint",IF(AND(O103&lt;&gt;"",O103&lt;TODAY(),P103&lt;&gt;"Yes"),"Overdue follow-up",IF(AND(O103&lt;&gt;"",O103-TODAY()&lt;=ReminderLeadDays,P103&lt;&gt;"Yes"),"Follow-up due soon","OK"))))</f>
        <v>0</v>
      </c>
    </row>
    <row r="104" spans="1:20">
      <c r="A104" s="46">
        <f>IF(B104="","","MSG-"&amp;TEXT(ROW()-4,"0000"))</f>
        <v>0</v>
      </c>
      <c r="Q104" s="31">
        <f>IF(AND(K104="Yes",M104&lt;&gt;"Resolved",B104&lt;&gt;""),TODAY()-B104,"")</f>
        <v>0</v>
      </c>
      <c r="S104" s="28">
        <f>IF(B104="","",TEXT(B104,"yyyy-mm"))</f>
        <v>0</v>
      </c>
      <c r="T104" s="49">
        <f>IF(B104="","",IF(AND(K104="Yes",M104&lt;&gt;"Resolved"),"Action - unresolved complaint",IF(AND(O104&lt;&gt;"",O104&lt;TODAY(),P104&lt;&gt;"Yes"),"Overdue follow-up",IF(AND(O104&lt;&gt;"",O104-TODAY()&lt;=ReminderLeadDays,P104&lt;&gt;"Yes"),"Follow-up due soon","OK"))))</f>
        <v>0</v>
      </c>
    </row>
    <row r="105" spans="1:20">
      <c r="A105" s="46">
        <f>IF(B105="","","MSG-"&amp;TEXT(ROW()-4,"0000"))</f>
        <v>0</v>
      </c>
      <c r="Q105" s="31">
        <f>IF(AND(K105="Yes",M105&lt;&gt;"Resolved",B105&lt;&gt;""),TODAY()-B105,"")</f>
        <v>0</v>
      </c>
      <c r="S105" s="28">
        <f>IF(B105="","",TEXT(B105,"yyyy-mm"))</f>
        <v>0</v>
      </c>
      <c r="T105" s="49">
        <f>IF(B105="","",IF(AND(K105="Yes",M105&lt;&gt;"Resolved"),"Action - unresolved complaint",IF(AND(O105&lt;&gt;"",O105&lt;TODAY(),P105&lt;&gt;"Yes"),"Overdue follow-up",IF(AND(O105&lt;&gt;"",O105-TODAY()&lt;=ReminderLeadDays,P105&lt;&gt;"Yes"),"Follow-up due soon","OK"))))</f>
        <v>0</v>
      </c>
    </row>
    <row r="106" spans="1:20">
      <c r="A106" s="46">
        <f>IF(B106="","","MSG-"&amp;TEXT(ROW()-4,"0000"))</f>
        <v>0</v>
      </c>
      <c r="Q106" s="31">
        <f>IF(AND(K106="Yes",M106&lt;&gt;"Resolved",B106&lt;&gt;""),TODAY()-B106,"")</f>
        <v>0</v>
      </c>
      <c r="S106" s="28">
        <f>IF(B106="","",TEXT(B106,"yyyy-mm"))</f>
        <v>0</v>
      </c>
      <c r="T106" s="49">
        <f>IF(B106="","",IF(AND(K106="Yes",M106&lt;&gt;"Resolved"),"Action - unresolved complaint",IF(AND(O106&lt;&gt;"",O106&lt;TODAY(),P106&lt;&gt;"Yes"),"Overdue follow-up",IF(AND(O106&lt;&gt;"",O106-TODAY()&lt;=ReminderLeadDays,P106&lt;&gt;"Yes"),"Follow-up due soon","OK"))))</f>
        <v>0</v>
      </c>
    </row>
    <row r="107" spans="1:20">
      <c r="A107" s="46">
        <f>IF(B107="","","MSG-"&amp;TEXT(ROW()-4,"0000"))</f>
        <v>0</v>
      </c>
      <c r="Q107" s="31">
        <f>IF(AND(K107="Yes",M107&lt;&gt;"Resolved",B107&lt;&gt;""),TODAY()-B107,"")</f>
        <v>0</v>
      </c>
      <c r="S107" s="28">
        <f>IF(B107="","",TEXT(B107,"yyyy-mm"))</f>
        <v>0</v>
      </c>
      <c r="T107" s="49">
        <f>IF(B107="","",IF(AND(K107="Yes",M107&lt;&gt;"Resolved"),"Action - unresolved complaint",IF(AND(O107&lt;&gt;"",O107&lt;TODAY(),P107&lt;&gt;"Yes"),"Overdue follow-up",IF(AND(O107&lt;&gt;"",O107-TODAY()&lt;=ReminderLeadDays,P107&lt;&gt;"Yes"),"Follow-up due soon","OK"))))</f>
        <v>0</v>
      </c>
    </row>
    <row r="108" spans="1:20">
      <c r="A108" s="46">
        <f>IF(B108="","","MSG-"&amp;TEXT(ROW()-4,"0000"))</f>
        <v>0</v>
      </c>
      <c r="Q108" s="31">
        <f>IF(AND(K108="Yes",M108&lt;&gt;"Resolved",B108&lt;&gt;""),TODAY()-B108,"")</f>
        <v>0</v>
      </c>
      <c r="S108" s="28">
        <f>IF(B108="","",TEXT(B108,"yyyy-mm"))</f>
        <v>0</v>
      </c>
      <c r="T108" s="49">
        <f>IF(B108="","",IF(AND(K108="Yes",M108&lt;&gt;"Resolved"),"Action - unresolved complaint",IF(AND(O108&lt;&gt;"",O108&lt;TODAY(),P108&lt;&gt;"Yes"),"Overdue follow-up",IF(AND(O108&lt;&gt;"",O108-TODAY()&lt;=ReminderLeadDays,P108&lt;&gt;"Yes"),"Follow-up due soon","OK"))))</f>
        <v>0</v>
      </c>
    </row>
    <row r="109" spans="1:20">
      <c r="A109" s="46">
        <f>IF(B109="","","MSG-"&amp;TEXT(ROW()-4,"0000"))</f>
        <v>0</v>
      </c>
      <c r="Q109" s="31">
        <f>IF(AND(K109="Yes",M109&lt;&gt;"Resolved",B109&lt;&gt;""),TODAY()-B109,"")</f>
        <v>0</v>
      </c>
      <c r="S109" s="28">
        <f>IF(B109="","",TEXT(B109,"yyyy-mm"))</f>
        <v>0</v>
      </c>
      <c r="T109" s="49">
        <f>IF(B109="","",IF(AND(K109="Yes",M109&lt;&gt;"Resolved"),"Action - unresolved complaint",IF(AND(O109&lt;&gt;"",O109&lt;TODAY(),P109&lt;&gt;"Yes"),"Overdue follow-up",IF(AND(O109&lt;&gt;"",O109-TODAY()&lt;=ReminderLeadDays,P109&lt;&gt;"Yes"),"Follow-up due soon","OK"))))</f>
        <v>0</v>
      </c>
    </row>
    <row r="110" spans="1:20">
      <c r="A110" s="46">
        <f>IF(B110="","","MSG-"&amp;TEXT(ROW()-4,"0000"))</f>
        <v>0</v>
      </c>
      <c r="Q110" s="31">
        <f>IF(AND(K110="Yes",M110&lt;&gt;"Resolved",B110&lt;&gt;""),TODAY()-B110,"")</f>
        <v>0</v>
      </c>
      <c r="S110" s="28">
        <f>IF(B110="","",TEXT(B110,"yyyy-mm"))</f>
        <v>0</v>
      </c>
      <c r="T110" s="49">
        <f>IF(B110="","",IF(AND(K110="Yes",M110&lt;&gt;"Resolved"),"Action - unresolved complaint",IF(AND(O110&lt;&gt;"",O110&lt;TODAY(),P110&lt;&gt;"Yes"),"Overdue follow-up",IF(AND(O110&lt;&gt;"",O110-TODAY()&lt;=ReminderLeadDays,P110&lt;&gt;"Yes"),"Follow-up due soon","OK"))))</f>
        <v>0</v>
      </c>
    </row>
    <row r="111" spans="1:20">
      <c r="A111" s="46">
        <f>IF(B111="","","MSG-"&amp;TEXT(ROW()-4,"0000"))</f>
        <v>0</v>
      </c>
      <c r="Q111" s="31">
        <f>IF(AND(K111="Yes",M111&lt;&gt;"Resolved",B111&lt;&gt;""),TODAY()-B111,"")</f>
        <v>0</v>
      </c>
      <c r="S111" s="28">
        <f>IF(B111="","",TEXT(B111,"yyyy-mm"))</f>
        <v>0</v>
      </c>
      <c r="T111" s="49">
        <f>IF(B111="","",IF(AND(K111="Yes",M111&lt;&gt;"Resolved"),"Action - unresolved complaint",IF(AND(O111&lt;&gt;"",O111&lt;TODAY(),P111&lt;&gt;"Yes"),"Overdue follow-up",IF(AND(O111&lt;&gt;"",O111-TODAY()&lt;=ReminderLeadDays,P111&lt;&gt;"Yes"),"Follow-up due soon","OK"))))</f>
        <v>0</v>
      </c>
    </row>
    <row r="112" spans="1:20">
      <c r="A112" s="46">
        <f>IF(B112="","","MSG-"&amp;TEXT(ROW()-4,"0000"))</f>
        <v>0</v>
      </c>
      <c r="Q112" s="31">
        <f>IF(AND(K112="Yes",M112&lt;&gt;"Resolved",B112&lt;&gt;""),TODAY()-B112,"")</f>
        <v>0</v>
      </c>
      <c r="S112" s="28">
        <f>IF(B112="","",TEXT(B112,"yyyy-mm"))</f>
        <v>0</v>
      </c>
      <c r="T112" s="49">
        <f>IF(B112="","",IF(AND(K112="Yes",M112&lt;&gt;"Resolved"),"Action - unresolved complaint",IF(AND(O112&lt;&gt;"",O112&lt;TODAY(),P112&lt;&gt;"Yes"),"Overdue follow-up",IF(AND(O112&lt;&gt;"",O112-TODAY()&lt;=ReminderLeadDays,P112&lt;&gt;"Yes"),"Follow-up due soon","OK"))))</f>
        <v>0</v>
      </c>
    </row>
    <row r="113" spans="1:20">
      <c r="A113" s="46">
        <f>IF(B113="","","MSG-"&amp;TEXT(ROW()-4,"0000"))</f>
        <v>0</v>
      </c>
      <c r="Q113" s="31">
        <f>IF(AND(K113="Yes",M113&lt;&gt;"Resolved",B113&lt;&gt;""),TODAY()-B113,"")</f>
        <v>0</v>
      </c>
      <c r="S113" s="28">
        <f>IF(B113="","",TEXT(B113,"yyyy-mm"))</f>
        <v>0</v>
      </c>
      <c r="T113" s="49">
        <f>IF(B113="","",IF(AND(K113="Yes",M113&lt;&gt;"Resolved"),"Action - unresolved complaint",IF(AND(O113&lt;&gt;"",O113&lt;TODAY(),P113&lt;&gt;"Yes"),"Overdue follow-up",IF(AND(O113&lt;&gt;"",O113-TODAY()&lt;=ReminderLeadDays,P113&lt;&gt;"Yes"),"Follow-up due soon","OK"))))</f>
        <v>0</v>
      </c>
    </row>
    <row r="114" spans="1:20">
      <c r="A114" s="46">
        <f>IF(B114="","","MSG-"&amp;TEXT(ROW()-4,"0000"))</f>
        <v>0</v>
      </c>
      <c r="Q114" s="31">
        <f>IF(AND(K114="Yes",M114&lt;&gt;"Resolved",B114&lt;&gt;""),TODAY()-B114,"")</f>
        <v>0</v>
      </c>
      <c r="S114" s="28">
        <f>IF(B114="","",TEXT(B114,"yyyy-mm"))</f>
        <v>0</v>
      </c>
      <c r="T114" s="49">
        <f>IF(B114="","",IF(AND(K114="Yes",M114&lt;&gt;"Resolved"),"Action - unresolved complaint",IF(AND(O114&lt;&gt;"",O114&lt;TODAY(),P114&lt;&gt;"Yes"),"Overdue follow-up",IF(AND(O114&lt;&gt;"",O114-TODAY()&lt;=ReminderLeadDays,P114&lt;&gt;"Yes"),"Follow-up due soon","OK"))))</f>
        <v>0</v>
      </c>
    </row>
    <row r="115" spans="1:20">
      <c r="A115" s="46">
        <f>IF(B115="","","MSG-"&amp;TEXT(ROW()-4,"0000"))</f>
        <v>0</v>
      </c>
      <c r="Q115" s="31">
        <f>IF(AND(K115="Yes",M115&lt;&gt;"Resolved",B115&lt;&gt;""),TODAY()-B115,"")</f>
        <v>0</v>
      </c>
      <c r="S115" s="28">
        <f>IF(B115="","",TEXT(B115,"yyyy-mm"))</f>
        <v>0</v>
      </c>
      <c r="T115" s="49">
        <f>IF(B115="","",IF(AND(K115="Yes",M115&lt;&gt;"Resolved"),"Action - unresolved complaint",IF(AND(O115&lt;&gt;"",O115&lt;TODAY(),P115&lt;&gt;"Yes"),"Overdue follow-up",IF(AND(O115&lt;&gt;"",O115-TODAY()&lt;=ReminderLeadDays,P115&lt;&gt;"Yes"),"Follow-up due soon","OK"))))</f>
        <v>0</v>
      </c>
    </row>
    <row r="116" spans="1:20">
      <c r="A116" s="46">
        <f>IF(B116="","","MSG-"&amp;TEXT(ROW()-4,"0000"))</f>
        <v>0</v>
      </c>
      <c r="Q116" s="31">
        <f>IF(AND(K116="Yes",M116&lt;&gt;"Resolved",B116&lt;&gt;""),TODAY()-B116,"")</f>
        <v>0</v>
      </c>
      <c r="S116" s="28">
        <f>IF(B116="","",TEXT(B116,"yyyy-mm"))</f>
        <v>0</v>
      </c>
      <c r="T116" s="49">
        <f>IF(B116="","",IF(AND(K116="Yes",M116&lt;&gt;"Resolved"),"Action - unresolved complaint",IF(AND(O116&lt;&gt;"",O116&lt;TODAY(),P116&lt;&gt;"Yes"),"Overdue follow-up",IF(AND(O116&lt;&gt;"",O116-TODAY()&lt;=ReminderLeadDays,P116&lt;&gt;"Yes"),"Follow-up due soon","OK"))))</f>
        <v>0</v>
      </c>
    </row>
    <row r="117" spans="1:20">
      <c r="A117" s="46">
        <f>IF(B117="","","MSG-"&amp;TEXT(ROW()-4,"0000"))</f>
        <v>0</v>
      </c>
      <c r="Q117" s="31">
        <f>IF(AND(K117="Yes",M117&lt;&gt;"Resolved",B117&lt;&gt;""),TODAY()-B117,"")</f>
        <v>0</v>
      </c>
      <c r="S117" s="28">
        <f>IF(B117="","",TEXT(B117,"yyyy-mm"))</f>
        <v>0</v>
      </c>
      <c r="T117" s="49">
        <f>IF(B117="","",IF(AND(K117="Yes",M117&lt;&gt;"Resolved"),"Action - unresolved complaint",IF(AND(O117&lt;&gt;"",O117&lt;TODAY(),P117&lt;&gt;"Yes"),"Overdue follow-up",IF(AND(O117&lt;&gt;"",O117-TODAY()&lt;=ReminderLeadDays,P117&lt;&gt;"Yes"),"Follow-up due soon","OK"))))</f>
        <v>0</v>
      </c>
    </row>
    <row r="118" spans="1:20">
      <c r="A118" s="46">
        <f>IF(B118="","","MSG-"&amp;TEXT(ROW()-4,"0000"))</f>
        <v>0</v>
      </c>
      <c r="Q118" s="31">
        <f>IF(AND(K118="Yes",M118&lt;&gt;"Resolved",B118&lt;&gt;""),TODAY()-B118,"")</f>
        <v>0</v>
      </c>
      <c r="S118" s="28">
        <f>IF(B118="","",TEXT(B118,"yyyy-mm"))</f>
        <v>0</v>
      </c>
      <c r="T118" s="49">
        <f>IF(B118="","",IF(AND(K118="Yes",M118&lt;&gt;"Resolved"),"Action - unresolved complaint",IF(AND(O118&lt;&gt;"",O118&lt;TODAY(),P118&lt;&gt;"Yes"),"Overdue follow-up",IF(AND(O118&lt;&gt;"",O118-TODAY()&lt;=ReminderLeadDays,P118&lt;&gt;"Yes"),"Follow-up due soon","OK"))))</f>
        <v>0</v>
      </c>
    </row>
    <row r="119" spans="1:20">
      <c r="A119" s="46">
        <f>IF(B119="","","MSG-"&amp;TEXT(ROW()-4,"0000"))</f>
        <v>0</v>
      </c>
      <c r="Q119" s="31">
        <f>IF(AND(K119="Yes",M119&lt;&gt;"Resolved",B119&lt;&gt;""),TODAY()-B119,"")</f>
        <v>0</v>
      </c>
      <c r="S119" s="28">
        <f>IF(B119="","",TEXT(B119,"yyyy-mm"))</f>
        <v>0</v>
      </c>
      <c r="T119" s="49">
        <f>IF(B119="","",IF(AND(K119="Yes",M119&lt;&gt;"Resolved"),"Action - unresolved complaint",IF(AND(O119&lt;&gt;"",O119&lt;TODAY(),P119&lt;&gt;"Yes"),"Overdue follow-up",IF(AND(O119&lt;&gt;"",O119-TODAY()&lt;=ReminderLeadDays,P119&lt;&gt;"Yes"),"Follow-up due soon","OK"))))</f>
        <v>0</v>
      </c>
    </row>
    <row r="120" spans="1:20">
      <c r="A120" s="46">
        <f>IF(B120="","","MSG-"&amp;TEXT(ROW()-4,"0000"))</f>
        <v>0</v>
      </c>
      <c r="Q120" s="31">
        <f>IF(AND(K120="Yes",M120&lt;&gt;"Resolved",B120&lt;&gt;""),TODAY()-B120,"")</f>
        <v>0</v>
      </c>
      <c r="S120" s="28">
        <f>IF(B120="","",TEXT(B120,"yyyy-mm"))</f>
        <v>0</v>
      </c>
      <c r="T120" s="49">
        <f>IF(B120="","",IF(AND(K120="Yes",M120&lt;&gt;"Resolved"),"Action - unresolved complaint",IF(AND(O120&lt;&gt;"",O120&lt;TODAY(),P120&lt;&gt;"Yes"),"Overdue follow-up",IF(AND(O120&lt;&gt;"",O120-TODAY()&lt;=ReminderLeadDays,P120&lt;&gt;"Yes"),"Follow-up due soon","OK"))))</f>
        <v>0</v>
      </c>
    </row>
    <row r="121" spans="1:20">
      <c r="A121" s="46">
        <f>IF(B121="","","MSG-"&amp;TEXT(ROW()-4,"0000"))</f>
        <v>0</v>
      </c>
      <c r="Q121" s="31">
        <f>IF(AND(K121="Yes",M121&lt;&gt;"Resolved",B121&lt;&gt;""),TODAY()-B121,"")</f>
        <v>0</v>
      </c>
      <c r="S121" s="28">
        <f>IF(B121="","",TEXT(B121,"yyyy-mm"))</f>
        <v>0</v>
      </c>
      <c r="T121" s="49">
        <f>IF(B121="","",IF(AND(K121="Yes",M121&lt;&gt;"Resolved"),"Action - unresolved complaint",IF(AND(O121&lt;&gt;"",O121&lt;TODAY(),P121&lt;&gt;"Yes"),"Overdue follow-up",IF(AND(O121&lt;&gt;"",O121-TODAY()&lt;=ReminderLeadDays,P121&lt;&gt;"Yes"),"Follow-up due soon","OK"))))</f>
        <v>0</v>
      </c>
    </row>
    <row r="122" spans="1:20">
      <c r="A122" s="46">
        <f>IF(B122="","","MSG-"&amp;TEXT(ROW()-4,"0000"))</f>
        <v>0</v>
      </c>
      <c r="Q122" s="31">
        <f>IF(AND(K122="Yes",M122&lt;&gt;"Resolved",B122&lt;&gt;""),TODAY()-B122,"")</f>
        <v>0</v>
      </c>
      <c r="S122" s="28">
        <f>IF(B122="","",TEXT(B122,"yyyy-mm"))</f>
        <v>0</v>
      </c>
      <c r="T122" s="49">
        <f>IF(B122="","",IF(AND(K122="Yes",M122&lt;&gt;"Resolved"),"Action - unresolved complaint",IF(AND(O122&lt;&gt;"",O122&lt;TODAY(),P122&lt;&gt;"Yes"),"Overdue follow-up",IF(AND(O122&lt;&gt;"",O122-TODAY()&lt;=ReminderLeadDays,P122&lt;&gt;"Yes"),"Follow-up due soon","OK"))))</f>
        <v>0</v>
      </c>
    </row>
    <row r="123" spans="1:20">
      <c r="A123" s="46">
        <f>IF(B123="","","MSG-"&amp;TEXT(ROW()-4,"0000"))</f>
        <v>0</v>
      </c>
      <c r="Q123" s="31">
        <f>IF(AND(K123="Yes",M123&lt;&gt;"Resolved",B123&lt;&gt;""),TODAY()-B123,"")</f>
        <v>0</v>
      </c>
      <c r="S123" s="28">
        <f>IF(B123="","",TEXT(B123,"yyyy-mm"))</f>
        <v>0</v>
      </c>
      <c r="T123" s="49">
        <f>IF(B123="","",IF(AND(K123="Yes",M123&lt;&gt;"Resolved"),"Action - unresolved complaint",IF(AND(O123&lt;&gt;"",O123&lt;TODAY(),P123&lt;&gt;"Yes"),"Overdue follow-up",IF(AND(O123&lt;&gt;"",O123-TODAY()&lt;=ReminderLeadDays,P123&lt;&gt;"Yes"),"Follow-up due soon","OK"))))</f>
        <v>0</v>
      </c>
    </row>
    <row r="124" spans="1:20">
      <c r="A124" s="46">
        <f>IF(B124="","","MSG-"&amp;TEXT(ROW()-4,"0000"))</f>
        <v>0</v>
      </c>
      <c r="Q124" s="31">
        <f>IF(AND(K124="Yes",M124&lt;&gt;"Resolved",B124&lt;&gt;""),TODAY()-B124,"")</f>
        <v>0</v>
      </c>
      <c r="S124" s="28">
        <f>IF(B124="","",TEXT(B124,"yyyy-mm"))</f>
        <v>0</v>
      </c>
      <c r="T124" s="49">
        <f>IF(B124="","",IF(AND(K124="Yes",M124&lt;&gt;"Resolved"),"Action - unresolved complaint",IF(AND(O124&lt;&gt;"",O124&lt;TODAY(),P124&lt;&gt;"Yes"),"Overdue follow-up",IF(AND(O124&lt;&gt;"",O124-TODAY()&lt;=ReminderLeadDays,P124&lt;&gt;"Yes"),"Follow-up due soon","OK"))))</f>
        <v>0</v>
      </c>
    </row>
    <row r="125" spans="1:20">
      <c r="A125" s="46">
        <f>IF(B125="","","MSG-"&amp;TEXT(ROW()-4,"0000"))</f>
        <v>0</v>
      </c>
      <c r="Q125" s="31">
        <f>IF(AND(K125="Yes",M125&lt;&gt;"Resolved",B125&lt;&gt;""),TODAY()-B125,"")</f>
        <v>0</v>
      </c>
      <c r="S125" s="28">
        <f>IF(B125="","",TEXT(B125,"yyyy-mm"))</f>
        <v>0</v>
      </c>
      <c r="T125" s="49">
        <f>IF(B125="","",IF(AND(K125="Yes",M125&lt;&gt;"Resolved"),"Action - unresolved complaint",IF(AND(O125&lt;&gt;"",O125&lt;TODAY(),P125&lt;&gt;"Yes"),"Overdue follow-up",IF(AND(O125&lt;&gt;"",O125-TODAY()&lt;=ReminderLeadDays,P125&lt;&gt;"Yes"),"Follow-up due soon","OK"))))</f>
        <v>0</v>
      </c>
    </row>
    <row r="126" spans="1:20">
      <c r="A126" s="46">
        <f>IF(B126="","","MSG-"&amp;TEXT(ROW()-4,"0000"))</f>
        <v>0</v>
      </c>
      <c r="Q126" s="31">
        <f>IF(AND(K126="Yes",M126&lt;&gt;"Resolved",B126&lt;&gt;""),TODAY()-B126,"")</f>
        <v>0</v>
      </c>
      <c r="S126" s="28">
        <f>IF(B126="","",TEXT(B126,"yyyy-mm"))</f>
        <v>0</v>
      </c>
      <c r="T126" s="49">
        <f>IF(B126="","",IF(AND(K126="Yes",M126&lt;&gt;"Resolved"),"Action - unresolved complaint",IF(AND(O126&lt;&gt;"",O126&lt;TODAY(),P126&lt;&gt;"Yes"),"Overdue follow-up",IF(AND(O126&lt;&gt;"",O126-TODAY()&lt;=ReminderLeadDays,P126&lt;&gt;"Yes"),"Follow-up due soon","OK"))))</f>
        <v>0</v>
      </c>
    </row>
    <row r="127" spans="1:20">
      <c r="A127" s="46">
        <f>IF(B127="","","MSG-"&amp;TEXT(ROW()-4,"0000"))</f>
        <v>0</v>
      </c>
      <c r="Q127" s="31">
        <f>IF(AND(K127="Yes",M127&lt;&gt;"Resolved",B127&lt;&gt;""),TODAY()-B127,"")</f>
        <v>0</v>
      </c>
      <c r="S127" s="28">
        <f>IF(B127="","",TEXT(B127,"yyyy-mm"))</f>
        <v>0</v>
      </c>
      <c r="T127" s="49">
        <f>IF(B127="","",IF(AND(K127="Yes",M127&lt;&gt;"Resolved"),"Action - unresolved complaint",IF(AND(O127&lt;&gt;"",O127&lt;TODAY(),P127&lt;&gt;"Yes"),"Overdue follow-up",IF(AND(O127&lt;&gt;"",O127-TODAY()&lt;=ReminderLeadDays,P127&lt;&gt;"Yes"),"Follow-up due soon","OK"))))</f>
        <v>0</v>
      </c>
    </row>
    <row r="128" spans="1:20">
      <c r="A128" s="46">
        <f>IF(B128="","","MSG-"&amp;TEXT(ROW()-4,"0000"))</f>
        <v>0</v>
      </c>
      <c r="Q128" s="31">
        <f>IF(AND(K128="Yes",M128&lt;&gt;"Resolved",B128&lt;&gt;""),TODAY()-B128,"")</f>
        <v>0</v>
      </c>
      <c r="S128" s="28">
        <f>IF(B128="","",TEXT(B128,"yyyy-mm"))</f>
        <v>0</v>
      </c>
      <c r="T128" s="49">
        <f>IF(B128="","",IF(AND(K128="Yes",M128&lt;&gt;"Resolved"),"Action - unresolved complaint",IF(AND(O128&lt;&gt;"",O128&lt;TODAY(),P128&lt;&gt;"Yes"),"Overdue follow-up",IF(AND(O128&lt;&gt;"",O128-TODAY()&lt;=ReminderLeadDays,P128&lt;&gt;"Yes"),"Follow-up due soon","OK"))))</f>
        <v>0</v>
      </c>
    </row>
    <row r="129" spans="1:20">
      <c r="A129" s="46">
        <f>IF(B129="","","MSG-"&amp;TEXT(ROW()-4,"0000"))</f>
        <v>0</v>
      </c>
      <c r="Q129" s="31">
        <f>IF(AND(K129="Yes",M129&lt;&gt;"Resolved",B129&lt;&gt;""),TODAY()-B129,"")</f>
        <v>0</v>
      </c>
      <c r="S129" s="28">
        <f>IF(B129="","",TEXT(B129,"yyyy-mm"))</f>
        <v>0</v>
      </c>
      <c r="T129" s="49">
        <f>IF(B129="","",IF(AND(K129="Yes",M129&lt;&gt;"Resolved"),"Action - unresolved complaint",IF(AND(O129&lt;&gt;"",O129&lt;TODAY(),P129&lt;&gt;"Yes"),"Overdue follow-up",IF(AND(O129&lt;&gt;"",O129-TODAY()&lt;=ReminderLeadDays,P129&lt;&gt;"Yes"),"Follow-up due soon","OK"))))</f>
        <v>0</v>
      </c>
    </row>
    <row r="130" spans="1:20">
      <c r="A130" s="46">
        <f>IF(B130="","","MSG-"&amp;TEXT(ROW()-4,"0000"))</f>
        <v>0</v>
      </c>
      <c r="Q130" s="31">
        <f>IF(AND(K130="Yes",M130&lt;&gt;"Resolved",B130&lt;&gt;""),TODAY()-B130,"")</f>
        <v>0</v>
      </c>
      <c r="S130" s="28">
        <f>IF(B130="","",TEXT(B130,"yyyy-mm"))</f>
        <v>0</v>
      </c>
      <c r="T130" s="49">
        <f>IF(B130="","",IF(AND(K130="Yes",M130&lt;&gt;"Resolved"),"Action - unresolved complaint",IF(AND(O130&lt;&gt;"",O130&lt;TODAY(),P130&lt;&gt;"Yes"),"Overdue follow-up",IF(AND(O130&lt;&gt;"",O130-TODAY()&lt;=ReminderLeadDays,P130&lt;&gt;"Yes"),"Follow-up due soon","OK"))))</f>
        <v>0</v>
      </c>
    </row>
    <row r="131" spans="1:20">
      <c r="A131" s="46">
        <f>IF(B131="","","MSG-"&amp;TEXT(ROW()-4,"0000"))</f>
        <v>0</v>
      </c>
      <c r="Q131" s="31">
        <f>IF(AND(K131="Yes",M131&lt;&gt;"Resolved",B131&lt;&gt;""),TODAY()-B131,"")</f>
        <v>0</v>
      </c>
      <c r="S131" s="28">
        <f>IF(B131="","",TEXT(B131,"yyyy-mm"))</f>
        <v>0</v>
      </c>
      <c r="T131" s="49">
        <f>IF(B131="","",IF(AND(K131="Yes",M131&lt;&gt;"Resolved"),"Action - unresolved complaint",IF(AND(O131&lt;&gt;"",O131&lt;TODAY(),P131&lt;&gt;"Yes"),"Overdue follow-up",IF(AND(O131&lt;&gt;"",O131-TODAY()&lt;=ReminderLeadDays,P131&lt;&gt;"Yes"),"Follow-up due soon","OK"))))</f>
        <v>0</v>
      </c>
    </row>
    <row r="132" spans="1:20">
      <c r="A132" s="46">
        <f>IF(B132="","","MSG-"&amp;TEXT(ROW()-4,"0000"))</f>
        <v>0</v>
      </c>
      <c r="Q132" s="31">
        <f>IF(AND(K132="Yes",M132&lt;&gt;"Resolved",B132&lt;&gt;""),TODAY()-B132,"")</f>
        <v>0</v>
      </c>
      <c r="S132" s="28">
        <f>IF(B132="","",TEXT(B132,"yyyy-mm"))</f>
        <v>0</v>
      </c>
      <c r="T132" s="49">
        <f>IF(B132="","",IF(AND(K132="Yes",M132&lt;&gt;"Resolved"),"Action - unresolved complaint",IF(AND(O132&lt;&gt;"",O132&lt;TODAY(),P132&lt;&gt;"Yes"),"Overdue follow-up",IF(AND(O132&lt;&gt;"",O132-TODAY()&lt;=ReminderLeadDays,P132&lt;&gt;"Yes"),"Follow-up due soon","OK"))))</f>
        <v>0</v>
      </c>
    </row>
    <row r="133" spans="1:20">
      <c r="A133" s="46">
        <f>IF(B133="","","MSG-"&amp;TEXT(ROW()-4,"0000"))</f>
        <v>0</v>
      </c>
      <c r="Q133" s="31">
        <f>IF(AND(K133="Yes",M133&lt;&gt;"Resolved",B133&lt;&gt;""),TODAY()-B133,"")</f>
        <v>0</v>
      </c>
      <c r="S133" s="28">
        <f>IF(B133="","",TEXT(B133,"yyyy-mm"))</f>
        <v>0</v>
      </c>
      <c r="T133" s="49">
        <f>IF(B133="","",IF(AND(K133="Yes",M133&lt;&gt;"Resolved"),"Action - unresolved complaint",IF(AND(O133&lt;&gt;"",O133&lt;TODAY(),P133&lt;&gt;"Yes"),"Overdue follow-up",IF(AND(O133&lt;&gt;"",O133-TODAY()&lt;=ReminderLeadDays,P133&lt;&gt;"Yes"),"Follow-up due soon","OK"))))</f>
        <v>0</v>
      </c>
    </row>
    <row r="134" spans="1:20">
      <c r="A134" s="46">
        <f>IF(B134="","","MSG-"&amp;TEXT(ROW()-4,"0000"))</f>
        <v>0</v>
      </c>
      <c r="Q134" s="31">
        <f>IF(AND(K134="Yes",M134&lt;&gt;"Resolved",B134&lt;&gt;""),TODAY()-B134,"")</f>
        <v>0</v>
      </c>
      <c r="S134" s="28">
        <f>IF(B134="","",TEXT(B134,"yyyy-mm"))</f>
        <v>0</v>
      </c>
      <c r="T134" s="49">
        <f>IF(B134="","",IF(AND(K134="Yes",M134&lt;&gt;"Resolved"),"Action - unresolved complaint",IF(AND(O134&lt;&gt;"",O134&lt;TODAY(),P134&lt;&gt;"Yes"),"Overdue follow-up",IF(AND(O134&lt;&gt;"",O134-TODAY()&lt;=ReminderLeadDays,P134&lt;&gt;"Yes"),"Follow-up due soon","OK"))))</f>
        <v>0</v>
      </c>
    </row>
    <row r="135" spans="1:20">
      <c r="A135" s="46">
        <f>IF(B135="","","MSG-"&amp;TEXT(ROW()-4,"0000"))</f>
        <v>0</v>
      </c>
      <c r="Q135" s="31">
        <f>IF(AND(K135="Yes",M135&lt;&gt;"Resolved",B135&lt;&gt;""),TODAY()-B135,"")</f>
        <v>0</v>
      </c>
      <c r="S135" s="28">
        <f>IF(B135="","",TEXT(B135,"yyyy-mm"))</f>
        <v>0</v>
      </c>
      <c r="T135" s="49">
        <f>IF(B135="","",IF(AND(K135="Yes",M135&lt;&gt;"Resolved"),"Action - unresolved complaint",IF(AND(O135&lt;&gt;"",O135&lt;TODAY(),P135&lt;&gt;"Yes"),"Overdue follow-up",IF(AND(O135&lt;&gt;"",O135-TODAY()&lt;=ReminderLeadDays,P135&lt;&gt;"Yes"),"Follow-up due soon","OK"))))</f>
        <v>0</v>
      </c>
    </row>
    <row r="136" spans="1:20">
      <c r="A136" s="46">
        <f>IF(B136="","","MSG-"&amp;TEXT(ROW()-4,"0000"))</f>
        <v>0</v>
      </c>
      <c r="Q136" s="31">
        <f>IF(AND(K136="Yes",M136&lt;&gt;"Resolved",B136&lt;&gt;""),TODAY()-B136,"")</f>
        <v>0</v>
      </c>
      <c r="S136" s="28">
        <f>IF(B136="","",TEXT(B136,"yyyy-mm"))</f>
        <v>0</v>
      </c>
      <c r="T136" s="49">
        <f>IF(B136="","",IF(AND(K136="Yes",M136&lt;&gt;"Resolved"),"Action - unresolved complaint",IF(AND(O136&lt;&gt;"",O136&lt;TODAY(),P136&lt;&gt;"Yes"),"Overdue follow-up",IF(AND(O136&lt;&gt;"",O136-TODAY()&lt;=ReminderLeadDays,P136&lt;&gt;"Yes"),"Follow-up due soon","OK"))))</f>
        <v>0</v>
      </c>
    </row>
    <row r="137" spans="1:20">
      <c r="A137" s="46">
        <f>IF(B137="","","MSG-"&amp;TEXT(ROW()-4,"0000"))</f>
        <v>0</v>
      </c>
      <c r="Q137" s="31">
        <f>IF(AND(K137="Yes",M137&lt;&gt;"Resolved",B137&lt;&gt;""),TODAY()-B137,"")</f>
        <v>0</v>
      </c>
      <c r="S137" s="28">
        <f>IF(B137="","",TEXT(B137,"yyyy-mm"))</f>
        <v>0</v>
      </c>
      <c r="T137" s="49">
        <f>IF(B137="","",IF(AND(K137="Yes",M137&lt;&gt;"Resolved"),"Action - unresolved complaint",IF(AND(O137&lt;&gt;"",O137&lt;TODAY(),P137&lt;&gt;"Yes"),"Overdue follow-up",IF(AND(O137&lt;&gt;"",O137-TODAY()&lt;=ReminderLeadDays,P137&lt;&gt;"Yes"),"Follow-up due soon","OK"))))</f>
        <v>0</v>
      </c>
    </row>
    <row r="138" spans="1:20">
      <c r="A138" s="46">
        <f>IF(B138="","","MSG-"&amp;TEXT(ROW()-4,"0000"))</f>
        <v>0</v>
      </c>
      <c r="Q138" s="31">
        <f>IF(AND(K138="Yes",M138&lt;&gt;"Resolved",B138&lt;&gt;""),TODAY()-B138,"")</f>
        <v>0</v>
      </c>
      <c r="S138" s="28">
        <f>IF(B138="","",TEXT(B138,"yyyy-mm"))</f>
        <v>0</v>
      </c>
      <c r="T138" s="49">
        <f>IF(B138="","",IF(AND(K138="Yes",M138&lt;&gt;"Resolved"),"Action - unresolved complaint",IF(AND(O138&lt;&gt;"",O138&lt;TODAY(),P138&lt;&gt;"Yes"),"Overdue follow-up",IF(AND(O138&lt;&gt;"",O138-TODAY()&lt;=ReminderLeadDays,P138&lt;&gt;"Yes"),"Follow-up due soon","OK"))))</f>
        <v>0</v>
      </c>
    </row>
    <row r="139" spans="1:20">
      <c r="A139" s="46">
        <f>IF(B139="","","MSG-"&amp;TEXT(ROW()-4,"0000"))</f>
        <v>0</v>
      </c>
      <c r="Q139" s="31">
        <f>IF(AND(K139="Yes",M139&lt;&gt;"Resolved",B139&lt;&gt;""),TODAY()-B139,"")</f>
        <v>0</v>
      </c>
      <c r="S139" s="28">
        <f>IF(B139="","",TEXT(B139,"yyyy-mm"))</f>
        <v>0</v>
      </c>
      <c r="T139" s="49">
        <f>IF(B139="","",IF(AND(K139="Yes",M139&lt;&gt;"Resolved"),"Action - unresolved complaint",IF(AND(O139&lt;&gt;"",O139&lt;TODAY(),P139&lt;&gt;"Yes"),"Overdue follow-up",IF(AND(O139&lt;&gt;"",O139-TODAY()&lt;=ReminderLeadDays,P139&lt;&gt;"Yes"),"Follow-up due soon","OK"))))</f>
        <v>0</v>
      </c>
    </row>
    <row r="140" spans="1:20">
      <c r="A140" s="46">
        <f>IF(B140="","","MSG-"&amp;TEXT(ROW()-4,"0000"))</f>
        <v>0</v>
      </c>
      <c r="Q140" s="31">
        <f>IF(AND(K140="Yes",M140&lt;&gt;"Resolved",B140&lt;&gt;""),TODAY()-B140,"")</f>
        <v>0</v>
      </c>
      <c r="S140" s="28">
        <f>IF(B140="","",TEXT(B140,"yyyy-mm"))</f>
        <v>0</v>
      </c>
      <c r="T140" s="49">
        <f>IF(B140="","",IF(AND(K140="Yes",M140&lt;&gt;"Resolved"),"Action - unresolved complaint",IF(AND(O140&lt;&gt;"",O140&lt;TODAY(),P140&lt;&gt;"Yes"),"Overdue follow-up",IF(AND(O140&lt;&gt;"",O140-TODAY()&lt;=ReminderLeadDays,P140&lt;&gt;"Yes"),"Follow-up due soon","OK"))))</f>
        <v>0</v>
      </c>
    </row>
    <row r="141" spans="1:20">
      <c r="A141" s="46">
        <f>IF(B141="","","MSG-"&amp;TEXT(ROW()-4,"0000"))</f>
        <v>0</v>
      </c>
      <c r="Q141" s="31">
        <f>IF(AND(K141="Yes",M141&lt;&gt;"Resolved",B141&lt;&gt;""),TODAY()-B141,"")</f>
        <v>0</v>
      </c>
      <c r="S141" s="28">
        <f>IF(B141="","",TEXT(B141,"yyyy-mm"))</f>
        <v>0</v>
      </c>
      <c r="T141" s="49">
        <f>IF(B141="","",IF(AND(K141="Yes",M141&lt;&gt;"Resolved"),"Action - unresolved complaint",IF(AND(O141&lt;&gt;"",O141&lt;TODAY(),P141&lt;&gt;"Yes"),"Overdue follow-up",IF(AND(O141&lt;&gt;"",O141-TODAY()&lt;=ReminderLeadDays,P141&lt;&gt;"Yes"),"Follow-up due soon","OK"))))</f>
        <v>0</v>
      </c>
    </row>
    <row r="142" spans="1:20">
      <c r="A142" s="46">
        <f>IF(B142="","","MSG-"&amp;TEXT(ROW()-4,"0000"))</f>
        <v>0</v>
      </c>
      <c r="Q142" s="31">
        <f>IF(AND(K142="Yes",M142&lt;&gt;"Resolved",B142&lt;&gt;""),TODAY()-B142,"")</f>
        <v>0</v>
      </c>
      <c r="S142" s="28">
        <f>IF(B142="","",TEXT(B142,"yyyy-mm"))</f>
        <v>0</v>
      </c>
      <c r="T142" s="49">
        <f>IF(B142="","",IF(AND(K142="Yes",M142&lt;&gt;"Resolved"),"Action - unresolved complaint",IF(AND(O142&lt;&gt;"",O142&lt;TODAY(),P142&lt;&gt;"Yes"),"Overdue follow-up",IF(AND(O142&lt;&gt;"",O142-TODAY()&lt;=ReminderLeadDays,P142&lt;&gt;"Yes"),"Follow-up due soon","OK"))))</f>
        <v>0</v>
      </c>
    </row>
    <row r="143" spans="1:20">
      <c r="A143" s="46">
        <f>IF(B143="","","MSG-"&amp;TEXT(ROW()-4,"0000"))</f>
        <v>0</v>
      </c>
      <c r="Q143" s="31">
        <f>IF(AND(K143="Yes",M143&lt;&gt;"Resolved",B143&lt;&gt;""),TODAY()-B143,"")</f>
        <v>0</v>
      </c>
      <c r="S143" s="28">
        <f>IF(B143="","",TEXT(B143,"yyyy-mm"))</f>
        <v>0</v>
      </c>
      <c r="T143" s="49">
        <f>IF(B143="","",IF(AND(K143="Yes",M143&lt;&gt;"Resolved"),"Action - unresolved complaint",IF(AND(O143&lt;&gt;"",O143&lt;TODAY(),P143&lt;&gt;"Yes"),"Overdue follow-up",IF(AND(O143&lt;&gt;"",O143-TODAY()&lt;=ReminderLeadDays,P143&lt;&gt;"Yes"),"Follow-up due soon","OK"))))</f>
        <v>0</v>
      </c>
    </row>
    <row r="144" spans="1:20">
      <c r="A144" s="46">
        <f>IF(B144="","","MSG-"&amp;TEXT(ROW()-4,"0000"))</f>
        <v>0</v>
      </c>
      <c r="Q144" s="31">
        <f>IF(AND(K144="Yes",M144&lt;&gt;"Resolved",B144&lt;&gt;""),TODAY()-B144,"")</f>
        <v>0</v>
      </c>
      <c r="S144" s="28">
        <f>IF(B144="","",TEXT(B144,"yyyy-mm"))</f>
        <v>0</v>
      </c>
      <c r="T144" s="49">
        <f>IF(B144="","",IF(AND(K144="Yes",M144&lt;&gt;"Resolved"),"Action - unresolved complaint",IF(AND(O144&lt;&gt;"",O144&lt;TODAY(),P144&lt;&gt;"Yes"),"Overdue follow-up",IF(AND(O144&lt;&gt;"",O144-TODAY()&lt;=ReminderLeadDays,P144&lt;&gt;"Yes"),"Follow-up due soon","OK"))))</f>
        <v>0</v>
      </c>
    </row>
    <row r="145" spans="1:20">
      <c r="A145" s="46">
        <f>IF(B145="","","MSG-"&amp;TEXT(ROW()-4,"0000"))</f>
        <v>0</v>
      </c>
      <c r="Q145" s="31">
        <f>IF(AND(K145="Yes",M145&lt;&gt;"Resolved",B145&lt;&gt;""),TODAY()-B145,"")</f>
        <v>0</v>
      </c>
      <c r="S145" s="28">
        <f>IF(B145="","",TEXT(B145,"yyyy-mm"))</f>
        <v>0</v>
      </c>
      <c r="T145" s="49">
        <f>IF(B145="","",IF(AND(K145="Yes",M145&lt;&gt;"Resolved"),"Action - unresolved complaint",IF(AND(O145&lt;&gt;"",O145&lt;TODAY(),P145&lt;&gt;"Yes"),"Overdue follow-up",IF(AND(O145&lt;&gt;"",O145-TODAY()&lt;=ReminderLeadDays,P145&lt;&gt;"Yes"),"Follow-up due soon","OK"))))</f>
        <v>0</v>
      </c>
    </row>
    <row r="146" spans="1:20">
      <c r="A146" s="46">
        <f>IF(B146="","","MSG-"&amp;TEXT(ROW()-4,"0000"))</f>
        <v>0</v>
      </c>
      <c r="Q146" s="31">
        <f>IF(AND(K146="Yes",M146&lt;&gt;"Resolved",B146&lt;&gt;""),TODAY()-B146,"")</f>
        <v>0</v>
      </c>
      <c r="S146" s="28">
        <f>IF(B146="","",TEXT(B146,"yyyy-mm"))</f>
        <v>0</v>
      </c>
      <c r="T146" s="49">
        <f>IF(B146="","",IF(AND(K146="Yes",M146&lt;&gt;"Resolved"),"Action - unresolved complaint",IF(AND(O146&lt;&gt;"",O146&lt;TODAY(),P146&lt;&gt;"Yes"),"Overdue follow-up",IF(AND(O146&lt;&gt;"",O146-TODAY()&lt;=ReminderLeadDays,P146&lt;&gt;"Yes"),"Follow-up due soon","OK"))))</f>
        <v>0</v>
      </c>
    </row>
    <row r="147" spans="1:20">
      <c r="A147" s="46">
        <f>IF(B147="","","MSG-"&amp;TEXT(ROW()-4,"0000"))</f>
        <v>0</v>
      </c>
      <c r="Q147" s="31">
        <f>IF(AND(K147="Yes",M147&lt;&gt;"Resolved",B147&lt;&gt;""),TODAY()-B147,"")</f>
        <v>0</v>
      </c>
      <c r="S147" s="28">
        <f>IF(B147="","",TEXT(B147,"yyyy-mm"))</f>
        <v>0</v>
      </c>
      <c r="T147" s="49">
        <f>IF(B147="","",IF(AND(K147="Yes",M147&lt;&gt;"Resolved"),"Action - unresolved complaint",IF(AND(O147&lt;&gt;"",O147&lt;TODAY(),P147&lt;&gt;"Yes"),"Overdue follow-up",IF(AND(O147&lt;&gt;"",O147-TODAY()&lt;=ReminderLeadDays,P147&lt;&gt;"Yes"),"Follow-up due soon","OK"))))</f>
        <v>0</v>
      </c>
    </row>
    <row r="148" spans="1:20">
      <c r="A148" s="46">
        <f>IF(B148="","","MSG-"&amp;TEXT(ROW()-4,"0000"))</f>
        <v>0</v>
      </c>
      <c r="Q148" s="31">
        <f>IF(AND(K148="Yes",M148&lt;&gt;"Resolved",B148&lt;&gt;""),TODAY()-B148,"")</f>
        <v>0</v>
      </c>
      <c r="S148" s="28">
        <f>IF(B148="","",TEXT(B148,"yyyy-mm"))</f>
        <v>0</v>
      </c>
      <c r="T148" s="49">
        <f>IF(B148="","",IF(AND(K148="Yes",M148&lt;&gt;"Resolved"),"Action - unresolved complaint",IF(AND(O148&lt;&gt;"",O148&lt;TODAY(),P148&lt;&gt;"Yes"),"Overdue follow-up",IF(AND(O148&lt;&gt;"",O148-TODAY()&lt;=ReminderLeadDays,P148&lt;&gt;"Yes"),"Follow-up due soon","OK"))))</f>
        <v>0</v>
      </c>
    </row>
    <row r="149" spans="1:20">
      <c r="A149" s="46">
        <f>IF(B149="","","MSG-"&amp;TEXT(ROW()-4,"0000"))</f>
        <v>0</v>
      </c>
      <c r="Q149" s="31">
        <f>IF(AND(K149="Yes",M149&lt;&gt;"Resolved",B149&lt;&gt;""),TODAY()-B149,"")</f>
        <v>0</v>
      </c>
      <c r="S149" s="28">
        <f>IF(B149="","",TEXT(B149,"yyyy-mm"))</f>
        <v>0</v>
      </c>
      <c r="T149" s="49">
        <f>IF(B149="","",IF(AND(K149="Yes",M149&lt;&gt;"Resolved"),"Action - unresolved complaint",IF(AND(O149&lt;&gt;"",O149&lt;TODAY(),P149&lt;&gt;"Yes"),"Overdue follow-up",IF(AND(O149&lt;&gt;"",O149-TODAY()&lt;=ReminderLeadDays,P149&lt;&gt;"Yes"),"Follow-up due soon","OK"))))</f>
        <v>0</v>
      </c>
    </row>
    <row r="150" spans="1:20">
      <c r="A150" s="46">
        <f>IF(B150="","","MSG-"&amp;TEXT(ROW()-4,"0000"))</f>
        <v>0</v>
      </c>
      <c r="Q150" s="31">
        <f>IF(AND(K150="Yes",M150&lt;&gt;"Resolved",B150&lt;&gt;""),TODAY()-B150,"")</f>
        <v>0</v>
      </c>
      <c r="S150" s="28">
        <f>IF(B150="","",TEXT(B150,"yyyy-mm"))</f>
        <v>0</v>
      </c>
      <c r="T150" s="49">
        <f>IF(B150="","",IF(AND(K150="Yes",M150&lt;&gt;"Resolved"),"Action - unresolved complaint",IF(AND(O150&lt;&gt;"",O150&lt;TODAY(),P150&lt;&gt;"Yes"),"Overdue follow-up",IF(AND(O150&lt;&gt;"",O150-TODAY()&lt;=ReminderLeadDays,P150&lt;&gt;"Yes"),"Follow-up due soon","OK"))))</f>
        <v>0</v>
      </c>
    </row>
    <row r="151" spans="1:20">
      <c r="A151" s="46">
        <f>IF(B151="","","MSG-"&amp;TEXT(ROW()-4,"0000"))</f>
        <v>0</v>
      </c>
      <c r="Q151" s="31">
        <f>IF(AND(K151="Yes",M151&lt;&gt;"Resolved",B151&lt;&gt;""),TODAY()-B151,"")</f>
        <v>0</v>
      </c>
      <c r="S151" s="28">
        <f>IF(B151="","",TEXT(B151,"yyyy-mm"))</f>
        <v>0</v>
      </c>
      <c r="T151" s="49">
        <f>IF(B151="","",IF(AND(K151="Yes",M151&lt;&gt;"Resolved"),"Action - unresolved complaint",IF(AND(O151&lt;&gt;"",O151&lt;TODAY(),P151&lt;&gt;"Yes"),"Overdue follow-up",IF(AND(O151&lt;&gt;"",O151-TODAY()&lt;=ReminderLeadDays,P151&lt;&gt;"Yes"),"Follow-up due soon","OK"))))</f>
        <v>0</v>
      </c>
    </row>
    <row r="152" spans="1:20">
      <c r="A152" s="46">
        <f>IF(B152="","","MSG-"&amp;TEXT(ROW()-4,"0000"))</f>
        <v>0</v>
      </c>
      <c r="Q152" s="31">
        <f>IF(AND(K152="Yes",M152&lt;&gt;"Resolved",B152&lt;&gt;""),TODAY()-B152,"")</f>
        <v>0</v>
      </c>
      <c r="S152" s="28">
        <f>IF(B152="","",TEXT(B152,"yyyy-mm"))</f>
        <v>0</v>
      </c>
      <c r="T152" s="49">
        <f>IF(B152="","",IF(AND(K152="Yes",M152&lt;&gt;"Resolved"),"Action - unresolved complaint",IF(AND(O152&lt;&gt;"",O152&lt;TODAY(),P152&lt;&gt;"Yes"),"Overdue follow-up",IF(AND(O152&lt;&gt;"",O152-TODAY()&lt;=ReminderLeadDays,P152&lt;&gt;"Yes"),"Follow-up due soon","OK"))))</f>
        <v>0</v>
      </c>
    </row>
    <row r="153" spans="1:20">
      <c r="A153" s="46">
        <f>IF(B153="","","MSG-"&amp;TEXT(ROW()-4,"0000"))</f>
        <v>0</v>
      </c>
      <c r="Q153" s="31">
        <f>IF(AND(K153="Yes",M153&lt;&gt;"Resolved",B153&lt;&gt;""),TODAY()-B153,"")</f>
        <v>0</v>
      </c>
      <c r="S153" s="28">
        <f>IF(B153="","",TEXT(B153,"yyyy-mm"))</f>
        <v>0</v>
      </c>
      <c r="T153" s="49">
        <f>IF(B153="","",IF(AND(K153="Yes",M153&lt;&gt;"Resolved"),"Action - unresolved complaint",IF(AND(O153&lt;&gt;"",O153&lt;TODAY(),P153&lt;&gt;"Yes"),"Overdue follow-up",IF(AND(O153&lt;&gt;"",O153-TODAY()&lt;=ReminderLeadDays,P153&lt;&gt;"Yes"),"Follow-up due soon","OK"))))</f>
        <v>0</v>
      </c>
    </row>
    <row r="154" spans="1:20">
      <c r="A154" s="46">
        <f>IF(B154="","","MSG-"&amp;TEXT(ROW()-4,"0000"))</f>
        <v>0</v>
      </c>
      <c r="Q154" s="31">
        <f>IF(AND(K154="Yes",M154&lt;&gt;"Resolved",B154&lt;&gt;""),TODAY()-B154,"")</f>
        <v>0</v>
      </c>
      <c r="S154" s="28">
        <f>IF(B154="","",TEXT(B154,"yyyy-mm"))</f>
        <v>0</v>
      </c>
      <c r="T154" s="49">
        <f>IF(B154="","",IF(AND(K154="Yes",M154&lt;&gt;"Resolved"),"Action - unresolved complaint",IF(AND(O154&lt;&gt;"",O154&lt;TODAY(),P154&lt;&gt;"Yes"),"Overdue follow-up",IF(AND(O154&lt;&gt;"",O154-TODAY()&lt;=ReminderLeadDays,P154&lt;&gt;"Yes"),"Follow-up due soon","OK"))))</f>
        <v>0</v>
      </c>
    </row>
    <row r="155" spans="1:20">
      <c r="A155" s="46">
        <f>IF(B155="","","MSG-"&amp;TEXT(ROW()-4,"0000"))</f>
        <v>0</v>
      </c>
      <c r="Q155" s="31">
        <f>IF(AND(K155="Yes",M155&lt;&gt;"Resolved",B155&lt;&gt;""),TODAY()-B155,"")</f>
        <v>0</v>
      </c>
      <c r="S155" s="28">
        <f>IF(B155="","",TEXT(B155,"yyyy-mm"))</f>
        <v>0</v>
      </c>
      <c r="T155" s="49">
        <f>IF(B155="","",IF(AND(K155="Yes",M155&lt;&gt;"Resolved"),"Action - unresolved complaint",IF(AND(O155&lt;&gt;"",O155&lt;TODAY(),P155&lt;&gt;"Yes"),"Overdue follow-up",IF(AND(O155&lt;&gt;"",O155-TODAY()&lt;=ReminderLeadDays,P155&lt;&gt;"Yes"),"Follow-up due soon","OK"))))</f>
        <v>0</v>
      </c>
    </row>
    <row r="156" spans="1:20">
      <c r="A156" s="46">
        <f>IF(B156="","","MSG-"&amp;TEXT(ROW()-4,"0000"))</f>
        <v>0</v>
      </c>
      <c r="Q156" s="31">
        <f>IF(AND(K156="Yes",M156&lt;&gt;"Resolved",B156&lt;&gt;""),TODAY()-B156,"")</f>
        <v>0</v>
      </c>
      <c r="S156" s="28">
        <f>IF(B156="","",TEXT(B156,"yyyy-mm"))</f>
        <v>0</v>
      </c>
      <c r="T156" s="49">
        <f>IF(B156="","",IF(AND(K156="Yes",M156&lt;&gt;"Resolved"),"Action - unresolved complaint",IF(AND(O156&lt;&gt;"",O156&lt;TODAY(),P156&lt;&gt;"Yes"),"Overdue follow-up",IF(AND(O156&lt;&gt;"",O156-TODAY()&lt;=ReminderLeadDays,P156&lt;&gt;"Yes"),"Follow-up due soon","OK"))))</f>
        <v>0</v>
      </c>
    </row>
    <row r="157" spans="1:20">
      <c r="A157" s="46">
        <f>IF(B157="","","MSG-"&amp;TEXT(ROW()-4,"0000"))</f>
        <v>0</v>
      </c>
      <c r="Q157" s="31">
        <f>IF(AND(K157="Yes",M157&lt;&gt;"Resolved",B157&lt;&gt;""),TODAY()-B157,"")</f>
        <v>0</v>
      </c>
      <c r="S157" s="28">
        <f>IF(B157="","",TEXT(B157,"yyyy-mm"))</f>
        <v>0</v>
      </c>
      <c r="T157" s="49">
        <f>IF(B157="","",IF(AND(K157="Yes",M157&lt;&gt;"Resolved"),"Action - unresolved complaint",IF(AND(O157&lt;&gt;"",O157&lt;TODAY(),P157&lt;&gt;"Yes"),"Overdue follow-up",IF(AND(O157&lt;&gt;"",O157-TODAY()&lt;=ReminderLeadDays,P157&lt;&gt;"Yes"),"Follow-up due soon","OK"))))</f>
        <v>0</v>
      </c>
    </row>
    <row r="158" spans="1:20">
      <c r="A158" s="46">
        <f>IF(B158="","","MSG-"&amp;TEXT(ROW()-4,"0000"))</f>
        <v>0</v>
      </c>
      <c r="Q158" s="31">
        <f>IF(AND(K158="Yes",M158&lt;&gt;"Resolved",B158&lt;&gt;""),TODAY()-B158,"")</f>
        <v>0</v>
      </c>
      <c r="S158" s="28">
        <f>IF(B158="","",TEXT(B158,"yyyy-mm"))</f>
        <v>0</v>
      </c>
      <c r="T158" s="49">
        <f>IF(B158="","",IF(AND(K158="Yes",M158&lt;&gt;"Resolved"),"Action - unresolved complaint",IF(AND(O158&lt;&gt;"",O158&lt;TODAY(),P158&lt;&gt;"Yes"),"Overdue follow-up",IF(AND(O158&lt;&gt;"",O158-TODAY()&lt;=ReminderLeadDays,P158&lt;&gt;"Yes"),"Follow-up due soon","OK"))))</f>
        <v>0</v>
      </c>
    </row>
    <row r="159" spans="1:20">
      <c r="A159" s="46">
        <f>IF(B159="","","MSG-"&amp;TEXT(ROW()-4,"0000"))</f>
        <v>0</v>
      </c>
      <c r="Q159" s="31">
        <f>IF(AND(K159="Yes",M159&lt;&gt;"Resolved",B159&lt;&gt;""),TODAY()-B159,"")</f>
        <v>0</v>
      </c>
      <c r="S159" s="28">
        <f>IF(B159="","",TEXT(B159,"yyyy-mm"))</f>
        <v>0</v>
      </c>
      <c r="T159" s="49">
        <f>IF(B159="","",IF(AND(K159="Yes",M159&lt;&gt;"Resolved"),"Action - unresolved complaint",IF(AND(O159&lt;&gt;"",O159&lt;TODAY(),P159&lt;&gt;"Yes"),"Overdue follow-up",IF(AND(O159&lt;&gt;"",O159-TODAY()&lt;=ReminderLeadDays,P159&lt;&gt;"Yes"),"Follow-up due soon","OK"))))</f>
        <v>0</v>
      </c>
    </row>
    <row r="160" spans="1:20">
      <c r="A160" s="46">
        <f>IF(B160="","","MSG-"&amp;TEXT(ROW()-4,"0000"))</f>
        <v>0</v>
      </c>
      <c r="Q160" s="31">
        <f>IF(AND(K160="Yes",M160&lt;&gt;"Resolved",B160&lt;&gt;""),TODAY()-B160,"")</f>
        <v>0</v>
      </c>
      <c r="S160" s="28">
        <f>IF(B160="","",TEXT(B160,"yyyy-mm"))</f>
        <v>0</v>
      </c>
      <c r="T160" s="49">
        <f>IF(B160="","",IF(AND(K160="Yes",M160&lt;&gt;"Resolved"),"Action - unresolved complaint",IF(AND(O160&lt;&gt;"",O160&lt;TODAY(),P160&lt;&gt;"Yes"),"Overdue follow-up",IF(AND(O160&lt;&gt;"",O160-TODAY()&lt;=ReminderLeadDays,P160&lt;&gt;"Yes"),"Follow-up due soon","OK"))))</f>
        <v>0</v>
      </c>
    </row>
    <row r="161" spans="1:20">
      <c r="A161" s="46">
        <f>IF(B161="","","MSG-"&amp;TEXT(ROW()-4,"0000"))</f>
        <v>0</v>
      </c>
      <c r="Q161" s="31">
        <f>IF(AND(K161="Yes",M161&lt;&gt;"Resolved",B161&lt;&gt;""),TODAY()-B161,"")</f>
        <v>0</v>
      </c>
      <c r="S161" s="28">
        <f>IF(B161="","",TEXT(B161,"yyyy-mm"))</f>
        <v>0</v>
      </c>
      <c r="T161" s="49">
        <f>IF(B161="","",IF(AND(K161="Yes",M161&lt;&gt;"Resolved"),"Action - unresolved complaint",IF(AND(O161&lt;&gt;"",O161&lt;TODAY(),P161&lt;&gt;"Yes"),"Overdue follow-up",IF(AND(O161&lt;&gt;"",O161-TODAY()&lt;=ReminderLeadDays,P161&lt;&gt;"Yes"),"Follow-up due soon","OK"))))</f>
        <v>0</v>
      </c>
    </row>
    <row r="162" spans="1:20">
      <c r="A162" s="46">
        <f>IF(B162="","","MSG-"&amp;TEXT(ROW()-4,"0000"))</f>
        <v>0</v>
      </c>
      <c r="Q162" s="31">
        <f>IF(AND(K162="Yes",M162&lt;&gt;"Resolved",B162&lt;&gt;""),TODAY()-B162,"")</f>
        <v>0</v>
      </c>
      <c r="S162" s="28">
        <f>IF(B162="","",TEXT(B162,"yyyy-mm"))</f>
        <v>0</v>
      </c>
      <c r="T162" s="49">
        <f>IF(B162="","",IF(AND(K162="Yes",M162&lt;&gt;"Resolved"),"Action - unresolved complaint",IF(AND(O162&lt;&gt;"",O162&lt;TODAY(),P162&lt;&gt;"Yes"),"Overdue follow-up",IF(AND(O162&lt;&gt;"",O162-TODAY()&lt;=ReminderLeadDays,P162&lt;&gt;"Yes"),"Follow-up due soon","OK"))))</f>
        <v>0</v>
      </c>
    </row>
    <row r="163" spans="1:20">
      <c r="A163" s="46">
        <f>IF(B163="","","MSG-"&amp;TEXT(ROW()-4,"0000"))</f>
        <v>0</v>
      </c>
      <c r="Q163" s="31">
        <f>IF(AND(K163="Yes",M163&lt;&gt;"Resolved",B163&lt;&gt;""),TODAY()-B163,"")</f>
        <v>0</v>
      </c>
      <c r="S163" s="28">
        <f>IF(B163="","",TEXT(B163,"yyyy-mm"))</f>
        <v>0</v>
      </c>
      <c r="T163" s="49">
        <f>IF(B163="","",IF(AND(K163="Yes",M163&lt;&gt;"Resolved"),"Action - unresolved complaint",IF(AND(O163&lt;&gt;"",O163&lt;TODAY(),P163&lt;&gt;"Yes"),"Overdue follow-up",IF(AND(O163&lt;&gt;"",O163-TODAY()&lt;=ReminderLeadDays,P163&lt;&gt;"Yes"),"Follow-up due soon","OK"))))</f>
        <v>0</v>
      </c>
    </row>
    <row r="164" spans="1:20">
      <c r="A164" s="46">
        <f>IF(B164="","","MSG-"&amp;TEXT(ROW()-4,"0000"))</f>
        <v>0</v>
      </c>
      <c r="Q164" s="31">
        <f>IF(AND(K164="Yes",M164&lt;&gt;"Resolved",B164&lt;&gt;""),TODAY()-B164,"")</f>
        <v>0</v>
      </c>
      <c r="S164" s="28">
        <f>IF(B164="","",TEXT(B164,"yyyy-mm"))</f>
        <v>0</v>
      </c>
      <c r="T164" s="49">
        <f>IF(B164="","",IF(AND(K164="Yes",M164&lt;&gt;"Resolved"),"Action - unresolved complaint",IF(AND(O164&lt;&gt;"",O164&lt;TODAY(),P164&lt;&gt;"Yes"),"Overdue follow-up",IF(AND(O164&lt;&gt;"",O164-TODAY()&lt;=ReminderLeadDays,P164&lt;&gt;"Yes"),"Follow-up due soon","OK"))))</f>
        <v>0</v>
      </c>
    </row>
    <row r="165" spans="1:20">
      <c r="A165" s="46">
        <f>IF(B165="","","MSG-"&amp;TEXT(ROW()-4,"0000"))</f>
        <v>0</v>
      </c>
      <c r="Q165" s="31">
        <f>IF(AND(K165="Yes",M165&lt;&gt;"Resolved",B165&lt;&gt;""),TODAY()-B165,"")</f>
        <v>0</v>
      </c>
      <c r="S165" s="28">
        <f>IF(B165="","",TEXT(B165,"yyyy-mm"))</f>
        <v>0</v>
      </c>
      <c r="T165" s="49">
        <f>IF(B165="","",IF(AND(K165="Yes",M165&lt;&gt;"Resolved"),"Action - unresolved complaint",IF(AND(O165&lt;&gt;"",O165&lt;TODAY(),P165&lt;&gt;"Yes"),"Overdue follow-up",IF(AND(O165&lt;&gt;"",O165-TODAY()&lt;=ReminderLeadDays,P165&lt;&gt;"Yes"),"Follow-up due soon","OK"))))</f>
        <v>0</v>
      </c>
    </row>
    <row r="166" spans="1:20">
      <c r="A166" s="46">
        <f>IF(B166="","","MSG-"&amp;TEXT(ROW()-4,"0000"))</f>
        <v>0</v>
      </c>
      <c r="Q166" s="31">
        <f>IF(AND(K166="Yes",M166&lt;&gt;"Resolved",B166&lt;&gt;""),TODAY()-B166,"")</f>
        <v>0</v>
      </c>
      <c r="S166" s="28">
        <f>IF(B166="","",TEXT(B166,"yyyy-mm"))</f>
        <v>0</v>
      </c>
      <c r="T166" s="49">
        <f>IF(B166="","",IF(AND(K166="Yes",M166&lt;&gt;"Resolved"),"Action - unresolved complaint",IF(AND(O166&lt;&gt;"",O166&lt;TODAY(),P166&lt;&gt;"Yes"),"Overdue follow-up",IF(AND(O166&lt;&gt;"",O166-TODAY()&lt;=ReminderLeadDays,P166&lt;&gt;"Yes"),"Follow-up due soon","OK"))))</f>
        <v>0</v>
      </c>
    </row>
    <row r="167" spans="1:20">
      <c r="A167" s="46">
        <f>IF(B167="","","MSG-"&amp;TEXT(ROW()-4,"0000"))</f>
        <v>0</v>
      </c>
      <c r="Q167" s="31">
        <f>IF(AND(K167="Yes",M167&lt;&gt;"Resolved",B167&lt;&gt;""),TODAY()-B167,"")</f>
        <v>0</v>
      </c>
      <c r="S167" s="28">
        <f>IF(B167="","",TEXT(B167,"yyyy-mm"))</f>
        <v>0</v>
      </c>
      <c r="T167" s="49">
        <f>IF(B167="","",IF(AND(K167="Yes",M167&lt;&gt;"Resolved"),"Action - unresolved complaint",IF(AND(O167&lt;&gt;"",O167&lt;TODAY(),P167&lt;&gt;"Yes"),"Overdue follow-up",IF(AND(O167&lt;&gt;"",O167-TODAY()&lt;=ReminderLeadDays,P167&lt;&gt;"Yes"),"Follow-up due soon","OK"))))</f>
        <v>0</v>
      </c>
    </row>
    <row r="168" spans="1:20">
      <c r="A168" s="46">
        <f>IF(B168="","","MSG-"&amp;TEXT(ROW()-4,"0000"))</f>
        <v>0</v>
      </c>
      <c r="Q168" s="31">
        <f>IF(AND(K168="Yes",M168&lt;&gt;"Resolved",B168&lt;&gt;""),TODAY()-B168,"")</f>
        <v>0</v>
      </c>
      <c r="S168" s="28">
        <f>IF(B168="","",TEXT(B168,"yyyy-mm"))</f>
        <v>0</v>
      </c>
      <c r="T168" s="49">
        <f>IF(B168="","",IF(AND(K168="Yes",M168&lt;&gt;"Resolved"),"Action - unresolved complaint",IF(AND(O168&lt;&gt;"",O168&lt;TODAY(),P168&lt;&gt;"Yes"),"Overdue follow-up",IF(AND(O168&lt;&gt;"",O168-TODAY()&lt;=ReminderLeadDays,P168&lt;&gt;"Yes"),"Follow-up due soon","OK"))))</f>
        <v>0</v>
      </c>
    </row>
    <row r="169" spans="1:20">
      <c r="A169" s="46">
        <f>IF(B169="","","MSG-"&amp;TEXT(ROW()-4,"0000"))</f>
        <v>0</v>
      </c>
      <c r="Q169" s="31">
        <f>IF(AND(K169="Yes",M169&lt;&gt;"Resolved",B169&lt;&gt;""),TODAY()-B169,"")</f>
        <v>0</v>
      </c>
      <c r="S169" s="28">
        <f>IF(B169="","",TEXT(B169,"yyyy-mm"))</f>
        <v>0</v>
      </c>
      <c r="T169" s="49">
        <f>IF(B169="","",IF(AND(K169="Yes",M169&lt;&gt;"Resolved"),"Action - unresolved complaint",IF(AND(O169&lt;&gt;"",O169&lt;TODAY(),P169&lt;&gt;"Yes"),"Overdue follow-up",IF(AND(O169&lt;&gt;"",O169-TODAY()&lt;=ReminderLeadDays,P169&lt;&gt;"Yes"),"Follow-up due soon","OK"))))</f>
        <v>0</v>
      </c>
    </row>
    <row r="170" spans="1:20">
      <c r="A170" s="46">
        <f>IF(B170="","","MSG-"&amp;TEXT(ROW()-4,"0000"))</f>
        <v>0</v>
      </c>
      <c r="Q170" s="31">
        <f>IF(AND(K170="Yes",M170&lt;&gt;"Resolved",B170&lt;&gt;""),TODAY()-B170,"")</f>
        <v>0</v>
      </c>
      <c r="S170" s="28">
        <f>IF(B170="","",TEXT(B170,"yyyy-mm"))</f>
        <v>0</v>
      </c>
      <c r="T170" s="49">
        <f>IF(B170="","",IF(AND(K170="Yes",M170&lt;&gt;"Resolved"),"Action - unresolved complaint",IF(AND(O170&lt;&gt;"",O170&lt;TODAY(),P170&lt;&gt;"Yes"),"Overdue follow-up",IF(AND(O170&lt;&gt;"",O170-TODAY()&lt;=ReminderLeadDays,P170&lt;&gt;"Yes"),"Follow-up due soon","OK"))))</f>
        <v>0</v>
      </c>
    </row>
    <row r="171" spans="1:20">
      <c r="A171" s="46">
        <f>IF(B171="","","MSG-"&amp;TEXT(ROW()-4,"0000"))</f>
        <v>0</v>
      </c>
      <c r="Q171" s="31">
        <f>IF(AND(K171="Yes",M171&lt;&gt;"Resolved",B171&lt;&gt;""),TODAY()-B171,"")</f>
        <v>0</v>
      </c>
      <c r="S171" s="28">
        <f>IF(B171="","",TEXT(B171,"yyyy-mm"))</f>
        <v>0</v>
      </c>
      <c r="T171" s="49">
        <f>IF(B171="","",IF(AND(K171="Yes",M171&lt;&gt;"Resolved"),"Action - unresolved complaint",IF(AND(O171&lt;&gt;"",O171&lt;TODAY(),P171&lt;&gt;"Yes"),"Overdue follow-up",IF(AND(O171&lt;&gt;"",O171-TODAY()&lt;=ReminderLeadDays,P171&lt;&gt;"Yes"),"Follow-up due soon","OK"))))</f>
        <v>0</v>
      </c>
    </row>
    <row r="172" spans="1:20">
      <c r="A172" s="46">
        <f>IF(B172="","","MSG-"&amp;TEXT(ROW()-4,"0000"))</f>
        <v>0</v>
      </c>
      <c r="Q172" s="31">
        <f>IF(AND(K172="Yes",M172&lt;&gt;"Resolved",B172&lt;&gt;""),TODAY()-B172,"")</f>
        <v>0</v>
      </c>
      <c r="S172" s="28">
        <f>IF(B172="","",TEXT(B172,"yyyy-mm"))</f>
        <v>0</v>
      </c>
      <c r="T172" s="49">
        <f>IF(B172="","",IF(AND(K172="Yes",M172&lt;&gt;"Resolved"),"Action - unresolved complaint",IF(AND(O172&lt;&gt;"",O172&lt;TODAY(),P172&lt;&gt;"Yes"),"Overdue follow-up",IF(AND(O172&lt;&gt;"",O172-TODAY()&lt;=ReminderLeadDays,P172&lt;&gt;"Yes"),"Follow-up due soon","OK"))))</f>
        <v>0</v>
      </c>
    </row>
    <row r="173" spans="1:20">
      <c r="A173" s="46">
        <f>IF(B173="","","MSG-"&amp;TEXT(ROW()-4,"0000"))</f>
        <v>0</v>
      </c>
      <c r="Q173" s="31">
        <f>IF(AND(K173="Yes",M173&lt;&gt;"Resolved",B173&lt;&gt;""),TODAY()-B173,"")</f>
        <v>0</v>
      </c>
      <c r="S173" s="28">
        <f>IF(B173="","",TEXT(B173,"yyyy-mm"))</f>
        <v>0</v>
      </c>
      <c r="T173" s="49">
        <f>IF(B173="","",IF(AND(K173="Yes",M173&lt;&gt;"Resolved"),"Action - unresolved complaint",IF(AND(O173&lt;&gt;"",O173&lt;TODAY(),P173&lt;&gt;"Yes"),"Overdue follow-up",IF(AND(O173&lt;&gt;"",O173-TODAY()&lt;=ReminderLeadDays,P173&lt;&gt;"Yes"),"Follow-up due soon","OK"))))</f>
        <v>0</v>
      </c>
    </row>
    <row r="174" spans="1:20">
      <c r="A174" s="46">
        <f>IF(B174="","","MSG-"&amp;TEXT(ROW()-4,"0000"))</f>
        <v>0</v>
      </c>
      <c r="Q174" s="31">
        <f>IF(AND(K174="Yes",M174&lt;&gt;"Resolved",B174&lt;&gt;""),TODAY()-B174,"")</f>
        <v>0</v>
      </c>
      <c r="S174" s="28">
        <f>IF(B174="","",TEXT(B174,"yyyy-mm"))</f>
        <v>0</v>
      </c>
      <c r="T174" s="49">
        <f>IF(B174="","",IF(AND(K174="Yes",M174&lt;&gt;"Resolved"),"Action - unresolved complaint",IF(AND(O174&lt;&gt;"",O174&lt;TODAY(),P174&lt;&gt;"Yes"),"Overdue follow-up",IF(AND(O174&lt;&gt;"",O174-TODAY()&lt;=ReminderLeadDays,P174&lt;&gt;"Yes"),"Follow-up due soon","OK"))))</f>
        <v>0</v>
      </c>
    </row>
    <row r="175" spans="1:20">
      <c r="A175" s="46">
        <f>IF(B175="","","MSG-"&amp;TEXT(ROW()-4,"0000"))</f>
        <v>0</v>
      </c>
      <c r="Q175" s="31">
        <f>IF(AND(K175="Yes",M175&lt;&gt;"Resolved",B175&lt;&gt;""),TODAY()-B175,"")</f>
        <v>0</v>
      </c>
      <c r="S175" s="28">
        <f>IF(B175="","",TEXT(B175,"yyyy-mm"))</f>
        <v>0</v>
      </c>
      <c r="T175" s="49">
        <f>IF(B175="","",IF(AND(K175="Yes",M175&lt;&gt;"Resolved"),"Action - unresolved complaint",IF(AND(O175&lt;&gt;"",O175&lt;TODAY(),P175&lt;&gt;"Yes"),"Overdue follow-up",IF(AND(O175&lt;&gt;"",O175-TODAY()&lt;=ReminderLeadDays,P175&lt;&gt;"Yes"),"Follow-up due soon","OK"))))</f>
        <v>0</v>
      </c>
    </row>
    <row r="176" spans="1:20">
      <c r="A176" s="46">
        <f>IF(B176="","","MSG-"&amp;TEXT(ROW()-4,"0000"))</f>
        <v>0</v>
      </c>
      <c r="Q176" s="31">
        <f>IF(AND(K176="Yes",M176&lt;&gt;"Resolved",B176&lt;&gt;""),TODAY()-B176,"")</f>
        <v>0</v>
      </c>
      <c r="S176" s="28">
        <f>IF(B176="","",TEXT(B176,"yyyy-mm"))</f>
        <v>0</v>
      </c>
      <c r="T176" s="49">
        <f>IF(B176="","",IF(AND(K176="Yes",M176&lt;&gt;"Resolved"),"Action - unresolved complaint",IF(AND(O176&lt;&gt;"",O176&lt;TODAY(),P176&lt;&gt;"Yes"),"Overdue follow-up",IF(AND(O176&lt;&gt;"",O176-TODAY()&lt;=ReminderLeadDays,P176&lt;&gt;"Yes"),"Follow-up due soon","OK"))))</f>
        <v>0</v>
      </c>
    </row>
    <row r="177" spans="1:20">
      <c r="A177" s="46">
        <f>IF(B177="","","MSG-"&amp;TEXT(ROW()-4,"0000"))</f>
        <v>0</v>
      </c>
      <c r="Q177" s="31">
        <f>IF(AND(K177="Yes",M177&lt;&gt;"Resolved",B177&lt;&gt;""),TODAY()-B177,"")</f>
        <v>0</v>
      </c>
      <c r="S177" s="28">
        <f>IF(B177="","",TEXT(B177,"yyyy-mm"))</f>
        <v>0</v>
      </c>
      <c r="T177" s="49">
        <f>IF(B177="","",IF(AND(K177="Yes",M177&lt;&gt;"Resolved"),"Action - unresolved complaint",IF(AND(O177&lt;&gt;"",O177&lt;TODAY(),P177&lt;&gt;"Yes"),"Overdue follow-up",IF(AND(O177&lt;&gt;"",O177-TODAY()&lt;=ReminderLeadDays,P177&lt;&gt;"Yes"),"Follow-up due soon","OK"))))</f>
        <v>0</v>
      </c>
    </row>
    <row r="178" spans="1:20">
      <c r="A178" s="46">
        <f>IF(B178="","","MSG-"&amp;TEXT(ROW()-4,"0000"))</f>
        <v>0</v>
      </c>
      <c r="Q178" s="31">
        <f>IF(AND(K178="Yes",M178&lt;&gt;"Resolved",B178&lt;&gt;""),TODAY()-B178,"")</f>
        <v>0</v>
      </c>
      <c r="S178" s="28">
        <f>IF(B178="","",TEXT(B178,"yyyy-mm"))</f>
        <v>0</v>
      </c>
      <c r="T178" s="49">
        <f>IF(B178="","",IF(AND(K178="Yes",M178&lt;&gt;"Resolved"),"Action - unresolved complaint",IF(AND(O178&lt;&gt;"",O178&lt;TODAY(),P178&lt;&gt;"Yes"),"Overdue follow-up",IF(AND(O178&lt;&gt;"",O178-TODAY()&lt;=ReminderLeadDays,P178&lt;&gt;"Yes"),"Follow-up due soon","OK"))))</f>
        <v>0</v>
      </c>
    </row>
    <row r="179" spans="1:20">
      <c r="A179" s="46">
        <f>IF(B179="","","MSG-"&amp;TEXT(ROW()-4,"0000"))</f>
        <v>0</v>
      </c>
      <c r="Q179" s="31">
        <f>IF(AND(K179="Yes",M179&lt;&gt;"Resolved",B179&lt;&gt;""),TODAY()-B179,"")</f>
        <v>0</v>
      </c>
      <c r="S179" s="28">
        <f>IF(B179="","",TEXT(B179,"yyyy-mm"))</f>
        <v>0</v>
      </c>
      <c r="T179" s="49">
        <f>IF(B179="","",IF(AND(K179="Yes",M179&lt;&gt;"Resolved"),"Action - unresolved complaint",IF(AND(O179&lt;&gt;"",O179&lt;TODAY(),P179&lt;&gt;"Yes"),"Overdue follow-up",IF(AND(O179&lt;&gt;"",O179-TODAY()&lt;=ReminderLeadDays,P179&lt;&gt;"Yes"),"Follow-up due soon","OK"))))</f>
        <v>0</v>
      </c>
    </row>
    <row r="180" spans="1:20">
      <c r="A180" s="46">
        <f>IF(B180="","","MSG-"&amp;TEXT(ROW()-4,"0000"))</f>
        <v>0</v>
      </c>
      <c r="Q180" s="31">
        <f>IF(AND(K180="Yes",M180&lt;&gt;"Resolved",B180&lt;&gt;""),TODAY()-B180,"")</f>
        <v>0</v>
      </c>
      <c r="S180" s="28">
        <f>IF(B180="","",TEXT(B180,"yyyy-mm"))</f>
        <v>0</v>
      </c>
      <c r="T180" s="49">
        <f>IF(B180="","",IF(AND(K180="Yes",M180&lt;&gt;"Resolved"),"Action - unresolved complaint",IF(AND(O180&lt;&gt;"",O180&lt;TODAY(),P180&lt;&gt;"Yes"),"Overdue follow-up",IF(AND(O180&lt;&gt;"",O180-TODAY()&lt;=ReminderLeadDays,P180&lt;&gt;"Yes"),"Follow-up due soon","OK"))))</f>
        <v>0</v>
      </c>
    </row>
    <row r="181" spans="1:20">
      <c r="A181" s="46">
        <f>IF(B181="","","MSG-"&amp;TEXT(ROW()-4,"0000"))</f>
        <v>0</v>
      </c>
      <c r="Q181" s="31">
        <f>IF(AND(K181="Yes",M181&lt;&gt;"Resolved",B181&lt;&gt;""),TODAY()-B181,"")</f>
        <v>0</v>
      </c>
      <c r="S181" s="28">
        <f>IF(B181="","",TEXT(B181,"yyyy-mm"))</f>
        <v>0</v>
      </c>
      <c r="T181" s="49">
        <f>IF(B181="","",IF(AND(K181="Yes",M181&lt;&gt;"Resolved"),"Action - unresolved complaint",IF(AND(O181&lt;&gt;"",O181&lt;TODAY(),P181&lt;&gt;"Yes"),"Overdue follow-up",IF(AND(O181&lt;&gt;"",O181-TODAY()&lt;=ReminderLeadDays,P181&lt;&gt;"Yes"),"Follow-up due soon","OK"))))</f>
        <v>0</v>
      </c>
    </row>
    <row r="182" spans="1:20">
      <c r="A182" s="46">
        <f>IF(B182="","","MSG-"&amp;TEXT(ROW()-4,"0000"))</f>
        <v>0</v>
      </c>
      <c r="Q182" s="31">
        <f>IF(AND(K182="Yes",M182&lt;&gt;"Resolved",B182&lt;&gt;""),TODAY()-B182,"")</f>
        <v>0</v>
      </c>
      <c r="S182" s="28">
        <f>IF(B182="","",TEXT(B182,"yyyy-mm"))</f>
        <v>0</v>
      </c>
      <c r="T182" s="49">
        <f>IF(B182="","",IF(AND(K182="Yes",M182&lt;&gt;"Resolved"),"Action - unresolved complaint",IF(AND(O182&lt;&gt;"",O182&lt;TODAY(),P182&lt;&gt;"Yes"),"Overdue follow-up",IF(AND(O182&lt;&gt;"",O182-TODAY()&lt;=ReminderLeadDays,P182&lt;&gt;"Yes"),"Follow-up due soon","OK"))))</f>
        <v>0</v>
      </c>
    </row>
    <row r="183" spans="1:20">
      <c r="A183" s="46">
        <f>IF(B183="","","MSG-"&amp;TEXT(ROW()-4,"0000"))</f>
        <v>0</v>
      </c>
      <c r="Q183" s="31">
        <f>IF(AND(K183="Yes",M183&lt;&gt;"Resolved",B183&lt;&gt;""),TODAY()-B183,"")</f>
        <v>0</v>
      </c>
      <c r="S183" s="28">
        <f>IF(B183="","",TEXT(B183,"yyyy-mm"))</f>
        <v>0</v>
      </c>
      <c r="T183" s="49">
        <f>IF(B183="","",IF(AND(K183="Yes",M183&lt;&gt;"Resolved"),"Action - unresolved complaint",IF(AND(O183&lt;&gt;"",O183&lt;TODAY(),P183&lt;&gt;"Yes"),"Overdue follow-up",IF(AND(O183&lt;&gt;"",O183-TODAY()&lt;=ReminderLeadDays,P183&lt;&gt;"Yes"),"Follow-up due soon","OK"))))</f>
        <v>0</v>
      </c>
    </row>
    <row r="184" spans="1:20">
      <c r="A184" s="46">
        <f>IF(B184="","","MSG-"&amp;TEXT(ROW()-4,"0000"))</f>
        <v>0</v>
      </c>
      <c r="Q184" s="31">
        <f>IF(AND(K184="Yes",M184&lt;&gt;"Resolved",B184&lt;&gt;""),TODAY()-B184,"")</f>
        <v>0</v>
      </c>
      <c r="S184" s="28">
        <f>IF(B184="","",TEXT(B184,"yyyy-mm"))</f>
        <v>0</v>
      </c>
      <c r="T184" s="49">
        <f>IF(B184="","",IF(AND(K184="Yes",M184&lt;&gt;"Resolved"),"Action - unresolved complaint",IF(AND(O184&lt;&gt;"",O184&lt;TODAY(),P184&lt;&gt;"Yes"),"Overdue follow-up",IF(AND(O184&lt;&gt;"",O184-TODAY()&lt;=ReminderLeadDays,P184&lt;&gt;"Yes"),"Follow-up due soon","OK"))))</f>
        <v>0</v>
      </c>
    </row>
    <row r="185" spans="1:20">
      <c r="A185" s="46">
        <f>IF(B185="","","MSG-"&amp;TEXT(ROW()-4,"0000"))</f>
        <v>0</v>
      </c>
      <c r="Q185" s="31">
        <f>IF(AND(K185="Yes",M185&lt;&gt;"Resolved",B185&lt;&gt;""),TODAY()-B185,"")</f>
        <v>0</v>
      </c>
      <c r="S185" s="28">
        <f>IF(B185="","",TEXT(B185,"yyyy-mm"))</f>
        <v>0</v>
      </c>
      <c r="T185" s="49">
        <f>IF(B185="","",IF(AND(K185="Yes",M185&lt;&gt;"Resolved"),"Action - unresolved complaint",IF(AND(O185&lt;&gt;"",O185&lt;TODAY(),P185&lt;&gt;"Yes"),"Overdue follow-up",IF(AND(O185&lt;&gt;"",O185-TODAY()&lt;=ReminderLeadDays,P185&lt;&gt;"Yes"),"Follow-up due soon","OK"))))</f>
        <v>0</v>
      </c>
    </row>
    <row r="186" spans="1:20">
      <c r="A186" s="46">
        <f>IF(B186="","","MSG-"&amp;TEXT(ROW()-4,"0000"))</f>
        <v>0</v>
      </c>
      <c r="Q186" s="31">
        <f>IF(AND(K186="Yes",M186&lt;&gt;"Resolved",B186&lt;&gt;""),TODAY()-B186,"")</f>
        <v>0</v>
      </c>
      <c r="S186" s="28">
        <f>IF(B186="","",TEXT(B186,"yyyy-mm"))</f>
        <v>0</v>
      </c>
      <c r="T186" s="49">
        <f>IF(B186="","",IF(AND(K186="Yes",M186&lt;&gt;"Resolved"),"Action - unresolved complaint",IF(AND(O186&lt;&gt;"",O186&lt;TODAY(),P186&lt;&gt;"Yes"),"Overdue follow-up",IF(AND(O186&lt;&gt;"",O186-TODAY()&lt;=ReminderLeadDays,P186&lt;&gt;"Yes"),"Follow-up due soon","OK"))))</f>
        <v>0</v>
      </c>
    </row>
    <row r="187" spans="1:20">
      <c r="A187" s="46">
        <f>IF(B187="","","MSG-"&amp;TEXT(ROW()-4,"0000"))</f>
        <v>0</v>
      </c>
      <c r="Q187" s="31">
        <f>IF(AND(K187="Yes",M187&lt;&gt;"Resolved",B187&lt;&gt;""),TODAY()-B187,"")</f>
        <v>0</v>
      </c>
      <c r="S187" s="28">
        <f>IF(B187="","",TEXT(B187,"yyyy-mm"))</f>
        <v>0</v>
      </c>
      <c r="T187" s="49">
        <f>IF(B187="","",IF(AND(K187="Yes",M187&lt;&gt;"Resolved"),"Action - unresolved complaint",IF(AND(O187&lt;&gt;"",O187&lt;TODAY(),P187&lt;&gt;"Yes"),"Overdue follow-up",IF(AND(O187&lt;&gt;"",O187-TODAY()&lt;=ReminderLeadDays,P187&lt;&gt;"Yes"),"Follow-up due soon","OK"))))</f>
        <v>0</v>
      </c>
    </row>
    <row r="188" spans="1:20">
      <c r="A188" s="46">
        <f>IF(B188="","","MSG-"&amp;TEXT(ROW()-4,"0000"))</f>
        <v>0</v>
      </c>
      <c r="Q188" s="31">
        <f>IF(AND(K188="Yes",M188&lt;&gt;"Resolved",B188&lt;&gt;""),TODAY()-B188,"")</f>
        <v>0</v>
      </c>
      <c r="S188" s="28">
        <f>IF(B188="","",TEXT(B188,"yyyy-mm"))</f>
        <v>0</v>
      </c>
      <c r="T188" s="49">
        <f>IF(B188="","",IF(AND(K188="Yes",M188&lt;&gt;"Resolved"),"Action - unresolved complaint",IF(AND(O188&lt;&gt;"",O188&lt;TODAY(),P188&lt;&gt;"Yes"),"Overdue follow-up",IF(AND(O188&lt;&gt;"",O188-TODAY()&lt;=ReminderLeadDays,P188&lt;&gt;"Yes"),"Follow-up due soon","OK"))))</f>
        <v>0</v>
      </c>
    </row>
    <row r="189" spans="1:20">
      <c r="A189" s="46">
        <f>IF(B189="","","MSG-"&amp;TEXT(ROW()-4,"0000"))</f>
        <v>0</v>
      </c>
      <c r="Q189" s="31">
        <f>IF(AND(K189="Yes",M189&lt;&gt;"Resolved",B189&lt;&gt;""),TODAY()-B189,"")</f>
        <v>0</v>
      </c>
      <c r="S189" s="28">
        <f>IF(B189="","",TEXT(B189,"yyyy-mm"))</f>
        <v>0</v>
      </c>
      <c r="T189" s="49">
        <f>IF(B189="","",IF(AND(K189="Yes",M189&lt;&gt;"Resolved"),"Action - unresolved complaint",IF(AND(O189&lt;&gt;"",O189&lt;TODAY(),P189&lt;&gt;"Yes"),"Overdue follow-up",IF(AND(O189&lt;&gt;"",O189-TODAY()&lt;=ReminderLeadDays,P189&lt;&gt;"Yes"),"Follow-up due soon","OK"))))</f>
        <v>0</v>
      </c>
    </row>
    <row r="190" spans="1:20">
      <c r="A190" s="46">
        <f>IF(B190="","","MSG-"&amp;TEXT(ROW()-4,"0000"))</f>
        <v>0</v>
      </c>
      <c r="Q190" s="31">
        <f>IF(AND(K190="Yes",M190&lt;&gt;"Resolved",B190&lt;&gt;""),TODAY()-B190,"")</f>
        <v>0</v>
      </c>
      <c r="S190" s="28">
        <f>IF(B190="","",TEXT(B190,"yyyy-mm"))</f>
        <v>0</v>
      </c>
      <c r="T190" s="49">
        <f>IF(B190="","",IF(AND(K190="Yes",M190&lt;&gt;"Resolved"),"Action - unresolved complaint",IF(AND(O190&lt;&gt;"",O190&lt;TODAY(),P190&lt;&gt;"Yes"),"Overdue follow-up",IF(AND(O190&lt;&gt;"",O190-TODAY()&lt;=ReminderLeadDays,P190&lt;&gt;"Yes"),"Follow-up due soon","OK"))))</f>
        <v>0</v>
      </c>
    </row>
    <row r="191" spans="1:20">
      <c r="A191" s="46">
        <f>IF(B191="","","MSG-"&amp;TEXT(ROW()-4,"0000"))</f>
        <v>0</v>
      </c>
      <c r="Q191" s="31">
        <f>IF(AND(K191="Yes",M191&lt;&gt;"Resolved",B191&lt;&gt;""),TODAY()-B191,"")</f>
        <v>0</v>
      </c>
      <c r="S191" s="28">
        <f>IF(B191="","",TEXT(B191,"yyyy-mm"))</f>
        <v>0</v>
      </c>
      <c r="T191" s="49">
        <f>IF(B191="","",IF(AND(K191="Yes",M191&lt;&gt;"Resolved"),"Action - unresolved complaint",IF(AND(O191&lt;&gt;"",O191&lt;TODAY(),P191&lt;&gt;"Yes"),"Overdue follow-up",IF(AND(O191&lt;&gt;"",O191-TODAY()&lt;=ReminderLeadDays,P191&lt;&gt;"Yes"),"Follow-up due soon","OK"))))</f>
        <v>0</v>
      </c>
    </row>
    <row r="192" spans="1:20">
      <c r="A192" s="46">
        <f>IF(B192="","","MSG-"&amp;TEXT(ROW()-4,"0000"))</f>
        <v>0</v>
      </c>
      <c r="Q192" s="31">
        <f>IF(AND(K192="Yes",M192&lt;&gt;"Resolved",B192&lt;&gt;""),TODAY()-B192,"")</f>
        <v>0</v>
      </c>
      <c r="S192" s="28">
        <f>IF(B192="","",TEXT(B192,"yyyy-mm"))</f>
        <v>0</v>
      </c>
      <c r="T192" s="49">
        <f>IF(B192="","",IF(AND(K192="Yes",M192&lt;&gt;"Resolved"),"Action - unresolved complaint",IF(AND(O192&lt;&gt;"",O192&lt;TODAY(),P192&lt;&gt;"Yes"),"Overdue follow-up",IF(AND(O192&lt;&gt;"",O192-TODAY()&lt;=ReminderLeadDays,P192&lt;&gt;"Yes"),"Follow-up due soon","OK"))))</f>
        <v>0</v>
      </c>
    </row>
    <row r="193" spans="1:20">
      <c r="A193" s="46">
        <f>IF(B193="","","MSG-"&amp;TEXT(ROW()-4,"0000"))</f>
        <v>0</v>
      </c>
      <c r="Q193" s="31">
        <f>IF(AND(K193="Yes",M193&lt;&gt;"Resolved",B193&lt;&gt;""),TODAY()-B193,"")</f>
        <v>0</v>
      </c>
      <c r="S193" s="28">
        <f>IF(B193="","",TEXT(B193,"yyyy-mm"))</f>
        <v>0</v>
      </c>
      <c r="T193" s="49">
        <f>IF(B193="","",IF(AND(K193="Yes",M193&lt;&gt;"Resolved"),"Action - unresolved complaint",IF(AND(O193&lt;&gt;"",O193&lt;TODAY(),P193&lt;&gt;"Yes"),"Overdue follow-up",IF(AND(O193&lt;&gt;"",O193-TODAY()&lt;=ReminderLeadDays,P193&lt;&gt;"Yes"),"Follow-up due soon","OK"))))</f>
        <v>0</v>
      </c>
    </row>
    <row r="194" spans="1:20">
      <c r="A194" s="46">
        <f>IF(B194="","","MSG-"&amp;TEXT(ROW()-4,"0000"))</f>
        <v>0</v>
      </c>
      <c r="Q194" s="31">
        <f>IF(AND(K194="Yes",M194&lt;&gt;"Resolved",B194&lt;&gt;""),TODAY()-B194,"")</f>
        <v>0</v>
      </c>
      <c r="S194" s="28">
        <f>IF(B194="","",TEXT(B194,"yyyy-mm"))</f>
        <v>0</v>
      </c>
      <c r="T194" s="49">
        <f>IF(B194="","",IF(AND(K194="Yes",M194&lt;&gt;"Resolved"),"Action - unresolved complaint",IF(AND(O194&lt;&gt;"",O194&lt;TODAY(),P194&lt;&gt;"Yes"),"Overdue follow-up",IF(AND(O194&lt;&gt;"",O194-TODAY()&lt;=ReminderLeadDays,P194&lt;&gt;"Yes"),"Follow-up due soon","OK"))))</f>
        <v>0</v>
      </c>
    </row>
    <row r="195" spans="1:20">
      <c r="A195" s="46">
        <f>IF(B195="","","MSG-"&amp;TEXT(ROW()-4,"0000"))</f>
        <v>0</v>
      </c>
      <c r="Q195" s="31">
        <f>IF(AND(K195="Yes",M195&lt;&gt;"Resolved",B195&lt;&gt;""),TODAY()-B195,"")</f>
        <v>0</v>
      </c>
      <c r="S195" s="28">
        <f>IF(B195="","",TEXT(B195,"yyyy-mm"))</f>
        <v>0</v>
      </c>
      <c r="T195" s="49">
        <f>IF(B195="","",IF(AND(K195="Yes",M195&lt;&gt;"Resolved"),"Action - unresolved complaint",IF(AND(O195&lt;&gt;"",O195&lt;TODAY(),P195&lt;&gt;"Yes"),"Overdue follow-up",IF(AND(O195&lt;&gt;"",O195-TODAY()&lt;=ReminderLeadDays,P195&lt;&gt;"Yes"),"Follow-up due soon","OK"))))</f>
        <v>0</v>
      </c>
    </row>
    <row r="196" spans="1:20">
      <c r="A196" s="46">
        <f>IF(B196="","","MSG-"&amp;TEXT(ROW()-4,"0000"))</f>
        <v>0</v>
      </c>
      <c r="Q196" s="31">
        <f>IF(AND(K196="Yes",M196&lt;&gt;"Resolved",B196&lt;&gt;""),TODAY()-B196,"")</f>
        <v>0</v>
      </c>
      <c r="S196" s="28">
        <f>IF(B196="","",TEXT(B196,"yyyy-mm"))</f>
        <v>0</v>
      </c>
      <c r="T196" s="49">
        <f>IF(B196="","",IF(AND(K196="Yes",M196&lt;&gt;"Resolved"),"Action - unresolved complaint",IF(AND(O196&lt;&gt;"",O196&lt;TODAY(),P196&lt;&gt;"Yes"),"Overdue follow-up",IF(AND(O196&lt;&gt;"",O196-TODAY()&lt;=ReminderLeadDays,P196&lt;&gt;"Yes"),"Follow-up due soon","OK"))))</f>
        <v>0</v>
      </c>
    </row>
    <row r="197" spans="1:20">
      <c r="A197" s="46">
        <f>IF(B197="","","MSG-"&amp;TEXT(ROW()-4,"0000"))</f>
        <v>0</v>
      </c>
      <c r="Q197" s="31">
        <f>IF(AND(K197="Yes",M197&lt;&gt;"Resolved",B197&lt;&gt;""),TODAY()-B197,"")</f>
        <v>0</v>
      </c>
      <c r="S197" s="28">
        <f>IF(B197="","",TEXT(B197,"yyyy-mm"))</f>
        <v>0</v>
      </c>
      <c r="T197" s="49">
        <f>IF(B197="","",IF(AND(K197="Yes",M197&lt;&gt;"Resolved"),"Action - unresolved complaint",IF(AND(O197&lt;&gt;"",O197&lt;TODAY(),P197&lt;&gt;"Yes"),"Overdue follow-up",IF(AND(O197&lt;&gt;"",O197-TODAY()&lt;=ReminderLeadDays,P197&lt;&gt;"Yes"),"Follow-up due soon","OK"))))</f>
        <v>0</v>
      </c>
    </row>
    <row r="198" spans="1:20">
      <c r="A198" s="46">
        <f>IF(B198="","","MSG-"&amp;TEXT(ROW()-4,"0000"))</f>
        <v>0</v>
      </c>
      <c r="Q198" s="31">
        <f>IF(AND(K198="Yes",M198&lt;&gt;"Resolved",B198&lt;&gt;""),TODAY()-B198,"")</f>
        <v>0</v>
      </c>
      <c r="S198" s="28">
        <f>IF(B198="","",TEXT(B198,"yyyy-mm"))</f>
        <v>0</v>
      </c>
      <c r="T198" s="49">
        <f>IF(B198="","",IF(AND(K198="Yes",M198&lt;&gt;"Resolved"),"Action - unresolved complaint",IF(AND(O198&lt;&gt;"",O198&lt;TODAY(),P198&lt;&gt;"Yes"),"Overdue follow-up",IF(AND(O198&lt;&gt;"",O198-TODAY()&lt;=ReminderLeadDays,P198&lt;&gt;"Yes"),"Follow-up due soon","OK"))))</f>
        <v>0</v>
      </c>
    </row>
    <row r="199" spans="1:20">
      <c r="A199" s="46">
        <f>IF(B199="","","MSG-"&amp;TEXT(ROW()-4,"0000"))</f>
        <v>0</v>
      </c>
      <c r="Q199" s="31">
        <f>IF(AND(K199="Yes",M199&lt;&gt;"Resolved",B199&lt;&gt;""),TODAY()-B199,"")</f>
        <v>0</v>
      </c>
      <c r="S199" s="28">
        <f>IF(B199="","",TEXT(B199,"yyyy-mm"))</f>
        <v>0</v>
      </c>
      <c r="T199" s="49">
        <f>IF(B199="","",IF(AND(K199="Yes",M199&lt;&gt;"Resolved"),"Action - unresolved complaint",IF(AND(O199&lt;&gt;"",O199&lt;TODAY(),P199&lt;&gt;"Yes"),"Overdue follow-up",IF(AND(O199&lt;&gt;"",O199-TODAY()&lt;=ReminderLeadDays,P199&lt;&gt;"Yes"),"Follow-up due soon","OK"))))</f>
        <v>0</v>
      </c>
    </row>
    <row r="200" spans="1:20">
      <c r="A200" s="46">
        <f>IF(B200="","","MSG-"&amp;TEXT(ROW()-4,"0000"))</f>
        <v>0</v>
      </c>
      <c r="Q200" s="31">
        <f>IF(AND(K200="Yes",M200&lt;&gt;"Resolved",B200&lt;&gt;""),TODAY()-B200,"")</f>
        <v>0</v>
      </c>
      <c r="S200" s="28">
        <f>IF(B200="","",TEXT(B200,"yyyy-mm"))</f>
        <v>0</v>
      </c>
      <c r="T200" s="49">
        <f>IF(B200="","",IF(AND(K200="Yes",M200&lt;&gt;"Resolved"),"Action - unresolved complaint",IF(AND(O200&lt;&gt;"",O200&lt;TODAY(),P200&lt;&gt;"Yes"),"Overdue follow-up",IF(AND(O200&lt;&gt;"",O200-TODAY()&lt;=ReminderLeadDays,P200&lt;&gt;"Yes"),"Follow-up due soon","OK"))))</f>
        <v>0</v>
      </c>
    </row>
    <row r="201" spans="1:20">
      <c r="A201" s="46">
        <f>IF(B201="","","MSG-"&amp;TEXT(ROW()-4,"0000"))</f>
        <v>0</v>
      </c>
      <c r="Q201" s="31">
        <f>IF(AND(K201="Yes",M201&lt;&gt;"Resolved",B201&lt;&gt;""),TODAY()-B201,"")</f>
        <v>0</v>
      </c>
      <c r="S201" s="28">
        <f>IF(B201="","",TEXT(B201,"yyyy-mm"))</f>
        <v>0</v>
      </c>
      <c r="T201" s="49">
        <f>IF(B201="","",IF(AND(K201="Yes",M201&lt;&gt;"Resolved"),"Action - unresolved complaint",IF(AND(O201&lt;&gt;"",O201&lt;TODAY(),P201&lt;&gt;"Yes"),"Overdue follow-up",IF(AND(O201&lt;&gt;"",O201-TODAY()&lt;=ReminderLeadDays,P201&lt;&gt;"Yes"),"Follow-up due soon","OK"))))</f>
        <v>0</v>
      </c>
    </row>
    <row r="202" spans="1:20">
      <c r="A202" s="46">
        <f>IF(B202="","","MSG-"&amp;TEXT(ROW()-4,"0000"))</f>
        <v>0</v>
      </c>
      <c r="Q202" s="31">
        <f>IF(AND(K202="Yes",M202&lt;&gt;"Resolved",B202&lt;&gt;""),TODAY()-B202,"")</f>
        <v>0</v>
      </c>
      <c r="S202" s="28">
        <f>IF(B202="","",TEXT(B202,"yyyy-mm"))</f>
        <v>0</v>
      </c>
      <c r="T202" s="49">
        <f>IF(B202="","",IF(AND(K202="Yes",M202&lt;&gt;"Resolved"),"Action - unresolved complaint",IF(AND(O202&lt;&gt;"",O202&lt;TODAY(),P202&lt;&gt;"Yes"),"Overdue follow-up",IF(AND(O202&lt;&gt;"",O202-TODAY()&lt;=ReminderLeadDays,P202&lt;&gt;"Yes"),"Follow-up due soon","OK"))))</f>
        <v>0</v>
      </c>
    </row>
    <row r="203" spans="1:20">
      <c r="A203" s="46">
        <f>IF(B203="","","MSG-"&amp;TEXT(ROW()-4,"0000"))</f>
        <v>0</v>
      </c>
      <c r="Q203" s="31">
        <f>IF(AND(K203="Yes",M203&lt;&gt;"Resolved",B203&lt;&gt;""),TODAY()-B203,"")</f>
        <v>0</v>
      </c>
      <c r="S203" s="28">
        <f>IF(B203="","",TEXT(B203,"yyyy-mm"))</f>
        <v>0</v>
      </c>
      <c r="T203" s="49">
        <f>IF(B203="","",IF(AND(K203="Yes",M203&lt;&gt;"Resolved"),"Action - unresolved complaint",IF(AND(O203&lt;&gt;"",O203&lt;TODAY(),P203&lt;&gt;"Yes"),"Overdue follow-up",IF(AND(O203&lt;&gt;"",O203-TODAY()&lt;=ReminderLeadDays,P203&lt;&gt;"Yes"),"Follow-up due soon","OK"))))</f>
        <v>0</v>
      </c>
    </row>
    <row r="204" spans="1:20">
      <c r="A204" s="46">
        <f>IF(B204="","","MSG-"&amp;TEXT(ROW()-4,"0000"))</f>
        <v>0</v>
      </c>
      <c r="Q204" s="31">
        <f>IF(AND(K204="Yes",M204&lt;&gt;"Resolved",B204&lt;&gt;""),TODAY()-B204,"")</f>
        <v>0</v>
      </c>
      <c r="S204" s="28">
        <f>IF(B204="","",TEXT(B204,"yyyy-mm"))</f>
        <v>0</v>
      </c>
      <c r="T204" s="49">
        <f>IF(B204="","",IF(AND(K204="Yes",M204&lt;&gt;"Resolved"),"Action - unresolved complaint",IF(AND(O204&lt;&gt;"",O204&lt;TODAY(),P204&lt;&gt;"Yes"),"Overdue follow-up",IF(AND(O204&lt;&gt;"",O204-TODAY()&lt;=ReminderLeadDays,P204&lt;&gt;"Yes"),"Follow-up due soon","OK"))))</f>
        <v>0</v>
      </c>
    </row>
  </sheetData>
  <sheetProtection password="EC7C" sheet="1" objects="1" scenarios="1" formatCells="0" formatColumns="0" formatRows="0" insertRows="0" insertHyperlinks="0" deleteRows="0" autoFilter="0"/>
  <autoFilter ref="A4:T2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H5:H20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I5:I204">
    <cfRule type="cellIs" dxfId="0" priority="20" operator="greaterThanOrEqual">
      <formula>4</formula>
    </cfRule>
    <cfRule type="cellIs" dxfId="1" priority="21" operator="lessThanOrEqual">
      <formula>2</formula>
    </cfRule>
    <cfRule type="cellIs" dxfId="2" priority="22" operator="equal">
      <formula>3</formula>
    </cfRule>
  </conditionalFormatting>
  <conditionalFormatting sqref="K5:K204">
    <cfRule type="containsText" dxfId="1" priority="23" operator="containsText" text="Yes">
      <formula>NOT(ISERROR(SEARCH("Yes",K5)))</formula>
    </cfRule>
  </conditionalFormatting>
  <conditionalFormatting sqref="M5:M204">
    <cfRule type="containsText" dxfId="0" priority="24" operator="containsText" text="Completed">
      <formula>NOT(ISERROR(SEARCH("Completed",M5)))</formula>
    </cfRule>
    <cfRule type="containsText" dxfId="0" priority="25" operator="containsText" text="Confirmed">
      <formula>NOT(ISERROR(SEARCH("Confirmed",M5)))</formula>
    </cfRule>
    <cfRule type="containsText" dxfId="0" priority="26" operator="containsText" text="Paid">
      <formula>NOT(ISERROR(SEARCH("Paid",M5)))</formula>
    </cfRule>
    <cfRule type="containsText" dxfId="0" priority="27" operator="containsText" text="Active">
      <formula>NOT(ISERROR(SEARCH("Active",M5)))</formula>
    </cfRule>
    <cfRule type="containsText" dxfId="0" priority="28" operator="containsText" text="Resolved">
      <formula>NOT(ISERROR(SEARCH("Resolved",M5)))</formula>
    </cfRule>
    <cfRule type="containsText" dxfId="0" priority="29" operator="containsText" text="Given">
      <formula>NOT(ISERROR(SEARCH("Given",M5)))</formula>
    </cfRule>
    <cfRule type="containsText" dxfId="2" priority="30" operator="containsText" text="Pending">
      <formula>NOT(ISERROR(SEARCH("Pending",M5)))</formula>
    </cfRule>
    <cfRule type="containsText" dxfId="2" priority="31" operator="containsText" text="Draft">
      <formula>NOT(ISERROR(SEARCH("Draft",M5)))</formula>
    </cfRule>
    <cfRule type="containsText" dxfId="2" priority="32" operator="containsText" text="Enquiry">
      <formula>NOT(ISERROR(SEARCH("Enquiry",M5)))</formula>
    </cfRule>
    <cfRule type="containsText" dxfId="2" priority="33" operator="containsText" text="Partially">
      <formula>NOT(ISERROR(SEARCH("Partially",M5)))</formula>
    </cfRule>
    <cfRule type="containsText" dxfId="3" priority="34" operator="containsText" text="In progress">
      <formula>NOT(ISERROR(SEARCH("In progress",M5)))</formula>
    </cfRule>
    <cfRule type="containsText" dxfId="3" priority="35" operator="containsText" text="Scheduled">
      <formula>NOT(ISERROR(SEARCH("Scheduled",M5)))</formula>
    </cfRule>
    <cfRule type="containsText" dxfId="3" priority="36" operator="containsText" text="Sent">
      <formula>NOT(ISERROR(SEARCH("Sent",M5)))</formula>
    </cfRule>
    <cfRule type="containsText" dxfId="1" priority="37" operator="containsText" text="Cancelled">
      <formula>NOT(ISERROR(SEARCH("Cancelled",M5)))</formula>
    </cfRule>
    <cfRule type="containsText" dxfId="1" priority="38" operator="containsText" text="No show">
      <formula>NOT(ISERROR(SEARCH("No show",M5)))</formula>
    </cfRule>
    <cfRule type="containsText" dxfId="1" priority="39" operator="containsText" text="Missed">
      <formula>NOT(ISERROR(SEARCH("Missed",M5)))</formula>
    </cfRule>
    <cfRule type="containsText" dxfId="1" priority="40" operator="containsText" text="Overdue">
      <formula>NOT(ISERROR(SEARCH("Overdue",M5)))</formula>
    </cfRule>
    <cfRule type="containsText" dxfId="4" priority="41" operator="containsText" text="Inactive">
      <formula>NOT(ISERROR(SEARCH("Inactive",M5)))</formula>
    </cfRule>
    <cfRule type="containsText" dxfId="1" priority="42" operator="containsText" text="Lost">
      <formula>NOT(ISERROR(SEARCH("Lost",M5)))</formula>
    </cfRule>
  </conditionalFormatting>
  <conditionalFormatting sqref="P5:P204">
    <cfRule type="containsText" dxfId="0" priority="43" operator="containsText" text="Completed">
      <formula>NOT(ISERROR(SEARCH("Completed",P5)))</formula>
    </cfRule>
    <cfRule type="containsText" dxfId="0" priority="44" operator="containsText" text="Confirmed">
      <formula>NOT(ISERROR(SEARCH("Confirmed",P5)))</formula>
    </cfRule>
    <cfRule type="containsText" dxfId="0" priority="45" operator="containsText" text="Paid">
      <formula>NOT(ISERROR(SEARCH("Paid",P5)))</formula>
    </cfRule>
    <cfRule type="containsText" dxfId="0" priority="46" operator="containsText" text="Active">
      <formula>NOT(ISERROR(SEARCH("Active",P5)))</formula>
    </cfRule>
    <cfRule type="containsText" dxfId="0" priority="47" operator="containsText" text="Resolved">
      <formula>NOT(ISERROR(SEARCH("Resolved",P5)))</formula>
    </cfRule>
    <cfRule type="containsText" dxfId="0" priority="48" operator="containsText" text="Given">
      <formula>NOT(ISERROR(SEARCH("Given",P5)))</formula>
    </cfRule>
    <cfRule type="containsText" dxfId="2" priority="49" operator="containsText" text="Pending">
      <formula>NOT(ISERROR(SEARCH("Pending",P5)))</formula>
    </cfRule>
    <cfRule type="containsText" dxfId="2" priority="50" operator="containsText" text="Draft">
      <formula>NOT(ISERROR(SEARCH("Draft",P5)))</formula>
    </cfRule>
    <cfRule type="containsText" dxfId="2" priority="51" operator="containsText" text="Enquiry">
      <formula>NOT(ISERROR(SEARCH("Enquiry",P5)))</formula>
    </cfRule>
    <cfRule type="containsText" dxfId="2" priority="52" operator="containsText" text="Partially">
      <formula>NOT(ISERROR(SEARCH("Partially",P5)))</formula>
    </cfRule>
    <cfRule type="containsText" dxfId="3" priority="53" operator="containsText" text="In progress">
      <formula>NOT(ISERROR(SEARCH("In progress",P5)))</formula>
    </cfRule>
    <cfRule type="containsText" dxfId="3" priority="54" operator="containsText" text="Scheduled">
      <formula>NOT(ISERROR(SEARCH("Scheduled",P5)))</formula>
    </cfRule>
    <cfRule type="containsText" dxfId="3" priority="55" operator="containsText" text="Sent">
      <formula>NOT(ISERROR(SEARCH("Sent",P5)))</formula>
    </cfRule>
    <cfRule type="containsText" dxfId="1" priority="56" operator="containsText" text="Cancelled">
      <formula>NOT(ISERROR(SEARCH("Cancelled",P5)))</formula>
    </cfRule>
    <cfRule type="containsText" dxfId="1" priority="57" operator="containsText" text="No show">
      <formula>NOT(ISERROR(SEARCH("No show",P5)))</formula>
    </cfRule>
    <cfRule type="containsText" dxfId="1" priority="58" operator="containsText" text="Missed">
      <formula>NOT(ISERROR(SEARCH("Missed",P5)))</formula>
    </cfRule>
    <cfRule type="containsText" dxfId="1" priority="59" operator="containsText" text="Overdue">
      <formula>NOT(ISERROR(SEARCH("Overdue",P5)))</formula>
    </cfRule>
    <cfRule type="containsText" dxfId="4" priority="60" operator="containsText" text="Inactive">
      <formula>NOT(ISERROR(SEARCH("Inactive",P5)))</formula>
    </cfRule>
    <cfRule type="containsText" dxfId="1" priority="61" operator="containsText" text="Lost">
      <formula>NOT(ISERROR(SEARCH("Lost",P5)))</formula>
    </cfRule>
  </conditionalFormatting>
  <conditionalFormatting sqref="Q5:Q204">
    <cfRule type="cellIs" dxfId="1" priority="62" operator="greaterThan">
      <formula>7</formula>
    </cfRule>
  </conditionalFormatting>
  <conditionalFormatting sqref="T5:T204">
    <cfRule type="beginsWith" dxfId="0" priority="63" operator="beginsWith" text="OK">
      <formula>LEFT(T5,2)="OK"</formula>
    </cfRule>
    <cfRule type="containsText" dxfId="1" priority="64" operator="containsText" text="Overdue">
      <formula>NOT(ISERROR(SEARCH("Overdue",T5)))</formula>
    </cfRule>
    <cfRule type="containsText" dxfId="1" priority="65" operator="containsText" text="Missed">
      <formula>NOT(ISERROR(SEARCH("Missed",T5)))</formula>
    </cfRule>
    <cfRule type="containsText" dxfId="1" priority="66" operator="containsText" text="Conflict">
      <formula>NOT(ISERROR(SEARCH("Conflict",T5)))</formula>
    </cfRule>
    <cfRule type="containsText" dxfId="1" priority="67" operator="containsText" text="Expired">
      <formula>NOT(ISERROR(SEARCH("Expired",T5)))</formula>
    </cfRule>
    <cfRule type="containsText" dxfId="1" priority="68" operator="containsText" text="Duplicate">
      <formula>NOT(ISERROR(SEARCH("Duplicate",T5)))</formula>
    </cfRule>
    <cfRule type="containsText" dxfId="2" priority="69" operator="containsText" text="Action">
      <formula>NOT(ISERROR(SEARCH("Action",T5)))</formula>
    </cfRule>
    <cfRule type="containsText" dxfId="2" priority="70" operator="containsText" text="Due">
      <formula>NOT(ISERROR(SEARCH("Due",T5)))</formula>
    </cfRule>
    <cfRule type="containsText" dxfId="2" priority="71" operator="containsText" text="Check">
      <formula>NOT(ISERROR(SEARCH("Check",T5)))</formula>
    </cfRule>
    <cfRule type="containsText" dxfId="3" priority="72" operator="containsText" text="Today">
      <formula>NOT(ISERROR(SEARCH("Today",T5)))</formula>
    </cfRule>
    <cfRule type="containsText" dxfId="3" priority="73" operator="containsText" text="Upcoming">
      <formula>NOT(ISERROR(SEARCH("Upcoming",T5)))</formula>
    </cfRule>
  </conditionalFormatting>
  <dataValidations count="12">
    <dataValidation type="date" allowBlank="1" showInputMessage="1" showErrorMessage="1" errorTitle="Check the date" error="Enter a real date between 2000 and 2100." sqref="B5:B204">
      <formula1>36526</formula1>
      <formula2>73415</formula2>
    </dataValidation>
    <dataValidation type="list" allowBlank="1" showInputMessage="1" showErrorMessage="1" sqref="C5:C204">
      <formula1>ClientNames</formula1>
    </dataValidation>
    <dataValidation type="list" allowBlank="1" showInputMessage="1" showErrorMessage="1" sqref="D5:D204">
      <formula1>MessageTypeList</formula1>
    </dataValidation>
    <dataValidation type="list" allowBlank="1" showInputMessage="1" showErrorMessage="1" sqref="E5:E204">
      <formula1>ChannelList</formula1>
    </dataValidation>
    <dataValidation type="list" allowBlank="1" showInputMessage="1" showErrorMessage="1" sqref="F5:F204">
      <formula1>DirectionList</formula1>
    </dataValidation>
    <dataValidation type="list" allowBlank="1" showInputMessage="1" showErrorMessage="1" sqref="H5:H204">
      <formula1>"Yes,No"</formula1>
    </dataValidation>
    <dataValidation type="whole" allowBlank="1" showInputMessage="1" showErrorMessage="1" errorTitle="Rating 1-5" error="Enter a whole number from 1 (poor) to 5 (excellent)." sqref="I5:I204">
      <formula1>1</formula1>
      <formula2>5</formula2>
    </dataValidation>
    <dataValidation type="list" allowBlank="1" showInputMessage="1" showErrorMessage="1" sqref="K5:K204">
      <formula1>"Yes,No"</formula1>
    </dataValidation>
    <dataValidation type="list" allowBlank="1" showInputMessage="1" showErrorMessage="1" sqref="M5:M204">
      <formula1>ResolutionList</formula1>
    </dataValidation>
    <dataValidation type="date" allowBlank="1" showInputMessage="1" showErrorMessage="1" errorTitle="Check the date" error="Enter a real date between 2000 and 2100." sqref="N5:N204">
      <formula1>36526</formula1>
      <formula2>73415</formula2>
    </dataValidation>
    <dataValidation type="date" allowBlank="1" showInputMessage="1" showErrorMessage="1" errorTitle="Check the date" error="Enter a real date between 2000 and 2100." sqref="O5:O204">
      <formula1>36526</formula1>
      <formula2>73415</formula2>
    </dataValidation>
    <dataValidation type="list" allowBlank="1" showInputMessage="1" showErrorMessage="1" sqref="P5:P2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&amp;L&amp;"Calibri,Bold"&amp;12&amp;C&amp;"Calibri,Bold"&amp;11Messages&amp;R&amp;"Calibri,Italic"&amp;9Pet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3.xml><?xml version="1.0" encoding="utf-8"?>
<worksheet xmlns="http://schemas.openxmlformats.org/spreadsheetml/2006/main" xmlns:r="http://schemas.openxmlformats.org/officeDocument/2006/relationships">
  <sheetPr>
    <tabColor rgb="FF116241"/>
    <pageSetUpPr fitToPage="1"/>
  </sheetPr>
  <dimension ref="A1:AD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2.7109375" style="46" customWidth="1"/>
    <col min="2" max="2" width="12.7109375" style="39" customWidth="1"/>
    <col min="3" max="3" width="12.7109375" style="21" customWidth="1"/>
    <col min="4" max="4" width="20.7109375" style="20" customWidth="1"/>
    <col min="5" max="5" width="12.7109375" style="20" customWidth="1"/>
    <col min="6" max="6" width="12.7109375" style="29" customWidth="1"/>
    <col min="7" max="7" width="40.7109375" style="47" customWidth="1"/>
    <col min="8" max="8" width="8.7109375" style="52" customWidth="1"/>
    <col min="9" max="9" width="11.7109375" style="42" customWidth="1"/>
    <col min="10" max="10" width="12.7109375" style="29" customWidth="1"/>
    <col min="11" max="11" width="11.7109375" style="42" customWidth="1"/>
    <col min="12" max="12" width="11.7109375" style="42" customWidth="1"/>
    <col min="13" max="13" width="12.7109375" style="29" customWidth="1"/>
    <col min="14" max="14" width="11.7109375" style="29" customWidth="1"/>
    <col min="15" max="15" width="13.7109375" style="29" customWidth="1"/>
    <col min="16" max="16" width="12.7109375" style="29" customWidth="1"/>
    <col min="17" max="17" width="12.7109375" style="29" customWidth="1"/>
    <col min="18" max="18" width="11.7109375" style="29" customWidth="1"/>
    <col min="19" max="19" width="12.7109375" style="29" customWidth="1"/>
    <col min="20" max="20" width="13.7109375" style="48" customWidth="1"/>
    <col min="21" max="21" width="15.7109375" style="49" customWidth="1"/>
    <col min="22" max="22" width="10.7109375" style="31" customWidth="1"/>
    <col min="23" max="23" width="13.7109375" style="49" customWidth="1"/>
    <col min="24" max="24" width="11.7109375" style="29" customWidth="1"/>
    <col min="25" max="25" width="12.7109375" style="39" customWidth="1"/>
    <col min="26" max="26" width="10.7109375" style="12" customWidth="1"/>
    <col min="27" max="27" width="13.7109375" style="49" customWidth="1"/>
    <col min="28" max="28" width="30.7109375" style="47" customWidth="1"/>
    <col min="29" max="29" width="10.7109375" style="28" customWidth="1"/>
    <col min="30" max="30" width="24.7109375" style="49" customWidth="1"/>
  </cols>
  <sheetData>
    <row r="1" spans="1:30" ht="34" customHeight="1">
      <c r="A1" s="2" t="s">
        <v>37</v>
      </c>
      <c r="B1" s="2"/>
      <c r="C1" s="2"/>
      <c r="D1" s="2"/>
      <c r="E1" s="2"/>
      <c r="F1" s="2"/>
      <c r="G1" s="2"/>
      <c r="H1" s="2"/>
      <c r="I1" s="2"/>
      <c r="J1" s="2"/>
      <c r="K1" s="2"/>
      <c r="L1" s="2"/>
      <c r="M1" s="2"/>
      <c r="N1" s="2"/>
      <c r="O1" s="2"/>
      <c r="P1" s="2"/>
      <c r="Q1" s="2"/>
      <c r="R1" s="2"/>
      <c r="S1" s="2"/>
      <c r="T1" s="2"/>
      <c r="U1" s="2"/>
      <c r="V1" s="2"/>
      <c r="W1" s="2"/>
      <c r="X1" s="2"/>
      <c r="Y1" s="2"/>
      <c r="Z1" s="2"/>
      <c r="AA1" s="2"/>
      <c r="AB1" s="3" t="s">
        <v>118</v>
      </c>
      <c r="AC1" s="3"/>
      <c r="AD1" s="3"/>
    </row>
    <row r="2" spans="1:30" ht="18" customHeight="1">
      <c r="A2" s="4" t="s">
        <v>872</v>
      </c>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873</v>
      </c>
      <c r="T3" s="45"/>
      <c r="U3" s="45"/>
      <c r="V3" s="45"/>
      <c r="W3" s="45"/>
      <c r="X3" s="45"/>
      <c r="Y3" s="45"/>
      <c r="Z3" s="45"/>
      <c r="AA3" s="45"/>
      <c r="AB3" s="45"/>
      <c r="AC3" s="45"/>
      <c r="AD3" s="45"/>
    </row>
    <row r="4" spans="1:30" ht="30" customHeight="1">
      <c r="A4" s="8" t="s">
        <v>874</v>
      </c>
      <c r="B4" s="8" t="s">
        <v>875</v>
      </c>
      <c r="C4" s="9" t="s">
        <v>876</v>
      </c>
      <c r="D4" s="9" t="s">
        <v>207</v>
      </c>
      <c r="E4" s="9" t="s">
        <v>877</v>
      </c>
      <c r="F4" s="9" t="s">
        <v>763</v>
      </c>
      <c r="G4" s="9" t="s">
        <v>878</v>
      </c>
      <c r="H4" s="9" t="s">
        <v>879</v>
      </c>
      <c r="I4" s="9" t="s">
        <v>743</v>
      </c>
      <c r="J4" s="9" t="s">
        <v>880</v>
      </c>
      <c r="K4" s="9" t="s">
        <v>881</v>
      </c>
      <c r="L4" s="9" t="s">
        <v>758</v>
      </c>
      <c r="M4" s="9" t="s">
        <v>761</v>
      </c>
      <c r="N4" s="9" t="s">
        <v>762</v>
      </c>
      <c r="O4" s="9" t="s">
        <v>882</v>
      </c>
      <c r="P4" s="9" t="s">
        <v>883</v>
      </c>
      <c r="Q4" s="9" t="s">
        <v>884</v>
      </c>
      <c r="R4" s="9" t="s">
        <v>540</v>
      </c>
      <c r="S4" s="9" t="s">
        <v>885</v>
      </c>
      <c r="T4" s="9" t="s">
        <v>536</v>
      </c>
      <c r="U4" s="9" t="s">
        <v>772</v>
      </c>
      <c r="V4" s="9" t="s">
        <v>886</v>
      </c>
      <c r="W4" s="9" t="s">
        <v>887</v>
      </c>
      <c r="X4" s="9" t="s">
        <v>888</v>
      </c>
      <c r="Y4" s="9" t="s">
        <v>889</v>
      </c>
      <c r="Z4" s="9" t="s">
        <v>766</v>
      </c>
      <c r="AA4" s="9" t="s">
        <v>890</v>
      </c>
      <c r="AB4" s="9" t="s">
        <v>891</v>
      </c>
      <c r="AC4" s="9" t="s">
        <v>131</v>
      </c>
      <c r="AD4" s="9" t="s">
        <v>686</v>
      </c>
    </row>
    <row r="5" spans="1:30">
      <c r="A5" s="46">
        <f>IF(D5="","",InvoicePrefix&amp;TEXT(InvoiceStartNo+ROW()-5,"0000"))</f>
        <v>0</v>
      </c>
      <c r="C5" s="21">
        <f>IF(B5="","",B5+PaymentTermsDays)</f>
        <v>0</v>
      </c>
      <c r="F5" s="29">
        <f>IF(E5="",0,IFERROR(INDEX(Bookings!$AI$5:$AI$404,MATCH(E5,Bookings!$A$5:$A$404,0)),0))</f>
        <v>0</v>
      </c>
      <c r="J5" s="29">
        <f>IF(D5="","",IF(E5&lt;&gt;"",F5,ROUND(IF(H5="",0,H5)*IF(I5="",0,I5),2)))</f>
        <v>0</v>
      </c>
      <c r="M5" s="29">
        <f>IF(D5="","",ROUND(J5+IF(K5="",0,K5)-IF(L5="",0,L5),2))</f>
        <v>0</v>
      </c>
      <c r="N5" s="29">
        <f>IF(M5="","",IF(TaxRegistered&lt;&gt;"Yes",0,IF(PricesIncludeTax="Yes",ROUND(M5-M5/(1+TaxRate),2),ROUND(M5*TaxRate,2))))</f>
        <v>0</v>
      </c>
      <c r="O5" s="29">
        <f>IF(M5="","",IF(PricesIncludeTax="Yes",M5,ROUND(M5+N5,2)))</f>
        <v>0</v>
      </c>
      <c r="P5" s="29">
        <f>IF(A5="","",SUMIFS(Payments!$E$5:$E$304,Payments!$D$5:$D$304,A5,Payments!$M$5:$M$304,"Yes"))</f>
        <v>0</v>
      </c>
      <c r="Q5" s="29">
        <f>IF(A5="","",SUMIFS(Payments!$K$5:$K$304,Payments!$D$5:$D$304,A5))</f>
        <v>0</v>
      </c>
      <c r="R5" s="29">
        <f>IF(A5="","",SUMIFS(Payments!$J$5:$J$304,Payments!$D$5:$D$304,A5))</f>
        <v>0</v>
      </c>
      <c r="S5" s="29">
        <f>IF(D5="","",ROUND(IF(T5="Cancelled",0,O5-Q5),2))</f>
        <v>0</v>
      </c>
      <c r="U5" s="49">
        <f>IF(A5="","",IF(T5="Cancelled","Cancelled",IF(S5&lt;=0.004,"Paid",IF(Q5&gt;0.004,IF(AND(C5&lt;&gt;"",TODAY()&gt;C5),"Overdue - part paid","Partially paid"),IF(AND(C5&lt;&gt;"",TODAY()&gt;C5),"Overdue",IF(T5="Draft","Draft","Unpaid"))))))</f>
        <v>0</v>
      </c>
      <c r="V5" s="31">
        <f>IF(OR(C5="",S5&lt;=0.004),"",MAX(0,TODAY()-C5))</f>
        <v>0</v>
      </c>
      <c r="W5" s="49">
        <f>IF(A5="","",IF(S5&lt;=0.004,"Paid",IF(V5="","Not due",IF(V5=0,"Current",IF(V5&lt;=30,"1-30 days",IF(V5&lt;=60,"31-60 days",IF(V5&lt;=90,"61-90 days","90+ days")))))))</f>
        <v>0</v>
      </c>
      <c r="X5" s="29">
        <f>IF(OR(V5="",V5=0),0,ROUND(S5*LateFeePct,2))</f>
        <v>0</v>
      </c>
      <c r="AA5" s="49">
        <f>IF(A5="","",IF(COUNTIF(Invoices!$A$5:$A$304,A5)&gt;1,"Duplicate number","OK"))</f>
        <v>0</v>
      </c>
      <c r="AC5" s="28">
        <f>IF(B5="","",TEXT(B5,"yyyy-mm"))</f>
        <v>0</v>
      </c>
      <c r="AD5" s="49">
        <f>IF(A5="","",IF(T5="Draft","Action - still a draft",IF(U5="Overdue","Overdue - chase payment",IF(U5="Overdue - part paid","Overdue - chase the balance",IF(AND(S5&gt;0.004,C5&lt;&gt;"",C5-TODAY()&lt;=ReminderLeadDays,C5&gt;=TODAY()),"Due soon - send a reminder","OK")))))</f>
        <v>0</v>
      </c>
    </row>
    <row r="6" spans="1:30">
      <c r="A6" s="46">
        <f>IF(D6="","",InvoicePrefix&amp;TEXT(InvoiceStartNo+ROW()-5,"0000"))</f>
        <v>0</v>
      </c>
      <c r="C6" s="21">
        <f>IF(B6="","",B6+PaymentTermsDays)</f>
        <v>0</v>
      </c>
      <c r="F6" s="29">
        <f>IF(E6="",0,IFERROR(INDEX(Bookings!$AI$5:$AI$404,MATCH(E6,Bookings!$A$5:$A$404,0)),0))</f>
        <v>0</v>
      </c>
      <c r="J6" s="29">
        <f>IF(D6="","",IF(E6&lt;&gt;"",F6,ROUND(IF(H6="",0,H6)*IF(I6="",0,I6),2)))</f>
        <v>0</v>
      </c>
      <c r="M6" s="29">
        <f>IF(D6="","",ROUND(J6+IF(K6="",0,K6)-IF(L6="",0,L6),2))</f>
        <v>0</v>
      </c>
      <c r="N6" s="29">
        <f>IF(M6="","",IF(TaxRegistered&lt;&gt;"Yes",0,IF(PricesIncludeTax="Yes",ROUND(M6-M6/(1+TaxRate),2),ROUND(M6*TaxRate,2))))</f>
        <v>0</v>
      </c>
      <c r="O6" s="29">
        <f>IF(M6="","",IF(PricesIncludeTax="Yes",M6,ROUND(M6+N6,2)))</f>
        <v>0</v>
      </c>
      <c r="P6" s="29">
        <f>IF(A6="","",SUMIFS(Payments!$E$5:$E$304,Payments!$D$5:$D$304,A6,Payments!$M$5:$M$304,"Yes"))</f>
        <v>0</v>
      </c>
      <c r="Q6" s="29">
        <f>IF(A6="","",SUMIFS(Payments!$K$5:$K$304,Payments!$D$5:$D$304,A6))</f>
        <v>0</v>
      </c>
      <c r="R6" s="29">
        <f>IF(A6="","",SUMIFS(Payments!$J$5:$J$304,Payments!$D$5:$D$304,A6))</f>
        <v>0</v>
      </c>
      <c r="S6" s="29">
        <f>IF(D6="","",ROUND(IF(T6="Cancelled",0,O6-Q6),2))</f>
        <v>0</v>
      </c>
      <c r="U6" s="49">
        <f>IF(A6="","",IF(T6="Cancelled","Cancelled",IF(S6&lt;=0.004,"Paid",IF(Q6&gt;0.004,IF(AND(C6&lt;&gt;"",TODAY()&gt;C6),"Overdue - part paid","Partially paid"),IF(AND(C6&lt;&gt;"",TODAY()&gt;C6),"Overdue",IF(T6="Draft","Draft","Unpaid"))))))</f>
        <v>0</v>
      </c>
      <c r="V6" s="31">
        <f>IF(OR(C6="",S6&lt;=0.004),"",MAX(0,TODAY()-C6))</f>
        <v>0</v>
      </c>
      <c r="W6" s="49">
        <f>IF(A6="","",IF(S6&lt;=0.004,"Paid",IF(V6="","Not due",IF(V6=0,"Current",IF(V6&lt;=30,"1-30 days",IF(V6&lt;=60,"31-60 days",IF(V6&lt;=90,"61-90 days","90+ days")))))))</f>
        <v>0</v>
      </c>
      <c r="X6" s="29">
        <f>IF(OR(V6="",V6=0),0,ROUND(S6*LateFeePct,2))</f>
        <v>0</v>
      </c>
      <c r="AA6" s="49">
        <f>IF(A6="","",IF(COUNTIF(Invoices!$A$5:$A$304,A6)&gt;1,"Duplicate number","OK"))</f>
        <v>0</v>
      </c>
      <c r="AC6" s="28">
        <f>IF(B6="","",TEXT(B6,"yyyy-mm"))</f>
        <v>0</v>
      </c>
      <c r="AD6" s="49">
        <f>IF(A6="","",IF(T6="Draft","Action - still a draft",IF(U6="Overdue","Overdue - chase payment",IF(U6="Overdue - part paid","Overdue - chase the balance",IF(AND(S6&gt;0.004,C6&lt;&gt;"",C6-TODAY()&lt;=ReminderLeadDays,C6&gt;=TODAY()),"Due soon - send a reminder","OK")))))</f>
        <v>0</v>
      </c>
    </row>
    <row r="7" spans="1:30">
      <c r="A7" s="46">
        <f>IF(D7="","",InvoicePrefix&amp;TEXT(InvoiceStartNo+ROW()-5,"0000"))</f>
        <v>0</v>
      </c>
      <c r="C7" s="21">
        <f>IF(B7="","",B7+PaymentTermsDays)</f>
        <v>0</v>
      </c>
      <c r="F7" s="29">
        <f>IF(E7="",0,IFERROR(INDEX(Bookings!$AI$5:$AI$404,MATCH(E7,Bookings!$A$5:$A$404,0)),0))</f>
        <v>0</v>
      </c>
      <c r="J7" s="29">
        <f>IF(D7="","",IF(E7&lt;&gt;"",F7,ROUND(IF(H7="",0,H7)*IF(I7="",0,I7),2)))</f>
        <v>0</v>
      </c>
      <c r="M7" s="29">
        <f>IF(D7="","",ROUND(J7+IF(K7="",0,K7)-IF(L7="",0,L7),2))</f>
        <v>0</v>
      </c>
      <c r="N7" s="29">
        <f>IF(M7="","",IF(TaxRegistered&lt;&gt;"Yes",0,IF(PricesIncludeTax="Yes",ROUND(M7-M7/(1+TaxRate),2),ROUND(M7*TaxRate,2))))</f>
        <v>0</v>
      </c>
      <c r="O7" s="29">
        <f>IF(M7="","",IF(PricesIncludeTax="Yes",M7,ROUND(M7+N7,2)))</f>
        <v>0</v>
      </c>
      <c r="P7" s="29">
        <f>IF(A7="","",SUMIFS(Payments!$E$5:$E$304,Payments!$D$5:$D$304,A7,Payments!$M$5:$M$304,"Yes"))</f>
        <v>0</v>
      </c>
      <c r="Q7" s="29">
        <f>IF(A7="","",SUMIFS(Payments!$K$5:$K$304,Payments!$D$5:$D$304,A7))</f>
        <v>0</v>
      </c>
      <c r="R7" s="29">
        <f>IF(A7="","",SUMIFS(Payments!$J$5:$J$304,Payments!$D$5:$D$304,A7))</f>
        <v>0</v>
      </c>
      <c r="S7" s="29">
        <f>IF(D7="","",ROUND(IF(T7="Cancelled",0,O7-Q7),2))</f>
        <v>0</v>
      </c>
      <c r="U7" s="49">
        <f>IF(A7="","",IF(T7="Cancelled","Cancelled",IF(S7&lt;=0.004,"Paid",IF(Q7&gt;0.004,IF(AND(C7&lt;&gt;"",TODAY()&gt;C7),"Overdue - part paid","Partially paid"),IF(AND(C7&lt;&gt;"",TODAY()&gt;C7),"Overdue",IF(T7="Draft","Draft","Unpaid"))))))</f>
        <v>0</v>
      </c>
      <c r="V7" s="31">
        <f>IF(OR(C7="",S7&lt;=0.004),"",MAX(0,TODAY()-C7))</f>
        <v>0</v>
      </c>
      <c r="W7" s="49">
        <f>IF(A7="","",IF(S7&lt;=0.004,"Paid",IF(V7="","Not due",IF(V7=0,"Current",IF(V7&lt;=30,"1-30 days",IF(V7&lt;=60,"31-60 days",IF(V7&lt;=90,"61-90 days","90+ days")))))))</f>
        <v>0</v>
      </c>
      <c r="X7" s="29">
        <f>IF(OR(V7="",V7=0),0,ROUND(S7*LateFeePct,2))</f>
        <v>0</v>
      </c>
      <c r="AA7" s="49">
        <f>IF(A7="","",IF(COUNTIF(Invoices!$A$5:$A$304,A7)&gt;1,"Duplicate number","OK"))</f>
        <v>0</v>
      </c>
      <c r="AC7" s="28">
        <f>IF(B7="","",TEXT(B7,"yyyy-mm"))</f>
        <v>0</v>
      </c>
      <c r="AD7" s="49">
        <f>IF(A7="","",IF(T7="Draft","Action - still a draft",IF(U7="Overdue","Overdue - chase payment",IF(U7="Overdue - part paid","Overdue - chase the balance",IF(AND(S7&gt;0.004,C7&lt;&gt;"",C7-TODAY()&lt;=ReminderLeadDays,C7&gt;=TODAY()),"Due soon - send a reminder","OK")))))</f>
        <v>0</v>
      </c>
    </row>
    <row r="8" spans="1:30">
      <c r="A8" s="46">
        <f>IF(D8="","",InvoicePrefix&amp;TEXT(InvoiceStartNo+ROW()-5,"0000"))</f>
        <v>0</v>
      </c>
      <c r="C8" s="21">
        <f>IF(B8="","",B8+PaymentTermsDays)</f>
        <v>0</v>
      </c>
      <c r="F8" s="29">
        <f>IF(E8="",0,IFERROR(INDEX(Bookings!$AI$5:$AI$404,MATCH(E8,Bookings!$A$5:$A$404,0)),0))</f>
        <v>0</v>
      </c>
      <c r="J8" s="29">
        <f>IF(D8="","",IF(E8&lt;&gt;"",F8,ROUND(IF(H8="",0,H8)*IF(I8="",0,I8),2)))</f>
        <v>0</v>
      </c>
      <c r="M8" s="29">
        <f>IF(D8="","",ROUND(J8+IF(K8="",0,K8)-IF(L8="",0,L8),2))</f>
        <v>0</v>
      </c>
      <c r="N8" s="29">
        <f>IF(M8="","",IF(TaxRegistered&lt;&gt;"Yes",0,IF(PricesIncludeTax="Yes",ROUND(M8-M8/(1+TaxRate),2),ROUND(M8*TaxRate,2))))</f>
        <v>0</v>
      </c>
      <c r="O8" s="29">
        <f>IF(M8="","",IF(PricesIncludeTax="Yes",M8,ROUND(M8+N8,2)))</f>
        <v>0</v>
      </c>
      <c r="P8" s="29">
        <f>IF(A8="","",SUMIFS(Payments!$E$5:$E$304,Payments!$D$5:$D$304,A8,Payments!$M$5:$M$304,"Yes"))</f>
        <v>0</v>
      </c>
      <c r="Q8" s="29">
        <f>IF(A8="","",SUMIFS(Payments!$K$5:$K$304,Payments!$D$5:$D$304,A8))</f>
        <v>0</v>
      </c>
      <c r="R8" s="29">
        <f>IF(A8="","",SUMIFS(Payments!$J$5:$J$304,Payments!$D$5:$D$304,A8))</f>
        <v>0</v>
      </c>
      <c r="S8" s="29">
        <f>IF(D8="","",ROUND(IF(T8="Cancelled",0,O8-Q8),2))</f>
        <v>0</v>
      </c>
      <c r="U8" s="49">
        <f>IF(A8="","",IF(T8="Cancelled","Cancelled",IF(S8&lt;=0.004,"Paid",IF(Q8&gt;0.004,IF(AND(C8&lt;&gt;"",TODAY()&gt;C8),"Overdue - part paid","Partially paid"),IF(AND(C8&lt;&gt;"",TODAY()&gt;C8),"Overdue",IF(T8="Draft","Draft","Unpaid"))))))</f>
        <v>0</v>
      </c>
      <c r="V8" s="31">
        <f>IF(OR(C8="",S8&lt;=0.004),"",MAX(0,TODAY()-C8))</f>
        <v>0</v>
      </c>
      <c r="W8" s="49">
        <f>IF(A8="","",IF(S8&lt;=0.004,"Paid",IF(V8="","Not due",IF(V8=0,"Current",IF(V8&lt;=30,"1-30 days",IF(V8&lt;=60,"31-60 days",IF(V8&lt;=90,"61-90 days","90+ days")))))))</f>
        <v>0</v>
      </c>
      <c r="X8" s="29">
        <f>IF(OR(V8="",V8=0),0,ROUND(S8*LateFeePct,2))</f>
        <v>0</v>
      </c>
      <c r="AA8" s="49">
        <f>IF(A8="","",IF(COUNTIF(Invoices!$A$5:$A$304,A8)&gt;1,"Duplicate number","OK"))</f>
        <v>0</v>
      </c>
      <c r="AC8" s="28">
        <f>IF(B8="","",TEXT(B8,"yyyy-mm"))</f>
        <v>0</v>
      </c>
      <c r="AD8" s="49">
        <f>IF(A8="","",IF(T8="Draft","Action - still a draft",IF(U8="Overdue","Overdue - chase payment",IF(U8="Overdue - part paid","Overdue - chase the balance",IF(AND(S8&gt;0.004,C8&lt;&gt;"",C8-TODAY()&lt;=ReminderLeadDays,C8&gt;=TODAY()),"Due soon - send a reminder","OK")))))</f>
        <v>0</v>
      </c>
    </row>
    <row r="9" spans="1:30">
      <c r="A9" s="46">
        <f>IF(D9="","",InvoicePrefix&amp;TEXT(InvoiceStartNo+ROW()-5,"0000"))</f>
        <v>0</v>
      </c>
      <c r="C9" s="21">
        <f>IF(B9="","",B9+PaymentTermsDays)</f>
        <v>0</v>
      </c>
      <c r="F9" s="29">
        <f>IF(E9="",0,IFERROR(INDEX(Bookings!$AI$5:$AI$404,MATCH(E9,Bookings!$A$5:$A$404,0)),0))</f>
        <v>0</v>
      </c>
      <c r="J9" s="29">
        <f>IF(D9="","",IF(E9&lt;&gt;"",F9,ROUND(IF(H9="",0,H9)*IF(I9="",0,I9),2)))</f>
        <v>0</v>
      </c>
      <c r="M9" s="29">
        <f>IF(D9="","",ROUND(J9+IF(K9="",0,K9)-IF(L9="",0,L9),2))</f>
        <v>0</v>
      </c>
      <c r="N9" s="29">
        <f>IF(M9="","",IF(TaxRegistered&lt;&gt;"Yes",0,IF(PricesIncludeTax="Yes",ROUND(M9-M9/(1+TaxRate),2),ROUND(M9*TaxRate,2))))</f>
        <v>0</v>
      </c>
      <c r="O9" s="29">
        <f>IF(M9="","",IF(PricesIncludeTax="Yes",M9,ROUND(M9+N9,2)))</f>
        <v>0</v>
      </c>
      <c r="P9" s="29">
        <f>IF(A9="","",SUMIFS(Payments!$E$5:$E$304,Payments!$D$5:$D$304,A9,Payments!$M$5:$M$304,"Yes"))</f>
        <v>0</v>
      </c>
      <c r="Q9" s="29">
        <f>IF(A9="","",SUMIFS(Payments!$K$5:$K$304,Payments!$D$5:$D$304,A9))</f>
        <v>0</v>
      </c>
      <c r="R9" s="29">
        <f>IF(A9="","",SUMIFS(Payments!$J$5:$J$304,Payments!$D$5:$D$304,A9))</f>
        <v>0</v>
      </c>
      <c r="S9" s="29">
        <f>IF(D9="","",ROUND(IF(T9="Cancelled",0,O9-Q9),2))</f>
        <v>0</v>
      </c>
      <c r="U9" s="49">
        <f>IF(A9="","",IF(T9="Cancelled","Cancelled",IF(S9&lt;=0.004,"Paid",IF(Q9&gt;0.004,IF(AND(C9&lt;&gt;"",TODAY()&gt;C9),"Overdue - part paid","Partially paid"),IF(AND(C9&lt;&gt;"",TODAY()&gt;C9),"Overdue",IF(T9="Draft","Draft","Unpaid"))))))</f>
        <v>0</v>
      </c>
      <c r="V9" s="31">
        <f>IF(OR(C9="",S9&lt;=0.004),"",MAX(0,TODAY()-C9))</f>
        <v>0</v>
      </c>
      <c r="W9" s="49">
        <f>IF(A9="","",IF(S9&lt;=0.004,"Paid",IF(V9="","Not due",IF(V9=0,"Current",IF(V9&lt;=30,"1-30 days",IF(V9&lt;=60,"31-60 days",IF(V9&lt;=90,"61-90 days","90+ days")))))))</f>
        <v>0</v>
      </c>
      <c r="X9" s="29">
        <f>IF(OR(V9="",V9=0),0,ROUND(S9*LateFeePct,2))</f>
        <v>0</v>
      </c>
      <c r="AA9" s="49">
        <f>IF(A9="","",IF(COUNTIF(Invoices!$A$5:$A$304,A9)&gt;1,"Duplicate number","OK"))</f>
        <v>0</v>
      </c>
      <c r="AC9" s="28">
        <f>IF(B9="","",TEXT(B9,"yyyy-mm"))</f>
        <v>0</v>
      </c>
      <c r="AD9" s="49">
        <f>IF(A9="","",IF(T9="Draft","Action - still a draft",IF(U9="Overdue","Overdue - chase payment",IF(U9="Overdue - part paid","Overdue - chase the balance",IF(AND(S9&gt;0.004,C9&lt;&gt;"",C9-TODAY()&lt;=ReminderLeadDays,C9&gt;=TODAY()),"Due soon - send a reminder","OK")))))</f>
        <v>0</v>
      </c>
    </row>
    <row r="10" spans="1:30">
      <c r="A10" s="46">
        <f>IF(D10="","",InvoicePrefix&amp;TEXT(InvoiceStartNo+ROW()-5,"0000"))</f>
        <v>0</v>
      </c>
      <c r="C10" s="21">
        <f>IF(B10="","",B10+PaymentTermsDays)</f>
        <v>0</v>
      </c>
      <c r="F10" s="29">
        <f>IF(E10="",0,IFERROR(INDEX(Bookings!$AI$5:$AI$404,MATCH(E10,Bookings!$A$5:$A$404,0)),0))</f>
        <v>0</v>
      </c>
      <c r="J10" s="29">
        <f>IF(D10="","",IF(E10&lt;&gt;"",F10,ROUND(IF(H10="",0,H10)*IF(I10="",0,I10),2)))</f>
        <v>0</v>
      </c>
      <c r="M10" s="29">
        <f>IF(D10="","",ROUND(J10+IF(K10="",0,K10)-IF(L10="",0,L10),2))</f>
        <v>0</v>
      </c>
      <c r="N10" s="29">
        <f>IF(M10="","",IF(TaxRegistered&lt;&gt;"Yes",0,IF(PricesIncludeTax="Yes",ROUND(M10-M10/(1+TaxRate),2),ROUND(M10*TaxRate,2))))</f>
        <v>0</v>
      </c>
      <c r="O10" s="29">
        <f>IF(M10="","",IF(PricesIncludeTax="Yes",M10,ROUND(M10+N10,2)))</f>
        <v>0</v>
      </c>
      <c r="P10" s="29">
        <f>IF(A10="","",SUMIFS(Payments!$E$5:$E$304,Payments!$D$5:$D$304,A10,Payments!$M$5:$M$304,"Yes"))</f>
        <v>0</v>
      </c>
      <c r="Q10" s="29">
        <f>IF(A10="","",SUMIFS(Payments!$K$5:$K$304,Payments!$D$5:$D$304,A10))</f>
        <v>0</v>
      </c>
      <c r="R10" s="29">
        <f>IF(A10="","",SUMIFS(Payments!$J$5:$J$304,Payments!$D$5:$D$304,A10))</f>
        <v>0</v>
      </c>
      <c r="S10" s="29">
        <f>IF(D10="","",ROUND(IF(T10="Cancelled",0,O10-Q10),2))</f>
        <v>0</v>
      </c>
      <c r="U10" s="49">
        <f>IF(A10="","",IF(T10="Cancelled","Cancelled",IF(S10&lt;=0.004,"Paid",IF(Q10&gt;0.004,IF(AND(C10&lt;&gt;"",TODAY()&gt;C10),"Overdue - part paid","Partially paid"),IF(AND(C10&lt;&gt;"",TODAY()&gt;C10),"Overdue",IF(T10="Draft","Draft","Unpaid"))))))</f>
        <v>0</v>
      </c>
      <c r="V10" s="31">
        <f>IF(OR(C10="",S10&lt;=0.004),"",MAX(0,TODAY()-C10))</f>
        <v>0</v>
      </c>
      <c r="W10" s="49">
        <f>IF(A10="","",IF(S10&lt;=0.004,"Paid",IF(V10="","Not due",IF(V10=0,"Current",IF(V10&lt;=30,"1-30 days",IF(V10&lt;=60,"31-60 days",IF(V10&lt;=90,"61-90 days","90+ days")))))))</f>
        <v>0</v>
      </c>
      <c r="X10" s="29">
        <f>IF(OR(V10="",V10=0),0,ROUND(S10*LateFeePct,2))</f>
        <v>0</v>
      </c>
      <c r="AA10" s="49">
        <f>IF(A10="","",IF(COUNTIF(Invoices!$A$5:$A$304,A10)&gt;1,"Duplicate number","OK"))</f>
        <v>0</v>
      </c>
      <c r="AC10" s="28">
        <f>IF(B10="","",TEXT(B10,"yyyy-mm"))</f>
        <v>0</v>
      </c>
      <c r="AD10" s="49">
        <f>IF(A10="","",IF(T10="Draft","Action - still a draft",IF(U10="Overdue","Overdue - chase payment",IF(U10="Overdue - part paid","Overdue - chase the balance",IF(AND(S10&gt;0.004,C10&lt;&gt;"",C10-TODAY()&lt;=ReminderLeadDays,C10&gt;=TODAY()),"Due soon - send a reminder","OK")))))</f>
        <v>0</v>
      </c>
    </row>
    <row r="11" spans="1:30">
      <c r="A11" s="46">
        <f>IF(D11="","",InvoicePrefix&amp;TEXT(InvoiceStartNo+ROW()-5,"0000"))</f>
        <v>0</v>
      </c>
      <c r="C11" s="21">
        <f>IF(B11="","",B11+PaymentTermsDays)</f>
        <v>0</v>
      </c>
      <c r="F11" s="29">
        <f>IF(E11="",0,IFERROR(INDEX(Bookings!$AI$5:$AI$404,MATCH(E11,Bookings!$A$5:$A$404,0)),0))</f>
        <v>0</v>
      </c>
      <c r="J11" s="29">
        <f>IF(D11="","",IF(E11&lt;&gt;"",F11,ROUND(IF(H11="",0,H11)*IF(I11="",0,I11),2)))</f>
        <v>0</v>
      </c>
      <c r="M11" s="29">
        <f>IF(D11="","",ROUND(J11+IF(K11="",0,K11)-IF(L11="",0,L11),2))</f>
        <v>0</v>
      </c>
      <c r="N11" s="29">
        <f>IF(M11="","",IF(TaxRegistered&lt;&gt;"Yes",0,IF(PricesIncludeTax="Yes",ROUND(M11-M11/(1+TaxRate),2),ROUND(M11*TaxRate,2))))</f>
        <v>0</v>
      </c>
      <c r="O11" s="29">
        <f>IF(M11="","",IF(PricesIncludeTax="Yes",M11,ROUND(M11+N11,2)))</f>
        <v>0</v>
      </c>
      <c r="P11" s="29">
        <f>IF(A11="","",SUMIFS(Payments!$E$5:$E$304,Payments!$D$5:$D$304,A11,Payments!$M$5:$M$304,"Yes"))</f>
        <v>0</v>
      </c>
      <c r="Q11" s="29">
        <f>IF(A11="","",SUMIFS(Payments!$K$5:$K$304,Payments!$D$5:$D$304,A11))</f>
        <v>0</v>
      </c>
      <c r="R11" s="29">
        <f>IF(A11="","",SUMIFS(Payments!$J$5:$J$304,Payments!$D$5:$D$304,A11))</f>
        <v>0</v>
      </c>
      <c r="S11" s="29">
        <f>IF(D11="","",ROUND(IF(T11="Cancelled",0,O11-Q11),2))</f>
        <v>0</v>
      </c>
      <c r="U11" s="49">
        <f>IF(A11="","",IF(T11="Cancelled","Cancelled",IF(S11&lt;=0.004,"Paid",IF(Q11&gt;0.004,IF(AND(C11&lt;&gt;"",TODAY()&gt;C11),"Overdue - part paid","Partially paid"),IF(AND(C11&lt;&gt;"",TODAY()&gt;C11),"Overdue",IF(T11="Draft","Draft","Unpaid"))))))</f>
        <v>0</v>
      </c>
      <c r="V11" s="31">
        <f>IF(OR(C11="",S11&lt;=0.004),"",MAX(0,TODAY()-C11))</f>
        <v>0</v>
      </c>
      <c r="W11" s="49">
        <f>IF(A11="","",IF(S11&lt;=0.004,"Paid",IF(V11="","Not due",IF(V11=0,"Current",IF(V11&lt;=30,"1-30 days",IF(V11&lt;=60,"31-60 days",IF(V11&lt;=90,"61-90 days","90+ days")))))))</f>
        <v>0</v>
      </c>
      <c r="X11" s="29">
        <f>IF(OR(V11="",V11=0),0,ROUND(S11*LateFeePct,2))</f>
        <v>0</v>
      </c>
      <c r="AA11" s="49">
        <f>IF(A11="","",IF(COUNTIF(Invoices!$A$5:$A$304,A11)&gt;1,"Duplicate number","OK"))</f>
        <v>0</v>
      </c>
      <c r="AC11" s="28">
        <f>IF(B11="","",TEXT(B11,"yyyy-mm"))</f>
        <v>0</v>
      </c>
      <c r="AD11" s="49">
        <f>IF(A11="","",IF(T11="Draft","Action - still a draft",IF(U11="Overdue","Overdue - chase payment",IF(U11="Overdue - part paid","Overdue - chase the balance",IF(AND(S11&gt;0.004,C11&lt;&gt;"",C11-TODAY()&lt;=ReminderLeadDays,C11&gt;=TODAY()),"Due soon - send a reminder","OK")))))</f>
        <v>0</v>
      </c>
    </row>
    <row r="12" spans="1:30">
      <c r="A12" s="46">
        <f>IF(D12="","",InvoicePrefix&amp;TEXT(InvoiceStartNo+ROW()-5,"0000"))</f>
        <v>0</v>
      </c>
      <c r="C12" s="21">
        <f>IF(B12="","",B12+PaymentTermsDays)</f>
        <v>0</v>
      </c>
      <c r="F12" s="29">
        <f>IF(E12="",0,IFERROR(INDEX(Bookings!$AI$5:$AI$404,MATCH(E12,Bookings!$A$5:$A$404,0)),0))</f>
        <v>0</v>
      </c>
      <c r="J12" s="29">
        <f>IF(D12="","",IF(E12&lt;&gt;"",F12,ROUND(IF(H12="",0,H12)*IF(I12="",0,I12),2)))</f>
        <v>0</v>
      </c>
      <c r="M12" s="29">
        <f>IF(D12="","",ROUND(J12+IF(K12="",0,K12)-IF(L12="",0,L12),2))</f>
        <v>0</v>
      </c>
      <c r="N12" s="29">
        <f>IF(M12="","",IF(TaxRegistered&lt;&gt;"Yes",0,IF(PricesIncludeTax="Yes",ROUND(M12-M12/(1+TaxRate),2),ROUND(M12*TaxRate,2))))</f>
        <v>0</v>
      </c>
      <c r="O12" s="29">
        <f>IF(M12="","",IF(PricesIncludeTax="Yes",M12,ROUND(M12+N12,2)))</f>
        <v>0</v>
      </c>
      <c r="P12" s="29">
        <f>IF(A12="","",SUMIFS(Payments!$E$5:$E$304,Payments!$D$5:$D$304,A12,Payments!$M$5:$M$304,"Yes"))</f>
        <v>0</v>
      </c>
      <c r="Q12" s="29">
        <f>IF(A12="","",SUMIFS(Payments!$K$5:$K$304,Payments!$D$5:$D$304,A12))</f>
        <v>0</v>
      </c>
      <c r="R12" s="29">
        <f>IF(A12="","",SUMIFS(Payments!$J$5:$J$304,Payments!$D$5:$D$304,A12))</f>
        <v>0</v>
      </c>
      <c r="S12" s="29">
        <f>IF(D12="","",ROUND(IF(T12="Cancelled",0,O12-Q12),2))</f>
        <v>0</v>
      </c>
      <c r="U12" s="49">
        <f>IF(A12="","",IF(T12="Cancelled","Cancelled",IF(S12&lt;=0.004,"Paid",IF(Q12&gt;0.004,IF(AND(C12&lt;&gt;"",TODAY()&gt;C12),"Overdue - part paid","Partially paid"),IF(AND(C12&lt;&gt;"",TODAY()&gt;C12),"Overdue",IF(T12="Draft","Draft","Unpaid"))))))</f>
        <v>0</v>
      </c>
      <c r="V12" s="31">
        <f>IF(OR(C12="",S12&lt;=0.004),"",MAX(0,TODAY()-C12))</f>
        <v>0</v>
      </c>
      <c r="W12" s="49">
        <f>IF(A12="","",IF(S12&lt;=0.004,"Paid",IF(V12="","Not due",IF(V12=0,"Current",IF(V12&lt;=30,"1-30 days",IF(V12&lt;=60,"31-60 days",IF(V12&lt;=90,"61-90 days","90+ days")))))))</f>
        <v>0</v>
      </c>
      <c r="X12" s="29">
        <f>IF(OR(V12="",V12=0),0,ROUND(S12*LateFeePct,2))</f>
        <v>0</v>
      </c>
      <c r="AA12" s="49">
        <f>IF(A12="","",IF(COUNTIF(Invoices!$A$5:$A$304,A12)&gt;1,"Duplicate number","OK"))</f>
        <v>0</v>
      </c>
      <c r="AC12" s="28">
        <f>IF(B12="","",TEXT(B12,"yyyy-mm"))</f>
        <v>0</v>
      </c>
      <c r="AD12" s="49">
        <f>IF(A12="","",IF(T12="Draft","Action - still a draft",IF(U12="Overdue","Overdue - chase payment",IF(U12="Overdue - part paid","Overdue - chase the balance",IF(AND(S12&gt;0.004,C12&lt;&gt;"",C12-TODAY()&lt;=ReminderLeadDays,C12&gt;=TODAY()),"Due soon - send a reminder","OK")))))</f>
        <v>0</v>
      </c>
    </row>
    <row r="13" spans="1:30">
      <c r="A13" s="46">
        <f>IF(D13="","",InvoicePrefix&amp;TEXT(InvoiceStartNo+ROW()-5,"0000"))</f>
        <v>0</v>
      </c>
      <c r="C13" s="21">
        <f>IF(B13="","",B13+PaymentTermsDays)</f>
        <v>0</v>
      </c>
      <c r="F13" s="29">
        <f>IF(E13="",0,IFERROR(INDEX(Bookings!$AI$5:$AI$404,MATCH(E13,Bookings!$A$5:$A$404,0)),0))</f>
        <v>0</v>
      </c>
      <c r="J13" s="29">
        <f>IF(D13="","",IF(E13&lt;&gt;"",F13,ROUND(IF(H13="",0,H13)*IF(I13="",0,I13),2)))</f>
        <v>0</v>
      </c>
      <c r="M13" s="29">
        <f>IF(D13="","",ROUND(J13+IF(K13="",0,K13)-IF(L13="",0,L13),2))</f>
        <v>0</v>
      </c>
      <c r="N13" s="29">
        <f>IF(M13="","",IF(TaxRegistered&lt;&gt;"Yes",0,IF(PricesIncludeTax="Yes",ROUND(M13-M13/(1+TaxRate),2),ROUND(M13*TaxRate,2))))</f>
        <v>0</v>
      </c>
      <c r="O13" s="29">
        <f>IF(M13="","",IF(PricesIncludeTax="Yes",M13,ROUND(M13+N13,2)))</f>
        <v>0</v>
      </c>
      <c r="P13" s="29">
        <f>IF(A13="","",SUMIFS(Payments!$E$5:$E$304,Payments!$D$5:$D$304,A13,Payments!$M$5:$M$304,"Yes"))</f>
        <v>0</v>
      </c>
      <c r="Q13" s="29">
        <f>IF(A13="","",SUMIFS(Payments!$K$5:$K$304,Payments!$D$5:$D$304,A13))</f>
        <v>0</v>
      </c>
      <c r="R13" s="29">
        <f>IF(A13="","",SUMIFS(Payments!$J$5:$J$304,Payments!$D$5:$D$304,A13))</f>
        <v>0</v>
      </c>
      <c r="S13" s="29">
        <f>IF(D13="","",ROUND(IF(T13="Cancelled",0,O13-Q13),2))</f>
        <v>0</v>
      </c>
      <c r="U13" s="49">
        <f>IF(A13="","",IF(T13="Cancelled","Cancelled",IF(S13&lt;=0.004,"Paid",IF(Q13&gt;0.004,IF(AND(C13&lt;&gt;"",TODAY()&gt;C13),"Overdue - part paid","Partially paid"),IF(AND(C13&lt;&gt;"",TODAY()&gt;C13),"Overdue",IF(T13="Draft","Draft","Unpaid"))))))</f>
        <v>0</v>
      </c>
      <c r="V13" s="31">
        <f>IF(OR(C13="",S13&lt;=0.004),"",MAX(0,TODAY()-C13))</f>
        <v>0</v>
      </c>
      <c r="W13" s="49">
        <f>IF(A13="","",IF(S13&lt;=0.004,"Paid",IF(V13="","Not due",IF(V13=0,"Current",IF(V13&lt;=30,"1-30 days",IF(V13&lt;=60,"31-60 days",IF(V13&lt;=90,"61-90 days","90+ days")))))))</f>
        <v>0</v>
      </c>
      <c r="X13" s="29">
        <f>IF(OR(V13="",V13=0),0,ROUND(S13*LateFeePct,2))</f>
        <v>0</v>
      </c>
      <c r="AA13" s="49">
        <f>IF(A13="","",IF(COUNTIF(Invoices!$A$5:$A$304,A13)&gt;1,"Duplicate number","OK"))</f>
        <v>0</v>
      </c>
      <c r="AC13" s="28">
        <f>IF(B13="","",TEXT(B13,"yyyy-mm"))</f>
        <v>0</v>
      </c>
      <c r="AD13" s="49">
        <f>IF(A13="","",IF(T13="Draft","Action - still a draft",IF(U13="Overdue","Overdue - chase payment",IF(U13="Overdue - part paid","Overdue - chase the balance",IF(AND(S13&gt;0.004,C13&lt;&gt;"",C13-TODAY()&lt;=ReminderLeadDays,C13&gt;=TODAY()),"Due soon - send a reminder","OK")))))</f>
        <v>0</v>
      </c>
    </row>
    <row r="14" spans="1:30">
      <c r="A14" s="46">
        <f>IF(D14="","",InvoicePrefix&amp;TEXT(InvoiceStartNo+ROW()-5,"0000"))</f>
        <v>0</v>
      </c>
      <c r="C14" s="21">
        <f>IF(B14="","",B14+PaymentTermsDays)</f>
        <v>0</v>
      </c>
      <c r="F14" s="29">
        <f>IF(E14="",0,IFERROR(INDEX(Bookings!$AI$5:$AI$404,MATCH(E14,Bookings!$A$5:$A$404,0)),0))</f>
        <v>0</v>
      </c>
      <c r="J14" s="29">
        <f>IF(D14="","",IF(E14&lt;&gt;"",F14,ROUND(IF(H14="",0,H14)*IF(I14="",0,I14),2)))</f>
        <v>0</v>
      </c>
      <c r="M14" s="29">
        <f>IF(D14="","",ROUND(J14+IF(K14="",0,K14)-IF(L14="",0,L14),2))</f>
        <v>0</v>
      </c>
      <c r="N14" s="29">
        <f>IF(M14="","",IF(TaxRegistered&lt;&gt;"Yes",0,IF(PricesIncludeTax="Yes",ROUND(M14-M14/(1+TaxRate),2),ROUND(M14*TaxRate,2))))</f>
        <v>0</v>
      </c>
      <c r="O14" s="29">
        <f>IF(M14="","",IF(PricesIncludeTax="Yes",M14,ROUND(M14+N14,2)))</f>
        <v>0</v>
      </c>
      <c r="P14" s="29">
        <f>IF(A14="","",SUMIFS(Payments!$E$5:$E$304,Payments!$D$5:$D$304,A14,Payments!$M$5:$M$304,"Yes"))</f>
        <v>0</v>
      </c>
      <c r="Q14" s="29">
        <f>IF(A14="","",SUMIFS(Payments!$K$5:$K$304,Payments!$D$5:$D$304,A14))</f>
        <v>0</v>
      </c>
      <c r="R14" s="29">
        <f>IF(A14="","",SUMIFS(Payments!$J$5:$J$304,Payments!$D$5:$D$304,A14))</f>
        <v>0</v>
      </c>
      <c r="S14" s="29">
        <f>IF(D14="","",ROUND(IF(T14="Cancelled",0,O14-Q14),2))</f>
        <v>0</v>
      </c>
      <c r="U14" s="49">
        <f>IF(A14="","",IF(T14="Cancelled","Cancelled",IF(S14&lt;=0.004,"Paid",IF(Q14&gt;0.004,IF(AND(C14&lt;&gt;"",TODAY()&gt;C14),"Overdue - part paid","Partially paid"),IF(AND(C14&lt;&gt;"",TODAY()&gt;C14),"Overdue",IF(T14="Draft","Draft","Unpaid"))))))</f>
        <v>0</v>
      </c>
      <c r="V14" s="31">
        <f>IF(OR(C14="",S14&lt;=0.004),"",MAX(0,TODAY()-C14))</f>
        <v>0</v>
      </c>
      <c r="W14" s="49">
        <f>IF(A14="","",IF(S14&lt;=0.004,"Paid",IF(V14="","Not due",IF(V14=0,"Current",IF(V14&lt;=30,"1-30 days",IF(V14&lt;=60,"31-60 days",IF(V14&lt;=90,"61-90 days","90+ days")))))))</f>
        <v>0</v>
      </c>
      <c r="X14" s="29">
        <f>IF(OR(V14="",V14=0),0,ROUND(S14*LateFeePct,2))</f>
        <v>0</v>
      </c>
      <c r="AA14" s="49">
        <f>IF(A14="","",IF(COUNTIF(Invoices!$A$5:$A$304,A14)&gt;1,"Duplicate number","OK"))</f>
        <v>0</v>
      </c>
      <c r="AC14" s="28">
        <f>IF(B14="","",TEXT(B14,"yyyy-mm"))</f>
        <v>0</v>
      </c>
      <c r="AD14" s="49">
        <f>IF(A14="","",IF(T14="Draft","Action - still a draft",IF(U14="Overdue","Overdue - chase payment",IF(U14="Overdue - part paid","Overdue - chase the balance",IF(AND(S14&gt;0.004,C14&lt;&gt;"",C14-TODAY()&lt;=ReminderLeadDays,C14&gt;=TODAY()),"Due soon - send a reminder","OK")))))</f>
        <v>0</v>
      </c>
    </row>
    <row r="15" spans="1:30">
      <c r="A15" s="46">
        <f>IF(D15="","",InvoicePrefix&amp;TEXT(InvoiceStartNo+ROW()-5,"0000"))</f>
        <v>0</v>
      </c>
      <c r="C15" s="21">
        <f>IF(B15="","",B15+PaymentTermsDays)</f>
        <v>0</v>
      </c>
      <c r="F15" s="29">
        <f>IF(E15="",0,IFERROR(INDEX(Bookings!$AI$5:$AI$404,MATCH(E15,Bookings!$A$5:$A$404,0)),0))</f>
        <v>0</v>
      </c>
      <c r="J15" s="29">
        <f>IF(D15="","",IF(E15&lt;&gt;"",F15,ROUND(IF(H15="",0,H15)*IF(I15="",0,I15),2)))</f>
        <v>0</v>
      </c>
      <c r="M15" s="29">
        <f>IF(D15="","",ROUND(J15+IF(K15="",0,K15)-IF(L15="",0,L15),2))</f>
        <v>0</v>
      </c>
      <c r="N15" s="29">
        <f>IF(M15="","",IF(TaxRegistered&lt;&gt;"Yes",0,IF(PricesIncludeTax="Yes",ROUND(M15-M15/(1+TaxRate),2),ROUND(M15*TaxRate,2))))</f>
        <v>0</v>
      </c>
      <c r="O15" s="29">
        <f>IF(M15="","",IF(PricesIncludeTax="Yes",M15,ROUND(M15+N15,2)))</f>
        <v>0</v>
      </c>
      <c r="P15" s="29">
        <f>IF(A15="","",SUMIFS(Payments!$E$5:$E$304,Payments!$D$5:$D$304,A15,Payments!$M$5:$M$304,"Yes"))</f>
        <v>0</v>
      </c>
      <c r="Q15" s="29">
        <f>IF(A15="","",SUMIFS(Payments!$K$5:$K$304,Payments!$D$5:$D$304,A15))</f>
        <v>0</v>
      </c>
      <c r="R15" s="29">
        <f>IF(A15="","",SUMIFS(Payments!$J$5:$J$304,Payments!$D$5:$D$304,A15))</f>
        <v>0</v>
      </c>
      <c r="S15" s="29">
        <f>IF(D15="","",ROUND(IF(T15="Cancelled",0,O15-Q15),2))</f>
        <v>0</v>
      </c>
      <c r="U15" s="49">
        <f>IF(A15="","",IF(T15="Cancelled","Cancelled",IF(S15&lt;=0.004,"Paid",IF(Q15&gt;0.004,IF(AND(C15&lt;&gt;"",TODAY()&gt;C15),"Overdue - part paid","Partially paid"),IF(AND(C15&lt;&gt;"",TODAY()&gt;C15),"Overdue",IF(T15="Draft","Draft","Unpaid"))))))</f>
        <v>0</v>
      </c>
      <c r="V15" s="31">
        <f>IF(OR(C15="",S15&lt;=0.004),"",MAX(0,TODAY()-C15))</f>
        <v>0</v>
      </c>
      <c r="W15" s="49">
        <f>IF(A15="","",IF(S15&lt;=0.004,"Paid",IF(V15="","Not due",IF(V15=0,"Current",IF(V15&lt;=30,"1-30 days",IF(V15&lt;=60,"31-60 days",IF(V15&lt;=90,"61-90 days","90+ days")))))))</f>
        <v>0</v>
      </c>
      <c r="X15" s="29">
        <f>IF(OR(V15="",V15=0),0,ROUND(S15*LateFeePct,2))</f>
        <v>0</v>
      </c>
      <c r="AA15" s="49">
        <f>IF(A15="","",IF(COUNTIF(Invoices!$A$5:$A$304,A15)&gt;1,"Duplicate number","OK"))</f>
        <v>0</v>
      </c>
      <c r="AC15" s="28">
        <f>IF(B15="","",TEXT(B15,"yyyy-mm"))</f>
        <v>0</v>
      </c>
      <c r="AD15" s="49">
        <f>IF(A15="","",IF(T15="Draft","Action - still a draft",IF(U15="Overdue","Overdue - chase payment",IF(U15="Overdue - part paid","Overdue - chase the balance",IF(AND(S15&gt;0.004,C15&lt;&gt;"",C15-TODAY()&lt;=ReminderLeadDays,C15&gt;=TODAY()),"Due soon - send a reminder","OK")))))</f>
        <v>0</v>
      </c>
    </row>
    <row r="16" spans="1:30">
      <c r="A16" s="46">
        <f>IF(D16="","",InvoicePrefix&amp;TEXT(InvoiceStartNo+ROW()-5,"0000"))</f>
        <v>0</v>
      </c>
      <c r="C16" s="21">
        <f>IF(B16="","",B16+PaymentTermsDays)</f>
        <v>0</v>
      </c>
      <c r="F16" s="29">
        <f>IF(E16="",0,IFERROR(INDEX(Bookings!$AI$5:$AI$404,MATCH(E16,Bookings!$A$5:$A$404,0)),0))</f>
        <v>0</v>
      </c>
      <c r="J16" s="29">
        <f>IF(D16="","",IF(E16&lt;&gt;"",F16,ROUND(IF(H16="",0,H16)*IF(I16="",0,I16),2)))</f>
        <v>0</v>
      </c>
      <c r="M16" s="29">
        <f>IF(D16="","",ROUND(J16+IF(K16="",0,K16)-IF(L16="",0,L16),2))</f>
        <v>0</v>
      </c>
      <c r="N16" s="29">
        <f>IF(M16="","",IF(TaxRegistered&lt;&gt;"Yes",0,IF(PricesIncludeTax="Yes",ROUND(M16-M16/(1+TaxRate),2),ROUND(M16*TaxRate,2))))</f>
        <v>0</v>
      </c>
      <c r="O16" s="29">
        <f>IF(M16="","",IF(PricesIncludeTax="Yes",M16,ROUND(M16+N16,2)))</f>
        <v>0</v>
      </c>
      <c r="P16" s="29">
        <f>IF(A16="","",SUMIFS(Payments!$E$5:$E$304,Payments!$D$5:$D$304,A16,Payments!$M$5:$M$304,"Yes"))</f>
        <v>0</v>
      </c>
      <c r="Q16" s="29">
        <f>IF(A16="","",SUMIFS(Payments!$K$5:$K$304,Payments!$D$5:$D$304,A16))</f>
        <v>0</v>
      </c>
      <c r="R16" s="29">
        <f>IF(A16="","",SUMIFS(Payments!$J$5:$J$304,Payments!$D$5:$D$304,A16))</f>
        <v>0</v>
      </c>
      <c r="S16" s="29">
        <f>IF(D16="","",ROUND(IF(T16="Cancelled",0,O16-Q16),2))</f>
        <v>0</v>
      </c>
      <c r="U16" s="49">
        <f>IF(A16="","",IF(T16="Cancelled","Cancelled",IF(S16&lt;=0.004,"Paid",IF(Q16&gt;0.004,IF(AND(C16&lt;&gt;"",TODAY()&gt;C16),"Overdue - part paid","Partially paid"),IF(AND(C16&lt;&gt;"",TODAY()&gt;C16),"Overdue",IF(T16="Draft","Draft","Unpaid"))))))</f>
        <v>0</v>
      </c>
      <c r="V16" s="31">
        <f>IF(OR(C16="",S16&lt;=0.004),"",MAX(0,TODAY()-C16))</f>
        <v>0</v>
      </c>
      <c r="W16" s="49">
        <f>IF(A16="","",IF(S16&lt;=0.004,"Paid",IF(V16="","Not due",IF(V16=0,"Current",IF(V16&lt;=30,"1-30 days",IF(V16&lt;=60,"31-60 days",IF(V16&lt;=90,"61-90 days","90+ days")))))))</f>
        <v>0</v>
      </c>
      <c r="X16" s="29">
        <f>IF(OR(V16="",V16=0),0,ROUND(S16*LateFeePct,2))</f>
        <v>0</v>
      </c>
      <c r="AA16" s="49">
        <f>IF(A16="","",IF(COUNTIF(Invoices!$A$5:$A$304,A16)&gt;1,"Duplicate number","OK"))</f>
        <v>0</v>
      </c>
      <c r="AC16" s="28">
        <f>IF(B16="","",TEXT(B16,"yyyy-mm"))</f>
        <v>0</v>
      </c>
      <c r="AD16" s="49">
        <f>IF(A16="","",IF(T16="Draft","Action - still a draft",IF(U16="Overdue","Overdue - chase payment",IF(U16="Overdue - part paid","Overdue - chase the balance",IF(AND(S16&gt;0.004,C16&lt;&gt;"",C16-TODAY()&lt;=ReminderLeadDays,C16&gt;=TODAY()),"Due soon - send a reminder","OK")))))</f>
        <v>0</v>
      </c>
    </row>
    <row r="17" spans="1:30">
      <c r="A17" s="46">
        <f>IF(D17="","",InvoicePrefix&amp;TEXT(InvoiceStartNo+ROW()-5,"0000"))</f>
        <v>0</v>
      </c>
      <c r="C17" s="21">
        <f>IF(B17="","",B17+PaymentTermsDays)</f>
        <v>0</v>
      </c>
      <c r="F17" s="29">
        <f>IF(E17="",0,IFERROR(INDEX(Bookings!$AI$5:$AI$404,MATCH(E17,Bookings!$A$5:$A$404,0)),0))</f>
        <v>0</v>
      </c>
      <c r="J17" s="29">
        <f>IF(D17="","",IF(E17&lt;&gt;"",F17,ROUND(IF(H17="",0,H17)*IF(I17="",0,I17),2)))</f>
        <v>0</v>
      </c>
      <c r="M17" s="29">
        <f>IF(D17="","",ROUND(J17+IF(K17="",0,K17)-IF(L17="",0,L17),2))</f>
        <v>0</v>
      </c>
      <c r="N17" s="29">
        <f>IF(M17="","",IF(TaxRegistered&lt;&gt;"Yes",0,IF(PricesIncludeTax="Yes",ROUND(M17-M17/(1+TaxRate),2),ROUND(M17*TaxRate,2))))</f>
        <v>0</v>
      </c>
      <c r="O17" s="29">
        <f>IF(M17="","",IF(PricesIncludeTax="Yes",M17,ROUND(M17+N17,2)))</f>
        <v>0</v>
      </c>
      <c r="P17" s="29">
        <f>IF(A17="","",SUMIFS(Payments!$E$5:$E$304,Payments!$D$5:$D$304,A17,Payments!$M$5:$M$304,"Yes"))</f>
        <v>0</v>
      </c>
      <c r="Q17" s="29">
        <f>IF(A17="","",SUMIFS(Payments!$K$5:$K$304,Payments!$D$5:$D$304,A17))</f>
        <v>0</v>
      </c>
      <c r="R17" s="29">
        <f>IF(A17="","",SUMIFS(Payments!$J$5:$J$304,Payments!$D$5:$D$304,A17))</f>
        <v>0</v>
      </c>
      <c r="S17" s="29">
        <f>IF(D17="","",ROUND(IF(T17="Cancelled",0,O17-Q17),2))</f>
        <v>0</v>
      </c>
      <c r="U17" s="49">
        <f>IF(A17="","",IF(T17="Cancelled","Cancelled",IF(S17&lt;=0.004,"Paid",IF(Q17&gt;0.004,IF(AND(C17&lt;&gt;"",TODAY()&gt;C17),"Overdue - part paid","Partially paid"),IF(AND(C17&lt;&gt;"",TODAY()&gt;C17),"Overdue",IF(T17="Draft","Draft","Unpaid"))))))</f>
        <v>0</v>
      </c>
      <c r="V17" s="31">
        <f>IF(OR(C17="",S17&lt;=0.004),"",MAX(0,TODAY()-C17))</f>
        <v>0</v>
      </c>
      <c r="W17" s="49">
        <f>IF(A17="","",IF(S17&lt;=0.004,"Paid",IF(V17="","Not due",IF(V17=0,"Current",IF(V17&lt;=30,"1-30 days",IF(V17&lt;=60,"31-60 days",IF(V17&lt;=90,"61-90 days","90+ days")))))))</f>
        <v>0</v>
      </c>
      <c r="X17" s="29">
        <f>IF(OR(V17="",V17=0),0,ROUND(S17*LateFeePct,2))</f>
        <v>0</v>
      </c>
      <c r="AA17" s="49">
        <f>IF(A17="","",IF(COUNTIF(Invoices!$A$5:$A$304,A17)&gt;1,"Duplicate number","OK"))</f>
        <v>0</v>
      </c>
      <c r="AC17" s="28">
        <f>IF(B17="","",TEXT(B17,"yyyy-mm"))</f>
        <v>0</v>
      </c>
      <c r="AD17" s="49">
        <f>IF(A17="","",IF(T17="Draft","Action - still a draft",IF(U17="Overdue","Overdue - chase payment",IF(U17="Overdue - part paid","Overdue - chase the balance",IF(AND(S17&gt;0.004,C17&lt;&gt;"",C17-TODAY()&lt;=ReminderLeadDays,C17&gt;=TODAY()),"Due soon - send a reminder","OK")))))</f>
        <v>0</v>
      </c>
    </row>
    <row r="18" spans="1:30">
      <c r="A18" s="46">
        <f>IF(D18="","",InvoicePrefix&amp;TEXT(InvoiceStartNo+ROW()-5,"0000"))</f>
        <v>0</v>
      </c>
      <c r="C18" s="21">
        <f>IF(B18="","",B18+PaymentTermsDays)</f>
        <v>0</v>
      </c>
      <c r="F18" s="29">
        <f>IF(E18="",0,IFERROR(INDEX(Bookings!$AI$5:$AI$404,MATCH(E18,Bookings!$A$5:$A$404,0)),0))</f>
        <v>0</v>
      </c>
      <c r="J18" s="29">
        <f>IF(D18="","",IF(E18&lt;&gt;"",F18,ROUND(IF(H18="",0,H18)*IF(I18="",0,I18),2)))</f>
        <v>0</v>
      </c>
      <c r="M18" s="29">
        <f>IF(D18="","",ROUND(J18+IF(K18="",0,K18)-IF(L18="",0,L18),2))</f>
        <v>0</v>
      </c>
      <c r="N18" s="29">
        <f>IF(M18="","",IF(TaxRegistered&lt;&gt;"Yes",0,IF(PricesIncludeTax="Yes",ROUND(M18-M18/(1+TaxRate),2),ROUND(M18*TaxRate,2))))</f>
        <v>0</v>
      </c>
      <c r="O18" s="29">
        <f>IF(M18="","",IF(PricesIncludeTax="Yes",M18,ROUND(M18+N18,2)))</f>
        <v>0</v>
      </c>
      <c r="P18" s="29">
        <f>IF(A18="","",SUMIFS(Payments!$E$5:$E$304,Payments!$D$5:$D$304,A18,Payments!$M$5:$M$304,"Yes"))</f>
        <v>0</v>
      </c>
      <c r="Q18" s="29">
        <f>IF(A18="","",SUMIFS(Payments!$K$5:$K$304,Payments!$D$5:$D$304,A18))</f>
        <v>0</v>
      </c>
      <c r="R18" s="29">
        <f>IF(A18="","",SUMIFS(Payments!$J$5:$J$304,Payments!$D$5:$D$304,A18))</f>
        <v>0</v>
      </c>
      <c r="S18" s="29">
        <f>IF(D18="","",ROUND(IF(T18="Cancelled",0,O18-Q18),2))</f>
        <v>0</v>
      </c>
      <c r="U18" s="49">
        <f>IF(A18="","",IF(T18="Cancelled","Cancelled",IF(S18&lt;=0.004,"Paid",IF(Q18&gt;0.004,IF(AND(C18&lt;&gt;"",TODAY()&gt;C18),"Overdue - part paid","Partially paid"),IF(AND(C18&lt;&gt;"",TODAY()&gt;C18),"Overdue",IF(T18="Draft","Draft","Unpaid"))))))</f>
        <v>0</v>
      </c>
      <c r="V18" s="31">
        <f>IF(OR(C18="",S18&lt;=0.004),"",MAX(0,TODAY()-C18))</f>
        <v>0</v>
      </c>
      <c r="W18" s="49">
        <f>IF(A18="","",IF(S18&lt;=0.004,"Paid",IF(V18="","Not due",IF(V18=0,"Current",IF(V18&lt;=30,"1-30 days",IF(V18&lt;=60,"31-60 days",IF(V18&lt;=90,"61-90 days","90+ days")))))))</f>
        <v>0</v>
      </c>
      <c r="X18" s="29">
        <f>IF(OR(V18="",V18=0),0,ROUND(S18*LateFeePct,2))</f>
        <v>0</v>
      </c>
      <c r="AA18" s="49">
        <f>IF(A18="","",IF(COUNTIF(Invoices!$A$5:$A$304,A18)&gt;1,"Duplicate number","OK"))</f>
        <v>0</v>
      </c>
      <c r="AC18" s="28">
        <f>IF(B18="","",TEXT(B18,"yyyy-mm"))</f>
        <v>0</v>
      </c>
      <c r="AD18" s="49">
        <f>IF(A18="","",IF(T18="Draft","Action - still a draft",IF(U18="Overdue","Overdue - chase payment",IF(U18="Overdue - part paid","Overdue - chase the balance",IF(AND(S18&gt;0.004,C18&lt;&gt;"",C18-TODAY()&lt;=ReminderLeadDays,C18&gt;=TODAY()),"Due soon - send a reminder","OK")))))</f>
        <v>0</v>
      </c>
    </row>
    <row r="19" spans="1:30">
      <c r="A19" s="46">
        <f>IF(D19="","",InvoicePrefix&amp;TEXT(InvoiceStartNo+ROW()-5,"0000"))</f>
        <v>0</v>
      </c>
      <c r="C19" s="21">
        <f>IF(B19="","",B19+PaymentTermsDays)</f>
        <v>0</v>
      </c>
      <c r="F19" s="29">
        <f>IF(E19="",0,IFERROR(INDEX(Bookings!$AI$5:$AI$404,MATCH(E19,Bookings!$A$5:$A$404,0)),0))</f>
        <v>0</v>
      </c>
      <c r="J19" s="29">
        <f>IF(D19="","",IF(E19&lt;&gt;"",F19,ROUND(IF(H19="",0,H19)*IF(I19="",0,I19),2)))</f>
        <v>0</v>
      </c>
      <c r="M19" s="29">
        <f>IF(D19="","",ROUND(J19+IF(K19="",0,K19)-IF(L19="",0,L19),2))</f>
        <v>0</v>
      </c>
      <c r="N19" s="29">
        <f>IF(M19="","",IF(TaxRegistered&lt;&gt;"Yes",0,IF(PricesIncludeTax="Yes",ROUND(M19-M19/(1+TaxRate),2),ROUND(M19*TaxRate,2))))</f>
        <v>0</v>
      </c>
      <c r="O19" s="29">
        <f>IF(M19="","",IF(PricesIncludeTax="Yes",M19,ROUND(M19+N19,2)))</f>
        <v>0</v>
      </c>
      <c r="P19" s="29">
        <f>IF(A19="","",SUMIFS(Payments!$E$5:$E$304,Payments!$D$5:$D$304,A19,Payments!$M$5:$M$304,"Yes"))</f>
        <v>0</v>
      </c>
      <c r="Q19" s="29">
        <f>IF(A19="","",SUMIFS(Payments!$K$5:$K$304,Payments!$D$5:$D$304,A19))</f>
        <v>0</v>
      </c>
      <c r="R19" s="29">
        <f>IF(A19="","",SUMIFS(Payments!$J$5:$J$304,Payments!$D$5:$D$304,A19))</f>
        <v>0</v>
      </c>
      <c r="S19" s="29">
        <f>IF(D19="","",ROUND(IF(T19="Cancelled",0,O19-Q19),2))</f>
        <v>0</v>
      </c>
      <c r="U19" s="49">
        <f>IF(A19="","",IF(T19="Cancelled","Cancelled",IF(S19&lt;=0.004,"Paid",IF(Q19&gt;0.004,IF(AND(C19&lt;&gt;"",TODAY()&gt;C19),"Overdue - part paid","Partially paid"),IF(AND(C19&lt;&gt;"",TODAY()&gt;C19),"Overdue",IF(T19="Draft","Draft","Unpaid"))))))</f>
        <v>0</v>
      </c>
      <c r="V19" s="31">
        <f>IF(OR(C19="",S19&lt;=0.004),"",MAX(0,TODAY()-C19))</f>
        <v>0</v>
      </c>
      <c r="W19" s="49">
        <f>IF(A19="","",IF(S19&lt;=0.004,"Paid",IF(V19="","Not due",IF(V19=0,"Current",IF(V19&lt;=30,"1-30 days",IF(V19&lt;=60,"31-60 days",IF(V19&lt;=90,"61-90 days","90+ days")))))))</f>
        <v>0</v>
      </c>
      <c r="X19" s="29">
        <f>IF(OR(V19="",V19=0),0,ROUND(S19*LateFeePct,2))</f>
        <v>0</v>
      </c>
      <c r="AA19" s="49">
        <f>IF(A19="","",IF(COUNTIF(Invoices!$A$5:$A$304,A19)&gt;1,"Duplicate number","OK"))</f>
        <v>0</v>
      </c>
      <c r="AC19" s="28">
        <f>IF(B19="","",TEXT(B19,"yyyy-mm"))</f>
        <v>0</v>
      </c>
      <c r="AD19" s="49">
        <f>IF(A19="","",IF(T19="Draft","Action - still a draft",IF(U19="Overdue","Overdue - chase payment",IF(U19="Overdue - part paid","Overdue - chase the balance",IF(AND(S19&gt;0.004,C19&lt;&gt;"",C19-TODAY()&lt;=ReminderLeadDays,C19&gt;=TODAY()),"Due soon - send a reminder","OK")))))</f>
        <v>0</v>
      </c>
    </row>
    <row r="20" spans="1:30">
      <c r="A20" s="46">
        <f>IF(D20="","",InvoicePrefix&amp;TEXT(InvoiceStartNo+ROW()-5,"0000"))</f>
        <v>0</v>
      </c>
      <c r="C20" s="21">
        <f>IF(B20="","",B20+PaymentTermsDays)</f>
        <v>0</v>
      </c>
      <c r="F20" s="29">
        <f>IF(E20="",0,IFERROR(INDEX(Bookings!$AI$5:$AI$404,MATCH(E20,Bookings!$A$5:$A$404,0)),0))</f>
        <v>0</v>
      </c>
      <c r="J20" s="29">
        <f>IF(D20="","",IF(E20&lt;&gt;"",F20,ROUND(IF(H20="",0,H20)*IF(I20="",0,I20),2)))</f>
        <v>0</v>
      </c>
      <c r="M20" s="29">
        <f>IF(D20="","",ROUND(J20+IF(K20="",0,K20)-IF(L20="",0,L20),2))</f>
        <v>0</v>
      </c>
      <c r="N20" s="29">
        <f>IF(M20="","",IF(TaxRegistered&lt;&gt;"Yes",0,IF(PricesIncludeTax="Yes",ROUND(M20-M20/(1+TaxRate),2),ROUND(M20*TaxRate,2))))</f>
        <v>0</v>
      </c>
      <c r="O20" s="29">
        <f>IF(M20="","",IF(PricesIncludeTax="Yes",M20,ROUND(M20+N20,2)))</f>
        <v>0</v>
      </c>
      <c r="P20" s="29">
        <f>IF(A20="","",SUMIFS(Payments!$E$5:$E$304,Payments!$D$5:$D$304,A20,Payments!$M$5:$M$304,"Yes"))</f>
        <v>0</v>
      </c>
      <c r="Q20" s="29">
        <f>IF(A20="","",SUMIFS(Payments!$K$5:$K$304,Payments!$D$5:$D$304,A20))</f>
        <v>0</v>
      </c>
      <c r="R20" s="29">
        <f>IF(A20="","",SUMIFS(Payments!$J$5:$J$304,Payments!$D$5:$D$304,A20))</f>
        <v>0</v>
      </c>
      <c r="S20" s="29">
        <f>IF(D20="","",ROUND(IF(T20="Cancelled",0,O20-Q20),2))</f>
        <v>0</v>
      </c>
      <c r="U20" s="49">
        <f>IF(A20="","",IF(T20="Cancelled","Cancelled",IF(S20&lt;=0.004,"Paid",IF(Q20&gt;0.004,IF(AND(C20&lt;&gt;"",TODAY()&gt;C20),"Overdue - part paid","Partially paid"),IF(AND(C20&lt;&gt;"",TODAY()&gt;C20),"Overdue",IF(T20="Draft","Draft","Unpaid"))))))</f>
        <v>0</v>
      </c>
      <c r="V20" s="31">
        <f>IF(OR(C20="",S20&lt;=0.004),"",MAX(0,TODAY()-C20))</f>
        <v>0</v>
      </c>
      <c r="W20" s="49">
        <f>IF(A20="","",IF(S20&lt;=0.004,"Paid",IF(V20="","Not due",IF(V20=0,"Current",IF(V20&lt;=30,"1-30 days",IF(V20&lt;=60,"31-60 days",IF(V20&lt;=90,"61-90 days","90+ days")))))))</f>
        <v>0</v>
      </c>
      <c r="X20" s="29">
        <f>IF(OR(V20="",V20=0),0,ROUND(S20*LateFeePct,2))</f>
        <v>0</v>
      </c>
      <c r="AA20" s="49">
        <f>IF(A20="","",IF(COUNTIF(Invoices!$A$5:$A$304,A20)&gt;1,"Duplicate number","OK"))</f>
        <v>0</v>
      </c>
      <c r="AC20" s="28">
        <f>IF(B20="","",TEXT(B20,"yyyy-mm"))</f>
        <v>0</v>
      </c>
      <c r="AD20" s="49">
        <f>IF(A20="","",IF(T20="Draft","Action - still a draft",IF(U20="Overdue","Overdue - chase payment",IF(U20="Overdue - part paid","Overdue - chase the balance",IF(AND(S20&gt;0.004,C20&lt;&gt;"",C20-TODAY()&lt;=ReminderLeadDays,C20&gt;=TODAY()),"Due soon - send a reminder","OK")))))</f>
        <v>0</v>
      </c>
    </row>
    <row r="21" spans="1:30">
      <c r="A21" s="46">
        <f>IF(D21="","",InvoicePrefix&amp;TEXT(InvoiceStartNo+ROW()-5,"0000"))</f>
        <v>0</v>
      </c>
      <c r="C21" s="21">
        <f>IF(B21="","",B21+PaymentTermsDays)</f>
        <v>0</v>
      </c>
      <c r="F21" s="29">
        <f>IF(E21="",0,IFERROR(INDEX(Bookings!$AI$5:$AI$404,MATCH(E21,Bookings!$A$5:$A$404,0)),0))</f>
        <v>0</v>
      </c>
      <c r="J21" s="29">
        <f>IF(D21="","",IF(E21&lt;&gt;"",F21,ROUND(IF(H21="",0,H21)*IF(I21="",0,I21),2)))</f>
        <v>0</v>
      </c>
      <c r="M21" s="29">
        <f>IF(D21="","",ROUND(J21+IF(K21="",0,K21)-IF(L21="",0,L21),2))</f>
        <v>0</v>
      </c>
      <c r="N21" s="29">
        <f>IF(M21="","",IF(TaxRegistered&lt;&gt;"Yes",0,IF(PricesIncludeTax="Yes",ROUND(M21-M21/(1+TaxRate),2),ROUND(M21*TaxRate,2))))</f>
        <v>0</v>
      </c>
      <c r="O21" s="29">
        <f>IF(M21="","",IF(PricesIncludeTax="Yes",M21,ROUND(M21+N21,2)))</f>
        <v>0</v>
      </c>
      <c r="P21" s="29">
        <f>IF(A21="","",SUMIFS(Payments!$E$5:$E$304,Payments!$D$5:$D$304,A21,Payments!$M$5:$M$304,"Yes"))</f>
        <v>0</v>
      </c>
      <c r="Q21" s="29">
        <f>IF(A21="","",SUMIFS(Payments!$K$5:$K$304,Payments!$D$5:$D$304,A21))</f>
        <v>0</v>
      </c>
      <c r="R21" s="29">
        <f>IF(A21="","",SUMIFS(Payments!$J$5:$J$304,Payments!$D$5:$D$304,A21))</f>
        <v>0</v>
      </c>
      <c r="S21" s="29">
        <f>IF(D21="","",ROUND(IF(T21="Cancelled",0,O21-Q21),2))</f>
        <v>0</v>
      </c>
      <c r="U21" s="49">
        <f>IF(A21="","",IF(T21="Cancelled","Cancelled",IF(S21&lt;=0.004,"Paid",IF(Q21&gt;0.004,IF(AND(C21&lt;&gt;"",TODAY()&gt;C21),"Overdue - part paid","Partially paid"),IF(AND(C21&lt;&gt;"",TODAY()&gt;C21),"Overdue",IF(T21="Draft","Draft","Unpaid"))))))</f>
        <v>0</v>
      </c>
      <c r="V21" s="31">
        <f>IF(OR(C21="",S21&lt;=0.004),"",MAX(0,TODAY()-C21))</f>
        <v>0</v>
      </c>
      <c r="W21" s="49">
        <f>IF(A21="","",IF(S21&lt;=0.004,"Paid",IF(V21="","Not due",IF(V21=0,"Current",IF(V21&lt;=30,"1-30 days",IF(V21&lt;=60,"31-60 days",IF(V21&lt;=90,"61-90 days","90+ days")))))))</f>
        <v>0</v>
      </c>
      <c r="X21" s="29">
        <f>IF(OR(V21="",V21=0),0,ROUND(S21*LateFeePct,2))</f>
        <v>0</v>
      </c>
      <c r="AA21" s="49">
        <f>IF(A21="","",IF(COUNTIF(Invoices!$A$5:$A$304,A21)&gt;1,"Duplicate number","OK"))</f>
        <v>0</v>
      </c>
      <c r="AC21" s="28">
        <f>IF(B21="","",TEXT(B21,"yyyy-mm"))</f>
        <v>0</v>
      </c>
      <c r="AD21" s="49">
        <f>IF(A21="","",IF(T21="Draft","Action - still a draft",IF(U21="Overdue","Overdue - chase payment",IF(U21="Overdue - part paid","Overdue - chase the balance",IF(AND(S21&gt;0.004,C21&lt;&gt;"",C21-TODAY()&lt;=ReminderLeadDays,C21&gt;=TODAY()),"Due soon - send a reminder","OK")))))</f>
        <v>0</v>
      </c>
    </row>
    <row r="22" spans="1:30">
      <c r="A22" s="46">
        <f>IF(D22="","",InvoicePrefix&amp;TEXT(InvoiceStartNo+ROW()-5,"0000"))</f>
        <v>0</v>
      </c>
      <c r="C22" s="21">
        <f>IF(B22="","",B22+PaymentTermsDays)</f>
        <v>0</v>
      </c>
      <c r="F22" s="29">
        <f>IF(E22="",0,IFERROR(INDEX(Bookings!$AI$5:$AI$404,MATCH(E22,Bookings!$A$5:$A$404,0)),0))</f>
        <v>0</v>
      </c>
      <c r="J22" s="29">
        <f>IF(D22="","",IF(E22&lt;&gt;"",F22,ROUND(IF(H22="",0,H22)*IF(I22="",0,I22),2)))</f>
        <v>0</v>
      </c>
      <c r="M22" s="29">
        <f>IF(D22="","",ROUND(J22+IF(K22="",0,K22)-IF(L22="",0,L22),2))</f>
        <v>0</v>
      </c>
      <c r="N22" s="29">
        <f>IF(M22="","",IF(TaxRegistered&lt;&gt;"Yes",0,IF(PricesIncludeTax="Yes",ROUND(M22-M22/(1+TaxRate),2),ROUND(M22*TaxRate,2))))</f>
        <v>0</v>
      </c>
      <c r="O22" s="29">
        <f>IF(M22="","",IF(PricesIncludeTax="Yes",M22,ROUND(M22+N22,2)))</f>
        <v>0</v>
      </c>
      <c r="P22" s="29">
        <f>IF(A22="","",SUMIFS(Payments!$E$5:$E$304,Payments!$D$5:$D$304,A22,Payments!$M$5:$M$304,"Yes"))</f>
        <v>0</v>
      </c>
      <c r="Q22" s="29">
        <f>IF(A22="","",SUMIFS(Payments!$K$5:$K$304,Payments!$D$5:$D$304,A22))</f>
        <v>0</v>
      </c>
      <c r="R22" s="29">
        <f>IF(A22="","",SUMIFS(Payments!$J$5:$J$304,Payments!$D$5:$D$304,A22))</f>
        <v>0</v>
      </c>
      <c r="S22" s="29">
        <f>IF(D22="","",ROUND(IF(T22="Cancelled",0,O22-Q22),2))</f>
        <v>0</v>
      </c>
      <c r="U22" s="49">
        <f>IF(A22="","",IF(T22="Cancelled","Cancelled",IF(S22&lt;=0.004,"Paid",IF(Q22&gt;0.004,IF(AND(C22&lt;&gt;"",TODAY()&gt;C22),"Overdue - part paid","Partially paid"),IF(AND(C22&lt;&gt;"",TODAY()&gt;C22),"Overdue",IF(T22="Draft","Draft","Unpaid"))))))</f>
        <v>0</v>
      </c>
      <c r="V22" s="31">
        <f>IF(OR(C22="",S22&lt;=0.004),"",MAX(0,TODAY()-C22))</f>
        <v>0</v>
      </c>
      <c r="W22" s="49">
        <f>IF(A22="","",IF(S22&lt;=0.004,"Paid",IF(V22="","Not due",IF(V22=0,"Current",IF(V22&lt;=30,"1-30 days",IF(V22&lt;=60,"31-60 days",IF(V22&lt;=90,"61-90 days","90+ days")))))))</f>
        <v>0</v>
      </c>
      <c r="X22" s="29">
        <f>IF(OR(V22="",V22=0),0,ROUND(S22*LateFeePct,2))</f>
        <v>0</v>
      </c>
      <c r="AA22" s="49">
        <f>IF(A22="","",IF(COUNTIF(Invoices!$A$5:$A$304,A22)&gt;1,"Duplicate number","OK"))</f>
        <v>0</v>
      </c>
      <c r="AC22" s="28">
        <f>IF(B22="","",TEXT(B22,"yyyy-mm"))</f>
        <v>0</v>
      </c>
      <c r="AD22" s="49">
        <f>IF(A22="","",IF(T22="Draft","Action - still a draft",IF(U22="Overdue","Overdue - chase payment",IF(U22="Overdue - part paid","Overdue - chase the balance",IF(AND(S22&gt;0.004,C22&lt;&gt;"",C22-TODAY()&lt;=ReminderLeadDays,C22&gt;=TODAY()),"Due soon - send a reminder","OK")))))</f>
        <v>0</v>
      </c>
    </row>
    <row r="23" spans="1:30">
      <c r="A23" s="46">
        <f>IF(D23="","",InvoicePrefix&amp;TEXT(InvoiceStartNo+ROW()-5,"0000"))</f>
        <v>0</v>
      </c>
      <c r="C23" s="21">
        <f>IF(B23="","",B23+PaymentTermsDays)</f>
        <v>0</v>
      </c>
      <c r="F23" s="29">
        <f>IF(E23="",0,IFERROR(INDEX(Bookings!$AI$5:$AI$404,MATCH(E23,Bookings!$A$5:$A$404,0)),0))</f>
        <v>0</v>
      </c>
      <c r="J23" s="29">
        <f>IF(D23="","",IF(E23&lt;&gt;"",F23,ROUND(IF(H23="",0,H23)*IF(I23="",0,I23),2)))</f>
        <v>0</v>
      </c>
      <c r="M23" s="29">
        <f>IF(D23="","",ROUND(J23+IF(K23="",0,K23)-IF(L23="",0,L23),2))</f>
        <v>0</v>
      </c>
      <c r="N23" s="29">
        <f>IF(M23="","",IF(TaxRegistered&lt;&gt;"Yes",0,IF(PricesIncludeTax="Yes",ROUND(M23-M23/(1+TaxRate),2),ROUND(M23*TaxRate,2))))</f>
        <v>0</v>
      </c>
      <c r="O23" s="29">
        <f>IF(M23="","",IF(PricesIncludeTax="Yes",M23,ROUND(M23+N23,2)))</f>
        <v>0</v>
      </c>
      <c r="P23" s="29">
        <f>IF(A23="","",SUMIFS(Payments!$E$5:$E$304,Payments!$D$5:$D$304,A23,Payments!$M$5:$M$304,"Yes"))</f>
        <v>0</v>
      </c>
      <c r="Q23" s="29">
        <f>IF(A23="","",SUMIFS(Payments!$K$5:$K$304,Payments!$D$5:$D$304,A23))</f>
        <v>0</v>
      </c>
      <c r="R23" s="29">
        <f>IF(A23="","",SUMIFS(Payments!$J$5:$J$304,Payments!$D$5:$D$304,A23))</f>
        <v>0</v>
      </c>
      <c r="S23" s="29">
        <f>IF(D23="","",ROUND(IF(T23="Cancelled",0,O23-Q23),2))</f>
        <v>0</v>
      </c>
      <c r="U23" s="49">
        <f>IF(A23="","",IF(T23="Cancelled","Cancelled",IF(S23&lt;=0.004,"Paid",IF(Q23&gt;0.004,IF(AND(C23&lt;&gt;"",TODAY()&gt;C23),"Overdue - part paid","Partially paid"),IF(AND(C23&lt;&gt;"",TODAY()&gt;C23),"Overdue",IF(T23="Draft","Draft","Unpaid"))))))</f>
        <v>0</v>
      </c>
      <c r="V23" s="31">
        <f>IF(OR(C23="",S23&lt;=0.004),"",MAX(0,TODAY()-C23))</f>
        <v>0</v>
      </c>
      <c r="W23" s="49">
        <f>IF(A23="","",IF(S23&lt;=0.004,"Paid",IF(V23="","Not due",IF(V23=0,"Current",IF(V23&lt;=30,"1-30 days",IF(V23&lt;=60,"31-60 days",IF(V23&lt;=90,"61-90 days","90+ days")))))))</f>
        <v>0</v>
      </c>
      <c r="X23" s="29">
        <f>IF(OR(V23="",V23=0),0,ROUND(S23*LateFeePct,2))</f>
        <v>0</v>
      </c>
      <c r="AA23" s="49">
        <f>IF(A23="","",IF(COUNTIF(Invoices!$A$5:$A$304,A23)&gt;1,"Duplicate number","OK"))</f>
        <v>0</v>
      </c>
      <c r="AC23" s="28">
        <f>IF(B23="","",TEXT(B23,"yyyy-mm"))</f>
        <v>0</v>
      </c>
      <c r="AD23" s="49">
        <f>IF(A23="","",IF(T23="Draft","Action - still a draft",IF(U23="Overdue","Overdue - chase payment",IF(U23="Overdue - part paid","Overdue - chase the balance",IF(AND(S23&gt;0.004,C23&lt;&gt;"",C23-TODAY()&lt;=ReminderLeadDays,C23&gt;=TODAY()),"Due soon - send a reminder","OK")))))</f>
        <v>0</v>
      </c>
    </row>
    <row r="24" spans="1:30">
      <c r="A24" s="46">
        <f>IF(D24="","",InvoicePrefix&amp;TEXT(InvoiceStartNo+ROW()-5,"0000"))</f>
        <v>0</v>
      </c>
      <c r="C24" s="21">
        <f>IF(B24="","",B24+PaymentTermsDays)</f>
        <v>0</v>
      </c>
      <c r="F24" s="29">
        <f>IF(E24="",0,IFERROR(INDEX(Bookings!$AI$5:$AI$404,MATCH(E24,Bookings!$A$5:$A$404,0)),0))</f>
        <v>0</v>
      </c>
      <c r="J24" s="29">
        <f>IF(D24="","",IF(E24&lt;&gt;"",F24,ROUND(IF(H24="",0,H24)*IF(I24="",0,I24),2)))</f>
        <v>0</v>
      </c>
      <c r="M24" s="29">
        <f>IF(D24="","",ROUND(J24+IF(K24="",0,K24)-IF(L24="",0,L24),2))</f>
        <v>0</v>
      </c>
      <c r="N24" s="29">
        <f>IF(M24="","",IF(TaxRegistered&lt;&gt;"Yes",0,IF(PricesIncludeTax="Yes",ROUND(M24-M24/(1+TaxRate),2),ROUND(M24*TaxRate,2))))</f>
        <v>0</v>
      </c>
      <c r="O24" s="29">
        <f>IF(M24="","",IF(PricesIncludeTax="Yes",M24,ROUND(M24+N24,2)))</f>
        <v>0</v>
      </c>
      <c r="P24" s="29">
        <f>IF(A24="","",SUMIFS(Payments!$E$5:$E$304,Payments!$D$5:$D$304,A24,Payments!$M$5:$M$304,"Yes"))</f>
        <v>0</v>
      </c>
      <c r="Q24" s="29">
        <f>IF(A24="","",SUMIFS(Payments!$K$5:$K$304,Payments!$D$5:$D$304,A24))</f>
        <v>0</v>
      </c>
      <c r="R24" s="29">
        <f>IF(A24="","",SUMIFS(Payments!$J$5:$J$304,Payments!$D$5:$D$304,A24))</f>
        <v>0</v>
      </c>
      <c r="S24" s="29">
        <f>IF(D24="","",ROUND(IF(T24="Cancelled",0,O24-Q24),2))</f>
        <v>0</v>
      </c>
      <c r="U24" s="49">
        <f>IF(A24="","",IF(T24="Cancelled","Cancelled",IF(S24&lt;=0.004,"Paid",IF(Q24&gt;0.004,IF(AND(C24&lt;&gt;"",TODAY()&gt;C24),"Overdue - part paid","Partially paid"),IF(AND(C24&lt;&gt;"",TODAY()&gt;C24),"Overdue",IF(T24="Draft","Draft","Unpaid"))))))</f>
        <v>0</v>
      </c>
      <c r="V24" s="31">
        <f>IF(OR(C24="",S24&lt;=0.004),"",MAX(0,TODAY()-C24))</f>
        <v>0</v>
      </c>
      <c r="W24" s="49">
        <f>IF(A24="","",IF(S24&lt;=0.004,"Paid",IF(V24="","Not due",IF(V24=0,"Current",IF(V24&lt;=30,"1-30 days",IF(V24&lt;=60,"31-60 days",IF(V24&lt;=90,"61-90 days","90+ days")))))))</f>
        <v>0</v>
      </c>
      <c r="X24" s="29">
        <f>IF(OR(V24="",V24=0),0,ROUND(S24*LateFeePct,2))</f>
        <v>0</v>
      </c>
      <c r="AA24" s="49">
        <f>IF(A24="","",IF(COUNTIF(Invoices!$A$5:$A$304,A24)&gt;1,"Duplicate number","OK"))</f>
        <v>0</v>
      </c>
      <c r="AC24" s="28">
        <f>IF(B24="","",TEXT(B24,"yyyy-mm"))</f>
        <v>0</v>
      </c>
      <c r="AD24" s="49">
        <f>IF(A24="","",IF(T24="Draft","Action - still a draft",IF(U24="Overdue","Overdue - chase payment",IF(U24="Overdue - part paid","Overdue - chase the balance",IF(AND(S24&gt;0.004,C24&lt;&gt;"",C24-TODAY()&lt;=ReminderLeadDays,C24&gt;=TODAY()),"Due soon - send a reminder","OK")))))</f>
        <v>0</v>
      </c>
    </row>
    <row r="25" spans="1:30">
      <c r="A25" s="46">
        <f>IF(D25="","",InvoicePrefix&amp;TEXT(InvoiceStartNo+ROW()-5,"0000"))</f>
        <v>0</v>
      </c>
      <c r="C25" s="21">
        <f>IF(B25="","",B25+PaymentTermsDays)</f>
        <v>0</v>
      </c>
      <c r="F25" s="29">
        <f>IF(E25="",0,IFERROR(INDEX(Bookings!$AI$5:$AI$404,MATCH(E25,Bookings!$A$5:$A$404,0)),0))</f>
        <v>0</v>
      </c>
      <c r="J25" s="29">
        <f>IF(D25="","",IF(E25&lt;&gt;"",F25,ROUND(IF(H25="",0,H25)*IF(I25="",0,I25),2)))</f>
        <v>0</v>
      </c>
      <c r="M25" s="29">
        <f>IF(D25="","",ROUND(J25+IF(K25="",0,K25)-IF(L25="",0,L25),2))</f>
        <v>0</v>
      </c>
      <c r="N25" s="29">
        <f>IF(M25="","",IF(TaxRegistered&lt;&gt;"Yes",0,IF(PricesIncludeTax="Yes",ROUND(M25-M25/(1+TaxRate),2),ROUND(M25*TaxRate,2))))</f>
        <v>0</v>
      </c>
      <c r="O25" s="29">
        <f>IF(M25="","",IF(PricesIncludeTax="Yes",M25,ROUND(M25+N25,2)))</f>
        <v>0</v>
      </c>
      <c r="P25" s="29">
        <f>IF(A25="","",SUMIFS(Payments!$E$5:$E$304,Payments!$D$5:$D$304,A25,Payments!$M$5:$M$304,"Yes"))</f>
        <v>0</v>
      </c>
      <c r="Q25" s="29">
        <f>IF(A25="","",SUMIFS(Payments!$K$5:$K$304,Payments!$D$5:$D$304,A25))</f>
        <v>0</v>
      </c>
      <c r="R25" s="29">
        <f>IF(A25="","",SUMIFS(Payments!$J$5:$J$304,Payments!$D$5:$D$304,A25))</f>
        <v>0</v>
      </c>
      <c r="S25" s="29">
        <f>IF(D25="","",ROUND(IF(T25="Cancelled",0,O25-Q25),2))</f>
        <v>0</v>
      </c>
      <c r="U25" s="49">
        <f>IF(A25="","",IF(T25="Cancelled","Cancelled",IF(S25&lt;=0.004,"Paid",IF(Q25&gt;0.004,IF(AND(C25&lt;&gt;"",TODAY()&gt;C25),"Overdue - part paid","Partially paid"),IF(AND(C25&lt;&gt;"",TODAY()&gt;C25),"Overdue",IF(T25="Draft","Draft","Unpaid"))))))</f>
        <v>0</v>
      </c>
      <c r="V25" s="31">
        <f>IF(OR(C25="",S25&lt;=0.004),"",MAX(0,TODAY()-C25))</f>
        <v>0</v>
      </c>
      <c r="W25" s="49">
        <f>IF(A25="","",IF(S25&lt;=0.004,"Paid",IF(V25="","Not due",IF(V25=0,"Current",IF(V25&lt;=30,"1-30 days",IF(V25&lt;=60,"31-60 days",IF(V25&lt;=90,"61-90 days","90+ days")))))))</f>
        <v>0</v>
      </c>
      <c r="X25" s="29">
        <f>IF(OR(V25="",V25=0),0,ROUND(S25*LateFeePct,2))</f>
        <v>0</v>
      </c>
      <c r="AA25" s="49">
        <f>IF(A25="","",IF(COUNTIF(Invoices!$A$5:$A$304,A25)&gt;1,"Duplicate number","OK"))</f>
        <v>0</v>
      </c>
      <c r="AC25" s="28">
        <f>IF(B25="","",TEXT(B25,"yyyy-mm"))</f>
        <v>0</v>
      </c>
      <c r="AD25" s="49">
        <f>IF(A25="","",IF(T25="Draft","Action - still a draft",IF(U25="Overdue","Overdue - chase payment",IF(U25="Overdue - part paid","Overdue - chase the balance",IF(AND(S25&gt;0.004,C25&lt;&gt;"",C25-TODAY()&lt;=ReminderLeadDays,C25&gt;=TODAY()),"Due soon - send a reminder","OK")))))</f>
        <v>0</v>
      </c>
    </row>
    <row r="26" spans="1:30">
      <c r="A26" s="46">
        <f>IF(D26="","",InvoicePrefix&amp;TEXT(InvoiceStartNo+ROW()-5,"0000"))</f>
        <v>0</v>
      </c>
      <c r="C26" s="21">
        <f>IF(B26="","",B26+PaymentTermsDays)</f>
        <v>0</v>
      </c>
      <c r="F26" s="29">
        <f>IF(E26="",0,IFERROR(INDEX(Bookings!$AI$5:$AI$404,MATCH(E26,Bookings!$A$5:$A$404,0)),0))</f>
        <v>0</v>
      </c>
      <c r="J26" s="29">
        <f>IF(D26="","",IF(E26&lt;&gt;"",F26,ROUND(IF(H26="",0,H26)*IF(I26="",0,I26),2)))</f>
        <v>0</v>
      </c>
      <c r="M26" s="29">
        <f>IF(D26="","",ROUND(J26+IF(K26="",0,K26)-IF(L26="",0,L26),2))</f>
        <v>0</v>
      </c>
      <c r="N26" s="29">
        <f>IF(M26="","",IF(TaxRegistered&lt;&gt;"Yes",0,IF(PricesIncludeTax="Yes",ROUND(M26-M26/(1+TaxRate),2),ROUND(M26*TaxRate,2))))</f>
        <v>0</v>
      </c>
      <c r="O26" s="29">
        <f>IF(M26="","",IF(PricesIncludeTax="Yes",M26,ROUND(M26+N26,2)))</f>
        <v>0</v>
      </c>
      <c r="P26" s="29">
        <f>IF(A26="","",SUMIFS(Payments!$E$5:$E$304,Payments!$D$5:$D$304,A26,Payments!$M$5:$M$304,"Yes"))</f>
        <v>0</v>
      </c>
      <c r="Q26" s="29">
        <f>IF(A26="","",SUMIFS(Payments!$K$5:$K$304,Payments!$D$5:$D$304,A26))</f>
        <v>0</v>
      </c>
      <c r="R26" s="29">
        <f>IF(A26="","",SUMIFS(Payments!$J$5:$J$304,Payments!$D$5:$D$304,A26))</f>
        <v>0</v>
      </c>
      <c r="S26" s="29">
        <f>IF(D26="","",ROUND(IF(T26="Cancelled",0,O26-Q26),2))</f>
        <v>0</v>
      </c>
      <c r="U26" s="49">
        <f>IF(A26="","",IF(T26="Cancelled","Cancelled",IF(S26&lt;=0.004,"Paid",IF(Q26&gt;0.004,IF(AND(C26&lt;&gt;"",TODAY()&gt;C26),"Overdue - part paid","Partially paid"),IF(AND(C26&lt;&gt;"",TODAY()&gt;C26),"Overdue",IF(T26="Draft","Draft","Unpaid"))))))</f>
        <v>0</v>
      </c>
      <c r="V26" s="31">
        <f>IF(OR(C26="",S26&lt;=0.004),"",MAX(0,TODAY()-C26))</f>
        <v>0</v>
      </c>
      <c r="W26" s="49">
        <f>IF(A26="","",IF(S26&lt;=0.004,"Paid",IF(V26="","Not due",IF(V26=0,"Current",IF(V26&lt;=30,"1-30 days",IF(V26&lt;=60,"31-60 days",IF(V26&lt;=90,"61-90 days","90+ days")))))))</f>
        <v>0</v>
      </c>
      <c r="X26" s="29">
        <f>IF(OR(V26="",V26=0),0,ROUND(S26*LateFeePct,2))</f>
        <v>0</v>
      </c>
      <c r="AA26" s="49">
        <f>IF(A26="","",IF(COUNTIF(Invoices!$A$5:$A$304,A26)&gt;1,"Duplicate number","OK"))</f>
        <v>0</v>
      </c>
      <c r="AC26" s="28">
        <f>IF(B26="","",TEXT(B26,"yyyy-mm"))</f>
        <v>0</v>
      </c>
      <c r="AD26" s="49">
        <f>IF(A26="","",IF(T26="Draft","Action - still a draft",IF(U26="Overdue","Overdue - chase payment",IF(U26="Overdue - part paid","Overdue - chase the balance",IF(AND(S26&gt;0.004,C26&lt;&gt;"",C26-TODAY()&lt;=ReminderLeadDays,C26&gt;=TODAY()),"Due soon - send a reminder","OK")))))</f>
        <v>0</v>
      </c>
    </row>
    <row r="27" spans="1:30">
      <c r="A27" s="46">
        <f>IF(D27="","",InvoicePrefix&amp;TEXT(InvoiceStartNo+ROW()-5,"0000"))</f>
        <v>0</v>
      </c>
      <c r="C27" s="21">
        <f>IF(B27="","",B27+PaymentTermsDays)</f>
        <v>0</v>
      </c>
      <c r="F27" s="29">
        <f>IF(E27="",0,IFERROR(INDEX(Bookings!$AI$5:$AI$404,MATCH(E27,Bookings!$A$5:$A$404,0)),0))</f>
        <v>0</v>
      </c>
      <c r="J27" s="29">
        <f>IF(D27="","",IF(E27&lt;&gt;"",F27,ROUND(IF(H27="",0,H27)*IF(I27="",0,I27),2)))</f>
        <v>0</v>
      </c>
      <c r="M27" s="29">
        <f>IF(D27="","",ROUND(J27+IF(K27="",0,K27)-IF(L27="",0,L27),2))</f>
        <v>0</v>
      </c>
      <c r="N27" s="29">
        <f>IF(M27="","",IF(TaxRegistered&lt;&gt;"Yes",0,IF(PricesIncludeTax="Yes",ROUND(M27-M27/(1+TaxRate),2),ROUND(M27*TaxRate,2))))</f>
        <v>0</v>
      </c>
      <c r="O27" s="29">
        <f>IF(M27="","",IF(PricesIncludeTax="Yes",M27,ROUND(M27+N27,2)))</f>
        <v>0</v>
      </c>
      <c r="P27" s="29">
        <f>IF(A27="","",SUMIFS(Payments!$E$5:$E$304,Payments!$D$5:$D$304,A27,Payments!$M$5:$M$304,"Yes"))</f>
        <v>0</v>
      </c>
      <c r="Q27" s="29">
        <f>IF(A27="","",SUMIFS(Payments!$K$5:$K$304,Payments!$D$5:$D$304,A27))</f>
        <v>0</v>
      </c>
      <c r="R27" s="29">
        <f>IF(A27="","",SUMIFS(Payments!$J$5:$J$304,Payments!$D$5:$D$304,A27))</f>
        <v>0</v>
      </c>
      <c r="S27" s="29">
        <f>IF(D27="","",ROUND(IF(T27="Cancelled",0,O27-Q27),2))</f>
        <v>0</v>
      </c>
      <c r="U27" s="49">
        <f>IF(A27="","",IF(T27="Cancelled","Cancelled",IF(S27&lt;=0.004,"Paid",IF(Q27&gt;0.004,IF(AND(C27&lt;&gt;"",TODAY()&gt;C27),"Overdue - part paid","Partially paid"),IF(AND(C27&lt;&gt;"",TODAY()&gt;C27),"Overdue",IF(T27="Draft","Draft","Unpaid"))))))</f>
        <v>0</v>
      </c>
      <c r="V27" s="31">
        <f>IF(OR(C27="",S27&lt;=0.004),"",MAX(0,TODAY()-C27))</f>
        <v>0</v>
      </c>
      <c r="W27" s="49">
        <f>IF(A27="","",IF(S27&lt;=0.004,"Paid",IF(V27="","Not due",IF(V27=0,"Current",IF(V27&lt;=30,"1-30 days",IF(V27&lt;=60,"31-60 days",IF(V27&lt;=90,"61-90 days","90+ days")))))))</f>
        <v>0</v>
      </c>
      <c r="X27" s="29">
        <f>IF(OR(V27="",V27=0),0,ROUND(S27*LateFeePct,2))</f>
        <v>0</v>
      </c>
      <c r="AA27" s="49">
        <f>IF(A27="","",IF(COUNTIF(Invoices!$A$5:$A$304,A27)&gt;1,"Duplicate number","OK"))</f>
        <v>0</v>
      </c>
      <c r="AC27" s="28">
        <f>IF(B27="","",TEXT(B27,"yyyy-mm"))</f>
        <v>0</v>
      </c>
      <c r="AD27" s="49">
        <f>IF(A27="","",IF(T27="Draft","Action - still a draft",IF(U27="Overdue","Overdue - chase payment",IF(U27="Overdue - part paid","Overdue - chase the balance",IF(AND(S27&gt;0.004,C27&lt;&gt;"",C27-TODAY()&lt;=ReminderLeadDays,C27&gt;=TODAY()),"Due soon - send a reminder","OK")))))</f>
        <v>0</v>
      </c>
    </row>
    <row r="28" spans="1:30">
      <c r="A28" s="46">
        <f>IF(D28="","",InvoicePrefix&amp;TEXT(InvoiceStartNo+ROW()-5,"0000"))</f>
        <v>0</v>
      </c>
      <c r="C28" s="21">
        <f>IF(B28="","",B28+PaymentTermsDays)</f>
        <v>0</v>
      </c>
      <c r="F28" s="29">
        <f>IF(E28="",0,IFERROR(INDEX(Bookings!$AI$5:$AI$404,MATCH(E28,Bookings!$A$5:$A$404,0)),0))</f>
        <v>0</v>
      </c>
      <c r="J28" s="29">
        <f>IF(D28="","",IF(E28&lt;&gt;"",F28,ROUND(IF(H28="",0,H28)*IF(I28="",0,I28),2)))</f>
        <v>0</v>
      </c>
      <c r="M28" s="29">
        <f>IF(D28="","",ROUND(J28+IF(K28="",0,K28)-IF(L28="",0,L28),2))</f>
        <v>0</v>
      </c>
      <c r="N28" s="29">
        <f>IF(M28="","",IF(TaxRegistered&lt;&gt;"Yes",0,IF(PricesIncludeTax="Yes",ROUND(M28-M28/(1+TaxRate),2),ROUND(M28*TaxRate,2))))</f>
        <v>0</v>
      </c>
      <c r="O28" s="29">
        <f>IF(M28="","",IF(PricesIncludeTax="Yes",M28,ROUND(M28+N28,2)))</f>
        <v>0</v>
      </c>
      <c r="P28" s="29">
        <f>IF(A28="","",SUMIFS(Payments!$E$5:$E$304,Payments!$D$5:$D$304,A28,Payments!$M$5:$M$304,"Yes"))</f>
        <v>0</v>
      </c>
      <c r="Q28" s="29">
        <f>IF(A28="","",SUMIFS(Payments!$K$5:$K$304,Payments!$D$5:$D$304,A28))</f>
        <v>0</v>
      </c>
      <c r="R28" s="29">
        <f>IF(A28="","",SUMIFS(Payments!$J$5:$J$304,Payments!$D$5:$D$304,A28))</f>
        <v>0</v>
      </c>
      <c r="S28" s="29">
        <f>IF(D28="","",ROUND(IF(T28="Cancelled",0,O28-Q28),2))</f>
        <v>0</v>
      </c>
      <c r="U28" s="49">
        <f>IF(A28="","",IF(T28="Cancelled","Cancelled",IF(S28&lt;=0.004,"Paid",IF(Q28&gt;0.004,IF(AND(C28&lt;&gt;"",TODAY()&gt;C28),"Overdue - part paid","Partially paid"),IF(AND(C28&lt;&gt;"",TODAY()&gt;C28),"Overdue",IF(T28="Draft","Draft","Unpaid"))))))</f>
        <v>0</v>
      </c>
      <c r="V28" s="31">
        <f>IF(OR(C28="",S28&lt;=0.004),"",MAX(0,TODAY()-C28))</f>
        <v>0</v>
      </c>
      <c r="W28" s="49">
        <f>IF(A28="","",IF(S28&lt;=0.004,"Paid",IF(V28="","Not due",IF(V28=0,"Current",IF(V28&lt;=30,"1-30 days",IF(V28&lt;=60,"31-60 days",IF(V28&lt;=90,"61-90 days","90+ days")))))))</f>
        <v>0</v>
      </c>
      <c r="X28" s="29">
        <f>IF(OR(V28="",V28=0),0,ROUND(S28*LateFeePct,2))</f>
        <v>0</v>
      </c>
      <c r="AA28" s="49">
        <f>IF(A28="","",IF(COUNTIF(Invoices!$A$5:$A$304,A28)&gt;1,"Duplicate number","OK"))</f>
        <v>0</v>
      </c>
      <c r="AC28" s="28">
        <f>IF(B28="","",TEXT(B28,"yyyy-mm"))</f>
        <v>0</v>
      </c>
      <c r="AD28" s="49">
        <f>IF(A28="","",IF(T28="Draft","Action - still a draft",IF(U28="Overdue","Overdue - chase payment",IF(U28="Overdue - part paid","Overdue - chase the balance",IF(AND(S28&gt;0.004,C28&lt;&gt;"",C28-TODAY()&lt;=ReminderLeadDays,C28&gt;=TODAY()),"Due soon - send a reminder","OK")))))</f>
        <v>0</v>
      </c>
    </row>
    <row r="29" spans="1:30">
      <c r="A29" s="46">
        <f>IF(D29="","",InvoicePrefix&amp;TEXT(InvoiceStartNo+ROW()-5,"0000"))</f>
        <v>0</v>
      </c>
      <c r="C29" s="21">
        <f>IF(B29="","",B29+PaymentTermsDays)</f>
        <v>0</v>
      </c>
      <c r="F29" s="29">
        <f>IF(E29="",0,IFERROR(INDEX(Bookings!$AI$5:$AI$404,MATCH(E29,Bookings!$A$5:$A$404,0)),0))</f>
        <v>0</v>
      </c>
      <c r="J29" s="29">
        <f>IF(D29="","",IF(E29&lt;&gt;"",F29,ROUND(IF(H29="",0,H29)*IF(I29="",0,I29),2)))</f>
        <v>0</v>
      </c>
      <c r="M29" s="29">
        <f>IF(D29="","",ROUND(J29+IF(K29="",0,K29)-IF(L29="",0,L29),2))</f>
        <v>0</v>
      </c>
      <c r="N29" s="29">
        <f>IF(M29="","",IF(TaxRegistered&lt;&gt;"Yes",0,IF(PricesIncludeTax="Yes",ROUND(M29-M29/(1+TaxRate),2),ROUND(M29*TaxRate,2))))</f>
        <v>0</v>
      </c>
      <c r="O29" s="29">
        <f>IF(M29="","",IF(PricesIncludeTax="Yes",M29,ROUND(M29+N29,2)))</f>
        <v>0</v>
      </c>
      <c r="P29" s="29">
        <f>IF(A29="","",SUMIFS(Payments!$E$5:$E$304,Payments!$D$5:$D$304,A29,Payments!$M$5:$M$304,"Yes"))</f>
        <v>0</v>
      </c>
      <c r="Q29" s="29">
        <f>IF(A29="","",SUMIFS(Payments!$K$5:$K$304,Payments!$D$5:$D$304,A29))</f>
        <v>0</v>
      </c>
      <c r="R29" s="29">
        <f>IF(A29="","",SUMIFS(Payments!$J$5:$J$304,Payments!$D$5:$D$304,A29))</f>
        <v>0</v>
      </c>
      <c r="S29" s="29">
        <f>IF(D29="","",ROUND(IF(T29="Cancelled",0,O29-Q29),2))</f>
        <v>0</v>
      </c>
      <c r="U29" s="49">
        <f>IF(A29="","",IF(T29="Cancelled","Cancelled",IF(S29&lt;=0.004,"Paid",IF(Q29&gt;0.004,IF(AND(C29&lt;&gt;"",TODAY()&gt;C29),"Overdue - part paid","Partially paid"),IF(AND(C29&lt;&gt;"",TODAY()&gt;C29),"Overdue",IF(T29="Draft","Draft","Unpaid"))))))</f>
        <v>0</v>
      </c>
      <c r="V29" s="31">
        <f>IF(OR(C29="",S29&lt;=0.004),"",MAX(0,TODAY()-C29))</f>
        <v>0</v>
      </c>
      <c r="W29" s="49">
        <f>IF(A29="","",IF(S29&lt;=0.004,"Paid",IF(V29="","Not due",IF(V29=0,"Current",IF(V29&lt;=30,"1-30 days",IF(V29&lt;=60,"31-60 days",IF(V29&lt;=90,"61-90 days","90+ days")))))))</f>
        <v>0</v>
      </c>
      <c r="X29" s="29">
        <f>IF(OR(V29="",V29=0),0,ROUND(S29*LateFeePct,2))</f>
        <v>0</v>
      </c>
      <c r="AA29" s="49">
        <f>IF(A29="","",IF(COUNTIF(Invoices!$A$5:$A$304,A29)&gt;1,"Duplicate number","OK"))</f>
        <v>0</v>
      </c>
      <c r="AC29" s="28">
        <f>IF(B29="","",TEXT(B29,"yyyy-mm"))</f>
        <v>0</v>
      </c>
      <c r="AD29" s="49">
        <f>IF(A29="","",IF(T29="Draft","Action - still a draft",IF(U29="Overdue","Overdue - chase payment",IF(U29="Overdue - part paid","Overdue - chase the balance",IF(AND(S29&gt;0.004,C29&lt;&gt;"",C29-TODAY()&lt;=ReminderLeadDays,C29&gt;=TODAY()),"Due soon - send a reminder","OK")))))</f>
        <v>0</v>
      </c>
    </row>
    <row r="30" spans="1:30">
      <c r="A30" s="46">
        <f>IF(D30="","",InvoicePrefix&amp;TEXT(InvoiceStartNo+ROW()-5,"0000"))</f>
        <v>0</v>
      </c>
      <c r="C30" s="21">
        <f>IF(B30="","",B30+PaymentTermsDays)</f>
        <v>0</v>
      </c>
      <c r="F30" s="29">
        <f>IF(E30="",0,IFERROR(INDEX(Bookings!$AI$5:$AI$404,MATCH(E30,Bookings!$A$5:$A$404,0)),0))</f>
        <v>0</v>
      </c>
      <c r="J30" s="29">
        <f>IF(D30="","",IF(E30&lt;&gt;"",F30,ROUND(IF(H30="",0,H30)*IF(I30="",0,I30),2)))</f>
        <v>0</v>
      </c>
      <c r="M30" s="29">
        <f>IF(D30="","",ROUND(J30+IF(K30="",0,K30)-IF(L30="",0,L30),2))</f>
        <v>0</v>
      </c>
      <c r="N30" s="29">
        <f>IF(M30="","",IF(TaxRegistered&lt;&gt;"Yes",0,IF(PricesIncludeTax="Yes",ROUND(M30-M30/(1+TaxRate),2),ROUND(M30*TaxRate,2))))</f>
        <v>0</v>
      </c>
      <c r="O30" s="29">
        <f>IF(M30="","",IF(PricesIncludeTax="Yes",M30,ROUND(M30+N30,2)))</f>
        <v>0</v>
      </c>
      <c r="P30" s="29">
        <f>IF(A30="","",SUMIFS(Payments!$E$5:$E$304,Payments!$D$5:$D$304,A30,Payments!$M$5:$M$304,"Yes"))</f>
        <v>0</v>
      </c>
      <c r="Q30" s="29">
        <f>IF(A30="","",SUMIFS(Payments!$K$5:$K$304,Payments!$D$5:$D$304,A30))</f>
        <v>0</v>
      </c>
      <c r="R30" s="29">
        <f>IF(A30="","",SUMIFS(Payments!$J$5:$J$304,Payments!$D$5:$D$304,A30))</f>
        <v>0</v>
      </c>
      <c r="S30" s="29">
        <f>IF(D30="","",ROUND(IF(T30="Cancelled",0,O30-Q30),2))</f>
        <v>0</v>
      </c>
      <c r="U30" s="49">
        <f>IF(A30="","",IF(T30="Cancelled","Cancelled",IF(S30&lt;=0.004,"Paid",IF(Q30&gt;0.004,IF(AND(C30&lt;&gt;"",TODAY()&gt;C30),"Overdue - part paid","Partially paid"),IF(AND(C30&lt;&gt;"",TODAY()&gt;C30),"Overdue",IF(T30="Draft","Draft","Unpaid"))))))</f>
        <v>0</v>
      </c>
      <c r="V30" s="31">
        <f>IF(OR(C30="",S30&lt;=0.004),"",MAX(0,TODAY()-C30))</f>
        <v>0</v>
      </c>
      <c r="W30" s="49">
        <f>IF(A30="","",IF(S30&lt;=0.004,"Paid",IF(V30="","Not due",IF(V30=0,"Current",IF(V30&lt;=30,"1-30 days",IF(V30&lt;=60,"31-60 days",IF(V30&lt;=90,"61-90 days","90+ days")))))))</f>
        <v>0</v>
      </c>
      <c r="X30" s="29">
        <f>IF(OR(V30="",V30=0),0,ROUND(S30*LateFeePct,2))</f>
        <v>0</v>
      </c>
      <c r="AA30" s="49">
        <f>IF(A30="","",IF(COUNTIF(Invoices!$A$5:$A$304,A30)&gt;1,"Duplicate number","OK"))</f>
        <v>0</v>
      </c>
      <c r="AC30" s="28">
        <f>IF(B30="","",TEXT(B30,"yyyy-mm"))</f>
        <v>0</v>
      </c>
      <c r="AD30" s="49">
        <f>IF(A30="","",IF(T30="Draft","Action - still a draft",IF(U30="Overdue","Overdue - chase payment",IF(U30="Overdue - part paid","Overdue - chase the balance",IF(AND(S30&gt;0.004,C30&lt;&gt;"",C30-TODAY()&lt;=ReminderLeadDays,C30&gt;=TODAY()),"Due soon - send a reminder","OK")))))</f>
        <v>0</v>
      </c>
    </row>
    <row r="31" spans="1:30">
      <c r="A31" s="46">
        <f>IF(D31="","",InvoicePrefix&amp;TEXT(InvoiceStartNo+ROW()-5,"0000"))</f>
        <v>0</v>
      </c>
      <c r="C31" s="21">
        <f>IF(B31="","",B31+PaymentTermsDays)</f>
        <v>0</v>
      </c>
      <c r="F31" s="29">
        <f>IF(E31="",0,IFERROR(INDEX(Bookings!$AI$5:$AI$404,MATCH(E31,Bookings!$A$5:$A$404,0)),0))</f>
        <v>0</v>
      </c>
      <c r="J31" s="29">
        <f>IF(D31="","",IF(E31&lt;&gt;"",F31,ROUND(IF(H31="",0,H31)*IF(I31="",0,I31),2)))</f>
        <v>0</v>
      </c>
      <c r="M31" s="29">
        <f>IF(D31="","",ROUND(J31+IF(K31="",0,K31)-IF(L31="",0,L31),2))</f>
        <v>0</v>
      </c>
      <c r="N31" s="29">
        <f>IF(M31="","",IF(TaxRegistered&lt;&gt;"Yes",0,IF(PricesIncludeTax="Yes",ROUND(M31-M31/(1+TaxRate),2),ROUND(M31*TaxRate,2))))</f>
        <v>0</v>
      </c>
      <c r="O31" s="29">
        <f>IF(M31="","",IF(PricesIncludeTax="Yes",M31,ROUND(M31+N31,2)))</f>
        <v>0</v>
      </c>
      <c r="P31" s="29">
        <f>IF(A31="","",SUMIFS(Payments!$E$5:$E$304,Payments!$D$5:$D$304,A31,Payments!$M$5:$M$304,"Yes"))</f>
        <v>0</v>
      </c>
      <c r="Q31" s="29">
        <f>IF(A31="","",SUMIFS(Payments!$K$5:$K$304,Payments!$D$5:$D$304,A31))</f>
        <v>0</v>
      </c>
      <c r="R31" s="29">
        <f>IF(A31="","",SUMIFS(Payments!$J$5:$J$304,Payments!$D$5:$D$304,A31))</f>
        <v>0</v>
      </c>
      <c r="S31" s="29">
        <f>IF(D31="","",ROUND(IF(T31="Cancelled",0,O31-Q31),2))</f>
        <v>0</v>
      </c>
      <c r="U31" s="49">
        <f>IF(A31="","",IF(T31="Cancelled","Cancelled",IF(S31&lt;=0.004,"Paid",IF(Q31&gt;0.004,IF(AND(C31&lt;&gt;"",TODAY()&gt;C31),"Overdue - part paid","Partially paid"),IF(AND(C31&lt;&gt;"",TODAY()&gt;C31),"Overdue",IF(T31="Draft","Draft","Unpaid"))))))</f>
        <v>0</v>
      </c>
      <c r="V31" s="31">
        <f>IF(OR(C31="",S31&lt;=0.004),"",MAX(0,TODAY()-C31))</f>
        <v>0</v>
      </c>
      <c r="W31" s="49">
        <f>IF(A31="","",IF(S31&lt;=0.004,"Paid",IF(V31="","Not due",IF(V31=0,"Current",IF(V31&lt;=30,"1-30 days",IF(V31&lt;=60,"31-60 days",IF(V31&lt;=90,"61-90 days","90+ days")))))))</f>
        <v>0</v>
      </c>
      <c r="X31" s="29">
        <f>IF(OR(V31="",V31=0),0,ROUND(S31*LateFeePct,2))</f>
        <v>0</v>
      </c>
      <c r="AA31" s="49">
        <f>IF(A31="","",IF(COUNTIF(Invoices!$A$5:$A$304,A31)&gt;1,"Duplicate number","OK"))</f>
        <v>0</v>
      </c>
      <c r="AC31" s="28">
        <f>IF(B31="","",TEXT(B31,"yyyy-mm"))</f>
        <v>0</v>
      </c>
      <c r="AD31" s="49">
        <f>IF(A31="","",IF(T31="Draft","Action - still a draft",IF(U31="Overdue","Overdue - chase payment",IF(U31="Overdue - part paid","Overdue - chase the balance",IF(AND(S31&gt;0.004,C31&lt;&gt;"",C31-TODAY()&lt;=ReminderLeadDays,C31&gt;=TODAY()),"Due soon - send a reminder","OK")))))</f>
        <v>0</v>
      </c>
    </row>
    <row r="32" spans="1:30">
      <c r="A32" s="46">
        <f>IF(D32="","",InvoicePrefix&amp;TEXT(InvoiceStartNo+ROW()-5,"0000"))</f>
        <v>0</v>
      </c>
      <c r="C32" s="21">
        <f>IF(B32="","",B32+PaymentTermsDays)</f>
        <v>0</v>
      </c>
      <c r="F32" s="29">
        <f>IF(E32="",0,IFERROR(INDEX(Bookings!$AI$5:$AI$404,MATCH(E32,Bookings!$A$5:$A$404,0)),0))</f>
        <v>0</v>
      </c>
      <c r="J32" s="29">
        <f>IF(D32="","",IF(E32&lt;&gt;"",F32,ROUND(IF(H32="",0,H32)*IF(I32="",0,I32),2)))</f>
        <v>0</v>
      </c>
      <c r="M32" s="29">
        <f>IF(D32="","",ROUND(J32+IF(K32="",0,K32)-IF(L32="",0,L32),2))</f>
        <v>0</v>
      </c>
      <c r="N32" s="29">
        <f>IF(M32="","",IF(TaxRegistered&lt;&gt;"Yes",0,IF(PricesIncludeTax="Yes",ROUND(M32-M32/(1+TaxRate),2),ROUND(M32*TaxRate,2))))</f>
        <v>0</v>
      </c>
      <c r="O32" s="29">
        <f>IF(M32="","",IF(PricesIncludeTax="Yes",M32,ROUND(M32+N32,2)))</f>
        <v>0</v>
      </c>
      <c r="P32" s="29">
        <f>IF(A32="","",SUMIFS(Payments!$E$5:$E$304,Payments!$D$5:$D$304,A32,Payments!$M$5:$M$304,"Yes"))</f>
        <v>0</v>
      </c>
      <c r="Q32" s="29">
        <f>IF(A32="","",SUMIFS(Payments!$K$5:$K$304,Payments!$D$5:$D$304,A32))</f>
        <v>0</v>
      </c>
      <c r="R32" s="29">
        <f>IF(A32="","",SUMIFS(Payments!$J$5:$J$304,Payments!$D$5:$D$304,A32))</f>
        <v>0</v>
      </c>
      <c r="S32" s="29">
        <f>IF(D32="","",ROUND(IF(T32="Cancelled",0,O32-Q32),2))</f>
        <v>0</v>
      </c>
      <c r="U32" s="49">
        <f>IF(A32="","",IF(T32="Cancelled","Cancelled",IF(S32&lt;=0.004,"Paid",IF(Q32&gt;0.004,IF(AND(C32&lt;&gt;"",TODAY()&gt;C32),"Overdue - part paid","Partially paid"),IF(AND(C32&lt;&gt;"",TODAY()&gt;C32),"Overdue",IF(T32="Draft","Draft","Unpaid"))))))</f>
        <v>0</v>
      </c>
      <c r="V32" s="31">
        <f>IF(OR(C32="",S32&lt;=0.004),"",MAX(0,TODAY()-C32))</f>
        <v>0</v>
      </c>
      <c r="W32" s="49">
        <f>IF(A32="","",IF(S32&lt;=0.004,"Paid",IF(V32="","Not due",IF(V32=0,"Current",IF(V32&lt;=30,"1-30 days",IF(V32&lt;=60,"31-60 days",IF(V32&lt;=90,"61-90 days","90+ days")))))))</f>
        <v>0</v>
      </c>
      <c r="X32" s="29">
        <f>IF(OR(V32="",V32=0),0,ROUND(S32*LateFeePct,2))</f>
        <v>0</v>
      </c>
      <c r="AA32" s="49">
        <f>IF(A32="","",IF(COUNTIF(Invoices!$A$5:$A$304,A32)&gt;1,"Duplicate number","OK"))</f>
        <v>0</v>
      </c>
      <c r="AC32" s="28">
        <f>IF(B32="","",TEXT(B32,"yyyy-mm"))</f>
        <v>0</v>
      </c>
      <c r="AD32" s="49">
        <f>IF(A32="","",IF(T32="Draft","Action - still a draft",IF(U32="Overdue","Overdue - chase payment",IF(U32="Overdue - part paid","Overdue - chase the balance",IF(AND(S32&gt;0.004,C32&lt;&gt;"",C32-TODAY()&lt;=ReminderLeadDays,C32&gt;=TODAY()),"Due soon - send a reminder","OK")))))</f>
        <v>0</v>
      </c>
    </row>
    <row r="33" spans="1:30">
      <c r="A33" s="46">
        <f>IF(D33="","",InvoicePrefix&amp;TEXT(InvoiceStartNo+ROW()-5,"0000"))</f>
        <v>0</v>
      </c>
      <c r="C33" s="21">
        <f>IF(B33="","",B33+PaymentTermsDays)</f>
        <v>0</v>
      </c>
      <c r="F33" s="29">
        <f>IF(E33="",0,IFERROR(INDEX(Bookings!$AI$5:$AI$404,MATCH(E33,Bookings!$A$5:$A$404,0)),0))</f>
        <v>0</v>
      </c>
      <c r="J33" s="29">
        <f>IF(D33="","",IF(E33&lt;&gt;"",F33,ROUND(IF(H33="",0,H33)*IF(I33="",0,I33),2)))</f>
        <v>0</v>
      </c>
      <c r="M33" s="29">
        <f>IF(D33="","",ROUND(J33+IF(K33="",0,K33)-IF(L33="",0,L33),2))</f>
        <v>0</v>
      </c>
      <c r="N33" s="29">
        <f>IF(M33="","",IF(TaxRegistered&lt;&gt;"Yes",0,IF(PricesIncludeTax="Yes",ROUND(M33-M33/(1+TaxRate),2),ROUND(M33*TaxRate,2))))</f>
        <v>0</v>
      </c>
      <c r="O33" s="29">
        <f>IF(M33="","",IF(PricesIncludeTax="Yes",M33,ROUND(M33+N33,2)))</f>
        <v>0</v>
      </c>
      <c r="P33" s="29">
        <f>IF(A33="","",SUMIFS(Payments!$E$5:$E$304,Payments!$D$5:$D$304,A33,Payments!$M$5:$M$304,"Yes"))</f>
        <v>0</v>
      </c>
      <c r="Q33" s="29">
        <f>IF(A33="","",SUMIFS(Payments!$K$5:$K$304,Payments!$D$5:$D$304,A33))</f>
        <v>0</v>
      </c>
      <c r="R33" s="29">
        <f>IF(A33="","",SUMIFS(Payments!$J$5:$J$304,Payments!$D$5:$D$304,A33))</f>
        <v>0</v>
      </c>
      <c r="S33" s="29">
        <f>IF(D33="","",ROUND(IF(T33="Cancelled",0,O33-Q33),2))</f>
        <v>0</v>
      </c>
      <c r="U33" s="49">
        <f>IF(A33="","",IF(T33="Cancelled","Cancelled",IF(S33&lt;=0.004,"Paid",IF(Q33&gt;0.004,IF(AND(C33&lt;&gt;"",TODAY()&gt;C33),"Overdue - part paid","Partially paid"),IF(AND(C33&lt;&gt;"",TODAY()&gt;C33),"Overdue",IF(T33="Draft","Draft","Unpaid"))))))</f>
        <v>0</v>
      </c>
      <c r="V33" s="31">
        <f>IF(OR(C33="",S33&lt;=0.004),"",MAX(0,TODAY()-C33))</f>
        <v>0</v>
      </c>
      <c r="W33" s="49">
        <f>IF(A33="","",IF(S33&lt;=0.004,"Paid",IF(V33="","Not due",IF(V33=0,"Current",IF(V33&lt;=30,"1-30 days",IF(V33&lt;=60,"31-60 days",IF(V33&lt;=90,"61-90 days","90+ days")))))))</f>
        <v>0</v>
      </c>
      <c r="X33" s="29">
        <f>IF(OR(V33="",V33=0),0,ROUND(S33*LateFeePct,2))</f>
        <v>0</v>
      </c>
      <c r="AA33" s="49">
        <f>IF(A33="","",IF(COUNTIF(Invoices!$A$5:$A$304,A33)&gt;1,"Duplicate number","OK"))</f>
        <v>0</v>
      </c>
      <c r="AC33" s="28">
        <f>IF(B33="","",TEXT(B33,"yyyy-mm"))</f>
        <v>0</v>
      </c>
      <c r="AD33" s="49">
        <f>IF(A33="","",IF(T33="Draft","Action - still a draft",IF(U33="Overdue","Overdue - chase payment",IF(U33="Overdue - part paid","Overdue - chase the balance",IF(AND(S33&gt;0.004,C33&lt;&gt;"",C33-TODAY()&lt;=ReminderLeadDays,C33&gt;=TODAY()),"Due soon - send a reminder","OK")))))</f>
        <v>0</v>
      </c>
    </row>
    <row r="34" spans="1:30">
      <c r="A34" s="46">
        <f>IF(D34="","",InvoicePrefix&amp;TEXT(InvoiceStartNo+ROW()-5,"0000"))</f>
        <v>0</v>
      </c>
      <c r="C34" s="21">
        <f>IF(B34="","",B34+PaymentTermsDays)</f>
        <v>0</v>
      </c>
      <c r="F34" s="29">
        <f>IF(E34="",0,IFERROR(INDEX(Bookings!$AI$5:$AI$404,MATCH(E34,Bookings!$A$5:$A$404,0)),0))</f>
        <v>0</v>
      </c>
      <c r="J34" s="29">
        <f>IF(D34="","",IF(E34&lt;&gt;"",F34,ROUND(IF(H34="",0,H34)*IF(I34="",0,I34),2)))</f>
        <v>0</v>
      </c>
      <c r="M34" s="29">
        <f>IF(D34="","",ROUND(J34+IF(K34="",0,K34)-IF(L34="",0,L34),2))</f>
        <v>0</v>
      </c>
      <c r="N34" s="29">
        <f>IF(M34="","",IF(TaxRegistered&lt;&gt;"Yes",0,IF(PricesIncludeTax="Yes",ROUND(M34-M34/(1+TaxRate),2),ROUND(M34*TaxRate,2))))</f>
        <v>0</v>
      </c>
      <c r="O34" s="29">
        <f>IF(M34="","",IF(PricesIncludeTax="Yes",M34,ROUND(M34+N34,2)))</f>
        <v>0</v>
      </c>
      <c r="P34" s="29">
        <f>IF(A34="","",SUMIFS(Payments!$E$5:$E$304,Payments!$D$5:$D$304,A34,Payments!$M$5:$M$304,"Yes"))</f>
        <v>0</v>
      </c>
      <c r="Q34" s="29">
        <f>IF(A34="","",SUMIFS(Payments!$K$5:$K$304,Payments!$D$5:$D$304,A34))</f>
        <v>0</v>
      </c>
      <c r="R34" s="29">
        <f>IF(A34="","",SUMIFS(Payments!$J$5:$J$304,Payments!$D$5:$D$304,A34))</f>
        <v>0</v>
      </c>
      <c r="S34" s="29">
        <f>IF(D34="","",ROUND(IF(T34="Cancelled",0,O34-Q34),2))</f>
        <v>0</v>
      </c>
      <c r="U34" s="49">
        <f>IF(A34="","",IF(T34="Cancelled","Cancelled",IF(S34&lt;=0.004,"Paid",IF(Q34&gt;0.004,IF(AND(C34&lt;&gt;"",TODAY()&gt;C34),"Overdue - part paid","Partially paid"),IF(AND(C34&lt;&gt;"",TODAY()&gt;C34),"Overdue",IF(T34="Draft","Draft","Unpaid"))))))</f>
        <v>0</v>
      </c>
      <c r="V34" s="31">
        <f>IF(OR(C34="",S34&lt;=0.004),"",MAX(0,TODAY()-C34))</f>
        <v>0</v>
      </c>
      <c r="W34" s="49">
        <f>IF(A34="","",IF(S34&lt;=0.004,"Paid",IF(V34="","Not due",IF(V34=0,"Current",IF(V34&lt;=30,"1-30 days",IF(V34&lt;=60,"31-60 days",IF(V34&lt;=90,"61-90 days","90+ days")))))))</f>
        <v>0</v>
      </c>
      <c r="X34" s="29">
        <f>IF(OR(V34="",V34=0),0,ROUND(S34*LateFeePct,2))</f>
        <v>0</v>
      </c>
      <c r="AA34" s="49">
        <f>IF(A34="","",IF(COUNTIF(Invoices!$A$5:$A$304,A34)&gt;1,"Duplicate number","OK"))</f>
        <v>0</v>
      </c>
      <c r="AC34" s="28">
        <f>IF(B34="","",TEXT(B34,"yyyy-mm"))</f>
        <v>0</v>
      </c>
      <c r="AD34" s="49">
        <f>IF(A34="","",IF(T34="Draft","Action - still a draft",IF(U34="Overdue","Overdue - chase payment",IF(U34="Overdue - part paid","Overdue - chase the balance",IF(AND(S34&gt;0.004,C34&lt;&gt;"",C34-TODAY()&lt;=ReminderLeadDays,C34&gt;=TODAY()),"Due soon - send a reminder","OK")))))</f>
        <v>0</v>
      </c>
    </row>
    <row r="35" spans="1:30">
      <c r="A35" s="46">
        <f>IF(D35="","",InvoicePrefix&amp;TEXT(InvoiceStartNo+ROW()-5,"0000"))</f>
        <v>0</v>
      </c>
      <c r="C35" s="21">
        <f>IF(B35="","",B35+PaymentTermsDays)</f>
        <v>0</v>
      </c>
      <c r="F35" s="29">
        <f>IF(E35="",0,IFERROR(INDEX(Bookings!$AI$5:$AI$404,MATCH(E35,Bookings!$A$5:$A$404,0)),0))</f>
        <v>0</v>
      </c>
      <c r="J35" s="29">
        <f>IF(D35="","",IF(E35&lt;&gt;"",F35,ROUND(IF(H35="",0,H35)*IF(I35="",0,I35),2)))</f>
        <v>0</v>
      </c>
      <c r="M35" s="29">
        <f>IF(D35="","",ROUND(J35+IF(K35="",0,K35)-IF(L35="",0,L35),2))</f>
        <v>0</v>
      </c>
      <c r="N35" s="29">
        <f>IF(M35="","",IF(TaxRegistered&lt;&gt;"Yes",0,IF(PricesIncludeTax="Yes",ROUND(M35-M35/(1+TaxRate),2),ROUND(M35*TaxRate,2))))</f>
        <v>0</v>
      </c>
      <c r="O35" s="29">
        <f>IF(M35="","",IF(PricesIncludeTax="Yes",M35,ROUND(M35+N35,2)))</f>
        <v>0</v>
      </c>
      <c r="P35" s="29">
        <f>IF(A35="","",SUMIFS(Payments!$E$5:$E$304,Payments!$D$5:$D$304,A35,Payments!$M$5:$M$304,"Yes"))</f>
        <v>0</v>
      </c>
      <c r="Q35" s="29">
        <f>IF(A35="","",SUMIFS(Payments!$K$5:$K$304,Payments!$D$5:$D$304,A35))</f>
        <v>0</v>
      </c>
      <c r="R35" s="29">
        <f>IF(A35="","",SUMIFS(Payments!$J$5:$J$304,Payments!$D$5:$D$304,A35))</f>
        <v>0</v>
      </c>
      <c r="S35" s="29">
        <f>IF(D35="","",ROUND(IF(T35="Cancelled",0,O35-Q35),2))</f>
        <v>0</v>
      </c>
      <c r="U35" s="49">
        <f>IF(A35="","",IF(T35="Cancelled","Cancelled",IF(S35&lt;=0.004,"Paid",IF(Q35&gt;0.004,IF(AND(C35&lt;&gt;"",TODAY()&gt;C35),"Overdue - part paid","Partially paid"),IF(AND(C35&lt;&gt;"",TODAY()&gt;C35),"Overdue",IF(T35="Draft","Draft","Unpaid"))))))</f>
        <v>0</v>
      </c>
      <c r="V35" s="31">
        <f>IF(OR(C35="",S35&lt;=0.004),"",MAX(0,TODAY()-C35))</f>
        <v>0</v>
      </c>
      <c r="W35" s="49">
        <f>IF(A35="","",IF(S35&lt;=0.004,"Paid",IF(V35="","Not due",IF(V35=0,"Current",IF(V35&lt;=30,"1-30 days",IF(V35&lt;=60,"31-60 days",IF(V35&lt;=90,"61-90 days","90+ days")))))))</f>
        <v>0</v>
      </c>
      <c r="X35" s="29">
        <f>IF(OR(V35="",V35=0),0,ROUND(S35*LateFeePct,2))</f>
        <v>0</v>
      </c>
      <c r="AA35" s="49">
        <f>IF(A35="","",IF(COUNTIF(Invoices!$A$5:$A$304,A35)&gt;1,"Duplicate number","OK"))</f>
        <v>0</v>
      </c>
      <c r="AC35" s="28">
        <f>IF(B35="","",TEXT(B35,"yyyy-mm"))</f>
        <v>0</v>
      </c>
      <c r="AD35" s="49">
        <f>IF(A35="","",IF(T35="Draft","Action - still a draft",IF(U35="Overdue","Overdue - chase payment",IF(U35="Overdue - part paid","Overdue - chase the balance",IF(AND(S35&gt;0.004,C35&lt;&gt;"",C35-TODAY()&lt;=ReminderLeadDays,C35&gt;=TODAY()),"Due soon - send a reminder","OK")))))</f>
        <v>0</v>
      </c>
    </row>
    <row r="36" spans="1:30">
      <c r="A36" s="46">
        <f>IF(D36="","",InvoicePrefix&amp;TEXT(InvoiceStartNo+ROW()-5,"0000"))</f>
        <v>0</v>
      </c>
      <c r="C36" s="21">
        <f>IF(B36="","",B36+PaymentTermsDays)</f>
        <v>0</v>
      </c>
      <c r="F36" s="29">
        <f>IF(E36="",0,IFERROR(INDEX(Bookings!$AI$5:$AI$404,MATCH(E36,Bookings!$A$5:$A$404,0)),0))</f>
        <v>0</v>
      </c>
      <c r="J36" s="29">
        <f>IF(D36="","",IF(E36&lt;&gt;"",F36,ROUND(IF(H36="",0,H36)*IF(I36="",0,I36),2)))</f>
        <v>0</v>
      </c>
      <c r="M36" s="29">
        <f>IF(D36="","",ROUND(J36+IF(K36="",0,K36)-IF(L36="",0,L36),2))</f>
        <v>0</v>
      </c>
      <c r="N36" s="29">
        <f>IF(M36="","",IF(TaxRegistered&lt;&gt;"Yes",0,IF(PricesIncludeTax="Yes",ROUND(M36-M36/(1+TaxRate),2),ROUND(M36*TaxRate,2))))</f>
        <v>0</v>
      </c>
      <c r="O36" s="29">
        <f>IF(M36="","",IF(PricesIncludeTax="Yes",M36,ROUND(M36+N36,2)))</f>
        <v>0</v>
      </c>
      <c r="P36" s="29">
        <f>IF(A36="","",SUMIFS(Payments!$E$5:$E$304,Payments!$D$5:$D$304,A36,Payments!$M$5:$M$304,"Yes"))</f>
        <v>0</v>
      </c>
      <c r="Q36" s="29">
        <f>IF(A36="","",SUMIFS(Payments!$K$5:$K$304,Payments!$D$5:$D$304,A36))</f>
        <v>0</v>
      </c>
      <c r="R36" s="29">
        <f>IF(A36="","",SUMIFS(Payments!$J$5:$J$304,Payments!$D$5:$D$304,A36))</f>
        <v>0</v>
      </c>
      <c r="S36" s="29">
        <f>IF(D36="","",ROUND(IF(T36="Cancelled",0,O36-Q36),2))</f>
        <v>0</v>
      </c>
      <c r="U36" s="49">
        <f>IF(A36="","",IF(T36="Cancelled","Cancelled",IF(S36&lt;=0.004,"Paid",IF(Q36&gt;0.004,IF(AND(C36&lt;&gt;"",TODAY()&gt;C36),"Overdue - part paid","Partially paid"),IF(AND(C36&lt;&gt;"",TODAY()&gt;C36),"Overdue",IF(T36="Draft","Draft","Unpaid"))))))</f>
        <v>0</v>
      </c>
      <c r="V36" s="31">
        <f>IF(OR(C36="",S36&lt;=0.004),"",MAX(0,TODAY()-C36))</f>
        <v>0</v>
      </c>
      <c r="W36" s="49">
        <f>IF(A36="","",IF(S36&lt;=0.004,"Paid",IF(V36="","Not due",IF(V36=0,"Current",IF(V36&lt;=30,"1-30 days",IF(V36&lt;=60,"31-60 days",IF(V36&lt;=90,"61-90 days","90+ days")))))))</f>
        <v>0</v>
      </c>
      <c r="X36" s="29">
        <f>IF(OR(V36="",V36=0),0,ROUND(S36*LateFeePct,2))</f>
        <v>0</v>
      </c>
      <c r="AA36" s="49">
        <f>IF(A36="","",IF(COUNTIF(Invoices!$A$5:$A$304,A36)&gt;1,"Duplicate number","OK"))</f>
        <v>0</v>
      </c>
      <c r="AC36" s="28">
        <f>IF(B36="","",TEXT(B36,"yyyy-mm"))</f>
        <v>0</v>
      </c>
      <c r="AD36" s="49">
        <f>IF(A36="","",IF(T36="Draft","Action - still a draft",IF(U36="Overdue","Overdue - chase payment",IF(U36="Overdue - part paid","Overdue - chase the balance",IF(AND(S36&gt;0.004,C36&lt;&gt;"",C36-TODAY()&lt;=ReminderLeadDays,C36&gt;=TODAY()),"Due soon - send a reminder","OK")))))</f>
        <v>0</v>
      </c>
    </row>
    <row r="37" spans="1:30">
      <c r="A37" s="46">
        <f>IF(D37="","",InvoicePrefix&amp;TEXT(InvoiceStartNo+ROW()-5,"0000"))</f>
        <v>0</v>
      </c>
      <c r="C37" s="21">
        <f>IF(B37="","",B37+PaymentTermsDays)</f>
        <v>0</v>
      </c>
      <c r="F37" s="29">
        <f>IF(E37="",0,IFERROR(INDEX(Bookings!$AI$5:$AI$404,MATCH(E37,Bookings!$A$5:$A$404,0)),0))</f>
        <v>0</v>
      </c>
      <c r="J37" s="29">
        <f>IF(D37="","",IF(E37&lt;&gt;"",F37,ROUND(IF(H37="",0,H37)*IF(I37="",0,I37),2)))</f>
        <v>0</v>
      </c>
      <c r="M37" s="29">
        <f>IF(D37="","",ROUND(J37+IF(K37="",0,K37)-IF(L37="",0,L37),2))</f>
        <v>0</v>
      </c>
      <c r="N37" s="29">
        <f>IF(M37="","",IF(TaxRegistered&lt;&gt;"Yes",0,IF(PricesIncludeTax="Yes",ROUND(M37-M37/(1+TaxRate),2),ROUND(M37*TaxRate,2))))</f>
        <v>0</v>
      </c>
      <c r="O37" s="29">
        <f>IF(M37="","",IF(PricesIncludeTax="Yes",M37,ROUND(M37+N37,2)))</f>
        <v>0</v>
      </c>
      <c r="P37" s="29">
        <f>IF(A37="","",SUMIFS(Payments!$E$5:$E$304,Payments!$D$5:$D$304,A37,Payments!$M$5:$M$304,"Yes"))</f>
        <v>0</v>
      </c>
      <c r="Q37" s="29">
        <f>IF(A37="","",SUMIFS(Payments!$K$5:$K$304,Payments!$D$5:$D$304,A37))</f>
        <v>0</v>
      </c>
      <c r="R37" s="29">
        <f>IF(A37="","",SUMIFS(Payments!$J$5:$J$304,Payments!$D$5:$D$304,A37))</f>
        <v>0</v>
      </c>
      <c r="S37" s="29">
        <f>IF(D37="","",ROUND(IF(T37="Cancelled",0,O37-Q37),2))</f>
        <v>0</v>
      </c>
      <c r="U37" s="49">
        <f>IF(A37="","",IF(T37="Cancelled","Cancelled",IF(S37&lt;=0.004,"Paid",IF(Q37&gt;0.004,IF(AND(C37&lt;&gt;"",TODAY()&gt;C37),"Overdue - part paid","Partially paid"),IF(AND(C37&lt;&gt;"",TODAY()&gt;C37),"Overdue",IF(T37="Draft","Draft","Unpaid"))))))</f>
        <v>0</v>
      </c>
      <c r="V37" s="31">
        <f>IF(OR(C37="",S37&lt;=0.004),"",MAX(0,TODAY()-C37))</f>
        <v>0</v>
      </c>
      <c r="W37" s="49">
        <f>IF(A37="","",IF(S37&lt;=0.004,"Paid",IF(V37="","Not due",IF(V37=0,"Current",IF(V37&lt;=30,"1-30 days",IF(V37&lt;=60,"31-60 days",IF(V37&lt;=90,"61-90 days","90+ days")))))))</f>
        <v>0</v>
      </c>
      <c r="X37" s="29">
        <f>IF(OR(V37="",V37=0),0,ROUND(S37*LateFeePct,2))</f>
        <v>0</v>
      </c>
      <c r="AA37" s="49">
        <f>IF(A37="","",IF(COUNTIF(Invoices!$A$5:$A$304,A37)&gt;1,"Duplicate number","OK"))</f>
        <v>0</v>
      </c>
      <c r="AC37" s="28">
        <f>IF(B37="","",TEXT(B37,"yyyy-mm"))</f>
        <v>0</v>
      </c>
      <c r="AD37" s="49">
        <f>IF(A37="","",IF(T37="Draft","Action - still a draft",IF(U37="Overdue","Overdue - chase payment",IF(U37="Overdue - part paid","Overdue - chase the balance",IF(AND(S37&gt;0.004,C37&lt;&gt;"",C37-TODAY()&lt;=ReminderLeadDays,C37&gt;=TODAY()),"Due soon - send a reminder","OK")))))</f>
        <v>0</v>
      </c>
    </row>
    <row r="38" spans="1:30">
      <c r="A38" s="46">
        <f>IF(D38="","",InvoicePrefix&amp;TEXT(InvoiceStartNo+ROW()-5,"0000"))</f>
        <v>0</v>
      </c>
      <c r="C38" s="21">
        <f>IF(B38="","",B38+PaymentTermsDays)</f>
        <v>0</v>
      </c>
      <c r="F38" s="29">
        <f>IF(E38="",0,IFERROR(INDEX(Bookings!$AI$5:$AI$404,MATCH(E38,Bookings!$A$5:$A$404,0)),0))</f>
        <v>0</v>
      </c>
      <c r="J38" s="29">
        <f>IF(D38="","",IF(E38&lt;&gt;"",F38,ROUND(IF(H38="",0,H38)*IF(I38="",0,I38),2)))</f>
        <v>0</v>
      </c>
      <c r="M38" s="29">
        <f>IF(D38="","",ROUND(J38+IF(K38="",0,K38)-IF(L38="",0,L38),2))</f>
        <v>0</v>
      </c>
      <c r="N38" s="29">
        <f>IF(M38="","",IF(TaxRegistered&lt;&gt;"Yes",0,IF(PricesIncludeTax="Yes",ROUND(M38-M38/(1+TaxRate),2),ROUND(M38*TaxRate,2))))</f>
        <v>0</v>
      </c>
      <c r="O38" s="29">
        <f>IF(M38="","",IF(PricesIncludeTax="Yes",M38,ROUND(M38+N38,2)))</f>
        <v>0</v>
      </c>
      <c r="P38" s="29">
        <f>IF(A38="","",SUMIFS(Payments!$E$5:$E$304,Payments!$D$5:$D$304,A38,Payments!$M$5:$M$304,"Yes"))</f>
        <v>0</v>
      </c>
      <c r="Q38" s="29">
        <f>IF(A38="","",SUMIFS(Payments!$K$5:$K$304,Payments!$D$5:$D$304,A38))</f>
        <v>0</v>
      </c>
      <c r="R38" s="29">
        <f>IF(A38="","",SUMIFS(Payments!$J$5:$J$304,Payments!$D$5:$D$304,A38))</f>
        <v>0</v>
      </c>
      <c r="S38" s="29">
        <f>IF(D38="","",ROUND(IF(T38="Cancelled",0,O38-Q38),2))</f>
        <v>0</v>
      </c>
      <c r="U38" s="49">
        <f>IF(A38="","",IF(T38="Cancelled","Cancelled",IF(S38&lt;=0.004,"Paid",IF(Q38&gt;0.004,IF(AND(C38&lt;&gt;"",TODAY()&gt;C38),"Overdue - part paid","Partially paid"),IF(AND(C38&lt;&gt;"",TODAY()&gt;C38),"Overdue",IF(T38="Draft","Draft","Unpaid"))))))</f>
        <v>0</v>
      </c>
      <c r="V38" s="31">
        <f>IF(OR(C38="",S38&lt;=0.004),"",MAX(0,TODAY()-C38))</f>
        <v>0</v>
      </c>
      <c r="W38" s="49">
        <f>IF(A38="","",IF(S38&lt;=0.004,"Paid",IF(V38="","Not due",IF(V38=0,"Current",IF(V38&lt;=30,"1-30 days",IF(V38&lt;=60,"31-60 days",IF(V38&lt;=90,"61-90 days","90+ days")))))))</f>
        <v>0</v>
      </c>
      <c r="X38" s="29">
        <f>IF(OR(V38="",V38=0),0,ROUND(S38*LateFeePct,2))</f>
        <v>0</v>
      </c>
      <c r="AA38" s="49">
        <f>IF(A38="","",IF(COUNTIF(Invoices!$A$5:$A$304,A38)&gt;1,"Duplicate number","OK"))</f>
        <v>0</v>
      </c>
      <c r="AC38" s="28">
        <f>IF(B38="","",TEXT(B38,"yyyy-mm"))</f>
        <v>0</v>
      </c>
      <c r="AD38" s="49">
        <f>IF(A38="","",IF(T38="Draft","Action - still a draft",IF(U38="Overdue","Overdue - chase payment",IF(U38="Overdue - part paid","Overdue - chase the balance",IF(AND(S38&gt;0.004,C38&lt;&gt;"",C38-TODAY()&lt;=ReminderLeadDays,C38&gt;=TODAY()),"Due soon - send a reminder","OK")))))</f>
        <v>0</v>
      </c>
    </row>
    <row r="39" spans="1:30">
      <c r="A39" s="46">
        <f>IF(D39="","",InvoicePrefix&amp;TEXT(InvoiceStartNo+ROW()-5,"0000"))</f>
        <v>0</v>
      </c>
      <c r="C39" s="21">
        <f>IF(B39="","",B39+PaymentTermsDays)</f>
        <v>0</v>
      </c>
      <c r="F39" s="29">
        <f>IF(E39="",0,IFERROR(INDEX(Bookings!$AI$5:$AI$404,MATCH(E39,Bookings!$A$5:$A$404,0)),0))</f>
        <v>0</v>
      </c>
      <c r="J39" s="29">
        <f>IF(D39="","",IF(E39&lt;&gt;"",F39,ROUND(IF(H39="",0,H39)*IF(I39="",0,I39),2)))</f>
        <v>0</v>
      </c>
      <c r="M39" s="29">
        <f>IF(D39="","",ROUND(J39+IF(K39="",0,K39)-IF(L39="",0,L39),2))</f>
        <v>0</v>
      </c>
      <c r="N39" s="29">
        <f>IF(M39="","",IF(TaxRegistered&lt;&gt;"Yes",0,IF(PricesIncludeTax="Yes",ROUND(M39-M39/(1+TaxRate),2),ROUND(M39*TaxRate,2))))</f>
        <v>0</v>
      </c>
      <c r="O39" s="29">
        <f>IF(M39="","",IF(PricesIncludeTax="Yes",M39,ROUND(M39+N39,2)))</f>
        <v>0</v>
      </c>
      <c r="P39" s="29">
        <f>IF(A39="","",SUMIFS(Payments!$E$5:$E$304,Payments!$D$5:$D$304,A39,Payments!$M$5:$M$304,"Yes"))</f>
        <v>0</v>
      </c>
      <c r="Q39" s="29">
        <f>IF(A39="","",SUMIFS(Payments!$K$5:$K$304,Payments!$D$5:$D$304,A39))</f>
        <v>0</v>
      </c>
      <c r="R39" s="29">
        <f>IF(A39="","",SUMIFS(Payments!$J$5:$J$304,Payments!$D$5:$D$304,A39))</f>
        <v>0</v>
      </c>
      <c r="S39" s="29">
        <f>IF(D39="","",ROUND(IF(T39="Cancelled",0,O39-Q39),2))</f>
        <v>0</v>
      </c>
      <c r="U39" s="49">
        <f>IF(A39="","",IF(T39="Cancelled","Cancelled",IF(S39&lt;=0.004,"Paid",IF(Q39&gt;0.004,IF(AND(C39&lt;&gt;"",TODAY()&gt;C39),"Overdue - part paid","Partially paid"),IF(AND(C39&lt;&gt;"",TODAY()&gt;C39),"Overdue",IF(T39="Draft","Draft","Unpaid"))))))</f>
        <v>0</v>
      </c>
      <c r="V39" s="31">
        <f>IF(OR(C39="",S39&lt;=0.004),"",MAX(0,TODAY()-C39))</f>
        <v>0</v>
      </c>
      <c r="W39" s="49">
        <f>IF(A39="","",IF(S39&lt;=0.004,"Paid",IF(V39="","Not due",IF(V39=0,"Current",IF(V39&lt;=30,"1-30 days",IF(V39&lt;=60,"31-60 days",IF(V39&lt;=90,"61-90 days","90+ days")))))))</f>
        <v>0</v>
      </c>
      <c r="X39" s="29">
        <f>IF(OR(V39="",V39=0),0,ROUND(S39*LateFeePct,2))</f>
        <v>0</v>
      </c>
      <c r="AA39" s="49">
        <f>IF(A39="","",IF(COUNTIF(Invoices!$A$5:$A$304,A39)&gt;1,"Duplicate number","OK"))</f>
        <v>0</v>
      </c>
      <c r="AC39" s="28">
        <f>IF(B39="","",TEXT(B39,"yyyy-mm"))</f>
        <v>0</v>
      </c>
      <c r="AD39" s="49">
        <f>IF(A39="","",IF(T39="Draft","Action - still a draft",IF(U39="Overdue","Overdue - chase payment",IF(U39="Overdue - part paid","Overdue - chase the balance",IF(AND(S39&gt;0.004,C39&lt;&gt;"",C39-TODAY()&lt;=ReminderLeadDays,C39&gt;=TODAY()),"Due soon - send a reminder","OK")))))</f>
        <v>0</v>
      </c>
    </row>
    <row r="40" spans="1:30">
      <c r="A40" s="46">
        <f>IF(D40="","",InvoicePrefix&amp;TEXT(InvoiceStartNo+ROW()-5,"0000"))</f>
        <v>0</v>
      </c>
      <c r="C40" s="21">
        <f>IF(B40="","",B40+PaymentTermsDays)</f>
        <v>0</v>
      </c>
      <c r="F40" s="29">
        <f>IF(E40="",0,IFERROR(INDEX(Bookings!$AI$5:$AI$404,MATCH(E40,Bookings!$A$5:$A$404,0)),0))</f>
        <v>0</v>
      </c>
      <c r="J40" s="29">
        <f>IF(D40="","",IF(E40&lt;&gt;"",F40,ROUND(IF(H40="",0,H40)*IF(I40="",0,I40),2)))</f>
        <v>0</v>
      </c>
      <c r="M40" s="29">
        <f>IF(D40="","",ROUND(J40+IF(K40="",0,K40)-IF(L40="",0,L40),2))</f>
        <v>0</v>
      </c>
      <c r="N40" s="29">
        <f>IF(M40="","",IF(TaxRegistered&lt;&gt;"Yes",0,IF(PricesIncludeTax="Yes",ROUND(M40-M40/(1+TaxRate),2),ROUND(M40*TaxRate,2))))</f>
        <v>0</v>
      </c>
      <c r="O40" s="29">
        <f>IF(M40="","",IF(PricesIncludeTax="Yes",M40,ROUND(M40+N40,2)))</f>
        <v>0</v>
      </c>
      <c r="P40" s="29">
        <f>IF(A40="","",SUMIFS(Payments!$E$5:$E$304,Payments!$D$5:$D$304,A40,Payments!$M$5:$M$304,"Yes"))</f>
        <v>0</v>
      </c>
      <c r="Q40" s="29">
        <f>IF(A40="","",SUMIFS(Payments!$K$5:$K$304,Payments!$D$5:$D$304,A40))</f>
        <v>0</v>
      </c>
      <c r="R40" s="29">
        <f>IF(A40="","",SUMIFS(Payments!$J$5:$J$304,Payments!$D$5:$D$304,A40))</f>
        <v>0</v>
      </c>
      <c r="S40" s="29">
        <f>IF(D40="","",ROUND(IF(T40="Cancelled",0,O40-Q40),2))</f>
        <v>0</v>
      </c>
      <c r="U40" s="49">
        <f>IF(A40="","",IF(T40="Cancelled","Cancelled",IF(S40&lt;=0.004,"Paid",IF(Q40&gt;0.004,IF(AND(C40&lt;&gt;"",TODAY()&gt;C40),"Overdue - part paid","Partially paid"),IF(AND(C40&lt;&gt;"",TODAY()&gt;C40),"Overdue",IF(T40="Draft","Draft","Unpaid"))))))</f>
        <v>0</v>
      </c>
      <c r="V40" s="31">
        <f>IF(OR(C40="",S40&lt;=0.004),"",MAX(0,TODAY()-C40))</f>
        <v>0</v>
      </c>
      <c r="W40" s="49">
        <f>IF(A40="","",IF(S40&lt;=0.004,"Paid",IF(V40="","Not due",IF(V40=0,"Current",IF(V40&lt;=30,"1-30 days",IF(V40&lt;=60,"31-60 days",IF(V40&lt;=90,"61-90 days","90+ days")))))))</f>
        <v>0</v>
      </c>
      <c r="X40" s="29">
        <f>IF(OR(V40="",V40=0),0,ROUND(S40*LateFeePct,2))</f>
        <v>0</v>
      </c>
      <c r="AA40" s="49">
        <f>IF(A40="","",IF(COUNTIF(Invoices!$A$5:$A$304,A40)&gt;1,"Duplicate number","OK"))</f>
        <v>0</v>
      </c>
      <c r="AC40" s="28">
        <f>IF(B40="","",TEXT(B40,"yyyy-mm"))</f>
        <v>0</v>
      </c>
      <c r="AD40" s="49">
        <f>IF(A40="","",IF(T40="Draft","Action - still a draft",IF(U40="Overdue","Overdue - chase payment",IF(U40="Overdue - part paid","Overdue - chase the balance",IF(AND(S40&gt;0.004,C40&lt;&gt;"",C40-TODAY()&lt;=ReminderLeadDays,C40&gt;=TODAY()),"Due soon - send a reminder","OK")))))</f>
        <v>0</v>
      </c>
    </row>
    <row r="41" spans="1:30">
      <c r="A41" s="46">
        <f>IF(D41="","",InvoicePrefix&amp;TEXT(InvoiceStartNo+ROW()-5,"0000"))</f>
        <v>0</v>
      </c>
      <c r="C41" s="21">
        <f>IF(B41="","",B41+PaymentTermsDays)</f>
        <v>0</v>
      </c>
      <c r="F41" s="29">
        <f>IF(E41="",0,IFERROR(INDEX(Bookings!$AI$5:$AI$404,MATCH(E41,Bookings!$A$5:$A$404,0)),0))</f>
        <v>0</v>
      </c>
      <c r="J41" s="29">
        <f>IF(D41="","",IF(E41&lt;&gt;"",F41,ROUND(IF(H41="",0,H41)*IF(I41="",0,I41),2)))</f>
        <v>0</v>
      </c>
      <c r="M41" s="29">
        <f>IF(D41="","",ROUND(J41+IF(K41="",0,K41)-IF(L41="",0,L41),2))</f>
        <v>0</v>
      </c>
      <c r="N41" s="29">
        <f>IF(M41="","",IF(TaxRegistered&lt;&gt;"Yes",0,IF(PricesIncludeTax="Yes",ROUND(M41-M41/(1+TaxRate),2),ROUND(M41*TaxRate,2))))</f>
        <v>0</v>
      </c>
      <c r="O41" s="29">
        <f>IF(M41="","",IF(PricesIncludeTax="Yes",M41,ROUND(M41+N41,2)))</f>
        <v>0</v>
      </c>
      <c r="P41" s="29">
        <f>IF(A41="","",SUMIFS(Payments!$E$5:$E$304,Payments!$D$5:$D$304,A41,Payments!$M$5:$M$304,"Yes"))</f>
        <v>0</v>
      </c>
      <c r="Q41" s="29">
        <f>IF(A41="","",SUMIFS(Payments!$K$5:$K$304,Payments!$D$5:$D$304,A41))</f>
        <v>0</v>
      </c>
      <c r="R41" s="29">
        <f>IF(A41="","",SUMIFS(Payments!$J$5:$J$304,Payments!$D$5:$D$304,A41))</f>
        <v>0</v>
      </c>
      <c r="S41" s="29">
        <f>IF(D41="","",ROUND(IF(T41="Cancelled",0,O41-Q41),2))</f>
        <v>0</v>
      </c>
      <c r="U41" s="49">
        <f>IF(A41="","",IF(T41="Cancelled","Cancelled",IF(S41&lt;=0.004,"Paid",IF(Q41&gt;0.004,IF(AND(C41&lt;&gt;"",TODAY()&gt;C41),"Overdue - part paid","Partially paid"),IF(AND(C41&lt;&gt;"",TODAY()&gt;C41),"Overdue",IF(T41="Draft","Draft","Unpaid"))))))</f>
        <v>0</v>
      </c>
      <c r="V41" s="31">
        <f>IF(OR(C41="",S41&lt;=0.004),"",MAX(0,TODAY()-C41))</f>
        <v>0</v>
      </c>
      <c r="W41" s="49">
        <f>IF(A41="","",IF(S41&lt;=0.004,"Paid",IF(V41="","Not due",IF(V41=0,"Current",IF(V41&lt;=30,"1-30 days",IF(V41&lt;=60,"31-60 days",IF(V41&lt;=90,"61-90 days","90+ days")))))))</f>
        <v>0</v>
      </c>
      <c r="X41" s="29">
        <f>IF(OR(V41="",V41=0),0,ROUND(S41*LateFeePct,2))</f>
        <v>0</v>
      </c>
      <c r="AA41" s="49">
        <f>IF(A41="","",IF(COUNTIF(Invoices!$A$5:$A$304,A41)&gt;1,"Duplicate number","OK"))</f>
        <v>0</v>
      </c>
      <c r="AC41" s="28">
        <f>IF(B41="","",TEXT(B41,"yyyy-mm"))</f>
        <v>0</v>
      </c>
      <c r="AD41" s="49">
        <f>IF(A41="","",IF(T41="Draft","Action - still a draft",IF(U41="Overdue","Overdue - chase payment",IF(U41="Overdue - part paid","Overdue - chase the balance",IF(AND(S41&gt;0.004,C41&lt;&gt;"",C41-TODAY()&lt;=ReminderLeadDays,C41&gt;=TODAY()),"Due soon - send a reminder","OK")))))</f>
        <v>0</v>
      </c>
    </row>
    <row r="42" spans="1:30">
      <c r="A42" s="46">
        <f>IF(D42="","",InvoicePrefix&amp;TEXT(InvoiceStartNo+ROW()-5,"0000"))</f>
        <v>0</v>
      </c>
      <c r="C42" s="21">
        <f>IF(B42="","",B42+PaymentTermsDays)</f>
        <v>0</v>
      </c>
      <c r="F42" s="29">
        <f>IF(E42="",0,IFERROR(INDEX(Bookings!$AI$5:$AI$404,MATCH(E42,Bookings!$A$5:$A$404,0)),0))</f>
        <v>0</v>
      </c>
      <c r="J42" s="29">
        <f>IF(D42="","",IF(E42&lt;&gt;"",F42,ROUND(IF(H42="",0,H42)*IF(I42="",0,I42),2)))</f>
        <v>0</v>
      </c>
      <c r="M42" s="29">
        <f>IF(D42="","",ROUND(J42+IF(K42="",0,K42)-IF(L42="",0,L42),2))</f>
        <v>0</v>
      </c>
      <c r="N42" s="29">
        <f>IF(M42="","",IF(TaxRegistered&lt;&gt;"Yes",0,IF(PricesIncludeTax="Yes",ROUND(M42-M42/(1+TaxRate),2),ROUND(M42*TaxRate,2))))</f>
        <v>0</v>
      </c>
      <c r="O42" s="29">
        <f>IF(M42="","",IF(PricesIncludeTax="Yes",M42,ROUND(M42+N42,2)))</f>
        <v>0</v>
      </c>
      <c r="P42" s="29">
        <f>IF(A42="","",SUMIFS(Payments!$E$5:$E$304,Payments!$D$5:$D$304,A42,Payments!$M$5:$M$304,"Yes"))</f>
        <v>0</v>
      </c>
      <c r="Q42" s="29">
        <f>IF(A42="","",SUMIFS(Payments!$K$5:$K$304,Payments!$D$5:$D$304,A42))</f>
        <v>0</v>
      </c>
      <c r="R42" s="29">
        <f>IF(A42="","",SUMIFS(Payments!$J$5:$J$304,Payments!$D$5:$D$304,A42))</f>
        <v>0</v>
      </c>
      <c r="S42" s="29">
        <f>IF(D42="","",ROUND(IF(T42="Cancelled",0,O42-Q42),2))</f>
        <v>0</v>
      </c>
      <c r="U42" s="49">
        <f>IF(A42="","",IF(T42="Cancelled","Cancelled",IF(S42&lt;=0.004,"Paid",IF(Q42&gt;0.004,IF(AND(C42&lt;&gt;"",TODAY()&gt;C42),"Overdue - part paid","Partially paid"),IF(AND(C42&lt;&gt;"",TODAY()&gt;C42),"Overdue",IF(T42="Draft","Draft","Unpaid"))))))</f>
        <v>0</v>
      </c>
      <c r="V42" s="31">
        <f>IF(OR(C42="",S42&lt;=0.004),"",MAX(0,TODAY()-C42))</f>
        <v>0</v>
      </c>
      <c r="W42" s="49">
        <f>IF(A42="","",IF(S42&lt;=0.004,"Paid",IF(V42="","Not due",IF(V42=0,"Current",IF(V42&lt;=30,"1-30 days",IF(V42&lt;=60,"31-60 days",IF(V42&lt;=90,"61-90 days","90+ days")))))))</f>
        <v>0</v>
      </c>
      <c r="X42" s="29">
        <f>IF(OR(V42="",V42=0),0,ROUND(S42*LateFeePct,2))</f>
        <v>0</v>
      </c>
      <c r="AA42" s="49">
        <f>IF(A42="","",IF(COUNTIF(Invoices!$A$5:$A$304,A42)&gt;1,"Duplicate number","OK"))</f>
        <v>0</v>
      </c>
      <c r="AC42" s="28">
        <f>IF(B42="","",TEXT(B42,"yyyy-mm"))</f>
        <v>0</v>
      </c>
      <c r="AD42" s="49">
        <f>IF(A42="","",IF(T42="Draft","Action - still a draft",IF(U42="Overdue","Overdue - chase payment",IF(U42="Overdue - part paid","Overdue - chase the balance",IF(AND(S42&gt;0.004,C42&lt;&gt;"",C42-TODAY()&lt;=ReminderLeadDays,C42&gt;=TODAY()),"Due soon - send a reminder","OK")))))</f>
        <v>0</v>
      </c>
    </row>
    <row r="43" spans="1:30">
      <c r="A43" s="46">
        <f>IF(D43="","",InvoicePrefix&amp;TEXT(InvoiceStartNo+ROW()-5,"0000"))</f>
        <v>0</v>
      </c>
      <c r="C43" s="21">
        <f>IF(B43="","",B43+PaymentTermsDays)</f>
        <v>0</v>
      </c>
      <c r="F43" s="29">
        <f>IF(E43="",0,IFERROR(INDEX(Bookings!$AI$5:$AI$404,MATCH(E43,Bookings!$A$5:$A$404,0)),0))</f>
        <v>0</v>
      </c>
      <c r="J43" s="29">
        <f>IF(D43="","",IF(E43&lt;&gt;"",F43,ROUND(IF(H43="",0,H43)*IF(I43="",0,I43),2)))</f>
        <v>0</v>
      </c>
      <c r="M43" s="29">
        <f>IF(D43="","",ROUND(J43+IF(K43="",0,K43)-IF(L43="",0,L43),2))</f>
        <v>0</v>
      </c>
      <c r="N43" s="29">
        <f>IF(M43="","",IF(TaxRegistered&lt;&gt;"Yes",0,IF(PricesIncludeTax="Yes",ROUND(M43-M43/(1+TaxRate),2),ROUND(M43*TaxRate,2))))</f>
        <v>0</v>
      </c>
      <c r="O43" s="29">
        <f>IF(M43="","",IF(PricesIncludeTax="Yes",M43,ROUND(M43+N43,2)))</f>
        <v>0</v>
      </c>
      <c r="P43" s="29">
        <f>IF(A43="","",SUMIFS(Payments!$E$5:$E$304,Payments!$D$5:$D$304,A43,Payments!$M$5:$M$304,"Yes"))</f>
        <v>0</v>
      </c>
      <c r="Q43" s="29">
        <f>IF(A43="","",SUMIFS(Payments!$K$5:$K$304,Payments!$D$5:$D$304,A43))</f>
        <v>0</v>
      </c>
      <c r="R43" s="29">
        <f>IF(A43="","",SUMIFS(Payments!$J$5:$J$304,Payments!$D$5:$D$304,A43))</f>
        <v>0</v>
      </c>
      <c r="S43" s="29">
        <f>IF(D43="","",ROUND(IF(T43="Cancelled",0,O43-Q43),2))</f>
        <v>0</v>
      </c>
      <c r="U43" s="49">
        <f>IF(A43="","",IF(T43="Cancelled","Cancelled",IF(S43&lt;=0.004,"Paid",IF(Q43&gt;0.004,IF(AND(C43&lt;&gt;"",TODAY()&gt;C43),"Overdue - part paid","Partially paid"),IF(AND(C43&lt;&gt;"",TODAY()&gt;C43),"Overdue",IF(T43="Draft","Draft","Unpaid"))))))</f>
        <v>0</v>
      </c>
      <c r="V43" s="31">
        <f>IF(OR(C43="",S43&lt;=0.004),"",MAX(0,TODAY()-C43))</f>
        <v>0</v>
      </c>
      <c r="W43" s="49">
        <f>IF(A43="","",IF(S43&lt;=0.004,"Paid",IF(V43="","Not due",IF(V43=0,"Current",IF(V43&lt;=30,"1-30 days",IF(V43&lt;=60,"31-60 days",IF(V43&lt;=90,"61-90 days","90+ days")))))))</f>
        <v>0</v>
      </c>
      <c r="X43" s="29">
        <f>IF(OR(V43="",V43=0),0,ROUND(S43*LateFeePct,2))</f>
        <v>0</v>
      </c>
      <c r="AA43" s="49">
        <f>IF(A43="","",IF(COUNTIF(Invoices!$A$5:$A$304,A43)&gt;1,"Duplicate number","OK"))</f>
        <v>0</v>
      </c>
      <c r="AC43" s="28">
        <f>IF(B43="","",TEXT(B43,"yyyy-mm"))</f>
        <v>0</v>
      </c>
      <c r="AD43" s="49">
        <f>IF(A43="","",IF(T43="Draft","Action - still a draft",IF(U43="Overdue","Overdue - chase payment",IF(U43="Overdue - part paid","Overdue - chase the balance",IF(AND(S43&gt;0.004,C43&lt;&gt;"",C43-TODAY()&lt;=ReminderLeadDays,C43&gt;=TODAY()),"Due soon - send a reminder","OK")))))</f>
        <v>0</v>
      </c>
    </row>
    <row r="44" spans="1:30">
      <c r="A44" s="46">
        <f>IF(D44="","",InvoicePrefix&amp;TEXT(InvoiceStartNo+ROW()-5,"0000"))</f>
        <v>0</v>
      </c>
      <c r="C44" s="21">
        <f>IF(B44="","",B44+PaymentTermsDays)</f>
        <v>0</v>
      </c>
      <c r="F44" s="29">
        <f>IF(E44="",0,IFERROR(INDEX(Bookings!$AI$5:$AI$404,MATCH(E44,Bookings!$A$5:$A$404,0)),0))</f>
        <v>0</v>
      </c>
      <c r="J44" s="29">
        <f>IF(D44="","",IF(E44&lt;&gt;"",F44,ROUND(IF(H44="",0,H44)*IF(I44="",0,I44),2)))</f>
        <v>0</v>
      </c>
      <c r="M44" s="29">
        <f>IF(D44="","",ROUND(J44+IF(K44="",0,K44)-IF(L44="",0,L44),2))</f>
        <v>0</v>
      </c>
      <c r="N44" s="29">
        <f>IF(M44="","",IF(TaxRegistered&lt;&gt;"Yes",0,IF(PricesIncludeTax="Yes",ROUND(M44-M44/(1+TaxRate),2),ROUND(M44*TaxRate,2))))</f>
        <v>0</v>
      </c>
      <c r="O44" s="29">
        <f>IF(M44="","",IF(PricesIncludeTax="Yes",M44,ROUND(M44+N44,2)))</f>
        <v>0</v>
      </c>
      <c r="P44" s="29">
        <f>IF(A44="","",SUMIFS(Payments!$E$5:$E$304,Payments!$D$5:$D$304,A44,Payments!$M$5:$M$304,"Yes"))</f>
        <v>0</v>
      </c>
      <c r="Q44" s="29">
        <f>IF(A44="","",SUMIFS(Payments!$K$5:$K$304,Payments!$D$5:$D$304,A44))</f>
        <v>0</v>
      </c>
      <c r="R44" s="29">
        <f>IF(A44="","",SUMIFS(Payments!$J$5:$J$304,Payments!$D$5:$D$304,A44))</f>
        <v>0</v>
      </c>
      <c r="S44" s="29">
        <f>IF(D44="","",ROUND(IF(T44="Cancelled",0,O44-Q44),2))</f>
        <v>0</v>
      </c>
      <c r="U44" s="49">
        <f>IF(A44="","",IF(T44="Cancelled","Cancelled",IF(S44&lt;=0.004,"Paid",IF(Q44&gt;0.004,IF(AND(C44&lt;&gt;"",TODAY()&gt;C44),"Overdue - part paid","Partially paid"),IF(AND(C44&lt;&gt;"",TODAY()&gt;C44),"Overdue",IF(T44="Draft","Draft","Unpaid"))))))</f>
        <v>0</v>
      </c>
      <c r="V44" s="31">
        <f>IF(OR(C44="",S44&lt;=0.004),"",MAX(0,TODAY()-C44))</f>
        <v>0</v>
      </c>
      <c r="W44" s="49">
        <f>IF(A44="","",IF(S44&lt;=0.004,"Paid",IF(V44="","Not due",IF(V44=0,"Current",IF(V44&lt;=30,"1-30 days",IF(V44&lt;=60,"31-60 days",IF(V44&lt;=90,"61-90 days","90+ days")))))))</f>
        <v>0</v>
      </c>
      <c r="X44" s="29">
        <f>IF(OR(V44="",V44=0),0,ROUND(S44*LateFeePct,2))</f>
        <v>0</v>
      </c>
      <c r="AA44" s="49">
        <f>IF(A44="","",IF(COUNTIF(Invoices!$A$5:$A$304,A44)&gt;1,"Duplicate number","OK"))</f>
        <v>0</v>
      </c>
      <c r="AC44" s="28">
        <f>IF(B44="","",TEXT(B44,"yyyy-mm"))</f>
        <v>0</v>
      </c>
      <c r="AD44" s="49">
        <f>IF(A44="","",IF(T44="Draft","Action - still a draft",IF(U44="Overdue","Overdue - chase payment",IF(U44="Overdue - part paid","Overdue - chase the balance",IF(AND(S44&gt;0.004,C44&lt;&gt;"",C44-TODAY()&lt;=ReminderLeadDays,C44&gt;=TODAY()),"Due soon - send a reminder","OK")))))</f>
        <v>0</v>
      </c>
    </row>
    <row r="45" spans="1:30">
      <c r="A45" s="46">
        <f>IF(D45="","",InvoicePrefix&amp;TEXT(InvoiceStartNo+ROW()-5,"0000"))</f>
        <v>0</v>
      </c>
      <c r="C45" s="21">
        <f>IF(B45="","",B45+PaymentTermsDays)</f>
        <v>0</v>
      </c>
      <c r="F45" s="29">
        <f>IF(E45="",0,IFERROR(INDEX(Bookings!$AI$5:$AI$404,MATCH(E45,Bookings!$A$5:$A$404,0)),0))</f>
        <v>0</v>
      </c>
      <c r="J45" s="29">
        <f>IF(D45="","",IF(E45&lt;&gt;"",F45,ROUND(IF(H45="",0,H45)*IF(I45="",0,I45),2)))</f>
        <v>0</v>
      </c>
      <c r="M45" s="29">
        <f>IF(D45="","",ROUND(J45+IF(K45="",0,K45)-IF(L45="",0,L45),2))</f>
        <v>0</v>
      </c>
      <c r="N45" s="29">
        <f>IF(M45="","",IF(TaxRegistered&lt;&gt;"Yes",0,IF(PricesIncludeTax="Yes",ROUND(M45-M45/(1+TaxRate),2),ROUND(M45*TaxRate,2))))</f>
        <v>0</v>
      </c>
      <c r="O45" s="29">
        <f>IF(M45="","",IF(PricesIncludeTax="Yes",M45,ROUND(M45+N45,2)))</f>
        <v>0</v>
      </c>
      <c r="P45" s="29">
        <f>IF(A45="","",SUMIFS(Payments!$E$5:$E$304,Payments!$D$5:$D$304,A45,Payments!$M$5:$M$304,"Yes"))</f>
        <v>0</v>
      </c>
      <c r="Q45" s="29">
        <f>IF(A45="","",SUMIFS(Payments!$K$5:$K$304,Payments!$D$5:$D$304,A45))</f>
        <v>0</v>
      </c>
      <c r="R45" s="29">
        <f>IF(A45="","",SUMIFS(Payments!$J$5:$J$304,Payments!$D$5:$D$304,A45))</f>
        <v>0</v>
      </c>
      <c r="S45" s="29">
        <f>IF(D45="","",ROUND(IF(T45="Cancelled",0,O45-Q45),2))</f>
        <v>0</v>
      </c>
      <c r="U45" s="49">
        <f>IF(A45="","",IF(T45="Cancelled","Cancelled",IF(S45&lt;=0.004,"Paid",IF(Q45&gt;0.004,IF(AND(C45&lt;&gt;"",TODAY()&gt;C45),"Overdue - part paid","Partially paid"),IF(AND(C45&lt;&gt;"",TODAY()&gt;C45),"Overdue",IF(T45="Draft","Draft","Unpaid"))))))</f>
        <v>0</v>
      </c>
      <c r="V45" s="31">
        <f>IF(OR(C45="",S45&lt;=0.004),"",MAX(0,TODAY()-C45))</f>
        <v>0</v>
      </c>
      <c r="W45" s="49">
        <f>IF(A45="","",IF(S45&lt;=0.004,"Paid",IF(V45="","Not due",IF(V45=0,"Current",IF(V45&lt;=30,"1-30 days",IF(V45&lt;=60,"31-60 days",IF(V45&lt;=90,"61-90 days","90+ days")))))))</f>
        <v>0</v>
      </c>
      <c r="X45" s="29">
        <f>IF(OR(V45="",V45=0),0,ROUND(S45*LateFeePct,2))</f>
        <v>0</v>
      </c>
      <c r="AA45" s="49">
        <f>IF(A45="","",IF(COUNTIF(Invoices!$A$5:$A$304,A45)&gt;1,"Duplicate number","OK"))</f>
        <v>0</v>
      </c>
      <c r="AC45" s="28">
        <f>IF(B45="","",TEXT(B45,"yyyy-mm"))</f>
        <v>0</v>
      </c>
      <c r="AD45" s="49">
        <f>IF(A45="","",IF(T45="Draft","Action - still a draft",IF(U45="Overdue","Overdue - chase payment",IF(U45="Overdue - part paid","Overdue - chase the balance",IF(AND(S45&gt;0.004,C45&lt;&gt;"",C45-TODAY()&lt;=ReminderLeadDays,C45&gt;=TODAY()),"Due soon - send a reminder","OK")))))</f>
        <v>0</v>
      </c>
    </row>
    <row r="46" spans="1:30">
      <c r="A46" s="46">
        <f>IF(D46="","",InvoicePrefix&amp;TEXT(InvoiceStartNo+ROW()-5,"0000"))</f>
        <v>0</v>
      </c>
      <c r="C46" s="21">
        <f>IF(B46="","",B46+PaymentTermsDays)</f>
        <v>0</v>
      </c>
      <c r="F46" s="29">
        <f>IF(E46="",0,IFERROR(INDEX(Bookings!$AI$5:$AI$404,MATCH(E46,Bookings!$A$5:$A$404,0)),0))</f>
        <v>0</v>
      </c>
      <c r="J46" s="29">
        <f>IF(D46="","",IF(E46&lt;&gt;"",F46,ROUND(IF(H46="",0,H46)*IF(I46="",0,I46),2)))</f>
        <v>0</v>
      </c>
      <c r="M46" s="29">
        <f>IF(D46="","",ROUND(J46+IF(K46="",0,K46)-IF(L46="",0,L46),2))</f>
        <v>0</v>
      </c>
      <c r="N46" s="29">
        <f>IF(M46="","",IF(TaxRegistered&lt;&gt;"Yes",0,IF(PricesIncludeTax="Yes",ROUND(M46-M46/(1+TaxRate),2),ROUND(M46*TaxRate,2))))</f>
        <v>0</v>
      </c>
      <c r="O46" s="29">
        <f>IF(M46="","",IF(PricesIncludeTax="Yes",M46,ROUND(M46+N46,2)))</f>
        <v>0</v>
      </c>
      <c r="P46" s="29">
        <f>IF(A46="","",SUMIFS(Payments!$E$5:$E$304,Payments!$D$5:$D$304,A46,Payments!$M$5:$M$304,"Yes"))</f>
        <v>0</v>
      </c>
      <c r="Q46" s="29">
        <f>IF(A46="","",SUMIFS(Payments!$K$5:$K$304,Payments!$D$5:$D$304,A46))</f>
        <v>0</v>
      </c>
      <c r="R46" s="29">
        <f>IF(A46="","",SUMIFS(Payments!$J$5:$J$304,Payments!$D$5:$D$304,A46))</f>
        <v>0</v>
      </c>
      <c r="S46" s="29">
        <f>IF(D46="","",ROUND(IF(T46="Cancelled",0,O46-Q46),2))</f>
        <v>0</v>
      </c>
      <c r="U46" s="49">
        <f>IF(A46="","",IF(T46="Cancelled","Cancelled",IF(S46&lt;=0.004,"Paid",IF(Q46&gt;0.004,IF(AND(C46&lt;&gt;"",TODAY()&gt;C46),"Overdue - part paid","Partially paid"),IF(AND(C46&lt;&gt;"",TODAY()&gt;C46),"Overdue",IF(T46="Draft","Draft","Unpaid"))))))</f>
        <v>0</v>
      </c>
      <c r="V46" s="31">
        <f>IF(OR(C46="",S46&lt;=0.004),"",MAX(0,TODAY()-C46))</f>
        <v>0</v>
      </c>
      <c r="W46" s="49">
        <f>IF(A46="","",IF(S46&lt;=0.004,"Paid",IF(V46="","Not due",IF(V46=0,"Current",IF(V46&lt;=30,"1-30 days",IF(V46&lt;=60,"31-60 days",IF(V46&lt;=90,"61-90 days","90+ days")))))))</f>
        <v>0</v>
      </c>
      <c r="X46" s="29">
        <f>IF(OR(V46="",V46=0),0,ROUND(S46*LateFeePct,2))</f>
        <v>0</v>
      </c>
      <c r="AA46" s="49">
        <f>IF(A46="","",IF(COUNTIF(Invoices!$A$5:$A$304,A46)&gt;1,"Duplicate number","OK"))</f>
        <v>0</v>
      </c>
      <c r="AC46" s="28">
        <f>IF(B46="","",TEXT(B46,"yyyy-mm"))</f>
        <v>0</v>
      </c>
      <c r="AD46" s="49">
        <f>IF(A46="","",IF(T46="Draft","Action - still a draft",IF(U46="Overdue","Overdue - chase payment",IF(U46="Overdue - part paid","Overdue - chase the balance",IF(AND(S46&gt;0.004,C46&lt;&gt;"",C46-TODAY()&lt;=ReminderLeadDays,C46&gt;=TODAY()),"Due soon - send a reminder","OK")))))</f>
        <v>0</v>
      </c>
    </row>
    <row r="47" spans="1:30">
      <c r="A47" s="46">
        <f>IF(D47="","",InvoicePrefix&amp;TEXT(InvoiceStartNo+ROW()-5,"0000"))</f>
        <v>0</v>
      </c>
      <c r="C47" s="21">
        <f>IF(B47="","",B47+PaymentTermsDays)</f>
        <v>0</v>
      </c>
      <c r="F47" s="29">
        <f>IF(E47="",0,IFERROR(INDEX(Bookings!$AI$5:$AI$404,MATCH(E47,Bookings!$A$5:$A$404,0)),0))</f>
        <v>0</v>
      </c>
      <c r="J47" s="29">
        <f>IF(D47="","",IF(E47&lt;&gt;"",F47,ROUND(IF(H47="",0,H47)*IF(I47="",0,I47),2)))</f>
        <v>0</v>
      </c>
      <c r="M47" s="29">
        <f>IF(D47="","",ROUND(J47+IF(K47="",0,K47)-IF(L47="",0,L47),2))</f>
        <v>0</v>
      </c>
      <c r="N47" s="29">
        <f>IF(M47="","",IF(TaxRegistered&lt;&gt;"Yes",0,IF(PricesIncludeTax="Yes",ROUND(M47-M47/(1+TaxRate),2),ROUND(M47*TaxRate,2))))</f>
        <v>0</v>
      </c>
      <c r="O47" s="29">
        <f>IF(M47="","",IF(PricesIncludeTax="Yes",M47,ROUND(M47+N47,2)))</f>
        <v>0</v>
      </c>
      <c r="P47" s="29">
        <f>IF(A47="","",SUMIFS(Payments!$E$5:$E$304,Payments!$D$5:$D$304,A47,Payments!$M$5:$M$304,"Yes"))</f>
        <v>0</v>
      </c>
      <c r="Q47" s="29">
        <f>IF(A47="","",SUMIFS(Payments!$K$5:$K$304,Payments!$D$5:$D$304,A47))</f>
        <v>0</v>
      </c>
      <c r="R47" s="29">
        <f>IF(A47="","",SUMIFS(Payments!$J$5:$J$304,Payments!$D$5:$D$304,A47))</f>
        <v>0</v>
      </c>
      <c r="S47" s="29">
        <f>IF(D47="","",ROUND(IF(T47="Cancelled",0,O47-Q47),2))</f>
        <v>0</v>
      </c>
      <c r="U47" s="49">
        <f>IF(A47="","",IF(T47="Cancelled","Cancelled",IF(S47&lt;=0.004,"Paid",IF(Q47&gt;0.004,IF(AND(C47&lt;&gt;"",TODAY()&gt;C47),"Overdue - part paid","Partially paid"),IF(AND(C47&lt;&gt;"",TODAY()&gt;C47),"Overdue",IF(T47="Draft","Draft","Unpaid"))))))</f>
        <v>0</v>
      </c>
      <c r="V47" s="31">
        <f>IF(OR(C47="",S47&lt;=0.004),"",MAX(0,TODAY()-C47))</f>
        <v>0</v>
      </c>
      <c r="W47" s="49">
        <f>IF(A47="","",IF(S47&lt;=0.004,"Paid",IF(V47="","Not due",IF(V47=0,"Current",IF(V47&lt;=30,"1-30 days",IF(V47&lt;=60,"31-60 days",IF(V47&lt;=90,"61-90 days","90+ days")))))))</f>
        <v>0</v>
      </c>
      <c r="X47" s="29">
        <f>IF(OR(V47="",V47=0),0,ROUND(S47*LateFeePct,2))</f>
        <v>0</v>
      </c>
      <c r="AA47" s="49">
        <f>IF(A47="","",IF(COUNTIF(Invoices!$A$5:$A$304,A47)&gt;1,"Duplicate number","OK"))</f>
        <v>0</v>
      </c>
      <c r="AC47" s="28">
        <f>IF(B47="","",TEXT(B47,"yyyy-mm"))</f>
        <v>0</v>
      </c>
      <c r="AD47" s="49">
        <f>IF(A47="","",IF(T47="Draft","Action - still a draft",IF(U47="Overdue","Overdue - chase payment",IF(U47="Overdue - part paid","Overdue - chase the balance",IF(AND(S47&gt;0.004,C47&lt;&gt;"",C47-TODAY()&lt;=ReminderLeadDays,C47&gt;=TODAY()),"Due soon - send a reminder","OK")))))</f>
        <v>0</v>
      </c>
    </row>
    <row r="48" spans="1:30">
      <c r="A48" s="46">
        <f>IF(D48="","",InvoicePrefix&amp;TEXT(InvoiceStartNo+ROW()-5,"0000"))</f>
        <v>0</v>
      </c>
      <c r="C48" s="21">
        <f>IF(B48="","",B48+PaymentTermsDays)</f>
        <v>0</v>
      </c>
      <c r="F48" s="29">
        <f>IF(E48="",0,IFERROR(INDEX(Bookings!$AI$5:$AI$404,MATCH(E48,Bookings!$A$5:$A$404,0)),0))</f>
        <v>0</v>
      </c>
      <c r="J48" s="29">
        <f>IF(D48="","",IF(E48&lt;&gt;"",F48,ROUND(IF(H48="",0,H48)*IF(I48="",0,I48),2)))</f>
        <v>0</v>
      </c>
      <c r="M48" s="29">
        <f>IF(D48="","",ROUND(J48+IF(K48="",0,K48)-IF(L48="",0,L48),2))</f>
        <v>0</v>
      </c>
      <c r="N48" s="29">
        <f>IF(M48="","",IF(TaxRegistered&lt;&gt;"Yes",0,IF(PricesIncludeTax="Yes",ROUND(M48-M48/(1+TaxRate),2),ROUND(M48*TaxRate,2))))</f>
        <v>0</v>
      </c>
      <c r="O48" s="29">
        <f>IF(M48="","",IF(PricesIncludeTax="Yes",M48,ROUND(M48+N48,2)))</f>
        <v>0</v>
      </c>
      <c r="P48" s="29">
        <f>IF(A48="","",SUMIFS(Payments!$E$5:$E$304,Payments!$D$5:$D$304,A48,Payments!$M$5:$M$304,"Yes"))</f>
        <v>0</v>
      </c>
      <c r="Q48" s="29">
        <f>IF(A48="","",SUMIFS(Payments!$K$5:$K$304,Payments!$D$5:$D$304,A48))</f>
        <v>0</v>
      </c>
      <c r="R48" s="29">
        <f>IF(A48="","",SUMIFS(Payments!$J$5:$J$304,Payments!$D$5:$D$304,A48))</f>
        <v>0</v>
      </c>
      <c r="S48" s="29">
        <f>IF(D48="","",ROUND(IF(T48="Cancelled",0,O48-Q48),2))</f>
        <v>0</v>
      </c>
      <c r="U48" s="49">
        <f>IF(A48="","",IF(T48="Cancelled","Cancelled",IF(S48&lt;=0.004,"Paid",IF(Q48&gt;0.004,IF(AND(C48&lt;&gt;"",TODAY()&gt;C48),"Overdue - part paid","Partially paid"),IF(AND(C48&lt;&gt;"",TODAY()&gt;C48),"Overdue",IF(T48="Draft","Draft","Unpaid"))))))</f>
        <v>0</v>
      </c>
      <c r="V48" s="31">
        <f>IF(OR(C48="",S48&lt;=0.004),"",MAX(0,TODAY()-C48))</f>
        <v>0</v>
      </c>
      <c r="W48" s="49">
        <f>IF(A48="","",IF(S48&lt;=0.004,"Paid",IF(V48="","Not due",IF(V48=0,"Current",IF(V48&lt;=30,"1-30 days",IF(V48&lt;=60,"31-60 days",IF(V48&lt;=90,"61-90 days","90+ days")))))))</f>
        <v>0</v>
      </c>
      <c r="X48" s="29">
        <f>IF(OR(V48="",V48=0),0,ROUND(S48*LateFeePct,2))</f>
        <v>0</v>
      </c>
      <c r="AA48" s="49">
        <f>IF(A48="","",IF(COUNTIF(Invoices!$A$5:$A$304,A48)&gt;1,"Duplicate number","OK"))</f>
        <v>0</v>
      </c>
      <c r="AC48" s="28">
        <f>IF(B48="","",TEXT(B48,"yyyy-mm"))</f>
        <v>0</v>
      </c>
      <c r="AD48" s="49">
        <f>IF(A48="","",IF(T48="Draft","Action - still a draft",IF(U48="Overdue","Overdue - chase payment",IF(U48="Overdue - part paid","Overdue - chase the balance",IF(AND(S48&gt;0.004,C48&lt;&gt;"",C48-TODAY()&lt;=ReminderLeadDays,C48&gt;=TODAY()),"Due soon - send a reminder","OK")))))</f>
        <v>0</v>
      </c>
    </row>
    <row r="49" spans="1:30">
      <c r="A49" s="46">
        <f>IF(D49="","",InvoicePrefix&amp;TEXT(InvoiceStartNo+ROW()-5,"0000"))</f>
        <v>0</v>
      </c>
      <c r="C49" s="21">
        <f>IF(B49="","",B49+PaymentTermsDays)</f>
        <v>0</v>
      </c>
      <c r="F49" s="29">
        <f>IF(E49="",0,IFERROR(INDEX(Bookings!$AI$5:$AI$404,MATCH(E49,Bookings!$A$5:$A$404,0)),0))</f>
        <v>0</v>
      </c>
      <c r="J49" s="29">
        <f>IF(D49="","",IF(E49&lt;&gt;"",F49,ROUND(IF(H49="",0,H49)*IF(I49="",0,I49),2)))</f>
        <v>0</v>
      </c>
      <c r="M49" s="29">
        <f>IF(D49="","",ROUND(J49+IF(K49="",0,K49)-IF(L49="",0,L49),2))</f>
        <v>0</v>
      </c>
      <c r="N49" s="29">
        <f>IF(M49="","",IF(TaxRegistered&lt;&gt;"Yes",0,IF(PricesIncludeTax="Yes",ROUND(M49-M49/(1+TaxRate),2),ROUND(M49*TaxRate,2))))</f>
        <v>0</v>
      </c>
      <c r="O49" s="29">
        <f>IF(M49="","",IF(PricesIncludeTax="Yes",M49,ROUND(M49+N49,2)))</f>
        <v>0</v>
      </c>
      <c r="P49" s="29">
        <f>IF(A49="","",SUMIFS(Payments!$E$5:$E$304,Payments!$D$5:$D$304,A49,Payments!$M$5:$M$304,"Yes"))</f>
        <v>0</v>
      </c>
      <c r="Q49" s="29">
        <f>IF(A49="","",SUMIFS(Payments!$K$5:$K$304,Payments!$D$5:$D$304,A49))</f>
        <v>0</v>
      </c>
      <c r="R49" s="29">
        <f>IF(A49="","",SUMIFS(Payments!$J$5:$J$304,Payments!$D$5:$D$304,A49))</f>
        <v>0</v>
      </c>
      <c r="S49" s="29">
        <f>IF(D49="","",ROUND(IF(T49="Cancelled",0,O49-Q49),2))</f>
        <v>0</v>
      </c>
      <c r="U49" s="49">
        <f>IF(A49="","",IF(T49="Cancelled","Cancelled",IF(S49&lt;=0.004,"Paid",IF(Q49&gt;0.004,IF(AND(C49&lt;&gt;"",TODAY()&gt;C49),"Overdue - part paid","Partially paid"),IF(AND(C49&lt;&gt;"",TODAY()&gt;C49),"Overdue",IF(T49="Draft","Draft","Unpaid"))))))</f>
        <v>0</v>
      </c>
      <c r="V49" s="31">
        <f>IF(OR(C49="",S49&lt;=0.004),"",MAX(0,TODAY()-C49))</f>
        <v>0</v>
      </c>
      <c r="W49" s="49">
        <f>IF(A49="","",IF(S49&lt;=0.004,"Paid",IF(V49="","Not due",IF(V49=0,"Current",IF(V49&lt;=30,"1-30 days",IF(V49&lt;=60,"31-60 days",IF(V49&lt;=90,"61-90 days","90+ days")))))))</f>
        <v>0</v>
      </c>
      <c r="X49" s="29">
        <f>IF(OR(V49="",V49=0),0,ROUND(S49*LateFeePct,2))</f>
        <v>0</v>
      </c>
      <c r="AA49" s="49">
        <f>IF(A49="","",IF(COUNTIF(Invoices!$A$5:$A$304,A49)&gt;1,"Duplicate number","OK"))</f>
        <v>0</v>
      </c>
      <c r="AC49" s="28">
        <f>IF(B49="","",TEXT(B49,"yyyy-mm"))</f>
        <v>0</v>
      </c>
      <c r="AD49" s="49">
        <f>IF(A49="","",IF(T49="Draft","Action - still a draft",IF(U49="Overdue","Overdue - chase payment",IF(U49="Overdue - part paid","Overdue - chase the balance",IF(AND(S49&gt;0.004,C49&lt;&gt;"",C49-TODAY()&lt;=ReminderLeadDays,C49&gt;=TODAY()),"Due soon - send a reminder","OK")))))</f>
        <v>0</v>
      </c>
    </row>
    <row r="50" spans="1:30">
      <c r="A50" s="46">
        <f>IF(D50="","",InvoicePrefix&amp;TEXT(InvoiceStartNo+ROW()-5,"0000"))</f>
        <v>0</v>
      </c>
      <c r="C50" s="21">
        <f>IF(B50="","",B50+PaymentTermsDays)</f>
        <v>0</v>
      </c>
      <c r="F50" s="29">
        <f>IF(E50="",0,IFERROR(INDEX(Bookings!$AI$5:$AI$404,MATCH(E50,Bookings!$A$5:$A$404,0)),0))</f>
        <v>0</v>
      </c>
      <c r="J50" s="29">
        <f>IF(D50="","",IF(E50&lt;&gt;"",F50,ROUND(IF(H50="",0,H50)*IF(I50="",0,I50),2)))</f>
        <v>0</v>
      </c>
      <c r="M50" s="29">
        <f>IF(D50="","",ROUND(J50+IF(K50="",0,K50)-IF(L50="",0,L50),2))</f>
        <v>0</v>
      </c>
      <c r="N50" s="29">
        <f>IF(M50="","",IF(TaxRegistered&lt;&gt;"Yes",0,IF(PricesIncludeTax="Yes",ROUND(M50-M50/(1+TaxRate),2),ROUND(M50*TaxRate,2))))</f>
        <v>0</v>
      </c>
      <c r="O50" s="29">
        <f>IF(M50="","",IF(PricesIncludeTax="Yes",M50,ROUND(M50+N50,2)))</f>
        <v>0</v>
      </c>
      <c r="P50" s="29">
        <f>IF(A50="","",SUMIFS(Payments!$E$5:$E$304,Payments!$D$5:$D$304,A50,Payments!$M$5:$M$304,"Yes"))</f>
        <v>0</v>
      </c>
      <c r="Q50" s="29">
        <f>IF(A50="","",SUMIFS(Payments!$K$5:$K$304,Payments!$D$5:$D$304,A50))</f>
        <v>0</v>
      </c>
      <c r="R50" s="29">
        <f>IF(A50="","",SUMIFS(Payments!$J$5:$J$304,Payments!$D$5:$D$304,A50))</f>
        <v>0</v>
      </c>
      <c r="S50" s="29">
        <f>IF(D50="","",ROUND(IF(T50="Cancelled",0,O50-Q50),2))</f>
        <v>0</v>
      </c>
      <c r="U50" s="49">
        <f>IF(A50="","",IF(T50="Cancelled","Cancelled",IF(S50&lt;=0.004,"Paid",IF(Q50&gt;0.004,IF(AND(C50&lt;&gt;"",TODAY()&gt;C50),"Overdue - part paid","Partially paid"),IF(AND(C50&lt;&gt;"",TODAY()&gt;C50),"Overdue",IF(T50="Draft","Draft","Unpaid"))))))</f>
        <v>0</v>
      </c>
      <c r="V50" s="31">
        <f>IF(OR(C50="",S50&lt;=0.004),"",MAX(0,TODAY()-C50))</f>
        <v>0</v>
      </c>
      <c r="W50" s="49">
        <f>IF(A50="","",IF(S50&lt;=0.004,"Paid",IF(V50="","Not due",IF(V50=0,"Current",IF(V50&lt;=30,"1-30 days",IF(V50&lt;=60,"31-60 days",IF(V50&lt;=90,"61-90 days","90+ days")))))))</f>
        <v>0</v>
      </c>
      <c r="X50" s="29">
        <f>IF(OR(V50="",V50=0),0,ROUND(S50*LateFeePct,2))</f>
        <v>0</v>
      </c>
      <c r="AA50" s="49">
        <f>IF(A50="","",IF(COUNTIF(Invoices!$A$5:$A$304,A50)&gt;1,"Duplicate number","OK"))</f>
        <v>0</v>
      </c>
      <c r="AC50" s="28">
        <f>IF(B50="","",TEXT(B50,"yyyy-mm"))</f>
        <v>0</v>
      </c>
      <c r="AD50" s="49">
        <f>IF(A50="","",IF(T50="Draft","Action - still a draft",IF(U50="Overdue","Overdue - chase payment",IF(U50="Overdue - part paid","Overdue - chase the balance",IF(AND(S50&gt;0.004,C50&lt;&gt;"",C50-TODAY()&lt;=ReminderLeadDays,C50&gt;=TODAY()),"Due soon - send a reminder","OK")))))</f>
        <v>0</v>
      </c>
    </row>
    <row r="51" spans="1:30">
      <c r="A51" s="46">
        <f>IF(D51="","",InvoicePrefix&amp;TEXT(InvoiceStartNo+ROW()-5,"0000"))</f>
        <v>0</v>
      </c>
      <c r="C51" s="21">
        <f>IF(B51="","",B51+PaymentTermsDays)</f>
        <v>0</v>
      </c>
      <c r="F51" s="29">
        <f>IF(E51="",0,IFERROR(INDEX(Bookings!$AI$5:$AI$404,MATCH(E51,Bookings!$A$5:$A$404,0)),0))</f>
        <v>0</v>
      </c>
      <c r="J51" s="29">
        <f>IF(D51="","",IF(E51&lt;&gt;"",F51,ROUND(IF(H51="",0,H51)*IF(I51="",0,I51),2)))</f>
        <v>0</v>
      </c>
      <c r="M51" s="29">
        <f>IF(D51="","",ROUND(J51+IF(K51="",0,K51)-IF(L51="",0,L51),2))</f>
        <v>0</v>
      </c>
      <c r="N51" s="29">
        <f>IF(M51="","",IF(TaxRegistered&lt;&gt;"Yes",0,IF(PricesIncludeTax="Yes",ROUND(M51-M51/(1+TaxRate),2),ROUND(M51*TaxRate,2))))</f>
        <v>0</v>
      </c>
      <c r="O51" s="29">
        <f>IF(M51="","",IF(PricesIncludeTax="Yes",M51,ROUND(M51+N51,2)))</f>
        <v>0</v>
      </c>
      <c r="P51" s="29">
        <f>IF(A51="","",SUMIFS(Payments!$E$5:$E$304,Payments!$D$5:$D$304,A51,Payments!$M$5:$M$304,"Yes"))</f>
        <v>0</v>
      </c>
      <c r="Q51" s="29">
        <f>IF(A51="","",SUMIFS(Payments!$K$5:$K$304,Payments!$D$5:$D$304,A51))</f>
        <v>0</v>
      </c>
      <c r="R51" s="29">
        <f>IF(A51="","",SUMIFS(Payments!$J$5:$J$304,Payments!$D$5:$D$304,A51))</f>
        <v>0</v>
      </c>
      <c r="S51" s="29">
        <f>IF(D51="","",ROUND(IF(T51="Cancelled",0,O51-Q51),2))</f>
        <v>0</v>
      </c>
      <c r="U51" s="49">
        <f>IF(A51="","",IF(T51="Cancelled","Cancelled",IF(S51&lt;=0.004,"Paid",IF(Q51&gt;0.004,IF(AND(C51&lt;&gt;"",TODAY()&gt;C51),"Overdue - part paid","Partially paid"),IF(AND(C51&lt;&gt;"",TODAY()&gt;C51),"Overdue",IF(T51="Draft","Draft","Unpaid"))))))</f>
        <v>0</v>
      </c>
      <c r="V51" s="31">
        <f>IF(OR(C51="",S51&lt;=0.004),"",MAX(0,TODAY()-C51))</f>
        <v>0</v>
      </c>
      <c r="W51" s="49">
        <f>IF(A51="","",IF(S51&lt;=0.004,"Paid",IF(V51="","Not due",IF(V51=0,"Current",IF(V51&lt;=30,"1-30 days",IF(V51&lt;=60,"31-60 days",IF(V51&lt;=90,"61-90 days","90+ days")))))))</f>
        <v>0</v>
      </c>
      <c r="X51" s="29">
        <f>IF(OR(V51="",V51=0),0,ROUND(S51*LateFeePct,2))</f>
        <v>0</v>
      </c>
      <c r="AA51" s="49">
        <f>IF(A51="","",IF(COUNTIF(Invoices!$A$5:$A$304,A51)&gt;1,"Duplicate number","OK"))</f>
        <v>0</v>
      </c>
      <c r="AC51" s="28">
        <f>IF(B51="","",TEXT(B51,"yyyy-mm"))</f>
        <v>0</v>
      </c>
      <c r="AD51" s="49">
        <f>IF(A51="","",IF(T51="Draft","Action - still a draft",IF(U51="Overdue","Overdue - chase payment",IF(U51="Overdue - part paid","Overdue - chase the balance",IF(AND(S51&gt;0.004,C51&lt;&gt;"",C51-TODAY()&lt;=ReminderLeadDays,C51&gt;=TODAY()),"Due soon - send a reminder","OK")))))</f>
        <v>0</v>
      </c>
    </row>
    <row r="52" spans="1:30">
      <c r="A52" s="46">
        <f>IF(D52="","",InvoicePrefix&amp;TEXT(InvoiceStartNo+ROW()-5,"0000"))</f>
        <v>0</v>
      </c>
      <c r="C52" s="21">
        <f>IF(B52="","",B52+PaymentTermsDays)</f>
        <v>0</v>
      </c>
      <c r="F52" s="29">
        <f>IF(E52="",0,IFERROR(INDEX(Bookings!$AI$5:$AI$404,MATCH(E52,Bookings!$A$5:$A$404,0)),0))</f>
        <v>0</v>
      </c>
      <c r="J52" s="29">
        <f>IF(D52="","",IF(E52&lt;&gt;"",F52,ROUND(IF(H52="",0,H52)*IF(I52="",0,I52),2)))</f>
        <v>0</v>
      </c>
      <c r="M52" s="29">
        <f>IF(D52="","",ROUND(J52+IF(K52="",0,K52)-IF(L52="",0,L52),2))</f>
        <v>0</v>
      </c>
      <c r="N52" s="29">
        <f>IF(M52="","",IF(TaxRegistered&lt;&gt;"Yes",0,IF(PricesIncludeTax="Yes",ROUND(M52-M52/(1+TaxRate),2),ROUND(M52*TaxRate,2))))</f>
        <v>0</v>
      </c>
      <c r="O52" s="29">
        <f>IF(M52="","",IF(PricesIncludeTax="Yes",M52,ROUND(M52+N52,2)))</f>
        <v>0</v>
      </c>
      <c r="P52" s="29">
        <f>IF(A52="","",SUMIFS(Payments!$E$5:$E$304,Payments!$D$5:$D$304,A52,Payments!$M$5:$M$304,"Yes"))</f>
        <v>0</v>
      </c>
      <c r="Q52" s="29">
        <f>IF(A52="","",SUMIFS(Payments!$K$5:$K$304,Payments!$D$5:$D$304,A52))</f>
        <v>0</v>
      </c>
      <c r="R52" s="29">
        <f>IF(A52="","",SUMIFS(Payments!$J$5:$J$304,Payments!$D$5:$D$304,A52))</f>
        <v>0</v>
      </c>
      <c r="S52" s="29">
        <f>IF(D52="","",ROUND(IF(T52="Cancelled",0,O52-Q52),2))</f>
        <v>0</v>
      </c>
      <c r="U52" s="49">
        <f>IF(A52="","",IF(T52="Cancelled","Cancelled",IF(S52&lt;=0.004,"Paid",IF(Q52&gt;0.004,IF(AND(C52&lt;&gt;"",TODAY()&gt;C52),"Overdue - part paid","Partially paid"),IF(AND(C52&lt;&gt;"",TODAY()&gt;C52),"Overdue",IF(T52="Draft","Draft","Unpaid"))))))</f>
        <v>0</v>
      </c>
      <c r="V52" s="31">
        <f>IF(OR(C52="",S52&lt;=0.004),"",MAX(0,TODAY()-C52))</f>
        <v>0</v>
      </c>
      <c r="W52" s="49">
        <f>IF(A52="","",IF(S52&lt;=0.004,"Paid",IF(V52="","Not due",IF(V52=0,"Current",IF(V52&lt;=30,"1-30 days",IF(V52&lt;=60,"31-60 days",IF(V52&lt;=90,"61-90 days","90+ days")))))))</f>
        <v>0</v>
      </c>
      <c r="X52" s="29">
        <f>IF(OR(V52="",V52=0),0,ROUND(S52*LateFeePct,2))</f>
        <v>0</v>
      </c>
      <c r="AA52" s="49">
        <f>IF(A52="","",IF(COUNTIF(Invoices!$A$5:$A$304,A52)&gt;1,"Duplicate number","OK"))</f>
        <v>0</v>
      </c>
      <c r="AC52" s="28">
        <f>IF(B52="","",TEXT(B52,"yyyy-mm"))</f>
        <v>0</v>
      </c>
      <c r="AD52" s="49">
        <f>IF(A52="","",IF(T52="Draft","Action - still a draft",IF(U52="Overdue","Overdue - chase payment",IF(U52="Overdue - part paid","Overdue - chase the balance",IF(AND(S52&gt;0.004,C52&lt;&gt;"",C52-TODAY()&lt;=ReminderLeadDays,C52&gt;=TODAY()),"Due soon - send a reminder","OK")))))</f>
        <v>0</v>
      </c>
    </row>
    <row r="53" spans="1:30">
      <c r="A53" s="46">
        <f>IF(D53="","",InvoicePrefix&amp;TEXT(InvoiceStartNo+ROW()-5,"0000"))</f>
        <v>0</v>
      </c>
      <c r="C53" s="21">
        <f>IF(B53="","",B53+PaymentTermsDays)</f>
        <v>0</v>
      </c>
      <c r="F53" s="29">
        <f>IF(E53="",0,IFERROR(INDEX(Bookings!$AI$5:$AI$404,MATCH(E53,Bookings!$A$5:$A$404,0)),0))</f>
        <v>0</v>
      </c>
      <c r="J53" s="29">
        <f>IF(D53="","",IF(E53&lt;&gt;"",F53,ROUND(IF(H53="",0,H53)*IF(I53="",0,I53),2)))</f>
        <v>0</v>
      </c>
      <c r="M53" s="29">
        <f>IF(D53="","",ROUND(J53+IF(K53="",0,K53)-IF(L53="",0,L53),2))</f>
        <v>0</v>
      </c>
      <c r="N53" s="29">
        <f>IF(M53="","",IF(TaxRegistered&lt;&gt;"Yes",0,IF(PricesIncludeTax="Yes",ROUND(M53-M53/(1+TaxRate),2),ROUND(M53*TaxRate,2))))</f>
        <v>0</v>
      </c>
      <c r="O53" s="29">
        <f>IF(M53="","",IF(PricesIncludeTax="Yes",M53,ROUND(M53+N53,2)))</f>
        <v>0</v>
      </c>
      <c r="P53" s="29">
        <f>IF(A53="","",SUMIFS(Payments!$E$5:$E$304,Payments!$D$5:$D$304,A53,Payments!$M$5:$M$304,"Yes"))</f>
        <v>0</v>
      </c>
      <c r="Q53" s="29">
        <f>IF(A53="","",SUMIFS(Payments!$K$5:$K$304,Payments!$D$5:$D$304,A53))</f>
        <v>0</v>
      </c>
      <c r="R53" s="29">
        <f>IF(A53="","",SUMIFS(Payments!$J$5:$J$304,Payments!$D$5:$D$304,A53))</f>
        <v>0</v>
      </c>
      <c r="S53" s="29">
        <f>IF(D53="","",ROUND(IF(T53="Cancelled",0,O53-Q53),2))</f>
        <v>0</v>
      </c>
      <c r="U53" s="49">
        <f>IF(A53="","",IF(T53="Cancelled","Cancelled",IF(S53&lt;=0.004,"Paid",IF(Q53&gt;0.004,IF(AND(C53&lt;&gt;"",TODAY()&gt;C53),"Overdue - part paid","Partially paid"),IF(AND(C53&lt;&gt;"",TODAY()&gt;C53),"Overdue",IF(T53="Draft","Draft","Unpaid"))))))</f>
        <v>0</v>
      </c>
      <c r="V53" s="31">
        <f>IF(OR(C53="",S53&lt;=0.004),"",MAX(0,TODAY()-C53))</f>
        <v>0</v>
      </c>
      <c r="W53" s="49">
        <f>IF(A53="","",IF(S53&lt;=0.004,"Paid",IF(V53="","Not due",IF(V53=0,"Current",IF(V53&lt;=30,"1-30 days",IF(V53&lt;=60,"31-60 days",IF(V53&lt;=90,"61-90 days","90+ days")))))))</f>
        <v>0</v>
      </c>
      <c r="X53" s="29">
        <f>IF(OR(V53="",V53=0),0,ROUND(S53*LateFeePct,2))</f>
        <v>0</v>
      </c>
      <c r="AA53" s="49">
        <f>IF(A53="","",IF(COUNTIF(Invoices!$A$5:$A$304,A53)&gt;1,"Duplicate number","OK"))</f>
        <v>0</v>
      </c>
      <c r="AC53" s="28">
        <f>IF(B53="","",TEXT(B53,"yyyy-mm"))</f>
        <v>0</v>
      </c>
      <c r="AD53" s="49">
        <f>IF(A53="","",IF(T53="Draft","Action - still a draft",IF(U53="Overdue","Overdue - chase payment",IF(U53="Overdue - part paid","Overdue - chase the balance",IF(AND(S53&gt;0.004,C53&lt;&gt;"",C53-TODAY()&lt;=ReminderLeadDays,C53&gt;=TODAY()),"Due soon - send a reminder","OK")))))</f>
        <v>0</v>
      </c>
    </row>
    <row r="54" spans="1:30">
      <c r="A54" s="46">
        <f>IF(D54="","",InvoicePrefix&amp;TEXT(InvoiceStartNo+ROW()-5,"0000"))</f>
        <v>0</v>
      </c>
      <c r="C54" s="21">
        <f>IF(B54="","",B54+PaymentTermsDays)</f>
        <v>0</v>
      </c>
      <c r="F54" s="29">
        <f>IF(E54="",0,IFERROR(INDEX(Bookings!$AI$5:$AI$404,MATCH(E54,Bookings!$A$5:$A$404,0)),0))</f>
        <v>0</v>
      </c>
      <c r="J54" s="29">
        <f>IF(D54="","",IF(E54&lt;&gt;"",F54,ROUND(IF(H54="",0,H54)*IF(I54="",0,I54),2)))</f>
        <v>0</v>
      </c>
      <c r="M54" s="29">
        <f>IF(D54="","",ROUND(J54+IF(K54="",0,K54)-IF(L54="",0,L54),2))</f>
        <v>0</v>
      </c>
      <c r="N54" s="29">
        <f>IF(M54="","",IF(TaxRegistered&lt;&gt;"Yes",0,IF(PricesIncludeTax="Yes",ROUND(M54-M54/(1+TaxRate),2),ROUND(M54*TaxRate,2))))</f>
        <v>0</v>
      </c>
      <c r="O54" s="29">
        <f>IF(M54="","",IF(PricesIncludeTax="Yes",M54,ROUND(M54+N54,2)))</f>
        <v>0</v>
      </c>
      <c r="P54" s="29">
        <f>IF(A54="","",SUMIFS(Payments!$E$5:$E$304,Payments!$D$5:$D$304,A54,Payments!$M$5:$M$304,"Yes"))</f>
        <v>0</v>
      </c>
      <c r="Q54" s="29">
        <f>IF(A54="","",SUMIFS(Payments!$K$5:$K$304,Payments!$D$5:$D$304,A54))</f>
        <v>0</v>
      </c>
      <c r="R54" s="29">
        <f>IF(A54="","",SUMIFS(Payments!$J$5:$J$304,Payments!$D$5:$D$304,A54))</f>
        <v>0</v>
      </c>
      <c r="S54" s="29">
        <f>IF(D54="","",ROUND(IF(T54="Cancelled",0,O54-Q54),2))</f>
        <v>0</v>
      </c>
      <c r="U54" s="49">
        <f>IF(A54="","",IF(T54="Cancelled","Cancelled",IF(S54&lt;=0.004,"Paid",IF(Q54&gt;0.004,IF(AND(C54&lt;&gt;"",TODAY()&gt;C54),"Overdue - part paid","Partially paid"),IF(AND(C54&lt;&gt;"",TODAY()&gt;C54),"Overdue",IF(T54="Draft","Draft","Unpaid"))))))</f>
        <v>0</v>
      </c>
      <c r="V54" s="31">
        <f>IF(OR(C54="",S54&lt;=0.004),"",MAX(0,TODAY()-C54))</f>
        <v>0</v>
      </c>
      <c r="W54" s="49">
        <f>IF(A54="","",IF(S54&lt;=0.004,"Paid",IF(V54="","Not due",IF(V54=0,"Current",IF(V54&lt;=30,"1-30 days",IF(V54&lt;=60,"31-60 days",IF(V54&lt;=90,"61-90 days","90+ days")))))))</f>
        <v>0</v>
      </c>
      <c r="X54" s="29">
        <f>IF(OR(V54="",V54=0),0,ROUND(S54*LateFeePct,2))</f>
        <v>0</v>
      </c>
      <c r="AA54" s="49">
        <f>IF(A54="","",IF(COUNTIF(Invoices!$A$5:$A$304,A54)&gt;1,"Duplicate number","OK"))</f>
        <v>0</v>
      </c>
      <c r="AC54" s="28">
        <f>IF(B54="","",TEXT(B54,"yyyy-mm"))</f>
        <v>0</v>
      </c>
      <c r="AD54" s="49">
        <f>IF(A54="","",IF(T54="Draft","Action - still a draft",IF(U54="Overdue","Overdue - chase payment",IF(U54="Overdue - part paid","Overdue - chase the balance",IF(AND(S54&gt;0.004,C54&lt;&gt;"",C54-TODAY()&lt;=ReminderLeadDays,C54&gt;=TODAY()),"Due soon - send a reminder","OK")))))</f>
        <v>0</v>
      </c>
    </row>
    <row r="55" spans="1:30">
      <c r="A55" s="46">
        <f>IF(D55="","",InvoicePrefix&amp;TEXT(InvoiceStartNo+ROW()-5,"0000"))</f>
        <v>0</v>
      </c>
      <c r="C55" s="21">
        <f>IF(B55="","",B55+PaymentTermsDays)</f>
        <v>0</v>
      </c>
      <c r="F55" s="29">
        <f>IF(E55="",0,IFERROR(INDEX(Bookings!$AI$5:$AI$404,MATCH(E55,Bookings!$A$5:$A$404,0)),0))</f>
        <v>0</v>
      </c>
      <c r="J55" s="29">
        <f>IF(D55="","",IF(E55&lt;&gt;"",F55,ROUND(IF(H55="",0,H55)*IF(I55="",0,I55),2)))</f>
        <v>0</v>
      </c>
      <c r="M55" s="29">
        <f>IF(D55="","",ROUND(J55+IF(K55="",0,K55)-IF(L55="",0,L55),2))</f>
        <v>0</v>
      </c>
      <c r="N55" s="29">
        <f>IF(M55="","",IF(TaxRegistered&lt;&gt;"Yes",0,IF(PricesIncludeTax="Yes",ROUND(M55-M55/(1+TaxRate),2),ROUND(M55*TaxRate,2))))</f>
        <v>0</v>
      </c>
      <c r="O55" s="29">
        <f>IF(M55="","",IF(PricesIncludeTax="Yes",M55,ROUND(M55+N55,2)))</f>
        <v>0</v>
      </c>
      <c r="P55" s="29">
        <f>IF(A55="","",SUMIFS(Payments!$E$5:$E$304,Payments!$D$5:$D$304,A55,Payments!$M$5:$M$304,"Yes"))</f>
        <v>0</v>
      </c>
      <c r="Q55" s="29">
        <f>IF(A55="","",SUMIFS(Payments!$K$5:$K$304,Payments!$D$5:$D$304,A55))</f>
        <v>0</v>
      </c>
      <c r="R55" s="29">
        <f>IF(A55="","",SUMIFS(Payments!$J$5:$J$304,Payments!$D$5:$D$304,A55))</f>
        <v>0</v>
      </c>
      <c r="S55" s="29">
        <f>IF(D55="","",ROUND(IF(T55="Cancelled",0,O55-Q55),2))</f>
        <v>0</v>
      </c>
      <c r="U55" s="49">
        <f>IF(A55="","",IF(T55="Cancelled","Cancelled",IF(S55&lt;=0.004,"Paid",IF(Q55&gt;0.004,IF(AND(C55&lt;&gt;"",TODAY()&gt;C55),"Overdue - part paid","Partially paid"),IF(AND(C55&lt;&gt;"",TODAY()&gt;C55),"Overdue",IF(T55="Draft","Draft","Unpaid"))))))</f>
        <v>0</v>
      </c>
      <c r="V55" s="31">
        <f>IF(OR(C55="",S55&lt;=0.004),"",MAX(0,TODAY()-C55))</f>
        <v>0</v>
      </c>
      <c r="W55" s="49">
        <f>IF(A55="","",IF(S55&lt;=0.004,"Paid",IF(V55="","Not due",IF(V55=0,"Current",IF(V55&lt;=30,"1-30 days",IF(V55&lt;=60,"31-60 days",IF(V55&lt;=90,"61-90 days","90+ days")))))))</f>
        <v>0</v>
      </c>
      <c r="X55" s="29">
        <f>IF(OR(V55="",V55=0),0,ROUND(S55*LateFeePct,2))</f>
        <v>0</v>
      </c>
      <c r="AA55" s="49">
        <f>IF(A55="","",IF(COUNTIF(Invoices!$A$5:$A$304,A55)&gt;1,"Duplicate number","OK"))</f>
        <v>0</v>
      </c>
      <c r="AC55" s="28">
        <f>IF(B55="","",TEXT(B55,"yyyy-mm"))</f>
        <v>0</v>
      </c>
      <c r="AD55" s="49">
        <f>IF(A55="","",IF(T55="Draft","Action - still a draft",IF(U55="Overdue","Overdue - chase payment",IF(U55="Overdue - part paid","Overdue - chase the balance",IF(AND(S55&gt;0.004,C55&lt;&gt;"",C55-TODAY()&lt;=ReminderLeadDays,C55&gt;=TODAY()),"Due soon - send a reminder","OK")))))</f>
        <v>0</v>
      </c>
    </row>
    <row r="56" spans="1:30">
      <c r="A56" s="46">
        <f>IF(D56="","",InvoicePrefix&amp;TEXT(InvoiceStartNo+ROW()-5,"0000"))</f>
        <v>0</v>
      </c>
      <c r="C56" s="21">
        <f>IF(B56="","",B56+PaymentTermsDays)</f>
        <v>0</v>
      </c>
      <c r="F56" s="29">
        <f>IF(E56="",0,IFERROR(INDEX(Bookings!$AI$5:$AI$404,MATCH(E56,Bookings!$A$5:$A$404,0)),0))</f>
        <v>0</v>
      </c>
      <c r="J56" s="29">
        <f>IF(D56="","",IF(E56&lt;&gt;"",F56,ROUND(IF(H56="",0,H56)*IF(I56="",0,I56),2)))</f>
        <v>0</v>
      </c>
      <c r="M56" s="29">
        <f>IF(D56="","",ROUND(J56+IF(K56="",0,K56)-IF(L56="",0,L56),2))</f>
        <v>0</v>
      </c>
      <c r="N56" s="29">
        <f>IF(M56="","",IF(TaxRegistered&lt;&gt;"Yes",0,IF(PricesIncludeTax="Yes",ROUND(M56-M56/(1+TaxRate),2),ROUND(M56*TaxRate,2))))</f>
        <v>0</v>
      </c>
      <c r="O56" s="29">
        <f>IF(M56="","",IF(PricesIncludeTax="Yes",M56,ROUND(M56+N56,2)))</f>
        <v>0</v>
      </c>
      <c r="P56" s="29">
        <f>IF(A56="","",SUMIFS(Payments!$E$5:$E$304,Payments!$D$5:$D$304,A56,Payments!$M$5:$M$304,"Yes"))</f>
        <v>0</v>
      </c>
      <c r="Q56" s="29">
        <f>IF(A56="","",SUMIFS(Payments!$K$5:$K$304,Payments!$D$5:$D$304,A56))</f>
        <v>0</v>
      </c>
      <c r="R56" s="29">
        <f>IF(A56="","",SUMIFS(Payments!$J$5:$J$304,Payments!$D$5:$D$304,A56))</f>
        <v>0</v>
      </c>
      <c r="S56" s="29">
        <f>IF(D56="","",ROUND(IF(T56="Cancelled",0,O56-Q56),2))</f>
        <v>0</v>
      </c>
      <c r="U56" s="49">
        <f>IF(A56="","",IF(T56="Cancelled","Cancelled",IF(S56&lt;=0.004,"Paid",IF(Q56&gt;0.004,IF(AND(C56&lt;&gt;"",TODAY()&gt;C56),"Overdue - part paid","Partially paid"),IF(AND(C56&lt;&gt;"",TODAY()&gt;C56),"Overdue",IF(T56="Draft","Draft","Unpaid"))))))</f>
        <v>0</v>
      </c>
      <c r="V56" s="31">
        <f>IF(OR(C56="",S56&lt;=0.004),"",MAX(0,TODAY()-C56))</f>
        <v>0</v>
      </c>
      <c r="W56" s="49">
        <f>IF(A56="","",IF(S56&lt;=0.004,"Paid",IF(V56="","Not due",IF(V56=0,"Current",IF(V56&lt;=30,"1-30 days",IF(V56&lt;=60,"31-60 days",IF(V56&lt;=90,"61-90 days","90+ days")))))))</f>
        <v>0</v>
      </c>
      <c r="X56" s="29">
        <f>IF(OR(V56="",V56=0),0,ROUND(S56*LateFeePct,2))</f>
        <v>0</v>
      </c>
      <c r="AA56" s="49">
        <f>IF(A56="","",IF(COUNTIF(Invoices!$A$5:$A$304,A56)&gt;1,"Duplicate number","OK"))</f>
        <v>0</v>
      </c>
      <c r="AC56" s="28">
        <f>IF(B56="","",TEXT(B56,"yyyy-mm"))</f>
        <v>0</v>
      </c>
      <c r="AD56" s="49">
        <f>IF(A56="","",IF(T56="Draft","Action - still a draft",IF(U56="Overdue","Overdue - chase payment",IF(U56="Overdue - part paid","Overdue - chase the balance",IF(AND(S56&gt;0.004,C56&lt;&gt;"",C56-TODAY()&lt;=ReminderLeadDays,C56&gt;=TODAY()),"Due soon - send a reminder","OK")))))</f>
        <v>0</v>
      </c>
    </row>
    <row r="57" spans="1:30">
      <c r="A57" s="46">
        <f>IF(D57="","",InvoicePrefix&amp;TEXT(InvoiceStartNo+ROW()-5,"0000"))</f>
        <v>0</v>
      </c>
      <c r="C57" s="21">
        <f>IF(B57="","",B57+PaymentTermsDays)</f>
        <v>0</v>
      </c>
      <c r="F57" s="29">
        <f>IF(E57="",0,IFERROR(INDEX(Bookings!$AI$5:$AI$404,MATCH(E57,Bookings!$A$5:$A$404,0)),0))</f>
        <v>0</v>
      </c>
      <c r="J57" s="29">
        <f>IF(D57="","",IF(E57&lt;&gt;"",F57,ROUND(IF(H57="",0,H57)*IF(I57="",0,I57),2)))</f>
        <v>0</v>
      </c>
      <c r="M57" s="29">
        <f>IF(D57="","",ROUND(J57+IF(K57="",0,K57)-IF(L57="",0,L57),2))</f>
        <v>0</v>
      </c>
      <c r="N57" s="29">
        <f>IF(M57="","",IF(TaxRegistered&lt;&gt;"Yes",0,IF(PricesIncludeTax="Yes",ROUND(M57-M57/(1+TaxRate),2),ROUND(M57*TaxRate,2))))</f>
        <v>0</v>
      </c>
      <c r="O57" s="29">
        <f>IF(M57="","",IF(PricesIncludeTax="Yes",M57,ROUND(M57+N57,2)))</f>
        <v>0</v>
      </c>
      <c r="P57" s="29">
        <f>IF(A57="","",SUMIFS(Payments!$E$5:$E$304,Payments!$D$5:$D$304,A57,Payments!$M$5:$M$304,"Yes"))</f>
        <v>0</v>
      </c>
      <c r="Q57" s="29">
        <f>IF(A57="","",SUMIFS(Payments!$K$5:$K$304,Payments!$D$5:$D$304,A57))</f>
        <v>0</v>
      </c>
      <c r="R57" s="29">
        <f>IF(A57="","",SUMIFS(Payments!$J$5:$J$304,Payments!$D$5:$D$304,A57))</f>
        <v>0</v>
      </c>
      <c r="S57" s="29">
        <f>IF(D57="","",ROUND(IF(T57="Cancelled",0,O57-Q57),2))</f>
        <v>0</v>
      </c>
      <c r="U57" s="49">
        <f>IF(A57="","",IF(T57="Cancelled","Cancelled",IF(S57&lt;=0.004,"Paid",IF(Q57&gt;0.004,IF(AND(C57&lt;&gt;"",TODAY()&gt;C57),"Overdue - part paid","Partially paid"),IF(AND(C57&lt;&gt;"",TODAY()&gt;C57),"Overdue",IF(T57="Draft","Draft","Unpaid"))))))</f>
        <v>0</v>
      </c>
      <c r="V57" s="31">
        <f>IF(OR(C57="",S57&lt;=0.004),"",MAX(0,TODAY()-C57))</f>
        <v>0</v>
      </c>
      <c r="W57" s="49">
        <f>IF(A57="","",IF(S57&lt;=0.004,"Paid",IF(V57="","Not due",IF(V57=0,"Current",IF(V57&lt;=30,"1-30 days",IF(V57&lt;=60,"31-60 days",IF(V57&lt;=90,"61-90 days","90+ days")))))))</f>
        <v>0</v>
      </c>
      <c r="X57" s="29">
        <f>IF(OR(V57="",V57=0),0,ROUND(S57*LateFeePct,2))</f>
        <v>0</v>
      </c>
      <c r="AA57" s="49">
        <f>IF(A57="","",IF(COUNTIF(Invoices!$A$5:$A$304,A57)&gt;1,"Duplicate number","OK"))</f>
        <v>0</v>
      </c>
      <c r="AC57" s="28">
        <f>IF(B57="","",TEXT(B57,"yyyy-mm"))</f>
        <v>0</v>
      </c>
      <c r="AD57" s="49">
        <f>IF(A57="","",IF(T57="Draft","Action - still a draft",IF(U57="Overdue","Overdue - chase payment",IF(U57="Overdue - part paid","Overdue - chase the balance",IF(AND(S57&gt;0.004,C57&lt;&gt;"",C57-TODAY()&lt;=ReminderLeadDays,C57&gt;=TODAY()),"Due soon - send a reminder","OK")))))</f>
        <v>0</v>
      </c>
    </row>
    <row r="58" spans="1:30">
      <c r="A58" s="46">
        <f>IF(D58="","",InvoicePrefix&amp;TEXT(InvoiceStartNo+ROW()-5,"0000"))</f>
        <v>0</v>
      </c>
      <c r="C58" s="21">
        <f>IF(B58="","",B58+PaymentTermsDays)</f>
        <v>0</v>
      </c>
      <c r="F58" s="29">
        <f>IF(E58="",0,IFERROR(INDEX(Bookings!$AI$5:$AI$404,MATCH(E58,Bookings!$A$5:$A$404,0)),0))</f>
        <v>0</v>
      </c>
      <c r="J58" s="29">
        <f>IF(D58="","",IF(E58&lt;&gt;"",F58,ROUND(IF(H58="",0,H58)*IF(I58="",0,I58),2)))</f>
        <v>0</v>
      </c>
      <c r="M58" s="29">
        <f>IF(D58="","",ROUND(J58+IF(K58="",0,K58)-IF(L58="",0,L58),2))</f>
        <v>0</v>
      </c>
      <c r="N58" s="29">
        <f>IF(M58="","",IF(TaxRegistered&lt;&gt;"Yes",0,IF(PricesIncludeTax="Yes",ROUND(M58-M58/(1+TaxRate),2),ROUND(M58*TaxRate,2))))</f>
        <v>0</v>
      </c>
      <c r="O58" s="29">
        <f>IF(M58="","",IF(PricesIncludeTax="Yes",M58,ROUND(M58+N58,2)))</f>
        <v>0</v>
      </c>
      <c r="P58" s="29">
        <f>IF(A58="","",SUMIFS(Payments!$E$5:$E$304,Payments!$D$5:$D$304,A58,Payments!$M$5:$M$304,"Yes"))</f>
        <v>0</v>
      </c>
      <c r="Q58" s="29">
        <f>IF(A58="","",SUMIFS(Payments!$K$5:$K$304,Payments!$D$5:$D$304,A58))</f>
        <v>0</v>
      </c>
      <c r="R58" s="29">
        <f>IF(A58="","",SUMIFS(Payments!$J$5:$J$304,Payments!$D$5:$D$304,A58))</f>
        <v>0</v>
      </c>
      <c r="S58" s="29">
        <f>IF(D58="","",ROUND(IF(T58="Cancelled",0,O58-Q58),2))</f>
        <v>0</v>
      </c>
      <c r="U58" s="49">
        <f>IF(A58="","",IF(T58="Cancelled","Cancelled",IF(S58&lt;=0.004,"Paid",IF(Q58&gt;0.004,IF(AND(C58&lt;&gt;"",TODAY()&gt;C58),"Overdue - part paid","Partially paid"),IF(AND(C58&lt;&gt;"",TODAY()&gt;C58),"Overdue",IF(T58="Draft","Draft","Unpaid"))))))</f>
        <v>0</v>
      </c>
      <c r="V58" s="31">
        <f>IF(OR(C58="",S58&lt;=0.004),"",MAX(0,TODAY()-C58))</f>
        <v>0</v>
      </c>
      <c r="W58" s="49">
        <f>IF(A58="","",IF(S58&lt;=0.004,"Paid",IF(V58="","Not due",IF(V58=0,"Current",IF(V58&lt;=30,"1-30 days",IF(V58&lt;=60,"31-60 days",IF(V58&lt;=90,"61-90 days","90+ days")))))))</f>
        <v>0</v>
      </c>
      <c r="X58" s="29">
        <f>IF(OR(V58="",V58=0),0,ROUND(S58*LateFeePct,2))</f>
        <v>0</v>
      </c>
      <c r="AA58" s="49">
        <f>IF(A58="","",IF(COUNTIF(Invoices!$A$5:$A$304,A58)&gt;1,"Duplicate number","OK"))</f>
        <v>0</v>
      </c>
      <c r="AC58" s="28">
        <f>IF(B58="","",TEXT(B58,"yyyy-mm"))</f>
        <v>0</v>
      </c>
      <c r="AD58" s="49">
        <f>IF(A58="","",IF(T58="Draft","Action - still a draft",IF(U58="Overdue","Overdue - chase payment",IF(U58="Overdue - part paid","Overdue - chase the balance",IF(AND(S58&gt;0.004,C58&lt;&gt;"",C58-TODAY()&lt;=ReminderLeadDays,C58&gt;=TODAY()),"Due soon - send a reminder","OK")))))</f>
        <v>0</v>
      </c>
    </row>
    <row r="59" spans="1:30">
      <c r="A59" s="46">
        <f>IF(D59="","",InvoicePrefix&amp;TEXT(InvoiceStartNo+ROW()-5,"0000"))</f>
        <v>0</v>
      </c>
      <c r="C59" s="21">
        <f>IF(B59="","",B59+PaymentTermsDays)</f>
        <v>0</v>
      </c>
      <c r="F59" s="29">
        <f>IF(E59="",0,IFERROR(INDEX(Bookings!$AI$5:$AI$404,MATCH(E59,Bookings!$A$5:$A$404,0)),0))</f>
        <v>0</v>
      </c>
      <c r="J59" s="29">
        <f>IF(D59="","",IF(E59&lt;&gt;"",F59,ROUND(IF(H59="",0,H59)*IF(I59="",0,I59),2)))</f>
        <v>0</v>
      </c>
      <c r="M59" s="29">
        <f>IF(D59="","",ROUND(J59+IF(K59="",0,K59)-IF(L59="",0,L59),2))</f>
        <v>0</v>
      </c>
      <c r="N59" s="29">
        <f>IF(M59="","",IF(TaxRegistered&lt;&gt;"Yes",0,IF(PricesIncludeTax="Yes",ROUND(M59-M59/(1+TaxRate),2),ROUND(M59*TaxRate,2))))</f>
        <v>0</v>
      </c>
      <c r="O59" s="29">
        <f>IF(M59="","",IF(PricesIncludeTax="Yes",M59,ROUND(M59+N59,2)))</f>
        <v>0</v>
      </c>
      <c r="P59" s="29">
        <f>IF(A59="","",SUMIFS(Payments!$E$5:$E$304,Payments!$D$5:$D$304,A59,Payments!$M$5:$M$304,"Yes"))</f>
        <v>0</v>
      </c>
      <c r="Q59" s="29">
        <f>IF(A59="","",SUMIFS(Payments!$K$5:$K$304,Payments!$D$5:$D$304,A59))</f>
        <v>0</v>
      </c>
      <c r="R59" s="29">
        <f>IF(A59="","",SUMIFS(Payments!$J$5:$J$304,Payments!$D$5:$D$304,A59))</f>
        <v>0</v>
      </c>
      <c r="S59" s="29">
        <f>IF(D59="","",ROUND(IF(T59="Cancelled",0,O59-Q59),2))</f>
        <v>0</v>
      </c>
      <c r="U59" s="49">
        <f>IF(A59="","",IF(T59="Cancelled","Cancelled",IF(S59&lt;=0.004,"Paid",IF(Q59&gt;0.004,IF(AND(C59&lt;&gt;"",TODAY()&gt;C59),"Overdue - part paid","Partially paid"),IF(AND(C59&lt;&gt;"",TODAY()&gt;C59),"Overdue",IF(T59="Draft","Draft","Unpaid"))))))</f>
        <v>0</v>
      </c>
      <c r="V59" s="31">
        <f>IF(OR(C59="",S59&lt;=0.004),"",MAX(0,TODAY()-C59))</f>
        <v>0</v>
      </c>
      <c r="W59" s="49">
        <f>IF(A59="","",IF(S59&lt;=0.004,"Paid",IF(V59="","Not due",IF(V59=0,"Current",IF(V59&lt;=30,"1-30 days",IF(V59&lt;=60,"31-60 days",IF(V59&lt;=90,"61-90 days","90+ days")))))))</f>
        <v>0</v>
      </c>
      <c r="X59" s="29">
        <f>IF(OR(V59="",V59=0),0,ROUND(S59*LateFeePct,2))</f>
        <v>0</v>
      </c>
      <c r="AA59" s="49">
        <f>IF(A59="","",IF(COUNTIF(Invoices!$A$5:$A$304,A59)&gt;1,"Duplicate number","OK"))</f>
        <v>0</v>
      </c>
      <c r="AC59" s="28">
        <f>IF(B59="","",TEXT(B59,"yyyy-mm"))</f>
        <v>0</v>
      </c>
      <c r="AD59" s="49">
        <f>IF(A59="","",IF(T59="Draft","Action - still a draft",IF(U59="Overdue","Overdue - chase payment",IF(U59="Overdue - part paid","Overdue - chase the balance",IF(AND(S59&gt;0.004,C59&lt;&gt;"",C59-TODAY()&lt;=ReminderLeadDays,C59&gt;=TODAY()),"Due soon - send a reminder","OK")))))</f>
        <v>0</v>
      </c>
    </row>
    <row r="60" spans="1:30">
      <c r="A60" s="46">
        <f>IF(D60="","",InvoicePrefix&amp;TEXT(InvoiceStartNo+ROW()-5,"0000"))</f>
        <v>0</v>
      </c>
      <c r="C60" s="21">
        <f>IF(B60="","",B60+PaymentTermsDays)</f>
        <v>0</v>
      </c>
      <c r="F60" s="29">
        <f>IF(E60="",0,IFERROR(INDEX(Bookings!$AI$5:$AI$404,MATCH(E60,Bookings!$A$5:$A$404,0)),0))</f>
        <v>0</v>
      </c>
      <c r="J60" s="29">
        <f>IF(D60="","",IF(E60&lt;&gt;"",F60,ROUND(IF(H60="",0,H60)*IF(I60="",0,I60),2)))</f>
        <v>0</v>
      </c>
      <c r="M60" s="29">
        <f>IF(D60="","",ROUND(J60+IF(K60="",0,K60)-IF(L60="",0,L60),2))</f>
        <v>0</v>
      </c>
      <c r="N60" s="29">
        <f>IF(M60="","",IF(TaxRegistered&lt;&gt;"Yes",0,IF(PricesIncludeTax="Yes",ROUND(M60-M60/(1+TaxRate),2),ROUND(M60*TaxRate,2))))</f>
        <v>0</v>
      </c>
      <c r="O60" s="29">
        <f>IF(M60="","",IF(PricesIncludeTax="Yes",M60,ROUND(M60+N60,2)))</f>
        <v>0</v>
      </c>
      <c r="P60" s="29">
        <f>IF(A60="","",SUMIFS(Payments!$E$5:$E$304,Payments!$D$5:$D$304,A60,Payments!$M$5:$M$304,"Yes"))</f>
        <v>0</v>
      </c>
      <c r="Q60" s="29">
        <f>IF(A60="","",SUMIFS(Payments!$K$5:$K$304,Payments!$D$5:$D$304,A60))</f>
        <v>0</v>
      </c>
      <c r="R60" s="29">
        <f>IF(A60="","",SUMIFS(Payments!$J$5:$J$304,Payments!$D$5:$D$304,A60))</f>
        <v>0</v>
      </c>
      <c r="S60" s="29">
        <f>IF(D60="","",ROUND(IF(T60="Cancelled",0,O60-Q60),2))</f>
        <v>0</v>
      </c>
      <c r="U60" s="49">
        <f>IF(A60="","",IF(T60="Cancelled","Cancelled",IF(S60&lt;=0.004,"Paid",IF(Q60&gt;0.004,IF(AND(C60&lt;&gt;"",TODAY()&gt;C60),"Overdue - part paid","Partially paid"),IF(AND(C60&lt;&gt;"",TODAY()&gt;C60),"Overdue",IF(T60="Draft","Draft","Unpaid"))))))</f>
        <v>0</v>
      </c>
      <c r="V60" s="31">
        <f>IF(OR(C60="",S60&lt;=0.004),"",MAX(0,TODAY()-C60))</f>
        <v>0</v>
      </c>
      <c r="W60" s="49">
        <f>IF(A60="","",IF(S60&lt;=0.004,"Paid",IF(V60="","Not due",IF(V60=0,"Current",IF(V60&lt;=30,"1-30 days",IF(V60&lt;=60,"31-60 days",IF(V60&lt;=90,"61-90 days","90+ days")))))))</f>
        <v>0</v>
      </c>
      <c r="X60" s="29">
        <f>IF(OR(V60="",V60=0),0,ROUND(S60*LateFeePct,2))</f>
        <v>0</v>
      </c>
      <c r="AA60" s="49">
        <f>IF(A60="","",IF(COUNTIF(Invoices!$A$5:$A$304,A60)&gt;1,"Duplicate number","OK"))</f>
        <v>0</v>
      </c>
      <c r="AC60" s="28">
        <f>IF(B60="","",TEXT(B60,"yyyy-mm"))</f>
        <v>0</v>
      </c>
      <c r="AD60" s="49">
        <f>IF(A60="","",IF(T60="Draft","Action - still a draft",IF(U60="Overdue","Overdue - chase payment",IF(U60="Overdue - part paid","Overdue - chase the balance",IF(AND(S60&gt;0.004,C60&lt;&gt;"",C60-TODAY()&lt;=ReminderLeadDays,C60&gt;=TODAY()),"Due soon - send a reminder","OK")))))</f>
        <v>0</v>
      </c>
    </row>
    <row r="61" spans="1:30">
      <c r="A61" s="46">
        <f>IF(D61="","",InvoicePrefix&amp;TEXT(InvoiceStartNo+ROW()-5,"0000"))</f>
        <v>0</v>
      </c>
      <c r="C61" s="21">
        <f>IF(B61="","",B61+PaymentTermsDays)</f>
        <v>0</v>
      </c>
      <c r="F61" s="29">
        <f>IF(E61="",0,IFERROR(INDEX(Bookings!$AI$5:$AI$404,MATCH(E61,Bookings!$A$5:$A$404,0)),0))</f>
        <v>0</v>
      </c>
      <c r="J61" s="29">
        <f>IF(D61="","",IF(E61&lt;&gt;"",F61,ROUND(IF(H61="",0,H61)*IF(I61="",0,I61),2)))</f>
        <v>0</v>
      </c>
      <c r="M61" s="29">
        <f>IF(D61="","",ROUND(J61+IF(K61="",0,K61)-IF(L61="",0,L61),2))</f>
        <v>0</v>
      </c>
      <c r="N61" s="29">
        <f>IF(M61="","",IF(TaxRegistered&lt;&gt;"Yes",0,IF(PricesIncludeTax="Yes",ROUND(M61-M61/(1+TaxRate),2),ROUND(M61*TaxRate,2))))</f>
        <v>0</v>
      </c>
      <c r="O61" s="29">
        <f>IF(M61="","",IF(PricesIncludeTax="Yes",M61,ROUND(M61+N61,2)))</f>
        <v>0</v>
      </c>
      <c r="P61" s="29">
        <f>IF(A61="","",SUMIFS(Payments!$E$5:$E$304,Payments!$D$5:$D$304,A61,Payments!$M$5:$M$304,"Yes"))</f>
        <v>0</v>
      </c>
      <c r="Q61" s="29">
        <f>IF(A61="","",SUMIFS(Payments!$K$5:$K$304,Payments!$D$5:$D$304,A61))</f>
        <v>0</v>
      </c>
      <c r="R61" s="29">
        <f>IF(A61="","",SUMIFS(Payments!$J$5:$J$304,Payments!$D$5:$D$304,A61))</f>
        <v>0</v>
      </c>
      <c r="S61" s="29">
        <f>IF(D61="","",ROUND(IF(T61="Cancelled",0,O61-Q61),2))</f>
        <v>0</v>
      </c>
      <c r="U61" s="49">
        <f>IF(A61="","",IF(T61="Cancelled","Cancelled",IF(S61&lt;=0.004,"Paid",IF(Q61&gt;0.004,IF(AND(C61&lt;&gt;"",TODAY()&gt;C61),"Overdue - part paid","Partially paid"),IF(AND(C61&lt;&gt;"",TODAY()&gt;C61),"Overdue",IF(T61="Draft","Draft","Unpaid"))))))</f>
        <v>0</v>
      </c>
      <c r="V61" s="31">
        <f>IF(OR(C61="",S61&lt;=0.004),"",MAX(0,TODAY()-C61))</f>
        <v>0</v>
      </c>
      <c r="W61" s="49">
        <f>IF(A61="","",IF(S61&lt;=0.004,"Paid",IF(V61="","Not due",IF(V61=0,"Current",IF(V61&lt;=30,"1-30 days",IF(V61&lt;=60,"31-60 days",IF(V61&lt;=90,"61-90 days","90+ days")))))))</f>
        <v>0</v>
      </c>
      <c r="X61" s="29">
        <f>IF(OR(V61="",V61=0),0,ROUND(S61*LateFeePct,2))</f>
        <v>0</v>
      </c>
      <c r="AA61" s="49">
        <f>IF(A61="","",IF(COUNTIF(Invoices!$A$5:$A$304,A61)&gt;1,"Duplicate number","OK"))</f>
        <v>0</v>
      </c>
      <c r="AC61" s="28">
        <f>IF(B61="","",TEXT(B61,"yyyy-mm"))</f>
        <v>0</v>
      </c>
      <c r="AD61" s="49">
        <f>IF(A61="","",IF(T61="Draft","Action - still a draft",IF(U61="Overdue","Overdue - chase payment",IF(U61="Overdue - part paid","Overdue - chase the balance",IF(AND(S61&gt;0.004,C61&lt;&gt;"",C61-TODAY()&lt;=ReminderLeadDays,C61&gt;=TODAY()),"Due soon - send a reminder","OK")))))</f>
        <v>0</v>
      </c>
    </row>
    <row r="62" spans="1:30">
      <c r="A62" s="46">
        <f>IF(D62="","",InvoicePrefix&amp;TEXT(InvoiceStartNo+ROW()-5,"0000"))</f>
        <v>0</v>
      </c>
      <c r="C62" s="21">
        <f>IF(B62="","",B62+PaymentTermsDays)</f>
        <v>0</v>
      </c>
      <c r="F62" s="29">
        <f>IF(E62="",0,IFERROR(INDEX(Bookings!$AI$5:$AI$404,MATCH(E62,Bookings!$A$5:$A$404,0)),0))</f>
        <v>0</v>
      </c>
      <c r="J62" s="29">
        <f>IF(D62="","",IF(E62&lt;&gt;"",F62,ROUND(IF(H62="",0,H62)*IF(I62="",0,I62),2)))</f>
        <v>0</v>
      </c>
      <c r="M62" s="29">
        <f>IF(D62="","",ROUND(J62+IF(K62="",0,K62)-IF(L62="",0,L62),2))</f>
        <v>0</v>
      </c>
      <c r="N62" s="29">
        <f>IF(M62="","",IF(TaxRegistered&lt;&gt;"Yes",0,IF(PricesIncludeTax="Yes",ROUND(M62-M62/(1+TaxRate),2),ROUND(M62*TaxRate,2))))</f>
        <v>0</v>
      </c>
      <c r="O62" s="29">
        <f>IF(M62="","",IF(PricesIncludeTax="Yes",M62,ROUND(M62+N62,2)))</f>
        <v>0</v>
      </c>
      <c r="P62" s="29">
        <f>IF(A62="","",SUMIFS(Payments!$E$5:$E$304,Payments!$D$5:$D$304,A62,Payments!$M$5:$M$304,"Yes"))</f>
        <v>0</v>
      </c>
      <c r="Q62" s="29">
        <f>IF(A62="","",SUMIFS(Payments!$K$5:$K$304,Payments!$D$5:$D$304,A62))</f>
        <v>0</v>
      </c>
      <c r="R62" s="29">
        <f>IF(A62="","",SUMIFS(Payments!$J$5:$J$304,Payments!$D$5:$D$304,A62))</f>
        <v>0</v>
      </c>
      <c r="S62" s="29">
        <f>IF(D62="","",ROUND(IF(T62="Cancelled",0,O62-Q62),2))</f>
        <v>0</v>
      </c>
      <c r="U62" s="49">
        <f>IF(A62="","",IF(T62="Cancelled","Cancelled",IF(S62&lt;=0.004,"Paid",IF(Q62&gt;0.004,IF(AND(C62&lt;&gt;"",TODAY()&gt;C62),"Overdue - part paid","Partially paid"),IF(AND(C62&lt;&gt;"",TODAY()&gt;C62),"Overdue",IF(T62="Draft","Draft","Unpaid"))))))</f>
        <v>0</v>
      </c>
      <c r="V62" s="31">
        <f>IF(OR(C62="",S62&lt;=0.004),"",MAX(0,TODAY()-C62))</f>
        <v>0</v>
      </c>
      <c r="W62" s="49">
        <f>IF(A62="","",IF(S62&lt;=0.004,"Paid",IF(V62="","Not due",IF(V62=0,"Current",IF(V62&lt;=30,"1-30 days",IF(V62&lt;=60,"31-60 days",IF(V62&lt;=90,"61-90 days","90+ days")))))))</f>
        <v>0</v>
      </c>
      <c r="X62" s="29">
        <f>IF(OR(V62="",V62=0),0,ROUND(S62*LateFeePct,2))</f>
        <v>0</v>
      </c>
      <c r="AA62" s="49">
        <f>IF(A62="","",IF(COUNTIF(Invoices!$A$5:$A$304,A62)&gt;1,"Duplicate number","OK"))</f>
        <v>0</v>
      </c>
      <c r="AC62" s="28">
        <f>IF(B62="","",TEXT(B62,"yyyy-mm"))</f>
        <v>0</v>
      </c>
      <c r="AD62" s="49">
        <f>IF(A62="","",IF(T62="Draft","Action - still a draft",IF(U62="Overdue","Overdue - chase payment",IF(U62="Overdue - part paid","Overdue - chase the balance",IF(AND(S62&gt;0.004,C62&lt;&gt;"",C62-TODAY()&lt;=ReminderLeadDays,C62&gt;=TODAY()),"Due soon - send a reminder","OK")))))</f>
        <v>0</v>
      </c>
    </row>
    <row r="63" spans="1:30">
      <c r="A63" s="46">
        <f>IF(D63="","",InvoicePrefix&amp;TEXT(InvoiceStartNo+ROW()-5,"0000"))</f>
        <v>0</v>
      </c>
      <c r="C63" s="21">
        <f>IF(B63="","",B63+PaymentTermsDays)</f>
        <v>0</v>
      </c>
      <c r="F63" s="29">
        <f>IF(E63="",0,IFERROR(INDEX(Bookings!$AI$5:$AI$404,MATCH(E63,Bookings!$A$5:$A$404,0)),0))</f>
        <v>0</v>
      </c>
      <c r="J63" s="29">
        <f>IF(D63="","",IF(E63&lt;&gt;"",F63,ROUND(IF(H63="",0,H63)*IF(I63="",0,I63),2)))</f>
        <v>0</v>
      </c>
      <c r="M63" s="29">
        <f>IF(D63="","",ROUND(J63+IF(K63="",0,K63)-IF(L63="",0,L63),2))</f>
        <v>0</v>
      </c>
      <c r="N63" s="29">
        <f>IF(M63="","",IF(TaxRegistered&lt;&gt;"Yes",0,IF(PricesIncludeTax="Yes",ROUND(M63-M63/(1+TaxRate),2),ROUND(M63*TaxRate,2))))</f>
        <v>0</v>
      </c>
      <c r="O63" s="29">
        <f>IF(M63="","",IF(PricesIncludeTax="Yes",M63,ROUND(M63+N63,2)))</f>
        <v>0</v>
      </c>
      <c r="P63" s="29">
        <f>IF(A63="","",SUMIFS(Payments!$E$5:$E$304,Payments!$D$5:$D$304,A63,Payments!$M$5:$M$304,"Yes"))</f>
        <v>0</v>
      </c>
      <c r="Q63" s="29">
        <f>IF(A63="","",SUMIFS(Payments!$K$5:$K$304,Payments!$D$5:$D$304,A63))</f>
        <v>0</v>
      </c>
      <c r="R63" s="29">
        <f>IF(A63="","",SUMIFS(Payments!$J$5:$J$304,Payments!$D$5:$D$304,A63))</f>
        <v>0</v>
      </c>
      <c r="S63" s="29">
        <f>IF(D63="","",ROUND(IF(T63="Cancelled",0,O63-Q63),2))</f>
        <v>0</v>
      </c>
      <c r="U63" s="49">
        <f>IF(A63="","",IF(T63="Cancelled","Cancelled",IF(S63&lt;=0.004,"Paid",IF(Q63&gt;0.004,IF(AND(C63&lt;&gt;"",TODAY()&gt;C63),"Overdue - part paid","Partially paid"),IF(AND(C63&lt;&gt;"",TODAY()&gt;C63),"Overdue",IF(T63="Draft","Draft","Unpaid"))))))</f>
        <v>0</v>
      </c>
      <c r="V63" s="31">
        <f>IF(OR(C63="",S63&lt;=0.004),"",MAX(0,TODAY()-C63))</f>
        <v>0</v>
      </c>
      <c r="W63" s="49">
        <f>IF(A63="","",IF(S63&lt;=0.004,"Paid",IF(V63="","Not due",IF(V63=0,"Current",IF(V63&lt;=30,"1-30 days",IF(V63&lt;=60,"31-60 days",IF(V63&lt;=90,"61-90 days","90+ days")))))))</f>
        <v>0</v>
      </c>
      <c r="X63" s="29">
        <f>IF(OR(V63="",V63=0),0,ROUND(S63*LateFeePct,2))</f>
        <v>0</v>
      </c>
      <c r="AA63" s="49">
        <f>IF(A63="","",IF(COUNTIF(Invoices!$A$5:$A$304,A63)&gt;1,"Duplicate number","OK"))</f>
        <v>0</v>
      </c>
      <c r="AC63" s="28">
        <f>IF(B63="","",TEXT(B63,"yyyy-mm"))</f>
        <v>0</v>
      </c>
      <c r="AD63" s="49">
        <f>IF(A63="","",IF(T63="Draft","Action - still a draft",IF(U63="Overdue","Overdue - chase payment",IF(U63="Overdue - part paid","Overdue - chase the balance",IF(AND(S63&gt;0.004,C63&lt;&gt;"",C63-TODAY()&lt;=ReminderLeadDays,C63&gt;=TODAY()),"Due soon - send a reminder","OK")))))</f>
        <v>0</v>
      </c>
    </row>
    <row r="64" spans="1:30">
      <c r="A64" s="46">
        <f>IF(D64="","",InvoicePrefix&amp;TEXT(InvoiceStartNo+ROW()-5,"0000"))</f>
        <v>0</v>
      </c>
      <c r="C64" s="21">
        <f>IF(B64="","",B64+PaymentTermsDays)</f>
        <v>0</v>
      </c>
      <c r="F64" s="29">
        <f>IF(E64="",0,IFERROR(INDEX(Bookings!$AI$5:$AI$404,MATCH(E64,Bookings!$A$5:$A$404,0)),0))</f>
        <v>0</v>
      </c>
      <c r="J64" s="29">
        <f>IF(D64="","",IF(E64&lt;&gt;"",F64,ROUND(IF(H64="",0,H64)*IF(I64="",0,I64),2)))</f>
        <v>0</v>
      </c>
      <c r="M64" s="29">
        <f>IF(D64="","",ROUND(J64+IF(K64="",0,K64)-IF(L64="",0,L64),2))</f>
        <v>0</v>
      </c>
      <c r="N64" s="29">
        <f>IF(M64="","",IF(TaxRegistered&lt;&gt;"Yes",0,IF(PricesIncludeTax="Yes",ROUND(M64-M64/(1+TaxRate),2),ROUND(M64*TaxRate,2))))</f>
        <v>0</v>
      </c>
      <c r="O64" s="29">
        <f>IF(M64="","",IF(PricesIncludeTax="Yes",M64,ROUND(M64+N64,2)))</f>
        <v>0</v>
      </c>
      <c r="P64" s="29">
        <f>IF(A64="","",SUMIFS(Payments!$E$5:$E$304,Payments!$D$5:$D$304,A64,Payments!$M$5:$M$304,"Yes"))</f>
        <v>0</v>
      </c>
      <c r="Q64" s="29">
        <f>IF(A64="","",SUMIFS(Payments!$K$5:$K$304,Payments!$D$5:$D$304,A64))</f>
        <v>0</v>
      </c>
      <c r="R64" s="29">
        <f>IF(A64="","",SUMIFS(Payments!$J$5:$J$304,Payments!$D$5:$D$304,A64))</f>
        <v>0</v>
      </c>
      <c r="S64" s="29">
        <f>IF(D64="","",ROUND(IF(T64="Cancelled",0,O64-Q64),2))</f>
        <v>0</v>
      </c>
      <c r="U64" s="49">
        <f>IF(A64="","",IF(T64="Cancelled","Cancelled",IF(S64&lt;=0.004,"Paid",IF(Q64&gt;0.004,IF(AND(C64&lt;&gt;"",TODAY()&gt;C64),"Overdue - part paid","Partially paid"),IF(AND(C64&lt;&gt;"",TODAY()&gt;C64),"Overdue",IF(T64="Draft","Draft","Unpaid"))))))</f>
        <v>0</v>
      </c>
      <c r="V64" s="31">
        <f>IF(OR(C64="",S64&lt;=0.004),"",MAX(0,TODAY()-C64))</f>
        <v>0</v>
      </c>
      <c r="W64" s="49">
        <f>IF(A64="","",IF(S64&lt;=0.004,"Paid",IF(V64="","Not due",IF(V64=0,"Current",IF(V64&lt;=30,"1-30 days",IF(V64&lt;=60,"31-60 days",IF(V64&lt;=90,"61-90 days","90+ days")))))))</f>
        <v>0</v>
      </c>
      <c r="X64" s="29">
        <f>IF(OR(V64="",V64=0),0,ROUND(S64*LateFeePct,2))</f>
        <v>0</v>
      </c>
      <c r="AA64" s="49">
        <f>IF(A64="","",IF(COUNTIF(Invoices!$A$5:$A$304,A64)&gt;1,"Duplicate number","OK"))</f>
        <v>0</v>
      </c>
      <c r="AC64" s="28">
        <f>IF(B64="","",TEXT(B64,"yyyy-mm"))</f>
        <v>0</v>
      </c>
      <c r="AD64" s="49">
        <f>IF(A64="","",IF(T64="Draft","Action - still a draft",IF(U64="Overdue","Overdue - chase payment",IF(U64="Overdue - part paid","Overdue - chase the balance",IF(AND(S64&gt;0.004,C64&lt;&gt;"",C64-TODAY()&lt;=ReminderLeadDays,C64&gt;=TODAY()),"Due soon - send a reminder","OK")))))</f>
        <v>0</v>
      </c>
    </row>
    <row r="65" spans="1:30">
      <c r="A65" s="46">
        <f>IF(D65="","",InvoicePrefix&amp;TEXT(InvoiceStartNo+ROW()-5,"0000"))</f>
        <v>0</v>
      </c>
      <c r="C65" s="21">
        <f>IF(B65="","",B65+PaymentTermsDays)</f>
        <v>0</v>
      </c>
      <c r="F65" s="29">
        <f>IF(E65="",0,IFERROR(INDEX(Bookings!$AI$5:$AI$404,MATCH(E65,Bookings!$A$5:$A$404,0)),0))</f>
        <v>0</v>
      </c>
      <c r="J65" s="29">
        <f>IF(D65="","",IF(E65&lt;&gt;"",F65,ROUND(IF(H65="",0,H65)*IF(I65="",0,I65),2)))</f>
        <v>0</v>
      </c>
      <c r="M65" s="29">
        <f>IF(D65="","",ROUND(J65+IF(K65="",0,K65)-IF(L65="",0,L65),2))</f>
        <v>0</v>
      </c>
      <c r="N65" s="29">
        <f>IF(M65="","",IF(TaxRegistered&lt;&gt;"Yes",0,IF(PricesIncludeTax="Yes",ROUND(M65-M65/(1+TaxRate),2),ROUND(M65*TaxRate,2))))</f>
        <v>0</v>
      </c>
      <c r="O65" s="29">
        <f>IF(M65="","",IF(PricesIncludeTax="Yes",M65,ROUND(M65+N65,2)))</f>
        <v>0</v>
      </c>
      <c r="P65" s="29">
        <f>IF(A65="","",SUMIFS(Payments!$E$5:$E$304,Payments!$D$5:$D$304,A65,Payments!$M$5:$M$304,"Yes"))</f>
        <v>0</v>
      </c>
      <c r="Q65" s="29">
        <f>IF(A65="","",SUMIFS(Payments!$K$5:$K$304,Payments!$D$5:$D$304,A65))</f>
        <v>0</v>
      </c>
      <c r="R65" s="29">
        <f>IF(A65="","",SUMIFS(Payments!$J$5:$J$304,Payments!$D$5:$D$304,A65))</f>
        <v>0</v>
      </c>
      <c r="S65" s="29">
        <f>IF(D65="","",ROUND(IF(T65="Cancelled",0,O65-Q65),2))</f>
        <v>0</v>
      </c>
      <c r="U65" s="49">
        <f>IF(A65="","",IF(T65="Cancelled","Cancelled",IF(S65&lt;=0.004,"Paid",IF(Q65&gt;0.004,IF(AND(C65&lt;&gt;"",TODAY()&gt;C65),"Overdue - part paid","Partially paid"),IF(AND(C65&lt;&gt;"",TODAY()&gt;C65),"Overdue",IF(T65="Draft","Draft","Unpaid"))))))</f>
        <v>0</v>
      </c>
      <c r="V65" s="31">
        <f>IF(OR(C65="",S65&lt;=0.004),"",MAX(0,TODAY()-C65))</f>
        <v>0</v>
      </c>
      <c r="W65" s="49">
        <f>IF(A65="","",IF(S65&lt;=0.004,"Paid",IF(V65="","Not due",IF(V65=0,"Current",IF(V65&lt;=30,"1-30 days",IF(V65&lt;=60,"31-60 days",IF(V65&lt;=90,"61-90 days","90+ days")))))))</f>
        <v>0</v>
      </c>
      <c r="X65" s="29">
        <f>IF(OR(V65="",V65=0),0,ROUND(S65*LateFeePct,2))</f>
        <v>0</v>
      </c>
      <c r="AA65" s="49">
        <f>IF(A65="","",IF(COUNTIF(Invoices!$A$5:$A$304,A65)&gt;1,"Duplicate number","OK"))</f>
        <v>0</v>
      </c>
      <c r="AC65" s="28">
        <f>IF(B65="","",TEXT(B65,"yyyy-mm"))</f>
        <v>0</v>
      </c>
      <c r="AD65" s="49">
        <f>IF(A65="","",IF(T65="Draft","Action - still a draft",IF(U65="Overdue","Overdue - chase payment",IF(U65="Overdue - part paid","Overdue - chase the balance",IF(AND(S65&gt;0.004,C65&lt;&gt;"",C65-TODAY()&lt;=ReminderLeadDays,C65&gt;=TODAY()),"Due soon - send a reminder","OK")))))</f>
        <v>0</v>
      </c>
    </row>
    <row r="66" spans="1:30">
      <c r="A66" s="46">
        <f>IF(D66="","",InvoicePrefix&amp;TEXT(InvoiceStartNo+ROW()-5,"0000"))</f>
        <v>0</v>
      </c>
      <c r="C66" s="21">
        <f>IF(B66="","",B66+PaymentTermsDays)</f>
        <v>0</v>
      </c>
      <c r="F66" s="29">
        <f>IF(E66="",0,IFERROR(INDEX(Bookings!$AI$5:$AI$404,MATCH(E66,Bookings!$A$5:$A$404,0)),0))</f>
        <v>0</v>
      </c>
      <c r="J66" s="29">
        <f>IF(D66="","",IF(E66&lt;&gt;"",F66,ROUND(IF(H66="",0,H66)*IF(I66="",0,I66),2)))</f>
        <v>0</v>
      </c>
      <c r="M66" s="29">
        <f>IF(D66="","",ROUND(J66+IF(K66="",0,K66)-IF(L66="",0,L66),2))</f>
        <v>0</v>
      </c>
      <c r="N66" s="29">
        <f>IF(M66="","",IF(TaxRegistered&lt;&gt;"Yes",0,IF(PricesIncludeTax="Yes",ROUND(M66-M66/(1+TaxRate),2),ROUND(M66*TaxRate,2))))</f>
        <v>0</v>
      </c>
      <c r="O66" s="29">
        <f>IF(M66="","",IF(PricesIncludeTax="Yes",M66,ROUND(M66+N66,2)))</f>
        <v>0</v>
      </c>
      <c r="P66" s="29">
        <f>IF(A66="","",SUMIFS(Payments!$E$5:$E$304,Payments!$D$5:$D$304,A66,Payments!$M$5:$M$304,"Yes"))</f>
        <v>0</v>
      </c>
      <c r="Q66" s="29">
        <f>IF(A66="","",SUMIFS(Payments!$K$5:$K$304,Payments!$D$5:$D$304,A66))</f>
        <v>0</v>
      </c>
      <c r="R66" s="29">
        <f>IF(A66="","",SUMIFS(Payments!$J$5:$J$304,Payments!$D$5:$D$304,A66))</f>
        <v>0</v>
      </c>
      <c r="S66" s="29">
        <f>IF(D66="","",ROUND(IF(T66="Cancelled",0,O66-Q66),2))</f>
        <v>0</v>
      </c>
      <c r="U66" s="49">
        <f>IF(A66="","",IF(T66="Cancelled","Cancelled",IF(S66&lt;=0.004,"Paid",IF(Q66&gt;0.004,IF(AND(C66&lt;&gt;"",TODAY()&gt;C66),"Overdue - part paid","Partially paid"),IF(AND(C66&lt;&gt;"",TODAY()&gt;C66),"Overdue",IF(T66="Draft","Draft","Unpaid"))))))</f>
        <v>0</v>
      </c>
      <c r="V66" s="31">
        <f>IF(OR(C66="",S66&lt;=0.004),"",MAX(0,TODAY()-C66))</f>
        <v>0</v>
      </c>
      <c r="W66" s="49">
        <f>IF(A66="","",IF(S66&lt;=0.004,"Paid",IF(V66="","Not due",IF(V66=0,"Current",IF(V66&lt;=30,"1-30 days",IF(V66&lt;=60,"31-60 days",IF(V66&lt;=90,"61-90 days","90+ days")))))))</f>
        <v>0</v>
      </c>
      <c r="X66" s="29">
        <f>IF(OR(V66="",V66=0),0,ROUND(S66*LateFeePct,2))</f>
        <v>0</v>
      </c>
      <c r="AA66" s="49">
        <f>IF(A66="","",IF(COUNTIF(Invoices!$A$5:$A$304,A66)&gt;1,"Duplicate number","OK"))</f>
        <v>0</v>
      </c>
      <c r="AC66" s="28">
        <f>IF(B66="","",TEXT(B66,"yyyy-mm"))</f>
        <v>0</v>
      </c>
      <c r="AD66" s="49">
        <f>IF(A66="","",IF(T66="Draft","Action - still a draft",IF(U66="Overdue","Overdue - chase payment",IF(U66="Overdue - part paid","Overdue - chase the balance",IF(AND(S66&gt;0.004,C66&lt;&gt;"",C66-TODAY()&lt;=ReminderLeadDays,C66&gt;=TODAY()),"Due soon - send a reminder","OK")))))</f>
        <v>0</v>
      </c>
    </row>
    <row r="67" spans="1:30">
      <c r="A67" s="46">
        <f>IF(D67="","",InvoicePrefix&amp;TEXT(InvoiceStartNo+ROW()-5,"0000"))</f>
        <v>0</v>
      </c>
      <c r="C67" s="21">
        <f>IF(B67="","",B67+PaymentTermsDays)</f>
        <v>0</v>
      </c>
      <c r="F67" s="29">
        <f>IF(E67="",0,IFERROR(INDEX(Bookings!$AI$5:$AI$404,MATCH(E67,Bookings!$A$5:$A$404,0)),0))</f>
        <v>0</v>
      </c>
      <c r="J67" s="29">
        <f>IF(D67="","",IF(E67&lt;&gt;"",F67,ROUND(IF(H67="",0,H67)*IF(I67="",0,I67),2)))</f>
        <v>0</v>
      </c>
      <c r="M67" s="29">
        <f>IF(D67="","",ROUND(J67+IF(K67="",0,K67)-IF(L67="",0,L67),2))</f>
        <v>0</v>
      </c>
      <c r="N67" s="29">
        <f>IF(M67="","",IF(TaxRegistered&lt;&gt;"Yes",0,IF(PricesIncludeTax="Yes",ROUND(M67-M67/(1+TaxRate),2),ROUND(M67*TaxRate,2))))</f>
        <v>0</v>
      </c>
      <c r="O67" s="29">
        <f>IF(M67="","",IF(PricesIncludeTax="Yes",M67,ROUND(M67+N67,2)))</f>
        <v>0</v>
      </c>
      <c r="P67" s="29">
        <f>IF(A67="","",SUMIFS(Payments!$E$5:$E$304,Payments!$D$5:$D$304,A67,Payments!$M$5:$M$304,"Yes"))</f>
        <v>0</v>
      </c>
      <c r="Q67" s="29">
        <f>IF(A67="","",SUMIFS(Payments!$K$5:$K$304,Payments!$D$5:$D$304,A67))</f>
        <v>0</v>
      </c>
      <c r="R67" s="29">
        <f>IF(A67="","",SUMIFS(Payments!$J$5:$J$304,Payments!$D$5:$D$304,A67))</f>
        <v>0</v>
      </c>
      <c r="S67" s="29">
        <f>IF(D67="","",ROUND(IF(T67="Cancelled",0,O67-Q67),2))</f>
        <v>0</v>
      </c>
      <c r="U67" s="49">
        <f>IF(A67="","",IF(T67="Cancelled","Cancelled",IF(S67&lt;=0.004,"Paid",IF(Q67&gt;0.004,IF(AND(C67&lt;&gt;"",TODAY()&gt;C67),"Overdue - part paid","Partially paid"),IF(AND(C67&lt;&gt;"",TODAY()&gt;C67),"Overdue",IF(T67="Draft","Draft","Unpaid"))))))</f>
        <v>0</v>
      </c>
      <c r="V67" s="31">
        <f>IF(OR(C67="",S67&lt;=0.004),"",MAX(0,TODAY()-C67))</f>
        <v>0</v>
      </c>
      <c r="W67" s="49">
        <f>IF(A67="","",IF(S67&lt;=0.004,"Paid",IF(V67="","Not due",IF(V67=0,"Current",IF(V67&lt;=30,"1-30 days",IF(V67&lt;=60,"31-60 days",IF(V67&lt;=90,"61-90 days","90+ days")))))))</f>
        <v>0</v>
      </c>
      <c r="X67" s="29">
        <f>IF(OR(V67="",V67=0),0,ROUND(S67*LateFeePct,2))</f>
        <v>0</v>
      </c>
      <c r="AA67" s="49">
        <f>IF(A67="","",IF(COUNTIF(Invoices!$A$5:$A$304,A67)&gt;1,"Duplicate number","OK"))</f>
        <v>0</v>
      </c>
      <c r="AC67" s="28">
        <f>IF(B67="","",TEXT(B67,"yyyy-mm"))</f>
        <v>0</v>
      </c>
      <c r="AD67" s="49">
        <f>IF(A67="","",IF(T67="Draft","Action - still a draft",IF(U67="Overdue","Overdue - chase payment",IF(U67="Overdue - part paid","Overdue - chase the balance",IF(AND(S67&gt;0.004,C67&lt;&gt;"",C67-TODAY()&lt;=ReminderLeadDays,C67&gt;=TODAY()),"Due soon - send a reminder","OK")))))</f>
        <v>0</v>
      </c>
    </row>
    <row r="68" spans="1:30">
      <c r="A68" s="46">
        <f>IF(D68="","",InvoicePrefix&amp;TEXT(InvoiceStartNo+ROW()-5,"0000"))</f>
        <v>0</v>
      </c>
      <c r="C68" s="21">
        <f>IF(B68="","",B68+PaymentTermsDays)</f>
        <v>0</v>
      </c>
      <c r="F68" s="29">
        <f>IF(E68="",0,IFERROR(INDEX(Bookings!$AI$5:$AI$404,MATCH(E68,Bookings!$A$5:$A$404,0)),0))</f>
        <v>0</v>
      </c>
      <c r="J68" s="29">
        <f>IF(D68="","",IF(E68&lt;&gt;"",F68,ROUND(IF(H68="",0,H68)*IF(I68="",0,I68),2)))</f>
        <v>0</v>
      </c>
      <c r="M68" s="29">
        <f>IF(D68="","",ROUND(J68+IF(K68="",0,K68)-IF(L68="",0,L68),2))</f>
        <v>0</v>
      </c>
      <c r="N68" s="29">
        <f>IF(M68="","",IF(TaxRegistered&lt;&gt;"Yes",0,IF(PricesIncludeTax="Yes",ROUND(M68-M68/(1+TaxRate),2),ROUND(M68*TaxRate,2))))</f>
        <v>0</v>
      </c>
      <c r="O68" s="29">
        <f>IF(M68="","",IF(PricesIncludeTax="Yes",M68,ROUND(M68+N68,2)))</f>
        <v>0</v>
      </c>
      <c r="P68" s="29">
        <f>IF(A68="","",SUMIFS(Payments!$E$5:$E$304,Payments!$D$5:$D$304,A68,Payments!$M$5:$M$304,"Yes"))</f>
        <v>0</v>
      </c>
      <c r="Q68" s="29">
        <f>IF(A68="","",SUMIFS(Payments!$K$5:$K$304,Payments!$D$5:$D$304,A68))</f>
        <v>0</v>
      </c>
      <c r="R68" s="29">
        <f>IF(A68="","",SUMIFS(Payments!$J$5:$J$304,Payments!$D$5:$D$304,A68))</f>
        <v>0</v>
      </c>
      <c r="S68" s="29">
        <f>IF(D68="","",ROUND(IF(T68="Cancelled",0,O68-Q68),2))</f>
        <v>0</v>
      </c>
      <c r="U68" s="49">
        <f>IF(A68="","",IF(T68="Cancelled","Cancelled",IF(S68&lt;=0.004,"Paid",IF(Q68&gt;0.004,IF(AND(C68&lt;&gt;"",TODAY()&gt;C68),"Overdue - part paid","Partially paid"),IF(AND(C68&lt;&gt;"",TODAY()&gt;C68),"Overdue",IF(T68="Draft","Draft","Unpaid"))))))</f>
        <v>0</v>
      </c>
      <c r="V68" s="31">
        <f>IF(OR(C68="",S68&lt;=0.004),"",MAX(0,TODAY()-C68))</f>
        <v>0</v>
      </c>
      <c r="W68" s="49">
        <f>IF(A68="","",IF(S68&lt;=0.004,"Paid",IF(V68="","Not due",IF(V68=0,"Current",IF(V68&lt;=30,"1-30 days",IF(V68&lt;=60,"31-60 days",IF(V68&lt;=90,"61-90 days","90+ days")))))))</f>
        <v>0</v>
      </c>
      <c r="X68" s="29">
        <f>IF(OR(V68="",V68=0),0,ROUND(S68*LateFeePct,2))</f>
        <v>0</v>
      </c>
      <c r="AA68" s="49">
        <f>IF(A68="","",IF(COUNTIF(Invoices!$A$5:$A$304,A68)&gt;1,"Duplicate number","OK"))</f>
        <v>0</v>
      </c>
      <c r="AC68" s="28">
        <f>IF(B68="","",TEXT(B68,"yyyy-mm"))</f>
        <v>0</v>
      </c>
      <c r="AD68" s="49">
        <f>IF(A68="","",IF(T68="Draft","Action - still a draft",IF(U68="Overdue","Overdue - chase payment",IF(U68="Overdue - part paid","Overdue - chase the balance",IF(AND(S68&gt;0.004,C68&lt;&gt;"",C68-TODAY()&lt;=ReminderLeadDays,C68&gt;=TODAY()),"Due soon - send a reminder","OK")))))</f>
        <v>0</v>
      </c>
    </row>
    <row r="69" spans="1:30">
      <c r="A69" s="46">
        <f>IF(D69="","",InvoicePrefix&amp;TEXT(InvoiceStartNo+ROW()-5,"0000"))</f>
        <v>0</v>
      </c>
      <c r="C69" s="21">
        <f>IF(B69="","",B69+PaymentTermsDays)</f>
        <v>0</v>
      </c>
      <c r="F69" s="29">
        <f>IF(E69="",0,IFERROR(INDEX(Bookings!$AI$5:$AI$404,MATCH(E69,Bookings!$A$5:$A$404,0)),0))</f>
        <v>0</v>
      </c>
      <c r="J69" s="29">
        <f>IF(D69="","",IF(E69&lt;&gt;"",F69,ROUND(IF(H69="",0,H69)*IF(I69="",0,I69),2)))</f>
        <v>0</v>
      </c>
      <c r="M69" s="29">
        <f>IF(D69="","",ROUND(J69+IF(K69="",0,K69)-IF(L69="",0,L69),2))</f>
        <v>0</v>
      </c>
      <c r="N69" s="29">
        <f>IF(M69="","",IF(TaxRegistered&lt;&gt;"Yes",0,IF(PricesIncludeTax="Yes",ROUND(M69-M69/(1+TaxRate),2),ROUND(M69*TaxRate,2))))</f>
        <v>0</v>
      </c>
      <c r="O69" s="29">
        <f>IF(M69="","",IF(PricesIncludeTax="Yes",M69,ROUND(M69+N69,2)))</f>
        <v>0</v>
      </c>
      <c r="P69" s="29">
        <f>IF(A69="","",SUMIFS(Payments!$E$5:$E$304,Payments!$D$5:$D$304,A69,Payments!$M$5:$M$304,"Yes"))</f>
        <v>0</v>
      </c>
      <c r="Q69" s="29">
        <f>IF(A69="","",SUMIFS(Payments!$K$5:$K$304,Payments!$D$5:$D$304,A69))</f>
        <v>0</v>
      </c>
      <c r="R69" s="29">
        <f>IF(A69="","",SUMIFS(Payments!$J$5:$J$304,Payments!$D$5:$D$304,A69))</f>
        <v>0</v>
      </c>
      <c r="S69" s="29">
        <f>IF(D69="","",ROUND(IF(T69="Cancelled",0,O69-Q69),2))</f>
        <v>0</v>
      </c>
      <c r="U69" s="49">
        <f>IF(A69="","",IF(T69="Cancelled","Cancelled",IF(S69&lt;=0.004,"Paid",IF(Q69&gt;0.004,IF(AND(C69&lt;&gt;"",TODAY()&gt;C69),"Overdue - part paid","Partially paid"),IF(AND(C69&lt;&gt;"",TODAY()&gt;C69),"Overdue",IF(T69="Draft","Draft","Unpaid"))))))</f>
        <v>0</v>
      </c>
      <c r="V69" s="31">
        <f>IF(OR(C69="",S69&lt;=0.004),"",MAX(0,TODAY()-C69))</f>
        <v>0</v>
      </c>
      <c r="W69" s="49">
        <f>IF(A69="","",IF(S69&lt;=0.004,"Paid",IF(V69="","Not due",IF(V69=0,"Current",IF(V69&lt;=30,"1-30 days",IF(V69&lt;=60,"31-60 days",IF(V69&lt;=90,"61-90 days","90+ days")))))))</f>
        <v>0</v>
      </c>
      <c r="X69" s="29">
        <f>IF(OR(V69="",V69=0),0,ROUND(S69*LateFeePct,2))</f>
        <v>0</v>
      </c>
      <c r="AA69" s="49">
        <f>IF(A69="","",IF(COUNTIF(Invoices!$A$5:$A$304,A69)&gt;1,"Duplicate number","OK"))</f>
        <v>0</v>
      </c>
      <c r="AC69" s="28">
        <f>IF(B69="","",TEXT(B69,"yyyy-mm"))</f>
        <v>0</v>
      </c>
      <c r="AD69" s="49">
        <f>IF(A69="","",IF(T69="Draft","Action - still a draft",IF(U69="Overdue","Overdue - chase payment",IF(U69="Overdue - part paid","Overdue - chase the balance",IF(AND(S69&gt;0.004,C69&lt;&gt;"",C69-TODAY()&lt;=ReminderLeadDays,C69&gt;=TODAY()),"Due soon - send a reminder","OK")))))</f>
        <v>0</v>
      </c>
    </row>
    <row r="70" spans="1:30">
      <c r="A70" s="46">
        <f>IF(D70="","",InvoicePrefix&amp;TEXT(InvoiceStartNo+ROW()-5,"0000"))</f>
        <v>0</v>
      </c>
      <c r="C70" s="21">
        <f>IF(B70="","",B70+PaymentTermsDays)</f>
        <v>0</v>
      </c>
      <c r="F70" s="29">
        <f>IF(E70="",0,IFERROR(INDEX(Bookings!$AI$5:$AI$404,MATCH(E70,Bookings!$A$5:$A$404,0)),0))</f>
        <v>0</v>
      </c>
      <c r="J70" s="29">
        <f>IF(D70="","",IF(E70&lt;&gt;"",F70,ROUND(IF(H70="",0,H70)*IF(I70="",0,I70),2)))</f>
        <v>0</v>
      </c>
      <c r="M70" s="29">
        <f>IF(D70="","",ROUND(J70+IF(K70="",0,K70)-IF(L70="",0,L70),2))</f>
        <v>0</v>
      </c>
      <c r="N70" s="29">
        <f>IF(M70="","",IF(TaxRegistered&lt;&gt;"Yes",0,IF(PricesIncludeTax="Yes",ROUND(M70-M70/(1+TaxRate),2),ROUND(M70*TaxRate,2))))</f>
        <v>0</v>
      </c>
      <c r="O70" s="29">
        <f>IF(M70="","",IF(PricesIncludeTax="Yes",M70,ROUND(M70+N70,2)))</f>
        <v>0</v>
      </c>
      <c r="P70" s="29">
        <f>IF(A70="","",SUMIFS(Payments!$E$5:$E$304,Payments!$D$5:$D$304,A70,Payments!$M$5:$M$304,"Yes"))</f>
        <v>0</v>
      </c>
      <c r="Q70" s="29">
        <f>IF(A70="","",SUMIFS(Payments!$K$5:$K$304,Payments!$D$5:$D$304,A70))</f>
        <v>0</v>
      </c>
      <c r="R70" s="29">
        <f>IF(A70="","",SUMIFS(Payments!$J$5:$J$304,Payments!$D$5:$D$304,A70))</f>
        <v>0</v>
      </c>
      <c r="S70" s="29">
        <f>IF(D70="","",ROUND(IF(T70="Cancelled",0,O70-Q70),2))</f>
        <v>0</v>
      </c>
      <c r="U70" s="49">
        <f>IF(A70="","",IF(T70="Cancelled","Cancelled",IF(S70&lt;=0.004,"Paid",IF(Q70&gt;0.004,IF(AND(C70&lt;&gt;"",TODAY()&gt;C70),"Overdue - part paid","Partially paid"),IF(AND(C70&lt;&gt;"",TODAY()&gt;C70),"Overdue",IF(T70="Draft","Draft","Unpaid"))))))</f>
        <v>0</v>
      </c>
      <c r="V70" s="31">
        <f>IF(OR(C70="",S70&lt;=0.004),"",MAX(0,TODAY()-C70))</f>
        <v>0</v>
      </c>
      <c r="W70" s="49">
        <f>IF(A70="","",IF(S70&lt;=0.004,"Paid",IF(V70="","Not due",IF(V70=0,"Current",IF(V70&lt;=30,"1-30 days",IF(V70&lt;=60,"31-60 days",IF(V70&lt;=90,"61-90 days","90+ days")))))))</f>
        <v>0</v>
      </c>
      <c r="X70" s="29">
        <f>IF(OR(V70="",V70=0),0,ROUND(S70*LateFeePct,2))</f>
        <v>0</v>
      </c>
      <c r="AA70" s="49">
        <f>IF(A70="","",IF(COUNTIF(Invoices!$A$5:$A$304,A70)&gt;1,"Duplicate number","OK"))</f>
        <v>0</v>
      </c>
      <c r="AC70" s="28">
        <f>IF(B70="","",TEXT(B70,"yyyy-mm"))</f>
        <v>0</v>
      </c>
      <c r="AD70" s="49">
        <f>IF(A70="","",IF(T70="Draft","Action - still a draft",IF(U70="Overdue","Overdue - chase payment",IF(U70="Overdue - part paid","Overdue - chase the balance",IF(AND(S70&gt;0.004,C70&lt;&gt;"",C70-TODAY()&lt;=ReminderLeadDays,C70&gt;=TODAY()),"Due soon - send a reminder","OK")))))</f>
        <v>0</v>
      </c>
    </row>
    <row r="71" spans="1:30">
      <c r="A71" s="46">
        <f>IF(D71="","",InvoicePrefix&amp;TEXT(InvoiceStartNo+ROW()-5,"0000"))</f>
        <v>0</v>
      </c>
      <c r="C71" s="21">
        <f>IF(B71="","",B71+PaymentTermsDays)</f>
        <v>0</v>
      </c>
      <c r="F71" s="29">
        <f>IF(E71="",0,IFERROR(INDEX(Bookings!$AI$5:$AI$404,MATCH(E71,Bookings!$A$5:$A$404,0)),0))</f>
        <v>0</v>
      </c>
      <c r="J71" s="29">
        <f>IF(D71="","",IF(E71&lt;&gt;"",F71,ROUND(IF(H71="",0,H71)*IF(I71="",0,I71),2)))</f>
        <v>0</v>
      </c>
      <c r="M71" s="29">
        <f>IF(D71="","",ROUND(J71+IF(K71="",0,K71)-IF(L71="",0,L71),2))</f>
        <v>0</v>
      </c>
      <c r="N71" s="29">
        <f>IF(M71="","",IF(TaxRegistered&lt;&gt;"Yes",0,IF(PricesIncludeTax="Yes",ROUND(M71-M71/(1+TaxRate),2),ROUND(M71*TaxRate,2))))</f>
        <v>0</v>
      </c>
      <c r="O71" s="29">
        <f>IF(M71="","",IF(PricesIncludeTax="Yes",M71,ROUND(M71+N71,2)))</f>
        <v>0</v>
      </c>
      <c r="P71" s="29">
        <f>IF(A71="","",SUMIFS(Payments!$E$5:$E$304,Payments!$D$5:$D$304,A71,Payments!$M$5:$M$304,"Yes"))</f>
        <v>0</v>
      </c>
      <c r="Q71" s="29">
        <f>IF(A71="","",SUMIFS(Payments!$K$5:$K$304,Payments!$D$5:$D$304,A71))</f>
        <v>0</v>
      </c>
      <c r="R71" s="29">
        <f>IF(A71="","",SUMIFS(Payments!$J$5:$J$304,Payments!$D$5:$D$304,A71))</f>
        <v>0</v>
      </c>
      <c r="S71" s="29">
        <f>IF(D71="","",ROUND(IF(T71="Cancelled",0,O71-Q71),2))</f>
        <v>0</v>
      </c>
      <c r="U71" s="49">
        <f>IF(A71="","",IF(T71="Cancelled","Cancelled",IF(S71&lt;=0.004,"Paid",IF(Q71&gt;0.004,IF(AND(C71&lt;&gt;"",TODAY()&gt;C71),"Overdue - part paid","Partially paid"),IF(AND(C71&lt;&gt;"",TODAY()&gt;C71),"Overdue",IF(T71="Draft","Draft","Unpaid"))))))</f>
        <v>0</v>
      </c>
      <c r="V71" s="31">
        <f>IF(OR(C71="",S71&lt;=0.004),"",MAX(0,TODAY()-C71))</f>
        <v>0</v>
      </c>
      <c r="W71" s="49">
        <f>IF(A71="","",IF(S71&lt;=0.004,"Paid",IF(V71="","Not due",IF(V71=0,"Current",IF(V71&lt;=30,"1-30 days",IF(V71&lt;=60,"31-60 days",IF(V71&lt;=90,"61-90 days","90+ days")))))))</f>
        <v>0</v>
      </c>
      <c r="X71" s="29">
        <f>IF(OR(V71="",V71=0),0,ROUND(S71*LateFeePct,2))</f>
        <v>0</v>
      </c>
      <c r="AA71" s="49">
        <f>IF(A71="","",IF(COUNTIF(Invoices!$A$5:$A$304,A71)&gt;1,"Duplicate number","OK"))</f>
        <v>0</v>
      </c>
      <c r="AC71" s="28">
        <f>IF(B71="","",TEXT(B71,"yyyy-mm"))</f>
        <v>0</v>
      </c>
      <c r="AD71" s="49">
        <f>IF(A71="","",IF(T71="Draft","Action - still a draft",IF(U71="Overdue","Overdue - chase payment",IF(U71="Overdue - part paid","Overdue - chase the balance",IF(AND(S71&gt;0.004,C71&lt;&gt;"",C71-TODAY()&lt;=ReminderLeadDays,C71&gt;=TODAY()),"Due soon - send a reminder","OK")))))</f>
        <v>0</v>
      </c>
    </row>
    <row r="72" spans="1:30">
      <c r="A72" s="46">
        <f>IF(D72="","",InvoicePrefix&amp;TEXT(InvoiceStartNo+ROW()-5,"0000"))</f>
        <v>0</v>
      </c>
      <c r="C72" s="21">
        <f>IF(B72="","",B72+PaymentTermsDays)</f>
        <v>0</v>
      </c>
      <c r="F72" s="29">
        <f>IF(E72="",0,IFERROR(INDEX(Bookings!$AI$5:$AI$404,MATCH(E72,Bookings!$A$5:$A$404,0)),0))</f>
        <v>0</v>
      </c>
      <c r="J72" s="29">
        <f>IF(D72="","",IF(E72&lt;&gt;"",F72,ROUND(IF(H72="",0,H72)*IF(I72="",0,I72),2)))</f>
        <v>0</v>
      </c>
      <c r="M72" s="29">
        <f>IF(D72="","",ROUND(J72+IF(K72="",0,K72)-IF(L72="",0,L72),2))</f>
        <v>0</v>
      </c>
      <c r="N72" s="29">
        <f>IF(M72="","",IF(TaxRegistered&lt;&gt;"Yes",0,IF(PricesIncludeTax="Yes",ROUND(M72-M72/(1+TaxRate),2),ROUND(M72*TaxRate,2))))</f>
        <v>0</v>
      </c>
      <c r="O72" s="29">
        <f>IF(M72="","",IF(PricesIncludeTax="Yes",M72,ROUND(M72+N72,2)))</f>
        <v>0</v>
      </c>
      <c r="P72" s="29">
        <f>IF(A72="","",SUMIFS(Payments!$E$5:$E$304,Payments!$D$5:$D$304,A72,Payments!$M$5:$M$304,"Yes"))</f>
        <v>0</v>
      </c>
      <c r="Q72" s="29">
        <f>IF(A72="","",SUMIFS(Payments!$K$5:$K$304,Payments!$D$5:$D$304,A72))</f>
        <v>0</v>
      </c>
      <c r="R72" s="29">
        <f>IF(A72="","",SUMIFS(Payments!$J$5:$J$304,Payments!$D$5:$D$304,A72))</f>
        <v>0</v>
      </c>
      <c r="S72" s="29">
        <f>IF(D72="","",ROUND(IF(T72="Cancelled",0,O72-Q72),2))</f>
        <v>0</v>
      </c>
      <c r="U72" s="49">
        <f>IF(A72="","",IF(T72="Cancelled","Cancelled",IF(S72&lt;=0.004,"Paid",IF(Q72&gt;0.004,IF(AND(C72&lt;&gt;"",TODAY()&gt;C72),"Overdue - part paid","Partially paid"),IF(AND(C72&lt;&gt;"",TODAY()&gt;C72),"Overdue",IF(T72="Draft","Draft","Unpaid"))))))</f>
        <v>0</v>
      </c>
      <c r="V72" s="31">
        <f>IF(OR(C72="",S72&lt;=0.004),"",MAX(0,TODAY()-C72))</f>
        <v>0</v>
      </c>
      <c r="W72" s="49">
        <f>IF(A72="","",IF(S72&lt;=0.004,"Paid",IF(V72="","Not due",IF(V72=0,"Current",IF(V72&lt;=30,"1-30 days",IF(V72&lt;=60,"31-60 days",IF(V72&lt;=90,"61-90 days","90+ days")))))))</f>
        <v>0</v>
      </c>
      <c r="X72" s="29">
        <f>IF(OR(V72="",V72=0),0,ROUND(S72*LateFeePct,2))</f>
        <v>0</v>
      </c>
      <c r="AA72" s="49">
        <f>IF(A72="","",IF(COUNTIF(Invoices!$A$5:$A$304,A72)&gt;1,"Duplicate number","OK"))</f>
        <v>0</v>
      </c>
      <c r="AC72" s="28">
        <f>IF(B72="","",TEXT(B72,"yyyy-mm"))</f>
        <v>0</v>
      </c>
      <c r="AD72" s="49">
        <f>IF(A72="","",IF(T72="Draft","Action - still a draft",IF(U72="Overdue","Overdue - chase payment",IF(U72="Overdue - part paid","Overdue - chase the balance",IF(AND(S72&gt;0.004,C72&lt;&gt;"",C72-TODAY()&lt;=ReminderLeadDays,C72&gt;=TODAY()),"Due soon - send a reminder","OK")))))</f>
        <v>0</v>
      </c>
    </row>
    <row r="73" spans="1:30">
      <c r="A73" s="46">
        <f>IF(D73="","",InvoicePrefix&amp;TEXT(InvoiceStartNo+ROW()-5,"0000"))</f>
        <v>0</v>
      </c>
      <c r="C73" s="21">
        <f>IF(B73="","",B73+PaymentTermsDays)</f>
        <v>0</v>
      </c>
      <c r="F73" s="29">
        <f>IF(E73="",0,IFERROR(INDEX(Bookings!$AI$5:$AI$404,MATCH(E73,Bookings!$A$5:$A$404,0)),0))</f>
        <v>0</v>
      </c>
      <c r="J73" s="29">
        <f>IF(D73="","",IF(E73&lt;&gt;"",F73,ROUND(IF(H73="",0,H73)*IF(I73="",0,I73),2)))</f>
        <v>0</v>
      </c>
      <c r="M73" s="29">
        <f>IF(D73="","",ROUND(J73+IF(K73="",0,K73)-IF(L73="",0,L73),2))</f>
        <v>0</v>
      </c>
      <c r="N73" s="29">
        <f>IF(M73="","",IF(TaxRegistered&lt;&gt;"Yes",0,IF(PricesIncludeTax="Yes",ROUND(M73-M73/(1+TaxRate),2),ROUND(M73*TaxRate,2))))</f>
        <v>0</v>
      </c>
      <c r="O73" s="29">
        <f>IF(M73="","",IF(PricesIncludeTax="Yes",M73,ROUND(M73+N73,2)))</f>
        <v>0</v>
      </c>
      <c r="P73" s="29">
        <f>IF(A73="","",SUMIFS(Payments!$E$5:$E$304,Payments!$D$5:$D$304,A73,Payments!$M$5:$M$304,"Yes"))</f>
        <v>0</v>
      </c>
      <c r="Q73" s="29">
        <f>IF(A73="","",SUMIFS(Payments!$K$5:$K$304,Payments!$D$5:$D$304,A73))</f>
        <v>0</v>
      </c>
      <c r="R73" s="29">
        <f>IF(A73="","",SUMIFS(Payments!$J$5:$J$304,Payments!$D$5:$D$304,A73))</f>
        <v>0</v>
      </c>
      <c r="S73" s="29">
        <f>IF(D73="","",ROUND(IF(T73="Cancelled",0,O73-Q73),2))</f>
        <v>0</v>
      </c>
      <c r="U73" s="49">
        <f>IF(A73="","",IF(T73="Cancelled","Cancelled",IF(S73&lt;=0.004,"Paid",IF(Q73&gt;0.004,IF(AND(C73&lt;&gt;"",TODAY()&gt;C73),"Overdue - part paid","Partially paid"),IF(AND(C73&lt;&gt;"",TODAY()&gt;C73),"Overdue",IF(T73="Draft","Draft","Unpaid"))))))</f>
        <v>0</v>
      </c>
      <c r="V73" s="31">
        <f>IF(OR(C73="",S73&lt;=0.004),"",MAX(0,TODAY()-C73))</f>
        <v>0</v>
      </c>
      <c r="W73" s="49">
        <f>IF(A73="","",IF(S73&lt;=0.004,"Paid",IF(V73="","Not due",IF(V73=0,"Current",IF(V73&lt;=30,"1-30 days",IF(V73&lt;=60,"31-60 days",IF(V73&lt;=90,"61-90 days","90+ days")))))))</f>
        <v>0</v>
      </c>
      <c r="X73" s="29">
        <f>IF(OR(V73="",V73=0),0,ROUND(S73*LateFeePct,2))</f>
        <v>0</v>
      </c>
      <c r="AA73" s="49">
        <f>IF(A73="","",IF(COUNTIF(Invoices!$A$5:$A$304,A73)&gt;1,"Duplicate number","OK"))</f>
        <v>0</v>
      </c>
      <c r="AC73" s="28">
        <f>IF(B73="","",TEXT(B73,"yyyy-mm"))</f>
        <v>0</v>
      </c>
      <c r="AD73" s="49">
        <f>IF(A73="","",IF(T73="Draft","Action - still a draft",IF(U73="Overdue","Overdue - chase payment",IF(U73="Overdue - part paid","Overdue - chase the balance",IF(AND(S73&gt;0.004,C73&lt;&gt;"",C73-TODAY()&lt;=ReminderLeadDays,C73&gt;=TODAY()),"Due soon - send a reminder","OK")))))</f>
        <v>0</v>
      </c>
    </row>
    <row r="74" spans="1:30">
      <c r="A74" s="46">
        <f>IF(D74="","",InvoicePrefix&amp;TEXT(InvoiceStartNo+ROW()-5,"0000"))</f>
        <v>0</v>
      </c>
      <c r="C74" s="21">
        <f>IF(B74="","",B74+PaymentTermsDays)</f>
        <v>0</v>
      </c>
      <c r="F74" s="29">
        <f>IF(E74="",0,IFERROR(INDEX(Bookings!$AI$5:$AI$404,MATCH(E74,Bookings!$A$5:$A$404,0)),0))</f>
        <v>0</v>
      </c>
      <c r="J74" s="29">
        <f>IF(D74="","",IF(E74&lt;&gt;"",F74,ROUND(IF(H74="",0,H74)*IF(I74="",0,I74),2)))</f>
        <v>0</v>
      </c>
      <c r="M74" s="29">
        <f>IF(D74="","",ROUND(J74+IF(K74="",0,K74)-IF(L74="",0,L74),2))</f>
        <v>0</v>
      </c>
      <c r="N74" s="29">
        <f>IF(M74="","",IF(TaxRegistered&lt;&gt;"Yes",0,IF(PricesIncludeTax="Yes",ROUND(M74-M74/(1+TaxRate),2),ROUND(M74*TaxRate,2))))</f>
        <v>0</v>
      </c>
      <c r="O74" s="29">
        <f>IF(M74="","",IF(PricesIncludeTax="Yes",M74,ROUND(M74+N74,2)))</f>
        <v>0</v>
      </c>
      <c r="P74" s="29">
        <f>IF(A74="","",SUMIFS(Payments!$E$5:$E$304,Payments!$D$5:$D$304,A74,Payments!$M$5:$M$304,"Yes"))</f>
        <v>0</v>
      </c>
      <c r="Q74" s="29">
        <f>IF(A74="","",SUMIFS(Payments!$K$5:$K$304,Payments!$D$5:$D$304,A74))</f>
        <v>0</v>
      </c>
      <c r="R74" s="29">
        <f>IF(A74="","",SUMIFS(Payments!$J$5:$J$304,Payments!$D$5:$D$304,A74))</f>
        <v>0</v>
      </c>
      <c r="S74" s="29">
        <f>IF(D74="","",ROUND(IF(T74="Cancelled",0,O74-Q74),2))</f>
        <v>0</v>
      </c>
      <c r="U74" s="49">
        <f>IF(A74="","",IF(T74="Cancelled","Cancelled",IF(S74&lt;=0.004,"Paid",IF(Q74&gt;0.004,IF(AND(C74&lt;&gt;"",TODAY()&gt;C74),"Overdue - part paid","Partially paid"),IF(AND(C74&lt;&gt;"",TODAY()&gt;C74),"Overdue",IF(T74="Draft","Draft","Unpaid"))))))</f>
        <v>0</v>
      </c>
      <c r="V74" s="31">
        <f>IF(OR(C74="",S74&lt;=0.004),"",MAX(0,TODAY()-C74))</f>
        <v>0</v>
      </c>
      <c r="W74" s="49">
        <f>IF(A74="","",IF(S74&lt;=0.004,"Paid",IF(V74="","Not due",IF(V74=0,"Current",IF(V74&lt;=30,"1-30 days",IF(V74&lt;=60,"31-60 days",IF(V74&lt;=90,"61-90 days","90+ days")))))))</f>
        <v>0</v>
      </c>
      <c r="X74" s="29">
        <f>IF(OR(V74="",V74=0),0,ROUND(S74*LateFeePct,2))</f>
        <v>0</v>
      </c>
      <c r="AA74" s="49">
        <f>IF(A74="","",IF(COUNTIF(Invoices!$A$5:$A$304,A74)&gt;1,"Duplicate number","OK"))</f>
        <v>0</v>
      </c>
      <c r="AC74" s="28">
        <f>IF(B74="","",TEXT(B74,"yyyy-mm"))</f>
        <v>0</v>
      </c>
      <c r="AD74" s="49">
        <f>IF(A74="","",IF(T74="Draft","Action - still a draft",IF(U74="Overdue","Overdue - chase payment",IF(U74="Overdue - part paid","Overdue - chase the balance",IF(AND(S74&gt;0.004,C74&lt;&gt;"",C74-TODAY()&lt;=ReminderLeadDays,C74&gt;=TODAY()),"Due soon - send a reminder","OK")))))</f>
        <v>0</v>
      </c>
    </row>
    <row r="75" spans="1:30">
      <c r="A75" s="46">
        <f>IF(D75="","",InvoicePrefix&amp;TEXT(InvoiceStartNo+ROW()-5,"0000"))</f>
        <v>0</v>
      </c>
      <c r="C75" s="21">
        <f>IF(B75="","",B75+PaymentTermsDays)</f>
        <v>0</v>
      </c>
      <c r="F75" s="29">
        <f>IF(E75="",0,IFERROR(INDEX(Bookings!$AI$5:$AI$404,MATCH(E75,Bookings!$A$5:$A$404,0)),0))</f>
        <v>0</v>
      </c>
      <c r="J75" s="29">
        <f>IF(D75="","",IF(E75&lt;&gt;"",F75,ROUND(IF(H75="",0,H75)*IF(I75="",0,I75),2)))</f>
        <v>0</v>
      </c>
      <c r="M75" s="29">
        <f>IF(D75="","",ROUND(J75+IF(K75="",0,K75)-IF(L75="",0,L75),2))</f>
        <v>0</v>
      </c>
      <c r="N75" s="29">
        <f>IF(M75="","",IF(TaxRegistered&lt;&gt;"Yes",0,IF(PricesIncludeTax="Yes",ROUND(M75-M75/(1+TaxRate),2),ROUND(M75*TaxRate,2))))</f>
        <v>0</v>
      </c>
      <c r="O75" s="29">
        <f>IF(M75="","",IF(PricesIncludeTax="Yes",M75,ROUND(M75+N75,2)))</f>
        <v>0</v>
      </c>
      <c r="P75" s="29">
        <f>IF(A75="","",SUMIFS(Payments!$E$5:$E$304,Payments!$D$5:$D$304,A75,Payments!$M$5:$M$304,"Yes"))</f>
        <v>0</v>
      </c>
      <c r="Q75" s="29">
        <f>IF(A75="","",SUMIFS(Payments!$K$5:$K$304,Payments!$D$5:$D$304,A75))</f>
        <v>0</v>
      </c>
      <c r="R75" s="29">
        <f>IF(A75="","",SUMIFS(Payments!$J$5:$J$304,Payments!$D$5:$D$304,A75))</f>
        <v>0</v>
      </c>
      <c r="S75" s="29">
        <f>IF(D75="","",ROUND(IF(T75="Cancelled",0,O75-Q75),2))</f>
        <v>0</v>
      </c>
      <c r="U75" s="49">
        <f>IF(A75="","",IF(T75="Cancelled","Cancelled",IF(S75&lt;=0.004,"Paid",IF(Q75&gt;0.004,IF(AND(C75&lt;&gt;"",TODAY()&gt;C75),"Overdue - part paid","Partially paid"),IF(AND(C75&lt;&gt;"",TODAY()&gt;C75),"Overdue",IF(T75="Draft","Draft","Unpaid"))))))</f>
        <v>0</v>
      </c>
      <c r="V75" s="31">
        <f>IF(OR(C75="",S75&lt;=0.004),"",MAX(0,TODAY()-C75))</f>
        <v>0</v>
      </c>
      <c r="W75" s="49">
        <f>IF(A75="","",IF(S75&lt;=0.004,"Paid",IF(V75="","Not due",IF(V75=0,"Current",IF(V75&lt;=30,"1-30 days",IF(V75&lt;=60,"31-60 days",IF(V75&lt;=90,"61-90 days","90+ days")))))))</f>
        <v>0</v>
      </c>
      <c r="X75" s="29">
        <f>IF(OR(V75="",V75=0),0,ROUND(S75*LateFeePct,2))</f>
        <v>0</v>
      </c>
      <c r="AA75" s="49">
        <f>IF(A75="","",IF(COUNTIF(Invoices!$A$5:$A$304,A75)&gt;1,"Duplicate number","OK"))</f>
        <v>0</v>
      </c>
      <c r="AC75" s="28">
        <f>IF(B75="","",TEXT(B75,"yyyy-mm"))</f>
        <v>0</v>
      </c>
      <c r="AD75" s="49">
        <f>IF(A75="","",IF(T75="Draft","Action - still a draft",IF(U75="Overdue","Overdue - chase payment",IF(U75="Overdue - part paid","Overdue - chase the balance",IF(AND(S75&gt;0.004,C75&lt;&gt;"",C75-TODAY()&lt;=ReminderLeadDays,C75&gt;=TODAY()),"Due soon - send a reminder","OK")))))</f>
        <v>0</v>
      </c>
    </row>
    <row r="76" spans="1:30">
      <c r="A76" s="46">
        <f>IF(D76="","",InvoicePrefix&amp;TEXT(InvoiceStartNo+ROW()-5,"0000"))</f>
        <v>0</v>
      </c>
      <c r="C76" s="21">
        <f>IF(B76="","",B76+PaymentTermsDays)</f>
        <v>0</v>
      </c>
      <c r="F76" s="29">
        <f>IF(E76="",0,IFERROR(INDEX(Bookings!$AI$5:$AI$404,MATCH(E76,Bookings!$A$5:$A$404,0)),0))</f>
        <v>0</v>
      </c>
      <c r="J76" s="29">
        <f>IF(D76="","",IF(E76&lt;&gt;"",F76,ROUND(IF(H76="",0,H76)*IF(I76="",0,I76),2)))</f>
        <v>0</v>
      </c>
      <c r="M76" s="29">
        <f>IF(D76="","",ROUND(J76+IF(K76="",0,K76)-IF(L76="",0,L76),2))</f>
        <v>0</v>
      </c>
      <c r="N76" s="29">
        <f>IF(M76="","",IF(TaxRegistered&lt;&gt;"Yes",0,IF(PricesIncludeTax="Yes",ROUND(M76-M76/(1+TaxRate),2),ROUND(M76*TaxRate,2))))</f>
        <v>0</v>
      </c>
      <c r="O76" s="29">
        <f>IF(M76="","",IF(PricesIncludeTax="Yes",M76,ROUND(M76+N76,2)))</f>
        <v>0</v>
      </c>
      <c r="P76" s="29">
        <f>IF(A76="","",SUMIFS(Payments!$E$5:$E$304,Payments!$D$5:$D$304,A76,Payments!$M$5:$M$304,"Yes"))</f>
        <v>0</v>
      </c>
      <c r="Q76" s="29">
        <f>IF(A76="","",SUMIFS(Payments!$K$5:$K$304,Payments!$D$5:$D$304,A76))</f>
        <v>0</v>
      </c>
      <c r="R76" s="29">
        <f>IF(A76="","",SUMIFS(Payments!$J$5:$J$304,Payments!$D$5:$D$304,A76))</f>
        <v>0</v>
      </c>
      <c r="S76" s="29">
        <f>IF(D76="","",ROUND(IF(T76="Cancelled",0,O76-Q76),2))</f>
        <v>0</v>
      </c>
      <c r="U76" s="49">
        <f>IF(A76="","",IF(T76="Cancelled","Cancelled",IF(S76&lt;=0.004,"Paid",IF(Q76&gt;0.004,IF(AND(C76&lt;&gt;"",TODAY()&gt;C76),"Overdue - part paid","Partially paid"),IF(AND(C76&lt;&gt;"",TODAY()&gt;C76),"Overdue",IF(T76="Draft","Draft","Unpaid"))))))</f>
        <v>0</v>
      </c>
      <c r="V76" s="31">
        <f>IF(OR(C76="",S76&lt;=0.004),"",MAX(0,TODAY()-C76))</f>
        <v>0</v>
      </c>
      <c r="W76" s="49">
        <f>IF(A76="","",IF(S76&lt;=0.004,"Paid",IF(V76="","Not due",IF(V76=0,"Current",IF(V76&lt;=30,"1-30 days",IF(V76&lt;=60,"31-60 days",IF(V76&lt;=90,"61-90 days","90+ days")))))))</f>
        <v>0</v>
      </c>
      <c r="X76" s="29">
        <f>IF(OR(V76="",V76=0),0,ROUND(S76*LateFeePct,2))</f>
        <v>0</v>
      </c>
      <c r="AA76" s="49">
        <f>IF(A76="","",IF(COUNTIF(Invoices!$A$5:$A$304,A76)&gt;1,"Duplicate number","OK"))</f>
        <v>0</v>
      </c>
      <c r="AC76" s="28">
        <f>IF(B76="","",TEXT(B76,"yyyy-mm"))</f>
        <v>0</v>
      </c>
      <c r="AD76" s="49">
        <f>IF(A76="","",IF(T76="Draft","Action - still a draft",IF(U76="Overdue","Overdue - chase payment",IF(U76="Overdue - part paid","Overdue - chase the balance",IF(AND(S76&gt;0.004,C76&lt;&gt;"",C76-TODAY()&lt;=ReminderLeadDays,C76&gt;=TODAY()),"Due soon - send a reminder","OK")))))</f>
        <v>0</v>
      </c>
    </row>
    <row r="77" spans="1:30">
      <c r="A77" s="46">
        <f>IF(D77="","",InvoicePrefix&amp;TEXT(InvoiceStartNo+ROW()-5,"0000"))</f>
        <v>0</v>
      </c>
      <c r="C77" s="21">
        <f>IF(B77="","",B77+PaymentTermsDays)</f>
        <v>0</v>
      </c>
      <c r="F77" s="29">
        <f>IF(E77="",0,IFERROR(INDEX(Bookings!$AI$5:$AI$404,MATCH(E77,Bookings!$A$5:$A$404,0)),0))</f>
        <v>0</v>
      </c>
      <c r="J77" s="29">
        <f>IF(D77="","",IF(E77&lt;&gt;"",F77,ROUND(IF(H77="",0,H77)*IF(I77="",0,I77),2)))</f>
        <v>0</v>
      </c>
      <c r="M77" s="29">
        <f>IF(D77="","",ROUND(J77+IF(K77="",0,K77)-IF(L77="",0,L77),2))</f>
        <v>0</v>
      </c>
      <c r="N77" s="29">
        <f>IF(M77="","",IF(TaxRegistered&lt;&gt;"Yes",0,IF(PricesIncludeTax="Yes",ROUND(M77-M77/(1+TaxRate),2),ROUND(M77*TaxRate,2))))</f>
        <v>0</v>
      </c>
      <c r="O77" s="29">
        <f>IF(M77="","",IF(PricesIncludeTax="Yes",M77,ROUND(M77+N77,2)))</f>
        <v>0</v>
      </c>
      <c r="P77" s="29">
        <f>IF(A77="","",SUMIFS(Payments!$E$5:$E$304,Payments!$D$5:$D$304,A77,Payments!$M$5:$M$304,"Yes"))</f>
        <v>0</v>
      </c>
      <c r="Q77" s="29">
        <f>IF(A77="","",SUMIFS(Payments!$K$5:$K$304,Payments!$D$5:$D$304,A77))</f>
        <v>0</v>
      </c>
      <c r="R77" s="29">
        <f>IF(A77="","",SUMIFS(Payments!$J$5:$J$304,Payments!$D$5:$D$304,A77))</f>
        <v>0</v>
      </c>
      <c r="S77" s="29">
        <f>IF(D77="","",ROUND(IF(T77="Cancelled",0,O77-Q77),2))</f>
        <v>0</v>
      </c>
      <c r="U77" s="49">
        <f>IF(A77="","",IF(T77="Cancelled","Cancelled",IF(S77&lt;=0.004,"Paid",IF(Q77&gt;0.004,IF(AND(C77&lt;&gt;"",TODAY()&gt;C77),"Overdue - part paid","Partially paid"),IF(AND(C77&lt;&gt;"",TODAY()&gt;C77),"Overdue",IF(T77="Draft","Draft","Unpaid"))))))</f>
        <v>0</v>
      </c>
      <c r="V77" s="31">
        <f>IF(OR(C77="",S77&lt;=0.004),"",MAX(0,TODAY()-C77))</f>
        <v>0</v>
      </c>
      <c r="W77" s="49">
        <f>IF(A77="","",IF(S77&lt;=0.004,"Paid",IF(V77="","Not due",IF(V77=0,"Current",IF(V77&lt;=30,"1-30 days",IF(V77&lt;=60,"31-60 days",IF(V77&lt;=90,"61-90 days","90+ days")))))))</f>
        <v>0</v>
      </c>
      <c r="X77" s="29">
        <f>IF(OR(V77="",V77=0),0,ROUND(S77*LateFeePct,2))</f>
        <v>0</v>
      </c>
      <c r="AA77" s="49">
        <f>IF(A77="","",IF(COUNTIF(Invoices!$A$5:$A$304,A77)&gt;1,"Duplicate number","OK"))</f>
        <v>0</v>
      </c>
      <c r="AC77" s="28">
        <f>IF(B77="","",TEXT(B77,"yyyy-mm"))</f>
        <v>0</v>
      </c>
      <c r="AD77" s="49">
        <f>IF(A77="","",IF(T77="Draft","Action - still a draft",IF(U77="Overdue","Overdue - chase payment",IF(U77="Overdue - part paid","Overdue - chase the balance",IF(AND(S77&gt;0.004,C77&lt;&gt;"",C77-TODAY()&lt;=ReminderLeadDays,C77&gt;=TODAY()),"Due soon - send a reminder","OK")))))</f>
        <v>0</v>
      </c>
    </row>
    <row r="78" spans="1:30">
      <c r="A78" s="46">
        <f>IF(D78="","",InvoicePrefix&amp;TEXT(InvoiceStartNo+ROW()-5,"0000"))</f>
        <v>0</v>
      </c>
      <c r="C78" s="21">
        <f>IF(B78="","",B78+PaymentTermsDays)</f>
        <v>0</v>
      </c>
      <c r="F78" s="29">
        <f>IF(E78="",0,IFERROR(INDEX(Bookings!$AI$5:$AI$404,MATCH(E78,Bookings!$A$5:$A$404,0)),0))</f>
        <v>0</v>
      </c>
      <c r="J78" s="29">
        <f>IF(D78="","",IF(E78&lt;&gt;"",F78,ROUND(IF(H78="",0,H78)*IF(I78="",0,I78),2)))</f>
        <v>0</v>
      </c>
      <c r="M78" s="29">
        <f>IF(D78="","",ROUND(J78+IF(K78="",0,K78)-IF(L78="",0,L78),2))</f>
        <v>0</v>
      </c>
      <c r="N78" s="29">
        <f>IF(M78="","",IF(TaxRegistered&lt;&gt;"Yes",0,IF(PricesIncludeTax="Yes",ROUND(M78-M78/(1+TaxRate),2),ROUND(M78*TaxRate,2))))</f>
        <v>0</v>
      </c>
      <c r="O78" s="29">
        <f>IF(M78="","",IF(PricesIncludeTax="Yes",M78,ROUND(M78+N78,2)))</f>
        <v>0</v>
      </c>
      <c r="P78" s="29">
        <f>IF(A78="","",SUMIFS(Payments!$E$5:$E$304,Payments!$D$5:$D$304,A78,Payments!$M$5:$M$304,"Yes"))</f>
        <v>0</v>
      </c>
      <c r="Q78" s="29">
        <f>IF(A78="","",SUMIFS(Payments!$K$5:$K$304,Payments!$D$5:$D$304,A78))</f>
        <v>0</v>
      </c>
      <c r="R78" s="29">
        <f>IF(A78="","",SUMIFS(Payments!$J$5:$J$304,Payments!$D$5:$D$304,A78))</f>
        <v>0</v>
      </c>
      <c r="S78" s="29">
        <f>IF(D78="","",ROUND(IF(T78="Cancelled",0,O78-Q78),2))</f>
        <v>0</v>
      </c>
      <c r="U78" s="49">
        <f>IF(A78="","",IF(T78="Cancelled","Cancelled",IF(S78&lt;=0.004,"Paid",IF(Q78&gt;0.004,IF(AND(C78&lt;&gt;"",TODAY()&gt;C78),"Overdue - part paid","Partially paid"),IF(AND(C78&lt;&gt;"",TODAY()&gt;C78),"Overdue",IF(T78="Draft","Draft","Unpaid"))))))</f>
        <v>0</v>
      </c>
      <c r="V78" s="31">
        <f>IF(OR(C78="",S78&lt;=0.004),"",MAX(0,TODAY()-C78))</f>
        <v>0</v>
      </c>
      <c r="W78" s="49">
        <f>IF(A78="","",IF(S78&lt;=0.004,"Paid",IF(V78="","Not due",IF(V78=0,"Current",IF(V78&lt;=30,"1-30 days",IF(V78&lt;=60,"31-60 days",IF(V78&lt;=90,"61-90 days","90+ days")))))))</f>
        <v>0</v>
      </c>
      <c r="X78" s="29">
        <f>IF(OR(V78="",V78=0),0,ROUND(S78*LateFeePct,2))</f>
        <v>0</v>
      </c>
      <c r="AA78" s="49">
        <f>IF(A78="","",IF(COUNTIF(Invoices!$A$5:$A$304,A78)&gt;1,"Duplicate number","OK"))</f>
        <v>0</v>
      </c>
      <c r="AC78" s="28">
        <f>IF(B78="","",TEXT(B78,"yyyy-mm"))</f>
        <v>0</v>
      </c>
      <c r="AD78" s="49">
        <f>IF(A78="","",IF(T78="Draft","Action - still a draft",IF(U78="Overdue","Overdue - chase payment",IF(U78="Overdue - part paid","Overdue - chase the balance",IF(AND(S78&gt;0.004,C78&lt;&gt;"",C78-TODAY()&lt;=ReminderLeadDays,C78&gt;=TODAY()),"Due soon - send a reminder","OK")))))</f>
        <v>0</v>
      </c>
    </row>
    <row r="79" spans="1:30">
      <c r="A79" s="46">
        <f>IF(D79="","",InvoicePrefix&amp;TEXT(InvoiceStartNo+ROW()-5,"0000"))</f>
        <v>0</v>
      </c>
      <c r="C79" s="21">
        <f>IF(B79="","",B79+PaymentTermsDays)</f>
        <v>0</v>
      </c>
      <c r="F79" s="29">
        <f>IF(E79="",0,IFERROR(INDEX(Bookings!$AI$5:$AI$404,MATCH(E79,Bookings!$A$5:$A$404,0)),0))</f>
        <v>0</v>
      </c>
      <c r="J79" s="29">
        <f>IF(D79="","",IF(E79&lt;&gt;"",F79,ROUND(IF(H79="",0,H79)*IF(I79="",0,I79),2)))</f>
        <v>0</v>
      </c>
      <c r="M79" s="29">
        <f>IF(D79="","",ROUND(J79+IF(K79="",0,K79)-IF(L79="",0,L79),2))</f>
        <v>0</v>
      </c>
      <c r="N79" s="29">
        <f>IF(M79="","",IF(TaxRegistered&lt;&gt;"Yes",0,IF(PricesIncludeTax="Yes",ROUND(M79-M79/(1+TaxRate),2),ROUND(M79*TaxRate,2))))</f>
        <v>0</v>
      </c>
      <c r="O79" s="29">
        <f>IF(M79="","",IF(PricesIncludeTax="Yes",M79,ROUND(M79+N79,2)))</f>
        <v>0</v>
      </c>
      <c r="P79" s="29">
        <f>IF(A79="","",SUMIFS(Payments!$E$5:$E$304,Payments!$D$5:$D$304,A79,Payments!$M$5:$M$304,"Yes"))</f>
        <v>0</v>
      </c>
      <c r="Q79" s="29">
        <f>IF(A79="","",SUMIFS(Payments!$K$5:$K$304,Payments!$D$5:$D$304,A79))</f>
        <v>0</v>
      </c>
      <c r="R79" s="29">
        <f>IF(A79="","",SUMIFS(Payments!$J$5:$J$304,Payments!$D$5:$D$304,A79))</f>
        <v>0</v>
      </c>
      <c r="S79" s="29">
        <f>IF(D79="","",ROUND(IF(T79="Cancelled",0,O79-Q79),2))</f>
        <v>0</v>
      </c>
      <c r="U79" s="49">
        <f>IF(A79="","",IF(T79="Cancelled","Cancelled",IF(S79&lt;=0.004,"Paid",IF(Q79&gt;0.004,IF(AND(C79&lt;&gt;"",TODAY()&gt;C79),"Overdue - part paid","Partially paid"),IF(AND(C79&lt;&gt;"",TODAY()&gt;C79),"Overdue",IF(T79="Draft","Draft","Unpaid"))))))</f>
        <v>0</v>
      </c>
      <c r="V79" s="31">
        <f>IF(OR(C79="",S79&lt;=0.004),"",MAX(0,TODAY()-C79))</f>
        <v>0</v>
      </c>
      <c r="W79" s="49">
        <f>IF(A79="","",IF(S79&lt;=0.004,"Paid",IF(V79="","Not due",IF(V79=0,"Current",IF(V79&lt;=30,"1-30 days",IF(V79&lt;=60,"31-60 days",IF(V79&lt;=90,"61-90 days","90+ days")))))))</f>
        <v>0</v>
      </c>
      <c r="X79" s="29">
        <f>IF(OR(V79="",V79=0),0,ROUND(S79*LateFeePct,2))</f>
        <v>0</v>
      </c>
      <c r="AA79" s="49">
        <f>IF(A79="","",IF(COUNTIF(Invoices!$A$5:$A$304,A79)&gt;1,"Duplicate number","OK"))</f>
        <v>0</v>
      </c>
      <c r="AC79" s="28">
        <f>IF(B79="","",TEXT(B79,"yyyy-mm"))</f>
        <v>0</v>
      </c>
      <c r="AD79" s="49">
        <f>IF(A79="","",IF(T79="Draft","Action - still a draft",IF(U79="Overdue","Overdue - chase payment",IF(U79="Overdue - part paid","Overdue - chase the balance",IF(AND(S79&gt;0.004,C79&lt;&gt;"",C79-TODAY()&lt;=ReminderLeadDays,C79&gt;=TODAY()),"Due soon - send a reminder","OK")))))</f>
        <v>0</v>
      </c>
    </row>
    <row r="80" spans="1:30">
      <c r="A80" s="46">
        <f>IF(D80="","",InvoicePrefix&amp;TEXT(InvoiceStartNo+ROW()-5,"0000"))</f>
        <v>0</v>
      </c>
      <c r="C80" s="21">
        <f>IF(B80="","",B80+PaymentTermsDays)</f>
        <v>0</v>
      </c>
      <c r="F80" s="29">
        <f>IF(E80="",0,IFERROR(INDEX(Bookings!$AI$5:$AI$404,MATCH(E80,Bookings!$A$5:$A$404,0)),0))</f>
        <v>0</v>
      </c>
      <c r="J80" s="29">
        <f>IF(D80="","",IF(E80&lt;&gt;"",F80,ROUND(IF(H80="",0,H80)*IF(I80="",0,I80),2)))</f>
        <v>0</v>
      </c>
      <c r="M80" s="29">
        <f>IF(D80="","",ROUND(J80+IF(K80="",0,K80)-IF(L80="",0,L80),2))</f>
        <v>0</v>
      </c>
      <c r="N80" s="29">
        <f>IF(M80="","",IF(TaxRegistered&lt;&gt;"Yes",0,IF(PricesIncludeTax="Yes",ROUND(M80-M80/(1+TaxRate),2),ROUND(M80*TaxRate,2))))</f>
        <v>0</v>
      </c>
      <c r="O80" s="29">
        <f>IF(M80="","",IF(PricesIncludeTax="Yes",M80,ROUND(M80+N80,2)))</f>
        <v>0</v>
      </c>
      <c r="P80" s="29">
        <f>IF(A80="","",SUMIFS(Payments!$E$5:$E$304,Payments!$D$5:$D$304,A80,Payments!$M$5:$M$304,"Yes"))</f>
        <v>0</v>
      </c>
      <c r="Q80" s="29">
        <f>IF(A80="","",SUMIFS(Payments!$K$5:$K$304,Payments!$D$5:$D$304,A80))</f>
        <v>0</v>
      </c>
      <c r="R80" s="29">
        <f>IF(A80="","",SUMIFS(Payments!$J$5:$J$304,Payments!$D$5:$D$304,A80))</f>
        <v>0</v>
      </c>
      <c r="S80" s="29">
        <f>IF(D80="","",ROUND(IF(T80="Cancelled",0,O80-Q80),2))</f>
        <v>0</v>
      </c>
      <c r="U80" s="49">
        <f>IF(A80="","",IF(T80="Cancelled","Cancelled",IF(S80&lt;=0.004,"Paid",IF(Q80&gt;0.004,IF(AND(C80&lt;&gt;"",TODAY()&gt;C80),"Overdue - part paid","Partially paid"),IF(AND(C80&lt;&gt;"",TODAY()&gt;C80),"Overdue",IF(T80="Draft","Draft","Unpaid"))))))</f>
        <v>0</v>
      </c>
      <c r="V80" s="31">
        <f>IF(OR(C80="",S80&lt;=0.004),"",MAX(0,TODAY()-C80))</f>
        <v>0</v>
      </c>
      <c r="W80" s="49">
        <f>IF(A80="","",IF(S80&lt;=0.004,"Paid",IF(V80="","Not due",IF(V80=0,"Current",IF(V80&lt;=30,"1-30 days",IF(V80&lt;=60,"31-60 days",IF(V80&lt;=90,"61-90 days","90+ days")))))))</f>
        <v>0</v>
      </c>
      <c r="X80" s="29">
        <f>IF(OR(V80="",V80=0),0,ROUND(S80*LateFeePct,2))</f>
        <v>0</v>
      </c>
      <c r="AA80" s="49">
        <f>IF(A80="","",IF(COUNTIF(Invoices!$A$5:$A$304,A80)&gt;1,"Duplicate number","OK"))</f>
        <v>0</v>
      </c>
      <c r="AC80" s="28">
        <f>IF(B80="","",TEXT(B80,"yyyy-mm"))</f>
        <v>0</v>
      </c>
      <c r="AD80" s="49">
        <f>IF(A80="","",IF(T80="Draft","Action - still a draft",IF(U80="Overdue","Overdue - chase payment",IF(U80="Overdue - part paid","Overdue - chase the balance",IF(AND(S80&gt;0.004,C80&lt;&gt;"",C80-TODAY()&lt;=ReminderLeadDays,C80&gt;=TODAY()),"Due soon - send a reminder","OK")))))</f>
        <v>0</v>
      </c>
    </row>
    <row r="81" spans="1:30">
      <c r="A81" s="46">
        <f>IF(D81="","",InvoicePrefix&amp;TEXT(InvoiceStartNo+ROW()-5,"0000"))</f>
        <v>0</v>
      </c>
      <c r="C81" s="21">
        <f>IF(B81="","",B81+PaymentTermsDays)</f>
        <v>0</v>
      </c>
      <c r="F81" s="29">
        <f>IF(E81="",0,IFERROR(INDEX(Bookings!$AI$5:$AI$404,MATCH(E81,Bookings!$A$5:$A$404,0)),0))</f>
        <v>0</v>
      </c>
      <c r="J81" s="29">
        <f>IF(D81="","",IF(E81&lt;&gt;"",F81,ROUND(IF(H81="",0,H81)*IF(I81="",0,I81),2)))</f>
        <v>0</v>
      </c>
      <c r="M81" s="29">
        <f>IF(D81="","",ROUND(J81+IF(K81="",0,K81)-IF(L81="",0,L81),2))</f>
        <v>0</v>
      </c>
      <c r="N81" s="29">
        <f>IF(M81="","",IF(TaxRegistered&lt;&gt;"Yes",0,IF(PricesIncludeTax="Yes",ROUND(M81-M81/(1+TaxRate),2),ROUND(M81*TaxRate,2))))</f>
        <v>0</v>
      </c>
      <c r="O81" s="29">
        <f>IF(M81="","",IF(PricesIncludeTax="Yes",M81,ROUND(M81+N81,2)))</f>
        <v>0</v>
      </c>
      <c r="P81" s="29">
        <f>IF(A81="","",SUMIFS(Payments!$E$5:$E$304,Payments!$D$5:$D$304,A81,Payments!$M$5:$M$304,"Yes"))</f>
        <v>0</v>
      </c>
      <c r="Q81" s="29">
        <f>IF(A81="","",SUMIFS(Payments!$K$5:$K$304,Payments!$D$5:$D$304,A81))</f>
        <v>0</v>
      </c>
      <c r="R81" s="29">
        <f>IF(A81="","",SUMIFS(Payments!$J$5:$J$304,Payments!$D$5:$D$304,A81))</f>
        <v>0</v>
      </c>
      <c r="S81" s="29">
        <f>IF(D81="","",ROUND(IF(T81="Cancelled",0,O81-Q81),2))</f>
        <v>0</v>
      </c>
      <c r="U81" s="49">
        <f>IF(A81="","",IF(T81="Cancelled","Cancelled",IF(S81&lt;=0.004,"Paid",IF(Q81&gt;0.004,IF(AND(C81&lt;&gt;"",TODAY()&gt;C81),"Overdue - part paid","Partially paid"),IF(AND(C81&lt;&gt;"",TODAY()&gt;C81),"Overdue",IF(T81="Draft","Draft","Unpaid"))))))</f>
        <v>0</v>
      </c>
      <c r="V81" s="31">
        <f>IF(OR(C81="",S81&lt;=0.004),"",MAX(0,TODAY()-C81))</f>
        <v>0</v>
      </c>
      <c r="W81" s="49">
        <f>IF(A81="","",IF(S81&lt;=0.004,"Paid",IF(V81="","Not due",IF(V81=0,"Current",IF(V81&lt;=30,"1-30 days",IF(V81&lt;=60,"31-60 days",IF(V81&lt;=90,"61-90 days","90+ days")))))))</f>
        <v>0</v>
      </c>
      <c r="X81" s="29">
        <f>IF(OR(V81="",V81=0),0,ROUND(S81*LateFeePct,2))</f>
        <v>0</v>
      </c>
      <c r="AA81" s="49">
        <f>IF(A81="","",IF(COUNTIF(Invoices!$A$5:$A$304,A81)&gt;1,"Duplicate number","OK"))</f>
        <v>0</v>
      </c>
      <c r="AC81" s="28">
        <f>IF(B81="","",TEXT(B81,"yyyy-mm"))</f>
        <v>0</v>
      </c>
      <c r="AD81" s="49">
        <f>IF(A81="","",IF(T81="Draft","Action - still a draft",IF(U81="Overdue","Overdue - chase payment",IF(U81="Overdue - part paid","Overdue - chase the balance",IF(AND(S81&gt;0.004,C81&lt;&gt;"",C81-TODAY()&lt;=ReminderLeadDays,C81&gt;=TODAY()),"Due soon - send a reminder","OK")))))</f>
        <v>0</v>
      </c>
    </row>
    <row r="82" spans="1:30">
      <c r="A82" s="46">
        <f>IF(D82="","",InvoicePrefix&amp;TEXT(InvoiceStartNo+ROW()-5,"0000"))</f>
        <v>0</v>
      </c>
      <c r="C82" s="21">
        <f>IF(B82="","",B82+PaymentTermsDays)</f>
        <v>0</v>
      </c>
      <c r="F82" s="29">
        <f>IF(E82="",0,IFERROR(INDEX(Bookings!$AI$5:$AI$404,MATCH(E82,Bookings!$A$5:$A$404,0)),0))</f>
        <v>0</v>
      </c>
      <c r="J82" s="29">
        <f>IF(D82="","",IF(E82&lt;&gt;"",F82,ROUND(IF(H82="",0,H82)*IF(I82="",0,I82),2)))</f>
        <v>0</v>
      </c>
      <c r="M82" s="29">
        <f>IF(D82="","",ROUND(J82+IF(K82="",0,K82)-IF(L82="",0,L82),2))</f>
        <v>0</v>
      </c>
      <c r="N82" s="29">
        <f>IF(M82="","",IF(TaxRegistered&lt;&gt;"Yes",0,IF(PricesIncludeTax="Yes",ROUND(M82-M82/(1+TaxRate),2),ROUND(M82*TaxRate,2))))</f>
        <v>0</v>
      </c>
      <c r="O82" s="29">
        <f>IF(M82="","",IF(PricesIncludeTax="Yes",M82,ROUND(M82+N82,2)))</f>
        <v>0</v>
      </c>
      <c r="P82" s="29">
        <f>IF(A82="","",SUMIFS(Payments!$E$5:$E$304,Payments!$D$5:$D$304,A82,Payments!$M$5:$M$304,"Yes"))</f>
        <v>0</v>
      </c>
      <c r="Q82" s="29">
        <f>IF(A82="","",SUMIFS(Payments!$K$5:$K$304,Payments!$D$5:$D$304,A82))</f>
        <v>0</v>
      </c>
      <c r="R82" s="29">
        <f>IF(A82="","",SUMIFS(Payments!$J$5:$J$304,Payments!$D$5:$D$304,A82))</f>
        <v>0</v>
      </c>
      <c r="S82" s="29">
        <f>IF(D82="","",ROUND(IF(T82="Cancelled",0,O82-Q82),2))</f>
        <v>0</v>
      </c>
      <c r="U82" s="49">
        <f>IF(A82="","",IF(T82="Cancelled","Cancelled",IF(S82&lt;=0.004,"Paid",IF(Q82&gt;0.004,IF(AND(C82&lt;&gt;"",TODAY()&gt;C82),"Overdue - part paid","Partially paid"),IF(AND(C82&lt;&gt;"",TODAY()&gt;C82),"Overdue",IF(T82="Draft","Draft","Unpaid"))))))</f>
        <v>0</v>
      </c>
      <c r="V82" s="31">
        <f>IF(OR(C82="",S82&lt;=0.004),"",MAX(0,TODAY()-C82))</f>
        <v>0</v>
      </c>
      <c r="W82" s="49">
        <f>IF(A82="","",IF(S82&lt;=0.004,"Paid",IF(V82="","Not due",IF(V82=0,"Current",IF(V82&lt;=30,"1-30 days",IF(V82&lt;=60,"31-60 days",IF(V82&lt;=90,"61-90 days","90+ days")))))))</f>
        <v>0</v>
      </c>
      <c r="X82" s="29">
        <f>IF(OR(V82="",V82=0),0,ROUND(S82*LateFeePct,2))</f>
        <v>0</v>
      </c>
      <c r="AA82" s="49">
        <f>IF(A82="","",IF(COUNTIF(Invoices!$A$5:$A$304,A82)&gt;1,"Duplicate number","OK"))</f>
        <v>0</v>
      </c>
      <c r="AC82" s="28">
        <f>IF(B82="","",TEXT(B82,"yyyy-mm"))</f>
        <v>0</v>
      </c>
      <c r="AD82" s="49">
        <f>IF(A82="","",IF(T82="Draft","Action - still a draft",IF(U82="Overdue","Overdue - chase payment",IF(U82="Overdue - part paid","Overdue - chase the balance",IF(AND(S82&gt;0.004,C82&lt;&gt;"",C82-TODAY()&lt;=ReminderLeadDays,C82&gt;=TODAY()),"Due soon - send a reminder","OK")))))</f>
        <v>0</v>
      </c>
    </row>
    <row r="83" spans="1:30">
      <c r="A83" s="46">
        <f>IF(D83="","",InvoicePrefix&amp;TEXT(InvoiceStartNo+ROW()-5,"0000"))</f>
        <v>0</v>
      </c>
      <c r="C83" s="21">
        <f>IF(B83="","",B83+PaymentTermsDays)</f>
        <v>0</v>
      </c>
      <c r="F83" s="29">
        <f>IF(E83="",0,IFERROR(INDEX(Bookings!$AI$5:$AI$404,MATCH(E83,Bookings!$A$5:$A$404,0)),0))</f>
        <v>0</v>
      </c>
      <c r="J83" s="29">
        <f>IF(D83="","",IF(E83&lt;&gt;"",F83,ROUND(IF(H83="",0,H83)*IF(I83="",0,I83),2)))</f>
        <v>0</v>
      </c>
      <c r="M83" s="29">
        <f>IF(D83="","",ROUND(J83+IF(K83="",0,K83)-IF(L83="",0,L83),2))</f>
        <v>0</v>
      </c>
      <c r="N83" s="29">
        <f>IF(M83="","",IF(TaxRegistered&lt;&gt;"Yes",0,IF(PricesIncludeTax="Yes",ROUND(M83-M83/(1+TaxRate),2),ROUND(M83*TaxRate,2))))</f>
        <v>0</v>
      </c>
      <c r="O83" s="29">
        <f>IF(M83="","",IF(PricesIncludeTax="Yes",M83,ROUND(M83+N83,2)))</f>
        <v>0</v>
      </c>
      <c r="P83" s="29">
        <f>IF(A83="","",SUMIFS(Payments!$E$5:$E$304,Payments!$D$5:$D$304,A83,Payments!$M$5:$M$304,"Yes"))</f>
        <v>0</v>
      </c>
      <c r="Q83" s="29">
        <f>IF(A83="","",SUMIFS(Payments!$K$5:$K$304,Payments!$D$5:$D$304,A83))</f>
        <v>0</v>
      </c>
      <c r="R83" s="29">
        <f>IF(A83="","",SUMIFS(Payments!$J$5:$J$304,Payments!$D$5:$D$304,A83))</f>
        <v>0</v>
      </c>
      <c r="S83" s="29">
        <f>IF(D83="","",ROUND(IF(T83="Cancelled",0,O83-Q83),2))</f>
        <v>0</v>
      </c>
      <c r="U83" s="49">
        <f>IF(A83="","",IF(T83="Cancelled","Cancelled",IF(S83&lt;=0.004,"Paid",IF(Q83&gt;0.004,IF(AND(C83&lt;&gt;"",TODAY()&gt;C83),"Overdue - part paid","Partially paid"),IF(AND(C83&lt;&gt;"",TODAY()&gt;C83),"Overdue",IF(T83="Draft","Draft","Unpaid"))))))</f>
        <v>0</v>
      </c>
      <c r="V83" s="31">
        <f>IF(OR(C83="",S83&lt;=0.004),"",MAX(0,TODAY()-C83))</f>
        <v>0</v>
      </c>
      <c r="W83" s="49">
        <f>IF(A83="","",IF(S83&lt;=0.004,"Paid",IF(V83="","Not due",IF(V83=0,"Current",IF(V83&lt;=30,"1-30 days",IF(V83&lt;=60,"31-60 days",IF(V83&lt;=90,"61-90 days","90+ days")))))))</f>
        <v>0</v>
      </c>
      <c r="X83" s="29">
        <f>IF(OR(V83="",V83=0),0,ROUND(S83*LateFeePct,2))</f>
        <v>0</v>
      </c>
      <c r="AA83" s="49">
        <f>IF(A83="","",IF(COUNTIF(Invoices!$A$5:$A$304,A83)&gt;1,"Duplicate number","OK"))</f>
        <v>0</v>
      </c>
      <c r="AC83" s="28">
        <f>IF(B83="","",TEXT(B83,"yyyy-mm"))</f>
        <v>0</v>
      </c>
      <c r="AD83" s="49">
        <f>IF(A83="","",IF(T83="Draft","Action - still a draft",IF(U83="Overdue","Overdue - chase payment",IF(U83="Overdue - part paid","Overdue - chase the balance",IF(AND(S83&gt;0.004,C83&lt;&gt;"",C83-TODAY()&lt;=ReminderLeadDays,C83&gt;=TODAY()),"Due soon - send a reminder","OK")))))</f>
        <v>0</v>
      </c>
    </row>
    <row r="84" spans="1:30">
      <c r="A84" s="46">
        <f>IF(D84="","",InvoicePrefix&amp;TEXT(InvoiceStartNo+ROW()-5,"0000"))</f>
        <v>0</v>
      </c>
      <c r="C84" s="21">
        <f>IF(B84="","",B84+PaymentTermsDays)</f>
        <v>0</v>
      </c>
      <c r="F84" s="29">
        <f>IF(E84="",0,IFERROR(INDEX(Bookings!$AI$5:$AI$404,MATCH(E84,Bookings!$A$5:$A$404,0)),0))</f>
        <v>0</v>
      </c>
      <c r="J84" s="29">
        <f>IF(D84="","",IF(E84&lt;&gt;"",F84,ROUND(IF(H84="",0,H84)*IF(I84="",0,I84),2)))</f>
        <v>0</v>
      </c>
      <c r="M84" s="29">
        <f>IF(D84="","",ROUND(J84+IF(K84="",0,K84)-IF(L84="",0,L84),2))</f>
        <v>0</v>
      </c>
      <c r="N84" s="29">
        <f>IF(M84="","",IF(TaxRegistered&lt;&gt;"Yes",0,IF(PricesIncludeTax="Yes",ROUND(M84-M84/(1+TaxRate),2),ROUND(M84*TaxRate,2))))</f>
        <v>0</v>
      </c>
      <c r="O84" s="29">
        <f>IF(M84="","",IF(PricesIncludeTax="Yes",M84,ROUND(M84+N84,2)))</f>
        <v>0</v>
      </c>
      <c r="P84" s="29">
        <f>IF(A84="","",SUMIFS(Payments!$E$5:$E$304,Payments!$D$5:$D$304,A84,Payments!$M$5:$M$304,"Yes"))</f>
        <v>0</v>
      </c>
      <c r="Q84" s="29">
        <f>IF(A84="","",SUMIFS(Payments!$K$5:$K$304,Payments!$D$5:$D$304,A84))</f>
        <v>0</v>
      </c>
      <c r="R84" s="29">
        <f>IF(A84="","",SUMIFS(Payments!$J$5:$J$304,Payments!$D$5:$D$304,A84))</f>
        <v>0</v>
      </c>
      <c r="S84" s="29">
        <f>IF(D84="","",ROUND(IF(T84="Cancelled",0,O84-Q84),2))</f>
        <v>0</v>
      </c>
      <c r="U84" s="49">
        <f>IF(A84="","",IF(T84="Cancelled","Cancelled",IF(S84&lt;=0.004,"Paid",IF(Q84&gt;0.004,IF(AND(C84&lt;&gt;"",TODAY()&gt;C84),"Overdue - part paid","Partially paid"),IF(AND(C84&lt;&gt;"",TODAY()&gt;C84),"Overdue",IF(T84="Draft","Draft","Unpaid"))))))</f>
        <v>0</v>
      </c>
      <c r="V84" s="31">
        <f>IF(OR(C84="",S84&lt;=0.004),"",MAX(0,TODAY()-C84))</f>
        <v>0</v>
      </c>
      <c r="W84" s="49">
        <f>IF(A84="","",IF(S84&lt;=0.004,"Paid",IF(V84="","Not due",IF(V84=0,"Current",IF(V84&lt;=30,"1-30 days",IF(V84&lt;=60,"31-60 days",IF(V84&lt;=90,"61-90 days","90+ days")))))))</f>
        <v>0</v>
      </c>
      <c r="X84" s="29">
        <f>IF(OR(V84="",V84=0),0,ROUND(S84*LateFeePct,2))</f>
        <v>0</v>
      </c>
      <c r="AA84" s="49">
        <f>IF(A84="","",IF(COUNTIF(Invoices!$A$5:$A$304,A84)&gt;1,"Duplicate number","OK"))</f>
        <v>0</v>
      </c>
      <c r="AC84" s="28">
        <f>IF(B84="","",TEXT(B84,"yyyy-mm"))</f>
        <v>0</v>
      </c>
      <c r="AD84" s="49">
        <f>IF(A84="","",IF(T84="Draft","Action - still a draft",IF(U84="Overdue","Overdue - chase payment",IF(U84="Overdue - part paid","Overdue - chase the balance",IF(AND(S84&gt;0.004,C84&lt;&gt;"",C84-TODAY()&lt;=ReminderLeadDays,C84&gt;=TODAY()),"Due soon - send a reminder","OK")))))</f>
        <v>0</v>
      </c>
    </row>
    <row r="85" spans="1:30">
      <c r="A85" s="46">
        <f>IF(D85="","",InvoicePrefix&amp;TEXT(InvoiceStartNo+ROW()-5,"0000"))</f>
        <v>0</v>
      </c>
      <c r="C85" s="21">
        <f>IF(B85="","",B85+PaymentTermsDays)</f>
        <v>0</v>
      </c>
      <c r="F85" s="29">
        <f>IF(E85="",0,IFERROR(INDEX(Bookings!$AI$5:$AI$404,MATCH(E85,Bookings!$A$5:$A$404,0)),0))</f>
        <v>0</v>
      </c>
      <c r="J85" s="29">
        <f>IF(D85="","",IF(E85&lt;&gt;"",F85,ROUND(IF(H85="",0,H85)*IF(I85="",0,I85),2)))</f>
        <v>0</v>
      </c>
      <c r="M85" s="29">
        <f>IF(D85="","",ROUND(J85+IF(K85="",0,K85)-IF(L85="",0,L85),2))</f>
        <v>0</v>
      </c>
      <c r="N85" s="29">
        <f>IF(M85="","",IF(TaxRegistered&lt;&gt;"Yes",0,IF(PricesIncludeTax="Yes",ROUND(M85-M85/(1+TaxRate),2),ROUND(M85*TaxRate,2))))</f>
        <v>0</v>
      </c>
      <c r="O85" s="29">
        <f>IF(M85="","",IF(PricesIncludeTax="Yes",M85,ROUND(M85+N85,2)))</f>
        <v>0</v>
      </c>
      <c r="P85" s="29">
        <f>IF(A85="","",SUMIFS(Payments!$E$5:$E$304,Payments!$D$5:$D$304,A85,Payments!$M$5:$M$304,"Yes"))</f>
        <v>0</v>
      </c>
      <c r="Q85" s="29">
        <f>IF(A85="","",SUMIFS(Payments!$K$5:$K$304,Payments!$D$5:$D$304,A85))</f>
        <v>0</v>
      </c>
      <c r="R85" s="29">
        <f>IF(A85="","",SUMIFS(Payments!$J$5:$J$304,Payments!$D$5:$D$304,A85))</f>
        <v>0</v>
      </c>
      <c r="S85" s="29">
        <f>IF(D85="","",ROUND(IF(T85="Cancelled",0,O85-Q85),2))</f>
        <v>0</v>
      </c>
      <c r="U85" s="49">
        <f>IF(A85="","",IF(T85="Cancelled","Cancelled",IF(S85&lt;=0.004,"Paid",IF(Q85&gt;0.004,IF(AND(C85&lt;&gt;"",TODAY()&gt;C85),"Overdue - part paid","Partially paid"),IF(AND(C85&lt;&gt;"",TODAY()&gt;C85),"Overdue",IF(T85="Draft","Draft","Unpaid"))))))</f>
        <v>0</v>
      </c>
      <c r="V85" s="31">
        <f>IF(OR(C85="",S85&lt;=0.004),"",MAX(0,TODAY()-C85))</f>
        <v>0</v>
      </c>
      <c r="W85" s="49">
        <f>IF(A85="","",IF(S85&lt;=0.004,"Paid",IF(V85="","Not due",IF(V85=0,"Current",IF(V85&lt;=30,"1-30 days",IF(V85&lt;=60,"31-60 days",IF(V85&lt;=90,"61-90 days","90+ days")))))))</f>
        <v>0</v>
      </c>
      <c r="X85" s="29">
        <f>IF(OR(V85="",V85=0),0,ROUND(S85*LateFeePct,2))</f>
        <v>0</v>
      </c>
      <c r="AA85" s="49">
        <f>IF(A85="","",IF(COUNTIF(Invoices!$A$5:$A$304,A85)&gt;1,"Duplicate number","OK"))</f>
        <v>0</v>
      </c>
      <c r="AC85" s="28">
        <f>IF(B85="","",TEXT(B85,"yyyy-mm"))</f>
        <v>0</v>
      </c>
      <c r="AD85" s="49">
        <f>IF(A85="","",IF(T85="Draft","Action - still a draft",IF(U85="Overdue","Overdue - chase payment",IF(U85="Overdue - part paid","Overdue - chase the balance",IF(AND(S85&gt;0.004,C85&lt;&gt;"",C85-TODAY()&lt;=ReminderLeadDays,C85&gt;=TODAY()),"Due soon - send a reminder","OK")))))</f>
        <v>0</v>
      </c>
    </row>
    <row r="86" spans="1:30">
      <c r="A86" s="46">
        <f>IF(D86="","",InvoicePrefix&amp;TEXT(InvoiceStartNo+ROW()-5,"0000"))</f>
        <v>0</v>
      </c>
      <c r="C86" s="21">
        <f>IF(B86="","",B86+PaymentTermsDays)</f>
        <v>0</v>
      </c>
      <c r="F86" s="29">
        <f>IF(E86="",0,IFERROR(INDEX(Bookings!$AI$5:$AI$404,MATCH(E86,Bookings!$A$5:$A$404,0)),0))</f>
        <v>0</v>
      </c>
      <c r="J86" s="29">
        <f>IF(D86="","",IF(E86&lt;&gt;"",F86,ROUND(IF(H86="",0,H86)*IF(I86="",0,I86),2)))</f>
        <v>0</v>
      </c>
      <c r="M86" s="29">
        <f>IF(D86="","",ROUND(J86+IF(K86="",0,K86)-IF(L86="",0,L86),2))</f>
        <v>0</v>
      </c>
      <c r="N86" s="29">
        <f>IF(M86="","",IF(TaxRegistered&lt;&gt;"Yes",0,IF(PricesIncludeTax="Yes",ROUND(M86-M86/(1+TaxRate),2),ROUND(M86*TaxRate,2))))</f>
        <v>0</v>
      </c>
      <c r="O86" s="29">
        <f>IF(M86="","",IF(PricesIncludeTax="Yes",M86,ROUND(M86+N86,2)))</f>
        <v>0</v>
      </c>
      <c r="P86" s="29">
        <f>IF(A86="","",SUMIFS(Payments!$E$5:$E$304,Payments!$D$5:$D$304,A86,Payments!$M$5:$M$304,"Yes"))</f>
        <v>0</v>
      </c>
      <c r="Q86" s="29">
        <f>IF(A86="","",SUMIFS(Payments!$K$5:$K$304,Payments!$D$5:$D$304,A86))</f>
        <v>0</v>
      </c>
      <c r="R86" s="29">
        <f>IF(A86="","",SUMIFS(Payments!$J$5:$J$304,Payments!$D$5:$D$304,A86))</f>
        <v>0</v>
      </c>
      <c r="S86" s="29">
        <f>IF(D86="","",ROUND(IF(T86="Cancelled",0,O86-Q86),2))</f>
        <v>0</v>
      </c>
      <c r="U86" s="49">
        <f>IF(A86="","",IF(T86="Cancelled","Cancelled",IF(S86&lt;=0.004,"Paid",IF(Q86&gt;0.004,IF(AND(C86&lt;&gt;"",TODAY()&gt;C86),"Overdue - part paid","Partially paid"),IF(AND(C86&lt;&gt;"",TODAY()&gt;C86),"Overdue",IF(T86="Draft","Draft","Unpaid"))))))</f>
        <v>0</v>
      </c>
      <c r="V86" s="31">
        <f>IF(OR(C86="",S86&lt;=0.004),"",MAX(0,TODAY()-C86))</f>
        <v>0</v>
      </c>
      <c r="W86" s="49">
        <f>IF(A86="","",IF(S86&lt;=0.004,"Paid",IF(V86="","Not due",IF(V86=0,"Current",IF(V86&lt;=30,"1-30 days",IF(V86&lt;=60,"31-60 days",IF(V86&lt;=90,"61-90 days","90+ days")))))))</f>
        <v>0</v>
      </c>
      <c r="X86" s="29">
        <f>IF(OR(V86="",V86=0),0,ROUND(S86*LateFeePct,2))</f>
        <v>0</v>
      </c>
      <c r="AA86" s="49">
        <f>IF(A86="","",IF(COUNTIF(Invoices!$A$5:$A$304,A86)&gt;1,"Duplicate number","OK"))</f>
        <v>0</v>
      </c>
      <c r="AC86" s="28">
        <f>IF(B86="","",TEXT(B86,"yyyy-mm"))</f>
        <v>0</v>
      </c>
      <c r="AD86" s="49">
        <f>IF(A86="","",IF(T86="Draft","Action - still a draft",IF(U86="Overdue","Overdue - chase payment",IF(U86="Overdue - part paid","Overdue - chase the balance",IF(AND(S86&gt;0.004,C86&lt;&gt;"",C86-TODAY()&lt;=ReminderLeadDays,C86&gt;=TODAY()),"Due soon - send a reminder","OK")))))</f>
        <v>0</v>
      </c>
    </row>
    <row r="87" spans="1:30">
      <c r="A87" s="46">
        <f>IF(D87="","",InvoicePrefix&amp;TEXT(InvoiceStartNo+ROW()-5,"0000"))</f>
        <v>0</v>
      </c>
      <c r="C87" s="21">
        <f>IF(B87="","",B87+PaymentTermsDays)</f>
        <v>0</v>
      </c>
      <c r="F87" s="29">
        <f>IF(E87="",0,IFERROR(INDEX(Bookings!$AI$5:$AI$404,MATCH(E87,Bookings!$A$5:$A$404,0)),0))</f>
        <v>0</v>
      </c>
      <c r="J87" s="29">
        <f>IF(D87="","",IF(E87&lt;&gt;"",F87,ROUND(IF(H87="",0,H87)*IF(I87="",0,I87),2)))</f>
        <v>0</v>
      </c>
      <c r="M87" s="29">
        <f>IF(D87="","",ROUND(J87+IF(K87="",0,K87)-IF(L87="",0,L87),2))</f>
        <v>0</v>
      </c>
      <c r="N87" s="29">
        <f>IF(M87="","",IF(TaxRegistered&lt;&gt;"Yes",0,IF(PricesIncludeTax="Yes",ROUND(M87-M87/(1+TaxRate),2),ROUND(M87*TaxRate,2))))</f>
        <v>0</v>
      </c>
      <c r="O87" s="29">
        <f>IF(M87="","",IF(PricesIncludeTax="Yes",M87,ROUND(M87+N87,2)))</f>
        <v>0</v>
      </c>
      <c r="P87" s="29">
        <f>IF(A87="","",SUMIFS(Payments!$E$5:$E$304,Payments!$D$5:$D$304,A87,Payments!$M$5:$M$304,"Yes"))</f>
        <v>0</v>
      </c>
      <c r="Q87" s="29">
        <f>IF(A87="","",SUMIFS(Payments!$K$5:$K$304,Payments!$D$5:$D$304,A87))</f>
        <v>0</v>
      </c>
      <c r="R87" s="29">
        <f>IF(A87="","",SUMIFS(Payments!$J$5:$J$304,Payments!$D$5:$D$304,A87))</f>
        <v>0</v>
      </c>
      <c r="S87" s="29">
        <f>IF(D87="","",ROUND(IF(T87="Cancelled",0,O87-Q87),2))</f>
        <v>0</v>
      </c>
      <c r="U87" s="49">
        <f>IF(A87="","",IF(T87="Cancelled","Cancelled",IF(S87&lt;=0.004,"Paid",IF(Q87&gt;0.004,IF(AND(C87&lt;&gt;"",TODAY()&gt;C87),"Overdue - part paid","Partially paid"),IF(AND(C87&lt;&gt;"",TODAY()&gt;C87),"Overdue",IF(T87="Draft","Draft","Unpaid"))))))</f>
        <v>0</v>
      </c>
      <c r="V87" s="31">
        <f>IF(OR(C87="",S87&lt;=0.004),"",MAX(0,TODAY()-C87))</f>
        <v>0</v>
      </c>
      <c r="W87" s="49">
        <f>IF(A87="","",IF(S87&lt;=0.004,"Paid",IF(V87="","Not due",IF(V87=0,"Current",IF(V87&lt;=30,"1-30 days",IF(V87&lt;=60,"31-60 days",IF(V87&lt;=90,"61-90 days","90+ days")))))))</f>
        <v>0</v>
      </c>
      <c r="X87" s="29">
        <f>IF(OR(V87="",V87=0),0,ROUND(S87*LateFeePct,2))</f>
        <v>0</v>
      </c>
      <c r="AA87" s="49">
        <f>IF(A87="","",IF(COUNTIF(Invoices!$A$5:$A$304,A87)&gt;1,"Duplicate number","OK"))</f>
        <v>0</v>
      </c>
      <c r="AC87" s="28">
        <f>IF(B87="","",TEXT(B87,"yyyy-mm"))</f>
        <v>0</v>
      </c>
      <c r="AD87" s="49">
        <f>IF(A87="","",IF(T87="Draft","Action - still a draft",IF(U87="Overdue","Overdue - chase payment",IF(U87="Overdue - part paid","Overdue - chase the balance",IF(AND(S87&gt;0.004,C87&lt;&gt;"",C87-TODAY()&lt;=ReminderLeadDays,C87&gt;=TODAY()),"Due soon - send a reminder","OK")))))</f>
        <v>0</v>
      </c>
    </row>
    <row r="88" spans="1:30">
      <c r="A88" s="46">
        <f>IF(D88="","",InvoicePrefix&amp;TEXT(InvoiceStartNo+ROW()-5,"0000"))</f>
        <v>0</v>
      </c>
      <c r="C88" s="21">
        <f>IF(B88="","",B88+PaymentTermsDays)</f>
        <v>0</v>
      </c>
      <c r="F88" s="29">
        <f>IF(E88="",0,IFERROR(INDEX(Bookings!$AI$5:$AI$404,MATCH(E88,Bookings!$A$5:$A$404,0)),0))</f>
        <v>0</v>
      </c>
      <c r="J88" s="29">
        <f>IF(D88="","",IF(E88&lt;&gt;"",F88,ROUND(IF(H88="",0,H88)*IF(I88="",0,I88),2)))</f>
        <v>0</v>
      </c>
      <c r="M88" s="29">
        <f>IF(D88="","",ROUND(J88+IF(K88="",0,K88)-IF(L88="",0,L88),2))</f>
        <v>0</v>
      </c>
      <c r="N88" s="29">
        <f>IF(M88="","",IF(TaxRegistered&lt;&gt;"Yes",0,IF(PricesIncludeTax="Yes",ROUND(M88-M88/(1+TaxRate),2),ROUND(M88*TaxRate,2))))</f>
        <v>0</v>
      </c>
      <c r="O88" s="29">
        <f>IF(M88="","",IF(PricesIncludeTax="Yes",M88,ROUND(M88+N88,2)))</f>
        <v>0</v>
      </c>
      <c r="P88" s="29">
        <f>IF(A88="","",SUMIFS(Payments!$E$5:$E$304,Payments!$D$5:$D$304,A88,Payments!$M$5:$M$304,"Yes"))</f>
        <v>0</v>
      </c>
      <c r="Q88" s="29">
        <f>IF(A88="","",SUMIFS(Payments!$K$5:$K$304,Payments!$D$5:$D$304,A88))</f>
        <v>0</v>
      </c>
      <c r="R88" s="29">
        <f>IF(A88="","",SUMIFS(Payments!$J$5:$J$304,Payments!$D$5:$D$304,A88))</f>
        <v>0</v>
      </c>
      <c r="S88" s="29">
        <f>IF(D88="","",ROUND(IF(T88="Cancelled",0,O88-Q88),2))</f>
        <v>0</v>
      </c>
      <c r="U88" s="49">
        <f>IF(A88="","",IF(T88="Cancelled","Cancelled",IF(S88&lt;=0.004,"Paid",IF(Q88&gt;0.004,IF(AND(C88&lt;&gt;"",TODAY()&gt;C88),"Overdue - part paid","Partially paid"),IF(AND(C88&lt;&gt;"",TODAY()&gt;C88),"Overdue",IF(T88="Draft","Draft","Unpaid"))))))</f>
        <v>0</v>
      </c>
      <c r="V88" s="31">
        <f>IF(OR(C88="",S88&lt;=0.004),"",MAX(0,TODAY()-C88))</f>
        <v>0</v>
      </c>
      <c r="W88" s="49">
        <f>IF(A88="","",IF(S88&lt;=0.004,"Paid",IF(V88="","Not due",IF(V88=0,"Current",IF(V88&lt;=30,"1-30 days",IF(V88&lt;=60,"31-60 days",IF(V88&lt;=90,"61-90 days","90+ days")))))))</f>
        <v>0</v>
      </c>
      <c r="X88" s="29">
        <f>IF(OR(V88="",V88=0),0,ROUND(S88*LateFeePct,2))</f>
        <v>0</v>
      </c>
      <c r="AA88" s="49">
        <f>IF(A88="","",IF(COUNTIF(Invoices!$A$5:$A$304,A88)&gt;1,"Duplicate number","OK"))</f>
        <v>0</v>
      </c>
      <c r="AC88" s="28">
        <f>IF(B88="","",TEXT(B88,"yyyy-mm"))</f>
        <v>0</v>
      </c>
      <c r="AD88" s="49">
        <f>IF(A88="","",IF(T88="Draft","Action - still a draft",IF(U88="Overdue","Overdue - chase payment",IF(U88="Overdue - part paid","Overdue - chase the balance",IF(AND(S88&gt;0.004,C88&lt;&gt;"",C88-TODAY()&lt;=ReminderLeadDays,C88&gt;=TODAY()),"Due soon - send a reminder","OK")))))</f>
        <v>0</v>
      </c>
    </row>
    <row r="89" spans="1:30">
      <c r="A89" s="46">
        <f>IF(D89="","",InvoicePrefix&amp;TEXT(InvoiceStartNo+ROW()-5,"0000"))</f>
        <v>0</v>
      </c>
      <c r="C89" s="21">
        <f>IF(B89="","",B89+PaymentTermsDays)</f>
        <v>0</v>
      </c>
      <c r="F89" s="29">
        <f>IF(E89="",0,IFERROR(INDEX(Bookings!$AI$5:$AI$404,MATCH(E89,Bookings!$A$5:$A$404,0)),0))</f>
        <v>0</v>
      </c>
      <c r="J89" s="29">
        <f>IF(D89="","",IF(E89&lt;&gt;"",F89,ROUND(IF(H89="",0,H89)*IF(I89="",0,I89),2)))</f>
        <v>0</v>
      </c>
      <c r="M89" s="29">
        <f>IF(D89="","",ROUND(J89+IF(K89="",0,K89)-IF(L89="",0,L89),2))</f>
        <v>0</v>
      </c>
      <c r="N89" s="29">
        <f>IF(M89="","",IF(TaxRegistered&lt;&gt;"Yes",0,IF(PricesIncludeTax="Yes",ROUND(M89-M89/(1+TaxRate),2),ROUND(M89*TaxRate,2))))</f>
        <v>0</v>
      </c>
      <c r="O89" s="29">
        <f>IF(M89="","",IF(PricesIncludeTax="Yes",M89,ROUND(M89+N89,2)))</f>
        <v>0</v>
      </c>
      <c r="P89" s="29">
        <f>IF(A89="","",SUMIFS(Payments!$E$5:$E$304,Payments!$D$5:$D$304,A89,Payments!$M$5:$M$304,"Yes"))</f>
        <v>0</v>
      </c>
      <c r="Q89" s="29">
        <f>IF(A89="","",SUMIFS(Payments!$K$5:$K$304,Payments!$D$5:$D$304,A89))</f>
        <v>0</v>
      </c>
      <c r="R89" s="29">
        <f>IF(A89="","",SUMIFS(Payments!$J$5:$J$304,Payments!$D$5:$D$304,A89))</f>
        <v>0</v>
      </c>
      <c r="S89" s="29">
        <f>IF(D89="","",ROUND(IF(T89="Cancelled",0,O89-Q89),2))</f>
        <v>0</v>
      </c>
      <c r="U89" s="49">
        <f>IF(A89="","",IF(T89="Cancelled","Cancelled",IF(S89&lt;=0.004,"Paid",IF(Q89&gt;0.004,IF(AND(C89&lt;&gt;"",TODAY()&gt;C89),"Overdue - part paid","Partially paid"),IF(AND(C89&lt;&gt;"",TODAY()&gt;C89),"Overdue",IF(T89="Draft","Draft","Unpaid"))))))</f>
        <v>0</v>
      </c>
      <c r="V89" s="31">
        <f>IF(OR(C89="",S89&lt;=0.004),"",MAX(0,TODAY()-C89))</f>
        <v>0</v>
      </c>
      <c r="W89" s="49">
        <f>IF(A89="","",IF(S89&lt;=0.004,"Paid",IF(V89="","Not due",IF(V89=0,"Current",IF(V89&lt;=30,"1-30 days",IF(V89&lt;=60,"31-60 days",IF(V89&lt;=90,"61-90 days","90+ days")))))))</f>
        <v>0</v>
      </c>
      <c r="X89" s="29">
        <f>IF(OR(V89="",V89=0),0,ROUND(S89*LateFeePct,2))</f>
        <v>0</v>
      </c>
      <c r="AA89" s="49">
        <f>IF(A89="","",IF(COUNTIF(Invoices!$A$5:$A$304,A89)&gt;1,"Duplicate number","OK"))</f>
        <v>0</v>
      </c>
      <c r="AC89" s="28">
        <f>IF(B89="","",TEXT(B89,"yyyy-mm"))</f>
        <v>0</v>
      </c>
      <c r="AD89" s="49">
        <f>IF(A89="","",IF(T89="Draft","Action - still a draft",IF(U89="Overdue","Overdue - chase payment",IF(U89="Overdue - part paid","Overdue - chase the balance",IF(AND(S89&gt;0.004,C89&lt;&gt;"",C89-TODAY()&lt;=ReminderLeadDays,C89&gt;=TODAY()),"Due soon - send a reminder","OK")))))</f>
        <v>0</v>
      </c>
    </row>
    <row r="90" spans="1:30">
      <c r="A90" s="46">
        <f>IF(D90="","",InvoicePrefix&amp;TEXT(InvoiceStartNo+ROW()-5,"0000"))</f>
        <v>0</v>
      </c>
      <c r="C90" s="21">
        <f>IF(B90="","",B90+PaymentTermsDays)</f>
        <v>0</v>
      </c>
      <c r="F90" s="29">
        <f>IF(E90="",0,IFERROR(INDEX(Bookings!$AI$5:$AI$404,MATCH(E90,Bookings!$A$5:$A$404,0)),0))</f>
        <v>0</v>
      </c>
      <c r="J90" s="29">
        <f>IF(D90="","",IF(E90&lt;&gt;"",F90,ROUND(IF(H90="",0,H90)*IF(I90="",0,I90),2)))</f>
        <v>0</v>
      </c>
      <c r="M90" s="29">
        <f>IF(D90="","",ROUND(J90+IF(K90="",0,K90)-IF(L90="",0,L90),2))</f>
        <v>0</v>
      </c>
      <c r="N90" s="29">
        <f>IF(M90="","",IF(TaxRegistered&lt;&gt;"Yes",0,IF(PricesIncludeTax="Yes",ROUND(M90-M90/(1+TaxRate),2),ROUND(M90*TaxRate,2))))</f>
        <v>0</v>
      </c>
      <c r="O90" s="29">
        <f>IF(M90="","",IF(PricesIncludeTax="Yes",M90,ROUND(M90+N90,2)))</f>
        <v>0</v>
      </c>
      <c r="P90" s="29">
        <f>IF(A90="","",SUMIFS(Payments!$E$5:$E$304,Payments!$D$5:$D$304,A90,Payments!$M$5:$M$304,"Yes"))</f>
        <v>0</v>
      </c>
      <c r="Q90" s="29">
        <f>IF(A90="","",SUMIFS(Payments!$K$5:$K$304,Payments!$D$5:$D$304,A90))</f>
        <v>0</v>
      </c>
      <c r="R90" s="29">
        <f>IF(A90="","",SUMIFS(Payments!$J$5:$J$304,Payments!$D$5:$D$304,A90))</f>
        <v>0</v>
      </c>
      <c r="S90" s="29">
        <f>IF(D90="","",ROUND(IF(T90="Cancelled",0,O90-Q90),2))</f>
        <v>0</v>
      </c>
      <c r="U90" s="49">
        <f>IF(A90="","",IF(T90="Cancelled","Cancelled",IF(S90&lt;=0.004,"Paid",IF(Q90&gt;0.004,IF(AND(C90&lt;&gt;"",TODAY()&gt;C90),"Overdue - part paid","Partially paid"),IF(AND(C90&lt;&gt;"",TODAY()&gt;C90),"Overdue",IF(T90="Draft","Draft","Unpaid"))))))</f>
        <v>0</v>
      </c>
      <c r="V90" s="31">
        <f>IF(OR(C90="",S90&lt;=0.004),"",MAX(0,TODAY()-C90))</f>
        <v>0</v>
      </c>
      <c r="W90" s="49">
        <f>IF(A90="","",IF(S90&lt;=0.004,"Paid",IF(V90="","Not due",IF(V90=0,"Current",IF(V90&lt;=30,"1-30 days",IF(V90&lt;=60,"31-60 days",IF(V90&lt;=90,"61-90 days","90+ days")))))))</f>
        <v>0</v>
      </c>
      <c r="X90" s="29">
        <f>IF(OR(V90="",V90=0),0,ROUND(S90*LateFeePct,2))</f>
        <v>0</v>
      </c>
      <c r="AA90" s="49">
        <f>IF(A90="","",IF(COUNTIF(Invoices!$A$5:$A$304,A90)&gt;1,"Duplicate number","OK"))</f>
        <v>0</v>
      </c>
      <c r="AC90" s="28">
        <f>IF(B90="","",TEXT(B90,"yyyy-mm"))</f>
        <v>0</v>
      </c>
      <c r="AD90" s="49">
        <f>IF(A90="","",IF(T90="Draft","Action - still a draft",IF(U90="Overdue","Overdue - chase payment",IF(U90="Overdue - part paid","Overdue - chase the balance",IF(AND(S90&gt;0.004,C90&lt;&gt;"",C90-TODAY()&lt;=ReminderLeadDays,C90&gt;=TODAY()),"Due soon - send a reminder","OK")))))</f>
        <v>0</v>
      </c>
    </row>
    <row r="91" spans="1:30">
      <c r="A91" s="46">
        <f>IF(D91="","",InvoicePrefix&amp;TEXT(InvoiceStartNo+ROW()-5,"0000"))</f>
        <v>0</v>
      </c>
      <c r="C91" s="21">
        <f>IF(B91="","",B91+PaymentTermsDays)</f>
        <v>0</v>
      </c>
      <c r="F91" s="29">
        <f>IF(E91="",0,IFERROR(INDEX(Bookings!$AI$5:$AI$404,MATCH(E91,Bookings!$A$5:$A$404,0)),0))</f>
        <v>0</v>
      </c>
      <c r="J91" s="29">
        <f>IF(D91="","",IF(E91&lt;&gt;"",F91,ROUND(IF(H91="",0,H91)*IF(I91="",0,I91),2)))</f>
        <v>0</v>
      </c>
      <c r="M91" s="29">
        <f>IF(D91="","",ROUND(J91+IF(K91="",0,K91)-IF(L91="",0,L91),2))</f>
        <v>0</v>
      </c>
      <c r="N91" s="29">
        <f>IF(M91="","",IF(TaxRegistered&lt;&gt;"Yes",0,IF(PricesIncludeTax="Yes",ROUND(M91-M91/(1+TaxRate),2),ROUND(M91*TaxRate,2))))</f>
        <v>0</v>
      </c>
      <c r="O91" s="29">
        <f>IF(M91="","",IF(PricesIncludeTax="Yes",M91,ROUND(M91+N91,2)))</f>
        <v>0</v>
      </c>
      <c r="P91" s="29">
        <f>IF(A91="","",SUMIFS(Payments!$E$5:$E$304,Payments!$D$5:$D$304,A91,Payments!$M$5:$M$304,"Yes"))</f>
        <v>0</v>
      </c>
      <c r="Q91" s="29">
        <f>IF(A91="","",SUMIFS(Payments!$K$5:$K$304,Payments!$D$5:$D$304,A91))</f>
        <v>0</v>
      </c>
      <c r="R91" s="29">
        <f>IF(A91="","",SUMIFS(Payments!$J$5:$J$304,Payments!$D$5:$D$304,A91))</f>
        <v>0</v>
      </c>
      <c r="S91" s="29">
        <f>IF(D91="","",ROUND(IF(T91="Cancelled",0,O91-Q91),2))</f>
        <v>0</v>
      </c>
      <c r="U91" s="49">
        <f>IF(A91="","",IF(T91="Cancelled","Cancelled",IF(S91&lt;=0.004,"Paid",IF(Q91&gt;0.004,IF(AND(C91&lt;&gt;"",TODAY()&gt;C91),"Overdue - part paid","Partially paid"),IF(AND(C91&lt;&gt;"",TODAY()&gt;C91),"Overdue",IF(T91="Draft","Draft","Unpaid"))))))</f>
        <v>0</v>
      </c>
      <c r="V91" s="31">
        <f>IF(OR(C91="",S91&lt;=0.004),"",MAX(0,TODAY()-C91))</f>
        <v>0</v>
      </c>
      <c r="W91" s="49">
        <f>IF(A91="","",IF(S91&lt;=0.004,"Paid",IF(V91="","Not due",IF(V91=0,"Current",IF(V91&lt;=30,"1-30 days",IF(V91&lt;=60,"31-60 days",IF(V91&lt;=90,"61-90 days","90+ days")))))))</f>
        <v>0</v>
      </c>
      <c r="X91" s="29">
        <f>IF(OR(V91="",V91=0),0,ROUND(S91*LateFeePct,2))</f>
        <v>0</v>
      </c>
      <c r="AA91" s="49">
        <f>IF(A91="","",IF(COUNTIF(Invoices!$A$5:$A$304,A91)&gt;1,"Duplicate number","OK"))</f>
        <v>0</v>
      </c>
      <c r="AC91" s="28">
        <f>IF(B91="","",TEXT(B91,"yyyy-mm"))</f>
        <v>0</v>
      </c>
      <c r="AD91" s="49">
        <f>IF(A91="","",IF(T91="Draft","Action - still a draft",IF(U91="Overdue","Overdue - chase payment",IF(U91="Overdue - part paid","Overdue - chase the balance",IF(AND(S91&gt;0.004,C91&lt;&gt;"",C91-TODAY()&lt;=ReminderLeadDays,C91&gt;=TODAY()),"Due soon - send a reminder","OK")))))</f>
        <v>0</v>
      </c>
    </row>
    <row r="92" spans="1:30">
      <c r="A92" s="46">
        <f>IF(D92="","",InvoicePrefix&amp;TEXT(InvoiceStartNo+ROW()-5,"0000"))</f>
        <v>0</v>
      </c>
      <c r="C92" s="21">
        <f>IF(B92="","",B92+PaymentTermsDays)</f>
        <v>0</v>
      </c>
      <c r="F92" s="29">
        <f>IF(E92="",0,IFERROR(INDEX(Bookings!$AI$5:$AI$404,MATCH(E92,Bookings!$A$5:$A$404,0)),0))</f>
        <v>0</v>
      </c>
      <c r="J92" s="29">
        <f>IF(D92="","",IF(E92&lt;&gt;"",F92,ROUND(IF(H92="",0,H92)*IF(I92="",0,I92),2)))</f>
        <v>0</v>
      </c>
      <c r="M92" s="29">
        <f>IF(D92="","",ROUND(J92+IF(K92="",0,K92)-IF(L92="",0,L92),2))</f>
        <v>0</v>
      </c>
      <c r="N92" s="29">
        <f>IF(M92="","",IF(TaxRegistered&lt;&gt;"Yes",0,IF(PricesIncludeTax="Yes",ROUND(M92-M92/(1+TaxRate),2),ROUND(M92*TaxRate,2))))</f>
        <v>0</v>
      </c>
      <c r="O92" s="29">
        <f>IF(M92="","",IF(PricesIncludeTax="Yes",M92,ROUND(M92+N92,2)))</f>
        <v>0</v>
      </c>
      <c r="P92" s="29">
        <f>IF(A92="","",SUMIFS(Payments!$E$5:$E$304,Payments!$D$5:$D$304,A92,Payments!$M$5:$M$304,"Yes"))</f>
        <v>0</v>
      </c>
      <c r="Q92" s="29">
        <f>IF(A92="","",SUMIFS(Payments!$K$5:$K$304,Payments!$D$5:$D$304,A92))</f>
        <v>0</v>
      </c>
      <c r="R92" s="29">
        <f>IF(A92="","",SUMIFS(Payments!$J$5:$J$304,Payments!$D$5:$D$304,A92))</f>
        <v>0</v>
      </c>
      <c r="S92" s="29">
        <f>IF(D92="","",ROUND(IF(T92="Cancelled",0,O92-Q92),2))</f>
        <v>0</v>
      </c>
      <c r="U92" s="49">
        <f>IF(A92="","",IF(T92="Cancelled","Cancelled",IF(S92&lt;=0.004,"Paid",IF(Q92&gt;0.004,IF(AND(C92&lt;&gt;"",TODAY()&gt;C92),"Overdue - part paid","Partially paid"),IF(AND(C92&lt;&gt;"",TODAY()&gt;C92),"Overdue",IF(T92="Draft","Draft","Unpaid"))))))</f>
        <v>0</v>
      </c>
      <c r="V92" s="31">
        <f>IF(OR(C92="",S92&lt;=0.004),"",MAX(0,TODAY()-C92))</f>
        <v>0</v>
      </c>
      <c r="W92" s="49">
        <f>IF(A92="","",IF(S92&lt;=0.004,"Paid",IF(V92="","Not due",IF(V92=0,"Current",IF(V92&lt;=30,"1-30 days",IF(V92&lt;=60,"31-60 days",IF(V92&lt;=90,"61-90 days","90+ days")))))))</f>
        <v>0</v>
      </c>
      <c r="X92" s="29">
        <f>IF(OR(V92="",V92=0),0,ROUND(S92*LateFeePct,2))</f>
        <v>0</v>
      </c>
      <c r="AA92" s="49">
        <f>IF(A92="","",IF(COUNTIF(Invoices!$A$5:$A$304,A92)&gt;1,"Duplicate number","OK"))</f>
        <v>0</v>
      </c>
      <c r="AC92" s="28">
        <f>IF(B92="","",TEXT(B92,"yyyy-mm"))</f>
        <v>0</v>
      </c>
      <c r="AD92" s="49">
        <f>IF(A92="","",IF(T92="Draft","Action - still a draft",IF(U92="Overdue","Overdue - chase payment",IF(U92="Overdue - part paid","Overdue - chase the balance",IF(AND(S92&gt;0.004,C92&lt;&gt;"",C92-TODAY()&lt;=ReminderLeadDays,C92&gt;=TODAY()),"Due soon - send a reminder","OK")))))</f>
        <v>0</v>
      </c>
    </row>
    <row r="93" spans="1:30">
      <c r="A93" s="46">
        <f>IF(D93="","",InvoicePrefix&amp;TEXT(InvoiceStartNo+ROW()-5,"0000"))</f>
        <v>0</v>
      </c>
      <c r="C93" s="21">
        <f>IF(B93="","",B93+PaymentTermsDays)</f>
        <v>0</v>
      </c>
      <c r="F93" s="29">
        <f>IF(E93="",0,IFERROR(INDEX(Bookings!$AI$5:$AI$404,MATCH(E93,Bookings!$A$5:$A$404,0)),0))</f>
        <v>0</v>
      </c>
      <c r="J93" s="29">
        <f>IF(D93="","",IF(E93&lt;&gt;"",F93,ROUND(IF(H93="",0,H93)*IF(I93="",0,I93),2)))</f>
        <v>0</v>
      </c>
      <c r="M93" s="29">
        <f>IF(D93="","",ROUND(J93+IF(K93="",0,K93)-IF(L93="",0,L93),2))</f>
        <v>0</v>
      </c>
      <c r="N93" s="29">
        <f>IF(M93="","",IF(TaxRegistered&lt;&gt;"Yes",0,IF(PricesIncludeTax="Yes",ROUND(M93-M93/(1+TaxRate),2),ROUND(M93*TaxRate,2))))</f>
        <v>0</v>
      </c>
      <c r="O93" s="29">
        <f>IF(M93="","",IF(PricesIncludeTax="Yes",M93,ROUND(M93+N93,2)))</f>
        <v>0</v>
      </c>
      <c r="P93" s="29">
        <f>IF(A93="","",SUMIFS(Payments!$E$5:$E$304,Payments!$D$5:$D$304,A93,Payments!$M$5:$M$304,"Yes"))</f>
        <v>0</v>
      </c>
      <c r="Q93" s="29">
        <f>IF(A93="","",SUMIFS(Payments!$K$5:$K$304,Payments!$D$5:$D$304,A93))</f>
        <v>0</v>
      </c>
      <c r="R93" s="29">
        <f>IF(A93="","",SUMIFS(Payments!$J$5:$J$304,Payments!$D$5:$D$304,A93))</f>
        <v>0</v>
      </c>
      <c r="S93" s="29">
        <f>IF(D93="","",ROUND(IF(T93="Cancelled",0,O93-Q93),2))</f>
        <v>0</v>
      </c>
      <c r="U93" s="49">
        <f>IF(A93="","",IF(T93="Cancelled","Cancelled",IF(S93&lt;=0.004,"Paid",IF(Q93&gt;0.004,IF(AND(C93&lt;&gt;"",TODAY()&gt;C93),"Overdue - part paid","Partially paid"),IF(AND(C93&lt;&gt;"",TODAY()&gt;C93),"Overdue",IF(T93="Draft","Draft","Unpaid"))))))</f>
        <v>0</v>
      </c>
      <c r="V93" s="31">
        <f>IF(OR(C93="",S93&lt;=0.004),"",MAX(0,TODAY()-C93))</f>
        <v>0</v>
      </c>
      <c r="W93" s="49">
        <f>IF(A93="","",IF(S93&lt;=0.004,"Paid",IF(V93="","Not due",IF(V93=0,"Current",IF(V93&lt;=30,"1-30 days",IF(V93&lt;=60,"31-60 days",IF(V93&lt;=90,"61-90 days","90+ days")))))))</f>
        <v>0</v>
      </c>
      <c r="X93" s="29">
        <f>IF(OR(V93="",V93=0),0,ROUND(S93*LateFeePct,2))</f>
        <v>0</v>
      </c>
      <c r="AA93" s="49">
        <f>IF(A93="","",IF(COUNTIF(Invoices!$A$5:$A$304,A93)&gt;1,"Duplicate number","OK"))</f>
        <v>0</v>
      </c>
      <c r="AC93" s="28">
        <f>IF(B93="","",TEXT(B93,"yyyy-mm"))</f>
        <v>0</v>
      </c>
      <c r="AD93" s="49">
        <f>IF(A93="","",IF(T93="Draft","Action - still a draft",IF(U93="Overdue","Overdue - chase payment",IF(U93="Overdue - part paid","Overdue - chase the balance",IF(AND(S93&gt;0.004,C93&lt;&gt;"",C93-TODAY()&lt;=ReminderLeadDays,C93&gt;=TODAY()),"Due soon - send a reminder","OK")))))</f>
        <v>0</v>
      </c>
    </row>
    <row r="94" spans="1:30">
      <c r="A94" s="46">
        <f>IF(D94="","",InvoicePrefix&amp;TEXT(InvoiceStartNo+ROW()-5,"0000"))</f>
        <v>0</v>
      </c>
      <c r="C94" s="21">
        <f>IF(B94="","",B94+PaymentTermsDays)</f>
        <v>0</v>
      </c>
      <c r="F94" s="29">
        <f>IF(E94="",0,IFERROR(INDEX(Bookings!$AI$5:$AI$404,MATCH(E94,Bookings!$A$5:$A$404,0)),0))</f>
        <v>0</v>
      </c>
      <c r="J94" s="29">
        <f>IF(D94="","",IF(E94&lt;&gt;"",F94,ROUND(IF(H94="",0,H94)*IF(I94="",0,I94),2)))</f>
        <v>0</v>
      </c>
      <c r="M94" s="29">
        <f>IF(D94="","",ROUND(J94+IF(K94="",0,K94)-IF(L94="",0,L94),2))</f>
        <v>0</v>
      </c>
      <c r="N94" s="29">
        <f>IF(M94="","",IF(TaxRegistered&lt;&gt;"Yes",0,IF(PricesIncludeTax="Yes",ROUND(M94-M94/(1+TaxRate),2),ROUND(M94*TaxRate,2))))</f>
        <v>0</v>
      </c>
      <c r="O94" s="29">
        <f>IF(M94="","",IF(PricesIncludeTax="Yes",M94,ROUND(M94+N94,2)))</f>
        <v>0</v>
      </c>
      <c r="P94" s="29">
        <f>IF(A94="","",SUMIFS(Payments!$E$5:$E$304,Payments!$D$5:$D$304,A94,Payments!$M$5:$M$304,"Yes"))</f>
        <v>0</v>
      </c>
      <c r="Q94" s="29">
        <f>IF(A94="","",SUMIFS(Payments!$K$5:$K$304,Payments!$D$5:$D$304,A94))</f>
        <v>0</v>
      </c>
      <c r="R94" s="29">
        <f>IF(A94="","",SUMIFS(Payments!$J$5:$J$304,Payments!$D$5:$D$304,A94))</f>
        <v>0</v>
      </c>
      <c r="S94" s="29">
        <f>IF(D94="","",ROUND(IF(T94="Cancelled",0,O94-Q94),2))</f>
        <v>0</v>
      </c>
      <c r="U94" s="49">
        <f>IF(A94="","",IF(T94="Cancelled","Cancelled",IF(S94&lt;=0.004,"Paid",IF(Q94&gt;0.004,IF(AND(C94&lt;&gt;"",TODAY()&gt;C94),"Overdue - part paid","Partially paid"),IF(AND(C94&lt;&gt;"",TODAY()&gt;C94),"Overdue",IF(T94="Draft","Draft","Unpaid"))))))</f>
        <v>0</v>
      </c>
      <c r="V94" s="31">
        <f>IF(OR(C94="",S94&lt;=0.004),"",MAX(0,TODAY()-C94))</f>
        <v>0</v>
      </c>
      <c r="W94" s="49">
        <f>IF(A94="","",IF(S94&lt;=0.004,"Paid",IF(V94="","Not due",IF(V94=0,"Current",IF(V94&lt;=30,"1-30 days",IF(V94&lt;=60,"31-60 days",IF(V94&lt;=90,"61-90 days","90+ days")))))))</f>
        <v>0</v>
      </c>
      <c r="X94" s="29">
        <f>IF(OR(V94="",V94=0),0,ROUND(S94*LateFeePct,2))</f>
        <v>0</v>
      </c>
      <c r="AA94" s="49">
        <f>IF(A94="","",IF(COUNTIF(Invoices!$A$5:$A$304,A94)&gt;1,"Duplicate number","OK"))</f>
        <v>0</v>
      </c>
      <c r="AC94" s="28">
        <f>IF(B94="","",TEXT(B94,"yyyy-mm"))</f>
        <v>0</v>
      </c>
      <c r="AD94" s="49">
        <f>IF(A94="","",IF(T94="Draft","Action - still a draft",IF(U94="Overdue","Overdue - chase payment",IF(U94="Overdue - part paid","Overdue - chase the balance",IF(AND(S94&gt;0.004,C94&lt;&gt;"",C94-TODAY()&lt;=ReminderLeadDays,C94&gt;=TODAY()),"Due soon - send a reminder","OK")))))</f>
        <v>0</v>
      </c>
    </row>
    <row r="95" spans="1:30">
      <c r="A95" s="46">
        <f>IF(D95="","",InvoicePrefix&amp;TEXT(InvoiceStartNo+ROW()-5,"0000"))</f>
        <v>0</v>
      </c>
      <c r="C95" s="21">
        <f>IF(B95="","",B95+PaymentTermsDays)</f>
        <v>0</v>
      </c>
      <c r="F95" s="29">
        <f>IF(E95="",0,IFERROR(INDEX(Bookings!$AI$5:$AI$404,MATCH(E95,Bookings!$A$5:$A$404,0)),0))</f>
        <v>0</v>
      </c>
      <c r="J95" s="29">
        <f>IF(D95="","",IF(E95&lt;&gt;"",F95,ROUND(IF(H95="",0,H95)*IF(I95="",0,I95),2)))</f>
        <v>0</v>
      </c>
      <c r="M95" s="29">
        <f>IF(D95="","",ROUND(J95+IF(K95="",0,K95)-IF(L95="",0,L95),2))</f>
        <v>0</v>
      </c>
      <c r="N95" s="29">
        <f>IF(M95="","",IF(TaxRegistered&lt;&gt;"Yes",0,IF(PricesIncludeTax="Yes",ROUND(M95-M95/(1+TaxRate),2),ROUND(M95*TaxRate,2))))</f>
        <v>0</v>
      </c>
      <c r="O95" s="29">
        <f>IF(M95="","",IF(PricesIncludeTax="Yes",M95,ROUND(M95+N95,2)))</f>
        <v>0</v>
      </c>
      <c r="P95" s="29">
        <f>IF(A95="","",SUMIFS(Payments!$E$5:$E$304,Payments!$D$5:$D$304,A95,Payments!$M$5:$M$304,"Yes"))</f>
        <v>0</v>
      </c>
      <c r="Q95" s="29">
        <f>IF(A95="","",SUMIFS(Payments!$K$5:$K$304,Payments!$D$5:$D$304,A95))</f>
        <v>0</v>
      </c>
      <c r="R95" s="29">
        <f>IF(A95="","",SUMIFS(Payments!$J$5:$J$304,Payments!$D$5:$D$304,A95))</f>
        <v>0</v>
      </c>
      <c r="S95" s="29">
        <f>IF(D95="","",ROUND(IF(T95="Cancelled",0,O95-Q95),2))</f>
        <v>0</v>
      </c>
      <c r="U95" s="49">
        <f>IF(A95="","",IF(T95="Cancelled","Cancelled",IF(S95&lt;=0.004,"Paid",IF(Q95&gt;0.004,IF(AND(C95&lt;&gt;"",TODAY()&gt;C95),"Overdue - part paid","Partially paid"),IF(AND(C95&lt;&gt;"",TODAY()&gt;C95),"Overdue",IF(T95="Draft","Draft","Unpaid"))))))</f>
        <v>0</v>
      </c>
      <c r="V95" s="31">
        <f>IF(OR(C95="",S95&lt;=0.004),"",MAX(0,TODAY()-C95))</f>
        <v>0</v>
      </c>
      <c r="W95" s="49">
        <f>IF(A95="","",IF(S95&lt;=0.004,"Paid",IF(V95="","Not due",IF(V95=0,"Current",IF(V95&lt;=30,"1-30 days",IF(V95&lt;=60,"31-60 days",IF(V95&lt;=90,"61-90 days","90+ days")))))))</f>
        <v>0</v>
      </c>
      <c r="X95" s="29">
        <f>IF(OR(V95="",V95=0),0,ROUND(S95*LateFeePct,2))</f>
        <v>0</v>
      </c>
      <c r="AA95" s="49">
        <f>IF(A95="","",IF(COUNTIF(Invoices!$A$5:$A$304,A95)&gt;1,"Duplicate number","OK"))</f>
        <v>0</v>
      </c>
      <c r="AC95" s="28">
        <f>IF(B95="","",TEXT(B95,"yyyy-mm"))</f>
        <v>0</v>
      </c>
      <c r="AD95" s="49">
        <f>IF(A95="","",IF(T95="Draft","Action - still a draft",IF(U95="Overdue","Overdue - chase payment",IF(U95="Overdue - part paid","Overdue - chase the balance",IF(AND(S95&gt;0.004,C95&lt;&gt;"",C95-TODAY()&lt;=ReminderLeadDays,C95&gt;=TODAY()),"Due soon - send a reminder","OK")))))</f>
        <v>0</v>
      </c>
    </row>
    <row r="96" spans="1:30">
      <c r="A96" s="46">
        <f>IF(D96="","",InvoicePrefix&amp;TEXT(InvoiceStartNo+ROW()-5,"0000"))</f>
        <v>0</v>
      </c>
      <c r="C96" s="21">
        <f>IF(B96="","",B96+PaymentTermsDays)</f>
        <v>0</v>
      </c>
      <c r="F96" s="29">
        <f>IF(E96="",0,IFERROR(INDEX(Bookings!$AI$5:$AI$404,MATCH(E96,Bookings!$A$5:$A$404,0)),0))</f>
        <v>0</v>
      </c>
      <c r="J96" s="29">
        <f>IF(D96="","",IF(E96&lt;&gt;"",F96,ROUND(IF(H96="",0,H96)*IF(I96="",0,I96),2)))</f>
        <v>0</v>
      </c>
      <c r="M96" s="29">
        <f>IF(D96="","",ROUND(J96+IF(K96="",0,K96)-IF(L96="",0,L96),2))</f>
        <v>0</v>
      </c>
      <c r="N96" s="29">
        <f>IF(M96="","",IF(TaxRegistered&lt;&gt;"Yes",0,IF(PricesIncludeTax="Yes",ROUND(M96-M96/(1+TaxRate),2),ROUND(M96*TaxRate,2))))</f>
        <v>0</v>
      </c>
      <c r="O96" s="29">
        <f>IF(M96="","",IF(PricesIncludeTax="Yes",M96,ROUND(M96+N96,2)))</f>
        <v>0</v>
      </c>
      <c r="P96" s="29">
        <f>IF(A96="","",SUMIFS(Payments!$E$5:$E$304,Payments!$D$5:$D$304,A96,Payments!$M$5:$M$304,"Yes"))</f>
        <v>0</v>
      </c>
      <c r="Q96" s="29">
        <f>IF(A96="","",SUMIFS(Payments!$K$5:$K$304,Payments!$D$5:$D$304,A96))</f>
        <v>0</v>
      </c>
      <c r="R96" s="29">
        <f>IF(A96="","",SUMIFS(Payments!$J$5:$J$304,Payments!$D$5:$D$304,A96))</f>
        <v>0</v>
      </c>
      <c r="S96" s="29">
        <f>IF(D96="","",ROUND(IF(T96="Cancelled",0,O96-Q96),2))</f>
        <v>0</v>
      </c>
      <c r="U96" s="49">
        <f>IF(A96="","",IF(T96="Cancelled","Cancelled",IF(S96&lt;=0.004,"Paid",IF(Q96&gt;0.004,IF(AND(C96&lt;&gt;"",TODAY()&gt;C96),"Overdue - part paid","Partially paid"),IF(AND(C96&lt;&gt;"",TODAY()&gt;C96),"Overdue",IF(T96="Draft","Draft","Unpaid"))))))</f>
        <v>0</v>
      </c>
      <c r="V96" s="31">
        <f>IF(OR(C96="",S96&lt;=0.004),"",MAX(0,TODAY()-C96))</f>
        <v>0</v>
      </c>
      <c r="W96" s="49">
        <f>IF(A96="","",IF(S96&lt;=0.004,"Paid",IF(V96="","Not due",IF(V96=0,"Current",IF(V96&lt;=30,"1-30 days",IF(V96&lt;=60,"31-60 days",IF(V96&lt;=90,"61-90 days","90+ days")))))))</f>
        <v>0</v>
      </c>
      <c r="X96" s="29">
        <f>IF(OR(V96="",V96=0),0,ROUND(S96*LateFeePct,2))</f>
        <v>0</v>
      </c>
      <c r="AA96" s="49">
        <f>IF(A96="","",IF(COUNTIF(Invoices!$A$5:$A$304,A96)&gt;1,"Duplicate number","OK"))</f>
        <v>0</v>
      </c>
      <c r="AC96" s="28">
        <f>IF(B96="","",TEXT(B96,"yyyy-mm"))</f>
        <v>0</v>
      </c>
      <c r="AD96" s="49">
        <f>IF(A96="","",IF(T96="Draft","Action - still a draft",IF(U96="Overdue","Overdue - chase payment",IF(U96="Overdue - part paid","Overdue - chase the balance",IF(AND(S96&gt;0.004,C96&lt;&gt;"",C96-TODAY()&lt;=ReminderLeadDays,C96&gt;=TODAY()),"Due soon - send a reminder","OK")))))</f>
        <v>0</v>
      </c>
    </row>
    <row r="97" spans="1:30">
      <c r="A97" s="46">
        <f>IF(D97="","",InvoicePrefix&amp;TEXT(InvoiceStartNo+ROW()-5,"0000"))</f>
        <v>0</v>
      </c>
      <c r="C97" s="21">
        <f>IF(B97="","",B97+PaymentTermsDays)</f>
        <v>0</v>
      </c>
      <c r="F97" s="29">
        <f>IF(E97="",0,IFERROR(INDEX(Bookings!$AI$5:$AI$404,MATCH(E97,Bookings!$A$5:$A$404,0)),0))</f>
        <v>0</v>
      </c>
      <c r="J97" s="29">
        <f>IF(D97="","",IF(E97&lt;&gt;"",F97,ROUND(IF(H97="",0,H97)*IF(I97="",0,I97),2)))</f>
        <v>0</v>
      </c>
      <c r="M97" s="29">
        <f>IF(D97="","",ROUND(J97+IF(K97="",0,K97)-IF(L97="",0,L97),2))</f>
        <v>0</v>
      </c>
      <c r="N97" s="29">
        <f>IF(M97="","",IF(TaxRegistered&lt;&gt;"Yes",0,IF(PricesIncludeTax="Yes",ROUND(M97-M97/(1+TaxRate),2),ROUND(M97*TaxRate,2))))</f>
        <v>0</v>
      </c>
      <c r="O97" s="29">
        <f>IF(M97="","",IF(PricesIncludeTax="Yes",M97,ROUND(M97+N97,2)))</f>
        <v>0</v>
      </c>
      <c r="P97" s="29">
        <f>IF(A97="","",SUMIFS(Payments!$E$5:$E$304,Payments!$D$5:$D$304,A97,Payments!$M$5:$M$304,"Yes"))</f>
        <v>0</v>
      </c>
      <c r="Q97" s="29">
        <f>IF(A97="","",SUMIFS(Payments!$K$5:$K$304,Payments!$D$5:$D$304,A97))</f>
        <v>0</v>
      </c>
      <c r="R97" s="29">
        <f>IF(A97="","",SUMIFS(Payments!$J$5:$J$304,Payments!$D$5:$D$304,A97))</f>
        <v>0</v>
      </c>
      <c r="S97" s="29">
        <f>IF(D97="","",ROUND(IF(T97="Cancelled",0,O97-Q97),2))</f>
        <v>0</v>
      </c>
      <c r="U97" s="49">
        <f>IF(A97="","",IF(T97="Cancelled","Cancelled",IF(S97&lt;=0.004,"Paid",IF(Q97&gt;0.004,IF(AND(C97&lt;&gt;"",TODAY()&gt;C97),"Overdue - part paid","Partially paid"),IF(AND(C97&lt;&gt;"",TODAY()&gt;C97),"Overdue",IF(T97="Draft","Draft","Unpaid"))))))</f>
        <v>0</v>
      </c>
      <c r="V97" s="31">
        <f>IF(OR(C97="",S97&lt;=0.004),"",MAX(0,TODAY()-C97))</f>
        <v>0</v>
      </c>
      <c r="W97" s="49">
        <f>IF(A97="","",IF(S97&lt;=0.004,"Paid",IF(V97="","Not due",IF(V97=0,"Current",IF(V97&lt;=30,"1-30 days",IF(V97&lt;=60,"31-60 days",IF(V97&lt;=90,"61-90 days","90+ days")))))))</f>
        <v>0</v>
      </c>
      <c r="X97" s="29">
        <f>IF(OR(V97="",V97=0),0,ROUND(S97*LateFeePct,2))</f>
        <v>0</v>
      </c>
      <c r="AA97" s="49">
        <f>IF(A97="","",IF(COUNTIF(Invoices!$A$5:$A$304,A97)&gt;1,"Duplicate number","OK"))</f>
        <v>0</v>
      </c>
      <c r="AC97" s="28">
        <f>IF(B97="","",TEXT(B97,"yyyy-mm"))</f>
        <v>0</v>
      </c>
      <c r="AD97" s="49">
        <f>IF(A97="","",IF(T97="Draft","Action - still a draft",IF(U97="Overdue","Overdue - chase payment",IF(U97="Overdue - part paid","Overdue - chase the balance",IF(AND(S97&gt;0.004,C97&lt;&gt;"",C97-TODAY()&lt;=ReminderLeadDays,C97&gt;=TODAY()),"Due soon - send a reminder","OK")))))</f>
        <v>0</v>
      </c>
    </row>
    <row r="98" spans="1:30">
      <c r="A98" s="46">
        <f>IF(D98="","",InvoicePrefix&amp;TEXT(InvoiceStartNo+ROW()-5,"0000"))</f>
        <v>0</v>
      </c>
      <c r="C98" s="21">
        <f>IF(B98="","",B98+PaymentTermsDays)</f>
        <v>0</v>
      </c>
      <c r="F98" s="29">
        <f>IF(E98="",0,IFERROR(INDEX(Bookings!$AI$5:$AI$404,MATCH(E98,Bookings!$A$5:$A$404,0)),0))</f>
        <v>0</v>
      </c>
      <c r="J98" s="29">
        <f>IF(D98="","",IF(E98&lt;&gt;"",F98,ROUND(IF(H98="",0,H98)*IF(I98="",0,I98),2)))</f>
        <v>0</v>
      </c>
      <c r="M98" s="29">
        <f>IF(D98="","",ROUND(J98+IF(K98="",0,K98)-IF(L98="",0,L98),2))</f>
        <v>0</v>
      </c>
      <c r="N98" s="29">
        <f>IF(M98="","",IF(TaxRegistered&lt;&gt;"Yes",0,IF(PricesIncludeTax="Yes",ROUND(M98-M98/(1+TaxRate),2),ROUND(M98*TaxRate,2))))</f>
        <v>0</v>
      </c>
      <c r="O98" s="29">
        <f>IF(M98="","",IF(PricesIncludeTax="Yes",M98,ROUND(M98+N98,2)))</f>
        <v>0</v>
      </c>
      <c r="P98" s="29">
        <f>IF(A98="","",SUMIFS(Payments!$E$5:$E$304,Payments!$D$5:$D$304,A98,Payments!$M$5:$M$304,"Yes"))</f>
        <v>0</v>
      </c>
      <c r="Q98" s="29">
        <f>IF(A98="","",SUMIFS(Payments!$K$5:$K$304,Payments!$D$5:$D$304,A98))</f>
        <v>0</v>
      </c>
      <c r="R98" s="29">
        <f>IF(A98="","",SUMIFS(Payments!$J$5:$J$304,Payments!$D$5:$D$304,A98))</f>
        <v>0</v>
      </c>
      <c r="S98" s="29">
        <f>IF(D98="","",ROUND(IF(T98="Cancelled",0,O98-Q98),2))</f>
        <v>0</v>
      </c>
      <c r="U98" s="49">
        <f>IF(A98="","",IF(T98="Cancelled","Cancelled",IF(S98&lt;=0.004,"Paid",IF(Q98&gt;0.004,IF(AND(C98&lt;&gt;"",TODAY()&gt;C98),"Overdue - part paid","Partially paid"),IF(AND(C98&lt;&gt;"",TODAY()&gt;C98),"Overdue",IF(T98="Draft","Draft","Unpaid"))))))</f>
        <v>0</v>
      </c>
      <c r="V98" s="31">
        <f>IF(OR(C98="",S98&lt;=0.004),"",MAX(0,TODAY()-C98))</f>
        <v>0</v>
      </c>
      <c r="W98" s="49">
        <f>IF(A98="","",IF(S98&lt;=0.004,"Paid",IF(V98="","Not due",IF(V98=0,"Current",IF(V98&lt;=30,"1-30 days",IF(V98&lt;=60,"31-60 days",IF(V98&lt;=90,"61-90 days","90+ days")))))))</f>
        <v>0</v>
      </c>
      <c r="X98" s="29">
        <f>IF(OR(V98="",V98=0),0,ROUND(S98*LateFeePct,2))</f>
        <v>0</v>
      </c>
      <c r="AA98" s="49">
        <f>IF(A98="","",IF(COUNTIF(Invoices!$A$5:$A$304,A98)&gt;1,"Duplicate number","OK"))</f>
        <v>0</v>
      </c>
      <c r="AC98" s="28">
        <f>IF(B98="","",TEXT(B98,"yyyy-mm"))</f>
        <v>0</v>
      </c>
      <c r="AD98" s="49">
        <f>IF(A98="","",IF(T98="Draft","Action - still a draft",IF(U98="Overdue","Overdue - chase payment",IF(U98="Overdue - part paid","Overdue - chase the balance",IF(AND(S98&gt;0.004,C98&lt;&gt;"",C98-TODAY()&lt;=ReminderLeadDays,C98&gt;=TODAY()),"Due soon - send a reminder","OK")))))</f>
        <v>0</v>
      </c>
    </row>
    <row r="99" spans="1:30">
      <c r="A99" s="46">
        <f>IF(D99="","",InvoicePrefix&amp;TEXT(InvoiceStartNo+ROW()-5,"0000"))</f>
        <v>0</v>
      </c>
      <c r="C99" s="21">
        <f>IF(B99="","",B99+PaymentTermsDays)</f>
        <v>0</v>
      </c>
      <c r="F99" s="29">
        <f>IF(E99="",0,IFERROR(INDEX(Bookings!$AI$5:$AI$404,MATCH(E99,Bookings!$A$5:$A$404,0)),0))</f>
        <v>0</v>
      </c>
      <c r="J99" s="29">
        <f>IF(D99="","",IF(E99&lt;&gt;"",F99,ROUND(IF(H99="",0,H99)*IF(I99="",0,I99),2)))</f>
        <v>0</v>
      </c>
      <c r="M99" s="29">
        <f>IF(D99="","",ROUND(J99+IF(K99="",0,K99)-IF(L99="",0,L99),2))</f>
        <v>0</v>
      </c>
      <c r="N99" s="29">
        <f>IF(M99="","",IF(TaxRegistered&lt;&gt;"Yes",0,IF(PricesIncludeTax="Yes",ROUND(M99-M99/(1+TaxRate),2),ROUND(M99*TaxRate,2))))</f>
        <v>0</v>
      </c>
      <c r="O99" s="29">
        <f>IF(M99="","",IF(PricesIncludeTax="Yes",M99,ROUND(M99+N99,2)))</f>
        <v>0</v>
      </c>
      <c r="P99" s="29">
        <f>IF(A99="","",SUMIFS(Payments!$E$5:$E$304,Payments!$D$5:$D$304,A99,Payments!$M$5:$M$304,"Yes"))</f>
        <v>0</v>
      </c>
      <c r="Q99" s="29">
        <f>IF(A99="","",SUMIFS(Payments!$K$5:$K$304,Payments!$D$5:$D$304,A99))</f>
        <v>0</v>
      </c>
      <c r="R99" s="29">
        <f>IF(A99="","",SUMIFS(Payments!$J$5:$J$304,Payments!$D$5:$D$304,A99))</f>
        <v>0</v>
      </c>
      <c r="S99" s="29">
        <f>IF(D99="","",ROUND(IF(T99="Cancelled",0,O99-Q99),2))</f>
        <v>0</v>
      </c>
      <c r="U99" s="49">
        <f>IF(A99="","",IF(T99="Cancelled","Cancelled",IF(S99&lt;=0.004,"Paid",IF(Q99&gt;0.004,IF(AND(C99&lt;&gt;"",TODAY()&gt;C99),"Overdue - part paid","Partially paid"),IF(AND(C99&lt;&gt;"",TODAY()&gt;C99),"Overdue",IF(T99="Draft","Draft","Unpaid"))))))</f>
        <v>0</v>
      </c>
      <c r="V99" s="31">
        <f>IF(OR(C99="",S99&lt;=0.004),"",MAX(0,TODAY()-C99))</f>
        <v>0</v>
      </c>
      <c r="W99" s="49">
        <f>IF(A99="","",IF(S99&lt;=0.004,"Paid",IF(V99="","Not due",IF(V99=0,"Current",IF(V99&lt;=30,"1-30 days",IF(V99&lt;=60,"31-60 days",IF(V99&lt;=90,"61-90 days","90+ days")))))))</f>
        <v>0</v>
      </c>
      <c r="X99" s="29">
        <f>IF(OR(V99="",V99=0),0,ROUND(S99*LateFeePct,2))</f>
        <v>0</v>
      </c>
      <c r="AA99" s="49">
        <f>IF(A99="","",IF(COUNTIF(Invoices!$A$5:$A$304,A99)&gt;1,"Duplicate number","OK"))</f>
        <v>0</v>
      </c>
      <c r="AC99" s="28">
        <f>IF(B99="","",TEXT(B99,"yyyy-mm"))</f>
        <v>0</v>
      </c>
      <c r="AD99" s="49">
        <f>IF(A99="","",IF(T99="Draft","Action - still a draft",IF(U99="Overdue","Overdue - chase payment",IF(U99="Overdue - part paid","Overdue - chase the balance",IF(AND(S99&gt;0.004,C99&lt;&gt;"",C99-TODAY()&lt;=ReminderLeadDays,C99&gt;=TODAY()),"Due soon - send a reminder","OK")))))</f>
        <v>0</v>
      </c>
    </row>
    <row r="100" spans="1:30">
      <c r="A100" s="46">
        <f>IF(D100="","",InvoicePrefix&amp;TEXT(InvoiceStartNo+ROW()-5,"0000"))</f>
        <v>0</v>
      </c>
      <c r="C100" s="21">
        <f>IF(B100="","",B100+PaymentTermsDays)</f>
        <v>0</v>
      </c>
      <c r="F100" s="29">
        <f>IF(E100="",0,IFERROR(INDEX(Bookings!$AI$5:$AI$404,MATCH(E100,Bookings!$A$5:$A$404,0)),0))</f>
        <v>0</v>
      </c>
      <c r="J100" s="29">
        <f>IF(D100="","",IF(E100&lt;&gt;"",F100,ROUND(IF(H100="",0,H100)*IF(I100="",0,I100),2)))</f>
        <v>0</v>
      </c>
      <c r="M100" s="29">
        <f>IF(D100="","",ROUND(J100+IF(K100="",0,K100)-IF(L100="",0,L100),2))</f>
        <v>0</v>
      </c>
      <c r="N100" s="29">
        <f>IF(M100="","",IF(TaxRegistered&lt;&gt;"Yes",0,IF(PricesIncludeTax="Yes",ROUND(M100-M100/(1+TaxRate),2),ROUND(M100*TaxRate,2))))</f>
        <v>0</v>
      </c>
      <c r="O100" s="29">
        <f>IF(M100="","",IF(PricesIncludeTax="Yes",M100,ROUND(M100+N100,2)))</f>
        <v>0</v>
      </c>
      <c r="P100" s="29">
        <f>IF(A100="","",SUMIFS(Payments!$E$5:$E$304,Payments!$D$5:$D$304,A100,Payments!$M$5:$M$304,"Yes"))</f>
        <v>0</v>
      </c>
      <c r="Q100" s="29">
        <f>IF(A100="","",SUMIFS(Payments!$K$5:$K$304,Payments!$D$5:$D$304,A100))</f>
        <v>0</v>
      </c>
      <c r="R100" s="29">
        <f>IF(A100="","",SUMIFS(Payments!$J$5:$J$304,Payments!$D$5:$D$304,A100))</f>
        <v>0</v>
      </c>
      <c r="S100" s="29">
        <f>IF(D100="","",ROUND(IF(T100="Cancelled",0,O100-Q100),2))</f>
        <v>0</v>
      </c>
      <c r="U100" s="49">
        <f>IF(A100="","",IF(T100="Cancelled","Cancelled",IF(S100&lt;=0.004,"Paid",IF(Q100&gt;0.004,IF(AND(C100&lt;&gt;"",TODAY()&gt;C100),"Overdue - part paid","Partially paid"),IF(AND(C100&lt;&gt;"",TODAY()&gt;C100),"Overdue",IF(T100="Draft","Draft","Unpaid"))))))</f>
        <v>0</v>
      </c>
      <c r="V100" s="31">
        <f>IF(OR(C100="",S100&lt;=0.004),"",MAX(0,TODAY()-C100))</f>
        <v>0</v>
      </c>
      <c r="W100" s="49">
        <f>IF(A100="","",IF(S100&lt;=0.004,"Paid",IF(V100="","Not due",IF(V100=0,"Current",IF(V100&lt;=30,"1-30 days",IF(V100&lt;=60,"31-60 days",IF(V100&lt;=90,"61-90 days","90+ days")))))))</f>
        <v>0</v>
      </c>
      <c r="X100" s="29">
        <f>IF(OR(V100="",V100=0),0,ROUND(S100*LateFeePct,2))</f>
        <v>0</v>
      </c>
      <c r="AA100" s="49">
        <f>IF(A100="","",IF(COUNTIF(Invoices!$A$5:$A$304,A100)&gt;1,"Duplicate number","OK"))</f>
        <v>0</v>
      </c>
      <c r="AC100" s="28">
        <f>IF(B100="","",TEXT(B100,"yyyy-mm"))</f>
        <v>0</v>
      </c>
      <c r="AD100" s="49">
        <f>IF(A100="","",IF(T100="Draft","Action - still a draft",IF(U100="Overdue","Overdue - chase payment",IF(U100="Overdue - part paid","Overdue - chase the balance",IF(AND(S100&gt;0.004,C100&lt;&gt;"",C100-TODAY()&lt;=ReminderLeadDays,C100&gt;=TODAY()),"Due soon - send a reminder","OK")))))</f>
        <v>0</v>
      </c>
    </row>
    <row r="101" spans="1:30">
      <c r="A101" s="46">
        <f>IF(D101="","",InvoicePrefix&amp;TEXT(InvoiceStartNo+ROW()-5,"0000"))</f>
        <v>0</v>
      </c>
      <c r="C101" s="21">
        <f>IF(B101="","",B101+PaymentTermsDays)</f>
        <v>0</v>
      </c>
      <c r="F101" s="29">
        <f>IF(E101="",0,IFERROR(INDEX(Bookings!$AI$5:$AI$404,MATCH(E101,Bookings!$A$5:$A$404,0)),0))</f>
        <v>0</v>
      </c>
      <c r="J101" s="29">
        <f>IF(D101="","",IF(E101&lt;&gt;"",F101,ROUND(IF(H101="",0,H101)*IF(I101="",0,I101),2)))</f>
        <v>0</v>
      </c>
      <c r="M101" s="29">
        <f>IF(D101="","",ROUND(J101+IF(K101="",0,K101)-IF(L101="",0,L101),2))</f>
        <v>0</v>
      </c>
      <c r="N101" s="29">
        <f>IF(M101="","",IF(TaxRegistered&lt;&gt;"Yes",0,IF(PricesIncludeTax="Yes",ROUND(M101-M101/(1+TaxRate),2),ROUND(M101*TaxRate,2))))</f>
        <v>0</v>
      </c>
      <c r="O101" s="29">
        <f>IF(M101="","",IF(PricesIncludeTax="Yes",M101,ROUND(M101+N101,2)))</f>
        <v>0</v>
      </c>
      <c r="P101" s="29">
        <f>IF(A101="","",SUMIFS(Payments!$E$5:$E$304,Payments!$D$5:$D$304,A101,Payments!$M$5:$M$304,"Yes"))</f>
        <v>0</v>
      </c>
      <c r="Q101" s="29">
        <f>IF(A101="","",SUMIFS(Payments!$K$5:$K$304,Payments!$D$5:$D$304,A101))</f>
        <v>0</v>
      </c>
      <c r="R101" s="29">
        <f>IF(A101="","",SUMIFS(Payments!$J$5:$J$304,Payments!$D$5:$D$304,A101))</f>
        <v>0</v>
      </c>
      <c r="S101" s="29">
        <f>IF(D101="","",ROUND(IF(T101="Cancelled",0,O101-Q101),2))</f>
        <v>0</v>
      </c>
      <c r="U101" s="49">
        <f>IF(A101="","",IF(T101="Cancelled","Cancelled",IF(S101&lt;=0.004,"Paid",IF(Q101&gt;0.004,IF(AND(C101&lt;&gt;"",TODAY()&gt;C101),"Overdue - part paid","Partially paid"),IF(AND(C101&lt;&gt;"",TODAY()&gt;C101),"Overdue",IF(T101="Draft","Draft","Unpaid"))))))</f>
        <v>0</v>
      </c>
      <c r="V101" s="31">
        <f>IF(OR(C101="",S101&lt;=0.004),"",MAX(0,TODAY()-C101))</f>
        <v>0</v>
      </c>
      <c r="W101" s="49">
        <f>IF(A101="","",IF(S101&lt;=0.004,"Paid",IF(V101="","Not due",IF(V101=0,"Current",IF(V101&lt;=30,"1-30 days",IF(V101&lt;=60,"31-60 days",IF(V101&lt;=90,"61-90 days","90+ days")))))))</f>
        <v>0</v>
      </c>
      <c r="X101" s="29">
        <f>IF(OR(V101="",V101=0),0,ROUND(S101*LateFeePct,2))</f>
        <v>0</v>
      </c>
      <c r="AA101" s="49">
        <f>IF(A101="","",IF(COUNTIF(Invoices!$A$5:$A$304,A101)&gt;1,"Duplicate number","OK"))</f>
        <v>0</v>
      </c>
      <c r="AC101" s="28">
        <f>IF(B101="","",TEXT(B101,"yyyy-mm"))</f>
        <v>0</v>
      </c>
      <c r="AD101" s="49">
        <f>IF(A101="","",IF(T101="Draft","Action - still a draft",IF(U101="Overdue","Overdue - chase payment",IF(U101="Overdue - part paid","Overdue - chase the balance",IF(AND(S101&gt;0.004,C101&lt;&gt;"",C101-TODAY()&lt;=ReminderLeadDays,C101&gt;=TODAY()),"Due soon - send a reminder","OK")))))</f>
        <v>0</v>
      </c>
    </row>
    <row r="102" spans="1:30">
      <c r="A102" s="46">
        <f>IF(D102="","",InvoicePrefix&amp;TEXT(InvoiceStartNo+ROW()-5,"0000"))</f>
        <v>0</v>
      </c>
      <c r="C102" s="21">
        <f>IF(B102="","",B102+PaymentTermsDays)</f>
        <v>0</v>
      </c>
      <c r="F102" s="29">
        <f>IF(E102="",0,IFERROR(INDEX(Bookings!$AI$5:$AI$404,MATCH(E102,Bookings!$A$5:$A$404,0)),0))</f>
        <v>0</v>
      </c>
      <c r="J102" s="29">
        <f>IF(D102="","",IF(E102&lt;&gt;"",F102,ROUND(IF(H102="",0,H102)*IF(I102="",0,I102),2)))</f>
        <v>0</v>
      </c>
      <c r="M102" s="29">
        <f>IF(D102="","",ROUND(J102+IF(K102="",0,K102)-IF(L102="",0,L102),2))</f>
        <v>0</v>
      </c>
      <c r="N102" s="29">
        <f>IF(M102="","",IF(TaxRegistered&lt;&gt;"Yes",0,IF(PricesIncludeTax="Yes",ROUND(M102-M102/(1+TaxRate),2),ROUND(M102*TaxRate,2))))</f>
        <v>0</v>
      </c>
      <c r="O102" s="29">
        <f>IF(M102="","",IF(PricesIncludeTax="Yes",M102,ROUND(M102+N102,2)))</f>
        <v>0</v>
      </c>
      <c r="P102" s="29">
        <f>IF(A102="","",SUMIFS(Payments!$E$5:$E$304,Payments!$D$5:$D$304,A102,Payments!$M$5:$M$304,"Yes"))</f>
        <v>0</v>
      </c>
      <c r="Q102" s="29">
        <f>IF(A102="","",SUMIFS(Payments!$K$5:$K$304,Payments!$D$5:$D$304,A102))</f>
        <v>0</v>
      </c>
      <c r="R102" s="29">
        <f>IF(A102="","",SUMIFS(Payments!$J$5:$J$304,Payments!$D$5:$D$304,A102))</f>
        <v>0</v>
      </c>
      <c r="S102" s="29">
        <f>IF(D102="","",ROUND(IF(T102="Cancelled",0,O102-Q102),2))</f>
        <v>0</v>
      </c>
      <c r="U102" s="49">
        <f>IF(A102="","",IF(T102="Cancelled","Cancelled",IF(S102&lt;=0.004,"Paid",IF(Q102&gt;0.004,IF(AND(C102&lt;&gt;"",TODAY()&gt;C102),"Overdue - part paid","Partially paid"),IF(AND(C102&lt;&gt;"",TODAY()&gt;C102),"Overdue",IF(T102="Draft","Draft","Unpaid"))))))</f>
        <v>0</v>
      </c>
      <c r="V102" s="31">
        <f>IF(OR(C102="",S102&lt;=0.004),"",MAX(0,TODAY()-C102))</f>
        <v>0</v>
      </c>
      <c r="W102" s="49">
        <f>IF(A102="","",IF(S102&lt;=0.004,"Paid",IF(V102="","Not due",IF(V102=0,"Current",IF(V102&lt;=30,"1-30 days",IF(V102&lt;=60,"31-60 days",IF(V102&lt;=90,"61-90 days","90+ days")))))))</f>
        <v>0</v>
      </c>
      <c r="X102" s="29">
        <f>IF(OR(V102="",V102=0),0,ROUND(S102*LateFeePct,2))</f>
        <v>0</v>
      </c>
      <c r="AA102" s="49">
        <f>IF(A102="","",IF(COUNTIF(Invoices!$A$5:$A$304,A102)&gt;1,"Duplicate number","OK"))</f>
        <v>0</v>
      </c>
      <c r="AC102" s="28">
        <f>IF(B102="","",TEXT(B102,"yyyy-mm"))</f>
        <v>0</v>
      </c>
      <c r="AD102" s="49">
        <f>IF(A102="","",IF(T102="Draft","Action - still a draft",IF(U102="Overdue","Overdue - chase payment",IF(U102="Overdue - part paid","Overdue - chase the balance",IF(AND(S102&gt;0.004,C102&lt;&gt;"",C102-TODAY()&lt;=ReminderLeadDays,C102&gt;=TODAY()),"Due soon - send a reminder","OK")))))</f>
        <v>0</v>
      </c>
    </row>
    <row r="103" spans="1:30">
      <c r="A103" s="46">
        <f>IF(D103="","",InvoicePrefix&amp;TEXT(InvoiceStartNo+ROW()-5,"0000"))</f>
        <v>0</v>
      </c>
      <c r="C103" s="21">
        <f>IF(B103="","",B103+PaymentTermsDays)</f>
        <v>0</v>
      </c>
      <c r="F103" s="29">
        <f>IF(E103="",0,IFERROR(INDEX(Bookings!$AI$5:$AI$404,MATCH(E103,Bookings!$A$5:$A$404,0)),0))</f>
        <v>0</v>
      </c>
      <c r="J103" s="29">
        <f>IF(D103="","",IF(E103&lt;&gt;"",F103,ROUND(IF(H103="",0,H103)*IF(I103="",0,I103),2)))</f>
        <v>0</v>
      </c>
      <c r="M103" s="29">
        <f>IF(D103="","",ROUND(J103+IF(K103="",0,K103)-IF(L103="",0,L103),2))</f>
        <v>0</v>
      </c>
      <c r="N103" s="29">
        <f>IF(M103="","",IF(TaxRegistered&lt;&gt;"Yes",0,IF(PricesIncludeTax="Yes",ROUND(M103-M103/(1+TaxRate),2),ROUND(M103*TaxRate,2))))</f>
        <v>0</v>
      </c>
      <c r="O103" s="29">
        <f>IF(M103="","",IF(PricesIncludeTax="Yes",M103,ROUND(M103+N103,2)))</f>
        <v>0</v>
      </c>
      <c r="P103" s="29">
        <f>IF(A103="","",SUMIFS(Payments!$E$5:$E$304,Payments!$D$5:$D$304,A103,Payments!$M$5:$M$304,"Yes"))</f>
        <v>0</v>
      </c>
      <c r="Q103" s="29">
        <f>IF(A103="","",SUMIFS(Payments!$K$5:$K$304,Payments!$D$5:$D$304,A103))</f>
        <v>0</v>
      </c>
      <c r="R103" s="29">
        <f>IF(A103="","",SUMIFS(Payments!$J$5:$J$304,Payments!$D$5:$D$304,A103))</f>
        <v>0</v>
      </c>
      <c r="S103" s="29">
        <f>IF(D103="","",ROUND(IF(T103="Cancelled",0,O103-Q103),2))</f>
        <v>0</v>
      </c>
      <c r="U103" s="49">
        <f>IF(A103="","",IF(T103="Cancelled","Cancelled",IF(S103&lt;=0.004,"Paid",IF(Q103&gt;0.004,IF(AND(C103&lt;&gt;"",TODAY()&gt;C103),"Overdue - part paid","Partially paid"),IF(AND(C103&lt;&gt;"",TODAY()&gt;C103),"Overdue",IF(T103="Draft","Draft","Unpaid"))))))</f>
        <v>0</v>
      </c>
      <c r="V103" s="31">
        <f>IF(OR(C103="",S103&lt;=0.004),"",MAX(0,TODAY()-C103))</f>
        <v>0</v>
      </c>
      <c r="W103" s="49">
        <f>IF(A103="","",IF(S103&lt;=0.004,"Paid",IF(V103="","Not due",IF(V103=0,"Current",IF(V103&lt;=30,"1-30 days",IF(V103&lt;=60,"31-60 days",IF(V103&lt;=90,"61-90 days","90+ days")))))))</f>
        <v>0</v>
      </c>
      <c r="X103" s="29">
        <f>IF(OR(V103="",V103=0),0,ROUND(S103*LateFeePct,2))</f>
        <v>0</v>
      </c>
      <c r="AA103" s="49">
        <f>IF(A103="","",IF(COUNTIF(Invoices!$A$5:$A$304,A103)&gt;1,"Duplicate number","OK"))</f>
        <v>0</v>
      </c>
      <c r="AC103" s="28">
        <f>IF(B103="","",TEXT(B103,"yyyy-mm"))</f>
        <v>0</v>
      </c>
      <c r="AD103" s="49">
        <f>IF(A103="","",IF(T103="Draft","Action - still a draft",IF(U103="Overdue","Overdue - chase payment",IF(U103="Overdue - part paid","Overdue - chase the balance",IF(AND(S103&gt;0.004,C103&lt;&gt;"",C103-TODAY()&lt;=ReminderLeadDays,C103&gt;=TODAY()),"Due soon - send a reminder","OK")))))</f>
        <v>0</v>
      </c>
    </row>
    <row r="104" spans="1:30">
      <c r="A104" s="46">
        <f>IF(D104="","",InvoicePrefix&amp;TEXT(InvoiceStartNo+ROW()-5,"0000"))</f>
        <v>0</v>
      </c>
      <c r="C104" s="21">
        <f>IF(B104="","",B104+PaymentTermsDays)</f>
        <v>0</v>
      </c>
      <c r="F104" s="29">
        <f>IF(E104="",0,IFERROR(INDEX(Bookings!$AI$5:$AI$404,MATCH(E104,Bookings!$A$5:$A$404,0)),0))</f>
        <v>0</v>
      </c>
      <c r="J104" s="29">
        <f>IF(D104="","",IF(E104&lt;&gt;"",F104,ROUND(IF(H104="",0,H104)*IF(I104="",0,I104),2)))</f>
        <v>0</v>
      </c>
      <c r="M104" s="29">
        <f>IF(D104="","",ROUND(J104+IF(K104="",0,K104)-IF(L104="",0,L104),2))</f>
        <v>0</v>
      </c>
      <c r="N104" s="29">
        <f>IF(M104="","",IF(TaxRegistered&lt;&gt;"Yes",0,IF(PricesIncludeTax="Yes",ROUND(M104-M104/(1+TaxRate),2),ROUND(M104*TaxRate,2))))</f>
        <v>0</v>
      </c>
      <c r="O104" s="29">
        <f>IF(M104="","",IF(PricesIncludeTax="Yes",M104,ROUND(M104+N104,2)))</f>
        <v>0</v>
      </c>
      <c r="P104" s="29">
        <f>IF(A104="","",SUMIFS(Payments!$E$5:$E$304,Payments!$D$5:$D$304,A104,Payments!$M$5:$M$304,"Yes"))</f>
        <v>0</v>
      </c>
      <c r="Q104" s="29">
        <f>IF(A104="","",SUMIFS(Payments!$K$5:$K$304,Payments!$D$5:$D$304,A104))</f>
        <v>0</v>
      </c>
      <c r="R104" s="29">
        <f>IF(A104="","",SUMIFS(Payments!$J$5:$J$304,Payments!$D$5:$D$304,A104))</f>
        <v>0</v>
      </c>
      <c r="S104" s="29">
        <f>IF(D104="","",ROUND(IF(T104="Cancelled",0,O104-Q104),2))</f>
        <v>0</v>
      </c>
      <c r="U104" s="49">
        <f>IF(A104="","",IF(T104="Cancelled","Cancelled",IF(S104&lt;=0.004,"Paid",IF(Q104&gt;0.004,IF(AND(C104&lt;&gt;"",TODAY()&gt;C104),"Overdue - part paid","Partially paid"),IF(AND(C104&lt;&gt;"",TODAY()&gt;C104),"Overdue",IF(T104="Draft","Draft","Unpaid"))))))</f>
        <v>0</v>
      </c>
      <c r="V104" s="31">
        <f>IF(OR(C104="",S104&lt;=0.004),"",MAX(0,TODAY()-C104))</f>
        <v>0</v>
      </c>
      <c r="W104" s="49">
        <f>IF(A104="","",IF(S104&lt;=0.004,"Paid",IF(V104="","Not due",IF(V104=0,"Current",IF(V104&lt;=30,"1-30 days",IF(V104&lt;=60,"31-60 days",IF(V104&lt;=90,"61-90 days","90+ days")))))))</f>
        <v>0</v>
      </c>
      <c r="X104" s="29">
        <f>IF(OR(V104="",V104=0),0,ROUND(S104*LateFeePct,2))</f>
        <v>0</v>
      </c>
      <c r="AA104" s="49">
        <f>IF(A104="","",IF(COUNTIF(Invoices!$A$5:$A$304,A104)&gt;1,"Duplicate number","OK"))</f>
        <v>0</v>
      </c>
      <c r="AC104" s="28">
        <f>IF(B104="","",TEXT(B104,"yyyy-mm"))</f>
        <v>0</v>
      </c>
      <c r="AD104" s="49">
        <f>IF(A104="","",IF(T104="Draft","Action - still a draft",IF(U104="Overdue","Overdue - chase payment",IF(U104="Overdue - part paid","Overdue - chase the balance",IF(AND(S104&gt;0.004,C104&lt;&gt;"",C104-TODAY()&lt;=ReminderLeadDays,C104&gt;=TODAY()),"Due soon - send a reminder","OK")))))</f>
        <v>0</v>
      </c>
    </row>
    <row r="105" spans="1:30">
      <c r="A105" s="46">
        <f>IF(D105="","",InvoicePrefix&amp;TEXT(InvoiceStartNo+ROW()-5,"0000"))</f>
        <v>0</v>
      </c>
      <c r="C105" s="21">
        <f>IF(B105="","",B105+PaymentTermsDays)</f>
        <v>0</v>
      </c>
      <c r="F105" s="29">
        <f>IF(E105="",0,IFERROR(INDEX(Bookings!$AI$5:$AI$404,MATCH(E105,Bookings!$A$5:$A$404,0)),0))</f>
        <v>0</v>
      </c>
      <c r="J105" s="29">
        <f>IF(D105="","",IF(E105&lt;&gt;"",F105,ROUND(IF(H105="",0,H105)*IF(I105="",0,I105),2)))</f>
        <v>0</v>
      </c>
      <c r="M105" s="29">
        <f>IF(D105="","",ROUND(J105+IF(K105="",0,K105)-IF(L105="",0,L105),2))</f>
        <v>0</v>
      </c>
      <c r="N105" s="29">
        <f>IF(M105="","",IF(TaxRegistered&lt;&gt;"Yes",0,IF(PricesIncludeTax="Yes",ROUND(M105-M105/(1+TaxRate),2),ROUND(M105*TaxRate,2))))</f>
        <v>0</v>
      </c>
      <c r="O105" s="29">
        <f>IF(M105="","",IF(PricesIncludeTax="Yes",M105,ROUND(M105+N105,2)))</f>
        <v>0</v>
      </c>
      <c r="P105" s="29">
        <f>IF(A105="","",SUMIFS(Payments!$E$5:$E$304,Payments!$D$5:$D$304,A105,Payments!$M$5:$M$304,"Yes"))</f>
        <v>0</v>
      </c>
      <c r="Q105" s="29">
        <f>IF(A105="","",SUMIFS(Payments!$K$5:$K$304,Payments!$D$5:$D$304,A105))</f>
        <v>0</v>
      </c>
      <c r="R105" s="29">
        <f>IF(A105="","",SUMIFS(Payments!$J$5:$J$304,Payments!$D$5:$D$304,A105))</f>
        <v>0</v>
      </c>
      <c r="S105" s="29">
        <f>IF(D105="","",ROUND(IF(T105="Cancelled",0,O105-Q105),2))</f>
        <v>0</v>
      </c>
      <c r="U105" s="49">
        <f>IF(A105="","",IF(T105="Cancelled","Cancelled",IF(S105&lt;=0.004,"Paid",IF(Q105&gt;0.004,IF(AND(C105&lt;&gt;"",TODAY()&gt;C105),"Overdue - part paid","Partially paid"),IF(AND(C105&lt;&gt;"",TODAY()&gt;C105),"Overdue",IF(T105="Draft","Draft","Unpaid"))))))</f>
        <v>0</v>
      </c>
      <c r="V105" s="31">
        <f>IF(OR(C105="",S105&lt;=0.004),"",MAX(0,TODAY()-C105))</f>
        <v>0</v>
      </c>
      <c r="W105" s="49">
        <f>IF(A105="","",IF(S105&lt;=0.004,"Paid",IF(V105="","Not due",IF(V105=0,"Current",IF(V105&lt;=30,"1-30 days",IF(V105&lt;=60,"31-60 days",IF(V105&lt;=90,"61-90 days","90+ days")))))))</f>
        <v>0</v>
      </c>
      <c r="X105" s="29">
        <f>IF(OR(V105="",V105=0),0,ROUND(S105*LateFeePct,2))</f>
        <v>0</v>
      </c>
      <c r="AA105" s="49">
        <f>IF(A105="","",IF(COUNTIF(Invoices!$A$5:$A$304,A105)&gt;1,"Duplicate number","OK"))</f>
        <v>0</v>
      </c>
      <c r="AC105" s="28">
        <f>IF(B105="","",TEXT(B105,"yyyy-mm"))</f>
        <v>0</v>
      </c>
      <c r="AD105" s="49">
        <f>IF(A105="","",IF(T105="Draft","Action - still a draft",IF(U105="Overdue","Overdue - chase payment",IF(U105="Overdue - part paid","Overdue - chase the balance",IF(AND(S105&gt;0.004,C105&lt;&gt;"",C105-TODAY()&lt;=ReminderLeadDays,C105&gt;=TODAY()),"Due soon - send a reminder","OK")))))</f>
        <v>0</v>
      </c>
    </row>
    <row r="106" spans="1:30">
      <c r="A106" s="46">
        <f>IF(D106="","",InvoicePrefix&amp;TEXT(InvoiceStartNo+ROW()-5,"0000"))</f>
        <v>0</v>
      </c>
      <c r="C106" s="21">
        <f>IF(B106="","",B106+PaymentTermsDays)</f>
        <v>0</v>
      </c>
      <c r="F106" s="29">
        <f>IF(E106="",0,IFERROR(INDEX(Bookings!$AI$5:$AI$404,MATCH(E106,Bookings!$A$5:$A$404,0)),0))</f>
        <v>0</v>
      </c>
      <c r="J106" s="29">
        <f>IF(D106="","",IF(E106&lt;&gt;"",F106,ROUND(IF(H106="",0,H106)*IF(I106="",0,I106),2)))</f>
        <v>0</v>
      </c>
      <c r="M106" s="29">
        <f>IF(D106="","",ROUND(J106+IF(K106="",0,K106)-IF(L106="",0,L106),2))</f>
        <v>0</v>
      </c>
      <c r="N106" s="29">
        <f>IF(M106="","",IF(TaxRegistered&lt;&gt;"Yes",0,IF(PricesIncludeTax="Yes",ROUND(M106-M106/(1+TaxRate),2),ROUND(M106*TaxRate,2))))</f>
        <v>0</v>
      </c>
      <c r="O106" s="29">
        <f>IF(M106="","",IF(PricesIncludeTax="Yes",M106,ROUND(M106+N106,2)))</f>
        <v>0</v>
      </c>
      <c r="P106" s="29">
        <f>IF(A106="","",SUMIFS(Payments!$E$5:$E$304,Payments!$D$5:$D$304,A106,Payments!$M$5:$M$304,"Yes"))</f>
        <v>0</v>
      </c>
      <c r="Q106" s="29">
        <f>IF(A106="","",SUMIFS(Payments!$K$5:$K$304,Payments!$D$5:$D$304,A106))</f>
        <v>0</v>
      </c>
      <c r="R106" s="29">
        <f>IF(A106="","",SUMIFS(Payments!$J$5:$J$304,Payments!$D$5:$D$304,A106))</f>
        <v>0</v>
      </c>
      <c r="S106" s="29">
        <f>IF(D106="","",ROUND(IF(T106="Cancelled",0,O106-Q106),2))</f>
        <v>0</v>
      </c>
      <c r="U106" s="49">
        <f>IF(A106="","",IF(T106="Cancelled","Cancelled",IF(S106&lt;=0.004,"Paid",IF(Q106&gt;0.004,IF(AND(C106&lt;&gt;"",TODAY()&gt;C106),"Overdue - part paid","Partially paid"),IF(AND(C106&lt;&gt;"",TODAY()&gt;C106),"Overdue",IF(T106="Draft","Draft","Unpaid"))))))</f>
        <v>0</v>
      </c>
      <c r="V106" s="31">
        <f>IF(OR(C106="",S106&lt;=0.004),"",MAX(0,TODAY()-C106))</f>
        <v>0</v>
      </c>
      <c r="W106" s="49">
        <f>IF(A106="","",IF(S106&lt;=0.004,"Paid",IF(V106="","Not due",IF(V106=0,"Current",IF(V106&lt;=30,"1-30 days",IF(V106&lt;=60,"31-60 days",IF(V106&lt;=90,"61-90 days","90+ days")))))))</f>
        <v>0</v>
      </c>
      <c r="X106" s="29">
        <f>IF(OR(V106="",V106=0),0,ROUND(S106*LateFeePct,2))</f>
        <v>0</v>
      </c>
      <c r="AA106" s="49">
        <f>IF(A106="","",IF(COUNTIF(Invoices!$A$5:$A$304,A106)&gt;1,"Duplicate number","OK"))</f>
        <v>0</v>
      </c>
      <c r="AC106" s="28">
        <f>IF(B106="","",TEXT(B106,"yyyy-mm"))</f>
        <v>0</v>
      </c>
      <c r="AD106" s="49">
        <f>IF(A106="","",IF(T106="Draft","Action - still a draft",IF(U106="Overdue","Overdue - chase payment",IF(U106="Overdue - part paid","Overdue - chase the balance",IF(AND(S106&gt;0.004,C106&lt;&gt;"",C106-TODAY()&lt;=ReminderLeadDays,C106&gt;=TODAY()),"Due soon - send a reminder","OK")))))</f>
        <v>0</v>
      </c>
    </row>
    <row r="107" spans="1:30">
      <c r="A107" s="46">
        <f>IF(D107="","",InvoicePrefix&amp;TEXT(InvoiceStartNo+ROW()-5,"0000"))</f>
        <v>0</v>
      </c>
      <c r="C107" s="21">
        <f>IF(B107="","",B107+PaymentTermsDays)</f>
        <v>0</v>
      </c>
      <c r="F107" s="29">
        <f>IF(E107="",0,IFERROR(INDEX(Bookings!$AI$5:$AI$404,MATCH(E107,Bookings!$A$5:$A$404,0)),0))</f>
        <v>0</v>
      </c>
      <c r="J107" s="29">
        <f>IF(D107="","",IF(E107&lt;&gt;"",F107,ROUND(IF(H107="",0,H107)*IF(I107="",0,I107),2)))</f>
        <v>0</v>
      </c>
      <c r="M107" s="29">
        <f>IF(D107="","",ROUND(J107+IF(K107="",0,K107)-IF(L107="",0,L107),2))</f>
        <v>0</v>
      </c>
      <c r="N107" s="29">
        <f>IF(M107="","",IF(TaxRegistered&lt;&gt;"Yes",0,IF(PricesIncludeTax="Yes",ROUND(M107-M107/(1+TaxRate),2),ROUND(M107*TaxRate,2))))</f>
        <v>0</v>
      </c>
      <c r="O107" s="29">
        <f>IF(M107="","",IF(PricesIncludeTax="Yes",M107,ROUND(M107+N107,2)))</f>
        <v>0</v>
      </c>
      <c r="P107" s="29">
        <f>IF(A107="","",SUMIFS(Payments!$E$5:$E$304,Payments!$D$5:$D$304,A107,Payments!$M$5:$M$304,"Yes"))</f>
        <v>0</v>
      </c>
      <c r="Q107" s="29">
        <f>IF(A107="","",SUMIFS(Payments!$K$5:$K$304,Payments!$D$5:$D$304,A107))</f>
        <v>0</v>
      </c>
      <c r="R107" s="29">
        <f>IF(A107="","",SUMIFS(Payments!$J$5:$J$304,Payments!$D$5:$D$304,A107))</f>
        <v>0</v>
      </c>
      <c r="S107" s="29">
        <f>IF(D107="","",ROUND(IF(T107="Cancelled",0,O107-Q107),2))</f>
        <v>0</v>
      </c>
      <c r="U107" s="49">
        <f>IF(A107="","",IF(T107="Cancelled","Cancelled",IF(S107&lt;=0.004,"Paid",IF(Q107&gt;0.004,IF(AND(C107&lt;&gt;"",TODAY()&gt;C107),"Overdue - part paid","Partially paid"),IF(AND(C107&lt;&gt;"",TODAY()&gt;C107),"Overdue",IF(T107="Draft","Draft","Unpaid"))))))</f>
        <v>0</v>
      </c>
      <c r="V107" s="31">
        <f>IF(OR(C107="",S107&lt;=0.004),"",MAX(0,TODAY()-C107))</f>
        <v>0</v>
      </c>
      <c r="W107" s="49">
        <f>IF(A107="","",IF(S107&lt;=0.004,"Paid",IF(V107="","Not due",IF(V107=0,"Current",IF(V107&lt;=30,"1-30 days",IF(V107&lt;=60,"31-60 days",IF(V107&lt;=90,"61-90 days","90+ days")))))))</f>
        <v>0</v>
      </c>
      <c r="X107" s="29">
        <f>IF(OR(V107="",V107=0),0,ROUND(S107*LateFeePct,2))</f>
        <v>0</v>
      </c>
      <c r="AA107" s="49">
        <f>IF(A107="","",IF(COUNTIF(Invoices!$A$5:$A$304,A107)&gt;1,"Duplicate number","OK"))</f>
        <v>0</v>
      </c>
      <c r="AC107" s="28">
        <f>IF(B107="","",TEXT(B107,"yyyy-mm"))</f>
        <v>0</v>
      </c>
      <c r="AD107" s="49">
        <f>IF(A107="","",IF(T107="Draft","Action - still a draft",IF(U107="Overdue","Overdue - chase payment",IF(U107="Overdue - part paid","Overdue - chase the balance",IF(AND(S107&gt;0.004,C107&lt;&gt;"",C107-TODAY()&lt;=ReminderLeadDays,C107&gt;=TODAY()),"Due soon - send a reminder","OK")))))</f>
        <v>0</v>
      </c>
    </row>
    <row r="108" spans="1:30">
      <c r="A108" s="46">
        <f>IF(D108="","",InvoicePrefix&amp;TEXT(InvoiceStartNo+ROW()-5,"0000"))</f>
        <v>0</v>
      </c>
      <c r="C108" s="21">
        <f>IF(B108="","",B108+PaymentTermsDays)</f>
        <v>0</v>
      </c>
      <c r="F108" s="29">
        <f>IF(E108="",0,IFERROR(INDEX(Bookings!$AI$5:$AI$404,MATCH(E108,Bookings!$A$5:$A$404,0)),0))</f>
        <v>0</v>
      </c>
      <c r="J108" s="29">
        <f>IF(D108="","",IF(E108&lt;&gt;"",F108,ROUND(IF(H108="",0,H108)*IF(I108="",0,I108),2)))</f>
        <v>0</v>
      </c>
      <c r="M108" s="29">
        <f>IF(D108="","",ROUND(J108+IF(K108="",0,K108)-IF(L108="",0,L108),2))</f>
        <v>0</v>
      </c>
      <c r="N108" s="29">
        <f>IF(M108="","",IF(TaxRegistered&lt;&gt;"Yes",0,IF(PricesIncludeTax="Yes",ROUND(M108-M108/(1+TaxRate),2),ROUND(M108*TaxRate,2))))</f>
        <v>0</v>
      </c>
      <c r="O108" s="29">
        <f>IF(M108="","",IF(PricesIncludeTax="Yes",M108,ROUND(M108+N108,2)))</f>
        <v>0</v>
      </c>
      <c r="P108" s="29">
        <f>IF(A108="","",SUMIFS(Payments!$E$5:$E$304,Payments!$D$5:$D$304,A108,Payments!$M$5:$M$304,"Yes"))</f>
        <v>0</v>
      </c>
      <c r="Q108" s="29">
        <f>IF(A108="","",SUMIFS(Payments!$K$5:$K$304,Payments!$D$5:$D$304,A108))</f>
        <v>0</v>
      </c>
      <c r="R108" s="29">
        <f>IF(A108="","",SUMIFS(Payments!$J$5:$J$304,Payments!$D$5:$D$304,A108))</f>
        <v>0</v>
      </c>
      <c r="S108" s="29">
        <f>IF(D108="","",ROUND(IF(T108="Cancelled",0,O108-Q108),2))</f>
        <v>0</v>
      </c>
      <c r="U108" s="49">
        <f>IF(A108="","",IF(T108="Cancelled","Cancelled",IF(S108&lt;=0.004,"Paid",IF(Q108&gt;0.004,IF(AND(C108&lt;&gt;"",TODAY()&gt;C108),"Overdue - part paid","Partially paid"),IF(AND(C108&lt;&gt;"",TODAY()&gt;C108),"Overdue",IF(T108="Draft","Draft","Unpaid"))))))</f>
        <v>0</v>
      </c>
      <c r="V108" s="31">
        <f>IF(OR(C108="",S108&lt;=0.004),"",MAX(0,TODAY()-C108))</f>
        <v>0</v>
      </c>
      <c r="W108" s="49">
        <f>IF(A108="","",IF(S108&lt;=0.004,"Paid",IF(V108="","Not due",IF(V108=0,"Current",IF(V108&lt;=30,"1-30 days",IF(V108&lt;=60,"31-60 days",IF(V108&lt;=90,"61-90 days","90+ days")))))))</f>
        <v>0</v>
      </c>
      <c r="X108" s="29">
        <f>IF(OR(V108="",V108=0),0,ROUND(S108*LateFeePct,2))</f>
        <v>0</v>
      </c>
      <c r="AA108" s="49">
        <f>IF(A108="","",IF(COUNTIF(Invoices!$A$5:$A$304,A108)&gt;1,"Duplicate number","OK"))</f>
        <v>0</v>
      </c>
      <c r="AC108" s="28">
        <f>IF(B108="","",TEXT(B108,"yyyy-mm"))</f>
        <v>0</v>
      </c>
      <c r="AD108" s="49">
        <f>IF(A108="","",IF(T108="Draft","Action - still a draft",IF(U108="Overdue","Overdue - chase payment",IF(U108="Overdue - part paid","Overdue - chase the balance",IF(AND(S108&gt;0.004,C108&lt;&gt;"",C108-TODAY()&lt;=ReminderLeadDays,C108&gt;=TODAY()),"Due soon - send a reminder","OK")))))</f>
        <v>0</v>
      </c>
    </row>
    <row r="109" spans="1:30">
      <c r="A109" s="46">
        <f>IF(D109="","",InvoicePrefix&amp;TEXT(InvoiceStartNo+ROW()-5,"0000"))</f>
        <v>0</v>
      </c>
      <c r="C109" s="21">
        <f>IF(B109="","",B109+PaymentTermsDays)</f>
        <v>0</v>
      </c>
      <c r="F109" s="29">
        <f>IF(E109="",0,IFERROR(INDEX(Bookings!$AI$5:$AI$404,MATCH(E109,Bookings!$A$5:$A$404,0)),0))</f>
        <v>0</v>
      </c>
      <c r="J109" s="29">
        <f>IF(D109="","",IF(E109&lt;&gt;"",F109,ROUND(IF(H109="",0,H109)*IF(I109="",0,I109),2)))</f>
        <v>0</v>
      </c>
      <c r="M109" s="29">
        <f>IF(D109="","",ROUND(J109+IF(K109="",0,K109)-IF(L109="",0,L109),2))</f>
        <v>0</v>
      </c>
      <c r="N109" s="29">
        <f>IF(M109="","",IF(TaxRegistered&lt;&gt;"Yes",0,IF(PricesIncludeTax="Yes",ROUND(M109-M109/(1+TaxRate),2),ROUND(M109*TaxRate,2))))</f>
        <v>0</v>
      </c>
      <c r="O109" s="29">
        <f>IF(M109="","",IF(PricesIncludeTax="Yes",M109,ROUND(M109+N109,2)))</f>
        <v>0</v>
      </c>
      <c r="P109" s="29">
        <f>IF(A109="","",SUMIFS(Payments!$E$5:$E$304,Payments!$D$5:$D$304,A109,Payments!$M$5:$M$304,"Yes"))</f>
        <v>0</v>
      </c>
      <c r="Q109" s="29">
        <f>IF(A109="","",SUMIFS(Payments!$K$5:$K$304,Payments!$D$5:$D$304,A109))</f>
        <v>0</v>
      </c>
      <c r="R109" s="29">
        <f>IF(A109="","",SUMIFS(Payments!$J$5:$J$304,Payments!$D$5:$D$304,A109))</f>
        <v>0</v>
      </c>
      <c r="S109" s="29">
        <f>IF(D109="","",ROUND(IF(T109="Cancelled",0,O109-Q109),2))</f>
        <v>0</v>
      </c>
      <c r="U109" s="49">
        <f>IF(A109="","",IF(T109="Cancelled","Cancelled",IF(S109&lt;=0.004,"Paid",IF(Q109&gt;0.004,IF(AND(C109&lt;&gt;"",TODAY()&gt;C109),"Overdue - part paid","Partially paid"),IF(AND(C109&lt;&gt;"",TODAY()&gt;C109),"Overdue",IF(T109="Draft","Draft","Unpaid"))))))</f>
        <v>0</v>
      </c>
      <c r="V109" s="31">
        <f>IF(OR(C109="",S109&lt;=0.004),"",MAX(0,TODAY()-C109))</f>
        <v>0</v>
      </c>
      <c r="W109" s="49">
        <f>IF(A109="","",IF(S109&lt;=0.004,"Paid",IF(V109="","Not due",IF(V109=0,"Current",IF(V109&lt;=30,"1-30 days",IF(V109&lt;=60,"31-60 days",IF(V109&lt;=90,"61-90 days","90+ days")))))))</f>
        <v>0</v>
      </c>
      <c r="X109" s="29">
        <f>IF(OR(V109="",V109=0),0,ROUND(S109*LateFeePct,2))</f>
        <v>0</v>
      </c>
      <c r="AA109" s="49">
        <f>IF(A109="","",IF(COUNTIF(Invoices!$A$5:$A$304,A109)&gt;1,"Duplicate number","OK"))</f>
        <v>0</v>
      </c>
      <c r="AC109" s="28">
        <f>IF(B109="","",TEXT(B109,"yyyy-mm"))</f>
        <v>0</v>
      </c>
      <c r="AD109" s="49">
        <f>IF(A109="","",IF(T109="Draft","Action - still a draft",IF(U109="Overdue","Overdue - chase payment",IF(U109="Overdue - part paid","Overdue - chase the balance",IF(AND(S109&gt;0.004,C109&lt;&gt;"",C109-TODAY()&lt;=ReminderLeadDays,C109&gt;=TODAY()),"Due soon - send a reminder","OK")))))</f>
        <v>0</v>
      </c>
    </row>
    <row r="110" spans="1:30">
      <c r="A110" s="46">
        <f>IF(D110="","",InvoicePrefix&amp;TEXT(InvoiceStartNo+ROW()-5,"0000"))</f>
        <v>0</v>
      </c>
      <c r="C110" s="21">
        <f>IF(B110="","",B110+PaymentTermsDays)</f>
        <v>0</v>
      </c>
      <c r="F110" s="29">
        <f>IF(E110="",0,IFERROR(INDEX(Bookings!$AI$5:$AI$404,MATCH(E110,Bookings!$A$5:$A$404,0)),0))</f>
        <v>0</v>
      </c>
      <c r="J110" s="29">
        <f>IF(D110="","",IF(E110&lt;&gt;"",F110,ROUND(IF(H110="",0,H110)*IF(I110="",0,I110),2)))</f>
        <v>0</v>
      </c>
      <c r="M110" s="29">
        <f>IF(D110="","",ROUND(J110+IF(K110="",0,K110)-IF(L110="",0,L110),2))</f>
        <v>0</v>
      </c>
      <c r="N110" s="29">
        <f>IF(M110="","",IF(TaxRegistered&lt;&gt;"Yes",0,IF(PricesIncludeTax="Yes",ROUND(M110-M110/(1+TaxRate),2),ROUND(M110*TaxRate,2))))</f>
        <v>0</v>
      </c>
      <c r="O110" s="29">
        <f>IF(M110="","",IF(PricesIncludeTax="Yes",M110,ROUND(M110+N110,2)))</f>
        <v>0</v>
      </c>
      <c r="P110" s="29">
        <f>IF(A110="","",SUMIFS(Payments!$E$5:$E$304,Payments!$D$5:$D$304,A110,Payments!$M$5:$M$304,"Yes"))</f>
        <v>0</v>
      </c>
      <c r="Q110" s="29">
        <f>IF(A110="","",SUMIFS(Payments!$K$5:$K$304,Payments!$D$5:$D$304,A110))</f>
        <v>0</v>
      </c>
      <c r="R110" s="29">
        <f>IF(A110="","",SUMIFS(Payments!$J$5:$J$304,Payments!$D$5:$D$304,A110))</f>
        <v>0</v>
      </c>
      <c r="S110" s="29">
        <f>IF(D110="","",ROUND(IF(T110="Cancelled",0,O110-Q110),2))</f>
        <v>0</v>
      </c>
      <c r="U110" s="49">
        <f>IF(A110="","",IF(T110="Cancelled","Cancelled",IF(S110&lt;=0.004,"Paid",IF(Q110&gt;0.004,IF(AND(C110&lt;&gt;"",TODAY()&gt;C110),"Overdue - part paid","Partially paid"),IF(AND(C110&lt;&gt;"",TODAY()&gt;C110),"Overdue",IF(T110="Draft","Draft","Unpaid"))))))</f>
        <v>0</v>
      </c>
      <c r="V110" s="31">
        <f>IF(OR(C110="",S110&lt;=0.004),"",MAX(0,TODAY()-C110))</f>
        <v>0</v>
      </c>
      <c r="W110" s="49">
        <f>IF(A110="","",IF(S110&lt;=0.004,"Paid",IF(V110="","Not due",IF(V110=0,"Current",IF(V110&lt;=30,"1-30 days",IF(V110&lt;=60,"31-60 days",IF(V110&lt;=90,"61-90 days","90+ days")))))))</f>
        <v>0</v>
      </c>
      <c r="X110" s="29">
        <f>IF(OR(V110="",V110=0),0,ROUND(S110*LateFeePct,2))</f>
        <v>0</v>
      </c>
      <c r="AA110" s="49">
        <f>IF(A110="","",IF(COUNTIF(Invoices!$A$5:$A$304,A110)&gt;1,"Duplicate number","OK"))</f>
        <v>0</v>
      </c>
      <c r="AC110" s="28">
        <f>IF(B110="","",TEXT(B110,"yyyy-mm"))</f>
        <v>0</v>
      </c>
      <c r="AD110" s="49">
        <f>IF(A110="","",IF(T110="Draft","Action - still a draft",IF(U110="Overdue","Overdue - chase payment",IF(U110="Overdue - part paid","Overdue - chase the balance",IF(AND(S110&gt;0.004,C110&lt;&gt;"",C110-TODAY()&lt;=ReminderLeadDays,C110&gt;=TODAY()),"Due soon - send a reminder","OK")))))</f>
        <v>0</v>
      </c>
    </row>
    <row r="111" spans="1:30">
      <c r="A111" s="46">
        <f>IF(D111="","",InvoicePrefix&amp;TEXT(InvoiceStartNo+ROW()-5,"0000"))</f>
        <v>0</v>
      </c>
      <c r="C111" s="21">
        <f>IF(B111="","",B111+PaymentTermsDays)</f>
        <v>0</v>
      </c>
      <c r="F111" s="29">
        <f>IF(E111="",0,IFERROR(INDEX(Bookings!$AI$5:$AI$404,MATCH(E111,Bookings!$A$5:$A$404,0)),0))</f>
        <v>0</v>
      </c>
      <c r="J111" s="29">
        <f>IF(D111="","",IF(E111&lt;&gt;"",F111,ROUND(IF(H111="",0,H111)*IF(I111="",0,I111),2)))</f>
        <v>0</v>
      </c>
      <c r="M111" s="29">
        <f>IF(D111="","",ROUND(J111+IF(K111="",0,K111)-IF(L111="",0,L111),2))</f>
        <v>0</v>
      </c>
      <c r="N111" s="29">
        <f>IF(M111="","",IF(TaxRegistered&lt;&gt;"Yes",0,IF(PricesIncludeTax="Yes",ROUND(M111-M111/(1+TaxRate),2),ROUND(M111*TaxRate,2))))</f>
        <v>0</v>
      </c>
      <c r="O111" s="29">
        <f>IF(M111="","",IF(PricesIncludeTax="Yes",M111,ROUND(M111+N111,2)))</f>
        <v>0</v>
      </c>
      <c r="P111" s="29">
        <f>IF(A111="","",SUMIFS(Payments!$E$5:$E$304,Payments!$D$5:$D$304,A111,Payments!$M$5:$M$304,"Yes"))</f>
        <v>0</v>
      </c>
      <c r="Q111" s="29">
        <f>IF(A111="","",SUMIFS(Payments!$K$5:$K$304,Payments!$D$5:$D$304,A111))</f>
        <v>0</v>
      </c>
      <c r="R111" s="29">
        <f>IF(A111="","",SUMIFS(Payments!$J$5:$J$304,Payments!$D$5:$D$304,A111))</f>
        <v>0</v>
      </c>
      <c r="S111" s="29">
        <f>IF(D111="","",ROUND(IF(T111="Cancelled",0,O111-Q111),2))</f>
        <v>0</v>
      </c>
      <c r="U111" s="49">
        <f>IF(A111="","",IF(T111="Cancelled","Cancelled",IF(S111&lt;=0.004,"Paid",IF(Q111&gt;0.004,IF(AND(C111&lt;&gt;"",TODAY()&gt;C111),"Overdue - part paid","Partially paid"),IF(AND(C111&lt;&gt;"",TODAY()&gt;C111),"Overdue",IF(T111="Draft","Draft","Unpaid"))))))</f>
        <v>0</v>
      </c>
      <c r="V111" s="31">
        <f>IF(OR(C111="",S111&lt;=0.004),"",MAX(0,TODAY()-C111))</f>
        <v>0</v>
      </c>
      <c r="W111" s="49">
        <f>IF(A111="","",IF(S111&lt;=0.004,"Paid",IF(V111="","Not due",IF(V111=0,"Current",IF(V111&lt;=30,"1-30 days",IF(V111&lt;=60,"31-60 days",IF(V111&lt;=90,"61-90 days","90+ days")))))))</f>
        <v>0</v>
      </c>
      <c r="X111" s="29">
        <f>IF(OR(V111="",V111=0),0,ROUND(S111*LateFeePct,2))</f>
        <v>0</v>
      </c>
      <c r="AA111" s="49">
        <f>IF(A111="","",IF(COUNTIF(Invoices!$A$5:$A$304,A111)&gt;1,"Duplicate number","OK"))</f>
        <v>0</v>
      </c>
      <c r="AC111" s="28">
        <f>IF(B111="","",TEXT(B111,"yyyy-mm"))</f>
        <v>0</v>
      </c>
      <c r="AD111" s="49">
        <f>IF(A111="","",IF(T111="Draft","Action - still a draft",IF(U111="Overdue","Overdue - chase payment",IF(U111="Overdue - part paid","Overdue - chase the balance",IF(AND(S111&gt;0.004,C111&lt;&gt;"",C111-TODAY()&lt;=ReminderLeadDays,C111&gt;=TODAY()),"Due soon - send a reminder","OK")))))</f>
        <v>0</v>
      </c>
    </row>
    <row r="112" spans="1:30">
      <c r="A112" s="46">
        <f>IF(D112="","",InvoicePrefix&amp;TEXT(InvoiceStartNo+ROW()-5,"0000"))</f>
        <v>0</v>
      </c>
      <c r="C112" s="21">
        <f>IF(B112="","",B112+PaymentTermsDays)</f>
        <v>0</v>
      </c>
      <c r="F112" s="29">
        <f>IF(E112="",0,IFERROR(INDEX(Bookings!$AI$5:$AI$404,MATCH(E112,Bookings!$A$5:$A$404,0)),0))</f>
        <v>0</v>
      </c>
      <c r="J112" s="29">
        <f>IF(D112="","",IF(E112&lt;&gt;"",F112,ROUND(IF(H112="",0,H112)*IF(I112="",0,I112),2)))</f>
        <v>0</v>
      </c>
      <c r="M112" s="29">
        <f>IF(D112="","",ROUND(J112+IF(K112="",0,K112)-IF(L112="",0,L112),2))</f>
        <v>0</v>
      </c>
      <c r="N112" s="29">
        <f>IF(M112="","",IF(TaxRegistered&lt;&gt;"Yes",0,IF(PricesIncludeTax="Yes",ROUND(M112-M112/(1+TaxRate),2),ROUND(M112*TaxRate,2))))</f>
        <v>0</v>
      </c>
      <c r="O112" s="29">
        <f>IF(M112="","",IF(PricesIncludeTax="Yes",M112,ROUND(M112+N112,2)))</f>
        <v>0</v>
      </c>
      <c r="P112" s="29">
        <f>IF(A112="","",SUMIFS(Payments!$E$5:$E$304,Payments!$D$5:$D$304,A112,Payments!$M$5:$M$304,"Yes"))</f>
        <v>0</v>
      </c>
      <c r="Q112" s="29">
        <f>IF(A112="","",SUMIFS(Payments!$K$5:$K$304,Payments!$D$5:$D$304,A112))</f>
        <v>0</v>
      </c>
      <c r="R112" s="29">
        <f>IF(A112="","",SUMIFS(Payments!$J$5:$J$304,Payments!$D$5:$D$304,A112))</f>
        <v>0</v>
      </c>
      <c r="S112" s="29">
        <f>IF(D112="","",ROUND(IF(T112="Cancelled",0,O112-Q112),2))</f>
        <v>0</v>
      </c>
      <c r="U112" s="49">
        <f>IF(A112="","",IF(T112="Cancelled","Cancelled",IF(S112&lt;=0.004,"Paid",IF(Q112&gt;0.004,IF(AND(C112&lt;&gt;"",TODAY()&gt;C112),"Overdue - part paid","Partially paid"),IF(AND(C112&lt;&gt;"",TODAY()&gt;C112),"Overdue",IF(T112="Draft","Draft","Unpaid"))))))</f>
        <v>0</v>
      </c>
      <c r="V112" s="31">
        <f>IF(OR(C112="",S112&lt;=0.004),"",MAX(0,TODAY()-C112))</f>
        <v>0</v>
      </c>
      <c r="W112" s="49">
        <f>IF(A112="","",IF(S112&lt;=0.004,"Paid",IF(V112="","Not due",IF(V112=0,"Current",IF(V112&lt;=30,"1-30 days",IF(V112&lt;=60,"31-60 days",IF(V112&lt;=90,"61-90 days","90+ days")))))))</f>
        <v>0</v>
      </c>
      <c r="X112" s="29">
        <f>IF(OR(V112="",V112=0),0,ROUND(S112*LateFeePct,2))</f>
        <v>0</v>
      </c>
      <c r="AA112" s="49">
        <f>IF(A112="","",IF(COUNTIF(Invoices!$A$5:$A$304,A112)&gt;1,"Duplicate number","OK"))</f>
        <v>0</v>
      </c>
      <c r="AC112" s="28">
        <f>IF(B112="","",TEXT(B112,"yyyy-mm"))</f>
        <v>0</v>
      </c>
      <c r="AD112" s="49">
        <f>IF(A112="","",IF(T112="Draft","Action - still a draft",IF(U112="Overdue","Overdue - chase payment",IF(U112="Overdue - part paid","Overdue - chase the balance",IF(AND(S112&gt;0.004,C112&lt;&gt;"",C112-TODAY()&lt;=ReminderLeadDays,C112&gt;=TODAY()),"Due soon - send a reminder","OK")))))</f>
        <v>0</v>
      </c>
    </row>
    <row r="113" spans="1:30">
      <c r="A113" s="46">
        <f>IF(D113="","",InvoicePrefix&amp;TEXT(InvoiceStartNo+ROW()-5,"0000"))</f>
        <v>0</v>
      </c>
      <c r="C113" s="21">
        <f>IF(B113="","",B113+PaymentTermsDays)</f>
        <v>0</v>
      </c>
      <c r="F113" s="29">
        <f>IF(E113="",0,IFERROR(INDEX(Bookings!$AI$5:$AI$404,MATCH(E113,Bookings!$A$5:$A$404,0)),0))</f>
        <v>0</v>
      </c>
      <c r="J113" s="29">
        <f>IF(D113="","",IF(E113&lt;&gt;"",F113,ROUND(IF(H113="",0,H113)*IF(I113="",0,I113),2)))</f>
        <v>0</v>
      </c>
      <c r="M113" s="29">
        <f>IF(D113="","",ROUND(J113+IF(K113="",0,K113)-IF(L113="",0,L113),2))</f>
        <v>0</v>
      </c>
      <c r="N113" s="29">
        <f>IF(M113="","",IF(TaxRegistered&lt;&gt;"Yes",0,IF(PricesIncludeTax="Yes",ROUND(M113-M113/(1+TaxRate),2),ROUND(M113*TaxRate,2))))</f>
        <v>0</v>
      </c>
      <c r="O113" s="29">
        <f>IF(M113="","",IF(PricesIncludeTax="Yes",M113,ROUND(M113+N113,2)))</f>
        <v>0</v>
      </c>
      <c r="P113" s="29">
        <f>IF(A113="","",SUMIFS(Payments!$E$5:$E$304,Payments!$D$5:$D$304,A113,Payments!$M$5:$M$304,"Yes"))</f>
        <v>0</v>
      </c>
      <c r="Q113" s="29">
        <f>IF(A113="","",SUMIFS(Payments!$K$5:$K$304,Payments!$D$5:$D$304,A113))</f>
        <v>0</v>
      </c>
      <c r="R113" s="29">
        <f>IF(A113="","",SUMIFS(Payments!$J$5:$J$304,Payments!$D$5:$D$304,A113))</f>
        <v>0</v>
      </c>
      <c r="S113" s="29">
        <f>IF(D113="","",ROUND(IF(T113="Cancelled",0,O113-Q113),2))</f>
        <v>0</v>
      </c>
      <c r="U113" s="49">
        <f>IF(A113="","",IF(T113="Cancelled","Cancelled",IF(S113&lt;=0.004,"Paid",IF(Q113&gt;0.004,IF(AND(C113&lt;&gt;"",TODAY()&gt;C113),"Overdue - part paid","Partially paid"),IF(AND(C113&lt;&gt;"",TODAY()&gt;C113),"Overdue",IF(T113="Draft","Draft","Unpaid"))))))</f>
        <v>0</v>
      </c>
      <c r="V113" s="31">
        <f>IF(OR(C113="",S113&lt;=0.004),"",MAX(0,TODAY()-C113))</f>
        <v>0</v>
      </c>
      <c r="W113" s="49">
        <f>IF(A113="","",IF(S113&lt;=0.004,"Paid",IF(V113="","Not due",IF(V113=0,"Current",IF(V113&lt;=30,"1-30 days",IF(V113&lt;=60,"31-60 days",IF(V113&lt;=90,"61-90 days","90+ days")))))))</f>
        <v>0</v>
      </c>
      <c r="X113" s="29">
        <f>IF(OR(V113="",V113=0),0,ROUND(S113*LateFeePct,2))</f>
        <v>0</v>
      </c>
      <c r="AA113" s="49">
        <f>IF(A113="","",IF(COUNTIF(Invoices!$A$5:$A$304,A113)&gt;1,"Duplicate number","OK"))</f>
        <v>0</v>
      </c>
      <c r="AC113" s="28">
        <f>IF(B113="","",TEXT(B113,"yyyy-mm"))</f>
        <v>0</v>
      </c>
      <c r="AD113" s="49">
        <f>IF(A113="","",IF(T113="Draft","Action - still a draft",IF(U113="Overdue","Overdue - chase payment",IF(U113="Overdue - part paid","Overdue - chase the balance",IF(AND(S113&gt;0.004,C113&lt;&gt;"",C113-TODAY()&lt;=ReminderLeadDays,C113&gt;=TODAY()),"Due soon - send a reminder","OK")))))</f>
        <v>0</v>
      </c>
    </row>
    <row r="114" spans="1:30">
      <c r="A114" s="46">
        <f>IF(D114="","",InvoicePrefix&amp;TEXT(InvoiceStartNo+ROW()-5,"0000"))</f>
        <v>0</v>
      </c>
      <c r="C114" s="21">
        <f>IF(B114="","",B114+PaymentTermsDays)</f>
        <v>0</v>
      </c>
      <c r="F114" s="29">
        <f>IF(E114="",0,IFERROR(INDEX(Bookings!$AI$5:$AI$404,MATCH(E114,Bookings!$A$5:$A$404,0)),0))</f>
        <v>0</v>
      </c>
      <c r="J114" s="29">
        <f>IF(D114="","",IF(E114&lt;&gt;"",F114,ROUND(IF(H114="",0,H114)*IF(I114="",0,I114),2)))</f>
        <v>0</v>
      </c>
      <c r="M114" s="29">
        <f>IF(D114="","",ROUND(J114+IF(K114="",0,K114)-IF(L114="",0,L114),2))</f>
        <v>0</v>
      </c>
      <c r="N114" s="29">
        <f>IF(M114="","",IF(TaxRegistered&lt;&gt;"Yes",0,IF(PricesIncludeTax="Yes",ROUND(M114-M114/(1+TaxRate),2),ROUND(M114*TaxRate,2))))</f>
        <v>0</v>
      </c>
      <c r="O114" s="29">
        <f>IF(M114="","",IF(PricesIncludeTax="Yes",M114,ROUND(M114+N114,2)))</f>
        <v>0</v>
      </c>
      <c r="P114" s="29">
        <f>IF(A114="","",SUMIFS(Payments!$E$5:$E$304,Payments!$D$5:$D$304,A114,Payments!$M$5:$M$304,"Yes"))</f>
        <v>0</v>
      </c>
      <c r="Q114" s="29">
        <f>IF(A114="","",SUMIFS(Payments!$K$5:$K$304,Payments!$D$5:$D$304,A114))</f>
        <v>0</v>
      </c>
      <c r="R114" s="29">
        <f>IF(A114="","",SUMIFS(Payments!$J$5:$J$304,Payments!$D$5:$D$304,A114))</f>
        <v>0</v>
      </c>
      <c r="S114" s="29">
        <f>IF(D114="","",ROUND(IF(T114="Cancelled",0,O114-Q114),2))</f>
        <v>0</v>
      </c>
      <c r="U114" s="49">
        <f>IF(A114="","",IF(T114="Cancelled","Cancelled",IF(S114&lt;=0.004,"Paid",IF(Q114&gt;0.004,IF(AND(C114&lt;&gt;"",TODAY()&gt;C114),"Overdue - part paid","Partially paid"),IF(AND(C114&lt;&gt;"",TODAY()&gt;C114),"Overdue",IF(T114="Draft","Draft","Unpaid"))))))</f>
        <v>0</v>
      </c>
      <c r="V114" s="31">
        <f>IF(OR(C114="",S114&lt;=0.004),"",MAX(0,TODAY()-C114))</f>
        <v>0</v>
      </c>
      <c r="W114" s="49">
        <f>IF(A114="","",IF(S114&lt;=0.004,"Paid",IF(V114="","Not due",IF(V114=0,"Current",IF(V114&lt;=30,"1-30 days",IF(V114&lt;=60,"31-60 days",IF(V114&lt;=90,"61-90 days","90+ days")))))))</f>
        <v>0</v>
      </c>
      <c r="X114" s="29">
        <f>IF(OR(V114="",V114=0),0,ROUND(S114*LateFeePct,2))</f>
        <v>0</v>
      </c>
      <c r="AA114" s="49">
        <f>IF(A114="","",IF(COUNTIF(Invoices!$A$5:$A$304,A114)&gt;1,"Duplicate number","OK"))</f>
        <v>0</v>
      </c>
      <c r="AC114" s="28">
        <f>IF(B114="","",TEXT(B114,"yyyy-mm"))</f>
        <v>0</v>
      </c>
      <c r="AD114" s="49">
        <f>IF(A114="","",IF(T114="Draft","Action - still a draft",IF(U114="Overdue","Overdue - chase payment",IF(U114="Overdue - part paid","Overdue - chase the balance",IF(AND(S114&gt;0.004,C114&lt;&gt;"",C114-TODAY()&lt;=ReminderLeadDays,C114&gt;=TODAY()),"Due soon - send a reminder","OK")))))</f>
        <v>0</v>
      </c>
    </row>
    <row r="115" spans="1:30">
      <c r="A115" s="46">
        <f>IF(D115="","",InvoicePrefix&amp;TEXT(InvoiceStartNo+ROW()-5,"0000"))</f>
        <v>0</v>
      </c>
      <c r="C115" s="21">
        <f>IF(B115="","",B115+PaymentTermsDays)</f>
        <v>0</v>
      </c>
      <c r="F115" s="29">
        <f>IF(E115="",0,IFERROR(INDEX(Bookings!$AI$5:$AI$404,MATCH(E115,Bookings!$A$5:$A$404,0)),0))</f>
        <v>0</v>
      </c>
      <c r="J115" s="29">
        <f>IF(D115="","",IF(E115&lt;&gt;"",F115,ROUND(IF(H115="",0,H115)*IF(I115="",0,I115),2)))</f>
        <v>0</v>
      </c>
      <c r="M115" s="29">
        <f>IF(D115="","",ROUND(J115+IF(K115="",0,K115)-IF(L115="",0,L115),2))</f>
        <v>0</v>
      </c>
      <c r="N115" s="29">
        <f>IF(M115="","",IF(TaxRegistered&lt;&gt;"Yes",0,IF(PricesIncludeTax="Yes",ROUND(M115-M115/(1+TaxRate),2),ROUND(M115*TaxRate,2))))</f>
        <v>0</v>
      </c>
      <c r="O115" s="29">
        <f>IF(M115="","",IF(PricesIncludeTax="Yes",M115,ROUND(M115+N115,2)))</f>
        <v>0</v>
      </c>
      <c r="P115" s="29">
        <f>IF(A115="","",SUMIFS(Payments!$E$5:$E$304,Payments!$D$5:$D$304,A115,Payments!$M$5:$M$304,"Yes"))</f>
        <v>0</v>
      </c>
      <c r="Q115" s="29">
        <f>IF(A115="","",SUMIFS(Payments!$K$5:$K$304,Payments!$D$5:$D$304,A115))</f>
        <v>0</v>
      </c>
      <c r="R115" s="29">
        <f>IF(A115="","",SUMIFS(Payments!$J$5:$J$304,Payments!$D$5:$D$304,A115))</f>
        <v>0</v>
      </c>
      <c r="S115" s="29">
        <f>IF(D115="","",ROUND(IF(T115="Cancelled",0,O115-Q115),2))</f>
        <v>0</v>
      </c>
      <c r="U115" s="49">
        <f>IF(A115="","",IF(T115="Cancelled","Cancelled",IF(S115&lt;=0.004,"Paid",IF(Q115&gt;0.004,IF(AND(C115&lt;&gt;"",TODAY()&gt;C115),"Overdue - part paid","Partially paid"),IF(AND(C115&lt;&gt;"",TODAY()&gt;C115),"Overdue",IF(T115="Draft","Draft","Unpaid"))))))</f>
        <v>0</v>
      </c>
      <c r="V115" s="31">
        <f>IF(OR(C115="",S115&lt;=0.004),"",MAX(0,TODAY()-C115))</f>
        <v>0</v>
      </c>
      <c r="W115" s="49">
        <f>IF(A115="","",IF(S115&lt;=0.004,"Paid",IF(V115="","Not due",IF(V115=0,"Current",IF(V115&lt;=30,"1-30 days",IF(V115&lt;=60,"31-60 days",IF(V115&lt;=90,"61-90 days","90+ days")))))))</f>
        <v>0</v>
      </c>
      <c r="X115" s="29">
        <f>IF(OR(V115="",V115=0),0,ROUND(S115*LateFeePct,2))</f>
        <v>0</v>
      </c>
      <c r="AA115" s="49">
        <f>IF(A115="","",IF(COUNTIF(Invoices!$A$5:$A$304,A115)&gt;1,"Duplicate number","OK"))</f>
        <v>0</v>
      </c>
      <c r="AC115" s="28">
        <f>IF(B115="","",TEXT(B115,"yyyy-mm"))</f>
        <v>0</v>
      </c>
      <c r="AD115" s="49">
        <f>IF(A115="","",IF(T115="Draft","Action - still a draft",IF(U115="Overdue","Overdue - chase payment",IF(U115="Overdue - part paid","Overdue - chase the balance",IF(AND(S115&gt;0.004,C115&lt;&gt;"",C115-TODAY()&lt;=ReminderLeadDays,C115&gt;=TODAY()),"Due soon - send a reminder","OK")))))</f>
        <v>0</v>
      </c>
    </row>
    <row r="116" spans="1:30">
      <c r="A116" s="46">
        <f>IF(D116="","",InvoicePrefix&amp;TEXT(InvoiceStartNo+ROW()-5,"0000"))</f>
        <v>0</v>
      </c>
      <c r="C116" s="21">
        <f>IF(B116="","",B116+PaymentTermsDays)</f>
        <v>0</v>
      </c>
      <c r="F116" s="29">
        <f>IF(E116="",0,IFERROR(INDEX(Bookings!$AI$5:$AI$404,MATCH(E116,Bookings!$A$5:$A$404,0)),0))</f>
        <v>0</v>
      </c>
      <c r="J116" s="29">
        <f>IF(D116="","",IF(E116&lt;&gt;"",F116,ROUND(IF(H116="",0,H116)*IF(I116="",0,I116),2)))</f>
        <v>0</v>
      </c>
      <c r="M116" s="29">
        <f>IF(D116="","",ROUND(J116+IF(K116="",0,K116)-IF(L116="",0,L116),2))</f>
        <v>0</v>
      </c>
      <c r="N116" s="29">
        <f>IF(M116="","",IF(TaxRegistered&lt;&gt;"Yes",0,IF(PricesIncludeTax="Yes",ROUND(M116-M116/(1+TaxRate),2),ROUND(M116*TaxRate,2))))</f>
        <v>0</v>
      </c>
      <c r="O116" s="29">
        <f>IF(M116="","",IF(PricesIncludeTax="Yes",M116,ROUND(M116+N116,2)))</f>
        <v>0</v>
      </c>
      <c r="P116" s="29">
        <f>IF(A116="","",SUMIFS(Payments!$E$5:$E$304,Payments!$D$5:$D$304,A116,Payments!$M$5:$M$304,"Yes"))</f>
        <v>0</v>
      </c>
      <c r="Q116" s="29">
        <f>IF(A116="","",SUMIFS(Payments!$K$5:$K$304,Payments!$D$5:$D$304,A116))</f>
        <v>0</v>
      </c>
      <c r="R116" s="29">
        <f>IF(A116="","",SUMIFS(Payments!$J$5:$J$304,Payments!$D$5:$D$304,A116))</f>
        <v>0</v>
      </c>
      <c r="S116" s="29">
        <f>IF(D116="","",ROUND(IF(T116="Cancelled",0,O116-Q116),2))</f>
        <v>0</v>
      </c>
      <c r="U116" s="49">
        <f>IF(A116="","",IF(T116="Cancelled","Cancelled",IF(S116&lt;=0.004,"Paid",IF(Q116&gt;0.004,IF(AND(C116&lt;&gt;"",TODAY()&gt;C116),"Overdue - part paid","Partially paid"),IF(AND(C116&lt;&gt;"",TODAY()&gt;C116),"Overdue",IF(T116="Draft","Draft","Unpaid"))))))</f>
        <v>0</v>
      </c>
      <c r="V116" s="31">
        <f>IF(OR(C116="",S116&lt;=0.004),"",MAX(0,TODAY()-C116))</f>
        <v>0</v>
      </c>
      <c r="W116" s="49">
        <f>IF(A116="","",IF(S116&lt;=0.004,"Paid",IF(V116="","Not due",IF(V116=0,"Current",IF(V116&lt;=30,"1-30 days",IF(V116&lt;=60,"31-60 days",IF(V116&lt;=90,"61-90 days","90+ days")))))))</f>
        <v>0</v>
      </c>
      <c r="X116" s="29">
        <f>IF(OR(V116="",V116=0),0,ROUND(S116*LateFeePct,2))</f>
        <v>0</v>
      </c>
      <c r="AA116" s="49">
        <f>IF(A116="","",IF(COUNTIF(Invoices!$A$5:$A$304,A116)&gt;1,"Duplicate number","OK"))</f>
        <v>0</v>
      </c>
      <c r="AC116" s="28">
        <f>IF(B116="","",TEXT(B116,"yyyy-mm"))</f>
        <v>0</v>
      </c>
      <c r="AD116" s="49">
        <f>IF(A116="","",IF(T116="Draft","Action - still a draft",IF(U116="Overdue","Overdue - chase payment",IF(U116="Overdue - part paid","Overdue - chase the balance",IF(AND(S116&gt;0.004,C116&lt;&gt;"",C116-TODAY()&lt;=ReminderLeadDays,C116&gt;=TODAY()),"Due soon - send a reminder","OK")))))</f>
        <v>0</v>
      </c>
    </row>
    <row r="117" spans="1:30">
      <c r="A117" s="46">
        <f>IF(D117="","",InvoicePrefix&amp;TEXT(InvoiceStartNo+ROW()-5,"0000"))</f>
        <v>0</v>
      </c>
      <c r="C117" s="21">
        <f>IF(B117="","",B117+PaymentTermsDays)</f>
        <v>0</v>
      </c>
      <c r="F117" s="29">
        <f>IF(E117="",0,IFERROR(INDEX(Bookings!$AI$5:$AI$404,MATCH(E117,Bookings!$A$5:$A$404,0)),0))</f>
        <v>0</v>
      </c>
      <c r="J117" s="29">
        <f>IF(D117="","",IF(E117&lt;&gt;"",F117,ROUND(IF(H117="",0,H117)*IF(I117="",0,I117),2)))</f>
        <v>0</v>
      </c>
      <c r="M117" s="29">
        <f>IF(D117="","",ROUND(J117+IF(K117="",0,K117)-IF(L117="",0,L117),2))</f>
        <v>0</v>
      </c>
      <c r="N117" s="29">
        <f>IF(M117="","",IF(TaxRegistered&lt;&gt;"Yes",0,IF(PricesIncludeTax="Yes",ROUND(M117-M117/(1+TaxRate),2),ROUND(M117*TaxRate,2))))</f>
        <v>0</v>
      </c>
      <c r="O117" s="29">
        <f>IF(M117="","",IF(PricesIncludeTax="Yes",M117,ROUND(M117+N117,2)))</f>
        <v>0</v>
      </c>
      <c r="P117" s="29">
        <f>IF(A117="","",SUMIFS(Payments!$E$5:$E$304,Payments!$D$5:$D$304,A117,Payments!$M$5:$M$304,"Yes"))</f>
        <v>0</v>
      </c>
      <c r="Q117" s="29">
        <f>IF(A117="","",SUMIFS(Payments!$K$5:$K$304,Payments!$D$5:$D$304,A117))</f>
        <v>0</v>
      </c>
      <c r="R117" s="29">
        <f>IF(A117="","",SUMIFS(Payments!$J$5:$J$304,Payments!$D$5:$D$304,A117))</f>
        <v>0</v>
      </c>
      <c r="S117" s="29">
        <f>IF(D117="","",ROUND(IF(T117="Cancelled",0,O117-Q117),2))</f>
        <v>0</v>
      </c>
      <c r="U117" s="49">
        <f>IF(A117="","",IF(T117="Cancelled","Cancelled",IF(S117&lt;=0.004,"Paid",IF(Q117&gt;0.004,IF(AND(C117&lt;&gt;"",TODAY()&gt;C117),"Overdue - part paid","Partially paid"),IF(AND(C117&lt;&gt;"",TODAY()&gt;C117),"Overdue",IF(T117="Draft","Draft","Unpaid"))))))</f>
        <v>0</v>
      </c>
      <c r="V117" s="31">
        <f>IF(OR(C117="",S117&lt;=0.004),"",MAX(0,TODAY()-C117))</f>
        <v>0</v>
      </c>
      <c r="W117" s="49">
        <f>IF(A117="","",IF(S117&lt;=0.004,"Paid",IF(V117="","Not due",IF(V117=0,"Current",IF(V117&lt;=30,"1-30 days",IF(V117&lt;=60,"31-60 days",IF(V117&lt;=90,"61-90 days","90+ days")))))))</f>
        <v>0</v>
      </c>
      <c r="X117" s="29">
        <f>IF(OR(V117="",V117=0),0,ROUND(S117*LateFeePct,2))</f>
        <v>0</v>
      </c>
      <c r="AA117" s="49">
        <f>IF(A117="","",IF(COUNTIF(Invoices!$A$5:$A$304,A117)&gt;1,"Duplicate number","OK"))</f>
        <v>0</v>
      </c>
      <c r="AC117" s="28">
        <f>IF(B117="","",TEXT(B117,"yyyy-mm"))</f>
        <v>0</v>
      </c>
      <c r="AD117" s="49">
        <f>IF(A117="","",IF(T117="Draft","Action - still a draft",IF(U117="Overdue","Overdue - chase payment",IF(U117="Overdue - part paid","Overdue - chase the balance",IF(AND(S117&gt;0.004,C117&lt;&gt;"",C117-TODAY()&lt;=ReminderLeadDays,C117&gt;=TODAY()),"Due soon - send a reminder","OK")))))</f>
        <v>0</v>
      </c>
    </row>
    <row r="118" spans="1:30">
      <c r="A118" s="46">
        <f>IF(D118="","",InvoicePrefix&amp;TEXT(InvoiceStartNo+ROW()-5,"0000"))</f>
        <v>0</v>
      </c>
      <c r="C118" s="21">
        <f>IF(B118="","",B118+PaymentTermsDays)</f>
        <v>0</v>
      </c>
      <c r="F118" s="29">
        <f>IF(E118="",0,IFERROR(INDEX(Bookings!$AI$5:$AI$404,MATCH(E118,Bookings!$A$5:$A$404,0)),0))</f>
        <v>0</v>
      </c>
      <c r="J118" s="29">
        <f>IF(D118="","",IF(E118&lt;&gt;"",F118,ROUND(IF(H118="",0,H118)*IF(I118="",0,I118),2)))</f>
        <v>0</v>
      </c>
      <c r="M118" s="29">
        <f>IF(D118="","",ROUND(J118+IF(K118="",0,K118)-IF(L118="",0,L118),2))</f>
        <v>0</v>
      </c>
      <c r="N118" s="29">
        <f>IF(M118="","",IF(TaxRegistered&lt;&gt;"Yes",0,IF(PricesIncludeTax="Yes",ROUND(M118-M118/(1+TaxRate),2),ROUND(M118*TaxRate,2))))</f>
        <v>0</v>
      </c>
      <c r="O118" s="29">
        <f>IF(M118="","",IF(PricesIncludeTax="Yes",M118,ROUND(M118+N118,2)))</f>
        <v>0</v>
      </c>
      <c r="P118" s="29">
        <f>IF(A118="","",SUMIFS(Payments!$E$5:$E$304,Payments!$D$5:$D$304,A118,Payments!$M$5:$M$304,"Yes"))</f>
        <v>0</v>
      </c>
      <c r="Q118" s="29">
        <f>IF(A118="","",SUMIFS(Payments!$K$5:$K$304,Payments!$D$5:$D$304,A118))</f>
        <v>0</v>
      </c>
      <c r="R118" s="29">
        <f>IF(A118="","",SUMIFS(Payments!$J$5:$J$304,Payments!$D$5:$D$304,A118))</f>
        <v>0</v>
      </c>
      <c r="S118" s="29">
        <f>IF(D118="","",ROUND(IF(T118="Cancelled",0,O118-Q118),2))</f>
        <v>0</v>
      </c>
      <c r="U118" s="49">
        <f>IF(A118="","",IF(T118="Cancelled","Cancelled",IF(S118&lt;=0.004,"Paid",IF(Q118&gt;0.004,IF(AND(C118&lt;&gt;"",TODAY()&gt;C118),"Overdue - part paid","Partially paid"),IF(AND(C118&lt;&gt;"",TODAY()&gt;C118),"Overdue",IF(T118="Draft","Draft","Unpaid"))))))</f>
        <v>0</v>
      </c>
      <c r="V118" s="31">
        <f>IF(OR(C118="",S118&lt;=0.004),"",MAX(0,TODAY()-C118))</f>
        <v>0</v>
      </c>
      <c r="W118" s="49">
        <f>IF(A118="","",IF(S118&lt;=0.004,"Paid",IF(V118="","Not due",IF(V118=0,"Current",IF(V118&lt;=30,"1-30 days",IF(V118&lt;=60,"31-60 days",IF(V118&lt;=90,"61-90 days","90+ days")))))))</f>
        <v>0</v>
      </c>
      <c r="X118" s="29">
        <f>IF(OR(V118="",V118=0),0,ROUND(S118*LateFeePct,2))</f>
        <v>0</v>
      </c>
      <c r="AA118" s="49">
        <f>IF(A118="","",IF(COUNTIF(Invoices!$A$5:$A$304,A118)&gt;1,"Duplicate number","OK"))</f>
        <v>0</v>
      </c>
      <c r="AC118" s="28">
        <f>IF(B118="","",TEXT(B118,"yyyy-mm"))</f>
        <v>0</v>
      </c>
      <c r="AD118" s="49">
        <f>IF(A118="","",IF(T118="Draft","Action - still a draft",IF(U118="Overdue","Overdue - chase payment",IF(U118="Overdue - part paid","Overdue - chase the balance",IF(AND(S118&gt;0.004,C118&lt;&gt;"",C118-TODAY()&lt;=ReminderLeadDays,C118&gt;=TODAY()),"Due soon - send a reminder","OK")))))</f>
        <v>0</v>
      </c>
    </row>
    <row r="119" spans="1:30">
      <c r="A119" s="46">
        <f>IF(D119="","",InvoicePrefix&amp;TEXT(InvoiceStartNo+ROW()-5,"0000"))</f>
        <v>0</v>
      </c>
      <c r="C119" s="21">
        <f>IF(B119="","",B119+PaymentTermsDays)</f>
        <v>0</v>
      </c>
      <c r="F119" s="29">
        <f>IF(E119="",0,IFERROR(INDEX(Bookings!$AI$5:$AI$404,MATCH(E119,Bookings!$A$5:$A$404,0)),0))</f>
        <v>0</v>
      </c>
      <c r="J119" s="29">
        <f>IF(D119="","",IF(E119&lt;&gt;"",F119,ROUND(IF(H119="",0,H119)*IF(I119="",0,I119),2)))</f>
        <v>0</v>
      </c>
      <c r="M119" s="29">
        <f>IF(D119="","",ROUND(J119+IF(K119="",0,K119)-IF(L119="",0,L119),2))</f>
        <v>0</v>
      </c>
      <c r="N119" s="29">
        <f>IF(M119="","",IF(TaxRegistered&lt;&gt;"Yes",0,IF(PricesIncludeTax="Yes",ROUND(M119-M119/(1+TaxRate),2),ROUND(M119*TaxRate,2))))</f>
        <v>0</v>
      </c>
      <c r="O119" s="29">
        <f>IF(M119="","",IF(PricesIncludeTax="Yes",M119,ROUND(M119+N119,2)))</f>
        <v>0</v>
      </c>
      <c r="P119" s="29">
        <f>IF(A119="","",SUMIFS(Payments!$E$5:$E$304,Payments!$D$5:$D$304,A119,Payments!$M$5:$M$304,"Yes"))</f>
        <v>0</v>
      </c>
      <c r="Q119" s="29">
        <f>IF(A119="","",SUMIFS(Payments!$K$5:$K$304,Payments!$D$5:$D$304,A119))</f>
        <v>0</v>
      </c>
      <c r="R119" s="29">
        <f>IF(A119="","",SUMIFS(Payments!$J$5:$J$304,Payments!$D$5:$D$304,A119))</f>
        <v>0</v>
      </c>
      <c r="S119" s="29">
        <f>IF(D119="","",ROUND(IF(T119="Cancelled",0,O119-Q119),2))</f>
        <v>0</v>
      </c>
      <c r="U119" s="49">
        <f>IF(A119="","",IF(T119="Cancelled","Cancelled",IF(S119&lt;=0.004,"Paid",IF(Q119&gt;0.004,IF(AND(C119&lt;&gt;"",TODAY()&gt;C119),"Overdue - part paid","Partially paid"),IF(AND(C119&lt;&gt;"",TODAY()&gt;C119),"Overdue",IF(T119="Draft","Draft","Unpaid"))))))</f>
        <v>0</v>
      </c>
      <c r="V119" s="31">
        <f>IF(OR(C119="",S119&lt;=0.004),"",MAX(0,TODAY()-C119))</f>
        <v>0</v>
      </c>
      <c r="W119" s="49">
        <f>IF(A119="","",IF(S119&lt;=0.004,"Paid",IF(V119="","Not due",IF(V119=0,"Current",IF(V119&lt;=30,"1-30 days",IF(V119&lt;=60,"31-60 days",IF(V119&lt;=90,"61-90 days","90+ days")))))))</f>
        <v>0</v>
      </c>
      <c r="X119" s="29">
        <f>IF(OR(V119="",V119=0),0,ROUND(S119*LateFeePct,2))</f>
        <v>0</v>
      </c>
      <c r="AA119" s="49">
        <f>IF(A119="","",IF(COUNTIF(Invoices!$A$5:$A$304,A119)&gt;1,"Duplicate number","OK"))</f>
        <v>0</v>
      </c>
      <c r="AC119" s="28">
        <f>IF(B119="","",TEXT(B119,"yyyy-mm"))</f>
        <v>0</v>
      </c>
      <c r="AD119" s="49">
        <f>IF(A119="","",IF(T119="Draft","Action - still a draft",IF(U119="Overdue","Overdue - chase payment",IF(U119="Overdue - part paid","Overdue - chase the balance",IF(AND(S119&gt;0.004,C119&lt;&gt;"",C119-TODAY()&lt;=ReminderLeadDays,C119&gt;=TODAY()),"Due soon - send a reminder","OK")))))</f>
        <v>0</v>
      </c>
    </row>
    <row r="120" spans="1:30">
      <c r="A120" s="46">
        <f>IF(D120="","",InvoicePrefix&amp;TEXT(InvoiceStartNo+ROW()-5,"0000"))</f>
        <v>0</v>
      </c>
      <c r="C120" s="21">
        <f>IF(B120="","",B120+PaymentTermsDays)</f>
        <v>0</v>
      </c>
      <c r="F120" s="29">
        <f>IF(E120="",0,IFERROR(INDEX(Bookings!$AI$5:$AI$404,MATCH(E120,Bookings!$A$5:$A$404,0)),0))</f>
        <v>0</v>
      </c>
      <c r="J120" s="29">
        <f>IF(D120="","",IF(E120&lt;&gt;"",F120,ROUND(IF(H120="",0,H120)*IF(I120="",0,I120),2)))</f>
        <v>0</v>
      </c>
      <c r="M120" s="29">
        <f>IF(D120="","",ROUND(J120+IF(K120="",0,K120)-IF(L120="",0,L120),2))</f>
        <v>0</v>
      </c>
      <c r="N120" s="29">
        <f>IF(M120="","",IF(TaxRegistered&lt;&gt;"Yes",0,IF(PricesIncludeTax="Yes",ROUND(M120-M120/(1+TaxRate),2),ROUND(M120*TaxRate,2))))</f>
        <v>0</v>
      </c>
      <c r="O120" s="29">
        <f>IF(M120="","",IF(PricesIncludeTax="Yes",M120,ROUND(M120+N120,2)))</f>
        <v>0</v>
      </c>
      <c r="P120" s="29">
        <f>IF(A120="","",SUMIFS(Payments!$E$5:$E$304,Payments!$D$5:$D$304,A120,Payments!$M$5:$M$304,"Yes"))</f>
        <v>0</v>
      </c>
      <c r="Q120" s="29">
        <f>IF(A120="","",SUMIFS(Payments!$K$5:$K$304,Payments!$D$5:$D$304,A120))</f>
        <v>0</v>
      </c>
      <c r="R120" s="29">
        <f>IF(A120="","",SUMIFS(Payments!$J$5:$J$304,Payments!$D$5:$D$304,A120))</f>
        <v>0</v>
      </c>
      <c r="S120" s="29">
        <f>IF(D120="","",ROUND(IF(T120="Cancelled",0,O120-Q120),2))</f>
        <v>0</v>
      </c>
      <c r="U120" s="49">
        <f>IF(A120="","",IF(T120="Cancelled","Cancelled",IF(S120&lt;=0.004,"Paid",IF(Q120&gt;0.004,IF(AND(C120&lt;&gt;"",TODAY()&gt;C120),"Overdue - part paid","Partially paid"),IF(AND(C120&lt;&gt;"",TODAY()&gt;C120),"Overdue",IF(T120="Draft","Draft","Unpaid"))))))</f>
        <v>0</v>
      </c>
      <c r="V120" s="31">
        <f>IF(OR(C120="",S120&lt;=0.004),"",MAX(0,TODAY()-C120))</f>
        <v>0</v>
      </c>
      <c r="W120" s="49">
        <f>IF(A120="","",IF(S120&lt;=0.004,"Paid",IF(V120="","Not due",IF(V120=0,"Current",IF(V120&lt;=30,"1-30 days",IF(V120&lt;=60,"31-60 days",IF(V120&lt;=90,"61-90 days","90+ days")))))))</f>
        <v>0</v>
      </c>
      <c r="X120" s="29">
        <f>IF(OR(V120="",V120=0),0,ROUND(S120*LateFeePct,2))</f>
        <v>0</v>
      </c>
      <c r="AA120" s="49">
        <f>IF(A120="","",IF(COUNTIF(Invoices!$A$5:$A$304,A120)&gt;1,"Duplicate number","OK"))</f>
        <v>0</v>
      </c>
      <c r="AC120" s="28">
        <f>IF(B120="","",TEXT(B120,"yyyy-mm"))</f>
        <v>0</v>
      </c>
      <c r="AD120" s="49">
        <f>IF(A120="","",IF(T120="Draft","Action - still a draft",IF(U120="Overdue","Overdue - chase payment",IF(U120="Overdue - part paid","Overdue - chase the balance",IF(AND(S120&gt;0.004,C120&lt;&gt;"",C120-TODAY()&lt;=ReminderLeadDays,C120&gt;=TODAY()),"Due soon - send a reminder","OK")))))</f>
        <v>0</v>
      </c>
    </row>
    <row r="121" spans="1:30">
      <c r="A121" s="46">
        <f>IF(D121="","",InvoicePrefix&amp;TEXT(InvoiceStartNo+ROW()-5,"0000"))</f>
        <v>0</v>
      </c>
      <c r="C121" s="21">
        <f>IF(B121="","",B121+PaymentTermsDays)</f>
        <v>0</v>
      </c>
      <c r="F121" s="29">
        <f>IF(E121="",0,IFERROR(INDEX(Bookings!$AI$5:$AI$404,MATCH(E121,Bookings!$A$5:$A$404,0)),0))</f>
        <v>0</v>
      </c>
      <c r="J121" s="29">
        <f>IF(D121="","",IF(E121&lt;&gt;"",F121,ROUND(IF(H121="",0,H121)*IF(I121="",0,I121),2)))</f>
        <v>0</v>
      </c>
      <c r="M121" s="29">
        <f>IF(D121="","",ROUND(J121+IF(K121="",0,K121)-IF(L121="",0,L121),2))</f>
        <v>0</v>
      </c>
      <c r="N121" s="29">
        <f>IF(M121="","",IF(TaxRegistered&lt;&gt;"Yes",0,IF(PricesIncludeTax="Yes",ROUND(M121-M121/(1+TaxRate),2),ROUND(M121*TaxRate,2))))</f>
        <v>0</v>
      </c>
      <c r="O121" s="29">
        <f>IF(M121="","",IF(PricesIncludeTax="Yes",M121,ROUND(M121+N121,2)))</f>
        <v>0</v>
      </c>
      <c r="P121" s="29">
        <f>IF(A121="","",SUMIFS(Payments!$E$5:$E$304,Payments!$D$5:$D$304,A121,Payments!$M$5:$M$304,"Yes"))</f>
        <v>0</v>
      </c>
      <c r="Q121" s="29">
        <f>IF(A121="","",SUMIFS(Payments!$K$5:$K$304,Payments!$D$5:$D$304,A121))</f>
        <v>0</v>
      </c>
      <c r="R121" s="29">
        <f>IF(A121="","",SUMIFS(Payments!$J$5:$J$304,Payments!$D$5:$D$304,A121))</f>
        <v>0</v>
      </c>
      <c r="S121" s="29">
        <f>IF(D121="","",ROUND(IF(T121="Cancelled",0,O121-Q121),2))</f>
        <v>0</v>
      </c>
      <c r="U121" s="49">
        <f>IF(A121="","",IF(T121="Cancelled","Cancelled",IF(S121&lt;=0.004,"Paid",IF(Q121&gt;0.004,IF(AND(C121&lt;&gt;"",TODAY()&gt;C121),"Overdue - part paid","Partially paid"),IF(AND(C121&lt;&gt;"",TODAY()&gt;C121),"Overdue",IF(T121="Draft","Draft","Unpaid"))))))</f>
        <v>0</v>
      </c>
      <c r="V121" s="31">
        <f>IF(OR(C121="",S121&lt;=0.004),"",MAX(0,TODAY()-C121))</f>
        <v>0</v>
      </c>
      <c r="W121" s="49">
        <f>IF(A121="","",IF(S121&lt;=0.004,"Paid",IF(V121="","Not due",IF(V121=0,"Current",IF(V121&lt;=30,"1-30 days",IF(V121&lt;=60,"31-60 days",IF(V121&lt;=90,"61-90 days","90+ days")))))))</f>
        <v>0</v>
      </c>
      <c r="X121" s="29">
        <f>IF(OR(V121="",V121=0),0,ROUND(S121*LateFeePct,2))</f>
        <v>0</v>
      </c>
      <c r="AA121" s="49">
        <f>IF(A121="","",IF(COUNTIF(Invoices!$A$5:$A$304,A121)&gt;1,"Duplicate number","OK"))</f>
        <v>0</v>
      </c>
      <c r="AC121" s="28">
        <f>IF(B121="","",TEXT(B121,"yyyy-mm"))</f>
        <v>0</v>
      </c>
      <c r="AD121" s="49">
        <f>IF(A121="","",IF(T121="Draft","Action - still a draft",IF(U121="Overdue","Overdue - chase payment",IF(U121="Overdue - part paid","Overdue - chase the balance",IF(AND(S121&gt;0.004,C121&lt;&gt;"",C121-TODAY()&lt;=ReminderLeadDays,C121&gt;=TODAY()),"Due soon - send a reminder","OK")))))</f>
        <v>0</v>
      </c>
    </row>
    <row r="122" spans="1:30">
      <c r="A122" s="46">
        <f>IF(D122="","",InvoicePrefix&amp;TEXT(InvoiceStartNo+ROW()-5,"0000"))</f>
        <v>0</v>
      </c>
      <c r="C122" s="21">
        <f>IF(B122="","",B122+PaymentTermsDays)</f>
        <v>0</v>
      </c>
      <c r="F122" s="29">
        <f>IF(E122="",0,IFERROR(INDEX(Bookings!$AI$5:$AI$404,MATCH(E122,Bookings!$A$5:$A$404,0)),0))</f>
        <v>0</v>
      </c>
      <c r="J122" s="29">
        <f>IF(D122="","",IF(E122&lt;&gt;"",F122,ROUND(IF(H122="",0,H122)*IF(I122="",0,I122),2)))</f>
        <v>0</v>
      </c>
      <c r="M122" s="29">
        <f>IF(D122="","",ROUND(J122+IF(K122="",0,K122)-IF(L122="",0,L122),2))</f>
        <v>0</v>
      </c>
      <c r="N122" s="29">
        <f>IF(M122="","",IF(TaxRegistered&lt;&gt;"Yes",0,IF(PricesIncludeTax="Yes",ROUND(M122-M122/(1+TaxRate),2),ROUND(M122*TaxRate,2))))</f>
        <v>0</v>
      </c>
      <c r="O122" s="29">
        <f>IF(M122="","",IF(PricesIncludeTax="Yes",M122,ROUND(M122+N122,2)))</f>
        <v>0</v>
      </c>
      <c r="P122" s="29">
        <f>IF(A122="","",SUMIFS(Payments!$E$5:$E$304,Payments!$D$5:$D$304,A122,Payments!$M$5:$M$304,"Yes"))</f>
        <v>0</v>
      </c>
      <c r="Q122" s="29">
        <f>IF(A122="","",SUMIFS(Payments!$K$5:$K$304,Payments!$D$5:$D$304,A122))</f>
        <v>0</v>
      </c>
      <c r="R122" s="29">
        <f>IF(A122="","",SUMIFS(Payments!$J$5:$J$304,Payments!$D$5:$D$304,A122))</f>
        <v>0</v>
      </c>
      <c r="S122" s="29">
        <f>IF(D122="","",ROUND(IF(T122="Cancelled",0,O122-Q122),2))</f>
        <v>0</v>
      </c>
      <c r="U122" s="49">
        <f>IF(A122="","",IF(T122="Cancelled","Cancelled",IF(S122&lt;=0.004,"Paid",IF(Q122&gt;0.004,IF(AND(C122&lt;&gt;"",TODAY()&gt;C122),"Overdue - part paid","Partially paid"),IF(AND(C122&lt;&gt;"",TODAY()&gt;C122),"Overdue",IF(T122="Draft","Draft","Unpaid"))))))</f>
        <v>0</v>
      </c>
      <c r="V122" s="31">
        <f>IF(OR(C122="",S122&lt;=0.004),"",MAX(0,TODAY()-C122))</f>
        <v>0</v>
      </c>
      <c r="W122" s="49">
        <f>IF(A122="","",IF(S122&lt;=0.004,"Paid",IF(V122="","Not due",IF(V122=0,"Current",IF(V122&lt;=30,"1-30 days",IF(V122&lt;=60,"31-60 days",IF(V122&lt;=90,"61-90 days","90+ days")))))))</f>
        <v>0</v>
      </c>
      <c r="X122" s="29">
        <f>IF(OR(V122="",V122=0),0,ROUND(S122*LateFeePct,2))</f>
        <v>0</v>
      </c>
      <c r="AA122" s="49">
        <f>IF(A122="","",IF(COUNTIF(Invoices!$A$5:$A$304,A122)&gt;1,"Duplicate number","OK"))</f>
        <v>0</v>
      </c>
      <c r="AC122" s="28">
        <f>IF(B122="","",TEXT(B122,"yyyy-mm"))</f>
        <v>0</v>
      </c>
      <c r="AD122" s="49">
        <f>IF(A122="","",IF(T122="Draft","Action - still a draft",IF(U122="Overdue","Overdue - chase payment",IF(U122="Overdue - part paid","Overdue - chase the balance",IF(AND(S122&gt;0.004,C122&lt;&gt;"",C122-TODAY()&lt;=ReminderLeadDays,C122&gt;=TODAY()),"Due soon - send a reminder","OK")))))</f>
        <v>0</v>
      </c>
    </row>
    <row r="123" spans="1:30">
      <c r="A123" s="46">
        <f>IF(D123="","",InvoicePrefix&amp;TEXT(InvoiceStartNo+ROW()-5,"0000"))</f>
        <v>0</v>
      </c>
      <c r="C123" s="21">
        <f>IF(B123="","",B123+PaymentTermsDays)</f>
        <v>0</v>
      </c>
      <c r="F123" s="29">
        <f>IF(E123="",0,IFERROR(INDEX(Bookings!$AI$5:$AI$404,MATCH(E123,Bookings!$A$5:$A$404,0)),0))</f>
        <v>0</v>
      </c>
      <c r="J123" s="29">
        <f>IF(D123="","",IF(E123&lt;&gt;"",F123,ROUND(IF(H123="",0,H123)*IF(I123="",0,I123),2)))</f>
        <v>0</v>
      </c>
      <c r="M123" s="29">
        <f>IF(D123="","",ROUND(J123+IF(K123="",0,K123)-IF(L123="",0,L123),2))</f>
        <v>0</v>
      </c>
      <c r="N123" s="29">
        <f>IF(M123="","",IF(TaxRegistered&lt;&gt;"Yes",0,IF(PricesIncludeTax="Yes",ROUND(M123-M123/(1+TaxRate),2),ROUND(M123*TaxRate,2))))</f>
        <v>0</v>
      </c>
      <c r="O123" s="29">
        <f>IF(M123="","",IF(PricesIncludeTax="Yes",M123,ROUND(M123+N123,2)))</f>
        <v>0</v>
      </c>
      <c r="P123" s="29">
        <f>IF(A123="","",SUMIFS(Payments!$E$5:$E$304,Payments!$D$5:$D$304,A123,Payments!$M$5:$M$304,"Yes"))</f>
        <v>0</v>
      </c>
      <c r="Q123" s="29">
        <f>IF(A123="","",SUMIFS(Payments!$K$5:$K$304,Payments!$D$5:$D$304,A123))</f>
        <v>0</v>
      </c>
      <c r="R123" s="29">
        <f>IF(A123="","",SUMIFS(Payments!$J$5:$J$304,Payments!$D$5:$D$304,A123))</f>
        <v>0</v>
      </c>
      <c r="S123" s="29">
        <f>IF(D123="","",ROUND(IF(T123="Cancelled",0,O123-Q123),2))</f>
        <v>0</v>
      </c>
      <c r="U123" s="49">
        <f>IF(A123="","",IF(T123="Cancelled","Cancelled",IF(S123&lt;=0.004,"Paid",IF(Q123&gt;0.004,IF(AND(C123&lt;&gt;"",TODAY()&gt;C123),"Overdue - part paid","Partially paid"),IF(AND(C123&lt;&gt;"",TODAY()&gt;C123),"Overdue",IF(T123="Draft","Draft","Unpaid"))))))</f>
        <v>0</v>
      </c>
      <c r="V123" s="31">
        <f>IF(OR(C123="",S123&lt;=0.004),"",MAX(0,TODAY()-C123))</f>
        <v>0</v>
      </c>
      <c r="W123" s="49">
        <f>IF(A123="","",IF(S123&lt;=0.004,"Paid",IF(V123="","Not due",IF(V123=0,"Current",IF(V123&lt;=30,"1-30 days",IF(V123&lt;=60,"31-60 days",IF(V123&lt;=90,"61-90 days","90+ days")))))))</f>
        <v>0</v>
      </c>
      <c r="X123" s="29">
        <f>IF(OR(V123="",V123=0),0,ROUND(S123*LateFeePct,2))</f>
        <v>0</v>
      </c>
      <c r="AA123" s="49">
        <f>IF(A123="","",IF(COUNTIF(Invoices!$A$5:$A$304,A123)&gt;1,"Duplicate number","OK"))</f>
        <v>0</v>
      </c>
      <c r="AC123" s="28">
        <f>IF(B123="","",TEXT(B123,"yyyy-mm"))</f>
        <v>0</v>
      </c>
      <c r="AD123" s="49">
        <f>IF(A123="","",IF(T123="Draft","Action - still a draft",IF(U123="Overdue","Overdue - chase payment",IF(U123="Overdue - part paid","Overdue - chase the balance",IF(AND(S123&gt;0.004,C123&lt;&gt;"",C123-TODAY()&lt;=ReminderLeadDays,C123&gt;=TODAY()),"Due soon - send a reminder","OK")))))</f>
        <v>0</v>
      </c>
    </row>
    <row r="124" spans="1:30">
      <c r="A124" s="46">
        <f>IF(D124="","",InvoicePrefix&amp;TEXT(InvoiceStartNo+ROW()-5,"0000"))</f>
        <v>0</v>
      </c>
      <c r="C124" s="21">
        <f>IF(B124="","",B124+PaymentTermsDays)</f>
        <v>0</v>
      </c>
      <c r="F124" s="29">
        <f>IF(E124="",0,IFERROR(INDEX(Bookings!$AI$5:$AI$404,MATCH(E124,Bookings!$A$5:$A$404,0)),0))</f>
        <v>0</v>
      </c>
      <c r="J124" s="29">
        <f>IF(D124="","",IF(E124&lt;&gt;"",F124,ROUND(IF(H124="",0,H124)*IF(I124="",0,I124),2)))</f>
        <v>0</v>
      </c>
      <c r="M124" s="29">
        <f>IF(D124="","",ROUND(J124+IF(K124="",0,K124)-IF(L124="",0,L124),2))</f>
        <v>0</v>
      </c>
      <c r="N124" s="29">
        <f>IF(M124="","",IF(TaxRegistered&lt;&gt;"Yes",0,IF(PricesIncludeTax="Yes",ROUND(M124-M124/(1+TaxRate),2),ROUND(M124*TaxRate,2))))</f>
        <v>0</v>
      </c>
      <c r="O124" s="29">
        <f>IF(M124="","",IF(PricesIncludeTax="Yes",M124,ROUND(M124+N124,2)))</f>
        <v>0</v>
      </c>
      <c r="P124" s="29">
        <f>IF(A124="","",SUMIFS(Payments!$E$5:$E$304,Payments!$D$5:$D$304,A124,Payments!$M$5:$M$304,"Yes"))</f>
        <v>0</v>
      </c>
      <c r="Q124" s="29">
        <f>IF(A124="","",SUMIFS(Payments!$K$5:$K$304,Payments!$D$5:$D$304,A124))</f>
        <v>0</v>
      </c>
      <c r="R124" s="29">
        <f>IF(A124="","",SUMIFS(Payments!$J$5:$J$304,Payments!$D$5:$D$304,A124))</f>
        <v>0</v>
      </c>
      <c r="S124" s="29">
        <f>IF(D124="","",ROUND(IF(T124="Cancelled",0,O124-Q124),2))</f>
        <v>0</v>
      </c>
      <c r="U124" s="49">
        <f>IF(A124="","",IF(T124="Cancelled","Cancelled",IF(S124&lt;=0.004,"Paid",IF(Q124&gt;0.004,IF(AND(C124&lt;&gt;"",TODAY()&gt;C124),"Overdue - part paid","Partially paid"),IF(AND(C124&lt;&gt;"",TODAY()&gt;C124),"Overdue",IF(T124="Draft","Draft","Unpaid"))))))</f>
        <v>0</v>
      </c>
      <c r="V124" s="31">
        <f>IF(OR(C124="",S124&lt;=0.004),"",MAX(0,TODAY()-C124))</f>
        <v>0</v>
      </c>
      <c r="W124" s="49">
        <f>IF(A124="","",IF(S124&lt;=0.004,"Paid",IF(V124="","Not due",IF(V124=0,"Current",IF(V124&lt;=30,"1-30 days",IF(V124&lt;=60,"31-60 days",IF(V124&lt;=90,"61-90 days","90+ days")))))))</f>
        <v>0</v>
      </c>
      <c r="X124" s="29">
        <f>IF(OR(V124="",V124=0),0,ROUND(S124*LateFeePct,2))</f>
        <v>0</v>
      </c>
      <c r="AA124" s="49">
        <f>IF(A124="","",IF(COUNTIF(Invoices!$A$5:$A$304,A124)&gt;1,"Duplicate number","OK"))</f>
        <v>0</v>
      </c>
      <c r="AC124" s="28">
        <f>IF(B124="","",TEXT(B124,"yyyy-mm"))</f>
        <v>0</v>
      </c>
      <c r="AD124" s="49">
        <f>IF(A124="","",IF(T124="Draft","Action - still a draft",IF(U124="Overdue","Overdue - chase payment",IF(U124="Overdue - part paid","Overdue - chase the balance",IF(AND(S124&gt;0.004,C124&lt;&gt;"",C124-TODAY()&lt;=ReminderLeadDays,C124&gt;=TODAY()),"Due soon - send a reminder","OK")))))</f>
        <v>0</v>
      </c>
    </row>
    <row r="125" spans="1:30">
      <c r="A125" s="46">
        <f>IF(D125="","",InvoicePrefix&amp;TEXT(InvoiceStartNo+ROW()-5,"0000"))</f>
        <v>0</v>
      </c>
      <c r="C125" s="21">
        <f>IF(B125="","",B125+PaymentTermsDays)</f>
        <v>0</v>
      </c>
      <c r="F125" s="29">
        <f>IF(E125="",0,IFERROR(INDEX(Bookings!$AI$5:$AI$404,MATCH(E125,Bookings!$A$5:$A$404,0)),0))</f>
        <v>0</v>
      </c>
      <c r="J125" s="29">
        <f>IF(D125="","",IF(E125&lt;&gt;"",F125,ROUND(IF(H125="",0,H125)*IF(I125="",0,I125),2)))</f>
        <v>0</v>
      </c>
      <c r="M125" s="29">
        <f>IF(D125="","",ROUND(J125+IF(K125="",0,K125)-IF(L125="",0,L125),2))</f>
        <v>0</v>
      </c>
      <c r="N125" s="29">
        <f>IF(M125="","",IF(TaxRegistered&lt;&gt;"Yes",0,IF(PricesIncludeTax="Yes",ROUND(M125-M125/(1+TaxRate),2),ROUND(M125*TaxRate,2))))</f>
        <v>0</v>
      </c>
      <c r="O125" s="29">
        <f>IF(M125="","",IF(PricesIncludeTax="Yes",M125,ROUND(M125+N125,2)))</f>
        <v>0</v>
      </c>
      <c r="P125" s="29">
        <f>IF(A125="","",SUMIFS(Payments!$E$5:$E$304,Payments!$D$5:$D$304,A125,Payments!$M$5:$M$304,"Yes"))</f>
        <v>0</v>
      </c>
      <c r="Q125" s="29">
        <f>IF(A125="","",SUMIFS(Payments!$K$5:$K$304,Payments!$D$5:$D$304,A125))</f>
        <v>0</v>
      </c>
      <c r="R125" s="29">
        <f>IF(A125="","",SUMIFS(Payments!$J$5:$J$304,Payments!$D$5:$D$304,A125))</f>
        <v>0</v>
      </c>
      <c r="S125" s="29">
        <f>IF(D125="","",ROUND(IF(T125="Cancelled",0,O125-Q125),2))</f>
        <v>0</v>
      </c>
      <c r="U125" s="49">
        <f>IF(A125="","",IF(T125="Cancelled","Cancelled",IF(S125&lt;=0.004,"Paid",IF(Q125&gt;0.004,IF(AND(C125&lt;&gt;"",TODAY()&gt;C125),"Overdue - part paid","Partially paid"),IF(AND(C125&lt;&gt;"",TODAY()&gt;C125),"Overdue",IF(T125="Draft","Draft","Unpaid"))))))</f>
        <v>0</v>
      </c>
      <c r="V125" s="31">
        <f>IF(OR(C125="",S125&lt;=0.004),"",MAX(0,TODAY()-C125))</f>
        <v>0</v>
      </c>
      <c r="W125" s="49">
        <f>IF(A125="","",IF(S125&lt;=0.004,"Paid",IF(V125="","Not due",IF(V125=0,"Current",IF(V125&lt;=30,"1-30 days",IF(V125&lt;=60,"31-60 days",IF(V125&lt;=90,"61-90 days","90+ days")))))))</f>
        <v>0</v>
      </c>
      <c r="X125" s="29">
        <f>IF(OR(V125="",V125=0),0,ROUND(S125*LateFeePct,2))</f>
        <v>0</v>
      </c>
      <c r="AA125" s="49">
        <f>IF(A125="","",IF(COUNTIF(Invoices!$A$5:$A$304,A125)&gt;1,"Duplicate number","OK"))</f>
        <v>0</v>
      </c>
      <c r="AC125" s="28">
        <f>IF(B125="","",TEXT(B125,"yyyy-mm"))</f>
        <v>0</v>
      </c>
      <c r="AD125" s="49">
        <f>IF(A125="","",IF(T125="Draft","Action - still a draft",IF(U125="Overdue","Overdue - chase payment",IF(U125="Overdue - part paid","Overdue - chase the balance",IF(AND(S125&gt;0.004,C125&lt;&gt;"",C125-TODAY()&lt;=ReminderLeadDays,C125&gt;=TODAY()),"Due soon - send a reminder","OK")))))</f>
        <v>0</v>
      </c>
    </row>
    <row r="126" spans="1:30">
      <c r="A126" s="46">
        <f>IF(D126="","",InvoicePrefix&amp;TEXT(InvoiceStartNo+ROW()-5,"0000"))</f>
        <v>0</v>
      </c>
      <c r="C126" s="21">
        <f>IF(B126="","",B126+PaymentTermsDays)</f>
        <v>0</v>
      </c>
      <c r="F126" s="29">
        <f>IF(E126="",0,IFERROR(INDEX(Bookings!$AI$5:$AI$404,MATCH(E126,Bookings!$A$5:$A$404,0)),0))</f>
        <v>0</v>
      </c>
      <c r="J126" s="29">
        <f>IF(D126="","",IF(E126&lt;&gt;"",F126,ROUND(IF(H126="",0,H126)*IF(I126="",0,I126),2)))</f>
        <v>0</v>
      </c>
      <c r="M126" s="29">
        <f>IF(D126="","",ROUND(J126+IF(K126="",0,K126)-IF(L126="",0,L126),2))</f>
        <v>0</v>
      </c>
      <c r="N126" s="29">
        <f>IF(M126="","",IF(TaxRegistered&lt;&gt;"Yes",0,IF(PricesIncludeTax="Yes",ROUND(M126-M126/(1+TaxRate),2),ROUND(M126*TaxRate,2))))</f>
        <v>0</v>
      </c>
      <c r="O126" s="29">
        <f>IF(M126="","",IF(PricesIncludeTax="Yes",M126,ROUND(M126+N126,2)))</f>
        <v>0</v>
      </c>
      <c r="P126" s="29">
        <f>IF(A126="","",SUMIFS(Payments!$E$5:$E$304,Payments!$D$5:$D$304,A126,Payments!$M$5:$M$304,"Yes"))</f>
        <v>0</v>
      </c>
      <c r="Q126" s="29">
        <f>IF(A126="","",SUMIFS(Payments!$K$5:$K$304,Payments!$D$5:$D$304,A126))</f>
        <v>0</v>
      </c>
      <c r="R126" s="29">
        <f>IF(A126="","",SUMIFS(Payments!$J$5:$J$304,Payments!$D$5:$D$304,A126))</f>
        <v>0</v>
      </c>
      <c r="S126" s="29">
        <f>IF(D126="","",ROUND(IF(T126="Cancelled",0,O126-Q126),2))</f>
        <v>0</v>
      </c>
      <c r="U126" s="49">
        <f>IF(A126="","",IF(T126="Cancelled","Cancelled",IF(S126&lt;=0.004,"Paid",IF(Q126&gt;0.004,IF(AND(C126&lt;&gt;"",TODAY()&gt;C126),"Overdue - part paid","Partially paid"),IF(AND(C126&lt;&gt;"",TODAY()&gt;C126),"Overdue",IF(T126="Draft","Draft","Unpaid"))))))</f>
        <v>0</v>
      </c>
      <c r="V126" s="31">
        <f>IF(OR(C126="",S126&lt;=0.004),"",MAX(0,TODAY()-C126))</f>
        <v>0</v>
      </c>
      <c r="W126" s="49">
        <f>IF(A126="","",IF(S126&lt;=0.004,"Paid",IF(V126="","Not due",IF(V126=0,"Current",IF(V126&lt;=30,"1-30 days",IF(V126&lt;=60,"31-60 days",IF(V126&lt;=90,"61-90 days","90+ days")))))))</f>
        <v>0</v>
      </c>
      <c r="X126" s="29">
        <f>IF(OR(V126="",V126=0),0,ROUND(S126*LateFeePct,2))</f>
        <v>0</v>
      </c>
      <c r="AA126" s="49">
        <f>IF(A126="","",IF(COUNTIF(Invoices!$A$5:$A$304,A126)&gt;1,"Duplicate number","OK"))</f>
        <v>0</v>
      </c>
      <c r="AC126" s="28">
        <f>IF(B126="","",TEXT(B126,"yyyy-mm"))</f>
        <v>0</v>
      </c>
      <c r="AD126" s="49">
        <f>IF(A126="","",IF(T126="Draft","Action - still a draft",IF(U126="Overdue","Overdue - chase payment",IF(U126="Overdue - part paid","Overdue - chase the balance",IF(AND(S126&gt;0.004,C126&lt;&gt;"",C126-TODAY()&lt;=ReminderLeadDays,C126&gt;=TODAY()),"Due soon - send a reminder","OK")))))</f>
        <v>0</v>
      </c>
    </row>
    <row r="127" spans="1:30">
      <c r="A127" s="46">
        <f>IF(D127="","",InvoicePrefix&amp;TEXT(InvoiceStartNo+ROW()-5,"0000"))</f>
        <v>0</v>
      </c>
      <c r="C127" s="21">
        <f>IF(B127="","",B127+PaymentTermsDays)</f>
        <v>0</v>
      </c>
      <c r="F127" s="29">
        <f>IF(E127="",0,IFERROR(INDEX(Bookings!$AI$5:$AI$404,MATCH(E127,Bookings!$A$5:$A$404,0)),0))</f>
        <v>0</v>
      </c>
      <c r="J127" s="29">
        <f>IF(D127="","",IF(E127&lt;&gt;"",F127,ROUND(IF(H127="",0,H127)*IF(I127="",0,I127),2)))</f>
        <v>0</v>
      </c>
      <c r="M127" s="29">
        <f>IF(D127="","",ROUND(J127+IF(K127="",0,K127)-IF(L127="",0,L127),2))</f>
        <v>0</v>
      </c>
      <c r="N127" s="29">
        <f>IF(M127="","",IF(TaxRegistered&lt;&gt;"Yes",0,IF(PricesIncludeTax="Yes",ROUND(M127-M127/(1+TaxRate),2),ROUND(M127*TaxRate,2))))</f>
        <v>0</v>
      </c>
      <c r="O127" s="29">
        <f>IF(M127="","",IF(PricesIncludeTax="Yes",M127,ROUND(M127+N127,2)))</f>
        <v>0</v>
      </c>
      <c r="P127" s="29">
        <f>IF(A127="","",SUMIFS(Payments!$E$5:$E$304,Payments!$D$5:$D$304,A127,Payments!$M$5:$M$304,"Yes"))</f>
        <v>0</v>
      </c>
      <c r="Q127" s="29">
        <f>IF(A127="","",SUMIFS(Payments!$K$5:$K$304,Payments!$D$5:$D$304,A127))</f>
        <v>0</v>
      </c>
      <c r="R127" s="29">
        <f>IF(A127="","",SUMIFS(Payments!$J$5:$J$304,Payments!$D$5:$D$304,A127))</f>
        <v>0</v>
      </c>
      <c r="S127" s="29">
        <f>IF(D127="","",ROUND(IF(T127="Cancelled",0,O127-Q127),2))</f>
        <v>0</v>
      </c>
      <c r="U127" s="49">
        <f>IF(A127="","",IF(T127="Cancelled","Cancelled",IF(S127&lt;=0.004,"Paid",IF(Q127&gt;0.004,IF(AND(C127&lt;&gt;"",TODAY()&gt;C127),"Overdue - part paid","Partially paid"),IF(AND(C127&lt;&gt;"",TODAY()&gt;C127),"Overdue",IF(T127="Draft","Draft","Unpaid"))))))</f>
        <v>0</v>
      </c>
      <c r="V127" s="31">
        <f>IF(OR(C127="",S127&lt;=0.004),"",MAX(0,TODAY()-C127))</f>
        <v>0</v>
      </c>
      <c r="W127" s="49">
        <f>IF(A127="","",IF(S127&lt;=0.004,"Paid",IF(V127="","Not due",IF(V127=0,"Current",IF(V127&lt;=30,"1-30 days",IF(V127&lt;=60,"31-60 days",IF(V127&lt;=90,"61-90 days","90+ days")))))))</f>
        <v>0</v>
      </c>
      <c r="X127" s="29">
        <f>IF(OR(V127="",V127=0),0,ROUND(S127*LateFeePct,2))</f>
        <v>0</v>
      </c>
      <c r="AA127" s="49">
        <f>IF(A127="","",IF(COUNTIF(Invoices!$A$5:$A$304,A127)&gt;1,"Duplicate number","OK"))</f>
        <v>0</v>
      </c>
      <c r="AC127" s="28">
        <f>IF(B127="","",TEXT(B127,"yyyy-mm"))</f>
        <v>0</v>
      </c>
      <c r="AD127" s="49">
        <f>IF(A127="","",IF(T127="Draft","Action - still a draft",IF(U127="Overdue","Overdue - chase payment",IF(U127="Overdue - part paid","Overdue - chase the balance",IF(AND(S127&gt;0.004,C127&lt;&gt;"",C127-TODAY()&lt;=ReminderLeadDays,C127&gt;=TODAY()),"Due soon - send a reminder","OK")))))</f>
        <v>0</v>
      </c>
    </row>
    <row r="128" spans="1:30">
      <c r="A128" s="46">
        <f>IF(D128="","",InvoicePrefix&amp;TEXT(InvoiceStartNo+ROW()-5,"0000"))</f>
        <v>0</v>
      </c>
      <c r="C128" s="21">
        <f>IF(B128="","",B128+PaymentTermsDays)</f>
        <v>0</v>
      </c>
      <c r="F128" s="29">
        <f>IF(E128="",0,IFERROR(INDEX(Bookings!$AI$5:$AI$404,MATCH(E128,Bookings!$A$5:$A$404,0)),0))</f>
        <v>0</v>
      </c>
      <c r="J128" s="29">
        <f>IF(D128="","",IF(E128&lt;&gt;"",F128,ROUND(IF(H128="",0,H128)*IF(I128="",0,I128),2)))</f>
        <v>0</v>
      </c>
      <c r="M128" s="29">
        <f>IF(D128="","",ROUND(J128+IF(K128="",0,K128)-IF(L128="",0,L128),2))</f>
        <v>0</v>
      </c>
      <c r="N128" s="29">
        <f>IF(M128="","",IF(TaxRegistered&lt;&gt;"Yes",0,IF(PricesIncludeTax="Yes",ROUND(M128-M128/(1+TaxRate),2),ROUND(M128*TaxRate,2))))</f>
        <v>0</v>
      </c>
      <c r="O128" s="29">
        <f>IF(M128="","",IF(PricesIncludeTax="Yes",M128,ROUND(M128+N128,2)))</f>
        <v>0</v>
      </c>
      <c r="P128" s="29">
        <f>IF(A128="","",SUMIFS(Payments!$E$5:$E$304,Payments!$D$5:$D$304,A128,Payments!$M$5:$M$304,"Yes"))</f>
        <v>0</v>
      </c>
      <c r="Q128" s="29">
        <f>IF(A128="","",SUMIFS(Payments!$K$5:$K$304,Payments!$D$5:$D$304,A128))</f>
        <v>0</v>
      </c>
      <c r="R128" s="29">
        <f>IF(A128="","",SUMIFS(Payments!$J$5:$J$304,Payments!$D$5:$D$304,A128))</f>
        <v>0</v>
      </c>
      <c r="S128" s="29">
        <f>IF(D128="","",ROUND(IF(T128="Cancelled",0,O128-Q128),2))</f>
        <v>0</v>
      </c>
      <c r="U128" s="49">
        <f>IF(A128="","",IF(T128="Cancelled","Cancelled",IF(S128&lt;=0.004,"Paid",IF(Q128&gt;0.004,IF(AND(C128&lt;&gt;"",TODAY()&gt;C128),"Overdue - part paid","Partially paid"),IF(AND(C128&lt;&gt;"",TODAY()&gt;C128),"Overdue",IF(T128="Draft","Draft","Unpaid"))))))</f>
        <v>0</v>
      </c>
      <c r="V128" s="31">
        <f>IF(OR(C128="",S128&lt;=0.004),"",MAX(0,TODAY()-C128))</f>
        <v>0</v>
      </c>
      <c r="W128" s="49">
        <f>IF(A128="","",IF(S128&lt;=0.004,"Paid",IF(V128="","Not due",IF(V128=0,"Current",IF(V128&lt;=30,"1-30 days",IF(V128&lt;=60,"31-60 days",IF(V128&lt;=90,"61-90 days","90+ days")))))))</f>
        <v>0</v>
      </c>
      <c r="X128" s="29">
        <f>IF(OR(V128="",V128=0),0,ROUND(S128*LateFeePct,2))</f>
        <v>0</v>
      </c>
      <c r="AA128" s="49">
        <f>IF(A128="","",IF(COUNTIF(Invoices!$A$5:$A$304,A128)&gt;1,"Duplicate number","OK"))</f>
        <v>0</v>
      </c>
      <c r="AC128" s="28">
        <f>IF(B128="","",TEXT(B128,"yyyy-mm"))</f>
        <v>0</v>
      </c>
      <c r="AD128" s="49">
        <f>IF(A128="","",IF(T128="Draft","Action - still a draft",IF(U128="Overdue","Overdue - chase payment",IF(U128="Overdue - part paid","Overdue - chase the balance",IF(AND(S128&gt;0.004,C128&lt;&gt;"",C128-TODAY()&lt;=ReminderLeadDays,C128&gt;=TODAY()),"Due soon - send a reminder","OK")))))</f>
        <v>0</v>
      </c>
    </row>
    <row r="129" spans="1:30">
      <c r="A129" s="46">
        <f>IF(D129="","",InvoicePrefix&amp;TEXT(InvoiceStartNo+ROW()-5,"0000"))</f>
        <v>0</v>
      </c>
      <c r="C129" s="21">
        <f>IF(B129="","",B129+PaymentTermsDays)</f>
        <v>0</v>
      </c>
      <c r="F129" s="29">
        <f>IF(E129="",0,IFERROR(INDEX(Bookings!$AI$5:$AI$404,MATCH(E129,Bookings!$A$5:$A$404,0)),0))</f>
        <v>0</v>
      </c>
      <c r="J129" s="29">
        <f>IF(D129="","",IF(E129&lt;&gt;"",F129,ROUND(IF(H129="",0,H129)*IF(I129="",0,I129),2)))</f>
        <v>0</v>
      </c>
      <c r="M129" s="29">
        <f>IF(D129="","",ROUND(J129+IF(K129="",0,K129)-IF(L129="",0,L129),2))</f>
        <v>0</v>
      </c>
      <c r="N129" s="29">
        <f>IF(M129="","",IF(TaxRegistered&lt;&gt;"Yes",0,IF(PricesIncludeTax="Yes",ROUND(M129-M129/(1+TaxRate),2),ROUND(M129*TaxRate,2))))</f>
        <v>0</v>
      </c>
      <c r="O129" s="29">
        <f>IF(M129="","",IF(PricesIncludeTax="Yes",M129,ROUND(M129+N129,2)))</f>
        <v>0</v>
      </c>
      <c r="P129" s="29">
        <f>IF(A129="","",SUMIFS(Payments!$E$5:$E$304,Payments!$D$5:$D$304,A129,Payments!$M$5:$M$304,"Yes"))</f>
        <v>0</v>
      </c>
      <c r="Q129" s="29">
        <f>IF(A129="","",SUMIFS(Payments!$K$5:$K$304,Payments!$D$5:$D$304,A129))</f>
        <v>0</v>
      </c>
      <c r="R129" s="29">
        <f>IF(A129="","",SUMIFS(Payments!$J$5:$J$304,Payments!$D$5:$D$304,A129))</f>
        <v>0</v>
      </c>
      <c r="S129" s="29">
        <f>IF(D129="","",ROUND(IF(T129="Cancelled",0,O129-Q129),2))</f>
        <v>0</v>
      </c>
      <c r="U129" s="49">
        <f>IF(A129="","",IF(T129="Cancelled","Cancelled",IF(S129&lt;=0.004,"Paid",IF(Q129&gt;0.004,IF(AND(C129&lt;&gt;"",TODAY()&gt;C129),"Overdue - part paid","Partially paid"),IF(AND(C129&lt;&gt;"",TODAY()&gt;C129),"Overdue",IF(T129="Draft","Draft","Unpaid"))))))</f>
        <v>0</v>
      </c>
      <c r="V129" s="31">
        <f>IF(OR(C129="",S129&lt;=0.004),"",MAX(0,TODAY()-C129))</f>
        <v>0</v>
      </c>
      <c r="W129" s="49">
        <f>IF(A129="","",IF(S129&lt;=0.004,"Paid",IF(V129="","Not due",IF(V129=0,"Current",IF(V129&lt;=30,"1-30 days",IF(V129&lt;=60,"31-60 days",IF(V129&lt;=90,"61-90 days","90+ days")))))))</f>
        <v>0</v>
      </c>
      <c r="X129" s="29">
        <f>IF(OR(V129="",V129=0),0,ROUND(S129*LateFeePct,2))</f>
        <v>0</v>
      </c>
      <c r="AA129" s="49">
        <f>IF(A129="","",IF(COUNTIF(Invoices!$A$5:$A$304,A129)&gt;1,"Duplicate number","OK"))</f>
        <v>0</v>
      </c>
      <c r="AC129" s="28">
        <f>IF(B129="","",TEXT(B129,"yyyy-mm"))</f>
        <v>0</v>
      </c>
      <c r="AD129" s="49">
        <f>IF(A129="","",IF(T129="Draft","Action - still a draft",IF(U129="Overdue","Overdue - chase payment",IF(U129="Overdue - part paid","Overdue - chase the balance",IF(AND(S129&gt;0.004,C129&lt;&gt;"",C129-TODAY()&lt;=ReminderLeadDays,C129&gt;=TODAY()),"Due soon - send a reminder","OK")))))</f>
        <v>0</v>
      </c>
    </row>
    <row r="130" spans="1:30">
      <c r="A130" s="46">
        <f>IF(D130="","",InvoicePrefix&amp;TEXT(InvoiceStartNo+ROW()-5,"0000"))</f>
        <v>0</v>
      </c>
      <c r="C130" s="21">
        <f>IF(B130="","",B130+PaymentTermsDays)</f>
        <v>0</v>
      </c>
      <c r="F130" s="29">
        <f>IF(E130="",0,IFERROR(INDEX(Bookings!$AI$5:$AI$404,MATCH(E130,Bookings!$A$5:$A$404,0)),0))</f>
        <v>0</v>
      </c>
      <c r="J130" s="29">
        <f>IF(D130="","",IF(E130&lt;&gt;"",F130,ROUND(IF(H130="",0,H130)*IF(I130="",0,I130),2)))</f>
        <v>0</v>
      </c>
      <c r="M130" s="29">
        <f>IF(D130="","",ROUND(J130+IF(K130="",0,K130)-IF(L130="",0,L130),2))</f>
        <v>0</v>
      </c>
      <c r="N130" s="29">
        <f>IF(M130="","",IF(TaxRegistered&lt;&gt;"Yes",0,IF(PricesIncludeTax="Yes",ROUND(M130-M130/(1+TaxRate),2),ROUND(M130*TaxRate,2))))</f>
        <v>0</v>
      </c>
      <c r="O130" s="29">
        <f>IF(M130="","",IF(PricesIncludeTax="Yes",M130,ROUND(M130+N130,2)))</f>
        <v>0</v>
      </c>
      <c r="P130" s="29">
        <f>IF(A130="","",SUMIFS(Payments!$E$5:$E$304,Payments!$D$5:$D$304,A130,Payments!$M$5:$M$304,"Yes"))</f>
        <v>0</v>
      </c>
      <c r="Q130" s="29">
        <f>IF(A130="","",SUMIFS(Payments!$K$5:$K$304,Payments!$D$5:$D$304,A130))</f>
        <v>0</v>
      </c>
      <c r="R130" s="29">
        <f>IF(A130="","",SUMIFS(Payments!$J$5:$J$304,Payments!$D$5:$D$304,A130))</f>
        <v>0</v>
      </c>
      <c r="S130" s="29">
        <f>IF(D130="","",ROUND(IF(T130="Cancelled",0,O130-Q130),2))</f>
        <v>0</v>
      </c>
      <c r="U130" s="49">
        <f>IF(A130="","",IF(T130="Cancelled","Cancelled",IF(S130&lt;=0.004,"Paid",IF(Q130&gt;0.004,IF(AND(C130&lt;&gt;"",TODAY()&gt;C130),"Overdue - part paid","Partially paid"),IF(AND(C130&lt;&gt;"",TODAY()&gt;C130),"Overdue",IF(T130="Draft","Draft","Unpaid"))))))</f>
        <v>0</v>
      </c>
      <c r="V130" s="31">
        <f>IF(OR(C130="",S130&lt;=0.004),"",MAX(0,TODAY()-C130))</f>
        <v>0</v>
      </c>
      <c r="W130" s="49">
        <f>IF(A130="","",IF(S130&lt;=0.004,"Paid",IF(V130="","Not due",IF(V130=0,"Current",IF(V130&lt;=30,"1-30 days",IF(V130&lt;=60,"31-60 days",IF(V130&lt;=90,"61-90 days","90+ days")))))))</f>
        <v>0</v>
      </c>
      <c r="X130" s="29">
        <f>IF(OR(V130="",V130=0),0,ROUND(S130*LateFeePct,2))</f>
        <v>0</v>
      </c>
      <c r="AA130" s="49">
        <f>IF(A130="","",IF(COUNTIF(Invoices!$A$5:$A$304,A130)&gt;1,"Duplicate number","OK"))</f>
        <v>0</v>
      </c>
      <c r="AC130" s="28">
        <f>IF(B130="","",TEXT(B130,"yyyy-mm"))</f>
        <v>0</v>
      </c>
      <c r="AD130" s="49">
        <f>IF(A130="","",IF(T130="Draft","Action - still a draft",IF(U130="Overdue","Overdue - chase payment",IF(U130="Overdue - part paid","Overdue - chase the balance",IF(AND(S130&gt;0.004,C130&lt;&gt;"",C130-TODAY()&lt;=ReminderLeadDays,C130&gt;=TODAY()),"Due soon - send a reminder","OK")))))</f>
        <v>0</v>
      </c>
    </row>
    <row r="131" spans="1:30">
      <c r="A131" s="46">
        <f>IF(D131="","",InvoicePrefix&amp;TEXT(InvoiceStartNo+ROW()-5,"0000"))</f>
        <v>0</v>
      </c>
      <c r="C131" s="21">
        <f>IF(B131="","",B131+PaymentTermsDays)</f>
        <v>0</v>
      </c>
      <c r="F131" s="29">
        <f>IF(E131="",0,IFERROR(INDEX(Bookings!$AI$5:$AI$404,MATCH(E131,Bookings!$A$5:$A$404,0)),0))</f>
        <v>0</v>
      </c>
      <c r="J131" s="29">
        <f>IF(D131="","",IF(E131&lt;&gt;"",F131,ROUND(IF(H131="",0,H131)*IF(I131="",0,I131),2)))</f>
        <v>0</v>
      </c>
      <c r="M131" s="29">
        <f>IF(D131="","",ROUND(J131+IF(K131="",0,K131)-IF(L131="",0,L131),2))</f>
        <v>0</v>
      </c>
      <c r="N131" s="29">
        <f>IF(M131="","",IF(TaxRegistered&lt;&gt;"Yes",0,IF(PricesIncludeTax="Yes",ROUND(M131-M131/(1+TaxRate),2),ROUND(M131*TaxRate,2))))</f>
        <v>0</v>
      </c>
      <c r="O131" s="29">
        <f>IF(M131="","",IF(PricesIncludeTax="Yes",M131,ROUND(M131+N131,2)))</f>
        <v>0</v>
      </c>
      <c r="P131" s="29">
        <f>IF(A131="","",SUMIFS(Payments!$E$5:$E$304,Payments!$D$5:$D$304,A131,Payments!$M$5:$M$304,"Yes"))</f>
        <v>0</v>
      </c>
      <c r="Q131" s="29">
        <f>IF(A131="","",SUMIFS(Payments!$K$5:$K$304,Payments!$D$5:$D$304,A131))</f>
        <v>0</v>
      </c>
      <c r="R131" s="29">
        <f>IF(A131="","",SUMIFS(Payments!$J$5:$J$304,Payments!$D$5:$D$304,A131))</f>
        <v>0</v>
      </c>
      <c r="S131" s="29">
        <f>IF(D131="","",ROUND(IF(T131="Cancelled",0,O131-Q131),2))</f>
        <v>0</v>
      </c>
      <c r="U131" s="49">
        <f>IF(A131="","",IF(T131="Cancelled","Cancelled",IF(S131&lt;=0.004,"Paid",IF(Q131&gt;0.004,IF(AND(C131&lt;&gt;"",TODAY()&gt;C131),"Overdue - part paid","Partially paid"),IF(AND(C131&lt;&gt;"",TODAY()&gt;C131),"Overdue",IF(T131="Draft","Draft","Unpaid"))))))</f>
        <v>0</v>
      </c>
      <c r="V131" s="31">
        <f>IF(OR(C131="",S131&lt;=0.004),"",MAX(0,TODAY()-C131))</f>
        <v>0</v>
      </c>
      <c r="W131" s="49">
        <f>IF(A131="","",IF(S131&lt;=0.004,"Paid",IF(V131="","Not due",IF(V131=0,"Current",IF(V131&lt;=30,"1-30 days",IF(V131&lt;=60,"31-60 days",IF(V131&lt;=90,"61-90 days","90+ days")))))))</f>
        <v>0</v>
      </c>
      <c r="X131" s="29">
        <f>IF(OR(V131="",V131=0),0,ROUND(S131*LateFeePct,2))</f>
        <v>0</v>
      </c>
      <c r="AA131" s="49">
        <f>IF(A131="","",IF(COUNTIF(Invoices!$A$5:$A$304,A131)&gt;1,"Duplicate number","OK"))</f>
        <v>0</v>
      </c>
      <c r="AC131" s="28">
        <f>IF(B131="","",TEXT(B131,"yyyy-mm"))</f>
        <v>0</v>
      </c>
      <c r="AD131" s="49">
        <f>IF(A131="","",IF(T131="Draft","Action - still a draft",IF(U131="Overdue","Overdue - chase payment",IF(U131="Overdue - part paid","Overdue - chase the balance",IF(AND(S131&gt;0.004,C131&lt;&gt;"",C131-TODAY()&lt;=ReminderLeadDays,C131&gt;=TODAY()),"Due soon - send a reminder","OK")))))</f>
        <v>0</v>
      </c>
    </row>
    <row r="132" spans="1:30">
      <c r="A132" s="46">
        <f>IF(D132="","",InvoicePrefix&amp;TEXT(InvoiceStartNo+ROW()-5,"0000"))</f>
        <v>0</v>
      </c>
      <c r="C132" s="21">
        <f>IF(B132="","",B132+PaymentTermsDays)</f>
        <v>0</v>
      </c>
      <c r="F132" s="29">
        <f>IF(E132="",0,IFERROR(INDEX(Bookings!$AI$5:$AI$404,MATCH(E132,Bookings!$A$5:$A$404,0)),0))</f>
        <v>0</v>
      </c>
      <c r="J132" s="29">
        <f>IF(D132="","",IF(E132&lt;&gt;"",F132,ROUND(IF(H132="",0,H132)*IF(I132="",0,I132),2)))</f>
        <v>0</v>
      </c>
      <c r="M132" s="29">
        <f>IF(D132="","",ROUND(J132+IF(K132="",0,K132)-IF(L132="",0,L132),2))</f>
        <v>0</v>
      </c>
      <c r="N132" s="29">
        <f>IF(M132="","",IF(TaxRegistered&lt;&gt;"Yes",0,IF(PricesIncludeTax="Yes",ROUND(M132-M132/(1+TaxRate),2),ROUND(M132*TaxRate,2))))</f>
        <v>0</v>
      </c>
      <c r="O132" s="29">
        <f>IF(M132="","",IF(PricesIncludeTax="Yes",M132,ROUND(M132+N132,2)))</f>
        <v>0</v>
      </c>
      <c r="P132" s="29">
        <f>IF(A132="","",SUMIFS(Payments!$E$5:$E$304,Payments!$D$5:$D$304,A132,Payments!$M$5:$M$304,"Yes"))</f>
        <v>0</v>
      </c>
      <c r="Q132" s="29">
        <f>IF(A132="","",SUMIFS(Payments!$K$5:$K$304,Payments!$D$5:$D$304,A132))</f>
        <v>0</v>
      </c>
      <c r="R132" s="29">
        <f>IF(A132="","",SUMIFS(Payments!$J$5:$J$304,Payments!$D$5:$D$304,A132))</f>
        <v>0</v>
      </c>
      <c r="S132" s="29">
        <f>IF(D132="","",ROUND(IF(T132="Cancelled",0,O132-Q132),2))</f>
        <v>0</v>
      </c>
      <c r="U132" s="49">
        <f>IF(A132="","",IF(T132="Cancelled","Cancelled",IF(S132&lt;=0.004,"Paid",IF(Q132&gt;0.004,IF(AND(C132&lt;&gt;"",TODAY()&gt;C132),"Overdue - part paid","Partially paid"),IF(AND(C132&lt;&gt;"",TODAY()&gt;C132),"Overdue",IF(T132="Draft","Draft","Unpaid"))))))</f>
        <v>0</v>
      </c>
      <c r="V132" s="31">
        <f>IF(OR(C132="",S132&lt;=0.004),"",MAX(0,TODAY()-C132))</f>
        <v>0</v>
      </c>
      <c r="W132" s="49">
        <f>IF(A132="","",IF(S132&lt;=0.004,"Paid",IF(V132="","Not due",IF(V132=0,"Current",IF(V132&lt;=30,"1-30 days",IF(V132&lt;=60,"31-60 days",IF(V132&lt;=90,"61-90 days","90+ days")))))))</f>
        <v>0</v>
      </c>
      <c r="X132" s="29">
        <f>IF(OR(V132="",V132=0),0,ROUND(S132*LateFeePct,2))</f>
        <v>0</v>
      </c>
      <c r="AA132" s="49">
        <f>IF(A132="","",IF(COUNTIF(Invoices!$A$5:$A$304,A132)&gt;1,"Duplicate number","OK"))</f>
        <v>0</v>
      </c>
      <c r="AC132" s="28">
        <f>IF(B132="","",TEXT(B132,"yyyy-mm"))</f>
        <v>0</v>
      </c>
      <c r="AD132" s="49">
        <f>IF(A132="","",IF(T132="Draft","Action - still a draft",IF(U132="Overdue","Overdue - chase payment",IF(U132="Overdue - part paid","Overdue - chase the balance",IF(AND(S132&gt;0.004,C132&lt;&gt;"",C132-TODAY()&lt;=ReminderLeadDays,C132&gt;=TODAY()),"Due soon - send a reminder","OK")))))</f>
        <v>0</v>
      </c>
    </row>
    <row r="133" spans="1:30">
      <c r="A133" s="46">
        <f>IF(D133="","",InvoicePrefix&amp;TEXT(InvoiceStartNo+ROW()-5,"0000"))</f>
        <v>0</v>
      </c>
      <c r="C133" s="21">
        <f>IF(B133="","",B133+PaymentTermsDays)</f>
        <v>0</v>
      </c>
      <c r="F133" s="29">
        <f>IF(E133="",0,IFERROR(INDEX(Bookings!$AI$5:$AI$404,MATCH(E133,Bookings!$A$5:$A$404,0)),0))</f>
        <v>0</v>
      </c>
      <c r="J133" s="29">
        <f>IF(D133="","",IF(E133&lt;&gt;"",F133,ROUND(IF(H133="",0,H133)*IF(I133="",0,I133),2)))</f>
        <v>0</v>
      </c>
      <c r="M133" s="29">
        <f>IF(D133="","",ROUND(J133+IF(K133="",0,K133)-IF(L133="",0,L133),2))</f>
        <v>0</v>
      </c>
      <c r="N133" s="29">
        <f>IF(M133="","",IF(TaxRegistered&lt;&gt;"Yes",0,IF(PricesIncludeTax="Yes",ROUND(M133-M133/(1+TaxRate),2),ROUND(M133*TaxRate,2))))</f>
        <v>0</v>
      </c>
      <c r="O133" s="29">
        <f>IF(M133="","",IF(PricesIncludeTax="Yes",M133,ROUND(M133+N133,2)))</f>
        <v>0</v>
      </c>
      <c r="P133" s="29">
        <f>IF(A133="","",SUMIFS(Payments!$E$5:$E$304,Payments!$D$5:$D$304,A133,Payments!$M$5:$M$304,"Yes"))</f>
        <v>0</v>
      </c>
      <c r="Q133" s="29">
        <f>IF(A133="","",SUMIFS(Payments!$K$5:$K$304,Payments!$D$5:$D$304,A133))</f>
        <v>0</v>
      </c>
      <c r="R133" s="29">
        <f>IF(A133="","",SUMIFS(Payments!$J$5:$J$304,Payments!$D$5:$D$304,A133))</f>
        <v>0</v>
      </c>
      <c r="S133" s="29">
        <f>IF(D133="","",ROUND(IF(T133="Cancelled",0,O133-Q133),2))</f>
        <v>0</v>
      </c>
      <c r="U133" s="49">
        <f>IF(A133="","",IF(T133="Cancelled","Cancelled",IF(S133&lt;=0.004,"Paid",IF(Q133&gt;0.004,IF(AND(C133&lt;&gt;"",TODAY()&gt;C133),"Overdue - part paid","Partially paid"),IF(AND(C133&lt;&gt;"",TODAY()&gt;C133),"Overdue",IF(T133="Draft","Draft","Unpaid"))))))</f>
        <v>0</v>
      </c>
      <c r="V133" s="31">
        <f>IF(OR(C133="",S133&lt;=0.004),"",MAX(0,TODAY()-C133))</f>
        <v>0</v>
      </c>
      <c r="W133" s="49">
        <f>IF(A133="","",IF(S133&lt;=0.004,"Paid",IF(V133="","Not due",IF(V133=0,"Current",IF(V133&lt;=30,"1-30 days",IF(V133&lt;=60,"31-60 days",IF(V133&lt;=90,"61-90 days","90+ days")))))))</f>
        <v>0</v>
      </c>
      <c r="X133" s="29">
        <f>IF(OR(V133="",V133=0),0,ROUND(S133*LateFeePct,2))</f>
        <v>0</v>
      </c>
      <c r="AA133" s="49">
        <f>IF(A133="","",IF(COUNTIF(Invoices!$A$5:$A$304,A133)&gt;1,"Duplicate number","OK"))</f>
        <v>0</v>
      </c>
      <c r="AC133" s="28">
        <f>IF(B133="","",TEXT(B133,"yyyy-mm"))</f>
        <v>0</v>
      </c>
      <c r="AD133" s="49">
        <f>IF(A133="","",IF(T133="Draft","Action - still a draft",IF(U133="Overdue","Overdue - chase payment",IF(U133="Overdue - part paid","Overdue - chase the balance",IF(AND(S133&gt;0.004,C133&lt;&gt;"",C133-TODAY()&lt;=ReminderLeadDays,C133&gt;=TODAY()),"Due soon - send a reminder","OK")))))</f>
        <v>0</v>
      </c>
    </row>
    <row r="134" spans="1:30">
      <c r="A134" s="46">
        <f>IF(D134="","",InvoicePrefix&amp;TEXT(InvoiceStartNo+ROW()-5,"0000"))</f>
        <v>0</v>
      </c>
      <c r="C134" s="21">
        <f>IF(B134="","",B134+PaymentTermsDays)</f>
        <v>0</v>
      </c>
      <c r="F134" s="29">
        <f>IF(E134="",0,IFERROR(INDEX(Bookings!$AI$5:$AI$404,MATCH(E134,Bookings!$A$5:$A$404,0)),0))</f>
        <v>0</v>
      </c>
      <c r="J134" s="29">
        <f>IF(D134="","",IF(E134&lt;&gt;"",F134,ROUND(IF(H134="",0,H134)*IF(I134="",0,I134),2)))</f>
        <v>0</v>
      </c>
      <c r="M134" s="29">
        <f>IF(D134="","",ROUND(J134+IF(K134="",0,K134)-IF(L134="",0,L134),2))</f>
        <v>0</v>
      </c>
      <c r="N134" s="29">
        <f>IF(M134="","",IF(TaxRegistered&lt;&gt;"Yes",0,IF(PricesIncludeTax="Yes",ROUND(M134-M134/(1+TaxRate),2),ROUND(M134*TaxRate,2))))</f>
        <v>0</v>
      </c>
      <c r="O134" s="29">
        <f>IF(M134="","",IF(PricesIncludeTax="Yes",M134,ROUND(M134+N134,2)))</f>
        <v>0</v>
      </c>
      <c r="P134" s="29">
        <f>IF(A134="","",SUMIFS(Payments!$E$5:$E$304,Payments!$D$5:$D$304,A134,Payments!$M$5:$M$304,"Yes"))</f>
        <v>0</v>
      </c>
      <c r="Q134" s="29">
        <f>IF(A134="","",SUMIFS(Payments!$K$5:$K$304,Payments!$D$5:$D$304,A134))</f>
        <v>0</v>
      </c>
      <c r="R134" s="29">
        <f>IF(A134="","",SUMIFS(Payments!$J$5:$J$304,Payments!$D$5:$D$304,A134))</f>
        <v>0</v>
      </c>
      <c r="S134" s="29">
        <f>IF(D134="","",ROUND(IF(T134="Cancelled",0,O134-Q134),2))</f>
        <v>0</v>
      </c>
      <c r="U134" s="49">
        <f>IF(A134="","",IF(T134="Cancelled","Cancelled",IF(S134&lt;=0.004,"Paid",IF(Q134&gt;0.004,IF(AND(C134&lt;&gt;"",TODAY()&gt;C134),"Overdue - part paid","Partially paid"),IF(AND(C134&lt;&gt;"",TODAY()&gt;C134),"Overdue",IF(T134="Draft","Draft","Unpaid"))))))</f>
        <v>0</v>
      </c>
      <c r="V134" s="31">
        <f>IF(OR(C134="",S134&lt;=0.004),"",MAX(0,TODAY()-C134))</f>
        <v>0</v>
      </c>
      <c r="W134" s="49">
        <f>IF(A134="","",IF(S134&lt;=0.004,"Paid",IF(V134="","Not due",IF(V134=0,"Current",IF(V134&lt;=30,"1-30 days",IF(V134&lt;=60,"31-60 days",IF(V134&lt;=90,"61-90 days","90+ days")))))))</f>
        <v>0</v>
      </c>
      <c r="X134" s="29">
        <f>IF(OR(V134="",V134=0),0,ROUND(S134*LateFeePct,2))</f>
        <v>0</v>
      </c>
      <c r="AA134" s="49">
        <f>IF(A134="","",IF(COUNTIF(Invoices!$A$5:$A$304,A134)&gt;1,"Duplicate number","OK"))</f>
        <v>0</v>
      </c>
      <c r="AC134" s="28">
        <f>IF(B134="","",TEXT(B134,"yyyy-mm"))</f>
        <v>0</v>
      </c>
      <c r="AD134" s="49">
        <f>IF(A134="","",IF(T134="Draft","Action - still a draft",IF(U134="Overdue","Overdue - chase payment",IF(U134="Overdue - part paid","Overdue - chase the balance",IF(AND(S134&gt;0.004,C134&lt;&gt;"",C134-TODAY()&lt;=ReminderLeadDays,C134&gt;=TODAY()),"Due soon - send a reminder","OK")))))</f>
        <v>0</v>
      </c>
    </row>
    <row r="135" spans="1:30">
      <c r="A135" s="46">
        <f>IF(D135="","",InvoicePrefix&amp;TEXT(InvoiceStartNo+ROW()-5,"0000"))</f>
        <v>0</v>
      </c>
      <c r="C135" s="21">
        <f>IF(B135="","",B135+PaymentTermsDays)</f>
        <v>0</v>
      </c>
      <c r="F135" s="29">
        <f>IF(E135="",0,IFERROR(INDEX(Bookings!$AI$5:$AI$404,MATCH(E135,Bookings!$A$5:$A$404,0)),0))</f>
        <v>0</v>
      </c>
      <c r="J135" s="29">
        <f>IF(D135="","",IF(E135&lt;&gt;"",F135,ROUND(IF(H135="",0,H135)*IF(I135="",0,I135),2)))</f>
        <v>0</v>
      </c>
      <c r="M135" s="29">
        <f>IF(D135="","",ROUND(J135+IF(K135="",0,K135)-IF(L135="",0,L135),2))</f>
        <v>0</v>
      </c>
      <c r="N135" s="29">
        <f>IF(M135="","",IF(TaxRegistered&lt;&gt;"Yes",0,IF(PricesIncludeTax="Yes",ROUND(M135-M135/(1+TaxRate),2),ROUND(M135*TaxRate,2))))</f>
        <v>0</v>
      </c>
      <c r="O135" s="29">
        <f>IF(M135="","",IF(PricesIncludeTax="Yes",M135,ROUND(M135+N135,2)))</f>
        <v>0</v>
      </c>
      <c r="P135" s="29">
        <f>IF(A135="","",SUMIFS(Payments!$E$5:$E$304,Payments!$D$5:$D$304,A135,Payments!$M$5:$M$304,"Yes"))</f>
        <v>0</v>
      </c>
      <c r="Q135" s="29">
        <f>IF(A135="","",SUMIFS(Payments!$K$5:$K$304,Payments!$D$5:$D$304,A135))</f>
        <v>0</v>
      </c>
      <c r="R135" s="29">
        <f>IF(A135="","",SUMIFS(Payments!$J$5:$J$304,Payments!$D$5:$D$304,A135))</f>
        <v>0</v>
      </c>
      <c r="S135" s="29">
        <f>IF(D135="","",ROUND(IF(T135="Cancelled",0,O135-Q135),2))</f>
        <v>0</v>
      </c>
      <c r="U135" s="49">
        <f>IF(A135="","",IF(T135="Cancelled","Cancelled",IF(S135&lt;=0.004,"Paid",IF(Q135&gt;0.004,IF(AND(C135&lt;&gt;"",TODAY()&gt;C135),"Overdue - part paid","Partially paid"),IF(AND(C135&lt;&gt;"",TODAY()&gt;C135),"Overdue",IF(T135="Draft","Draft","Unpaid"))))))</f>
        <v>0</v>
      </c>
      <c r="V135" s="31">
        <f>IF(OR(C135="",S135&lt;=0.004),"",MAX(0,TODAY()-C135))</f>
        <v>0</v>
      </c>
      <c r="W135" s="49">
        <f>IF(A135="","",IF(S135&lt;=0.004,"Paid",IF(V135="","Not due",IF(V135=0,"Current",IF(V135&lt;=30,"1-30 days",IF(V135&lt;=60,"31-60 days",IF(V135&lt;=90,"61-90 days","90+ days")))))))</f>
        <v>0</v>
      </c>
      <c r="X135" s="29">
        <f>IF(OR(V135="",V135=0),0,ROUND(S135*LateFeePct,2))</f>
        <v>0</v>
      </c>
      <c r="AA135" s="49">
        <f>IF(A135="","",IF(COUNTIF(Invoices!$A$5:$A$304,A135)&gt;1,"Duplicate number","OK"))</f>
        <v>0</v>
      </c>
      <c r="AC135" s="28">
        <f>IF(B135="","",TEXT(B135,"yyyy-mm"))</f>
        <v>0</v>
      </c>
      <c r="AD135" s="49">
        <f>IF(A135="","",IF(T135="Draft","Action - still a draft",IF(U135="Overdue","Overdue - chase payment",IF(U135="Overdue - part paid","Overdue - chase the balance",IF(AND(S135&gt;0.004,C135&lt;&gt;"",C135-TODAY()&lt;=ReminderLeadDays,C135&gt;=TODAY()),"Due soon - send a reminder","OK")))))</f>
        <v>0</v>
      </c>
    </row>
    <row r="136" spans="1:30">
      <c r="A136" s="46">
        <f>IF(D136="","",InvoicePrefix&amp;TEXT(InvoiceStartNo+ROW()-5,"0000"))</f>
        <v>0</v>
      </c>
      <c r="C136" s="21">
        <f>IF(B136="","",B136+PaymentTermsDays)</f>
        <v>0</v>
      </c>
      <c r="F136" s="29">
        <f>IF(E136="",0,IFERROR(INDEX(Bookings!$AI$5:$AI$404,MATCH(E136,Bookings!$A$5:$A$404,0)),0))</f>
        <v>0</v>
      </c>
      <c r="J136" s="29">
        <f>IF(D136="","",IF(E136&lt;&gt;"",F136,ROUND(IF(H136="",0,H136)*IF(I136="",0,I136),2)))</f>
        <v>0</v>
      </c>
      <c r="M136" s="29">
        <f>IF(D136="","",ROUND(J136+IF(K136="",0,K136)-IF(L136="",0,L136),2))</f>
        <v>0</v>
      </c>
      <c r="N136" s="29">
        <f>IF(M136="","",IF(TaxRegistered&lt;&gt;"Yes",0,IF(PricesIncludeTax="Yes",ROUND(M136-M136/(1+TaxRate),2),ROUND(M136*TaxRate,2))))</f>
        <v>0</v>
      </c>
      <c r="O136" s="29">
        <f>IF(M136="","",IF(PricesIncludeTax="Yes",M136,ROUND(M136+N136,2)))</f>
        <v>0</v>
      </c>
      <c r="P136" s="29">
        <f>IF(A136="","",SUMIFS(Payments!$E$5:$E$304,Payments!$D$5:$D$304,A136,Payments!$M$5:$M$304,"Yes"))</f>
        <v>0</v>
      </c>
      <c r="Q136" s="29">
        <f>IF(A136="","",SUMIFS(Payments!$K$5:$K$304,Payments!$D$5:$D$304,A136))</f>
        <v>0</v>
      </c>
      <c r="R136" s="29">
        <f>IF(A136="","",SUMIFS(Payments!$J$5:$J$304,Payments!$D$5:$D$304,A136))</f>
        <v>0</v>
      </c>
      <c r="S136" s="29">
        <f>IF(D136="","",ROUND(IF(T136="Cancelled",0,O136-Q136),2))</f>
        <v>0</v>
      </c>
      <c r="U136" s="49">
        <f>IF(A136="","",IF(T136="Cancelled","Cancelled",IF(S136&lt;=0.004,"Paid",IF(Q136&gt;0.004,IF(AND(C136&lt;&gt;"",TODAY()&gt;C136),"Overdue - part paid","Partially paid"),IF(AND(C136&lt;&gt;"",TODAY()&gt;C136),"Overdue",IF(T136="Draft","Draft","Unpaid"))))))</f>
        <v>0</v>
      </c>
      <c r="V136" s="31">
        <f>IF(OR(C136="",S136&lt;=0.004),"",MAX(0,TODAY()-C136))</f>
        <v>0</v>
      </c>
      <c r="W136" s="49">
        <f>IF(A136="","",IF(S136&lt;=0.004,"Paid",IF(V136="","Not due",IF(V136=0,"Current",IF(V136&lt;=30,"1-30 days",IF(V136&lt;=60,"31-60 days",IF(V136&lt;=90,"61-90 days","90+ days")))))))</f>
        <v>0</v>
      </c>
      <c r="X136" s="29">
        <f>IF(OR(V136="",V136=0),0,ROUND(S136*LateFeePct,2))</f>
        <v>0</v>
      </c>
      <c r="AA136" s="49">
        <f>IF(A136="","",IF(COUNTIF(Invoices!$A$5:$A$304,A136)&gt;1,"Duplicate number","OK"))</f>
        <v>0</v>
      </c>
      <c r="AC136" s="28">
        <f>IF(B136="","",TEXT(B136,"yyyy-mm"))</f>
        <v>0</v>
      </c>
      <c r="AD136" s="49">
        <f>IF(A136="","",IF(T136="Draft","Action - still a draft",IF(U136="Overdue","Overdue - chase payment",IF(U136="Overdue - part paid","Overdue - chase the balance",IF(AND(S136&gt;0.004,C136&lt;&gt;"",C136-TODAY()&lt;=ReminderLeadDays,C136&gt;=TODAY()),"Due soon - send a reminder","OK")))))</f>
        <v>0</v>
      </c>
    </row>
    <row r="137" spans="1:30">
      <c r="A137" s="46">
        <f>IF(D137="","",InvoicePrefix&amp;TEXT(InvoiceStartNo+ROW()-5,"0000"))</f>
        <v>0</v>
      </c>
      <c r="C137" s="21">
        <f>IF(B137="","",B137+PaymentTermsDays)</f>
        <v>0</v>
      </c>
      <c r="F137" s="29">
        <f>IF(E137="",0,IFERROR(INDEX(Bookings!$AI$5:$AI$404,MATCH(E137,Bookings!$A$5:$A$404,0)),0))</f>
        <v>0</v>
      </c>
      <c r="J137" s="29">
        <f>IF(D137="","",IF(E137&lt;&gt;"",F137,ROUND(IF(H137="",0,H137)*IF(I137="",0,I137),2)))</f>
        <v>0</v>
      </c>
      <c r="M137" s="29">
        <f>IF(D137="","",ROUND(J137+IF(K137="",0,K137)-IF(L137="",0,L137),2))</f>
        <v>0</v>
      </c>
      <c r="N137" s="29">
        <f>IF(M137="","",IF(TaxRegistered&lt;&gt;"Yes",0,IF(PricesIncludeTax="Yes",ROUND(M137-M137/(1+TaxRate),2),ROUND(M137*TaxRate,2))))</f>
        <v>0</v>
      </c>
      <c r="O137" s="29">
        <f>IF(M137="","",IF(PricesIncludeTax="Yes",M137,ROUND(M137+N137,2)))</f>
        <v>0</v>
      </c>
      <c r="P137" s="29">
        <f>IF(A137="","",SUMIFS(Payments!$E$5:$E$304,Payments!$D$5:$D$304,A137,Payments!$M$5:$M$304,"Yes"))</f>
        <v>0</v>
      </c>
      <c r="Q137" s="29">
        <f>IF(A137="","",SUMIFS(Payments!$K$5:$K$304,Payments!$D$5:$D$304,A137))</f>
        <v>0</v>
      </c>
      <c r="R137" s="29">
        <f>IF(A137="","",SUMIFS(Payments!$J$5:$J$304,Payments!$D$5:$D$304,A137))</f>
        <v>0</v>
      </c>
      <c r="S137" s="29">
        <f>IF(D137="","",ROUND(IF(T137="Cancelled",0,O137-Q137),2))</f>
        <v>0</v>
      </c>
      <c r="U137" s="49">
        <f>IF(A137="","",IF(T137="Cancelled","Cancelled",IF(S137&lt;=0.004,"Paid",IF(Q137&gt;0.004,IF(AND(C137&lt;&gt;"",TODAY()&gt;C137),"Overdue - part paid","Partially paid"),IF(AND(C137&lt;&gt;"",TODAY()&gt;C137),"Overdue",IF(T137="Draft","Draft","Unpaid"))))))</f>
        <v>0</v>
      </c>
      <c r="V137" s="31">
        <f>IF(OR(C137="",S137&lt;=0.004),"",MAX(0,TODAY()-C137))</f>
        <v>0</v>
      </c>
      <c r="W137" s="49">
        <f>IF(A137="","",IF(S137&lt;=0.004,"Paid",IF(V137="","Not due",IF(V137=0,"Current",IF(V137&lt;=30,"1-30 days",IF(V137&lt;=60,"31-60 days",IF(V137&lt;=90,"61-90 days","90+ days")))))))</f>
        <v>0</v>
      </c>
      <c r="X137" s="29">
        <f>IF(OR(V137="",V137=0),0,ROUND(S137*LateFeePct,2))</f>
        <v>0</v>
      </c>
      <c r="AA137" s="49">
        <f>IF(A137="","",IF(COUNTIF(Invoices!$A$5:$A$304,A137)&gt;1,"Duplicate number","OK"))</f>
        <v>0</v>
      </c>
      <c r="AC137" s="28">
        <f>IF(B137="","",TEXT(B137,"yyyy-mm"))</f>
        <v>0</v>
      </c>
      <c r="AD137" s="49">
        <f>IF(A137="","",IF(T137="Draft","Action - still a draft",IF(U137="Overdue","Overdue - chase payment",IF(U137="Overdue - part paid","Overdue - chase the balance",IF(AND(S137&gt;0.004,C137&lt;&gt;"",C137-TODAY()&lt;=ReminderLeadDays,C137&gt;=TODAY()),"Due soon - send a reminder","OK")))))</f>
        <v>0</v>
      </c>
    </row>
    <row r="138" spans="1:30">
      <c r="A138" s="46">
        <f>IF(D138="","",InvoicePrefix&amp;TEXT(InvoiceStartNo+ROW()-5,"0000"))</f>
        <v>0</v>
      </c>
      <c r="C138" s="21">
        <f>IF(B138="","",B138+PaymentTermsDays)</f>
        <v>0</v>
      </c>
      <c r="F138" s="29">
        <f>IF(E138="",0,IFERROR(INDEX(Bookings!$AI$5:$AI$404,MATCH(E138,Bookings!$A$5:$A$404,0)),0))</f>
        <v>0</v>
      </c>
      <c r="J138" s="29">
        <f>IF(D138="","",IF(E138&lt;&gt;"",F138,ROUND(IF(H138="",0,H138)*IF(I138="",0,I138),2)))</f>
        <v>0</v>
      </c>
      <c r="M138" s="29">
        <f>IF(D138="","",ROUND(J138+IF(K138="",0,K138)-IF(L138="",0,L138),2))</f>
        <v>0</v>
      </c>
      <c r="N138" s="29">
        <f>IF(M138="","",IF(TaxRegistered&lt;&gt;"Yes",0,IF(PricesIncludeTax="Yes",ROUND(M138-M138/(1+TaxRate),2),ROUND(M138*TaxRate,2))))</f>
        <v>0</v>
      </c>
      <c r="O138" s="29">
        <f>IF(M138="","",IF(PricesIncludeTax="Yes",M138,ROUND(M138+N138,2)))</f>
        <v>0</v>
      </c>
      <c r="P138" s="29">
        <f>IF(A138="","",SUMIFS(Payments!$E$5:$E$304,Payments!$D$5:$D$304,A138,Payments!$M$5:$M$304,"Yes"))</f>
        <v>0</v>
      </c>
      <c r="Q138" s="29">
        <f>IF(A138="","",SUMIFS(Payments!$K$5:$K$304,Payments!$D$5:$D$304,A138))</f>
        <v>0</v>
      </c>
      <c r="R138" s="29">
        <f>IF(A138="","",SUMIFS(Payments!$J$5:$J$304,Payments!$D$5:$D$304,A138))</f>
        <v>0</v>
      </c>
      <c r="S138" s="29">
        <f>IF(D138="","",ROUND(IF(T138="Cancelled",0,O138-Q138),2))</f>
        <v>0</v>
      </c>
      <c r="U138" s="49">
        <f>IF(A138="","",IF(T138="Cancelled","Cancelled",IF(S138&lt;=0.004,"Paid",IF(Q138&gt;0.004,IF(AND(C138&lt;&gt;"",TODAY()&gt;C138),"Overdue - part paid","Partially paid"),IF(AND(C138&lt;&gt;"",TODAY()&gt;C138),"Overdue",IF(T138="Draft","Draft","Unpaid"))))))</f>
        <v>0</v>
      </c>
      <c r="V138" s="31">
        <f>IF(OR(C138="",S138&lt;=0.004),"",MAX(0,TODAY()-C138))</f>
        <v>0</v>
      </c>
      <c r="W138" s="49">
        <f>IF(A138="","",IF(S138&lt;=0.004,"Paid",IF(V138="","Not due",IF(V138=0,"Current",IF(V138&lt;=30,"1-30 days",IF(V138&lt;=60,"31-60 days",IF(V138&lt;=90,"61-90 days","90+ days")))))))</f>
        <v>0</v>
      </c>
      <c r="X138" s="29">
        <f>IF(OR(V138="",V138=0),0,ROUND(S138*LateFeePct,2))</f>
        <v>0</v>
      </c>
      <c r="AA138" s="49">
        <f>IF(A138="","",IF(COUNTIF(Invoices!$A$5:$A$304,A138)&gt;1,"Duplicate number","OK"))</f>
        <v>0</v>
      </c>
      <c r="AC138" s="28">
        <f>IF(B138="","",TEXT(B138,"yyyy-mm"))</f>
        <v>0</v>
      </c>
      <c r="AD138" s="49">
        <f>IF(A138="","",IF(T138="Draft","Action - still a draft",IF(U138="Overdue","Overdue - chase payment",IF(U138="Overdue - part paid","Overdue - chase the balance",IF(AND(S138&gt;0.004,C138&lt;&gt;"",C138-TODAY()&lt;=ReminderLeadDays,C138&gt;=TODAY()),"Due soon - send a reminder","OK")))))</f>
        <v>0</v>
      </c>
    </row>
    <row r="139" spans="1:30">
      <c r="A139" s="46">
        <f>IF(D139="","",InvoicePrefix&amp;TEXT(InvoiceStartNo+ROW()-5,"0000"))</f>
        <v>0</v>
      </c>
      <c r="C139" s="21">
        <f>IF(B139="","",B139+PaymentTermsDays)</f>
        <v>0</v>
      </c>
      <c r="F139" s="29">
        <f>IF(E139="",0,IFERROR(INDEX(Bookings!$AI$5:$AI$404,MATCH(E139,Bookings!$A$5:$A$404,0)),0))</f>
        <v>0</v>
      </c>
      <c r="J139" s="29">
        <f>IF(D139="","",IF(E139&lt;&gt;"",F139,ROUND(IF(H139="",0,H139)*IF(I139="",0,I139),2)))</f>
        <v>0</v>
      </c>
      <c r="M139" s="29">
        <f>IF(D139="","",ROUND(J139+IF(K139="",0,K139)-IF(L139="",0,L139),2))</f>
        <v>0</v>
      </c>
      <c r="N139" s="29">
        <f>IF(M139="","",IF(TaxRegistered&lt;&gt;"Yes",0,IF(PricesIncludeTax="Yes",ROUND(M139-M139/(1+TaxRate),2),ROUND(M139*TaxRate,2))))</f>
        <v>0</v>
      </c>
      <c r="O139" s="29">
        <f>IF(M139="","",IF(PricesIncludeTax="Yes",M139,ROUND(M139+N139,2)))</f>
        <v>0</v>
      </c>
      <c r="P139" s="29">
        <f>IF(A139="","",SUMIFS(Payments!$E$5:$E$304,Payments!$D$5:$D$304,A139,Payments!$M$5:$M$304,"Yes"))</f>
        <v>0</v>
      </c>
      <c r="Q139" s="29">
        <f>IF(A139="","",SUMIFS(Payments!$K$5:$K$304,Payments!$D$5:$D$304,A139))</f>
        <v>0</v>
      </c>
      <c r="R139" s="29">
        <f>IF(A139="","",SUMIFS(Payments!$J$5:$J$304,Payments!$D$5:$D$304,A139))</f>
        <v>0</v>
      </c>
      <c r="S139" s="29">
        <f>IF(D139="","",ROUND(IF(T139="Cancelled",0,O139-Q139),2))</f>
        <v>0</v>
      </c>
      <c r="U139" s="49">
        <f>IF(A139="","",IF(T139="Cancelled","Cancelled",IF(S139&lt;=0.004,"Paid",IF(Q139&gt;0.004,IF(AND(C139&lt;&gt;"",TODAY()&gt;C139),"Overdue - part paid","Partially paid"),IF(AND(C139&lt;&gt;"",TODAY()&gt;C139),"Overdue",IF(T139="Draft","Draft","Unpaid"))))))</f>
        <v>0</v>
      </c>
      <c r="V139" s="31">
        <f>IF(OR(C139="",S139&lt;=0.004),"",MAX(0,TODAY()-C139))</f>
        <v>0</v>
      </c>
      <c r="W139" s="49">
        <f>IF(A139="","",IF(S139&lt;=0.004,"Paid",IF(V139="","Not due",IF(V139=0,"Current",IF(V139&lt;=30,"1-30 days",IF(V139&lt;=60,"31-60 days",IF(V139&lt;=90,"61-90 days","90+ days")))))))</f>
        <v>0</v>
      </c>
      <c r="X139" s="29">
        <f>IF(OR(V139="",V139=0),0,ROUND(S139*LateFeePct,2))</f>
        <v>0</v>
      </c>
      <c r="AA139" s="49">
        <f>IF(A139="","",IF(COUNTIF(Invoices!$A$5:$A$304,A139)&gt;1,"Duplicate number","OK"))</f>
        <v>0</v>
      </c>
      <c r="AC139" s="28">
        <f>IF(B139="","",TEXT(B139,"yyyy-mm"))</f>
        <v>0</v>
      </c>
      <c r="AD139" s="49">
        <f>IF(A139="","",IF(T139="Draft","Action - still a draft",IF(U139="Overdue","Overdue - chase payment",IF(U139="Overdue - part paid","Overdue - chase the balance",IF(AND(S139&gt;0.004,C139&lt;&gt;"",C139-TODAY()&lt;=ReminderLeadDays,C139&gt;=TODAY()),"Due soon - send a reminder","OK")))))</f>
        <v>0</v>
      </c>
    </row>
    <row r="140" spans="1:30">
      <c r="A140" s="46">
        <f>IF(D140="","",InvoicePrefix&amp;TEXT(InvoiceStartNo+ROW()-5,"0000"))</f>
        <v>0</v>
      </c>
      <c r="C140" s="21">
        <f>IF(B140="","",B140+PaymentTermsDays)</f>
        <v>0</v>
      </c>
      <c r="F140" s="29">
        <f>IF(E140="",0,IFERROR(INDEX(Bookings!$AI$5:$AI$404,MATCH(E140,Bookings!$A$5:$A$404,0)),0))</f>
        <v>0</v>
      </c>
      <c r="J140" s="29">
        <f>IF(D140="","",IF(E140&lt;&gt;"",F140,ROUND(IF(H140="",0,H140)*IF(I140="",0,I140),2)))</f>
        <v>0</v>
      </c>
      <c r="M140" s="29">
        <f>IF(D140="","",ROUND(J140+IF(K140="",0,K140)-IF(L140="",0,L140),2))</f>
        <v>0</v>
      </c>
      <c r="N140" s="29">
        <f>IF(M140="","",IF(TaxRegistered&lt;&gt;"Yes",0,IF(PricesIncludeTax="Yes",ROUND(M140-M140/(1+TaxRate),2),ROUND(M140*TaxRate,2))))</f>
        <v>0</v>
      </c>
      <c r="O140" s="29">
        <f>IF(M140="","",IF(PricesIncludeTax="Yes",M140,ROUND(M140+N140,2)))</f>
        <v>0</v>
      </c>
      <c r="P140" s="29">
        <f>IF(A140="","",SUMIFS(Payments!$E$5:$E$304,Payments!$D$5:$D$304,A140,Payments!$M$5:$M$304,"Yes"))</f>
        <v>0</v>
      </c>
      <c r="Q140" s="29">
        <f>IF(A140="","",SUMIFS(Payments!$K$5:$K$304,Payments!$D$5:$D$304,A140))</f>
        <v>0</v>
      </c>
      <c r="R140" s="29">
        <f>IF(A140="","",SUMIFS(Payments!$J$5:$J$304,Payments!$D$5:$D$304,A140))</f>
        <v>0</v>
      </c>
      <c r="S140" s="29">
        <f>IF(D140="","",ROUND(IF(T140="Cancelled",0,O140-Q140),2))</f>
        <v>0</v>
      </c>
      <c r="U140" s="49">
        <f>IF(A140="","",IF(T140="Cancelled","Cancelled",IF(S140&lt;=0.004,"Paid",IF(Q140&gt;0.004,IF(AND(C140&lt;&gt;"",TODAY()&gt;C140),"Overdue - part paid","Partially paid"),IF(AND(C140&lt;&gt;"",TODAY()&gt;C140),"Overdue",IF(T140="Draft","Draft","Unpaid"))))))</f>
        <v>0</v>
      </c>
      <c r="V140" s="31">
        <f>IF(OR(C140="",S140&lt;=0.004),"",MAX(0,TODAY()-C140))</f>
        <v>0</v>
      </c>
      <c r="W140" s="49">
        <f>IF(A140="","",IF(S140&lt;=0.004,"Paid",IF(V140="","Not due",IF(V140=0,"Current",IF(V140&lt;=30,"1-30 days",IF(V140&lt;=60,"31-60 days",IF(V140&lt;=90,"61-90 days","90+ days")))))))</f>
        <v>0</v>
      </c>
      <c r="X140" s="29">
        <f>IF(OR(V140="",V140=0),0,ROUND(S140*LateFeePct,2))</f>
        <v>0</v>
      </c>
      <c r="AA140" s="49">
        <f>IF(A140="","",IF(COUNTIF(Invoices!$A$5:$A$304,A140)&gt;1,"Duplicate number","OK"))</f>
        <v>0</v>
      </c>
      <c r="AC140" s="28">
        <f>IF(B140="","",TEXT(B140,"yyyy-mm"))</f>
        <v>0</v>
      </c>
      <c r="AD140" s="49">
        <f>IF(A140="","",IF(T140="Draft","Action - still a draft",IF(U140="Overdue","Overdue - chase payment",IF(U140="Overdue - part paid","Overdue - chase the balance",IF(AND(S140&gt;0.004,C140&lt;&gt;"",C140-TODAY()&lt;=ReminderLeadDays,C140&gt;=TODAY()),"Due soon - send a reminder","OK")))))</f>
        <v>0</v>
      </c>
    </row>
    <row r="141" spans="1:30">
      <c r="A141" s="46">
        <f>IF(D141="","",InvoicePrefix&amp;TEXT(InvoiceStartNo+ROW()-5,"0000"))</f>
        <v>0</v>
      </c>
      <c r="C141" s="21">
        <f>IF(B141="","",B141+PaymentTermsDays)</f>
        <v>0</v>
      </c>
      <c r="F141" s="29">
        <f>IF(E141="",0,IFERROR(INDEX(Bookings!$AI$5:$AI$404,MATCH(E141,Bookings!$A$5:$A$404,0)),0))</f>
        <v>0</v>
      </c>
      <c r="J141" s="29">
        <f>IF(D141="","",IF(E141&lt;&gt;"",F141,ROUND(IF(H141="",0,H141)*IF(I141="",0,I141),2)))</f>
        <v>0</v>
      </c>
      <c r="M141" s="29">
        <f>IF(D141="","",ROUND(J141+IF(K141="",0,K141)-IF(L141="",0,L141),2))</f>
        <v>0</v>
      </c>
      <c r="N141" s="29">
        <f>IF(M141="","",IF(TaxRegistered&lt;&gt;"Yes",0,IF(PricesIncludeTax="Yes",ROUND(M141-M141/(1+TaxRate),2),ROUND(M141*TaxRate,2))))</f>
        <v>0</v>
      </c>
      <c r="O141" s="29">
        <f>IF(M141="","",IF(PricesIncludeTax="Yes",M141,ROUND(M141+N141,2)))</f>
        <v>0</v>
      </c>
      <c r="P141" s="29">
        <f>IF(A141="","",SUMIFS(Payments!$E$5:$E$304,Payments!$D$5:$D$304,A141,Payments!$M$5:$M$304,"Yes"))</f>
        <v>0</v>
      </c>
      <c r="Q141" s="29">
        <f>IF(A141="","",SUMIFS(Payments!$K$5:$K$304,Payments!$D$5:$D$304,A141))</f>
        <v>0</v>
      </c>
      <c r="R141" s="29">
        <f>IF(A141="","",SUMIFS(Payments!$J$5:$J$304,Payments!$D$5:$D$304,A141))</f>
        <v>0</v>
      </c>
      <c r="S141" s="29">
        <f>IF(D141="","",ROUND(IF(T141="Cancelled",0,O141-Q141),2))</f>
        <v>0</v>
      </c>
      <c r="U141" s="49">
        <f>IF(A141="","",IF(T141="Cancelled","Cancelled",IF(S141&lt;=0.004,"Paid",IF(Q141&gt;0.004,IF(AND(C141&lt;&gt;"",TODAY()&gt;C141),"Overdue - part paid","Partially paid"),IF(AND(C141&lt;&gt;"",TODAY()&gt;C141),"Overdue",IF(T141="Draft","Draft","Unpaid"))))))</f>
        <v>0</v>
      </c>
      <c r="V141" s="31">
        <f>IF(OR(C141="",S141&lt;=0.004),"",MAX(0,TODAY()-C141))</f>
        <v>0</v>
      </c>
      <c r="W141" s="49">
        <f>IF(A141="","",IF(S141&lt;=0.004,"Paid",IF(V141="","Not due",IF(V141=0,"Current",IF(V141&lt;=30,"1-30 days",IF(V141&lt;=60,"31-60 days",IF(V141&lt;=90,"61-90 days","90+ days")))))))</f>
        <v>0</v>
      </c>
      <c r="X141" s="29">
        <f>IF(OR(V141="",V141=0),0,ROUND(S141*LateFeePct,2))</f>
        <v>0</v>
      </c>
      <c r="AA141" s="49">
        <f>IF(A141="","",IF(COUNTIF(Invoices!$A$5:$A$304,A141)&gt;1,"Duplicate number","OK"))</f>
        <v>0</v>
      </c>
      <c r="AC141" s="28">
        <f>IF(B141="","",TEXT(B141,"yyyy-mm"))</f>
        <v>0</v>
      </c>
      <c r="AD141" s="49">
        <f>IF(A141="","",IF(T141="Draft","Action - still a draft",IF(U141="Overdue","Overdue - chase payment",IF(U141="Overdue - part paid","Overdue - chase the balance",IF(AND(S141&gt;0.004,C141&lt;&gt;"",C141-TODAY()&lt;=ReminderLeadDays,C141&gt;=TODAY()),"Due soon - send a reminder","OK")))))</f>
        <v>0</v>
      </c>
    </row>
    <row r="142" spans="1:30">
      <c r="A142" s="46">
        <f>IF(D142="","",InvoicePrefix&amp;TEXT(InvoiceStartNo+ROW()-5,"0000"))</f>
        <v>0</v>
      </c>
      <c r="C142" s="21">
        <f>IF(B142="","",B142+PaymentTermsDays)</f>
        <v>0</v>
      </c>
      <c r="F142" s="29">
        <f>IF(E142="",0,IFERROR(INDEX(Bookings!$AI$5:$AI$404,MATCH(E142,Bookings!$A$5:$A$404,0)),0))</f>
        <v>0</v>
      </c>
      <c r="J142" s="29">
        <f>IF(D142="","",IF(E142&lt;&gt;"",F142,ROUND(IF(H142="",0,H142)*IF(I142="",0,I142),2)))</f>
        <v>0</v>
      </c>
      <c r="M142" s="29">
        <f>IF(D142="","",ROUND(J142+IF(K142="",0,K142)-IF(L142="",0,L142),2))</f>
        <v>0</v>
      </c>
      <c r="N142" s="29">
        <f>IF(M142="","",IF(TaxRegistered&lt;&gt;"Yes",0,IF(PricesIncludeTax="Yes",ROUND(M142-M142/(1+TaxRate),2),ROUND(M142*TaxRate,2))))</f>
        <v>0</v>
      </c>
      <c r="O142" s="29">
        <f>IF(M142="","",IF(PricesIncludeTax="Yes",M142,ROUND(M142+N142,2)))</f>
        <v>0</v>
      </c>
      <c r="P142" s="29">
        <f>IF(A142="","",SUMIFS(Payments!$E$5:$E$304,Payments!$D$5:$D$304,A142,Payments!$M$5:$M$304,"Yes"))</f>
        <v>0</v>
      </c>
      <c r="Q142" s="29">
        <f>IF(A142="","",SUMIFS(Payments!$K$5:$K$304,Payments!$D$5:$D$304,A142))</f>
        <v>0</v>
      </c>
      <c r="R142" s="29">
        <f>IF(A142="","",SUMIFS(Payments!$J$5:$J$304,Payments!$D$5:$D$304,A142))</f>
        <v>0</v>
      </c>
      <c r="S142" s="29">
        <f>IF(D142="","",ROUND(IF(T142="Cancelled",0,O142-Q142),2))</f>
        <v>0</v>
      </c>
      <c r="U142" s="49">
        <f>IF(A142="","",IF(T142="Cancelled","Cancelled",IF(S142&lt;=0.004,"Paid",IF(Q142&gt;0.004,IF(AND(C142&lt;&gt;"",TODAY()&gt;C142),"Overdue - part paid","Partially paid"),IF(AND(C142&lt;&gt;"",TODAY()&gt;C142),"Overdue",IF(T142="Draft","Draft","Unpaid"))))))</f>
        <v>0</v>
      </c>
      <c r="V142" s="31">
        <f>IF(OR(C142="",S142&lt;=0.004),"",MAX(0,TODAY()-C142))</f>
        <v>0</v>
      </c>
      <c r="W142" s="49">
        <f>IF(A142="","",IF(S142&lt;=0.004,"Paid",IF(V142="","Not due",IF(V142=0,"Current",IF(V142&lt;=30,"1-30 days",IF(V142&lt;=60,"31-60 days",IF(V142&lt;=90,"61-90 days","90+ days")))))))</f>
        <v>0</v>
      </c>
      <c r="X142" s="29">
        <f>IF(OR(V142="",V142=0),0,ROUND(S142*LateFeePct,2))</f>
        <v>0</v>
      </c>
      <c r="AA142" s="49">
        <f>IF(A142="","",IF(COUNTIF(Invoices!$A$5:$A$304,A142)&gt;1,"Duplicate number","OK"))</f>
        <v>0</v>
      </c>
      <c r="AC142" s="28">
        <f>IF(B142="","",TEXT(B142,"yyyy-mm"))</f>
        <v>0</v>
      </c>
      <c r="AD142" s="49">
        <f>IF(A142="","",IF(T142="Draft","Action - still a draft",IF(U142="Overdue","Overdue - chase payment",IF(U142="Overdue - part paid","Overdue - chase the balance",IF(AND(S142&gt;0.004,C142&lt;&gt;"",C142-TODAY()&lt;=ReminderLeadDays,C142&gt;=TODAY()),"Due soon - send a reminder","OK")))))</f>
        <v>0</v>
      </c>
    </row>
    <row r="143" spans="1:30">
      <c r="A143" s="46">
        <f>IF(D143="","",InvoicePrefix&amp;TEXT(InvoiceStartNo+ROW()-5,"0000"))</f>
        <v>0</v>
      </c>
      <c r="C143" s="21">
        <f>IF(B143="","",B143+PaymentTermsDays)</f>
        <v>0</v>
      </c>
      <c r="F143" s="29">
        <f>IF(E143="",0,IFERROR(INDEX(Bookings!$AI$5:$AI$404,MATCH(E143,Bookings!$A$5:$A$404,0)),0))</f>
        <v>0</v>
      </c>
      <c r="J143" s="29">
        <f>IF(D143="","",IF(E143&lt;&gt;"",F143,ROUND(IF(H143="",0,H143)*IF(I143="",0,I143),2)))</f>
        <v>0</v>
      </c>
      <c r="M143" s="29">
        <f>IF(D143="","",ROUND(J143+IF(K143="",0,K143)-IF(L143="",0,L143),2))</f>
        <v>0</v>
      </c>
      <c r="N143" s="29">
        <f>IF(M143="","",IF(TaxRegistered&lt;&gt;"Yes",0,IF(PricesIncludeTax="Yes",ROUND(M143-M143/(1+TaxRate),2),ROUND(M143*TaxRate,2))))</f>
        <v>0</v>
      </c>
      <c r="O143" s="29">
        <f>IF(M143="","",IF(PricesIncludeTax="Yes",M143,ROUND(M143+N143,2)))</f>
        <v>0</v>
      </c>
      <c r="P143" s="29">
        <f>IF(A143="","",SUMIFS(Payments!$E$5:$E$304,Payments!$D$5:$D$304,A143,Payments!$M$5:$M$304,"Yes"))</f>
        <v>0</v>
      </c>
      <c r="Q143" s="29">
        <f>IF(A143="","",SUMIFS(Payments!$K$5:$K$304,Payments!$D$5:$D$304,A143))</f>
        <v>0</v>
      </c>
      <c r="R143" s="29">
        <f>IF(A143="","",SUMIFS(Payments!$J$5:$J$304,Payments!$D$5:$D$304,A143))</f>
        <v>0</v>
      </c>
      <c r="S143" s="29">
        <f>IF(D143="","",ROUND(IF(T143="Cancelled",0,O143-Q143),2))</f>
        <v>0</v>
      </c>
      <c r="U143" s="49">
        <f>IF(A143="","",IF(T143="Cancelled","Cancelled",IF(S143&lt;=0.004,"Paid",IF(Q143&gt;0.004,IF(AND(C143&lt;&gt;"",TODAY()&gt;C143),"Overdue - part paid","Partially paid"),IF(AND(C143&lt;&gt;"",TODAY()&gt;C143),"Overdue",IF(T143="Draft","Draft","Unpaid"))))))</f>
        <v>0</v>
      </c>
      <c r="V143" s="31">
        <f>IF(OR(C143="",S143&lt;=0.004),"",MAX(0,TODAY()-C143))</f>
        <v>0</v>
      </c>
      <c r="W143" s="49">
        <f>IF(A143="","",IF(S143&lt;=0.004,"Paid",IF(V143="","Not due",IF(V143=0,"Current",IF(V143&lt;=30,"1-30 days",IF(V143&lt;=60,"31-60 days",IF(V143&lt;=90,"61-90 days","90+ days")))))))</f>
        <v>0</v>
      </c>
      <c r="X143" s="29">
        <f>IF(OR(V143="",V143=0),0,ROUND(S143*LateFeePct,2))</f>
        <v>0</v>
      </c>
      <c r="AA143" s="49">
        <f>IF(A143="","",IF(COUNTIF(Invoices!$A$5:$A$304,A143)&gt;1,"Duplicate number","OK"))</f>
        <v>0</v>
      </c>
      <c r="AC143" s="28">
        <f>IF(B143="","",TEXT(B143,"yyyy-mm"))</f>
        <v>0</v>
      </c>
      <c r="AD143" s="49">
        <f>IF(A143="","",IF(T143="Draft","Action - still a draft",IF(U143="Overdue","Overdue - chase payment",IF(U143="Overdue - part paid","Overdue - chase the balance",IF(AND(S143&gt;0.004,C143&lt;&gt;"",C143-TODAY()&lt;=ReminderLeadDays,C143&gt;=TODAY()),"Due soon - send a reminder","OK")))))</f>
        <v>0</v>
      </c>
    </row>
    <row r="144" spans="1:30">
      <c r="A144" s="46">
        <f>IF(D144="","",InvoicePrefix&amp;TEXT(InvoiceStartNo+ROW()-5,"0000"))</f>
        <v>0</v>
      </c>
      <c r="C144" s="21">
        <f>IF(B144="","",B144+PaymentTermsDays)</f>
        <v>0</v>
      </c>
      <c r="F144" s="29">
        <f>IF(E144="",0,IFERROR(INDEX(Bookings!$AI$5:$AI$404,MATCH(E144,Bookings!$A$5:$A$404,0)),0))</f>
        <v>0</v>
      </c>
      <c r="J144" s="29">
        <f>IF(D144="","",IF(E144&lt;&gt;"",F144,ROUND(IF(H144="",0,H144)*IF(I144="",0,I144),2)))</f>
        <v>0</v>
      </c>
      <c r="M144" s="29">
        <f>IF(D144="","",ROUND(J144+IF(K144="",0,K144)-IF(L144="",0,L144),2))</f>
        <v>0</v>
      </c>
      <c r="N144" s="29">
        <f>IF(M144="","",IF(TaxRegistered&lt;&gt;"Yes",0,IF(PricesIncludeTax="Yes",ROUND(M144-M144/(1+TaxRate),2),ROUND(M144*TaxRate,2))))</f>
        <v>0</v>
      </c>
      <c r="O144" s="29">
        <f>IF(M144="","",IF(PricesIncludeTax="Yes",M144,ROUND(M144+N144,2)))</f>
        <v>0</v>
      </c>
      <c r="P144" s="29">
        <f>IF(A144="","",SUMIFS(Payments!$E$5:$E$304,Payments!$D$5:$D$304,A144,Payments!$M$5:$M$304,"Yes"))</f>
        <v>0</v>
      </c>
      <c r="Q144" s="29">
        <f>IF(A144="","",SUMIFS(Payments!$K$5:$K$304,Payments!$D$5:$D$304,A144))</f>
        <v>0</v>
      </c>
      <c r="R144" s="29">
        <f>IF(A144="","",SUMIFS(Payments!$J$5:$J$304,Payments!$D$5:$D$304,A144))</f>
        <v>0</v>
      </c>
      <c r="S144" s="29">
        <f>IF(D144="","",ROUND(IF(T144="Cancelled",0,O144-Q144),2))</f>
        <v>0</v>
      </c>
      <c r="U144" s="49">
        <f>IF(A144="","",IF(T144="Cancelled","Cancelled",IF(S144&lt;=0.004,"Paid",IF(Q144&gt;0.004,IF(AND(C144&lt;&gt;"",TODAY()&gt;C144),"Overdue - part paid","Partially paid"),IF(AND(C144&lt;&gt;"",TODAY()&gt;C144),"Overdue",IF(T144="Draft","Draft","Unpaid"))))))</f>
        <v>0</v>
      </c>
      <c r="V144" s="31">
        <f>IF(OR(C144="",S144&lt;=0.004),"",MAX(0,TODAY()-C144))</f>
        <v>0</v>
      </c>
      <c r="W144" s="49">
        <f>IF(A144="","",IF(S144&lt;=0.004,"Paid",IF(V144="","Not due",IF(V144=0,"Current",IF(V144&lt;=30,"1-30 days",IF(V144&lt;=60,"31-60 days",IF(V144&lt;=90,"61-90 days","90+ days")))))))</f>
        <v>0</v>
      </c>
      <c r="X144" s="29">
        <f>IF(OR(V144="",V144=0),0,ROUND(S144*LateFeePct,2))</f>
        <v>0</v>
      </c>
      <c r="AA144" s="49">
        <f>IF(A144="","",IF(COUNTIF(Invoices!$A$5:$A$304,A144)&gt;1,"Duplicate number","OK"))</f>
        <v>0</v>
      </c>
      <c r="AC144" s="28">
        <f>IF(B144="","",TEXT(B144,"yyyy-mm"))</f>
        <v>0</v>
      </c>
      <c r="AD144" s="49">
        <f>IF(A144="","",IF(T144="Draft","Action - still a draft",IF(U144="Overdue","Overdue - chase payment",IF(U144="Overdue - part paid","Overdue - chase the balance",IF(AND(S144&gt;0.004,C144&lt;&gt;"",C144-TODAY()&lt;=ReminderLeadDays,C144&gt;=TODAY()),"Due soon - send a reminder","OK")))))</f>
        <v>0</v>
      </c>
    </row>
    <row r="145" spans="1:30">
      <c r="A145" s="46">
        <f>IF(D145="","",InvoicePrefix&amp;TEXT(InvoiceStartNo+ROW()-5,"0000"))</f>
        <v>0</v>
      </c>
      <c r="C145" s="21">
        <f>IF(B145="","",B145+PaymentTermsDays)</f>
        <v>0</v>
      </c>
      <c r="F145" s="29">
        <f>IF(E145="",0,IFERROR(INDEX(Bookings!$AI$5:$AI$404,MATCH(E145,Bookings!$A$5:$A$404,0)),0))</f>
        <v>0</v>
      </c>
      <c r="J145" s="29">
        <f>IF(D145="","",IF(E145&lt;&gt;"",F145,ROUND(IF(H145="",0,H145)*IF(I145="",0,I145),2)))</f>
        <v>0</v>
      </c>
      <c r="M145" s="29">
        <f>IF(D145="","",ROUND(J145+IF(K145="",0,K145)-IF(L145="",0,L145),2))</f>
        <v>0</v>
      </c>
      <c r="N145" s="29">
        <f>IF(M145="","",IF(TaxRegistered&lt;&gt;"Yes",0,IF(PricesIncludeTax="Yes",ROUND(M145-M145/(1+TaxRate),2),ROUND(M145*TaxRate,2))))</f>
        <v>0</v>
      </c>
      <c r="O145" s="29">
        <f>IF(M145="","",IF(PricesIncludeTax="Yes",M145,ROUND(M145+N145,2)))</f>
        <v>0</v>
      </c>
      <c r="P145" s="29">
        <f>IF(A145="","",SUMIFS(Payments!$E$5:$E$304,Payments!$D$5:$D$304,A145,Payments!$M$5:$M$304,"Yes"))</f>
        <v>0</v>
      </c>
      <c r="Q145" s="29">
        <f>IF(A145="","",SUMIFS(Payments!$K$5:$K$304,Payments!$D$5:$D$304,A145))</f>
        <v>0</v>
      </c>
      <c r="R145" s="29">
        <f>IF(A145="","",SUMIFS(Payments!$J$5:$J$304,Payments!$D$5:$D$304,A145))</f>
        <v>0</v>
      </c>
      <c r="S145" s="29">
        <f>IF(D145="","",ROUND(IF(T145="Cancelled",0,O145-Q145),2))</f>
        <v>0</v>
      </c>
      <c r="U145" s="49">
        <f>IF(A145="","",IF(T145="Cancelled","Cancelled",IF(S145&lt;=0.004,"Paid",IF(Q145&gt;0.004,IF(AND(C145&lt;&gt;"",TODAY()&gt;C145),"Overdue - part paid","Partially paid"),IF(AND(C145&lt;&gt;"",TODAY()&gt;C145),"Overdue",IF(T145="Draft","Draft","Unpaid"))))))</f>
        <v>0</v>
      </c>
      <c r="V145" s="31">
        <f>IF(OR(C145="",S145&lt;=0.004),"",MAX(0,TODAY()-C145))</f>
        <v>0</v>
      </c>
      <c r="W145" s="49">
        <f>IF(A145="","",IF(S145&lt;=0.004,"Paid",IF(V145="","Not due",IF(V145=0,"Current",IF(V145&lt;=30,"1-30 days",IF(V145&lt;=60,"31-60 days",IF(V145&lt;=90,"61-90 days","90+ days")))))))</f>
        <v>0</v>
      </c>
      <c r="X145" s="29">
        <f>IF(OR(V145="",V145=0),0,ROUND(S145*LateFeePct,2))</f>
        <v>0</v>
      </c>
      <c r="AA145" s="49">
        <f>IF(A145="","",IF(COUNTIF(Invoices!$A$5:$A$304,A145)&gt;1,"Duplicate number","OK"))</f>
        <v>0</v>
      </c>
      <c r="AC145" s="28">
        <f>IF(B145="","",TEXT(B145,"yyyy-mm"))</f>
        <v>0</v>
      </c>
      <c r="AD145" s="49">
        <f>IF(A145="","",IF(T145="Draft","Action - still a draft",IF(U145="Overdue","Overdue - chase payment",IF(U145="Overdue - part paid","Overdue - chase the balance",IF(AND(S145&gt;0.004,C145&lt;&gt;"",C145-TODAY()&lt;=ReminderLeadDays,C145&gt;=TODAY()),"Due soon - send a reminder","OK")))))</f>
        <v>0</v>
      </c>
    </row>
    <row r="146" spans="1:30">
      <c r="A146" s="46">
        <f>IF(D146="","",InvoicePrefix&amp;TEXT(InvoiceStartNo+ROW()-5,"0000"))</f>
        <v>0</v>
      </c>
      <c r="C146" s="21">
        <f>IF(B146="","",B146+PaymentTermsDays)</f>
        <v>0</v>
      </c>
      <c r="F146" s="29">
        <f>IF(E146="",0,IFERROR(INDEX(Bookings!$AI$5:$AI$404,MATCH(E146,Bookings!$A$5:$A$404,0)),0))</f>
        <v>0</v>
      </c>
      <c r="J146" s="29">
        <f>IF(D146="","",IF(E146&lt;&gt;"",F146,ROUND(IF(H146="",0,H146)*IF(I146="",0,I146),2)))</f>
        <v>0</v>
      </c>
      <c r="M146" s="29">
        <f>IF(D146="","",ROUND(J146+IF(K146="",0,K146)-IF(L146="",0,L146),2))</f>
        <v>0</v>
      </c>
      <c r="N146" s="29">
        <f>IF(M146="","",IF(TaxRegistered&lt;&gt;"Yes",0,IF(PricesIncludeTax="Yes",ROUND(M146-M146/(1+TaxRate),2),ROUND(M146*TaxRate,2))))</f>
        <v>0</v>
      </c>
      <c r="O146" s="29">
        <f>IF(M146="","",IF(PricesIncludeTax="Yes",M146,ROUND(M146+N146,2)))</f>
        <v>0</v>
      </c>
      <c r="P146" s="29">
        <f>IF(A146="","",SUMIFS(Payments!$E$5:$E$304,Payments!$D$5:$D$304,A146,Payments!$M$5:$M$304,"Yes"))</f>
        <v>0</v>
      </c>
      <c r="Q146" s="29">
        <f>IF(A146="","",SUMIFS(Payments!$K$5:$K$304,Payments!$D$5:$D$304,A146))</f>
        <v>0</v>
      </c>
      <c r="R146" s="29">
        <f>IF(A146="","",SUMIFS(Payments!$J$5:$J$304,Payments!$D$5:$D$304,A146))</f>
        <v>0</v>
      </c>
      <c r="S146" s="29">
        <f>IF(D146="","",ROUND(IF(T146="Cancelled",0,O146-Q146),2))</f>
        <v>0</v>
      </c>
      <c r="U146" s="49">
        <f>IF(A146="","",IF(T146="Cancelled","Cancelled",IF(S146&lt;=0.004,"Paid",IF(Q146&gt;0.004,IF(AND(C146&lt;&gt;"",TODAY()&gt;C146),"Overdue - part paid","Partially paid"),IF(AND(C146&lt;&gt;"",TODAY()&gt;C146),"Overdue",IF(T146="Draft","Draft","Unpaid"))))))</f>
        <v>0</v>
      </c>
      <c r="V146" s="31">
        <f>IF(OR(C146="",S146&lt;=0.004),"",MAX(0,TODAY()-C146))</f>
        <v>0</v>
      </c>
      <c r="W146" s="49">
        <f>IF(A146="","",IF(S146&lt;=0.004,"Paid",IF(V146="","Not due",IF(V146=0,"Current",IF(V146&lt;=30,"1-30 days",IF(V146&lt;=60,"31-60 days",IF(V146&lt;=90,"61-90 days","90+ days")))))))</f>
        <v>0</v>
      </c>
      <c r="X146" s="29">
        <f>IF(OR(V146="",V146=0),0,ROUND(S146*LateFeePct,2))</f>
        <v>0</v>
      </c>
      <c r="AA146" s="49">
        <f>IF(A146="","",IF(COUNTIF(Invoices!$A$5:$A$304,A146)&gt;1,"Duplicate number","OK"))</f>
        <v>0</v>
      </c>
      <c r="AC146" s="28">
        <f>IF(B146="","",TEXT(B146,"yyyy-mm"))</f>
        <v>0</v>
      </c>
      <c r="AD146" s="49">
        <f>IF(A146="","",IF(T146="Draft","Action - still a draft",IF(U146="Overdue","Overdue - chase payment",IF(U146="Overdue - part paid","Overdue - chase the balance",IF(AND(S146&gt;0.004,C146&lt;&gt;"",C146-TODAY()&lt;=ReminderLeadDays,C146&gt;=TODAY()),"Due soon - send a reminder","OK")))))</f>
        <v>0</v>
      </c>
    </row>
    <row r="147" spans="1:30">
      <c r="A147" s="46">
        <f>IF(D147="","",InvoicePrefix&amp;TEXT(InvoiceStartNo+ROW()-5,"0000"))</f>
        <v>0</v>
      </c>
      <c r="C147" s="21">
        <f>IF(B147="","",B147+PaymentTermsDays)</f>
        <v>0</v>
      </c>
      <c r="F147" s="29">
        <f>IF(E147="",0,IFERROR(INDEX(Bookings!$AI$5:$AI$404,MATCH(E147,Bookings!$A$5:$A$404,0)),0))</f>
        <v>0</v>
      </c>
      <c r="J147" s="29">
        <f>IF(D147="","",IF(E147&lt;&gt;"",F147,ROUND(IF(H147="",0,H147)*IF(I147="",0,I147),2)))</f>
        <v>0</v>
      </c>
      <c r="M147" s="29">
        <f>IF(D147="","",ROUND(J147+IF(K147="",0,K147)-IF(L147="",0,L147),2))</f>
        <v>0</v>
      </c>
      <c r="N147" s="29">
        <f>IF(M147="","",IF(TaxRegistered&lt;&gt;"Yes",0,IF(PricesIncludeTax="Yes",ROUND(M147-M147/(1+TaxRate),2),ROUND(M147*TaxRate,2))))</f>
        <v>0</v>
      </c>
      <c r="O147" s="29">
        <f>IF(M147="","",IF(PricesIncludeTax="Yes",M147,ROUND(M147+N147,2)))</f>
        <v>0</v>
      </c>
      <c r="P147" s="29">
        <f>IF(A147="","",SUMIFS(Payments!$E$5:$E$304,Payments!$D$5:$D$304,A147,Payments!$M$5:$M$304,"Yes"))</f>
        <v>0</v>
      </c>
      <c r="Q147" s="29">
        <f>IF(A147="","",SUMIFS(Payments!$K$5:$K$304,Payments!$D$5:$D$304,A147))</f>
        <v>0</v>
      </c>
      <c r="R147" s="29">
        <f>IF(A147="","",SUMIFS(Payments!$J$5:$J$304,Payments!$D$5:$D$304,A147))</f>
        <v>0</v>
      </c>
      <c r="S147" s="29">
        <f>IF(D147="","",ROUND(IF(T147="Cancelled",0,O147-Q147),2))</f>
        <v>0</v>
      </c>
      <c r="U147" s="49">
        <f>IF(A147="","",IF(T147="Cancelled","Cancelled",IF(S147&lt;=0.004,"Paid",IF(Q147&gt;0.004,IF(AND(C147&lt;&gt;"",TODAY()&gt;C147),"Overdue - part paid","Partially paid"),IF(AND(C147&lt;&gt;"",TODAY()&gt;C147),"Overdue",IF(T147="Draft","Draft","Unpaid"))))))</f>
        <v>0</v>
      </c>
      <c r="V147" s="31">
        <f>IF(OR(C147="",S147&lt;=0.004),"",MAX(0,TODAY()-C147))</f>
        <v>0</v>
      </c>
      <c r="W147" s="49">
        <f>IF(A147="","",IF(S147&lt;=0.004,"Paid",IF(V147="","Not due",IF(V147=0,"Current",IF(V147&lt;=30,"1-30 days",IF(V147&lt;=60,"31-60 days",IF(V147&lt;=90,"61-90 days","90+ days")))))))</f>
        <v>0</v>
      </c>
      <c r="X147" s="29">
        <f>IF(OR(V147="",V147=0),0,ROUND(S147*LateFeePct,2))</f>
        <v>0</v>
      </c>
      <c r="AA147" s="49">
        <f>IF(A147="","",IF(COUNTIF(Invoices!$A$5:$A$304,A147)&gt;1,"Duplicate number","OK"))</f>
        <v>0</v>
      </c>
      <c r="AC147" s="28">
        <f>IF(B147="","",TEXT(B147,"yyyy-mm"))</f>
        <v>0</v>
      </c>
      <c r="AD147" s="49">
        <f>IF(A147="","",IF(T147="Draft","Action - still a draft",IF(U147="Overdue","Overdue - chase payment",IF(U147="Overdue - part paid","Overdue - chase the balance",IF(AND(S147&gt;0.004,C147&lt;&gt;"",C147-TODAY()&lt;=ReminderLeadDays,C147&gt;=TODAY()),"Due soon - send a reminder","OK")))))</f>
        <v>0</v>
      </c>
    </row>
    <row r="148" spans="1:30">
      <c r="A148" s="46">
        <f>IF(D148="","",InvoicePrefix&amp;TEXT(InvoiceStartNo+ROW()-5,"0000"))</f>
        <v>0</v>
      </c>
      <c r="C148" s="21">
        <f>IF(B148="","",B148+PaymentTermsDays)</f>
        <v>0</v>
      </c>
      <c r="F148" s="29">
        <f>IF(E148="",0,IFERROR(INDEX(Bookings!$AI$5:$AI$404,MATCH(E148,Bookings!$A$5:$A$404,0)),0))</f>
        <v>0</v>
      </c>
      <c r="J148" s="29">
        <f>IF(D148="","",IF(E148&lt;&gt;"",F148,ROUND(IF(H148="",0,H148)*IF(I148="",0,I148),2)))</f>
        <v>0</v>
      </c>
      <c r="M148" s="29">
        <f>IF(D148="","",ROUND(J148+IF(K148="",0,K148)-IF(L148="",0,L148),2))</f>
        <v>0</v>
      </c>
      <c r="N148" s="29">
        <f>IF(M148="","",IF(TaxRegistered&lt;&gt;"Yes",0,IF(PricesIncludeTax="Yes",ROUND(M148-M148/(1+TaxRate),2),ROUND(M148*TaxRate,2))))</f>
        <v>0</v>
      </c>
      <c r="O148" s="29">
        <f>IF(M148="","",IF(PricesIncludeTax="Yes",M148,ROUND(M148+N148,2)))</f>
        <v>0</v>
      </c>
      <c r="P148" s="29">
        <f>IF(A148="","",SUMIFS(Payments!$E$5:$E$304,Payments!$D$5:$D$304,A148,Payments!$M$5:$M$304,"Yes"))</f>
        <v>0</v>
      </c>
      <c r="Q148" s="29">
        <f>IF(A148="","",SUMIFS(Payments!$K$5:$K$304,Payments!$D$5:$D$304,A148))</f>
        <v>0</v>
      </c>
      <c r="R148" s="29">
        <f>IF(A148="","",SUMIFS(Payments!$J$5:$J$304,Payments!$D$5:$D$304,A148))</f>
        <v>0</v>
      </c>
      <c r="S148" s="29">
        <f>IF(D148="","",ROUND(IF(T148="Cancelled",0,O148-Q148),2))</f>
        <v>0</v>
      </c>
      <c r="U148" s="49">
        <f>IF(A148="","",IF(T148="Cancelled","Cancelled",IF(S148&lt;=0.004,"Paid",IF(Q148&gt;0.004,IF(AND(C148&lt;&gt;"",TODAY()&gt;C148),"Overdue - part paid","Partially paid"),IF(AND(C148&lt;&gt;"",TODAY()&gt;C148),"Overdue",IF(T148="Draft","Draft","Unpaid"))))))</f>
        <v>0</v>
      </c>
      <c r="V148" s="31">
        <f>IF(OR(C148="",S148&lt;=0.004),"",MAX(0,TODAY()-C148))</f>
        <v>0</v>
      </c>
      <c r="W148" s="49">
        <f>IF(A148="","",IF(S148&lt;=0.004,"Paid",IF(V148="","Not due",IF(V148=0,"Current",IF(V148&lt;=30,"1-30 days",IF(V148&lt;=60,"31-60 days",IF(V148&lt;=90,"61-90 days","90+ days")))))))</f>
        <v>0</v>
      </c>
      <c r="X148" s="29">
        <f>IF(OR(V148="",V148=0),0,ROUND(S148*LateFeePct,2))</f>
        <v>0</v>
      </c>
      <c r="AA148" s="49">
        <f>IF(A148="","",IF(COUNTIF(Invoices!$A$5:$A$304,A148)&gt;1,"Duplicate number","OK"))</f>
        <v>0</v>
      </c>
      <c r="AC148" s="28">
        <f>IF(B148="","",TEXT(B148,"yyyy-mm"))</f>
        <v>0</v>
      </c>
      <c r="AD148" s="49">
        <f>IF(A148="","",IF(T148="Draft","Action - still a draft",IF(U148="Overdue","Overdue - chase payment",IF(U148="Overdue - part paid","Overdue - chase the balance",IF(AND(S148&gt;0.004,C148&lt;&gt;"",C148-TODAY()&lt;=ReminderLeadDays,C148&gt;=TODAY()),"Due soon - send a reminder","OK")))))</f>
        <v>0</v>
      </c>
    </row>
    <row r="149" spans="1:30">
      <c r="A149" s="46">
        <f>IF(D149="","",InvoicePrefix&amp;TEXT(InvoiceStartNo+ROW()-5,"0000"))</f>
        <v>0</v>
      </c>
      <c r="C149" s="21">
        <f>IF(B149="","",B149+PaymentTermsDays)</f>
        <v>0</v>
      </c>
      <c r="F149" s="29">
        <f>IF(E149="",0,IFERROR(INDEX(Bookings!$AI$5:$AI$404,MATCH(E149,Bookings!$A$5:$A$404,0)),0))</f>
        <v>0</v>
      </c>
      <c r="J149" s="29">
        <f>IF(D149="","",IF(E149&lt;&gt;"",F149,ROUND(IF(H149="",0,H149)*IF(I149="",0,I149),2)))</f>
        <v>0</v>
      </c>
      <c r="M149" s="29">
        <f>IF(D149="","",ROUND(J149+IF(K149="",0,K149)-IF(L149="",0,L149),2))</f>
        <v>0</v>
      </c>
      <c r="N149" s="29">
        <f>IF(M149="","",IF(TaxRegistered&lt;&gt;"Yes",0,IF(PricesIncludeTax="Yes",ROUND(M149-M149/(1+TaxRate),2),ROUND(M149*TaxRate,2))))</f>
        <v>0</v>
      </c>
      <c r="O149" s="29">
        <f>IF(M149="","",IF(PricesIncludeTax="Yes",M149,ROUND(M149+N149,2)))</f>
        <v>0</v>
      </c>
      <c r="P149" s="29">
        <f>IF(A149="","",SUMIFS(Payments!$E$5:$E$304,Payments!$D$5:$D$304,A149,Payments!$M$5:$M$304,"Yes"))</f>
        <v>0</v>
      </c>
      <c r="Q149" s="29">
        <f>IF(A149="","",SUMIFS(Payments!$K$5:$K$304,Payments!$D$5:$D$304,A149))</f>
        <v>0</v>
      </c>
      <c r="R149" s="29">
        <f>IF(A149="","",SUMIFS(Payments!$J$5:$J$304,Payments!$D$5:$D$304,A149))</f>
        <v>0</v>
      </c>
      <c r="S149" s="29">
        <f>IF(D149="","",ROUND(IF(T149="Cancelled",0,O149-Q149),2))</f>
        <v>0</v>
      </c>
      <c r="U149" s="49">
        <f>IF(A149="","",IF(T149="Cancelled","Cancelled",IF(S149&lt;=0.004,"Paid",IF(Q149&gt;0.004,IF(AND(C149&lt;&gt;"",TODAY()&gt;C149),"Overdue - part paid","Partially paid"),IF(AND(C149&lt;&gt;"",TODAY()&gt;C149),"Overdue",IF(T149="Draft","Draft","Unpaid"))))))</f>
        <v>0</v>
      </c>
      <c r="V149" s="31">
        <f>IF(OR(C149="",S149&lt;=0.004),"",MAX(0,TODAY()-C149))</f>
        <v>0</v>
      </c>
      <c r="W149" s="49">
        <f>IF(A149="","",IF(S149&lt;=0.004,"Paid",IF(V149="","Not due",IF(V149=0,"Current",IF(V149&lt;=30,"1-30 days",IF(V149&lt;=60,"31-60 days",IF(V149&lt;=90,"61-90 days","90+ days")))))))</f>
        <v>0</v>
      </c>
      <c r="X149" s="29">
        <f>IF(OR(V149="",V149=0),0,ROUND(S149*LateFeePct,2))</f>
        <v>0</v>
      </c>
      <c r="AA149" s="49">
        <f>IF(A149="","",IF(COUNTIF(Invoices!$A$5:$A$304,A149)&gt;1,"Duplicate number","OK"))</f>
        <v>0</v>
      </c>
      <c r="AC149" s="28">
        <f>IF(B149="","",TEXT(B149,"yyyy-mm"))</f>
        <v>0</v>
      </c>
      <c r="AD149" s="49">
        <f>IF(A149="","",IF(T149="Draft","Action - still a draft",IF(U149="Overdue","Overdue - chase payment",IF(U149="Overdue - part paid","Overdue - chase the balance",IF(AND(S149&gt;0.004,C149&lt;&gt;"",C149-TODAY()&lt;=ReminderLeadDays,C149&gt;=TODAY()),"Due soon - send a reminder","OK")))))</f>
        <v>0</v>
      </c>
    </row>
    <row r="150" spans="1:30">
      <c r="A150" s="46">
        <f>IF(D150="","",InvoicePrefix&amp;TEXT(InvoiceStartNo+ROW()-5,"0000"))</f>
        <v>0</v>
      </c>
      <c r="C150" s="21">
        <f>IF(B150="","",B150+PaymentTermsDays)</f>
        <v>0</v>
      </c>
      <c r="F150" s="29">
        <f>IF(E150="",0,IFERROR(INDEX(Bookings!$AI$5:$AI$404,MATCH(E150,Bookings!$A$5:$A$404,0)),0))</f>
        <v>0</v>
      </c>
      <c r="J150" s="29">
        <f>IF(D150="","",IF(E150&lt;&gt;"",F150,ROUND(IF(H150="",0,H150)*IF(I150="",0,I150),2)))</f>
        <v>0</v>
      </c>
      <c r="M150" s="29">
        <f>IF(D150="","",ROUND(J150+IF(K150="",0,K150)-IF(L150="",0,L150),2))</f>
        <v>0</v>
      </c>
      <c r="N150" s="29">
        <f>IF(M150="","",IF(TaxRegistered&lt;&gt;"Yes",0,IF(PricesIncludeTax="Yes",ROUND(M150-M150/(1+TaxRate),2),ROUND(M150*TaxRate,2))))</f>
        <v>0</v>
      </c>
      <c r="O150" s="29">
        <f>IF(M150="","",IF(PricesIncludeTax="Yes",M150,ROUND(M150+N150,2)))</f>
        <v>0</v>
      </c>
      <c r="P150" s="29">
        <f>IF(A150="","",SUMIFS(Payments!$E$5:$E$304,Payments!$D$5:$D$304,A150,Payments!$M$5:$M$304,"Yes"))</f>
        <v>0</v>
      </c>
      <c r="Q150" s="29">
        <f>IF(A150="","",SUMIFS(Payments!$K$5:$K$304,Payments!$D$5:$D$304,A150))</f>
        <v>0</v>
      </c>
      <c r="R150" s="29">
        <f>IF(A150="","",SUMIFS(Payments!$J$5:$J$304,Payments!$D$5:$D$304,A150))</f>
        <v>0</v>
      </c>
      <c r="S150" s="29">
        <f>IF(D150="","",ROUND(IF(T150="Cancelled",0,O150-Q150),2))</f>
        <v>0</v>
      </c>
      <c r="U150" s="49">
        <f>IF(A150="","",IF(T150="Cancelled","Cancelled",IF(S150&lt;=0.004,"Paid",IF(Q150&gt;0.004,IF(AND(C150&lt;&gt;"",TODAY()&gt;C150),"Overdue - part paid","Partially paid"),IF(AND(C150&lt;&gt;"",TODAY()&gt;C150),"Overdue",IF(T150="Draft","Draft","Unpaid"))))))</f>
        <v>0</v>
      </c>
      <c r="V150" s="31">
        <f>IF(OR(C150="",S150&lt;=0.004),"",MAX(0,TODAY()-C150))</f>
        <v>0</v>
      </c>
      <c r="W150" s="49">
        <f>IF(A150="","",IF(S150&lt;=0.004,"Paid",IF(V150="","Not due",IF(V150=0,"Current",IF(V150&lt;=30,"1-30 days",IF(V150&lt;=60,"31-60 days",IF(V150&lt;=90,"61-90 days","90+ days")))))))</f>
        <v>0</v>
      </c>
      <c r="X150" s="29">
        <f>IF(OR(V150="",V150=0),0,ROUND(S150*LateFeePct,2))</f>
        <v>0</v>
      </c>
      <c r="AA150" s="49">
        <f>IF(A150="","",IF(COUNTIF(Invoices!$A$5:$A$304,A150)&gt;1,"Duplicate number","OK"))</f>
        <v>0</v>
      </c>
      <c r="AC150" s="28">
        <f>IF(B150="","",TEXT(B150,"yyyy-mm"))</f>
        <v>0</v>
      </c>
      <c r="AD150" s="49">
        <f>IF(A150="","",IF(T150="Draft","Action - still a draft",IF(U150="Overdue","Overdue - chase payment",IF(U150="Overdue - part paid","Overdue - chase the balance",IF(AND(S150&gt;0.004,C150&lt;&gt;"",C150-TODAY()&lt;=ReminderLeadDays,C150&gt;=TODAY()),"Due soon - send a reminder","OK")))))</f>
        <v>0</v>
      </c>
    </row>
    <row r="151" spans="1:30">
      <c r="A151" s="46">
        <f>IF(D151="","",InvoicePrefix&amp;TEXT(InvoiceStartNo+ROW()-5,"0000"))</f>
        <v>0</v>
      </c>
      <c r="C151" s="21">
        <f>IF(B151="","",B151+PaymentTermsDays)</f>
        <v>0</v>
      </c>
      <c r="F151" s="29">
        <f>IF(E151="",0,IFERROR(INDEX(Bookings!$AI$5:$AI$404,MATCH(E151,Bookings!$A$5:$A$404,0)),0))</f>
        <v>0</v>
      </c>
      <c r="J151" s="29">
        <f>IF(D151="","",IF(E151&lt;&gt;"",F151,ROUND(IF(H151="",0,H151)*IF(I151="",0,I151),2)))</f>
        <v>0</v>
      </c>
      <c r="M151" s="29">
        <f>IF(D151="","",ROUND(J151+IF(K151="",0,K151)-IF(L151="",0,L151),2))</f>
        <v>0</v>
      </c>
      <c r="N151" s="29">
        <f>IF(M151="","",IF(TaxRegistered&lt;&gt;"Yes",0,IF(PricesIncludeTax="Yes",ROUND(M151-M151/(1+TaxRate),2),ROUND(M151*TaxRate,2))))</f>
        <v>0</v>
      </c>
      <c r="O151" s="29">
        <f>IF(M151="","",IF(PricesIncludeTax="Yes",M151,ROUND(M151+N151,2)))</f>
        <v>0</v>
      </c>
      <c r="P151" s="29">
        <f>IF(A151="","",SUMIFS(Payments!$E$5:$E$304,Payments!$D$5:$D$304,A151,Payments!$M$5:$M$304,"Yes"))</f>
        <v>0</v>
      </c>
      <c r="Q151" s="29">
        <f>IF(A151="","",SUMIFS(Payments!$K$5:$K$304,Payments!$D$5:$D$304,A151))</f>
        <v>0</v>
      </c>
      <c r="R151" s="29">
        <f>IF(A151="","",SUMIFS(Payments!$J$5:$J$304,Payments!$D$5:$D$304,A151))</f>
        <v>0</v>
      </c>
      <c r="S151" s="29">
        <f>IF(D151="","",ROUND(IF(T151="Cancelled",0,O151-Q151),2))</f>
        <v>0</v>
      </c>
      <c r="U151" s="49">
        <f>IF(A151="","",IF(T151="Cancelled","Cancelled",IF(S151&lt;=0.004,"Paid",IF(Q151&gt;0.004,IF(AND(C151&lt;&gt;"",TODAY()&gt;C151),"Overdue - part paid","Partially paid"),IF(AND(C151&lt;&gt;"",TODAY()&gt;C151),"Overdue",IF(T151="Draft","Draft","Unpaid"))))))</f>
        <v>0</v>
      </c>
      <c r="V151" s="31">
        <f>IF(OR(C151="",S151&lt;=0.004),"",MAX(0,TODAY()-C151))</f>
        <v>0</v>
      </c>
      <c r="W151" s="49">
        <f>IF(A151="","",IF(S151&lt;=0.004,"Paid",IF(V151="","Not due",IF(V151=0,"Current",IF(V151&lt;=30,"1-30 days",IF(V151&lt;=60,"31-60 days",IF(V151&lt;=90,"61-90 days","90+ days")))))))</f>
        <v>0</v>
      </c>
      <c r="X151" s="29">
        <f>IF(OR(V151="",V151=0),0,ROUND(S151*LateFeePct,2))</f>
        <v>0</v>
      </c>
      <c r="AA151" s="49">
        <f>IF(A151="","",IF(COUNTIF(Invoices!$A$5:$A$304,A151)&gt;1,"Duplicate number","OK"))</f>
        <v>0</v>
      </c>
      <c r="AC151" s="28">
        <f>IF(B151="","",TEXT(B151,"yyyy-mm"))</f>
        <v>0</v>
      </c>
      <c r="AD151" s="49">
        <f>IF(A151="","",IF(T151="Draft","Action - still a draft",IF(U151="Overdue","Overdue - chase payment",IF(U151="Overdue - part paid","Overdue - chase the balance",IF(AND(S151&gt;0.004,C151&lt;&gt;"",C151-TODAY()&lt;=ReminderLeadDays,C151&gt;=TODAY()),"Due soon - send a reminder","OK")))))</f>
        <v>0</v>
      </c>
    </row>
    <row r="152" spans="1:30">
      <c r="A152" s="46">
        <f>IF(D152="","",InvoicePrefix&amp;TEXT(InvoiceStartNo+ROW()-5,"0000"))</f>
        <v>0</v>
      </c>
      <c r="C152" s="21">
        <f>IF(B152="","",B152+PaymentTermsDays)</f>
        <v>0</v>
      </c>
      <c r="F152" s="29">
        <f>IF(E152="",0,IFERROR(INDEX(Bookings!$AI$5:$AI$404,MATCH(E152,Bookings!$A$5:$A$404,0)),0))</f>
        <v>0</v>
      </c>
      <c r="J152" s="29">
        <f>IF(D152="","",IF(E152&lt;&gt;"",F152,ROUND(IF(H152="",0,H152)*IF(I152="",0,I152),2)))</f>
        <v>0</v>
      </c>
      <c r="M152" s="29">
        <f>IF(D152="","",ROUND(J152+IF(K152="",0,K152)-IF(L152="",0,L152),2))</f>
        <v>0</v>
      </c>
      <c r="N152" s="29">
        <f>IF(M152="","",IF(TaxRegistered&lt;&gt;"Yes",0,IF(PricesIncludeTax="Yes",ROUND(M152-M152/(1+TaxRate),2),ROUND(M152*TaxRate,2))))</f>
        <v>0</v>
      </c>
      <c r="O152" s="29">
        <f>IF(M152="","",IF(PricesIncludeTax="Yes",M152,ROUND(M152+N152,2)))</f>
        <v>0</v>
      </c>
      <c r="P152" s="29">
        <f>IF(A152="","",SUMIFS(Payments!$E$5:$E$304,Payments!$D$5:$D$304,A152,Payments!$M$5:$M$304,"Yes"))</f>
        <v>0</v>
      </c>
      <c r="Q152" s="29">
        <f>IF(A152="","",SUMIFS(Payments!$K$5:$K$304,Payments!$D$5:$D$304,A152))</f>
        <v>0</v>
      </c>
      <c r="R152" s="29">
        <f>IF(A152="","",SUMIFS(Payments!$J$5:$J$304,Payments!$D$5:$D$304,A152))</f>
        <v>0</v>
      </c>
      <c r="S152" s="29">
        <f>IF(D152="","",ROUND(IF(T152="Cancelled",0,O152-Q152),2))</f>
        <v>0</v>
      </c>
      <c r="U152" s="49">
        <f>IF(A152="","",IF(T152="Cancelled","Cancelled",IF(S152&lt;=0.004,"Paid",IF(Q152&gt;0.004,IF(AND(C152&lt;&gt;"",TODAY()&gt;C152),"Overdue - part paid","Partially paid"),IF(AND(C152&lt;&gt;"",TODAY()&gt;C152),"Overdue",IF(T152="Draft","Draft","Unpaid"))))))</f>
        <v>0</v>
      </c>
      <c r="V152" s="31">
        <f>IF(OR(C152="",S152&lt;=0.004),"",MAX(0,TODAY()-C152))</f>
        <v>0</v>
      </c>
      <c r="W152" s="49">
        <f>IF(A152="","",IF(S152&lt;=0.004,"Paid",IF(V152="","Not due",IF(V152=0,"Current",IF(V152&lt;=30,"1-30 days",IF(V152&lt;=60,"31-60 days",IF(V152&lt;=90,"61-90 days","90+ days")))))))</f>
        <v>0</v>
      </c>
      <c r="X152" s="29">
        <f>IF(OR(V152="",V152=0),0,ROUND(S152*LateFeePct,2))</f>
        <v>0</v>
      </c>
      <c r="AA152" s="49">
        <f>IF(A152="","",IF(COUNTIF(Invoices!$A$5:$A$304,A152)&gt;1,"Duplicate number","OK"))</f>
        <v>0</v>
      </c>
      <c r="AC152" s="28">
        <f>IF(B152="","",TEXT(B152,"yyyy-mm"))</f>
        <v>0</v>
      </c>
      <c r="AD152" s="49">
        <f>IF(A152="","",IF(T152="Draft","Action - still a draft",IF(U152="Overdue","Overdue - chase payment",IF(U152="Overdue - part paid","Overdue - chase the balance",IF(AND(S152&gt;0.004,C152&lt;&gt;"",C152-TODAY()&lt;=ReminderLeadDays,C152&gt;=TODAY()),"Due soon - send a reminder","OK")))))</f>
        <v>0</v>
      </c>
    </row>
    <row r="153" spans="1:30">
      <c r="A153" s="46">
        <f>IF(D153="","",InvoicePrefix&amp;TEXT(InvoiceStartNo+ROW()-5,"0000"))</f>
        <v>0</v>
      </c>
      <c r="C153" s="21">
        <f>IF(B153="","",B153+PaymentTermsDays)</f>
        <v>0</v>
      </c>
      <c r="F153" s="29">
        <f>IF(E153="",0,IFERROR(INDEX(Bookings!$AI$5:$AI$404,MATCH(E153,Bookings!$A$5:$A$404,0)),0))</f>
        <v>0</v>
      </c>
      <c r="J153" s="29">
        <f>IF(D153="","",IF(E153&lt;&gt;"",F153,ROUND(IF(H153="",0,H153)*IF(I153="",0,I153),2)))</f>
        <v>0</v>
      </c>
      <c r="M153" s="29">
        <f>IF(D153="","",ROUND(J153+IF(K153="",0,K153)-IF(L153="",0,L153),2))</f>
        <v>0</v>
      </c>
      <c r="N153" s="29">
        <f>IF(M153="","",IF(TaxRegistered&lt;&gt;"Yes",0,IF(PricesIncludeTax="Yes",ROUND(M153-M153/(1+TaxRate),2),ROUND(M153*TaxRate,2))))</f>
        <v>0</v>
      </c>
      <c r="O153" s="29">
        <f>IF(M153="","",IF(PricesIncludeTax="Yes",M153,ROUND(M153+N153,2)))</f>
        <v>0</v>
      </c>
      <c r="P153" s="29">
        <f>IF(A153="","",SUMIFS(Payments!$E$5:$E$304,Payments!$D$5:$D$304,A153,Payments!$M$5:$M$304,"Yes"))</f>
        <v>0</v>
      </c>
      <c r="Q153" s="29">
        <f>IF(A153="","",SUMIFS(Payments!$K$5:$K$304,Payments!$D$5:$D$304,A153))</f>
        <v>0</v>
      </c>
      <c r="R153" s="29">
        <f>IF(A153="","",SUMIFS(Payments!$J$5:$J$304,Payments!$D$5:$D$304,A153))</f>
        <v>0</v>
      </c>
      <c r="S153" s="29">
        <f>IF(D153="","",ROUND(IF(T153="Cancelled",0,O153-Q153),2))</f>
        <v>0</v>
      </c>
      <c r="U153" s="49">
        <f>IF(A153="","",IF(T153="Cancelled","Cancelled",IF(S153&lt;=0.004,"Paid",IF(Q153&gt;0.004,IF(AND(C153&lt;&gt;"",TODAY()&gt;C153),"Overdue - part paid","Partially paid"),IF(AND(C153&lt;&gt;"",TODAY()&gt;C153),"Overdue",IF(T153="Draft","Draft","Unpaid"))))))</f>
        <v>0</v>
      </c>
      <c r="V153" s="31">
        <f>IF(OR(C153="",S153&lt;=0.004),"",MAX(0,TODAY()-C153))</f>
        <v>0</v>
      </c>
      <c r="W153" s="49">
        <f>IF(A153="","",IF(S153&lt;=0.004,"Paid",IF(V153="","Not due",IF(V153=0,"Current",IF(V153&lt;=30,"1-30 days",IF(V153&lt;=60,"31-60 days",IF(V153&lt;=90,"61-90 days","90+ days")))))))</f>
        <v>0</v>
      </c>
      <c r="X153" s="29">
        <f>IF(OR(V153="",V153=0),0,ROUND(S153*LateFeePct,2))</f>
        <v>0</v>
      </c>
      <c r="AA153" s="49">
        <f>IF(A153="","",IF(COUNTIF(Invoices!$A$5:$A$304,A153)&gt;1,"Duplicate number","OK"))</f>
        <v>0</v>
      </c>
      <c r="AC153" s="28">
        <f>IF(B153="","",TEXT(B153,"yyyy-mm"))</f>
        <v>0</v>
      </c>
      <c r="AD153" s="49">
        <f>IF(A153="","",IF(T153="Draft","Action - still a draft",IF(U153="Overdue","Overdue - chase payment",IF(U153="Overdue - part paid","Overdue - chase the balance",IF(AND(S153&gt;0.004,C153&lt;&gt;"",C153-TODAY()&lt;=ReminderLeadDays,C153&gt;=TODAY()),"Due soon - send a reminder","OK")))))</f>
        <v>0</v>
      </c>
    </row>
    <row r="154" spans="1:30">
      <c r="A154" s="46">
        <f>IF(D154="","",InvoicePrefix&amp;TEXT(InvoiceStartNo+ROW()-5,"0000"))</f>
        <v>0</v>
      </c>
      <c r="C154" s="21">
        <f>IF(B154="","",B154+PaymentTermsDays)</f>
        <v>0</v>
      </c>
      <c r="F154" s="29">
        <f>IF(E154="",0,IFERROR(INDEX(Bookings!$AI$5:$AI$404,MATCH(E154,Bookings!$A$5:$A$404,0)),0))</f>
        <v>0</v>
      </c>
      <c r="J154" s="29">
        <f>IF(D154="","",IF(E154&lt;&gt;"",F154,ROUND(IF(H154="",0,H154)*IF(I154="",0,I154),2)))</f>
        <v>0</v>
      </c>
      <c r="M154" s="29">
        <f>IF(D154="","",ROUND(J154+IF(K154="",0,K154)-IF(L154="",0,L154),2))</f>
        <v>0</v>
      </c>
      <c r="N154" s="29">
        <f>IF(M154="","",IF(TaxRegistered&lt;&gt;"Yes",0,IF(PricesIncludeTax="Yes",ROUND(M154-M154/(1+TaxRate),2),ROUND(M154*TaxRate,2))))</f>
        <v>0</v>
      </c>
      <c r="O154" s="29">
        <f>IF(M154="","",IF(PricesIncludeTax="Yes",M154,ROUND(M154+N154,2)))</f>
        <v>0</v>
      </c>
      <c r="P154" s="29">
        <f>IF(A154="","",SUMIFS(Payments!$E$5:$E$304,Payments!$D$5:$D$304,A154,Payments!$M$5:$M$304,"Yes"))</f>
        <v>0</v>
      </c>
      <c r="Q154" s="29">
        <f>IF(A154="","",SUMIFS(Payments!$K$5:$K$304,Payments!$D$5:$D$304,A154))</f>
        <v>0</v>
      </c>
      <c r="R154" s="29">
        <f>IF(A154="","",SUMIFS(Payments!$J$5:$J$304,Payments!$D$5:$D$304,A154))</f>
        <v>0</v>
      </c>
      <c r="S154" s="29">
        <f>IF(D154="","",ROUND(IF(T154="Cancelled",0,O154-Q154),2))</f>
        <v>0</v>
      </c>
      <c r="U154" s="49">
        <f>IF(A154="","",IF(T154="Cancelled","Cancelled",IF(S154&lt;=0.004,"Paid",IF(Q154&gt;0.004,IF(AND(C154&lt;&gt;"",TODAY()&gt;C154),"Overdue - part paid","Partially paid"),IF(AND(C154&lt;&gt;"",TODAY()&gt;C154),"Overdue",IF(T154="Draft","Draft","Unpaid"))))))</f>
        <v>0</v>
      </c>
      <c r="V154" s="31">
        <f>IF(OR(C154="",S154&lt;=0.004),"",MAX(0,TODAY()-C154))</f>
        <v>0</v>
      </c>
      <c r="W154" s="49">
        <f>IF(A154="","",IF(S154&lt;=0.004,"Paid",IF(V154="","Not due",IF(V154=0,"Current",IF(V154&lt;=30,"1-30 days",IF(V154&lt;=60,"31-60 days",IF(V154&lt;=90,"61-90 days","90+ days")))))))</f>
        <v>0</v>
      </c>
      <c r="X154" s="29">
        <f>IF(OR(V154="",V154=0),0,ROUND(S154*LateFeePct,2))</f>
        <v>0</v>
      </c>
      <c r="AA154" s="49">
        <f>IF(A154="","",IF(COUNTIF(Invoices!$A$5:$A$304,A154)&gt;1,"Duplicate number","OK"))</f>
        <v>0</v>
      </c>
      <c r="AC154" s="28">
        <f>IF(B154="","",TEXT(B154,"yyyy-mm"))</f>
        <v>0</v>
      </c>
      <c r="AD154" s="49">
        <f>IF(A154="","",IF(T154="Draft","Action - still a draft",IF(U154="Overdue","Overdue - chase payment",IF(U154="Overdue - part paid","Overdue - chase the balance",IF(AND(S154&gt;0.004,C154&lt;&gt;"",C154-TODAY()&lt;=ReminderLeadDays,C154&gt;=TODAY()),"Due soon - send a reminder","OK")))))</f>
        <v>0</v>
      </c>
    </row>
    <row r="155" spans="1:30">
      <c r="A155" s="46">
        <f>IF(D155="","",InvoicePrefix&amp;TEXT(InvoiceStartNo+ROW()-5,"0000"))</f>
        <v>0</v>
      </c>
      <c r="C155" s="21">
        <f>IF(B155="","",B155+PaymentTermsDays)</f>
        <v>0</v>
      </c>
      <c r="F155" s="29">
        <f>IF(E155="",0,IFERROR(INDEX(Bookings!$AI$5:$AI$404,MATCH(E155,Bookings!$A$5:$A$404,0)),0))</f>
        <v>0</v>
      </c>
      <c r="J155" s="29">
        <f>IF(D155="","",IF(E155&lt;&gt;"",F155,ROUND(IF(H155="",0,H155)*IF(I155="",0,I155),2)))</f>
        <v>0</v>
      </c>
      <c r="M155" s="29">
        <f>IF(D155="","",ROUND(J155+IF(K155="",0,K155)-IF(L155="",0,L155),2))</f>
        <v>0</v>
      </c>
      <c r="N155" s="29">
        <f>IF(M155="","",IF(TaxRegistered&lt;&gt;"Yes",0,IF(PricesIncludeTax="Yes",ROUND(M155-M155/(1+TaxRate),2),ROUND(M155*TaxRate,2))))</f>
        <v>0</v>
      </c>
      <c r="O155" s="29">
        <f>IF(M155="","",IF(PricesIncludeTax="Yes",M155,ROUND(M155+N155,2)))</f>
        <v>0</v>
      </c>
      <c r="P155" s="29">
        <f>IF(A155="","",SUMIFS(Payments!$E$5:$E$304,Payments!$D$5:$D$304,A155,Payments!$M$5:$M$304,"Yes"))</f>
        <v>0</v>
      </c>
      <c r="Q155" s="29">
        <f>IF(A155="","",SUMIFS(Payments!$K$5:$K$304,Payments!$D$5:$D$304,A155))</f>
        <v>0</v>
      </c>
      <c r="R155" s="29">
        <f>IF(A155="","",SUMIFS(Payments!$J$5:$J$304,Payments!$D$5:$D$304,A155))</f>
        <v>0</v>
      </c>
      <c r="S155" s="29">
        <f>IF(D155="","",ROUND(IF(T155="Cancelled",0,O155-Q155),2))</f>
        <v>0</v>
      </c>
      <c r="U155" s="49">
        <f>IF(A155="","",IF(T155="Cancelled","Cancelled",IF(S155&lt;=0.004,"Paid",IF(Q155&gt;0.004,IF(AND(C155&lt;&gt;"",TODAY()&gt;C155),"Overdue - part paid","Partially paid"),IF(AND(C155&lt;&gt;"",TODAY()&gt;C155),"Overdue",IF(T155="Draft","Draft","Unpaid"))))))</f>
        <v>0</v>
      </c>
      <c r="V155" s="31">
        <f>IF(OR(C155="",S155&lt;=0.004),"",MAX(0,TODAY()-C155))</f>
        <v>0</v>
      </c>
      <c r="W155" s="49">
        <f>IF(A155="","",IF(S155&lt;=0.004,"Paid",IF(V155="","Not due",IF(V155=0,"Current",IF(V155&lt;=30,"1-30 days",IF(V155&lt;=60,"31-60 days",IF(V155&lt;=90,"61-90 days","90+ days")))))))</f>
        <v>0</v>
      </c>
      <c r="X155" s="29">
        <f>IF(OR(V155="",V155=0),0,ROUND(S155*LateFeePct,2))</f>
        <v>0</v>
      </c>
      <c r="AA155" s="49">
        <f>IF(A155="","",IF(COUNTIF(Invoices!$A$5:$A$304,A155)&gt;1,"Duplicate number","OK"))</f>
        <v>0</v>
      </c>
      <c r="AC155" s="28">
        <f>IF(B155="","",TEXT(B155,"yyyy-mm"))</f>
        <v>0</v>
      </c>
      <c r="AD155" s="49">
        <f>IF(A155="","",IF(T155="Draft","Action - still a draft",IF(U155="Overdue","Overdue - chase payment",IF(U155="Overdue - part paid","Overdue - chase the balance",IF(AND(S155&gt;0.004,C155&lt;&gt;"",C155-TODAY()&lt;=ReminderLeadDays,C155&gt;=TODAY()),"Due soon - send a reminder","OK")))))</f>
        <v>0</v>
      </c>
    </row>
    <row r="156" spans="1:30">
      <c r="A156" s="46">
        <f>IF(D156="","",InvoicePrefix&amp;TEXT(InvoiceStartNo+ROW()-5,"0000"))</f>
        <v>0</v>
      </c>
      <c r="C156" s="21">
        <f>IF(B156="","",B156+PaymentTermsDays)</f>
        <v>0</v>
      </c>
      <c r="F156" s="29">
        <f>IF(E156="",0,IFERROR(INDEX(Bookings!$AI$5:$AI$404,MATCH(E156,Bookings!$A$5:$A$404,0)),0))</f>
        <v>0</v>
      </c>
      <c r="J156" s="29">
        <f>IF(D156="","",IF(E156&lt;&gt;"",F156,ROUND(IF(H156="",0,H156)*IF(I156="",0,I156),2)))</f>
        <v>0</v>
      </c>
      <c r="M156" s="29">
        <f>IF(D156="","",ROUND(J156+IF(K156="",0,K156)-IF(L156="",0,L156),2))</f>
        <v>0</v>
      </c>
      <c r="N156" s="29">
        <f>IF(M156="","",IF(TaxRegistered&lt;&gt;"Yes",0,IF(PricesIncludeTax="Yes",ROUND(M156-M156/(1+TaxRate),2),ROUND(M156*TaxRate,2))))</f>
        <v>0</v>
      </c>
      <c r="O156" s="29">
        <f>IF(M156="","",IF(PricesIncludeTax="Yes",M156,ROUND(M156+N156,2)))</f>
        <v>0</v>
      </c>
      <c r="P156" s="29">
        <f>IF(A156="","",SUMIFS(Payments!$E$5:$E$304,Payments!$D$5:$D$304,A156,Payments!$M$5:$M$304,"Yes"))</f>
        <v>0</v>
      </c>
      <c r="Q156" s="29">
        <f>IF(A156="","",SUMIFS(Payments!$K$5:$K$304,Payments!$D$5:$D$304,A156))</f>
        <v>0</v>
      </c>
      <c r="R156" s="29">
        <f>IF(A156="","",SUMIFS(Payments!$J$5:$J$304,Payments!$D$5:$D$304,A156))</f>
        <v>0</v>
      </c>
      <c r="S156" s="29">
        <f>IF(D156="","",ROUND(IF(T156="Cancelled",0,O156-Q156),2))</f>
        <v>0</v>
      </c>
      <c r="U156" s="49">
        <f>IF(A156="","",IF(T156="Cancelled","Cancelled",IF(S156&lt;=0.004,"Paid",IF(Q156&gt;0.004,IF(AND(C156&lt;&gt;"",TODAY()&gt;C156),"Overdue - part paid","Partially paid"),IF(AND(C156&lt;&gt;"",TODAY()&gt;C156),"Overdue",IF(T156="Draft","Draft","Unpaid"))))))</f>
        <v>0</v>
      </c>
      <c r="V156" s="31">
        <f>IF(OR(C156="",S156&lt;=0.004),"",MAX(0,TODAY()-C156))</f>
        <v>0</v>
      </c>
      <c r="W156" s="49">
        <f>IF(A156="","",IF(S156&lt;=0.004,"Paid",IF(V156="","Not due",IF(V156=0,"Current",IF(V156&lt;=30,"1-30 days",IF(V156&lt;=60,"31-60 days",IF(V156&lt;=90,"61-90 days","90+ days")))))))</f>
        <v>0</v>
      </c>
      <c r="X156" s="29">
        <f>IF(OR(V156="",V156=0),0,ROUND(S156*LateFeePct,2))</f>
        <v>0</v>
      </c>
      <c r="AA156" s="49">
        <f>IF(A156="","",IF(COUNTIF(Invoices!$A$5:$A$304,A156)&gt;1,"Duplicate number","OK"))</f>
        <v>0</v>
      </c>
      <c r="AC156" s="28">
        <f>IF(B156="","",TEXT(B156,"yyyy-mm"))</f>
        <v>0</v>
      </c>
      <c r="AD156" s="49">
        <f>IF(A156="","",IF(T156="Draft","Action - still a draft",IF(U156="Overdue","Overdue - chase payment",IF(U156="Overdue - part paid","Overdue - chase the balance",IF(AND(S156&gt;0.004,C156&lt;&gt;"",C156-TODAY()&lt;=ReminderLeadDays,C156&gt;=TODAY()),"Due soon - send a reminder","OK")))))</f>
        <v>0</v>
      </c>
    </row>
    <row r="157" spans="1:30">
      <c r="A157" s="46">
        <f>IF(D157="","",InvoicePrefix&amp;TEXT(InvoiceStartNo+ROW()-5,"0000"))</f>
        <v>0</v>
      </c>
      <c r="C157" s="21">
        <f>IF(B157="","",B157+PaymentTermsDays)</f>
        <v>0</v>
      </c>
      <c r="F157" s="29">
        <f>IF(E157="",0,IFERROR(INDEX(Bookings!$AI$5:$AI$404,MATCH(E157,Bookings!$A$5:$A$404,0)),0))</f>
        <v>0</v>
      </c>
      <c r="J157" s="29">
        <f>IF(D157="","",IF(E157&lt;&gt;"",F157,ROUND(IF(H157="",0,H157)*IF(I157="",0,I157),2)))</f>
        <v>0</v>
      </c>
      <c r="M157" s="29">
        <f>IF(D157="","",ROUND(J157+IF(K157="",0,K157)-IF(L157="",0,L157),2))</f>
        <v>0</v>
      </c>
      <c r="N157" s="29">
        <f>IF(M157="","",IF(TaxRegistered&lt;&gt;"Yes",0,IF(PricesIncludeTax="Yes",ROUND(M157-M157/(1+TaxRate),2),ROUND(M157*TaxRate,2))))</f>
        <v>0</v>
      </c>
      <c r="O157" s="29">
        <f>IF(M157="","",IF(PricesIncludeTax="Yes",M157,ROUND(M157+N157,2)))</f>
        <v>0</v>
      </c>
      <c r="P157" s="29">
        <f>IF(A157="","",SUMIFS(Payments!$E$5:$E$304,Payments!$D$5:$D$304,A157,Payments!$M$5:$M$304,"Yes"))</f>
        <v>0</v>
      </c>
      <c r="Q157" s="29">
        <f>IF(A157="","",SUMIFS(Payments!$K$5:$K$304,Payments!$D$5:$D$304,A157))</f>
        <v>0</v>
      </c>
      <c r="R157" s="29">
        <f>IF(A157="","",SUMIFS(Payments!$J$5:$J$304,Payments!$D$5:$D$304,A157))</f>
        <v>0</v>
      </c>
      <c r="S157" s="29">
        <f>IF(D157="","",ROUND(IF(T157="Cancelled",0,O157-Q157),2))</f>
        <v>0</v>
      </c>
      <c r="U157" s="49">
        <f>IF(A157="","",IF(T157="Cancelled","Cancelled",IF(S157&lt;=0.004,"Paid",IF(Q157&gt;0.004,IF(AND(C157&lt;&gt;"",TODAY()&gt;C157),"Overdue - part paid","Partially paid"),IF(AND(C157&lt;&gt;"",TODAY()&gt;C157),"Overdue",IF(T157="Draft","Draft","Unpaid"))))))</f>
        <v>0</v>
      </c>
      <c r="V157" s="31">
        <f>IF(OR(C157="",S157&lt;=0.004),"",MAX(0,TODAY()-C157))</f>
        <v>0</v>
      </c>
      <c r="W157" s="49">
        <f>IF(A157="","",IF(S157&lt;=0.004,"Paid",IF(V157="","Not due",IF(V157=0,"Current",IF(V157&lt;=30,"1-30 days",IF(V157&lt;=60,"31-60 days",IF(V157&lt;=90,"61-90 days","90+ days")))))))</f>
        <v>0</v>
      </c>
      <c r="X157" s="29">
        <f>IF(OR(V157="",V157=0),0,ROUND(S157*LateFeePct,2))</f>
        <v>0</v>
      </c>
      <c r="AA157" s="49">
        <f>IF(A157="","",IF(COUNTIF(Invoices!$A$5:$A$304,A157)&gt;1,"Duplicate number","OK"))</f>
        <v>0</v>
      </c>
      <c r="AC157" s="28">
        <f>IF(B157="","",TEXT(B157,"yyyy-mm"))</f>
        <v>0</v>
      </c>
      <c r="AD157" s="49">
        <f>IF(A157="","",IF(T157="Draft","Action - still a draft",IF(U157="Overdue","Overdue - chase payment",IF(U157="Overdue - part paid","Overdue - chase the balance",IF(AND(S157&gt;0.004,C157&lt;&gt;"",C157-TODAY()&lt;=ReminderLeadDays,C157&gt;=TODAY()),"Due soon - send a reminder","OK")))))</f>
        <v>0</v>
      </c>
    </row>
    <row r="158" spans="1:30">
      <c r="A158" s="46">
        <f>IF(D158="","",InvoicePrefix&amp;TEXT(InvoiceStartNo+ROW()-5,"0000"))</f>
        <v>0</v>
      </c>
      <c r="C158" s="21">
        <f>IF(B158="","",B158+PaymentTermsDays)</f>
        <v>0</v>
      </c>
      <c r="F158" s="29">
        <f>IF(E158="",0,IFERROR(INDEX(Bookings!$AI$5:$AI$404,MATCH(E158,Bookings!$A$5:$A$404,0)),0))</f>
        <v>0</v>
      </c>
      <c r="J158" s="29">
        <f>IF(D158="","",IF(E158&lt;&gt;"",F158,ROUND(IF(H158="",0,H158)*IF(I158="",0,I158),2)))</f>
        <v>0</v>
      </c>
      <c r="M158" s="29">
        <f>IF(D158="","",ROUND(J158+IF(K158="",0,K158)-IF(L158="",0,L158),2))</f>
        <v>0</v>
      </c>
      <c r="N158" s="29">
        <f>IF(M158="","",IF(TaxRegistered&lt;&gt;"Yes",0,IF(PricesIncludeTax="Yes",ROUND(M158-M158/(1+TaxRate),2),ROUND(M158*TaxRate,2))))</f>
        <v>0</v>
      </c>
      <c r="O158" s="29">
        <f>IF(M158="","",IF(PricesIncludeTax="Yes",M158,ROUND(M158+N158,2)))</f>
        <v>0</v>
      </c>
      <c r="P158" s="29">
        <f>IF(A158="","",SUMIFS(Payments!$E$5:$E$304,Payments!$D$5:$D$304,A158,Payments!$M$5:$M$304,"Yes"))</f>
        <v>0</v>
      </c>
      <c r="Q158" s="29">
        <f>IF(A158="","",SUMIFS(Payments!$K$5:$K$304,Payments!$D$5:$D$304,A158))</f>
        <v>0</v>
      </c>
      <c r="R158" s="29">
        <f>IF(A158="","",SUMIFS(Payments!$J$5:$J$304,Payments!$D$5:$D$304,A158))</f>
        <v>0</v>
      </c>
      <c r="S158" s="29">
        <f>IF(D158="","",ROUND(IF(T158="Cancelled",0,O158-Q158),2))</f>
        <v>0</v>
      </c>
      <c r="U158" s="49">
        <f>IF(A158="","",IF(T158="Cancelled","Cancelled",IF(S158&lt;=0.004,"Paid",IF(Q158&gt;0.004,IF(AND(C158&lt;&gt;"",TODAY()&gt;C158),"Overdue - part paid","Partially paid"),IF(AND(C158&lt;&gt;"",TODAY()&gt;C158),"Overdue",IF(T158="Draft","Draft","Unpaid"))))))</f>
        <v>0</v>
      </c>
      <c r="V158" s="31">
        <f>IF(OR(C158="",S158&lt;=0.004),"",MAX(0,TODAY()-C158))</f>
        <v>0</v>
      </c>
      <c r="W158" s="49">
        <f>IF(A158="","",IF(S158&lt;=0.004,"Paid",IF(V158="","Not due",IF(V158=0,"Current",IF(V158&lt;=30,"1-30 days",IF(V158&lt;=60,"31-60 days",IF(V158&lt;=90,"61-90 days","90+ days")))))))</f>
        <v>0</v>
      </c>
      <c r="X158" s="29">
        <f>IF(OR(V158="",V158=0),0,ROUND(S158*LateFeePct,2))</f>
        <v>0</v>
      </c>
      <c r="AA158" s="49">
        <f>IF(A158="","",IF(COUNTIF(Invoices!$A$5:$A$304,A158)&gt;1,"Duplicate number","OK"))</f>
        <v>0</v>
      </c>
      <c r="AC158" s="28">
        <f>IF(B158="","",TEXT(B158,"yyyy-mm"))</f>
        <v>0</v>
      </c>
      <c r="AD158" s="49">
        <f>IF(A158="","",IF(T158="Draft","Action - still a draft",IF(U158="Overdue","Overdue - chase payment",IF(U158="Overdue - part paid","Overdue - chase the balance",IF(AND(S158&gt;0.004,C158&lt;&gt;"",C158-TODAY()&lt;=ReminderLeadDays,C158&gt;=TODAY()),"Due soon - send a reminder","OK")))))</f>
        <v>0</v>
      </c>
    </row>
    <row r="159" spans="1:30">
      <c r="A159" s="46">
        <f>IF(D159="","",InvoicePrefix&amp;TEXT(InvoiceStartNo+ROW()-5,"0000"))</f>
        <v>0</v>
      </c>
      <c r="C159" s="21">
        <f>IF(B159="","",B159+PaymentTermsDays)</f>
        <v>0</v>
      </c>
      <c r="F159" s="29">
        <f>IF(E159="",0,IFERROR(INDEX(Bookings!$AI$5:$AI$404,MATCH(E159,Bookings!$A$5:$A$404,0)),0))</f>
        <v>0</v>
      </c>
      <c r="J159" s="29">
        <f>IF(D159="","",IF(E159&lt;&gt;"",F159,ROUND(IF(H159="",0,H159)*IF(I159="",0,I159),2)))</f>
        <v>0</v>
      </c>
      <c r="M159" s="29">
        <f>IF(D159="","",ROUND(J159+IF(K159="",0,K159)-IF(L159="",0,L159),2))</f>
        <v>0</v>
      </c>
      <c r="N159" s="29">
        <f>IF(M159="","",IF(TaxRegistered&lt;&gt;"Yes",0,IF(PricesIncludeTax="Yes",ROUND(M159-M159/(1+TaxRate),2),ROUND(M159*TaxRate,2))))</f>
        <v>0</v>
      </c>
      <c r="O159" s="29">
        <f>IF(M159="","",IF(PricesIncludeTax="Yes",M159,ROUND(M159+N159,2)))</f>
        <v>0</v>
      </c>
      <c r="P159" s="29">
        <f>IF(A159="","",SUMIFS(Payments!$E$5:$E$304,Payments!$D$5:$D$304,A159,Payments!$M$5:$M$304,"Yes"))</f>
        <v>0</v>
      </c>
      <c r="Q159" s="29">
        <f>IF(A159="","",SUMIFS(Payments!$K$5:$K$304,Payments!$D$5:$D$304,A159))</f>
        <v>0</v>
      </c>
      <c r="R159" s="29">
        <f>IF(A159="","",SUMIFS(Payments!$J$5:$J$304,Payments!$D$5:$D$304,A159))</f>
        <v>0</v>
      </c>
      <c r="S159" s="29">
        <f>IF(D159="","",ROUND(IF(T159="Cancelled",0,O159-Q159),2))</f>
        <v>0</v>
      </c>
      <c r="U159" s="49">
        <f>IF(A159="","",IF(T159="Cancelled","Cancelled",IF(S159&lt;=0.004,"Paid",IF(Q159&gt;0.004,IF(AND(C159&lt;&gt;"",TODAY()&gt;C159),"Overdue - part paid","Partially paid"),IF(AND(C159&lt;&gt;"",TODAY()&gt;C159),"Overdue",IF(T159="Draft","Draft","Unpaid"))))))</f>
        <v>0</v>
      </c>
      <c r="V159" s="31">
        <f>IF(OR(C159="",S159&lt;=0.004),"",MAX(0,TODAY()-C159))</f>
        <v>0</v>
      </c>
      <c r="W159" s="49">
        <f>IF(A159="","",IF(S159&lt;=0.004,"Paid",IF(V159="","Not due",IF(V159=0,"Current",IF(V159&lt;=30,"1-30 days",IF(V159&lt;=60,"31-60 days",IF(V159&lt;=90,"61-90 days","90+ days")))))))</f>
        <v>0</v>
      </c>
      <c r="X159" s="29">
        <f>IF(OR(V159="",V159=0),0,ROUND(S159*LateFeePct,2))</f>
        <v>0</v>
      </c>
      <c r="AA159" s="49">
        <f>IF(A159="","",IF(COUNTIF(Invoices!$A$5:$A$304,A159)&gt;1,"Duplicate number","OK"))</f>
        <v>0</v>
      </c>
      <c r="AC159" s="28">
        <f>IF(B159="","",TEXT(B159,"yyyy-mm"))</f>
        <v>0</v>
      </c>
      <c r="AD159" s="49">
        <f>IF(A159="","",IF(T159="Draft","Action - still a draft",IF(U159="Overdue","Overdue - chase payment",IF(U159="Overdue - part paid","Overdue - chase the balance",IF(AND(S159&gt;0.004,C159&lt;&gt;"",C159-TODAY()&lt;=ReminderLeadDays,C159&gt;=TODAY()),"Due soon - send a reminder","OK")))))</f>
        <v>0</v>
      </c>
    </row>
    <row r="160" spans="1:30">
      <c r="A160" s="46">
        <f>IF(D160="","",InvoicePrefix&amp;TEXT(InvoiceStartNo+ROW()-5,"0000"))</f>
        <v>0</v>
      </c>
      <c r="C160" s="21">
        <f>IF(B160="","",B160+PaymentTermsDays)</f>
        <v>0</v>
      </c>
      <c r="F160" s="29">
        <f>IF(E160="",0,IFERROR(INDEX(Bookings!$AI$5:$AI$404,MATCH(E160,Bookings!$A$5:$A$404,0)),0))</f>
        <v>0</v>
      </c>
      <c r="J160" s="29">
        <f>IF(D160="","",IF(E160&lt;&gt;"",F160,ROUND(IF(H160="",0,H160)*IF(I160="",0,I160),2)))</f>
        <v>0</v>
      </c>
      <c r="M160" s="29">
        <f>IF(D160="","",ROUND(J160+IF(K160="",0,K160)-IF(L160="",0,L160),2))</f>
        <v>0</v>
      </c>
      <c r="N160" s="29">
        <f>IF(M160="","",IF(TaxRegistered&lt;&gt;"Yes",0,IF(PricesIncludeTax="Yes",ROUND(M160-M160/(1+TaxRate),2),ROUND(M160*TaxRate,2))))</f>
        <v>0</v>
      </c>
      <c r="O160" s="29">
        <f>IF(M160="","",IF(PricesIncludeTax="Yes",M160,ROUND(M160+N160,2)))</f>
        <v>0</v>
      </c>
      <c r="P160" s="29">
        <f>IF(A160="","",SUMIFS(Payments!$E$5:$E$304,Payments!$D$5:$D$304,A160,Payments!$M$5:$M$304,"Yes"))</f>
        <v>0</v>
      </c>
      <c r="Q160" s="29">
        <f>IF(A160="","",SUMIFS(Payments!$K$5:$K$304,Payments!$D$5:$D$304,A160))</f>
        <v>0</v>
      </c>
      <c r="R160" s="29">
        <f>IF(A160="","",SUMIFS(Payments!$J$5:$J$304,Payments!$D$5:$D$304,A160))</f>
        <v>0</v>
      </c>
      <c r="S160" s="29">
        <f>IF(D160="","",ROUND(IF(T160="Cancelled",0,O160-Q160),2))</f>
        <v>0</v>
      </c>
      <c r="U160" s="49">
        <f>IF(A160="","",IF(T160="Cancelled","Cancelled",IF(S160&lt;=0.004,"Paid",IF(Q160&gt;0.004,IF(AND(C160&lt;&gt;"",TODAY()&gt;C160),"Overdue - part paid","Partially paid"),IF(AND(C160&lt;&gt;"",TODAY()&gt;C160),"Overdue",IF(T160="Draft","Draft","Unpaid"))))))</f>
        <v>0</v>
      </c>
      <c r="V160" s="31">
        <f>IF(OR(C160="",S160&lt;=0.004),"",MAX(0,TODAY()-C160))</f>
        <v>0</v>
      </c>
      <c r="W160" s="49">
        <f>IF(A160="","",IF(S160&lt;=0.004,"Paid",IF(V160="","Not due",IF(V160=0,"Current",IF(V160&lt;=30,"1-30 days",IF(V160&lt;=60,"31-60 days",IF(V160&lt;=90,"61-90 days","90+ days")))))))</f>
        <v>0</v>
      </c>
      <c r="X160" s="29">
        <f>IF(OR(V160="",V160=0),0,ROUND(S160*LateFeePct,2))</f>
        <v>0</v>
      </c>
      <c r="AA160" s="49">
        <f>IF(A160="","",IF(COUNTIF(Invoices!$A$5:$A$304,A160)&gt;1,"Duplicate number","OK"))</f>
        <v>0</v>
      </c>
      <c r="AC160" s="28">
        <f>IF(B160="","",TEXT(B160,"yyyy-mm"))</f>
        <v>0</v>
      </c>
      <c r="AD160" s="49">
        <f>IF(A160="","",IF(T160="Draft","Action - still a draft",IF(U160="Overdue","Overdue - chase payment",IF(U160="Overdue - part paid","Overdue - chase the balance",IF(AND(S160&gt;0.004,C160&lt;&gt;"",C160-TODAY()&lt;=ReminderLeadDays,C160&gt;=TODAY()),"Due soon - send a reminder","OK")))))</f>
        <v>0</v>
      </c>
    </row>
    <row r="161" spans="1:30">
      <c r="A161" s="46">
        <f>IF(D161="","",InvoicePrefix&amp;TEXT(InvoiceStartNo+ROW()-5,"0000"))</f>
        <v>0</v>
      </c>
      <c r="C161" s="21">
        <f>IF(B161="","",B161+PaymentTermsDays)</f>
        <v>0</v>
      </c>
      <c r="F161" s="29">
        <f>IF(E161="",0,IFERROR(INDEX(Bookings!$AI$5:$AI$404,MATCH(E161,Bookings!$A$5:$A$404,0)),0))</f>
        <v>0</v>
      </c>
      <c r="J161" s="29">
        <f>IF(D161="","",IF(E161&lt;&gt;"",F161,ROUND(IF(H161="",0,H161)*IF(I161="",0,I161),2)))</f>
        <v>0</v>
      </c>
      <c r="M161" s="29">
        <f>IF(D161="","",ROUND(J161+IF(K161="",0,K161)-IF(L161="",0,L161),2))</f>
        <v>0</v>
      </c>
      <c r="N161" s="29">
        <f>IF(M161="","",IF(TaxRegistered&lt;&gt;"Yes",0,IF(PricesIncludeTax="Yes",ROUND(M161-M161/(1+TaxRate),2),ROUND(M161*TaxRate,2))))</f>
        <v>0</v>
      </c>
      <c r="O161" s="29">
        <f>IF(M161="","",IF(PricesIncludeTax="Yes",M161,ROUND(M161+N161,2)))</f>
        <v>0</v>
      </c>
      <c r="P161" s="29">
        <f>IF(A161="","",SUMIFS(Payments!$E$5:$E$304,Payments!$D$5:$D$304,A161,Payments!$M$5:$M$304,"Yes"))</f>
        <v>0</v>
      </c>
      <c r="Q161" s="29">
        <f>IF(A161="","",SUMIFS(Payments!$K$5:$K$304,Payments!$D$5:$D$304,A161))</f>
        <v>0</v>
      </c>
      <c r="R161" s="29">
        <f>IF(A161="","",SUMIFS(Payments!$J$5:$J$304,Payments!$D$5:$D$304,A161))</f>
        <v>0</v>
      </c>
      <c r="S161" s="29">
        <f>IF(D161="","",ROUND(IF(T161="Cancelled",0,O161-Q161),2))</f>
        <v>0</v>
      </c>
      <c r="U161" s="49">
        <f>IF(A161="","",IF(T161="Cancelled","Cancelled",IF(S161&lt;=0.004,"Paid",IF(Q161&gt;0.004,IF(AND(C161&lt;&gt;"",TODAY()&gt;C161),"Overdue - part paid","Partially paid"),IF(AND(C161&lt;&gt;"",TODAY()&gt;C161),"Overdue",IF(T161="Draft","Draft","Unpaid"))))))</f>
        <v>0</v>
      </c>
      <c r="V161" s="31">
        <f>IF(OR(C161="",S161&lt;=0.004),"",MAX(0,TODAY()-C161))</f>
        <v>0</v>
      </c>
      <c r="W161" s="49">
        <f>IF(A161="","",IF(S161&lt;=0.004,"Paid",IF(V161="","Not due",IF(V161=0,"Current",IF(V161&lt;=30,"1-30 days",IF(V161&lt;=60,"31-60 days",IF(V161&lt;=90,"61-90 days","90+ days")))))))</f>
        <v>0</v>
      </c>
      <c r="X161" s="29">
        <f>IF(OR(V161="",V161=0),0,ROUND(S161*LateFeePct,2))</f>
        <v>0</v>
      </c>
      <c r="AA161" s="49">
        <f>IF(A161="","",IF(COUNTIF(Invoices!$A$5:$A$304,A161)&gt;1,"Duplicate number","OK"))</f>
        <v>0</v>
      </c>
      <c r="AC161" s="28">
        <f>IF(B161="","",TEXT(B161,"yyyy-mm"))</f>
        <v>0</v>
      </c>
      <c r="AD161" s="49">
        <f>IF(A161="","",IF(T161="Draft","Action - still a draft",IF(U161="Overdue","Overdue - chase payment",IF(U161="Overdue - part paid","Overdue - chase the balance",IF(AND(S161&gt;0.004,C161&lt;&gt;"",C161-TODAY()&lt;=ReminderLeadDays,C161&gt;=TODAY()),"Due soon - send a reminder","OK")))))</f>
        <v>0</v>
      </c>
    </row>
    <row r="162" spans="1:30">
      <c r="A162" s="46">
        <f>IF(D162="","",InvoicePrefix&amp;TEXT(InvoiceStartNo+ROW()-5,"0000"))</f>
        <v>0</v>
      </c>
      <c r="C162" s="21">
        <f>IF(B162="","",B162+PaymentTermsDays)</f>
        <v>0</v>
      </c>
      <c r="F162" s="29">
        <f>IF(E162="",0,IFERROR(INDEX(Bookings!$AI$5:$AI$404,MATCH(E162,Bookings!$A$5:$A$404,0)),0))</f>
        <v>0</v>
      </c>
      <c r="J162" s="29">
        <f>IF(D162="","",IF(E162&lt;&gt;"",F162,ROUND(IF(H162="",0,H162)*IF(I162="",0,I162),2)))</f>
        <v>0</v>
      </c>
      <c r="M162" s="29">
        <f>IF(D162="","",ROUND(J162+IF(K162="",0,K162)-IF(L162="",0,L162),2))</f>
        <v>0</v>
      </c>
      <c r="N162" s="29">
        <f>IF(M162="","",IF(TaxRegistered&lt;&gt;"Yes",0,IF(PricesIncludeTax="Yes",ROUND(M162-M162/(1+TaxRate),2),ROUND(M162*TaxRate,2))))</f>
        <v>0</v>
      </c>
      <c r="O162" s="29">
        <f>IF(M162="","",IF(PricesIncludeTax="Yes",M162,ROUND(M162+N162,2)))</f>
        <v>0</v>
      </c>
      <c r="P162" s="29">
        <f>IF(A162="","",SUMIFS(Payments!$E$5:$E$304,Payments!$D$5:$D$304,A162,Payments!$M$5:$M$304,"Yes"))</f>
        <v>0</v>
      </c>
      <c r="Q162" s="29">
        <f>IF(A162="","",SUMIFS(Payments!$K$5:$K$304,Payments!$D$5:$D$304,A162))</f>
        <v>0</v>
      </c>
      <c r="R162" s="29">
        <f>IF(A162="","",SUMIFS(Payments!$J$5:$J$304,Payments!$D$5:$D$304,A162))</f>
        <v>0</v>
      </c>
      <c r="S162" s="29">
        <f>IF(D162="","",ROUND(IF(T162="Cancelled",0,O162-Q162),2))</f>
        <v>0</v>
      </c>
      <c r="U162" s="49">
        <f>IF(A162="","",IF(T162="Cancelled","Cancelled",IF(S162&lt;=0.004,"Paid",IF(Q162&gt;0.004,IF(AND(C162&lt;&gt;"",TODAY()&gt;C162),"Overdue - part paid","Partially paid"),IF(AND(C162&lt;&gt;"",TODAY()&gt;C162),"Overdue",IF(T162="Draft","Draft","Unpaid"))))))</f>
        <v>0</v>
      </c>
      <c r="V162" s="31">
        <f>IF(OR(C162="",S162&lt;=0.004),"",MAX(0,TODAY()-C162))</f>
        <v>0</v>
      </c>
      <c r="W162" s="49">
        <f>IF(A162="","",IF(S162&lt;=0.004,"Paid",IF(V162="","Not due",IF(V162=0,"Current",IF(V162&lt;=30,"1-30 days",IF(V162&lt;=60,"31-60 days",IF(V162&lt;=90,"61-90 days","90+ days")))))))</f>
        <v>0</v>
      </c>
      <c r="X162" s="29">
        <f>IF(OR(V162="",V162=0),0,ROUND(S162*LateFeePct,2))</f>
        <v>0</v>
      </c>
      <c r="AA162" s="49">
        <f>IF(A162="","",IF(COUNTIF(Invoices!$A$5:$A$304,A162)&gt;1,"Duplicate number","OK"))</f>
        <v>0</v>
      </c>
      <c r="AC162" s="28">
        <f>IF(B162="","",TEXT(B162,"yyyy-mm"))</f>
        <v>0</v>
      </c>
      <c r="AD162" s="49">
        <f>IF(A162="","",IF(T162="Draft","Action - still a draft",IF(U162="Overdue","Overdue - chase payment",IF(U162="Overdue - part paid","Overdue - chase the balance",IF(AND(S162&gt;0.004,C162&lt;&gt;"",C162-TODAY()&lt;=ReminderLeadDays,C162&gt;=TODAY()),"Due soon - send a reminder","OK")))))</f>
        <v>0</v>
      </c>
    </row>
    <row r="163" spans="1:30">
      <c r="A163" s="46">
        <f>IF(D163="","",InvoicePrefix&amp;TEXT(InvoiceStartNo+ROW()-5,"0000"))</f>
        <v>0</v>
      </c>
      <c r="C163" s="21">
        <f>IF(B163="","",B163+PaymentTermsDays)</f>
        <v>0</v>
      </c>
      <c r="F163" s="29">
        <f>IF(E163="",0,IFERROR(INDEX(Bookings!$AI$5:$AI$404,MATCH(E163,Bookings!$A$5:$A$404,0)),0))</f>
        <v>0</v>
      </c>
      <c r="J163" s="29">
        <f>IF(D163="","",IF(E163&lt;&gt;"",F163,ROUND(IF(H163="",0,H163)*IF(I163="",0,I163),2)))</f>
        <v>0</v>
      </c>
      <c r="M163" s="29">
        <f>IF(D163="","",ROUND(J163+IF(K163="",0,K163)-IF(L163="",0,L163),2))</f>
        <v>0</v>
      </c>
      <c r="N163" s="29">
        <f>IF(M163="","",IF(TaxRegistered&lt;&gt;"Yes",0,IF(PricesIncludeTax="Yes",ROUND(M163-M163/(1+TaxRate),2),ROUND(M163*TaxRate,2))))</f>
        <v>0</v>
      </c>
      <c r="O163" s="29">
        <f>IF(M163="","",IF(PricesIncludeTax="Yes",M163,ROUND(M163+N163,2)))</f>
        <v>0</v>
      </c>
      <c r="P163" s="29">
        <f>IF(A163="","",SUMIFS(Payments!$E$5:$E$304,Payments!$D$5:$D$304,A163,Payments!$M$5:$M$304,"Yes"))</f>
        <v>0</v>
      </c>
      <c r="Q163" s="29">
        <f>IF(A163="","",SUMIFS(Payments!$K$5:$K$304,Payments!$D$5:$D$304,A163))</f>
        <v>0</v>
      </c>
      <c r="R163" s="29">
        <f>IF(A163="","",SUMIFS(Payments!$J$5:$J$304,Payments!$D$5:$D$304,A163))</f>
        <v>0</v>
      </c>
      <c r="S163" s="29">
        <f>IF(D163="","",ROUND(IF(T163="Cancelled",0,O163-Q163),2))</f>
        <v>0</v>
      </c>
      <c r="U163" s="49">
        <f>IF(A163="","",IF(T163="Cancelled","Cancelled",IF(S163&lt;=0.004,"Paid",IF(Q163&gt;0.004,IF(AND(C163&lt;&gt;"",TODAY()&gt;C163),"Overdue - part paid","Partially paid"),IF(AND(C163&lt;&gt;"",TODAY()&gt;C163),"Overdue",IF(T163="Draft","Draft","Unpaid"))))))</f>
        <v>0</v>
      </c>
      <c r="V163" s="31">
        <f>IF(OR(C163="",S163&lt;=0.004),"",MAX(0,TODAY()-C163))</f>
        <v>0</v>
      </c>
      <c r="W163" s="49">
        <f>IF(A163="","",IF(S163&lt;=0.004,"Paid",IF(V163="","Not due",IF(V163=0,"Current",IF(V163&lt;=30,"1-30 days",IF(V163&lt;=60,"31-60 days",IF(V163&lt;=90,"61-90 days","90+ days")))))))</f>
        <v>0</v>
      </c>
      <c r="X163" s="29">
        <f>IF(OR(V163="",V163=0),0,ROUND(S163*LateFeePct,2))</f>
        <v>0</v>
      </c>
      <c r="AA163" s="49">
        <f>IF(A163="","",IF(COUNTIF(Invoices!$A$5:$A$304,A163)&gt;1,"Duplicate number","OK"))</f>
        <v>0</v>
      </c>
      <c r="AC163" s="28">
        <f>IF(B163="","",TEXT(B163,"yyyy-mm"))</f>
        <v>0</v>
      </c>
      <c r="AD163" s="49">
        <f>IF(A163="","",IF(T163="Draft","Action - still a draft",IF(U163="Overdue","Overdue - chase payment",IF(U163="Overdue - part paid","Overdue - chase the balance",IF(AND(S163&gt;0.004,C163&lt;&gt;"",C163-TODAY()&lt;=ReminderLeadDays,C163&gt;=TODAY()),"Due soon - send a reminder","OK")))))</f>
        <v>0</v>
      </c>
    </row>
    <row r="164" spans="1:30">
      <c r="A164" s="46">
        <f>IF(D164="","",InvoicePrefix&amp;TEXT(InvoiceStartNo+ROW()-5,"0000"))</f>
        <v>0</v>
      </c>
      <c r="C164" s="21">
        <f>IF(B164="","",B164+PaymentTermsDays)</f>
        <v>0</v>
      </c>
      <c r="F164" s="29">
        <f>IF(E164="",0,IFERROR(INDEX(Bookings!$AI$5:$AI$404,MATCH(E164,Bookings!$A$5:$A$404,0)),0))</f>
        <v>0</v>
      </c>
      <c r="J164" s="29">
        <f>IF(D164="","",IF(E164&lt;&gt;"",F164,ROUND(IF(H164="",0,H164)*IF(I164="",0,I164),2)))</f>
        <v>0</v>
      </c>
      <c r="M164" s="29">
        <f>IF(D164="","",ROUND(J164+IF(K164="",0,K164)-IF(L164="",0,L164),2))</f>
        <v>0</v>
      </c>
      <c r="N164" s="29">
        <f>IF(M164="","",IF(TaxRegistered&lt;&gt;"Yes",0,IF(PricesIncludeTax="Yes",ROUND(M164-M164/(1+TaxRate),2),ROUND(M164*TaxRate,2))))</f>
        <v>0</v>
      </c>
      <c r="O164" s="29">
        <f>IF(M164="","",IF(PricesIncludeTax="Yes",M164,ROUND(M164+N164,2)))</f>
        <v>0</v>
      </c>
      <c r="P164" s="29">
        <f>IF(A164="","",SUMIFS(Payments!$E$5:$E$304,Payments!$D$5:$D$304,A164,Payments!$M$5:$M$304,"Yes"))</f>
        <v>0</v>
      </c>
      <c r="Q164" s="29">
        <f>IF(A164="","",SUMIFS(Payments!$K$5:$K$304,Payments!$D$5:$D$304,A164))</f>
        <v>0</v>
      </c>
      <c r="R164" s="29">
        <f>IF(A164="","",SUMIFS(Payments!$J$5:$J$304,Payments!$D$5:$D$304,A164))</f>
        <v>0</v>
      </c>
      <c r="S164" s="29">
        <f>IF(D164="","",ROUND(IF(T164="Cancelled",0,O164-Q164),2))</f>
        <v>0</v>
      </c>
      <c r="U164" s="49">
        <f>IF(A164="","",IF(T164="Cancelled","Cancelled",IF(S164&lt;=0.004,"Paid",IF(Q164&gt;0.004,IF(AND(C164&lt;&gt;"",TODAY()&gt;C164),"Overdue - part paid","Partially paid"),IF(AND(C164&lt;&gt;"",TODAY()&gt;C164),"Overdue",IF(T164="Draft","Draft","Unpaid"))))))</f>
        <v>0</v>
      </c>
      <c r="V164" s="31">
        <f>IF(OR(C164="",S164&lt;=0.004),"",MAX(0,TODAY()-C164))</f>
        <v>0</v>
      </c>
      <c r="W164" s="49">
        <f>IF(A164="","",IF(S164&lt;=0.004,"Paid",IF(V164="","Not due",IF(V164=0,"Current",IF(V164&lt;=30,"1-30 days",IF(V164&lt;=60,"31-60 days",IF(V164&lt;=90,"61-90 days","90+ days")))))))</f>
        <v>0</v>
      </c>
      <c r="X164" s="29">
        <f>IF(OR(V164="",V164=0),0,ROUND(S164*LateFeePct,2))</f>
        <v>0</v>
      </c>
      <c r="AA164" s="49">
        <f>IF(A164="","",IF(COUNTIF(Invoices!$A$5:$A$304,A164)&gt;1,"Duplicate number","OK"))</f>
        <v>0</v>
      </c>
      <c r="AC164" s="28">
        <f>IF(B164="","",TEXT(B164,"yyyy-mm"))</f>
        <v>0</v>
      </c>
      <c r="AD164" s="49">
        <f>IF(A164="","",IF(T164="Draft","Action - still a draft",IF(U164="Overdue","Overdue - chase payment",IF(U164="Overdue - part paid","Overdue - chase the balance",IF(AND(S164&gt;0.004,C164&lt;&gt;"",C164-TODAY()&lt;=ReminderLeadDays,C164&gt;=TODAY()),"Due soon - send a reminder","OK")))))</f>
        <v>0</v>
      </c>
    </row>
    <row r="165" spans="1:30">
      <c r="A165" s="46">
        <f>IF(D165="","",InvoicePrefix&amp;TEXT(InvoiceStartNo+ROW()-5,"0000"))</f>
        <v>0</v>
      </c>
      <c r="C165" s="21">
        <f>IF(B165="","",B165+PaymentTermsDays)</f>
        <v>0</v>
      </c>
      <c r="F165" s="29">
        <f>IF(E165="",0,IFERROR(INDEX(Bookings!$AI$5:$AI$404,MATCH(E165,Bookings!$A$5:$A$404,0)),0))</f>
        <v>0</v>
      </c>
      <c r="J165" s="29">
        <f>IF(D165="","",IF(E165&lt;&gt;"",F165,ROUND(IF(H165="",0,H165)*IF(I165="",0,I165),2)))</f>
        <v>0</v>
      </c>
      <c r="M165" s="29">
        <f>IF(D165="","",ROUND(J165+IF(K165="",0,K165)-IF(L165="",0,L165),2))</f>
        <v>0</v>
      </c>
      <c r="N165" s="29">
        <f>IF(M165="","",IF(TaxRegistered&lt;&gt;"Yes",0,IF(PricesIncludeTax="Yes",ROUND(M165-M165/(1+TaxRate),2),ROUND(M165*TaxRate,2))))</f>
        <v>0</v>
      </c>
      <c r="O165" s="29">
        <f>IF(M165="","",IF(PricesIncludeTax="Yes",M165,ROUND(M165+N165,2)))</f>
        <v>0</v>
      </c>
      <c r="P165" s="29">
        <f>IF(A165="","",SUMIFS(Payments!$E$5:$E$304,Payments!$D$5:$D$304,A165,Payments!$M$5:$M$304,"Yes"))</f>
        <v>0</v>
      </c>
      <c r="Q165" s="29">
        <f>IF(A165="","",SUMIFS(Payments!$K$5:$K$304,Payments!$D$5:$D$304,A165))</f>
        <v>0</v>
      </c>
      <c r="R165" s="29">
        <f>IF(A165="","",SUMIFS(Payments!$J$5:$J$304,Payments!$D$5:$D$304,A165))</f>
        <v>0</v>
      </c>
      <c r="S165" s="29">
        <f>IF(D165="","",ROUND(IF(T165="Cancelled",0,O165-Q165),2))</f>
        <v>0</v>
      </c>
      <c r="U165" s="49">
        <f>IF(A165="","",IF(T165="Cancelled","Cancelled",IF(S165&lt;=0.004,"Paid",IF(Q165&gt;0.004,IF(AND(C165&lt;&gt;"",TODAY()&gt;C165),"Overdue - part paid","Partially paid"),IF(AND(C165&lt;&gt;"",TODAY()&gt;C165),"Overdue",IF(T165="Draft","Draft","Unpaid"))))))</f>
        <v>0</v>
      </c>
      <c r="V165" s="31">
        <f>IF(OR(C165="",S165&lt;=0.004),"",MAX(0,TODAY()-C165))</f>
        <v>0</v>
      </c>
      <c r="W165" s="49">
        <f>IF(A165="","",IF(S165&lt;=0.004,"Paid",IF(V165="","Not due",IF(V165=0,"Current",IF(V165&lt;=30,"1-30 days",IF(V165&lt;=60,"31-60 days",IF(V165&lt;=90,"61-90 days","90+ days")))))))</f>
        <v>0</v>
      </c>
      <c r="X165" s="29">
        <f>IF(OR(V165="",V165=0),0,ROUND(S165*LateFeePct,2))</f>
        <v>0</v>
      </c>
      <c r="AA165" s="49">
        <f>IF(A165="","",IF(COUNTIF(Invoices!$A$5:$A$304,A165)&gt;1,"Duplicate number","OK"))</f>
        <v>0</v>
      </c>
      <c r="AC165" s="28">
        <f>IF(B165="","",TEXT(B165,"yyyy-mm"))</f>
        <v>0</v>
      </c>
      <c r="AD165" s="49">
        <f>IF(A165="","",IF(T165="Draft","Action - still a draft",IF(U165="Overdue","Overdue - chase payment",IF(U165="Overdue - part paid","Overdue - chase the balance",IF(AND(S165&gt;0.004,C165&lt;&gt;"",C165-TODAY()&lt;=ReminderLeadDays,C165&gt;=TODAY()),"Due soon - send a reminder","OK")))))</f>
        <v>0</v>
      </c>
    </row>
    <row r="166" spans="1:30">
      <c r="A166" s="46">
        <f>IF(D166="","",InvoicePrefix&amp;TEXT(InvoiceStartNo+ROW()-5,"0000"))</f>
        <v>0</v>
      </c>
      <c r="C166" s="21">
        <f>IF(B166="","",B166+PaymentTermsDays)</f>
        <v>0</v>
      </c>
      <c r="F166" s="29">
        <f>IF(E166="",0,IFERROR(INDEX(Bookings!$AI$5:$AI$404,MATCH(E166,Bookings!$A$5:$A$404,0)),0))</f>
        <v>0</v>
      </c>
      <c r="J166" s="29">
        <f>IF(D166="","",IF(E166&lt;&gt;"",F166,ROUND(IF(H166="",0,H166)*IF(I166="",0,I166),2)))</f>
        <v>0</v>
      </c>
      <c r="M166" s="29">
        <f>IF(D166="","",ROUND(J166+IF(K166="",0,K166)-IF(L166="",0,L166),2))</f>
        <v>0</v>
      </c>
      <c r="N166" s="29">
        <f>IF(M166="","",IF(TaxRegistered&lt;&gt;"Yes",0,IF(PricesIncludeTax="Yes",ROUND(M166-M166/(1+TaxRate),2),ROUND(M166*TaxRate,2))))</f>
        <v>0</v>
      </c>
      <c r="O166" s="29">
        <f>IF(M166="","",IF(PricesIncludeTax="Yes",M166,ROUND(M166+N166,2)))</f>
        <v>0</v>
      </c>
      <c r="P166" s="29">
        <f>IF(A166="","",SUMIFS(Payments!$E$5:$E$304,Payments!$D$5:$D$304,A166,Payments!$M$5:$M$304,"Yes"))</f>
        <v>0</v>
      </c>
      <c r="Q166" s="29">
        <f>IF(A166="","",SUMIFS(Payments!$K$5:$K$304,Payments!$D$5:$D$304,A166))</f>
        <v>0</v>
      </c>
      <c r="R166" s="29">
        <f>IF(A166="","",SUMIFS(Payments!$J$5:$J$304,Payments!$D$5:$D$304,A166))</f>
        <v>0</v>
      </c>
      <c r="S166" s="29">
        <f>IF(D166="","",ROUND(IF(T166="Cancelled",0,O166-Q166),2))</f>
        <v>0</v>
      </c>
      <c r="U166" s="49">
        <f>IF(A166="","",IF(T166="Cancelled","Cancelled",IF(S166&lt;=0.004,"Paid",IF(Q166&gt;0.004,IF(AND(C166&lt;&gt;"",TODAY()&gt;C166),"Overdue - part paid","Partially paid"),IF(AND(C166&lt;&gt;"",TODAY()&gt;C166),"Overdue",IF(T166="Draft","Draft","Unpaid"))))))</f>
        <v>0</v>
      </c>
      <c r="V166" s="31">
        <f>IF(OR(C166="",S166&lt;=0.004),"",MAX(0,TODAY()-C166))</f>
        <v>0</v>
      </c>
      <c r="W166" s="49">
        <f>IF(A166="","",IF(S166&lt;=0.004,"Paid",IF(V166="","Not due",IF(V166=0,"Current",IF(V166&lt;=30,"1-30 days",IF(V166&lt;=60,"31-60 days",IF(V166&lt;=90,"61-90 days","90+ days")))))))</f>
        <v>0</v>
      </c>
      <c r="X166" s="29">
        <f>IF(OR(V166="",V166=0),0,ROUND(S166*LateFeePct,2))</f>
        <v>0</v>
      </c>
      <c r="AA166" s="49">
        <f>IF(A166="","",IF(COUNTIF(Invoices!$A$5:$A$304,A166)&gt;1,"Duplicate number","OK"))</f>
        <v>0</v>
      </c>
      <c r="AC166" s="28">
        <f>IF(B166="","",TEXT(B166,"yyyy-mm"))</f>
        <v>0</v>
      </c>
      <c r="AD166" s="49">
        <f>IF(A166="","",IF(T166="Draft","Action - still a draft",IF(U166="Overdue","Overdue - chase payment",IF(U166="Overdue - part paid","Overdue - chase the balance",IF(AND(S166&gt;0.004,C166&lt;&gt;"",C166-TODAY()&lt;=ReminderLeadDays,C166&gt;=TODAY()),"Due soon - send a reminder","OK")))))</f>
        <v>0</v>
      </c>
    </row>
    <row r="167" spans="1:30">
      <c r="A167" s="46">
        <f>IF(D167="","",InvoicePrefix&amp;TEXT(InvoiceStartNo+ROW()-5,"0000"))</f>
        <v>0</v>
      </c>
      <c r="C167" s="21">
        <f>IF(B167="","",B167+PaymentTermsDays)</f>
        <v>0</v>
      </c>
      <c r="F167" s="29">
        <f>IF(E167="",0,IFERROR(INDEX(Bookings!$AI$5:$AI$404,MATCH(E167,Bookings!$A$5:$A$404,0)),0))</f>
        <v>0</v>
      </c>
      <c r="J167" s="29">
        <f>IF(D167="","",IF(E167&lt;&gt;"",F167,ROUND(IF(H167="",0,H167)*IF(I167="",0,I167),2)))</f>
        <v>0</v>
      </c>
      <c r="M167" s="29">
        <f>IF(D167="","",ROUND(J167+IF(K167="",0,K167)-IF(L167="",0,L167),2))</f>
        <v>0</v>
      </c>
      <c r="N167" s="29">
        <f>IF(M167="","",IF(TaxRegistered&lt;&gt;"Yes",0,IF(PricesIncludeTax="Yes",ROUND(M167-M167/(1+TaxRate),2),ROUND(M167*TaxRate,2))))</f>
        <v>0</v>
      </c>
      <c r="O167" s="29">
        <f>IF(M167="","",IF(PricesIncludeTax="Yes",M167,ROUND(M167+N167,2)))</f>
        <v>0</v>
      </c>
      <c r="P167" s="29">
        <f>IF(A167="","",SUMIFS(Payments!$E$5:$E$304,Payments!$D$5:$D$304,A167,Payments!$M$5:$M$304,"Yes"))</f>
        <v>0</v>
      </c>
      <c r="Q167" s="29">
        <f>IF(A167="","",SUMIFS(Payments!$K$5:$K$304,Payments!$D$5:$D$304,A167))</f>
        <v>0</v>
      </c>
      <c r="R167" s="29">
        <f>IF(A167="","",SUMIFS(Payments!$J$5:$J$304,Payments!$D$5:$D$304,A167))</f>
        <v>0</v>
      </c>
      <c r="S167" s="29">
        <f>IF(D167="","",ROUND(IF(T167="Cancelled",0,O167-Q167),2))</f>
        <v>0</v>
      </c>
      <c r="U167" s="49">
        <f>IF(A167="","",IF(T167="Cancelled","Cancelled",IF(S167&lt;=0.004,"Paid",IF(Q167&gt;0.004,IF(AND(C167&lt;&gt;"",TODAY()&gt;C167),"Overdue - part paid","Partially paid"),IF(AND(C167&lt;&gt;"",TODAY()&gt;C167),"Overdue",IF(T167="Draft","Draft","Unpaid"))))))</f>
        <v>0</v>
      </c>
      <c r="V167" s="31">
        <f>IF(OR(C167="",S167&lt;=0.004),"",MAX(0,TODAY()-C167))</f>
        <v>0</v>
      </c>
      <c r="W167" s="49">
        <f>IF(A167="","",IF(S167&lt;=0.004,"Paid",IF(V167="","Not due",IF(V167=0,"Current",IF(V167&lt;=30,"1-30 days",IF(V167&lt;=60,"31-60 days",IF(V167&lt;=90,"61-90 days","90+ days")))))))</f>
        <v>0</v>
      </c>
      <c r="X167" s="29">
        <f>IF(OR(V167="",V167=0),0,ROUND(S167*LateFeePct,2))</f>
        <v>0</v>
      </c>
      <c r="AA167" s="49">
        <f>IF(A167="","",IF(COUNTIF(Invoices!$A$5:$A$304,A167)&gt;1,"Duplicate number","OK"))</f>
        <v>0</v>
      </c>
      <c r="AC167" s="28">
        <f>IF(B167="","",TEXT(B167,"yyyy-mm"))</f>
        <v>0</v>
      </c>
      <c r="AD167" s="49">
        <f>IF(A167="","",IF(T167="Draft","Action - still a draft",IF(U167="Overdue","Overdue - chase payment",IF(U167="Overdue - part paid","Overdue - chase the balance",IF(AND(S167&gt;0.004,C167&lt;&gt;"",C167-TODAY()&lt;=ReminderLeadDays,C167&gt;=TODAY()),"Due soon - send a reminder","OK")))))</f>
        <v>0</v>
      </c>
    </row>
    <row r="168" spans="1:30">
      <c r="A168" s="46">
        <f>IF(D168="","",InvoicePrefix&amp;TEXT(InvoiceStartNo+ROW()-5,"0000"))</f>
        <v>0</v>
      </c>
      <c r="C168" s="21">
        <f>IF(B168="","",B168+PaymentTermsDays)</f>
        <v>0</v>
      </c>
      <c r="F168" s="29">
        <f>IF(E168="",0,IFERROR(INDEX(Bookings!$AI$5:$AI$404,MATCH(E168,Bookings!$A$5:$A$404,0)),0))</f>
        <v>0</v>
      </c>
      <c r="J168" s="29">
        <f>IF(D168="","",IF(E168&lt;&gt;"",F168,ROUND(IF(H168="",0,H168)*IF(I168="",0,I168),2)))</f>
        <v>0</v>
      </c>
      <c r="M168" s="29">
        <f>IF(D168="","",ROUND(J168+IF(K168="",0,K168)-IF(L168="",0,L168),2))</f>
        <v>0</v>
      </c>
      <c r="N168" s="29">
        <f>IF(M168="","",IF(TaxRegistered&lt;&gt;"Yes",0,IF(PricesIncludeTax="Yes",ROUND(M168-M168/(1+TaxRate),2),ROUND(M168*TaxRate,2))))</f>
        <v>0</v>
      </c>
      <c r="O168" s="29">
        <f>IF(M168="","",IF(PricesIncludeTax="Yes",M168,ROUND(M168+N168,2)))</f>
        <v>0</v>
      </c>
      <c r="P168" s="29">
        <f>IF(A168="","",SUMIFS(Payments!$E$5:$E$304,Payments!$D$5:$D$304,A168,Payments!$M$5:$M$304,"Yes"))</f>
        <v>0</v>
      </c>
      <c r="Q168" s="29">
        <f>IF(A168="","",SUMIFS(Payments!$K$5:$K$304,Payments!$D$5:$D$304,A168))</f>
        <v>0</v>
      </c>
      <c r="R168" s="29">
        <f>IF(A168="","",SUMIFS(Payments!$J$5:$J$304,Payments!$D$5:$D$304,A168))</f>
        <v>0</v>
      </c>
      <c r="S168" s="29">
        <f>IF(D168="","",ROUND(IF(T168="Cancelled",0,O168-Q168),2))</f>
        <v>0</v>
      </c>
      <c r="U168" s="49">
        <f>IF(A168="","",IF(T168="Cancelled","Cancelled",IF(S168&lt;=0.004,"Paid",IF(Q168&gt;0.004,IF(AND(C168&lt;&gt;"",TODAY()&gt;C168),"Overdue - part paid","Partially paid"),IF(AND(C168&lt;&gt;"",TODAY()&gt;C168),"Overdue",IF(T168="Draft","Draft","Unpaid"))))))</f>
        <v>0</v>
      </c>
      <c r="V168" s="31">
        <f>IF(OR(C168="",S168&lt;=0.004),"",MAX(0,TODAY()-C168))</f>
        <v>0</v>
      </c>
      <c r="W168" s="49">
        <f>IF(A168="","",IF(S168&lt;=0.004,"Paid",IF(V168="","Not due",IF(V168=0,"Current",IF(V168&lt;=30,"1-30 days",IF(V168&lt;=60,"31-60 days",IF(V168&lt;=90,"61-90 days","90+ days")))))))</f>
        <v>0</v>
      </c>
      <c r="X168" s="29">
        <f>IF(OR(V168="",V168=0),0,ROUND(S168*LateFeePct,2))</f>
        <v>0</v>
      </c>
      <c r="AA168" s="49">
        <f>IF(A168="","",IF(COUNTIF(Invoices!$A$5:$A$304,A168)&gt;1,"Duplicate number","OK"))</f>
        <v>0</v>
      </c>
      <c r="AC168" s="28">
        <f>IF(B168="","",TEXT(B168,"yyyy-mm"))</f>
        <v>0</v>
      </c>
      <c r="AD168" s="49">
        <f>IF(A168="","",IF(T168="Draft","Action - still a draft",IF(U168="Overdue","Overdue - chase payment",IF(U168="Overdue - part paid","Overdue - chase the balance",IF(AND(S168&gt;0.004,C168&lt;&gt;"",C168-TODAY()&lt;=ReminderLeadDays,C168&gt;=TODAY()),"Due soon - send a reminder","OK")))))</f>
        <v>0</v>
      </c>
    </row>
    <row r="169" spans="1:30">
      <c r="A169" s="46">
        <f>IF(D169="","",InvoicePrefix&amp;TEXT(InvoiceStartNo+ROW()-5,"0000"))</f>
        <v>0</v>
      </c>
      <c r="C169" s="21">
        <f>IF(B169="","",B169+PaymentTermsDays)</f>
        <v>0</v>
      </c>
      <c r="F169" s="29">
        <f>IF(E169="",0,IFERROR(INDEX(Bookings!$AI$5:$AI$404,MATCH(E169,Bookings!$A$5:$A$404,0)),0))</f>
        <v>0</v>
      </c>
      <c r="J169" s="29">
        <f>IF(D169="","",IF(E169&lt;&gt;"",F169,ROUND(IF(H169="",0,H169)*IF(I169="",0,I169),2)))</f>
        <v>0</v>
      </c>
      <c r="M169" s="29">
        <f>IF(D169="","",ROUND(J169+IF(K169="",0,K169)-IF(L169="",0,L169),2))</f>
        <v>0</v>
      </c>
      <c r="N169" s="29">
        <f>IF(M169="","",IF(TaxRegistered&lt;&gt;"Yes",0,IF(PricesIncludeTax="Yes",ROUND(M169-M169/(1+TaxRate),2),ROUND(M169*TaxRate,2))))</f>
        <v>0</v>
      </c>
      <c r="O169" s="29">
        <f>IF(M169="","",IF(PricesIncludeTax="Yes",M169,ROUND(M169+N169,2)))</f>
        <v>0</v>
      </c>
      <c r="P169" s="29">
        <f>IF(A169="","",SUMIFS(Payments!$E$5:$E$304,Payments!$D$5:$D$304,A169,Payments!$M$5:$M$304,"Yes"))</f>
        <v>0</v>
      </c>
      <c r="Q169" s="29">
        <f>IF(A169="","",SUMIFS(Payments!$K$5:$K$304,Payments!$D$5:$D$304,A169))</f>
        <v>0</v>
      </c>
      <c r="R169" s="29">
        <f>IF(A169="","",SUMIFS(Payments!$J$5:$J$304,Payments!$D$5:$D$304,A169))</f>
        <v>0</v>
      </c>
      <c r="S169" s="29">
        <f>IF(D169="","",ROUND(IF(T169="Cancelled",0,O169-Q169),2))</f>
        <v>0</v>
      </c>
      <c r="U169" s="49">
        <f>IF(A169="","",IF(T169="Cancelled","Cancelled",IF(S169&lt;=0.004,"Paid",IF(Q169&gt;0.004,IF(AND(C169&lt;&gt;"",TODAY()&gt;C169),"Overdue - part paid","Partially paid"),IF(AND(C169&lt;&gt;"",TODAY()&gt;C169),"Overdue",IF(T169="Draft","Draft","Unpaid"))))))</f>
        <v>0</v>
      </c>
      <c r="V169" s="31">
        <f>IF(OR(C169="",S169&lt;=0.004),"",MAX(0,TODAY()-C169))</f>
        <v>0</v>
      </c>
      <c r="W169" s="49">
        <f>IF(A169="","",IF(S169&lt;=0.004,"Paid",IF(V169="","Not due",IF(V169=0,"Current",IF(V169&lt;=30,"1-30 days",IF(V169&lt;=60,"31-60 days",IF(V169&lt;=90,"61-90 days","90+ days")))))))</f>
        <v>0</v>
      </c>
      <c r="X169" s="29">
        <f>IF(OR(V169="",V169=0),0,ROUND(S169*LateFeePct,2))</f>
        <v>0</v>
      </c>
      <c r="AA169" s="49">
        <f>IF(A169="","",IF(COUNTIF(Invoices!$A$5:$A$304,A169)&gt;1,"Duplicate number","OK"))</f>
        <v>0</v>
      </c>
      <c r="AC169" s="28">
        <f>IF(B169="","",TEXT(B169,"yyyy-mm"))</f>
        <v>0</v>
      </c>
      <c r="AD169" s="49">
        <f>IF(A169="","",IF(T169="Draft","Action - still a draft",IF(U169="Overdue","Overdue - chase payment",IF(U169="Overdue - part paid","Overdue - chase the balance",IF(AND(S169&gt;0.004,C169&lt;&gt;"",C169-TODAY()&lt;=ReminderLeadDays,C169&gt;=TODAY()),"Due soon - send a reminder","OK")))))</f>
        <v>0</v>
      </c>
    </row>
    <row r="170" spans="1:30">
      <c r="A170" s="46">
        <f>IF(D170="","",InvoicePrefix&amp;TEXT(InvoiceStartNo+ROW()-5,"0000"))</f>
        <v>0</v>
      </c>
      <c r="C170" s="21">
        <f>IF(B170="","",B170+PaymentTermsDays)</f>
        <v>0</v>
      </c>
      <c r="F170" s="29">
        <f>IF(E170="",0,IFERROR(INDEX(Bookings!$AI$5:$AI$404,MATCH(E170,Bookings!$A$5:$A$404,0)),0))</f>
        <v>0</v>
      </c>
      <c r="J170" s="29">
        <f>IF(D170="","",IF(E170&lt;&gt;"",F170,ROUND(IF(H170="",0,H170)*IF(I170="",0,I170),2)))</f>
        <v>0</v>
      </c>
      <c r="M170" s="29">
        <f>IF(D170="","",ROUND(J170+IF(K170="",0,K170)-IF(L170="",0,L170),2))</f>
        <v>0</v>
      </c>
      <c r="N170" s="29">
        <f>IF(M170="","",IF(TaxRegistered&lt;&gt;"Yes",0,IF(PricesIncludeTax="Yes",ROUND(M170-M170/(1+TaxRate),2),ROUND(M170*TaxRate,2))))</f>
        <v>0</v>
      </c>
      <c r="O170" s="29">
        <f>IF(M170="","",IF(PricesIncludeTax="Yes",M170,ROUND(M170+N170,2)))</f>
        <v>0</v>
      </c>
      <c r="P170" s="29">
        <f>IF(A170="","",SUMIFS(Payments!$E$5:$E$304,Payments!$D$5:$D$304,A170,Payments!$M$5:$M$304,"Yes"))</f>
        <v>0</v>
      </c>
      <c r="Q170" s="29">
        <f>IF(A170="","",SUMIFS(Payments!$K$5:$K$304,Payments!$D$5:$D$304,A170))</f>
        <v>0</v>
      </c>
      <c r="R170" s="29">
        <f>IF(A170="","",SUMIFS(Payments!$J$5:$J$304,Payments!$D$5:$D$304,A170))</f>
        <v>0</v>
      </c>
      <c r="S170" s="29">
        <f>IF(D170="","",ROUND(IF(T170="Cancelled",0,O170-Q170),2))</f>
        <v>0</v>
      </c>
      <c r="U170" s="49">
        <f>IF(A170="","",IF(T170="Cancelled","Cancelled",IF(S170&lt;=0.004,"Paid",IF(Q170&gt;0.004,IF(AND(C170&lt;&gt;"",TODAY()&gt;C170),"Overdue - part paid","Partially paid"),IF(AND(C170&lt;&gt;"",TODAY()&gt;C170),"Overdue",IF(T170="Draft","Draft","Unpaid"))))))</f>
        <v>0</v>
      </c>
      <c r="V170" s="31">
        <f>IF(OR(C170="",S170&lt;=0.004),"",MAX(0,TODAY()-C170))</f>
        <v>0</v>
      </c>
      <c r="W170" s="49">
        <f>IF(A170="","",IF(S170&lt;=0.004,"Paid",IF(V170="","Not due",IF(V170=0,"Current",IF(V170&lt;=30,"1-30 days",IF(V170&lt;=60,"31-60 days",IF(V170&lt;=90,"61-90 days","90+ days")))))))</f>
        <v>0</v>
      </c>
      <c r="X170" s="29">
        <f>IF(OR(V170="",V170=0),0,ROUND(S170*LateFeePct,2))</f>
        <v>0</v>
      </c>
      <c r="AA170" s="49">
        <f>IF(A170="","",IF(COUNTIF(Invoices!$A$5:$A$304,A170)&gt;1,"Duplicate number","OK"))</f>
        <v>0</v>
      </c>
      <c r="AC170" s="28">
        <f>IF(B170="","",TEXT(B170,"yyyy-mm"))</f>
        <v>0</v>
      </c>
      <c r="AD170" s="49">
        <f>IF(A170="","",IF(T170="Draft","Action - still a draft",IF(U170="Overdue","Overdue - chase payment",IF(U170="Overdue - part paid","Overdue - chase the balance",IF(AND(S170&gt;0.004,C170&lt;&gt;"",C170-TODAY()&lt;=ReminderLeadDays,C170&gt;=TODAY()),"Due soon - send a reminder","OK")))))</f>
        <v>0</v>
      </c>
    </row>
    <row r="171" spans="1:30">
      <c r="A171" s="46">
        <f>IF(D171="","",InvoicePrefix&amp;TEXT(InvoiceStartNo+ROW()-5,"0000"))</f>
        <v>0</v>
      </c>
      <c r="C171" s="21">
        <f>IF(B171="","",B171+PaymentTermsDays)</f>
        <v>0</v>
      </c>
      <c r="F171" s="29">
        <f>IF(E171="",0,IFERROR(INDEX(Bookings!$AI$5:$AI$404,MATCH(E171,Bookings!$A$5:$A$404,0)),0))</f>
        <v>0</v>
      </c>
      <c r="J171" s="29">
        <f>IF(D171="","",IF(E171&lt;&gt;"",F171,ROUND(IF(H171="",0,H171)*IF(I171="",0,I171),2)))</f>
        <v>0</v>
      </c>
      <c r="M171" s="29">
        <f>IF(D171="","",ROUND(J171+IF(K171="",0,K171)-IF(L171="",0,L171),2))</f>
        <v>0</v>
      </c>
      <c r="N171" s="29">
        <f>IF(M171="","",IF(TaxRegistered&lt;&gt;"Yes",0,IF(PricesIncludeTax="Yes",ROUND(M171-M171/(1+TaxRate),2),ROUND(M171*TaxRate,2))))</f>
        <v>0</v>
      </c>
      <c r="O171" s="29">
        <f>IF(M171="","",IF(PricesIncludeTax="Yes",M171,ROUND(M171+N171,2)))</f>
        <v>0</v>
      </c>
      <c r="P171" s="29">
        <f>IF(A171="","",SUMIFS(Payments!$E$5:$E$304,Payments!$D$5:$D$304,A171,Payments!$M$5:$M$304,"Yes"))</f>
        <v>0</v>
      </c>
      <c r="Q171" s="29">
        <f>IF(A171="","",SUMIFS(Payments!$K$5:$K$304,Payments!$D$5:$D$304,A171))</f>
        <v>0</v>
      </c>
      <c r="R171" s="29">
        <f>IF(A171="","",SUMIFS(Payments!$J$5:$J$304,Payments!$D$5:$D$304,A171))</f>
        <v>0</v>
      </c>
      <c r="S171" s="29">
        <f>IF(D171="","",ROUND(IF(T171="Cancelled",0,O171-Q171),2))</f>
        <v>0</v>
      </c>
      <c r="U171" s="49">
        <f>IF(A171="","",IF(T171="Cancelled","Cancelled",IF(S171&lt;=0.004,"Paid",IF(Q171&gt;0.004,IF(AND(C171&lt;&gt;"",TODAY()&gt;C171),"Overdue - part paid","Partially paid"),IF(AND(C171&lt;&gt;"",TODAY()&gt;C171),"Overdue",IF(T171="Draft","Draft","Unpaid"))))))</f>
        <v>0</v>
      </c>
      <c r="V171" s="31">
        <f>IF(OR(C171="",S171&lt;=0.004),"",MAX(0,TODAY()-C171))</f>
        <v>0</v>
      </c>
      <c r="W171" s="49">
        <f>IF(A171="","",IF(S171&lt;=0.004,"Paid",IF(V171="","Not due",IF(V171=0,"Current",IF(V171&lt;=30,"1-30 days",IF(V171&lt;=60,"31-60 days",IF(V171&lt;=90,"61-90 days","90+ days")))))))</f>
        <v>0</v>
      </c>
      <c r="X171" s="29">
        <f>IF(OR(V171="",V171=0),0,ROUND(S171*LateFeePct,2))</f>
        <v>0</v>
      </c>
      <c r="AA171" s="49">
        <f>IF(A171="","",IF(COUNTIF(Invoices!$A$5:$A$304,A171)&gt;1,"Duplicate number","OK"))</f>
        <v>0</v>
      </c>
      <c r="AC171" s="28">
        <f>IF(B171="","",TEXT(B171,"yyyy-mm"))</f>
        <v>0</v>
      </c>
      <c r="AD171" s="49">
        <f>IF(A171="","",IF(T171="Draft","Action - still a draft",IF(U171="Overdue","Overdue - chase payment",IF(U171="Overdue - part paid","Overdue - chase the balance",IF(AND(S171&gt;0.004,C171&lt;&gt;"",C171-TODAY()&lt;=ReminderLeadDays,C171&gt;=TODAY()),"Due soon - send a reminder","OK")))))</f>
        <v>0</v>
      </c>
    </row>
    <row r="172" spans="1:30">
      <c r="A172" s="46">
        <f>IF(D172="","",InvoicePrefix&amp;TEXT(InvoiceStartNo+ROW()-5,"0000"))</f>
        <v>0</v>
      </c>
      <c r="C172" s="21">
        <f>IF(B172="","",B172+PaymentTermsDays)</f>
        <v>0</v>
      </c>
      <c r="F172" s="29">
        <f>IF(E172="",0,IFERROR(INDEX(Bookings!$AI$5:$AI$404,MATCH(E172,Bookings!$A$5:$A$404,0)),0))</f>
        <v>0</v>
      </c>
      <c r="J172" s="29">
        <f>IF(D172="","",IF(E172&lt;&gt;"",F172,ROUND(IF(H172="",0,H172)*IF(I172="",0,I172),2)))</f>
        <v>0</v>
      </c>
      <c r="M172" s="29">
        <f>IF(D172="","",ROUND(J172+IF(K172="",0,K172)-IF(L172="",0,L172),2))</f>
        <v>0</v>
      </c>
      <c r="N172" s="29">
        <f>IF(M172="","",IF(TaxRegistered&lt;&gt;"Yes",0,IF(PricesIncludeTax="Yes",ROUND(M172-M172/(1+TaxRate),2),ROUND(M172*TaxRate,2))))</f>
        <v>0</v>
      </c>
      <c r="O172" s="29">
        <f>IF(M172="","",IF(PricesIncludeTax="Yes",M172,ROUND(M172+N172,2)))</f>
        <v>0</v>
      </c>
      <c r="P172" s="29">
        <f>IF(A172="","",SUMIFS(Payments!$E$5:$E$304,Payments!$D$5:$D$304,A172,Payments!$M$5:$M$304,"Yes"))</f>
        <v>0</v>
      </c>
      <c r="Q172" s="29">
        <f>IF(A172="","",SUMIFS(Payments!$K$5:$K$304,Payments!$D$5:$D$304,A172))</f>
        <v>0</v>
      </c>
      <c r="R172" s="29">
        <f>IF(A172="","",SUMIFS(Payments!$J$5:$J$304,Payments!$D$5:$D$304,A172))</f>
        <v>0</v>
      </c>
      <c r="S172" s="29">
        <f>IF(D172="","",ROUND(IF(T172="Cancelled",0,O172-Q172),2))</f>
        <v>0</v>
      </c>
      <c r="U172" s="49">
        <f>IF(A172="","",IF(T172="Cancelled","Cancelled",IF(S172&lt;=0.004,"Paid",IF(Q172&gt;0.004,IF(AND(C172&lt;&gt;"",TODAY()&gt;C172),"Overdue - part paid","Partially paid"),IF(AND(C172&lt;&gt;"",TODAY()&gt;C172),"Overdue",IF(T172="Draft","Draft","Unpaid"))))))</f>
        <v>0</v>
      </c>
      <c r="V172" s="31">
        <f>IF(OR(C172="",S172&lt;=0.004),"",MAX(0,TODAY()-C172))</f>
        <v>0</v>
      </c>
      <c r="W172" s="49">
        <f>IF(A172="","",IF(S172&lt;=0.004,"Paid",IF(V172="","Not due",IF(V172=0,"Current",IF(V172&lt;=30,"1-30 days",IF(V172&lt;=60,"31-60 days",IF(V172&lt;=90,"61-90 days","90+ days")))))))</f>
        <v>0</v>
      </c>
      <c r="X172" s="29">
        <f>IF(OR(V172="",V172=0),0,ROUND(S172*LateFeePct,2))</f>
        <v>0</v>
      </c>
      <c r="AA172" s="49">
        <f>IF(A172="","",IF(COUNTIF(Invoices!$A$5:$A$304,A172)&gt;1,"Duplicate number","OK"))</f>
        <v>0</v>
      </c>
      <c r="AC172" s="28">
        <f>IF(B172="","",TEXT(B172,"yyyy-mm"))</f>
        <v>0</v>
      </c>
      <c r="AD172" s="49">
        <f>IF(A172="","",IF(T172="Draft","Action - still a draft",IF(U172="Overdue","Overdue - chase payment",IF(U172="Overdue - part paid","Overdue - chase the balance",IF(AND(S172&gt;0.004,C172&lt;&gt;"",C172-TODAY()&lt;=ReminderLeadDays,C172&gt;=TODAY()),"Due soon - send a reminder","OK")))))</f>
        <v>0</v>
      </c>
    </row>
    <row r="173" spans="1:30">
      <c r="A173" s="46">
        <f>IF(D173="","",InvoicePrefix&amp;TEXT(InvoiceStartNo+ROW()-5,"0000"))</f>
        <v>0</v>
      </c>
      <c r="C173" s="21">
        <f>IF(B173="","",B173+PaymentTermsDays)</f>
        <v>0</v>
      </c>
      <c r="F173" s="29">
        <f>IF(E173="",0,IFERROR(INDEX(Bookings!$AI$5:$AI$404,MATCH(E173,Bookings!$A$5:$A$404,0)),0))</f>
        <v>0</v>
      </c>
      <c r="J173" s="29">
        <f>IF(D173="","",IF(E173&lt;&gt;"",F173,ROUND(IF(H173="",0,H173)*IF(I173="",0,I173),2)))</f>
        <v>0</v>
      </c>
      <c r="M173" s="29">
        <f>IF(D173="","",ROUND(J173+IF(K173="",0,K173)-IF(L173="",0,L173),2))</f>
        <v>0</v>
      </c>
      <c r="N173" s="29">
        <f>IF(M173="","",IF(TaxRegistered&lt;&gt;"Yes",0,IF(PricesIncludeTax="Yes",ROUND(M173-M173/(1+TaxRate),2),ROUND(M173*TaxRate,2))))</f>
        <v>0</v>
      </c>
      <c r="O173" s="29">
        <f>IF(M173="","",IF(PricesIncludeTax="Yes",M173,ROUND(M173+N173,2)))</f>
        <v>0</v>
      </c>
      <c r="P173" s="29">
        <f>IF(A173="","",SUMIFS(Payments!$E$5:$E$304,Payments!$D$5:$D$304,A173,Payments!$M$5:$M$304,"Yes"))</f>
        <v>0</v>
      </c>
      <c r="Q173" s="29">
        <f>IF(A173="","",SUMIFS(Payments!$K$5:$K$304,Payments!$D$5:$D$304,A173))</f>
        <v>0</v>
      </c>
      <c r="R173" s="29">
        <f>IF(A173="","",SUMIFS(Payments!$J$5:$J$304,Payments!$D$5:$D$304,A173))</f>
        <v>0</v>
      </c>
      <c r="S173" s="29">
        <f>IF(D173="","",ROUND(IF(T173="Cancelled",0,O173-Q173),2))</f>
        <v>0</v>
      </c>
      <c r="U173" s="49">
        <f>IF(A173="","",IF(T173="Cancelled","Cancelled",IF(S173&lt;=0.004,"Paid",IF(Q173&gt;0.004,IF(AND(C173&lt;&gt;"",TODAY()&gt;C173),"Overdue - part paid","Partially paid"),IF(AND(C173&lt;&gt;"",TODAY()&gt;C173),"Overdue",IF(T173="Draft","Draft","Unpaid"))))))</f>
        <v>0</v>
      </c>
      <c r="V173" s="31">
        <f>IF(OR(C173="",S173&lt;=0.004),"",MAX(0,TODAY()-C173))</f>
        <v>0</v>
      </c>
      <c r="W173" s="49">
        <f>IF(A173="","",IF(S173&lt;=0.004,"Paid",IF(V173="","Not due",IF(V173=0,"Current",IF(V173&lt;=30,"1-30 days",IF(V173&lt;=60,"31-60 days",IF(V173&lt;=90,"61-90 days","90+ days")))))))</f>
        <v>0</v>
      </c>
      <c r="X173" s="29">
        <f>IF(OR(V173="",V173=0),0,ROUND(S173*LateFeePct,2))</f>
        <v>0</v>
      </c>
      <c r="AA173" s="49">
        <f>IF(A173="","",IF(COUNTIF(Invoices!$A$5:$A$304,A173)&gt;1,"Duplicate number","OK"))</f>
        <v>0</v>
      </c>
      <c r="AC173" s="28">
        <f>IF(B173="","",TEXT(B173,"yyyy-mm"))</f>
        <v>0</v>
      </c>
      <c r="AD173" s="49">
        <f>IF(A173="","",IF(T173="Draft","Action - still a draft",IF(U173="Overdue","Overdue - chase payment",IF(U173="Overdue - part paid","Overdue - chase the balance",IF(AND(S173&gt;0.004,C173&lt;&gt;"",C173-TODAY()&lt;=ReminderLeadDays,C173&gt;=TODAY()),"Due soon - send a reminder","OK")))))</f>
        <v>0</v>
      </c>
    </row>
    <row r="174" spans="1:30">
      <c r="A174" s="46">
        <f>IF(D174="","",InvoicePrefix&amp;TEXT(InvoiceStartNo+ROW()-5,"0000"))</f>
        <v>0</v>
      </c>
      <c r="C174" s="21">
        <f>IF(B174="","",B174+PaymentTermsDays)</f>
        <v>0</v>
      </c>
      <c r="F174" s="29">
        <f>IF(E174="",0,IFERROR(INDEX(Bookings!$AI$5:$AI$404,MATCH(E174,Bookings!$A$5:$A$404,0)),0))</f>
        <v>0</v>
      </c>
      <c r="J174" s="29">
        <f>IF(D174="","",IF(E174&lt;&gt;"",F174,ROUND(IF(H174="",0,H174)*IF(I174="",0,I174),2)))</f>
        <v>0</v>
      </c>
      <c r="M174" s="29">
        <f>IF(D174="","",ROUND(J174+IF(K174="",0,K174)-IF(L174="",0,L174),2))</f>
        <v>0</v>
      </c>
      <c r="N174" s="29">
        <f>IF(M174="","",IF(TaxRegistered&lt;&gt;"Yes",0,IF(PricesIncludeTax="Yes",ROUND(M174-M174/(1+TaxRate),2),ROUND(M174*TaxRate,2))))</f>
        <v>0</v>
      </c>
      <c r="O174" s="29">
        <f>IF(M174="","",IF(PricesIncludeTax="Yes",M174,ROUND(M174+N174,2)))</f>
        <v>0</v>
      </c>
      <c r="P174" s="29">
        <f>IF(A174="","",SUMIFS(Payments!$E$5:$E$304,Payments!$D$5:$D$304,A174,Payments!$M$5:$M$304,"Yes"))</f>
        <v>0</v>
      </c>
      <c r="Q174" s="29">
        <f>IF(A174="","",SUMIFS(Payments!$K$5:$K$304,Payments!$D$5:$D$304,A174))</f>
        <v>0</v>
      </c>
      <c r="R174" s="29">
        <f>IF(A174="","",SUMIFS(Payments!$J$5:$J$304,Payments!$D$5:$D$304,A174))</f>
        <v>0</v>
      </c>
      <c r="S174" s="29">
        <f>IF(D174="","",ROUND(IF(T174="Cancelled",0,O174-Q174),2))</f>
        <v>0</v>
      </c>
      <c r="U174" s="49">
        <f>IF(A174="","",IF(T174="Cancelled","Cancelled",IF(S174&lt;=0.004,"Paid",IF(Q174&gt;0.004,IF(AND(C174&lt;&gt;"",TODAY()&gt;C174),"Overdue - part paid","Partially paid"),IF(AND(C174&lt;&gt;"",TODAY()&gt;C174),"Overdue",IF(T174="Draft","Draft","Unpaid"))))))</f>
        <v>0</v>
      </c>
      <c r="V174" s="31">
        <f>IF(OR(C174="",S174&lt;=0.004),"",MAX(0,TODAY()-C174))</f>
        <v>0</v>
      </c>
      <c r="W174" s="49">
        <f>IF(A174="","",IF(S174&lt;=0.004,"Paid",IF(V174="","Not due",IF(V174=0,"Current",IF(V174&lt;=30,"1-30 days",IF(V174&lt;=60,"31-60 days",IF(V174&lt;=90,"61-90 days","90+ days")))))))</f>
        <v>0</v>
      </c>
      <c r="X174" s="29">
        <f>IF(OR(V174="",V174=0),0,ROUND(S174*LateFeePct,2))</f>
        <v>0</v>
      </c>
      <c r="AA174" s="49">
        <f>IF(A174="","",IF(COUNTIF(Invoices!$A$5:$A$304,A174)&gt;1,"Duplicate number","OK"))</f>
        <v>0</v>
      </c>
      <c r="AC174" s="28">
        <f>IF(B174="","",TEXT(B174,"yyyy-mm"))</f>
        <v>0</v>
      </c>
      <c r="AD174" s="49">
        <f>IF(A174="","",IF(T174="Draft","Action - still a draft",IF(U174="Overdue","Overdue - chase payment",IF(U174="Overdue - part paid","Overdue - chase the balance",IF(AND(S174&gt;0.004,C174&lt;&gt;"",C174-TODAY()&lt;=ReminderLeadDays,C174&gt;=TODAY()),"Due soon - send a reminder","OK")))))</f>
        <v>0</v>
      </c>
    </row>
    <row r="175" spans="1:30">
      <c r="A175" s="46">
        <f>IF(D175="","",InvoicePrefix&amp;TEXT(InvoiceStartNo+ROW()-5,"0000"))</f>
        <v>0</v>
      </c>
      <c r="C175" s="21">
        <f>IF(B175="","",B175+PaymentTermsDays)</f>
        <v>0</v>
      </c>
      <c r="F175" s="29">
        <f>IF(E175="",0,IFERROR(INDEX(Bookings!$AI$5:$AI$404,MATCH(E175,Bookings!$A$5:$A$404,0)),0))</f>
        <v>0</v>
      </c>
      <c r="J175" s="29">
        <f>IF(D175="","",IF(E175&lt;&gt;"",F175,ROUND(IF(H175="",0,H175)*IF(I175="",0,I175),2)))</f>
        <v>0</v>
      </c>
      <c r="M175" s="29">
        <f>IF(D175="","",ROUND(J175+IF(K175="",0,K175)-IF(L175="",0,L175),2))</f>
        <v>0</v>
      </c>
      <c r="N175" s="29">
        <f>IF(M175="","",IF(TaxRegistered&lt;&gt;"Yes",0,IF(PricesIncludeTax="Yes",ROUND(M175-M175/(1+TaxRate),2),ROUND(M175*TaxRate,2))))</f>
        <v>0</v>
      </c>
      <c r="O175" s="29">
        <f>IF(M175="","",IF(PricesIncludeTax="Yes",M175,ROUND(M175+N175,2)))</f>
        <v>0</v>
      </c>
      <c r="P175" s="29">
        <f>IF(A175="","",SUMIFS(Payments!$E$5:$E$304,Payments!$D$5:$D$304,A175,Payments!$M$5:$M$304,"Yes"))</f>
        <v>0</v>
      </c>
      <c r="Q175" s="29">
        <f>IF(A175="","",SUMIFS(Payments!$K$5:$K$304,Payments!$D$5:$D$304,A175))</f>
        <v>0</v>
      </c>
      <c r="R175" s="29">
        <f>IF(A175="","",SUMIFS(Payments!$J$5:$J$304,Payments!$D$5:$D$304,A175))</f>
        <v>0</v>
      </c>
      <c r="S175" s="29">
        <f>IF(D175="","",ROUND(IF(T175="Cancelled",0,O175-Q175),2))</f>
        <v>0</v>
      </c>
      <c r="U175" s="49">
        <f>IF(A175="","",IF(T175="Cancelled","Cancelled",IF(S175&lt;=0.004,"Paid",IF(Q175&gt;0.004,IF(AND(C175&lt;&gt;"",TODAY()&gt;C175),"Overdue - part paid","Partially paid"),IF(AND(C175&lt;&gt;"",TODAY()&gt;C175),"Overdue",IF(T175="Draft","Draft","Unpaid"))))))</f>
        <v>0</v>
      </c>
      <c r="V175" s="31">
        <f>IF(OR(C175="",S175&lt;=0.004),"",MAX(0,TODAY()-C175))</f>
        <v>0</v>
      </c>
      <c r="W175" s="49">
        <f>IF(A175="","",IF(S175&lt;=0.004,"Paid",IF(V175="","Not due",IF(V175=0,"Current",IF(V175&lt;=30,"1-30 days",IF(V175&lt;=60,"31-60 days",IF(V175&lt;=90,"61-90 days","90+ days")))))))</f>
        <v>0</v>
      </c>
      <c r="X175" s="29">
        <f>IF(OR(V175="",V175=0),0,ROUND(S175*LateFeePct,2))</f>
        <v>0</v>
      </c>
      <c r="AA175" s="49">
        <f>IF(A175="","",IF(COUNTIF(Invoices!$A$5:$A$304,A175)&gt;1,"Duplicate number","OK"))</f>
        <v>0</v>
      </c>
      <c r="AC175" s="28">
        <f>IF(B175="","",TEXT(B175,"yyyy-mm"))</f>
        <v>0</v>
      </c>
      <c r="AD175" s="49">
        <f>IF(A175="","",IF(T175="Draft","Action - still a draft",IF(U175="Overdue","Overdue - chase payment",IF(U175="Overdue - part paid","Overdue - chase the balance",IF(AND(S175&gt;0.004,C175&lt;&gt;"",C175-TODAY()&lt;=ReminderLeadDays,C175&gt;=TODAY()),"Due soon - send a reminder","OK")))))</f>
        <v>0</v>
      </c>
    </row>
    <row r="176" spans="1:30">
      <c r="A176" s="46">
        <f>IF(D176="","",InvoicePrefix&amp;TEXT(InvoiceStartNo+ROW()-5,"0000"))</f>
        <v>0</v>
      </c>
      <c r="C176" s="21">
        <f>IF(B176="","",B176+PaymentTermsDays)</f>
        <v>0</v>
      </c>
      <c r="F176" s="29">
        <f>IF(E176="",0,IFERROR(INDEX(Bookings!$AI$5:$AI$404,MATCH(E176,Bookings!$A$5:$A$404,0)),0))</f>
        <v>0</v>
      </c>
      <c r="J176" s="29">
        <f>IF(D176="","",IF(E176&lt;&gt;"",F176,ROUND(IF(H176="",0,H176)*IF(I176="",0,I176),2)))</f>
        <v>0</v>
      </c>
      <c r="M176" s="29">
        <f>IF(D176="","",ROUND(J176+IF(K176="",0,K176)-IF(L176="",0,L176),2))</f>
        <v>0</v>
      </c>
      <c r="N176" s="29">
        <f>IF(M176="","",IF(TaxRegistered&lt;&gt;"Yes",0,IF(PricesIncludeTax="Yes",ROUND(M176-M176/(1+TaxRate),2),ROUND(M176*TaxRate,2))))</f>
        <v>0</v>
      </c>
      <c r="O176" s="29">
        <f>IF(M176="","",IF(PricesIncludeTax="Yes",M176,ROUND(M176+N176,2)))</f>
        <v>0</v>
      </c>
      <c r="P176" s="29">
        <f>IF(A176="","",SUMIFS(Payments!$E$5:$E$304,Payments!$D$5:$D$304,A176,Payments!$M$5:$M$304,"Yes"))</f>
        <v>0</v>
      </c>
      <c r="Q176" s="29">
        <f>IF(A176="","",SUMIFS(Payments!$K$5:$K$304,Payments!$D$5:$D$304,A176))</f>
        <v>0</v>
      </c>
      <c r="R176" s="29">
        <f>IF(A176="","",SUMIFS(Payments!$J$5:$J$304,Payments!$D$5:$D$304,A176))</f>
        <v>0</v>
      </c>
      <c r="S176" s="29">
        <f>IF(D176="","",ROUND(IF(T176="Cancelled",0,O176-Q176),2))</f>
        <v>0</v>
      </c>
      <c r="U176" s="49">
        <f>IF(A176="","",IF(T176="Cancelled","Cancelled",IF(S176&lt;=0.004,"Paid",IF(Q176&gt;0.004,IF(AND(C176&lt;&gt;"",TODAY()&gt;C176),"Overdue - part paid","Partially paid"),IF(AND(C176&lt;&gt;"",TODAY()&gt;C176),"Overdue",IF(T176="Draft","Draft","Unpaid"))))))</f>
        <v>0</v>
      </c>
      <c r="V176" s="31">
        <f>IF(OR(C176="",S176&lt;=0.004),"",MAX(0,TODAY()-C176))</f>
        <v>0</v>
      </c>
      <c r="W176" s="49">
        <f>IF(A176="","",IF(S176&lt;=0.004,"Paid",IF(V176="","Not due",IF(V176=0,"Current",IF(V176&lt;=30,"1-30 days",IF(V176&lt;=60,"31-60 days",IF(V176&lt;=90,"61-90 days","90+ days")))))))</f>
        <v>0</v>
      </c>
      <c r="X176" s="29">
        <f>IF(OR(V176="",V176=0),0,ROUND(S176*LateFeePct,2))</f>
        <v>0</v>
      </c>
      <c r="AA176" s="49">
        <f>IF(A176="","",IF(COUNTIF(Invoices!$A$5:$A$304,A176)&gt;1,"Duplicate number","OK"))</f>
        <v>0</v>
      </c>
      <c r="AC176" s="28">
        <f>IF(B176="","",TEXT(B176,"yyyy-mm"))</f>
        <v>0</v>
      </c>
      <c r="AD176" s="49">
        <f>IF(A176="","",IF(T176="Draft","Action - still a draft",IF(U176="Overdue","Overdue - chase payment",IF(U176="Overdue - part paid","Overdue - chase the balance",IF(AND(S176&gt;0.004,C176&lt;&gt;"",C176-TODAY()&lt;=ReminderLeadDays,C176&gt;=TODAY()),"Due soon - send a reminder","OK")))))</f>
        <v>0</v>
      </c>
    </row>
    <row r="177" spans="1:30">
      <c r="A177" s="46">
        <f>IF(D177="","",InvoicePrefix&amp;TEXT(InvoiceStartNo+ROW()-5,"0000"))</f>
        <v>0</v>
      </c>
      <c r="C177" s="21">
        <f>IF(B177="","",B177+PaymentTermsDays)</f>
        <v>0</v>
      </c>
      <c r="F177" s="29">
        <f>IF(E177="",0,IFERROR(INDEX(Bookings!$AI$5:$AI$404,MATCH(E177,Bookings!$A$5:$A$404,0)),0))</f>
        <v>0</v>
      </c>
      <c r="J177" s="29">
        <f>IF(D177="","",IF(E177&lt;&gt;"",F177,ROUND(IF(H177="",0,H177)*IF(I177="",0,I177),2)))</f>
        <v>0</v>
      </c>
      <c r="M177" s="29">
        <f>IF(D177="","",ROUND(J177+IF(K177="",0,K177)-IF(L177="",0,L177),2))</f>
        <v>0</v>
      </c>
      <c r="N177" s="29">
        <f>IF(M177="","",IF(TaxRegistered&lt;&gt;"Yes",0,IF(PricesIncludeTax="Yes",ROUND(M177-M177/(1+TaxRate),2),ROUND(M177*TaxRate,2))))</f>
        <v>0</v>
      </c>
      <c r="O177" s="29">
        <f>IF(M177="","",IF(PricesIncludeTax="Yes",M177,ROUND(M177+N177,2)))</f>
        <v>0</v>
      </c>
      <c r="P177" s="29">
        <f>IF(A177="","",SUMIFS(Payments!$E$5:$E$304,Payments!$D$5:$D$304,A177,Payments!$M$5:$M$304,"Yes"))</f>
        <v>0</v>
      </c>
      <c r="Q177" s="29">
        <f>IF(A177="","",SUMIFS(Payments!$K$5:$K$304,Payments!$D$5:$D$304,A177))</f>
        <v>0</v>
      </c>
      <c r="R177" s="29">
        <f>IF(A177="","",SUMIFS(Payments!$J$5:$J$304,Payments!$D$5:$D$304,A177))</f>
        <v>0</v>
      </c>
      <c r="S177" s="29">
        <f>IF(D177="","",ROUND(IF(T177="Cancelled",0,O177-Q177),2))</f>
        <v>0</v>
      </c>
      <c r="U177" s="49">
        <f>IF(A177="","",IF(T177="Cancelled","Cancelled",IF(S177&lt;=0.004,"Paid",IF(Q177&gt;0.004,IF(AND(C177&lt;&gt;"",TODAY()&gt;C177),"Overdue - part paid","Partially paid"),IF(AND(C177&lt;&gt;"",TODAY()&gt;C177),"Overdue",IF(T177="Draft","Draft","Unpaid"))))))</f>
        <v>0</v>
      </c>
      <c r="V177" s="31">
        <f>IF(OR(C177="",S177&lt;=0.004),"",MAX(0,TODAY()-C177))</f>
        <v>0</v>
      </c>
      <c r="W177" s="49">
        <f>IF(A177="","",IF(S177&lt;=0.004,"Paid",IF(V177="","Not due",IF(V177=0,"Current",IF(V177&lt;=30,"1-30 days",IF(V177&lt;=60,"31-60 days",IF(V177&lt;=90,"61-90 days","90+ days")))))))</f>
        <v>0</v>
      </c>
      <c r="X177" s="29">
        <f>IF(OR(V177="",V177=0),0,ROUND(S177*LateFeePct,2))</f>
        <v>0</v>
      </c>
      <c r="AA177" s="49">
        <f>IF(A177="","",IF(COUNTIF(Invoices!$A$5:$A$304,A177)&gt;1,"Duplicate number","OK"))</f>
        <v>0</v>
      </c>
      <c r="AC177" s="28">
        <f>IF(B177="","",TEXT(B177,"yyyy-mm"))</f>
        <v>0</v>
      </c>
      <c r="AD177" s="49">
        <f>IF(A177="","",IF(T177="Draft","Action - still a draft",IF(U177="Overdue","Overdue - chase payment",IF(U177="Overdue - part paid","Overdue - chase the balance",IF(AND(S177&gt;0.004,C177&lt;&gt;"",C177-TODAY()&lt;=ReminderLeadDays,C177&gt;=TODAY()),"Due soon - send a reminder","OK")))))</f>
        <v>0</v>
      </c>
    </row>
    <row r="178" spans="1:30">
      <c r="A178" s="46">
        <f>IF(D178="","",InvoicePrefix&amp;TEXT(InvoiceStartNo+ROW()-5,"0000"))</f>
        <v>0</v>
      </c>
      <c r="C178" s="21">
        <f>IF(B178="","",B178+PaymentTermsDays)</f>
        <v>0</v>
      </c>
      <c r="F178" s="29">
        <f>IF(E178="",0,IFERROR(INDEX(Bookings!$AI$5:$AI$404,MATCH(E178,Bookings!$A$5:$A$404,0)),0))</f>
        <v>0</v>
      </c>
      <c r="J178" s="29">
        <f>IF(D178="","",IF(E178&lt;&gt;"",F178,ROUND(IF(H178="",0,H178)*IF(I178="",0,I178),2)))</f>
        <v>0</v>
      </c>
      <c r="M178" s="29">
        <f>IF(D178="","",ROUND(J178+IF(K178="",0,K178)-IF(L178="",0,L178),2))</f>
        <v>0</v>
      </c>
      <c r="N178" s="29">
        <f>IF(M178="","",IF(TaxRegistered&lt;&gt;"Yes",0,IF(PricesIncludeTax="Yes",ROUND(M178-M178/(1+TaxRate),2),ROUND(M178*TaxRate,2))))</f>
        <v>0</v>
      </c>
      <c r="O178" s="29">
        <f>IF(M178="","",IF(PricesIncludeTax="Yes",M178,ROUND(M178+N178,2)))</f>
        <v>0</v>
      </c>
      <c r="P178" s="29">
        <f>IF(A178="","",SUMIFS(Payments!$E$5:$E$304,Payments!$D$5:$D$304,A178,Payments!$M$5:$M$304,"Yes"))</f>
        <v>0</v>
      </c>
      <c r="Q178" s="29">
        <f>IF(A178="","",SUMIFS(Payments!$K$5:$K$304,Payments!$D$5:$D$304,A178))</f>
        <v>0</v>
      </c>
      <c r="R178" s="29">
        <f>IF(A178="","",SUMIFS(Payments!$J$5:$J$304,Payments!$D$5:$D$304,A178))</f>
        <v>0</v>
      </c>
      <c r="S178" s="29">
        <f>IF(D178="","",ROUND(IF(T178="Cancelled",0,O178-Q178),2))</f>
        <v>0</v>
      </c>
      <c r="U178" s="49">
        <f>IF(A178="","",IF(T178="Cancelled","Cancelled",IF(S178&lt;=0.004,"Paid",IF(Q178&gt;0.004,IF(AND(C178&lt;&gt;"",TODAY()&gt;C178),"Overdue - part paid","Partially paid"),IF(AND(C178&lt;&gt;"",TODAY()&gt;C178),"Overdue",IF(T178="Draft","Draft","Unpaid"))))))</f>
        <v>0</v>
      </c>
      <c r="V178" s="31">
        <f>IF(OR(C178="",S178&lt;=0.004),"",MAX(0,TODAY()-C178))</f>
        <v>0</v>
      </c>
      <c r="W178" s="49">
        <f>IF(A178="","",IF(S178&lt;=0.004,"Paid",IF(V178="","Not due",IF(V178=0,"Current",IF(V178&lt;=30,"1-30 days",IF(V178&lt;=60,"31-60 days",IF(V178&lt;=90,"61-90 days","90+ days")))))))</f>
        <v>0</v>
      </c>
      <c r="X178" s="29">
        <f>IF(OR(V178="",V178=0),0,ROUND(S178*LateFeePct,2))</f>
        <v>0</v>
      </c>
      <c r="AA178" s="49">
        <f>IF(A178="","",IF(COUNTIF(Invoices!$A$5:$A$304,A178)&gt;1,"Duplicate number","OK"))</f>
        <v>0</v>
      </c>
      <c r="AC178" s="28">
        <f>IF(B178="","",TEXT(B178,"yyyy-mm"))</f>
        <v>0</v>
      </c>
      <c r="AD178" s="49">
        <f>IF(A178="","",IF(T178="Draft","Action - still a draft",IF(U178="Overdue","Overdue - chase payment",IF(U178="Overdue - part paid","Overdue - chase the balance",IF(AND(S178&gt;0.004,C178&lt;&gt;"",C178-TODAY()&lt;=ReminderLeadDays,C178&gt;=TODAY()),"Due soon - send a reminder","OK")))))</f>
        <v>0</v>
      </c>
    </row>
    <row r="179" spans="1:30">
      <c r="A179" s="46">
        <f>IF(D179="","",InvoicePrefix&amp;TEXT(InvoiceStartNo+ROW()-5,"0000"))</f>
        <v>0</v>
      </c>
      <c r="C179" s="21">
        <f>IF(B179="","",B179+PaymentTermsDays)</f>
        <v>0</v>
      </c>
      <c r="F179" s="29">
        <f>IF(E179="",0,IFERROR(INDEX(Bookings!$AI$5:$AI$404,MATCH(E179,Bookings!$A$5:$A$404,0)),0))</f>
        <v>0</v>
      </c>
      <c r="J179" s="29">
        <f>IF(D179="","",IF(E179&lt;&gt;"",F179,ROUND(IF(H179="",0,H179)*IF(I179="",0,I179),2)))</f>
        <v>0</v>
      </c>
      <c r="M179" s="29">
        <f>IF(D179="","",ROUND(J179+IF(K179="",0,K179)-IF(L179="",0,L179),2))</f>
        <v>0</v>
      </c>
      <c r="N179" s="29">
        <f>IF(M179="","",IF(TaxRegistered&lt;&gt;"Yes",0,IF(PricesIncludeTax="Yes",ROUND(M179-M179/(1+TaxRate),2),ROUND(M179*TaxRate,2))))</f>
        <v>0</v>
      </c>
      <c r="O179" s="29">
        <f>IF(M179="","",IF(PricesIncludeTax="Yes",M179,ROUND(M179+N179,2)))</f>
        <v>0</v>
      </c>
      <c r="P179" s="29">
        <f>IF(A179="","",SUMIFS(Payments!$E$5:$E$304,Payments!$D$5:$D$304,A179,Payments!$M$5:$M$304,"Yes"))</f>
        <v>0</v>
      </c>
      <c r="Q179" s="29">
        <f>IF(A179="","",SUMIFS(Payments!$K$5:$K$304,Payments!$D$5:$D$304,A179))</f>
        <v>0</v>
      </c>
      <c r="R179" s="29">
        <f>IF(A179="","",SUMIFS(Payments!$J$5:$J$304,Payments!$D$5:$D$304,A179))</f>
        <v>0</v>
      </c>
      <c r="S179" s="29">
        <f>IF(D179="","",ROUND(IF(T179="Cancelled",0,O179-Q179),2))</f>
        <v>0</v>
      </c>
      <c r="U179" s="49">
        <f>IF(A179="","",IF(T179="Cancelled","Cancelled",IF(S179&lt;=0.004,"Paid",IF(Q179&gt;0.004,IF(AND(C179&lt;&gt;"",TODAY()&gt;C179),"Overdue - part paid","Partially paid"),IF(AND(C179&lt;&gt;"",TODAY()&gt;C179),"Overdue",IF(T179="Draft","Draft","Unpaid"))))))</f>
        <v>0</v>
      </c>
      <c r="V179" s="31">
        <f>IF(OR(C179="",S179&lt;=0.004),"",MAX(0,TODAY()-C179))</f>
        <v>0</v>
      </c>
      <c r="W179" s="49">
        <f>IF(A179="","",IF(S179&lt;=0.004,"Paid",IF(V179="","Not due",IF(V179=0,"Current",IF(V179&lt;=30,"1-30 days",IF(V179&lt;=60,"31-60 days",IF(V179&lt;=90,"61-90 days","90+ days")))))))</f>
        <v>0</v>
      </c>
      <c r="X179" s="29">
        <f>IF(OR(V179="",V179=0),0,ROUND(S179*LateFeePct,2))</f>
        <v>0</v>
      </c>
      <c r="AA179" s="49">
        <f>IF(A179="","",IF(COUNTIF(Invoices!$A$5:$A$304,A179)&gt;1,"Duplicate number","OK"))</f>
        <v>0</v>
      </c>
      <c r="AC179" s="28">
        <f>IF(B179="","",TEXT(B179,"yyyy-mm"))</f>
        <v>0</v>
      </c>
      <c r="AD179" s="49">
        <f>IF(A179="","",IF(T179="Draft","Action - still a draft",IF(U179="Overdue","Overdue - chase payment",IF(U179="Overdue - part paid","Overdue - chase the balance",IF(AND(S179&gt;0.004,C179&lt;&gt;"",C179-TODAY()&lt;=ReminderLeadDays,C179&gt;=TODAY()),"Due soon - send a reminder","OK")))))</f>
        <v>0</v>
      </c>
    </row>
    <row r="180" spans="1:30">
      <c r="A180" s="46">
        <f>IF(D180="","",InvoicePrefix&amp;TEXT(InvoiceStartNo+ROW()-5,"0000"))</f>
        <v>0</v>
      </c>
      <c r="C180" s="21">
        <f>IF(B180="","",B180+PaymentTermsDays)</f>
        <v>0</v>
      </c>
      <c r="F180" s="29">
        <f>IF(E180="",0,IFERROR(INDEX(Bookings!$AI$5:$AI$404,MATCH(E180,Bookings!$A$5:$A$404,0)),0))</f>
        <v>0</v>
      </c>
      <c r="J180" s="29">
        <f>IF(D180="","",IF(E180&lt;&gt;"",F180,ROUND(IF(H180="",0,H180)*IF(I180="",0,I180),2)))</f>
        <v>0</v>
      </c>
      <c r="M180" s="29">
        <f>IF(D180="","",ROUND(J180+IF(K180="",0,K180)-IF(L180="",0,L180),2))</f>
        <v>0</v>
      </c>
      <c r="N180" s="29">
        <f>IF(M180="","",IF(TaxRegistered&lt;&gt;"Yes",0,IF(PricesIncludeTax="Yes",ROUND(M180-M180/(1+TaxRate),2),ROUND(M180*TaxRate,2))))</f>
        <v>0</v>
      </c>
      <c r="O180" s="29">
        <f>IF(M180="","",IF(PricesIncludeTax="Yes",M180,ROUND(M180+N180,2)))</f>
        <v>0</v>
      </c>
      <c r="P180" s="29">
        <f>IF(A180="","",SUMIFS(Payments!$E$5:$E$304,Payments!$D$5:$D$304,A180,Payments!$M$5:$M$304,"Yes"))</f>
        <v>0</v>
      </c>
      <c r="Q180" s="29">
        <f>IF(A180="","",SUMIFS(Payments!$K$5:$K$304,Payments!$D$5:$D$304,A180))</f>
        <v>0</v>
      </c>
      <c r="R180" s="29">
        <f>IF(A180="","",SUMIFS(Payments!$J$5:$J$304,Payments!$D$5:$D$304,A180))</f>
        <v>0</v>
      </c>
      <c r="S180" s="29">
        <f>IF(D180="","",ROUND(IF(T180="Cancelled",0,O180-Q180),2))</f>
        <v>0</v>
      </c>
      <c r="U180" s="49">
        <f>IF(A180="","",IF(T180="Cancelled","Cancelled",IF(S180&lt;=0.004,"Paid",IF(Q180&gt;0.004,IF(AND(C180&lt;&gt;"",TODAY()&gt;C180),"Overdue - part paid","Partially paid"),IF(AND(C180&lt;&gt;"",TODAY()&gt;C180),"Overdue",IF(T180="Draft","Draft","Unpaid"))))))</f>
        <v>0</v>
      </c>
      <c r="V180" s="31">
        <f>IF(OR(C180="",S180&lt;=0.004),"",MAX(0,TODAY()-C180))</f>
        <v>0</v>
      </c>
      <c r="W180" s="49">
        <f>IF(A180="","",IF(S180&lt;=0.004,"Paid",IF(V180="","Not due",IF(V180=0,"Current",IF(V180&lt;=30,"1-30 days",IF(V180&lt;=60,"31-60 days",IF(V180&lt;=90,"61-90 days","90+ days")))))))</f>
        <v>0</v>
      </c>
      <c r="X180" s="29">
        <f>IF(OR(V180="",V180=0),0,ROUND(S180*LateFeePct,2))</f>
        <v>0</v>
      </c>
      <c r="AA180" s="49">
        <f>IF(A180="","",IF(COUNTIF(Invoices!$A$5:$A$304,A180)&gt;1,"Duplicate number","OK"))</f>
        <v>0</v>
      </c>
      <c r="AC180" s="28">
        <f>IF(B180="","",TEXT(B180,"yyyy-mm"))</f>
        <v>0</v>
      </c>
      <c r="AD180" s="49">
        <f>IF(A180="","",IF(T180="Draft","Action - still a draft",IF(U180="Overdue","Overdue - chase payment",IF(U180="Overdue - part paid","Overdue - chase the balance",IF(AND(S180&gt;0.004,C180&lt;&gt;"",C180-TODAY()&lt;=ReminderLeadDays,C180&gt;=TODAY()),"Due soon - send a reminder","OK")))))</f>
        <v>0</v>
      </c>
    </row>
    <row r="181" spans="1:30">
      <c r="A181" s="46">
        <f>IF(D181="","",InvoicePrefix&amp;TEXT(InvoiceStartNo+ROW()-5,"0000"))</f>
        <v>0</v>
      </c>
      <c r="C181" s="21">
        <f>IF(B181="","",B181+PaymentTermsDays)</f>
        <v>0</v>
      </c>
      <c r="F181" s="29">
        <f>IF(E181="",0,IFERROR(INDEX(Bookings!$AI$5:$AI$404,MATCH(E181,Bookings!$A$5:$A$404,0)),0))</f>
        <v>0</v>
      </c>
      <c r="J181" s="29">
        <f>IF(D181="","",IF(E181&lt;&gt;"",F181,ROUND(IF(H181="",0,H181)*IF(I181="",0,I181),2)))</f>
        <v>0</v>
      </c>
      <c r="M181" s="29">
        <f>IF(D181="","",ROUND(J181+IF(K181="",0,K181)-IF(L181="",0,L181),2))</f>
        <v>0</v>
      </c>
      <c r="N181" s="29">
        <f>IF(M181="","",IF(TaxRegistered&lt;&gt;"Yes",0,IF(PricesIncludeTax="Yes",ROUND(M181-M181/(1+TaxRate),2),ROUND(M181*TaxRate,2))))</f>
        <v>0</v>
      </c>
      <c r="O181" s="29">
        <f>IF(M181="","",IF(PricesIncludeTax="Yes",M181,ROUND(M181+N181,2)))</f>
        <v>0</v>
      </c>
      <c r="P181" s="29">
        <f>IF(A181="","",SUMIFS(Payments!$E$5:$E$304,Payments!$D$5:$D$304,A181,Payments!$M$5:$M$304,"Yes"))</f>
        <v>0</v>
      </c>
      <c r="Q181" s="29">
        <f>IF(A181="","",SUMIFS(Payments!$K$5:$K$304,Payments!$D$5:$D$304,A181))</f>
        <v>0</v>
      </c>
      <c r="R181" s="29">
        <f>IF(A181="","",SUMIFS(Payments!$J$5:$J$304,Payments!$D$5:$D$304,A181))</f>
        <v>0</v>
      </c>
      <c r="S181" s="29">
        <f>IF(D181="","",ROUND(IF(T181="Cancelled",0,O181-Q181),2))</f>
        <v>0</v>
      </c>
      <c r="U181" s="49">
        <f>IF(A181="","",IF(T181="Cancelled","Cancelled",IF(S181&lt;=0.004,"Paid",IF(Q181&gt;0.004,IF(AND(C181&lt;&gt;"",TODAY()&gt;C181),"Overdue - part paid","Partially paid"),IF(AND(C181&lt;&gt;"",TODAY()&gt;C181),"Overdue",IF(T181="Draft","Draft","Unpaid"))))))</f>
        <v>0</v>
      </c>
      <c r="V181" s="31">
        <f>IF(OR(C181="",S181&lt;=0.004),"",MAX(0,TODAY()-C181))</f>
        <v>0</v>
      </c>
      <c r="W181" s="49">
        <f>IF(A181="","",IF(S181&lt;=0.004,"Paid",IF(V181="","Not due",IF(V181=0,"Current",IF(V181&lt;=30,"1-30 days",IF(V181&lt;=60,"31-60 days",IF(V181&lt;=90,"61-90 days","90+ days")))))))</f>
        <v>0</v>
      </c>
      <c r="X181" s="29">
        <f>IF(OR(V181="",V181=0),0,ROUND(S181*LateFeePct,2))</f>
        <v>0</v>
      </c>
      <c r="AA181" s="49">
        <f>IF(A181="","",IF(COUNTIF(Invoices!$A$5:$A$304,A181)&gt;1,"Duplicate number","OK"))</f>
        <v>0</v>
      </c>
      <c r="AC181" s="28">
        <f>IF(B181="","",TEXT(B181,"yyyy-mm"))</f>
        <v>0</v>
      </c>
      <c r="AD181" s="49">
        <f>IF(A181="","",IF(T181="Draft","Action - still a draft",IF(U181="Overdue","Overdue - chase payment",IF(U181="Overdue - part paid","Overdue - chase the balance",IF(AND(S181&gt;0.004,C181&lt;&gt;"",C181-TODAY()&lt;=ReminderLeadDays,C181&gt;=TODAY()),"Due soon - send a reminder","OK")))))</f>
        <v>0</v>
      </c>
    </row>
    <row r="182" spans="1:30">
      <c r="A182" s="46">
        <f>IF(D182="","",InvoicePrefix&amp;TEXT(InvoiceStartNo+ROW()-5,"0000"))</f>
        <v>0</v>
      </c>
      <c r="C182" s="21">
        <f>IF(B182="","",B182+PaymentTermsDays)</f>
        <v>0</v>
      </c>
      <c r="F182" s="29">
        <f>IF(E182="",0,IFERROR(INDEX(Bookings!$AI$5:$AI$404,MATCH(E182,Bookings!$A$5:$A$404,0)),0))</f>
        <v>0</v>
      </c>
      <c r="J182" s="29">
        <f>IF(D182="","",IF(E182&lt;&gt;"",F182,ROUND(IF(H182="",0,H182)*IF(I182="",0,I182),2)))</f>
        <v>0</v>
      </c>
      <c r="M182" s="29">
        <f>IF(D182="","",ROUND(J182+IF(K182="",0,K182)-IF(L182="",0,L182),2))</f>
        <v>0</v>
      </c>
      <c r="N182" s="29">
        <f>IF(M182="","",IF(TaxRegistered&lt;&gt;"Yes",0,IF(PricesIncludeTax="Yes",ROUND(M182-M182/(1+TaxRate),2),ROUND(M182*TaxRate,2))))</f>
        <v>0</v>
      </c>
      <c r="O182" s="29">
        <f>IF(M182="","",IF(PricesIncludeTax="Yes",M182,ROUND(M182+N182,2)))</f>
        <v>0</v>
      </c>
      <c r="P182" s="29">
        <f>IF(A182="","",SUMIFS(Payments!$E$5:$E$304,Payments!$D$5:$D$304,A182,Payments!$M$5:$M$304,"Yes"))</f>
        <v>0</v>
      </c>
      <c r="Q182" s="29">
        <f>IF(A182="","",SUMIFS(Payments!$K$5:$K$304,Payments!$D$5:$D$304,A182))</f>
        <v>0</v>
      </c>
      <c r="R182" s="29">
        <f>IF(A182="","",SUMIFS(Payments!$J$5:$J$304,Payments!$D$5:$D$304,A182))</f>
        <v>0</v>
      </c>
      <c r="S182" s="29">
        <f>IF(D182="","",ROUND(IF(T182="Cancelled",0,O182-Q182),2))</f>
        <v>0</v>
      </c>
      <c r="U182" s="49">
        <f>IF(A182="","",IF(T182="Cancelled","Cancelled",IF(S182&lt;=0.004,"Paid",IF(Q182&gt;0.004,IF(AND(C182&lt;&gt;"",TODAY()&gt;C182),"Overdue - part paid","Partially paid"),IF(AND(C182&lt;&gt;"",TODAY()&gt;C182),"Overdue",IF(T182="Draft","Draft","Unpaid"))))))</f>
        <v>0</v>
      </c>
      <c r="V182" s="31">
        <f>IF(OR(C182="",S182&lt;=0.004),"",MAX(0,TODAY()-C182))</f>
        <v>0</v>
      </c>
      <c r="W182" s="49">
        <f>IF(A182="","",IF(S182&lt;=0.004,"Paid",IF(V182="","Not due",IF(V182=0,"Current",IF(V182&lt;=30,"1-30 days",IF(V182&lt;=60,"31-60 days",IF(V182&lt;=90,"61-90 days","90+ days")))))))</f>
        <v>0</v>
      </c>
      <c r="X182" s="29">
        <f>IF(OR(V182="",V182=0),0,ROUND(S182*LateFeePct,2))</f>
        <v>0</v>
      </c>
      <c r="AA182" s="49">
        <f>IF(A182="","",IF(COUNTIF(Invoices!$A$5:$A$304,A182)&gt;1,"Duplicate number","OK"))</f>
        <v>0</v>
      </c>
      <c r="AC182" s="28">
        <f>IF(B182="","",TEXT(B182,"yyyy-mm"))</f>
        <v>0</v>
      </c>
      <c r="AD182" s="49">
        <f>IF(A182="","",IF(T182="Draft","Action - still a draft",IF(U182="Overdue","Overdue - chase payment",IF(U182="Overdue - part paid","Overdue - chase the balance",IF(AND(S182&gt;0.004,C182&lt;&gt;"",C182-TODAY()&lt;=ReminderLeadDays,C182&gt;=TODAY()),"Due soon - send a reminder","OK")))))</f>
        <v>0</v>
      </c>
    </row>
    <row r="183" spans="1:30">
      <c r="A183" s="46">
        <f>IF(D183="","",InvoicePrefix&amp;TEXT(InvoiceStartNo+ROW()-5,"0000"))</f>
        <v>0</v>
      </c>
      <c r="C183" s="21">
        <f>IF(B183="","",B183+PaymentTermsDays)</f>
        <v>0</v>
      </c>
      <c r="F183" s="29">
        <f>IF(E183="",0,IFERROR(INDEX(Bookings!$AI$5:$AI$404,MATCH(E183,Bookings!$A$5:$A$404,0)),0))</f>
        <v>0</v>
      </c>
      <c r="J183" s="29">
        <f>IF(D183="","",IF(E183&lt;&gt;"",F183,ROUND(IF(H183="",0,H183)*IF(I183="",0,I183),2)))</f>
        <v>0</v>
      </c>
      <c r="M183" s="29">
        <f>IF(D183="","",ROUND(J183+IF(K183="",0,K183)-IF(L183="",0,L183),2))</f>
        <v>0</v>
      </c>
      <c r="N183" s="29">
        <f>IF(M183="","",IF(TaxRegistered&lt;&gt;"Yes",0,IF(PricesIncludeTax="Yes",ROUND(M183-M183/(1+TaxRate),2),ROUND(M183*TaxRate,2))))</f>
        <v>0</v>
      </c>
      <c r="O183" s="29">
        <f>IF(M183="","",IF(PricesIncludeTax="Yes",M183,ROUND(M183+N183,2)))</f>
        <v>0</v>
      </c>
      <c r="P183" s="29">
        <f>IF(A183="","",SUMIFS(Payments!$E$5:$E$304,Payments!$D$5:$D$304,A183,Payments!$M$5:$M$304,"Yes"))</f>
        <v>0</v>
      </c>
      <c r="Q183" s="29">
        <f>IF(A183="","",SUMIFS(Payments!$K$5:$K$304,Payments!$D$5:$D$304,A183))</f>
        <v>0</v>
      </c>
      <c r="R183" s="29">
        <f>IF(A183="","",SUMIFS(Payments!$J$5:$J$304,Payments!$D$5:$D$304,A183))</f>
        <v>0</v>
      </c>
      <c r="S183" s="29">
        <f>IF(D183="","",ROUND(IF(T183="Cancelled",0,O183-Q183),2))</f>
        <v>0</v>
      </c>
      <c r="U183" s="49">
        <f>IF(A183="","",IF(T183="Cancelled","Cancelled",IF(S183&lt;=0.004,"Paid",IF(Q183&gt;0.004,IF(AND(C183&lt;&gt;"",TODAY()&gt;C183),"Overdue - part paid","Partially paid"),IF(AND(C183&lt;&gt;"",TODAY()&gt;C183),"Overdue",IF(T183="Draft","Draft","Unpaid"))))))</f>
        <v>0</v>
      </c>
      <c r="V183" s="31">
        <f>IF(OR(C183="",S183&lt;=0.004),"",MAX(0,TODAY()-C183))</f>
        <v>0</v>
      </c>
      <c r="W183" s="49">
        <f>IF(A183="","",IF(S183&lt;=0.004,"Paid",IF(V183="","Not due",IF(V183=0,"Current",IF(V183&lt;=30,"1-30 days",IF(V183&lt;=60,"31-60 days",IF(V183&lt;=90,"61-90 days","90+ days")))))))</f>
        <v>0</v>
      </c>
      <c r="X183" s="29">
        <f>IF(OR(V183="",V183=0),0,ROUND(S183*LateFeePct,2))</f>
        <v>0</v>
      </c>
      <c r="AA183" s="49">
        <f>IF(A183="","",IF(COUNTIF(Invoices!$A$5:$A$304,A183)&gt;1,"Duplicate number","OK"))</f>
        <v>0</v>
      </c>
      <c r="AC183" s="28">
        <f>IF(B183="","",TEXT(B183,"yyyy-mm"))</f>
        <v>0</v>
      </c>
      <c r="AD183" s="49">
        <f>IF(A183="","",IF(T183="Draft","Action - still a draft",IF(U183="Overdue","Overdue - chase payment",IF(U183="Overdue - part paid","Overdue - chase the balance",IF(AND(S183&gt;0.004,C183&lt;&gt;"",C183-TODAY()&lt;=ReminderLeadDays,C183&gt;=TODAY()),"Due soon - send a reminder","OK")))))</f>
        <v>0</v>
      </c>
    </row>
    <row r="184" spans="1:30">
      <c r="A184" s="46">
        <f>IF(D184="","",InvoicePrefix&amp;TEXT(InvoiceStartNo+ROW()-5,"0000"))</f>
        <v>0</v>
      </c>
      <c r="C184" s="21">
        <f>IF(B184="","",B184+PaymentTermsDays)</f>
        <v>0</v>
      </c>
      <c r="F184" s="29">
        <f>IF(E184="",0,IFERROR(INDEX(Bookings!$AI$5:$AI$404,MATCH(E184,Bookings!$A$5:$A$404,0)),0))</f>
        <v>0</v>
      </c>
      <c r="J184" s="29">
        <f>IF(D184="","",IF(E184&lt;&gt;"",F184,ROUND(IF(H184="",0,H184)*IF(I184="",0,I184),2)))</f>
        <v>0</v>
      </c>
      <c r="M184" s="29">
        <f>IF(D184="","",ROUND(J184+IF(K184="",0,K184)-IF(L184="",0,L184),2))</f>
        <v>0</v>
      </c>
      <c r="N184" s="29">
        <f>IF(M184="","",IF(TaxRegistered&lt;&gt;"Yes",0,IF(PricesIncludeTax="Yes",ROUND(M184-M184/(1+TaxRate),2),ROUND(M184*TaxRate,2))))</f>
        <v>0</v>
      </c>
      <c r="O184" s="29">
        <f>IF(M184="","",IF(PricesIncludeTax="Yes",M184,ROUND(M184+N184,2)))</f>
        <v>0</v>
      </c>
      <c r="P184" s="29">
        <f>IF(A184="","",SUMIFS(Payments!$E$5:$E$304,Payments!$D$5:$D$304,A184,Payments!$M$5:$M$304,"Yes"))</f>
        <v>0</v>
      </c>
      <c r="Q184" s="29">
        <f>IF(A184="","",SUMIFS(Payments!$K$5:$K$304,Payments!$D$5:$D$304,A184))</f>
        <v>0</v>
      </c>
      <c r="R184" s="29">
        <f>IF(A184="","",SUMIFS(Payments!$J$5:$J$304,Payments!$D$5:$D$304,A184))</f>
        <v>0</v>
      </c>
      <c r="S184" s="29">
        <f>IF(D184="","",ROUND(IF(T184="Cancelled",0,O184-Q184),2))</f>
        <v>0</v>
      </c>
      <c r="U184" s="49">
        <f>IF(A184="","",IF(T184="Cancelled","Cancelled",IF(S184&lt;=0.004,"Paid",IF(Q184&gt;0.004,IF(AND(C184&lt;&gt;"",TODAY()&gt;C184),"Overdue - part paid","Partially paid"),IF(AND(C184&lt;&gt;"",TODAY()&gt;C184),"Overdue",IF(T184="Draft","Draft","Unpaid"))))))</f>
        <v>0</v>
      </c>
      <c r="V184" s="31">
        <f>IF(OR(C184="",S184&lt;=0.004),"",MAX(0,TODAY()-C184))</f>
        <v>0</v>
      </c>
      <c r="W184" s="49">
        <f>IF(A184="","",IF(S184&lt;=0.004,"Paid",IF(V184="","Not due",IF(V184=0,"Current",IF(V184&lt;=30,"1-30 days",IF(V184&lt;=60,"31-60 days",IF(V184&lt;=90,"61-90 days","90+ days")))))))</f>
        <v>0</v>
      </c>
      <c r="X184" s="29">
        <f>IF(OR(V184="",V184=0),0,ROUND(S184*LateFeePct,2))</f>
        <v>0</v>
      </c>
      <c r="AA184" s="49">
        <f>IF(A184="","",IF(COUNTIF(Invoices!$A$5:$A$304,A184)&gt;1,"Duplicate number","OK"))</f>
        <v>0</v>
      </c>
      <c r="AC184" s="28">
        <f>IF(B184="","",TEXT(B184,"yyyy-mm"))</f>
        <v>0</v>
      </c>
      <c r="AD184" s="49">
        <f>IF(A184="","",IF(T184="Draft","Action - still a draft",IF(U184="Overdue","Overdue - chase payment",IF(U184="Overdue - part paid","Overdue - chase the balance",IF(AND(S184&gt;0.004,C184&lt;&gt;"",C184-TODAY()&lt;=ReminderLeadDays,C184&gt;=TODAY()),"Due soon - send a reminder","OK")))))</f>
        <v>0</v>
      </c>
    </row>
    <row r="185" spans="1:30">
      <c r="A185" s="46">
        <f>IF(D185="","",InvoicePrefix&amp;TEXT(InvoiceStartNo+ROW()-5,"0000"))</f>
        <v>0</v>
      </c>
      <c r="C185" s="21">
        <f>IF(B185="","",B185+PaymentTermsDays)</f>
        <v>0</v>
      </c>
      <c r="F185" s="29">
        <f>IF(E185="",0,IFERROR(INDEX(Bookings!$AI$5:$AI$404,MATCH(E185,Bookings!$A$5:$A$404,0)),0))</f>
        <v>0</v>
      </c>
      <c r="J185" s="29">
        <f>IF(D185="","",IF(E185&lt;&gt;"",F185,ROUND(IF(H185="",0,H185)*IF(I185="",0,I185),2)))</f>
        <v>0</v>
      </c>
      <c r="M185" s="29">
        <f>IF(D185="","",ROUND(J185+IF(K185="",0,K185)-IF(L185="",0,L185),2))</f>
        <v>0</v>
      </c>
      <c r="N185" s="29">
        <f>IF(M185="","",IF(TaxRegistered&lt;&gt;"Yes",0,IF(PricesIncludeTax="Yes",ROUND(M185-M185/(1+TaxRate),2),ROUND(M185*TaxRate,2))))</f>
        <v>0</v>
      </c>
      <c r="O185" s="29">
        <f>IF(M185="","",IF(PricesIncludeTax="Yes",M185,ROUND(M185+N185,2)))</f>
        <v>0</v>
      </c>
      <c r="P185" s="29">
        <f>IF(A185="","",SUMIFS(Payments!$E$5:$E$304,Payments!$D$5:$D$304,A185,Payments!$M$5:$M$304,"Yes"))</f>
        <v>0</v>
      </c>
      <c r="Q185" s="29">
        <f>IF(A185="","",SUMIFS(Payments!$K$5:$K$304,Payments!$D$5:$D$304,A185))</f>
        <v>0</v>
      </c>
      <c r="R185" s="29">
        <f>IF(A185="","",SUMIFS(Payments!$J$5:$J$304,Payments!$D$5:$D$304,A185))</f>
        <v>0</v>
      </c>
      <c r="S185" s="29">
        <f>IF(D185="","",ROUND(IF(T185="Cancelled",0,O185-Q185),2))</f>
        <v>0</v>
      </c>
      <c r="U185" s="49">
        <f>IF(A185="","",IF(T185="Cancelled","Cancelled",IF(S185&lt;=0.004,"Paid",IF(Q185&gt;0.004,IF(AND(C185&lt;&gt;"",TODAY()&gt;C185),"Overdue - part paid","Partially paid"),IF(AND(C185&lt;&gt;"",TODAY()&gt;C185),"Overdue",IF(T185="Draft","Draft","Unpaid"))))))</f>
        <v>0</v>
      </c>
      <c r="V185" s="31">
        <f>IF(OR(C185="",S185&lt;=0.004),"",MAX(0,TODAY()-C185))</f>
        <v>0</v>
      </c>
      <c r="W185" s="49">
        <f>IF(A185="","",IF(S185&lt;=0.004,"Paid",IF(V185="","Not due",IF(V185=0,"Current",IF(V185&lt;=30,"1-30 days",IF(V185&lt;=60,"31-60 days",IF(V185&lt;=90,"61-90 days","90+ days")))))))</f>
        <v>0</v>
      </c>
      <c r="X185" s="29">
        <f>IF(OR(V185="",V185=0),0,ROUND(S185*LateFeePct,2))</f>
        <v>0</v>
      </c>
      <c r="AA185" s="49">
        <f>IF(A185="","",IF(COUNTIF(Invoices!$A$5:$A$304,A185)&gt;1,"Duplicate number","OK"))</f>
        <v>0</v>
      </c>
      <c r="AC185" s="28">
        <f>IF(B185="","",TEXT(B185,"yyyy-mm"))</f>
        <v>0</v>
      </c>
      <c r="AD185" s="49">
        <f>IF(A185="","",IF(T185="Draft","Action - still a draft",IF(U185="Overdue","Overdue - chase payment",IF(U185="Overdue - part paid","Overdue - chase the balance",IF(AND(S185&gt;0.004,C185&lt;&gt;"",C185-TODAY()&lt;=ReminderLeadDays,C185&gt;=TODAY()),"Due soon - send a reminder","OK")))))</f>
        <v>0</v>
      </c>
    </row>
    <row r="186" spans="1:30">
      <c r="A186" s="46">
        <f>IF(D186="","",InvoicePrefix&amp;TEXT(InvoiceStartNo+ROW()-5,"0000"))</f>
        <v>0</v>
      </c>
      <c r="C186" s="21">
        <f>IF(B186="","",B186+PaymentTermsDays)</f>
        <v>0</v>
      </c>
      <c r="F186" s="29">
        <f>IF(E186="",0,IFERROR(INDEX(Bookings!$AI$5:$AI$404,MATCH(E186,Bookings!$A$5:$A$404,0)),0))</f>
        <v>0</v>
      </c>
      <c r="J186" s="29">
        <f>IF(D186="","",IF(E186&lt;&gt;"",F186,ROUND(IF(H186="",0,H186)*IF(I186="",0,I186),2)))</f>
        <v>0</v>
      </c>
      <c r="M186" s="29">
        <f>IF(D186="","",ROUND(J186+IF(K186="",0,K186)-IF(L186="",0,L186),2))</f>
        <v>0</v>
      </c>
      <c r="N186" s="29">
        <f>IF(M186="","",IF(TaxRegistered&lt;&gt;"Yes",0,IF(PricesIncludeTax="Yes",ROUND(M186-M186/(1+TaxRate),2),ROUND(M186*TaxRate,2))))</f>
        <v>0</v>
      </c>
      <c r="O186" s="29">
        <f>IF(M186="","",IF(PricesIncludeTax="Yes",M186,ROUND(M186+N186,2)))</f>
        <v>0</v>
      </c>
      <c r="P186" s="29">
        <f>IF(A186="","",SUMIFS(Payments!$E$5:$E$304,Payments!$D$5:$D$304,A186,Payments!$M$5:$M$304,"Yes"))</f>
        <v>0</v>
      </c>
      <c r="Q186" s="29">
        <f>IF(A186="","",SUMIFS(Payments!$K$5:$K$304,Payments!$D$5:$D$304,A186))</f>
        <v>0</v>
      </c>
      <c r="R186" s="29">
        <f>IF(A186="","",SUMIFS(Payments!$J$5:$J$304,Payments!$D$5:$D$304,A186))</f>
        <v>0</v>
      </c>
      <c r="S186" s="29">
        <f>IF(D186="","",ROUND(IF(T186="Cancelled",0,O186-Q186),2))</f>
        <v>0</v>
      </c>
      <c r="U186" s="49">
        <f>IF(A186="","",IF(T186="Cancelled","Cancelled",IF(S186&lt;=0.004,"Paid",IF(Q186&gt;0.004,IF(AND(C186&lt;&gt;"",TODAY()&gt;C186),"Overdue - part paid","Partially paid"),IF(AND(C186&lt;&gt;"",TODAY()&gt;C186),"Overdue",IF(T186="Draft","Draft","Unpaid"))))))</f>
        <v>0</v>
      </c>
      <c r="V186" s="31">
        <f>IF(OR(C186="",S186&lt;=0.004),"",MAX(0,TODAY()-C186))</f>
        <v>0</v>
      </c>
      <c r="W186" s="49">
        <f>IF(A186="","",IF(S186&lt;=0.004,"Paid",IF(V186="","Not due",IF(V186=0,"Current",IF(V186&lt;=30,"1-30 days",IF(V186&lt;=60,"31-60 days",IF(V186&lt;=90,"61-90 days","90+ days")))))))</f>
        <v>0</v>
      </c>
      <c r="X186" s="29">
        <f>IF(OR(V186="",V186=0),0,ROUND(S186*LateFeePct,2))</f>
        <v>0</v>
      </c>
      <c r="AA186" s="49">
        <f>IF(A186="","",IF(COUNTIF(Invoices!$A$5:$A$304,A186)&gt;1,"Duplicate number","OK"))</f>
        <v>0</v>
      </c>
      <c r="AC186" s="28">
        <f>IF(B186="","",TEXT(B186,"yyyy-mm"))</f>
        <v>0</v>
      </c>
      <c r="AD186" s="49">
        <f>IF(A186="","",IF(T186="Draft","Action - still a draft",IF(U186="Overdue","Overdue - chase payment",IF(U186="Overdue - part paid","Overdue - chase the balance",IF(AND(S186&gt;0.004,C186&lt;&gt;"",C186-TODAY()&lt;=ReminderLeadDays,C186&gt;=TODAY()),"Due soon - send a reminder","OK")))))</f>
        <v>0</v>
      </c>
    </row>
    <row r="187" spans="1:30">
      <c r="A187" s="46">
        <f>IF(D187="","",InvoicePrefix&amp;TEXT(InvoiceStartNo+ROW()-5,"0000"))</f>
        <v>0</v>
      </c>
      <c r="C187" s="21">
        <f>IF(B187="","",B187+PaymentTermsDays)</f>
        <v>0</v>
      </c>
      <c r="F187" s="29">
        <f>IF(E187="",0,IFERROR(INDEX(Bookings!$AI$5:$AI$404,MATCH(E187,Bookings!$A$5:$A$404,0)),0))</f>
        <v>0</v>
      </c>
      <c r="J187" s="29">
        <f>IF(D187="","",IF(E187&lt;&gt;"",F187,ROUND(IF(H187="",0,H187)*IF(I187="",0,I187),2)))</f>
        <v>0</v>
      </c>
      <c r="M187" s="29">
        <f>IF(D187="","",ROUND(J187+IF(K187="",0,K187)-IF(L187="",0,L187),2))</f>
        <v>0</v>
      </c>
      <c r="N187" s="29">
        <f>IF(M187="","",IF(TaxRegistered&lt;&gt;"Yes",0,IF(PricesIncludeTax="Yes",ROUND(M187-M187/(1+TaxRate),2),ROUND(M187*TaxRate,2))))</f>
        <v>0</v>
      </c>
      <c r="O187" s="29">
        <f>IF(M187="","",IF(PricesIncludeTax="Yes",M187,ROUND(M187+N187,2)))</f>
        <v>0</v>
      </c>
      <c r="P187" s="29">
        <f>IF(A187="","",SUMIFS(Payments!$E$5:$E$304,Payments!$D$5:$D$304,A187,Payments!$M$5:$M$304,"Yes"))</f>
        <v>0</v>
      </c>
      <c r="Q187" s="29">
        <f>IF(A187="","",SUMIFS(Payments!$K$5:$K$304,Payments!$D$5:$D$304,A187))</f>
        <v>0</v>
      </c>
      <c r="R187" s="29">
        <f>IF(A187="","",SUMIFS(Payments!$J$5:$J$304,Payments!$D$5:$D$304,A187))</f>
        <v>0</v>
      </c>
      <c r="S187" s="29">
        <f>IF(D187="","",ROUND(IF(T187="Cancelled",0,O187-Q187),2))</f>
        <v>0</v>
      </c>
      <c r="U187" s="49">
        <f>IF(A187="","",IF(T187="Cancelled","Cancelled",IF(S187&lt;=0.004,"Paid",IF(Q187&gt;0.004,IF(AND(C187&lt;&gt;"",TODAY()&gt;C187),"Overdue - part paid","Partially paid"),IF(AND(C187&lt;&gt;"",TODAY()&gt;C187),"Overdue",IF(T187="Draft","Draft","Unpaid"))))))</f>
        <v>0</v>
      </c>
      <c r="V187" s="31">
        <f>IF(OR(C187="",S187&lt;=0.004),"",MAX(0,TODAY()-C187))</f>
        <v>0</v>
      </c>
      <c r="W187" s="49">
        <f>IF(A187="","",IF(S187&lt;=0.004,"Paid",IF(V187="","Not due",IF(V187=0,"Current",IF(V187&lt;=30,"1-30 days",IF(V187&lt;=60,"31-60 days",IF(V187&lt;=90,"61-90 days","90+ days")))))))</f>
        <v>0</v>
      </c>
      <c r="X187" s="29">
        <f>IF(OR(V187="",V187=0),0,ROUND(S187*LateFeePct,2))</f>
        <v>0</v>
      </c>
      <c r="AA187" s="49">
        <f>IF(A187="","",IF(COUNTIF(Invoices!$A$5:$A$304,A187)&gt;1,"Duplicate number","OK"))</f>
        <v>0</v>
      </c>
      <c r="AC187" s="28">
        <f>IF(B187="","",TEXT(B187,"yyyy-mm"))</f>
        <v>0</v>
      </c>
      <c r="AD187" s="49">
        <f>IF(A187="","",IF(T187="Draft","Action - still a draft",IF(U187="Overdue","Overdue - chase payment",IF(U187="Overdue - part paid","Overdue - chase the balance",IF(AND(S187&gt;0.004,C187&lt;&gt;"",C187-TODAY()&lt;=ReminderLeadDays,C187&gt;=TODAY()),"Due soon - send a reminder","OK")))))</f>
        <v>0</v>
      </c>
    </row>
    <row r="188" spans="1:30">
      <c r="A188" s="46">
        <f>IF(D188="","",InvoicePrefix&amp;TEXT(InvoiceStartNo+ROW()-5,"0000"))</f>
        <v>0</v>
      </c>
      <c r="C188" s="21">
        <f>IF(B188="","",B188+PaymentTermsDays)</f>
        <v>0</v>
      </c>
      <c r="F188" s="29">
        <f>IF(E188="",0,IFERROR(INDEX(Bookings!$AI$5:$AI$404,MATCH(E188,Bookings!$A$5:$A$404,0)),0))</f>
        <v>0</v>
      </c>
      <c r="J188" s="29">
        <f>IF(D188="","",IF(E188&lt;&gt;"",F188,ROUND(IF(H188="",0,H188)*IF(I188="",0,I188),2)))</f>
        <v>0</v>
      </c>
      <c r="M188" s="29">
        <f>IF(D188="","",ROUND(J188+IF(K188="",0,K188)-IF(L188="",0,L188),2))</f>
        <v>0</v>
      </c>
      <c r="N188" s="29">
        <f>IF(M188="","",IF(TaxRegistered&lt;&gt;"Yes",0,IF(PricesIncludeTax="Yes",ROUND(M188-M188/(1+TaxRate),2),ROUND(M188*TaxRate,2))))</f>
        <v>0</v>
      </c>
      <c r="O188" s="29">
        <f>IF(M188="","",IF(PricesIncludeTax="Yes",M188,ROUND(M188+N188,2)))</f>
        <v>0</v>
      </c>
      <c r="P188" s="29">
        <f>IF(A188="","",SUMIFS(Payments!$E$5:$E$304,Payments!$D$5:$D$304,A188,Payments!$M$5:$M$304,"Yes"))</f>
        <v>0</v>
      </c>
      <c r="Q188" s="29">
        <f>IF(A188="","",SUMIFS(Payments!$K$5:$K$304,Payments!$D$5:$D$304,A188))</f>
        <v>0</v>
      </c>
      <c r="R188" s="29">
        <f>IF(A188="","",SUMIFS(Payments!$J$5:$J$304,Payments!$D$5:$D$304,A188))</f>
        <v>0</v>
      </c>
      <c r="S188" s="29">
        <f>IF(D188="","",ROUND(IF(T188="Cancelled",0,O188-Q188),2))</f>
        <v>0</v>
      </c>
      <c r="U188" s="49">
        <f>IF(A188="","",IF(T188="Cancelled","Cancelled",IF(S188&lt;=0.004,"Paid",IF(Q188&gt;0.004,IF(AND(C188&lt;&gt;"",TODAY()&gt;C188),"Overdue - part paid","Partially paid"),IF(AND(C188&lt;&gt;"",TODAY()&gt;C188),"Overdue",IF(T188="Draft","Draft","Unpaid"))))))</f>
        <v>0</v>
      </c>
      <c r="V188" s="31">
        <f>IF(OR(C188="",S188&lt;=0.004),"",MAX(0,TODAY()-C188))</f>
        <v>0</v>
      </c>
      <c r="W188" s="49">
        <f>IF(A188="","",IF(S188&lt;=0.004,"Paid",IF(V188="","Not due",IF(V188=0,"Current",IF(V188&lt;=30,"1-30 days",IF(V188&lt;=60,"31-60 days",IF(V188&lt;=90,"61-90 days","90+ days")))))))</f>
        <v>0</v>
      </c>
      <c r="X188" s="29">
        <f>IF(OR(V188="",V188=0),0,ROUND(S188*LateFeePct,2))</f>
        <v>0</v>
      </c>
      <c r="AA188" s="49">
        <f>IF(A188="","",IF(COUNTIF(Invoices!$A$5:$A$304,A188)&gt;1,"Duplicate number","OK"))</f>
        <v>0</v>
      </c>
      <c r="AC188" s="28">
        <f>IF(B188="","",TEXT(B188,"yyyy-mm"))</f>
        <v>0</v>
      </c>
      <c r="AD188" s="49">
        <f>IF(A188="","",IF(T188="Draft","Action - still a draft",IF(U188="Overdue","Overdue - chase payment",IF(U188="Overdue - part paid","Overdue - chase the balance",IF(AND(S188&gt;0.004,C188&lt;&gt;"",C188-TODAY()&lt;=ReminderLeadDays,C188&gt;=TODAY()),"Due soon - send a reminder","OK")))))</f>
        <v>0</v>
      </c>
    </row>
    <row r="189" spans="1:30">
      <c r="A189" s="46">
        <f>IF(D189="","",InvoicePrefix&amp;TEXT(InvoiceStartNo+ROW()-5,"0000"))</f>
        <v>0</v>
      </c>
      <c r="C189" s="21">
        <f>IF(B189="","",B189+PaymentTermsDays)</f>
        <v>0</v>
      </c>
      <c r="F189" s="29">
        <f>IF(E189="",0,IFERROR(INDEX(Bookings!$AI$5:$AI$404,MATCH(E189,Bookings!$A$5:$A$404,0)),0))</f>
        <v>0</v>
      </c>
      <c r="J189" s="29">
        <f>IF(D189="","",IF(E189&lt;&gt;"",F189,ROUND(IF(H189="",0,H189)*IF(I189="",0,I189),2)))</f>
        <v>0</v>
      </c>
      <c r="M189" s="29">
        <f>IF(D189="","",ROUND(J189+IF(K189="",0,K189)-IF(L189="",0,L189),2))</f>
        <v>0</v>
      </c>
      <c r="N189" s="29">
        <f>IF(M189="","",IF(TaxRegistered&lt;&gt;"Yes",0,IF(PricesIncludeTax="Yes",ROUND(M189-M189/(1+TaxRate),2),ROUND(M189*TaxRate,2))))</f>
        <v>0</v>
      </c>
      <c r="O189" s="29">
        <f>IF(M189="","",IF(PricesIncludeTax="Yes",M189,ROUND(M189+N189,2)))</f>
        <v>0</v>
      </c>
      <c r="P189" s="29">
        <f>IF(A189="","",SUMIFS(Payments!$E$5:$E$304,Payments!$D$5:$D$304,A189,Payments!$M$5:$M$304,"Yes"))</f>
        <v>0</v>
      </c>
      <c r="Q189" s="29">
        <f>IF(A189="","",SUMIFS(Payments!$K$5:$K$304,Payments!$D$5:$D$304,A189))</f>
        <v>0</v>
      </c>
      <c r="R189" s="29">
        <f>IF(A189="","",SUMIFS(Payments!$J$5:$J$304,Payments!$D$5:$D$304,A189))</f>
        <v>0</v>
      </c>
      <c r="S189" s="29">
        <f>IF(D189="","",ROUND(IF(T189="Cancelled",0,O189-Q189),2))</f>
        <v>0</v>
      </c>
      <c r="U189" s="49">
        <f>IF(A189="","",IF(T189="Cancelled","Cancelled",IF(S189&lt;=0.004,"Paid",IF(Q189&gt;0.004,IF(AND(C189&lt;&gt;"",TODAY()&gt;C189),"Overdue - part paid","Partially paid"),IF(AND(C189&lt;&gt;"",TODAY()&gt;C189),"Overdue",IF(T189="Draft","Draft","Unpaid"))))))</f>
        <v>0</v>
      </c>
      <c r="V189" s="31">
        <f>IF(OR(C189="",S189&lt;=0.004),"",MAX(0,TODAY()-C189))</f>
        <v>0</v>
      </c>
      <c r="W189" s="49">
        <f>IF(A189="","",IF(S189&lt;=0.004,"Paid",IF(V189="","Not due",IF(V189=0,"Current",IF(V189&lt;=30,"1-30 days",IF(V189&lt;=60,"31-60 days",IF(V189&lt;=90,"61-90 days","90+ days")))))))</f>
        <v>0</v>
      </c>
      <c r="X189" s="29">
        <f>IF(OR(V189="",V189=0),0,ROUND(S189*LateFeePct,2))</f>
        <v>0</v>
      </c>
      <c r="AA189" s="49">
        <f>IF(A189="","",IF(COUNTIF(Invoices!$A$5:$A$304,A189)&gt;1,"Duplicate number","OK"))</f>
        <v>0</v>
      </c>
      <c r="AC189" s="28">
        <f>IF(B189="","",TEXT(B189,"yyyy-mm"))</f>
        <v>0</v>
      </c>
      <c r="AD189" s="49">
        <f>IF(A189="","",IF(T189="Draft","Action - still a draft",IF(U189="Overdue","Overdue - chase payment",IF(U189="Overdue - part paid","Overdue - chase the balance",IF(AND(S189&gt;0.004,C189&lt;&gt;"",C189-TODAY()&lt;=ReminderLeadDays,C189&gt;=TODAY()),"Due soon - send a reminder","OK")))))</f>
        <v>0</v>
      </c>
    </row>
    <row r="190" spans="1:30">
      <c r="A190" s="46">
        <f>IF(D190="","",InvoicePrefix&amp;TEXT(InvoiceStartNo+ROW()-5,"0000"))</f>
        <v>0</v>
      </c>
      <c r="C190" s="21">
        <f>IF(B190="","",B190+PaymentTermsDays)</f>
        <v>0</v>
      </c>
      <c r="F190" s="29">
        <f>IF(E190="",0,IFERROR(INDEX(Bookings!$AI$5:$AI$404,MATCH(E190,Bookings!$A$5:$A$404,0)),0))</f>
        <v>0</v>
      </c>
      <c r="J190" s="29">
        <f>IF(D190="","",IF(E190&lt;&gt;"",F190,ROUND(IF(H190="",0,H190)*IF(I190="",0,I190),2)))</f>
        <v>0</v>
      </c>
      <c r="M190" s="29">
        <f>IF(D190="","",ROUND(J190+IF(K190="",0,K190)-IF(L190="",0,L190),2))</f>
        <v>0</v>
      </c>
      <c r="N190" s="29">
        <f>IF(M190="","",IF(TaxRegistered&lt;&gt;"Yes",0,IF(PricesIncludeTax="Yes",ROUND(M190-M190/(1+TaxRate),2),ROUND(M190*TaxRate,2))))</f>
        <v>0</v>
      </c>
      <c r="O190" s="29">
        <f>IF(M190="","",IF(PricesIncludeTax="Yes",M190,ROUND(M190+N190,2)))</f>
        <v>0</v>
      </c>
      <c r="P190" s="29">
        <f>IF(A190="","",SUMIFS(Payments!$E$5:$E$304,Payments!$D$5:$D$304,A190,Payments!$M$5:$M$304,"Yes"))</f>
        <v>0</v>
      </c>
      <c r="Q190" s="29">
        <f>IF(A190="","",SUMIFS(Payments!$K$5:$K$304,Payments!$D$5:$D$304,A190))</f>
        <v>0</v>
      </c>
      <c r="R190" s="29">
        <f>IF(A190="","",SUMIFS(Payments!$J$5:$J$304,Payments!$D$5:$D$304,A190))</f>
        <v>0</v>
      </c>
      <c r="S190" s="29">
        <f>IF(D190="","",ROUND(IF(T190="Cancelled",0,O190-Q190),2))</f>
        <v>0</v>
      </c>
      <c r="U190" s="49">
        <f>IF(A190="","",IF(T190="Cancelled","Cancelled",IF(S190&lt;=0.004,"Paid",IF(Q190&gt;0.004,IF(AND(C190&lt;&gt;"",TODAY()&gt;C190),"Overdue - part paid","Partially paid"),IF(AND(C190&lt;&gt;"",TODAY()&gt;C190),"Overdue",IF(T190="Draft","Draft","Unpaid"))))))</f>
        <v>0</v>
      </c>
      <c r="V190" s="31">
        <f>IF(OR(C190="",S190&lt;=0.004),"",MAX(0,TODAY()-C190))</f>
        <v>0</v>
      </c>
      <c r="W190" s="49">
        <f>IF(A190="","",IF(S190&lt;=0.004,"Paid",IF(V190="","Not due",IF(V190=0,"Current",IF(V190&lt;=30,"1-30 days",IF(V190&lt;=60,"31-60 days",IF(V190&lt;=90,"61-90 days","90+ days")))))))</f>
        <v>0</v>
      </c>
      <c r="X190" s="29">
        <f>IF(OR(V190="",V190=0),0,ROUND(S190*LateFeePct,2))</f>
        <v>0</v>
      </c>
      <c r="AA190" s="49">
        <f>IF(A190="","",IF(COUNTIF(Invoices!$A$5:$A$304,A190)&gt;1,"Duplicate number","OK"))</f>
        <v>0</v>
      </c>
      <c r="AC190" s="28">
        <f>IF(B190="","",TEXT(B190,"yyyy-mm"))</f>
        <v>0</v>
      </c>
      <c r="AD190" s="49">
        <f>IF(A190="","",IF(T190="Draft","Action - still a draft",IF(U190="Overdue","Overdue - chase payment",IF(U190="Overdue - part paid","Overdue - chase the balance",IF(AND(S190&gt;0.004,C190&lt;&gt;"",C190-TODAY()&lt;=ReminderLeadDays,C190&gt;=TODAY()),"Due soon - send a reminder","OK")))))</f>
        <v>0</v>
      </c>
    </row>
    <row r="191" spans="1:30">
      <c r="A191" s="46">
        <f>IF(D191="","",InvoicePrefix&amp;TEXT(InvoiceStartNo+ROW()-5,"0000"))</f>
        <v>0</v>
      </c>
      <c r="C191" s="21">
        <f>IF(B191="","",B191+PaymentTermsDays)</f>
        <v>0</v>
      </c>
      <c r="F191" s="29">
        <f>IF(E191="",0,IFERROR(INDEX(Bookings!$AI$5:$AI$404,MATCH(E191,Bookings!$A$5:$A$404,0)),0))</f>
        <v>0</v>
      </c>
      <c r="J191" s="29">
        <f>IF(D191="","",IF(E191&lt;&gt;"",F191,ROUND(IF(H191="",0,H191)*IF(I191="",0,I191),2)))</f>
        <v>0</v>
      </c>
      <c r="M191" s="29">
        <f>IF(D191="","",ROUND(J191+IF(K191="",0,K191)-IF(L191="",0,L191),2))</f>
        <v>0</v>
      </c>
      <c r="N191" s="29">
        <f>IF(M191="","",IF(TaxRegistered&lt;&gt;"Yes",0,IF(PricesIncludeTax="Yes",ROUND(M191-M191/(1+TaxRate),2),ROUND(M191*TaxRate,2))))</f>
        <v>0</v>
      </c>
      <c r="O191" s="29">
        <f>IF(M191="","",IF(PricesIncludeTax="Yes",M191,ROUND(M191+N191,2)))</f>
        <v>0</v>
      </c>
      <c r="P191" s="29">
        <f>IF(A191="","",SUMIFS(Payments!$E$5:$E$304,Payments!$D$5:$D$304,A191,Payments!$M$5:$M$304,"Yes"))</f>
        <v>0</v>
      </c>
      <c r="Q191" s="29">
        <f>IF(A191="","",SUMIFS(Payments!$K$5:$K$304,Payments!$D$5:$D$304,A191))</f>
        <v>0</v>
      </c>
      <c r="R191" s="29">
        <f>IF(A191="","",SUMIFS(Payments!$J$5:$J$304,Payments!$D$5:$D$304,A191))</f>
        <v>0</v>
      </c>
      <c r="S191" s="29">
        <f>IF(D191="","",ROUND(IF(T191="Cancelled",0,O191-Q191),2))</f>
        <v>0</v>
      </c>
      <c r="U191" s="49">
        <f>IF(A191="","",IF(T191="Cancelled","Cancelled",IF(S191&lt;=0.004,"Paid",IF(Q191&gt;0.004,IF(AND(C191&lt;&gt;"",TODAY()&gt;C191),"Overdue - part paid","Partially paid"),IF(AND(C191&lt;&gt;"",TODAY()&gt;C191),"Overdue",IF(T191="Draft","Draft","Unpaid"))))))</f>
        <v>0</v>
      </c>
      <c r="V191" s="31">
        <f>IF(OR(C191="",S191&lt;=0.004),"",MAX(0,TODAY()-C191))</f>
        <v>0</v>
      </c>
      <c r="W191" s="49">
        <f>IF(A191="","",IF(S191&lt;=0.004,"Paid",IF(V191="","Not due",IF(V191=0,"Current",IF(V191&lt;=30,"1-30 days",IF(V191&lt;=60,"31-60 days",IF(V191&lt;=90,"61-90 days","90+ days")))))))</f>
        <v>0</v>
      </c>
      <c r="X191" s="29">
        <f>IF(OR(V191="",V191=0),0,ROUND(S191*LateFeePct,2))</f>
        <v>0</v>
      </c>
      <c r="AA191" s="49">
        <f>IF(A191="","",IF(COUNTIF(Invoices!$A$5:$A$304,A191)&gt;1,"Duplicate number","OK"))</f>
        <v>0</v>
      </c>
      <c r="AC191" s="28">
        <f>IF(B191="","",TEXT(B191,"yyyy-mm"))</f>
        <v>0</v>
      </c>
      <c r="AD191" s="49">
        <f>IF(A191="","",IF(T191="Draft","Action - still a draft",IF(U191="Overdue","Overdue - chase payment",IF(U191="Overdue - part paid","Overdue - chase the balance",IF(AND(S191&gt;0.004,C191&lt;&gt;"",C191-TODAY()&lt;=ReminderLeadDays,C191&gt;=TODAY()),"Due soon - send a reminder","OK")))))</f>
        <v>0</v>
      </c>
    </row>
    <row r="192" spans="1:30">
      <c r="A192" s="46">
        <f>IF(D192="","",InvoicePrefix&amp;TEXT(InvoiceStartNo+ROW()-5,"0000"))</f>
        <v>0</v>
      </c>
      <c r="C192" s="21">
        <f>IF(B192="","",B192+PaymentTermsDays)</f>
        <v>0</v>
      </c>
      <c r="F192" s="29">
        <f>IF(E192="",0,IFERROR(INDEX(Bookings!$AI$5:$AI$404,MATCH(E192,Bookings!$A$5:$A$404,0)),0))</f>
        <v>0</v>
      </c>
      <c r="J192" s="29">
        <f>IF(D192="","",IF(E192&lt;&gt;"",F192,ROUND(IF(H192="",0,H192)*IF(I192="",0,I192),2)))</f>
        <v>0</v>
      </c>
      <c r="M192" s="29">
        <f>IF(D192="","",ROUND(J192+IF(K192="",0,K192)-IF(L192="",0,L192),2))</f>
        <v>0</v>
      </c>
      <c r="N192" s="29">
        <f>IF(M192="","",IF(TaxRegistered&lt;&gt;"Yes",0,IF(PricesIncludeTax="Yes",ROUND(M192-M192/(1+TaxRate),2),ROUND(M192*TaxRate,2))))</f>
        <v>0</v>
      </c>
      <c r="O192" s="29">
        <f>IF(M192="","",IF(PricesIncludeTax="Yes",M192,ROUND(M192+N192,2)))</f>
        <v>0</v>
      </c>
      <c r="P192" s="29">
        <f>IF(A192="","",SUMIFS(Payments!$E$5:$E$304,Payments!$D$5:$D$304,A192,Payments!$M$5:$M$304,"Yes"))</f>
        <v>0</v>
      </c>
      <c r="Q192" s="29">
        <f>IF(A192="","",SUMIFS(Payments!$K$5:$K$304,Payments!$D$5:$D$304,A192))</f>
        <v>0</v>
      </c>
      <c r="R192" s="29">
        <f>IF(A192="","",SUMIFS(Payments!$J$5:$J$304,Payments!$D$5:$D$304,A192))</f>
        <v>0</v>
      </c>
      <c r="S192" s="29">
        <f>IF(D192="","",ROUND(IF(T192="Cancelled",0,O192-Q192),2))</f>
        <v>0</v>
      </c>
      <c r="U192" s="49">
        <f>IF(A192="","",IF(T192="Cancelled","Cancelled",IF(S192&lt;=0.004,"Paid",IF(Q192&gt;0.004,IF(AND(C192&lt;&gt;"",TODAY()&gt;C192),"Overdue - part paid","Partially paid"),IF(AND(C192&lt;&gt;"",TODAY()&gt;C192),"Overdue",IF(T192="Draft","Draft","Unpaid"))))))</f>
        <v>0</v>
      </c>
      <c r="V192" s="31">
        <f>IF(OR(C192="",S192&lt;=0.004),"",MAX(0,TODAY()-C192))</f>
        <v>0</v>
      </c>
      <c r="W192" s="49">
        <f>IF(A192="","",IF(S192&lt;=0.004,"Paid",IF(V192="","Not due",IF(V192=0,"Current",IF(V192&lt;=30,"1-30 days",IF(V192&lt;=60,"31-60 days",IF(V192&lt;=90,"61-90 days","90+ days")))))))</f>
        <v>0</v>
      </c>
      <c r="X192" s="29">
        <f>IF(OR(V192="",V192=0),0,ROUND(S192*LateFeePct,2))</f>
        <v>0</v>
      </c>
      <c r="AA192" s="49">
        <f>IF(A192="","",IF(COUNTIF(Invoices!$A$5:$A$304,A192)&gt;1,"Duplicate number","OK"))</f>
        <v>0</v>
      </c>
      <c r="AC192" s="28">
        <f>IF(B192="","",TEXT(B192,"yyyy-mm"))</f>
        <v>0</v>
      </c>
      <c r="AD192" s="49">
        <f>IF(A192="","",IF(T192="Draft","Action - still a draft",IF(U192="Overdue","Overdue - chase payment",IF(U192="Overdue - part paid","Overdue - chase the balance",IF(AND(S192&gt;0.004,C192&lt;&gt;"",C192-TODAY()&lt;=ReminderLeadDays,C192&gt;=TODAY()),"Due soon - send a reminder","OK")))))</f>
        <v>0</v>
      </c>
    </row>
    <row r="193" spans="1:30">
      <c r="A193" s="46">
        <f>IF(D193="","",InvoicePrefix&amp;TEXT(InvoiceStartNo+ROW()-5,"0000"))</f>
        <v>0</v>
      </c>
      <c r="C193" s="21">
        <f>IF(B193="","",B193+PaymentTermsDays)</f>
        <v>0</v>
      </c>
      <c r="F193" s="29">
        <f>IF(E193="",0,IFERROR(INDEX(Bookings!$AI$5:$AI$404,MATCH(E193,Bookings!$A$5:$A$404,0)),0))</f>
        <v>0</v>
      </c>
      <c r="J193" s="29">
        <f>IF(D193="","",IF(E193&lt;&gt;"",F193,ROUND(IF(H193="",0,H193)*IF(I193="",0,I193),2)))</f>
        <v>0</v>
      </c>
      <c r="M193" s="29">
        <f>IF(D193="","",ROUND(J193+IF(K193="",0,K193)-IF(L193="",0,L193),2))</f>
        <v>0</v>
      </c>
      <c r="N193" s="29">
        <f>IF(M193="","",IF(TaxRegistered&lt;&gt;"Yes",0,IF(PricesIncludeTax="Yes",ROUND(M193-M193/(1+TaxRate),2),ROUND(M193*TaxRate,2))))</f>
        <v>0</v>
      </c>
      <c r="O193" s="29">
        <f>IF(M193="","",IF(PricesIncludeTax="Yes",M193,ROUND(M193+N193,2)))</f>
        <v>0</v>
      </c>
      <c r="P193" s="29">
        <f>IF(A193="","",SUMIFS(Payments!$E$5:$E$304,Payments!$D$5:$D$304,A193,Payments!$M$5:$M$304,"Yes"))</f>
        <v>0</v>
      </c>
      <c r="Q193" s="29">
        <f>IF(A193="","",SUMIFS(Payments!$K$5:$K$304,Payments!$D$5:$D$304,A193))</f>
        <v>0</v>
      </c>
      <c r="R193" s="29">
        <f>IF(A193="","",SUMIFS(Payments!$J$5:$J$304,Payments!$D$5:$D$304,A193))</f>
        <v>0</v>
      </c>
      <c r="S193" s="29">
        <f>IF(D193="","",ROUND(IF(T193="Cancelled",0,O193-Q193),2))</f>
        <v>0</v>
      </c>
      <c r="U193" s="49">
        <f>IF(A193="","",IF(T193="Cancelled","Cancelled",IF(S193&lt;=0.004,"Paid",IF(Q193&gt;0.004,IF(AND(C193&lt;&gt;"",TODAY()&gt;C193),"Overdue - part paid","Partially paid"),IF(AND(C193&lt;&gt;"",TODAY()&gt;C193),"Overdue",IF(T193="Draft","Draft","Unpaid"))))))</f>
        <v>0</v>
      </c>
      <c r="V193" s="31">
        <f>IF(OR(C193="",S193&lt;=0.004),"",MAX(0,TODAY()-C193))</f>
        <v>0</v>
      </c>
      <c r="W193" s="49">
        <f>IF(A193="","",IF(S193&lt;=0.004,"Paid",IF(V193="","Not due",IF(V193=0,"Current",IF(V193&lt;=30,"1-30 days",IF(V193&lt;=60,"31-60 days",IF(V193&lt;=90,"61-90 days","90+ days")))))))</f>
        <v>0</v>
      </c>
      <c r="X193" s="29">
        <f>IF(OR(V193="",V193=0),0,ROUND(S193*LateFeePct,2))</f>
        <v>0</v>
      </c>
      <c r="AA193" s="49">
        <f>IF(A193="","",IF(COUNTIF(Invoices!$A$5:$A$304,A193)&gt;1,"Duplicate number","OK"))</f>
        <v>0</v>
      </c>
      <c r="AC193" s="28">
        <f>IF(B193="","",TEXT(B193,"yyyy-mm"))</f>
        <v>0</v>
      </c>
      <c r="AD193" s="49">
        <f>IF(A193="","",IF(T193="Draft","Action - still a draft",IF(U193="Overdue","Overdue - chase payment",IF(U193="Overdue - part paid","Overdue - chase the balance",IF(AND(S193&gt;0.004,C193&lt;&gt;"",C193-TODAY()&lt;=ReminderLeadDays,C193&gt;=TODAY()),"Due soon - send a reminder","OK")))))</f>
        <v>0</v>
      </c>
    </row>
    <row r="194" spans="1:30">
      <c r="A194" s="46">
        <f>IF(D194="","",InvoicePrefix&amp;TEXT(InvoiceStartNo+ROW()-5,"0000"))</f>
        <v>0</v>
      </c>
      <c r="C194" s="21">
        <f>IF(B194="","",B194+PaymentTermsDays)</f>
        <v>0</v>
      </c>
      <c r="F194" s="29">
        <f>IF(E194="",0,IFERROR(INDEX(Bookings!$AI$5:$AI$404,MATCH(E194,Bookings!$A$5:$A$404,0)),0))</f>
        <v>0</v>
      </c>
      <c r="J194" s="29">
        <f>IF(D194="","",IF(E194&lt;&gt;"",F194,ROUND(IF(H194="",0,H194)*IF(I194="",0,I194),2)))</f>
        <v>0</v>
      </c>
      <c r="M194" s="29">
        <f>IF(D194="","",ROUND(J194+IF(K194="",0,K194)-IF(L194="",0,L194),2))</f>
        <v>0</v>
      </c>
      <c r="N194" s="29">
        <f>IF(M194="","",IF(TaxRegistered&lt;&gt;"Yes",0,IF(PricesIncludeTax="Yes",ROUND(M194-M194/(1+TaxRate),2),ROUND(M194*TaxRate,2))))</f>
        <v>0</v>
      </c>
      <c r="O194" s="29">
        <f>IF(M194="","",IF(PricesIncludeTax="Yes",M194,ROUND(M194+N194,2)))</f>
        <v>0</v>
      </c>
      <c r="P194" s="29">
        <f>IF(A194="","",SUMIFS(Payments!$E$5:$E$304,Payments!$D$5:$D$304,A194,Payments!$M$5:$M$304,"Yes"))</f>
        <v>0</v>
      </c>
      <c r="Q194" s="29">
        <f>IF(A194="","",SUMIFS(Payments!$K$5:$K$304,Payments!$D$5:$D$304,A194))</f>
        <v>0</v>
      </c>
      <c r="R194" s="29">
        <f>IF(A194="","",SUMIFS(Payments!$J$5:$J$304,Payments!$D$5:$D$304,A194))</f>
        <v>0</v>
      </c>
      <c r="S194" s="29">
        <f>IF(D194="","",ROUND(IF(T194="Cancelled",0,O194-Q194),2))</f>
        <v>0</v>
      </c>
      <c r="U194" s="49">
        <f>IF(A194="","",IF(T194="Cancelled","Cancelled",IF(S194&lt;=0.004,"Paid",IF(Q194&gt;0.004,IF(AND(C194&lt;&gt;"",TODAY()&gt;C194),"Overdue - part paid","Partially paid"),IF(AND(C194&lt;&gt;"",TODAY()&gt;C194),"Overdue",IF(T194="Draft","Draft","Unpaid"))))))</f>
        <v>0</v>
      </c>
      <c r="V194" s="31">
        <f>IF(OR(C194="",S194&lt;=0.004),"",MAX(0,TODAY()-C194))</f>
        <v>0</v>
      </c>
      <c r="W194" s="49">
        <f>IF(A194="","",IF(S194&lt;=0.004,"Paid",IF(V194="","Not due",IF(V194=0,"Current",IF(V194&lt;=30,"1-30 days",IF(V194&lt;=60,"31-60 days",IF(V194&lt;=90,"61-90 days","90+ days")))))))</f>
        <v>0</v>
      </c>
      <c r="X194" s="29">
        <f>IF(OR(V194="",V194=0),0,ROUND(S194*LateFeePct,2))</f>
        <v>0</v>
      </c>
      <c r="AA194" s="49">
        <f>IF(A194="","",IF(COUNTIF(Invoices!$A$5:$A$304,A194)&gt;1,"Duplicate number","OK"))</f>
        <v>0</v>
      </c>
      <c r="AC194" s="28">
        <f>IF(B194="","",TEXT(B194,"yyyy-mm"))</f>
        <v>0</v>
      </c>
      <c r="AD194" s="49">
        <f>IF(A194="","",IF(T194="Draft","Action - still a draft",IF(U194="Overdue","Overdue - chase payment",IF(U194="Overdue - part paid","Overdue - chase the balance",IF(AND(S194&gt;0.004,C194&lt;&gt;"",C194-TODAY()&lt;=ReminderLeadDays,C194&gt;=TODAY()),"Due soon - send a reminder","OK")))))</f>
        <v>0</v>
      </c>
    </row>
    <row r="195" spans="1:30">
      <c r="A195" s="46">
        <f>IF(D195="","",InvoicePrefix&amp;TEXT(InvoiceStartNo+ROW()-5,"0000"))</f>
        <v>0</v>
      </c>
      <c r="C195" s="21">
        <f>IF(B195="","",B195+PaymentTermsDays)</f>
        <v>0</v>
      </c>
      <c r="F195" s="29">
        <f>IF(E195="",0,IFERROR(INDEX(Bookings!$AI$5:$AI$404,MATCH(E195,Bookings!$A$5:$A$404,0)),0))</f>
        <v>0</v>
      </c>
      <c r="J195" s="29">
        <f>IF(D195="","",IF(E195&lt;&gt;"",F195,ROUND(IF(H195="",0,H195)*IF(I195="",0,I195),2)))</f>
        <v>0</v>
      </c>
      <c r="M195" s="29">
        <f>IF(D195="","",ROUND(J195+IF(K195="",0,K195)-IF(L195="",0,L195),2))</f>
        <v>0</v>
      </c>
      <c r="N195" s="29">
        <f>IF(M195="","",IF(TaxRegistered&lt;&gt;"Yes",0,IF(PricesIncludeTax="Yes",ROUND(M195-M195/(1+TaxRate),2),ROUND(M195*TaxRate,2))))</f>
        <v>0</v>
      </c>
      <c r="O195" s="29">
        <f>IF(M195="","",IF(PricesIncludeTax="Yes",M195,ROUND(M195+N195,2)))</f>
        <v>0</v>
      </c>
      <c r="P195" s="29">
        <f>IF(A195="","",SUMIFS(Payments!$E$5:$E$304,Payments!$D$5:$D$304,A195,Payments!$M$5:$M$304,"Yes"))</f>
        <v>0</v>
      </c>
      <c r="Q195" s="29">
        <f>IF(A195="","",SUMIFS(Payments!$K$5:$K$304,Payments!$D$5:$D$304,A195))</f>
        <v>0</v>
      </c>
      <c r="R195" s="29">
        <f>IF(A195="","",SUMIFS(Payments!$J$5:$J$304,Payments!$D$5:$D$304,A195))</f>
        <v>0</v>
      </c>
      <c r="S195" s="29">
        <f>IF(D195="","",ROUND(IF(T195="Cancelled",0,O195-Q195),2))</f>
        <v>0</v>
      </c>
      <c r="U195" s="49">
        <f>IF(A195="","",IF(T195="Cancelled","Cancelled",IF(S195&lt;=0.004,"Paid",IF(Q195&gt;0.004,IF(AND(C195&lt;&gt;"",TODAY()&gt;C195),"Overdue - part paid","Partially paid"),IF(AND(C195&lt;&gt;"",TODAY()&gt;C195),"Overdue",IF(T195="Draft","Draft","Unpaid"))))))</f>
        <v>0</v>
      </c>
      <c r="V195" s="31">
        <f>IF(OR(C195="",S195&lt;=0.004),"",MAX(0,TODAY()-C195))</f>
        <v>0</v>
      </c>
      <c r="W195" s="49">
        <f>IF(A195="","",IF(S195&lt;=0.004,"Paid",IF(V195="","Not due",IF(V195=0,"Current",IF(V195&lt;=30,"1-30 days",IF(V195&lt;=60,"31-60 days",IF(V195&lt;=90,"61-90 days","90+ days")))))))</f>
        <v>0</v>
      </c>
      <c r="X195" s="29">
        <f>IF(OR(V195="",V195=0),0,ROUND(S195*LateFeePct,2))</f>
        <v>0</v>
      </c>
      <c r="AA195" s="49">
        <f>IF(A195="","",IF(COUNTIF(Invoices!$A$5:$A$304,A195)&gt;1,"Duplicate number","OK"))</f>
        <v>0</v>
      </c>
      <c r="AC195" s="28">
        <f>IF(B195="","",TEXT(B195,"yyyy-mm"))</f>
        <v>0</v>
      </c>
      <c r="AD195" s="49">
        <f>IF(A195="","",IF(T195="Draft","Action - still a draft",IF(U195="Overdue","Overdue - chase payment",IF(U195="Overdue - part paid","Overdue - chase the balance",IF(AND(S195&gt;0.004,C195&lt;&gt;"",C195-TODAY()&lt;=ReminderLeadDays,C195&gt;=TODAY()),"Due soon - send a reminder","OK")))))</f>
        <v>0</v>
      </c>
    </row>
    <row r="196" spans="1:30">
      <c r="A196" s="46">
        <f>IF(D196="","",InvoicePrefix&amp;TEXT(InvoiceStartNo+ROW()-5,"0000"))</f>
        <v>0</v>
      </c>
      <c r="C196" s="21">
        <f>IF(B196="","",B196+PaymentTermsDays)</f>
        <v>0</v>
      </c>
      <c r="F196" s="29">
        <f>IF(E196="",0,IFERROR(INDEX(Bookings!$AI$5:$AI$404,MATCH(E196,Bookings!$A$5:$A$404,0)),0))</f>
        <v>0</v>
      </c>
      <c r="J196" s="29">
        <f>IF(D196="","",IF(E196&lt;&gt;"",F196,ROUND(IF(H196="",0,H196)*IF(I196="",0,I196),2)))</f>
        <v>0</v>
      </c>
      <c r="M196" s="29">
        <f>IF(D196="","",ROUND(J196+IF(K196="",0,K196)-IF(L196="",0,L196),2))</f>
        <v>0</v>
      </c>
      <c r="N196" s="29">
        <f>IF(M196="","",IF(TaxRegistered&lt;&gt;"Yes",0,IF(PricesIncludeTax="Yes",ROUND(M196-M196/(1+TaxRate),2),ROUND(M196*TaxRate,2))))</f>
        <v>0</v>
      </c>
      <c r="O196" s="29">
        <f>IF(M196="","",IF(PricesIncludeTax="Yes",M196,ROUND(M196+N196,2)))</f>
        <v>0</v>
      </c>
      <c r="P196" s="29">
        <f>IF(A196="","",SUMIFS(Payments!$E$5:$E$304,Payments!$D$5:$D$304,A196,Payments!$M$5:$M$304,"Yes"))</f>
        <v>0</v>
      </c>
      <c r="Q196" s="29">
        <f>IF(A196="","",SUMIFS(Payments!$K$5:$K$304,Payments!$D$5:$D$304,A196))</f>
        <v>0</v>
      </c>
      <c r="R196" s="29">
        <f>IF(A196="","",SUMIFS(Payments!$J$5:$J$304,Payments!$D$5:$D$304,A196))</f>
        <v>0</v>
      </c>
      <c r="S196" s="29">
        <f>IF(D196="","",ROUND(IF(T196="Cancelled",0,O196-Q196),2))</f>
        <v>0</v>
      </c>
      <c r="U196" s="49">
        <f>IF(A196="","",IF(T196="Cancelled","Cancelled",IF(S196&lt;=0.004,"Paid",IF(Q196&gt;0.004,IF(AND(C196&lt;&gt;"",TODAY()&gt;C196),"Overdue - part paid","Partially paid"),IF(AND(C196&lt;&gt;"",TODAY()&gt;C196),"Overdue",IF(T196="Draft","Draft","Unpaid"))))))</f>
        <v>0</v>
      </c>
      <c r="V196" s="31">
        <f>IF(OR(C196="",S196&lt;=0.004),"",MAX(0,TODAY()-C196))</f>
        <v>0</v>
      </c>
      <c r="W196" s="49">
        <f>IF(A196="","",IF(S196&lt;=0.004,"Paid",IF(V196="","Not due",IF(V196=0,"Current",IF(V196&lt;=30,"1-30 days",IF(V196&lt;=60,"31-60 days",IF(V196&lt;=90,"61-90 days","90+ days")))))))</f>
        <v>0</v>
      </c>
      <c r="X196" s="29">
        <f>IF(OR(V196="",V196=0),0,ROUND(S196*LateFeePct,2))</f>
        <v>0</v>
      </c>
      <c r="AA196" s="49">
        <f>IF(A196="","",IF(COUNTIF(Invoices!$A$5:$A$304,A196)&gt;1,"Duplicate number","OK"))</f>
        <v>0</v>
      </c>
      <c r="AC196" s="28">
        <f>IF(B196="","",TEXT(B196,"yyyy-mm"))</f>
        <v>0</v>
      </c>
      <c r="AD196" s="49">
        <f>IF(A196="","",IF(T196="Draft","Action - still a draft",IF(U196="Overdue","Overdue - chase payment",IF(U196="Overdue - part paid","Overdue - chase the balance",IF(AND(S196&gt;0.004,C196&lt;&gt;"",C196-TODAY()&lt;=ReminderLeadDays,C196&gt;=TODAY()),"Due soon - send a reminder","OK")))))</f>
        <v>0</v>
      </c>
    </row>
    <row r="197" spans="1:30">
      <c r="A197" s="46">
        <f>IF(D197="","",InvoicePrefix&amp;TEXT(InvoiceStartNo+ROW()-5,"0000"))</f>
        <v>0</v>
      </c>
      <c r="C197" s="21">
        <f>IF(B197="","",B197+PaymentTermsDays)</f>
        <v>0</v>
      </c>
      <c r="F197" s="29">
        <f>IF(E197="",0,IFERROR(INDEX(Bookings!$AI$5:$AI$404,MATCH(E197,Bookings!$A$5:$A$404,0)),0))</f>
        <v>0</v>
      </c>
      <c r="J197" s="29">
        <f>IF(D197="","",IF(E197&lt;&gt;"",F197,ROUND(IF(H197="",0,H197)*IF(I197="",0,I197),2)))</f>
        <v>0</v>
      </c>
      <c r="M197" s="29">
        <f>IF(D197="","",ROUND(J197+IF(K197="",0,K197)-IF(L197="",0,L197),2))</f>
        <v>0</v>
      </c>
      <c r="N197" s="29">
        <f>IF(M197="","",IF(TaxRegistered&lt;&gt;"Yes",0,IF(PricesIncludeTax="Yes",ROUND(M197-M197/(1+TaxRate),2),ROUND(M197*TaxRate,2))))</f>
        <v>0</v>
      </c>
      <c r="O197" s="29">
        <f>IF(M197="","",IF(PricesIncludeTax="Yes",M197,ROUND(M197+N197,2)))</f>
        <v>0</v>
      </c>
      <c r="P197" s="29">
        <f>IF(A197="","",SUMIFS(Payments!$E$5:$E$304,Payments!$D$5:$D$304,A197,Payments!$M$5:$M$304,"Yes"))</f>
        <v>0</v>
      </c>
      <c r="Q197" s="29">
        <f>IF(A197="","",SUMIFS(Payments!$K$5:$K$304,Payments!$D$5:$D$304,A197))</f>
        <v>0</v>
      </c>
      <c r="R197" s="29">
        <f>IF(A197="","",SUMIFS(Payments!$J$5:$J$304,Payments!$D$5:$D$304,A197))</f>
        <v>0</v>
      </c>
      <c r="S197" s="29">
        <f>IF(D197="","",ROUND(IF(T197="Cancelled",0,O197-Q197),2))</f>
        <v>0</v>
      </c>
      <c r="U197" s="49">
        <f>IF(A197="","",IF(T197="Cancelled","Cancelled",IF(S197&lt;=0.004,"Paid",IF(Q197&gt;0.004,IF(AND(C197&lt;&gt;"",TODAY()&gt;C197),"Overdue - part paid","Partially paid"),IF(AND(C197&lt;&gt;"",TODAY()&gt;C197),"Overdue",IF(T197="Draft","Draft","Unpaid"))))))</f>
        <v>0</v>
      </c>
      <c r="V197" s="31">
        <f>IF(OR(C197="",S197&lt;=0.004),"",MAX(0,TODAY()-C197))</f>
        <v>0</v>
      </c>
      <c r="W197" s="49">
        <f>IF(A197="","",IF(S197&lt;=0.004,"Paid",IF(V197="","Not due",IF(V197=0,"Current",IF(V197&lt;=30,"1-30 days",IF(V197&lt;=60,"31-60 days",IF(V197&lt;=90,"61-90 days","90+ days")))))))</f>
        <v>0</v>
      </c>
      <c r="X197" s="29">
        <f>IF(OR(V197="",V197=0),0,ROUND(S197*LateFeePct,2))</f>
        <v>0</v>
      </c>
      <c r="AA197" s="49">
        <f>IF(A197="","",IF(COUNTIF(Invoices!$A$5:$A$304,A197)&gt;1,"Duplicate number","OK"))</f>
        <v>0</v>
      </c>
      <c r="AC197" s="28">
        <f>IF(B197="","",TEXT(B197,"yyyy-mm"))</f>
        <v>0</v>
      </c>
      <c r="AD197" s="49">
        <f>IF(A197="","",IF(T197="Draft","Action - still a draft",IF(U197="Overdue","Overdue - chase payment",IF(U197="Overdue - part paid","Overdue - chase the balance",IF(AND(S197&gt;0.004,C197&lt;&gt;"",C197-TODAY()&lt;=ReminderLeadDays,C197&gt;=TODAY()),"Due soon - send a reminder","OK")))))</f>
        <v>0</v>
      </c>
    </row>
    <row r="198" spans="1:30">
      <c r="A198" s="46">
        <f>IF(D198="","",InvoicePrefix&amp;TEXT(InvoiceStartNo+ROW()-5,"0000"))</f>
        <v>0</v>
      </c>
      <c r="C198" s="21">
        <f>IF(B198="","",B198+PaymentTermsDays)</f>
        <v>0</v>
      </c>
      <c r="F198" s="29">
        <f>IF(E198="",0,IFERROR(INDEX(Bookings!$AI$5:$AI$404,MATCH(E198,Bookings!$A$5:$A$404,0)),0))</f>
        <v>0</v>
      </c>
      <c r="J198" s="29">
        <f>IF(D198="","",IF(E198&lt;&gt;"",F198,ROUND(IF(H198="",0,H198)*IF(I198="",0,I198),2)))</f>
        <v>0</v>
      </c>
      <c r="M198" s="29">
        <f>IF(D198="","",ROUND(J198+IF(K198="",0,K198)-IF(L198="",0,L198),2))</f>
        <v>0</v>
      </c>
      <c r="N198" s="29">
        <f>IF(M198="","",IF(TaxRegistered&lt;&gt;"Yes",0,IF(PricesIncludeTax="Yes",ROUND(M198-M198/(1+TaxRate),2),ROUND(M198*TaxRate,2))))</f>
        <v>0</v>
      </c>
      <c r="O198" s="29">
        <f>IF(M198="","",IF(PricesIncludeTax="Yes",M198,ROUND(M198+N198,2)))</f>
        <v>0</v>
      </c>
      <c r="P198" s="29">
        <f>IF(A198="","",SUMIFS(Payments!$E$5:$E$304,Payments!$D$5:$D$304,A198,Payments!$M$5:$M$304,"Yes"))</f>
        <v>0</v>
      </c>
      <c r="Q198" s="29">
        <f>IF(A198="","",SUMIFS(Payments!$K$5:$K$304,Payments!$D$5:$D$304,A198))</f>
        <v>0</v>
      </c>
      <c r="R198" s="29">
        <f>IF(A198="","",SUMIFS(Payments!$J$5:$J$304,Payments!$D$5:$D$304,A198))</f>
        <v>0</v>
      </c>
      <c r="S198" s="29">
        <f>IF(D198="","",ROUND(IF(T198="Cancelled",0,O198-Q198),2))</f>
        <v>0</v>
      </c>
      <c r="U198" s="49">
        <f>IF(A198="","",IF(T198="Cancelled","Cancelled",IF(S198&lt;=0.004,"Paid",IF(Q198&gt;0.004,IF(AND(C198&lt;&gt;"",TODAY()&gt;C198),"Overdue - part paid","Partially paid"),IF(AND(C198&lt;&gt;"",TODAY()&gt;C198),"Overdue",IF(T198="Draft","Draft","Unpaid"))))))</f>
        <v>0</v>
      </c>
      <c r="V198" s="31">
        <f>IF(OR(C198="",S198&lt;=0.004),"",MAX(0,TODAY()-C198))</f>
        <v>0</v>
      </c>
      <c r="W198" s="49">
        <f>IF(A198="","",IF(S198&lt;=0.004,"Paid",IF(V198="","Not due",IF(V198=0,"Current",IF(V198&lt;=30,"1-30 days",IF(V198&lt;=60,"31-60 days",IF(V198&lt;=90,"61-90 days","90+ days")))))))</f>
        <v>0</v>
      </c>
      <c r="X198" s="29">
        <f>IF(OR(V198="",V198=0),0,ROUND(S198*LateFeePct,2))</f>
        <v>0</v>
      </c>
      <c r="AA198" s="49">
        <f>IF(A198="","",IF(COUNTIF(Invoices!$A$5:$A$304,A198)&gt;1,"Duplicate number","OK"))</f>
        <v>0</v>
      </c>
      <c r="AC198" s="28">
        <f>IF(B198="","",TEXT(B198,"yyyy-mm"))</f>
        <v>0</v>
      </c>
      <c r="AD198" s="49">
        <f>IF(A198="","",IF(T198="Draft","Action - still a draft",IF(U198="Overdue","Overdue - chase payment",IF(U198="Overdue - part paid","Overdue - chase the balance",IF(AND(S198&gt;0.004,C198&lt;&gt;"",C198-TODAY()&lt;=ReminderLeadDays,C198&gt;=TODAY()),"Due soon - send a reminder","OK")))))</f>
        <v>0</v>
      </c>
    </row>
    <row r="199" spans="1:30">
      <c r="A199" s="46">
        <f>IF(D199="","",InvoicePrefix&amp;TEXT(InvoiceStartNo+ROW()-5,"0000"))</f>
        <v>0</v>
      </c>
      <c r="C199" s="21">
        <f>IF(B199="","",B199+PaymentTermsDays)</f>
        <v>0</v>
      </c>
      <c r="F199" s="29">
        <f>IF(E199="",0,IFERROR(INDEX(Bookings!$AI$5:$AI$404,MATCH(E199,Bookings!$A$5:$A$404,0)),0))</f>
        <v>0</v>
      </c>
      <c r="J199" s="29">
        <f>IF(D199="","",IF(E199&lt;&gt;"",F199,ROUND(IF(H199="",0,H199)*IF(I199="",0,I199),2)))</f>
        <v>0</v>
      </c>
      <c r="M199" s="29">
        <f>IF(D199="","",ROUND(J199+IF(K199="",0,K199)-IF(L199="",0,L199),2))</f>
        <v>0</v>
      </c>
      <c r="N199" s="29">
        <f>IF(M199="","",IF(TaxRegistered&lt;&gt;"Yes",0,IF(PricesIncludeTax="Yes",ROUND(M199-M199/(1+TaxRate),2),ROUND(M199*TaxRate,2))))</f>
        <v>0</v>
      </c>
      <c r="O199" s="29">
        <f>IF(M199="","",IF(PricesIncludeTax="Yes",M199,ROUND(M199+N199,2)))</f>
        <v>0</v>
      </c>
      <c r="P199" s="29">
        <f>IF(A199="","",SUMIFS(Payments!$E$5:$E$304,Payments!$D$5:$D$304,A199,Payments!$M$5:$M$304,"Yes"))</f>
        <v>0</v>
      </c>
      <c r="Q199" s="29">
        <f>IF(A199="","",SUMIFS(Payments!$K$5:$K$304,Payments!$D$5:$D$304,A199))</f>
        <v>0</v>
      </c>
      <c r="R199" s="29">
        <f>IF(A199="","",SUMIFS(Payments!$J$5:$J$304,Payments!$D$5:$D$304,A199))</f>
        <v>0</v>
      </c>
      <c r="S199" s="29">
        <f>IF(D199="","",ROUND(IF(T199="Cancelled",0,O199-Q199),2))</f>
        <v>0</v>
      </c>
      <c r="U199" s="49">
        <f>IF(A199="","",IF(T199="Cancelled","Cancelled",IF(S199&lt;=0.004,"Paid",IF(Q199&gt;0.004,IF(AND(C199&lt;&gt;"",TODAY()&gt;C199),"Overdue - part paid","Partially paid"),IF(AND(C199&lt;&gt;"",TODAY()&gt;C199),"Overdue",IF(T199="Draft","Draft","Unpaid"))))))</f>
        <v>0</v>
      </c>
      <c r="V199" s="31">
        <f>IF(OR(C199="",S199&lt;=0.004),"",MAX(0,TODAY()-C199))</f>
        <v>0</v>
      </c>
      <c r="W199" s="49">
        <f>IF(A199="","",IF(S199&lt;=0.004,"Paid",IF(V199="","Not due",IF(V199=0,"Current",IF(V199&lt;=30,"1-30 days",IF(V199&lt;=60,"31-60 days",IF(V199&lt;=90,"61-90 days","90+ days")))))))</f>
        <v>0</v>
      </c>
      <c r="X199" s="29">
        <f>IF(OR(V199="",V199=0),0,ROUND(S199*LateFeePct,2))</f>
        <v>0</v>
      </c>
      <c r="AA199" s="49">
        <f>IF(A199="","",IF(COUNTIF(Invoices!$A$5:$A$304,A199)&gt;1,"Duplicate number","OK"))</f>
        <v>0</v>
      </c>
      <c r="AC199" s="28">
        <f>IF(B199="","",TEXT(B199,"yyyy-mm"))</f>
        <v>0</v>
      </c>
      <c r="AD199" s="49">
        <f>IF(A199="","",IF(T199="Draft","Action - still a draft",IF(U199="Overdue","Overdue - chase payment",IF(U199="Overdue - part paid","Overdue - chase the balance",IF(AND(S199&gt;0.004,C199&lt;&gt;"",C199-TODAY()&lt;=ReminderLeadDays,C199&gt;=TODAY()),"Due soon - send a reminder","OK")))))</f>
        <v>0</v>
      </c>
    </row>
    <row r="200" spans="1:30">
      <c r="A200" s="46">
        <f>IF(D200="","",InvoicePrefix&amp;TEXT(InvoiceStartNo+ROW()-5,"0000"))</f>
        <v>0</v>
      </c>
      <c r="C200" s="21">
        <f>IF(B200="","",B200+PaymentTermsDays)</f>
        <v>0</v>
      </c>
      <c r="F200" s="29">
        <f>IF(E200="",0,IFERROR(INDEX(Bookings!$AI$5:$AI$404,MATCH(E200,Bookings!$A$5:$A$404,0)),0))</f>
        <v>0</v>
      </c>
      <c r="J200" s="29">
        <f>IF(D200="","",IF(E200&lt;&gt;"",F200,ROUND(IF(H200="",0,H200)*IF(I200="",0,I200),2)))</f>
        <v>0</v>
      </c>
      <c r="M200" s="29">
        <f>IF(D200="","",ROUND(J200+IF(K200="",0,K200)-IF(L200="",0,L200),2))</f>
        <v>0</v>
      </c>
      <c r="N200" s="29">
        <f>IF(M200="","",IF(TaxRegistered&lt;&gt;"Yes",0,IF(PricesIncludeTax="Yes",ROUND(M200-M200/(1+TaxRate),2),ROUND(M200*TaxRate,2))))</f>
        <v>0</v>
      </c>
      <c r="O200" s="29">
        <f>IF(M200="","",IF(PricesIncludeTax="Yes",M200,ROUND(M200+N200,2)))</f>
        <v>0</v>
      </c>
      <c r="P200" s="29">
        <f>IF(A200="","",SUMIFS(Payments!$E$5:$E$304,Payments!$D$5:$D$304,A200,Payments!$M$5:$M$304,"Yes"))</f>
        <v>0</v>
      </c>
      <c r="Q200" s="29">
        <f>IF(A200="","",SUMIFS(Payments!$K$5:$K$304,Payments!$D$5:$D$304,A200))</f>
        <v>0</v>
      </c>
      <c r="R200" s="29">
        <f>IF(A200="","",SUMIFS(Payments!$J$5:$J$304,Payments!$D$5:$D$304,A200))</f>
        <v>0</v>
      </c>
      <c r="S200" s="29">
        <f>IF(D200="","",ROUND(IF(T200="Cancelled",0,O200-Q200),2))</f>
        <v>0</v>
      </c>
      <c r="U200" s="49">
        <f>IF(A200="","",IF(T200="Cancelled","Cancelled",IF(S200&lt;=0.004,"Paid",IF(Q200&gt;0.004,IF(AND(C200&lt;&gt;"",TODAY()&gt;C200),"Overdue - part paid","Partially paid"),IF(AND(C200&lt;&gt;"",TODAY()&gt;C200),"Overdue",IF(T200="Draft","Draft","Unpaid"))))))</f>
        <v>0</v>
      </c>
      <c r="V200" s="31">
        <f>IF(OR(C200="",S200&lt;=0.004),"",MAX(0,TODAY()-C200))</f>
        <v>0</v>
      </c>
      <c r="W200" s="49">
        <f>IF(A200="","",IF(S200&lt;=0.004,"Paid",IF(V200="","Not due",IF(V200=0,"Current",IF(V200&lt;=30,"1-30 days",IF(V200&lt;=60,"31-60 days",IF(V200&lt;=90,"61-90 days","90+ days")))))))</f>
        <v>0</v>
      </c>
      <c r="X200" s="29">
        <f>IF(OR(V200="",V200=0),0,ROUND(S200*LateFeePct,2))</f>
        <v>0</v>
      </c>
      <c r="AA200" s="49">
        <f>IF(A200="","",IF(COUNTIF(Invoices!$A$5:$A$304,A200)&gt;1,"Duplicate number","OK"))</f>
        <v>0</v>
      </c>
      <c r="AC200" s="28">
        <f>IF(B200="","",TEXT(B200,"yyyy-mm"))</f>
        <v>0</v>
      </c>
      <c r="AD200" s="49">
        <f>IF(A200="","",IF(T200="Draft","Action - still a draft",IF(U200="Overdue","Overdue - chase payment",IF(U200="Overdue - part paid","Overdue - chase the balance",IF(AND(S200&gt;0.004,C200&lt;&gt;"",C200-TODAY()&lt;=ReminderLeadDays,C200&gt;=TODAY()),"Due soon - send a reminder","OK")))))</f>
        <v>0</v>
      </c>
    </row>
    <row r="201" spans="1:30">
      <c r="A201" s="46">
        <f>IF(D201="","",InvoicePrefix&amp;TEXT(InvoiceStartNo+ROW()-5,"0000"))</f>
        <v>0</v>
      </c>
      <c r="C201" s="21">
        <f>IF(B201="","",B201+PaymentTermsDays)</f>
        <v>0</v>
      </c>
      <c r="F201" s="29">
        <f>IF(E201="",0,IFERROR(INDEX(Bookings!$AI$5:$AI$404,MATCH(E201,Bookings!$A$5:$A$404,0)),0))</f>
        <v>0</v>
      </c>
      <c r="J201" s="29">
        <f>IF(D201="","",IF(E201&lt;&gt;"",F201,ROUND(IF(H201="",0,H201)*IF(I201="",0,I201),2)))</f>
        <v>0</v>
      </c>
      <c r="M201" s="29">
        <f>IF(D201="","",ROUND(J201+IF(K201="",0,K201)-IF(L201="",0,L201),2))</f>
        <v>0</v>
      </c>
      <c r="N201" s="29">
        <f>IF(M201="","",IF(TaxRegistered&lt;&gt;"Yes",0,IF(PricesIncludeTax="Yes",ROUND(M201-M201/(1+TaxRate),2),ROUND(M201*TaxRate,2))))</f>
        <v>0</v>
      </c>
      <c r="O201" s="29">
        <f>IF(M201="","",IF(PricesIncludeTax="Yes",M201,ROUND(M201+N201,2)))</f>
        <v>0</v>
      </c>
      <c r="P201" s="29">
        <f>IF(A201="","",SUMIFS(Payments!$E$5:$E$304,Payments!$D$5:$D$304,A201,Payments!$M$5:$M$304,"Yes"))</f>
        <v>0</v>
      </c>
      <c r="Q201" s="29">
        <f>IF(A201="","",SUMIFS(Payments!$K$5:$K$304,Payments!$D$5:$D$304,A201))</f>
        <v>0</v>
      </c>
      <c r="R201" s="29">
        <f>IF(A201="","",SUMIFS(Payments!$J$5:$J$304,Payments!$D$5:$D$304,A201))</f>
        <v>0</v>
      </c>
      <c r="S201" s="29">
        <f>IF(D201="","",ROUND(IF(T201="Cancelled",0,O201-Q201),2))</f>
        <v>0</v>
      </c>
      <c r="U201" s="49">
        <f>IF(A201="","",IF(T201="Cancelled","Cancelled",IF(S201&lt;=0.004,"Paid",IF(Q201&gt;0.004,IF(AND(C201&lt;&gt;"",TODAY()&gt;C201),"Overdue - part paid","Partially paid"),IF(AND(C201&lt;&gt;"",TODAY()&gt;C201),"Overdue",IF(T201="Draft","Draft","Unpaid"))))))</f>
        <v>0</v>
      </c>
      <c r="V201" s="31">
        <f>IF(OR(C201="",S201&lt;=0.004),"",MAX(0,TODAY()-C201))</f>
        <v>0</v>
      </c>
      <c r="W201" s="49">
        <f>IF(A201="","",IF(S201&lt;=0.004,"Paid",IF(V201="","Not due",IF(V201=0,"Current",IF(V201&lt;=30,"1-30 days",IF(V201&lt;=60,"31-60 days",IF(V201&lt;=90,"61-90 days","90+ days")))))))</f>
        <v>0</v>
      </c>
      <c r="X201" s="29">
        <f>IF(OR(V201="",V201=0),0,ROUND(S201*LateFeePct,2))</f>
        <v>0</v>
      </c>
      <c r="AA201" s="49">
        <f>IF(A201="","",IF(COUNTIF(Invoices!$A$5:$A$304,A201)&gt;1,"Duplicate number","OK"))</f>
        <v>0</v>
      </c>
      <c r="AC201" s="28">
        <f>IF(B201="","",TEXT(B201,"yyyy-mm"))</f>
        <v>0</v>
      </c>
      <c r="AD201" s="49">
        <f>IF(A201="","",IF(T201="Draft","Action - still a draft",IF(U201="Overdue","Overdue - chase payment",IF(U201="Overdue - part paid","Overdue - chase the balance",IF(AND(S201&gt;0.004,C201&lt;&gt;"",C201-TODAY()&lt;=ReminderLeadDays,C201&gt;=TODAY()),"Due soon - send a reminder","OK")))))</f>
        <v>0</v>
      </c>
    </row>
    <row r="202" spans="1:30">
      <c r="A202" s="46">
        <f>IF(D202="","",InvoicePrefix&amp;TEXT(InvoiceStartNo+ROW()-5,"0000"))</f>
        <v>0</v>
      </c>
      <c r="C202" s="21">
        <f>IF(B202="","",B202+PaymentTermsDays)</f>
        <v>0</v>
      </c>
      <c r="F202" s="29">
        <f>IF(E202="",0,IFERROR(INDEX(Bookings!$AI$5:$AI$404,MATCH(E202,Bookings!$A$5:$A$404,0)),0))</f>
        <v>0</v>
      </c>
      <c r="J202" s="29">
        <f>IF(D202="","",IF(E202&lt;&gt;"",F202,ROUND(IF(H202="",0,H202)*IF(I202="",0,I202),2)))</f>
        <v>0</v>
      </c>
      <c r="M202" s="29">
        <f>IF(D202="","",ROUND(J202+IF(K202="",0,K202)-IF(L202="",0,L202),2))</f>
        <v>0</v>
      </c>
      <c r="N202" s="29">
        <f>IF(M202="","",IF(TaxRegistered&lt;&gt;"Yes",0,IF(PricesIncludeTax="Yes",ROUND(M202-M202/(1+TaxRate),2),ROUND(M202*TaxRate,2))))</f>
        <v>0</v>
      </c>
      <c r="O202" s="29">
        <f>IF(M202="","",IF(PricesIncludeTax="Yes",M202,ROUND(M202+N202,2)))</f>
        <v>0</v>
      </c>
      <c r="P202" s="29">
        <f>IF(A202="","",SUMIFS(Payments!$E$5:$E$304,Payments!$D$5:$D$304,A202,Payments!$M$5:$M$304,"Yes"))</f>
        <v>0</v>
      </c>
      <c r="Q202" s="29">
        <f>IF(A202="","",SUMIFS(Payments!$K$5:$K$304,Payments!$D$5:$D$304,A202))</f>
        <v>0</v>
      </c>
      <c r="R202" s="29">
        <f>IF(A202="","",SUMIFS(Payments!$J$5:$J$304,Payments!$D$5:$D$304,A202))</f>
        <v>0</v>
      </c>
      <c r="S202" s="29">
        <f>IF(D202="","",ROUND(IF(T202="Cancelled",0,O202-Q202),2))</f>
        <v>0</v>
      </c>
      <c r="U202" s="49">
        <f>IF(A202="","",IF(T202="Cancelled","Cancelled",IF(S202&lt;=0.004,"Paid",IF(Q202&gt;0.004,IF(AND(C202&lt;&gt;"",TODAY()&gt;C202),"Overdue - part paid","Partially paid"),IF(AND(C202&lt;&gt;"",TODAY()&gt;C202),"Overdue",IF(T202="Draft","Draft","Unpaid"))))))</f>
        <v>0</v>
      </c>
      <c r="V202" s="31">
        <f>IF(OR(C202="",S202&lt;=0.004),"",MAX(0,TODAY()-C202))</f>
        <v>0</v>
      </c>
      <c r="W202" s="49">
        <f>IF(A202="","",IF(S202&lt;=0.004,"Paid",IF(V202="","Not due",IF(V202=0,"Current",IF(V202&lt;=30,"1-30 days",IF(V202&lt;=60,"31-60 days",IF(V202&lt;=90,"61-90 days","90+ days")))))))</f>
        <v>0</v>
      </c>
      <c r="X202" s="29">
        <f>IF(OR(V202="",V202=0),0,ROUND(S202*LateFeePct,2))</f>
        <v>0</v>
      </c>
      <c r="AA202" s="49">
        <f>IF(A202="","",IF(COUNTIF(Invoices!$A$5:$A$304,A202)&gt;1,"Duplicate number","OK"))</f>
        <v>0</v>
      </c>
      <c r="AC202" s="28">
        <f>IF(B202="","",TEXT(B202,"yyyy-mm"))</f>
        <v>0</v>
      </c>
      <c r="AD202" s="49">
        <f>IF(A202="","",IF(T202="Draft","Action - still a draft",IF(U202="Overdue","Overdue - chase payment",IF(U202="Overdue - part paid","Overdue - chase the balance",IF(AND(S202&gt;0.004,C202&lt;&gt;"",C202-TODAY()&lt;=ReminderLeadDays,C202&gt;=TODAY()),"Due soon - send a reminder","OK")))))</f>
        <v>0</v>
      </c>
    </row>
    <row r="203" spans="1:30">
      <c r="A203" s="46">
        <f>IF(D203="","",InvoicePrefix&amp;TEXT(InvoiceStartNo+ROW()-5,"0000"))</f>
        <v>0</v>
      </c>
      <c r="C203" s="21">
        <f>IF(B203="","",B203+PaymentTermsDays)</f>
        <v>0</v>
      </c>
      <c r="F203" s="29">
        <f>IF(E203="",0,IFERROR(INDEX(Bookings!$AI$5:$AI$404,MATCH(E203,Bookings!$A$5:$A$404,0)),0))</f>
        <v>0</v>
      </c>
      <c r="J203" s="29">
        <f>IF(D203="","",IF(E203&lt;&gt;"",F203,ROUND(IF(H203="",0,H203)*IF(I203="",0,I203),2)))</f>
        <v>0</v>
      </c>
      <c r="M203" s="29">
        <f>IF(D203="","",ROUND(J203+IF(K203="",0,K203)-IF(L203="",0,L203),2))</f>
        <v>0</v>
      </c>
      <c r="N203" s="29">
        <f>IF(M203="","",IF(TaxRegistered&lt;&gt;"Yes",0,IF(PricesIncludeTax="Yes",ROUND(M203-M203/(1+TaxRate),2),ROUND(M203*TaxRate,2))))</f>
        <v>0</v>
      </c>
      <c r="O203" s="29">
        <f>IF(M203="","",IF(PricesIncludeTax="Yes",M203,ROUND(M203+N203,2)))</f>
        <v>0</v>
      </c>
      <c r="P203" s="29">
        <f>IF(A203="","",SUMIFS(Payments!$E$5:$E$304,Payments!$D$5:$D$304,A203,Payments!$M$5:$M$304,"Yes"))</f>
        <v>0</v>
      </c>
      <c r="Q203" s="29">
        <f>IF(A203="","",SUMIFS(Payments!$K$5:$K$304,Payments!$D$5:$D$304,A203))</f>
        <v>0</v>
      </c>
      <c r="R203" s="29">
        <f>IF(A203="","",SUMIFS(Payments!$J$5:$J$304,Payments!$D$5:$D$304,A203))</f>
        <v>0</v>
      </c>
      <c r="S203" s="29">
        <f>IF(D203="","",ROUND(IF(T203="Cancelled",0,O203-Q203),2))</f>
        <v>0</v>
      </c>
      <c r="U203" s="49">
        <f>IF(A203="","",IF(T203="Cancelled","Cancelled",IF(S203&lt;=0.004,"Paid",IF(Q203&gt;0.004,IF(AND(C203&lt;&gt;"",TODAY()&gt;C203),"Overdue - part paid","Partially paid"),IF(AND(C203&lt;&gt;"",TODAY()&gt;C203),"Overdue",IF(T203="Draft","Draft","Unpaid"))))))</f>
        <v>0</v>
      </c>
      <c r="V203" s="31">
        <f>IF(OR(C203="",S203&lt;=0.004),"",MAX(0,TODAY()-C203))</f>
        <v>0</v>
      </c>
      <c r="W203" s="49">
        <f>IF(A203="","",IF(S203&lt;=0.004,"Paid",IF(V203="","Not due",IF(V203=0,"Current",IF(V203&lt;=30,"1-30 days",IF(V203&lt;=60,"31-60 days",IF(V203&lt;=90,"61-90 days","90+ days")))))))</f>
        <v>0</v>
      </c>
      <c r="X203" s="29">
        <f>IF(OR(V203="",V203=0),0,ROUND(S203*LateFeePct,2))</f>
        <v>0</v>
      </c>
      <c r="AA203" s="49">
        <f>IF(A203="","",IF(COUNTIF(Invoices!$A$5:$A$304,A203)&gt;1,"Duplicate number","OK"))</f>
        <v>0</v>
      </c>
      <c r="AC203" s="28">
        <f>IF(B203="","",TEXT(B203,"yyyy-mm"))</f>
        <v>0</v>
      </c>
      <c r="AD203" s="49">
        <f>IF(A203="","",IF(T203="Draft","Action - still a draft",IF(U203="Overdue","Overdue - chase payment",IF(U203="Overdue - part paid","Overdue - chase the balance",IF(AND(S203&gt;0.004,C203&lt;&gt;"",C203-TODAY()&lt;=ReminderLeadDays,C203&gt;=TODAY()),"Due soon - send a reminder","OK")))))</f>
        <v>0</v>
      </c>
    </row>
    <row r="204" spans="1:30">
      <c r="A204" s="46">
        <f>IF(D204="","",InvoicePrefix&amp;TEXT(InvoiceStartNo+ROW()-5,"0000"))</f>
        <v>0</v>
      </c>
      <c r="C204" s="21">
        <f>IF(B204="","",B204+PaymentTermsDays)</f>
        <v>0</v>
      </c>
      <c r="F204" s="29">
        <f>IF(E204="",0,IFERROR(INDEX(Bookings!$AI$5:$AI$404,MATCH(E204,Bookings!$A$5:$A$404,0)),0))</f>
        <v>0</v>
      </c>
      <c r="J204" s="29">
        <f>IF(D204="","",IF(E204&lt;&gt;"",F204,ROUND(IF(H204="",0,H204)*IF(I204="",0,I204),2)))</f>
        <v>0</v>
      </c>
      <c r="M204" s="29">
        <f>IF(D204="","",ROUND(J204+IF(K204="",0,K204)-IF(L204="",0,L204),2))</f>
        <v>0</v>
      </c>
      <c r="N204" s="29">
        <f>IF(M204="","",IF(TaxRegistered&lt;&gt;"Yes",0,IF(PricesIncludeTax="Yes",ROUND(M204-M204/(1+TaxRate),2),ROUND(M204*TaxRate,2))))</f>
        <v>0</v>
      </c>
      <c r="O204" s="29">
        <f>IF(M204="","",IF(PricesIncludeTax="Yes",M204,ROUND(M204+N204,2)))</f>
        <v>0</v>
      </c>
      <c r="P204" s="29">
        <f>IF(A204="","",SUMIFS(Payments!$E$5:$E$304,Payments!$D$5:$D$304,A204,Payments!$M$5:$M$304,"Yes"))</f>
        <v>0</v>
      </c>
      <c r="Q204" s="29">
        <f>IF(A204="","",SUMIFS(Payments!$K$5:$K$304,Payments!$D$5:$D$304,A204))</f>
        <v>0</v>
      </c>
      <c r="R204" s="29">
        <f>IF(A204="","",SUMIFS(Payments!$J$5:$J$304,Payments!$D$5:$D$304,A204))</f>
        <v>0</v>
      </c>
      <c r="S204" s="29">
        <f>IF(D204="","",ROUND(IF(T204="Cancelled",0,O204-Q204),2))</f>
        <v>0</v>
      </c>
      <c r="U204" s="49">
        <f>IF(A204="","",IF(T204="Cancelled","Cancelled",IF(S204&lt;=0.004,"Paid",IF(Q204&gt;0.004,IF(AND(C204&lt;&gt;"",TODAY()&gt;C204),"Overdue - part paid","Partially paid"),IF(AND(C204&lt;&gt;"",TODAY()&gt;C204),"Overdue",IF(T204="Draft","Draft","Unpaid"))))))</f>
        <v>0</v>
      </c>
      <c r="V204" s="31">
        <f>IF(OR(C204="",S204&lt;=0.004),"",MAX(0,TODAY()-C204))</f>
        <v>0</v>
      </c>
      <c r="W204" s="49">
        <f>IF(A204="","",IF(S204&lt;=0.004,"Paid",IF(V204="","Not due",IF(V204=0,"Current",IF(V204&lt;=30,"1-30 days",IF(V204&lt;=60,"31-60 days",IF(V204&lt;=90,"61-90 days","90+ days")))))))</f>
        <v>0</v>
      </c>
      <c r="X204" s="29">
        <f>IF(OR(V204="",V204=0),0,ROUND(S204*LateFeePct,2))</f>
        <v>0</v>
      </c>
      <c r="AA204" s="49">
        <f>IF(A204="","",IF(COUNTIF(Invoices!$A$5:$A$304,A204)&gt;1,"Duplicate number","OK"))</f>
        <v>0</v>
      </c>
      <c r="AC204" s="28">
        <f>IF(B204="","",TEXT(B204,"yyyy-mm"))</f>
        <v>0</v>
      </c>
      <c r="AD204" s="49">
        <f>IF(A204="","",IF(T204="Draft","Action - still a draft",IF(U204="Overdue","Overdue - chase payment",IF(U204="Overdue - part paid","Overdue - chase the balance",IF(AND(S204&gt;0.004,C204&lt;&gt;"",C204-TODAY()&lt;=ReminderLeadDays,C204&gt;=TODAY()),"Due soon - send a reminder","OK")))))</f>
        <v>0</v>
      </c>
    </row>
    <row r="205" spans="1:30">
      <c r="A205" s="46">
        <f>IF(D205="","",InvoicePrefix&amp;TEXT(InvoiceStartNo+ROW()-5,"0000"))</f>
        <v>0</v>
      </c>
      <c r="C205" s="21">
        <f>IF(B205="","",B205+PaymentTermsDays)</f>
        <v>0</v>
      </c>
      <c r="F205" s="29">
        <f>IF(E205="",0,IFERROR(INDEX(Bookings!$AI$5:$AI$404,MATCH(E205,Bookings!$A$5:$A$404,0)),0))</f>
        <v>0</v>
      </c>
      <c r="J205" s="29">
        <f>IF(D205="","",IF(E205&lt;&gt;"",F205,ROUND(IF(H205="",0,H205)*IF(I205="",0,I205),2)))</f>
        <v>0</v>
      </c>
      <c r="M205" s="29">
        <f>IF(D205="","",ROUND(J205+IF(K205="",0,K205)-IF(L205="",0,L205),2))</f>
        <v>0</v>
      </c>
      <c r="N205" s="29">
        <f>IF(M205="","",IF(TaxRegistered&lt;&gt;"Yes",0,IF(PricesIncludeTax="Yes",ROUND(M205-M205/(1+TaxRate),2),ROUND(M205*TaxRate,2))))</f>
        <v>0</v>
      </c>
      <c r="O205" s="29">
        <f>IF(M205="","",IF(PricesIncludeTax="Yes",M205,ROUND(M205+N205,2)))</f>
        <v>0</v>
      </c>
      <c r="P205" s="29">
        <f>IF(A205="","",SUMIFS(Payments!$E$5:$E$304,Payments!$D$5:$D$304,A205,Payments!$M$5:$M$304,"Yes"))</f>
        <v>0</v>
      </c>
      <c r="Q205" s="29">
        <f>IF(A205="","",SUMIFS(Payments!$K$5:$K$304,Payments!$D$5:$D$304,A205))</f>
        <v>0</v>
      </c>
      <c r="R205" s="29">
        <f>IF(A205="","",SUMIFS(Payments!$J$5:$J$304,Payments!$D$5:$D$304,A205))</f>
        <v>0</v>
      </c>
      <c r="S205" s="29">
        <f>IF(D205="","",ROUND(IF(T205="Cancelled",0,O205-Q205),2))</f>
        <v>0</v>
      </c>
      <c r="U205" s="49">
        <f>IF(A205="","",IF(T205="Cancelled","Cancelled",IF(S205&lt;=0.004,"Paid",IF(Q205&gt;0.004,IF(AND(C205&lt;&gt;"",TODAY()&gt;C205),"Overdue - part paid","Partially paid"),IF(AND(C205&lt;&gt;"",TODAY()&gt;C205),"Overdue",IF(T205="Draft","Draft","Unpaid"))))))</f>
        <v>0</v>
      </c>
      <c r="V205" s="31">
        <f>IF(OR(C205="",S205&lt;=0.004),"",MAX(0,TODAY()-C205))</f>
        <v>0</v>
      </c>
      <c r="W205" s="49">
        <f>IF(A205="","",IF(S205&lt;=0.004,"Paid",IF(V205="","Not due",IF(V205=0,"Current",IF(V205&lt;=30,"1-30 days",IF(V205&lt;=60,"31-60 days",IF(V205&lt;=90,"61-90 days","90+ days")))))))</f>
        <v>0</v>
      </c>
      <c r="X205" s="29">
        <f>IF(OR(V205="",V205=0),0,ROUND(S205*LateFeePct,2))</f>
        <v>0</v>
      </c>
      <c r="AA205" s="49">
        <f>IF(A205="","",IF(COUNTIF(Invoices!$A$5:$A$304,A205)&gt;1,"Duplicate number","OK"))</f>
        <v>0</v>
      </c>
      <c r="AC205" s="28">
        <f>IF(B205="","",TEXT(B205,"yyyy-mm"))</f>
        <v>0</v>
      </c>
      <c r="AD205" s="49">
        <f>IF(A205="","",IF(T205="Draft","Action - still a draft",IF(U205="Overdue","Overdue - chase payment",IF(U205="Overdue - part paid","Overdue - chase the balance",IF(AND(S205&gt;0.004,C205&lt;&gt;"",C205-TODAY()&lt;=ReminderLeadDays,C205&gt;=TODAY()),"Due soon - send a reminder","OK")))))</f>
        <v>0</v>
      </c>
    </row>
    <row r="206" spans="1:30">
      <c r="A206" s="46">
        <f>IF(D206="","",InvoicePrefix&amp;TEXT(InvoiceStartNo+ROW()-5,"0000"))</f>
        <v>0</v>
      </c>
      <c r="C206" s="21">
        <f>IF(B206="","",B206+PaymentTermsDays)</f>
        <v>0</v>
      </c>
      <c r="F206" s="29">
        <f>IF(E206="",0,IFERROR(INDEX(Bookings!$AI$5:$AI$404,MATCH(E206,Bookings!$A$5:$A$404,0)),0))</f>
        <v>0</v>
      </c>
      <c r="J206" s="29">
        <f>IF(D206="","",IF(E206&lt;&gt;"",F206,ROUND(IF(H206="",0,H206)*IF(I206="",0,I206),2)))</f>
        <v>0</v>
      </c>
      <c r="M206" s="29">
        <f>IF(D206="","",ROUND(J206+IF(K206="",0,K206)-IF(L206="",0,L206),2))</f>
        <v>0</v>
      </c>
      <c r="N206" s="29">
        <f>IF(M206="","",IF(TaxRegistered&lt;&gt;"Yes",0,IF(PricesIncludeTax="Yes",ROUND(M206-M206/(1+TaxRate),2),ROUND(M206*TaxRate,2))))</f>
        <v>0</v>
      </c>
      <c r="O206" s="29">
        <f>IF(M206="","",IF(PricesIncludeTax="Yes",M206,ROUND(M206+N206,2)))</f>
        <v>0</v>
      </c>
      <c r="P206" s="29">
        <f>IF(A206="","",SUMIFS(Payments!$E$5:$E$304,Payments!$D$5:$D$304,A206,Payments!$M$5:$M$304,"Yes"))</f>
        <v>0</v>
      </c>
      <c r="Q206" s="29">
        <f>IF(A206="","",SUMIFS(Payments!$K$5:$K$304,Payments!$D$5:$D$304,A206))</f>
        <v>0</v>
      </c>
      <c r="R206" s="29">
        <f>IF(A206="","",SUMIFS(Payments!$J$5:$J$304,Payments!$D$5:$D$304,A206))</f>
        <v>0</v>
      </c>
      <c r="S206" s="29">
        <f>IF(D206="","",ROUND(IF(T206="Cancelled",0,O206-Q206),2))</f>
        <v>0</v>
      </c>
      <c r="U206" s="49">
        <f>IF(A206="","",IF(T206="Cancelled","Cancelled",IF(S206&lt;=0.004,"Paid",IF(Q206&gt;0.004,IF(AND(C206&lt;&gt;"",TODAY()&gt;C206),"Overdue - part paid","Partially paid"),IF(AND(C206&lt;&gt;"",TODAY()&gt;C206),"Overdue",IF(T206="Draft","Draft","Unpaid"))))))</f>
        <v>0</v>
      </c>
      <c r="V206" s="31">
        <f>IF(OR(C206="",S206&lt;=0.004),"",MAX(0,TODAY()-C206))</f>
        <v>0</v>
      </c>
      <c r="W206" s="49">
        <f>IF(A206="","",IF(S206&lt;=0.004,"Paid",IF(V206="","Not due",IF(V206=0,"Current",IF(V206&lt;=30,"1-30 days",IF(V206&lt;=60,"31-60 days",IF(V206&lt;=90,"61-90 days","90+ days")))))))</f>
        <v>0</v>
      </c>
      <c r="X206" s="29">
        <f>IF(OR(V206="",V206=0),0,ROUND(S206*LateFeePct,2))</f>
        <v>0</v>
      </c>
      <c r="AA206" s="49">
        <f>IF(A206="","",IF(COUNTIF(Invoices!$A$5:$A$304,A206)&gt;1,"Duplicate number","OK"))</f>
        <v>0</v>
      </c>
      <c r="AC206" s="28">
        <f>IF(B206="","",TEXT(B206,"yyyy-mm"))</f>
        <v>0</v>
      </c>
      <c r="AD206" s="49">
        <f>IF(A206="","",IF(T206="Draft","Action - still a draft",IF(U206="Overdue","Overdue - chase payment",IF(U206="Overdue - part paid","Overdue - chase the balance",IF(AND(S206&gt;0.004,C206&lt;&gt;"",C206-TODAY()&lt;=ReminderLeadDays,C206&gt;=TODAY()),"Due soon - send a reminder","OK")))))</f>
        <v>0</v>
      </c>
    </row>
    <row r="207" spans="1:30">
      <c r="A207" s="46">
        <f>IF(D207="","",InvoicePrefix&amp;TEXT(InvoiceStartNo+ROW()-5,"0000"))</f>
        <v>0</v>
      </c>
      <c r="C207" s="21">
        <f>IF(B207="","",B207+PaymentTermsDays)</f>
        <v>0</v>
      </c>
      <c r="F207" s="29">
        <f>IF(E207="",0,IFERROR(INDEX(Bookings!$AI$5:$AI$404,MATCH(E207,Bookings!$A$5:$A$404,0)),0))</f>
        <v>0</v>
      </c>
      <c r="J207" s="29">
        <f>IF(D207="","",IF(E207&lt;&gt;"",F207,ROUND(IF(H207="",0,H207)*IF(I207="",0,I207),2)))</f>
        <v>0</v>
      </c>
      <c r="M207" s="29">
        <f>IF(D207="","",ROUND(J207+IF(K207="",0,K207)-IF(L207="",0,L207),2))</f>
        <v>0</v>
      </c>
      <c r="N207" s="29">
        <f>IF(M207="","",IF(TaxRegistered&lt;&gt;"Yes",0,IF(PricesIncludeTax="Yes",ROUND(M207-M207/(1+TaxRate),2),ROUND(M207*TaxRate,2))))</f>
        <v>0</v>
      </c>
      <c r="O207" s="29">
        <f>IF(M207="","",IF(PricesIncludeTax="Yes",M207,ROUND(M207+N207,2)))</f>
        <v>0</v>
      </c>
      <c r="P207" s="29">
        <f>IF(A207="","",SUMIFS(Payments!$E$5:$E$304,Payments!$D$5:$D$304,A207,Payments!$M$5:$M$304,"Yes"))</f>
        <v>0</v>
      </c>
      <c r="Q207" s="29">
        <f>IF(A207="","",SUMIFS(Payments!$K$5:$K$304,Payments!$D$5:$D$304,A207))</f>
        <v>0</v>
      </c>
      <c r="R207" s="29">
        <f>IF(A207="","",SUMIFS(Payments!$J$5:$J$304,Payments!$D$5:$D$304,A207))</f>
        <v>0</v>
      </c>
      <c r="S207" s="29">
        <f>IF(D207="","",ROUND(IF(T207="Cancelled",0,O207-Q207),2))</f>
        <v>0</v>
      </c>
      <c r="U207" s="49">
        <f>IF(A207="","",IF(T207="Cancelled","Cancelled",IF(S207&lt;=0.004,"Paid",IF(Q207&gt;0.004,IF(AND(C207&lt;&gt;"",TODAY()&gt;C207),"Overdue - part paid","Partially paid"),IF(AND(C207&lt;&gt;"",TODAY()&gt;C207),"Overdue",IF(T207="Draft","Draft","Unpaid"))))))</f>
        <v>0</v>
      </c>
      <c r="V207" s="31">
        <f>IF(OR(C207="",S207&lt;=0.004),"",MAX(0,TODAY()-C207))</f>
        <v>0</v>
      </c>
      <c r="W207" s="49">
        <f>IF(A207="","",IF(S207&lt;=0.004,"Paid",IF(V207="","Not due",IF(V207=0,"Current",IF(V207&lt;=30,"1-30 days",IF(V207&lt;=60,"31-60 days",IF(V207&lt;=90,"61-90 days","90+ days")))))))</f>
        <v>0</v>
      </c>
      <c r="X207" s="29">
        <f>IF(OR(V207="",V207=0),0,ROUND(S207*LateFeePct,2))</f>
        <v>0</v>
      </c>
      <c r="AA207" s="49">
        <f>IF(A207="","",IF(COUNTIF(Invoices!$A$5:$A$304,A207)&gt;1,"Duplicate number","OK"))</f>
        <v>0</v>
      </c>
      <c r="AC207" s="28">
        <f>IF(B207="","",TEXT(B207,"yyyy-mm"))</f>
        <v>0</v>
      </c>
      <c r="AD207" s="49">
        <f>IF(A207="","",IF(T207="Draft","Action - still a draft",IF(U207="Overdue","Overdue - chase payment",IF(U207="Overdue - part paid","Overdue - chase the balance",IF(AND(S207&gt;0.004,C207&lt;&gt;"",C207-TODAY()&lt;=ReminderLeadDays,C207&gt;=TODAY()),"Due soon - send a reminder","OK")))))</f>
        <v>0</v>
      </c>
    </row>
    <row r="208" spans="1:30">
      <c r="A208" s="46">
        <f>IF(D208="","",InvoicePrefix&amp;TEXT(InvoiceStartNo+ROW()-5,"0000"))</f>
        <v>0</v>
      </c>
      <c r="C208" s="21">
        <f>IF(B208="","",B208+PaymentTermsDays)</f>
        <v>0</v>
      </c>
      <c r="F208" s="29">
        <f>IF(E208="",0,IFERROR(INDEX(Bookings!$AI$5:$AI$404,MATCH(E208,Bookings!$A$5:$A$404,0)),0))</f>
        <v>0</v>
      </c>
      <c r="J208" s="29">
        <f>IF(D208="","",IF(E208&lt;&gt;"",F208,ROUND(IF(H208="",0,H208)*IF(I208="",0,I208),2)))</f>
        <v>0</v>
      </c>
      <c r="M208" s="29">
        <f>IF(D208="","",ROUND(J208+IF(K208="",0,K208)-IF(L208="",0,L208),2))</f>
        <v>0</v>
      </c>
      <c r="N208" s="29">
        <f>IF(M208="","",IF(TaxRegistered&lt;&gt;"Yes",0,IF(PricesIncludeTax="Yes",ROUND(M208-M208/(1+TaxRate),2),ROUND(M208*TaxRate,2))))</f>
        <v>0</v>
      </c>
      <c r="O208" s="29">
        <f>IF(M208="","",IF(PricesIncludeTax="Yes",M208,ROUND(M208+N208,2)))</f>
        <v>0</v>
      </c>
      <c r="P208" s="29">
        <f>IF(A208="","",SUMIFS(Payments!$E$5:$E$304,Payments!$D$5:$D$304,A208,Payments!$M$5:$M$304,"Yes"))</f>
        <v>0</v>
      </c>
      <c r="Q208" s="29">
        <f>IF(A208="","",SUMIFS(Payments!$K$5:$K$304,Payments!$D$5:$D$304,A208))</f>
        <v>0</v>
      </c>
      <c r="R208" s="29">
        <f>IF(A208="","",SUMIFS(Payments!$J$5:$J$304,Payments!$D$5:$D$304,A208))</f>
        <v>0</v>
      </c>
      <c r="S208" s="29">
        <f>IF(D208="","",ROUND(IF(T208="Cancelled",0,O208-Q208),2))</f>
        <v>0</v>
      </c>
      <c r="U208" s="49">
        <f>IF(A208="","",IF(T208="Cancelled","Cancelled",IF(S208&lt;=0.004,"Paid",IF(Q208&gt;0.004,IF(AND(C208&lt;&gt;"",TODAY()&gt;C208),"Overdue - part paid","Partially paid"),IF(AND(C208&lt;&gt;"",TODAY()&gt;C208),"Overdue",IF(T208="Draft","Draft","Unpaid"))))))</f>
        <v>0</v>
      </c>
      <c r="V208" s="31">
        <f>IF(OR(C208="",S208&lt;=0.004),"",MAX(0,TODAY()-C208))</f>
        <v>0</v>
      </c>
      <c r="W208" s="49">
        <f>IF(A208="","",IF(S208&lt;=0.004,"Paid",IF(V208="","Not due",IF(V208=0,"Current",IF(V208&lt;=30,"1-30 days",IF(V208&lt;=60,"31-60 days",IF(V208&lt;=90,"61-90 days","90+ days")))))))</f>
        <v>0</v>
      </c>
      <c r="X208" s="29">
        <f>IF(OR(V208="",V208=0),0,ROUND(S208*LateFeePct,2))</f>
        <v>0</v>
      </c>
      <c r="AA208" s="49">
        <f>IF(A208="","",IF(COUNTIF(Invoices!$A$5:$A$304,A208)&gt;1,"Duplicate number","OK"))</f>
        <v>0</v>
      </c>
      <c r="AC208" s="28">
        <f>IF(B208="","",TEXT(B208,"yyyy-mm"))</f>
        <v>0</v>
      </c>
      <c r="AD208" s="49">
        <f>IF(A208="","",IF(T208="Draft","Action - still a draft",IF(U208="Overdue","Overdue - chase payment",IF(U208="Overdue - part paid","Overdue - chase the balance",IF(AND(S208&gt;0.004,C208&lt;&gt;"",C208-TODAY()&lt;=ReminderLeadDays,C208&gt;=TODAY()),"Due soon - send a reminder","OK")))))</f>
        <v>0</v>
      </c>
    </row>
    <row r="209" spans="1:30">
      <c r="A209" s="46">
        <f>IF(D209="","",InvoicePrefix&amp;TEXT(InvoiceStartNo+ROW()-5,"0000"))</f>
        <v>0</v>
      </c>
      <c r="C209" s="21">
        <f>IF(B209="","",B209+PaymentTermsDays)</f>
        <v>0</v>
      </c>
      <c r="F209" s="29">
        <f>IF(E209="",0,IFERROR(INDEX(Bookings!$AI$5:$AI$404,MATCH(E209,Bookings!$A$5:$A$404,0)),0))</f>
        <v>0</v>
      </c>
      <c r="J209" s="29">
        <f>IF(D209="","",IF(E209&lt;&gt;"",F209,ROUND(IF(H209="",0,H209)*IF(I209="",0,I209),2)))</f>
        <v>0</v>
      </c>
      <c r="M209" s="29">
        <f>IF(D209="","",ROUND(J209+IF(K209="",0,K209)-IF(L209="",0,L209),2))</f>
        <v>0</v>
      </c>
      <c r="N209" s="29">
        <f>IF(M209="","",IF(TaxRegistered&lt;&gt;"Yes",0,IF(PricesIncludeTax="Yes",ROUND(M209-M209/(1+TaxRate),2),ROUND(M209*TaxRate,2))))</f>
        <v>0</v>
      </c>
      <c r="O209" s="29">
        <f>IF(M209="","",IF(PricesIncludeTax="Yes",M209,ROUND(M209+N209,2)))</f>
        <v>0</v>
      </c>
      <c r="P209" s="29">
        <f>IF(A209="","",SUMIFS(Payments!$E$5:$E$304,Payments!$D$5:$D$304,A209,Payments!$M$5:$M$304,"Yes"))</f>
        <v>0</v>
      </c>
      <c r="Q209" s="29">
        <f>IF(A209="","",SUMIFS(Payments!$K$5:$K$304,Payments!$D$5:$D$304,A209))</f>
        <v>0</v>
      </c>
      <c r="R209" s="29">
        <f>IF(A209="","",SUMIFS(Payments!$J$5:$J$304,Payments!$D$5:$D$304,A209))</f>
        <v>0</v>
      </c>
      <c r="S209" s="29">
        <f>IF(D209="","",ROUND(IF(T209="Cancelled",0,O209-Q209),2))</f>
        <v>0</v>
      </c>
      <c r="U209" s="49">
        <f>IF(A209="","",IF(T209="Cancelled","Cancelled",IF(S209&lt;=0.004,"Paid",IF(Q209&gt;0.004,IF(AND(C209&lt;&gt;"",TODAY()&gt;C209),"Overdue - part paid","Partially paid"),IF(AND(C209&lt;&gt;"",TODAY()&gt;C209),"Overdue",IF(T209="Draft","Draft","Unpaid"))))))</f>
        <v>0</v>
      </c>
      <c r="V209" s="31">
        <f>IF(OR(C209="",S209&lt;=0.004),"",MAX(0,TODAY()-C209))</f>
        <v>0</v>
      </c>
      <c r="W209" s="49">
        <f>IF(A209="","",IF(S209&lt;=0.004,"Paid",IF(V209="","Not due",IF(V209=0,"Current",IF(V209&lt;=30,"1-30 days",IF(V209&lt;=60,"31-60 days",IF(V209&lt;=90,"61-90 days","90+ days")))))))</f>
        <v>0</v>
      </c>
      <c r="X209" s="29">
        <f>IF(OR(V209="",V209=0),0,ROUND(S209*LateFeePct,2))</f>
        <v>0</v>
      </c>
      <c r="AA209" s="49">
        <f>IF(A209="","",IF(COUNTIF(Invoices!$A$5:$A$304,A209)&gt;1,"Duplicate number","OK"))</f>
        <v>0</v>
      </c>
      <c r="AC209" s="28">
        <f>IF(B209="","",TEXT(B209,"yyyy-mm"))</f>
        <v>0</v>
      </c>
      <c r="AD209" s="49">
        <f>IF(A209="","",IF(T209="Draft","Action - still a draft",IF(U209="Overdue","Overdue - chase payment",IF(U209="Overdue - part paid","Overdue - chase the balance",IF(AND(S209&gt;0.004,C209&lt;&gt;"",C209-TODAY()&lt;=ReminderLeadDays,C209&gt;=TODAY()),"Due soon - send a reminder","OK")))))</f>
        <v>0</v>
      </c>
    </row>
    <row r="210" spans="1:30">
      <c r="A210" s="46">
        <f>IF(D210="","",InvoicePrefix&amp;TEXT(InvoiceStartNo+ROW()-5,"0000"))</f>
        <v>0</v>
      </c>
      <c r="C210" s="21">
        <f>IF(B210="","",B210+PaymentTermsDays)</f>
        <v>0</v>
      </c>
      <c r="F210" s="29">
        <f>IF(E210="",0,IFERROR(INDEX(Bookings!$AI$5:$AI$404,MATCH(E210,Bookings!$A$5:$A$404,0)),0))</f>
        <v>0</v>
      </c>
      <c r="J210" s="29">
        <f>IF(D210="","",IF(E210&lt;&gt;"",F210,ROUND(IF(H210="",0,H210)*IF(I210="",0,I210),2)))</f>
        <v>0</v>
      </c>
      <c r="M210" s="29">
        <f>IF(D210="","",ROUND(J210+IF(K210="",0,K210)-IF(L210="",0,L210),2))</f>
        <v>0</v>
      </c>
      <c r="N210" s="29">
        <f>IF(M210="","",IF(TaxRegistered&lt;&gt;"Yes",0,IF(PricesIncludeTax="Yes",ROUND(M210-M210/(1+TaxRate),2),ROUND(M210*TaxRate,2))))</f>
        <v>0</v>
      </c>
      <c r="O210" s="29">
        <f>IF(M210="","",IF(PricesIncludeTax="Yes",M210,ROUND(M210+N210,2)))</f>
        <v>0</v>
      </c>
      <c r="P210" s="29">
        <f>IF(A210="","",SUMIFS(Payments!$E$5:$E$304,Payments!$D$5:$D$304,A210,Payments!$M$5:$M$304,"Yes"))</f>
        <v>0</v>
      </c>
      <c r="Q210" s="29">
        <f>IF(A210="","",SUMIFS(Payments!$K$5:$K$304,Payments!$D$5:$D$304,A210))</f>
        <v>0</v>
      </c>
      <c r="R210" s="29">
        <f>IF(A210="","",SUMIFS(Payments!$J$5:$J$304,Payments!$D$5:$D$304,A210))</f>
        <v>0</v>
      </c>
      <c r="S210" s="29">
        <f>IF(D210="","",ROUND(IF(T210="Cancelled",0,O210-Q210),2))</f>
        <v>0</v>
      </c>
      <c r="U210" s="49">
        <f>IF(A210="","",IF(T210="Cancelled","Cancelled",IF(S210&lt;=0.004,"Paid",IF(Q210&gt;0.004,IF(AND(C210&lt;&gt;"",TODAY()&gt;C210),"Overdue - part paid","Partially paid"),IF(AND(C210&lt;&gt;"",TODAY()&gt;C210),"Overdue",IF(T210="Draft","Draft","Unpaid"))))))</f>
        <v>0</v>
      </c>
      <c r="V210" s="31">
        <f>IF(OR(C210="",S210&lt;=0.004),"",MAX(0,TODAY()-C210))</f>
        <v>0</v>
      </c>
      <c r="W210" s="49">
        <f>IF(A210="","",IF(S210&lt;=0.004,"Paid",IF(V210="","Not due",IF(V210=0,"Current",IF(V210&lt;=30,"1-30 days",IF(V210&lt;=60,"31-60 days",IF(V210&lt;=90,"61-90 days","90+ days")))))))</f>
        <v>0</v>
      </c>
      <c r="X210" s="29">
        <f>IF(OR(V210="",V210=0),0,ROUND(S210*LateFeePct,2))</f>
        <v>0</v>
      </c>
      <c r="AA210" s="49">
        <f>IF(A210="","",IF(COUNTIF(Invoices!$A$5:$A$304,A210)&gt;1,"Duplicate number","OK"))</f>
        <v>0</v>
      </c>
      <c r="AC210" s="28">
        <f>IF(B210="","",TEXT(B210,"yyyy-mm"))</f>
        <v>0</v>
      </c>
      <c r="AD210" s="49">
        <f>IF(A210="","",IF(T210="Draft","Action - still a draft",IF(U210="Overdue","Overdue - chase payment",IF(U210="Overdue - part paid","Overdue - chase the balance",IF(AND(S210&gt;0.004,C210&lt;&gt;"",C210-TODAY()&lt;=ReminderLeadDays,C210&gt;=TODAY()),"Due soon - send a reminder","OK")))))</f>
        <v>0</v>
      </c>
    </row>
    <row r="211" spans="1:30">
      <c r="A211" s="46">
        <f>IF(D211="","",InvoicePrefix&amp;TEXT(InvoiceStartNo+ROW()-5,"0000"))</f>
        <v>0</v>
      </c>
      <c r="C211" s="21">
        <f>IF(B211="","",B211+PaymentTermsDays)</f>
        <v>0</v>
      </c>
      <c r="F211" s="29">
        <f>IF(E211="",0,IFERROR(INDEX(Bookings!$AI$5:$AI$404,MATCH(E211,Bookings!$A$5:$A$404,0)),0))</f>
        <v>0</v>
      </c>
      <c r="J211" s="29">
        <f>IF(D211="","",IF(E211&lt;&gt;"",F211,ROUND(IF(H211="",0,H211)*IF(I211="",0,I211),2)))</f>
        <v>0</v>
      </c>
      <c r="M211" s="29">
        <f>IF(D211="","",ROUND(J211+IF(K211="",0,K211)-IF(L211="",0,L211),2))</f>
        <v>0</v>
      </c>
      <c r="N211" s="29">
        <f>IF(M211="","",IF(TaxRegistered&lt;&gt;"Yes",0,IF(PricesIncludeTax="Yes",ROUND(M211-M211/(1+TaxRate),2),ROUND(M211*TaxRate,2))))</f>
        <v>0</v>
      </c>
      <c r="O211" s="29">
        <f>IF(M211="","",IF(PricesIncludeTax="Yes",M211,ROUND(M211+N211,2)))</f>
        <v>0</v>
      </c>
      <c r="P211" s="29">
        <f>IF(A211="","",SUMIFS(Payments!$E$5:$E$304,Payments!$D$5:$D$304,A211,Payments!$M$5:$M$304,"Yes"))</f>
        <v>0</v>
      </c>
      <c r="Q211" s="29">
        <f>IF(A211="","",SUMIFS(Payments!$K$5:$K$304,Payments!$D$5:$D$304,A211))</f>
        <v>0</v>
      </c>
      <c r="R211" s="29">
        <f>IF(A211="","",SUMIFS(Payments!$J$5:$J$304,Payments!$D$5:$D$304,A211))</f>
        <v>0</v>
      </c>
      <c r="S211" s="29">
        <f>IF(D211="","",ROUND(IF(T211="Cancelled",0,O211-Q211),2))</f>
        <v>0</v>
      </c>
      <c r="U211" s="49">
        <f>IF(A211="","",IF(T211="Cancelled","Cancelled",IF(S211&lt;=0.004,"Paid",IF(Q211&gt;0.004,IF(AND(C211&lt;&gt;"",TODAY()&gt;C211),"Overdue - part paid","Partially paid"),IF(AND(C211&lt;&gt;"",TODAY()&gt;C211),"Overdue",IF(T211="Draft","Draft","Unpaid"))))))</f>
        <v>0</v>
      </c>
      <c r="V211" s="31">
        <f>IF(OR(C211="",S211&lt;=0.004),"",MAX(0,TODAY()-C211))</f>
        <v>0</v>
      </c>
      <c r="W211" s="49">
        <f>IF(A211="","",IF(S211&lt;=0.004,"Paid",IF(V211="","Not due",IF(V211=0,"Current",IF(V211&lt;=30,"1-30 days",IF(V211&lt;=60,"31-60 days",IF(V211&lt;=90,"61-90 days","90+ days")))))))</f>
        <v>0</v>
      </c>
      <c r="X211" s="29">
        <f>IF(OR(V211="",V211=0),0,ROUND(S211*LateFeePct,2))</f>
        <v>0</v>
      </c>
      <c r="AA211" s="49">
        <f>IF(A211="","",IF(COUNTIF(Invoices!$A$5:$A$304,A211)&gt;1,"Duplicate number","OK"))</f>
        <v>0</v>
      </c>
      <c r="AC211" s="28">
        <f>IF(B211="","",TEXT(B211,"yyyy-mm"))</f>
        <v>0</v>
      </c>
      <c r="AD211" s="49">
        <f>IF(A211="","",IF(T211="Draft","Action - still a draft",IF(U211="Overdue","Overdue - chase payment",IF(U211="Overdue - part paid","Overdue - chase the balance",IF(AND(S211&gt;0.004,C211&lt;&gt;"",C211-TODAY()&lt;=ReminderLeadDays,C211&gt;=TODAY()),"Due soon - send a reminder","OK")))))</f>
        <v>0</v>
      </c>
    </row>
    <row r="212" spans="1:30">
      <c r="A212" s="46">
        <f>IF(D212="","",InvoicePrefix&amp;TEXT(InvoiceStartNo+ROW()-5,"0000"))</f>
        <v>0</v>
      </c>
      <c r="C212" s="21">
        <f>IF(B212="","",B212+PaymentTermsDays)</f>
        <v>0</v>
      </c>
      <c r="F212" s="29">
        <f>IF(E212="",0,IFERROR(INDEX(Bookings!$AI$5:$AI$404,MATCH(E212,Bookings!$A$5:$A$404,0)),0))</f>
        <v>0</v>
      </c>
      <c r="J212" s="29">
        <f>IF(D212="","",IF(E212&lt;&gt;"",F212,ROUND(IF(H212="",0,H212)*IF(I212="",0,I212),2)))</f>
        <v>0</v>
      </c>
      <c r="M212" s="29">
        <f>IF(D212="","",ROUND(J212+IF(K212="",0,K212)-IF(L212="",0,L212),2))</f>
        <v>0</v>
      </c>
      <c r="N212" s="29">
        <f>IF(M212="","",IF(TaxRegistered&lt;&gt;"Yes",0,IF(PricesIncludeTax="Yes",ROUND(M212-M212/(1+TaxRate),2),ROUND(M212*TaxRate,2))))</f>
        <v>0</v>
      </c>
      <c r="O212" s="29">
        <f>IF(M212="","",IF(PricesIncludeTax="Yes",M212,ROUND(M212+N212,2)))</f>
        <v>0</v>
      </c>
      <c r="P212" s="29">
        <f>IF(A212="","",SUMIFS(Payments!$E$5:$E$304,Payments!$D$5:$D$304,A212,Payments!$M$5:$M$304,"Yes"))</f>
        <v>0</v>
      </c>
      <c r="Q212" s="29">
        <f>IF(A212="","",SUMIFS(Payments!$K$5:$K$304,Payments!$D$5:$D$304,A212))</f>
        <v>0</v>
      </c>
      <c r="R212" s="29">
        <f>IF(A212="","",SUMIFS(Payments!$J$5:$J$304,Payments!$D$5:$D$304,A212))</f>
        <v>0</v>
      </c>
      <c r="S212" s="29">
        <f>IF(D212="","",ROUND(IF(T212="Cancelled",0,O212-Q212),2))</f>
        <v>0</v>
      </c>
      <c r="U212" s="49">
        <f>IF(A212="","",IF(T212="Cancelled","Cancelled",IF(S212&lt;=0.004,"Paid",IF(Q212&gt;0.004,IF(AND(C212&lt;&gt;"",TODAY()&gt;C212),"Overdue - part paid","Partially paid"),IF(AND(C212&lt;&gt;"",TODAY()&gt;C212),"Overdue",IF(T212="Draft","Draft","Unpaid"))))))</f>
        <v>0</v>
      </c>
      <c r="V212" s="31">
        <f>IF(OR(C212="",S212&lt;=0.004),"",MAX(0,TODAY()-C212))</f>
        <v>0</v>
      </c>
      <c r="W212" s="49">
        <f>IF(A212="","",IF(S212&lt;=0.004,"Paid",IF(V212="","Not due",IF(V212=0,"Current",IF(V212&lt;=30,"1-30 days",IF(V212&lt;=60,"31-60 days",IF(V212&lt;=90,"61-90 days","90+ days")))))))</f>
        <v>0</v>
      </c>
      <c r="X212" s="29">
        <f>IF(OR(V212="",V212=0),0,ROUND(S212*LateFeePct,2))</f>
        <v>0</v>
      </c>
      <c r="AA212" s="49">
        <f>IF(A212="","",IF(COUNTIF(Invoices!$A$5:$A$304,A212)&gt;1,"Duplicate number","OK"))</f>
        <v>0</v>
      </c>
      <c r="AC212" s="28">
        <f>IF(B212="","",TEXT(B212,"yyyy-mm"))</f>
        <v>0</v>
      </c>
      <c r="AD212" s="49">
        <f>IF(A212="","",IF(T212="Draft","Action - still a draft",IF(U212="Overdue","Overdue - chase payment",IF(U212="Overdue - part paid","Overdue - chase the balance",IF(AND(S212&gt;0.004,C212&lt;&gt;"",C212-TODAY()&lt;=ReminderLeadDays,C212&gt;=TODAY()),"Due soon - send a reminder","OK")))))</f>
        <v>0</v>
      </c>
    </row>
    <row r="213" spans="1:30">
      <c r="A213" s="46">
        <f>IF(D213="","",InvoicePrefix&amp;TEXT(InvoiceStartNo+ROW()-5,"0000"))</f>
        <v>0</v>
      </c>
      <c r="C213" s="21">
        <f>IF(B213="","",B213+PaymentTermsDays)</f>
        <v>0</v>
      </c>
      <c r="F213" s="29">
        <f>IF(E213="",0,IFERROR(INDEX(Bookings!$AI$5:$AI$404,MATCH(E213,Bookings!$A$5:$A$404,0)),0))</f>
        <v>0</v>
      </c>
      <c r="J213" s="29">
        <f>IF(D213="","",IF(E213&lt;&gt;"",F213,ROUND(IF(H213="",0,H213)*IF(I213="",0,I213),2)))</f>
        <v>0</v>
      </c>
      <c r="M213" s="29">
        <f>IF(D213="","",ROUND(J213+IF(K213="",0,K213)-IF(L213="",0,L213),2))</f>
        <v>0</v>
      </c>
      <c r="N213" s="29">
        <f>IF(M213="","",IF(TaxRegistered&lt;&gt;"Yes",0,IF(PricesIncludeTax="Yes",ROUND(M213-M213/(1+TaxRate),2),ROUND(M213*TaxRate,2))))</f>
        <v>0</v>
      </c>
      <c r="O213" s="29">
        <f>IF(M213="","",IF(PricesIncludeTax="Yes",M213,ROUND(M213+N213,2)))</f>
        <v>0</v>
      </c>
      <c r="P213" s="29">
        <f>IF(A213="","",SUMIFS(Payments!$E$5:$E$304,Payments!$D$5:$D$304,A213,Payments!$M$5:$M$304,"Yes"))</f>
        <v>0</v>
      </c>
      <c r="Q213" s="29">
        <f>IF(A213="","",SUMIFS(Payments!$K$5:$K$304,Payments!$D$5:$D$304,A213))</f>
        <v>0</v>
      </c>
      <c r="R213" s="29">
        <f>IF(A213="","",SUMIFS(Payments!$J$5:$J$304,Payments!$D$5:$D$304,A213))</f>
        <v>0</v>
      </c>
      <c r="S213" s="29">
        <f>IF(D213="","",ROUND(IF(T213="Cancelled",0,O213-Q213),2))</f>
        <v>0</v>
      </c>
      <c r="U213" s="49">
        <f>IF(A213="","",IF(T213="Cancelled","Cancelled",IF(S213&lt;=0.004,"Paid",IF(Q213&gt;0.004,IF(AND(C213&lt;&gt;"",TODAY()&gt;C213),"Overdue - part paid","Partially paid"),IF(AND(C213&lt;&gt;"",TODAY()&gt;C213),"Overdue",IF(T213="Draft","Draft","Unpaid"))))))</f>
        <v>0</v>
      </c>
      <c r="V213" s="31">
        <f>IF(OR(C213="",S213&lt;=0.004),"",MAX(0,TODAY()-C213))</f>
        <v>0</v>
      </c>
      <c r="W213" s="49">
        <f>IF(A213="","",IF(S213&lt;=0.004,"Paid",IF(V213="","Not due",IF(V213=0,"Current",IF(V213&lt;=30,"1-30 days",IF(V213&lt;=60,"31-60 days",IF(V213&lt;=90,"61-90 days","90+ days")))))))</f>
        <v>0</v>
      </c>
      <c r="X213" s="29">
        <f>IF(OR(V213="",V213=0),0,ROUND(S213*LateFeePct,2))</f>
        <v>0</v>
      </c>
      <c r="AA213" s="49">
        <f>IF(A213="","",IF(COUNTIF(Invoices!$A$5:$A$304,A213)&gt;1,"Duplicate number","OK"))</f>
        <v>0</v>
      </c>
      <c r="AC213" s="28">
        <f>IF(B213="","",TEXT(B213,"yyyy-mm"))</f>
        <v>0</v>
      </c>
      <c r="AD213" s="49">
        <f>IF(A213="","",IF(T213="Draft","Action - still a draft",IF(U213="Overdue","Overdue - chase payment",IF(U213="Overdue - part paid","Overdue - chase the balance",IF(AND(S213&gt;0.004,C213&lt;&gt;"",C213-TODAY()&lt;=ReminderLeadDays,C213&gt;=TODAY()),"Due soon - send a reminder","OK")))))</f>
        <v>0</v>
      </c>
    </row>
    <row r="214" spans="1:30">
      <c r="A214" s="46">
        <f>IF(D214="","",InvoicePrefix&amp;TEXT(InvoiceStartNo+ROW()-5,"0000"))</f>
        <v>0</v>
      </c>
      <c r="C214" s="21">
        <f>IF(B214="","",B214+PaymentTermsDays)</f>
        <v>0</v>
      </c>
      <c r="F214" s="29">
        <f>IF(E214="",0,IFERROR(INDEX(Bookings!$AI$5:$AI$404,MATCH(E214,Bookings!$A$5:$A$404,0)),0))</f>
        <v>0</v>
      </c>
      <c r="J214" s="29">
        <f>IF(D214="","",IF(E214&lt;&gt;"",F214,ROUND(IF(H214="",0,H214)*IF(I214="",0,I214),2)))</f>
        <v>0</v>
      </c>
      <c r="M214" s="29">
        <f>IF(D214="","",ROUND(J214+IF(K214="",0,K214)-IF(L214="",0,L214),2))</f>
        <v>0</v>
      </c>
      <c r="N214" s="29">
        <f>IF(M214="","",IF(TaxRegistered&lt;&gt;"Yes",0,IF(PricesIncludeTax="Yes",ROUND(M214-M214/(1+TaxRate),2),ROUND(M214*TaxRate,2))))</f>
        <v>0</v>
      </c>
      <c r="O214" s="29">
        <f>IF(M214="","",IF(PricesIncludeTax="Yes",M214,ROUND(M214+N214,2)))</f>
        <v>0</v>
      </c>
      <c r="P214" s="29">
        <f>IF(A214="","",SUMIFS(Payments!$E$5:$E$304,Payments!$D$5:$D$304,A214,Payments!$M$5:$M$304,"Yes"))</f>
        <v>0</v>
      </c>
      <c r="Q214" s="29">
        <f>IF(A214="","",SUMIFS(Payments!$K$5:$K$304,Payments!$D$5:$D$304,A214))</f>
        <v>0</v>
      </c>
      <c r="R214" s="29">
        <f>IF(A214="","",SUMIFS(Payments!$J$5:$J$304,Payments!$D$5:$D$304,A214))</f>
        <v>0</v>
      </c>
      <c r="S214" s="29">
        <f>IF(D214="","",ROUND(IF(T214="Cancelled",0,O214-Q214),2))</f>
        <v>0</v>
      </c>
      <c r="U214" s="49">
        <f>IF(A214="","",IF(T214="Cancelled","Cancelled",IF(S214&lt;=0.004,"Paid",IF(Q214&gt;0.004,IF(AND(C214&lt;&gt;"",TODAY()&gt;C214),"Overdue - part paid","Partially paid"),IF(AND(C214&lt;&gt;"",TODAY()&gt;C214),"Overdue",IF(T214="Draft","Draft","Unpaid"))))))</f>
        <v>0</v>
      </c>
      <c r="V214" s="31">
        <f>IF(OR(C214="",S214&lt;=0.004),"",MAX(0,TODAY()-C214))</f>
        <v>0</v>
      </c>
      <c r="W214" s="49">
        <f>IF(A214="","",IF(S214&lt;=0.004,"Paid",IF(V214="","Not due",IF(V214=0,"Current",IF(V214&lt;=30,"1-30 days",IF(V214&lt;=60,"31-60 days",IF(V214&lt;=90,"61-90 days","90+ days")))))))</f>
        <v>0</v>
      </c>
      <c r="X214" s="29">
        <f>IF(OR(V214="",V214=0),0,ROUND(S214*LateFeePct,2))</f>
        <v>0</v>
      </c>
      <c r="AA214" s="49">
        <f>IF(A214="","",IF(COUNTIF(Invoices!$A$5:$A$304,A214)&gt;1,"Duplicate number","OK"))</f>
        <v>0</v>
      </c>
      <c r="AC214" s="28">
        <f>IF(B214="","",TEXT(B214,"yyyy-mm"))</f>
        <v>0</v>
      </c>
      <c r="AD214" s="49">
        <f>IF(A214="","",IF(T214="Draft","Action - still a draft",IF(U214="Overdue","Overdue - chase payment",IF(U214="Overdue - part paid","Overdue - chase the balance",IF(AND(S214&gt;0.004,C214&lt;&gt;"",C214-TODAY()&lt;=ReminderLeadDays,C214&gt;=TODAY()),"Due soon - send a reminder","OK")))))</f>
        <v>0</v>
      </c>
    </row>
    <row r="215" spans="1:30">
      <c r="A215" s="46">
        <f>IF(D215="","",InvoicePrefix&amp;TEXT(InvoiceStartNo+ROW()-5,"0000"))</f>
        <v>0</v>
      </c>
      <c r="C215" s="21">
        <f>IF(B215="","",B215+PaymentTermsDays)</f>
        <v>0</v>
      </c>
      <c r="F215" s="29">
        <f>IF(E215="",0,IFERROR(INDEX(Bookings!$AI$5:$AI$404,MATCH(E215,Bookings!$A$5:$A$404,0)),0))</f>
        <v>0</v>
      </c>
      <c r="J215" s="29">
        <f>IF(D215="","",IF(E215&lt;&gt;"",F215,ROUND(IF(H215="",0,H215)*IF(I215="",0,I215),2)))</f>
        <v>0</v>
      </c>
      <c r="M215" s="29">
        <f>IF(D215="","",ROUND(J215+IF(K215="",0,K215)-IF(L215="",0,L215),2))</f>
        <v>0</v>
      </c>
      <c r="N215" s="29">
        <f>IF(M215="","",IF(TaxRegistered&lt;&gt;"Yes",0,IF(PricesIncludeTax="Yes",ROUND(M215-M215/(1+TaxRate),2),ROUND(M215*TaxRate,2))))</f>
        <v>0</v>
      </c>
      <c r="O215" s="29">
        <f>IF(M215="","",IF(PricesIncludeTax="Yes",M215,ROUND(M215+N215,2)))</f>
        <v>0</v>
      </c>
      <c r="P215" s="29">
        <f>IF(A215="","",SUMIFS(Payments!$E$5:$E$304,Payments!$D$5:$D$304,A215,Payments!$M$5:$M$304,"Yes"))</f>
        <v>0</v>
      </c>
      <c r="Q215" s="29">
        <f>IF(A215="","",SUMIFS(Payments!$K$5:$K$304,Payments!$D$5:$D$304,A215))</f>
        <v>0</v>
      </c>
      <c r="R215" s="29">
        <f>IF(A215="","",SUMIFS(Payments!$J$5:$J$304,Payments!$D$5:$D$304,A215))</f>
        <v>0</v>
      </c>
      <c r="S215" s="29">
        <f>IF(D215="","",ROUND(IF(T215="Cancelled",0,O215-Q215),2))</f>
        <v>0</v>
      </c>
      <c r="U215" s="49">
        <f>IF(A215="","",IF(T215="Cancelled","Cancelled",IF(S215&lt;=0.004,"Paid",IF(Q215&gt;0.004,IF(AND(C215&lt;&gt;"",TODAY()&gt;C215),"Overdue - part paid","Partially paid"),IF(AND(C215&lt;&gt;"",TODAY()&gt;C215),"Overdue",IF(T215="Draft","Draft","Unpaid"))))))</f>
        <v>0</v>
      </c>
      <c r="V215" s="31">
        <f>IF(OR(C215="",S215&lt;=0.004),"",MAX(0,TODAY()-C215))</f>
        <v>0</v>
      </c>
      <c r="W215" s="49">
        <f>IF(A215="","",IF(S215&lt;=0.004,"Paid",IF(V215="","Not due",IF(V215=0,"Current",IF(V215&lt;=30,"1-30 days",IF(V215&lt;=60,"31-60 days",IF(V215&lt;=90,"61-90 days","90+ days")))))))</f>
        <v>0</v>
      </c>
      <c r="X215" s="29">
        <f>IF(OR(V215="",V215=0),0,ROUND(S215*LateFeePct,2))</f>
        <v>0</v>
      </c>
      <c r="AA215" s="49">
        <f>IF(A215="","",IF(COUNTIF(Invoices!$A$5:$A$304,A215)&gt;1,"Duplicate number","OK"))</f>
        <v>0</v>
      </c>
      <c r="AC215" s="28">
        <f>IF(B215="","",TEXT(B215,"yyyy-mm"))</f>
        <v>0</v>
      </c>
      <c r="AD215" s="49">
        <f>IF(A215="","",IF(T215="Draft","Action - still a draft",IF(U215="Overdue","Overdue - chase payment",IF(U215="Overdue - part paid","Overdue - chase the balance",IF(AND(S215&gt;0.004,C215&lt;&gt;"",C215-TODAY()&lt;=ReminderLeadDays,C215&gt;=TODAY()),"Due soon - send a reminder","OK")))))</f>
        <v>0</v>
      </c>
    </row>
    <row r="216" spans="1:30">
      <c r="A216" s="46">
        <f>IF(D216="","",InvoicePrefix&amp;TEXT(InvoiceStartNo+ROW()-5,"0000"))</f>
        <v>0</v>
      </c>
      <c r="C216" s="21">
        <f>IF(B216="","",B216+PaymentTermsDays)</f>
        <v>0</v>
      </c>
      <c r="F216" s="29">
        <f>IF(E216="",0,IFERROR(INDEX(Bookings!$AI$5:$AI$404,MATCH(E216,Bookings!$A$5:$A$404,0)),0))</f>
        <v>0</v>
      </c>
      <c r="J216" s="29">
        <f>IF(D216="","",IF(E216&lt;&gt;"",F216,ROUND(IF(H216="",0,H216)*IF(I216="",0,I216),2)))</f>
        <v>0</v>
      </c>
      <c r="M216" s="29">
        <f>IF(D216="","",ROUND(J216+IF(K216="",0,K216)-IF(L216="",0,L216),2))</f>
        <v>0</v>
      </c>
      <c r="N216" s="29">
        <f>IF(M216="","",IF(TaxRegistered&lt;&gt;"Yes",0,IF(PricesIncludeTax="Yes",ROUND(M216-M216/(1+TaxRate),2),ROUND(M216*TaxRate,2))))</f>
        <v>0</v>
      </c>
      <c r="O216" s="29">
        <f>IF(M216="","",IF(PricesIncludeTax="Yes",M216,ROUND(M216+N216,2)))</f>
        <v>0</v>
      </c>
      <c r="P216" s="29">
        <f>IF(A216="","",SUMIFS(Payments!$E$5:$E$304,Payments!$D$5:$D$304,A216,Payments!$M$5:$M$304,"Yes"))</f>
        <v>0</v>
      </c>
      <c r="Q216" s="29">
        <f>IF(A216="","",SUMIFS(Payments!$K$5:$K$304,Payments!$D$5:$D$304,A216))</f>
        <v>0</v>
      </c>
      <c r="R216" s="29">
        <f>IF(A216="","",SUMIFS(Payments!$J$5:$J$304,Payments!$D$5:$D$304,A216))</f>
        <v>0</v>
      </c>
      <c r="S216" s="29">
        <f>IF(D216="","",ROUND(IF(T216="Cancelled",0,O216-Q216),2))</f>
        <v>0</v>
      </c>
      <c r="U216" s="49">
        <f>IF(A216="","",IF(T216="Cancelled","Cancelled",IF(S216&lt;=0.004,"Paid",IF(Q216&gt;0.004,IF(AND(C216&lt;&gt;"",TODAY()&gt;C216),"Overdue - part paid","Partially paid"),IF(AND(C216&lt;&gt;"",TODAY()&gt;C216),"Overdue",IF(T216="Draft","Draft","Unpaid"))))))</f>
        <v>0</v>
      </c>
      <c r="V216" s="31">
        <f>IF(OR(C216="",S216&lt;=0.004),"",MAX(0,TODAY()-C216))</f>
        <v>0</v>
      </c>
      <c r="W216" s="49">
        <f>IF(A216="","",IF(S216&lt;=0.004,"Paid",IF(V216="","Not due",IF(V216=0,"Current",IF(V216&lt;=30,"1-30 days",IF(V216&lt;=60,"31-60 days",IF(V216&lt;=90,"61-90 days","90+ days")))))))</f>
        <v>0</v>
      </c>
      <c r="X216" s="29">
        <f>IF(OR(V216="",V216=0),0,ROUND(S216*LateFeePct,2))</f>
        <v>0</v>
      </c>
      <c r="AA216" s="49">
        <f>IF(A216="","",IF(COUNTIF(Invoices!$A$5:$A$304,A216)&gt;1,"Duplicate number","OK"))</f>
        <v>0</v>
      </c>
      <c r="AC216" s="28">
        <f>IF(B216="","",TEXT(B216,"yyyy-mm"))</f>
        <v>0</v>
      </c>
      <c r="AD216" s="49">
        <f>IF(A216="","",IF(T216="Draft","Action - still a draft",IF(U216="Overdue","Overdue - chase payment",IF(U216="Overdue - part paid","Overdue - chase the balance",IF(AND(S216&gt;0.004,C216&lt;&gt;"",C216-TODAY()&lt;=ReminderLeadDays,C216&gt;=TODAY()),"Due soon - send a reminder","OK")))))</f>
        <v>0</v>
      </c>
    </row>
    <row r="217" spans="1:30">
      <c r="A217" s="46">
        <f>IF(D217="","",InvoicePrefix&amp;TEXT(InvoiceStartNo+ROW()-5,"0000"))</f>
        <v>0</v>
      </c>
      <c r="C217" s="21">
        <f>IF(B217="","",B217+PaymentTermsDays)</f>
        <v>0</v>
      </c>
      <c r="F217" s="29">
        <f>IF(E217="",0,IFERROR(INDEX(Bookings!$AI$5:$AI$404,MATCH(E217,Bookings!$A$5:$A$404,0)),0))</f>
        <v>0</v>
      </c>
      <c r="J217" s="29">
        <f>IF(D217="","",IF(E217&lt;&gt;"",F217,ROUND(IF(H217="",0,H217)*IF(I217="",0,I217),2)))</f>
        <v>0</v>
      </c>
      <c r="M217" s="29">
        <f>IF(D217="","",ROUND(J217+IF(K217="",0,K217)-IF(L217="",0,L217),2))</f>
        <v>0</v>
      </c>
      <c r="N217" s="29">
        <f>IF(M217="","",IF(TaxRegistered&lt;&gt;"Yes",0,IF(PricesIncludeTax="Yes",ROUND(M217-M217/(1+TaxRate),2),ROUND(M217*TaxRate,2))))</f>
        <v>0</v>
      </c>
      <c r="O217" s="29">
        <f>IF(M217="","",IF(PricesIncludeTax="Yes",M217,ROUND(M217+N217,2)))</f>
        <v>0</v>
      </c>
      <c r="P217" s="29">
        <f>IF(A217="","",SUMIFS(Payments!$E$5:$E$304,Payments!$D$5:$D$304,A217,Payments!$M$5:$M$304,"Yes"))</f>
        <v>0</v>
      </c>
      <c r="Q217" s="29">
        <f>IF(A217="","",SUMIFS(Payments!$K$5:$K$304,Payments!$D$5:$D$304,A217))</f>
        <v>0</v>
      </c>
      <c r="R217" s="29">
        <f>IF(A217="","",SUMIFS(Payments!$J$5:$J$304,Payments!$D$5:$D$304,A217))</f>
        <v>0</v>
      </c>
      <c r="S217" s="29">
        <f>IF(D217="","",ROUND(IF(T217="Cancelled",0,O217-Q217),2))</f>
        <v>0</v>
      </c>
      <c r="U217" s="49">
        <f>IF(A217="","",IF(T217="Cancelled","Cancelled",IF(S217&lt;=0.004,"Paid",IF(Q217&gt;0.004,IF(AND(C217&lt;&gt;"",TODAY()&gt;C217),"Overdue - part paid","Partially paid"),IF(AND(C217&lt;&gt;"",TODAY()&gt;C217),"Overdue",IF(T217="Draft","Draft","Unpaid"))))))</f>
        <v>0</v>
      </c>
      <c r="V217" s="31">
        <f>IF(OR(C217="",S217&lt;=0.004),"",MAX(0,TODAY()-C217))</f>
        <v>0</v>
      </c>
      <c r="W217" s="49">
        <f>IF(A217="","",IF(S217&lt;=0.004,"Paid",IF(V217="","Not due",IF(V217=0,"Current",IF(V217&lt;=30,"1-30 days",IF(V217&lt;=60,"31-60 days",IF(V217&lt;=90,"61-90 days","90+ days")))))))</f>
        <v>0</v>
      </c>
      <c r="X217" s="29">
        <f>IF(OR(V217="",V217=0),0,ROUND(S217*LateFeePct,2))</f>
        <v>0</v>
      </c>
      <c r="AA217" s="49">
        <f>IF(A217="","",IF(COUNTIF(Invoices!$A$5:$A$304,A217)&gt;1,"Duplicate number","OK"))</f>
        <v>0</v>
      </c>
      <c r="AC217" s="28">
        <f>IF(B217="","",TEXT(B217,"yyyy-mm"))</f>
        <v>0</v>
      </c>
      <c r="AD217" s="49">
        <f>IF(A217="","",IF(T217="Draft","Action - still a draft",IF(U217="Overdue","Overdue - chase payment",IF(U217="Overdue - part paid","Overdue - chase the balance",IF(AND(S217&gt;0.004,C217&lt;&gt;"",C217-TODAY()&lt;=ReminderLeadDays,C217&gt;=TODAY()),"Due soon - send a reminder","OK")))))</f>
        <v>0</v>
      </c>
    </row>
    <row r="218" spans="1:30">
      <c r="A218" s="46">
        <f>IF(D218="","",InvoicePrefix&amp;TEXT(InvoiceStartNo+ROW()-5,"0000"))</f>
        <v>0</v>
      </c>
      <c r="C218" s="21">
        <f>IF(B218="","",B218+PaymentTermsDays)</f>
        <v>0</v>
      </c>
      <c r="F218" s="29">
        <f>IF(E218="",0,IFERROR(INDEX(Bookings!$AI$5:$AI$404,MATCH(E218,Bookings!$A$5:$A$404,0)),0))</f>
        <v>0</v>
      </c>
      <c r="J218" s="29">
        <f>IF(D218="","",IF(E218&lt;&gt;"",F218,ROUND(IF(H218="",0,H218)*IF(I218="",0,I218),2)))</f>
        <v>0</v>
      </c>
      <c r="M218" s="29">
        <f>IF(D218="","",ROUND(J218+IF(K218="",0,K218)-IF(L218="",0,L218),2))</f>
        <v>0</v>
      </c>
      <c r="N218" s="29">
        <f>IF(M218="","",IF(TaxRegistered&lt;&gt;"Yes",0,IF(PricesIncludeTax="Yes",ROUND(M218-M218/(1+TaxRate),2),ROUND(M218*TaxRate,2))))</f>
        <v>0</v>
      </c>
      <c r="O218" s="29">
        <f>IF(M218="","",IF(PricesIncludeTax="Yes",M218,ROUND(M218+N218,2)))</f>
        <v>0</v>
      </c>
      <c r="P218" s="29">
        <f>IF(A218="","",SUMIFS(Payments!$E$5:$E$304,Payments!$D$5:$D$304,A218,Payments!$M$5:$M$304,"Yes"))</f>
        <v>0</v>
      </c>
      <c r="Q218" s="29">
        <f>IF(A218="","",SUMIFS(Payments!$K$5:$K$304,Payments!$D$5:$D$304,A218))</f>
        <v>0</v>
      </c>
      <c r="R218" s="29">
        <f>IF(A218="","",SUMIFS(Payments!$J$5:$J$304,Payments!$D$5:$D$304,A218))</f>
        <v>0</v>
      </c>
      <c r="S218" s="29">
        <f>IF(D218="","",ROUND(IF(T218="Cancelled",0,O218-Q218),2))</f>
        <v>0</v>
      </c>
      <c r="U218" s="49">
        <f>IF(A218="","",IF(T218="Cancelled","Cancelled",IF(S218&lt;=0.004,"Paid",IF(Q218&gt;0.004,IF(AND(C218&lt;&gt;"",TODAY()&gt;C218),"Overdue - part paid","Partially paid"),IF(AND(C218&lt;&gt;"",TODAY()&gt;C218),"Overdue",IF(T218="Draft","Draft","Unpaid"))))))</f>
        <v>0</v>
      </c>
      <c r="V218" s="31">
        <f>IF(OR(C218="",S218&lt;=0.004),"",MAX(0,TODAY()-C218))</f>
        <v>0</v>
      </c>
      <c r="W218" s="49">
        <f>IF(A218="","",IF(S218&lt;=0.004,"Paid",IF(V218="","Not due",IF(V218=0,"Current",IF(V218&lt;=30,"1-30 days",IF(V218&lt;=60,"31-60 days",IF(V218&lt;=90,"61-90 days","90+ days")))))))</f>
        <v>0</v>
      </c>
      <c r="X218" s="29">
        <f>IF(OR(V218="",V218=0),0,ROUND(S218*LateFeePct,2))</f>
        <v>0</v>
      </c>
      <c r="AA218" s="49">
        <f>IF(A218="","",IF(COUNTIF(Invoices!$A$5:$A$304,A218)&gt;1,"Duplicate number","OK"))</f>
        <v>0</v>
      </c>
      <c r="AC218" s="28">
        <f>IF(B218="","",TEXT(B218,"yyyy-mm"))</f>
        <v>0</v>
      </c>
      <c r="AD218" s="49">
        <f>IF(A218="","",IF(T218="Draft","Action - still a draft",IF(U218="Overdue","Overdue - chase payment",IF(U218="Overdue - part paid","Overdue - chase the balance",IF(AND(S218&gt;0.004,C218&lt;&gt;"",C218-TODAY()&lt;=ReminderLeadDays,C218&gt;=TODAY()),"Due soon - send a reminder","OK")))))</f>
        <v>0</v>
      </c>
    </row>
    <row r="219" spans="1:30">
      <c r="A219" s="46">
        <f>IF(D219="","",InvoicePrefix&amp;TEXT(InvoiceStartNo+ROW()-5,"0000"))</f>
        <v>0</v>
      </c>
      <c r="C219" s="21">
        <f>IF(B219="","",B219+PaymentTermsDays)</f>
        <v>0</v>
      </c>
      <c r="F219" s="29">
        <f>IF(E219="",0,IFERROR(INDEX(Bookings!$AI$5:$AI$404,MATCH(E219,Bookings!$A$5:$A$404,0)),0))</f>
        <v>0</v>
      </c>
      <c r="J219" s="29">
        <f>IF(D219="","",IF(E219&lt;&gt;"",F219,ROUND(IF(H219="",0,H219)*IF(I219="",0,I219),2)))</f>
        <v>0</v>
      </c>
      <c r="M219" s="29">
        <f>IF(D219="","",ROUND(J219+IF(K219="",0,K219)-IF(L219="",0,L219),2))</f>
        <v>0</v>
      </c>
      <c r="N219" s="29">
        <f>IF(M219="","",IF(TaxRegistered&lt;&gt;"Yes",0,IF(PricesIncludeTax="Yes",ROUND(M219-M219/(1+TaxRate),2),ROUND(M219*TaxRate,2))))</f>
        <v>0</v>
      </c>
      <c r="O219" s="29">
        <f>IF(M219="","",IF(PricesIncludeTax="Yes",M219,ROUND(M219+N219,2)))</f>
        <v>0</v>
      </c>
      <c r="P219" s="29">
        <f>IF(A219="","",SUMIFS(Payments!$E$5:$E$304,Payments!$D$5:$D$304,A219,Payments!$M$5:$M$304,"Yes"))</f>
        <v>0</v>
      </c>
      <c r="Q219" s="29">
        <f>IF(A219="","",SUMIFS(Payments!$K$5:$K$304,Payments!$D$5:$D$304,A219))</f>
        <v>0</v>
      </c>
      <c r="R219" s="29">
        <f>IF(A219="","",SUMIFS(Payments!$J$5:$J$304,Payments!$D$5:$D$304,A219))</f>
        <v>0</v>
      </c>
      <c r="S219" s="29">
        <f>IF(D219="","",ROUND(IF(T219="Cancelled",0,O219-Q219),2))</f>
        <v>0</v>
      </c>
      <c r="U219" s="49">
        <f>IF(A219="","",IF(T219="Cancelled","Cancelled",IF(S219&lt;=0.004,"Paid",IF(Q219&gt;0.004,IF(AND(C219&lt;&gt;"",TODAY()&gt;C219),"Overdue - part paid","Partially paid"),IF(AND(C219&lt;&gt;"",TODAY()&gt;C219),"Overdue",IF(T219="Draft","Draft","Unpaid"))))))</f>
        <v>0</v>
      </c>
      <c r="V219" s="31">
        <f>IF(OR(C219="",S219&lt;=0.004),"",MAX(0,TODAY()-C219))</f>
        <v>0</v>
      </c>
      <c r="W219" s="49">
        <f>IF(A219="","",IF(S219&lt;=0.004,"Paid",IF(V219="","Not due",IF(V219=0,"Current",IF(V219&lt;=30,"1-30 days",IF(V219&lt;=60,"31-60 days",IF(V219&lt;=90,"61-90 days","90+ days")))))))</f>
        <v>0</v>
      </c>
      <c r="X219" s="29">
        <f>IF(OR(V219="",V219=0),0,ROUND(S219*LateFeePct,2))</f>
        <v>0</v>
      </c>
      <c r="AA219" s="49">
        <f>IF(A219="","",IF(COUNTIF(Invoices!$A$5:$A$304,A219)&gt;1,"Duplicate number","OK"))</f>
        <v>0</v>
      </c>
      <c r="AC219" s="28">
        <f>IF(B219="","",TEXT(B219,"yyyy-mm"))</f>
        <v>0</v>
      </c>
      <c r="AD219" s="49">
        <f>IF(A219="","",IF(T219="Draft","Action - still a draft",IF(U219="Overdue","Overdue - chase payment",IF(U219="Overdue - part paid","Overdue - chase the balance",IF(AND(S219&gt;0.004,C219&lt;&gt;"",C219-TODAY()&lt;=ReminderLeadDays,C219&gt;=TODAY()),"Due soon - send a reminder","OK")))))</f>
        <v>0</v>
      </c>
    </row>
    <row r="220" spans="1:30">
      <c r="A220" s="46">
        <f>IF(D220="","",InvoicePrefix&amp;TEXT(InvoiceStartNo+ROW()-5,"0000"))</f>
        <v>0</v>
      </c>
      <c r="C220" s="21">
        <f>IF(B220="","",B220+PaymentTermsDays)</f>
        <v>0</v>
      </c>
      <c r="F220" s="29">
        <f>IF(E220="",0,IFERROR(INDEX(Bookings!$AI$5:$AI$404,MATCH(E220,Bookings!$A$5:$A$404,0)),0))</f>
        <v>0</v>
      </c>
      <c r="J220" s="29">
        <f>IF(D220="","",IF(E220&lt;&gt;"",F220,ROUND(IF(H220="",0,H220)*IF(I220="",0,I220),2)))</f>
        <v>0</v>
      </c>
      <c r="M220" s="29">
        <f>IF(D220="","",ROUND(J220+IF(K220="",0,K220)-IF(L220="",0,L220),2))</f>
        <v>0</v>
      </c>
      <c r="N220" s="29">
        <f>IF(M220="","",IF(TaxRegistered&lt;&gt;"Yes",0,IF(PricesIncludeTax="Yes",ROUND(M220-M220/(1+TaxRate),2),ROUND(M220*TaxRate,2))))</f>
        <v>0</v>
      </c>
      <c r="O220" s="29">
        <f>IF(M220="","",IF(PricesIncludeTax="Yes",M220,ROUND(M220+N220,2)))</f>
        <v>0</v>
      </c>
      <c r="P220" s="29">
        <f>IF(A220="","",SUMIFS(Payments!$E$5:$E$304,Payments!$D$5:$D$304,A220,Payments!$M$5:$M$304,"Yes"))</f>
        <v>0</v>
      </c>
      <c r="Q220" s="29">
        <f>IF(A220="","",SUMIFS(Payments!$K$5:$K$304,Payments!$D$5:$D$304,A220))</f>
        <v>0</v>
      </c>
      <c r="R220" s="29">
        <f>IF(A220="","",SUMIFS(Payments!$J$5:$J$304,Payments!$D$5:$D$304,A220))</f>
        <v>0</v>
      </c>
      <c r="S220" s="29">
        <f>IF(D220="","",ROUND(IF(T220="Cancelled",0,O220-Q220),2))</f>
        <v>0</v>
      </c>
      <c r="U220" s="49">
        <f>IF(A220="","",IF(T220="Cancelled","Cancelled",IF(S220&lt;=0.004,"Paid",IF(Q220&gt;0.004,IF(AND(C220&lt;&gt;"",TODAY()&gt;C220),"Overdue - part paid","Partially paid"),IF(AND(C220&lt;&gt;"",TODAY()&gt;C220),"Overdue",IF(T220="Draft","Draft","Unpaid"))))))</f>
        <v>0</v>
      </c>
      <c r="V220" s="31">
        <f>IF(OR(C220="",S220&lt;=0.004),"",MAX(0,TODAY()-C220))</f>
        <v>0</v>
      </c>
      <c r="W220" s="49">
        <f>IF(A220="","",IF(S220&lt;=0.004,"Paid",IF(V220="","Not due",IF(V220=0,"Current",IF(V220&lt;=30,"1-30 days",IF(V220&lt;=60,"31-60 days",IF(V220&lt;=90,"61-90 days","90+ days")))))))</f>
        <v>0</v>
      </c>
      <c r="X220" s="29">
        <f>IF(OR(V220="",V220=0),0,ROUND(S220*LateFeePct,2))</f>
        <v>0</v>
      </c>
      <c r="AA220" s="49">
        <f>IF(A220="","",IF(COUNTIF(Invoices!$A$5:$A$304,A220)&gt;1,"Duplicate number","OK"))</f>
        <v>0</v>
      </c>
      <c r="AC220" s="28">
        <f>IF(B220="","",TEXT(B220,"yyyy-mm"))</f>
        <v>0</v>
      </c>
      <c r="AD220" s="49">
        <f>IF(A220="","",IF(T220="Draft","Action - still a draft",IF(U220="Overdue","Overdue - chase payment",IF(U220="Overdue - part paid","Overdue - chase the balance",IF(AND(S220&gt;0.004,C220&lt;&gt;"",C220-TODAY()&lt;=ReminderLeadDays,C220&gt;=TODAY()),"Due soon - send a reminder","OK")))))</f>
        <v>0</v>
      </c>
    </row>
    <row r="221" spans="1:30">
      <c r="A221" s="46">
        <f>IF(D221="","",InvoicePrefix&amp;TEXT(InvoiceStartNo+ROW()-5,"0000"))</f>
        <v>0</v>
      </c>
      <c r="C221" s="21">
        <f>IF(B221="","",B221+PaymentTermsDays)</f>
        <v>0</v>
      </c>
      <c r="F221" s="29">
        <f>IF(E221="",0,IFERROR(INDEX(Bookings!$AI$5:$AI$404,MATCH(E221,Bookings!$A$5:$A$404,0)),0))</f>
        <v>0</v>
      </c>
      <c r="J221" s="29">
        <f>IF(D221="","",IF(E221&lt;&gt;"",F221,ROUND(IF(H221="",0,H221)*IF(I221="",0,I221),2)))</f>
        <v>0</v>
      </c>
      <c r="M221" s="29">
        <f>IF(D221="","",ROUND(J221+IF(K221="",0,K221)-IF(L221="",0,L221),2))</f>
        <v>0</v>
      </c>
      <c r="N221" s="29">
        <f>IF(M221="","",IF(TaxRegistered&lt;&gt;"Yes",0,IF(PricesIncludeTax="Yes",ROUND(M221-M221/(1+TaxRate),2),ROUND(M221*TaxRate,2))))</f>
        <v>0</v>
      </c>
      <c r="O221" s="29">
        <f>IF(M221="","",IF(PricesIncludeTax="Yes",M221,ROUND(M221+N221,2)))</f>
        <v>0</v>
      </c>
      <c r="P221" s="29">
        <f>IF(A221="","",SUMIFS(Payments!$E$5:$E$304,Payments!$D$5:$D$304,A221,Payments!$M$5:$M$304,"Yes"))</f>
        <v>0</v>
      </c>
      <c r="Q221" s="29">
        <f>IF(A221="","",SUMIFS(Payments!$K$5:$K$304,Payments!$D$5:$D$304,A221))</f>
        <v>0</v>
      </c>
      <c r="R221" s="29">
        <f>IF(A221="","",SUMIFS(Payments!$J$5:$J$304,Payments!$D$5:$D$304,A221))</f>
        <v>0</v>
      </c>
      <c r="S221" s="29">
        <f>IF(D221="","",ROUND(IF(T221="Cancelled",0,O221-Q221),2))</f>
        <v>0</v>
      </c>
      <c r="U221" s="49">
        <f>IF(A221="","",IF(T221="Cancelled","Cancelled",IF(S221&lt;=0.004,"Paid",IF(Q221&gt;0.004,IF(AND(C221&lt;&gt;"",TODAY()&gt;C221),"Overdue - part paid","Partially paid"),IF(AND(C221&lt;&gt;"",TODAY()&gt;C221),"Overdue",IF(T221="Draft","Draft","Unpaid"))))))</f>
        <v>0</v>
      </c>
      <c r="V221" s="31">
        <f>IF(OR(C221="",S221&lt;=0.004),"",MAX(0,TODAY()-C221))</f>
        <v>0</v>
      </c>
      <c r="W221" s="49">
        <f>IF(A221="","",IF(S221&lt;=0.004,"Paid",IF(V221="","Not due",IF(V221=0,"Current",IF(V221&lt;=30,"1-30 days",IF(V221&lt;=60,"31-60 days",IF(V221&lt;=90,"61-90 days","90+ days")))))))</f>
        <v>0</v>
      </c>
      <c r="X221" s="29">
        <f>IF(OR(V221="",V221=0),0,ROUND(S221*LateFeePct,2))</f>
        <v>0</v>
      </c>
      <c r="AA221" s="49">
        <f>IF(A221="","",IF(COUNTIF(Invoices!$A$5:$A$304,A221)&gt;1,"Duplicate number","OK"))</f>
        <v>0</v>
      </c>
      <c r="AC221" s="28">
        <f>IF(B221="","",TEXT(B221,"yyyy-mm"))</f>
        <v>0</v>
      </c>
      <c r="AD221" s="49">
        <f>IF(A221="","",IF(T221="Draft","Action - still a draft",IF(U221="Overdue","Overdue - chase payment",IF(U221="Overdue - part paid","Overdue - chase the balance",IF(AND(S221&gt;0.004,C221&lt;&gt;"",C221-TODAY()&lt;=ReminderLeadDays,C221&gt;=TODAY()),"Due soon - send a reminder","OK")))))</f>
        <v>0</v>
      </c>
    </row>
    <row r="222" spans="1:30">
      <c r="A222" s="46">
        <f>IF(D222="","",InvoicePrefix&amp;TEXT(InvoiceStartNo+ROW()-5,"0000"))</f>
        <v>0</v>
      </c>
      <c r="C222" s="21">
        <f>IF(B222="","",B222+PaymentTermsDays)</f>
        <v>0</v>
      </c>
      <c r="F222" s="29">
        <f>IF(E222="",0,IFERROR(INDEX(Bookings!$AI$5:$AI$404,MATCH(E222,Bookings!$A$5:$A$404,0)),0))</f>
        <v>0</v>
      </c>
      <c r="J222" s="29">
        <f>IF(D222="","",IF(E222&lt;&gt;"",F222,ROUND(IF(H222="",0,H222)*IF(I222="",0,I222),2)))</f>
        <v>0</v>
      </c>
      <c r="M222" s="29">
        <f>IF(D222="","",ROUND(J222+IF(K222="",0,K222)-IF(L222="",0,L222),2))</f>
        <v>0</v>
      </c>
      <c r="N222" s="29">
        <f>IF(M222="","",IF(TaxRegistered&lt;&gt;"Yes",0,IF(PricesIncludeTax="Yes",ROUND(M222-M222/(1+TaxRate),2),ROUND(M222*TaxRate,2))))</f>
        <v>0</v>
      </c>
      <c r="O222" s="29">
        <f>IF(M222="","",IF(PricesIncludeTax="Yes",M222,ROUND(M222+N222,2)))</f>
        <v>0</v>
      </c>
      <c r="P222" s="29">
        <f>IF(A222="","",SUMIFS(Payments!$E$5:$E$304,Payments!$D$5:$D$304,A222,Payments!$M$5:$M$304,"Yes"))</f>
        <v>0</v>
      </c>
      <c r="Q222" s="29">
        <f>IF(A222="","",SUMIFS(Payments!$K$5:$K$304,Payments!$D$5:$D$304,A222))</f>
        <v>0</v>
      </c>
      <c r="R222" s="29">
        <f>IF(A222="","",SUMIFS(Payments!$J$5:$J$304,Payments!$D$5:$D$304,A222))</f>
        <v>0</v>
      </c>
      <c r="S222" s="29">
        <f>IF(D222="","",ROUND(IF(T222="Cancelled",0,O222-Q222),2))</f>
        <v>0</v>
      </c>
      <c r="U222" s="49">
        <f>IF(A222="","",IF(T222="Cancelled","Cancelled",IF(S222&lt;=0.004,"Paid",IF(Q222&gt;0.004,IF(AND(C222&lt;&gt;"",TODAY()&gt;C222),"Overdue - part paid","Partially paid"),IF(AND(C222&lt;&gt;"",TODAY()&gt;C222),"Overdue",IF(T222="Draft","Draft","Unpaid"))))))</f>
        <v>0</v>
      </c>
      <c r="V222" s="31">
        <f>IF(OR(C222="",S222&lt;=0.004),"",MAX(0,TODAY()-C222))</f>
        <v>0</v>
      </c>
      <c r="W222" s="49">
        <f>IF(A222="","",IF(S222&lt;=0.004,"Paid",IF(V222="","Not due",IF(V222=0,"Current",IF(V222&lt;=30,"1-30 days",IF(V222&lt;=60,"31-60 days",IF(V222&lt;=90,"61-90 days","90+ days")))))))</f>
        <v>0</v>
      </c>
      <c r="X222" s="29">
        <f>IF(OR(V222="",V222=0),0,ROUND(S222*LateFeePct,2))</f>
        <v>0</v>
      </c>
      <c r="AA222" s="49">
        <f>IF(A222="","",IF(COUNTIF(Invoices!$A$5:$A$304,A222)&gt;1,"Duplicate number","OK"))</f>
        <v>0</v>
      </c>
      <c r="AC222" s="28">
        <f>IF(B222="","",TEXT(B222,"yyyy-mm"))</f>
        <v>0</v>
      </c>
      <c r="AD222" s="49">
        <f>IF(A222="","",IF(T222="Draft","Action - still a draft",IF(U222="Overdue","Overdue - chase payment",IF(U222="Overdue - part paid","Overdue - chase the balance",IF(AND(S222&gt;0.004,C222&lt;&gt;"",C222-TODAY()&lt;=ReminderLeadDays,C222&gt;=TODAY()),"Due soon - send a reminder","OK")))))</f>
        <v>0</v>
      </c>
    </row>
    <row r="223" spans="1:30">
      <c r="A223" s="46">
        <f>IF(D223="","",InvoicePrefix&amp;TEXT(InvoiceStartNo+ROW()-5,"0000"))</f>
        <v>0</v>
      </c>
      <c r="C223" s="21">
        <f>IF(B223="","",B223+PaymentTermsDays)</f>
        <v>0</v>
      </c>
      <c r="F223" s="29">
        <f>IF(E223="",0,IFERROR(INDEX(Bookings!$AI$5:$AI$404,MATCH(E223,Bookings!$A$5:$A$404,0)),0))</f>
        <v>0</v>
      </c>
      <c r="J223" s="29">
        <f>IF(D223="","",IF(E223&lt;&gt;"",F223,ROUND(IF(H223="",0,H223)*IF(I223="",0,I223),2)))</f>
        <v>0</v>
      </c>
      <c r="M223" s="29">
        <f>IF(D223="","",ROUND(J223+IF(K223="",0,K223)-IF(L223="",0,L223),2))</f>
        <v>0</v>
      </c>
      <c r="N223" s="29">
        <f>IF(M223="","",IF(TaxRegistered&lt;&gt;"Yes",0,IF(PricesIncludeTax="Yes",ROUND(M223-M223/(1+TaxRate),2),ROUND(M223*TaxRate,2))))</f>
        <v>0</v>
      </c>
      <c r="O223" s="29">
        <f>IF(M223="","",IF(PricesIncludeTax="Yes",M223,ROUND(M223+N223,2)))</f>
        <v>0</v>
      </c>
      <c r="P223" s="29">
        <f>IF(A223="","",SUMIFS(Payments!$E$5:$E$304,Payments!$D$5:$D$304,A223,Payments!$M$5:$M$304,"Yes"))</f>
        <v>0</v>
      </c>
      <c r="Q223" s="29">
        <f>IF(A223="","",SUMIFS(Payments!$K$5:$K$304,Payments!$D$5:$D$304,A223))</f>
        <v>0</v>
      </c>
      <c r="R223" s="29">
        <f>IF(A223="","",SUMIFS(Payments!$J$5:$J$304,Payments!$D$5:$D$304,A223))</f>
        <v>0</v>
      </c>
      <c r="S223" s="29">
        <f>IF(D223="","",ROUND(IF(T223="Cancelled",0,O223-Q223),2))</f>
        <v>0</v>
      </c>
      <c r="U223" s="49">
        <f>IF(A223="","",IF(T223="Cancelled","Cancelled",IF(S223&lt;=0.004,"Paid",IF(Q223&gt;0.004,IF(AND(C223&lt;&gt;"",TODAY()&gt;C223),"Overdue - part paid","Partially paid"),IF(AND(C223&lt;&gt;"",TODAY()&gt;C223),"Overdue",IF(T223="Draft","Draft","Unpaid"))))))</f>
        <v>0</v>
      </c>
      <c r="V223" s="31">
        <f>IF(OR(C223="",S223&lt;=0.004),"",MAX(0,TODAY()-C223))</f>
        <v>0</v>
      </c>
      <c r="W223" s="49">
        <f>IF(A223="","",IF(S223&lt;=0.004,"Paid",IF(V223="","Not due",IF(V223=0,"Current",IF(V223&lt;=30,"1-30 days",IF(V223&lt;=60,"31-60 days",IF(V223&lt;=90,"61-90 days","90+ days")))))))</f>
        <v>0</v>
      </c>
      <c r="X223" s="29">
        <f>IF(OR(V223="",V223=0),0,ROUND(S223*LateFeePct,2))</f>
        <v>0</v>
      </c>
      <c r="AA223" s="49">
        <f>IF(A223="","",IF(COUNTIF(Invoices!$A$5:$A$304,A223)&gt;1,"Duplicate number","OK"))</f>
        <v>0</v>
      </c>
      <c r="AC223" s="28">
        <f>IF(B223="","",TEXT(B223,"yyyy-mm"))</f>
        <v>0</v>
      </c>
      <c r="AD223" s="49">
        <f>IF(A223="","",IF(T223="Draft","Action - still a draft",IF(U223="Overdue","Overdue - chase payment",IF(U223="Overdue - part paid","Overdue - chase the balance",IF(AND(S223&gt;0.004,C223&lt;&gt;"",C223-TODAY()&lt;=ReminderLeadDays,C223&gt;=TODAY()),"Due soon - send a reminder","OK")))))</f>
        <v>0</v>
      </c>
    </row>
    <row r="224" spans="1:30">
      <c r="A224" s="46">
        <f>IF(D224="","",InvoicePrefix&amp;TEXT(InvoiceStartNo+ROW()-5,"0000"))</f>
        <v>0</v>
      </c>
      <c r="C224" s="21">
        <f>IF(B224="","",B224+PaymentTermsDays)</f>
        <v>0</v>
      </c>
      <c r="F224" s="29">
        <f>IF(E224="",0,IFERROR(INDEX(Bookings!$AI$5:$AI$404,MATCH(E224,Bookings!$A$5:$A$404,0)),0))</f>
        <v>0</v>
      </c>
      <c r="J224" s="29">
        <f>IF(D224="","",IF(E224&lt;&gt;"",F224,ROUND(IF(H224="",0,H224)*IF(I224="",0,I224),2)))</f>
        <v>0</v>
      </c>
      <c r="M224" s="29">
        <f>IF(D224="","",ROUND(J224+IF(K224="",0,K224)-IF(L224="",0,L224),2))</f>
        <v>0</v>
      </c>
      <c r="N224" s="29">
        <f>IF(M224="","",IF(TaxRegistered&lt;&gt;"Yes",0,IF(PricesIncludeTax="Yes",ROUND(M224-M224/(1+TaxRate),2),ROUND(M224*TaxRate,2))))</f>
        <v>0</v>
      </c>
      <c r="O224" s="29">
        <f>IF(M224="","",IF(PricesIncludeTax="Yes",M224,ROUND(M224+N224,2)))</f>
        <v>0</v>
      </c>
      <c r="P224" s="29">
        <f>IF(A224="","",SUMIFS(Payments!$E$5:$E$304,Payments!$D$5:$D$304,A224,Payments!$M$5:$M$304,"Yes"))</f>
        <v>0</v>
      </c>
      <c r="Q224" s="29">
        <f>IF(A224="","",SUMIFS(Payments!$K$5:$K$304,Payments!$D$5:$D$304,A224))</f>
        <v>0</v>
      </c>
      <c r="R224" s="29">
        <f>IF(A224="","",SUMIFS(Payments!$J$5:$J$304,Payments!$D$5:$D$304,A224))</f>
        <v>0</v>
      </c>
      <c r="S224" s="29">
        <f>IF(D224="","",ROUND(IF(T224="Cancelled",0,O224-Q224),2))</f>
        <v>0</v>
      </c>
      <c r="U224" s="49">
        <f>IF(A224="","",IF(T224="Cancelled","Cancelled",IF(S224&lt;=0.004,"Paid",IF(Q224&gt;0.004,IF(AND(C224&lt;&gt;"",TODAY()&gt;C224),"Overdue - part paid","Partially paid"),IF(AND(C224&lt;&gt;"",TODAY()&gt;C224),"Overdue",IF(T224="Draft","Draft","Unpaid"))))))</f>
        <v>0</v>
      </c>
      <c r="V224" s="31">
        <f>IF(OR(C224="",S224&lt;=0.004),"",MAX(0,TODAY()-C224))</f>
        <v>0</v>
      </c>
      <c r="W224" s="49">
        <f>IF(A224="","",IF(S224&lt;=0.004,"Paid",IF(V224="","Not due",IF(V224=0,"Current",IF(V224&lt;=30,"1-30 days",IF(V224&lt;=60,"31-60 days",IF(V224&lt;=90,"61-90 days","90+ days")))))))</f>
        <v>0</v>
      </c>
      <c r="X224" s="29">
        <f>IF(OR(V224="",V224=0),0,ROUND(S224*LateFeePct,2))</f>
        <v>0</v>
      </c>
      <c r="AA224" s="49">
        <f>IF(A224="","",IF(COUNTIF(Invoices!$A$5:$A$304,A224)&gt;1,"Duplicate number","OK"))</f>
        <v>0</v>
      </c>
      <c r="AC224" s="28">
        <f>IF(B224="","",TEXT(B224,"yyyy-mm"))</f>
        <v>0</v>
      </c>
      <c r="AD224" s="49">
        <f>IF(A224="","",IF(T224="Draft","Action - still a draft",IF(U224="Overdue","Overdue - chase payment",IF(U224="Overdue - part paid","Overdue - chase the balance",IF(AND(S224&gt;0.004,C224&lt;&gt;"",C224-TODAY()&lt;=ReminderLeadDays,C224&gt;=TODAY()),"Due soon - send a reminder","OK")))))</f>
        <v>0</v>
      </c>
    </row>
    <row r="225" spans="1:30">
      <c r="A225" s="46">
        <f>IF(D225="","",InvoicePrefix&amp;TEXT(InvoiceStartNo+ROW()-5,"0000"))</f>
        <v>0</v>
      </c>
      <c r="C225" s="21">
        <f>IF(B225="","",B225+PaymentTermsDays)</f>
        <v>0</v>
      </c>
      <c r="F225" s="29">
        <f>IF(E225="",0,IFERROR(INDEX(Bookings!$AI$5:$AI$404,MATCH(E225,Bookings!$A$5:$A$404,0)),0))</f>
        <v>0</v>
      </c>
      <c r="J225" s="29">
        <f>IF(D225="","",IF(E225&lt;&gt;"",F225,ROUND(IF(H225="",0,H225)*IF(I225="",0,I225),2)))</f>
        <v>0</v>
      </c>
      <c r="M225" s="29">
        <f>IF(D225="","",ROUND(J225+IF(K225="",0,K225)-IF(L225="",0,L225),2))</f>
        <v>0</v>
      </c>
      <c r="N225" s="29">
        <f>IF(M225="","",IF(TaxRegistered&lt;&gt;"Yes",0,IF(PricesIncludeTax="Yes",ROUND(M225-M225/(1+TaxRate),2),ROUND(M225*TaxRate,2))))</f>
        <v>0</v>
      </c>
      <c r="O225" s="29">
        <f>IF(M225="","",IF(PricesIncludeTax="Yes",M225,ROUND(M225+N225,2)))</f>
        <v>0</v>
      </c>
      <c r="P225" s="29">
        <f>IF(A225="","",SUMIFS(Payments!$E$5:$E$304,Payments!$D$5:$D$304,A225,Payments!$M$5:$M$304,"Yes"))</f>
        <v>0</v>
      </c>
      <c r="Q225" s="29">
        <f>IF(A225="","",SUMIFS(Payments!$K$5:$K$304,Payments!$D$5:$D$304,A225))</f>
        <v>0</v>
      </c>
      <c r="R225" s="29">
        <f>IF(A225="","",SUMIFS(Payments!$J$5:$J$304,Payments!$D$5:$D$304,A225))</f>
        <v>0</v>
      </c>
      <c r="S225" s="29">
        <f>IF(D225="","",ROUND(IF(T225="Cancelled",0,O225-Q225),2))</f>
        <v>0</v>
      </c>
      <c r="U225" s="49">
        <f>IF(A225="","",IF(T225="Cancelled","Cancelled",IF(S225&lt;=0.004,"Paid",IF(Q225&gt;0.004,IF(AND(C225&lt;&gt;"",TODAY()&gt;C225),"Overdue - part paid","Partially paid"),IF(AND(C225&lt;&gt;"",TODAY()&gt;C225),"Overdue",IF(T225="Draft","Draft","Unpaid"))))))</f>
        <v>0</v>
      </c>
      <c r="V225" s="31">
        <f>IF(OR(C225="",S225&lt;=0.004),"",MAX(0,TODAY()-C225))</f>
        <v>0</v>
      </c>
      <c r="W225" s="49">
        <f>IF(A225="","",IF(S225&lt;=0.004,"Paid",IF(V225="","Not due",IF(V225=0,"Current",IF(V225&lt;=30,"1-30 days",IF(V225&lt;=60,"31-60 days",IF(V225&lt;=90,"61-90 days","90+ days")))))))</f>
        <v>0</v>
      </c>
      <c r="X225" s="29">
        <f>IF(OR(V225="",V225=0),0,ROUND(S225*LateFeePct,2))</f>
        <v>0</v>
      </c>
      <c r="AA225" s="49">
        <f>IF(A225="","",IF(COUNTIF(Invoices!$A$5:$A$304,A225)&gt;1,"Duplicate number","OK"))</f>
        <v>0</v>
      </c>
      <c r="AC225" s="28">
        <f>IF(B225="","",TEXT(B225,"yyyy-mm"))</f>
        <v>0</v>
      </c>
      <c r="AD225" s="49">
        <f>IF(A225="","",IF(T225="Draft","Action - still a draft",IF(U225="Overdue","Overdue - chase payment",IF(U225="Overdue - part paid","Overdue - chase the balance",IF(AND(S225&gt;0.004,C225&lt;&gt;"",C225-TODAY()&lt;=ReminderLeadDays,C225&gt;=TODAY()),"Due soon - send a reminder","OK")))))</f>
        <v>0</v>
      </c>
    </row>
    <row r="226" spans="1:30">
      <c r="A226" s="46">
        <f>IF(D226="","",InvoicePrefix&amp;TEXT(InvoiceStartNo+ROW()-5,"0000"))</f>
        <v>0</v>
      </c>
      <c r="C226" s="21">
        <f>IF(B226="","",B226+PaymentTermsDays)</f>
        <v>0</v>
      </c>
      <c r="F226" s="29">
        <f>IF(E226="",0,IFERROR(INDEX(Bookings!$AI$5:$AI$404,MATCH(E226,Bookings!$A$5:$A$404,0)),0))</f>
        <v>0</v>
      </c>
      <c r="J226" s="29">
        <f>IF(D226="","",IF(E226&lt;&gt;"",F226,ROUND(IF(H226="",0,H226)*IF(I226="",0,I226),2)))</f>
        <v>0</v>
      </c>
      <c r="M226" s="29">
        <f>IF(D226="","",ROUND(J226+IF(K226="",0,K226)-IF(L226="",0,L226),2))</f>
        <v>0</v>
      </c>
      <c r="N226" s="29">
        <f>IF(M226="","",IF(TaxRegistered&lt;&gt;"Yes",0,IF(PricesIncludeTax="Yes",ROUND(M226-M226/(1+TaxRate),2),ROUND(M226*TaxRate,2))))</f>
        <v>0</v>
      </c>
      <c r="O226" s="29">
        <f>IF(M226="","",IF(PricesIncludeTax="Yes",M226,ROUND(M226+N226,2)))</f>
        <v>0</v>
      </c>
      <c r="P226" s="29">
        <f>IF(A226="","",SUMIFS(Payments!$E$5:$E$304,Payments!$D$5:$D$304,A226,Payments!$M$5:$M$304,"Yes"))</f>
        <v>0</v>
      </c>
      <c r="Q226" s="29">
        <f>IF(A226="","",SUMIFS(Payments!$K$5:$K$304,Payments!$D$5:$D$304,A226))</f>
        <v>0</v>
      </c>
      <c r="R226" s="29">
        <f>IF(A226="","",SUMIFS(Payments!$J$5:$J$304,Payments!$D$5:$D$304,A226))</f>
        <v>0</v>
      </c>
      <c r="S226" s="29">
        <f>IF(D226="","",ROUND(IF(T226="Cancelled",0,O226-Q226),2))</f>
        <v>0</v>
      </c>
      <c r="U226" s="49">
        <f>IF(A226="","",IF(T226="Cancelled","Cancelled",IF(S226&lt;=0.004,"Paid",IF(Q226&gt;0.004,IF(AND(C226&lt;&gt;"",TODAY()&gt;C226),"Overdue - part paid","Partially paid"),IF(AND(C226&lt;&gt;"",TODAY()&gt;C226),"Overdue",IF(T226="Draft","Draft","Unpaid"))))))</f>
        <v>0</v>
      </c>
      <c r="V226" s="31">
        <f>IF(OR(C226="",S226&lt;=0.004),"",MAX(0,TODAY()-C226))</f>
        <v>0</v>
      </c>
      <c r="W226" s="49">
        <f>IF(A226="","",IF(S226&lt;=0.004,"Paid",IF(V226="","Not due",IF(V226=0,"Current",IF(V226&lt;=30,"1-30 days",IF(V226&lt;=60,"31-60 days",IF(V226&lt;=90,"61-90 days","90+ days")))))))</f>
        <v>0</v>
      </c>
      <c r="X226" s="29">
        <f>IF(OR(V226="",V226=0),0,ROUND(S226*LateFeePct,2))</f>
        <v>0</v>
      </c>
      <c r="AA226" s="49">
        <f>IF(A226="","",IF(COUNTIF(Invoices!$A$5:$A$304,A226)&gt;1,"Duplicate number","OK"))</f>
        <v>0</v>
      </c>
      <c r="AC226" s="28">
        <f>IF(B226="","",TEXT(B226,"yyyy-mm"))</f>
        <v>0</v>
      </c>
      <c r="AD226" s="49">
        <f>IF(A226="","",IF(T226="Draft","Action - still a draft",IF(U226="Overdue","Overdue - chase payment",IF(U226="Overdue - part paid","Overdue - chase the balance",IF(AND(S226&gt;0.004,C226&lt;&gt;"",C226-TODAY()&lt;=ReminderLeadDays,C226&gt;=TODAY()),"Due soon - send a reminder","OK")))))</f>
        <v>0</v>
      </c>
    </row>
    <row r="227" spans="1:30">
      <c r="A227" s="46">
        <f>IF(D227="","",InvoicePrefix&amp;TEXT(InvoiceStartNo+ROW()-5,"0000"))</f>
        <v>0</v>
      </c>
      <c r="C227" s="21">
        <f>IF(B227="","",B227+PaymentTermsDays)</f>
        <v>0</v>
      </c>
      <c r="F227" s="29">
        <f>IF(E227="",0,IFERROR(INDEX(Bookings!$AI$5:$AI$404,MATCH(E227,Bookings!$A$5:$A$404,0)),0))</f>
        <v>0</v>
      </c>
      <c r="J227" s="29">
        <f>IF(D227="","",IF(E227&lt;&gt;"",F227,ROUND(IF(H227="",0,H227)*IF(I227="",0,I227),2)))</f>
        <v>0</v>
      </c>
      <c r="M227" s="29">
        <f>IF(D227="","",ROUND(J227+IF(K227="",0,K227)-IF(L227="",0,L227),2))</f>
        <v>0</v>
      </c>
      <c r="N227" s="29">
        <f>IF(M227="","",IF(TaxRegistered&lt;&gt;"Yes",0,IF(PricesIncludeTax="Yes",ROUND(M227-M227/(1+TaxRate),2),ROUND(M227*TaxRate,2))))</f>
        <v>0</v>
      </c>
      <c r="O227" s="29">
        <f>IF(M227="","",IF(PricesIncludeTax="Yes",M227,ROUND(M227+N227,2)))</f>
        <v>0</v>
      </c>
      <c r="P227" s="29">
        <f>IF(A227="","",SUMIFS(Payments!$E$5:$E$304,Payments!$D$5:$D$304,A227,Payments!$M$5:$M$304,"Yes"))</f>
        <v>0</v>
      </c>
      <c r="Q227" s="29">
        <f>IF(A227="","",SUMIFS(Payments!$K$5:$K$304,Payments!$D$5:$D$304,A227))</f>
        <v>0</v>
      </c>
      <c r="R227" s="29">
        <f>IF(A227="","",SUMIFS(Payments!$J$5:$J$304,Payments!$D$5:$D$304,A227))</f>
        <v>0</v>
      </c>
      <c r="S227" s="29">
        <f>IF(D227="","",ROUND(IF(T227="Cancelled",0,O227-Q227),2))</f>
        <v>0</v>
      </c>
      <c r="U227" s="49">
        <f>IF(A227="","",IF(T227="Cancelled","Cancelled",IF(S227&lt;=0.004,"Paid",IF(Q227&gt;0.004,IF(AND(C227&lt;&gt;"",TODAY()&gt;C227),"Overdue - part paid","Partially paid"),IF(AND(C227&lt;&gt;"",TODAY()&gt;C227),"Overdue",IF(T227="Draft","Draft","Unpaid"))))))</f>
        <v>0</v>
      </c>
      <c r="V227" s="31">
        <f>IF(OR(C227="",S227&lt;=0.004),"",MAX(0,TODAY()-C227))</f>
        <v>0</v>
      </c>
      <c r="W227" s="49">
        <f>IF(A227="","",IF(S227&lt;=0.004,"Paid",IF(V227="","Not due",IF(V227=0,"Current",IF(V227&lt;=30,"1-30 days",IF(V227&lt;=60,"31-60 days",IF(V227&lt;=90,"61-90 days","90+ days")))))))</f>
        <v>0</v>
      </c>
      <c r="X227" s="29">
        <f>IF(OR(V227="",V227=0),0,ROUND(S227*LateFeePct,2))</f>
        <v>0</v>
      </c>
      <c r="AA227" s="49">
        <f>IF(A227="","",IF(COUNTIF(Invoices!$A$5:$A$304,A227)&gt;1,"Duplicate number","OK"))</f>
        <v>0</v>
      </c>
      <c r="AC227" s="28">
        <f>IF(B227="","",TEXT(B227,"yyyy-mm"))</f>
        <v>0</v>
      </c>
      <c r="AD227" s="49">
        <f>IF(A227="","",IF(T227="Draft","Action - still a draft",IF(U227="Overdue","Overdue - chase payment",IF(U227="Overdue - part paid","Overdue - chase the balance",IF(AND(S227&gt;0.004,C227&lt;&gt;"",C227-TODAY()&lt;=ReminderLeadDays,C227&gt;=TODAY()),"Due soon - send a reminder","OK")))))</f>
        <v>0</v>
      </c>
    </row>
    <row r="228" spans="1:30">
      <c r="A228" s="46">
        <f>IF(D228="","",InvoicePrefix&amp;TEXT(InvoiceStartNo+ROW()-5,"0000"))</f>
        <v>0</v>
      </c>
      <c r="C228" s="21">
        <f>IF(B228="","",B228+PaymentTermsDays)</f>
        <v>0</v>
      </c>
      <c r="F228" s="29">
        <f>IF(E228="",0,IFERROR(INDEX(Bookings!$AI$5:$AI$404,MATCH(E228,Bookings!$A$5:$A$404,0)),0))</f>
        <v>0</v>
      </c>
      <c r="J228" s="29">
        <f>IF(D228="","",IF(E228&lt;&gt;"",F228,ROUND(IF(H228="",0,H228)*IF(I228="",0,I228),2)))</f>
        <v>0</v>
      </c>
      <c r="M228" s="29">
        <f>IF(D228="","",ROUND(J228+IF(K228="",0,K228)-IF(L228="",0,L228),2))</f>
        <v>0</v>
      </c>
      <c r="N228" s="29">
        <f>IF(M228="","",IF(TaxRegistered&lt;&gt;"Yes",0,IF(PricesIncludeTax="Yes",ROUND(M228-M228/(1+TaxRate),2),ROUND(M228*TaxRate,2))))</f>
        <v>0</v>
      </c>
      <c r="O228" s="29">
        <f>IF(M228="","",IF(PricesIncludeTax="Yes",M228,ROUND(M228+N228,2)))</f>
        <v>0</v>
      </c>
      <c r="P228" s="29">
        <f>IF(A228="","",SUMIFS(Payments!$E$5:$E$304,Payments!$D$5:$D$304,A228,Payments!$M$5:$M$304,"Yes"))</f>
        <v>0</v>
      </c>
      <c r="Q228" s="29">
        <f>IF(A228="","",SUMIFS(Payments!$K$5:$K$304,Payments!$D$5:$D$304,A228))</f>
        <v>0</v>
      </c>
      <c r="R228" s="29">
        <f>IF(A228="","",SUMIFS(Payments!$J$5:$J$304,Payments!$D$5:$D$304,A228))</f>
        <v>0</v>
      </c>
      <c r="S228" s="29">
        <f>IF(D228="","",ROUND(IF(T228="Cancelled",0,O228-Q228),2))</f>
        <v>0</v>
      </c>
      <c r="U228" s="49">
        <f>IF(A228="","",IF(T228="Cancelled","Cancelled",IF(S228&lt;=0.004,"Paid",IF(Q228&gt;0.004,IF(AND(C228&lt;&gt;"",TODAY()&gt;C228),"Overdue - part paid","Partially paid"),IF(AND(C228&lt;&gt;"",TODAY()&gt;C228),"Overdue",IF(T228="Draft","Draft","Unpaid"))))))</f>
        <v>0</v>
      </c>
      <c r="V228" s="31">
        <f>IF(OR(C228="",S228&lt;=0.004),"",MAX(0,TODAY()-C228))</f>
        <v>0</v>
      </c>
      <c r="W228" s="49">
        <f>IF(A228="","",IF(S228&lt;=0.004,"Paid",IF(V228="","Not due",IF(V228=0,"Current",IF(V228&lt;=30,"1-30 days",IF(V228&lt;=60,"31-60 days",IF(V228&lt;=90,"61-90 days","90+ days")))))))</f>
        <v>0</v>
      </c>
      <c r="X228" s="29">
        <f>IF(OR(V228="",V228=0),0,ROUND(S228*LateFeePct,2))</f>
        <v>0</v>
      </c>
      <c r="AA228" s="49">
        <f>IF(A228="","",IF(COUNTIF(Invoices!$A$5:$A$304,A228)&gt;1,"Duplicate number","OK"))</f>
        <v>0</v>
      </c>
      <c r="AC228" s="28">
        <f>IF(B228="","",TEXT(B228,"yyyy-mm"))</f>
        <v>0</v>
      </c>
      <c r="AD228" s="49">
        <f>IF(A228="","",IF(T228="Draft","Action - still a draft",IF(U228="Overdue","Overdue - chase payment",IF(U228="Overdue - part paid","Overdue - chase the balance",IF(AND(S228&gt;0.004,C228&lt;&gt;"",C228-TODAY()&lt;=ReminderLeadDays,C228&gt;=TODAY()),"Due soon - send a reminder","OK")))))</f>
        <v>0</v>
      </c>
    </row>
    <row r="229" spans="1:30">
      <c r="A229" s="46">
        <f>IF(D229="","",InvoicePrefix&amp;TEXT(InvoiceStartNo+ROW()-5,"0000"))</f>
        <v>0</v>
      </c>
      <c r="C229" s="21">
        <f>IF(B229="","",B229+PaymentTermsDays)</f>
        <v>0</v>
      </c>
      <c r="F229" s="29">
        <f>IF(E229="",0,IFERROR(INDEX(Bookings!$AI$5:$AI$404,MATCH(E229,Bookings!$A$5:$A$404,0)),0))</f>
        <v>0</v>
      </c>
      <c r="J229" s="29">
        <f>IF(D229="","",IF(E229&lt;&gt;"",F229,ROUND(IF(H229="",0,H229)*IF(I229="",0,I229),2)))</f>
        <v>0</v>
      </c>
      <c r="M229" s="29">
        <f>IF(D229="","",ROUND(J229+IF(K229="",0,K229)-IF(L229="",0,L229),2))</f>
        <v>0</v>
      </c>
      <c r="N229" s="29">
        <f>IF(M229="","",IF(TaxRegistered&lt;&gt;"Yes",0,IF(PricesIncludeTax="Yes",ROUND(M229-M229/(1+TaxRate),2),ROUND(M229*TaxRate,2))))</f>
        <v>0</v>
      </c>
      <c r="O229" s="29">
        <f>IF(M229="","",IF(PricesIncludeTax="Yes",M229,ROUND(M229+N229,2)))</f>
        <v>0</v>
      </c>
      <c r="P229" s="29">
        <f>IF(A229="","",SUMIFS(Payments!$E$5:$E$304,Payments!$D$5:$D$304,A229,Payments!$M$5:$M$304,"Yes"))</f>
        <v>0</v>
      </c>
      <c r="Q229" s="29">
        <f>IF(A229="","",SUMIFS(Payments!$K$5:$K$304,Payments!$D$5:$D$304,A229))</f>
        <v>0</v>
      </c>
      <c r="R229" s="29">
        <f>IF(A229="","",SUMIFS(Payments!$J$5:$J$304,Payments!$D$5:$D$304,A229))</f>
        <v>0</v>
      </c>
      <c r="S229" s="29">
        <f>IF(D229="","",ROUND(IF(T229="Cancelled",0,O229-Q229),2))</f>
        <v>0</v>
      </c>
      <c r="U229" s="49">
        <f>IF(A229="","",IF(T229="Cancelled","Cancelled",IF(S229&lt;=0.004,"Paid",IF(Q229&gt;0.004,IF(AND(C229&lt;&gt;"",TODAY()&gt;C229),"Overdue - part paid","Partially paid"),IF(AND(C229&lt;&gt;"",TODAY()&gt;C229),"Overdue",IF(T229="Draft","Draft","Unpaid"))))))</f>
        <v>0</v>
      </c>
      <c r="V229" s="31">
        <f>IF(OR(C229="",S229&lt;=0.004),"",MAX(0,TODAY()-C229))</f>
        <v>0</v>
      </c>
      <c r="W229" s="49">
        <f>IF(A229="","",IF(S229&lt;=0.004,"Paid",IF(V229="","Not due",IF(V229=0,"Current",IF(V229&lt;=30,"1-30 days",IF(V229&lt;=60,"31-60 days",IF(V229&lt;=90,"61-90 days","90+ days")))))))</f>
        <v>0</v>
      </c>
      <c r="X229" s="29">
        <f>IF(OR(V229="",V229=0),0,ROUND(S229*LateFeePct,2))</f>
        <v>0</v>
      </c>
      <c r="AA229" s="49">
        <f>IF(A229="","",IF(COUNTIF(Invoices!$A$5:$A$304,A229)&gt;1,"Duplicate number","OK"))</f>
        <v>0</v>
      </c>
      <c r="AC229" s="28">
        <f>IF(B229="","",TEXT(B229,"yyyy-mm"))</f>
        <v>0</v>
      </c>
      <c r="AD229" s="49">
        <f>IF(A229="","",IF(T229="Draft","Action - still a draft",IF(U229="Overdue","Overdue - chase payment",IF(U229="Overdue - part paid","Overdue - chase the balance",IF(AND(S229&gt;0.004,C229&lt;&gt;"",C229-TODAY()&lt;=ReminderLeadDays,C229&gt;=TODAY()),"Due soon - send a reminder","OK")))))</f>
        <v>0</v>
      </c>
    </row>
    <row r="230" spans="1:30">
      <c r="A230" s="46">
        <f>IF(D230="","",InvoicePrefix&amp;TEXT(InvoiceStartNo+ROW()-5,"0000"))</f>
        <v>0</v>
      </c>
      <c r="C230" s="21">
        <f>IF(B230="","",B230+PaymentTermsDays)</f>
        <v>0</v>
      </c>
      <c r="F230" s="29">
        <f>IF(E230="",0,IFERROR(INDEX(Bookings!$AI$5:$AI$404,MATCH(E230,Bookings!$A$5:$A$404,0)),0))</f>
        <v>0</v>
      </c>
      <c r="J230" s="29">
        <f>IF(D230="","",IF(E230&lt;&gt;"",F230,ROUND(IF(H230="",0,H230)*IF(I230="",0,I230),2)))</f>
        <v>0</v>
      </c>
      <c r="M230" s="29">
        <f>IF(D230="","",ROUND(J230+IF(K230="",0,K230)-IF(L230="",0,L230),2))</f>
        <v>0</v>
      </c>
      <c r="N230" s="29">
        <f>IF(M230="","",IF(TaxRegistered&lt;&gt;"Yes",0,IF(PricesIncludeTax="Yes",ROUND(M230-M230/(1+TaxRate),2),ROUND(M230*TaxRate,2))))</f>
        <v>0</v>
      </c>
      <c r="O230" s="29">
        <f>IF(M230="","",IF(PricesIncludeTax="Yes",M230,ROUND(M230+N230,2)))</f>
        <v>0</v>
      </c>
      <c r="P230" s="29">
        <f>IF(A230="","",SUMIFS(Payments!$E$5:$E$304,Payments!$D$5:$D$304,A230,Payments!$M$5:$M$304,"Yes"))</f>
        <v>0</v>
      </c>
      <c r="Q230" s="29">
        <f>IF(A230="","",SUMIFS(Payments!$K$5:$K$304,Payments!$D$5:$D$304,A230))</f>
        <v>0</v>
      </c>
      <c r="R230" s="29">
        <f>IF(A230="","",SUMIFS(Payments!$J$5:$J$304,Payments!$D$5:$D$304,A230))</f>
        <v>0</v>
      </c>
      <c r="S230" s="29">
        <f>IF(D230="","",ROUND(IF(T230="Cancelled",0,O230-Q230),2))</f>
        <v>0</v>
      </c>
      <c r="U230" s="49">
        <f>IF(A230="","",IF(T230="Cancelled","Cancelled",IF(S230&lt;=0.004,"Paid",IF(Q230&gt;0.004,IF(AND(C230&lt;&gt;"",TODAY()&gt;C230),"Overdue - part paid","Partially paid"),IF(AND(C230&lt;&gt;"",TODAY()&gt;C230),"Overdue",IF(T230="Draft","Draft","Unpaid"))))))</f>
        <v>0</v>
      </c>
      <c r="V230" s="31">
        <f>IF(OR(C230="",S230&lt;=0.004),"",MAX(0,TODAY()-C230))</f>
        <v>0</v>
      </c>
      <c r="W230" s="49">
        <f>IF(A230="","",IF(S230&lt;=0.004,"Paid",IF(V230="","Not due",IF(V230=0,"Current",IF(V230&lt;=30,"1-30 days",IF(V230&lt;=60,"31-60 days",IF(V230&lt;=90,"61-90 days","90+ days")))))))</f>
        <v>0</v>
      </c>
      <c r="X230" s="29">
        <f>IF(OR(V230="",V230=0),0,ROUND(S230*LateFeePct,2))</f>
        <v>0</v>
      </c>
      <c r="AA230" s="49">
        <f>IF(A230="","",IF(COUNTIF(Invoices!$A$5:$A$304,A230)&gt;1,"Duplicate number","OK"))</f>
        <v>0</v>
      </c>
      <c r="AC230" s="28">
        <f>IF(B230="","",TEXT(B230,"yyyy-mm"))</f>
        <v>0</v>
      </c>
      <c r="AD230" s="49">
        <f>IF(A230="","",IF(T230="Draft","Action - still a draft",IF(U230="Overdue","Overdue - chase payment",IF(U230="Overdue - part paid","Overdue - chase the balance",IF(AND(S230&gt;0.004,C230&lt;&gt;"",C230-TODAY()&lt;=ReminderLeadDays,C230&gt;=TODAY()),"Due soon - send a reminder","OK")))))</f>
        <v>0</v>
      </c>
    </row>
    <row r="231" spans="1:30">
      <c r="A231" s="46">
        <f>IF(D231="","",InvoicePrefix&amp;TEXT(InvoiceStartNo+ROW()-5,"0000"))</f>
        <v>0</v>
      </c>
      <c r="C231" s="21">
        <f>IF(B231="","",B231+PaymentTermsDays)</f>
        <v>0</v>
      </c>
      <c r="F231" s="29">
        <f>IF(E231="",0,IFERROR(INDEX(Bookings!$AI$5:$AI$404,MATCH(E231,Bookings!$A$5:$A$404,0)),0))</f>
        <v>0</v>
      </c>
      <c r="J231" s="29">
        <f>IF(D231="","",IF(E231&lt;&gt;"",F231,ROUND(IF(H231="",0,H231)*IF(I231="",0,I231),2)))</f>
        <v>0</v>
      </c>
      <c r="M231" s="29">
        <f>IF(D231="","",ROUND(J231+IF(K231="",0,K231)-IF(L231="",0,L231),2))</f>
        <v>0</v>
      </c>
      <c r="N231" s="29">
        <f>IF(M231="","",IF(TaxRegistered&lt;&gt;"Yes",0,IF(PricesIncludeTax="Yes",ROUND(M231-M231/(1+TaxRate),2),ROUND(M231*TaxRate,2))))</f>
        <v>0</v>
      </c>
      <c r="O231" s="29">
        <f>IF(M231="","",IF(PricesIncludeTax="Yes",M231,ROUND(M231+N231,2)))</f>
        <v>0</v>
      </c>
      <c r="P231" s="29">
        <f>IF(A231="","",SUMIFS(Payments!$E$5:$E$304,Payments!$D$5:$D$304,A231,Payments!$M$5:$M$304,"Yes"))</f>
        <v>0</v>
      </c>
      <c r="Q231" s="29">
        <f>IF(A231="","",SUMIFS(Payments!$K$5:$K$304,Payments!$D$5:$D$304,A231))</f>
        <v>0</v>
      </c>
      <c r="R231" s="29">
        <f>IF(A231="","",SUMIFS(Payments!$J$5:$J$304,Payments!$D$5:$D$304,A231))</f>
        <v>0</v>
      </c>
      <c r="S231" s="29">
        <f>IF(D231="","",ROUND(IF(T231="Cancelled",0,O231-Q231),2))</f>
        <v>0</v>
      </c>
      <c r="U231" s="49">
        <f>IF(A231="","",IF(T231="Cancelled","Cancelled",IF(S231&lt;=0.004,"Paid",IF(Q231&gt;0.004,IF(AND(C231&lt;&gt;"",TODAY()&gt;C231),"Overdue - part paid","Partially paid"),IF(AND(C231&lt;&gt;"",TODAY()&gt;C231),"Overdue",IF(T231="Draft","Draft","Unpaid"))))))</f>
        <v>0</v>
      </c>
      <c r="V231" s="31">
        <f>IF(OR(C231="",S231&lt;=0.004),"",MAX(0,TODAY()-C231))</f>
        <v>0</v>
      </c>
      <c r="W231" s="49">
        <f>IF(A231="","",IF(S231&lt;=0.004,"Paid",IF(V231="","Not due",IF(V231=0,"Current",IF(V231&lt;=30,"1-30 days",IF(V231&lt;=60,"31-60 days",IF(V231&lt;=90,"61-90 days","90+ days")))))))</f>
        <v>0</v>
      </c>
      <c r="X231" s="29">
        <f>IF(OR(V231="",V231=0),0,ROUND(S231*LateFeePct,2))</f>
        <v>0</v>
      </c>
      <c r="AA231" s="49">
        <f>IF(A231="","",IF(COUNTIF(Invoices!$A$5:$A$304,A231)&gt;1,"Duplicate number","OK"))</f>
        <v>0</v>
      </c>
      <c r="AC231" s="28">
        <f>IF(B231="","",TEXT(B231,"yyyy-mm"))</f>
        <v>0</v>
      </c>
      <c r="AD231" s="49">
        <f>IF(A231="","",IF(T231="Draft","Action - still a draft",IF(U231="Overdue","Overdue - chase payment",IF(U231="Overdue - part paid","Overdue - chase the balance",IF(AND(S231&gt;0.004,C231&lt;&gt;"",C231-TODAY()&lt;=ReminderLeadDays,C231&gt;=TODAY()),"Due soon - send a reminder","OK")))))</f>
        <v>0</v>
      </c>
    </row>
    <row r="232" spans="1:30">
      <c r="A232" s="46">
        <f>IF(D232="","",InvoicePrefix&amp;TEXT(InvoiceStartNo+ROW()-5,"0000"))</f>
        <v>0</v>
      </c>
      <c r="C232" s="21">
        <f>IF(B232="","",B232+PaymentTermsDays)</f>
        <v>0</v>
      </c>
      <c r="F232" s="29">
        <f>IF(E232="",0,IFERROR(INDEX(Bookings!$AI$5:$AI$404,MATCH(E232,Bookings!$A$5:$A$404,0)),0))</f>
        <v>0</v>
      </c>
      <c r="J232" s="29">
        <f>IF(D232="","",IF(E232&lt;&gt;"",F232,ROUND(IF(H232="",0,H232)*IF(I232="",0,I232),2)))</f>
        <v>0</v>
      </c>
      <c r="M232" s="29">
        <f>IF(D232="","",ROUND(J232+IF(K232="",0,K232)-IF(L232="",0,L232),2))</f>
        <v>0</v>
      </c>
      <c r="N232" s="29">
        <f>IF(M232="","",IF(TaxRegistered&lt;&gt;"Yes",0,IF(PricesIncludeTax="Yes",ROUND(M232-M232/(1+TaxRate),2),ROUND(M232*TaxRate,2))))</f>
        <v>0</v>
      </c>
      <c r="O232" s="29">
        <f>IF(M232="","",IF(PricesIncludeTax="Yes",M232,ROUND(M232+N232,2)))</f>
        <v>0</v>
      </c>
      <c r="P232" s="29">
        <f>IF(A232="","",SUMIFS(Payments!$E$5:$E$304,Payments!$D$5:$D$304,A232,Payments!$M$5:$M$304,"Yes"))</f>
        <v>0</v>
      </c>
      <c r="Q232" s="29">
        <f>IF(A232="","",SUMIFS(Payments!$K$5:$K$304,Payments!$D$5:$D$304,A232))</f>
        <v>0</v>
      </c>
      <c r="R232" s="29">
        <f>IF(A232="","",SUMIFS(Payments!$J$5:$J$304,Payments!$D$5:$D$304,A232))</f>
        <v>0</v>
      </c>
      <c r="S232" s="29">
        <f>IF(D232="","",ROUND(IF(T232="Cancelled",0,O232-Q232),2))</f>
        <v>0</v>
      </c>
      <c r="U232" s="49">
        <f>IF(A232="","",IF(T232="Cancelled","Cancelled",IF(S232&lt;=0.004,"Paid",IF(Q232&gt;0.004,IF(AND(C232&lt;&gt;"",TODAY()&gt;C232),"Overdue - part paid","Partially paid"),IF(AND(C232&lt;&gt;"",TODAY()&gt;C232),"Overdue",IF(T232="Draft","Draft","Unpaid"))))))</f>
        <v>0</v>
      </c>
      <c r="V232" s="31">
        <f>IF(OR(C232="",S232&lt;=0.004),"",MAX(0,TODAY()-C232))</f>
        <v>0</v>
      </c>
      <c r="W232" s="49">
        <f>IF(A232="","",IF(S232&lt;=0.004,"Paid",IF(V232="","Not due",IF(V232=0,"Current",IF(V232&lt;=30,"1-30 days",IF(V232&lt;=60,"31-60 days",IF(V232&lt;=90,"61-90 days","90+ days")))))))</f>
        <v>0</v>
      </c>
      <c r="X232" s="29">
        <f>IF(OR(V232="",V232=0),0,ROUND(S232*LateFeePct,2))</f>
        <v>0</v>
      </c>
      <c r="AA232" s="49">
        <f>IF(A232="","",IF(COUNTIF(Invoices!$A$5:$A$304,A232)&gt;1,"Duplicate number","OK"))</f>
        <v>0</v>
      </c>
      <c r="AC232" s="28">
        <f>IF(B232="","",TEXT(B232,"yyyy-mm"))</f>
        <v>0</v>
      </c>
      <c r="AD232" s="49">
        <f>IF(A232="","",IF(T232="Draft","Action - still a draft",IF(U232="Overdue","Overdue - chase payment",IF(U232="Overdue - part paid","Overdue - chase the balance",IF(AND(S232&gt;0.004,C232&lt;&gt;"",C232-TODAY()&lt;=ReminderLeadDays,C232&gt;=TODAY()),"Due soon - send a reminder","OK")))))</f>
        <v>0</v>
      </c>
    </row>
    <row r="233" spans="1:30">
      <c r="A233" s="46">
        <f>IF(D233="","",InvoicePrefix&amp;TEXT(InvoiceStartNo+ROW()-5,"0000"))</f>
        <v>0</v>
      </c>
      <c r="C233" s="21">
        <f>IF(B233="","",B233+PaymentTermsDays)</f>
        <v>0</v>
      </c>
      <c r="F233" s="29">
        <f>IF(E233="",0,IFERROR(INDEX(Bookings!$AI$5:$AI$404,MATCH(E233,Bookings!$A$5:$A$404,0)),0))</f>
        <v>0</v>
      </c>
      <c r="J233" s="29">
        <f>IF(D233="","",IF(E233&lt;&gt;"",F233,ROUND(IF(H233="",0,H233)*IF(I233="",0,I233),2)))</f>
        <v>0</v>
      </c>
      <c r="M233" s="29">
        <f>IF(D233="","",ROUND(J233+IF(K233="",0,K233)-IF(L233="",0,L233),2))</f>
        <v>0</v>
      </c>
      <c r="N233" s="29">
        <f>IF(M233="","",IF(TaxRegistered&lt;&gt;"Yes",0,IF(PricesIncludeTax="Yes",ROUND(M233-M233/(1+TaxRate),2),ROUND(M233*TaxRate,2))))</f>
        <v>0</v>
      </c>
      <c r="O233" s="29">
        <f>IF(M233="","",IF(PricesIncludeTax="Yes",M233,ROUND(M233+N233,2)))</f>
        <v>0</v>
      </c>
      <c r="P233" s="29">
        <f>IF(A233="","",SUMIFS(Payments!$E$5:$E$304,Payments!$D$5:$D$304,A233,Payments!$M$5:$M$304,"Yes"))</f>
        <v>0</v>
      </c>
      <c r="Q233" s="29">
        <f>IF(A233="","",SUMIFS(Payments!$K$5:$K$304,Payments!$D$5:$D$304,A233))</f>
        <v>0</v>
      </c>
      <c r="R233" s="29">
        <f>IF(A233="","",SUMIFS(Payments!$J$5:$J$304,Payments!$D$5:$D$304,A233))</f>
        <v>0</v>
      </c>
      <c r="S233" s="29">
        <f>IF(D233="","",ROUND(IF(T233="Cancelled",0,O233-Q233),2))</f>
        <v>0</v>
      </c>
      <c r="U233" s="49">
        <f>IF(A233="","",IF(T233="Cancelled","Cancelled",IF(S233&lt;=0.004,"Paid",IF(Q233&gt;0.004,IF(AND(C233&lt;&gt;"",TODAY()&gt;C233),"Overdue - part paid","Partially paid"),IF(AND(C233&lt;&gt;"",TODAY()&gt;C233),"Overdue",IF(T233="Draft","Draft","Unpaid"))))))</f>
        <v>0</v>
      </c>
      <c r="V233" s="31">
        <f>IF(OR(C233="",S233&lt;=0.004),"",MAX(0,TODAY()-C233))</f>
        <v>0</v>
      </c>
      <c r="W233" s="49">
        <f>IF(A233="","",IF(S233&lt;=0.004,"Paid",IF(V233="","Not due",IF(V233=0,"Current",IF(V233&lt;=30,"1-30 days",IF(V233&lt;=60,"31-60 days",IF(V233&lt;=90,"61-90 days","90+ days")))))))</f>
        <v>0</v>
      </c>
      <c r="X233" s="29">
        <f>IF(OR(V233="",V233=0),0,ROUND(S233*LateFeePct,2))</f>
        <v>0</v>
      </c>
      <c r="AA233" s="49">
        <f>IF(A233="","",IF(COUNTIF(Invoices!$A$5:$A$304,A233)&gt;1,"Duplicate number","OK"))</f>
        <v>0</v>
      </c>
      <c r="AC233" s="28">
        <f>IF(B233="","",TEXT(B233,"yyyy-mm"))</f>
        <v>0</v>
      </c>
      <c r="AD233" s="49">
        <f>IF(A233="","",IF(T233="Draft","Action - still a draft",IF(U233="Overdue","Overdue - chase payment",IF(U233="Overdue - part paid","Overdue - chase the balance",IF(AND(S233&gt;0.004,C233&lt;&gt;"",C233-TODAY()&lt;=ReminderLeadDays,C233&gt;=TODAY()),"Due soon - send a reminder","OK")))))</f>
        <v>0</v>
      </c>
    </row>
    <row r="234" spans="1:30">
      <c r="A234" s="46">
        <f>IF(D234="","",InvoicePrefix&amp;TEXT(InvoiceStartNo+ROW()-5,"0000"))</f>
        <v>0</v>
      </c>
      <c r="C234" s="21">
        <f>IF(B234="","",B234+PaymentTermsDays)</f>
        <v>0</v>
      </c>
      <c r="F234" s="29">
        <f>IF(E234="",0,IFERROR(INDEX(Bookings!$AI$5:$AI$404,MATCH(E234,Bookings!$A$5:$A$404,0)),0))</f>
        <v>0</v>
      </c>
      <c r="J234" s="29">
        <f>IF(D234="","",IF(E234&lt;&gt;"",F234,ROUND(IF(H234="",0,H234)*IF(I234="",0,I234),2)))</f>
        <v>0</v>
      </c>
      <c r="M234" s="29">
        <f>IF(D234="","",ROUND(J234+IF(K234="",0,K234)-IF(L234="",0,L234),2))</f>
        <v>0</v>
      </c>
      <c r="N234" s="29">
        <f>IF(M234="","",IF(TaxRegistered&lt;&gt;"Yes",0,IF(PricesIncludeTax="Yes",ROUND(M234-M234/(1+TaxRate),2),ROUND(M234*TaxRate,2))))</f>
        <v>0</v>
      </c>
      <c r="O234" s="29">
        <f>IF(M234="","",IF(PricesIncludeTax="Yes",M234,ROUND(M234+N234,2)))</f>
        <v>0</v>
      </c>
      <c r="P234" s="29">
        <f>IF(A234="","",SUMIFS(Payments!$E$5:$E$304,Payments!$D$5:$D$304,A234,Payments!$M$5:$M$304,"Yes"))</f>
        <v>0</v>
      </c>
      <c r="Q234" s="29">
        <f>IF(A234="","",SUMIFS(Payments!$K$5:$K$304,Payments!$D$5:$D$304,A234))</f>
        <v>0</v>
      </c>
      <c r="R234" s="29">
        <f>IF(A234="","",SUMIFS(Payments!$J$5:$J$304,Payments!$D$5:$D$304,A234))</f>
        <v>0</v>
      </c>
      <c r="S234" s="29">
        <f>IF(D234="","",ROUND(IF(T234="Cancelled",0,O234-Q234),2))</f>
        <v>0</v>
      </c>
      <c r="U234" s="49">
        <f>IF(A234="","",IF(T234="Cancelled","Cancelled",IF(S234&lt;=0.004,"Paid",IF(Q234&gt;0.004,IF(AND(C234&lt;&gt;"",TODAY()&gt;C234),"Overdue - part paid","Partially paid"),IF(AND(C234&lt;&gt;"",TODAY()&gt;C234),"Overdue",IF(T234="Draft","Draft","Unpaid"))))))</f>
        <v>0</v>
      </c>
      <c r="V234" s="31">
        <f>IF(OR(C234="",S234&lt;=0.004),"",MAX(0,TODAY()-C234))</f>
        <v>0</v>
      </c>
      <c r="W234" s="49">
        <f>IF(A234="","",IF(S234&lt;=0.004,"Paid",IF(V234="","Not due",IF(V234=0,"Current",IF(V234&lt;=30,"1-30 days",IF(V234&lt;=60,"31-60 days",IF(V234&lt;=90,"61-90 days","90+ days")))))))</f>
        <v>0</v>
      </c>
      <c r="X234" s="29">
        <f>IF(OR(V234="",V234=0),0,ROUND(S234*LateFeePct,2))</f>
        <v>0</v>
      </c>
      <c r="AA234" s="49">
        <f>IF(A234="","",IF(COUNTIF(Invoices!$A$5:$A$304,A234)&gt;1,"Duplicate number","OK"))</f>
        <v>0</v>
      </c>
      <c r="AC234" s="28">
        <f>IF(B234="","",TEXT(B234,"yyyy-mm"))</f>
        <v>0</v>
      </c>
      <c r="AD234" s="49">
        <f>IF(A234="","",IF(T234="Draft","Action - still a draft",IF(U234="Overdue","Overdue - chase payment",IF(U234="Overdue - part paid","Overdue - chase the balance",IF(AND(S234&gt;0.004,C234&lt;&gt;"",C234-TODAY()&lt;=ReminderLeadDays,C234&gt;=TODAY()),"Due soon - send a reminder","OK")))))</f>
        <v>0</v>
      </c>
    </row>
    <row r="235" spans="1:30">
      <c r="A235" s="46">
        <f>IF(D235="","",InvoicePrefix&amp;TEXT(InvoiceStartNo+ROW()-5,"0000"))</f>
        <v>0</v>
      </c>
      <c r="C235" s="21">
        <f>IF(B235="","",B235+PaymentTermsDays)</f>
        <v>0</v>
      </c>
      <c r="F235" s="29">
        <f>IF(E235="",0,IFERROR(INDEX(Bookings!$AI$5:$AI$404,MATCH(E235,Bookings!$A$5:$A$404,0)),0))</f>
        <v>0</v>
      </c>
      <c r="J235" s="29">
        <f>IF(D235="","",IF(E235&lt;&gt;"",F235,ROUND(IF(H235="",0,H235)*IF(I235="",0,I235),2)))</f>
        <v>0</v>
      </c>
      <c r="M235" s="29">
        <f>IF(D235="","",ROUND(J235+IF(K235="",0,K235)-IF(L235="",0,L235),2))</f>
        <v>0</v>
      </c>
      <c r="N235" s="29">
        <f>IF(M235="","",IF(TaxRegistered&lt;&gt;"Yes",0,IF(PricesIncludeTax="Yes",ROUND(M235-M235/(1+TaxRate),2),ROUND(M235*TaxRate,2))))</f>
        <v>0</v>
      </c>
      <c r="O235" s="29">
        <f>IF(M235="","",IF(PricesIncludeTax="Yes",M235,ROUND(M235+N235,2)))</f>
        <v>0</v>
      </c>
      <c r="P235" s="29">
        <f>IF(A235="","",SUMIFS(Payments!$E$5:$E$304,Payments!$D$5:$D$304,A235,Payments!$M$5:$M$304,"Yes"))</f>
        <v>0</v>
      </c>
      <c r="Q235" s="29">
        <f>IF(A235="","",SUMIFS(Payments!$K$5:$K$304,Payments!$D$5:$D$304,A235))</f>
        <v>0</v>
      </c>
      <c r="R235" s="29">
        <f>IF(A235="","",SUMIFS(Payments!$J$5:$J$304,Payments!$D$5:$D$304,A235))</f>
        <v>0</v>
      </c>
      <c r="S235" s="29">
        <f>IF(D235="","",ROUND(IF(T235="Cancelled",0,O235-Q235),2))</f>
        <v>0</v>
      </c>
      <c r="U235" s="49">
        <f>IF(A235="","",IF(T235="Cancelled","Cancelled",IF(S235&lt;=0.004,"Paid",IF(Q235&gt;0.004,IF(AND(C235&lt;&gt;"",TODAY()&gt;C235),"Overdue - part paid","Partially paid"),IF(AND(C235&lt;&gt;"",TODAY()&gt;C235),"Overdue",IF(T235="Draft","Draft","Unpaid"))))))</f>
        <v>0</v>
      </c>
      <c r="V235" s="31">
        <f>IF(OR(C235="",S235&lt;=0.004),"",MAX(0,TODAY()-C235))</f>
        <v>0</v>
      </c>
      <c r="W235" s="49">
        <f>IF(A235="","",IF(S235&lt;=0.004,"Paid",IF(V235="","Not due",IF(V235=0,"Current",IF(V235&lt;=30,"1-30 days",IF(V235&lt;=60,"31-60 days",IF(V235&lt;=90,"61-90 days","90+ days")))))))</f>
        <v>0</v>
      </c>
      <c r="X235" s="29">
        <f>IF(OR(V235="",V235=0),0,ROUND(S235*LateFeePct,2))</f>
        <v>0</v>
      </c>
      <c r="AA235" s="49">
        <f>IF(A235="","",IF(COUNTIF(Invoices!$A$5:$A$304,A235)&gt;1,"Duplicate number","OK"))</f>
        <v>0</v>
      </c>
      <c r="AC235" s="28">
        <f>IF(B235="","",TEXT(B235,"yyyy-mm"))</f>
        <v>0</v>
      </c>
      <c r="AD235" s="49">
        <f>IF(A235="","",IF(T235="Draft","Action - still a draft",IF(U235="Overdue","Overdue - chase payment",IF(U235="Overdue - part paid","Overdue - chase the balance",IF(AND(S235&gt;0.004,C235&lt;&gt;"",C235-TODAY()&lt;=ReminderLeadDays,C235&gt;=TODAY()),"Due soon - send a reminder","OK")))))</f>
        <v>0</v>
      </c>
    </row>
    <row r="236" spans="1:30">
      <c r="A236" s="46">
        <f>IF(D236="","",InvoicePrefix&amp;TEXT(InvoiceStartNo+ROW()-5,"0000"))</f>
        <v>0</v>
      </c>
      <c r="C236" s="21">
        <f>IF(B236="","",B236+PaymentTermsDays)</f>
        <v>0</v>
      </c>
      <c r="F236" s="29">
        <f>IF(E236="",0,IFERROR(INDEX(Bookings!$AI$5:$AI$404,MATCH(E236,Bookings!$A$5:$A$404,0)),0))</f>
        <v>0</v>
      </c>
      <c r="J236" s="29">
        <f>IF(D236="","",IF(E236&lt;&gt;"",F236,ROUND(IF(H236="",0,H236)*IF(I236="",0,I236),2)))</f>
        <v>0</v>
      </c>
      <c r="M236" s="29">
        <f>IF(D236="","",ROUND(J236+IF(K236="",0,K236)-IF(L236="",0,L236),2))</f>
        <v>0</v>
      </c>
      <c r="N236" s="29">
        <f>IF(M236="","",IF(TaxRegistered&lt;&gt;"Yes",0,IF(PricesIncludeTax="Yes",ROUND(M236-M236/(1+TaxRate),2),ROUND(M236*TaxRate,2))))</f>
        <v>0</v>
      </c>
      <c r="O236" s="29">
        <f>IF(M236="","",IF(PricesIncludeTax="Yes",M236,ROUND(M236+N236,2)))</f>
        <v>0</v>
      </c>
      <c r="P236" s="29">
        <f>IF(A236="","",SUMIFS(Payments!$E$5:$E$304,Payments!$D$5:$D$304,A236,Payments!$M$5:$M$304,"Yes"))</f>
        <v>0</v>
      </c>
      <c r="Q236" s="29">
        <f>IF(A236="","",SUMIFS(Payments!$K$5:$K$304,Payments!$D$5:$D$304,A236))</f>
        <v>0</v>
      </c>
      <c r="R236" s="29">
        <f>IF(A236="","",SUMIFS(Payments!$J$5:$J$304,Payments!$D$5:$D$304,A236))</f>
        <v>0</v>
      </c>
      <c r="S236" s="29">
        <f>IF(D236="","",ROUND(IF(T236="Cancelled",0,O236-Q236),2))</f>
        <v>0</v>
      </c>
      <c r="U236" s="49">
        <f>IF(A236="","",IF(T236="Cancelled","Cancelled",IF(S236&lt;=0.004,"Paid",IF(Q236&gt;0.004,IF(AND(C236&lt;&gt;"",TODAY()&gt;C236),"Overdue - part paid","Partially paid"),IF(AND(C236&lt;&gt;"",TODAY()&gt;C236),"Overdue",IF(T236="Draft","Draft","Unpaid"))))))</f>
        <v>0</v>
      </c>
      <c r="V236" s="31">
        <f>IF(OR(C236="",S236&lt;=0.004),"",MAX(0,TODAY()-C236))</f>
        <v>0</v>
      </c>
      <c r="W236" s="49">
        <f>IF(A236="","",IF(S236&lt;=0.004,"Paid",IF(V236="","Not due",IF(V236=0,"Current",IF(V236&lt;=30,"1-30 days",IF(V236&lt;=60,"31-60 days",IF(V236&lt;=90,"61-90 days","90+ days")))))))</f>
        <v>0</v>
      </c>
      <c r="X236" s="29">
        <f>IF(OR(V236="",V236=0),0,ROUND(S236*LateFeePct,2))</f>
        <v>0</v>
      </c>
      <c r="AA236" s="49">
        <f>IF(A236="","",IF(COUNTIF(Invoices!$A$5:$A$304,A236)&gt;1,"Duplicate number","OK"))</f>
        <v>0</v>
      </c>
      <c r="AC236" s="28">
        <f>IF(B236="","",TEXT(B236,"yyyy-mm"))</f>
        <v>0</v>
      </c>
      <c r="AD236" s="49">
        <f>IF(A236="","",IF(T236="Draft","Action - still a draft",IF(U236="Overdue","Overdue - chase payment",IF(U236="Overdue - part paid","Overdue - chase the balance",IF(AND(S236&gt;0.004,C236&lt;&gt;"",C236-TODAY()&lt;=ReminderLeadDays,C236&gt;=TODAY()),"Due soon - send a reminder","OK")))))</f>
        <v>0</v>
      </c>
    </row>
    <row r="237" spans="1:30">
      <c r="A237" s="46">
        <f>IF(D237="","",InvoicePrefix&amp;TEXT(InvoiceStartNo+ROW()-5,"0000"))</f>
        <v>0</v>
      </c>
      <c r="C237" s="21">
        <f>IF(B237="","",B237+PaymentTermsDays)</f>
        <v>0</v>
      </c>
      <c r="F237" s="29">
        <f>IF(E237="",0,IFERROR(INDEX(Bookings!$AI$5:$AI$404,MATCH(E237,Bookings!$A$5:$A$404,0)),0))</f>
        <v>0</v>
      </c>
      <c r="J237" s="29">
        <f>IF(D237="","",IF(E237&lt;&gt;"",F237,ROUND(IF(H237="",0,H237)*IF(I237="",0,I237),2)))</f>
        <v>0</v>
      </c>
      <c r="M237" s="29">
        <f>IF(D237="","",ROUND(J237+IF(K237="",0,K237)-IF(L237="",0,L237),2))</f>
        <v>0</v>
      </c>
      <c r="N237" s="29">
        <f>IF(M237="","",IF(TaxRegistered&lt;&gt;"Yes",0,IF(PricesIncludeTax="Yes",ROUND(M237-M237/(1+TaxRate),2),ROUND(M237*TaxRate,2))))</f>
        <v>0</v>
      </c>
      <c r="O237" s="29">
        <f>IF(M237="","",IF(PricesIncludeTax="Yes",M237,ROUND(M237+N237,2)))</f>
        <v>0</v>
      </c>
      <c r="P237" s="29">
        <f>IF(A237="","",SUMIFS(Payments!$E$5:$E$304,Payments!$D$5:$D$304,A237,Payments!$M$5:$M$304,"Yes"))</f>
        <v>0</v>
      </c>
      <c r="Q237" s="29">
        <f>IF(A237="","",SUMIFS(Payments!$K$5:$K$304,Payments!$D$5:$D$304,A237))</f>
        <v>0</v>
      </c>
      <c r="R237" s="29">
        <f>IF(A237="","",SUMIFS(Payments!$J$5:$J$304,Payments!$D$5:$D$304,A237))</f>
        <v>0</v>
      </c>
      <c r="S237" s="29">
        <f>IF(D237="","",ROUND(IF(T237="Cancelled",0,O237-Q237),2))</f>
        <v>0</v>
      </c>
      <c r="U237" s="49">
        <f>IF(A237="","",IF(T237="Cancelled","Cancelled",IF(S237&lt;=0.004,"Paid",IF(Q237&gt;0.004,IF(AND(C237&lt;&gt;"",TODAY()&gt;C237),"Overdue - part paid","Partially paid"),IF(AND(C237&lt;&gt;"",TODAY()&gt;C237),"Overdue",IF(T237="Draft","Draft","Unpaid"))))))</f>
        <v>0</v>
      </c>
      <c r="V237" s="31">
        <f>IF(OR(C237="",S237&lt;=0.004),"",MAX(0,TODAY()-C237))</f>
        <v>0</v>
      </c>
      <c r="W237" s="49">
        <f>IF(A237="","",IF(S237&lt;=0.004,"Paid",IF(V237="","Not due",IF(V237=0,"Current",IF(V237&lt;=30,"1-30 days",IF(V237&lt;=60,"31-60 days",IF(V237&lt;=90,"61-90 days","90+ days")))))))</f>
        <v>0</v>
      </c>
      <c r="X237" s="29">
        <f>IF(OR(V237="",V237=0),0,ROUND(S237*LateFeePct,2))</f>
        <v>0</v>
      </c>
      <c r="AA237" s="49">
        <f>IF(A237="","",IF(COUNTIF(Invoices!$A$5:$A$304,A237)&gt;1,"Duplicate number","OK"))</f>
        <v>0</v>
      </c>
      <c r="AC237" s="28">
        <f>IF(B237="","",TEXT(B237,"yyyy-mm"))</f>
        <v>0</v>
      </c>
      <c r="AD237" s="49">
        <f>IF(A237="","",IF(T237="Draft","Action - still a draft",IF(U237="Overdue","Overdue - chase payment",IF(U237="Overdue - part paid","Overdue - chase the balance",IF(AND(S237&gt;0.004,C237&lt;&gt;"",C237-TODAY()&lt;=ReminderLeadDays,C237&gt;=TODAY()),"Due soon - send a reminder","OK")))))</f>
        <v>0</v>
      </c>
    </row>
    <row r="238" spans="1:30">
      <c r="A238" s="46">
        <f>IF(D238="","",InvoicePrefix&amp;TEXT(InvoiceStartNo+ROW()-5,"0000"))</f>
        <v>0</v>
      </c>
      <c r="C238" s="21">
        <f>IF(B238="","",B238+PaymentTermsDays)</f>
        <v>0</v>
      </c>
      <c r="F238" s="29">
        <f>IF(E238="",0,IFERROR(INDEX(Bookings!$AI$5:$AI$404,MATCH(E238,Bookings!$A$5:$A$404,0)),0))</f>
        <v>0</v>
      </c>
      <c r="J238" s="29">
        <f>IF(D238="","",IF(E238&lt;&gt;"",F238,ROUND(IF(H238="",0,H238)*IF(I238="",0,I238),2)))</f>
        <v>0</v>
      </c>
      <c r="M238" s="29">
        <f>IF(D238="","",ROUND(J238+IF(K238="",0,K238)-IF(L238="",0,L238),2))</f>
        <v>0</v>
      </c>
      <c r="N238" s="29">
        <f>IF(M238="","",IF(TaxRegistered&lt;&gt;"Yes",0,IF(PricesIncludeTax="Yes",ROUND(M238-M238/(1+TaxRate),2),ROUND(M238*TaxRate,2))))</f>
        <v>0</v>
      </c>
      <c r="O238" s="29">
        <f>IF(M238="","",IF(PricesIncludeTax="Yes",M238,ROUND(M238+N238,2)))</f>
        <v>0</v>
      </c>
      <c r="P238" s="29">
        <f>IF(A238="","",SUMIFS(Payments!$E$5:$E$304,Payments!$D$5:$D$304,A238,Payments!$M$5:$M$304,"Yes"))</f>
        <v>0</v>
      </c>
      <c r="Q238" s="29">
        <f>IF(A238="","",SUMIFS(Payments!$K$5:$K$304,Payments!$D$5:$D$304,A238))</f>
        <v>0</v>
      </c>
      <c r="R238" s="29">
        <f>IF(A238="","",SUMIFS(Payments!$J$5:$J$304,Payments!$D$5:$D$304,A238))</f>
        <v>0</v>
      </c>
      <c r="S238" s="29">
        <f>IF(D238="","",ROUND(IF(T238="Cancelled",0,O238-Q238),2))</f>
        <v>0</v>
      </c>
      <c r="U238" s="49">
        <f>IF(A238="","",IF(T238="Cancelled","Cancelled",IF(S238&lt;=0.004,"Paid",IF(Q238&gt;0.004,IF(AND(C238&lt;&gt;"",TODAY()&gt;C238),"Overdue - part paid","Partially paid"),IF(AND(C238&lt;&gt;"",TODAY()&gt;C238),"Overdue",IF(T238="Draft","Draft","Unpaid"))))))</f>
        <v>0</v>
      </c>
      <c r="V238" s="31">
        <f>IF(OR(C238="",S238&lt;=0.004),"",MAX(0,TODAY()-C238))</f>
        <v>0</v>
      </c>
      <c r="W238" s="49">
        <f>IF(A238="","",IF(S238&lt;=0.004,"Paid",IF(V238="","Not due",IF(V238=0,"Current",IF(V238&lt;=30,"1-30 days",IF(V238&lt;=60,"31-60 days",IF(V238&lt;=90,"61-90 days","90+ days")))))))</f>
        <v>0</v>
      </c>
      <c r="X238" s="29">
        <f>IF(OR(V238="",V238=0),0,ROUND(S238*LateFeePct,2))</f>
        <v>0</v>
      </c>
      <c r="AA238" s="49">
        <f>IF(A238="","",IF(COUNTIF(Invoices!$A$5:$A$304,A238)&gt;1,"Duplicate number","OK"))</f>
        <v>0</v>
      </c>
      <c r="AC238" s="28">
        <f>IF(B238="","",TEXT(B238,"yyyy-mm"))</f>
        <v>0</v>
      </c>
      <c r="AD238" s="49">
        <f>IF(A238="","",IF(T238="Draft","Action - still a draft",IF(U238="Overdue","Overdue - chase payment",IF(U238="Overdue - part paid","Overdue - chase the balance",IF(AND(S238&gt;0.004,C238&lt;&gt;"",C238-TODAY()&lt;=ReminderLeadDays,C238&gt;=TODAY()),"Due soon - send a reminder","OK")))))</f>
        <v>0</v>
      </c>
    </row>
    <row r="239" spans="1:30">
      <c r="A239" s="46">
        <f>IF(D239="","",InvoicePrefix&amp;TEXT(InvoiceStartNo+ROW()-5,"0000"))</f>
        <v>0</v>
      </c>
      <c r="C239" s="21">
        <f>IF(B239="","",B239+PaymentTermsDays)</f>
        <v>0</v>
      </c>
      <c r="F239" s="29">
        <f>IF(E239="",0,IFERROR(INDEX(Bookings!$AI$5:$AI$404,MATCH(E239,Bookings!$A$5:$A$404,0)),0))</f>
        <v>0</v>
      </c>
      <c r="J239" s="29">
        <f>IF(D239="","",IF(E239&lt;&gt;"",F239,ROUND(IF(H239="",0,H239)*IF(I239="",0,I239),2)))</f>
        <v>0</v>
      </c>
      <c r="M239" s="29">
        <f>IF(D239="","",ROUND(J239+IF(K239="",0,K239)-IF(L239="",0,L239),2))</f>
        <v>0</v>
      </c>
      <c r="N239" s="29">
        <f>IF(M239="","",IF(TaxRegistered&lt;&gt;"Yes",0,IF(PricesIncludeTax="Yes",ROUND(M239-M239/(1+TaxRate),2),ROUND(M239*TaxRate,2))))</f>
        <v>0</v>
      </c>
      <c r="O239" s="29">
        <f>IF(M239="","",IF(PricesIncludeTax="Yes",M239,ROUND(M239+N239,2)))</f>
        <v>0</v>
      </c>
      <c r="P239" s="29">
        <f>IF(A239="","",SUMIFS(Payments!$E$5:$E$304,Payments!$D$5:$D$304,A239,Payments!$M$5:$M$304,"Yes"))</f>
        <v>0</v>
      </c>
      <c r="Q239" s="29">
        <f>IF(A239="","",SUMIFS(Payments!$K$5:$K$304,Payments!$D$5:$D$304,A239))</f>
        <v>0</v>
      </c>
      <c r="R239" s="29">
        <f>IF(A239="","",SUMIFS(Payments!$J$5:$J$304,Payments!$D$5:$D$304,A239))</f>
        <v>0</v>
      </c>
      <c r="S239" s="29">
        <f>IF(D239="","",ROUND(IF(T239="Cancelled",0,O239-Q239),2))</f>
        <v>0</v>
      </c>
      <c r="U239" s="49">
        <f>IF(A239="","",IF(T239="Cancelled","Cancelled",IF(S239&lt;=0.004,"Paid",IF(Q239&gt;0.004,IF(AND(C239&lt;&gt;"",TODAY()&gt;C239),"Overdue - part paid","Partially paid"),IF(AND(C239&lt;&gt;"",TODAY()&gt;C239),"Overdue",IF(T239="Draft","Draft","Unpaid"))))))</f>
        <v>0</v>
      </c>
      <c r="V239" s="31">
        <f>IF(OR(C239="",S239&lt;=0.004),"",MAX(0,TODAY()-C239))</f>
        <v>0</v>
      </c>
      <c r="W239" s="49">
        <f>IF(A239="","",IF(S239&lt;=0.004,"Paid",IF(V239="","Not due",IF(V239=0,"Current",IF(V239&lt;=30,"1-30 days",IF(V239&lt;=60,"31-60 days",IF(V239&lt;=90,"61-90 days","90+ days")))))))</f>
        <v>0</v>
      </c>
      <c r="X239" s="29">
        <f>IF(OR(V239="",V239=0),0,ROUND(S239*LateFeePct,2))</f>
        <v>0</v>
      </c>
      <c r="AA239" s="49">
        <f>IF(A239="","",IF(COUNTIF(Invoices!$A$5:$A$304,A239)&gt;1,"Duplicate number","OK"))</f>
        <v>0</v>
      </c>
      <c r="AC239" s="28">
        <f>IF(B239="","",TEXT(B239,"yyyy-mm"))</f>
        <v>0</v>
      </c>
      <c r="AD239" s="49">
        <f>IF(A239="","",IF(T239="Draft","Action - still a draft",IF(U239="Overdue","Overdue - chase payment",IF(U239="Overdue - part paid","Overdue - chase the balance",IF(AND(S239&gt;0.004,C239&lt;&gt;"",C239-TODAY()&lt;=ReminderLeadDays,C239&gt;=TODAY()),"Due soon - send a reminder","OK")))))</f>
        <v>0</v>
      </c>
    </row>
    <row r="240" spans="1:30">
      <c r="A240" s="46">
        <f>IF(D240="","",InvoicePrefix&amp;TEXT(InvoiceStartNo+ROW()-5,"0000"))</f>
        <v>0</v>
      </c>
      <c r="C240" s="21">
        <f>IF(B240="","",B240+PaymentTermsDays)</f>
        <v>0</v>
      </c>
      <c r="F240" s="29">
        <f>IF(E240="",0,IFERROR(INDEX(Bookings!$AI$5:$AI$404,MATCH(E240,Bookings!$A$5:$A$404,0)),0))</f>
        <v>0</v>
      </c>
      <c r="J240" s="29">
        <f>IF(D240="","",IF(E240&lt;&gt;"",F240,ROUND(IF(H240="",0,H240)*IF(I240="",0,I240),2)))</f>
        <v>0</v>
      </c>
      <c r="M240" s="29">
        <f>IF(D240="","",ROUND(J240+IF(K240="",0,K240)-IF(L240="",0,L240),2))</f>
        <v>0</v>
      </c>
      <c r="N240" s="29">
        <f>IF(M240="","",IF(TaxRegistered&lt;&gt;"Yes",0,IF(PricesIncludeTax="Yes",ROUND(M240-M240/(1+TaxRate),2),ROUND(M240*TaxRate,2))))</f>
        <v>0</v>
      </c>
      <c r="O240" s="29">
        <f>IF(M240="","",IF(PricesIncludeTax="Yes",M240,ROUND(M240+N240,2)))</f>
        <v>0</v>
      </c>
      <c r="P240" s="29">
        <f>IF(A240="","",SUMIFS(Payments!$E$5:$E$304,Payments!$D$5:$D$304,A240,Payments!$M$5:$M$304,"Yes"))</f>
        <v>0</v>
      </c>
      <c r="Q240" s="29">
        <f>IF(A240="","",SUMIFS(Payments!$K$5:$K$304,Payments!$D$5:$D$304,A240))</f>
        <v>0</v>
      </c>
      <c r="R240" s="29">
        <f>IF(A240="","",SUMIFS(Payments!$J$5:$J$304,Payments!$D$5:$D$304,A240))</f>
        <v>0</v>
      </c>
      <c r="S240" s="29">
        <f>IF(D240="","",ROUND(IF(T240="Cancelled",0,O240-Q240),2))</f>
        <v>0</v>
      </c>
      <c r="U240" s="49">
        <f>IF(A240="","",IF(T240="Cancelled","Cancelled",IF(S240&lt;=0.004,"Paid",IF(Q240&gt;0.004,IF(AND(C240&lt;&gt;"",TODAY()&gt;C240),"Overdue - part paid","Partially paid"),IF(AND(C240&lt;&gt;"",TODAY()&gt;C240),"Overdue",IF(T240="Draft","Draft","Unpaid"))))))</f>
        <v>0</v>
      </c>
      <c r="V240" s="31">
        <f>IF(OR(C240="",S240&lt;=0.004),"",MAX(0,TODAY()-C240))</f>
        <v>0</v>
      </c>
      <c r="W240" s="49">
        <f>IF(A240="","",IF(S240&lt;=0.004,"Paid",IF(V240="","Not due",IF(V240=0,"Current",IF(V240&lt;=30,"1-30 days",IF(V240&lt;=60,"31-60 days",IF(V240&lt;=90,"61-90 days","90+ days")))))))</f>
        <v>0</v>
      </c>
      <c r="X240" s="29">
        <f>IF(OR(V240="",V240=0),0,ROUND(S240*LateFeePct,2))</f>
        <v>0</v>
      </c>
      <c r="AA240" s="49">
        <f>IF(A240="","",IF(COUNTIF(Invoices!$A$5:$A$304,A240)&gt;1,"Duplicate number","OK"))</f>
        <v>0</v>
      </c>
      <c r="AC240" s="28">
        <f>IF(B240="","",TEXT(B240,"yyyy-mm"))</f>
        <v>0</v>
      </c>
      <c r="AD240" s="49">
        <f>IF(A240="","",IF(T240="Draft","Action - still a draft",IF(U240="Overdue","Overdue - chase payment",IF(U240="Overdue - part paid","Overdue - chase the balance",IF(AND(S240&gt;0.004,C240&lt;&gt;"",C240-TODAY()&lt;=ReminderLeadDays,C240&gt;=TODAY()),"Due soon - send a reminder","OK")))))</f>
        <v>0</v>
      </c>
    </row>
    <row r="241" spans="1:30">
      <c r="A241" s="46">
        <f>IF(D241="","",InvoicePrefix&amp;TEXT(InvoiceStartNo+ROW()-5,"0000"))</f>
        <v>0</v>
      </c>
      <c r="C241" s="21">
        <f>IF(B241="","",B241+PaymentTermsDays)</f>
        <v>0</v>
      </c>
      <c r="F241" s="29">
        <f>IF(E241="",0,IFERROR(INDEX(Bookings!$AI$5:$AI$404,MATCH(E241,Bookings!$A$5:$A$404,0)),0))</f>
        <v>0</v>
      </c>
      <c r="J241" s="29">
        <f>IF(D241="","",IF(E241&lt;&gt;"",F241,ROUND(IF(H241="",0,H241)*IF(I241="",0,I241),2)))</f>
        <v>0</v>
      </c>
      <c r="M241" s="29">
        <f>IF(D241="","",ROUND(J241+IF(K241="",0,K241)-IF(L241="",0,L241),2))</f>
        <v>0</v>
      </c>
      <c r="N241" s="29">
        <f>IF(M241="","",IF(TaxRegistered&lt;&gt;"Yes",0,IF(PricesIncludeTax="Yes",ROUND(M241-M241/(1+TaxRate),2),ROUND(M241*TaxRate,2))))</f>
        <v>0</v>
      </c>
      <c r="O241" s="29">
        <f>IF(M241="","",IF(PricesIncludeTax="Yes",M241,ROUND(M241+N241,2)))</f>
        <v>0</v>
      </c>
      <c r="P241" s="29">
        <f>IF(A241="","",SUMIFS(Payments!$E$5:$E$304,Payments!$D$5:$D$304,A241,Payments!$M$5:$M$304,"Yes"))</f>
        <v>0</v>
      </c>
      <c r="Q241" s="29">
        <f>IF(A241="","",SUMIFS(Payments!$K$5:$K$304,Payments!$D$5:$D$304,A241))</f>
        <v>0</v>
      </c>
      <c r="R241" s="29">
        <f>IF(A241="","",SUMIFS(Payments!$J$5:$J$304,Payments!$D$5:$D$304,A241))</f>
        <v>0</v>
      </c>
      <c r="S241" s="29">
        <f>IF(D241="","",ROUND(IF(T241="Cancelled",0,O241-Q241),2))</f>
        <v>0</v>
      </c>
      <c r="U241" s="49">
        <f>IF(A241="","",IF(T241="Cancelled","Cancelled",IF(S241&lt;=0.004,"Paid",IF(Q241&gt;0.004,IF(AND(C241&lt;&gt;"",TODAY()&gt;C241),"Overdue - part paid","Partially paid"),IF(AND(C241&lt;&gt;"",TODAY()&gt;C241),"Overdue",IF(T241="Draft","Draft","Unpaid"))))))</f>
        <v>0</v>
      </c>
      <c r="V241" s="31">
        <f>IF(OR(C241="",S241&lt;=0.004),"",MAX(0,TODAY()-C241))</f>
        <v>0</v>
      </c>
      <c r="W241" s="49">
        <f>IF(A241="","",IF(S241&lt;=0.004,"Paid",IF(V241="","Not due",IF(V241=0,"Current",IF(V241&lt;=30,"1-30 days",IF(V241&lt;=60,"31-60 days",IF(V241&lt;=90,"61-90 days","90+ days")))))))</f>
        <v>0</v>
      </c>
      <c r="X241" s="29">
        <f>IF(OR(V241="",V241=0),0,ROUND(S241*LateFeePct,2))</f>
        <v>0</v>
      </c>
      <c r="AA241" s="49">
        <f>IF(A241="","",IF(COUNTIF(Invoices!$A$5:$A$304,A241)&gt;1,"Duplicate number","OK"))</f>
        <v>0</v>
      </c>
      <c r="AC241" s="28">
        <f>IF(B241="","",TEXT(B241,"yyyy-mm"))</f>
        <v>0</v>
      </c>
      <c r="AD241" s="49">
        <f>IF(A241="","",IF(T241="Draft","Action - still a draft",IF(U241="Overdue","Overdue - chase payment",IF(U241="Overdue - part paid","Overdue - chase the balance",IF(AND(S241&gt;0.004,C241&lt;&gt;"",C241-TODAY()&lt;=ReminderLeadDays,C241&gt;=TODAY()),"Due soon - send a reminder","OK")))))</f>
        <v>0</v>
      </c>
    </row>
    <row r="242" spans="1:30">
      <c r="A242" s="46">
        <f>IF(D242="","",InvoicePrefix&amp;TEXT(InvoiceStartNo+ROW()-5,"0000"))</f>
        <v>0</v>
      </c>
      <c r="C242" s="21">
        <f>IF(B242="","",B242+PaymentTermsDays)</f>
        <v>0</v>
      </c>
      <c r="F242" s="29">
        <f>IF(E242="",0,IFERROR(INDEX(Bookings!$AI$5:$AI$404,MATCH(E242,Bookings!$A$5:$A$404,0)),0))</f>
        <v>0</v>
      </c>
      <c r="J242" s="29">
        <f>IF(D242="","",IF(E242&lt;&gt;"",F242,ROUND(IF(H242="",0,H242)*IF(I242="",0,I242),2)))</f>
        <v>0</v>
      </c>
      <c r="M242" s="29">
        <f>IF(D242="","",ROUND(J242+IF(K242="",0,K242)-IF(L242="",0,L242),2))</f>
        <v>0</v>
      </c>
      <c r="N242" s="29">
        <f>IF(M242="","",IF(TaxRegistered&lt;&gt;"Yes",0,IF(PricesIncludeTax="Yes",ROUND(M242-M242/(1+TaxRate),2),ROUND(M242*TaxRate,2))))</f>
        <v>0</v>
      </c>
      <c r="O242" s="29">
        <f>IF(M242="","",IF(PricesIncludeTax="Yes",M242,ROUND(M242+N242,2)))</f>
        <v>0</v>
      </c>
      <c r="P242" s="29">
        <f>IF(A242="","",SUMIFS(Payments!$E$5:$E$304,Payments!$D$5:$D$304,A242,Payments!$M$5:$M$304,"Yes"))</f>
        <v>0</v>
      </c>
      <c r="Q242" s="29">
        <f>IF(A242="","",SUMIFS(Payments!$K$5:$K$304,Payments!$D$5:$D$304,A242))</f>
        <v>0</v>
      </c>
      <c r="R242" s="29">
        <f>IF(A242="","",SUMIFS(Payments!$J$5:$J$304,Payments!$D$5:$D$304,A242))</f>
        <v>0</v>
      </c>
      <c r="S242" s="29">
        <f>IF(D242="","",ROUND(IF(T242="Cancelled",0,O242-Q242),2))</f>
        <v>0</v>
      </c>
      <c r="U242" s="49">
        <f>IF(A242="","",IF(T242="Cancelled","Cancelled",IF(S242&lt;=0.004,"Paid",IF(Q242&gt;0.004,IF(AND(C242&lt;&gt;"",TODAY()&gt;C242),"Overdue - part paid","Partially paid"),IF(AND(C242&lt;&gt;"",TODAY()&gt;C242),"Overdue",IF(T242="Draft","Draft","Unpaid"))))))</f>
        <v>0</v>
      </c>
      <c r="V242" s="31">
        <f>IF(OR(C242="",S242&lt;=0.004),"",MAX(0,TODAY()-C242))</f>
        <v>0</v>
      </c>
      <c r="W242" s="49">
        <f>IF(A242="","",IF(S242&lt;=0.004,"Paid",IF(V242="","Not due",IF(V242=0,"Current",IF(V242&lt;=30,"1-30 days",IF(V242&lt;=60,"31-60 days",IF(V242&lt;=90,"61-90 days","90+ days")))))))</f>
        <v>0</v>
      </c>
      <c r="X242" s="29">
        <f>IF(OR(V242="",V242=0),0,ROUND(S242*LateFeePct,2))</f>
        <v>0</v>
      </c>
      <c r="AA242" s="49">
        <f>IF(A242="","",IF(COUNTIF(Invoices!$A$5:$A$304,A242)&gt;1,"Duplicate number","OK"))</f>
        <v>0</v>
      </c>
      <c r="AC242" s="28">
        <f>IF(B242="","",TEXT(B242,"yyyy-mm"))</f>
        <v>0</v>
      </c>
      <c r="AD242" s="49">
        <f>IF(A242="","",IF(T242="Draft","Action - still a draft",IF(U242="Overdue","Overdue - chase payment",IF(U242="Overdue - part paid","Overdue - chase the balance",IF(AND(S242&gt;0.004,C242&lt;&gt;"",C242-TODAY()&lt;=ReminderLeadDays,C242&gt;=TODAY()),"Due soon - send a reminder","OK")))))</f>
        <v>0</v>
      </c>
    </row>
    <row r="243" spans="1:30">
      <c r="A243" s="46">
        <f>IF(D243="","",InvoicePrefix&amp;TEXT(InvoiceStartNo+ROW()-5,"0000"))</f>
        <v>0</v>
      </c>
      <c r="C243" s="21">
        <f>IF(B243="","",B243+PaymentTermsDays)</f>
        <v>0</v>
      </c>
      <c r="F243" s="29">
        <f>IF(E243="",0,IFERROR(INDEX(Bookings!$AI$5:$AI$404,MATCH(E243,Bookings!$A$5:$A$404,0)),0))</f>
        <v>0</v>
      </c>
      <c r="J243" s="29">
        <f>IF(D243="","",IF(E243&lt;&gt;"",F243,ROUND(IF(H243="",0,H243)*IF(I243="",0,I243),2)))</f>
        <v>0</v>
      </c>
      <c r="M243" s="29">
        <f>IF(D243="","",ROUND(J243+IF(K243="",0,K243)-IF(L243="",0,L243),2))</f>
        <v>0</v>
      </c>
      <c r="N243" s="29">
        <f>IF(M243="","",IF(TaxRegistered&lt;&gt;"Yes",0,IF(PricesIncludeTax="Yes",ROUND(M243-M243/(1+TaxRate),2),ROUND(M243*TaxRate,2))))</f>
        <v>0</v>
      </c>
      <c r="O243" s="29">
        <f>IF(M243="","",IF(PricesIncludeTax="Yes",M243,ROUND(M243+N243,2)))</f>
        <v>0</v>
      </c>
      <c r="P243" s="29">
        <f>IF(A243="","",SUMIFS(Payments!$E$5:$E$304,Payments!$D$5:$D$304,A243,Payments!$M$5:$M$304,"Yes"))</f>
        <v>0</v>
      </c>
      <c r="Q243" s="29">
        <f>IF(A243="","",SUMIFS(Payments!$K$5:$K$304,Payments!$D$5:$D$304,A243))</f>
        <v>0</v>
      </c>
      <c r="R243" s="29">
        <f>IF(A243="","",SUMIFS(Payments!$J$5:$J$304,Payments!$D$5:$D$304,A243))</f>
        <v>0</v>
      </c>
      <c r="S243" s="29">
        <f>IF(D243="","",ROUND(IF(T243="Cancelled",0,O243-Q243),2))</f>
        <v>0</v>
      </c>
      <c r="U243" s="49">
        <f>IF(A243="","",IF(T243="Cancelled","Cancelled",IF(S243&lt;=0.004,"Paid",IF(Q243&gt;0.004,IF(AND(C243&lt;&gt;"",TODAY()&gt;C243),"Overdue - part paid","Partially paid"),IF(AND(C243&lt;&gt;"",TODAY()&gt;C243),"Overdue",IF(T243="Draft","Draft","Unpaid"))))))</f>
        <v>0</v>
      </c>
      <c r="V243" s="31">
        <f>IF(OR(C243="",S243&lt;=0.004),"",MAX(0,TODAY()-C243))</f>
        <v>0</v>
      </c>
      <c r="W243" s="49">
        <f>IF(A243="","",IF(S243&lt;=0.004,"Paid",IF(V243="","Not due",IF(V243=0,"Current",IF(V243&lt;=30,"1-30 days",IF(V243&lt;=60,"31-60 days",IF(V243&lt;=90,"61-90 days","90+ days")))))))</f>
        <v>0</v>
      </c>
      <c r="X243" s="29">
        <f>IF(OR(V243="",V243=0),0,ROUND(S243*LateFeePct,2))</f>
        <v>0</v>
      </c>
      <c r="AA243" s="49">
        <f>IF(A243="","",IF(COUNTIF(Invoices!$A$5:$A$304,A243)&gt;1,"Duplicate number","OK"))</f>
        <v>0</v>
      </c>
      <c r="AC243" s="28">
        <f>IF(B243="","",TEXT(B243,"yyyy-mm"))</f>
        <v>0</v>
      </c>
      <c r="AD243" s="49">
        <f>IF(A243="","",IF(T243="Draft","Action - still a draft",IF(U243="Overdue","Overdue - chase payment",IF(U243="Overdue - part paid","Overdue - chase the balance",IF(AND(S243&gt;0.004,C243&lt;&gt;"",C243-TODAY()&lt;=ReminderLeadDays,C243&gt;=TODAY()),"Due soon - send a reminder","OK")))))</f>
        <v>0</v>
      </c>
    </row>
    <row r="244" spans="1:30">
      <c r="A244" s="46">
        <f>IF(D244="","",InvoicePrefix&amp;TEXT(InvoiceStartNo+ROW()-5,"0000"))</f>
        <v>0</v>
      </c>
      <c r="C244" s="21">
        <f>IF(B244="","",B244+PaymentTermsDays)</f>
        <v>0</v>
      </c>
      <c r="F244" s="29">
        <f>IF(E244="",0,IFERROR(INDEX(Bookings!$AI$5:$AI$404,MATCH(E244,Bookings!$A$5:$A$404,0)),0))</f>
        <v>0</v>
      </c>
      <c r="J244" s="29">
        <f>IF(D244="","",IF(E244&lt;&gt;"",F244,ROUND(IF(H244="",0,H244)*IF(I244="",0,I244),2)))</f>
        <v>0</v>
      </c>
      <c r="M244" s="29">
        <f>IF(D244="","",ROUND(J244+IF(K244="",0,K244)-IF(L244="",0,L244),2))</f>
        <v>0</v>
      </c>
      <c r="N244" s="29">
        <f>IF(M244="","",IF(TaxRegistered&lt;&gt;"Yes",0,IF(PricesIncludeTax="Yes",ROUND(M244-M244/(1+TaxRate),2),ROUND(M244*TaxRate,2))))</f>
        <v>0</v>
      </c>
      <c r="O244" s="29">
        <f>IF(M244="","",IF(PricesIncludeTax="Yes",M244,ROUND(M244+N244,2)))</f>
        <v>0</v>
      </c>
      <c r="P244" s="29">
        <f>IF(A244="","",SUMIFS(Payments!$E$5:$E$304,Payments!$D$5:$D$304,A244,Payments!$M$5:$M$304,"Yes"))</f>
        <v>0</v>
      </c>
      <c r="Q244" s="29">
        <f>IF(A244="","",SUMIFS(Payments!$K$5:$K$304,Payments!$D$5:$D$304,A244))</f>
        <v>0</v>
      </c>
      <c r="R244" s="29">
        <f>IF(A244="","",SUMIFS(Payments!$J$5:$J$304,Payments!$D$5:$D$304,A244))</f>
        <v>0</v>
      </c>
      <c r="S244" s="29">
        <f>IF(D244="","",ROUND(IF(T244="Cancelled",0,O244-Q244),2))</f>
        <v>0</v>
      </c>
      <c r="U244" s="49">
        <f>IF(A244="","",IF(T244="Cancelled","Cancelled",IF(S244&lt;=0.004,"Paid",IF(Q244&gt;0.004,IF(AND(C244&lt;&gt;"",TODAY()&gt;C244),"Overdue - part paid","Partially paid"),IF(AND(C244&lt;&gt;"",TODAY()&gt;C244),"Overdue",IF(T244="Draft","Draft","Unpaid"))))))</f>
        <v>0</v>
      </c>
      <c r="V244" s="31">
        <f>IF(OR(C244="",S244&lt;=0.004),"",MAX(0,TODAY()-C244))</f>
        <v>0</v>
      </c>
      <c r="W244" s="49">
        <f>IF(A244="","",IF(S244&lt;=0.004,"Paid",IF(V244="","Not due",IF(V244=0,"Current",IF(V244&lt;=30,"1-30 days",IF(V244&lt;=60,"31-60 days",IF(V244&lt;=90,"61-90 days","90+ days")))))))</f>
        <v>0</v>
      </c>
      <c r="X244" s="29">
        <f>IF(OR(V244="",V244=0),0,ROUND(S244*LateFeePct,2))</f>
        <v>0</v>
      </c>
      <c r="AA244" s="49">
        <f>IF(A244="","",IF(COUNTIF(Invoices!$A$5:$A$304,A244)&gt;1,"Duplicate number","OK"))</f>
        <v>0</v>
      </c>
      <c r="AC244" s="28">
        <f>IF(B244="","",TEXT(B244,"yyyy-mm"))</f>
        <v>0</v>
      </c>
      <c r="AD244" s="49">
        <f>IF(A244="","",IF(T244="Draft","Action - still a draft",IF(U244="Overdue","Overdue - chase payment",IF(U244="Overdue - part paid","Overdue - chase the balance",IF(AND(S244&gt;0.004,C244&lt;&gt;"",C244-TODAY()&lt;=ReminderLeadDays,C244&gt;=TODAY()),"Due soon - send a reminder","OK")))))</f>
        <v>0</v>
      </c>
    </row>
    <row r="245" spans="1:30">
      <c r="A245" s="46">
        <f>IF(D245="","",InvoicePrefix&amp;TEXT(InvoiceStartNo+ROW()-5,"0000"))</f>
        <v>0</v>
      </c>
      <c r="C245" s="21">
        <f>IF(B245="","",B245+PaymentTermsDays)</f>
        <v>0</v>
      </c>
      <c r="F245" s="29">
        <f>IF(E245="",0,IFERROR(INDEX(Bookings!$AI$5:$AI$404,MATCH(E245,Bookings!$A$5:$A$404,0)),0))</f>
        <v>0</v>
      </c>
      <c r="J245" s="29">
        <f>IF(D245="","",IF(E245&lt;&gt;"",F245,ROUND(IF(H245="",0,H245)*IF(I245="",0,I245),2)))</f>
        <v>0</v>
      </c>
      <c r="M245" s="29">
        <f>IF(D245="","",ROUND(J245+IF(K245="",0,K245)-IF(L245="",0,L245),2))</f>
        <v>0</v>
      </c>
      <c r="N245" s="29">
        <f>IF(M245="","",IF(TaxRegistered&lt;&gt;"Yes",0,IF(PricesIncludeTax="Yes",ROUND(M245-M245/(1+TaxRate),2),ROUND(M245*TaxRate,2))))</f>
        <v>0</v>
      </c>
      <c r="O245" s="29">
        <f>IF(M245="","",IF(PricesIncludeTax="Yes",M245,ROUND(M245+N245,2)))</f>
        <v>0</v>
      </c>
      <c r="P245" s="29">
        <f>IF(A245="","",SUMIFS(Payments!$E$5:$E$304,Payments!$D$5:$D$304,A245,Payments!$M$5:$M$304,"Yes"))</f>
        <v>0</v>
      </c>
      <c r="Q245" s="29">
        <f>IF(A245="","",SUMIFS(Payments!$K$5:$K$304,Payments!$D$5:$D$304,A245))</f>
        <v>0</v>
      </c>
      <c r="R245" s="29">
        <f>IF(A245="","",SUMIFS(Payments!$J$5:$J$304,Payments!$D$5:$D$304,A245))</f>
        <v>0</v>
      </c>
      <c r="S245" s="29">
        <f>IF(D245="","",ROUND(IF(T245="Cancelled",0,O245-Q245),2))</f>
        <v>0</v>
      </c>
      <c r="U245" s="49">
        <f>IF(A245="","",IF(T245="Cancelled","Cancelled",IF(S245&lt;=0.004,"Paid",IF(Q245&gt;0.004,IF(AND(C245&lt;&gt;"",TODAY()&gt;C245),"Overdue - part paid","Partially paid"),IF(AND(C245&lt;&gt;"",TODAY()&gt;C245),"Overdue",IF(T245="Draft","Draft","Unpaid"))))))</f>
        <v>0</v>
      </c>
      <c r="V245" s="31">
        <f>IF(OR(C245="",S245&lt;=0.004),"",MAX(0,TODAY()-C245))</f>
        <v>0</v>
      </c>
      <c r="W245" s="49">
        <f>IF(A245="","",IF(S245&lt;=0.004,"Paid",IF(V245="","Not due",IF(V245=0,"Current",IF(V245&lt;=30,"1-30 days",IF(V245&lt;=60,"31-60 days",IF(V245&lt;=90,"61-90 days","90+ days")))))))</f>
        <v>0</v>
      </c>
      <c r="X245" s="29">
        <f>IF(OR(V245="",V245=0),0,ROUND(S245*LateFeePct,2))</f>
        <v>0</v>
      </c>
      <c r="AA245" s="49">
        <f>IF(A245="","",IF(COUNTIF(Invoices!$A$5:$A$304,A245)&gt;1,"Duplicate number","OK"))</f>
        <v>0</v>
      </c>
      <c r="AC245" s="28">
        <f>IF(B245="","",TEXT(B245,"yyyy-mm"))</f>
        <v>0</v>
      </c>
      <c r="AD245" s="49">
        <f>IF(A245="","",IF(T245="Draft","Action - still a draft",IF(U245="Overdue","Overdue - chase payment",IF(U245="Overdue - part paid","Overdue - chase the balance",IF(AND(S245&gt;0.004,C245&lt;&gt;"",C245-TODAY()&lt;=ReminderLeadDays,C245&gt;=TODAY()),"Due soon - send a reminder","OK")))))</f>
        <v>0</v>
      </c>
    </row>
    <row r="246" spans="1:30">
      <c r="A246" s="46">
        <f>IF(D246="","",InvoicePrefix&amp;TEXT(InvoiceStartNo+ROW()-5,"0000"))</f>
        <v>0</v>
      </c>
      <c r="C246" s="21">
        <f>IF(B246="","",B246+PaymentTermsDays)</f>
        <v>0</v>
      </c>
      <c r="F246" s="29">
        <f>IF(E246="",0,IFERROR(INDEX(Bookings!$AI$5:$AI$404,MATCH(E246,Bookings!$A$5:$A$404,0)),0))</f>
        <v>0</v>
      </c>
      <c r="J246" s="29">
        <f>IF(D246="","",IF(E246&lt;&gt;"",F246,ROUND(IF(H246="",0,H246)*IF(I246="",0,I246),2)))</f>
        <v>0</v>
      </c>
      <c r="M246" s="29">
        <f>IF(D246="","",ROUND(J246+IF(K246="",0,K246)-IF(L246="",0,L246),2))</f>
        <v>0</v>
      </c>
      <c r="N246" s="29">
        <f>IF(M246="","",IF(TaxRegistered&lt;&gt;"Yes",0,IF(PricesIncludeTax="Yes",ROUND(M246-M246/(1+TaxRate),2),ROUND(M246*TaxRate,2))))</f>
        <v>0</v>
      </c>
      <c r="O246" s="29">
        <f>IF(M246="","",IF(PricesIncludeTax="Yes",M246,ROUND(M246+N246,2)))</f>
        <v>0</v>
      </c>
      <c r="P246" s="29">
        <f>IF(A246="","",SUMIFS(Payments!$E$5:$E$304,Payments!$D$5:$D$304,A246,Payments!$M$5:$M$304,"Yes"))</f>
        <v>0</v>
      </c>
      <c r="Q246" s="29">
        <f>IF(A246="","",SUMIFS(Payments!$K$5:$K$304,Payments!$D$5:$D$304,A246))</f>
        <v>0</v>
      </c>
      <c r="R246" s="29">
        <f>IF(A246="","",SUMIFS(Payments!$J$5:$J$304,Payments!$D$5:$D$304,A246))</f>
        <v>0</v>
      </c>
      <c r="S246" s="29">
        <f>IF(D246="","",ROUND(IF(T246="Cancelled",0,O246-Q246),2))</f>
        <v>0</v>
      </c>
      <c r="U246" s="49">
        <f>IF(A246="","",IF(T246="Cancelled","Cancelled",IF(S246&lt;=0.004,"Paid",IF(Q246&gt;0.004,IF(AND(C246&lt;&gt;"",TODAY()&gt;C246),"Overdue - part paid","Partially paid"),IF(AND(C246&lt;&gt;"",TODAY()&gt;C246),"Overdue",IF(T246="Draft","Draft","Unpaid"))))))</f>
        <v>0</v>
      </c>
      <c r="V246" s="31">
        <f>IF(OR(C246="",S246&lt;=0.004),"",MAX(0,TODAY()-C246))</f>
        <v>0</v>
      </c>
      <c r="W246" s="49">
        <f>IF(A246="","",IF(S246&lt;=0.004,"Paid",IF(V246="","Not due",IF(V246=0,"Current",IF(V246&lt;=30,"1-30 days",IF(V246&lt;=60,"31-60 days",IF(V246&lt;=90,"61-90 days","90+ days")))))))</f>
        <v>0</v>
      </c>
      <c r="X246" s="29">
        <f>IF(OR(V246="",V246=0),0,ROUND(S246*LateFeePct,2))</f>
        <v>0</v>
      </c>
      <c r="AA246" s="49">
        <f>IF(A246="","",IF(COUNTIF(Invoices!$A$5:$A$304,A246)&gt;1,"Duplicate number","OK"))</f>
        <v>0</v>
      </c>
      <c r="AC246" s="28">
        <f>IF(B246="","",TEXT(B246,"yyyy-mm"))</f>
        <v>0</v>
      </c>
      <c r="AD246" s="49">
        <f>IF(A246="","",IF(T246="Draft","Action - still a draft",IF(U246="Overdue","Overdue - chase payment",IF(U246="Overdue - part paid","Overdue - chase the balance",IF(AND(S246&gt;0.004,C246&lt;&gt;"",C246-TODAY()&lt;=ReminderLeadDays,C246&gt;=TODAY()),"Due soon - send a reminder","OK")))))</f>
        <v>0</v>
      </c>
    </row>
    <row r="247" spans="1:30">
      <c r="A247" s="46">
        <f>IF(D247="","",InvoicePrefix&amp;TEXT(InvoiceStartNo+ROW()-5,"0000"))</f>
        <v>0</v>
      </c>
      <c r="C247" s="21">
        <f>IF(B247="","",B247+PaymentTermsDays)</f>
        <v>0</v>
      </c>
      <c r="F247" s="29">
        <f>IF(E247="",0,IFERROR(INDEX(Bookings!$AI$5:$AI$404,MATCH(E247,Bookings!$A$5:$A$404,0)),0))</f>
        <v>0</v>
      </c>
      <c r="J247" s="29">
        <f>IF(D247="","",IF(E247&lt;&gt;"",F247,ROUND(IF(H247="",0,H247)*IF(I247="",0,I247),2)))</f>
        <v>0</v>
      </c>
      <c r="M247" s="29">
        <f>IF(D247="","",ROUND(J247+IF(K247="",0,K247)-IF(L247="",0,L247),2))</f>
        <v>0</v>
      </c>
      <c r="N247" s="29">
        <f>IF(M247="","",IF(TaxRegistered&lt;&gt;"Yes",0,IF(PricesIncludeTax="Yes",ROUND(M247-M247/(1+TaxRate),2),ROUND(M247*TaxRate,2))))</f>
        <v>0</v>
      </c>
      <c r="O247" s="29">
        <f>IF(M247="","",IF(PricesIncludeTax="Yes",M247,ROUND(M247+N247,2)))</f>
        <v>0</v>
      </c>
      <c r="P247" s="29">
        <f>IF(A247="","",SUMIFS(Payments!$E$5:$E$304,Payments!$D$5:$D$304,A247,Payments!$M$5:$M$304,"Yes"))</f>
        <v>0</v>
      </c>
      <c r="Q247" s="29">
        <f>IF(A247="","",SUMIFS(Payments!$K$5:$K$304,Payments!$D$5:$D$304,A247))</f>
        <v>0</v>
      </c>
      <c r="R247" s="29">
        <f>IF(A247="","",SUMIFS(Payments!$J$5:$J$304,Payments!$D$5:$D$304,A247))</f>
        <v>0</v>
      </c>
      <c r="S247" s="29">
        <f>IF(D247="","",ROUND(IF(T247="Cancelled",0,O247-Q247),2))</f>
        <v>0</v>
      </c>
      <c r="U247" s="49">
        <f>IF(A247="","",IF(T247="Cancelled","Cancelled",IF(S247&lt;=0.004,"Paid",IF(Q247&gt;0.004,IF(AND(C247&lt;&gt;"",TODAY()&gt;C247),"Overdue - part paid","Partially paid"),IF(AND(C247&lt;&gt;"",TODAY()&gt;C247),"Overdue",IF(T247="Draft","Draft","Unpaid"))))))</f>
        <v>0</v>
      </c>
      <c r="V247" s="31">
        <f>IF(OR(C247="",S247&lt;=0.004),"",MAX(0,TODAY()-C247))</f>
        <v>0</v>
      </c>
      <c r="W247" s="49">
        <f>IF(A247="","",IF(S247&lt;=0.004,"Paid",IF(V247="","Not due",IF(V247=0,"Current",IF(V247&lt;=30,"1-30 days",IF(V247&lt;=60,"31-60 days",IF(V247&lt;=90,"61-90 days","90+ days")))))))</f>
        <v>0</v>
      </c>
      <c r="X247" s="29">
        <f>IF(OR(V247="",V247=0),0,ROUND(S247*LateFeePct,2))</f>
        <v>0</v>
      </c>
      <c r="AA247" s="49">
        <f>IF(A247="","",IF(COUNTIF(Invoices!$A$5:$A$304,A247)&gt;1,"Duplicate number","OK"))</f>
        <v>0</v>
      </c>
      <c r="AC247" s="28">
        <f>IF(B247="","",TEXT(B247,"yyyy-mm"))</f>
        <v>0</v>
      </c>
      <c r="AD247" s="49">
        <f>IF(A247="","",IF(T247="Draft","Action - still a draft",IF(U247="Overdue","Overdue - chase payment",IF(U247="Overdue - part paid","Overdue - chase the balance",IF(AND(S247&gt;0.004,C247&lt;&gt;"",C247-TODAY()&lt;=ReminderLeadDays,C247&gt;=TODAY()),"Due soon - send a reminder","OK")))))</f>
        <v>0</v>
      </c>
    </row>
    <row r="248" spans="1:30">
      <c r="A248" s="46">
        <f>IF(D248="","",InvoicePrefix&amp;TEXT(InvoiceStartNo+ROW()-5,"0000"))</f>
        <v>0</v>
      </c>
      <c r="C248" s="21">
        <f>IF(B248="","",B248+PaymentTermsDays)</f>
        <v>0</v>
      </c>
      <c r="F248" s="29">
        <f>IF(E248="",0,IFERROR(INDEX(Bookings!$AI$5:$AI$404,MATCH(E248,Bookings!$A$5:$A$404,0)),0))</f>
        <v>0</v>
      </c>
      <c r="J248" s="29">
        <f>IF(D248="","",IF(E248&lt;&gt;"",F248,ROUND(IF(H248="",0,H248)*IF(I248="",0,I248),2)))</f>
        <v>0</v>
      </c>
      <c r="M248" s="29">
        <f>IF(D248="","",ROUND(J248+IF(K248="",0,K248)-IF(L248="",0,L248),2))</f>
        <v>0</v>
      </c>
      <c r="N248" s="29">
        <f>IF(M248="","",IF(TaxRegistered&lt;&gt;"Yes",0,IF(PricesIncludeTax="Yes",ROUND(M248-M248/(1+TaxRate),2),ROUND(M248*TaxRate,2))))</f>
        <v>0</v>
      </c>
      <c r="O248" s="29">
        <f>IF(M248="","",IF(PricesIncludeTax="Yes",M248,ROUND(M248+N248,2)))</f>
        <v>0</v>
      </c>
      <c r="P248" s="29">
        <f>IF(A248="","",SUMIFS(Payments!$E$5:$E$304,Payments!$D$5:$D$304,A248,Payments!$M$5:$M$304,"Yes"))</f>
        <v>0</v>
      </c>
      <c r="Q248" s="29">
        <f>IF(A248="","",SUMIFS(Payments!$K$5:$K$304,Payments!$D$5:$D$304,A248))</f>
        <v>0</v>
      </c>
      <c r="R248" s="29">
        <f>IF(A248="","",SUMIFS(Payments!$J$5:$J$304,Payments!$D$5:$D$304,A248))</f>
        <v>0</v>
      </c>
      <c r="S248" s="29">
        <f>IF(D248="","",ROUND(IF(T248="Cancelled",0,O248-Q248),2))</f>
        <v>0</v>
      </c>
      <c r="U248" s="49">
        <f>IF(A248="","",IF(T248="Cancelled","Cancelled",IF(S248&lt;=0.004,"Paid",IF(Q248&gt;0.004,IF(AND(C248&lt;&gt;"",TODAY()&gt;C248),"Overdue - part paid","Partially paid"),IF(AND(C248&lt;&gt;"",TODAY()&gt;C248),"Overdue",IF(T248="Draft","Draft","Unpaid"))))))</f>
        <v>0</v>
      </c>
      <c r="V248" s="31">
        <f>IF(OR(C248="",S248&lt;=0.004),"",MAX(0,TODAY()-C248))</f>
        <v>0</v>
      </c>
      <c r="W248" s="49">
        <f>IF(A248="","",IF(S248&lt;=0.004,"Paid",IF(V248="","Not due",IF(V248=0,"Current",IF(V248&lt;=30,"1-30 days",IF(V248&lt;=60,"31-60 days",IF(V248&lt;=90,"61-90 days","90+ days")))))))</f>
        <v>0</v>
      </c>
      <c r="X248" s="29">
        <f>IF(OR(V248="",V248=0),0,ROUND(S248*LateFeePct,2))</f>
        <v>0</v>
      </c>
      <c r="AA248" s="49">
        <f>IF(A248="","",IF(COUNTIF(Invoices!$A$5:$A$304,A248)&gt;1,"Duplicate number","OK"))</f>
        <v>0</v>
      </c>
      <c r="AC248" s="28">
        <f>IF(B248="","",TEXT(B248,"yyyy-mm"))</f>
        <v>0</v>
      </c>
      <c r="AD248" s="49">
        <f>IF(A248="","",IF(T248="Draft","Action - still a draft",IF(U248="Overdue","Overdue - chase payment",IF(U248="Overdue - part paid","Overdue - chase the balance",IF(AND(S248&gt;0.004,C248&lt;&gt;"",C248-TODAY()&lt;=ReminderLeadDays,C248&gt;=TODAY()),"Due soon - send a reminder","OK")))))</f>
        <v>0</v>
      </c>
    </row>
    <row r="249" spans="1:30">
      <c r="A249" s="46">
        <f>IF(D249="","",InvoicePrefix&amp;TEXT(InvoiceStartNo+ROW()-5,"0000"))</f>
        <v>0</v>
      </c>
      <c r="C249" s="21">
        <f>IF(B249="","",B249+PaymentTermsDays)</f>
        <v>0</v>
      </c>
      <c r="F249" s="29">
        <f>IF(E249="",0,IFERROR(INDEX(Bookings!$AI$5:$AI$404,MATCH(E249,Bookings!$A$5:$A$404,0)),0))</f>
        <v>0</v>
      </c>
      <c r="J249" s="29">
        <f>IF(D249="","",IF(E249&lt;&gt;"",F249,ROUND(IF(H249="",0,H249)*IF(I249="",0,I249),2)))</f>
        <v>0</v>
      </c>
      <c r="M249" s="29">
        <f>IF(D249="","",ROUND(J249+IF(K249="",0,K249)-IF(L249="",0,L249),2))</f>
        <v>0</v>
      </c>
      <c r="N249" s="29">
        <f>IF(M249="","",IF(TaxRegistered&lt;&gt;"Yes",0,IF(PricesIncludeTax="Yes",ROUND(M249-M249/(1+TaxRate),2),ROUND(M249*TaxRate,2))))</f>
        <v>0</v>
      </c>
      <c r="O249" s="29">
        <f>IF(M249="","",IF(PricesIncludeTax="Yes",M249,ROUND(M249+N249,2)))</f>
        <v>0</v>
      </c>
      <c r="P249" s="29">
        <f>IF(A249="","",SUMIFS(Payments!$E$5:$E$304,Payments!$D$5:$D$304,A249,Payments!$M$5:$M$304,"Yes"))</f>
        <v>0</v>
      </c>
      <c r="Q249" s="29">
        <f>IF(A249="","",SUMIFS(Payments!$K$5:$K$304,Payments!$D$5:$D$304,A249))</f>
        <v>0</v>
      </c>
      <c r="R249" s="29">
        <f>IF(A249="","",SUMIFS(Payments!$J$5:$J$304,Payments!$D$5:$D$304,A249))</f>
        <v>0</v>
      </c>
      <c r="S249" s="29">
        <f>IF(D249="","",ROUND(IF(T249="Cancelled",0,O249-Q249),2))</f>
        <v>0</v>
      </c>
      <c r="U249" s="49">
        <f>IF(A249="","",IF(T249="Cancelled","Cancelled",IF(S249&lt;=0.004,"Paid",IF(Q249&gt;0.004,IF(AND(C249&lt;&gt;"",TODAY()&gt;C249),"Overdue - part paid","Partially paid"),IF(AND(C249&lt;&gt;"",TODAY()&gt;C249),"Overdue",IF(T249="Draft","Draft","Unpaid"))))))</f>
        <v>0</v>
      </c>
      <c r="V249" s="31">
        <f>IF(OR(C249="",S249&lt;=0.004),"",MAX(0,TODAY()-C249))</f>
        <v>0</v>
      </c>
      <c r="W249" s="49">
        <f>IF(A249="","",IF(S249&lt;=0.004,"Paid",IF(V249="","Not due",IF(V249=0,"Current",IF(V249&lt;=30,"1-30 days",IF(V249&lt;=60,"31-60 days",IF(V249&lt;=90,"61-90 days","90+ days")))))))</f>
        <v>0</v>
      </c>
      <c r="X249" s="29">
        <f>IF(OR(V249="",V249=0),0,ROUND(S249*LateFeePct,2))</f>
        <v>0</v>
      </c>
      <c r="AA249" s="49">
        <f>IF(A249="","",IF(COUNTIF(Invoices!$A$5:$A$304,A249)&gt;1,"Duplicate number","OK"))</f>
        <v>0</v>
      </c>
      <c r="AC249" s="28">
        <f>IF(B249="","",TEXT(B249,"yyyy-mm"))</f>
        <v>0</v>
      </c>
      <c r="AD249" s="49">
        <f>IF(A249="","",IF(T249="Draft","Action - still a draft",IF(U249="Overdue","Overdue - chase payment",IF(U249="Overdue - part paid","Overdue - chase the balance",IF(AND(S249&gt;0.004,C249&lt;&gt;"",C249-TODAY()&lt;=ReminderLeadDays,C249&gt;=TODAY()),"Due soon - send a reminder","OK")))))</f>
        <v>0</v>
      </c>
    </row>
    <row r="250" spans="1:30">
      <c r="A250" s="46">
        <f>IF(D250="","",InvoicePrefix&amp;TEXT(InvoiceStartNo+ROW()-5,"0000"))</f>
        <v>0</v>
      </c>
      <c r="C250" s="21">
        <f>IF(B250="","",B250+PaymentTermsDays)</f>
        <v>0</v>
      </c>
      <c r="F250" s="29">
        <f>IF(E250="",0,IFERROR(INDEX(Bookings!$AI$5:$AI$404,MATCH(E250,Bookings!$A$5:$A$404,0)),0))</f>
        <v>0</v>
      </c>
      <c r="J250" s="29">
        <f>IF(D250="","",IF(E250&lt;&gt;"",F250,ROUND(IF(H250="",0,H250)*IF(I250="",0,I250),2)))</f>
        <v>0</v>
      </c>
      <c r="M250" s="29">
        <f>IF(D250="","",ROUND(J250+IF(K250="",0,K250)-IF(L250="",0,L250),2))</f>
        <v>0</v>
      </c>
      <c r="N250" s="29">
        <f>IF(M250="","",IF(TaxRegistered&lt;&gt;"Yes",0,IF(PricesIncludeTax="Yes",ROUND(M250-M250/(1+TaxRate),2),ROUND(M250*TaxRate,2))))</f>
        <v>0</v>
      </c>
      <c r="O250" s="29">
        <f>IF(M250="","",IF(PricesIncludeTax="Yes",M250,ROUND(M250+N250,2)))</f>
        <v>0</v>
      </c>
      <c r="P250" s="29">
        <f>IF(A250="","",SUMIFS(Payments!$E$5:$E$304,Payments!$D$5:$D$304,A250,Payments!$M$5:$M$304,"Yes"))</f>
        <v>0</v>
      </c>
      <c r="Q250" s="29">
        <f>IF(A250="","",SUMIFS(Payments!$K$5:$K$304,Payments!$D$5:$D$304,A250))</f>
        <v>0</v>
      </c>
      <c r="R250" s="29">
        <f>IF(A250="","",SUMIFS(Payments!$J$5:$J$304,Payments!$D$5:$D$304,A250))</f>
        <v>0</v>
      </c>
      <c r="S250" s="29">
        <f>IF(D250="","",ROUND(IF(T250="Cancelled",0,O250-Q250),2))</f>
        <v>0</v>
      </c>
      <c r="U250" s="49">
        <f>IF(A250="","",IF(T250="Cancelled","Cancelled",IF(S250&lt;=0.004,"Paid",IF(Q250&gt;0.004,IF(AND(C250&lt;&gt;"",TODAY()&gt;C250),"Overdue - part paid","Partially paid"),IF(AND(C250&lt;&gt;"",TODAY()&gt;C250),"Overdue",IF(T250="Draft","Draft","Unpaid"))))))</f>
        <v>0</v>
      </c>
      <c r="V250" s="31">
        <f>IF(OR(C250="",S250&lt;=0.004),"",MAX(0,TODAY()-C250))</f>
        <v>0</v>
      </c>
      <c r="W250" s="49">
        <f>IF(A250="","",IF(S250&lt;=0.004,"Paid",IF(V250="","Not due",IF(V250=0,"Current",IF(V250&lt;=30,"1-30 days",IF(V250&lt;=60,"31-60 days",IF(V250&lt;=90,"61-90 days","90+ days")))))))</f>
        <v>0</v>
      </c>
      <c r="X250" s="29">
        <f>IF(OR(V250="",V250=0),0,ROUND(S250*LateFeePct,2))</f>
        <v>0</v>
      </c>
      <c r="AA250" s="49">
        <f>IF(A250="","",IF(COUNTIF(Invoices!$A$5:$A$304,A250)&gt;1,"Duplicate number","OK"))</f>
        <v>0</v>
      </c>
      <c r="AC250" s="28">
        <f>IF(B250="","",TEXT(B250,"yyyy-mm"))</f>
        <v>0</v>
      </c>
      <c r="AD250" s="49">
        <f>IF(A250="","",IF(T250="Draft","Action - still a draft",IF(U250="Overdue","Overdue - chase payment",IF(U250="Overdue - part paid","Overdue - chase the balance",IF(AND(S250&gt;0.004,C250&lt;&gt;"",C250-TODAY()&lt;=ReminderLeadDays,C250&gt;=TODAY()),"Due soon - send a reminder","OK")))))</f>
        <v>0</v>
      </c>
    </row>
    <row r="251" spans="1:30">
      <c r="A251" s="46">
        <f>IF(D251="","",InvoicePrefix&amp;TEXT(InvoiceStartNo+ROW()-5,"0000"))</f>
        <v>0</v>
      </c>
      <c r="C251" s="21">
        <f>IF(B251="","",B251+PaymentTermsDays)</f>
        <v>0</v>
      </c>
      <c r="F251" s="29">
        <f>IF(E251="",0,IFERROR(INDEX(Bookings!$AI$5:$AI$404,MATCH(E251,Bookings!$A$5:$A$404,0)),0))</f>
        <v>0</v>
      </c>
      <c r="J251" s="29">
        <f>IF(D251="","",IF(E251&lt;&gt;"",F251,ROUND(IF(H251="",0,H251)*IF(I251="",0,I251),2)))</f>
        <v>0</v>
      </c>
      <c r="M251" s="29">
        <f>IF(D251="","",ROUND(J251+IF(K251="",0,K251)-IF(L251="",0,L251),2))</f>
        <v>0</v>
      </c>
      <c r="N251" s="29">
        <f>IF(M251="","",IF(TaxRegistered&lt;&gt;"Yes",0,IF(PricesIncludeTax="Yes",ROUND(M251-M251/(1+TaxRate),2),ROUND(M251*TaxRate,2))))</f>
        <v>0</v>
      </c>
      <c r="O251" s="29">
        <f>IF(M251="","",IF(PricesIncludeTax="Yes",M251,ROUND(M251+N251,2)))</f>
        <v>0</v>
      </c>
      <c r="P251" s="29">
        <f>IF(A251="","",SUMIFS(Payments!$E$5:$E$304,Payments!$D$5:$D$304,A251,Payments!$M$5:$M$304,"Yes"))</f>
        <v>0</v>
      </c>
      <c r="Q251" s="29">
        <f>IF(A251="","",SUMIFS(Payments!$K$5:$K$304,Payments!$D$5:$D$304,A251))</f>
        <v>0</v>
      </c>
      <c r="R251" s="29">
        <f>IF(A251="","",SUMIFS(Payments!$J$5:$J$304,Payments!$D$5:$D$304,A251))</f>
        <v>0</v>
      </c>
      <c r="S251" s="29">
        <f>IF(D251="","",ROUND(IF(T251="Cancelled",0,O251-Q251),2))</f>
        <v>0</v>
      </c>
      <c r="U251" s="49">
        <f>IF(A251="","",IF(T251="Cancelled","Cancelled",IF(S251&lt;=0.004,"Paid",IF(Q251&gt;0.004,IF(AND(C251&lt;&gt;"",TODAY()&gt;C251),"Overdue - part paid","Partially paid"),IF(AND(C251&lt;&gt;"",TODAY()&gt;C251),"Overdue",IF(T251="Draft","Draft","Unpaid"))))))</f>
        <v>0</v>
      </c>
      <c r="V251" s="31">
        <f>IF(OR(C251="",S251&lt;=0.004),"",MAX(0,TODAY()-C251))</f>
        <v>0</v>
      </c>
      <c r="W251" s="49">
        <f>IF(A251="","",IF(S251&lt;=0.004,"Paid",IF(V251="","Not due",IF(V251=0,"Current",IF(V251&lt;=30,"1-30 days",IF(V251&lt;=60,"31-60 days",IF(V251&lt;=90,"61-90 days","90+ days")))))))</f>
        <v>0</v>
      </c>
      <c r="X251" s="29">
        <f>IF(OR(V251="",V251=0),0,ROUND(S251*LateFeePct,2))</f>
        <v>0</v>
      </c>
      <c r="AA251" s="49">
        <f>IF(A251="","",IF(COUNTIF(Invoices!$A$5:$A$304,A251)&gt;1,"Duplicate number","OK"))</f>
        <v>0</v>
      </c>
      <c r="AC251" s="28">
        <f>IF(B251="","",TEXT(B251,"yyyy-mm"))</f>
        <v>0</v>
      </c>
      <c r="AD251" s="49">
        <f>IF(A251="","",IF(T251="Draft","Action - still a draft",IF(U251="Overdue","Overdue - chase payment",IF(U251="Overdue - part paid","Overdue - chase the balance",IF(AND(S251&gt;0.004,C251&lt;&gt;"",C251-TODAY()&lt;=ReminderLeadDays,C251&gt;=TODAY()),"Due soon - send a reminder","OK")))))</f>
        <v>0</v>
      </c>
    </row>
    <row r="252" spans="1:30">
      <c r="A252" s="46">
        <f>IF(D252="","",InvoicePrefix&amp;TEXT(InvoiceStartNo+ROW()-5,"0000"))</f>
        <v>0</v>
      </c>
      <c r="C252" s="21">
        <f>IF(B252="","",B252+PaymentTermsDays)</f>
        <v>0</v>
      </c>
      <c r="F252" s="29">
        <f>IF(E252="",0,IFERROR(INDEX(Bookings!$AI$5:$AI$404,MATCH(E252,Bookings!$A$5:$A$404,0)),0))</f>
        <v>0</v>
      </c>
      <c r="J252" s="29">
        <f>IF(D252="","",IF(E252&lt;&gt;"",F252,ROUND(IF(H252="",0,H252)*IF(I252="",0,I252),2)))</f>
        <v>0</v>
      </c>
      <c r="M252" s="29">
        <f>IF(D252="","",ROUND(J252+IF(K252="",0,K252)-IF(L252="",0,L252),2))</f>
        <v>0</v>
      </c>
      <c r="N252" s="29">
        <f>IF(M252="","",IF(TaxRegistered&lt;&gt;"Yes",0,IF(PricesIncludeTax="Yes",ROUND(M252-M252/(1+TaxRate),2),ROUND(M252*TaxRate,2))))</f>
        <v>0</v>
      </c>
      <c r="O252" s="29">
        <f>IF(M252="","",IF(PricesIncludeTax="Yes",M252,ROUND(M252+N252,2)))</f>
        <v>0</v>
      </c>
      <c r="P252" s="29">
        <f>IF(A252="","",SUMIFS(Payments!$E$5:$E$304,Payments!$D$5:$D$304,A252,Payments!$M$5:$M$304,"Yes"))</f>
        <v>0</v>
      </c>
      <c r="Q252" s="29">
        <f>IF(A252="","",SUMIFS(Payments!$K$5:$K$304,Payments!$D$5:$D$304,A252))</f>
        <v>0</v>
      </c>
      <c r="R252" s="29">
        <f>IF(A252="","",SUMIFS(Payments!$J$5:$J$304,Payments!$D$5:$D$304,A252))</f>
        <v>0</v>
      </c>
      <c r="S252" s="29">
        <f>IF(D252="","",ROUND(IF(T252="Cancelled",0,O252-Q252),2))</f>
        <v>0</v>
      </c>
      <c r="U252" s="49">
        <f>IF(A252="","",IF(T252="Cancelled","Cancelled",IF(S252&lt;=0.004,"Paid",IF(Q252&gt;0.004,IF(AND(C252&lt;&gt;"",TODAY()&gt;C252),"Overdue - part paid","Partially paid"),IF(AND(C252&lt;&gt;"",TODAY()&gt;C252),"Overdue",IF(T252="Draft","Draft","Unpaid"))))))</f>
        <v>0</v>
      </c>
      <c r="V252" s="31">
        <f>IF(OR(C252="",S252&lt;=0.004),"",MAX(0,TODAY()-C252))</f>
        <v>0</v>
      </c>
      <c r="W252" s="49">
        <f>IF(A252="","",IF(S252&lt;=0.004,"Paid",IF(V252="","Not due",IF(V252=0,"Current",IF(V252&lt;=30,"1-30 days",IF(V252&lt;=60,"31-60 days",IF(V252&lt;=90,"61-90 days","90+ days")))))))</f>
        <v>0</v>
      </c>
      <c r="X252" s="29">
        <f>IF(OR(V252="",V252=0),0,ROUND(S252*LateFeePct,2))</f>
        <v>0</v>
      </c>
      <c r="AA252" s="49">
        <f>IF(A252="","",IF(COUNTIF(Invoices!$A$5:$A$304,A252)&gt;1,"Duplicate number","OK"))</f>
        <v>0</v>
      </c>
      <c r="AC252" s="28">
        <f>IF(B252="","",TEXT(B252,"yyyy-mm"))</f>
        <v>0</v>
      </c>
      <c r="AD252" s="49">
        <f>IF(A252="","",IF(T252="Draft","Action - still a draft",IF(U252="Overdue","Overdue - chase payment",IF(U252="Overdue - part paid","Overdue - chase the balance",IF(AND(S252&gt;0.004,C252&lt;&gt;"",C252-TODAY()&lt;=ReminderLeadDays,C252&gt;=TODAY()),"Due soon - send a reminder","OK")))))</f>
        <v>0</v>
      </c>
    </row>
    <row r="253" spans="1:30">
      <c r="A253" s="46">
        <f>IF(D253="","",InvoicePrefix&amp;TEXT(InvoiceStartNo+ROW()-5,"0000"))</f>
        <v>0</v>
      </c>
      <c r="C253" s="21">
        <f>IF(B253="","",B253+PaymentTermsDays)</f>
        <v>0</v>
      </c>
      <c r="F253" s="29">
        <f>IF(E253="",0,IFERROR(INDEX(Bookings!$AI$5:$AI$404,MATCH(E253,Bookings!$A$5:$A$404,0)),0))</f>
        <v>0</v>
      </c>
      <c r="J253" s="29">
        <f>IF(D253="","",IF(E253&lt;&gt;"",F253,ROUND(IF(H253="",0,H253)*IF(I253="",0,I253),2)))</f>
        <v>0</v>
      </c>
      <c r="M253" s="29">
        <f>IF(D253="","",ROUND(J253+IF(K253="",0,K253)-IF(L253="",0,L253),2))</f>
        <v>0</v>
      </c>
      <c r="N253" s="29">
        <f>IF(M253="","",IF(TaxRegistered&lt;&gt;"Yes",0,IF(PricesIncludeTax="Yes",ROUND(M253-M253/(1+TaxRate),2),ROUND(M253*TaxRate,2))))</f>
        <v>0</v>
      </c>
      <c r="O253" s="29">
        <f>IF(M253="","",IF(PricesIncludeTax="Yes",M253,ROUND(M253+N253,2)))</f>
        <v>0</v>
      </c>
      <c r="P253" s="29">
        <f>IF(A253="","",SUMIFS(Payments!$E$5:$E$304,Payments!$D$5:$D$304,A253,Payments!$M$5:$M$304,"Yes"))</f>
        <v>0</v>
      </c>
      <c r="Q253" s="29">
        <f>IF(A253="","",SUMIFS(Payments!$K$5:$K$304,Payments!$D$5:$D$304,A253))</f>
        <v>0</v>
      </c>
      <c r="R253" s="29">
        <f>IF(A253="","",SUMIFS(Payments!$J$5:$J$304,Payments!$D$5:$D$304,A253))</f>
        <v>0</v>
      </c>
      <c r="S253" s="29">
        <f>IF(D253="","",ROUND(IF(T253="Cancelled",0,O253-Q253),2))</f>
        <v>0</v>
      </c>
      <c r="U253" s="49">
        <f>IF(A253="","",IF(T253="Cancelled","Cancelled",IF(S253&lt;=0.004,"Paid",IF(Q253&gt;0.004,IF(AND(C253&lt;&gt;"",TODAY()&gt;C253),"Overdue - part paid","Partially paid"),IF(AND(C253&lt;&gt;"",TODAY()&gt;C253),"Overdue",IF(T253="Draft","Draft","Unpaid"))))))</f>
        <v>0</v>
      </c>
      <c r="V253" s="31">
        <f>IF(OR(C253="",S253&lt;=0.004),"",MAX(0,TODAY()-C253))</f>
        <v>0</v>
      </c>
      <c r="W253" s="49">
        <f>IF(A253="","",IF(S253&lt;=0.004,"Paid",IF(V253="","Not due",IF(V253=0,"Current",IF(V253&lt;=30,"1-30 days",IF(V253&lt;=60,"31-60 days",IF(V253&lt;=90,"61-90 days","90+ days")))))))</f>
        <v>0</v>
      </c>
      <c r="X253" s="29">
        <f>IF(OR(V253="",V253=0),0,ROUND(S253*LateFeePct,2))</f>
        <v>0</v>
      </c>
      <c r="AA253" s="49">
        <f>IF(A253="","",IF(COUNTIF(Invoices!$A$5:$A$304,A253)&gt;1,"Duplicate number","OK"))</f>
        <v>0</v>
      </c>
      <c r="AC253" s="28">
        <f>IF(B253="","",TEXT(B253,"yyyy-mm"))</f>
        <v>0</v>
      </c>
      <c r="AD253" s="49">
        <f>IF(A253="","",IF(T253="Draft","Action - still a draft",IF(U253="Overdue","Overdue - chase payment",IF(U253="Overdue - part paid","Overdue - chase the balance",IF(AND(S253&gt;0.004,C253&lt;&gt;"",C253-TODAY()&lt;=ReminderLeadDays,C253&gt;=TODAY()),"Due soon - send a reminder","OK")))))</f>
        <v>0</v>
      </c>
    </row>
    <row r="254" spans="1:30">
      <c r="A254" s="46">
        <f>IF(D254="","",InvoicePrefix&amp;TEXT(InvoiceStartNo+ROW()-5,"0000"))</f>
        <v>0</v>
      </c>
      <c r="C254" s="21">
        <f>IF(B254="","",B254+PaymentTermsDays)</f>
        <v>0</v>
      </c>
      <c r="F254" s="29">
        <f>IF(E254="",0,IFERROR(INDEX(Bookings!$AI$5:$AI$404,MATCH(E254,Bookings!$A$5:$A$404,0)),0))</f>
        <v>0</v>
      </c>
      <c r="J254" s="29">
        <f>IF(D254="","",IF(E254&lt;&gt;"",F254,ROUND(IF(H254="",0,H254)*IF(I254="",0,I254),2)))</f>
        <v>0</v>
      </c>
      <c r="M254" s="29">
        <f>IF(D254="","",ROUND(J254+IF(K254="",0,K254)-IF(L254="",0,L254),2))</f>
        <v>0</v>
      </c>
      <c r="N254" s="29">
        <f>IF(M254="","",IF(TaxRegistered&lt;&gt;"Yes",0,IF(PricesIncludeTax="Yes",ROUND(M254-M254/(1+TaxRate),2),ROUND(M254*TaxRate,2))))</f>
        <v>0</v>
      </c>
      <c r="O254" s="29">
        <f>IF(M254="","",IF(PricesIncludeTax="Yes",M254,ROUND(M254+N254,2)))</f>
        <v>0</v>
      </c>
      <c r="P254" s="29">
        <f>IF(A254="","",SUMIFS(Payments!$E$5:$E$304,Payments!$D$5:$D$304,A254,Payments!$M$5:$M$304,"Yes"))</f>
        <v>0</v>
      </c>
      <c r="Q254" s="29">
        <f>IF(A254="","",SUMIFS(Payments!$K$5:$K$304,Payments!$D$5:$D$304,A254))</f>
        <v>0</v>
      </c>
      <c r="R254" s="29">
        <f>IF(A254="","",SUMIFS(Payments!$J$5:$J$304,Payments!$D$5:$D$304,A254))</f>
        <v>0</v>
      </c>
      <c r="S254" s="29">
        <f>IF(D254="","",ROUND(IF(T254="Cancelled",0,O254-Q254),2))</f>
        <v>0</v>
      </c>
      <c r="U254" s="49">
        <f>IF(A254="","",IF(T254="Cancelled","Cancelled",IF(S254&lt;=0.004,"Paid",IF(Q254&gt;0.004,IF(AND(C254&lt;&gt;"",TODAY()&gt;C254),"Overdue - part paid","Partially paid"),IF(AND(C254&lt;&gt;"",TODAY()&gt;C254),"Overdue",IF(T254="Draft","Draft","Unpaid"))))))</f>
        <v>0</v>
      </c>
      <c r="V254" s="31">
        <f>IF(OR(C254="",S254&lt;=0.004),"",MAX(0,TODAY()-C254))</f>
        <v>0</v>
      </c>
      <c r="W254" s="49">
        <f>IF(A254="","",IF(S254&lt;=0.004,"Paid",IF(V254="","Not due",IF(V254=0,"Current",IF(V254&lt;=30,"1-30 days",IF(V254&lt;=60,"31-60 days",IF(V254&lt;=90,"61-90 days","90+ days")))))))</f>
        <v>0</v>
      </c>
      <c r="X254" s="29">
        <f>IF(OR(V254="",V254=0),0,ROUND(S254*LateFeePct,2))</f>
        <v>0</v>
      </c>
      <c r="AA254" s="49">
        <f>IF(A254="","",IF(COUNTIF(Invoices!$A$5:$A$304,A254)&gt;1,"Duplicate number","OK"))</f>
        <v>0</v>
      </c>
      <c r="AC254" s="28">
        <f>IF(B254="","",TEXT(B254,"yyyy-mm"))</f>
        <v>0</v>
      </c>
      <c r="AD254" s="49">
        <f>IF(A254="","",IF(T254="Draft","Action - still a draft",IF(U254="Overdue","Overdue - chase payment",IF(U254="Overdue - part paid","Overdue - chase the balance",IF(AND(S254&gt;0.004,C254&lt;&gt;"",C254-TODAY()&lt;=ReminderLeadDays,C254&gt;=TODAY()),"Due soon - send a reminder","OK")))))</f>
        <v>0</v>
      </c>
    </row>
    <row r="255" spans="1:30">
      <c r="A255" s="46">
        <f>IF(D255="","",InvoicePrefix&amp;TEXT(InvoiceStartNo+ROW()-5,"0000"))</f>
        <v>0</v>
      </c>
      <c r="C255" s="21">
        <f>IF(B255="","",B255+PaymentTermsDays)</f>
        <v>0</v>
      </c>
      <c r="F255" s="29">
        <f>IF(E255="",0,IFERROR(INDEX(Bookings!$AI$5:$AI$404,MATCH(E255,Bookings!$A$5:$A$404,0)),0))</f>
        <v>0</v>
      </c>
      <c r="J255" s="29">
        <f>IF(D255="","",IF(E255&lt;&gt;"",F255,ROUND(IF(H255="",0,H255)*IF(I255="",0,I255),2)))</f>
        <v>0</v>
      </c>
      <c r="M255" s="29">
        <f>IF(D255="","",ROUND(J255+IF(K255="",0,K255)-IF(L255="",0,L255),2))</f>
        <v>0</v>
      </c>
      <c r="N255" s="29">
        <f>IF(M255="","",IF(TaxRegistered&lt;&gt;"Yes",0,IF(PricesIncludeTax="Yes",ROUND(M255-M255/(1+TaxRate),2),ROUND(M255*TaxRate,2))))</f>
        <v>0</v>
      </c>
      <c r="O255" s="29">
        <f>IF(M255="","",IF(PricesIncludeTax="Yes",M255,ROUND(M255+N255,2)))</f>
        <v>0</v>
      </c>
      <c r="P255" s="29">
        <f>IF(A255="","",SUMIFS(Payments!$E$5:$E$304,Payments!$D$5:$D$304,A255,Payments!$M$5:$M$304,"Yes"))</f>
        <v>0</v>
      </c>
      <c r="Q255" s="29">
        <f>IF(A255="","",SUMIFS(Payments!$K$5:$K$304,Payments!$D$5:$D$304,A255))</f>
        <v>0</v>
      </c>
      <c r="R255" s="29">
        <f>IF(A255="","",SUMIFS(Payments!$J$5:$J$304,Payments!$D$5:$D$304,A255))</f>
        <v>0</v>
      </c>
      <c r="S255" s="29">
        <f>IF(D255="","",ROUND(IF(T255="Cancelled",0,O255-Q255),2))</f>
        <v>0</v>
      </c>
      <c r="U255" s="49">
        <f>IF(A255="","",IF(T255="Cancelled","Cancelled",IF(S255&lt;=0.004,"Paid",IF(Q255&gt;0.004,IF(AND(C255&lt;&gt;"",TODAY()&gt;C255),"Overdue - part paid","Partially paid"),IF(AND(C255&lt;&gt;"",TODAY()&gt;C255),"Overdue",IF(T255="Draft","Draft","Unpaid"))))))</f>
        <v>0</v>
      </c>
      <c r="V255" s="31">
        <f>IF(OR(C255="",S255&lt;=0.004),"",MAX(0,TODAY()-C255))</f>
        <v>0</v>
      </c>
      <c r="W255" s="49">
        <f>IF(A255="","",IF(S255&lt;=0.004,"Paid",IF(V255="","Not due",IF(V255=0,"Current",IF(V255&lt;=30,"1-30 days",IF(V255&lt;=60,"31-60 days",IF(V255&lt;=90,"61-90 days","90+ days")))))))</f>
        <v>0</v>
      </c>
      <c r="X255" s="29">
        <f>IF(OR(V255="",V255=0),0,ROUND(S255*LateFeePct,2))</f>
        <v>0</v>
      </c>
      <c r="AA255" s="49">
        <f>IF(A255="","",IF(COUNTIF(Invoices!$A$5:$A$304,A255)&gt;1,"Duplicate number","OK"))</f>
        <v>0</v>
      </c>
      <c r="AC255" s="28">
        <f>IF(B255="","",TEXT(B255,"yyyy-mm"))</f>
        <v>0</v>
      </c>
      <c r="AD255" s="49">
        <f>IF(A255="","",IF(T255="Draft","Action - still a draft",IF(U255="Overdue","Overdue - chase payment",IF(U255="Overdue - part paid","Overdue - chase the balance",IF(AND(S255&gt;0.004,C255&lt;&gt;"",C255-TODAY()&lt;=ReminderLeadDays,C255&gt;=TODAY()),"Due soon - send a reminder","OK")))))</f>
        <v>0</v>
      </c>
    </row>
    <row r="256" spans="1:30">
      <c r="A256" s="46">
        <f>IF(D256="","",InvoicePrefix&amp;TEXT(InvoiceStartNo+ROW()-5,"0000"))</f>
        <v>0</v>
      </c>
      <c r="C256" s="21">
        <f>IF(B256="","",B256+PaymentTermsDays)</f>
        <v>0</v>
      </c>
      <c r="F256" s="29">
        <f>IF(E256="",0,IFERROR(INDEX(Bookings!$AI$5:$AI$404,MATCH(E256,Bookings!$A$5:$A$404,0)),0))</f>
        <v>0</v>
      </c>
      <c r="J256" s="29">
        <f>IF(D256="","",IF(E256&lt;&gt;"",F256,ROUND(IF(H256="",0,H256)*IF(I256="",0,I256),2)))</f>
        <v>0</v>
      </c>
      <c r="M256" s="29">
        <f>IF(D256="","",ROUND(J256+IF(K256="",0,K256)-IF(L256="",0,L256),2))</f>
        <v>0</v>
      </c>
      <c r="N256" s="29">
        <f>IF(M256="","",IF(TaxRegistered&lt;&gt;"Yes",0,IF(PricesIncludeTax="Yes",ROUND(M256-M256/(1+TaxRate),2),ROUND(M256*TaxRate,2))))</f>
        <v>0</v>
      </c>
      <c r="O256" s="29">
        <f>IF(M256="","",IF(PricesIncludeTax="Yes",M256,ROUND(M256+N256,2)))</f>
        <v>0</v>
      </c>
      <c r="P256" s="29">
        <f>IF(A256="","",SUMIFS(Payments!$E$5:$E$304,Payments!$D$5:$D$304,A256,Payments!$M$5:$M$304,"Yes"))</f>
        <v>0</v>
      </c>
      <c r="Q256" s="29">
        <f>IF(A256="","",SUMIFS(Payments!$K$5:$K$304,Payments!$D$5:$D$304,A256))</f>
        <v>0</v>
      </c>
      <c r="R256" s="29">
        <f>IF(A256="","",SUMIFS(Payments!$J$5:$J$304,Payments!$D$5:$D$304,A256))</f>
        <v>0</v>
      </c>
      <c r="S256" s="29">
        <f>IF(D256="","",ROUND(IF(T256="Cancelled",0,O256-Q256),2))</f>
        <v>0</v>
      </c>
      <c r="U256" s="49">
        <f>IF(A256="","",IF(T256="Cancelled","Cancelled",IF(S256&lt;=0.004,"Paid",IF(Q256&gt;0.004,IF(AND(C256&lt;&gt;"",TODAY()&gt;C256),"Overdue - part paid","Partially paid"),IF(AND(C256&lt;&gt;"",TODAY()&gt;C256),"Overdue",IF(T256="Draft","Draft","Unpaid"))))))</f>
        <v>0</v>
      </c>
      <c r="V256" s="31">
        <f>IF(OR(C256="",S256&lt;=0.004),"",MAX(0,TODAY()-C256))</f>
        <v>0</v>
      </c>
      <c r="W256" s="49">
        <f>IF(A256="","",IF(S256&lt;=0.004,"Paid",IF(V256="","Not due",IF(V256=0,"Current",IF(V256&lt;=30,"1-30 days",IF(V256&lt;=60,"31-60 days",IF(V256&lt;=90,"61-90 days","90+ days")))))))</f>
        <v>0</v>
      </c>
      <c r="X256" s="29">
        <f>IF(OR(V256="",V256=0),0,ROUND(S256*LateFeePct,2))</f>
        <v>0</v>
      </c>
      <c r="AA256" s="49">
        <f>IF(A256="","",IF(COUNTIF(Invoices!$A$5:$A$304,A256)&gt;1,"Duplicate number","OK"))</f>
        <v>0</v>
      </c>
      <c r="AC256" s="28">
        <f>IF(B256="","",TEXT(B256,"yyyy-mm"))</f>
        <v>0</v>
      </c>
      <c r="AD256" s="49">
        <f>IF(A256="","",IF(T256="Draft","Action - still a draft",IF(U256="Overdue","Overdue - chase payment",IF(U256="Overdue - part paid","Overdue - chase the balance",IF(AND(S256&gt;0.004,C256&lt;&gt;"",C256-TODAY()&lt;=ReminderLeadDays,C256&gt;=TODAY()),"Due soon - send a reminder","OK")))))</f>
        <v>0</v>
      </c>
    </row>
    <row r="257" spans="1:30">
      <c r="A257" s="46">
        <f>IF(D257="","",InvoicePrefix&amp;TEXT(InvoiceStartNo+ROW()-5,"0000"))</f>
        <v>0</v>
      </c>
      <c r="C257" s="21">
        <f>IF(B257="","",B257+PaymentTermsDays)</f>
        <v>0</v>
      </c>
      <c r="F257" s="29">
        <f>IF(E257="",0,IFERROR(INDEX(Bookings!$AI$5:$AI$404,MATCH(E257,Bookings!$A$5:$A$404,0)),0))</f>
        <v>0</v>
      </c>
      <c r="J257" s="29">
        <f>IF(D257="","",IF(E257&lt;&gt;"",F257,ROUND(IF(H257="",0,H257)*IF(I257="",0,I257),2)))</f>
        <v>0</v>
      </c>
      <c r="M257" s="29">
        <f>IF(D257="","",ROUND(J257+IF(K257="",0,K257)-IF(L257="",0,L257),2))</f>
        <v>0</v>
      </c>
      <c r="N257" s="29">
        <f>IF(M257="","",IF(TaxRegistered&lt;&gt;"Yes",0,IF(PricesIncludeTax="Yes",ROUND(M257-M257/(1+TaxRate),2),ROUND(M257*TaxRate,2))))</f>
        <v>0</v>
      </c>
      <c r="O257" s="29">
        <f>IF(M257="","",IF(PricesIncludeTax="Yes",M257,ROUND(M257+N257,2)))</f>
        <v>0</v>
      </c>
      <c r="P257" s="29">
        <f>IF(A257="","",SUMIFS(Payments!$E$5:$E$304,Payments!$D$5:$D$304,A257,Payments!$M$5:$M$304,"Yes"))</f>
        <v>0</v>
      </c>
      <c r="Q257" s="29">
        <f>IF(A257="","",SUMIFS(Payments!$K$5:$K$304,Payments!$D$5:$D$304,A257))</f>
        <v>0</v>
      </c>
      <c r="R257" s="29">
        <f>IF(A257="","",SUMIFS(Payments!$J$5:$J$304,Payments!$D$5:$D$304,A257))</f>
        <v>0</v>
      </c>
      <c r="S257" s="29">
        <f>IF(D257="","",ROUND(IF(T257="Cancelled",0,O257-Q257),2))</f>
        <v>0</v>
      </c>
      <c r="U257" s="49">
        <f>IF(A257="","",IF(T257="Cancelled","Cancelled",IF(S257&lt;=0.004,"Paid",IF(Q257&gt;0.004,IF(AND(C257&lt;&gt;"",TODAY()&gt;C257),"Overdue - part paid","Partially paid"),IF(AND(C257&lt;&gt;"",TODAY()&gt;C257),"Overdue",IF(T257="Draft","Draft","Unpaid"))))))</f>
        <v>0</v>
      </c>
      <c r="V257" s="31">
        <f>IF(OR(C257="",S257&lt;=0.004),"",MAX(0,TODAY()-C257))</f>
        <v>0</v>
      </c>
      <c r="W257" s="49">
        <f>IF(A257="","",IF(S257&lt;=0.004,"Paid",IF(V257="","Not due",IF(V257=0,"Current",IF(V257&lt;=30,"1-30 days",IF(V257&lt;=60,"31-60 days",IF(V257&lt;=90,"61-90 days","90+ days")))))))</f>
        <v>0</v>
      </c>
      <c r="X257" s="29">
        <f>IF(OR(V257="",V257=0),0,ROUND(S257*LateFeePct,2))</f>
        <v>0</v>
      </c>
      <c r="AA257" s="49">
        <f>IF(A257="","",IF(COUNTIF(Invoices!$A$5:$A$304,A257)&gt;1,"Duplicate number","OK"))</f>
        <v>0</v>
      </c>
      <c r="AC257" s="28">
        <f>IF(B257="","",TEXT(B257,"yyyy-mm"))</f>
        <v>0</v>
      </c>
      <c r="AD257" s="49">
        <f>IF(A257="","",IF(T257="Draft","Action - still a draft",IF(U257="Overdue","Overdue - chase payment",IF(U257="Overdue - part paid","Overdue - chase the balance",IF(AND(S257&gt;0.004,C257&lt;&gt;"",C257-TODAY()&lt;=ReminderLeadDays,C257&gt;=TODAY()),"Due soon - send a reminder","OK")))))</f>
        <v>0</v>
      </c>
    </row>
    <row r="258" spans="1:30">
      <c r="A258" s="46">
        <f>IF(D258="","",InvoicePrefix&amp;TEXT(InvoiceStartNo+ROW()-5,"0000"))</f>
        <v>0</v>
      </c>
      <c r="C258" s="21">
        <f>IF(B258="","",B258+PaymentTermsDays)</f>
        <v>0</v>
      </c>
      <c r="F258" s="29">
        <f>IF(E258="",0,IFERROR(INDEX(Bookings!$AI$5:$AI$404,MATCH(E258,Bookings!$A$5:$A$404,0)),0))</f>
        <v>0</v>
      </c>
      <c r="J258" s="29">
        <f>IF(D258="","",IF(E258&lt;&gt;"",F258,ROUND(IF(H258="",0,H258)*IF(I258="",0,I258),2)))</f>
        <v>0</v>
      </c>
      <c r="M258" s="29">
        <f>IF(D258="","",ROUND(J258+IF(K258="",0,K258)-IF(L258="",0,L258),2))</f>
        <v>0</v>
      </c>
      <c r="N258" s="29">
        <f>IF(M258="","",IF(TaxRegistered&lt;&gt;"Yes",0,IF(PricesIncludeTax="Yes",ROUND(M258-M258/(1+TaxRate),2),ROUND(M258*TaxRate,2))))</f>
        <v>0</v>
      </c>
      <c r="O258" s="29">
        <f>IF(M258="","",IF(PricesIncludeTax="Yes",M258,ROUND(M258+N258,2)))</f>
        <v>0</v>
      </c>
      <c r="P258" s="29">
        <f>IF(A258="","",SUMIFS(Payments!$E$5:$E$304,Payments!$D$5:$D$304,A258,Payments!$M$5:$M$304,"Yes"))</f>
        <v>0</v>
      </c>
      <c r="Q258" s="29">
        <f>IF(A258="","",SUMIFS(Payments!$K$5:$K$304,Payments!$D$5:$D$304,A258))</f>
        <v>0</v>
      </c>
      <c r="R258" s="29">
        <f>IF(A258="","",SUMIFS(Payments!$J$5:$J$304,Payments!$D$5:$D$304,A258))</f>
        <v>0</v>
      </c>
      <c r="S258" s="29">
        <f>IF(D258="","",ROUND(IF(T258="Cancelled",0,O258-Q258),2))</f>
        <v>0</v>
      </c>
      <c r="U258" s="49">
        <f>IF(A258="","",IF(T258="Cancelled","Cancelled",IF(S258&lt;=0.004,"Paid",IF(Q258&gt;0.004,IF(AND(C258&lt;&gt;"",TODAY()&gt;C258),"Overdue - part paid","Partially paid"),IF(AND(C258&lt;&gt;"",TODAY()&gt;C258),"Overdue",IF(T258="Draft","Draft","Unpaid"))))))</f>
        <v>0</v>
      </c>
      <c r="V258" s="31">
        <f>IF(OR(C258="",S258&lt;=0.004),"",MAX(0,TODAY()-C258))</f>
        <v>0</v>
      </c>
      <c r="W258" s="49">
        <f>IF(A258="","",IF(S258&lt;=0.004,"Paid",IF(V258="","Not due",IF(V258=0,"Current",IF(V258&lt;=30,"1-30 days",IF(V258&lt;=60,"31-60 days",IF(V258&lt;=90,"61-90 days","90+ days")))))))</f>
        <v>0</v>
      </c>
      <c r="X258" s="29">
        <f>IF(OR(V258="",V258=0),0,ROUND(S258*LateFeePct,2))</f>
        <v>0</v>
      </c>
      <c r="AA258" s="49">
        <f>IF(A258="","",IF(COUNTIF(Invoices!$A$5:$A$304,A258)&gt;1,"Duplicate number","OK"))</f>
        <v>0</v>
      </c>
      <c r="AC258" s="28">
        <f>IF(B258="","",TEXT(B258,"yyyy-mm"))</f>
        <v>0</v>
      </c>
      <c r="AD258" s="49">
        <f>IF(A258="","",IF(T258="Draft","Action - still a draft",IF(U258="Overdue","Overdue - chase payment",IF(U258="Overdue - part paid","Overdue - chase the balance",IF(AND(S258&gt;0.004,C258&lt;&gt;"",C258-TODAY()&lt;=ReminderLeadDays,C258&gt;=TODAY()),"Due soon - send a reminder","OK")))))</f>
        <v>0</v>
      </c>
    </row>
    <row r="259" spans="1:30">
      <c r="A259" s="46">
        <f>IF(D259="","",InvoicePrefix&amp;TEXT(InvoiceStartNo+ROW()-5,"0000"))</f>
        <v>0</v>
      </c>
      <c r="C259" s="21">
        <f>IF(B259="","",B259+PaymentTermsDays)</f>
        <v>0</v>
      </c>
      <c r="F259" s="29">
        <f>IF(E259="",0,IFERROR(INDEX(Bookings!$AI$5:$AI$404,MATCH(E259,Bookings!$A$5:$A$404,0)),0))</f>
        <v>0</v>
      </c>
      <c r="J259" s="29">
        <f>IF(D259="","",IF(E259&lt;&gt;"",F259,ROUND(IF(H259="",0,H259)*IF(I259="",0,I259),2)))</f>
        <v>0</v>
      </c>
      <c r="M259" s="29">
        <f>IF(D259="","",ROUND(J259+IF(K259="",0,K259)-IF(L259="",0,L259),2))</f>
        <v>0</v>
      </c>
      <c r="N259" s="29">
        <f>IF(M259="","",IF(TaxRegistered&lt;&gt;"Yes",0,IF(PricesIncludeTax="Yes",ROUND(M259-M259/(1+TaxRate),2),ROUND(M259*TaxRate,2))))</f>
        <v>0</v>
      </c>
      <c r="O259" s="29">
        <f>IF(M259="","",IF(PricesIncludeTax="Yes",M259,ROUND(M259+N259,2)))</f>
        <v>0</v>
      </c>
      <c r="P259" s="29">
        <f>IF(A259="","",SUMIFS(Payments!$E$5:$E$304,Payments!$D$5:$D$304,A259,Payments!$M$5:$M$304,"Yes"))</f>
        <v>0</v>
      </c>
      <c r="Q259" s="29">
        <f>IF(A259="","",SUMIFS(Payments!$K$5:$K$304,Payments!$D$5:$D$304,A259))</f>
        <v>0</v>
      </c>
      <c r="R259" s="29">
        <f>IF(A259="","",SUMIFS(Payments!$J$5:$J$304,Payments!$D$5:$D$304,A259))</f>
        <v>0</v>
      </c>
      <c r="S259" s="29">
        <f>IF(D259="","",ROUND(IF(T259="Cancelled",0,O259-Q259),2))</f>
        <v>0</v>
      </c>
      <c r="U259" s="49">
        <f>IF(A259="","",IF(T259="Cancelled","Cancelled",IF(S259&lt;=0.004,"Paid",IF(Q259&gt;0.004,IF(AND(C259&lt;&gt;"",TODAY()&gt;C259),"Overdue - part paid","Partially paid"),IF(AND(C259&lt;&gt;"",TODAY()&gt;C259),"Overdue",IF(T259="Draft","Draft","Unpaid"))))))</f>
        <v>0</v>
      </c>
      <c r="V259" s="31">
        <f>IF(OR(C259="",S259&lt;=0.004),"",MAX(0,TODAY()-C259))</f>
        <v>0</v>
      </c>
      <c r="W259" s="49">
        <f>IF(A259="","",IF(S259&lt;=0.004,"Paid",IF(V259="","Not due",IF(V259=0,"Current",IF(V259&lt;=30,"1-30 days",IF(V259&lt;=60,"31-60 days",IF(V259&lt;=90,"61-90 days","90+ days")))))))</f>
        <v>0</v>
      </c>
      <c r="X259" s="29">
        <f>IF(OR(V259="",V259=0),0,ROUND(S259*LateFeePct,2))</f>
        <v>0</v>
      </c>
      <c r="AA259" s="49">
        <f>IF(A259="","",IF(COUNTIF(Invoices!$A$5:$A$304,A259)&gt;1,"Duplicate number","OK"))</f>
        <v>0</v>
      </c>
      <c r="AC259" s="28">
        <f>IF(B259="","",TEXT(B259,"yyyy-mm"))</f>
        <v>0</v>
      </c>
      <c r="AD259" s="49">
        <f>IF(A259="","",IF(T259="Draft","Action - still a draft",IF(U259="Overdue","Overdue - chase payment",IF(U259="Overdue - part paid","Overdue - chase the balance",IF(AND(S259&gt;0.004,C259&lt;&gt;"",C259-TODAY()&lt;=ReminderLeadDays,C259&gt;=TODAY()),"Due soon - send a reminder","OK")))))</f>
        <v>0</v>
      </c>
    </row>
    <row r="260" spans="1:30">
      <c r="A260" s="46">
        <f>IF(D260="","",InvoicePrefix&amp;TEXT(InvoiceStartNo+ROW()-5,"0000"))</f>
        <v>0</v>
      </c>
      <c r="C260" s="21">
        <f>IF(B260="","",B260+PaymentTermsDays)</f>
        <v>0</v>
      </c>
      <c r="F260" s="29">
        <f>IF(E260="",0,IFERROR(INDEX(Bookings!$AI$5:$AI$404,MATCH(E260,Bookings!$A$5:$A$404,0)),0))</f>
        <v>0</v>
      </c>
      <c r="J260" s="29">
        <f>IF(D260="","",IF(E260&lt;&gt;"",F260,ROUND(IF(H260="",0,H260)*IF(I260="",0,I260),2)))</f>
        <v>0</v>
      </c>
      <c r="M260" s="29">
        <f>IF(D260="","",ROUND(J260+IF(K260="",0,K260)-IF(L260="",0,L260),2))</f>
        <v>0</v>
      </c>
      <c r="N260" s="29">
        <f>IF(M260="","",IF(TaxRegistered&lt;&gt;"Yes",0,IF(PricesIncludeTax="Yes",ROUND(M260-M260/(1+TaxRate),2),ROUND(M260*TaxRate,2))))</f>
        <v>0</v>
      </c>
      <c r="O260" s="29">
        <f>IF(M260="","",IF(PricesIncludeTax="Yes",M260,ROUND(M260+N260,2)))</f>
        <v>0</v>
      </c>
      <c r="P260" s="29">
        <f>IF(A260="","",SUMIFS(Payments!$E$5:$E$304,Payments!$D$5:$D$304,A260,Payments!$M$5:$M$304,"Yes"))</f>
        <v>0</v>
      </c>
      <c r="Q260" s="29">
        <f>IF(A260="","",SUMIFS(Payments!$K$5:$K$304,Payments!$D$5:$D$304,A260))</f>
        <v>0</v>
      </c>
      <c r="R260" s="29">
        <f>IF(A260="","",SUMIFS(Payments!$J$5:$J$304,Payments!$D$5:$D$304,A260))</f>
        <v>0</v>
      </c>
      <c r="S260" s="29">
        <f>IF(D260="","",ROUND(IF(T260="Cancelled",0,O260-Q260),2))</f>
        <v>0</v>
      </c>
      <c r="U260" s="49">
        <f>IF(A260="","",IF(T260="Cancelled","Cancelled",IF(S260&lt;=0.004,"Paid",IF(Q260&gt;0.004,IF(AND(C260&lt;&gt;"",TODAY()&gt;C260),"Overdue - part paid","Partially paid"),IF(AND(C260&lt;&gt;"",TODAY()&gt;C260),"Overdue",IF(T260="Draft","Draft","Unpaid"))))))</f>
        <v>0</v>
      </c>
      <c r="V260" s="31">
        <f>IF(OR(C260="",S260&lt;=0.004),"",MAX(0,TODAY()-C260))</f>
        <v>0</v>
      </c>
      <c r="W260" s="49">
        <f>IF(A260="","",IF(S260&lt;=0.004,"Paid",IF(V260="","Not due",IF(V260=0,"Current",IF(V260&lt;=30,"1-30 days",IF(V260&lt;=60,"31-60 days",IF(V260&lt;=90,"61-90 days","90+ days")))))))</f>
        <v>0</v>
      </c>
      <c r="X260" s="29">
        <f>IF(OR(V260="",V260=0),0,ROUND(S260*LateFeePct,2))</f>
        <v>0</v>
      </c>
      <c r="AA260" s="49">
        <f>IF(A260="","",IF(COUNTIF(Invoices!$A$5:$A$304,A260)&gt;1,"Duplicate number","OK"))</f>
        <v>0</v>
      </c>
      <c r="AC260" s="28">
        <f>IF(B260="","",TEXT(B260,"yyyy-mm"))</f>
        <v>0</v>
      </c>
      <c r="AD260" s="49">
        <f>IF(A260="","",IF(T260="Draft","Action - still a draft",IF(U260="Overdue","Overdue - chase payment",IF(U260="Overdue - part paid","Overdue - chase the balance",IF(AND(S260&gt;0.004,C260&lt;&gt;"",C260-TODAY()&lt;=ReminderLeadDays,C260&gt;=TODAY()),"Due soon - send a reminder","OK")))))</f>
        <v>0</v>
      </c>
    </row>
    <row r="261" spans="1:30">
      <c r="A261" s="46">
        <f>IF(D261="","",InvoicePrefix&amp;TEXT(InvoiceStartNo+ROW()-5,"0000"))</f>
        <v>0</v>
      </c>
      <c r="C261" s="21">
        <f>IF(B261="","",B261+PaymentTermsDays)</f>
        <v>0</v>
      </c>
      <c r="F261" s="29">
        <f>IF(E261="",0,IFERROR(INDEX(Bookings!$AI$5:$AI$404,MATCH(E261,Bookings!$A$5:$A$404,0)),0))</f>
        <v>0</v>
      </c>
      <c r="J261" s="29">
        <f>IF(D261="","",IF(E261&lt;&gt;"",F261,ROUND(IF(H261="",0,H261)*IF(I261="",0,I261),2)))</f>
        <v>0</v>
      </c>
      <c r="M261" s="29">
        <f>IF(D261="","",ROUND(J261+IF(K261="",0,K261)-IF(L261="",0,L261),2))</f>
        <v>0</v>
      </c>
      <c r="N261" s="29">
        <f>IF(M261="","",IF(TaxRegistered&lt;&gt;"Yes",0,IF(PricesIncludeTax="Yes",ROUND(M261-M261/(1+TaxRate),2),ROUND(M261*TaxRate,2))))</f>
        <v>0</v>
      </c>
      <c r="O261" s="29">
        <f>IF(M261="","",IF(PricesIncludeTax="Yes",M261,ROUND(M261+N261,2)))</f>
        <v>0</v>
      </c>
      <c r="P261" s="29">
        <f>IF(A261="","",SUMIFS(Payments!$E$5:$E$304,Payments!$D$5:$D$304,A261,Payments!$M$5:$M$304,"Yes"))</f>
        <v>0</v>
      </c>
      <c r="Q261" s="29">
        <f>IF(A261="","",SUMIFS(Payments!$K$5:$K$304,Payments!$D$5:$D$304,A261))</f>
        <v>0</v>
      </c>
      <c r="R261" s="29">
        <f>IF(A261="","",SUMIFS(Payments!$J$5:$J$304,Payments!$D$5:$D$304,A261))</f>
        <v>0</v>
      </c>
      <c r="S261" s="29">
        <f>IF(D261="","",ROUND(IF(T261="Cancelled",0,O261-Q261),2))</f>
        <v>0</v>
      </c>
      <c r="U261" s="49">
        <f>IF(A261="","",IF(T261="Cancelled","Cancelled",IF(S261&lt;=0.004,"Paid",IF(Q261&gt;0.004,IF(AND(C261&lt;&gt;"",TODAY()&gt;C261),"Overdue - part paid","Partially paid"),IF(AND(C261&lt;&gt;"",TODAY()&gt;C261),"Overdue",IF(T261="Draft","Draft","Unpaid"))))))</f>
        <v>0</v>
      </c>
      <c r="V261" s="31">
        <f>IF(OR(C261="",S261&lt;=0.004),"",MAX(0,TODAY()-C261))</f>
        <v>0</v>
      </c>
      <c r="W261" s="49">
        <f>IF(A261="","",IF(S261&lt;=0.004,"Paid",IF(V261="","Not due",IF(V261=0,"Current",IF(V261&lt;=30,"1-30 days",IF(V261&lt;=60,"31-60 days",IF(V261&lt;=90,"61-90 days","90+ days")))))))</f>
        <v>0</v>
      </c>
      <c r="X261" s="29">
        <f>IF(OR(V261="",V261=0),0,ROUND(S261*LateFeePct,2))</f>
        <v>0</v>
      </c>
      <c r="AA261" s="49">
        <f>IF(A261="","",IF(COUNTIF(Invoices!$A$5:$A$304,A261)&gt;1,"Duplicate number","OK"))</f>
        <v>0</v>
      </c>
      <c r="AC261" s="28">
        <f>IF(B261="","",TEXT(B261,"yyyy-mm"))</f>
        <v>0</v>
      </c>
      <c r="AD261" s="49">
        <f>IF(A261="","",IF(T261="Draft","Action - still a draft",IF(U261="Overdue","Overdue - chase payment",IF(U261="Overdue - part paid","Overdue - chase the balance",IF(AND(S261&gt;0.004,C261&lt;&gt;"",C261-TODAY()&lt;=ReminderLeadDays,C261&gt;=TODAY()),"Due soon - send a reminder","OK")))))</f>
        <v>0</v>
      </c>
    </row>
    <row r="262" spans="1:30">
      <c r="A262" s="46">
        <f>IF(D262="","",InvoicePrefix&amp;TEXT(InvoiceStartNo+ROW()-5,"0000"))</f>
        <v>0</v>
      </c>
      <c r="C262" s="21">
        <f>IF(B262="","",B262+PaymentTermsDays)</f>
        <v>0</v>
      </c>
      <c r="F262" s="29">
        <f>IF(E262="",0,IFERROR(INDEX(Bookings!$AI$5:$AI$404,MATCH(E262,Bookings!$A$5:$A$404,0)),0))</f>
        <v>0</v>
      </c>
      <c r="J262" s="29">
        <f>IF(D262="","",IF(E262&lt;&gt;"",F262,ROUND(IF(H262="",0,H262)*IF(I262="",0,I262),2)))</f>
        <v>0</v>
      </c>
      <c r="M262" s="29">
        <f>IF(D262="","",ROUND(J262+IF(K262="",0,K262)-IF(L262="",0,L262),2))</f>
        <v>0</v>
      </c>
      <c r="N262" s="29">
        <f>IF(M262="","",IF(TaxRegistered&lt;&gt;"Yes",0,IF(PricesIncludeTax="Yes",ROUND(M262-M262/(1+TaxRate),2),ROUND(M262*TaxRate,2))))</f>
        <v>0</v>
      </c>
      <c r="O262" s="29">
        <f>IF(M262="","",IF(PricesIncludeTax="Yes",M262,ROUND(M262+N262,2)))</f>
        <v>0</v>
      </c>
      <c r="P262" s="29">
        <f>IF(A262="","",SUMIFS(Payments!$E$5:$E$304,Payments!$D$5:$D$304,A262,Payments!$M$5:$M$304,"Yes"))</f>
        <v>0</v>
      </c>
      <c r="Q262" s="29">
        <f>IF(A262="","",SUMIFS(Payments!$K$5:$K$304,Payments!$D$5:$D$304,A262))</f>
        <v>0</v>
      </c>
      <c r="R262" s="29">
        <f>IF(A262="","",SUMIFS(Payments!$J$5:$J$304,Payments!$D$5:$D$304,A262))</f>
        <v>0</v>
      </c>
      <c r="S262" s="29">
        <f>IF(D262="","",ROUND(IF(T262="Cancelled",0,O262-Q262),2))</f>
        <v>0</v>
      </c>
      <c r="U262" s="49">
        <f>IF(A262="","",IF(T262="Cancelled","Cancelled",IF(S262&lt;=0.004,"Paid",IF(Q262&gt;0.004,IF(AND(C262&lt;&gt;"",TODAY()&gt;C262),"Overdue - part paid","Partially paid"),IF(AND(C262&lt;&gt;"",TODAY()&gt;C262),"Overdue",IF(T262="Draft","Draft","Unpaid"))))))</f>
        <v>0</v>
      </c>
      <c r="V262" s="31">
        <f>IF(OR(C262="",S262&lt;=0.004),"",MAX(0,TODAY()-C262))</f>
        <v>0</v>
      </c>
      <c r="W262" s="49">
        <f>IF(A262="","",IF(S262&lt;=0.004,"Paid",IF(V262="","Not due",IF(V262=0,"Current",IF(V262&lt;=30,"1-30 days",IF(V262&lt;=60,"31-60 days",IF(V262&lt;=90,"61-90 days","90+ days")))))))</f>
        <v>0</v>
      </c>
      <c r="X262" s="29">
        <f>IF(OR(V262="",V262=0),0,ROUND(S262*LateFeePct,2))</f>
        <v>0</v>
      </c>
      <c r="AA262" s="49">
        <f>IF(A262="","",IF(COUNTIF(Invoices!$A$5:$A$304,A262)&gt;1,"Duplicate number","OK"))</f>
        <v>0</v>
      </c>
      <c r="AC262" s="28">
        <f>IF(B262="","",TEXT(B262,"yyyy-mm"))</f>
        <v>0</v>
      </c>
      <c r="AD262" s="49">
        <f>IF(A262="","",IF(T262="Draft","Action - still a draft",IF(U262="Overdue","Overdue - chase payment",IF(U262="Overdue - part paid","Overdue - chase the balance",IF(AND(S262&gt;0.004,C262&lt;&gt;"",C262-TODAY()&lt;=ReminderLeadDays,C262&gt;=TODAY()),"Due soon - send a reminder","OK")))))</f>
        <v>0</v>
      </c>
    </row>
    <row r="263" spans="1:30">
      <c r="A263" s="46">
        <f>IF(D263="","",InvoicePrefix&amp;TEXT(InvoiceStartNo+ROW()-5,"0000"))</f>
        <v>0</v>
      </c>
      <c r="C263" s="21">
        <f>IF(B263="","",B263+PaymentTermsDays)</f>
        <v>0</v>
      </c>
      <c r="F263" s="29">
        <f>IF(E263="",0,IFERROR(INDEX(Bookings!$AI$5:$AI$404,MATCH(E263,Bookings!$A$5:$A$404,0)),0))</f>
        <v>0</v>
      </c>
      <c r="J263" s="29">
        <f>IF(D263="","",IF(E263&lt;&gt;"",F263,ROUND(IF(H263="",0,H263)*IF(I263="",0,I263),2)))</f>
        <v>0</v>
      </c>
      <c r="M263" s="29">
        <f>IF(D263="","",ROUND(J263+IF(K263="",0,K263)-IF(L263="",0,L263),2))</f>
        <v>0</v>
      </c>
      <c r="N263" s="29">
        <f>IF(M263="","",IF(TaxRegistered&lt;&gt;"Yes",0,IF(PricesIncludeTax="Yes",ROUND(M263-M263/(1+TaxRate),2),ROUND(M263*TaxRate,2))))</f>
        <v>0</v>
      </c>
      <c r="O263" s="29">
        <f>IF(M263="","",IF(PricesIncludeTax="Yes",M263,ROUND(M263+N263,2)))</f>
        <v>0</v>
      </c>
      <c r="P263" s="29">
        <f>IF(A263="","",SUMIFS(Payments!$E$5:$E$304,Payments!$D$5:$D$304,A263,Payments!$M$5:$M$304,"Yes"))</f>
        <v>0</v>
      </c>
      <c r="Q263" s="29">
        <f>IF(A263="","",SUMIFS(Payments!$K$5:$K$304,Payments!$D$5:$D$304,A263))</f>
        <v>0</v>
      </c>
      <c r="R263" s="29">
        <f>IF(A263="","",SUMIFS(Payments!$J$5:$J$304,Payments!$D$5:$D$304,A263))</f>
        <v>0</v>
      </c>
      <c r="S263" s="29">
        <f>IF(D263="","",ROUND(IF(T263="Cancelled",0,O263-Q263),2))</f>
        <v>0</v>
      </c>
      <c r="U263" s="49">
        <f>IF(A263="","",IF(T263="Cancelled","Cancelled",IF(S263&lt;=0.004,"Paid",IF(Q263&gt;0.004,IF(AND(C263&lt;&gt;"",TODAY()&gt;C263),"Overdue - part paid","Partially paid"),IF(AND(C263&lt;&gt;"",TODAY()&gt;C263),"Overdue",IF(T263="Draft","Draft","Unpaid"))))))</f>
        <v>0</v>
      </c>
      <c r="V263" s="31">
        <f>IF(OR(C263="",S263&lt;=0.004),"",MAX(0,TODAY()-C263))</f>
        <v>0</v>
      </c>
      <c r="W263" s="49">
        <f>IF(A263="","",IF(S263&lt;=0.004,"Paid",IF(V263="","Not due",IF(V263=0,"Current",IF(V263&lt;=30,"1-30 days",IF(V263&lt;=60,"31-60 days",IF(V263&lt;=90,"61-90 days","90+ days")))))))</f>
        <v>0</v>
      </c>
      <c r="X263" s="29">
        <f>IF(OR(V263="",V263=0),0,ROUND(S263*LateFeePct,2))</f>
        <v>0</v>
      </c>
      <c r="AA263" s="49">
        <f>IF(A263="","",IF(COUNTIF(Invoices!$A$5:$A$304,A263)&gt;1,"Duplicate number","OK"))</f>
        <v>0</v>
      </c>
      <c r="AC263" s="28">
        <f>IF(B263="","",TEXT(B263,"yyyy-mm"))</f>
        <v>0</v>
      </c>
      <c r="AD263" s="49">
        <f>IF(A263="","",IF(T263="Draft","Action - still a draft",IF(U263="Overdue","Overdue - chase payment",IF(U263="Overdue - part paid","Overdue - chase the balance",IF(AND(S263&gt;0.004,C263&lt;&gt;"",C263-TODAY()&lt;=ReminderLeadDays,C263&gt;=TODAY()),"Due soon - send a reminder","OK")))))</f>
        <v>0</v>
      </c>
    </row>
    <row r="264" spans="1:30">
      <c r="A264" s="46">
        <f>IF(D264="","",InvoicePrefix&amp;TEXT(InvoiceStartNo+ROW()-5,"0000"))</f>
        <v>0</v>
      </c>
      <c r="C264" s="21">
        <f>IF(B264="","",B264+PaymentTermsDays)</f>
        <v>0</v>
      </c>
      <c r="F264" s="29">
        <f>IF(E264="",0,IFERROR(INDEX(Bookings!$AI$5:$AI$404,MATCH(E264,Bookings!$A$5:$A$404,0)),0))</f>
        <v>0</v>
      </c>
      <c r="J264" s="29">
        <f>IF(D264="","",IF(E264&lt;&gt;"",F264,ROUND(IF(H264="",0,H264)*IF(I264="",0,I264),2)))</f>
        <v>0</v>
      </c>
      <c r="M264" s="29">
        <f>IF(D264="","",ROUND(J264+IF(K264="",0,K264)-IF(L264="",0,L264),2))</f>
        <v>0</v>
      </c>
      <c r="N264" s="29">
        <f>IF(M264="","",IF(TaxRegistered&lt;&gt;"Yes",0,IF(PricesIncludeTax="Yes",ROUND(M264-M264/(1+TaxRate),2),ROUND(M264*TaxRate,2))))</f>
        <v>0</v>
      </c>
      <c r="O264" s="29">
        <f>IF(M264="","",IF(PricesIncludeTax="Yes",M264,ROUND(M264+N264,2)))</f>
        <v>0</v>
      </c>
      <c r="P264" s="29">
        <f>IF(A264="","",SUMIFS(Payments!$E$5:$E$304,Payments!$D$5:$D$304,A264,Payments!$M$5:$M$304,"Yes"))</f>
        <v>0</v>
      </c>
      <c r="Q264" s="29">
        <f>IF(A264="","",SUMIFS(Payments!$K$5:$K$304,Payments!$D$5:$D$304,A264))</f>
        <v>0</v>
      </c>
      <c r="R264" s="29">
        <f>IF(A264="","",SUMIFS(Payments!$J$5:$J$304,Payments!$D$5:$D$304,A264))</f>
        <v>0</v>
      </c>
      <c r="S264" s="29">
        <f>IF(D264="","",ROUND(IF(T264="Cancelled",0,O264-Q264),2))</f>
        <v>0</v>
      </c>
      <c r="U264" s="49">
        <f>IF(A264="","",IF(T264="Cancelled","Cancelled",IF(S264&lt;=0.004,"Paid",IF(Q264&gt;0.004,IF(AND(C264&lt;&gt;"",TODAY()&gt;C264),"Overdue - part paid","Partially paid"),IF(AND(C264&lt;&gt;"",TODAY()&gt;C264),"Overdue",IF(T264="Draft","Draft","Unpaid"))))))</f>
        <v>0</v>
      </c>
      <c r="V264" s="31">
        <f>IF(OR(C264="",S264&lt;=0.004),"",MAX(0,TODAY()-C264))</f>
        <v>0</v>
      </c>
      <c r="W264" s="49">
        <f>IF(A264="","",IF(S264&lt;=0.004,"Paid",IF(V264="","Not due",IF(V264=0,"Current",IF(V264&lt;=30,"1-30 days",IF(V264&lt;=60,"31-60 days",IF(V264&lt;=90,"61-90 days","90+ days")))))))</f>
        <v>0</v>
      </c>
      <c r="X264" s="29">
        <f>IF(OR(V264="",V264=0),0,ROUND(S264*LateFeePct,2))</f>
        <v>0</v>
      </c>
      <c r="AA264" s="49">
        <f>IF(A264="","",IF(COUNTIF(Invoices!$A$5:$A$304,A264)&gt;1,"Duplicate number","OK"))</f>
        <v>0</v>
      </c>
      <c r="AC264" s="28">
        <f>IF(B264="","",TEXT(B264,"yyyy-mm"))</f>
        <v>0</v>
      </c>
      <c r="AD264" s="49">
        <f>IF(A264="","",IF(T264="Draft","Action - still a draft",IF(U264="Overdue","Overdue - chase payment",IF(U264="Overdue - part paid","Overdue - chase the balance",IF(AND(S264&gt;0.004,C264&lt;&gt;"",C264-TODAY()&lt;=ReminderLeadDays,C264&gt;=TODAY()),"Due soon - send a reminder","OK")))))</f>
        <v>0</v>
      </c>
    </row>
    <row r="265" spans="1:30">
      <c r="A265" s="46">
        <f>IF(D265="","",InvoicePrefix&amp;TEXT(InvoiceStartNo+ROW()-5,"0000"))</f>
        <v>0</v>
      </c>
      <c r="C265" s="21">
        <f>IF(B265="","",B265+PaymentTermsDays)</f>
        <v>0</v>
      </c>
      <c r="F265" s="29">
        <f>IF(E265="",0,IFERROR(INDEX(Bookings!$AI$5:$AI$404,MATCH(E265,Bookings!$A$5:$A$404,0)),0))</f>
        <v>0</v>
      </c>
      <c r="J265" s="29">
        <f>IF(D265="","",IF(E265&lt;&gt;"",F265,ROUND(IF(H265="",0,H265)*IF(I265="",0,I265),2)))</f>
        <v>0</v>
      </c>
      <c r="M265" s="29">
        <f>IF(D265="","",ROUND(J265+IF(K265="",0,K265)-IF(L265="",0,L265),2))</f>
        <v>0</v>
      </c>
      <c r="N265" s="29">
        <f>IF(M265="","",IF(TaxRegistered&lt;&gt;"Yes",0,IF(PricesIncludeTax="Yes",ROUND(M265-M265/(1+TaxRate),2),ROUND(M265*TaxRate,2))))</f>
        <v>0</v>
      </c>
      <c r="O265" s="29">
        <f>IF(M265="","",IF(PricesIncludeTax="Yes",M265,ROUND(M265+N265,2)))</f>
        <v>0</v>
      </c>
      <c r="P265" s="29">
        <f>IF(A265="","",SUMIFS(Payments!$E$5:$E$304,Payments!$D$5:$D$304,A265,Payments!$M$5:$M$304,"Yes"))</f>
        <v>0</v>
      </c>
      <c r="Q265" s="29">
        <f>IF(A265="","",SUMIFS(Payments!$K$5:$K$304,Payments!$D$5:$D$304,A265))</f>
        <v>0</v>
      </c>
      <c r="R265" s="29">
        <f>IF(A265="","",SUMIFS(Payments!$J$5:$J$304,Payments!$D$5:$D$304,A265))</f>
        <v>0</v>
      </c>
      <c r="S265" s="29">
        <f>IF(D265="","",ROUND(IF(T265="Cancelled",0,O265-Q265),2))</f>
        <v>0</v>
      </c>
      <c r="U265" s="49">
        <f>IF(A265="","",IF(T265="Cancelled","Cancelled",IF(S265&lt;=0.004,"Paid",IF(Q265&gt;0.004,IF(AND(C265&lt;&gt;"",TODAY()&gt;C265),"Overdue - part paid","Partially paid"),IF(AND(C265&lt;&gt;"",TODAY()&gt;C265),"Overdue",IF(T265="Draft","Draft","Unpaid"))))))</f>
        <v>0</v>
      </c>
      <c r="V265" s="31">
        <f>IF(OR(C265="",S265&lt;=0.004),"",MAX(0,TODAY()-C265))</f>
        <v>0</v>
      </c>
      <c r="W265" s="49">
        <f>IF(A265="","",IF(S265&lt;=0.004,"Paid",IF(V265="","Not due",IF(V265=0,"Current",IF(V265&lt;=30,"1-30 days",IF(V265&lt;=60,"31-60 days",IF(V265&lt;=90,"61-90 days","90+ days")))))))</f>
        <v>0</v>
      </c>
      <c r="X265" s="29">
        <f>IF(OR(V265="",V265=0),0,ROUND(S265*LateFeePct,2))</f>
        <v>0</v>
      </c>
      <c r="AA265" s="49">
        <f>IF(A265="","",IF(COUNTIF(Invoices!$A$5:$A$304,A265)&gt;1,"Duplicate number","OK"))</f>
        <v>0</v>
      </c>
      <c r="AC265" s="28">
        <f>IF(B265="","",TEXT(B265,"yyyy-mm"))</f>
        <v>0</v>
      </c>
      <c r="AD265" s="49">
        <f>IF(A265="","",IF(T265="Draft","Action - still a draft",IF(U265="Overdue","Overdue - chase payment",IF(U265="Overdue - part paid","Overdue - chase the balance",IF(AND(S265&gt;0.004,C265&lt;&gt;"",C265-TODAY()&lt;=ReminderLeadDays,C265&gt;=TODAY()),"Due soon - send a reminder","OK")))))</f>
        <v>0</v>
      </c>
    </row>
    <row r="266" spans="1:30">
      <c r="A266" s="46">
        <f>IF(D266="","",InvoicePrefix&amp;TEXT(InvoiceStartNo+ROW()-5,"0000"))</f>
        <v>0</v>
      </c>
      <c r="C266" s="21">
        <f>IF(B266="","",B266+PaymentTermsDays)</f>
        <v>0</v>
      </c>
      <c r="F266" s="29">
        <f>IF(E266="",0,IFERROR(INDEX(Bookings!$AI$5:$AI$404,MATCH(E266,Bookings!$A$5:$A$404,0)),0))</f>
        <v>0</v>
      </c>
      <c r="J266" s="29">
        <f>IF(D266="","",IF(E266&lt;&gt;"",F266,ROUND(IF(H266="",0,H266)*IF(I266="",0,I266),2)))</f>
        <v>0</v>
      </c>
      <c r="M266" s="29">
        <f>IF(D266="","",ROUND(J266+IF(K266="",0,K266)-IF(L266="",0,L266),2))</f>
        <v>0</v>
      </c>
      <c r="N266" s="29">
        <f>IF(M266="","",IF(TaxRegistered&lt;&gt;"Yes",0,IF(PricesIncludeTax="Yes",ROUND(M266-M266/(1+TaxRate),2),ROUND(M266*TaxRate,2))))</f>
        <v>0</v>
      </c>
      <c r="O266" s="29">
        <f>IF(M266="","",IF(PricesIncludeTax="Yes",M266,ROUND(M266+N266,2)))</f>
        <v>0</v>
      </c>
      <c r="P266" s="29">
        <f>IF(A266="","",SUMIFS(Payments!$E$5:$E$304,Payments!$D$5:$D$304,A266,Payments!$M$5:$M$304,"Yes"))</f>
        <v>0</v>
      </c>
      <c r="Q266" s="29">
        <f>IF(A266="","",SUMIFS(Payments!$K$5:$K$304,Payments!$D$5:$D$304,A266))</f>
        <v>0</v>
      </c>
      <c r="R266" s="29">
        <f>IF(A266="","",SUMIFS(Payments!$J$5:$J$304,Payments!$D$5:$D$304,A266))</f>
        <v>0</v>
      </c>
      <c r="S266" s="29">
        <f>IF(D266="","",ROUND(IF(T266="Cancelled",0,O266-Q266),2))</f>
        <v>0</v>
      </c>
      <c r="U266" s="49">
        <f>IF(A266="","",IF(T266="Cancelled","Cancelled",IF(S266&lt;=0.004,"Paid",IF(Q266&gt;0.004,IF(AND(C266&lt;&gt;"",TODAY()&gt;C266),"Overdue - part paid","Partially paid"),IF(AND(C266&lt;&gt;"",TODAY()&gt;C266),"Overdue",IF(T266="Draft","Draft","Unpaid"))))))</f>
        <v>0</v>
      </c>
      <c r="V266" s="31">
        <f>IF(OR(C266="",S266&lt;=0.004),"",MAX(0,TODAY()-C266))</f>
        <v>0</v>
      </c>
      <c r="W266" s="49">
        <f>IF(A266="","",IF(S266&lt;=0.004,"Paid",IF(V266="","Not due",IF(V266=0,"Current",IF(V266&lt;=30,"1-30 days",IF(V266&lt;=60,"31-60 days",IF(V266&lt;=90,"61-90 days","90+ days")))))))</f>
        <v>0</v>
      </c>
      <c r="X266" s="29">
        <f>IF(OR(V266="",V266=0),0,ROUND(S266*LateFeePct,2))</f>
        <v>0</v>
      </c>
      <c r="AA266" s="49">
        <f>IF(A266="","",IF(COUNTIF(Invoices!$A$5:$A$304,A266)&gt;1,"Duplicate number","OK"))</f>
        <v>0</v>
      </c>
      <c r="AC266" s="28">
        <f>IF(B266="","",TEXT(B266,"yyyy-mm"))</f>
        <v>0</v>
      </c>
      <c r="AD266" s="49">
        <f>IF(A266="","",IF(T266="Draft","Action - still a draft",IF(U266="Overdue","Overdue - chase payment",IF(U266="Overdue - part paid","Overdue - chase the balance",IF(AND(S266&gt;0.004,C266&lt;&gt;"",C266-TODAY()&lt;=ReminderLeadDays,C266&gt;=TODAY()),"Due soon - send a reminder","OK")))))</f>
        <v>0</v>
      </c>
    </row>
    <row r="267" spans="1:30">
      <c r="A267" s="46">
        <f>IF(D267="","",InvoicePrefix&amp;TEXT(InvoiceStartNo+ROW()-5,"0000"))</f>
        <v>0</v>
      </c>
      <c r="C267" s="21">
        <f>IF(B267="","",B267+PaymentTermsDays)</f>
        <v>0</v>
      </c>
      <c r="F267" s="29">
        <f>IF(E267="",0,IFERROR(INDEX(Bookings!$AI$5:$AI$404,MATCH(E267,Bookings!$A$5:$A$404,0)),0))</f>
        <v>0</v>
      </c>
      <c r="J267" s="29">
        <f>IF(D267="","",IF(E267&lt;&gt;"",F267,ROUND(IF(H267="",0,H267)*IF(I267="",0,I267),2)))</f>
        <v>0</v>
      </c>
      <c r="M267" s="29">
        <f>IF(D267="","",ROUND(J267+IF(K267="",0,K267)-IF(L267="",0,L267),2))</f>
        <v>0</v>
      </c>
      <c r="N267" s="29">
        <f>IF(M267="","",IF(TaxRegistered&lt;&gt;"Yes",0,IF(PricesIncludeTax="Yes",ROUND(M267-M267/(1+TaxRate),2),ROUND(M267*TaxRate,2))))</f>
        <v>0</v>
      </c>
      <c r="O267" s="29">
        <f>IF(M267="","",IF(PricesIncludeTax="Yes",M267,ROUND(M267+N267,2)))</f>
        <v>0</v>
      </c>
      <c r="P267" s="29">
        <f>IF(A267="","",SUMIFS(Payments!$E$5:$E$304,Payments!$D$5:$D$304,A267,Payments!$M$5:$M$304,"Yes"))</f>
        <v>0</v>
      </c>
      <c r="Q267" s="29">
        <f>IF(A267="","",SUMIFS(Payments!$K$5:$K$304,Payments!$D$5:$D$304,A267))</f>
        <v>0</v>
      </c>
      <c r="R267" s="29">
        <f>IF(A267="","",SUMIFS(Payments!$J$5:$J$304,Payments!$D$5:$D$304,A267))</f>
        <v>0</v>
      </c>
      <c r="S267" s="29">
        <f>IF(D267="","",ROUND(IF(T267="Cancelled",0,O267-Q267),2))</f>
        <v>0</v>
      </c>
      <c r="U267" s="49">
        <f>IF(A267="","",IF(T267="Cancelled","Cancelled",IF(S267&lt;=0.004,"Paid",IF(Q267&gt;0.004,IF(AND(C267&lt;&gt;"",TODAY()&gt;C267),"Overdue - part paid","Partially paid"),IF(AND(C267&lt;&gt;"",TODAY()&gt;C267),"Overdue",IF(T267="Draft","Draft","Unpaid"))))))</f>
        <v>0</v>
      </c>
      <c r="V267" s="31">
        <f>IF(OR(C267="",S267&lt;=0.004),"",MAX(0,TODAY()-C267))</f>
        <v>0</v>
      </c>
      <c r="W267" s="49">
        <f>IF(A267="","",IF(S267&lt;=0.004,"Paid",IF(V267="","Not due",IF(V267=0,"Current",IF(V267&lt;=30,"1-30 days",IF(V267&lt;=60,"31-60 days",IF(V267&lt;=90,"61-90 days","90+ days")))))))</f>
        <v>0</v>
      </c>
      <c r="X267" s="29">
        <f>IF(OR(V267="",V267=0),0,ROUND(S267*LateFeePct,2))</f>
        <v>0</v>
      </c>
      <c r="AA267" s="49">
        <f>IF(A267="","",IF(COUNTIF(Invoices!$A$5:$A$304,A267)&gt;1,"Duplicate number","OK"))</f>
        <v>0</v>
      </c>
      <c r="AC267" s="28">
        <f>IF(B267="","",TEXT(B267,"yyyy-mm"))</f>
        <v>0</v>
      </c>
      <c r="AD267" s="49">
        <f>IF(A267="","",IF(T267="Draft","Action - still a draft",IF(U267="Overdue","Overdue - chase payment",IF(U267="Overdue - part paid","Overdue - chase the balance",IF(AND(S267&gt;0.004,C267&lt;&gt;"",C267-TODAY()&lt;=ReminderLeadDays,C267&gt;=TODAY()),"Due soon - send a reminder","OK")))))</f>
        <v>0</v>
      </c>
    </row>
    <row r="268" spans="1:30">
      <c r="A268" s="46">
        <f>IF(D268="","",InvoicePrefix&amp;TEXT(InvoiceStartNo+ROW()-5,"0000"))</f>
        <v>0</v>
      </c>
      <c r="C268" s="21">
        <f>IF(B268="","",B268+PaymentTermsDays)</f>
        <v>0</v>
      </c>
      <c r="F268" s="29">
        <f>IF(E268="",0,IFERROR(INDEX(Bookings!$AI$5:$AI$404,MATCH(E268,Bookings!$A$5:$A$404,0)),0))</f>
        <v>0</v>
      </c>
      <c r="J268" s="29">
        <f>IF(D268="","",IF(E268&lt;&gt;"",F268,ROUND(IF(H268="",0,H268)*IF(I268="",0,I268),2)))</f>
        <v>0</v>
      </c>
      <c r="M268" s="29">
        <f>IF(D268="","",ROUND(J268+IF(K268="",0,K268)-IF(L268="",0,L268),2))</f>
        <v>0</v>
      </c>
      <c r="N268" s="29">
        <f>IF(M268="","",IF(TaxRegistered&lt;&gt;"Yes",0,IF(PricesIncludeTax="Yes",ROUND(M268-M268/(1+TaxRate),2),ROUND(M268*TaxRate,2))))</f>
        <v>0</v>
      </c>
      <c r="O268" s="29">
        <f>IF(M268="","",IF(PricesIncludeTax="Yes",M268,ROUND(M268+N268,2)))</f>
        <v>0</v>
      </c>
      <c r="P268" s="29">
        <f>IF(A268="","",SUMIFS(Payments!$E$5:$E$304,Payments!$D$5:$D$304,A268,Payments!$M$5:$M$304,"Yes"))</f>
        <v>0</v>
      </c>
      <c r="Q268" s="29">
        <f>IF(A268="","",SUMIFS(Payments!$K$5:$K$304,Payments!$D$5:$D$304,A268))</f>
        <v>0</v>
      </c>
      <c r="R268" s="29">
        <f>IF(A268="","",SUMIFS(Payments!$J$5:$J$304,Payments!$D$5:$D$304,A268))</f>
        <v>0</v>
      </c>
      <c r="S268" s="29">
        <f>IF(D268="","",ROUND(IF(T268="Cancelled",0,O268-Q268),2))</f>
        <v>0</v>
      </c>
      <c r="U268" s="49">
        <f>IF(A268="","",IF(T268="Cancelled","Cancelled",IF(S268&lt;=0.004,"Paid",IF(Q268&gt;0.004,IF(AND(C268&lt;&gt;"",TODAY()&gt;C268),"Overdue - part paid","Partially paid"),IF(AND(C268&lt;&gt;"",TODAY()&gt;C268),"Overdue",IF(T268="Draft","Draft","Unpaid"))))))</f>
        <v>0</v>
      </c>
      <c r="V268" s="31">
        <f>IF(OR(C268="",S268&lt;=0.004),"",MAX(0,TODAY()-C268))</f>
        <v>0</v>
      </c>
      <c r="W268" s="49">
        <f>IF(A268="","",IF(S268&lt;=0.004,"Paid",IF(V268="","Not due",IF(V268=0,"Current",IF(V268&lt;=30,"1-30 days",IF(V268&lt;=60,"31-60 days",IF(V268&lt;=90,"61-90 days","90+ days")))))))</f>
        <v>0</v>
      </c>
      <c r="X268" s="29">
        <f>IF(OR(V268="",V268=0),0,ROUND(S268*LateFeePct,2))</f>
        <v>0</v>
      </c>
      <c r="AA268" s="49">
        <f>IF(A268="","",IF(COUNTIF(Invoices!$A$5:$A$304,A268)&gt;1,"Duplicate number","OK"))</f>
        <v>0</v>
      </c>
      <c r="AC268" s="28">
        <f>IF(B268="","",TEXT(B268,"yyyy-mm"))</f>
        <v>0</v>
      </c>
      <c r="AD268" s="49">
        <f>IF(A268="","",IF(T268="Draft","Action - still a draft",IF(U268="Overdue","Overdue - chase payment",IF(U268="Overdue - part paid","Overdue - chase the balance",IF(AND(S268&gt;0.004,C268&lt;&gt;"",C268-TODAY()&lt;=ReminderLeadDays,C268&gt;=TODAY()),"Due soon - send a reminder","OK")))))</f>
        <v>0</v>
      </c>
    </row>
    <row r="269" spans="1:30">
      <c r="A269" s="46">
        <f>IF(D269="","",InvoicePrefix&amp;TEXT(InvoiceStartNo+ROW()-5,"0000"))</f>
        <v>0</v>
      </c>
      <c r="C269" s="21">
        <f>IF(B269="","",B269+PaymentTermsDays)</f>
        <v>0</v>
      </c>
      <c r="F269" s="29">
        <f>IF(E269="",0,IFERROR(INDEX(Bookings!$AI$5:$AI$404,MATCH(E269,Bookings!$A$5:$A$404,0)),0))</f>
        <v>0</v>
      </c>
      <c r="J269" s="29">
        <f>IF(D269="","",IF(E269&lt;&gt;"",F269,ROUND(IF(H269="",0,H269)*IF(I269="",0,I269),2)))</f>
        <v>0</v>
      </c>
      <c r="M269" s="29">
        <f>IF(D269="","",ROUND(J269+IF(K269="",0,K269)-IF(L269="",0,L269),2))</f>
        <v>0</v>
      </c>
      <c r="N269" s="29">
        <f>IF(M269="","",IF(TaxRegistered&lt;&gt;"Yes",0,IF(PricesIncludeTax="Yes",ROUND(M269-M269/(1+TaxRate),2),ROUND(M269*TaxRate,2))))</f>
        <v>0</v>
      </c>
      <c r="O269" s="29">
        <f>IF(M269="","",IF(PricesIncludeTax="Yes",M269,ROUND(M269+N269,2)))</f>
        <v>0</v>
      </c>
      <c r="P269" s="29">
        <f>IF(A269="","",SUMIFS(Payments!$E$5:$E$304,Payments!$D$5:$D$304,A269,Payments!$M$5:$M$304,"Yes"))</f>
        <v>0</v>
      </c>
      <c r="Q269" s="29">
        <f>IF(A269="","",SUMIFS(Payments!$K$5:$K$304,Payments!$D$5:$D$304,A269))</f>
        <v>0</v>
      </c>
      <c r="R269" s="29">
        <f>IF(A269="","",SUMIFS(Payments!$J$5:$J$304,Payments!$D$5:$D$304,A269))</f>
        <v>0</v>
      </c>
      <c r="S269" s="29">
        <f>IF(D269="","",ROUND(IF(T269="Cancelled",0,O269-Q269),2))</f>
        <v>0</v>
      </c>
      <c r="U269" s="49">
        <f>IF(A269="","",IF(T269="Cancelled","Cancelled",IF(S269&lt;=0.004,"Paid",IF(Q269&gt;0.004,IF(AND(C269&lt;&gt;"",TODAY()&gt;C269),"Overdue - part paid","Partially paid"),IF(AND(C269&lt;&gt;"",TODAY()&gt;C269),"Overdue",IF(T269="Draft","Draft","Unpaid"))))))</f>
        <v>0</v>
      </c>
      <c r="V269" s="31">
        <f>IF(OR(C269="",S269&lt;=0.004),"",MAX(0,TODAY()-C269))</f>
        <v>0</v>
      </c>
      <c r="W269" s="49">
        <f>IF(A269="","",IF(S269&lt;=0.004,"Paid",IF(V269="","Not due",IF(V269=0,"Current",IF(V269&lt;=30,"1-30 days",IF(V269&lt;=60,"31-60 days",IF(V269&lt;=90,"61-90 days","90+ days")))))))</f>
        <v>0</v>
      </c>
      <c r="X269" s="29">
        <f>IF(OR(V269="",V269=0),0,ROUND(S269*LateFeePct,2))</f>
        <v>0</v>
      </c>
      <c r="AA269" s="49">
        <f>IF(A269="","",IF(COUNTIF(Invoices!$A$5:$A$304,A269)&gt;1,"Duplicate number","OK"))</f>
        <v>0</v>
      </c>
      <c r="AC269" s="28">
        <f>IF(B269="","",TEXT(B269,"yyyy-mm"))</f>
        <v>0</v>
      </c>
      <c r="AD269" s="49">
        <f>IF(A269="","",IF(T269="Draft","Action - still a draft",IF(U269="Overdue","Overdue - chase payment",IF(U269="Overdue - part paid","Overdue - chase the balance",IF(AND(S269&gt;0.004,C269&lt;&gt;"",C269-TODAY()&lt;=ReminderLeadDays,C269&gt;=TODAY()),"Due soon - send a reminder","OK")))))</f>
        <v>0</v>
      </c>
    </row>
    <row r="270" spans="1:30">
      <c r="A270" s="46">
        <f>IF(D270="","",InvoicePrefix&amp;TEXT(InvoiceStartNo+ROW()-5,"0000"))</f>
        <v>0</v>
      </c>
      <c r="C270" s="21">
        <f>IF(B270="","",B270+PaymentTermsDays)</f>
        <v>0</v>
      </c>
      <c r="F270" s="29">
        <f>IF(E270="",0,IFERROR(INDEX(Bookings!$AI$5:$AI$404,MATCH(E270,Bookings!$A$5:$A$404,0)),0))</f>
        <v>0</v>
      </c>
      <c r="J270" s="29">
        <f>IF(D270="","",IF(E270&lt;&gt;"",F270,ROUND(IF(H270="",0,H270)*IF(I270="",0,I270),2)))</f>
        <v>0</v>
      </c>
      <c r="M270" s="29">
        <f>IF(D270="","",ROUND(J270+IF(K270="",0,K270)-IF(L270="",0,L270),2))</f>
        <v>0</v>
      </c>
      <c r="N270" s="29">
        <f>IF(M270="","",IF(TaxRegistered&lt;&gt;"Yes",0,IF(PricesIncludeTax="Yes",ROUND(M270-M270/(1+TaxRate),2),ROUND(M270*TaxRate,2))))</f>
        <v>0</v>
      </c>
      <c r="O270" s="29">
        <f>IF(M270="","",IF(PricesIncludeTax="Yes",M270,ROUND(M270+N270,2)))</f>
        <v>0</v>
      </c>
      <c r="P270" s="29">
        <f>IF(A270="","",SUMIFS(Payments!$E$5:$E$304,Payments!$D$5:$D$304,A270,Payments!$M$5:$M$304,"Yes"))</f>
        <v>0</v>
      </c>
      <c r="Q270" s="29">
        <f>IF(A270="","",SUMIFS(Payments!$K$5:$K$304,Payments!$D$5:$D$304,A270))</f>
        <v>0</v>
      </c>
      <c r="R270" s="29">
        <f>IF(A270="","",SUMIFS(Payments!$J$5:$J$304,Payments!$D$5:$D$304,A270))</f>
        <v>0</v>
      </c>
      <c r="S270" s="29">
        <f>IF(D270="","",ROUND(IF(T270="Cancelled",0,O270-Q270),2))</f>
        <v>0</v>
      </c>
      <c r="U270" s="49">
        <f>IF(A270="","",IF(T270="Cancelled","Cancelled",IF(S270&lt;=0.004,"Paid",IF(Q270&gt;0.004,IF(AND(C270&lt;&gt;"",TODAY()&gt;C270),"Overdue - part paid","Partially paid"),IF(AND(C270&lt;&gt;"",TODAY()&gt;C270),"Overdue",IF(T270="Draft","Draft","Unpaid"))))))</f>
        <v>0</v>
      </c>
      <c r="V270" s="31">
        <f>IF(OR(C270="",S270&lt;=0.004),"",MAX(0,TODAY()-C270))</f>
        <v>0</v>
      </c>
      <c r="W270" s="49">
        <f>IF(A270="","",IF(S270&lt;=0.004,"Paid",IF(V270="","Not due",IF(V270=0,"Current",IF(V270&lt;=30,"1-30 days",IF(V270&lt;=60,"31-60 days",IF(V270&lt;=90,"61-90 days","90+ days")))))))</f>
        <v>0</v>
      </c>
      <c r="X270" s="29">
        <f>IF(OR(V270="",V270=0),0,ROUND(S270*LateFeePct,2))</f>
        <v>0</v>
      </c>
      <c r="AA270" s="49">
        <f>IF(A270="","",IF(COUNTIF(Invoices!$A$5:$A$304,A270)&gt;1,"Duplicate number","OK"))</f>
        <v>0</v>
      </c>
      <c r="AC270" s="28">
        <f>IF(B270="","",TEXT(B270,"yyyy-mm"))</f>
        <v>0</v>
      </c>
      <c r="AD270" s="49">
        <f>IF(A270="","",IF(T270="Draft","Action - still a draft",IF(U270="Overdue","Overdue - chase payment",IF(U270="Overdue - part paid","Overdue - chase the balance",IF(AND(S270&gt;0.004,C270&lt;&gt;"",C270-TODAY()&lt;=ReminderLeadDays,C270&gt;=TODAY()),"Due soon - send a reminder","OK")))))</f>
        <v>0</v>
      </c>
    </row>
    <row r="271" spans="1:30">
      <c r="A271" s="46">
        <f>IF(D271="","",InvoicePrefix&amp;TEXT(InvoiceStartNo+ROW()-5,"0000"))</f>
        <v>0</v>
      </c>
      <c r="C271" s="21">
        <f>IF(B271="","",B271+PaymentTermsDays)</f>
        <v>0</v>
      </c>
      <c r="F271" s="29">
        <f>IF(E271="",0,IFERROR(INDEX(Bookings!$AI$5:$AI$404,MATCH(E271,Bookings!$A$5:$A$404,0)),0))</f>
        <v>0</v>
      </c>
      <c r="J271" s="29">
        <f>IF(D271="","",IF(E271&lt;&gt;"",F271,ROUND(IF(H271="",0,H271)*IF(I271="",0,I271),2)))</f>
        <v>0</v>
      </c>
      <c r="M271" s="29">
        <f>IF(D271="","",ROUND(J271+IF(K271="",0,K271)-IF(L271="",0,L271),2))</f>
        <v>0</v>
      </c>
      <c r="N271" s="29">
        <f>IF(M271="","",IF(TaxRegistered&lt;&gt;"Yes",0,IF(PricesIncludeTax="Yes",ROUND(M271-M271/(1+TaxRate),2),ROUND(M271*TaxRate,2))))</f>
        <v>0</v>
      </c>
      <c r="O271" s="29">
        <f>IF(M271="","",IF(PricesIncludeTax="Yes",M271,ROUND(M271+N271,2)))</f>
        <v>0</v>
      </c>
      <c r="P271" s="29">
        <f>IF(A271="","",SUMIFS(Payments!$E$5:$E$304,Payments!$D$5:$D$304,A271,Payments!$M$5:$M$304,"Yes"))</f>
        <v>0</v>
      </c>
      <c r="Q271" s="29">
        <f>IF(A271="","",SUMIFS(Payments!$K$5:$K$304,Payments!$D$5:$D$304,A271))</f>
        <v>0</v>
      </c>
      <c r="R271" s="29">
        <f>IF(A271="","",SUMIFS(Payments!$J$5:$J$304,Payments!$D$5:$D$304,A271))</f>
        <v>0</v>
      </c>
      <c r="S271" s="29">
        <f>IF(D271="","",ROUND(IF(T271="Cancelled",0,O271-Q271),2))</f>
        <v>0</v>
      </c>
      <c r="U271" s="49">
        <f>IF(A271="","",IF(T271="Cancelled","Cancelled",IF(S271&lt;=0.004,"Paid",IF(Q271&gt;0.004,IF(AND(C271&lt;&gt;"",TODAY()&gt;C271),"Overdue - part paid","Partially paid"),IF(AND(C271&lt;&gt;"",TODAY()&gt;C271),"Overdue",IF(T271="Draft","Draft","Unpaid"))))))</f>
        <v>0</v>
      </c>
      <c r="V271" s="31">
        <f>IF(OR(C271="",S271&lt;=0.004),"",MAX(0,TODAY()-C271))</f>
        <v>0</v>
      </c>
      <c r="W271" s="49">
        <f>IF(A271="","",IF(S271&lt;=0.004,"Paid",IF(V271="","Not due",IF(V271=0,"Current",IF(V271&lt;=30,"1-30 days",IF(V271&lt;=60,"31-60 days",IF(V271&lt;=90,"61-90 days","90+ days")))))))</f>
        <v>0</v>
      </c>
      <c r="X271" s="29">
        <f>IF(OR(V271="",V271=0),0,ROUND(S271*LateFeePct,2))</f>
        <v>0</v>
      </c>
      <c r="AA271" s="49">
        <f>IF(A271="","",IF(COUNTIF(Invoices!$A$5:$A$304,A271)&gt;1,"Duplicate number","OK"))</f>
        <v>0</v>
      </c>
      <c r="AC271" s="28">
        <f>IF(B271="","",TEXT(B271,"yyyy-mm"))</f>
        <v>0</v>
      </c>
      <c r="AD271" s="49">
        <f>IF(A271="","",IF(T271="Draft","Action - still a draft",IF(U271="Overdue","Overdue - chase payment",IF(U271="Overdue - part paid","Overdue - chase the balance",IF(AND(S271&gt;0.004,C271&lt;&gt;"",C271-TODAY()&lt;=ReminderLeadDays,C271&gt;=TODAY()),"Due soon - send a reminder","OK")))))</f>
        <v>0</v>
      </c>
    </row>
    <row r="272" spans="1:30">
      <c r="A272" s="46">
        <f>IF(D272="","",InvoicePrefix&amp;TEXT(InvoiceStartNo+ROW()-5,"0000"))</f>
        <v>0</v>
      </c>
      <c r="C272" s="21">
        <f>IF(B272="","",B272+PaymentTermsDays)</f>
        <v>0</v>
      </c>
      <c r="F272" s="29">
        <f>IF(E272="",0,IFERROR(INDEX(Bookings!$AI$5:$AI$404,MATCH(E272,Bookings!$A$5:$A$404,0)),0))</f>
        <v>0</v>
      </c>
      <c r="J272" s="29">
        <f>IF(D272="","",IF(E272&lt;&gt;"",F272,ROUND(IF(H272="",0,H272)*IF(I272="",0,I272),2)))</f>
        <v>0</v>
      </c>
      <c r="M272" s="29">
        <f>IF(D272="","",ROUND(J272+IF(K272="",0,K272)-IF(L272="",0,L272),2))</f>
        <v>0</v>
      </c>
      <c r="N272" s="29">
        <f>IF(M272="","",IF(TaxRegistered&lt;&gt;"Yes",0,IF(PricesIncludeTax="Yes",ROUND(M272-M272/(1+TaxRate),2),ROUND(M272*TaxRate,2))))</f>
        <v>0</v>
      </c>
      <c r="O272" s="29">
        <f>IF(M272="","",IF(PricesIncludeTax="Yes",M272,ROUND(M272+N272,2)))</f>
        <v>0</v>
      </c>
      <c r="P272" s="29">
        <f>IF(A272="","",SUMIFS(Payments!$E$5:$E$304,Payments!$D$5:$D$304,A272,Payments!$M$5:$M$304,"Yes"))</f>
        <v>0</v>
      </c>
      <c r="Q272" s="29">
        <f>IF(A272="","",SUMIFS(Payments!$K$5:$K$304,Payments!$D$5:$D$304,A272))</f>
        <v>0</v>
      </c>
      <c r="R272" s="29">
        <f>IF(A272="","",SUMIFS(Payments!$J$5:$J$304,Payments!$D$5:$D$304,A272))</f>
        <v>0</v>
      </c>
      <c r="S272" s="29">
        <f>IF(D272="","",ROUND(IF(T272="Cancelled",0,O272-Q272),2))</f>
        <v>0</v>
      </c>
      <c r="U272" s="49">
        <f>IF(A272="","",IF(T272="Cancelled","Cancelled",IF(S272&lt;=0.004,"Paid",IF(Q272&gt;0.004,IF(AND(C272&lt;&gt;"",TODAY()&gt;C272),"Overdue - part paid","Partially paid"),IF(AND(C272&lt;&gt;"",TODAY()&gt;C272),"Overdue",IF(T272="Draft","Draft","Unpaid"))))))</f>
        <v>0</v>
      </c>
      <c r="V272" s="31">
        <f>IF(OR(C272="",S272&lt;=0.004),"",MAX(0,TODAY()-C272))</f>
        <v>0</v>
      </c>
      <c r="W272" s="49">
        <f>IF(A272="","",IF(S272&lt;=0.004,"Paid",IF(V272="","Not due",IF(V272=0,"Current",IF(V272&lt;=30,"1-30 days",IF(V272&lt;=60,"31-60 days",IF(V272&lt;=90,"61-90 days","90+ days")))))))</f>
        <v>0</v>
      </c>
      <c r="X272" s="29">
        <f>IF(OR(V272="",V272=0),0,ROUND(S272*LateFeePct,2))</f>
        <v>0</v>
      </c>
      <c r="AA272" s="49">
        <f>IF(A272="","",IF(COUNTIF(Invoices!$A$5:$A$304,A272)&gt;1,"Duplicate number","OK"))</f>
        <v>0</v>
      </c>
      <c r="AC272" s="28">
        <f>IF(B272="","",TEXT(B272,"yyyy-mm"))</f>
        <v>0</v>
      </c>
      <c r="AD272" s="49">
        <f>IF(A272="","",IF(T272="Draft","Action - still a draft",IF(U272="Overdue","Overdue - chase payment",IF(U272="Overdue - part paid","Overdue - chase the balance",IF(AND(S272&gt;0.004,C272&lt;&gt;"",C272-TODAY()&lt;=ReminderLeadDays,C272&gt;=TODAY()),"Due soon - send a reminder","OK")))))</f>
        <v>0</v>
      </c>
    </row>
    <row r="273" spans="1:30">
      <c r="A273" s="46">
        <f>IF(D273="","",InvoicePrefix&amp;TEXT(InvoiceStartNo+ROW()-5,"0000"))</f>
        <v>0</v>
      </c>
      <c r="C273" s="21">
        <f>IF(B273="","",B273+PaymentTermsDays)</f>
        <v>0</v>
      </c>
      <c r="F273" s="29">
        <f>IF(E273="",0,IFERROR(INDEX(Bookings!$AI$5:$AI$404,MATCH(E273,Bookings!$A$5:$A$404,0)),0))</f>
        <v>0</v>
      </c>
      <c r="J273" s="29">
        <f>IF(D273="","",IF(E273&lt;&gt;"",F273,ROUND(IF(H273="",0,H273)*IF(I273="",0,I273),2)))</f>
        <v>0</v>
      </c>
      <c r="M273" s="29">
        <f>IF(D273="","",ROUND(J273+IF(K273="",0,K273)-IF(L273="",0,L273),2))</f>
        <v>0</v>
      </c>
      <c r="N273" s="29">
        <f>IF(M273="","",IF(TaxRegistered&lt;&gt;"Yes",0,IF(PricesIncludeTax="Yes",ROUND(M273-M273/(1+TaxRate),2),ROUND(M273*TaxRate,2))))</f>
        <v>0</v>
      </c>
      <c r="O273" s="29">
        <f>IF(M273="","",IF(PricesIncludeTax="Yes",M273,ROUND(M273+N273,2)))</f>
        <v>0</v>
      </c>
      <c r="P273" s="29">
        <f>IF(A273="","",SUMIFS(Payments!$E$5:$E$304,Payments!$D$5:$D$304,A273,Payments!$M$5:$M$304,"Yes"))</f>
        <v>0</v>
      </c>
      <c r="Q273" s="29">
        <f>IF(A273="","",SUMIFS(Payments!$K$5:$K$304,Payments!$D$5:$D$304,A273))</f>
        <v>0</v>
      </c>
      <c r="R273" s="29">
        <f>IF(A273="","",SUMIFS(Payments!$J$5:$J$304,Payments!$D$5:$D$304,A273))</f>
        <v>0</v>
      </c>
      <c r="S273" s="29">
        <f>IF(D273="","",ROUND(IF(T273="Cancelled",0,O273-Q273),2))</f>
        <v>0</v>
      </c>
      <c r="U273" s="49">
        <f>IF(A273="","",IF(T273="Cancelled","Cancelled",IF(S273&lt;=0.004,"Paid",IF(Q273&gt;0.004,IF(AND(C273&lt;&gt;"",TODAY()&gt;C273),"Overdue - part paid","Partially paid"),IF(AND(C273&lt;&gt;"",TODAY()&gt;C273),"Overdue",IF(T273="Draft","Draft","Unpaid"))))))</f>
        <v>0</v>
      </c>
      <c r="V273" s="31">
        <f>IF(OR(C273="",S273&lt;=0.004),"",MAX(0,TODAY()-C273))</f>
        <v>0</v>
      </c>
      <c r="W273" s="49">
        <f>IF(A273="","",IF(S273&lt;=0.004,"Paid",IF(V273="","Not due",IF(V273=0,"Current",IF(V273&lt;=30,"1-30 days",IF(V273&lt;=60,"31-60 days",IF(V273&lt;=90,"61-90 days","90+ days")))))))</f>
        <v>0</v>
      </c>
      <c r="X273" s="29">
        <f>IF(OR(V273="",V273=0),0,ROUND(S273*LateFeePct,2))</f>
        <v>0</v>
      </c>
      <c r="AA273" s="49">
        <f>IF(A273="","",IF(COUNTIF(Invoices!$A$5:$A$304,A273)&gt;1,"Duplicate number","OK"))</f>
        <v>0</v>
      </c>
      <c r="AC273" s="28">
        <f>IF(B273="","",TEXT(B273,"yyyy-mm"))</f>
        <v>0</v>
      </c>
      <c r="AD273" s="49">
        <f>IF(A273="","",IF(T273="Draft","Action - still a draft",IF(U273="Overdue","Overdue - chase payment",IF(U273="Overdue - part paid","Overdue - chase the balance",IF(AND(S273&gt;0.004,C273&lt;&gt;"",C273-TODAY()&lt;=ReminderLeadDays,C273&gt;=TODAY()),"Due soon - send a reminder","OK")))))</f>
        <v>0</v>
      </c>
    </row>
    <row r="274" spans="1:30">
      <c r="A274" s="46">
        <f>IF(D274="","",InvoicePrefix&amp;TEXT(InvoiceStartNo+ROW()-5,"0000"))</f>
        <v>0</v>
      </c>
      <c r="C274" s="21">
        <f>IF(B274="","",B274+PaymentTermsDays)</f>
        <v>0</v>
      </c>
      <c r="F274" s="29">
        <f>IF(E274="",0,IFERROR(INDEX(Bookings!$AI$5:$AI$404,MATCH(E274,Bookings!$A$5:$A$404,0)),0))</f>
        <v>0</v>
      </c>
      <c r="J274" s="29">
        <f>IF(D274="","",IF(E274&lt;&gt;"",F274,ROUND(IF(H274="",0,H274)*IF(I274="",0,I274),2)))</f>
        <v>0</v>
      </c>
      <c r="M274" s="29">
        <f>IF(D274="","",ROUND(J274+IF(K274="",0,K274)-IF(L274="",0,L274),2))</f>
        <v>0</v>
      </c>
      <c r="N274" s="29">
        <f>IF(M274="","",IF(TaxRegistered&lt;&gt;"Yes",0,IF(PricesIncludeTax="Yes",ROUND(M274-M274/(1+TaxRate),2),ROUND(M274*TaxRate,2))))</f>
        <v>0</v>
      </c>
      <c r="O274" s="29">
        <f>IF(M274="","",IF(PricesIncludeTax="Yes",M274,ROUND(M274+N274,2)))</f>
        <v>0</v>
      </c>
      <c r="P274" s="29">
        <f>IF(A274="","",SUMIFS(Payments!$E$5:$E$304,Payments!$D$5:$D$304,A274,Payments!$M$5:$M$304,"Yes"))</f>
        <v>0</v>
      </c>
      <c r="Q274" s="29">
        <f>IF(A274="","",SUMIFS(Payments!$K$5:$K$304,Payments!$D$5:$D$304,A274))</f>
        <v>0</v>
      </c>
      <c r="R274" s="29">
        <f>IF(A274="","",SUMIFS(Payments!$J$5:$J$304,Payments!$D$5:$D$304,A274))</f>
        <v>0</v>
      </c>
      <c r="S274" s="29">
        <f>IF(D274="","",ROUND(IF(T274="Cancelled",0,O274-Q274),2))</f>
        <v>0</v>
      </c>
      <c r="U274" s="49">
        <f>IF(A274="","",IF(T274="Cancelled","Cancelled",IF(S274&lt;=0.004,"Paid",IF(Q274&gt;0.004,IF(AND(C274&lt;&gt;"",TODAY()&gt;C274),"Overdue - part paid","Partially paid"),IF(AND(C274&lt;&gt;"",TODAY()&gt;C274),"Overdue",IF(T274="Draft","Draft","Unpaid"))))))</f>
        <v>0</v>
      </c>
      <c r="V274" s="31">
        <f>IF(OR(C274="",S274&lt;=0.004),"",MAX(0,TODAY()-C274))</f>
        <v>0</v>
      </c>
      <c r="W274" s="49">
        <f>IF(A274="","",IF(S274&lt;=0.004,"Paid",IF(V274="","Not due",IF(V274=0,"Current",IF(V274&lt;=30,"1-30 days",IF(V274&lt;=60,"31-60 days",IF(V274&lt;=90,"61-90 days","90+ days")))))))</f>
        <v>0</v>
      </c>
      <c r="X274" s="29">
        <f>IF(OR(V274="",V274=0),0,ROUND(S274*LateFeePct,2))</f>
        <v>0</v>
      </c>
      <c r="AA274" s="49">
        <f>IF(A274="","",IF(COUNTIF(Invoices!$A$5:$A$304,A274)&gt;1,"Duplicate number","OK"))</f>
        <v>0</v>
      </c>
      <c r="AC274" s="28">
        <f>IF(B274="","",TEXT(B274,"yyyy-mm"))</f>
        <v>0</v>
      </c>
      <c r="AD274" s="49">
        <f>IF(A274="","",IF(T274="Draft","Action - still a draft",IF(U274="Overdue","Overdue - chase payment",IF(U274="Overdue - part paid","Overdue - chase the balance",IF(AND(S274&gt;0.004,C274&lt;&gt;"",C274-TODAY()&lt;=ReminderLeadDays,C274&gt;=TODAY()),"Due soon - send a reminder","OK")))))</f>
        <v>0</v>
      </c>
    </row>
    <row r="275" spans="1:30">
      <c r="A275" s="46">
        <f>IF(D275="","",InvoicePrefix&amp;TEXT(InvoiceStartNo+ROW()-5,"0000"))</f>
        <v>0</v>
      </c>
      <c r="C275" s="21">
        <f>IF(B275="","",B275+PaymentTermsDays)</f>
        <v>0</v>
      </c>
      <c r="F275" s="29">
        <f>IF(E275="",0,IFERROR(INDEX(Bookings!$AI$5:$AI$404,MATCH(E275,Bookings!$A$5:$A$404,0)),0))</f>
        <v>0</v>
      </c>
      <c r="J275" s="29">
        <f>IF(D275="","",IF(E275&lt;&gt;"",F275,ROUND(IF(H275="",0,H275)*IF(I275="",0,I275),2)))</f>
        <v>0</v>
      </c>
      <c r="M275" s="29">
        <f>IF(D275="","",ROUND(J275+IF(K275="",0,K275)-IF(L275="",0,L275),2))</f>
        <v>0</v>
      </c>
      <c r="N275" s="29">
        <f>IF(M275="","",IF(TaxRegistered&lt;&gt;"Yes",0,IF(PricesIncludeTax="Yes",ROUND(M275-M275/(1+TaxRate),2),ROUND(M275*TaxRate,2))))</f>
        <v>0</v>
      </c>
      <c r="O275" s="29">
        <f>IF(M275="","",IF(PricesIncludeTax="Yes",M275,ROUND(M275+N275,2)))</f>
        <v>0</v>
      </c>
      <c r="P275" s="29">
        <f>IF(A275="","",SUMIFS(Payments!$E$5:$E$304,Payments!$D$5:$D$304,A275,Payments!$M$5:$M$304,"Yes"))</f>
        <v>0</v>
      </c>
      <c r="Q275" s="29">
        <f>IF(A275="","",SUMIFS(Payments!$K$5:$K$304,Payments!$D$5:$D$304,A275))</f>
        <v>0</v>
      </c>
      <c r="R275" s="29">
        <f>IF(A275="","",SUMIFS(Payments!$J$5:$J$304,Payments!$D$5:$D$304,A275))</f>
        <v>0</v>
      </c>
      <c r="S275" s="29">
        <f>IF(D275="","",ROUND(IF(T275="Cancelled",0,O275-Q275),2))</f>
        <v>0</v>
      </c>
      <c r="U275" s="49">
        <f>IF(A275="","",IF(T275="Cancelled","Cancelled",IF(S275&lt;=0.004,"Paid",IF(Q275&gt;0.004,IF(AND(C275&lt;&gt;"",TODAY()&gt;C275),"Overdue - part paid","Partially paid"),IF(AND(C275&lt;&gt;"",TODAY()&gt;C275),"Overdue",IF(T275="Draft","Draft","Unpaid"))))))</f>
        <v>0</v>
      </c>
      <c r="V275" s="31">
        <f>IF(OR(C275="",S275&lt;=0.004),"",MAX(0,TODAY()-C275))</f>
        <v>0</v>
      </c>
      <c r="W275" s="49">
        <f>IF(A275="","",IF(S275&lt;=0.004,"Paid",IF(V275="","Not due",IF(V275=0,"Current",IF(V275&lt;=30,"1-30 days",IF(V275&lt;=60,"31-60 days",IF(V275&lt;=90,"61-90 days","90+ days")))))))</f>
        <v>0</v>
      </c>
      <c r="X275" s="29">
        <f>IF(OR(V275="",V275=0),0,ROUND(S275*LateFeePct,2))</f>
        <v>0</v>
      </c>
      <c r="AA275" s="49">
        <f>IF(A275="","",IF(COUNTIF(Invoices!$A$5:$A$304,A275)&gt;1,"Duplicate number","OK"))</f>
        <v>0</v>
      </c>
      <c r="AC275" s="28">
        <f>IF(B275="","",TEXT(B275,"yyyy-mm"))</f>
        <v>0</v>
      </c>
      <c r="AD275" s="49">
        <f>IF(A275="","",IF(T275="Draft","Action - still a draft",IF(U275="Overdue","Overdue - chase payment",IF(U275="Overdue - part paid","Overdue - chase the balance",IF(AND(S275&gt;0.004,C275&lt;&gt;"",C275-TODAY()&lt;=ReminderLeadDays,C275&gt;=TODAY()),"Due soon - send a reminder","OK")))))</f>
        <v>0</v>
      </c>
    </row>
    <row r="276" spans="1:30">
      <c r="A276" s="46">
        <f>IF(D276="","",InvoicePrefix&amp;TEXT(InvoiceStartNo+ROW()-5,"0000"))</f>
        <v>0</v>
      </c>
      <c r="C276" s="21">
        <f>IF(B276="","",B276+PaymentTermsDays)</f>
        <v>0</v>
      </c>
      <c r="F276" s="29">
        <f>IF(E276="",0,IFERROR(INDEX(Bookings!$AI$5:$AI$404,MATCH(E276,Bookings!$A$5:$A$404,0)),0))</f>
        <v>0</v>
      </c>
      <c r="J276" s="29">
        <f>IF(D276="","",IF(E276&lt;&gt;"",F276,ROUND(IF(H276="",0,H276)*IF(I276="",0,I276),2)))</f>
        <v>0</v>
      </c>
      <c r="M276" s="29">
        <f>IF(D276="","",ROUND(J276+IF(K276="",0,K276)-IF(L276="",0,L276),2))</f>
        <v>0</v>
      </c>
      <c r="N276" s="29">
        <f>IF(M276="","",IF(TaxRegistered&lt;&gt;"Yes",0,IF(PricesIncludeTax="Yes",ROUND(M276-M276/(1+TaxRate),2),ROUND(M276*TaxRate,2))))</f>
        <v>0</v>
      </c>
      <c r="O276" s="29">
        <f>IF(M276="","",IF(PricesIncludeTax="Yes",M276,ROUND(M276+N276,2)))</f>
        <v>0</v>
      </c>
      <c r="P276" s="29">
        <f>IF(A276="","",SUMIFS(Payments!$E$5:$E$304,Payments!$D$5:$D$304,A276,Payments!$M$5:$M$304,"Yes"))</f>
        <v>0</v>
      </c>
      <c r="Q276" s="29">
        <f>IF(A276="","",SUMIFS(Payments!$K$5:$K$304,Payments!$D$5:$D$304,A276))</f>
        <v>0</v>
      </c>
      <c r="R276" s="29">
        <f>IF(A276="","",SUMIFS(Payments!$J$5:$J$304,Payments!$D$5:$D$304,A276))</f>
        <v>0</v>
      </c>
      <c r="S276" s="29">
        <f>IF(D276="","",ROUND(IF(T276="Cancelled",0,O276-Q276),2))</f>
        <v>0</v>
      </c>
      <c r="U276" s="49">
        <f>IF(A276="","",IF(T276="Cancelled","Cancelled",IF(S276&lt;=0.004,"Paid",IF(Q276&gt;0.004,IF(AND(C276&lt;&gt;"",TODAY()&gt;C276),"Overdue - part paid","Partially paid"),IF(AND(C276&lt;&gt;"",TODAY()&gt;C276),"Overdue",IF(T276="Draft","Draft","Unpaid"))))))</f>
        <v>0</v>
      </c>
      <c r="V276" s="31">
        <f>IF(OR(C276="",S276&lt;=0.004),"",MAX(0,TODAY()-C276))</f>
        <v>0</v>
      </c>
      <c r="W276" s="49">
        <f>IF(A276="","",IF(S276&lt;=0.004,"Paid",IF(V276="","Not due",IF(V276=0,"Current",IF(V276&lt;=30,"1-30 days",IF(V276&lt;=60,"31-60 days",IF(V276&lt;=90,"61-90 days","90+ days")))))))</f>
        <v>0</v>
      </c>
      <c r="X276" s="29">
        <f>IF(OR(V276="",V276=0),0,ROUND(S276*LateFeePct,2))</f>
        <v>0</v>
      </c>
      <c r="AA276" s="49">
        <f>IF(A276="","",IF(COUNTIF(Invoices!$A$5:$A$304,A276)&gt;1,"Duplicate number","OK"))</f>
        <v>0</v>
      </c>
      <c r="AC276" s="28">
        <f>IF(B276="","",TEXT(B276,"yyyy-mm"))</f>
        <v>0</v>
      </c>
      <c r="AD276" s="49">
        <f>IF(A276="","",IF(T276="Draft","Action - still a draft",IF(U276="Overdue","Overdue - chase payment",IF(U276="Overdue - part paid","Overdue - chase the balance",IF(AND(S276&gt;0.004,C276&lt;&gt;"",C276-TODAY()&lt;=ReminderLeadDays,C276&gt;=TODAY()),"Due soon - send a reminder","OK")))))</f>
        <v>0</v>
      </c>
    </row>
    <row r="277" spans="1:30">
      <c r="A277" s="46">
        <f>IF(D277="","",InvoicePrefix&amp;TEXT(InvoiceStartNo+ROW()-5,"0000"))</f>
        <v>0</v>
      </c>
      <c r="C277" s="21">
        <f>IF(B277="","",B277+PaymentTermsDays)</f>
        <v>0</v>
      </c>
      <c r="F277" s="29">
        <f>IF(E277="",0,IFERROR(INDEX(Bookings!$AI$5:$AI$404,MATCH(E277,Bookings!$A$5:$A$404,0)),0))</f>
        <v>0</v>
      </c>
      <c r="J277" s="29">
        <f>IF(D277="","",IF(E277&lt;&gt;"",F277,ROUND(IF(H277="",0,H277)*IF(I277="",0,I277),2)))</f>
        <v>0</v>
      </c>
      <c r="M277" s="29">
        <f>IF(D277="","",ROUND(J277+IF(K277="",0,K277)-IF(L277="",0,L277),2))</f>
        <v>0</v>
      </c>
      <c r="N277" s="29">
        <f>IF(M277="","",IF(TaxRegistered&lt;&gt;"Yes",0,IF(PricesIncludeTax="Yes",ROUND(M277-M277/(1+TaxRate),2),ROUND(M277*TaxRate,2))))</f>
        <v>0</v>
      </c>
      <c r="O277" s="29">
        <f>IF(M277="","",IF(PricesIncludeTax="Yes",M277,ROUND(M277+N277,2)))</f>
        <v>0</v>
      </c>
      <c r="P277" s="29">
        <f>IF(A277="","",SUMIFS(Payments!$E$5:$E$304,Payments!$D$5:$D$304,A277,Payments!$M$5:$M$304,"Yes"))</f>
        <v>0</v>
      </c>
      <c r="Q277" s="29">
        <f>IF(A277="","",SUMIFS(Payments!$K$5:$K$304,Payments!$D$5:$D$304,A277))</f>
        <v>0</v>
      </c>
      <c r="R277" s="29">
        <f>IF(A277="","",SUMIFS(Payments!$J$5:$J$304,Payments!$D$5:$D$304,A277))</f>
        <v>0</v>
      </c>
      <c r="S277" s="29">
        <f>IF(D277="","",ROUND(IF(T277="Cancelled",0,O277-Q277),2))</f>
        <v>0</v>
      </c>
      <c r="U277" s="49">
        <f>IF(A277="","",IF(T277="Cancelled","Cancelled",IF(S277&lt;=0.004,"Paid",IF(Q277&gt;0.004,IF(AND(C277&lt;&gt;"",TODAY()&gt;C277),"Overdue - part paid","Partially paid"),IF(AND(C277&lt;&gt;"",TODAY()&gt;C277),"Overdue",IF(T277="Draft","Draft","Unpaid"))))))</f>
        <v>0</v>
      </c>
      <c r="V277" s="31">
        <f>IF(OR(C277="",S277&lt;=0.004),"",MAX(0,TODAY()-C277))</f>
        <v>0</v>
      </c>
      <c r="W277" s="49">
        <f>IF(A277="","",IF(S277&lt;=0.004,"Paid",IF(V277="","Not due",IF(V277=0,"Current",IF(V277&lt;=30,"1-30 days",IF(V277&lt;=60,"31-60 days",IF(V277&lt;=90,"61-90 days","90+ days")))))))</f>
        <v>0</v>
      </c>
      <c r="X277" s="29">
        <f>IF(OR(V277="",V277=0),0,ROUND(S277*LateFeePct,2))</f>
        <v>0</v>
      </c>
      <c r="AA277" s="49">
        <f>IF(A277="","",IF(COUNTIF(Invoices!$A$5:$A$304,A277)&gt;1,"Duplicate number","OK"))</f>
        <v>0</v>
      </c>
      <c r="AC277" s="28">
        <f>IF(B277="","",TEXT(B277,"yyyy-mm"))</f>
        <v>0</v>
      </c>
      <c r="AD277" s="49">
        <f>IF(A277="","",IF(T277="Draft","Action - still a draft",IF(U277="Overdue","Overdue - chase payment",IF(U277="Overdue - part paid","Overdue - chase the balance",IF(AND(S277&gt;0.004,C277&lt;&gt;"",C277-TODAY()&lt;=ReminderLeadDays,C277&gt;=TODAY()),"Due soon - send a reminder","OK")))))</f>
        <v>0</v>
      </c>
    </row>
    <row r="278" spans="1:30">
      <c r="A278" s="46">
        <f>IF(D278="","",InvoicePrefix&amp;TEXT(InvoiceStartNo+ROW()-5,"0000"))</f>
        <v>0</v>
      </c>
      <c r="C278" s="21">
        <f>IF(B278="","",B278+PaymentTermsDays)</f>
        <v>0</v>
      </c>
      <c r="F278" s="29">
        <f>IF(E278="",0,IFERROR(INDEX(Bookings!$AI$5:$AI$404,MATCH(E278,Bookings!$A$5:$A$404,0)),0))</f>
        <v>0</v>
      </c>
      <c r="J278" s="29">
        <f>IF(D278="","",IF(E278&lt;&gt;"",F278,ROUND(IF(H278="",0,H278)*IF(I278="",0,I278),2)))</f>
        <v>0</v>
      </c>
      <c r="M278" s="29">
        <f>IF(D278="","",ROUND(J278+IF(K278="",0,K278)-IF(L278="",0,L278),2))</f>
        <v>0</v>
      </c>
      <c r="N278" s="29">
        <f>IF(M278="","",IF(TaxRegistered&lt;&gt;"Yes",0,IF(PricesIncludeTax="Yes",ROUND(M278-M278/(1+TaxRate),2),ROUND(M278*TaxRate,2))))</f>
        <v>0</v>
      </c>
      <c r="O278" s="29">
        <f>IF(M278="","",IF(PricesIncludeTax="Yes",M278,ROUND(M278+N278,2)))</f>
        <v>0</v>
      </c>
      <c r="P278" s="29">
        <f>IF(A278="","",SUMIFS(Payments!$E$5:$E$304,Payments!$D$5:$D$304,A278,Payments!$M$5:$M$304,"Yes"))</f>
        <v>0</v>
      </c>
      <c r="Q278" s="29">
        <f>IF(A278="","",SUMIFS(Payments!$K$5:$K$304,Payments!$D$5:$D$304,A278))</f>
        <v>0</v>
      </c>
      <c r="R278" s="29">
        <f>IF(A278="","",SUMIFS(Payments!$J$5:$J$304,Payments!$D$5:$D$304,A278))</f>
        <v>0</v>
      </c>
      <c r="S278" s="29">
        <f>IF(D278="","",ROUND(IF(T278="Cancelled",0,O278-Q278),2))</f>
        <v>0</v>
      </c>
      <c r="U278" s="49">
        <f>IF(A278="","",IF(T278="Cancelled","Cancelled",IF(S278&lt;=0.004,"Paid",IF(Q278&gt;0.004,IF(AND(C278&lt;&gt;"",TODAY()&gt;C278),"Overdue - part paid","Partially paid"),IF(AND(C278&lt;&gt;"",TODAY()&gt;C278),"Overdue",IF(T278="Draft","Draft","Unpaid"))))))</f>
        <v>0</v>
      </c>
      <c r="V278" s="31">
        <f>IF(OR(C278="",S278&lt;=0.004),"",MAX(0,TODAY()-C278))</f>
        <v>0</v>
      </c>
      <c r="W278" s="49">
        <f>IF(A278="","",IF(S278&lt;=0.004,"Paid",IF(V278="","Not due",IF(V278=0,"Current",IF(V278&lt;=30,"1-30 days",IF(V278&lt;=60,"31-60 days",IF(V278&lt;=90,"61-90 days","90+ days")))))))</f>
        <v>0</v>
      </c>
      <c r="X278" s="29">
        <f>IF(OR(V278="",V278=0),0,ROUND(S278*LateFeePct,2))</f>
        <v>0</v>
      </c>
      <c r="AA278" s="49">
        <f>IF(A278="","",IF(COUNTIF(Invoices!$A$5:$A$304,A278)&gt;1,"Duplicate number","OK"))</f>
        <v>0</v>
      </c>
      <c r="AC278" s="28">
        <f>IF(B278="","",TEXT(B278,"yyyy-mm"))</f>
        <v>0</v>
      </c>
      <c r="AD278" s="49">
        <f>IF(A278="","",IF(T278="Draft","Action - still a draft",IF(U278="Overdue","Overdue - chase payment",IF(U278="Overdue - part paid","Overdue - chase the balance",IF(AND(S278&gt;0.004,C278&lt;&gt;"",C278-TODAY()&lt;=ReminderLeadDays,C278&gt;=TODAY()),"Due soon - send a reminder","OK")))))</f>
        <v>0</v>
      </c>
    </row>
    <row r="279" spans="1:30">
      <c r="A279" s="46">
        <f>IF(D279="","",InvoicePrefix&amp;TEXT(InvoiceStartNo+ROW()-5,"0000"))</f>
        <v>0</v>
      </c>
      <c r="C279" s="21">
        <f>IF(B279="","",B279+PaymentTermsDays)</f>
        <v>0</v>
      </c>
      <c r="F279" s="29">
        <f>IF(E279="",0,IFERROR(INDEX(Bookings!$AI$5:$AI$404,MATCH(E279,Bookings!$A$5:$A$404,0)),0))</f>
        <v>0</v>
      </c>
      <c r="J279" s="29">
        <f>IF(D279="","",IF(E279&lt;&gt;"",F279,ROUND(IF(H279="",0,H279)*IF(I279="",0,I279),2)))</f>
        <v>0</v>
      </c>
      <c r="M279" s="29">
        <f>IF(D279="","",ROUND(J279+IF(K279="",0,K279)-IF(L279="",0,L279),2))</f>
        <v>0</v>
      </c>
      <c r="N279" s="29">
        <f>IF(M279="","",IF(TaxRegistered&lt;&gt;"Yes",0,IF(PricesIncludeTax="Yes",ROUND(M279-M279/(1+TaxRate),2),ROUND(M279*TaxRate,2))))</f>
        <v>0</v>
      </c>
      <c r="O279" s="29">
        <f>IF(M279="","",IF(PricesIncludeTax="Yes",M279,ROUND(M279+N279,2)))</f>
        <v>0</v>
      </c>
      <c r="P279" s="29">
        <f>IF(A279="","",SUMIFS(Payments!$E$5:$E$304,Payments!$D$5:$D$304,A279,Payments!$M$5:$M$304,"Yes"))</f>
        <v>0</v>
      </c>
      <c r="Q279" s="29">
        <f>IF(A279="","",SUMIFS(Payments!$K$5:$K$304,Payments!$D$5:$D$304,A279))</f>
        <v>0</v>
      </c>
      <c r="R279" s="29">
        <f>IF(A279="","",SUMIFS(Payments!$J$5:$J$304,Payments!$D$5:$D$304,A279))</f>
        <v>0</v>
      </c>
      <c r="S279" s="29">
        <f>IF(D279="","",ROUND(IF(T279="Cancelled",0,O279-Q279),2))</f>
        <v>0</v>
      </c>
      <c r="U279" s="49">
        <f>IF(A279="","",IF(T279="Cancelled","Cancelled",IF(S279&lt;=0.004,"Paid",IF(Q279&gt;0.004,IF(AND(C279&lt;&gt;"",TODAY()&gt;C279),"Overdue - part paid","Partially paid"),IF(AND(C279&lt;&gt;"",TODAY()&gt;C279),"Overdue",IF(T279="Draft","Draft","Unpaid"))))))</f>
        <v>0</v>
      </c>
      <c r="V279" s="31">
        <f>IF(OR(C279="",S279&lt;=0.004),"",MAX(0,TODAY()-C279))</f>
        <v>0</v>
      </c>
      <c r="W279" s="49">
        <f>IF(A279="","",IF(S279&lt;=0.004,"Paid",IF(V279="","Not due",IF(V279=0,"Current",IF(V279&lt;=30,"1-30 days",IF(V279&lt;=60,"31-60 days",IF(V279&lt;=90,"61-90 days","90+ days")))))))</f>
        <v>0</v>
      </c>
      <c r="X279" s="29">
        <f>IF(OR(V279="",V279=0),0,ROUND(S279*LateFeePct,2))</f>
        <v>0</v>
      </c>
      <c r="AA279" s="49">
        <f>IF(A279="","",IF(COUNTIF(Invoices!$A$5:$A$304,A279)&gt;1,"Duplicate number","OK"))</f>
        <v>0</v>
      </c>
      <c r="AC279" s="28">
        <f>IF(B279="","",TEXT(B279,"yyyy-mm"))</f>
        <v>0</v>
      </c>
      <c r="AD279" s="49">
        <f>IF(A279="","",IF(T279="Draft","Action - still a draft",IF(U279="Overdue","Overdue - chase payment",IF(U279="Overdue - part paid","Overdue - chase the balance",IF(AND(S279&gt;0.004,C279&lt;&gt;"",C279-TODAY()&lt;=ReminderLeadDays,C279&gt;=TODAY()),"Due soon - send a reminder","OK")))))</f>
        <v>0</v>
      </c>
    </row>
    <row r="280" spans="1:30">
      <c r="A280" s="46">
        <f>IF(D280="","",InvoicePrefix&amp;TEXT(InvoiceStartNo+ROW()-5,"0000"))</f>
        <v>0</v>
      </c>
      <c r="C280" s="21">
        <f>IF(B280="","",B280+PaymentTermsDays)</f>
        <v>0</v>
      </c>
      <c r="F280" s="29">
        <f>IF(E280="",0,IFERROR(INDEX(Bookings!$AI$5:$AI$404,MATCH(E280,Bookings!$A$5:$A$404,0)),0))</f>
        <v>0</v>
      </c>
      <c r="J280" s="29">
        <f>IF(D280="","",IF(E280&lt;&gt;"",F280,ROUND(IF(H280="",0,H280)*IF(I280="",0,I280),2)))</f>
        <v>0</v>
      </c>
      <c r="M280" s="29">
        <f>IF(D280="","",ROUND(J280+IF(K280="",0,K280)-IF(L280="",0,L280),2))</f>
        <v>0</v>
      </c>
      <c r="N280" s="29">
        <f>IF(M280="","",IF(TaxRegistered&lt;&gt;"Yes",0,IF(PricesIncludeTax="Yes",ROUND(M280-M280/(1+TaxRate),2),ROUND(M280*TaxRate,2))))</f>
        <v>0</v>
      </c>
      <c r="O280" s="29">
        <f>IF(M280="","",IF(PricesIncludeTax="Yes",M280,ROUND(M280+N280,2)))</f>
        <v>0</v>
      </c>
      <c r="P280" s="29">
        <f>IF(A280="","",SUMIFS(Payments!$E$5:$E$304,Payments!$D$5:$D$304,A280,Payments!$M$5:$M$304,"Yes"))</f>
        <v>0</v>
      </c>
      <c r="Q280" s="29">
        <f>IF(A280="","",SUMIFS(Payments!$K$5:$K$304,Payments!$D$5:$D$304,A280))</f>
        <v>0</v>
      </c>
      <c r="R280" s="29">
        <f>IF(A280="","",SUMIFS(Payments!$J$5:$J$304,Payments!$D$5:$D$304,A280))</f>
        <v>0</v>
      </c>
      <c r="S280" s="29">
        <f>IF(D280="","",ROUND(IF(T280="Cancelled",0,O280-Q280),2))</f>
        <v>0</v>
      </c>
      <c r="U280" s="49">
        <f>IF(A280="","",IF(T280="Cancelled","Cancelled",IF(S280&lt;=0.004,"Paid",IF(Q280&gt;0.004,IF(AND(C280&lt;&gt;"",TODAY()&gt;C280),"Overdue - part paid","Partially paid"),IF(AND(C280&lt;&gt;"",TODAY()&gt;C280),"Overdue",IF(T280="Draft","Draft","Unpaid"))))))</f>
        <v>0</v>
      </c>
      <c r="V280" s="31">
        <f>IF(OR(C280="",S280&lt;=0.004),"",MAX(0,TODAY()-C280))</f>
        <v>0</v>
      </c>
      <c r="W280" s="49">
        <f>IF(A280="","",IF(S280&lt;=0.004,"Paid",IF(V280="","Not due",IF(V280=0,"Current",IF(V280&lt;=30,"1-30 days",IF(V280&lt;=60,"31-60 days",IF(V280&lt;=90,"61-90 days","90+ days")))))))</f>
        <v>0</v>
      </c>
      <c r="X280" s="29">
        <f>IF(OR(V280="",V280=0),0,ROUND(S280*LateFeePct,2))</f>
        <v>0</v>
      </c>
      <c r="AA280" s="49">
        <f>IF(A280="","",IF(COUNTIF(Invoices!$A$5:$A$304,A280)&gt;1,"Duplicate number","OK"))</f>
        <v>0</v>
      </c>
      <c r="AC280" s="28">
        <f>IF(B280="","",TEXT(B280,"yyyy-mm"))</f>
        <v>0</v>
      </c>
      <c r="AD280" s="49">
        <f>IF(A280="","",IF(T280="Draft","Action - still a draft",IF(U280="Overdue","Overdue - chase payment",IF(U280="Overdue - part paid","Overdue - chase the balance",IF(AND(S280&gt;0.004,C280&lt;&gt;"",C280-TODAY()&lt;=ReminderLeadDays,C280&gt;=TODAY()),"Due soon - send a reminder","OK")))))</f>
        <v>0</v>
      </c>
    </row>
    <row r="281" spans="1:30">
      <c r="A281" s="46">
        <f>IF(D281="","",InvoicePrefix&amp;TEXT(InvoiceStartNo+ROW()-5,"0000"))</f>
        <v>0</v>
      </c>
      <c r="C281" s="21">
        <f>IF(B281="","",B281+PaymentTermsDays)</f>
        <v>0</v>
      </c>
      <c r="F281" s="29">
        <f>IF(E281="",0,IFERROR(INDEX(Bookings!$AI$5:$AI$404,MATCH(E281,Bookings!$A$5:$A$404,0)),0))</f>
        <v>0</v>
      </c>
      <c r="J281" s="29">
        <f>IF(D281="","",IF(E281&lt;&gt;"",F281,ROUND(IF(H281="",0,H281)*IF(I281="",0,I281),2)))</f>
        <v>0</v>
      </c>
      <c r="M281" s="29">
        <f>IF(D281="","",ROUND(J281+IF(K281="",0,K281)-IF(L281="",0,L281),2))</f>
        <v>0</v>
      </c>
      <c r="N281" s="29">
        <f>IF(M281="","",IF(TaxRegistered&lt;&gt;"Yes",0,IF(PricesIncludeTax="Yes",ROUND(M281-M281/(1+TaxRate),2),ROUND(M281*TaxRate,2))))</f>
        <v>0</v>
      </c>
      <c r="O281" s="29">
        <f>IF(M281="","",IF(PricesIncludeTax="Yes",M281,ROUND(M281+N281,2)))</f>
        <v>0</v>
      </c>
      <c r="P281" s="29">
        <f>IF(A281="","",SUMIFS(Payments!$E$5:$E$304,Payments!$D$5:$D$304,A281,Payments!$M$5:$M$304,"Yes"))</f>
        <v>0</v>
      </c>
      <c r="Q281" s="29">
        <f>IF(A281="","",SUMIFS(Payments!$K$5:$K$304,Payments!$D$5:$D$304,A281))</f>
        <v>0</v>
      </c>
      <c r="R281" s="29">
        <f>IF(A281="","",SUMIFS(Payments!$J$5:$J$304,Payments!$D$5:$D$304,A281))</f>
        <v>0</v>
      </c>
      <c r="S281" s="29">
        <f>IF(D281="","",ROUND(IF(T281="Cancelled",0,O281-Q281),2))</f>
        <v>0</v>
      </c>
      <c r="U281" s="49">
        <f>IF(A281="","",IF(T281="Cancelled","Cancelled",IF(S281&lt;=0.004,"Paid",IF(Q281&gt;0.004,IF(AND(C281&lt;&gt;"",TODAY()&gt;C281),"Overdue - part paid","Partially paid"),IF(AND(C281&lt;&gt;"",TODAY()&gt;C281),"Overdue",IF(T281="Draft","Draft","Unpaid"))))))</f>
        <v>0</v>
      </c>
      <c r="V281" s="31">
        <f>IF(OR(C281="",S281&lt;=0.004),"",MAX(0,TODAY()-C281))</f>
        <v>0</v>
      </c>
      <c r="W281" s="49">
        <f>IF(A281="","",IF(S281&lt;=0.004,"Paid",IF(V281="","Not due",IF(V281=0,"Current",IF(V281&lt;=30,"1-30 days",IF(V281&lt;=60,"31-60 days",IF(V281&lt;=90,"61-90 days","90+ days")))))))</f>
        <v>0</v>
      </c>
      <c r="X281" s="29">
        <f>IF(OR(V281="",V281=0),0,ROUND(S281*LateFeePct,2))</f>
        <v>0</v>
      </c>
      <c r="AA281" s="49">
        <f>IF(A281="","",IF(COUNTIF(Invoices!$A$5:$A$304,A281)&gt;1,"Duplicate number","OK"))</f>
        <v>0</v>
      </c>
      <c r="AC281" s="28">
        <f>IF(B281="","",TEXT(B281,"yyyy-mm"))</f>
        <v>0</v>
      </c>
      <c r="AD281" s="49">
        <f>IF(A281="","",IF(T281="Draft","Action - still a draft",IF(U281="Overdue","Overdue - chase payment",IF(U281="Overdue - part paid","Overdue - chase the balance",IF(AND(S281&gt;0.004,C281&lt;&gt;"",C281-TODAY()&lt;=ReminderLeadDays,C281&gt;=TODAY()),"Due soon - send a reminder","OK")))))</f>
        <v>0</v>
      </c>
    </row>
    <row r="282" spans="1:30">
      <c r="A282" s="46">
        <f>IF(D282="","",InvoicePrefix&amp;TEXT(InvoiceStartNo+ROW()-5,"0000"))</f>
        <v>0</v>
      </c>
      <c r="C282" s="21">
        <f>IF(B282="","",B282+PaymentTermsDays)</f>
        <v>0</v>
      </c>
      <c r="F282" s="29">
        <f>IF(E282="",0,IFERROR(INDEX(Bookings!$AI$5:$AI$404,MATCH(E282,Bookings!$A$5:$A$404,0)),0))</f>
        <v>0</v>
      </c>
      <c r="J282" s="29">
        <f>IF(D282="","",IF(E282&lt;&gt;"",F282,ROUND(IF(H282="",0,H282)*IF(I282="",0,I282),2)))</f>
        <v>0</v>
      </c>
      <c r="M282" s="29">
        <f>IF(D282="","",ROUND(J282+IF(K282="",0,K282)-IF(L282="",0,L282),2))</f>
        <v>0</v>
      </c>
      <c r="N282" s="29">
        <f>IF(M282="","",IF(TaxRegistered&lt;&gt;"Yes",0,IF(PricesIncludeTax="Yes",ROUND(M282-M282/(1+TaxRate),2),ROUND(M282*TaxRate,2))))</f>
        <v>0</v>
      </c>
      <c r="O282" s="29">
        <f>IF(M282="","",IF(PricesIncludeTax="Yes",M282,ROUND(M282+N282,2)))</f>
        <v>0</v>
      </c>
      <c r="P282" s="29">
        <f>IF(A282="","",SUMIFS(Payments!$E$5:$E$304,Payments!$D$5:$D$304,A282,Payments!$M$5:$M$304,"Yes"))</f>
        <v>0</v>
      </c>
      <c r="Q282" s="29">
        <f>IF(A282="","",SUMIFS(Payments!$K$5:$K$304,Payments!$D$5:$D$304,A282))</f>
        <v>0</v>
      </c>
      <c r="R282" s="29">
        <f>IF(A282="","",SUMIFS(Payments!$J$5:$J$304,Payments!$D$5:$D$304,A282))</f>
        <v>0</v>
      </c>
      <c r="S282" s="29">
        <f>IF(D282="","",ROUND(IF(T282="Cancelled",0,O282-Q282),2))</f>
        <v>0</v>
      </c>
      <c r="U282" s="49">
        <f>IF(A282="","",IF(T282="Cancelled","Cancelled",IF(S282&lt;=0.004,"Paid",IF(Q282&gt;0.004,IF(AND(C282&lt;&gt;"",TODAY()&gt;C282),"Overdue - part paid","Partially paid"),IF(AND(C282&lt;&gt;"",TODAY()&gt;C282),"Overdue",IF(T282="Draft","Draft","Unpaid"))))))</f>
        <v>0</v>
      </c>
      <c r="V282" s="31">
        <f>IF(OR(C282="",S282&lt;=0.004),"",MAX(0,TODAY()-C282))</f>
        <v>0</v>
      </c>
      <c r="W282" s="49">
        <f>IF(A282="","",IF(S282&lt;=0.004,"Paid",IF(V282="","Not due",IF(V282=0,"Current",IF(V282&lt;=30,"1-30 days",IF(V282&lt;=60,"31-60 days",IF(V282&lt;=90,"61-90 days","90+ days")))))))</f>
        <v>0</v>
      </c>
      <c r="X282" s="29">
        <f>IF(OR(V282="",V282=0),0,ROUND(S282*LateFeePct,2))</f>
        <v>0</v>
      </c>
      <c r="AA282" s="49">
        <f>IF(A282="","",IF(COUNTIF(Invoices!$A$5:$A$304,A282)&gt;1,"Duplicate number","OK"))</f>
        <v>0</v>
      </c>
      <c r="AC282" s="28">
        <f>IF(B282="","",TEXT(B282,"yyyy-mm"))</f>
        <v>0</v>
      </c>
      <c r="AD282" s="49">
        <f>IF(A282="","",IF(T282="Draft","Action - still a draft",IF(U282="Overdue","Overdue - chase payment",IF(U282="Overdue - part paid","Overdue - chase the balance",IF(AND(S282&gt;0.004,C282&lt;&gt;"",C282-TODAY()&lt;=ReminderLeadDays,C282&gt;=TODAY()),"Due soon - send a reminder","OK")))))</f>
        <v>0</v>
      </c>
    </row>
    <row r="283" spans="1:30">
      <c r="A283" s="46">
        <f>IF(D283="","",InvoicePrefix&amp;TEXT(InvoiceStartNo+ROW()-5,"0000"))</f>
        <v>0</v>
      </c>
      <c r="C283" s="21">
        <f>IF(B283="","",B283+PaymentTermsDays)</f>
        <v>0</v>
      </c>
      <c r="F283" s="29">
        <f>IF(E283="",0,IFERROR(INDEX(Bookings!$AI$5:$AI$404,MATCH(E283,Bookings!$A$5:$A$404,0)),0))</f>
        <v>0</v>
      </c>
      <c r="J283" s="29">
        <f>IF(D283="","",IF(E283&lt;&gt;"",F283,ROUND(IF(H283="",0,H283)*IF(I283="",0,I283),2)))</f>
        <v>0</v>
      </c>
      <c r="M283" s="29">
        <f>IF(D283="","",ROUND(J283+IF(K283="",0,K283)-IF(L283="",0,L283),2))</f>
        <v>0</v>
      </c>
      <c r="N283" s="29">
        <f>IF(M283="","",IF(TaxRegistered&lt;&gt;"Yes",0,IF(PricesIncludeTax="Yes",ROUND(M283-M283/(1+TaxRate),2),ROUND(M283*TaxRate,2))))</f>
        <v>0</v>
      </c>
      <c r="O283" s="29">
        <f>IF(M283="","",IF(PricesIncludeTax="Yes",M283,ROUND(M283+N283,2)))</f>
        <v>0</v>
      </c>
      <c r="P283" s="29">
        <f>IF(A283="","",SUMIFS(Payments!$E$5:$E$304,Payments!$D$5:$D$304,A283,Payments!$M$5:$M$304,"Yes"))</f>
        <v>0</v>
      </c>
      <c r="Q283" s="29">
        <f>IF(A283="","",SUMIFS(Payments!$K$5:$K$304,Payments!$D$5:$D$304,A283))</f>
        <v>0</v>
      </c>
      <c r="R283" s="29">
        <f>IF(A283="","",SUMIFS(Payments!$J$5:$J$304,Payments!$D$5:$D$304,A283))</f>
        <v>0</v>
      </c>
      <c r="S283" s="29">
        <f>IF(D283="","",ROUND(IF(T283="Cancelled",0,O283-Q283),2))</f>
        <v>0</v>
      </c>
      <c r="U283" s="49">
        <f>IF(A283="","",IF(T283="Cancelled","Cancelled",IF(S283&lt;=0.004,"Paid",IF(Q283&gt;0.004,IF(AND(C283&lt;&gt;"",TODAY()&gt;C283),"Overdue - part paid","Partially paid"),IF(AND(C283&lt;&gt;"",TODAY()&gt;C283),"Overdue",IF(T283="Draft","Draft","Unpaid"))))))</f>
        <v>0</v>
      </c>
      <c r="V283" s="31">
        <f>IF(OR(C283="",S283&lt;=0.004),"",MAX(0,TODAY()-C283))</f>
        <v>0</v>
      </c>
      <c r="W283" s="49">
        <f>IF(A283="","",IF(S283&lt;=0.004,"Paid",IF(V283="","Not due",IF(V283=0,"Current",IF(V283&lt;=30,"1-30 days",IF(V283&lt;=60,"31-60 days",IF(V283&lt;=90,"61-90 days","90+ days")))))))</f>
        <v>0</v>
      </c>
      <c r="X283" s="29">
        <f>IF(OR(V283="",V283=0),0,ROUND(S283*LateFeePct,2))</f>
        <v>0</v>
      </c>
      <c r="AA283" s="49">
        <f>IF(A283="","",IF(COUNTIF(Invoices!$A$5:$A$304,A283)&gt;1,"Duplicate number","OK"))</f>
        <v>0</v>
      </c>
      <c r="AC283" s="28">
        <f>IF(B283="","",TEXT(B283,"yyyy-mm"))</f>
        <v>0</v>
      </c>
      <c r="AD283" s="49">
        <f>IF(A283="","",IF(T283="Draft","Action - still a draft",IF(U283="Overdue","Overdue - chase payment",IF(U283="Overdue - part paid","Overdue - chase the balance",IF(AND(S283&gt;0.004,C283&lt;&gt;"",C283-TODAY()&lt;=ReminderLeadDays,C283&gt;=TODAY()),"Due soon - send a reminder","OK")))))</f>
        <v>0</v>
      </c>
    </row>
    <row r="284" spans="1:30">
      <c r="A284" s="46">
        <f>IF(D284="","",InvoicePrefix&amp;TEXT(InvoiceStartNo+ROW()-5,"0000"))</f>
        <v>0</v>
      </c>
      <c r="C284" s="21">
        <f>IF(B284="","",B284+PaymentTermsDays)</f>
        <v>0</v>
      </c>
      <c r="F284" s="29">
        <f>IF(E284="",0,IFERROR(INDEX(Bookings!$AI$5:$AI$404,MATCH(E284,Bookings!$A$5:$A$404,0)),0))</f>
        <v>0</v>
      </c>
      <c r="J284" s="29">
        <f>IF(D284="","",IF(E284&lt;&gt;"",F284,ROUND(IF(H284="",0,H284)*IF(I284="",0,I284),2)))</f>
        <v>0</v>
      </c>
      <c r="M284" s="29">
        <f>IF(D284="","",ROUND(J284+IF(K284="",0,K284)-IF(L284="",0,L284),2))</f>
        <v>0</v>
      </c>
      <c r="N284" s="29">
        <f>IF(M284="","",IF(TaxRegistered&lt;&gt;"Yes",0,IF(PricesIncludeTax="Yes",ROUND(M284-M284/(1+TaxRate),2),ROUND(M284*TaxRate,2))))</f>
        <v>0</v>
      </c>
      <c r="O284" s="29">
        <f>IF(M284="","",IF(PricesIncludeTax="Yes",M284,ROUND(M284+N284,2)))</f>
        <v>0</v>
      </c>
      <c r="P284" s="29">
        <f>IF(A284="","",SUMIFS(Payments!$E$5:$E$304,Payments!$D$5:$D$304,A284,Payments!$M$5:$M$304,"Yes"))</f>
        <v>0</v>
      </c>
      <c r="Q284" s="29">
        <f>IF(A284="","",SUMIFS(Payments!$K$5:$K$304,Payments!$D$5:$D$304,A284))</f>
        <v>0</v>
      </c>
      <c r="R284" s="29">
        <f>IF(A284="","",SUMIFS(Payments!$J$5:$J$304,Payments!$D$5:$D$304,A284))</f>
        <v>0</v>
      </c>
      <c r="S284" s="29">
        <f>IF(D284="","",ROUND(IF(T284="Cancelled",0,O284-Q284),2))</f>
        <v>0</v>
      </c>
      <c r="U284" s="49">
        <f>IF(A284="","",IF(T284="Cancelled","Cancelled",IF(S284&lt;=0.004,"Paid",IF(Q284&gt;0.004,IF(AND(C284&lt;&gt;"",TODAY()&gt;C284),"Overdue - part paid","Partially paid"),IF(AND(C284&lt;&gt;"",TODAY()&gt;C284),"Overdue",IF(T284="Draft","Draft","Unpaid"))))))</f>
        <v>0</v>
      </c>
      <c r="V284" s="31">
        <f>IF(OR(C284="",S284&lt;=0.004),"",MAX(0,TODAY()-C284))</f>
        <v>0</v>
      </c>
      <c r="W284" s="49">
        <f>IF(A284="","",IF(S284&lt;=0.004,"Paid",IF(V284="","Not due",IF(V284=0,"Current",IF(V284&lt;=30,"1-30 days",IF(V284&lt;=60,"31-60 days",IF(V284&lt;=90,"61-90 days","90+ days")))))))</f>
        <v>0</v>
      </c>
      <c r="X284" s="29">
        <f>IF(OR(V284="",V284=0),0,ROUND(S284*LateFeePct,2))</f>
        <v>0</v>
      </c>
      <c r="AA284" s="49">
        <f>IF(A284="","",IF(COUNTIF(Invoices!$A$5:$A$304,A284)&gt;1,"Duplicate number","OK"))</f>
        <v>0</v>
      </c>
      <c r="AC284" s="28">
        <f>IF(B284="","",TEXT(B284,"yyyy-mm"))</f>
        <v>0</v>
      </c>
      <c r="AD284" s="49">
        <f>IF(A284="","",IF(T284="Draft","Action - still a draft",IF(U284="Overdue","Overdue - chase payment",IF(U284="Overdue - part paid","Overdue - chase the balance",IF(AND(S284&gt;0.004,C284&lt;&gt;"",C284-TODAY()&lt;=ReminderLeadDays,C284&gt;=TODAY()),"Due soon - send a reminder","OK")))))</f>
        <v>0</v>
      </c>
    </row>
    <row r="285" spans="1:30">
      <c r="A285" s="46">
        <f>IF(D285="","",InvoicePrefix&amp;TEXT(InvoiceStartNo+ROW()-5,"0000"))</f>
        <v>0</v>
      </c>
      <c r="C285" s="21">
        <f>IF(B285="","",B285+PaymentTermsDays)</f>
        <v>0</v>
      </c>
      <c r="F285" s="29">
        <f>IF(E285="",0,IFERROR(INDEX(Bookings!$AI$5:$AI$404,MATCH(E285,Bookings!$A$5:$A$404,0)),0))</f>
        <v>0</v>
      </c>
      <c r="J285" s="29">
        <f>IF(D285="","",IF(E285&lt;&gt;"",F285,ROUND(IF(H285="",0,H285)*IF(I285="",0,I285),2)))</f>
        <v>0</v>
      </c>
      <c r="M285" s="29">
        <f>IF(D285="","",ROUND(J285+IF(K285="",0,K285)-IF(L285="",0,L285),2))</f>
        <v>0</v>
      </c>
      <c r="N285" s="29">
        <f>IF(M285="","",IF(TaxRegistered&lt;&gt;"Yes",0,IF(PricesIncludeTax="Yes",ROUND(M285-M285/(1+TaxRate),2),ROUND(M285*TaxRate,2))))</f>
        <v>0</v>
      </c>
      <c r="O285" s="29">
        <f>IF(M285="","",IF(PricesIncludeTax="Yes",M285,ROUND(M285+N285,2)))</f>
        <v>0</v>
      </c>
      <c r="P285" s="29">
        <f>IF(A285="","",SUMIFS(Payments!$E$5:$E$304,Payments!$D$5:$D$304,A285,Payments!$M$5:$M$304,"Yes"))</f>
        <v>0</v>
      </c>
      <c r="Q285" s="29">
        <f>IF(A285="","",SUMIFS(Payments!$K$5:$K$304,Payments!$D$5:$D$304,A285))</f>
        <v>0</v>
      </c>
      <c r="R285" s="29">
        <f>IF(A285="","",SUMIFS(Payments!$J$5:$J$304,Payments!$D$5:$D$304,A285))</f>
        <v>0</v>
      </c>
      <c r="S285" s="29">
        <f>IF(D285="","",ROUND(IF(T285="Cancelled",0,O285-Q285),2))</f>
        <v>0</v>
      </c>
      <c r="U285" s="49">
        <f>IF(A285="","",IF(T285="Cancelled","Cancelled",IF(S285&lt;=0.004,"Paid",IF(Q285&gt;0.004,IF(AND(C285&lt;&gt;"",TODAY()&gt;C285),"Overdue - part paid","Partially paid"),IF(AND(C285&lt;&gt;"",TODAY()&gt;C285),"Overdue",IF(T285="Draft","Draft","Unpaid"))))))</f>
        <v>0</v>
      </c>
      <c r="V285" s="31">
        <f>IF(OR(C285="",S285&lt;=0.004),"",MAX(0,TODAY()-C285))</f>
        <v>0</v>
      </c>
      <c r="W285" s="49">
        <f>IF(A285="","",IF(S285&lt;=0.004,"Paid",IF(V285="","Not due",IF(V285=0,"Current",IF(V285&lt;=30,"1-30 days",IF(V285&lt;=60,"31-60 days",IF(V285&lt;=90,"61-90 days","90+ days")))))))</f>
        <v>0</v>
      </c>
      <c r="X285" s="29">
        <f>IF(OR(V285="",V285=0),0,ROUND(S285*LateFeePct,2))</f>
        <v>0</v>
      </c>
      <c r="AA285" s="49">
        <f>IF(A285="","",IF(COUNTIF(Invoices!$A$5:$A$304,A285)&gt;1,"Duplicate number","OK"))</f>
        <v>0</v>
      </c>
      <c r="AC285" s="28">
        <f>IF(B285="","",TEXT(B285,"yyyy-mm"))</f>
        <v>0</v>
      </c>
      <c r="AD285" s="49">
        <f>IF(A285="","",IF(T285="Draft","Action - still a draft",IF(U285="Overdue","Overdue - chase payment",IF(U285="Overdue - part paid","Overdue - chase the balance",IF(AND(S285&gt;0.004,C285&lt;&gt;"",C285-TODAY()&lt;=ReminderLeadDays,C285&gt;=TODAY()),"Due soon - send a reminder","OK")))))</f>
        <v>0</v>
      </c>
    </row>
    <row r="286" spans="1:30">
      <c r="A286" s="46">
        <f>IF(D286="","",InvoicePrefix&amp;TEXT(InvoiceStartNo+ROW()-5,"0000"))</f>
        <v>0</v>
      </c>
      <c r="C286" s="21">
        <f>IF(B286="","",B286+PaymentTermsDays)</f>
        <v>0</v>
      </c>
      <c r="F286" s="29">
        <f>IF(E286="",0,IFERROR(INDEX(Bookings!$AI$5:$AI$404,MATCH(E286,Bookings!$A$5:$A$404,0)),0))</f>
        <v>0</v>
      </c>
      <c r="J286" s="29">
        <f>IF(D286="","",IF(E286&lt;&gt;"",F286,ROUND(IF(H286="",0,H286)*IF(I286="",0,I286),2)))</f>
        <v>0</v>
      </c>
      <c r="M286" s="29">
        <f>IF(D286="","",ROUND(J286+IF(K286="",0,K286)-IF(L286="",0,L286),2))</f>
        <v>0</v>
      </c>
      <c r="N286" s="29">
        <f>IF(M286="","",IF(TaxRegistered&lt;&gt;"Yes",0,IF(PricesIncludeTax="Yes",ROUND(M286-M286/(1+TaxRate),2),ROUND(M286*TaxRate,2))))</f>
        <v>0</v>
      </c>
      <c r="O286" s="29">
        <f>IF(M286="","",IF(PricesIncludeTax="Yes",M286,ROUND(M286+N286,2)))</f>
        <v>0</v>
      </c>
      <c r="P286" s="29">
        <f>IF(A286="","",SUMIFS(Payments!$E$5:$E$304,Payments!$D$5:$D$304,A286,Payments!$M$5:$M$304,"Yes"))</f>
        <v>0</v>
      </c>
      <c r="Q286" s="29">
        <f>IF(A286="","",SUMIFS(Payments!$K$5:$K$304,Payments!$D$5:$D$304,A286))</f>
        <v>0</v>
      </c>
      <c r="R286" s="29">
        <f>IF(A286="","",SUMIFS(Payments!$J$5:$J$304,Payments!$D$5:$D$304,A286))</f>
        <v>0</v>
      </c>
      <c r="S286" s="29">
        <f>IF(D286="","",ROUND(IF(T286="Cancelled",0,O286-Q286),2))</f>
        <v>0</v>
      </c>
      <c r="U286" s="49">
        <f>IF(A286="","",IF(T286="Cancelled","Cancelled",IF(S286&lt;=0.004,"Paid",IF(Q286&gt;0.004,IF(AND(C286&lt;&gt;"",TODAY()&gt;C286),"Overdue - part paid","Partially paid"),IF(AND(C286&lt;&gt;"",TODAY()&gt;C286),"Overdue",IF(T286="Draft","Draft","Unpaid"))))))</f>
        <v>0</v>
      </c>
      <c r="V286" s="31">
        <f>IF(OR(C286="",S286&lt;=0.004),"",MAX(0,TODAY()-C286))</f>
        <v>0</v>
      </c>
      <c r="W286" s="49">
        <f>IF(A286="","",IF(S286&lt;=0.004,"Paid",IF(V286="","Not due",IF(V286=0,"Current",IF(V286&lt;=30,"1-30 days",IF(V286&lt;=60,"31-60 days",IF(V286&lt;=90,"61-90 days","90+ days")))))))</f>
        <v>0</v>
      </c>
      <c r="X286" s="29">
        <f>IF(OR(V286="",V286=0),0,ROUND(S286*LateFeePct,2))</f>
        <v>0</v>
      </c>
      <c r="AA286" s="49">
        <f>IF(A286="","",IF(COUNTIF(Invoices!$A$5:$A$304,A286)&gt;1,"Duplicate number","OK"))</f>
        <v>0</v>
      </c>
      <c r="AC286" s="28">
        <f>IF(B286="","",TEXT(B286,"yyyy-mm"))</f>
        <v>0</v>
      </c>
      <c r="AD286" s="49">
        <f>IF(A286="","",IF(T286="Draft","Action - still a draft",IF(U286="Overdue","Overdue - chase payment",IF(U286="Overdue - part paid","Overdue - chase the balance",IF(AND(S286&gt;0.004,C286&lt;&gt;"",C286-TODAY()&lt;=ReminderLeadDays,C286&gt;=TODAY()),"Due soon - send a reminder","OK")))))</f>
        <v>0</v>
      </c>
    </row>
    <row r="287" spans="1:30">
      <c r="A287" s="46">
        <f>IF(D287="","",InvoicePrefix&amp;TEXT(InvoiceStartNo+ROW()-5,"0000"))</f>
        <v>0</v>
      </c>
      <c r="C287" s="21">
        <f>IF(B287="","",B287+PaymentTermsDays)</f>
        <v>0</v>
      </c>
      <c r="F287" s="29">
        <f>IF(E287="",0,IFERROR(INDEX(Bookings!$AI$5:$AI$404,MATCH(E287,Bookings!$A$5:$A$404,0)),0))</f>
        <v>0</v>
      </c>
      <c r="J287" s="29">
        <f>IF(D287="","",IF(E287&lt;&gt;"",F287,ROUND(IF(H287="",0,H287)*IF(I287="",0,I287),2)))</f>
        <v>0</v>
      </c>
      <c r="M287" s="29">
        <f>IF(D287="","",ROUND(J287+IF(K287="",0,K287)-IF(L287="",0,L287),2))</f>
        <v>0</v>
      </c>
      <c r="N287" s="29">
        <f>IF(M287="","",IF(TaxRegistered&lt;&gt;"Yes",0,IF(PricesIncludeTax="Yes",ROUND(M287-M287/(1+TaxRate),2),ROUND(M287*TaxRate,2))))</f>
        <v>0</v>
      </c>
      <c r="O287" s="29">
        <f>IF(M287="","",IF(PricesIncludeTax="Yes",M287,ROUND(M287+N287,2)))</f>
        <v>0</v>
      </c>
      <c r="P287" s="29">
        <f>IF(A287="","",SUMIFS(Payments!$E$5:$E$304,Payments!$D$5:$D$304,A287,Payments!$M$5:$M$304,"Yes"))</f>
        <v>0</v>
      </c>
      <c r="Q287" s="29">
        <f>IF(A287="","",SUMIFS(Payments!$K$5:$K$304,Payments!$D$5:$D$304,A287))</f>
        <v>0</v>
      </c>
      <c r="R287" s="29">
        <f>IF(A287="","",SUMIFS(Payments!$J$5:$J$304,Payments!$D$5:$D$304,A287))</f>
        <v>0</v>
      </c>
      <c r="S287" s="29">
        <f>IF(D287="","",ROUND(IF(T287="Cancelled",0,O287-Q287),2))</f>
        <v>0</v>
      </c>
      <c r="U287" s="49">
        <f>IF(A287="","",IF(T287="Cancelled","Cancelled",IF(S287&lt;=0.004,"Paid",IF(Q287&gt;0.004,IF(AND(C287&lt;&gt;"",TODAY()&gt;C287),"Overdue - part paid","Partially paid"),IF(AND(C287&lt;&gt;"",TODAY()&gt;C287),"Overdue",IF(T287="Draft","Draft","Unpaid"))))))</f>
        <v>0</v>
      </c>
      <c r="V287" s="31">
        <f>IF(OR(C287="",S287&lt;=0.004),"",MAX(0,TODAY()-C287))</f>
        <v>0</v>
      </c>
      <c r="W287" s="49">
        <f>IF(A287="","",IF(S287&lt;=0.004,"Paid",IF(V287="","Not due",IF(V287=0,"Current",IF(V287&lt;=30,"1-30 days",IF(V287&lt;=60,"31-60 days",IF(V287&lt;=90,"61-90 days","90+ days")))))))</f>
        <v>0</v>
      </c>
      <c r="X287" s="29">
        <f>IF(OR(V287="",V287=0),0,ROUND(S287*LateFeePct,2))</f>
        <v>0</v>
      </c>
      <c r="AA287" s="49">
        <f>IF(A287="","",IF(COUNTIF(Invoices!$A$5:$A$304,A287)&gt;1,"Duplicate number","OK"))</f>
        <v>0</v>
      </c>
      <c r="AC287" s="28">
        <f>IF(B287="","",TEXT(B287,"yyyy-mm"))</f>
        <v>0</v>
      </c>
      <c r="AD287" s="49">
        <f>IF(A287="","",IF(T287="Draft","Action - still a draft",IF(U287="Overdue","Overdue - chase payment",IF(U287="Overdue - part paid","Overdue - chase the balance",IF(AND(S287&gt;0.004,C287&lt;&gt;"",C287-TODAY()&lt;=ReminderLeadDays,C287&gt;=TODAY()),"Due soon - send a reminder","OK")))))</f>
        <v>0</v>
      </c>
    </row>
    <row r="288" spans="1:30">
      <c r="A288" s="46">
        <f>IF(D288="","",InvoicePrefix&amp;TEXT(InvoiceStartNo+ROW()-5,"0000"))</f>
        <v>0</v>
      </c>
      <c r="C288" s="21">
        <f>IF(B288="","",B288+PaymentTermsDays)</f>
        <v>0</v>
      </c>
      <c r="F288" s="29">
        <f>IF(E288="",0,IFERROR(INDEX(Bookings!$AI$5:$AI$404,MATCH(E288,Bookings!$A$5:$A$404,0)),0))</f>
        <v>0</v>
      </c>
      <c r="J288" s="29">
        <f>IF(D288="","",IF(E288&lt;&gt;"",F288,ROUND(IF(H288="",0,H288)*IF(I288="",0,I288),2)))</f>
        <v>0</v>
      </c>
      <c r="M288" s="29">
        <f>IF(D288="","",ROUND(J288+IF(K288="",0,K288)-IF(L288="",0,L288),2))</f>
        <v>0</v>
      </c>
      <c r="N288" s="29">
        <f>IF(M288="","",IF(TaxRegistered&lt;&gt;"Yes",0,IF(PricesIncludeTax="Yes",ROUND(M288-M288/(1+TaxRate),2),ROUND(M288*TaxRate,2))))</f>
        <v>0</v>
      </c>
      <c r="O288" s="29">
        <f>IF(M288="","",IF(PricesIncludeTax="Yes",M288,ROUND(M288+N288,2)))</f>
        <v>0</v>
      </c>
      <c r="P288" s="29">
        <f>IF(A288="","",SUMIFS(Payments!$E$5:$E$304,Payments!$D$5:$D$304,A288,Payments!$M$5:$M$304,"Yes"))</f>
        <v>0</v>
      </c>
      <c r="Q288" s="29">
        <f>IF(A288="","",SUMIFS(Payments!$K$5:$K$304,Payments!$D$5:$D$304,A288))</f>
        <v>0</v>
      </c>
      <c r="R288" s="29">
        <f>IF(A288="","",SUMIFS(Payments!$J$5:$J$304,Payments!$D$5:$D$304,A288))</f>
        <v>0</v>
      </c>
      <c r="S288" s="29">
        <f>IF(D288="","",ROUND(IF(T288="Cancelled",0,O288-Q288),2))</f>
        <v>0</v>
      </c>
      <c r="U288" s="49">
        <f>IF(A288="","",IF(T288="Cancelled","Cancelled",IF(S288&lt;=0.004,"Paid",IF(Q288&gt;0.004,IF(AND(C288&lt;&gt;"",TODAY()&gt;C288),"Overdue - part paid","Partially paid"),IF(AND(C288&lt;&gt;"",TODAY()&gt;C288),"Overdue",IF(T288="Draft","Draft","Unpaid"))))))</f>
        <v>0</v>
      </c>
      <c r="V288" s="31">
        <f>IF(OR(C288="",S288&lt;=0.004),"",MAX(0,TODAY()-C288))</f>
        <v>0</v>
      </c>
      <c r="W288" s="49">
        <f>IF(A288="","",IF(S288&lt;=0.004,"Paid",IF(V288="","Not due",IF(V288=0,"Current",IF(V288&lt;=30,"1-30 days",IF(V288&lt;=60,"31-60 days",IF(V288&lt;=90,"61-90 days","90+ days")))))))</f>
        <v>0</v>
      </c>
      <c r="X288" s="29">
        <f>IF(OR(V288="",V288=0),0,ROUND(S288*LateFeePct,2))</f>
        <v>0</v>
      </c>
      <c r="AA288" s="49">
        <f>IF(A288="","",IF(COUNTIF(Invoices!$A$5:$A$304,A288)&gt;1,"Duplicate number","OK"))</f>
        <v>0</v>
      </c>
      <c r="AC288" s="28">
        <f>IF(B288="","",TEXT(B288,"yyyy-mm"))</f>
        <v>0</v>
      </c>
      <c r="AD288" s="49">
        <f>IF(A288="","",IF(T288="Draft","Action - still a draft",IF(U288="Overdue","Overdue - chase payment",IF(U288="Overdue - part paid","Overdue - chase the balance",IF(AND(S288&gt;0.004,C288&lt;&gt;"",C288-TODAY()&lt;=ReminderLeadDays,C288&gt;=TODAY()),"Due soon - send a reminder","OK")))))</f>
        <v>0</v>
      </c>
    </row>
    <row r="289" spans="1:30">
      <c r="A289" s="46">
        <f>IF(D289="","",InvoicePrefix&amp;TEXT(InvoiceStartNo+ROW()-5,"0000"))</f>
        <v>0</v>
      </c>
      <c r="C289" s="21">
        <f>IF(B289="","",B289+PaymentTermsDays)</f>
        <v>0</v>
      </c>
      <c r="F289" s="29">
        <f>IF(E289="",0,IFERROR(INDEX(Bookings!$AI$5:$AI$404,MATCH(E289,Bookings!$A$5:$A$404,0)),0))</f>
        <v>0</v>
      </c>
      <c r="J289" s="29">
        <f>IF(D289="","",IF(E289&lt;&gt;"",F289,ROUND(IF(H289="",0,H289)*IF(I289="",0,I289),2)))</f>
        <v>0</v>
      </c>
      <c r="M289" s="29">
        <f>IF(D289="","",ROUND(J289+IF(K289="",0,K289)-IF(L289="",0,L289),2))</f>
        <v>0</v>
      </c>
      <c r="N289" s="29">
        <f>IF(M289="","",IF(TaxRegistered&lt;&gt;"Yes",0,IF(PricesIncludeTax="Yes",ROUND(M289-M289/(1+TaxRate),2),ROUND(M289*TaxRate,2))))</f>
        <v>0</v>
      </c>
      <c r="O289" s="29">
        <f>IF(M289="","",IF(PricesIncludeTax="Yes",M289,ROUND(M289+N289,2)))</f>
        <v>0</v>
      </c>
      <c r="P289" s="29">
        <f>IF(A289="","",SUMIFS(Payments!$E$5:$E$304,Payments!$D$5:$D$304,A289,Payments!$M$5:$M$304,"Yes"))</f>
        <v>0</v>
      </c>
      <c r="Q289" s="29">
        <f>IF(A289="","",SUMIFS(Payments!$K$5:$K$304,Payments!$D$5:$D$304,A289))</f>
        <v>0</v>
      </c>
      <c r="R289" s="29">
        <f>IF(A289="","",SUMIFS(Payments!$J$5:$J$304,Payments!$D$5:$D$304,A289))</f>
        <v>0</v>
      </c>
      <c r="S289" s="29">
        <f>IF(D289="","",ROUND(IF(T289="Cancelled",0,O289-Q289),2))</f>
        <v>0</v>
      </c>
      <c r="U289" s="49">
        <f>IF(A289="","",IF(T289="Cancelled","Cancelled",IF(S289&lt;=0.004,"Paid",IF(Q289&gt;0.004,IF(AND(C289&lt;&gt;"",TODAY()&gt;C289),"Overdue - part paid","Partially paid"),IF(AND(C289&lt;&gt;"",TODAY()&gt;C289),"Overdue",IF(T289="Draft","Draft","Unpaid"))))))</f>
        <v>0</v>
      </c>
      <c r="V289" s="31">
        <f>IF(OR(C289="",S289&lt;=0.004),"",MAX(0,TODAY()-C289))</f>
        <v>0</v>
      </c>
      <c r="W289" s="49">
        <f>IF(A289="","",IF(S289&lt;=0.004,"Paid",IF(V289="","Not due",IF(V289=0,"Current",IF(V289&lt;=30,"1-30 days",IF(V289&lt;=60,"31-60 days",IF(V289&lt;=90,"61-90 days","90+ days")))))))</f>
        <v>0</v>
      </c>
      <c r="X289" s="29">
        <f>IF(OR(V289="",V289=0),0,ROUND(S289*LateFeePct,2))</f>
        <v>0</v>
      </c>
      <c r="AA289" s="49">
        <f>IF(A289="","",IF(COUNTIF(Invoices!$A$5:$A$304,A289)&gt;1,"Duplicate number","OK"))</f>
        <v>0</v>
      </c>
      <c r="AC289" s="28">
        <f>IF(B289="","",TEXT(B289,"yyyy-mm"))</f>
        <v>0</v>
      </c>
      <c r="AD289" s="49">
        <f>IF(A289="","",IF(T289="Draft","Action - still a draft",IF(U289="Overdue","Overdue - chase payment",IF(U289="Overdue - part paid","Overdue - chase the balance",IF(AND(S289&gt;0.004,C289&lt;&gt;"",C289-TODAY()&lt;=ReminderLeadDays,C289&gt;=TODAY()),"Due soon - send a reminder","OK")))))</f>
        <v>0</v>
      </c>
    </row>
    <row r="290" spans="1:30">
      <c r="A290" s="46">
        <f>IF(D290="","",InvoicePrefix&amp;TEXT(InvoiceStartNo+ROW()-5,"0000"))</f>
        <v>0</v>
      </c>
      <c r="C290" s="21">
        <f>IF(B290="","",B290+PaymentTermsDays)</f>
        <v>0</v>
      </c>
      <c r="F290" s="29">
        <f>IF(E290="",0,IFERROR(INDEX(Bookings!$AI$5:$AI$404,MATCH(E290,Bookings!$A$5:$A$404,0)),0))</f>
        <v>0</v>
      </c>
      <c r="J290" s="29">
        <f>IF(D290="","",IF(E290&lt;&gt;"",F290,ROUND(IF(H290="",0,H290)*IF(I290="",0,I290),2)))</f>
        <v>0</v>
      </c>
      <c r="M290" s="29">
        <f>IF(D290="","",ROUND(J290+IF(K290="",0,K290)-IF(L290="",0,L290),2))</f>
        <v>0</v>
      </c>
      <c r="N290" s="29">
        <f>IF(M290="","",IF(TaxRegistered&lt;&gt;"Yes",0,IF(PricesIncludeTax="Yes",ROUND(M290-M290/(1+TaxRate),2),ROUND(M290*TaxRate,2))))</f>
        <v>0</v>
      </c>
      <c r="O290" s="29">
        <f>IF(M290="","",IF(PricesIncludeTax="Yes",M290,ROUND(M290+N290,2)))</f>
        <v>0</v>
      </c>
      <c r="P290" s="29">
        <f>IF(A290="","",SUMIFS(Payments!$E$5:$E$304,Payments!$D$5:$D$304,A290,Payments!$M$5:$M$304,"Yes"))</f>
        <v>0</v>
      </c>
      <c r="Q290" s="29">
        <f>IF(A290="","",SUMIFS(Payments!$K$5:$K$304,Payments!$D$5:$D$304,A290))</f>
        <v>0</v>
      </c>
      <c r="R290" s="29">
        <f>IF(A290="","",SUMIFS(Payments!$J$5:$J$304,Payments!$D$5:$D$304,A290))</f>
        <v>0</v>
      </c>
      <c r="S290" s="29">
        <f>IF(D290="","",ROUND(IF(T290="Cancelled",0,O290-Q290),2))</f>
        <v>0</v>
      </c>
      <c r="U290" s="49">
        <f>IF(A290="","",IF(T290="Cancelled","Cancelled",IF(S290&lt;=0.004,"Paid",IF(Q290&gt;0.004,IF(AND(C290&lt;&gt;"",TODAY()&gt;C290),"Overdue - part paid","Partially paid"),IF(AND(C290&lt;&gt;"",TODAY()&gt;C290),"Overdue",IF(T290="Draft","Draft","Unpaid"))))))</f>
        <v>0</v>
      </c>
      <c r="V290" s="31">
        <f>IF(OR(C290="",S290&lt;=0.004),"",MAX(0,TODAY()-C290))</f>
        <v>0</v>
      </c>
      <c r="W290" s="49">
        <f>IF(A290="","",IF(S290&lt;=0.004,"Paid",IF(V290="","Not due",IF(V290=0,"Current",IF(V290&lt;=30,"1-30 days",IF(V290&lt;=60,"31-60 days",IF(V290&lt;=90,"61-90 days","90+ days")))))))</f>
        <v>0</v>
      </c>
      <c r="X290" s="29">
        <f>IF(OR(V290="",V290=0),0,ROUND(S290*LateFeePct,2))</f>
        <v>0</v>
      </c>
      <c r="AA290" s="49">
        <f>IF(A290="","",IF(COUNTIF(Invoices!$A$5:$A$304,A290)&gt;1,"Duplicate number","OK"))</f>
        <v>0</v>
      </c>
      <c r="AC290" s="28">
        <f>IF(B290="","",TEXT(B290,"yyyy-mm"))</f>
        <v>0</v>
      </c>
      <c r="AD290" s="49">
        <f>IF(A290="","",IF(T290="Draft","Action - still a draft",IF(U290="Overdue","Overdue - chase payment",IF(U290="Overdue - part paid","Overdue - chase the balance",IF(AND(S290&gt;0.004,C290&lt;&gt;"",C290-TODAY()&lt;=ReminderLeadDays,C290&gt;=TODAY()),"Due soon - send a reminder","OK")))))</f>
        <v>0</v>
      </c>
    </row>
    <row r="291" spans="1:30">
      <c r="A291" s="46">
        <f>IF(D291="","",InvoicePrefix&amp;TEXT(InvoiceStartNo+ROW()-5,"0000"))</f>
        <v>0</v>
      </c>
      <c r="C291" s="21">
        <f>IF(B291="","",B291+PaymentTermsDays)</f>
        <v>0</v>
      </c>
      <c r="F291" s="29">
        <f>IF(E291="",0,IFERROR(INDEX(Bookings!$AI$5:$AI$404,MATCH(E291,Bookings!$A$5:$A$404,0)),0))</f>
        <v>0</v>
      </c>
      <c r="J291" s="29">
        <f>IF(D291="","",IF(E291&lt;&gt;"",F291,ROUND(IF(H291="",0,H291)*IF(I291="",0,I291),2)))</f>
        <v>0</v>
      </c>
      <c r="M291" s="29">
        <f>IF(D291="","",ROUND(J291+IF(K291="",0,K291)-IF(L291="",0,L291),2))</f>
        <v>0</v>
      </c>
      <c r="N291" s="29">
        <f>IF(M291="","",IF(TaxRegistered&lt;&gt;"Yes",0,IF(PricesIncludeTax="Yes",ROUND(M291-M291/(1+TaxRate),2),ROUND(M291*TaxRate,2))))</f>
        <v>0</v>
      </c>
      <c r="O291" s="29">
        <f>IF(M291="","",IF(PricesIncludeTax="Yes",M291,ROUND(M291+N291,2)))</f>
        <v>0</v>
      </c>
      <c r="P291" s="29">
        <f>IF(A291="","",SUMIFS(Payments!$E$5:$E$304,Payments!$D$5:$D$304,A291,Payments!$M$5:$M$304,"Yes"))</f>
        <v>0</v>
      </c>
      <c r="Q291" s="29">
        <f>IF(A291="","",SUMIFS(Payments!$K$5:$K$304,Payments!$D$5:$D$304,A291))</f>
        <v>0</v>
      </c>
      <c r="R291" s="29">
        <f>IF(A291="","",SUMIFS(Payments!$J$5:$J$304,Payments!$D$5:$D$304,A291))</f>
        <v>0</v>
      </c>
      <c r="S291" s="29">
        <f>IF(D291="","",ROUND(IF(T291="Cancelled",0,O291-Q291),2))</f>
        <v>0</v>
      </c>
      <c r="U291" s="49">
        <f>IF(A291="","",IF(T291="Cancelled","Cancelled",IF(S291&lt;=0.004,"Paid",IF(Q291&gt;0.004,IF(AND(C291&lt;&gt;"",TODAY()&gt;C291),"Overdue - part paid","Partially paid"),IF(AND(C291&lt;&gt;"",TODAY()&gt;C291),"Overdue",IF(T291="Draft","Draft","Unpaid"))))))</f>
        <v>0</v>
      </c>
      <c r="V291" s="31">
        <f>IF(OR(C291="",S291&lt;=0.004),"",MAX(0,TODAY()-C291))</f>
        <v>0</v>
      </c>
      <c r="W291" s="49">
        <f>IF(A291="","",IF(S291&lt;=0.004,"Paid",IF(V291="","Not due",IF(V291=0,"Current",IF(V291&lt;=30,"1-30 days",IF(V291&lt;=60,"31-60 days",IF(V291&lt;=90,"61-90 days","90+ days")))))))</f>
        <v>0</v>
      </c>
      <c r="X291" s="29">
        <f>IF(OR(V291="",V291=0),0,ROUND(S291*LateFeePct,2))</f>
        <v>0</v>
      </c>
      <c r="AA291" s="49">
        <f>IF(A291="","",IF(COUNTIF(Invoices!$A$5:$A$304,A291)&gt;1,"Duplicate number","OK"))</f>
        <v>0</v>
      </c>
      <c r="AC291" s="28">
        <f>IF(B291="","",TEXT(B291,"yyyy-mm"))</f>
        <v>0</v>
      </c>
      <c r="AD291" s="49">
        <f>IF(A291="","",IF(T291="Draft","Action - still a draft",IF(U291="Overdue","Overdue - chase payment",IF(U291="Overdue - part paid","Overdue - chase the balance",IF(AND(S291&gt;0.004,C291&lt;&gt;"",C291-TODAY()&lt;=ReminderLeadDays,C291&gt;=TODAY()),"Due soon - send a reminder","OK")))))</f>
        <v>0</v>
      </c>
    </row>
    <row r="292" spans="1:30">
      <c r="A292" s="46">
        <f>IF(D292="","",InvoicePrefix&amp;TEXT(InvoiceStartNo+ROW()-5,"0000"))</f>
        <v>0</v>
      </c>
      <c r="C292" s="21">
        <f>IF(B292="","",B292+PaymentTermsDays)</f>
        <v>0</v>
      </c>
      <c r="F292" s="29">
        <f>IF(E292="",0,IFERROR(INDEX(Bookings!$AI$5:$AI$404,MATCH(E292,Bookings!$A$5:$A$404,0)),0))</f>
        <v>0</v>
      </c>
      <c r="J292" s="29">
        <f>IF(D292="","",IF(E292&lt;&gt;"",F292,ROUND(IF(H292="",0,H292)*IF(I292="",0,I292),2)))</f>
        <v>0</v>
      </c>
      <c r="M292" s="29">
        <f>IF(D292="","",ROUND(J292+IF(K292="",0,K292)-IF(L292="",0,L292),2))</f>
        <v>0</v>
      </c>
      <c r="N292" s="29">
        <f>IF(M292="","",IF(TaxRegistered&lt;&gt;"Yes",0,IF(PricesIncludeTax="Yes",ROUND(M292-M292/(1+TaxRate),2),ROUND(M292*TaxRate,2))))</f>
        <v>0</v>
      </c>
      <c r="O292" s="29">
        <f>IF(M292="","",IF(PricesIncludeTax="Yes",M292,ROUND(M292+N292,2)))</f>
        <v>0</v>
      </c>
      <c r="P292" s="29">
        <f>IF(A292="","",SUMIFS(Payments!$E$5:$E$304,Payments!$D$5:$D$304,A292,Payments!$M$5:$M$304,"Yes"))</f>
        <v>0</v>
      </c>
      <c r="Q292" s="29">
        <f>IF(A292="","",SUMIFS(Payments!$K$5:$K$304,Payments!$D$5:$D$304,A292))</f>
        <v>0</v>
      </c>
      <c r="R292" s="29">
        <f>IF(A292="","",SUMIFS(Payments!$J$5:$J$304,Payments!$D$5:$D$304,A292))</f>
        <v>0</v>
      </c>
      <c r="S292" s="29">
        <f>IF(D292="","",ROUND(IF(T292="Cancelled",0,O292-Q292),2))</f>
        <v>0</v>
      </c>
      <c r="U292" s="49">
        <f>IF(A292="","",IF(T292="Cancelled","Cancelled",IF(S292&lt;=0.004,"Paid",IF(Q292&gt;0.004,IF(AND(C292&lt;&gt;"",TODAY()&gt;C292),"Overdue - part paid","Partially paid"),IF(AND(C292&lt;&gt;"",TODAY()&gt;C292),"Overdue",IF(T292="Draft","Draft","Unpaid"))))))</f>
        <v>0</v>
      </c>
      <c r="V292" s="31">
        <f>IF(OR(C292="",S292&lt;=0.004),"",MAX(0,TODAY()-C292))</f>
        <v>0</v>
      </c>
      <c r="W292" s="49">
        <f>IF(A292="","",IF(S292&lt;=0.004,"Paid",IF(V292="","Not due",IF(V292=0,"Current",IF(V292&lt;=30,"1-30 days",IF(V292&lt;=60,"31-60 days",IF(V292&lt;=90,"61-90 days","90+ days")))))))</f>
        <v>0</v>
      </c>
      <c r="X292" s="29">
        <f>IF(OR(V292="",V292=0),0,ROUND(S292*LateFeePct,2))</f>
        <v>0</v>
      </c>
      <c r="AA292" s="49">
        <f>IF(A292="","",IF(COUNTIF(Invoices!$A$5:$A$304,A292)&gt;1,"Duplicate number","OK"))</f>
        <v>0</v>
      </c>
      <c r="AC292" s="28">
        <f>IF(B292="","",TEXT(B292,"yyyy-mm"))</f>
        <v>0</v>
      </c>
      <c r="AD292" s="49">
        <f>IF(A292="","",IF(T292="Draft","Action - still a draft",IF(U292="Overdue","Overdue - chase payment",IF(U292="Overdue - part paid","Overdue - chase the balance",IF(AND(S292&gt;0.004,C292&lt;&gt;"",C292-TODAY()&lt;=ReminderLeadDays,C292&gt;=TODAY()),"Due soon - send a reminder","OK")))))</f>
        <v>0</v>
      </c>
    </row>
    <row r="293" spans="1:30">
      <c r="A293" s="46">
        <f>IF(D293="","",InvoicePrefix&amp;TEXT(InvoiceStartNo+ROW()-5,"0000"))</f>
        <v>0</v>
      </c>
      <c r="C293" s="21">
        <f>IF(B293="","",B293+PaymentTermsDays)</f>
        <v>0</v>
      </c>
      <c r="F293" s="29">
        <f>IF(E293="",0,IFERROR(INDEX(Bookings!$AI$5:$AI$404,MATCH(E293,Bookings!$A$5:$A$404,0)),0))</f>
        <v>0</v>
      </c>
      <c r="J293" s="29">
        <f>IF(D293="","",IF(E293&lt;&gt;"",F293,ROUND(IF(H293="",0,H293)*IF(I293="",0,I293),2)))</f>
        <v>0</v>
      </c>
      <c r="M293" s="29">
        <f>IF(D293="","",ROUND(J293+IF(K293="",0,K293)-IF(L293="",0,L293),2))</f>
        <v>0</v>
      </c>
      <c r="N293" s="29">
        <f>IF(M293="","",IF(TaxRegistered&lt;&gt;"Yes",0,IF(PricesIncludeTax="Yes",ROUND(M293-M293/(1+TaxRate),2),ROUND(M293*TaxRate,2))))</f>
        <v>0</v>
      </c>
      <c r="O293" s="29">
        <f>IF(M293="","",IF(PricesIncludeTax="Yes",M293,ROUND(M293+N293,2)))</f>
        <v>0</v>
      </c>
      <c r="P293" s="29">
        <f>IF(A293="","",SUMIFS(Payments!$E$5:$E$304,Payments!$D$5:$D$304,A293,Payments!$M$5:$M$304,"Yes"))</f>
        <v>0</v>
      </c>
      <c r="Q293" s="29">
        <f>IF(A293="","",SUMIFS(Payments!$K$5:$K$304,Payments!$D$5:$D$304,A293))</f>
        <v>0</v>
      </c>
      <c r="R293" s="29">
        <f>IF(A293="","",SUMIFS(Payments!$J$5:$J$304,Payments!$D$5:$D$304,A293))</f>
        <v>0</v>
      </c>
      <c r="S293" s="29">
        <f>IF(D293="","",ROUND(IF(T293="Cancelled",0,O293-Q293),2))</f>
        <v>0</v>
      </c>
      <c r="U293" s="49">
        <f>IF(A293="","",IF(T293="Cancelled","Cancelled",IF(S293&lt;=0.004,"Paid",IF(Q293&gt;0.004,IF(AND(C293&lt;&gt;"",TODAY()&gt;C293),"Overdue - part paid","Partially paid"),IF(AND(C293&lt;&gt;"",TODAY()&gt;C293),"Overdue",IF(T293="Draft","Draft","Unpaid"))))))</f>
        <v>0</v>
      </c>
      <c r="V293" s="31">
        <f>IF(OR(C293="",S293&lt;=0.004),"",MAX(0,TODAY()-C293))</f>
        <v>0</v>
      </c>
      <c r="W293" s="49">
        <f>IF(A293="","",IF(S293&lt;=0.004,"Paid",IF(V293="","Not due",IF(V293=0,"Current",IF(V293&lt;=30,"1-30 days",IF(V293&lt;=60,"31-60 days",IF(V293&lt;=90,"61-90 days","90+ days")))))))</f>
        <v>0</v>
      </c>
      <c r="X293" s="29">
        <f>IF(OR(V293="",V293=0),0,ROUND(S293*LateFeePct,2))</f>
        <v>0</v>
      </c>
      <c r="AA293" s="49">
        <f>IF(A293="","",IF(COUNTIF(Invoices!$A$5:$A$304,A293)&gt;1,"Duplicate number","OK"))</f>
        <v>0</v>
      </c>
      <c r="AC293" s="28">
        <f>IF(B293="","",TEXT(B293,"yyyy-mm"))</f>
        <v>0</v>
      </c>
      <c r="AD293" s="49">
        <f>IF(A293="","",IF(T293="Draft","Action - still a draft",IF(U293="Overdue","Overdue - chase payment",IF(U293="Overdue - part paid","Overdue - chase the balance",IF(AND(S293&gt;0.004,C293&lt;&gt;"",C293-TODAY()&lt;=ReminderLeadDays,C293&gt;=TODAY()),"Due soon - send a reminder","OK")))))</f>
        <v>0</v>
      </c>
    </row>
    <row r="294" spans="1:30">
      <c r="A294" s="46">
        <f>IF(D294="","",InvoicePrefix&amp;TEXT(InvoiceStartNo+ROW()-5,"0000"))</f>
        <v>0</v>
      </c>
      <c r="C294" s="21">
        <f>IF(B294="","",B294+PaymentTermsDays)</f>
        <v>0</v>
      </c>
      <c r="F294" s="29">
        <f>IF(E294="",0,IFERROR(INDEX(Bookings!$AI$5:$AI$404,MATCH(E294,Bookings!$A$5:$A$404,0)),0))</f>
        <v>0</v>
      </c>
      <c r="J294" s="29">
        <f>IF(D294="","",IF(E294&lt;&gt;"",F294,ROUND(IF(H294="",0,H294)*IF(I294="",0,I294),2)))</f>
        <v>0</v>
      </c>
      <c r="M294" s="29">
        <f>IF(D294="","",ROUND(J294+IF(K294="",0,K294)-IF(L294="",0,L294),2))</f>
        <v>0</v>
      </c>
      <c r="N294" s="29">
        <f>IF(M294="","",IF(TaxRegistered&lt;&gt;"Yes",0,IF(PricesIncludeTax="Yes",ROUND(M294-M294/(1+TaxRate),2),ROUND(M294*TaxRate,2))))</f>
        <v>0</v>
      </c>
      <c r="O294" s="29">
        <f>IF(M294="","",IF(PricesIncludeTax="Yes",M294,ROUND(M294+N294,2)))</f>
        <v>0</v>
      </c>
      <c r="P294" s="29">
        <f>IF(A294="","",SUMIFS(Payments!$E$5:$E$304,Payments!$D$5:$D$304,A294,Payments!$M$5:$M$304,"Yes"))</f>
        <v>0</v>
      </c>
      <c r="Q294" s="29">
        <f>IF(A294="","",SUMIFS(Payments!$K$5:$K$304,Payments!$D$5:$D$304,A294))</f>
        <v>0</v>
      </c>
      <c r="R294" s="29">
        <f>IF(A294="","",SUMIFS(Payments!$J$5:$J$304,Payments!$D$5:$D$304,A294))</f>
        <v>0</v>
      </c>
      <c r="S294" s="29">
        <f>IF(D294="","",ROUND(IF(T294="Cancelled",0,O294-Q294),2))</f>
        <v>0</v>
      </c>
      <c r="U294" s="49">
        <f>IF(A294="","",IF(T294="Cancelled","Cancelled",IF(S294&lt;=0.004,"Paid",IF(Q294&gt;0.004,IF(AND(C294&lt;&gt;"",TODAY()&gt;C294),"Overdue - part paid","Partially paid"),IF(AND(C294&lt;&gt;"",TODAY()&gt;C294),"Overdue",IF(T294="Draft","Draft","Unpaid"))))))</f>
        <v>0</v>
      </c>
      <c r="V294" s="31">
        <f>IF(OR(C294="",S294&lt;=0.004),"",MAX(0,TODAY()-C294))</f>
        <v>0</v>
      </c>
      <c r="W294" s="49">
        <f>IF(A294="","",IF(S294&lt;=0.004,"Paid",IF(V294="","Not due",IF(V294=0,"Current",IF(V294&lt;=30,"1-30 days",IF(V294&lt;=60,"31-60 days",IF(V294&lt;=90,"61-90 days","90+ days")))))))</f>
        <v>0</v>
      </c>
      <c r="X294" s="29">
        <f>IF(OR(V294="",V294=0),0,ROUND(S294*LateFeePct,2))</f>
        <v>0</v>
      </c>
      <c r="AA294" s="49">
        <f>IF(A294="","",IF(COUNTIF(Invoices!$A$5:$A$304,A294)&gt;1,"Duplicate number","OK"))</f>
        <v>0</v>
      </c>
      <c r="AC294" s="28">
        <f>IF(B294="","",TEXT(B294,"yyyy-mm"))</f>
        <v>0</v>
      </c>
      <c r="AD294" s="49">
        <f>IF(A294="","",IF(T294="Draft","Action - still a draft",IF(U294="Overdue","Overdue - chase payment",IF(U294="Overdue - part paid","Overdue - chase the balance",IF(AND(S294&gt;0.004,C294&lt;&gt;"",C294-TODAY()&lt;=ReminderLeadDays,C294&gt;=TODAY()),"Due soon - send a reminder","OK")))))</f>
        <v>0</v>
      </c>
    </row>
    <row r="295" spans="1:30">
      <c r="A295" s="46">
        <f>IF(D295="","",InvoicePrefix&amp;TEXT(InvoiceStartNo+ROW()-5,"0000"))</f>
        <v>0</v>
      </c>
      <c r="C295" s="21">
        <f>IF(B295="","",B295+PaymentTermsDays)</f>
        <v>0</v>
      </c>
      <c r="F295" s="29">
        <f>IF(E295="",0,IFERROR(INDEX(Bookings!$AI$5:$AI$404,MATCH(E295,Bookings!$A$5:$A$404,0)),0))</f>
        <v>0</v>
      </c>
      <c r="J295" s="29">
        <f>IF(D295="","",IF(E295&lt;&gt;"",F295,ROUND(IF(H295="",0,H295)*IF(I295="",0,I295),2)))</f>
        <v>0</v>
      </c>
      <c r="M295" s="29">
        <f>IF(D295="","",ROUND(J295+IF(K295="",0,K295)-IF(L295="",0,L295),2))</f>
        <v>0</v>
      </c>
      <c r="N295" s="29">
        <f>IF(M295="","",IF(TaxRegistered&lt;&gt;"Yes",0,IF(PricesIncludeTax="Yes",ROUND(M295-M295/(1+TaxRate),2),ROUND(M295*TaxRate,2))))</f>
        <v>0</v>
      </c>
      <c r="O295" s="29">
        <f>IF(M295="","",IF(PricesIncludeTax="Yes",M295,ROUND(M295+N295,2)))</f>
        <v>0</v>
      </c>
      <c r="P295" s="29">
        <f>IF(A295="","",SUMIFS(Payments!$E$5:$E$304,Payments!$D$5:$D$304,A295,Payments!$M$5:$M$304,"Yes"))</f>
        <v>0</v>
      </c>
      <c r="Q295" s="29">
        <f>IF(A295="","",SUMIFS(Payments!$K$5:$K$304,Payments!$D$5:$D$304,A295))</f>
        <v>0</v>
      </c>
      <c r="R295" s="29">
        <f>IF(A295="","",SUMIFS(Payments!$J$5:$J$304,Payments!$D$5:$D$304,A295))</f>
        <v>0</v>
      </c>
      <c r="S295" s="29">
        <f>IF(D295="","",ROUND(IF(T295="Cancelled",0,O295-Q295),2))</f>
        <v>0</v>
      </c>
      <c r="U295" s="49">
        <f>IF(A295="","",IF(T295="Cancelled","Cancelled",IF(S295&lt;=0.004,"Paid",IF(Q295&gt;0.004,IF(AND(C295&lt;&gt;"",TODAY()&gt;C295),"Overdue - part paid","Partially paid"),IF(AND(C295&lt;&gt;"",TODAY()&gt;C295),"Overdue",IF(T295="Draft","Draft","Unpaid"))))))</f>
        <v>0</v>
      </c>
      <c r="V295" s="31">
        <f>IF(OR(C295="",S295&lt;=0.004),"",MAX(0,TODAY()-C295))</f>
        <v>0</v>
      </c>
      <c r="W295" s="49">
        <f>IF(A295="","",IF(S295&lt;=0.004,"Paid",IF(V295="","Not due",IF(V295=0,"Current",IF(V295&lt;=30,"1-30 days",IF(V295&lt;=60,"31-60 days",IF(V295&lt;=90,"61-90 days","90+ days")))))))</f>
        <v>0</v>
      </c>
      <c r="X295" s="29">
        <f>IF(OR(V295="",V295=0),0,ROUND(S295*LateFeePct,2))</f>
        <v>0</v>
      </c>
      <c r="AA295" s="49">
        <f>IF(A295="","",IF(COUNTIF(Invoices!$A$5:$A$304,A295)&gt;1,"Duplicate number","OK"))</f>
        <v>0</v>
      </c>
      <c r="AC295" s="28">
        <f>IF(B295="","",TEXT(B295,"yyyy-mm"))</f>
        <v>0</v>
      </c>
      <c r="AD295" s="49">
        <f>IF(A295="","",IF(T295="Draft","Action - still a draft",IF(U295="Overdue","Overdue - chase payment",IF(U295="Overdue - part paid","Overdue - chase the balance",IF(AND(S295&gt;0.004,C295&lt;&gt;"",C295-TODAY()&lt;=ReminderLeadDays,C295&gt;=TODAY()),"Due soon - send a reminder","OK")))))</f>
        <v>0</v>
      </c>
    </row>
    <row r="296" spans="1:30">
      <c r="A296" s="46">
        <f>IF(D296="","",InvoicePrefix&amp;TEXT(InvoiceStartNo+ROW()-5,"0000"))</f>
        <v>0</v>
      </c>
      <c r="C296" s="21">
        <f>IF(B296="","",B296+PaymentTermsDays)</f>
        <v>0</v>
      </c>
      <c r="F296" s="29">
        <f>IF(E296="",0,IFERROR(INDEX(Bookings!$AI$5:$AI$404,MATCH(E296,Bookings!$A$5:$A$404,0)),0))</f>
        <v>0</v>
      </c>
      <c r="J296" s="29">
        <f>IF(D296="","",IF(E296&lt;&gt;"",F296,ROUND(IF(H296="",0,H296)*IF(I296="",0,I296),2)))</f>
        <v>0</v>
      </c>
      <c r="M296" s="29">
        <f>IF(D296="","",ROUND(J296+IF(K296="",0,K296)-IF(L296="",0,L296),2))</f>
        <v>0</v>
      </c>
      <c r="N296" s="29">
        <f>IF(M296="","",IF(TaxRegistered&lt;&gt;"Yes",0,IF(PricesIncludeTax="Yes",ROUND(M296-M296/(1+TaxRate),2),ROUND(M296*TaxRate,2))))</f>
        <v>0</v>
      </c>
      <c r="O296" s="29">
        <f>IF(M296="","",IF(PricesIncludeTax="Yes",M296,ROUND(M296+N296,2)))</f>
        <v>0</v>
      </c>
      <c r="P296" s="29">
        <f>IF(A296="","",SUMIFS(Payments!$E$5:$E$304,Payments!$D$5:$D$304,A296,Payments!$M$5:$M$304,"Yes"))</f>
        <v>0</v>
      </c>
      <c r="Q296" s="29">
        <f>IF(A296="","",SUMIFS(Payments!$K$5:$K$304,Payments!$D$5:$D$304,A296))</f>
        <v>0</v>
      </c>
      <c r="R296" s="29">
        <f>IF(A296="","",SUMIFS(Payments!$J$5:$J$304,Payments!$D$5:$D$304,A296))</f>
        <v>0</v>
      </c>
      <c r="S296" s="29">
        <f>IF(D296="","",ROUND(IF(T296="Cancelled",0,O296-Q296),2))</f>
        <v>0</v>
      </c>
      <c r="U296" s="49">
        <f>IF(A296="","",IF(T296="Cancelled","Cancelled",IF(S296&lt;=0.004,"Paid",IF(Q296&gt;0.004,IF(AND(C296&lt;&gt;"",TODAY()&gt;C296),"Overdue - part paid","Partially paid"),IF(AND(C296&lt;&gt;"",TODAY()&gt;C296),"Overdue",IF(T296="Draft","Draft","Unpaid"))))))</f>
        <v>0</v>
      </c>
      <c r="V296" s="31">
        <f>IF(OR(C296="",S296&lt;=0.004),"",MAX(0,TODAY()-C296))</f>
        <v>0</v>
      </c>
      <c r="W296" s="49">
        <f>IF(A296="","",IF(S296&lt;=0.004,"Paid",IF(V296="","Not due",IF(V296=0,"Current",IF(V296&lt;=30,"1-30 days",IF(V296&lt;=60,"31-60 days",IF(V296&lt;=90,"61-90 days","90+ days")))))))</f>
        <v>0</v>
      </c>
      <c r="X296" s="29">
        <f>IF(OR(V296="",V296=0),0,ROUND(S296*LateFeePct,2))</f>
        <v>0</v>
      </c>
      <c r="AA296" s="49">
        <f>IF(A296="","",IF(COUNTIF(Invoices!$A$5:$A$304,A296)&gt;1,"Duplicate number","OK"))</f>
        <v>0</v>
      </c>
      <c r="AC296" s="28">
        <f>IF(B296="","",TEXT(B296,"yyyy-mm"))</f>
        <v>0</v>
      </c>
      <c r="AD296" s="49">
        <f>IF(A296="","",IF(T296="Draft","Action - still a draft",IF(U296="Overdue","Overdue - chase payment",IF(U296="Overdue - part paid","Overdue - chase the balance",IF(AND(S296&gt;0.004,C296&lt;&gt;"",C296-TODAY()&lt;=ReminderLeadDays,C296&gt;=TODAY()),"Due soon - send a reminder","OK")))))</f>
        <v>0</v>
      </c>
    </row>
    <row r="297" spans="1:30">
      <c r="A297" s="46">
        <f>IF(D297="","",InvoicePrefix&amp;TEXT(InvoiceStartNo+ROW()-5,"0000"))</f>
        <v>0</v>
      </c>
      <c r="C297" s="21">
        <f>IF(B297="","",B297+PaymentTermsDays)</f>
        <v>0</v>
      </c>
      <c r="F297" s="29">
        <f>IF(E297="",0,IFERROR(INDEX(Bookings!$AI$5:$AI$404,MATCH(E297,Bookings!$A$5:$A$404,0)),0))</f>
        <v>0</v>
      </c>
      <c r="J297" s="29">
        <f>IF(D297="","",IF(E297&lt;&gt;"",F297,ROUND(IF(H297="",0,H297)*IF(I297="",0,I297),2)))</f>
        <v>0</v>
      </c>
      <c r="M297" s="29">
        <f>IF(D297="","",ROUND(J297+IF(K297="",0,K297)-IF(L297="",0,L297),2))</f>
        <v>0</v>
      </c>
      <c r="N297" s="29">
        <f>IF(M297="","",IF(TaxRegistered&lt;&gt;"Yes",0,IF(PricesIncludeTax="Yes",ROUND(M297-M297/(1+TaxRate),2),ROUND(M297*TaxRate,2))))</f>
        <v>0</v>
      </c>
      <c r="O297" s="29">
        <f>IF(M297="","",IF(PricesIncludeTax="Yes",M297,ROUND(M297+N297,2)))</f>
        <v>0</v>
      </c>
      <c r="P297" s="29">
        <f>IF(A297="","",SUMIFS(Payments!$E$5:$E$304,Payments!$D$5:$D$304,A297,Payments!$M$5:$M$304,"Yes"))</f>
        <v>0</v>
      </c>
      <c r="Q297" s="29">
        <f>IF(A297="","",SUMIFS(Payments!$K$5:$K$304,Payments!$D$5:$D$304,A297))</f>
        <v>0</v>
      </c>
      <c r="R297" s="29">
        <f>IF(A297="","",SUMIFS(Payments!$J$5:$J$304,Payments!$D$5:$D$304,A297))</f>
        <v>0</v>
      </c>
      <c r="S297" s="29">
        <f>IF(D297="","",ROUND(IF(T297="Cancelled",0,O297-Q297),2))</f>
        <v>0</v>
      </c>
      <c r="U297" s="49">
        <f>IF(A297="","",IF(T297="Cancelled","Cancelled",IF(S297&lt;=0.004,"Paid",IF(Q297&gt;0.004,IF(AND(C297&lt;&gt;"",TODAY()&gt;C297),"Overdue - part paid","Partially paid"),IF(AND(C297&lt;&gt;"",TODAY()&gt;C297),"Overdue",IF(T297="Draft","Draft","Unpaid"))))))</f>
        <v>0</v>
      </c>
      <c r="V297" s="31">
        <f>IF(OR(C297="",S297&lt;=0.004),"",MAX(0,TODAY()-C297))</f>
        <v>0</v>
      </c>
      <c r="W297" s="49">
        <f>IF(A297="","",IF(S297&lt;=0.004,"Paid",IF(V297="","Not due",IF(V297=0,"Current",IF(V297&lt;=30,"1-30 days",IF(V297&lt;=60,"31-60 days",IF(V297&lt;=90,"61-90 days","90+ days")))))))</f>
        <v>0</v>
      </c>
      <c r="X297" s="29">
        <f>IF(OR(V297="",V297=0),0,ROUND(S297*LateFeePct,2))</f>
        <v>0</v>
      </c>
      <c r="AA297" s="49">
        <f>IF(A297="","",IF(COUNTIF(Invoices!$A$5:$A$304,A297)&gt;1,"Duplicate number","OK"))</f>
        <v>0</v>
      </c>
      <c r="AC297" s="28">
        <f>IF(B297="","",TEXT(B297,"yyyy-mm"))</f>
        <v>0</v>
      </c>
      <c r="AD297" s="49">
        <f>IF(A297="","",IF(T297="Draft","Action - still a draft",IF(U297="Overdue","Overdue - chase payment",IF(U297="Overdue - part paid","Overdue - chase the balance",IF(AND(S297&gt;0.004,C297&lt;&gt;"",C297-TODAY()&lt;=ReminderLeadDays,C297&gt;=TODAY()),"Due soon - send a reminder","OK")))))</f>
        <v>0</v>
      </c>
    </row>
    <row r="298" spans="1:30">
      <c r="A298" s="46">
        <f>IF(D298="","",InvoicePrefix&amp;TEXT(InvoiceStartNo+ROW()-5,"0000"))</f>
        <v>0</v>
      </c>
      <c r="C298" s="21">
        <f>IF(B298="","",B298+PaymentTermsDays)</f>
        <v>0</v>
      </c>
      <c r="F298" s="29">
        <f>IF(E298="",0,IFERROR(INDEX(Bookings!$AI$5:$AI$404,MATCH(E298,Bookings!$A$5:$A$404,0)),0))</f>
        <v>0</v>
      </c>
      <c r="J298" s="29">
        <f>IF(D298="","",IF(E298&lt;&gt;"",F298,ROUND(IF(H298="",0,H298)*IF(I298="",0,I298),2)))</f>
        <v>0</v>
      </c>
      <c r="M298" s="29">
        <f>IF(D298="","",ROUND(J298+IF(K298="",0,K298)-IF(L298="",0,L298),2))</f>
        <v>0</v>
      </c>
      <c r="N298" s="29">
        <f>IF(M298="","",IF(TaxRegistered&lt;&gt;"Yes",0,IF(PricesIncludeTax="Yes",ROUND(M298-M298/(1+TaxRate),2),ROUND(M298*TaxRate,2))))</f>
        <v>0</v>
      </c>
      <c r="O298" s="29">
        <f>IF(M298="","",IF(PricesIncludeTax="Yes",M298,ROUND(M298+N298,2)))</f>
        <v>0</v>
      </c>
      <c r="P298" s="29">
        <f>IF(A298="","",SUMIFS(Payments!$E$5:$E$304,Payments!$D$5:$D$304,A298,Payments!$M$5:$M$304,"Yes"))</f>
        <v>0</v>
      </c>
      <c r="Q298" s="29">
        <f>IF(A298="","",SUMIFS(Payments!$K$5:$K$304,Payments!$D$5:$D$304,A298))</f>
        <v>0</v>
      </c>
      <c r="R298" s="29">
        <f>IF(A298="","",SUMIFS(Payments!$J$5:$J$304,Payments!$D$5:$D$304,A298))</f>
        <v>0</v>
      </c>
      <c r="S298" s="29">
        <f>IF(D298="","",ROUND(IF(T298="Cancelled",0,O298-Q298),2))</f>
        <v>0</v>
      </c>
      <c r="U298" s="49">
        <f>IF(A298="","",IF(T298="Cancelled","Cancelled",IF(S298&lt;=0.004,"Paid",IF(Q298&gt;0.004,IF(AND(C298&lt;&gt;"",TODAY()&gt;C298),"Overdue - part paid","Partially paid"),IF(AND(C298&lt;&gt;"",TODAY()&gt;C298),"Overdue",IF(T298="Draft","Draft","Unpaid"))))))</f>
        <v>0</v>
      </c>
      <c r="V298" s="31">
        <f>IF(OR(C298="",S298&lt;=0.004),"",MAX(0,TODAY()-C298))</f>
        <v>0</v>
      </c>
      <c r="W298" s="49">
        <f>IF(A298="","",IF(S298&lt;=0.004,"Paid",IF(V298="","Not due",IF(V298=0,"Current",IF(V298&lt;=30,"1-30 days",IF(V298&lt;=60,"31-60 days",IF(V298&lt;=90,"61-90 days","90+ days")))))))</f>
        <v>0</v>
      </c>
      <c r="X298" s="29">
        <f>IF(OR(V298="",V298=0),0,ROUND(S298*LateFeePct,2))</f>
        <v>0</v>
      </c>
      <c r="AA298" s="49">
        <f>IF(A298="","",IF(COUNTIF(Invoices!$A$5:$A$304,A298)&gt;1,"Duplicate number","OK"))</f>
        <v>0</v>
      </c>
      <c r="AC298" s="28">
        <f>IF(B298="","",TEXT(B298,"yyyy-mm"))</f>
        <v>0</v>
      </c>
      <c r="AD298" s="49">
        <f>IF(A298="","",IF(T298="Draft","Action - still a draft",IF(U298="Overdue","Overdue - chase payment",IF(U298="Overdue - part paid","Overdue - chase the balance",IF(AND(S298&gt;0.004,C298&lt;&gt;"",C298-TODAY()&lt;=ReminderLeadDays,C298&gt;=TODAY()),"Due soon - send a reminder","OK")))))</f>
        <v>0</v>
      </c>
    </row>
    <row r="299" spans="1:30">
      <c r="A299" s="46">
        <f>IF(D299="","",InvoicePrefix&amp;TEXT(InvoiceStartNo+ROW()-5,"0000"))</f>
        <v>0</v>
      </c>
      <c r="C299" s="21">
        <f>IF(B299="","",B299+PaymentTermsDays)</f>
        <v>0</v>
      </c>
      <c r="F299" s="29">
        <f>IF(E299="",0,IFERROR(INDEX(Bookings!$AI$5:$AI$404,MATCH(E299,Bookings!$A$5:$A$404,0)),0))</f>
        <v>0</v>
      </c>
      <c r="J299" s="29">
        <f>IF(D299="","",IF(E299&lt;&gt;"",F299,ROUND(IF(H299="",0,H299)*IF(I299="",0,I299),2)))</f>
        <v>0</v>
      </c>
      <c r="M299" s="29">
        <f>IF(D299="","",ROUND(J299+IF(K299="",0,K299)-IF(L299="",0,L299),2))</f>
        <v>0</v>
      </c>
      <c r="N299" s="29">
        <f>IF(M299="","",IF(TaxRegistered&lt;&gt;"Yes",0,IF(PricesIncludeTax="Yes",ROUND(M299-M299/(1+TaxRate),2),ROUND(M299*TaxRate,2))))</f>
        <v>0</v>
      </c>
      <c r="O299" s="29">
        <f>IF(M299="","",IF(PricesIncludeTax="Yes",M299,ROUND(M299+N299,2)))</f>
        <v>0</v>
      </c>
      <c r="P299" s="29">
        <f>IF(A299="","",SUMIFS(Payments!$E$5:$E$304,Payments!$D$5:$D$304,A299,Payments!$M$5:$M$304,"Yes"))</f>
        <v>0</v>
      </c>
      <c r="Q299" s="29">
        <f>IF(A299="","",SUMIFS(Payments!$K$5:$K$304,Payments!$D$5:$D$304,A299))</f>
        <v>0</v>
      </c>
      <c r="R299" s="29">
        <f>IF(A299="","",SUMIFS(Payments!$J$5:$J$304,Payments!$D$5:$D$304,A299))</f>
        <v>0</v>
      </c>
      <c r="S299" s="29">
        <f>IF(D299="","",ROUND(IF(T299="Cancelled",0,O299-Q299),2))</f>
        <v>0</v>
      </c>
      <c r="U299" s="49">
        <f>IF(A299="","",IF(T299="Cancelled","Cancelled",IF(S299&lt;=0.004,"Paid",IF(Q299&gt;0.004,IF(AND(C299&lt;&gt;"",TODAY()&gt;C299),"Overdue - part paid","Partially paid"),IF(AND(C299&lt;&gt;"",TODAY()&gt;C299),"Overdue",IF(T299="Draft","Draft","Unpaid"))))))</f>
        <v>0</v>
      </c>
      <c r="V299" s="31">
        <f>IF(OR(C299="",S299&lt;=0.004),"",MAX(0,TODAY()-C299))</f>
        <v>0</v>
      </c>
      <c r="W299" s="49">
        <f>IF(A299="","",IF(S299&lt;=0.004,"Paid",IF(V299="","Not due",IF(V299=0,"Current",IF(V299&lt;=30,"1-30 days",IF(V299&lt;=60,"31-60 days",IF(V299&lt;=90,"61-90 days","90+ days")))))))</f>
        <v>0</v>
      </c>
      <c r="X299" s="29">
        <f>IF(OR(V299="",V299=0),0,ROUND(S299*LateFeePct,2))</f>
        <v>0</v>
      </c>
      <c r="AA299" s="49">
        <f>IF(A299="","",IF(COUNTIF(Invoices!$A$5:$A$304,A299)&gt;1,"Duplicate number","OK"))</f>
        <v>0</v>
      </c>
      <c r="AC299" s="28">
        <f>IF(B299="","",TEXT(B299,"yyyy-mm"))</f>
        <v>0</v>
      </c>
      <c r="AD299" s="49">
        <f>IF(A299="","",IF(T299="Draft","Action - still a draft",IF(U299="Overdue","Overdue - chase payment",IF(U299="Overdue - part paid","Overdue - chase the balance",IF(AND(S299&gt;0.004,C299&lt;&gt;"",C299-TODAY()&lt;=ReminderLeadDays,C299&gt;=TODAY()),"Due soon - send a reminder","OK")))))</f>
        <v>0</v>
      </c>
    </row>
    <row r="300" spans="1:30">
      <c r="A300" s="46">
        <f>IF(D300="","",InvoicePrefix&amp;TEXT(InvoiceStartNo+ROW()-5,"0000"))</f>
        <v>0</v>
      </c>
      <c r="C300" s="21">
        <f>IF(B300="","",B300+PaymentTermsDays)</f>
        <v>0</v>
      </c>
      <c r="F300" s="29">
        <f>IF(E300="",0,IFERROR(INDEX(Bookings!$AI$5:$AI$404,MATCH(E300,Bookings!$A$5:$A$404,0)),0))</f>
        <v>0</v>
      </c>
      <c r="J300" s="29">
        <f>IF(D300="","",IF(E300&lt;&gt;"",F300,ROUND(IF(H300="",0,H300)*IF(I300="",0,I300),2)))</f>
        <v>0</v>
      </c>
      <c r="M300" s="29">
        <f>IF(D300="","",ROUND(J300+IF(K300="",0,K300)-IF(L300="",0,L300),2))</f>
        <v>0</v>
      </c>
      <c r="N300" s="29">
        <f>IF(M300="","",IF(TaxRegistered&lt;&gt;"Yes",0,IF(PricesIncludeTax="Yes",ROUND(M300-M300/(1+TaxRate),2),ROUND(M300*TaxRate,2))))</f>
        <v>0</v>
      </c>
      <c r="O300" s="29">
        <f>IF(M300="","",IF(PricesIncludeTax="Yes",M300,ROUND(M300+N300,2)))</f>
        <v>0</v>
      </c>
      <c r="P300" s="29">
        <f>IF(A300="","",SUMIFS(Payments!$E$5:$E$304,Payments!$D$5:$D$304,A300,Payments!$M$5:$M$304,"Yes"))</f>
        <v>0</v>
      </c>
      <c r="Q300" s="29">
        <f>IF(A300="","",SUMIFS(Payments!$K$5:$K$304,Payments!$D$5:$D$304,A300))</f>
        <v>0</v>
      </c>
      <c r="R300" s="29">
        <f>IF(A300="","",SUMIFS(Payments!$J$5:$J$304,Payments!$D$5:$D$304,A300))</f>
        <v>0</v>
      </c>
      <c r="S300" s="29">
        <f>IF(D300="","",ROUND(IF(T300="Cancelled",0,O300-Q300),2))</f>
        <v>0</v>
      </c>
      <c r="U300" s="49">
        <f>IF(A300="","",IF(T300="Cancelled","Cancelled",IF(S300&lt;=0.004,"Paid",IF(Q300&gt;0.004,IF(AND(C300&lt;&gt;"",TODAY()&gt;C300),"Overdue - part paid","Partially paid"),IF(AND(C300&lt;&gt;"",TODAY()&gt;C300),"Overdue",IF(T300="Draft","Draft","Unpaid"))))))</f>
        <v>0</v>
      </c>
      <c r="V300" s="31">
        <f>IF(OR(C300="",S300&lt;=0.004),"",MAX(0,TODAY()-C300))</f>
        <v>0</v>
      </c>
      <c r="W300" s="49">
        <f>IF(A300="","",IF(S300&lt;=0.004,"Paid",IF(V300="","Not due",IF(V300=0,"Current",IF(V300&lt;=30,"1-30 days",IF(V300&lt;=60,"31-60 days",IF(V300&lt;=90,"61-90 days","90+ days")))))))</f>
        <v>0</v>
      </c>
      <c r="X300" s="29">
        <f>IF(OR(V300="",V300=0),0,ROUND(S300*LateFeePct,2))</f>
        <v>0</v>
      </c>
      <c r="AA300" s="49">
        <f>IF(A300="","",IF(COUNTIF(Invoices!$A$5:$A$304,A300)&gt;1,"Duplicate number","OK"))</f>
        <v>0</v>
      </c>
      <c r="AC300" s="28">
        <f>IF(B300="","",TEXT(B300,"yyyy-mm"))</f>
        <v>0</v>
      </c>
      <c r="AD300" s="49">
        <f>IF(A300="","",IF(T300="Draft","Action - still a draft",IF(U300="Overdue","Overdue - chase payment",IF(U300="Overdue - part paid","Overdue - chase the balance",IF(AND(S300&gt;0.004,C300&lt;&gt;"",C300-TODAY()&lt;=ReminderLeadDays,C300&gt;=TODAY()),"Due soon - send a reminder","OK")))))</f>
        <v>0</v>
      </c>
    </row>
    <row r="301" spans="1:30">
      <c r="A301" s="46">
        <f>IF(D301="","",InvoicePrefix&amp;TEXT(InvoiceStartNo+ROW()-5,"0000"))</f>
        <v>0</v>
      </c>
      <c r="C301" s="21">
        <f>IF(B301="","",B301+PaymentTermsDays)</f>
        <v>0</v>
      </c>
      <c r="F301" s="29">
        <f>IF(E301="",0,IFERROR(INDEX(Bookings!$AI$5:$AI$404,MATCH(E301,Bookings!$A$5:$A$404,0)),0))</f>
        <v>0</v>
      </c>
      <c r="J301" s="29">
        <f>IF(D301="","",IF(E301&lt;&gt;"",F301,ROUND(IF(H301="",0,H301)*IF(I301="",0,I301),2)))</f>
        <v>0</v>
      </c>
      <c r="M301" s="29">
        <f>IF(D301="","",ROUND(J301+IF(K301="",0,K301)-IF(L301="",0,L301),2))</f>
        <v>0</v>
      </c>
      <c r="N301" s="29">
        <f>IF(M301="","",IF(TaxRegistered&lt;&gt;"Yes",0,IF(PricesIncludeTax="Yes",ROUND(M301-M301/(1+TaxRate),2),ROUND(M301*TaxRate,2))))</f>
        <v>0</v>
      </c>
      <c r="O301" s="29">
        <f>IF(M301="","",IF(PricesIncludeTax="Yes",M301,ROUND(M301+N301,2)))</f>
        <v>0</v>
      </c>
      <c r="P301" s="29">
        <f>IF(A301="","",SUMIFS(Payments!$E$5:$E$304,Payments!$D$5:$D$304,A301,Payments!$M$5:$M$304,"Yes"))</f>
        <v>0</v>
      </c>
      <c r="Q301" s="29">
        <f>IF(A301="","",SUMIFS(Payments!$K$5:$K$304,Payments!$D$5:$D$304,A301))</f>
        <v>0</v>
      </c>
      <c r="R301" s="29">
        <f>IF(A301="","",SUMIFS(Payments!$J$5:$J$304,Payments!$D$5:$D$304,A301))</f>
        <v>0</v>
      </c>
      <c r="S301" s="29">
        <f>IF(D301="","",ROUND(IF(T301="Cancelled",0,O301-Q301),2))</f>
        <v>0</v>
      </c>
      <c r="U301" s="49">
        <f>IF(A301="","",IF(T301="Cancelled","Cancelled",IF(S301&lt;=0.004,"Paid",IF(Q301&gt;0.004,IF(AND(C301&lt;&gt;"",TODAY()&gt;C301),"Overdue - part paid","Partially paid"),IF(AND(C301&lt;&gt;"",TODAY()&gt;C301),"Overdue",IF(T301="Draft","Draft","Unpaid"))))))</f>
        <v>0</v>
      </c>
      <c r="V301" s="31">
        <f>IF(OR(C301="",S301&lt;=0.004),"",MAX(0,TODAY()-C301))</f>
        <v>0</v>
      </c>
      <c r="W301" s="49">
        <f>IF(A301="","",IF(S301&lt;=0.004,"Paid",IF(V301="","Not due",IF(V301=0,"Current",IF(V301&lt;=30,"1-30 days",IF(V301&lt;=60,"31-60 days",IF(V301&lt;=90,"61-90 days","90+ days")))))))</f>
        <v>0</v>
      </c>
      <c r="X301" s="29">
        <f>IF(OR(V301="",V301=0),0,ROUND(S301*LateFeePct,2))</f>
        <v>0</v>
      </c>
      <c r="AA301" s="49">
        <f>IF(A301="","",IF(COUNTIF(Invoices!$A$5:$A$304,A301)&gt;1,"Duplicate number","OK"))</f>
        <v>0</v>
      </c>
      <c r="AC301" s="28">
        <f>IF(B301="","",TEXT(B301,"yyyy-mm"))</f>
        <v>0</v>
      </c>
      <c r="AD301" s="49">
        <f>IF(A301="","",IF(T301="Draft","Action - still a draft",IF(U301="Overdue","Overdue - chase payment",IF(U301="Overdue - part paid","Overdue - chase the balance",IF(AND(S301&gt;0.004,C301&lt;&gt;"",C301-TODAY()&lt;=ReminderLeadDays,C301&gt;=TODAY()),"Due soon - send a reminder","OK")))))</f>
        <v>0</v>
      </c>
    </row>
    <row r="302" spans="1:30">
      <c r="A302" s="46">
        <f>IF(D302="","",InvoicePrefix&amp;TEXT(InvoiceStartNo+ROW()-5,"0000"))</f>
        <v>0</v>
      </c>
      <c r="C302" s="21">
        <f>IF(B302="","",B302+PaymentTermsDays)</f>
        <v>0</v>
      </c>
      <c r="F302" s="29">
        <f>IF(E302="",0,IFERROR(INDEX(Bookings!$AI$5:$AI$404,MATCH(E302,Bookings!$A$5:$A$404,0)),0))</f>
        <v>0</v>
      </c>
      <c r="J302" s="29">
        <f>IF(D302="","",IF(E302&lt;&gt;"",F302,ROUND(IF(H302="",0,H302)*IF(I302="",0,I302),2)))</f>
        <v>0</v>
      </c>
      <c r="M302" s="29">
        <f>IF(D302="","",ROUND(J302+IF(K302="",0,K302)-IF(L302="",0,L302),2))</f>
        <v>0</v>
      </c>
      <c r="N302" s="29">
        <f>IF(M302="","",IF(TaxRegistered&lt;&gt;"Yes",0,IF(PricesIncludeTax="Yes",ROUND(M302-M302/(1+TaxRate),2),ROUND(M302*TaxRate,2))))</f>
        <v>0</v>
      </c>
      <c r="O302" s="29">
        <f>IF(M302="","",IF(PricesIncludeTax="Yes",M302,ROUND(M302+N302,2)))</f>
        <v>0</v>
      </c>
      <c r="P302" s="29">
        <f>IF(A302="","",SUMIFS(Payments!$E$5:$E$304,Payments!$D$5:$D$304,A302,Payments!$M$5:$M$304,"Yes"))</f>
        <v>0</v>
      </c>
      <c r="Q302" s="29">
        <f>IF(A302="","",SUMIFS(Payments!$K$5:$K$304,Payments!$D$5:$D$304,A302))</f>
        <v>0</v>
      </c>
      <c r="R302" s="29">
        <f>IF(A302="","",SUMIFS(Payments!$J$5:$J$304,Payments!$D$5:$D$304,A302))</f>
        <v>0</v>
      </c>
      <c r="S302" s="29">
        <f>IF(D302="","",ROUND(IF(T302="Cancelled",0,O302-Q302),2))</f>
        <v>0</v>
      </c>
      <c r="U302" s="49">
        <f>IF(A302="","",IF(T302="Cancelled","Cancelled",IF(S302&lt;=0.004,"Paid",IF(Q302&gt;0.004,IF(AND(C302&lt;&gt;"",TODAY()&gt;C302),"Overdue - part paid","Partially paid"),IF(AND(C302&lt;&gt;"",TODAY()&gt;C302),"Overdue",IF(T302="Draft","Draft","Unpaid"))))))</f>
        <v>0</v>
      </c>
      <c r="V302" s="31">
        <f>IF(OR(C302="",S302&lt;=0.004),"",MAX(0,TODAY()-C302))</f>
        <v>0</v>
      </c>
      <c r="W302" s="49">
        <f>IF(A302="","",IF(S302&lt;=0.004,"Paid",IF(V302="","Not due",IF(V302=0,"Current",IF(V302&lt;=30,"1-30 days",IF(V302&lt;=60,"31-60 days",IF(V302&lt;=90,"61-90 days","90+ days")))))))</f>
        <v>0</v>
      </c>
      <c r="X302" s="29">
        <f>IF(OR(V302="",V302=0),0,ROUND(S302*LateFeePct,2))</f>
        <v>0</v>
      </c>
      <c r="AA302" s="49">
        <f>IF(A302="","",IF(COUNTIF(Invoices!$A$5:$A$304,A302)&gt;1,"Duplicate number","OK"))</f>
        <v>0</v>
      </c>
      <c r="AC302" s="28">
        <f>IF(B302="","",TEXT(B302,"yyyy-mm"))</f>
        <v>0</v>
      </c>
      <c r="AD302" s="49">
        <f>IF(A302="","",IF(T302="Draft","Action - still a draft",IF(U302="Overdue","Overdue - chase payment",IF(U302="Overdue - part paid","Overdue - chase the balance",IF(AND(S302&gt;0.004,C302&lt;&gt;"",C302-TODAY()&lt;=ReminderLeadDays,C302&gt;=TODAY()),"Due soon - send a reminder","OK")))))</f>
        <v>0</v>
      </c>
    </row>
    <row r="303" spans="1:30">
      <c r="A303" s="46">
        <f>IF(D303="","",InvoicePrefix&amp;TEXT(InvoiceStartNo+ROW()-5,"0000"))</f>
        <v>0</v>
      </c>
      <c r="C303" s="21">
        <f>IF(B303="","",B303+PaymentTermsDays)</f>
        <v>0</v>
      </c>
      <c r="F303" s="29">
        <f>IF(E303="",0,IFERROR(INDEX(Bookings!$AI$5:$AI$404,MATCH(E303,Bookings!$A$5:$A$404,0)),0))</f>
        <v>0</v>
      </c>
      <c r="J303" s="29">
        <f>IF(D303="","",IF(E303&lt;&gt;"",F303,ROUND(IF(H303="",0,H303)*IF(I303="",0,I303),2)))</f>
        <v>0</v>
      </c>
      <c r="M303" s="29">
        <f>IF(D303="","",ROUND(J303+IF(K303="",0,K303)-IF(L303="",0,L303),2))</f>
        <v>0</v>
      </c>
      <c r="N303" s="29">
        <f>IF(M303="","",IF(TaxRegistered&lt;&gt;"Yes",0,IF(PricesIncludeTax="Yes",ROUND(M303-M303/(1+TaxRate),2),ROUND(M303*TaxRate,2))))</f>
        <v>0</v>
      </c>
      <c r="O303" s="29">
        <f>IF(M303="","",IF(PricesIncludeTax="Yes",M303,ROUND(M303+N303,2)))</f>
        <v>0</v>
      </c>
      <c r="P303" s="29">
        <f>IF(A303="","",SUMIFS(Payments!$E$5:$E$304,Payments!$D$5:$D$304,A303,Payments!$M$5:$M$304,"Yes"))</f>
        <v>0</v>
      </c>
      <c r="Q303" s="29">
        <f>IF(A303="","",SUMIFS(Payments!$K$5:$K$304,Payments!$D$5:$D$304,A303))</f>
        <v>0</v>
      </c>
      <c r="R303" s="29">
        <f>IF(A303="","",SUMIFS(Payments!$J$5:$J$304,Payments!$D$5:$D$304,A303))</f>
        <v>0</v>
      </c>
      <c r="S303" s="29">
        <f>IF(D303="","",ROUND(IF(T303="Cancelled",0,O303-Q303),2))</f>
        <v>0</v>
      </c>
      <c r="U303" s="49">
        <f>IF(A303="","",IF(T303="Cancelled","Cancelled",IF(S303&lt;=0.004,"Paid",IF(Q303&gt;0.004,IF(AND(C303&lt;&gt;"",TODAY()&gt;C303),"Overdue - part paid","Partially paid"),IF(AND(C303&lt;&gt;"",TODAY()&gt;C303),"Overdue",IF(T303="Draft","Draft","Unpaid"))))))</f>
        <v>0</v>
      </c>
      <c r="V303" s="31">
        <f>IF(OR(C303="",S303&lt;=0.004),"",MAX(0,TODAY()-C303))</f>
        <v>0</v>
      </c>
      <c r="W303" s="49">
        <f>IF(A303="","",IF(S303&lt;=0.004,"Paid",IF(V303="","Not due",IF(V303=0,"Current",IF(V303&lt;=30,"1-30 days",IF(V303&lt;=60,"31-60 days",IF(V303&lt;=90,"61-90 days","90+ days")))))))</f>
        <v>0</v>
      </c>
      <c r="X303" s="29">
        <f>IF(OR(V303="",V303=0),0,ROUND(S303*LateFeePct,2))</f>
        <v>0</v>
      </c>
      <c r="AA303" s="49">
        <f>IF(A303="","",IF(COUNTIF(Invoices!$A$5:$A$304,A303)&gt;1,"Duplicate number","OK"))</f>
        <v>0</v>
      </c>
      <c r="AC303" s="28">
        <f>IF(B303="","",TEXT(B303,"yyyy-mm"))</f>
        <v>0</v>
      </c>
      <c r="AD303" s="49">
        <f>IF(A303="","",IF(T303="Draft","Action - still a draft",IF(U303="Overdue","Overdue - chase payment",IF(U303="Overdue - part paid","Overdue - chase the balance",IF(AND(S303&gt;0.004,C303&lt;&gt;"",C303-TODAY()&lt;=ReminderLeadDays,C303&gt;=TODAY()),"Due soon - send a reminder","OK")))))</f>
        <v>0</v>
      </c>
    </row>
    <row r="304" spans="1:30">
      <c r="A304" s="46">
        <f>IF(D304="","",InvoicePrefix&amp;TEXT(InvoiceStartNo+ROW()-5,"0000"))</f>
        <v>0</v>
      </c>
      <c r="C304" s="21">
        <f>IF(B304="","",B304+PaymentTermsDays)</f>
        <v>0</v>
      </c>
      <c r="F304" s="29">
        <f>IF(E304="",0,IFERROR(INDEX(Bookings!$AI$5:$AI$404,MATCH(E304,Bookings!$A$5:$A$404,0)),0))</f>
        <v>0</v>
      </c>
      <c r="J304" s="29">
        <f>IF(D304="","",IF(E304&lt;&gt;"",F304,ROUND(IF(H304="",0,H304)*IF(I304="",0,I304),2)))</f>
        <v>0</v>
      </c>
      <c r="M304" s="29">
        <f>IF(D304="","",ROUND(J304+IF(K304="",0,K304)-IF(L304="",0,L304),2))</f>
        <v>0</v>
      </c>
      <c r="N304" s="29">
        <f>IF(M304="","",IF(TaxRegistered&lt;&gt;"Yes",0,IF(PricesIncludeTax="Yes",ROUND(M304-M304/(1+TaxRate),2),ROUND(M304*TaxRate,2))))</f>
        <v>0</v>
      </c>
      <c r="O304" s="29">
        <f>IF(M304="","",IF(PricesIncludeTax="Yes",M304,ROUND(M304+N304,2)))</f>
        <v>0</v>
      </c>
      <c r="P304" s="29">
        <f>IF(A304="","",SUMIFS(Payments!$E$5:$E$304,Payments!$D$5:$D$304,A304,Payments!$M$5:$M$304,"Yes"))</f>
        <v>0</v>
      </c>
      <c r="Q304" s="29">
        <f>IF(A304="","",SUMIFS(Payments!$K$5:$K$304,Payments!$D$5:$D$304,A304))</f>
        <v>0</v>
      </c>
      <c r="R304" s="29">
        <f>IF(A304="","",SUMIFS(Payments!$J$5:$J$304,Payments!$D$5:$D$304,A304))</f>
        <v>0</v>
      </c>
      <c r="S304" s="29">
        <f>IF(D304="","",ROUND(IF(T304="Cancelled",0,O304-Q304),2))</f>
        <v>0</v>
      </c>
      <c r="U304" s="49">
        <f>IF(A304="","",IF(T304="Cancelled","Cancelled",IF(S304&lt;=0.004,"Paid",IF(Q304&gt;0.004,IF(AND(C304&lt;&gt;"",TODAY()&gt;C304),"Overdue - part paid","Partially paid"),IF(AND(C304&lt;&gt;"",TODAY()&gt;C304),"Overdue",IF(T304="Draft","Draft","Unpaid"))))))</f>
        <v>0</v>
      </c>
      <c r="V304" s="31">
        <f>IF(OR(C304="",S304&lt;=0.004),"",MAX(0,TODAY()-C304))</f>
        <v>0</v>
      </c>
      <c r="W304" s="49">
        <f>IF(A304="","",IF(S304&lt;=0.004,"Paid",IF(V304="","Not due",IF(V304=0,"Current",IF(V304&lt;=30,"1-30 days",IF(V304&lt;=60,"31-60 days",IF(V304&lt;=90,"61-90 days","90+ days")))))))</f>
        <v>0</v>
      </c>
      <c r="X304" s="29">
        <f>IF(OR(V304="",V304=0),0,ROUND(S304*LateFeePct,2))</f>
        <v>0</v>
      </c>
      <c r="AA304" s="49">
        <f>IF(A304="","",IF(COUNTIF(Invoices!$A$5:$A$304,A304)&gt;1,"Duplicate number","OK"))</f>
        <v>0</v>
      </c>
      <c r="AC304" s="28">
        <f>IF(B304="","",TEXT(B304,"yyyy-mm"))</f>
        <v>0</v>
      </c>
      <c r="AD304" s="49">
        <f>IF(A304="","",IF(T304="Draft","Action - still a draft",IF(U304="Overdue","Overdue - chase payment",IF(U304="Overdue - part paid","Overdue - chase the balance",IF(AND(S304&gt;0.004,C304&lt;&gt;"",C304-TODAY()&lt;=ReminderLeadDays,C304&gt;=TODAY()),"Due soon - send a reminder","OK")))))</f>
        <v>0</v>
      </c>
    </row>
  </sheetData>
  <sheetProtection password="EC7C" sheet="1" objects="1" scenarios="1" formatCells="0" formatColumns="0" formatRows="0" insertRows="0" insertHyperlinks="0" deleteRows="0" autoFilter="0"/>
  <autoFilter ref="A4:AD304"/>
  <mergeCells count="13">
    <mergeCell ref="A1:AA1"/>
    <mergeCell ref="AB1:AD1"/>
    <mergeCell ref="A2:AD2"/>
    <mergeCell ref="A3:B3"/>
    <mergeCell ref="C3:D3"/>
    <mergeCell ref="E3:F3"/>
    <mergeCell ref="G3:H3"/>
    <mergeCell ref="I3:J3"/>
    <mergeCell ref="K3:L3"/>
    <mergeCell ref="M3:N3"/>
    <mergeCell ref="O3:P3"/>
    <mergeCell ref="Q3:R3"/>
    <mergeCell ref="S3:AD3"/>
  </mergeCells>
  <conditionalFormatting sqref="AA5:AA304">
    <cfRule type="containsText" dxfId="1" priority="65" operator="containsText" text="Duplicate">
      <formula>NOT(ISERROR(SEARCH("Duplicate",AA5)))</formula>
    </cfRule>
    <cfRule type="containsText" dxfId="0" priority="66" operator="containsText" text="OK">
      <formula>NOT(ISERROR(SEARCH("OK",AA5)))</formula>
    </cfRule>
  </conditionalFormatting>
  <conditionalFormatting sqref="AD5:AD304">
    <cfRule type="beginsWith" dxfId="0" priority="67" operator="beginsWith" text="OK">
      <formula>LEFT(AD5,2)="OK"</formula>
    </cfRule>
    <cfRule type="containsText" dxfId="1" priority="68" operator="containsText" text="Overdue">
      <formula>NOT(ISERROR(SEARCH("Overdue",AD5)))</formula>
    </cfRule>
    <cfRule type="containsText" dxfId="1" priority="69" operator="containsText" text="Missed">
      <formula>NOT(ISERROR(SEARCH("Missed",AD5)))</formula>
    </cfRule>
    <cfRule type="containsText" dxfId="1" priority="70" operator="containsText" text="Conflict">
      <formula>NOT(ISERROR(SEARCH("Conflict",AD5)))</formula>
    </cfRule>
    <cfRule type="containsText" dxfId="1" priority="71" operator="containsText" text="Expired">
      <formula>NOT(ISERROR(SEARCH("Expired",AD5)))</formula>
    </cfRule>
    <cfRule type="containsText" dxfId="1" priority="72" operator="containsText" text="Duplicate">
      <formula>NOT(ISERROR(SEARCH("Duplicate",AD5)))</formula>
    </cfRule>
    <cfRule type="containsText" dxfId="2" priority="73" operator="containsText" text="Action">
      <formula>NOT(ISERROR(SEARCH("Action",AD5)))</formula>
    </cfRule>
    <cfRule type="containsText" dxfId="2" priority="74" operator="containsText" text="Due">
      <formula>NOT(ISERROR(SEARCH("Due",AD5)))</formula>
    </cfRule>
    <cfRule type="containsText" dxfId="2" priority="75" operator="containsText" text="Check">
      <formula>NOT(ISERROR(SEARCH("Check",AD5)))</formula>
    </cfRule>
    <cfRule type="containsText" dxfId="3" priority="76" operator="containsText" text="Today">
      <formula>NOT(ISERROR(SEARCH("Today",AD5)))</formula>
    </cfRule>
    <cfRule type="containsText" dxfId="3" priority="77" operator="containsText" text="Upcoming">
      <formula>NOT(ISERROR(SEARCH("Upcoming",AD5)))</formula>
    </cfRule>
  </conditionalFormatting>
  <conditionalFormatting sqref="O5:O304">
    <cfRule type="dataBar" priority="1">
      <dataBar>
        <cfvo type="min" val="0"/>
        <cfvo type="max" val="0"/>
        <color rgb="FF2E7D8F"/>
      </dataBar>
    </cfRule>
  </conditionalFormatting>
  <conditionalFormatting sqref="S5:S304">
    <cfRule type="cellIs" dxfId="1" priority="2" operator="greaterThan">
      <formula>0.004</formula>
    </cfRule>
  </conditionalFormatting>
  <conditionalFormatting sqref="T5:T304">
    <cfRule type="containsText" dxfId="0" priority="3" operator="containsText" text="Completed">
      <formula>NOT(ISERROR(SEARCH("Completed",T5)))</formula>
    </cfRule>
    <cfRule type="containsText" dxfId="0" priority="4" operator="containsText" text="Confirmed">
      <formula>NOT(ISERROR(SEARCH("Confirmed",T5)))</formula>
    </cfRule>
    <cfRule type="containsText" dxfId="0" priority="5" operator="containsText" text="Paid">
      <formula>NOT(ISERROR(SEARCH("Paid",T5)))</formula>
    </cfRule>
    <cfRule type="containsText" dxfId="0" priority="6" operator="containsText" text="Active">
      <formula>NOT(ISERROR(SEARCH("Active",T5)))</formula>
    </cfRule>
    <cfRule type="containsText" dxfId="0" priority="7" operator="containsText" text="Resolved">
      <formula>NOT(ISERROR(SEARCH("Resolved",T5)))</formula>
    </cfRule>
    <cfRule type="containsText" dxfId="0" priority="8" operator="containsText" text="Given">
      <formula>NOT(ISERROR(SEARCH("Given",T5)))</formula>
    </cfRule>
    <cfRule type="containsText" dxfId="2" priority="9" operator="containsText" text="Pending">
      <formula>NOT(ISERROR(SEARCH("Pending",T5)))</formula>
    </cfRule>
    <cfRule type="containsText" dxfId="2" priority="10" operator="containsText" text="Draft">
      <formula>NOT(ISERROR(SEARCH("Draft",T5)))</formula>
    </cfRule>
    <cfRule type="containsText" dxfId="2" priority="11" operator="containsText" text="Enquiry">
      <formula>NOT(ISERROR(SEARCH("Enquiry",T5)))</formula>
    </cfRule>
    <cfRule type="containsText" dxfId="2" priority="12" operator="containsText" text="Partially">
      <formula>NOT(ISERROR(SEARCH("Partially",T5)))</formula>
    </cfRule>
    <cfRule type="containsText" dxfId="3" priority="13" operator="containsText" text="In progress">
      <formula>NOT(ISERROR(SEARCH("In progress",T5)))</formula>
    </cfRule>
    <cfRule type="containsText" dxfId="3" priority="14" operator="containsText" text="Scheduled">
      <formula>NOT(ISERROR(SEARCH("Scheduled",T5)))</formula>
    </cfRule>
    <cfRule type="containsText" dxfId="3" priority="15" operator="containsText" text="Sent">
      <formula>NOT(ISERROR(SEARCH("Sent",T5)))</formula>
    </cfRule>
    <cfRule type="containsText" dxfId="1" priority="16" operator="containsText" text="Cancelled">
      <formula>NOT(ISERROR(SEARCH("Cancelled",T5)))</formula>
    </cfRule>
    <cfRule type="containsText" dxfId="1" priority="17" operator="containsText" text="No show">
      <formula>NOT(ISERROR(SEARCH("No show",T5)))</formula>
    </cfRule>
    <cfRule type="containsText" dxfId="1" priority="18" operator="containsText" text="Missed">
      <formula>NOT(ISERROR(SEARCH("Missed",T5)))</formula>
    </cfRule>
    <cfRule type="containsText" dxfId="1" priority="19" operator="containsText" text="Overdue">
      <formula>NOT(ISERROR(SEARCH("Overdue",T5)))</formula>
    </cfRule>
    <cfRule type="containsText" dxfId="4" priority="20" operator="containsText" text="Inactive">
      <formula>NOT(ISERROR(SEARCH("Inactive",T5)))</formula>
    </cfRule>
    <cfRule type="containsText" dxfId="1" priority="21" operator="containsText" text="Lost">
      <formula>NOT(ISERROR(SEARCH("Lost",T5)))</formula>
    </cfRule>
  </conditionalFormatting>
  <conditionalFormatting sqref="U5:U304">
    <cfRule type="containsText" dxfId="0" priority="22" operator="containsText" text="Completed">
      <formula>NOT(ISERROR(SEARCH("Completed",U5)))</formula>
    </cfRule>
    <cfRule type="containsText" dxfId="0" priority="23" operator="containsText" text="Confirmed">
      <formula>NOT(ISERROR(SEARCH("Confirmed",U5)))</formula>
    </cfRule>
    <cfRule type="containsText" dxfId="0" priority="24" operator="containsText" text="Paid">
      <formula>NOT(ISERROR(SEARCH("Paid",U5)))</formula>
    </cfRule>
    <cfRule type="containsText" dxfId="0" priority="25" operator="containsText" text="Active">
      <formula>NOT(ISERROR(SEARCH("Active",U5)))</formula>
    </cfRule>
    <cfRule type="containsText" dxfId="0" priority="26" operator="containsText" text="Resolved">
      <formula>NOT(ISERROR(SEARCH("Resolved",U5)))</formula>
    </cfRule>
    <cfRule type="containsText" dxfId="0" priority="27" operator="containsText" text="Given">
      <formula>NOT(ISERROR(SEARCH("Given",U5)))</formula>
    </cfRule>
    <cfRule type="containsText" dxfId="2" priority="28" operator="containsText" text="Pending">
      <formula>NOT(ISERROR(SEARCH("Pending",U5)))</formula>
    </cfRule>
    <cfRule type="containsText" dxfId="2" priority="29" operator="containsText" text="Draft">
      <formula>NOT(ISERROR(SEARCH("Draft",U5)))</formula>
    </cfRule>
    <cfRule type="containsText" dxfId="2" priority="30" operator="containsText" text="Enquiry">
      <formula>NOT(ISERROR(SEARCH("Enquiry",U5)))</formula>
    </cfRule>
    <cfRule type="containsText" dxfId="2" priority="31" operator="containsText" text="Partially">
      <formula>NOT(ISERROR(SEARCH("Partially",U5)))</formula>
    </cfRule>
    <cfRule type="containsText" dxfId="3" priority="32" operator="containsText" text="In progress">
      <formula>NOT(ISERROR(SEARCH("In progress",U5)))</formula>
    </cfRule>
    <cfRule type="containsText" dxfId="3" priority="33" operator="containsText" text="Scheduled">
      <formula>NOT(ISERROR(SEARCH("Scheduled",U5)))</formula>
    </cfRule>
    <cfRule type="containsText" dxfId="3" priority="34" operator="containsText" text="Sent">
      <formula>NOT(ISERROR(SEARCH("Sent",U5)))</formula>
    </cfRule>
    <cfRule type="containsText" dxfId="1" priority="35" operator="containsText" text="Cancelled">
      <formula>NOT(ISERROR(SEARCH("Cancelled",U5)))</formula>
    </cfRule>
    <cfRule type="containsText" dxfId="1" priority="36" operator="containsText" text="No show">
      <formula>NOT(ISERROR(SEARCH("No show",U5)))</formula>
    </cfRule>
    <cfRule type="containsText" dxfId="1" priority="37" operator="containsText" text="Missed">
      <formula>NOT(ISERROR(SEARCH("Missed",U5)))</formula>
    </cfRule>
    <cfRule type="containsText" dxfId="1" priority="38" operator="containsText" text="Overdue">
      <formula>NOT(ISERROR(SEARCH("Overdue",U5)))</formula>
    </cfRule>
    <cfRule type="containsText" dxfId="4" priority="39" operator="containsText" text="Inactive">
      <formula>NOT(ISERROR(SEARCH("Inactive",U5)))</formula>
    </cfRule>
    <cfRule type="containsText" dxfId="1" priority="40" operator="containsText" text="Lost">
      <formula>NOT(ISERROR(SEARCH("Lost",U5)))</formula>
    </cfRule>
  </conditionalFormatting>
  <conditionalFormatting sqref="V5:V304">
    <cfRule type="cellIs" dxfId="1" priority="41" operator="greaterThan">
      <formula>0</formula>
    </cfRule>
  </conditionalFormatting>
  <conditionalFormatting sqref="W5:W304">
    <cfRule type="containsText" dxfId="0" priority="42" operator="containsText" text="Paid">
      <formula>NOT(ISERROR(SEARCH("Paid",W5)))</formula>
    </cfRule>
    <cfRule type="containsText" dxfId="5" priority="43" operator="containsText" text="90+">
      <formula>NOT(ISERROR(SEARCH("90+",W5)))</formula>
    </cfRule>
    <cfRule type="containsText" dxfId="1" priority="44" operator="containsText" text="61-90">
      <formula>NOT(ISERROR(SEARCH("61-90",W5)))</formula>
    </cfRule>
    <cfRule type="containsText" dxfId="2" priority="45" operator="containsText" text="31-60">
      <formula>NOT(ISERROR(SEARCH("31-60",W5)))</formula>
    </cfRule>
  </conditionalFormatting>
  <conditionalFormatting sqref="Z5:Z304">
    <cfRule type="containsText" dxfId="0" priority="46" operator="containsText" text="Completed">
      <formula>NOT(ISERROR(SEARCH("Completed",Z5)))</formula>
    </cfRule>
    <cfRule type="containsText" dxfId="0" priority="47" operator="containsText" text="Confirmed">
      <formula>NOT(ISERROR(SEARCH("Confirmed",Z5)))</formula>
    </cfRule>
    <cfRule type="containsText" dxfId="0" priority="48" operator="containsText" text="Paid">
      <formula>NOT(ISERROR(SEARCH("Paid",Z5)))</formula>
    </cfRule>
    <cfRule type="containsText" dxfId="0" priority="49" operator="containsText" text="Active">
      <formula>NOT(ISERROR(SEARCH("Active",Z5)))</formula>
    </cfRule>
    <cfRule type="containsText" dxfId="0" priority="50" operator="containsText" text="Resolved">
      <formula>NOT(ISERROR(SEARCH("Resolved",Z5)))</formula>
    </cfRule>
    <cfRule type="containsText" dxfId="0" priority="51" operator="containsText" text="Given">
      <formula>NOT(ISERROR(SEARCH("Given",Z5)))</formula>
    </cfRule>
    <cfRule type="containsText" dxfId="2" priority="52" operator="containsText" text="Pending">
      <formula>NOT(ISERROR(SEARCH("Pending",Z5)))</formula>
    </cfRule>
    <cfRule type="containsText" dxfId="2" priority="53" operator="containsText" text="Draft">
      <formula>NOT(ISERROR(SEARCH("Draft",Z5)))</formula>
    </cfRule>
    <cfRule type="containsText" dxfId="2" priority="54" operator="containsText" text="Enquiry">
      <formula>NOT(ISERROR(SEARCH("Enquiry",Z5)))</formula>
    </cfRule>
    <cfRule type="containsText" dxfId="2" priority="55" operator="containsText" text="Partially">
      <formula>NOT(ISERROR(SEARCH("Partially",Z5)))</formula>
    </cfRule>
    <cfRule type="containsText" dxfId="3" priority="56" operator="containsText" text="In progress">
      <formula>NOT(ISERROR(SEARCH("In progress",Z5)))</formula>
    </cfRule>
    <cfRule type="containsText" dxfId="3" priority="57" operator="containsText" text="Scheduled">
      <formula>NOT(ISERROR(SEARCH("Scheduled",Z5)))</formula>
    </cfRule>
    <cfRule type="containsText" dxfId="3" priority="58" operator="containsText" text="Sent">
      <formula>NOT(ISERROR(SEARCH("Sent",Z5)))</formula>
    </cfRule>
    <cfRule type="containsText" dxfId="1" priority="59" operator="containsText" text="Cancelled">
      <formula>NOT(ISERROR(SEARCH("Cancelled",Z5)))</formula>
    </cfRule>
    <cfRule type="containsText" dxfId="1" priority="60" operator="containsText" text="No show">
      <formula>NOT(ISERROR(SEARCH("No show",Z5)))</formula>
    </cfRule>
    <cfRule type="containsText" dxfId="1" priority="61" operator="containsText" text="Missed">
      <formula>NOT(ISERROR(SEARCH("Missed",Z5)))</formula>
    </cfRule>
    <cfRule type="containsText" dxfId="1" priority="62" operator="containsText" text="Overdue">
      <formula>NOT(ISERROR(SEARCH("Overdue",Z5)))</formula>
    </cfRule>
    <cfRule type="containsText" dxfId="4" priority="63" operator="containsText" text="Inactive">
      <formula>NOT(ISERROR(SEARCH("Inactive",Z5)))</formula>
    </cfRule>
    <cfRule type="containsText" dxfId="1" priority="64" operator="containsText" text="Lost">
      <formula>NOT(ISERROR(SEARCH("Lost",Z5)))</formula>
    </cfRule>
  </conditionalFormatting>
  <dataValidations count="10">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D5:D304">
      <formula1>ClientNames</formula1>
    </dataValidation>
    <dataValidation type="list" allowBlank="1" showInputMessage="1" showErrorMessage="1" promptTitle="Booking ref" prompt="Link a booking and the invoice total is taken straight from it. Leave blank to bill manually with Qty x Rate." sqref="E5:E304">
      <formula1>BookingIDs</formula1>
    </dataValidation>
    <dataValidation type="decimal" allowBlank="1" showInputMessage="1" showErrorMessage="1" errorTitle="Check the value" error="Enter a number between 0 and 10000." sqref="H5:H304">
      <formula1>0</formula1>
      <formula2>10000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 sqref="K5:K304">
      <formula1>0</formula1>
      <formula2>100000</formula2>
    </dataValidation>
    <dataValidation type="decimal" allowBlank="1" showInputMessage="1" showErrorMessage="1" errorTitle="Check the value" error="Enter a number between 0 and 100000." sqref="L5:L304">
      <formula1>0</formula1>
      <formula2>100000</formula2>
    </dataValidation>
    <dataValidation type="list" allowBlank="1" showInputMessage="1" showErrorMessage="1" promptTitle="Invoice status" prompt="You control Draft / Sent / Cancelled. The payment status next to it is calculated from the Payments tab." sqref="T5:T304">
      <formula1>InvoiceStatusList</formula1>
    </dataValidation>
    <dataValidation type="date" allowBlank="1" showInputMessage="1" showErrorMessage="1" errorTitle="Check the date" error="Enter a real date between 2000 and 2100." sqref="Y5:Y304">
      <formula1>36526</formula1>
      <formula2>73415</formula2>
    </dataValidation>
    <dataValidation type="list" allowBlank="1" showInputMessage="1" showErrorMessage="1" sqref="Z5:Z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&amp;L&amp;"Calibri,Bold"&amp;12&amp;C&amp;"Calibri,Bold"&amp;11Invoices&amp;R&amp;"Calibri,Italic"&amp;9Pet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4.xml><?xml version="1.0" encoding="utf-8"?>
<worksheet xmlns="http://schemas.openxmlformats.org/spreadsheetml/2006/main" xmlns:r="http://schemas.openxmlformats.org/officeDocument/2006/relationships">
  <sheetPr>
    <tabColor rgb="FF116241"/>
    <pageSetUpPr fitToPage="1"/>
  </sheetPr>
  <dimension ref="A1:T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20.7109375" style="20" customWidth="1"/>
    <col min="4" max="4" width="12.7109375" style="20" customWidth="1"/>
    <col min="5" max="5" width="12.7109375" style="42" customWidth="1"/>
    <col min="6" max="6" width="16.7109375" style="20" customWidth="1"/>
    <col min="7" max="7" width="14.7109375" style="20" customWidth="1"/>
    <col min="8" max="8" width="10.7109375" style="42" customWidth="1"/>
    <col min="9" max="9" width="10.7109375" style="42" customWidth="1"/>
    <col min="10" max="10" width="11.7109375" style="42" customWidth="1"/>
    <col min="11" max="11" width="12.7109375" style="29" customWidth="1"/>
    <col min="12" max="12" width="12.7109375" style="29" customWidth="1"/>
    <col min="13" max="13" width="9.7109375" style="12" customWidth="1"/>
    <col min="14" max="14" width="10.7109375" style="12" customWidth="1"/>
    <col min="15" max="15" width="10.7109375" style="12" customWidth="1"/>
    <col min="16" max="16" width="12.7109375" style="29" customWidth="1"/>
    <col min="17" max="17" width="12.7109375" style="29" customWidth="1"/>
    <col min="18" max="18" width="30.7109375" style="47" customWidth="1"/>
    <col min="19" max="19" width="10.7109375" style="28" customWidth="1"/>
    <col min="20" max="20" width="22.7109375" style="49" customWidth="1"/>
  </cols>
  <sheetData>
    <row r="1" spans="1:20" ht="34" customHeight="1">
      <c r="A1" s="2" t="s">
        <v>892</v>
      </c>
      <c r="B1" s="2"/>
      <c r="C1" s="2"/>
      <c r="D1" s="2"/>
      <c r="E1" s="2"/>
      <c r="F1" s="2"/>
      <c r="G1" s="2"/>
      <c r="H1" s="2"/>
      <c r="I1" s="2"/>
      <c r="J1" s="2"/>
      <c r="K1" s="2"/>
      <c r="L1" s="2"/>
      <c r="M1" s="2"/>
      <c r="N1" s="2"/>
      <c r="O1" s="2"/>
      <c r="P1" s="2"/>
      <c r="Q1" s="2"/>
      <c r="R1" s="3" t="s">
        <v>118</v>
      </c>
      <c r="S1" s="3"/>
      <c r="T1" s="3"/>
    </row>
    <row r="2" spans="1:20" ht="18" customHeight="1">
      <c r="A2" s="4" t="s">
        <v>893</v>
      </c>
      <c r="B2" s="4"/>
      <c r="C2" s="4"/>
      <c r="D2" s="4"/>
      <c r="E2" s="4"/>
      <c r="F2" s="4"/>
      <c r="G2" s="4"/>
      <c r="H2" s="4"/>
      <c r="I2" s="4"/>
      <c r="J2" s="4"/>
      <c r="K2" s="4"/>
      <c r="L2" s="4"/>
      <c r="M2" s="4"/>
      <c r="N2" s="4"/>
      <c r="O2" s="4"/>
      <c r="P2" s="4"/>
      <c r="Q2" s="4"/>
      <c r="R2" s="4"/>
      <c r="S2" s="4"/>
      <c r="T2" s="4"/>
    </row>
    <row r="3" spans="1:20"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row>
    <row r="4" spans="1:20" ht="30" customHeight="1">
      <c r="A4" s="8" t="s">
        <v>642</v>
      </c>
      <c r="B4" s="8" t="s">
        <v>894</v>
      </c>
      <c r="C4" s="9" t="s">
        <v>207</v>
      </c>
      <c r="D4" s="9" t="s">
        <v>874</v>
      </c>
      <c r="E4" s="9" t="s">
        <v>895</v>
      </c>
      <c r="F4" s="9" t="s">
        <v>541</v>
      </c>
      <c r="G4" s="9" t="s">
        <v>896</v>
      </c>
      <c r="H4" s="9" t="s">
        <v>897</v>
      </c>
      <c r="I4" s="9" t="s">
        <v>898</v>
      </c>
      <c r="J4" s="9" t="s">
        <v>899</v>
      </c>
      <c r="K4" s="9" t="s">
        <v>900</v>
      </c>
      <c r="L4" s="9" t="s">
        <v>901</v>
      </c>
      <c r="M4" s="9" t="s">
        <v>902</v>
      </c>
      <c r="N4" s="9" t="s">
        <v>903</v>
      </c>
      <c r="O4" s="9" t="s">
        <v>904</v>
      </c>
      <c r="P4" s="9" t="s">
        <v>882</v>
      </c>
      <c r="Q4" s="9" t="s">
        <v>905</v>
      </c>
      <c r="R4" s="9" t="s">
        <v>339</v>
      </c>
      <c r="S4" s="9" t="s">
        <v>131</v>
      </c>
      <c r="T4" s="9" t="s">
        <v>686</v>
      </c>
    </row>
    <row r="5" spans="1:20">
      <c r="A5" s="46">
        <f>IF(B5="","","PM-"&amp;TEXT(ROW()-4,"0000"))</f>
        <v>0</v>
      </c>
      <c r="K5" s="29">
        <f>IF(B5="","",ROUND(IF(E5="",0,E5)-IF(J5="",0,J5),2))</f>
        <v>0</v>
      </c>
      <c r="L5" s="29">
        <f>IF(B5="","",ROUND(IF(E5="",0,E5)+IF(H5="",0,H5)+IF(I5="",0,I5)-IF(J5="",0,J5),2))</f>
        <v>0</v>
      </c>
      <c r="P5" s="29">
        <f>IF(D5="","",IFERROR(INDEX(Invoices!$O$5:$O$304,MATCH(D5,Invoices!$A$5:$A$304,0)),0))</f>
        <v>0</v>
      </c>
      <c r="Q5" s="29">
        <f>IF(D5="","",IFERROR(INDEX(Invoices!$S$5:$S$304,MATCH(D5,Invoices!$A$5:$A$304,0)),0))</f>
        <v>0</v>
      </c>
      <c r="S5" s="28">
        <f>IF(B5="","",TEXT(B5,"yyyy-mm"))</f>
        <v>0</v>
      </c>
      <c r="T5" s="49">
        <f>IF(B5="","",IF(N5&lt;&gt;"Yes","Unconfirmed - check it cleared",IF(O5&lt;&gt;"Yes","To reconcile",IF(AND(D5&lt;&gt;"",Q5&gt;0.004),"Invoice still has a balance","OK"))))</f>
        <v>0</v>
      </c>
    </row>
    <row r="6" spans="1:20">
      <c r="A6" s="46">
        <f>IF(B6="","","PM-"&amp;TEXT(ROW()-4,"0000"))</f>
        <v>0</v>
      </c>
      <c r="K6" s="29">
        <f>IF(B6="","",ROUND(IF(E6="",0,E6)-IF(J6="",0,J6),2))</f>
        <v>0</v>
      </c>
      <c r="L6" s="29">
        <f>IF(B6="","",ROUND(IF(E6="",0,E6)+IF(H6="",0,H6)+IF(I6="",0,I6)-IF(J6="",0,J6),2))</f>
        <v>0</v>
      </c>
      <c r="P6" s="29">
        <f>IF(D6="","",IFERROR(INDEX(Invoices!$O$5:$O$304,MATCH(D6,Invoices!$A$5:$A$304,0)),0))</f>
        <v>0</v>
      </c>
      <c r="Q6" s="29">
        <f>IF(D6="","",IFERROR(INDEX(Invoices!$S$5:$S$304,MATCH(D6,Invoices!$A$5:$A$304,0)),0))</f>
        <v>0</v>
      </c>
      <c r="S6" s="28">
        <f>IF(B6="","",TEXT(B6,"yyyy-mm"))</f>
        <v>0</v>
      </c>
      <c r="T6" s="49">
        <f>IF(B6="","",IF(N6&lt;&gt;"Yes","Unconfirmed - check it cleared",IF(O6&lt;&gt;"Yes","To reconcile",IF(AND(D6&lt;&gt;"",Q6&gt;0.004),"Invoice still has a balance","OK"))))</f>
        <v>0</v>
      </c>
    </row>
    <row r="7" spans="1:20">
      <c r="A7" s="46">
        <f>IF(B7="","","PM-"&amp;TEXT(ROW()-4,"0000"))</f>
        <v>0</v>
      </c>
      <c r="K7" s="29">
        <f>IF(B7="","",ROUND(IF(E7="",0,E7)-IF(J7="",0,J7),2))</f>
        <v>0</v>
      </c>
      <c r="L7" s="29">
        <f>IF(B7="","",ROUND(IF(E7="",0,E7)+IF(H7="",0,H7)+IF(I7="",0,I7)-IF(J7="",0,J7),2))</f>
        <v>0</v>
      </c>
      <c r="P7" s="29">
        <f>IF(D7="","",IFERROR(INDEX(Invoices!$O$5:$O$304,MATCH(D7,Invoices!$A$5:$A$304,0)),0))</f>
        <v>0</v>
      </c>
      <c r="Q7" s="29">
        <f>IF(D7="","",IFERROR(INDEX(Invoices!$S$5:$S$304,MATCH(D7,Invoices!$A$5:$A$304,0)),0))</f>
        <v>0</v>
      </c>
      <c r="S7" s="28">
        <f>IF(B7="","",TEXT(B7,"yyyy-mm"))</f>
        <v>0</v>
      </c>
      <c r="T7" s="49">
        <f>IF(B7="","",IF(N7&lt;&gt;"Yes","Unconfirmed - check it cleared",IF(O7&lt;&gt;"Yes","To reconcile",IF(AND(D7&lt;&gt;"",Q7&gt;0.004),"Invoice still has a balance","OK"))))</f>
        <v>0</v>
      </c>
    </row>
    <row r="8" spans="1:20">
      <c r="A8" s="46">
        <f>IF(B8="","","PM-"&amp;TEXT(ROW()-4,"0000"))</f>
        <v>0</v>
      </c>
      <c r="K8" s="29">
        <f>IF(B8="","",ROUND(IF(E8="",0,E8)-IF(J8="",0,J8),2))</f>
        <v>0</v>
      </c>
      <c r="L8" s="29">
        <f>IF(B8="","",ROUND(IF(E8="",0,E8)+IF(H8="",0,H8)+IF(I8="",0,I8)-IF(J8="",0,J8),2))</f>
        <v>0</v>
      </c>
      <c r="P8" s="29">
        <f>IF(D8="","",IFERROR(INDEX(Invoices!$O$5:$O$304,MATCH(D8,Invoices!$A$5:$A$304,0)),0))</f>
        <v>0</v>
      </c>
      <c r="Q8" s="29">
        <f>IF(D8="","",IFERROR(INDEX(Invoices!$S$5:$S$304,MATCH(D8,Invoices!$A$5:$A$304,0)),0))</f>
        <v>0</v>
      </c>
      <c r="S8" s="28">
        <f>IF(B8="","",TEXT(B8,"yyyy-mm"))</f>
        <v>0</v>
      </c>
      <c r="T8" s="49">
        <f>IF(B8="","",IF(N8&lt;&gt;"Yes","Unconfirmed - check it cleared",IF(O8&lt;&gt;"Yes","To reconcile",IF(AND(D8&lt;&gt;"",Q8&gt;0.004),"Invoice still has a balance","OK"))))</f>
        <v>0</v>
      </c>
    </row>
    <row r="9" spans="1:20">
      <c r="A9" s="46">
        <f>IF(B9="","","PM-"&amp;TEXT(ROW()-4,"0000"))</f>
        <v>0</v>
      </c>
      <c r="K9" s="29">
        <f>IF(B9="","",ROUND(IF(E9="",0,E9)-IF(J9="",0,J9),2))</f>
        <v>0</v>
      </c>
      <c r="L9" s="29">
        <f>IF(B9="","",ROUND(IF(E9="",0,E9)+IF(H9="",0,H9)+IF(I9="",0,I9)-IF(J9="",0,J9),2))</f>
        <v>0</v>
      </c>
      <c r="P9" s="29">
        <f>IF(D9="","",IFERROR(INDEX(Invoices!$O$5:$O$304,MATCH(D9,Invoices!$A$5:$A$304,0)),0))</f>
        <v>0</v>
      </c>
      <c r="Q9" s="29">
        <f>IF(D9="","",IFERROR(INDEX(Invoices!$S$5:$S$304,MATCH(D9,Invoices!$A$5:$A$304,0)),0))</f>
        <v>0</v>
      </c>
      <c r="S9" s="28">
        <f>IF(B9="","",TEXT(B9,"yyyy-mm"))</f>
        <v>0</v>
      </c>
      <c r="T9" s="49">
        <f>IF(B9="","",IF(N9&lt;&gt;"Yes","Unconfirmed - check it cleared",IF(O9&lt;&gt;"Yes","To reconcile",IF(AND(D9&lt;&gt;"",Q9&gt;0.004),"Invoice still has a balance","OK"))))</f>
        <v>0</v>
      </c>
    </row>
    <row r="10" spans="1:20">
      <c r="A10" s="46">
        <f>IF(B10="","","PM-"&amp;TEXT(ROW()-4,"0000"))</f>
        <v>0</v>
      </c>
      <c r="K10" s="29">
        <f>IF(B10="","",ROUND(IF(E10="",0,E10)-IF(J10="",0,J10),2))</f>
        <v>0</v>
      </c>
      <c r="L10" s="29">
        <f>IF(B10="","",ROUND(IF(E10="",0,E10)+IF(H10="",0,H10)+IF(I10="",0,I10)-IF(J10="",0,J10),2))</f>
        <v>0</v>
      </c>
      <c r="P10" s="29">
        <f>IF(D10="","",IFERROR(INDEX(Invoices!$O$5:$O$304,MATCH(D10,Invoices!$A$5:$A$304,0)),0))</f>
        <v>0</v>
      </c>
      <c r="Q10" s="29">
        <f>IF(D10="","",IFERROR(INDEX(Invoices!$S$5:$S$304,MATCH(D10,Invoices!$A$5:$A$304,0)),0))</f>
        <v>0</v>
      </c>
      <c r="S10" s="28">
        <f>IF(B10="","",TEXT(B10,"yyyy-mm"))</f>
        <v>0</v>
      </c>
      <c r="T10" s="49">
        <f>IF(B10="","",IF(N10&lt;&gt;"Yes","Unconfirmed - check it cleared",IF(O10&lt;&gt;"Yes","To reconcile",IF(AND(D10&lt;&gt;"",Q10&gt;0.004),"Invoice still has a balance","OK"))))</f>
        <v>0</v>
      </c>
    </row>
    <row r="11" spans="1:20">
      <c r="A11" s="46">
        <f>IF(B11="","","PM-"&amp;TEXT(ROW()-4,"0000"))</f>
        <v>0</v>
      </c>
      <c r="K11" s="29">
        <f>IF(B11="","",ROUND(IF(E11="",0,E11)-IF(J11="",0,J11),2))</f>
        <v>0</v>
      </c>
      <c r="L11" s="29">
        <f>IF(B11="","",ROUND(IF(E11="",0,E11)+IF(H11="",0,H11)+IF(I11="",0,I11)-IF(J11="",0,J11),2))</f>
        <v>0</v>
      </c>
      <c r="P11" s="29">
        <f>IF(D11="","",IFERROR(INDEX(Invoices!$O$5:$O$304,MATCH(D11,Invoices!$A$5:$A$304,0)),0))</f>
        <v>0</v>
      </c>
      <c r="Q11" s="29">
        <f>IF(D11="","",IFERROR(INDEX(Invoices!$S$5:$S$304,MATCH(D11,Invoices!$A$5:$A$304,0)),0))</f>
        <v>0</v>
      </c>
      <c r="S11" s="28">
        <f>IF(B11="","",TEXT(B11,"yyyy-mm"))</f>
        <v>0</v>
      </c>
      <c r="T11" s="49">
        <f>IF(B11="","",IF(N11&lt;&gt;"Yes","Unconfirmed - check it cleared",IF(O11&lt;&gt;"Yes","To reconcile",IF(AND(D11&lt;&gt;"",Q11&gt;0.004),"Invoice still has a balance","OK"))))</f>
        <v>0</v>
      </c>
    </row>
    <row r="12" spans="1:20">
      <c r="A12" s="46">
        <f>IF(B12="","","PM-"&amp;TEXT(ROW()-4,"0000"))</f>
        <v>0</v>
      </c>
      <c r="K12" s="29">
        <f>IF(B12="","",ROUND(IF(E12="",0,E12)-IF(J12="",0,J12),2))</f>
        <v>0</v>
      </c>
      <c r="L12" s="29">
        <f>IF(B12="","",ROUND(IF(E12="",0,E12)+IF(H12="",0,H12)+IF(I12="",0,I12)-IF(J12="",0,J12),2))</f>
        <v>0</v>
      </c>
      <c r="P12" s="29">
        <f>IF(D12="","",IFERROR(INDEX(Invoices!$O$5:$O$304,MATCH(D12,Invoices!$A$5:$A$304,0)),0))</f>
        <v>0</v>
      </c>
      <c r="Q12" s="29">
        <f>IF(D12="","",IFERROR(INDEX(Invoices!$S$5:$S$304,MATCH(D12,Invoices!$A$5:$A$304,0)),0))</f>
        <v>0</v>
      </c>
      <c r="S12" s="28">
        <f>IF(B12="","",TEXT(B12,"yyyy-mm"))</f>
        <v>0</v>
      </c>
      <c r="T12" s="49">
        <f>IF(B12="","",IF(N12&lt;&gt;"Yes","Unconfirmed - check it cleared",IF(O12&lt;&gt;"Yes","To reconcile",IF(AND(D12&lt;&gt;"",Q12&gt;0.004),"Invoice still has a balance","OK"))))</f>
        <v>0</v>
      </c>
    </row>
    <row r="13" spans="1:20">
      <c r="A13" s="46">
        <f>IF(B13="","","PM-"&amp;TEXT(ROW()-4,"0000"))</f>
        <v>0</v>
      </c>
      <c r="K13" s="29">
        <f>IF(B13="","",ROUND(IF(E13="",0,E13)-IF(J13="",0,J13),2))</f>
        <v>0</v>
      </c>
      <c r="L13" s="29">
        <f>IF(B13="","",ROUND(IF(E13="",0,E13)+IF(H13="",0,H13)+IF(I13="",0,I13)-IF(J13="",0,J13),2))</f>
        <v>0</v>
      </c>
      <c r="P13" s="29">
        <f>IF(D13="","",IFERROR(INDEX(Invoices!$O$5:$O$304,MATCH(D13,Invoices!$A$5:$A$304,0)),0))</f>
        <v>0</v>
      </c>
      <c r="Q13" s="29">
        <f>IF(D13="","",IFERROR(INDEX(Invoices!$S$5:$S$304,MATCH(D13,Invoices!$A$5:$A$304,0)),0))</f>
        <v>0</v>
      </c>
      <c r="S13" s="28">
        <f>IF(B13="","",TEXT(B13,"yyyy-mm"))</f>
        <v>0</v>
      </c>
      <c r="T13" s="49">
        <f>IF(B13="","",IF(N13&lt;&gt;"Yes","Unconfirmed - check it cleared",IF(O13&lt;&gt;"Yes","To reconcile",IF(AND(D13&lt;&gt;"",Q13&gt;0.004),"Invoice still has a balance","OK"))))</f>
        <v>0</v>
      </c>
    </row>
    <row r="14" spans="1:20">
      <c r="A14" s="46">
        <f>IF(B14="","","PM-"&amp;TEXT(ROW()-4,"0000"))</f>
        <v>0</v>
      </c>
      <c r="K14" s="29">
        <f>IF(B14="","",ROUND(IF(E14="",0,E14)-IF(J14="",0,J14),2))</f>
        <v>0</v>
      </c>
      <c r="L14" s="29">
        <f>IF(B14="","",ROUND(IF(E14="",0,E14)+IF(H14="",0,H14)+IF(I14="",0,I14)-IF(J14="",0,J14),2))</f>
        <v>0</v>
      </c>
      <c r="P14" s="29">
        <f>IF(D14="","",IFERROR(INDEX(Invoices!$O$5:$O$304,MATCH(D14,Invoices!$A$5:$A$304,0)),0))</f>
        <v>0</v>
      </c>
      <c r="Q14" s="29">
        <f>IF(D14="","",IFERROR(INDEX(Invoices!$S$5:$S$304,MATCH(D14,Invoices!$A$5:$A$304,0)),0))</f>
        <v>0</v>
      </c>
      <c r="S14" s="28">
        <f>IF(B14="","",TEXT(B14,"yyyy-mm"))</f>
        <v>0</v>
      </c>
      <c r="T14" s="49">
        <f>IF(B14="","",IF(N14&lt;&gt;"Yes","Unconfirmed - check it cleared",IF(O14&lt;&gt;"Yes","To reconcile",IF(AND(D14&lt;&gt;"",Q14&gt;0.004),"Invoice still has a balance","OK"))))</f>
        <v>0</v>
      </c>
    </row>
    <row r="15" spans="1:20">
      <c r="A15" s="46">
        <f>IF(B15="","","PM-"&amp;TEXT(ROW()-4,"0000"))</f>
        <v>0</v>
      </c>
      <c r="K15" s="29">
        <f>IF(B15="","",ROUND(IF(E15="",0,E15)-IF(J15="",0,J15),2))</f>
        <v>0</v>
      </c>
      <c r="L15" s="29">
        <f>IF(B15="","",ROUND(IF(E15="",0,E15)+IF(H15="",0,H15)+IF(I15="",0,I15)-IF(J15="",0,J15),2))</f>
        <v>0</v>
      </c>
      <c r="P15" s="29">
        <f>IF(D15="","",IFERROR(INDEX(Invoices!$O$5:$O$304,MATCH(D15,Invoices!$A$5:$A$304,0)),0))</f>
        <v>0</v>
      </c>
      <c r="Q15" s="29">
        <f>IF(D15="","",IFERROR(INDEX(Invoices!$S$5:$S$304,MATCH(D15,Invoices!$A$5:$A$304,0)),0))</f>
        <v>0</v>
      </c>
      <c r="S15" s="28">
        <f>IF(B15="","",TEXT(B15,"yyyy-mm"))</f>
        <v>0</v>
      </c>
      <c r="T15" s="49">
        <f>IF(B15="","",IF(N15&lt;&gt;"Yes","Unconfirmed - check it cleared",IF(O15&lt;&gt;"Yes","To reconcile",IF(AND(D15&lt;&gt;"",Q15&gt;0.004),"Invoice still has a balance","OK"))))</f>
        <v>0</v>
      </c>
    </row>
    <row r="16" spans="1:20">
      <c r="A16" s="46">
        <f>IF(B16="","","PM-"&amp;TEXT(ROW()-4,"0000"))</f>
        <v>0</v>
      </c>
      <c r="K16" s="29">
        <f>IF(B16="","",ROUND(IF(E16="",0,E16)-IF(J16="",0,J16),2))</f>
        <v>0</v>
      </c>
      <c r="L16" s="29">
        <f>IF(B16="","",ROUND(IF(E16="",0,E16)+IF(H16="",0,H16)+IF(I16="",0,I16)-IF(J16="",0,J16),2))</f>
        <v>0</v>
      </c>
      <c r="P16" s="29">
        <f>IF(D16="","",IFERROR(INDEX(Invoices!$O$5:$O$304,MATCH(D16,Invoices!$A$5:$A$304,0)),0))</f>
        <v>0</v>
      </c>
      <c r="Q16" s="29">
        <f>IF(D16="","",IFERROR(INDEX(Invoices!$S$5:$S$304,MATCH(D16,Invoices!$A$5:$A$304,0)),0))</f>
        <v>0</v>
      </c>
      <c r="S16" s="28">
        <f>IF(B16="","",TEXT(B16,"yyyy-mm"))</f>
        <v>0</v>
      </c>
      <c r="T16" s="49">
        <f>IF(B16="","",IF(N16&lt;&gt;"Yes","Unconfirmed - check it cleared",IF(O16&lt;&gt;"Yes","To reconcile",IF(AND(D16&lt;&gt;"",Q16&gt;0.004),"Invoice still has a balance","OK"))))</f>
        <v>0</v>
      </c>
    </row>
    <row r="17" spans="1:20">
      <c r="A17" s="46">
        <f>IF(B17="","","PM-"&amp;TEXT(ROW()-4,"0000"))</f>
        <v>0</v>
      </c>
      <c r="K17" s="29">
        <f>IF(B17="","",ROUND(IF(E17="",0,E17)-IF(J17="",0,J17),2))</f>
        <v>0</v>
      </c>
      <c r="L17" s="29">
        <f>IF(B17="","",ROUND(IF(E17="",0,E17)+IF(H17="",0,H17)+IF(I17="",0,I17)-IF(J17="",0,J17),2))</f>
        <v>0</v>
      </c>
      <c r="P17" s="29">
        <f>IF(D17="","",IFERROR(INDEX(Invoices!$O$5:$O$304,MATCH(D17,Invoices!$A$5:$A$304,0)),0))</f>
        <v>0</v>
      </c>
      <c r="Q17" s="29">
        <f>IF(D17="","",IFERROR(INDEX(Invoices!$S$5:$S$304,MATCH(D17,Invoices!$A$5:$A$304,0)),0))</f>
        <v>0</v>
      </c>
      <c r="S17" s="28">
        <f>IF(B17="","",TEXT(B17,"yyyy-mm"))</f>
        <v>0</v>
      </c>
      <c r="T17" s="49">
        <f>IF(B17="","",IF(N17&lt;&gt;"Yes","Unconfirmed - check it cleared",IF(O17&lt;&gt;"Yes","To reconcile",IF(AND(D17&lt;&gt;"",Q17&gt;0.004),"Invoice still has a balance","OK"))))</f>
        <v>0</v>
      </c>
    </row>
    <row r="18" spans="1:20">
      <c r="A18" s="46">
        <f>IF(B18="","","PM-"&amp;TEXT(ROW()-4,"0000"))</f>
        <v>0</v>
      </c>
      <c r="K18" s="29">
        <f>IF(B18="","",ROUND(IF(E18="",0,E18)-IF(J18="",0,J18),2))</f>
        <v>0</v>
      </c>
      <c r="L18" s="29">
        <f>IF(B18="","",ROUND(IF(E18="",0,E18)+IF(H18="",0,H18)+IF(I18="",0,I18)-IF(J18="",0,J18),2))</f>
        <v>0</v>
      </c>
      <c r="P18" s="29">
        <f>IF(D18="","",IFERROR(INDEX(Invoices!$O$5:$O$304,MATCH(D18,Invoices!$A$5:$A$304,0)),0))</f>
        <v>0</v>
      </c>
      <c r="Q18" s="29">
        <f>IF(D18="","",IFERROR(INDEX(Invoices!$S$5:$S$304,MATCH(D18,Invoices!$A$5:$A$304,0)),0))</f>
        <v>0</v>
      </c>
      <c r="S18" s="28">
        <f>IF(B18="","",TEXT(B18,"yyyy-mm"))</f>
        <v>0</v>
      </c>
      <c r="T18" s="49">
        <f>IF(B18="","",IF(N18&lt;&gt;"Yes","Unconfirmed - check it cleared",IF(O18&lt;&gt;"Yes","To reconcile",IF(AND(D18&lt;&gt;"",Q18&gt;0.004),"Invoice still has a balance","OK"))))</f>
        <v>0</v>
      </c>
    </row>
    <row r="19" spans="1:20">
      <c r="A19" s="46">
        <f>IF(B19="","","PM-"&amp;TEXT(ROW()-4,"0000"))</f>
        <v>0</v>
      </c>
      <c r="K19" s="29">
        <f>IF(B19="","",ROUND(IF(E19="",0,E19)-IF(J19="",0,J19),2))</f>
        <v>0</v>
      </c>
      <c r="L19" s="29">
        <f>IF(B19="","",ROUND(IF(E19="",0,E19)+IF(H19="",0,H19)+IF(I19="",0,I19)-IF(J19="",0,J19),2))</f>
        <v>0</v>
      </c>
      <c r="P19" s="29">
        <f>IF(D19="","",IFERROR(INDEX(Invoices!$O$5:$O$304,MATCH(D19,Invoices!$A$5:$A$304,0)),0))</f>
        <v>0</v>
      </c>
      <c r="Q19" s="29">
        <f>IF(D19="","",IFERROR(INDEX(Invoices!$S$5:$S$304,MATCH(D19,Invoices!$A$5:$A$304,0)),0))</f>
        <v>0</v>
      </c>
      <c r="S19" s="28">
        <f>IF(B19="","",TEXT(B19,"yyyy-mm"))</f>
        <v>0</v>
      </c>
      <c r="T19" s="49">
        <f>IF(B19="","",IF(N19&lt;&gt;"Yes","Unconfirmed - check it cleared",IF(O19&lt;&gt;"Yes","To reconcile",IF(AND(D19&lt;&gt;"",Q19&gt;0.004),"Invoice still has a balance","OK"))))</f>
        <v>0</v>
      </c>
    </row>
    <row r="20" spans="1:20">
      <c r="A20" s="46">
        <f>IF(B20="","","PM-"&amp;TEXT(ROW()-4,"0000"))</f>
        <v>0</v>
      </c>
      <c r="K20" s="29">
        <f>IF(B20="","",ROUND(IF(E20="",0,E20)-IF(J20="",0,J20),2))</f>
        <v>0</v>
      </c>
      <c r="L20" s="29">
        <f>IF(B20="","",ROUND(IF(E20="",0,E20)+IF(H20="",0,H20)+IF(I20="",0,I20)-IF(J20="",0,J20),2))</f>
        <v>0</v>
      </c>
      <c r="P20" s="29">
        <f>IF(D20="","",IFERROR(INDEX(Invoices!$O$5:$O$304,MATCH(D20,Invoices!$A$5:$A$304,0)),0))</f>
        <v>0</v>
      </c>
      <c r="Q20" s="29">
        <f>IF(D20="","",IFERROR(INDEX(Invoices!$S$5:$S$304,MATCH(D20,Invoices!$A$5:$A$304,0)),0))</f>
        <v>0</v>
      </c>
      <c r="S20" s="28">
        <f>IF(B20="","",TEXT(B20,"yyyy-mm"))</f>
        <v>0</v>
      </c>
      <c r="T20" s="49">
        <f>IF(B20="","",IF(N20&lt;&gt;"Yes","Unconfirmed - check it cleared",IF(O20&lt;&gt;"Yes","To reconcile",IF(AND(D20&lt;&gt;"",Q20&gt;0.004),"Invoice still has a balance","OK"))))</f>
        <v>0</v>
      </c>
    </row>
    <row r="21" spans="1:20">
      <c r="A21" s="46">
        <f>IF(B21="","","PM-"&amp;TEXT(ROW()-4,"0000"))</f>
        <v>0</v>
      </c>
      <c r="K21" s="29">
        <f>IF(B21="","",ROUND(IF(E21="",0,E21)-IF(J21="",0,J21),2))</f>
        <v>0</v>
      </c>
      <c r="L21" s="29">
        <f>IF(B21="","",ROUND(IF(E21="",0,E21)+IF(H21="",0,H21)+IF(I21="",0,I21)-IF(J21="",0,J21),2))</f>
        <v>0</v>
      </c>
      <c r="P21" s="29">
        <f>IF(D21="","",IFERROR(INDEX(Invoices!$O$5:$O$304,MATCH(D21,Invoices!$A$5:$A$304,0)),0))</f>
        <v>0</v>
      </c>
      <c r="Q21" s="29">
        <f>IF(D21="","",IFERROR(INDEX(Invoices!$S$5:$S$304,MATCH(D21,Invoices!$A$5:$A$304,0)),0))</f>
        <v>0</v>
      </c>
      <c r="S21" s="28">
        <f>IF(B21="","",TEXT(B21,"yyyy-mm"))</f>
        <v>0</v>
      </c>
      <c r="T21" s="49">
        <f>IF(B21="","",IF(N21&lt;&gt;"Yes","Unconfirmed - check it cleared",IF(O21&lt;&gt;"Yes","To reconcile",IF(AND(D21&lt;&gt;"",Q21&gt;0.004),"Invoice still has a balance","OK"))))</f>
        <v>0</v>
      </c>
    </row>
    <row r="22" spans="1:20">
      <c r="A22" s="46">
        <f>IF(B22="","","PM-"&amp;TEXT(ROW()-4,"0000"))</f>
        <v>0</v>
      </c>
      <c r="K22" s="29">
        <f>IF(B22="","",ROUND(IF(E22="",0,E22)-IF(J22="",0,J22),2))</f>
        <v>0</v>
      </c>
      <c r="L22" s="29">
        <f>IF(B22="","",ROUND(IF(E22="",0,E22)+IF(H22="",0,H22)+IF(I22="",0,I22)-IF(J22="",0,J22),2))</f>
        <v>0</v>
      </c>
      <c r="P22" s="29">
        <f>IF(D22="","",IFERROR(INDEX(Invoices!$O$5:$O$304,MATCH(D22,Invoices!$A$5:$A$304,0)),0))</f>
        <v>0</v>
      </c>
      <c r="Q22" s="29">
        <f>IF(D22="","",IFERROR(INDEX(Invoices!$S$5:$S$304,MATCH(D22,Invoices!$A$5:$A$304,0)),0))</f>
        <v>0</v>
      </c>
      <c r="S22" s="28">
        <f>IF(B22="","",TEXT(B22,"yyyy-mm"))</f>
        <v>0</v>
      </c>
      <c r="T22" s="49">
        <f>IF(B22="","",IF(N22&lt;&gt;"Yes","Unconfirmed - check it cleared",IF(O22&lt;&gt;"Yes","To reconcile",IF(AND(D22&lt;&gt;"",Q22&gt;0.004),"Invoice still has a balance","OK"))))</f>
        <v>0</v>
      </c>
    </row>
    <row r="23" spans="1:20">
      <c r="A23" s="46">
        <f>IF(B23="","","PM-"&amp;TEXT(ROW()-4,"0000"))</f>
        <v>0</v>
      </c>
      <c r="K23" s="29">
        <f>IF(B23="","",ROUND(IF(E23="",0,E23)-IF(J23="",0,J23),2))</f>
        <v>0</v>
      </c>
      <c r="L23" s="29">
        <f>IF(B23="","",ROUND(IF(E23="",0,E23)+IF(H23="",0,H23)+IF(I23="",0,I23)-IF(J23="",0,J23),2))</f>
        <v>0</v>
      </c>
      <c r="P23" s="29">
        <f>IF(D23="","",IFERROR(INDEX(Invoices!$O$5:$O$304,MATCH(D23,Invoices!$A$5:$A$304,0)),0))</f>
        <v>0</v>
      </c>
      <c r="Q23" s="29">
        <f>IF(D23="","",IFERROR(INDEX(Invoices!$S$5:$S$304,MATCH(D23,Invoices!$A$5:$A$304,0)),0))</f>
        <v>0</v>
      </c>
      <c r="S23" s="28">
        <f>IF(B23="","",TEXT(B23,"yyyy-mm"))</f>
        <v>0</v>
      </c>
      <c r="T23" s="49">
        <f>IF(B23="","",IF(N23&lt;&gt;"Yes","Unconfirmed - check it cleared",IF(O23&lt;&gt;"Yes","To reconcile",IF(AND(D23&lt;&gt;"",Q23&gt;0.004),"Invoice still has a balance","OK"))))</f>
        <v>0</v>
      </c>
    </row>
    <row r="24" spans="1:20">
      <c r="A24" s="46">
        <f>IF(B24="","","PM-"&amp;TEXT(ROW()-4,"0000"))</f>
        <v>0</v>
      </c>
      <c r="K24" s="29">
        <f>IF(B24="","",ROUND(IF(E24="",0,E24)-IF(J24="",0,J24),2))</f>
        <v>0</v>
      </c>
      <c r="L24" s="29">
        <f>IF(B24="","",ROUND(IF(E24="",0,E24)+IF(H24="",0,H24)+IF(I24="",0,I24)-IF(J24="",0,J24),2))</f>
        <v>0</v>
      </c>
      <c r="P24" s="29">
        <f>IF(D24="","",IFERROR(INDEX(Invoices!$O$5:$O$304,MATCH(D24,Invoices!$A$5:$A$304,0)),0))</f>
        <v>0</v>
      </c>
      <c r="Q24" s="29">
        <f>IF(D24="","",IFERROR(INDEX(Invoices!$S$5:$S$304,MATCH(D24,Invoices!$A$5:$A$304,0)),0))</f>
        <v>0</v>
      </c>
      <c r="S24" s="28">
        <f>IF(B24="","",TEXT(B24,"yyyy-mm"))</f>
        <v>0</v>
      </c>
      <c r="T24" s="49">
        <f>IF(B24="","",IF(N24&lt;&gt;"Yes","Unconfirmed - check it cleared",IF(O24&lt;&gt;"Yes","To reconcile",IF(AND(D24&lt;&gt;"",Q24&gt;0.004),"Invoice still has a balance","OK"))))</f>
        <v>0</v>
      </c>
    </row>
    <row r="25" spans="1:20">
      <c r="A25" s="46">
        <f>IF(B25="","","PM-"&amp;TEXT(ROW()-4,"0000"))</f>
        <v>0</v>
      </c>
      <c r="K25" s="29">
        <f>IF(B25="","",ROUND(IF(E25="",0,E25)-IF(J25="",0,J25),2))</f>
        <v>0</v>
      </c>
      <c r="L25" s="29">
        <f>IF(B25="","",ROUND(IF(E25="",0,E25)+IF(H25="",0,H25)+IF(I25="",0,I25)-IF(J25="",0,J25),2))</f>
        <v>0</v>
      </c>
      <c r="P25" s="29">
        <f>IF(D25="","",IFERROR(INDEX(Invoices!$O$5:$O$304,MATCH(D25,Invoices!$A$5:$A$304,0)),0))</f>
        <v>0</v>
      </c>
      <c r="Q25" s="29">
        <f>IF(D25="","",IFERROR(INDEX(Invoices!$S$5:$S$304,MATCH(D25,Invoices!$A$5:$A$304,0)),0))</f>
        <v>0</v>
      </c>
      <c r="S25" s="28">
        <f>IF(B25="","",TEXT(B25,"yyyy-mm"))</f>
        <v>0</v>
      </c>
      <c r="T25" s="49">
        <f>IF(B25="","",IF(N25&lt;&gt;"Yes","Unconfirmed - check it cleared",IF(O25&lt;&gt;"Yes","To reconcile",IF(AND(D25&lt;&gt;"",Q25&gt;0.004),"Invoice still has a balance","OK"))))</f>
        <v>0</v>
      </c>
    </row>
    <row r="26" spans="1:20">
      <c r="A26" s="46">
        <f>IF(B26="","","PM-"&amp;TEXT(ROW()-4,"0000"))</f>
        <v>0</v>
      </c>
      <c r="K26" s="29">
        <f>IF(B26="","",ROUND(IF(E26="",0,E26)-IF(J26="",0,J26),2))</f>
        <v>0</v>
      </c>
      <c r="L26" s="29">
        <f>IF(B26="","",ROUND(IF(E26="",0,E26)+IF(H26="",0,H26)+IF(I26="",0,I26)-IF(J26="",0,J26),2))</f>
        <v>0</v>
      </c>
      <c r="P26" s="29">
        <f>IF(D26="","",IFERROR(INDEX(Invoices!$O$5:$O$304,MATCH(D26,Invoices!$A$5:$A$304,0)),0))</f>
        <v>0</v>
      </c>
      <c r="Q26" s="29">
        <f>IF(D26="","",IFERROR(INDEX(Invoices!$S$5:$S$304,MATCH(D26,Invoices!$A$5:$A$304,0)),0))</f>
        <v>0</v>
      </c>
      <c r="S26" s="28">
        <f>IF(B26="","",TEXT(B26,"yyyy-mm"))</f>
        <v>0</v>
      </c>
      <c r="T26" s="49">
        <f>IF(B26="","",IF(N26&lt;&gt;"Yes","Unconfirmed - check it cleared",IF(O26&lt;&gt;"Yes","To reconcile",IF(AND(D26&lt;&gt;"",Q26&gt;0.004),"Invoice still has a balance","OK"))))</f>
        <v>0</v>
      </c>
    </row>
    <row r="27" spans="1:20">
      <c r="A27" s="46">
        <f>IF(B27="","","PM-"&amp;TEXT(ROW()-4,"0000"))</f>
        <v>0</v>
      </c>
      <c r="K27" s="29">
        <f>IF(B27="","",ROUND(IF(E27="",0,E27)-IF(J27="",0,J27),2))</f>
        <v>0</v>
      </c>
      <c r="L27" s="29">
        <f>IF(B27="","",ROUND(IF(E27="",0,E27)+IF(H27="",0,H27)+IF(I27="",0,I27)-IF(J27="",0,J27),2))</f>
        <v>0</v>
      </c>
      <c r="P27" s="29">
        <f>IF(D27="","",IFERROR(INDEX(Invoices!$O$5:$O$304,MATCH(D27,Invoices!$A$5:$A$304,0)),0))</f>
        <v>0</v>
      </c>
      <c r="Q27" s="29">
        <f>IF(D27="","",IFERROR(INDEX(Invoices!$S$5:$S$304,MATCH(D27,Invoices!$A$5:$A$304,0)),0))</f>
        <v>0</v>
      </c>
      <c r="S27" s="28">
        <f>IF(B27="","",TEXT(B27,"yyyy-mm"))</f>
        <v>0</v>
      </c>
      <c r="T27" s="49">
        <f>IF(B27="","",IF(N27&lt;&gt;"Yes","Unconfirmed - check it cleared",IF(O27&lt;&gt;"Yes","To reconcile",IF(AND(D27&lt;&gt;"",Q27&gt;0.004),"Invoice still has a balance","OK"))))</f>
        <v>0</v>
      </c>
    </row>
    <row r="28" spans="1:20">
      <c r="A28" s="46">
        <f>IF(B28="","","PM-"&amp;TEXT(ROW()-4,"0000"))</f>
        <v>0</v>
      </c>
      <c r="K28" s="29">
        <f>IF(B28="","",ROUND(IF(E28="",0,E28)-IF(J28="",0,J28),2))</f>
        <v>0</v>
      </c>
      <c r="L28" s="29">
        <f>IF(B28="","",ROUND(IF(E28="",0,E28)+IF(H28="",0,H28)+IF(I28="",0,I28)-IF(J28="",0,J28),2))</f>
        <v>0</v>
      </c>
      <c r="P28" s="29">
        <f>IF(D28="","",IFERROR(INDEX(Invoices!$O$5:$O$304,MATCH(D28,Invoices!$A$5:$A$304,0)),0))</f>
        <v>0</v>
      </c>
      <c r="Q28" s="29">
        <f>IF(D28="","",IFERROR(INDEX(Invoices!$S$5:$S$304,MATCH(D28,Invoices!$A$5:$A$304,0)),0))</f>
        <v>0</v>
      </c>
      <c r="S28" s="28">
        <f>IF(B28="","",TEXT(B28,"yyyy-mm"))</f>
        <v>0</v>
      </c>
      <c r="T28" s="49">
        <f>IF(B28="","",IF(N28&lt;&gt;"Yes","Unconfirmed - check it cleared",IF(O28&lt;&gt;"Yes","To reconcile",IF(AND(D28&lt;&gt;"",Q28&gt;0.004),"Invoice still has a balance","OK"))))</f>
        <v>0</v>
      </c>
    </row>
    <row r="29" spans="1:20">
      <c r="A29" s="46">
        <f>IF(B29="","","PM-"&amp;TEXT(ROW()-4,"0000"))</f>
        <v>0</v>
      </c>
      <c r="K29" s="29">
        <f>IF(B29="","",ROUND(IF(E29="",0,E29)-IF(J29="",0,J29),2))</f>
        <v>0</v>
      </c>
      <c r="L29" s="29">
        <f>IF(B29="","",ROUND(IF(E29="",0,E29)+IF(H29="",0,H29)+IF(I29="",0,I29)-IF(J29="",0,J29),2))</f>
        <v>0</v>
      </c>
      <c r="P29" s="29">
        <f>IF(D29="","",IFERROR(INDEX(Invoices!$O$5:$O$304,MATCH(D29,Invoices!$A$5:$A$304,0)),0))</f>
        <v>0</v>
      </c>
      <c r="Q29" s="29">
        <f>IF(D29="","",IFERROR(INDEX(Invoices!$S$5:$S$304,MATCH(D29,Invoices!$A$5:$A$304,0)),0))</f>
        <v>0</v>
      </c>
      <c r="S29" s="28">
        <f>IF(B29="","",TEXT(B29,"yyyy-mm"))</f>
        <v>0</v>
      </c>
      <c r="T29" s="49">
        <f>IF(B29="","",IF(N29&lt;&gt;"Yes","Unconfirmed - check it cleared",IF(O29&lt;&gt;"Yes","To reconcile",IF(AND(D29&lt;&gt;"",Q29&gt;0.004),"Invoice still has a balance","OK"))))</f>
        <v>0</v>
      </c>
    </row>
    <row r="30" spans="1:20">
      <c r="A30" s="46">
        <f>IF(B30="","","PM-"&amp;TEXT(ROW()-4,"0000"))</f>
        <v>0</v>
      </c>
      <c r="K30" s="29">
        <f>IF(B30="","",ROUND(IF(E30="",0,E30)-IF(J30="",0,J30),2))</f>
        <v>0</v>
      </c>
      <c r="L30" s="29">
        <f>IF(B30="","",ROUND(IF(E30="",0,E30)+IF(H30="",0,H30)+IF(I30="",0,I30)-IF(J30="",0,J30),2))</f>
        <v>0</v>
      </c>
      <c r="P30" s="29">
        <f>IF(D30="","",IFERROR(INDEX(Invoices!$O$5:$O$304,MATCH(D30,Invoices!$A$5:$A$304,0)),0))</f>
        <v>0</v>
      </c>
      <c r="Q30" s="29">
        <f>IF(D30="","",IFERROR(INDEX(Invoices!$S$5:$S$304,MATCH(D30,Invoices!$A$5:$A$304,0)),0))</f>
        <v>0</v>
      </c>
      <c r="S30" s="28">
        <f>IF(B30="","",TEXT(B30,"yyyy-mm"))</f>
        <v>0</v>
      </c>
      <c r="T30" s="49">
        <f>IF(B30="","",IF(N30&lt;&gt;"Yes","Unconfirmed - check it cleared",IF(O30&lt;&gt;"Yes","To reconcile",IF(AND(D30&lt;&gt;"",Q30&gt;0.004),"Invoice still has a balance","OK"))))</f>
        <v>0</v>
      </c>
    </row>
    <row r="31" spans="1:20">
      <c r="A31" s="46">
        <f>IF(B31="","","PM-"&amp;TEXT(ROW()-4,"0000"))</f>
        <v>0</v>
      </c>
      <c r="K31" s="29">
        <f>IF(B31="","",ROUND(IF(E31="",0,E31)-IF(J31="",0,J31),2))</f>
        <v>0</v>
      </c>
      <c r="L31" s="29">
        <f>IF(B31="","",ROUND(IF(E31="",0,E31)+IF(H31="",0,H31)+IF(I31="",0,I31)-IF(J31="",0,J31),2))</f>
        <v>0</v>
      </c>
      <c r="P31" s="29">
        <f>IF(D31="","",IFERROR(INDEX(Invoices!$O$5:$O$304,MATCH(D31,Invoices!$A$5:$A$304,0)),0))</f>
        <v>0</v>
      </c>
      <c r="Q31" s="29">
        <f>IF(D31="","",IFERROR(INDEX(Invoices!$S$5:$S$304,MATCH(D31,Invoices!$A$5:$A$304,0)),0))</f>
        <v>0</v>
      </c>
      <c r="S31" s="28">
        <f>IF(B31="","",TEXT(B31,"yyyy-mm"))</f>
        <v>0</v>
      </c>
      <c r="T31" s="49">
        <f>IF(B31="","",IF(N31&lt;&gt;"Yes","Unconfirmed - check it cleared",IF(O31&lt;&gt;"Yes","To reconcile",IF(AND(D31&lt;&gt;"",Q31&gt;0.004),"Invoice still has a balance","OK"))))</f>
        <v>0</v>
      </c>
    </row>
    <row r="32" spans="1:20">
      <c r="A32" s="46">
        <f>IF(B32="","","PM-"&amp;TEXT(ROW()-4,"0000"))</f>
        <v>0</v>
      </c>
      <c r="K32" s="29">
        <f>IF(B32="","",ROUND(IF(E32="",0,E32)-IF(J32="",0,J32),2))</f>
        <v>0</v>
      </c>
      <c r="L32" s="29">
        <f>IF(B32="","",ROUND(IF(E32="",0,E32)+IF(H32="",0,H32)+IF(I32="",0,I32)-IF(J32="",0,J32),2))</f>
        <v>0</v>
      </c>
      <c r="P32" s="29">
        <f>IF(D32="","",IFERROR(INDEX(Invoices!$O$5:$O$304,MATCH(D32,Invoices!$A$5:$A$304,0)),0))</f>
        <v>0</v>
      </c>
      <c r="Q32" s="29">
        <f>IF(D32="","",IFERROR(INDEX(Invoices!$S$5:$S$304,MATCH(D32,Invoices!$A$5:$A$304,0)),0))</f>
        <v>0</v>
      </c>
      <c r="S32" s="28">
        <f>IF(B32="","",TEXT(B32,"yyyy-mm"))</f>
        <v>0</v>
      </c>
      <c r="T32" s="49">
        <f>IF(B32="","",IF(N32&lt;&gt;"Yes","Unconfirmed - check it cleared",IF(O32&lt;&gt;"Yes","To reconcile",IF(AND(D32&lt;&gt;"",Q32&gt;0.004),"Invoice still has a balance","OK"))))</f>
        <v>0</v>
      </c>
    </row>
    <row r="33" spans="1:20">
      <c r="A33" s="46">
        <f>IF(B33="","","PM-"&amp;TEXT(ROW()-4,"0000"))</f>
        <v>0</v>
      </c>
      <c r="K33" s="29">
        <f>IF(B33="","",ROUND(IF(E33="",0,E33)-IF(J33="",0,J33),2))</f>
        <v>0</v>
      </c>
      <c r="L33" s="29">
        <f>IF(B33="","",ROUND(IF(E33="",0,E33)+IF(H33="",0,H33)+IF(I33="",0,I33)-IF(J33="",0,J33),2))</f>
        <v>0</v>
      </c>
      <c r="P33" s="29">
        <f>IF(D33="","",IFERROR(INDEX(Invoices!$O$5:$O$304,MATCH(D33,Invoices!$A$5:$A$304,0)),0))</f>
        <v>0</v>
      </c>
      <c r="Q33" s="29">
        <f>IF(D33="","",IFERROR(INDEX(Invoices!$S$5:$S$304,MATCH(D33,Invoices!$A$5:$A$304,0)),0))</f>
        <v>0</v>
      </c>
      <c r="S33" s="28">
        <f>IF(B33="","",TEXT(B33,"yyyy-mm"))</f>
        <v>0</v>
      </c>
      <c r="T33" s="49">
        <f>IF(B33="","",IF(N33&lt;&gt;"Yes","Unconfirmed - check it cleared",IF(O33&lt;&gt;"Yes","To reconcile",IF(AND(D33&lt;&gt;"",Q33&gt;0.004),"Invoice still has a balance","OK"))))</f>
        <v>0</v>
      </c>
    </row>
    <row r="34" spans="1:20">
      <c r="A34" s="46">
        <f>IF(B34="","","PM-"&amp;TEXT(ROW()-4,"0000"))</f>
        <v>0</v>
      </c>
      <c r="K34" s="29">
        <f>IF(B34="","",ROUND(IF(E34="",0,E34)-IF(J34="",0,J34),2))</f>
        <v>0</v>
      </c>
      <c r="L34" s="29">
        <f>IF(B34="","",ROUND(IF(E34="",0,E34)+IF(H34="",0,H34)+IF(I34="",0,I34)-IF(J34="",0,J34),2))</f>
        <v>0</v>
      </c>
      <c r="P34" s="29">
        <f>IF(D34="","",IFERROR(INDEX(Invoices!$O$5:$O$304,MATCH(D34,Invoices!$A$5:$A$304,0)),0))</f>
        <v>0</v>
      </c>
      <c r="Q34" s="29">
        <f>IF(D34="","",IFERROR(INDEX(Invoices!$S$5:$S$304,MATCH(D34,Invoices!$A$5:$A$304,0)),0))</f>
        <v>0</v>
      </c>
      <c r="S34" s="28">
        <f>IF(B34="","",TEXT(B34,"yyyy-mm"))</f>
        <v>0</v>
      </c>
      <c r="T34" s="49">
        <f>IF(B34="","",IF(N34&lt;&gt;"Yes","Unconfirmed - check it cleared",IF(O34&lt;&gt;"Yes","To reconcile",IF(AND(D34&lt;&gt;"",Q34&gt;0.004),"Invoice still has a balance","OK"))))</f>
        <v>0</v>
      </c>
    </row>
    <row r="35" spans="1:20">
      <c r="A35" s="46">
        <f>IF(B35="","","PM-"&amp;TEXT(ROW()-4,"0000"))</f>
        <v>0</v>
      </c>
      <c r="K35" s="29">
        <f>IF(B35="","",ROUND(IF(E35="",0,E35)-IF(J35="",0,J35),2))</f>
        <v>0</v>
      </c>
      <c r="L35" s="29">
        <f>IF(B35="","",ROUND(IF(E35="",0,E35)+IF(H35="",0,H35)+IF(I35="",0,I35)-IF(J35="",0,J35),2))</f>
        <v>0</v>
      </c>
      <c r="P35" s="29">
        <f>IF(D35="","",IFERROR(INDEX(Invoices!$O$5:$O$304,MATCH(D35,Invoices!$A$5:$A$304,0)),0))</f>
        <v>0</v>
      </c>
      <c r="Q35" s="29">
        <f>IF(D35="","",IFERROR(INDEX(Invoices!$S$5:$S$304,MATCH(D35,Invoices!$A$5:$A$304,0)),0))</f>
        <v>0</v>
      </c>
      <c r="S35" s="28">
        <f>IF(B35="","",TEXT(B35,"yyyy-mm"))</f>
        <v>0</v>
      </c>
      <c r="T35" s="49">
        <f>IF(B35="","",IF(N35&lt;&gt;"Yes","Unconfirmed - check it cleared",IF(O35&lt;&gt;"Yes","To reconcile",IF(AND(D35&lt;&gt;"",Q35&gt;0.004),"Invoice still has a balance","OK"))))</f>
        <v>0</v>
      </c>
    </row>
    <row r="36" spans="1:20">
      <c r="A36" s="46">
        <f>IF(B36="","","PM-"&amp;TEXT(ROW()-4,"0000"))</f>
        <v>0</v>
      </c>
      <c r="K36" s="29">
        <f>IF(B36="","",ROUND(IF(E36="",0,E36)-IF(J36="",0,J36),2))</f>
        <v>0</v>
      </c>
      <c r="L36" s="29">
        <f>IF(B36="","",ROUND(IF(E36="",0,E36)+IF(H36="",0,H36)+IF(I36="",0,I36)-IF(J36="",0,J36),2))</f>
        <v>0</v>
      </c>
      <c r="P36" s="29">
        <f>IF(D36="","",IFERROR(INDEX(Invoices!$O$5:$O$304,MATCH(D36,Invoices!$A$5:$A$304,0)),0))</f>
        <v>0</v>
      </c>
      <c r="Q36" s="29">
        <f>IF(D36="","",IFERROR(INDEX(Invoices!$S$5:$S$304,MATCH(D36,Invoices!$A$5:$A$304,0)),0))</f>
        <v>0</v>
      </c>
      <c r="S36" s="28">
        <f>IF(B36="","",TEXT(B36,"yyyy-mm"))</f>
        <v>0</v>
      </c>
      <c r="T36" s="49">
        <f>IF(B36="","",IF(N36&lt;&gt;"Yes","Unconfirmed - check it cleared",IF(O36&lt;&gt;"Yes","To reconcile",IF(AND(D36&lt;&gt;"",Q36&gt;0.004),"Invoice still has a balance","OK"))))</f>
        <v>0</v>
      </c>
    </row>
    <row r="37" spans="1:20">
      <c r="A37" s="46">
        <f>IF(B37="","","PM-"&amp;TEXT(ROW()-4,"0000"))</f>
        <v>0</v>
      </c>
      <c r="K37" s="29">
        <f>IF(B37="","",ROUND(IF(E37="",0,E37)-IF(J37="",0,J37),2))</f>
        <v>0</v>
      </c>
      <c r="L37" s="29">
        <f>IF(B37="","",ROUND(IF(E37="",0,E37)+IF(H37="",0,H37)+IF(I37="",0,I37)-IF(J37="",0,J37),2))</f>
        <v>0</v>
      </c>
      <c r="P37" s="29">
        <f>IF(D37="","",IFERROR(INDEX(Invoices!$O$5:$O$304,MATCH(D37,Invoices!$A$5:$A$304,0)),0))</f>
        <v>0</v>
      </c>
      <c r="Q37" s="29">
        <f>IF(D37="","",IFERROR(INDEX(Invoices!$S$5:$S$304,MATCH(D37,Invoices!$A$5:$A$304,0)),0))</f>
        <v>0</v>
      </c>
      <c r="S37" s="28">
        <f>IF(B37="","",TEXT(B37,"yyyy-mm"))</f>
        <v>0</v>
      </c>
      <c r="T37" s="49">
        <f>IF(B37="","",IF(N37&lt;&gt;"Yes","Unconfirmed - check it cleared",IF(O37&lt;&gt;"Yes","To reconcile",IF(AND(D37&lt;&gt;"",Q37&gt;0.004),"Invoice still has a balance","OK"))))</f>
        <v>0</v>
      </c>
    </row>
    <row r="38" spans="1:20">
      <c r="A38" s="46">
        <f>IF(B38="","","PM-"&amp;TEXT(ROW()-4,"0000"))</f>
        <v>0</v>
      </c>
      <c r="K38" s="29">
        <f>IF(B38="","",ROUND(IF(E38="",0,E38)-IF(J38="",0,J38),2))</f>
        <v>0</v>
      </c>
      <c r="L38" s="29">
        <f>IF(B38="","",ROUND(IF(E38="",0,E38)+IF(H38="",0,H38)+IF(I38="",0,I38)-IF(J38="",0,J38),2))</f>
        <v>0</v>
      </c>
      <c r="P38" s="29">
        <f>IF(D38="","",IFERROR(INDEX(Invoices!$O$5:$O$304,MATCH(D38,Invoices!$A$5:$A$304,0)),0))</f>
        <v>0</v>
      </c>
      <c r="Q38" s="29">
        <f>IF(D38="","",IFERROR(INDEX(Invoices!$S$5:$S$304,MATCH(D38,Invoices!$A$5:$A$304,0)),0))</f>
        <v>0</v>
      </c>
      <c r="S38" s="28">
        <f>IF(B38="","",TEXT(B38,"yyyy-mm"))</f>
        <v>0</v>
      </c>
      <c r="T38" s="49">
        <f>IF(B38="","",IF(N38&lt;&gt;"Yes","Unconfirmed - check it cleared",IF(O38&lt;&gt;"Yes","To reconcile",IF(AND(D38&lt;&gt;"",Q38&gt;0.004),"Invoice still has a balance","OK"))))</f>
        <v>0</v>
      </c>
    </row>
    <row r="39" spans="1:20">
      <c r="A39" s="46">
        <f>IF(B39="","","PM-"&amp;TEXT(ROW()-4,"0000"))</f>
        <v>0</v>
      </c>
      <c r="K39" s="29">
        <f>IF(B39="","",ROUND(IF(E39="",0,E39)-IF(J39="",0,J39),2))</f>
        <v>0</v>
      </c>
      <c r="L39" s="29">
        <f>IF(B39="","",ROUND(IF(E39="",0,E39)+IF(H39="",0,H39)+IF(I39="",0,I39)-IF(J39="",0,J39),2))</f>
        <v>0</v>
      </c>
      <c r="P39" s="29">
        <f>IF(D39="","",IFERROR(INDEX(Invoices!$O$5:$O$304,MATCH(D39,Invoices!$A$5:$A$304,0)),0))</f>
        <v>0</v>
      </c>
      <c r="Q39" s="29">
        <f>IF(D39="","",IFERROR(INDEX(Invoices!$S$5:$S$304,MATCH(D39,Invoices!$A$5:$A$304,0)),0))</f>
        <v>0</v>
      </c>
      <c r="S39" s="28">
        <f>IF(B39="","",TEXT(B39,"yyyy-mm"))</f>
        <v>0</v>
      </c>
      <c r="T39" s="49">
        <f>IF(B39="","",IF(N39&lt;&gt;"Yes","Unconfirmed - check it cleared",IF(O39&lt;&gt;"Yes","To reconcile",IF(AND(D39&lt;&gt;"",Q39&gt;0.004),"Invoice still has a balance","OK"))))</f>
        <v>0</v>
      </c>
    </row>
    <row r="40" spans="1:20">
      <c r="A40" s="46">
        <f>IF(B40="","","PM-"&amp;TEXT(ROW()-4,"0000"))</f>
        <v>0</v>
      </c>
      <c r="K40" s="29">
        <f>IF(B40="","",ROUND(IF(E40="",0,E40)-IF(J40="",0,J40),2))</f>
        <v>0</v>
      </c>
      <c r="L40" s="29">
        <f>IF(B40="","",ROUND(IF(E40="",0,E40)+IF(H40="",0,H40)+IF(I40="",0,I40)-IF(J40="",0,J40),2))</f>
        <v>0</v>
      </c>
      <c r="P40" s="29">
        <f>IF(D40="","",IFERROR(INDEX(Invoices!$O$5:$O$304,MATCH(D40,Invoices!$A$5:$A$304,0)),0))</f>
        <v>0</v>
      </c>
      <c r="Q40" s="29">
        <f>IF(D40="","",IFERROR(INDEX(Invoices!$S$5:$S$304,MATCH(D40,Invoices!$A$5:$A$304,0)),0))</f>
        <v>0</v>
      </c>
      <c r="S40" s="28">
        <f>IF(B40="","",TEXT(B40,"yyyy-mm"))</f>
        <v>0</v>
      </c>
      <c r="T40" s="49">
        <f>IF(B40="","",IF(N40&lt;&gt;"Yes","Unconfirmed - check it cleared",IF(O40&lt;&gt;"Yes","To reconcile",IF(AND(D40&lt;&gt;"",Q40&gt;0.004),"Invoice still has a balance","OK"))))</f>
        <v>0</v>
      </c>
    </row>
    <row r="41" spans="1:20">
      <c r="A41" s="46">
        <f>IF(B41="","","PM-"&amp;TEXT(ROW()-4,"0000"))</f>
        <v>0</v>
      </c>
      <c r="K41" s="29">
        <f>IF(B41="","",ROUND(IF(E41="",0,E41)-IF(J41="",0,J41),2))</f>
        <v>0</v>
      </c>
      <c r="L41" s="29">
        <f>IF(B41="","",ROUND(IF(E41="",0,E41)+IF(H41="",0,H41)+IF(I41="",0,I41)-IF(J41="",0,J41),2))</f>
        <v>0</v>
      </c>
      <c r="P41" s="29">
        <f>IF(D41="","",IFERROR(INDEX(Invoices!$O$5:$O$304,MATCH(D41,Invoices!$A$5:$A$304,0)),0))</f>
        <v>0</v>
      </c>
      <c r="Q41" s="29">
        <f>IF(D41="","",IFERROR(INDEX(Invoices!$S$5:$S$304,MATCH(D41,Invoices!$A$5:$A$304,0)),0))</f>
        <v>0</v>
      </c>
      <c r="S41" s="28">
        <f>IF(B41="","",TEXT(B41,"yyyy-mm"))</f>
        <v>0</v>
      </c>
      <c r="T41" s="49">
        <f>IF(B41="","",IF(N41&lt;&gt;"Yes","Unconfirmed - check it cleared",IF(O41&lt;&gt;"Yes","To reconcile",IF(AND(D41&lt;&gt;"",Q41&gt;0.004),"Invoice still has a balance","OK"))))</f>
        <v>0</v>
      </c>
    </row>
    <row r="42" spans="1:20">
      <c r="A42" s="46">
        <f>IF(B42="","","PM-"&amp;TEXT(ROW()-4,"0000"))</f>
        <v>0</v>
      </c>
      <c r="K42" s="29">
        <f>IF(B42="","",ROUND(IF(E42="",0,E42)-IF(J42="",0,J42),2))</f>
        <v>0</v>
      </c>
      <c r="L42" s="29">
        <f>IF(B42="","",ROUND(IF(E42="",0,E42)+IF(H42="",0,H42)+IF(I42="",0,I42)-IF(J42="",0,J42),2))</f>
        <v>0</v>
      </c>
      <c r="P42" s="29">
        <f>IF(D42="","",IFERROR(INDEX(Invoices!$O$5:$O$304,MATCH(D42,Invoices!$A$5:$A$304,0)),0))</f>
        <v>0</v>
      </c>
      <c r="Q42" s="29">
        <f>IF(D42="","",IFERROR(INDEX(Invoices!$S$5:$S$304,MATCH(D42,Invoices!$A$5:$A$304,0)),0))</f>
        <v>0</v>
      </c>
      <c r="S42" s="28">
        <f>IF(B42="","",TEXT(B42,"yyyy-mm"))</f>
        <v>0</v>
      </c>
      <c r="T42" s="49">
        <f>IF(B42="","",IF(N42&lt;&gt;"Yes","Unconfirmed - check it cleared",IF(O42&lt;&gt;"Yes","To reconcile",IF(AND(D42&lt;&gt;"",Q42&gt;0.004),"Invoice still has a balance","OK"))))</f>
        <v>0</v>
      </c>
    </row>
    <row r="43" spans="1:20">
      <c r="A43" s="46">
        <f>IF(B43="","","PM-"&amp;TEXT(ROW()-4,"0000"))</f>
        <v>0</v>
      </c>
      <c r="K43" s="29">
        <f>IF(B43="","",ROUND(IF(E43="",0,E43)-IF(J43="",0,J43),2))</f>
        <v>0</v>
      </c>
      <c r="L43" s="29">
        <f>IF(B43="","",ROUND(IF(E43="",0,E43)+IF(H43="",0,H43)+IF(I43="",0,I43)-IF(J43="",0,J43),2))</f>
        <v>0</v>
      </c>
      <c r="P43" s="29">
        <f>IF(D43="","",IFERROR(INDEX(Invoices!$O$5:$O$304,MATCH(D43,Invoices!$A$5:$A$304,0)),0))</f>
        <v>0</v>
      </c>
      <c r="Q43" s="29">
        <f>IF(D43="","",IFERROR(INDEX(Invoices!$S$5:$S$304,MATCH(D43,Invoices!$A$5:$A$304,0)),0))</f>
        <v>0</v>
      </c>
      <c r="S43" s="28">
        <f>IF(B43="","",TEXT(B43,"yyyy-mm"))</f>
        <v>0</v>
      </c>
      <c r="T43" s="49">
        <f>IF(B43="","",IF(N43&lt;&gt;"Yes","Unconfirmed - check it cleared",IF(O43&lt;&gt;"Yes","To reconcile",IF(AND(D43&lt;&gt;"",Q43&gt;0.004),"Invoice still has a balance","OK"))))</f>
        <v>0</v>
      </c>
    </row>
    <row r="44" spans="1:20">
      <c r="A44" s="46">
        <f>IF(B44="","","PM-"&amp;TEXT(ROW()-4,"0000"))</f>
        <v>0</v>
      </c>
      <c r="K44" s="29">
        <f>IF(B44="","",ROUND(IF(E44="",0,E44)-IF(J44="",0,J44),2))</f>
        <v>0</v>
      </c>
      <c r="L44" s="29">
        <f>IF(B44="","",ROUND(IF(E44="",0,E44)+IF(H44="",0,H44)+IF(I44="",0,I44)-IF(J44="",0,J44),2))</f>
        <v>0</v>
      </c>
      <c r="P44" s="29">
        <f>IF(D44="","",IFERROR(INDEX(Invoices!$O$5:$O$304,MATCH(D44,Invoices!$A$5:$A$304,0)),0))</f>
        <v>0</v>
      </c>
      <c r="Q44" s="29">
        <f>IF(D44="","",IFERROR(INDEX(Invoices!$S$5:$S$304,MATCH(D44,Invoices!$A$5:$A$304,0)),0))</f>
        <v>0</v>
      </c>
      <c r="S44" s="28">
        <f>IF(B44="","",TEXT(B44,"yyyy-mm"))</f>
        <v>0</v>
      </c>
      <c r="T44" s="49">
        <f>IF(B44="","",IF(N44&lt;&gt;"Yes","Unconfirmed - check it cleared",IF(O44&lt;&gt;"Yes","To reconcile",IF(AND(D44&lt;&gt;"",Q44&gt;0.004),"Invoice still has a balance","OK"))))</f>
        <v>0</v>
      </c>
    </row>
    <row r="45" spans="1:20">
      <c r="A45" s="46">
        <f>IF(B45="","","PM-"&amp;TEXT(ROW()-4,"0000"))</f>
        <v>0</v>
      </c>
      <c r="K45" s="29">
        <f>IF(B45="","",ROUND(IF(E45="",0,E45)-IF(J45="",0,J45),2))</f>
        <v>0</v>
      </c>
      <c r="L45" s="29">
        <f>IF(B45="","",ROUND(IF(E45="",0,E45)+IF(H45="",0,H45)+IF(I45="",0,I45)-IF(J45="",0,J45),2))</f>
        <v>0</v>
      </c>
      <c r="P45" s="29">
        <f>IF(D45="","",IFERROR(INDEX(Invoices!$O$5:$O$304,MATCH(D45,Invoices!$A$5:$A$304,0)),0))</f>
        <v>0</v>
      </c>
      <c r="Q45" s="29">
        <f>IF(D45="","",IFERROR(INDEX(Invoices!$S$5:$S$304,MATCH(D45,Invoices!$A$5:$A$304,0)),0))</f>
        <v>0</v>
      </c>
      <c r="S45" s="28">
        <f>IF(B45="","",TEXT(B45,"yyyy-mm"))</f>
        <v>0</v>
      </c>
      <c r="T45" s="49">
        <f>IF(B45="","",IF(N45&lt;&gt;"Yes","Unconfirmed - check it cleared",IF(O45&lt;&gt;"Yes","To reconcile",IF(AND(D45&lt;&gt;"",Q45&gt;0.004),"Invoice still has a balance","OK"))))</f>
        <v>0</v>
      </c>
    </row>
    <row r="46" spans="1:20">
      <c r="A46" s="46">
        <f>IF(B46="","","PM-"&amp;TEXT(ROW()-4,"0000"))</f>
        <v>0</v>
      </c>
      <c r="K46" s="29">
        <f>IF(B46="","",ROUND(IF(E46="",0,E46)-IF(J46="",0,J46),2))</f>
        <v>0</v>
      </c>
      <c r="L46" s="29">
        <f>IF(B46="","",ROUND(IF(E46="",0,E46)+IF(H46="",0,H46)+IF(I46="",0,I46)-IF(J46="",0,J46),2))</f>
        <v>0</v>
      </c>
      <c r="P46" s="29">
        <f>IF(D46="","",IFERROR(INDEX(Invoices!$O$5:$O$304,MATCH(D46,Invoices!$A$5:$A$304,0)),0))</f>
        <v>0</v>
      </c>
      <c r="Q46" s="29">
        <f>IF(D46="","",IFERROR(INDEX(Invoices!$S$5:$S$304,MATCH(D46,Invoices!$A$5:$A$304,0)),0))</f>
        <v>0</v>
      </c>
      <c r="S46" s="28">
        <f>IF(B46="","",TEXT(B46,"yyyy-mm"))</f>
        <v>0</v>
      </c>
      <c r="T46" s="49">
        <f>IF(B46="","",IF(N46&lt;&gt;"Yes","Unconfirmed - check it cleared",IF(O46&lt;&gt;"Yes","To reconcile",IF(AND(D46&lt;&gt;"",Q46&gt;0.004),"Invoice still has a balance","OK"))))</f>
        <v>0</v>
      </c>
    </row>
    <row r="47" spans="1:20">
      <c r="A47" s="46">
        <f>IF(B47="","","PM-"&amp;TEXT(ROW()-4,"0000"))</f>
        <v>0</v>
      </c>
      <c r="K47" s="29">
        <f>IF(B47="","",ROUND(IF(E47="",0,E47)-IF(J47="",0,J47),2))</f>
        <v>0</v>
      </c>
      <c r="L47" s="29">
        <f>IF(B47="","",ROUND(IF(E47="",0,E47)+IF(H47="",0,H47)+IF(I47="",0,I47)-IF(J47="",0,J47),2))</f>
        <v>0</v>
      </c>
      <c r="P47" s="29">
        <f>IF(D47="","",IFERROR(INDEX(Invoices!$O$5:$O$304,MATCH(D47,Invoices!$A$5:$A$304,0)),0))</f>
        <v>0</v>
      </c>
      <c r="Q47" s="29">
        <f>IF(D47="","",IFERROR(INDEX(Invoices!$S$5:$S$304,MATCH(D47,Invoices!$A$5:$A$304,0)),0))</f>
        <v>0</v>
      </c>
      <c r="S47" s="28">
        <f>IF(B47="","",TEXT(B47,"yyyy-mm"))</f>
        <v>0</v>
      </c>
      <c r="T47" s="49">
        <f>IF(B47="","",IF(N47&lt;&gt;"Yes","Unconfirmed - check it cleared",IF(O47&lt;&gt;"Yes","To reconcile",IF(AND(D47&lt;&gt;"",Q47&gt;0.004),"Invoice still has a balance","OK"))))</f>
        <v>0</v>
      </c>
    </row>
    <row r="48" spans="1:20">
      <c r="A48" s="46">
        <f>IF(B48="","","PM-"&amp;TEXT(ROW()-4,"0000"))</f>
        <v>0</v>
      </c>
      <c r="K48" s="29">
        <f>IF(B48="","",ROUND(IF(E48="",0,E48)-IF(J48="",0,J48),2))</f>
        <v>0</v>
      </c>
      <c r="L48" s="29">
        <f>IF(B48="","",ROUND(IF(E48="",0,E48)+IF(H48="",0,H48)+IF(I48="",0,I48)-IF(J48="",0,J48),2))</f>
        <v>0</v>
      </c>
      <c r="P48" s="29">
        <f>IF(D48="","",IFERROR(INDEX(Invoices!$O$5:$O$304,MATCH(D48,Invoices!$A$5:$A$304,0)),0))</f>
        <v>0</v>
      </c>
      <c r="Q48" s="29">
        <f>IF(D48="","",IFERROR(INDEX(Invoices!$S$5:$S$304,MATCH(D48,Invoices!$A$5:$A$304,0)),0))</f>
        <v>0</v>
      </c>
      <c r="S48" s="28">
        <f>IF(B48="","",TEXT(B48,"yyyy-mm"))</f>
        <v>0</v>
      </c>
      <c r="T48" s="49">
        <f>IF(B48="","",IF(N48&lt;&gt;"Yes","Unconfirmed - check it cleared",IF(O48&lt;&gt;"Yes","To reconcile",IF(AND(D48&lt;&gt;"",Q48&gt;0.004),"Invoice still has a balance","OK"))))</f>
        <v>0</v>
      </c>
    </row>
    <row r="49" spans="1:20">
      <c r="A49" s="46">
        <f>IF(B49="","","PM-"&amp;TEXT(ROW()-4,"0000"))</f>
        <v>0</v>
      </c>
      <c r="K49" s="29">
        <f>IF(B49="","",ROUND(IF(E49="",0,E49)-IF(J49="",0,J49),2))</f>
        <v>0</v>
      </c>
      <c r="L49" s="29">
        <f>IF(B49="","",ROUND(IF(E49="",0,E49)+IF(H49="",0,H49)+IF(I49="",0,I49)-IF(J49="",0,J49),2))</f>
        <v>0</v>
      </c>
      <c r="P49" s="29">
        <f>IF(D49="","",IFERROR(INDEX(Invoices!$O$5:$O$304,MATCH(D49,Invoices!$A$5:$A$304,0)),0))</f>
        <v>0</v>
      </c>
      <c r="Q49" s="29">
        <f>IF(D49="","",IFERROR(INDEX(Invoices!$S$5:$S$304,MATCH(D49,Invoices!$A$5:$A$304,0)),0))</f>
        <v>0</v>
      </c>
      <c r="S49" s="28">
        <f>IF(B49="","",TEXT(B49,"yyyy-mm"))</f>
        <v>0</v>
      </c>
      <c r="T49" s="49">
        <f>IF(B49="","",IF(N49&lt;&gt;"Yes","Unconfirmed - check it cleared",IF(O49&lt;&gt;"Yes","To reconcile",IF(AND(D49&lt;&gt;"",Q49&gt;0.004),"Invoice still has a balance","OK"))))</f>
        <v>0</v>
      </c>
    </row>
    <row r="50" spans="1:20">
      <c r="A50" s="46">
        <f>IF(B50="","","PM-"&amp;TEXT(ROW()-4,"0000"))</f>
        <v>0</v>
      </c>
      <c r="K50" s="29">
        <f>IF(B50="","",ROUND(IF(E50="",0,E50)-IF(J50="",0,J50),2))</f>
        <v>0</v>
      </c>
      <c r="L50" s="29">
        <f>IF(B50="","",ROUND(IF(E50="",0,E50)+IF(H50="",0,H50)+IF(I50="",0,I50)-IF(J50="",0,J50),2))</f>
        <v>0</v>
      </c>
      <c r="P50" s="29">
        <f>IF(D50="","",IFERROR(INDEX(Invoices!$O$5:$O$304,MATCH(D50,Invoices!$A$5:$A$304,0)),0))</f>
        <v>0</v>
      </c>
      <c r="Q50" s="29">
        <f>IF(D50="","",IFERROR(INDEX(Invoices!$S$5:$S$304,MATCH(D50,Invoices!$A$5:$A$304,0)),0))</f>
        <v>0</v>
      </c>
      <c r="S50" s="28">
        <f>IF(B50="","",TEXT(B50,"yyyy-mm"))</f>
        <v>0</v>
      </c>
      <c r="T50" s="49">
        <f>IF(B50="","",IF(N50&lt;&gt;"Yes","Unconfirmed - check it cleared",IF(O50&lt;&gt;"Yes","To reconcile",IF(AND(D50&lt;&gt;"",Q50&gt;0.004),"Invoice still has a balance","OK"))))</f>
        <v>0</v>
      </c>
    </row>
    <row r="51" spans="1:20">
      <c r="A51" s="46">
        <f>IF(B51="","","PM-"&amp;TEXT(ROW()-4,"0000"))</f>
        <v>0</v>
      </c>
      <c r="K51" s="29">
        <f>IF(B51="","",ROUND(IF(E51="",0,E51)-IF(J51="",0,J51),2))</f>
        <v>0</v>
      </c>
      <c r="L51" s="29">
        <f>IF(B51="","",ROUND(IF(E51="",0,E51)+IF(H51="",0,H51)+IF(I51="",0,I51)-IF(J51="",0,J51),2))</f>
        <v>0</v>
      </c>
      <c r="P51" s="29">
        <f>IF(D51="","",IFERROR(INDEX(Invoices!$O$5:$O$304,MATCH(D51,Invoices!$A$5:$A$304,0)),0))</f>
        <v>0</v>
      </c>
      <c r="Q51" s="29">
        <f>IF(D51="","",IFERROR(INDEX(Invoices!$S$5:$S$304,MATCH(D51,Invoices!$A$5:$A$304,0)),0))</f>
        <v>0</v>
      </c>
      <c r="S51" s="28">
        <f>IF(B51="","",TEXT(B51,"yyyy-mm"))</f>
        <v>0</v>
      </c>
      <c r="T51" s="49">
        <f>IF(B51="","",IF(N51&lt;&gt;"Yes","Unconfirmed - check it cleared",IF(O51&lt;&gt;"Yes","To reconcile",IF(AND(D51&lt;&gt;"",Q51&gt;0.004),"Invoice still has a balance","OK"))))</f>
        <v>0</v>
      </c>
    </row>
    <row r="52" spans="1:20">
      <c r="A52" s="46">
        <f>IF(B52="","","PM-"&amp;TEXT(ROW()-4,"0000"))</f>
        <v>0</v>
      </c>
      <c r="K52" s="29">
        <f>IF(B52="","",ROUND(IF(E52="",0,E52)-IF(J52="",0,J52),2))</f>
        <v>0</v>
      </c>
      <c r="L52" s="29">
        <f>IF(B52="","",ROUND(IF(E52="",0,E52)+IF(H52="",0,H52)+IF(I52="",0,I52)-IF(J52="",0,J52),2))</f>
        <v>0</v>
      </c>
      <c r="P52" s="29">
        <f>IF(D52="","",IFERROR(INDEX(Invoices!$O$5:$O$304,MATCH(D52,Invoices!$A$5:$A$304,0)),0))</f>
        <v>0</v>
      </c>
      <c r="Q52" s="29">
        <f>IF(D52="","",IFERROR(INDEX(Invoices!$S$5:$S$304,MATCH(D52,Invoices!$A$5:$A$304,0)),0))</f>
        <v>0</v>
      </c>
      <c r="S52" s="28">
        <f>IF(B52="","",TEXT(B52,"yyyy-mm"))</f>
        <v>0</v>
      </c>
      <c r="T52" s="49">
        <f>IF(B52="","",IF(N52&lt;&gt;"Yes","Unconfirmed - check it cleared",IF(O52&lt;&gt;"Yes","To reconcile",IF(AND(D52&lt;&gt;"",Q52&gt;0.004),"Invoice still has a balance","OK"))))</f>
        <v>0</v>
      </c>
    </row>
    <row r="53" spans="1:20">
      <c r="A53" s="46">
        <f>IF(B53="","","PM-"&amp;TEXT(ROW()-4,"0000"))</f>
        <v>0</v>
      </c>
      <c r="K53" s="29">
        <f>IF(B53="","",ROUND(IF(E53="",0,E53)-IF(J53="",0,J53),2))</f>
        <v>0</v>
      </c>
      <c r="L53" s="29">
        <f>IF(B53="","",ROUND(IF(E53="",0,E53)+IF(H53="",0,H53)+IF(I53="",0,I53)-IF(J53="",0,J53),2))</f>
        <v>0</v>
      </c>
      <c r="P53" s="29">
        <f>IF(D53="","",IFERROR(INDEX(Invoices!$O$5:$O$304,MATCH(D53,Invoices!$A$5:$A$304,0)),0))</f>
        <v>0</v>
      </c>
      <c r="Q53" s="29">
        <f>IF(D53="","",IFERROR(INDEX(Invoices!$S$5:$S$304,MATCH(D53,Invoices!$A$5:$A$304,0)),0))</f>
        <v>0</v>
      </c>
      <c r="S53" s="28">
        <f>IF(B53="","",TEXT(B53,"yyyy-mm"))</f>
        <v>0</v>
      </c>
      <c r="T53" s="49">
        <f>IF(B53="","",IF(N53&lt;&gt;"Yes","Unconfirmed - check it cleared",IF(O53&lt;&gt;"Yes","To reconcile",IF(AND(D53&lt;&gt;"",Q53&gt;0.004),"Invoice still has a balance","OK"))))</f>
        <v>0</v>
      </c>
    </row>
    <row r="54" spans="1:20">
      <c r="A54" s="46">
        <f>IF(B54="","","PM-"&amp;TEXT(ROW()-4,"0000"))</f>
        <v>0</v>
      </c>
      <c r="K54" s="29">
        <f>IF(B54="","",ROUND(IF(E54="",0,E54)-IF(J54="",0,J54),2))</f>
        <v>0</v>
      </c>
      <c r="L54" s="29">
        <f>IF(B54="","",ROUND(IF(E54="",0,E54)+IF(H54="",0,H54)+IF(I54="",0,I54)-IF(J54="",0,J54),2))</f>
        <v>0</v>
      </c>
      <c r="P54" s="29">
        <f>IF(D54="","",IFERROR(INDEX(Invoices!$O$5:$O$304,MATCH(D54,Invoices!$A$5:$A$304,0)),0))</f>
        <v>0</v>
      </c>
      <c r="Q54" s="29">
        <f>IF(D54="","",IFERROR(INDEX(Invoices!$S$5:$S$304,MATCH(D54,Invoices!$A$5:$A$304,0)),0))</f>
        <v>0</v>
      </c>
      <c r="S54" s="28">
        <f>IF(B54="","",TEXT(B54,"yyyy-mm"))</f>
        <v>0</v>
      </c>
      <c r="T54" s="49">
        <f>IF(B54="","",IF(N54&lt;&gt;"Yes","Unconfirmed - check it cleared",IF(O54&lt;&gt;"Yes","To reconcile",IF(AND(D54&lt;&gt;"",Q54&gt;0.004),"Invoice still has a balance","OK"))))</f>
        <v>0</v>
      </c>
    </row>
    <row r="55" spans="1:20">
      <c r="A55" s="46">
        <f>IF(B55="","","PM-"&amp;TEXT(ROW()-4,"0000"))</f>
        <v>0</v>
      </c>
      <c r="K55" s="29">
        <f>IF(B55="","",ROUND(IF(E55="",0,E55)-IF(J55="",0,J55),2))</f>
        <v>0</v>
      </c>
      <c r="L55" s="29">
        <f>IF(B55="","",ROUND(IF(E55="",0,E55)+IF(H55="",0,H55)+IF(I55="",0,I55)-IF(J55="",0,J55),2))</f>
        <v>0</v>
      </c>
      <c r="P55" s="29">
        <f>IF(D55="","",IFERROR(INDEX(Invoices!$O$5:$O$304,MATCH(D55,Invoices!$A$5:$A$304,0)),0))</f>
        <v>0</v>
      </c>
      <c r="Q55" s="29">
        <f>IF(D55="","",IFERROR(INDEX(Invoices!$S$5:$S$304,MATCH(D55,Invoices!$A$5:$A$304,0)),0))</f>
        <v>0</v>
      </c>
      <c r="S55" s="28">
        <f>IF(B55="","",TEXT(B55,"yyyy-mm"))</f>
        <v>0</v>
      </c>
      <c r="T55" s="49">
        <f>IF(B55="","",IF(N55&lt;&gt;"Yes","Unconfirmed - check it cleared",IF(O55&lt;&gt;"Yes","To reconcile",IF(AND(D55&lt;&gt;"",Q55&gt;0.004),"Invoice still has a balance","OK"))))</f>
        <v>0</v>
      </c>
    </row>
    <row r="56" spans="1:20">
      <c r="A56" s="46">
        <f>IF(B56="","","PM-"&amp;TEXT(ROW()-4,"0000"))</f>
        <v>0</v>
      </c>
      <c r="K56" s="29">
        <f>IF(B56="","",ROUND(IF(E56="",0,E56)-IF(J56="",0,J56),2))</f>
        <v>0</v>
      </c>
      <c r="L56" s="29">
        <f>IF(B56="","",ROUND(IF(E56="",0,E56)+IF(H56="",0,H56)+IF(I56="",0,I56)-IF(J56="",0,J56),2))</f>
        <v>0</v>
      </c>
      <c r="P56" s="29">
        <f>IF(D56="","",IFERROR(INDEX(Invoices!$O$5:$O$304,MATCH(D56,Invoices!$A$5:$A$304,0)),0))</f>
        <v>0</v>
      </c>
      <c r="Q56" s="29">
        <f>IF(D56="","",IFERROR(INDEX(Invoices!$S$5:$S$304,MATCH(D56,Invoices!$A$5:$A$304,0)),0))</f>
        <v>0</v>
      </c>
      <c r="S56" s="28">
        <f>IF(B56="","",TEXT(B56,"yyyy-mm"))</f>
        <v>0</v>
      </c>
      <c r="T56" s="49">
        <f>IF(B56="","",IF(N56&lt;&gt;"Yes","Unconfirmed - check it cleared",IF(O56&lt;&gt;"Yes","To reconcile",IF(AND(D56&lt;&gt;"",Q56&gt;0.004),"Invoice still has a balance","OK"))))</f>
        <v>0</v>
      </c>
    </row>
    <row r="57" spans="1:20">
      <c r="A57" s="46">
        <f>IF(B57="","","PM-"&amp;TEXT(ROW()-4,"0000"))</f>
        <v>0</v>
      </c>
      <c r="K57" s="29">
        <f>IF(B57="","",ROUND(IF(E57="",0,E57)-IF(J57="",0,J57),2))</f>
        <v>0</v>
      </c>
      <c r="L57" s="29">
        <f>IF(B57="","",ROUND(IF(E57="",0,E57)+IF(H57="",0,H57)+IF(I57="",0,I57)-IF(J57="",0,J57),2))</f>
        <v>0</v>
      </c>
      <c r="P57" s="29">
        <f>IF(D57="","",IFERROR(INDEX(Invoices!$O$5:$O$304,MATCH(D57,Invoices!$A$5:$A$304,0)),0))</f>
        <v>0</v>
      </c>
      <c r="Q57" s="29">
        <f>IF(D57="","",IFERROR(INDEX(Invoices!$S$5:$S$304,MATCH(D57,Invoices!$A$5:$A$304,0)),0))</f>
        <v>0</v>
      </c>
      <c r="S57" s="28">
        <f>IF(B57="","",TEXT(B57,"yyyy-mm"))</f>
        <v>0</v>
      </c>
      <c r="T57" s="49">
        <f>IF(B57="","",IF(N57&lt;&gt;"Yes","Unconfirmed - check it cleared",IF(O57&lt;&gt;"Yes","To reconcile",IF(AND(D57&lt;&gt;"",Q57&gt;0.004),"Invoice still has a balance","OK"))))</f>
        <v>0</v>
      </c>
    </row>
    <row r="58" spans="1:20">
      <c r="A58" s="46">
        <f>IF(B58="","","PM-"&amp;TEXT(ROW()-4,"0000"))</f>
        <v>0</v>
      </c>
      <c r="K58" s="29">
        <f>IF(B58="","",ROUND(IF(E58="",0,E58)-IF(J58="",0,J58),2))</f>
        <v>0</v>
      </c>
      <c r="L58" s="29">
        <f>IF(B58="","",ROUND(IF(E58="",0,E58)+IF(H58="",0,H58)+IF(I58="",0,I58)-IF(J58="",0,J58),2))</f>
        <v>0</v>
      </c>
      <c r="P58" s="29">
        <f>IF(D58="","",IFERROR(INDEX(Invoices!$O$5:$O$304,MATCH(D58,Invoices!$A$5:$A$304,0)),0))</f>
        <v>0</v>
      </c>
      <c r="Q58" s="29">
        <f>IF(D58="","",IFERROR(INDEX(Invoices!$S$5:$S$304,MATCH(D58,Invoices!$A$5:$A$304,0)),0))</f>
        <v>0</v>
      </c>
      <c r="S58" s="28">
        <f>IF(B58="","",TEXT(B58,"yyyy-mm"))</f>
        <v>0</v>
      </c>
      <c r="T58" s="49">
        <f>IF(B58="","",IF(N58&lt;&gt;"Yes","Unconfirmed - check it cleared",IF(O58&lt;&gt;"Yes","To reconcile",IF(AND(D58&lt;&gt;"",Q58&gt;0.004),"Invoice still has a balance","OK"))))</f>
        <v>0</v>
      </c>
    </row>
    <row r="59" spans="1:20">
      <c r="A59" s="46">
        <f>IF(B59="","","PM-"&amp;TEXT(ROW()-4,"0000"))</f>
        <v>0</v>
      </c>
      <c r="K59" s="29">
        <f>IF(B59="","",ROUND(IF(E59="",0,E59)-IF(J59="",0,J59),2))</f>
        <v>0</v>
      </c>
      <c r="L59" s="29">
        <f>IF(B59="","",ROUND(IF(E59="",0,E59)+IF(H59="",0,H59)+IF(I59="",0,I59)-IF(J59="",0,J59),2))</f>
        <v>0</v>
      </c>
      <c r="P59" s="29">
        <f>IF(D59="","",IFERROR(INDEX(Invoices!$O$5:$O$304,MATCH(D59,Invoices!$A$5:$A$304,0)),0))</f>
        <v>0</v>
      </c>
      <c r="Q59" s="29">
        <f>IF(D59="","",IFERROR(INDEX(Invoices!$S$5:$S$304,MATCH(D59,Invoices!$A$5:$A$304,0)),0))</f>
        <v>0</v>
      </c>
      <c r="S59" s="28">
        <f>IF(B59="","",TEXT(B59,"yyyy-mm"))</f>
        <v>0</v>
      </c>
      <c r="T59" s="49">
        <f>IF(B59="","",IF(N59&lt;&gt;"Yes","Unconfirmed - check it cleared",IF(O59&lt;&gt;"Yes","To reconcile",IF(AND(D59&lt;&gt;"",Q59&gt;0.004),"Invoice still has a balance","OK"))))</f>
        <v>0</v>
      </c>
    </row>
    <row r="60" spans="1:20">
      <c r="A60" s="46">
        <f>IF(B60="","","PM-"&amp;TEXT(ROW()-4,"0000"))</f>
        <v>0</v>
      </c>
      <c r="K60" s="29">
        <f>IF(B60="","",ROUND(IF(E60="",0,E60)-IF(J60="",0,J60),2))</f>
        <v>0</v>
      </c>
      <c r="L60" s="29">
        <f>IF(B60="","",ROUND(IF(E60="",0,E60)+IF(H60="",0,H60)+IF(I60="",0,I60)-IF(J60="",0,J60),2))</f>
        <v>0</v>
      </c>
      <c r="P60" s="29">
        <f>IF(D60="","",IFERROR(INDEX(Invoices!$O$5:$O$304,MATCH(D60,Invoices!$A$5:$A$304,0)),0))</f>
        <v>0</v>
      </c>
      <c r="Q60" s="29">
        <f>IF(D60="","",IFERROR(INDEX(Invoices!$S$5:$S$304,MATCH(D60,Invoices!$A$5:$A$304,0)),0))</f>
        <v>0</v>
      </c>
      <c r="S60" s="28">
        <f>IF(B60="","",TEXT(B60,"yyyy-mm"))</f>
        <v>0</v>
      </c>
      <c r="T60" s="49">
        <f>IF(B60="","",IF(N60&lt;&gt;"Yes","Unconfirmed - check it cleared",IF(O60&lt;&gt;"Yes","To reconcile",IF(AND(D60&lt;&gt;"",Q60&gt;0.004),"Invoice still has a balance","OK"))))</f>
        <v>0</v>
      </c>
    </row>
    <row r="61" spans="1:20">
      <c r="A61" s="46">
        <f>IF(B61="","","PM-"&amp;TEXT(ROW()-4,"0000"))</f>
        <v>0</v>
      </c>
      <c r="K61" s="29">
        <f>IF(B61="","",ROUND(IF(E61="",0,E61)-IF(J61="",0,J61),2))</f>
        <v>0</v>
      </c>
      <c r="L61" s="29">
        <f>IF(B61="","",ROUND(IF(E61="",0,E61)+IF(H61="",0,H61)+IF(I61="",0,I61)-IF(J61="",0,J61),2))</f>
        <v>0</v>
      </c>
      <c r="P61" s="29">
        <f>IF(D61="","",IFERROR(INDEX(Invoices!$O$5:$O$304,MATCH(D61,Invoices!$A$5:$A$304,0)),0))</f>
        <v>0</v>
      </c>
      <c r="Q61" s="29">
        <f>IF(D61="","",IFERROR(INDEX(Invoices!$S$5:$S$304,MATCH(D61,Invoices!$A$5:$A$304,0)),0))</f>
        <v>0</v>
      </c>
      <c r="S61" s="28">
        <f>IF(B61="","",TEXT(B61,"yyyy-mm"))</f>
        <v>0</v>
      </c>
      <c r="T61" s="49">
        <f>IF(B61="","",IF(N61&lt;&gt;"Yes","Unconfirmed - check it cleared",IF(O61&lt;&gt;"Yes","To reconcile",IF(AND(D61&lt;&gt;"",Q61&gt;0.004),"Invoice still has a balance","OK"))))</f>
        <v>0</v>
      </c>
    </row>
    <row r="62" spans="1:20">
      <c r="A62" s="46">
        <f>IF(B62="","","PM-"&amp;TEXT(ROW()-4,"0000"))</f>
        <v>0</v>
      </c>
      <c r="K62" s="29">
        <f>IF(B62="","",ROUND(IF(E62="",0,E62)-IF(J62="",0,J62),2))</f>
        <v>0</v>
      </c>
      <c r="L62" s="29">
        <f>IF(B62="","",ROUND(IF(E62="",0,E62)+IF(H62="",0,H62)+IF(I62="",0,I62)-IF(J62="",0,J62),2))</f>
        <v>0</v>
      </c>
      <c r="P62" s="29">
        <f>IF(D62="","",IFERROR(INDEX(Invoices!$O$5:$O$304,MATCH(D62,Invoices!$A$5:$A$304,0)),0))</f>
        <v>0</v>
      </c>
      <c r="Q62" s="29">
        <f>IF(D62="","",IFERROR(INDEX(Invoices!$S$5:$S$304,MATCH(D62,Invoices!$A$5:$A$304,0)),0))</f>
        <v>0</v>
      </c>
      <c r="S62" s="28">
        <f>IF(B62="","",TEXT(B62,"yyyy-mm"))</f>
        <v>0</v>
      </c>
      <c r="T62" s="49">
        <f>IF(B62="","",IF(N62&lt;&gt;"Yes","Unconfirmed - check it cleared",IF(O62&lt;&gt;"Yes","To reconcile",IF(AND(D62&lt;&gt;"",Q62&gt;0.004),"Invoice still has a balance","OK"))))</f>
        <v>0</v>
      </c>
    </row>
    <row r="63" spans="1:20">
      <c r="A63" s="46">
        <f>IF(B63="","","PM-"&amp;TEXT(ROW()-4,"0000"))</f>
        <v>0</v>
      </c>
      <c r="K63" s="29">
        <f>IF(B63="","",ROUND(IF(E63="",0,E63)-IF(J63="",0,J63),2))</f>
        <v>0</v>
      </c>
      <c r="L63" s="29">
        <f>IF(B63="","",ROUND(IF(E63="",0,E63)+IF(H63="",0,H63)+IF(I63="",0,I63)-IF(J63="",0,J63),2))</f>
        <v>0</v>
      </c>
      <c r="P63" s="29">
        <f>IF(D63="","",IFERROR(INDEX(Invoices!$O$5:$O$304,MATCH(D63,Invoices!$A$5:$A$304,0)),0))</f>
        <v>0</v>
      </c>
      <c r="Q63" s="29">
        <f>IF(D63="","",IFERROR(INDEX(Invoices!$S$5:$S$304,MATCH(D63,Invoices!$A$5:$A$304,0)),0))</f>
        <v>0</v>
      </c>
      <c r="S63" s="28">
        <f>IF(B63="","",TEXT(B63,"yyyy-mm"))</f>
        <v>0</v>
      </c>
      <c r="T63" s="49">
        <f>IF(B63="","",IF(N63&lt;&gt;"Yes","Unconfirmed - check it cleared",IF(O63&lt;&gt;"Yes","To reconcile",IF(AND(D63&lt;&gt;"",Q63&gt;0.004),"Invoice still has a balance","OK"))))</f>
        <v>0</v>
      </c>
    </row>
    <row r="64" spans="1:20">
      <c r="A64" s="46">
        <f>IF(B64="","","PM-"&amp;TEXT(ROW()-4,"0000"))</f>
        <v>0</v>
      </c>
      <c r="K64" s="29">
        <f>IF(B64="","",ROUND(IF(E64="",0,E64)-IF(J64="",0,J64),2))</f>
        <v>0</v>
      </c>
      <c r="L64" s="29">
        <f>IF(B64="","",ROUND(IF(E64="",0,E64)+IF(H64="",0,H64)+IF(I64="",0,I64)-IF(J64="",0,J64),2))</f>
        <v>0</v>
      </c>
      <c r="P64" s="29">
        <f>IF(D64="","",IFERROR(INDEX(Invoices!$O$5:$O$304,MATCH(D64,Invoices!$A$5:$A$304,0)),0))</f>
        <v>0</v>
      </c>
      <c r="Q64" s="29">
        <f>IF(D64="","",IFERROR(INDEX(Invoices!$S$5:$S$304,MATCH(D64,Invoices!$A$5:$A$304,0)),0))</f>
        <v>0</v>
      </c>
      <c r="S64" s="28">
        <f>IF(B64="","",TEXT(B64,"yyyy-mm"))</f>
        <v>0</v>
      </c>
      <c r="T64" s="49">
        <f>IF(B64="","",IF(N64&lt;&gt;"Yes","Unconfirmed - check it cleared",IF(O64&lt;&gt;"Yes","To reconcile",IF(AND(D64&lt;&gt;"",Q64&gt;0.004),"Invoice still has a balance","OK"))))</f>
        <v>0</v>
      </c>
    </row>
    <row r="65" spans="1:20">
      <c r="A65" s="46">
        <f>IF(B65="","","PM-"&amp;TEXT(ROW()-4,"0000"))</f>
        <v>0</v>
      </c>
      <c r="K65" s="29">
        <f>IF(B65="","",ROUND(IF(E65="",0,E65)-IF(J65="",0,J65),2))</f>
        <v>0</v>
      </c>
      <c r="L65" s="29">
        <f>IF(B65="","",ROUND(IF(E65="",0,E65)+IF(H65="",0,H65)+IF(I65="",0,I65)-IF(J65="",0,J65),2))</f>
        <v>0</v>
      </c>
      <c r="P65" s="29">
        <f>IF(D65="","",IFERROR(INDEX(Invoices!$O$5:$O$304,MATCH(D65,Invoices!$A$5:$A$304,0)),0))</f>
        <v>0</v>
      </c>
      <c r="Q65" s="29">
        <f>IF(D65="","",IFERROR(INDEX(Invoices!$S$5:$S$304,MATCH(D65,Invoices!$A$5:$A$304,0)),0))</f>
        <v>0</v>
      </c>
      <c r="S65" s="28">
        <f>IF(B65="","",TEXT(B65,"yyyy-mm"))</f>
        <v>0</v>
      </c>
      <c r="T65" s="49">
        <f>IF(B65="","",IF(N65&lt;&gt;"Yes","Unconfirmed - check it cleared",IF(O65&lt;&gt;"Yes","To reconcile",IF(AND(D65&lt;&gt;"",Q65&gt;0.004),"Invoice still has a balance","OK"))))</f>
        <v>0</v>
      </c>
    </row>
    <row r="66" spans="1:20">
      <c r="A66" s="46">
        <f>IF(B66="","","PM-"&amp;TEXT(ROW()-4,"0000"))</f>
        <v>0</v>
      </c>
      <c r="K66" s="29">
        <f>IF(B66="","",ROUND(IF(E66="",0,E66)-IF(J66="",0,J66),2))</f>
        <v>0</v>
      </c>
      <c r="L66" s="29">
        <f>IF(B66="","",ROUND(IF(E66="",0,E66)+IF(H66="",0,H66)+IF(I66="",0,I66)-IF(J66="",0,J66),2))</f>
        <v>0</v>
      </c>
      <c r="P66" s="29">
        <f>IF(D66="","",IFERROR(INDEX(Invoices!$O$5:$O$304,MATCH(D66,Invoices!$A$5:$A$304,0)),0))</f>
        <v>0</v>
      </c>
      <c r="Q66" s="29">
        <f>IF(D66="","",IFERROR(INDEX(Invoices!$S$5:$S$304,MATCH(D66,Invoices!$A$5:$A$304,0)),0))</f>
        <v>0</v>
      </c>
      <c r="S66" s="28">
        <f>IF(B66="","",TEXT(B66,"yyyy-mm"))</f>
        <v>0</v>
      </c>
      <c r="T66" s="49">
        <f>IF(B66="","",IF(N66&lt;&gt;"Yes","Unconfirmed - check it cleared",IF(O66&lt;&gt;"Yes","To reconcile",IF(AND(D66&lt;&gt;"",Q66&gt;0.004),"Invoice still has a balance","OK"))))</f>
        <v>0</v>
      </c>
    </row>
    <row r="67" spans="1:20">
      <c r="A67" s="46">
        <f>IF(B67="","","PM-"&amp;TEXT(ROW()-4,"0000"))</f>
        <v>0</v>
      </c>
      <c r="K67" s="29">
        <f>IF(B67="","",ROUND(IF(E67="",0,E67)-IF(J67="",0,J67),2))</f>
        <v>0</v>
      </c>
      <c r="L67" s="29">
        <f>IF(B67="","",ROUND(IF(E67="",0,E67)+IF(H67="",0,H67)+IF(I67="",0,I67)-IF(J67="",0,J67),2))</f>
        <v>0</v>
      </c>
      <c r="P67" s="29">
        <f>IF(D67="","",IFERROR(INDEX(Invoices!$O$5:$O$304,MATCH(D67,Invoices!$A$5:$A$304,0)),0))</f>
        <v>0</v>
      </c>
      <c r="Q67" s="29">
        <f>IF(D67="","",IFERROR(INDEX(Invoices!$S$5:$S$304,MATCH(D67,Invoices!$A$5:$A$304,0)),0))</f>
        <v>0</v>
      </c>
      <c r="S67" s="28">
        <f>IF(B67="","",TEXT(B67,"yyyy-mm"))</f>
        <v>0</v>
      </c>
      <c r="T67" s="49">
        <f>IF(B67="","",IF(N67&lt;&gt;"Yes","Unconfirmed - check it cleared",IF(O67&lt;&gt;"Yes","To reconcile",IF(AND(D67&lt;&gt;"",Q67&gt;0.004),"Invoice still has a balance","OK"))))</f>
        <v>0</v>
      </c>
    </row>
    <row r="68" spans="1:20">
      <c r="A68" s="46">
        <f>IF(B68="","","PM-"&amp;TEXT(ROW()-4,"0000"))</f>
        <v>0</v>
      </c>
      <c r="K68" s="29">
        <f>IF(B68="","",ROUND(IF(E68="",0,E68)-IF(J68="",0,J68),2))</f>
        <v>0</v>
      </c>
      <c r="L68" s="29">
        <f>IF(B68="","",ROUND(IF(E68="",0,E68)+IF(H68="",0,H68)+IF(I68="",0,I68)-IF(J68="",0,J68),2))</f>
        <v>0</v>
      </c>
      <c r="P68" s="29">
        <f>IF(D68="","",IFERROR(INDEX(Invoices!$O$5:$O$304,MATCH(D68,Invoices!$A$5:$A$304,0)),0))</f>
        <v>0</v>
      </c>
      <c r="Q68" s="29">
        <f>IF(D68="","",IFERROR(INDEX(Invoices!$S$5:$S$304,MATCH(D68,Invoices!$A$5:$A$304,0)),0))</f>
        <v>0</v>
      </c>
      <c r="S68" s="28">
        <f>IF(B68="","",TEXT(B68,"yyyy-mm"))</f>
        <v>0</v>
      </c>
      <c r="T68" s="49">
        <f>IF(B68="","",IF(N68&lt;&gt;"Yes","Unconfirmed - check it cleared",IF(O68&lt;&gt;"Yes","To reconcile",IF(AND(D68&lt;&gt;"",Q68&gt;0.004),"Invoice still has a balance","OK"))))</f>
        <v>0</v>
      </c>
    </row>
    <row r="69" spans="1:20">
      <c r="A69" s="46">
        <f>IF(B69="","","PM-"&amp;TEXT(ROW()-4,"0000"))</f>
        <v>0</v>
      </c>
      <c r="K69" s="29">
        <f>IF(B69="","",ROUND(IF(E69="",0,E69)-IF(J69="",0,J69),2))</f>
        <v>0</v>
      </c>
      <c r="L69" s="29">
        <f>IF(B69="","",ROUND(IF(E69="",0,E69)+IF(H69="",0,H69)+IF(I69="",0,I69)-IF(J69="",0,J69),2))</f>
        <v>0</v>
      </c>
      <c r="P69" s="29">
        <f>IF(D69="","",IFERROR(INDEX(Invoices!$O$5:$O$304,MATCH(D69,Invoices!$A$5:$A$304,0)),0))</f>
        <v>0</v>
      </c>
      <c r="Q69" s="29">
        <f>IF(D69="","",IFERROR(INDEX(Invoices!$S$5:$S$304,MATCH(D69,Invoices!$A$5:$A$304,0)),0))</f>
        <v>0</v>
      </c>
      <c r="S69" s="28">
        <f>IF(B69="","",TEXT(B69,"yyyy-mm"))</f>
        <v>0</v>
      </c>
      <c r="T69" s="49">
        <f>IF(B69="","",IF(N69&lt;&gt;"Yes","Unconfirmed - check it cleared",IF(O69&lt;&gt;"Yes","To reconcile",IF(AND(D69&lt;&gt;"",Q69&gt;0.004),"Invoice still has a balance","OK"))))</f>
        <v>0</v>
      </c>
    </row>
    <row r="70" spans="1:20">
      <c r="A70" s="46">
        <f>IF(B70="","","PM-"&amp;TEXT(ROW()-4,"0000"))</f>
        <v>0</v>
      </c>
      <c r="K70" s="29">
        <f>IF(B70="","",ROUND(IF(E70="",0,E70)-IF(J70="",0,J70),2))</f>
        <v>0</v>
      </c>
      <c r="L70" s="29">
        <f>IF(B70="","",ROUND(IF(E70="",0,E70)+IF(H70="",0,H70)+IF(I70="",0,I70)-IF(J70="",0,J70),2))</f>
        <v>0</v>
      </c>
      <c r="P70" s="29">
        <f>IF(D70="","",IFERROR(INDEX(Invoices!$O$5:$O$304,MATCH(D70,Invoices!$A$5:$A$304,0)),0))</f>
        <v>0</v>
      </c>
      <c r="Q70" s="29">
        <f>IF(D70="","",IFERROR(INDEX(Invoices!$S$5:$S$304,MATCH(D70,Invoices!$A$5:$A$304,0)),0))</f>
        <v>0</v>
      </c>
      <c r="S70" s="28">
        <f>IF(B70="","",TEXT(B70,"yyyy-mm"))</f>
        <v>0</v>
      </c>
      <c r="T70" s="49">
        <f>IF(B70="","",IF(N70&lt;&gt;"Yes","Unconfirmed - check it cleared",IF(O70&lt;&gt;"Yes","To reconcile",IF(AND(D70&lt;&gt;"",Q70&gt;0.004),"Invoice still has a balance","OK"))))</f>
        <v>0</v>
      </c>
    </row>
    <row r="71" spans="1:20">
      <c r="A71" s="46">
        <f>IF(B71="","","PM-"&amp;TEXT(ROW()-4,"0000"))</f>
        <v>0</v>
      </c>
      <c r="K71" s="29">
        <f>IF(B71="","",ROUND(IF(E71="",0,E71)-IF(J71="",0,J71),2))</f>
        <v>0</v>
      </c>
      <c r="L71" s="29">
        <f>IF(B71="","",ROUND(IF(E71="",0,E71)+IF(H71="",0,H71)+IF(I71="",0,I71)-IF(J71="",0,J71),2))</f>
        <v>0</v>
      </c>
      <c r="P71" s="29">
        <f>IF(D71="","",IFERROR(INDEX(Invoices!$O$5:$O$304,MATCH(D71,Invoices!$A$5:$A$304,0)),0))</f>
        <v>0</v>
      </c>
      <c r="Q71" s="29">
        <f>IF(D71="","",IFERROR(INDEX(Invoices!$S$5:$S$304,MATCH(D71,Invoices!$A$5:$A$304,0)),0))</f>
        <v>0</v>
      </c>
      <c r="S71" s="28">
        <f>IF(B71="","",TEXT(B71,"yyyy-mm"))</f>
        <v>0</v>
      </c>
      <c r="T71" s="49">
        <f>IF(B71="","",IF(N71&lt;&gt;"Yes","Unconfirmed - check it cleared",IF(O71&lt;&gt;"Yes","To reconcile",IF(AND(D71&lt;&gt;"",Q71&gt;0.004),"Invoice still has a balance","OK"))))</f>
        <v>0</v>
      </c>
    </row>
    <row r="72" spans="1:20">
      <c r="A72" s="46">
        <f>IF(B72="","","PM-"&amp;TEXT(ROW()-4,"0000"))</f>
        <v>0</v>
      </c>
      <c r="K72" s="29">
        <f>IF(B72="","",ROUND(IF(E72="",0,E72)-IF(J72="",0,J72),2))</f>
        <v>0</v>
      </c>
      <c r="L72" s="29">
        <f>IF(B72="","",ROUND(IF(E72="",0,E72)+IF(H72="",0,H72)+IF(I72="",0,I72)-IF(J72="",0,J72),2))</f>
        <v>0</v>
      </c>
      <c r="P72" s="29">
        <f>IF(D72="","",IFERROR(INDEX(Invoices!$O$5:$O$304,MATCH(D72,Invoices!$A$5:$A$304,0)),0))</f>
        <v>0</v>
      </c>
      <c r="Q72" s="29">
        <f>IF(D72="","",IFERROR(INDEX(Invoices!$S$5:$S$304,MATCH(D72,Invoices!$A$5:$A$304,0)),0))</f>
        <v>0</v>
      </c>
      <c r="S72" s="28">
        <f>IF(B72="","",TEXT(B72,"yyyy-mm"))</f>
        <v>0</v>
      </c>
      <c r="T72" s="49">
        <f>IF(B72="","",IF(N72&lt;&gt;"Yes","Unconfirmed - check it cleared",IF(O72&lt;&gt;"Yes","To reconcile",IF(AND(D72&lt;&gt;"",Q72&gt;0.004),"Invoice still has a balance","OK"))))</f>
        <v>0</v>
      </c>
    </row>
    <row r="73" spans="1:20">
      <c r="A73" s="46">
        <f>IF(B73="","","PM-"&amp;TEXT(ROW()-4,"0000"))</f>
        <v>0</v>
      </c>
      <c r="K73" s="29">
        <f>IF(B73="","",ROUND(IF(E73="",0,E73)-IF(J73="",0,J73),2))</f>
        <v>0</v>
      </c>
      <c r="L73" s="29">
        <f>IF(B73="","",ROUND(IF(E73="",0,E73)+IF(H73="",0,H73)+IF(I73="",0,I73)-IF(J73="",0,J73),2))</f>
        <v>0</v>
      </c>
      <c r="P73" s="29">
        <f>IF(D73="","",IFERROR(INDEX(Invoices!$O$5:$O$304,MATCH(D73,Invoices!$A$5:$A$304,0)),0))</f>
        <v>0</v>
      </c>
      <c r="Q73" s="29">
        <f>IF(D73="","",IFERROR(INDEX(Invoices!$S$5:$S$304,MATCH(D73,Invoices!$A$5:$A$304,0)),0))</f>
        <v>0</v>
      </c>
      <c r="S73" s="28">
        <f>IF(B73="","",TEXT(B73,"yyyy-mm"))</f>
        <v>0</v>
      </c>
      <c r="T73" s="49">
        <f>IF(B73="","",IF(N73&lt;&gt;"Yes","Unconfirmed - check it cleared",IF(O73&lt;&gt;"Yes","To reconcile",IF(AND(D73&lt;&gt;"",Q73&gt;0.004),"Invoice still has a balance","OK"))))</f>
        <v>0</v>
      </c>
    </row>
    <row r="74" spans="1:20">
      <c r="A74" s="46">
        <f>IF(B74="","","PM-"&amp;TEXT(ROW()-4,"0000"))</f>
        <v>0</v>
      </c>
      <c r="K74" s="29">
        <f>IF(B74="","",ROUND(IF(E74="",0,E74)-IF(J74="",0,J74),2))</f>
        <v>0</v>
      </c>
      <c r="L74" s="29">
        <f>IF(B74="","",ROUND(IF(E74="",0,E74)+IF(H74="",0,H74)+IF(I74="",0,I74)-IF(J74="",0,J74),2))</f>
        <v>0</v>
      </c>
      <c r="P74" s="29">
        <f>IF(D74="","",IFERROR(INDEX(Invoices!$O$5:$O$304,MATCH(D74,Invoices!$A$5:$A$304,0)),0))</f>
        <v>0</v>
      </c>
      <c r="Q74" s="29">
        <f>IF(D74="","",IFERROR(INDEX(Invoices!$S$5:$S$304,MATCH(D74,Invoices!$A$5:$A$304,0)),0))</f>
        <v>0</v>
      </c>
      <c r="S74" s="28">
        <f>IF(B74="","",TEXT(B74,"yyyy-mm"))</f>
        <v>0</v>
      </c>
      <c r="T74" s="49">
        <f>IF(B74="","",IF(N74&lt;&gt;"Yes","Unconfirmed - check it cleared",IF(O74&lt;&gt;"Yes","To reconcile",IF(AND(D74&lt;&gt;"",Q74&gt;0.004),"Invoice still has a balance","OK"))))</f>
        <v>0</v>
      </c>
    </row>
    <row r="75" spans="1:20">
      <c r="A75" s="46">
        <f>IF(B75="","","PM-"&amp;TEXT(ROW()-4,"0000"))</f>
        <v>0</v>
      </c>
      <c r="K75" s="29">
        <f>IF(B75="","",ROUND(IF(E75="",0,E75)-IF(J75="",0,J75),2))</f>
        <v>0</v>
      </c>
      <c r="L75" s="29">
        <f>IF(B75="","",ROUND(IF(E75="",0,E75)+IF(H75="",0,H75)+IF(I75="",0,I75)-IF(J75="",0,J75),2))</f>
        <v>0</v>
      </c>
      <c r="P75" s="29">
        <f>IF(D75="","",IFERROR(INDEX(Invoices!$O$5:$O$304,MATCH(D75,Invoices!$A$5:$A$304,0)),0))</f>
        <v>0</v>
      </c>
      <c r="Q75" s="29">
        <f>IF(D75="","",IFERROR(INDEX(Invoices!$S$5:$S$304,MATCH(D75,Invoices!$A$5:$A$304,0)),0))</f>
        <v>0</v>
      </c>
      <c r="S75" s="28">
        <f>IF(B75="","",TEXT(B75,"yyyy-mm"))</f>
        <v>0</v>
      </c>
      <c r="T75" s="49">
        <f>IF(B75="","",IF(N75&lt;&gt;"Yes","Unconfirmed - check it cleared",IF(O75&lt;&gt;"Yes","To reconcile",IF(AND(D75&lt;&gt;"",Q75&gt;0.004),"Invoice still has a balance","OK"))))</f>
        <v>0</v>
      </c>
    </row>
    <row r="76" spans="1:20">
      <c r="A76" s="46">
        <f>IF(B76="","","PM-"&amp;TEXT(ROW()-4,"0000"))</f>
        <v>0</v>
      </c>
      <c r="K76" s="29">
        <f>IF(B76="","",ROUND(IF(E76="",0,E76)-IF(J76="",0,J76),2))</f>
        <v>0</v>
      </c>
      <c r="L76" s="29">
        <f>IF(B76="","",ROUND(IF(E76="",0,E76)+IF(H76="",0,H76)+IF(I76="",0,I76)-IF(J76="",0,J76),2))</f>
        <v>0</v>
      </c>
      <c r="P76" s="29">
        <f>IF(D76="","",IFERROR(INDEX(Invoices!$O$5:$O$304,MATCH(D76,Invoices!$A$5:$A$304,0)),0))</f>
        <v>0</v>
      </c>
      <c r="Q76" s="29">
        <f>IF(D76="","",IFERROR(INDEX(Invoices!$S$5:$S$304,MATCH(D76,Invoices!$A$5:$A$304,0)),0))</f>
        <v>0</v>
      </c>
      <c r="S76" s="28">
        <f>IF(B76="","",TEXT(B76,"yyyy-mm"))</f>
        <v>0</v>
      </c>
      <c r="T76" s="49">
        <f>IF(B76="","",IF(N76&lt;&gt;"Yes","Unconfirmed - check it cleared",IF(O76&lt;&gt;"Yes","To reconcile",IF(AND(D76&lt;&gt;"",Q76&gt;0.004),"Invoice still has a balance","OK"))))</f>
        <v>0</v>
      </c>
    </row>
    <row r="77" spans="1:20">
      <c r="A77" s="46">
        <f>IF(B77="","","PM-"&amp;TEXT(ROW()-4,"0000"))</f>
        <v>0</v>
      </c>
      <c r="K77" s="29">
        <f>IF(B77="","",ROUND(IF(E77="",0,E77)-IF(J77="",0,J77),2))</f>
        <v>0</v>
      </c>
      <c r="L77" s="29">
        <f>IF(B77="","",ROUND(IF(E77="",0,E77)+IF(H77="",0,H77)+IF(I77="",0,I77)-IF(J77="",0,J77),2))</f>
        <v>0</v>
      </c>
      <c r="P77" s="29">
        <f>IF(D77="","",IFERROR(INDEX(Invoices!$O$5:$O$304,MATCH(D77,Invoices!$A$5:$A$304,0)),0))</f>
        <v>0</v>
      </c>
      <c r="Q77" s="29">
        <f>IF(D77="","",IFERROR(INDEX(Invoices!$S$5:$S$304,MATCH(D77,Invoices!$A$5:$A$304,0)),0))</f>
        <v>0</v>
      </c>
      <c r="S77" s="28">
        <f>IF(B77="","",TEXT(B77,"yyyy-mm"))</f>
        <v>0</v>
      </c>
      <c r="T77" s="49">
        <f>IF(B77="","",IF(N77&lt;&gt;"Yes","Unconfirmed - check it cleared",IF(O77&lt;&gt;"Yes","To reconcile",IF(AND(D77&lt;&gt;"",Q77&gt;0.004),"Invoice still has a balance","OK"))))</f>
        <v>0</v>
      </c>
    </row>
    <row r="78" spans="1:20">
      <c r="A78" s="46">
        <f>IF(B78="","","PM-"&amp;TEXT(ROW()-4,"0000"))</f>
        <v>0</v>
      </c>
      <c r="K78" s="29">
        <f>IF(B78="","",ROUND(IF(E78="",0,E78)-IF(J78="",0,J78),2))</f>
        <v>0</v>
      </c>
      <c r="L78" s="29">
        <f>IF(B78="","",ROUND(IF(E78="",0,E78)+IF(H78="",0,H78)+IF(I78="",0,I78)-IF(J78="",0,J78),2))</f>
        <v>0</v>
      </c>
      <c r="P78" s="29">
        <f>IF(D78="","",IFERROR(INDEX(Invoices!$O$5:$O$304,MATCH(D78,Invoices!$A$5:$A$304,0)),0))</f>
        <v>0</v>
      </c>
      <c r="Q78" s="29">
        <f>IF(D78="","",IFERROR(INDEX(Invoices!$S$5:$S$304,MATCH(D78,Invoices!$A$5:$A$304,0)),0))</f>
        <v>0</v>
      </c>
      <c r="S78" s="28">
        <f>IF(B78="","",TEXT(B78,"yyyy-mm"))</f>
        <v>0</v>
      </c>
      <c r="T78" s="49">
        <f>IF(B78="","",IF(N78&lt;&gt;"Yes","Unconfirmed - check it cleared",IF(O78&lt;&gt;"Yes","To reconcile",IF(AND(D78&lt;&gt;"",Q78&gt;0.004),"Invoice still has a balance","OK"))))</f>
        <v>0</v>
      </c>
    </row>
    <row r="79" spans="1:20">
      <c r="A79" s="46">
        <f>IF(B79="","","PM-"&amp;TEXT(ROW()-4,"0000"))</f>
        <v>0</v>
      </c>
      <c r="K79" s="29">
        <f>IF(B79="","",ROUND(IF(E79="",0,E79)-IF(J79="",0,J79),2))</f>
        <v>0</v>
      </c>
      <c r="L79" s="29">
        <f>IF(B79="","",ROUND(IF(E79="",0,E79)+IF(H79="",0,H79)+IF(I79="",0,I79)-IF(J79="",0,J79),2))</f>
        <v>0</v>
      </c>
      <c r="P79" s="29">
        <f>IF(D79="","",IFERROR(INDEX(Invoices!$O$5:$O$304,MATCH(D79,Invoices!$A$5:$A$304,0)),0))</f>
        <v>0</v>
      </c>
      <c r="Q79" s="29">
        <f>IF(D79="","",IFERROR(INDEX(Invoices!$S$5:$S$304,MATCH(D79,Invoices!$A$5:$A$304,0)),0))</f>
        <v>0</v>
      </c>
      <c r="S79" s="28">
        <f>IF(B79="","",TEXT(B79,"yyyy-mm"))</f>
        <v>0</v>
      </c>
      <c r="T79" s="49">
        <f>IF(B79="","",IF(N79&lt;&gt;"Yes","Unconfirmed - check it cleared",IF(O79&lt;&gt;"Yes","To reconcile",IF(AND(D79&lt;&gt;"",Q79&gt;0.004),"Invoice still has a balance","OK"))))</f>
        <v>0</v>
      </c>
    </row>
    <row r="80" spans="1:20">
      <c r="A80" s="46">
        <f>IF(B80="","","PM-"&amp;TEXT(ROW()-4,"0000"))</f>
        <v>0</v>
      </c>
      <c r="K80" s="29">
        <f>IF(B80="","",ROUND(IF(E80="",0,E80)-IF(J80="",0,J80),2))</f>
        <v>0</v>
      </c>
      <c r="L80" s="29">
        <f>IF(B80="","",ROUND(IF(E80="",0,E80)+IF(H80="",0,H80)+IF(I80="",0,I80)-IF(J80="",0,J80),2))</f>
        <v>0</v>
      </c>
      <c r="P80" s="29">
        <f>IF(D80="","",IFERROR(INDEX(Invoices!$O$5:$O$304,MATCH(D80,Invoices!$A$5:$A$304,0)),0))</f>
        <v>0</v>
      </c>
      <c r="Q80" s="29">
        <f>IF(D80="","",IFERROR(INDEX(Invoices!$S$5:$S$304,MATCH(D80,Invoices!$A$5:$A$304,0)),0))</f>
        <v>0</v>
      </c>
      <c r="S80" s="28">
        <f>IF(B80="","",TEXT(B80,"yyyy-mm"))</f>
        <v>0</v>
      </c>
      <c r="T80" s="49">
        <f>IF(B80="","",IF(N80&lt;&gt;"Yes","Unconfirmed - check it cleared",IF(O80&lt;&gt;"Yes","To reconcile",IF(AND(D80&lt;&gt;"",Q80&gt;0.004),"Invoice still has a balance","OK"))))</f>
        <v>0</v>
      </c>
    </row>
    <row r="81" spans="1:20">
      <c r="A81" s="46">
        <f>IF(B81="","","PM-"&amp;TEXT(ROW()-4,"0000"))</f>
        <v>0</v>
      </c>
      <c r="K81" s="29">
        <f>IF(B81="","",ROUND(IF(E81="",0,E81)-IF(J81="",0,J81),2))</f>
        <v>0</v>
      </c>
      <c r="L81" s="29">
        <f>IF(B81="","",ROUND(IF(E81="",0,E81)+IF(H81="",0,H81)+IF(I81="",0,I81)-IF(J81="",0,J81),2))</f>
        <v>0</v>
      </c>
      <c r="P81" s="29">
        <f>IF(D81="","",IFERROR(INDEX(Invoices!$O$5:$O$304,MATCH(D81,Invoices!$A$5:$A$304,0)),0))</f>
        <v>0</v>
      </c>
      <c r="Q81" s="29">
        <f>IF(D81="","",IFERROR(INDEX(Invoices!$S$5:$S$304,MATCH(D81,Invoices!$A$5:$A$304,0)),0))</f>
        <v>0</v>
      </c>
      <c r="S81" s="28">
        <f>IF(B81="","",TEXT(B81,"yyyy-mm"))</f>
        <v>0</v>
      </c>
      <c r="T81" s="49">
        <f>IF(B81="","",IF(N81&lt;&gt;"Yes","Unconfirmed - check it cleared",IF(O81&lt;&gt;"Yes","To reconcile",IF(AND(D81&lt;&gt;"",Q81&gt;0.004),"Invoice still has a balance","OK"))))</f>
        <v>0</v>
      </c>
    </row>
    <row r="82" spans="1:20">
      <c r="A82" s="46">
        <f>IF(B82="","","PM-"&amp;TEXT(ROW()-4,"0000"))</f>
        <v>0</v>
      </c>
      <c r="K82" s="29">
        <f>IF(B82="","",ROUND(IF(E82="",0,E82)-IF(J82="",0,J82),2))</f>
        <v>0</v>
      </c>
      <c r="L82" s="29">
        <f>IF(B82="","",ROUND(IF(E82="",0,E82)+IF(H82="",0,H82)+IF(I82="",0,I82)-IF(J82="",0,J82),2))</f>
        <v>0</v>
      </c>
      <c r="P82" s="29">
        <f>IF(D82="","",IFERROR(INDEX(Invoices!$O$5:$O$304,MATCH(D82,Invoices!$A$5:$A$304,0)),0))</f>
        <v>0</v>
      </c>
      <c r="Q82" s="29">
        <f>IF(D82="","",IFERROR(INDEX(Invoices!$S$5:$S$304,MATCH(D82,Invoices!$A$5:$A$304,0)),0))</f>
        <v>0</v>
      </c>
      <c r="S82" s="28">
        <f>IF(B82="","",TEXT(B82,"yyyy-mm"))</f>
        <v>0</v>
      </c>
      <c r="T82" s="49">
        <f>IF(B82="","",IF(N82&lt;&gt;"Yes","Unconfirmed - check it cleared",IF(O82&lt;&gt;"Yes","To reconcile",IF(AND(D82&lt;&gt;"",Q82&gt;0.004),"Invoice still has a balance","OK"))))</f>
        <v>0</v>
      </c>
    </row>
    <row r="83" spans="1:20">
      <c r="A83" s="46">
        <f>IF(B83="","","PM-"&amp;TEXT(ROW()-4,"0000"))</f>
        <v>0</v>
      </c>
      <c r="K83" s="29">
        <f>IF(B83="","",ROUND(IF(E83="",0,E83)-IF(J83="",0,J83),2))</f>
        <v>0</v>
      </c>
      <c r="L83" s="29">
        <f>IF(B83="","",ROUND(IF(E83="",0,E83)+IF(H83="",0,H83)+IF(I83="",0,I83)-IF(J83="",0,J83),2))</f>
        <v>0</v>
      </c>
      <c r="P83" s="29">
        <f>IF(D83="","",IFERROR(INDEX(Invoices!$O$5:$O$304,MATCH(D83,Invoices!$A$5:$A$304,0)),0))</f>
        <v>0</v>
      </c>
      <c r="Q83" s="29">
        <f>IF(D83="","",IFERROR(INDEX(Invoices!$S$5:$S$304,MATCH(D83,Invoices!$A$5:$A$304,0)),0))</f>
        <v>0</v>
      </c>
      <c r="S83" s="28">
        <f>IF(B83="","",TEXT(B83,"yyyy-mm"))</f>
        <v>0</v>
      </c>
      <c r="T83" s="49">
        <f>IF(B83="","",IF(N83&lt;&gt;"Yes","Unconfirmed - check it cleared",IF(O83&lt;&gt;"Yes","To reconcile",IF(AND(D83&lt;&gt;"",Q83&gt;0.004),"Invoice still has a balance","OK"))))</f>
        <v>0</v>
      </c>
    </row>
    <row r="84" spans="1:20">
      <c r="A84" s="46">
        <f>IF(B84="","","PM-"&amp;TEXT(ROW()-4,"0000"))</f>
        <v>0</v>
      </c>
      <c r="K84" s="29">
        <f>IF(B84="","",ROUND(IF(E84="",0,E84)-IF(J84="",0,J84),2))</f>
        <v>0</v>
      </c>
      <c r="L84" s="29">
        <f>IF(B84="","",ROUND(IF(E84="",0,E84)+IF(H84="",0,H84)+IF(I84="",0,I84)-IF(J84="",0,J84),2))</f>
        <v>0</v>
      </c>
      <c r="P84" s="29">
        <f>IF(D84="","",IFERROR(INDEX(Invoices!$O$5:$O$304,MATCH(D84,Invoices!$A$5:$A$304,0)),0))</f>
        <v>0</v>
      </c>
      <c r="Q84" s="29">
        <f>IF(D84="","",IFERROR(INDEX(Invoices!$S$5:$S$304,MATCH(D84,Invoices!$A$5:$A$304,0)),0))</f>
        <v>0</v>
      </c>
      <c r="S84" s="28">
        <f>IF(B84="","",TEXT(B84,"yyyy-mm"))</f>
        <v>0</v>
      </c>
      <c r="T84" s="49">
        <f>IF(B84="","",IF(N84&lt;&gt;"Yes","Unconfirmed - check it cleared",IF(O84&lt;&gt;"Yes","To reconcile",IF(AND(D84&lt;&gt;"",Q84&gt;0.004),"Invoice still has a balance","OK"))))</f>
        <v>0</v>
      </c>
    </row>
    <row r="85" spans="1:20">
      <c r="A85" s="46">
        <f>IF(B85="","","PM-"&amp;TEXT(ROW()-4,"0000"))</f>
        <v>0</v>
      </c>
      <c r="K85" s="29">
        <f>IF(B85="","",ROUND(IF(E85="",0,E85)-IF(J85="",0,J85),2))</f>
        <v>0</v>
      </c>
      <c r="L85" s="29">
        <f>IF(B85="","",ROUND(IF(E85="",0,E85)+IF(H85="",0,H85)+IF(I85="",0,I85)-IF(J85="",0,J85),2))</f>
        <v>0</v>
      </c>
      <c r="P85" s="29">
        <f>IF(D85="","",IFERROR(INDEX(Invoices!$O$5:$O$304,MATCH(D85,Invoices!$A$5:$A$304,0)),0))</f>
        <v>0</v>
      </c>
      <c r="Q85" s="29">
        <f>IF(D85="","",IFERROR(INDEX(Invoices!$S$5:$S$304,MATCH(D85,Invoices!$A$5:$A$304,0)),0))</f>
        <v>0</v>
      </c>
      <c r="S85" s="28">
        <f>IF(B85="","",TEXT(B85,"yyyy-mm"))</f>
        <v>0</v>
      </c>
      <c r="T85" s="49">
        <f>IF(B85="","",IF(N85&lt;&gt;"Yes","Unconfirmed - check it cleared",IF(O85&lt;&gt;"Yes","To reconcile",IF(AND(D85&lt;&gt;"",Q85&gt;0.004),"Invoice still has a balance","OK"))))</f>
        <v>0</v>
      </c>
    </row>
    <row r="86" spans="1:20">
      <c r="A86" s="46">
        <f>IF(B86="","","PM-"&amp;TEXT(ROW()-4,"0000"))</f>
        <v>0</v>
      </c>
      <c r="K86" s="29">
        <f>IF(B86="","",ROUND(IF(E86="",0,E86)-IF(J86="",0,J86),2))</f>
        <v>0</v>
      </c>
      <c r="L86" s="29">
        <f>IF(B86="","",ROUND(IF(E86="",0,E86)+IF(H86="",0,H86)+IF(I86="",0,I86)-IF(J86="",0,J86),2))</f>
        <v>0</v>
      </c>
      <c r="P86" s="29">
        <f>IF(D86="","",IFERROR(INDEX(Invoices!$O$5:$O$304,MATCH(D86,Invoices!$A$5:$A$304,0)),0))</f>
        <v>0</v>
      </c>
      <c r="Q86" s="29">
        <f>IF(D86="","",IFERROR(INDEX(Invoices!$S$5:$S$304,MATCH(D86,Invoices!$A$5:$A$304,0)),0))</f>
        <v>0</v>
      </c>
      <c r="S86" s="28">
        <f>IF(B86="","",TEXT(B86,"yyyy-mm"))</f>
        <v>0</v>
      </c>
      <c r="T86" s="49">
        <f>IF(B86="","",IF(N86&lt;&gt;"Yes","Unconfirmed - check it cleared",IF(O86&lt;&gt;"Yes","To reconcile",IF(AND(D86&lt;&gt;"",Q86&gt;0.004),"Invoice still has a balance","OK"))))</f>
        <v>0</v>
      </c>
    </row>
    <row r="87" spans="1:20">
      <c r="A87" s="46">
        <f>IF(B87="","","PM-"&amp;TEXT(ROW()-4,"0000"))</f>
        <v>0</v>
      </c>
      <c r="K87" s="29">
        <f>IF(B87="","",ROUND(IF(E87="",0,E87)-IF(J87="",0,J87),2))</f>
        <v>0</v>
      </c>
      <c r="L87" s="29">
        <f>IF(B87="","",ROUND(IF(E87="",0,E87)+IF(H87="",0,H87)+IF(I87="",0,I87)-IF(J87="",0,J87),2))</f>
        <v>0</v>
      </c>
      <c r="P87" s="29">
        <f>IF(D87="","",IFERROR(INDEX(Invoices!$O$5:$O$304,MATCH(D87,Invoices!$A$5:$A$304,0)),0))</f>
        <v>0</v>
      </c>
      <c r="Q87" s="29">
        <f>IF(D87="","",IFERROR(INDEX(Invoices!$S$5:$S$304,MATCH(D87,Invoices!$A$5:$A$304,0)),0))</f>
        <v>0</v>
      </c>
      <c r="S87" s="28">
        <f>IF(B87="","",TEXT(B87,"yyyy-mm"))</f>
        <v>0</v>
      </c>
      <c r="T87" s="49">
        <f>IF(B87="","",IF(N87&lt;&gt;"Yes","Unconfirmed - check it cleared",IF(O87&lt;&gt;"Yes","To reconcile",IF(AND(D87&lt;&gt;"",Q87&gt;0.004),"Invoice still has a balance","OK"))))</f>
        <v>0</v>
      </c>
    </row>
    <row r="88" spans="1:20">
      <c r="A88" s="46">
        <f>IF(B88="","","PM-"&amp;TEXT(ROW()-4,"0000"))</f>
        <v>0</v>
      </c>
      <c r="K88" s="29">
        <f>IF(B88="","",ROUND(IF(E88="",0,E88)-IF(J88="",0,J88),2))</f>
        <v>0</v>
      </c>
      <c r="L88" s="29">
        <f>IF(B88="","",ROUND(IF(E88="",0,E88)+IF(H88="",0,H88)+IF(I88="",0,I88)-IF(J88="",0,J88),2))</f>
        <v>0</v>
      </c>
      <c r="P88" s="29">
        <f>IF(D88="","",IFERROR(INDEX(Invoices!$O$5:$O$304,MATCH(D88,Invoices!$A$5:$A$304,0)),0))</f>
        <v>0</v>
      </c>
      <c r="Q88" s="29">
        <f>IF(D88="","",IFERROR(INDEX(Invoices!$S$5:$S$304,MATCH(D88,Invoices!$A$5:$A$304,0)),0))</f>
        <v>0</v>
      </c>
      <c r="S88" s="28">
        <f>IF(B88="","",TEXT(B88,"yyyy-mm"))</f>
        <v>0</v>
      </c>
      <c r="T88" s="49">
        <f>IF(B88="","",IF(N88&lt;&gt;"Yes","Unconfirmed - check it cleared",IF(O88&lt;&gt;"Yes","To reconcile",IF(AND(D88&lt;&gt;"",Q88&gt;0.004),"Invoice still has a balance","OK"))))</f>
        <v>0</v>
      </c>
    </row>
    <row r="89" spans="1:20">
      <c r="A89" s="46">
        <f>IF(B89="","","PM-"&amp;TEXT(ROW()-4,"0000"))</f>
        <v>0</v>
      </c>
      <c r="K89" s="29">
        <f>IF(B89="","",ROUND(IF(E89="",0,E89)-IF(J89="",0,J89),2))</f>
        <v>0</v>
      </c>
      <c r="L89" s="29">
        <f>IF(B89="","",ROUND(IF(E89="",0,E89)+IF(H89="",0,H89)+IF(I89="",0,I89)-IF(J89="",0,J89),2))</f>
        <v>0</v>
      </c>
      <c r="P89" s="29">
        <f>IF(D89="","",IFERROR(INDEX(Invoices!$O$5:$O$304,MATCH(D89,Invoices!$A$5:$A$304,0)),0))</f>
        <v>0</v>
      </c>
      <c r="Q89" s="29">
        <f>IF(D89="","",IFERROR(INDEX(Invoices!$S$5:$S$304,MATCH(D89,Invoices!$A$5:$A$304,0)),0))</f>
        <v>0</v>
      </c>
      <c r="S89" s="28">
        <f>IF(B89="","",TEXT(B89,"yyyy-mm"))</f>
        <v>0</v>
      </c>
      <c r="T89" s="49">
        <f>IF(B89="","",IF(N89&lt;&gt;"Yes","Unconfirmed - check it cleared",IF(O89&lt;&gt;"Yes","To reconcile",IF(AND(D89&lt;&gt;"",Q89&gt;0.004),"Invoice still has a balance","OK"))))</f>
        <v>0</v>
      </c>
    </row>
    <row r="90" spans="1:20">
      <c r="A90" s="46">
        <f>IF(B90="","","PM-"&amp;TEXT(ROW()-4,"0000"))</f>
        <v>0</v>
      </c>
      <c r="K90" s="29">
        <f>IF(B90="","",ROUND(IF(E90="",0,E90)-IF(J90="",0,J90),2))</f>
        <v>0</v>
      </c>
      <c r="L90" s="29">
        <f>IF(B90="","",ROUND(IF(E90="",0,E90)+IF(H90="",0,H90)+IF(I90="",0,I90)-IF(J90="",0,J90),2))</f>
        <v>0</v>
      </c>
      <c r="P90" s="29">
        <f>IF(D90="","",IFERROR(INDEX(Invoices!$O$5:$O$304,MATCH(D90,Invoices!$A$5:$A$304,0)),0))</f>
        <v>0</v>
      </c>
      <c r="Q90" s="29">
        <f>IF(D90="","",IFERROR(INDEX(Invoices!$S$5:$S$304,MATCH(D90,Invoices!$A$5:$A$304,0)),0))</f>
        <v>0</v>
      </c>
      <c r="S90" s="28">
        <f>IF(B90="","",TEXT(B90,"yyyy-mm"))</f>
        <v>0</v>
      </c>
      <c r="T90" s="49">
        <f>IF(B90="","",IF(N90&lt;&gt;"Yes","Unconfirmed - check it cleared",IF(O90&lt;&gt;"Yes","To reconcile",IF(AND(D90&lt;&gt;"",Q90&gt;0.004),"Invoice still has a balance","OK"))))</f>
        <v>0</v>
      </c>
    </row>
    <row r="91" spans="1:20">
      <c r="A91" s="46">
        <f>IF(B91="","","PM-"&amp;TEXT(ROW()-4,"0000"))</f>
        <v>0</v>
      </c>
      <c r="K91" s="29">
        <f>IF(B91="","",ROUND(IF(E91="",0,E91)-IF(J91="",0,J91),2))</f>
        <v>0</v>
      </c>
      <c r="L91" s="29">
        <f>IF(B91="","",ROUND(IF(E91="",0,E91)+IF(H91="",0,H91)+IF(I91="",0,I91)-IF(J91="",0,J91),2))</f>
        <v>0</v>
      </c>
      <c r="P91" s="29">
        <f>IF(D91="","",IFERROR(INDEX(Invoices!$O$5:$O$304,MATCH(D91,Invoices!$A$5:$A$304,0)),0))</f>
        <v>0</v>
      </c>
      <c r="Q91" s="29">
        <f>IF(D91="","",IFERROR(INDEX(Invoices!$S$5:$S$304,MATCH(D91,Invoices!$A$5:$A$304,0)),0))</f>
        <v>0</v>
      </c>
      <c r="S91" s="28">
        <f>IF(B91="","",TEXT(B91,"yyyy-mm"))</f>
        <v>0</v>
      </c>
      <c r="T91" s="49">
        <f>IF(B91="","",IF(N91&lt;&gt;"Yes","Unconfirmed - check it cleared",IF(O91&lt;&gt;"Yes","To reconcile",IF(AND(D91&lt;&gt;"",Q91&gt;0.004),"Invoice still has a balance","OK"))))</f>
        <v>0</v>
      </c>
    </row>
    <row r="92" spans="1:20">
      <c r="A92" s="46">
        <f>IF(B92="","","PM-"&amp;TEXT(ROW()-4,"0000"))</f>
        <v>0</v>
      </c>
      <c r="K92" s="29">
        <f>IF(B92="","",ROUND(IF(E92="",0,E92)-IF(J92="",0,J92),2))</f>
        <v>0</v>
      </c>
      <c r="L92" s="29">
        <f>IF(B92="","",ROUND(IF(E92="",0,E92)+IF(H92="",0,H92)+IF(I92="",0,I92)-IF(J92="",0,J92),2))</f>
        <v>0</v>
      </c>
      <c r="P92" s="29">
        <f>IF(D92="","",IFERROR(INDEX(Invoices!$O$5:$O$304,MATCH(D92,Invoices!$A$5:$A$304,0)),0))</f>
        <v>0</v>
      </c>
      <c r="Q92" s="29">
        <f>IF(D92="","",IFERROR(INDEX(Invoices!$S$5:$S$304,MATCH(D92,Invoices!$A$5:$A$304,0)),0))</f>
        <v>0</v>
      </c>
      <c r="S92" s="28">
        <f>IF(B92="","",TEXT(B92,"yyyy-mm"))</f>
        <v>0</v>
      </c>
      <c r="T92" s="49">
        <f>IF(B92="","",IF(N92&lt;&gt;"Yes","Unconfirmed - check it cleared",IF(O92&lt;&gt;"Yes","To reconcile",IF(AND(D92&lt;&gt;"",Q92&gt;0.004),"Invoice still has a balance","OK"))))</f>
        <v>0</v>
      </c>
    </row>
    <row r="93" spans="1:20">
      <c r="A93" s="46">
        <f>IF(B93="","","PM-"&amp;TEXT(ROW()-4,"0000"))</f>
        <v>0</v>
      </c>
      <c r="K93" s="29">
        <f>IF(B93="","",ROUND(IF(E93="",0,E93)-IF(J93="",0,J93),2))</f>
        <v>0</v>
      </c>
      <c r="L93" s="29">
        <f>IF(B93="","",ROUND(IF(E93="",0,E93)+IF(H93="",0,H93)+IF(I93="",0,I93)-IF(J93="",0,J93),2))</f>
        <v>0</v>
      </c>
      <c r="P93" s="29">
        <f>IF(D93="","",IFERROR(INDEX(Invoices!$O$5:$O$304,MATCH(D93,Invoices!$A$5:$A$304,0)),0))</f>
        <v>0</v>
      </c>
      <c r="Q93" s="29">
        <f>IF(D93="","",IFERROR(INDEX(Invoices!$S$5:$S$304,MATCH(D93,Invoices!$A$5:$A$304,0)),0))</f>
        <v>0</v>
      </c>
      <c r="S93" s="28">
        <f>IF(B93="","",TEXT(B93,"yyyy-mm"))</f>
        <v>0</v>
      </c>
      <c r="T93" s="49">
        <f>IF(B93="","",IF(N93&lt;&gt;"Yes","Unconfirmed - check it cleared",IF(O93&lt;&gt;"Yes","To reconcile",IF(AND(D93&lt;&gt;"",Q93&gt;0.004),"Invoice still has a balance","OK"))))</f>
        <v>0</v>
      </c>
    </row>
    <row r="94" spans="1:20">
      <c r="A94" s="46">
        <f>IF(B94="","","PM-"&amp;TEXT(ROW()-4,"0000"))</f>
        <v>0</v>
      </c>
      <c r="K94" s="29">
        <f>IF(B94="","",ROUND(IF(E94="",0,E94)-IF(J94="",0,J94),2))</f>
        <v>0</v>
      </c>
      <c r="L94" s="29">
        <f>IF(B94="","",ROUND(IF(E94="",0,E94)+IF(H94="",0,H94)+IF(I94="",0,I94)-IF(J94="",0,J94),2))</f>
        <v>0</v>
      </c>
      <c r="P94" s="29">
        <f>IF(D94="","",IFERROR(INDEX(Invoices!$O$5:$O$304,MATCH(D94,Invoices!$A$5:$A$304,0)),0))</f>
        <v>0</v>
      </c>
      <c r="Q94" s="29">
        <f>IF(D94="","",IFERROR(INDEX(Invoices!$S$5:$S$304,MATCH(D94,Invoices!$A$5:$A$304,0)),0))</f>
        <v>0</v>
      </c>
      <c r="S94" s="28">
        <f>IF(B94="","",TEXT(B94,"yyyy-mm"))</f>
        <v>0</v>
      </c>
      <c r="T94" s="49">
        <f>IF(B94="","",IF(N94&lt;&gt;"Yes","Unconfirmed - check it cleared",IF(O94&lt;&gt;"Yes","To reconcile",IF(AND(D94&lt;&gt;"",Q94&gt;0.004),"Invoice still has a balance","OK"))))</f>
        <v>0</v>
      </c>
    </row>
    <row r="95" spans="1:20">
      <c r="A95" s="46">
        <f>IF(B95="","","PM-"&amp;TEXT(ROW()-4,"0000"))</f>
        <v>0</v>
      </c>
      <c r="K95" s="29">
        <f>IF(B95="","",ROUND(IF(E95="",0,E95)-IF(J95="",0,J95),2))</f>
        <v>0</v>
      </c>
      <c r="L95" s="29">
        <f>IF(B95="","",ROUND(IF(E95="",0,E95)+IF(H95="",0,H95)+IF(I95="",0,I95)-IF(J95="",0,J95),2))</f>
        <v>0</v>
      </c>
      <c r="P95" s="29">
        <f>IF(D95="","",IFERROR(INDEX(Invoices!$O$5:$O$304,MATCH(D95,Invoices!$A$5:$A$304,0)),0))</f>
        <v>0</v>
      </c>
      <c r="Q95" s="29">
        <f>IF(D95="","",IFERROR(INDEX(Invoices!$S$5:$S$304,MATCH(D95,Invoices!$A$5:$A$304,0)),0))</f>
        <v>0</v>
      </c>
      <c r="S95" s="28">
        <f>IF(B95="","",TEXT(B95,"yyyy-mm"))</f>
        <v>0</v>
      </c>
      <c r="T95" s="49">
        <f>IF(B95="","",IF(N95&lt;&gt;"Yes","Unconfirmed - check it cleared",IF(O95&lt;&gt;"Yes","To reconcile",IF(AND(D95&lt;&gt;"",Q95&gt;0.004),"Invoice still has a balance","OK"))))</f>
        <v>0</v>
      </c>
    </row>
    <row r="96" spans="1:20">
      <c r="A96" s="46">
        <f>IF(B96="","","PM-"&amp;TEXT(ROW()-4,"0000"))</f>
        <v>0</v>
      </c>
      <c r="K96" s="29">
        <f>IF(B96="","",ROUND(IF(E96="",0,E96)-IF(J96="",0,J96),2))</f>
        <v>0</v>
      </c>
      <c r="L96" s="29">
        <f>IF(B96="","",ROUND(IF(E96="",0,E96)+IF(H96="",0,H96)+IF(I96="",0,I96)-IF(J96="",0,J96),2))</f>
        <v>0</v>
      </c>
      <c r="P96" s="29">
        <f>IF(D96="","",IFERROR(INDEX(Invoices!$O$5:$O$304,MATCH(D96,Invoices!$A$5:$A$304,0)),0))</f>
        <v>0</v>
      </c>
      <c r="Q96" s="29">
        <f>IF(D96="","",IFERROR(INDEX(Invoices!$S$5:$S$304,MATCH(D96,Invoices!$A$5:$A$304,0)),0))</f>
        <v>0</v>
      </c>
      <c r="S96" s="28">
        <f>IF(B96="","",TEXT(B96,"yyyy-mm"))</f>
        <v>0</v>
      </c>
      <c r="T96" s="49">
        <f>IF(B96="","",IF(N96&lt;&gt;"Yes","Unconfirmed - check it cleared",IF(O96&lt;&gt;"Yes","To reconcile",IF(AND(D96&lt;&gt;"",Q96&gt;0.004),"Invoice still has a balance","OK"))))</f>
        <v>0</v>
      </c>
    </row>
    <row r="97" spans="1:20">
      <c r="A97" s="46">
        <f>IF(B97="","","PM-"&amp;TEXT(ROW()-4,"0000"))</f>
        <v>0</v>
      </c>
      <c r="K97" s="29">
        <f>IF(B97="","",ROUND(IF(E97="",0,E97)-IF(J97="",0,J97),2))</f>
        <v>0</v>
      </c>
      <c r="L97" s="29">
        <f>IF(B97="","",ROUND(IF(E97="",0,E97)+IF(H97="",0,H97)+IF(I97="",0,I97)-IF(J97="",0,J97),2))</f>
        <v>0</v>
      </c>
      <c r="P97" s="29">
        <f>IF(D97="","",IFERROR(INDEX(Invoices!$O$5:$O$304,MATCH(D97,Invoices!$A$5:$A$304,0)),0))</f>
        <v>0</v>
      </c>
      <c r="Q97" s="29">
        <f>IF(D97="","",IFERROR(INDEX(Invoices!$S$5:$S$304,MATCH(D97,Invoices!$A$5:$A$304,0)),0))</f>
        <v>0</v>
      </c>
      <c r="S97" s="28">
        <f>IF(B97="","",TEXT(B97,"yyyy-mm"))</f>
        <v>0</v>
      </c>
      <c r="T97" s="49">
        <f>IF(B97="","",IF(N97&lt;&gt;"Yes","Unconfirmed - check it cleared",IF(O97&lt;&gt;"Yes","To reconcile",IF(AND(D97&lt;&gt;"",Q97&gt;0.004),"Invoice still has a balance","OK"))))</f>
        <v>0</v>
      </c>
    </row>
    <row r="98" spans="1:20">
      <c r="A98" s="46">
        <f>IF(B98="","","PM-"&amp;TEXT(ROW()-4,"0000"))</f>
        <v>0</v>
      </c>
      <c r="K98" s="29">
        <f>IF(B98="","",ROUND(IF(E98="",0,E98)-IF(J98="",0,J98),2))</f>
        <v>0</v>
      </c>
      <c r="L98" s="29">
        <f>IF(B98="","",ROUND(IF(E98="",0,E98)+IF(H98="",0,H98)+IF(I98="",0,I98)-IF(J98="",0,J98),2))</f>
        <v>0</v>
      </c>
      <c r="P98" s="29">
        <f>IF(D98="","",IFERROR(INDEX(Invoices!$O$5:$O$304,MATCH(D98,Invoices!$A$5:$A$304,0)),0))</f>
        <v>0</v>
      </c>
      <c r="Q98" s="29">
        <f>IF(D98="","",IFERROR(INDEX(Invoices!$S$5:$S$304,MATCH(D98,Invoices!$A$5:$A$304,0)),0))</f>
        <v>0</v>
      </c>
      <c r="S98" s="28">
        <f>IF(B98="","",TEXT(B98,"yyyy-mm"))</f>
        <v>0</v>
      </c>
      <c r="T98" s="49">
        <f>IF(B98="","",IF(N98&lt;&gt;"Yes","Unconfirmed - check it cleared",IF(O98&lt;&gt;"Yes","To reconcile",IF(AND(D98&lt;&gt;"",Q98&gt;0.004),"Invoice still has a balance","OK"))))</f>
        <v>0</v>
      </c>
    </row>
    <row r="99" spans="1:20">
      <c r="A99" s="46">
        <f>IF(B99="","","PM-"&amp;TEXT(ROW()-4,"0000"))</f>
        <v>0</v>
      </c>
      <c r="K99" s="29">
        <f>IF(B99="","",ROUND(IF(E99="",0,E99)-IF(J99="",0,J99),2))</f>
        <v>0</v>
      </c>
      <c r="L99" s="29">
        <f>IF(B99="","",ROUND(IF(E99="",0,E99)+IF(H99="",0,H99)+IF(I99="",0,I99)-IF(J99="",0,J99),2))</f>
        <v>0</v>
      </c>
      <c r="P99" s="29">
        <f>IF(D99="","",IFERROR(INDEX(Invoices!$O$5:$O$304,MATCH(D99,Invoices!$A$5:$A$304,0)),0))</f>
        <v>0</v>
      </c>
      <c r="Q99" s="29">
        <f>IF(D99="","",IFERROR(INDEX(Invoices!$S$5:$S$304,MATCH(D99,Invoices!$A$5:$A$304,0)),0))</f>
        <v>0</v>
      </c>
      <c r="S99" s="28">
        <f>IF(B99="","",TEXT(B99,"yyyy-mm"))</f>
        <v>0</v>
      </c>
      <c r="T99" s="49">
        <f>IF(B99="","",IF(N99&lt;&gt;"Yes","Unconfirmed - check it cleared",IF(O99&lt;&gt;"Yes","To reconcile",IF(AND(D99&lt;&gt;"",Q99&gt;0.004),"Invoice still has a balance","OK"))))</f>
        <v>0</v>
      </c>
    </row>
    <row r="100" spans="1:20">
      <c r="A100" s="46">
        <f>IF(B100="","","PM-"&amp;TEXT(ROW()-4,"0000"))</f>
        <v>0</v>
      </c>
      <c r="K100" s="29">
        <f>IF(B100="","",ROUND(IF(E100="",0,E100)-IF(J100="",0,J100),2))</f>
        <v>0</v>
      </c>
      <c r="L100" s="29">
        <f>IF(B100="","",ROUND(IF(E100="",0,E100)+IF(H100="",0,H100)+IF(I100="",0,I100)-IF(J100="",0,J100),2))</f>
        <v>0</v>
      </c>
      <c r="P100" s="29">
        <f>IF(D100="","",IFERROR(INDEX(Invoices!$O$5:$O$304,MATCH(D100,Invoices!$A$5:$A$304,0)),0))</f>
        <v>0</v>
      </c>
      <c r="Q100" s="29">
        <f>IF(D100="","",IFERROR(INDEX(Invoices!$S$5:$S$304,MATCH(D100,Invoices!$A$5:$A$304,0)),0))</f>
        <v>0</v>
      </c>
      <c r="S100" s="28">
        <f>IF(B100="","",TEXT(B100,"yyyy-mm"))</f>
        <v>0</v>
      </c>
      <c r="T100" s="49">
        <f>IF(B100="","",IF(N100&lt;&gt;"Yes","Unconfirmed - check it cleared",IF(O100&lt;&gt;"Yes","To reconcile",IF(AND(D100&lt;&gt;"",Q100&gt;0.004),"Invoice still has a balance","OK"))))</f>
        <v>0</v>
      </c>
    </row>
    <row r="101" spans="1:20">
      <c r="A101" s="46">
        <f>IF(B101="","","PM-"&amp;TEXT(ROW()-4,"0000"))</f>
        <v>0</v>
      </c>
      <c r="K101" s="29">
        <f>IF(B101="","",ROUND(IF(E101="",0,E101)-IF(J101="",0,J101),2))</f>
        <v>0</v>
      </c>
      <c r="L101" s="29">
        <f>IF(B101="","",ROUND(IF(E101="",0,E101)+IF(H101="",0,H101)+IF(I101="",0,I101)-IF(J101="",0,J101),2))</f>
        <v>0</v>
      </c>
      <c r="P101" s="29">
        <f>IF(D101="","",IFERROR(INDEX(Invoices!$O$5:$O$304,MATCH(D101,Invoices!$A$5:$A$304,0)),0))</f>
        <v>0</v>
      </c>
      <c r="Q101" s="29">
        <f>IF(D101="","",IFERROR(INDEX(Invoices!$S$5:$S$304,MATCH(D101,Invoices!$A$5:$A$304,0)),0))</f>
        <v>0</v>
      </c>
      <c r="S101" s="28">
        <f>IF(B101="","",TEXT(B101,"yyyy-mm"))</f>
        <v>0</v>
      </c>
      <c r="T101" s="49">
        <f>IF(B101="","",IF(N101&lt;&gt;"Yes","Unconfirmed - check it cleared",IF(O101&lt;&gt;"Yes","To reconcile",IF(AND(D101&lt;&gt;"",Q101&gt;0.004),"Invoice still has a balance","OK"))))</f>
        <v>0</v>
      </c>
    </row>
    <row r="102" spans="1:20">
      <c r="A102" s="46">
        <f>IF(B102="","","PM-"&amp;TEXT(ROW()-4,"0000"))</f>
        <v>0</v>
      </c>
      <c r="K102" s="29">
        <f>IF(B102="","",ROUND(IF(E102="",0,E102)-IF(J102="",0,J102),2))</f>
        <v>0</v>
      </c>
      <c r="L102" s="29">
        <f>IF(B102="","",ROUND(IF(E102="",0,E102)+IF(H102="",0,H102)+IF(I102="",0,I102)-IF(J102="",0,J102),2))</f>
        <v>0</v>
      </c>
      <c r="P102" s="29">
        <f>IF(D102="","",IFERROR(INDEX(Invoices!$O$5:$O$304,MATCH(D102,Invoices!$A$5:$A$304,0)),0))</f>
        <v>0</v>
      </c>
      <c r="Q102" s="29">
        <f>IF(D102="","",IFERROR(INDEX(Invoices!$S$5:$S$304,MATCH(D102,Invoices!$A$5:$A$304,0)),0))</f>
        <v>0</v>
      </c>
      <c r="S102" s="28">
        <f>IF(B102="","",TEXT(B102,"yyyy-mm"))</f>
        <v>0</v>
      </c>
      <c r="T102" s="49">
        <f>IF(B102="","",IF(N102&lt;&gt;"Yes","Unconfirmed - check it cleared",IF(O102&lt;&gt;"Yes","To reconcile",IF(AND(D102&lt;&gt;"",Q102&gt;0.004),"Invoice still has a balance","OK"))))</f>
        <v>0</v>
      </c>
    </row>
    <row r="103" spans="1:20">
      <c r="A103" s="46">
        <f>IF(B103="","","PM-"&amp;TEXT(ROW()-4,"0000"))</f>
        <v>0</v>
      </c>
      <c r="K103" s="29">
        <f>IF(B103="","",ROUND(IF(E103="",0,E103)-IF(J103="",0,J103),2))</f>
        <v>0</v>
      </c>
      <c r="L103" s="29">
        <f>IF(B103="","",ROUND(IF(E103="",0,E103)+IF(H103="",0,H103)+IF(I103="",0,I103)-IF(J103="",0,J103),2))</f>
        <v>0</v>
      </c>
      <c r="P103" s="29">
        <f>IF(D103="","",IFERROR(INDEX(Invoices!$O$5:$O$304,MATCH(D103,Invoices!$A$5:$A$304,0)),0))</f>
        <v>0</v>
      </c>
      <c r="Q103" s="29">
        <f>IF(D103="","",IFERROR(INDEX(Invoices!$S$5:$S$304,MATCH(D103,Invoices!$A$5:$A$304,0)),0))</f>
        <v>0</v>
      </c>
      <c r="S103" s="28">
        <f>IF(B103="","",TEXT(B103,"yyyy-mm"))</f>
        <v>0</v>
      </c>
      <c r="T103" s="49">
        <f>IF(B103="","",IF(N103&lt;&gt;"Yes","Unconfirmed - check it cleared",IF(O103&lt;&gt;"Yes","To reconcile",IF(AND(D103&lt;&gt;"",Q103&gt;0.004),"Invoice still has a balance","OK"))))</f>
        <v>0</v>
      </c>
    </row>
    <row r="104" spans="1:20">
      <c r="A104" s="46">
        <f>IF(B104="","","PM-"&amp;TEXT(ROW()-4,"0000"))</f>
        <v>0</v>
      </c>
      <c r="K104" s="29">
        <f>IF(B104="","",ROUND(IF(E104="",0,E104)-IF(J104="",0,J104),2))</f>
        <v>0</v>
      </c>
      <c r="L104" s="29">
        <f>IF(B104="","",ROUND(IF(E104="",0,E104)+IF(H104="",0,H104)+IF(I104="",0,I104)-IF(J104="",0,J104),2))</f>
        <v>0</v>
      </c>
      <c r="P104" s="29">
        <f>IF(D104="","",IFERROR(INDEX(Invoices!$O$5:$O$304,MATCH(D104,Invoices!$A$5:$A$304,0)),0))</f>
        <v>0</v>
      </c>
      <c r="Q104" s="29">
        <f>IF(D104="","",IFERROR(INDEX(Invoices!$S$5:$S$304,MATCH(D104,Invoices!$A$5:$A$304,0)),0))</f>
        <v>0</v>
      </c>
      <c r="S104" s="28">
        <f>IF(B104="","",TEXT(B104,"yyyy-mm"))</f>
        <v>0</v>
      </c>
      <c r="T104" s="49">
        <f>IF(B104="","",IF(N104&lt;&gt;"Yes","Unconfirmed - check it cleared",IF(O104&lt;&gt;"Yes","To reconcile",IF(AND(D104&lt;&gt;"",Q104&gt;0.004),"Invoice still has a balance","OK"))))</f>
        <v>0</v>
      </c>
    </row>
    <row r="105" spans="1:20">
      <c r="A105" s="46">
        <f>IF(B105="","","PM-"&amp;TEXT(ROW()-4,"0000"))</f>
        <v>0</v>
      </c>
      <c r="K105" s="29">
        <f>IF(B105="","",ROUND(IF(E105="",0,E105)-IF(J105="",0,J105),2))</f>
        <v>0</v>
      </c>
      <c r="L105" s="29">
        <f>IF(B105="","",ROUND(IF(E105="",0,E105)+IF(H105="",0,H105)+IF(I105="",0,I105)-IF(J105="",0,J105),2))</f>
        <v>0</v>
      </c>
      <c r="P105" s="29">
        <f>IF(D105="","",IFERROR(INDEX(Invoices!$O$5:$O$304,MATCH(D105,Invoices!$A$5:$A$304,0)),0))</f>
        <v>0</v>
      </c>
      <c r="Q105" s="29">
        <f>IF(D105="","",IFERROR(INDEX(Invoices!$S$5:$S$304,MATCH(D105,Invoices!$A$5:$A$304,0)),0))</f>
        <v>0</v>
      </c>
      <c r="S105" s="28">
        <f>IF(B105="","",TEXT(B105,"yyyy-mm"))</f>
        <v>0</v>
      </c>
      <c r="T105" s="49">
        <f>IF(B105="","",IF(N105&lt;&gt;"Yes","Unconfirmed - check it cleared",IF(O105&lt;&gt;"Yes","To reconcile",IF(AND(D105&lt;&gt;"",Q105&gt;0.004),"Invoice still has a balance","OK"))))</f>
        <v>0</v>
      </c>
    </row>
    <row r="106" spans="1:20">
      <c r="A106" s="46">
        <f>IF(B106="","","PM-"&amp;TEXT(ROW()-4,"0000"))</f>
        <v>0</v>
      </c>
      <c r="K106" s="29">
        <f>IF(B106="","",ROUND(IF(E106="",0,E106)-IF(J106="",0,J106),2))</f>
        <v>0</v>
      </c>
      <c r="L106" s="29">
        <f>IF(B106="","",ROUND(IF(E106="",0,E106)+IF(H106="",0,H106)+IF(I106="",0,I106)-IF(J106="",0,J106),2))</f>
        <v>0</v>
      </c>
      <c r="P106" s="29">
        <f>IF(D106="","",IFERROR(INDEX(Invoices!$O$5:$O$304,MATCH(D106,Invoices!$A$5:$A$304,0)),0))</f>
        <v>0</v>
      </c>
      <c r="Q106" s="29">
        <f>IF(D106="","",IFERROR(INDEX(Invoices!$S$5:$S$304,MATCH(D106,Invoices!$A$5:$A$304,0)),0))</f>
        <v>0</v>
      </c>
      <c r="S106" s="28">
        <f>IF(B106="","",TEXT(B106,"yyyy-mm"))</f>
        <v>0</v>
      </c>
      <c r="T106" s="49">
        <f>IF(B106="","",IF(N106&lt;&gt;"Yes","Unconfirmed - check it cleared",IF(O106&lt;&gt;"Yes","To reconcile",IF(AND(D106&lt;&gt;"",Q106&gt;0.004),"Invoice still has a balance","OK"))))</f>
        <v>0</v>
      </c>
    </row>
    <row r="107" spans="1:20">
      <c r="A107" s="46">
        <f>IF(B107="","","PM-"&amp;TEXT(ROW()-4,"0000"))</f>
        <v>0</v>
      </c>
      <c r="K107" s="29">
        <f>IF(B107="","",ROUND(IF(E107="",0,E107)-IF(J107="",0,J107),2))</f>
        <v>0</v>
      </c>
      <c r="L107" s="29">
        <f>IF(B107="","",ROUND(IF(E107="",0,E107)+IF(H107="",0,H107)+IF(I107="",0,I107)-IF(J107="",0,J107),2))</f>
        <v>0</v>
      </c>
      <c r="P107" s="29">
        <f>IF(D107="","",IFERROR(INDEX(Invoices!$O$5:$O$304,MATCH(D107,Invoices!$A$5:$A$304,0)),0))</f>
        <v>0</v>
      </c>
      <c r="Q107" s="29">
        <f>IF(D107="","",IFERROR(INDEX(Invoices!$S$5:$S$304,MATCH(D107,Invoices!$A$5:$A$304,0)),0))</f>
        <v>0</v>
      </c>
      <c r="S107" s="28">
        <f>IF(B107="","",TEXT(B107,"yyyy-mm"))</f>
        <v>0</v>
      </c>
      <c r="T107" s="49">
        <f>IF(B107="","",IF(N107&lt;&gt;"Yes","Unconfirmed - check it cleared",IF(O107&lt;&gt;"Yes","To reconcile",IF(AND(D107&lt;&gt;"",Q107&gt;0.004),"Invoice still has a balance","OK"))))</f>
        <v>0</v>
      </c>
    </row>
    <row r="108" spans="1:20">
      <c r="A108" s="46">
        <f>IF(B108="","","PM-"&amp;TEXT(ROW()-4,"0000"))</f>
        <v>0</v>
      </c>
      <c r="K108" s="29">
        <f>IF(B108="","",ROUND(IF(E108="",0,E108)-IF(J108="",0,J108),2))</f>
        <v>0</v>
      </c>
      <c r="L108" s="29">
        <f>IF(B108="","",ROUND(IF(E108="",0,E108)+IF(H108="",0,H108)+IF(I108="",0,I108)-IF(J108="",0,J108),2))</f>
        <v>0</v>
      </c>
      <c r="P108" s="29">
        <f>IF(D108="","",IFERROR(INDEX(Invoices!$O$5:$O$304,MATCH(D108,Invoices!$A$5:$A$304,0)),0))</f>
        <v>0</v>
      </c>
      <c r="Q108" s="29">
        <f>IF(D108="","",IFERROR(INDEX(Invoices!$S$5:$S$304,MATCH(D108,Invoices!$A$5:$A$304,0)),0))</f>
        <v>0</v>
      </c>
      <c r="S108" s="28">
        <f>IF(B108="","",TEXT(B108,"yyyy-mm"))</f>
        <v>0</v>
      </c>
      <c r="T108" s="49">
        <f>IF(B108="","",IF(N108&lt;&gt;"Yes","Unconfirmed - check it cleared",IF(O108&lt;&gt;"Yes","To reconcile",IF(AND(D108&lt;&gt;"",Q108&gt;0.004),"Invoice still has a balance","OK"))))</f>
        <v>0</v>
      </c>
    </row>
    <row r="109" spans="1:20">
      <c r="A109" s="46">
        <f>IF(B109="","","PM-"&amp;TEXT(ROW()-4,"0000"))</f>
        <v>0</v>
      </c>
      <c r="K109" s="29">
        <f>IF(B109="","",ROUND(IF(E109="",0,E109)-IF(J109="",0,J109),2))</f>
        <v>0</v>
      </c>
      <c r="L109" s="29">
        <f>IF(B109="","",ROUND(IF(E109="",0,E109)+IF(H109="",0,H109)+IF(I109="",0,I109)-IF(J109="",0,J109),2))</f>
        <v>0</v>
      </c>
      <c r="P109" s="29">
        <f>IF(D109="","",IFERROR(INDEX(Invoices!$O$5:$O$304,MATCH(D109,Invoices!$A$5:$A$304,0)),0))</f>
        <v>0</v>
      </c>
      <c r="Q109" s="29">
        <f>IF(D109="","",IFERROR(INDEX(Invoices!$S$5:$S$304,MATCH(D109,Invoices!$A$5:$A$304,0)),0))</f>
        <v>0</v>
      </c>
      <c r="S109" s="28">
        <f>IF(B109="","",TEXT(B109,"yyyy-mm"))</f>
        <v>0</v>
      </c>
      <c r="T109" s="49">
        <f>IF(B109="","",IF(N109&lt;&gt;"Yes","Unconfirmed - check it cleared",IF(O109&lt;&gt;"Yes","To reconcile",IF(AND(D109&lt;&gt;"",Q109&gt;0.004),"Invoice still has a balance","OK"))))</f>
        <v>0</v>
      </c>
    </row>
    <row r="110" spans="1:20">
      <c r="A110" s="46">
        <f>IF(B110="","","PM-"&amp;TEXT(ROW()-4,"0000"))</f>
        <v>0</v>
      </c>
      <c r="K110" s="29">
        <f>IF(B110="","",ROUND(IF(E110="",0,E110)-IF(J110="",0,J110),2))</f>
        <v>0</v>
      </c>
      <c r="L110" s="29">
        <f>IF(B110="","",ROUND(IF(E110="",0,E110)+IF(H110="",0,H110)+IF(I110="",0,I110)-IF(J110="",0,J110),2))</f>
        <v>0</v>
      </c>
      <c r="P110" s="29">
        <f>IF(D110="","",IFERROR(INDEX(Invoices!$O$5:$O$304,MATCH(D110,Invoices!$A$5:$A$304,0)),0))</f>
        <v>0</v>
      </c>
      <c r="Q110" s="29">
        <f>IF(D110="","",IFERROR(INDEX(Invoices!$S$5:$S$304,MATCH(D110,Invoices!$A$5:$A$304,0)),0))</f>
        <v>0</v>
      </c>
      <c r="S110" s="28">
        <f>IF(B110="","",TEXT(B110,"yyyy-mm"))</f>
        <v>0</v>
      </c>
      <c r="T110" s="49">
        <f>IF(B110="","",IF(N110&lt;&gt;"Yes","Unconfirmed - check it cleared",IF(O110&lt;&gt;"Yes","To reconcile",IF(AND(D110&lt;&gt;"",Q110&gt;0.004),"Invoice still has a balance","OK"))))</f>
        <v>0</v>
      </c>
    </row>
    <row r="111" spans="1:20">
      <c r="A111" s="46">
        <f>IF(B111="","","PM-"&amp;TEXT(ROW()-4,"0000"))</f>
        <v>0</v>
      </c>
      <c r="K111" s="29">
        <f>IF(B111="","",ROUND(IF(E111="",0,E111)-IF(J111="",0,J111),2))</f>
        <v>0</v>
      </c>
      <c r="L111" s="29">
        <f>IF(B111="","",ROUND(IF(E111="",0,E111)+IF(H111="",0,H111)+IF(I111="",0,I111)-IF(J111="",0,J111),2))</f>
        <v>0</v>
      </c>
      <c r="P111" s="29">
        <f>IF(D111="","",IFERROR(INDEX(Invoices!$O$5:$O$304,MATCH(D111,Invoices!$A$5:$A$304,0)),0))</f>
        <v>0</v>
      </c>
      <c r="Q111" s="29">
        <f>IF(D111="","",IFERROR(INDEX(Invoices!$S$5:$S$304,MATCH(D111,Invoices!$A$5:$A$304,0)),0))</f>
        <v>0</v>
      </c>
      <c r="S111" s="28">
        <f>IF(B111="","",TEXT(B111,"yyyy-mm"))</f>
        <v>0</v>
      </c>
      <c r="T111" s="49">
        <f>IF(B111="","",IF(N111&lt;&gt;"Yes","Unconfirmed - check it cleared",IF(O111&lt;&gt;"Yes","To reconcile",IF(AND(D111&lt;&gt;"",Q111&gt;0.004),"Invoice still has a balance","OK"))))</f>
        <v>0</v>
      </c>
    </row>
    <row r="112" spans="1:20">
      <c r="A112" s="46">
        <f>IF(B112="","","PM-"&amp;TEXT(ROW()-4,"0000"))</f>
        <v>0</v>
      </c>
      <c r="K112" s="29">
        <f>IF(B112="","",ROUND(IF(E112="",0,E112)-IF(J112="",0,J112),2))</f>
        <v>0</v>
      </c>
      <c r="L112" s="29">
        <f>IF(B112="","",ROUND(IF(E112="",0,E112)+IF(H112="",0,H112)+IF(I112="",0,I112)-IF(J112="",0,J112),2))</f>
        <v>0</v>
      </c>
      <c r="P112" s="29">
        <f>IF(D112="","",IFERROR(INDEX(Invoices!$O$5:$O$304,MATCH(D112,Invoices!$A$5:$A$304,0)),0))</f>
        <v>0</v>
      </c>
      <c r="Q112" s="29">
        <f>IF(D112="","",IFERROR(INDEX(Invoices!$S$5:$S$304,MATCH(D112,Invoices!$A$5:$A$304,0)),0))</f>
        <v>0</v>
      </c>
      <c r="S112" s="28">
        <f>IF(B112="","",TEXT(B112,"yyyy-mm"))</f>
        <v>0</v>
      </c>
      <c r="T112" s="49">
        <f>IF(B112="","",IF(N112&lt;&gt;"Yes","Unconfirmed - check it cleared",IF(O112&lt;&gt;"Yes","To reconcile",IF(AND(D112&lt;&gt;"",Q112&gt;0.004),"Invoice still has a balance","OK"))))</f>
        <v>0</v>
      </c>
    </row>
    <row r="113" spans="1:20">
      <c r="A113" s="46">
        <f>IF(B113="","","PM-"&amp;TEXT(ROW()-4,"0000"))</f>
        <v>0</v>
      </c>
      <c r="K113" s="29">
        <f>IF(B113="","",ROUND(IF(E113="",0,E113)-IF(J113="",0,J113),2))</f>
        <v>0</v>
      </c>
      <c r="L113" s="29">
        <f>IF(B113="","",ROUND(IF(E113="",0,E113)+IF(H113="",0,H113)+IF(I113="",0,I113)-IF(J113="",0,J113),2))</f>
        <v>0</v>
      </c>
      <c r="P113" s="29">
        <f>IF(D113="","",IFERROR(INDEX(Invoices!$O$5:$O$304,MATCH(D113,Invoices!$A$5:$A$304,0)),0))</f>
        <v>0</v>
      </c>
      <c r="Q113" s="29">
        <f>IF(D113="","",IFERROR(INDEX(Invoices!$S$5:$S$304,MATCH(D113,Invoices!$A$5:$A$304,0)),0))</f>
        <v>0</v>
      </c>
      <c r="S113" s="28">
        <f>IF(B113="","",TEXT(B113,"yyyy-mm"))</f>
        <v>0</v>
      </c>
      <c r="T113" s="49">
        <f>IF(B113="","",IF(N113&lt;&gt;"Yes","Unconfirmed - check it cleared",IF(O113&lt;&gt;"Yes","To reconcile",IF(AND(D113&lt;&gt;"",Q113&gt;0.004),"Invoice still has a balance","OK"))))</f>
        <v>0</v>
      </c>
    </row>
    <row r="114" spans="1:20">
      <c r="A114" s="46">
        <f>IF(B114="","","PM-"&amp;TEXT(ROW()-4,"0000"))</f>
        <v>0</v>
      </c>
      <c r="K114" s="29">
        <f>IF(B114="","",ROUND(IF(E114="",0,E114)-IF(J114="",0,J114),2))</f>
        <v>0</v>
      </c>
      <c r="L114" s="29">
        <f>IF(B114="","",ROUND(IF(E114="",0,E114)+IF(H114="",0,H114)+IF(I114="",0,I114)-IF(J114="",0,J114),2))</f>
        <v>0</v>
      </c>
      <c r="P114" s="29">
        <f>IF(D114="","",IFERROR(INDEX(Invoices!$O$5:$O$304,MATCH(D114,Invoices!$A$5:$A$304,0)),0))</f>
        <v>0</v>
      </c>
      <c r="Q114" s="29">
        <f>IF(D114="","",IFERROR(INDEX(Invoices!$S$5:$S$304,MATCH(D114,Invoices!$A$5:$A$304,0)),0))</f>
        <v>0</v>
      </c>
      <c r="S114" s="28">
        <f>IF(B114="","",TEXT(B114,"yyyy-mm"))</f>
        <v>0</v>
      </c>
      <c r="T114" s="49">
        <f>IF(B114="","",IF(N114&lt;&gt;"Yes","Unconfirmed - check it cleared",IF(O114&lt;&gt;"Yes","To reconcile",IF(AND(D114&lt;&gt;"",Q114&gt;0.004),"Invoice still has a balance","OK"))))</f>
        <v>0</v>
      </c>
    </row>
    <row r="115" spans="1:20">
      <c r="A115" s="46">
        <f>IF(B115="","","PM-"&amp;TEXT(ROW()-4,"0000"))</f>
        <v>0</v>
      </c>
      <c r="K115" s="29">
        <f>IF(B115="","",ROUND(IF(E115="",0,E115)-IF(J115="",0,J115),2))</f>
        <v>0</v>
      </c>
      <c r="L115" s="29">
        <f>IF(B115="","",ROUND(IF(E115="",0,E115)+IF(H115="",0,H115)+IF(I115="",0,I115)-IF(J115="",0,J115),2))</f>
        <v>0</v>
      </c>
      <c r="P115" s="29">
        <f>IF(D115="","",IFERROR(INDEX(Invoices!$O$5:$O$304,MATCH(D115,Invoices!$A$5:$A$304,0)),0))</f>
        <v>0</v>
      </c>
      <c r="Q115" s="29">
        <f>IF(D115="","",IFERROR(INDEX(Invoices!$S$5:$S$304,MATCH(D115,Invoices!$A$5:$A$304,0)),0))</f>
        <v>0</v>
      </c>
      <c r="S115" s="28">
        <f>IF(B115="","",TEXT(B115,"yyyy-mm"))</f>
        <v>0</v>
      </c>
      <c r="T115" s="49">
        <f>IF(B115="","",IF(N115&lt;&gt;"Yes","Unconfirmed - check it cleared",IF(O115&lt;&gt;"Yes","To reconcile",IF(AND(D115&lt;&gt;"",Q115&gt;0.004),"Invoice still has a balance","OK"))))</f>
        <v>0</v>
      </c>
    </row>
    <row r="116" spans="1:20">
      <c r="A116" s="46">
        <f>IF(B116="","","PM-"&amp;TEXT(ROW()-4,"0000"))</f>
        <v>0</v>
      </c>
      <c r="K116" s="29">
        <f>IF(B116="","",ROUND(IF(E116="",0,E116)-IF(J116="",0,J116),2))</f>
        <v>0</v>
      </c>
      <c r="L116" s="29">
        <f>IF(B116="","",ROUND(IF(E116="",0,E116)+IF(H116="",0,H116)+IF(I116="",0,I116)-IF(J116="",0,J116),2))</f>
        <v>0</v>
      </c>
      <c r="P116" s="29">
        <f>IF(D116="","",IFERROR(INDEX(Invoices!$O$5:$O$304,MATCH(D116,Invoices!$A$5:$A$304,0)),0))</f>
        <v>0</v>
      </c>
      <c r="Q116" s="29">
        <f>IF(D116="","",IFERROR(INDEX(Invoices!$S$5:$S$304,MATCH(D116,Invoices!$A$5:$A$304,0)),0))</f>
        <v>0</v>
      </c>
      <c r="S116" s="28">
        <f>IF(B116="","",TEXT(B116,"yyyy-mm"))</f>
        <v>0</v>
      </c>
      <c r="T116" s="49">
        <f>IF(B116="","",IF(N116&lt;&gt;"Yes","Unconfirmed - check it cleared",IF(O116&lt;&gt;"Yes","To reconcile",IF(AND(D116&lt;&gt;"",Q116&gt;0.004),"Invoice still has a balance","OK"))))</f>
        <v>0</v>
      </c>
    </row>
    <row r="117" spans="1:20">
      <c r="A117" s="46">
        <f>IF(B117="","","PM-"&amp;TEXT(ROW()-4,"0000"))</f>
        <v>0</v>
      </c>
      <c r="K117" s="29">
        <f>IF(B117="","",ROUND(IF(E117="",0,E117)-IF(J117="",0,J117),2))</f>
        <v>0</v>
      </c>
      <c r="L117" s="29">
        <f>IF(B117="","",ROUND(IF(E117="",0,E117)+IF(H117="",0,H117)+IF(I117="",0,I117)-IF(J117="",0,J117),2))</f>
        <v>0</v>
      </c>
      <c r="P117" s="29">
        <f>IF(D117="","",IFERROR(INDEX(Invoices!$O$5:$O$304,MATCH(D117,Invoices!$A$5:$A$304,0)),0))</f>
        <v>0</v>
      </c>
      <c r="Q117" s="29">
        <f>IF(D117="","",IFERROR(INDEX(Invoices!$S$5:$S$304,MATCH(D117,Invoices!$A$5:$A$304,0)),0))</f>
        <v>0</v>
      </c>
      <c r="S117" s="28">
        <f>IF(B117="","",TEXT(B117,"yyyy-mm"))</f>
        <v>0</v>
      </c>
      <c r="T117" s="49">
        <f>IF(B117="","",IF(N117&lt;&gt;"Yes","Unconfirmed - check it cleared",IF(O117&lt;&gt;"Yes","To reconcile",IF(AND(D117&lt;&gt;"",Q117&gt;0.004),"Invoice still has a balance","OK"))))</f>
        <v>0</v>
      </c>
    </row>
    <row r="118" spans="1:20">
      <c r="A118" s="46">
        <f>IF(B118="","","PM-"&amp;TEXT(ROW()-4,"0000"))</f>
        <v>0</v>
      </c>
      <c r="K118" s="29">
        <f>IF(B118="","",ROUND(IF(E118="",0,E118)-IF(J118="",0,J118),2))</f>
        <v>0</v>
      </c>
      <c r="L118" s="29">
        <f>IF(B118="","",ROUND(IF(E118="",0,E118)+IF(H118="",0,H118)+IF(I118="",0,I118)-IF(J118="",0,J118),2))</f>
        <v>0</v>
      </c>
      <c r="P118" s="29">
        <f>IF(D118="","",IFERROR(INDEX(Invoices!$O$5:$O$304,MATCH(D118,Invoices!$A$5:$A$304,0)),0))</f>
        <v>0</v>
      </c>
      <c r="Q118" s="29">
        <f>IF(D118="","",IFERROR(INDEX(Invoices!$S$5:$S$304,MATCH(D118,Invoices!$A$5:$A$304,0)),0))</f>
        <v>0</v>
      </c>
      <c r="S118" s="28">
        <f>IF(B118="","",TEXT(B118,"yyyy-mm"))</f>
        <v>0</v>
      </c>
      <c r="T118" s="49">
        <f>IF(B118="","",IF(N118&lt;&gt;"Yes","Unconfirmed - check it cleared",IF(O118&lt;&gt;"Yes","To reconcile",IF(AND(D118&lt;&gt;"",Q118&gt;0.004),"Invoice still has a balance","OK"))))</f>
        <v>0</v>
      </c>
    </row>
    <row r="119" spans="1:20">
      <c r="A119" s="46">
        <f>IF(B119="","","PM-"&amp;TEXT(ROW()-4,"0000"))</f>
        <v>0</v>
      </c>
      <c r="K119" s="29">
        <f>IF(B119="","",ROUND(IF(E119="",0,E119)-IF(J119="",0,J119),2))</f>
        <v>0</v>
      </c>
      <c r="L119" s="29">
        <f>IF(B119="","",ROUND(IF(E119="",0,E119)+IF(H119="",0,H119)+IF(I119="",0,I119)-IF(J119="",0,J119),2))</f>
        <v>0</v>
      </c>
      <c r="P119" s="29">
        <f>IF(D119="","",IFERROR(INDEX(Invoices!$O$5:$O$304,MATCH(D119,Invoices!$A$5:$A$304,0)),0))</f>
        <v>0</v>
      </c>
      <c r="Q119" s="29">
        <f>IF(D119="","",IFERROR(INDEX(Invoices!$S$5:$S$304,MATCH(D119,Invoices!$A$5:$A$304,0)),0))</f>
        <v>0</v>
      </c>
      <c r="S119" s="28">
        <f>IF(B119="","",TEXT(B119,"yyyy-mm"))</f>
        <v>0</v>
      </c>
      <c r="T119" s="49">
        <f>IF(B119="","",IF(N119&lt;&gt;"Yes","Unconfirmed - check it cleared",IF(O119&lt;&gt;"Yes","To reconcile",IF(AND(D119&lt;&gt;"",Q119&gt;0.004),"Invoice still has a balance","OK"))))</f>
        <v>0</v>
      </c>
    </row>
    <row r="120" spans="1:20">
      <c r="A120" s="46">
        <f>IF(B120="","","PM-"&amp;TEXT(ROW()-4,"0000"))</f>
        <v>0</v>
      </c>
      <c r="K120" s="29">
        <f>IF(B120="","",ROUND(IF(E120="",0,E120)-IF(J120="",0,J120),2))</f>
        <v>0</v>
      </c>
      <c r="L120" s="29">
        <f>IF(B120="","",ROUND(IF(E120="",0,E120)+IF(H120="",0,H120)+IF(I120="",0,I120)-IF(J120="",0,J120),2))</f>
        <v>0</v>
      </c>
      <c r="P120" s="29">
        <f>IF(D120="","",IFERROR(INDEX(Invoices!$O$5:$O$304,MATCH(D120,Invoices!$A$5:$A$304,0)),0))</f>
        <v>0</v>
      </c>
      <c r="Q120" s="29">
        <f>IF(D120="","",IFERROR(INDEX(Invoices!$S$5:$S$304,MATCH(D120,Invoices!$A$5:$A$304,0)),0))</f>
        <v>0</v>
      </c>
      <c r="S120" s="28">
        <f>IF(B120="","",TEXT(B120,"yyyy-mm"))</f>
        <v>0</v>
      </c>
      <c r="T120" s="49">
        <f>IF(B120="","",IF(N120&lt;&gt;"Yes","Unconfirmed - check it cleared",IF(O120&lt;&gt;"Yes","To reconcile",IF(AND(D120&lt;&gt;"",Q120&gt;0.004),"Invoice still has a balance","OK"))))</f>
        <v>0</v>
      </c>
    </row>
    <row r="121" spans="1:20">
      <c r="A121" s="46">
        <f>IF(B121="","","PM-"&amp;TEXT(ROW()-4,"0000"))</f>
        <v>0</v>
      </c>
      <c r="K121" s="29">
        <f>IF(B121="","",ROUND(IF(E121="",0,E121)-IF(J121="",0,J121),2))</f>
        <v>0</v>
      </c>
      <c r="L121" s="29">
        <f>IF(B121="","",ROUND(IF(E121="",0,E121)+IF(H121="",0,H121)+IF(I121="",0,I121)-IF(J121="",0,J121),2))</f>
        <v>0</v>
      </c>
      <c r="P121" s="29">
        <f>IF(D121="","",IFERROR(INDEX(Invoices!$O$5:$O$304,MATCH(D121,Invoices!$A$5:$A$304,0)),0))</f>
        <v>0</v>
      </c>
      <c r="Q121" s="29">
        <f>IF(D121="","",IFERROR(INDEX(Invoices!$S$5:$S$304,MATCH(D121,Invoices!$A$5:$A$304,0)),0))</f>
        <v>0</v>
      </c>
      <c r="S121" s="28">
        <f>IF(B121="","",TEXT(B121,"yyyy-mm"))</f>
        <v>0</v>
      </c>
      <c r="T121" s="49">
        <f>IF(B121="","",IF(N121&lt;&gt;"Yes","Unconfirmed - check it cleared",IF(O121&lt;&gt;"Yes","To reconcile",IF(AND(D121&lt;&gt;"",Q121&gt;0.004),"Invoice still has a balance","OK"))))</f>
        <v>0</v>
      </c>
    </row>
    <row r="122" spans="1:20">
      <c r="A122" s="46">
        <f>IF(B122="","","PM-"&amp;TEXT(ROW()-4,"0000"))</f>
        <v>0</v>
      </c>
      <c r="K122" s="29">
        <f>IF(B122="","",ROUND(IF(E122="",0,E122)-IF(J122="",0,J122),2))</f>
        <v>0</v>
      </c>
      <c r="L122" s="29">
        <f>IF(B122="","",ROUND(IF(E122="",0,E122)+IF(H122="",0,H122)+IF(I122="",0,I122)-IF(J122="",0,J122),2))</f>
        <v>0</v>
      </c>
      <c r="P122" s="29">
        <f>IF(D122="","",IFERROR(INDEX(Invoices!$O$5:$O$304,MATCH(D122,Invoices!$A$5:$A$304,0)),0))</f>
        <v>0</v>
      </c>
      <c r="Q122" s="29">
        <f>IF(D122="","",IFERROR(INDEX(Invoices!$S$5:$S$304,MATCH(D122,Invoices!$A$5:$A$304,0)),0))</f>
        <v>0</v>
      </c>
      <c r="S122" s="28">
        <f>IF(B122="","",TEXT(B122,"yyyy-mm"))</f>
        <v>0</v>
      </c>
      <c r="T122" s="49">
        <f>IF(B122="","",IF(N122&lt;&gt;"Yes","Unconfirmed - check it cleared",IF(O122&lt;&gt;"Yes","To reconcile",IF(AND(D122&lt;&gt;"",Q122&gt;0.004),"Invoice still has a balance","OK"))))</f>
        <v>0</v>
      </c>
    </row>
    <row r="123" spans="1:20">
      <c r="A123" s="46">
        <f>IF(B123="","","PM-"&amp;TEXT(ROW()-4,"0000"))</f>
        <v>0</v>
      </c>
      <c r="K123" s="29">
        <f>IF(B123="","",ROUND(IF(E123="",0,E123)-IF(J123="",0,J123),2))</f>
        <v>0</v>
      </c>
      <c r="L123" s="29">
        <f>IF(B123="","",ROUND(IF(E123="",0,E123)+IF(H123="",0,H123)+IF(I123="",0,I123)-IF(J123="",0,J123),2))</f>
        <v>0</v>
      </c>
      <c r="P123" s="29">
        <f>IF(D123="","",IFERROR(INDEX(Invoices!$O$5:$O$304,MATCH(D123,Invoices!$A$5:$A$304,0)),0))</f>
        <v>0</v>
      </c>
      <c r="Q123" s="29">
        <f>IF(D123="","",IFERROR(INDEX(Invoices!$S$5:$S$304,MATCH(D123,Invoices!$A$5:$A$304,0)),0))</f>
        <v>0</v>
      </c>
      <c r="S123" s="28">
        <f>IF(B123="","",TEXT(B123,"yyyy-mm"))</f>
        <v>0</v>
      </c>
      <c r="T123" s="49">
        <f>IF(B123="","",IF(N123&lt;&gt;"Yes","Unconfirmed - check it cleared",IF(O123&lt;&gt;"Yes","To reconcile",IF(AND(D123&lt;&gt;"",Q123&gt;0.004),"Invoice still has a balance","OK"))))</f>
        <v>0</v>
      </c>
    </row>
    <row r="124" spans="1:20">
      <c r="A124" s="46">
        <f>IF(B124="","","PM-"&amp;TEXT(ROW()-4,"0000"))</f>
        <v>0</v>
      </c>
      <c r="K124" s="29">
        <f>IF(B124="","",ROUND(IF(E124="",0,E124)-IF(J124="",0,J124),2))</f>
        <v>0</v>
      </c>
      <c r="L124" s="29">
        <f>IF(B124="","",ROUND(IF(E124="",0,E124)+IF(H124="",0,H124)+IF(I124="",0,I124)-IF(J124="",0,J124),2))</f>
        <v>0</v>
      </c>
      <c r="P124" s="29">
        <f>IF(D124="","",IFERROR(INDEX(Invoices!$O$5:$O$304,MATCH(D124,Invoices!$A$5:$A$304,0)),0))</f>
        <v>0</v>
      </c>
      <c r="Q124" s="29">
        <f>IF(D124="","",IFERROR(INDEX(Invoices!$S$5:$S$304,MATCH(D124,Invoices!$A$5:$A$304,0)),0))</f>
        <v>0</v>
      </c>
      <c r="S124" s="28">
        <f>IF(B124="","",TEXT(B124,"yyyy-mm"))</f>
        <v>0</v>
      </c>
      <c r="T124" s="49">
        <f>IF(B124="","",IF(N124&lt;&gt;"Yes","Unconfirmed - check it cleared",IF(O124&lt;&gt;"Yes","To reconcile",IF(AND(D124&lt;&gt;"",Q124&gt;0.004),"Invoice still has a balance","OK"))))</f>
        <v>0</v>
      </c>
    </row>
    <row r="125" spans="1:20">
      <c r="A125" s="46">
        <f>IF(B125="","","PM-"&amp;TEXT(ROW()-4,"0000"))</f>
        <v>0</v>
      </c>
      <c r="K125" s="29">
        <f>IF(B125="","",ROUND(IF(E125="",0,E125)-IF(J125="",0,J125),2))</f>
        <v>0</v>
      </c>
      <c r="L125" s="29">
        <f>IF(B125="","",ROUND(IF(E125="",0,E125)+IF(H125="",0,H125)+IF(I125="",0,I125)-IF(J125="",0,J125),2))</f>
        <v>0</v>
      </c>
      <c r="P125" s="29">
        <f>IF(D125="","",IFERROR(INDEX(Invoices!$O$5:$O$304,MATCH(D125,Invoices!$A$5:$A$304,0)),0))</f>
        <v>0</v>
      </c>
      <c r="Q125" s="29">
        <f>IF(D125="","",IFERROR(INDEX(Invoices!$S$5:$S$304,MATCH(D125,Invoices!$A$5:$A$304,0)),0))</f>
        <v>0</v>
      </c>
      <c r="S125" s="28">
        <f>IF(B125="","",TEXT(B125,"yyyy-mm"))</f>
        <v>0</v>
      </c>
      <c r="T125" s="49">
        <f>IF(B125="","",IF(N125&lt;&gt;"Yes","Unconfirmed - check it cleared",IF(O125&lt;&gt;"Yes","To reconcile",IF(AND(D125&lt;&gt;"",Q125&gt;0.004),"Invoice still has a balance","OK"))))</f>
        <v>0</v>
      </c>
    </row>
    <row r="126" spans="1:20">
      <c r="A126" s="46">
        <f>IF(B126="","","PM-"&amp;TEXT(ROW()-4,"0000"))</f>
        <v>0</v>
      </c>
      <c r="K126" s="29">
        <f>IF(B126="","",ROUND(IF(E126="",0,E126)-IF(J126="",0,J126),2))</f>
        <v>0</v>
      </c>
      <c r="L126" s="29">
        <f>IF(B126="","",ROUND(IF(E126="",0,E126)+IF(H126="",0,H126)+IF(I126="",0,I126)-IF(J126="",0,J126),2))</f>
        <v>0</v>
      </c>
      <c r="P126" s="29">
        <f>IF(D126="","",IFERROR(INDEX(Invoices!$O$5:$O$304,MATCH(D126,Invoices!$A$5:$A$304,0)),0))</f>
        <v>0</v>
      </c>
      <c r="Q126" s="29">
        <f>IF(D126="","",IFERROR(INDEX(Invoices!$S$5:$S$304,MATCH(D126,Invoices!$A$5:$A$304,0)),0))</f>
        <v>0</v>
      </c>
      <c r="S126" s="28">
        <f>IF(B126="","",TEXT(B126,"yyyy-mm"))</f>
        <v>0</v>
      </c>
      <c r="T126" s="49">
        <f>IF(B126="","",IF(N126&lt;&gt;"Yes","Unconfirmed - check it cleared",IF(O126&lt;&gt;"Yes","To reconcile",IF(AND(D126&lt;&gt;"",Q126&gt;0.004),"Invoice still has a balance","OK"))))</f>
        <v>0</v>
      </c>
    </row>
    <row r="127" spans="1:20">
      <c r="A127" s="46">
        <f>IF(B127="","","PM-"&amp;TEXT(ROW()-4,"0000"))</f>
        <v>0</v>
      </c>
      <c r="K127" s="29">
        <f>IF(B127="","",ROUND(IF(E127="",0,E127)-IF(J127="",0,J127),2))</f>
        <v>0</v>
      </c>
      <c r="L127" s="29">
        <f>IF(B127="","",ROUND(IF(E127="",0,E127)+IF(H127="",0,H127)+IF(I127="",0,I127)-IF(J127="",0,J127),2))</f>
        <v>0</v>
      </c>
      <c r="P127" s="29">
        <f>IF(D127="","",IFERROR(INDEX(Invoices!$O$5:$O$304,MATCH(D127,Invoices!$A$5:$A$304,0)),0))</f>
        <v>0</v>
      </c>
      <c r="Q127" s="29">
        <f>IF(D127="","",IFERROR(INDEX(Invoices!$S$5:$S$304,MATCH(D127,Invoices!$A$5:$A$304,0)),0))</f>
        <v>0</v>
      </c>
      <c r="S127" s="28">
        <f>IF(B127="","",TEXT(B127,"yyyy-mm"))</f>
        <v>0</v>
      </c>
      <c r="T127" s="49">
        <f>IF(B127="","",IF(N127&lt;&gt;"Yes","Unconfirmed - check it cleared",IF(O127&lt;&gt;"Yes","To reconcile",IF(AND(D127&lt;&gt;"",Q127&gt;0.004),"Invoice still has a balance","OK"))))</f>
        <v>0</v>
      </c>
    </row>
    <row r="128" spans="1:20">
      <c r="A128" s="46">
        <f>IF(B128="","","PM-"&amp;TEXT(ROW()-4,"0000"))</f>
        <v>0</v>
      </c>
      <c r="K128" s="29">
        <f>IF(B128="","",ROUND(IF(E128="",0,E128)-IF(J128="",0,J128),2))</f>
        <v>0</v>
      </c>
      <c r="L128" s="29">
        <f>IF(B128="","",ROUND(IF(E128="",0,E128)+IF(H128="",0,H128)+IF(I128="",0,I128)-IF(J128="",0,J128),2))</f>
        <v>0</v>
      </c>
      <c r="P128" s="29">
        <f>IF(D128="","",IFERROR(INDEX(Invoices!$O$5:$O$304,MATCH(D128,Invoices!$A$5:$A$304,0)),0))</f>
        <v>0</v>
      </c>
      <c r="Q128" s="29">
        <f>IF(D128="","",IFERROR(INDEX(Invoices!$S$5:$S$304,MATCH(D128,Invoices!$A$5:$A$304,0)),0))</f>
        <v>0</v>
      </c>
      <c r="S128" s="28">
        <f>IF(B128="","",TEXT(B128,"yyyy-mm"))</f>
        <v>0</v>
      </c>
      <c r="T128" s="49">
        <f>IF(B128="","",IF(N128&lt;&gt;"Yes","Unconfirmed - check it cleared",IF(O128&lt;&gt;"Yes","To reconcile",IF(AND(D128&lt;&gt;"",Q128&gt;0.004),"Invoice still has a balance","OK"))))</f>
        <v>0</v>
      </c>
    </row>
    <row r="129" spans="1:20">
      <c r="A129" s="46">
        <f>IF(B129="","","PM-"&amp;TEXT(ROW()-4,"0000"))</f>
        <v>0</v>
      </c>
      <c r="K129" s="29">
        <f>IF(B129="","",ROUND(IF(E129="",0,E129)-IF(J129="",0,J129),2))</f>
        <v>0</v>
      </c>
      <c r="L129" s="29">
        <f>IF(B129="","",ROUND(IF(E129="",0,E129)+IF(H129="",0,H129)+IF(I129="",0,I129)-IF(J129="",0,J129),2))</f>
        <v>0</v>
      </c>
      <c r="P129" s="29">
        <f>IF(D129="","",IFERROR(INDEX(Invoices!$O$5:$O$304,MATCH(D129,Invoices!$A$5:$A$304,0)),0))</f>
        <v>0</v>
      </c>
      <c r="Q129" s="29">
        <f>IF(D129="","",IFERROR(INDEX(Invoices!$S$5:$S$304,MATCH(D129,Invoices!$A$5:$A$304,0)),0))</f>
        <v>0</v>
      </c>
      <c r="S129" s="28">
        <f>IF(B129="","",TEXT(B129,"yyyy-mm"))</f>
        <v>0</v>
      </c>
      <c r="T129" s="49">
        <f>IF(B129="","",IF(N129&lt;&gt;"Yes","Unconfirmed - check it cleared",IF(O129&lt;&gt;"Yes","To reconcile",IF(AND(D129&lt;&gt;"",Q129&gt;0.004),"Invoice still has a balance","OK"))))</f>
        <v>0</v>
      </c>
    </row>
    <row r="130" spans="1:20">
      <c r="A130" s="46">
        <f>IF(B130="","","PM-"&amp;TEXT(ROW()-4,"0000"))</f>
        <v>0</v>
      </c>
      <c r="K130" s="29">
        <f>IF(B130="","",ROUND(IF(E130="",0,E130)-IF(J130="",0,J130),2))</f>
        <v>0</v>
      </c>
      <c r="L130" s="29">
        <f>IF(B130="","",ROUND(IF(E130="",0,E130)+IF(H130="",0,H130)+IF(I130="",0,I130)-IF(J130="",0,J130),2))</f>
        <v>0</v>
      </c>
      <c r="P130" s="29">
        <f>IF(D130="","",IFERROR(INDEX(Invoices!$O$5:$O$304,MATCH(D130,Invoices!$A$5:$A$304,0)),0))</f>
        <v>0</v>
      </c>
      <c r="Q130" s="29">
        <f>IF(D130="","",IFERROR(INDEX(Invoices!$S$5:$S$304,MATCH(D130,Invoices!$A$5:$A$304,0)),0))</f>
        <v>0</v>
      </c>
      <c r="S130" s="28">
        <f>IF(B130="","",TEXT(B130,"yyyy-mm"))</f>
        <v>0</v>
      </c>
      <c r="T130" s="49">
        <f>IF(B130="","",IF(N130&lt;&gt;"Yes","Unconfirmed - check it cleared",IF(O130&lt;&gt;"Yes","To reconcile",IF(AND(D130&lt;&gt;"",Q130&gt;0.004),"Invoice still has a balance","OK"))))</f>
        <v>0</v>
      </c>
    </row>
    <row r="131" spans="1:20">
      <c r="A131" s="46">
        <f>IF(B131="","","PM-"&amp;TEXT(ROW()-4,"0000"))</f>
        <v>0</v>
      </c>
      <c r="K131" s="29">
        <f>IF(B131="","",ROUND(IF(E131="",0,E131)-IF(J131="",0,J131),2))</f>
        <v>0</v>
      </c>
      <c r="L131" s="29">
        <f>IF(B131="","",ROUND(IF(E131="",0,E131)+IF(H131="",0,H131)+IF(I131="",0,I131)-IF(J131="",0,J131),2))</f>
        <v>0</v>
      </c>
      <c r="P131" s="29">
        <f>IF(D131="","",IFERROR(INDEX(Invoices!$O$5:$O$304,MATCH(D131,Invoices!$A$5:$A$304,0)),0))</f>
        <v>0</v>
      </c>
      <c r="Q131" s="29">
        <f>IF(D131="","",IFERROR(INDEX(Invoices!$S$5:$S$304,MATCH(D131,Invoices!$A$5:$A$304,0)),0))</f>
        <v>0</v>
      </c>
      <c r="S131" s="28">
        <f>IF(B131="","",TEXT(B131,"yyyy-mm"))</f>
        <v>0</v>
      </c>
      <c r="T131" s="49">
        <f>IF(B131="","",IF(N131&lt;&gt;"Yes","Unconfirmed - check it cleared",IF(O131&lt;&gt;"Yes","To reconcile",IF(AND(D131&lt;&gt;"",Q131&gt;0.004),"Invoice still has a balance","OK"))))</f>
        <v>0</v>
      </c>
    </row>
    <row r="132" spans="1:20">
      <c r="A132" s="46">
        <f>IF(B132="","","PM-"&amp;TEXT(ROW()-4,"0000"))</f>
        <v>0</v>
      </c>
      <c r="K132" s="29">
        <f>IF(B132="","",ROUND(IF(E132="",0,E132)-IF(J132="",0,J132),2))</f>
        <v>0</v>
      </c>
      <c r="L132" s="29">
        <f>IF(B132="","",ROUND(IF(E132="",0,E132)+IF(H132="",0,H132)+IF(I132="",0,I132)-IF(J132="",0,J132),2))</f>
        <v>0</v>
      </c>
      <c r="P132" s="29">
        <f>IF(D132="","",IFERROR(INDEX(Invoices!$O$5:$O$304,MATCH(D132,Invoices!$A$5:$A$304,0)),0))</f>
        <v>0</v>
      </c>
      <c r="Q132" s="29">
        <f>IF(D132="","",IFERROR(INDEX(Invoices!$S$5:$S$304,MATCH(D132,Invoices!$A$5:$A$304,0)),0))</f>
        <v>0</v>
      </c>
      <c r="S132" s="28">
        <f>IF(B132="","",TEXT(B132,"yyyy-mm"))</f>
        <v>0</v>
      </c>
      <c r="T132" s="49">
        <f>IF(B132="","",IF(N132&lt;&gt;"Yes","Unconfirmed - check it cleared",IF(O132&lt;&gt;"Yes","To reconcile",IF(AND(D132&lt;&gt;"",Q132&gt;0.004),"Invoice still has a balance","OK"))))</f>
        <v>0</v>
      </c>
    </row>
    <row r="133" spans="1:20">
      <c r="A133" s="46">
        <f>IF(B133="","","PM-"&amp;TEXT(ROW()-4,"0000"))</f>
        <v>0</v>
      </c>
      <c r="K133" s="29">
        <f>IF(B133="","",ROUND(IF(E133="",0,E133)-IF(J133="",0,J133),2))</f>
        <v>0</v>
      </c>
      <c r="L133" s="29">
        <f>IF(B133="","",ROUND(IF(E133="",0,E133)+IF(H133="",0,H133)+IF(I133="",0,I133)-IF(J133="",0,J133),2))</f>
        <v>0</v>
      </c>
      <c r="P133" s="29">
        <f>IF(D133="","",IFERROR(INDEX(Invoices!$O$5:$O$304,MATCH(D133,Invoices!$A$5:$A$304,0)),0))</f>
        <v>0</v>
      </c>
      <c r="Q133" s="29">
        <f>IF(D133="","",IFERROR(INDEX(Invoices!$S$5:$S$304,MATCH(D133,Invoices!$A$5:$A$304,0)),0))</f>
        <v>0</v>
      </c>
      <c r="S133" s="28">
        <f>IF(B133="","",TEXT(B133,"yyyy-mm"))</f>
        <v>0</v>
      </c>
      <c r="T133" s="49">
        <f>IF(B133="","",IF(N133&lt;&gt;"Yes","Unconfirmed - check it cleared",IF(O133&lt;&gt;"Yes","To reconcile",IF(AND(D133&lt;&gt;"",Q133&gt;0.004),"Invoice still has a balance","OK"))))</f>
        <v>0</v>
      </c>
    </row>
    <row r="134" spans="1:20">
      <c r="A134" s="46">
        <f>IF(B134="","","PM-"&amp;TEXT(ROW()-4,"0000"))</f>
        <v>0</v>
      </c>
      <c r="K134" s="29">
        <f>IF(B134="","",ROUND(IF(E134="",0,E134)-IF(J134="",0,J134),2))</f>
        <v>0</v>
      </c>
      <c r="L134" s="29">
        <f>IF(B134="","",ROUND(IF(E134="",0,E134)+IF(H134="",0,H134)+IF(I134="",0,I134)-IF(J134="",0,J134),2))</f>
        <v>0</v>
      </c>
      <c r="P134" s="29">
        <f>IF(D134="","",IFERROR(INDEX(Invoices!$O$5:$O$304,MATCH(D134,Invoices!$A$5:$A$304,0)),0))</f>
        <v>0</v>
      </c>
      <c r="Q134" s="29">
        <f>IF(D134="","",IFERROR(INDEX(Invoices!$S$5:$S$304,MATCH(D134,Invoices!$A$5:$A$304,0)),0))</f>
        <v>0</v>
      </c>
      <c r="S134" s="28">
        <f>IF(B134="","",TEXT(B134,"yyyy-mm"))</f>
        <v>0</v>
      </c>
      <c r="T134" s="49">
        <f>IF(B134="","",IF(N134&lt;&gt;"Yes","Unconfirmed - check it cleared",IF(O134&lt;&gt;"Yes","To reconcile",IF(AND(D134&lt;&gt;"",Q134&gt;0.004),"Invoice still has a balance","OK"))))</f>
        <v>0</v>
      </c>
    </row>
    <row r="135" spans="1:20">
      <c r="A135" s="46">
        <f>IF(B135="","","PM-"&amp;TEXT(ROW()-4,"0000"))</f>
        <v>0</v>
      </c>
      <c r="K135" s="29">
        <f>IF(B135="","",ROUND(IF(E135="",0,E135)-IF(J135="",0,J135),2))</f>
        <v>0</v>
      </c>
      <c r="L135" s="29">
        <f>IF(B135="","",ROUND(IF(E135="",0,E135)+IF(H135="",0,H135)+IF(I135="",0,I135)-IF(J135="",0,J135),2))</f>
        <v>0</v>
      </c>
      <c r="P135" s="29">
        <f>IF(D135="","",IFERROR(INDEX(Invoices!$O$5:$O$304,MATCH(D135,Invoices!$A$5:$A$304,0)),0))</f>
        <v>0</v>
      </c>
      <c r="Q135" s="29">
        <f>IF(D135="","",IFERROR(INDEX(Invoices!$S$5:$S$304,MATCH(D135,Invoices!$A$5:$A$304,0)),0))</f>
        <v>0</v>
      </c>
      <c r="S135" s="28">
        <f>IF(B135="","",TEXT(B135,"yyyy-mm"))</f>
        <v>0</v>
      </c>
      <c r="T135" s="49">
        <f>IF(B135="","",IF(N135&lt;&gt;"Yes","Unconfirmed - check it cleared",IF(O135&lt;&gt;"Yes","To reconcile",IF(AND(D135&lt;&gt;"",Q135&gt;0.004),"Invoice still has a balance","OK"))))</f>
        <v>0</v>
      </c>
    </row>
    <row r="136" spans="1:20">
      <c r="A136" s="46">
        <f>IF(B136="","","PM-"&amp;TEXT(ROW()-4,"0000"))</f>
        <v>0</v>
      </c>
      <c r="K136" s="29">
        <f>IF(B136="","",ROUND(IF(E136="",0,E136)-IF(J136="",0,J136),2))</f>
        <v>0</v>
      </c>
      <c r="L136" s="29">
        <f>IF(B136="","",ROUND(IF(E136="",0,E136)+IF(H136="",0,H136)+IF(I136="",0,I136)-IF(J136="",0,J136),2))</f>
        <v>0</v>
      </c>
      <c r="P136" s="29">
        <f>IF(D136="","",IFERROR(INDEX(Invoices!$O$5:$O$304,MATCH(D136,Invoices!$A$5:$A$304,0)),0))</f>
        <v>0</v>
      </c>
      <c r="Q136" s="29">
        <f>IF(D136="","",IFERROR(INDEX(Invoices!$S$5:$S$304,MATCH(D136,Invoices!$A$5:$A$304,0)),0))</f>
        <v>0</v>
      </c>
      <c r="S136" s="28">
        <f>IF(B136="","",TEXT(B136,"yyyy-mm"))</f>
        <v>0</v>
      </c>
      <c r="T136" s="49">
        <f>IF(B136="","",IF(N136&lt;&gt;"Yes","Unconfirmed - check it cleared",IF(O136&lt;&gt;"Yes","To reconcile",IF(AND(D136&lt;&gt;"",Q136&gt;0.004),"Invoice still has a balance","OK"))))</f>
        <v>0</v>
      </c>
    </row>
    <row r="137" spans="1:20">
      <c r="A137" s="46">
        <f>IF(B137="","","PM-"&amp;TEXT(ROW()-4,"0000"))</f>
        <v>0</v>
      </c>
      <c r="K137" s="29">
        <f>IF(B137="","",ROUND(IF(E137="",0,E137)-IF(J137="",0,J137),2))</f>
        <v>0</v>
      </c>
      <c r="L137" s="29">
        <f>IF(B137="","",ROUND(IF(E137="",0,E137)+IF(H137="",0,H137)+IF(I137="",0,I137)-IF(J137="",0,J137),2))</f>
        <v>0</v>
      </c>
      <c r="P137" s="29">
        <f>IF(D137="","",IFERROR(INDEX(Invoices!$O$5:$O$304,MATCH(D137,Invoices!$A$5:$A$304,0)),0))</f>
        <v>0</v>
      </c>
      <c r="Q137" s="29">
        <f>IF(D137="","",IFERROR(INDEX(Invoices!$S$5:$S$304,MATCH(D137,Invoices!$A$5:$A$304,0)),0))</f>
        <v>0</v>
      </c>
      <c r="S137" s="28">
        <f>IF(B137="","",TEXT(B137,"yyyy-mm"))</f>
        <v>0</v>
      </c>
      <c r="T137" s="49">
        <f>IF(B137="","",IF(N137&lt;&gt;"Yes","Unconfirmed - check it cleared",IF(O137&lt;&gt;"Yes","To reconcile",IF(AND(D137&lt;&gt;"",Q137&gt;0.004),"Invoice still has a balance","OK"))))</f>
        <v>0</v>
      </c>
    </row>
    <row r="138" spans="1:20">
      <c r="A138" s="46">
        <f>IF(B138="","","PM-"&amp;TEXT(ROW()-4,"0000"))</f>
        <v>0</v>
      </c>
      <c r="K138" s="29">
        <f>IF(B138="","",ROUND(IF(E138="",0,E138)-IF(J138="",0,J138),2))</f>
        <v>0</v>
      </c>
      <c r="L138" s="29">
        <f>IF(B138="","",ROUND(IF(E138="",0,E138)+IF(H138="",0,H138)+IF(I138="",0,I138)-IF(J138="",0,J138),2))</f>
        <v>0</v>
      </c>
      <c r="P138" s="29">
        <f>IF(D138="","",IFERROR(INDEX(Invoices!$O$5:$O$304,MATCH(D138,Invoices!$A$5:$A$304,0)),0))</f>
        <v>0</v>
      </c>
      <c r="Q138" s="29">
        <f>IF(D138="","",IFERROR(INDEX(Invoices!$S$5:$S$304,MATCH(D138,Invoices!$A$5:$A$304,0)),0))</f>
        <v>0</v>
      </c>
      <c r="S138" s="28">
        <f>IF(B138="","",TEXT(B138,"yyyy-mm"))</f>
        <v>0</v>
      </c>
      <c r="T138" s="49">
        <f>IF(B138="","",IF(N138&lt;&gt;"Yes","Unconfirmed - check it cleared",IF(O138&lt;&gt;"Yes","To reconcile",IF(AND(D138&lt;&gt;"",Q138&gt;0.004),"Invoice still has a balance","OK"))))</f>
        <v>0</v>
      </c>
    </row>
    <row r="139" spans="1:20">
      <c r="A139" s="46">
        <f>IF(B139="","","PM-"&amp;TEXT(ROW()-4,"0000"))</f>
        <v>0</v>
      </c>
      <c r="K139" s="29">
        <f>IF(B139="","",ROUND(IF(E139="",0,E139)-IF(J139="",0,J139),2))</f>
        <v>0</v>
      </c>
      <c r="L139" s="29">
        <f>IF(B139="","",ROUND(IF(E139="",0,E139)+IF(H139="",0,H139)+IF(I139="",0,I139)-IF(J139="",0,J139),2))</f>
        <v>0</v>
      </c>
      <c r="P139" s="29">
        <f>IF(D139="","",IFERROR(INDEX(Invoices!$O$5:$O$304,MATCH(D139,Invoices!$A$5:$A$304,0)),0))</f>
        <v>0</v>
      </c>
      <c r="Q139" s="29">
        <f>IF(D139="","",IFERROR(INDEX(Invoices!$S$5:$S$304,MATCH(D139,Invoices!$A$5:$A$304,0)),0))</f>
        <v>0</v>
      </c>
      <c r="S139" s="28">
        <f>IF(B139="","",TEXT(B139,"yyyy-mm"))</f>
        <v>0</v>
      </c>
      <c r="T139" s="49">
        <f>IF(B139="","",IF(N139&lt;&gt;"Yes","Unconfirmed - check it cleared",IF(O139&lt;&gt;"Yes","To reconcile",IF(AND(D139&lt;&gt;"",Q139&gt;0.004),"Invoice still has a balance","OK"))))</f>
        <v>0</v>
      </c>
    </row>
    <row r="140" spans="1:20">
      <c r="A140" s="46">
        <f>IF(B140="","","PM-"&amp;TEXT(ROW()-4,"0000"))</f>
        <v>0</v>
      </c>
      <c r="K140" s="29">
        <f>IF(B140="","",ROUND(IF(E140="",0,E140)-IF(J140="",0,J140),2))</f>
        <v>0</v>
      </c>
      <c r="L140" s="29">
        <f>IF(B140="","",ROUND(IF(E140="",0,E140)+IF(H140="",0,H140)+IF(I140="",0,I140)-IF(J140="",0,J140),2))</f>
        <v>0</v>
      </c>
      <c r="P140" s="29">
        <f>IF(D140="","",IFERROR(INDEX(Invoices!$O$5:$O$304,MATCH(D140,Invoices!$A$5:$A$304,0)),0))</f>
        <v>0</v>
      </c>
      <c r="Q140" s="29">
        <f>IF(D140="","",IFERROR(INDEX(Invoices!$S$5:$S$304,MATCH(D140,Invoices!$A$5:$A$304,0)),0))</f>
        <v>0</v>
      </c>
      <c r="S140" s="28">
        <f>IF(B140="","",TEXT(B140,"yyyy-mm"))</f>
        <v>0</v>
      </c>
      <c r="T140" s="49">
        <f>IF(B140="","",IF(N140&lt;&gt;"Yes","Unconfirmed - check it cleared",IF(O140&lt;&gt;"Yes","To reconcile",IF(AND(D140&lt;&gt;"",Q140&gt;0.004),"Invoice still has a balance","OK"))))</f>
        <v>0</v>
      </c>
    </row>
    <row r="141" spans="1:20">
      <c r="A141" s="46">
        <f>IF(B141="","","PM-"&amp;TEXT(ROW()-4,"0000"))</f>
        <v>0</v>
      </c>
      <c r="K141" s="29">
        <f>IF(B141="","",ROUND(IF(E141="",0,E141)-IF(J141="",0,J141),2))</f>
        <v>0</v>
      </c>
      <c r="L141" s="29">
        <f>IF(B141="","",ROUND(IF(E141="",0,E141)+IF(H141="",0,H141)+IF(I141="",0,I141)-IF(J141="",0,J141),2))</f>
        <v>0</v>
      </c>
      <c r="P141" s="29">
        <f>IF(D141="","",IFERROR(INDEX(Invoices!$O$5:$O$304,MATCH(D141,Invoices!$A$5:$A$304,0)),0))</f>
        <v>0</v>
      </c>
      <c r="Q141" s="29">
        <f>IF(D141="","",IFERROR(INDEX(Invoices!$S$5:$S$304,MATCH(D141,Invoices!$A$5:$A$304,0)),0))</f>
        <v>0</v>
      </c>
      <c r="S141" s="28">
        <f>IF(B141="","",TEXT(B141,"yyyy-mm"))</f>
        <v>0</v>
      </c>
      <c r="T141" s="49">
        <f>IF(B141="","",IF(N141&lt;&gt;"Yes","Unconfirmed - check it cleared",IF(O141&lt;&gt;"Yes","To reconcile",IF(AND(D141&lt;&gt;"",Q141&gt;0.004),"Invoice still has a balance","OK"))))</f>
        <v>0</v>
      </c>
    </row>
    <row r="142" spans="1:20">
      <c r="A142" s="46">
        <f>IF(B142="","","PM-"&amp;TEXT(ROW()-4,"0000"))</f>
        <v>0</v>
      </c>
      <c r="K142" s="29">
        <f>IF(B142="","",ROUND(IF(E142="",0,E142)-IF(J142="",0,J142),2))</f>
        <v>0</v>
      </c>
      <c r="L142" s="29">
        <f>IF(B142="","",ROUND(IF(E142="",0,E142)+IF(H142="",0,H142)+IF(I142="",0,I142)-IF(J142="",0,J142),2))</f>
        <v>0</v>
      </c>
      <c r="P142" s="29">
        <f>IF(D142="","",IFERROR(INDEX(Invoices!$O$5:$O$304,MATCH(D142,Invoices!$A$5:$A$304,0)),0))</f>
        <v>0</v>
      </c>
      <c r="Q142" s="29">
        <f>IF(D142="","",IFERROR(INDEX(Invoices!$S$5:$S$304,MATCH(D142,Invoices!$A$5:$A$304,0)),0))</f>
        <v>0</v>
      </c>
      <c r="S142" s="28">
        <f>IF(B142="","",TEXT(B142,"yyyy-mm"))</f>
        <v>0</v>
      </c>
      <c r="T142" s="49">
        <f>IF(B142="","",IF(N142&lt;&gt;"Yes","Unconfirmed - check it cleared",IF(O142&lt;&gt;"Yes","To reconcile",IF(AND(D142&lt;&gt;"",Q142&gt;0.004),"Invoice still has a balance","OK"))))</f>
        <v>0</v>
      </c>
    </row>
    <row r="143" spans="1:20">
      <c r="A143" s="46">
        <f>IF(B143="","","PM-"&amp;TEXT(ROW()-4,"0000"))</f>
        <v>0</v>
      </c>
      <c r="K143" s="29">
        <f>IF(B143="","",ROUND(IF(E143="",0,E143)-IF(J143="",0,J143),2))</f>
        <v>0</v>
      </c>
      <c r="L143" s="29">
        <f>IF(B143="","",ROUND(IF(E143="",0,E143)+IF(H143="",0,H143)+IF(I143="",0,I143)-IF(J143="",0,J143),2))</f>
        <v>0</v>
      </c>
      <c r="P143" s="29">
        <f>IF(D143="","",IFERROR(INDEX(Invoices!$O$5:$O$304,MATCH(D143,Invoices!$A$5:$A$304,0)),0))</f>
        <v>0</v>
      </c>
      <c r="Q143" s="29">
        <f>IF(D143="","",IFERROR(INDEX(Invoices!$S$5:$S$304,MATCH(D143,Invoices!$A$5:$A$304,0)),0))</f>
        <v>0</v>
      </c>
      <c r="S143" s="28">
        <f>IF(B143="","",TEXT(B143,"yyyy-mm"))</f>
        <v>0</v>
      </c>
      <c r="T143" s="49">
        <f>IF(B143="","",IF(N143&lt;&gt;"Yes","Unconfirmed - check it cleared",IF(O143&lt;&gt;"Yes","To reconcile",IF(AND(D143&lt;&gt;"",Q143&gt;0.004),"Invoice still has a balance","OK"))))</f>
        <v>0</v>
      </c>
    </row>
    <row r="144" spans="1:20">
      <c r="A144" s="46">
        <f>IF(B144="","","PM-"&amp;TEXT(ROW()-4,"0000"))</f>
        <v>0</v>
      </c>
      <c r="K144" s="29">
        <f>IF(B144="","",ROUND(IF(E144="",0,E144)-IF(J144="",0,J144),2))</f>
        <v>0</v>
      </c>
      <c r="L144" s="29">
        <f>IF(B144="","",ROUND(IF(E144="",0,E144)+IF(H144="",0,H144)+IF(I144="",0,I144)-IF(J144="",0,J144),2))</f>
        <v>0</v>
      </c>
      <c r="P144" s="29">
        <f>IF(D144="","",IFERROR(INDEX(Invoices!$O$5:$O$304,MATCH(D144,Invoices!$A$5:$A$304,0)),0))</f>
        <v>0</v>
      </c>
      <c r="Q144" s="29">
        <f>IF(D144="","",IFERROR(INDEX(Invoices!$S$5:$S$304,MATCH(D144,Invoices!$A$5:$A$304,0)),0))</f>
        <v>0</v>
      </c>
      <c r="S144" s="28">
        <f>IF(B144="","",TEXT(B144,"yyyy-mm"))</f>
        <v>0</v>
      </c>
      <c r="T144" s="49">
        <f>IF(B144="","",IF(N144&lt;&gt;"Yes","Unconfirmed - check it cleared",IF(O144&lt;&gt;"Yes","To reconcile",IF(AND(D144&lt;&gt;"",Q144&gt;0.004),"Invoice still has a balance","OK"))))</f>
        <v>0</v>
      </c>
    </row>
    <row r="145" spans="1:20">
      <c r="A145" s="46">
        <f>IF(B145="","","PM-"&amp;TEXT(ROW()-4,"0000"))</f>
        <v>0</v>
      </c>
      <c r="K145" s="29">
        <f>IF(B145="","",ROUND(IF(E145="",0,E145)-IF(J145="",0,J145),2))</f>
        <v>0</v>
      </c>
      <c r="L145" s="29">
        <f>IF(B145="","",ROUND(IF(E145="",0,E145)+IF(H145="",0,H145)+IF(I145="",0,I145)-IF(J145="",0,J145),2))</f>
        <v>0</v>
      </c>
      <c r="P145" s="29">
        <f>IF(D145="","",IFERROR(INDEX(Invoices!$O$5:$O$304,MATCH(D145,Invoices!$A$5:$A$304,0)),0))</f>
        <v>0</v>
      </c>
      <c r="Q145" s="29">
        <f>IF(D145="","",IFERROR(INDEX(Invoices!$S$5:$S$304,MATCH(D145,Invoices!$A$5:$A$304,0)),0))</f>
        <v>0</v>
      </c>
      <c r="S145" s="28">
        <f>IF(B145="","",TEXT(B145,"yyyy-mm"))</f>
        <v>0</v>
      </c>
      <c r="T145" s="49">
        <f>IF(B145="","",IF(N145&lt;&gt;"Yes","Unconfirmed - check it cleared",IF(O145&lt;&gt;"Yes","To reconcile",IF(AND(D145&lt;&gt;"",Q145&gt;0.004),"Invoice still has a balance","OK"))))</f>
        <v>0</v>
      </c>
    </row>
    <row r="146" spans="1:20">
      <c r="A146" s="46">
        <f>IF(B146="","","PM-"&amp;TEXT(ROW()-4,"0000"))</f>
        <v>0</v>
      </c>
      <c r="K146" s="29">
        <f>IF(B146="","",ROUND(IF(E146="",0,E146)-IF(J146="",0,J146),2))</f>
        <v>0</v>
      </c>
      <c r="L146" s="29">
        <f>IF(B146="","",ROUND(IF(E146="",0,E146)+IF(H146="",0,H146)+IF(I146="",0,I146)-IF(J146="",0,J146),2))</f>
        <v>0</v>
      </c>
      <c r="P146" s="29">
        <f>IF(D146="","",IFERROR(INDEX(Invoices!$O$5:$O$304,MATCH(D146,Invoices!$A$5:$A$304,0)),0))</f>
        <v>0</v>
      </c>
      <c r="Q146" s="29">
        <f>IF(D146="","",IFERROR(INDEX(Invoices!$S$5:$S$304,MATCH(D146,Invoices!$A$5:$A$304,0)),0))</f>
        <v>0</v>
      </c>
      <c r="S146" s="28">
        <f>IF(B146="","",TEXT(B146,"yyyy-mm"))</f>
        <v>0</v>
      </c>
      <c r="T146" s="49">
        <f>IF(B146="","",IF(N146&lt;&gt;"Yes","Unconfirmed - check it cleared",IF(O146&lt;&gt;"Yes","To reconcile",IF(AND(D146&lt;&gt;"",Q146&gt;0.004),"Invoice still has a balance","OK"))))</f>
        <v>0</v>
      </c>
    </row>
    <row r="147" spans="1:20">
      <c r="A147" s="46">
        <f>IF(B147="","","PM-"&amp;TEXT(ROW()-4,"0000"))</f>
        <v>0</v>
      </c>
      <c r="K147" s="29">
        <f>IF(B147="","",ROUND(IF(E147="",0,E147)-IF(J147="",0,J147),2))</f>
        <v>0</v>
      </c>
      <c r="L147" s="29">
        <f>IF(B147="","",ROUND(IF(E147="",0,E147)+IF(H147="",0,H147)+IF(I147="",0,I147)-IF(J147="",0,J147),2))</f>
        <v>0</v>
      </c>
      <c r="P147" s="29">
        <f>IF(D147="","",IFERROR(INDEX(Invoices!$O$5:$O$304,MATCH(D147,Invoices!$A$5:$A$304,0)),0))</f>
        <v>0</v>
      </c>
      <c r="Q147" s="29">
        <f>IF(D147="","",IFERROR(INDEX(Invoices!$S$5:$S$304,MATCH(D147,Invoices!$A$5:$A$304,0)),0))</f>
        <v>0</v>
      </c>
      <c r="S147" s="28">
        <f>IF(B147="","",TEXT(B147,"yyyy-mm"))</f>
        <v>0</v>
      </c>
      <c r="T147" s="49">
        <f>IF(B147="","",IF(N147&lt;&gt;"Yes","Unconfirmed - check it cleared",IF(O147&lt;&gt;"Yes","To reconcile",IF(AND(D147&lt;&gt;"",Q147&gt;0.004),"Invoice still has a balance","OK"))))</f>
        <v>0</v>
      </c>
    </row>
    <row r="148" spans="1:20">
      <c r="A148" s="46">
        <f>IF(B148="","","PM-"&amp;TEXT(ROW()-4,"0000"))</f>
        <v>0</v>
      </c>
      <c r="K148" s="29">
        <f>IF(B148="","",ROUND(IF(E148="",0,E148)-IF(J148="",0,J148),2))</f>
        <v>0</v>
      </c>
      <c r="L148" s="29">
        <f>IF(B148="","",ROUND(IF(E148="",0,E148)+IF(H148="",0,H148)+IF(I148="",0,I148)-IF(J148="",0,J148),2))</f>
        <v>0</v>
      </c>
      <c r="P148" s="29">
        <f>IF(D148="","",IFERROR(INDEX(Invoices!$O$5:$O$304,MATCH(D148,Invoices!$A$5:$A$304,0)),0))</f>
        <v>0</v>
      </c>
      <c r="Q148" s="29">
        <f>IF(D148="","",IFERROR(INDEX(Invoices!$S$5:$S$304,MATCH(D148,Invoices!$A$5:$A$304,0)),0))</f>
        <v>0</v>
      </c>
      <c r="S148" s="28">
        <f>IF(B148="","",TEXT(B148,"yyyy-mm"))</f>
        <v>0</v>
      </c>
      <c r="T148" s="49">
        <f>IF(B148="","",IF(N148&lt;&gt;"Yes","Unconfirmed - check it cleared",IF(O148&lt;&gt;"Yes","To reconcile",IF(AND(D148&lt;&gt;"",Q148&gt;0.004),"Invoice still has a balance","OK"))))</f>
        <v>0</v>
      </c>
    </row>
    <row r="149" spans="1:20">
      <c r="A149" s="46">
        <f>IF(B149="","","PM-"&amp;TEXT(ROW()-4,"0000"))</f>
        <v>0</v>
      </c>
      <c r="K149" s="29">
        <f>IF(B149="","",ROUND(IF(E149="",0,E149)-IF(J149="",0,J149),2))</f>
        <v>0</v>
      </c>
      <c r="L149" s="29">
        <f>IF(B149="","",ROUND(IF(E149="",0,E149)+IF(H149="",0,H149)+IF(I149="",0,I149)-IF(J149="",0,J149),2))</f>
        <v>0</v>
      </c>
      <c r="P149" s="29">
        <f>IF(D149="","",IFERROR(INDEX(Invoices!$O$5:$O$304,MATCH(D149,Invoices!$A$5:$A$304,0)),0))</f>
        <v>0</v>
      </c>
      <c r="Q149" s="29">
        <f>IF(D149="","",IFERROR(INDEX(Invoices!$S$5:$S$304,MATCH(D149,Invoices!$A$5:$A$304,0)),0))</f>
        <v>0</v>
      </c>
      <c r="S149" s="28">
        <f>IF(B149="","",TEXT(B149,"yyyy-mm"))</f>
        <v>0</v>
      </c>
      <c r="T149" s="49">
        <f>IF(B149="","",IF(N149&lt;&gt;"Yes","Unconfirmed - check it cleared",IF(O149&lt;&gt;"Yes","To reconcile",IF(AND(D149&lt;&gt;"",Q149&gt;0.004),"Invoice still has a balance","OK"))))</f>
        <v>0</v>
      </c>
    </row>
    <row r="150" spans="1:20">
      <c r="A150" s="46">
        <f>IF(B150="","","PM-"&amp;TEXT(ROW()-4,"0000"))</f>
        <v>0</v>
      </c>
      <c r="K150" s="29">
        <f>IF(B150="","",ROUND(IF(E150="",0,E150)-IF(J150="",0,J150),2))</f>
        <v>0</v>
      </c>
      <c r="L150" s="29">
        <f>IF(B150="","",ROUND(IF(E150="",0,E150)+IF(H150="",0,H150)+IF(I150="",0,I150)-IF(J150="",0,J150),2))</f>
        <v>0</v>
      </c>
      <c r="P150" s="29">
        <f>IF(D150="","",IFERROR(INDEX(Invoices!$O$5:$O$304,MATCH(D150,Invoices!$A$5:$A$304,0)),0))</f>
        <v>0</v>
      </c>
      <c r="Q150" s="29">
        <f>IF(D150="","",IFERROR(INDEX(Invoices!$S$5:$S$304,MATCH(D150,Invoices!$A$5:$A$304,0)),0))</f>
        <v>0</v>
      </c>
      <c r="S150" s="28">
        <f>IF(B150="","",TEXT(B150,"yyyy-mm"))</f>
        <v>0</v>
      </c>
      <c r="T150" s="49">
        <f>IF(B150="","",IF(N150&lt;&gt;"Yes","Unconfirmed - check it cleared",IF(O150&lt;&gt;"Yes","To reconcile",IF(AND(D150&lt;&gt;"",Q150&gt;0.004),"Invoice still has a balance","OK"))))</f>
        <v>0</v>
      </c>
    </row>
    <row r="151" spans="1:20">
      <c r="A151" s="46">
        <f>IF(B151="","","PM-"&amp;TEXT(ROW()-4,"0000"))</f>
        <v>0</v>
      </c>
      <c r="K151" s="29">
        <f>IF(B151="","",ROUND(IF(E151="",0,E151)-IF(J151="",0,J151),2))</f>
        <v>0</v>
      </c>
      <c r="L151" s="29">
        <f>IF(B151="","",ROUND(IF(E151="",0,E151)+IF(H151="",0,H151)+IF(I151="",0,I151)-IF(J151="",0,J151),2))</f>
        <v>0</v>
      </c>
      <c r="P151" s="29">
        <f>IF(D151="","",IFERROR(INDEX(Invoices!$O$5:$O$304,MATCH(D151,Invoices!$A$5:$A$304,0)),0))</f>
        <v>0</v>
      </c>
      <c r="Q151" s="29">
        <f>IF(D151="","",IFERROR(INDEX(Invoices!$S$5:$S$304,MATCH(D151,Invoices!$A$5:$A$304,0)),0))</f>
        <v>0</v>
      </c>
      <c r="S151" s="28">
        <f>IF(B151="","",TEXT(B151,"yyyy-mm"))</f>
        <v>0</v>
      </c>
      <c r="T151" s="49">
        <f>IF(B151="","",IF(N151&lt;&gt;"Yes","Unconfirmed - check it cleared",IF(O151&lt;&gt;"Yes","To reconcile",IF(AND(D151&lt;&gt;"",Q151&gt;0.004),"Invoice still has a balance","OK"))))</f>
        <v>0</v>
      </c>
    </row>
    <row r="152" spans="1:20">
      <c r="A152" s="46">
        <f>IF(B152="","","PM-"&amp;TEXT(ROW()-4,"0000"))</f>
        <v>0</v>
      </c>
      <c r="K152" s="29">
        <f>IF(B152="","",ROUND(IF(E152="",0,E152)-IF(J152="",0,J152),2))</f>
        <v>0</v>
      </c>
      <c r="L152" s="29">
        <f>IF(B152="","",ROUND(IF(E152="",0,E152)+IF(H152="",0,H152)+IF(I152="",0,I152)-IF(J152="",0,J152),2))</f>
        <v>0</v>
      </c>
      <c r="P152" s="29">
        <f>IF(D152="","",IFERROR(INDEX(Invoices!$O$5:$O$304,MATCH(D152,Invoices!$A$5:$A$304,0)),0))</f>
        <v>0</v>
      </c>
      <c r="Q152" s="29">
        <f>IF(D152="","",IFERROR(INDEX(Invoices!$S$5:$S$304,MATCH(D152,Invoices!$A$5:$A$304,0)),0))</f>
        <v>0</v>
      </c>
      <c r="S152" s="28">
        <f>IF(B152="","",TEXT(B152,"yyyy-mm"))</f>
        <v>0</v>
      </c>
      <c r="T152" s="49">
        <f>IF(B152="","",IF(N152&lt;&gt;"Yes","Unconfirmed - check it cleared",IF(O152&lt;&gt;"Yes","To reconcile",IF(AND(D152&lt;&gt;"",Q152&gt;0.004),"Invoice still has a balance","OK"))))</f>
        <v>0</v>
      </c>
    </row>
    <row r="153" spans="1:20">
      <c r="A153" s="46">
        <f>IF(B153="","","PM-"&amp;TEXT(ROW()-4,"0000"))</f>
        <v>0</v>
      </c>
      <c r="K153" s="29">
        <f>IF(B153="","",ROUND(IF(E153="",0,E153)-IF(J153="",0,J153),2))</f>
        <v>0</v>
      </c>
      <c r="L153" s="29">
        <f>IF(B153="","",ROUND(IF(E153="",0,E153)+IF(H153="",0,H153)+IF(I153="",0,I153)-IF(J153="",0,J153),2))</f>
        <v>0</v>
      </c>
      <c r="P153" s="29">
        <f>IF(D153="","",IFERROR(INDEX(Invoices!$O$5:$O$304,MATCH(D153,Invoices!$A$5:$A$304,0)),0))</f>
        <v>0</v>
      </c>
      <c r="Q153" s="29">
        <f>IF(D153="","",IFERROR(INDEX(Invoices!$S$5:$S$304,MATCH(D153,Invoices!$A$5:$A$304,0)),0))</f>
        <v>0</v>
      </c>
      <c r="S153" s="28">
        <f>IF(B153="","",TEXT(B153,"yyyy-mm"))</f>
        <v>0</v>
      </c>
      <c r="T153" s="49">
        <f>IF(B153="","",IF(N153&lt;&gt;"Yes","Unconfirmed - check it cleared",IF(O153&lt;&gt;"Yes","To reconcile",IF(AND(D153&lt;&gt;"",Q153&gt;0.004),"Invoice still has a balance","OK"))))</f>
        <v>0</v>
      </c>
    </row>
    <row r="154" spans="1:20">
      <c r="A154" s="46">
        <f>IF(B154="","","PM-"&amp;TEXT(ROW()-4,"0000"))</f>
        <v>0</v>
      </c>
      <c r="K154" s="29">
        <f>IF(B154="","",ROUND(IF(E154="",0,E154)-IF(J154="",0,J154),2))</f>
        <v>0</v>
      </c>
      <c r="L154" s="29">
        <f>IF(B154="","",ROUND(IF(E154="",0,E154)+IF(H154="",0,H154)+IF(I154="",0,I154)-IF(J154="",0,J154),2))</f>
        <v>0</v>
      </c>
      <c r="P154" s="29">
        <f>IF(D154="","",IFERROR(INDEX(Invoices!$O$5:$O$304,MATCH(D154,Invoices!$A$5:$A$304,0)),0))</f>
        <v>0</v>
      </c>
      <c r="Q154" s="29">
        <f>IF(D154="","",IFERROR(INDEX(Invoices!$S$5:$S$304,MATCH(D154,Invoices!$A$5:$A$304,0)),0))</f>
        <v>0</v>
      </c>
      <c r="S154" s="28">
        <f>IF(B154="","",TEXT(B154,"yyyy-mm"))</f>
        <v>0</v>
      </c>
      <c r="T154" s="49">
        <f>IF(B154="","",IF(N154&lt;&gt;"Yes","Unconfirmed - check it cleared",IF(O154&lt;&gt;"Yes","To reconcile",IF(AND(D154&lt;&gt;"",Q154&gt;0.004),"Invoice still has a balance","OK"))))</f>
        <v>0</v>
      </c>
    </row>
    <row r="155" spans="1:20">
      <c r="A155" s="46">
        <f>IF(B155="","","PM-"&amp;TEXT(ROW()-4,"0000"))</f>
        <v>0</v>
      </c>
      <c r="K155" s="29">
        <f>IF(B155="","",ROUND(IF(E155="",0,E155)-IF(J155="",0,J155),2))</f>
        <v>0</v>
      </c>
      <c r="L155" s="29">
        <f>IF(B155="","",ROUND(IF(E155="",0,E155)+IF(H155="",0,H155)+IF(I155="",0,I155)-IF(J155="",0,J155),2))</f>
        <v>0</v>
      </c>
      <c r="P155" s="29">
        <f>IF(D155="","",IFERROR(INDEX(Invoices!$O$5:$O$304,MATCH(D155,Invoices!$A$5:$A$304,0)),0))</f>
        <v>0</v>
      </c>
      <c r="Q155" s="29">
        <f>IF(D155="","",IFERROR(INDEX(Invoices!$S$5:$S$304,MATCH(D155,Invoices!$A$5:$A$304,0)),0))</f>
        <v>0</v>
      </c>
      <c r="S155" s="28">
        <f>IF(B155="","",TEXT(B155,"yyyy-mm"))</f>
        <v>0</v>
      </c>
      <c r="T155" s="49">
        <f>IF(B155="","",IF(N155&lt;&gt;"Yes","Unconfirmed - check it cleared",IF(O155&lt;&gt;"Yes","To reconcile",IF(AND(D155&lt;&gt;"",Q155&gt;0.004),"Invoice still has a balance","OK"))))</f>
        <v>0</v>
      </c>
    </row>
    <row r="156" spans="1:20">
      <c r="A156" s="46">
        <f>IF(B156="","","PM-"&amp;TEXT(ROW()-4,"0000"))</f>
        <v>0</v>
      </c>
      <c r="K156" s="29">
        <f>IF(B156="","",ROUND(IF(E156="",0,E156)-IF(J156="",0,J156),2))</f>
        <v>0</v>
      </c>
      <c r="L156" s="29">
        <f>IF(B156="","",ROUND(IF(E156="",0,E156)+IF(H156="",0,H156)+IF(I156="",0,I156)-IF(J156="",0,J156),2))</f>
        <v>0</v>
      </c>
      <c r="P156" s="29">
        <f>IF(D156="","",IFERROR(INDEX(Invoices!$O$5:$O$304,MATCH(D156,Invoices!$A$5:$A$304,0)),0))</f>
        <v>0</v>
      </c>
      <c r="Q156" s="29">
        <f>IF(D156="","",IFERROR(INDEX(Invoices!$S$5:$S$304,MATCH(D156,Invoices!$A$5:$A$304,0)),0))</f>
        <v>0</v>
      </c>
      <c r="S156" s="28">
        <f>IF(B156="","",TEXT(B156,"yyyy-mm"))</f>
        <v>0</v>
      </c>
      <c r="T156" s="49">
        <f>IF(B156="","",IF(N156&lt;&gt;"Yes","Unconfirmed - check it cleared",IF(O156&lt;&gt;"Yes","To reconcile",IF(AND(D156&lt;&gt;"",Q156&gt;0.004),"Invoice still has a balance","OK"))))</f>
        <v>0</v>
      </c>
    </row>
    <row r="157" spans="1:20">
      <c r="A157" s="46">
        <f>IF(B157="","","PM-"&amp;TEXT(ROW()-4,"0000"))</f>
        <v>0</v>
      </c>
      <c r="K157" s="29">
        <f>IF(B157="","",ROUND(IF(E157="",0,E157)-IF(J157="",0,J157),2))</f>
        <v>0</v>
      </c>
      <c r="L157" s="29">
        <f>IF(B157="","",ROUND(IF(E157="",0,E157)+IF(H157="",0,H157)+IF(I157="",0,I157)-IF(J157="",0,J157),2))</f>
        <v>0</v>
      </c>
      <c r="P157" s="29">
        <f>IF(D157="","",IFERROR(INDEX(Invoices!$O$5:$O$304,MATCH(D157,Invoices!$A$5:$A$304,0)),0))</f>
        <v>0</v>
      </c>
      <c r="Q157" s="29">
        <f>IF(D157="","",IFERROR(INDEX(Invoices!$S$5:$S$304,MATCH(D157,Invoices!$A$5:$A$304,0)),0))</f>
        <v>0</v>
      </c>
      <c r="S157" s="28">
        <f>IF(B157="","",TEXT(B157,"yyyy-mm"))</f>
        <v>0</v>
      </c>
      <c r="T157" s="49">
        <f>IF(B157="","",IF(N157&lt;&gt;"Yes","Unconfirmed - check it cleared",IF(O157&lt;&gt;"Yes","To reconcile",IF(AND(D157&lt;&gt;"",Q157&gt;0.004),"Invoice still has a balance","OK"))))</f>
        <v>0</v>
      </c>
    </row>
    <row r="158" spans="1:20">
      <c r="A158" s="46">
        <f>IF(B158="","","PM-"&amp;TEXT(ROW()-4,"0000"))</f>
        <v>0</v>
      </c>
      <c r="K158" s="29">
        <f>IF(B158="","",ROUND(IF(E158="",0,E158)-IF(J158="",0,J158),2))</f>
        <v>0</v>
      </c>
      <c r="L158" s="29">
        <f>IF(B158="","",ROUND(IF(E158="",0,E158)+IF(H158="",0,H158)+IF(I158="",0,I158)-IF(J158="",0,J158),2))</f>
        <v>0</v>
      </c>
      <c r="P158" s="29">
        <f>IF(D158="","",IFERROR(INDEX(Invoices!$O$5:$O$304,MATCH(D158,Invoices!$A$5:$A$304,0)),0))</f>
        <v>0</v>
      </c>
      <c r="Q158" s="29">
        <f>IF(D158="","",IFERROR(INDEX(Invoices!$S$5:$S$304,MATCH(D158,Invoices!$A$5:$A$304,0)),0))</f>
        <v>0</v>
      </c>
      <c r="S158" s="28">
        <f>IF(B158="","",TEXT(B158,"yyyy-mm"))</f>
        <v>0</v>
      </c>
      <c r="T158" s="49">
        <f>IF(B158="","",IF(N158&lt;&gt;"Yes","Unconfirmed - check it cleared",IF(O158&lt;&gt;"Yes","To reconcile",IF(AND(D158&lt;&gt;"",Q158&gt;0.004),"Invoice still has a balance","OK"))))</f>
        <v>0</v>
      </c>
    </row>
    <row r="159" spans="1:20">
      <c r="A159" s="46">
        <f>IF(B159="","","PM-"&amp;TEXT(ROW()-4,"0000"))</f>
        <v>0</v>
      </c>
      <c r="K159" s="29">
        <f>IF(B159="","",ROUND(IF(E159="",0,E159)-IF(J159="",0,J159),2))</f>
        <v>0</v>
      </c>
      <c r="L159" s="29">
        <f>IF(B159="","",ROUND(IF(E159="",0,E159)+IF(H159="",0,H159)+IF(I159="",0,I159)-IF(J159="",0,J159),2))</f>
        <v>0</v>
      </c>
      <c r="P159" s="29">
        <f>IF(D159="","",IFERROR(INDEX(Invoices!$O$5:$O$304,MATCH(D159,Invoices!$A$5:$A$304,0)),0))</f>
        <v>0</v>
      </c>
      <c r="Q159" s="29">
        <f>IF(D159="","",IFERROR(INDEX(Invoices!$S$5:$S$304,MATCH(D159,Invoices!$A$5:$A$304,0)),0))</f>
        <v>0</v>
      </c>
      <c r="S159" s="28">
        <f>IF(B159="","",TEXT(B159,"yyyy-mm"))</f>
        <v>0</v>
      </c>
      <c r="T159" s="49">
        <f>IF(B159="","",IF(N159&lt;&gt;"Yes","Unconfirmed - check it cleared",IF(O159&lt;&gt;"Yes","To reconcile",IF(AND(D159&lt;&gt;"",Q159&gt;0.004),"Invoice still has a balance","OK"))))</f>
        <v>0</v>
      </c>
    </row>
    <row r="160" spans="1:20">
      <c r="A160" s="46">
        <f>IF(B160="","","PM-"&amp;TEXT(ROW()-4,"0000"))</f>
        <v>0</v>
      </c>
      <c r="K160" s="29">
        <f>IF(B160="","",ROUND(IF(E160="",0,E160)-IF(J160="",0,J160),2))</f>
        <v>0</v>
      </c>
      <c r="L160" s="29">
        <f>IF(B160="","",ROUND(IF(E160="",0,E160)+IF(H160="",0,H160)+IF(I160="",0,I160)-IF(J160="",0,J160),2))</f>
        <v>0</v>
      </c>
      <c r="P160" s="29">
        <f>IF(D160="","",IFERROR(INDEX(Invoices!$O$5:$O$304,MATCH(D160,Invoices!$A$5:$A$304,0)),0))</f>
        <v>0</v>
      </c>
      <c r="Q160" s="29">
        <f>IF(D160="","",IFERROR(INDEX(Invoices!$S$5:$S$304,MATCH(D160,Invoices!$A$5:$A$304,0)),0))</f>
        <v>0</v>
      </c>
      <c r="S160" s="28">
        <f>IF(B160="","",TEXT(B160,"yyyy-mm"))</f>
        <v>0</v>
      </c>
      <c r="T160" s="49">
        <f>IF(B160="","",IF(N160&lt;&gt;"Yes","Unconfirmed - check it cleared",IF(O160&lt;&gt;"Yes","To reconcile",IF(AND(D160&lt;&gt;"",Q160&gt;0.004),"Invoice still has a balance","OK"))))</f>
        <v>0</v>
      </c>
    </row>
    <row r="161" spans="1:20">
      <c r="A161" s="46">
        <f>IF(B161="","","PM-"&amp;TEXT(ROW()-4,"0000"))</f>
        <v>0</v>
      </c>
      <c r="K161" s="29">
        <f>IF(B161="","",ROUND(IF(E161="",0,E161)-IF(J161="",0,J161),2))</f>
        <v>0</v>
      </c>
      <c r="L161" s="29">
        <f>IF(B161="","",ROUND(IF(E161="",0,E161)+IF(H161="",0,H161)+IF(I161="",0,I161)-IF(J161="",0,J161),2))</f>
        <v>0</v>
      </c>
      <c r="P161" s="29">
        <f>IF(D161="","",IFERROR(INDEX(Invoices!$O$5:$O$304,MATCH(D161,Invoices!$A$5:$A$304,0)),0))</f>
        <v>0</v>
      </c>
      <c r="Q161" s="29">
        <f>IF(D161="","",IFERROR(INDEX(Invoices!$S$5:$S$304,MATCH(D161,Invoices!$A$5:$A$304,0)),0))</f>
        <v>0</v>
      </c>
      <c r="S161" s="28">
        <f>IF(B161="","",TEXT(B161,"yyyy-mm"))</f>
        <v>0</v>
      </c>
      <c r="T161" s="49">
        <f>IF(B161="","",IF(N161&lt;&gt;"Yes","Unconfirmed - check it cleared",IF(O161&lt;&gt;"Yes","To reconcile",IF(AND(D161&lt;&gt;"",Q161&gt;0.004),"Invoice still has a balance","OK"))))</f>
        <v>0</v>
      </c>
    </row>
    <row r="162" spans="1:20">
      <c r="A162" s="46">
        <f>IF(B162="","","PM-"&amp;TEXT(ROW()-4,"0000"))</f>
        <v>0</v>
      </c>
      <c r="K162" s="29">
        <f>IF(B162="","",ROUND(IF(E162="",0,E162)-IF(J162="",0,J162),2))</f>
        <v>0</v>
      </c>
      <c r="L162" s="29">
        <f>IF(B162="","",ROUND(IF(E162="",0,E162)+IF(H162="",0,H162)+IF(I162="",0,I162)-IF(J162="",0,J162),2))</f>
        <v>0</v>
      </c>
      <c r="P162" s="29">
        <f>IF(D162="","",IFERROR(INDEX(Invoices!$O$5:$O$304,MATCH(D162,Invoices!$A$5:$A$304,0)),0))</f>
        <v>0</v>
      </c>
      <c r="Q162" s="29">
        <f>IF(D162="","",IFERROR(INDEX(Invoices!$S$5:$S$304,MATCH(D162,Invoices!$A$5:$A$304,0)),0))</f>
        <v>0</v>
      </c>
      <c r="S162" s="28">
        <f>IF(B162="","",TEXT(B162,"yyyy-mm"))</f>
        <v>0</v>
      </c>
      <c r="T162" s="49">
        <f>IF(B162="","",IF(N162&lt;&gt;"Yes","Unconfirmed - check it cleared",IF(O162&lt;&gt;"Yes","To reconcile",IF(AND(D162&lt;&gt;"",Q162&gt;0.004),"Invoice still has a balance","OK"))))</f>
        <v>0</v>
      </c>
    </row>
    <row r="163" spans="1:20">
      <c r="A163" s="46">
        <f>IF(B163="","","PM-"&amp;TEXT(ROW()-4,"0000"))</f>
        <v>0</v>
      </c>
      <c r="K163" s="29">
        <f>IF(B163="","",ROUND(IF(E163="",0,E163)-IF(J163="",0,J163),2))</f>
        <v>0</v>
      </c>
      <c r="L163" s="29">
        <f>IF(B163="","",ROUND(IF(E163="",0,E163)+IF(H163="",0,H163)+IF(I163="",0,I163)-IF(J163="",0,J163),2))</f>
        <v>0</v>
      </c>
      <c r="P163" s="29">
        <f>IF(D163="","",IFERROR(INDEX(Invoices!$O$5:$O$304,MATCH(D163,Invoices!$A$5:$A$304,0)),0))</f>
        <v>0</v>
      </c>
      <c r="Q163" s="29">
        <f>IF(D163="","",IFERROR(INDEX(Invoices!$S$5:$S$304,MATCH(D163,Invoices!$A$5:$A$304,0)),0))</f>
        <v>0</v>
      </c>
      <c r="S163" s="28">
        <f>IF(B163="","",TEXT(B163,"yyyy-mm"))</f>
        <v>0</v>
      </c>
      <c r="T163" s="49">
        <f>IF(B163="","",IF(N163&lt;&gt;"Yes","Unconfirmed - check it cleared",IF(O163&lt;&gt;"Yes","To reconcile",IF(AND(D163&lt;&gt;"",Q163&gt;0.004),"Invoice still has a balance","OK"))))</f>
        <v>0</v>
      </c>
    </row>
    <row r="164" spans="1:20">
      <c r="A164" s="46">
        <f>IF(B164="","","PM-"&amp;TEXT(ROW()-4,"0000"))</f>
        <v>0</v>
      </c>
      <c r="K164" s="29">
        <f>IF(B164="","",ROUND(IF(E164="",0,E164)-IF(J164="",0,J164),2))</f>
        <v>0</v>
      </c>
      <c r="L164" s="29">
        <f>IF(B164="","",ROUND(IF(E164="",0,E164)+IF(H164="",0,H164)+IF(I164="",0,I164)-IF(J164="",0,J164),2))</f>
        <v>0</v>
      </c>
      <c r="P164" s="29">
        <f>IF(D164="","",IFERROR(INDEX(Invoices!$O$5:$O$304,MATCH(D164,Invoices!$A$5:$A$304,0)),0))</f>
        <v>0</v>
      </c>
      <c r="Q164" s="29">
        <f>IF(D164="","",IFERROR(INDEX(Invoices!$S$5:$S$304,MATCH(D164,Invoices!$A$5:$A$304,0)),0))</f>
        <v>0</v>
      </c>
      <c r="S164" s="28">
        <f>IF(B164="","",TEXT(B164,"yyyy-mm"))</f>
        <v>0</v>
      </c>
      <c r="T164" s="49">
        <f>IF(B164="","",IF(N164&lt;&gt;"Yes","Unconfirmed - check it cleared",IF(O164&lt;&gt;"Yes","To reconcile",IF(AND(D164&lt;&gt;"",Q164&gt;0.004),"Invoice still has a balance","OK"))))</f>
        <v>0</v>
      </c>
    </row>
    <row r="165" spans="1:20">
      <c r="A165" s="46">
        <f>IF(B165="","","PM-"&amp;TEXT(ROW()-4,"0000"))</f>
        <v>0</v>
      </c>
      <c r="K165" s="29">
        <f>IF(B165="","",ROUND(IF(E165="",0,E165)-IF(J165="",0,J165),2))</f>
        <v>0</v>
      </c>
      <c r="L165" s="29">
        <f>IF(B165="","",ROUND(IF(E165="",0,E165)+IF(H165="",0,H165)+IF(I165="",0,I165)-IF(J165="",0,J165),2))</f>
        <v>0</v>
      </c>
      <c r="P165" s="29">
        <f>IF(D165="","",IFERROR(INDEX(Invoices!$O$5:$O$304,MATCH(D165,Invoices!$A$5:$A$304,0)),0))</f>
        <v>0</v>
      </c>
      <c r="Q165" s="29">
        <f>IF(D165="","",IFERROR(INDEX(Invoices!$S$5:$S$304,MATCH(D165,Invoices!$A$5:$A$304,0)),0))</f>
        <v>0</v>
      </c>
      <c r="S165" s="28">
        <f>IF(B165="","",TEXT(B165,"yyyy-mm"))</f>
        <v>0</v>
      </c>
      <c r="T165" s="49">
        <f>IF(B165="","",IF(N165&lt;&gt;"Yes","Unconfirmed - check it cleared",IF(O165&lt;&gt;"Yes","To reconcile",IF(AND(D165&lt;&gt;"",Q165&gt;0.004),"Invoice still has a balance","OK"))))</f>
        <v>0</v>
      </c>
    </row>
    <row r="166" spans="1:20">
      <c r="A166" s="46">
        <f>IF(B166="","","PM-"&amp;TEXT(ROW()-4,"0000"))</f>
        <v>0</v>
      </c>
      <c r="K166" s="29">
        <f>IF(B166="","",ROUND(IF(E166="",0,E166)-IF(J166="",0,J166),2))</f>
        <v>0</v>
      </c>
      <c r="L166" s="29">
        <f>IF(B166="","",ROUND(IF(E166="",0,E166)+IF(H166="",0,H166)+IF(I166="",0,I166)-IF(J166="",0,J166),2))</f>
        <v>0</v>
      </c>
      <c r="P166" s="29">
        <f>IF(D166="","",IFERROR(INDEX(Invoices!$O$5:$O$304,MATCH(D166,Invoices!$A$5:$A$304,0)),0))</f>
        <v>0</v>
      </c>
      <c r="Q166" s="29">
        <f>IF(D166="","",IFERROR(INDEX(Invoices!$S$5:$S$304,MATCH(D166,Invoices!$A$5:$A$304,0)),0))</f>
        <v>0</v>
      </c>
      <c r="S166" s="28">
        <f>IF(B166="","",TEXT(B166,"yyyy-mm"))</f>
        <v>0</v>
      </c>
      <c r="T166" s="49">
        <f>IF(B166="","",IF(N166&lt;&gt;"Yes","Unconfirmed - check it cleared",IF(O166&lt;&gt;"Yes","To reconcile",IF(AND(D166&lt;&gt;"",Q166&gt;0.004),"Invoice still has a balance","OK"))))</f>
        <v>0</v>
      </c>
    </row>
    <row r="167" spans="1:20">
      <c r="A167" s="46">
        <f>IF(B167="","","PM-"&amp;TEXT(ROW()-4,"0000"))</f>
        <v>0</v>
      </c>
      <c r="K167" s="29">
        <f>IF(B167="","",ROUND(IF(E167="",0,E167)-IF(J167="",0,J167),2))</f>
        <v>0</v>
      </c>
      <c r="L167" s="29">
        <f>IF(B167="","",ROUND(IF(E167="",0,E167)+IF(H167="",0,H167)+IF(I167="",0,I167)-IF(J167="",0,J167),2))</f>
        <v>0</v>
      </c>
      <c r="P167" s="29">
        <f>IF(D167="","",IFERROR(INDEX(Invoices!$O$5:$O$304,MATCH(D167,Invoices!$A$5:$A$304,0)),0))</f>
        <v>0</v>
      </c>
      <c r="Q167" s="29">
        <f>IF(D167="","",IFERROR(INDEX(Invoices!$S$5:$S$304,MATCH(D167,Invoices!$A$5:$A$304,0)),0))</f>
        <v>0</v>
      </c>
      <c r="S167" s="28">
        <f>IF(B167="","",TEXT(B167,"yyyy-mm"))</f>
        <v>0</v>
      </c>
      <c r="T167" s="49">
        <f>IF(B167="","",IF(N167&lt;&gt;"Yes","Unconfirmed - check it cleared",IF(O167&lt;&gt;"Yes","To reconcile",IF(AND(D167&lt;&gt;"",Q167&gt;0.004),"Invoice still has a balance","OK"))))</f>
        <v>0</v>
      </c>
    </row>
    <row r="168" spans="1:20">
      <c r="A168" s="46">
        <f>IF(B168="","","PM-"&amp;TEXT(ROW()-4,"0000"))</f>
        <v>0</v>
      </c>
      <c r="K168" s="29">
        <f>IF(B168="","",ROUND(IF(E168="",0,E168)-IF(J168="",0,J168),2))</f>
        <v>0</v>
      </c>
      <c r="L168" s="29">
        <f>IF(B168="","",ROUND(IF(E168="",0,E168)+IF(H168="",0,H168)+IF(I168="",0,I168)-IF(J168="",0,J168),2))</f>
        <v>0</v>
      </c>
      <c r="P168" s="29">
        <f>IF(D168="","",IFERROR(INDEX(Invoices!$O$5:$O$304,MATCH(D168,Invoices!$A$5:$A$304,0)),0))</f>
        <v>0</v>
      </c>
      <c r="Q168" s="29">
        <f>IF(D168="","",IFERROR(INDEX(Invoices!$S$5:$S$304,MATCH(D168,Invoices!$A$5:$A$304,0)),0))</f>
        <v>0</v>
      </c>
      <c r="S168" s="28">
        <f>IF(B168="","",TEXT(B168,"yyyy-mm"))</f>
        <v>0</v>
      </c>
      <c r="T168" s="49">
        <f>IF(B168="","",IF(N168&lt;&gt;"Yes","Unconfirmed - check it cleared",IF(O168&lt;&gt;"Yes","To reconcile",IF(AND(D168&lt;&gt;"",Q168&gt;0.004),"Invoice still has a balance","OK"))))</f>
        <v>0</v>
      </c>
    </row>
    <row r="169" spans="1:20">
      <c r="A169" s="46">
        <f>IF(B169="","","PM-"&amp;TEXT(ROW()-4,"0000"))</f>
        <v>0</v>
      </c>
      <c r="K169" s="29">
        <f>IF(B169="","",ROUND(IF(E169="",0,E169)-IF(J169="",0,J169),2))</f>
        <v>0</v>
      </c>
      <c r="L169" s="29">
        <f>IF(B169="","",ROUND(IF(E169="",0,E169)+IF(H169="",0,H169)+IF(I169="",0,I169)-IF(J169="",0,J169),2))</f>
        <v>0</v>
      </c>
      <c r="P169" s="29">
        <f>IF(D169="","",IFERROR(INDEX(Invoices!$O$5:$O$304,MATCH(D169,Invoices!$A$5:$A$304,0)),0))</f>
        <v>0</v>
      </c>
      <c r="Q169" s="29">
        <f>IF(D169="","",IFERROR(INDEX(Invoices!$S$5:$S$304,MATCH(D169,Invoices!$A$5:$A$304,0)),0))</f>
        <v>0</v>
      </c>
      <c r="S169" s="28">
        <f>IF(B169="","",TEXT(B169,"yyyy-mm"))</f>
        <v>0</v>
      </c>
      <c r="T169" s="49">
        <f>IF(B169="","",IF(N169&lt;&gt;"Yes","Unconfirmed - check it cleared",IF(O169&lt;&gt;"Yes","To reconcile",IF(AND(D169&lt;&gt;"",Q169&gt;0.004),"Invoice still has a balance","OK"))))</f>
        <v>0</v>
      </c>
    </row>
    <row r="170" spans="1:20">
      <c r="A170" s="46">
        <f>IF(B170="","","PM-"&amp;TEXT(ROW()-4,"0000"))</f>
        <v>0</v>
      </c>
      <c r="K170" s="29">
        <f>IF(B170="","",ROUND(IF(E170="",0,E170)-IF(J170="",0,J170),2))</f>
        <v>0</v>
      </c>
      <c r="L170" s="29">
        <f>IF(B170="","",ROUND(IF(E170="",0,E170)+IF(H170="",0,H170)+IF(I170="",0,I170)-IF(J170="",0,J170),2))</f>
        <v>0</v>
      </c>
      <c r="P170" s="29">
        <f>IF(D170="","",IFERROR(INDEX(Invoices!$O$5:$O$304,MATCH(D170,Invoices!$A$5:$A$304,0)),0))</f>
        <v>0</v>
      </c>
      <c r="Q170" s="29">
        <f>IF(D170="","",IFERROR(INDEX(Invoices!$S$5:$S$304,MATCH(D170,Invoices!$A$5:$A$304,0)),0))</f>
        <v>0</v>
      </c>
      <c r="S170" s="28">
        <f>IF(B170="","",TEXT(B170,"yyyy-mm"))</f>
        <v>0</v>
      </c>
      <c r="T170" s="49">
        <f>IF(B170="","",IF(N170&lt;&gt;"Yes","Unconfirmed - check it cleared",IF(O170&lt;&gt;"Yes","To reconcile",IF(AND(D170&lt;&gt;"",Q170&gt;0.004),"Invoice still has a balance","OK"))))</f>
        <v>0</v>
      </c>
    </row>
    <row r="171" spans="1:20">
      <c r="A171" s="46">
        <f>IF(B171="","","PM-"&amp;TEXT(ROW()-4,"0000"))</f>
        <v>0</v>
      </c>
      <c r="K171" s="29">
        <f>IF(B171="","",ROUND(IF(E171="",0,E171)-IF(J171="",0,J171),2))</f>
        <v>0</v>
      </c>
      <c r="L171" s="29">
        <f>IF(B171="","",ROUND(IF(E171="",0,E171)+IF(H171="",0,H171)+IF(I171="",0,I171)-IF(J171="",0,J171),2))</f>
        <v>0</v>
      </c>
      <c r="P171" s="29">
        <f>IF(D171="","",IFERROR(INDEX(Invoices!$O$5:$O$304,MATCH(D171,Invoices!$A$5:$A$304,0)),0))</f>
        <v>0</v>
      </c>
      <c r="Q171" s="29">
        <f>IF(D171="","",IFERROR(INDEX(Invoices!$S$5:$S$304,MATCH(D171,Invoices!$A$5:$A$304,0)),0))</f>
        <v>0</v>
      </c>
      <c r="S171" s="28">
        <f>IF(B171="","",TEXT(B171,"yyyy-mm"))</f>
        <v>0</v>
      </c>
      <c r="T171" s="49">
        <f>IF(B171="","",IF(N171&lt;&gt;"Yes","Unconfirmed - check it cleared",IF(O171&lt;&gt;"Yes","To reconcile",IF(AND(D171&lt;&gt;"",Q171&gt;0.004),"Invoice still has a balance","OK"))))</f>
        <v>0</v>
      </c>
    </row>
    <row r="172" spans="1:20">
      <c r="A172" s="46">
        <f>IF(B172="","","PM-"&amp;TEXT(ROW()-4,"0000"))</f>
        <v>0</v>
      </c>
      <c r="K172" s="29">
        <f>IF(B172="","",ROUND(IF(E172="",0,E172)-IF(J172="",0,J172),2))</f>
        <v>0</v>
      </c>
      <c r="L172" s="29">
        <f>IF(B172="","",ROUND(IF(E172="",0,E172)+IF(H172="",0,H172)+IF(I172="",0,I172)-IF(J172="",0,J172),2))</f>
        <v>0</v>
      </c>
      <c r="P172" s="29">
        <f>IF(D172="","",IFERROR(INDEX(Invoices!$O$5:$O$304,MATCH(D172,Invoices!$A$5:$A$304,0)),0))</f>
        <v>0</v>
      </c>
      <c r="Q172" s="29">
        <f>IF(D172="","",IFERROR(INDEX(Invoices!$S$5:$S$304,MATCH(D172,Invoices!$A$5:$A$304,0)),0))</f>
        <v>0</v>
      </c>
      <c r="S172" s="28">
        <f>IF(B172="","",TEXT(B172,"yyyy-mm"))</f>
        <v>0</v>
      </c>
      <c r="T172" s="49">
        <f>IF(B172="","",IF(N172&lt;&gt;"Yes","Unconfirmed - check it cleared",IF(O172&lt;&gt;"Yes","To reconcile",IF(AND(D172&lt;&gt;"",Q172&gt;0.004),"Invoice still has a balance","OK"))))</f>
        <v>0</v>
      </c>
    </row>
    <row r="173" spans="1:20">
      <c r="A173" s="46">
        <f>IF(B173="","","PM-"&amp;TEXT(ROW()-4,"0000"))</f>
        <v>0</v>
      </c>
      <c r="K173" s="29">
        <f>IF(B173="","",ROUND(IF(E173="",0,E173)-IF(J173="",0,J173),2))</f>
        <v>0</v>
      </c>
      <c r="L173" s="29">
        <f>IF(B173="","",ROUND(IF(E173="",0,E173)+IF(H173="",0,H173)+IF(I173="",0,I173)-IF(J173="",0,J173),2))</f>
        <v>0</v>
      </c>
      <c r="P173" s="29">
        <f>IF(D173="","",IFERROR(INDEX(Invoices!$O$5:$O$304,MATCH(D173,Invoices!$A$5:$A$304,0)),0))</f>
        <v>0</v>
      </c>
      <c r="Q173" s="29">
        <f>IF(D173="","",IFERROR(INDEX(Invoices!$S$5:$S$304,MATCH(D173,Invoices!$A$5:$A$304,0)),0))</f>
        <v>0</v>
      </c>
      <c r="S173" s="28">
        <f>IF(B173="","",TEXT(B173,"yyyy-mm"))</f>
        <v>0</v>
      </c>
      <c r="T173" s="49">
        <f>IF(B173="","",IF(N173&lt;&gt;"Yes","Unconfirmed - check it cleared",IF(O173&lt;&gt;"Yes","To reconcile",IF(AND(D173&lt;&gt;"",Q173&gt;0.004),"Invoice still has a balance","OK"))))</f>
        <v>0</v>
      </c>
    </row>
    <row r="174" spans="1:20">
      <c r="A174" s="46">
        <f>IF(B174="","","PM-"&amp;TEXT(ROW()-4,"0000"))</f>
        <v>0</v>
      </c>
      <c r="K174" s="29">
        <f>IF(B174="","",ROUND(IF(E174="",0,E174)-IF(J174="",0,J174),2))</f>
        <v>0</v>
      </c>
      <c r="L174" s="29">
        <f>IF(B174="","",ROUND(IF(E174="",0,E174)+IF(H174="",0,H174)+IF(I174="",0,I174)-IF(J174="",0,J174),2))</f>
        <v>0</v>
      </c>
      <c r="P174" s="29">
        <f>IF(D174="","",IFERROR(INDEX(Invoices!$O$5:$O$304,MATCH(D174,Invoices!$A$5:$A$304,0)),0))</f>
        <v>0</v>
      </c>
      <c r="Q174" s="29">
        <f>IF(D174="","",IFERROR(INDEX(Invoices!$S$5:$S$304,MATCH(D174,Invoices!$A$5:$A$304,0)),0))</f>
        <v>0</v>
      </c>
      <c r="S174" s="28">
        <f>IF(B174="","",TEXT(B174,"yyyy-mm"))</f>
        <v>0</v>
      </c>
      <c r="T174" s="49">
        <f>IF(B174="","",IF(N174&lt;&gt;"Yes","Unconfirmed - check it cleared",IF(O174&lt;&gt;"Yes","To reconcile",IF(AND(D174&lt;&gt;"",Q174&gt;0.004),"Invoice still has a balance","OK"))))</f>
        <v>0</v>
      </c>
    </row>
    <row r="175" spans="1:20">
      <c r="A175" s="46">
        <f>IF(B175="","","PM-"&amp;TEXT(ROW()-4,"0000"))</f>
        <v>0</v>
      </c>
      <c r="K175" s="29">
        <f>IF(B175="","",ROUND(IF(E175="",0,E175)-IF(J175="",0,J175),2))</f>
        <v>0</v>
      </c>
      <c r="L175" s="29">
        <f>IF(B175="","",ROUND(IF(E175="",0,E175)+IF(H175="",0,H175)+IF(I175="",0,I175)-IF(J175="",0,J175),2))</f>
        <v>0</v>
      </c>
      <c r="P175" s="29">
        <f>IF(D175="","",IFERROR(INDEX(Invoices!$O$5:$O$304,MATCH(D175,Invoices!$A$5:$A$304,0)),0))</f>
        <v>0</v>
      </c>
      <c r="Q175" s="29">
        <f>IF(D175="","",IFERROR(INDEX(Invoices!$S$5:$S$304,MATCH(D175,Invoices!$A$5:$A$304,0)),0))</f>
        <v>0</v>
      </c>
      <c r="S175" s="28">
        <f>IF(B175="","",TEXT(B175,"yyyy-mm"))</f>
        <v>0</v>
      </c>
      <c r="T175" s="49">
        <f>IF(B175="","",IF(N175&lt;&gt;"Yes","Unconfirmed - check it cleared",IF(O175&lt;&gt;"Yes","To reconcile",IF(AND(D175&lt;&gt;"",Q175&gt;0.004),"Invoice still has a balance","OK"))))</f>
        <v>0</v>
      </c>
    </row>
    <row r="176" spans="1:20">
      <c r="A176" s="46">
        <f>IF(B176="","","PM-"&amp;TEXT(ROW()-4,"0000"))</f>
        <v>0</v>
      </c>
      <c r="K176" s="29">
        <f>IF(B176="","",ROUND(IF(E176="",0,E176)-IF(J176="",0,J176),2))</f>
        <v>0</v>
      </c>
      <c r="L176" s="29">
        <f>IF(B176="","",ROUND(IF(E176="",0,E176)+IF(H176="",0,H176)+IF(I176="",0,I176)-IF(J176="",0,J176),2))</f>
        <v>0</v>
      </c>
      <c r="P176" s="29">
        <f>IF(D176="","",IFERROR(INDEX(Invoices!$O$5:$O$304,MATCH(D176,Invoices!$A$5:$A$304,0)),0))</f>
        <v>0</v>
      </c>
      <c r="Q176" s="29">
        <f>IF(D176="","",IFERROR(INDEX(Invoices!$S$5:$S$304,MATCH(D176,Invoices!$A$5:$A$304,0)),0))</f>
        <v>0</v>
      </c>
      <c r="S176" s="28">
        <f>IF(B176="","",TEXT(B176,"yyyy-mm"))</f>
        <v>0</v>
      </c>
      <c r="T176" s="49">
        <f>IF(B176="","",IF(N176&lt;&gt;"Yes","Unconfirmed - check it cleared",IF(O176&lt;&gt;"Yes","To reconcile",IF(AND(D176&lt;&gt;"",Q176&gt;0.004),"Invoice still has a balance","OK"))))</f>
        <v>0</v>
      </c>
    </row>
    <row r="177" spans="1:20">
      <c r="A177" s="46">
        <f>IF(B177="","","PM-"&amp;TEXT(ROW()-4,"0000"))</f>
        <v>0</v>
      </c>
      <c r="K177" s="29">
        <f>IF(B177="","",ROUND(IF(E177="",0,E177)-IF(J177="",0,J177),2))</f>
        <v>0</v>
      </c>
      <c r="L177" s="29">
        <f>IF(B177="","",ROUND(IF(E177="",0,E177)+IF(H177="",0,H177)+IF(I177="",0,I177)-IF(J177="",0,J177),2))</f>
        <v>0</v>
      </c>
      <c r="P177" s="29">
        <f>IF(D177="","",IFERROR(INDEX(Invoices!$O$5:$O$304,MATCH(D177,Invoices!$A$5:$A$304,0)),0))</f>
        <v>0</v>
      </c>
      <c r="Q177" s="29">
        <f>IF(D177="","",IFERROR(INDEX(Invoices!$S$5:$S$304,MATCH(D177,Invoices!$A$5:$A$304,0)),0))</f>
        <v>0</v>
      </c>
      <c r="S177" s="28">
        <f>IF(B177="","",TEXT(B177,"yyyy-mm"))</f>
        <v>0</v>
      </c>
      <c r="T177" s="49">
        <f>IF(B177="","",IF(N177&lt;&gt;"Yes","Unconfirmed - check it cleared",IF(O177&lt;&gt;"Yes","To reconcile",IF(AND(D177&lt;&gt;"",Q177&gt;0.004),"Invoice still has a balance","OK"))))</f>
        <v>0</v>
      </c>
    </row>
    <row r="178" spans="1:20">
      <c r="A178" s="46">
        <f>IF(B178="","","PM-"&amp;TEXT(ROW()-4,"0000"))</f>
        <v>0</v>
      </c>
      <c r="K178" s="29">
        <f>IF(B178="","",ROUND(IF(E178="",0,E178)-IF(J178="",0,J178),2))</f>
        <v>0</v>
      </c>
      <c r="L178" s="29">
        <f>IF(B178="","",ROUND(IF(E178="",0,E178)+IF(H178="",0,H178)+IF(I178="",0,I178)-IF(J178="",0,J178),2))</f>
        <v>0</v>
      </c>
      <c r="P178" s="29">
        <f>IF(D178="","",IFERROR(INDEX(Invoices!$O$5:$O$304,MATCH(D178,Invoices!$A$5:$A$304,0)),0))</f>
        <v>0</v>
      </c>
      <c r="Q178" s="29">
        <f>IF(D178="","",IFERROR(INDEX(Invoices!$S$5:$S$304,MATCH(D178,Invoices!$A$5:$A$304,0)),0))</f>
        <v>0</v>
      </c>
      <c r="S178" s="28">
        <f>IF(B178="","",TEXT(B178,"yyyy-mm"))</f>
        <v>0</v>
      </c>
      <c r="T178" s="49">
        <f>IF(B178="","",IF(N178&lt;&gt;"Yes","Unconfirmed - check it cleared",IF(O178&lt;&gt;"Yes","To reconcile",IF(AND(D178&lt;&gt;"",Q178&gt;0.004),"Invoice still has a balance","OK"))))</f>
        <v>0</v>
      </c>
    </row>
    <row r="179" spans="1:20">
      <c r="A179" s="46">
        <f>IF(B179="","","PM-"&amp;TEXT(ROW()-4,"0000"))</f>
        <v>0</v>
      </c>
      <c r="K179" s="29">
        <f>IF(B179="","",ROUND(IF(E179="",0,E179)-IF(J179="",0,J179),2))</f>
        <v>0</v>
      </c>
      <c r="L179" s="29">
        <f>IF(B179="","",ROUND(IF(E179="",0,E179)+IF(H179="",0,H179)+IF(I179="",0,I179)-IF(J179="",0,J179),2))</f>
        <v>0</v>
      </c>
      <c r="P179" s="29">
        <f>IF(D179="","",IFERROR(INDEX(Invoices!$O$5:$O$304,MATCH(D179,Invoices!$A$5:$A$304,0)),0))</f>
        <v>0</v>
      </c>
      <c r="Q179" s="29">
        <f>IF(D179="","",IFERROR(INDEX(Invoices!$S$5:$S$304,MATCH(D179,Invoices!$A$5:$A$304,0)),0))</f>
        <v>0</v>
      </c>
      <c r="S179" s="28">
        <f>IF(B179="","",TEXT(B179,"yyyy-mm"))</f>
        <v>0</v>
      </c>
      <c r="T179" s="49">
        <f>IF(B179="","",IF(N179&lt;&gt;"Yes","Unconfirmed - check it cleared",IF(O179&lt;&gt;"Yes","To reconcile",IF(AND(D179&lt;&gt;"",Q179&gt;0.004),"Invoice still has a balance","OK"))))</f>
        <v>0</v>
      </c>
    </row>
    <row r="180" spans="1:20">
      <c r="A180" s="46">
        <f>IF(B180="","","PM-"&amp;TEXT(ROW()-4,"0000"))</f>
        <v>0</v>
      </c>
      <c r="K180" s="29">
        <f>IF(B180="","",ROUND(IF(E180="",0,E180)-IF(J180="",0,J180),2))</f>
        <v>0</v>
      </c>
      <c r="L180" s="29">
        <f>IF(B180="","",ROUND(IF(E180="",0,E180)+IF(H180="",0,H180)+IF(I180="",0,I180)-IF(J180="",0,J180),2))</f>
        <v>0</v>
      </c>
      <c r="P180" s="29">
        <f>IF(D180="","",IFERROR(INDEX(Invoices!$O$5:$O$304,MATCH(D180,Invoices!$A$5:$A$304,0)),0))</f>
        <v>0</v>
      </c>
      <c r="Q180" s="29">
        <f>IF(D180="","",IFERROR(INDEX(Invoices!$S$5:$S$304,MATCH(D180,Invoices!$A$5:$A$304,0)),0))</f>
        <v>0</v>
      </c>
      <c r="S180" s="28">
        <f>IF(B180="","",TEXT(B180,"yyyy-mm"))</f>
        <v>0</v>
      </c>
      <c r="T180" s="49">
        <f>IF(B180="","",IF(N180&lt;&gt;"Yes","Unconfirmed - check it cleared",IF(O180&lt;&gt;"Yes","To reconcile",IF(AND(D180&lt;&gt;"",Q180&gt;0.004),"Invoice still has a balance","OK"))))</f>
        <v>0</v>
      </c>
    </row>
    <row r="181" spans="1:20">
      <c r="A181" s="46">
        <f>IF(B181="","","PM-"&amp;TEXT(ROW()-4,"0000"))</f>
        <v>0</v>
      </c>
      <c r="K181" s="29">
        <f>IF(B181="","",ROUND(IF(E181="",0,E181)-IF(J181="",0,J181),2))</f>
        <v>0</v>
      </c>
      <c r="L181" s="29">
        <f>IF(B181="","",ROUND(IF(E181="",0,E181)+IF(H181="",0,H181)+IF(I181="",0,I181)-IF(J181="",0,J181),2))</f>
        <v>0</v>
      </c>
      <c r="P181" s="29">
        <f>IF(D181="","",IFERROR(INDEX(Invoices!$O$5:$O$304,MATCH(D181,Invoices!$A$5:$A$304,0)),0))</f>
        <v>0</v>
      </c>
      <c r="Q181" s="29">
        <f>IF(D181="","",IFERROR(INDEX(Invoices!$S$5:$S$304,MATCH(D181,Invoices!$A$5:$A$304,0)),0))</f>
        <v>0</v>
      </c>
      <c r="S181" s="28">
        <f>IF(B181="","",TEXT(B181,"yyyy-mm"))</f>
        <v>0</v>
      </c>
      <c r="T181" s="49">
        <f>IF(B181="","",IF(N181&lt;&gt;"Yes","Unconfirmed - check it cleared",IF(O181&lt;&gt;"Yes","To reconcile",IF(AND(D181&lt;&gt;"",Q181&gt;0.004),"Invoice still has a balance","OK"))))</f>
        <v>0</v>
      </c>
    </row>
    <row r="182" spans="1:20">
      <c r="A182" s="46">
        <f>IF(B182="","","PM-"&amp;TEXT(ROW()-4,"0000"))</f>
        <v>0</v>
      </c>
      <c r="K182" s="29">
        <f>IF(B182="","",ROUND(IF(E182="",0,E182)-IF(J182="",0,J182),2))</f>
        <v>0</v>
      </c>
      <c r="L182" s="29">
        <f>IF(B182="","",ROUND(IF(E182="",0,E182)+IF(H182="",0,H182)+IF(I182="",0,I182)-IF(J182="",0,J182),2))</f>
        <v>0</v>
      </c>
      <c r="P182" s="29">
        <f>IF(D182="","",IFERROR(INDEX(Invoices!$O$5:$O$304,MATCH(D182,Invoices!$A$5:$A$304,0)),0))</f>
        <v>0</v>
      </c>
      <c r="Q182" s="29">
        <f>IF(D182="","",IFERROR(INDEX(Invoices!$S$5:$S$304,MATCH(D182,Invoices!$A$5:$A$304,0)),0))</f>
        <v>0</v>
      </c>
      <c r="S182" s="28">
        <f>IF(B182="","",TEXT(B182,"yyyy-mm"))</f>
        <v>0</v>
      </c>
      <c r="T182" s="49">
        <f>IF(B182="","",IF(N182&lt;&gt;"Yes","Unconfirmed - check it cleared",IF(O182&lt;&gt;"Yes","To reconcile",IF(AND(D182&lt;&gt;"",Q182&gt;0.004),"Invoice still has a balance","OK"))))</f>
        <v>0</v>
      </c>
    </row>
    <row r="183" spans="1:20">
      <c r="A183" s="46">
        <f>IF(B183="","","PM-"&amp;TEXT(ROW()-4,"0000"))</f>
        <v>0</v>
      </c>
      <c r="K183" s="29">
        <f>IF(B183="","",ROUND(IF(E183="",0,E183)-IF(J183="",0,J183),2))</f>
        <v>0</v>
      </c>
      <c r="L183" s="29">
        <f>IF(B183="","",ROUND(IF(E183="",0,E183)+IF(H183="",0,H183)+IF(I183="",0,I183)-IF(J183="",0,J183),2))</f>
        <v>0</v>
      </c>
      <c r="P183" s="29">
        <f>IF(D183="","",IFERROR(INDEX(Invoices!$O$5:$O$304,MATCH(D183,Invoices!$A$5:$A$304,0)),0))</f>
        <v>0</v>
      </c>
      <c r="Q183" s="29">
        <f>IF(D183="","",IFERROR(INDEX(Invoices!$S$5:$S$304,MATCH(D183,Invoices!$A$5:$A$304,0)),0))</f>
        <v>0</v>
      </c>
      <c r="S183" s="28">
        <f>IF(B183="","",TEXT(B183,"yyyy-mm"))</f>
        <v>0</v>
      </c>
      <c r="T183" s="49">
        <f>IF(B183="","",IF(N183&lt;&gt;"Yes","Unconfirmed - check it cleared",IF(O183&lt;&gt;"Yes","To reconcile",IF(AND(D183&lt;&gt;"",Q183&gt;0.004),"Invoice still has a balance","OK"))))</f>
        <v>0</v>
      </c>
    </row>
    <row r="184" spans="1:20">
      <c r="A184" s="46">
        <f>IF(B184="","","PM-"&amp;TEXT(ROW()-4,"0000"))</f>
        <v>0</v>
      </c>
      <c r="K184" s="29">
        <f>IF(B184="","",ROUND(IF(E184="",0,E184)-IF(J184="",0,J184),2))</f>
        <v>0</v>
      </c>
      <c r="L184" s="29">
        <f>IF(B184="","",ROUND(IF(E184="",0,E184)+IF(H184="",0,H184)+IF(I184="",0,I184)-IF(J184="",0,J184),2))</f>
        <v>0</v>
      </c>
      <c r="P184" s="29">
        <f>IF(D184="","",IFERROR(INDEX(Invoices!$O$5:$O$304,MATCH(D184,Invoices!$A$5:$A$304,0)),0))</f>
        <v>0</v>
      </c>
      <c r="Q184" s="29">
        <f>IF(D184="","",IFERROR(INDEX(Invoices!$S$5:$S$304,MATCH(D184,Invoices!$A$5:$A$304,0)),0))</f>
        <v>0</v>
      </c>
      <c r="S184" s="28">
        <f>IF(B184="","",TEXT(B184,"yyyy-mm"))</f>
        <v>0</v>
      </c>
      <c r="T184" s="49">
        <f>IF(B184="","",IF(N184&lt;&gt;"Yes","Unconfirmed - check it cleared",IF(O184&lt;&gt;"Yes","To reconcile",IF(AND(D184&lt;&gt;"",Q184&gt;0.004),"Invoice still has a balance","OK"))))</f>
        <v>0</v>
      </c>
    </row>
    <row r="185" spans="1:20">
      <c r="A185" s="46">
        <f>IF(B185="","","PM-"&amp;TEXT(ROW()-4,"0000"))</f>
        <v>0</v>
      </c>
      <c r="K185" s="29">
        <f>IF(B185="","",ROUND(IF(E185="",0,E185)-IF(J185="",0,J185),2))</f>
        <v>0</v>
      </c>
      <c r="L185" s="29">
        <f>IF(B185="","",ROUND(IF(E185="",0,E185)+IF(H185="",0,H185)+IF(I185="",0,I185)-IF(J185="",0,J185),2))</f>
        <v>0</v>
      </c>
      <c r="P185" s="29">
        <f>IF(D185="","",IFERROR(INDEX(Invoices!$O$5:$O$304,MATCH(D185,Invoices!$A$5:$A$304,0)),0))</f>
        <v>0</v>
      </c>
      <c r="Q185" s="29">
        <f>IF(D185="","",IFERROR(INDEX(Invoices!$S$5:$S$304,MATCH(D185,Invoices!$A$5:$A$304,0)),0))</f>
        <v>0</v>
      </c>
      <c r="S185" s="28">
        <f>IF(B185="","",TEXT(B185,"yyyy-mm"))</f>
        <v>0</v>
      </c>
      <c r="T185" s="49">
        <f>IF(B185="","",IF(N185&lt;&gt;"Yes","Unconfirmed - check it cleared",IF(O185&lt;&gt;"Yes","To reconcile",IF(AND(D185&lt;&gt;"",Q185&gt;0.004),"Invoice still has a balance","OK"))))</f>
        <v>0</v>
      </c>
    </row>
    <row r="186" spans="1:20">
      <c r="A186" s="46">
        <f>IF(B186="","","PM-"&amp;TEXT(ROW()-4,"0000"))</f>
        <v>0</v>
      </c>
      <c r="K186" s="29">
        <f>IF(B186="","",ROUND(IF(E186="",0,E186)-IF(J186="",0,J186),2))</f>
        <v>0</v>
      </c>
      <c r="L186" s="29">
        <f>IF(B186="","",ROUND(IF(E186="",0,E186)+IF(H186="",0,H186)+IF(I186="",0,I186)-IF(J186="",0,J186),2))</f>
        <v>0</v>
      </c>
      <c r="P186" s="29">
        <f>IF(D186="","",IFERROR(INDEX(Invoices!$O$5:$O$304,MATCH(D186,Invoices!$A$5:$A$304,0)),0))</f>
        <v>0</v>
      </c>
      <c r="Q186" s="29">
        <f>IF(D186="","",IFERROR(INDEX(Invoices!$S$5:$S$304,MATCH(D186,Invoices!$A$5:$A$304,0)),0))</f>
        <v>0</v>
      </c>
      <c r="S186" s="28">
        <f>IF(B186="","",TEXT(B186,"yyyy-mm"))</f>
        <v>0</v>
      </c>
      <c r="T186" s="49">
        <f>IF(B186="","",IF(N186&lt;&gt;"Yes","Unconfirmed - check it cleared",IF(O186&lt;&gt;"Yes","To reconcile",IF(AND(D186&lt;&gt;"",Q186&gt;0.004),"Invoice still has a balance","OK"))))</f>
        <v>0</v>
      </c>
    </row>
    <row r="187" spans="1:20">
      <c r="A187" s="46">
        <f>IF(B187="","","PM-"&amp;TEXT(ROW()-4,"0000"))</f>
        <v>0</v>
      </c>
      <c r="K187" s="29">
        <f>IF(B187="","",ROUND(IF(E187="",0,E187)-IF(J187="",0,J187),2))</f>
        <v>0</v>
      </c>
      <c r="L187" s="29">
        <f>IF(B187="","",ROUND(IF(E187="",0,E187)+IF(H187="",0,H187)+IF(I187="",0,I187)-IF(J187="",0,J187),2))</f>
        <v>0</v>
      </c>
      <c r="P187" s="29">
        <f>IF(D187="","",IFERROR(INDEX(Invoices!$O$5:$O$304,MATCH(D187,Invoices!$A$5:$A$304,0)),0))</f>
        <v>0</v>
      </c>
      <c r="Q187" s="29">
        <f>IF(D187="","",IFERROR(INDEX(Invoices!$S$5:$S$304,MATCH(D187,Invoices!$A$5:$A$304,0)),0))</f>
        <v>0</v>
      </c>
      <c r="S187" s="28">
        <f>IF(B187="","",TEXT(B187,"yyyy-mm"))</f>
        <v>0</v>
      </c>
      <c r="T187" s="49">
        <f>IF(B187="","",IF(N187&lt;&gt;"Yes","Unconfirmed - check it cleared",IF(O187&lt;&gt;"Yes","To reconcile",IF(AND(D187&lt;&gt;"",Q187&gt;0.004),"Invoice still has a balance","OK"))))</f>
        <v>0</v>
      </c>
    </row>
    <row r="188" spans="1:20">
      <c r="A188" s="46">
        <f>IF(B188="","","PM-"&amp;TEXT(ROW()-4,"0000"))</f>
        <v>0</v>
      </c>
      <c r="K188" s="29">
        <f>IF(B188="","",ROUND(IF(E188="",0,E188)-IF(J188="",0,J188),2))</f>
        <v>0</v>
      </c>
      <c r="L188" s="29">
        <f>IF(B188="","",ROUND(IF(E188="",0,E188)+IF(H188="",0,H188)+IF(I188="",0,I188)-IF(J188="",0,J188),2))</f>
        <v>0</v>
      </c>
      <c r="P188" s="29">
        <f>IF(D188="","",IFERROR(INDEX(Invoices!$O$5:$O$304,MATCH(D188,Invoices!$A$5:$A$304,0)),0))</f>
        <v>0</v>
      </c>
      <c r="Q188" s="29">
        <f>IF(D188="","",IFERROR(INDEX(Invoices!$S$5:$S$304,MATCH(D188,Invoices!$A$5:$A$304,0)),0))</f>
        <v>0</v>
      </c>
      <c r="S188" s="28">
        <f>IF(B188="","",TEXT(B188,"yyyy-mm"))</f>
        <v>0</v>
      </c>
      <c r="T188" s="49">
        <f>IF(B188="","",IF(N188&lt;&gt;"Yes","Unconfirmed - check it cleared",IF(O188&lt;&gt;"Yes","To reconcile",IF(AND(D188&lt;&gt;"",Q188&gt;0.004),"Invoice still has a balance","OK"))))</f>
        <v>0</v>
      </c>
    </row>
    <row r="189" spans="1:20">
      <c r="A189" s="46">
        <f>IF(B189="","","PM-"&amp;TEXT(ROW()-4,"0000"))</f>
        <v>0</v>
      </c>
      <c r="K189" s="29">
        <f>IF(B189="","",ROUND(IF(E189="",0,E189)-IF(J189="",0,J189),2))</f>
        <v>0</v>
      </c>
      <c r="L189" s="29">
        <f>IF(B189="","",ROUND(IF(E189="",0,E189)+IF(H189="",0,H189)+IF(I189="",0,I189)-IF(J189="",0,J189),2))</f>
        <v>0</v>
      </c>
      <c r="P189" s="29">
        <f>IF(D189="","",IFERROR(INDEX(Invoices!$O$5:$O$304,MATCH(D189,Invoices!$A$5:$A$304,0)),0))</f>
        <v>0</v>
      </c>
      <c r="Q189" s="29">
        <f>IF(D189="","",IFERROR(INDEX(Invoices!$S$5:$S$304,MATCH(D189,Invoices!$A$5:$A$304,0)),0))</f>
        <v>0</v>
      </c>
      <c r="S189" s="28">
        <f>IF(B189="","",TEXT(B189,"yyyy-mm"))</f>
        <v>0</v>
      </c>
      <c r="T189" s="49">
        <f>IF(B189="","",IF(N189&lt;&gt;"Yes","Unconfirmed - check it cleared",IF(O189&lt;&gt;"Yes","To reconcile",IF(AND(D189&lt;&gt;"",Q189&gt;0.004),"Invoice still has a balance","OK"))))</f>
        <v>0</v>
      </c>
    </row>
    <row r="190" spans="1:20">
      <c r="A190" s="46">
        <f>IF(B190="","","PM-"&amp;TEXT(ROW()-4,"0000"))</f>
        <v>0</v>
      </c>
      <c r="K190" s="29">
        <f>IF(B190="","",ROUND(IF(E190="",0,E190)-IF(J190="",0,J190),2))</f>
        <v>0</v>
      </c>
      <c r="L190" s="29">
        <f>IF(B190="","",ROUND(IF(E190="",0,E190)+IF(H190="",0,H190)+IF(I190="",0,I190)-IF(J190="",0,J190),2))</f>
        <v>0</v>
      </c>
      <c r="P190" s="29">
        <f>IF(D190="","",IFERROR(INDEX(Invoices!$O$5:$O$304,MATCH(D190,Invoices!$A$5:$A$304,0)),0))</f>
        <v>0</v>
      </c>
      <c r="Q190" s="29">
        <f>IF(D190="","",IFERROR(INDEX(Invoices!$S$5:$S$304,MATCH(D190,Invoices!$A$5:$A$304,0)),0))</f>
        <v>0</v>
      </c>
      <c r="S190" s="28">
        <f>IF(B190="","",TEXT(B190,"yyyy-mm"))</f>
        <v>0</v>
      </c>
      <c r="T190" s="49">
        <f>IF(B190="","",IF(N190&lt;&gt;"Yes","Unconfirmed - check it cleared",IF(O190&lt;&gt;"Yes","To reconcile",IF(AND(D190&lt;&gt;"",Q190&gt;0.004),"Invoice still has a balance","OK"))))</f>
        <v>0</v>
      </c>
    </row>
    <row r="191" spans="1:20">
      <c r="A191" s="46">
        <f>IF(B191="","","PM-"&amp;TEXT(ROW()-4,"0000"))</f>
        <v>0</v>
      </c>
      <c r="K191" s="29">
        <f>IF(B191="","",ROUND(IF(E191="",0,E191)-IF(J191="",0,J191),2))</f>
        <v>0</v>
      </c>
      <c r="L191" s="29">
        <f>IF(B191="","",ROUND(IF(E191="",0,E191)+IF(H191="",0,H191)+IF(I191="",0,I191)-IF(J191="",0,J191),2))</f>
        <v>0</v>
      </c>
      <c r="P191" s="29">
        <f>IF(D191="","",IFERROR(INDEX(Invoices!$O$5:$O$304,MATCH(D191,Invoices!$A$5:$A$304,0)),0))</f>
        <v>0</v>
      </c>
      <c r="Q191" s="29">
        <f>IF(D191="","",IFERROR(INDEX(Invoices!$S$5:$S$304,MATCH(D191,Invoices!$A$5:$A$304,0)),0))</f>
        <v>0</v>
      </c>
      <c r="S191" s="28">
        <f>IF(B191="","",TEXT(B191,"yyyy-mm"))</f>
        <v>0</v>
      </c>
      <c r="T191" s="49">
        <f>IF(B191="","",IF(N191&lt;&gt;"Yes","Unconfirmed - check it cleared",IF(O191&lt;&gt;"Yes","To reconcile",IF(AND(D191&lt;&gt;"",Q191&gt;0.004),"Invoice still has a balance","OK"))))</f>
        <v>0</v>
      </c>
    </row>
    <row r="192" spans="1:20">
      <c r="A192" s="46">
        <f>IF(B192="","","PM-"&amp;TEXT(ROW()-4,"0000"))</f>
        <v>0</v>
      </c>
      <c r="K192" s="29">
        <f>IF(B192="","",ROUND(IF(E192="",0,E192)-IF(J192="",0,J192),2))</f>
        <v>0</v>
      </c>
      <c r="L192" s="29">
        <f>IF(B192="","",ROUND(IF(E192="",0,E192)+IF(H192="",0,H192)+IF(I192="",0,I192)-IF(J192="",0,J192),2))</f>
        <v>0</v>
      </c>
      <c r="P192" s="29">
        <f>IF(D192="","",IFERROR(INDEX(Invoices!$O$5:$O$304,MATCH(D192,Invoices!$A$5:$A$304,0)),0))</f>
        <v>0</v>
      </c>
      <c r="Q192" s="29">
        <f>IF(D192="","",IFERROR(INDEX(Invoices!$S$5:$S$304,MATCH(D192,Invoices!$A$5:$A$304,0)),0))</f>
        <v>0</v>
      </c>
      <c r="S192" s="28">
        <f>IF(B192="","",TEXT(B192,"yyyy-mm"))</f>
        <v>0</v>
      </c>
      <c r="T192" s="49">
        <f>IF(B192="","",IF(N192&lt;&gt;"Yes","Unconfirmed - check it cleared",IF(O192&lt;&gt;"Yes","To reconcile",IF(AND(D192&lt;&gt;"",Q192&gt;0.004),"Invoice still has a balance","OK"))))</f>
        <v>0</v>
      </c>
    </row>
    <row r="193" spans="1:20">
      <c r="A193" s="46">
        <f>IF(B193="","","PM-"&amp;TEXT(ROW()-4,"0000"))</f>
        <v>0</v>
      </c>
      <c r="K193" s="29">
        <f>IF(B193="","",ROUND(IF(E193="",0,E193)-IF(J193="",0,J193),2))</f>
        <v>0</v>
      </c>
      <c r="L193" s="29">
        <f>IF(B193="","",ROUND(IF(E193="",0,E193)+IF(H193="",0,H193)+IF(I193="",0,I193)-IF(J193="",0,J193),2))</f>
        <v>0</v>
      </c>
      <c r="P193" s="29">
        <f>IF(D193="","",IFERROR(INDEX(Invoices!$O$5:$O$304,MATCH(D193,Invoices!$A$5:$A$304,0)),0))</f>
        <v>0</v>
      </c>
      <c r="Q193" s="29">
        <f>IF(D193="","",IFERROR(INDEX(Invoices!$S$5:$S$304,MATCH(D193,Invoices!$A$5:$A$304,0)),0))</f>
        <v>0</v>
      </c>
      <c r="S193" s="28">
        <f>IF(B193="","",TEXT(B193,"yyyy-mm"))</f>
        <v>0</v>
      </c>
      <c r="T193" s="49">
        <f>IF(B193="","",IF(N193&lt;&gt;"Yes","Unconfirmed - check it cleared",IF(O193&lt;&gt;"Yes","To reconcile",IF(AND(D193&lt;&gt;"",Q193&gt;0.004),"Invoice still has a balance","OK"))))</f>
        <v>0</v>
      </c>
    </row>
    <row r="194" spans="1:20">
      <c r="A194" s="46">
        <f>IF(B194="","","PM-"&amp;TEXT(ROW()-4,"0000"))</f>
        <v>0</v>
      </c>
      <c r="K194" s="29">
        <f>IF(B194="","",ROUND(IF(E194="",0,E194)-IF(J194="",0,J194),2))</f>
        <v>0</v>
      </c>
      <c r="L194" s="29">
        <f>IF(B194="","",ROUND(IF(E194="",0,E194)+IF(H194="",0,H194)+IF(I194="",0,I194)-IF(J194="",0,J194),2))</f>
        <v>0</v>
      </c>
      <c r="P194" s="29">
        <f>IF(D194="","",IFERROR(INDEX(Invoices!$O$5:$O$304,MATCH(D194,Invoices!$A$5:$A$304,0)),0))</f>
        <v>0</v>
      </c>
      <c r="Q194" s="29">
        <f>IF(D194="","",IFERROR(INDEX(Invoices!$S$5:$S$304,MATCH(D194,Invoices!$A$5:$A$304,0)),0))</f>
        <v>0</v>
      </c>
      <c r="S194" s="28">
        <f>IF(B194="","",TEXT(B194,"yyyy-mm"))</f>
        <v>0</v>
      </c>
      <c r="T194" s="49">
        <f>IF(B194="","",IF(N194&lt;&gt;"Yes","Unconfirmed - check it cleared",IF(O194&lt;&gt;"Yes","To reconcile",IF(AND(D194&lt;&gt;"",Q194&gt;0.004),"Invoice still has a balance","OK"))))</f>
        <v>0</v>
      </c>
    </row>
    <row r="195" spans="1:20">
      <c r="A195" s="46">
        <f>IF(B195="","","PM-"&amp;TEXT(ROW()-4,"0000"))</f>
        <v>0</v>
      </c>
      <c r="K195" s="29">
        <f>IF(B195="","",ROUND(IF(E195="",0,E195)-IF(J195="",0,J195),2))</f>
        <v>0</v>
      </c>
      <c r="L195" s="29">
        <f>IF(B195="","",ROUND(IF(E195="",0,E195)+IF(H195="",0,H195)+IF(I195="",0,I195)-IF(J195="",0,J195),2))</f>
        <v>0</v>
      </c>
      <c r="P195" s="29">
        <f>IF(D195="","",IFERROR(INDEX(Invoices!$O$5:$O$304,MATCH(D195,Invoices!$A$5:$A$304,0)),0))</f>
        <v>0</v>
      </c>
      <c r="Q195" s="29">
        <f>IF(D195="","",IFERROR(INDEX(Invoices!$S$5:$S$304,MATCH(D195,Invoices!$A$5:$A$304,0)),0))</f>
        <v>0</v>
      </c>
      <c r="S195" s="28">
        <f>IF(B195="","",TEXT(B195,"yyyy-mm"))</f>
        <v>0</v>
      </c>
      <c r="T195" s="49">
        <f>IF(B195="","",IF(N195&lt;&gt;"Yes","Unconfirmed - check it cleared",IF(O195&lt;&gt;"Yes","To reconcile",IF(AND(D195&lt;&gt;"",Q195&gt;0.004),"Invoice still has a balance","OK"))))</f>
        <v>0</v>
      </c>
    </row>
    <row r="196" spans="1:20">
      <c r="A196" s="46">
        <f>IF(B196="","","PM-"&amp;TEXT(ROW()-4,"0000"))</f>
        <v>0</v>
      </c>
      <c r="K196" s="29">
        <f>IF(B196="","",ROUND(IF(E196="",0,E196)-IF(J196="",0,J196),2))</f>
        <v>0</v>
      </c>
      <c r="L196" s="29">
        <f>IF(B196="","",ROUND(IF(E196="",0,E196)+IF(H196="",0,H196)+IF(I196="",0,I196)-IF(J196="",0,J196),2))</f>
        <v>0</v>
      </c>
      <c r="P196" s="29">
        <f>IF(D196="","",IFERROR(INDEX(Invoices!$O$5:$O$304,MATCH(D196,Invoices!$A$5:$A$304,0)),0))</f>
        <v>0</v>
      </c>
      <c r="Q196" s="29">
        <f>IF(D196="","",IFERROR(INDEX(Invoices!$S$5:$S$304,MATCH(D196,Invoices!$A$5:$A$304,0)),0))</f>
        <v>0</v>
      </c>
      <c r="S196" s="28">
        <f>IF(B196="","",TEXT(B196,"yyyy-mm"))</f>
        <v>0</v>
      </c>
      <c r="T196" s="49">
        <f>IF(B196="","",IF(N196&lt;&gt;"Yes","Unconfirmed - check it cleared",IF(O196&lt;&gt;"Yes","To reconcile",IF(AND(D196&lt;&gt;"",Q196&gt;0.004),"Invoice still has a balance","OK"))))</f>
        <v>0</v>
      </c>
    </row>
    <row r="197" spans="1:20">
      <c r="A197" s="46">
        <f>IF(B197="","","PM-"&amp;TEXT(ROW()-4,"0000"))</f>
        <v>0</v>
      </c>
      <c r="K197" s="29">
        <f>IF(B197="","",ROUND(IF(E197="",0,E197)-IF(J197="",0,J197),2))</f>
        <v>0</v>
      </c>
      <c r="L197" s="29">
        <f>IF(B197="","",ROUND(IF(E197="",0,E197)+IF(H197="",0,H197)+IF(I197="",0,I197)-IF(J197="",0,J197),2))</f>
        <v>0</v>
      </c>
      <c r="P197" s="29">
        <f>IF(D197="","",IFERROR(INDEX(Invoices!$O$5:$O$304,MATCH(D197,Invoices!$A$5:$A$304,0)),0))</f>
        <v>0</v>
      </c>
      <c r="Q197" s="29">
        <f>IF(D197="","",IFERROR(INDEX(Invoices!$S$5:$S$304,MATCH(D197,Invoices!$A$5:$A$304,0)),0))</f>
        <v>0</v>
      </c>
      <c r="S197" s="28">
        <f>IF(B197="","",TEXT(B197,"yyyy-mm"))</f>
        <v>0</v>
      </c>
      <c r="T197" s="49">
        <f>IF(B197="","",IF(N197&lt;&gt;"Yes","Unconfirmed - check it cleared",IF(O197&lt;&gt;"Yes","To reconcile",IF(AND(D197&lt;&gt;"",Q197&gt;0.004),"Invoice still has a balance","OK"))))</f>
        <v>0</v>
      </c>
    </row>
    <row r="198" spans="1:20">
      <c r="A198" s="46">
        <f>IF(B198="","","PM-"&amp;TEXT(ROW()-4,"0000"))</f>
        <v>0</v>
      </c>
      <c r="K198" s="29">
        <f>IF(B198="","",ROUND(IF(E198="",0,E198)-IF(J198="",0,J198),2))</f>
        <v>0</v>
      </c>
      <c r="L198" s="29">
        <f>IF(B198="","",ROUND(IF(E198="",0,E198)+IF(H198="",0,H198)+IF(I198="",0,I198)-IF(J198="",0,J198),2))</f>
        <v>0</v>
      </c>
      <c r="P198" s="29">
        <f>IF(D198="","",IFERROR(INDEX(Invoices!$O$5:$O$304,MATCH(D198,Invoices!$A$5:$A$304,0)),0))</f>
        <v>0</v>
      </c>
      <c r="Q198" s="29">
        <f>IF(D198="","",IFERROR(INDEX(Invoices!$S$5:$S$304,MATCH(D198,Invoices!$A$5:$A$304,0)),0))</f>
        <v>0</v>
      </c>
      <c r="S198" s="28">
        <f>IF(B198="","",TEXT(B198,"yyyy-mm"))</f>
        <v>0</v>
      </c>
      <c r="T198" s="49">
        <f>IF(B198="","",IF(N198&lt;&gt;"Yes","Unconfirmed - check it cleared",IF(O198&lt;&gt;"Yes","To reconcile",IF(AND(D198&lt;&gt;"",Q198&gt;0.004),"Invoice still has a balance","OK"))))</f>
        <v>0</v>
      </c>
    </row>
    <row r="199" spans="1:20">
      <c r="A199" s="46">
        <f>IF(B199="","","PM-"&amp;TEXT(ROW()-4,"0000"))</f>
        <v>0</v>
      </c>
      <c r="K199" s="29">
        <f>IF(B199="","",ROUND(IF(E199="",0,E199)-IF(J199="",0,J199),2))</f>
        <v>0</v>
      </c>
      <c r="L199" s="29">
        <f>IF(B199="","",ROUND(IF(E199="",0,E199)+IF(H199="",0,H199)+IF(I199="",0,I199)-IF(J199="",0,J199),2))</f>
        <v>0</v>
      </c>
      <c r="P199" s="29">
        <f>IF(D199="","",IFERROR(INDEX(Invoices!$O$5:$O$304,MATCH(D199,Invoices!$A$5:$A$304,0)),0))</f>
        <v>0</v>
      </c>
      <c r="Q199" s="29">
        <f>IF(D199="","",IFERROR(INDEX(Invoices!$S$5:$S$304,MATCH(D199,Invoices!$A$5:$A$304,0)),0))</f>
        <v>0</v>
      </c>
      <c r="S199" s="28">
        <f>IF(B199="","",TEXT(B199,"yyyy-mm"))</f>
        <v>0</v>
      </c>
      <c r="T199" s="49">
        <f>IF(B199="","",IF(N199&lt;&gt;"Yes","Unconfirmed - check it cleared",IF(O199&lt;&gt;"Yes","To reconcile",IF(AND(D199&lt;&gt;"",Q199&gt;0.004),"Invoice still has a balance","OK"))))</f>
        <v>0</v>
      </c>
    </row>
    <row r="200" spans="1:20">
      <c r="A200" s="46">
        <f>IF(B200="","","PM-"&amp;TEXT(ROW()-4,"0000"))</f>
        <v>0</v>
      </c>
      <c r="K200" s="29">
        <f>IF(B200="","",ROUND(IF(E200="",0,E200)-IF(J200="",0,J200),2))</f>
        <v>0</v>
      </c>
      <c r="L200" s="29">
        <f>IF(B200="","",ROUND(IF(E200="",0,E200)+IF(H200="",0,H200)+IF(I200="",0,I200)-IF(J200="",0,J200),2))</f>
        <v>0</v>
      </c>
      <c r="P200" s="29">
        <f>IF(D200="","",IFERROR(INDEX(Invoices!$O$5:$O$304,MATCH(D200,Invoices!$A$5:$A$304,0)),0))</f>
        <v>0</v>
      </c>
      <c r="Q200" s="29">
        <f>IF(D200="","",IFERROR(INDEX(Invoices!$S$5:$S$304,MATCH(D200,Invoices!$A$5:$A$304,0)),0))</f>
        <v>0</v>
      </c>
      <c r="S200" s="28">
        <f>IF(B200="","",TEXT(B200,"yyyy-mm"))</f>
        <v>0</v>
      </c>
      <c r="T200" s="49">
        <f>IF(B200="","",IF(N200&lt;&gt;"Yes","Unconfirmed - check it cleared",IF(O200&lt;&gt;"Yes","To reconcile",IF(AND(D200&lt;&gt;"",Q200&gt;0.004),"Invoice still has a balance","OK"))))</f>
        <v>0</v>
      </c>
    </row>
    <row r="201" spans="1:20">
      <c r="A201" s="46">
        <f>IF(B201="","","PM-"&amp;TEXT(ROW()-4,"0000"))</f>
        <v>0</v>
      </c>
      <c r="K201" s="29">
        <f>IF(B201="","",ROUND(IF(E201="",0,E201)-IF(J201="",0,J201),2))</f>
        <v>0</v>
      </c>
      <c r="L201" s="29">
        <f>IF(B201="","",ROUND(IF(E201="",0,E201)+IF(H201="",0,H201)+IF(I201="",0,I201)-IF(J201="",0,J201),2))</f>
        <v>0</v>
      </c>
      <c r="P201" s="29">
        <f>IF(D201="","",IFERROR(INDEX(Invoices!$O$5:$O$304,MATCH(D201,Invoices!$A$5:$A$304,0)),0))</f>
        <v>0</v>
      </c>
      <c r="Q201" s="29">
        <f>IF(D201="","",IFERROR(INDEX(Invoices!$S$5:$S$304,MATCH(D201,Invoices!$A$5:$A$304,0)),0))</f>
        <v>0</v>
      </c>
      <c r="S201" s="28">
        <f>IF(B201="","",TEXT(B201,"yyyy-mm"))</f>
        <v>0</v>
      </c>
      <c r="T201" s="49">
        <f>IF(B201="","",IF(N201&lt;&gt;"Yes","Unconfirmed - check it cleared",IF(O201&lt;&gt;"Yes","To reconcile",IF(AND(D201&lt;&gt;"",Q201&gt;0.004),"Invoice still has a balance","OK"))))</f>
        <v>0</v>
      </c>
    </row>
    <row r="202" spans="1:20">
      <c r="A202" s="46">
        <f>IF(B202="","","PM-"&amp;TEXT(ROW()-4,"0000"))</f>
        <v>0</v>
      </c>
      <c r="K202" s="29">
        <f>IF(B202="","",ROUND(IF(E202="",0,E202)-IF(J202="",0,J202),2))</f>
        <v>0</v>
      </c>
      <c r="L202" s="29">
        <f>IF(B202="","",ROUND(IF(E202="",0,E202)+IF(H202="",0,H202)+IF(I202="",0,I202)-IF(J202="",0,J202),2))</f>
        <v>0</v>
      </c>
      <c r="P202" s="29">
        <f>IF(D202="","",IFERROR(INDEX(Invoices!$O$5:$O$304,MATCH(D202,Invoices!$A$5:$A$304,0)),0))</f>
        <v>0</v>
      </c>
      <c r="Q202" s="29">
        <f>IF(D202="","",IFERROR(INDEX(Invoices!$S$5:$S$304,MATCH(D202,Invoices!$A$5:$A$304,0)),0))</f>
        <v>0</v>
      </c>
      <c r="S202" s="28">
        <f>IF(B202="","",TEXT(B202,"yyyy-mm"))</f>
        <v>0</v>
      </c>
      <c r="T202" s="49">
        <f>IF(B202="","",IF(N202&lt;&gt;"Yes","Unconfirmed - check it cleared",IF(O202&lt;&gt;"Yes","To reconcile",IF(AND(D202&lt;&gt;"",Q202&gt;0.004),"Invoice still has a balance","OK"))))</f>
        <v>0</v>
      </c>
    </row>
    <row r="203" spans="1:20">
      <c r="A203" s="46">
        <f>IF(B203="","","PM-"&amp;TEXT(ROW()-4,"0000"))</f>
        <v>0</v>
      </c>
      <c r="K203" s="29">
        <f>IF(B203="","",ROUND(IF(E203="",0,E203)-IF(J203="",0,J203),2))</f>
        <v>0</v>
      </c>
      <c r="L203" s="29">
        <f>IF(B203="","",ROUND(IF(E203="",0,E203)+IF(H203="",0,H203)+IF(I203="",0,I203)-IF(J203="",0,J203),2))</f>
        <v>0</v>
      </c>
      <c r="P203" s="29">
        <f>IF(D203="","",IFERROR(INDEX(Invoices!$O$5:$O$304,MATCH(D203,Invoices!$A$5:$A$304,0)),0))</f>
        <v>0</v>
      </c>
      <c r="Q203" s="29">
        <f>IF(D203="","",IFERROR(INDEX(Invoices!$S$5:$S$304,MATCH(D203,Invoices!$A$5:$A$304,0)),0))</f>
        <v>0</v>
      </c>
      <c r="S203" s="28">
        <f>IF(B203="","",TEXT(B203,"yyyy-mm"))</f>
        <v>0</v>
      </c>
      <c r="T203" s="49">
        <f>IF(B203="","",IF(N203&lt;&gt;"Yes","Unconfirmed - check it cleared",IF(O203&lt;&gt;"Yes","To reconcile",IF(AND(D203&lt;&gt;"",Q203&gt;0.004),"Invoice still has a balance","OK"))))</f>
        <v>0</v>
      </c>
    </row>
    <row r="204" spans="1:20">
      <c r="A204" s="46">
        <f>IF(B204="","","PM-"&amp;TEXT(ROW()-4,"0000"))</f>
        <v>0</v>
      </c>
      <c r="K204" s="29">
        <f>IF(B204="","",ROUND(IF(E204="",0,E204)-IF(J204="",0,J204),2))</f>
        <v>0</v>
      </c>
      <c r="L204" s="29">
        <f>IF(B204="","",ROUND(IF(E204="",0,E204)+IF(H204="",0,H204)+IF(I204="",0,I204)-IF(J204="",0,J204),2))</f>
        <v>0</v>
      </c>
      <c r="P204" s="29">
        <f>IF(D204="","",IFERROR(INDEX(Invoices!$O$5:$O$304,MATCH(D204,Invoices!$A$5:$A$304,0)),0))</f>
        <v>0</v>
      </c>
      <c r="Q204" s="29">
        <f>IF(D204="","",IFERROR(INDEX(Invoices!$S$5:$S$304,MATCH(D204,Invoices!$A$5:$A$304,0)),0))</f>
        <v>0</v>
      </c>
      <c r="S204" s="28">
        <f>IF(B204="","",TEXT(B204,"yyyy-mm"))</f>
        <v>0</v>
      </c>
      <c r="T204" s="49">
        <f>IF(B204="","",IF(N204&lt;&gt;"Yes","Unconfirmed - check it cleared",IF(O204&lt;&gt;"Yes","To reconcile",IF(AND(D204&lt;&gt;"",Q204&gt;0.004),"Invoice still has a balance","OK"))))</f>
        <v>0</v>
      </c>
    </row>
    <row r="205" spans="1:20">
      <c r="A205" s="46">
        <f>IF(B205="","","PM-"&amp;TEXT(ROW()-4,"0000"))</f>
        <v>0</v>
      </c>
      <c r="K205" s="29">
        <f>IF(B205="","",ROUND(IF(E205="",0,E205)-IF(J205="",0,J205),2))</f>
        <v>0</v>
      </c>
      <c r="L205" s="29">
        <f>IF(B205="","",ROUND(IF(E205="",0,E205)+IF(H205="",0,H205)+IF(I205="",0,I205)-IF(J205="",0,J205),2))</f>
        <v>0</v>
      </c>
      <c r="P205" s="29">
        <f>IF(D205="","",IFERROR(INDEX(Invoices!$O$5:$O$304,MATCH(D205,Invoices!$A$5:$A$304,0)),0))</f>
        <v>0</v>
      </c>
      <c r="Q205" s="29">
        <f>IF(D205="","",IFERROR(INDEX(Invoices!$S$5:$S$304,MATCH(D205,Invoices!$A$5:$A$304,0)),0))</f>
        <v>0</v>
      </c>
      <c r="S205" s="28">
        <f>IF(B205="","",TEXT(B205,"yyyy-mm"))</f>
        <v>0</v>
      </c>
      <c r="T205" s="49">
        <f>IF(B205="","",IF(N205&lt;&gt;"Yes","Unconfirmed - check it cleared",IF(O205&lt;&gt;"Yes","To reconcile",IF(AND(D205&lt;&gt;"",Q205&gt;0.004),"Invoice still has a balance","OK"))))</f>
        <v>0</v>
      </c>
    </row>
    <row r="206" spans="1:20">
      <c r="A206" s="46">
        <f>IF(B206="","","PM-"&amp;TEXT(ROW()-4,"0000"))</f>
        <v>0</v>
      </c>
      <c r="K206" s="29">
        <f>IF(B206="","",ROUND(IF(E206="",0,E206)-IF(J206="",0,J206),2))</f>
        <v>0</v>
      </c>
      <c r="L206" s="29">
        <f>IF(B206="","",ROUND(IF(E206="",0,E206)+IF(H206="",0,H206)+IF(I206="",0,I206)-IF(J206="",0,J206),2))</f>
        <v>0</v>
      </c>
      <c r="P206" s="29">
        <f>IF(D206="","",IFERROR(INDEX(Invoices!$O$5:$O$304,MATCH(D206,Invoices!$A$5:$A$304,0)),0))</f>
        <v>0</v>
      </c>
      <c r="Q206" s="29">
        <f>IF(D206="","",IFERROR(INDEX(Invoices!$S$5:$S$304,MATCH(D206,Invoices!$A$5:$A$304,0)),0))</f>
        <v>0</v>
      </c>
      <c r="S206" s="28">
        <f>IF(B206="","",TEXT(B206,"yyyy-mm"))</f>
        <v>0</v>
      </c>
      <c r="T206" s="49">
        <f>IF(B206="","",IF(N206&lt;&gt;"Yes","Unconfirmed - check it cleared",IF(O206&lt;&gt;"Yes","To reconcile",IF(AND(D206&lt;&gt;"",Q206&gt;0.004),"Invoice still has a balance","OK"))))</f>
        <v>0</v>
      </c>
    </row>
    <row r="207" spans="1:20">
      <c r="A207" s="46">
        <f>IF(B207="","","PM-"&amp;TEXT(ROW()-4,"0000"))</f>
        <v>0</v>
      </c>
      <c r="K207" s="29">
        <f>IF(B207="","",ROUND(IF(E207="",0,E207)-IF(J207="",0,J207),2))</f>
        <v>0</v>
      </c>
      <c r="L207" s="29">
        <f>IF(B207="","",ROUND(IF(E207="",0,E207)+IF(H207="",0,H207)+IF(I207="",0,I207)-IF(J207="",0,J207),2))</f>
        <v>0</v>
      </c>
      <c r="P207" s="29">
        <f>IF(D207="","",IFERROR(INDEX(Invoices!$O$5:$O$304,MATCH(D207,Invoices!$A$5:$A$304,0)),0))</f>
        <v>0</v>
      </c>
      <c r="Q207" s="29">
        <f>IF(D207="","",IFERROR(INDEX(Invoices!$S$5:$S$304,MATCH(D207,Invoices!$A$5:$A$304,0)),0))</f>
        <v>0</v>
      </c>
      <c r="S207" s="28">
        <f>IF(B207="","",TEXT(B207,"yyyy-mm"))</f>
        <v>0</v>
      </c>
      <c r="T207" s="49">
        <f>IF(B207="","",IF(N207&lt;&gt;"Yes","Unconfirmed - check it cleared",IF(O207&lt;&gt;"Yes","To reconcile",IF(AND(D207&lt;&gt;"",Q207&gt;0.004),"Invoice still has a balance","OK"))))</f>
        <v>0</v>
      </c>
    </row>
    <row r="208" spans="1:20">
      <c r="A208" s="46">
        <f>IF(B208="","","PM-"&amp;TEXT(ROW()-4,"0000"))</f>
        <v>0</v>
      </c>
      <c r="K208" s="29">
        <f>IF(B208="","",ROUND(IF(E208="",0,E208)-IF(J208="",0,J208),2))</f>
        <v>0</v>
      </c>
      <c r="L208" s="29">
        <f>IF(B208="","",ROUND(IF(E208="",0,E208)+IF(H208="",0,H208)+IF(I208="",0,I208)-IF(J208="",0,J208),2))</f>
        <v>0</v>
      </c>
      <c r="P208" s="29">
        <f>IF(D208="","",IFERROR(INDEX(Invoices!$O$5:$O$304,MATCH(D208,Invoices!$A$5:$A$304,0)),0))</f>
        <v>0</v>
      </c>
      <c r="Q208" s="29">
        <f>IF(D208="","",IFERROR(INDEX(Invoices!$S$5:$S$304,MATCH(D208,Invoices!$A$5:$A$304,0)),0))</f>
        <v>0</v>
      </c>
      <c r="S208" s="28">
        <f>IF(B208="","",TEXT(B208,"yyyy-mm"))</f>
        <v>0</v>
      </c>
      <c r="T208" s="49">
        <f>IF(B208="","",IF(N208&lt;&gt;"Yes","Unconfirmed - check it cleared",IF(O208&lt;&gt;"Yes","To reconcile",IF(AND(D208&lt;&gt;"",Q208&gt;0.004),"Invoice still has a balance","OK"))))</f>
        <v>0</v>
      </c>
    </row>
    <row r="209" spans="1:20">
      <c r="A209" s="46">
        <f>IF(B209="","","PM-"&amp;TEXT(ROW()-4,"0000"))</f>
        <v>0</v>
      </c>
      <c r="K209" s="29">
        <f>IF(B209="","",ROUND(IF(E209="",0,E209)-IF(J209="",0,J209),2))</f>
        <v>0</v>
      </c>
      <c r="L209" s="29">
        <f>IF(B209="","",ROUND(IF(E209="",0,E209)+IF(H209="",0,H209)+IF(I209="",0,I209)-IF(J209="",0,J209),2))</f>
        <v>0</v>
      </c>
      <c r="P209" s="29">
        <f>IF(D209="","",IFERROR(INDEX(Invoices!$O$5:$O$304,MATCH(D209,Invoices!$A$5:$A$304,0)),0))</f>
        <v>0</v>
      </c>
      <c r="Q209" s="29">
        <f>IF(D209="","",IFERROR(INDEX(Invoices!$S$5:$S$304,MATCH(D209,Invoices!$A$5:$A$304,0)),0))</f>
        <v>0</v>
      </c>
      <c r="S209" s="28">
        <f>IF(B209="","",TEXT(B209,"yyyy-mm"))</f>
        <v>0</v>
      </c>
      <c r="T209" s="49">
        <f>IF(B209="","",IF(N209&lt;&gt;"Yes","Unconfirmed - check it cleared",IF(O209&lt;&gt;"Yes","To reconcile",IF(AND(D209&lt;&gt;"",Q209&gt;0.004),"Invoice still has a balance","OK"))))</f>
        <v>0</v>
      </c>
    </row>
    <row r="210" spans="1:20">
      <c r="A210" s="46">
        <f>IF(B210="","","PM-"&amp;TEXT(ROW()-4,"0000"))</f>
        <v>0</v>
      </c>
      <c r="K210" s="29">
        <f>IF(B210="","",ROUND(IF(E210="",0,E210)-IF(J210="",0,J210),2))</f>
        <v>0</v>
      </c>
      <c r="L210" s="29">
        <f>IF(B210="","",ROUND(IF(E210="",0,E210)+IF(H210="",0,H210)+IF(I210="",0,I210)-IF(J210="",0,J210),2))</f>
        <v>0</v>
      </c>
      <c r="P210" s="29">
        <f>IF(D210="","",IFERROR(INDEX(Invoices!$O$5:$O$304,MATCH(D210,Invoices!$A$5:$A$304,0)),0))</f>
        <v>0</v>
      </c>
      <c r="Q210" s="29">
        <f>IF(D210="","",IFERROR(INDEX(Invoices!$S$5:$S$304,MATCH(D210,Invoices!$A$5:$A$304,0)),0))</f>
        <v>0</v>
      </c>
      <c r="S210" s="28">
        <f>IF(B210="","",TEXT(B210,"yyyy-mm"))</f>
        <v>0</v>
      </c>
      <c r="T210" s="49">
        <f>IF(B210="","",IF(N210&lt;&gt;"Yes","Unconfirmed - check it cleared",IF(O210&lt;&gt;"Yes","To reconcile",IF(AND(D210&lt;&gt;"",Q210&gt;0.004),"Invoice still has a balance","OK"))))</f>
        <v>0</v>
      </c>
    </row>
    <row r="211" spans="1:20">
      <c r="A211" s="46">
        <f>IF(B211="","","PM-"&amp;TEXT(ROW()-4,"0000"))</f>
        <v>0</v>
      </c>
      <c r="K211" s="29">
        <f>IF(B211="","",ROUND(IF(E211="",0,E211)-IF(J211="",0,J211),2))</f>
        <v>0</v>
      </c>
      <c r="L211" s="29">
        <f>IF(B211="","",ROUND(IF(E211="",0,E211)+IF(H211="",0,H211)+IF(I211="",0,I211)-IF(J211="",0,J211),2))</f>
        <v>0</v>
      </c>
      <c r="P211" s="29">
        <f>IF(D211="","",IFERROR(INDEX(Invoices!$O$5:$O$304,MATCH(D211,Invoices!$A$5:$A$304,0)),0))</f>
        <v>0</v>
      </c>
      <c r="Q211" s="29">
        <f>IF(D211="","",IFERROR(INDEX(Invoices!$S$5:$S$304,MATCH(D211,Invoices!$A$5:$A$304,0)),0))</f>
        <v>0</v>
      </c>
      <c r="S211" s="28">
        <f>IF(B211="","",TEXT(B211,"yyyy-mm"))</f>
        <v>0</v>
      </c>
      <c r="T211" s="49">
        <f>IF(B211="","",IF(N211&lt;&gt;"Yes","Unconfirmed - check it cleared",IF(O211&lt;&gt;"Yes","To reconcile",IF(AND(D211&lt;&gt;"",Q211&gt;0.004),"Invoice still has a balance","OK"))))</f>
        <v>0</v>
      </c>
    </row>
    <row r="212" spans="1:20">
      <c r="A212" s="46">
        <f>IF(B212="","","PM-"&amp;TEXT(ROW()-4,"0000"))</f>
        <v>0</v>
      </c>
      <c r="K212" s="29">
        <f>IF(B212="","",ROUND(IF(E212="",0,E212)-IF(J212="",0,J212),2))</f>
        <v>0</v>
      </c>
      <c r="L212" s="29">
        <f>IF(B212="","",ROUND(IF(E212="",0,E212)+IF(H212="",0,H212)+IF(I212="",0,I212)-IF(J212="",0,J212),2))</f>
        <v>0</v>
      </c>
      <c r="P212" s="29">
        <f>IF(D212="","",IFERROR(INDEX(Invoices!$O$5:$O$304,MATCH(D212,Invoices!$A$5:$A$304,0)),0))</f>
        <v>0</v>
      </c>
      <c r="Q212" s="29">
        <f>IF(D212="","",IFERROR(INDEX(Invoices!$S$5:$S$304,MATCH(D212,Invoices!$A$5:$A$304,0)),0))</f>
        <v>0</v>
      </c>
      <c r="S212" s="28">
        <f>IF(B212="","",TEXT(B212,"yyyy-mm"))</f>
        <v>0</v>
      </c>
      <c r="T212" s="49">
        <f>IF(B212="","",IF(N212&lt;&gt;"Yes","Unconfirmed - check it cleared",IF(O212&lt;&gt;"Yes","To reconcile",IF(AND(D212&lt;&gt;"",Q212&gt;0.004),"Invoice still has a balance","OK"))))</f>
        <v>0</v>
      </c>
    </row>
    <row r="213" spans="1:20">
      <c r="A213" s="46">
        <f>IF(B213="","","PM-"&amp;TEXT(ROW()-4,"0000"))</f>
        <v>0</v>
      </c>
      <c r="K213" s="29">
        <f>IF(B213="","",ROUND(IF(E213="",0,E213)-IF(J213="",0,J213),2))</f>
        <v>0</v>
      </c>
      <c r="L213" s="29">
        <f>IF(B213="","",ROUND(IF(E213="",0,E213)+IF(H213="",0,H213)+IF(I213="",0,I213)-IF(J213="",0,J213),2))</f>
        <v>0</v>
      </c>
      <c r="P213" s="29">
        <f>IF(D213="","",IFERROR(INDEX(Invoices!$O$5:$O$304,MATCH(D213,Invoices!$A$5:$A$304,0)),0))</f>
        <v>0</v>
      </c>
      <c r="Q213" s="29">
        <f>IF(D213="","",IFERROR(INDEX(Invoices!$S$5:$S$304,MATCH(D213,Invoices!$A$5:$A$304,0)),0))</f>
        <v>0</v>
      </c>
      <c r="S213" s="28">
        <f>IF(B213="","",TEXT(B213,"yyyy-mm"))</f>
        <v>0</v>
      </c>
      <c r="T213" s="49">
        <f>IF(B213="","",IF(N213&lt;&gt;"Yes","Unconfirmed - check it cleared",IF(O213&lt;&gt;"Yes","To reconcile",IF(AND(D213&lt;&gt;"",Q213&gt;0.004),"Invoice still has a balance","OK"))))</f>
        <v>0</v>
      </c>
    </row>
    <row r="214" spans="1:20">
      <c r="A214" s="46">
        <f>IF(B214="","","PM-"&amp;TEXT(ROW()-4,"0000"))</f>
        <v>0</v>
      </c>
      <c r="K214" s="29">
        <f>IF(B214="","",ROUND(IF(E214="",0,E214)-IF(J214="",0,J214),2))</f>
        <v>0</v>
      </c>
      <c r="L214" s="29">
        <f>IF(B214="","",ROUND(IF(E214="",0,E214)+IF(H214="",0,H214)+IF(I214="",0,I214)-IF(J214="",0,J214),2))</f>
        <v>0</v>
      </c>
      <c r="P214" s="29">
        <f>IF(D214="","",IFERROR(INDEX(Invoices!$O$5:$O$304,MATCH(D214,Invoices!$A$5:$A$304,0)),0))</f>
        <v>0</v>
      </c>
      <c r="Q214" s="29">
        <f>IF(D214="","",IFERROR(INDEX(Invoices!$S$5:$S$304,MATCH(D214,Invoices!$A$5:$A$304,0)),0))</f>
        <v>0</v>
      </c>
      <c r="S214" s="28">
        <f>IF(B214="","",TEXT(B214,"yyyy-mm"))</f>
        <v>0</v>
      </c>
      <c r="T214" s="49">
        <f>IF(B214="","",IF(N214&lt;&gt;"Yes","Unconfirmed - check it cleared",IF(O214&lt;&gt;"Yes","To reconcile",IF(AND(D214&lt;&gt;"",Q214&gt;0.004),"Invoice still has a balance","OK"))))</f>
        <v>0</v>
      </c>
    </row>
    <row r="215" spans="1:20">
      <c r="A215" s="46">
        <f>IF(B215="","","PM-"&amp;TEXT(ROW()-4,"0000"))</f>
        <v>0</v>
      </c>
      <c r="K215" s="29">
        <f>IF(B215="","",ROUND(IF(E215="",0,E215)-IF(J215="",0,J215),2))</f>
        <v>0</v>
      </c>
      <c r="L215" s="29">
        <f>IF(B215="","",ROUND(IF(E215="",0,E215)+IF(H215="",0,H215)+IF(I215="",0,I215)-IF(J215="",0,J215),2))</f>
        <v>0</v>
      </c>
      <c r="P215" s="29">
        <f>IF(D215="","",IFERROR(INDEX(Invoices!$O$5:$O$304,MATCH(D215,Invoices!$A$5:$A$304,0)),0))</f>
        <v>0</v>
      </c>
      <c r="Q215" s="29">
        <f>IF(D215="","",IFERROR(INDEX(Invoices!$S$5:$S$304,MATCH(D215,Invoices!$A$5:$A$304,0)),0))</f>
        <v>0</v>
      </c>
      <c r="S215" s="28">
        <f>IF(B215="","",TEXT(B215,"yyyy-mm"))</f>
        <v>0</v>
      </c>
      <c r="T215" s="49">
        <f>IF(B215="","",IF(N215&lt;&gt;"Yes","Unconfirmed - check it cleared",IF(O215&lt;&gt;"Yes","To reconcile",IF(AND(D215&lt;&gt;"",Q215&gt;0.004),"Invoice still has a balance","OK"))))</f>
        <v>0</v>
      </c>
    </row>
    <row r="216" spans="1:20">
      <c r="A216" s="46">
        <f>IF(B216="","","PM-"&amp;TEXT(ROW()-4,"0000"))</f>
        <v>0</v>
      </c>
      <c r="K216" s="29">
        <f>IF(B216="","",ROUND(IF(E216="",0,E216)-IF(J216="",0,J216),2))</f>
        <v>0</v>
      </c>
      <c r="L216" s="29">
        <f>IF(B216="","",ROUND(IF(E216="",0,E216)+IF(H216="",0,H216)+IF(I216="",0,I216)-IF(J216="",0,J216),2))</f>
        <v>0</v>
      </c>
      <c r="P216" s="29">
        <f>IF(D216="","",IFERROR(INDEX(Invoices!$O$5:$O$304,MATCH(D216,Invoices!$A$5:$A$304,0)),0))</f>
        <v>0</v>
      </c>
      <c r="Q216" s="29">
        <f>IF(D216="","",IFERROR(INDEX(Invoices!$S$5:$S$304,MATCH(D216,Invoices!$A$5:$A$304,0)),0))</f>
        <v>0</v>
      </c>
      <c r="S216" s="28">
        <f>IF(B216="","",TEXT(B216,"yyyy-mm"))</f>
        <v>0</v>
      </c>
      <c r="T216" s="49">
        <f>IF(B216="","",IF(N216&lt;&gt;"Yes","Unconfirmed - check it cleared",IF(O216&lt;&gt;"Yes","To reconcile",IF(AND(D216&lt;&gt;"",Q216&gt;0.004),"Invoice still has a balance","OK"))))</f>
        <v>0</v>
      </c>
    </row>
    <row r="217" spans="1:20">
      <c r="A217" s="46">
        <f>IF(B217="","","PM-"&amp;TEXT(ROW()-4,"0000"))</f>
        <v>0</v>
      </c>
      <c r="K217" s="29">
        <f>IF(B217="","",ROUND(IF(E217="",0,E217)-IF(J217="",0,J217),2))</f>
        <v>0</v>
      </c>
      <c r="L217" s="29">
        <f>IF(B217="","",ROUND(IF(E217="",0,E217)+IF(H217="",0,H217)+IF(I217="",0,I217)-IF(J217="",0,J217),2))</f>
        <v>0</v>
      </c>
      <c r="P217" s="29">
        <f>IF(D217="","",IFERROR(INDEX(Invoices!$O$5:$O$304,MATCH(D217,Invoices!$A$5:$A$304,0)),0))</f>
        <v>0</v>
      </c>
      <c r="Q217" s="29">
        <f>IF(D217="","",IFERROR(INDEX(Invoices!$S$5:$S$304,MATCH(D217,Invoices!$A$5:$A$304,0)),0))</f>
        <v>0</v>
      </c>
      <c r="S217" s="28">
        <f>IF(B217="","",TEXT(B217,"yyyy-mm"))</f>
        <v>0</v>
      </c>
      <c r="T217" s="49">
        <f>IF(B217="","",IF(N217&lt;&gt;"Yes","Unconfirmed - check it cleared",IF(O217&lt;&gt;"Yes","To reconcile",IF(AND(D217&lt;&gt;"",Q217&gt;0.004),"Invoice still has a balance","OK"))))</f>
        <v>0</v>
      </c>
    </row>
    <row r="218" spans="1:20">
      <c r="A218" s="46">
        <f>IF(B218="","","PM-"&amp;TEXT(ROW()-4,"0000"))</f>
        <v>0</v>
      </c>
      <c r="K218" s="29">
        <f>IF(B218="","",ROUND(IF(E218="",0,E218)-IF(J218="",0,J218),2))</f>
        <v>0</v>
      </c>
      <c r="L218" s="29">
        <f>IF(B218="","",ROUND(IF(E218="",0,E218)+IF(H218="",0,H218)+IF(I218="",0,I218)-IF(J218="",0,J218),2))</f>
        <v>0</v>
      </c>
      <c r="P218" s="29">
        <f>IF(D218="","",IFERROR(INDEX(Invoices!$O$5:$O$304,MATCH(D218,Invoices!$A$5:$A$304,0)),0))</f>
        <v>0</v>
      </c>
      <c r="Q218" s="29">
        <f>IF(D218="","",IFERROR(INDEX(Invoices!$S$5:$S$304,MATCH(D218,Invoices!$A$5:$A$304,0)),0))</f>
        <v>0</v>
      </c>
      <c r="S218" s="28">
        <f>IF(B218="","",TEXT(B218,"yyyy-mm"))</f>
        <v>0</v>
      </c>
      <c r="T218" s="49">
        <f>IF(B218="","",IF(N218&lt;&gt;"Yes","Unconfirmed - check it cleared",IF(O218&lt;&gt;"Yes","To reconcile",IF(AND(D218&lt;&gt;"",Q218&gt;0.004),"Invoice still has a balance","OK"))))</f>
        <v>0</v>
      </c>
    </row>
    <row r="219" spans="1:20">
      <c r="A219" s="46">
        <f>IF(B219="","","PM-"&amp;TEXT(ROW()-4,"0000"))</f>
        <v>0</v>
      </c>
      <c r="K219" s="29">
        <f>IF(B219="","",ROUND(IF(E219="",0,E219)-IF(J219="",0,J219),2))</f>
        <v>0</v>
      </c>
      <c r="L219" s="29">
        <f>IF(B219="","",ROUND(IF(E219="",0,E219)+IF(H219="",0,H219)+IF(I219="",0,I219)-IF(J219="",0,J219),2))</f>
        <v>0</v>
      </c>
      <c r="P219" s="29">
        <f>IF(D219="","",IFERROR(INDEX(Invoices!$O$5:$O$304,MATCH(D219,Invoices!$A$5:$A$304,0)),0))</f>
        <v>0</v>
      </c>
      <c r="Q219" s="29">
        <f>IF(D219="","",IFERROR(INDEX(Invoices!$S$5:$S$304,MATCH(D219,Invoices!$A$5:$A$304,0)),0))</f>
        <v>0</v>
      </c>
      <c r="S219" s="28">
        <f>IF(B219="","",TEXT(B219,"yyyy-mm"))</f>
        <v>0</v>
      </c>
      <c r="T219" s="49">
        <f>IF(B219="","",IF(N219&lt;&gt;"Yes","Unconfirmed - check it cleared",IF(O219&lt;&gt;"Yes","To reconcile",IF(AND(D219&lt;&gt;"",Q219&gt;0.004),"Invoice still has a balance","OK"))))</f>
        <v>0</v>
      </c>
    </row>
    <row r="220" spans="1:20">
      <c r="A220" s="46">
        <f>IF(B220="","","PM-"&amp;TEXT(ROW()-4,"0000"))</f>
        <v>0</v>
      </c>
      <c r="K220" s="29">
        <f>IF(B220="","",ROUND(IF(E220="",0,E220)-IF(J220="",0,J220),2))</f>
        <v>0</v>
      </c>
      <c r="L220" s="29">
        <f>IF(B220="","",ROUND(IF(E220="",0,E220)+IF(H220="",0,H220)+IF(I220="",0,I220)-IF(J220="",0,J220),2))</f>
        <v>0</v>
      </c>
      <c r="P220" s="29">
        <f>IF(D220="","",IFERROR(INDEX(Invoices!$O$5:$O$304,MATCH(D220,Invoices!$A$5:$A$304,0)),0))</f>
        <v>0</v>
      </c>
      <c r="Q220" s="29">
        <f>IF(D220="","",IFERROR(INDEX(Invoices!$S$5:$S$304,MATCH(D220,Invoices!$A$5:$A$304,0)),0))</f>
        <v>0</v>
      </c>
      <c r="S220" s="28">
        <f>IF(B220="","",TEXT(B220,"yyyy-mm"))</f>
        <v>0</v>
      </c>
      <c r="T220" s="49">
        <f>IF(B220="","",IF(N220&lt;&gt;"Yes","Unconfirmed - check it cleared",IF(O220&lt;&gt;"Yes","To reconcile",IF(AND(D220&lt;&gt;"",Q220&gt;0.004),"Invoice still has a balance","OK"))))</f>
        <v>0</v>
      </c>
    </row>
    <row r="221" spans="1:20">
      <c r="A221" s="46">
        <f>IF(B221="","","PM-"&amp;TEXT(ROW()-4,"0000"))</f>
        <v>0</v>
      </c>
      <c r="K221" s="29">
        <f>IF(B221="","",ROUND(IF(E221="",0,E221)-IF(J221="",0,J221),2))</f>
        <v>0</v>
      </c>
      <c r="L221" s="29">
        <f>IF(B221="","",ROUND(IF(E221="",0,E221)+IF(H221="",0,H221)+IF(I221="",0,I221)-IF(J221="",0,J221),2))</f>
        <v>0</v>
      </c>
      <c r="P221" s="29">
        <f>IF(D221="","",IFERROR(INDEX(Invoices!$O$5:$O$304,MATCH(D221,Invoices!$A$5:$A$304,0)),0))</f>
        <v>0</v>
      </c>
      <c r="Q221" s="29">
        <f>IF(D221="","",IFERROR(INDEX(Invoices!$S$5:$S$304,MATCH(D221,Invoices!$A$5:$A$304,0)),0))</f>
        <v>0</v>
      </c>
      <c r="S221" s="28">
        <f>IF(B221="","",TEXT(B221,"yyyy-mm"))</f>
        <v>0</v>
      </c>
      <c r="T221" s="49">
        <f>IF(B221="","",IF(N221&lt;&gt;"Yes","Unconfirmed - check it cleared",IF(O221&lt;&gt;"Yes","To reconcile",IF(AND(D221&lt;&gt;"",Q221&gt;0.004),"Invoice still has a balance","OK"))))</f>
        <v>0</v>
      </c>
    </row>
    <row r="222" spans="1:20">
      <c r="A222" s="46">
        <f>IF(B222="","","PM-"&amp;TEXT(ROW()-4,"0000"))</f>
        <v>0</v>
      </c>
      <c r="K222" s="29">
        <f>IF(B222="","",ROUND(IF(E222="",0,E222)-IF(J222="",0,J222),2))</f>
        <v>0</v>
      </c>
      <c r="L222" s="29">
        <f>IF(B222="","",ROUND(IF(E222="",0,E222)+IF(H222="",0,H222)+IF(I222="",0,I222)-IF(J222="",0,J222),2))</f>
        <v>0</v>
      </c>
      <c r="P222" s="29">
        <f>IF(D222="","",IFERROR(INDEX(Invoices!$O$5:$O$304,MATCH(D222,Invoices!$A$5:$A$304,0)),0))</f>
        <v>0</v>
      </c>
      <c r="Q222" s="29">
        <f>IF(D222="","",IFERROR(INDEX(Invoices!$S$5:$S$304,MATCH(D222,Invoices!$A$5:$A$304,0)),0))</f>
        <v>0</v>
      </c>
      <c r="S222" s="28">
        <f>IF(B222="","",TEXT(B222,"yyyy-mm"))</f>
        <v>0</v>
      </c>
      <c r="T222" s="49">
        <f>IF(B222="","",IF(N222&lt;&gt;"Yes","Unconfirmed - check it cleared",IF(O222&lt;&gt;"Yes","To reconcile",IF(AND(D222&lt;&gt;"",Q222&gt;0.004),"Invoice still has a balance","OK"))))</f>
        <v>0</v>
      </c>
    </row>
    <row r="223" spans="1:20">
      <c r="A223" s="46">
        <f>IF(B223="","","PM-"&amp;TEXT(ROW()-4,"0000"))</f>
        <v>0</v>
      </c>
      <c r="K223" s="29">
        <f>IF(B223="","",ROUND(IF(E223="",0,E223)-IF(J223="",0,J223),2))</f>
        <v>0</v>
      </c>
      <c r="L223" s="29">
        <f>IF(B223="","",ROUND(IF(E223="",0,E223)+IF(H223="",0,H223)+IF(I223="",0,I223)-IF(J223="",0,J223),2))</f>
        <v>0</v>
      </c>
      <c r="P223" s="29">
        <f>IF(D223="","",IFERROR(INDEX(Invoices!$O$5:$O$304,MATCH(D223,Invoices!$A$5:$A$304,0)),0))</f>
        <v>0</v>
      </c>
      <c r="Q223" s="29">
        <f>IF(D223="","",IFERROR(INDEX(Invoices!$S$5:$S$304,MATCH(D223,Invoices!$A$5:$A$304,0)),0))</f>
        <v>0</v>
      </c>
      <c r="S223" s="28">
        <f>IF(B223="","",TEXT(B223,"yyyy-mm"))</f>
        <v>0</v>
      </c>
      <c r="T223" s="49">
        <f>IF(B223="","",IF(N223&lt;&gt;"Yes","Unconfirmed - check it cleared",IF(O223&lt;&gt;"Yes","To reconcile",IF(AND(D223&lt;&gt;"",Q223&gt;0.004),"Invoice still has a balance","OK"))))</f>
        <v>0</v>
      </c>
    </row>
    <row r="224" spans="1:20">
      <c r="A224" s="46">
        <f>IF(B224="","","PM-"&amp;TEXT(ROW()-4,"0000"))</f>
        <v>0</v>
      </c>
      <c r="K224" s="29">
        <f>IF(B224="","",ROUND(IF(E224="",0,E224)-IF(J224="",0,J224),2))</f>
        <v>0</v>
      </c>
      <c r="L224" s="29">
        <f>IF(B224="","",ROUND(IF(E224="",0,E224)+IF(H224="",0,H224)+IF(I224="",0,I224)-IF(J224="",0,J224),2))</f>
        <v>0</v>
      </c>
      <c r="P224" s="29">
        <f>IF(D224="","",IFERROR(INDEX(Invoices!$O$5:$O$304,MATCH(D224,Invoices!$A$5:$A$304,0)),0))</f>
        <v>0</v>
      </c>
      <c r="Q224" s="29">
        <f>IF(D224="","",IFERROR(INDEX(Invoices!$S$5:$S$304,MATCH(D224,Invoices!$A$5:$A$304,0)),0))</f>
        <v>0</v>
      </c>
      <c r="S224" s="28">
        <f>IF(B224="","",TEXT(B224,"yyyy-mm"))</f>
        <v>0</v>
      </c>
      <c r="T224" s="49">
        <f>IF(B224="","",IF(N224&lt;&gt;"Yes","Unconfirmed - check it cleared",IF(O224&lt;&gt;"Yes","To reconcile",IF(AND(D224&lt;&gt;"",Q224&gt;0.004),"Invoice still has a balance","OK"))))</f>
        <v>0</v>
      </c>
    </row>
    <row r="225" spans="1:20">
      <c r="A225" s="46">
        <f>IF(B225="","","PM-"&amp;TEXT(ROW()-4,"0000"))</f>
        <v>0</v>
      </c>
      <c r="K225" s="29">
        <f>IF(B225="","",ROUND(IF(E225="",0,E225)-IF(J225="",0,J225),2))</f>
        <v>0</v>
      </c>
      <c r="L225" s="29">
        <f>IF(B225="","",ROUND(IF(E225="",0,E225)+IF(H225="",0,H225)+IF(I225="",0,I225)-IF(J225="",0,J225),2))</f>
        <v>0</v>
      </c>
      <c r="P225" s="29">
        <f>IF(D225="","",IFERROR(INDEX(Invoices!$O$5:$O$304,MATCH(D225,Invoices!$A$5:$A$304,0)),0))</f>
        <v>0</v>
      </c>
      <c r="Q225" s="29">
        <f>IF(D225="","",IFERROR(INDEX(Invoices!$S$5:$S$304,MATCH(D225,Invoices!$A$5:$A$304,0)),0))</f>
        <v>0</v>
      </c>
      <c r="S225" s="28">
        <f>IF(B225="","",TEXT(B225,"yyyy-mm"))</f>
        <v>0</v>
      </c>
      <c r="T225" s="49">
        <f>IF(B225="","",IF(N225&lt;&gt;"Yes","Unconfirmed - check it cleared",IF(O225&lt;&gt;"Yes","To reconcile",IF(AND(D225&lt;&gt;"",Q225&gt;0.004),"Invoice still has a balance","OK"))))</f>
        <v>0</v>
      </c>
    </row>
    <row r="226" spans="1:20">
      <c r="A226" s="46">
        <f>IF(B226="","","PM-"&amp;TEXT(ROW()-4,"0000"))</f>
        <v>0</v>
      </c>
      <c r="K226" s="29">
        <f>IF(B226="","",ROUND(IF(E226="",0,E226)-IF(J226="",0,J226),2))</f>
        <v>0</v>
      </c>
      <c r="L226" s="29">
        <f>IF(B226="","",ROUND(IF(E226="",0,E226)+IF(H226="",0,H226)+IF(I226="",0,I226)-IF(J226="",0,J226),2))</f>
        <v>0</v>
      </c>
      <c r="P226" s="29">
        <f>IF(D226="","",IFERROR(INDEX(Invoices!$O$5:$O$304,MATCH(D226,Invoices!$A$5:$A$304,0)),0))</f>
        <v>0</v>
      </c>
      <c r="Q226" s="29">
        <f>IF(D226="","",IFERROR(INDEX(Invoices!$S$5:$S$304,MATCH(D226,Invoices!$A$5:$A$304,0)),0))</f>
        <v>0</v>
      </c>
      <c r="S226" s="28">
        <f>IF(B226="","",TEXT(B226,"yyyy-mm"))</f>
        <v>0</v>
      </c>
      <c r="T226" s="49">
        <f>IF(B226="","",IF(N226&lt;&gt;"Yes","Unconfirmed - check it cleared",IF(O226&lt;&gt;"Yes","To reconcile",IF(AND(D226&lt;&gt;"",Q226&gt;0.004),"Invoice still has a balance","OK"))))</f>
        <v>0</v>
      </c>
    </row>
    <row r="227" spans="1:20">
      <c r="A227" s="46">
        <f>IF(B227="","","PM-"&amp;TEXT(ROW()-4,"0000"))</f>
        <v>0</v>
      </c>
      <c r="K227" s="29">
        <f>IF(B227="","",ROUND(IF(E227="",0,E227)-IF(J227="",0,J227),2))</f>
        <v>0</v>
      </c>
      <c r="L227" s="29">
        <f>IF(B227="","",ROUND(IF(E227="",0,E227)+IF(H227="",0,H227)+IF(I227="",0,I227)-IF(J227="",0,J227),2))</f>
        <v>0</v>
      </c>
      <c r="P227" s="29">
        <f>IF(D227="","",IFERROR(INDEX(Invoices!$O$5:$O$304,MATCH(D227,Invoices!$A$5:$A$304,0)),0))</f>
        <v>0</v>
      </c>
      <c r="Q227" s="29">
        <f>IF(D227="","",IFERROR(INDEX(Invoices!$S$5:$S$304,MATCH(D227,Invoices!$A$5:$A$304,0)),0))</f>
        <v>0</v>
      </c>
      <c r="S227" s="28">
        <f>IF(B227="","",TEXT(B227,"yyyy-mm"))</f>
        <v>0</v>
      </c>
      <c r="T227" s="49">
        <f>IF(B227="","",IF(N227&lt;&gt;"Yes","Unconfirmed - check it cleared",IF(O227&lt;&gt;"Yes","To reconcile",IF(AND(D227&lt;&gt;"",Q227&gt;0.004),"Invoice still has a balance","OK"))))</f>
        <v>0</v>
      </c>
    </row>
    <row r="228" spans="1:20">
      <c r="A228" s="46">
        <f>IF(B228="","","PM-"&amp;TEXT(ROW()-4,"0000"))</f>
        <v>0</v>
      </c>
      <c r="K228" s="29">
        <f>IF(B228="","",ROUND(IF(E228="",0,E228)-IF(J228="",0,J228),2))</f>
        <v>0</v>
      </c>
      <c r="L228" s="29">
        <f>IF(B228="","",ROUND(IF(E228="",0,E228)+IF(H228="",0,H228)+IF(I228="",0,I228)-IF(J228="",0,J228),2))</f>
        <v>0</v>
      </c>
      <c r="P228" s="29">
        <f>IF(D228="","",IFERROR(INDEX(Invoices!$O$5:$O$304,MATCH(D228,Invoices!$A$5:$A$304,0)),0))</f>
        <v>0</v>
      </c>
      <c r="Q228" s="29">
        <f>IF(D228="","",IFERROR(INDEX(Invoices!$S$5:$S$304,MATCH(D228,Invoices!$A$5:$A$304,0)),0))</f>
        <v>0</v>
      </c>
      <c r="S228" s="28">
        <f>IF(B228="","",TEXT(B228,"yyyy-mm"))</f>
        <v>0</v>
      </c>
      <c r="T228" s="49">
        <f>IF(B228="","",IF(N228&lt;&gt;"Yes","Unconfirmed - check it cleared",IF(O228&lt;&gt;"Yes","To reconcile",IF(AND(D228&lt;&gt;"",Q228&gt;0.004),"Invoice still has a balance","OK"))))</f>
        <v>0</v>
      </c>
    </row>
    <row r="229" spans="1:20">
      <c r="A229" s="46">
        <f>IF(B229="","","PM-"&amp;TEXT(ROW()-4,"0000"))</f>
        <v>0</v>
      </c>
      <c r="K229" s="29">
        <f>IF(B229="","",ROUND(IF(E229="",0,E229)-IF(J229="",0,J229),2))</f>
        <v>0</v>
      </c>
      <c r="L229" s="29">
        <f>IF(B229="","",ROUND(IF(E229="",0,E229)+IF(H229="",0,H229)+IF(I229="",0,I229)-IF(J229="",0,J229),2))</f>
        <v>0</v>
      </c>
      <c r="P229" s="29">
        <f>IF(D229="","",IFERROR(INDEX(Invoices!$O$5:$O$304,MATCH(D229,Invoices!$A$5:$A$304,0)),0))</f>
        <v>0</v>
      </c>
      <c r="Q229" s="29">
        <f>IF(D229="","",IFERROR(INDEX(Invoices!$S$5:$S$304,MATCH(D229,Invoices!$A$5:$A$304,0)),0))</f>
        <v>0</v>
      </c>
      <c r="S229" s="28">
        <f>IF(B229="","",TEXT(B229,"yyyy-mm"))</f>
        <v>0</v>
      </c>
      <c r="T229" s="49">
        <f>IF(B229="","",IF(N229&lt;&gt;"Yes","Unconfirmed - check it cleared",IF(O229&lt;&gt;"Yes","To reconcile",IF(AND(D229&lt;&gt;"",Q229&gt;0.004),"Invoice still has a balance","OK"))))</f>
        <v>0</v>
      </c>
    </row>
    <row r="230" spans="1:20">
      <c r="A230" s="46">
        <f>IF(B230="","","PM-"&amp;TEXT(ROW()-4,"0000"))</f>
        <v>0</v>
      </c>
      <c r="K230" s="29">
        <f>IF(B230="","",ROUND(IF(E230="",0,E230)-IF(J230="",0,J230),2))</f>
        <v>0</v>
      </c>
      <c r="L230" s="29">
        <f>IF(B230="","",ROUND(IF(E230="",0,E230)+IF(H230="",0,H230)+IF(I230="",0,I230)-IF(J230="",0,J230),2))</f>
        <v>0</v>
      </c>
      <c r="P230" s="29">
        <f>IF(D230="","",IFERROR(INDEX(Invoices!$O$5:$O$304,MATCH(D230,Invoices!$A$5:$A$304,0)),0))</f>
        <v>0</v>
      </c>
      <c r="Q230" s="29">
        <f>IF(D230="","",IFERROR(INDEX(Invoices!$S$5:$S$304,MATCH(D230,Invoices!$A$5:$A$304,0)),0))</f>
        <v>0</v>
      </c>
      <c r="S230" s="28">
        <f>IF(B230="","",TEXT(B230,"yyyy-mm"))</f>
        <v>0</v>
      </c>
      <c r="T230" s="49">
        <f>IF(B230="","",IF(N230&lt;&gt;"Yes","Unconfirmed - check it cleared",IF(O230&lt;&gt;"Yes","To reconcile",IF(AND(D230&lt;&gt;"",Q230&gt;0.004),"Invoice still has a balance","OK"))))</f>
        <v>0</v>
      </c>
    </row>
    <row r="231" spans="1:20">
      <c r="A231" s="46">
        <f>IF(B231="","","PM-"&amp;TEXT(ROW()-4,"0000"))</f>
        <v>0</v>
      </c>
      <c r="K231" s="29">
        <f>IF(B231="","",ROUND(IF(E231="",0,E231)-IF(J231="",0,J231),2))</f>
        <v>0</v>
      </c>
      <c r="L231" s="29">
        <f>IF(B231="","",ROUND(IF(E231="",0,E231)+IF(H231="",0,H231)+IF(I231="",0,I231)-IF(J231="",0,J231),2))</f>
        <v>0</v>
      </c>
      <c r="P231" s="29">
        <f>IF(D231="","",IFERROR(INDEX(Invoices!$O$5:$O$304,MATCH(D231,Invoices!$A$5:$A$304,0)),0))</f>
        <v>0</v>
      </c>
      <c r="Q231" s="29">
        <f>IF(D231="","",IFERROR(INDEX(Invoices!$S$5:$S$304,MATCH(D231,Invoices!$A$5:$A$304,0)),0))</f>
        <v>0</v>
      </c>
      <c r="S231" s="28">
        <f>IF(B231="","",TEXT(B231,"yyyy-mm"))</f>
        <v>0</v>
      </c>
      <c r="T231" s="49">
        <f>IF(B231="","",IF(N231&lt;&gt;"Yes","Unconfirmed - check it cleared",IF(O231&lt;&gt;"Yes","To reconcile",IF(AND(D231&lt;&gt;"",Q231&gt;0.004),"Invoice still has a balance","OK"))))</f>
        <v>0</v>
      </c>
    </row>
    <row r="232" spans="1:20">
      <c r="A232" s="46">
        <f>IF(B232="","","PM-"&amp;TEXT(ROW()-4,"0000"))</f>
        <v>0</v>
      </c>
      <c r="K232" s="29">
        <f>IF(B232="","",ROUND(IF(E232="",0,E232)-IF(J232="",0,J232),2))</f>
        <v>0</v>
      </c>
      <c r="L232" s="29">
        <f>IF(B232="","",ROUND(IF(E232="",0,E232)+IF(H232="",0,H232)+IF(I232="",0,I232)-IF(J232="",0,J232),2))</f>
        <v>0</v>
      </c>
      <c r="P232" s="29">
        <f>IF(D232="","",IFERROR(INDEX(Invoices!$O$5:$O$304,MATCH(D232,Invoices!$A$5:$A$304,0)),0))</f>
        <v>0</v>
      </c>
      <c r="Q232" s="29">
        <f>IF(D232="","",IFERROR(INDEX(Invoices!$S$5:$S$304,MATCH(D232,Invoices!$A$5:$A$304,0)),0))</f>
        <v>0</v>
      </c>
      <c r="S232" s="28">
        <f>IF(B232="","",TEXT(B232,"yyyy-mm"))</f>
        <v>0</v>
      </c>
      <c r="T232" s="49">
        <f>IF(B232="","",IF(N232&lt;&gt;"Yes","Unconfirmed - check it cleared",IF(O232&lt;&gt;"Yes","To reconcile",IF(AND(D232&lt;&gt;"",Q232&gt;0.004),"Invoice still has a balance","OK"))))</f>
        <v>0</v>
      </c>
    </row>
    <row r="233" spans="1:20">
      <c r="A233" s="46">
        <f>IF(B233="","","PM-"&amp;TEXT(ROW()-4,"0000"))</f>
        <v>0</v>
      </c>
      <c r="K233" s="29">
        <f>IF(B233="","",ROUND(IF(E233="",0,E233)-IF(J233="",0,J233),2))</f>
        <v>0</v>
      </c>
      <c r="L233" s="29">
        <f>IF(B233="","",ROUND(IF(E233="",0,E233)+IF(H233="",0,H233)+IF(I233="",0,I233)-IF(J233="",0,J233),2))</f>
        <v>0</v>
      </c>
      <c r="P233" s="29">
        <f>IF(D233="","",IFERROR(INDEX(Invoices!$O$5:$O$304,MATCH(D233,Invoices!$A$5:$A$304,0)),0))</f>
        <v>0</v>
      </c>
      <c r="Q233" s="29">
        <f>IF(D233="","",IFERROR(INDEX(Invoices!$S$5:$S$304,MATCH(D233,Invoices!$A$5:$A$304,0)),0))</f>
        <v>0</v>
      </c>
      <c r="S233" s="28">
        <f>IF(B233="","",TEXT(B233,"yyyy-mm"))</f>
        <v>0</v>
      </c>
      <c r="T233" s="49">
        <f>IF(B233="","",IF(N233&lt;&gt;"Yes","Unconfirmed - check it cleared",IF(O233&lt;&gt;"Yes","To reconcile",IF(AND(D233&lt;&gt;"",Q233&gt;0.004),"Invoice still has a balance","OK"))))</f>
        <v>0</v>
      </c>
    </row>
    <row r="234" spans="1:20">
      <c r="A234" s="46">
        <f>IF(B234="","","PM-"&amp;TEXT(ROW()-4,"0000"))</f>
        <v>0</v>
      </c>
      <c r="K234" s="29">
        <f>IF(B234="","",ROUND(IF(E234="",0,E234)-IF(J234="",0,J234),2))</f>
        <v>0</v>
      </c>
      <c r="L234" s="29">
        <f>IF(B234="","",ROUND(IF(E234="",0,E234)+IF(H234="",0,H234)+IF(I234="",0,I234)-IF(J234="",0,J234),2))</f>
        <v>0</v>
      </c>
      <c r="P234" s="29">
        <f>IF(D234="","",IFERROR(INDEX(Invoices!$O$5:$O$304,MATCH(D234,Invoices!$A$5:$A$304,0)),0))</f>
        <v>0</v>
      </c>
      <c r="Q234" s="29">
        <f>IF(D234="","",IFERROR(INDEX(Invoices!$S$5:$S$304,MATCH(D234,Invoices!$A$5:$A$304,0)),0))</f>
        <v>0</v>
      </c>
      <c r="S234" s="28">
        <f>IF(B234="","",TEXT(B234,"yyyy-mm"))</f>
        <v>0</v>
      </c>
      <c r="T234" s="49">
        <f>IF(B234="","",IF(N234&lt;&gt;"Yes","Unconfirmed - check it cleared",IF(O234&lt;&gt;"Yes","To reconcile",IF(AND(D234&lt;&gt;"",Q234&gt;0.004),"Invoice still has a balance","OK"))))</f>
        <v>0</v>
      </c>
    </row>
    <row r="235" spans="1:20">
      <c r="A235" s="46">
        <f>IF(B235="","","PM-"&amp;TEXT(ROW()-4,"0000"))</f>
        <v>0</v>
      </c>
      <c r="K235" s="29">
        <f>IF(B235="","",ROUND(IF(E235="",0,E235)-IF(J235="",0,J235),2))</f>
        <v>0</v>
      </c>
      <c r="L235" s="29">
        <f>IF(B235="","",ROUND(IF(E235="",0,E235)+IF(H235="",0,H235)+IF(I235="",0,I235)-IF(J235="",0,J235),2))</f>
        <v>0</v>
      </c>
      <c r="P235" s="29">
        <f>IF(D235="","",IFERROR(INDEX(Invoices!$O$5:$O$304,MATCH(D235,Invoices!$A$5:$A$304,0)),0))</f>
        <v>0</v>
      </c>
      <c r="Q235" s="29">
        <f>IF(D235="","",IFERROR(INDEX(Invoices!$S$5:$S$304,MATCH(D235,Invoices!$A$5:$A$304,0)),0))</f>
        <v>0</v>
      </c>
      <c r="S235" s="28">
        <f>IF(B235="","",TEXT(B235,"yyyy-mm"))</f>
        <v>0</v>
      </c>
      <c r="T235" s="49">
        <f>IF(B235="","",IF(N235&lt;&gt;"Yes","Unconfirmed - check it cleared",IF(O235&lt;&gt;"Yes","To reconcile",IF(AND(D235&lt;&gt;"",Q235&gt;0.004),"Invoice still has a balance","OK"))))</f>
        <v>0</v>
      </c>
    </row>
    <row r="236" spans="1:20">
      <c r="A236" s="46">
        <f>IF(B236="","","PM-"&amp;TEXT(ROW()-4,"0000"))</f>
        <v>0</v>
      </c>
      <c r="K236" s="29">
        <f>IF(B236="","",ROUND(IF(E236="",0,E236)-IF(J236="",0,J236),2))</f>
        <v>0</v>
      </c>
      <c r="L236" s="29">
        <f>IF(B236="","",ROUND(IF(E236="",0,E236)+IF(H236="",0,H236)+IF(I236="",0,I236)-IF(J236="",0,J236),2))</f>
        <v>0</v>
      </c>
      <c r="P236" s="29">
        <f>IF(D236="","",IFERROR(INDEX(Invoices!$O$5:$O$304,MATCH(D236,Invoices!$A$5:$A$304,0)),0))</f>
        <v>0</v>
      </c>
      <c r="Q236" s="29">
        <f>IF(D236="","",IFERROR(INDEX(Invoices!$S$5:$S$304,MATCH(D236,Invoices!$A$5:$A$304,0)),0))</f>
        <v>0</v>
      </c>
      <c r="S236" s="28">
        <f>IF(B236="","",TEXT(B236,"yyyy-mm"))</f>
        <v>0</v>
      </c>
      <c r="T236" s="49">
        <f>IF(B236="","",IF(N236&lt;&gt;"Yes","Unconfirmed - check it cleared",IF(O236&lt;&gt;"Yes","To reconcile",IF(AND(D236&lt;&gt;"",Q236&gt;0.004),"Invoice still has a balance","OK"))))</f>
        <v>0</v>
      </c>
    </row>
    <row r="237" spans="1:20">
      <c r="A237" s="46">
        <f>IF(B237="","","PM-"&amp;TEXT(ROW()-4,"0000"))</f>
        <v>0</v>
      </c>
      <c r="K237" s="29">
        <f>IF(B237="","",ROUND(IF(E237="",0,E237)-IF(J237="",0,J237),2))</f>
        <v>0</v>
      </c>
      <c r="L237" s="29">
        <f>IF(B237="","",ROUND(IF(E237="",0,E237)+IF(H237="",0,H237)+IF(I237="",0,I237)-IF(J237="",0,J237),2))</f>
        <v>0</v>
      </c>
      <c r="P237" s="29">
        <f>IF(D237="","",IFERROR(INDEX(Invoices!$O$5:$O$304,MATCH(D237,Invoices!$A$5:$A$304,0)),0))</f>
        <v>0</v>
      </c>
      <c r="Q237" s="29">
        <f>IF(D237="","",IFERROR(INDEX(Invoices!$S$5:$S$304,MATCH(D237,Invoices!$A$5:$A$304,0)),0))</f>
        <v>0</v>
      </c>
      <c r="S237" s="28">
        <f>IF(B237="","",TEXT(B237,"yyyy-mm"))</f>
        <v>0</v>
      </c>
      <c r="T237" s="49">
        <f>IF(B237="","",IF(N237&lt;&gt;"Yes","Unconfirmed - check it cleared",IF(O237&lt;&gt;"Yes","To reconcile",IF(AND(D237&lt;&gt;"",Q237&gt;0.004),"Invoice still has a balance","OK"))))</f>
        <v>0</v>
      </c>
    </row>
    <row r="238" spans="1:20">
      <c r="A238" s="46">
        <f>IF(B238="","","PM-"&amp;TEXT(ROW()-4,"0000"))</f>
        <v>0</v>
      </c>
      <c r="K238" s="29">
        <f>IF(B238="","",ROUND(IF(E238="",0,E238)-IF(J238="",0,J238),2))</f>
        <v>0</v>
      </c>
      <c r="L238" s="29">
        <f>IF(B238="","",ROUND(IF(E238="",0,E238)+IF(H238="",0,H238)+IF(I238="",0,I238)-IF(J238="",0,J238),2))</f>
        <v>0</v>
      </c>
      <c r="P238" s="29">
        <f>IF(D238="","",IFERROR(INDEX(Invoices!$O$5:$O$304,MATCH(D238,Invoices!$A$5:$A$304,0)),0))</f>
        <v>0</v>
      </c>
      <c r="Q238" s="29">
        <f>IF(D238="","",IFERROR(INDEX(Invoices!$S$5:$S$304,MATCH(D238,Invoices!$A$5:$A$304,0)),0))</f>
        <v>0</v>
      </c>
      <c r="S238" s="28">
        <f>IF(B238="","",TEXT(B238,"yyyy-mm"))</f>
        <v>0</v>
      </c>
      <c r="T238" s="49">
        <f>IF(B238="","",IF(N238&lt;&gt;"Yes","Unconfirmed - check it cleared",IF(O238&lt;&gt;"Yes","To reconcile",IF(AND(D238&lt;&gt;"",Q238&gt;0.004),"Invoice still has a balance","OK"))))</f>
        <v>0</v>
      </c>
    </row>
    <row r="239" spans="1:20">
      <c r="A239" s="46">
        <f>IF(B239="","","PM-"&amp;TEXT(ROW()-4,"0000"))</f>
        <v>0</v>
      </c>
      <c r="K239" s="29">
        <f>IF(B239="","",ROUND(IF(E239="",0,E239)-IF(J239="",0,J239),2))</f>
        <v>0</v>
      </c>
      <c r="L239" s="29">
        <f>IF(B239="","",ROUND(IF(E239="",0,E239)+IF(H239="",0,H239)+IF(I239="",0,I239)-IF(J239="",0,J239),2))</f>
        <v>0</v>
      </c>
      <c r="P239" s="29">
        <f>IF(D239="","",IFERROR(INDEX(Invoices!$O$5:$O$304,MATCH(D239,Invoices!$A$5:$A$304,0)),0))</f>
        <v>0</v>
      </c>
      <c r="Q239" s="29">
        <f>IF(D239="","",IFERROR(INDEX(Invoices!$S$5:$S$304,MATCH(D239,Invoices!$A$5:$A$304,0)),0))</f>
        <v>0</v>
      </c>
      <c r="S239" s="28">
        <f>IF(B239="","",TEXT(B239,"yyyy-mm"))</f>
        <v>0</v>
      </c>
      <c r="T239" s="49">
        <f>IF(B239="","",IF(N239&lt;&gt;"Yes","Unconfirmed - check it cleared",IF(O239&lt;&gt;"Yes","To reconcile",IF(AND(D239&lt;&gt;"",Q239&gt;0.004),"Invoice still has a balance","OK"))))</f>
        <v>0</v>
      </c>
    </row>
    <row r="240" spans="1:20">
      <c r="A240" s="46">
        <f>IF(B240="","","PM-"&amp;TEXT(ROW()-4,"0000"))</f>
        <v>0</v>
      </c>
      <c r="K240" s="29">
        <f>IF(B240="","",ROUND(IF(E240="",0,E240)-IF(J240="",0,J240),2))</f>
        <v>0</v>
      </c>
      <c r="L240" s="29">
        <f>IF(B240="","",ROUND(IF(E240="",0,E240)+IF(H240="",0,H240)+IF(I240="",0,I240)-IF(J240="",0,J240),2))</f>
        <v>0</v>
      </c>
      <c r="P240" s="29">
        <f>IF(D240="","",IFERROR(INDEX(Invoices!$O$5:$O$304,MATCH(D240,Invoices!$A$5:$A$304,0)),0))</f>
        <v>0</v>
      </c>
      <c r="Q240" s="29">
        <f>IF(D240="","",IFERROR(INDEX(Invoices!$S$5:$S$304,MATCH(D240,Invoices!$A$5:$A$304,0)),0))</f>
        <v>0</v>
      </c>
      <c r="S240" s="28">
        <f>IF(B240="","",TEXT(B240,"yyyy-mm"))</f>
        <v>0</v>
      </c>
      <c r="T240" s="49">
        <f>IF(B240="","",IF(N240&lt;&gt;"Yes","Unconfirmed - check it cleared",IF(O240&lt;&gt;"Yes","To reconcile",IF(AND(D240&lt;&gt;"",Q240&gt;0.004),"Invoice still has a balance","OK"))))</f>
        <v>0</v>
      </c>
    </row>
    <row r="241" spans="1:20">
      <c r="A241" s="46">
        <f>IF(B241="","","PM-"&amp;TEXT(ROW()-4,"0000"))</f>
        <v>0</v>
      </c>
      <c r="K241" s="29">
        <f>IF(B241="","",ROUND(IF(E241="",0,E241)-IF(J241="",0,J241),2))</f>
        <v>0</v>
      </c>
      <c r="L241" s="29">
        <f>IF(B241="","",ROUND(IF(E241="",0,E241)+IF(H241="",0,H241)+IF(I241="",0,I241)-IF(J241="",0,J241),2))</f>
        <v>0</v>
      </c>
      <c r="P241" s="29">
        <f>IF(D241="","",IFERROR(INDEX(Invoices!$O$5:$O$304,MATCH(D241,Invoices!$A$5:$A$304,0)),0))</f>
        <v>0</v>
      </c>
      <c r="Q241" s="29">
        <f>IF(D241="","",IFERROR(INDEX(Invoices!$S$5:$S$304,MATCH(D241,Invoices!$A$5:$A$304,0)),0))</f>
        <v>0</v>
      </c>
      <c r="S241" s="28">
        <f>IF(B241="","",TEXT(B241,"yyyy-mm"))</f>
        <v>0</v>
      </c>
      <c r="T241" s="49">
        <f>IF(B241="","",IF(N241&lt;&gt;"Yes","Unconfirmed - check it cleared",IF(O241&lt;&gt;"Yes","To reconcile",IF(AND(D241&lt;&gt;"",Q241&gt;0.004),"Invoice still has a balance","OK"))))</f>
        <v>0</v>
      </c>
    </row>
    <row r="242" spans="1:20">
      <c r="A242" s="46">
        <f>IF(B242="","","PM-"&amp;TEXT(ROW()-4,"0000"))</f>
        <v>0</v>
      </c>
      <c r="K242" s="29">
        <f>IF(B242="","",ROUND(IF(E242="",0,E242)-IF(J242="",0,J242),2))</f>
        <v>0</v>
      </c>
      <c r="L242" s="29">
        <f>IF(B242="","",ROUND(IF(E242="",0,E242)+IF(H242="",0,H242)+IF(I242="",0,I242)-IF(J242="",0,J242),2))</f>
        <v>0</v>
      </c>
      <c r="P242" s="29">
        <f>IF(D242="","",IFERROR(INDEX(Invoices!$O$5:$O$304,MATCH(D242,Invoices!$A$5:$A$304,0)),0))</f>
        <v>0</v>
      </c>
      <c r="Q242" s="29">
        <f>IF(D242="","",IFERROR(INDEX(Invoices!$S$5:$S$304,MATCH(D242,Invoices!$A$5:$A$304,0)),0))</f>
        <v>0</v>
      </c>
      <c r="S242" s="28">
        <f>IF(B242="","",TEXT(B242,"yyyy-mm"))</f>
        <v>0</v>
      </c>
      <c r="T242" s="49">
        <f>IF(B242="","",IF(N242&lt;&gt;"Yes","Unconfirmed - check it cleared",IF(O242&lt;&gt;"Yes","To reconcile",IF(AND(D242&lt;&gt;"",Q242&gt;0.004),"Invoice still has a balance","OK"))))</f>
        <v>0</v>
      </c>
    </row>
    <row r="243" spans="1:20">
      <c r="A243" s="46">
        <f>IF(B243="","","PM-"&amp;TEXT(ROW()-4,"0000"))</f>
        <v>0</v>
      </c>
      <c r="K243" s="29">
        <f>IF(B243="","",ROUND(IF(E243="",0,E243)-IF(J243="",0,J243),2))</f>
        <v>0</v>
      </c>
      <c r="L243" s="29">
        <f>IF(B243="","",ROUND(IF(E243="",0,E243)+IF(H243="",0,H243)+IF(I243="",0,I243)-IF(J243="",0,J243),2))</f>
        <v>0</v>
      </c>
      <c r="P243" s="29">
        <f>IF(D243="","",IFERROR(INDEX(Invoices!$O$5:$O$304,MATCH(D243,Invoices!$A$5:$A$304,0)),0))</f>
        <v>0</v>
      </c>
      <c r="Q243" s="29">
        <f>IF(D243="","",IFERROR(INDEX(Invoices!$S$5:$S$304,MATCH(D243,Invoices!$A$5:$A$304,0)),0))</f>
        <v>0</v>
      </c>
      <c r="S243" s="28">
        <f>IF(B243="","",TEXT(B243,"yyyy-mm"))</f>
        <v>0</v>
      </c>
      <c r="T243" s="49">
        <f>IF(B243="","",IF(N243&lt;&gt;"Yes","Unconfirmed - check it cleared",IF(O243&lt;&gt;"Yes","To reconcile",IF(AND(D243&lt;&gt;"",Q243&gt;0.004),"Invoice still has a balance","OK"))))</f>
        <v>0</v>
      </c>
    </row>
    <row r="244" spans="1:20">
      <c r="A244" s="46">
        <f>IF(B244="","","PM-"&amp;TEXT(ROW()-4,"0000"))</f>
        <v>0</v>
      </c>
      <c r="K244" s="29">
        <f>IF(B244="","",ROUND(IF(E244="",0,E244)-IF(J244="",0,J244),2))</f>
        <v>0</v>
      </c>
      <c r="L244" s="29">
        <f>IF(B244="","",ROUND(IF(E244="",0,E244)+IF(H244="",0,H244)+IF(I244="",0,I244)-IF(J244="",0,J244),2))</f>
        <v>0</v>
      </c>
      <c r="P244" s="29">
        <f>IF(D244="","",IFERROR(INDEX(Invoices!$O$5:$O$304,MATCH(D244,Invoices!$A$5:$A$304,0)),0))</f>
        <v>0</v>
      </c>
      <c r="Q244" s="29">
        <f>IF(D244="","",IFERROR(INDEX(Invoices!$S$5:$S$304,MATCH(D244,Invoices!$A$5:$A$304,0)),0))</f>
        <v>0</v>
      </c>
      <c r="S244" s="28">
        <f>IF(B244="","",TEXT(B244,"yyyy-mm"))</f>
        <v>0</v>
      </c>
      <c r="T244" s="49">
        <f>IF(B244="","",IF(N244&lt;&gt;"Yes","Unconfirmed - check it cleared",IF(O244&lt;&gt;"Yes","To reconcile",IF(AND(D244&lt;&gt;"",Q244&gt;0.004),"Invoice still has a balance","OK"))))</f>
        <v>0</v>
      </c>
    </row>
    <row r="245" spans="1:20">
      <c r="A245" s="46">
        <f>IF(B245="","","PM-"&amp;TEXT(ROW()-4,"0000"))</f>
        <v>0</v>
      </c>
      <c r="K245" s="29">
        <f>IF(B245="","",ROUND(IF(E245="",0,E245)-IF(J245="",0,J245),2))</f>
        <v>0</v>
      </c>
      <c r="L245" s="29">
        <f>IF(B245="","",ROUND(IF(E245="",0,E245)+IF(H245="",0,H245)+IF(I245="",0,I245)-IF(J245="",0,J245),2))</f>
        <v>0</v>
      </c>
      <c r="P245" s="29">
        <f>IF(D245="","",IFERROR(INDEX(Invoices!$O$5:$O$304,MATCH(D245,Invoices!$A$5:$A$304,0)),0))</f>
        <v>0</v>
      </c>
      <c r="Q245" s="29">
        <f>IF(D245="","",IFERROR(INDEX(Invoices!$S$5:$S$304,MATCH(D245,Invoices!$A$5:$A$304,0)),0))</f>
        <v>0</v>
      </c>
      <c r="S245" s="28">
        <f>IF(B245="","",TEXT(B245,"yyyy-mm"))</f>
        <v>0</v>
      </c>
      <c r="T245" s="49">
        <f>IF(B245="","",IF(N245&lt;&gt;"Yes","Unconfirmed - check it cleared",IF(O245&lt;&gt;"Yes","To reconcile",IF(AND(D245&lt;&gt;"",Q245&gt;0.004),"Invoice still has a balance","OK"))))</f>
        <v>0</v>
      </c>
    </row>
    <row r="246" spans="1:20">
      <c r="A246" s="46">
        <f>IF(B246="","","PM-"&amp;TEXT(ROW()-4,"0000"))</f>
        <v>0</v>
      </c>
      <c r="K246" s="29">
        <f>IF(B246="","",ROUND(IF(E246="",0,E246)-IF(J246="",0,J246),2))</f>
        <v>0</v>
      </c>
      <c r="L246" s="29">
        <f>IF(B246="","",ROUND(IF(E246="",0,E246)+IF(H246="",0,H246)+IF(I246="",0,I246)-IF(J246="",0,J246),2))</f>
        <v>0</v>
      </c>
      <c r="P246" s="29">
        <f>IF(D246="","",IFERROR(INDEX(Invoices!$O$5:$O$304,MATCH(D246,Invoices!$A$5:$A$304,0)),0))</f>
        <v>0</v>
      </c>
      <c r="Q246" s="29">
        <f>IF(D246="","",IFERROR(INDEX(Invoices!$S$5:$S$304,MATCH(D246,Invoices!$A$5:$A$304,0)),0))</f>
        <v>0</v>
      </c>
      <c r="S246" s="28">
        <f>IF(B246="","",TEXT(B246,"yyyy-mm"))</f>
        <v>0</v>
      </c>
      <c r="T246" s="49">
        <f>IF(B246="","",IF(N246&lt;&gt;"Yes","Unconfirmed - check it cleared",IF(O246&lt;&gt;"Yes","To reconcile",IF(AND(D246&lt;&gt;"",Q246&gt;0.004),"Invoice still has a balance","OK"))))</f>
        <v>0</v>
      </c>
    </row>
    <row r="247" spans="1:20">
      <c r="A247" s="46">
        <f>IF(B247="","","PM-"&amp;TEXT(ROW()-4,"0000"))</f>
        <v>0</v>
      </c>
      <c r="K247" s="29">
        <f>IF(B247="","",ROUND(IF(E247="",0,E247)-IF(J247="",0,J247),2))</f>
        <v>0</v>
      </c>
      <c r="L247" s="29">
        <f>IF(B247="","",ROUND(IF(E247="",0,E247)+IF(H247="",0,H247)+IF(I247="",0,I247)-IF(J247="",0,J247),2))</f>
        <v>0</v>
      </c>
      <c r="P247" s="29">
        <f>IF(D247="","",IFERROR(INDEX(Invoices!$O$5:$O$304,MATCH(D247,Invoices!$A$5:$A$304,0)),0))</f>
        <v>0</v>
      </c>
      <c r="Q247" s="29">
        <f>IF(D247="","",IFERROR(INDEX(Invoices!$S$5:$S$304,MATCH(D247,Invoices!$A$5:$A$304,0)),0))</f>
        <v>0</v>
      </c>
      <c r="S247" s="28">
        <f>IF(B247="","",TEXT(B247,"yyyy-mm"))</f>
        <v>0</v>
      </c>
      <c r="T247" s="49">
        <f>IF(B247="","",IF(N247&lt;&gt;"Yes","Unconfirmed - check it cleared",IF(O247&lt;&gt;"Yes","To reconcile",IF(AND(D247&lt;&gt;"",Q247&gt;0.004),"Invoice still has a balance","OK"))))</f>
        <v>0</v>
      </c>
    </row>
    <row r="248" spans="1:20">
      <c r="A248" s="46">
        <f>IF(B248="","","PM-"&amp;TEXT(ROW()-4,"0000"))</f>
        <v>0</v>
      </c>
      <c r="K248" s="29">
        <f>IF(B248="","",ROUND(IF(E248="",0,E248)-IF(J248="",0,J248),2))</f>
        <v>0</v>
      </c>
      <c r="L248" s="29">
        <f>IF(B248="","",ROUND(IF(E248="",0,E248)+IF(H248="",0,H248)+IF(I248="",0,I248)-IF(J248="",0,J248),2))</f>
        <v>0</v>
      </c>
      <c r="P248" s="29">
        <f>IF(D248="","",IFERROR(INDEX(Invoices!$O$5:$O$304,MATCH(D248,Invoices!$A$5:$A$304,0)),0))</f>
        <v>0</v>
      </c>
      <c r="Q248" s="29">
        <f>IF(D248="","",IFERROR(INDEX(Invoices!$S$5:$S$304,MATCH(D248,Invoices!$A$5:$A$304,0)),0))</f>
        <v>0</v>
      </c>
      <c r="S248" s="28">
        <f>IF(B248="","",TEXT(B248,"yyyy-mm"))</f>
        <v>0</v>
      </c>
      <c r="T248" s="49">
        <f>IF(B248="","",IF(N248&lt;&gt;"Yes","Unconfirmed - check it cleared",IF(O248&lt;&gt;"Yes","To reconcile",IF(AND(D248&lt;&gt;"",Q248&gt;0.004),"Invoice still has a balance","OK"))))</f>
        <v>0</v>
      </c>
    </row>
    <row r="249" spans="1:20">
      <c r="A249" s="46">
        <f>IF(B249="","","PM-"&amp;TEXT(ROW()-4,"0000"))</f>
        <v>0</v>
      </c>
      <c r="K249" s="29">
        <f>IF(B249="","",ROUND(IF(E249="",0,E249)-IF(J249="",0,J249),2))</f>
        <v>0</v>
      </c>
      <c r="L249" s="29">
        <f>IF(B249="","",ROUND(IF(E249="",0,E249)+IF(H249="",0,H249)+IF(I249="",0,I249)-IF(J249="",0,J249),2))</f>
        <v>0</v>
      </c>
      <c r="P249" s="29">
        <f>IF(D249="","",IFERROR(INDEX(Invoices!$O$5:$O$304,MATCH(D249,Invoices!$A$5:$A$304,0)),0))</f>
        <v>0</v>
      </c>
      <c r="Q249" s="29">
        <f>IF(D249="","",IFERROR(INDEX(Invoices!$S$5:$S$304,MATCH(D249,Invoices!$A$5:$A$304,0)),0))</f>
        <v>0</v>
      </c>
      <c r="S249" s="28">
        <f>IF(B249="","",TEXT(B249,"yyyy-mm"))</f>
        <v>0</v>
      </c>
      <c r="T249" s="49">
        <f>IF(B249="","",IF(N249&lt;&gt;"Yes","Unconfirmed - check it cleared",IF(O249&lt;&gt;"Yes","To reconcile",IF(AND(D249&lt;&gt;"",Q249&gt;0.004),"Invoice still has a balance","OK"))))</f>
        <v>0</v>
      </c>
    </row>
    <row r="250" spans="1:20">
      <c r="A250" s="46">
        <f>IF(B250="","","PM-"&amp;TEXT(ROW()-4,"0000"))</f>
        <v>0</v>
      </c>
      <c r="K250" s="29">
        <f>IF(B250="","",ROUND(IF(E250="",0,E250)-IF(J250="",0,J250),2))</f>
        <v>0</v>
      </c>
      <c r="L250" s="29">
        <f>IF(B250="","",ROUND(IF(E250="",0,E250)+IF(H250="",0,H250)+IF(I250="",0,I250)-IF(J250="",0,J250),2))</f>
        <v>0</v>
      </c>
      <c r="P250" s="29">
        <f>IF(D250="","",IFERROR(INDEX(Invoices!$O$5:$O$304,MATCH(D250,Invoices!$A$5:$A$304,0)),0))</f>
        <v>0</v>
      </c>
      <c r="Q250" s="29">
        <f>IF(D250="","",IFERROR(INDEX(Invoices!$S$5:$S$304,MATCH(D250,Invoices!$A$5:$A$304,0)),0))</f>
        <v>0</v>
      </c>
      <c r="S250" s="28">
        <f>IF(B250="","",TEXT(B250,"yyyy-mm"))</f>
        <v>0</v>
      </c>
      <c r="T250" s="49">
        <f>IF(B250="","",IF(N250&lt;&gt;"Yes","Unconfirmed - check it cleared",IF(O250&lt;&gt;"Yes","To reconcile",IF(AND(D250&lt;&gt;"",Q250&gt;0.004),"Invoice still has a balance","OK"))))</f>
        <v>0</v>
      </c>
    </row>
    <row r="251" spans="1:20">
      <c r="A251" s="46">
        <f>IF(B251="","","PM-"&amp;TEXT(ROW()-4,"0000"))</f>
        <v>0</v>
      </c>
      <c r="K251" s="29">
        <f>IF(B251="","",ROUND(IF(E251="",0,E251)-IF(J251="",0,J251),2))</f>
        <v>0</v>
      </c>
      <c r="L251" s="29">
        <f>IF(B251="","",ROUND(IF(E251="",0,E251)+IF(H251="",0,H251)+IF(I251="",0,I251)-IF(J251="",0,J251),2))</f>
        <v>0</v>
      </c>
      <c r="P251" s="29">
        <f>IF(D251="","",IFERROR(INDEX(Invoices!$O$5:$O$304,MATCH(D251,Invoices!$A$5:$A$304,0)),0))</f>
        <v>0</v>
      </c>
      <c r="Q251" s="29">
        <f>IF(D251="","",IFERROR(INDEX(Invoices!$S$5:$S$304,MATCH(D251,Invoices!$A$5:$A$304,0)),0))</f>
        <v>0</v>
      </c>
      <c r="S251" s="28">
        <f>IF(B251="","",TEXT(B251,"yyyy-mm"))</f>
        <v>0</v>
      </c>
      <c r="T251" s="49">
        <f>IF(B251="","",IF(N251&lt;&gt;"Yes","Unconfirmed - check it cleared",IF(O251&lt;&gt;"Yes","To reconcile",IF(AND(D251&lt;&gt;"",Q251&gt;0.004),"Invoice still has a balance","OK"))))</f>
        <v>0</v>
      </c>
    </row>
    <row r="252" spans="1:20">
      <c r="A252" s="46">
        <f>IF(B252="","","PM-"&amp;TEXT(ROW()-4,"0000"))</f>
        <v>0</v>
      </c>
      <c r="K252" s="29">
        <f>IF(B252="","",ROUND(IF(E252="",0,E252)-IF(J252="",0,J252),2))</f>
        <v>0</v>
      </c>
      <c r="L252" s="29">
        <f>IF(B252="","",ROUND(IF(E252="",0,E252)+IF(H252="",0,H252)+IF(I252="",0,I252)-IF(J252="",0,J252),2))</f>
        <v>0</v>
      </c>
      <c r="P252" s="29">
        <f>IF(D252="","",IFERROR(INDEX(Invoices!$O$5:$O$304,MATCH(D252,Invoices!$A$5:$A$304,0)),0))</f>
        <v>0</v>
      </c>
      <c r="Q252" s="29">
        <f>IF(D252="","",IFERROR(INDEX(Invoices!$S$5:$S$304,MATCH(D252,Invoices!$A$5:$A$304,0)),0))</f>
        <v>0</v>
      </c>
      <c r="S252" s="28">
        <f>IF(B252="","",TEXT(B252,"yyyy-mm"))</f>
        <v>0</v>
      </c>
      <c r="T252" s="49">
        <f>IF(B252="","",IF(N252&lt;&gt;"Yes","Unconfirmed - check it cleared",IF(O252&lt;&gt;"Yes","To reconcile",IF(AND(D252&lt;&gt;"",Q252&gt;0.004),"Invoice still has a balance","OK"))))</f>
        <v>0</v>
      </c>
    </row>
    <row r="253" spans="1:20">
      <c r="A253" s="46">
        <f>IF(B253="","","PM-"&amp;TEXT(ROW()-4,"0000"))</f>
        <v>0</v>
      </c>
      <c r="K253" s="29">
        <f>IF(B253="","",ROUND(IF(E253="",0,E253)-IF(J253="",0,J253),2))</f>
        <v>0</v>
      </c>
      <c r="L253" s="29">
        <f>IF(B253="","",ROUND(IF(E253="",0,E253)+IF(H253="",0,H253)+IF(I253="",0,I253)-IF(J253="",0,J253),2))</f>
        <v>0</v>
      </c>
      <c r="P253" s="29">
        <f>IF(D253="","",IFERROR(INDEX(Invoices!$O$5:$O$304,MATCH(D253,Invoices!$A$5:$A$304,0)),0))</f>
        <v>0</v>
      </c>
      <c r="Q253" s="29">
        <f>IF(D253="","",IFERROR(INDEX(Invoices!$S$5:$S$304,MATCH(D253,Invoices!$A$5:$A$304,0)),0))</f>
        <v>0</v>
      </c>
      <c r="S253" s="28">
        <f>IF(B253="","",TEXT(B253,"yyyy-mm"))</f>
        <v>0</v>
      </c>
      <c r="T253" s="49">
        <f>IF(B253="","",IF(N253&lt;&gt;"Yes","Unconfirmed - check it cleared",IF(O253&lt;&gt;"Yes","To reconcile",IF(AND(D253&lt;&gt;"",Q253&gt;0.004),"Invoice still has a balance","OK"))))</f>
        <v>0</v>
      </c>
    </row>
    <row r="254" spans="1:20">
      <c r="A254" s="46">
        <f>IF(B254="","","PM-"&amp;TEXT(ROW()-4,"0000"))</f>
        <v>0</v>
      </c>
      <c r="K254" s="29">
        <f>IF(B254="","",ROUND(IF(E254="",0,E254)-IF(J254="",0,J254),2))</f>
        <v>0</v>
      </c>
      <c r="L254" s="29">
        <f>IF(B254="","",ROUND(IF(E254="",0,E254)+IF(H254="",0,H254)+IF(I254="",0,I254)-IF(J254="",0,J254),2))</f>
        <v>0</v>
      </c>
      <c r="P254" s="29">
        <f>IF(D254="","",IFERROR(INDEX(Invoices!$O$5:$O$304,MATCH(D254,Invoices!$A$5:$A$304,0)),0))</f>
        <v>0</v>
      </c>
      <c r="Q254" s="29">
        <f>IF(D254="","",IFERROR(INDEX(Invoices!$S$5:$S$304,MATCH(D254,Invoices!$A$5:$A$304,0)),0))</f>
        <v>0</v>
      </c>
      <c r="S254" s="28">
        <f>IF(B254="","",TEXT(B254,"yyyy-mm"))</f>
        <v>0</v>
      </c>
      <c r="T254" s="49">
        <f>IF(B254="","",IF(N254&lt;&gt;"Yes","Unconfirmed - check it cleared",IF(O254&lt;&gt;"Yes","To reconcile",IF(AND(D254&lt;&gt;"",Q254&gt;0.004),"Invoice still has a balance","OK"))))</f>
        <v>0</v>
      </c>
    </row>
    <row r="255" spans="1:20">
      <c r="A255" s="46">
        <f>IF(B255="","","PM-"&amp;TEXT(ROW()-4,"0000"))</f>
        <v>0</v>
      </c>
      <c r="K255" s="29">
        <f>IF(B255="","",ROUND(IF(E255="",0,E255)-IF(J255="",0,J255),2))</f>
        <v>0</v>
      </c>
      <c r="L255" s="29">
        <f>IF(B255="","",ROUND(IF(E255="",0,E255)+IF(H255="",0,H255)+IF(I255="",0,I255)-IF(J255="",0,J255),2))</f>
        <v>0</v>
      </c>
      <c r="P255" s="29">
        <f>IF(D255="","",IFERROR(INDEX(Invoices!$O$5:$O$304,MATCH(D255,Invoices!$A$5:$A$304,0)),0))</f>
        <v>0</v>
      </c>
      <c r="Q255" s="29">
        <f>IF(D255="","",IFERROR(INDEX(Invoices!$S$5:$S$304,MATCH(D255,Invoices!$A$5:$A$304,0)),0))</f>
        <v>0</v>
      </c>
      <c r="S255" s="28">
        <f>IF(B255="","",TEXT(B255,"yyyy-mm"))</f>
        <v>0</v>
      </c>
      <c r="T255" s="49">
        <f>IF(B255="","",IF(N255&lt;&gt;"Yes","Unconfirmed - check it cleared",IF(O255&lt;&gt;"Yes","To reconcile",IF(AND(D255&lt;&gt;"",Q255&gt;0.004),"Invoice still has a balance","OK"))))</f>
        <v>0</v>
      </c>
    </row>
    <row r="256" spans="1:20">
      <c r="A256" s="46">
        <f>IF(B256="","","PM-"&amp;TEXT(ROW()-4,"0000"))</f>
        <v>0</v>
      </c>
      <c r="K256" s="29">
        <f>IF(B256="","",ROUND(IF(E256="",0,E256)-IF(J256="",0,J256),2))</f>
        <v>0</v>
      </c>
      <c r="L256" s="29">
        <f>IF(B256="","",ROUND(IF(E256="",0,E256)+IF(H256="",0,H256)+IF(I256="",0,I256)-IF(J256="",0,J256),2))</f>
        <v>0</v>
      </c>
      <c r="P256" s="29">
        <f>IF(D256="","",IFERROR(INDEX(Invoices!$O$5:$O$304,MATCH(D256,Invoices!$A$5:$A$304,0)),0))</f>
        <v>0</v>
      </c>
      <c r="Q256" s="29">
        <f>IF(D256="","",IFERROR(INDEX(Invoices!$S$5:$S$304,MATCH(D256,Invoices!$A$5:$A$304,0)),0))</f>
        <v>0</v>
      </c>
      <c r="S256" s="28">
        <f>IF(B256="","",TEXT(B256,"yyyy-mm"))</f>
        <v>0</v>
      </c>
      <c r="T256" s="49">
        <f>IF(B256="","",IF(N256&lt;&gt;"Yes","Unconfirmed - check it cleared",IF(O256&lt;&gt;"Yes","To reconcile",IF(AND(D256&lt;&gt;"",Q256&gt;0.004),"Invoice still has a balance","OK"))))</f>
        <v>0</v>
      </c>
    </row>
    <row r="257" spans="1:20">
      <c r="A257" s="46">
        <f>IF(B257="","","PM-"&amp;TEXT(ROW()-4,"0000"))</f>
        <v>0</v>
      </c>
      <c r="K257" s="29">
        <f>IF(B257="","",ROUND(IF(E257="",0,E257)-IF(J257="",0,J257),2))</f>
        <v>0</v>
      </c>
      <c r="L257" s="29">
        <f>IF(B257="","",ROUND(IF(E257="",0,E257)+IF(H257="",0,H257)+IF(I257="",0,I257)-IF(J257="",0,J257),2))</f>
        <v>0</v>
      </c>
      <c r="P257" s="29">
        <f>IF(D257="","",IFERROR(INDEX(Invoices!$O$5:$O$304,MATCH(D257,Invoices!$A$5:$A$304,0)),0))</f>
        <v>0</v>
      </c>
      <c r="Q257" s="29">
        <f>IF(D257="","",IFERROR(INDEX(Invoices!$S$5:$S$304,MATCH(D257,Invoices!$A$5:$A$304,0)),0))</f>
        <v>0</v>
      </c>
      <c r="S257" s="28">
        <f>IF(B257="","",TEXT(B257,"yyyy-mm"))</f>
        <v>0</v>
      </c>
      <c r="T257" s="49">
        <f>IF(B257="","",IF(N257&lt;&gt;"Yes","Unconfirmed - check it cleared",IF(O257&lt;&gt;"Yes","To reconcile",IF(AND(D257&lt;&gt;"",Q257&gt;0.004),"Invoice still has a balance","OK"))))</f>
        <v>0</v>
      </c>
    </row>
    <row r="258" spans="1:20">
      <c r="A258" s="46">
        <f>IF(B258="","","PM-"&amp;TEXT(ROW()-4,"0000"))</f>
        <v>0</v>
      </c>
      <c r="K258" s="29">
        <f>IF(B258="","",ROUND(IF(E258="",0,E258)-IF(J258="",0,J258),2))</f>
        <v>0</v>
      </c>
      <c r="L258" s="29">
        <f>IF(B258="","",ROUND(IF(E258="",0,E258)+IF(H258="",0,H258)+IF(I258="",0,I258)-IF(J258="",0,J258),2))</f>
        <v>0</v>
      </c>
      <c r="P258" s="29">
        <f>IF(D258="","",IFERROR(INDEX(Invoices!$O$5:$O$304,MATCH(D258,Invoices!$A$5:$A$304,0)),0))</f>
        <v>0</v>
      </c>
      <c r="Q258" s="29">
        <f>IF(D258="","",IFERROR(INDEX(Invoices!$S$5:$S$304,MATCH(D258,Invoices!$A$5:$A$304,0)),0))</f>
        <v>0</v>
      </c>
      <c r="S258" s="28">
        <f>IF(B258="","",TEXT(B258,"yyyy-mm"))</f>
        <v>0</v>
      </c>
      <c r="T258" s="49">
        <f>IF(B258="","",IF(N258&lt;&gt;"Yes","Unconfirmed - check it cleared",IF(O258&lt;&gt;"Yes","To reconcile",IF(AND(D258&lt;&gt;"",Q258&gt;0.004),"Invoice still has a balance","OK"))))</f>
        <v>0</v>
      </c>
    </row>
    <row r="259" spans="1:20">
      <c r="A259" s="46">
        <f>IF(B259="","","PM-"&amp;TEXT(ROW()-4,"0000"))</f>
        <v>0</v>
      </c>
      <c r="K259" s="29">
        <f>IF(B259="","",ROUND(IF(E259="",0,E259)-IF(J259="",0,J259),2))</f>
        <v>0</v>
      </c>
      <c r="L259" s="29">
        <f>IF(B259="","",ROUND(IF(E259="",0,E259)+IF(H259="",0,H259)+IF(I259="",0,I259)-IF(J259="",0,J259),2))</f>
        <v>0</v>
      </c>
      <c r="P259" s="29">
        <f>IF(D259="","",IFERROR(INDEX(Invoices!$O$5:$O$304,MATCH(D259,Invoices!$A$5:$A$304,0)),0))</f>
        <v>0</v>
      </c>
      <c r="Q259" s="29">
        <f>IF(D259="","",IFERROR(INDEX(Invoices!$S$5:$S$304,MATCH(D259,Invoices!$A$5:$A$304,0)),0))</f>
        <v>0</v>
      </c>
      <c r="S259" s="28">
        <f>IF(B259="","",TEXT(B259,"yyyy-mm"))</f>
        <v>0</v>
      </c>
      <c r="T259" s="49">
        <f>IF(B259="","",IF(N259&lt;&gt;"Yes","Unconfirmed - check it cleared",IF(O259&lt;&gt;"Yes","To reconcile",IF(AND(D259&lt;&gt;"",Q259&gt;0.004),"Invoice still has a balance","OK"))))</f>
        <v>0</v>
      </c>
    </row>
    <row r="260" spans="1:20">
      <c r="A260" s="46">
        <f>IF(B260="","","PM-"&amp;TEXT(ROW()-4,"0000"))</f>
        <v>0</v>
      </c>
      <c r="K260" s="29">
        <f>IF(B260="","",ROUND(IF(E260="",0,E260)-IF(J260="",0,J260),2))</f>
        <v>0</v>
      </c>
      <c r="L260" s="29">
        <f>IF(B260="","",ROUND(IF(E260="",0,E260)+IF(H260="",0,H260)+IF(I260="",0,I260)-IF(J260="",0,J260),2))</f>
        <v>0</v>
      </c>
      <c r="P260" s="29">
        <f>IF(D260="","",IFERROR(INDEX(Invoices!$O$5:$O$304,MATCH(D260,Invoices!$A$5:$A$304,0)),0))</f>
        <v>0</v>
      </c>
      <c r="Q260" s="29">
        <f>IF(D260="","",IFERROR(INDEX(Invoices!$S$5:$S$304,MATCH(D260,Invoices!$A$5:$A$304,0)),0))</f>
        <v>0</v>
      </c>
      <c r="S260" s="28">
        <f>IF(B260="","",TEXT(B260,"yyyy-mm"))</f>
        <v>0</v>
      </c>
      <c r="T260" s="49">
        <f>IF(B260="","",IF(N260&lt;&gt;"Yes","Unconfirmed - check it cleared",IF(O260&lt;&gt;"Yes","To reconcile",IF(AND(D260&lt;&gt;"",Q260&gt;0.004),"Invoice still has a balance","OK"))))</f>
        <v>0</v>
      </c>
    </row>
    <row r="261" spans="1:20">
      <c r="A261" s="46">
        <f>IF(B261="","","PM-"&amp;TEXT(ROW()-4,"0000"))</f>
        <v>0</v>
      </c>
      <c r="K261" s="29">
        <f>IF(B261="","",ROUND(IF(E261="",0,E261)-IF(J261="",0,J261),2))</f>
        <v>0</v>
      </c>
      <c r="L261" s="29">
        <f>IF(B261="","",ROUND(IF(E261="",0,E261)+IF(H261="",0,H261)+IF(I261="",0,I261)-IF(J261="",0,J261),2))</f>
        <v>0</v>
      </c>
      <c r="P261" s="29">
        <f>IF(D261="","",IFERROR(INDEX(Invoices!$O$5:$O$304,MATCH(D261,Invoices!$A$5:$A$304,0)),0))</f>
        <v>0</v>
      </c>
      <c r="Q261" s="29">
        <f>IF(D261="","",IFERROR(INDEX(Invoices!$S$5:$S$304,MATCH(D261,Invoices!$A$5:$A$304,0)),0))</f>
        <v>0</v>
      </c>
      <c r="S261" s="28">
        <f>IF(B261="","",TEXT(B261,"yyyy-mm"))</f>
        <v>0</v>
      </c>
      <c r="T261" s="49">
        <f>IF(B261="","",IF(N261&lt;&gt;"Yes","Unconfirmed - check it cleared",IF(O261&lt;&gt;"Yes","To reconcile",IF(AND(D261&lt;&gt;"",Q261&gt;0.004),"Invoice still has a balance","OK"))))</f>
        <v>0</v>
      </c>
    </row>
    <row r="262" spans="1:20">
      <c r="A262" s="46">
        <f>IF(B262="","","PM-"&amp;TEXT(ROW()-4,"0000"))</f>
        <v>0</v>
      </c>
      <c r="K262" s="29">
        <f>IF(B262="","",ROUND(IF(E262="",0,E262)-IF(J262="",0,J262),2))</f>
        <v>0</v>
      </c>
      <c r="L262" s="29">
        <f>IF(B262="","",ROUND(IF(E262="",0,E262)+IF(H262="",0,H262)+IF(I262="",0,I262)-IF(J262="",0,J262),2))</f>
        <v>0</v>
      </c>
      <c r="P262" s="29">
        <f>IF(D262="","",IFERROR(INDEX(Invoices!$O$5:$O$304,MATCH(D262,Invoices!$A$5:$A$304,0)),0))</f>
        <v>0</v>
      </c>
      <c r="Q262" s="29">
        <f>IF(D262="","",IFERROR(INDEX(Invoices!$S$5:$S$304,MATCH(D262,Invoices!$A$5:$A$304,0)),0))</f>
        <v>0</v>
      </c>
      <c r="S262" s="28">
        <f>IF(B262="","",TEXT(B262,"yyyy-mm"))</f>
        <v>0</v>
      </c>
      <c r="T262" s="49">
        <f>IF(B262="","",IF(N262&lt;&gt;"Yes","Unconfirmed - check it cleared",IF(O262&lt;&gt;"Yes","To reconcile",IF(AND(D262&lt;&gt;"",Q262&gt;0.004),"Invoice still has a balance","OK"))))</f>
        <v>0</v>
      </c>
    </row>
    <row r="263" spans="1:20">
      <c r="A263" s="46">
        <f>IF(B263="","","PM-"&amp;TEXT(ROW()-4,"0000"))</f>
        <v>0</v>
      </c>
      <c r="K263" s="29">
        <f>IF(B263="","",ROUND(IF(E263="",0,E263)-IF(J263="",0,J263),2))</f>
        <v>0</v>
      </c>
      <c r="L263" s="29">
        <f>IF(B263="","",ROUND(IF(E263="",0,E263)+IF(H263="",0,H263)+IF(I263="",0,I263)-IF(J263="",0,J263),2))</f>
        <v>0</v>
      </c>
      <c r="P263" s="29">
        <f>IF(D263="","",IFERROR(INDEX(Invoices!$O$5:$O$304,MATCH(D263,Invoices!$A$5:$A$304,0)),0))</f>
        <v>0</v>
      </c>
      <c r="Q263" s="29">
        <f>IF(D263="","",IFERROR(INDEX(Invoices!$S$5:$S$304,MATCH(D263,Invoices!$A$5:$A$304,0)),0))</f>
        <v>0</v>
      </c>
      <c r="S263" s="28">
        <f>IF(B263="","",TEXT(B263,"yyyy-mm"))</f>
        <v>0</v>
      </c>
      <c r="T263" s="49">
        <f>IF(B263="","",IF(N263&lt;&gt;"Yes","Unconfirmed - check it cleared",IF(O263&lt;&gt;"Yes","To reconcile",IF(AND(D263&lt;&gt;"",Q263&gt;0.004),"Invoice still has a balance","OK"))))</f>
        <v>0</v>
      </c>
    </row>
    <row r="264" spans="1:20">
      <c r="A264" s="46">
        <f>IF(B264="","","PM-"&amp;TEXT(ROW()-4,"0000"))</f>
        <v>0</v>
      </c>
      <c r="K264" s="29">
        <f>IF(B264="","",ROUND(IF(E264="",0,E264)-IF(J264="",0,J264),2))</f>
        <v>0</v>
      </c>
      <c r="L264" s="29">
        <f>IF(B264="","",ROUND(IF(E264="",0,E264)+IF(H264="",0,H264)+IF(I264="",0,I264)-IF(J264="",0,J264),2))</f>
        <v>0</v>
      </c>
      <c r="P264" s="29">
        <f>IF(D264="","",IFERROR(INDEX(Invoices!$O$5:$O$304,MATCH(D264,Invoices!$A$5:$A$304,0)),0))</f>
        <v>0</v>
      </c>
      <c r="Q264" s="29">
        <f>IF(D264="","",IFERROR(INDEX(Invoices!$S$5:$S$304,MATCH(D264,Invoices!$A$5:$A$304,0)),0))</f>
        <v>0</v>
      </c>
      <c r="S264" s="28">
        <f>IF(B264="","",TEXT(B264,"yyyy-mm"))</f>
        <v>0</v>
      </c>
      <c r="T264" s="49">
        <f>IF(B264="","",IF(N264&lt;&gt;"Yes","Unconfirmed - check it cleared",IF(O264&lt;&gt;"Yes","To reconcile",IF(AND(D264&lt;&gt;"",Q264&gt;0.004),"Invoice still has a balance","OK"))))</f>
        <v>0</v>
      </c>
    </row>
    <row r="265" spans="1:20">
      <c r="A265" s="46">
        <f>IF(B265="","","PM-"&amp;TEXT(ROW()-4,"0000"))</f>
        <v>0</v>
      </c>
      <c r="K265" s="29">
        <f>IF(B265="","",ROUND(IF(E265="",0,E265)-IF(J265="",0,J265),2))</f>
        <v>0</v>
      </c>
      <c r="L265" s="29">
        <f>IF(B265="","",ROUND(IF(E265="",0,E265)+IF(H265="",0,H265)+IF(I265="",0,I265)-IF(J265="",0,J265),2))</f>
        <v>0</v>
      </c>
      <c r="P265" s="29">
        <f>IF(D265="","",IFERROR(INDEX(Invoices!$O$5:$O$304,MATCH(D265,Invoices!$A$5:$A$304,0)),0))</f>
        <v>0</v>
      </c>
      <c r="Q265" s="29">
        <f>IF(D265="","",IFERROR(INDEX(Invoices!$S$5:$S$304,MATCH(D265,Invoices!$A$5:$A$304,0)),0))</f>
        <v>0</v>
      </c>
      <c r="S265" s="28">
        <f>IF(B265="","",TEXT(B265,"yyyy-mm"))</f>
        <v>0</v>
      </c>
      <c r="T265" s="49">
        <f>IF(B265="","",IF(N265&lt;&gt;"Yes","Unconfirmed - check it cleared",IF(O265&lt;&gt;"Yes","To reconcile",IF(AND(D265&lt;&gt;"",Q265&gt;0.004),"Invoice still has a balance","OK"))))</f>
        <v>0</v>
      </c>
    </row>
    <row r="266" spans="1:20">
      <c r="A266" s="46">
        <f>IF(B266="","","PM-"&amp;TEXT(ROW()-4,"0000"))</f>
        <v>0</v>
      </c>
      <c r="K266" s="29">
        <f>IF(B266="","",ROUND(IF(E266="",0,E266)-IF(J266="",0,J266),2))</f>
        <v>0</v>
      </c>
      <c r="L266" s="29">
        <f>IF(B266="","",ROUND(IF(E266="",0,E266)+IF(H266="",0,H266)+IF(I266="",0,I266)-IF(J266="",0,J266),2))</f>
        <v>0</v>
      </c>
      <c r="P266" s="29">
        <f>IF(D266="","",IFERROR(INDEX(Invoices!$O$5:$O$304,MATCH(D266,Invoices!$A$5:$A$304,0)),0))</f>
        <v>0</v>
      </c>
      <c r="Q266" s="29">
        <f>IF(D266="","",IFERROR(INDEX(Invoices!$S$5:$S$304,MATCH(D266,Invoices!$A$5:$A$304,0)),0))</f>
        <v>0</v>
      </c>
      <c r="S266" s="28">
        <f>IF(B266="","",TEXT(B266,"yyyy-mm"))</f>
        <v>0</v>
      </c>
      <c r="T266" s="49">
        <f>IF(B266="","",IF(N266&lt;&gt;"Yes","Unconfirmed - check it cleared",IF(O266&lt;&gt;"Yes","To reconcile",IF(AND(D266&lt;&gt;"",Q266&gt;0.004),"Invoice still has a balance","OK"))))</f>
        <v>0</v>
      </c>
    </row>
    <row r="267" spans="1:20">
      <c r="A267" s="46">
        <f>IF(B267="","","PM-"&amp;TEXT(ROW()-4,"0000"))</f>
        <v>0</v>
      </c>
      <c r="K267" s="29">
        <f>IF(B267="","",ROUND(IF(E267="",0,E267)-IF(J267="",0,J267),2))</f>
        <v>0</v>
      </c>
      <c r="L267" s="29">
        <f>IF(B267="","",ROUND(IF(E267="",0,E267)+IF(H267="",0,H267)+IF(I267="",0,I267)-IF(J267="",0,J267),2))</f>
        <v>0</v>
      </c>
      <c r="P267" s="29">
        <f>IF(D267="","",IFERROR(INDEX(Invoices!$O$5:$O$304,MATCH(D267,Invoices!$A$5:$A$304,0)),0))</f>
        <v>0</v>
      </c>
      <c r="Q267" s="29">
        <f>IF(D267="","",IFERROR(INDEX(Invoices!$S$5:$S$304,MATCH(D267,Invoices!$A$5:$A$304,0)),0))</f>
        <v>0</v>
      </c>
      <c r="S267" s="28">
        <f>IF(B267="","",TEXT(B267,"yyyy-mm"))</f>
        <v>0</v>
      </c>
      <c r="T267" s="49">
        <f>IF(B267="","",IF(N267&lt;&gt;"Yes","Unconfirmed - check it cleared",IF(O267&lt;&gt;"Yes","To reconcile",IF(AND(D267&lt;&gt;"",Q267&gt;0.004),"Invoice still has a balance","OK"))))</f>
        <v>0</v>
      </c>
    </row>
    <row r="268" spans="1:20">
      <c r="A268" s="46">
        <f>IF(B268="","","PM-"&amp;TEXT(ROW()-4,"0000"))</f>
        <v>0</v>
      </c>
      <c r="K268" s="29">
        <f>IF(B268="","",ROUND(IF(E268="",0,E268)-IF(J268="",0,J268),2))</f>
        <v>0</v>
      </c>
      <c r="L268" s="29">
        <f>IF(B268="","",ROUND(IF(E268="",0,E268)+IF(H268="",0,H268)+IF(I268="",0,I268)-IF(J268="",0,J268),2))</f>
        <v>0</v>
      </c>
      <c r="P268" s="29">
        <f>IF(D268="","",IFERROR(INDEX(Invoices!$O$5:$O$304,MATCH(D268,Invoices!$A$5:$A$304,0)),0))</f>
        <v>0</v>
      </c>
      <c r="Q268" s="29">
        <f>IF(D268="","",IFERROR(INDEX(Invoices!$S$5:$S$304,MATCH(D268,Invoices!$A$5:$A$304,0)),0))</f>
        <v>0</v>
      </c>
      <c r="S268" s="28">
        <f>IF(B268="","",TEXT(B268,"yyyy-mm"))</f>
        <v>0</v>
      </c>
      <c r="T268" s="49">
        <f>IF(B268="","",IF(N268&lt;&gt;"Yes","Unconfirmed - check it cleared",IF(O268&lt;&gt;"Yes","To reconcile",IF(AND(D268&lt;&gt;"",Q268&gt;0.004),"Invoice still has a balance","OK"))))</f>
        <v>0</v>
      </c>
    </row>
    <row r="269" spans="1:20">
      <c r="A269" s="46">
        <f>IF(B269="","","PM-"&amp;TEXT(ROW()-4,"0000"))</f>
        <v>0</v>
      </c>
      <c r="K269" s="29">
        <f>IF(B269="","",ROUND(IF(E269="",0,E269)-IF(J269="",0,J269),2))</f>
        <v>0</v>
      </c>
      <c r="L269" s="29">
        <f>IF(B269="","",ROUND(IF(E269="",0,E269)+IF(H269="",0,H269)+IF(I269="",0,I269)-IF(J269="",0,J269),2))</f>
        <v>0</v>
      </c>
      <c r="P269" s="29">
        <f>IF(D269="","",IFERROR(INDEX(Invoices!$O$5:$O$304,MATCH(D269,Invoices!$A$5:$A$304,0)),0))</f>
        <v>0</v>
      </c>
      <c r="Q269" s="29">
        <f>IF(D269="","",IFERROR(INDEX(Invoices!$S$5:$S$304,MATCH(D269,Invoices!$A$5:$A$304,0)),0))</f>
        <v>0</v>
      </c>
      <c r="S269" s="28">
        <f>IF(B269="","",TEXT(B269,"yyyy-mm"))</f>
        <v>0</v>
      </c>
      <c r="T269" s="49">
        <f>IF(B269="","",IF(N269&lt;&gt;"Yes","Unconfirmed - check it cleared",IF(O269&lt;&gt;"Yes","To reconcile",IF(AND(D269&lt;&gt;"",Q269&gt;0.004),"Invoice still has a balance","OK"))))</f>
        <v>0</v>
      </c>
    </row>
    <row r="270" spans="1:20">
      <c r="A270" s="46">
        <f>IF(B270="","","PM-"&amp;TEXT(ROW()-4,"0000"))</f>
        <v>0</v>
      </c>
      <c r="K270" s="29">
        <f>IF(B270="","",ROUND(IF(E270="",0,E270)-IF(J270="",0,J270),2))</f>
        <v>0</v>
      </c>
      <c r="L270" s="29">
        <f>IF(B270="","",ROUND(IF(E270="",0,E270)+IF(H270="",0,H270)+IF(I270="",0,I270)-IF(J270="",0,J270),2))</f>
        <v>0</v>
      </c>
      <c r="P270" s="29">
        <f>IF(D270="","",IFERROR(INDEX(Invoices!$O$5:$O$304,MATCH(D270,Invoices!$A$5:$A$304,0)),0))</f>
        <v>0</v>
      </c>
      <c r="Q270" s="29">
        <f>IF(D270="","",IFERROR(INDEX(Invoices!$S$5:$S$304,MATCH(D270,Invoices!$A$5:$A$304,0)),0))</f>
        <v>0</v>
      </c>
      <c r="S270" s="28">
        <f>IF(B270="","",TEXT(B270,"yyyy-mm"))</f>
        <v>0</v>
      </c>
      <c r="T270" s="49">
        <f>IF(B270="","",IF(N270&lt;&gt;"Yes","Unconfirmed - check it cleared",IF(O270&lt;&gt;"Yes","To reconcile",IF(AND(D270&lt;&gt;"",Q270&gt;0.004),"Invoice still has a balance","OK"))))</f>
        <v>0</v>
      </c>
    </row>
    <row r="271" spans="1:20">
      <c r="A271" s="46">
        <f>IF(B271="","","PM-"&amp;TEXT(ROW()-4,"0000"))</f>
        <v>0</v>
      </c>
      <c r="K271" s="29">
        <f>IF(B271="","",ROUND(IF(E271="",0,E271)-IF(J271="",0,J271),2))</f>
        <v>0</v>
      </c>
      <c r="L271" s="29">
        <f>IF(B271="","",ROUND(IF(E271="",0,E271)+IF(H271="",0,H271)+IF(I271="",0,I271)-IF(J271="",0,J271),2))</f>
        <v>0</v>
      </c>
      <c r="P271" s="29">
        <f>IF(D271="","",IFERROR(INDEX(Invoices!$O$5:$O$304,MATCH(D271,Invoices!$A$5:$A$304,0)),0))</f>
        <v>0</v>
      </c>
      <c r="Q271" s="29">
        <f>IF(D271="","",IFERROR(INDEX(Invoices!$S$5:$S$304,MATCH(D271,Invoices!$A$5:$A$304,0)),0))</f>
        <v>0</v>
      </c>
      <c r="S271" s="28">
        <f>IF(B271="","",TEXT(B271,"yyyy-mm"))</f>
        <v>0</v>
      </c>
      <c r="T271" s="49">
        <f>IF(B271="","",IF(N271&lt;&gt;"Yes","Unconfirmed - check it cleared",IF(O271&lt;&gt;"Yes","To reconcile",IF(AND(D271&lt;&gt;"",Q271&gt;0.004),"Invoice still has a balance","OK"))))</f>
        <v>0</v>
      </c>
    </row>
    <row r="272" spans="1:20">
      <c r="A272" s="46">
        <f>IF(B272="","","PM-"&amp;TEXT(ROW()-4,"0000"))</f>
        <v>0</v>
      </c>
      <c r="K272" s="29">
        <f>IF(B272="","",ROUND(IF(E272="",0,E272)-IF(J272="",0,J272),2))</f>
        <v>0</v>
      </c>
      <c r="L272" s="29">
        <f>IF(B272="","",ROUND(IF(E272="",0,E272)+IF(H272="",0,H272)+IF(I272="",0,I272)-IF(J272="",0,J272),2))</f>
        <v>0</v>
      </c>
      <c r="P272" s="29">
        <f>IF(D272="","",IFERROR(INDEX(Invoices!$O$5:$O$304,MATCH(D272,Invoices!$A$5:$A$304,0)),0))</f>
        <v>0</v>
      </c>
      <c r="Q272" s="29">
        <f>IF(D272="","",IFERROR(INDEX(Invoices!$S$5:$S$304,MATCH(D272,Invoices!$A$5:$A$304,0)),0))</f>
        <v>0</v>
      </c>
      <c r="S272" s="28">
        <f>IF(B272="","",TEXT(B272,"yyyy-mm"))</f>
        <v>0</v>
      </c>
      <c r="T272" s="49">
        <f>IF(B272="","",IF(N272&lt;&gt;"Yes","Unconfirmed - check it cleared",IF(O272&lt;&gt;"Yes","To reconcile",IF(AND(D272&lt;&gt;"",Q272&gt;0.004),"Invoice still has a balance","OK"))))</f>
        <v>0</v>
      </c>
    </row>
    <row r="273" spans="1:20">
      <c r="A273" s="46">
        <f>IF(B273="","","PM-"&amp;TEXT(ROW()-4,"0000"))</f>
        <v>0</v>
      </c>
      <c r="K273" s="29">
        <f>IF(B273="","",ROUND(IF(E273="",0,E273)-IF(J273="",0,J273),2))</f>
        <v>0</v>
      </c>
      <c r="L273" s="29">
        <f>IF(B273="","",ROUND(IF(E273="",0,E273)+IF(H273="",0,H273)+IF(I273="",0,I273)-IF(J273="",0,J273),2))</f>
        <v>0</v>
      </c>
      <c r="P273" s="29">
        <f>IF(D273="","",IFERROR(INDEX(Invoices!$O$5:$O$304,MATCH(D273,Invoices!$A$5:$A$304,0)),0))</f>
        <v>0</v>
      </c>
      <c r="Q273" s="29">
        <f>IF(D273="","",IFERROR(INDEX(Invoices!$S$5:$S$304,MATCH(D273,Invoices!$A$5:$A$304,0)),0))</f>
        <v>0</v>
      </c>
      <c r="S273" s="28">
        <f>IF(B273="","",TEXT(B273,"yyyy-mm"))</f>
        <v>0</v>
      </c>
      <c r="T273" s="49">
        <f>IF(B273="","",IF(N273&lt;&gt;"Yes","Unconfirmed - check it cleared",IF(O273&lt;&gt;"Yes","To reconcile",IF(AND(D273&lt;&gt;"",Q273&gt;0.004),"Invoice still has a balance","OK"))))</f>
        <v>0</v>
      </c>
    </row>
    <row r="274" spans="1:20">
      <c r="A274" s="46">
        <f>IF(B274="","","PM-"&amp;TEXT(ROW()-4,"0000"))</f>
        <v>0</v>
      </c>
      <c r="K274" s="29">
        <f>IF(B274="","",ROUND(IF(E274="",0,E274)-IF(J274="",0,J274),2))</f>
        <v>0</v>
      </c>
      <c r="L274" s="29">
        <f>IF(B274="","",ROUND(IF(E274="",0,E274)+IF(H274="",0,H274)+IF(I274="",0,I274)-IF(J274="",0,J274),2))</f>
        <v>0</v>
      </c>
      <c r="P274" s="29">
        <f>IF(D274="","",IFERROR(INDEX(Invoices!$O$5:$O$304,MATCH(D274,Invoices!$A$5:$A$304,0)),0))</f>
        <v>0</v>
      </c>
      <c r="Q274" s="29">
        <f>IF(D274="","",IFERROR(INDEX(Invoices!$S$5:$S$304,MATCH(D274,Invoices!$A$5:$A$304,0)),0))</f>
        <v>0</v>
      </c>
      <c r="S274" s="28">
        <f>IF(B274="","",TEXT(B274,"yyyy-mm"))</f>
        <v>0</v>
      </c>
      <c r="T274" s="49">
        <f>IF(B274="","",IF(N274&lt;&gt;"Yes","Unconfirmed - check it cleared",IF(O274&lt;&gt;"Yes","To reconcile",IF(AND(D274&lt;&gt;"",Q274&gt;0.004),"Invoice still has a balance","OK"))))</f>
        <v>0</v>
      </c>
    </row>
    <row r="275" spans="1:20">
      <c r="A275" s="46">
        <f>IF(B275="","","PM-"&amp;TEXT(ROW()-4,"0000"))</f>
        <v>0</v>
      </c>
      <c r="K275" s="29">
        <f>IF(B275="","",ROUND(IF(E275="",0,E275)-IF(J275="",0,J275),2))</f>
        <v>0</v>
      </c>
      <c r="L275" s="29">
        <f>IF(B275="","",ROUND(IF(E275="",0,E275)+IF(H275="",0,H275)+IF(I275="",0,I275)-IF(J275="",0,J275),2))</f>
        <v>0</v>
      </c>
      <c r="P275" s="29">
        <f>IF(D275="","",IFERROR(INDEX(Invoices!$O$5:$O$304,MATCH(D275,Invoices!$A$5:$A$304,0)),0))</f>
        <v>0</v>
      </c>
      <c r="Q275" s="29">
        <f>IF(D275="","",IFERROR(INDEX(Invoices!$S$5:$S$304,MATCH(D275,Invoices!$A$5:$A$304,0)),0))</f>
        <v>0</v>
      </c>
      <c r="S275" s="28">
        <f>IF(B275="","",TEXT(B275,"yyyy-mm"))</f>
        <v>0</v>
      </c>
      <c r="T275" s="49">
        <f>IF(B275="","",IF(N275&lt;&gt;"Yes","Unconfirmed - check it cleared",IF(O275&lt;&gt;"Yes","To reconcile",IF(AND(D275&lt;&gt;"",Q275&gt;0.004),"Invoice still has a balance","OK"))))</f>
        <v>0</v>
      </c>
    </row>
    <row r="276" spans="1:20">
      <c r="A276" s="46">
        <f>IF(B276="","","PM-"&amp;TEXT(ROW()-4,"0000"))</f>
        <v>0</v>
      </c>
      <c r="K276" s="29">
        <f>IF(B276="","",ROUND(IF(E276="",0,E276)-IF(J276="",0,J276),2))</f>
        <v>0</v>
      </c>
      <c r="L276" s="29">
        <f>IF(B276="","",ROUND(IF(E276="",0,E276)+IF(H276="",0,H276)+IF(I276="",0,I276)-IF(J276="",0,J276),2))</f>
        <v>0</v>
      </c>
      <c r="P276" s="29">
        <f>IF(D276="","",IFERROR(INDEX(Invoices!$O$5:$O$304,MATCH(D276,Invoices!$A$5:$A$304,0)),0))</f>
        <v>0</v>
      </c>
      <c r="Q276" s="29">
        <f>IF(D276="","",IFERROR(INDEX(Invoices!$S$5:$S$304,MATCH(D276,Invoices!$A$5:$A$304,0)),0))</f>
        <v>0</v>
      </c>
      <c r="S276" s="28">
        <f>IF(B276="","",TEXT(B276,"yyyy-mm"))</f>
        <v>0</v>
      </c>
      <c r="T276" s="49">
        <f>IF(B276="","",IF(N276&lt;&gt;"Yes","Unconfirmed - check it cleared",IF(O276&lt;&gt;"Yes","To reconcile",IF(AND(D276&lt;&gt;"",Q276&gt;0.004),"Invoice still has a balance","OK"))))</f>
        <v>0</v>
      </c>
    </row>
    <row r="277" spans="1:20">
      <c r="A277" s="46">
        <f>IF(B277="","","PM-"&amp;TEXT(ROW()-4,"0000"))</f>
        <v>0</v>
      </c>
      <c r="K277" s="29">
        <f>IF(B277="","",ROUND(IF(E277="",0,E277)-IF(J277="",0,J277),2))</f>
        <v>0</v>
      </c>
      <c r="L277" s="29">
        <f>IF(B277="","",ROUND(IF(E277="",0,E277)+IF(H277="",0,H277)+IF(I277="",0,I277)-IF(J277="",0,J277),2))</f>
        <v>0</v>
      </c>
      <c r="P277" s="29">
        <f>IF(D277="","",IFERROR(INDEX(Invoices!$O$5:$O$304,MATCH(D277,Invoices!$A$5:$A$304,0)),0))</f>
        <v>0</v>
      </c>
      <c r="Q277" s="29">
        <f>IF(D277="","",IFERROR(INDEX(Invoices!$S$5:$S$304,MATCH(D277,Invoices!$A$5:$A$304,0)),0))</f>
        <v>0</v>
      </c>
      <c r="S277" s="28">
        <f>IF(B277="","",TEXT(B277,"yyyy-mm"))</f>
        <v>0</v>
      </c>
      <c r="T277" s="49">
        <f>IF(B277="","",IF(N277&lt;&gt;"Yes","Unconfirmed - check it cleared",IF(O277&lt;&gt;"Yes","To reconcile",IF(AND(D277&lt;&gt;"",Q277&gt;0.004),"Invoice still has a balance","OK"))))</f>
        <v>0</v>
      </c>
    </row>
    <row r="278" spans="1:20">
      <c r="A278" s="46">
        <f>IF(B278="","","PM-"&amp;TEXT(ROW()-4,"0000"))</f>
        <v>0</v>
      </c>
      <c r="K278" s="29">
        <f>IF(B278="","",ROUND(IF(E278="",0,E278)-IF(J278="",0,J278),2))</f>
        <v>0</v>
      </c>
      <c r="L278" s="29">
        <f>IF(B278="","",ROUND(IF(E278="",0,E278)+IF(H278="",0,H278)+IF(I278="",0,I278)-IF(J278="",0,J278),2))</f>
        <v>0</v>
      </c>
      <c r="P278" s="29">
        <f>IF(D278="","",IFERROR(INDEX(Invoices!$O$5:$O$304,MATCH(D278,Invoices!$A$5:$A$304,0)),0))</f>
        <v>0</v>
      </c>
      <c r="Q278" s="29">
        <f>IF(D278="","",IFERROR(INDEX(Invoices!$S$5:$S$304,MATCH(D278,Invoices!$A$5:$A$304,0)),0))</f>
        <v>0</v>
      </c>
      <c r="S278" s="28">
        <f>IF(B278="","",TEXT(B278,"yyyy-mm"))</f>
        <v>0</v>
      </c>
      <c r="T278" s="49">
        <f>IF(B278="","",IF(N278&lt;&gt;"Yes","Unconfirmed - check it cleared",IF(O278&lt;&gt;"Yes","To reconcile",IF(AND(D278&lt;&gt;"",Q278&gt;0.004),"Invoice still has a balance","OK"))))</f>
        <v>0</v>
      </c>
    </row>
    <row r="279" spans="1:20">
      <c r="A279" s="46">
        <f>IF(B279="","","PM-"&amp;TEXT(ROW()-4,"0000"))</f>
        <v>0</v>
      </c>
      <c r="K279" s="29">
        <f>IF(B279="","",ROUND(IF(E279="",0,E279)-IF(J279="",0,J279),2))</f>
        <v>0</v>
      </c>
      <c r="L279" s="29">
        <f>IF(B279="","",ROUND(IF(E279="",0,E279)+IF(H279="",0,H279)+IF(I279="",0,I279)-IF(J279="",0,J279),2))</f>
        <v>0</v>
      </c>
      <c r="P279" s="29">
        <f>IF(D279="","",IFERROR(INDEX(Invoices!$O$5:$O$304,MATCH(D279,Invoices!$A$5:$A$304,0)),0))</f>
        <v>0</v>
      </c>
      <c r="Q279" s="29">
        <f>IF(D279="","",IFERROR(INDEX(Invoices!$S$5:$S$304,MATCH(D279,Invoices!$A$5:$A$304,0)),0))</f>
        <v>0</v>
      </c>
      <c r="S279" s="28">
        <f>IF(B279="","",TEXT(B279,"yyyy-mm"))</f>
        <v>0</v>
      </c>
      <c r="T279" s="49">
        <f>IF(B279="","",IF(N279&lt;&gt;"Yes","Unconfirmed - check it cleared",IF(O279&lt;&gt;"Yes","To reconcile",IF(AND(D279&lt;&gt;"",Q279&gt;0.004),"Invoice still has a balance","OK"))))</f>
        <v>0</v>
      </c>
    </row>
    <row r="280" spans="1:20">
      <c r="A280" s="46">
        <f>IF(B280="","","PM-"&amp;TEXT(ROW()-4,"0000"))</f>
        <v>0</v>
      </c>
      <c r="K280" s="29">
        <f>IF(B280="","",ROUND(IF(E280="",0,E280)-IF(J280="",0,J280),2))</f>
        <v>0</v>
      </c>
      <c r="L280" s="29">
        <f>IF(B280="","",ROUND(IF(E280="",0,E280)+IF(H280="",0,H280)+IF(I280="",0,I280)-IF(J280="",0,J280),2))</f>
        <v>0</v>
      </c>
      <c r="P280" s="29">
        <f>IF(D280="","",IFERROR(INDEX(Invoices!$O$5:$O$304,MATCH(D280,Invoices!$A$5:$A$304,0)),0))</f>
        <v>0</v>
      </c>
      <c r="Q280" s="29">
        <f>IF(D280="","",IFERROR(INDEX(Invoices!$S$5:$S$304,MATCH(D280,Invoices!$A$5:$A$304,0)),0))</f>
        <v>0</v>
      </c>
      <c r="S280" s="28">
        <f>IF(B280="","",TEXT(B280,"yyyy-mm"))</f>
        <v>0</v>
      </c>
      <c r="T280" s="49">
        <f>IF(B280="","",IF(N280&lt;&gt;"Yes","Unconfirmed - check it cleared",IF(O280&lt;&gt;"Yes","To reconcile",IF(AND(D280&lt;&gt;"",Q280&gt;0.004),"Invoice still has a balance","OK"))))</f>
        <v>0</v>
      </c>
    </row>
    <row r="281" spans="1:20">
      <c r="A281" s="46">
        <f>IF(B281="","","PM-"&amp;TEXT(ROW()-4,"0000"))</f>
        <v>0</v>
      </c>
      <c r="K281" s="29">
        <f>IF(B281="","",ROUND(IF(E281="",0,E281)-IF(J281="",0,J281),2))</f>
        <v>0</v>
      </c>
      <c r="L281" s="29">
        <f>IF(B281="","",ROUND(IF(E281="",0,E281)+IF(H281="",0,H281)+IF(I281="",0,I281)-IF(J281="",0,J281),2))</f>
        <v>0</v>
      </c>
      <c r="P281" s="29">
        <f>IF(D281="","",IFERROR(INDEX(Invoices!$O$5:$O$304,MATCH(D281,Invoices!$A$5:$A$304,0)),0))</f>
        <v>0</v>
      </c>
      <c r="Q281" s="29">
        <f>IF(D281="","",IFERROR(INDEX(Invoices!$S$5:$S$304,MATCH(D281,Invoices!$A$5:$A$304,0)),0))</f>
        <v>0</v>
      </c>
      <c r="S281" s="28">
        <f>IF(B281="","",TEXT(B281,"yyyy-mm"))</f>
        <v>0</v>
      </c>
      <c r="T281" s="49">
        <f>IF(B281="","",IF(N281&lt;&gt;"Yes","Unconfirmed - check it cleared",IF(O281&lt;&gt;"Yes","To reconcile",IF(AND(D281&lt;&gt;"",Q281&gt;0.004),"Invoice still has a balance","OK"))))</f>
        <v>0</v>
      </c>
    </row>
    <row r="282" spans="1:20">
      <c r="A282" s="46">
        <f>IF(B282="","","PM-"&amp;TEXT(ROW()-4,"0000"))</f>
        <v>0</v>
      </c>
      <c r="K282" s="29">
        <f>IF(B282="","",ROUND(IF(E282="",0,E282)-IF(J282="",0,J282),2))</f>
        <v>0</v>
      </c>
      <c r="L282" s="29">
        <f>IF(B282="","",ROUND(IF(E282="",0,E282)+IF(H282="",0,H282)+IF(I282="",0,I282)-IF(J282="",0,J282),2))</f>
        <v>0</v>
      </c>
      <c r="P282" s="29">
        <f>IF(D282="","",IFERROR(INDEX(Invoices!$O$5:$O$304,MATCH(D282,Invoices!$A$5:$A$304,0)),0))</f>
        <v>0</v>
      </c>
      <c r="Q282" s="29">
        <f>IF(D282="","",IFERROR(INDEX(Invoices!$S$5:$S$304,MATCH(D282,Invoices!$A$5:$A$304,0)),0))</f>
        <v>0</v>
      </c>
      <c r="S282" s="28">
        <f>IF(B282="","",TEXT(B282,"yyyy-mm"))</f>
        <v>0</v>
      </c>
      <c r="T282" s="49">
        <f>IF(B282="","",IF(N282&lt;&gt;"Yes","Unconfirmed - check it cleared",IF(O282&lt;&gt;"Yes","To reconcile",IF(AND(D282&lt;&gt;"",Q282&gt;0.004),"Invoice still has a balance","OK"))))</f>
        <v>0</v>
      </c>
    </row>
    <row r="283" spans="1:20">
      <c r="A283" s="46">
        <f>IF(B283="","","PM-"&amp;TEXT(ROW()-4,"0000"))</f>
        <v>0</v>
      </c>
      <c r="K283" s="29">
        <f>IF(B283="","",ROUND(IF(E283="",0,E283)-IF(J283="",0,J283),2))</f>
        <v>0</v>
      </c>
      <c r="L283" s="29">
        <f>IF(B283="","",ROUND(IF(E283="",0,E283)+IF(H283="",0,H283)+IF(I283="",0,I283)-IF(J283="",0,J283),2))</f>
        <v>0</v>
      </c>
      <c r="P283" s="29">
        <f>IF(D283="","",IFERROR(INDEX(Invoices!$O$5:$O$304,MATCH(D283,Invoices!$A$5:$A$304,0)),0))</f>
        <v>0</v>
      </c>
      <c r="Q283" s="29">
        <f>IF(D283="","",IFERROR(INDEX(Invoices!$S$5:$S$304,MATCH(D283,Invoices!$A$5:$A$304,0)),0))</f>
        <v>0</v>
      </c>
      <c r="S283" s="28">
        <f>IF(B283="","",TEXT(B283,"yyyy-mm"))</f>
        <v>0</v>
      </c>
      <c r="T283" s="49">
        <f>IF(B283="","",IF(N283&lt;&gt;"Yes","Unconfirmed - check it cleared",IF(O283&lt;&gt;"Yes","To reconcile",IF(AND(D283&lt;&gt;"",Q283&gt;0.004),"Invoice still has a balance","OK"))))</f>
        <v>0</v>
      </c>
    </row>
    <row r="284" spans="1:20">
      <c r="A284" s="46">
        <f>IF(B284="","","PM-"&amp;TEXT(ROW()-4,"0000"))</f>
        <v>0</v>
      </c>
      <c r="K284" s="29">
        <f>IF(B284="","",ROUND(IF(E284="",0,E284)-IF(J284="",0,J284),2))</f>
        <v>0</v>
      </c>
      <c r="L284" s="29">
        <f>IF(B284="","",ROUND(IF(E284="",0,E284)+IF(H284="",0,H284)+IF(I284="",0,I284)-IF(J284="",0,J284),2))</f>
        <v>0</v>
      </c>
      <c r="P284" s="29">
        <f>IF(D284="","",IFERROR(INDEX(Invoices!$O$5:$O$304,MATCH(D284,Invoices!$A$5:$A$304,0)),0))</f>
        <v>0</v>
      </c>
      <c r="Q284" s="29">
        <f>IF(D284="","",IFERROR(INDEX(Invoices!$S$5:$S$304,MATCH(D284,Invoices!$A$5:$A$304,0)),0))</f>
        <v>0</v>
      </c>
      <c r="S284" s="28">
        <f>IF(B284="","",TEXT(B284,"yyyy-mm"))</f>
        <v>0</v>
      </c>
      <c r="T284" s="49">
        <f>IF(B284="","",IF(N284&lt;&gt;"Yes","Unconfirmed - check it cleared",IF(O284&lt;&gt;"Yes","To reconcile",IF(AND(D284&lt;&gt;"",Q284&gt;0.004),"Invoice still has a balance","OK"))))</f>
        <v>0</v>
      </c>
    </row>
    <row r="285" spans="1:20">
      <c r="A285" s="46">
        <f>IF(B285="","","PM-"&amp;TEXT(ROW()-4,"0000"))</f>
        <v>0</v>
      </c>
      <c r="K285" s="29">
        <f>IF(B285="","",ROUND(IF(E285="",0,E285)-IF(J285="",0,J285),2))</f>
        <v>0</v>
      </c>
      <c r="L285" s="29">
        <f>IF(B285="","",ROUND(IF(E285="",0,E285)+IF(H285="",0,H285)+IF(I285="",0,I285)-IF(J285="",0,J285),2))</f>
        <v>0</v>
      </c>
      <c r="P285" s="29">
        <f>IF(D285="","",IFERROR(INDEX(Invoices!$O$5:$O$304,MATCH(D285,Invoices!$A$5:$A$304,0)),0))</f>
        <v>0</v>
      </c>
      <c r="Q285" s="29">
        <f>IF(D285="","",IFERROR(INDEX(Invoices!$S$5:$S$304,MATCH(D285,Invoices!$A$5:$A$304,0)),0))</f>
        <v>0</v>
      </c>
      <c r="S285" s="28">
        <f>IF(B285="","",TEXT(B285,"yyyy-mm"))</f>
        <v>0</v>
      </c>
      <c r="T285" s="49">
        <f>IF(B285="","",IF(N285&lt;&gt;"Yes","Unconfirmed - check it cleared",IF(O285&lt;&gt;"Yes","To reconcile",IF(AND(D285&lt;&gt;"",Q285&gt;0.004),"Invoice still has a balance","OK"))))</f>
        <v>0</v>
      </c>
    </row>
    <row r="286" spans="1:20">
      <c r="A286" s="46">
        <f>IF(B286="","","PM-"&amp;TEXT(ROW()-4,"0000"))</f>
        <v>0</v>
      </c>
      <c r="K286" s="29">
        <f>IF(B286="","",ROUND(IF(E286="",0,E286)-IF(J286="",0,J286),2))</f>
        <v>0</v>
      </c>
      <c r="L286" s="29">
        <f>IF(B286="","",ROUND(IF(E286="",0,E286)+IF(H286="",0,H286)+IF(I286="",0,I286)-IF(J286="",0,J286),2))</f>
        <v>0</v>
      </c>
      <c r="P286" s="29">
        <f>IF(D286="","",IFERROR(INDEX(Invoices!$O$5:$O$304,MATCH(D286,Invoices!$A$5:$A$304,0)),0))</f>
        <v>0</v>
      </c>
      <c r="Q286" s="29">
        <f>IF(D286="","",IFERROR(INDEX(Invoices!$S$5:$S$304,MATCH(D286,Invoices!$A$5:$A$304,0)),0))</f>
        <v>0</v>
      </c>
      <c r="S286" s="28">
        <f>IF(B286="","",TEXT(B286,"yyyy-mm"))</f>
        <v>0</v>
      </c>
      <c r="T286" s="49">
        <f>IF(B286="","",IF(N286&lt;&gt;"Yes","Unconfirmed - check it cleared",IF(O286&lt;&gt;"Yes","To reconcile",IF(AND(D286&lt;&gt;"",Q286&gt;0.004),"Invoice still has a balance","OK"))))</f>
        <v>0</v>
      </c>
    </row>
    <row r="287" spans="1:20">
      <c r="A287" s="46">
        <f>IF(B287="","","PM-"&amp;TEXT(ROW()-4,"0000"))</f>
        <v>0</v>
      </c>
      <c r="K287" s="29">
        <f>IF(B287="","",ROUND(IF(E287="",0,E287)-IF(J287="",0,J287),2))</f>
        <v>0</v>
      </c>
      <c r="L287" s="29">
        <f>IF(B287="","",ROUND(IF(E287="",0,E287)+IF(H287="",0,H287)+IF(I287="",0,I287)-IF(J287="",0,J287),2))</f>
        <v>0</v>
      </c>
      <c r="P287" s="29">
        <f>IF(D287="","",IFERROR(INDEX(Invoices!$O$5:$O$304,MATCH(D287,Invoices!$A$5:$A$304,0)),0))</f>
        <v>0</v>
      </c>
      <c r="Q287" s="29">
        <f>IF(D287="","",IFERROR(INDEX(Invoices!$S$5:$S$304,MATCH(D287,Invoices!$A$5:$A$304,0)),0))</f>
        <v>0</v>
      </c>
      <c r="S287" s="28">
        <f>IF(B287="","",TEXT(B287,"yyyy-mm"))</f>
        <v>0</v>
      </c>
      <c r="T287" s="49">
        <f>IF(B287="","",IF(N287&lt;&gt;"Yes","Unconfirmed - check it cleared",IF(O287&lt;&gt;"Yes","To reconcile",IF(AND(D287&lt;&gt;"",Q287&gt;0.004),"Invoice still has a balance","OK"))))</f>
        <v>0</v>
      </c>
    </row>
    <row r="288" spans="1:20">
      <c r="A288" s="46">
        <f>IF(B288="","","PM-"&amp;TEXT(ROW()-4,"0000"))</f>
        <v>0</v>
      </c>
      <c r="K288" s="29">
        <f>IF(B288="","",ROUND(IF(E288="",0,E288)-IF(J288="",0,J288),2))</f>
        <v>0</v>
      </c>
      <c r="L288" s="29">
        <f>IF(B288="","",ROUND(IF(E288="",0,E288)+IF(H288="",0,H288)+IF(I288="",0,I288)-IF(J288="",0,J288),2))</f>
        <v>0</v>
      </c>
      <c r="P288" s="29">
        <f>IF(D288="","",IFERROR(INDEX(Invoices!$O$5:$O$304,MATCH(D288,Invoices!$A$5:$A$304,0)),0))</f>
        <v>0</v>
      </c>
      <c r="Q288" s="29">
        <f>IF(D288="","",IFERROR(INDEX(Invoices!$S$5:$S$304,MATCH(D288,Invoices!$A$5:$A$304,0)),0))</f>
        <v>0</v>
      </c>
      <c r="S288" s="28">
        <f>IF(B288="","",TEXT(B288,"yyyy-mm"))</f>
        <v>0</v>
      </c>
      <c r="T288" s="49">
        <f>IF(B288="","",IF(N288&lt;&gt;"Yes","Unconfirmed - check it cleared",IF(O288&lt;&gt;"Yes","To reconcile",IF(AND(D288&lt;&gt;"",Q288&gt;0.004),"Invoice still has a balance","OK"))))</f>
        <v>0</v>
      </c>
    </row>
    <row r="289" spans="1:20">
      <c r="A289" s="46">
        <f>IF(B289="","","PM-"&amp;TEXT(ROW()-4,"0000"))</f>
        <v>0</v>
      </c>
      <c r="K289" s="29">
        <f>IF(B289="","",ROUND(IF(E289="",0,E289)-IF(J289="",0,J289),2))</f>
        <v>0</v>
      </c>
      <c r="L289" s="29">
        <f>IF(B289="","",ROUND(IF(E289="",0,E289)+IF(H289="",0,H289)+IF(I289="",0,I289)-IF(J289="",0,J289),2))</f>
        <v>0</v>
      </c>
      <c r="P289" s="29">
        <f>IF(D289="","",IFERROR(INDEX(Invoices!$O$5:$O$304,MATCH(D289,Invoices!$A$5:$A$304,0)),0))</f>
        <v>0</v>
      </c>
      <c r="Q289" s="29">
        <f>IF(D289="","",IFERROR(INDEX(Invoices!$S$5:$S$304,MATCH(D289,Invoices!$A$5:$A$304,0)),0))</f>
        <v>0</v>
      </c>
      <c r="S289" s="28">
        <f>IF(B289="","",TEXT(B289,"yyyy-mm"))</f>
        <v>0</v>
      </c>
      <c r="T289" s="49">
        <f>IF(B289="","",IF(N289&lt;&gt;"Yes","Unconfirmed - check it cleared",IF(O289&lt;&gt;"Yes","To reconcile",IF(AND(D289&lt;&gt;"",Q289&gt;0.004),"Invoice still has a balance","OK"))))</f>
        <v>0</v>
      </c>
    </row>
    <row r="290" spans="1:20">
      <c r="A290" s="46">
        <f>IF(B290="","","PM-"&amp;TEXT(ROW()-4,"0000"))</f>
        <v>0</v>
      </c>
      <c r="K290" s="29">
        <f>IF(B290="","",ROUND(IF(E290="",0,E290)-IF(J290="",0,J290),2))</f>
        <v>0</v>
      </c>
      <c r="L290" s="29">
        <f>IF(B290="","",ROUND(IF(E290="",0,E290)+IF(H290="",0,H290)+IF(I290="",0,I290)-IF(J290="",0,J290),2))</f>
        <v>0</v>
      </c>
      <c r="P290" s="29">
        <f>IF(D290="","",IFERROR(INDEX(Invoices!$O$5:$O$304,MATCH(D290,Invoices!$A$5:$A$304,0)),0))</f>
        <v>0</v>
      </c>
      <c r="Q290" s="29">
        <f>IF(D290="","",IFERROR(INDEX(Invoices!$S$5:$S$304,MATCH(D290,Invoices!$A$5:$A$304,0)),0))</f>
        <v>0</v>
      </c>
      <c r="S290" s="28">
        <f>IF(B290="","",TEXT(B290,"yyyy-mm"))</f>
        <v>0</v>
      </c>
      <c r="T290" s="49">
        <f>IF(B290="","",IF(N290&lt;&gt;"Yes","Unconfirmed - check it cleared",IF(O290&lt;&gt;"Yes","To reconcile",IF(AND(D290&lt;&gt;"",Q290&gt;0.004),"Invoice still has a balance","OK"))))</f>
        <v>0</v>
      </c>
    </row>
    <row r="291" spans="1:20">
      <c r="A291" s="46">
        <f>IF(B291="","","PM-"&amp;TEXT(ROW()-4,"0000"))</f>
        <v>0</v>
      </c>
      <c r="K291" s="29">
        <f>IF(B291="","",ROUND(IF(E291="",0,E291)-IF(J291="",0,J291),2))</f>
        <v>0</v>
      </c>
      <c r="L291" s="29">
        <f>IF(B291="","",ROUND(IF(E291="",0,E291)+IF(H291="",0,H291)+IF(I291="",0,I291)-IF(J291="",0,J291),2))</f>
        <v>0</v>
      </c>
      <c r="P291" s="29">
        <f>IF(D291="","",IFERROR(INDEX(Invoices!$O$5:$O$304,MATCH(D291,Invoices!$A$5:$A$304,0)),0))</f>
        <v>0</v>
      </c>
      <c r="Q291" s="29">
        <f>IF(D291="","",IFERROR(INDEX(Invoices!$S$5:$S$304,MATCH(D291,Invoices!$A$5:$A$304,0)),0))</f>
        <v>0</v>
      </c>
      <c r="S291" s="28">
        <f>IF(B291="","",TEXT(B291,"yyyy-mm"))</f>
        <v>0</v>
      </c>
      <c r="T291" s="49">
        <f>IF(B291="","",IF(N291&lt;&gt;"Yes","Unconfirmed - check it cleared",IF(O291&lt;&gt;"Yes","To reconcile",IF(AND(D291&lt;&gt;"",Q291&gt;0.004),"Invoice still has a balance","OK"))))</f>
        <v>0</v>
      </c>
    </row>
    <row r="292" spans="1:20">
      <c r="A292" s="46">
        <f>IF(B292="","","PM-"&amp;TEXT(ROW()-4,"0000"))</f>
        <v>0</v>
      </c>
      <c r="K292" s="29">
        <f>IF(B292="","",ROUND(IF(E292="",0,E292)-IF(J292="",0,J292),2))</f>
        <v>0</v>
      </c>
      <c r="L292" s="29">
        <f>IF(B292="","",ROUND(IF(E292="",0,E292)+IF(H292="",0,H292)+IF(I292="",0,I292)-IF(J292="",0,J292),2))</f>
        <v>0</v>
      </c>
      <c r="P292" s="29">
        <f>IF(D292="","",IFERROR(INDEX(Invoices!$O$5:$O$304,MATCH(D292,Invoices!$A$5:$A$304,0)),0))</f>
        <v>0</v>
      </c>
      <c r="Q292" s="29">
        <f>IF(D292="","",IFERROR(INDEX(Invoices!$S$5:$S$304,MATCH(D292,Invoices!$A$5:$A$304,0)),0))</f>
        <v>0</v>
      </c>
      <c r="S292" s="28">
        <f>IF(B292="","",TEXT(B292,"yyyy-mm"))</f>
        <v>0</v>
      </c>
      <c r="T292" s="49">
        <f>IF(B292="","",IF(N292&lt;&gt;"Yes","Unconfirmed - check it cleared",IF(O292&lt;&gt;"Yes","To reconcile",IF(AND(D292&lt;&gt;"",Q292&gt;0.004),"Invoice still has a balance","OK"))))</f>
        <v>0</v>
      </c>
    </row>
    <row r="293" spans="1:20">
      <c r="A293" s="46">
        <f>IF(B293="","","PM-"&amp;TEXT(ROW()-4,"0000"))</f>
        <v>0</v>
      </c>
      <c r="K293" s="29">
        <f>IF(B293="","",ROUND(IF(E293="",0,E293)-IF(J293="",0,J293),2))</f>
        <v>0</v>
      </c>
      <c r="L293" s="29">
        <f>IF(B293="","",ROUND(IF(E293="",0,E293)+IF(H293="",0,H293)+IF(I293="",0,I293)-IF(J293="",0,J293),2))</f>
        <v>0</v>
      </c>
      <c r="P293" s="29">
        <f>IF(D293="","",IFERROR(INDEX(Invoices!$O$5:$O$304,MATCH(D293,Invoices!$A$5:$A$304,0)),0))</f>
        <v>0</v>
      </c>
      <c r="Q293" s="29">
        <f>IF(D293="","",IFERROR(INDEX(Invoices!$S$5:$S$304,MATCH(D293,Invoices!$A$5:$A$304,0)),0))</f>
        <v>0</v>
      </c>
      <c r="S293" s="28">
        <f>IF(B293="","",TEXT(B293,"yyyy-mm"))</f>
        <v>0</v>
      </c>
      <c r="T293" s="49">
        <f>IF(B293="","",IF(N293&lt;&gt;"Yes","Unconfirmed - check it cleared",IF(O293&lt;&gt;"Yes","To reconcile",IF(AND(D293&lt;&gt;"",Q293&gt;0.004),"Invoice still has a balance","OK"))))</f>
        <v>0</v>
      </c>
    </row>
    <row r="294" spans="1:20">
      <c r="A294" s="46">
        <f>IF(B294="","","PM-"&amp;TEXT(ROW()-4,"0000"))</f>
        <v>0</v>
      </c>
      <c r="K294" s="29">
        <f>IF(B294="","",ROUND(IF(E294="",0,E294)-IF(J294="",0,J294),2))</f>
        <v>0</v>
      </c>
      <c r="L294" s="29">
        <f>IF(B294="","",ROUND(IF(E294="",0,E294)+IF(H294="",0,H294)+IF(I294="",0,I294)-IF(J294="",0,J294),2))</f>
        <v>0</v>
      </c>
      <c r="P294" s="29">
        <f>IF(D294="","",IFERROR(INDEX(Invoices!$O$5:$O$304,MATCH(D294,Invoices!$A$5:$A$304,0)),0))</f>
        <v>0</v>
      </c>
      <c r="Q294" s="29">
        <f>IF(D294="","",IFERROR(INDEX(Invoices!$S$5:$S$304,MATCH(D294,Invoices!$A$5:$A$304,0)),0))</f>
        <v>0</v>
      </c>
      <c r="S294" s="28">
        <f>IF(B294="","",TEXT(B294,"yyyy-mm"))</f>
        <v>0</v>
      </c>
      <c r="T294" s="49">
        <f>IF(B294="","",IF(N294&lt;&gt;"Yes","Unconfirmed - check it cleared",IF(O294&lt;&gt;"Yes","To reconcile",IF(AND(D294&lt;&gt;"",Q294&gt;0.004),"Invoice still has a balance","OK"))))</f>
        <v>0</v>
      </c>
    </row>
    <row r="295" spans="1:20">
      <c r="A295" s="46">
        <f>IF(B295="","","PM-"&amp;TEXT(ROW()-4,"0000"))</f>
        <v>0</v>
      </c>
      <c r="K295" s="29">
        <f>IF(B295="","",ROUND(IF(E295="",0,E295)-IF(J295="",0,J295),2))</f>
        <v>0</v>
      </c>
      <c r="L295" s="29">
        <f>IF(B295="","",ROUND(IF(E295="",0,E295)+IF(H295="",0,H295)+IF(I295="",0,I295)-IF(J295="",0,J295),2))</f>
        <v>0</v>
      </c>
      <c r="P295" s="29">
        <f>IF(D295="","",IFERROR(INDEX(Invoices!$O$5:$O$304,MATCH(D295,Invoices!$A$5:$A$304,0)),0))</f>
        <v>0</v>
      </c>
      <c r="Q295" s="29">
        <f>IF(D295="","",IFERROR(INDEX(Invoices!$S$5:$S$304,MATCH(D295,Invoices!$A$5:$A$304,0)),0))</f>
        <v>0</v>
      </c>
      <c r="S295" s="28">
        <f>IF(B295="","",TEXT(B295,"yyyy-mm"))</f>
        <v>0</v>
      </c>
      <c r="T295" s="49">
        <f>IF(B295="","",IF(N295&lt;&gt;"Yes","Unconfirmed - check it cleared",IF(O295&lt;&gt;"Yes","To reconcile",IF(AND(D295&lt;&gt;"",Q295&gt;0.004),"Invoice still has a balance","OK"))))</f>
        <v>0</v>
      </c>
    </row>
    <row r="296" spans="1:20">
      <c r="A296" s="46">
        <f>IF(B296="","","PM-"&amp;TEXT(ROW()-4,"0000"))</f>
        <v>0</v>
      </c>
      <c r="K296" s="29">
        <f>IF(B296="","",ROUND(IF(E296="",0,E296)-IF(J296="",0,J296),2))</f>
        <v>0</v>
      </c>
      <c r="L296" s="29">
        <f>IF(B296="","",ROUND(IF(E296="",0,E296)+IF(H296="",0,H296)+IF(I296="",0,I296)-IF(J296="",0,J296),2))</f>
        <v>0</v>
      </c>
      <c r="P296" s="29">
        <f>IF(D296="","",IFERROR(INDEX(Invoices!$O$5:$O$304,MATCH(D296,Invoices!$A$5:$A$304,0)),0))</f>
        <v>0</v>
      </c>
      <c r="Q296" s="29">
        <f>IF(D296="","",IFERROR(INDEX(Invoices!$S$5:$S$304,MATCH(D296,Invoices!$A$5:$A$304,0)),0))</f>
        <v>0</v>
      </c>
      <c r="S296" s="28">
        <f>IF(B296="","",TEXT(B296,"yyyy-mm"))</f>
        <v>0</v>
      </c>
      <c r="T296" s="49">
        <f>IF(B296="","",IF(N296&lt;&gt;"Yes","Unconfirmed - check it cleared",IF(O296&lt;&gt;"Yes","To reconcile",IF(AND(D296&lt;&gt;"",Q296&gt;0.004),"Invoice still has a balance","OK"))))</f>
        <v>0</v>
      </c>
    </row>
    <row r="297" spans="1:20">
      <c r="A297" s="46">
        <f>IF(B297="","","PM-"&amp;TEXT(ROW()-4,"0000"))</f>
        <v>0</v>
      </c>
      <c r="K297" s="29">
        <f>IF(B297="","",ROUND(IF(E297="",0,E297)-IF(J297="",0,J297),2))</f>
        <v>0</v>
      </c>
      <c r="L297" s="29">
        <f>IF(B297="","",ROUND(IF(E297="",0,E297)+IF(H297="",0,H297)+IF(I297="",0,I297)-IF(J297="",0,J297),2))</f>
        <v>0</v>
      </c>
      <c r="P297" s="29">
        <f>IF(D297="","",IFERROR(INDEX(Invoices!$O$5:$O$304,MATCH(D297,Invoices!$A$5:$A$304,0)),0))</f>
        <v>0</v>
      </c>
      <c r="Q297" s="29">
        <f>IF(D297="","",IFERROR(INDEX(Invoices!$S$5:$S$304,MATCH(D297,Invoices!$A$5:$A$304,0)),0))</f>
        <v>0</v>
      </c>
      <c r="S297" s="28">
        <f>IF(B297="","",TEXT(B297,"yyyy-mm"))</f>
        <v>0</v>
      </c>
      <c r="T297" s="49">
        <f>IF(B297="","",IF(N297&lt;&gt;"Yes","Unconfirmed - check it cleared",IF(O297&lt;&gt;"Yes","To reconcile",IF(AND(D297&lt;&gt;"",Q297&gt;0.004),"Invoice still has a balance","OK"))))</f>
        <v>0</v>
      </c>
    </row>
    <row r="298" spans="1:20">
      <c r="A298" s="46">
        <f>IF(B298="","","PM-"&amp;TEXT(ROW()-4,"0000"))</f>
        <v>0</v>
      </c>
      <c r="K298" s="29">
        <f>IF(B298="","",ROUND(IF(E298="",0,E298)-IF(J298="",0,J298),2))</f>
        <v>0</v>
      </c>
      <c r="L298" s="29">
        <f>IF(B298="","",ROUND(IF(E298="",0,E298)+IF(H298="",0,H298)+IF(I298="",0,I298)-IF(J298="",0,J298),2))</f>
        <v>0</v>
      </c>
      <c r="P298" s="29">
        <f>IF(D298="","",IFERROR(INDEX(Invoices!$O$5:$O$304,MATCH(D298,Invoices!$A$5:$A$304,0)),0))</f>
        <v>0</v>
      </c>
      <c r="Q298" s="29">
        <f>IF(D298="","",IFERROR(INDEX(Invoices!$S$5:$S$304,MATCH(D298,Invoices!$A$5:$A$304,0)),0))</f>
        <v>0</v>
      </c>
      <c r="S298" s="28">
        <f>IF(B298="","",TEXT(B298,"yyyy-mm"))</f>
        <v>0</v>
      </c>
      <c r="T298" s="49">
        <f>IF(B298="","",IF(N298&lt;&gt;"Yes","Unconfirmed - check it cleared",IF(O298&lt;&gt;"Yes","To reconcile",IF(AND(D298&lt;&gt;"",Q298&gt;0.004),"Invoice still has a balance","OK"))))</f>
        <v>0</v>
      </c>
    </row>
    <row r="299" spans="1:20">
      <c r="A299" s="46">
        <f>IF(B299="","","PM-"&amp;TEXT(ROW()-4,"0000"))</f>
        <v>0</v>
      </c>
      <c r="K299" s="29">
        <f>IF(B299="","",ROUND(IF(E299="",0,E299)-IF(J299="",0,J299),2))</f>
        <v>0</v>
      </c>
      <c r="L299" s="29">
        <f>IF(B299="","",ROUND(IF(E299="",0,E299)+IF(H299="",0,H299)+IF(I299="",0,I299)-IF(J299="",0,J299),2))</f>
        <v>0</v>
      </c>
      <c r="P299" s="29">
        <f>IF(D299="","",IFERROR(INDEX(Invoices!$O$5:$O$304,MATCH(D299,Invoices!$A$5:$A$304,0)),0))</f>
        <v>0</v>
      </c>
      <c r="Q299" s="29">
        <f>IF(D299="","",IFERROR(INDEX(Invoices!$S$5:$S$304,MATCH(D299,Invoices!$A$5:$A$304,0)),0))</f>
        <v>0</v>
      </c>
      <c r="S299" s="28">
        <f>IF(B299="","",TEXT(B299,"yyyy-mm"))</f>
        <v>0</v>
      </c>
      <c r="T299" s="49">
        <f>IF(B299="","",IF(N299&lt;&gt;"Yes","Unconfirmed - check it cleared",IF(O299&lt;&gt;"Yes","To reconcile",IF(AND(D299&lt;&gt;"",Q299&gt;0.004),"Invoice still has a balance","OK"))))</f>
        <v>0</v>
      </c>
    </row>
    <row r="300" spans="1:20">
      <c r="A300" s="46">
        <f>IF(B300="","","PM-"&amp;TEXT(ROW()-4,"0000"))</f>
        <v>0</v>
      </c>
      <c r="K300" s="29">
        <f>IF(B300="","",ROUND(IF(E300="",0,E300)-IF(J300="",0,J300),2))</f>
        <v>0</v>
      </c>
      <c r="L300" s="29">
        <f>IF(B300="","",ROUND(IF(E300="",0,E300)+IF(H300="",0,H300)+IF(I300="",0,I300)-IF(J300="",0,J300),2))</f>
        <v>0</v>
      </c>
      <c r="P300" s="29">
        <f>IF(D300="","",IFERROR(INDEX(Invoices!$O$5:$O$304,MATCH(D300,Invoices!$A$5:$A$304,0)),0))</f>
        <v>0</v>
      </c>
      <c r="Q300" s="29">
        <f>IF(D300="","",IFERROR(INDEX(Invoices!$S$5:$S$304,MATCH(D300,Invoices!$A$5:$A$304,0)),0))</f>
        <v>0</v>
      </c>
      <c r="S300" s="28">
        <f>IF(B300="","",TEXT(B300,"yyyy-mm"))</f>
        <v>0</v>
      </c>
      <c r="T300" s="49">
        <f>IF(B300="","",IF(N300&lt;&gt;"Yes","Unconfirmed - check it cleared",IF(O300&lt;&gt;"Yes","To reconcile",IF(AND(D300&lt;&gt;"",Q300&gt;0.004),"Invoice still has a balance","OK"))))</f>
        <v>0</v>
      </c>
    </row>
    <row r="301" spans="1:20">
      <c r="A301" s="46">
        <f>IF(B301="","","PM-"&amp;TEXT(ROW()-4,"0000"))</f>
        <v>0</v>
      </c>
      <c r="K301" s="29">
        <f>IF(B301="","",ROUND(IF(E301="",0,E301)-IF(J301="",0,J301),2))</f>
        <v>0</v>
      </c>
      <c r="L301" s="29">
        <f>IF(B301="","",ROUND(IF(E301="",0,E301)+IF(H301="",0,H301)+IF(I301="",0,I301)-IF(J301="",0,J301),2))</f>
        <v>0</v>
      </c>
      <c r="P301" s="29">
        <f>IF(D301="","",IFERROR(INDEX(Invoices!$O$5:$O$304,MATCH(D301,Invoices!$A$5:$A$304,0)),0))</f>
        <v>0</v>
      </c>
      <c r="Q301" s="29">
        <f>IF(D301="","",IFERROR(INDEX(Invoices!$S$5:$S$304,MATCH(D301,Invoices!$A$5:$A$304,0)),0))</f>
        <v>0</v>
      </c>
      <c r="S301" s="28">
        <f>IF(B301="","",TEXT(B301,"yyyy-mm"))</f>
        <v>0</v>
      </c>
      <c r="T301" s="49">
        <f>IF(B301="","",IF(N301&lt;&gt;"Yes","Unconfirmed - check it cleared",IF(O301&lt;&gt;"Yes","To reconcile",IF(AND(D301&lt;&gt;"",Q301&gt;0.004),"Invoice still has a balance","OK"))))</f>
        <v>0</v>
      </c>
    </row>
    <row r="302" spans="1:20">
      <c r="A302" s="46">
        <f>IF(B302="","","PM-"&amp;TEXT(ROW()-4,"0000"))</f>
        <v>0</v>
      </c>
      <c r="K302" s="29">
        <f>IF(B302="","",ROUND(IF(E302="",0,E302)-IF(J302="",0,J302),2))</f>
        <v>0</v>
      </c>
      <c r="L302" s="29">
        <f>IF(B302="","",ROUND(IF(E302="",0,E302)+IF(H302="",0,H302)+IF(I302="",0,I302)-IF(J302="",0,J302),2))</f>
        <v>0</v>
      </c>
      <c r="P302" s="29">
        <f>IF(D302="","",IFERROR(INDEX(Invoices!$O$5:$O$304,MATCH(D302,Invoices!$A$5:$A$304,0)),0))</f>
        <v>0</v>
      </c>
      <c r="Q302" s="29">
        <f>IF(D302="","",IFERROR(INDEX(Invoices!$S$5:$S$304,MATCH(D302,Invoices!$A$5:$A$304,0)),0))</f>
        <v>0</v>
      </c>
      <c r="S302" s="28">
        <f>IF(B302="","",TEXT(B302,"yyyy-mm"))</f>
        <v>0</v>
      </c>
      <c r="T302" s="49">
        <f>IF(B302="","",IF(N302&lt;&gt;"Yes","Unconfirmed - check it cleared",IF(O302&lt;&gt;"Yes","To reconcile",IF(AND(D302&lt;&gt;"",Q302&gt;0.004),"Invoice still has a balance","OK"))))</f>
        <v>0</v>
      </c>
    </row>
    <row r="303" spans="1:20">
      <c r="A303" s="46">
        <f>IF(B303="","","PM-"&amp;TEXT(ROW()-4,"0000"))</f>
        <v>0</v>
      </c>
      <c r="K303" s="29">
        <f>IF(B303="","",ROUND(IF(E303="",0,E303)-IF(J303="",0,J303),2))</f>
        <v>0</v>
      </c>
      <c r="L303" s="29">
        <f>IF(B303="","",ROUND(IF(E303="",0,E303)+IF(H303="",0,H303)+IF(I303="",0,I303)-IF(J303="",0,J303),2))</f>
        <v>0</v>
      </c>
      <c r="P303" s="29">
        <f>IF(D303="","",IFERROR(INDEX(Invoices!$O$5:$O$304,MATCH(D303,Invoices!$A$5:$A$304,0)),0))</f>
        <v>0</v>
      </c>
      <c r="Q303" s="29">
        <f>IF(D303="","",IFERROR(INDEX(Invoices!$S$5:$S$304,MATCH(D303,Invoices!$A$5:$A$304,0)),0))</f>
        <v>0</v>
      </c>
      <c r="S303" s="28">
        <f>IF(B303="","",TEXT(B303,"yyyy-mm"))</f>
        <v>0</v>
      </c>
      <c r="T303" s="49">
        <f>IF(B303="","",IF(N303&lt;&gt;"Yes","Unconfirmed - check it cleared",IF(O303&lt;&gt;"Yes","To reconcile",IF(AND(D303&lt;&gt;"",Q303&gt;0.004),"Invoice still has a balance","OK"))))</f>
        <v>0</v>
      </c>
    </row>
    <row r="304" spans="1:20">
      <c r="A304" s="46">
        <f>IF(B304="","","PM-"&amp;TEXT(ROW()-4,"0000"))</f>
        <v>0</v>
      </c>
      <c r="K304" s="29">
        <f>IF(B304="","",ROUND(IF(E304="",0,E304)-IF(J304="",0,J304),2))</f>
        <v>0</v>
      </c>
      <c r="L304" s="29">
        <f>IF(B304="","",ROUND(IF(E304="",0,E304)+IF(H304="",0,H304)+IF(I304="",0,I304)-IF(J304="",0,J304),2))</f>
        <v>0</v>
      </c>
      <c r="P304" s="29">
        <f>IF(D304="","",IFERROR(INDEX(Invoices!$O$5:$O$304,MATCH(D304,Invoices!$A$5:$A$304,0)),0))</f>
        <v>0</v>
      </c>
      <c r="Q304" s="29">
        <f>IF(D304="","",IFERROR(INDEX(Invoices!$S$5:$S$304,MATCH(D304,Invoices!$A$5:$A$304,0)),0))</f>
        <v>0</v>
      </c>
      <c r="S304" s="28">
        <f>IF(B304="","",TEXT(B304,"yyyy-mm"))</f>
        <v>0</v>
      </c>
      <c r="T304" s="49">
        <f>IF(B304="","",IF(N304&lt;&gt;"Yes","Unconfirmed - check it cleared",IF(O304&lt;&gt;"Yes","To reconcile",IF(AND(D304&lt;&gt;"",Q304&gt;0.004),"Invoice still has a balance","OK"))))</f>
        <v>0</v>
      </c>
    </row>
  </sheetData>
  <sheetProtection password="EC7C" sheet="1" objects="1" scenarios="1" formatCells="0" formatColumns="0" formatRows="0" insertRows="0" insertHyperlinks="0" deleteRows="0" autoFilter="0"/>
  <autoFilter ref="A4:T304"/>
  <mergeCells count="13">
    <mergeCell ref="A1:Q1"/>
    <mergeCell ref="R1:T1"/>
    <mergeCell ref="A2:T2"/>
    <mergeCell ref="A3:B3"/>
    <mergeCell ref="C3:D3"/>
    <mergeCell ref="E3:F3"/>
    <mergeCell ref="G3:H3"/>
    <mergeCell ref="I3:J3"/>
    <mergeCell ref="K3:L3"/>
    <mergeCell ref="M3:N3"/>
    <mergeCell ref="O3:P3"/>
    <mergeCell ref="Q3:R3"/>
    <mergeCell ref="S3:T3"/>
  </mergeCells>
  <conditionalFormatting sqref="L5:L304">
    <cfRule type="dataBar" priority="1">
      <dataBar>
        <cfvo type="min" val="0"/>
        <cfvo type="max" val="0"/>
        <color rgb="FF2E7D8F"/>
      </dataBar>
    </cfRule>
  </conditionalFormatting>
  <conditionalFormatting sqref="N5:N304">
    <cfRule type="containsText" dxfId="0" priority="2" operator="containsText" text="Completed">
      <formula>NOT(ISERROR(SEARCH("Completed",N5)))</formula>
    </cfRule>
    <cfRule type="containsText" dxfId="0" priority="3" operator="containsText" text="Confirmed">
      <formula>NOT(ISERROR(SEARCH("Confirmed",N5)))</formula>
    </cfRule>
    <cfRule type="containsText" dxfId="0" priority="4" operator="containsText" text="Paid">
      <formula>NOT(ISERROR(SEARCH("Paid",N5)))</formula>
    </cfRule>
    <cfRule type="containsText" dxfId="0" priority="5" operator="containsText" text="Active">
      <formula>NOT(ISERROR(SEARCH("Active",N5)))</formula>
    </cfRule>
    <cfRule type="containsText" dxfId="0" priority="6" operator="containsText" text="Resolved">
      <formula>NOT(ISERROR(SEARCH("Resolved",N5)))</formula>
    </cfRule>
    <cfRule type="containsText" dxfId="0" priority="7" operator="containsText" text="Given">
      <formula>NOT(ISERROR(SEARCH("Given",N5)))</formula>
    </cfRule>
    <cfRule type="containsText" dxfId="2" priority="8" operator="containsText" text="Pending">
      <formula>NOT(ISERROR(SEARCH("Pending",N5)))</formula>
    </cfRule>
    <cfRule type="containsText" dxfId="2" priority="9" operator="containsText" text="Draft">
      <formula>NOT(ISERROR(SEARCH("Draft",N5)))</formula>
    </cfRule>
    <cfRule type="containsText" dxfId="2" priority="10" operator="containsText" text="Enquiry">
      <formula>NOT(ISERROR(SEARCH("Enquiry",N5)))</formula>
    </cfRule>
    <cfRule type="containsText" dxfId="2" priority="11" operator="containsText" text="Partially">
      <formula>NOT(ISERROR(SEARCH("Partially",N5)))</formula>
    </cfRule>
    <cfRule type="containsText" dxfId="3" priority="12" operator="containsText" text="In progress">
      <formula>NOT(ISERROR(SEARCH("In progress",N5)))</formula>
    </cfRule>
    <cfRule type="containsText" dxfId="3" priority="13" operator="containsText" text="Scheduled">
      <formula>NOT(ISERROR(SEARCH("Scheduled",N5)))</formula>
    </cfRule>
    <cfRule type="containsText" dxfId="3" priority="14" operator="containsText" text="Sent">
      <formula>NOT(ISERROR(SEARCH("Sent",N5)))</formula>
    </cfRule>
    <cfRule type="containsText" dxfId="1" priority="15" operator="containsText" text="Cancelled">
      <formula>NOT(ISERROR(SEARCH("Cancelled",N5)))</formula>
    </cfRule>
    <cfRule type="containsText" dxfId="1" priority="16" operator="containsText" text="No show">
      <formula>NOT(ISERROR(SEARCH("No show",N5)))</formula>
    </cfRule>
    <cfRule type="containsText" dxfId="1" priority="17" operator="containsText" text="Missed">
      <formula>NOT(ISERROR(SEARCH("Missed",N5)))</formula>
    </cfRule>
    <cfRule type="containsText" dxfId="1" priority="18" operator="containsText" text="Overdue">
      <formula>NOT(ISERROR(SEARCH("Overdue",N5)))</formula>
    </cfRule>
    <cfRule type="containsText" dxfId="4" priority="19" operator="containsText" text="Inactive">
      <formula>NOT(ISERROR(SEARCH("Inactive",N5)))</formula>
    </cfRule>
    <cfRule type="containsText" dxfId="1" priority="20" operator="containsText" text="Lost">
      <formula>NOT(ISERROR(SEARCH("Lost",N5)))</formula>
    </cfRule>
  </conditionalFormatting>
  <conditionalFormatting sqref="O5:O304">
    <cfRule type="containsText" dxfId="0" priority="21" operator="containsText" text="Completed">
      <formula>NOT(ISERROR(SEARCH("Completed",O5)))</formula>
    </cfRule>
    <cfRule type="containsText" dxfId="0" priority="22" operator="containsText" text="Confirmed">
      <formula>NOT(ISERROR(SEARCH("Confirmed",O5)))</formula>
    </cfRule>
    <cfRule type="containsText" dxfId="0" priority="23" operator="containsText" text="Paid">
      <formula>NOT(ISERROR(SEARCH("Paid",O5)))</formula>
    </cfRule>
    <cfRule type="containsText" dxfId="0" priority="24" operator="containsText" text="Active">
      <formula>NOT(ISERROR(SEARCH("Active",O5)))</formula>
    </cfRule>
    <cfRule type="containsText" dxfId="0" priority="25" operator="containsText" text="Resolved">
      <formula>NOT(ISERROR(SEARCH("Resolved",O5)))</formula>
    </cfRule>
    <cfRule type="containsText" dxfId="0" priority="26" operator="containsText" text="Given">
      <formula>NOT(ISERROR(SEARCH("Given",O5)))</formula>
    </cfRule>
    <cfRule type="containsText" dxfId="2" priority="27" operator="containsText" text="Pending">
      <formula>NOT(ISERROR(SEARCH("Pending",O5)))</formula>
    </cfRule>
    <cfRule type="containsText" dxfId="2" priority="28" operator="containsText" text="Draft">
      <formula>NOT(ISERROR(SEARCH("Draft",O5)))</formula>
    </cfRule>
    <cfRule type="containsText" dxfId="2" priority="29" operator="containsText" text="Enquiry">
      <formula>NOT(ISERROR(SEARCH("Enquiry",O5)))</formula>
    </cfRule>
    <cfRule type="containsText" dxfId="2" priority="30" operator="containsText" text="Partially">
      <formula>NOT(ISERROR(SEARCH("Partially",O5)))</formula>
    </cfRule>
    <cfRule type="containsText" dxfId="3" priority="31" operator="containsText" text="In progress">
      <formula>NOT(ISERROR(SEARCH("In progress",O5)))</formula>
    </cfRule>
    <cfRule type="containsText" dxfId="3" priority="32" operator="containsText" text="Scheduled">
      <formula>NOT(ISERROR(SEARCH("Scheduled",O5)))</formula>
    </cfRule>
    <cfRule type="containsText" dxfId="3" priority="33" operator="containsText" text="Sent">
      <formula>NOT(ISERROR(SEARCH("Sent",O5)))</formula>
    </cfRule>
    <cfRule type="containsText" dxfId="1" priority="34" operator="containsText" text="Cancelled">
      <formula>NOT(ISERROR(SEARCH("Cancelled",O5)))</formula>
    </cfRule>
    <cfRule type="containsText" dxfId="1" priority="35" operator="containsText" text="No show">
      <formula>NOT(ISERROR(SEARCH("No show",O5)))</formula>
    </cfRule>
    <cfRule type="containsText" dxfId="1" priority="36" operator="containsText" text="Missed">
      <formula>NOT(ISERROR(SEARCH("Missed",O5)))</formula>
    </cfRule>
    <cfRule type="containsText" dxfId="1" priority="37" operator="containsText" text="Overdue">
      <formula>NOT(ISERROR(SEARCH("Overdue",O5)))</formula>
    </cfRule>
    <cfRule type="containsText" dxfId="4" priority="38" operator="containsText" text="Inactive">
      <formula>NOT(ISERROR(SEARCH("Inactive",O5)))</formula>
    </cfRule>
    <cfRule type="containsText" dxfId="1" priority="39" operator="containsText" text="Lost">
      <formula>NOT(ISERROR(SEARCH("Lost",O5)))</formula>
    </cfRule>
  </conditionalFormatting>
  <conditionalFormatting sqref="Q5:Q304">
    <cfRule type="cellIs" dxfId="2" priority="40" operator="greaterThan">
      <formula>0.004</formula>
    </cfRule>
  </conditionalFormatting>
  <conditionalFormatting sqref="T5:T304">
    <cfRule type="beginsWith" dxfId="0" priority="41" operator="beginsWith" text="OK">
      <formula>LEFT(T5,2)="OK"</formula>
    </cfRule>
    <cfRule type="containsText" dxfId="1" priority="42" operator="containsText" text="Overdue">
      <formula>NOT(ISERROR(SEARCH("Overdue",T5)))</formula>
    </cfRule>
    <cfRule type="containsText" dxfId="1" priority="43" operator="containsText" text="Missed">
      <formula>NOT(ISERROR(SEARCH("Missed",T5)))</formula>
    </cfRule>
    <cfRule type="containsText" dxfId="1" priority="44" operator="containsText" text="Conflict">
      <formula>NOT(ISERROR(SEARCH("Conflict",T5)))</formula>
    </cfRule>
    <cfRule type="containsText" dxfId="1" priority="45" operator="containsText" text="Expired">
      <formula>NOT(ISERROR(SEARCH("Expired",T5)))</formula>
    </cfRule>
    <cfRule type="containsText" dxfId="1" priority="46" operator="containsText" text="Duplicate">
      <formula>NOT(ISERROR(SEARCH("Duplicate",T5)))</formula>
    </cfRule>
    <cfRule type="containsText" dxfId="2" priority="47" operator="containsText" text="Action">
      <formula>NOT(ISERROR(SEARCH("Action",T5)))</formula>
    </cfRule>
    <cfRule type="containsText" dxfId="2" priority="48" operator="containsText" text="Due">
      <formula>NOT(ISERROR(SEARCH("Due",T5)))</formula>
    </cfRule>
    <cfRule type="containsText" dxfId="2" priority="49" operator="containsText" text="Check">
      <formula>NOT(ISERROR(SEARCH("Check",T5)))</formula>
    </cfRule>
    <cfRule type="containsText" dxfId="3" priority="50" operator="containsText" text="Today">
      <formula>NOT(ISERROR(SEARCH("Today",T5)))</formula>
    </cfRule>
    <cfRule type="containsText" dxfId="3" priority="51" operator="containsText" text="Upcoming">
      <formula>NOT(ISERROR(SEARCH("Upcoming",T5)))</formula>
    </cfRule>
  </conditionalFormatting>
  <dataValidations count="11">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ClientNames</formula1>
    </dataValidation>
    <dataValidation type="list" allowBlank="1" showInputMessage="1" showErrorMessage="1" promptTitle="Invoice no." prompt="Match the payment to an invoice so balances update automatically. Leave blank for an unlinked payment." sqref="D5:D304">
      <formula1>InvoiceNos</formula1>
    </dataValidation>
    <dataValidation type="decimal" allowBlank="1" showInputMessage="1" showErrorMessage="1" errorTitle="Check the value" error="Enter a number between 0 and 1000000." promptTitle="Amount applied" prompt="The part of the payment that pays down the invoice." sqref="E5:E304">
      <formula1>0</formula1>
      <formula2>1000000</formula2>
    </dataValidation>
    <dataValidation type="list" allowBlank="1" showInputMessage="1" showErrorMessage="1" sqref="F5:F304">
      <formula1>PaymentMethodList</formula1>
    </dataValidation>
    <dataValidation type="decimal" allowBlank="1" showInputMessage="1" showErrorMessage="1" errorTitle="Check the value" error="Enter a number between 0 and 100000." sqref="H5:H304">
      <formula1>0</formula1>
      <formula2>100000</formula2>
    </dataValidation>
    <dataValidation type="decimal" allowBlank="1" showInputMessage="1" showErrorMessage="1" errorTitle="Check the value" error="Enter a number between 0 and 100000." sqref="I5:I304">
      <formula1>0</formula1>
      <formula2>100000</formula2>
    </dataValidation>
    <dataValidation type="decimal" allowBlank="1" showInputMessage="1" showErrorMessage="1" errorTitle="Check the value" error="Enter a number between 0 and 1000000." sqref="J5:J304">
      <formula1>0</formula1>
      <formula2>1000000</formula2>
    </dataValidation>
    <dataValidation type="list" allowBlank="1" showInputMessage="1" showErrorMessage="1" sqref="M5:M304">
      <formula1>"Yes,No"</formula1>
    </dataValidation>
    <dataValidation type="list" allowBlank="1" showInputMessage="1" showErrorMessage="1" sqref="N5:N304">
      <formula1>"Yes,No"</formula1>
    </dataValidation>
    <dataValidation type="list" allowBlank="1" showInputMessage="1" showErrorMessage="1" sqref="O5:O304">
      <formula1>"Yes,No"</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&amp;L&amp;"Calibri,Bold"&amp;12&amp;C&amp;"Calibri,Bold"&amp;11Payments&amp;R&amp;"Calibri,Italic"&amp;9Pet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5.xml><?xml version="1.0" encoding="utf-8"?>
<worksheet xmlns="http://schemas.openxmlformats.org/spreadsheetml/2006/main" xmlns:r="http://schemas.openxmlformats.org/officeDocument/2006/relationships">
  <sheetPr>
    <tabColor rgb="FF9C1C2E"/>
    <pageSetUpPr fitToPage="1"/>
  </sheetPr>
  <dimension ref="A1:U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22.7109375" style="20" customWidth="1"/>
    <col min="4" max="4" width="34.7109375" style="47" customWidth="1"/>
    <col min="5" max="5" width="20.7109375" style="20" customWidth="1"/>
    <col min="6" max="6" width="12.7109375" style="42" customWidth="1"/>
    <col min="7" max="7" width="11.7109375" style="29" customWidth="1"/>
    <col min="8" max="8" width="11.7109375" style="29" customWidth="1"/>
    <col min="9" max="9" width="16.7109375" style="20" customWidth="1"/>
    <col min="10" max="10" width="12.7109375" style="48" customWidth="1"/>
    <col min="11" max="11" width="10.7109375" style="41" customWidth="1"/>
    <col min="12" max="12" width="12.7109375" style="29" customWidth="1"/>
    <col min="13" max="13" width="18.7109375" style="20" customWidth="1"/>
    <col min="14" max="14" width="12.7109375" style="20" customWidth="1"/>
    <col min="15" max="15" width="12.7109375" style="21" customWidth="1"/>
    <col min="16" max="16" width="12.7109375" style="48" customWidth="1"/>
    <col min="17" max="17" width="18.7109375" style="20" customWidth="1"/>
    <col min="18" max="18" width="15.7109375" style="20" customWidth="1"/>
    <col min="19" max="19" width="26.7109375" style="47" customWidth="1"/>
    <col min="20" max="20" width="10.7109375" style="28" customWidth="1"/>
    <col min="21" max="21" width="22.7109375" style="49" customWidth="1"/>
  </cols>
  <sheetData>
    <row r="1" spans="1:21" ht="34" customHeight="1">
      <c r="A1" s="2" t="s">
        <v>906</v>
      </c>
      <c r="B1" s="2"/>
      <c r="C1" s="2"/>
      <c r="D1" s="2"/>
      <c r="E1" s="2"/>
      <c r="F1" s="2"/>
      <c r="G1" s="2"/>
      <c r="H1" s="2"/>
      <c r="I1" s="2"/>
      <c r="J1" s="2"/>
      <c r="K1" s="2"/>
      <c r="L1" s="2"/>
      <c r="M1" s="2"/>
      <c r="N1" s="2"/>
      <c r="O1" s="2"/>
      <c r="P1" s="2"/>
      <c r="Q1" s="2"/>
      <c r="R1" s="2"/>
      <c r="S1" s="3" t="s">
        <v>118</v>
      </c>
      <c r="T1" s="3"/>
      <c r="U1" s="3"/>
    </row>
    <row r="2" spans="1:21" ht="18" customHeight="1">
      <c r="A2" s="4" t="s">
        <v>907</v>
      </c>
      <c r="B2" s="4"/>
      <c r="C2" s="4"/>
      <c r="D2" s="4"/>
      <c r="E2" s="4"/>
      <c r="F2" s="4"/>
      <c r="G2" s="4"/>
      <c r="H2" s="4"/>
      <c r="I2" s="4"/>
      <c r="J2" s="4"/>
      <c r="K2" s="4"/>
      <c r="L2" s="4"/>
      <c r="M2" s="4"/>
      <c r="N2" s="4"/>
      <c r="O2" s="4"/>
      <c r="P2" s="4"/>
      <c r="Q2" s="4"/>
      <c r="R2" s="4"/>
      <c r="S2" s="4"/>
      <c r="T2" s="4"/>
      <c r="U2" s="4"/>
    </row>
    <row r="3" spans="1:21"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c r="T3" s="38"/>
      <c r="U3" s="38"/>
    </row>
    <row r="4" spans="1:21" ht="30" customHeight="1">
      <c r="A4" s="8" t="s">
        <v>642</v>
      </c>
      <c r="B4" s="8" t="s">
        <v>337</v>
      </c>
      <c r="C4" s="9" t="s">
        <v>200</v>
      </c>
      <c r="D4" s="9" t="s">
        <v>908</v>
      </c>
      <c r="E4" s="9" t="s">
        <v>909</v>
      </c>
      <c r="F4" s="9" t="s">
        <v>884</v>
      </c>
      <c r="G4" s="9" t="s">
        <v>910</v>
      </c>
      <c r="H4" s="9" t="s">
        <v>911</v>
      </c>
      <c r="I4" s="9" t="s">
        <v>912</v>
      </c>
      <c r="J4" s="9" t="s">
        <v>572</v>
      </c>
      <c r="K4" s="9" t="s">
        <v>913</v>
      </c>
      <c r="L4" s="9" t="s">
        <v>914</v>
      </c>
      <c r="M4" s="9" t="s">
        <v>915</v>
      </c>
      <c r="N4" s="9" t="s">
        <v>916</v>
      </c>
      <c r="O4" s="9" t="s">
        <v>917</v>
      </c>
      <c r="P4" s="9" t="s">
        <v>918</v>
      </c>
      <c r="Q4" s="9" t="s">
        <v>919</v>
      </c>
      <c r="R4" s="9" t="s">
        <v>920</v>
      </c>
      <c r="S4" s="9" t="s">
        <v>339</v>
      </c>
      <c r="T4" s="9" t="s">
        <v>131</v>
      </c>
      <c r="U4" s="9" t="s">
        <v>686</v>
      </c>
    </row>
    <row r="5" spans="1:21">
      <c r="A5" s="46">
        <f>IF(B5="","","EX-"&amp;TEXT(ROW()-4,"0000"))</f>
        <v>0</v>
      </c>
      <c r="G5" s="29">
        <f>IF(F5="","",IF(TaxRegistered&lt;&gt;"Yes",0,ROUND(F5-F5/(1+TaxRate),2)))</f>
        <v>0</v>
      </c>
      <c r="H5" s="29">
        <f>IF(F5="","",ROUND(F5-G5,2))</f>
        <v>0</v>
      </c>
      <c r="L5" s="29">
        <f>IF(F5="","",IF(J5="Personal",0,ROUND(H5*IF(K5="",1,K5),2)))</f>
        <v>0</v>
      </c>
      <c r="O5" s="21">
        <f>IF(OR(B5="",N5="",N5="No"),"",IF(N5="Monthly",EDATE(B5,1),IF(N5="Quarterly",EDATE(B5,3),IF(N5="Annually",EDATE(B5,12),B5+IF(N5="Weekly",7,IF(N5="Fortnightly",14,0))))))</f>
        <v>0</v>
      </c>
      <c r="T5" s="28">
        <f>IF(B5="","",TEXT(B5,"yyyy-mm"))</f>
        <v>0</v>
      </c>
      <c r="U5" s="49">
        <f>IF(B5="","",IF(P5="Pending","Awaiting approval",IF(M5="","Missing receipt",IF(AND(O5&lt;&gt;"",O5&lt;=TODAY()),"Recurring cost due","OK"))))</f>
        <v>0</v>
      </c>
    </row>
    <row r="6" spans="1:21">
      <c r="A6" s="46">
        <f>IF(B6="","","EX-"&amp;TEXT(ROW()-4,"0000"))</f>
        <v>0</v>
      </c>
      <c r="G6" s="29">
        <f>IF(F6="","",IF(TaxRegistered&lt;&gt;"Yes",0,ROUND(F6-F6/(1+TaxRate),2)))</f>
        <v>0</v>
      </c>
      <c r="H6" s="29">
        <f>IF(F6="","",ROUND(F6-G6,2))</f>
        <v>0</v>
      </c>
      <c r="L6" s="29">
        <f>IF(F6="","",IF(J6="Personal",0,ROUND(H6*IF(K6="",1,K6),2)))</f>
        <v>0</v>
      </c>
      <c r="O6" s="21">
        <f>IF(OR(B6="",N6="",N6="No"),"",IF(N6="Monthly",EDATE(B6,1),IF(N6="Quarterly",EDATE(B6,3),IF(N6="Annually",EDATE(B6,12),B6+IF(N6="Weekly",7,IF(N6="Fortnightly",14,0))))))</f>
        <v>0</v>
      </c>
      <c r="T6" s="28">
        <f>IF(B6="","",TEXT(B6,"yyyy-mm"))</f>
        <v>0</v>
      </c>
      <c r="U6" s="49">
        <f>IF(B6="","",IF(P6="Pending","Awaiting approval",IF(M6="","Missing receipt",IF(AND(O6&lt;&gt;"",O6&lt;=TODAY()),"Recurring cost due","OK"))))</f>
        <v>0</v>
      </c>
    </row>
    <row r="7" spans="1:21">
      <c r="A7" s="46">
        <f>IF(B7="","","EX-"&amp;TEXT(ROW()-4,"0000"))</f>
        <v>0</v>
      </c>
      <c r="G7" s="29">
        <f>IF(F7="","",IF(TaxRegistered&lt;&gt;"Yes",0,ROUND(F7-F7/(1+TaxRate),2)))</f>
        <v>0</v>
      </c>
      <c r="H7" s="29">
        <f>IF(F7="","",ROUND(F7-G7,2))</f>
        <v>0</v>
      </c>
      <c r="L7" s="29">
        <f>IF(F7="","",IF(J7="Personal",0,ROUND(H7*IF(K7="",1,K7),2)))</f>
        <v>0</v>
      </c>
      <c r="O7" s="21">
        <f>IF(OR(B7="",N7="",N7="No"),"",IF(N7="Monthly",EDATE(B7,1),IF(N7="Quarterly",EDATE(B7,3),IF(N7="Annually",EDATE(B7,12),B7+IF(N7="Weekly",7,IF(N7="Fortnightly",14,0))))))</f>
        <v>0</v>
      </c>
      <c r="T7" s="28">
        <f>IF(B7="","",TEXT(B7,"yyyy-mm"))</f>
        <v>0</v>
      </c>
      <c r="U7" s="49">
        <f>IF(B7="","",IF(P7="Pending","Awaiting approval",IF(M7="","Missing receipt",IF(AND(O7&lt;&gt;"",O7&lt;=TODAY()),"Recurring cost due","OK"))))</f>
        <v>0</v>
      </c>
    </row>
    <row r="8" spans="1:21">
      <c r="A8" s="46">
        <f>IF(B8="","","EX-"&amp;TEXT(ROW()-4,"0000"))</f>
        <v>0</v>
      </c>
      <c r="G8" s="29">
        <f>IF(F8="","",IF(TaxRegistered&lt;&gt;"Yes",0,ROUND(F8-F8/(1+TaxRate),2)))</f>
        <v>0</v>
      </c>
      <c r="H8" s="29">
        <f>IF(F8="","",ROUND(F8-G8,2))</f>
        <v>0</v>
      </c>
      <c r="L8" s="29">
        <f>IF(F8="","",IF(J8="Personal",0,ROUND(H8*IF(K8="",1,K8),2)))</f>
        <v>0</v>
      </c>
      <c r="O8" s="21">
        <f>IF(OR(B8="",N8="",N8="No"),"",IF(N8="Monthly",EDATE(B8,1),IF(N8="Quarterly",EDATE(B8,3),IF(N8="Annually",EDATE(B8,12),B8+IF(N8="Weekly",7,IF(N8="Fortnightly",14,0))))))</f>
        <v>0</v>
      </c>
      <c r="T8" s="28">
        <f>IF(B8="","",TEXT(B8,"yyyy-mm"))</f>
        <v>0</v>
      </c>
      <c r="U8" s="49">
        <f>IF(B8="","",IF(P8="Pending","Awaiting approval",IF(M8="","Missing receipt",IF(AND(O8&lt;&gt;"",O8&lt;=TODAY()),"Recurring cost due","OK"))))</f>
        <v>0</v>
      </c>
    </row>
    <row r="9" spans="1:21">
      <c r="A9" s="46">
        <f>IF(B9="","","EX-"&amp;TEXT(ROW()-4,"0000"))</f>
        <v>0</v>
      </c>
      <c r="G9" s="29">
        <f>IF(F9="","",IF(TaxRegistered&lt;&gt;"Yes",0,ROUND(F9-F9/(1+TaxRate),2)))</f>
        <v>0</v>
      </c>
      <c r="H9" s="29">
        <f>IF(F9="","",ROUND(F9-G9,2))</f>
        <v>0</v>
      </c>
      <c r="L9" s="29">
        <f>IF(F9="","",IF(J9="Personal",0,ROUND(H9*IF(K9="",1,K9),2)))</f>
        <v>0</v>
      </c>
      <c r="O9" s="21">
        <f>IF(OR(B9="",N9="",N9="No"),"",IF(N9="Monthly",EDATE(B9,1),IF(N9="Quarterly",EDATE(B9,3),IF(N9="Annually",EDATE(B9,12),B9+IF(N9="Weekly",7,IF(N9="Fortnightly",14,0))))))</f>
        <v>0</v>
      </c>
      <c r="T9" s="28">
        <f>IF(B9="","",TEXT(B9,"yyyy-mm"))</f>
        <v>0</v>
      </c>
      <c r="U9" s="49">
        <f>IF(B9="","",IF(P9="Pending","Awaiting approval",IF(M9="","Missing receipt",IF(AND(O9&lt;&gt;"",O9&lt;=TODAY()),"Recurring cost due","OK"))))</f>
        <v>0</v>
      </c>
    </row>
    <row r="10" spans="1:21">
      <c r="A10" s="46">
        <f>IF(B10="","","EX-"&amp;TEXT(ROW()-4,"0000"))</f>
        <v>0</v>
      </c>
      <c r="G10" s="29">
        <f>IF(F10="","",IF(TaxRegistered&lt;&gt;"Yes",0,ROUND(F10-F10/(1+TaxRate),2)))</f>
        <v>0</v>
      </c>
      <c r="H10" s="29">
        <f>IF(F10="","",ROUND(F10-G10,2))</f>
        <v>0</v>
      </c>
      <c r="L10" s="29">
        <f>IF(F10="","",IF(J10="Personal",0,ROUND(H10*IF(K10="",1,K10),2)))</f>
        <v>0</v>
      </c>
      <c r="O10" s="21">
        <f>IF(OR(B10="",N10="",N10="No"),"",IF(N10="Monthly",EDATE(B10,1),IF(N10="Quarterly",EDATE(B10,3),IF(N10="Annually",EDATE(B10,12),B10+IF(N10="Weekly",7,IF(N10="Fortnightly",14,0))))))</f>
        <v>0</v>
      </c>
      <c r="T10" s="28">
        <f>IF(B10="","",TEXT(B10,"yyyy-mm"))</f>
        <v>0</v>
      </c>
      <c r="U10" s="49">
        <f>IF(B10="","",IF(P10="Pending","Awaiting approval",IF(M10="","Missing receipt",IF(AND(O10&lt;&gt;"",O10&lt;=TODAY()),"Recurring cost due","OK"))))</f>
        <v>0</v>
      </c>
    </row>
    <row r="11" spans="1:21">
      <c r="A11" s="46">
        <f>IF(B11="","","EX-"&amp;TEXT(ROW()-4,"0000"))</f>
        <v>0</v>
      </c>
      <c r="G11" s="29">
        <f>IF(F11="","",IF(TaxRegistered&lt;&gt;"Yes",0,ROUND(F11-F11/(1+TaxRate),2)))</f>
        <v>0</v>
      </c>
      <c r="H11" s="29">
        <f>IF(F11="","",ROUND(F11-G11,2))</f>
        <v>0</v>
      </c>
      <c r="L11" s="29">
        <f>IF(F11="","",IF(J11="Personal",0,ROUND(H11*IF(K11="",1,K11),2)))</f>
        <v>0</v>
      </c>
      <c r="O11" s="21">
        <f>IF(OR(B11="",N11="",N11="No"),"",IF(N11="Monthly",EDATE(B11,1),IF(N11="Quarterly",EDATE(B11,3),IF(N11="Annually",EDATE(B11,12),B11+IF(N11="Weekly",7,IF(N11="Fortnightly",14,0))))))</f>
        <v>0</v>
      </c>
      <c r="T11" s="28">
        <f>IF(B11="","",TEXT(B11,"yyyy-mm"))</f>
        <v>0</v>
      </c>
      <c r="U11" s="49">
        <f>IF(B11="","",IF(P11="Pending","Awaiting approval",IF(M11="","Missing receipt",IF(AND(O11&lt;&gt;"",O11&lt;=TODAY()),"Recurring cost due","OK"))))</f>
        <v>0</v>
      </c>
    </row>
    <row r="12" spans="1:21">
      <c r="A12" s="46">
        <f>IF(B12="","","EX-"&amp;TEXT(ROW()-4,"0000"))</f>
        <v>0</v>
      </c>
      <c r="G12" s="29">
        <f>IF(F12="","",IF(TaxRegistered&lt;&gt;"Yes",0,ROUND(F12-F12/(1+TaxRate),2)))</f>
        <v>0</v>
      </c>
      <c r="H12" s="29">
        <f>IF(F12="","",ROUND(F12-G12,2))</f>
        <v>0</v>
      </c>
      <c r="L12" s="29">
        <f>IF(F12="","",IF(J12="Personal",0,ROUND(H12*IF(K12="",1,K12),2)))</f>
        <v>0</v>
      </c>
      <c r="O12" s="21">
        <f>IF(OR(B12="",N12="",N12="No"),"",IF(N12="Monthly",EDATE(B12,1),IF(N12="Quarterly",EDATE(B12,3),IF(N12="Annually",EDATE(B12,12),B12+IF(N12="Weekly",7,IF(N12="Fortnightly",14,0))))))</f>
        <v>0</v>
      </c>
      <c r="T12" s="28">
        <f>IF(B12="","",TEXT(B12,"yyyy-mm"))</f>
        <v>0</v>
      </c>
      <c r="U12" s="49">
        <f>IF(B12="","",IF(P12="Pending","Awaiting approval",IF(M12="","Missing receipt",IF(AND(O12&lt;&gt;"",O12&lt;=TODAY()),"Recurring cost due","OK"))))</f>
        <v>0</v>
      </c>
    </row>
    <row r="13" spans="1:21">
      <c r="A13" s="46">
        <f>IF(B13="","","EX-"&amp;TEXT(ROW()-4,"0000"))</f>
        <v>0</v>
      </c>
      <c r="G13" s="29">
        <f>IF(F13="","",IF(TaxRegistered&lt;&gt;"Yes",0,ROUND(F13-F13/(1+TaxRate),2)))</f>
        <v>0</v>
      </c>
      <c r="H13" s="29">
        <f>IF(F13="","",ROUND(F13-G13,2))</f>
        <v>0</v>
      </c>
      <c r="L13" s="29">
        <f>IF(F13="","",IF(J13="Personal",0,ROUND(H13*IF(K13="",1,K13),2)))</f>
        <v>0</v>
      </c>
      <c r="O13" s="21">
        <f>IF(OR(B13="",N13="",N13="No"),"",IF(N13="Monthly",EDATE(B13,1),IF(N13="Quarterly",EDATE(B13,3),IF(N13="Annually",EDATE(B13,12),B13+IF(N13="Weekly",7,IF(N13="Fortnightly",14,0))))))</f>
        <v>0</v>
      </c>
      <c r="T13" s="28">
        <f>IF(B13="","",TEXT(B13,"yyyy-mm"))</f>
        <v>0</v>
      </c>
      <c r="U13" s="49">
        <f>IF(B13="","",IF(P13="Pending","Awaiting approval",IF(M13="","Missing receipt",IF(AND(O13&lt;&gt;"",O13&lt;=TODAY()),"Recurring cost due","OK"))))</f>
        <v>0</v>
      </c>
    </row>
    <row r="14" spans="1:21">
      <c r="A14" s="46">
        <f>IF(B14="","","EX-"&amp;TEXT(ROW()-4,"0000"))</f>
        <v>0</v>
      </c>
      <c r="G14" s="29">
        <f>IF(F14="","",IF(TaxRegistered&lt;&gt;"Yes",0,ROUND(F14-F14/(1+TaxRate),2)))</f>
        <v>0</v>
      </c>
      <c r="H14" s="29">
        <f>IF(F14="","",ROUND(F14-G14,2))</f>
        <v>0</v>
      </c>
      <c r="L14" s="29">
        <f>IF(F14="","",IF(J14="Personal",0,ROUND(H14*IF(K14="",1,K14),2)))</f>
        <v>0</v>
      </c>
      <c r="O14" s="21">
        <f>IF(OR(B14="",N14="",N14="No"),"",IF(N14="Monthly",EDATE(B14,1),IF(N14="Quarterly",EDATE(B14,3),IF(N14="Annually",EDATE(B14,12),B14+IF(N14="Weekly",7,IF(N14="Fortnightly",14,0))))))</f>
        <v>0</v>
      </c>
      <c r="T14" s="28">
        <f>IF(B14="","",TEXT(B14,"yyyy-mm"))</f>
        <v>0</v>
      </c>
      <c r="U14" s="49">
        <f>IF(B14="","",IF(P14="Pending","Awaiting approval",IF(M14="","Missing receipt",IF(AND(O14&lt;&gt;"",O14&lt;=TODAY()),"Recurring cost due","OK"))))</f>
        <v>0</v>
      </c>
    </row>
    <row r="15" spans="1:21">
      <c r="A15" s="46">
        <f>IF(B15="","","EX-"&amp;TEXT(ROW()-4,"0000"))</f>
        <v>0</v>
      </c>
      <c r="G15" s="29">
        <f>IF(F15="","",IF(TaxRegistered&lt;&gt;"Yes",0,ROUND(F15-F15/(1+TaxRate),2)))</f>
        <v>0</v>
      </c>
      <c r="H15" s="29">
        <f>IF(F15="","",ROUND(F15-G15,2))</f>
        <v>0</v>
      </c>
      <c r="L15" s="29">
        <f>IF(F15="","",IF(J15="Personal",0,ROUND(H15*IF(K15="",1,K15),2)))</f>
        <v>0</v>
      </c>
      <c r="O15" s="21">
        <f>IF(OR(B15="",N15="",N15="No"),"",IF(N15="Monthly",EDATE(B15,1),IF(N15="Quarterly",EDATE(B15,3),IF(N15="Annually",EDATE(B15,12),B15+IF(N15="Weekly",7,IF(N15="Fortnightly",14,0))))))</f>
        <v>0</v>
      </c>
      <c r="T15" s="28">
        <f>IF(B15="","",TEXT(B15,"yyyy-mm"))</f>
        <v>0</v>
      </c>
      <c r="U15" s="49">
        <f>IF(B15="","",IF(P15="Pending","Awaiting approval",IF(M15="","Missing receipt",IF(AND(O15&lt;&gt;"",O15&lt;=TODAY()),"Recurring cost due","OK"))))</f>
        <v>0</v>
      </c>
    </row>
    <row r="16" spans="1:21">
      <c r="A16" s="46">
        <f>IF(B16="","","EX-"&amp;TEXT(ROW()-4,"0000"))</f>
        <v>0</v>
      </c>
      <c r="G16" s="29">
        <f>IF(F16="","",IF(TaxRegistered&lt;&gt;"Yes",0,ROUND(F16-F16/(1+TaxRate),2)))</f>
        <v>0</v>
      </c>
      <c r="H16" s="29">
        <f>IF(F16="","",ROUND(F16-G16,2))</f>
        <v>0</v>
      </c>
      <c r="L16" s="29">
        <f>IF(F16="","",IF(J16="Personal",0,ROUND(H16*IF(K16="",1,K16),2)))</f>
        <v>0</v>
      </c>
      <c r="O16" s="21">
        <f>IF(OR(B16="",N16="",N16="No"),"",IF(N16="Monthly",EDATE(B16,1),IF(N16="Quarterly",EDATE(B16,3),IF(N16="Annually",EDATE(B16,12),B16+IF(N16="Weekly",7,IF(N16="Fortnightly",14,0))))))</f>
        <v>0</v>
      </c>
      <c r="T16" s="28">
        <f>IF(B16="","",TEXT(B16,"yyyy-mm"))</f>
        <v>0</v>
      </c>
      <c r="U16" s="49">
        <f>IF(B16="","",IF(P16="Pending","Awaiting approval",IF(M16="","Missing receipt",IF(AND(O16&lt;&gt;"",O16&lt;=TODAY()),"Recurring cost due","OK"))))</f>
        <v>0</v>
      </c>
    </row>
    <row r="17" spans="1:21">
      <c r="A17" s="46">
        <f>IF(B17="","","EX-"&amp;TEXT(ROW()-4,"0000"))</f>
        <v>0</v>
      </c>
      <c r="G17" s="29">
        <f>IF(F17="","",IF(TaxRegistered&lt;&gt;"Yes",0,ROUND(F17-F17/(1+TaxRate),2)))</f>
        <v>0</v>
      </c>
      <c r="H17" s="29">
        <f>IF(F17="","",ROUND(F17-G17,2))</f>
        <v>0</v>
      </c>
      <c r="L17" s="29">
        <f>IF(F17="","",IF(J17="Personal",0,ROUND(H17*IF(K17="",1,K17),2)))</f>
        <v>0</v>
      </c>
      <c r="O17" s="21">
        <f>IF(OR(B17="",N17="",N17="No"),"",IF(N17="Monthly",EDATE(B17,1),IF(N17="Quarterly",EDATE(B17,3),IF(N17="Annually",EDATE(B17,12),B17+IF(N17="Weekly",7,IF(N17="Fortnightly",14,0))))))</f>
        <v>0</v>
      </c>
      <c r="T17" s="28">
        <f>IF(B17="","",TEXT(B17,"yyyy-mm"))</f>
        <v>0</v>
      </c>
      <c r="U17" s="49">
        <f>IF(B17="","",IF(P17="Pending","Awaiting approval",IF(M17="","Missing receipt",IF(AND(O17&lt;&gt;"",O17&lt;=TODAY()),"Recurring cost due","OK"))))</f>
        <v>0</v>
      </c>
    </row>
    <row r="18" spans="1:21">
      <c r="A18" s="46">
        <f>IF(B18="","","EX-"&amp;TEXT(ROW()-4,"0000"))</f>
        <v>0</v>
      </c>
      <c r="G18" s="29">
        <f>IF(F18="","",IF(TaxRegistered&lt;&gt;"Yes",0,ROUND(F18-F18/(1+TaxRate),2)))</f>
        <v>0</v>
      </c>
      <c r="H18" s="29">
        <f>IF(F18="","",ROUND(F18-G18,2))</f>
        <v>0</v>
      </c>
      <c r="L18" s="29">
        <f>IF(F18="","",IF(J18="Personal",0,ROUND(H18*IF(K18="",1,K18),2)))</f>
        <v>0</v>
      </c>
      <c r="O18" s="21">
        <f>IF(OR(B18="",N18="",N18="No"),"",IF(N18="Monthly",EDATE(B18,1),IF(N18="Quarterly",EDATE(B18,3),IF(N18="Annually",EDATE(B18,12),B18+IF(N18="Weekly",7,IF(N18="Fortnightly",14,0))))))</f>
        <v>0</v>
      </c>
      <c r="T18" s="28">
        <f>IF(B18="","",TEXT(B18,"yyyy-mm"))</f>
        <v>0</v>
      </c>
      <c r="U18" s="49">
        <f>IF(B18="","",IF(P18="Pending","Awaiting approval",IF(M18="","Missing receipt",IF(AND(O18&lt;&gt;"",O18&lt;=TODAY()),"Recurring cost due","OK"))))</f>
        <v>0</v>
      </c>
    </row>
    <row r="19" spans="1:21">
      <c r="A19" s="46">
        <f>IF(B19="","","EX-"&amp;TEXT(ROW()-4,"0000"))</f>
        <v>0</v>
      </c>
      <c r="G19" s="29">
        <f>IF(F19="","",IF(TaxRegistered&lt;&gt;"Yes",0,ROUND(F19-F19/(1+TaxRate),2)))</f>
        <v>0</v>
      </c>
      <c r="H19" s="29">
        <f>IF(F19="","",ROUND(F19-G19,2))</f>
        <v>0</v>
      </c>
      <c r="L19" s="29">
        <f>IF(F19="","",IF(J19="Personal",0,ROUND(H19*IF(K19="",1,K19),2)))</f>
        <v>0</v>
      </c>
      <c r="O19" s="21">
        <f>IF(OR(B19="",N19="",N19="No"),"",IF(N19="Monthly",EDATE(B19,1),IF(N19="Quarterly",EDATE(B19,3),IF(N19="Annually",EDATE(B19,12),B19+IF(N19="Weekly",7,IF(N19="Fortnightly",14,0))))))</f>
        <v>0</v>
      </c>
      <c r="T19" s="28">
        <f>IF(B19="","",TEXT(B19,"yyyy-mm"))</f>
        <v>0</v>
      </c>
      <c r="U19" s="49">
        <f>IF(B19="","",IF(P19="Pending","Awaiting approval",IF(M19="","Missing receipt",IF(AND(O19&lt;&gt;"",O19&lt;=TODAY()),"Recurring cost due","OK"))))</f>
        <v>0</v>
      </c>
    </row>
    <row r="20" spans="1:21">
      <c r="A20" s="46">
        <f>IF(B20="","","EX-"&amp;TEXT(ROW()-4,"0000"))</f>
        <v>0</v>
      </c>
      <c r="G20" s="29">
        <f>IF(F20="","",IF(TaxRegistered&lt;&gt;"Yes",0,ROUND(F20-F20/(1+TaxRate),2)))</f>
        <v>0</v>
      </c>
      <c r="H20" s="29">
        <f>IF(F20="","",ROUND(F20-G20,2))</f>
        <v>0</v>
      </c>
      <c r="L20" s="29">
        <f>IF(F20="","",IF(J20="Personal",0,ROUND(H20*IF(K20="",1,K20),2)))</f>
        <v>0</v>
      </c>
      <c r="O20" s="21">
        <f>IF(OR(B20="",N20="",N20="No"),"",IF(N20="Monthly",EDATE(B20,1),IF(N20="Quarterly",EDATE(B20,3),IF(N20="Annually",EDATE(B20,12),B20+IF(N20="Weekly",7,IF(N20="Fortnightly",14,0))))))</f>
        <v>0</v>
      </c>
      <c r="T20" s="28">
        <f>IF(B20="","",TEXT(B20,"yyyy-mm"))</f>
        <v>0</v>
      </c>
      <c r="U20" s="49">
        <f>IF(B20="","",IF(P20="Pending","Awaiting approval",IF(M20="","Missing receipt",IF(AND(O20&lt;&gt;"",O20&lt;=TODAY()),"Recurring cost due","OK"))))</f>
        <v>0</v>
      </c>
    </row>
    <row r="21" spans="1:21">
      <c r="A21" s="46">
        <f>IF(B21="","","EX-"&amp;TEXT(ROW()-4,"0000"))</f>
        <v>0</v>
      </c>
      <c r="G21" s="29">
        <f>IF(F21="","",IF(TaxRegistered&lt;&gt;"Yes",0,ROUND(F21-F21/(1+TaxRate),2)))</f>
        <v>0</v>
      </c>
      <c r="H21" s="29">
        <f>IF(F21="","",ROUND(F21-G21,2))</f>
        <v>0</v>
      </c>
      <c r="L21" s="29">
        <f>IF(F21="","",IF(J21="Personal",0,ROUND(H21*IF(K21="",1,K21),2)))</f>
        <v>0</v>
      </c>
      <c r="O21" s="21">
        <f>IF(OR(B21="",N21="",N21="No"),"",IF(N21="Monthly",EDATE(B21,1),IF(N21="Quarterly",EDATE(B21,3),IF(N21="Annually",EDATE(B21,12),B21+IF(N21="Weekly",7,IF(N21="Fortnightly",14,0))))))</f>
        <v>0</v>
      </c>
      <c r="T21" s="28">
        <f>IF(B21="","",TEXT(B21,"yyyy-mm"))</f>
        <v>0</v>
      </c>
      <c r="U21" s="49">
        <f>IF(B21="","",IF(P21="Pending","Awaiting approval",IF(M21="","Missing receipt",IF(AND(O21&lt;&gt;"",O21&lt;=TODAY()),"Recurring cost due","OK"))))</f>
        <v>0</v>
      </c>
    </row>
    <row r="22" spans="1:21">
      <c r="A22" s="46">
        <f>IF(B22="","","EX-"&amp;TEXT(ROW()-4,"0000"))</f>
        <v>0</v>
      </c>
      <c r="G22" s="29">
        <f>IF(F22="","",IF(TaxRegistered&lt;&gt;"Yes",0,ROUND(F22-F22/(1+TaxRate),2)))</f>
        <v>0</v>
      </c>
      <c r="H22" s="29">
        <f>IF(F22="","",ROUND(F22-G22,2))</f>
        <v>0</v>
      </c>
      <c r="L22" s="29">
        <f>IF(F22="","",IF(J22="Personal",0,ROUND(H22*IF(K22="",1,K22),2)))</f>
        <v>0</v>
      </c>
      <c r="O22" s="21">
        <f>IF(OR(B22="",N22="",N22="No"),"",IF(N22="Monthly",EDATE(B22,1),IF(N22="Quarterly",EDATE(B22,3),IF(N22="Annually",EDATE(B22,12),B22+IF(N22="Weekly",7,IF(N22="Fortnightly",14,0))))))</f>
        <v>0</v>
      </c>
      <c r="T22" s="28">
        <f>IF(B22="","",TEXT(B22,"yyyy-mm"))</f>
        <v>0</v>
      </c>
      <c r="U22" s="49">
        <f>IF(B22="","",IF(P22="Pending","Awaiting approval",IF(M22="","Missing receipt",IF(AND(O22&lt;&gt;"",O22&lt;=TODAY()),"Recurring cost due","OK"))))</f>
        <v>0</v>
      </c>
    </row>
    <row r="23" spans="1:21">
      <c r="A23" s="46">
        <f>IF(B23="","","EX-"&amp;TEXT(ROW()-4,"0000"))</f>
        <v>0</v>
      </c>
      <c r="G23" s="29">
        <f>IF(F23="","",IF(TaxRegistered&lt;&gt;"Yes",0,ROUND(F23-F23/(1+TaxRate),2)))</f>
        <v>0</v>
      </c>
      <c r="H23" s="29">
        <f>IF(F23="","",ROUND(F23-G23,2))</f>
        <v>0</v>
      </c>
      <c r="L23" s="29">
        <f>IF(F23="","",IF(J23="Personal",0,ROUND(H23*IF(K23="",1,K23),2)))</f>
        <v>0</v>
      </c>
      <c r="O23" s="21">
        <f>IF(OR(B23="",N23="",N23="No"),"",IF(N23="Monthly",EDATE(B23,1),IF(N23="Quarterly",EDATE(B23,3),IF(N23="Annually",EDATE(B23,12),B23+IF(N23="Weekly",7,IF(N23="Fortnightly",14,0))))))</f>
        <v>0</v>
      </c>
      <c r="T23" s="28">
        <f>IF(B23="","",TEXT(B23,"yyyy-mm"))</f>
        <v>0</v>
      </c>
      <c r="U23" s="49">
        <f>IF(B23="","",IF(P23="Pending","Awaiting approval",IF(M23="","Missing receipt",IF(AND(O23&lt;&gt;"",O23&lt;=TODAY()),"Recurring cost due","OK"))))</f>
        <v>0</v>
      </c>
    </row>
    <row r="24" spans="1:21">
      <c r="A24" s="46">
        <f>IF(B24="","","EX-"&amp;TEXT(ROW()-4,"0000"))</f>
        <v>0</v>
      </c>
      <c r="G24" s="29">
        <f>IF(F24="","",IF(TaxRegistered&lt;&gt;"Yes",0,ROUND(F24-F24/(1+TaxRate),2)))</f>
        <v>0</v>
      </c>
      <c r="H24" s="29">
        <f>IF(F24="","",ROUND(F24-G24,2))</f>
        <v>0</v>
      </c>
      <c r="L24" s="29">
        <f>IF(F24="","",IF(J24="Personal",0,ROUND(H24*IF(K24="",1,K24),2)))</f>
        <v>0</v>
      </c>
      <c r="O24" s="21">
        <f>IF(OR(B24="",N24="",N24="No"),"",IF(N24="Monthly",EDATE(B24,1),IF(N24="Quarterly",EDATE(B24,3),IF(N24="Annually",EDATE(B24,12),B24+IF(N24="Weekly",7,IF(N24="Fortnightly",14,0))))))</f>
        <v>0</v>
      </c>
      <c r="T24" s="28">
        <f>IF(B24="","",TEXT(B24,"yyyy-mm"))</f>
        <v>0</v>
      </c>
      <c r="U24" s="49">
        <f>IF(B24="","",IF(P24="Pending","Awaiting approval",IF(M24="","Missing receipt",IF(AND(O24&lt;&gt;"",O24&lt;=TODAY()),"Recurring cost due","OK"))))</f>
        <v>0</v>
      </c>
    </row>
    <row r="25" spans="1:21">
      <c r="A25" s="46">
        <f>IF(B25="","","EX-"&amp;TEXT(ROW()-4,"0000"))</f>
        <v>0</v>
      </c>
      <c r="G25" s="29">
        <f>IF(F25="","",IF(TaxRegistered&lt;&gt;"Yes",0,ROUND(F25-F25/(1+TaxRate),2)))</f>
        <v>0</v>
      </c>
      <c r="H25" s="29">
        <f>IF(F25="","",ROUND(F25-G25,2))</f>
        <v>0</v>
      </c>
      <c r="L25" s="29">
        <f>IF(F25="","",IF(J25="Personal",0,ROUND(H25*IF(K25="",1,K25),2)))</f>
        <v>0</v>
      </c>
      <c r="O25" s="21">
        <f>IF(OR(B25="",N25="",N25="No"),"",IF(N25="Monthly",EDATE(B25,1),IF(N25="Quarterly",EDATE(B25,3),IF(N25="Annually",EDATE(B25,12),B25+IF(N25="Weekly",7,IF(N25="Fortnightly",14,0))))))</f>
        <v>0</v>
      </c>
      <c r="T25" s="28">
        <f>IF(B25="","",TEXT(B25,"yyyy-mm"))</f>
        <v>0</v>
      </c>
      <c r="U25" s="49">
        <f>IF(B25="","",IF(P25="Pending","Awaiting approval",IF(M25="","Missing receipt",IF(AND(O25&lt;&gt;"",O25&lt;=TODAY()),"Recurring cost due","OK"))))</f>
        <v>0</v>
      </c>
    </row>
    <row r="26" spans="1:21">
      <c r="A26" s="46">
        <f>IF(B26="","","EX-"&amp;TEXT(ROW()-4,"0000"))</f>
        <v>0</v>
      </c>
      <c r="G26" s="29">
        <f>IF(F26="","",IF(TaxRegistered&lt;&gt;"Yes",0,ROUND(F26-F26/(1+TaxRate),2)))</f>
        <v>0</v>
      </c>
      <c r="H26" s="29">
        <f>IF(F26="","",ROUND(F26-G26,2))</f>
        <v>0</v>
      </c>
      <c r="L26" s="29">
        <f>IF(F26="","",IF(J26="Personal",0,ROUND(H26*IF(K26="",1,K26),2)))</f>
        <v>0</v>
      </c>
      <c r="O26" s="21">
        <f>IF(OR(B26="",N26="",N26="No"),"",IF(N26="Monthly",EDATE(B26,1),IF(N26="Quarterly",EDATE(B26,3),IF(N26="Annually",EDATE(B26,12),B26+IF(N26="Weekly",7,IF(N26="Fortnightly",14,0))))))</f>
        <v>0</v>
      </c>
      <c r="T26" s="28">
        <f>IF(B26="","",TEXT(B26,"yyyy-mm"))</f>
        <v>0</v>
      </c>
      <c r="U26" s="49">
        <f>IF(B26="","",IF(P26="Pending","Awaiting approval",IF(M26="","Missing receipt",IF(AND(O26&lt;&gt;"",O26&lt;=TODAY()),"Recurring cost due","OK"))))</f>
        <v>0</v>
      </c>
    </row>
    <row r="27" spans="1:21">
      <c r="A27" s="46">
        <f>IF(B27="","","EX-"&amp;TEXT(ROW()-4,"0000"))</f>
        <v>0</v>
      </c>
      <c r="G27" s="29">
        <f>IF(F27="","",IF(TaxRegistered&lt;&gt;"Yes",0,ROUND(F27-F27/(1+TaxRate),2)))</f>
        <v>0</v>
      </c>
      <c r="H27" s="29">
        <f>IF(F27="","",ROUND(F27-G27,2))</f>
        <v>0</v>
      </c>
      <c r="L27" s="29">
        <f>IF(F27="","",IF(J27="Personal",0,ROUND(H27*IF(K27="",1,K27),2)))</f>
        <v>0</v>
      </c>
      <c r="O27" s="21">
        <f>IF(OR(B27="",N27="",N27="No"),"",IF(N27="Monthly",EDATE(B27,1),IF(N27="Quarterly",EDATE(B27,3),IF(N27="Annually",EDATE(B27,12),B27+IF(N27="Weekly",7,IF(N27="Fortnightly",14,0))))))</f>
        <v>0</v>
      </c>
      <c r="T27" s="28">
        <f>IF(B27="","",TEXT(B27,"yyyy-mm"))</f>
        <v>0</v>
      </c>
      <c r="U27" s="49">
        <f>IF(B27="","",IF(P27="Pending","Awaiting approval",IF(M27="","Missing receipt",IF(AND(O27&lt;&gt;"",O27&lt;=TODAY()),"Recurring cost due","OK"))))</f>
        <v>0</v>
      </c>
    </row>
    <row r="28" spans="1:21">
      <c r="A28" s="46">
        <f>IF(B28="","","EX-"&amp;TEXT(ROW()-4,"0000"))</f>
        <v>0</v>
      </c>
      <c r="G28" s="29">
        <f>IF(F28="","",IF(TaxRegistered&lt;&gt;"Yes",0,ROUND(F28-F28/(1+TaxRate),2)))</f>
        <v>0</v>
      </c>
      <c r="H28" s="29">
        <f>IF(F28="","",ROUND(F28-G28,2))</f>
        <v>0</v>
      </c>
      <c r="L28" s="29">
        <f>IF(F28="","",IF(J28="Personal",0,ROUND(H28*IF(K28="",1,K28),2)))</f>
        <v>0</v>
      </c>
      <c r="O28" s="21">
        <f>IF(OR(B28="",N28="",N28="No"),"",IF(N28="Monthly",EDATE(B28,1),IF(N28="Quarterly",EDATE(B28,3),IF(N28="Annually",EDATE(B28,12),B28+IF(N28="Weekly",7,IF(N28="Fortnightly",14,0))))))</f>
        <v>0</v>
      </c>
      <c r="T28" s="28">
        <f>IF(B28="","",TEXT(B28,"yyyy-mm"))</f>
        <v>0</v>
      </c>
      <c r="U28" s="49">
        <f>IF(B28="","",IF(P28="Pending","Awaiting approval",IF(M28="","Missing receipt",IF(AND(O28&lt;&gt;"",O28&lt;=TODAY()),"Recurring cost due","OK"))))</f>
        <v>0</v>
      </c>
    </row>
    <row r="29" spans="1:21">
      <c r="A29" s="46">
        <f>IF(B29="","","EX-"&amp;TEXT(ROW()-4,"0000"))</f>
        <v>0</v>
      </c>
      <c r="G29" s="29">
        <f>IF(F29="","",IF(TaxRegistered&lt;&gt;"Yes",0,ROUND(F29-F29/(1+TaxRate),2)))</f>
        <v>0</v>
      </c>
      <c r="H29" s="29">
        <f>IF(F29="","",ROUND(F29-G29,2))</f>
        <v>0</v>
      </c>
      <c r="L29" s="29">
        <f>IF(F29="","",IF(J29="Personal",0,ROUND(H29*IF(K29="",1,K29),2)))</f>
        <v>0</v>
      </c>
      <c r="O29" s="21">
        <f>IF(OR(B29="",N29="",N29="No"),"",IF(N29="Monthly",EDATE(B29,1),IF(N29="Quarterly",EDATE(B29,3),IF(N29="Annually",EDATE(B29,12),B29+IF(N29="Weekly",7,IF(N29="Fortnightly",14,0))))))</f>
        <v>0</v>
      </c>
      <c r="T29" s="28">
        <f>IF(B29="","",TEXT(B29,"yyyy-mm"))</f>
        <v>0</v>
      </c>
      <c r="U29" s="49">
        <f>IF(B29="","",IF(P29="Pending","Awaiting approval",IF(M29="","Missing receipt",IF(AND(O29&lt;&gt;"",O29&lt;=TODAY()),"Recurring cost due","OK"))))</f>
        <v>0</v>
      </c>
    </row>
    <row r="30" spans="1:21">
      <c r="A30" s="46">
        <f>IF(B30="","","EX-"&amp;TEXT(ROW()-4,"0000"))</f>
        <v>0</v>
      </c>
      <c r="G30" s="29">
        <f>IF(F30="","",IF(TaxRegistered&lt;&gt;"Yes",0,ROUND(F30-F30/(1+TaxRate),2)))</f>
        <v>0</v>
      </c>
      <c r="H30" s="29">
        <f>IF(F30="","",ROUND(F30-G30,2))</f>
        <v>0</v>
      </c>
      <c r="L30" s="29">
        <f>IF(F30="","",IF(J30="Personal",0,ROUND(H30*IF(K30="",1,K30),2)))</f>
        <v>0</v>
      </c>
      <c r="O30" s="21">
        <f>IF(OR(B30="",N30="",N30="No"),"",IF(N30="Monthly",EDATE(B30,1),IF(N30="Quarterly",EDATE(B30,3),IF(N30="Annually",EDATE(B30,12),B30+IF(N30="Weekly",7,IF(N30="Fortnightly",14,0))))))</f>
        <v>0</v>
      </c>
      <c r="T30" s="28">
        <f>IF(B30="","",TEXT(B30,"yyyy-mm"))</f>
        <v>0</v>
      </c>
      <c r="U30" s="49">
        <f>IF(B30="","",IF(P30="Pending","Awaiting approval",IF(M30="","Missing receipt",IF(AND(O30&lt;&gt;"",O30&lt;=TODAY()),"Recurring cost due","OK"))))</f>
        <v>0</v>
      </c>
    </row>
    <row r="31" spans="1:21">
      <c r="A31" s="46">
        <f>IF(B31="","","EX-"&amp;TEXT(ROW()-4,"0000"))</f>
        <v>0</v>
      </c>
      <c r="G31" s="29">
        <f>IF(F31="","",IF(TaxRegistered&lt;&gt;"Yes",0,ROUND(F31-F31/(1+TaxRate),2)))</f>
        <v>0</v>
      </c>
      <c r="H31" s="29">
        <f>IF(F31="","",ROUND(F31-G31,2))</f>
        <v>0</v>
      </c>
      <c r="L31" s="29">
        <f>IF(F31="","",IF(J31="Personal",0,ROUND(H31*IF(K31="",1,K31),2)))</f>
        <v>0</v>
      </c>
      <c r="O31" s="21">
        <f>IF(OR(B31="",N31="",N31="No"),"",IF(N31="Monthly",EDATE(B31,1),IF(N31="Quarterly",EDATE(B31,3),IF(N31="Annually",EDATE(B31,12),B31+IF(N31="Weekly",7,IF(N31="Fortnightly",14,0))))))</f>
        <v>0</v>
      </c>
      <c r="T31" s="28">
        <f>IF(B31="","",TEXT(B31,"yyyy-mm"))</f>
        <v>0</v>
      </c>
      <c r="U31" s="49">
        <f>IF(B31="","",IF(P31="Pending","Awaiting approval",IF(M31="","Missing receipt",IF(AND(O31&lt;&gt;"",O31&lt;=TODAY()),"Recurring cost due","OK"))))</f>
        <v>0</v>
      </c>
    </row>
    <row r="32" spans="1:21">
      <c r="A32" s="46">
        <f>IF(B32="","","EX-"&amp;TEXT(ROW()-4,"0000"))</f>
        <v>0</v>
      </c>
      <c r="G32" s="29">
        <f>IF(F32="","",IF(TaxRegistered&lt;&gt;"Yes",0,ROUND(F32-F32/(1+TaxRate),2)))</f>
        <v>0</v>
      </c>
      <c r="H32" s="29">
        <f>IF(F32="","",ROUND(F32-G32,2))</f>
        <v>0</v>
      </c>
      <c r="L32" s="29">
        <f>IF(F32="","",IF(J32="Personal",0,ROUND(H32*IF(K32="",1,K32),2)))</f>
        <v>0</v>
      </c>
      <c r="O32" s="21">
        <f>IF(OR(B32="",N32="",N32="No"),"",IF(N32="Monthly",EDATE(B32,1),IF(N32="Quarterly",EDATE(B32,3),IF(N32="Annually",EDATE(B32,12),B32+IF(N32="Weekly",7,IF(N32="Fortnightly",14,0))))))</f>
        <v>0</v>
      </c>
      <c r="T32" s="28">
        <f>IF(B32="","",TEXT(B32,"yyyy-mm"))</f>
        <v>0</v>
      </c>
      <c r="U32" s="49">
        <f>IF(B32="","",IF(P32="Pending","Awaiting approval",IF(M32="","Missing receipt",IF(AND(O32&lt;&gt;"",O32&lt;=TODAY()),"Recurring cost due","OK"))))</f>
        <v>0</v>
      </c>
    </row>
    <row r="33" spans="1:21">
      <c r="A33" s="46">
        <f>IF(B33="","","EX-"&amp;TEXT(ROW()-4,"0000"))</f>
        <v>0</v>
      </c>
      <c r="G33" s="29">
        <f>IF(F33="","",IF(TaxRegistered&lt;&gt;"Yes",0,ROUND(F33-F33/(1+TaxRate),2)))</f>
        <v>0</v>
      </c>
      <c r="H33" s="29">
        <f>IF(F33="","",ROUND(F33-G33,2))</f>
        <v>0</v>
      </c>
      <c r="L33" s="29">
        <f>IF(F33="","",IF(J33="Personal",0,ROUND(H33*IF(K33="",1,K33),2)))</f>
        <v>0</v>
      </c>
      <c r="O33" s="21">
        <f>IF(OR(B33="",N33="",N33="No"),"",IF(N33="Monthly",EDATE(B33,1),IF(N33="Quarterly",EDATE(B33,3),IF(N33="Annually",EDATE(B33,12),B33+IF(N33="Weekly",7,IF(N33="Fortnightly",14,0))))))</f>
        <v>0</v>
      </c>
      <c r="T33" s="28">
        <f>IF(B33="","",TEXT(B33,"yyyy-mm"))</f>
        <v>0</v>
      </c>
      <c r="U33" s="49">
        <f>IF(B33="","",IF(P33="Pending","Awaiting approval",IF(M33="","Missing receipt",IF(AND(O33&lt;&gt;"",O33&lt;=TODAY()),"Recurring cost due","OK"))))</f>
        <v>0</v>
      </c>
    </row>
    <row r="34" spans="1:21">
      <c r="A34" s="46">
        <f>IF(B34="","","EX-"&amp;TEXT(ROW()-4,"0000"))</f>
        <v>0</v>
      </c>
      <c r="G34" s="29">
        <f>IF(F34="","",IF(TaxRegistered&lt;&gt;"Yes",0,ROUND(F34-F34/(1+TaxRate),2)))</f>
        <v>0</v>
      </c>
      <c r="H34" s="29">
        <f>IF(F34="","",ROUND(F34-G34,2))</f>
        <v>0</v>
      </c>
      <c r="L34" s="29">
        <f>IF(F34="","",IF(J34="Personal",0,ROUND(H34*IF(K34="",1,K34),2)))</f>
        <v>0</v>
      </c>
      <c r="O34" s="21">
        <f>IF(OR(B34="",N34="",N34="No"),"",IF(N34="Monthly",EDATE(B34,1),IF(N34="Quarterly",EDATE(B34,3),IF(N34="Annually",EDATE(B34,12),B34+IF(N34="Weekly",7,IF(N34="Fortnightly",14,0))))))</f>
        <v>0</v>
      </c>
      <c r="T34" s="28">
        <f>IF(B34="","",TEXT(B34,"yyyy-mm"))</f>
        <v>0</v>
      </c>
      <c r="U34" s="49">
        <f>IF(B34="","",IF(P34="Pending","Awaiting approval",IF(M34="","Missing receipt",IF(AND(O34&lt;&gt;"",O34&lt;=TODAY()),"Recurring cost due","OK"))))</f>
        <v>0</v>
      </c>
    </row>
    <row r="35" spans="1:21">
      <c r="A35" s="46">
        <f>IF(B35="","","EX-"&amp;TEXT(ROW()-4,"0000"))</f>
        <v>0</v>
      </c>
      <c r="G35" s="29">
        <f>IF(F35="","",IF(TaxRegistered&lt;&gt;"Yes",0,ROUND(F35-F35/(1+TaxRate),2)))</f>
        <v>0</v>
      </c>
      <c r="H35" s="29">
        <f>IF(F35="","",ROUND(F35-G35,2))</f>
        <v>0</v>
      </c>
      <c r="L35" s="29">
        <f>IF(F35="","",IF(J35="Personal",0,ROUND(H35*IF(K35="",1,K35),2)))</f>
        <v>0</v>
      </c>
      <c r="O35" s="21">
        <f>IF(OR(B35="",N35="",N35="No"),"",IF(N35="Monthly",EDATE(B35,1),IF(N35="Quarterly",EDATE(B35,3),IF(N35="Annually",EDATE(B35,12),B35+IF(N35="Weekly",7,IF(N35="Fortnightly",14,0))))))</f>
        <v>0</v>
      </c>
      <c r="T35" s="28">
        <f>IF(B35="","",TEXT(B35,"yyyy-mm"))</f>
        <v>0</v>
      </c>
      <c r="U35" s="49">
        <f>IF(B35="","",IF(P35="Pending","Awaiting approval",IF(M35="","Missing receipt",IF(AND(O35&lt;&gt;"",O35&lt;=TODAY()),"Recurring cost due","OK"))))</f>
        <v>0</v>
      </c>
    </row>
    <row r="36" spans="1:21">
      <c r="A36" s="46">
        <f>IF(B36="","","EX-"&amp;TEXT(ROW()-4,"0000"))</f>
        <v>0</v>
      </c>
      <c r="G36" s="29">
        <f>IF(F36="","",IF(TaxRegistered&lt;&gt;"Yes",0,ROUND(F36-F36/(1+TaxRate),2)))</f>
        <v>0</v>
      </c>
      <c r="H36" s="29">
        <f>IF(F36="","",ROUND(F36-G36,2))</f>
        <v>0</v>
      </c>
      <c r="L36" s="29">
        <f>IF(F36="","",IF(J36="Personal",0,ROUND(H36*IF(K36="",1,K36),2)))</f>
        <v>0</v>
      </c>
      <c r="O36" s="21">
        <f>IF(OR(B36="",N36="",N36="No"),"",IF(N36="Monthly",EDATE(B36,1),IF(N36="Quarterly",EDATE(B36,3),IF(N36="Annually",EDATE(B36,12),B36+IF(N36="Weekly",7,IF(N36="Fortnightly",14,0))))))</f>
        <v>0</v>
      </c>
      <c r="T36" s="28">
        <f>IF(B36="","",TEXT(B36,"yyyy-mm"))</f>
        <v>0</v>
      </c>
      <c r="U36" s="49">
        <f>IF(B36="","",IF(P36="Pending","Awaiting approval",IF(M36="","Missing receipt",IF(AND(O36&lt;&gt;"",O36&lt;=TODAY()),"Recurring cost due","OK"))))</f>
        <v>0</v>
      </c>
    </row>
    <row r="37" spans="1:21">
      <c r="A37" s="46">
        <f>IF(B37="","","EX-"&amp;TEXT(ROW()-4,"0000"))</f>
        <v>0</v>
      </c>
      <c r="G37" s="29">
        <f>IF(F37="","",IF(TaxRegistered&lt;&gt;"Yes",0,ROUND(F37-F37/(1+TaxRate),2)))</f>
        <v>0</v>
      </c>
      <c r="H37" s="29">
        <f>IF(F37="","",ROUND(F37-G37,2))</f>
        <v>0</v>
      </c>
      <c r="L37" s="29">
        <f>IF(F37="","",IF(J37="Personal",0,ROUND(H37*IF(K37="",1,K37),2)))</f>
        <v>0</v>
      </c>
      <c r="O37" s="21">
        <f>IF(OR(B37="",N37="",N37="No"),"",IF(N37="Monthly",EDATE(B37,1),IF(N37="Quarterly",EDATE(B37,3),IF(N37="Annually",EDATE(B37,12),B37+IF(N37="Weekly",7,IF(N37="Fortnightly",14,0))))))</f>
        <v>0</v>
      </c>
      <c r="T37" s="28">
        <f>IF(B37="","",TEXT(B37,"yyyy-mm"))</f>
        <v>0</v>
      </c>
      <c r="U37" s="49">
        <f>IF(B37="","",IF(P37="Pending","Awaiting approval",IF(M37="","Missing receipt",IF(AND(O37&lt;&gt;"",O37&lt;=TODAY()),"Recurring cost due","OK"))))</f>
        <v>0</v>
      </c>
    </row>
    <row r="38" spans="1:21">
      <c r="A38" s="46">
        <f>IF(B38="","","EX-"&amp;TEXT(ROW()-4,"0000"))</f>
        <v>0</v>
      </c>
      <c r="G38" s="29">
        <f>IF(F38="","",IF(TaxRegistered&lt;&gt;"Yes",0,ROUND(F38-F38/(1+TaxRate),2)))</f>
        <v>0</v>
      </c>
      <c r="H38" s="29">
        <f>IF(F38="","",ROUND(F38-G38,2))</f>
        <v>0</v>
      </c>
      <c r="L38" s="29">
        <f>IF(F38="","",IF(J38="Personal",0,ROUND(H38*IF(K38="",1,K38),2)))</f>
        <v>0</v>
      </c>
      <c r="O38" s="21">
        <f>IF(OR(B38="",N38="",N38="No"),"",IF(N38="Monthly",EDATE(B38,1),IF(N38="Quarterly",EDATE(B38,3),IF(N38="Annually",EDATE(B38,12),B38+IF(N38="Weekly",7,IF(N38="Fortnightly",14,0))))))</f>
        <v>0</v>
      </c>
      <c r="T38" s="28">
        <f>IF(B38="","",TEXT(B38,"yyyy-mm"))</f>
        <v>0</v>
      </c>
      <c r="U38" s="49">
        <f>IF(B38="","",IF(P38="Pending","Awaiting approval",IF(M38="","Missing receipt",IF(AND(O38&lt;&gt;"",O38&lt;=TODAY()),"Recurring cost due","OK"))))</f>
        <v>0</v>
      </c>
    </row>
    <row r="39" spans="1:21">
      <c r="A39" s="46">
        <f>IF(B39="","","EX-"&amp;TEXT(ROW()-4,"0000"))</f>
        <v>0</v>
      </c>
      <c r="G39" s="29">
        <f>IF(F39="","",IF(TaxRegistered&lt;&gt;"Yes",0,ROUND(F39-F39/(1+TaxRate),2)))</f>
        <v>0</v>
      </c>
      <c r="H39" s="29">
        <f>IF(F39="","",ROUND(F39-G39,2))</f>
        <v>0</v>
      </c>
      <c r="L39" s="29">
        <f>IF(F39="","",IF(J39="Personal",0,ROUND(H39*IF(K39="",1,K39),2)))</f>
        <v>0</v>
      </c>
      <c r="O39" s="21">
        <f>IF(OR(B39="",N39="",N39="No"),"",IF(N39="Monthly",EDATE(B39,1),IF(N39="Quarterly",EDATE(B39,3),IF(N39="Annually",EDATE(B39,12),B39+IF(N39="Weekly",7,IF(N39="Fortnightly",14,0))))))</f>
        <v>0</v>
      </c>
      <c r="T39" s="28">
        <f>IF(B39="","",TEXT(B39,"yyyy-mm"))</f>
        <v>0</v>
      </c>
      <c r="U39" s="49">
        <f>IF(B39="","",IF(P39="Pending","Awaiting approval",IF(M39="","Missing receipt",IF(AND(O39&lt;&gt;"",O39&lt;=TODAY()),"Recurring cost due","OK"))))</f>
        <v>0</v>
      </c>
    </row>
    <row r="40" spans="1:21">
      <c r="A40" s="46">
        <f>IF(B40="","","EX-"&amp;TEXT(ROW()-4,"0000"))</f>
        <v>0</v>
      </c>
      <c r="G40" s="29">
        <f>IF(F40="","",IF(TaxRegistered&lt;&gt;"Yes",0,ROUND(F40-F40/(1+TaxRate),2)))</f>
        <v>0</v>
      </c>
      <c r="H40" s="29">
        <f>IF(F40="","",ROUND(F40-G40,2))</f>
        <v>0</v>
      </c>
      <c r="L40" s="29">
        <f>IF(F40="","",IF(J40="Personal",0,ROUND(H40*IF(K40="",1,K40),2)))</f>
        <v>0</v>
      </c>
      <c r="O40" s="21">
        <f>IF(OR(B40="",N40="",N40="No"),"",IF(N40="Monthly",EDATE(B40,1),IF(N40="Quarterly",EDATE(B40,3),IF(N40="Annually",EDATE(B40,12),B40+IF(N40="Weekly",7,IF(N40="Fortnightly",14,0))))))</f>
        <v>0</v>
      </c>
      <c r="T40" s="28">
        <f>IF(B40="","",TEXT(B40,"yyyy-mm"))</f>
        <v>0</v>
      </c>
      <c r="U40" s="49">
        <f>IF(B40="","",IF(P40="Pending","Awaiting approval",IF(M40="","Missing receipt",IF(AND(O40&lt;&gt;"",O40&lt;=TODAY()),"Recurring cost due","OK"))))</f>
        <v>0</v>
      </c>
    </row>
    <row r="41" spans="1:21">
      <c r="A41" s="46">
        <f>IF(B41="","","EX-"&amp;TEXT(ROW()-4,"0000"))</f>
        <v>0</v>
      </c>
      <c r="G41" s="29">
        <f>IF(F41="","",IF(TaxRegistered&lt;&gt;"Yes",0,ROUND(F41-F41/(1+TaxRate),2)))</f>
        <v>0</v>
      </c>
      <c r="H41" s="29">
        <f>IF(F41="","",ROUND(F41-G41,2))</f>
        <v>0</v>
      </c>
      <c r="L41" s="29">
        <f>IF(F41="","",IF(J41="Personal",0,ROUND(H41*IF(K41="",1,K41),2)))</f>
        <v>0</v>
      </c>
      <c r="O41" s="21">
        <f>IF(OR(B41="",N41="",N41="No"),"",IF(N41="Monthly",EDATE(B41,1),IF(N41="Quarterly",EDATE(B41,3),IF(N41="Annually",EDATE(B41,12),B41+IF(N41="Weekly",7,IF(N41="Fortnightly",14,0))))))</f>
        <v>0</v>
      </c>
      <c r="T41" s="28">
        <f>IF(B41="","",TEXT(B41,"yyyy-mm"))</f>
        <v>0</v>
      </c>
      <c r="U41" s="49">
        <f>IF(B41="","",IF(P41="Pending","Awaiting approval",IF(M41="","Missing receipt",IF(AND(O41&lt;&gt;"",O41&lt;=TODAY()),"Recurring cost due","OK"))))</f>
        <v>0</v>
      </c>
    </row>
    <row r="42" spans="1:21">
      <c r="A42" s="46">
        <f>IF(B42="","","EX-"&amp;TEXT(ROW()-4,"0000"))</f>
        <v>0</v>
      </c>
      <c r="G42" s="29">
        <f>IF(F42="","",IF(TaxRegistered&lt;&gt;"Yes",0,ROUND(F42-F42/(1+TaxRate),2)))</f>
        <v>0</v>
      </c>
      <c r="H42" s="29">
        <f>IF(F42="","",ROUND(F42-G42,2))</f>
        <v>0</v>
      </c>
      <c r="L42" s="29">
        <f>IF(F42="","",IF(J42="Personal",0,ROUND(H42*IF(K42="",1,K42),2)))</f>
        <v>0</v>
      </c>
      <c r="O42" s="21">
        <f>IF(OR(B42="",N42="",N42="No"),"",IF(N42="Monthly",EDATE(B42,1),IF(N42="Quarterly",EDATE(B42,3),IF(N42="Annually",EDATE(B42,12),B42+IF(N42="Weekly",7,IF(N42="Fortnightly",14,0))))))</f>
        <v>0</v>
      </c>
      <c r="T42" s="28">
        <f>IF(B42="","",TEXT(B42,"yyyy-mm"))</f>
        <v>0</v>
      </c>
      <c r="U42" s="49">
        <f>IF(B42="","",IF(P42="Pending","Awaiting approval",IF(M42="","Missing receipt",IF(AND(O42&lt;&gt;"",O42&lt;=TODAY()),"Recurring cost due","OK"))))</f>
        <v>0</v>
      </c>
    </row>
    <row r="43" spans="1:21">
      <c r="A43" s="46">
        <f>IF(B43="","","EX-"&amp;TEXT(ROW()-4,"0000"))</f>
        <v>0</v>
      </c>
      <c r="G43" s="29">
        <f>IF(F43="","",IF(TaxRegistered&lt;&gt;"Yes",0,ROUND(F43-F43/(1+TaxRate),2)))</f>
        <v>0</v>
      </c>
      <c r="H43" s="29">
        <f>IF(F43="","",ROUND(F43-G43,2))</f>
        <v>0</v>
      </c>
      <c r="L43" s="29">
        <f>IF(F43="","",IF(J43="Personal",0,ROUND(H43*IF(K43="",1,K43),2)))</f>
        <v>0</v>
      </c>
      <c r="O43" s="21">
        <f>IF(OR(B43="",N43="",N43="No"),"",IF(N43="Monthly",EDATE(B43,1),IF(N43="Quarterly",EDATE(B43,3),IF(N43="Annually",EDATE(B43,12),B43+IF(N43="Weekly",7,IF(N43="Fortnightly",14,0))))))</f>
        <v>0</v>
      </c>
      <c r="T43" s="28">
        <f>IF(B43="","",TEXT(B43,"yyyy-mm"))</f>
        <v>0</v>
      </c>
      <c r="U43" s="49">
        <f>IF(B43="","",IF(P43="Pending","Awaiting approval",IF(M43="","Missing receipt",IF(AND(O43&lt;&gt;"",O43&lt;=TODAY()),"Recurring cost due","OK"))))</f>
        <v>0</v>
      </c>
    </row>
    <row r="44" spans="1:21">
      <c r="A44" s="46">
        <f>IF(B44="","","EX-"&amp;TEXT(ROW()-4,"0000"))</f>
        <v>0</v>
      </c>
      <c r="G44" s="29">
        <f>IF(F44="","",IF(TaxRegistered&lt;&gt;"Yes",0,ROUND(F44-F44/(1+TaxRate),2)))</f>
        <v>0</v>
      </c>
      <c r="H44" s="29">
        <f>IF(F44="","",ROUND(F44-G44,2))</f>
        <v>0</v>
      </c>
      <c r="L44" s="29">
        <f>IF(F44="","",IF(J44="Personal",0,ROUND(H44*IF(K44="",1,K44),2)))</f>
        <v>0</v>
      </c>
      <c r="O44" s="21">
        <f>IF(OR(B44="",N44="",N44="No"),"",IF(N44="Monthly",EDATE(B44,1),IF(N44="Quarterly",EDATE(B44,3),IF(N44="Annually",EDATE(B44,12),B44+IF(N44="Weekly",7,IF(N44="Fortnightly",14,0))))))</f>
        <v>0</v>
      </c>
      <c r="T44" s="28">
        <f>IF(B44="","",TEXT(B44,"yyyy-mm"))</f>
        <v>0</v>
      </c>
      <c r="U44" s="49">
        <f>IF(B44="","",IF(P44="Pending","Awaiting approval",IF(M44="","Missing receipt",IF(AND(O44&lt;&gt;"",O44&lt;=TODAY()),"Recurring cost due","OK"))))</f>
        <v>0</v>
      </c>
    </row>
    <row r="45" spans="1:21">
      <c r="A45" s="46">
        <f>IF(B45="","","EX-"&amp;TEXT(ROW()-4,"0000"))</f>
        <v>0</v>
      </c>
      <c r="G45" s="29">
        <f>IF(F45="","",IF(TaxRegistered&lt;&gt;"Yes",0,ROUND(F45-F45/(1+TaxRate),2)))</f>
        <v>0</v>
      </c>
      <c r="H45" s="29">
        <f>IF(F45="","",ROUND(F45-G45,2))</f>
        <v>0</v>
      </c>
      <c r="L45" s="29">
        <f>IF(F45="","",IF(J45="Personal",0,ROUND(H45*IF(K45="",1,K45),2)))</f>
        <v>0</v>
      </c>
      <c r="O45" s="21">
        <f>IF(OR(B45="",N45="",N45="No"),"",IF(N45="Monthly",EDATE(B45,1),IF(N45="Quarterly",EDATE(B45,3),IF(N45="Annually",EDATE(B45,12),B45+IF(N45="Weekly",7,IF(N45="Fortnightly",14,0))))))</f>
        <v>0</v>
      </c>
      <c r="T45" s="28">
        <f>IF(B45="","",TEXT(B45,"yyyy-mm"))</f>
        <v>0</v>
      </c>
      <c r="U45" s="49">
        <f>IF(B45="","",IF(P45="Pending","Awaiting approval",IF(M45="","Missing receipt",IF(AND(O45&lt;&gt;"",O45&lt;=TODAY()),"Recurring cost due","OK"))))</f>
        <v>0</v>
      </c>
    </row>
    <row r="46" spans="1:21">
      <c r="A46" s="46">
        <f>IF(B46="","","EX-"&amp;TEXT(ROW()-4,"0000"))</f>
        <v>0</v>
      </c>
      <c r="G46" s="29">
        <f>IF(F46="","",IF(TaxRegistered&lt;&gt;"Yes",0,ROUND(F46-F46/(1+TaxRate),2)))</f>
        <v>0</v>
      </c>
      <c r="H46" s="29">
        <f>IF(F46="","",ROUND(F46-G46,2))</f>
        <v>0</v>
      </c>
      <c r="L46" s="29">
        <f>IF(F46="","",IF(J46="Personal",0,ROUND(H46*IF(K46="",1,K46),2)))</f>
        <v>0</v>
      </c>
      <c r="O46" s="21">
        <f>IF(OR(B46="",N46="",N46="No"),"",IF(N46="Monthly",EDATE(B46,1),IF(N46="Quarterly",EDATE(B46,3),IF(N46="Annually",EDATE(B46,12),B46+IF(N46="Weekly",7,IF(N46="Fortnightly",14,0))))))</f>
        <v>0</v>
      </c>
      <c r="T46" s="28">
        <f>IF(B46="","",TEXT(B46,"yyyy-mm"))</f>
        <v>0</v>
      </c>
      <c r="U46" s="49">
        <f>IF(B46="","",IF(P46="Pending","Awaiting approval",IF(M46="","Missing receipt",IF(AND(O46&lt;&gt;"",O46&lt;=TODAY()),"Recurring cost due","OK"))))</f>
        <v>0</v>
      </c>
    </row>
    <row r="47" spans="1:21">
      <c r="A47" s="46">
        <f>IF(B47="","","EX-"&amp;TEXT(ROW()-4,"0000"))</f>
        <v>0</v>
      </c>
      <c r="G47" s="29">
        <f>IF(F47="","",IF(TaxRegistered&lt;&gt;"Yes",0,ROUND(F47-F47/(1+TaxRate),2)))</f>
        <v>0</v>
      </c>
      <c r="H47" s="29">
        <f>IF(F47="","",ROUND(F47-G47,2))</f>
        <v>0</v>
      </c>
      <c r="L47" s="29">
        <f>IF(F47="","",IF(J47="Personal",0,ROUND(H47*IF(K47="",1,K47),2)))</f>
        <v>0</v>
      </c>
      <c r="O47" s="21">
        <f>IF(OR(B47="",N47="",N47="No"),"",IF(N47="Monthly",EDATE(B47,1),IF(N47="Quarterly",EDATE(B47,3),IF(N47="Annually",EDATE(B47,12),B47+IF(N47="Weekly",7,IF(N47="Fortnightly",14,0))))))</f>
        <v>0</v>
      </c>
      <c r="T47" s="28">
        <f>IF(B47="","",TEXT(B47,"yyyy-mm"))</f>
        <v>0</v>
      </c>
      <c r="U47" s="49">
        <f>IF(B47="","",IF(P47="Pending","Awaiting approval",IF(M47="","Missing receipt",IF(AND(O47&lt;&gt;"",O47&lt;=TODAY()),"Recurring cost due","OK"))))</f>
        <v>0</v>
      </c>
    </row>
    <row r="48" spans="1:21">
      <c r="A48" s="46">
        <f>IF(B48="","","EX-"&amp;TEXT(ROW()-4,"0000"))</f>
        <v>0</v>
      </c>
      <c r="G48" s="29">
        <f>IF(F48="","",IF(TaxRegistered&lt;&gt;"Yes",0,ROUND(F48-F48/(1+TaxRate),2)))</f>
        <v>0</v>
      </c>
      <c r="H48" s="29">
        <f>IF(F48="","",ROUND(F48-G48,2))</f>
        <v>0</v>
      </c>
      <c r="L48" s="29">
        <f>IF(F48="","",IF(J48="Personal",0,ROUND(H48*IF(K48="",1,K48),2)))</f>
        <v>0</v>
      </c>
      <c r="O48" s="21">
        <f>IF(OR(B48="",N48="",N48="No"),"",IF(N48="Monthly",EDATE(B48,1),IF(N48="Quarterly",EDATE(B48,3),IF(N48="Annually",EDATE(B48,12),B48+IF(N48="Weekly",7,IF(N48="Fortnightly",14,0))))))</f>
        <v>0</v>
      </c>
      <c r="T48" s="28">
        <f>IF(B48="","",TEXT(B48,"yyyy-mm"))</f>
        <v>0</v>
      </c>
      <c r="U48" s="49">
        <f>IF(B48="","",IF(P48="Pending","Awaiting approval",IF(M48="","Missing receipt",IF(AND(O48&lt;&gt;"",O48&lt;=TODAY()),"Recurring cost due","OK"))))</f>
        <v>0</v>
      </c>
    </row>
    <row r="49" spans="1:21">
      <c r="A49" s="46">
        <f>IF(B49="","","EX-"&amp;TEXT(ROW()-4,"0000"))</f>
        <v>0</v>
      </c>
      <c r="G49" s="29">
        <f>IF(F49="","",IF(TaxRegistered&lt;&gt;"Yes",0,ROUND(F49-F49/(1+TaxRate),2)))</f>
        <v>0</v>
      </c>
      <c r="H49" s="29">
        <f>IF(F49="","",ROUND(F49-G49,2))</f>
        <v>0</v>
      </c>
      <c r="L49" s="29">
        <f>IF(F49="","",IF(J49="Personal",0,ROUND(H49*IF(K49="",1,K49),2)))</f>
        <v>0</v>
      </c>
      <c r="O49" s="21">
        <f>IF(OR(B49="",N49="",N49="No"),"",IF(N49="Monthly",EDATE(B49,1),IF(N49="Quarterly",EDATE(B49,3),IF(N49="Annually",EDATE(B49,12),B49+IF(N49="Weekly",7,IF(N49="Fortnightly",14,0))))))</f>
        <v>0</v>
      </c>
      <c r="T49" s="28">
        <f>IF(B49="","",TEXT(B49,"yyyy-mm"))</f>
        <v>0</v>
      </c>
      <c r="U49" s="49">
        <f>IF(B49="","",IF(P49="Pending","Awaiting approval",IF(M49="","Missing receipt",IF(AND(O49&lt;&gt;"",O49&lt;=TODAY()),"Recurring cost due","OK"))))</f>
        <v>0</v>
      </c>
    </row>
    <row r="50" spans="1:21">
      <c r="A50" s="46">
        <f>IF(B50="","","EX-"&amp;TEXT(ROW()-4,"0000"))</f>
        <v>0</v>
      </c>
      <c r="G50" s="29">
        <f>IF(F50="","",IF(TaxRegistered&lt;&gt;"Yes",0,ROUND(F50-F50/(1+TaxRate),2)))</f>
        <v>0</v>
      </c>
      <c r="H50" s="29">
        <f>IF(F50="","",ROUND(F50-G50,2))</f>
        <v>0</v>
      </c>
      <c r="L50" s="29">
        <f>IF(F50="","",IF(J50="Personal",0,ROUND(H50*IF(K50="",1,K50),2)))</f>
        <v>0</v>
      </c>
      <c r="O50" s="21">
        <f>IF(OR(B50="",N50="",N50="No"),"",IF(N50="Monthly",EDATE(B50,1),IF(N50="Quarterly",EDATE(B50,3),IF(N50="Annually",EDATE(B50,12),B50+IF(N50="Weekly",7,IF(N50="Fortnightly",14,0))))))</f>
        <v>0</v>
      </c>
      <c r="T50" s="28">
        <f>IF(B50="","",TEXT(B50,"yyyy-mm"))</f>
        <v>0</v>
      </c>
      <c r="U50" s="49">
        <f>IF(B50="","",IF(P50="Pending","Awaiting approval",IF(M50="","Missing receipt",IF(AND(O50&lt;&gt;"",O50&lt;=TODAY()),"Recurring cost due","OK"))))</f>
        <v>0</v>
      </c>
    </row>
    <row r="51" spans="1:21">
      <c r="A51" s="46">
        <f>IF(B51="","","EX-"&amp;TEXT(ROW()-4,"0000"))</f>
        <v>0</v>
      </c>
      <c r="G51" s="29">
        <f>IF(F51="","",IF(TaxRegistered&lt;&gt;"Yes",0,ROUND(F51-F51/(1+TaxRate),2)))</f>
        <v>0</v>
      </c>
      <c r="H51" s="29">
        <f>IF(F51="","",ROUND(F51-G51,2))</f>
        <v>0</v>
      </c>
      <c r="L51" s="29">
        <f>IF(F51="","",IF(J51="Personal",0,ROUND(H51*IF(K51="",1,K51),2)))</f>
        <v>0</v>
      </c>
      <c r="O51" s="21">
        <f>IF(OR(B51="",N51="",N51="No"),"",IF(N51="Monthly",EDATE(B51,1),IF(N51="Quarterly",EDATE(B51,3),IF(N51="Annually",EDATE(B51,12),B51+IF(N51="Weekly",7,IF(N51="Fortnightly",14,0))))))</f>
        <v>0</v>
      </c>
      <c r="T51" s="28">
        <f>IF(B51="","",TEXT(B51,"yyyy-mm"))</f>
        <v>0</v>
      </c>
      <c r="U51" s="49">
        <f>IF(B51="","",IF(P51="Pending","Awaiting approval",IF(M51="","Missing receipt",IF(AND(O51&lt;&gt;"",O51&lt;=TODAY()),"Recurring cost due","OK"))))</f>
        <v>0</v>
      </c>
    </row>
    <row r="52" spans="1:21">
      <c r="A52" s="46">
        <f>IF(B52="","","EX-"&amp;TEXT(ROW()-4,"0000"))</f>
        <v>0</v>
      </c>
      <c r="G52" s="29">
        <f>IF(F52="","",IF(TaxRegistered&lt;&gt;"Yes",0,ROUND(F52-F52/(1+TaxRate),2)))</f>
        <v>0</v>
      </c>
      <c r="H52" s="29">
        <f>IF(F52="","",ROUND(F52-G52,2))</f>
        <v>0</v>
      </c>
      <c r="L52" s="29">
        <f>IF(F52="","",IF(J52="Personal",0,ROUND(H52*IF(K52="",1,K52),2)))</f>
        <v>0</v>
      </c>
      <c r="O52" s="21">
        <f>IF(OR(B52="",N52="",N52="No"),"",IF(N52="Monthly",EDATE(B52,1),IF(N52="Quarterly",EDATE(B52,3),IF(N52="Annually",EDATE(B52,12),B52+IF(N52="Weekly",7,IF(N52="Fortnightly",14,0))))))</f>
        <v>0</v>
      </c>
      <c r="T52" s="28">
        <f>IF(B52="","",TEXT(B52,"yyyy-mm"))</f>
        <v>0</v>
      </c>
      <c r="U52" s="49">
        <f>IF(B52="","",IF(P52="Pending","Awaiting approval",IF(M52="","Missing receipt",IF(AND(O52&lt;&gt;"",O52&lt;=TODAY()),"Recurring cost due","OK"))))</f>
        <v>0</v>
      </c>
    </row>
    <row r="53" spans="1:21">
      <c r="A53" s="46">
        <f>IF(B53="","","EX-"&amp;TEXT(ROW()-4,"0000"))</f>
        <v>0</v>
      </c>
      <c r="G53" s="29">
        <f>IF(F53="","",IF(TaxRegistered&lt;&gt;"Yes",0,ROUND(F53-F53/(1+TaxRate),2)))</f>
        <v>0</v>
      </c>
      <c r="H53" s="29">
        <f>IF(F53="","",ROUND(F53-G53,2))</f>
        <v>0</v>
      </c>
      <c r="L53" s="29">
        <f>IF(F53="","",IF(J53="Personal",0,ROUND(H53*IF(K53="",1,K53),2)))</f>
        <v>0</v>
      </c>
      <c r="O53" s="21">
        <f>IF(OR(B53="",N53="",N53="No"),"",IF(N53="Monthly",EDATE(B53,1),IF(N53="Quarterly",EDATE(B53,3),IF(N53="Annually",EDATE(B53,12),B53+IF(N53="Weekly",7,IF(N53="Fortnightly",14,0))))))</f>
        <v>0</v>
      </c>
      <c r="T53" s="28">
        <f>IF(B53="","",TEXT(B53,"yyyy-mm"))</f>
        <v>0</v>
      </c>
      <c r="U53" s="49">
        <f>IF(B53="","",IF(P53="Pending","Awaiting approval",IF(M53="","Missing receipt",IF(AND(O53&lt;&gt;"",O53&lt;=TODAY()),"Recurring cost due","OK"))))</f>
        <v>0</v>
      </c>
    </row>
    <row r="54" spans="1:21">
      <c r="A54" s="46">
        <f>IF(B54="","","EX-"&amp;TEXT(ROW()-4,"0000"))</f>
        <v>0</v>
      </c>
      <c r="G54" s="29">
        <f>IF(F54="","",IF(TaxRegistered&lt;&gt;"Yes",0,ROUND(F54-F54/(1+TaxRate),2)))</f>
        <v>0</v>
      </c>
      <c r="H54" s="29">
        <f>IF(F54="","",ROUND(F54-G54,2))</f>
        <v>0</v>
      </c>
      <c r="L54" s="29">
        <f>IF(F54="","",IF(J54="Personal",0,ROUND(H54*IF(K54="",1,K54),2)))</f>
        <v>0</v>
      </c>
      <c r="O54" s="21">
        <f>IF(OR(B54="",N54="",N54="No"),"",IF(N54="Monthly",EDATE(B54,1),IF(N54="Quarterly",EDATE(B54,3),IF(N54="Annually",EDATE(B54,12),B54+IF(N54="Weekly",7,IF(N54="Fortnightly",14,0))))))</f>
        <v>0</v>
      </c>
      <c r="T54" s="28">
        <f>IF(B54="","",TEXT(B54,"yyyy-mm"))</f>
        <v>0</v>
      </c>
      <c r="U54" s="49">
        <f>IF(B54="","",IF(P54="Pending","Awaiting approval",IF(M54="","Missing receipt",IF(AND(O54&lt;&gt;"",O54&lt;=TODAY()),"Recurring cost due","OK"))))</f>
        <v>0</v>
      </c>
    </row>
    <row r="55" spans="1:21">
      <c r="A55" s="46">
        <f>IF(B55="","","EX-"&amp;TEXT(ROW()-4,"0000"))</f>
        <v>0</v>
      </c>
      <c r="G55" s="29">
        <f>IF(F55="","",IF(TaxRegistered&lt;&gt;"Yes",0,ROUND(F55-F55/(1+TaxRate),2)))</f>
        <v>0</v>
      </c>
      <c r="H55" s="29">
        <f>IF(F55="","",ROUND(F55-G55,2))</f>
        <v>0</v>
      </c>
      <c r="L55" s="29">
        <f>IF(F55="","",IF(J55="Personal",0,ROUND(H55*IF(K55="",1,K55),2)))</f>
        <v>0</v>
      </c>
      <c r="O55" s="21">
        <f>IF(OR(B55="",N55="",N55="No"),"",IF(N55="Monthly",EDATE(B55,1),IF(N55="Quarterly",EDATE(B55,3),IF(N55="Annually",EDATE(B55,12),B55+IF(N55="Weekly",7,IF(N55="Fortnightly",14,0))))))</f>
        <v>0</v>
      </c>
      <c r="T55" s="28">
        <f>IF(B55="","",TEXT(B55,"yyyy-mm"))</f>
        <v>0</v>
      </c>
      <c r="U55" s="49">
        <f>IF(B55="","",IF(P55="Pending","Awaiting approval",IF(M55="","Missing receipt",IF(AND(O55&lt;&gt;"",O55&lt;=TODAY()),"Recurring cost due","OK"))))</f>
        <v>0</v>
      </c>
    </row>
    <row r="56" spans="1:21">
      <c r="A56" s="46">
        <f>IF(B56="","","EX-"&amp;TEXT(ROW()-4,"0000"))</f>
        <v>0</v>
      </c>
      <c r="G56" s="29">
        <f>IF(F56="","",IF(TaxRegistered&lt;&gt;"Yes",0,ROUND(F56-F56/(1+TaxRate),2)))</f>
        <v>0</v>
      </c>
      <c r="H56" s="29">
        <f>IF(F56="","",ROUND(F56-G56,2))</f>
        <v>0</v>
      </c>
      <c r="L56" s="29">
        <f>IF(F56="","",IF(J56="Personal",0,ROUND(H56*IF(K56="",1,K56),2)))</f>
        <v>0</v>
      </c>
      <c r="O56" s="21">
        <f>IF(OR(B56="",N56="",N56="No"),"",IF(N56="Monthly",EDATE(B56,1),IF(N56="Quarterly",EDATE(B56,3),IF(N56="Annually",EDATE(B56,12),B56+IF(N56="Weekly",7,IF(N56="Fortnightly",14,0))))))</f>
        <v>0</v>
      </c>
      <c r="T56" s="28">
        <f>IF(B56="","",TEXT(B56,"yyyy-mm"))</f>
        <v>0</v>
      </c>
      <c r="U56" s="49">
        <f>IF(B56="","",IF(P56="Pending","Awaiting approval",IF(M56="","Missing receipt",IF(AND(O56&lt;&gt;"",O56&lt;=TODAY()),"Recurring cost due","OK"))))</f>
        <v>0</v>
      </c>
    </row>
    <row r="57" spans="1:21">
      <c r="A57" s="46">
        <f>IF(B57="","","EX-"&amp;TEXT(ROW()-4,"0000"))</f>
        <v>0</v>
      </c>
      <c r="G57" s="29">
        <f>IF(F57="","",IF(TaxRegistered&lt;&gt;"Yes",0,ROUND(F57-F57/(1+TaxRate),2)))</f>
        <v>0</v>
      </c>
      <c r="H57" s="29">
        <f>IF(F57="","",ROUND(F57-G57,2))</f>
        <v>0</v>
      </c>
      <c r="L57" s="29">
        <f>IF(F57="","",IF(J57="Personal",0,ROUND(H57*IF(K57="",1,K57),2)))</f>
        <v>0</v>
      </c>
      <c r="O57" s="21">
        <f>IF(OR(B57="",N57="",N57="No"),"",IF(N57="Monthly",EDATE(B57,1),IF(N57="Quarterly",EDATE(B57,3),IF(N57="Annually",EDATE(B57,12),B57+IF(N57="Weekly",7,IF(N57="Fortnightly",14,0))))))</f>
        <v>0</v>
      </c>
      <c r="T57" s="28">
        <f>IF(B57="","",TEXT(B57,"yyyy-mm"))</f>
        <v>0</v>
      </c>
      <c r="U57" s="49">
        <f>IF(B57="","",IF(P57="Pending","Awaiting approval",IF(M57="","Missing receipt",IF(AND(O57&lt;&gt;"",O57&lt;=TODAY()),"Recurring cost due","OK"))))</f>
        <v>0</v>
      </c>
    </row>
    <row r="58" spans="1:21">
      <c r="A58" s="46">
        <f>IF(B58="","","EX-"&amp;TEXT(ROW()-4,"0000"))</f>
        <v>0</v>
      </c>
      <c r="G58" s="29">
        <f>IF(F58="","",IF(TaxRegistered&lt;&gt;"Yes",0,ROUND(F58-F58/(1+TaxRate),2)))</f>
        <v>0</v>
      </c>
      <c r="H58" s="29">
        <f>IF(F58="","",ROUND(F58-G58,2))</f>
        <v>0</v>
      </c>
      <c r="L58" s="29">
        <f>IF(F58="","",IF(J58="Personal",0,ROUND(H58*IF(K58="",1,K58),2)))</f>
        <v>0</v>
      </c>
      <c r="O58" s="21">
        <f>IF(OR(B58="",N58="",N58="No"),"",IF(N58="Monthly",EDATE(B58,1),IF(N58="Quarterly",EDATE(B58,3),IF(N58="Annually",EDATE(B58,12),B58+IF(N58="Weekly",7,IF(N58="Fortnightly",14,0))))))</f>
        <v>0</v>
      </c>
      <c r="T58" s="28">
        <f>IF(B58="","",TEXT(B58,"yyyy-mm"))</f>
        <v>0</v>
      </c>
      <c r="U58" s="49">
        <f>IF(B58="","",IF(P58="Pending","Awaiting approval",IF(M58="","Missing receipt",IF(AND(O58&lt;&gt;"",O58&lt;=TODAY()),"Recurring cost due","OK"))))</f>
        <v>0</v>
      </c>
    </row>
    <row r="59" spans="1:21">
      <c r="A59" s="46">
        <f>IF(B59="","","EX-"&amp;TEXT(ROW()-4,"0000"))</f>
        <v>0</v>
      </c>
      <c r="G59" s="29">
        <f>IF(F59="","",IF(TaxRegistered&lt;&gt;"Yes",0,ROUND(F59-F59/(1+TaxRate),2)))</f>
        <v>0</v>
      </c>
      <c r="H59" s="29">
        <f>IF(F59="","",ROUND(F59-G59,2))</f>
        <v>0</v>
      </c>
      <c r="L59" s="29">
        <f>IF(F59="","",IF(J59="Personal",0,ROUND(H59*IF(K59="",1,K59),2)))</f>
        <v>0</v>
      </c>
      <c r="O59" s="21">
        <f>IF(OR(B59="",N59="",N59="No"),"",IF(N59="Monthly",EDATE(B59,1),IF(N59="Quarterly",EDATE(B59,3),IF(N59="Annually",EDATE(B59,12),B59+IF(N59="Weekly",7,IF(N59="Fortnightly",14,0))))))</f>
        <v>0</v>
      </c>
      <c r="T59" s="28">
        <f>IF(B59="","",TEXT(B59,"yyyy-mm"))</f>
        <v>0</v>
      </c>
      <c r="U59" s="49">
        <f>IF(B59="","",IF(P59="Pending","Awaiting approval",IF(M59="","Missing receipt",IF(AND(O59&lt;&gt;"",O59&lt;=TODAY()),"Recurring cost due","OK"))))</f>
        <v>0</v>
      </c>
    </row>
    <row r="60" spans="1:21">
      <c r="A60" s="46">
        <f>IF(B60="","","EX-"&amp;TEXT(ROW()-4,"0000"))</f>
        <v>0</v>
      </c>
      <c r="G60" s="29">
        <f>IF(F60="","",IF(TaxRegistered&lt;&gt;"Yes",0,ROUND(F60-F60/(1+TaxRate),2)))</f>
        <v>0</v>
      </c>
      <c r="H60" s="29">
        <f>IF(F60="","",ROUND(F60-G60,2))</f>
        <v>0</v>
      </c>
      <c r="L60" s="29">
        <f>IF(F60="","",IF(J60="Personal",0,ROUND(H60*IF(K60="",1,K60),2)))</f>
        <v>0</v>
      </c>
      <c r="O60" s="21">
        <f>IF(OR(B60="",N60="",N60="No"),"",IF(N60="Monthly",EDATE(B60,1),IF(N60="Quarterly",EDATE(B60,3),IF(N60="Annually",EDATE(B60,12),B60+IF(N60="Weekly",7,IF(N60="Fortnightly",14,0))))))</f>
        <v>0</v>
      </c>
      <c r="T60" s="28">
        <f>IF(B60="","",TEXT(B60,"yyyy-mm"))</f>
        <v>0</v>
      </c>
      <c r="U60" s="49">
        <f>IF(B60="","",IF(P60="Pending","Awaiting approval",IF(M60="","Missing receipt",IF(AND(O60&lt;&gt;"",O60&lt;=TODAY()),"Recurring cost due","OK"))))</f>
        <v>0</v>
      </c>
    </row>
    <row r="61" spans="1:21">
      <c r="A61" s="46">
        <f>IF(B61="","","EX-"&amp;TEXT(ROW()-4,"0000"))</f>
        <v>0</v>
      </c>
      <c r="G61" s="29">
        <f>IF(F61="","",IF(TaxRegistered&lt;&gt;"Yes",0,ROUND(F61-F61/(1+TaxRate),2)))</f>
        <v>0</v>
      </c>
      <c r="H61" s="29">
        <f>IF(F61="","",ROUND(F61-G61,2))</f>
        <v>0</v>
      </c>
      <c r="L61" s="29">
        <f>IF(F61="","",IF(J61="Personal",0,ROUND(H61*IF(K61="",1,K61),2)))</f>
        <v>0</v>
      </c>
      <c r="O61" s="21">
        <f>IF(OR(B61="",N61="",N61="No"),"",IF(N61="Monthly",EDATE(B61,1),IF(N61="Quarterly",EDATE(B61,3),IF(N61="Annually",EDATE(B61,12),B61+IF(N61="Weekly",7,IF(N61="Fortnightly",14,0))))))</f>
        <v>0</v>
      </c>
      <c r="T61" s="28">
        <f>IF(B61="","",TEXT(B61,"yyyy-mm"))</f>
        <v>0</v>
      </c>
      <c r="U61" s="49">
        <f>IF(B61="","",IF(P61="Pending","Awaiting approval",IF(M61="","Missing receipt",IF(AND(O61&lt;&gt;"",O61&lt;=TODAY()),"Recurring cost due","OK"))))</f>
        <v>0</v>
      </c>
    </row>
    <row r="62" spans="1:21">
      <c r="A62" s="46">
        <f>IF(B62="","","EX-"&amp;TEXT(ROW()-4,"0000"))</f>
        <v>0</v>
      </c>
      <c r="G62" s="29">
        <f>IF(F62="","",IF(TaxRegistered&lt;&gt;"Yes",0,ROUND(F62-F62/(1+TaxRate),2)))</f>
        <v>0</v>
      </c>
      <c r="H62" s="29">
        <f>IF(F62="","",ROUND(F62-G62,2))</f>
        <v>0</v>
      </c>
      <c r="L62" s="29">
        <f>IF(F62="","",IF(J62="Personal",0,ROUND(H62*IF(K62="",1,K62),2)))</f>
        <v>0</v>
      </c>
      <c r="O62" s="21">
        <f>IF(OR(B62="",N62="",N62="No"),"",IF(N62="Monthly",EDATE(B62,1),IF(N62="Quarterly",EDATE(B62,3),IF(N62="Annually",EDATE(B62,12),B62+IF(N62="Weekly",7,IF(N62="Fortnightly",14,0))))))</f>
        <v>0</v>
      </c>
      <c r="T62" s="28">
        <f>IF(B62="","",TEXT(B62,"yyyy-mm"))</f>
        <v>0</v>
      </c>
      <c r="U62" s="49">
        <f>IF(B62="","",IF(P62="Pending","Awaiting approval",IF(M62="","Missing receipt",IF(AND(O62&lt;&gt;"",O62&lt;=TODAY()),"Recurring cost due","OK"))))</f>
        <v>0</v>
      </c>
    </row>
    <row r="63" spans="1:21">
      <c r="A63" s="46">
        <f>IF(B63="","","EX-"&amp;TEXT(ROW()-4,"0000"))</f>
        <v>0</v>
      </c>
      <c r="G63" s="29">
        <f>IF(F63="","",IF(TaxRegistered&lt;&gt;"Yes",0,ROUND(F63-F63/(1+TaxRate),2)))</f>
        <v>0</v>
      </c>
      <c r="H63" s="29">
        <f>IF(F63="","",ROUND(F63-G63,2))</f>
        <v>0</v>
      </c>
      <c r="L63" s="29">
        <f>IF(F63="","",IF(J63="Personal",0,ROUND(H63*IF(K63="",1,K63),2)))</f>
        <v>0</v>
      </c>
      <c r="O63" s="21">
        <f>IF(OR(B63="",N63="",N63="No"),"",IF(N63="Monthly",EDATE(B63,1),IF(N63="Quarterly",EDATE(B63,3),IF(N63="Annually",EDATE(B63,12),B63+IF(N63="Weekly",7,IF(N63="Fortnightly",14,0))))))</f>
        <v>0</v>
      </c>
      <c r="T63" s="28">
        <f>IF(B63="","",TEXT(B63,"yyyy-mm"))</f>
        <v>0</v>
      </c>
      <c r="U63" s="49">
        <f>IF(B63="","",IF(P63="Pending","Awaiting approval",IF(M63="","Missing receipt",IF(AND(O63&lt;&gt;"",O63&lt;=TODAY()),"Recurring cost due","OK"))))</f>
        <v>0</v>
      </c>
    </row>
    <row r="64" spans="1:21">
      <c r="A64" s="46">
        <f>IF(B64="","","EX-"&amp;TEXT(ROW()-4,"0000"))</f>
        <v>0</v>
      </c>
      <c r="G64" s="29">
        <f>IF(F64="","",IF(TaxRegistered&lt;&gt;"Yes",0,ROUND(F64-F64/(1+TaxRate),2)))</f>
        <v>0</v>
      </c>
      <c r="H64" s="29">
        <f>IF(F64="","",ROUND(F64-G64,2))</f>
        <v>0</v>
      </c>
      <c r="L64" s="29">
        <f>IF(F64="","",IF(J64="Personal",0,ROUND(H64*IF(K64="",1,K64),2)))</f>
        <v>0</v>
      </c>
      <c r="O64" s="21">
        <f>IF(OR(B64="",N64="",N64="No"),"",IF(N64="Monthly",EDATE(B64,1),IF(N64="Quarterly",EDATE(B64,3),IF(N64="Annually",EDATE(B64,12),B64+IF(N64="Weekly",7,IF(N64="Fortnightly",14,0))))))</f>
        <v>0</v>
      </c>
      <c r="T64" s="28">
        <f>IF(B64="","",TEXT(B64,"yyyy-mm"))</f>
        <v>0</v>
      </c>
      <c r="U64" s="49">
        <f>IF(B64="","",IF(P64="Pending","Awaiting approval",IF(M64="","Missing receipt",IF(AND(O64&lt;&gt;"",O64&lt;=TODAY()),"Recurring cost due","OK"))))</f>
        <v>0</v>
      </c>
    </row>
    <row r="65" spans="1:21">
      <c r="A65" s="46">
        <f>IF(B65="","","EX-"&amp;TEXT(ROW()-4,"0000"))</f>
        <v>0</v>
      </c>
      <c r="G65" s="29">
        <f>IF(F65="","",IF(TaxRegistered&lt;&gt;"Yes",0,ROUND(F65-F65/(1+TaxRate),2)))</f>
        <v>0</v>
      </c>
      <c r="H65" s="29">
        <f>IF(F65="","",ROUND(F65-G65,2))</f>
        <v>0</v>
      </c>
      <c r="L65" s="29">
        <f>IF(F65="","",IF(J65="Personal",0,ROUND(H65*IF(K65="",1,K65),2)))</f>
        <v>0</v>
      </c>
      <c r="O65" s="21">
        <f>IF(OR(B65="",N65="",N65="No"),"",IF(N65="Monthly",EDATE(B65,1),IF(N65="Quarterly",EDATE(B65,3),IF(N65="Annually",EDATE(B65,12),B65+IF(N65="Weekly",7,IF(N65="Fortnightly",14,0))))))</f>
        <v>0</v>
      </c>
      <c r="T65" s="28">
        <f>IF(B65="","",TEXT(B65,"yyyy-mm"))</f>
        <v>0</v>
      </c>
      <c r="U65" s="49">
        <f>IF(B65="","",IF(P65="Pending","Awaiting approval",IF(M65="","Missing receipt",IF(AND(O65&lt;&gt;"",O65&lt;=TODAY()),"Recurring cost due","OK"))))</f>
        <v>0</v>
      </c>
    </row>
    <row r="66" spans="1:21">
      <c r="A66" s="46">
        <f>IF(B66="","","EX-"&amp;TEXT(ROW()-4,"0000"))</f>
        <v>0</v>
      </c>
      <c r="G66" s="29">
        <f>IF(F66="","",IF(TaxRegistered&lt;&gt;"Yes",0,ROUND(F66-F66/(1+TaxRate),2)))</f>
        <v>0</v>
      </c>
      <c r="H66" s="29">
        <f>IF(F66="","",ROUND(F66-G66,2))</f>
        <v>0</v>
      </c>
      <c r="L66" s="29">
        <f>IF(F66="","",IF(J66="Personal",0,ROUND(H66*IF(K66="",1,K66),2)))</f>
        <v>0</v>
      </c>
      <c r="O66" s="21">
        <f>IF(OR(B66="",N66="",N66="No"),"",IF(N66="Monthly",EDATE(B66,1),IF(N66="Quarterly",EDATE(B66,3),IF(N66="Annually",EDATE(B66,12),B66+IF(N66="Weekly",7,IF(N66="Fortnightly",14,0))))))</f>
        <v>0</v>
      </c>
      <c r="T66" s="28">
        <f>IF(B66="","",TEXT(B66,"yyyy-mm"))</f>
        <v>0</v>
      </c>
      <c r="U66" s="49">
        <f>IF(B66="","",IF(P66="Pending","Awaiting approval",IF(M66="","Missing receipt",IF(AND(O66&lt;&gt;"",O66&lt;=TODAY()),"Recurring cost due","OK"))))</f>
        <v>0</v>
      </c>
    </row>
    <row r="67" spans="1:21">
      <c r="A67" s="46">
        <f>IF(B67="","","EX-"&amp;TEXT(ROW()-4,"0000"))</f>
        <v>0</v>
      </c>
      <c r="G67" s="29">
        <f>IF(F67="","",IF(TaxRegistered&lt;&gt;"Yes",0,ROUND(F67-F67/(1+TaxRate),2)))</f>
        <v>0</v>
      </c>
      <c r="H67" s="29">
        <f>IF(F67="","",ROUND(F67-G67,2))</f>
        <v>0</v>
      </c>
      <c r="L67" s="29">
        <f>IF(F67="","",IF(J67="Personal",0,ROUND(H67*IF(K67="",1,K67),2)))</f>
        <v>0</v>
      </c>
      <c r="O67" s="21">
        <f>IF(OR(B67="",N67="",N67="No"),"",IF(N67="Monthly",EDATE(B67,1),IF(N67="Quarterly",EDATE(B67,3),IF(N67="Annually",EDATE(B67,12),B67+IF(N67="Weekly",7,IF(N67="Fortnightly",14,0))))))</f>
        <v>0</v>
      </c>
      <c r="T67" s="28">
        <f>IF(B67="","",TEXT(B67,"yyyy-mm"))</f>
        <v>0</v>
      </c>
      <c r="U67" s="49">
        <f>IF(B67="","",IF(P67="Pending","Awaiting approval",IF(M67="","Missing receipt",IF(AND(O67&lt;&gt;"",O67&lt;=TODAY()),"Recurring cost due","OK"))))</f>
        <v>0</v>
      </c>
    </row>
    <row r="68" spans="1:21">
      <c r="A68" s="46">
        <f>IF(B68="","","EX-"&amp;TEXT(ROW()-4,"0000"))</f>
        <v>0</v>
      </c>
      <c r="G68" s="29">
        <f>IF(F68="","",IF(TaxRegistered&lt;&gt;"Yes",0,ROUND(F68-F68/(1+TaxRate),2)))</f>
        <v>0</v>
      </c>
      <c r="H68" s="29">
        <f>IF(F68="","",ROUND(F68-G68,2))</f>
        <v>0</v>
      </c>
      <c r="L68" s="29">
        <f>IF(F68="","",IF(J68="Personal",0,ROUND(H68*IF(K68="",1,K68),2)))</f>
        <v>0</v>
      </c>
      <c r="O68" s="21">
        <f>IF(OR(B68="",N68="",N68="No"),"",IF(N68="Monthly",EDATE(B68,1),IF(N68="Quarterly",EDATE(B68,3),IF(N68="Annually",EDATE(B68,12),B68+IF(N68="Weekly",7,IF(N68="Fortnightly",14,0))))))</f>
        <v>0</v>
      </c>
      <c r="T68" s="28">
        <f>IF(B68="","",TEXT(B68,"yyyy-mm"))</f>
        <v>0</v>
      </c>
      <c r="U68" s="49">
        <f>IF(B68="","",IF(P68="Pending","Awaiting approval",IF(M68="","Missing receipt",IF(AND(O68&lt;&gt;"",O68&lt;=TODAY()),"Recurring cost due","OK"))))</f>
        <v>0</v>
      </c>
    </row>
    <row r="69" spans="1:21">
      <c r="A69" s="46">
        <f>IF(B69="","","EX-"&amp;TEXT(ROW()-4,"0000"))</f>
        <v>0</v>
      </c>
      <c r="G69" s="29">
        <f>IF(F69="","",IF(TaxRegistered&lt;&gt;"Yes",0,ROUND(F69-F69/(1+TaxRate),2)))</f>
        <v>0</v>
      </c>
      <c r="H69" s="29">
        <f>IF(F69="","",ROUND(F69-G69,2))</f>
        <v>0</v>
      </c>
      <c r="L69" s="29">
        <f>IF(F69="","",IF(J69="Personal",0,ROUND(H69*IF(K69="",1,K69),2)))</f>
        <v>0</v>
      </c>
      <c r="O69" s="21">
        <f>IF(OR(B69="",N69="",N69="No"),"",IF(N69="Monthly",EDATE(B69,1),IF(N69="Quarterly",EDATE(B69,3),IF(N69="Annually",EDATE(B69,12),B69+IF(N69="Weekly",7,IF(N69="Fortnightly",14,0))))))</f>
        <v>0</v>
      </c>
      <c r="T69" s="28">
        <f>IF(B69="","",TEXT(B69,"yyyy-mm"))</f>
        <v>0</v>
      </c>
      <c r="U69" s="49">
        <f>IF(B69="","",IF(P69="Pending","Awaiting approval",IF(M69="","Missing receipt",IF(AND(O69&lt;&gt;"",O69&lt;=TODAY()),"Recurring cost due","OK"))))</f>
        <v>0</v>
      </c>
    </row>
    <row r="70" spans="1:21">
      <c r="A70" s="46">
        <f>IF(B70="","","EX-"&amp;TEXT(ROW()-4,"0000"))</f>
        <v>0</v>
      </c>
      <c r="G70" s="29">
        <f>IF(F70="","",IF(TaxRegistered&lt;&gt;"Yes",0,ROUND(F70-F70/(1+TaxRate),2)))</f>
        <v>0</v>
      </c>
      <c r="H70" s="29">
        <f>IF(F70="","",ROUND(F70-G70,2))</f>
        <v>0</v>
      </c>
      <c r="L70" s="29">
        <f>IF(F70="","",IF(J70="Personal",0,ROUND(H70*IF(K70="",1,K70),2)))</f>
        <v>0</v>
      </c>
      <c r="O70" s="21">
        <f>IF(OR(B70="",N70="",N70="No"),"",IF(N70="Monthly",EDATE(B70,1),IF(N70="Quarterly",EDATE(B70,3),IF(N70="Annually",EDATE(B70,12),B70+IF(N70="Weekly",7,IF(N70="Fortnightly",14,0))))))</f>
        <v>0</v>
      </c>
      <c r="T70" s="28">
        <f>IF(B70="","",TEXT(B70,"yyyy-mm"))</f>
        <v>0</v>
      </c>
      <c r="U70" s="49">
        <f>IF(B70="","",IF(P70="Pending","Awaiting approval",IF(M70="","Missing receipt",IF(AND(O70&lt;&gt;"",O70&lt;=TODAY()),"Recurring cost due","OK"))))</f>
        <v>0</v>
      </c>
    </row>
    <row r="71" spans="1:21">
      <c r="A71" s="46">
        <f>IF(B71="","","EX-"&amp;TEXT(ROW()-4,"0000"))</f>
        <v>0</v>
      </c>
      <c r="G71" s="29">
        <f>IF(F71="","",IF(TaxRegistered&lt;&gt;"Yes",0,ROUND(F71-F71/(1+TaxRate),2)))</f>
        <v>0</v>
      </c>
      <c r="H71" s="29">
        <f>IF(F71="","",ROUND(F71-G71,2))</f>
        <v>0</v>
      </c>
      <c r="L71" s="29">
        <f>IF(F71="","",IF(J71="Personal",0,ROUND(H71*IF(K71="",1,K71),2)))</f>
        <v>0</v>
      </c>
      <c r="O71" s="21">
        <f>IF(OR(B71="",N71="",N71="No"),"",IF(N71="Monthly",EDATE(B71,1),IF(N71="Quarterly",EDATE(B71,3),IF(N71="Annually",EDATE(B71,12),B71+IF(N71="Weekly",7,IF(N71="Fortnightly",14,0))))))</f>
        <v>0</v>
      </c>
      <c r="T71" s="28">
        <f>IF(B71="","",TEXT(B71,"yyyy-mm"))</f>
        <v>0</v>
      </c>
      <c r="U71" s="49">
        <f>IF(B71="","",IF(P71="Pending","Awaiting approval",IF(M71="","Missing receipt",IF(AND(O71&lt;&gt;"",O71&lt;=TODAY()),"Recurring cost due","OK"))))</f>
        <v>0</v>
      </c>
    </row>
    <row r="72" spans="1:21">
      <c r="A72" s="46">
        <f>IF(B72="","","EX-"&amp;TEXT(ROW()-4,"0000"))</f>
        <v>0</v>
      </c>
      <c r="G72" s="29">
        <f>IF(F72="","",IF(TaxRegistered&lt;&gt;"Yes",0,ROUND(F72-F72/(1+TaxRate),2)))</f>
        <v>0</v>
      </c>
      <c r="H72" s="29">
        <f>IF(F72="","",ROUND(F72-G72,2))</f>
        <v>0</v>
      </c>
      <c r="L72" s="29">
        <f>IF(F72="","",IF(J72="Personal",0,ROUND(H72*IF(K72="",1,K72),2)))</f>
        <v>0</v>
      </c>
      <c r="O72" s="21">
        <f>IF(OR(B72="",N72="",N72="No"),"",IF(N72="Monthly",EDATE(B72,1),IF(N72="Quarterly",EDATE(B72,3),IF(N72="Annually",EDATE(B72,12),B72+IF(N72="Weekly",7,IF(N72="Fortnightly",14,0))))))</f>
        <v>0</v>
      </c>
      <c r="T72" s="28">
        <f>IF(B72="","",TEXT(B72,"yyyy-mm"))</f>
        <v>0</v>
      </c>
      <c r="U72" s="49">
        <f>IF(B72="","",IF(P72="Pending","Awaiting approval",IF(M72="","Missing receipt",IF(AND(O72&lt;&gt;"",O72&lt;=TODAY()),"Recurring cost due","OK"))))</f>
        <v>0</v>
      </c>
    </row>
    <row r="73" spans="1:21">
      <c r="A73" s="46">
        <f>IF(B73="","","EX-"&amp;TEXT(ROW()-4,"0000"))</f>
        <v>0</v>
      </c>
      <c r="G73" s="29">
        <f>IF(F73="","",IF(TaxRegistered&lt;&gt;"Yes",0,ROUND(F73-F73/(1+TaxRate),2)))</f>
        <v>0</v>
      </c>
      <c r="H73" s="29">
        <f>IF(F73="","",ROUND(F73-G73,2))</f>
        <v>0</v>
      </c>
      <c r="L73" s="29">
        <f>IF(F73="","",IF(J73="Personal",0,ROUND(H73*IF(K73="",1,K73),2)))</f>
        <v>0</v>
      </c>
      <c r="O73" s="21">
        <f>IF(OR(B73="",N73="",N73="No"),"",IF(N73="Monthly",EDATE(B73,1),IF(N73="Quarterly",EDATE(B73,3),IF(N73="Annually",EDATE(B73,12),B73+IF(N73="Weekly",7,IF(N73="Fortnightly",14,0))))))</f>
        <v>0</v>
      </c>
      <c r="T73" s="28">
        <f>IF(B73="","",TEXT(B73,"yyyy-mm"))</f>
        <v>0</v>
      </c>
      <c r="U73" s="49">
        <f>IF(B73="","",IF(P73="Pending","Awaiting approval",IF(M73="","Missing receipt",IF(AND(O73&lt;&gt;"",O73&lt;=TODAY()),"Recurring cost due","OK"))))</f>
        <v>0</v>
      </c>
    </row>
    <row r="74" spans="1:21">
      <c r="A74" s="46">
        <f>IF(B74="","","EX-"&amp;TEXT(ROW()-4,"0000"))</f>
        <v>0</v>
      </c>
      <c r="G74" s="29">
        <f>IF(F74="","",IF(TaxRegistered&lt;&gt;"Yes",0,ROUND(F74-F74/(1+TaxRate),2)))</f>
        <v>0</v>
      </c>
      <c r="H74" s="29">
        <f>IF(F74="","",ROUND(F74-G74,2))</f>
        <v>0</v>
      </c>
      <c r="L74" s="29">
        <f>IF(F74="","",IF(J74="Personal",0,ROUND(H74*IF(K74="",1,K74),2)))</f>
        <v>0</v>
      </c>
      <c r="O74" s="21">
        <f>IF(OR(B74="",N74="",N74="No"),"",IF(N74="Monthly",EDATE(B74,1),IF(N74="Quarterly",EDATE(B74,3),IF(N74="Annually",EDATE(B74,12),B74+IF(N74="Weekly",7,IF(N74="Fortnightly",14,0))))))</f>
        <v>0</v>
      </c>
      <c r="T74" s="28">
        <f>IF(B74="","",TEXT(B74,"yyyy-mm"))</f>
        <v>0</v>
      </c>
      <c r="U74" s="49">
        <f>IF(B74="","",IF(P74="Pending","Awaiting approval",IF(M74="","Missing receipt",IF(AND(O74&lt;&gt;"",O74&lt;=TODAY()),"Recurring cost due","OK"))))</f>
        <v>0</v>
      </c>
    </row>
    <row r="75" spans="1:21">
      <c r="A75" s="46">
        <f>IF(B75="","","EX-"&amp;TEXT(ROW()-4,"0000"))</f>
        <v>0</v>
      </c>
      <c r="G75" s="29">
        <f>IF(F75="","",IF(TaxRegistered&lt;&gt;"Yes",0,ROUND(F75-F75/(1+TaxRate),2)))</f>
        <v>0</v>
      </c>
      <c r="H75" s="29">
        <f>IF(F75="","",ROUND(F75-G75,2))</f>
        <v>0</v>
      </c>
      <c r="L75" s="29">
        <f>IF(F75="","",IF(J75="Personal",0,ROUND(H75*IF(K75="",1,K75),2)))</f>
        <v>0</v>
      </c>
      <c r="O75" s="21">
        <f>IF(OR(B75="",N75="",N75="No"),"",IF(N75="Monthly",EDATE(B75,1),IF(N75="Quarterly",EDATE(B75,3),IF(N75="Annually",EDATE(B75,12),B75+IF(N75="Weekly",7,IF(N75="Fortnightly",14,0))))))</f>
        <v>0</v>
      </c>
      <c r="T75" s="28">
        <f>IF(B75="","",TEXT(B75,"yyyy-mm"))</f>
        <v>0</v>
      </c>
      <c r="U75" s="49">
        <f>IF(B75="","",IF(P75="Pending","Awaiting approval",IF(M75="","Missing receipt",IF(AND(O75&lt;&gt;"",O75&lt;=TODAY()),"Recurring cost due","OK"))))</f>
        <v>0</v>
      </c>
    </row>
    <row r="76" spans="1:21">
      <c r="A76" s="46">
        <f>IF(B76="","","EX-"&amp;TEXT(ROW()-4,"0000"))</f>
        <v>0</v>
      </c>
      <c r="G76" s="29">
        <f>IF(F76="","",IF(TaxRegistered&lt;&gt;"Yes",0,ROUND(F76-F76/(1+TaxRate),2)))</f>
        <v>0</v>
      </c>
      <c r="H76" s="29">
        <f>IF(F76="","",ROUND(F76-G76,2))</f>
        <v>0</v>
      </c>
      <c r="L76" s="29">
        <f>IF(F76="","",IF(J76="Personal",0,ROUND(H76*IF(K76="",1,K76),2)))</f>
        <v>0</v>
      </c>
      <c r="O76" s="21">
        <f>IF(OR(B76="",N76="",N76="No"),"",IF(N76="Monthly",EDATE(B76,1),IF(N76="Quarterly",EDATE(B76,3),IF(N76="Annually",EDATE(B76,12),B76+IF(N76="Weekly",7,IF(N76="Fortnightly",14,0))))))</f>
        <v>0</v>
      </c>
      <c r="T76" s="28">
        <f>IF(B76="","",TEXT(B76,"yyyy-mm"))</f>
        <v>0</v>
      </c>
      <c r="U76" s="49">
        <f>IF(B76="","",IF(P76="Pending","Awaiting approval",IF(M76="","Missing receipt",IF(AND(O76&lt;&gt;"",O76&lt;=TODAY()),"Recurring cost due","OK"))))</f>
        <v>0</v>
      </c>
    </row>
    <row r="77" spans="1:21">
      <c r="A77" s="46">
        <f>IF(B77="","","EX-"&amp;TEXT(ROW()-4,"0000"))</f>
        <v>0</v>
      </c>
      <c r="G77" s="29">
        <f>IF(F77="","",IF(TaxRegistered&lt;&gt;"Yes",0,ROUND(F77-F77/(1+TaxRate),2)))</f>
        <v>0</v>
      </c>
      <c r="H77" s="29">
        <f>IF(F77="","",ROUND(F77-G77,2))</f>
        <v>0</v>
      </c>
      <c r="L77" s="29">
        <f>IF(F77="","",IF(J77="Personal",0,ROUND(H77*IF(K77="",1,K77),2)))</f>
        <v>0</v>
      </c>
      <c r="O77" s="21">
        <f>IF(OR(B77="",N77="",N77="No"),"",IF(N77="Monthly",EDATE(B77,1),IF(N77="Quarterly",EDATE(B77,3),IF(N77="Annually",EDATE(B77,12),B77+IF(N77="Weekly",7,IF(N77="Fortnightly",14,0))))))</f>
        <v>0</v>
      </c>
      <c r="T77" s="28">
        <f>IF(B77="","",TEXT(B77,"yyyy-mm"))</f>
        <v>0</v>
      </c>
      <c r="U77" s="49">
        <f>IF(B77="","",IF(P77="Pending","Awaiting approval",IF(M77="","Missing receipt",IF(AND(O77&lt;&gt;"",O77&lt;=TODAY()),"Recurring cost due","OK"))))</f>
        <v>0</v>
      </c>
    </row>
    <row r="78" spans="1:21">
      <c r="A78" s="46">
        <f>IF(B78="","","EX-"&amp;TEXT(ROW()-4,"0000"))</f>
        <v>0</v>
      </c>
      <c r="G78" s="29">
        <f>IF(F78="","",IF(TaxRegistered&lt;&gt;"Yes",0,ROUND(F78-F78/(1+TaxRate),2)))</f>
        <v>0</v>
      </c>
      <c r="H78" s="29">
        <f>IF(F78="","",ROUND(F78-G78,2))</f>
        <v>0</v>
      </c>
      <c r="L78" s="29">
        <f>IF(F78="","",IF(J78="Personal",0,ROUND(H78*IF(K78="",1,K78),2)))</f>
        <v>0</v>
      </c>
      <c r="O78" s="21">
        <f>IF(OR(B78="",N78="",N78="No"),"",IF(N78="Monthly",EDATE(B78,1),IF(N78="Quarterly",EDATE(B78,3),IF(N78="Annually",EDATE(B78,12),B78+IF(N78="Weekly",7,IF(N78="Fortnightly",14,0))))))</f>
        <v>0</v>
      </c>
      <c r="T78" s="28">
        <f>IF(B78="","",TEXT(B78,"yyyy-mm"))</f>
        <v>0</v>
      </c>
      <c r="U78" s="49">
        <f>IF(B78="","",IF(P78="Pending","Awaiting approval",IF(M78="","Missing receipt",IF(AND(O78&lt;&gt;"",O78&lt;=TODAY()),"Recurring cost due","OK"))))</f>
        <v>0</v>
      </c>
    </row>
    <row r="79" spans="1:21">
      <c r="A79" s="46">
        <f>IF(B79="","","EX-"&amp;TEXT(ROW()-4,"0000"))</f>
        <v>0</v>
      </c>
      <c r="G79" s="29">
        <f>IF(F79="","",IF(TaxRegistered&lt;&gt;"Yes",0,ROUND(F79-F79/(1+TaxRate),2)))</f>
        <v>0</v>
      </c>
      <c r="H79" s="29">
        <f>IF(F79="","",ROUND(F79-G79,2))</f>
        <v>0</v>
      </c>
      <c r="L79" s="29">
        <f>IF(F79="","",IF(J79="Personal",0,ROUND(H79*IF(K79="",1,K79),2)))</f>
        <v>0</v>
      </c>
      <c r="O79" s="21">
        <f>IF(OR(B79="",N79="",N79="No"),"",IF(N79="Monthly",EDATE(B79,1),IF(N79="Quarterly",EDATE(B79,3),IF(N79="Annually",EDATE(B79,12),B79+IF(N79="Weekly",7,IF(N79="Fortnightly",14,0))))))</f>
        <v>0</v>
      </c>
      <c r="T79" s="28">
        <f>IF(B79="","",TEXT(B79,"yyyy-mm"))</f>
        <v>0</v>
      </c>
      <c r="U79" s="49">
        <f>IF(B79="","",IF(P79="Pending","Awaiting approval",IF(M79="","Missing receipt",IF(AND(O79&lt;&gt;"",O79&lt;=TODAY()),"Recurring cost due","OK"))))</f>
        <v>0</v>
      </c>
    </row>
    <row r="80" spans="1:21">
      <c r="A80" s="46">
        <f>IF(B80="","","EX-"&amp;TEXT(ROW()-4,"0000"))</f>
        <v>0</v>
      </c>
      <c r="G80" s="29">
        <f>IF(F80="","",IF(TaxRegistered&lt;&gt;"Yes",0,ROUND(F80-F80/(1+TaxRate),2)))</f>
        <v>0</v>
      </c>
      <c r="H80" s="29">
        <f>IF(F80="","",ROUND(F80-G80,2))</f>
        <v>0</v>
      </c>
      <c r="L80" s="29">
        <f>IF(F80="","",IF(J80="Personal",0,ROUND(H80*IF(K80="",1,K80),2)))</f>
        <v>0</v>
      </c>
      <c r="O80" s="21">
        <f>IF(OR(B80="",N80="",N80="No"),"",IF(N80="Monthly",EDATE(B80,1),IF(N80="Quarterly",EDATE(B80,3),IF(N80="Annually",EDATE(B80,12),B80+IF(N80="Weekly",7,IF(N80="Fortnightly",14,0))))))</f>
        <v>0</v>
      </c>
      <c r="T80" s="28">
        <f>IF(B80="","",TEXT(B80,"yyyy-mm"))</f>
        <v>0</v>
      </c>
      <c r="U80" s="49">
        <f>IF(B80="","",IF(P80="Pending","Awaiting approval",IF(M80="","Missing receipt",IF(AND(O80&lt;&gt;"",O80&lt;=TODAY()),"Recurring cost due","OK"))))</f>
        <v>0</v>
      </c>
    </row>
    <row r="81" spans="1:21">
      <c r="A81" s="46">
        <f>IF(B81="","","EX-"&amp;TEXT(ROW()-4,"0000"))</f>
        <v>0</v>
      </c>
      <c r="G81" s="29">
        <f>IF(F81="","",IF(TaxRegistered&lt;&gt;"Yes",0,ROUND(F81-F81/(1+TaxRate),2)))</f>
        <v>0</v>
      </c>
      <c r="H81" s="29">
        <f>IF(F81="","",ROUND(F81-G81,2))</f>
        <v>0</v>
      </c>
      <c r="L81" s="29">
        <f>IF(F81="","",IF(J81="Personal",0,ROUND(H81*IF(K81="",1,K81),2)))</f>
        <v>0</v>
      </c>
      <c r="O81" s="21">
        <f>IF(OR(B81="",N81="",N81="No"),"",IF(N81="Monthly",EDATE(B81,1),IF(N81="Quarterly",EDATE(B81,3),IF(N81="Annually",EDATE(B81,12),B81+IF(N81="Weekly",7,IF(N81="Fortnightly",14,0))))))</f>
        <v>0</v>
      </c>
      <c r="T81" s="28">
        <f>IF(B81="","",TEXT(B81,"yyyy-mm"))</f>
        <v>0</v>
      </c>
      <c r="U81" s="49">
        <f>IF(B81="","",IF(P81="Pending","Awaiting approval",IF(M81="","Missing receipt",IF(AND(O81&lt;&gt;"",O81&lt;=TODAY()),"Recurring cost due","OK"))))</f>
        <v>0</v>
      </c>
    </row>
    <row r="82" spans="1:21">
      <c r="A82" s="46">
        <f>IF(B82="","","EX-"&amp;TEXT(ROW()-4,"0000"))</f>
        <v>0</v>
      </c>
      <c r="G82" s="29">
        <f>IF(F82="","",IF(TaxRegistered&lt;&gt;"Yes",0,ROUND(F82-F82/(1+TaxRate),2)))</f>
        <v>0</v>
      </c>
      <c r="H82" s="29">
        <f>IF(F82="","",ROUND(F82-G82,2))</f>
        <v>0</v>
      </c>
      <c r="L82" s="29">
        <f>IF(F82="","",IF(J82="Personal",0,ROUND(H82*IF(K82="",1,K82),2)))</f>
        <v>0</v>
      </c>
      <c r="O82" s="21">
        <f>IF(OR(B82="",N82="",N82="No"),"",IF(N82="Monthly",EDATE(B82,1),IF(N82="Quarterly",EDATE(B82,3),IF(N82="Annually",EDATE(B82,12),B82+IF(N82="Weekly",7,IF(N82="Fortnightly",14,0))))))</f>
        <v>0</v>
      </c>
      <c r="T82" s="28">
        <f>IF(B82="","",TEXT(B82,"yyyy-mm"))</f>
        <v>0</v>
      </c>
      <c r="U82" s="49">
        <f>IF(B82="","",IF(P82="Pending","Awaiting approval",IF(M82="","Missing receipt",IF(AND(O82&lt;&gt;"",O82&lt;=TODAY()),"Recurring cost due","OK"))))</f>
        <v>0</v>
      </c>
    </row>
    <row r="83" spans="1:21">
      <c r="A83" s="46">
        <f>IF(B83="","","EX-"&amp;TEXT(ROW()-4,"0000"))</f>
        <v>0</v>
      </c>
      <c r="G83" s="29">
        <f>IF(F83="","",IF(TaxRegistered&lt;&gt;"Yes",0,ROUND(F83-F83/(1+TaxRate),2)))</f>
        <v>0</v>
      </c>
      <c r="H83" s="29">
        <f>IF(F83="","",ROUND(F83-G83,2))</f>
        <v>0</v>
      </c>
      <c r="L83" s="29">
        <f>IF(F83="","",IF(J83="Personal",0,ROUND(H83*IF(K83="",1,K83),2)))</f>
        <v>0</v>
      </c>
      <c r="O83" s="21">
        <f>IF(OR(B83="",N83="",N83="No"),"",IF(N83="Monthly",EDATE(B83,1),IF(N83="Quarterly",EDATE(B83,3),IF(N83="Annually",EDATE(B83,12),B83+IF(N83="Weekly",7,IF(N83="Fortnightly",14,0))))))</f>
        <v>0</v>
      </c>
      <c r="T83" s="28">
        <f>IF(B83="","",TEXT(B83,"yyyy-mm"))</f>
        <v>0</v>
      </c>
      <c r="U83" s="49">
        <f>IF(B83="","",IF(P83="Pending","Awaiting approval",IF(M83="","Missing receipt",IF(AND(O83&lt;&gt;"",O83&lt;=TODAY()),"Recurring cost due","OK"))))</f>
        <v>0</v>
      </c>
    </row>
    <row r="84" spans="1:21">
      <c r="A84" s="46">
        <f>IF(B84="","","EX-"&amp;TEXT(ROW()-4,"0000"))</f>
        <v>0</v>
      </c>
      <c r="G84" s="29">
        <f>IF(F84="","",IF(TaxRegistered&lt;&gt;"Yes",0,ROUND(F84-F84/(1+TaxRate),2)))</f>
        <v>0</v>
      </c>
      <c r="H84" s="29">
        <f>IF(F84="","",ROUND(F84-G84,2))</f>
        <v>0</v>
      </c>
      <c r="L84" s="29">
        <f>IF(F84="","",IF(J84="Personal",0,ROUND(H84*IF(K84="",1,K84),2)))</f>
        <v>0</v>
      </c>
      <c r="O84" s="21">
        <f>IF(OR(B84="",N84="",N84="No"),"",IF(N84="Monthly",EDATE(B84,1),IF(N84="Quarterly",EDATE(B84,3),IF(N84="Annually",EDATE(B84,12),B84+IF(N84="Weekly",7,IF(N84="Fortnightly",14,0))))))</f>
        <v>0</v>
      </c>
      <c r="T84" s="28">
        <f>IF(B84="","",TEXT(B84,"yyyy-mm"))</f>
        <v>0</v>
      </c>
      <c r="U84" s="49">
        <f>IF(B84="","",IF(P84="Pending","Awaiting approval",IF(M84="","Missing receipt",IF(AND(O84&lt;&gt;"",O84&lt;=TODAY()),"Recurring cost due","OK"))))</f>
        <v>0</v>
      </c>
    </row>
    <row r="85" spans="1:21">
      <c r="A85" s="46">
        <f>IF(B85="","","EX-"&amp;TEXT(ROW()-4,"0000"))</f>
        <v>0</v>
      </c>
      <c r="G85" s="29">
        <f>IF(F85="","",IF(TaxRegistered&lt;&gt;"Yes",0,ROUND(F85-F85/(1+TaxRate),2)))</f>
        <v>0</v>
      </c>
      <c r="H85" s="29">
        <f>IF(F85="","",ROUND(F85-G85,2))</f>
        <v>0</v>
      </c>
      <c r="L85" s="29">
        <f>IF(F85="","",IF(J85="Personal",0,ROUND(H85*IF(K85="",1,K85),2)))</f>
        <v>0</v>
      </c>
      <c r="O85" s="21">
        <f>IF(OR(B85="",N85="",N85="No"),"",IF(N85="Monthly",EDATE(B85,1),IF(N85="Quarterly",EDATE(B85,3),IF(N85="Annually",EDATE(B85,12),B85+IF(N85="Weekly",7,IF(N85="Fortnightly",14,0))))))</f>
        <v>0</v>
      </c>
      <c r="T85" s="28">
        <f>IF(B85="","",TEXT(B85,"yyyy-mm"))</f>
        <v>0</v>
      </c>
      <c r="U85" s="49">
        <f>IF(B85="","",IF(P85="Pending","Awaiting approval",IF(M85="","Missing receipt",IF(AND(O85&lt;&gt;"",O85&lt;=TODAY()),"Recurring cost due","OK"))))</f>
        <v>0</v>
      </c>
    </row>
    <row r="86" spans="1:21">
      <c r="A86" s="46">
        <f>IF(B86="","","EX-"&amp;TEXT(ROW()-4,"0000"))</f>
        <v>0</v>
      </c>
      <c r="G86" s="29">
        <f>IF(F86="","",IF(TaxRegistered&lt;&gt;"Yes",0,ROUND(F86-F86/(1+TaxRate),2)))</f>
        <v>0</v>
      </c>
      <c r="H86" s="29">
        <f>IF(F86="","",ROUND(F86-G86,2))</f>
        <v>0</v>
      </c>
      <c r="L86" s="29">
        <f>IF(F86="","",IF(J86="Personal",0,ROUND(H86*IF(K86="",1,K86),2)))</f>
        <v>0</v>
      </c>
      <c r="O86" s="21">
        <f>IF(OR(B86="",N86="",N86="No"),"",IF(N86="Monthly",EDATE(B86,1),IF(N86="Quarterly",EDATE(B86,3),IF(N86="Annually",EDATE(B86,12),B86+IF(N86="Weekly",7,IF(N86="Fortnightly",14,0))))))</f>
        <v>0</v>
      </c>
      <c r="T86" s="28">
        <f>IF(B86="","",TEXT(B86,"yyyy-mm"))</f>
        <v>0</v>
      </c>
      <c r="U86" s="49">
        <f>IF(B86="","",IF(P86="Pending","Awaiting approval",IF(M86="","Missing receipt",IF(AND(O86&lt;&gt;"",O86&lt;=TODAY()),"Recurring cost due","OK"))))</f>
        <v>0</v>
      </c>
    </row>
    <row r="87" spans="1:21">
      <c r="A87" s="46">
        <f>IF(B87="","","EX-"&amp;TEXT(ROW()-4,"0000"))</f>
        <v>0</v>
      </c>
      <c r="G87" s="29">
        <f>IF(F87="","",IF(TaxRegistered&lt;&gt;"Yes",0,ROUND(F87-F87/(1+TaxRate),2)))</f>
        <v>0</v>
      </c>
      <c r="H87" s="29">
        <f>IF(F87="","",ROUND(F87-G87,2))</f>
        <v>0</v>
      </c>
      <c r="L87" s="29">
        <f>IF(F87="","",IF(J87="Personal",0,ROUND(H87*IF(K87="",1,K87),2)))</f>
        <v>0</v>
      </c>
      <c r="O87" s="21">
        <f>IF(OR(B87="",N87="",N87="No"),"",IF(N87="Monthly",EDATE(B87,1),IF(N87="Quarterly",EDATE(B87,3),IF(N87="Annually",EDATE(B87,12),B87+IF(N87="Weekly",7,IF(N87="Fortnightly",14,0))))))</f>
        <v>0</v>
      </c>
      <c r="T87" s="28">
        <f>IF(B87="","",TEXT(B87,"yyyy-mm"))</f>
        <v>0</v>
      </c>
      <c r="U87" s="49">
        <f>IF(B87="","",IF(P87="Pending","Awaiting approval",IF(M87="","Missing receipt",IF(AND(O87&lt;&gt;"",O87&lt;=TODAY()),"Recurring cost due","OK"))))</f>
        <v>0</v>
      </c>
    </row>
    <row r="88" spans="1:21">
      <c r="A88" s="46">
        <f>IF(B88="","","EX-"&amp;TEXT(ROW()-4,"0000"))</f>
        <v>0</v>
      </c>
      <c r="G88" s="29">
        <f>IF(F88="","",IF(TaxRegistered&lt;&gt;"Yes",0,ROUND(F88-F88/(1+TaxRate),2)))</f>
        <v>0</v>
      </c>
      <c r="H88" s="29">
        <f>IF(F88="","",ROUND(F88-G88,2))</f>
        <v>0</v>
      </c>
      <c r="L88" s="29">
        <f>IF(F88="","",IF(J88="Personal",0,ROUND(H88*IF(K88="",1,K88),2)))</f>
        <v>0</v>
      </c>
      <c r="O88" s="21">
        <f>IF(OR(B88="",N88="",N88="No"),"",IF(N88="Monthly",EDATE(B88,1),IF(N88="Quarterly",EDATE(B88,3),IF(N88="Annually",EDATE(B88,12),B88+IF(N88="Weekly",7,IF(N88="Fortnightly",14,0))))))</f>
        <v>0</v>
      </c>
      <c r="T88" s="28">
        <f>IF(B88="","",TEXT(B88,"yyyy-mm"))</f>
        <v>0</v>
      </c>
      <c r="U88" s="49">
        <f>IF(B88="","",IF(P88="Pending","Awaiting approval",IF(M88="","Missing receipt",IF(AND(O88&lt;&gt;"",O88&lt;=TODAY()),"Recurring cost due","OK"))))</f>
        <v>0</v>
      </c>
    </row>
    <row r="89" spans="1:21">
      <c r="A89" s="46">
        <f>IF(B89="","","EX-"&amp;TEXT(ROW()-4,"0000"))</f>
        <v>0</v>
      </c>
      <c r="G89" s="29">
        <f>IF(F89="","",IF(TaxRegistered&lt;&gt;"Yes",0,ROUND(F89-F89/(1+TaxRate),2)))</f>
        <v>0</v>
      </c>
      <c r="H89" s="29">
        <f>IF(F89="","",ROUND(F89-G89,2))</f>
        <v>0</v>
      </c>
      <c r="L89" s="29">
        <f>IF(F89="","",IF(J89="Personal",0,ROUND(H89*IF(K89="",1,K89),2)))</f>
        <v>0</v>
      </c>
      <c r="O89" s="21">
        <f>IF(OR(B89="",N89="",N89="No"),"",IF(N89="Monthly",EDATE(B89,1),IF(N89="Quarterly",EDATE(B89,3),IF(N89="Annually",EDATE(B89,12),B89+IF(N89="Weekly",7,IF(N89="Fortnightly",14,0))))))</f>
        <v>0</v>
      </c>
      <c r="T89" s="28">
        <f>IF(B89="","",TEXT(B89,"yyyy-mm"))</f>
        <v>0</v>
      </c>
      <c r="U89" s="49">
        <f>IF(B89="","",IF(P89="Pending","Awaiting approval",IF(M89="","Missing receipt",IF(AND(O89&lt;&gt;"",O89&lt;=TODAY()),"Recurring cost due","OK"))))</f>
        <v>0</v>
      </c>
    </row>
    <row r="90" spans="1:21">
      <c r="A90" s="46">
        <f>IF(B90="","","EX-"&amp;TEXT(ROW()-4,"0000"))</f>
        <v>0</v>
      </c>
      <c r="G90" s="29">
        <f>IF(F90="","",IF(TaxRegistered&lt;&gt;"Yes",0,ROUND(F90-F90/(1+TaxRate),2)))</f>
        <v>0</v>
      </c>
      <c r="H90" s="29">
        <f>IF(F90="","",ROUND(F90-G90,2))</f>
        <v>0</v>
      </c>
      <c r="L90" s="29">
        <f>IF(F90="","",IF(J90="Personal",0,ROUND(H90*IF(K90="",1,K90),2)))</f>
        <v>0</v>
      </c>
      <c r="O90" s="21">
        <f>IF(OR(B90="",N90="",N90="No"),"",IF(N90="Monthly",EDATE(B90,1),IF(N90="Quarterly",EDATE(B90,3),IF(N90="Annually",EDATE(B90,12),B90+IF(N90="Weekly",7,IF(N90="Fortnightly",14,0))))))</f>
        <v>0</v>
      </c>
      <c r="T90" s="28">
        <f>IF(B90="","",TEXT(B90,"yyyy-mm"))</f>
        <v>0</v>
      </c>
      <c r="U90" s="49">
        <f>IF(B90="","",IF(P90="Pending","Awaiting approval",IF(M90="","Missing receipt",IF(AND(O90&lt;&gt;"",O90&lt;=TODAY()),"Recurring cost due","OK"))))</f>
        <v>0</v>
      </c>
    </row>
    <row r="91" spans="1:21">
      <c r="A91" s="46">
        <f>IF(B91="","","EX-"&amp;TEXT(ROW()-4,"0000"))</f>
        <v>0</v>
      </c>
      <c r="G91" s="29">
        <f>IF(F91="","",IF(TaxRegistered&lt;&gt;"Yes",0,ROUND(F91-F91/(1+TaxRate),2)))</f>
        <v>0</v>
      </c>
      <c r="H91" s="29">
        <f>IF(F91="","",ROUND(F91-G91,2))</f>
        <v>0</v>
      </c>
      <c r="L91" s="29">
        <f>IF(F91="","",IF(J91="Personal",0,ROUND(H91*IF(K91="",1,K91),2)))</f>
        <v>0</v>
      </c>
      <c r="O91" s="21">
        <f>IF(OR(B91="",N91="",N91="No"),"",IF(N91="Monthly",EDATE(B91,1),IF(N91="Quarterly",EDATE(B91,3),IF(N91="Annually",EDATE(B91,12),B91+IF(N91="Weekly",7,IF(N91="Fortnightly",14,0))))))</f>
        <v>0</v>
      </c>
      <c r="T91" s="28">
        <f>IF(B91="","",TEXT(B91,"yyyy-mm"))</f>
        <v>0</v>
      </c>
      <c r="U91" s="49">
        <f>IF(B91="","",IF(P91="Pending","Awaiting approval",IF(M91="","Missing receipt",IF(AND(O91&lt;&gt;"",O91&lt;=TODAY()),"Recurring cost due","OK"))))</f>
        <v>0</v>
      </c>
    </row>
    <row r="92" spans="1:21">
      <c r="A92" s="46">
        <f>IF(B92="","","EX-"&amp;TEXT(ROW()-4,"0000"))</f>
        <v>0</v>
      </c>
      <c r="G92" s="29">
        <f>IF(F92="","",IF(TaxRegistered&lt;&gt;"Yes",0,ROUND(F92-F92/(1+TaxRate),2)))</f>
        <v>0</v>
      </c>
      <c r="H92" s="29">
        <f>IF(F92="","",ROUND(F92-G92,2))</f>
        <v>0</v>
      </c>
      <c r="L92" s="29">
        <f>IF(F92="","",IF(J92="Personal",0,ROUND(H92*IF(K92="",1,K92),2)))</f>
        <v>0</v>
      </c>
      <c r="O92" s="21">
        <f>IF(OR(B92="",N92="",N92="No"),"",IF(N92="Monthly",EDATE(B92,1),IF(N92="Quarterly",EDATE(B92,3),IF(N92="Annually",EDATE(B92,12),B92+IF(N92="Weekly",7,IF(N92="Fortnightly",14,0))))))</f>
        <v>0</v>
      </c>
      <c r="T92" s="28">
        <f>IF(B92="","",TEXT(B92,"yyyy-mm"))</f>
        <v>0</v>
      </c>
      <c r="U92" s="49">
        <f>IF(B92="","",IF(P92="Pending","Awaiting approval",IF(M92="","Missing receipt",IF(AND(O92&lt;&gt;"",O92&lt;=TODAY()),"Recurring cost due","OK"))))</f>
        <v>0</v>
      </c>
    </row>
    <row r="93" spans="1:21">
      <c r="A93" s="46">
        <f>IF(B93="","","EX-"&amp;TEXT(ROW()-4,"0000"))</f>
        <v>0</v>
      </c>
      <c r="G93" s="29">
        <f>IF(F93="","",IF(TaxRegistered&lt;&gt;"Yes",0,ROUND(F93-F93/(1+TaxRate),2)))</f>
        <v>0</v>
      </c>
      <c r="H93" s="29">
        <f>IF(F93="","",ROUND(F93-G93,2))</f>
        <v>0</v>
      </c>
      <c r="L93" s="29">
        <f>IF(F93="","",IF(J93="Personal",0,ROUND(H93*IF(K93="",1,K93),2)))</f>
        <v>0</v>
      </c>
      <c r="O93" s="21">
        <f>IF(OR(B93="",N93="",N93="No"),"",IF(N93="Monthly",EDATE(B93,1),IF(N93="Quarterly",EDATE(B93,3),IF(N93="Annually",EDATE(B93,12),B93+IF(N93="Weekly",7,IF(N93="Fortnightly",14,0))))))</f>
        <v>0</v>
      </c>
      <c r="T93" s="28">
        <f>IF(B93="","",TEXT(B93,"yyyy-mm"))</f>
        <v>0</v>
      </c>
      <c r="U93" s="49">
        <f>IF(B93="","",IF(P93="Pending","Awaiting approval",IF(M93="","Missing receipt",IF(AND(O93&lt;&gt;"",O93&lt;=TODAY()),"Recurring cost due","OK"))))</f>
        <v>0</v>
      </c>
    </row>
    <row r="94" spans="1:21">
      <c r="A94" s="46">
        <f>IF(B94="","","EX-"&amp;TEXT(ROW()-4,"0000"))</f>
        <v>0</v>
      </c>
      <c r="G94" s="29">
        <f>IF(F94="","",IF(TaxRegistered&lt;&gt;"Yes",0,ROUND(F94-F94/(1+TaxRate),2)))</f>
        <v>0</v>
      </c>
      <c r="H94" s="29">
        <f>IF(F94="","",ROUND(F94-G94,2))</f>
        <v>0</v>
      </c>
      <c r="L94" s="29">
        <f>IF(F94="","",IF(J94="Personal",0,ROUND(H94*IF(K94="",1,K94),2)))</f>
        <v>0</v>
      </c>
      <c r="O94" s="21">
        <f>IF(OR(B94="",N94="",N94="No"),"",IF(N94="Monthly",EDATE(B94,1),IF(N94="Quarterly",EDATE(B94,3),IF(N94="Annually",EDATE(B94,12),B94+IF(N94="Weekly",7,IF(N94="Fortnightly",14,0))))))</f>
        <v>0</v>
      </c>
      <c r="T94" s="28">
        <f>IF(B94="","",TEXT(B94,"yyyy-mm"))</f>
        <v>0</v>
      </c>
      <c r="U94" s="49">
        <f>IF(B94="","",IF(P94="Pending","Awaiting approval",IF(M94="","Missing receipt",IF(AND(O94&lt;&gt;"",O94&lt;=TODAY()),"Recurring cost due","OK"))))</f>
        <v>0</v>
      </c>
    </row>
    <row r="95" spans="1:21">
      <c r="A95" s="46">
        <f>IF(B95="","","EX-"&amp;TEXT(ROW()-4,"0000"))</f>
        <v>0</v>
      </c>
      <c r="G95" s="29">
        <f>IF(F95="","",IF(TaxRegistered&lt;&gt;"Yes",0,ROUND(F95-F95/(1+TaxRate),2)))</f>
        <v>0</v>
      </c>
      <c r="H95" s="29">
        <f>IF(F95="","",ROUND(F95-G95,2))</f>
        <v>0</v>
      </c>
      <c r="L95" s="29">
        <f>IF(F95="","",IF(J95="Personal",0,ROUND(H95*IF(K95="",1,K95),2)))</f>
        <v>0</v>
      </c>
      <c r="O95" s="21">
        <f>IF(OR(B95="",N95="",N95="No"),"",IF(N95="Monthly",EDATE(B95,1),IF(N95="Quarterly",EDATE(B95,3),IF(N95="Annually",EDATE(B95,12),B95+IF(N95="Weekly",7,IF(N95="Fortnightly",14,0))))))</f>
        <v>0</v>
      </c>
      <c r="T95" s="28">
        <f>IF(B95="","",TEXT(B95,"yyyy-mm"))</f>
        <v>0</v>
      </c>
      <c r="U95" s="49">
        <f>IF(B95="","",IF(P95="Pending","Awaiting approval",IF(M95="","Missing receipt",IF(AND(O95&lt;&gt;"",O95&lt;=TODAY()),"Recurring cost due","OK"))))</f>
        <v>0</v>
      </c>
    </row>
    <row r="96" spans="1:21">
      <c r="A96" s="46">
        <f>IF(B96="","","EX-"&amp;TEXT(ROW()-4,"0000"))</f>
        <v>0</v>
      </c>
      <c r="G96" s="29">
        <f>IF(F96="","",IF(TaxRegistered&lt;&gt;"Yes",0,ROUND(F96-F96/(1+TaxRate),2)))</f>
        <v>0</v>
      </c>
      <c r="H96" s="29">
        <f>IF(F96="","",ROUND(F96-G96,2))</f>
        <v>0</v>
      </c>
      <c r="L96" s="29">
        <f>IF(F96="","",IF(J96="Personal",0,ROUND(H96*IF(K96="",1,K96),2)))</f>
        <v>0</v>
      </c>
      <c r="O96" s="21">
        <f>IF(OR(B96="",N96="",N96="No"),"",IF(N96="Monthly",EDATE(B96,1),IF(N96="Quarterly",EDATE(B96,3),IF(N96="Annually",EDATE(B96,12),B96+IF(N96="Weekly",7,IF(N96="Fortnightly",14,0))))))</f>
        <v>0</v>
      </c>
      <c r="T96" s="28">
        <f>IF(B96="","",TEXT(B96,"yyyy-mm"))</f>
        <v>0</v>
      </c>
      <c r="U96" s="49">
        <f>IF(B96="","",IF(P96="Pending","Awaiting approval",IF(M96="","Missing receipt",IF(AND(O96&lt;&gt;"",O96&lt;=TODAY()),"Recurring cost due","OK"))))</f>
        <v>0</v>
      </c>
    </row>
    <row r="97" spans="1:21">
      <c r="A97" s="46">
        <f>IF(B97="","","EX-"&amp;TEXT(ROW()-4,"0000"))</f>
        <v>0</v>
      </c>
      <c r="G97" s="29">
        <f>IF(F97="","",IF(TaxRegistered&lt;&gt;"Yes",0,ROUND(F97-F97/(1+TaxRate),2)))</f>
        <v>0</v>
      </c>
      <c r="H97" s="29">
        <f>IF(F97="","",ROUND(F97-G97,2))</f>
        <v>0</v>
      </c>
      <c r="L97" s="29">
        <f>IF(F97="","",IF(J97="Personal",0,ROUND(H97*IF(K97="",1,K97),2)))</f>
        <v>0</v>
      </c>
      <c r="O97" s="21">
        <f>IF(OR(B97="",N97="",N97="No"),"",IF(N97="Monthly",EDATE(B97,1),IF(N97="Quarterly",EDATE(B97,3),IF(N97="Annually",EDATE(B97,12),B97+IF(N97="Weekly",7,IF(N97="Fortnightly",14,0))))))</f>
        <v>0</v>
      </c>
      <c r="T97" s="28">
        <f>IF(B97="","",TEXT(B97,"yyyy-mm"))</f>
        <v>0</v>
      </c>
      <c r="U97" s="49">
        <f>IF(B97="","",IF(P97="Pending","Awaiting approval",IF(M97="","Missing receipt",IF(AND(O97&lt;&gt;"",O97&lt;=TODAY()),"Recurring cost due","OK"))))</f>
        <v>0</v>
      </c>
    </row>
    <row r="98" spans="1:21">
      <c r="A98" s="46">
        <f>IF(B98="","","EX-"&amp;TEXT(ROW()-4,"0000"))</f>
        <v>0</v>
      </c>
      <c r="G98" s="29">
        <f>IF(F98="","",IF(TaxRegistered&lt;&gt;"Yes",0,ROUND(F98-F98/(1+TaxRate),2)))</f>
        <v>0</v>
      </c>
      <c r="H98" s="29">
        <f>IF(F98="","",ROUND(F98-G98,2))</f>
        <v>0</v>
      </c>
      <c r="L98" s="29">
        <f>IF(F98="","",IF(J98="Personal",0,ROUND(H98*IF(K98="",1,K98),2)))</f>
        <v>0</v>
      </c>
      <c r="O98" s="21">
        <f>IF(OR(B98="",N98="",N98="No"),"",IF(N98="Monthly",EDATE(B98,1),IF(N98="Quarterly",EDATE(B98,3),IF(N98="Annually",EDATE(B98,12),B98+IF(N98="Weekly",7,IF(N98="Fortnightly",14,0))))))</f>
        <v>0</v>
      </c>
      <c r="T98" s="28">
        <f>IF(B98="","",TEXT(B98,"yyyy-mm"))</f>
        <v>0</v>
      </c>
      <c r="U98" s="49">
        <f>IF(B98="","",IF(P98="Pending","Awaiting approval",IF(M98="","Missing receipt",IF(AND(O98&lt;&gt;"",O98&lt;=TODAY()),"Recurring cost due","OK"))))</f>
        <v>0</v>
      </c>
    </row>
    <row r="99" spans="1:21">
      <c r="A99" s="46">
        <f>IF(B99="","","EX-"&amp;TEXT(ROW()-4,"0000"))</f>
        <v>0</v>
      </c>
      <c r="G99" s="29">
        <f>IF(F99="","",IF(TaxRegistered&lt;&gt;"Yes",0,ROUND(F99-F99/(1+TaxRate),2)))</f>
        <v>0</v>
      </c>
      <c r="H99" s="29">
        <f>IF(F99="","",ROUND(F99-G99,2))</f>
        <v>0</v>
      </c>
      <c r="L99" s="29">
        <f>IF(F99="","",IF(J99="Personal",0,ROUND(H99*IF(K99="",1,K99),2)))</f>
        <v>0</v>
      </c>
      <c r="O99" s="21">
        <f>IF(OR(B99="",N99="",N99="No"),"",IF(N99="Monthly",EDATE(B99,1),IF(N99="Quarterly",EDATE(B99,3),IF(N99="Annually",EDATE(B99,12),B99+IF(N99="Weekly",7,IF(N99="Fortnightly",14,0))))))</f>
        <v>0</v>
      </c>
      <c r="T99" s="28">
        <f>IF(B99="","",TEXT(B99,"yyyy-mm"))</f>
        <v>0</v>
      </c>
      <c r="U99" s="49">
        <f>IF(B99="","",IF(P99="Pending","Awaiting approval",IF(M99="","Missing receipt",IF(AND(O99&lt;&gt;"",O99&lt;=TODAY()),"Recurring cost due","OK"))))</f>
        <v>0</v>
      </c>
    </row>
    <row r="100" spans="1:21">
      <c r="A100" s="46">
        <f>IF(B100="","","EX-"&amp;TEXT(ROW()-4,"0000"))</f>
        <v>0</v>
      </c>
      <c r="G100" s="29">
        <f>IF(F100="","",IF(TaxRegistered&lt;&gt;"Yes",0,ROUND(F100-F100/(1+TaxRate),2)))</f>
        <v>0</v>
      </c>
      <c r="H100" s="29">
        <f>IF(F100="","",ROUND(F100-G100,2))</f>
        <v>0</v>
      </c>
      <c r="L100" s="29">
        <f>IF(F100="","",IF(J100="Personal",0,ROUND(H100*IF(K100="",1,K100),2)))</f>
        <v>0</v>
      </c>
      <c r="O100" s="21">
        <f>IF(OR(B100="",N100="",N100="No"),"",IF(N100="Monthly",EDATE(B100,1),IF(N100="Quarterly",EDATE(B100,3),IF(N100="Annually",EDATE(B100,12),B100+IF(N100="Weekly",7,IF(N100="Fortnightly",14,0))))))</f>
        <v>0</v>
      </c>
      <c r="T100" s="28">
        <f>IF(B100="","",TEXT(B100,"yyyy-mm"))</f>
        <v>0</v>
      </c>
      <c r="U100" s="49">
        <f>IF(B100="","",IF(P100="Pending","Awaiting approval",IF(M100="","Missing receipt",IF(AND(O100&lt;&gt;"",O100&lt;=TODAY()),"Recurring cost due","OK"))))</f>
        <v>0</v>
      </c>
    </row>
    <row r="101" spans="1:21">
      <c r="A101" s="46">
        <f>IF(B101="","","EX-"&amp;TEXT(ROW()-4,"0000"))</f>
        <v>0</v>
      </c>
      <c r="G101" s="29">
        <f>IF(F101="","",IF(TaxRegistered&lt;&gt;"Yes",0,ROUND(F101-F101/(1+TaxRate),2)))</f>
        <v>0</v>
      </c>
      <c r="H101" s="29">
        <f>IF(F101="","",ROUND(F101-G101,2))</f>
        <v>0</v>
      </c>
      <c r="L101" s="29">
        <f>IF(F101="","",IF(J101="Personal",0,ROUND(H101*IF(K101="",1,K101),2)))</f>
        <v>0</v>
      </c>
      <c r="O101" s="21">
        <f>IF(OR(B101="",N101="",N101="No"),"",IF(N101="Monthly",EDATE(B101,1),IF(N101="Quarterly",EDATE(B101,3),IF(N101="Annually",EDATE(B101,12),B101+IF(N101="Weekly",7,IF(N101="Fortnightly",14,0))))))</f>
        <v>0</v>
      </c>
      <c r="T101" s="28">
        <f>IF(B101="","",TEXT(B101,"yyyy-mm"))</f>
        <v>0</v>
      </c>
      <c r="U101" s="49">
        <f>IF(B101="","",IF(P101="Pending","Awaiting approval",IF(M101="","Missing receipt",IF(AND(O101&lt;&gt;"",O101&lt;=TODAY()),"Recurring cost due","OK"))))</f>
        <v>0</v>
      </c>
    </row>
    <row r="102" spans="1:21">
      <c r="A102" s="46">
        <f>IF(B102="","","EX-"&amp;TEXT(ROW()-4,"0000"))</f>
        <v>0</v>
      </c>
      <c r="G102" s="29">
        <f>IF(F102="","",IF(TaxRegistered&lt;&gt;"Yes",0,ROUND(F102-F102/(1+TaxRate),2)))</f>
        <v>0</v>
      </c>
      <c r="H102" s="29">
        <f>IF(F102="","",ROUND(F102-G102,2))</f>
        <v>0</v>
      </c>
      <c r="L102" s="29">
        <f>IF(F102="","",IF(J102="Personal",0,ROUND(H102*IF(K102="",1,K102),2)))</f>
        <v>0</v>
      </c>
      <c r="O102" s="21">
        <f>IF(OR(B102="",N102="",N102="No"),"",IF(N102="Monthly",EDATE(B102,1),IF(N102="Quarterly",EDATE(B102,3),IF(N102="Annually",EDATE(B102,12),B102+IF(N102="Weekly",7,IF(N102="Fortnightly",14,0))))))</f>
        <v>0</v>
      </c>
      <c r="T102" s="28">
        <f>IF(B102="","",TEXT(B102,"yyyy-mm"))</f>
        <v>0</v>
      </c>
      <c r="U102" s="49">
        <f>IF(B102="","",IF(P102="Pending","Awaiting approval",IF(M102="","Missing receipt",IF(AND(O102&lt;&gt;"",O102&lt;=TODAY()),"Recurring cost due","OK"))))</f>
        <v>0</v>
      </c>
    </row>
    <row r="103" spans="1:21">
      <c r="A103" s="46">
        <f>IF(B103="","","EX-"&amp;TEXT(ROW()-4,"0000"))</f>
        <v>0</v>
      </c>
      <c r="G103" s="29">
        <f>IF(F103="","",IF(TaxRegistered&lt;&gt;"Yes",0,ROUND(F103-F103/(1+TaxRate),2)))</f>
        <v>0</v>
      </c>
      <c r="H103" s="29">
        <f>IF(F103="","",ROUND(F103-G103,2))</f>
        <v>0</v>
      </c>
      <c r="L103" s="29">
        <f>IF(F103="","",IF(J103="Personal",0,ROUND(H103*IF(K103="",1,K103),2)))</f>
        <v>0</v>
      </c>
      <c r="O103" s="21">
        <f>IF(OR(B103="",N103="",N103="No"),"",IF(N103="Monthly",EDATE(B103,1),IF(N103="Quarterly",EDATE(B103,3),IF(N103="Annually",EDATE(B103,12),B103+IF(N103="Weekly",7,IF(N103="Fortnightly",14,0))))))</f>
        <v>0</v>
      </c>
      <c r="T103" s="28">
        <f>IF(B103="","",TEXT(B103,"yyyy-mm"))</f>
        <v>0</v>
      </c>
      <c r="U103" s="49">
        <f>IF(B103="","",IF(P103="Pending","Awaiting approval",IF(M103="","Missing receipt",IF(AND(O103&lt;&gt;"",O103&lt;=TODAY()),"Recurring cost due","OK"))))</f>
        <v>0</v>
      </c>
    </row>
    <row r="104" spans="1:21">
      <c r="A104" s="46">
        <f>IF(B104="","","EX-"&amp;TEXT(ROW()-4,"0000"))</f>
        <v>0</v>
      </c>
      <c r="G104" s="29">
        <f>IF(F104="","",IF(TaxRegistered&lt;&gt;"Yes",0,ROUND(F104-F104/(1+TaxRate),2)))</f>
        <v>0</v>
      </c>
      <c r="H104" s="29">
        <f>IF(F104="","",ROUND(F104-G104,2))</f>
        <v>0</v>
      </c>
      <c r="L104" s="29">
        <f>IF(F104="","",IF(J104="Personal",0,ROUND(H104*IF(K104="",1,K104),2)))</f>
        <v>0</v>
      </c>
      <c r="O104" s="21">
        <f>IF(OR(B104="",N104="",N104="No"),"",IF(N104="Monthly",EDATE(B104,1),IF(N104="Quarterly",EDATE(B104,3),IF(N104="Annually",EDATE(B104,12),B104+IF(N104="Weekly",7,IF(N104="Fortnightly",14,0))))))</f>
        <v>0</v>
      </c>
      <c r="T104" s="28">
        <f>IF(B104="","",TEXT(B104,"yyyy-mm"))</f>
        <v>0</v>
      </c>
      <c r="U104" s="49">
        <f>IF(B104="","",IF(P104="Pending","Awaiting approval",IF(M104="","Missing receipt",IF(AND(O104&lt;&gt;"",O104&lt;=TODAY()),"Recurring cost due","OK"))))</f>
        <v>0</v>
      </c>
    </row>
    <row r="105" spans="1:21">
      <c r="A105" s="46">
        <f>IF(B105="","","EX-"&amp;TEXT(ROW()-4,"0000"))</f>
        <v>0</v>
      </c>
      <c r="G105" s="29">
        <f>IF(F105="","",IF(TaxRegistered&lt;&gt;"Yes",0,ROUND(F105-F105/(1+TaxRate),2)))</f>
        <v>0</v>
      </c>
      <c r="H105" s="29">
        <f>IF(F105="","",ROUND(F105-G105,2))</f>
        <v>0</v>
      </c>
      <c r="L105" s="29">
        <f>IF(F105="","",IF(J105="Personal",0,ROUND(H105*IF(K105="",1,K105),2)))</f>
        <v>0</v>
      </c>
      <c r="O105" s="21">
        <f>IF(OR(B105="",N105="",N105="No"),"",IF(N105="Monthly",EDATE(B105,1),IF(N105="Quarterly",EDATE(B105,3),IF(N105="Annually",EDATE(B105,12),B105+IF(N105="Weekly",7,IF(N105="Fortnightly",14,0))))))</f>
        <v>0</v>
      </c>
      <c r="T105" s="28">
        <f>IF(B105="","",TEXT(B105,"yyyy-mm"))</f>
        <v>0</v>
      </c>
      <c r="U105" s="49">
        <f>IF(B105="","",IF(P105="Pending","Awaiting approval",IF(M105="","Missing receipt",IF(AND(O105&lt;&gt;"",O105&lt;=TODAY()),"Recurring cost due","OK"))))</f>
        <v>0</v>
      </c>
    </row>
    <row r="106" spans="1:21">
      <c r="A106" s="46">
        <f>IF(B106="","","EX-"&amp;TEXT(ROW()-4,"0000"))</f>
        <v>0</v>
      </c>
      <c r="G106" s="29">
        <f>IF(F106="","",IF(TaxRegistered&lt;&gt;"Yes",0,ROUND(F106-F106/(1+TaxRate),2)))</f>
        <v>0</v>
      </c>
      <c r="H106" s="29">
        <f>IF(F106="","",ROUND(F106-G106,2))</f>
        <v>0</v>
      </c>
      <c r="L106" s="29">
        <f>IF(F106="","",IF(J106="Personal",0,ROUND(H106*IF(K106="",1,K106),2)))</f>
        <v>0</v>
      </c>
      <c r="O106" s="21">
        <f>IF(OR(B106="",N106="",N106="No"),"",IF(N106="Monthly",EDATE(B106,1),IF(N106="Quarterly",EDATE(B106,3),IF(N106="Annually",EDATE(B106,12),B106+IF(N106="Weekly",7,IF(N106="Fortnightly",14,0))))))</f>
        <v>0</v>
      </c>
      <c r="T106" s="28">
        <f>IF(B106="","",TEXT(B106,"yyyy-mm"))</f>
        <v>0</v>
      </c>
      <c r="U106" s="49">
        <f>IF(B106="","",IF(P106="Pending","Awaiting approval",IF(M106="","Missing receipt",IF(AND(O106&lt;&gt;"",O106&lt;=TODAY()),"Recurring cost due","OK"))))</f>
        <v>0</v>
      </c>
    </row>
    <row r="107" spans="1:21">
      <c r="A107" s="46">
        <f>IF(B107="","","EX-"&amp;TEXT(ROW()-4,"0000"))</f>
        <v>0</v>
      </c>
      <c r="G107" s="29">
        <f>IF(F107="","",IF(TaxRegistered&lt;&gt;"Yes",0,ROUND(F107-F107/(1+TaxRate),2)))</f>
        <v>0</v>
      </c>
      <c r="H107" s="29">
        <f>IF(F107="","",ROUND(F107-G107,2))</f>
        <v>0</v>
      </c>
      <c r="L107" s="29">
        <f>IF(F107="","",IF(J107="Personal",0,ROUND(H107*IF(K107="",1,K107),2)))</f>
        <v>0</v>
      </c>
      <c r="O107" s="21">
        <f>IF(OR(B107="",N107="",N107="No"),"",IF(N107="Monthly",EDATE(B107,1),IF(N107="Quarterly",EDATE(B107,3),IF(N107="Annually",EDATE(B107,12),B107+IF(N107="Weekly",7,IF(N107="Fortnightly",14,0))))))</f>
        <v>0</v>
      </c>
      <c r="T107" s="28">
        <f>IF(B107="","",TEXT(B107,"yyyy-mm"))</f>
        <v>0</v>
      </c>
      <c r="U107" s="49">
        <f>IF(B107="","",IF(P107="Pending","Awaiting approval",IF(M107="","Missing receipt",IF(AND(O107&lt;&gt;"",O107&lt;=TODAY()),"Recurring cost due","OK"))))</f>
        <v>0</v>
      </c>
    </row>
    <row r="108" spans="1:21">
      <c r="A108" s="46">
        <f>IF(B108="","","EX-"&amp;TEXT(ROW()-4,"0000"))</f>
        <v>0</v>
      </c>
      <c r="G108" s="29">
        <f>IF(F108="","",IF(TaxRegistered&lt;&gt;"Yes",0,ROUND(F108-F108/(1+TaxRate),2)))</f>
        <v>0</v>
      </c>
      <c r="H108" s="29">
        <f>IF(F108="","",ROUND(F108-G108,2))</f>
        <v>0</v>
      </c>
      <c r="L108" s="29">
        <f>IF(F108="","",IF(J108="Personal",0,ROUND(H108*IF(K108="",1,K108),2)))</f>
        <v>0</v>
      </c>
      <c r="O108" s="21">
        <f>IF(OR(B108="",N108="",N108="No"),"",IF(N108="Monthly",EDATE(B108,1),IF(N108="Quarterly",EDATE(B108,3),IF(N108="Annually",EDATE(B108,12),B108+IF(N108="Weekly",7,IF(N108="Fortnightly",14,0))))))</f>
        <v>0</v>
      </c>
      <c r="T108" s="28">
        <f>IF(B108="","",TEXT(B108,"yyyy-mm"))</f>
        <v>0</v>
      </c>
      <c r="U108" s="49">
        <f>IF(B108="","",IF(P108="Pending","Awaiting approval",IF(M108="","Missing receipt",IF(AND(O108&lt;&gt;"",O108&lt;=TODAY()),"Recurring cost due","OK"))))</f>
        <v>0</v>
      </c>
    </row>
    <row r="109" spans="1:21">
      <c r="A109" s="46">
        <f>IF(B109="","","EX-"&amp;TEXT(ROW()-4,"0000"))</f>
        <v>0</v>
      </c>
      <c r="G109" s="29">
        <f>IF(F109="","",IF(TaxRegistered&lt;&gt;"Yes",0,ROUND(F109-F109/(1+TaxRate),2)))</f>
        <v>0</v>
      </c>
      <c r="H109" s="29">
        <f>IF(F109="","",ROUND(F109-G109,2))</f>
        <v>0</v>
      </c>
      <c r="L109" s="29">
        <f>IF(F109="","",IF(J109="Personal",0,ROUND(H109*IF(K109="",1,K109),2)))</f>
        <v>0</v>
      </c>
      <c r="O109" s="21">
        <f>IF(OR(B109="",N109="",N109="No"),"",IF(N109="Monthly",EDATE(B109,1),IF(N109="Quarterly",EDATE(B109,3),IF(N109="Annually",EDATE(B109,12),B109+IF(N109="Weekly",7,IF(N109="Fortnightly",14,0))))))</f>
        <v>0</v>
      </c>
      <c r="T109" s="28">
        <f>IF(B109="","",TEXT(B109,"yyyy-mm"))</f>
        <v>0</v>
      </c>
      <c r="U109" s="49">
        <f>IF(B109="","",IF(P109="Pending","Awaiting approval",IF(M109="","Missing receipt",IF(AND(O109&lt;&gt;"",O109&lt;=TODAY()),"Recurring cost due","OK"))))</f>
        <v>0</v>
      </c>
    </row>
    <row r="110" spans="1:21">
      <c r="A110" s="46">
        <f>IF(B110="","","EX-"&amp;TEXT(ROW()-4,"0000"))</f>
        <v>0</v>
      </c>
      <c r="G110" s="29">
        <f>IF(F110="","",IF(TaxRegistered&lt;&gt;"Yes",0,ROUND(F110-F110/(1+TaxRate),2)))</f>
        <v>0</v>
      </c>
      <c r="H110" s="29">
        <f>IF(F110="","",ROUND(F110-G110,2))</f>
        <v>0</v>
      </c>
      <c r="L110" s="29">
        <f>IF(F110="","",IF(J110="Personal",0,ROUND(H110*IF(K110="",1,K110),2)))</f>
        <v>0</v>
      </c>
      <c r="O110" s="21">
        <f>IF(OR(B110="",N110="",N110="No"),"",IF(N110="Monthly",EDATE(B110,1),IF(N110="Quarterly",EDATE(B110,3),IF(N110="Annually",EDATE(B110,12),B110+IF(N110="Weekly",7,IF(N110="Fortnightly",14,0))))))</f>
        <v>0</v>
      </c>
      <c r="T110" s="28">
        <f>IF(B110="","",TEXT(B110,"yyyy-mm"))</f>
        <v>0</v>
      </c>
      <c r="U110" s="49">
        <f>IF(B110="","",IF(P110="Pending","Awaiting approval",IF(M110="","Missing receipt",IF(AND(O110&lt;&gt;"",O110&lt;=TODAY()),"Recurring cost due","OK"))))</f>
        <v>0</v>
      </c>
    </row>
    <row r="111" spans="1:21">
      <c r="A111" s="46">
        <f>IF(B111="","","EX-"&amp;TEXT(ROW()-4,"0000"))</f>
        <v>0</v>
      </c>
      <c r="G111" s="29">
        <f>IF(F111="","",IF(TaxRegistered&lt;&gt;"Yes",0,ROUND(F111-F111/(1+TaxRate),2)))</f>
        <v>0</v>
      </c>
      <c r="H111" s="29">
        <f>IF(F111="","",ROUND(F111-G111,2))</f>
        <v>0</v>
      </c>
      <c r="L111" s="29">
        <f>IF(F111="","",IF(J111="Personal",0,ROUND(H111*IF(K111="",1,K111),2)))</f>
        <v>0</v>
      </c>
      <c r="O111" s="21">
        <f>IF(OR(B111="",N111="",N111="No"),"",IF(N111="Monthly",EDATE(B111,1),IF(N111="Quarterly",EDATE(B111,3),IF(N111="Annually",EDATE(B111,12),B111+IF(N111="Weekly",7,IF(N111="Fortnightly",14,0))))))</f>
        <v>0</v>
      </c>
      <c r="T111" s="28">
        <f>IF(B111="","",TEXT(B111,"yyyy-mm"))</f>
        <v>0</v>
      </c>
      <c r="U111" s="49">
        <f>IF(B111="","",IF(P111="Pending","Awaiting approval",IF(M111="","Missing receipt",IF(AND(O111&lt;&gt;"",O111&lt;=TODAY()),"Recurring cost due","OK"))))</f>
        <v>0</v>
      </c>
    </row>
    <row r="112" spans="1:21">
      <c r="A112" s="46">
        <f>IF(B112="","","EX-"&amp;TEXT(ROW()-4,"0000"))</f>
        <v>0</v>
      </c>
      <c r="G112" s="29">
        <f>IF(F112="","",IF(TaxRegistered&lt;&gt;"Yes",0,ROUND(F112-F112/(1+TaxRate),2)))</f>
        <v>0</v>
      </c>
      <c r="H112" s="29">
        <f>IF(F112="","",ROUND(F112-G112,2))</f>
        <v>0</v>
      </c>
      <c r="L112" s="29">
        <f>IF(F112="","",IF(J112="Personal",0,ROUND(H112*IF(K112="",1,K112),2)))</f>
        <v>0</v>
      </c>
      <c r="O112" s="21">
        <f>IF(OR(B112="",N112="",N112="No"),"",IF(N112="Monthly",EDATE(B112,1),IF(N112="Quarterly",EDATE(B112,3),IF(N112="Annually",EDATE(B112,12),B112+IF(N112="Weekly",7,IF(N112="Fortnightly",14,0))))))</f>
        <v>0</v>
      </c>
      <c r="T112" s="28">
        <f>IF(B112="","",TEXT(B112,"yyyy-mm"))</f>
        <v>0</v>
      </c>
      <c r="U112" s="49">
        <f>IF(B112="","",IF(P112="Pending","Awaiting approval",IF(M112="","Missing receipt",IF(AND(O112&lt;&gt;"",O112&lt;=TODAY()),"Recurring cost due","OK"))))</f>
        <v>0</v>
      </c>
    </row>
    <row r="113" spans="1:21">
      <c r="A113" s="46">
        <f>IF(B113="","","EX-"&amp;TEXT(ROW()-4,"0000"))</f>
        <v>0</v>
      </c>
      <c r="G113" s="29">
        <f>IF(F113="","",IF(TaxRegistered&lt;&gt;"Yes",0,ROUND(F113-F113/(1+TaxRate),2)))</f>
        <v>0</v>
      </c>
      <c r="H113" s="29">
        <f>IF(F113="","",ROUND(F113-G113,2))</f>
        <v>0</v>
      </c>
      <c r="L113" s="29">
        <f>IF(F113="","",IF(J113="Personal",0,ROUND(H113*IF(K113="",1,K113),2)))</f>
        <v>0</v>
      </c>
      <c r="O113" s="21">
        <f>IF(OR(B113="",N113="",N113="No"),"",IF(N113="Monthly",EDATE(B113,1),IF(N113="Quarterly",EDATE(B113,3),IF(N113="Annually",EDATE(B113,12),B113+IF(N113="Weekly",7,IF(N113="Fortnightly",14,0))))))</f>
        <v>0</v>
      </c>
      <c r="T113" s="28">
        <f>IF(B113="","",TEXT(B113,"yyyy-mm"))</f>
        <v>0</v>
      </c>
      <c r="U113" s="49">
        <f>IF(B113="","",IF(P113="Pending","Awaiting approval",IF(M113="","Missing receipt",IF(AND(O113&lt;&gt;"",O113&lt;=TODAY()),"Recurring cost due","OK"))))</f>
        <v>0</v>
      </c>
    </row>
    <row r="114" spans="1:21">
      <c r="A114" s="46">
        <f>IF(B114="","","EX-"&amp;TEXT(ROW()-4,"0000"))</f>
        <v>0</v>
      </c>
      <c r="G114" s="29">
        <f>IF(F114="","",IF(TaxRegistered&lt;&gt;"Yes",0,ROUND(F114-F114/(1+TaxRate),2)))</f>
        <v>0</v>
      </c>
      <c r="H114" s="29">
        <f>IF(F114="","",ROUND(F114-G114,2))</f>
        <v>0</v>
      </c>
      <c r="L114" s="29">
        <f>IF(F114="","",IF(J114="Personal",0,ROUND(H114*IF(K114="",1,K114),2)))</f>
        <v>0</v>
      </c>
      <c r="O114" s="21">
        <f>IF(OR(B114="",N114="",N114="No"),"",IF(N114="Monthly",EDATE(B114,1),IF(N114="Quarterly",EDATE(B114,3),IF(N114="Annually",EDATE(B114,12),B114+IF(N114="Weekly",7,IF(N114="Fortnightly",14,0))))))</f>
        <v>0</v>
      </c>
      <c r="T114" s="28">
        <f>IF(B114="","",TEXT(B114,"yyyy-mm"))</f>
        <v>0</v>
      </c>
      <c r="U114" s="49">
        <f>IF(B114="","",IF(P114="Pending","Awaiting approval",IF(M114="","Missing receipt",IF(AND(O114&lt;&gt;"",O114&lt;=TODAY()),"Recurring cost due","OK"))))</f>
        <v>0</v>
      </c>
    </row>
    <row r="115" spans="1:21">
      <c r="A115" s="46">
        <f>IF(B115="","","EX-"&amp;TEXT(ROW()-4,"0000"))</f>
        <v>0</v>
      </c>
      <c r="G115" s="29">
        <f>IF(F115="","",IF(TaxRegistered&lt;&gt;"Yes",0,ROUND(F115-F115/(1+TaxRate),2)))</f>
        <v>0</v>
      </c>
      <c r="H115" s="29">
        <f>IF(F115="","",ROUND(F115-G115,2))</f>
        <v>0</v>
      </c>
      <c r="L115" s="29">
        <f>IF(F115="","",IF(J115="Personal",0,ROUND(H115*IF(K115="",1,K115),2)))</f>
        <v>0</v>
      </c>
      <c r="O115" s="21">
        <f>IF(OR(B115="",N115="",N115="No"),"",IF(N115="Monthly",EDATE(B115,1),IF(N115="Quarterly",EDATE(B115,3),IF(N115="Annually",EDATE(B115,12),B115+IF(N115="Weekly",7,IF(N115="Fortnightly",14,0))))))</f>
        <v>0</v>
      </c>
      <c r="T115" s="28">
        <f>IF(B115="","",TEXT(B115,"yyyy-mm"))</f>
        <v>0</v>
      </c>
      <c r="U115" s="49">
        <f>IF(B115="","",IF(P115="Pending","Awaiting approval",IF(M115="","Missing receipt",IF(AND(O115&lt;&gt;"",O115&lt;=TODAY()),"Recurring cost due","OK"))))</f>
        <v>0</v>
      </c>
    </row>
    <row r="116" spans="1:21">
      <c r="A116" s="46">
        <f>IF(B116="","","EX-"&amp;TEXT(ROW()-4,"0000"))</f>
        <v>0</v>
      </c>
      <c r="G116" s="29">
        <f>IF(F116="","",IF(TaxRegistered&lt;&gt;"Yes",0,ROUND(F116-F116/(1+TaxRate),2)))</f>
        <v>0</v>
      </c>
      <c r="H116" s="29">
        <f>IF(F116="","",ROUND(F116-G116,2))</f>
        <v>0</v>
      </c>
      <c r="L116" s="29">
        <f>IF(F116="","",IF(J116="Personal",0,ROUND(H116*IF(K116="",1,K116),2)))</f>
        <v>0</v>
      </c>
      <c r="O116" s="21">
        <f>IF(OR(B116="",N116="",N116="No"),"",IF(N116="Monthly",EDATE(B116,1),IF(N116="Quarterly",EDATE(B116,3),IF(N116="Annually",EDATE(B116,12),B116+IF(N116="Weekly",7,IF(N116="Fortnightly",14,0))))))</f>
        <v>0</v>
      </c>
      <c r="T116" s="28">
        <f>IF(B116="","",TEXT(B116,"yyyy-mm"))</f>
        <v>0</v>
      </c>
      <c r="U116" s="49">
        <f>IF(B116="","",IF(P116="Pending","Awaiting approval",IF(M116="","Missing receipt",IF(AND(O116&lt;&gt;"",O116&lt;=TODAY()),"Recurring cost due","OK"))))</f>
        <v>0</v>
      </c>
    </row>
    <row r="117" spans="1:21">
      <c r="A117" s="46">
        <f>IF(B117="","","EX-"&amp;TEXT(ROW()-4,"0000"))</f>
        <v>0</v>
      </c>
      <c r="G117" s="29">
        <f>IF(F117="","",IF(TaxRegistered&lt;&gt;"Yes",0,ROUND(F117-F117/(1+TaxRate),2)))</f>
        <v>0</v>
      </c>
      <c r="H117" s="29">
        <f>IF(F117="","",ROUND(F117-G117,2))</f>
        <v>0</v>
      </c>
      <c r="L117" s="29">
        <f>IF(F117="","",IF(J117="Personal",0,ROUND(H117*IF(K117="",1,K117),2)))</f>
        <v>0</v>
      </c>
      <c r="O117" s="21">
        <f>IF(OR(B117="",N117="",N117="No"),"",IF(N117="Monthly",EDATE(B117,1),IF(N117="Quarterly",EDATE(B117,3),IF(N117="Annually",EDATE(B117,12),B117+IF(N117="Weekly",7,IF(N117="Fortnightly",14,0))))))</f>
        <v>0</v>
      </c>
      <c r="T117" s="28">
        <f>IF(B117="","",TEXT(B117,"yyyy-mm"))</f>
        <v>0</v>
      </c>
      <c r="U117" s="49">
        <f>IF(B117="","",IF(P117="Pending","Awaiting approval",IF(M117="","Missing receipt",IF(AND(O117&lt;&gt;"",O117&lt;=TODAY()),"Recurring cost due","OK"))))</f>
        <v>0</v>
      </c>
    </row>
    <row r="118" spans="1:21">
      <c r="A118" s="46">
        <f>IF(B118="","","EX-"&amp;TEXT(ROW()-4,"0000"))</f>
        <v>0</v>
      </c>
      <c r="G118" s="29">
        <f>IF(F118="","",IF(TaxRegistered&lt;&gt;"Yes",0,ROUND(F118-F118/(1+TaxRate),2)))</f>
        <v>0</v>
      </c>
      <c r="H118" s="29">
        <f>IF(F118="","",ROUND(F118-G118,2))</f>
        <v>0</v>
      </c>
      <c r="L118" s="29">
        <f>IF(F118="","",IF(J118="Personal",0,ROUND(H118*IF(K118="",1,K118),2)))</f>
        <v>0</v>
      </c>
      <c r="O118" s="21">
        <f>IF(OR(B118="",N118="",N118="No"),"",IF(N118="Monthly",EDATE(B118,1),IF(N118="Quarterly",EDATE(B118,3),IF(N118="Annually",EDATE(B118,12),B118+IF(N118="Weekly",7,IF(N118="Fortnightly",14,0))))))</f>
        <v>0</v>
      </c>
      <c r="T118" s="28">
        <f>IF(B118="","",TEXT(B118,"yyyy-mm"))</f>
        <v>0</v>
      </c>
      <c r="U118" s="49">
        <f>IF(B118="","",IF(P118="Pending","Awaiting approval",IF(M118="","Missing receipt",IF(AND(O118&lt;&gt;"",O118&lt;=TODAY()),"Recurring cost due","OK"))))</f>
        <v>0</v>
      </c>
    </row>
    <row r="119" spans="1:21">
      <c r="A119" s="46">
        <f>IF(B119="","","EX-"&amp;TEXT(ROW()-4,"0000"))</f>
        <v>0</v>
      </c>
      <c r="G119" s="29">
        <f>IF(F119="","",IF(TaxRegistered&lt;&gt;"Yes",0,ROUND(F119-F119/(1+TaxRate),2)))</f>
        <v>0</v>
      </c>
      <c r="H119" s="29">
        <f>IF(F119="","",ROUND(F119-G119,2))</f>
        <v>0</v>
      </c>
      <c r="L119" s="29">
        <f>IF(F119="","",IF(J119="Personal",0,ROUND(H119*IF(K119="",1,K119),2)))</f>
        <v>0</v>
      </c>
      <c r="O119" s="21">
        <f>IF(OR(B119="",N119="",N119="No"),"",IF(N119="Monthly",EDATE(B119,1),IF(N119="Quarterly",EDATE(B119,3),IF(N119="Annually",EDATE(B119,12),B119+IF(N119="Weekly",7,IF(N119="Fortnightly",14,0))))))</f>
        <v>0</v>
      </c>
      <c r="T119" s="28">
        <f>IF(B119="","",TEXT(B119,"yyyy-mm"))</f>
        <v>0</v>
      </c>
      <c r="U119" s="49">
        <f>IF(B119="","",IF(P119="Pending","Awaiting approval",IF(M119="","Missing receipt",IF(AND(O119&lt;&gt;"",O119&lt;=TODAY()),"Recurring cost due","OK"))))</f>
        <v>0</v>
      </c>
    </row>
    <row r="120" spans="1:21">
      <c r="A120" s="46">
        <f>IF(B120="","","EX-"&amp;TEXT(ROW()-4,"0000"))</f>
        <v>0</v>
      </c>
      <c r="G120" s="29">
        <f>IF(F120="","",IF(TaxRegistered&lt;&gt;"Yes",0,ROUND(F120-F120/(1+TaxRate),2)))</f>
        <v>0</v>
      </c>
      <c r="H120" s="29">
        <f>IF(F120="","",ROUND(F120-G120,2))</f>
        <v>0</v>
      </c>
      <c r="L120" s="29">
        <f>IF(F120="","",IF(J120="Personal",0,ROUND(H120*IF(K120="",1,K120),2)))</f>
        <v>0</v>
      </c>
      <c r="O120" s="21">
        <f>IF(OR(B120="",N120="",N120="No"),"",IF(N120="Monthly",EDATE(B120,1),IF(N120="Quarterly",EDATE(B120,3),IF(N120="Annually",EDATE(B120,12),B120+IF(N120="Weekly",7,IF(N120="Fortnightly",14,0))))))</f>
        <v>0</v>
      </c>
      <c r="T120" s="28">
        <f>IF(B120="","",TEXT(B120,"yyyy-mm"))</f>
        <v>0</v>
      </c>
      <c r="U120" s="49">
        <f>IF(B120="","",IF(P120="Pending","Awaiting approval",IF(M120="","Missing receipt",IF(AND(O120&lt;&gt;"",O120&lt;=TODAY()),"Recurring cost due","OK"))))</f>
        <v>0</v>
      </c>
    </row>
    <row r="121" spans="1:21">
      <c r="A121" s="46">
        <f>IF(B121="","","EX-"&amp;TEXT(ROW()-4,"0000"))</f>
        <v>0</v>
      </c>
      <c r="G121" s="29">
        <f>IF(F121="","",IF(TaxRegistered&lt;&gt;"Yes",0,ROUND(F121-F121/(1+TaxRate),2)))</f>
        <v>0</v>
      </c>
      <c r="H121" s="29">
        <f>IF(F121="","",ROUND(F121-G121,2))</f>
        <v>0</v>
      </c>
      <c r="L121" s="29">
        <f>IF(F121="","",IF(J121="Personal",0,ROUND(H121*IF(K121="",1,K121),2)))</f>
        <v>0</v>
      </c>
      <c r="O121" s="21">
        <f>IF(OR(B121="",N121="",N121="No"),"",IF(N121="Monthly",EDATE(B121,1),IF(N121="Quarterly",EDATE(B121,3),IF(N121="Annually",EDATE(B121,12),B121+IF(N121="Weekly",7,IF(N121="Fortnightly",14,0))))))</f>
        <v>0</v>
      </c>
      <c r="T121" s="28">
        <f>IF(B121="","",TEXT(B121,"yyyy-mm"))</f>
        <v>0</v>
      </c>
      <c r="U121" s="49">
        <f>IF(B121="","",IF(P121="Pending","Awaiting approval",IF(M121="","Missing receipt",IF(AND(O121&lt;&gt;"",O121&lt;=TODAY()),"Recurring cost due","OK"))))</f>
        <v>0</v>
      </c>
    </row>
    <row r="122" spans="1:21">
      <c r="A122" s="46">
        <f>IF(B122="","","EX-"&amp;TEXT(ROW()-4,"0000"))</f>
        <v>0</v>
      </c>
      <c r="G122" s="29">
        <f>IF(F122="","",IF(TaxRegistered&lt;&gt;"Yes",0,ROUND(F122-F122/(1+TaxRate),2)))</f>
        <v>0</v>
      </c>
      <c r="H122" s="29">
        <f>IF(F122="","",ROUND(F122-G122,2))</f>
        <v>0</v>
      </c>
      <c r="L122" s="29">
        <f>IF(F122="","",IF(J122="Personal",0,ROUND(H122*IF(K122="",1,K122),2)))</f>
        <v>0</v>
      </c>
      <c r="O122" s="21">
        <f>IF(OR(B122="",N122="",N122="No"),"",IF(N122="Monthly",EDATE(B122,1),IF(N122="Quarterly",EDATE(B122,3),IF(N122="Annually",EDATE(B122,12),B122+IF(N122="Weekly",7,IF(N122="Fortnightly",14,0))))))</f>
        <v>0</v>
      </c>
      <c r="T122" s="28">
        <f>IF(B122="","",TEXT(B122,"yyyy-mm"))</f>
        <v>0</v>
      </c>
      <c r="U122" s="49">
        <f>IF(B122="","",IF(P122="Pending","Awaiting approval",IF(M122="","Missing receipt",IF(AND(O122&lt;&gt;"",O122&lt;=TODAY()),"Recurring cost due","OK"))))</f>
        <v>0</v>
      </c>
    </row>
    <row r="123" spans="1:21">
      <c r="A123" s="46">
        <f>IF(B123="","","EX-"&amp;TEXT(ROW()-4,"0000"))</f>
        <v>0</v>
      </c>
      <c r="G123" s="29">
        <f>IF(F123="","",IF(TaxRegistered&lt;&gt;"Yes",0,ROUND(F123-F123/(1+TaxRate),2)))</f>
        <v>0</v>
      </c>
      <c r="H123" s="29">
        <f>IF(F123="","",ROUND(F123-G123,2))</f>
        <v>0</v>
      </c>
      <c r="L123" s="29">
        <f>IF(F123="","",IF(J123="Personal",0,ROUND(H123*IF(K123="",1,K123),2)))</f>
        <v>0</v>
      </c>
      <c r="O123" s="21">
        <f>IF(OR(B123="",N123="",N123="No"),"",IF(N123="Monthly",EDATE(B123,1),IF(N123="Quarterly",EDATE(B123,3),IF(N123="Annually",EDATE(B123,12),B123+IF(N123="Weekly",7,IF(N123="Fortnightly",14,0))))))</f>
        <v>0</v>
      </c>
      <c r="T123" s="28">
        <f>IF(B123="","",TEXT(B123,"yyyy-mm"))</f>
        <v>0</v>
      </c>
      <c r="U123" s="49">
        <f>IF(B123="","",IF(P123="Pending","Awaiting approval",IF(M123="","Missing receipt",IF(AND(O123&lt;&gt;"",O123&lt;=TODAY()),"Recurring cost due","OK"))))</f>
        <v>0</v>
      </c>
    </row>
    <row r="124" spans="1:21">
      <c r="A124" s="46">
        <f>IF(B124="","","EX-"&amp;TEXT(ROW()-4,"0000"))</f>
        <v>0</v>
      </c>
      <c r="G124" s="29">
        <f>IF(F124="","",IF(TaxRegistered&lt;&gt;"Yes",0,ROUND(F124-F124/(1+TaxRate),2)))</f>
        <v>0</v>
      </c>
      <c r="H124" s="29">
        <f>IF(F124="","",ROUND(F124-G124,2))</f>
        <v>0</v>
      </c>
      <c r="L124" s="29">
        <f>IF(F124="","",IF(J124="Personal",0,ROUND(H124*IF(K124="",1,K124),2)))</f>
        <v>0</v>
      </c>
      <c r="O124" s="21">
        <f>IF(OR(B124="",N124="",N124="No"),"",IF(N124="Monthly",EDATE(B124,1),IF(N124="Quarterly",EDATE(B124,3),IF(N124="Annually",EDATE(B124,12),B124+IF(N124="Weekly",7,IF(N124="Fortnightly",14,0))))))</f>
        <v>0</v>
      </c>
      <c r="T124" s="28">
        <f>IF(B124="","",TEXT(B124,"yyyy-mm"))</f>
        <v>0</v>
      </c>
      <c r="U124" s="49">
        <f>IF(B124="","",IF(P124="Pending","Awaiting approval",IF(M124="","Missing receipt",IF(AND(O124&lt;&gt;"",O124&lt;=TODAY()),"Recurring cost due","OK"))))</f>
        <v>0</v>
      </c>
    </row>
    <row r="125" spans="1:21">
      <c r="A125" s="46">
        <f>IF(B125="","","EX-"&amp;TEXT(ROW()-4,"0000"))</f>
        <v>0</v>
      </c>
      <c r="G125" s="29">
        <f>IF(F125="","",IF(TaxRegistered&lt;&gt;"Yes",0,ROUND(F125-F125/(1+TaxRate),2)))</f>
        <v>0</v>
      </c>
      <c r="H125" s="29">
        <f>IF(F125="","",ROUND(F125-G125,2))</f>
        <v>0</v>
      </c>
      <c r="L125" s="29">
        <f>IF(F125="","",IF(J125="Personal",0,ROUND(H125*IF(K125="",1,K125),2)))</f>
        <v>0</v>
      </c>
      <c r="O125" s="21">
        <f>IF(OR(B125="",N125="",N125="No"),"",IF(N125="Monthly",EDATE(B125,1),IF(N125="Quarterly",EDATE(B125,3),IF(N125="Annually",EDATE(B125,12),B125+IF(N125="Weekly",7,IF(N125="Fortnightly",14,0))))))</f>
        <v>0</v>
      </c>
      <c r="T125" s="28">
        <f>IF(B125="","",TEXT(B125,"yyyy-mm"))</f>
        <v>0</v>
      </c>
      <c r="U125" s="49">
        <f>IF(B125="","",IF(P125="Pending","Awaiting approval",IF(M125="","Missing receipt",IF(AND(O125&lt;&gt;"",O125&lt;=TODAY()),"Recurring cost due","OK"))))</f>
        <v>0</v>
      </c>
    </row>
    <row r="126" spans="1:21">
      <c r="A126" s="46">
        <f>IF(B126="","","EX-"&amp;TEXT(ROW()-4,"0000"))</f>
        <v>0</v>
      </c>
      <c r="G126" s="29">
        <f>IF(F126="","",IF(TaxRegistered&lt;&gt;"Yes",0,ROUND(F126-F126/(1+TaxRate),2)))</f>
        <v>0</v>
      </c>
      <c r="H126" s="29">
        <f>IF(F126="","",ROUND(F126-G126,2))</f>
        <v>0</v>
      </c>
      <c r="L126" s="29">
        <f>IF(F126="","",IF(J126="Personal",0,ROUND(H126*IF(K126="",1,K126),2)))</f>
        <v>0</v>
      </c>
      <c r="O126" s="21">
        <f>IF(OR(B126="",N126="",N126="No"),"",IF(N126="Monthly",EDATE(B126,1),IF(N126="Quarterly",EDATE(B126,3),IF(N126="Annually",EDATE(B126,12),B126+IF(N126="Weekly",7,IF(N126="Fortnightly",14,0))))))</f>
        <v>0</v>
      </c>
      <c r="T126" s="28">
        <f>IF(B126="","",TEXT(B126,"yyyy-mm"))</f>
        <v>0</v>
      </c>
      <c r="U126" s="49">
        <f>IF(B126="","",IF(P126="Pending","Awaiting approval",IF(M126="","Missing receipt",IF(AND(O126&lt;&gt;"",O126&lt;=TODAY()),"Recurring cost due","OK"))))</f>
        <v>0</v>
      </c>
    </row>
    <row r="127" spans="1:21">
      <c r="A127" s="46">
        <f>IF(B127="","","EX-"&amp;TEXT(ROW()-4,"0000"))</f>
        <v>0</v>
      </c>
      <c r="G127" s="29">
        <f>IF(F127="","",IF(TaxRegistered&lt;&gt;"Yes",0,ROUND(F127-F127/(1+TaxRate),2)))</f>
        <v>0</v>
      </c>
      <c r="H127" s="29">
        <f>IF(F127="","",ROUND(F127-G127,2))</f>
        <v>0</v>
      </c>
      <c r="L127" s="29">
        <f>IF(F127="","",IF(J127="Personal",0,ROUND(H127*IF(K127="",1,K127),2)))</f>
        <v>0</v>
      </c>
      <c r="O127" s="21">
        <f>IF(OR(B127="",N127="",N127="No"),"",IF(N127="Monthly",EDATE(B127,1),IF(N127="Quarterly",EDATE(B127,3),IF(N127="Annually",EDATE(B127,12),B127+IF(N127="Weekly",7,IF(N127="Fortnightly",14,0))))))</f>
        <v>0</v>
      </c>
      <c r="T127" s="28">
        <f>IF(B127="","",TEXT(B127,"yyyy-mm"))</f>
        <v>0</v>
      </c>
      <c r="U127" s="49">
        <f>IF(B127="","",IF(P127="Pending","Awaiting approval",IF(M127="","Missing receipt",IF(AND(O127&lt;&gt;"",O127&lt;=TODAY()),"Recurring cost due","OK"))))</f>
        <v>0</v>
      </c>
    </row>
    <row r="128" spans="1:21">
      <c r="A128" s="46">
        <f>IF(B128="","","EX-"&amp;TEXT(ROW()-4,"0000"))</f>
        <v>0</v>
      </c>
      <c r="G128" s="29">
        <f>IF(F128="","",IF(TaxRegistered&lt;&gt;"Yes",0,ROUND(F128-F128/(1+TaxRate),2)))</f>
        <v>0</v>
      </c>
      <c r="H128" s="29">
        <f>IF(F128="","",ROUND(F128-G128,2))</f>
        <v>0</v>
      </c>
      <c r="L128" s="29">
        <f>IF(F128="","",IF(J128="Personal",0,ROUND(H128*IF(K128="",1,K128),2)))</f>
        <v>0</v>
      </c>
      <c r="O128" s="21">
        <f>IF(OR(B128="",N128="",N128="No"),"",IF(N128="Monthly",EDATE(B128,1),IF(N128="Quarterly",EDATE(B128,3),IF(N128="Annually",EDATE(B128,12),B128+IF(N128="Weekly",7,IF(N128="Fortnightly",14,0))))))</f>
        <v>0</v>
      </c>
      <c r="T128" s="28">
        <f>IF(B128="","",TEXT(B128,"yyyy-mm"))</f>
        <v>0</v>
      </c>
      <c r="U128" s="49">
        <f>IF(B128="","",IF(P128="Pending","Awaiting approval",IF(M128="","Missing receipt",IF(AND(O128&lt;&gt;"",O128&lt;=TODAY()),"Recurring cost due","OK"))))</f>
        <v>0</v>
      </c>
    </row>
    <row r="129" spans="1:21">
      <c r="A129" s="46">
        <f>IF(B129="","","EX-"&amp;TEXT(ROW()-4,"0000"))</f>
        <v>0</v>
      </c>
      <c r="G129" s="29">
        <f>IF(F129="","",IF(TaxRegistered&lt;&gt;"Yes",0,ROUND(F129-F129/(1+TaxRate),2)))</f>
        <v>0</v>
      </c>
      <c r="H129" s="29">
        <f>IF(F129="","",ROUND(F129-G129,2))</f>
        <v>0</v>
      </c>
      <c r="L129" s="29">
        <f>IF(F129="","",IF(J129="Personal",0,ROUND(H129*IF(K129="",1,K129),2)))</f>
        <v>0</v>
      </c>
      <c r="O129" s="21">
        <f>IF(OR(B129="",N129="",N129="No"),"",IF(N129="Monthly",EDATE(B129,1),IF(N129="Quarterly",EDATE(B129,3),IF(N129="Annually",EDATE(B129,12),B129+IF(N129="Weekly",7,IF(N129="Fortnightly",14,0))))))</f>
        <v>0</v>
      </c>
      <c r="T129" s="28">
        <f>IF(B129="","",TEXT(B129,"yyyy-mm"))</f>
        <v>0</v>
      </c>
      <c r="U129" s="49">
        <f>IF(B129="","",IF(P129="Pending","Awaiting approval",IF(M129="","Missing receipt",IF(AND(O129&lt;&gt;"",O129&lt;=TODAY()),"Recurring cost due","OK"))))</f>
        <v>0</v>
      </c>
    </row>
    <row r="130" spans="1:21">
      <c r="A130" s="46">
        <f>IF(B130="","","EX-"&amp;TEXT(ROW()-4,"0000"))</f>
        <v>0</v>
      </c>
      <c r="G130" s="29">
        <f>IF(F130="","",IF(TaxRegistered&lt;&gt;"Yes",0,ROUND(F130-F130/(1+TaxRate),2)))</f>
        <v>0</v>
      </c>
      <c r="H130" s="29">
        <f>IF(F130="","",ROUND(F130-G130,2))</f>
        <v>0</v>
      </c>
      <c r="L130" s="29">
        <f>IF(F130="","",IF(J130="Personal",0,ROUND(H130*IF(K130="",1,K130),2)))</f>
        <v>0</v>
      </c>
      <c r="O130" s="21">
        <f>IF(OR(B130="",N130="",N130="No"),"",IF(N130="Monthly",EDATE(B130,1),IF(N130="Quarterly",EDATE(B130,3),IF(N130="Annually",EDATE(B130,12),B130+IF(N130="Weekly",7,IF(N130="Fortnightly",14,0))))))</f>
        <v>0</v>
      </c>
      <c r="T130" s="28">
        <f>IF(B130="","",TEXT(B130,"yyyy-mm"))</f>
        <v>0</v>
      </c>
      <c r="U130" s="49">
        <f>IF(B130="","",IF(P130="Pending","Awaiting approval",IF(M130="","Missing receipt",IF(AND(O130&lt;&gt;"",O130&lt;=TODAY()),"Recurring cost due","OK"))))</f>
        <v>0</v>
      </c>
    </row>
    <row r="131" spans="1:21">
      <c r="A131" s="46">
        <f>IF(B131="","","EX-"&amp;TEXT(ROW()-4,"0000"))</f>
        <v>0</v>
      </c>
      <c r="G131" s="29">
        <f>IF(F131="","",IF(TaxRegistered&lt;&gt;"Yes",0,ROUND(F131-F131/(1+TaxRate),2)))</f>
        <v>0</v>
      </c>
      <c r="H131" s="29">
        <f>IF(F131="","",ROUND(F131-G131,2))</f>
        <v>0</v>
      </c>
      <c r="L131" s="29">
        <f>IF(F131="","",IF(J131="Personal",0,ROUND(H131*IF(K131="",1,K131),2)))</f>
        <v>0</v>
      </c>
      <c r="O131" s="21">
        <f>IF(OR(B131="",N131="",N131="No"),"",IF(N131="Monthly",EDATE(B131,1),IF(N131="Quarterly",EDATE(B131,3),IF(N131="Annually",EDATE(B131,12),B131+IF(N131="Weekly",7,IF(N131="Fortnightly",14,0))))))</f>
        <v>0</v>
      </c>
      <c r="T131" s="28">
        <f>IF(B131="","",TEXT(B131,"yyyy-mm"))</f>
        <v>0</v>
      </c>
      <c r="U131" s="49">
        <f>IF(B131="","",IF(P131="Pending","Awaiting approval",IF(M131="","Missing receipt",IF(AND(O131&lt;&gt;"",O131&lt;=TODAY()),"Recurring cost due","OK"))))</f>
        <v>0</v>
      </c>
    </row>
    <row r="132" spans="1:21">
      <c r="A132" s="46">
        <f>IF(B132="","","EX-"&amp;TEXT(ROW()-4,"0000"))</f>
        <v>0</v>
      </c>
      <c r="G132" s="29">
        <f>IF(F132="","",IF(TaxRegistered&lt;&gt;"Yes",0,ROUND(F132-F132/(1+TaxRate),2)))</f>
        <v>0</v>
      </c>
      <c r="H132" s="29">
        <f>IF(F132="","",ROUND(F132-G132,2))</f>
        <v>0</v>
      </c>
      <c r="L132" s="29">
        <f>IF(F132="","",IF(J132="Personal",0,ROUND(H132*IF(K132="",1,K132),2)))</f>
        <v>0</v>
      </c>
      <c r="O132" s="21">
        <f>IF(OR(B132="",N132="",N132="No"),"",IF(N132="Monthly",EDATE(B132,1),IF(N132="Quarterly",EDATE(B132,3),IF(N132="Annually",EDATE(B132,12),B132+IF(N132="Weekly",7,IF(N132="Fortnightly",14,0))))))</f>
        <v>0</v>
      </c>
      <c r="T132" s="28">
        <f>IF(B132="","",TEXT(B132,"yyyy-mm"))</f>
        <v>0</v>
      </c>
      <c r="U132" s="49">
        <f>IF(B132="","",IF(P132="Pending","Awaiting approval",IF(M132="","Missing receipt",IF(AND(O132&lt;&gt;"",O132&lt;=TODAY()),"Recurring cost due","OK"))))</f>
        <v>0</v>
      </c>
    </row>
    <row r="133" spans="1:21">
      <c r="A133" s="46">
        <f>IF(B133="","","EX-"&amp;TEXT(ROW()-4,"0000"))</f>
        <v>0</v>
      </c>
      <c r="G133" s="29">
        <f>IF(F133="","",IF(TaxRegistered&lt;&gt;"Yes",0,ROUND(F133-F133/(1+TaxRate),2)))</f>
        <v>0</v>
      </c>
      <c r="H133" s="29">
        <f>IF(F133="","",ROUND(F133-G133,2))</f>
        <v>0</v>
      </c>
      <c r="L133" s="29">
        <f>IF(F133="","",IF(J133="Personal",0,ROUND(H133*IF(K133="",1,K133),2)))</f>
        <v>0</v>
      </c>
      <c r="O133" s="21">
        <f>IF(OR(B133="",N133="",N133="No"),"",IF(N133="Monthly",EDATE(B133,1),IF(N133="Quarterly",EDATE(B133,3),IF(N133="Annually",EDATE(B133,12),B133+IF(N133="Weekly",7,IF(N133="Fortnightly",14,0))))))</f>
        <v>0</v>
      </c>
      <c r="T133" s="28">
        <f>IF(B133="","",TEXT(B133,"yyyy-mm"))</f>
        <v>0</v>
      </c>
      <c r="U133" s="49">
        <f>IF(B133="","",IF(P133="Pending","Awaiting approval",IF(M133="","Missing receipt",IF(AND(O133&lt;&gt;"",O133&lt;=TODAY()),"Recurring cost due","OK"))))</f>
        <v>0</v>
      </c>
    </row>
    <row r="134" spans="1:21">
      <c r="A134" s="46">
        <f>IF(B134="","","EX-"&amp;TEXT(ROW()-4,"0000"))</f>
        <v>0</v>
      </c>
      <c r="G134" s="29">
        <f>IF(F134="","",IF(TaxRegistered&lt;&gt;"Yes",0,ROUND(F134-F134/(1+TaxRate),2)))</f>
        <v>0</v>
      </c>
      <c r="H134" s="29">
        <f>IF(F134="","",ROUND(F134-G134,2))</f>
        <v>0</v>
      </c>
      <c r="L134" s="29">
        <f>IF(F134="","",IF(J134="Personal",0,ROUND(H134*IF(K134="",1,K134),2)))</f>
        <v>0</v>
      </c>
      <c r="O134" s="21">
        <f>IF(OR(B134="",N134="",N134="No"),"",IF(N134="Monthly",EDATE(B134,1),IF(N134="Quarterly",EDATE(B134,3),IF(N134="Annually",EDATE(B134,12),B134+IF(N134="Weekly",7,IF(N134="Fortnightly",14,0))))))</f>
        <v>0</v>
      </c>
      <c r="T134" s="28">
        <f>IF(B134="","",TEXT(B134,"yyyy-mm"))</f>
        <v>0</v>
      </c>
      <c r="U134" s="49">
        <f>IF(B134="","",IF(P134="Pending","Awaiting approval",IF(M134="","Missing receipt",IF(AND(O134&lt;&gt;"",O134&lt;=TODAY()),"Recurring cost due","OK"))))</f>
        <v>0</v>
      </c>
    </row>
    <row r="135" spans="1:21">
      <c r="A135" s="46">
        <f>IF(B135="","","EX-"&amp;TEXT(ROW()-4,"0000"))</f>
        <v>0</v>
      </c>
      <c r="G135" s="29">
        <f>IF(F135="","",IF(TaxRegistered&lt;&gt;"Yes",0,ROUND(F135-F135/(1+TaxRate),2)))</f>
        <v>0</v>
      </c>
      <c r="H135" s="29">
        <f>IF(F135="","",ROUND(F135-G135,2))</f>
        <v>0</v>
      </c>
      <c r="L135" s="29">
        <f>IF(F135="","",IF(J135="Personal",0,ROUND(H135*IF(K135="",1,K135),2)))</f>
        <v>0</v>
      </c>
      <c r="O135" s="21">
        <f>IF(OR(B135="",N135="",N135="No"),"",IF(N135="Monthly",EDATE(B135,1),IF(N135="Quarterly",EDATE(B135,3),IF(N135="Annually",EDATE(B135,12),B135+IF(N135="Weekly",7,IF(N135="Fortnightly",14,0))))))</f>
        <v>0</v>
      </c>
      <c r="T135" s="28">
        <f>IF(B135="","",TEXT(B135,"yyyy-mm"))</f>
        <v>0</v>
      </c>
      <c r="U135" s="49">
        <f>IF(B135="","",IF(P135="Pending","Awaiting approval",IF(M135="","Missing receipt",IF(AND(O135&lt;&gt;"",O135&lt;=TODAY()),"Recurring cost due","OK"))))</f>
        <v>0</v>
      </c>
    </row>
    <row r="136" spans="1:21">
      <c r="A136" s="46">
        <f>IF(B136="","","EX-"&amp;TEXT(ROW()-4,"0000"))</f>
        <v>0</v>
      </c>
      <c r="G136" s="29">
        <f>IF(F136="","",IF(TaxRegistered&lt;&gt;"Yes",0,ROUND(F136-F136/(1+TaxRate),2)))</f>
        <v>0</v>
      </c>
      <c r="H136" s="29">
        <f>IF(F136="","",ROUND(F136-G136,2))</f>
        <v>0</v>
      </c>
      <c r="L136" s="29">
        <f>IF(F136="","",IF(J136="Personal",0,ROUND(H136*IF(K136="",1,K136),2)))</f>
        <v>0</v>
      </c>
      <c r="O136" s="21">
        <f>IF(OR(B136="",N136="",N136="No"),"",IF(N136="Monthly",EDATE(B136,1),IF(N136="Quarterly",EDATE(B136,3),IF(N136="Annually",EDATE(B136,12),B136+IF(N136="Weekly",7,IF(N136="Fortnightly",14,0))))))</f>
        <v>0</v>
      </c>
      <c r="T136" s="28">
        <f>IF(B136="","",TEXT(B136,"yyyy-mm"))</f>
        <v>0</v>
      </c>
      <c r="U136" s="49">
        <f>IF(B136="","",IF(P136="Pending","Awaiting approval",IF(M136="","Missing receipt",IF(AND(O136&lt;&gt;"",O136&lt;=TODAY()),"Recurring cost due","OK"))))</f>
        <v>0</v>
      </c>
    </row>
    <row r="137" spans="1:21">
      <c r="A137" s="46">
        <f>IF(B137="","","EX-"&amp;TEXT(ROW()-4,"0000"))</f>
        <v>0</v>
      </c>
      <c r="G137" s="29">
        <f>IF(F137="","",IF(TaxRegistered&lt;&gt;"Yes",0,ROUND(F137-F137/(1+TaxRate),2)))</f>
        <v>0</v>
      </c>
      <c r="H137" s="29">
        <f>IF(F137="","",ROUND(F137-G137,2))</f>
        <v>0</v>
      </c>
      <c r="L137" s="29">
        <f>IF(F137="","",IF(J137="Personal",0,ROUND(H137*IF(K137="",1,K137),2)))</f>
        <v>0</v>
      </c>
      <c r="O137" s="21">
        <f>IF(OR(B137="",N137="",N137="No"),"",IF(N137="Monthly",EDATE(B137,1),IF(N137="Quarterly",EDATE(B137,3),IF(N137="Annually",EDATE(B137,12),B137+IF(N137="Weekly",7,IF(N137="Fortnightly",14,0))))))</f>
        <v>0</v>
      </c>
      <c r="T137" s="28">
        <f>IF(B137="","",TEXT(B137,"yyyy-mm"))</f>
        <v>0</v>
      </c>
      <c r="U137" s="49">
        <f>IF(B137="","",IF(P137="Pending","Awaiting approval",IF(M137="","Missing receipt",IF(AND(O137&lt;&gt;"",O137&lt;=TODAY()),"Recurring cost due","OK"))))</f>
        <v>0</v>
      </c>
    </row>
    <row r="138" spans="1:21">
      <c r="A138" s="46">
        <f>IF(B138="","","EX-"&amp;TEXT(ROW()-4,"0000"))</f>
        <v>0</v>
      </c>
      <c r="G138" s="29">
        <f>IF(F138="","",IF(TaxRegistered&lt;&gt;"Yes",0,ROUND(F138-F138/(1+TaxRate),2)))</f>
        <v>0</v>
      </c>
      <c r="H138" s="29">
        <f>IF(F138="","",ROUND(F138-G138,2))</f>
        <v>0</v>
      </c>
      <c r="L138" s="29">
        <f>IF(F138="","",IF(J138="Personal",0,ROUND(H138*IF(K138="",1,K138),2)))</f>
        <v>0</v>
      </c>
      <c r="O138" s="21">
        <f>IF(OR(B138="",N138="",N138="No"),"",IF(N138="Monthly",EDATE(B138,1),IF(N138="Quarterly",EDATE(B138,3),IF(N138="Annually",EDATE(B138,12),B138+IF(N138="Weekly",7,IF(N138="Fortnightly",14,0))))))</f>
        <v>0</v>
      </c>
      <c r="T138" s="28">
        <f>IF(B138="","",TEXT(B138,"yyyy-mm"))</f>
        <v>0</v>
      </c>
      <c r="U138" s="49">
        <f>IF(B138="","",IF(P138="Pending","Awaiting approval",IF(M138="","Missing receipt",IF(AND(O138&lt;&gt;"",O138&lt;=TODAY()),"Recurring cost due","OK"))))</f>
        <v>0</v>
      </c>
    </row>
    <row r="139" spans="1:21">
      <c r="A139" s="46">
        <f>IF(B139="","","EX-"&amp;TEXT(ROW()-4,"0000"))</f>
        <v>0</v>
      </c>
      <c r="G139" s="29">
        <f>IF(F139="","",IF(TaxRegistered&lt;&gt;"Yes",0,ROUND(F139-F139/(1+TaxRate),2)))</f>
        <v>0</v>
      </c>
      <c r="H139" s="29">
        <f>IF(F139="","",ROUND(F139-G139,2))</f>
        <v>0</v>
      </c>
      <c r="L139" s="29">
        <f>IF(F139="","",IF(J139="Personal",0,ROUND(H139*IF(K139="",1,K139),2)))</f>
        <v>0</v>
      </c>
      <c r="O139" s="21">
        <f>IF(OR(B139="",N139="",N139="No"),"",IF(N139="Monthly",EDATE(B139,1),IF(N139="Quarterly",EDATE(B139,3),IF(N139="Annually",EDATE(B139,12),B139+IF(N139="Weekly",7,IF(N139="Fortnightly",14,0))))))</f>
        <v>0</v>
      </c>
      <c r="T139" s="28">
        <f>IF(B139="","",TEXT(B139,"yyyy-mm"))</f>
        <v>0</v>
      </c>
      <c r="U139" s="49">
        <f>IF(B139="","",IF(P139="Pending","Awaiting approval",IF(M139="","Missing receipt",IF(AND(O139&lt;&gt;"",O139&lt;=TODAY()),"Recurring cost due","OK"))))</f>
        <v>0</v>
      </c>
    </row>
    <row r="140" spans="1:21">
      <c r="A140" s="46">
        <f>IF(B140="","","EX-"&amp;TEXT(ROW()-4,"0000"))</f>
        <v>0</v>
      </c>
      <c r="G140" s="29">
        <f>IF(F140="","",IF(TaxRegistered&lt;&gt;"Yes",0,ROUND(F140-F140/(1+TaxRate),2)))</f>
        <v>0</v>
      </c>
      <c r="H140" s="29">
        <f>IF(F140="","",ROUND(F140-G140,2))</f>
        <v>0</v>
      </c>
      <c r="L140" s="29">
        <f>IF(F140="","",IF(J140="Personal",0,ROUND(H140*IF(K140="",1,K140),2)))</f>
        <v>0</v>
      </c>
      <c r="O140" s="21">
        <f>IF(OR(B140="",N140="",N140="No"),"",IF(N140="Monthly",EDATE(B140,1),IF(N140="Quarterly",EDATE(B140,3),IF(N140="Annually",EDATE(B140,12),B140+IF(N140="Weekly",7,IF(N140="Fortnightly",14,0))))))</f>
        <v>0</v>
      </c>
      <c r="T140" s="28">
        <f>IF(B140="","",TEXT(B140,"yyyy-mm"))</f>
        <v>0</v>
      </c>
      <c r="U140" s="49">
        <f>IF(B140="","",IF(P140="Pending","Awaiting approval",IF(M140="","Missing receipt",IF(AND(O140&lt;&gt;"",O140&lt;=TODAY()),"Recurring cost due","OK"))))</f>
        <v>0</v>
      </c>
    </row>
    <row r="141" spans="1:21">
      <c r="A141" s="46">
        <f>IF(B141="","","EX-"&amp;TEXT(ROW()-4,"0000"))</f>
        <v>0</v>
      </c>
      <c r="G141" s="29">
        <f>IF(F141="","",IF(TaxRegistered&lt;&gt;"Yes",0,ROUND(F141-F141/(1+TaxRate),2)))</f>
        <v>0</v>
      </c>
      <c r="H141" s="29">
        <f>IF(F141="","",ROUND(F141-G141,2))</f>
        <v>0</v>
      </c>
      <c r="L141" s="29">
        <f>IF(F141="","",IF(J141="Personal",0,ROUND(H141*IF(K141="",1,K141),2)))</f>
        <v>0</v>
      </c>
      <c r="O141" s="21">
        <f>IF(OR(B141="",N141="",N141="No"),"",IF(N141="Monthly",EDATE(B141,1),IF(N141="Quarterly",EDATE(B141,3),IF(N141="Annually",EDATE(B141,12),B141+IF(N141="Weekly",7,IF(N141="Fortnightly",14,0))))))</f>
        <v>0</v>
      </c>
      <c r="T141" s="28">
        <f>IF(B141="","",TEXT(B141,"yyyy-mm"))</f>
        <v>0</v>
      </c>
      <c r="U141" s="49">
        <f>IF(B141="","",IF(P141="Pending","Awaiting approval",IF(M141="","Missing receipt",IF(AND(O141&lt;&gt;"",O141&lt;=TODAY()),"Recurring cost due","OK"))))</f>
        <v>0</v>
      </c>
    </row>
    <row r="142" spans="1:21">
      <c r="A142" s="46">
        <f>IF(B142="","","EX-"&amp;TEXT(ROW()-4,"0000"))</f>
        <v>0</v>
      </c>
      <c r="G142" s="29">
        <f>IF(F142="","",IF(TaxRegistered&lt;&gt;"Yes",0,ROUND(F142-F142/(1+TaxRate),2)))</f>
        <v>0</v>
      </c>
      <c r="H142" s="29">
        <f>IF(F142="","",ROUND(F142-G142,2))</f>
        <v>0</v>
      </c>
      <c r="L142" s="29">
        <f>IF(F142="","",IF(J142="Personal",0,ROUND(H142*IF(K142="",1,K142),2)))</f>
        <v>0</v>
      </c>
      <c r="O142" s="21">
        <f>IF(OR(B142="",N142="",N142="No"),"",IF(N142="Monthly",EDATE(B142,1),IF(N142="Quarterly",EDATE(B142,3),IF(N142="Annually",EDATE(B142,12),B142+IF(N142="Weekly",7,IF(N142="Fortnightly",14,0))))))</f>
        <v>0</v>
      </c>
      <c r="T142" s="28">
        <f>IF(B142="","",TEXT(B142,"yyyy-mm"))</f>
        <v>0</v>
      </c>
      <c r="U142" s="49">
        <f>IF(B142="","",IF(P142="Pending","Awaiting approval",IF(M142="","Missing receipt",IF(AND(O142&lt;&gt;"",O142&lt;=TODAY()),"Recurring cost due","OK"))))</f>
        <v>0</v>
      </c>
    </row>
    <row r="143" spans="1:21">
      <c r="A143" s="46">
        <f>IF(B143="","","EX-"&amp;TEXT(ROW()-4,"0000"))</f>
        <v>0</v>
      </c>
      <c r="G143" s="29">
        <f>IF(F143="","",IF(TaxRegistered&lt;&gt;"Yes",0,ROUND(F143-F143/(1+TaxRate),2)))</f>
        <v>0</v>
      </c>
      <c r="H143" s="29">
        <f>IF(F143="","",ROUND(F143-G143,2))</f>
        <v>0</v>
      </c>
      <c r="L143" s="29">
        <f>IF(F143="","",IF(J143="Personal",0,ROUND(H143*IF(K143="",1,K143),2)))</f>
        <v>0</v>
      </c>
      <c r="O143" s="21">
        <f>IF(OR(B143="",N143="",N143="No"),"",IF(N143="Monthly",EDATE(B143,1),IF(N143="Quarterly",EDATE(B143,3),IF(N143="Annually",EDATE(B143,12),B143+IF(N143="Weekly",7,IF(N143="Fortnightly",14,0))))))</f>
        <v>0</v>
      </c>
      <c r="T143" s="28">
        <f>IF(B143="","",TEXT(B143,"yyyy-mm"))</f>
        <v>0</v>
      </c>
      <c r="U143" s="49">
        <f>IF(B143="","",IF(P143="Pending","Awaiting approval",IF(M143="","Missing receipt",IF(AND(O143&lt;&gt;"",O143&lt;=TODAY()),"Recurring cost due","OK"))))</f>
        <v>0</v>
      </c>
    </row>
    <row r="144" spans="1:21">
      <c r="A144" s="46">
        <f>IF(B144="","","EX-"&amp;TEXT(ROW()-4,"0000"))</f>
        <v>0</v>
      </c>
      <c r="G144" s="29">
        <f>IF(F144="","",IF(TaxRegistered&lt;&gt;"Yes",0,ROUND(F144-F144/(1+TaxRate),2)))</f>
        <v>0</v>
      </c>
      <c r="H144" s="29">
        <f>IF(F144="","",ROUND(F144-G144,2))</f>
        <v>0</v>
      </c>
      <c r="L144" s="29">
        <f>IF(F144="","",IF(J144="Personal",0,ROUND(H144*IF(K144="",1,K144),2)))</f>
        <v>0</v>
      </c>
      <c r="O144" s="21">
        <f>IF(OR(B144="",N144="",N144="No"),"",IF(N144="Monthly",EDATE(B144,1),IF(N144="Quarterly",EDATE(B144,3),IF(N144="Annually",EDATE(B144,12),B144+IF(N144="Weekly",7,IF(N144="Fortnightly",14,0))))))</f>
        <v>0</v>
      </c>
      <c r="T144" s="28">
        <f>IF(B144="","",TEXT(B144,"yyyy-mm"))</f>
        <v>0</v>
      </c>
      <c r="U144" s="49">
        <f>IF(B144="","",IF(P144="Pending","Awaiting approval",IF(M144="","Missing receipt",IF(AND(O144&lt;&gt;"",O144&lt;=TODAY()),"Recurring cost due","OK"))))</f>
        <v>0</v>
      </c>
    </row>
    <row r="145" spans="1:21">
      <c r="A145" s="46">
        <f>IF(B145="","","EX-"&amp;TEXT(ROW()-4,"0000"))</f>
        <v>0</v>
      </c>
      <c r="G145" s="29">
        <f>IF(F145="","",IF(TaxRegistered&lt;&gt;"Yes",0,ROUND(F145-F145/(1+TaxRate),2)))</f>
        <v>0</v>
      </c>
      <c r="H145" s="29">
        <f>IF(F145="","",ROUND(F145-G145,2))</f>
        <v>0</v>
      </c>
      <c r="L145" s="29">
        <f>IF(F145="","",IF(J145="Personal",0,ROUND(H145*IF(K145="",1,K145),2)))</f>
        <v>0</v>
      </c>
      <c r="O145" s="21">
        <f>IF(OR(B145="",N145="",N145="No"),"",IF(N145="Monthly",EDATE(B145,1),IF(N145="Quarterly",EDATE(B145,3),IF(N145="Annually",EDATE(B145,12),B145+IF(N145="Weekly",7,IF(N145="Fortnightly",14,0))))))</f>
        <v>0</v>
      </c>
      <c r="T145" s="28">
        <f>IF(B145="","",TEXT(B145,"yyyy-mm"))</f>
        <v>0</v>
      </c>
      <c r="U145" s="49">
        <f>IF(B145="","",IF(P145="Pending","Awaiting approval",IF(M145="","Missing receipt",IF(AND(O145&lt;&gt;"",O145&lt;=TODAY()),"Recurring cost due","OK"))))</f>
        <v>0</v>
      </c>
    </row>
    <row r="146" spans="1:21">
      <c r="A146" s="46">
        <f>IF(B146="","","EX-"&amp;TEXT(ROW()-4,"0000"))</f>
        <v>0</v>
      </c>
      <c r="G146" s="29">
        <f>IF(F146="","",IF(TaxRegistered&lt;&gt;"Yes",0,ROUND(F146-F146/(1+TaxRate),2)))</f>
        <v>0</v>
      </c>
      <c r="H146" s="29">
        <f>IF(F146="","",ROUND(F146-G146,2))</f>
        <v>0</v>
      </c>
      <c r="L146" s="29">
        <f>IF(F146="","",IF(J146="Personal",0,ROUND(H146*IF(K146="",1,K146),2)))</f>
        <v>0</v>
      </c>
      <c r="O146" s="21">
        <f>IF(OR(B146="",N146="",N146="No"),"",IF(N146="Monthly",EDATE(B146,1),IF(N146="Quarterly",EDATE(B146,3),IF(N146="Annually",EDATE(B146,12),B146+IF(N146="Weekly",7,IF(N146="Fortnightly",14,0))))))</f>
        <v>0</v>
      </c>
      <c r="T146" s="28">
        <f>IF(B146="","",TEXT(B146,"yyyy-mm"))</f>
        <v>0</v>
      </c>
      <c r="U146" s="49">
        <f>IF(B146="","",IF(P146="Pending","Awaiting approval",IF(M146="","Missing receipt",IF(AND(O146&lt;&gt;"",O146&lt;=TODAY()),"Recurring cost due","OK"))))</f>
        <v>0</v>
      </c>
    </row>
    <row r="147" spans="1:21">
      <c r="A147" s="46">
        <f>IF(B147="","","EX-"&amp;TEXT(ROW()-4,"0000"))</f>
        <v>0</v>
      </c>
      <c r="G147" s="29">
        <f>IF(F147="","",IF(TaxRegistered&lt;&gt;"Yes",0,ROUND(F147-F147/(1+TaxRate),2)))</f>
        <v>0</v>
      </c>
      <c r="H147" s="29">
        <f>IF(F147="","",ROUND(F147-G147,2))</f>
        <v>0</v>
      </c>
      <c r="L147" s="29">
        <f>IF(F147="","",IF(J147="Personal",0,ROUND(H147*IF(K147="",1,K147),2)))</f>
        <v>0</v>
      </c>
      <c r="O147" s="21">
        <f>IF(OR(B147="",N147="",N147="No"),"",IF(N147="Monthly",EDATE(B147,1),IF(N147="Quarterly",EDATE(B147,3),IF(N147="Annually",EDATE(B147,12),B147+IF(N147="Weekly",7,IF(N147="Fortnightly",14,0))))))</f>
        <v>0</v>
      </c>
      <c r="T147" s="28">
        <f>IF(B147="","",TEXT(B147,"yyyy-mm"))</f>
        <v>0</v>
      </c>
      <c r="U147" s="49">
        <f>IF(B147="","",IF(P147="Pending","Awaiting approval",IF(M147="","Missing receipt",IF(AND(O147&lt;&gt;"",O147&lt;=TODAY()),"Recurring cost due","OK"))))</f>
        <v>0</v>
      </c>
    </row>
    <row r="148" spans="1:21">
      <c r="A148" s="46">
        <f>IF(B148="","","EX-"&amp;TEXT(ROW()-4,"0000"))</f>
        <v>0</v>
      </c>
      <c r="G148" s="29">
        <f>IF(F148="","",IF(TaxRegistered&lt;&gt;"Yes",0,ROUND(F148-F148/(1+TaxRate),2)))</f>
        <v>0</v>
      </c>
      <c r="H148" s="29">
        <f>IF(F148="","",ROUND(F148-G148,2))</f>
        <v>0</v>
      </c>
      <c r="L148" s="29">
        <f>IF(F148="","",IF(J148="Personal",0,ROUND(H148*IF(K148="",1,K148),2)))</f>
        <v>0</v>
      </c>
      <c r="O148" s="21">
        <f>IF(OR(B148="",N148="",N148="No"),"",IF(N148="Monthly",EDATE(B148,1),IF(N148="Quarterly",EDATE(B148,3),IF(N148="Annually",EDATE(B148,12),B148+IF(N148="Weekly",7,IF(N148="Fortnightly",14,0))))))</f>
        <v>0</v>
      </c>
      <c r="T148" s="28">
        <f>IF(B148="","",TEXT(B148,"yyyy-mm"))</f>
        <v>0</v>
      </c>
      <c r="U148" s="49">
        <f>IF(B148="","",IF(P148="Pending","Awaiting approval",IF(M148="","Missing receipt",IF(AND(O148&lt;&gt;"",O148&lt;=TODAY()),"Recurring cost due","OK"))))</f>
        <v>0</v>
      </c>
    </row>
    <row r="149" spans="1:21">
      <c r="A149" s="46">
        <f>IF(B149="","","EX-"&amp;TEXT(ROW()-4,"0000"))</f>
        <v>0</v>
      </c>
      <c r="G149" s="29">
        <f>IF(F149="","",IF(TaxRegistered&lt;&gt;"Yes",0,ROUND(F149-F149/(1+TaxRate),2)))</f>
        <v>0</v>
      </c>
      <c r="H149" s="29">
        <f>IF(F149="","",ROUND(F149-G149,2))</f>
        <v>0</v>
      </c>
      <c r="L149" s="29">
        <f>IF(F149="","",IF(J149="Personal",0,ROUND(H149*IF(K149="",1,K149),2)))</f>
        <v>0</v>
      </c>
      <c r="O149" s="21">
        <f>IF(OR(B149="",N149="",N149="No"),"",IF(N149="Monthly",EDATE(B149,1),IF(N149="Quarterly",EDATE(B149,3),IF(N149="Annually",EDATE(B149,12),B149+IF(N149="Weekly",7,IF(N149="Fortnightly",14,0))))))</f>
        <v>0</v>
      </c>
      <c r="T149" s="28">
        <f>IF(B149="","",TEXT(B149,"yyyy-mm"))</f>
        <v>0</v>
      </c>
      <c r="U149" s="49">
        <f>IF(B149="","",IF(P149="Pending","Awaiting approval",IF(M149="","Missing receipt",IF(AND(O149&lt;&gt;"",O149&lt;=TODAY()),"Recurring cost due","OK"))))</f>
        <v>0</v>
      </c>
    </row>
    <row r="150" spans="1:21">
      <c r="A150" s="46">
        <f>IF(B150="","","EX-"&amp;TEXT(ROW()-4,"0000"))</f>
        <v>0</v>
      </c>
      <c r="G150" s="29">
        <f>IF(F150="","",IF(TaxRegistered&lt;&gt;"Yes",0,ROUND(F150-F150/(1+TaxRate),2)))</f>
        <v>0</v>
      </c>
      <c r="H150" s="29">
        <f>IF(F150="","",ROUND(F150-G150,2))</f>
        <v>0</v>
      </c>
      <c r="L150" s="29">
        <f>IF(F150="","",IF(J150="Personal",0,ROUND(H150*IF(K150="",1,K150),2)))</f>
        <v>0</v>
      </c>
      <c r="O150" s="21">
        <f>IF(OR(B150="",N150="",N150="No"),"",IF(N150="Monthly",EDATE(B150,1),IF(N150="Quarterly",EDATE(B150,3),IF(N150="Annually",EDATE(B150,12),B150+IF(N150="Weekly",7,IF(N150="Fortnightly",14,0))))))</f>
        <v>0</v>
      </c>
      <c r="T150" s="28">
        <f>IF(B150="","",TEXT(B150,"yyyy-mm"))</f>
        <v>0</v>
      </c>
      <c r="U150" s="49">
        <f>IF(B150="","",IF(P150="Pending","Awaiting approval",IF(M150="","Missing receipt",IF(AND(O150&lt;&gt;"",O150&lt;=TODAY()),"Recurring cost due","OK"))))</f>
        <v>0</v>
      </c>
    </row>
    <row r="151" spans="1:21">
      <c r="A151" s="46">
        <f>IF(B151="","","EX-"&amp;TEXT(ROW()-4,"0000"))</f>
        <v>0</v>
      </c>
      <c r="G151" s="29">
        <f>IF(F151="","",IF(TaxRegistered&lt;&gt;"Yes",0,ROUND(F151-F151/(1+TaxRate),2)))</f>
        <v>0</v>
      </c>
      <c r="H151" s="29">
        <f>IF(F151="","",ROUND(F151-G151,2))</f>
        <v>0</v>
      </c>
      <c r="L151" s="29">
        <f>IF(F151="","",IF(J151="Personal",0,ROUND(H151*IF(K151="",1,K151),2)))</f>
        <v>0</v>
      </c>
      <c r="O151" s="21">
        <f>IF(OR(B151="",N151="",N151="No"),"",IF(N151="Monthly",EDATE(B151,1),IF(N151="Quarterly",EDATE(B151,3),IF(N151="Annually",EDATE(B151,12),B151+IF(N151="Weekly",7,IF(N151="Fortnightly",14,0))))))</f>
        <v>0</v>
      </c>
      <c r="T151" s="28">
        <f>IF(B151="","",TEXT(B151,"yyyy-mm"))</f>
        <v>0</v>
      </c>
      <c r="U151" s="49">
        <f>IF(B151="","",IF(P151="Pending","Awaiting approval",IF(M151="","Missing receipt",IF(AND(O151&lt;&gt;"",O151&lt;=TODAY()),"Recurring cost due","OK"))))</f>
        <v>0</v>
      </c>
    </row>
    <row r="152" spans="1:21">
      <c r="A152" s="46">
        <f>IF(B152="","","EX-"&amp;TEXT(ROW()-4,"0000"))</f>
        <v>0</v>
      </c>
      <c r="G152" s="29">
        <f>IF(F152="","",IF(TaxRegistered&lt;&gt;"Yes",0,ROUND(F152-F152/(1+TaxRate),2)))</f>
        <v>0</v>
      </c>
      <c r="H152" s="29">
        <f>IF(F152="","",ROUND(F152-G152,2))</f>
        <v>0</v>
      </c>
      <c r="L152" s="29">
        <f>IF(F152="","",IF(J152="Personal",0,ROUND(H152*IF(K152="",1,K152),2)))</f>
        <v>0</v>
      </c>
      <c r="O152" s="21">
        <f>IF(OR(B152="",N152="",N152="No"),"",IF(N152="Monthly",EDATE(B152,1),IF(N152="Quarterly",EDATE(B152,3),IF(N152="Annually",EDATE(B152,12),B152+IF(N152="Weekly",7,IF(N152="Fortnightly",14,0))))))</f>
        <v>0</v>
      </c>
      <c r="T152" s="28">
        <f>IF(B152="","",TEXT(B152,"yyyy-mm"))</f>
        <v>0</v>
      </c>
      <c r="U152" s="49">
        <f>IF(B152="","",IF(P152="Pending","Awaiting approval",IF(M152="","Missing receipt",IF(AND(O152&lt;&gt;"",O152&lt;=TODAY()),"Recurring cost due","OK"))))</f>
        <v>0</v>
      </c>
    </row>
    <row r="153" spans="1:21">
      <c r="A153" s="46">
        <f>IF(B153="","","EX-"&amp;TEXT(ROW()-4,"0000"))</f>
        <v>0</v>
      </c>
      <c r="G153" s="29">
        <f>IF(F153="","",IF(TaxRegistered&lt;&gt;"Yes",0,ROUND(F153-F153/(1+TaxRate),2)))</f>
        <v>0</v>
      </c>
      <c r="H153" s="29">
        <f>IF(F153="","",ROUND(F153-G153,2))</f>
        <v>0</v>
      </c>
      <c r="L153" s="29">
        <f>IF(F153="","",IF(J153="Personal",0,ROUND(H153*IF(K153="",1,K153),2)))</f>
        <v>0</v>
      </c>
      <c r="O153" s="21">
        <f>IF(OR(B153="",N153="",N153="No"),"",IF(N153="Monthly",EDATE(B153,1),IF(N153="Quarterly",EDATE(B153,3),IF(N153="Annually",EDATE(B153,12),B153+IF(N153="Weekly",7,IF(N153="Fortnightly",14,0))))))</f>
        <v>0</v>
      </c>
      <c r="T153" s="28">
        <f>IF(B153="","",TEXT(B153,"yyyy-mm"))</f>
        <v>0</v>
      </c>
      <c r="U153" s="49">
        <f>IF(B153="","",IF(P153="Pending","Awaiting approval",IF(M153="","Missing receipt",IF(AND(O153&lt;&gt;"",O153&lt;=TODAY()),"Recurring cost due","OK"))))</f>
        <v>0</v>
      </c>
    </row>
    <row r="154" spans="1:21">
      <c r="A154" s="46">
        <f>IF(B154="","","EX-"&amp;TEXT(ROW()-4,"0000"))</f>
        <v>0</v>
      </c>
      <c r="G154" s="29">
        <f>IF(F154="","",IF(TaxRegistered&lt;&gt;"Yes",0,ROUND(F154-F154/(1+TaxRate),2)))</f>
        <v>0</v>
      </c>
      <c r="H154" s="29">
        <f>IF(F154="","",ROUND(F154-G154,2))</f>
        <v>0</v>
      </c>
      <c r="L154" s="29">
        <f>IF(F154="","",IF(J154="Personal",0,ROUND(H154*IF(K154="",1,K154),2)))</f>
        <v>0</v>
      </c>
      <c r="O154" s="21">
        <f>IF(OR(B154="",N154="",N154="No"),"",IF(N154="Monthly",EDATE(B154,1),IF(N154="Quarterly",EDATE(B154,3),IF(N154="Annually",EDATE(B154,12),B154+IF(N154="Weekly",7,IF(N154="Fortnightly",14,0))))))</f>
        <v>0</v>
      </c>
      <c r="T154" s="28">
        <f>IF(B154="","",TEXT(B154,"yyyy-mm"))</f>
        <v>0</v>
      </c>
      <c r="U154" s="49">
        <f>IF(B154="","",IF(P154="Pending","Awaiting approval",IF(M154="","Missing receipt",IF(AND(O154&lt;&gt;"",O154&lt;=TODAY()),"Recurring cost due","OK"))))</f>
        <v>0</v>
      </c>
    </row>
    <row r="155" spans="1:21">
      <c r="A155" s="46">
        <f>IF(B155="","","EX-"&amp;TEXT(ROW()-4,"0000"))</f>
        <v>0</v>
      </c>
      <c r="G155" s="29">
        <f>IF(F155="","",IF(TaxRegistered&lt;&gt;"Yes",0,ROUND(F155-F155/(1+TaxRate),2)))</f>
        <v>0</v>
      </c>
      <c r="H155" s="29">
        <f>IF(F155="","",ROUND(F155-G155,2))</f>
        <v>0</v>
      </c>
      <c r="L155" s="29">
        <f>IF(F155="","",IF(J155="Personal",0,ROUND(H155*IF(K155="",1,K155),2)))</f>
        <v>0</v>
      </c>
      <c r="O155" s="21">
        <f>IF(OR(B155="",N155="",N155="No"),"",IF(N155="Monthly",EDATE(B155,1),IF(N155="Quarterly",EDATE(B155,3),IF(N155="Annually",EDATE(B155,12),B155+IF(N155="Weekly",7,IF(N155="Fortnightly",14,0))))))</f>
        <v>0</v>
      </c>
      <c r="T155" s="28">
        <f>IF(B155="","",TEXT(B155,"yyyy-mm"))</f>
        <v>0</v>
      </c>
      <c r="U155" s="49">
        <f>IF(B155="","",IF(P155="Pending","Awaiting approval",IF(M155="","Missing receipt",IF(AND(O155&lt;&gt;"",O155&lt;=TODAY()),"Recurring cost due","OK"))))</f>
        <v>0</v>
      </c>
    </row>
    <row r="156" spans="1:21">
      <c r="A156" s="46">
        <f>IF(B156="","","EX-"&amp;TEXT(ROW()-4,"0000"))</f>
        <v>0</v>
      </c>
      <c r="G156" s="29">
        <f>IF(F156="","",IF(TaxRegistered&lt;&gt;"Yes",0,ROUND(F156-F156/(1+TaxRate),2)))</f>
        <v>0</v>
      </c>
      <c r="H156" s="29">
        <f>IF(F156="","",ROUND(F156-G156,2))</f>
        <v>0</v>
      </c>
      <c r="L156" s="29">
        <f>IF(F156="","",IF(J156="Personal",0,ROUND(H156*IF(K156="",1,K156),2)))</f>
        <v>0</v>
      </c>
      <c r="O156" s="21">
        <f>IF(OR(B156="",N156="",N156="No"),"",IF(N156="Monthly",EDATE(B156,1),IF(N156="Quarterly",EDATE(B156,3),IF(N156="Annually",EDATE(B156,12),B156+IF(N156="Weekly",7,IF(N156="Fortnightly",14,0))))))</f>
        <v>0</v>
      </c>
      <c r="T156" s="28">
        <f>IF(B156="","",TEXT(B156,"yyyy-mm"))</f>
        <v>0</v>
      </c>
      <c r="U156" s="49">
        <f>IF(B156="","",IF(P156="Pending","Awaiting approval",IF(M156="","Missing receipt",IF(AND(O156&lt;&gt;"",O156&lt;=TODAY()),"Recurring cost due","OK"))))</f>
        <v>0</v>
      </c>
    </row>
    <row r="157" spans="1:21">
      <c r="A157" s="46">
        <f>IF(B157="","","EX-"&amp;TEXT(ROW()-4,"0000"))</f>
        <v>0</v>
      </c>
      <c r="G157" s="29">
        <f>IF(F157="","",IF(TaxRegistered&lt;&gt;"Yes",0,ROUND(F157-F157/(1+TaxRate),2)))</f>
        <v>0</v>
      </c>
      <c r="H157" s="29">
        <f>IF(F157="","",ROUND(F157-G157,2))</f>
        <v>0</v>
      </c>
      <c r="L157" s="29">
        <f>IF(F157="","",IF(J157="Personal",0,ROUND(H157*IF(K157="",1,K157),2)))</f>
        <v>0</v>
      </c>
      <c r="O157" s="21">
        <f>IF(OR(B157="",N157="",N157="No"),"",IF(N157="Monthly",EDATE(B157,1),IF(N157="Quarterly",EDATE(B157,3),IF(N157="Annually",EDATE(B157,12),B157+IF(N157="Weekly",7,IF(N157="Fortnightly",14,0))))))</f>
        <v>0</v>
      </c>
      <c r="T157" s="28">
        <f>IF(B157="","",TEXT(B157,"yyyy-mm"))</f>
        <v>0</v>
      </c>
      <c r="U157" s="49">
        <f>IF(B157="","",IF(P157="Pending","Awaiting approval",IF(M157="","Missing receipt",IF(AND(O157&lt;&gt;"",O157&lt;=TODAY()),"Recurring cost due","OK"))))</f>
        <v>0</v>
      </c>
    </row>
    <row r="158" spans="1:21">
      <c r="A158" s="46">
        <f>IF(B158="","","EX-"&amp;TEXT(ROW()-4,"0000"))</f>
        <v>0</v>
      </c>
      <c r="G158" s="29">
        <f>IF(F158="","",IF(TaxRegistered&lt;&gt;"Yes",0,ROUND(F158-F158/(1+TaxRate),2)))</f>
        <v>0</v>
      </c>
      <c r="H158" s="29">
        <f>IF(F158="","",ROUND(F158-G158,2))</f>
        <v>0</v>
      </c>
      <c r="L158" s="29">
        <f>IF(F158="","",IF(J158="Personal",0,ROUND(H158*IF(K158="",1,K158),2)))</f>
        <v>0</v>
      </c>
      <c r="O158" s="21">
        <f>IF(OR(B158="",N158="",N158="No"),"",IF(N158="Monthly",EDATE(B158,1),IF(N158="Quarterly",EDATE(B158,3),IF(N158="Annually",EDATE(B158,12),B158+IF(N158="Weekly",7,IF(N158="Fortnightly",14,0))))))</f>
        <v>0</v>
      </c>
      <c r="T158" s="28">
        <f>IF(B158="","",TEXT(B158,"yyyy-mm"))</f>
        <v>0</v>
      </c>
      <c r="U158" s="49">
        <f>IF(B158="","",IF(P158="Pending","Awaiting approval",IF(M158="","Missing receipt",IF(AND(O158&lt;&gt;"",O158&lt;=TODAY()),"Recurring cost due","OK"))))</f>
        <v>0</v>
      </c>
    </row>
    <row r="159" spans="1:21">
      <c r="A159" s="46">
        <f>IF(B159="","","EX-"&amp;TEXT(ROW()-4,"0000"))</f>
        <v>0</v>
      </c>
      <c r="G159" s="29">
        <f>IF(F159="","",IF(TaxRegistered&lt;&gt;"Yes",0,ROUND(F159-F159/(1+TaxRate),2)))</f>
        <v>0</v>
      </c>
      <c r="H159" s="29">
        <f>IF(F159="","",ROUND(F159-G159,2))</f>
        <v>0</v>
      </c>
      <c r="L159" s="29">
        <f>IF(F159="","",IF(J159="Personal",0,ROUND(H159*IF(K159="",1,K159),2)))</f>
        <v>0</v>
      </c>
      <c r="O159" s="21">
        <f>IF(OR(B159="",N159="",N159="No"),"",IF(N159="Monthly",EDATE(B159,1),IF(N159="Quarterly",EDATE(B159,3),IF(N159="Annually",EDATE(B159,12),B159+IF(N159="Weekly",7,IF(N159="Fortnightly",14,0))))))</f>
        <v>0</v>
      </c>
      <c r="T159" s="28">
        <f>IF(B159="","",TEXT(B159,"yyyy-mm"))</f>
        <v>0</v>
      </c>
      <c r="U159" s="49">
        <f>IF(B159="","",IF(P159="Pending","Awaiting approval",IF(M159="","Missing receipt",IF(AND(O159&lt;&gt;"",O159&lt;=TODAY()),"Recurring cost due","OK"))))</f>
        <v>0</v>
      </c>
    </row>
    <row r="160" spans="1:21">
      <c r="A160" s="46">
        <f>IF(B160="","","EX-"&amp;TEXT(ROW()-4,"0000"))</f>
        <v>0</v>
      </c>
      <c r="G160" s="29">
        <f>IF(F160="","",IF(TaxRegistered&lt;&gt;"Yes",0,ROUND(F160-F160/(1+TaxRate),2)))</f>
        <v>0</v>
      </c>
      <c r="H160" s="29">
        <f>IF(F160="","",ROUND(F160-G160,2))</f>
        <v>0</v>
      </c>
      <c r="L160" s="29">
        <f>IF(F160="","",IF(J160="Personal",0,ROUND(H160*IF(K160="",1,K160),2)))</f>
        <v>0</v>
      </c>
      <c r="O160" s="21">
        <f>IF(OR(B160="",N160="",N160="No"),"",IF(N160="Monthly",EDATE(B160,1),IF(N160="Quarterly",EDATE(B160,3),IF(N160="Annually",EDATE(B160,12),B160+IF(N160="Weekly",7,IF(N160="Fortnightly",14,0))))))</f>
        <v>0</v>
      </c>
      <c r="T160" s="28">
        <f>IF(B160="","",TEXT(B160,"yyyy-mm"))</f>
        <v>0</v>
      </c>
      <c r="U160" s="49">
        <f>IF(B160="","",IF(P160="Pending","Awaiting approval",IF(M160="","Missing receipt",IF(AND(O160&lt;&gt;"",O160&lt;=TODAY()),"Recurring cost due","OK"))))</f>
        <v>0</v>
      </c>
    </row>
    <row r="161" spans="1:21">
      <c r="A161" s="46">
        <f>IF(B161="","","EX-"&amp;TEXT(ROW()-4,"0000"))</f>
        <v>0</v>
      </c>
      <c r="G161" s="29">
        <f>IF(F161="","",IF(TaxRegistered&lt;&gt;"Yes",0,ROUND(F161-F161/(1+TaxRate),2)))</f>
        <v>0</v>
      </c>
      <c r="H161" s="29">
        <f>IF(F161="","",ROUND(F161-G161,2))</f>
        <v>0</v>
      </c>
      <c r="L161" s="29">
        <f>IF(F161="","",IF(J161="Personal",0,ROUND(H161*IF(K161="",1,K161),2)))</f>
        <v>0</v>
      </c>
      <c r="O161" s="21">
        <f>IF(OR(B161="",N161="",N161="No"),"",IF(N161="Monthly",EDATE(B161,1),IF(N161="Quarterly",EDATE(B161,3),IF(N161="Annually",EDATE(B161,12),B161+IF(N161="Weekly",7,IF(N161="Fortnightly",14,0))))))</f>
        <v>0</v>
      </c>
      <c r="T161" s="28">
        <f>IF(B161="","",TEXT(B161,"yyyy-mm"))</f>
        <v>0</v>
      </c>
      <c r="U161" s="49">
        <f>IF(B161="","",IF(P161="Pending","Awaiting approval",IF(M161="","Missing receipt",IF(AND(O161&lt;&gt;"",O161&lt;=TODAY()),"Recurring cost due","OK"))))</f>
        <v>0</v>
      </c>
    </row>
    <row r="162" spans="1:21">
      <c r="A162" s="46">
        <f>IF(B162="","","EX-"&amp;TEXT(ROW()-4,"0000"))</f>
        <v>0</v>
      </c>
      <c r="G162" s="29">
        <f>IF(F162="","",IF(TaxRegistered&lt;&gt;"Yes",0,ROUND(F162-F162/(1+TaxRate),2)))</f>
        <v>0</v>
      </c>
      <c r="H162" s="29">
        <f>IF(F162="","",ROUND(F162-G162,2))</f>
        <v>0</v>
      </c>
      <c r="L162" s="29">
        <f>IF(F162="","",IF(J162="Personal",0,ROUND(H162*IF(K162="",1,K162),2)))</f>
        <v>0</v>
      </c>
      <c r="O162" s="21">
        <f>IF(OR(B162="",N162="",N162="No"),"",IF(N162="Monthly",EDATE(B162,1),IF(N162="Quarterly",EDATE(B162,3),IF(N162="Annually",EDATE(B162,12),B162+IF(N162="Weekly",7,IF(N162="Fortnightly",14,0))))))</f>
        <v>0</v>
      </c>
      <c r="T162" s="28">
        <f>IF(B162="","",TEXT(B162,"yyyy-mm"))</f>
        <v>0</v>
      </c>
      <c r="U162" s="49">
        <f>IF(B162="","",IF(P162="Pending","Awaiting approval",IF(M162="","Missing receipt",IF(AND(O162&lt;&gt;"",O162&lt;=TODAY()),"Recurring cost due","OK"))))</f>
        <v>0</v>
      </c>
    </row>
    <row r="163" spans="1:21">
      <c r="A163" s="46">
        <f>IF(B163="","","EX-"&amp;TEXT(ROW()-4,"0000"))</f>
        <v>0</v>
      </c>
      <c r="G163" s="29">
        <f>IF(F163="","",IF(TaxRegistered&lt;&gt;"Yes",0,ROUND(F163-F163/(1+TaxRate),2)))</f>
        <v>0</v>
      </c>
      <c r="H163" s="29">
        <f>IF(F163="","",ROUND(F163-G163,2))</f>
        <v>0</v>
      </c>
      <c r="L163" s="29">
        <f>IF(F163="","",IF(J163="Personal",0,ROUND(H163*IF(K163="",1,K163),2)))</f>
        <v>0</v>
      </c>
      <c r="O163" s="21">
        <f>IF(OR(B163="",N163="",N163="No"),"",IF(N163="Monthly",EDATE(B163,1),IF(N163="Quarterly",EDATE(B163,3),IF(N163="Annually",EDATE(B163,12),B163+IF(N163="Weekly",7,IF(N163="Fortnightly",14,0))))))</f>
        <v>0</v>
      </c>
      <c r="T163" s="28">
        <f>IF(B163="","",TEXT(B163,"yyyy-mm"))</f>
        <v>0</v>
      </c>
      <c r="U163" s="49">
        <f>IF(B163="","",IF(P163="Pending","Awaiting approval",IF(M163="","Missing receipt",IF(AND(O163&lt;&gt;"",O163&lt;=TODAY()),"Recurring cost due","OK"))))</f>
        <v>0</v>
      </c>
    </row>
    <row r="164" spans="1:21">
      <c r="A164" s="46">
        <f>IF(B164="","","EX-"&amp;TEXT(ROW()-4,"0000"))</f>
        <v>0</v>
      </c>
      <c r="G164" s="29">
        <f>IF(F164="","",IF(TaxRegistered&lt;&gt;"Yes",0,ROUND(F164-F164/(1+TaxRate),2)))</f>
        <v>0</v>
      </c>
      <c r="H164" s="29">
        <f>IF(F164="","",ROUND(F164-G164,2))</f>
        <v>0</v>
      </c>
      <c r="L164" s="29">
        <f>IF(F164="","",IF(J164="Personal",0,ROUND(H164*IF(K164="",1,K164),2)))</f>
        <v>0</v>
      </c>
      <c r="O164" s="21">
        <f>IF(OR(B164="",N164="",N164="No"),"",IF(N164="Monthly",EDATE(B164,1),IF(N164="Quarterly",EDATE(B164,3),IF(N164="Annually",EDATE(B164,12),B164+IF(N164="Weekly",7,IF(N164="Fortnightly",14,0))))))</f>
        <v>0</v>
      </c>
      <c r="T164" s="28">
        <f>IF(B164="","",TEXT(B164,"yyyy-mm"))</f>
        <v>0</v>
      </c>
      <c r="U164" s="49">
        <f>IF(B164="","",IF(P164="Pending","Awaiting approval",IF(M164="","Missing receipt",IF(AND(O164&lt;&gt;"",O164&lt;=TODAY()),"Recurring cost due","OK"))))</f>
        <v>0</v>
      </c>
    </row>
    <row r="165" spans="1:21">
      <c r="A165" s="46">
        <f>IF(B165="","","EX-"&amp;TEXT(ROW()-4,"0000"))</f>
        <v>0</v>
      </c>
      <c r="G165" s="29">
        <f>IF(F165="","",IF(TaxRegistered&lt;&gt;"Yes",0,ROUND(F165-F165/(1+TaxRate),2)))</f>
        <v>0</v>
      </c>
      <c r="H165" s="29">
        <f>IF(F165="","",ROUND(F165-G165,2))</f>
        <v>0</v>
      </c>
      <c r="L165" s="29">
        <f>IF(F165="","",IF(J165="Personal",0,ROUND(H165*IF(K165="",1,K165),2)))</f>
        <v>0</v>
      </c>
      <c r="O165" s="21">
        <f>IF(OR(B165="",N165="",N165="No"),"",IF(N165="Monthly",EDATE(B165,1),IF(N165="Quarterly",EDATE(B165,3),IF(N165="Annually",EDATE(B165,12),B165+IF(N165="Weekly",7,IF(N165="Fortnightly",14,0))))))</f>
        <v>0</v>
      </c>
      <c r="T165" s="28">
        <f>IF(B165="","",TEXT(B165,"yyyy-mm"))</f>
        <v>0</v>
      </c>
      <c r="U165" s="49">
        <f>IF(B165="","",IF(P165="Pending","Awaiting approval",IF(M165="","Missing receipt",IF(AND(O165&lt;&gt;"",O165&lt;=TODAY()),"Recurring cost due","OK"))))</f>
        <v>0</v>
      </c>
    </row>
    <row r="166" spans="1:21">
      <c r="A166" s="46">
        <f>IF(B166="","","EX-"&amp;TEXT(ROW()-4,"0000"))</f>
        <v>0</v>
      </c>
      <c r="G166" s="29">
        <f>IF(F166="","",IF(TaxRegistered&lt;&gt;"Yes",0,ROUND(F166-F166/(1+TaxRate),2)))</f>
        <v>0</v>
      </c>
      <c r="H166" s="29">
        <f>IF(F166="","",ROUND(F166-G166,2))</f>
        <v>0</v>
      </c>
      <c r="L166" s="29">
        <f>IF(F166="","",IF(J166="Personal",0,ROUND(H166*IF(K166="",1,K166),2)))</f>
        <v>0</v>
      </c>
      <c r="O166" s="21">
        <f>IF(OR(B166="",N166="",N166="No"),"",IF(N166="Monthly",EDATE(B166,1),IF(N166="Quarterly",EDATE(B166,3),IF(N166="Annually",EDATE(B166,12),B166+IF(N166="Weekly",7,IF(N166="Fortnightly",14,0))))))</f>
        <v>0</v>
      </c>
      <c r="T166" s="28">
        <f>IF(B166="","",TEXT(B166,"yyyy-mm"))</f>
        <v>0</v>
      </c>
      <c r="U166" s="49">
        <f>IF(B166="","",IF(P166="Pending","Awaiting approval",IF(M166="","Missing receipt",IF(AND(O166&lt;&gt;"",O166&lt;=TODAY()),"Recurring cost due","OK"))))</f>
        <v>0</v>
      </c>
    </row>
    <row r="167" spans="1:21">
      <c r="A167" s="46">
        <f>IF(B167="","","EX-"&amp;TEXT(ROW()-4,"0000"))</f>
        <v>0</v>
      </c>
      <c r="G167" s="29">
        <f>IF(F167="","",IF(TaxRegistered&lt;&gt;"Yes",0,ROUND(F167-F167/(1+TaxRate),2)))</f>
        <v>0</v>
      </c>
      <c r="H167" s="29">
        <f>IF(F167="","",ROUND(F167-G167,2))</f>
        <v>0</v>
      </c>
      <c r="L167" s="29">
        <f>IF(F167="","",IF(J167="Personal",0,ROUND(H167*IF(K167="",1,K167),2)))</f>
        <v>0</v>
      </c>
      <c r="O167" s="21">
        <f>IF(OR(B167="",N167="",N167="No"),"",IF(N167="Monthly",EDATE(B167,1),IF(N167="Quarterly",EDATE(B167,3),IF(N167="Annually",EDATE(B167,12),B167+IF(N167="Weekly",7,IF(N167="Fortnightly",14,0))))))</f>
        <v>0</v>
      </c>
      <c r="T167" s="28">
        <f>IF(B167="","",TEXT(B167,"yyyy-mm"))</f>
        <v>0</v>
      </c>
      <c r="U167" s="49">
        <f>IF(B167="","",IF(P167="Pending","Awaiting approval",IF(M167="","Missing receipt",IF(AND(O167&lt;&gt;"",O167&lt;=TODAY()),"Recurring cost due","OK"))))</f>
        <v>0</v>
      </c>
    </row>
    <row r="168" spans="1:21">
      <c r="A168" s="46">
        <f>IF(B168="","","EX-"&amp;TEXT(ROW()-4,"0000"))</f>
        <v>0</v>
      </c>
      <c r="G168" s="29">
        <f>IF(F168="","",IF(TaxRegistered&lt;&gt;"Yes",0,ROUND(F168-F168/(1+TaxRate),2)))</f>
        <v>0</v>
      </c>
      <c r="H168" s="29">
        <f>IF(F168="","",ROUND(F168-G168,2))</f>
        <v>0</v>
      </c>
      <c r="L168" s="29">
        <f>IF(F168="","",IF(J168="Personal",0,ROUND(H168*IF(K168="",1,K168),2)))</f>
        <v>0</v>
      </c>
      <c r="O168" s="21">
        <f>IF(OR(B168="",N168="",N168="No"),"",IF(N168="Monthly",EDATE(B168,1),IF(N168="Quarterly",EDATE(B168,3),IF(N168="Annually",EDATE(B168,12),B168+IF(N168="Weekly",7,IF(N168="Fortnightly",14,0))))))</f>
        <v>0</v>
      </c>
      <c r="T168" s="28">
        <f>IF(B168="","",TEXT(B168,"yyyy-mm"))</f>
        <v>0</v>
      </c>
      <c r="U168" s="49">
        <f>IF(B168="","",IF(P168="Pending","Awaiting approval",IF(M168="","Missing receipt",IF(AND(O168&lt;&gt;"",O168&lt;=TODAY()),"Recurring cost due","OK"))))</f>
        <v>0</v>
      </c>
    </row>
    <row r="169" spans="1:21">
      <c r="A169" s="46">
        <f>IF(B169="","","EX-"&amp;TEXT(ROW()-4,"0000"))</f>
        <v>0</v>
      </c>
      <c r="G169" s="29">
        <f>IF(F169="","",IF(TaxRegistered&lt;&gt;"Yes",0,ROUND(F169-F169/(1+TaxRate),2)))</f>
        <v>0</v>
      </c>
      <c r="H169" s="29">
        <f>IF(F169="","",ROUND(F169-G169,2))</f>
        <v>0</v>
      </c>
      <c r="L169" s="29">
        <f>IF(F169="","",IF(J169="Personal",0,ROUND(H169*IF(K169="",1,K169),2)))</f>
        <v>0</v>
      </c>
      <c r="O169" s="21">
        <f>IF(OR(B169="",N169="",N169="No"),"",IF(N169="Monthly",EDATE(B169,1),IF(N169="Quarterly",EDATE(B169,3),IF(N169="Annually",EDATE(B169,12),B169+IF(N169="Weekly",7,IF(N169="Fortnightly",14,0))))))</f>
        <v>0</v>
      </c>
      <c r="T169" s="28">
        <f>IF(B169="","",TEXT(B169,"yyyy-mm"))</f>
        <v>0</v>
      </c>
      <c r="U169" s="49">
        <f>IF(B169="","",IF(P169="Pending","Awaiting approval",IF(M169="","Missing receipt",IF(AND(O169&lt;&gt;"",O169&lt;=TODAY()),"Recurring cost due","OK"))))</f>
        <v>0</v>
      </c>
    </row>
    <row r="170" spans="1:21">
      <c r="A170" s="46">
        <f>IF(B170="","","EX-"&amp;TEXT(ROW()-4,"0000"))</f>
        <v>0</v>
      </c>
      <c r="G170" s="29">
        <f>IF(F170="","",IF(TaxRegistered&lt;&gt;"Yes",0,ROUND(F170-F170/(1+TaxRate),2)))</f>
        <v>0</v>
      </c>
      <c r="H170" s="29">
        <f>IF(F170="","",ROUND(F170-G170,2))</f>
        <v>0</v>
      </c>
      <c r="L170" s="29">
        <f>IF(F170="","",IF(J170="Personal",0,ROUND(H170*IF(K170="",1,K170),2)))</f>
        <v>0</v>
      </c>
      <c r="O170" s="21">
        <f>IF(OR(B170="",N170="",N170="No"),"",IF(N170="Monthly",EDATE(B170,1),IF(N170="Quarterly",EDATE(B170,3),IF(N170="Annually",EDATE(B170,12),B170+IF(N170="Weekly",7,IF(N170="Fortnightly",14,0))))))</f>
        <v>0</v>
      </c>
      <c r="T170" s="28">
        <f>IF(B170="","",TEXT(B170,"yyyy-mm"))</f>
        <v>0</v>
      </c>
      <c r="U170" s="49">
        <f>IF(B170="","",IF(P170="Pending","Awaiting approval",IF(M170="","Missing receipt",IF(AND(O170&lt;&gt;"",O170&lt;=TODAY()),"Recurring cost due","OK"))))</f>
        <v>0</v>
      </c>
    </row>
    <row r="171" spans="1:21">
      <c r="A171" s="46">
        <f>IF(B171="","","EX-"&amp;TEXT(ROW()-4,"0000"))</f>
        <v>0</v>
      </c>
      <c r="G171" s="29">
        <f>IF(F171="","",IF(TaxRegistered&lt;&gt;"Yes",0,ROUND(F171-F171/(1+TaxRate),2)))</f>
        <v>0</v>
      </c>
      <c r="H171" s="29">
        <f>IF(F171="","",ROUND(F171-G171,2))</f>
        <v>0</v>
      </c>
      <c r="L171" s="29">
        <f>IF(F171="","",IF(J171="Personal",0,ROUND(H171*IF(K171="",1,K171),2)))</f>
        <v>0</v>
      </c>
      <c r="O171" s="21">
        <f>IF(OR(B171="",N171="",N171="No"),"",IF(N171="Monthly",EDATE(B171,1),IF(N171="Quarterly",EDATE(B171,3),IF(N171="Annually",EDATE(B171,12),B171+IF(N171="Weekly",7,IF(N171="Fortnightly",14,0))))))</f>
        <v>0</v>
      </c>
      <c r="T171" s="28">
        <f>IF(B171="","",TEXT(B171,"yyyy-mm"))</f>
        <v>0</v>
      </c>
      <c r="U171" s="49">
        <f>IF(B171="","",IF(P171="Pending","Awaiting approval",IF(M171="","Missing receipt",IF(AND(O171&lt;&gt;"",O171&lt;=TODAY()),"Recurring cost due","OK"))))</f>
        <v>0</v>
      </c>
    </row>
    <row r="172" spans="1:21">
      <c r="A172" s="46">
        <f>IF(B172="","","EX-"&amp;TEXT(ROW()-4,"0000"))</f>
        <v>0</v>
      </c>
      <c r="G172" s="29">
        <f>IF(F172="","",IF(TaxRegistered&lt;&gt;"Yes",0,ROUND(F172-F172/(1+TaxRate),2)))</f>
        <v>0</v>
      </c>
      <c r="H172" s="29">
        <f>IF(F172="","",ROUND(F172-G172,2))</f>
        <v>0</v>
      </c>
      <c r="L172" s="29">
        <f>IF(F172="","",IF(J172="Personal",0,ROUND(H172*IF(K172="",1,K172),2)))</f>
        <v>0</v>
      </c>
      <c r="O172" s="21">
        <f>IF(OR(B172="",N172="",N172="No"),"",IF(N172="Monthly",EDATE(B172,1),IF(N172="Quarterly",EDATE(B172,3),IF(N172="Annually",EDATE(B172,12),B172+IF(N172="Weekly",7,IF(N172="Fortnightly",14,0))))))</f>
        <v>0</v>
      </c>
      <c r="T172" s="28">
        <f>IF(B172="","",TEXT(B172,"yyyy-mm"))</f>
        <v>0</v>
      </c>
      <c r="U172" s="49">
        <f>IF(B172="","",IF(P172="Pending","Awaiting approval",IF(M172="","Missing receipt",IF(AND(O172&lt;&gt;"",O172&lt;=TODAY()),"Recurring cost due","OK"))))</f>
        <v>0</v>
      </c>
    </row>
    <row r="173" spans="1:21">
      <c r="A173" s="46">
        <f>IF(B173="","","EX-"&amp;TEXT(ROW()-4,"0000"))</f>
        <v>0</v>
      </c>
      <c r="G173" s="29">
        <f>IF(F173="","",IF(TaxRegistered&lt;&gt;"Yes",0,ROUND(F173-F173/(1+TaxRate),2)))</f>
        <v>0</v>
      </c>
      <c r="H173" s="29">
        <f>IF(F173="","",ROUND(F173-G173,2))</f>
        <v>0</v>
      </c>
      <c r="L173" s="29">
        <f>IF(F173="","",IF(J173="Personal",0,ROUND(H173*IF(K173="",1,K173),2)))</f>
        <v>0</v>
      </c>
      <c r="O173" s="21">
        <f>IF(OR(B173="",N173="",N173="No"),"",IF(N173="Monthly",EDATE(B173,1),IF(N173="Quarterly",EDATE(B173,3),IF(N173="Annually",EDATE(B173,12),B173+IF(N173="Weekly",7,IF(N173="Fortnightly",14,0))))))</f>
        <v>0</v>
      </c>
      <c r="T173" s="28">
        <f>IF(B173="","",TEXT(B173,"yyyy-mm"))</f>
        <v>0</v>
      </c>
      <c r="U173" s="49">
        <f>IF(B173="","",IF(P173="Pending","Awaiting approval",IF(M173="","Missing receipt",IF(AND(O173&lt;&gt;"",O173&lt;=TODAY()),"Recurring cost due","OK"))))</f>
        <v>0</v>
      </c>
    </row>
    <row r="174" spans="1:21">
      <c r="A174" s="46">
        <f>IF(B174="","","EX-"&amp;TEXT(ROW()-4,"0000"))</f>
        <v>0</v>
      </c>
      <c r="G174" s="29">
        <f>IF(F174="","",IF(TaxRegistered&lt;&gt;"Yes",0,ROUND(F174-F174/(1+TaxRate),2)))</f>
        <v>0</v>
      </c>
      <c r="H174" s="29">
        <f>IF(F174="","",ROUND(F174-G174,2))</f>
        <v>0</v>
      </c>
      <c r="L174" s="29">
        <f>IF(F174="","",IF(J174="Personal",0,ROUND(H174*IF(K174="",1,K174),2)))</f>
        <v>0</v>
      </c>
      <c r="O174" s="21">
        <f>IF(OR(B174="",N174="",N174="No"),"",IF(N174="Monthly",EDATE(B174,1),IF(N174="Quarterly",EDATE(B174,3),IF(N174="Annually",EDATE(B174,12),B174+IF(N174="Weekly",7,IF(N174="Fortnightly",14,0))))))</f>
        <v>0</v>
      </c>
      <c r="T174" s="28">
        <f>IF(B174="","",TEXT(B174,"yyyy-mm"))</f>
        <v>0</v>
      </c>
      <c r="U174" s="49">
        <f>IF(B174="","",IF(P174="Pending","Awaiting approval",IF(M174="","Missing receipt",IF(AND(O174&lt;&gt;"",O174&lt;=TODAY()),"Recurring cost due","OK"))))</f>
        <v>0</v>
      </c>
    </row>
    <row r="175" spans="1:21">
      <c r="A175" s="46">
        <f>IF(B175="","","EX-"&amp;TEXT(ROW()-4,"0000"))</f>
        <v>0</v>
      </c>
      <c r="G175" s="29">
        <f>IF(F175="","",IF(TaxRegistered&lt;&gt;"Yes",0,ROUND(F175-F175/(1+TaxRate),2)))</f>
        <v>0</v>
      </c>
      <c r="H175" s="29">
        <f>IF(F175="","",ROUND(F175-G175,2))</f>
        <v>0</v>
      </c>
      <c r="L175" s="29">
        <f>IF(F175="","",IF(J175="Personal",0,ROUND(H175*IF(K175="",1,K175),2)))</f>
        <v>0</v>
      </c>
      <c r="O175" s="21">
        <f>IF(OR(B175="",N175="",N175="No"),"",IF(N175="Monthly",EDATE(B175,1),IF(N175="Quarterly",EDATE(B175,3),IF(N175="Annually",EDATE(B175,12),B175+IF(N175="Weekly",7,IF(N175="Fortnightly",14,0))))))</f>
        <v>0</v>
      </c>
      <c r="T175" s="28">
        <f>IF(B175="","",TEXT(B175,"yyyy-mm"))</f>
        <v>0</v>
      </c>
      <c r="U175" s="49">
        <f>IF(B175="","",IF(P175="Pending","Awaiting approval",IF(M175="","Missing receipt",IF(AND(O175&lt;&gt;"",O175&lt;=TODAY()),"Recurring cost due","OK"))))</f>
        <v>0</v>
      </c>
    </row>
    <row r="176" spans="1:21">
      <c r="A176" s="46">
        <f>IF(B176="","","EX-"&amp;TEXT(ROW()-4,"0000"))</f>
        <v>0</v>
      </c>
      <c r="G176" s="29">
        <f>IF(F176="","",IF(TaxRegistered&lt;&gt;"Yes",0,ROUND(F176-F176/(1+TaxRate),2)))</f>
        <v>0</v>
      </c>
      <c r="H176" s="29">
        <f>IF(F176="","",ROUND(F176-G176,2))</f>
        <v>0</v>
      </c>
      <c r="L176" s="29">
        <f>IF(F176="","",IF(J176="Personal",0,ROUND(H176*IF(K176="",1,K176),2)))</f>
        <v>0</v>
      </c>
      <c r="O176" s="21">
        <f>IF(OR(B176="",N176="",N176="No"),"",IF(N176="Monthly",EDATE(B176,1),IF(N176="Quarterly",EDATE(B176,3),IF(N176="Annually",EDATE(B176,12),B176+IF(N176="Weekly",7,IF(N176="Fortnightly",14,0))))))</f>
        <v>0</v>
      </c>
      <c r="T176" s="28">
        <f>IF(B176="","",TEXT(B176,"yyyy-mm"))</f>
        <v>0</v>
      </c>
      <c r="U176" s="49">
        <f>IF(B176="","",IF(P176="Pending","Awaiting approval",IF(M176="","Missing receipt",IF(AND(O176&lt;&gt;"",O176&lt;=TODAY()),"Recurring cost due","OK"))))</f>
        <v>0</v>
      </c>
    </row>
    <row r="177" spans="1:21">
      <c r="A177" s="46">
        <f>IF(B177="","","EX-"&amp;TEXT(ROW()-4,"0000"))</f>
        <v>0</v>
      </c>
      <c r="G177" s="29">
        <f>IF(F177="","",IF(TaxRegistered&lt;&gt;"Yes",0,ROUND(F177-F177/(1+TaxRate),2)))</f>
        <v>0</v>
      </c>
      <c r="H177" s="29">
        <f>IF(F177="","",ROUND(F177-G177,2))</f>
        <v>0</v>
      </c>
      <c r="L177" s="29">
        <f>IF(F177="","",IF(J177="Personal",0,ROUND(H177*IF(K177="",1,K177),2)))</f>
        <v>0</v>
      </c>
      <c r="O177" s="21">
        <f>IF(OR(B177="",N177="",N177="No"),"",IF(N177="Monthly",EDATE(B177,1),IF(N177="Quarterly",EDATE(B177,3),IF(N177="Annually",EDATE(B177,12),B177+IF(N177="Weekly",7,IF(N177="Fortnightly",14,0))))))</f>
        <v>0</v>
      </c>
      <c r="T177" s="28">
        <f>IF(B177="","",TEXT(B177,"yyyy-mm"))</f>
        <v>0</v>
      </c>
      <c r="U177" s="49">
        <f>IF(B177="","",IF(P177="Pending","Awaiting approval",IF(M177="","Missing receipt",IF(AND(O177&lt;&gt;"",O177&lt;=TODAY()),"Recurring cost due","OK"))))</f>
        <v>0</v>
      </c>
    </row>
    <row r="178" spans="1:21">
      <c r="A178" s="46">
        <f>IF(B178="","","EX-"&amp;TEXT(ROW()-4,"0000"))</f>
        <v>0</v>
      </c>
      <c r="G178" s="29">
        <f>IF(F178="","",IF(TaxRegistered&lt;&gt;"Yes",0,ROUND(F178-F178/(1+TaxRate),2)))</f>
        <v>0</v>
      </c>
      <c r="H178" s="29">
        <f>IF(F178="","",ROUND(F178-G178,2))</f>
        <v>0</v>
      </c>
      <c r="L178" s="29">
        <f>IF(F178="","",IF(J178="Personal",0,ROUND(H178*IF(K178="",1,K178),2)))</f>
        <v>0</v>
      </c>
      <c r="O178" s="21">
        <f>IF(OR(B178="",N178="",N178="No"),"",IF(N178="Monthly",EDATE(B178,1),IF(N178="Quarterly",EDATE(B178,3),IF(N178="Annually",EDATE(B178,12),B178+IF(N178="Weekly",7,IF(N178="Fortnightly",14,0))))))</f>
        <v>0</v>
      </c>
      <c r="T178" s="28">
        <f>IF(B178="","",TEXT(B178,"yyyy-mm"))</f>
        <v>0</v>
      </c>
      <c r="U178" s="49">
        <f>IF(B178="","",IF(P178="Pending","Awaiting approval",IF(M178="","Missing receipt",IF(AND(O178&lt;&gt;"",O178&lt;=TODAY()),"Recurring cost due","OK"))))</f>
        <v>0</v>
      </c>
    </row>
    <row r="179" spans="1:21">
      <c r="A179" s="46">
        <f>IF(B179="","","EX-"&amp;TEXT(ROW()-4,"0000"))</f>
        <v>0</v>
      </c>
      <c r="G179" s="29">
        <f>IF(F179="","",IF(TaxRegistered&lt;&gt;"Yes",0,ROUND(F179-F179/(1+TaxRate),2)))</f>
        <v>0</v>
      </c>
      <c r="H179" s="29">
        <f>IF(F179="","",ROUND(F179-G179,2))</f>
        <v>0</v>
      </c>
      <c r="L179" s="29">
        <f>IF(F179="","",IF(J179="Personal",0,ROUND(H179*IF(K179="",1,K179),2)))</f>
        <v>0</v>
      </c>
      <c r="O179" s="21">
        <f>IF(OR(B179="",N179="",N179="No"),"",IF(N179="Monthly",EDATE(B179,1),IF(N179="Quarterly",EDATE(B179,3),IF(N179="Annually",EDATE(B179,12),B179+IF(N179="Weekly",7,IF(N179="Fortnightly",14,0))))))</f>
        <v>0</v>
      </c>
      <c r="T179" s="28">
        <f>IF(B179="","",TEXT(B179,"yyyy-mm"))</f>
        <v>0</v>
      </c>
      <c r="U179" s="49">
        <f>IF(B179="","",IF(P179="Pending","Awaiting approval",IF(M179="","Missing receipt",IF(AND(O179&lt;&gt;"",O179&lt;=TODAY()),"Recurring cost due","OK"))))</f>
        <v>0</v>
      </c>
    </row>
    <row r="180" spans="1:21">
      <c r="A180" s="46">
        <f>IF(B180="","","EX-"&amp;TEXT(ROW()-4,"0000"))</f>
        <v>0</v>
      </c>
      <c r="G180" s="29">
        <f>IF(F180="","",IF(TaxRegistered&lt;&gt;"Yes",0,ROUND(F180-F180/(1+TaxRate),2)))</f>
        <v>0</v>
      </c>
      <c r="H180" s="29">
        <f>IF(F180="","",ROUND(F180-G180,2))</f>
        <v>0</v>
      </c>
      <c r="L180" s="29">
        <f>IF(F180="","",IF(J180="Personal",0,ROUND(H180*IF(K180="",1,K180),2)))</f>
        <v>0</v>
      </c>
      <c r="O180" s="21">
        <f>IF(OR(B180="",N180="",N180="No"),"",IF(N180="Monthly",EDATE(B180,1),IF(N180="Quarterly",EDATE(B180,3),IF(N180="Annually",EDATE(B180,12),B180+IF(N180="Weekly",7,IF(N180="Fortnightly",14,0))))))</f>
        <v>0</v>
      </c>
      <c r="T180" s="28">
        <f>IF(B180="","",TEXT(B180,"yyyy-mm"))</f>
        <v>0</v>
      </c>
      <c r="U180" s="49">
        <f>IF(B180="","",IF(P180="Pending","Awaiting approval",IF(M180="","Missing receipt",IF(AND(O180&lt;&gt;"",O180&lt;=TODAY()),"Recurring cost due","OK"))))</f>
        <v>0</v>
      </c>
    </row>
    <row r="181" spans="1:21">
      <c r="A181" s="46">
        <f>IF(B181="","","EX-"&amp;TEXT(ROW()-4,"0000"))</f>
        <v>0</v>
      </c>
      <c r="G181" s="29">
        <f>IF(F181="","",IF(TaxRegistered&lt;&gt;"Yes",0,ROUND(F181-F181/(1+TaxRate),2)))</f>
        <v>0</v>
      </c>
      <c r="H181" s="29">
        <f>IF(F181="","",ROUND(F181-G181,2))</f>
        <v>0</v>
      </c>
      <c r="L181" s="29">
        <f>IF(F181="","",IF(J181="Personal",0,ROUND(H181*IF(K181="",1,K181),2)))</f>
        <v>0</v>
      </c>
      <c r="O181" s="21">
        <f>IF(OR(B181="",N181="",N181="No"),"",IF(N181="Monthly",EDATE(B181,1),IF(N181="Quarterly",EDATE(B181,3),IF(N181="Annually",EDATE(B181,12),B181+IF(N181="Weekly",7,IF(N181="Fortnightly",14,0))))))</f>
        <v>0</v>
      </c>
      <c r="T181" s="28">
        <f>IF(B181="","",TEXT(B181,"yyyy-mm"))</f>
        <v>0</v>
      </c>
      <c r="U181" s="49">
        <f>IF(B181="","",IF(P181="Pending","Awaiting approval",IF(M181="","Missing receipt",IF(AND(O181&lt;&gt;"",O181&lt;=TODAY()),"Recurring cost due","OK"))))</f>
        <v>0</v>
      </c>
    </row>
    <row r="182" spans="1:21">
      <c r="A182" s="46">
        <f>IF(B182="","","EX-"&amp;TEXT(ROW()-4,"0000"))</f>
        <v>0</v>
      </c>
      <c r="G182" s="29">
        <f>IF(F182="","",IF(TaxRegistered&lt;&gt;"Yes",0,ROUND(F182-F182/(1+TaxRate),2)))</f>
        <v>0</v>
      </c>
      <c r="H182" s="29">
        <f>IF(F182="","",ROUND(F182-G182,2))</f>
        <v>0</v>
      </c>
      <c r="L182" s="29">
        <f>IF(F182="","",IF(J182="Personal",0,ROUND(H182*IF(K182="",1,K182),2)))</f>
        <v>0</v>
      </c>
      <c r="O182" s="21">
        <f>IF(OR(B182="",N182="",N182="No"),"",IF(N182="Monthly",EDATE(B182,1),IF(N182="Quarterly",EDATE(B182,3),IF(N182="Annually",EDATE(B182,12),B182+IF(N182="Weekly",7,IF(N182="Fortnightly",14,0))))))</f>
        <v>0</v>
      </c>
      <c r="T182" s="28">
        <f>IF(B182="","",TEXT(B182,"yyyy-mm"))</f>
        <v>0</v>
      </c>
      <c r="U182" s="49">
        <f>IF(B182="","",IF(P182="Pending","Awaiting approval",IF(M182="","Missing receipt",IF(AND(O182&lt;&gt;"",O182&lt;=TODAY()),"Recurring cost due","OK"))))</f>
        <v>0</v>
      </c>
    </row>
    <row r="183" spans="1:21">
      <c r="A183" s="46">
        <f>IF(B183="","","EX-"&amp;TEXT(ROW()-4,"0000"))</f>
        <v>0</v>
      </c>
      <c r="G183" s="29">
        <f>IF(F183="","",IF(TaxRegistered&lt;&gt;"Yes",0,ROUND(F183-F183/(1+TaxRate),2)))</f>
        <v>0</v>
      </c>
      <c r="H183" s="29">
        <f>IF(F183="","",ROUND(F183-G183,2))</f>
        <v>0</v>
      </c>
      <c r="L183" s="29">
        <f>IF(F183="","",IF(J183="Personal",0,ROUND(H183*IF(K183="",1,K183),2)))</f>
        <v>0</v>
      </c>
      <c r="O183" s="21">
        <f>IF(OR(B183="",N183="",N183="No"),"",IF(N183="Monthly",EDATE(B183,1),IF(N183="Quarterly",EDATE(B183,3),IF(N183="Annually",EDATE(B183,12),B183+IF(N183="Weekly",7,IF(N183="Fortnightly",14,0))))))</f>
        <v>0</v>
      </c>
      <c r="T183" s="28">
        <f>IF(B183="","",TEXT(B183,"yyyy-mm"))</f>
        <v>0</v>
      </c>
      <c r="U183" s="49">
        <f>IF(B183="","",IF(P183="Pending","Awaiting approval",IF(M183="","Missing receipt",IF(AND(O183&lt;&gt;"",O183&lt;=TODAY()),"Recurring cost due","OK"))))</f>
        <v>0</v>
      </c>
    </row>
    <row r="184" spans="1:21">
      <c r="A184" s="46">
        <f>IF(B184="","","EX-"&amp;TEXT(ROW()-4,"0000"))</f>
        <v>0</v>
      </c>
      <c r="G184" s="29">
        <f>IF(F184="","",IF(TaxRegistered&lt;&gt;"Yes",0,ROUND(F184-F184/(1+TaxRate),2)))</f>
        <v>0</v>
      </c>
      <c r="H184" s="29">
        <f>IF(F184="","",ROUND(F184-G184,2))</f>
        <v>0</v>
      </c>
      <c r="L184" s="29">
        <f>IF(F184="","",IF(J184="Personal",0,ROUND(H184*IF(K184="",1,K184),2)))</f>
        <v>0</v>
      </c>
      <c r="O184" s="21">
        <f>IF(OR(B184="",N184="",N184="No"),"",IF(N184="Monthly",EDATE(B184,1),IF(N184="Quarterly",EDATE(B184,3),IF(N184="Annually",EDATE(B184,12),B184+IF(N184="Weekly",7,IF(N184="Fortnightly",14,0))))))</f>
        <v>0</v>
      </c>
      <c r="T184" s="28">
        <f>IF(B184="","",TEXT(B184,"yyyy-mm"))</f>
        <v>0</v>
      </c>
      <c r="U184" s="49">
        <f>IF(B184="","",IF(P184="Pending","Awaiting approval",IF(M184="","Missing receipt",IF(AND(O184&lt;&gt;"",O184&lt;=TODAY()),"Recurring cost due","OK"))))</f>
        <v>0</v>
      </c>
    </row>
    <row r="185" spans="1:21">
      <c r="A185" s="46">
        <f>IF(B185="","","EX-"&amp;TEXT(ROW()-4,"0000"))</f>
        <v>0</v>
      </c>
      <c r="G185" s="29">
        <f>IF(F185="","",IF(TaxRegistered&lt;&gt;"Yes",0,ROUND(F185-F185/(1+TaxRate),2)))</f>
        <v>0</v>
      </c>
      <c r="H185" s="29">
        <f>IF(F185="","",ROUND(F185-G185,2))</f>
        <v>0</v>
      </c>
      <c r="L185" s="29">
        <f>IF(F185="","",IF(J185="Personal",0,ROUND(H185*IF(K185="",1,K185),2)))</f>
        <v>0</v>
      </c>
      <c r="O185" s="21">
        <f>IF(OR(B185="",N185="",N185="No"),"",IF(N185="Monthly",EDATE(B185,1),IF(N185="Quarterly",EDATE(B185,3),IF(N185="Annually",EDATE(B185,12),B185+IF(N185="Weekly",7,IF(N185="Fortnightly",14,0))))))</f>
        <v>0</v>
      </c>
      <c r="T185" s="28">
        <f>IF(B185="","",TEXT(B185,"yyyy-mm"))</f>
        <v>0</v>
      </c>
      <c r="U185" s="49">
        <f>IF(B185="","",IF(P185="Pending","Awaiting approval",IF(M185="","Missing receipt",IF(AND(O185&lt;&gt;"",O185&lt;=TODAY()),"Recurring cost due","OK"))))</f>
        <v>0</v>
      </c>
    </row>
    <row r="186" spans="1:21">
      <c r="A186" s="46">
        <f>IF(B186="","","EX-"&amp;TEXT(ROW()-4,"0000"))</f>
        <v>0</v>
      </c>
      <c r="G186" s="29">
        <f>IF(F186="","",IF(TaxRegistered&lt;&gt;"Yes",0,ROUND(F186-F186/(1+TaxRate),2)))</f>
        <v>0</v>
      </c>
      <c r="H186" s="29">
        <f>IF(F186="","",ROUND(F186-G186,2))</f>
        <v>0</v>
      </c>
      <c r="L186" s="29">
        <f>IF(F186="","",IF(J186="Personal",0,ROUND(H186*IF(K186="",1,K186),2)))</f>
        <v>0</v>
      </c>
      <c r="O186" s="21">
        <f>IF(OR(B186="",N186="",N186="No"),"",IF(N186="Monthly",EDATE(B186,1),IF(N186="Quarterly",EDATE(B186,3),IF(N186="Annually",EDATE(B186,12),B186+IF(N186="Weekly",7,IF(N186="Fortnightly",14,0))))))</f>
        <v>0</v>
      </c>
      <c r="T186" s="28">
        <f>IF(B186="","",TEXT(B186,"yyyy-mm"))</f>
        <v>0</v>
      </c>
      <c r="U186" s="49">
        <f>IF(B186="","",IF(P186="Pending","Awaiting approval",IF(M186="","Missing receipt",IF(AND(O186&lt;&gt;"",O186&lt;=TODAY()),"Recurring cost due","OK"))))</f>
        <v>0</v>
      </c>
    </row>
    <row r="187" spans="1:21">
      <c r="A187" s="46">
        <f>IF(B187="","","EX-"&amp;TEXT(ROW()-4,"0000"))</f>
        <v>0</v>
      </c>
      <c r="G187" s="29">
        <f>IF(F187="","",IF(TaxRegistered&lt;&gt;"Yes",0,ROUND(F187-F187/(1+TaxRate),2)))</f>
        <v>0</v>
      </c>
      <c r="H187" s="29">
        <f>IF(F187="","",ROUND(F187-G187,2))</f>
        <v>0</v>
      </c>
      <c r="L187" s="29">
        <f>IF(F187="","",IF(J187="Personal",0,ROUND(H187*IF(K187="",1,K187),2)))</f>
        <v>0</v>
      </c>
      <c r="O187" s="21">
        <f>IF(OR(B187="",N187="",N187="No"),"",IF(N187="Monthly",EDATE(B187,1),IF(N187="Quarterly",EDATE(B187,3),IF(N187="Annually",EDATE(B187,12),B187+IF(N187="Weekly",7,IF(N187="Fortnightly",14,0))))))</f>
        <v>0</v>
      </c>
      <c r="T187" s="28">
        <f>IF(B187="","",TEXT(B187,"yyyy-mm"))</f>
        <v>0</v>
      </c>
      <c r="U187" s="49">
        <f>IF(B187="","",IF(P187="Pending","Awaiting approval",IF(M187="","Missing receipt",IF(AND(O187&lt;&gt;"",O187&lt;=TODAY()),"Recurring cost due","OK"))))</f>
        <v>0</v>
      </c>
    </row>
    <row r="188" spans="1:21">
      <c r="A188" s="46">
        <f>IF(B188="","","EX-"&amp;TEXT(ROW()-4,"0000"))</f>
        <v>0</v>
      </c>
      <c r="G188" s="29">
        <f>IF(F188="","",IF(TaxRegistered&lt;&gt;"Yes",0,ROUND(F188-F188/(1+TaxRate),2)))</f>
        <v>0</v>
      </c>
      <c r="H188" s="29">
        <f>IF(F188="","",ROUND(F188-G188,2))</f>
        <v>0</v>
      </c>
      <c r="L188" s="29">
        <f>IF(F188="","",IF(J188="Personal",0,ROUND(H188*IF(K188="",1,K188),2)))</f>
        <v>0</v>
      </c>
      <c r="O188" s="21">
        <f>IF(OR(B188="",N188="",N188="No"),"",IF(N188="Monthly",EDATE(B188,1),IF(N188="Quarterly",EDATE(B188,3),IF(N188="Annually",EDATE(B188,12),B188+IF(N188="Weekly",7,IF(N188="Fortnightly",14,0))))))</f>
        <v>0</v>
      </c>
      <c r="T188" s="28">
        <f>IF(B188="","",TEXT(B188,"yyyy-mm"))</f>
        <v>0</v>
      </c>
      <c r="U188" s="49">
        <f>IF(B188="","",IF(P188="Pending","Awaiting approval",IF(M188="","Missing receipt",IF(AND(O188&lt;&gt;"",O188&lt;=TODAY()),"Recurring cost due","OK"))))</f>
        <v>0</v>
      </c>
    </row>
    <row r="189" spans="1:21">
      <c r="A189" s="46">
        <f>IF(B189="","","EX-"&amp;TEXT(ROW()-4,"0000"))</f>
        <v>0</v>
      </c>
      <c r="G189" s="29">
        <f>IF(F189="","",IF(TaxRegistered&lt;&gt;"Yes",0,ROUND(F189-F189/(1+TaxRate),2)))</f>
        <v>0</v>
      </c>
      <c r="H189" s="29">
        <f>IF(F189="","",ROUND(F189-G189,2))</f>
        <v>0</v>
      </c>
      <c r="L189" s="29">
        <f>IF(F189="","",IF(J189="Personal",0,ROUND(H189*IF(K189="",1,K189),2)))</f>
        <v>0</v>
      </c>
      <c r="O189" s="21">
        <f>IF(OR(B189="",N189="",N189="No"),"",IF(N189="Monthly",EDATE(B189,1),IF(N189="Quarterly",EDATE(B189,3),IF(N189="Annually",EDATE(B189,12),B189+IF(N189="Weekly",7,IF(N189="Fortnightly",14,0))))))</f>
        <v>0</v>
      </c>
      <c r="T189" s="28">
        <f>IF(B189="","",TEXT(B189,"yyyy-mm"))</f>
        <v>0</v>
      </c>
      <c r="U189" s="49">
        <f>IF(B189="","",IF(P189="Pending","Awaiting approval",IF(M189="","Missing receipt",IF(AND(O189&lt;&gt;"",O189&lt;=TODAY()),"Recurring cost due","OK"))))</f>
        <v>0</v>
      </c>
    </row>
    <row r="190" spans="1:21">
      <c r="A190" s="46">
        <f>IF(B190="","","EX-"&amp;TEXT(ROW()-4,"0000"))</f>
        <v>0</v>
      </c>
      <c r="G190" s="29">
        <f>IF(F190="","",IF(TaxRegistered&lt;&gt;"Yes",0,ROUND(F190-F190/(1+TaxRate),2)))</f>
        <v>0</v>
      </c>
      <c r="H190" s="29">
        <f>IF(F190="","",ROUND(F190-G190,2))</f>
        <v>0</v>
      </c>
      <c r="L190" s="29">
        <f>IF(F190="","",IF(J190="Personal",0,ROUND(H190*IF(K190="",1,K190),2)))</f>
        <v>0</v>
      </c>
      <c r="O190" s="21">
        <f>IF(OR(B190="",N190="",N190="No"),"",IF(N190="Monthly",EDATE(B190,1),IF(N190="Quarterly",EDATE(B190,3),IF(N190="Annually",EDATE(B190,12),B190+IF(N190="Weekly",7,IF(N190="Fortnightly",14,0))))))</f>
        <v>0</v>
      </c>
      <c r="T190" s="28">
        <f>IF(B190="","",TEXT(B190,"yyyy-mm"))</f>
        <v>0</v>
      </c>
      <c r="U190" s="49">
        <f>IF(B190="","",IF(P190="Pending","Awaiting approval",IF(M190="","Missing receipt",IF(AND(O190&lt;&gt;"",O190&lt;=TODAY()),"Recurring cost due","OK"))))</f>
        <v>0</v>
      </c>
    </row>
    <row r="191" spans="1:21">
      <c r="A191" s="46">
        <f>IF(B191="","","EX-"&amp;TEXT(ROW()-4,"0000"))</f>
        <v>0</v>
      </c>
      <c r="G191" s="29">
        <f>IF(F191="","",IF(TaxRegistered&lt;&gt;"Yes",0,ROUND(F191-F191/(1+TaxRate),2)))</f>
        <v>0</v>
      </c>
      <c r="H191" s="29">
        <f>IF(F191="","",ROUND(F191-G191,2))</f>
        <v>0</v>
      </c>
      <c r="L191" s="29">
        <f>IF(F191="","",IF(J191="Personal",0,ROUND(H191*IF(K191="",1,K191),2)))</f>
        <v>0</v>
      </c>
      <c r="O191" s="21">
        <f>IF(OR(B191="",N191="",N191="No"),"",IF(N191="Monthly",EDATE(B191,1),IF(N191="Quarterly",EDATE(B191,3),IF(N191="Annually",EDATE(B191,12),B191+IF(N191="Weekly",7,IF(N191="Fortnightly",14,0))))))</f>
        <v>0</v>
      </c>
      <c r="T191" s="28">
        <f>IF(B191="","",TEXT(B191,"yyyy-mm"))</f>
        <v>0</v>
      </c>
      <c r="U191" s="49">
        <f>IF(B191="","",IF(P191="Pending","Awaiting approval",IF(M191="","Missing receipt",IF(AND(O191&lt;&gt;"",O191&lt;=TODAY()),"Recurring cost due","OK"))))</f>
        <v>0</v>
      </c>
    </row>
    <row r="192" spans="1:21">
      <c r="A192" s="46">
        <f>IF(B192="","","EX-"&amp;TEXT(ROW()-4,"0000"))</f>
        <v>0</v>
      </c>
      <c r="G192" s="29">
        <f>IF(F192="","",IF(TaxRegistered&lt;&gt;"Yes",0,ROUND(F192-F192/(1+TaxRate),2)))</f>
        <v>0</v>
      </c>
      <c r="H192" s="29">
        <f>IF(F192="","",ROUND(F192-G192,2))</f>
        <v>0</v>
      </c>
      <c r="L192" s="29">
        <f>IF(F192="","",IF(J192="Personal",0,ROUND(H192*IF(K192="",1,K192),2)))</f>
        <v>0</v>
      </c>
      <c r="O192" s="21">
        <f>IF(OR(B192="",N192="",N192="No"),"",IF(N192="Monthly",EDATE(B192,1),IF(N192="Quarterly",EDATE(B192,3),IF(N192="Annually",EDATE(B192,12),B192+IF(N192="Weekly",7,IF(N192="Fortnightly",14,0))))))</f>
        <v>0</v>
      </c>
      <c r="T192" s="28">
        <f>IF(B192="","",TEXT(B192,"yyyy-mm"))</f>
        <v>0</v>
      </c>
      <c r="U192" s="49">
        <f>IF(B192="","",IF(P192="Pending","Awaiting approval",IF(M192="","Missing receipt",IF(AND(O192&lt;&gt;"",O192&lt;=TODAY()),"Recurring cost due","OK"))))</f>
        <v>0</v>
      </c>
    </row>
    <row r="193" spans="1:21">
      <c r="A193" s="46">
        <f>IF(B193="","","EX-"&amp;TEXT(ROW()-4,"0000"))</f>
        <v>0</v>
      </c>
      <c r="G193" s="29">
        <f>IF(F193="","",IF(TaxRegistered&lt;&gt;"Yes",0,ROUND(F193-F193/(1+TaxRate),2)))</f>
        <v>0</v>
      </c>
      <c r="H193" s="29">
        <f>IF(F193="","",ROUND(F193-G193,2))</f>
        <v>0</v>
      </c>
      <c r="L193" s="29">
        <f>IF(F193="","",IF(J193="Personal",0,ROUND(H193*IF(K193="",1,K193),2)))</f>
        <v>0</v>
      </c>
      <c r="O193" s="21">
        <f>IF(OR(B193="",N193="",N193="No"),"",IF(N193="Monthly",EDATE(B193,1),IF(N193="Quarterly",EDATE(B193,3),IF(N193="Annually",EDATE(B193,12),B193+IF(N193="Weekly",7,IF(N193="Fortnightly",14,0))))))</f>
        <v>0</v>
      </c>
      <c r="T193" s="28">
        <f>IF(B193="","",TEXT(B193,"yyyy-mm"))</f>
        <v>0</v>
      </c>
      <c r="U193" s="49">
        <f>IF(B193="","",IF(P193="Pending","Awaiting approval",IF(M193="","Missing receipt",IF(AND(O193&lt;&gt;"",O193&lt;=TODAY()),"Recurring cost due","OK"))))</f>
        <v>0</v>
      </c>
    </row>
    <row r="194" spans="1:21">
      <c r="A194" s="46">
        <f>IF(B194="","","EX-"&amp;TEXT(ROW()-4,"0000"))</f>
        <v>0</v>
      </c>
      <c r="G194" s="29">
        <f>IF(F194="","",IF(TaxRegistered&lt;&gt;"Yes",0,ROUND(F194-F194/(1+TaxRate),2)))</f>
        <v>0</v>
      </c>
      <c r="H194" s="29">
        <f>IF(F194="","",ROUND(F194-G194,2))</f>
        <v>0</v>
      </c>
      <c r="L194" s="29">
        <f>IF(F194="","",IF(J194="Personal",0,ROUND(H194*IF(K194="",1,K194),2)))</f>
        <v>0</v>
      </c>
      <c r="O194" s="21">
        <f>IF(OR(B194="",N194="",N194="No"),"",IF(N194="Monthly",EDATE(B194,1),IF(N194="Quarterly",EDATE(B194,3),IF(N194="Annually",EDATE(B194,12),B194+IF(N194="Weekly",7,IF(N194="Fortnightly",14,0))))))</f>
        <v>0</v>
      </c>
      <c r="T194" s="28">
        <f>IF(B194="","",TEXT(B194,"yyyy-mm"))</f>
        <v>0</v>
      </c>
      <c r="U194" s="49">
        <f>IF(B194="","",IF(P194="Pending","Awaiting approval",IF(M194="","Missing receipt",IF(AND(O194&lt;&gt;"",O194&lt;=TODAY()),"Recurring cost due","OK"))))</f>
        <v>0</v>
      </c>
    </row>
    <row r="195" spans="1:21">
      <c r="A195" s="46">
        <f>IF(B195="","","EX-"&amp;TEXT(ROW()-4,"0000"))</f>
        <v>0</v>
      </c>
      <c r="G195" s="29">
        <f>IF(F195="","",IF(TaxRegistered&lt;&gt;"Yes",0,ROUND(F195-F195/(1+TaxRate),2)))</f>
        <v>0</v>
      </c>
      <c r="H195" s="29">
        <f>IF(F195="","",ROUND(F195-G195,2))</f>
        <v>0</v>
      </c>
      <c r="L195" s="29">
        <f>IF(F195="","",IF(J195="Personal",0,ROUND(H195*IF(K195="",1,K195),2)))</f>
        <v>0</v>
      </c>
      <c r="O195" s="21">
        <f>IF(OR(B195="",N195="",N195="No"),"",IF(N195="Monthly",EDATE(B195,1),IF(N195="Quarterly",EDATE(B195,3),IF(N195="Annually",EDATE(B195,12),B195+IF(N195="Weekly",7,IF(N195="Fortnightly",14,0))))))</f>
        <v>0</v>
      </c>
      <c r="T195" s="28">
        <f>IF(B195="","",TEXT(B195,"yyyy-mm"))</f>
        <v>0</v>
      </c>
      <c r="U195" s="49">
        <f>IF(B195="","",IF(P195="Pending","Awaiting approval",IF(M195="","Missing receipt",IF(AND(O195&lt;&gt;"",O195&lt;=TODAY()),"Recurring cost due","OK"))))</f>
        <v>0</v>
      </c>
    </row>
    <row r="196" spans="1:21">
      <c r="A196" s="46">
        <f>IF(B196="","","EX-"&amp;TEXT(ROW()-4,"0000"))</f>
        <v>0</v>
      </c>
      <c r="G196" s="29">
        <f>IF(F196="","",IF(TaxRegistered&lt;&gt;"Yes",0,ROUND(F196-F196/(1+TaxRate),2)))</f>
        <v>0</v>
      </c>
      <c r="H196" s="29">
        <f>IF(F196="","",ROUND(F196-G196,2))</f>
        <v>0</v>
      </c>
      <c r="L196" s="29">
        <f>IF(F196="","",IF(J196="Personal",0,ROUND(H196*IF(K196="",1,K196),2)))</f>
        <v>0</v>
      </c>
      <c r="O196" s="21">
        <f>IF(OR(B196="",N196="",N196="No"),"",IF(N196="Monthly",EDATE(B196,1),IF(N196="Quarterly",EDATE(B196,3),IF(N196="Annually",EDATE(B196,12),B196+IF(N196="Weekly",7,IF(N196="Fortnightly",14,0))))))</f>
        <v>0</v>
      </c>
      <c r="T196" s="28">
        <f>IF(B196="","",TEXT(B196,"yyyy-mm"))</f>
        <v>0</v>
      </c>
      <c r="U196" s="49">
        <f>IF(B196="","",IF(P196="Pending","Awaiting approval",IF(M196="","Missing receipt",IF(AND(O196&lt;&gt;"",O196&lt;=TODAY()),"Recurring cost due","OK"))))</f>
        <v>0</v>
      </c>
    </row>
    <row r="197" spans="1:21">
      <c r="A197" s="46">
        <f>IF(B197="","","EX-"&amp;TEXT(ROW()-4,"0000"))</f>
        <v>0</v>
      </c>
      <c r="G197" s="29">
        <f>IF(F197="","",IF(TaxRegistered&lt;&gt;"Yes",0,ROUND(F197-F197/(1+TaxRate),2)))</f>
        <v>0</v>
      </c>
      <c r="H197" s="29">
        <f>IF(F197="","",ROUND(F197-G197,2))</f>
        <v>0</v>
      </c>
      <c r="L197" s="29">
        <f>IF(F197="","",IF(J197="Personal",0,ROUND(H197*IF(K197="",1,K197),2)))</f>
        <v>0</v>
      </c>
      <c r="O197" s="21">
        <f>IF(OR(B197="",N197="",N197="No"),"",IF(N197="Monthly",EDATE(B197,1),IF(N197="Quarterly",EDATE(B197,3),IF(N197="Annually",EDATE(B197,12),B197+IF(N197="Weekly",7,IF(N197="Fortnightly",14,0))))))</f>
        <v>0</v>
      </c>
      <c r="T197" s="28">
        <f>IF(B197="","",TEXT(B197,"yyyy-mm"))</f>
        <v>0</v>
      </c>
      <c r="U197" s="49">
        <f>IF(B197="","",IF(P197="Pending","Awaiting approval",IF(M197="","Missing receipt",IF(AND(O197&lt;&gt;"",O197&lt;=TODAY()),"Recurring cost due","OK"))))</f>
        <v>0</v>
      </c>
    </row>
    <row r="198" spans="1:21">
      <c r="A198" s="46">
        <f>IF(B198="","","EX-"&amp;TEXT(ROW()-4,"0000"))</f>
        <v>0</v>
      </c>
      <c r="G198" s="29">
        <f>IF(F198="","",IF(TaxRegistered&lt;&gt;"Yes",0,ROUND(F198-F198/(1+TaxRate),2)))</f>
        <v>0</v>
      </c>
      <c r="H198" s="29">
        <f>IF(F198="","",ROUND(F198-G198,2))</f>
        <v>0</v>
      </c>
      <c r="L198" s="29">
        <f>IF(F198="","",IF(J198="Personal",0,ROUND(H198*IF(K198="",1,K198),2)))</f>
        <v>0</v>
      </c>
      <c r="O198" s="21">
        <f>IF(OR(B198="",N198="",N198="No"),"",IF(N198="Monthly",EDATE(B198,1),IF(N198="Quarterly",EDATE(B198,3),IF(N198="Annually",EDATE(B198,12),B198+IF(N198="Weekly",7,IF(N198="Fortnightly",14,0))))))</f>
        <v>0</v>
      </c>
      <c r="T198" s="28">
        <f>IF(B198="","",TEXT(B198,"yyyy-mm"))</f>
        <v>0</v>
      </c>
      <c r="U198" s="49">
        <f>IF(B198="","",IF(P198="Pending","Awaiting approval",IF(M198="","Missing receipt",IF(AND(O198&lt;&gt;"",O198&lt;=TODAY()),"Recurring cost due","OK"))))</f>
        <v>0</v>
      </c>
    </row>
    <row r="199" spans="1:21">
      <c r="A199" s="46">
        <f>IF(B199="","","EX-"&amp;TEXT(ROW()-4,"0000"))</f>
        <v>0</v>
      </c>
      <c r="G199" s="29">
        <f>IF(F199="","",IF(TaxRegistered&lt;&gt;"Yes",0,ROUND(F199-F199/(1+TaxRate),2)))</f>
        <v>0</v>
      </c>
      <c r="H199" s="29">
        <f>IF(F199="","",ROUND(F199-G199,2))</f>
        <v>0</v>
      </c>
      <c r="L199" s="29">
        <f>IF(F199="","",IF(J199="Personal",0,ROUND(H199*IF(K199="",1,K199),2)))</f>
        <v>0</v>
      </c>
      <c r="O199" s="21">
        <f>IF(OR(B199="",N199="",N199="No"),"",IF(N199="Monthly",EDATE(B199,1),IF(N199="Quarterly",EDATE(B199,3),IF(N199="Annually",EDATE(B199,12),B199+IF(N199="Weekly",7,IF(N199="Fortnightly",14,0))))))</f>
        <v>0</v>
      </c>
      <c r="T199" s="28">
        <f>IF(B199="","",TEXT(B199,"yyyy-mm"))</f>
        <v>0</v>
      </c>
      <c r="U199" s="49">
        <f>IF(B199="","",IF(P199="Pending","Awaiting approval",IF(M199="","Missing receipt",IF(AND(O199&lt;&gt;"",O199&lt;=TODAY()),"Recurring cost due","OK"))))</f>
        <v>0</v>
      </c>
    </row>
    <row r="200" spans="1:21">
      <c r="A200" s="46">
        <f>IF(B200="","","EX-"&amp;TEXT(ROW()-4,"0000"))</f>
        <v>0</v>
      </c>
      <c r="G200" s="29">
        <f>IF(F200="","",IF(TaxRegistered&lt;&gt;"Yes",0,ROUND(F200-F200/(1+TaxRate),2)))</f>
        <v>0</v>
      </c>
      <c r="H200" s="29">
        <f>IF(F200="","",ROUND(F200-G200,2))</f>
        <v>0</v>
      </c>
      <c r="L200" s="29">
        <f>IF(F200="","",IF(J200="Personal",0,ROUND(H200*IF(K200="",1,K200),2)))</f>
        <v>0</v>
      </c>
      <c r="O200" s="21">
        <f>IF(OR(B200="",N200="",N200="No"),"",IF(N200="Monthly",EDATE(B200,1),IF(N200="Quarterly",EDATE(B200,3),IF(N200="Annually",EDATE(B200,12),B200+IF(N200="Weekly",7,IF(N200="Fortnightly",14,0))))))</f>
        <v>0</v>
      </c>
      <c r="T200" s="28">
        <f>IF(B200="","",TEXT(B200,"yyyy-mm"))</f>
        <v>0</v>
      </c>
      <c r="U200" s="49">
        <f>IF(B200="","",IF(P200="Pending","Awaiting approval",IF(M200="","Missing receipt",IF(AND(O200&lt;&gt;"",O200&lt;=TODAY()),"Recurring cost due","OK"))))</f>
        <v>0</v>
      </c>
    </row>
    <row r="201" spans="1:21">
      <c r="A201" s="46">
        <f>IF(B201="","","EX-"&amp;TEXT(ROW()-4,"0000"))</f>
        <v>0</v>
      </c>
      <c r="G201" s="29">
        <f>IF(F201="","",IF(TaxRegistered&lt;&gt;"Yes",0,ROUND(F201-F201/(1+TaxRate),2)))</f>
        <v>0</v>
      </c>
      <c r="H201" s="29">
        <f>IF(F201="","",ROUND(F201-G201,2))</f>
        <v>0</v>
      </c>
      <c r="L201" s="29">
        <f>IF(F201="","",IF(J201="Personal",0,ROUND(H201*IF(K201="",1,K201),2)))</f>
        <v>0</v>
      </c>
      <c r="O201" s="21">
        <f>IF(OR(B201="",N201="",N201="No"),"",IF(N201="Monthly",EDATE(B201,1),IF(N201="Quarterly",EDATE(B201,3),IF(N201="Annually",EDATE(B201,12),B201+IF(N201="Weekly",7,IF(N201="Fortnightly",14,0))))))</f>
        <v>0</v>
      </c>
      <c r="T201" s="28">
        <f>IF(B201="","",TEXT(B201,"yyyy-mm"))</f>
        <v>0</v>
      </c>
      <c r="U201" s="49">
        <f>IF(B201="","",IF(P201="Pending","Awaiting approval",IF(M201="","Missing receipt",IF(AND(O201&lt;&gt;"",O201&lt;=TODAY()),"Recurring cost due","OK"))))</f>
        <v>0</v>
      </c>
    </row>
    <row r="202" spans="1:21">
      <c r="A202" s="46">
        <f>IF(B202="","","EX-"&amp;TEXT(ROW()-4,"0000"))</f>
        <v>0</v>
      </c>
      <c r="G202" s="29">
        <f>IF(F202="","",IF(TaxRegistered&lt;&gt;"Yes",0,ROUND(F202-F202/(1+TaxRate),2)))</f>
        <v>0</v>
      </c>
      <c r="H202" s="29">
        <f>IF(F202="","",ROUND(F202-G202,2))</f>
        <v>0</v>
      </c>
      <c r="L202" s="29">
        <f>IF(F202="","",IF(J202="Personal",0,ROUND(H202*IF(K202="",1,K202),2)))</f>
        <v>0</v>
      </c>
      <c r="O202" s="21">
        <f>IF(OR(B202="",N202="",N202="No"),"",IF(N202="Monthly",EDATE(B202,1),IF(N202="Quarterly",EDATE(B202,3),IF(N202="Annually",EDATE(B202,12),B202+IF(N202="Weekly",7,IF(N202="Fortnightly",14,0))))))</f>
        <v>0</v>
      </c>
      <c r="T202" s="28">
        <f>IF(B202="","",TEXT(B202,"yyyy-mm"))</f>
        <v>0</v>
      </c>
      <c r="U202" s="49">
        <f>IF(B202="","",IF(P202="Pending","Awaiting approval",IF(M202="","Missing receipt",IF(AND(O202&lt;&gt;"",O202&lt;=TODAY()),"Recurring cost due","OK"))))</f>
        <v>0</v>
      </c>
    </row>
    <row r="203" spans="1:21">
      <c r="A203" s="46">
        <f>IF(B203="","","EX-"&amp;TEXT(ROW()-4,"0000"))</f>
        <v>0</v>
      </c>
      <c r="G203" s="29">
        <f>IF(F203="","",IF(TaxRegistered&lt;&gt;"Yes",0,ROUND(F203-F203/(1+TaxRate),2)))</f>
        <v>0</v>
      </c>
      <c r="H203" s="29">
        <f>IF(F203="","",ROUND(F203-G203,2))</f>
        <v>0</v>
      </c>
      <c r="L203" s="29">
        <f>IF(F203="","",IF(J203="Personal",0,ROUND(H203*IF(K203="",1,K203),2)))</f>
        <v>0</v>
      </c>
      <c r="O203" s="21">
        <f>IF(OR(B203="",N203="",N203="No"),"",IF(N203="Monthly",EDATE(B203,1),IF(N203="Quarterly",EDATE(B203,3),IF(N203="Annually",EDATE(B203,12),B203+IF(N203="Weekly",7,IF(N203="Fortnightly",14,0))))))</f>
        <v>0</v>
      </c>
      <c r="T203" s="28">
        <f>IF(B203="","",TEXT(B203,"yyyy-mm"))</f>
        <v>0</v>
      </c>
      <c r="U203" s="49">
        <f>IF(B203="","",IF(P203="Pending","Awaiting approval",IF(M203="","Missing receipt",IF(AND(O203&lt;&gt;"",O203&lt;=TODAY()),"Recurring cost due","OK"))))</f>
        <v>0</v>
      </c>
    </row>
    <row r="204" spans="1:21">
      <c r="A204" s="46">
        <f>IF(B204="","","EX-"&amp;TEXT(ROW()-4,"0000"))</f>
        <v>0</v>
      </c>
      <c r="G204" s="29">
        <f>IF(F204="","",IF(TaxRegistered&lt;&gt;"Yes",0,ROUND(F204-F204/(1+TaxRate),2)))</f>
        <v>0</v>
      </c>
      <c r="H204" s="29">
        <f>IF(F204="","",ROUND(F204-G204,2))</f>
        <v>0</v>
      </c>
      <c r="L204" s="29">
        <f>IF(F204="","",IF(J204="Personal",0,ROUND(H204*IF(K204="",1,K204),2)))</f>
        <v>0</v>
      </c>
      <c r="O204" s="21">
        <f>IF(OR(B204="",N204="",N204="No"),"",IF(N204="Monthly",EDATE(B204,1),IF(N204="Quarterly",EDATE(B204,3),IF(N204="Annually",EDATE(B204,12),B204+IF(N204="Weekly",7,IF(N204="Fortnightly",14,0))))))</f>
        <v>0</v>
      </c>
      <c r="T204" s="28">
        <f>IF(B204="","",TEXT(B204,"yyyy-mm"))</f>
        <v>0</v>
      </c>
      <c r="U204" s="49">
        <f>IF(B204="","",IF(P204="Pending","Awaiting approval",IF(M204="","Missing receipt",IF(AND(O204&lt;&gt;"",O204&lt;=TODAY()),"Recurring cost due","OK"))))</f>
        <v>0</v>
      </c>
    </row>
    <row r="205" spans="1:21">
      <c r="A205" s="46">
        <f>IF(B205="","","EX-"&amp;TEXT(ROW()-4,"0000"))</f>
        <v>0</v>
      </c>
      <c r="G205" s="29">
        <f>IF(F205="","",IF(TaxRegistered&lt;&gt;"Yes",0,ROUND(F205-F205/(1+TaxRate),2)))</f>
        <v>0</v>
      </c>
      <c r="H205" s="29">
        <f>IF(F205="","",ROUND(F205-G205,2))</f>
        <v>0</v>
      </c>
      <c r="L205" s="29">
        <f>IF(F205="","",IF(J205="Personal",0,ROUND(H205*IF(K205="",1,K205),2)))</f>
        <v>0</v>
      </c>
      <c r="O205" s="21">
        <f>IF(OR(B205="",N205="",N205="No"),"",IF(N205="Monthly",EDATE(B205,1),IF(N205="Quarterly",EDATE(B205,3),IF(N205="Annually",EDATE(B205,12),B205+IF(N205="Weekly",7,IF(N205="Fortnightly",14,0))))))</f>
        <v>0</v>
      </c>
      <c r="T205" s="28">
        <f>IF(B205="","",TEXT(B205,"yyyy-mm"))</f>
        <v>0</v>
      </c>
      <c r="U205" s="49">
        <f>IF(B205="","",IF(P205="Pending","Awaiting approval",IF(M205="","Missing receipt",IF(AND(O205&lt;&gt;"",O205&lt;=TODAY()),"Recurring cost due","OK"))))</f>
        <v>0</v>
      </c>
    </row>
    <row r="206" spans="1:21">
      <c r="A206" s="46">
        <f>IF(B206="","","EX-"&amp;TEXT(ROW()-4,"0000"))</f>
        <v>0</v>
      </c>
      <c r="G206" s="29">
        <f>IF(F206="","",IF(TaxRegistered&lt;&gt;"Yes",0,ROUND(F206-F206/(1+TaxRate),2)))</f>
        <v>0</v>
      </c>
      <c r="H206" s="29">
        <f>IF(F206="","",ROUND(F206-G206,2))</f>
        <v>0</v>
      </c>
      <c r="L206" s="29">
        <f>IF(F206="","",IF(J206="Personal",0,ROUND(H206*IF(K206="",1,K206),2)))</f>
        <v>0</v>
      </c>
      <c r="O206" s="21">
        <f>IF(OR(B206="",N206="",N206="No"),"",IF(N206="Monthly",EDATE(B206,1),IF(N206="Quarterly",EDATE(B206,3),IF(N206="Annually",EDATE(B206,12),B206+IF(N206="Weekly",7,IF(N206="Fortnightly",14,0))))))</f>
        <v>0</v>
      </c>
      <c r="T206" s="28">
        <f>IF(B206="","",TEXT(B206,"yyyy-mm"))</f>
        <v>0</v>
      </c>
      <c r="U206" s="49">
        <f>IF(B206="","",IF(P206="Pending","Awaiting approval",IF(M206="","Missing receipt",IF(AND(O206&lt;&gt;"",O206&lt;=TODAY()),"Recurring cost due","OK"))))</f>
        <v>0</v>
      </c>
    </row>
    <row r="207" spans="1:21">
      <c r="A207" s="46">
        <f>IF(B207="","","EX-"&amp;TEXT(ROW()-4,"0000"))</f>
        <v>0</v>
      </c>
      <c r="G207" s="29">
        <f>IF(F207="","",IF(TaxRegistered&lt;&gt;"Yes",0,ROUND(F207-F207/(1+TaxRate),2)))</f>
        <v>0</v>
      </c>
      <c r="H207" s="29">
        <f>IF(F207="","",ROUND(F207-G207,2))</f>
        <v>0</v>
      </c>
      <c r="L207" s="29">
        <f>IF(F207="","",IF(J207="Personal",0,ROUND(H207*IF(K207="",1,K207),2)))</f>
        <v>0</v>
      </c>
      <c r="O207" s="21">
        <f>IF(OR(B207="",N207="",N207="No"),"",IF(N207="Monthly",EDATE(B207,1),IF(N207="Quarterly",EDATE(B207,3),IF(N207="Annually",EDATE(B207,12),B207+IF(N207="Weekly",7,IF(N207="Fortnightly",14,0))))))</f>
        <v>0</v>
      </c>
      <c r="T207" s="28">
        <f>IF(B207="","",TEXT(B207,"yyyy-mm"))</f>
        <v>0</v>
      </c>
      <c r="U207" s="49">
        <f>IF(B207="","",IF(P207="Pending","Awaiting approval",IF(M207="","Missing receipt",IF(AND(O207&lt;&gt;"",O207&lt;=TODAY()),"Recurring cost due","OK"))))</f>
        <v>0</v>
      </c>
    </row>
    <row r="208" spans="1:21">
      <c r="A208" s="46">
        <f>IF(B208="","","EX-"&amp;TEXT(ROW()-4,"0000"))</f>
        <v>0</v>
      </c>
      <c r="G208" s="29">
        <f>IF(F208="","",IF(TaxRegistered&lt;&gt;"Yes",0,ROUND(F208-F208/(1+TaxRate),2)))</f>
        <v>0</v>
      </c>
      <c r="H208" s="29">
        <f>IF(F208="","",ROUND(F208-G208,2))</f>
        <v>0</v>
      </c>
      <c r="L208" s="29">
        <f>IF(F208="","",IF(J208="Personal",0,ROUND(H208*IF(K208="",1,K208),2)))</f>
        <v>0</v>
      </c>
      <c r="O208" s="21">
        <f>IF(OR(B208="",N208="",N208="No"),"",IF(N208="Monthly",EDATE(B208,1),IF(N208="Quarterly",EDATE(B208,3),IF(N208="Annually",EDATE(B208,12),B208+IF(N208="Weekly",7,IF(N208="Fortnightly",14,0))))))</f>
        <v>0</v>
      </c>
      <c r="T208" s="28">
        <f>IF(B208="","",TEXT(B208,"yyyy-mm"))</f>
        <v>0</v>
      </c>
      <c r="U208" s="49">
        <f>IF(B208="","",IF(P208="Pending","Awaiting approval",IF(M208="","Missing receipt",IF(AND(O208&lt;&gt;"",O208&lt;=TODAY()),"Recurring cost due","OK"))))</f>
        <v>0</v>
      </c>
    </row>
    <row r="209" spans="1:21">
      <c r="A209" s="46">
        <f>IF(B209="","","EX-"&amp;TEXT(ROW()-4,"0000"))</f>
        <v>0</v>
      </c>
      <c r="G209" s="29">
        <f>IF(F209="","",IF(TaxRegistered&lt;&gt;"Yes",0,ROUND(F209-F209/(1+TaxRate),2)))</f>
        <v>0</v>
      </c>
      <c r="H209" s="29">
        <f>IF(F209="","",ROUND(F209-G209,2))</f>
        <v>0</v>
      </c>
      <c r="L209" s="29">
        <f>IF(F209="","",IF(J209="Personal",0,ROUND(H209*IF(K209="",1,K209),2)))</f>
        <v>0</v>
      </c>
      <c r="O209" s="21">
        <f>IF(OR(B209="",N209="",N209="No"),"",IF(N209="Monthly",EDATE(B209,1),IF(N209="Quarterly",EDATE(B209,3),IF(N209="Annually",EDATE(B209,12),B209+IF(N209="Weekly",7,IF(N209="Fortnightly",14,0))))))</f>
        <v>0</v>
      </c>
      <c r="T209" s="28">
        <f>IF(B209="","",TEXT(B209,"yyyy-mm"))</f>
        <v>0</v>
      </c>
      <c r="U209" s="49">
        <f>IF(B209="","",IF(P209="Pending","Awaiting approval",IF(M209="","Missing receipt",IF(AND(O209&lt;&gt;"",O209&lt;=TODAY()),"Recurring cost due","OK"))))</f>
        <v>0</v>
      </c>
    </row>
    <row r="210" spans="1:21">
      <c r="A210" s="46">
        <f>IF(B210="","","EX-"&amp;TEXT(ROW()-4,"0000"))</f>
        <v>0</v>
      </c>
      <c r="G210" s="29">
        <f>IF(F210="","",IF(TaxRegistered&lt;&gt;"Yes",0,ROUND(F210-F210/(1+TaxRate),2)))</f>
        <v>0</v>
      </c>
      <c r="H210" s="29">
        <f>IF(F210="","",ROUND(F210-G210,2))</f>
        <v>0</v>
      </c>
      <c r="L210" s="29">
        <f>IF(F210="","",IF(J210="Personal",0,ROUND(H210*IF(K210="",1,K210),2)))</f>
        <v>0</v>
      </c>
      <c r="O210" s="21">
        <f>IF(OR(B210="",N210="",N210="No"),"",IF(N210="Monthly",EDATE(B210,1),IF(N210="Quarterly",EDATE(B210,3),IF(N210="Annually",EDATE(B210,12),B210+IF(N210="Weekly",7,IF(N210="Fortnightly",14,0))))))</f>
        <v>0</v>
      </c>
      <c r="T210" s="28">
        <f>IF(B210="","",TEXT(B210,"yyyy-mm"))</f>
        <v>0</v>
      </c>
      <c r="U210" s="49">
        <f>IF(B210="","",IF(P210="Pending","Awaiting approval",IF(M210="","Missing receipt",IF(AND(O210&lt;&gt;"",O210&lt;=TODAY()),"Recurring cost due","OK"))))</f>
        <v>0</v>
      </c>
    </row>
    <row r="211" spans="1:21">
      <c r="A211" s="46">
        <f>IF(B211="","","EX-"&amp;TEXT(ROW()-4,"0000"))</f>
        <v>0</v>
      </c>
      <c r="G211" s="29">
        <f>IF(F211="","",IF(TaxRegistered&lt;&gt;"Yes",0,ROUND(F211-F211/(1+TaxRate),2)))</f>
        <v>0</v>
      </c>
      <c r="H211" s="29">
        <f>IF(F211="","",ROUND(F211-G211,2))</f>
        <v>0</v>
      </c>
      <c r="L211" s="29">
        <f>IF(F211="","",IF(J211="Personal",0,ROUND(H211*IF(K211="",1,K211),2)))</f>
        <v>0</v>
      </c>
      <c r="O211" s="21">
        <f>IF(OR(B211="",N211="",N211="No"),"",IF(N211="Monthly",EDATE(B211,1),IF(N211="Quarterly",EDATE(B211,3),IF(N211="Annually",EDATE(B211,12),B211+IF(N211="Weekly",7,IF(N211="Fortnightly",14,0))))))</f>
        <v>0</v>
      </c>
      <c r="T211" s="28">
        <f>IF(B211="","",TEXT(B211,"yyyy-mm"))</f>
        <v>0</v>
      </c>
      <c r="U211" s="49">
        <f>IF(B211="","",IF(P211="Pending","Awaiting approval",IF(M211="","Missing receipt",IF(AND(O211&lt;&gt;"",O211&lt;=TODAY()),"Recurring cost due","OK"))))</f>
        <v>0</v>
      </c>
    </row>
    <row r="212" spans="1:21">
      <c r="A212" s="46">
        <f>IF(B212="","","EX-"&amp;TEXT(ROW()-4,"0000"))</f>
        <v>0</v>
      </c>
      <c r="G212" s="29">
        <f>IF(F212="","",IF(TaxRegistered&lt;&gt;"Yes",0,ROUND(F212-F212/(1+TaxRate),2)))</f>
        <v>0</v>
      </c>
      <c r="H212" s="29">
        <f>IF(F212="","",ROUND(F212-G212,2))</f>
        <v>0</v>
      </c>
      <c r="L212" s="29">
        <f>IF(F212="","",IF(J212="Personal",0,ROUND(H212*IF(K212="",1,K212),2)))</f>
        <v>0</v>
      </c>
      <c r="O212" s="21">
        <f>IF(OR(B212="",N212="",N212="No"),"",IF(N212="Monthly",EDATE(B212,1),IF(N212="Quarterly",EDATE(B212,3),IF(N212="Annually",EDATE(B212,12),B212+IF(N212="Weekly",7,IF(N212="Fortnightly",14,0))))))</f>
        <v>0</v>
      </c>
      <c r="T212" s="28">
        <f>IF(B212="","",TEXT(B212,"yyyy-mm"))</f>
        <v>0</v>
      </c>
      <c r="U212" s="49">
        <f>IF(B212="","",IF(P212="Pending","Awaiting approval",IF(M212="","Missing receipt",IF(AND(O212&lt;&gt;"",O212&lt;=TODAY()),"Recurring cost due","OK"))))</f>
        <v>0</v>
      </c>
    </row>
    <row r="213" spans="1:21">
      <c r="A213" s="46">
        <f>IF(B213="","","EX-"&amp;TEXT(ROW()-4,"0000"))</f>
        <v>0</v>
      </c>
      <c r="G213" s="29">
        <f>IF(F213="","",IF(TaxRegistered&lt;&gt;"Yes",0,ROUND(F213-F213/(1+TaxRate),2)))</f>
        <v>0</v>
      </c>
      <c r="H213" s="29">
        <f>IF(F213="","",ROUND(F213-G213,2))</f>
        <v>0</v>
      </c>
      <c r="L213" s="29">
        <f>IF(F213="","",IF(J213="Personal",0,ROUND(H213*IF(K213="",1,K213),2)))</f>
        <v>0</v>
      </c>
      <c r="O213" s="21">
        <f>IF(OR(B213="",N213="",N213="No"),"",IF(N213="Monthly",EDATE(B213,1),IF(N213="Quarterly",EDATE(B213,3),IF(N213="Annually",EDATE(B213,12),B213+IF(N213="Weekly",7,IF(N213="Fortnightly",14,0))))))</f>
        <v>0</v>
      </c>
      <c r="T213" s="28">
        <f>IF(B213="","",TEXT(B213,"yyyy-mm"))</f>
        <v>0</v>
      </c>
      <c r="U213" s="49">
        <f>IF(B213="","",IF(P213="Pending","Awaiting approval",IF(M213="","Missing receipt",IF(AND(O213&lt;&gt;"",O213&lt;=TODAY()),"Recurring cost due","OK"))))</f>
        <v>0</v>
      </c>
    </row>
    <row r="214" spans="1:21">
      <c r="A214" s="46">
        <f>IF(B214="","","EX-"&amp;TEXT(ROW()-4,"0000"))</f>
        <v>0</v>
      </c>
      <c r="G214" s="29">
        <f>IF(F214="","",IF(TaxRegistered&lt;&gt;"Yes",0,ROUND(F214-F214/(1+TaxRate),2)))</f>
        <v>0</v>
      </c>
      <c r="H214" s="29">
        <f>IF(F214="","",ROUND(F214-G214,2))</f>
        <v>0</v>
      </c>
      <c r="L214" s="29">
        <f>IF(F214="","",IF(J214="Personal",0,ROUND(H214*IF(K214="",1,K214),2)))</f>
        <v>0</v>
      </c>
      <c r="O214" s="21">
        <f>IF(OR(B214="",N214="",N214="No"),"",IF(N214="Monthly",EDATE(B214,1),IF(N214="Quarterly",EDATE(B214,3),IF(N214="Annually",EDATE(B214,12),B214+IF(N214="Weekly",7,IF(N214="Fortnightly",14,0))))))</f>
        <v>0</v>
      </c>
      <c r="T214" s="28">
        <f>IF(B214="","",TEXT(B214,"yyyy-mm"))</f>
        <v>0</v>
      </c>
      <c r="U214" s="49">
        <f>IF(B214="","",IF(P214="Pending","Awaiting approval",IF(M214="","Missing receipt",IF(AND(O214&lt;&gt;"",O214&lt;=TODAY()),"Recurring cost due","OK"))))</f>
        <v>0</v>
      </c>
    </row>
    <row r="215" spans="1:21">
      <c r="A215" s="46">
        <f>IF(B215="","","EX-"&amp;TEXT(ROW()-4,"0000"))</f>
        <v>0</v>
      </c>
      <c r="G215" s="29">
        <f>IF(F215="","",IF(TaxRegistered&lt;&gt;"Yes",0,ROUND(F215-F215/(1+TaxRate),2)))</f>
        <v>0</v>
      </c>
      <c r="H215" s="29">
        <f>IF(F215="","",ROUND(F215-G215,2))</f>
        <v>0</v>
      </c>
      <c r="L215" s="29">
        <f>IF(F215="","",IF(J215="Personal",0,ROUND(H215*IF(K215="",1,K215),2)))</f>
        <v>0</v>
      </c>
      <c r="O215" s="21">
        <f>IF(OR(B215="",N215="",N215="No"),"",IF(N215="Monthly",EDATE(B215,1),IF(N215="Quarterly",EDATE(B215,3),IF(N215="Annually",EDATE(B215,12),B215+IF(N215="Weekly",7,IF(N215="Fortnightly",14,0))))))</f>
        <v>0</v>
      </c>
      <c r="T215" s="28">
        <f>IF(B215="","",TEXT(B215,"yyyy-mm"))</f>
        <v>0</v>
      </c>
      <c r="U215" s="49">
        <f>IF(B215="","",IF(P215="Pending","Awaiting approval",IF(M215="","Missing receipt",IF(AND(O215&lt;&gt;"",O215&lt;=TODAY()),"Recurring cost due","OK"))))</f>
        <v>0</v>
      </c>
    </row>
    <row r="216" spans="1:21">
      <c r="A216" s="46">
        <f>IF(B216="","","EX-"&amp;TEXT(ROW()-4,"0000"))</f>
        <v>0</v>
      </c>
      <c r="G216" s="29">
        <f>IF(F216="","",IF(TaxRegistered&lt;&gt;"Yes",0,ROUND(F216-F216/(1+TaxRate),2)))</f>
        <v>0</v>
      </c>
      <c r="H216" s="29">
        <f>IF(F216="","",ROUND(F216-G216,2))</f>
        <v>0</v>
      </c>
      <c r="L216" s="29">
        <f>IF(F216="","",IF(J216="Personal",0,ROUND(H216*IF(K216="",1,K216),2)))</f>
        <v>0</v>
      </c>
      <c r="O216" s="21">
        <f>IF(OR(B216="",N216="",N216="No"),"",IF(N216="Monthly",EDATE(B216,1),IF(N216="Quarterly",EDATE(B216,3),IF(N216="Annually",EDATE(B216,12),B216+IF(N216="Weekly",7,IF(N216="Fortnightly",14,0))))))</f>
        <v>0</v>
      </c>
      <c r="T216" s="28">
        <f>IF(B216="","",TEXT(B216,"yyyy-mm"))</f>
        <v>0</v>
      </c>
      <c r="U216" s="49">
        <f>IF(B216="","",IF(P216="Pending","Awaiting approval",IF(M216="","Missing receipt",IF(AND(O216&lt;&gt;"",O216&lt;=TODAY()),"Recurring cost due","OK"))))</f>
        <v>0</v>
      </c>
    </row>
    <row r="217" spans="1:21">
      <c r="A217" s="46">
        <f>IF(B217="","","EX-"&amp;TEXT(ROW()-4,"0000"))</f>
        <v>0</v>
      </c>
      <c r="G217" s="29">
        <f>IF(F217="","",IF(TaxRegistered&lt;&gt;"Yes",0,ROUND(F217-F217/(1+TaxRate),2)))</f>
        <v>0</v>
      </c>
      <c r="H217" s="29">
        <f>IF(F217="","",ROUND(F217-G217,2))</f>
        <v>0</v>
      </c>
      <c r="L217" s="29">
        <f>IF(F217="","",IF(J217="Personal",0,ROUND(H217*IF(K217="",1,K217),2)))</f>
        <v>0</v>
      </c>
      <c r="O217" s="21">
        <f>IF(OR(B217="",N217="",N217="No"),"",IF(N217="Monthly",EDATE(B217,1),IF(N217="Quarterly",EDATE(B217,3),IF(N217="Annually",EDATE(B217,12),B217+IF(N217="Weekly",7,IF(N217="Fortnightly",14,0))))))</f>
        <v>0</v>
      </c>
      <c r="T217" s="28">
        <f>IF(B217="","",TEXT(B217,"yyyy-mm"))</f>
        <v>0</v>
      </c>
      <c r="U217" s="49">
        <f>IF(B217="","",IF(P217="Pending","Awaiting approval",IF(M217="","Missing receipt",IF(AND(O217&lt;&gt;"",O217&lt;=TODAY()),"Recurring cost due","OK"))))</f>
        <v>0</v>
      </c>
    </row>
    <row r="218" spans="1:21">
      <c r="A218" s="46">
        <f>IF(B218="","","EX-"&amp;TEXT(ROW()-4,"0000"))</f>
        <v>0</v>
      </c>
      <c r="G218" s="29">
        <f>IF(F218="","",IF(TaxRegistered&lt;&gt;"Yes",0,ROUND(F218-F218/(1+TaxRate),2)))</f>
        <v>0</v>
      </c>
      <c r="H218" s="29">
        <f>IF(F218="","",ROUND(F218-G218,2))</f>
        <v>0</v>
      </c>
      <c r="L218" s="29">
        <f>IF(F218="","",IF(J218="Personal",0,ROUND(H218*IF(K218="",1,K218),2)))</f>
        <v>0</v>
      </c>
      <c r="O218" s="21">
        <f>IF(OR(B218="",N218="",N218="No"),"",IF(N218="Monthly",EDATE(B218,1),IF(N218="Quarterly",EDATE(B218,3),IF(N218="Annually",EDATE(B218,12),B218+IF(N218="Weekly",7,IF(N218="Fortnightly",14,0))))))</f>
        <v>0</v>
      </c>
      <c r="T218" s="28">
        <f>IF(B218="","",TEXT(B218,"yyyy-mm"))</f>
        <v>0</v>
      </c>
      <c r="U218" s="49">
        <f>IF(B218="","",IF(P218="Pending","Awaiting approval",IF(M218="","Missing receipt",IF(AND(O218&lt;&gt;"",O218&lt;=TODAY()),"Recurring cost due","OK"))))</f>
        <v>0</v>
      </c>
    </row>
    <row r="219" spans="1:21">
      <c r="A219" s="46">
        <f>IF(B219="","","EX-"&amp;TEXT(ROW()-4,"0000"))</f>
        <v>0</v>
      </c>
      <c r="G219" s="29">
        <f>IF(F219="","",IF(TaxRegistered&lt;&gt;"Yes",0,ROUND(F219-F219/(1+TaxRate),2)))</f>
        <v>0</v>
      </c>
      <c r="H219" s="29">
        <f>IF(F219="","",ROUND(F219-G219,2))</f>
        <v>0</v>
      </c>
      <c r="L219" s="29">
        <f>IF(F219="","",IF(J219="Personal",0,ROUND(H219*IF(K219="",1,K219),2)))</f>
        <v>0</v>
      </c>
      <c r="O219" s="21">
        <f>IF(OR(B219="",N219="",N219="No"),"",IF(N219="Monthly",EDATE(B219,1),IF(N219="Quarterly",EDATE(B219,3),IF(N219="Annually",EDATE(B219,12),B219+IF(N219="Weekly",7,IF(N219="Fortnightly",14,0))))))</f>
        <v>0</v>
      </c>
      <c r="T219" s="28">
        <f>IF(B219="","",TEXT(B219,"yyyy-mm"))</f>
        <v>0</v>
      </c>
      <c r="U219" s="49">
        <f>IF(B219="","",IF(P219="Pending","Awaiting approval",IF(M219="","Missing receipt",IF(AND(O219&lt;&gt;"",O219&lt;=TODAY()),"Recurring cost due","OK"))))</f>
        <v>0</v>
      </c>
    </row>
    <row r="220" spans="1:21">
      <c r="A220" s="46">
        <f>IF(B220="","","EX-"&amp;TEXT(ROW()-4,"0000"))</f>
        <v>0</v>
      </c>
      <c r="G220" s="29">
        <f>IF(F220="","",IF(TaxRegistered&lt;&gt;"Yes",0,ROUND(F220-F220/(1+TaxRate),2)))</f>
        <v>0</v>
      </c>
      <c r="H220" s="29">
        <f>IF(F220="","",ROUND(F220-G220,2))</f>
        <v>0</v>
      </c>
      <c r="L220" s="29">
        <f>IF(F220="","",IF(J220="Personal",0,ROUND(H220*IF(K220="",1,K220),2)))</f>
        <v>0</v>
      </c>
      <c r="O220" s="21">
        <f>IF(OR(B220="",N220="",N220="No"),"",IF(N220="Monthly",EDATE(B220,1),IF(N220="Quarterly",EDATE(B220,3),IF(N220="Annually",EDATE(B220,12),B220+IF(N220="Weekly",7,IF(N220="Fortnightly",14,0))))))</f>
        <v>0</v>
      </c>
      <c r="T220" s="28">
        <f>IF(B220="","",TEXT(B220,"yyyy-mm"))</f>
        <v>0</v>
      </c>
      <c r="U220" s="49">
        <f>IF(B220="","",IF(P220="Pending","Awaiting approval",IF(M220="","Missing receipt",IF(AND(O220&lt;&gt;"",O220&lt;=TODAY()),"Recurring cost due","OK"))))</f>
        <v>0</v>
      </c>
    </row>
    <row r="221" spans="1:21">
      <c r="A221" s="46">
        <f>IF(B221="","","EX-"&amp;TEXT(ROW()-4,"0000"))</f>
        <v>0</v>
      </c>
      <c r="G221" s="29">
        <f>IF(F221="","",IF(TaxRegistered&lt;&gt;"Yes",0,ROUND(F221-F221/(1+TaxRate),2)))</f>
        <v>0</v>
      </c>
      <c r="H221" s="29">
        <f>IF(F221="","",ROUND(F221-G221,2))</f>
        <v>0</v>
      </c>
      <c r="L221" s="29">
        <f>IF(F221="","",IF(J221="Personal",0,ROUND(H221*IF(K221="",1,K221),2)))</f>
        <v>0</v>
      </c>
      <c r="O221" s="21">
        <f>IF(OR(B221="",N221="",N221="No"),"",IF(N221="Monthly",EDATE(B221,1),IF(N221="Quarterly",EDATE(B221,3),IF(N221="Annually",EDATE(B221,12),B221+IF(N221="Weekly",7,IF(N221="Fortnightly",14,0))))))</f>
        <v>0</v>
      </c>
      <c r="T221" s="28">
        <f>IF(B221="","",TEXT(B221,"yyyy-mm"))</f>
        <v>0</v>
      </c>
      <c r="U221" s="49">
        <f>IF(B221="","",IF(P221="Pending","Awaiting approval",IF(M221="","Missing receipt",IF(AND(O221&lt;&gt;"",O221&lt;=TODAY()),"Recurring cost due","OK"))))</f>
        <v>0</v>
      </c>
    </row>
    <row r="222" spans="1:21">
      <c r="A222" s="46">
        <f>IF(B222="","","EX-"&amp;TEXT(ROW()-4,"0000"))</f>
        <v>0</v>
      </c>
      <c r="G222" s="29">
        <f>IF(F222="","",IF(TaxRegistered&lt;&gt;"Yes",0,ROUND(F222-F222/(1+TaxRate),2)))</f>
        <v>0</v>
      </c>
      <c r="H222" s="29">
        <f>IF(F222="","",ROUND(F222-G222,2))</f>
        <v>0</v>
      </c>
      <c r="L222" s="29">
        <f>IF(F222="","",IF(J222="Personal",0,ROUND(H222*IF(K222="",1,K222),2)))</f>
        <v>0</v>
      </c>
      <c r="O222" s="21">
        <f>IF(OR(B222="",N222="",N222="No"),"",IF(N222="Monthly",EDATE(B222,1),IF(N222="Quarterly",EDATE(B222,3),IF(N222="Annually",EDATE(B222,12),B222+IF(N222="Weekly",7,IF(N222="Fortnightly",14,0))))))</f>
        <v>0</v>
      </c>
      <c r="T222" s="28">
        <f>IF(B222="","",TEXT(B222,"yyyy-mm"))</f>
        <v>0</v>
      </c>
      <c r="U222" s="49">
        <f>IF(B222="","",IF(P222="Pending","Awaiting approval",IF(M222="","Missing receipt",IF(AND(O222&lt;&gt;"",O222&lt;=TODAY()),"Recurring cost due","OK"))))</f>
        <v>0</v>
      </c>
    </row>
    <row r="223" spans="1:21">
      <c r="A223" s="46">
        <f>IF(B223="","","EX-"&amp;TEXT(ROW()-4,"0000"))</f>
        <v>0</v>
      </c>
      <c r="G223" s="29">
        <f>IF(F223="","",IF(TaxRegistered&lt;&gt;"Yes",0,ROUND(F223-F223/(1+TaxRate),2)))</f>
        <v>0</v>
      </c>
      <c r="H223" s="29">
        <f>IF(F223="","",ROUND(F223-G223,2))</f>
        <v>0</v>
      </c>
      <c r="L223" s="29">
        <f>IF(F223="","",IF(J223="Personal",0,ROUND(H223*IF(K223="",1,K223),2)))</f>
        <v>0</v>
      </c>
      <c r="O223" s="21">
        <f>IF(OR(B223="",N223="",N223="No"),"",IF(N223="Monthly",EDATE(B223,1),IF(N223="Quarterly",EDATE(B223,3),IF(N223="Annually",EDATE(B223,12),B223+IF(N223="Weekly",7,IF(N223="Fortnightly",14,0))))))</f>
        <v>0</v>
      </c>
      <c r="T223" s="28">
        <f>IF(B223="","",TEXT(B223,"yyyy-mm"))</f>
        <v>0</v>
      </c>
      <c r="U223" s="49">
        <f>IF(B223="","",IF(P223="Pending","Awaiting approval",IF(M223="","Missing receipt",IF(AND(O223&lt;&gt;"",O223&lt;=TODAY()),"Recurring cost due","OK"))))</f>
        <v>0</v>
      </c>
    </row>
    <row r="224" spans="1:21">
      <c r="A224" s="46">
        <f>IF(B224="","","EX-"&amp;TEXT(ROW()-4,"0000"))</f>
        <v>0</v>
      </c>
      <c r="G224" s="29">
        <f>IF(F224="","",IF(TaxRegistered&lt;&gt;"Yes",0,ROUND(F224-F224/(1+TaxRate),2)))</f>
        <v>0</v>
      </c>
      <c r="H224" s="29">
        <f>IF(F224="","",ROUND(F224-G224,2))</f>
        <v>0</v>
      </c>
      <c r="L224" s="29">
        <f>IF(F224="","",IF(J224="Personal",0,ROUND(H224*IF(K224="",1,K224),2)))</f>
        <v>0</v>
      </c>
      <c r="O224" s="21">
        <f>IF(OR(B224="",N224="",N224="No"),"",IF(N224="Monthly",EDATE(B224,1),IF(N224="Quarterly",EDATE(B224,3),IF(N224="Annually",EDATE(B224,12),B224+IF(N224="Weekly",7,IF(N224="Fortnightly",14,0))))))</f>
        <v>0</v>
      </c>
      <c r="T224" s="28">
        <f>IF(B224="","",TEXT(B224,"yyyy-mm"))</f>
        <v>0</v>
      </c>
      <c r="U224" s="49">
        <f>IF(B224="","",IF(P224="Pending","Awaiting approval",IF(M224="","Missing receipt",IF(AND(O224&lt;&gt;"",O224&lt;=TODAY()),"Recurring cost due","OK"))))</f>
        <v>0</v>
      </c>
    </row>
    <row r="225" spans="1:21">
      <c r="A225" s="46">
        <f>IF(B225="","","EX-"&amp;TEXT(ROW()-4,"0000"))</f>
        <v>0</v>
      </c>
      <c r="G225" s="29">
        <f>IF(F225="","",IF(TaxRegistered&lt;&gt;"Yes",0,ROUND(F225-F225/(1+TaxRate),2)))</f>
        <v>0</v>
      </c>
      <c r="H225" s="29">
        <f>IF(F225="","",ROUND(F225-G225,2))</f>
        <v>0</v>
      </c>
      <c r="L225" s="29">
        <f>IF(F225="","",IF(J225="Personal",0,ROUND(H225*IF(K225="",1,K225),2)))</f>
        <v>0</v>
      </c>
      <c r="O225" s="21">
        <f>IF(OR(B225="",N225="",N225="No"),"",IF(N225="Monthly",EDATE(B225,1),IF(N225="Quarterly",EDATE(B225,3),IF(N225="Annually",EDATE(B225,12),B225+IF(N225="Weekly",7,IF(N225="Fortnightly",14,0))))))</f>
        <v>0</v>
      </c>
      <c r="T225" s="28">
        <f>IF(B225="","",TEXT(B225,"yyyy-mm"))</f>
        <v>0</v>
      </c>
      <c r="U225" s="49">
        <f>IF(B225="","",IF(P225="Pending","Awaiting approval",IF(M225="","Missing receipt",IF(AND(O225&lt;&gt;"",O225&lt;=TODAY()),"Recurring cost due","OK"))))</f>
        <v>0</v>
      </c>
    </row>
    <row r="226" spans="1:21">
      <c r="A226" s="46">
        <f>IF(B226="","","EX-"&amp;TEXT(ROW()-4,"0000"))</f>
        <v>0</v>
      </c>
      <c r="G226" s="29">
        <f>IF(F226="","",IF(TaxRegistered&lt;&gt;"Yes",0,ROUND(F226-F226/(1+TaxRate),2)))</f>
        <v>0</v>
      </c>
      <c r="H226" s="29">
        <f>IF(F226="","",ROUND(F226-G226,2))</f>
        <v>0</v>
      </c>
      <c r="L226" s="29">
        <f>IF(F226="","",IF(J226="Personal",0,ROUND(H226*IF(K226="",1,K226),2)))</f>
        <v>0</v>
      </c>
      <c r="O226" s="21">
        <f>IF(OR(B226="",N226="",N226="No"),"",IF(N226="Monthly",EDATE(B226,1),IF(N226="Quarterly",EDATE(B226,3),IF(N226="Annually",EDATE(B226,12),B226+IF(N226="Weekly",7,IF(N226="Fortnightly",14,0))))))</f>
        <v>0</v>
      </c>
      <c r="T226" s="28">
        <f>IF(B226="","",TEXT(B226,"yyyy-mm"))</f>
        <v>0</v>
      </c>
      <c r="U226" s="49">
        <f>IF(B226="","",IF(P226="Pending","Awaiting approval",IF(M226="","Missing receipt",IF(AND(O226&lt;&gt;"",O226&lt;=TODAY()),"Recurring cost due","OK"))))</f>
        <v>0</v>
      </c>
    </row>
    <row r="227" spans="1:21">
      <c r="A227" s="46">
        <f>IF(B227="","","EX-"&amp;TEXT(ROW()-4,"0000"))</f>
        <v>0</v>
      </c>
      <c r="G227" s="29">
        <f>IF(F227="","",IF(TaxRegistered&lt;&gt;"Yes",0,ROUND(F227-F227/(1+TaxRate),2)))</f>
        <v>0</v>
      </c>
      <c r="H227" s="29">
        <f>IF(F227="","",ROUND(F227-G227,2))</f>
        <v>0</v>
      </c>
      <c r="L227" s="29">
        <f>IF(F227="","",IF(J227="Personal",0,ROUND(H227*IF(K227="",1,K227),2)))</f>
        <v>0</v>
      </c>
      <c r="O227" s="21">
        <f>IF(OR(B227="",N227="",N227="No"),"",IF(N227="Monthly",EDATE(B227,1),IF(N227="Quarterly",EDATE(B227,3),IF(N227="Annually",EDATE(B227,12),B227+IF(N227="Weekly",7,IF(N227="Fortnightly",14,0))))))</f>
        <v>0</v>
      </c>
      <c r="T227" s="28">
        <f>IF(B227="","",TEXT(B227,"yyyy-mm"))</f>
        <v>0</v>
      </c>
      <c r="U227" s="49">
        <f>IF(B227="","",IF(P227="Pending","Awaiting approval",IF(M227="","Missing receipt",IF(AND(O227&lt;&gt;"",O227&lt;=TODAY()),"Recurring cost due","OK"))))</f>
        <v>0</v>
      </c>
    </row>
    <row r="228" spans="1:21">
      <c r="A228" s="46">
        <f>IF(B228="","","EX-"&amp;TEXT(ROW()-4,"0000"))</f>
        <v>0</v>
      </c>
      <c r="G228" s="29">
        <f>IF(F228="","",IF(TaxRegistered&lt;&gt;"Yes",0,ROUND(F228-F228/(1+TaxRate),2)))</f>
        <v>0</v>
      </c>
      <c r="H228" s="29">
        <f>IF(F228="","",ROUND(F228-G228,2))</f>
        <v>0</v>
      </c>
      <c r="L228" s="29">
        <f>IF(F228="","",IF(J228="Personal",0,ROUND(H228*IF(K228="",1,K228),2)))</f>
        <v>0</v>
      </c>
      <c r="O228" s="21">
        <f>IF(OR(B228="",N228="",N228="No"),"",IF(N228="Monthly",EDATE(B228,1),IF(N228="Quarterly",EDATE(B228,3),IF(N228="Annually",EDATE(B228,12),B228+IF(N228="Weekly",7,IF(N228="Fortnightly",14,0))))))</f>
        <v>0</v>
      </c>
      <c r="T228" s="28">
        <f>IF(B228="","",TEXT(B228,"yyyy-mm"))</f>
        <v>0</v>
      </c>
      <c r="U228" s="49">
        <f>IF(B228="","",IF(P228="Pending","Awaiting approval",IF(M228="","Missing receipt",IF(AND(O228&lt;&gt;"",O228&lt;=TODAY()),"Recurring cost due","OK"))))</f>
        <v>0</v>
      </c>
    </row>
    <row r="229" spans="1:21">
      <c r="A229" s="46">
        <f>IF(B229="","","EX-"&amp;TEXT(ROW()-4,"0000"))</f>
        <v>0</v>
      </c>
      <c r="G229" s="29">
        <f>IF(F229="","",IF(TaxRegistered&lt;&gt;"Yes",0,ROUND(F229-F229/(1+TaxRate),2)))</f>
        <v>0</v>
      </c>
      <c r="H229" s="29">
        <f>IF(F229="","",ROUND(F229-G229,2))</f>
        <v>0</v>
      </c>
      <c r="L229" s="29">
        <f>IF(F229="","",IF(J229="Personal",0,ROUND(H229*IF(K229="",1,K229),2)))</f>
        <v>0</v>
      </c>
      <c r="O229" s="21">
        <f>IF(OR(B229="",N229="",N229="No"),"",IF(N229="Monthly",EDATE(B229,1),IF(N229="Quarterly",EDATE(B229,3),IF(N229="Annually",EDATE(B229,12),B229+IF(N229="Weekly",7,IF(N229="Fortnightly",14,0))))))</f>
        <v>0</v>
      </c>
      <c r="T229" s="28">
        <f>IF(B229="","",TEXT(B229,"yyyy-mm"))</f>
        <v>0</v>
      </c>
      <c r="U229" s="49">
        <f>IF(B229="","",IF(P229="Pending","Awaiting approval",IF(M229="","Missing receipt",IF(AND(O229&lt;&gt;"",O229&lt;=TODAY()),"Recurring cost due","OK"))))</f>
        <v>0</v>
      </c>
    </row>
    <row r="230" spans="1:21">
      <c r="A230" s="46">
        <f>IF(B230="","","EX-"&amp;TEXT(ROW()-4,"0000"))</f>
        <v>0</v>
      </c>
      <c r="G230" s="29">
        <f>IF(F230="","",IF(TaxRegistered&lt;&gt;"Yes",0,ROUND(F230-F230/(1+TaxRate),2)))</f>
        <v>0</v>
      </c>
      <c r="H230" s="29">
        <f>IF(F230="","",ROUND(F230-G230,2))</f>
        <v>0</v>
      </c>
      <c r="L230" s="29">
        <f>IF(F230="","",IF(J230="Personal",0,ROUND(H230*IF(K230="",1,K230),2)))</f>
        <v>0</v>
      </c>
      <c r="O230" s="21">
        <f>IF(OR(B230="",N230="",N230="No"),"",IF(N230="Monthly",EDATE(B230,1),IF(N230="Quarterly",EDATE(B230,3),IF(N230="Annually",EDATE(B230,12),B230+IF(N230="Weekly",7,IF(N230="Fortnightly",14,0))))))</f>
        <v>0</v>
      </c>
      <c r="T230" s="28">
        <f>IF(B230="","",TEXT(B230,"yyyy-mm"))</f>
        <v>0</v>
      </c>
      <c r="U230" s="49">
        <f>IF(B230="","",IF(P230="Pending","Awaiting approval",IF(M230="","Missing receipt",IF(AND(O230&lt;&gt;"",O230&lt;=TODAY()),"Recurring cost due","OK"))))</f>
        <v>0</v>
      </c>
    </row>
    <row r="231" spans="1:21">
      <c r="A231" s="46">
        <f>IF(B231="","","EX-"&amp;TEXT(ROW()-4,"0000"))</f>
        <v>0</v>
      </c>
      <c r="G231" s="29">
        <f>IF(F231="","",IF(TaxRegistered&lt;&gt;"Yes",0,ROUND(F231-F231/(1+TaxRate),2)))</f>
        <v>0</v>
      </c>
      <c r="H231" s="29">
        <f>IF(F231="","",ROUND(F231-G231,2))</f>
        <v>0</v>
      </c>
      <c r="L231" s="29">
        <f>IF(F231="","",IF(J231="Personal",0,ROUND(H231*IF(K231="",1,K231),2)))</f>
        <v>0</v>
      </c>
      <c r="O231" s="21">
        <f>IF(OR(B231="",N231="",N231="No"),"",IF(N231="Monthly",EDATE(B231,1),IF(N231="Quarterly",EDATE(B231,3),IF(N231="Annually",EDATE(B231,12),B231+IF(N231="Weekly",7,IF(N231="Fortnightly",14,0))))))</f>
        <v>0</v>
      </c>
      <c r="T231" s="28">
        <f>IF(B231="","",TEXT(B231,"yyyy-mm"))</f>
        <v>0</v>
      </c>
      <c r="U231" s="49">
        <f>IF(B231="","",IF(P231="Pending","Awaiting approval",IF(M231="","Missing receipt",IF(AND(O231&lt;&gt;"",O231&lt;=TODAY()),"Recurring cost due","OK"))))</f>
        <v>0</v>
      </c>
    </row>
    <row r="232" spans="1:21">
      <c r="A232" s="46">
        <f>IF(B232="","","EX-"&amp;TEXT(ROW()-4,"0000"))</f>
        <v>0</v>
      </c>
      <c r="G232" s="29">
        <f>IF(F232="","",IF(TaxRegistered&lt;&gt;"Yes",0,ROUND(F232-F232/(1+TaxRate),2)))</f>
        <v>0</v>
      </c>
      <c r="H232" s="29">
        <f>IF(F232="","",ROUND(F232-G232,2))</f>
        <v>0</v>
      </c>
      <c r="L232" s="29">
        <f>IF(F232="","",IF(J232="Personal",0,ROUND(H232*IF(K232="",1,K232),2)))</f>
        <v>0</v>
      </c>
      <c r="O232" s="21">
        <f>IF(OR(B232="",N232="",N232="No"),"",IF(N232="Monthly",EDATE(B232,1),IF(N232="Quarterly",EDATE(B232,3),IF(N232="Annually",EDATE(B232,12),B232+IF(N232="Weekly",7,IF(N232="Fortnightly",14,0))))))</f>
        <v>0</v>
      </c>
      <c r="T232" s="28">
        <f>IF(B232="","",TEXT(B232,"yyyy-mm"))</f>
        <v>0</v>
      </c>
      <c r="U232" s="49">
        <f>IF(B232="","",IF(P232="Pending","Awaiting approval",IF(M232="","Missing receipt",IF(AND(O232&lt;&gt;"",O232&lt;=TODAY()),"Recurring cost due","OK"))))</f>
        <v>0</v>
      </c>
    </row>
    <row r="233" spans="1:21">
      <c r="A233" s="46">
        <f>IF(B233="","","EX-"&amp;TEXT(ROW()-4,"0000"))</f>
        <v>0</v>
      </c>
      <c r="G233" s="29">
        <f>IF(F233="","",IF(TaxRegistered&lt;&gt;"Yes",0,ROUND(F233-F233/(1+TaxRate),2)))</f>
        <v>0</v>
      </c>
      <c r="H233" s="29">
        <f>IF(F233="","",ROUND(F233-G233,2))</f>
        <v>0</v>
      </c>
      <c r="L233" s="29">
        <f>IF(F233="","",IF(J233="Personal",0,ROUND(H233*IF(K233="",1,K233),2)))</f>
        <v>0</v>
      </c>
      <c r="O233" s="21">
        <f>IF(OR(B233="",N233="",N233="No"),"",IF(N233="Monthly",EDATE(B233,1),IF(N233="Quarterly",EDATE(B233,3),IF(N233="Annually",EDATE(B233,12),B233+IF(N233="Weekly",7,IF(N233="Fortnightly",14,0))))))</f>
        <v>0</v>
      </c>
      <c r="T233" s="28">
        <f>IF(B233="","",TEXT(B233,"yyyy-mm"))</f>
        <v>0</v>
      </c>
      <c r="U233" s="49">
        <f>IF(B233="","",IF(P233="Pending","Awaiting approval",IF(M233="","Missing receipt",IF(AND(O233&lt;&gt;"",O233&lt;=TODAY()),"Recurring cost due","OK"))))</f>
        <v>0</v>
      </c>
    </row>
    <row r="234" spans="1:21">
      <c r="A234" s="46">
        <f>IF(B234="","","EX-"&amp;TEXT(ROW()-4,"0000"))</f>
        <v>0</v>
      </c>
      <c r="G234" s="29">
        <f>IF(F234="","",IF(TaxRegistered&lt;&gt;"Yes",0,ROUND(F234-F234/(1+TaxRate),2)))</f>
        <v>0</v>
      </c>
      <c r="H234" s="29">
        <f>IF(F234="","",ROUND(F234-G234,2))</f>
        <v>0</v>
      </c>
      <c r="L234" s="29">
        <f>IF(F234="","",IF(J234="Personal",0,ROUND(H234*IF(K234="",1,K234),2)))</f>
        <v>0</v>
      </c>
      <c r="O234" s="21">
        <f>IF(OR(B234="",N234="",N234="No"),"",IF(N234="Monthly",EDATE(B234,1),IF(N234="Quarterly",EDATE(B234,3),IF(N234="Annually",EDATE(B234,12),B234+IF(N234="Weekly",7,IF(N234="Fortnightly",14,0))))))</f>
        <v>0</v>
      </c>
      <c r="T234" s="28">
        <f>IF(B234="","",TEXT(B234,"yyyy-mm"))</f>
        <v>0</v>
      </c>
      <c r="U234" s="49">
        <f>IF(B234="","",IF(P234="Pending","Awaiting approval",IF(M234="","Missing receipt",IF(AND(O234&lt;&gt;"",O234&lt;=TODAY()),"Recurring cost due","OK"))))</f>
        <v>0</v>
      </c>
    </row>
    <row r="235" spans="1:21">
      <c r="A235" s="46">
        <f>IF(B235="","","EX-"&amp;TEXT(ROW()-4,"0000"))</f>
        <v>0</v>
      </c>
      <c r="G235" s="29">
        <f>IF(F235="","",IF(TaxRegistered&lt;&gt;"Yes",0,ROUND(F235-F235/(1+TaxRate),2)))</f>
        <v>0</v>
      </c>
      <c r="H235" s="29">
        <f>IF(F235="","",ROUND(F235-G235,2))</f>
        <v>0</v>
      </c>
      <c r="L235" s="29">
        <f>IF(F235="","",IF(J235="Personal",0,ROUND(H235*IF(K235="",1,K235),2)))</f>
        <v>0</v>
      </c>
      <c r="O235" s="21">
        <f>IF(OR(B235="",N235="",N235="No"),"",IF(N235="Monthly",EDATE(B235,1),IF(N235="Quarterly",EDATE(B235,3),IF(N235="Annually",EDATE(B235,12),B235+IF(N235="Weekly",7,IF(N235="Fortnightly",14,0))))))</f>
        <v>0</v>
      </c>
      <c r="T235" s="28">
        <f>IF(B235="","",TEXT(B235,"yyyy-mm"))</f>
        <v>0</v>
      </c>
      <c r="U235" s="49">
        <f>IF(B235="","",IF(P235="Pending","Awaiting approval",IF(M235="","Missing receipt",IF(AND(O235&lt;&gt;"",O235&lt;=TODAY()),"Recurring cost due","OK"))))</f>
        <v>0</v>
      </c>
    </row>
    <row r="236" spans="1:21">
      <c r="A236" s="46">
        <f>IF(B236="","","EX-"&amp;TEXT(ROW()-4,"0000"))</f>
        <v>0</v>
      </c>
      <c r="G236" s="29">
        <f>IF(F236="","",IF(TaxRegistered&lt;&gt;"Yes",0,ROUND(F236-F236/(1+TaxRate),2)))</f>
        <v>0</v>
      </c>
      <c r="H236" s="29">
        <f>IF(F236="","",ROUND(F236-G236,2))</f>
        <v>0</v>
      </c>
      <c r="L236" s="29">
        <f>IF(F236="","",IF(J236="Personal",0,ROUND(H236*IF(K236="",1,K236),2)))</f>
        <v>0</v>
      </c>
      <c r="O236" s="21">
        <f>IF(OR(B236="",N236="",N236="No"),"",IF(N236="Monthly",EDATE(B236,1),IF(N236="Quarterly",EDATE(B236,3),IF(N236="Annually",EDATE(B236,12),B236+IF(N236="Weekly",7,IF(N236="Fortnightly",14,0))))))</f>
        <v>0</v>
      </c>
      <c r="T236" s="28">
        <f>IF(B236="","",TEXT(B236,"yyyy-mm"))</f>
        <v>0</v>
      </c>
      <c r="U236" s="49">
        <f>IF(B236="","",IF(P236="Pending","Awaiting approval",IF(M236="","Missing receipt",IF(AND(O236&lt;&gt;"",O236&lt;=TODAY()),"Recurring cost due","OK"))))</f>
        <v>0</v>
      </c>
    </row>
    <row r="237" spans="1:21">
      <c r="A237" s="46">
        <f>IF(B237="","","EX-"&amp;TEXT(ROW()-4,"0000"))</f>
        <v>0</v>
      </c>
      <c r="G237" s="29">
        <f>IF(F237="","",IF(TaxRegistered&lt;&gt;"Yes",0,ROUND(F237-F237/(1+TaxRate),2)))</f>
        <v>0</v>
      </c>
      <c r="H237" s="29">
        <f>IF(F237="","",ROUND(F237-G237,2))</f>
        <v>0</v>
      </c>
      <c r="L237" s="29">
        <f>IF(F237="","",IF(J237="Personal",0,ROUND(H237*IF(K237="",1,K237),2)))</f>
        <v>0</v>
      </c>
      <c r="O237" s="21">
        <f>IF(OR(B237="",N237="",N237="No"),"",IF(N237="Monthly",EDATE(B237,1),IF(N237="Quarterly",EDATE(B237,3),IF(N237="Annually",EDATE(B237,12),B237+IF(N237="Weekly",7,IF(N237="Fortnightly",14,0))))))</f>
        <v>0</v>
      </c>
      <c r="T237" s="28">
        <f>IF(B237="","",TEXT(B237,"yyyy-mm"))</f>
        <v>0</v>
      </c>
      <c r="U237" s="49">
        <f>IF(B237="","",IF(P237="Pending","Awaiting approval",IF(M237="","Missing receipt",IF(AND(O237&lt;&gt;"",O237&lt;=TODAY()),"Recurring cost due","OK"))))</f>
        <v>0</v>
      </c>
    </row>
    <row r="238" spans="1:21">
      <c r="A238" s="46">
        <f>IF(B238="","","EX-"&amp;TEXT(ROW()-4,"0000"))</f>
        <v>0</v>
      </c>
      <c r="G238" s="29">
        <f>IF(F238="","",IF(TaxRegistered&lt;&gt;"Yes",0,ROUND(F238-F238/(1+TaxRate),2)))</f>
        <v>0</v>
      </c>
      <c r="H238" s="29">
        <f>IF(F238="","",ROUND(F238-G238,2))</f>
        <v>0</v>
      </c>
      <c r="L238" s="29">
        <f>IF(F238="","",IF(J238="Personal",0,ROUND(H238*IF(K238="",1,K238),2)))</f>
        <v>0</v>
      </c>
      <c r="O238" s="21">
        <f>IF(OR(B238="",N238="",N238="No"),"",IF(N238="Monthly",EDATE(B238,1),IF(N238="Quarterly",EDATE(B238,3),IF(N238="Annually",EDATE(B238,12),B238+IF(N238="Weekly",7,IF(N238="Fortnightly",14,0))))))</f>
        <v>0</v>
      </c>
      <c r="T238" s="28">
        <f>IF(B238="","",TEXT(B238,"yyyy-mm"))</f>
        <v>0</v>
      </c>
      <c r="U238" s="49">
        <f>IF(B238="","",IF(P238="Pending","Awaiting approval",IF(M238="","Missing receipt",IF(AND(O238&lt;&gt;"",O238&lt;=TODAY()),"Recurring cost due","OK"))))</f>
        <v>0</v>
      </c>
    </row>
    <row r="239" spans="1:21">
      <c r="A239" s="46">
        <f>IF(B239="","","EX-"&amp;TEXT(ROW()-4,"0000"))</f>
        <v>0</v>
      </c>
      <c r="G239" s="29">
        <f>IF(F239="","",IF(TaxRegistered&lt;&gt;"Yes",0,ROUND(F239-F239/(1+TaxRate),2)))</f>
        <v>0</v>
      </c>
      <c r="H239" s="29">
        <f>IF(F239="","",ROUND(F239-G239,2))</f>
        <v>0</v>
      </c>
      <c r="L239" s="29">
        <f>IF(F239="","",IF(J239="Personal",0,ROUND(H239*IF(K239="",1,K239),2)))</f>
        <v>0</v>
      </c>
      <c r="O239" s="21">
        <f>IF(OR(B239="",N239="",N239="No"),"",IF(N239="Monthly",EDATE(B239,1),IF(N239="Quarterly",EDATE(B239,3),IF(N239="Annually",EDATE(B239,12),B239+IF(N239="Weekly",7,IF(N239="Fortnightly",14,0))))))</f>
        <v>0</v>
      </c>
      <c r="T239" s="28">
        <f>IF(B239="","",TEXT(B239,"yyyy-mm"))</f>
        <v>0</v>
      </c>
      <c r="U239" s="49">
        <f>IF(B239="","",IF(P239="Pending","Awaiting approval",IF(M239="","Missing receipt",IF(AND(O239&lt;&gt;"",O239&lt;=TODAY()),"Recurring cost due","OK"))))</f>
        <v>0</v>
      </c>
    </row>
    <row r="240" spans="1:21">
      <c r="A240" s="46">
        <f>IF(B240="","","EX-"&amp;TEXT(ROW()-4,"0000"))</f>
        <v>0</v>
      </c>
      <c r="G240" s="29">
        <f>IF(F240="","",IF(TaxRegistered&lt;&gt;"Yes",0,ROUND(F240-F240/(1+TaxRate),2)))</f>
        <v>0</v>
      </c>
      <c r="H240" s="29">
        <f>IF(F240="","",ROUND(F240-G240,2))</f>
        <v>0</v>
      </c>
      <c r="L240" s="29">
        <f>IF(F240="","",IF(J240="Personal",0,ROUND(H240*IF(K240="",1,K240),2)))</f>
        <v>0</v>
      </c>
      <c r="O240" s="21">
        <f>IF(OR(B240="",N240="",N240="No"),"",IF(N240="Monthly",EDATE(B240,1),IF(N240="Quarterly",EDATE(B240,3),IF(N240="Annually",EDATE(B240,12),B240+IF(N240="Weekly",7,IF(N240="Fortnightly",14,0))))))</f>
        <v>0</v>
      </c>
      <c r="T240" s="28">
        <f>IF(B240="","",TEXT(B240,"yyyy-mm"))</f>
        <v>0</v>
      </c>
      <c r="U240" s="49">
        <f>IF(B240="","",IF(P240="Pending","Awaiting approval",IF(M240="","Missing receipt",IF(AND(O240&lt;&gt;"",O240&lt;=TODAY()),"Recurring cost due","OK"))))</f>
        <v>0</v>
      </c>
    </row>
    <row r="241" spans="1:21">
      <c r="A241" s="46">
        <f>IF(B241="","","EX-"&amp;TEXT(ROW()-4,"0000"))</f>
        <v>0</v>
      </c>
      <c r="G241" s="29">
        <f>IF(F241="","",IF(TaxRegistered&lt;&gt;"Yes",0,ROUND(F241-F241/(1+TaxRate),2)))</f>
        <v>0</v>
      </c>
      <c r="H241" s="29">
        <f>IF(F241="","",ROUND(F241-G241,2))</f>
        <v>0</v>
      </c>
      <c r="L241" s="29">
        <f>IF(F241="","",IF(J241="Personal",0,ROUND(H241*IF(K241="",1,K241),2)))</f>
        <v>0</v>
      </c>
      <c r="O241" s="21">
        <f>IF(OR(B241="",N241="",N241="No"),"",IF(N241="Monthly",EDATE(B241,1),IF(N241="Quarterly",EDATE(B241,3),IF(N241="Annually",EDATE(B241,12),B241+IF(N241="Weekly",7,IF(N241="Fortnightly",14,0))))))</f>
        <v>0</v>
      </c>
      <c r="T241" s="28">
        <f>IF(B241="","",TEXT(B241,"yyyy-mm"))</f>
        <v>0</v>
      </c>
      <c r="U241" s="49">
        <f>IF(B241="","",IF(P241="Pending","Awaiting approval",IF(M241="","Missing receipt",IF(AND(O241&lt;&gt;"",O241&lt;=TODAY()),"Recurring cost due","OK"))))</f>
        <v>0</v>
      </c>
    </row>
    <row r="242" spans="1:21">
      <c r="A242" s="46">
        <f>IF(B242="","","EX-"&amp;TEXT(ROW()-4,"0000"))</f>
        <v>0</v>
      </c>
      <c r="G242" s="29">
        <f>IF(F242="","",IF(TaxRegistered&lt;&gt;"Yes",0,ROUND(F242-F242/(1+TaxRate),2)))</f>
        <v>0</v>
      </c>
      <c r="H242" s="29">
        <f>IF(F242="","",ROUND(F242-G242,2))</f>
        <v>0</v>
      </c>
      <c r="L242" s="29">
        <f>IF(F242="","",IF(J242="Personal",0,ROUND(H242*IF(K242="",1,K242),2)))</f>
        <v>0</v>
      </c>
      <c r="O242" s="21">
        <f>IF(OR(B242="",N242="",N242="No"),"",IF(N242="Monthly",EDATE(B242,1),IF(N242="Quarterly",EDATE(B242,3),IF(N242="Annually",EDATE(B242,12),B242+IF(N242="Weekly",7,IF(N242="Fortnightly",14,0))))))</f>
        <v>0</v>
      </c>
      <c r="T242" s="28">
        <f>IF(B242="","",TEXT(B242,"yyyy-mm"))</f>
        <v>0</v>
      </c>
      <c r="U242" s="49">
        <f>IF(B242="","",IF(P242="Pending","Awaiting approval",IF(M242="","Missing receipt",IF(AND(O242&lt;&gt;"",O242&lt;=TODAY()),"Recurring cost due","OK"))))</f>
        <v>0</v>
      </c>
    </row>
    <row r="243" spans="1:21">
      <c r="A243" s="46">
        <f>IF(B243="","","EX-"&amp;TEXT(ROW()-4,"0000"))</f>
        <v>0</v>
      </c>
      <c r="G243" s="29">
        <f>IF(F243="","",IF(TaxRegistered&lt;&gt;"Yes",0,ROUND(F243-F243/(1+TaxRate),2)))</f>
        <v>0</v>
      </c>
      <c r="H243" s="29">
        <f>IF(F243="","",ROUND(F243-G243,2))</f>
        <v>0</v>
      </c>
      <c r="L243" s="29">
        <f>IF(F243="","",IF(J243="Personal",0,ROUND(H243*IF(K243="",1,K243),2)))</f>
        <v>0</v>
      </c>
      <c r="O243" s="21">
        <f>IF(OR(B243="",N243="",N243="No"),"",IF(N243="Monthly",EDATE(B243,1),IF(N243="Quarterly",EDATE(B243,3),IF(N243="Annually",EDATE(B243,12),B243+IF(N243="Weekly",7,IF(N243="Fortnightly",14,0))))))</f>
        <v>0</v>
      </c>
      <c r="T243" s="28">
        <f>IF(B243="","",TEXT(B243,"yyyy-mm"))</f>
        <v>0</v>
      </c>
      <c r="U243" s="49">
        <f>IF(B243="","",IF(P243="Pending","Awaiting approval",IF(M243="","Missing receipt",IF(AND(O243&lt;&gt;"",O243&lt;=TODAY()),"Recurring cost due","OK"))))</f>
        <v>0</v>
      </c>
    </row>
    <row r="244" spans="1:21">
      <c r="A244" s="46">
        <f>IF(B244="","","EX-"&amp;TEXT(ROW()-4,"0000"))</f>
        <v>0</v>
      </c>
      <c r="G244" s="29">
        <f>IF(F244="","",IF(TaxRegistered&lt;&gt;"Yes",0,ROUND(F244-F244/(1+TaxRate),2)))</f>
        <v>0</v>
      </c>
      <c r="H244" s="29">
        <f>IF(F244="","",ROUND(F244-G244,2))</f>
        <v>0</v>
      </c>
      <c r="L244" s="29">
        <f>IF(F244="","",IF(J244="Personal",0,ROUND(H244*IF(K244="",1,K244),2)))</f>
        <v>0</v>
      </c>
      <c r="O244" s="21">
        <f>IF(OR(B244="",N244="",N244="No"),"",IF(N244="Monthly",EDATE(B244,1),IF(N244="Quarterly",EDATE(B244,3),IF(N244="Annually",EDATE(B244,12),B244+IF(N244="Weekly",7,IF(N244="Fortnightly",14,0))))))</f>
        <v>0</v>
      </c>
      <c r="T244" s="28">
        <f>IF(B244="","",TEXT(B244,"yyyy-mm"))</f>
        <v>0</v>
      </c>
      <c r="U244" s="49">
        <f>IF(B244="","",IF(P244="Pending","Awaiting approval",IF(M244="","Missing receipt",IF(AND(O244&lt;&gt;"",O244&lt;=TODAY()),"Recurring cost due","OK"))))</f>
        <v>0</v>
      </c>
    </row>
    <row r="245" spans="1:21">
      <c r="A245" s="46">
        <f>IF(B245="","","EX-"&amp;TEXT(ROW()-4,"0000"))</f>
        <v>0</v>
      </c>
      <c r="G245" s="29">
        <f>IF(F245="","",IF(TaxRegistered&lt;&gt;"Yes",0,ROUND(F245-F245/(1+TaxRate),2)))</f>
        <v>0</v>
      </c>
      <c r="H245" s="29">
        <f>IF(F245="","",ROUND(F245-G245,2))</f>
        <v>0</v>
      </c>
      <c r="L245" s="29">
        <f>IF(F245="","",IF(J245="Personal",0,ROUND(H245*IF(K245="",1,K245),2)))</f>
        <v>0</v>
      </c>
      <c r="O245" s="21">
        <f>IF(OR(B245="",N245="",N245="No"),"",IF(N245="Monthly",EDATE(B245,1),IF(N245="Quarterly",EDATE(B245,3),IF(N245="Annually",EDATE(B245,12),B245+IF(N245="Weekly",7,IF(N245="Fortnightly",14,0))))))</f>
        <v>0</v>
      </c>
      <c r="T245" s="28">
        <f>IF(B245="","",TEXT(B245,"yyyy-mm"))</f>
        <v>0</v>
      </c>
      <c r="U245" s="49">
        <f>IF(B245="","",IF(P245="Pending","Awaiting approval",IF(M245="","Missing receipt",IF(AND(O245&lt;&gt;"",O245&lt;=TODAY()),"Recurring cost due","OK"))))</f>
        <v>0</v>
      </c>
    </row>
    <row r="246" spans="1:21">
      <c r="A246" s="46">
        <f>IF(B246="","","EX-"&amp;TEXT(ROW()-4,"0000"))</f>
        <v>0</v>
      </c>
      <c r="G246" s="29">
        <f>IF(F246="","",IF(TaxRegistered&lt;&gt;"Yes",0,ROUND(F246-F246/(1+TaxRate),2)))</f>
        <v>0</v>
      </c>
      <c r="H246" s="29">
        <f>IF(F246="","",ROUND(F246-G246,2))</f>
        <v>0</v>
      </c>
      <c r="L246" s="29">
        <f>IF(F246="","",IF(J246="Personal",0,ROUND(H246*IF(K246="",1,K246),2)))</f>
        <v>0</v>
      </c>
      <c r="O246" s="21">
        <f>IF(OR(B246="",N246="",N246="No"),"",IF(N246="Monthly",EDATE(B246,1),IF(N246="Quarterly",EDATE(B246,3),IF(N246="Annually",EDATE(B246,12),B246+IF(N246="Weekly",7,IF(N246="Fortnightly",14,0))))))</f>
        <v>0</v>
      </c>
      <c r="T246" s="28">
        <f>IF(B246="","",TEXT(B246,"yyyy-mm"))</f>
        <v>0</v>
      </c>
      <c r="U246" s="49">
        <f>IF(B246="","",IF(P246="Pending","Awaiting approval",IF(M246="","Missing receipt",IF(AND(O246&lt;&gt;"",O246&lt;=TODAY()),"Recurring cost due","OK"))))</f>
        <v>0</v>
      </c>
    </row>
    <row r="247" spans="1:21">
      <c r="A247" s="46">
        <f>IF(B247="","","EX-"&amp;TEXT(ROW()-4,"0000"))</f>
        <v>0</v>
      </c>
      <c r="G247" s="29">
        <f>IF(F247="","",IF(TaxRegistered&lt;&gt;"Yes",0,ROUND(F247-F247/(1+TaxRate),2)))</f>
        <v>0</v>
      </c>
      <c r="H247" s="29">
        <f>IF(F247="","",ROUND(F247-G247,2))</f>
        <v>0</v>
      </c>
      <c r="L247" s="29">
        <f>IF(F247="","",IF(J247="Personal",0,ROUND(H247*IF(K247="",1,K247),2)))</f>
        <v>0</v>
      </c>
      <c r="O247" s="21">
        <f>IF(OR(B247="",N247="",N247="No"),"",IF(N247="Monthly",EDATE(B247,1),IF(N247="Quarterly",EDATE(B247,3),IF(N247="Annually",EDATE(B247,12),B247+IF(N247="Weekly",7,IF(N247="Fortnightly",14,0))))))</f>
        <v>0</v>
      </c>
      <c r="T247" s="28">
        <f>IF(B247="","",TEXT(B247,"yyyy-mm"))</f>
        <v>0</v>
      </c>
      <c r="U247" s="49">
        <f>IF(B247="","",IF(P247="Pending","Awaiting approval",IF(M247="","Missing receipt",IF(AND(O247&lt;&gt;"",O247&lt;=TODAY()),"Recurring cost due","OK"))))</f>
        <v>0</v>
      </c>
    </row>
    <row r="248" spans="1:21">
      <c r="A248" s="46">
        <f>IF(B248="","","EX-"&amp;TEXT(ROW()-4,"0000"))</f>
        <v>0</v>
      </c>
      <c r="G248" s="29">
        <f>IF(F248="","",IF(TaxRegistered&lt;&gt;"Yes",0,ROUND(F248-F248/(1+TaxRate),2)))</f>
        <v>0</v>
      </c>
      <c r="H248" s="29">
        <f>IF(F248="","",ROUND(F248-G248,2))</f>
        <v>0</v>
      </c>
      <c r="L248" s="29">
        <f>IF(F248="","",IF(J248="Personal",0,ROUND(H248*IF(K248="",1,K248),2)))</f>
        <v>0</v>
      </c>
      <c r="O248" s="21">
        <f>IF(OR(B248="",N248="",N248="No"),"",IF(N248="Monthly",EDATE(B248,1),IF(N248="Quarterly",EDATE(B248,3),IF(N248="Annually",EDATE(B248,12),B248+IF(N248="Weekly",7,IF(N248="Fortnightly",14,0))))))</f>
        <v>0</v>
      </c>
      <c r="T248" s="28">
        <f>IF(B248="","",TEXT(B248,"yyyy-mm"))</f>
        <v>0</v>
      </c>
      <c r="U248" s="49">
        <f>IF(B248="","",IF(P248="Pending","Awaiting approval",IF(M248="","Missing receipt",IF(AND(O248&lt;&gt;"",O248&lt;=TODAY()),"Recurring cost due","OK"))))</f>
        <v>0</v>
      </c>
    </row>
    <row r="249" spans="1:21">
      <c r="A249" s="46">
        <f>IF(B249="","","EX-"&amp;TEXT(ROW()-4,"0000"))</f>
        <v>0</v>
      </c>
      <c r="G249" s="29">
        <f>IF(F249="","",IF(TaxRegistered&lt;&gt;"Yes",0,ROUND(F249-F249/(1+TaxRate),2)))</f>
        <v>0</v>
      </c>
      <c r="H249" s="29">
        <f>IF(F249="","",ROUND(F249-G249,2))</f>
        <v>0</v>
      </c>
      <c r="L249" s="29">
        <f>IF(F249="","",IF(J249="Personal",0,ROUND(H249*IF(K249="",1,K249),2)))</f>
        <v>0</v>
      </c>
      <c r="O249" s="21">
        <f>IF(OR(B249="",N249="",N249="No"),"",IF(N249="Monthly",EDATE(B249,1),IF(N249="Quarterly",EDATE(B249,3),IF(N249="Annually",EDATE(B249,12),B249+IF(N249="Weekly",7,IF(N249="Fortnightly",14,0))))))</f>
        <v>0</v>
      </c>
      <c r="T249" s="28">
        <f>IF(B249="","",TEXT(B249,"yyyy-mm"))</f>
        <v>0</v>
      </c>
      <c r="U249" s="49">
        <f>IF(B249="","",IF(P249="Pending","Awaiting approval",IF(M249="","Missing receipt",IF(AND(O249&lt;&gt;"",O249&lt;=TODAY()),"Recurring cost due","OK"))))</f>
        <v>0</v>
      </c>
    </row>
    <row r="250" spans="1:21">
      <c r="A250" s="46">
        <f>IF(B250="","","EX-"&amp;TEXT(ROW()-4,"0000"))</f>
        <v>0</v>
      </c>
      <c r="G250" s="29">
        <f>IF(F250="","",IF(TaxRegistered&lt;&gt;"Yes",0,ROUND(F250-F250/(1+TaxRate),2)))</f>
        <v>0</v>
      </c>
      <c r="H250" s="29">
        <f>IF(F250="","",ROUND(F250-G250,2))</f>
        <v>0</v>
      </c>
      <c r="L250" s="29">
        <f>IF(F250="","",IF(J250="Personal",0,ROUND(H250*IF(K250="",1,K250),2)))</f>
        <v>0</v>
      </c>
      <c r="O250" s="21">
        <f>IF(OR(B250="",N250="",N250="No"),"",IF(N250="Monthly",EDATE(B250,1),IF(N250="Quarterly",EDATE(B250,3),IF(N250="Annually",EDATE(B250,12),B250+IF(N250="Weekly",7,IF(N250="Fortnightly",14,0))))))</f>
        <v>0</v>
      </c>
      <c r="T250" s="28">
        <f>IF(B250="","",TEXT(B250,"yyyy-mm"))</f>
        <v>0</v>
      </c>
      <c r="U250" s="49">
        <f>IF(B250="","",IF(P250="Pending","Awaiting approval",IF(M250="","Missing receipt",IF(AND(O250&lt;&gt;"",O250&lt;=TODAY()),"Recurring cost due","OK"))))</f>
        <v>0</v>
      </c>
    </row>
    <row r="251" spans="1:21">
      <c r="A251" s="46">
        <f>IF(B251="","","EX-"&amp;TEXT(ROW()-4,"0000"))</f>
        <v>0</v>
      </c>
      <c r="G251" s="29">
        <f>IF(F251="","",IF(TaxRegistered&lt;&gt;"Yes",0,ROUND(F251-F251/(1+TaxRate),2)))</f>
        <v>0</v>
      </c>
      <c r="H251" s="29">
        <f>IF(F251="","",ROUND(F251-G251,2))</f>
        <v>0</v>
      </c>
      <c r="L251" s="29">
        <f>IF(F251="","",IF(J251="Personal",0,ROUND(H251*IF(K251="",1,K251),2)))</f>
        <v>0</v>
      </c>
      <c r="O251" s="21">
        <f>IF(OR(B251="",N251="",N251="No"),"",IF(N251="Monthly",EDATE(B251,1),IF(N251="Quarterly",EDATE(B251,3),IF(N251="Annually",EDATE(B251,12),B251+IF(N251="Weekly",7,IF(N251="Fortnightly",14,0))))))</f>
        <v>0</v>
      </c>
      <c r="T251" s="28">
        <f>IF(B251="","",TEXT(B251,"yyyy-mm"))</f>
        <v>0</v>
      </c>
      <c r="U251" s="49">
        <f>IF(B251="","",IF(P251="Pending","Awaiting approval",IF(M251="","Missing receipt",IF(AND(O251&lt;&gt;"",O251&lt;=TODAY()),"Recurring cost due","OK"))))</f>
        <v>0</v>
      </c>
    </row>
    <row r="252" spans="1:21">
      <c r="A252" s="46">
        <f>IF(B252="","","EX-"&amp;TEXT(ROW()-4,"0000"))</f>
        <v>0</v>
      </c>
      <c r="G252" s="29">
        <f>IF(F252="","",IF(TaxRegistered&lt;&gt;"Yes",0,ROUND(F252-F252/(1+TaxRate),2)))</f>
        <v>0</v>
      </c>
      <c r="H252" s="29">
        <f>IF(F252="","",ROUND(F252-G252,2))</f>
        <v>0</v>
      </c>
      <c r="L252" s="29">
        <f>IF(F252="","",IF(J252="Personal",0,ROUND(H252*IF(K252="",1,K252),2)))</f>
        <v>0</v>
      </c>
      <c r="O252" s="21">
        <f>IF(OR(B252="",N252="",N252="No"),"",IF(N252="Monthly",EDATE(B252,1),IF(N252="Quarterly",EDATE(B252,3),IF(N252="Annually",EDATE(B252,12),B252+IF(N252="Weekly",7,IF(N252="Fortnightly",14,0))))))</f>
        <v>0</v>
      </c>
      <c r="T252" s="28">
        <f>IF(B252="","",TEXT(B252,"yyyy-mm"))</f>
        <v>0</v>
      </c>
      <c r="U252" s="49">
        <f>IF(B252="","",IF(P252="Pending","Awaiting approval",IF(M252="","Missing receipt",IF(AND(O252&lt;&gt;"",O252&lt;=TODAY()),"Recurring cost due","OK"))))</f>
        <v>0</v>
      </c>
    </row>
    <row r="253" spans="1:21">
      <c r="A253" s="46">
        <f>IF(B253="","","EX-"&amp;TEXT(ROW()-4,"0000"))</f>
        <v>0</v>
      </c>
      <c r="G253" s="29">
        <f>IF(F253="","",IF(TaxRegistered&lt;&gt;"Yes",0,ROUND(F253-F253/(1+TaxRate),2)))</f>
        <v>0</v>
      </c>
      <c r="H253" s="29">
        <f>IF(F253="","",ROUND(F253-G253,2))</f>
        <v>0</v>
      </c>
      <c r="L253" s="29">
        <f>IF(F253="","",IF(J253="Personal",0,ROUND(H253*IF(K253="",1,K253),2)))</f>
        <v>0</v>
      </c>
      <c r="O253" s="21">
        <f>IF(OR(B253="",N253="",N253="No"),"",IF(N253="Monthly",EDATE(B253,1),IF(N253="Quarterly",EDATE(B253,3),IF(N253="Annually",EDATE(B253,12),B253+IF(N253="Weekly",7,IF(N253="Fortnightly",14,0))))))</f>
        <v>0</v>
      </c>
      <c r="T253" s="28">
        <f>IF(B253="","",TEXT(B253,"yyyy-mm"))</f>
        <v>0</v>
      </c>
      <c r="U253" s="49">
        <f>IF(B253="","",IF(P253="Pending","Awaiting approval",IF(M253="","Missing receipt",IF(AND(O253&lt;&gt;"",O253&lt;=TODAY()),"Recurring cost due","OK"))))</f>
        <v>0</v>
      </c>
    </row>
    <row r="254" spans="1:21">
      <c r="A254" s="46">
        <f>IF(B254="","","EX-"&amp;TEXT(ROW()-4,"0000"))</f>
        <v>0</v>
      </c>
      <c r="G254" s="29">
        <f>IF(F254="","",IF(TaxRegistered&lt;&gt;"Yes",0,ROUND(F254-F254/(1+TaxRate),2)))</f>
        <v>0</v>
      </c>
      <c r="H254" s="29">
        <f>IF(F254="","",ROUND(F254-G254,2))</f>
        <v>0</v>
      </c>
      <c r="L254" s="29">
        <f>IF(F254="","",IF(J254="Personal",0,ROUND(H254*IF(K254="",1,K254),2)))</f>
        <v>0</v>
      </c>
      <c r="O254" s="21">
        <f>IF(OR(B254="",N254="",N254="No"),"",IF(N254="Monthly",EDATE(B254,1),IF(N254="Quarterly",EDATE(B254,3),IF(N254="Annually",EDATE(B254,12),B254+IF(N254="Weekly",7,IF(N254="Fortnightly",14,0))))))</f>
        <v>0</v>
      </c>
      <c r="T254" s="28">
        <f>IF(B254="","",TEXT(B254,"yyyy-mm"))</f>
        <v>0</v>
      </c>
      <c r="U254" s="49">
        <f>IF(B254="","",IF(P254="Pending","Awaiting approval",IF(M254="","Missing receipt",IF(AND(O254&lt;&gt;"",O254&lt;=TODAY()),"Recurring cost due","OK"))))</f>
        <v>0</v>
      </c>
    </row>
    <row r="255" spans="1:21">
      <c r="A255" s="46">
        <f>IF(B255="","","EX-"&amp;TEXT(ROW()-4,"0000"))</f>
        <v>0</v>
      </c>
      <c r="G255" s="29">
        <f>IF(F255="","",IF(TaxRegistered&lt;&gt;"Yes",0,ROUND(F255-F255/(1+TaxRate),2)))</f>
        <v>0</v>
      </c>
      <c r="H255" s="29">
        <f>IF(F255="","",ROUND(F255-G255,2))</f>
        <v>0</v>
      </c>
      <c r="L255" s="29">
        <f>IF(F255="","",IF(J255="Personal",0,ROUND(H255*IF(K255="",1,K255),2)))</f>
        <v>0</v>
      </c>
      <c r="O255" s="21">
        <f>IF(OR(B255="",N255="",N255="No"),"",IF(N255="Monthly",EDATE(B255,1),IF(N255="Quarterly",EDATE(B255,3),IF(N255="Annually",EDATE(B255,12),B255+IF(N255="Weekly",7,IF(N255="Fortnightly",14,0))))))</f>
        <v>0</v>
      </c>
      <c r="T255" s="28">
        <f>IF(B255="","",TEXT(B255,"yyyy-mm"))</f>
        <v>0</v>
      </c>
      <c r="U255" s="49">
        <f>IF(B255="","",IF(P255="Pending","Awaiting approval",IF(M255="","Missing receipt",IF(AND(O255&lt;&gt;"",O255&lt;=TODAY()),"Recurring cost due","OK"))))</f>
        <v>0</v>
      </c>
    </row>
    <row r="256" spans="1:21">
      <c r="A256" s="46">
        <f>IF(B256="","","EX-"&amp;TEXT(ROW()-4,"0000"))</f>
        <v>0</v>
      </c>
      <c r="G256" s="29">
        <f>IF(F256="","",IF(TaxRegistered&lt;&gt;"Yes",0,ROUND(F256-F256/(1+TaxRate),2)))</f>
        <v>0</v>
      </c>
      <c r="H256" s="29">
        <f>IF(F256="","",ROUND(F256-G256,2))</f>
        <v>0</v>
      </c>
      <c r="L256" s="29">
        <f>IF(F256="","",IF(J256="Personal",0,ROUND(H256*IF(K256="",1,K256),2)))</f>
        <v>0</v>
      </c>
      <c r="O256" s="21">
        <f>IF(OR(B256="",N256="",N256="No"),"",IF(N256="Monthly",EDATE(B256,1),IF(N256="Quarterly",EDATE(B256,3),IF(N256="Annually",EDATE(B256,12),B256+IF(N256="Weekly",7,IF(N256="Fortnightly",14,0))))))</f>
        <v>0</v>
      </c>
      <c r="T256" s="28">
        <f>IF(B256="","",TEXT(B256,"yyyy-mm"))</f>
        <v>0</v>
      </c>
      <c r="U256" s="49">
        <f>IF(B256="","",IF(P256="Pending","Awaiting approval",IF(M256="","Missing receipt",IF(AND(O256&lt;&gt;"",O256&lt;=TODAY()),"Recurring cost due","OK"))))</f>
        <v>0</v>
      </c>
    </row>
    <row r="257" spans="1:21">
      <c r="A257" s="46">
        <f>IF(B257="","","EX-"&amp;TEXT(ROW()-4,"0000"))</f>
        <v>0</v>
      </c>
      <c r="G257" s="29">
        <f>IF(F257="","",IF(TaxRegistered&lt;&gt;"Yes",0,ROUND(F257-F257/(1+TaxRate),2)))</f>
        <v>0</v>
      </c>
      <c r="H257" s="29">
        <f>IF(F257="","",ROUND(F257-G257,2))</f>
        <v>0</v>
      </c>
      <c r="L257" s="29">
        <f>IF(F257="","",IF(J257="Personal",0,ROUND(H257*IF(K257="",1,K257),2)))</f>
        <v>0</v>
      </c>
      <c r="O257" s="21">
        <f>IF(OR(B257="",N257="",N257="No"),"",IF(N257="Monthly",EDATE(B257,1),IF(N257="Quarterly",EDATE(B257,3),IF(N257="Annually",EDATE(B257,12),B257+IF(N257="Weekly",7,IF(N257="Fortnightly",14,0))))))</f>
        <v>0</v>
      </c>
      <c r="T257" s="28">
        <f>IF(B257="","",TEXT(B257,"yyyy-mm"))</f>
        <v>0</v>
      </c>
      <c r="U257" s="49">
        <f>IF(B257="","",IF(P257="Pending","Awaiting approval",IF(M257="","Missing receipt",IF(AND(O257&lt;&gt;"",O257&lt;=TODAY()),"Recurring cost due","OK"))))</f>
        <v>0</v>
      </c>
    </row>
    <row r="258" spans="1:21">
      <c r="A258" s="46">
        <f>IF(B258="","","EX-"&amp;TEXT(ROW()-4,"0000"))</f>
        <v>0</v>
      </c>
      <c r="G258" s="29">
        <f>IF(F258="","",IF(TaxRegistered&lt;&gt;"Yes",0,ROUND(F258-F258/(1+TaxRate),2)))</f>
        <v>0</v>
      </c>
      <c r="H258" s="29">
        <f>IF(F258="","",ROUND(F258-G258,2))</f>
        <v>0</v>
      </c>
      <c r="L258" s="29">
        <f>IF(F258="","",IF(J258="Personal",0,ROUND(H258*IF(K258="",1,K258),2)))</f>
        <v>0</v>
      </c>
      <c r="O258" s="21">
        <f>IF(OR(B258="",N258="",N258="No"),"",IF(N258="Monthly",EDATE(B258,1),IF(N258="Quarterly",EDATE(B258,3),IF(N258="Annually",EDATE(B258,12),B258+IF(N258="Weekly",7,IF(N258="Fortnightly",14,0))))))</f>
        <v>0</v>
      </c>
      <c r="T258" s="28">
        <f>IF(B258="","",TEXT(B258,"yyyy-mm"))</f>
        <v>0</v>
      </c>
      <c r="U258" s="49">
        <f>IF(B258="","",IF(P258="Pending","Awaiting approval",IF(M258="","Missing receipt",IF(AND(O258&lt;&gt;"",O258&lt;=TODAY()),"Recurring cost due","OK"))))</f>
        <v>0</v>
      </c>
    </row>
    <row r="259" spans="1:21">
      <c r="A259" s="46">
        <f>IF(B259="","","EX-"&amp;TEXT(ROW()-4,"0000"))</f>
        <v>0</v>
      </c>
      <c r="G259" s="29">
        <f>IF(F259="","",IF(TaxRegistered&lt;&gt;"Yes",0,ROUND(F259-F259/(1+TaxRate),2)))</f>
        <v>0</v>
      </c>
      <c r="H259" s="29">
        <f>IF(F259="","",ROUND(F259-G259,2))</f>
        <v>0</v>
      </c>
      <c r="L259" s="29">
        <f>IF(F259="","",IF(J259="Personal",0,ROUND(H259*IF(K259="",1,K259),2)))</f>
        <v>0</v>
      </c>
      <c r="O259" s="21">
        <f>IF(OR(B259="",N259="",N259="No"),"",IF(N259="Monthly",EDATE(B259,1),IF(N259="Quarterly",EDATE(B259,3),IF(N259="Annually",EDATE(B259,12),B259+IF(N259="Weekly",7,IF(N259="Fortnightly",14,0))))))</f>
        <v>0</v>
      </c>
      <c r="T259" s="28">
        <f>IF(B259="","",TEXT(B259,"yyyy-mm"))</f>
        <v>0</v>
      </c>
      <c r="U259" s="49">
        <f>IF(B259="","",IF(P259="Pending","Awaiting approval",IF(M259="","Missing receipt",IF(AND(O259&lt;&gt;"",O259&lt;=TODAY()),"Recurring cost due","OK"))))</f>
        <v>0</v>
      </c>
    </row>
    <row r="260" spans="1:21">
      <c r="A260" s="46">
        <f>IF(B260="","","EX-"&amp;TEXT(ROW()-4,"0000"))</f>
        <v>0</v>
      </c>
      <c r="G260" s="29">
        <f>IF(F260="","",IF(TaxRegistered&lt;&gt;"Yes",0,ROUND(F260-F260/(1+TaxRate),2)))</f>
        <v>0</v>
      </c>
      <c r="H260" s="29">
        <f>IF(F260="","",ROUND(F260-G260,2))</f>
        <v>0</v>
      </c>
      <c r="L260" s="29">
        <f>IF(F260="","",IF(J260="Personal",0,ROUND(H260*IF(K260="",1,K260),2)))</f>
        <v>0</v>
      </c>
      <c r="O260" s="21">
        <f>IF(OR(B260="",N260="",N260="No"),"",IF(N260="Monthly",EDATE(B260,1),IF(N260="Quarterly",EDATE(B260,3),IF(N260="Annually",EDATE(B260,12),B260+IF(N260="Weekly",7,IF(N260="Fortnightly",14,0))))))</f>
        <v>0</v>
      </c>
      <c r="T260" s="28">
        <f>IF(B260="","",TEXT(B260,"yyyy-mm"))</f>
        <v>0</v>
      </c>
      <c r="U260" s="49">
        <f>IF(B260="","",IF(P260="Pending","Awaiting approval",IF(M260="","Missing receipt",IF(AND(O260&lt;&gt;"",O260&lt;=TODAY()),"Recurring cost due","OK"))))</f>
        <v>0</v>
      </c>
    </row>
    <row r="261" spans="1:21">
      <c r="A261" s="46">
        <f>IF(B261="","","EX-"&amp;TEXT(ROW()-4,"0000"))</f>
        <v>0</v>
      </c>
      <c r="G261" s="29">
        <f>IF(F261="","",IF(TaxRegistered&lt;&gt;"Yes",0,ROUND(F261-F261/(1+TaxRate),2)))</f>
        <v>0</v>
      </c>
      <c r="H261" s="29">
        <f>IF(F261="","",ROUND(F261-G261,2))</f>
        <v>0</v>
      </c>
      <c r="L261" s="29">
        <f>IF(F261="","",IF(J261="Personal",0,ROUND(H261*IF(K261="",1,K261),2)))</f>
        <v>0</v>
      </c>
      <c r="O261" s="21">
        <f>IF(OR(B261="",N261="",N261="No"),"",IF(N261="Monthly",EDATE(B261,1),IF(N261="Quarterly",EDATE(B261,3),IF(N261="Annually",EDATE(B261,12),B261+IF(N261="Weekly",7,IF(N261="Fortnightly",14,0))))))</f>
        <v>0</v>
      </c>
      <c r="T261" s="28">
        <f>IF(B261="","",TEXT(B261,"yyyy-mm"))</f>
        <v>0</v>
      </c>
      <c r="U261" s="49">
        <f>IF(B261="","",IF(P261="Pending","Awaiting approval",IF(M261="","Missing receipt",IF(AND(O261&lt;&gt;"",O261&lt;=TODAY()),"Recurring cost due","OK"))))</f>
        <v>0</v>
      </c>
    </row>
    <row r="262" spans="1:21">
      <c r="A262" s="46">
        <f>IF(B262="","","EX-"&amp;TEXT(ROW()-4,"0000"))</f>
        <v>0</v>
      </c>
      <c r="G262" s="29">
        <f>IF(F262="","",IF(TaxRegistered&lt;&gt;"Yes",0,ROUND(F262-F262/(1+TaxRate),2)))</f>
        <v>0</v>
      </c>
      <c r="H262" s="29">
        <f>IF(F262="","",ROUND(F262-G262,2))</f>
        <v>0</v>
      </c>
      <c r="L262" s="29">
        <f>IF(F262="","",IF(J262="Personal",0,ROUND(H262*IF(K262="",1,K262),2)))</f>
        <v>0</v>
      </c>
      <c r="O262" s="21">
        <f>IF(OR(B262="",N262="",N262="No"),"",IF(N262="Monthly",EDATE(B262,1),IF(N262="Quarterly",EDATE(B262,3),IF(N262="Annually",EDATE(B262,12),B262+IF(N262="Weekly",7,IF(N262="Fortnightly",14,0))))))</f>
        <v>0</v>
      </c>
      <c r="T262" s="28">
        <f>IF(B262="","",TEXT(B262,"yyyy-mm"))</f>
        <v>0</v>
      </c>
      <c r="U262" s="49">
        <f>IF(B262="","",IF(P262="Pending","Awaiting approval",IF(M262="","Missing receipt",IF(AND(O262&lt;&gt;"",O262&lt;=TODAY()),"Recurring cost due","OK"))))</f>
        <v>0</v>
      </c>
    </row>
    <row r="263" spans="1:21">
      <c r="A263" s="46">
        <f>IF(B263="","","EX-"&amp;TEXT(ROW()-4,"0000"))</f>
        <v>0</v>
      </c>
      <c r="G263" s="29">
        <f>IF(F263="","",IF(TaxRegistered&lt;&gt;"Yes",0,ROUND(F263-F263/(1+TaxRate),2)))</f>
        <v>0</v>
      </c>
      <c r="H263" s="29">
        <f>IF(F263="","",ROUND(F263-G263,2))</f>
        <v>0</v>
      </c>
      <c r="L263" s="29">
        <f>IF(F263="","",IF(J263="Personal",0,ROUND(H263*IF(K263="",1,K263),2)))</f>
        <v>0</v>
      </c>
      <c r="O263" s="21">
        <f>IF(OR(B263="",N263="",N263="No"),"",IF(N263="Monthly",EDATE(B263,1),IF(N263="Quarterly",EDATE(B263,3),IF(N263="Annually",EDATE(B263,12),B263+IF(N263="Weekly",7,IF(N263="Fortnightly",14,0))))))</f>
        <v>0</v>
      </c>
      <c r="T263" s="28">
        <f>IF(B263="","",TEXT(B263,"yyyy-mm"))</f>
        <v>0</v>
      </c>
      <c r="U263" s="49">
        <f>IF(B263="","",IF(P263="Pending","Awaiting approval",IF(M263="","Missing receipt",IF(AND(O263&lt;&gt;"",O263&lt;=TODAY()),"Recurring cost due","OK"))))</f>
        <v>0</v>
      </c>
    </row>
    <row r="264" spans="1:21">
      <c r="A264" s="46">
        <f>IF(B264="","","EX-"&amp;TEXT(ROW()-4,"0000"))</f>
        <v>0</v>
      </c>
      <c r="G264" s="29">
        <f>IF(F264="","",IF(TaxRegistered&lt;&gt;"Yes",0,ROUND(F264-F264/(1+TaxRate),2)))</f>
        <v>0</v>
      </c>
      <c r="H264" s="29">
        <f>IF(F264="","",ROUND(F264-G264,2))</f>
        <v>0</v>
      </c>
      <c r="L264" s="29">
        <f>IF(F264="","",IF(J264="Personal",0,ROUND(H264*IF(K264="",1,K264),2)))</f>
        <v>0</v>
      </c>
      <c r="O264" s="21">
        <f>IF(OR(B264="",N264="",N264="No"),"",IF(N264="Monthly",EDATE(B264,1),IF(N264="Quarterly",EDATE(B264,3),IF(N264="Annually",EDATE(B264,12),B264+IF(N264="Weekly",7,IF(N264="Fortnightly",14,0))))))</f>
        <v>0</v>
      </c>
      <c r="T264" s="28">
        <f>IF(B264="","",TEXT(B264,"yyyy-mm"))</f>
        <v>0</v>
      </c>
      <c r="U264" s="49">
        <f>IF(B264="","",IF(P264="Pending","Awaiting approval",IF(M264="","Missing receipt",IF(AND(O264&lt;&gt;"",O264&lt;=TODAY()),"Recurring cost due","OK"))))</f>
        <v>0</v>
      </c>
    </row>
    <row r="265" spans="1:21">
      <c r="A265" s="46">
        <f>IF(B265="","","EX-"&amp;TEXT(ROW()-4,"0000"))</f>
        <v>0</v>
      </c>
      <c r="G265" s="29">
        <f>IF(F265="","",IF(TaxRegistered&lt;&gt;"Yes",0,ROUND(F265-F265/(1+TaxRate),2)))</f>
        <v>0</v>
      </c>
      <c r="H265" s="29">
        <f>IF(F265="","",ROUND(F265-G265,2))</f>
        <v>0</v>
      </c>
      <c r="L265" s="29">
        <f>IF(F265="","",IF(J265="Personal",0,ROUND(H265*IF(K265="",1,K265),2)))</f>
        <v>0</v>
      </c>
      <c r="O265" s="21">
        <f>IF(OR(B265="",N265="",N265="No"),"",IF(N265="Monthly",EDATE(B265,1),IF(N265="Quarterly",EDATE(B265,3),IF(N265="Annually",EDATE(B265,12),B265+IF(N265="Weekly",7,IF(N265="Fortnightly",14,0))))))</f>
        <v>0</v>
      </c>
      <c r="T265" s="28">
        <f>IF(B265="","",TEXT(B265,"yyyy-mm"))</f>
        <v>0</v>
      </c>
      <c r="U265" s="49">
        <f>IF(B265="","",IF(P265="Pending","Awaiting approval",IF(M265="","Missing receipt",IF(AND(O265&lt;&gt;"",O265&lt;=TODAY()),"Recurring cost due","OK"))))</f>
        <v>0</v>
      </c>
    </row>
    <row r="266" spans="1:21">
      <c r="A266" s="46">
        <f>IF(B266="","","EX-"&amp;TEXT(ROW()-4,"0000"))</f>
        <v>0</v>
      </c>
      <c r="G266" s="29">
        <f>IF(F266="","",IF(TaxRegistered&lt;&gt;"Yes",0,ROUND(F266-F266/(1+TaxRate),2)))</f>
        <v>0</v>
      </c>
      <c r="H266" s="29">
        <f>IF(F266="","",ROUND(F266-G266,2))</f>
        <v>0</v>
      </c>
      <c r="L266" s="29">
        <f>IF(F266="","",IF(J266="Personal",0,ROUND(H266*IF(K266="",1,K266),2)))</f>
        <v>0</v>
      </c>
      <c r="O266" s="21">
        <f>IF(OR(B266="",N266="",N266="No"),"",IF(N266="Monthly",EDATE(B266,1),IF(N266="Quarterly",EDATE(B266,3),IF(N266="Annually",EDATE(B266,12),B266+IF(N266="Weekly",7,IF(N266="Fortnightly",14,0))))))</f>
        <v>0</v>
      </c>
      <c r="T266" s="28">
        <f>IF(B266="","",TEXT(B266,"yyyy-mm"))</f>
        <v>0</v>
      </c>
      <c r="U266" s="49">
        <f>IF(B266="","",IF(P266="Pending","Awaiting approval",IF(M266="","Missing receipt",IF(AND(O266&lt;&gt;"",O266&lt;=TODAY()),"Recurring cost due","OK"))))</f>
        <v>0</v>
      </c>
    </row>
    <row r="267" spans="1:21">
      <c r="A267" s="46">
        <f>IF(B267="","","EX-"&amp;TEXT(ROW()-4,"0000"))</f>
        <v>0</v>
      </c>
      <c r="G267" s="29">
        <f>IF(F267="","",IF(TaxRegistered&lt;&gt;"Yes",0,ROUND(F267-F267/(1+TaxRate),2)))</f>
        <v>0</v>
      </c>
      <c r="H267" s="29">
        <f>IF(F267="","",ROUND(F267-G267,2))</f>
        <v>0</v>
      </c>
      <c r="L267" s="29">
        <f>IF(F267="","",IF(J267="Personal",0,ROUND(H267*IF(K267="",1,K267),2)))</f>
        <v>0</v>
      </c>
      <c r="O267" s="21">
        <f>IF(OR(B267="",N267="",N267="No"),"",IF(N267="Monthly",EDATE(B267,1),IF(N267="Quarterly",EDATE(B267,3),IF(N267="Annually",EDATE(B267,12),B267+IF(N267="Weekly",7,IF(N267="Fortnightly",14,0))))))</f>
        <v>0</v>
      </c>
      <c r="T267" s="28">
        <f>IF(B267="","",TEXT(B267,"yyyy-mm"))</f>
        <v>0</v>
      </c>
      <c r="U267" s="49">
        <f>IF(B267="","",IF(P267="Pending","Awaiting approval",IF(M267="","Missing receipt",IF(AND(O267&lt;&gt;"",O267&lt;=TODAY()),"Recurring cost due","OK"))))</f>
        <v>0</v>
      </c>
    </row>
    <row r="268" spans="1:21">
      <c r="A268" s="46">
        <f>IF(B268="","","EX-"&amp;TEXT(ROW()-4,"0000"))</f>
        <v>0</v>
      </c>
      <c r="G268" s="29">
        <f>IF(F268="","",IF(TaxRegistered&lt;&gt;"Yes",0,ROUND(F268-F268/(1+TaxRate),2)))</f>
        <v>0</v>
      </c>
      <c r="H268" s="29">
        <f>IF(F268="","",ROUND(F268-G268,2))</f>
        <v>0</v>
      </c>
      <c r="L268" s="29">
        <f>IF(F268="","",IF(J268="Personal",0,ROUND(H268*IF(K268="",1,K268),2)))</f>
        <v>0</v>
      </c>
      <c r="O268" s="21">
        <f>IF(OR(B268="",N268="",N268="No"),"",IF(N268="Monthly",EDATE(B268,1),IF(N268="Quarterly",EDATE(B268,3),IF(N268="Annually",EDATE(B268,12),B268+IF(N268="Weekly",7,IF(N268="Fortnightly",14,0))))))</f>
        <v>0</v>
      </c>
      <c r="T268" s="28">
        <f>IF(B268="","",TEXT(B268,"yyyy-mm"))</f>
        <v>0</v>
      </c>
      <c r="U268" s="49">
        <f>IF(B268="","",IF(P268="Pending","Awaiting approval",IF(M268="","Missing receipt",IF(AND(O268&lt;&gt;"",O268&lt;=TODAY()),"Recurring cost due","OK"))))</f>
        <v>0</v>
      </c>
    </row>
    <row r="269" spans="1:21">
      <c r="A269" s="46">
        <f>IF(B269="","","EX-"&amp;TEXT(ROW()-4,"0000"))</f>
        <v>0</v>
      </c>
      <c r="G269" s="29">
        <f>IF(F269="","",IF(TaxRegistered&lt;&gt;"Yes",0,ROUND(F269-F269/(1+TaxRate),2)))</f>
        <v>0</v>
      </c>
      <c r="H269" s="29">
        <f>IF(F269="","",ROUND(F269-G269,2))</f>
        <v>0</v>
      </c>
      <c r="L269" s="29">
        <f>IF(F269="","",IF(J269="Personal",0,ROUND(H269*IF(K269="",1,K269),2)))</f>
        <v>0</v>
      </c>
      <c r="O269" s="21">
        <f>IF(OR(B269="",N269="",N269="No"),"",IF(N269="Monthly",EDATE(B269,1),IF(N269="Quarterly",EDATE(B269,3),IF(N269="Annually",EDATE(B269,12),B269+IF(N269="Weekly",7,IF(N269="Fortnightly",14,0))))))</f>
        <v>0</v>
      </c>
      <c r="T269" s="28">
        <f>IF(B269="","",TEXT(B269,"yyyy-mm"))</f>
        <v>0</v>
      </c>
      <c r="U269" s="49">
        <f>IF(B269="","",IF(P269="Pending","Awaiting approval",IF(M269="","Missing receipt",IF(AND(O269&lt;&gt;"",O269&lt;=TODAY()),"Recurring cost due","OK"))))</f>
        <v>0</v>
      </c>
    </row>
    <row r="270" spans="1:21">
      <c r="A270" s="46">
        <f>IF(B270="","","EX-"&amp;TEXT(ROW()-4,"0000"))</f>
        <v>0</v>
      </c>
      <c r="G270" s="29">
        <f>IF(F270="","",IF(TaxRegistered&lt;&gt;"Yes",0,ROUND(F270-F270/(1+TaxRate),2)))</f>
        <v>0</v>
      </c>
      <c r="H270" s="29">
        <f>IF(F270="","",ROUND(F270-G270,2))</f>
        <v>0</v>
      </c>
      <c r="L270" s="29">
        <f>IF(F270="","",IF(J270="Personal",0,ROUND(H270*IF(K270="",1,K270),2)))</f>
        <v>0</v>
      </c>
      <c r="O270" s="21">
        <f>IF(OR(B270="",N270="",N270="No"),"",IF(N270="Monthly",EDATE(B270,1),IF(N270="Quarterly",EDATE(B270,3),IF(N270="Annually",EDATE(B270,12),B270+IF(N270="Weekly",7,IF(N270="Fortnightly",14,0))))))</f>
        <v>0</v>
      </c>
      <c r="T270" s="28">
        <f>IF(B270="","",TEXT(B270,"yyyy-mm"))</f>
        <v>0</v>
      </c>
      <c r="U270" s="49">
        <f>IF(B270="","",IF(P270="Pending","Awaiting approval",IF(M270="","Missing receipt",IF(AND(O270&lt;&gt;"",O270&lt;=TODAY()),"Recurring cost due","OK"))))</f>
        <v>0</v>
      </c>
    </row>
    <row r="271" spans="1:21">
      <c r="A271" s="46">
        <f>IF(B271="","","EX-"&amp;TEXT(ROW()-4,"0000"))</f>
        <v>0</v>
      </c>
      <c r="G271" s="29">
        <f>IF(F271="","",IF(TaxRegistered&lt;&gt;"Yes",0,ROUND(F271-F271/(1+TaxRate),2)))</f>
        <v>0</v>
      </c>
      <c r="H271" s="29">
        <f>IF(F271="","",ROUND(F271-G271,2))</f>
        <v>0</v>
      </c>
      <c r="L271" s="29">
        <f>IF(F271="","",IF(J271="Personal",0,ROUND(H271*IF(K271="",1,K271),2)))</f>
        <v>0</v>
      </c>
      <c r="O271" s="21">
        <f>IF(OR(B271="",N271="",N271="No"),"",IF(N271="Monthly",EDATE(B271,1),IF(N271="Quarterly",EDATE(B271,3),IF(N271="Annually",EDATE(B271,12),B271+IF(N271="Weekly",7,IF(N271="Fortnightly",14,0))))))</f>
        <v>0</v>
      </c>
      <c r="T271" s="28">
        <f>IF(B271="","",TEXT(B271,"yyyy-mm"))</f>
        <v>0</v>
      </c>
      <c r="U271" s="49">
        <f>IF(B271="","",IF(P271="Pending","Awaiting approval",IF(M271="","Missing receipt",IF(AND(O271&lt;&gt;"",O271&lt;=TODAY()),"Recurring cost due","OK"))))</f>
        <v>0</v>
      </c>
    </row>
    <row r="272" spans="1:21">
      <c r="A272" s="46">
        <f>IF(B272="","","EX-"&amp;TEXT(ROW()-4,"0000"))</f>
        <v>0</v>
      </c>
      <c r="G272" s="29">
        <f>IF(F272="","",IF(TaxRegistered&lt;&gt;"Yes",0,ROUND(F272-F272/(1+TaxRate),2)))</f>
        <v>0</v>
      </c>
      <c r="H272" s="29">
        <f>IF(F272="","",ROUND(F272-G272,2))</f>
        <v>0</v>
      </c>
      <c r="L272" s="29">
        <f>IF(F272="","",IF(J272="Personal",0,ROUND(H272*IF(K272="",1,K272),2)))</f>
        <v>0</v>
      </c>
      <c r="O272" s="21">
        <f>IF(OR(B272="",N272="",N272="No"),"",IF(N272="Monthly",EDATE(B272,1),IF(N272="Quarterly",EDATE(B272,3),IF(N272="Annually",EDATE(B272,12),B272+IF(N272="Weekly",7,IF(N272="Fortnightly",14,0))))))</f>
        <v>0</v>
      </c>
      <c r="T272" s="28">
        <f>IF(B272="","",TEXT(B272,"yyyy-mm"))</f>
        <v>0</v>
      </c>
      <c r="U272" s="49">
        <f>IF(B272="","",IF(P272="Pending","Awaiting approval",IF(M272="","Missing receipt",IF(AND(O272&lt;&gt;"",O272&lt;=TODAY()),"Recurring cost due","OK"))))</f>
        <v>0</v>
      </c>
    </row>
    <row r="273" spans="1:21">
      <c r="A273" s="46">
        <f>IF(B273="","","EX-"&amp;TEXT(ROW()-4,"0000"))</f>
        <v>0</v>
      </c>
      <c r="G273" s="29">
        <f>IF(F273="","",IF(TaxRegistered&lt;&gt;"Yes",0,ROUND(F273-F273/(1+TaxRate),2)))</f>
        <v>0</v>
      </c>
      <c r="H273" s="29">
        <f>IF(F273="","",ROUND(F273-G273,2))</f>
        <v>0</v>
      </c>
      <c r="L273" s="29">
        <f>IF(F273="","",IF(J273="Personal",0,ROUND(H273*IF(K273="",1,K273),2)))</f>
        <v>0</v>
      </c>
      <c r="O273" s="21">
        <f>IF(OR(B273="",N273="",N273="No"),"",IF(N273="Monthly",EDATE(B273,1),IF(N273="Quarterly",EDATE(B273,3),IF(N273="Annually",EDATE(B273,12),B273+IF(N273="Weekly",7,IF(N273="Fortnightly",14,0))))))</f>
        <v>0</v>
      </c>
      <c r="T273" s="28">
        <f>IF(B273="","",TEXT(B273,"yyyy-mm"))</f>
        <v>0</v>
      </c>
      <c r="U273" s="49">
        <f>IF(B273="","",IF(P273="Pending","Awaiting approval",IF(M273="","Missing receipt",IF(AND(O273&lt;&gt;"",O273&lt;=TODAY()),"Recurring cost due","OK"))))</f>
        <v>0</v>
      </c>
    </row>
    <row r="274" spans="1:21">
      <c r="A274" s="46">
        <f>IF(B274="","","EX-"&amp;TEXT(ROW()-4,"0000"))</f>
        <v>0</v>
      </c>
      <c r="G274" s="29">
        <f>IF(F274="","",IF(TaxRegistered&lt;&gt;"Yes",0,ROUND(F274-F274/(1+TaxRate),2)))</f>
        <v>0</v>
      </c>
      <c r="H274" s="29">
        <f>IF(F274="","",ROUND(F274-G274,2))</f>
        <v>0</v>
      </c>
      <c r="L274" s="29">
        <f>IF(F274="","",IF(J274="Personal",0,ROUND(H274*IF(K274="",1,K274),2)))</f>
        <v>0</v>
      </c>
      <c r="O274" s="21">
        <f>IF(OR(B274="",N274="",N274="No"),"",IF(N274="Monthly",EDATE(B274,1),IF(N274="Quarterly",EDATE(B274,3),IF(N274="Annually",EDATE(B274,12),B274+IF(N274="Weekly",7,IF(N274="Fortnightly",14,0))))))</f>
        <v>0</v>
      </c>
      <c r="T274" s="28">
        <f>IF(B274="","",TEXT(B274,"yyyy-mm"))</f>
        <v>0</v>
      </c>
      <c r="U274" s="49">
        <f>IF(B274="","",IF(P274="Pending","Awaiting approval",IF(M274="","Missing receipt",IF(AND(O274&lt;&gt;"",O274&lt;=TODAY()),"Recurring cost due","OK"))))</f>
        <v>0</v>
      </c>
    </row>
    <row r="275" spans="1:21">
      <c r="A275" s="46">
        <f>IF(B275="","","EX-"&amp;TEXT(ROW()-4,"0000"))</f>
        <v>0</v>
      </c>
      <c r="G275" s="29">
        <f>IF(F275="","",IF(TaxRegistered&lt;&gt;"Yes",0,ROUND(F275-F275/(1+TaxRate),2)))</f>
        <v>0</v>
      </c>
      <c r="H275" s="29">
        <f>IF(F275="","",ROUND(F275-G275,2))</f>
        <v>0</v>
      </c>
      <c r="L275" s="29">
        <f>IF(F275="","",IF(J275="Personal",0,ROUND(H275*IF(K275="",1,K275),2)))</f>
        <v>0</v>
      </c>
      <c r="O275" s="21">
        <f>IF(OR(B275="",N275="",N275="No"),"",IF(N275="Monthly",EDATE(B275,1),IF(N275="Quarterly",EDATE(B275,3),IF(N275="Annually",EDATE(B275,12),B275+IF(N275="Weekly",7,IF(N275="Fortnightly",14,0))))))</f>
        <v>0</v>
      </c>
      <c r="T275" s="28">
        <f>IF(B275="","",TEXT(B275,"yyyy-mm"))</f>
        <v>0</v>
      </c>
      <c r="U275" s="49">
        <f>IF(B275="","",IF(P275="Pending","Awaiting approval",IF(M275="","Missing receipt",IF(AND(O275&lt;&gt;"",O275&lt;=TODAY()),"Recurring cost due","OK"))))</f>
        <v>0</v>
      </c>
    </row>
    <row r="276" spans="1:21">
      <c r="A276" s="46">
        <f>IF(B276="","","EX-"&amp;TEXT(ROW()-4,"0000"))</f>
        <v>0</v>
      </c>
      <c r="G276" s="29">
        <f>IF(F276="","",IF(TaxRegistered&lt;&gt;"Yes",0,ROUND(F276-F276/(1+TaxRate),2)))</f>
        <v>0</v>
      </c>
      <c r="H276" s="29">
        <f>IF(F276="","",ROUND(F276-G276,2))</f>
        <v>0</v>
      </c>
      <c r="L276" s="29">
        <f>IF(F276="","",IF(J276="Personal",0,ROUND(H276*IF(K276="",1,K276),2)))</f>
        <v>0</v>
      </c>
      <c r="O276" s="21">
        <f>IF(OR(B276="",N276="",N276="No"),"",IF(N276="Monthly",EDATE(B276,1),IF(N276="Quarterly",EDATE(B276,3),IF(N276="Annually",EDATE(B276,12),B276+IF(N276="Weekly",7,IF(N276="Fortnightly",14,0))))))</f>
        <v>0</v>
      </c>
      <c r="T276" s="28">
        <f>IF(B276="","",TEXT(B276,"yyyy-mm"))</f>
        <v>0</v>
      </c>
      <c r="U276" s="49">
        <f>IF(B276="","",IF(P276="Pending","Awaiting approval",IF(M276="","Missing receipt",IF(AND(O276&lt;&gt;"",O276&lt;=TODAY()),"Recurring cost due","OK"))))</f>
        <v>0</v>
      </c>
    </row>
    <row r="277" spans="1:21">
      <c r="A277" s="46">
        <f>IF(B277="","","EX-"&amp;TEXT(ROW()-4,"0000"))</f>
        <v>0</v>
      </c>
      <c r="G277" s="29">
        <f>IF(F277="","",IF(TaxRegistered&lt;&gt;"Yes",0,ROUND(F277-F277/(1+TaxRate),2)))</f>
        <v>0</v>
      </c>
      <c r="H277" s="29">
        <f>IF(F277="","",ROUND(F277-G277,2))</f>
        <v>0</v>
      </c>
      <c r="L277" s="29">
        <f>IF(F277="","",IF(J277="Personal",0,ROUND(H277*IF(K277="",1,K277),2)))</f>
        <v>0</v>
      </c>
      <c r="O277" s="21">
        <f>IF(OR(B277="",N277="",N277="No"),"",IF(N277="Monthly",EDATE(B277,1),IF(N277="Quarterly",EDATE(B277,3),IF(N277="Annually",EDATE(B277,12),B277+IF(N277="Weekly",7,IF(N277="Fortnightly",14,0))))))</f>
        <v>0</v>
      </c>
      <c r="T277" s="28">
        <f>IF(B277="","",TEXT(B277,"yyyy-mm"))</f>
        <v>0</v>
      </c>
      <c r="U277" s="49">
        <f>IF(B277="","",IF(P277="Pending","Awaiting approval",IF(M277="","Missing receipt",IF(AND(O277&lt;&gt;"",O277&lt;=TODAY()),"Recurring cost due","OK"))))</f>
        <v>0</v>
      </c>
    </row>
    <row r="278" spans="1:21">
      <c r="A278" s="46">
        <f>IF(B278="","","EX-"&amp;TEXT(ROW()-4,"0000"))</f>
        <v>0</v>
      </c>
      <c r="G278" s="29">
        <f>IF(F278="","",IF(TaxRegistered&lt;&gt;"Yes",0,ROUND(F278-F278/(1+TaxRate),2)))</f>
        <v>0</v>
      </c>
      <c r="H278" s="29">
        <f>IF(F278="","",ROUND(F278-G278,2))</f>
        <v>0</v>
      </c>
      <c r="L278" s="29">
        <f>IF(F278="","",IF(J278="Personal",0,ROUND(H278*IF(K278="",1,K278),2)))</f>
        <v>0</v>
      </c>
      <c r="O278" s="21">
        <f>IF(OR(B278="",N278="",N278="No"),"",IF(N278="Monthly",EDATE(B278,1),IF(N278="Quarterly",EDATE(B278,3),IF(N278="Annually",EDATE(B278,12),B278+IF(N278="Weekly",7,IF(N278="Fortnightly",14,0))))))</f>
        <v>0</v>
      </c>
      <c r="T278" s="28">
        <f>IF(B278="","",TEXT(B278,"yyyy-mm"))</f>
        <v>0</v>
      </c>
      <c r="U278" s="49">
        <f>IF(B278="","",IF(P278="Pending","Awaiting approval",IF(M278="","Missing receipt",IF(AND(O278&lt;&gt;"",O278&lt;=TODAY()),"Recurring cost due","OK"))))</f>
        <v>0</v>
      </c>
    </row>
    <row r="279" spans="1:21">
      <c r="A279" s="46">
        <f>IF(B279="","","EX-"&amp;TEXT(ROW()-4,"0000"))</f>
        <v>0</v>
      </c>
      <c r="G279" s="29">
        <f>IF(F279="","",IF(TaxRegistered&lt;&gt;"Yes",0,ROUND(F279-F279/(1+TaxRate),2)))</f>
        <v>0</v>
      </c>
      <c r="H279" s="29">
        <f>IF(F279="","",ROUND(F279-G279,2))</f>
        <v>0</v>
      </c>
      <c r="L279" s="29">
        <f>IF(F279="","",IF(J279="Personal",0,ROUND(H279*IF(K279="",1,K279),2)))</f>
        <v>0</v>
      </c>
      <c r="O279" s="21">
        <f>IF(OR(B279="",N279="",N279="No"),"",IF(N279="Monthly",EDATE(B279,1),IF(N279="Quarterly",EDATE(B279,3),IF(N279="Annually",EDATE(B279,12),B279+IF(N279="Weekly",7,IF(N279="Fortnightly",14,0))))))</f>
        <v>0</v>
      </c>
      <c r="T279" s="28">
        <f>IF(B279="","",TEXT(B279,"yyyy-mm"))</f>
        <v>0</v>
      </c>
      <c r="U279" s="49">
        <f>IF(B279="","",IF(P279="Pending","Awaiting approval",IF(M279="","Missing receipt",IF(AND(O279&lt;&gt;"",O279&lt;=TODAY()),"Recurring cost due","OK"))))</f>
        <v>0</v>
      </c>
    </row>
    <row r="280" spans="1:21">
      <c r="A280" s="46">
        <f>IF(B280="","","EX-"&amp;TEXT(ROW()-4,"0000"))</f>
        <v>0</v>
      </c>
      <c r="G280" s="29">
        <f>IF(F280="","",IF(TaxRegistered&lt;&gt;"Yes",0,ROUND(F280-F280/(1+TaxRate),2)))</f>
        <v>0</v>
      </c>
      <c r="H280" s="29">
        <f>IF(F280="","",ROUND(F280-G280,2))</f>
        <v>0</v>
      </c>
      <c r="L280" s="29">
        <f>IF(F280="","",IF(J280="Personal",0,ROUND(H280*IF(K280="",1,K280),2)))</f>
        <v>0</v>
      </c>
      <c r="O280" s="21">
        <f>IF(OR(B280="",N280="",N280="No"),"",IF(N280="Monthly",EDATE(B280,1),IF(N280="Quarterly",EDATE(B280,3),IF(N280="Annually",EDATE(B280,12),B280+IF(N280="Weekly",7,IF(N280="Fortnightly",14,0))))))</f>
        <v>0</v>
      </c>
      <c r="T280" s="28">
        <f>IF(B280="","",TEXT(B280,"yyyy-mm"))</f>
        <v>0</v>
      </c>
      <c r="U280" s="49">
        <f>IF(B280="","",IF(P280="Pending","Awaiting approval",IF(M280="","Missing receipt",IF(AND(O280&lt;&gt;"",O280&lt;=TODAY()),"Recurring cost due","OK"))))</f>
        <v>0</v>
      </c>
    </row>
    <row r="281" spans="1:21">
      <c r="A281" s="46">
        <f>IF(B281="","","EX-"&amp;TEXT(ROW()-4,"0000"))</f>
        <v>0</v>
      </c>
      <c r="G281" s="29">
        <f>IF(F281="","",IF(TaxRegistered&lt;&gt;"Yes",0,ROUND(F281-F281/(1+TaxRate),2)))</f>
        <v>0</v>
      </c>
      <c r="H281" s="29">
        <f>IF(F281="","",ROUND(F281-G281,2))</f>
        <v>0</v>
      </c>
      <c r="L281" s="29">
        <f>IF(F281="","",IF(J281="Personal",0,ROUND(H281*IF(K281="",1,K281),2)))</f>
        <v>0</v>
      </c>
      <c r="O281" s="21">
        <f>IF(OR(B281="",N281="",N281="No"),"",IF(N281="Monthly",EDATE(B281,1),IF(N281="Quarterly",EDATE(B281,3),IF(N281="Annually",EDATE(B281,12),B281+IF(N281="Weekly",7,IF(N281="Fortnightly",14,0))))))</f>
        <v>0</v>
      </c>
      <c r="T281" s="28">
        <f>IF(B281="","",TEXT(B281,"yyyy-mm"))</f>
        <v>0</v>
      </c>
      <c r="U281" s="49">
        <f>IF(B281="","",IF(P281="Pending","Awaiting approval",IF(M281="","Missing receipt",IF(AND(O281&lt;&gt;"",O281&lt;=TODAY()),"Recurring cost due","OK"))))</f>
        <v>0</v>
      </c>
    </row>
    <row r="282" spans="1:21">
      <c r="A282" s="46">
        <f>IF(B282="","","EX-"&amp;TEXT(ROW()-4,"0000"))</f>
        <v>0</v>
      </c>
      <c r="G282" s="29">
        <f>IF(F282="","",IF(TaxRegistered&lt;&gt;"Yes",0,ROUND(F282-F282/(1+TaxRate),2)))</f>
        <v>0</v>
      </c>
      <c r="H282" s="29">
        <f>IF(F282="","",ROUND(F282-G282,2))</f>
        <v>0</v>
      </c>
      <c r="L282" s="29">
        <f>IF(F282="","",IF(J282="Personal",0,ROUND(H282*IF(K282="",1,K282),2)))</f>
        <v>0</v>
      </c>
      <c r="O282" s="21">
        <f>IF(OR(B282="",N282="",N282="No"),"",IF(N282="Monthly",EDATE(B282,1),IF(N282="Quarterly",EDATE(B282,3),IF(N282="Annually",EDATE(B282,12),B282+IF(N282="Weekly",7,IF(N282="Fortnightly",14,0))))))</f>
        <v>0</v>
      </c>
      <c r="T282" s="28">
        <f>IF(B282="","",TEXT(B282,"yyyy-mm"))</f>
        <v>0</v>
      </c>
      <c r="U282" s="49">
        <f>IF(B282="","",IF(P282="Pending","Awaiting approval",IF(M282="","Missing receipt",IF(AND(O282&lt;&gt;"",O282&lt;=TODAY()),"Recurring cost due","OK"))))</f>
        <v>0</v>
      </c>
    </row>
    <row r="283" spans="1:21">
      <c r="A283" s="46">
        <f>IF(B283="","","EX-"&amp;TEXT(ROW()-4,"0000"))</f>
        <v>0</v>
      </c>
      <c r="G283" s="29">
        <f>IF(F283="","",IF(TaxRegistered&lt;&gt;"Yes",0,ROUND(F283-F283/(1+TaxRate),2)))</f>
        <v>0</v>
      </c>
      <c r="H283" s="29">
        <f>IF(F283="","",ROUND(F283-G283,2))</f>
        <v>0</v>
      </c>
      <c r="L283" s="29">
        <f>IF(F283="","",IF(J283="Personal",0,ROUND(H283*IF(K283="",1,K283),2)))</f>
        <v>0</v>
      </c>
      <c r="O283" s="21">
        <f>IF(OR(B283="",N283="",N283="No"),"",IF(N283="Monthly",EDATE(B283,1),IF(N283="Quarterly",EDATE(B283,3),IF(N283="Annually",EDATE(B283,12),B283+IF(N283="Weekly",7,IF(N283="Fortnightly",14,0))))))</f>
        <v>0</v>
      </c>
      <c r="T283" s="28">
        <f>IF(B283="","",TEXT(B283,"yyyy-mm"))</f>
        <v>0</v>
      </c>
      <c r="U283" s="49">
        <f>IF(B283="","",IF(P283="Pending","Awaiting approval",IF(M283="","Missing receipt",IF(AND(O283&lt;&gt;"",O283&lt;=TODAY()),"Recurring cost due","OK"))))</f>
        <v>0</v>
      </c>
    </row>
    <row r="284" spans="1:21">
      <c r="A284" s="46">
        <f>IF(B284="","","EX-"&amp;TEXT(ROW()-4,"0000"))</f>
        <v>0</v>
      </c>
      <c r="G284" s="29">
        <f>IF(F284="","",IF(TaxRegistered&lt;&gt;"Yes",0,ROUND(F284-F284/(1+TaxRate),2)))</f>
        <v>0</v>
      </c>
      <c r="H284" s="29">
        <f>IF(F284="","",ROUND(F284-G284,2))</f>
        <v>0</v>
      </c>
      <c r="L284" s="29">
        <f>IF(F284="","",IF(J284="Personal",0,ROUND(H284*IF(K284="",1,K284),2)))</f>
        <v>0</v>
      </c>
      <c r="O284" s="21">
        <f>IF(OR(B284="",N284="",N284="No"),"",IF(N284="Monthly",EDATE(B284,1),IF(N284="Quarterly",EDATE(B284,3),IF(N284="Annually",EDATE(B284,12),B284+IF(N284="Weekly",7,IF(N284="Fortnightly",14,0))))))</f>
        <v>0</v>
      </c>
      <c r="T284" s="28">
        <f>IF(B284="","",TEXT(B284,"yyyy-mm"))</f>
        <v>0</v>
      </c>
      <c r="U284" s="49">
        <f>IF(B284="","",IF(P284="Pending","Awaiting approval",IF(M284="","Missing receipt",IF(AND(O284&lt;&gt;"",O284&lt;=TODAY()),"Recurring cost due","OK"))))</f>
        <v>0</v>
      </c>
    </row>
    <row r="285" spans="1:21">
      <c r="A285" s="46">
        <f>IF(B285="","","EX-"&amp;TEXT(ROW()-4,"0000"))</f>
        <v>0</v>
      </c>
      <c r="G285" s="29">
        <f>IF(F285="","",IF(TaxRegistered&lt;&gt;"Yes",0,ROUND(F285-F285/(1+TaxRate),2)))</f>
        <v>0</v>
      </c>
      <c r="H285" s="29">
        <f>IF(F285="","",ROUND(F285-G285,2))</f>
        <v>0</v>
      </c>
      <c r="L285" s="29">
        <f>IF(F285="","",IF(J285="Personal",0,ROUND(H285*IF(K285="",1,K285),2)))</f>
        <v>0</v>
      </c>
      <c r="O285" s="21">
        <f>IF(OR(B285="",N285="",N285="No"),"",IF(N285="Monthly",EDATE(B285,1),IF(N285="Quarterly",EDATE(B285,3),IF(N285="Annually",EDATE(B285,12),B285+IF(N285="Weekly",7,IF(N285="Fortnightly",14,0))))))</f>
        <v>0</v>
      </c>
      <c r="T285" s="28">
        <f>IF(B285="","",TEXT(B285,"yyyy-mm"))</f>
        <v>0</v>
      </c>
      <c r="U285" s="49">
        <f>IF(B285="","",IF(P285="Pending","Awaiting approval",IF(M285="","Missing receipt",IF(AND(O285&lt;&gt;"",O285&lt;=TODAY()),"Recurring cost due","OK"))))</f>
        <v>0</v>
      </c>
    </row>
    <row r="286" spans="1:21">
      <c r="A286" s="46">
        <f>IF(B286="","","EX-"&amp;TEXT(ROW()-4,"0000"))</f>
        <v>0</v>
      </c>
      <c r="G286" s="29">
        <f>IF(F286="","",IF(TaxRegistered&lt;&gt;"Yes",0,ROUND(F286-F286/(1+TaxRate),2)))</f>
        <v>0</v>
      </c>
      <c r="H286" s="29">
        <f>IF(F286="","",ROUND(F286-G286,2))</f>
        <v>0</v>
      </c>
      <c r="L286" s="29">
        <f>IF(F286="","",IF(J286="Personal",0,ROUND(H286*IF(K286="",1,K286),2)))</f>
        <v>0</v>
      </c>
      <c r="O286" s="21">
        <f>IF(OR(B286="",N286="",N286="No"),"",IF(N286="Monthly",EDATE(B286,1),IF(N286="Quarterly",EDATE(B286,3),IF(N286="Annually",EDATE(B286,12),B286+IF(N286="Weekly",7,IF(N286="Fortnightly",14,0))))))</f>
        <v>0</v>
      </c>
      <c r="T286" s="28">
        <f>IF(B286="","",TEXT(B286,"yyyy-mm"))</f>
        <v>0</v>
      </c>
      <c r="U286" s="49">
        <f>IF(B286="","",IF(P286="Pending","Awaiting approval",IF(M286="","Missing receipt",IF(AND(O286&lt;&gt;"",O286&lt;=TODAY()),"Recurring cost due","OK"))))</f>
        <v>0</v>
      </c>
    </row>
    <row r="287" spans="1:21">
      <c r="A287" s="46">
        <f>IF(B287="","","EX-"&amp;TEXT(ROW()-4,"0000"))</f>
        <v>0</v>
      </c>
      <c r="G287" s="29">
        <f>IF(F287="","",IF(TaxRegistered&lt;&gt;"Yes",0,ROUND(F287-F287/(1+TaxRate),2)))</f>
        <v>0</v>
      </c>
      <c r="H287" s="29">
        <f>IF(F287="","",ROUND(F287-G287,2))</f>
        <v>0</v>
      </c>
      <c r="L287" s="29">
        <f>IF(F287="","",IF(J287="Personal",0,ROUND(H287*IF(K287="",1,K287),2)))</f>
        <v>0</v>
      </c>
      <c r="O287" s="21">
        <f>IF(OR(B287="",N287="",N287="No"),"",IF(N287="Monthly",EDATE(B287,1),IF(N287="Quarterly",EDATE(B287,3),IF(N287="Annually",EDATE(B287,12),B287+IF(N287="Weekly",7,IF(N287="Fortnightly",14,0))))))</f>
        <v>0</v>
      </c>
      <c r="T287" s="28">
        <f>IF(B287="","",TEXT(B287,"yyyy-mm"))</f>
        <v>0</v>
      </c>
      <c r="U287" s="49">
        <f>IF(B287="","",IF(P287="Pending","Awaiting approval",IF(M287="","Missing receipt",IF(AND(O287&lt;&gt;"",O287&lt;=TODAY()),"Recurring cost due","OK"))))</f>
        <v>0</v>
      </c>
    </row>
    <row r="288" spans="1:21">
      <c r="A288" s="46">
        <f>IF(B288="","","EX-"&amp;TEXT(ROW()-4,"0000"))</f>
        <v>0</v>
      </c>
      <c r="G288" s="29">
        <f>IF(F288="","",IF(TaxRegistered&lt;&gt;"Yes",0,ROUND(F288-F288/(1+TaxRate),2)))</f>
        <v>0</v>
      </c>
      <c r="H288" s="29">
        <f>IF(F288="","",ROUND(F288-G288,2))</f>
        <v>0</v>
      </c>
      <c r="L288" s="29">
        <f>IF(F288="","",IF(J288="Personal",0,ROUND(H288*IF(K288="",1,K288),2)))</f>
        <v>0</v>
      </c>
      <c r="O288" s="21">
        <f>IF(OR(B288="",N288="",N288="No"),"",IF(N288="Monthly",EDATE(B288,1),IF(N288="Quarterly",EDATE(B288,3),IF(N288="Annually",EDATE(B288,12),B288+IF(N288="Weekly",7,IF(N288="Fortnightly",14,0))))))</f>
        <v>0</v>
      </c>
      <c r="T288" s="28">
        <f>IF(B288="","",TEXT(B288,"yyyy-mm"))</f>
        <v>0</v>
      </c>
      <c r="U288" s="49">
        <f>IF(B288="","",IF(P288="Pending","Awaiting approval",IF(M288="","Missing receipt",IF(AND(O288&lt;&gt;"",O288&lt;=TODAY()),"Recurring cost due","OK"))))</f>
        <v>0</v>
      </c>
    </row>
    <row r="289" spans="1:21">
      <c r="A289" s="46">
        <f>IF(B289="","","EX-"&amp;TEXT(ROW()-4,"0000"))</f>
        <v>0</v>
      </c>
      <c r="G289" s="29">
        <f>IF(F289="","",IF(TaxRegistered&lt;&gt;"Yes",0,ROUND(F289-F289/(1+TaxRate),2)))</f>
        <v>0</v>
      </c>
      <c r="H289" s="29">
        <f>IF(F289="","",ROUND(F289-G289,2))</f>
        <v>0</v>
      </c>
      <c r="L289" s="29">
        <f>IF(F289="","",IF(J289="Personal",0,ROUND(H289*IF(K289="",1,K289),2)))</f>
        <v>0</v>
      </c>
      <c r="O289" s="21">
        <f>IF(OR(B289="",N289="",N289="No"),"",IF(N289="Monthly",EDATE(B289,1),IF(N289="Quarterly",EDATE(B289,3),IF(N289="Annually",EDATE(B289,12),B289+IF(N289="Weekly",7,IF(N289="Fortnightly",14,0))))))</f>
        <v>0</v>
      </c>
      <c r="T289" s="28">
        <f>IF(B289="","",TEXT(B289,"yyyy-mm"))</f>
        <v>0</v>
      </c>
      <c r="U289" s="49">
        <f>IF(B289="","",IF(P289="Pending","Awaiting approval",IF(M289="","Missing receipt",IF(AND(O289&lt;&gt;"",O289&lt;=TODAY()),"Recurring cost due","OK"))))</f>
        <v>0</v>
      </c>
    </row>
    <row r="290" spans="1:21">
      <c r="A290" s="46">
        <f>IF(B290="","","EX-"&amp;TEXT(ROW()-4,"0000"))</f>
        <v>0</v>
      </c>
      <c r="G290" s="29">
        <f>IF(F290="","",IF(TaxRegistered&lt;&gt;"Yes",0,ROUND(F290-F290/(1+TaxRate),2)))</f>
        <v>0</v>
      </c>
      <c r="H290" s="29">
        <f>IF(F290="","",ROUND(F290-G290,2))</f>
        <v>0</v>
      </c>
      <c r="L290" s="29">
        <f>IF(F290="","",IF(J290="Personal",0,ROUND(H290*IF(K290="",1,K290),2)))</f>
        <v>0</v>
      </c>
      <c r="O290" s="21">
        <f>IF(OR(B290="",N290="",N290="No"),"",IF(N290="Monthly",EDATE(B290,1),IF(N290="Quarterly",EDATE(B290,3),IF(N290="Annually",EDATE(B290,12),B290+IF(N290="Weekly",7,IF(N290="Fortnightly",14,0))))))</f>
        <v>0</v>
      </c>
      <c r="T290" s="28">
        <f>IF(B290="","",TEXT(B290,"yyyy-mm"))</f>
        <v>0</v>
      </c>
      <c r="U290" s="49">
        <f>IF(B290="","",IF(P290="Pending","Awaiting approval",IF(M290="","Missing receipt",IF(AND(O290&lt;&gt;"",O290&lt;=TODAY()),"Recurring cost due","OK"))))</f>
        <v>0</v>
      </c>
    </row>
    <row r="291" spans="1:21">
      <c r="A291" s="46">
        <f>IF(B291="","","EX-"&amp;TEXT(ROW()-4,"0000"))</f>
        <v>0</v>
      </c>
      <c r="G291" s="29">
        <f>IF(F291="","",IF(TaxRegistered&lt;&gt;"Yes",0,ROUND(F291-F291/(1+TaxRate),2)))</f>
        <v>0</v>
      </c>
      <c r="H291" s="29">
        <f>IF(F291="","",ROUND(F291-G291,2))</f>
        <v>0</v>
      </c>
      <c r="L291" s="29">
        <f>IF(F291="","",IF(J291="Personal",0,ROUND(H291*IF(K291="",1,K291),2)))</f>
        <v>0</v>
      </c>
      <c r="O291" s="21">
        <f>IF(OR(B291="",N291="",N291="No"),"",IF(N291="Monthly",EDATE(B291,1),IF(N291="Quarterly",EDATE(B291,3),IF(N291="Annually",EDATE(B291,12),B291+IF(N291="Weekly",7,IF(N291="Fortnightly",14,0))))))</f>
        <v>0</v>
      </c>
      <c r="T291" s="28">
        <f>IF(B291="","",TEXT(B291,"yyyy-mm"))</f>
        <v>0</v>
      </c>
      <c r="U291" s="49">
        <f>IF(B291="","",IF(P291="Pending","Awaiting approval",IF(M291="","Missing receipt",IF(AND(O291&lt;&gt;"",O291&lt;=TODAY()),"Recurring cost due","OK"))))</f>
        <v>0</v>
      </c>
    </row>
    <row r="292" spans="1:21">
      <c r="A292" s="46">
        <f>IF(B292="","","EX-"&amp;TEXT(ROW()-4,"0000"))</f>
        <v>0</v>
      </c>
      <c r="G292" s="29">
        <f>IF(F292="","",IF(TaxRegistered&lt;&gt;"Yes",0,ROUND(F292-F292/(1+TaxRate),2)))</f>
        <v>0</v>
      </c>
      <c r="H292" s="29">
        <f>IF(F292="","",ROUND(F292-G292,2))</f>
        <v>0</v>
      </c>
      <c r="L292" s="29">
        <f>IF(F292="","",IF(J292="Personal",0,ROUND(H292*IF(K292="",1,K292),2)))</f>
        <v>0</v>
      </c>
      <c r="O292" s="21">
        <f>IF(OR(B292="",N292="",N292="No"),"",IF(N292="Monthly",EDATE(B292,1),IF(N292="Quarterly",EDATE(B292,3),IF(N292="Annually",EDATE(B292,12),B292+IF(N292="Weekly",7,IF(N292="Fortnightly",14,0))))))</f>
        <v>0</v>
      </c>
      <c r="T292" s="28">
        <f>IF(B292="","",TEXT(B292,"yyyy-mm"))</f>
        <v>0</v>
      </c>
      <c r="U292" s="49">
        <f>IF(B292="","",IF(P292="Pending","Awaiting approval",IF(M292="","Missing receipt",IF(AND(O292&lt;&gt;"",O292&lt;=TODAY()),"Recurring cost due","OK"))))</f>
        <v>0</v>
      </c>
    </row>
    <row r="293" spans="1:21">
      <c r="A293" s="46">
        <f>IF(B293="","","EX-"&amp;TEXT(ROW()-4,"0000"))</f>
        <v>0</v>
      </c>
      <c r="G293" s="29">
        <f>IF(F293="","",IF(TaxRegistered&lt;&gt;"Yes",0,ROUND(F293-F293/(1+TaxRate),2)))</f>
        <v>0</v>
      </c>
      <c r="H293" s="29">
        <f>IF(F293="","",ROUND(F293-G293,2))</f>
        <v>0</v>
      </c>
      <c r="L293" s="29">
        <f>IF(F293="","",IF(J293="Personal",0,ROUND(H293*IF(K293="",1,K293),2)))</f>
        <v>0</v>
      </c>
      <c r="O293" s="21">
        <f>IF(OR(B293="",N293="",N293="No"),"",IF(N293="Monthly",EDATE(B293,1),IF(N293="Quarterly",EDATE(B293,3),IF(N293="Annually",EDATE(B293,12),B293+IF(N293="Weekly",7,IF(N293="Fortnightly",14,0))))))</f>
        <v>0</v>
      </c>
      <c r="T293" s="28">
        <f>IF(B293="","",TEXT(B293,"yyyy-mm"))</f>
        <v>0</v>
      </c>
      <c r="U293" s="49">
        <f>IF(B293="","",IF(P293="Pending","Awaiting approval",IF(M293="","Missing receipt",IF(AND(O293&lt;&gt;"",O293&lt;=TODAY()),"Recurring cost due","OK"))))</f>
        <v>0</v>
      </c>
    </row>
    <row r="294" spans="1:21">
      <c r="A294" s="46">
        <f>IF(B294="","","EX-"&amp;TEXT(ROW()-4,"0000"))</f>
        <v>0</v>
      </c>
      <c r="G294" s="29">
        <f>IF(F294="","",IF(TaxRegistered&lt;&gt;"Yes",0,ROUND(F294-F294/(1+TaxRate),2)))</f>
        <v>0</v>
      </c>
      <c r="H294" s="29">
        <f>IF(F294="","",ROUND(F294-G294,2))</f>
        <v>0</v>
      </c>
      <c r="L294" s="29">
        <f>IF(F294="","",IF(J294="Personal",0,ROUND(H294*IF(K294="",1,K294),2)))</f>
        <v>0</v>
      </c>
      <c r="O294" s="21">
        <f>IF(OR(B294="",N294="",N294="No"),"",IF(N294="Monthly",EDATE(B294,1),IF(N294="Quarterly",EDATE(B294,3),IF(N294="Annually",EDATE(B294,12),B294+IF(N294="Weekly",7,IF(N294="Fortnightly",14,0))))))</f>
        <v>0</v>
      </c>
      <c r="T294" s="28">
        <f>IF(B294="","",TEXT(B294,"yyyy-mm"))</f>
        <v>0</v>
      </c>
      <c r="U294" s="49">
        <f>IF(B294="","",IF(P294="Pending","Awaiting approval",IF(M294="","Missing receipt",IF(AND(O294&lt;&gt;"",O294&lt;=TODAY()),"Recurring cost due","OK"))))</f>
        <v>0</v>
      </c>
    </row>
    <row r="295" spans="1:21">
      <c r="A295" s="46">
        <f>IF(B295="","","EX-"&amp;TEXT(ROW()-4,"0000"))</f>
        <v>0</v>
      </c>
      <c r="G295" s="29">
        <f>IF(F295="","",IF(TaxRegistered&lt;&gt;"Yes",0,ROUND(F295-F295/(1+TaxRate),2)))</f>
        <v>0</v>
      </c>
      <c r="H295" s="29">
        <f>IF(F295="","",ROUND(F295-G295,2))</f>
        <v>0</v>
      </c>
      <c r="L295" s="29">
        <f>IF(F295="","",IF(J295="Personal",0,ROUND(H295*IF(K295="",1,K295),2)))</f>
        <v>0</v>
      </c>
      <c r="O295" s="21">
        <f>IF(OR(B295="",N295="",N295="No"),"",IF(N295="Monthly",EDATE(B295,1),IF(N295="Quarterly",EDATE(B295,3),IF(N295="Annually",EDATE(B295,12),B295+IF(N295="Weekly",7,IF(N295="Fortnightly",14,0))))))</f>
        <v>0</v>
      </c>
      <c r="T295" s="28">
        <f>IF(B295="","",TEXT(B295,"yyyy-mm"))</f>
        <v>0</v>
      </c>
      <c r="U295" s="49">
        <f>IF(B295="","",IF(P295="Pending","Awaiting approval",IF(M295="","Missing receipt",IF(AND(O295&lt;&gt;"",O295&lt;=TODAY()),"Recurring cost due","OK"))))</f>
        <v>0</v>
      </c>
    </row>
    <row r="296" spans="1:21">
      <c r="A296" s="46">
        <f>IF(B296="","","EX-"&amp;TEXT(ROW()-4,"0000"))</f>
        <v>0</v>
      </c>
      <c r="G296" s="29">
        <f>IF(F296="","",IF(TaxRegistered&lt;&gt;"Yes",0,ROUND(F296-F296/(1+TaxRate),2)))</f>
        <v>0</v>
      </c>
      <c r="H296" s="29">
        <f>IF(F296="","",ROUND(F296-G296,2))</f>
        <v>0</v>
      </c>
      <c r="L296" s="29">
        <f>IF(F296="","",IF(J296="Personal",0,ROUND(H296*IF(K296="",1,K296),2)))</f>
        <v>0</v>
      </c>
      <c r="O296" s="21">
        <f>IF(OR(B296="",N296="",N296="No"),"",IF(N296="Monthly",EDATE(B296,1),IF(N296="Quarterly",EDATE(B296,3),IF(N296="Annually",EDATE(B296,12),B296+IF(N296="Weekly",7,IF(N296="Fortnightly",14,0))))))</f>
        <v>0</v>
      </c>
      <c r="T296" s="28">
        <f>IF(B296="","",TEXT(B296,"yyyy-mm"))</f>
        <v>0</v>
      </c>
      <c r="U296" s="49">
        <f>IF(B296="","",IF(P296="Pending","Awaiting approval",IF(M296="","Missing receipt",IF(AND(O296&lt;&gt;"",O296&lt;=TODAY()),"Recurring cost due","OK"))))</f>
        <v>0</v>
      </c>
    </row>
    <row r="297" spans="1:21">
      <c r="A297" s="46">
        <f>IF(B297="","","EX-"&amp;TEXT(ROW()-4,"0000"))</f>
        <v>0</v>
      </c>
      <c r="G297" s="29">
        <f>IF(F297="","",IF(TaxRegistered&lt;&gt;"Yes",0,ROUND(F297-F297/(1+TaxRate),2)))</f>
        <v>0</v>
      </c>
      <c r="H297" s="29">
        <f>IF(F297="","",ROUND(F297-G297,2))</f>
        <v>0</v>
      </c>
      <c r="L297" s="29">
        <f>IF(F297="","",IF(J297="Personal",0,ROUND(H297*IF(K297="",1,K297),2)))</f>
        <v>0</v>
      </c>
      <c r="O297" s="21">
        <f>IF(OR(B297="",N297="",N297="No"),"",IF(N297="Monthly",EDATE(B297,1),IF(N297="Quarterly",EDATE(B297,3),IF(N297="Annually",EDATE(B297,12),B297+IF(N297="Weekly",7,IF(N297="Fortnightly",14,0))))))</f>
        <v>0</v>
      </c>
      <c r="T297" s="28">
        <f>IF(B297="","",TEXT(B297,"yyyy-mm"))</f>
        <v>0</v>
      </c>
      <c r="U297" s="49">
        <f>IF(B297="","",IF(P297="Pending","Awaiting approval",IF(M297="","Missing receipt",IF(AND(O297&lt;&gt;"",O297&lt;=TODAY()),"Recurring cost due","OK"))))</f>
        <v>0</v>
      </c>
    </row>
    <row r="298" spans="1:21">
      <c r="A298" s="46">
        <f>IF(B298="","","EX-"&amp;TEXT(ROW()-4,"0000"))</f>
        <v>0</v>
      </c>
      <c r="G298" s="29">
        <f>IF(F298="","",IF(TaxRegistered&lt;&gt;"Yes",0,ROUND(F298-F298/(1+TaxRate),2)))</f>
        <v>0</v>
      </c>
      <c r="H298" s="29">
        <f>IF(F298="","",ROUND(F298-G298,2))</f>
        <v>0</v>
      </c>
      <c r="L298" s="29">
        <f>IF(F298="","",IF(J298="Personal",0,ROUND(H298*IF(K298="",1,K298),2)))</f>
        <v>0</v>
      </c>
      <c r="O298" s="21">
        <f>IF(OR(B298="",N298="",N298="No"),"",IF(N298="Monthly",EDATE(B298,1),IF(N298="Quarterly",EDATE(B298,3),IF(N298="Annually",EDATE(B298,12),B298+IF(N298="Weekly",7,IF(N298="Fortnightly",14,0))))))</f>
        <v>0</v>
      </c>
      <c r="T298" s="28">
        <f>IF(B298="","",TEXT(B298,"yyyy-mm"))</f>
        <v>0</v>
      </c>
      <c r="U298" s="49">
        <f>IF(B298="","",IF(P298="Pending","Awaiting approval",IF(M298="","Missing receipt",IF(AND(O298&lt;&gt;"",O298&lt;=TODAY()),"Recurring cost due","OK"))))</f>
        <v>0</v>
      </c>
    </row>
    <row r="299" spans="1:21">
      <c r="A299" s="46">
        <f>IF(B299="","","EX-"&amp;TEXT(ROW()-4,"0000"))</f>
        <v>0</v>
      </c>
      <c r="G299" s="29">
        <f>IF(F299="","",IF(TaxRegistered&lt;&gt;"Yes",0,ROUND(F299-F299/(1+TaxRate),2)))</f>
        <v>0</v>
      </c>
      <c r="H299" s="29">
        <f>IF(F299="","",ROUND(F299-G299,2))</f>
        <v>0</v>
      </c>
      <c r="L299" s="29">
        <f>IF(F299="","",IF(J299="Personal",0,ROUND(H299*IF(K299="",1,K299),2)))</f>
        <v>0</v>
      </c>
      <c r="O299" s="21">
        <f>IF(OR(B299="",N299="",N299="No"),"",IF(N299="Monthly",EDATE(B299,1),IF(N299="Quarterly",EDATE(B299,3),IF(N299="Annually",EDATE(B299,12),B299+IF(N299="Weekly",7,IF(N299="Fortnightly",14,0))))))</f>
        <v>0</v>
      </c>
      <c r="T299" s="28">
        <f>IF(B299="","",TEXT(B299,"yyyy-mm"))</f>
        <v>0</v>
      </c>
      <c r="U299" s="49">
        <f>IF(B299="","",IF(P299="Pending","Awaiting approval",IF(M299="","Missing receipt",IF(AND(O299&lt;&gt;"",O299&lt;=TODAY()),"Recurring cost due","OK"))))</f>
        <v>0</v>
      </c>
    </row>
    <row r="300" spans="1:21">
      <c r="A300" s="46">
        <f>IF(B300="","","EX-"&amp;TEXT(ROW()-4,"0000"))</f>
        <v>0</v>
      </c>
      <c r="G300" s="29">
        <f>IF(F300="","",IF(TaxRegistered&lt;&gt;"Yes",0,ROUND(F300-F300/(1+TaxRate),2)))</f>
        <v>0</v>
      </c>
      <c r="H300" s="29">
        <f>IF(F300="","",ROUND(F300-G300,2))</f>
        <v>0</v>
      </c>
      <c r="L300" s="29">
        <f>IF(F300="","",IF(J300="Personal",0,ROUND(H300*IF(K300="",1,K300),2)))</f>
        <v>0</v>
      </c>
      <c r="O300" s="21">
        <f>IF(OR(B300="",N300="",N300="No"),"",IF(N300="Monthly",EDATE(B300,1),IF(N300="Quarterly",EDATE(B300,3),IF(N300="Annually",EDATE(B300,12),B300+IF(N300="Weekly",7,IF(N300="Fortnightly",14,0))))))</f>
        <v>0</v>
      </c>
      <c r="T300" s="28">
        <f>IF(B300="","",TEXT(B300,"yyyy-mm"))</f>
        <v>0</v>
      </c>
      <c r="U300" s="49">
        <f>IF(B300="","",IF(P300="Pending","Awaiting approval",IF(M300="","Missing receipt",IF(AND(O300&lt;&gt;"",O300&lt;=TODAY()),"Recurring cost due","OK"))))</f>
        <v>0</v>
      </c>
    </row>
    <row r="301" spans="1:21">
      <c r="A301" s="46">
        <f>IF(B301="","","EX-"&amp;TEXT(ROW()-4,"0000"))</f>
        <v>0</v>
      </c>
      <c r="G301" s="29">
        <f>IF(F301="","",IF(TaxRegistered&lt;&gt;"Yes",0,ROUND(F301-F301/(1+TaxRate),2)))</f>
        <v>0</v>
      </c>
      <c r="H301" s="29">
        <f>IF(F301="","",ROUND(F301-G301,2))</f>
        <v>0</v>
      </c>
      <c r="L301" s="29">
        <f>IF(F301="","",IF(J301="Personal",0,ROUND(H301*IF(K301="",1,K301),2)))</f>
        <v>0</v>
      </c>
      <c r="O301" s="21">
        <f>IF(OR(B301="",N301="",N301="No"),"",IF(N301="Monthly",EDATE(B301,1),IF(N301="Quarterly",EDATE(B301,3),IF(N301="Annually",EDATE(B301,12),B301+IF(N301="Weekly",7,IF(N301="Fortnightly",14,0))))))</f>
        <v>0</v>
      </c>
      <c r="T301" s="28">
        <f>IF(B301="","",TEXT(B301,"yyyy-mm"))</f>
        <v>0</v>
      </c>
      <c r="U301" s="49">
        <f>IF(B301="","",IF(P301="Pending","Awaiting approval",IF(M301="","Missing receipt",IF(AND(O301&lt;&gt;"",O301&lt;=TODAY()),"Recurring cost due","OK"))))</f>
        <v>0</v>
      </c>
    </row>
    <row r="302" spans="1:21">
      <c r="A302" s="46">
        <f>IF(B302="","","EX-"&amp;TEXT(ROW()-4,"0000"))</f>
        <v>0</v>
      </c>
      <c r="G302" s="29">
        <f>IF(F302="","",IF(TaxRegistered&lt;&gt;"Yes",0,ROUND(F302-F302/(1+TaxRate),2)))</f>
        <v>0</v>
      </c>
      <c r="H302" s="29">
        <f>IF(F302="","",ROUND(F302-G302,2))</f>
        <v>0</v>
      </c>
      <c r="L302" s="29">
        <f>IF(F302="","",IF(J302="Personal",0,ROUND(H302*IF(K302="",1,K302),2)))</f>
        <v>0</v>
      </c>
      <c r="O302" s="21">
        <f>IF(OR(B302="",N302="",N302="No"),"",IF(N302="Monthly",EDATE(B302,1),IF(N302="Quarterly",EDATE(B302,3),IF(N302="Annually",EDATE(B302,12),B302+IF(N302="Weekly",7,IF(N302="Fortnightly",14,0))))))</f>
        <v>0</v>
      </c>
      <c r="T302" s="28">
        <f>IF(B302="","",TEXT(B302,"yyyy-mm"))</f>
        <v>0</v>
      </c>
      <c r="U302" s="49">
        <f>IF(B302="","",IF(P302="Pending","Awaiting approval",IF(M302="","Missing receipt",IF(AND(O302&lt;&gt;"",O302&lt;=TODAY()),"Recurring cost due","OK"))))</f>
        <v>0</v>
      </c>
    </row>
    <row r="303" spans="1:21">
      <c r="A303" s="46">
        <f>IF(B303="","","EX-"&amp;TEXT(ROW()-4,"0000"))</f>
        <v>0</v>
      </c>
      <c r="G303" s="29">
        <f>IF(F303="","",IF(TaxRegistered&lt;&gt;"Yes",0,ROUND(F303-F303/(1+TaxRate),2)))</f>
        <v>0</v>
      </c>
      <c r="H303" s="29">
        <f>IF(F303="","",ROUND(F303-G303,2))</f>
        <v>0</v>
      </c>
      <c r="L303" s="29">
        <f>IF(F303="","",IF(J303="Personal",0,ROUND(H303*IF(K303="",1,K303),2)))</f>
        <v>0</v>
      </c>
      <c r="O303" s="21">
        <f>IF(OR(B303="",N303="",N303="No"),"",IF(N303="Monthly",EDATE(B303,1),IF(N303="Quarterly",EDATE(B303,3),IF(N303="Annually",EDATE(B303,12),B303+IF(N303="Weekly",7,IF(N303="Fortnightly",14,0))))))</f>
        <v>0</v>
      </c>
      <c r="T303" s="28">
        <f>IF(B303="","",TEXT(B303,"yyyy-mm"))</f>
        <v>0</v>
      </c>
      <c r="U303" s="49">
        <f>IF(B303="","",IF(P303="Pending","Awaiting approval",IF(M303="","Missing receipt",IF(AND(O303&lt;&gt;"",O303&lt;=TODAY()),"Recurring cost due","OK"))))</f>
        <v>0</v>
      </c>
    </row>
    <row r="304" spans="1:21">
      <c r="A304" s="46">
        <f>IF(B304="","","EX-"&amp;TEXT(ROW()-4,"0000"))</f>
        <v>0</v>
      </c>
      <c r="G304" s="29">
        <f>IF(F304="","",IF(TaxRegistered&lt;&gt;"Yes",0,ROUND(F304-F304/(1+TaxRate),2)))</f>
        <v>0</v>
      </c>
      <c r="H304" s="29">
        <f>IF(F304="","",ROUND(F304-G304,2))</f>
        <v>0</v>
      </c>
      <c r="L304" s="29">
        <f>IF(F304="","",IF(J304="Personal",0,ROUND(H304*IF(K304="",1,K304),2)))</f>
        <v>0</v>
      </c>
      <c r="O304" s="21">
        <f>IF(OR(B304="",N304="",N304="No"),"",IF(N304="Monthly",EDATE(B304,1),IF(N304="Quarterly",EDATE(B304,3),IF(N304="Annually",EDATE(B304,12),B304+IF(N304="Weekly",7,IF(N304="Fortnightly",14,0))))))</f>
        <v>0</v>
      </c>
      <c r="T304" s="28">
        <f>IF(B304="","",TEXT(B304,"yyyy-mm"))</f>
        <v>0</v>
      </c>
      <c r="U304" s="49">
        <f>IF(B304="","",IF(P304="Pending","Awaiting approval",IF(M304="","Missing receipt",IF(AND(O304&lt;&gt;"",O304&lt;=TODAY()),"Recurring cost due","OK"))))</f>
        <v>0</v>
      </c>
    </row>
  </sheetData>
  <sheetProtection password="EC7C" sheet="1" objects="1" scenarios="1" formatCells="0" formatColumns="0" formatRows="0" insertRows="0" insertHyperlinks="0" deleteRows="0" autoFilter="0"/>
  <autoFilter ref="A4:U304"/>
  <mergeCells count="13">
    <mergeCell ref="A1:R1"/>
    <mergeCell ref="S1:U1"/>
    <mergeCell ref="A2:U2"/>
    <mergeCell ref="A3:B3"/>
    <mergeCell ref="C3:D3"/>
    <mergeCell ref="E3:F3"/>
    <mergeCell ref="G3:H3"/>
    <mergeCell ref="I3:J3"/>
    <mergeCell ref="K3:L3"/>
    <mergeCell ref="M3:N3"/>
    <mergeCell ref="O3:P3"/>
    <mergeCell ref="Q3:R3"/>
    <mergeCell ref="S3:U3"/>
  </mergeCells>
  <conditionalFormatting sqref="J5:J304">
    <cfRule type="containsText" dxfId="4" priority="1" operator="containsText" text="Personal">
      <formula>NOT(ISERROR(SEARCH("Personal",J5)))</formula>
    </cfRule>
  </conditionalFormatting>
  <conditionalFormatting sqref="P5:P304">
    <cfRule type="containsText" dxfId="0" priority="2" operator="containsText" text="Completed">
      <formula>NOT(ISERROR(SEARCH("Completed",P5)))</formula>
    </cfRule>
    <cfRule type="containsText" dxfId="0" priority="3" operator="containsText" text="Confirmed">
      <formula>NOT(ISERROR(SEARCH("Confirmed",P5)))</formula>
    </cfRule>
    <cfRule type="containsText" dxfId="0" priority="4" operator="containsText" text="Paid">
      <formula>NOT(ISERROR(SEARCH("Paid",P5)))</formula>
    </cfRule>
    <cfRule type="containsText" dxfId="0" priority="5" operator="containsText" text="Active">
      <formula>NOT(ISERROR(SEARCH("Active",P5)))</formula>
    </cfRule>
    <cfRule type="containsText" dxfId="0" priority="6" operator="containsText" text="Resolved">
      <formula>NOT(ISERROR(SEARCH("Resolved",P5)))</formula>
    </cfRule>
    <cfRule type="containsText" dxfId="0" priority="7" operator="containsText" text="Given">
      <formula>NOT(ISERROR(SEARCH("Given",P5)))</formula>
    </cfRule>
    <cfRule type="containsText" dxfId="2" priority="8" operator="containsText" text="Pending">
      <formula>NOT(ISERROR(SEARCH("Pending",P5)))</formula>
    </cfRule>
    <cfRule type="containsText" dxfId="2" priority="9" operator="containsText" text="Draft">
      <formula>NOT(ISERROR(SEARCH("Draft",P5)))</formula>
    </cfRule>
    <cfRule type="containsText" dxfId="2" priority="10" operator="containsText" text="Enquiry">
      <formula>NOT(ISERROR(SEARCH("Enquiry",P5)))</formula>
    </cfRule>
    <cfRule type="containsText" dxfId="2" priority="11" operator="containsText" text="Partially">
      <formula>NOT(ISERROR(SEARCH("Partially",P5)))</formula>
    </cfRule>
    <cfRule type="containsText" dxfId="3" priority="12" operator="containsText" text="In progress">
      <formula>NOT(ISERROR(SEARCH("In progress",P5)))</formula>
    </cfRule>
    <cfRule type="containsText" dxfId="3" priority="13" operator="containsText" text="Scheduled">
      <formula>NOT(ISERROR(SEARCH("Scheduled",P5)))</formula>
    </cfRule>
    <cfRule type="containsText" dxfId="3" priority="14" operator="containsText" text="Sent">
      <formula>NOT(ISERROR(SEARCH("Sent",P5)))</formula>
    </cfRule>
    <cfRule type="containsText" dxfId="1" priority="15" operator="containsText" text="Cancelled">
      <formula>NOT(ISERROR(SEARCH("Cancelled",P5)))</formula>
    </cfRule>
    <cfRule type="containsText" dxfId="1" priority="16" operator="containsText" text="No show">
      <formula>NOT(ISERROR(SEARCH("No show",P5)))</formula>
    </cfRule>
    <cfRule type="containsText" dxfId="1" priority="17" operator="containsText" text="Missed">
      <formula>NOT(ISERROR(SEARCH("Missed",P5)))</formula>
    </cfRule>
    <cfRule type="containsText" dxfId="1" priority="18" operator="containsText" text="Overdue">
      <formula>NOT(ISERROR(SEARCH("Overdue",P5)))</formula>
    </cfRule>
    <cfRule type="containsText" dxfId="4" priority="19" operator="containsText" text="Inactive">
      <formula>NOT(ISERROR(SEARCH("Inactive",P5)))</formula>
    </cfRule>
    <cfRule type="containsText" dxfId="1" priority="20" operator="containsText" text="Lost">
      <formula>NOT(ISERROR(SEARCH("Lost",P5)))</formula>
    </cfRule>
  </conditionalFormatting>
  <conditionalFormatting sqref="U5:U304">
    <cfRule type="beginsWith" dxfId="0" priority="21" operator="beginsWith" text="OK">
      <formula>LEFT(U5,2)="OK"</formula>
    </cfRule>
    <cfRule type="containsText" dxfId="1" priority="22" operator="containsText" text="Overdue">
      <formula>NOT(ISERROR(SEARCH("Overdue",U5)))</formula>
    </cfRule>
    <cfRule type="containsText" dxfId="1" priority="23" operator="containsText" text="Missed">
      <formula>NOT(ISERROR(SEARCH("Missed",U5)))</formula>
    </cfRule>
    <cfRule type="containsText" dxfId="1" priority="24" operator="containsText" text="Conflict">
      <formula>NOT(ISERROR(SEARCH("Conflict",U5)))</formula>
    </cfRule>
    <cfRule type="containsText" dxfId="1" priority="25" operator="containsText" text="Expired">
      <formula>NOT(ISERROR(SEARCH("Expired",U5)))</formula>
    </cfRule>
    <cfRule type="containsText" dxfId="1" priority="26" operator="containsText" text="Duplicate">
      <formula>NOT(ISERROR(SEARCH("Duplicate",U5)))</formula>
    </cfRule>
    <cfRule type="containsText" dxfId="2" priority="27" operator="containsText" text="Action">
      <formula>NOT(ISERROR(SEARCH("Action",U5)))</formula>
    </cfRule>
    <cfRule type="containsText" dxfId="2" priority="28" operator="containsText" text="Due">
      <formula>NOT(ISERROR(SEARCH("Due",U5)))</formula>
    </cfRule>
    <cfRule type="containsText" dxfId="2" priority="29" operator="containsText" text="Check">
      <formula>NOT(ISERROR(SEARCH("Check",U5)))</formula>
    </cfRule>
    <cfRule type="containsText" dxfId="3" priority="30" operator="containsText" text="Today">
      <formula>NOT(ISERROR(SEARCH("Today",U5)))</formula>
    </cfRule>
    <cfRule type="containsText" dxfId="3" priority="31" operator="containsText" text="Upcoming">
      <formula>NOT(ISERROR(SEARCH("Upcoming",U5)))</formula>
    </cfRule>
  </conditionalFormatting>
  <dataValidations count="9">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ExpenseCategoryList</formula1>
    </dataValidation>
    <dataValidation type="decimal" allowBlank="1" showInputMessage="1" showErrorMessage="1" errorTitle="Check the value" error="Enter a number between 0 and 1000000." promptTitle="Amount paid" prompt="Enter the full amount you paid, including tax." sqref="F5:F304">
      <formula1>0</formula1>
      <formula2>1000000</formula2>
    </dataValidation>
    <dataValidation type="list" allowBlank="1" showInputMessage="1" showErrorMessage="1" sqref="I5:I304">
      <formula1>PaymentMethodList</formula1>
    </dataValidation>
    <dataValidation type="list" allowBlank="1" showInputMessage="1" showErrorMessage="1" sqref="J5:J304">
      <formula1>BusinessPersonalList</formula1>
    </dataValidation>
    <dataValidation type="decimal" allowBlank="1" showInputMessage="1" showErrorMessage="1" errorTitle="Check the value" error="Enter a number between 0 and 1." promptTitle="Business use %" prompt="Blank counts as 100%. Use 50% for a phone bill you share with personal use." sqref="K5:K304">
      <formula1>0</formula1>
      <formula2>1</formula2>
    </dataValidation>
    <dataValidation type="list" allowBlank="1" showInputMessage="1" showErrorMessage="1" sqref="N5:N304">
      <formula1>RecurringExpenseList</formula1>
    </dataValidation>
    <dataValidation type="list" allowBlank="1" showInputMessage="1" showErrorMessage="1" sqref="P5:P304">
      <formula1>ExpenseApprovalList</formula1>
    </dataValidation>
    <dataValidation type="list" allowBlank="1" showInputMessage="1" showErrorMessage="1" sqref="R5:R304">
      <formula1>StaffNames</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&amp;L&amp;"Calibri,Bold"&amp;12&amp;C&amp;"Calibri,Bold"&amp;11Expenses&amp;R&amp;"Calibri,Italic"&amp;9Pet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6.xml><?xml version="1.0" encoding="utf-8"?>
<worksheet xmlns="http://schemas.openxmlformats.org/spreadsheetml/2006/main" xmlns:r="http://schemas.openxmlformats.org/officeDocument/2006/relationships">
  <sheetPr>
    <tabColor rgb="FFE2A33C"/>
    <pageSetUpPr fitToPage="1"/>
  </sheetPr>
  <dimension ref="A1:X30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11.7109375" style="46" customWidth="1"/>
    <col min="2" max="2" width="12.7109375" style="39" customWidth="1"/>
    <col min="3" max="3" width="15.7109375" style="20" customWidth="1"/>
    <col min="4" max="4" width="20.7109375" style="20" customWidth="1"/>
    <col min="5" max="5" width="16.7109375" style="20" customWidth="1"/>
    <col min="6" max="6" width="20.7109375" style="20" customWidth="1"/>
    <col min="7" max="7" width="20.7109375" style="20" customWidth="1"/>
    <col min="8" max="8" width="12.7109375" style="43" customWidth="1"/>
    <col min="9" max="9" width="12.7109375" style="43" customWidth="1"/>
    <col min="10" max="10" width="10.7109375" style="43" customWidth="1"/>
    <col min="11" max="11" width="10.7109375" style="32" customWidth="1"/>
    <col min="12" max="12" width="9.7109375" style="12" customWidth="1"/>
    <col min="13" max="13" width="10.7109375" style="32" customWidth="1"/>
    <col min="14" max="14" width="12.7109375" style="49" customWidth="1"/>
    <col min="15" max="15" width="10.7109375" style="29" customWidth="1"/>
    <col min="16" max="16" width="12.7109375" style="29" customWidth="1"/>
    <col min="17" max="17" width="10.7109375" style="42" customWidth="1"/>
    <col min="18" max="18" width="10.7109375" style="42" customWidth="1"/>
    <col min="19" max="19" width="10.7109375" style="42" customWidth="1"/>
    <col min="20" max="20" width="10.7109375" style="19" customWidth="1"/>
    <col min="21" max="21" width="12.7109375" style="29" customWidth="1"/>
    <col min="22" max="22" width="26.7109375" style="47" customWidth="1"/>
    <col min="23" max="23" width="10.7109375" style="28" customWidth="1"/>
    <col min="24" max="24" width="20.7109375" style="49" customWidth="1"/>
  </cols>
  <sheetData>
    <row r="1" spans="1:24" ht="34" customHeight="1">
      <c r="A1" s="2" t="s">
        <v>921</v>
      </c>
      <c r="B1" s="2"/>
      <c r="C1" s="2"/>
      <c r="D1" s="2"/>
      <c r="E1" s="2"/>
      <c r="F1" s="2"/>
      <c r="G1" s="2"/>
      <c r="H1" s="2"/>
      <c r="I1" s="2"/>
      <c r="J1" s="2"/>
      <c r="K1" s="2"/>
      <c r="L1" s="2"/>
      <c r="M1" s="2"/>
      <c r="N1" s="2"/>
      <c r="O1" s="2"/>
      <c r="P1" s="2"/>
      <c r="Q1" s="2"/>
      <c r="R1" s="2"/>
      <c r="S1" s="2"/>
      <c r="T1" s="2"/>
      <c r="U1" s="2"/>
      <c r="V1" s="3" t="s">
        <v>118</v>
      </c>
      <c r="W1" s="3"/>
      <c r="X1" s="3"/>
    </row>
    <row r="2" spans="1:24" ht="18" customHeight="1">
      <c r="A2" s="4" t="s">
        <v>922</v>
      </c>
      <c r="B2" s="4"/>
      <c r="C2" s="4"/>
      <c r="D2" s="4"/>
      <c r="E2" s="4"/>
      <c r="F2" s="4"/>
      <c r="G2" s="4"/>
      <c r="H2" s="4"/>
      <c r="I2" s="4"/>
      <c r="J2" s="4"/>
      <c r="K2" s="4"/>
      <c r="L2" s="4"/>
      <c r="M2" s="4"/>
      <c r="N2" s="4"/>
      <c r="O2" s="4"/>
      <c r="P2" s="4"/>
      <c r="Q2" s="4"/>
      <c r="R2" s="4"/>
      <c r="S2" s="4"/>
      <c r="T2" s="4"/>
      <c r="U2" s="4"/>
      <c r="V2" s="4"/>
      <c r="W2" s="4"/>
      <c r="X2" s="4"/>
    </row>
    <row r="3" spans="1:24"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923</v>
      </c>
      <c r="T3" s="45"/>
      <c r="U3" s="45"/>
      <c r="V3" s="45"/>
      <c r="W3" s="45"/>
      <c r="X3" s="45"/>
    </row>
    <row r="4" spans="1:24" ht="30" customHeight="1">
      <c r="A4" s="8" t="s">
        <v>642</v>
      </c>
      <c r="B4" s="8" t="s">
        <v>924</v>
      </c>
      <c r="C4" s="9" t="s">
        <v>925</v>
      </c>
      <c r="D4" s="9" t="s">
        <v>926</v>
      </c>
      <c r="E4" s="9" t="s">
        <v>927</v>
      </c>
      <c r="F4" s="9" t="s">
        <v>928</v>
      </c>
      <c r="G4" s="9" t="s">
        <v>929</v>
      </c>
      <c r="H4" s="9" t="s">
        <v>930</v>
      </c>
      <c r="I4" s="9" t="s">
        <v>931</v>
      </c>
      <c r="J4" s="9" t="s">
        <v>932</v>
      </c>
      <c r="K4" s="9" t="s">
        <v>933</v>
      </c>
      <c r="L4" s="9" t="s">
        <v>934</v>
      </c>
      <c r="M4" s="9" t="s">
        <v>935</v>
      </c>
      <c r="N4" s="9" t="s">
        <v>936</v>
      </c>
      <c r="O4" s="9" t="s">
        <v>743</v>
      </c>
      <c r="P4" s="9" t="s">
        <v>154</v>
      </c>
      <c r="Q4" s="9" t="s">
        <v>937</v>
      </c>
      <c r="R4" s="9" t="s">
        <v>938</v>
      </c>
      <c r="S4" s="9" t="s">
        <v>939</v>
      </c>
      <c r="T4" s="9" t="s">
        <v>940</v>
      </c>
      <c r="U4" s="9" t="s">
        <v>941</v>
      </c>
      <c r="V4" s="9" t="s">
        <v>339</v>
      </c>
      <c r="W4" s="9" t="s">
        <v>131</v>
      </c>
      <c r="X4" s="9" t="s">
        <v>942</v>
      </c>
    </row>
    <row r="5" spans="1:24">
      <c r="A5" s="46">
        <f>IF(B5="","","TR-"&amp;TEXT(ROW()-4,"0000"))</f>
        <v>0</v>
      </c>
      <c r="K5" s="32">
        <f>IF(AND(H5&lt;&gt;"",I5&lt;&gt;""),ROUND(I5-H5,1),IF(J5="","",J5))</f>
        <v>0</v>
      </c>
      <c r="M5" s="32">
        <f>IF(K5="","",IF(L5="Yes",ROUND(K5*2,1),K5))</f>
        <v>0</v>
      </c>
      <c r="N5" s="49">
        <f>IF(E5="","",IF(E5="Personal","Personal","Business"))</f>
        <v>0</v>
      </c>
      <c r="O5" s="29">
        <f>IF(B5="","",MileageRate)</f>
        <v>0</v>
      </c>
      <c r="P5" s="29">
        <f>IF(M5="","",IF(N5="Business",ROUND(M5*MileageRate,2),0))</f>
        <v>0</v>
      </c>
      <c r="U5" s="29">
        <f>IF(B5="","",ROUND(IF(P5="",0,P5)+IF(N5="Business",IF(R5="",0,R5)+IF(S5="",0,S5),0),2))</f>
        <v>0</v>
      </c>
      <c r="W5" s="28">
        <f>IF(B5="","",TEXT(B5,"yyyy-mm"))</f>
        <v>0</v>
      </c>
      <c r="X5" s="49">
        <f>IF(B5="","",IF(AND(H5&lt;&gt;"",I5&lt;&gt;"",I5&lt;H5),"Check odometer readings",IF(K5="","Action - add distance",IF(E5="","Action - add a purpose","OK"))))</f>
        <v>0</v>
      </c>
    </row>
    <row r="6" spans="1:24">
      <c r="A6" s="46">
        <f>IF(B6="","","TR-"&amp;TEXT(ROW()-4,"0000"))</f>
        <v>0</v>
      </c>
      <c r="K6" s="32">
        <f>IF(AND(H6&lt;&gt;"",I6&lt;&gt;""),ROUND(I6-H6,1),IF(J6="","",J6))</f>
        <v>0</v>
      </c>
      <c r="M6" s="32">
        <f>IF(K6="","",IF(L6="Yes",ROUND(K6*2,1),K6))</f>
        <v>0</v>
      </c>
      <c r="N6" s="49">
        <f>IF(E6="","",IF(E6="Personal","Personal","Business"))</f>
        <v>0</v>
      </c>
      <c r="O6" s="29">
        <f>IF(B6="","",MileageRate)</f>
        <v>0</v>
      </c>
      <c r="P6" s="29">
        <f>IF(M6="","",IF(N6="Business",ROUND(M6*MileageRate,2),0))</f>
        <v>0</v>
      </c>
      <c r="U6" s="29">
        <f>IF(B6="","",ROUND(IF(P6="",0,P6)+IF(N6="Business",IF(R6="",0,R6)+IF(S6="",0,S6),0),2))</f>
        <v>0</v>
      </c>
      <c r="W6" s="28">
        <f>IF(B6="","",TEXT(B6,"yyyy-mm"))</f>
        <v>0</v>
      </c>
      <c r="X6" s="49">
        <f>IF(B6="","",IF(AND(H6&lt;&gt;"",I6&lt;&gt;"",I6&lt;H6),"Check odometer readings",IF(K6="","Action - add distance",IF(E6="","Action - add a purpose","OK"))))</f>
        <v>0</v>
      </c>
    </row>
    <row r="7" spans="1:24">
      <c r="A7" s="46">
        <f>IF(B7="","","TR-"&amp;TEXT(ROW()-4,"0000"))</f>
        <v>0</v>
      </c>
      <c r="K7" s="32">
        <f>IF(AND(H7&lt;&gt;"",I7&lt;&gt;""),ROUND(I7-H7,1),IF(J7="","",J7))</f>
        <v>0</v>
      </c>
      <c r="M7" s="32">
        <f>IF(K7="","",IF(L7="Yes",ROUND(K7*2,1),K7))</f>
        <v>0</v>
      </c>
      <c r="N7" s="49">
        <f>IF(E7="","",IF(E7="Personal","Personal","Business"))</f>
        <v>0</v>
      </c>
      <c r="O7" s="29">
        <f>IF(B7="","",MileageRate)</f>
        <v>0</v>
      </c>
      <c r="P7" s="29">
        <f>IF(M7="","",IF(N7="Business",ROUND(M7*MileageRate,2),0))</f>
        <v>0</v>
      </c>
      <c r="U7" s="29">
        <f>IF(B7="","",ROUND(IF(P7="",0,P7)+IF(N7="Business",IF(R7="",0,R7)+IF(S7="",0,S7),0),2))</f>
        <v>0</v>
      </c>
      <c r="W7" s="28">
        <f>IF(B7="","",TEXT(B7,"yyyy-mm"))</f>
        <v>0</v>
      </c>
      <c r="X7" s="49">
        <f>IF(B7="","",IF(AND(H7&lt;&gt;"",I7&lt;&gt;"",I7&lt;H7),"Check odometer readings",IF(K7="","Action - add distance",IF(E7="","Action - add a purpose","OK"))))</f>
        <v>0</v>
      </c>
    </row>
    <row r="8" spans="1:24">
      <c r="A8" s="46">
        <f>IF(B8="","","TR-"&amp;TEXT(ROW()-4,"0000"))</f>
        <v>0</v>
      </c>
      <c r="K8" s="32">
        <f>IF(AND(H8&lt;&gt;"",I8&lt;&gt;""),ROUND(I8-H8,1),IF(J8="","",J8))</f>
        <v>0</v>
      </c>
      <c r="M8" s="32">
        <f>IF(K8="","",IF(L8="Yes",ROUND(K8*2,1),K8))</f>
        <v>0</v>
      </c>
      <c r="N8" s="49">
        <f>IF(E8="","",IF(E8="Personal","Personal","Business"))</f>
        <v>0</v>
      </c>
      <c r="O8" s="29">
        <f>IF(B8="","",MileageRate)</f>
        <v>0</v>
      </c>
      <c r="P8" s="29">
        <f>IF(M8="","",IF(N8="Business",ROUND(M8*MileageRate,2),0))</f>
        <v>0</v>
      </c>
      <c r="U8" s="29">
        <f>IF(B8="","",ROUND(IF(P8="",0,P8)+IF(N8="Business",IF(R8="",0,R8)+IF(S8="",0,S8),0),2))</f>
        <v>0</v>
      </c>
      <c r="W8" s="28">
        <f>IF(B8="","",TEXT(B8,"yyyy-mm"))</f>
        <v>0</v>
      </c>
      <c r="X8" s="49">
        <f>IF(B8="","",IF(AND(H8&lt;&gt;"",I8&lt;&gt;"",I8&lt;H8),"Check odometer readings",IF(K8="","Action - add distance",IF(E8="","Action - add a purpose","OK"))))</f>
        <v>0</v>
      </c>
    </row>
    <row r="9" spans="1:24">
      <c r="A9" s="46">
        <f>IF(B9="","","TR-"&amp;TEXT(ROW()-4,"0000"))</f>
        <v>0</v>
      </c>
      <c r="K9" s="32">
        <f>IF(AND(H9&lt;&gt;"",I9&lt;&gt;""),ROUND(I9-H9,1),IF(J9="","",J9))</f>
        <v>0</v>
      </c>
      <c r="M9" s="32">
        <f>IF(K9="","",IF(L9="Yes",ROUND(K9*2,1),K9))</f>
        <v>0</v>
      </c>
      <c r="N9" s="49">
        <f>IF(E9="","",IF(E9="Personal","Personal","Business"))</f>
        <v>0</v>
      </c>
      <c r="O9" s="29">
        <f>IF(B9="","",MileageRate)</f>
        <v>0</v>
      </c>
      <c r="P9" s="29">
        <f>IF(M9="","",IF(N9="Business",ROUND(M9*MileageRate,2),0))</f>
        <v>0</v>
      </c>
      <c r="U9" s="29">
        <f>IF(B9="","",ROUND(IF(P9="",0,P9)+IF(N9="Business",IF(R9="",0,R9)+IF(S9="",0,S9),0),2))</f>
        <v>0</v>
      </c>
      <c r="W9" s="28">
        <f>IF(B9="","",TEXT(B9,"yyyy-mm"))</f>
        <v>0</v>
      </c>
      <c r="X9" s="49">
        <f>IF(B9="","",IF(AND(H9&lt;&gt;"",I9&lt;&gt;"",I9&lt;H9),"Check odometer readings",IF(K9="","Action - add distance",IF(E9="","Action - add a purpose","OK"))))</f>
        <v>0</v>
      </c>
    </row>
    <row r="10" spans="1:24">
      <c r="A10" s="46">
        <f>IF(B10="","","TR-"&amp;TEXT(ROW()-4,"0000"))</f>
        <v>0</v>
      </c>
      <c r="K10" s="32">
        <f>IF(AND(H10&lt;&gt;"",I10&lt;&gt;""),ROUND(I10-H10,1),IF(J10="","",J10))</f>
        <v>0</v>
      </c>
      <c r="M10" s="32">
        <f>IF(K10="","",IF(L10="Yes",ROUND(K10*2,1),K10))</f>
        <v>0</v>
      </c>
      <c r="N10" s="49">
        <f>IF(E10="","",IF(E10="Personal","Personal","Business"))</f>
        <v>0</v>
      </c>
      <c r="O10" s="29">
        <f>IF(B10="","",MileageRate)</f>
        <v>0</v>
      </c>
      <c r="P10" s="29">
        <f>IF(M10="","",IF(N10="Business",ROUND(M10*MileageRate,2),0))</f>
        <v>0</v>
      </c>
      <c r="U10" s="29">
        <f>IF(B10="","",ROUND(IF(P10="",0,P10)+IF(N10="Business",IF(R10="",0,R10)+IF(S10="",0,S10),0),2))</f>
        <v>0</v>
      </c>
      <c r="W10" s="28">
        <f>IF(B10="","",TEXT(B10,"yyyy-mm"))</f>
        <v>0</v>
      </c>
      <c r="X10" s="49">
        <f>IF(B10="","",IF(AND(H10&lt;&gt;"",I10&lt;&gt;"",I10&lt;H10),"Check odometer readings",IF(K10="","Action - add distance",IF(E10="","Action - add a purpose","OK"))))</f>
        <v>0</v>
      </c>
    </row>
    <row r="11" spans="1:24">
      <c r="A11" s="46">
        <f>IF(B11="","","TR-"&amp;TEXT(ROW()-4,"0000"))</f>
        <v>0</v>
      </c>
      <c r="K11" s="32">
        <f>IF(AND(H11&lt;&gt;"",I11&lt;&gt;""),ROUND(I11-H11,1),IF(J11="","",J11))</f>
        <v>0</v>
      </c>
      <c r="M11" s="32">
        <f>IF(K11="","",IF(L11="Yes",ROUND(K11*2,1),K11))</f>
        <v>0</v>
      </c>
      <c r="N11" s="49">
        <f>IF(E11="","",IF(E11="Personal","Personal","Business"))</f>
        <v>0</v>
      </c>
      <c r="O11" s="29">
        <f>IF(B11="","",MileageRate)</f>
        <v>0</v>
      </c>
      <c r="P11" s="29">
        <f>IF(M11="","",IF(N11="Business",ROUND(M11*MileageRate,2),0))</f>
        <v>0</v>
      </c>
      <c r="U11" s="29">
        <f>IF(B11="","",ROUND(IF(P11="",0,P11)+IF(N11="Business",IF(R11="",0,R11)+IF(S11="",0,S11),0),2))</f>
        <v>0</v>
      </c>
      <c r="W11" s="28">
        <f>IF(B11="","",TEXT(B11,"yyyy-mm"))</f>
        <v>0</v>
      </c>
      <c r="X11" s="49">
        <f>IF(B11="","",IF(AND(H11&lt;&gt;"",I11&lt;&gt;"",I11&lt;H11),"Check odometer readings",IF(K11="","Action - add distance",IF(E11="","Action - add a purpose","OK"))))</f>
        <v>0</v>
      </c>
    </row>
    <row r="12" spans="1:24">
      <c r="A12" s="46">
        <f>IF(B12="","","TR-"&amp;TEXT(ROW()-4,"0000"))</f>
        <v>0</v>
      </c>
      <c r="K12" s="32">
        <f>IF(AND(H12&lt;&gt;"",I12&lt;&gt;""),ROUND(I12-H12,1),IF(J12="","",J12))</f>
        <v>0</v>
      </c>
      <c r="M12" s="32">
        <f>IF(K12="","",IF(L12="Yes",ROUND(K12*2,1),K12))</f>
        <v>0</v>
      </c>
      <c r="N12" s="49">
        <f>IF(E12="","",IF(E12="Personal","Personal","Business"))</f>
        <v>0</v>
      </c>
      <c r="O12" s="29">
        <f>IF(B12="","",MileageRate)</f>
        <v>0</v>
      </c>
      <c r="P12" s="29">
        <f>IF(M12="","",IF(N12="Business",ROUND(M12*MileageRate,2),0))</f>
        <v>0</v>
      </c>
      <c r="U12" s="29">
        <f>IF(B12="","",ROUND(IF(P12="",0,P12)+IF(N12="Business",IF(R12="",0,R12)+IF(S12="",0,S12),0),2))</f>
        <v>0</v>
      </c>
      <c r="W12" s="28">
        <f>IF(B12="","",TEXT(B12,"yyyy-mm"))</f>
        <v>0</v>
      </c>
      <c r="X12" s="49">
        <f>IF(B12="","",IF(AND(H12&lt;&gt;"",I12&lt;&gt;"",I12&lt;H12),"Check odometer readings",IF(K12="","Action - add distance",IF(E12="","Action - add a purpose","OK"))))</f>
        <v>0</v>
      </c>
    </row>
    <row r="13" spans="1:24">
      <c r="A13" s="46">
        <f>IF(B13="","","TR-"&amp;TEXT(ROW()-4,"0000"))</f>
        <v>0</v>
      </c>
      <c r="K13" s="32">
        <f>IF(AND(H13&lt;&gt;"",I13&lt;&gt;""),ROUND(I13-H13,1),IF(J13="","",J13))</f>
        <v>0</v>
      </c>
      <c r="M13" s="32">
        <f>IF(K13="","",IF(L13="Yes",ROUND(K13*2,1),K13))</f>
        <v>0</v>
      </c>
      <c r="N13" s="49">
        <f>IF(E13="","",IF(E13="Personal","Personal","Business"))</f>
        <v>0</v>
      </c>
      <c r="O13" s="29">
        <f>IF(B13="","",MileageRate)</f>
        <v>0</v>
      </c>
      <c r="P13" s="29">
        <f>IF(M13="","",IF(N13="Business",ROUND(M13*MileageRate,2),0))</f>
        <v>0</v>
      </c>
      <c r="U13" s="29">
        <f>IF(B13="","",ROUND(IF(P13="",0,P13)+IF(N13="Business",IF(R13="",0,R13)+IF(S13="",0,S13),0),2))</f>
        <v>0</v>
      </c>
      <c r="W13" s="28">
        <f>IF(B13="","",TEXT(B13,"yyyy-mm"))</f>
        <v>0</v>
      </c>
      <c r="X13" s="49">
        <f>IF(B13="","",IF(AND(H13&lt;&gt;"",I13&lt;&gt;"",I13&lt;H13),"Check odometer readings",IF(K13="","Action - add distance",IF(E13="","Action - add a purpose","OK"))))</f>
        <v>0</v>
      </c>
    </row>
    <row r="14" spans="1:24">
      <c r="A14" s="46">
        <f>IF(B14="","","TR-"&amp;TEXT(ROW()-4,"0000"))</f>
        <v>0</v>
      </c>
      <c r="K14" s="32">
        <f>IF(AND(H14&lt;&gt;"",I14&lt;&gt;""),ROUND(I14-H14,1),IF(J14="","",J14))</f>
        <v>0</v>
      </c>
      <c r="M14" s="32">
        <f>IF(K14="","",IF(L14="Yes",ROUND(K14*2,1),K14))</f>
        <v>0</v>
      </c>
      <c r="N14" s="49">
        <f>IF(E14="","",IF(E14="Personal","Personal","Business"))</f>
        <v>0</v>
      </c>
      <c r="O14" s="29">
        <f>IF(B14="","",MileageRate)</f>
        <v>0</v>
      </c>
      <c r="P14" s="29">
        <f>IF(M14="","",IF(N14="Business",ROUND(M14*MileageRate,2),0))</f>
        <v>0</v>
      </c>
      <c r="U14" s="29">
        <f>IF(B14="","",ROUND(IF(P14="",0,P14)+IF(N14="Business",IF(R14="",0,R14)+IF(S14="",0,S14),0),2))</f>
        <v>0</v>
      </c>
      <c r="W14" s="28">
        <f>IF(B14="","",TEXT(B14,"yyyy-mm"))</f>
        <v>0</v>
      </c>
      <c r="X14" s="49">
        <f>IF(B14="","",IF(AND(H14&lt;&gt;"",I14&lt;&gt;"",I14&lt;H14),"Check odometer readings",IF(K14="","Action - add distance",IF(E14="","Action - add a purpose","OK"))))</f>
        <v>0</v>
      </c>
    </row>
    <row r="15" spans="1:24">
      <c r="A15" s="46">
        <f>IF(B15="","","TR-"&amp;TEXT(ROW()-4,"0000"))</f>
        <v>0</v>
      </c>
      <c r="K15" s="32">
        <f>IF(AND(H15&lt;&gt;"",I15&lt;&gt;""),ROUND(I15-H15,1),IF(J15="","",J15))</f>
        <v>0</v>
      </c>
      <c r="M15" s="32">
        <f>IF(K15="","",IF(L15="Yes",ROUND(K15*2,1),K15))</f>
        <v>0</v>
      </c>
      <c r="N15" s="49">
        <f>IF(E15="","",IF(E15="Personal","Personal","Business"))</f>
        <v>0</v>
      </c>
      <c r="O15" s="29">
        <f>IF(B15="","",MileageRate)</f>
        <v>0</v>
      </c>
      <c r="P15" s="29">
        <f>IF(M15="","",IF(N15="Business",ROUND(M15*MileageRate,2),0))</f>
        <v>0</v>
      </c>
      <c r="U15" s="29">
        <f>IF(B15="","",ROUND(IF(P15="",0,P15)+IF(N15="Business",IF(R15="",0,R15)+IF(S15="",0,S15),0),2))</f>
        <v>0</v>
      </c>
      <c r="W15" s="28">
        <f>IF(B15="","",TEXT(B15,"yyyy-mm"))</f>
        <v>0</v>
      </c>
      <c r="X15" s="49">
        <f>IF(B15="","",IF(AND(H15&lt;&gt;"",I15&lt;&gt;"",I15&lt;H15),"Check odometer readings",IF(K15="","Action - add distance",IF(E15="","Action - add a purpose","OK"))))</f>
        <v>0</v>
      </c>
    </row>
    <row r="16" spans="1:24">
      <c r="A16" s="46">
        <f>IF(B16="","","TR-"&amp;TEXT(ROW()-4,"0000"))</f>
        <v>0</v>
      </c>
      <c r="K16" s="32">
        <f>IF(AND(H16&lt;&gt;"",I16&lt;&gt;""),ROUND(I16-H16,1),IF(J16="","",J16))</f>
        <v>0</v>
      </c>
      <c r="M16" s="32">
        <f>IF(K16="","",IF(L16="Yes",ROUND(K16*2,1),K16))</f>
        <v>0</v>
      </c>
      <c r="N16" s="49">
        <f>IF(E16="","",IF(E16="Personal","Personal","Business"))</f>
        <v>0</v>
      </c>
      <c r="O16" s="29">
        <f>IF(B16="","",MileageRate)</f>
        <v>0</v>
      </c>
      <c r="P16" s="29">
        <f>IF(M16="","",IF(N16="Business",ROUND(M16*MileageRate,2),0))</f>
        <v>0</v>
      </c>
      <c r="U16" s="29">
        <f>IF(B16="","",ROUND(IF(P16="",0,P16)+IF(N16="Business",IF(R16="",0,R16)+IF(S16="",0,S16),0),2))</f>
        <v>0</v>
      </c>
      <c r="W16" s="28">
        <f>IF(B16="","",TEXT(B16,"yyyy-mm"))</f>
        <v>0</v>
      </c>
      <c r="X16" s="49">
        <f>IF(B16="","",IF(AND(H16&lt;&gt;"",I16&lt;&gt;"",I16&lt;H16),"Check odometer readings",IF(K16="","Action - add distance",IF(E16="","Action - add a purpose","OK"))))</f>
        <v>0</v>
      </c>
    </row>
    <row r="17" spans="1:24">
      <c r="A17" s="46">
        <f>IF(B17="","","TR-"&amp;TEXT(ROW()-4,"0000"))</f>
        <v>0</v>
      </c>
      <c r="K17" s="32">
        <f>IF(AND(H17&lt;&gt;"",I17&lt;&gt;""),ROUND(I17-H17,1),IF(J17="","",J17))</f>
        <v>0</v>
      </c>
      <c r="M17" s="32">
        <f>IF(K17="","",IF(L17="Yes",ROUND(K17*2,1),K17))</f>
        <v>0</v>
      </c>
      <c r="N17" s="49">
        <f>IF(E17="","",IF(E17="Personal","Personal","Business"))</f>
        <v>0</v>
      </c>
      <c r="O17" s="29">
        <f>IF(B17="","",MileageRate)</f>
        <v>0</v>
      </c>
      <c r="P17" s="29">
        <f>IF(M17="","",IF(N17="Business",ROUND(M17*MileageRate,2),0))</f>
        <v>0</v>
      </c>
      <c r="U17" s="29">
        <f>IF(B17="","",ROUND(IF(P17="",0,P17)+IF(N17="Business",IF(R17="",0,R17)+IF(S17="",0,S17),0),2))</f>
        <v>0</v>
      </c>
      <c r="W17" s="28">
        <f>IF(B17="","",TEXT(B17,"yyyy-mm"))</f>
        <v>0</v>
      </c>
      <c r="X17" s="49">
        <f>IF(B17="","",IF(AND(H17&lt;&gt;"",I17&lt;&gt;"",I17&lt;H17),"Check odometer readings",IF(K17="","Action - add distance",IF(E17="","Action - add a purpose","OK"))))</f>
        <v>0</v>
      </c>
    </row>
    <row r="18" spans="1:24">
      <c r="A18" s="46">
        <f>IF(B18="","","TR-"&amp;TEXT(ROW()-4,"0000"))</f>
        <v>0</v>
      </c>
      <c r="K18" s="32">
        <f>IF(AND(H18&lt;&gt;"",I18&lt;&gt;""),ROUND(I18-H18,1),IF(J18="","",J18))</f>
        <v>0</v>
      </c>
      <c r="M18" s="32">
        <f>IF(K18="","",IF(L18="Yes",ROUND(K18*2,1),K18))</f>
        <v>0</v>
      </c>
      <c r="N18" s="49">
        <f>IF(E18="","",IF(E18="Personal","Personal","Business"))</f>
        <v>0</v>
      </c>
      <c r="O18" s="29">
        <f>IF(B18="","",MileageRate)</f>
        <v>0</v>
      </c>
      <c r="P18" s="29">
        <f>IF(M18="","",IF(N18="Business",ROUND(M18*MileageRate,2),0))</f>
        <v>0</v>
      </c>
      <c r="U18" s="29">
        <f>IF(B18="","",ROUND(IF(P18="",0,P18)+IF(N18="Business",IF(R18="",0,R18)+IF(S18="",0,S18),0),2))</f>
        <v>0</v>
      </c>
      <c r="W18" s="28">
        <f>IF(B18="","",TEXT(B18,"yyyy-mm"))</f>
        <v>0</v>
      </c>
      <c r="X18" s="49">
        <f>IF(B18="","",IF(AND(H18&lt;&gt;"",I18&lt;&gt;"",I18&lt;H18),"Check odometer readings",IF(K18="","Action - add distance",IF(E18="","Action - add a purpose","OK"))))</f>
        <v>0</v>
      </c>
    </row>
    <row r="19" spans="1:24">
      <c r="A19" s="46">
        <f>IF(B19="","","TR-"&amp;TEXT(ROW()-4,"0000"))</f>
        <v>0</v>
      </c>
      <c r="K19" s="32">
        <f>IF(AND(H19&lt;&gt;"",I19&lt;&gt;""),ROUND(I19-H19,1),IF(J19="","",J19))</f>
        <v>0</v>
      </c>
      <c r="M19" s="32">
        <f>IF(K19="","",IF(L19="Yes",ROUND(K19*2,1),K19))</f>
        <v>0</v>
      </c>
      <c r="N19" s="49">
        <f>IF(E19="","",IF(E19="Personal","Personal","Business"))</f>
        <v>0</v>
      </c>
      <c r="O19" s="29">
        <f>IF(B19="","",MileageRate)</f>
        <v>0</v>
      </c>
      <c r="P19" s="29">
        <f>IF(M19="","",IF(N19="Business",ROUND(M19*MileageRate,2),0))</f>
        <v>0</v>
      </c>
      <c r="U19" s="29">
        <f>IF(B19="","",ROUND(IF(P19="",0,P19)+IF(N19="Business",IF(R19="",0,R19)+IF(S19="",0,S19),0),2))</f>
        <v>0</v>
      </c>
      <c r="W19" s="28">
        <f>IF(B19="","",TEXT(B19,"yyyy-mm"))</f>
        <v>0</v>
      </c>
      <c r="X19" s="49">
        <f>IF(B19="","",IF(AND(H19&lt;&gt;"",I19&lt;&gt;"",I19&lt;H19),"Check odometer readings",IF(K19="","Action - add distance",IF(E19="","Action - add a purpose","OK"))))</f>
        <v>0</v>
      </c>
    </row>
    <row r="20" spans="1:24">
      <c r="A20" s="46">
        <f>IF(B20="","","TR-"&amp;TEXT(ROW()-4,"0000"))</f>
        <v>0</v>
      </c>
      <c r="K20" s="32">
        <f>IF(AND(H20&lt;&gt;"",I20&lt;&gt;""),ROUND(I20-H20,1),IF(J20="","",J20))</f>
        <v>0</v>
      </c>
      <c r="M20" s="32">
        <f>IF(K20="","",IF(L20="Yes",ROUND(K20*2,1),K20))</f>
        <v>0</v>
      </c>
      <c r="N20" s="49">
        <f>IF(E20="","",IF(E20="Personal","Personal","Business"))</f>
        <v>0</v>
      </c>
      <c r="O20" s="29">
        <f>IF(B20="","",MileageRate)</f>
        <v>0</v>
      </c>
      <c r="P20" s="29">
        <f>IF(M20="","",IF(N20="Business",ROUND(M20*MileageRate,2),0))</f>
        <v>0</v>
      </c>
      <c r="U20" s="29">
        <f>IF(B20="","",ROUND(IF(P20="",0,P20)+IF(N20="Business",IF(R20="",0,R20)+IF(S20="",0,S20),0),2))</f>
        <v>0</v>
      </c>
      <c r="W20" s="28">
        <f>IF(B20="","",TEXT(B20,"yyyy-mm"))</f>
        <v>0</v>
      </c>
      <c r="X20" s="49">
        <f>IF(B20="","",IF(AND(H20&lt;&gt;"",I20&lt;&gt;"",I20&lt;H20),"Check odometer readings",IF(K20="","Action - add distance",IF(E20="","Action - add a purpose","OK"))))</f>
        <v>0</v>
      </c>
    </row>
    <row r="21" spans="1:24">
      <c r="A21" s="46">
        <f>IF(B21="","","TR-"&amp;TEXT(ROW()-4,"0000"))</f>
        <v>0</v>
      </c>
      <c r="K21" s="32">
        <f>IF(AND(H21&lt;&gt;"",I21&lt;&gt;""),ROUND(I21-H21,1),IF(J21="","",J21))</f>
        <v>0</v>
      </c>
      <c r="M21" s="32">
        <f>IF(K21="","",IF(L21="Yes",ROUND(K21*2,1),K21))</f>
        <v>0</v>
      </c>
      <c r="N21" s="49">
        <f>IF(E21="","",IF(E21="Personal","Personal","Business"))</f>
        <v>0</v>
      </c>
      <c r="O21" s="29">
        <f>IF(B21="","",MileageRate)</f>
        <v>0</v>
      </c>
      <c r="P21" s="29">
        <f>IF(M21="","",IF(N21="Business",ROUND(M21*MileageRate,2),0))</f>
        <v>0</v>
      </c>
      <c r="U21" s="29">
        <f>IF(B21="","",ROUND(IF(P21="",0,P21)+IF(N21="Business",IF(R21="",0,R21)+IF(S21="",0,S21),0),2))</f>
        <v>0</v>
      </c>
      <c r="W21" s="28">
        <f>IF(B21="","",TEXT(B21,"yyyy-mm"))</f>
        <v>0</v>
      </c>
      <c r="X21" s="49">
        <f>IF(B21="","",IF(AND(H21&lt;&gt;"",I21&lt;&gt;"",I21&lt;H21),"Check odometer readings",IF(K21="","Action - add distance",IF(E21="","Action - add a purpose","OK"))))</f>
        <v>0</v>
      </c>
    </row>
    <row r="22" spans="1:24">
      <c r="A22" s="46">
        <f>IF(B22="","","TR-"&amp;TEXT(ROW()-4,"0000"))</f>
        <v>0</v>
      </c>
      <c r="K22" s="32">
        <f>IF(AND(H22&lt;&gt;"",I22&lt;&gt;""),ROUND(I22-H22,1),IF(J22="","",J22))</f>
        <v>0</v>
      </c>
      <c r="M22" s="32">
        <f>IF(K22="","",IF(L22="Yes",ROUND(K22*2,1),K22))</f>
        <v>0</v>
      </c>
      <c r="N22" s="49">
        <f>IF(E22="","",IF(E22="Personal","Personal","Business"))</f>
        <v>0</v>
      </c>
      <c r="O22" s="29">
        <f>IF(B22="","",MileageRate)</f>
        <v>0</v>
      </c>
      <c r="P22" s="29">
        <f>IF(M22="","",IF(N22="Business",ROUND(M22*MileageRate,2),0))</f>
        <v>0</v>
      </c>
      <c r="U22" s="29">
        <f>IF(B22="","",ROUND(IF(P22="",0,P22)+IF(N22="Business",IF(R22="",0,R22)+IF(S22="",0,S22),0),2))</f>
        <v>0</v>
      </c>
      <c r="W22" s="28">
        <f>IF(B22="","",TEXT(B22,"yyyy-mm"))</f>
        <v>0</v>
      </c>
      <c r="X22" s="49">
        <f>IF(B22="","",IF(AND(H22&lt;&gt;"",I22&lt;&gt;"",I22&lt;H22),"Check odometer readings",IF(K22="","Action - add distance",IF(E22="","Action - add a purpose","OK"))))</f>
        <v>0</v>
      </c>
    </row>
    <row r="23" spans="1:24">
      <c r="A23" s="46">
        <f>IF(B23="","","TR-"&amp;TEXT(ROW()-4,"0000"))</f>
        <v>0</v>
      </c>
      <c r="K23" s="32">
        <f>IF(AND(H23&lt;&gt;"",I23&lt;&gt;""),ROUND(I23-H23,1),IF(J23="","",J23))</f>
        <v>0</v>
      </c>
      <c r="M23" s="32">
        <f>IF(K23="","",IF(L23="Yes",ROUND(K23*2,1),K23))</f>
        <v>0</v>
      </c>
      <c r="N23" s="49">
        <f>IF(E23="","",IF(E23="Personal","Personal","Business"))</f>
        <v>0</v>
      </c>
      <c r="O23" s="29">
        <f>IF(B23="","",MileageRate)</f>
        <v>0</v>
      </c>
      <c r="P23" s="29">
        <f>IF(M23="","",IF(N23="Business",ROUND(M23*MileageRate,2),0))</f>
        <v>0</v>
      </c>
      <c r="U23" s="29">
        <f>IF(B23="","",ROUND(IF(P23="",0,P23)+IF(N23="Business",IF(R23="",0,R23)+IF(S23="",0,S23),0),2))</f>
        <v>0</v>
      </c>
      <c r="W23" s="28">
        <f>IF(B23="","",TEXT(B23,"yyyy-mm"))</f>
        <v>0</v>
      </c>
      <c r="X23" s="49">
        <f>IF(B23="","",IF(AND(H23&lt;&gt;"",I23&lt;&gt;"",I23&lt;H23),"Check odometer readings",IF(K23="","Action - add distance",IF(E23="","Action - add a purpose","OK"))))</f>
        <v>0</v>
      </c>
    </row>
    <row r="24" spans="1:24">
      <c r="A24" s="46">
        <f>IF(B24="","","TR-"&amp;TEXT(ROW()-4,"0000"))</f>
        <v>0</v>
      </c>
      <c r="K24" s="32">
        <f>IF(AND(H24&lt;&gt;"",I24&lt;&gt;""),ROUND(I24-H24,1),IF(J24="","",J24))</f>
        <v>0</v>
      </c>
      <c r="M24" s="32">
        <f>IF(K24="","",IF(L24="Yes",ROUND(K24*2,1),K24))</f>
        <v>0</v>
      </c>
      <c r="N24" s="49">
        <f>IF(E24="","",IF(E24="Personal","Personal","Business"))</f>
        <v>0</v>
      </c>
      <c r="O24" s="29">
        <f>IF(B24="","",MileageRate)</f>
        <v>0</v>
      </c>
      <c r="P24" s="29">
        <f>IF(M24="","",IF(N24="Business",ROUND(M24*MileageRate,2),0))</f>
        <v>0</v>
      </c>
      <c r="U24" s="29">
        <f>IF(B24="","",ROUND(IF(P24="",0,P24)+IF(N24="Business",IF(R24="",0,R24)+IF(S24="",0,S24),0),2))</f>
        <v>0</v>
      </c>
      <c r="W24" s="28">
        <f>IF(B24="","",TEXT(B24,"yyyy-mm"))</f>
        <v>0</v>
      </c>
      <c r="X24" s="49">
        <f>IF(B24="","",IF(AND(H24&lt;&gt;"",I24&lt;&gt;"",I24&lt;H24),"Check odometer readings",IF(K24="","Action - add distance",IF(E24="","Action - add a purpose","OK"))))</f>
        <v>0</v>
      </c>
    </row>
    <row r="25" spans="1:24">
      <c r="A25" s="46">
        <f>IF(B25="","","TR-"&amp;TEXT(ROW()-4,"0000"))</f>
        <v>0</v>
      </c>
      <c r="K25" s="32">
        <f>IF(AND(H25&lt;&gt;"",I25&lt;&gt;""),ROUND(I25-H25,1),IF(J25="","",J25))</f>
        <v>0</v>
      </c>
      <c r="M25" s="32">
        <f>IF(K25="","",IF(L25="Yes",ROUND(K25*2,1),K25))</f>
        <v>0</v>
      </c>
      <c r="N25" s="49">
        <f>IF(E25="","",IF(E25="Personal","Personal","Business"))</f>
        <v>0</v>
      </c>
      <c r="O25" s="29">
        <f>IF(B25="","",MileageRate)</f>
        <v>0</v>
      </c>
      <c r="P25" s="29">
        <f>IF(M25="","",IF(N25="Business",ROUND(M25*MileageRate,2),0))</f>
        <v>0</v>
      </c>
      <c r="U25" s="29">
        <f>IF(B25="","",ROUND(IF(P25="",0,P25)+IF(N25="Business",IF(R25="",0,R25)+IF(S25="",0,S25),0),2))</f>
        <v>0</v>
      </c>
      <c r="W25" s="28">
        <f>IF(B25="","",TEXT(B25,"yyyy-mm"))</f>
        <v>0</v>
      </c>
      <c r="X25" s="49">
        <f>IF(B25="","",IF(AND(H25&lt;&gt;"",I25&lt;&gt;"",I25&lt;H25),"Check odometer readings",IF(K25="","Action - add distance",IF(E25="","Action - add a purpose","OK"))))</f>
        <v>0</v>
      </c>
    </row>
    <row r="26" spans="1:24">
      <c r="A26" s="46">
        <f>IF(B26="","","TR-"&amp;TEXT(ROW()-4,"0000"))</f>
        <v>0</v>
      </c>
      <c r="K26" s="32">
        <f>IF(AND(H26&lt;&gt;"",I26&lt;&gt;""),ROUND(I26-H26,1),IF(J26="","",J26))</f>
        <v>0</v>
      </c>
      <c r="M26" s="32">
        <f>IF(K26="","",IF(L26="Yes",ROUND(K26*2,1),K26))</f>
        <v>0</v>
      </c>
      <c r="N26" s="49">
        <f>IF(E26="","",IF(E26="Personal","Personal","Business"))</f>
        <v>0</v>
      </c>
      <c r="O26" s="29">
        <f>IF(B26="","",MileageRate)</f>
        <v>0</v>
      </c>
      <c r="P26" s="29">
        <f>IF(M26="","",IF(N26="Business",ROUND(M26*MileageRate,2),0))</f>
        <v>0</v>
      </c>
      <c r="U26" s="29">
        <f>IF(B26="","",ROUND(IF(P26="",0,P26)+IF(N26="Business",IF(R26="",0,R26)+IF(S26="",0,S26),0),2))</f>
        <v>0</v>
      </c>
      <c r="W26" s="28">
        <f>IF(B26="","",TEXT(B26,"yyyy-mm"))</f>
        <v>0</v>
      </c>
      <c r="X26" s="49">
        <f>IF(B26="","",IF(AND(H26&lt;&gt;"",I26&lt;&gt;"",I26&lt;H26),"Check odometer readings",IF(K26="","Action - add distance",IF(E26="","Action - add a purpose","OK"))))</f>
        <v>0</v>
      </c>
    </row>
    <row r="27" spans="1:24">
      <c r="A27" s="46">
        <f>IF(B27="","","TR-"&amp;TEXT(ROW()-4,"0000"))</f>
        <v>0</v>
      </c>
      <c r="K27" s="32">
        <f>IF(AND(H27&lt;&gt;"",I27&lt;&gt;""),ROUND(I27-H27,1),IF(J27="","",J27))</f>
        <v>0</v>
      </c>
      <c r="M27" s="32">
        <f>IF(K27="","",IF(L27="Yes",ROUND(K27*2,1),K27))</f>
        <v>0</v>
      </c>
      <c r="N27" s="49">
        <f>IF(E27="","",IF(E27="Personal","Personal","Business"))</f>
        <v>0</v>
      </c>
      <c r="O27" s="29">
        <f>IF(B27="","",MileageRate)</f>
        <v>0</v>
      </c>
      <c r="P27" s="29">
        <f>IF(M27="","",IF(N27="Business",ROUND(M27*MileageRate,2),0))</f>
        <v>0</v>
      </c>
      <c r="U27" s="29">
        <f>IF(B27="","",ROUND(IF(P27="",0,P27)+IF(N27="Business",IF(R27="",0,R27)+IF(S27="",0,S27),0),2))</f>
        <v>0</v>
      </c>
      <c r="W27" s="28">
        <f>IF(B27="","",TEXT(B27,"yyyy-mm"))</f>
        <v>0</v>
      </c>
      <c r="X27" s="49">
        <f>IF(B27="","",IF(AND(H27&lt;&gt;"",I27&lt;&gt;"",I27&lt;H27),"Check odometer readings",IF(K27="","Action - add distance",IF(E27="","Action - add a purpose","OK"))))</f>
        <v>0</v>
      </c>
    </row>
    <row r="28" spans="1:24">
      <c r="A28" s="46">
        <f>IF(B28="","","TR-"&amp;TEXT(ROW()-4,"0000"))</f>
        <v>0</v>
      </c>
      <c r="K28" s="32">
        <f>IF(AND(H28&lt;&gt;"",I28&lt;&gt;""),ROUND(I28-H28,1),IF(J28="","",J28))</f>
        <v>0</v>
      </c>
      <c r="M28" s="32">
        <f>IF(K28="","",IF(L28="Yes",ROUND(K28*2,1),K28))</f>
        <v>0</v>
      </c>
      <c r="N28" s="49">
        <f>IF(E28="","",IF(E28="Personal","Personal","Business"))</f>
        <v>0</v>
      </c>
      <c r="O28" s="29">
        <f>IF(B28="","",MileageRate)</f>
        <v>0</v>
      </c>
      <c r="P28" s="29">
        <f>IF(M28="","",IF(N28="Business",ROUND(M28*MileageRate,2),0))</f>
        <v>0</v>
      </c>
      <c r="U28" s="29">
        <f>IF(B28="","",ROUND(IF(P28="",0,P28)+IF(N28="Business",IF(R28="",0,R28)+IF(S28="",0,S28),0),2))</f>
        <v>0</v>
      </c>
      <c r="W28" s="28">
        <f>IF(B28="","",TEXT(B28,"yyyy-mm"))</f>
        <v>0</v>
      </c>
      <c r="X28" s="49">
        <f>IF(B28="","",IF(AND(H28&lt;&gt;"",I28&lt;&gt;"",I28&lt;H28),"Check odometer readings",IF(K28="","Action - add distance",IF(E28="","Action - add a purpose","OK"))))</f>
        <v>0</v>
      </c>
    </row>
    <row r="29" spans="1:24">
      <c r="A29" s="46">
        <f>IF(B29="","","TR-"&amp;TEXT(ROW()-4,"0000"))</f>
        <v>0</v>
      </c>
      <c r="K29" s="32">
        <f>IF(AND(H29&lt;&gt;"",I29&lt;&gt;""),ROUND(I29-H29,1),IF(J29="","",J29))</f>
        <v>0</v>
      </c>
      <c r="M29" s="32">
        <f>IF(K29="","",IF(L29="Yes",ROUND(K29*2,1),K29))</f>
        <v>0</v>
      </c>
      <c r="N29" s="49">
        <f>IF(E29="","",IF(E29="Personal","Personal","Business"))</f>
        <v>0</v>
      </c>
      <c r="O29" s="29">
        <f>IF(B29="","",MileageRate)</f>
        <v>0</v>
      </c>
      <c r="P29" s="29">
        <f>IF(M29="","",IF(N29="Business",ROUND(M29*MileageRate,2),0))</f>
        <v>0</v>
      </c>
      <c r="U29" s="29">
        <f>IF(B29="","",ROUND(IF(P29="",0,P29)+IF(N29="Business",IF(R29="",0,R29)+IF(S29="",0,S29),0),2))</f>
        <v>0</v>
      </c>
      <c r="W29" s="28">
        <f>IF(B29="","",TEXT(B29,"yyyy-mm"))</f>
        <v>0</v>
      </c>
      <c r="X29" s="49">
        <f>IF(B29="","",IF(AND(H29&lt;&gt;"",I29&lt;&gt;"",I29&lt;H29),"Check odometer readings",IF(K29="","Action - add distance",IF(E29="","Action - add a purpose","OK"))))</f>
        <v>0</v>
      </c>
    </row>
    <row r="30" spans="1:24">
      <c r="A30" s="46">
        <f>IF(B30="","","TR-"&amp;TEXT(ROW()-4,"0000"))</f>
        <v>0</v>
      </c>
      <c r="K30" s="32">
        <f>IF(AND(H30&lt;&gt;"",I30&lt;&gt;""),ROUND(I30-H30,1),IF(J30="","",J30))</f>
        <v>0</v>
      </c>
      <c r="M30" s="32">
        <f>IF(K30="","",IF(L30="Yes",ROUND(K30*2,1),K30))</f>
        <v>0</v>
      </c>
      <c r="N30" s="49">
        <f>IF(E30="","",IF(E30="Personal","Personal","Business"))</f>
        <v>0</v>
      </c>
      <c r="O30" s="29">
        <f>IF(B30="","",MileageRate)</f>
        <v>0</v>
      </c>
      <c r="P30" s="29">
        <f>IF(M30="","",IF(N30="Business",ROUND(M30*MileageRate,2),0))</f>
        <v>0</v>
      </c>
      <c r="U30" s="29">
        <f>IF(B30="","",ROUND(IF(P30="",0,P30)+IF(N30="Business",IF(R30="",0,R30)+IF(S30="",0,S30),0),2))</f>
        <v>0</v>
      </c>
      <c r="W30" s="28">
        <f>IF(B30="","",TEXT(B30,"yyyy-mm"))</f>
        <v>0</v>
      </c>
      <c r="X30" s="49">
        <f>IF(B30="","",IF(AND(H30&lt;&gt;"",I30&lt;&gt;"",I30&lt;H30),"Check odometer readings",IF(K30="","Action - add distance",IF(E30="","Action - add a purpose","OK"))))</f>
        <v>0</v>
      </c>
    </row>
    <row r="31" spans="1:24">
      <c r="A31" s="46">
        <f>IF(B31="","","TR-"&amp;TEXT(ROW()-4,"0000"))</f>
        <v>0</v>
      </c>
      <c r="K31" s="32">
        <f>IF(AND(H31&lt;&gt;"",I31&lt;&gt;""),ROUND(I31-H31,1),IF(J31="","",J31))</f>
        <v>0</v>
      </c>
      <c r="M31" s="32">
        <f>IF(K31="","",IF(L31="Yes",ROUND(K31*2,1),K31))</f>
        <v>0</v>
      </c>
      <c r="N31" s="49">
        <f>IF(E31="","",IF(E31="Personal","Personal","Business"))</f>
        <v>0</v>
      </c>
      <c r="O31" s="29">
        <f>IF(B31="","",MileageRate)</f>
        <v>0</v>
      </c>
      <c r="P31" s="29">
        <f>IF(M31="","",IF(N31="Business",ROUND(M31*MileageRate,2),0))</f>
        <v>0</v>
      </c>
      <c r="U31" s="29">
        <f>IF(B31="","",ROUND(IF(P31="",0,P31)+IF(N31="Business",IF(R31="",0,R31)+IF(S31="",0,S31),0),2))</f>
        <v>0</v>
      </c>
      <c r="W31" s="28">
        <f>IF(B31="","",TEXT(B31,"yyyy-mm"))</f>
        <v>0</v>
      </c>
      <c r="X31" s="49">
        <f>IF(B31="","",IF(AND(H31&lt;&gt;"",I31&lt;&gt;"",I31&lt;H31),"Check odometer readings",IF(K31="","Action - add distance",IF(E31="","Action - add a purpose","OK"))))</f>
        <v>0</v>
      </c>
    </row>
    <row r="32" spans="1:24">
      <c r="A32" s="46">
        <f>IF(B32="","","TR-"&amp;TEXT(ROW()-4,"0000"))</f>
        <v>0</v>
      </c>
      <c r="K32" s="32">
        <f>IF(AND(H32&lt;&gt;"",I32&lt;&gt;""),ROUND(I32-H32,1),IF(J32="","",J32))</f>
        <v>0</v>
      </c>
      <c r="M32" s="32">
        <f>IF(K32="","",IF(L32="Yes",ROUND(K32*2,1),K32))</f>
        <v>0</v>
      </c>
      <c r="N32" s="49">
        <f>IF(E32="","",IF(E32="Personal","Personal","Business"))</f>
        <v>0</v>
      </c>
      <c r="O32" s="29">
        <f>IF(B32="","",MileageRate)</f>
        <v>0</v>
      </c>
      <c r="P32" s="29">
        <f>IF(M32="","",IF(N32="Business",ROUND(M32*MileageRate,2),0))</f>
        <v>0</v>
      </c>
      <c r="U32" s="29">
        <f>IF(B32="","",ROUND(IF(P32="",0,P32)+IF(N32="Business",IF(R32="",0,R32)+IF(S32="",0,S32),0),2))</f>
        <v>0</v>
      </c>
      <c r="W32" s="28">
        <f>IF(B32="","",TEXT(B32,"yyyy-mm"))</f>
        <v>0</v>
      </c>
      <c r="X32" s="49">
        <f>IF(B32="","",IF(AND(H32&lt;&gt;"",I32&lt;&gt;"",I32&lt;H32),"Check odometer readings",IF(K32="","Action - add distance",IF(E32="","Action - add a purpose","OK"))))</f>
        <v>0</v>
      </c>
    </row>
    <row r="33" spans="1:24">
      <c r="A33" s="46">
        <f>IF(B33="","","TR-"&amp;TEXT(ROW()-4,"0000"))</f>
        <v>0</v>
      </c>
      <c r="K33" s="32">
        <f>IF(AND(H33&lt;&gt;"",I33&lt;&gt;""),ROUND(I33-H33,1),IF(J33="","",J33))</f>
        <v>0</v>
      </c>
      <c r="M33" s="32">
        <f>IF(K33="","",IF(L33="Yes",ROUND(K33*2,1),K33))</f>
        <v>0</v>
      </c>
      <c r="N33" s="49">
        <f>IF(E33="","",IF(E33="Personal","Personal","Business"))</f>
        <v>0</v>
      </c>
      <c r="O33" s="29">
        <f>IF(B33="","",MileageRate)</f>
        <v>0</v>
      </c>
      <c r="P33" s="29">
        <f>IF(M33="","",IF(N33="Business",ROUND(M33*MileageRate,2),0))</f>
        <v>0</v>
      </c>
      <c r="U33" s="29">
        <f>IF(B33="","",ROUND(IF(P33="",0,P33)+IF(N33="Business",IF(R33="",0,R33)+IF(S33="",0,S33),0),2))</f>
        <v>0</v>
      </c>
      <c r="W33" s="28">
        <f>IF(B33="","",TEXT(B33,"yyyy-mm"))</f>
        <v>0</v>
      </c>
      <c r="X33" s="49">
        <f>IF(B33="","",IF(AND(H33&lt;&gt;"",I33&lt;&gt;"",I33&lt;H33),"Check odometer readings",IF(K33="","Action - add distance",IF(E33="","Action - add a purpose","OK"))))</f>
        <v>0</v>
      </c>
    </row>
    <row r="34" spans="1:24">
      <c r="A34" s="46">
        <f>IF(B34="","","TR-"&amp;TEXT(ROW()-4,"0000"))</f>
        <v>0</v>
      </c>
      <c r="K34" s="32">
        <f>IF(AND(H34&lt;&gt;"",I34&lt;&gt;""),ROUND(I34-H34,1),IF(J34="","",J34))</f>
        <v>0</v>
      </c>
      <c r="M34" s="32">
        <f>IF(K34="","",IF(L34="Yes",ROUND(K34*2,1),K34))</f>
        <v>0</v>
      </c>
      <c r="N34" s="49">
        <f>IF(E34="","",IF(E34="Personal","Personal","Business"))</f>
        <v>0</v>
      </c>
      <c r="O34" s="29">
        <f>IF(B34="","",MileageRate)</f>
        <v>0</v>
      </c>
      <c r="P34" s="29">
        <f>IF(M34="","",IF(N34="Business",ROUND(M34*MileageRate,2),0))</f>
        <v>0</v>
      </c>
      <c r="U34" s="29">
        <f>IF(B34="","",ROUND(IF(P34="",0,P34)+IF(N34="Business",IF(R34="",0,R34)+IF(S34="",0,S34),0),2))</f>
        <v>0</v>
      </c>
      <c r="W34" s="28">
        <f>IF(B34="","",TEXT(B34,"yyyy-mm"))</f>
        <v>0</v>
      </c>
      <c r="X34" s="49">
        <f>IF(B34="","",IF(AND(H34&lt;&gt;"",I34&lt;&gt;"",I34&lt;H34),"Check odometer readings",IF(K34="","Action - add distance",IF(E34="","Action - add a purpose","OK"))))</f>
        <v>0</v>
      </c>
    </row>
    <row r="35" spans="1:24">
      <c r="A35" s="46">
        <f>IF(B35="","","TR-"&amp;TEXT(ROW()-4,"0000"))</f>
        <v>0</v>
      </c>
      <c r="K35" s="32">
        <f>IF(AND(H35&lt;&gt;"",I35&lt;&gt;""),ROUND(I35-H35,1),IF(J35="","",J35))</f>
        <v>0</v>
      </c>
      <c r="M35" s="32">
        <f>IF(K35="","",IF(L35="Yes",ROUND(K35*2,1),K35))</f>
        <v>0</v>
      </c>
      <c r="N35" s="49">
        <f>IF(E35="","",IF(E35="Personal","Personal","Business"))</f>
        <v>0</v>
      </c>
      <c r="O35" s="29">
        <f>IF(B35="","",MileageRate)</f>
        <v>0</v>
      </c>
      <c r="P35" s="29">
        <f>IF(M35="","",IF(N35="Business",ROUND(M35*MileageRate,2),0))</f>
        <v>0</v>
      </c>
      <c r="U35" s="29">
        <f>IF(B35="","",ROUND(IF(P35="",0,P35)+IF(N35="Business",IF(R35="",0,R35)+IF(S35="",0,S35),0),2))</f>
        <v>0</v>
      </c>
      <c r="W35" s="28">
        <f>IF(B35="","",TEXT(B35,"yyyy-mm"))</f>
        <v>0</v>
      </c>
      <c r="X35" s="49">
        <f>IF(B35="","",IF(AND(H35&lt;&gt;"",I35&lt;&gt;"",I35&lt;H35),"Check odometer readings",IF(K35="","Action - add distance",IF(E35="","Action - add a purpose","OK"))))</f>
        <v>0</v>
      </c>
    </row>
    <row r="36" spans="1:24">
      <c r="A36" s="46">
        <f>IF(B36="","","TR-"&amp;TEXT(ROW()-4,"0000"))</f>
        <v>0</v>
      </c>
      <c r="K36" s="32">
        <f>IF(AND(H36&lt;&gt;"",I36&lt;&gt;""),ROUND(I36-H36,1),IF(J36="","",J36))</f>
        <v>0</v>
      </c>
      <c r="M36" s="32">
        <f>IF(K36="","",IF(L36="Yes",ROUND(K36*2,1),K36))</f>
        <v>0</v>
      </c>
      <c r="N36" s="49">
        <f>IF(E36="","",IF(E36="Personal","Personal","Business"))</f>
        <v>0</v>
      </c>
      <c r="O36" s="29">
        <f>IF(B36="","",MileageRate)</f>
        <v>0</v>
      </c>
      <c r="P36" s="29">
        <f>IF(M36="","",IF(N36="Business",ROUND(M36*MileageRate,2),0))</f>
        <v>0</v>
      </c>
      <c r="U36" s="29">
        <f>IF(B36="","",ROUND(IF(P36="",0,P36)+IF(N36="Business",IF(R36="",0,R36)+IF(S36="",0,S36),0),2))</f>
        <v>0</v>
      </c>
      <c r="W36" s="28">
        <f>IF(B36="","",TEXT(B36,"yyyy-mm"))</f>
        <v>0</v>
      </c>
      <c r="X36" s="49">
        <f>IF(B36="","",IF(AND(H36&lt;&gt;"",I36&lt;&gt;"",I36&lt;H36),"Check odometer readings",IF(K36="","Action - add distance",IF(E36="","Action - add a purpose","OK"))))</f>
        <v>0</v>
      </c>
    </row>
    <row r="37" spans="1:24">
      <c r="A37" s="46">
        <f>IF(B37="","","TR-"&amp;TEXT(ROW()-4,"0000"))</f>
        <v>0</v>
      </c>
      <c r="K37" s="32">
        <f>IF(AND(H37&lt;&gt;"",I37&lt;&gt;""),ROUND(I37-H37,1),IF(J37="","",J37))</f>
        <v>0</v>
      </c>
      <c r="M37" s="32">
        <f>IF(K37="","",IF(L37="Yes",ROUND(K37*2,1),K37))</f>
        <v>0</v>
      </c>
      <c r="N37" s="49">
        <f>IF(E37="","",IF(E37="Personal","Personal","Business"))</f>
        <v>0</v>
      </c>
      <c r="O37" s="29">
        <f>IF(B37="","",MileageRate)</f>
        <v>0</v>
      </c>
      <c r="P37" s="29">
        <f>IF(M37="","",IF(N37="Business",ROUND(M37*MileageRate,2),0))</f>
        <v>0</v>
      </c>
      <c r="U37" s="29">
        <f>IF(B37="","",ROUND(IF(P37="",0,P37)+IF(N37="Business",IF(R37="",0,R37)+IF(S37="",0,S37),0),2))</f>
        <v>0</v>
      </c>
      <c r="W37" s="28">
        <f>IF(B37="","",TEXT(B37,"yyyy-mm"))</f>
        <v>0</v>
      </c>
      <c r="X37" s="49">
        <f>IF(B37="","",IF(AND(H37&lt;&gt;"",I37&lt;&gt;"",I37&lt;H37),"Check odometer readings",IF(K37="","Action - add distance",IF(E37="","Action - add a purpose","OK"))))</f>
        <v>0</v>
      </c>
    </row>
    <row r="38" spans="1:24">
      <c r="A38" s="46">
        <f>IF(B38="","","TR-"&amp;TEXT(ROW()-4,"0000"))</f>
        <v>0</v>
      </c>
      <c r="K38" s="32">
        <f>IF(AND(H38&lt;&gt;"",I38&lt;&gt;""),ROUND(I38-H38,1),IF(J38="","",J38))</f>
        <v>0</v>
      </c>
      <c r="M38" s="32">
        <f>IF(K38="","",IF(L38="Yes",ROUND(K38*2,1),K38))</f>
        <v>0</v>
      </c>
      <c r="N38" s="49">
        <f>IF(E38="","",IF(E38="Personal","Personal","Business"))</f>
        <v>0</v>
      </c>
      <c r="O38" s="29">
        <f>IF(B38="","",MileageRate)</f>
        <v>0</v>
      </c>
      <c r="P38" s="29">
        <f>IF(M38="","",IF(N38="Business",ROUND(M38*MileageRate,2),0))</f>
        <v>0</v>
      </c>
      <c r="U38" s="29">
        <f>IF(B38="","",ROUND(IF(P38="",0,P38)+IF(N38="Business",IF(R38="",0,R38)+IF(S38="",0,S38),0),2))</f>
        <v>0</v>
      </c>
      <c r="W38" s="28">
        <f>IF(B38="","",TEXT(B38,"yyyy-mm"))</f>
        <v>0</v>
      </c>
      <c r="X38" s="49">
        <f>IF(B38="","",IF(AND(H38&lt;&gt;"",I38&lt;&gt;"",I38&lt;H38),"Check odometer readings",IF(K38="","Action - add distance",IF(E38="","Action - add a purpose","OK"))))</f>
        <v>0</v>
      </c>
    </row>
    <row r="39" spans="1:24">
      <c r="A39" s="46">
        <f>IF(B39="","","TR-"&amp;TEXT(ROW()-4,"0000"))</f>
        <v>0</v>
      </c>
      <c r="K39" s="32">
        <f>IF(AND(H39&lt;&gt;"",I39&lt;&gt;""),ROUND(I39-H39,1),IF(J39="","",J39))</f>
        <v>0</v>
      </c>
      <c r="M39" s="32">
        <f>IF(K39="","",IF(L39="Yes",ROUND(K39*2,1),K39))</f>
        <v>0</v>
      </c>
      <c r="N39" s="49">
        <f>IF(E39="","",IF(E39="Personal","Personal","Business"))</f>
        <v>0</v>
      </c>
      <c r="O39" s="29">
        <f>IF(B39="","",MileageRate)</f>
        <v>0</v>
      </c>
      <c r="P39" s="29">
        <f>IF(M39="","",IF(N39="Business",ROUND(M39*MileageRate,2),0))</f>
        <v>0</v>
      </c>
      <c r="U39" s="29">
        <f>IF(B39="","",ROUND(IF(P39="",0,P39)+IF(N39="Business",IF(R39="",0,R39)+IF(S39="",0,S39),0),2))</f>
        <v>0</v>
      </c>
      <c r="W39" s="28">
        <f>IF(B39="","",TEXT(B39,"yyyy-mm"))</f>
        <v>0</v>
      </c>
      <c r="X39" s="49">
        <f>IF(B39="","",IF(AND(H39&lt;&gt;"",I39&lt;&gt;"",I39&lt;H39),"Check odometer readings",IF(K39="","Action - add distance",IF(E39="","Action - add a purpose","OK"))))</f>
        <v>0</v>
      </c>
    </row>
    <row r="40" spans="1:24">
      <c r="A40" s="46">
        <f>IF(B40="","","TR-"&amp;TEXT(ROW()-4,"0000"))</f>
        <v>0</v>
      </c>
      <c r="K40" s="32">
        <f>IF(AND(H40&lt;&gt;"",I40&lt;&gt;""),ROUND(I40-H40,1),IF(J40="","",J40))</f>
        <v>0</v>
      </c>
      <c r="M40" s="32">
        <f>IF(K40="","",IF(L40="Yes",ROUND(K40*2,1),K40))</f>
        <v>0</v>
      </c>
      <c r="N40" s="49">
        <f>IF(E40="","",IF(E40="Personal","Personal","Business"))</f>
        <v>0</v>
      </c>
      <c r="O40" s="29">
        <f>IF(B40="","",MileageRate)</f>
        <v>0</v>
      </c>
      <c r="P40" s="29">
        <f>IF(M40="","",IF(N40="Business",ROUND(M40*MileageRate,2),0))</f>
        <v>0</v>
      </c>
      <c r="U40" s="29">
        <f>IF(B40="","",ROUND(IF(P40="",0,P40)+IF(N40="Business",IF(R40="",0,R40)+IF(S40="",0,S40),0),2))</f>
        <v>0</v>
      </c>
      <c r="W40" s="28">
        <f>IF(B40="","",TEXT(B40,"yyyy-mm"))</f>
        <v>0</v>
      </c>
      <c r="X40" s="49">
        <f>IF(B40="","",IF(AND(H40&lt;&gt;"",I40&lt;&gt;"",I40&lt;H40),"Check odometer readings",IF(K40="","Action - add distance",IF(E40="","Action - add a purpose","OK"))))</f>
        <v>0</v>
      </c>
    </row>
    <row r="41" spans="1:24">
      <c r="A41" s="46">
        <f>IF(B41="","","TR-"&amp;TEXT(ROW()-4,"0000"))</f>
        <v>0</v>
      </c>
      <c r="K41" s="32">
        <f>IF(AND(H41&lt;&gt;"",I41&lt;&gt;""),ROUND(I41-H41,1),IF(J41="","",J41))</f>
        <v>0</v>
      </c>
      <c r="M41" s="32">
        <f>IF(K41="","",IF(L41="Yes",ROUND(K41*2,1),K41))</f>
        <v>0</v>
      </c>
      <c r="N41" s="49">
        <f>IF(E41="","",IF(E41="Personal","Personal","Business"))</f>
        <v>0</v>
      </c>
      <c r="O41" s="29">
        <f>IF(B41="","",MileageRate)</f>
        <v>0</v>
      </c>
      <c r="P41" s="29">
        <f>IF(M41="","",IF(N41="Business",ROUND(M41*MileageRate,2),0))</f>
        <v>0</v>
      </c>
      <c r="U41" s="29">
        <f>IF(B41="","",ROUND(IF(P41="",0,P41)+IF(N41="Business",IF(R41="",0,R41)+IF(S41="",0,S41),0),2))</f>
        <v>0</v>
      </c>
      <c r="W41" s="28">
        <f>IF(B41="","",TEXT(B41,"yyyy-mm"))</f>
        <v>0</v>
      </c>
      <c r="X41" s="49">
        <f>IF(B41="","",IF(AND(H41&lt;&gt;"",I41&lt;&gt;"",I41&lt;H41),"Check odometer readings",IF(K41="","Action - add distance",IF(E41="","Action - add a purpose","OK"))))</f>
        <v>0</v>
      </c>
    </row>
    <row r="42" spans="1:24">
      <c r="A42" s="46">
        <f>IF(B42="","","TR-"&amp;TEXT(ROW()-4,"0000"))</f>
        <v>0</v>
      </c>
      <c r="K42" s="32">
        <f>IF(AND(H42&lt;&gt;"",I42&lt;&gt;""),ROUND(I42-H42,1),IF(J42="","",J42))</f>
        <v>0</v>
      </c>
      <c r="M42" s="32">
        <f>IF(K42="","",IF(L42="Yes",ROUND(K42*2,1),K42))</f>
        <v>0</v>
      </c>
      <c r="N42" s="49">
        <f>IF(E42="","",IF(E42="Personal","Personal","Business"))</f>
        <v>0</v>
      </c>
      <c r="O42" s="29">
        <f>IF(B42="","",MileageRate)</f>
        <v>0</v>
      </c>
      <c r="P42" s="29">
        <f>IF(M42="","",IF(N42="Business",ROUND(M42*MileageRate,2),0))</f>
        <v>0</v>
      </c>
      <c r="U42" s="29">
        <f>IF(B42="","",ROUND(IF(P42="",0,P42)+IF(N42="Business",IF(R42="",0,R42)+IF(S42="",0,S42),0),2))</f>
        <v>0</v>
      </c>
      <c r="W42" s="28">
        <f>IF(B42="","",TEXT(B42,"yyyy-mm"))</f>
        <v>0</v>
      </c>
      <c r="X42" s="49">
        <f>IF(B42="","",IF(AND(H42&lt;&gt;"",I42&lt;&gt;"",I42&lt;H42),"Check odometer readings",IF(K42="","Action - add distance",IF(E42="","Action - add a purpose","OK"))))</f>
        <v>0</v>
      </c>
    </row>
    <row r="43" spans="1:24">
      <c r="A43" s="46">
        <f>IF(B43="","","TR-"&amp;TEXT(ROW()-4,"0000"))</f>
        <v>0</v>
      </c>
      <c r="K43" s="32">
        <f>IF(AND(H43&lt;&gt;"",I43&lt;&gt;""),ROUND(I43-H43,1),IF(J43="","",J43))</f>
        <v>0</v>
      </c>
      <c r="M43" s="32">
        <f>IF(K43="","",IF(L43="Yes",ROUND(K43*2,1),K43))</f>
        <v>0</v>
      </c>
      <c r="N43" s="49">
        <f>IF(E43="","",IF(E43="Personal","Personal","Business"))</f>
        <v>0</v>
      </c>
      <c r="O43" s="29">
        <f>IF(B43="","",MileageRate)</f>
        <v>0</v>
      </c>
      <c r="P43" s="29">
        <f>IF(M43="","",IF(N43="Business",ROUND(M43*MileageRate,2),0))</f>
        <v>0</v>
      </c>
      <c r="U43" s="29">
        <f>IF(B43="","",ROUND(IF(P43="",0,P43)+IF(N43="Business",IF(R43="",0,R43)+IF(S43="",0,S43),0),2))</f>
        <v>0</v>
      </c>
      <c r="W43" s="28">
        <f>IF(B43="","",TEXT(B43,"yyyy-mm"))</f>
        <v>0</v>
      </c>
      <c r="X43" s="49">
        <f>IF(B43="","",IF(AND(H43&lt;&gt;"",I43&lt;&gt;"",I43&lt;H43),"Check odometer readings",IF(K43="","Action - add distance",IF(E43="","Action - add a purpose","OK"))))</f>
        <v>0</v>
      </c>
    </row>
    <row r="44" spans="1:24">
      <c r="A44" s="46">
        <f>IF(B44="","","TR-"&amp;TEXT(ROW()-4,"0000"))</f>
        <v>0</v>
      </c>
      <c r="K44" s="32">
        <f>IF(AND(H44&lt;&gt;"",I44&lt;&gt;""),ROUND(I44-H44,1),IF(J44="","",J44))</f>
        <v>0</v>
      </c>
      <c r="M44" s="32">
        <f>IF(K44="","",IF(L44="Yes",ROUND(K44*2,1),K44))</f>
        <v>0</v>
      </c>
      <c r="N44" s="49">
        <f>IF(E44="","",IF(E44="Personal","Personal","Business"))</f>
        <v>0</v>
      </c>
      <c r="O44" s="29">
        <f>IF(B44="","",MileageRate)</f>
        <v>0</v>
      </c>
      <c r="P44" s="29">
        <f>IF(M44="","",IF(N44="Business",ROUND(M44*MileageRate,2),0))</f>
        <v>0</v>
      </c>
      <c r="U44" s="29">
        <f>IF(B44="","",ROUND(IF(P44="",0,P44)+IF(N44="Business",IF(R44="",0,R44)+IF(S44="",0,S44),0),2))</f>
        <v>0</v>
      </c>
      <c r="W44" s="28">
        <f>IF(B44="","",TEXT(B44,"yyyy-mm"))</f>
        <v>0</v>
      </c>
      <c r="X44" s="49">
        <f>IF(B44="","",IF(AND(H44&lt;&gt;"",I44&lt;&gt;"",I44&lt;H44),"Check odometer readings",IF(K44="","Action - add distance",IF(E44="","Action - add a purpose","OK"))))</f>
        <v>0</v>
      </c>
    </row>
    <row r="45" spans="1:24">
      <c r="A45" s="46">
        <f>IF(B45="","","TR-"&amp;TEXT(ROW()-4,"0000"))</f>
        <v>0</v>
      </c>
      <c r="K45" s="32">
        <f>IF(AND(H45&lt;&gt;"",I45&lt;&gt;""),ROUND(I45-H45,1),IF(J45="","",J45))</f>
        <v>0</v>
      </c>
      <c r="M45" s="32">
        <f>IF(K45="","",IF(L45="Yes",ROUND(K45*2,1),K45))</f>
        <v>0</v>
      </c>
      <c r="N45" s="49">
        <f>IF(E45="","",IF(E45="Personal","Personal","Business"))</f>
        <v>0</v>
      </c>
      <c r="O45" s="29">
        <f>IF(B45="","",MileageRate)</f>
        <v>0</v>
      </c>
      <c r="P45" s="29">
        <f>IF(M45="","",IF(N45="Business",ROUND(M45*MileageRate,2),0))</f>
        <v>0</v>
      </c>
      <c r="U45" s="29">
        <f>IF(B45="","",ROUND(IF(P45="",0,P45)+IF(N45="Business",IF(R45="",0,R45)+IF(S45="",0,S45),0),2))</f>
        <v>0</v>
      </c>
      <c r="W45" s="28">
        <f>IF(B45="","",TEXT(B45,"yyyy-mm"))</f>
        <v>0</v>
      </c>
      <c r="X45" s="49">
        <f>IF(B45="","",IF(AND(H45&lt;&gt;"",I45&lt;&gt;"",I45&lt;H45),"Check odometer readings",IF(K45="","Action - add distance",IF(E45="","Action - add a purpose","OK"))))</f>
        <v>0</v>
      </c>
    </row>
    <row r="46" spans="1:24">
      <c r="A46" s="46">
        <f>IF(B46="","","TR-"&amp;TEXT(ROW()-4,"0000"))</f>
        <v>0</v>
      </c>
      <c r="K46" s="32">
        <f>IF(AND(H46&lt;&gt;"",I46&lt;&gt;""),ROUND(I46-H46,1),IF(J46="","",J46))</f>
        <v>0</v>
      </c>
      <c r="M46" s="32">
        <f>IF(K46="","",IF(L46="Yes",ROUND(K46*2,1),K46))</f>
        <v>0</v>
      </c>
      <c r="N46" s="49">
        <f>IF(E46="","",IF(E46="Personal","Personal","Business"))</f>
        <v>0</v>
      </c>
      <c r="O46" s="29">
        <f>IF(B46="","",MileageRate)</f>
        <v>0</v>
      </c>
      <c r="P46" s="29">
        <f>IF(M46="","",IF(N46="Business",ROUND(M46*MileageRate,2),0))</f>
        <v>0</v>
      </c>
      <c r="U46" s="29">
        <f>IF(B46="","",ROUND(IF(P46="",0,P46)+IF(N46="Business",IF(R46="",0,R46)+IF(S46="",0,S46),0),2))</f>
        <v>0</v>
      </c>
      <c r="W46" s="28">
        <f>IF(B46="","",TEXT(B46,"yyyy-mm"))</f>
        <v>0</v>
      </c>
      <c r="X46" s="49">
        <f>IF(B46="","",IF(AND(H46&lt;&gt;"",I46&lt;&gt;"",I46&lt;H46),"Check odometer readings",IF(K46="","Action - add distance",IF(E46="","Action - add a purpose","OK"))))</f>
        <v>0</v>
      </c>
    </row>
    <row r="47" spans="1:24">
      <c r="A47" s="46">
        <f>IF(B47="","","TR-"&amp;TEXT(ROW()-4,"0000"))</f>
        <v>0</v>
      </c>
      <c r="K47" s="32">
        <f>IF(AND(H47&lt;&gt;"",I47&lt;&gt;""),ROUND(I47-H47,1),IF(J47="","",J47))</f>
        <v>0</v>
      </c>
      <c r="M47" s="32">
        <f>IF(K47="","",IF(L47="Yes",ROUND(K47*2,1),K47))</f>
        <v>0</v>
      </c>
      <c r="N47" s="49">
        <f>IF(E47="","",IF(E47="Personal","Personal","Business"))</f>
        <v>0</v>
      </c>
      <c r="O47" s="29">
        <f>IF(B47="","",MileageRate)</f>
        <v>0</v>
      </c>
      <c r="P47" s="29">
        <f>IF(M47="","",IF(N47="Business",ROUND(M47*MileageRate,2),0))</f>
        <v>0</v>
      </c>
      <c r="U47" s="29">
        <f>IF(B47="","",ROUND(IF(P47="",0,P47)+IF(N47="Business",IF(R47="",0,R47)+IF(S47="",0,S47),0),2))</f>
        <v>0</v>
      </c>
      <c r="W47" s="28">
        <f>IF(B47="","",TEXT(B47,"yyyy-mm"))</f>
        <v>0</v>
      </c>
      <c r="X47" s="49">
        <f>IF(B47="","",IF(AND(H47&lt;&gt;"",I47&lt;&gt;"",I47&lt;H47),"Check odometer readings",IF(K47="","Action - add distance",IF(E47="","Action - add a purpose","OK"))))</f>
        <v>0</v>
      </c>
    </row>
    <row r="48" spans="1:24">
      <c r="A48" s="46">
        <f>IF(B48="","","TR-"&amp;TEXT(ROW()-4,"0000"))</f>
        <v>0</v>
      </c>
      <c r="K48" s="32">
        <f>IF(AND(H48&lt;&gt;"",I48&lt;&gt;""),ROUND(I48-H48,1),IF(J48="","",J48))</f>
        <v>0</v>
      </c>
      <c r="M48" s="32">
        <f>IF(K48="","",IF(L48="Yes",ROUND(K48*2,1),K48))</f>
        <v>0</v>
      </c>
      <c r="N48" s="49">
        <f>IF(E48="","",IF(E48="Personal","Personal","Business"))</f>
        <v>0</v>
      </c>
      <c r="O48" s="29">
        <f>IF(B48="","",MileageRate)</f>
        <v>0</v>
      </c>
      <c r="P48" s="29">
        <f>IF(M48="","",IF(N48="Business",ROUND(M48*MileageRate,2),0))</f>
        <v>0</v>
      </c>
      <c r="U48" s="29">
        <f>IF(B48="","",ROUND(IF(P48="",0,P48)+IF(N48="Business",IF(R48="",0,R48)+IF(S48="",0,S48),0),2))</f>
        <v>0</v>
      </c>
      <c r="W48" s="28">
        <f>IF(B48="","",TEXT(B48,"yyyy-mm"))</f>
        <v>0</v>
      </c>
      <c r="X48" s="49">
        <f>IF(B48="","",IF(AND(H48&lt;&gt;"",I48&lt;&gt;"",I48&lt;H48),"Check odometer readings",IF(K48="","Action - add distance",IF(E48="","Action - add a purpose","OK"))))</f>
        <v>0</v>
      </c>
    </row>
    <row r="49" spans="1:24">
      <c r="A49" s="46">
        <f>IF(B49="","","TR-"&amp;TEXT(ROW()-4,"0000"))</f>
        <v>0</v>
      </c>
      <c r="K49" s="32">
        <f>IF(AND(H49&lt;&gt;"",I49&lt;&gt;""),ROUND(I49-H49,1),IF(J49="","",J49))</f>
        <v>0</v>
      </c>
      <c r="M49" s="32">
        <f>IF(K49="","",IF(L49="Yes",ROUND(K49*2,1),K49))</f>
        <v>0</v>
      </c>
      <c r="N49" s="49">
        <f>IF(E49="","",IF(E49="Personal","Personal","Business"))</f>
        <v>0</v>
      </c>
      <c r="O49" s="29">
        <f>IF(B49="","",MileageRate)</f>
        <v>0</v>
      </c>
      <c r="P49" s="29">
        <f>IF(M49="","",IF(N49="Business",ROUND(M49*MileageRate,2),0))</f>
        <v>0</v>
      </c>
      <c r="U49" s="29">
        <f>IF(B49="","",ROUND(IF(P49="",0,P49)+IF(N49="Business",IF(R49="",0,R49)+IF(S49="",0,S49),0),2))</f>
        <v>0</v>
      </c>
      <c r="W49" s="28">
        <f>IF(B49="","",TEXT(B49,"yyyy-mm"))</f>
        <v>0</v>
      </c>
      <c r="X49" s="49">
        <f>IF(B49="","",IF(AND(H49&lt;&gt;"",I49&lt;&gt;"",I49&lt;H49),"Check odometer readings",IF(K49="","Action - add distance",IF(E49="","Action - add a purpose","OK"))))</f>
        <v>0</v>
      </c>
    </row>
    <row r="50" spans="1:24">
      <c r="A50" s="46">
        <f>IF(B50="","","TR-"&amp;TEXT(ROW()-4,"0000"))</f>
        <v>0</v>
      </c>
      <c r="K50" s="32">
        <f>IF(AND(H50&lt;&gt;"",I50&lt;&gt;""),ROUND(I50-H50,1),IF(J50="","",J50))</f>
        <v>0</v>
      </c>
      <c r="M50" s="32">
        <f>IF(K50="","",IF(L50="Yes",ROUND(K50*2,1),K50))</f>
        <v>0</v>
      </c>
      <c r="N50" s="49">
        <f>IF(E50="","",IF(E50="Personal","Personal","Business"))</f>
        <v>0</v>
      </c>
      <c r="O50" s="29">
        <f>IF(B50="","",MileageRate)</f>
        <v>0</v>
      </c>
      <c r="P50" s="29">
        <f>IF(M50="","",IF(N50="Business",ROUND(M50*MileageRate,2),0))</f>
        <v>0</v>
      </c>
      <c r="U50" s="29">
        <f>IF(B50="","",ROUND(IF(P50="",0,P50)+IF(N50="Business",IF(R50="",0,R50)+IF(S50="",0,S50),0),2))</f>
        <v>0</v>
      </c>
      <c r="W50" s="28">
        <f>IF(B50="","",TEXT(B50,"yyyy-mm"))</f>
        <v>0</v>
      </c>
      <c r="X50" s="49">
        <f>IF(B50="","",IF(AND(H50&lt;&gt;"",I50&lt;&gt;"",I50&lt;H50),"Check odometer readings",IF(K50="","Action - add distance",IF(E50="","Action - add a purpose","OK"))))</f>
        <v>0</v>
      </c>
    </row>
    <row r="51" spans="1:24">
      <c r="A51" s="46">
        <f>IF(B51="","","TR-"&amp;TEXT(ROW()-4,"0000"))</f>
        <v>0</v>
      </c>
      <c r="K51" s="32">
        <f>IF(AND(H51&lt;&gt;"",I51&lt;&gt;""),ROUND(I51-H51,1),IF(J51="","",J51))</f>
        <v>0</v>
      </c>
      <c r="M51" s="32">
        <f>IF(K51="","",IF(L51="Yes",ROUND(K51*2,1),K51))</f>
        <v>0</v>
      </c>
      <c r="N51" s="49">
        <f>IF(E51="","",IF(E51="Personal","Personal","Business"))</f>
        <v>0</v>
      </c>
      <c r="O51" s="29">
        <f>IF(B51="","",MileageRate)</f>
        <v>0</v>
      </c>
      <c r="P51" s="29">
        <f>IF(M51="","",IF(N51="Business",ROUND(M51*MileageRate,2),0))</f>
        <v>0</v>
      </c>
      <c r="U51" s="29">
        <f>IF(B51="","",ROUND(IF(P51="",0,P51)+IF(N51="Business",IF(R51="",0,R51)+IF(S51="",0,S51),0),2))</f>
        <v>0</v>
      </c>
      <c r="W51" s="28">
        <f>IF(B51="","",TEXT(B51,"yyyy-mm"))</f>
        <v>0</v>
      </c>
      <c r="X51" s="49">
        <f>IF(B51="","",IF(AND(H51&lt;&gt;"",I51&lt;&gt;"",I51&lt;H51),"Check odometer readings",IF(K51="","Action - add distance",IF(E51="","Action - add a purpose","OK"))))</f>
        <v>0</v>
      </c>
    </row>
    <row r="52" spans="1:24">
      <c r="A52" s="46">
        <f>IF(B52="","","TR-"&amp;TEXT(ROW()-4,"0000"))</f>
        <v>0</v>
      </c>
      <c r="K52" s="32">
        <f>IF(AND(H52&lt;&gt;"",I52&lt;&gt;""),ROUND(I52-H52,1),IF(J52="","",J52))</f>
        <v>0</v>
      </c>
      <c r="M52" s="32">
        <f>IF(K52="","",IF(L52="Yes",ROUND(K52*2,1),K52))</f>
        <v>0</v>
      </c>
      <c r="N52" s="49">
        <f>IF(E52="","",IF(E52="Personal","Personal","Business"))</f>
        <v>0</v>
      </c>
      <c r="O52" s="29">
        <f>IF(B52="","",MileageRate)</f>
        <v>0</v>
      </c>
      <c r="P52" s="29">
        <f>IF(M52="","",IF(N52="Business",ROUND(M52*MileageRate,2),0))</f>
        <v>0</v>
      </c>
      <c r="U52" s="29">
        <f>IF(B52="","",ROUND(IF(P52="",0,P52)+IF(N52="Business",IF(R52="",0,R52)+IF(S52="",0,S52),0),2))</f>
        <v>0</v>
      </c>
      <c r="W52" s="28">
        <f>IF(B52="","",TEXT(B52,"yyyy-mm"))</f>
        <v>0</v>
      </c>
      <c r="X52" s="49">
        <f>IF(B52="","",IF(AND(H52&lt;&gt;"",I52&lt;&gt;"",I52&lt;H52),"Check odometer readings",IF(K52="","Action - add distance",IF(E52="","Action - add a purpose","OK"))))</f>
        <v>0</v>
      </c>
    </row>
    <row r="53" spans="1:24">
      <c r="A53" s="46">
        <f>IF(B53="","","TR-"&amp;TEXT(ROW()-4,"0000"))</f>
        <v>0</v>
      </c>
      <c r="K53" s="32">
        <f>IF(AND(H53&lt;&gt;"",I53&lt;&gt;""),ROUND(I53-H53,1),IF(J53="","",J53))</f>
        <v>0</v>
      </c>
      <c r="M53" s="32">
        <f>IF(K53="","",IF(L53="Yes",ROUND(K53*2,1),K53))</f>
        <v>0</v>
      </c>
      <c r="N53" s="49">
        <f>IF(E53="","",IF(E53="Personal","Personal","Business"))</f>
        <v>0</v>
      </c>
      <c r="O53" s="29">
        <f>IF(B53="","",MileageRate)</f>
        <v>0</v>
      </c>
      <c r="P53" s="29">
        <f>IF(M53="","",IF(N53="Business",ROUND(M53*MileageRate,2),0))</f>
        <v>0</v>
      </c>
      <c r="U53" s="29">
        <f>IF(B53="","",ROUND(IF(P53="",0,P53)+IF(N53="Business",IF(R53="",0,R53)+IF(S53="",0,S53),0),2))</f>
        <v>0</v>
      </c>
      <c r="W53" s="28">
        <f>IF(B53="","",TEXT(B53,"yyyy-mm"))</f>
        <v>0</v>
      </c>
      <c r="X53" s="49">
        <f>IF(B53="","",IF(AND(H53&lt;&gt;"",I53&lt;&gt;"",I53&lt;H53),"Check odometer readings",IF(K53="","Action - add distance",IF(E53="","Action - add a purpose","OK"))))</f>
        <v>0</v>
      </c>
    </row>
    <row r="54" spans="1:24">
      <c r="A54" s="46">
        <f>IF(B54="","","TR-"&amp;TEXT(ROW()-4,"0000"))</f>
        <v>0</v>
      </c>
      <c r="K54" s="32">
        <f>IF(AND(H54&lt;&gt;"",I54&lt;&gt;""),ROUND(I54-H54,1),IF(J54="","",J54))</f>
        <v>0</v>
      </c>
      <c r="M54" s="32">
        <f>IF(K54="","",IF(L54="Yes",ROUND(K54*2,1),K54))</f>
        <v>0</v>
      </c>
      <c r="N54" s="49">
        <f>IF(E54="","",IF(E54="Personal","Personal","Business"))</f>
        <v>0</v>
      </c>
      <c r="O54" s="29">
        <f>IF(B54="","",MileageRate)</f>
        <v>0</v>
      </c>
      <c r="P54" s="29">
        <f>IF(M54="","",IF(N54="Business",ROUND(M54*MileageRate,2),0))</f>
        <v>0</v>
      </c>
      <c r="U54" s="29">
        <f>IF(B54="","",ROUND(IF(P54="",0,P54)+IF(N54="Business",IF(R54="",0,R54)+IF(S54="",0,S54),0),2))</f>
        <v>0</v>
      </c>
      <c r="W54" s="28">
        <f>IF(B54="","",TEXT(B54,"yyyy-mm"))</f>
        <v>0</v>
      </c>
      <c r="X54" s="49">
        <f>IF(B54="","",IF(AND(H54&lt;&gt;"",I54&lt;&gt;"",I54&lt;H54),"Check odometer readings",IF(K54="","Action - add distance",IF(E54="","Action - add a purpose","OK"))))</f>
        <v>0</v>
      </c>
    </row>
    <row r="55" spans="1:24">
      <c r="A55" s="46">
        <f>IF(B55="","","TR-"&amp;TEXT(ROW()-4,"0000"))</f>
        <v>0</v>
      </c>
      <c r="K55" s="32">
        <f>IF(AND(H55&lt;&gt;"",I55&lt;&gt;""),ROUND(I55-H55,1),IF(J55="","",J55))</f>
        <v>0</v>
      </c>
      <c r="M55" s="32">
        <f>IF(K55="","",IF(L55="Yes",ROUND(K55*2,1),K55))</f>
        <v>0</v>
      </c>
      <c r="N55" s="49">
        <f>IF(E55="","",IF(E55="Personal","Personal","Business"))</f>
        <v>0</v>
      </c>
      <c r="O55" s="29">
        <f>IF(B55="","",MileageRate)</f>
        <v>0</v>
      </c>
      <c r="P55" s="29">
        <f>IF(M55="","",IF(N55="Business",ROUND(M55*MileageRate,2),0))</f>
        <v>0</v>
      </c>
      <c r="U55" s="29">
        <f>IF(B55="","",ROUND(IF(P55="",0,P55)+IF(N55="Business",IF(R55="",0,R55)+IF(S55="",0,S55),0),2))</f>
        <v>0</v>
      </c>
      <c r="W55" s="28">
        <f>IF(B55="","",TEXT(B55,"yyyy-mm"))</f>
        <v>0</v>
      </c>
      <c r="X55" s="49">
        <f>IF(B55="","",IF(AND(H55&lt;&gt;"",I55&lt;&gt;"",I55&lt;H55),"Check odometer readings",IF(K55="","Action - add distance",IF(E55="","Action - add a purpose","OK"))))</f>
        <v>0</v>
      </c>
    </row>
    <row r="56" spans="1:24">
      <c r="A56" s="46">
        <f>IF(B56="","","TR-"&amp;TEXT(ROW()-4,"0000"))</f>
        <v>0</v>
      </c>
      <c r="K56" s="32">
        <f>IF(AND(H56&lt;&gt;"",I56&lt;&gt;""),ROUND(I56-H56,1),IF(J56="","",J56))</f>
        <v>0</v>
      </c>
      <c r="M56" s="32">
        <f>IF(K56="","",IF(L56="Yes",ROUND(K56*2,1),K56))</f>
        <v>0</v>
      </c>
      <c r="N56" s="49">
        <f>IF(E56="","",IF(E56="Personal","Personal","Business"))</f>
        <v>0</v>
      </c>
      <c r="O56" s="29">
        <f>IF(B56="","",MileageRate)</f>
        <v>0</v>
      </c>
      <c r="P56" s="29">
        <f>IF(M56="","",IF(N56="Business",ROUND(M56*MileageRate,2),0))</f>
        <v>0</v>
      </c>
      <c r="U56" s="29">
        <f>IF(B56="","",ROUND(IF(P56="",0,P56)+IF(N56="Business",IF(R56="",0,R56)+IF(S56="",0,S56),0),2))</f>
        <v>0</v>
      </c>
      <c r="W56" s="28">
        <f>IF(B56="","",TEXT(B56,"yyyy-mm"))</f>
        <v>0</v>
      </c>
      <c r="X56" s="49">
        <f>IF(B56="","",IF(AND(H56&lt;&gt;"",I56&lt;&gt;"",I56&lt;H56),"Check odometer readings",IF(K56="","Action - add distance",IF(E56="","Action - add a purpose","OK"))))</f>
        <v>0</v>
      </c>
    </row>
    <row r="57" spans="1:24">
      <c r="A57" s="46">
        <f>IF(B57="","","TR-"&amp;TEXT(ROW()-4,"0000"))</f>
        <v>0</v>
      </c>
      <c r="K57" s="32">
        <f>IF(AND(H57&lt;&gt;"",I57&lt;&gt;""),ROUND(I57-H57,1),IF(J57="","",J57))</f>
        <v>0</v>
      </c>
      <c r="M57" s="32">
        <f>IF(K57="","",IF(L57="Yes",ROUND(K57*2,1),K57))</f>
        <v>0</v>
      </c>
      <c r="N57" s="49">
        <f>IF(E57="","",IF(E57="Personal","Personal","Business"))</f>
        <v>0</v>
      </c>
      <c r="O57" s="29">
        <f>IF(B57="","",MileageRate)</f>
        <v>0</v>
      </c>
      <c r="P57" s="29">
        <f>IF(M57="","",IF(N57="Business",ROUND(M57*MileageRate,2),0))</f>
        <v>0</v>
      </c>
      <c r="U57" s="29">
        <f>IF(B57="","",ROUND(IF(P57="",0,P57)+IF(N57="Business",IF(R57="",0,R57)+IF(S57="",0,S57),0),2))</f>
        <v>0</v>
      </c>
      <c r="W57" s="28">
        <f>IF(B57="","",TEXT(B57,"yyyy-mm"))</f>
        <v>0</v>
      </c>
      <c r="X57" s="49">
        <f>IF(B57="","",IF(AND(H57&lt;&gt;"",I57&lt;&gt;"",I57&lt;H57),"Check odometer readings",IF(K57="","Action - add distance",IF(E57="","Action - add a purpose","OK"))))</f>
        <v>0</v>
      </c>
    </row>
    <row r="58" spans="1:24">
      <c r="A58" s="46">
        <f>IF(B58="","","TR-"&amp;TEXT(ROW()-4,"0000"))</f>
        <v>0</v>
      </c>
      <c r="K58" s="32">
        <f>IF(AND(H58&lt;&gt;"",I58&lt;&gt;""),ROUND(I58-H58,1),IF(J58="","",J58))</f>
        <v>0</v>
      </c>
      <c r="M58" s="32">
        <f>IF(K58="","",IF(L58="Yes",ROUND(K58*2,1),K58))</f>
        <v>0</v>
      </c>
      <c r="N58" s="49">
        <f>IF(E58="","",IF(E58="Personal","Personal","Business"))</f>
        <v>0</v>
      </c>
      <c r="O58" s="29">
        <f>IF(B58="","",MileageRate)</f>
        <v>0</v>
      </c>
      <c r="P58" s="29">
        <f>IF(M58="","",IF(N58="Business",ROUND(M58*MileageRate,2),0))</f>
        <v>0</v>
      </c>
      <c r="U58" s="29">
        <f>IF(B58="","",ROUND(IF(P58="",0,P58)+IF(N58="Business",IF(R58="",0,R58)+IF(S58="",0,S58),0),2))</f>
        <v>0</v>
      </c>
      <c r="W58" s="28">
        <f>IF(B58="","",TEXT(B58,"yyyy-mm"))</f>
        <v>0</v>
      </c>
      <c r="X58" s="49">
        <f>IF(B58="","",IF(AND(H58&lt;&gt;"",I58&lt;&gt;"",I58&lt;H58),"Check odometer readings",IF(K58="","Action - add distance",IF(E58="","Action - add a purpose","OK"))))</f>
        <v>0</v>
      </c>
    </row>
    <row r="59" spans="1:24">
      <c r="A59" s="46">
        <f>IF(B59="","","TR-"&amp;TEXT(ROW()-4,"0000"))</f>
        <v>0</v>
      </c>
      <c r="K59" s="32">
        <f>IF(AND(H59&lt;&gt;"",I59&lt;&gt;""),ROUND(I59-H59,1),IF(J59="","",J59))</f>
        <v>0</v>
      </c>
      <c r="M59" s="32">
        <f>IF(K59="","",IF(L59="Yes",ROUND(K59*2,1),K59))</f>
        <v>0</v>
      </c>
      <c r="N59" s="49">
        <f>IF(E59="","",IF(E59="Personal","Personal","Business"))</f>
        <v>0</v>
      </c>
      <c r="O59" s="29">
        <f>IF(B59="","",MileageRate)</f>
        <v>0</v>
      </c>
      <c r="P59" s="29">
        <f>IF(M59="","",IF(N59="Business",ROUND(M59*MileageRate,2),0))</f>
        <v>0</v>
      </c>
      <c r="U59" s="29">
        <f>IF(B59="","",ROUND(IF(P59="",0,P59)+IF(N59="Business",IF(R59="",0,R59)+IF(S59="",0,S59),0),2))</f>
        <v>0</v>
      </c>
      <c r="W59" s="28">
        <f>IF(B59="","",TEXT(B59,"yyyy-mm"))</f>
        <v>0</v>
      </c>
      <c r="X59" s="49">
        <f>IF(B59="","",IF(AND(H59&lt;&gt;"",I59&lt;&gt;"",I59&lt;H59),"Check odometer readings",IF(K59="","Action - add distance",IF(E59="","Action - add a purpose","OK"))))</f>
        <v>0</v>
      </c>
    </row>
    <row r="60" spans="1:24">
      <c r="A60" s="46">
        <f>IF(B60="","","TR-"&amp;TEXT(ROW()-4,"0000"))</f>
        <v>0</v>
      </c>
      <c r="K60" s="32">
        <f>IF(AND(H60&lt;&gt;"",I60&lt;&gt;""),ROUND(I60-H60,1),IF(J60="","",J60))</f>
        <v>0</v>
      </c>
      <c r="M60" s="32">
        <f>IF(K60="","",IF(L60="Yes",ROUND(K60*2,1),K60))</f>
        <v>0</v>
      </c>
      <c r="N60" s="49">
        <f>IF(E60="","",IF(E60="Personal","Personal","Business"))</f>
        <v>0</v>
      </c>
      <c r="O60" s="29">
        <f>IF(B60="","",MileageRate)</f>
        <v>0</v>
      </c>
      <c r="P60" s="29">
        <f>IF(M60="","",IF(N60="Business",ROUND(M60*MileageRate,2),0))</f>
        <v>0</v>
      </c>
      <c r="U60" s="29">
        <f>IF(B60="","",ROUND(IF(P60="",0,P60)+IF(N60="Business",IF(R60="",0,R60)+IF(S60="",0,S60),0),2))</f>
        <v>0</v>
      </c>
      <c r="W60" s="28">
        <f>IF(B60="","",TEXT(B60,"yyyy-mm"))</f>
        <v>0</v>
      </c>
      <c r="X60" s="49">
        <f>IF(B60="","",IF(AND(H60&lt;&gt;"",I60&lt;&gt;"",I60&lt;H60),"Check odometer readings",IF(K60="","Action - add distance",IF(E60="","Action - add a purpose","OK"))))</f>
        <v>0</v>
      </c>
    </row>
    <row r="61" spans="1:24">
      <c r="A61" s="46">
        <f>IF(B61="","","TR-"&amp;TEXT(ROW()-4,"0000"))</f>
        <v>0</v>
      </c>
      <c r="K61" s="32">
        <f>IF(AND(H61&lt;&gt;"",I61&lt;&gt;""),ROUND(I61-H61,1),IF(J61="","",J61))</f>
        <v>0</v>
      </c>
      <c r="M61" s="32">
        <f>IF(K61="","",IF(L61="Yes",ROUND(K61*2,1),K61))</f>
        <v>0</v>
      </c>
      <c r="N61" s="49">
        <f>IF(E61="","",IF(E61="Personal","Personal","Business"))</f>
        <v>0</v>
      </c>
      <c r="O61" s="29">
        <f>IF(B61="","",MileageRate)</f>
        <v>0</v>
      </c>
      <c r="P61" s="29">
        <f>IF(M61="","",IF(N61="Business",ROUND(M61*MileageRate,2),0))</f>
        <v>0</v>
      </c>
      <c r="U61" s="29">
        <f>IF(B61="","",ROUND(IF(P61="",0,P61)+IF(N61="Business",IF(R61="",0,R61)+IF(S61="",0,S61),0),2))</f>
        <v>0</v>
      </c>
      <c r="W61" s="28">
        <f>IF(B61="","",TEXT(B61,"yyyy-mm"))</f>
        <v>0</v>
      </c>
      <c r="X61" s="49">
        <f>IF(B61="","",IF(AND(H61&lt;&gt;"",I61&lt;&gt;"",I61&lt;H61),"Check odometer readings",IF(K61="","Action - add distance",IF(E61="","Action - add a purpose","OK"))))</f>
        <v>0</v>
      </c>
    </row>
    <row r="62" spans="1:24">
      <c r="A62" s="46">
        <f>IF(B62="","","TR-"&amp;TEXT(ROW()-4,"0000"))</f>
        <v>0</v>
      </c>
      <c r="K62" s="32">
        <f>IF(AND(H62&lt;&gt;"",I62&lt;&gt;""),ROUND(I62-H62,1),IF(J62="","",J62))</f>
        <v>0</v>
      </c>
      <c r="M62" s="32">
        <f>IF(K62="","",IF(L62="Yes",ROUND(K62*2,1),K62))</f>
        <v>0</v>
      </c>
      <c r="N62" s="49">
        <f>IF(E62="","",IF(E62="Personal","Personal","Business"))</f>
        <v>0</v>
      </c>
      <c r="O62" s="29">
        <f>IF(B62="","",MileageRate)</f>
        <v>0</v>
      </c>
      <c r="P62" s="29">
        <f>IF(M62="","",IF(N62="Business",ROUND(M62*MileageRate,2),0))</f>
        <v>0</v>
      </c>
      <c r="U62" s="29">
        <f>IF(B62="","",ROUND(IF(P62="",0,P62)+IF(N62="Business",IF(R62="",0,R62)+IF(S62="",0,S62),0),2))</f>
        <v>0</v>
      </c>
      <c r="W62" s="28">
        <f>IF(B62="","",TEXT(B62,"yyyy-mm"))</f>
        <v>0</v>
      </c>
      <c r="X62" s="49">
        <f>IF(B62="","",IF(AND(H62&lt;&gt;"",I62&lt;&gt;"",I62&lt;H62),"Check odometer readings",IF(K62="","Action - add distance",IF(E62="","Action - add a purpose","OK"))))</f>
        <v>0</v>
      </c>
    </row>
    <row r="63" spans="1:24">
      <c r="A63" s="46">
        <f>IF(B63="","","TR-"&amp;TEXT(ROW()-4,"0000"))</f>
        <v>0</v>
      </c>
      <c r="K63" s="32">
        <f>IF(AND(H63&lt;&gt;"",I63&lt;&gt;""),ROUND(I63-H63,1),IF(J63="","",J63))</f>
        <v>0</v>
      </c>
      <c r="M63" s="32">
        <f>IF(K63="","",IF(L63="Yes",ROUND(K63*2,1),K63))</f>
        <v>0</v>
      </c>
      <c r="N63" s="49">
        <f>IF(E63="","",IF(E63="Personal","Personal","Business"))</f>
        <v>0</v>
      </c>
      <c r="O63" s="29">
        <f>IF(B63="","",MileageRate)</f>
        <v>0</v>
      </c>
      <c r="P63" s="29">
        <f>IF(M63="","",IF(N63="Business",ROUND(M63*MileageRate,2),0))</f>
        <v>0</v>
      </c>
      <c r="U63" s="29">
        <f>IF(B63="","",ROUND(IF(P63="",0,P63)+IF(N63="Business",IF(R63="",0,R63)+IF(S63="",0,S63),0),2))</f>
        <v>0</v>
      </c>
      <c r="W63" s="28">
        <f>IF(B63="","",TEXT(B63,"yyyy-mm"))</f>
        <v>0</v>
      </c>
      <c r="X63" s="49">
        <f>IF(B63="","",IF(AND(H63&lt;&gt;"",I63&lt;&gt;"",I63&lt;H63),"Check odometer readings",IF(K63="","Action - add distance",IF(E63="","Action - add a purpose","OK"))))</f>
        <v>0</v>
      </c>
    </row>
    <row r="64" spans="1:24">
      <c r="A64" s="46">
        <f>IF(B64="","","TR-"&amp;TEXT(ROW()-4,"0000"))</f>
        <v>0</v>
      </c>
      <c r="K64" s="32">
        <f>IF(AND(H64&lt;&gt;"",I64&lt;&gt;""),ROUND(I64-H64,1),IF(J64="","",J64))</f>
        <v>0</v>
      </c>
      <c r="M64" s="32">
        <f>IF(K64="","",IF(L64="Yes",ROUND(K64*2,1),K64))</f>
        <v>0</v>
      </c>
      <c r="N64" s="49">
        <f>IF(E64="","",IF(E64="Personal","Personal","Business"))</f>
        <v>0</v>
      </c>
      <c r="O64" s="29">
        <f>IF(B64="","",MileageRate)</f>
        <v>0</v>
      </c>
      <c r="P64" s="29">
        <f>IF(M64="","",IF(N64="Business",ROUND(M64*MileageRate,2),0))</f>
        <v>0</v>
      </c>
      <c r="U64" s="29">
        <f>IF(B64="","",ROUND(IF(P64="",0,P64)+IF(N64="Business",IF(R64="",0,R64)+IF(S64="",0,S64),0),2))</f>
        <v>0</v>
      </c>
      <c r="W64" s="28">
        <f>IF(B64="","",TEXT(B64,"yyyy-mm"))</f>
        <v>0</v>
      </c>
      <c r="X64" s="49">
        <f>IF(B64="","",IF(AND(H64&lt;&gt;"",I64&lt;&gt;"",I64&lt;H64),"Check odometer readings",IF(K64="","Action - add distance",IF(E64="","Action - add a purpose","OK"))))</f>
        <v>0</v>
      </c>
    </row>
    <row r="65" spans="1:24">
      <c r="A65" s="46">
        <f>IF(B65="","","TR-"&amp;TEXT(ROW()-4,"0000"))</f>
        <v>0</v>
      </c>
      <c r="K65" s="32">
        <f>IF(AND(H65&lt;&gt;"",I65&lt;&gt;""),ROUND(I65-H65,1),IF(J65="","",J65))</f>
        <v>0</v>
      </c>
      <c r="M65" s="32">
        <f>IF(K65="","",IF(L65="Yes",ROUND(K65*2,1),K65))</f>
        <v>0</v>
      </c>
      <c r="N65" s="49">
        <f>IF(E65="","",IF(E65="Personal","Personal","Business"))</f>
        <v>0</v>
      </c>
      <c r="O65" s="29">
        <f>IF(B65="","",MileageRate)</f>
        <v>0</v>
      </c>
      <c r="P65" s="29">
        <f>IF(M65="","",IF(N65="Business",ROUND(M65*MileageRate,2),0))</f>
        <v>0</v>
      </c>
      <c r="U65" s="29">
        <f>IF(B65="","",ROUND(IF(P65="",0,P65)+IF(N65="Business",IF(R65="",0,R65)+IF(S65="",0,S65),0),2))</f>
        <v>0</v>
      </c>
      <c r="W65" s="28">
        <f>IF(B65="","",TEXT(B65,"yyyy-mm"))</f>
        <v>0</v>
      </c>
      <c r="X65" s="49">
        <f>IF(B65="","",IF(AND(H65&lt;&gt;"",I65&lt;&gt;"",I65&lt;H65),"Check odometer readings",IF(K65="","Action - add distance",IF(E65="","Action - add a purpose","OK"))))</f>
        <v>0</v>
      </c>
    </row>
    <row r="66" spans="1:24">
      <c r="A66" s="46">
        <f>IF(B66="","","TR-"&amp;TEXT(ROW()-4,"0000"))</f>
        <v>0</v>
      </c>
      <c r="K66" s="32">
        <f>IF(AND(H66&lt;&gt;"",I66&lt;&gt;""),ROUND(I66-H66,1),IF(J66="","",J66))</f>
        <v>0</v>
      </c>
      <c r="M66" s="32">
        <f>IF(K66="","",IF(L66="Yes",ROUND(K66*2,1),K66))</f>
        <v>0</v>
      </c>
      <c r="N66" s="49">
        <f>IF(E66="","",IF(E66="Personal","Personal","Business"))</f>
        <v>0</v>
      </c>
      <c r="O66" s="29">
        <f>IF(B66="","",MileageRate)</f>
        <v>0</v>
      </c>
      <c r="P66" s="29">
        <f>IF(M66="","",IF(N66="Business",ROUND(M66*MileageRate,2),0))</f>
        <v>0</v>
      </c>
      <c r="U66" s="29">
        <f>IF(B66="","",ROUND(IF(P66="",0,P66)+IF(N66="Business",IF(R66="",0,R66)+IF(S66="",0,S66),0),2))</f>
        <v>0</v>
      </c>
      <c r="W66" s="28">
        <f>IF(B66="","",TEXT(B66,"yyyy-mm"))</f>
        <v>0</v>
      </c>
      <c r="X66" s="49">
        <f>IF(B66="","",IF(AND(H66&lt;&gt;"",I66&lt;&gt;"",I66&lt;H66),"Check odometer readings",IF(K66="","Action - add distance",IF(E66="","Action - add a purpose","OK"))))</f>
        <v>0</v>
      </c>
    </row>
    <row r="67" spans="1:24">
      <c r="A67" s="46">
        <f>IF(B67="","","TR-"&amp;TEXT(ROW()-4,"0000"))</f>
        <v>0</v>
      </c>
      <c r="K67" s="32">
        <f>IF(AND(H67&lt;&gt;"",I67&lt;&gt;""),ROUND(I67-H67,1),IF(J67="","",J67))</f>
        <v>0</v>
      </c>
      <c r="M67" s="32">
        <f>IF(K67="","",IF(L67="Yes",ROUND(K67*2,1),K67))</f>
        <v>0</v>
      </c>
      <c r="N67" s="49">
        <f>IF(E67="","",IF(E67="Personal","Personal","Business"))</f>
        <v>0</v>
      </c>
      <c r="O67" s="29">
        <f>IF(B67="","",MileageRate)</f>
        <v>0</v>
      </c>
      <c r="P67" s="29">
        <f>IF(M67="","",IF(N67="Business",ROUND(M67*MileageRate,2),0))</f>
        <v>0</v>
      </c>
      <c r="U67" s="29">
        <f>IF(B67="","",ROUND(IF(P67="",0,P67)+IF(N67="Business",IF(R67="",0,R67)+IF(S67="",0,S67),0),2))</f>
        <v>0</v>
      </c>
      <c r="W67" s="28">
        <f>IF(B67="","",TEXT(B67,"yyyy-mm"))</f>
        <v>0</v>
      </c>
      <c r="X67" s="49">
        <f>IF(B67="","",IF(AND(H67&lt;&gt;"",I67&lt;&gt;"",I67&lt;H67),"Check odometer readings",IF(K67="","Action - add distance",IF(E67="","Action - add a purpose","OK"))))</f>
        <v>0</v>
      </c>
    </row>
    <row r="68" spans="1:24">
      <c r="A68" s="46">
        <f>IF(B68="","","TR-"&amp;TEXT(ROW()-4,"0000"))</f>
        <v>0</v>
      </c>
      <c r="K68" s="32">
        <f>IF(AND(H68&lt;&gt;"",I68&lt;&gt;""),ROUND(I68-H68,1),IF(J68="","",J68))</f>
        <v>0</v>
      </c>
      <c r="M68" s="32">
        <f>IF(K68="","",IF(L68="Yes",ROUND(K68*2,1),K68))</f>
        <v>0</v>
      </c>
      <c r="N68" s="49">
        <f>IF(E68="","",IF(E68="Personal","Personal","Business"))</f>
        <v>0</v>
      </c>
      <c r="O68" s="29">
        <f>IF(B68="","",MileageRate)</f>
        <v>0</v>
      </c>
      <c r="P68" s="29">
        <f>IF(M68="","",IF(N68="Business",ROUND(M68*MileageRate,2),0))</f>
        <v>0</v>
      </c>
      <c r="U68" s="29">
        <f>IF(B68="","",ROUND(IF(P68="",0,P68)+IF(N68="Business",IF(R68="",0,R68)+IF(S68="",0,S68),0),2))</f>
        <v>0</v>
      </c>
      <c r="W68" s="28">
        <f>IF(B68="","",TEXT(B68,"yyyy-mm"))</f>
        <v>0</v>
      </c>
      <c r="X68" s="49">
        <f>IF(B68="","",IF(AND(H68&lt;&gt;"",I68&lt;&gt;"",I68&lt;H68),"Check odometer readings",IF(K68="","Action - add distance",IF(E68="","Action - add a purpose","OK"))))</f>
        <v>0</v>
      </c>
    </row>
    <row r="69" spans="1:24">
      <c r="A69" s="46">
        <f>IF(B69="","","TR-"&amp;TEXT(ROW()-4,"0000"))</f>
        <v>0</v>
      </c>
      <c r="K69" s="32">
        <f>IF(AND(H69&lt;&gt;"",I69&lt;&gt;""),ROUND(I69-H69,1),IF(J69="","",J69))</f>
        <v>0</v>
      </c>
      <c r="M69" s="32">
        <f>IF(K69="","",IF(L69="Yes",ROUND(K69*2,1),K69))</f>
        <v>0</v>
      </c>
      <c r="N69" s="49">
        <f>IF(E69="","",IF(E69="Personal","Personal","Business"))</f>
        <v>0</v>
      </c>
      <c r="O69" s="29">
        <f>IF(B69="","",MileageRate)</f>
        <v>0</v>
      </c>
      <c r="P69" s="29">
        <f>IF(M69="","",IF(N69="Business",ROUND(M69*MileageRate,2),0))</f>
        <v>0</v>
      </c>
      <c r="U69" s="29">
        <f>IF(B69="","",ROUND(IF(P69="",0,P69)+IF(N69="Business",IF(R69="",0,R69)+IF(S69="",0,S69),0),2))</f>
        <v>0</v>
      </c>
      <c r="W69" s="28">
        <f>IF(B69="","",TEXT(B69,"yyyy-mm"))</f>
        <v>0</v>
      </c>
      <c r="X69" s="49">
        <f>IF(B69="","",IF(AND(H69&lt;&gt;"",I69&lt;&gt;"",I69&lt;H69),"Check odometer readings",IF(K69="","Action - add distance",IF(E69="","Action - add a purpose","OK"))))</f>
        <v>0</v>
      </c>
    </row>
    <row r="70" spans="1:24">
      <c r="A70" s="46">
        <f>IF(B70="","","TR-"&amp;TEXT(ROW()-4,"0000"))</f>
        <v>0</v>
      </c>
      <c r="K70" s="32">
        <f>IF(AND(H70&lt;&gt;"",I70&lt;&gt;""),ROUND(I70-H70,1),IF(J70="","",J70))</f>
        <v>0</v>
      </c>
      <c r="M70" s="32">
        <f>IF(K70="","",IF(L70="Yes",ROUND(K70*2,1),K70))</f>
        <v>0</v>
      </c>
      <c r="N70" s="49">
        <f>IF(E70="","",IF(E70="Personal","Personal","Business"))</f>
        <v>0</v>
      </c>
      <c r="O70" s="29">
        <f>IF(B70="","",MileageRate)</f>
        <v>0</v>
      </c>
      <c r="P70" s="29">
        <f>IF(M70="","",IF(N70="Business",ROUND(M70*MileageRate,2),0))</f>
        <v>0</v>
      </c>
      <c r="U70" s="29">
        <f>IF(B70="","",ROUND(IF(P70="",0,P70)+IF(N70="Business",IF(R70="",0,R70)+IF(S70="",0,S70),0),2))</f>
        <v>0</v>
      </c>
      <c r="W70" s="28">
        <f>IF(B70="","",TEXT(B70,"yyyy-mm"))</f>
        <v>0</v>
      </c>
      <c r="X70" s="49">
        <f>IF(B70="","",IF(AND(H70&lt;&gt;"",I70&lt;&gt;"",I70&lt;H70),"Check odometer readings",IF(K70="","Action - add distance",IF(E70="","Action - add a purpose","OK"))))</f>
        <v>0</v>
      </c>
    </row>
    <row r="71" spans="1:24">
      <c r="A71" s="46">
        <f>IF(B71="","","TR-"&amp;TEXT(ROW()-4,"0000"))</f>
        <v>0</v>
      </c>
      <c r="K71" s="32">
        <f>IF(AND(H71&lt;&gt;"",I71&lt;&gt;""),ROUND(I71-H71,1),IF(J71="","",J71))</f>
        <v>0</v>
      </c>
      <c r="M71" s="32">
        <f>IF(K71="","",IF(L71="Yes",ROUND(K71*2,1),K71))</f>
        <v>0</v>
      </c>
      <c r="N71" s="49">
        <f>IF(E71="","",IF(E71="Personal","Personal","Business"))</f>
        <v>0</v>
      </c>
      <c r="O71" s="29">
        <f>IF(B71="","",MileageRate)</f>
        <v>0</v>
      </c>
      <c r="P71" s="29">
        <f>IF(M71="","",IF(N71="Business",ROUND(M71*MileageRate,2),0))</f>
        <v>0</v>
      </c>
      <c r="U71" s="29">
        <f>IF(B71="","",ROUND(IF(P71="",0,P71)+IF(N71="Business",IF(R71="",0,R71)+IF(S71="",0,S71),0),2))</f>
        <v>0</v>
      </c>
      <c r="W71" s="28">
        <f>IF(B71="","",TEXT(B71,"yyyy-mm"))</f>
        <v>0</v>
      </c>
      <c r="X71" s="49">
        <f>IF(B71="","",IF(AND(H71&lt;&gt;"",I71&lt;&gt;"",I71&lt;H71),"Check odometer readings",IF(K71="","Action - add distance",IF(E71="","Action - add a purpose","OK"))))</f>
        <v>0</v>
      </c>
    </row>
    <row r="72" spans="1:24">
      <c r="A72" s="46">
        <f>IF(B72="","","TR-"&amp;TEXT(ROW()-4,"0000"))</f>
        <v>0</v>
      </c>
      <c r="K72" s="32">
        <f>IF(AND(H72&lt;&gt;"",I72&lt;&gt;""),ROUND(I72-H72,1),IF(J72="","",J72))</f>
        <v>0</v>
      </c>
      <c r="M72" s="32">
        <f>IF(K72="","",IF(L72="Yes",ROUND(K72*2,1),K72))</f>
        <v>0</v>
      </c>
      <c r="N72" s="49">
        <f>IF(E72="","",IF(E72="Personal","Personal","Business"))</f>
        <v>0</v>
      </c>
      <c r="O72" s="29">
        <f>IF(B72="","",MileageRate)</f>
        <v>0</v>
      </c>
      <c r="P72" s="29">
        <f>IF(M72="","",IF(N72="Business",ROUND(M72*MileageRate,2),0))</f>
        <v>0</v>
      </c>
      <c r="U72" s="29">
        <f>IF(B72="","",ROUND(IF(P72="",0,P72)+IF(N72="Business",IF(R72="",0,R72)+IF(S72="",0,S72),0),2))</f>
        <v>0</v>
      </c>
      <c r="W72" s="28">
        <f>IF(B72="","",TEXT(B72,"yyyy-mm"))</f>
        <v>0</v>
      </c>
      <c r="X72" s="49">
        <f>IF(B72="","",IF(AND(H72&lt;&gt;"",I72&lt;&gt;"",I72&lt;H72),"Check odometer readings",IF(K72="","Action - add distance",IF(E72="","Action - add a purpose","OK"))))</f>
        <v>0</v>
      </c>
    </row>
    <row r="73" spans="1:24">
      <c r="A73" s="46">
        <f>IF(B73="","","TR-"&amp;TEXT(ROW()-4,"0000"))</f>
        <v>0</v>
      </c>
      <c r="K73" s="32">
        <f>IF(AND(H73&lt;&gt;"",I73&lt;&gt;""),ROUND(I73-H73,1),IF(J73="","",J73))</f>
        <v>0</v>
      </c>
      <c r="M73" s="32">
        <f>IF(K73="","",IF(L73="Yes",ROUND(K73*2,1),K73))</f>
        <v>0</v>
      </c>
      <c r="N73" s="49">
        <f>IF(E73="","",IF(E73="Personal","Personal","Business"))</f>
        <v>0</v>
      </c>
      <c r="O73" s="29">
        <f>IF(B73="","",MileageRate)</f>
        <v>0</v>
      </c>
      <c r="P73" s="29">
        <f>IF(M73="","",IF(N73="Business",ROUND(M73*MileageRate,2),0))</f>
        <v>0</v>
      </c>
      <c r="U73" s="29">
        <f>IF(B73="","",ROUND(IF(P73="",0,P73)+IF(N73="Business",IF(R73="",0,R73)+IF(S73="",0,S73),0),2))</f>
        <v>0</v>
      </c>
      <c r="W73" s="28">
        <f>IF(B73="","",TEXT(B73,"yyyy-mm"))</f>
        <v>0</v>
      </c>
      <c r="X73" s="49">
        <f>IF(B73="","",IF(AND(H73&lt;&gt;"",I73&lt;&gt;"",I73&lt;H73),"Check odometer readings",IF(K73="","Action - add distance",IF(E73="","Action - add a purpose","OK"))))</f>
        <v>0</v>
      </c>
    </row>
    <row r="74" spans="1:24">
      <c r="A74" s="46">
        <f>IF(B74="","","TR-"&amp;TEXT(ROW()-4,"0000"))</f>
        <v>0</v>
      </c>
      <c r="K74" s="32">
        <f>IF(AND(H74&lt;&gt;"",I74&lt;&gt;""),ROUND(I74-H74,1),IF(J74="","",J74))</f>
        <v>0</v>
      </c>
      <c r="M74" s="32">
        <f>IF(K74="","",IF(L74="Yes",ROUND(K74*2,1),K74))</f>
        <v>0</v>
      </c>
      <c r="N74" s="49">
        <f>IF(E74="","",IF(E74="Personal","Personal","Business"))</f>
        <v>0</v>
      </c>
      <c r="O74" s="29">
        <f>IF(B74="","",MileageRate)</f>
        <v>0</v>
      </c>
      <c r="P74" s="29">
        <f>IF(M74="","",IF(N74="Business",ROUND(M74*MileageRate,2),0))</f>
        <v>0</v>
      </c>
      <c r="U74" s="29">
        <f>IF(B74="","",ROUND(IF(P74="",0,P74)+IF(N74="Business",IF(R74="",0,R74)+IF(S74="",0,S74),0),2))</f>
        <v>0</v>
      </c>
      <c r="W74" s="28">
        <f>IF(B74="","",TEXT(B74,"yyyy-mm"))</f>
        <v>0</v>
      </c>
      <c r="X74" s="49">
        <f>IF(B74="","",IF(AND(H74&lt;&gt;"",I74&lt;&gt;"",I74&lt;H74),"Check odometer readings",IF(K74="","Action - add distance",IF(E74="","Action - add a purpose","OK"))))</f>
        <v>0</v>
      </c>
    </row>
    <row r="75" spans="1:24">
      <c r="A75" s="46">
        <f>IF(B75="","","TR-"&amp;TEXT(ROW()-4,"0000"))</f>
        <v>0</v>
      </c>
      <c r="K75" s="32">
        <f>IF(AND(H75&lt;&gt;"",I75&lt;&gt;""),ROUND(I75-H75,1),IF(J75="","",J75))</f>
        <v>0</v>
      </c>
      <c r="M75" s="32">
        <f>IF(K75="","",IF(L75="Yes",ROUND(K75*2,1),K75))</f>
        <v>0</v>
      </c>
      <c r="N75" s="49">
        <f>IF(E75="","",IF(E75="Personal","Personal","Business"))</f>
        <v>0</v>
      </c>
      <c r="O75" s="29">
        <f>IF(B75="","",MileageRate)</f>
        <v>0</v>
      </c>
      <c r="P75" s="29">
        <f>IF(M75="","",IF(N75="Business",ROUND(M75*MileageRate,2),0))</f>
        <v>0</v>
      </c>
      <c r="U75" s="29">
        <f>IF(B75="","",ROUND(IF(P75="",0,P75)+IF(N75="Business",IF(R75="",0,R75)+IF(S75="",0,S75),0),2))</f>
        <v>0</v>
      </c>
      <c r="W75" s="28">
        <f>IF(B75="","",TEXT(B75,"yyyy-mm"))</f>
        <v>0</v>
      </c>
      <c r="X75" s="49">
        <f>IF(B75="","",IF(AND(H75&lt;&gt;"",I75&lt;&gt;"",I75&lt;H75),"Check odometer readings",IF(K75="","Action - add distance",IF(E75="","Action - add a purpose","OK"))))</f>
        <v>0</v>
      </c>
    </row>
    <row r="76" spans="1:24">
      <c r="A76" s="46">
        <f>IF(B76="","","TR-"&amp;TEXT(ROW()-4,"0000"))</f>
        <v>0</v>
      </c>
      <c r="K76" s="32">
        <f>IF(AND(H76&lt;&gt;"",I76&lt;&gt;""),ROUND(I76-H76,1),IF(J76="","",J76))</f>
        <v>0</v>
      </c>
      <c r="M76" s="32">
        <f>IF(K76="","",IF(L76="Yes",ROUND(K76*2,1),K76))</f>
        <v>0</v>
      </c>
      <c r="N76" s="49">
        <f>IF(E76="","",IF(E76="Personal","Personal","Business"))</f>
        <v>0</v>
      </c>
      <c r="O76" s="29">
        <f>IF(B76="","",MileageRate)</f>
        <v>0</v>
      </c>
      <c r="P76" s="29">
        <f>IF(M76="","",IF(N76="Business",ROUND(M76*MileageRate,2),0))</f>
        <v>0</v>
      </c>
      <c r="U76" s="29">
        <f>IF(B76="","",ROUND(IF(P76="",0,P76)+IF(N76="Business",IF(R76="",0,R76)+IF(S76="",0,S76),0),2))</f>
        <v>0</v>
      </c>
      <c r="W76" s="28">
        <f>IF(B76="","",TEXT(B76,"yyyy-mm"))</f>
        <v>0</v>
      </c>
      <c r="X76" s="49">
        <f>IF(B76="","",IF(AND(H76&lt;&gt;"",I76&lt;&gt;"",I76&lt;H76),"Check odometer readings",IF(K76="","Action - add distance",IF(E76="","Action - add a purpose","OK"))))</f>
        <v>0</v>
      </c>
    </row>
    <row r="77" spans="1:24">
      <c r="A77" s="46">
        <f>IF(B77="","","TR-"&amp;TEXT(ROW()-4,"0000"))</f>
        <v>0</v>
      </c>
      <c r="K77" s="32">
        <f>IF(AND(H77&lt;&gt;"",I77&lt;&gt;""),ROUND(I77-H77,1),IF(J77="","",J77))</f>
        <v>0</v>
      </c>
      <c r="M77" s="32">
        <f>IF(K77="","",IF(L77="Yes",ROUND(K77*2,1),K77))</f>
        <v>0</v>
      </c>
      <c r="N77" s="49">
        <f>IF(E77="","",IF(E77="Personal","Personal","Business"))</f>
        <v>0</v>
      </c>
      <c r="O77" s="29">
        <f>IF(B77="","",MileageRate)</f>
        <v>0</v>
      </c>
      <c r="P77" s="29">
        <f>IF(M77="","",IF(N77="Business",ROUND(M77*MileageRate,2),0))</f>
        <v>0</v>
      </c>
      <c r="U77" s="29">
        <f>IF(B77="","",ROUND(IF(P77="",0,P77)+IF(N77="Business",IF(R77="",0,R77)+IF(S77="",0,S77),0),2))</f>
        <v>0</v>
      </c>
      <c r="W77" s="28">
        <f>IF(B77="","",TEXT(B77,"yyyy-mm"))</f>
        <v>0</v>
      </c>
      <c r="X77" s="49">
        <f>IF(B77="","",IF(AND(H77&lt;&gt;"",I77&lt;&gt;"",I77&lt;H77),"Check odometer readings",IF(K77="","Action - add distance",IF(E77="","Action - add a purpose","OK"))))</f>
        <v>0</v>
      </c>
    </row>
    <row r="78" spans="1:24">
      <c r="A78" s="46">
        <f>IF(B78="","","TR-"&amp;TEXT(ROW()-4,"0000"))</f>
        <v>0</v>
      </c>
      <c r="K78" s="32">
        <f>IF(AND(H78&lt;&gt;"",I78&lt;&gt;""),ROUND(I78-H78,1),IF(J78="","",J78))</f>
        <v>0</v>
      </c>
      <c r="M78" s="32">
        <f>IF(K78="","",IF(L78="Yes",ROUND(K78*2,1),K78))</f>
        <v>0</v>
      </c>
      <c r="N78" s="49">
        <f>IF(E78="","",IF(E78="Personal","Personal","Business"))</f>
        <v>0</v>
      </c>
      <c r="O78" s="29">
        <f>IF(B78="","",MileageRate)</f>
        <v>0</v>
      </c>
      <c r="P78" s="29">
        <f>IF(M78="","",IF(N78="Business",ROUND(M78*MileageRate,2),0))</f>
        <v>0</v>
      </c>
      <c r="U78" s="29">
        <f>IF(B78="","",ROUND(IF(P78="",0,P78)+IF(N78="Business",IF(R78="",0,R78)+IF(S78="",0,S78),0),2))</f>
        <v>0</v>
      </c>
      <c r="W78" s="28">
        <f>IF(B78="","",TEXT(B78,"yyyy-mm"))</f>
        <v>0</v>
      </c>
      <c r="X78" s="49">
        <f>IF(B78="","",IF(AND(H78&lt;&gt;"",I78&lt;&gt;"",I78&lt;H78),"Check odometer readings",IF(K78="","Action - add distance",IF(E78="","Action - add a purpose","OK"))))</f>
        <v>0</v>
      </c>
    </row>
    <row r="79" spans="1:24">
      <c r="A79" s="46">
        <f>IF(B79="","","TR-"&amp;TEXT(ROW()-4,"0000"))</f>
        <v>0</v>
      </c>
      <c r="K79" s="32">
        <f>IF(AND(H79&lt;&gt;"",I79&lt;&gt;""),ROUND(I79-H79,1),IF(J79="","",J79))</f>
        <v>0</v>
      </c>
      <c r="M79" s="32">
        <f>IF(K79="","",IF(L79="Yes",ROUND(K79*2,1),K79))</f>
        <v>0</v>
      </c>
      <c r="N79" s="49">
        <f>IF(E79="","",IF(E79="Personal","Personal","Business"))</f>
        <v>0</v>
      </c>
      <c r="O79" s="29">
        <f>IF(B79="","",MileageRate)</f>
        <v>0</v>
      </c>
      <c r="P79" s="29">
        <f>IF(M79="","",IF(N79="Business",ROUND(M79*MileageRate,2),0))</f>
        <v>0</v>
      </c>
      <c r="U79" s="29">
        <f>IF(B79="","",ROUND(IF(P79="",0,P79)+IF(N79="Business",IF(R79="",0,R79)+IF(S79="",0,S79),0),2))</f>
        <v>0</v>
      </c>
      <c r="W79" s="28">
        <f>IF(B79="","",TEXT(B79,"yyyy-mm"))</f>
        <v>0</v>
      </c>
      <c r="X79" s="49">
        <f>IF(B79="","",IF(AND(H79&lt;&gt;"",I79&lt;&gt;"",I79&lt;H79),"Check odometer readings",IF(K79="","Action - add distance",IF(E79="","Action - add a purpose","OK"))))</f>
        <v>0</v>
      </c>
    </row>
    <row r="80" spans="1:24">
      <c r="A80" s="46">
        <f>IF(B80="","","TR-"&amp;TEXT(ROW()-4,"0000"))</f>
        <v>0</v>
      </c>
      <c r="K80" s="32">
        <f>IF(AND(H80&lt;&gt;"",I80&lt;&gt;""),ROUND(I80-H80,1),IF(J80="","",J80))</f>
        <v>0</v>
      </c>
      <c r="M80" s="32">
        <f>IF(K80="","",IF(L80="Yes",ROUND(K80*2,1),K80))</f>
        <v>0</v>
      </c>
      <c r="N80" s="49">
        <f>IF(E80="","",IF(E80="Personal","Personal","Business"))</f>
        <v>0</v>
      </c>
      <c r="O80" s="29">
        <f>IF(B80="","",MileageRate)</f>
        <v>0</v>
      </c>
      <c r="P80" s="29">
        <f>IF(M80="","",IF(N80="Business",ROUND(M80*MileageRate,2),0))</f>
        <v>0</v>
      </c>
      <c r="U80" s="29">
        <f>IF(B80="","",ROUND(IF(P80="",0,P80)+IF(N80="Business",IF(R80="",0,R80)+IF(S80="",0,S80),0),2))</f>
        <v>0</v>
      </c>
      <c r="W80" s="28">
        <f>IF(B80="","",TEXT(B80,"yyyy-mm"))</f>
        <v>0</v>
      </c>
      <c r="X80" s="49">
        <f>IF(B80="","",IF(AND(H80&lt;&gt;"",I80&lt;&gt;"",I80&lt;H80),"Check odometer readings",IF(K80="","Action - add distance",IF(E80="","Action - add a purpose","OK"))))</f>
        <v>0</v>
      </c>
    </row>
    <row r="81" spans="1:24">
      <c r="A81" s="46">
        <f>IF(B81="","","TR-"&amp;TEXT(ROW()-4,"0000"))</f>
        <v>0</v>
      </c>
      <c r="K81" s="32">
        <f>IF(AND(H81&lt;&gt;"",I81&lt;&gt;""),ROUND(I81-H81,1),IF(J81="","",J81))</f>
        <v>0</v>
      </c>
      <c r="M81" s="32">
        <f>IF(K81="","",IF(L81="Yes",ROUND(K81*2,1),K81))</f>
        <v>0</v>
      </c>
      <c r="N81" s="49">
        <f>IF(E81="","",IF(E81="Personal","Personal","Business"))</f>
        <v>0</v>
      </c>
      <c r="O81" s="29">
        <f>IF(B81="","",MileageRate)</f>
        <v>0</v>
      </c>
      <c r="P81" s="29">
        <f>IF(M81="","",IF(N81="Business",ROUND(M81*MileageRate,2),0))</f>
        <v>0</v>
      </c>
      <c r="U81" s="29">
        <f>IF(B81="","",ROUND(IF(P81="",0,P81)+IF(N81="Business",IF(R81="",0,R81)+IF(S81="",0,S81),0),2))</f>
        <v>0</v>
      </c>
      <c r="W81" s="28">
        <f>IF(B81="","",TEXT(B81,"yyyy-mm"))</f>
        <v>0</v>
      </c>
      <c r="X81" s="49">
        <f>IF(B81="","",IF(AND(H81&lt;&gt;"",I81&lt;&gt;"",I81&lt;H81),"Check odometer readings",IF(K81="","Action - add distance",IF(E81="","Action - add a purpose","OK"))))</f>
        <v>0</v>
      </c>
    </row>
    <row r="82" spans="1:24">
      <c r="A82" s="46">
        <f>IF(B82="","","TR-"&amp;TEXT(ROW()-4,"0000"))</f>
        <v>0</v>
      </c>
      <c r="K82" s="32">
        <f>IF(AND(H82&lt;&gt;"",I82&lt;&gt;""),ROUND(I82-H82,1),IF(J82="","",J82))</f>
        <v>0</v>
      </c>
      <c r="M82" s="32">
        <f>IF(K82="","",IF(L82="Yes",ROUND(K82*2,1),K82))</f>
        <v>0</v>
      </c>
      <c r="N82" s="49">
        <f>IF(E82="","",IF(E82="Personal","Personal","Business"))</f>
        <v>0</v>
      </c>
      <c r="O82" s="29">
        <f>IF(B82="","",MileageRate)</f>
        <v>0</v>
      </c>
      <c r="P82" s="29">
        <f>IF(M82="","",IF(N82="Business",ROUND(M82*MileageRate,2),0))</f>
        <v>0</v>
      </c>
      <c r="U82" s="29">
        <f>IF(B82="","",ROUND(IF(P82="",0,P82)+IF(N82="Business",IF(R82="",0,R82)+IF(S82="",0,S82),0),2))</f>
        <v>0</v>
      </c>
      <c r="W82" s="28">
        <f>IF(B82="","",TEXT(B82,"yyyy-mm"))</f>
        <v>0</v>
      </c>
      <c r="X82" s="49">
        <f>IF(B82="","",IF(AND(H82&lt;&gt;"",I82&lt;&gt;"",I82&lt;H82),"Check odometer readings",IF(K82="","Action - add distance",IF(E82="","Action - add a purpose","OK"))))</f>
        <v>0</v>
      </c>
    </row>
    <row r="83" spans="1:24">
      <c r="A83" s="46">
        <f>IF(B83="","","TR-"&amp;TEXT(ROW()-4,"0000"))</f>
        <v>0</v>
      </c>
      <c r="K83" s="32">
        <f>IF(AND(H83&lt;&gt;"",I83&lt;&gt;""),ROUND(I83-H83,1),IF(J83="","",J83))</f>
        <v>0</v>
      </c>
      <c r="M83" s="32">
        <f>IF(K83="","",IF(L83="Yes",ROUND(K83*2,1),K83))</f>
        <v>0</v>
      </c>
      <c r="N83" s="49">
        <f>IF(E83="","",IF(E83="Personal","Personal","Business"))</f>
        <v>0</v>
      </c>
      <c r="O83" s="29">
        <f>IF(B83="","",MileageRate)</f>
        <v>0</v>
      </c>
      <c r="P83" s="29">
        <f>IF(M83="","",IF(N83="Business",ROUND(M83*MileageRate,2),0))</f>
        <v>0</v>
      </c>
      <c r="U83" s="29">
        <f>IF(B83="","",ROUND(IF(P83="",0,P83)+IF(N83="Business",IF(R83="",0,R83)+IF(S83="",0,S83),0),2))</f>
        <v>0</v>
      </c>
      <c r="W83" s="28">
        <f>IF(B83="","",TEXT(B83,"yyyy-mm"))</f>
        <v>0</v>
      </c>
      <c r="X83" s="49">
        <f>IF(B83="","",IF(AND(H83&lt;&gt;"",I83&lt;&gt;"",I83&lt;H83),"Check odometer readings",IF(K83="","Action - add distance",IF(E83="","Action - add a purpose","OK"))))</f>
        <v>0</v>
      </c>
    </row>
    <row r="84" spans="1:24">
      <c r="A84" s="46">
        <f>IF(B84="","","TR-"&amp;TEXT(ROW()-4,"0000"))</f>
        <v>0</v>
      </c>
      <c r="K84" s="32">
        <f>IF(AND(H84&lt;&gt;"",I84&lt;&gt;""),ROUND(I84-H84,1),IF(J84="","",J84))</f>
        <v>0</v>
      </c>
      <c r="M84" s="32">
        <f>IF(K84="","",IF(L84="Yes",ROUND(K84*2,1),K84))</f>
        <v>0</v>
      </c>
      <c r="N84" s="49">
        <f>IF(E84="","",IF(E84="Personal","Personal","Business"))</f>
        <v>0</v>
      </c>
      <c r="O84" s="29">
        <f>IF(B84="","",MileageRate)</f>
        <v>0</v>
      </c>
      <c r="P84" s="29">
        <f>IF(M84="","",IF(N84="Business",ROUND(M84*MileageRate,2),0))</f>
        <v>0</v>
      </c>
      <c r="U84" s="29">
        <f>IF(B84="","",ROUND(IF(P84="",0,P84)+IF(N84="Business",IF(R84="",0,R84)+IF(S84="",0,S84),0),2))</f>
        <v>0</v>
      </c>
      <c r="W84" s="28">
        <f>IF(B84="","",TEXT(B84,"yyyy-mm"))</f>
        <v>0</v>
      </c>
      <c r="X84" s="49">
        <f>IF(B84="","",IF(AND(H84&lt;&gt;"",I84&lt;&gt;"",I84&lt;H84),"Check odometer readings",IF(K84="","Action - add distance",IF(E84="","Action - add a purpose","OK"))))</f>
        <v>0</v>
      </c>
    </row>
    <row r="85" spans="1:24">
      <c r="A85" s="46">
        <f>IF(B85="","","TR-"&amp;TEXT(ROW()-4,"0000"))</f>
        <v>0</v>
      </c>
      <c r="K85" s="32">
        <f>IF(AND(H85&lt;&gt;"",I85&lt;&gt;""),ROUND(I85-H85,1),IF(J85="","",J85))</f>
        <v>0</v>
      </c>
      <c r="M85" s="32">
        <f>IF(K85="","",IF(L85="Yes",ROUND(K85*2,1),K85))</f>
        <v>0</v>
      </c>
      <c r="N85" s="49">
        <f>IF(E85="","",IF(E85="Personal","Personal","Business"))</f>
        <v>0</v>
      </c>
      <c r="O85" s="29">
        <f>IF(B85="","",MileageRate)</f>
        <v>0</v>
      </c>
      <c r="P85" s="29">
        <f>IF(M85="","",IF(N85="Business",ROUND(M85*MileageRate,2),0))</f>
        <v>0</v>
      </c>
      <c r="U85" s="29">
        <f>IF(B85="","",ROUND(IF(P85="",0,P85)+IF(N85="Business",IF(R85="",0,R85)+IF(S85="",0,S85),0),2))</f>
        <v>0</v>
      </c>
      <c r="W85" s="28">
        <f>IF(B85="","",TEXT(B85,"yyyy-mm"))</f>
        <v>0</v>
      </c>
      <c r="X85" s="49">
        <f>IF(B85="","",IF(AND(H85&lt;&gt;"",I85&lt;&gt;"",I85&lt;H85),"Check odometer readings",IF(K85="","Action - add distance",IF(E85="","Action - add a purpose","OK"))))</f>
        <v>0</v>
      </c>
    </row>
    <row r="86" spans="1:24">
      <c r="A86" s="46">
        <f>IF(B86="","","TR-"&amp;TEXT(ROW()-4,"0000"))</f>
        <v>0</v>
      </c>
      <c r="K86" s="32">
        <f>IF(AND(H86&lt;&gt;"",I86&lt;&gt;""),ROUND(I86-H86,1),IF(J86="","",J86))</f>
        <v>0</v>
      </c>
      <c r="M86" s="32">
        <f>IF(K86="","",IF(L86="Yes",ROUND(K86*2,1),K86))</f>
        <v>0</v>
      </c>
      <c r="N86" s="49">
        <f>IF(E86="","",IF(E86="Personal","Personal","Business"))</f>
        <v>0</v>
      </c>
      <c r="O86" s="29">
        <f>IF(B86="","",MileageRate)</f>
        <v>0</v>
      </c>
      <c r="P86" s="29">
        <f>IF(M86="","",IF(N86="Business",ROUND(M86*MileageRate,2),0))</f>
        <v>0</v>
      </c>
      <c r="U86" s="29">
        <f>IF(B86="","",ROUND(IF(P86="",0,P86)+IF(N86="Business",IF(R86="",0,R86)+IF(S86="",0,S86),0),2))</f>
        <v>0</v>
      </c>
      <c r="W86" s="28">
        <f>IF(B86="","",TEXT(B86,"yyyy-mm"))</f>
        <v>0</v>
      </c>
      <c r="X86" s="49">
        <f>IF(B86="","",IF(AND(H86&lt;&gt;"",I86&lt;&gt;"",I86&lt;H86),"Check odometer readings",IF(K86="","Action - add distance",IF(E86="","Action - add a purpose","OK"))))</f>
        <v>0</v>
      </c>
    </row>
    <row r="87" spans="1:24">
      <c r="A87" s="46">
        <f>IF(B87="","","TR-"&amp;TEXT(ROW()-4,"0000"))</f>
        <v>0</v>
      </c>
      <c r="K87" s="32">
        <f>IF(AND(H87&lt;&gt;"",I87&lt;&gt;""),ROUND(I87-H87,1),IF(J87="","",J87))</f>
        <v>0</v>
      </c>
      <c r="M87" s="32">
        <f>IF(K87="","",IF(L87="Yes",ROUND(K87*2,1),K87))</f>
        <v>0</v>
      </c>
      <c r="N87" s="49">
        <f>IF(E87="","",IF(E87="Personal","Personal","Business"))</f>
        <v>0</v>
      </c>
      <c r="O87" s="29">
        <f>IF(B87="","",MileageRate)</f>
        <v>0</v>
      </c>
      <c r="P87" s="29">
        <f>IF(M87="","",IF(N87="Business",ROUND(M87*MileageRate,2),0))</f>
        <v>0</v>
      </c>
      <c r="U87" s="29">
        <f>IF(B87="","",ROUND(IF(P87="",0,P87)+IF(N87="Business",IF(R87="",0,R87)+IF(S87="",0,S87),0),2))</f>
        <v>0</v>
      </c>
      <c r="W87" s="28">
        <f>IF(B87="","",TEXT(B87,"yyyy-mm"))</f>
        <v>0</v>
      </c>
      <c r="X87" s="49">
        <f>IF(B87="","",IF(AND(H87&lt;&gt;"",I87&lt;&gt;"",I87&lt;H87),"Check odometer readings",IF(K87="","Action - add distance",IF(E87="","Action - add a purpose","OK"))))</f>
        <v>0</v>
      </c>
    </row>
    <row r="88" spans="1:24">
      <c r="A88" s="46">
        <f>IF(B88="","","TR-"&amp;TEXT(ROW()-4,"0000"))</f>
        <v>0</v>
      </c>
      <c r="K88" s="32">
        <f>IF(AND(H88&lt;&gt;"",I88&lt;&gt;""),ROUND(I88-H88,1),IF(J88="","",J88))</f>
        <v>0</v>
      </c>
      <c r="M88" s="32">
        <f>IF(K88="","",IF(L88="Yes",ROUND(K88*2,1),K88))</f>
        <v>0</v>
      </c>
      <c r="N88" s="49">
        <f>IF(E88="","",IF(E88="Personal","Personal","Business"))</f>
        <v>0</v>
      </c>
      <c r="O88" s="29">
        <f>IF(B88="","",MileageRate)</f>
        <v>0</v>
      </c>
      <c r="P88" s="29">
        <f>IF(M88="","",IF(N88="Business",ROUND(M88*MileageRate,2),0))</f>
        <v>0</v>
      </c>
      <c r="U88" s="29">
        <f>IF(B88="","",ROUND(IF(P88="",0,P88)+IF(N88="Business",IF(R88="",0,R88)+IF(S88="",0,S88),0),2))</f>
        <v>0</v>
      </c>
      <c r="W88" s="28">
        <f>IF(B88="","",TEXT(B88,"yyyy-mm"))</f>
        <v>0</v>
      </c>
      <c r="X88" s="49">
        <f>IF(B88="","",IF(AND(H88&lt;&gt;"",I88&lt;&gt;"",I88&lt;H88),"Check odometer readings",IF(K88="","Action - add distance",IF(E88="","Action - add a purpose","OK"))))</f>
        <v>0</v>
      </c>
    </row>
    <row r="89" spans="1:24">
      <c r="A89" s="46">
        <f>IF(B89="","","TR-"&amp;TEXT(ROW()-4,"0000"))</f>
        <v>0</v>
      </c>
      <c r="K89" s="32">
        <f>IF(AND(H89&lt;&gt;"",I89&lt;&gt;""),ROUND(I89-H89,1),IF(J89="","",J89))</f>
        <v>0</v>
      </c>
      <c r="M89" s="32">
        <f>IF(K89="","",IF(L89="Yes",ROUND(K89*2,1),K89))</f>
        <v>0</v>
      </c>
      <c r="N89" s="49">
        <f>IF(E89="","",IF(E89="Personal","Personal","Business"))</f>
        <v>0</v>
      </c>
      <c r="O89" s="29">
        <f>IF(B89="","",MileageRate)</f>
        <v>0</v>
      </c>
      <c r="P89" s="29">
        <f>IF(M89="","",IF(N89="Business",ROUND(M89*MileageRate,2),0))</f>
        <v>0</v>
      </c>
      <c r="U89" s="29">
        <f>IF(B89="","",ROUND(IF(P89="",0,P89)+IF(N89="Business",IF(R89="",0,R89)+IF(S89="",0,S89),0),2))</f>
        <v>0</v>
      </c>
      <c r="W89" s="28">
        <f>IF(B89="","",TEXT(B89,"yyyy-mm"))</f>
        <v>0</v>
      </c>
      <c r="X89" s="49">
        <f>IF(B89="","",IF(AND(H89&lt;&gt;"",I89&lt;&gt;"",I89&lt;H89),"Check odometer readings",IF(K89="","Action - add distance",IF(E89="","Action - add a purpose","OK"))))</f>
        <v>0</v>
      </c>
    </row>
    <row r="90" spans="1:24">
      <c r="A90" s="46">
        <f>IF(B90="","","TR-"&amp;TEXT(ROW()-4,"0000"))</f>
        <v>0</v>
      </c>
      <c r="K90" s="32">
        <f>IF(AND(H90&lt;&gt;"",I90&lt;&gt;""),ROUND(I90-H90,1),IF(J90="","",J90))</f>
        <v>0</v>
      </c>
      <c r="M90" s="32">
        <f>IF(K90="","",IF(L90="Yes",ROUND(K90*2,1),K90))</f>
        <v>0</v>
      </c>
      <c r="N90" s="49">
        <f>IF(E90="","",IF(E90="Personal","Personal","Business"))</f>
        <v>0</v>
      </c>
      <c r="O90" s="29">
        <f>IF(B90="","",MileageRate)</f>
        <v>0</v>
      </c>
      <c r="P90" s="29">
        <f>IF(M90="","",IF(N90="Business",ROUND(M90*MileageRate,2),0))</f>
        <v>0</v>
      </c>
      <c r="U90" s="29">
        <f>IF(B90="","",ROUND(IF(P90="",0,P90)+IF(N90="Business",IF(R90="",0,R90)+IF(S90="",0,S90),0),2))</f>
        <v>0</v>
      </c>
      <c r="W90" s="28">
        <f>IF(B90="","",TEXT(B90,"yyyy-mm"))</f>
        <v>0</v>
      </c>
      <c r="X90" s="49">
        <f>IF(B90="","",IF(AND(H90&lt;&gt;"",I90&lt;&gt;"",I90&lt;H90),"Check odometer readings",IF(K90="","Action - add distance",IF(E90="","Action - add a purpose","OK"))))</f>
        <v>0</v>
      </c>
    </row>
    <row r="91" spans="1:24">
      <c r="A91" s="46">
        <f>IF(B91="","","TR-"&amp;TEXT(ROW()-4,"0000"))</f>
        <v>0</v>
      </c>
      <c r="K91" s="32">
        <f>IF(AND(H91&lt;&gt;"",I91&lt;&gt;""),ROUND(I91-H91,1),IF(J91="","",J91))</f>
        <v>0</v>
      </c>
      <c r="M91" s="32">
        <f>IF(K91="","",IF(L91="Yes",ROUND(K91*2,1),K91))</f>
        <v>0</v>
      </c>
      <c r="N91" s="49">
        <f>IF(E91="","",IF(E91="Personal","Personal","Business"))</f>
        <v>0</v>
      </c>
      <c r="O91" s="29">
        <f>IF(B91="","",MileageRate)</f>
        <v>0</v>
      </c>
      <c r="P91" s="29">
        <f>IF(M91="","",IF(N91="Business",ROUND(M91*MileageRate,2),0))</f>
        <v>0</v>
      </c>
      <c r="U91" s="29">
        <f>IF(B91="","",ROUND(IF(P91="",0,P91)+IF(N91="Business",IF(R91="",0,R91)+IF(S91="",0,S91),0),2))</f>
        <v>0</v>
      </c>
      <c r="W91" s="28">
        <f>IF(B91="","",TEXT(B91,"yyyy-mm"))</f>
        <v>0</v>
      </c>
      <c r="X91" s="49">
        <f>IF(B91="","",IF(AND(H91&lt;&gt;"",I91&lt;&gt;"",I91&lt;H91),"Check odometer readings",IF(K91="","Action - add distance",IF(E91="","Action - add a purpose","OK"))))</f>
        <v>0</v>
      </c>
    </row>
    <row r="92" spans="1:24">
      <c r="A92" s="46">
        <f>IF(B92="","","TR-"&amp;TEXT(ROW()-4,"0000"))</f>
        <v>0</v>
      </c>
      <c r="K92" s="32">
        <f>IF(AND(H92&lt;&gt;"",I92&lt;&gt;""),ROUND(I92-H92,1),IF(J92="","",J92))</f>
        <v>0</v>
      </c>
      <c r="M92" s="32">
        <f>IF(K92="","",IF(L92="Yes",ROUND(K92*2,1),K92))</f>
        <v>0</v>
      </c>
      <c r="N92" s="49">
        <f>IF(E92="","",IF(E92="Personal","Personal","Business"))</f>
        <v>0</v>
      </c>
      <c r="O92" s="29">
        <f>IF(B92="","",MileageRate)</f>
        <v>0</v>
      </c>
      <c r="P92" s="29">
        <f>IF(M92="","",IF(N92="Business",ROUND(M92*MileageRate,2),0))</f>
        <v>0</v>
      </c>
      <c r="U92" s="29">
        <f>IF(B92="","",ROUND(IF(P92="",0,P92)+IF(N92="Business",IF(R92="",0,R92)+IF(S92="",0,S92),0),2))</f>
        <v>0</v>
      </c>
      <c r="W92" s="28">
        <f>IF(B92="","",TEXT(B92,"yyyy-mm"))</f>
        <v>0</v>
      </c>
      <c r="X92" s="49">
        <f>IF(B92="","",IF(AND(H92&lt;&gt;"",I92&lt;&gt;"",I92&lt;H92),"Check odometer readings",IF(K92="","Action - add distance",IF(E92="","Action - add a purpose","OK"))))</f>
        <v>0</v>
      </c>
    </row>
    <row r="93" spans="1:24">
      <c r="A93" s="46">
        <f>IF(B93="","","TR-"&amp;TEXT(ROW()-4,"0000"))</f>
        <v>0</v>
      </c>
      <c r="K93" s="32">
        <f>IF(AND(H93&lt;&gt;"",I93&lt;&gt;""),ROUND(I93-H93,1),IF(J93="","",J93))</f>
        <v>0</v>
      </c>
      <c r="M93" s="32">
        <f>IF(K93="","",IF(L93="Yes",ROUND(K93*2,1),K93))</f>
        <v>0</v>
      </c>
      <c r="N93" s="49">
        <f>IF(E93="","",IF(E93="Personal","Personal","Business"))</f>
        <v>0</v>
      </c>
      <c r="O93" s="29">
        <f>IF(B93="","",MileageRate)</f>
        <v>0</v>
      </c>
      <c r="P93" s="29">
        <f>IF(M93="","",IF(N93="Business",ROUND(M93*MileageRate,2),0))</f>
        <v>0</v>
      </c>
      <c r="U93" s="29">
        <f>IF(B93="","",ROUND(IF(P93="",0,P93)+IF(N93="Business",IF(R93="",0,R93)+IF(S93="",0,S93),0),2))</f>
        <v>0</v>
      </c>
      <c r="W93" s="28">
        <f>IF(B93="","",TEXT(B93,"yyyy-mm"))</f>
        <v>0</v>
      </c>
      <c r="X93" s="49">
        <f>IF(B93="","",IF(AND(H93&lt;&gt;"",I93&lt;&gt;"",I93&lt;H93),"Check odometer readings",IF(K93="","Action - add distance",IF(E93="","Action - add a purpose","OK"))))</f>
        <v>0</v>
      </c>
    </row>
    <row r="94" spans="1:24">
      <c r="A94" s="46">
        <f>IF(B94="","","TR-"&amp;TEXT(ROW()-4,"0000"))</f>
        <v>0</v>
      </c>
      <c r="K94" s="32">
        <f>IF(AND(H94&lt;&gt;"",I94&lt;&gt;""),ROUND(I94-H94,1),IF(J94="","",J94))</f>
        <v>0</v>
      </c>
      <c r="M94" s="32">
        <f>IF(K94="","",IF(L94="Yes",ROUND(K94*2,1),K94))</f>
        <v>0</v>
      </c>
      <c r="N94" s="49">
        <f>IF(E94="","",IF(E94="Personal","Personal","Business"))</f>
        <v>0</v>
      </c>
      <c r="O94" s="29">
        <f>IF(B94="","",MileageRate)</f>
        <v>0</v>
      </c>
      <c r="P94" s="29">
        <f>IF(M94="","",IF(N94="Business",ROUND(M94*MileageRate,2),0))</f>
        <v>0</v>
      </c>
      <c r="U94" s="29">
        <f>IF(B94="","",ROUND(IF(P94="",0,P94)+IF(N94="Business",IF(R94="",0,R94)+IF(S94="",0,S94),0),2))</f>
        <v>0</v>
      </c>
      <c r="W94" s="28">
        <f>IF(B94="","",TEXT(B94,"yyyy-mm"))</f>
        <v>0</v>
      </c>
      <c r="X94" s="49">
        <f>IF(B94="","",IF(AND(H94&lt;&gt;"",I94&lt;&gt;"",I94&lt;H94),"Check odometer readings",IF(K94="","Action - add distance",IF(E94="","Action - add a purpose","OK"))))</f>
        <v>0</v>
      </c>
    </row>
    <row r="95" spans="1:24">
      <c r="A95" s="46">
        <f>IF(B95="","","TR-"&amp;TEXT(ROW()-4,"0000"))</f>
        <v>0</v>
      </c>
      <c r="K95" s="32">
        <f>IF(AND(H95&lt;&gt;"",I95&lt;&gt;""),ROUND(I95-H95,1),IF(J95="","",J95))</f>
        <v>0</v>
      </c>
      <c r="M95" s="32">
        <f>IF(K95="","",IF(L95="Yes",ROUND(K95*2,1),K95))</f>
        <v>0</v>
      </c>
      <c r="N95" s="49">
        <f>IF(E95="","",IF(E95="Personal","Personal","Business"))</f>
        <v>0</v>
      </c>
      <c r="O95" s="29">
        <f>IF(B95="","",MileageRate)</f>
        <v>0</v>
      </c>
      <c r="P95" s="29">
        <f>IF(M95="","",IF(N95="Business",ROUND(M95*MileageRate,2),0))</f>
        <v>0</v>
      </c>
      <c r="U95" s="29">
        <f>IF(B95="","",ROUND(IF(P95="",0,P95)+IF(N95="Business",IF(R95="",0,R95)+IF(S95="",0,S95),0),2))</f>
        <v>0</v>
      </c>
      <c r="W95" s="28">
        <f>IF(B95="","",TEXT(B95,"yyyy-mm"))</f>
        <v>0</v>
      </c>
      <c r="X95" s="49">
        <f>IF(B95="","",IF(AND(H95&lt;&gt;"",I95&lt;&gt;"",I95&lt;H95),"Check odometer readings",IF(K95="","Action - add distance",IF(E95="","Action - add a purpose","OK"))))</f>
        <v>0</v>
      </c>
    </row>
    <row r="96" spans="1:24">
      <c r="A96" s="46">
        <f>IF(B96="","","TR-"&amp;TEXT(ROW()-4,"0000"))</f>
        <v>0</v>
      </c>
      <c r="K96" s="32">
        <f>IF(AND(H96&lt;&gt;"",I96&lt;&gt;""),ROUND(I96-H96,1),IF(J96="","",J96))</f>
        <v>0</v>
      </c>
      <c r="M96" s="32">
        <f>IF(K96="","",IF(L96="Yes",ROUND(K96*2,1),K96))</f>
        <v>0</v>
      </c>
      <c r="N96" s="49">
        <f>IF(E96="","",IF(E96="Personal","Personal","Business"))</f>
        <v>0</v>
      </c>
      <c r="O96" s="29">
        <f>IF(B96="","",MileageRate)</f>
        <v>0</v>
      </c>
      <c r="P96" s="29">
        <f>IF(M96="","",IF(N96="Business",ROUND(M96*MileageRate,2),0))</f>
        <v>0</v>
      </c>
      <c r="U96" s="29">
        <f>IF(B96="","",ROUND(IF(P96="",0,P96)+IF(N96="Business",IF(R96="",0,R96)+IF(S96="",0,S96),0),2))</f>
        <v>0</v>
      </c>
      <c r="W96" s="28">
        <f>IF(B96="","",TEXT(B96,"yyyy-mm"))</f>
        <v>0</v>
      </c>
      <c r="X96" s="49">
        <f>IF(B96="","",IF(AND(H96&lt;&gt;"",I96&lt;&gt;"",I96&lt;H96),"Check odometer readings",IF(K96="","Action - add distance",IF(E96="","Action - add a purpose","OK"))))</f>
        <v>0</v>
      </c>
    </row>
    <row r="97" spans="1:24">
      <c r="A97" s="46">
        <f>IF(B97="","","TR-"&amp;TEXT(ROW()-4,"0000"))</f>
        <v>0</v>
      </c>
      <c r="K97" s="32">
        <f>IF(AND(H97&lt;&gt;"",I97&lt;&gt;""),ROUND(I97-H97,1),IF(J97="","",J97))</f>
        <v>0</v>
      </c>
      <c r="M97" s="32">
        <f>IF(K97="","",IF(L97="Yes",ROUND(K97*2,1),K97))</f>
        <v>0</v>
      </c>
      <c r="N97" s="49">
        <f>IF(E97="","",IF(E97="Personal","Personal","Business"))</f>
        <v>0</v>
      </c>
      <c r="O97" s="29">
        <f>IF(B97="","",MileageRate)</f>
        <v>0</v>
      </c>
      <c r="P97" s="29">
        <f>IF(M97="","",IF(N97="Business",ROUND(M97*MileageRate,2),0))</f>
        <v>0</v>
      </c>
      <c r="U97" s="29">
        <f>IF(B97="","",ROUND(IF(P97="",0,P97)+IF(N97="Business",IF(R97="",0,R97)+IF(S97="",0,S97),0),2))</f>
        <v>0</v>
      </c>
      <c r="W97" s="28">
        <f>IF(B97="","",TEXT(B97,"yyyy-mm"))</f>
        <v>0</v>
      </c>
      <c r="X97" s="49">
        <f>IF(B97="","",IF(AND(H97&lt;&gt;"",I97&lt;&gt;"",I97&lt;H97),"Check odometer readings",IF(K97="","Action - add distance",IF(E97="","Action - add a purpose","OK"))))</f>
        <v>0</v>
      </c>
    </row>
    <row r="98" spans="1:24">
      <c r="A98" s="46">
        <f>IF(B98="","","TR-"&amp;TEXT(ROW()-4,"0000"))</f>
        <v>0</v>
      </c>
      <c r="K98" s="32">
        <f>IF(AND(H98&lt;&gt;"",I98&lt;&gt;""),ROUND(I98-H98,1),IF(J98="","",J98))</f>
        <v>0</v>
      </c>
      <c r="M98" s="32">
        <f>IF(K98="","",IF(L98="Yes",ROUND(K98*2,1),K98))</f>
        <v>0</v>
      </c>
      <c r="N98" s="49">
        <f>IF(E98="","",IF(E98="Personal","Personal","Business"))</f>
        <v>0</v>
      </c>
      <c r="O98" s="29">
        <f>IF(B98="","",MileageRate)</f>
        <v>0</v>
      </c>
      <c r="P98" s="29">
        <f>IF(M98="","",IF(N98="Business",ROUND(M98*MileageRate,2),0))</f>
        <v>0</v>
      </c>
      <c r="U98" s="29">
        <f>IF(B98="","",ROUND(IF(P98="",0,P98)+IF(N98="Business",IF(R98="",0,R98)+IF(S98="",0,S98),0),2))</f>
        <v>0</v>
      </c>
      <c r="W98" s="28">
        <f>IF(B98="","",TEXT(B98,"yyyy-mm"))</f>
        <v>0</v>
      </c>
      <c r="X98" s="49">
        <f>IF(B98="","",IF(AND(H98&lt;&gt;"",I98&lt;&gt;"",I98&lt;H98),"Check odometer readings",IF(K98="","Action - add distance",IF(E98="","Action - add a purpose","OK"))))</f>
        <v>0</v>
      </c>
    </row>
    <row r="99" spans="1:24">
      <c r="A99" s="46">
        <f>IF(B99="","","TR-"&amp;TEXT(ROW()-4,"0000"))</f>
        <v>0</v>
      </c>
      <c r="K99" s="32">
        <f>IF(AND(H99&lt;&gt;"",I99&lt;&gt;""),ROUND(I99-H99,1),IF(J99="","",J99))</f>
        <v>0</v>
      </c>
      <c r="M99" s="32">
        <f>IF(K99="","",IF(L99="Yes",ROUND(K99*2,1),K99))</f>
        <v>0</v>
      </c>
      <c r="N99" s="49">
        <f>IF(E99="","",IF(E99="Personal","Personal","Business"))</f>
        <v>0</v>
      </c>
      <c r="O99" s="29">
        <f>IF(B99="","",MileageRate)</f>
        <v>0</v>
      </c>
      <c r="P99" s="29">
        <f>IF(M99="","",IF(N99="Business",ROUND(M99*MileageRate,2),0))</f>
        <v>0</v>
      </c>
      <c r="U99" s="29">
        <f>IF(B99="","",ROUND(IF(P99="",0,P99)+IF(N99="Business",IF(R99="",0,R99)+IF(S99="",0,S99),0),2))</f>
        <v>0</v>
      </c>
      <c r="W99" s="28">
        <f>IF(B99="","",TEXT(B99,"yyyy-mm"))</f>
        <v>0</v>
      </c>
      <c r="X99" s="49">
        <f>IF(B99="","",IF(AND(H99&lt;&gt;"",I99&lt;&gt;"",I99&lt;H99),"Check odometer readings",IF(K99="","Action - add distance",IF(E99="","Action - add a purpose","OK"))))</f>
        <v>0</v>
      </c>
    </row>
    <row r="100" spans="1:24">
      <c r="A100" s="46">
        <f>IF(B100="","","TR-"&amp;TEXT(ROW()-4,"0000"))</f>
        <v>0</v>
      </c>
      <c r="K100" s="32">
        <f>IF(AND(H100&lt;&gt;"",I100&lt;&gt;""),ROUND(I100-H100,1),IF(J100="","",J100))</f>
        <v>0</v>
      </c>
      <c r="M100" s="32">
        <f>IF(K100="","",IF(L100="Yes",ROUND(K100*2,1),K100))</f>
        <v>0</v>
      </c>
      <c r="N100" s="49">
        <f>IF(E100="","",IF(E100="Personal","Personal","Business"))</f>
        <v>0</v>
      </c>
      <c r="O100" s="29">
        <f>IF(B100="","",MileageRate)</f>
        <v>0</v>
      </c>
      <c r="P100" s="29">
        <f>IF(M100="","",IF(N100="Business",ROUND(M100*MileageRate,2),0))</f>
        <v>0</v>
      </c>
      <c r="U100" s="29">
        <f>IF(B100="","",ROUND(IF(P100="",0,P100)+IF(N100="Business",IF(R100="",0,R100)+IF(S100="",0,S100),0),2))</f>
        <v>0</v>
      </c>
      <c r="W100" s="28">
        <f>IF(B100="","",TEXT(B100,"yyyy-mm"))</f>
        <v>0</v>
      </c>
      <c r="X100" s="49">
        <f>IF(B100="","",IF(AND(H100&lt;&gt;"",I100&lt;&gt;"",I100&lt;H100),"Check odometer readings",IF(K100="","Action - add distance",IF(E100="","Action - add a purpose","OK"))))</f>
        <v>0</v>
      </c>
    </row>
    <row r="101" spans="1:24">
      <c r="A101" s="46">
        <f>IF(B101="","","TR-"&amp;TEXT(ROW()-4,"0000"))</f>
        <v>0</v>
      </c>
      <c r="K101" s="32">
        <f>IF(AND(H101&lt;&gt;"",I101&lt;&gt;""),ROUND(I101-H101,1),IF(J101="","",J101))</f>
        <v>0</v>
      </c>
      <c r="M101" s="32">
        <f>IF(K101="","",IF(L101="Yes",ROUND(K101*2,1),K101))</f>
        <v>0</v>
      </c>
      <c r="N101" s="49">
        <f>IF(E101="","",IF(E101="Personal","Personal","Business"))</f>
        <v>0</v>
      </c>
      <c r="O101" s="29">
        <f>IF(B101="","",MileageRate)</f>
        <v>0</v>
      </c>
      <c r="P101" s="29">
        <f>IF(M101="","",IF(N101="Business",ROUND(M101*MileageRate,2),0))</f>
        <v>0</v>
      </c>
      <c r="U101" s="29">
        <f>IF(B101="","",ROUND(IF(P101="",0,P101)+IF(N101="Business",IF(R101="",0,R101)+IF(S101="",0,S101),0),2))</f>
        <v>0</v>
      </c>
      <c r="W101" s="28">
        <f>IF(B101="","",TEXT(B101,"yyyy-mm"))</f>
        <v>0</v>
      </c>
      <c r="X101" s="49">
        <f>IF(B101="","",IF(AND(H101&lt;&gt;"",I101&lt;&gt;"",I101&lt;H101),"Check odometer readings",IF(K101="","Action - add distance",IF(E101="","Action - add a purpose","OK"))))</f>
        <v>0</v>
      </c>
    </row>
    <row r="102" spans="1:24">
      <c r="A102" s="46">
        <f>IF(B102="","","TR-"&amp;TEXT(ROW()-4,"0000"))</f>
        <v>0</v>
      </c>
      <c r="K102" s="32">
        <f>IF(AND(H102&lt;&gt;"",I102&lt;&gt;""),ROUND(I102-H102,1),IF(J102="","",J102))</f>
        <v>0</v>
      </c>
      <c r="M102" s="32">
        <f>IF(K102="","",IF(L102="Yes",ROUND(K102*2,1),K102))</f>
        <v>0</v>
      </c>
      <c r="N102" s="49">
        <f>IF(E102="","",IF(E102="Personal","Personal","Business"))</f>
        <v>0</v>
      </c>
      <c r="O102" s="29">
        <f>IF(B102="","",MileageRate)</f>
        <v>0</v>
      </c>
      <c r="P102" s="29">
        <f>IF(M102="","",IF(N102="Business",ROUND(M102*MileageRate,2),0))</f>
        <v>0</v>
      </c>
      <c r="U102" s="29">
        <f>IF(B102="","",ROUND(IF(P102="",0,P102)+IF(N102="Business",IF(R102="",0,R102)+IF(S102="",0,S102),0),2))</f>
        <v>0</v>
      </c>
      <c r="W102" s="28">
        <f>IF(B102="","",TEXT(B102,"yyyy-mm"))</f>
        <v>0</v>
      </c>
      <c r="X102" s="49">
        <f>IF(B102="","",IF(AND(H102&lt;&gt;"",I102&lt;&gt;"",I102&lt;H102),"Check odometer readings",IF(K102="","Action - add distance",IF(E102="","Action - add a purpose","OK"))))</f>
        <v>0</v>
      </c>
    </row>
    <row r="103" spans="1:24">
      <c r="A103" s="46">
        <f>IF(B103="","","TR-"&amp;TEXT(ROW()-4,"0000"))</f>
        <v>0</v>
      </c>
      <c r="K103" s="32">
        <f>IF(AND(H103&lt;&gt;"",I103&lt;&gt;""),ROUND(I103-H103,1),IF(J103="","",J103))</f>
        <v>0</v>
      </c>
      <c r="M103" s="32">
        <f>IF(K103="","",IF(L103="Yes",ROUND(K103*2,1),K103))</f>
        <v>0</v>
      </c>
      <c r="N103" s="49">
        <f>IF(E103="","",IF(E103="Personal","Personal","Business"))</f>
        <v>0</v>
      </c>
      <c r="O103" s="29">
        <f>IF(B103="","",MileageRate)</f>
        <v>0</v>
      </c>
      <c r="P103" s="29">
        <f>IF(M103="","",IF(N103="Business",ROUND(M103*MileageRate,2),0))</f>
        <v>0</v>
      </c>
      <c r="U103" s="29">
        <f>IF(B103="","",ROUND(IF(P103="",0,P103)+IF(N103="Business",IF(R103="",0,R103)+IF(S103="",0,S103),0),2))</f>
        <v>0</v>
      </c>
      <c r="W103" s="28">
        <f>IF(B103="","",TEXT(B103,"yyyy-mm"))</f>
        <v>0</v>
      </c>
      <c r="X103" s="49">
        <f>IF(B103="","",IF(AND(H103&lt;&gt;"",I103&lt;&gt;"",I103&lt;H103),"Check odometer readings",IF(K103="","Action - add distance",IF(E103="","Action - add a purpose","OK"))))</f>
        <v>0</v>
      </c>
    </row>
    <row r="104" spans="1:24">
      <c r="A104" s="46">
        <f>IF(B104="","","TR-"&amp;TEXT(ROW()-4,"0000"))</f>
        <v>0</v>
      </c>
      <c r="K104" s="32">
        <f>IF(AND(H104&lt;&gt;"",I104&lt;&gt;""),ROUND(I104-H104,1),IF(J104="","",J104))</f>
        <v>0</v>
      </c>
      <c r="M104" s="32">
        <f>IF(K104="","",IF(L104="Yes",ROUND(K104*2,1),K104))</f>
        <v>0</v>
      </c>
      <c r="N104" s="49">
        <f>IF(E104="","",IF(E104="Personal","Personal","Business"))</f>
        <v>0</v>
      </c>
      <c r="O104" s="29">
        <f>IF(B104="","",MileageRate)</f>
        <v>0</v>
      </c>
      <c r="P104" s="29">
        <f>IF(M104="","",IF(N104="Business",ROUND(M104*MileageRate,2),0))</f>
        <v>0</v>
      </c>
      <c r="U104" s="29">
        <f>IF(B104="","",ROUND(IF(P104="",0,P104)+IF(N104="Business",IF(R104="",0,R104)+IF(S104="",0,S104),0),2))</f>
        <v>0</v>
      </c>
      <c r="W104" s="28">
        <f>IF(B104="","",TEXT(B104,"yyyy-mm"))</f>
        <v>0</v>
      </c>
      <c r="X104" s="49">
        <f>IF(B104="","",IF(AND(H104&lt;&gt;"",I104&lt;&gt;"",I104&lt;H104),"Check odometer readings",IF(K104="","Action - add distance",IF(E104="","Action - add a purpose","OK"))))</f>
        <v>0</v>
      </c>
    </row>
    <row r="105" spans="1:24">
      <c r="A105" s="46">
        <f>IF(B105="","","TR-"&amp;TEXT(ROW()-4,"0000"))</f>
        <v>0</v>
      </c>
      <c r="K105" s="32">
        <f>IF(AND(H105&lt;&gt;"",I105&lt;&gt;""),ROUND(I105-H105,1),IF(J105="","",J105))</f>
        <v>0</v>
      </c>
      <c r="M105" s="32">
        <f>IF(K105="","",IF(L105="Yes",ROUND(K105*2,1),K105))</f>
        <v>0</v>
      </c>
      <c r="N105" s="49">
        <f>IF(E105="","",IF(E105="Personal","Personal","Business"))</f>
        <v>0</v>
      </c>
      <c r="O105" s="29">
        <f>IF(B105="","",MileageRate)</f>
        <v>0</v>
      </c>
      <c r="P105" s="29">
        <f>IF(M105="","",IF(N105="Business",ROUND(M105*MileageRate,2),0))</f>
        <v>0</v>
      </c>
      <c r="U105" s="29">
        <f>IF(B105="","",ROUND(IF(P105="",0,P105)+IF(N105="Business",IF(R105="",0,R105)+IF(S105="",0,S105),0),2))</f>
        <v>0</v>
      </c>
      <c r="W105" s="28">
        <f>IF(B105="","",TEXT(B105,"yyyy-mm"))</f>
        <v>0</v>
      </c>
      <c r="X105" s="49">
        <f>IF(B105="","",IF(AND(H105&lt;&gt;"",I105&lt;&gt;"",I105&lt;H105),"Check odometer readings",IF(K105="","Action - add distance",IF(E105="","Action - add a purpose","OK"))))</f>
        <v>0</v>
      </c>
    </row>
    <row r="106" spans="1:24">
      <c r="A106" s="46">
        <f>IF(B106="","","TR-"&amp;TEXT(ROW()-4,"0000"))</f>
        <v>0</v>
      </c>
      <c r="K106" s="32">
        <f>IF(AND(H106&lt;&gt;"",I106&lt;&gt;""),ROUND(I106-H106,1),IF(J106="","",J106))</f>
        <v>0</v>
      </c>
      <c r="M106" s="32">
        <f>IF(K106="","",IF(L106="Yes",ROUND(K106*2,1),K106))</f>
        <v>0</v>
      </c>
      <c r="N106" s="49">
        <f>IF(E106="","",IF(E106="Personal","Personal","Business"))</f>
        <v>0</v>
      </c>
      <c r="O106" s="29">
        <f>IF(B106="","",MileageRate)</f>
        <v>0</v>
      </c>
      <c r="P106" s="29">
        <f>IF(M106="","",IF(N106="Business",ROUND(M106*MileageRate,2),0))</f>
        <v>0</v>
      </c>
      <c r="U106" s="29">
        <f>IF(B106="","",ROUND(IF(P106="",0,P106)+IF(N106="Business",IF(R106="",0,R106)+IF(S106="",0,S106),0),2))</f>
        <v>0</v>
      </c>
      <c r="W106" s="28">
        <f>IF(B106="","",TEXT(B106,"yyyy-mm"))</f>
        <v>0</v>
      </c>
      <c r="X106" s="49">
        <f>IF(B106="","",IF(AND(H106&lt;&gt;"",I106&lt;&gt;"",I106&lt;H106),"Check odometer readings",IF(K106="","Action - add distance",IF(E106="","Action - add a purpose","OK"))))</f>
        <v>0</v>
      </c>
    </row>
    <row r="107" spans="1:24">
      <c r="A107" s="46">
        <f>IF(B107="","","TR-"&amp;TEXT(ROW()-4,"0000"))</f>
        <v>0</v>
      </c>
      <c r="K107" s="32">
        <f>IF(AND(H107&lt;&gt;"",I107&lt;&gt;""),ROUND(I107-H107,1),IF(J107="","",J107))</f>
        <v>0</v>
      </c>
      <c r="M107" s="32">
        <f>IF(K107="","",IF(L107="Yes",ROUND(K107*2,1),K107))</f>
        <v>0</v>
      </c>
      <c r="N107" s="49">
        <f>IF(E107="","",IF(E107="Personal","Personal","Business"))</f>
        <v>0</v>
      </c>
      <c r="O107" s="29">
        <f>IF(B107="","",MileageRate)</f>
        <v>0</v>
      </c>
      <c r="P107" s="29">
        <f>IF(M107="","",IF(N107="Business",ROUND(M107*MileageRate,2),0))</f>
        <v>0</v>
      </c>
      <c r="U107" s="29">
        <f>IF(B107="","",ROUND(IF(P107="",0,P107)+IF(N107="Business",IF(R107="",0,R107)+IF(S107="",0,S107),0),2))</f>
        <v>0</v>
      </c>
      <c r="W107" s="28">
        <f>IF(B107="","",TEXT(B107,"yyyy-mm"))</f>
        <v>0</v>
      </c>
      <c r="X107" s="49">
        <f>IF(B107="","",IF(AND(H107&lt;&gt;"",I107&lt;&gt;"",I107&lt;H107),"Check odometer readings",IF(K107="","Action - add distance",IF(E107="","Action - add a purpose","OK"))))</f>
        <v>0</v>
      </c>
    </row>
    <row r="108" spans="1:24">
      <c r="A108" s="46">
        <f>IF(B108="","","TR-"&amp;TEXT(ROW()-4,"0000"))</f>
        <v>0</v>
      </c>
      <c r="K108" s="32">
        <f>IF(AND(H108&lt;&gt;"",I108&lt;&gt;""),ROUND(I108-H108,1),IF(J108="","",J108))</f>
        <v>0</v>
      </c>
      <c r="M108" s="32">
        <f>IF(K108="","",IF(L108="Yes",ROUND(K108*2,1),K108))</f>
        <v>0</v>
      </c>
      <c r="N108" s="49">
        <f>IF(E108="","",IF(E108="Personal","Personal","Business"))</f>
        <v>0</v>
      </c>
      <c r="O108" s="29">
        <f>IF(B108="","",MileageRate)</f>
        <v>0</v>
      </c>
      <c r="P108" s="29">
        <f>IF(M108="","",IF(N108="Business",ROUND(M108*MileageRate,2),0))</f>
        <v>0</v>
      </c>
      <c r="U108" s="29">
        <f>IF(B108="","",ROUND(IF(P108="",0,P108)+IF(N108="Business",IF(R108="",0,R108)+IF(S108="",0,S108),0),2))</f>
        <v>0</v>
      </c>
      <c r="W108" s="28">
        <f>IF(B108="","",TEXT(B108,"yyyy-mm"))</f>
        <v>0</v>
      </c>
      <c r="X108" s="49">
        <f>IF(B108="","",IF(AND(H108&lt;&gt;"",I108&lt;&gt;"",I108&lt;H108),"Check odometer readings",IF(K108="","Action - add distance",IF(E108="","Action - add a purpose","OK"))))</f>
        <v>0</v>
      </c>
    </row>
    <row r="109" spans="1:24">
      <c r="A109" s="46">
        <f>IF(B109="","","TR-"&amp;TEXT(ROW()-4,"0000"))</f>
        <v>0</v>
      </c>
      <c r="K109" s="32">
        <f>IF(AND(H109&lt;&gt;"",I109&lt;&gt;""),ROUND(I109-H109,1),IF(J109="","",J109))</f>
        <v>0</v>
      </c>
      <c r="M109" s="32">
        <f>IF(K109="","",IF(L109="Yes",ROUND(K109*2,1),K109))</f>
        <v>0</v>
      </c>
      <c r="N109" s="49">
        <f>IF(E109="","",IF(E109="Personal","Personal","Business"))</f>
        <v>0</v>
      </c>
      <c r="O109" s="29">
        <f>IF(B109="","",MileageRate)</f>
        <v>0</v>
      </c>
      <c r="P109" s="29">
        <f>IF(M109="","",IF(N109="Business",ROUND(M109*MileageRate,2),0))</f>
        <v>0</v>
      </c>
      <c r="U109" s="29">
        <f>IF(B109="","",ROUND(IF(P109="",0,P109)+IF(N109="Business",IF(R109="",0,R109)+IF(S109="",0,S109),0),2))</f>
        <v>0</v>
      </c>
      <c r="W109" s="28">
        <f>IF(B109="","",TEXT(B109,"yyyy-mm"))</f>
        <v>0</v>
      </c>
      <c r="X109" s="49">
        <f>IF(B109="","",IF(AND(H109&lt;&gt;"",I109&lt;&gt;"",I109&lt;H109),"Check odometer readings",IF(K109="","Action - add distance",IF(E109="","Action - add a purpose","OK"))))</f>
        <v>0</v>
      </c>
    </row>
    <row r="110" spans="1:24">
      <c r="A110" s="46">
        <f>IF(B110="","","TR-"&amp;TEXT(ROW()-4,"0000"))</f>
        <v>0</v>
      </c>
      <c r="K110" s="32">
        <f>IF(AND(H110&lt;&gt;"",I110&lt;&gt;""),ROUND(I110-H110,1),IF(J110="","",J110))</f>
        <v>0</v>
      </c>
      <c r="M110" s="32">
        <f>IF(K110="","",IF(L110="Yes",ROUND(K110*2,1),K110))</f>
        <v>0</v>
      </c>
      <c r="N110" s="49">
        <f>IF(E110="","",IF(E110="Personal","Personal","Business"))</f>
        <v>0</v>
      </c>
      <c r="O110" s="29">
        <f>IF(B110="","",MileageRate)</f>
        <v>0</v>
      </c>
      <c r="P110" s="29">
        <f>IF(M110="","",IF(N110="Business",ROUND(M110*MileageRate,2),0))</f>
        <v>0</v>
      </c>
      <c r="U110" s="29">
        <f>IF(B110="","",ROUND(IF(P110="",0,P110)+IF(N110="Business",IF(R110="",0,R110)+IF(S110="",0,S110),0),2))</f>
        <v>0</v>
      </c>
      <c r="W110" s="28">
        <f>IF(B110="","",TEXT(B110,"yyyy-mm"))</f>
        <v>0</v>
      </c>
      <c r="X110" s="49">
        <f>IF(B110="","",IF(AND(H110&lt;&gt;"",I110&lt;&gt;"",I110&lt;H110),"Check odometer readings",IF(K110="","Action - add distance",IF(E110="","Action - add a purpose","OK"))))</f>
        <v>0</v>
      </c>
    </row>
    <row r="111" spans="1:24">
      <c r="A111" s="46">
        <f>IF(B111="","","TR-"&amp;TEXT(ROW()-4,"0000"))</f>
        <v>0</v>
      </c>
      <c r="K111" s="32">
        <f>IF(AND(H111&lt;&gt;"",I111&lt;&gt;""),ROUND(I111-H111,1),IF(J111="","",J111))</f>
        <v>0</v>
      </c>
      <c r="M111" s="32">
        <f>IF(K111="","",IF(L111="Yes",ROUND(K111*2,1),K111))</f>
        <v>0</v>
      </c>
      <c r="N111" s="49">
        <f>IF(E111="","",IF(E111="Personal","Personal","Business"))</f>
        <v>0</v>
      </c>
      <c r="O111" s="29">
        <f>IF(B111="","",MileageRate)</f>
        <v>0</v>
      </c>
      <c r="P111" s="29">
        <f>IF(M111="","",IF(N111="Business",ROUND(M111*MileageRate,2),0))</f>
        <v>0</v>
      </c>
      <c r="U111" s="29">
        <f>IF(B111="","",ROUND(IF(P111="",0,P111)+IF(N111="Business",IF(R111="",0,R111)+IF(S111="",0,S111),0),2))</f>
        <v>0</v>
      </c>
      <c r="W111" s="28">
        <f>IF(B111="","",TEXT(B111,"yyyy-mm"))</f>
        <v>0</v>
      </c>
      <c r="X111" s="49">
        <f>IF(B111="","",IF(AND(H111&lt;&gt;"",I111&lt;&gt;"",I111&lt;H111),"Check odometer readings",IF(K111="","Action - add distance",IF(E111="","Action - add a purpose","OK"))))</f>
        <v>0</v>
      </c>
    </row>
    <row r="112" spans="1:24">
      <c r="A112" s="46">
        <f>IF(B112="","","TR-"&amp;TEXT(ROW()-4,"0000"))</f>
        <v>0</v>
      </c>
      <c r="K112" s="32">
        <f>IF(AND(H112&lt;&gt;"",I112&lt;&gt;""),ROUND(I112-H112,1),IF(J112="","",J112))</f>
        <v>0</v>
      </c>
      <c r="M112" s="32">
        <f>IF(K112="","",IF(L112="Yes",ROUND(K112*2,1),K112))</f>
        <v>0</v>
      </c>
      <c r="N112" s="49">
        <f>IF(E112="","",IF(E112="Personal","Personal","Business"))</f>
        <v>0</v>
      </c>
      <c r="O112" s="29">
        <f>IF(B112="","",MileageRate)</f>
        <v>0</v>
      </c>
      <c r="P112" s="29">
        <f>IF(M112="","",IF(N112="Business",ROUND(M112*MileageRate,2),0))</f>
        <v>0</v>
      </c>
      <c r="U112" s="29">
        <f>IF(B112="","",ROUND(IF(P112="",0,P112)+IF(N112="Business",IF(R112="",0,R112)+IF(S112="",0,S112),0),2))</f>
        <v>0</v>
      </c>
      <c r="W112" s="28">
        <f>IF(B112="","",TEXT(B112,"yyyy-mm"))</f>
        <v>0</v>
      </c>
      <c r="X112" s="49">
        <f>IF(B112="","",IF(AND(H112&lt;&gt;"",I112&lt;&gt;"",I112&lt;H112),"Check odometer readings",IF(K112="","Action - add distance",IF(E112="","Action - add a purpose","OK"))))</f>
        <v>0</v>
      </c>
    </row>
    <row r="113" spans="1:24">
      <c r="A113" s="46">
        <f>IF(B113="","","TR-"&amp;TEXT(ROW()-4,"0000"))</f>
        <v>0</v>
      </c>
      <c r="K113" s="32">
        <f>IF(AND(H113&lt;&gt;"",I113&lt;&gt;""),ROUND(I113-H113,1),IF(J113="","",J113))</f>
        <v>0</v>
      </c>
      <c r="M113" s="32">
        <f>IF(K113="","",IF(L113="Yes",ROUND(K113*2,1),K113))</f>
        <v>0</v>
      </c>
      <c r="N113" s="49">
        <f>IF(E113="","",IF(E113="Personal","Personal","Business"))</f>
        <v>0</v>
      </c>
      <c r="O113" s="29">
        <f>IF(B113="","",MileageRate)</f>
        <v>0</v>
      </c>
      <c r="P113" s="29">
        <f>IF(M113="","",IF(N113="Business",ROUND(M113*MileageRate,2),0))</f>
        <v>0</v>
      </c>
      <c r="U113" s="29">
        <f>IF(B113="","",ROUND(IF(P113="",0,P113)+IF(N113="Business",IF(R113="",0,R113)+IF(S113="",0,S113),0),2))</f>
        <v>0</v>
      </c>
      <c r="W113" s="28">
        <f>IF(B113="","",TEXT(B113,"yyyy-mm"))</f>
        <v>0</v>
      </c>
      <c r="X113" s="49">
        <f>IF(B113="","",IF(AND(H113&lt;&gt;"",I113&lt;&gt;"",I113&lt;H113),"Check odometer readings",IF(K113="","Action - add distance",IF(E113="","Action - add a purpose","OK"))))</f>
        <v>0</v>
      </c>
    </row>
    <row r="114" spans="1:24">
      <c r="A114" s="46">
        <f>IF(B114="","","TR-"&amp;TEXT(ROW()-4,"0000"))</f>
        <v>0</v>
      </c>
      <c r="K114" s="32">
        <f>IF(AND(H114&lt;&gt;"",I114&lt;&gt;""),ROUND(I114-H114,1),IF(J114="","",J114))</f>
        <v>0</v>
      </c>
      <c r="M114" s="32">
        <f>IF(K114="","",IF(L114="Yes",ROUND(K114*2,1),K114))</f>
        <v>0</v>
      </c>
      <c r="N114" s="49">
        <f>IF(E114="","",IF(E114="Personal","Personal","Business"))</f>
        <v>0</v>
      </c>
      <c r="O114" s="29">
        <f>IF(B114="","",MileageRate)</f>
        <v>0</v>
      </c>
      <c r="P114" s="29">
        <f>IF(M114="","",IF(N114="Business",ROUND(M114*MileageRate,2),0))</f>
        <v>0</v>
      </c>
      <c r="U114" s="29">
        <f>IF(B114="","",ROUND(IF(P114="",0,P114)+IF(N114="Business",IF(R114="",0,R114)+IF(S114="",0,S114),0),2))</f>
        <v>0</v>
      </c>
      <c r="W114" s="28">
        <f>IF(B114="","",TEXT(B114,"yyyy-mm"))</f>
        <v>0</v>
      </c>
      <c r="X114" s="49">
        <f>IF(B114="","",IF(AND(H114&lt;&gt;"",I114&lt;&gt;"",I114&lt;H114),"Check odometer readings",IF(K114="","Action - add distance",IF(E114="","Action - add a purpose","OK"))))</f>
        <v>0</v>
      </c>
    </row>
    <row r="115" spans="1:24">
      <c r="A115" s="46">
        <f>IF(B115="","","TR-"&amp;TEXT(ROW()-4,"0000"))</f>
        <v>0</v>
      </c>
      <c r="K115" s="32">
        <f>IF(AND(H115&lt;&gt;"",I115&lt;&gt;""),ROUND(I115-H115,1),IF(J115="","",J115))</f>
        <v>0</v>
      </c>
      <c r="M115" s="32">
        <f>IF(K115="","",IF(L115="Yes",ROUND(K115*2,1),K115))</f>
        <v>0</v>
      </c>
      <c r="N115" s="49">
        <f>IF(E115="","",IF(E115="Personal","Personal","Business"))</f>
        <v>0</v>
      </c>
      <c r="O115" s="29">
        <f>IF(B115="","",MileageRate)</f>
        <v>0</v>
      </c>
      <c r="P115" s="29">
        <f>IF(M115="","",IF(N115="Business",ROUND(M115*MileageRate,2),0))</f>
        <v>0</v>
      </c>
      <c r="U115" s="29">
        <f>IF(B115="","",ROUND(IF(P115="",0,P115)+IF(N115="Business",IF(R115="",0,R115)+IF(S115="",0,S115),0),2))</f>
        <v>0</v>
      </c>
      <c r="W115" s="28">
        <f>IF(B115="","",TEXT(B115,"yyyy-mm"))</f>
        <v>0</v>
      </c>
      <c r="X115" s="49">
        <f>IF(B115="","",IF(AND(H115&lt;&gt;"",I115&lt;&gt;"",I115&lt;H115),"Check odometer readings",IF(K115="","Action - add distance",IF(E115="","Action - add a purpose","OK"))))</f>
        <v>0</v>
      </c>
    </row>
    <row r="116" spans="1:24">
      <c r="A116" s="46">
        <f>IF(B116="","","TR-"&amp;TEXT(ROW()-4,"0000"))</f>
        <v>0</v>
      </c>
      <c r="K116" s="32">
        <f>IF(AND(H116&lt;&gt;"",I116&lt;&gt;""),ROUND(I116-H116,1),IF(J116="","",J116))</f>
        <v>0</v>
      </c>
      <c r="M116" s="32">
        <f>IF(K116="","",IF(L116="Yes",ROUND(K116*2,1),K116))</f>
        <v>0</v>
      </c>
      <c r="N116" s="49">
        <f>IF(E116="","",IF(E116="Personal","Personal","Business"))</f>
        <v>0</v>
      </c>
      <c r="O116" s="29">
        <f>IF(B116="","",MileageRate)</f>
        <v>0</v>
      </c>
      <c r="P116" s="29">
        <f>IF(M116="","",IF(N116="Business",ROUND(M116*MileageRate,2),0))</f>
        <v>0</v>
      </c>
      <c r="U116" s="29">
        <f>IF(B116="","",ROUND(IF(P116="",0,P116)+IF(N116="Business",IF(R116="",0,R116)+IF(S116="",0,S116),0),2))</f>
        <v>0</v>
      </c>
      <c r="W116" s="28">
        <f>IF(B116="","",TEXT(B116,"yyyy-mm"))</f>
        <v>0</v>
      </c>
      <c r="X116" s="49">
        <f>IF(B116="","",IF(AND(H116&lt;&gt;"",I116&lt;&gt;"",I116&lt;H116),"Check odometer readings",IF(K116="","Action - add distance",IF(E116="","Action - add a purpose","OK"))))</f>
        <v>0</v>
      </c>
    </row>
    <row r="117" spans="1:24">
      <c r="A117" s="46">
        <f>IF(B117="","","TR-"&amp;TEXT(ROW()-4,"0000"))</f>
        <v>0</v>
      </c>
      <c r="K117" s="32">
        <f>IF(AND(H117&lt;&gt;"",I117&lt;&gt;""),ROUND(I117-H117,1),IF(J117="","",J117))</f>
        <v>0</v>
      </c>
      <c r="M117" s="32">
        <f>IF(K117="","",IF(L117="Yes",ROUND(K117*2,1),K117))</f>
        <v>0</v>
      </c>
      <c r="N117" s="49">
        <f>IF(E117="","",IF(E117="Personal","Personal","Business"))</f>
        <v>0</v>
      </c>
      <c r="O117" s="29">
        <f>IF(B117="","",MileageRate)</f>
        <v>0</v>
      </c>
      <c r="P117" s="29">
        <f>IF(M117="","",IF(N117="Business",ROUND(M117*MileageRate,2),0))</f>
        <v>0</v>
      </c>
      <c r="U117" s="29">
        <f>IF(B117="","",ROUND(IF(P117="",0,P117)+IF(N117="Business",IF(R117="",0,R117)+IF(S117="",0,S117),0),2))</f>
        <v>0</v>
      </c>
      <c r="W117" s="28">
        <f>IF(B117="","",TEXT(B117,"yyyy-mm"))</f>
        <v>0</v>
      </c>
      <c r="X117" s="49">
        <f>IF(B117="","",IF(AND(H117&lt;&gt;"",I117&lt;&gt;"",I117&lt;H117),"Check odometer readings",IF(K117="","Action - add distance",IF(E117="","Action - add a purpose","OK"))))</f>
        <v>0</v>
      </c>
    </row>
    <row r="118" spans="1:24">
      <c r="A118" s="46">
        <f>IF(B118="","","TR-"&amp;TEXT(ROW()-4,"0000"))</f>
        <v>0</v>
      </c>
      <c r="K118" s="32">
        <f>IF(AND(H118&lt;&gt;"",I118&lt;&gt;""),ROUND(I118-H118,1),IF(J118="","",J118))</f>
        <v>0</v>
      </c>
      <c r="M118" s="32">
        <f>IF(K118="","",IF(L118="Yes",ROUND(K118*2,1),K118))</f>
        <v>0</v>
      </c>
      <c r="N118" s="49">
        <f>IF(E118="","",IF(E118="Personal","Personal","Business"))</f>
        <v>0</v>
      </c>
      <c r="O118" s="29">
        <f>IF(B118="","",MileageRate)</f>
        <v>0</v>
      </c>
      <c r="P118" s="29">
        <f>IF(M118="","",IF(N118="Business",ROUND(M118*MileageRate,2),0))</f>
        <v>0</v>
      </c>
      <c r="U118" s="29">
        <f>IF(B118="","",ROUND(IF(P118="",0,P118)+IF(N118="Business",IF(R118="",0,R118)+IF(S118="",0,S118),0),2))</f>
        <v>0</v>
      </c>
      <c r="W118" s="28">
        <f>IF(B118="","",TEXT(B118,"yyyy-mm"))</f>
        <v>0</v>
      </c>
      <c r="X118" s="49">
        <f>IF(B118="","",IF(AND(H118&lt;&gt;"",I118&lt;&gt;"",I118&lt;H118),"Check odometer readings",IF(K118="","Action - add distance",IF(E118="","Action - add a purpose","OK"))))</f>
        <v>0</v>
      </c>
    </row>
    <row r="119" spans="1:24">
      <c r="A119" s="46">
        <f>IF(B119="","","TR-"&amp;TEXT(ROW()-4,"0000"))</f>
        <v>0</v>
      </c>
      <c r="K119" s="32">
        <f>IF(AND(H119&lt;&gt;"",I119&lt;&gt;""),ROUND(I119-H119,1),IF(J119="","",J119))</f>
        <v>0</v>
      </c>
      <c r="M119" s="32">
        <f>IF(K119="","",IF(L119="Yes",ROUND(K119*2,1),K119))</f>
        <v>0</v>
      </c>
      <c r="N119" s="49">
        <f>IF(E119="","",IF(E119="Personal","Personal","Business"))</f>
        <v>0</v>
      </c>
      <c r="O119" s="29">
        <f>IF(B119="","",MileageRate)</f>
        <v>0</v>
      </c>
      <c r="P119" s="29">
        <f>IF(M119="","",IF(N119="Business",ROUND(M119*MileageRate,2),0))</f>
        <v>0</v>
      </c>
      <c r="U119" s="29">
        <f>IF(B119="","",ROUND(IF(P119="",0,P119)+IF(N119="Business",IF(R119="",0,R119)+IF(S119="",0,S119),0),2))</f>
        <v>0</v>
      </c>
      <c r="W119" s="28">
        <f>IF(B119="","",TEXT(B119,"yyyy-mm"))</f>
        <v>0</v>
      </c>
      <c r="X119" s="49">
        <f>IF(B119="","",IF(AND(H119&lt;&gt;"",I119&lt;&gt;"",I119&lt;H119),"Check odometer readings",IF(K119="","Action - add distance",IF(E119="","Action - add a purpose","OK"))))</f>
        <v>0</v>
      </c>
    </row>
    <row r="120" spans="1:24">
      <c r="A120" s="46">
        <f>IF(B120="","","TR-"&amp;TEXT(ROW()-4,"0000"))</f>
        <v>0</v>
      </c>
      <c r="K120" s="32">
        <f>IF(AND(H120&lt;&gt;"",I120&lt;&gt;""),ROUND(I120-H120,1),IF(J120="","",J120))</f>
        <v>0</v>
      </c>
      <c r="M120" s="32">
        <f>IF(K120="","",IF(L120="Yes",ROUND(K120*2,1),K120))</f>
        <v>0</v>
      </c>
      <c r="N120" s="49">
        <f>IF(E120="","",IF(E120="Personal","Personal","Business"))</f>
        <v>0</v>
      </c>
      <c r="O120" s="29">
        <f>IF(B120="","",MileageRate)</f>
        <v>0</v>
      </c>
      <c r="P120" s="29">
        <f>IF(M120="","",IF(N120="Business",ROUND(M120*MileageRate,2),0))</f>
        <v>0</v>
      </c>
      <c r="U120" s="29">
        <f>IF(B120="","",ROUND(IF(P120="",0,P120)+IF(N120="Business",IF(R120="",0,R120)+IF(S120="",0,S120),0),2))</f>
        <v>0</v>
      </c>
      <c r="W120" s="28">
        <f>IF(B120="","",TEXT(B120,"yyyy-mm"))</f>
        <v>0</v>
      </c>
      <c r="X120" s="49">
        <f>IF(B120="","",IF(AND(H120&lt;&gt;"",I120&lt;&gt;"",I120&lt;H120),"Check odometer readings",IF(K120="","Action - add distance",IF(E120="","Action - add a purpose","OK"))))</f>
        <v>0</v>
      </c>
    </row>
    <row r="121" spans="1:24">
      <c r="A121" s="46">
        <f>IF(B121="","","TR-"&amp;TEXT(ROW()-4,"0000"))</f>
        <v>0</v>
      </c>
      <c r="K121" s="32">
        <f>IF(AND(H121&lt;&gt;"",I121&lt;&gt;""),ROUND(I121-H121,1),IF(J121="","",J121))</f>
        <v>0</v>
      </c>
      <c r="M121" s="32">
        <f>IF(K121="","",IF(L121="Yes",ROUND(K121*2,1),K121))</f>
        <v>0</v>
      </c>
      <c r="N121" s="49">
        <f>IF(E121="","",IF(E121="Personal","Personal","Business"))</f>
        <v>0</v>
      </c>
      <c r="O121" s="29">
        <f>IF(B121="","",MileageRate)</f>
        <v>0</v>
      </c>
      <c r="P121" s="29">
        <f>IF(M121="","",IF(N121="Business",ROUND(M121*MileageRate,2),0))</f>
        <v>0</v>
      </c>
      <c r="U121" s="29">
        <f>IF(B121="","",ROUND(IF(P121="",0,P121)+IF(N121="Business",IF(R121="",0,R121)+IF(S121="",0,S121),0),2))</f>
        <v>0</v>
      </c>
      <c r="W121" s="28">
        <f>IF(B121="","",TEXT(B121,"yyyy-mm"))</f>
        <v>0</v>
      </c>
      <c r="X121" s="49">
        <f>IF(B121="","",IF(AND(H121&lt;&gt;"",I121&lt;&gt;"",I121&lt;H121),"Check odometer readings",IF(K121="","Action - add distance",IF(E121="","Action - add a purpose","OK"))))</f>
        <v>0</v>
      </c>
    </row>
    <row r="122" spans="1:24">
      <c r="A122" s="46">
        <f>IF(B122="","","TR-"&amp;TEXT(ROW()-4,"0000"))</f>
        <v>0</v>
      </c>
      <c r="K122" s="32">
        <f>IF(AND(H122&lt;&gt;"",I122&lt;&gt;""),ROUND(I122-H122,1),IF(J122="","",J122))</f>
        <v>0</v>
      </c>
      <c r="M122" s="32">
        <f>IF(K122="","",IF(L122="Yes",ROUND(K122*2,1),K122))</f>
        <v>0</v>
      </c>
      <c r="N122" s="49">
        <f>IF(E122="","",IF(E122="Personal","Personal","Business"))</f>
        <v>0</v>
      </c>
      <c r="O122" s="29">
        <f>IF(B122="","",MileageRate)</f>
        <v>0</v>
      </c>
      <c r="P122" s="29">
        <f>IF(M122="","",IF(N122="Business",ROUND(M122*MileageRate,2),0))</f>
        <v>0</v>
      </c>
      <c r="U122" s="29">
        <f>IF(B122="","",ROUND(IF(P122="",0,P122)+IF(N122="Business",IF(R122="",0,R122)+IF(S122="",0,S122),0),2))</f>
        <v>0</v>
      </c>
      <c r="W122" s="28">
        <f>IF(B122="","",TEXT(B122,"yyyy-mm"))</f>
        <v>0</v>
      </c>
      <c r="X122" s="49">
        <f>IF(B122="","",IF(AND(H122&lt;&gt;"",I122&lt;&gt;"",I122&lt;H122),"Check odometer readings",IF(K122="","Action - add distance",IF(E122="","Action - add a purpose","OK"))))</f>
        <v>0</v>
      </c>
    </row>
    <row r="123" spans="1:24">
      <c r="A123" s="46">
        <f>IF(B123="","","TR-"&amp;TEXT(ROW()-4,"0000"))</f>
        <v>0</v>
      </c>
      <c r="K123" s="32">
        <f>IF(AND(H123&lt;&gt;"",I123&lt;&gt;""),ROUND(I123-H123,1),IF(J123="","",J123))</f>
        <v>0</v>
      </c>
      <c r="M123" s="32">
        <f>IF(K123="","",IF(L123="Yes",ROUND(K123*2,1),K123))</f>
        <v>0</v>
      </c>
      <c r="N123" s="49">
        <f>IF(E123="","",IF(E123="Personal","Personal","Business"))</f>
        <v>0</v>
      </c>
      <c r="O123" s="29">
        <f>IF(B123="","",MileageRate)</f>
        <v>0</v>
      </c>
      <c r="P123" s="29">
        <f>IF(M123="","",IF(N123="Business",ROUND(M123*MileageRate,2),0))</f>
        <v>0</v>
      </c>
      <c r="U123" s="29">
        <f>IF(B123="","",ROUND(IF(P123="",0,P123)+IF(N123="Business",IF(R123="",0,R123)+IF(S123="",0,S123),0),2))</f>
        <v>0</v>
      </c>
      <c r="W123" s="28">
        <f>IF(B123="","",TEXT(B123,"yyyy-mm"))</f>
        <v>0</v>
      </c>
      <c r="X123" s="49">
        <f>IF(B123="","",IF(AND(H123&lt;&gt;"",I123&lt;&gt;"",I123&lt;H123),"Check odometer readings",IF(K123="","Action - add distance",IF(E123="","Action - add a purpose","OK"))))</f>
        <v>0</v>
      </c>
    </row>
    <row r="124" spans="1:24">
      <c r="A124" s="46">
        <f>IF(B124="","","TR-"&amp;TEXT(ROW()-4,"0000"))</f>
        <v>0</v>
      </c>
      <c r="K124" s="32">
        <f>IF(AND(H124&lt;&gt;"",I124&lt;&gt;""),ROUND(I124-H124,1),IF(J124="","",J124))</f>
        <v>0</v>
      </c>
      <c r="M124" s="32">
        <f>IF(K124="","",IF(L124="Yes",ROUND(K124*2,1),K124))</f>
        <v>0</v>
      </c>
      <c r="N124" s="49">
        <f>IF(E124="","",IF(E124="Personal","Personal","Business"))</f>
        <v>0</v>
      </c>
      <c r="O124" s="29">
        <f>IF(B124="","",MileageRate)</f>
        <v>0</v>
      </c>
      <c r="P124" s="29">
        <f>IF(M124="","",IF(N124="Business",ROUND(M124*MileageRate,2),0))</f>
        <v>0</v>
      </c>
      <c r="U124" s="29">
        <f>IF(B124="","",ROUND(IF(P124="",0,P124)+IF(N124="Business",IF(R124="",0,R124)+IF(S124="",0,S124),0),2))</f>
        <v>0</v>
      </c>
      <c r="W124" s="28">
        <f>IF(B124="","",TEXT(B124,"yyyy-mm"))</f>
        <v>0</v>
      </c>
      <c r="X124" s="49">
        <f>IF(B124="","",IF(AND(H124&lt;&gt;"",I124&lt;&gt;"",I124&lt;H124),"Check odometer readings",IF(K124="","Action - add distance",IF(E124="","Action - add a purpose","OK"))))</f>
        <v>0</v>
      </c>
    </row>
    <row r="125" spans="1:24">
      <c r="A125" s="46">
        <f>IF(B125="","","TR-"&amp;TEXT(ROW()-4,"0000"))</f>
        <v>0</v>
      </c>
      <c r="K125" s="32">
        <f>IF(AND(H125&lt;&gt;"",I125&lt;&gt;""),ROUND(I125-H125,1),IF(J125="","",J125))</f>
        <v>0</v>
      </c>
      <c r="M125" s="32">
        <f>IF(K125="","",IF(L125="Yes",ROUND(K125*2,1),K125))</f>
        <v>0</v>
      </c>
      <c r="N125" s="49">
        <f>IF(E125="","",IF(E125="Personal","Personal","Business"))</f>
        <v>0</v>
      </c>
      <c r="O125" s="29">
        <f>IF(B125="","",MileageRate)</f>
        <v>0</v>
      </c>
      <c r="P125" s="29">
        <f>IF(M125="","",IF(N125="Business",ROUND(M125*MileageRate,2),0))</f>
        <v>0</v>
      </c>
      <c r="U125" s="29">
        <f>IF(B125="","",ROUND(IF(P125="",0,P125)+IF(N125="Business",IF(R125="",0,R125)+IF(S125="",0,S125),0),2))</f>
        <v>0</v>
      </c>
      <c r="W125" s="28">
        <f>IF(B125="","",TEXT(B125,"yyyy-mm"))</f>
        <v>0</v>
      </c>
      <c r="X125" s="49">
        <f>IF(B125="","",IF(AND(H125&lt;&gt;"",I125&lt;&gt;"",I125&lt;H125),"Check odometer readings",IF(K125="","Action - add distance",IF(E125="","Action - add a purpose","OK"))))</f>
        <v>0</v>
      </c>
    </row>
    <row r="126" spans="1:24">
      <c r="A126" s="46">
        <f>IF(B126="","","TR-"&amp;TEXT(ROW()-4,"0000"))</f>
        <v>0</v>
      </c>
      <c r="K126" s="32">
        <f>IF(AND(H126&lt;&gt;"",I126&lt;&gt;""),ROUND(I126-H126,1),IF(J126="","",J126))</f>
        <v>0</v>
      </c>
      <c r="M126" s="32">
        <f>IF(K126="","",IF(L126="Yes",ROUND(K126*2,1),K126))</f>
        <v>0</v>
      </c>
      <c r="N126" s="49">
        <f>IF(E126="","",IF(E126="Personal","Personal","Business"))</f>
        <v>0</v>
      </c>
      <c r="O126" s="29">
        <f>IF(B126="","",MileageRate)</f>
        <v>0</v>
      </c>
      <c r="P126" s="29">
        <f>IF(M126="","",IF(N126="Business",ROUND(M126*MileageRate,2),0))</f>
        <v>0</v>
      </c>
      <c r="U126" s="29">
        <f>IF(B126="","",ROUND(IF(P126="",0,P126)+IF(N126="Business",IF(R126="",0,R126)+IF(S126="",0,S126),0),2))</f>
        <v>0</v>
      </c>
      <c r="W126" s="28">
        <f>IF(B126="","",TEXT(B126,"yyyy-mm"))</f>
        <v>0</v>
      </c>
      <c r="X126" s="49">
        <f>IF(B126="","",IF(AND(H126&lt;&gt;"",I126&lt;&gt;"",I126&lt;H126),"Check odometer readings",IF(K126="","Action - add distance",IF(E126="","Action - add a purpose","OK"))))</f>
        <v>0</v>
      </c>
    </row>
    <row r="127" spans="1:24">
      <c r="A127" s="46">
        <f>IF(B127="","","TR-"&amp;TEXT(ROW()-4,"0000"))</f>
        <v>0</v>
      </c>
      <c r="K127" s="32">
        <f>IF(AND(H127&lt;&gt;"",I127&lt;&gt;""),ROUND(I127-H127,1),IF(J127="","",J127))</f>
        <v>0</v>
      </c>
      <c r="M127" s="32">
        <f>IF(K127="","",IF(L127="Yes",ROUND(K127*2,1),K127))</f>
        <v>0</v>
      </c>
      <c r="N127" s="49">
        <f>IF(E127="","",IF(E127="Personal","Personal","Business"))</f>
        <v>0</v>
      </c>
      <c r="O127" s="29">
        <f>IF(B127="","",MileageRate)</f>
        <v>0</v>
      </c>
      <c r="P127" s="29">
        <f>IF(M127="","",IF(N127="Business",ROUND(M127*MileageRate,2),0))</f>
        <v>0</v>
      </c>
      <c r="U127" s="29">
        <f>IF(B127="","",ROUND(IF(P127="",0,P127)+IF(N127="Business",IF(R127="",0,R127)+IF(S127="",0,S127),0),2))</f>
        <v>0</v>
      </c>
      <c r="W127" s="28">
        <f>IF(B127="","",TEXT(B127,"yyyy-mm"))</f>
        <v>0</v>
      </c>
      <c r="X127" s="49">
        <f>IF(B127="","",IF(AND(H127&lt;&gt;"",I127&lt;&gt;"",I127&lt;H127),"Check odometer readings",IF(K127="","Action - add distance",IF(E127="","Action - add a purpose","OK"))))</f>
        <v>0</v>
      </c>
    </row>
    <row r="128" spans="1:24">
      <c r="A128" s="46">
        <f>IF(B128="","","TR-"&amp;TEXT(ROW()-4,"0000"))</f>
        <v>0</v>
      </c>
      <c r="K128" s="32">
        <f>IF(AND(H128&lt;&gt;"",I128&lt;&gt;""),ROUND(I128-H128,1),IF(J128="","",J128))</f>
        <v>0</v>
      </c>
      <c r="M128" s="32">
        <f>IF(K128="","",IF(L128="Yes",ROUND(K128*2,1),K128))</f>
        <v>0</v>
      </c>
      <c r="N128" s="49">
        <f>IF(E128="","",IF(E128="Personal","Personal","Business"))</f>
        <v>0</v>
      </c>
      <c r="O128" s="29">
        <f>IF(B128="","",MileageRate)</f>
        <v>0</v>
      </c>
      <c r="P128" s="29">
        <f>IF(M128="","",IF(N128="Business",ROUND(M128*MileageRate,2),0))</f>
        <v>0</v>
      </c>
      <c r="U128" s="29">
        <f>IF(B128="","",ROUND(IF(P128="",0,P128)+IF(N128="Business",IF(R128="",0,R128)+IF(S128="",0,S128),0),2))</f>
        <v>0</v>
      </c>
      <c r="W128" s="28">
        <f>IF(B128="","",TEXT(B128,"yyyy-mm"))</f>
        <v>0</v>
      </c>
      <c r="X128" s="49">
        <f>IF(B128="","",IF(AND(H128&lt;&gt;"",I128&lt;&gt;"",I128&lt;H128),"Check odometer readings",IF(K128="","Action - add distance",IF(E128="","Action - add a purpose","OK"))))</f>
        <v>0</v>
      </c>
    </row>
    <row r="129" spans="1:24">
      <c r="A129" s="46">
        <f>IF(B129="","","TR-"&amp;TEXT(ROW()-4,"0000"))</f>
        <v>0</v>
      </c>
      <c r="K129" s="32">
        <f>IF(AND(H129&lt;&gt;"",I129&lt;&gt;""),ROUND(I129-H129,1),IF(J129="","",J129))</f>
        <v>0</v>
      </c>
      <c r="M129" s="32">
        <f>IF(K129="","",IF(L129="Yes",ROUND(K129*2,1),K129))</f>
        <v>0</v>
      </c>
      <c r="N129" s="49">
        <f>IF(E129="","",IF(E129="Personal","Personal","Business"))</f>
        <v>0</v>
      </c>
      <c r="O129" s="29">
        <f>IF(B129="","",MileageRate)</f>
        <v>0</v>
      </c>
      <c r="P129" s="29">
        <f>IF(M129="","",IF(N129="Business",ROUND(M129*MileageRate,2),0))</f>
        <v>0</v>
      </c>
      <c r="U129" s="29">
        <f>IF(B129="","",ROUND(IF(P129="",0,P129)+IF(N129="Business",IF(R129="",0,R129)+IF(S129="",0,S129),0),2))</f>
        <v>0</v>
      </c>
      <c r="W129" s="28">
        <f>IF(B129="","",TEXT(B129,"yyyy-mm"))</f>
        <v>0</v>
      </c>
      <c r="X129" s="49">
        <f>IF(B129="","",IF(AND(H129&lt;&gt;"",I129&lt;&gt;"",I129&lt;H129),"Check odometer readings",IF(K129="","Action - add distance",IF(E129="","Action - add a purpose","OK"))))</f>
        <v>0</v>
      </c>
    </row>
    <row r="130" spans="1:24">
      <c r="A130" s="46">
        <f>IF(B130="","","TR-"&amp;TEXT(ROW()-4,"0000"))</f>
        <v>0</v>
      </c>
      <c r="K130" s="32">
        <f>IF(AND(H130&lt;&gt;"",I130&lt;&gt;""),ROUND(I130-H130,1),IF(J130="","",J130))</f>
        <v>0</v>
      </c>
      <c r="M130" s="32">
        <f>IF(K130="","",IF(L130="Yes",ROUND(K130*2,1),K130))</f>
        <v>0</v>
      </c>
      <c r="N130" s="49">
        <f>IF(E130="","",IF(E130="Personal","Personal","Business"))</f>
        <v>0</v>
      </c>
      <c r="O130" s="29">
        <f>IF(B130="","",MileageRate)</f>
        <v>0</v>
      </c>
      <c r="P130" s="29">
        <f>IF(M130="","",IF(N130="Business",ROUND(M130*MileageRate,2),0))</f>
        <v>0</v>
      </c>
      <c r="U130" s="29">
        <f>IF(B130="","",ROUND(IF(P130="",0,P130)+IF(N130="Business",IF(R130="",0,R130)+IF(S130="",0,S130),0),2))</f>
        <v>0</v>
      </c>
      <c r="W130" s="28">
        <f>IF(B130="","",TEXT(B130,"yyyy-mm"))</f>
        <v>0</v>
      </c>
      <c r="X130" s="49">
        <f>IF(B130="","",IF(AND(H130&lt;&gt;"",I130&lt;&gt;"",I130&lt;H130),"Check odometer readings",IF(K130="","Action - add distance",IF(E130="","Action - add a purpose","OK"))))</f>
        <v>0</v>
      </c>
    </row>
    <row r="131" spans="1:24">
      <c r="A131" s="46">
        <f>IF(B131="","","TR-"&amp;TEXT(ROW()-4,"0000"))</f>
        <v>0</v>
      </c>
      <c r="K131" s="32">
        <f>IF(AND(H131&lt;&gt;"",I131&lt;&gt;""),ROUND(I131-H131,1),IF(J131="","",J131))</f>
        <v>0</v>
      </c>
      <c r="M131" s="32">
        <f>IF(K131="","",IF(L131="Yes",ROUND(K131*2,1),K131))</f>
        <v>0</v>
      </c>
      <c r="N131" s="49">
        <f>IF(E131="","",IF(E131="Personal","Personal","Business"))</f>
        <v>0</v>
      </c>
      <c r="O131" s="29">
        <f>IF(B131="","",MileageRate)</f>
        <v>0</v>
      </c>
      <c r="P131" s="29">
        <f>IF(M131="","",IF(N131="Business",ROUND(M131*MileageRate,2),0))</f>
        <v>0</v>
      </c>
      <c r="U131" s="29">
        <f>IF(B131="","",ROUND(IF(P131="",0,P131)+IF(N131="Business",IF(R131="",0,R131)+IF(S131="",0,S131),0),2))</f>
        <v>0</v>
      </c>
      <c r="W131" s="28">
        <f>IF(B131="","",TEXT(B131,"yyyy-mm"))</f>
        <v>0</v>
      </c>
      <c r="X131" s="49">
        <f>IF(B131="","",IF(AND(H131&lt;&gt;"",I131&lt;&gt;"",I131&lt;H131),"Check odometer readings",IF(K131="","Action - add distance",IF(E131="","Action - add a purpose","OK"))))</f>
        <v>0</v>
      </c>
    </row>
    <row r="132" spans="1:24">
      <c r="A132" s="46">
        <f>IF(B132="","","TR-"&amp;TEXT(ROW()-4,"0000"))</f>
        <v>0</v>
      </c>
      <c r="K132" s="32">
        <f>IF(AND(H132&lt;&gt;"",I132&lt;&gt;""),ROUND(I132-H132,1),IF(J132="","",J132))</f>
        <v>0</v>
      </c>
      <c r="M132" s="32">
        <f>IF(K132="","",IF(L132="Yes",ROUND(K132*2,1),K132))</f>
        <v>0</v>
      </c>
      <c r="N132" s="49">
        <f>IF(E132="","",IF(E132="Personal","Personal","Business"))</f>
        <v>0</v>
      </c>
      <c r="O132" s="29">
        <f>IF(B132="","",MileageRate)</f>
        <v>0</v>
      </c>
      <c r="P132" s="29">
        <f>IF(M132="","",IF(N132="Business",ROUND(M132*MileageRate,2),0))</f>
        <v>0</v>
      </c>
      <c r="U132" s="29">
        <f>IF(B132="","",ROUND(IF(P132="",0,P132)+IF(N132="Business",IF(R132="",0,R132)+IF(S132="",0,S132),0),2))</f>
        <v>0</v>
      </c>
      <c r="W132" s="28">
        <f>IF(B132="","",TEXT(B132,"yyyy-mm"))</f>
        <v>0</v>
      </c>
      <c r="X132" s="49">
        <f>IF(B132="","",IF(AND(H132&lt;&gt;"",I132&lt;&gt;"",I132&lt;H132),"Check odometer readings",IF(K132="","Action - add distance",IF(E132="","Action - add a purpose","OK"))))</f>
        <v>0</v>
      </c>
    </row>
    <row r="133" spans="1:24">
      <c r="A133" s="46">
        <f>IF(B133="","","TR-"&amp;TEXT(ROW()-4,"0000"))</f>
        <v>0</v>
      </c>
      <c r="K133" s="32">
        <f>IF(AND(H133&lt;&gt;"",I133&lt;&gt;""),ROUND(I133-H133,1),IF(J133="","",J133))</f>
        <v>0</v>
      </c>
      <c r="M133" s="32">
        <f>IF(K133="","",IF(L133="Yes",ROUND(K133*2,1),K133))</f>
        <v>0</v>
      </c>
      <c r="N133" s="49">
        <f>IF(E133="","",IF(E133="Personal","Personal","Business"))</f>
        <v>0</v>
      </c>
      <c r="O133" s="29">
        <f>IF(B133="","",MileageRate)</f>
        <v>0</v>
      </c>
      <c r="P133" s="29">
        <f>IF(M133="","",IF(N133="Business",ROUND(M133*MileageRate,2),0))</f>
        <v>0</v>
      </c>
      <c r="U133" s="29">
        <f>IF(B133="","",ROUND(IF(P133="",0,P133)+IF(N133="Business",IF(R133="",0,R133)+IF(S133="",0,S133),0),2))</f>
        <v>0</v>
      </c>
      <c r="W133" s="28">
        <f>IF(B133="","",TEXT(B133,"yyyy-mm"))</f>
        <v>0</v>
      </c>
      <c r="X133" s="49">
        <f>IF(B133="","",IF(AND(H133&lt;&gt;"",I133&lt;&gt;"",I133&lt;H133),"Check odometer readings",IF(K133="","Action - add distance",IF(E133="","Action - add a purpose","OK"))))</f>
        <v>0</v>
      </c>
    </row>
    <row r="134" spans="1:24">
      <c r="A134" s="46">
        <f>IF(B134="","","TR-"&amp;TEXT(ROW()-4,"0000"))</f>
        <v>0</v>
      </c>
      <c r="K134" s="32">
        <f>IF(AND(H134&lt;&gt;"",I134&lt;&gt;""),ROUND(I134-H134,1),IF(J134="","",J134))</f>
        <v>0</v>
      </c>
      <c r="M134" s="32">
        <f>IF(K134="","",IF(L134="Yes",ROUND(K134*2,1),K134))</f>
        <v>0</v>
      </c>
      <c r="N134" s="49">
        <f>IF(E134="","",IF(E134="Personal","Personal","Business"))</f>
        <v>0</v>
      </c>
      <c r="O134" s="29">
        <f>IF(B134="","",MileageRate)</f>
        <v>0</v>
      </c>
      <c r="P134" s="29">
        <f>IF(M134="","",IF(N134="Business",ROUND(M134*MileageRate,2),0))</f>
        <v>0</v>
      </c>
      <c r="U134" s="29">
        <f>IF(B134="","",ROUND(IF(P134="",0,P134)+IF(N134="Business",IF(R134="",0,R134)+IF(S134="",0,S134),0),2))</f>
        <v>0</v>
      </c>
      <c r="W134" s="28">
        <f>IF(B134="","",TEXT(B134,"yyyy-mm"))</f>
        <v>0</v>
      </c>
      <c r="X134" s="49">
        <f>IF(B134="","",IF(AND(H134&lt;&gt;"",I134&lt;&gt;"",I134&lt;H134),"Check odometer readings",IF(K134="","Action - add distance",IF(E134="","Action - add a purpose","OK"))))</f>
        <v>0</v>
      </c>
    </row>
    <row r="135" spans="1:24">
      <c r="A135" s="46">
        <f>IF(B135="","","TR-"&amp;TEXT(ROW()-4,"0000"))</f>
        <v>0</v>
      </c>
      <c r="K135" s="32">
        <f>IF(AND(H135&lt;&gt;"",I135&lt;&gt;""),ROUND(I135-H135,1),IF(J135="","",J135))</f>
        <v>0</v>
      </c>
      <c r="M135" s="32">
        <f>IF(K135="","",IF(L135="Yes",ROUND(K135*2,1),K135))</f>
        <v>0</v>
      </c>
      <c r="N135" s="49">
        <f>IF(E135="","",IF(E135="Personal","Personal","Business"))</f>
        <v>0</v>
      </c>
      <c r="O135" s="29">
        <f>IF(B135="","",MileageRate)</f>
        <v>0</v>
      </c>
      <c r="P135" s="29">
        <f>IF(M135="","",IF(N135="Business",ROUND(M135*MileageRate,2),0))</f>
        <v>0</v>
      </c>
      <c r="U135" s="29">
        <f>IF(B135="","",ROUND(IF(P135="",0,P135)+IF(N135="Business",IF(R135="",0,R135)+IF(S135="",0,S135),0),2))</f>
        <v>0</v>
      </c>
      <c r="W135" s="28">
        <f>IF(B135="","",TEXT(B135,"yyyy-mm"))</f>
        <v>0</v>
      </c>
      <c r="X135" s="49">
        <f>IF(B135="","",IF(AND(H135&lt;&gt;"",I135&lt;&gt;"",I135&lt;H135),"Check odometer readings",IF(K135="","Action - add distance",IF(E135="","Action - add a purpose","OK"))))</f>
        <v>0</v>
      </c>
    </row>
    <row r="136" spans="1:24">
      <c r="A136" s="46">
        <f>IF(B136="","","TR-"&amp;TEXT(ROW()-4,"0000"))</f>
        <v>0</v>
      </c>
      <c r="K136" s="32">
        <f>IF(AND(H136&lt;&gt;"",I136&lt;&gt;""),ROUND(I136-H136,1),IF(J136="","",J136))</f>
        <v>0</v>
      </c>
      <c r="M136" s="32">
        <f>IF(K136="","",IF(L136="Yes",ROUND(K136*2,1),K136))</f>
        <v>0</v>
      </c>
      <c r="N136" s="49">
        <f>IF(E136="","",IF(E136="Personal","Personal","Business"))</f>
        <v>0</v>
      </c>
      <c r="O136" s="29">
        <f>IF(B136="","",MileageRate)</f>
        <v>0</v>
      </c>
      <c r="P136" s="29">
        <f>IF(M136="","",IF(N136="Business",ROUND(M136*MileageRate,2),0))</f>
        <v>0</v>
      </c>
      <c r="U136" s="29">
        <f>IF(B136="","",ROUND(IF(P136="",0,P136)+IF(N136="Business",IF(R136="",0,R136)+IF(S136="",0,S136),0),2))</f>
        <v>0</v>
      </c>
      <c r="W136" s="28">
        <f>IF(B136="","",TEXT(B136,"yyyy-mm"))</f>
        <v>0</v>
      </c>
      <c r="X136" s="49">
        <f>IF(B136="","",IF(AND(H136&lt;&gt;"",I136&lt;&gt;"",I136&lt;H136),"Check odometer readings",IF(K136="","Action - add distance",IF(E136="","Action - add a purpose","OK"))))</f>
        <v>0</v>
      </c>
    </row>
    <row r="137" spans="1:24">
      <c r="A137" s="46">
        <f>IF(B137="","","TR-"&amp;TEXT(ROW()-4,"0000"))</f>
        <v>0</v>
      </c>
      <c r="K137" s="32">
        <f>IF(AND(H137&lt;&gt;"",I137&lt;&gt;""),ROUND(I137-H137,1),IF(J137="","",J137))</f>
        <v>0</v>
      </c>
      <c r="M137" s="32">
        <f>IF(K137="","",IF(L137="Yes",ROUND(K137*2,1),K137))</f>
        <v>0</v>
      </c>
      <c r="N137" s="49">
        <f>IF(E137="","",IF(E137="Personal","Personal","Business"))</f>
        <v>0</v>
      </c>
      <c r="O137" s="29">
        <f>IF(B137="","",MileageRate)</f>
        <v>0</v>
      </c>
      <c r="P137" s="29">
        <f>IF(M137="","",IF(N137="Business",ROUND(M137*MileageRate,2),0))</f>
        <v>0</v>
      </c>
      <c r="U137" s="29">
        <f>IF(B137="","",ROUND(IF(P137="",0,P137)+IF(N137="Business",IF(R137="",0,R137)+IF(S137="",0,S137),0),2))</f>
        <v>0</v>
      </c>
      <c r="W137" s="28">
        <f>IF(B137="","",TEXT(B137,"yyyy-mm"))</f>
        <v>0</v>
      </c>
      <c r="X137" s="49">
        <f>IF(B137="","",IF(AND(H137&lt;&gt;"",I137&lt;&gt;"",I137&lt;H137),"Check odometer readings",IF(K137="","Action - add distance",IF(E137="","Action - add a purpose","OK"))))</f>
        <v>0</v>
      </c>
    </row>
    <row r="138" spans="1:24">
      <c r="A138" s="46">
        <f>IF(B138="","","TR-"&amp;TEXT(ROW()-4,"0000"))</f>
        <v>0</v>
      </c>
      <c r="K138" s="32">
        <f>IF(AND(H138&lt;&gt;"",I138&lt;&gt;""),ROUND(I138-H138,1),IF(J138="","",J138))</f>
        <v>0</v>
      </c>
      <c r="M138" s="32">
        <f>IF(K138="","",IF(L138="Yes",ROUND(K138*2,1),K138))</f>
        <v>0</v>
      </c>
      <c r="N138" s="49">
        <f>IF(E138="","",IF(E138="Personal","Personal","Business"))</f>
        <v>0</v>
      </c>
      <c r="O138" s="29">
        <f>IF(B138="","",MileageRate)</f>
        <v>0</v>
      </c>
      <c r="P138" s="29">
        <f>IF(M138="","",IF(N138="Business",ROUND(M138*MileageRate,2),0))</f>
        <v>0</v>
      </c>
      <c r="U138" s="29">
        <f>IF(B138="","",ROUND(IF(P138="",0,P138)+IF(N138="Business",IF(R138="",0,R138)+IF(S138="",0,S138),0),2))</f>
        <v>0</v>
      </c>
      <c r="W138" s="28">
        <f>IF(B138="","",TEXT(B138,"yyyy-mm"))</f>
        <v>0</v>
      </c>
      <c r="X138" s="49">
        <f>IF(B138="","",IF(AND(H138&lt;&gt;"",I138&lt;&gt;"",I138&lt;H138),"Check odometer readings",IF(K138="","Action - add distance",IF(E138="","Action - add a purpose","OK"))))</f>
        <v>0</v>
      </c>
    </row>
    <row r="139" spans="1:24">
      <c r="A139" s="46">
        <f>IF(B139="","","TR-"&amp;TEXT(ROW()-4,"0000"))</f>
        <v>0</v>
      </c>
      <c r="K139" s="32">
        <f>IF(AND(H139&lt;&gt;"",I139&lt;&gt;""),ROUND(I139-H139,1),IF(J139="","",J139))</f>
        <v>0</v>
      </c>
      <c r="M139" s="32">
        <f>IF(K139="","",IF(L139="Yes",ROUND(K139*2,1),K139))</f>
        <v>0</v>
      </c>
      <c r="N139" s="49">
        <f>IF(E139="","",IF(E139="Personal","Personal","Business"))</f>
        <v>0</v>
      </c>
      <c r="O139" s="29">
        <f>IF(B139="","",MileageRate)</f>
        <v>0</v>
      </c>
      <c r="P139" s="29">
        <f>IF(M139="","",IF(N139="Business",ROUND(M139*MileageRate,2),0))</f>
        <v>0</v>
      </c>
      <c r="U139" s="29">
        <f>IF(B139="","",ROUND(IF(P139="",0,P139)+IF(N139="Business",IF(R139="",0,R139)+IF(S139="",0,S139),0),2))</f>
        <v>0</v>
      </c>
      <c r="W139" s="28">
        <f>IF(B139="","",TEXT(B139,"yyyy-mm"))</f>
        <v>0</v>
      </c>
      <c r="X139" s="49">
        <f>IF(B139="","",IF(AND(H139&lt;&gt;"",I139&lt;&gt;"",I139&lt;H139),"Check odometer readings",IF(K139="","Action - add distance",IF(E139="","Action - add a purpose","OK"))))</f>
        <v>0</v>
      </c>
    </row>
    <row r="140" spans="1:24">
      <c r="A140" s="46">
        <f>IF(B140="","","TR-"&amp;TEXT(ROW()-4,"0000"))</f>
        <v>0</v>
      </c>
      <c r="K140" s="32">
        <f>IF(AND(H140&lt;&gt;"",I140&lt;&gt;""),ROUND(I140-H140,1),IF(J140="","",J140))</f>
        <v>0</v>
      </c>
      <c r="M140" s="32">
        <f>IF(K140="","",IF(L140="Yes",ROUND(K140*2,1),K140))</f>
        <v>0</v>
      </c>
      <c r="N140" s="49">
        <f>IF(E140="","",IF(E140="Personal","Personal","Business"))</f>
        <v>0</v>
      </c>
      <c r="O140" s="29">
        <f>IF(B140="","",MileageRate)</f>
        <v>0</v>
      </c>
      <c r="P140" s="29">
        <f>IF(M140="","",IF(N140="Business",ROUND(M140*MileageRate,2),0))</f>
        <v>0</v>
      </c>
      <c r="U140" s="29">
        <f>IF(B140="","",ROUND(IF(P140="",0,P140)+IF(N140="Business",IF(R140="",0,R140)+IF(S140="",0,S140),0),2))</f>
        <v>0</v>
      </c>
      <c r="W140" s="28">
        <f>IF(B140="","",TEXT(B140,"yyyy-mm"))</f>
        <v>0</v>
      </c>
      <c r="X140" s="49">
        <f>IF(B140="","",IF(AND(H140&lt;&gt;"",I140&lt;&gt;"",I140&lt;H140),"Check odometer readings",IF(K140="","Action - add distance",IF(E140="","Action - add a purpose","OK"))))</f>
        <v>0</v>
      </c>
    </row>
    <row r="141" spans="1:24">
      <c r="A141" s="46">
        <f>IF(B141="","","TR-"&amp;TEXT(ROW()-4,"0000"))</f>
        <v>0</v>
      </c>
      <c r="K141" s="32">
        <f>IF(AND(H141&lt;&gt;"",I141&lt;&gt;""),ROUND(I141-H141,1),IF(J141="","",J141))</f>
        <v>0</v>
      </c>
      <c r="M141" s="32">
        <f>IF(K141="","",IF(L141="Yes",ROUND(K141*2,1),K141))</f>
        <v>0</v>
      </c>
      <c r="N141" s="49">
        <f>IF(E141="","",IF(E141="Personal","Personal","Business"))</f>
        <v>0</v>
      </c>
      <c r="O141" s="29">
        <f>IF(B141="","",MileageRate)</f>
        <v>0</v>
      </c>
      <c r="P141" s="29">
        <f>IF(M141="","",IF(N141="Business",ROUND(M141*MileageRate,2),0))</f>
        <v>0</v>
      </c>
      <c r="U141" s="29">
        <f>IF(B141="","",ROUND(IF(P141="",0,P141)+IF(N141="Business",IF(R141="",0,R141)+IF(S141="",0,S141),0),2))</f>
        <v>0</v>
      </c>
      <c r="W141" s="28">
        <f>IF(B141="","",TEXT(B141,"yyyy-mm"))</f>
        <v>0</v>
      </c>
      <c r="X141" s="49">
        <f>IF(B141="","",IF(AND(H141&lt;&gt;"",I141&lt;&gt;"",I141&lt;H141),"Check odometer readings",IF(K141="","Action - add distance",IF(E141="","Action - add a purpose","OK"))))</f>
        <v>0</v>
      </c>
    </row>
    <row r="142" spans="1:24">
      <c r="A142" s="46">
        <f>IF(B142="","","TR-"&amp;TEXT(ROW()-4,"0000"))</f>
        <v>0</v>
      </c>
      <c r="K142" s="32">
        <f>IF(AND(H142&lt;&gt;"",I142&lt;&gt;""),ROUND(I142-H142,1),IF(J142="","",J142))</f>
        <v>0</v>
      </c>
      <c r="M142" s="32">
        <f>IF(K142="","",IF(L142="Yes",ROUND(K142*2,1),K142))</f>
        <v>0</v>
      </c>
      <c r="N142" s="49">
        <f>IF(E142="","",IF(E142="Personal","Personal","Business"))</f>
        <v>0</v>
      </c>
      <c r="O142" s="29">
        <f>IF(B142="","",MileageRate)</f>
        <v>0</v>
      </c>
      <c r="P142" s="29">
        <f>IF(M142="","",IF(N142="Business",ROUND(M142*MileageRate,2),0))</f>
        <v>0</v>
      </c>
      <c r="U142" s="29">
        <f>IF(B142="","",ROUND(IF(P142="",0,P142)+IF(N142="Business",IF(R142="",0,R142)+IF(S142="",0,S142),0),2))</f>
        <v>0</v>
      </c>
      <c r="W142" s="28">
        <f>IF(B142="","",TEXT(B142,"yyyy-mm"))</f>
        <v>0</v>
      </c>
      <c r="X142" s="49">
        <f>IF(B142="","",IF(AND(H142&lt;&gt;"",I142&lt;&gt;"",I142&lt;H142),"Check odometer readings",IF(K142="","Action - add distance",IF(E142="","Action - add a purpose","OK"))))</f>
        <v>0</v>
      </c>
    </row>
    <row r="143" spans="1:24">
      <c r="A143" s="46">
        <f>IF(B143="","","TR-"&amp;TEXT(ROW()-4,"0000"))</f>
        <v>0</v>
      </c>
      <c r="K143" s="32">
        <f>IF(AND(H143&lt;&gt;"",I143&lt;&gt;""),ROUND(I143-H143,1),IF(J143="","",J143))</f>
        <v>0</v>
      </c>
      <c r="M143" s="32">
        <f>IF(K143="","",IF(L143="Yes",ROUND(K143*2,1),K143))</f>
        <v>0</v>
      </c>
      <c r="N143" s="49">
        <f>IF(E143="","",IF(E143="Personal","Personal","Business"))</f>
        <v>0</v>
      </c>
      <c r="O143" s="29">
        <f>IF(B143="","",MileageRate)</f>
        <v>0</v>
      </c>
      <c r="P143" s="29">
        <f>IF(M143="","",IF(N143="Business",ROUND(M143*MileageRate,2),0))</f>
        <v>0</v>
      </c>
      <c r="U143" s="29">
        <f>IF(B143="","",ROUND(IF(P143="",0,P143)+IF(N143="Business",IF(R143="",0,R143)+IF(S143="",0,S143),0),2))</f>
        <v>0</v>
      </c>
      <c r="W143" s="28">
        <f>IF(B143="","",TEXT(B143,"yyyy-mm"))</f>
        <v>0</v>
      </c>
      <c r="X143" s="49">
        <f>IF(B143="","",IF(AND(H143&lt;&gt;"",I143&lt;&gt;"",I143&lt;H143),"Check odometer readings",IF(K143="","Action - add distance",IF(E143="","Action - add a purpose","OK"))))</f>
        <v>0</v>
      </c>
    </row>
    <row r="144" spans="1:24">
      <c r="A144" s="46">
        <f>IF(B144="","","TR-"&amp;TEXT(ROW()-4,"0000"))</f>
        <v>0</v>
      </c>
      <c r="K144" s="32">
        <f>IF(AND(H144&lt;&gt;"",I144&lt;&gt;""),ROUND(I144-H144,1),IF(J144="","",J144))</f>
        <v>0</v>
      </c>
      <c r="M144" s="32">
        <f>IF(K144="","",IF(L144="Yes",ROUND(K144*2,1),K144))</f>
        <v>0</v>
      </c>
      <c r="N144" s="49">
        <f>IF(E144="","",IF(E144="Personal","Personal","Business"))</f>
        <v>0</v>
      </c>
      <c r="O144" s="29">
        <f>IF(B144="","",MileageRate)</f>
        <v>0</v>
      </c>
      <c r="P144" s="29">
        <f>IF(M144="","",IF(N144="Business",ROUND(M144*MileageRate,2),0))</f>
        <v>0</v>
      </c>
      <c r="U144" s="29">
        <f>IF(B144="","",ROUND(IF(P144="",0,P144)+IF(N144="Business",IF(R144="",0,R144)+IF(S144="",0,S144),0),2))</f>
        <v>0</v>
      </c>
      <c r="W144" s="28">
        <f>IF(B144="","",TEXT(B144,"yyyy-mm"))</f>
        <v>0</v>
      </c>
      <c r="X144" s="49">
        <f>IF(B144="","",IF(AND(H144&lt;&gt;"",I144&lt;&gt;"",I144&lt;H144),"Check odometer readings",IF(K144="","Action - add distance",IF(E144="","Action - add a purpose","OK"))))</f>
        <v>0</v>
      </c>
    </row>
    <row r="145" spans="1:24">
      <c r="A145" s="46">
        <f>IF(B145="","","TR-"&amp;TEXT(ROW()-4,"0000"))</f>
        <v>0</v>
      </c>
      <c r="K145" s="32">
        <f>IF(AND(H145&lt;&gt;"",I145&lt;&gt;""),ROUND(I145-H145,1),IF(J145="","",J145))</f>
        <v>0</v>
      </c>
      <c r="M145" s="32">
        <f>IF(K145="","",IF(L145="Yes",ROUND(K145*2,1),K145))</f>
        <v>0</v>
      </c>
      <c r="N145" s="49">
        <f>IF(E145="","",IF(E145="Personal","Personal","Business"))</f>
        <v>0</v>
      </c>
      <c r="O145" s="29">
        <f>IF(B145="","",MileageRate)</f>
        <v>0</v>
      </c>
      <c r="P145" s="29">
        <f>IF(M145="","",IF(N145="Business",ROUND(M145*MileageRate,2),0))</f>
        <v>0</v>
      </c>
      <c r="U145" s="29">
        <f>IF(B145="","",ROUND(IF(P145="",0,P145)+IF(N145="Business",IF(R145="",0,R145)+IF(S145="",0,S145),0),2))</f>
        <v>0</v>
      </c>
      <c r="W145" s="28">
        <f>IF(B145="","",TEXT(B145,"yyyy-mm"))</f>
        <v>0</v>
      </c>
      <c r="X145" s="49">
        <f>IF(B145="","",IF(AND(H145&lt;&gt;"",I145&lt;&gt;"",I145&lt;H145),"Check odometer readings",IF(K145="","Action - add distance",IF(E145="","Action - add a purpose","OK"))))</f>
        <v>0</v>
      </c>
    </row>
    <row r="146" spans="1:24">
      <c r="A146" s="46">
        <f>IF(B146="","","TR-"&amp;TEXT(ROW()-4,"0000"))</f>
        <v>0</v>
      </c>
      <c r="K146" s="32">
        <f>IF(AND(H146&lt;&gt;"",I146&lt;&gt;""),ROUND(I146-H146,1),IF(J146="","",J146))</f>
        <v>0</v>
      </c>
      <c r="M146" s="32">
        <f>IF(K146="","",IF(L146="Yes",ROUND(K146*2,1),K146))</f>
        <v>0</v>
      </c>
      <c r="N146" s="49">
        <f>IF(E146="","",IF(E146="Personal","Personal","Business"))</f>
        <v>0</v>
      </c>
      <c r="O146" s="29">
        <f>IF(B146="","",MileageRate)</f>
        <v>0</v>
      </c>
      <c r="P146" s="29">
        <f>IF(M146="","",IF(N146="Business",ROUND(M146*MileageRate,2),0))</f>
        <v>0</v>
      </c>
      <c r="U146" s="29">
        <f>IF(B146="","",ROUND(IF(P146="",0,P146)+IF(N146="Business",IF(R146="",0,R146)+IF(S146="",0,S146),0),2))</f>
        <v>0</v>
      </c>
      <c r="W146" s="28">
        <f>IF(B146="","",TEXT(B146,"yyyy-mm"))</f>
        <v>0</v>
      </c>
      <c r="X146" s="49">
        <f>IF(B146="","",IF(AND(H146&lt;&gt;"",I146&lt;&gt;"",I146&lt;H146),"Check odometer readings",IF(K146="","Action - add distance",IF(E146="","Action - add a purpose","OK"))))</f>
        <v>0</v>
      </c>
    </row>
    <row r="147" spans="1:24">
      <c r="A147" s="46">
        <f>IF(B147="","","TR-"&amp;TEXT(ROW()-4,"0000"))</f>
        <v>0</v>
      </c>
      <c r="K147" s="32">
        <f>IF(AND(H147&lt;&gt;"",I147&lt;&gt;""),ROUND(I147-H147,1),IF(J147="","",J147))</f>
        <v>0</v>
      </c>
      <c r="M147" s="32">
        <f>IF(K147="","",IF(L147="Yes",ROUND(K147*2,1),K147))</f>
        <v>0</v>
      </c>
      <c r="N147" s="49">
        <f>IF(E147="","",IF(E147="Personal","Personal","Business"))</f>
        <v>0</v>
      </c>
      <c r="O147" s="29">
        <f>IF(B147="","",MileageRate)</f>
        <v>0</v>
      </c>
      <c r="P147" s="29">
        <f>IF(M147="","",IF(N147="Business",ROUND(M147*MileageRate,2),0))</f>
        <v>0</v>
      </c>
      <c r="U147" s="29">
        <f>IF(B147="","",ROUND(IF(P147="",0,P147)+IF(N147="Business",IF(R147="",0,R147)+IF(S147="",0,S147),0),2))</f>
        <v>0</v>
      </c>
      <c r="W147" s="28">
        <f>IF(B147="","",TEXT(B147,"yyyy-mm"))</f>
        <v>0</v>
      </c>
      <c r="X147" s="49">
        <f>IF(B147="","",IF(AND(H147&lt;&gt;"",I147&lt;&gt;"",I147&lt;H147),"Check odometer readings",IF(K147="","Action - add distance",IF(E147="","Action - add a purpose","OK"))))</f>
        <v>0</v>
      </c>
    </row>
    <row r="148" spans="1:24">
      <c r="A148" s="46">
        <f>IF(B148="","","TR-"&amp;TEXT(ROW()-4,"0000"))</f>
        <v>0</v>
      </c>
      <c r="K148" s="32">
        <f>IF(AND(H148&lt;&gt;"",I148&lt;&gt;""),ROUND(I148-H148,1),IF(J148="","",J148))</f>
        <v>0</v>
      </c>
      <c r="M148" s="32">
        <f>IF(K148="","",IF(L148="Yes",ROUND(K148*2,1),K148))</f>
        <v>0</v>
      </c>
      <c r="N148" s="49">
        <f>IF(E148="","",IF(E148="Personal","Personal","Business"))</f>
        <v>0</v>
      </c>
      <c r="O148" s="29">
        <f>IF(B148="","",MileageRate)</f>
        <v>0</v>
      </c>
      <c r="P148" s="29">
        <f>IF(M148="","",IF(N148="Business",ROUND(M148*MileageRate,2),0))</f>
        <v>0</v>
      </c>
      <c r="U148" s="29">
        <f>IF(B148="","",ROUND(IF(P148="",0,P148)+IF(N148="Business",IF(R148="",0,R148)+IF(S148="",0,S148),0),2))</f>
        <v>0</v>
      </c>
      <c r="W148" s="28">
        <f>IF(B148="","",TEXT(B148,"yyyy-mm"))</f>
        <v>0</v>
      </c>
      <c r="X148" s="49">
        <f>IF(B148="","",IF(AND(H148&lt;&gt;"",I148&lt;&gt;"",I148&lt;H148),"Check odometer readings",IF(K148="","Action - add distance",IF(E148="","Action - add a purpose","OK"))))</f>
        <v>0</v>
      </c>
    </row>
    <row r="149" spans="1:24">
      <c r="A149" s="46">
        <f>IF(B149="","","TR-"&amp;TEXT(ROW()-4,"0000"))</f>
        <v>0</v>
      </c>
      <c r="K149" s="32">
        <f>IF(AND(H149&lt;&gt;"",I149&lt;&gt;""),ROUND(I149-H149,1),IF(J149="","",J149))</f>
        <v>0</v>
      </c>
      <c r="M149" s="32">
        <f>IF(K149="","",IF(L149="Yes",ROUND(K149*2,1),K149))</f>
        <v>0</v>
      </c>
      <c r="N149" s="49">
        <f>IF(E149="","",IF(E149="Personal","Personal","Business"))</f>
        <v>0</v>
      </c>
      <c r="O149" s="29">
        <f>IF(B149="","",MileageRate)</f>
        <v>0</v>
      </c>
      <c r="P149" s="29">
        <f>IF(M149="","",IF(N149="Business",ROUND(M149*MileageRate,2),0))</f>
        <v>0</v>
      </c>
      <c r="U149" s="29">
        <f>IF(B149="","",ROUND(IF(P149="",0,P149)+IF(N149="Business",IF(R149="",0,R149)+IF(S149="",0,S149),0),2))</f>
        <v>0</v>
      </c>
      <c r="W149" s="28">
        <f>IF(B149="","",TEXT(B149,"yyyy-mm"))</f>
        <v>0</v>
      </c>
      <c r="X149" s="49">
        <f>IF(B149="","",IF(AND(H149&lt;&gt;"",I149&lt;&gt;"",I149&lt;H149),"Check odometer readings",IF(K149="","Action - add distance",IF(E149="","Action - add a purpose","OK"))))</f>
        <v>0</v>
      </c>
    </row>
    <row r="150" spans="1:24">
      <c r="A150" s="46">
        <f>IF(B150="","","TR-"&amp;TEXT(ROW()-4,"0000"))</f>
        <v>0</v>
      </c>
      <c r="K150" s="32">
        <f>IF(AND(H150&lt;&gt;"",I150&lt;&gt;""),ROUND(I150-H150,1),IF(J150="","",J150))</f>
        <v>0</v>
      </c>
      <c r="M150" s="32">
        <f>IF(K150="","",IF(L150="Yes",ROUND(K150*2,1),K150))</f>
        <v>0</v>
      </c>
      <c r="N150" s="49">
        <f>IF(E150="","",IF(E150="Personal","Personal","Business"))</f>
        <v>0</v>
      </c>
      <c r="O150" s="29">
        <f>IF(B150="","",MileageRate)</f>
        <v>0</v>
      </c>
      <c r="P150" s="29">
        <f>IF(M150="","",IF(N150="Business",ROUND(M150*MileageRate,2),0))</f>
        <v>0</v>
      </c>
      <c r="U150" s="29">
        <f>IF(B150="","",ROUND(IF(P150="",0,P150)+IF(N150="Business",IF(R150="",0,R150)+IF(S150="",0,S150),0),2))</f>
        <v>0</v>
      </c>
      <c r="W150" s="28">
        <f>IF(B150="","",TEXT(B150,"yyyy-mm"))</f>
        <v>0</v>
      </c>
      <c r="X150" s="49">
        <f>IF(B150="","",IF(AND(H150&lt;&gt;"",I150&lt;&gt;"",I150&lt;H150),"Check odometer readings",IF(K150="","Action - add distance",IF(E150="","Action - add a purpose","OK"))))</f>
        <v>0</v>
      </c>
    </row>
    <row r="151" spans="1:24">
      <c r="A151" s="46">
        <f>IF(B151="","","TR-"&amp;TEXT(ROW()-4,"0000"))</f>
        <v>0</v>
      </c>
      <c r="K151" s="32">
        <f>IF(AND(H151&lt;&gt;"",I151&lt;&gt;""),ROUND(I151-H151,1),IF(J151="","",J151))</f>
        <v>0</v>
      </c>
      <c r="M151" s="32">
        <f>IF(K151="","",IF(L151="Yes",ROUND(K151*2,1),K151))</f>
        <v>0</v>
      </c>
      <c r="N151" s="49">
        <f>IF(E151="","",IF(E151="Personal","Personal","Business"))</f>
        <v>0</v>
      </c>
      <c r="O151" s="29">
        <f>IF(B151="","",MileageRate)</f>
        <v>0</v>
      </c>
      <c r="P151" s="29">
        <f>IF(M151="","",IF(N151="Business",ROUND(M151*MileageRate,2),0))</f>
        <v>0</v>
      </c>
      <c r="U151" s="29">
        <f>IF(B151="","",ROUND(IF(P151="",0,P151)+IF(N151="Business",IF(R151="",0,R151)+IF(S151="",0,S151),0),2))</f>
        <v>0</v>
      </c>
      <c r="W151" s="28">
        <f>IF(B151="","",TEXT(B151,"yyyy-mm"))</f>
        <v>0</v>
      </c>
      <c r="X151" s="49">
        <f>IF(B151="","",IF(AND(H151&lt;&gt;"",I151&lt;&gt;"",I151&lt;H151),"Check odometer readings",IF(K151="","Action - add distance",IF(E151="","Action - add a purpose","OK"))))</f>
        <v>0</v>
      </c>
    </row>
    <row r="152" spans="1:24">
      <c r="A152" s="46">
        <f>IF(B152="","","TR-"&amp;TEXT(ROW()-4,"0000"))</f>
        <v>0</v>
      </c>
      <c r="K152" s="32">
        <f>IF(AND(H152&lt;&gt;"",I152&lt;&gt;""),ROUND(I152-H152,1),IF(J152="","",J152))</f>
        <v>0</v>
      </c>
      <c r="M152" s="32">
        <f>IF(K152="","",IF(L152="Yes",ROUND(K152*2,1),K152))</f>
        <v>0</v>
      </c>
      <c r="N152" s="49">
        <f>IF(E152="","",IF(E152="Personal","Personal","Business"))</f>
        <v>0</v>
      </c>
      <c r="O152" s="29">
        <f>IF(B152="","",MileageRate)</f>
        <v>0</v>
      </c>
      <c r="P152" s="29">
        <f>IF(M152="","",IF(N152="Business",ROUND(M152*MileageRate,2),0))</f>
        <v>0</v>
      </c>
      <c r="U152" s="29">
        <f>IF(B152="","",ROUND(IF(P152="",0,P152)+IF(N152="Business",IF(R152="",0,R152)+IF(S152="",0,S152),0),2))</f>
        <v>0</v>
      </c>
      <c r="W152" s="28">
        <f>IF(B152="","",TEXT(B152,"yyyy-mm"))</f>
        <v>0</v>
      </c>
      <c r="X152" s="49">
        <f>IF(B152="","",IF(AND(H152&lt;&gt;"",I152&lt;&gt;"",I152&lt;H152),"Check odometer readings",IF(K152="","Action - add distance",IF(E152="","Action - add a purpose","OK"))))</f>
        <v>0</v>
      </c>
    </row>
    <row r="153" spans="1:24">
      <c r="A153" s="46">
        <f>IF(B153="","","TR-"&amp;TEXT(ROW()-4,"0000"))</f>
        <v>0</v>
      </c>
      <c r="K153" s="32">
        <f>IF(AND(H153&lt;&gt;"",I153&lt;&gt;""),ROUND(I153-H153,1),IF(J153="","",J153))</f>
        <v>0</v>
      </c>
      <c r="M153" s="32">
        <f>IF(K153="","",IF(L153="Yes",ROUND(K153*2,1),K153))</f>
        <v>0</v>
      </c>
      <c r="N153" s="49">
        <f>IF(E153="","",IF(E153="Personal","Personal","Business"))</f>
        <v>0</v>
      </c>
      <c r="O153" s="29">
        <f>IF(B153="","",MileageRate)</f>
        <v>0</v>
      </c>
      <c r="P153" s="29">
        <f>IF(M153="","",IF(N153="Business",ROUND(M153*MileageRate,2),0))</f>
        <v>0</v>
      </c>
      <c r="U153" s="29">
        <f>IF(B153="","",ROUND(IF(P153="",0,P153)+IF(N153="Business",IF(R153="",0,R153)+IF(S153="",0,S153),0),2))</f>
        <v>0</v>
      </c>
      <c r="W153" s="28">
        <f>IF(B153="","",TEXT(B153,"yyyy-mm"))</f>
        <v>0</v>
      </c>
      <c r="X153" s="49">
        <f>IF(B153="","",IF(AND(H153&lt;&gt;"",I153&lt;&gt;"",I153&lt;H153),"Check odometer readings",IF(K153="","Action - add distance",IF(E153="","Action - add a purpose","OK"))))</f>
        <v>0</v>
      </c>
    </row>
    <row r="154" spans="1:24">
      <c r="A154" s="46">
        <f>IF(B154="","","TR-"&amp;TEXT(ROW()-4,"0000"))</f>
        <v>0</v>
      </c>
      <c r="K154" s="32">
        <f>IF(AND(H154&lt;&gt;"",I154&lt;&gt;""),ROUND(I154-H154,1),IF(J154="","",J154))</f>
        <v>0</v>
      </c>
      <c r="M154" s="32">
        <f>IF(K154="","",IF(L154="Yes",ROUND(K154*2,1),K154))</f>
        <v>0</v>
      </c>
      <c r="N154" s="49">
        <f>IF(E154="","",IF(E154="Personal","Personal","Business"))</f>
        <v>0</v>
      </c>
      <c r="O154" s="29">
        <f>IF(B154="","",MileageRate)</f>
        <v>0</v>
      </c>
      <c r="P154" s="29">
        <f>IF(M154="","",IF(N154="Business",ROUND(M154*MileageRate,2),0))</f>
        <v>0</v>
      </c>
      <c r="U154" s="29">
        <f>IF(B154="","",ROUND(IF(P154="",0,P154)+IF(N154="Business",IF(R154="",0,R154)+IF(S154="",0,S154),0),2))</f>
        <v>0</v>
      </c>
      <c r="W154" s="28">
        <f>IF(B154="","",TEXT(B154,"yyyy-mm"))</f>
        <v>0</v>
      </c>
      <c r="X154" s="49">
        <f>IF(B154="","",IF(AND(H154&lt;&gt;"",I154&lt;&gt;"",I154&lt;H154),"Check odometer readings",IF(K154="","Action - add distance",IF(E154="","Action - add a purpose","OK"))))</f>
        <v>0</v>
      </c>
    </row>
    <row r="155" spans="1:24">
      <c r="A155" s="46">
        <f>IF(B155="","","TR-"&amp;TEXT(ROW()-4,"0000"))</f>
        <v>0</v>
      </c>
      <c r="K155" s="32">
        <f>IF(AND(H155&lt;&gt;"",I155&lt;&gt;""),ROUND(I155-H155,1),IF(J155="","",J155))</f>
        <v>0</v>
      </c>
      <c r="M155" s="32">
        <f>IF(K155="","",IF(L155="Yes",ROUND(K155*2,1),K155))</f>
        <v>0</v>
      </c>
      <c r="N155" s="49">
        <f>IF(E155="","",IF(E155="Personal","Personal","Business"))</f>
        <v>0</v>
      </c>
      <c r="O155" s="29">
        <f>IF(B155="","",MileageRate)</f>
        <v>0</v>
      </c>
      <c r="P155" s="29">
        <f>IF(M155="","",IF(N155="Business",ROUND(M155*MileageRate,2),0))</f>
        <v>0</v>
      </c>
      <c r="U155" s="29">
        <f>IF(B155="","",ROUND(IF(P155="",0,P155)+IF(N155="Business",IF(R155="",0,R155)+IF(S155="",0,S155),0),2))</f>
        <v>0</v>
      </c>
      <c r="W155" s="28">
        <f>IF(B155="","",TEXT(B155,"yyyy-mm"))</f>
        <v>0</v>
      </c>
      <c r="X155" s="49">
        <f>IF(B155="","",IF(AND(H155&lt;&gt;"",I155&lt;&gt;"",I155&lt;H155),"Check odometer readings",IF(K155="","Action - add distance",IF(E155="","Action - add a purpose","OK"))))</f>
        <v>0</v>
      </c>
    </row>
    <row r="156" spans="1:24">
      <c r="A156" s="46">
        <f>IF(B156="","","TR-"&amp;TEXT(ROW()-4,"0000"))</f>
        <v>0</v>
      </c>
      <c r="K156" s="32">
        <f>IF(AND(H156&lt;&gt;"",I156&lt;&gt;""),ROUND(I156-H156,1),IF(J156="","",J156))</f>
        <v>0</v>
      </c>
      <c r="M156" s="32">
        <f>IF(K156="","",IF(L156="Yes",ROUND(K156*2,1),K156))</f>
        <v>0</v>
      </c>
      <c r="N156" s="49">
        <f>IF(E156="","",IF(E156="Personal","Personal","Business"))</f>
        <v>0</v>
      </c>
      <c r="O156" s="29">
        <f>IF(B156="","",MileageRate)</f>
        <v>0</v>
      </c>
      <c r="P156" s="29">
        <f>IF(M156="","",IF(N156="Business",ROUND(M156*MileageRate,2),0))</f>
        <v>0</v>
      </c>
      <c r="U156" s="29">
        <f>IF(B156="","",ROUND(IF(P156="",0,P156)+IF(N156="Business",IF(R156="",0,R156)+IF(S156="",0,S156),0),2))</f>
        <v>0</v>
      </c>
      <c r="W156" s="28">
        <f>IF(B156="","",TEXT(B156,"yyyy-mm"))</f>
        <v>0</v>
      </c>
      <c r="X156" s="49">
        <f>IF(B156="","",IF(AND(H156&lt;&gt;"",I156&lt;&gt;"",I156&lt;H156),"Check odometer readings",IF(K156="","Action - add distance",IF(E156="","Action - add a purpose","OK"))))</f>
        <v>0</v>
      </c>
    </row>
    <row r="157" spans="1:24">
      <c r="A157" s="46">
        <f>IF(B157="","","TR-"&amp;TEXT(ROW()-4,"0000"))</f>
        <v>0</v>
      </c>
      <c r="K157" s="32">
        <f>IF(AND(H157&lt;&gt;"",I157&lt;&gt;""),ROUND(I157-H157,1),IF(J157="","",J157))</f>
        <v>0</v>
      </c>
      <c r="M157" s="32">
        <f>IF(K157="","",IF(L157="Yes",ROUND(K157*2,1),K157))</f>
        <v>0</v>
      </c>
      <c r="N157" s="49">
        <f>IF(E157="","",IF(E157="Personal","Personal","Business"))</f>
        <v>0</v>
      </c>
      <c r="O157" s="29">
        <f>IF(B157="","",MileageRate)</f>
        <v>0</v>
      </c>
      <c r="P157" s="29">
        <f>IF(M157="","",IF(N157="Business",ROUND(M157*MileageRate,2),0))</f>
        <v>0</v>
      </c>
      <c r="U157" s="29">
        <f>IF(B157="","",ROUND(IF(P157="",0,P157)+IF(N157="Business",IF(R157="",0,R157)+IF(S157="",0,S157),0),2))</f>
        <v>0</v>
      </c>
      <c r="W157" s="28">
        <f>IF(B157="","",TEXT(B157,"yyyy-mm"))</f>
        <v>0</v>
      </c>
      <c r="X157" s="49">
        <f>IF(B157="","",IF(AND(H157&lt;&gt;"",I157&lt;&gt;"",I157&lt;H157),"Check odometer readings",IF(K157="","Action - add distance",IF(E157="","Action - add a purpose","OK"))))</f>
        <v>0</v>
      </c>
    </row>
    <row r="158" spans="1:24">
      <c r="A158" s="46">
        <f>IF(B158="","","TR-"&amp;TEXT(ROW()-4,"0000"))</f>
        <v>0</v>
      </c>
      <c r="K158" s="32">
        <f>IF(AND(H158&lt;&gt;"",I158&lt;&gt;""),ROUND(I158-H158,1),IF(J158="","",J158))</f>
        <v>0</v>
      </c>
      <c r="M158" s="32">
        <f>IF(K158="","",IF(L158="Yes",ROUND(K158*2,1),K158))</f>
        <v>0</v>
      </c>
      <c r="N158" s="49">
        <f>IF(E158="","",IF(E158="Personal","Personal","Business"))</f>
        <v>0</v>
      </c>
      <c r="O158" s="29">
        <f>IF(B158="","",MileageRate)</f>
        <v>0</v>
      </c>
      <c r="P158" s="29">
        <f>IF(M158="","",IF(N158="Business",ROUND(M158*MileageRate,2),0))</f>
        <v>0</v>
      </c>
      <c r="U158" s="29">
        <f>IF(B158="","",ROUND(IF(P158="",0,P158)+IF(N158="Business",IF(R158="",0,R158)+IF(S158="",0,S158),0),2))</f>
        <v>0</v>
      </c>
      <c r="W158" s="28">
        <f>IF(B158="","",TEXT(B158,"yyyy-mm"))</f>
        <v>0</v>
      </c>
      <c r="X158" s="49">
        <f>IF(B158="","",IF(AND(H158&lt;&gt;"",I158&lt;&gt;"",I158&lt;H158),"Check odometer readings",IF(K158="","Action - add distance",IF(E158="","Action - add a purpose","OK"))))</f>
        <v>0</v>
      </c>
    </row>
    <row r="159" spans="1:24">
      <c r="A159" s="46">
        <f>IF(B159="","","TR-"&amp;TEXT(ROW()-4,"0000"))</f>
        <v>0</v>
      </c>
      <c r="K159" s="32">
        <f>IF(AND(H159&lt;&gt;"",I159&lt;&gt;""),ROUND(I159-H159,1),IF(J159="","",J159))</f>
        <v>0</v>
      </c>
      <c r="M159" s="32">
        <f>IF(K159="","",IF(L159="Yes",ROUND(K159*2,1),K159))</f>
        <v>0</v>
      </c>
      <c r="N159" s="49">
        <f>IF(E159="","",IF(E159="Personal","Personal","Business"))</f>
        <v>0</v>
      </c>
      <c r="O159" s="29">
        <f>IF(B159="","",MileageRate)</f>
        <v>0</v>
      </c>
      <c r="P159" s="29">
        <f>IF(M159="","",IF(N159="Business",ROUND(M159*MileageRate,2),0))</f>
        <v>0</v>
      </c>
      <c r="U159" s="29">
        <f>IF(B159="","",ROUND(IF(P159="",0,P159)+IF(N159="Business",IF(R159="",0,R159)+IF(S159="",0,S159),0),2))</f>
        <v>0</v>
      </c>
      <c r="W159" s="28">
        <f>IF(B159="","",TEXT(B159,"yyyy-mm"))</f>
        <v>0</v>
      </c>
      <c r="X159" s="49">
        <f>IF(B159="","",IF(AND(H159&lt;&gt;"",I159&lt;&gt;"",I159&lt;H159),"Check odometer readings",IF(K159="","Action - add distance",IF(E159="","Action - add a purpose","OK"))))</f>
        <v>0</v>
      </c>
    </row>
    <row r="160" spans="1:24">
      <c r="A160" s="46">
        <f>IF(B160="","","TR-"&amp;TEXT(ROW()-4,"0000"))</f>
        <v>0</v>
      </c>
      <c r="K160" s="32">
        <f>IF(AND(H160&lt;&gt;"",I160&lt;&gt;""),ROUND(I160-H160,1),IF(J160="","",J160))</f>
        <v>0</v>
      </c>
      <c r="M160" s="32">
        <f>IF(K160="","",IF(L160="Yes",ROUND(K160*2,1),K160))</f>
        <v>0</v>
      </c>
      <c r="N160" s="49">
        <f>IF(E160="","",IF(E160="Personal","Personal","Business"))</f>
        <v>0</v>
      </c>
      <c r="O160" s="29">
        <f>IF(B160="","",MileageRate)</f>
        <v>0</v>
      </c>
      <c r="P160" s="29">
        <f>IF(M160="","",IF(N160="Business",ROUND(M160*MileageRate,2),0))</f>
        <v>0</v>
      </c>
      <c r="U160" s="29">
        <f>IF(B160="","",ROUND(IF(P160="",0,P160)+IF(N160="Business",IF(R160="",0,R160)+IF(S160="",0,S160),0),2))</f>
        <v>0</v>
      </c>
      <c r="W160" s="28">
        <f>IF(B160="","",TEXT(B160,"yyyy-mm"))</f>
        <v>0</v>
      </c>
      <c r="X160" s="49">
        <f>IF(B160="","",IF(AND(H160&lt;&gt;"",I160&lt;&gt;"",I160&lt;H160),"Check odometer readings",IF(K160="","Action - add distance",IF(E160="","Action - add a purpose","OK"))))</f>
        <v>0</v>
      </c>
    </row>
    <row r="161" spans="1:24">
      <c r="A161" s="46">
        <f>IF(B161="","","TR-"&amp;TEXT(ROW()-4,"0000"))</f>
        <v>0</v>
      </c>
      <c r="K161" s="32">
        <f>IF(AND(H161&lt;&gt;"",I161&lt;&gt;""),ROUND(I161-H161,1),IF(J161="","",J161))</f>
        <v>0</v>
      </c>
      <c r="M161" s="32">
        <f>IF(K161="","",IF(L161="Yes",ROUND(K161*2,1),K161))</f>
        <v>0</v>
      </c>
      <c r="N161" s="49">
        <f>IF(E161="","",IF(E161="Personal","Personal","Business"))</f>
        <v>0</v>
      </c>
      <c r="O161" s="29">
        <f>IF(B161="","",MileageRate)</f>
        <v>0</v>
      </c>
      <c r="P161" s="29">
        <f>IF(M161="","",IF(N161="Business",ROUND(M161*MileageRate,2),0))</f>
        <v>0</v>
      </c>
      <c r="U161" s="29">
        <f>IF(B161="","",ROUND(IF(P161="",0,P161)+IF(N161="Business",IF(R161="",0,R161)+IF(S161="",0,S161),0),2))</f>
        <v>0</v>
      </c>
      <c r="W161" s="28">
        <f>IF(B161="","",TEXT(B161,"yyyy-mm"))</f>
        <v>0</v>
      </c>
      <c r="X161" s="49">
        <f>IF(B161="","",IF(AND(H161&lt;&gt;"",I161&lt;&gt;"",I161&lt;H161),"Check odometer readings",IF(K161="","Action - add distance",IF(E161="","Action - add a purpose","OK"))))</f>
        <v>0</v>
      </c>
    </row>
    <row r="162" spans="1:24">
      <c r="A162" s="46">
        <f>IF(B162="","","TR-"&amp;TEXT(ROW()-4,"0000"))</f>
        <v>0</v>
      </c>
      <c r="K162" s="32">
        <f>IF(AND(H162&lt;&gt;"",I162&lt;&gt;""),ROUND(I162-H162,1),IF(J162="","",J162))</f>
        <v>0</v>
      </c>
      <c r="M162" s="32">
        <f>IF(K162="","",IF(L162="Yes",ROUND(K162*2,1),K162))</f>
        <v>0</v>
      </c>
      <c r="N162" s="49">
        <f>IF(E162="","",IF(E162="Personal","Personal","Business"))</f>
        <v>0</v>
      </c>
      <c r="O162" s="29">
        <f>IF(B162="","",MileageRate)</f>
        <v>0</v>
      </c>
      <c r="P162" s="29">
        <f>IF(M162="","",IF(N162="Business",ROUND(M162*MileageRate,2),0))</f>
        <v>0</v>
      </c>
      <c r="U162" s="29">
        <f>IF(B162="","",ROUND(IF(P162="",0,P162)+IF(N162="Business",IF(R162="",0,R162)+IF(S162="",0,S162),0),2))</f>
        <v>0</v>
      </c>
      <c r="W162" s="28">
        <f>IF(B162="","",TEXT(B162,"yyyy-mm"))</f>
        <v>0</v>
      </c>
      <c r="X162" s="49">
        <f>IF(B162="","",IF(AND(H162&lt;&gt;"",I162&lt;&gt;"",I162&lt;H162),"Check odometer readings",IF(K162="","Action - add distance",IF(E162="","Action - add a purpose","OK"))))</f>
        <v>0</v>
      </c>
    </row>
    <row r="163" spans="1:24">
      <c r="A163" s="46">
        <f>IF(B163="","","TR-"&amp;TEXT(ROW()-4,"0000"))</f>
        <v>0</v>
      </c>
      <c r="K163" s="32">
        <f>IF(AND(H163&lt;&gt;"",I163&lt;&gt;""),ROUND(I163-H163,1),IF(J163="","",J163))</f>
        <v>0</v>
      </c>
      <c r="M163" s="32">
        <f>IF(K163="","",IF(L163="Yes",ROUND(K163*2,1),K163))</f>
        <v>0</v>
      </c>
      <c r="N163" s="49">
        <f>IF(E163="","",IF(E163="Personal","Personal","Business"))</f>
        <v>0</v>
      </c>
      <c r="O163" s="29">
        <f>IF(B163="","",MileageRate)</f>
        <v>0</v>
      </c>
      <c r="P163" s="29">
        <f>IF(M163="","",IF(N163="Business",ROUND(M163*MileageRate,2),0))</f>
        <v>0</v>
      </c>
      <c r="U163" s="29">
        <f>IF(B163="","",ROUND(IF(P163="",0,P163)+IF(N163="Business",IF(R163="",0,R163)+IF(S163="",0,S163),0),2))</f>
        <v>0</v>
      </c>
      <c r="W163" s="28">
        <f>IF(B163="","",TEXT(B163,"yyyy-mm"))</f>
        <v>0</v>
      </c>
      <c r="X163" s="49">
        <f>IF(B163="","",IF(AND(H163&lt;&gt;"",I163&lt;&gt;"",I163&lt;H163),"Check odometer readings",IF(K163="","Action - add distance",IF(E163="","Action - add a purpose","OK"))))</f>
        <v>0</v>
      </c>
    </row>
    <row r="164" spans="1:24">
      <c r="A164" s="46">
        <f>IF(B164="","","TR-"&amp;TEXT(ROW()-4,"0000"))</f>
        <v>0</v>
      </c>
      <c r="K164" s="32">
        <f>IF(AND(H164&lt;&gt;"",I164&lt;&gt;""),ROUND(I164-H164,1),IF(J164="","",J164))</f>
        <v>0</v>
      </c>
      <c r="M164" s="32">
        <f>IF(K164="","",IF(L164="Yes",ROUND(K164*2,1),K164))</f>
        <v>0</v>
      </c>
      <c r="N164" s="49">
        <f>IF(E164="","",IF(E164="Personal","Personal","Business"))</f>
        <v>0</v>
      </c>
      <c r="O164" s="29">
        <f>IF(B164="","",MileageRate)</f>
        <v>0</v>
      </c>
      <c r="P164" s="29">
        <f>IF(M164="","",IF(N164="Business",ROUND(M164*MileageRate,2),0))</f>
        <v>0</v>
      </c>
      <c r="U164" s="29">
        <f>IF(B164="","",ROUND(IF(P164="",0,P164)+IF(N164="Business",IF(R164="",0,R164)+IF(S164="",0,S164),0),2))</f>
        <v>0</v>
      </c>
      <c r="W164" s="28">
        <f>IF(B164="","",TEXT(B164,"yyyy-mm"))</f>
        <v>0</v>
      </c>
      <c r="X164" s="49">
        <f>IF(B164="","",IF(AND(H164&lt;&gt;"",I164&lt;&gt;"",I164&lt;H164),"Check odometer readings",IF(K164="","Action - add distance",IF(E164="","Action - add a purpose","OK"))))</f>
        <v>0</v>
      </c>
    </row>
    <row r="165" spans="1:24">
      <c r="A165" s="46">
        <f>IF(B165="","","TR-"&amp;TEXT(ROW()-4,"0000"))</f>
        <v>0</v>
      </c>
      <c r="K165" s="32">
        <f>IF(AND(H165&lt;&gt;"",I165&lt;&gt;""),ROUND(I165-H165,1),IF(J165="","",J165))</f>
        <v>0</v>
      </c>
      <c r="M165" s="32">
        <f>IF(K165="","",IF(L165="Yes",ROUND(K165*2,1),K165))</f>
        <v>0</v>
      </c>
      <c r="N165" s="49">
        <f>IF(E165="","",IF(E165="Personal","Personal","Business"))</f>
        <v>0</v>
      </c>
      <c r="O165" s="29">
        <f>IF(B165="","",MileageRate)</f>
        <v>0</v>
      </c>
      <c r="P165" s="29">
        <f>IF(M165="","",IF(N165="Business",ROUND(M165*MileageRate,2),0))</f>
        <v>0</v>
      </c>
      <c r="U165" s="29">
        <f>IF(B165="","",ROUND(IF(P165="",0,P165)+IF(N165="Business",IF(R165="",0,R165)+IF(S165="",0,S165),0),2))</f>
        <v>0</v>
      </c>
      <c r="W165" s="28">
        <f>IF(B165="","",TEXT(B165,"yyyy-mm"))</f>
        <v>0</v>
      </c>
      <c r="X165" s="49">
        <f>IF(B165="","",IF(AND(H165&lt;&gt;"",I165&lt;&gt;"",I165&lt;H165),"Check odometer readings",IF(K165="","Action - add distance",IF(E165="","Action - add a purpose","OK"))))</f>
        <v>0</v>
      </c>
    </row>
    <row r="166" spans="1:24">
      <c r="A166" s="46">
        <f>IF(B166="","","TR-"&amp;TEXT(ROW()-4,"0000"))</f>
        <v>0</v>
      </c>
      <c r="K166" s="32">
        <f>IF(AND(H166&lt;&gt;"",I166&lt;&gt;""),ROUND(I166-H166,1),IF(J166="","",J166))</f>
        <v>0</v>
      </c>
      <c r="M166" s="32">
        <f>IF(K166="","",IF(L166="Yes",ROUND(K166*2,1),K166))</f>
        <v>0</v>
      </c>
      <c r="N166" s="49">
        <f>IF(E166="","",IF(E166="Personal","Personal","Business"))</f>
        <v>0</v>
      </c>
      <c r="O166" s="29">
        <f>IF(B166="","",MileageRate)</f>
        <v>0</v>
      </c>
      <c r="P166" s="29">
        <f>IF(M166="","",IF(N166="Business",ROUND(M166*MileageRate,2),0))</f>
        <v>0</v>
      </c>
      <c r="U166" s="29">
        <f>IF(B166="","",ROUND(IF(P166="",0,P166)+IF(N166="Business",IF(R166="",0,R166)+IF(S166="",0,S166),0),2))</f>
        <v>0</v>
      </c>
      <c r="W166" s="28">
        <f>IF(B166="","",TEXT(B166,"yyyy-mm"))</f>
        <v>0</v>
      </c>
      <c r="X166" s="49">
        <f>IF(B166="","",IF(AND(H166&lt;&gt;"",I166&lt;&gt;"",I166&lt;H166),"Check odometer readings",IF(K166="","Action - add distance",IF(E166="","Action - add a purpose","OK"))))</f>
        <v>0</v>
      </c>
    </row>
    <row r="167" spans="1:24">
      <c r="A167" s="46">
        <f>IF(B167="","","TR-"&amp;TEXT(ROW()-4,"0000"))</f>
        <v>0</v>
      </c>
      <c r="K167" s="32">
        <f>IF(AND(H167&lt;&gt;"",I167&lt;&gt;""),ROUND(I167-H167,1),IF(J167="","",J167))</f>
        <v>0</v>
      </c>
      <c r="M167" s="32">
        <f>IF(K167="","",IF(L167="Yes",ROUND(K167*2,1),K167))</f>
        <v>0</v>
      </c>
      <c r="N167" s="49">
        <f>IF(E167="","",IF(E167="Personal","Personal","Business"))</f>
        <v>0</v>
      </c>
      <c r="O167" s="29">
        <f>IF(B167="","",MileageRate)</f>
        <v>0</v>
      </c>
      <c r="P167" s="29">
        <f>IF(M167="","",IF(N167="Business",ROUND(M167*MileageRate,2),0))</f>
        <v>0</v>
      </c>
      <c r="U167" s="29">
        <f>IF(B167="","",ROUND(IF(P167="",0,P167)+IF(N167="Business",IF(R167="",0,R167)+IF(S167="",0,S167),0),2))</f>
        <v>0</v>
      </c>
      <c r="W167" s="28">
        <f>IF(B167="","",TEXT(B167,"yyyy-mm"))</f>
        <v>0</v>
      </c>
      <c r="X167" s="49">
        <f>IF(B167="","",IF(AND(H167&lt;&gt;"",I167&lt;&gt;"",I167&lt;H167),"Check odometer readings",IF(K167="","Action - add distance",IF(E167="","Action - add a purpose","OK"))))</f>
        <v>0</v>
      </c>
    </row>
    <row r="168" spans="1:24">
      <c r="A168" s="46">
        <f>IF(B168="","","TR-"&amp;TEXT(ROW()-4,"0000"))</f>
        <v>0</v>
      </c>
      <c r="K168" s="32">
        <f>IF(AND(H168&lt;&gt;"",I168&lt;&gt;""),ROUND(I168-H168,1),IF(J168="","",J168))</f>
        <v>0</v>
      </c>
      <c r="M168" s="32">
        <f>IF(K168="","",IF(L168="Yes",ROUND(K168*2,1),K168))</f>
        <v>0</v>
      </c>
      <c r="N168" s="49">
        <f>IF(E168="","",IF(E168="Personal","Personal","Business"))</f>
        <v>0</v>
      </c>
      <c r="O168" s="29">
        <f>IF(B168="","",MileageRate)</f>
        <v>0</v>
      </c>
      <c r="P168" s="29">
        <f>IF(M168="","",IF(N168="Business",ROUND(M168*MileageRate,2),0))</f>
        <v>0</v>
      </c>
      <c r="U168" s="29">
        <f>IF(B168="","",ROUND(IF(P168="",0,P168)+IF(N168="Business",IF(R168="",0,R168)+IF(S168="",0,S168),0),2))</f>
        <v>0</v>
      </c>
      <c r="W168" s="28">
        <f>IF(B168="","",TEXT(B168,"yyyy-mm"))</f>
        <v>0</v>
      </c>
      <c r="X168" s="49">
        <f>IF(B168="","",IF(AND(H168&lt;&gt;"",I168&lt;&gt;"",I168&lt;H168),"Check odometer readings",IF(K168="","Action - add distance",IF(E168="","Action - add a purpose","OK"))))</f>
        <v>0</v>
      </c>
    </row>
    <row r="169" spans="1:24">
      <c r="A169" s="46">
        <f>IF(B169="","","TR-"&amp;TEXT(ROW()-4,"0000"))</f>
        <v>0</v>
      </c>
      <c r="K169" s="32">
        <f>IF(AND(H169&lt;&gt;"",I169&lt;&gt;""),ROUND(I169-H169,1),IF(J169="","",J169))</f>
        <v>0</v>
      </c>
      <c r="M169" s="32">
        <f>IF(K169="","",IF(L169="Yes",ROUND(K169*2,1),K169))</f>
        <v>0</v>
      </c>
      <c r="N169" s="49">
        <f>IF(E169="","",IF(E169="Personal","Personal","Business"))</f>
        <v>0</v>
      </c>
      <c r="O169" s="29">
        <f>IF(B169="","",MileageRate)</f>
        <v>0</v>
      </c>
      <c r="P169" s="29">
        <f>IF(M169="","",IF(N169="Business",ROUND(M169*MileageRate,2),0))</f>
        <v>0</v>
      </c>
      <c r="U169" s="29">
        <f>IF(B169="","",ROUND(IF(P169="",0,P169)+IF(N169="Business",IF(R169="",0,R169)+IF(S169="",0,S169),0),2))</f>
        <v>0</v>
      </c>
      <c r="W169" s="28">
        <f>IF(B169="","",TEXT(B169,"yyyy-mm"))</f>
        <v>0</v>
      </c>
      <c r="X169" s="49">
        <f>IF(B169="","",IF(AND(H169&lt;&gt;"",I169&lt;&gt;"",I169&lt;H169),"Check odometer readings",IF(K169="","Action - add distance",IF(E169="","Action - add a purpose","OK"))))</f>
        <v>0</v>
      </c>
    </row>
    <row r="170" spans="1:24">
      <c r="A170" s="46">
        <f>IF(B170="","","TR-"&amp;TEXT(ROW()-4,"0000"))</f>
        <v>0</v>
      </c>
      <c r="K170" s="32">
        <f>IF(AND(H170&lt;&gt;"",I170&lt;&gt;""),ROUND(I170-H170,1),IF(J170="","",J170))</f>
        <v>0</v>
      </c>
      <c r="M170" s="32">
        <f>IF(K170="","",IF(L170="Yes",ROUND(K170*2,1),K170))</f>
        <v>0</v>
      </c>
      <c r="N170" s="49">
        <f>IF(E170="","",IF(E170="Personal","Personal","Business"))</f>
        <v>0</v>
      </c>
      <c r="O170" s="29">
        <f>IF(B170="","",MileageRate)</f>
        <v>0</v>
      </c>
      <c r="P170" s="29">
        <f>IF(M170="","",IF(N170="Business",ROUND(M170*MileageRate,2),0))</f>
        <v>0</v>
      </c>
      <c r="U170" s="29">
        <f>IF(B170="","",ROUND(IF(P170="",0,P170)+IF(N170="Business",IF(R170="",0,R170)+IF(S170="",0,S170),0),2))</f>
        <v>0</v>
      </c>
      <c r="W170" s="28">
        <f>IF(B170="","",TEXT(B170,"yyyy-mm"))</f>
        <v>0</v>
      </c>
      <c r="X170" s="49">
        <f>IF(B170="","",IF(AND(H170&lt;&gt;"",I170&lt;&gt;"",I170&lt;H170),"Check odometer readings",IF(K170="","Action - add distance",IF(E170="","Action - add a purpose","OK"))))</f>
        <v>0</v>
      </c>
    </row>
    <row r="171" spans="1:24">
      <c r="A171" s="46">
        <f>IF(B171="","","TR-"&amp;TEXT(ROW()-4,"0000"))</f>
        <v>0</v>
      </c>
      <c r="K171" s="32">
        <f>IF(AND(H171&lt;&gt;"",I171&lt;&gt;""),ROUND(I171-H171,1),IF(J171="","",J171))</f>
        <v>0</v>
      </c>
      <c r="M171" s="32">
        <f>IF(K171="","",IF(L171="Yes",ROUND(K171*2,1),K171))</f>
        <v>0</v>
      </c>
      <c r="N171" s="49">
        <f>IF(E171="","",IF(E171="Personal","Personal","Business"))</f>
        <v>0</v>
      </c>
      <c r="O171" s="29">
        <f>IF(B171="","",MileageRate)</f>
        <v>0</v>
      </c>
      <c r="P171" s="29">
        <f>IF(M171="","",IF(N171="Business",ROUND(M171*MileageRate,2),0))</f>
        <v>0</v>
      </c>
      <c r="U171" s="29">
        <f>IF(B171="","",ROUND(IF(P171="",0,P171)+IF(N171="Business",IF(R171="",0,R171)+IF(S171="",0,S171),0),2))</f>
        <v>0</v>
      </c>
      <c r="W171" s="28">
        <f>IF(B171="","",TEXT(B171,"yyyy-mm"))</f>
        <v>0</v>
      </c>
      <c r="X171" s="49">
        <f>IF(B171="","",IF(AND(H171&lt;&gt;"",I171&lt;&gt;"",I171&lt;H171),"Check odometer readings",IF(K171="","Action - add distance",IF(E171="","Action - add a purpose","OK"))))</f>
        <v>0</v>
      </c>
    </row>
    <row r="172" spans="1:24">
      <c r="A172" s="46">
        <f>IF(B172="","","TR-"&amp;TEXT(ROW()-4,"0000"))</f>
        <v>0</v>
      </c>
      <c r="K172" s="32">
        <f>IF(AND(H172&lt;&gt;"",I172&lt;&gt;""),ROUND(I172-H172,1),IF(J172="","",J172))</f>
        <v>0</v>
      </c>
      <c r="M172" s="32">
        <f>IF(K172="","",IF(L172="Yes",ROUND(K172*2,1),K172))</f>
        <v>0</v>
      </c>
      <c r="N172" s="49">
        <f>IF(E172="","",IF(E172="Personal","Personal","Business"))</f>
        <v>0</v>
      </c>
      <c r="O172" s="29">
        <f>IF(B172="","",MileageRate)</f>
        <v>0</v>
      </c>
      <c r="P172" s="29">
        <f>IF(M172="","",IF(N172="Business",ROUND(M172*MileageRate,2),0))</f>
        <v>0</v>
      </c>
      <c r="U172" s="29">
        <f>IF(B172="","",ROUND(IF(P172="",0,P172)+IF(N172="Business",IF(R172="",0,R172)+IF(S172="",0,S172),0),2))</f>
        <v>0</v>
      </c>
      <c r="W172" s="28">
        <f>IF(B172="","",TEXT(B172,"yyyy-mm"))</f>
        <v>0</v>
      </c>
      <c r="X172" s="49">
        <f>IF(B172="","",IF(AND(H172&lt;&gt;"",I172&lt;&gt;"",I172&lt;H172),"Check odometer readings",IF(K172="","Action - add distance",IF(E172="","Action - add a purpose","OK"))))</f>
        <v>0</v>
      </c>
    </row>
    <row r="173" spans="1:24">
      <c r="A173" s="46">
        <f>IF(B173="","","TR-"&amp;TEXT(ROW()-4,"0000"))</f>
        <v>0</v>
      </c>
      <c r="K173" s="32">
        <f>IF(AND(H173&lt;&gt;"",I173&lt;&gt;""),ROUND(I173-H173,1),IF(J173="","",J173))</f>
        <v>0</v>
      </c>
      <c r="M173" s="32">
        <f>IF(K173="","",IF(L173="Yes",ROUND(K173*2,1),K173))</f>
        <v>0</v>
      </c>
      <c r="N173" s="49">
        <f>IF(E173="","",IF(E173="Personal","Personal","Business"))</f>
        <v>0</v>
      </c>
      <c r="O173" s="29">
        <f>IF(B173="","",MileageRate)</f>
        <v>0</v>
      </c>
      <c r="P173" s="29">
        <f>IF(M173="","",IF(N173="Business",ROUND(M173*MileageRate,2),0))</f>
        <v>0</v>
      </c>
      <c r="U173" s="29">
        <f>IF(B173="","",ROUND(IF(P173="",0,P173)+IF(N173="Business",IF(R173="",0,R173)+IF(S173="",0,S173),0),2))</f>
        <v>0</v>
      </c>
      <c r="W173" s="28">
        <f>IF(B173="","",TEXT(B173,"yyyy-mm"))</f>
        <v>0</v>
      </c>
      <c r="X173" s="49">
        <f>IF(B173="","",IF(AND(H173&lt;&gt;"",I173&lt;&gt;"",I173&lt;H173),"Check odometer readings",IF(K173="","Action - add distance",IF(E173="","Action - add a purpose","OK"))))</f>
        <v>0</v>
      </c>
    </row>
    <row r="174" spans="1:24">
      <c r="A174" s="46">
        <f>IF(B174="","","TR-"&amp;TEXT(ROW()-4,"0000"))</f>
        <v>0</v>
      </c>
      <c r="K174" s="32">
        <f>IF(AND(H174&lt;&gt;"",I174&lt;&gt;""),ROUND(I174-H174,1),IF(J174="","",J174))</f>
        <v>0</v>
      </c>
      <c r="M174" s="32">
        <f>IF(K174="","",IF(L174="Yes",ROUND(K174*2,1),K174))</f>
        <v>0</v>
      </c>
      <c r="N174" s="49">
        <f>IF(E174="","",IF(E174="Personal","Personal","Business"))</f>
        <v>0</v>
      </c>
      <c r="O174" s="29">
        <f>IF(B174="","",MileageRate)</f>
        <v>0</v>
      </c>
      <c r="P174" s="29">
        <f>IF(M174="","",IF(N174="Business",ROUND(M174*MileageRate,2),0))</f>
        <v>0</v>
      </c>
      <c r="U174" s="29">
        <f>IF(B174="","",ROUND(IF(P174="",0,P174)+IF(N174="Business",IF(R174="",0,R174)+IF(S174="",0,S174),0),2))</f>
        <v>0</v>
      </c>
      <c r="W174" s="28">
        <f>IF(B174="","",TEXT(B174,"yyyy-mm"))</f>
        <v>0</v>
      </c>
      <c r="X174" s="49">
        <f>IF(B174="","",IF(AND(H174&lt;&gt;"",I174&lt;&gt;"",I174&lt;H174),"Check odometer readings",IF(K174="","Action - add distance",IF(E174="","Action - add a purpose","OK"))))</f>
        <v>0</v>
      </c>
    </row>
    <row r="175" spans="1:24">
      <c r="A175" s="46">
        <f>IF(B175="","","TR-"&amp;TEXT(ROW()-4,"0000"))</f>
        <v>0</v>
      </c>
      <c r="K175" s="32">
        <f>IF(AND(H175&lt;&gt;"",I175&lt;&gt;""),ROUND(I175-H175,1),IF(J175="","",J175))</f>
        <v>0</v>
      </c>
      <c r="M175" s="32">
        <f>IF(K175="","",IF(L175="Yes",ROUND(K175*2,1),K175))</f>
        <v>0</v>
      </c>
      <c r="N175" s="49">
        <f>IF(E175="","",IF(E175="Personal","Personal","Business"))</f>
        <v>0</v>
      </c>
      <c r="O175" s="29">
        <f>IF(B175="","",MileageRate)</f>
        <v>0</v>
      </c>
      <c r="P175" s="29">
        <f>IF(M175="","",IF(N175="Business",ROUND(M175*MileageRate,2),0))</f>
        <v>0</v>
      </c>
      <c r="U175" s="29">
        <f>IF(B175="","",ROUND(IF(P175="",0,P175)+IF(N175="Business",IF(R175="",0,R175)+IF(S175="",0,S175),0),2))</f>
        <v>0</v>
      </c>
      <c r="W175" s="28">
        <f>IF(B175="","",TEXT(B175,"yyyy-mm"))</f>
        <v>0</v>
      </c>
      <c r="X175" s="49">
        <f>IF(B175="","",IF(AND(H175&lt;&gt;"",I175&lt;&gt;"",I175&lt;H175),"Check odometer readings",IF(K175="","Action - add distance",IF(E175="","Action - add a purpose","OK"))))</f>
        <v>0</v>
      </c>
    </row>
    <row r="176" spans="1:24">
      <c r="A176" s="46">
        <f>IF(B176="","","TR-"&amp;TEXT(ROW()-4,"0000"))</f>
        <v>0</v>
      </c>
      <c r="K176" s="32">
        <f>IF(AND(H176&lt;&gt;"",I176&lt;&gt;""),ROUND(I176-H176,1),IF(J176="","",J176))</f>
        <v>0</v>
      </c>
      <c r="M176" s="32">
        <f>IF(K176="","",IF(L176="Yes",ROUND(K176*2,1),K176))</f>
        <v>0</v>
      </c>
      <c r="N176" s="49">
        <f>IF(E176="","",IF(E176="Personal","Personal","Business"))</f>
        <v>0</v>
      </c>
      <c r="O176" s="29">
        <f>IF(B176="","",MileageRate)</f>
        <v>0</v>
      </c>
      <c r="P176" s="29">
        <f>IF(M176="","",IF(N176="Business",ROUND(M176*MileageRate,2),0))</f>
        <v>0</v>
      </c>
      <c r="U176" s="29">
        <f>IF(B176="","",ROUND(IF(P176="",0,P176)+IF(N176="Business",IF(R176="",0,R176)+IF(S176="",0,S176),0),2))</f>
        <v>0</v>
      </c>
      <c r="W176" s="28">
        <f>IF(B176="","",TEXT(B176,"yyyy-mm"))</f>
        <v>0</v>
      </c>
      <c r="X176" s="49">
        <f>IF(B176="","",IF(AND(H176&lt;&gt;"",I176&lt;&gt;"",I176&lt;H176),"Check odometer readings",IF(K176="","Action - add distance",IF(E176="","Action - add a purpose","OK"))))</f>
        <v>0</v>
      </c>
    </row>
    <row r="177" spans="1:24">
      <c r="A177" s="46">
        <f>IF(B177="","","TR-"&amp;TEXT(ROW()-4,"0000"))</f>
        <v>0</v>
      </c>
      <c r="K177" s="32">
        <f>IF(AND(H177&lt;&gt;"",I177&lt;&gt;""),ROUND(I177-H177,1),IF(J177="","",J177))</f>
        <v>0</v>
      </c>
      <c r="M177" s="32">
        <f>IF(K177="","",IF(L177="Yes",ROUND(K177*2,1),K177))</f>
        <v>0</v>
      </c>
      <c r="N177" s="49">
        <f>IF(E177="","",IF(E177="Personal","Personal","Business"))</f>
        <v>0</v>
      </c>
      <c r="O177" s="29">
        <f>IF(B177="","",MileageRate)</f>
        <v>0</v>
      </c>
      <c r="P177" s="29">
        <f>IF(M177="","",IF(N177="Business",ROUND(M177*MileageRate,2),0))</f>
        <v>0</v>
      </c>
      <c r="U177" s="29">
        <f>IF(B177="","",ROUND(IF(P177="",0,P177)+IF(N177="Business",IF(R177="",0,R177)+IF(S177="",0,S177),0),2))</f>
        <v>0</v>
      </c>
      <c r="W177" s="28">
        <f>IF(B177="","",TEXT(B177,"yyyy-mm"))</f>
        <v>0</v>
      </c>
      <c r="X177" s="49">
        <f>IF(B177="","",IF(AND(H177&lt;&gt;"",I177&lt;&gt;"",I177&lt;H177),"Check odometer readings",IF(K177="","Action - add distance",IF(E177="","Action - add a purpose","OK"))))</f>
        <v>0</v>
      </c>
    </row>
    <row r="178" spans="1:24">
      <c r="A178" s="46">
        <f>IF(B178="","","TR-"&amp;TEXT(ROW()-4,"0000"))</f>
        <v>0</v>
      </c>
      <c r="K178" s="32">
        <f>IF(AND(H178&lt;&gt;"",I178&lt;&gt;""),ROUND(I178-H178,1),IF(J178="","",J178))</f>
        <v>0</v>
      </c>
      <c r="M178" s="32">
        <f>IF(K178="","",IF(L178="Yes",ROUND(K178*2,1),K178))</f>
        <v>0</v>
      </c>
      <c r="N178" s="49">
        <f>IF(E178="","",IF(E178="Personal","Personal","Business"))</f>
        <v>0</v>
      </c>
      <c r="O178" s="29">
        <f>IF(B178="","",MileageRate)</f>
        <v>0</v>
      </c>
      <c r="P178" s="29">
        <f>IF(M178="","",IF(N178="Business",ROUND(M178*MileageRate,2),0))</f>
        <v>0</v>
      </c>
      <c r="U178" s="29">
        <f>IF(B178="","",ROUND(IF(P178="",0,P178)+IF(N178="Business",IF(R178="",0,R178)+IF(S178="",0,S178),0),2))</f>
        <v>0</v>
      </c>
      <c r="W178" s="28">
        <f>IF(B178="","",TEXT(B178,"yyyy-mm"))</f>
        <v>0</v>
      </c>
      <c r="X178" s="49">
        <f>IF(B178="","",IF(AND(H178&lt;&gt;"",I178&lt;&gt;"",I178&lt;H178),"Check odometer readings",IF(K178="","Action - add distance",IF(E178="","Action - add a purpose","OK"))))</f>
        <v>0</v>
      </c>
    </row>
    <row r="179" spans="1:24">
      <c r="A179" s="46">
        <f>IF(B179="","","TR-"&amp;TEXT(ROW()-4,"0000"))</f>
        <v>0</v>
      </c>
      <c r="K179" s="32">
        <f>IF(AND(H179&lt;&gt;"",I179&lt;&gt;""),ROUND(I179-H179,1),IF(J179="","",J179))</f>
        <v>0</v>
      </c>
      <c r="M179" s="32">
        <f>IF(K179="","",IF(L179="Yes",ROUND(K179*2,1),K179))</f>
        <v>0</v>
      </c>
      <c r="N179" s="49">
        <f>IF(E179="","",IF(E179="Personal","Personal","Business"))</f>
        <v>0</v>
      </c>
      <c r="O179" s="29">
        <f>IF(B179="","",MileageRate)</f>
        <v>0</v>
      </c>
      <c r="P179" s="29">
        <f>IF(M179="","",IF(N179="Business",ROUND(M179*MileageRate,2),0))</f>
        <v>0</v>
      </c>
      <c r="U179" s="29">
        <f>IF(B179="","",ROUND(IF(P179="",0,P179)+IF(N179="Business",IF(R179="",0,R179)+IF(S179="",0,S179),0),2))</f>
        <v>0</v>
      </c>
      <c r="W179" s="28">
        <f>IF(B179="","",TEXT(B179,"yyyy-mm"))</f>
        <v>0</v>
      </c>
      <c r="X179" s="49">
        <f>IF(B179="","",IF(AND(H179&lt;&gt;"",I179&lt;&gt;"",I179&lt;H179),"Check odometer readings",IF(K179="","Action - add distance",IF(E179="","Action - add a purpose","OK"))))</f>
        <v>0</v>
      </c>
    </row>
    <row r="180" spans="1:24">
      <c r="A180" s="46">
        <f>IF(B180="","","TR-"&amp;TEXT(ROW()-4,"0000"))</f>
        <v>0</v>
      </c>
      <c r="K180" s="32">
        <f>IF(AND(H180&lt;&gt;"",I180&lt;&gt;""),ROUND(I180-H180,1),IF(J180="","",J180))</f>
        <v>0</v>
      </c>
      <c r="M180" s="32">
        <f>IF(K180="","",IF(L180="Yes",ROUND(K180*2,1),K180))</f>
        <v>0</v>
      </c>
      <c r="N180" s="49">
        <f>IF(E180="","",IF(E180="Personal","Personal","Business"))</f>
        <v>0</v>
      </c>
      <c r="O180" s="29">
        <f>IF(B180="","",MileageRate)</f>
        <v>0</v>
      </c>
      <c r="P180" s="29">
        <f>IF(M180="","",IF(N180="Business",ROUND(M180*MileageRate,2),0))</f>
        <v>0</v>
      </c>
      <c r="U180" s="29">
        <f>IF(B180="","",ROUND(IF(P180="",0,P180)+IF(N180="Business",IF(R180="",0,R180)+IF(S180="",0,S180),0),2))</f>
        <v>0</v>
      </c>
      <c r="W180" s="28">
        <f>IF(B180="","",TEXT(B180,"yyyy-mm"))</f>
        <v>0</v>
      </c>
      <c r="X180" s="49">
        <f>IF(B180="","",IF(AND(H180&lt;&gt;"",I180&lt;&gt;"",I180&lt;H180),"Check odometer readings",IF(K180="","Action - add distance",IF(E180="","Action - add a purpose","OK"))))</f>
        <v>0</v>
      </c>
    </row>
    <row r="181" spans="1:24">
      <c r="A181" s="46">
        <f>IF(B181="","","TR-"&amp;TEXT(ROW()-4,"0000"))</f>
        <v>0</v>
      </c>
      <c r="K181" s="32">
        <f>IF(AND(H181&lt;&gt;"",I181&lt;&gt;""),ROUND(I181-H181,1),IF(J181="","",J181))</f>
        <v>0</v>
      </c>
      <c r="M181" s="32">
        <f>IF(K181="","",IF(L181="Yes",ROUND(K181*2,1),K181))</f>
        <v>0</v>
      </c>
      <c r="N181" s="49">
        <f>IF(E181="","",IF(E181="Personal","Personal","Business"))</f>
        <v>0</v>
      </c>
      <c r="O181" s="29">
        <f>IF(B181="","",MileageRate)</f>
        <v>0</v>
      </c>
      <c r="P181" s="29">
        <f>IF(M181="","",IF(N181="Business",ROUND(M181*MileageRate,2),0))</f>
        <v>0</v>
      </c>
      <c r="U181" s="29">
        <f>IF(B181="","",ROUND(IF(P181="",0,P181)+IF(N181="Business",IF(R181="",0,R181)+IF(S181="",0,S181),0),2))</f>
        <v>0</v>
      </c>
      <c r="W181" s="28">
        <f>IF(B181="","",TEXT(B181,"yyyy-mm"))</f>
        <v>0</v>
      </c>
      <c r="X181" s="49">
        <f>IF(B181="","",IF(AND(H181&lt;&gt;"",I181&lt;&gt;"",I181&lt;H181),"Check odometer readings",IF(K181="","Action - add distance",IF(E181="","Action - add a purpose","OK"))))</f>
        <v>0</v>
      </c>
    </row>
    <row r="182" spans="1:24">
      <c r="A182" s="46">
        <f>IF(B182="","","TR-"&amp;TEXT(ROW()-4,"0000"))</f>
        <v>0</v>
      </c>
      <c r="K182" s="32">
        <f>IF(AND(H182&lt;&gt;"",I182&lt;&gt;""),ROUND(I182-H182,1),IF(J182="","",J182))</f>
        <v>0</v>
      </c>
      <c r="M182" s="32">
        <f>IF(K182="","",IF(L182="Yes",ROUND(K182*2,1),K182))</f>
        <v>0</v>
      </c>
      <c r="N182" s="49">
        <f>IF(E182="","",IF(E182="Personal","Personal","Business"))</f>
        <v>0</v>
      </c>
      <c r="O182" s="29">
        <f>IF(B182="","",MileageRate)</f>
        <v>0</v>
      </c>
      <c r="P182" s="29">
        <f>IF(M182="","",IF(N182="Business",ROUND(M182*MileageRate,2),0))</f>
        <v>0</v>
      </c>
      <c r="U182" s="29">
        <f>IF(B182="","",ROUND(IF(P182="",0,P182)+IF(N182="Business",IF(R182="",0,R182)+IF(S182="",0,S182),0),2))</f>
        <v>0</v>
      </c>
      <c r="W182" s="28">
        <f>IF(B182="","",TEXT(B182,"yyyy-mm"))</f>
        <v>0</v>
      </c>
      <c r="X182" s="49">
        <f>IF(B182="","",IF(AND(H182&lt;&gt;"",I182&lt;&gt;"",I182&lt;H182),"Check odometer readings",IF(K182="","Action - add distance",IF(E182="","Action - add a purpose","OK"))))</f>
        <v>0</v>
      </c>
    </row>
    <row r="183" spans="1:24">
      <c r="A183" s="46">
        <f>IF(B183="","","TR-"&amp;TEXT(ROW()-4,"0000"))</f>
        <v>0</v>
      </c>
      <c r="K183" s="32">
        <f>IF(AND(H183&lt;&gt;"",I183&lt;&gt;""),ROUND(I183-H183,1),IF(J183="","",J183))</f>
        <v>0</v>
      </c>
      <c r="M183" s="32">
        <f>IF(K183="","",IF(L183="Yes",ROUND(K183*2,1),K183))</f>
        <v>0</v>
      </c>
      <c r="N183" s="49">
        <f>IF(E183="","",IF(E183="Personal","Personal","Business"))</f>
        <v>0</v>
      </c>
      <c r="O183" s="29">
        <f>IF(B183="","",MileageRate)</f>
        <v>0</v>
      </c>
      <c r="P183" s="29">
        <f>IF(M183="","",IF(N183="Business",ROUND(M183*MileageRate,2),0))</f>
        <v>0</v>
      </c>
      <c r="U183" s="29">
        <f>IF(B183="","",ROUND(IF(P183="",0,P183)+IF(N183="Business",IF(R183="",0,R183)+IF(S183="",0,S183),0),2))</f>
        <v>0</v>
      </c>
      <c r="W183" s="28">
        <f>IF(B183="","",TEXT(B183,"yyyy-mm"))</f>
        <v>0</v>
      </c>
      <c r="X183" s="49">
        <f>IF(B183="","",IF(AND(H183&lt;&gt;"",I183&lt;&gt;"",I183&lt;H183),"Check odometer readings",IF(K183="","Action - add distance",IF(E183="","Action - add a purpose","OK"))))</f>
        <v>0</v>
      </c>
    </row>
    <row r="184" spans="1:24">
      <c r="A184" s="46">
        <f>IF(B184="","","TR-"&amp;TEXT(ROW()-4,"0000"))</f>
        <v>0</v>
      </c>
      <c r="K184" s="32">
        <f>IF(AND(H184&lt;&gt;"",I184&lt;&gt;""),ROUND(I184-H184,1),IF(J184="","",J184))</f>
        <v>0</v>
      </c>
      <c r="M184" s="32">
        <f>IF(K184="","",IF(L184="Yes",ROUND(K184*2,1),K184))</f>
        <v>0</v>
      </c>
      <c r="N184" s="49">
        <f>IF(E184="","",IF(E184="Personal","Personal","Business"))</f>
        <v>0</v>
      </c>
      <c r="O184" s="29">
        <f>IF(B184="","",MileageRate)</f>
        <v>0</v>
      </c>
      <c r="P184" s="29">
        <f>IF(M184="","",IF(N184="Business",ROUND(M184*MileageRate,2),0))</f>
        <v>0</v>
      </c>
      <c r="U184" s="29">
        <f>IF(B184="","",ROUND(IF(P184="",0,P184)+IF(N184="Business",IF(R184="",0,R184)+IF(S184="",0,S184),0),2))</f>
        <v>0</v>
      </c>
      <c r="W184" s="28">
        <f>IF(B184="","",TEXT(B184,"yyyy-mm"))</f>
        <v>0</v>
      </c>
      <c r="X184" s="49">
        <f>IF(B184="","",IF(AND(H184&lt;&gt;"",I184&lt;&gt;"",I184&lt;H184),"Check odometer readings",IF(K184="","Action - add distance",IF(E184="","Action - add a purpose","OK"))))</f>
        <v>0</v>
      </c>
    </row>
    <row r="185" spans="1:24">
      <c r="A185" s="46">
        <f>IF(B185="","","TR-"&amp;TEXT(ROW()-4,"0000"))</f>
        <v>0</v>
      </c>
      <c r="K185" s="32">
        <f>IF(AND(H185&lt;&gt;"",I185&lt;&gt;""),ROUND(I185-H185,1),IF(J185="","",J185))</f>
        <v>0</v>
      </c>
      <c r="M185" s="32">
        <f>IF(K185="","",IF(L185="Yes",ROUND(K185*2,1),K185))</f>
        <v>0</v>
      </c>
      <c r="N185" s="49">
        <f>IF(E185="","",IF(E185="Personal","Personal","Business"))</f>
        <v>0</v>
      </c>
      <c r="O185" s="29">
        <f>IF(B185="","",MileageRate)</f>
        <v>0</v>
      </c>
      <c r="P185" s="29">
        <f>IF(M185="","",IF(N185="Business",ROUND(M185*MileageRate,2),0))</f>
        <v>0</v>
      </c>
      <c r="U185" s="29">
        <f>IF(B185="","",ROUND(IF(P185="",0,P185)+IF(N185="Business",IF(R185="",0,R185)+IF(S185="",0,S185),0),2))</f>
        <v>0</v>
      </c>
      <c r="W185" s="28">
        <f>IF(B185="","",TEXT(B185,"yyyy-mm"))</f>
        <v>0</v>
      </c>
      <c r="X185" s="49">
        <f>IF(B185="","",IF(AND(H185&lt;&gt;"",I185&lt;&gt;"",I185&lt;H185),"Check odometer readings",IF(K185="","Action - add distance",IF(E185="","Action - add a purpose","OK"))))</f>
        <v>0</v>
      </c>
    </row>
    <row r="186" spans="1:24">
      <c r="A186" s="46">
        <f>IF(B186="","","TR-"&amp;TEXT(ROW()-4,"0000"))</f>
        <v>0</v>
      </c>
      <c r="K186" s="32">
        <f>IF(AND(H186&lt;&gt;"",I186&lt;&gt;""),ROUND(I186-H186,1),IF(J186="","",J186))</f>
        <v>0</v>
      </c>
      <c r="M186" s="32">
        <f>IF(K186="","",IF(L186="Yes",ROUND(K186*2,1),K186))</f>
        <v>0</v>
      </c>
      <c r="N186" s="49">
        <f>IF(E186="","",IF(E186="Personal","Personal","Business"))</f>
        <v>0</v>
      </c>
      <c r="O186" s="29">
        <f>IF(B186="","",MileageRate)</f>
        <v>0</v>
      </c>
      <c r="P186" s="29">
        <f>IF(M186="","",IF(N186="Business",ROUND(M186*MileageRate,2),0))</f>
        <v>0</v>
      </c>
      <c r="U186" s="29">
        <f>IF(B186="","",ROUND(IF(P186="",0,P186)+IF(N186="Business",IF(R186="",0,R186)+IF(S186="",0,S186),0),2))</f>
        <v>0</v>
      </c>
      <c r="W186" s="28">
        <f>IF(B186="","",TEXT(B186,"yyyy-mm"))</f>
        <v>0</v>
      </c>
      <c r="X186" s="49">
        <f>IF(B186="","",IF(AND(H186&lt;&gt;"",I186&lt;&gt;"",I186&lt;H186),"Check odometer readings",IF(K186="","Action - add distance",IF(E186="","Action - add a purpose","OK"))))</f>
        <v>0</v>
      </c>
    </row>
    <row r="187" spans="1:24">
      <c r="A187" s="46">
        <f>IF(B187="","","TR-"&amp;TEXT(ROW()-4,"0000"))</f>
        <v>0</v>
      </c>
      <c r="K187" s="32">
        <f>IF(AND(H187&lt;&gt;"",I187&lt;&gt;""),ROUND(I187-H187,1),IF(J187="","",J187))</f>
        <v>0</v>
      </c>
      <c r="M187" s="32">
        <f>IF(K187="","",IF(L187="Yes",ROUND(K187*2,1),K187))</f>
        <v>0</v>
      </c>
      <c r="N187" s="49">
        <f>IF(E187="","",IF(E187="Personal","Personal","Business"))</f>
        <v>0</v>
      </c>
      <c r="O187" s="29">
        <f>IF(B187="","",MileageRate)</f>
        <v>0</v>
      </c>
      <c r="P187" s="29">
        <f>IF(M187="","",IF(N187="Business",ROUND(M187*MileageRate,2),0))</f>
        <v>0</v>
      </c>
      <c r="U187" s="29">
        <f>IF(B187="","",ROUND(IF(P187="",0,P187)+IF(N187="Business",IF(R187="",0,R187)+IF(S187="",0,S187),0),2))</f>
        <v>0</v>
      </c>
      <c r="W187" s="28">
        <f>IF(B187="","",TEXT(B187,"yyyy-mm"))</f>
        <v>0</v>
      </c>
      <c r="X187" s="49">
        <f>IF(B187="","",IF(AND(H187&lt;&gt;"",I187&lt;&gt;"",I187&lt;H187),"Check odometer readings",IF(K187="","Action - add distance",IF(E187="","Action - add a purpose","OK"))))</f>
        <v>0</v>
      </c>
    </row>
    <row r="188" spans="1:24">
      <c r="A188" s="46">
        <f>IF(B188="","","TR-"&amp;TEXT(ROW()-4,"0000"))</f>
        <v>0</v>
      </c>
      <c r="K188" s="32">
        <f>IF(AND(H188&lt;&gt;"",I188&lt;&gt;""),ROUND(I188-H188,1),IF(J188="","",J188))</f>
        <v>0</v>
      </c>
      <c r="M188" s="32">
        <f>IF(K188="","",IF(L188="Yes",ROUND(K188*2,1),K188))</f>
        <v>0</v>
      </c>
      <c r="N188" s="49">
        <f>IF(E188="","",IF(E188="Personal","Personal","Business"))</f>
        <v>0</v>
      </c>
      <c r="O188" s="29">
        <f>IF(B188="","",MileageRate)</f>
        <v>0</v>
      </c>
      <c r="P188" s="29">
        <f>IF(M188="","",IF(N188="Business",ROUND(M188*MileageRate,2),0))</f>
        <v>0</v>
      </c>
      <c r="U188" s="29">
        <f>IF(B188="","",ROUND(IF(P188="",0,P188)+IF(N188="Business",IF(R188="",0,R188)+IF(S188="",0,S188),0),2))</f>
        <v>0</v>
      </c>
      <c r="W188" s="28">
        <f>IF(B188="","",TEXT(B188,"yyyy-mm"))</f>
        <v>0</v>
      </c>
      <c r="X188" s="49">
        <f>IF(B188="","",IF(AND(H188&lt;&gt;"",I188&lt;&gt;"",I188&lt;H188),"Check odometer readings",IF(K188="","Action - add distance",IF(E188="","Action - add a purpose","OK"))))</f>
        <v>0</v>
      </c>
    </row>
    <row r="189" spans="1:24">
      <c r="A189" s="46">
        <f>IF(B189="","","TR-"&amp;TEXT(ROW()-4,"0000"))</f>
        <v>0</v>
      </c>
      <c r="K189" s="32">
        <f>IF(AND(H189&lt;&gt;"",I189&lt;&gt;""),ROUND(I189-H189,1),IF(J189="","",J189))</f>
        <v>0</v>
      </c>
      <c r="M189" s="32">
        <f>IF(K189="","",IF(L189="Yes",ROUND(K189*2,1),K189))</f>
        <v>0</v>
      </c>
      <c r="N189" s="49">
        <f>IF(E189="","",IF(E189="Personal","Personal","Business"))</f>
        <v>0</v>
      </c>
      <c r="O189" s="29">
        <f>IF(B189="","",MileageRate)</f>
        <v>0</v>
      </c>
      <c r="P189" s="29">
        <f>IF(M189="","",IF(N189="Business",ROUND(M189*MileageRate,2),0))</f>
        <v>0</v>
      </c>
      <c r="U189" s="29">
        <f>IF(B189="","",ROUND(IF(P189="",0,P189)+IF(N189="Business",IF(R189="",0,R189)+IF(S189="",0,S189),0),2))</f>
        <v>0</v>
      </c>
      <c r="W189" s="28">
        <f>IF(B189="","",TEXT(B189,"yyyy-mm"))</f>
        <v>0</v>
      </c>
      <c r="X189" s="49">
        <f>IF(B189="","",IF(AND(H189&lt;&gt;"",I189&lt;&gt;"",I189&lt;H189),"Check odometer readings",IF(K189="","Action - add distance",IF(E189="","Action - add a purpose","OK"))))</f>
        <v>0</v>
      </c>
    </row>
    <row r="190" spans="1:24">
      <c r="A190" s="46">
        <f>IF(B190="","","TR-"&amp;TEXT(ROW()-4,"0000"))</f>
        <v>0</v>
      </c>
      <c r="K190" s="32">
        <f>IF(AND(H190&lt;&gt;"",I190&lt;&gt;""),ROUND(I190-H190,1),IF(J190="","",J190))</f>
        <v>0</v>
      </c>
      <c r="M190" s="32">
        <f>IF(K190="","",IF(L190="Yes",ROUND(K190*2,1),K190))</f>
        <v>0</v>
      </c>
      <c r="N190" s="49">
        <f>IF(E190="","",IF(E190="Personal","Personal","Business"))</f>
        <v>0</v>
      </c>
      <c r="O190" s="29">
        <f>IF(B190="","",MileageRate)</f>
        <v>0</v>
      </c>
      <c r="P190" s="29">
        <f>IF(M190="","",IF(N190="Business",ROUND(M190*MileageRate,2),0))</f>
        <v>0</v>
      </c>
      <c r="U190" s="29">
        <f>IF(B190="","",ROUND(IF(P190="",0,P190)+IF(N190="Business",IF(R190="",0,R190)+IF(S190="",0,S190),0),2))</f>
        <v>0</v>
      </c>
      <c r="W190" s="28">
        <f>IF(B190="","",TEXT(B190,"yyyy-mm"))</f>
        <v>0</v>
      </c>
      <c r="X190" s="49">
        <f>IF(B190="","",IF(AND(H190&lt;&gt;"",I190&lt;&gt;"",I190&lt;H190),"Check odometer readings",IF(K190="","Action - add distance",IF(E190="","Action - add a purpose","OK"))))</f>
        <v>0</v>
      </c>
    </row>
    <row r="191" spans="1:24">
      <c r="A191" s="46">
        <f>IF(B191="","","TR-"&amp;TEXT(ROW()-4,"0000"))</f>
        <v>0</v>
      </c>
      <c r="K191" s="32">
        <f>IF(AND(H191&lt;&gt;"",I191&lt;&gt;""),ROUND(I191-H191,1),IF(J191="","",J191))</f>
        <v>0</v>
      </c>
      <c r="M191" s="32">
        <f>IF(K191="","",IF(L191="Yes",ROUND(K191*2,1),K191))</f>
        <v>0</v>
      </c>
      <c r="N191" s="49">
        <f>IF(E191="","",IF(E191="Personal","Personal","Business"))</f>
        <v>0</v>
      </c>
      <c r="O191" s="29">
        <f>IF(B191="","",MileageRate)</f>
        <v>0</v>
      </c>
      <c r="P191" s="29">
        <f>IF(M191="","",IF(N191="Business",ROUND(M191*MileageRate,2),0))</f>
        <v>0</v>
      </c>
      <c r="U191" s="29">
        <f>IF(B191="","",ROUND(IF(P191="",0,P191)+IF(N191="Business",IF(R191="",0,R191)+IF(S191="",0,S191),0),2))</f>
        <v>0</v>
      </c>
      <c r="W191" s="28">
        <f>IF(B191="","",TEXT(B191,"yyyy-mm"))</f>
        <v>0</v>
      </c>
      <c r="X191" s="49">
        <f>IF(B191="","",IF(AND(H191&lt;&gt;"",I191&lt;&gt;"",I191&lt;H191),"Check odometer readings",IF(K191="","Action - add distance",IF(E191="","Action - add a purpose","OK"))))</f>
        <v>0</v>
      </c>
    </row>
    <row r="192" spans="1:24">
      <c r="A192" s="46">
        <f>IF(B192="","","TR-"&amp;TEXT(ROW()-4,"0000"))</f>
        <v>0</v>
      </c>
      <c r="K192" s="32">
        <f>IF(AND(H192&lt;&gt;"",I192&lt;&gt;""),ROUND(I192-H192,1),IF(J192="","",J192))</f>
        <v>0</v>
      </c>
      <c r="M192" s="32">
        <f>IF(K192="","",IF(L192="Yes",ROUND(K192*2,1),K192))</f>
        <v>0</v>
      </c>
      <c r="N192" s="49">
        <f>IF(E192="","",IF(E192="Personal","Personal","Business"))</f>
        <v>0</v>
      </c>
      <c r="O192" s="29">
        <f>IF(B192="","",MileageRate)</f>
        <v>0</v>
      </c>
      <c r="P192" s="29">
        <f>IF(M192="","",IF(N192="Business",ROUND(M192*MileageRate,2),0))</f>
        <v>0</v>
      </c>
      <c r="U192" s="29">
        <f>IF(B192="","",ROUND(IF(P192="",0,P192)+IF(N192="Business",IF(R192="",0,R192)+IF(S192="",0,S192),0),2))</f>
        <v>0</v>
      </c>
      <c r="W192" s="28">
        <f>IF(B192="","",TEXT(B192,"yyyy-mm"))</f>
        <v>0</v>
      </c>
      <c r="X192" s="49">
        <f>IF(B192="","",IF(AND(H192&lt;&gt;"",I192&lt;&gt;"",I192&lt;H192),"Check odometer readings",IF(K192="","Action - add distance",IF(E192="","Action - add a purpose","OK"))))</f>
        <v>0</v>
      </c>
    </row>
    <row r="193" spans="1:24">
      <c r="A193" s="46">
        <f>IF(B193="","","TR-"&amp;TEXT(ROW()-4,"0000"))</f>
        <v>0</v>
      </c>
      <c r="K193" s="32">
        <f>IF(AND(H193&lt;&gt;"",I193&lt;&gt;""),ROUND(I193-H193,1),IF(J193="","",J193))</f>
        <v>0</v>
      </c>
      <c r="M193" s="32">
        <f>IF(K193="","",IF(L193="Yes",ROUND(K193*2,1),K193))</f>
        <v>0</v>
      </c>
      <c r="N193" s="49">
        <f>IF(E193="","",IF(E193="Personal","Personal","Business"))</f>
        <v>0</v>
      </c>
      <c r="O193" s="29">
        <f>IF(B193="","",MileageRate)</f>
        <v>0</v>
      </c>
      <c r="P193" s="29">
        <f>IF(M193="","",IF(N193="Business",ROUND(M193*MileageRate,2),0))</f>
        <v>0</v>
      </c>
      <c r="U193" s="29">
        <f>IF(B193="","",ROUND(IF(P193="",0,P193)+IF(N193="Business",IF(R193="",0,R193)+IF(S193="",0,S193),0),2))</f>
        <v>0</v>
      </c>
      <c r="W193" s="28">
        <f>IF(B193="","",TEXT(B193,"yyyy-mm"))</f>
        <v>0</v>
      </c>
      <c r="X193" s="49">
        <f>IF(B193="","",IF(AND(H193&lt;&gt;"",I193&lt;&gt;"",I193&lt;H193),"Check odometer readings",IF(K193="","Action - add distance",IF(E193="","Action - add a purpose","OK"))))</f>
        <v>0</v>
      </c>
    </row>
    <row r="194" spans="1:24">
      <c r="A194" s="46">
        <f>IF(B194="","","TR-"&amp;TEXT(ROW()-4,"0000"))</f>
        <v>0</v>
      </c>
      <c r="K194" s="32">
        <f>IF(AND(H194&lt;&gt;"",I194&lt;&gt;""),ROUND(I194-H194,1),IF(J194="","",J194))</f>
        <v>0</v>
      </c>
      <c r="M194" s="32">
        <f>IF(K194="","",IF(L194="Yes",ROUND(K194*2,1),K194))</f>
        <v>0</v>
      </c>
      <c r="N194" s="49">
        <f>IF(E194="","",IF(E194="Personal","Personal","Business"))</f>
        <v>0</v>
      </c>
      <c r="O194" s="29">
        <f>IF(B194="","",MileageRate)</f>
        <v>0</v>
      </c>
      <c r="P194" s="29">
        <f>IF(M194="","",IF(N194="Business",ROUND(M194*MileageRate,2),0))</f>
        <v>0</v>
      </c>
      <c r="U194" s="29">
        <f>IF(B194="","",ROUND(IF(P194="",0,P194)+IF(N194="Business",IF(R194="",0,R194)+IF(S194="",0,S194),0),2))</f>
        <v>0</v>
      </c>
      <c r="W194" s="28">
        <f>IF(B194="","",TEXT(B194,"yyyy-mm"))</f>
        <v>0</v>
      </c>
      <c r="X194" s="49">
        <f>IF(B194="","",IF(AND(H194&lt;&gt;"",I194&lt;&gt;"",I194&lt;H194),"Check odometer readings",IF(K194="","Action - add distance",IF(E194="","Action - add a purpose","OK"))))</f>
        <v>0</v>
      </c>
    </row>
    <row r="195" spans="1:24">
      <c r="A195" s="46">
        <f>IF(B195="","","TR-"&amp;TEXT(ROW()-4,"0000"))</f>
        <v>0</v>
      </c>
      <c r="K195" s="32">
        <f>IF(AND(H195&lt;&gt;"",I195&lt;&gt;""),ROUND(I195-H195,1),IF(J195="","",J195))</f>
        <v>0</v>
      </c>
      <c r="M195" s="32">
        <f>IF(K195="","",IF(L195="Yes",ROUND(K195*2,1),K195))</f>
        <v>0</v>
      </c>
      <c r="N195" s="49">
        <f>IF(E195="","",IF(E195="Personal","Personal","Business"))</f>
        <v>0</v>
      </c>
      <c r="O195" s="29">
        <f>IF(B195="","",MileageRate)</f>
        <v>0</v>
      </c>
      <c r="P195" s="29">
        <f>IF(M195="","",IF(N195="Business",ROUND(M195*MileageRate,2),0))</f>
        <v>0</v>
      </c>
      <c r="U195" s="29">
        <f>IF(B195="","",ROUND(IF(P195="",0,P195)+IF(N195="Business",IF(R195="",0,R195)+IF(S195="",0,S195),0),2))</f>
        <v>0</v>
      </c>
      <c r="W195" s="28">
        <f>IF(B195="","",TEXT(B195,"yyyy-mm"))</f>
        <v>0</v>
      </c>
      <c r="X195" s="49">
        <f>IF(B195="","",IF(AND(H195&lt;&gt;"",I195&lt;&gt;"",I195&lt;H195),"Check odometer readings",IF(K195="","Action - add distance",IF(E195="","Action - add a purpose","OK"))))</f>
        <v>0</v>
      </c>
    </row>
    <row r="196" spans="1:24">
      <c r="A196" s="46">
        <f>IF(B196="","","TR-"&amp;TEXT(ROW()-4,"0000"))</f>
        <v>0</v>
      </c>
      <c r="K196" s="32">
        <f>IF(AND(H196&lt;&gt;"",I196&lt;&gt;""),ROUND(I196-H196,1),IF(J196="","",J196))</f>
        <v>0</v>
      </c>
      <c r="M196" s="32">
        <f>IF(K196="","",IF(L196="Yes",ROUND(K196*2,1),K196))</f>
        <v>0</v>
      </c>
      <c r="N196" s="49">
        <f>IF(E196="","",IF(E196="Personal","Personal","Business"))</f>
        <v>0</v>
      </c>
      <c r="O196" s="29">
        <f>IF(B196="","",MileageRate)</f>
        <v>0</v>
      </c>
      <c r="P196" s="29">
        <f>IF(M196="","",IF(N196="Business",ROUND(M196*MileageRate,2),0))</f>
        <v>0</v>
      </c>
      <c r="U196" s="29">
        <f>IF(B196="","",ROUND(IF(P196="",0,P196)+IF(N196="Business",IF(R196="",0,R196)+IF(S196="",0,S196),0),2))</f>
        <v>0</v>
      </c>
      <c r="W196" s="28">
        <f>IF(B196="","",TEXT(B196,"yyyy-mm"))</f>
        <v>0</v>
      </c>
      <c r="X196" s="49">
        <f>IF(B196="","",IF(AND(H196&lt;&gt;"",I196&lt;&gt;"",I196&lt;H196),"Check odometer readings",IF(K196="","Action - add distance",IF(E196="","Action - add a purpose","OK"))))</f>
        <v>0</v>
      </c>
    </row>
    <row r="197" spans="1:24">
      <c r="A197" s="46">
        <f>IF(B197="","","TR-"&amp;TEXT(ROW()-4,"0000"))</f>
        <v>0</v>
      </c>
      <c r="K197" s="32">
        <f>IF(AND(H197&lt;&gt;"",I197&lt;&gt;""),ROUND(I197-H197,1),IF(J197="","",J197))</f>
        <v>0</v>
      </c>
      <c r="M197" s="32">
        <f>IF(K197="","",IF(L197="Yes",ROUND(K197*2,1),K197))</f>
        <v>0</v>
      </c>
      <c r="N197" s="49">
        <f>IF(E197="","",IF(E197="Personal","Personal","Business"))</f>
        <v>0</v>
      </c>
      <c r="O197" s="29">
        <f>IF(B197="","",MileageRate)</f>
        <v>0</v>
      </c>
      <c r="P197" s="29">
        <f>IF(M197="","",IF(N197="Business",ROUND(M197*MileageRate,2),0))</f>
        <v>0</v>
      </c>
      <c r="U197" s="29">
        <f>IF(B197="","",ROUND(IF(P197="",0,P197)+IF(N197="Business",IF(R197="",0,R197)+IF(S197="",0,S197),0),2))</f>
        <v>0</v>
      </c>
      <c r="W197" s="28">
        <f>IF(B197="","",TEXT(B197,"yyyy-mm"))</f>
        <v>0</v>
      </c>
      <c r="X197" s="49">
        <f>IF(B197="","",IF(AND(H197&lt;&gt;"",I197&lt;&gt;"",I197&lt;H197),"Check odometer readings",IF(K197="","Action - add distance",IF(E197="","Action - add a purpose","OK"))))</f>
        <v>0</v>
      </c>
    </row>
    <row r="198" spans="1:24">
      <c r="A198" s="46">
        <f>IF(B198="","","TR-"&amp;TEXT(ROW()-4,"0000"))</f>
        <v>0</v>
      </c>
      <c r="K198" s="32">
        <f>IF(AND(H198&lt;&gt;"",I198&lt;&gt;""),ROUND(I198-H198,1),IF(J198="","",J198))</f>
        <v>0</v>
      </c>
      <c r="M198" s="32">
        <f>IF(K198="","",IF(L198="Yes",ROUND(K198*2,1),K198))</f>
        <v>0</v>
      </c>
      <c r="N198" s="49">
        <f>IF(E198="","",IF(E198="Personal","Personal","Business"))</f>
        <v>0</v>
      </c>
      <c r="O198" s="29">
        <f>IF(B198="","",MileageRate)</f>
        <v>0</v>
      </c>
      <c r="P198" s="29">
        <f>IF(M198="","",IF(N198="Business",ROUND(M198*MileageRate,2),0))</f>
        <v>0</v>
      </c>
      <c r="U198" s="29">
        <f>IF(B198="","",ROUND(IF(P198="",0,P198)+IF(N198="Business",IF(R198="",0,R198)+IF(S198="",0,S198),0),2))</f>
        <v>0</v>
      </c>
      <c r="W198" s="28">
        <f>IF(B198="","",TEXT(B198,"yyyy-mm"))</f>
        <v>0</v>
      </c>
      <c r="X198" s="49">
        <f>IF(B198="","",IF(AND(H198&lt;&gt;"",I198&lt;&gt;"",I198&lt;H198),"Check odometer readings",IF(K198="","Action - add distance",IF(E198="","Action - add a purpose","OK"))))</f>
        <v>0</v>
      </c>
    </row>
    <row r="199" spans="1:24">
      <c r="A199" s="46">
        <f>IF(B199="","","TR-"&amp;TEXT(ROW()-4,"0000"))</f>
        <v>0</v>
      </c>
      <c r="K199" s="32">
        <f>IF(AND(H199&lt;&gt;"",I199&lt;&gt;""),ROUND(I199-H199,1),IF(J199="","",J199))</f>
        <v>0</v>
      </c>
      <c r="M199" s="32">
        <f>IF(K199="","",IF(L199="Yes",ROUND(K199*2,1),K199))</f>
        <v>0</v>
      </c>
      <c r="N199" s="49">
        <f>IF(E199="","",IF(E199="Personal","Personal","Business"))</f>
        <v>0</v>
      </c>
      <c r="O199" s="29">
        <f>IF(B199="","",MileageRate)</f>
        <v>0</v>
      </c>
      <c r="P199" s="29">
        <f>IF(M199="","",IF(N199="Business",ROUND(M199*MileageRate,2),0))</f>
        <v>0</v>
      </c>
      <c r="U199" s="29">
        <f>IF(B199="","",ROUND(IF(P199="",0,P199)+IF(N199="Business",IF(R199="",0,R199)+IF(S199="",0,S199),0),2))</f>
        <v>0</v>
      </c>
      <c r="W199" s="28">
        <f>IF(B199="","",TEXT(B199,"yyyy-mm"))</f>
        <v>0</v>
      </c>
      <c r="X199" s="49">
        <f>IF(B199="","",IF(AND(H199&lt;&gt;"",I199&lt;&gt;"",I199&lt;H199),"Check odometer readings",IF(K199="","Action - add distance",IF(E199="","Action - add a purpose","OK"))))</f>
        <v>0</v>
      </c>
    </row>
    <row r="200" spans="1:24">
      <c r="A200" s="46">
        <f>IF(B200="","","TR-"&amp;TEXT(ROW()-4,"0000"))</f>
        <v>0</v>
      </c>
      <c r="K200" s="32">
        <f>IF(AND(H200&lt;&gt;"",I200&lt;&gt;""),ROUND(I200-H200,1),IF(J200="","",J200))</f>
        <v>0</v>
      </c>
      <c r="M200" s="32">
        <f>IF(K200="","",IF(L200="Yes",ROUND(K200*2,1),K200))</f>
        <v>0</v>
      </c>
      <c r="N200" s="49">
        <f>IF(E200="","",IF(E200="Personal","Personal","Business"))</f>
        <v>0</v>
      </c>
      <c r="O200" s="29">
        <f>IF(B200="","",MileageRate)</f>
        <v>0</v>
      </c>
      <c r="P200" s="29">
        <f>IF(M200="","",IF(N200="Business",ROUND(M200*MileageRate,2),0))</f>
        <v>0</v>
      </c>
      <c r="U200" s="29">
        <f>IF(B200="","",ROUND(IF(P200="",0,P200)+IF(N200="Business",IF(R200="",0,R200)+IF(S200="",0,S200),0),2))</f>
        <v>0</v>
      </c>
      <c r="W200" s="28">
        <f>IF(B200="","",TEXT(B200,"yyyy-mm"))</f>
        <v>0</v>
      </c>
      <c r="X200" s="49">
        <f>IF(B200="","",IF(AND(H200&lt;&gt;"",I200&lt;&gt;"",I200&lt;H200),"Check odometer readings",IF(K200="","Action - add distance",IF(E200="","Action - add a purpose","OK"))))</f>
        <v>0</v>
      </c>
    </row>
    <row r="201" spans="1:24">
      <c r="A201" s="46">
        <f>IF(B201="","","TR-"&amp;TEXT(ROW()-4,"0000"))</f>
        <v>0</v>
      </c>
      <c r="K201" s="32">
        <f>IF(AND(H201&lt;&gt;"",I201&lt;&gt;""),ROUND(I201-H201,1),IF(J201="","",J201))</f>
        <v>0</v>
      </c>
      <c r="M201" s="32">
        <f>IF(K201="","",IF(L201="Yes",ROUND(K201*2,1),K201))</f>
        <v>0</v>
      </c>
      <c r="N201" s="49">
        <f>IF(E201="","",IF(E201="Personal","Personal","Business"))</f>
        <v>0</v>
      </c>
      <c r="O201" s="29">
        <f>IF(B201="","",MileageRate)</f>
        <v>0</v>
      </c>
      <c r="P201" s="29">
        <f>IF(M201="","",IF(N201="Business",ROUND(M201*MileageRate,2),0))</f>
        <v>0</v>
      </c>
      <c r="U201" s="29">
        <f>IF(B201="","",ROUND(IF(P201="",0,P201)+IF(N201="Business",IF(R201="",0,R201)+IF(S201="",0,S201),0),2))</f>
        <v>0</v>
      </c>
      <c r="W201" s="28">
        <f>IF(B201="","",TEXT(B201,"yyyy-mm"))</f>
        <v>0</v>
      </c>
      <c r="X201" s="49">
        <f>IF(B201="","",IF(AND(H201&lt;&gt;"",I201&lt;&gt;"",I201&lt;H201),"Check odometer readings",IF(K201="","Action - add distance",IF(E201="","Action - add a purpose","OK"))))</f>
        <v>0</v>
      </c>
    </row>
    <row r="202" spans="1:24">
      <c r="A202" s="46">
        <f>IF(B202="","","TR-"&amp;TEXT(ROW()-4,"0000"))</f>
        <v>0</v>
      </c>
      <c r="K202" s="32">
        <f>IF(AND(H202&lt;&gt;"",I202&lt;&gt;""),ROUND(I202-H202,1),IF(J202="","",J202))</f>
        <v>0</v>
      </c>
      <c r="M202" s="32">
        <f>IF(K202="","",IF(L202="Yes",ROUND(K202*2,1),K202))</f>
        <v>0</v>
      </c>
      <c r="N202" s="49">
        <f>IF(E202="","",IF(E202="Personal","Personal","Business"))</f>
        <v>0</v>
      </c>
      <c r="O202" s="29">
        <f>IF(B202="","",MileageRate)</f>
        <v>0</v>
      </c>
      <c r="P202" s="29">
        <f>IF(M202="","",IF(N202="Business",ROUND(M202*MileageRate,2),0))</f>
        <v>0</v>
      </c>
      <c r="U202" s="29">
        <f>IF(B202="","",ROUND(IF(P202="",0,P202)+IF(N202="Business",IF(R202="",0,R202)+IF(S202="",0,S202),0),2))</f>
        <v>0</v>
      </c>
      <c r="W202" s="28">
        <f>IF(B202="","",TEXT(B202,"yyyy-mm"))</f>
        <v>0</v>
      </c>
      <c r="X202" s="49">
        <f>IF(B202="","",IF(AND(H202&lt;&gt;"",I202&lt;&gt;"",I202&lt;H202),"Check odometer readings",IF(K202="","Action - add distance",IF(E202="","Action - add a purpose","OK"))))</f>
        <v>0</v>
      </c>
    </row>
    <row r="203" spans="1:24">
      <c r="A203" s="46">
        <f>IF(B203="","","TR-"&amp;TEXT(ROW()-4,"0000"))</f>
        <v>0</v>
      </c>
      <c r="K203" s="32">
        <f>IF(AND(H203&lt;&gt;"",I203&lt;&gt;""),ROUND(I203-H203,1),IF(J203="","",J203))</f>
        <v>0</v>
      </c>
      <c r="M203" s="32">
        <f>IF(K203="","",IF(L203="Yes",ROUND(K203*2,1),K203))</f>
        <v>0</v>
      </c>
      <c r="N203" s="49">
        <f>IF(E203="","",IF(E203="Personal","Personal","Business"))</f>
        <v>0</v>
      </c>
      <c r="O203" s="29">
        <f>IF(B203="","",MileageRate)</f>
        <v>0</v>
      </c>
      <c r="P203" s="29">
        <f>IF(M203="","",IF(N203="Business",ROUND(M203*MileageRate,2),0))</f>
        <v>0</v>
      </c>
      <c r="U203" s="29">
        <f>IF(B203="","",ROUND(IF(P203="",0,P203)+IF(N203="Business",IF(R203="",0,R203)+IF(S203="",0,S203),0),2))</f>
        <v>0</v>
      </c>
      <c r="W203" s="28">
        <f>IF(B203="","",TEXT(B203,"yyyy-mm"))</f>
        <v>0</v>
      </c>
      <c r="X203" s="49">
        <f>IF(B203="","",IF(AND(H203&lt;&gt;"",I203&lt;&gt;"",I203&lt;H203),"Check odometer readings",IF(K203="","Action - add distance",IF(E203="","Action - add a purpose","OK"))))</f>
        <v>0</v>
      </c>
    </row>
    <row r="204" spans="1:24">
      <c r="A204" s="46">
        <f>IF(B204="","","TR-"&amp;TEXT(ROW()-4,"0000"))</f>
        <v>0</v>
      </c>
      <c r="K204" s="32">
        <f>IF(AND(H204&lt;&gt;"",I204&lt;&gt;""),ROUND(I204-H204,1),IF(J204="","",J204))</f>
        <v>0</v>
      </c>
      <c r="M204" s="32">
        <f>IF(K204="","",IF(L204="Yes",ROUND(K204*2,1),K204))</f>
        <v>0</v>
      </c>
      <c r="N204" s="49">
        <f>IF(E204="","",IF(E204="Personal","Personal","Business"))</f>
        <v>0</v>
      </c>
      <c r="O204" s="29">
        <f>IF(B204="","",MileageRate)</f>
        <v>0</v>
      </c>
      <c r="P204" s="29">
        <f>IF(M204="","",IF(N204="Business",ROUND(M204*MileageRate,2),0))</f>
        <v>0</v>
      </c>
      <c r="U204" s="29">
        <f>IF(B204="","",ROUND(IF(P204="",0,P204)+IF(N204="Business",IF(R204="",0,R204)+IF(S204="",0,S204),0),2))</f>
        <v>0</v>
      </c>
      <c r="W204" s="28">
        <f>IF(B204="","",TEXT(B204,"yyyy-mm"))</f>
        <v>0</v>
      </c>
      <c r="X204" s="49">
        <f>IF(B204="","",IF(AND(H204&lt;&gt;"",I204&lt;&gt;"",I204&lt;H204),"Check odometer readings",IF(K204="","Action - add distance",IF(E204="","Action - add a purpose","OK"))))</f>
        <v>0</v>
      </c>
    </row>
    <row r="205" spans="1:24">
      <c r="A205" s="46">
        <f>IF(B205="","","TR-"&amp;TEXT(ROW()-4,"0000"))</f>
        <v>0</v>
      </c>
      <c r="K205" s="32">
        <f>IF(AND(H205&lt;&gt;"",I205&lt;&gt;""),ROUND(I205-H205,1),IF(J205="","",J205))</f>
        <v>0</v>
      </c>
      <c r="M205" s="32">
        <f>IF(K205="","",IF(L205="Yes",ROUND(K205*2,1),K205))</f>
        <v>0</v>
      </c>
      <c r="N205" s="49">
        <f>IF(E205="","",IF(E205="Personal","Personal","Business"))</f>
        <v>0</v>
      </c>
      <c r="O205" s="29">
        <f>IF(B205="","",MileageRate)</f>
        <v>0</v>
      </c>
      <c r="P205" s="29">
        <f>IF(M205="","",IF(N205="Business",ROUND(M205*MileageRate,2),0))</f>
        <v>0</v>
      </c>
      <c r="U205" s="29">
        <f>IF(B205="","",ROUND(IF(P205="",0,P205)+IF(N205="Business",IF(R205="",0,R205)+IF(S205="",0,S205),0),2))</f>
        <v>0</v>
      </c>
      <c r="W205" s="28">
        <f>IF(B205="","",TEXT(B205,"yyyy-mm"))</f>
        <v>0</v>
      </c>
      <c r="X205" s="49">
        <f>IF(B205="","",IF(AND(H205&lt;&gt;"",I205&lt;&gt;"",I205&lt;H205),"Check odometer readings",IF(K205="","Action - add distance",IF(E205="","Action - add a purpose","OK"))))</f>
        <v>0</v>
      </c>
    </row>
    <row r="206" spans="1:24">
      <c r="A206" s="46">
        <f>IF(B206="","","TR-"&amp;TEXT(ROW()-4,"0000"))</f>
        <v>0</v>
      </c>
      <c r="K206" s="32">
        <f>IF(AND(H206&lt;&gt;"",I206&lt;&gt;""),ROUND(I206-H206,1),IF(J206="","",J206))</f>
        <v>0</v>
      </c>
      <c r="M206" s="32">
        <f>IF(K206="","",IF(L206="Yes",ROUND(K206*2,1),K206))</f>
        <v>0</v>
      </c>
      <c r="N206" s="49">
        <f>IF(E206="","",IF(E206="Personal","Personal","Business"))</f>
        <v>0</v>
      </c>
      <c r="O206" s="29">
        <f>IF(B206="","",MileageRate)</f>
        <v>0</v>
      </c>
      <c r="P206" s="29">
        <f>IF(M206="","",IF(N206="Business",ROUND(M206*MileageRate,2),0))</f>
        <v>0</v>
      </c>
      <c r="U206" s="29">
        <f>IF(B206="","",ROUND(IF(P206="",0,P206)+IF(N206="Business",IF(R206="",0,R206)+IF(S206="",0,S206),0),2))</f>
        <v>0</v>
      </c>
      <c r="W206" s="28">
        <f>IF(B206="","",TEXT(B206,"yyyy-mm"))</f>
        <v>0</v>
      </c>
      <c r="X206" s="49">
        <f>IF(B206="","",IF(AND(H206&lt;&gt;"",I206&lt;&gt;"",I206&lt;H206),"Check odometer readings",IF(K206="","Action - add distance",IF(E206="","Action - add a purpose","OK"))))</f>
        <v>0</v>
      </c>
    </row>
    <row r="207" spans="1:24">
      <c r="A207" s="46">
        <f>IF(B207="","","TR-"&amp;TEXT(ROW()-4,"0000"))</f>
        <v>0</v>
      </c>
      <c r="K207" s="32">
        <f>IF(AND(H207&lt;&gt;"",I207&lt;&gt;""),ROUND(I207-H207,1),IF(J207="","",J207))</f>
        <v>0</v>
      </c>
      <c r="M207" s="32">
        <f>IF(K207="","",IF(L207="Yes",ROUND(K207*2,1),K207))</f>
        <v>0</v>
      </c>
      <c r="N207" s="49">
        <f>IF(E207="","",IF(E207="Personal","Personal","Business"))</f>
        <v>0</v>
      </c>
      <c r="O207" s="29">
        <f>IF(B207="","",MileageRate)</f>
        <v>0</v>
      </c>
      <c r="P207" s="29">
        <f>IF(M207="","",IF(N207="Business",ROUND(M207*MileageRate,2),0))</f>
        <v>0</v>
      </c>
      <c r="U207" s="29">
        <f>IF(B207="","",ROUND(IF(P207="",0,P207)+IF(N207="Business",IF(R207="",0,R207)+IF(S207="",0,S207),0),2))</f>
        <v>0</v>
      </c>
      <c r="W207" s="28">
        <f>IF(B207="","",TEXT(B207,"yyyy-mm"))</f>
        <v>0</v>
      </c>
      <c r="X207" s="49">
        <f>IF(B207="","",IF(AND(H207&lt;&gt;"",I207&lt;&gt;"",I207&lt;H207),"Check odometer readings",IF(K207="","Action - add distance",IF(E207="","Action - add a purpose","OK"))))</f>
        <v>0</v>
      </c>
    </row>
    <row r="208" spans="1:24">
      <c r="A208" s="46">
        <f>IF(B208="","","TR-"&amp;TEXT(ROW()-4,"0000"))</f>
        <v>0</v>
      </c>
      <c r="K208" s="32">
        <f>IF(AND(H208&lt;&gt;"",I208&lt;&gt;""),ROUND(I208-H208,1),IF(J208="","",J208))</f>
        <v>0</v>
      </c>
      <c r="M208" s="32">
        <f>IF(K208="","",IF(L208="Yes",ROUND(K208*2,1),K208))</f>
        <v>0</v>
      </c>
      <c r="N208" s="49">
        <f>IF(E208="","",IF(E208="Personal","Personal","Business"))</f>
        <v>0</v>
      </c>
      <c r="O208" s="29">
        <f>IF(B208="","",MileageRate)</f>
        <v>0</v>
      </c>
      <c r="P208" s="29">
        <f>IF(M208="","",IF(N208="Business",ROUND(M208*MileageRate,2),0))</f>
        <v>0</v>
      </c>
      <c r="U208" s="29">
        <f>IF(B208="","",ROUND(IF(P208="",0,P208)+IF(N208="Business",IF(R208="",0,R208)+IF(S208="",0,S208),0),2))</f>
        <v>0</v>
      </c>
      <c r="W208" s="28">
        <f>IF(B208="","",TEXT(B208,"yyyy-mm"))</f>
        <v>0</v>
      </c>
      <c r="X208" s="49">
        <f>IF(B208="","",IF(AND(H208&lt;&gt;"",I208&lt;&gt;"",I208&lt;H208),"Check odometer readings",IF(K208="","Action - add distance",IF(E208="","Action - add a purpose","OK"))))</f>
        <v>0</v>
      </c>
    </row>
    <row r="209" spans="1:24">
      <c r="A209" s="46">
        <f>IF(B209="","","TR-"&amp;TEXT(ROW()-4,"0000"))</f>
        <v>0</v>
      </c>
      <c r="K209" s="32">
        <f>IF(AND(H209&lt;&gt;"",I209&lt;&gt;""),ROUND(I209-H209,1),IF(J209="","",J209))</f>
        <v>0</v>
      </c>
      <c r="M209" s="32">
        <f>IF(K209="","",IF(L209="Yes",ROUND(K209*2,1),K209))</f>
        <v>0</v>
      </c>
      <c r="N209" s="49">
        <f>IF(E209="","",IF(E209="Personal","Personal","Business"))</f>
        <v>0</v>
      </c>
      <c r="O209" s="29">
        <f>IF(B209="","",MileageRate)</f>
        <v>0</v>
      </c>
      <c r="P209" s="29">
        <f>IF(M209="","",IF(N209="Business",ROUND(M209*MileageRate,2),0))</f>
        <v>0</v>
      </c>
      <c r="U209" s="29">
        <f>IF(B209="","",ROUND(IF(P209="",0,P209)+IF(N209="Business",IF(R209="",0,R209)+IF(S209="",0,S209),0),2))</f>
        <v>0</v>
      </c>
      <c r="W209" s="28">
        <f>IF(B209="","",TEXT(B209,"yyyy-mm"))</f>
        <v>0</v>
      </c>
      <c r="X209" s="49">
        <f>IF(B209="","",IF(AND(H209&lt;&gt;"",I209&lt;&gt;"",I209&lt;H209),"Check odometer readings",IF(K209="","Action - add distance",IF(E209="","Action - add a purpose","OK"))))</f>
        <v>0</v>
      </c>
    </row>
    <row r="210" spans="1:24">
      <c r="A210" s="46">
        <f>IF(B210="","","TR-"&amp;TEXT(ROW()-4,"0000"))</f>
        <v>0</v>
      </c>
      <c r="K210" s="32">
        <f>IF(AND(H210&lt;&gt;"",I210&lt;&gt;""),ROUND(I210-H210,1),IF(J210="","",J210))</f>
        <v>0</v>
      </c>
      <c r="M210" s="32">
        <f>IF(K210="","",IF(L210="Yes",ROUND(K210*2,1),K210))</f>
        <v>0</v>
      </c>
      <c r="N210" s="49">
        <f>IF(E210="","",IF(E210="Personal","Personal","Business"))</f>
        <v>0</v>
      </c>
      <c r="O210" s="29">
        <f>IF(B210="","",MileageRate)</f>
        <v>0</v>
      </c>
      <c r="P210" s="29">
        <f>IF(M210="","",IF(N210="Business",ROUND(M210*MileageRate,2),0))</f>
        <v>0</v>
      </c>
      <c r="U210" s="29">
        <f>IF(B210="","",ROUND(IF(P210="",0,P210)+IF(N210="Business",IF(R210="",0,R210)+IF(S210="",0,S210),0),2))</f>
        <v>0</v>
      </c>
      <c r="W210" s="28">
        <f>IF(B210="","",TEXT(B210,"yyyy-mm"))</f>
        <v>0</v>
      </c>
      <c r="X210" s="49">
        <f>IF(B210="","",IF(AND(H210&lt;&gt;"",I210&lt;&gt;"",I210&lt;H210),"Check odometer readings",IF(K210="","Action - add distance",IF(E210="","Action - add a purpose","OK"))))</f>
        <v>0</v>
      </c>
    </row>
    <row r="211" spans="1:24">
      <c r="A211" s="46">
        <f>IF(B211="","","TR-"&amp;TEXT(ROW()-4,"0000"))</f>
        <v>0</v>
      </c>
      <c r="K211" s="32">
        <f>IF(AND(H211&lt;&gt;"",I211&lt;&gt;""),ROUND(I211-H211,1),IF(J211="","",J211))</f>
        <v>0</v>
      </c>
      <c r="M211" s="32">
        <f>IF(K211="","",IF(L211="Yes",ROUND(K211*2,1),K211))</f>
        <v>0</v>
      </c>
      <c r="N211" s="49">
        <f>IF(E211="","",IF(E211="Personal","Personal","Business"))</f>
        <v>0</v>
      </c>
      <c r="O211" s="29">
        <f>IF(B211="","",MileageRate)</f>
        <v>0</v>
      </c>
      <c r="P211" s="29">
        <f>IF(M211="","",IF(N211="Business",ROUND(M211*MileageRate,2),0))</f>
        <v>0</v>
      </c>
      <c r="U211" s="29">
        <f>IF(B211="","",ROUND(IF(P211="",0,P211)+IF(N211="Business",IF(R211="",0,R211)+IF(S211="",0,S211),0),2))</f>
        <v>0</v>
      </c>
      <c r="W211" s="28">
        <f>IF(B211="","",TEXT(B211,"yyyy-mm"))</f>
        <v>0</v>
      </c>
      <c r="X211" s="49">
        <f>IF(B211="","",IF(AND(H211&lt;&gt;"",I211&lt;&gt;"",I211&lt;H211),"Check odometer readings",IF(K211="","Action - add distance",IF(E211="","Action - add a purpose","OK"))))</f>
        <v>0</v>
      </c>
    </row>
    <row r="212" spans="1:24">
      <c r="A212" s="46">
        <f>IF(B212="","","TR-"&amp;TEXT(ROW()-4,"0000"))</f>
        <v>0</v>
      </c>
      <c r="K212" s="32">
        <f>IF(AND(H212&lt;&gt;"",I212&lt;&gt;""),ROUND(I212-H212,1),IF(J212="","",J212))</f>
        <v>0</v>
      </c>
      <c r="M212" s="32">
        <f>IF(K212="","",IF(L212="Yes",ROUND(K212*2,1),K212))</f>
        <v>0</v>
      </c>
      <c r="N212" s="49">
        <f>IF(E212="","",IF(E212="Personal","Personal","Business"))</f>
        <v>0</v>
      </c>
      <c r="O212" s="29">
        <f>IF(B212="","",MileageRate)</f>
        <v>0</v>
      </c>
      <c r="P212" s="29">
        <f>IF(M212="","",IF(N212="Business",ROUND(M212*MileageRate,2),0))</f>
        <v>0</v>
      </c>
      <c r="U212" s="29">
        <f>IF(B212="","",ROUND(IF(P212="",0,P212)+IF(N212="Business",IF(R212="",0,R212)+IF(S212="",0,S212),0),2))</f>
        <v>0</v>
      </c>
      <c r="W212" s="28">
        <f>IF(B212="","",TEXT(B212,"yyyy-mm"))</f>
        <v>0</v>
      </c>
      <c r="X212" s="49">
        <f>IF(B212="","",IF(AND(H212&lt;&gt;"",I212&lt;&gt;"",I212&lt;H212),"Check odometer readings",IF(K212="","Action - add distance",IF(E212="","Action - add a purpose","OK"))))</f>
        <v>0</v>
      </c>
    </row>
    <row r="213" spans="1:24">
      <c r="A213" s="46">
        <f>IF(B213="","","TR-"&amp;TEXT(ROW()-4,"0000"))</f>
        <v>0</v>
      </c>
      <c r="K213" s="32">
        <f>IF(AND(H213&lt;&gt;"",I213&lt;&gt;""),ROUND(I213-H213,1),IF(J213="","",J213))</f>
        <v>0</v>
      </c>
      <c r="M213" s="32">
        <f>IF(K213="","",IF(L213="Yes",ROUND(K213*2,1),K213))</f>
        <v>0</v>
      </c>
      <c r="N213" s="49">
        <f>IF(E213="","",IF(E213="Personal","Personal","Business"))</f>
        <v>0</v>
      </c>
      <c r="O213" s="29">
        <f>IF(B213="","",MileageRate)</f>
        <v>0</v>
      </c>
      <c r="P213" s="29">
        <f>IF(M213="","",IF(N213="Business",ROUND(M213*MileageRate,2),0))</f>
        <v>0</v>
      </c>
      <c r="U213" s="29">
        <f>IF(B213="","",ROUND(IF(P213="",0,P213)+IF(N213="Business",IF(R213="",0,R213)+IF(S213="",0,S213),0),2))</f>
        <v>0</v>
      </c>
      <c r="W213" s="28">
        <f>IF(B213="","",TEXT(B213,"yyyy-mm"))</f>
        <v>0</v>
      </c>
      <c r="X213" s="49">
        <f>IF(B213="","",IF(AND(H213&lt;&gt;"",I213&lt;&gt;"",I213&lt;H213),"Check odometer readings",IF(K213="","Action - add distance",IF(E213="","Action - add a purpose","OK"))))</f>
        <v>0</v>
      </c>
    </row>
    <row r="214" spans="1:24">
      <c r="A214" s="46">
        <f>IF(B214="","","TR-"&amp;TEXT(ROW()-4,"0000"))</f>
        <v>0</v>
      </c>
      <c r="K214" s="32">
        <f>IF(AND(H214&lt;&gt;"",I214&lt;&gt;""),ROUND(I214-H214,1),IF(J214="","",J214))</f>
        <v>0</v>
      </c>
      <c r="M214" s="32">
        <f>IF(K214="","",IF(L214="Yes",ROUND(K214*2,1),K214))</f>
        <v>0</v>
      </c>
      <c r="N214" s="49">
        <f>IF(E214="","",IF(E214="Personal","Personal","Business"))</f>
        <v>0</v>
      </c>
      <c r="O214" s="29">
        <f>IF(B214="","",MileageRate)</f>
        <v>0</v>
      </c>
      <c r="P214" s="29">
        <f>IF(M214="","",IF(N214="Business",ROUND(M214*MileageRate,2),0))</f>
        <v>0</v>
      </c>
      <c r="U214" s="29">
        <f>IF(B214="","",ROUND(IF(P214="",0,P214)+IF(N214="Business",IF(R214="",0,R214)+IF(S214="",0,S214),0),2))</f>
        <v>0</v>
      </c>
      <c r="W214" s="28">
        <f>IF(B214="","",TEXT(B214,"yyyy-mm"))</f>
        <v>0</v>
      </c>
      <c r="X214" s="49">
        <f>IF(B214="","",IF(AND(H214&lt;&gt;"",I214&lt;&gt;"",I214&lt;H214),"Check odometer readings",IF(K214="","Action - add distance",IF(E214="","Action - add a purpose","OK"))))</f>
        <v>0</v>
      </c>
    </row>
    <row r="215" spans="1:24">
      <c r="A215" s="46">
        <f>IF(B215="","","TR-"&amp;TEXT(ROW()-4,"0000"))</f>
        <v>0</v>
      </c>
      <c r="K215" s="32">
        <f>IF(AND(H215&lt;&gt;"",I215&lt;&gt;""),ROUND(I215-H215,1),IF(J215="","",J215))</f>
        <v>0</v>
      </c>
      <c r="M215" s="32">
        <f>IF(K215="","",IF(L215="Yes",ROUND(K215*2,1),K215))</f>
        <v>0</v>
      </c>
      <c r="N215" s="49">
        <f>IF(E215="","",IF(E215="Personal","Personal","Business"))</f>
        <v>0</v>
      </c>
      <c r="O215" s="29">
        <f>IF(B215="","",MileageRate)</f>
        <v>0</v>
      </c>
      <c r="P215" s="29">
        <f>IF(M215="","",IF(N215="Business",ROUND(M215*MileageRate,2),0))</f>
        <v>0</v>
      </c>
      <c r="U215" s="29">
        <f>IF(B215="","",ROUND(IF(P215="",0,P215)+IF(N215="Business",IF(R215="",0,R215)+IF(S215="",0,S215),0),2))</f>
        <v>0</v>
      </c>
      <c r="W215" s="28">
        <f>IF(B215="","",TEXT(B215,"yyyy-mm"))</f>
        <v>0</v>
      </c>
      <c r="X215" s="49">
        <f>IF(B215="","",IF(AND(H215&lt;&gt;"",I215&lt;&gt;"",I215&lt;H215),"Check odometer readings",IF(K215="","Action - add distance",IF(E215="","Action - add a purpose","OK"))))</f>
        <v>0</v>
      </c>
    </row>
    <row r="216" spans="1:24">
      <c r="A216" s="46">
        <f>IF(B216="","","TR-"&amp;TEXT(ROW()-4,"0000"))</f>
        <v>0</v>
      </c>
      <c r="K216" s="32">
        <f>IF(AND(H216&lt;&gt;"",I216&lt;&gt;""),ROUND(I216-H216,1),IF(J216="","",J216))</f>
        <v>0</v>
      </c>
      <c r="M216" s="32">
        <f>IF(K216="","",IF(L216="Yes",ROUND(K216*2,1),K216))</f>
        <v>0</v>
      </c>
      <c r="N216" s="49">
        <f>IF(E216="","",IF(E216="Personal","Personal","Business"))</f>
        <v>0</v>
      </c>
      <c r="O216" s="29">
        <f>IF(B216="","",MileageRate)</f>
        <v>0</v>
      </c>
      <c r="P216" s="29">
        <f>IF(M216="","",IF(N216="Business",ROUND(M216*MileageRate,2),0))</f>
        <v>0</v>
      </c>
      <c r="U216" s="29">
        <f>IF(B216="","",ROUND(IF(P216="",0,P216)+IF(N216="Business",IF(R216="",0,R216)+IF(S216="",0,S216),0),2))</f>
        <v>0</v>
      </c>
      <c r="W216" s="28">
        <f>IF(B216="","",TEXT(B216,"yyyy-mm"))</f>
        <v>0</v>
      </c>
      <c r="X216" s="49">
        <f>IF(B216="","",IF(AND(H216&lt;&gt;"",I216&lt;&gt;"",I216&lt;H216),"Check odometer readings",IF(K216="","Action - add distance",IF(E216="","Action - add a purpose","OK"))))</f>
        <v>0</v>
      </c>
    </row>
    <row r="217" spans="1:24">
      <c r="A217" s="46">
        <f>IF(B217="","","TR-"&amp;TEXT(ROW()-4,"0000"))</f>
        <v>0</v>
      </c>
      <c r="K217" s="32">
        <f>IF(AND(H217&lt;&gt;"",I217&lt;&gt;""),ROUND(I217-H217,1),IF(J217="","",J217))</f>
        <v>0</v>
      </c>
      <c r="M217" s="32">
        <f>IF(K217="","",IF(L217="Yes",ROUND(K217*2,1),K217))</f>
        <v>0</v>
      </c>
      <c r="N217" s="49">
        <f>IF(E217="","",IF(E217="Personal","Personal","Business"))</f>
        <v>0</v>
      </c>
      <c r="O217" s="29">
        <f>IF(B217="","",MileageRate)</f>
        <v>0</v>
      </c>
      <c r="P217" s="29">
        <f>IF(M217="","",IF(N217="Business",ROUND(M217*MileageRate,2),0))</f>
        <v>0</v>
      </c>
      <c r="U217" s="29">
        <f>IF(B217="","",ROUND(IF(P217="",0,P217)+IF(N217="Business",IF(R217="",0,R217)+IF(S217="",0,S217),0),2))</f>
        <v>0</v>
      </c>
      <c r="W217" s="28">
        <f>IF(B217="","",TEXT(B217,"yyyy-mm"))</f>
        <v>0</v>
      </c>
      <c r="X217" s="49">
        <f>IF(B217="","",IF(AND(H217&lt;&gt;"",I217&lt;&gt;"",I217&lt;H217),"Check odometer readings",IF(K217="","Action - add distance",IF(E217="","Action - add a purpose","OK"))))</f>
        <v>0</v>
      </c>
    </row>
    <row r="218" spans="1:24">
      <c r="A218" s="46">
        <f>IF(B218="","","TR-"&amp;TEXT(ROW()-4,"0000"))</f>
        <v>0</v>
      </c>
      <c r="K218" s="32">
        <f>IF(AND(H218&lt;&gt;"",I218&lt;&gt;""),ROUND(I218-H218,1),IF(J218="","",J218))</f>
        <v>0</v>
      </c>
      <c r="M218" s="32">
        <f>IF(K218="","",IF(L218="Yes",ROUND(K218*2,1),K218))</f>
        <v>0</v>
      </c>
      <c r="N218" s="49">
        <f>IF(E218="","",IF(E218="Personal","Personal","Business"))</f>
        <v>0</v>
      </c>
      <c r="O218" s="29">
        <f>IF(B218="","",MileageRate)</f>
        <v>0</v>
      </c>
      <c r="P218" s="29">
        <f>IF(M218="","",IF(N218="Business",ROUND(M218*MileageRate,2),0))</f>
        <v>0</v>
      </c>
      <c r="U218" s="29">
        <f>IF(B218="","",ROUND(IF(P218="",0,P218)+IF(N218="Business",IF(R218="",0,R218)+IF(S218="",0,S218),0),2))</f>
        <v>0</v>
      </c>
      <c r="W218" s="28">
        <f>IF(B218="","",TEXT(B218,"yyyy-mm"))</f>
        <v>0</v>
      </c>
      <c r="X218" s="49">
        <f>IF(B218="","",IF(AND(H218&lt;&gt;"",I218&lt;&gt;"",I218&lt;H218),"Check odometer readings",IF(K218="","Action - add distance",IF(E218="","Action - add a purpose","OK"))))</f>
        <v>0</v>
      </c>
    </row>
    <row r="219" spans="1:24">
      <c r="A219" s="46">
        <f>IF(B219="","","TR-"&amp;TEXT(ROW()-4,"0000"))</f>
        <v>0</v>
      </c>
      <c r="K219" s="32">
        <f>IF(AND(H219&lt;&gt;"",I219&lt;&gt;""),ROUND(I219-H219,1),IF(J219="","",J219))</f>
        <v>0</v>
      </c>
      <c r="M219" s="32">
        <f>IF(K219="","",IF(L219="Yes",ROUND(K219*2,1),K219))</f>
        <v>0</v>
      </c>
      <c r="N219" s="49">
        <f>IF(E219="","",IF(E219="Personal","Personal","Business"))</f>
        <v>0</v>
      </c>
      <c r="O219" s="29">
        <f>IF(B219="","",MileageRate)</f>
        <v>0</v>
      </c>
      <c r="P219" s="29">
        <f>IF(M219="","",IF(N219="Business",ROUND(M219*MileageRate,2),0))</f>
        <v>0</v>
      </c>
      <c r="U219" s="29">
        <f>IF(B219="","",ROUND(IF(P219="",0,P219)+IF(N219="Business",IF(R219="",0,R219)+IF(S219="",0,S219),0),2))</f>
        <v>0</v>
      </c>
      <c r="W219" s="28">
        <f>IF(B219="","",TEXT(B219,"yyyy-mm"))</f>
        <v>0</v>
      </c>
      <c r="X219" s="49">
        <f>IF(B219="","",IF(AND(H219&lt;&gt;"",I219&lt;&gt;"",I219&lt;H219),"Check odometer readings",IF(K219="","Action - add distance",IF(E219="","Action - add a purpose","OK"))))</f>
        <v>0</v>
      </c>
    </row>
    <row r="220" spans="1:24">
      <c r="A220" s="46">
        <f>IF(B220="","","TR-"&amp;TEXT(ROW()-4,"0000"))</f>
        <v>0</v>
      </c>
      <c r="K220" s="32">
        <f>IF(AND(H220&lt;&gt;"",I220&lt;&gt;""),ROUND(I220-H220,1),IF(J220="","",J220))</f>
        <v>0</v>
      </c>
      <c r="M220" s="32">
        <f>IF(K220="","",IF(L220="Yes",ROUND(K220*2,1),K220))</f>
        <v>0</v>
      </c>
      <c r="N220" s="49">
        <f>IF(E220="","",IF(E220="Personal","Personal","Business"))</f>
        <v>0</v>
      </c>
      <c r="O220" s="29">
        <f>IF(B220="","",MileageRate)</f>
        <v>0</v>
      </c>
      <c r="P220" s="29">
        <f>IF(M220="","",IF(N220="Business",ROUND(M220*MileageRate,2),0))</f>
        <v>0</v>
      </c>
      <c r="U220" s="29">
        <f>IF(B220="","",ROUND(IF(P220="",0,P220)+IF(N220="Business",IF(R220="",0,R220)+IF(S220="",0,S220),0),2))</f>
        <v>0</v>
      </c>
      <c r="W220" s="28">
        <f>IF(B220="","",TEXT(B220,"yyyy-mm"))</f>
        <v>0</v>
      </c>
      <c r="X220" s="49">
        <f>IF(B220="","",IF(AND(H220&lt;&gt;"",I220&lt;&gt;"",I220&lt;H220),"Check odometer readings",IF(K220="","Action - add distance",IF(E220="","Action - add a purpose","OK"))))</f>
        <v>0</v>
      </c>
    </row>
    <row r="221" spans="1:24">
      <c r="A221" s="46">
        <f>IF(B221="","","TR-"&amp;TEXT(ROW()-4,"0000"))</f>
        <v>0</v>
      </c>
      <c r="K221" s="32">
        <f>IF(AND(H221&lt;&gt;"",I221&lt;&gt;""),ROUND(I221-H221,1),IF(J221="","",J221))</f>
        <v>0</v>
      </c>
      <c r="M221" s="32">
        <f>IF(K221="","",IF(L221="Yes",ROUND(K221*2,1),K221))</f>
        <v>0</v>
      </c>
      <c r="N221" s="49">
        <f>IF(E221="","",IF(E221="Personal","Personal","Business"))</f>
        <v>0</v>
      </c>
      <c r="O221" s="29">
        <f>IF(B221="","",MileageRate)</f>
        <v>0</v>
      </c>
      <c r="P221" s="29">
        <f>IF(M221="","",IF(N221="Business",ROUND(M221*MileageRate,2),0))</f>
        <v>0</v>
      </c>
      <c r="U221" s="29">
        <f>IF(B221="","",ROUND(IF(P221="",0,P221)+IF(N221="Business",IF(R221="",0,R221)+IF(S221="",0,S221),0),2))</f>
        <v>0</v>
      </c>
      <c r="W221" s="28">
        <f>IF(B221="","",TEXT(B221,"yyyy-mm"))</f>
        <v>0</v>
      </c>
      <c r="X221" s="49">
        <f>IF(B221="","",IF(AND(H221&lt;&gt;"",I221&lt;&gt;"",I221&lt;H221),"Check odometer readings",IF(K221="","Action - add distance",IF(E221="","Action - add a purpose","OK"))))</f>
        <v>0</v>
      </c>
    </row>
    <row r="222" spans="1:24">
      <c r="A222" s="46">
        <f>IF(B222="","","TR-"&amp;TEXT(ROW()-4,"0000"))</f>
        <v>0</v>
      </c>
      <c r="K222" s="32">
        <f>IF(AND(H222&lt;&gt;"",I222&lt;&gt;""),ROUND(I222-H222,1),IF(J222="","",J222))</f>
        <v>0</v>
      </c>
      <c r="M222" s="32">
        <f>IF(K222="","",IF(L222="Yes",ROUND(K222*2,1),K222))</f>
        <v>0</v>
      </c>
      <c r="N222" s="49">
        <f>IF(E222="","",IF(E222="Personal","Personal","Business"))</f>
        <v>0</v>
      </c>
      <c r="O222" s="29">
        <f>IF(B222="","",MileageRate)</f>
        <v>0</v>
      </c>
      <c r="P222" s="29">
        <f>IF(M222="","",IF(N222="Business",ROUND(M222*MileageRate,2),0))</f>
        <v>0</v>
      </c>
      <c r="U222" s="29">
        <f>IF(B222="","",ROUND(IF(P222="",0,P222)+IF(N222="Business",IF(R222="",0,R222)+IF(S222="",0,S222),0),2))</f>
        <v>0</v>
      </c>
      <c r="W222" s="28">
        <f>IF(B222="","",TEXT(B222,"yyyy-mm"))</f>
        <v>0</v>
      </c>
      <c r="X222" s="49">
        <f>IF(B222="","",IF(AND(H222&lt;&gt;"",I222&lt;&gt;"",I222&lt;H222),"Check odometer readings",IF(K222="","Action - add distance",IF(E222="","Action - add a purpose","OK"))))</f>
        <v>0</v>
      </c>
    </row>
    <row r="223" spans="1:24">
      <c r="A223" s="46">
        <f>IF(B223="","","TR-"&amp;TEXT(ROW()-4,"0000"))</f>
        <v>0</v>
      </c>
      <c r="K223" s="32">
        <f>IF(AND(H223&lt;&gt;"",I223&lt;&gt;""),ROUND(I223-H223,1),IF(J223="","",J223))</f>
        <v>0</v>
      </c>
      <c r="M223" s="32">
        <f>IF(K223="","",IF(L223="Yes",ROUND(K223*2,1),K223))</f>
        <v>0</v>
      </c>
      <c r="N223" s="49">
        <f>IF(E223="","",IF(E223="Personal","Personal","Business"))</f>
        <v>0</v>
      </c>
      <c r="O223" s="29">
        <f>IF(B223="","",MileageRate)</f>
        <v>0</v>
      </c>
      <c r="P223" s="29">
        <f>IF(M223="","",IF(N223="Business",ROUND(M223*MileageRate,2),0))</f>
        <v>0</v>
      </c>
      <c r="U223" s="29">
        <f>IF(B223="","",ROUND(IF(P223="",0,P223)+IF(N223="Business",IF(R223="",0,R223)+IF(S223="",0,S223),0),2))</f>
        <v>0</v>
      </c>
      <c r="W223" s="28">
        <f>IF(B223="","",TEXT(B223,"yyyy-mm"))</f>
        <v>0</v>
      </c>
      <c r="X223" s="49">
        <f>IF(B223="","",IF(AND(H223&lt;&gt;"",I223&lt;&gt;"",I223&lt;H223),"Check odometer readings",IF(K223="","Action - add distance",IF(E223="","Action - add a purpose","OK"))))</f>
        <v>0</v>
      </c>
    </row>
    <row r="224" spans="1:24">
      <c r="A224" s="46">
        <f>IF(B224="","","TR-"&amp;TEXT(ROW()-4,"0000"))</f>
        <v>0</v>
      </c>
      <c r="K224" s="32">
        <f>IF(AND(H224&lt;&gt;"",I224&lt;&gt;""),ROUND(I224-H224,1),IF(J224="","",J224))</f>
        <v>0</v>
      </c>
      <c r="M224" s="32">
        <f>IF(K224="","",IF(L224="Yes",ROUND(K224*2,1),K224))</f>
        <v>0</v>
      </c>
      <c r="N224" s="49">
        <f>IF(E224="","",IF(E224="Personal","Personal","Business"))</f>
        <v>0</v>
      </c>
      <c r="O224" s="29">
        <f>IF(B224="","",MileageRate)</f>
        <v>0</v>
      </c>
      <c r="P224" s="29">
        <f>IF(M224="","",IF(N224="Business",ROUND(M224*MileageRate,2),0))</f>
        <v>0</v>
      </c>
      <c r="U224" s="29">
        <f>IF(B224="","",ROUND(IF(P224="",0,P224)+IF(N224="Business",IF(R224="",0,R224)+IF(S224="",0,S224),0),2))</f>
        <v>0</v>
      </c>
      <c r="W224" s="28">
        <f>IF(B224="","",TEXT(B224,"yyyy-mm"))</f>
        <v>0</v>
      </c>
      <c r="X224" s="49">
        <f>IF(B224="","",IF(AND(H224&lt;&gt;"",I224&lt;&gt;"",I224&lt;H224),"Check odometer readings",IF(K224="","Action - add distance",IF(E224="","Action - add a purpose","OK"))))</f>
        <v>0</v>
      </c>
    </row>
    <row r="225" spans="1:24">
      <c r="A225" s="46">
        <f>IF(B225="","","TR-"&amp;TEXT(ROW()-4,"0000"))</f>
        <v>0</v>
      </c>
      <c r="K225" s="32">
        <f>IF(AND(H225&lt;&gt;"",I225&lt;&gt;""),ROUND(I225-H225,1),IF(J225="","",J225))</f>
        <v>0</v>
      </c>
      <c r="M225" s="32">
        <f>IF(K225="","",IF(L225="Yes",ROUND(K225*2,1),K225))</f>
        <v>0</v>
      </c>
      <c r="N225" s="49">
        <f>IF(E225="","",IF(E225="Personal","Personal","Business"))</f>
        <v>0</v>
      </c>
      <c r="O225" s="29">
        <f>IF(B225="","",MileageRate)</f>
        <v>0</v>
      </c>
      <c r="P225" s="29">
        <f>IF(M225="","",IF(N225="Business",ROUND(M225*MileageRate,2),0))</f>
        <v>0</v>
      </c>
      <c r="U225" s="29">
        <f>IF(B225="","",ROUND(IF(P225="",0,P225)+IF(N225="Business",IF(R225="",0,R225)+IF(S225="",0,S225),0),2))</f>
        <v>0</v>
      </c>
      <c r="W225" s="28">
        <f>IF(B225="","",TEXT(B225,"yyyy-mm"))</f>
        <v>0</v>
      </c>
      <c r="X225" s="49">
        <f>IF(B225="","",IF(AND(H225&lt;&gt;"",I225&lt;&gt;"",I225&lt;H225),"Check odometer readings",IF(K225="","Action - add distance",IF(E225="","Action - add a purpose","OK"))))</f>
        <v>0</v>
      </c>
    </row>
    <row r="226" spans="1:24">
      <c r="A226" s="46">
        <f>IF(B226="","","TR-"&amp;TEXT(ROW()-4,"0000"))</f>
        <v>0</v>
      </c>
      <c r="K226" s="32">
        <f>IF(AND(H226&lt;&gt;"",I226&lt;&gt;""),ROUND(I226-H226,1),IF(J226="","",J226))</f>
        <v>0</v>
      </c>
      <c r="M226" s="32">
        <f>IF(K226="","",IF(L226="Yes",ROUND(K226*2,1),K226))</f>
        <v>0</v>
      </c>
      <c r="N226" s="49">
        <f>IF(E226="","",IF(E226="Personal","Personal","Business"))</f>
        <v>0</v>
      </c>
      <c r="O226" s="29">
        <f>IF(B226="","",MileageRate)</f>
        <v>0</v>
      </c>
      <c r="P226" s="29">
        <f>IF(M226="","",IF(N226="Business",ROUND(M226*MileageRate,2),0))</f>
        <v>0</v>
      </c>
      <c r="U226" s="29">
        <f>IF(B226="","",ROUND(IF(P226="",0,P226)+IF(N226="Business",IF(R226="",0,R226)+IF(S226="",0,S226),0),2))</f>
        <v>0</v>
      </c>
      <c r="W226" s="28">
        <f>IF(B226="","",TEXT(B226,"yyyy-mm"))</f>
        <v>0</v>
      </c>
      <c r="X226" s="49">
        <f>IF(B226="","",IF(AND(H226&lt;&gt;"",I226&lt;&gt;"",I226&lt;H226),"Check odometer readings",IF(K226="","Action - add distance",IF(E226="","Action - add a purpose","OK"))))</f>
        <v>0</v>
      </c>
    </row>
    <row r="227" spans="1:24">
      <c r="A227" s="46">
        <f>IF(B227="","","TR-"&amp;TEXT(ROW()-4,"0000"))</f>
        <v>0</v>
      </c>
      <c r="K227" s="32">
        <f>IF(AND(H227&lt;&gt;"",I227&lt;&gt;""),ROUND(I227-H227,1),IF(J227="","",J227))</f>
        <v>0</v>
      </c>
      <c r="M227" s="32">
        <f>IF(K227="","",IF(L227="Yes",ROUND(K227*2,1),K227))</f>
        <v>0</v>
      </c>
      <c r="N227" s="49">
        <f>IF(E227="","",IF(E227="Personal","Personal","Business"))</f>
        <v>0</v>
      </c>
      <c r="O227" s="29">
        <f>IF(B227="","",MileageRate)</f>
        <v>0</v>
      </c>
      <c r="P227" s="29">
        <f>IF(M227="","",IF(N227="Business",ROUND(M227*MileageRate,2),0))</f>
        <v>0</v>
      </c>
      <c r="U227" s="29">
        <f>IF(B227="","",ROUND(IF(P227="",0,P227)+IF(N227="Business",IF(R227="",0,R227)+IF(S227="",0,S227),0),2))</f>
        <v>0</v>
      </c>
      <c r="W227" s="28">
        <f>IF(B227="","",TEXT(B227,"yyyy-mm"))</f>
        <v>0</v>
      </c>
      <c r="X227" s="49">
        <f>IF(B227="","",IF(AND(H227&lt;&gt;"",I227&lt;&gt;"",I227&lt;H227),"Check odometer readings",IF(K227="","Action - add distance",IF(E227="","Action - add a purpose","OK"))))</f>
        <v>0</v>
      </c>
    </row>
    <row r="228" spans="1:24">
      <c r="A228" s="46">
        <f>IF(B228="","","TR-"&amp;TEXT(ROW()-4,"0000"))</f>
        <v>0</v>
      </c>
      <c r="K228" s="32">
        <f>IF(AND(H228&lt;&gt;"",I228&lt;&gt;""),ROUND(I228-H228,1),IF(J228="","",J228))</f>
        <v>0</v>
      </c>
      <c r="M228" s="32">
        <f>IF(K228="","",IF(L228="Yes",ROUND(K228*2,1),K228))</f>
        <v>0</v>
      </c>
      <c r="N228" s="49">
        <f>IF(E228="","",IF(E228="Personal","Personal","Business"))</f>
        <v>0</v>
      </c>
      <c r="O228" s="29">
        <f>IF(B228="","",MileageRate)</f>
        <v>0</v>
      </c>
      <c r="P228" s="29">
        <f>IF(M228="","",IF(N228="Business",ROUND(M228*MileageRate,2),0))</f>
        <v>0</v>
      </c>
      <c r="U228" s="29">
        <f>IF(B228="","",ROUND(IF(P228="",0,P228)+IF(N228="Business",IF(R228="",0,R228)+IF(S228="",0,S228),0),2))</f>
        <v>0</v>
      </c>
      <c r="W228" s="28">
        <f>IF(B228="","",TEXT(B228,"yyyy-mm"))</f>
        <v>0</v>
      </c>
      <c r="X228" s="49">
        <f>IF(B228="","",IF(AND(H228&lt;&gt;"",I228&lt;&gt;"",I228&lt;H228),"Check odometer readings",IF(K228="","Action - add distance",IF(E228="","Action - add a purpose","OK"))))</f>
        <v>0</v>
      </c>
    </row>
    <row r="229" spans="1:24">
      <c r="A229" s="46">
        <f>IF(B229="","","TR-"&amp;TEXT(ROW()-4,"0000"))</f>
        <v>0</v>
      </c>
      <c r="K229" s="32">
        <f>IF(AND(H229&lt;&gt;"",I229&lt;&gt;""),ROUND(I229-H229,1),IF(J229="","",J229))</f>
        <v>0</v>
      </c>
      <c r="M229" s="32">
        <f>IF(K229="","",IF(L229="Yes",ROUND(K229*2,1),K229))</f>
        <v>0</v>
      </c>
      <c r="N229" s="49">
        <f>IF(E229="","",IF(E229="Personal","Personal","Business"))</f>
        <v>0</v>
      </c>
      <c r="O229" s="29">
        <f>IF(B229="","",MileageRate)</f>
        <v>0</v>
      </c>
      <c r="P229" s="29">
        <f>IF(M229="","",IF(N229="Business",ROUND(M229*MileageRate,2),0))</f>
        <v>0</v>
      </c>
      <c r="U229" s="29">
        <f>IF(B229="","",ROUND(IF(P229="",0,P229)+IF(N229="Business",IF(R229="",0,R229)+IF(S229="",0,S229),0),2))</f>
        <v>0</v>
      </c>
      <c r="W229" s="28">
        <f>IF(B229="","",TEXT(B229,"yyyy-mm"))</f>
        <v>0</v>
      </c>
      <c r="X229" s="49">
        <f>IF(B229="","",IF(AND(H229&lt;&gt;"",I229&lt;&gt;"",I229&lt;H229),"Check odometer readings",IF(K229="","Action - add distance",IF(E229="","Action - add a purpose","OK"))))</f>
        <v>0</v>
      </c>
    </row>
    <row r="230" spans="1:24">
      <c r="A230" s="46">
        <f>IF(B230="","","TR-"&amp;TEXT(ROW()-4,"0000"))</f>
        <v>0</v>
      </c>
      <c r="K230" s="32">
        <f>IF(AND(H230&lt;&gt;"",I230&lt;&gt;""),ROUND(I230-H230,1),IF(J230="","",J230))</f>
        <v>0</v>
      </c>
      <c r="M230" s="32">
        <f>IF(K230="","",IF(L230="Yes",ROUND(K230*2,1),K230))</f>
        <v>0</v>
      </c>
      <c r="N230" s="49">
        <f>IF(E230="","",IF(E230="Personal","Personal","Business"))</f>
        <v>0</v>
      </c>
      <c r="O230" s="29">
        <f>IF(B230="","",MileageRate)</f>
        <v>0</v>
      </c>
      <c r="P230" s="29">
        <f>IF(M230="","",IF(N230="Business",ROUND(M230*MileageRate,2),0))</f>
        <v>0</v>
      </c>
      <c r="U230" s="29">
        <f>IF(B230="","",ROUND(IF(P230="",0,P230)+IF(N230="Business",IF(R230="",0,R230)+IF(S230="",0,S230),0),2))</f>
        <v>0</v>
      </c>
      <c r="W230" s="28">
        <f>IF(B230="","",TEXT(B230,"yyyy-mm"))</f>
        <v>0</v>
      </c>
      <c r="X230" s="49">
        <f>IF(B230="","",IF(AND(H230&lt;&gt;"",I230&lt;&gt;"",I230&lt;H230),"Check odometer readings",IF(K230="","Action - add distance",IF(E230="","Action - add a purpose","OK"))))</f>
        <v>0</v>
      </c>
    </row>
    <row r="231" spans="1:24">
      <c r="A231" s="46">
        <f>IF(B231="","","TR-"&amp;TEXT(ROW()-4,"0000"))</f>
        <v>0</v>
      </c>
      <c r="K231" s="32">
        <f>IF(AND(H231&lt;&gt;"",I231&lt;&gt;""),ROUND(I231-H231,1),IF(J231="","",J231))</f>
        <v>0</v>
      </c>
      <c r="M231" s="32">
        <f>IF(K231="","",IF(L231="Yes",ROUND(K231*2,1),K231))</f>
        <v>0</v>
      </c>
      <c r="N231" s="49">
        <f>IF(E231="","",IF(E231="Personal","Personal","Business"))</f>
        <v>0</v>
      </c>
      <c r="O231" s="29">
        <f>IF(B231="","",MileageRate)</f>
        <v>0</v>
      </c>
      <c r="P231" s="29">
        <f>IF(M231="","",IF(N231="Business",ROUND(M231*MileageRate,2),0))</f>
        <v>0</v>
      </c>
      <c r="U231" s="29">
        <f>IF(B231="","",ROUND(IF(P231="",0,P231)+IF(N231="Business",IF(R231="",0,R231)+IF(S231="",0,S231),0),2))</f>
        <v>0</v>
      </c>
      <c r="W231" s="28">
        <f>IF(B231="","",TEXT(B231,"yyyy-mm"))</f>
        <v>0</v>
      </c>
      <c r="X231" s="49">
        <f>IF(B231="","",IF(AND(H231&lt;&gt;"",I231&lt;&gt;"",I231&lt;H231),"Check odometer readings",IF(K231="","Action - add distance",IF(E231="","Action - add a purpose","OK"))))</f>
        <v>0</v>
      </c>
    </row>
    <row r="232" spans="1:24">
      <c r="A232" s="46">
        <f>IF(B232="","","TR-"&amp;TEXT(ROW()-4,"0000"))</f>
        <v>0</v>
      </c>
      <c r="K232" s="32">
        <f>IF(AND(H232&lt;&gt;"",I232&lt;&gt;""),ROUND(I232-H232,1),IF(J232="","",J232))</f>
        <v>0</v>
      </c>
      <c r="M232" s="32">
        <f>IF(K232="","",IF(L232="Yes",ROUND(K232*2,1),K232))</f>
        <v>0</v>
      </c>
      <c r="N232" s="49">
        <f>IF(E232="","",IF(E232="Personal","Personal","Business"))</f>
        <v>0</v>
      </c>
      <c r="O232" s="29">
        <f>IF(B232="","",MileageRate)</f>
        <v>0</v>
      </c>
      <c r="P232" s="29">
        <f>IF(M232="","",IF(N232="Business",ROUND(M232*MileageRate,2),0))</f>
        <v>0</v>
      </c>
      <c r="U232" s="29">
        <f>IF(B232="","",ROUND(IF(P232="",0,P232)+IF(N232="Business",IF(R232="",0,R232)+IF(S232="",0,S232),0),2))</f>
        <v>0</v>
      </c>
      <c r="W232" s="28">
        <f>IF(B232="","",TEXT(B232,"yyyy-mm"))</f>
        <v>0</v>
      </c>
      <c r="X232" s="49">
        <f>IF(B232="","",IF(AND(H232&lt;&gt;"",I232&lt;&gt;"",I232&lt;H232),"Check odometer readings",IF(K232="","Action - add distance",IF(E232="","Action - add a purpose","OK"))))</f>
        <v>0</v>
      </c>
    </row>
    <row r="233" spans="1:24">
      <c r="A233" s="46">
        <f>IF(B233="","","TR-"&amp;TEXT(ROW()-4,"0000"))</f>
        <v>0</v>
      </c>
      <c r="K233" s="32">
        <f>IF(AND(H233&lt;&gt;"",I233&lt;&gt;""),ROUND(I233-H233,1),IF(J233="","",J233))</f>
        <v>0</v>
      </c>
      <c r="M233" s="32">
        <f>IF(K233="","",IF(L233="Yes",ROUND(K233*2,1),K233))</f>
        <v>0</v>
      </c>
      <c r="N233" s="49">
        <f>IF(E233="","",IF(E233="Personal","Personal","Business"))</f>
        <v>0</v>
      </c>
      <c r="O233" s="29">
        <f>IF(B233="","",MileageRate)</f>
        <v>0</v>
      </c>
      <c r="P233" s="29">
        <f>IF(M233="","",IF(N233="Business",ROUND(M233*MileageRate,2),0))</f>
        <v>0</v>
      </c>
      <c r="U233" s="29">
        <f>IF(B233="","",ROUND(IF(P233="",0,P233)+IF(N233="Business",IF(R233="",0,R233)+IF(S233="",0,S233),0),2))</f>
        <v>0</v>
      </c>
      <c r="W233" s="28">
        <f>IF(B233="","",TEXT(B233,"yyyy-mm"))</f>
        <v>0</v>
      </c>
      <c r="X233" s="49">
        <f>IF(B233="","",IF(AND(H233&lt;&gt;"",I233&lt;&gt;"",I233&lt;H233),"Check odometer readings",IF(K233="","Action - add distance",IF(E233="","Action - add a purpose","OK"))))</f>
        <v>0</v>
      </c>
    </row>
    <row r="234" spans="1:24">
      <c r="A234" s="46">
        <f>IF(B234="","","TR-"&amp;TEXT(ROW()-4,"0000"))</f>
        <v>0</v>
      </c>
      <c r="K234" s="32">
        <f>IF(AND(H234&lt;&gt;"",I234&lt;&gt;""),ROUND(I234-H234,1),IF(J234="","",J234))</f>
        <v>0</v>
      </c>
      <c r="M234" s="32">
        <f>IF(K234="","",IF(L234="Yes",ROUND(K234*2,1),K234))</f>
        <v>0</v>
      </c>
      <c r="N234" s="49">
        <f>IF(E234="","",IF(E234="Personal","Personal","Business"))</f>
        <v>0</v>
      </c>
      <c r="O234" s="29">
        <f>IF(B234="","",MileageRate)</f>
        <v>0</v>
      </c>
      <c r="P234" s="29">
        <f>IF(M234="","",IF(N234="Business",ROUND(M234*MileageRate,2),0))</f>
        <v>0</v>
      </c>
      <c r="U234" s="29">
        <f>IF(B234="","",ROUND(IF(P234="",0,P234)+IF(N234="Business",IF(R234="",0,R234)+IF(S234="",0,S234),0),2))</f>
        <v>0</v>
      </c>
      <c r="W234" s="28">
        <f>IF(B234="","",TEXT(B234,"yyyy-mm"))</f>
        <v>0</v>
      </c>
      <c r="X234" s="49">
        <f>IF(B234="","",IF(AND(H234&lt;&gt;"",I234&lt;&gt;"",I234&lt;H234),"Check odometer readings",IF(K234="","Action - add distance",IF(E234="","Action - add a purpose","OK"))))</f>
        <v>0</v>
      </c>
    </row>
    <row r="235" spans="1:24">
      <c r="A235" s="46">
        <f>IF(B235="","","TR-"&amp;TEXT(ROW()-4,"0000"))</f>
        <v>0</v>
      </c>
      <c r="K235" s="32">
        <f>IF(AND(H235&lt;&gt;"",I235&lt;&gt;""),ROUND(I235-H235,1),IF(J235="","",J235))</f>
        <v>0</v>
      </c>
      <c r="M235" s="32">
        <f>IF(K235="","",IF(L235="Yes",ROUND(K235*2,1),K235))</f>
        <v>0</v>
      </c>
      <c r="N235" s="49">
        <f>IF(E235="","",IF(E235="Personal","Personal","Business"))</f>
        <v>0</v>
      </c>
      <c r="O235" s="29">
        <f>IF(B235="","",MileageRate)</f>
        <v>0</v>
      </c>
      <c r="P235" s="29">
        <f>IF(M235="","",IF(N235="Business",ROUND(M235*MileageRate,2),0))</f>
        <v>0</v>
      </c>
      <c r="U235" s="29">
        <f>IF(B235="","",ROUND(IF(P235="",0,P235)+IF(N235="Business",IF(R235="",0,R235)+IF(S235="",0,S235),0),2))</f>
        <v>0</v>
      </c>
      <c r="W235" s="28">
        <f>IF(B235="","",TEXT(B235,"yyyy-mm"))</f>
        <v>0</v>
      </c>
      <c r="X235" s="49">
        <f>IF(B235="","",IF(AND(H235&lt;&gt;"",I235&lt;&gt;"",I235&lt;H235),"Check odometer readings",IF(K235="","Action - add distance",IF(E235="","Action - add a purpose","OK"))))</f>
        <v>0</v>
      </c>
    </row>
    <row r="236" spans="1:24">
      <c r="A236" s="46">
        <f>IF(B236="","","TR-"&amp;TEXT(ROW()-4,"0000"))</f>
        <v>0</v>
      </c>
      <c r="K236" s="32">
        <f>IF(AND(H236&lt;&gt;"",I236&lt;&gt;""),ROUND(I236-H236,1),IF(J236="","",J236))</f>
        <v>0</v>
      </c>
      <c r="M236" s="32">
        <f>IF(K236="","",IF(L236="Yes",ROUND(K236*2,1),K236))</f>
        <v>0</v>
      </c>
      <c r="N236" s="49">
        <f>IF(E236="","",IF(E236="Personal","Personal","Business"))</f>
        <v>0</v>
      </c>
      <c r="O236" s="29">
        <f>IF(B236="","",MileageRate)</f>
        <v>0</v>
      </c>
      <c r="P236" s="29">
        <f>IF(M236="","",IF(N236="Business",ROUND(M236*MileageRate,2),0))</f>
        <v>0</v>
      </c>
      <c r="U236" s="29">
        <f>IF(B236="","",ROUND(IF(P236="",0,P236)+IF(N236="Business",IF(R236="",0,R236)+IF(S236="",0,S236),0),2))</f>
        <v>0</v>
      </c>
      <c r="W236" s="28">
        <f>IF(B236="","",TEXT(B236,"yyyy-mm"))</f>
        <v>0</v>
      </c>
      <c r="X236" s="49">
        <f>IF(B236="","",IF(AND(H236&lt;&gt;"",I236&lt;&gt;"",I236&lt;H236),"Check odometer readings",IF(K236="","Action - add distance",IF(E236="","Action - add a purpose","OK"))))</f>
        <v>0</v>
      </c>
    </row>
    <row r="237" spans="1:24">
      <c r="A237" s="46">
        <f>IF(B237="","","TR-"&amp;TEXT(ROW()-4,"0000"))</f>
        <v>0</v>
      </c>
      <c r="K237" s="32">
        <f>IF(AND(H237&lt;&gt;"",I237&lt;&gt;""),ROUND(I237-H237,1),IF(J237="","",J237))</f>
        <v>0</v>
      </c>
      <c r="M237" s="32">
        <f>IF(K237="","",IF(L237="Yes",ROUND(K237*2,1),K237))</f>
        <v>0</v>
      </c>
      <c r="N237" s="49">
        <f>IF(E237="","",IF(E237="Personal","Personal","Business"))</f>
        <v>0</v>
      </c>
      <c r="O237" s="29">
        <f>IF(B237="","",MileageRate)</f>
        <v>0</v>
      </c>
      <c r="P237" s="29">
        <f>IF(M237="","",IF(N237="Business",ROUND(M237*MileageRate,2),0))</f>
        <v>0</v>
      </c>
      <c r="U237" s="29">
        <f>IF(B237="","",ROUND(IF(P237="",0,P237)+IF(N237="Business",IF(R237="",0,R237)+IF(S237="",0,S237),0),2))</f>
        <v>0</v>
      </c>
      <c r="W237" s="28">
        <f>IF(B237="","",TEXT(B237,"yyyy-mm"))</f>
        <v>0</v>
      </c>
      <c r="X237" s="49">
        <f>IF(B237="","",IF(AND(H237&lt;&gt;"",I237&lt;&gt;"",I237&lt;H237),"Check odometer readings",IF(K237="","Action - add distance",IF(E237="","Action - add a purpose","OK"))))</f>
        <v>0</v>
      </c>
    </row>
    <row r="238" spans="1:24">
      <c r="A238" s="46">
        <f>IF(B238="","","TR-"&amp;TEXT(ROW()-4,"0000"))</f>
        <v>0</v>
      </c>
      <c r="K238" s="32">
        <f>IF(AND(H238&lt;&gt;"",I238&lt;&gt;""),ROUND(I238-H238,1),IF(J238="","",J238))</f>
        <v>0</v>
      </c>
      <c r="M238" s="32">
        <f>IF(K238="","",IF(L238="Yes",ROUND(K238*2,1),K238))</f>
        <v>0</v>
      </c>
      <c r="N238" s="49">
        <f>IF(E238="","",IF(E238="Personal","Personal","Business"))</f>
        <v>0</v>
      </c>
      <c r="O238" s="29">
        <f>IF(B238="","",MileageRate)</f>
        <v>0</v>
      </c>
      <c r="P238" s="29">
        <f>IF(M238="","",IF(N238="Business",ROUND(M238*MileageRate,2),0))</f>
        <v>0</v>
      </c>
      <c r="U238" s="29">
        <f>IF(B238="","",ROUND(IF(P238="",0,P238)+IF(N238="Business",IF(R238="",0,R238)+IF(S238="",0,S238),0),2))</f>
        <v>0</v>
      </c>
      <c r="W238" s="28">
        <f>IF(B238="","",TEXT(B238,"yyyy-mm"))</f>
        <v>0</v>
      </c>
      <c r="X238" s="49">
        <f>IF(B238="","",IF(AND(H238&lt;&gt;"",I238&lt;&gt;"",I238&lt;H238),"Check odometer readings",IF(K238="","Action - add distance",IF(E238="","Action - add a purpose","OK"))))</f>
        <v>0</v>
      </c>
    </row>
    <row r="239" spans="1:24">
      <c r="A239" s="46">
        <f>IF(B239="","","TR-"&amp;TEXT(ROW()-4,"0000"))</f>
        <v>0</v>
      </c>
      <c r="K239" s="32">
        <f>IF(AND(H239&lt;&gt;"",I239&lt;&gt;""),ROUND(I239-H239,1),IF(J239="","",J239))</f>
        <v>0</v>
      </c>
      <c r="M239" s="32">
        <f>IF(K239="","",IF(L239="Yes",ROUND(K239*2,1),K239))</f>
        <v>0</v>
      </c>
      <c r="N239" s="49">
        <f>IF(E239="","",IF(E239="Personal","Personal","Business"))</f>
        <v>0</v>
      </c>
      <c r="O239" s="29">
        <f>IF(B239="","",MileageRate)</f>
        <v>0</v>
      </c>
      <c r="P239" s="29">
        <f>IF(M239="","",IF(N239="Business",ROUND(M239*MileageRate,2),0))</f>
        <v>0</v>
      </c>
      <c r="U239" s="29">
        <f>IF(B239="","",ROUND(IF(P239="",0,P239)+IF(N239="Business",IF(R239="",0,R239)+IF(S239="",0,S239),0),2))</f>
        <v>0</v>
      </c>
      <c r="W239" s="28">
        <f>IF(B239="","",TEXT(B239,"yyyy-mm"))</f>
        <v>0</v>
      </c>
      <c r="X239" s="49">
        <f>IF(B239="","",IF(AND(H239&lt;&gt;"",I239&lt;&gt;"",I239&lt;H239),"Check odometer readings",IF(K239="","Action - add distance",IF(E239="","Action - add a purpose","OK"))))</f>
        <v>0</v>
      </c>
    </row>
    <row r="240" spans="1:24">
      <c r="A240" s="46">
        <f>IF(B240="","","TR-"&amp;TEXT(ROW()-4,"0000"))</f>
        <v>0</v>
      </c>
      <c r="K240" s="32">
        <f>IF(AND(H240&lt;&gt;"",I240&lt;&gt;""),ROUND(I240-H240,1),IF(J240="","",J240))</f>
        <v>0</v>
      </c>
      <c r="M240" s="32">
        <f>IF(K240="","",IF(L240="Yes",ROUND(K240*2,1),K240))</f>
        <v>0</v>
      </c>
      <c r="N240" s="49">
        <f>IF(E240="","",IF(E240="Personal","Personal","Business"))</f>
        <v>0</v>
      </c>
      <c r="O240" s="29">
        <f>IF(B240="","",MileageRate)</f>
        <v>0</v>
      </c>
      <c r="P240" s="29">
        <f>IF(M240="","",IF(N240="Business",ROUND(M240*MileageRate,2),0))</f>
        <v>0</v>
      </c>
      <c r="U240" s="29">
        <f>IF(B240="","",ROUND(IF(P240="",0,P240)+IF(N240="Business",IF(R240="",0,R240)+IF(S240="",0,S240),0),2))</f>
        <v>0</v>
      </c>
      <c r="W240" s="28">
        <f>IF(B240="","",TEXT(B240,"yyyy-mm"))</f>
        <v>0</v>
      </c>
      <c r="X240" s="49">
        <f>IF(B240="","",IF(AND(H240&lt;&gt;"",I240&lt;&gt;"",I240&lt;H240),"Check odometer readings",IF(K240="","Action - add distance",IF(E240="","Action - add a purpose","OK"))))</f>
        <v>0</v>
      </c>
    </row>
    <row r="241" spans="1:24">
      <c r="A241" s="46">
        <f>IF(B241="","","TR-"&amp;TEXT(ROW()-4,"0000"))</f>
        <v>0</v>
      </c>
      <c r="K241" s="32">
        <f>IF(AND(H241&lt;&gt;"",I241&lt;&gt;""),ROUND(I241-H241,1),IF(J241="","",J241))</f>
        <v>0</v>
      </c>
      <c r="M241" s="32">
        <f>IF(K241="","",IF(L241="Yes",ROUND(K241*2,1),K241))</f>
        <v>0</v>
      </c>
      <c r="N241" s="49">
        <f>IF(E241="","",IF(E241="Personal","Personal","Business"))</f>
        <v>0</v>
      </c>
      <c r="O241" s="29">
        <f>IF(B241="","",MileageRate)</f>
        <v>0</v>
      </c>
      <c r="P241" s="29">
        <f>IF(M241="","",IF(N241="Business",ROUND(M241*MileageRate,2),0))</f>
        <v>0</v>
      </c>
      <c r="U241" s="29">
        <f>IF(B241="","",ROUND(IF(P241="",0,P241)+IF(N241="Business",IF(R241="",0,R241)+IF(S241="",0,S241),0),2))</f>
        <v>0</v>
      </c>
      <c r="W241" s="28">
        <f>IF(B241="","",TEXT(B241,"yyyy-mm"))</f>
        <v>0</v>
      </c>
      <c r="X241" s="49">
        <f>IF(B241="","",IF(AND(H241&lt;&gt;"",I241&lt;&gt;"",I241&lt;H241),"Check odometer readings",IF(K241="","Action - add distance",IF(E241="","Action - add a purpose","OK"))))</f>
        <v>0</v>
      </c>
    </row>
    <row r="242" spans="1:24">
      <c r="A242" s="46">
        <f>IF(B242="","","TR-"&amp;TEXT(ROW()-4,"0000"))</f>
        <v>0</v>
      </c>
      <c r="K242" s="32">
        <f>IF(AND(H242&lt;&gt;"",I242&lt;&gt;""),ROUND(I242-H242,1),IF(J242="","",J242))</f>
        <v>0</v>
      </c>
      <c r="M242" s="32">
        <f>IF(K242="","",IF(L242="Yes",ROUND(K242*2,1),K242))</f>
        <v>0</v>
      </c>
      <c r="N242" s="49">
        <f>IF(E242="","",IF(E242="Personal","Personal","Business"))</f>
        <v>0</v>
      </c>
      <c r="O242" s="29">
        <f>IF(B242="","",MileageRate)</f>
        <v>0</v>
      </c>
      <c r="P242" s="29">
        <f>IF(M242="","",IF(N242="Business",ROUND(M242*MileageRate,2),0))</f>
        <v>0</v>
      </c>
      <c r="U242" s="29">
        <f>IF(B242="","",ROUND(IF(P242="",0,P242)+IF(N242="Business",IF(R242="",0,R242)+IF(S242="",0,S242),0),2))</f>
        <v>0</v>
      </c>
      <c r="W242" s="28">
        <f>IF(B242="","",TEXT(B242,"yyyy-mm"))</f>
        <v>0</v>
      </c>
      <c r="X242" s="49">
        <f>IF(B242="","",IF(AND(H242&lt;&gt;"",I242&lt;&gt;"",I242&lt;H242),"Check odometer readings",IF(K242="","Action - add distance",IF(E242="","Action - add a purpose","OK"))))</f>
        <v>0</v>
      </c>
    </row>
    <row r="243" spans="1:24">
      <c r="A243" s="46">
        <f>IF(B243="","","TR-"&amp;TEXT(ROW()-4,"0000"))</f>
        <v>0</v>
      </c>
      <c r="K243" s="32">
        <f>IF(AND(H243&lt;&gt;"",I243&lt;&gt;""),ROUND(I243-H243,1),IF(J243="","",J243))</f>
        <v>0</v>
      </c>
      <c r="M243" s="32">
        <f>IF(K243="","",IF(L243="Yes",ROUND(K243*2,1),K243))</f>
        <v>0</v>
      </c>
      <c r="N243" s="49">
        <f>IF(E243="","",IF(E243="Personal","Personal","Business"))</f>
        <v>0</v>
      </c>
      <c r="O243" s="29">
        <f>IF(B243="","",MileageRate)</f>
        <v>0</v>
      </c>
      <c r="P243" s="29">
        <f>IF(M243="","",IF(N243="Business",ROUND(M243*MileageRate,2),0))</f>
        <v>0</v>
      </c>
      <c r="U243" s="29">
        <f>IF(B243="","",ROUND(IF(P243="",0,P243)+IF(N243="Business",IF(R243="",0,R243)+IF(S243="",0,S243),0),2))</f>
        <v>0</v>
      </c>
      <c r="W243" s="28">
        <f>IF(B243="","",TEXT(B243,"yyyy-mm"))</f>
        <v>0</v>
      </c>
      <c r="X243" s="49">
        <f>IF(B243="","",IF(AND(H243&lt;&gt;"",I243&lt;&gt;"",I243&lt;H243),"Check odometer readings",IF(K243="","Action - add distance",IF(E243="","Action - add a purpose","OK"))))</f>
        <v>0</v>
      </c>
    </row>
    <row r="244" spans="1:24">
      <c r="A244" s="46">
        <f>IF(B244="","","TR-"&amp;TEXT(ROW()-4,"0000"))</f>
        <v>0</v>
      </c>
      <c r="K244" s="32">
        <f>IF(AND(H244&lt;&gt;"",I244&lt;&gt;""),ROUND(I244-H244,1),IF(J244="","",J244))</f>
        <v>0</v>
      </c>
      <c r="M244" s="32">
        <f>IF(K244="","",IF(L244="Yes",ROUND(K244*2,1),K244))</f>
        <v>0</v>
      </c>
      <c r="N244" s="49">
        <f>IF(E244="","",IF(E244="Personal","Personal","Business"))</f>
        <v>0</v>
      </c>
      <c r="O244" s="29">
        <f>IF(B244="","",MileageRate)</f>
        <v>0</v>
      </c>
      <c r="P244" s="29">
        <f>IF(M244="","",IF(N244="Business",ROUND(M244*MileageRate,2),0))</f>
        <v>0</v>
      </c>
      <c r="U244" s="29">
        <f>IF(B244="","",ROUND(IF(P244="",0,P244)+IF(N244="Business",IF(R244="",0,R244)+IF(S244="",0,S244),0),2))</f>
        <v>0</v>
      </c>
      <c r="W244" s="28">
        <f>IF(B244="","",TEXT(B244,"yyyy-mm"))</f>
        <v>0</v>
      </c>
      <c r="X244" s="49">
        <f>IF(B244="","",IF(AND(H244&lt;&gt;"",I244&lt;&gt;"",I244&lt;H244),"Check odometer readings",IF(K244="","Action - add distance",IF(E244="","Action - add a purpose","OK"))))</f>
        <v>0</v>
      </c>
    </row>
    <row r="245" spans="1:24">
      <c r="A245" s="46">
        <f>IF(B245="","","TR-"&amp;TEXT(ROW()-4,"0000"))</f>
        <v>0</v>
      </c>
      <c r="K245" s="32">
        <f>IF(AND(H245&lt;&gt;"",I245&lt;&gt;""),ROUND(I245-H245,1),IF(J245="","",J245))</f>
        <v>0</v>
      </c>
      <c r="M245" s="32">
        <f>IF(K245="","",IF(L245="Yes",ROUND(K245*2,1),K245))</f>
        <v>0</v>
      </c>
      <c r="N245" s="49">
        <f>IF(E245="","",IF(E245="Personal","Personal","Business"))</f>
        <v>0</v>
      </c>
      <c r="O245" s="29">
        <f>IF(B245="","",MileageRate)</f>
        <v>0</v>
      </c>
      <c r="P245" s="29">
        <f>IF(M245="","",IF(N245="Business",ROUND(M245*MileageRate,2),0))</f>
        <v>0</v>
      </c>
      <c r="U245" s="29">
        <f>IF(B245="","",ROUND(IF(P245="",0,P245)+IF(N245="Business",IF(R245="",0,R245)+IF(S245="",0,S245),0),2))</f>
        <v>0</v>
      </c>
      <c r="W245" s="28">
        <f>IF(B245="","",TEXT(B245,"yyyy-mm"))</f>
        <v>0</v>
      </c>
      <c r="X245" s="49">
        <f>IF(B245="","",IF(AND(H245&lt;&gt;"",I245&lt;&gt;"",I245&lt;H245),"Check odometer readings",IF(K245="","Action - add distance",IF(E245="","Action - add a purpose","OK"))))</f>
        <v>0</v>
      </c>
    </row>
    <row r="246" spans="1:24">
      <c r="A246" s="46">
        <f>IF(B246="","","TR-"&amp;TEXT(ROW()-4,"0000"))</f>
        <v>0</v>
      </c>
      <c r="K246" s="32">
        <f>IF(AND(H246&lt;&gt;"",I246&lt;&gt;""),ROUND(I246-H246,1),IF(J246="","",J246))</f>
        <v>0</v>
      </c>
      <c r="M246" s="32">
        <f>IF(K246="","",IF(L246="Yes",ROUND(K246*2,1),K246))</f>
        <v>0</v>
      </c>
      <c r="N246" s="49">
        <f>IF(E246="","",IF(E246="Personal","Personal","Business"))</f>
        <v>0</v>
      </c>
      <c r="O246" s="29">
        <f>IF(B246="","",MileageRate)</f>
        <v>0</v>
      </c>
      <c r="P246" s="29">
        <f>IF(M246="","",IF(N246="Business",ROUND(M246*MileageRate,2),0))</f>
        <v>0</v>
      </c>
      <c r="U246" s="29">
        <f>IF(B246="","",ROUND(IF(P246="",0,P246)+IF(N246="Business",IF(R246="",0,R246)+IF(S246="",0,S246),0),2))</f>
        <v>0</v>
      </c>
      <c r="W246" s="28">
        <f>IF(B246="","",TEXT(B246,"yyyy-mm"))</f>
        <v>0</v>
      </c>
      <c r="X246" s="49">
        <f>IF(B246="","",IF(AND(H246&lt;&gt;"",I246&lt;&gt;"",I246&lt;H246),"Check odometer readings",IF(K246="","Action - add distance",IF(E246="","Action - add a purpose","OK"))))</f>
        <v>0</v>
      </c>
    </row>
    <row r="247" spans="1:24">
      <c r="A247" s="46">
        <f>IF(B247="","","TR-"&amp;TEXT(ROW()-4,"0000"))</f>
        <v>0</v>
      </c>
      <c r="K247" s="32">
        <f>IF(AND(H247&lt;&gt;"",I247&lt;&gt;""),ROUND(I247-H247,1),IF(J247="","",J247))</f>
        <v>0</v>
      </c>
      <c r="M247" s="32">
        <f>IF(K247="","",IF(L247="Yes",ROUND(K247*2,1),K247))</f>
        <v>0</v>
      </c>
      <c r="N247" s="49">
        <f>IF(E247="","",IF(E247="Personal","Personal","Business"))</f>
        <v>0</v>
      </c>
      <c r="O247" s="29">
        <f>IF(B247="","",MileageRate)</f>
        <v>0</v>
      </c>
      <c r="P247" s="29">
        <f>IF(M247="","",IF(N247="Business",ROUND(M247*MileageRate,2),0))</f>
        <v>0</v>
      </c>
      <c r="U247" s="29">
        <f>IF(B247="","",ROUND(IF(P247="",0,P247)+IF(N247="Business",IF(R247="",0,R247)+IF(S247="",0,S247),0),2))</f>
        <v>0</v>
      </c>
      <c r="W247" s="28">
        <f>IF(B247="","",TEXT(B247,"yyyy-mm"))</f>
        <v>0</v>
      </c>
      <c r="X247" s="49">
        <f>IF(B247="","",IF(AND(H247&lt;&gt;"",I247&lt;&gt;"",I247&lt;H247),"Check odometer readings",IF(K247="","Action - add distance",IF(E247="","Action - add a purpose","OK"))))</f>
        <v>0</v>
      </c>
    </row>
    <row r="248" spans="1:24">
      <c r="A248" s="46">
        <f>IF(B248="","","TR-"&amp;TEXT(ROW()-4,"0000"))</f>
        <v>0</v>
      </c>
      <c r="K248" s="32">
        <f>IF(AND(H248&lt;&gt;"",I248&lt;&gt;""),ROUND(I248-H248,1),IF(J248="","",J248))</f>
        <v>0</v>
      </c>
      <c r="M248" s="32">
        <f>IF(K248="","",IF(L248="Yes",ROUND(K248*2,1),K248))</f>
        <v>0</v>
      </c>
      <c r="N248" s="49">
        <f>IF(E248="","",IF(E248="Personal","Personal","Business"))</f>
        <v>0</v>
      </c>
      <c r="O248" s="29">
        <f>IF(B248="","",MileageRate)</f>
        <v>0</v>
      </c>
      <c r="P248" s="29">
        <f>IF(M248="","",IF(N248="Business",ROUND(M248*MileageRate,2),0))</f>
        <v>0</v>
      </c>
      <c r="U248" s="29">
        <f>IF(B248="","",ROUND(IF(P248="",0,P248)+IF(N248="Business",IF(R248="",0,R248)+IF(S248="",0,S248),0),2))</f>
        <v>0</v>
      </c>
      <c r="W248" s="28">
        <f>IF(B248="","",TEXT(B248,"yyyy-mm"))</f>
        <v>0</v>
      </c>
      <c r="X248" s="49">
        <f>IF(B248="","",IF(AND(H248&lt;&gt;"",I248&lt;&gt;"",I248&lt;H248),"Check odometer readings",IF(K248="","Action - add distance",IF(E248="","Action - add a purpose","OK"))))</f>
        <v>0</v>
      </c>
    </row>
    <row r="249" spans="1:24">
      <c r="A249" s="46">
        <f>IF(B249="","","TR-"&amp;TEXT(ROW()-4,"0000"))</f>
        <v>0</v>
      </c>
      <c r="K249" s="32">
        <f>IF(AND(H249&lt;&gt;"",I249&lt;&gt;""),ROUND(I249-H249,1),IF(J249="","",J249))</f>
        <v>0</v>
      </c>
      <c r="M249" s="32">
        <f>IF(K249="","",IF(L249="Yes",ROUND(K249*2,1),K249))</f>
        <v>0</v>
      </c>
      <c r="N249" s="49">
        <f>IF(E249="","",IF(E249="Personal","Personal","Business"))</f>
        <v>0</v>
      </c>
      <c r="O249" s="29">
        <f>IF(B249="","",MileageRate)</f>
        <v>0</v>
      </c>
      <c r="P249" s="29">
        <f>IF(M249="","",IF(N249="Business",ROUND(M249*MileageRate,2),0))</f>
        <v>0</v>
      </c>
      <c r="U249" s="29">
        <f>IF(B249="","",ROUND(IF(P249="",0,P249)+IF(N249="Business",IF(R249="",0,R249)+IF(S249="",0,S249),0),2))</f>
        <v>0</v>
      </c>
      <c r="W249" s="28">
        <f>IF(B249="","",TEXT(B249,"yyyy-mm"))</f>
        <v>0</v>
      </c>
      <c r="X249" s="49">
        <f>IF(B249="","",IF(AND(H249&lt;&gt;"",I249&lt;&gt;"",I249&lt;H249),"Check odometer readings",IF(K249="","Action - add distance",IF(E249="","Action - add a purpose","OK"))))</f>
        <v>0</v>
      </c>
    </row>
    <row r="250" spans="1:24">
      <c r="A250" s="46">
        <f>IF(B250="","","TR-"&amp;TEXT(ROW()-4,"0000"))</f>
        <v>0</v>
      </c>
      <c r="K250" s="32">
        <f>IF(AND(H250&lt;&gt;"",I250&lt;&gt;""),ROUND(I250-H250,1),IF(J250="","",J250))</f>
        <v>0</v>
      </c>
      <c r="M250" s="32">
        <f>IF(K250="","",IF(L250="Yes",ROUND(K250*2,1),K250))</f>
        <v>0</v>
      </c>
      <c r="N250" s="49">
        <f>IF(E250="","",IF(E250="Personal","Personal","Business"))</f>
        <v>0</v>
      </c>
      <c r="O250" s="29">
        <f>IF(B250="","",MileageRate)</f>
        <v>0</v>
      </c>
      <c r="P250" s="29">
        <f>IF(M250="","",IF(N250="Business",ROUND(M250*MileageRate,2),0))</f>
        <v>0</v>
      </c>
      <c r="U250" s="29">
        <f>IF(B250="","",ROUND(IF(P250="",0,P250)+IF(N250="Business",IF(R250="",0,R250)+IF(S250="",0,S250),0),2))</f>
        <v>0</v>
      </c>
      <c r="W250" s="28">
        <f>IF(B250="","",TEXT(B250,"yyyy-mm"))</f>
        <v>0</v>
      </c>
      <c r="X250" s="49">
        <f>IF(B250="","",IF(AND(H250&lt;&gt;"",I250&lt;&gt;"",I250&lt;H250),"Check odometer readings",IF(K250="","Action - add distance",IF(E250="","Action - add a purpose","OK"))))</f>
        <v>0</v>
      </c>
    </row>
    <row r="251" spans="1:24">
      <c r="A251" s="46">
        <f>IF(B251="","","TR-"&amp;TEXT(ROW()-4,"0000"))</f>
        <v>0</v>
      </c>
      <c r="K251" s="32">
        <f>IF(AND(H251&lt;&gt;"",I251&lt;&gt;""),ROUND(I251-H251,1),IF(J251="","",J251))</f>
        <v>0</v>
      </c>
      <c r="M251" s="32">
        <f>IF(K251="","",IF(L251="Yes",ROUND(K251*2,1),K251))</f>
        <v>0</v>
      </c>
      <c r="N251" s="49">
        <f>IF(E251="","",IF(E251="Personal","Personal","Business"))</f>
        <v>0</v>
      </c>
      <c r="O251" s="29">
        <f>IF(B251="","",MileageRate)</f>
        <v>0</v>
      </c>
      <c r="P251" s="29">
        <f>IF(M251="","",IF(N251="Business",ROUND(M251*MileageRate,2),0))</f>
        <v>0</v>
      </c>
      <c r="U251" s="29">
        <f>IF(B251="","",ROUND(IF(P251="",0,P251)+IF(N251="Business",IF(R251="",0,R251)+IF(S251="",0,S251),0),2))</f>
        <v>0</v>
      </c>
      <c r="W251" s="28">
        <f>IF(B251="","",TEXT(B251,"yyyy-mm"))</f>
        <v>0</v>
      </c>
      <c r="X251" s="49">
        <f>IF(B251="","",IF(AND(H251&lt;&gt;"",I251&lt;&gt;"",I251&lt;H251),"Check odometer readings",IF(K251="","Action - add distance",IF(E251="","Action - add a purpose","OK"))))</f>
        <v>0</v>
      </c>
    </row>
    <row r="252" spans="1:24">
      <c r="A252" s="46">
        <f>IF(B252="","","TR-"&amp;TEXT(ROW()-4,"0000"))</f>
        <v>0</v>
      </c>
      <c r="K252" s="32">
        <f>IF(AND(H252&lt;&gt;"",I252&lt;&gt;""),ROUND(I252-H252,1),IF(J252="","",J252))</f>
        <v>0</v>
      </c>
      <c r="M252" s="32">
        <f>IF(K252="","",IF(L252="Yes",ROUND(K252*2,1),K252))</f>
        <v>0</v>
      </c>
      <c r="N252" s="49">
        <f>IF(E252="","",IF(E252="Personal","Personal","Business"))</f>
        <v>0</v>
      </c>
      <c r="O252" s="29">
        <f>IF(B252="","",MileageRate)</f>
        <v>0</v>
      </c>
      <c r="P252" s="29">
        <f>IF(M252="","",IF(N252="Business",ROUND(M252*MileageRate,2),0))</f>
        <v>0</v>
      </c>
      <c r="U252" s="29">
        <f>IF(B252="","",ROUND(IF(P252="",0,P252)+IF(N252="Business",IF(R252="",0,R252)+IF(S252="",0,S252),0),2))</f>
        <v>0</v>
      </c>
      <c r="W252" s="28">
        <f>IF(B252="","",TEXT(B252,"yyyy-mm"))</f>
        <v>0</v>
      </c>
      <c r="X252" s="49">
        <f>IF(B252="","",IF(AND(H252&lt;&gt;"",I252&lt;&gt;"",I252&lt;H252),"Check odometer readings",IF(K252="","Action - add distance",IF(E252="","Action - add a purpose","OK"))))</f>
        <v>0</v>
      </c>
    </row>
    <row r="253" spans="1:24">
      <c r="A253" s="46">
        <f>IF(B253="","","TR-"&amp;TEXT(ROW()-4,"0000"))</f>
        <v>0</v>
      </c>
      <c r="K253" s="32">
        <f>IF(AND(H253&lt;&gt;"",I253&lt;&gt;""),ROUND(I253-H253,1),IF(J253="","",J253))</f>
        <v>0</v>
      </c>
      <c r="M253" s="32">
        <f>IF(K253="","",IF(L253="Yes",ROUND(K253*2,1),K253))</f>
        <v>0</v>
      </c>
      <c r="N253" s="49">
        <f>IF(E253="","",IF(E253="Personal","Personal","Business"))</f>
        <v>0</v>
      </c>
      <c r="O253" s="29">
        <f>IF(B253="","",MileageRate)</f>
        <v>0</v>
      </c>
      <c r="P253" s="29">
        <f>IF(M253="","",IF(N253="Business",ROUND(M253*MileageRate,2),0))</f>
        <v>0</v>
      </c>
      <c r="U253" s="29">
        <f>IF(B253="","",ROUND(IF(P253="",0,P253)+IF(N253="Business",IF(R253="",0,R253)+IF(S253="",0,S253),0),2))</f>
        <v>0</v>
      </c>
      <c r="W253" s="28">
        <f>IF(B253="","",TEXT(B253,"yyyy-mm"))</f>
        <v>0</v>
      </c>
      <c r="X253" s="49">
        <f>IF(B253="","",IF(AND(H253&lt;&gt;"",I253&lt;&gt;"",I253&lt;H253),"Check odometer readings",IF(K253="","Action - add distance",IF(E253="","Action - add a purpose","OK"))))</f>
        <v>0</v>
      </c>
    </row>
    <row r="254" spans="1:24">
      <c r="A254" s="46">
        <f>IF(B254="","","TR-"&amp;TEXT(ROW()-4,"0000"))</f>
        <v>0</v>
      </c>
      <c r="K254" s="32">
        <f>IF(AND(H254&lt;&gt;"",I254&lt;&gt;""),ROUND(I254-H254,1),IF(J254="","",J254))</f>
        <v>0</v>
      </c>
      <c r="M254" s="32">
        <f>IF(K254="","",IF(L254="Yes",ROUND(K254*2,1),K254))</f>
        <v>0</v>
      </c>
      <c r="N254" s="49">
        <f>IF(E254="","",IF(E254="Personal","Personal","Business"))</f>
        <v>0</v>
      </c>
      <c r="O254" s="29">
        <f>IF(B254="","",MileageRate)</f>
        <v>0</v>
      </c>
      <c r="P254" s="29">
        <f>IF(M254="","",IF(N254="Business",ROUND(M254*MileageRate,2),0))</f>
        <v>0</v>
      </c>
      <c r="U254" s="29">
        <f>IF(B254="","",ROUND(IF(P254="",0,P254)+IF(N254="Business",IF(R254="",0,R254)+IF(S254="",0,S254),0),2))</f>
        <v>0</v>
      </c>
      <c r="W254" s="28">
        <f>IF(B254="","",TEXT(B254,"yyyy-mm"))</f>
        <v>0</v>
      </c>
      <c r="X254" s="49">
        <f>IF(B254="","",IF(AND(H254&lt;&gt;"",I254&lt;&gt;"",I254&lt;H254),"Check odometer readings",IF(K254="","Action - add distance",IF(E254="","Action - add a purpose","OK"))))</f>
        <v>0</v>
      </c>
    </row>
    <row r="255" spans="1:24">
      <c r="A255" s="46">
        <f>IF(B255="","","TR-"&amp;TEXT(ROW()-4,"0000"))</f>
        <v>0</v>
      </c>
      <c r="K255" s="32">
        <f>IF(AND(H255&lt;&gt;"",I255&lt;&gt;""),ROUND(I255-H255,1),IF(J255="","",J255))</f>
        <v>0</v>
      </c>
      <c r="M255" s="32">
        <f>IF(K255="","",IF(L255="Yes",ROUND(K255*2,1),K255))</f>
        <v>0</v>
      </c>
      <c r="N255" s="49">
        <f>IF(E255="","",IF(E255="Personal","Personal","Business"))</f>
        <v>0</v>
      </c>
      <c r="O255" s="29">
        <f>IF(B255="","",MileageRate)</f>
        <v>0</v>
      </c>
      <c r="P255" s="29">
        <f>IF(M255="","",IF(N255="Business",ROUND(M255*MileageRate,2),0))</f>
        <v>0</v>
      </c>
      <c r="U255" s="29">
        <f>IF(B255="","",ROUND(IF(P255="",0,P255)+IF(N255="Business",IF(R255="",0,R255)+IF(S255="",0,S255),0),2))</f>
        <v>0</v>
      </c>
      <c r="W255" s="28">
        <f>IF(B255="","",TEXT(B255,"yyyy-mm"))</f>
        <v>0</v>
      </c>
      <c r="X255" s="49">
        <f>IF(B255="","",IF(AND(H255&lt;&gt;"",I255&lt;&gt;"",I255&lt;H255),"Check odometer readings",IF(K255="","Action - add distance",IF(E255="","Action - add a purpose","OK"))))</f>
        <v>0</v>
      </c>
    </row>
    <row r="256" spans="1:24">
      <c r="A256" s="46">
        <f>IF(B256="","","TR-"&amp;TEXT(ROW()-4,"0000"))</f>
        <v>0</v>
      </c>
      <c r="K256" s="32">
        <f>IF(AND(H256&lt;&gt;"",I256&lt;&gt;""),ROUND(I256-H256,1),IF(J256="","",J256))</f>
        <v>0</v>
      </c>
      <c r="M256" s="32">
        <f>IF(K256="","",IF(L256="Yes",ROUND(K256*2,1),K256))</f>
        <v>0</v>
      </c>
      <c r="N256" s="49">
        <f>IF(E256="","",IF(E256="Personal","Personal","Business"))</f>
        <v>0</v>
      </c>
      <c r="O256" s="29">
        <f>IF(B256="","",MileageRate)</f>
        <v>0</v>
      </c>
      <c r="P256" s="29">
        <f>IF(M256="","",IF(N256="Business",ROUND(M256*MileageRate,2),0))</f>
        <v>0</v>
      </c>
      <c r="U256" s="29">
        <f>IF(B256="","",ROUND(IF(P256="",0,P256)+IF(N256="Business",IF(R256="",0,R256)+IF(S256="",0,S256),0),2))</f>
        <v>0</v>
      </c>
      <c r="W256" s="28">
        <f>IF(B256="","",TEXT(B256,"yyyy-mm"))</f>
        <v>0</v>
      </c>
      <c r="X256" s="49">
        <f>IF(B256="","",IF(AND(H256&lt;&gt;"",I256&lt;&gt;"",I256&lt;H256),"Check odometer readings",IF(K256="","Action - add distance",IF(E256="","Action - add a purpose","OK"))))</f>
        <v>0</v>
      </c>
    </row>
    <row r="257" spans="1:24">
      <c r="A257" s="46">
        <f>IF(B257="","","TR-"&amp;TEXT(ROW()-4,"0000"))</f>
        <v>0</v>
      </c>
      <c r="K257" s="32">
        <f>IF(AND(H257&lt;&gt;"",I257&lt;&gt;""),ROUND(I257-H257,1),IF(J257="","",J257))</f>
        <v>0</v>
      </c>
      <c r="M257" s="32">
        <f>IF(K257="","",IF(L257="Yes",ROUND(K257*2,1),K257))</f>
        <v>0</v>
      </c>
      <c r="N257" s="49">
        <f>IF(E257="","",IF(E257="Personal","Personal","Business"))</f>
        <v>0</v>
      </c>
      <c r="O257" s="29">
        <f>IF(B257="","",MileageRate)</f>
        <v>0</v>
      </c>
      <c r="P257" s="29">
        <f>IF(M257="","",IF(N257="Business",ROUND(M257*MileageRate,2),0))</f>
        <v>0</v>
      </c>
      <c r="U257" s="29">
        <f>IF(B257="","",ROUND(IF(P257="",0,P257)+IF(N257="Business",IF(R257="",0,R257)+IF(S257="",0,S257),0),2))</f>
        <v>0</v>
      </c>
      <c r="W257" s="28">
        <f>IF(B257="","",TEXT(B257,"yyyy-mm"))</f>
        <v>0</v>
      </c>
      <c r="X257" s="49">
        <f>IF(B257="","",IF(AND(H257&lt;&gt;"",I257&lt;&gt;"",I257&lt;H257),"Check odometer readings",IF(K257="","Action - add distance",IF(E257="","Action - add a purpose","OK"))))</f>
        <v>0</v>
      </c>
    </row>
    <row r="258" spans="1:24">
      <c r="A258" s="46">
        <f>IF(B258="","","TR-"&amp;TEXT(ROW()-4,"0000"))</f>
        <v>0</v>
      </c>
      <c r="K258" s="32">
        <f>IF(AND(H258&lt;&gt;"",I258&lt;&gt;""),ROUND(I258-H258,1),IF(J258="","",J258))</f>
        <v>0</v>
      </c>
      <c r="M258" s="32">
        <f>IF(K258="","",IF(L258="Yes",ROUND(K258*2,1),K258))</f>
        <v>0</v>
      </c>
      <c r="N258" s="49">
        <f>IF(E258="","",IF(E258="Personal","Personal","Business"))</f>
        <v>0</v>
      </c>
      <c r="O258" s="29">
        <f>IF(B258="","",MileageRate)</f>
        <v>0</v>
      </c>
      <c r="P258" s="29">
        <f>IF(M258="","",IF(N258="Business",ROUND(M258*MileageRate,2),0))</f>
        <v>0</v>
      </c>
      <c r="U258" s="29">
        <f>IF(B258="","",ROUND(IF(P258="",0,P258)+IF(N258="Business",IF(R258="",0,R258)+IF(S258="",0,S258),0),2))</f>
        <v>0</v>
      </c>
      <c r="W258" s="28">
        <f>IF(B258="","",TEXT(B258,"yyyy-mm"))</f>
        <v>0</v>
      </c>
      <c r="X258" s="49">
        <f>IF(B258="","",IF(AND(H258&lt;&gt;"",I258&lt;&gt;"",I258&lt;H258),"Check odometer readings",IF(K258="","Action - add distance",IF(E258="","Action - add a purpose","OK"))))</f>
        <v>0</v>
      </c>
    </row>
    <row r="259" spans="1:24">
      <c r="A259" s="46">
        <f>IF(B259="","","TR-"&amp;TEXT(ROW()-4,"0000"))</f>
        <v>0</v>
      </c>
      <c r="K259" s="32">
        <f>IF(AND(H259&lt;&gt;"",I259&lt;&gt;""),ROUND(I259-H259,1),IF(J259="","",J259))</f>
        <v>0</v>
      </c>
      <c r="M259" s="32">
        <f>IF(K259="","",IF(L259="Yes",ROUND(K259*2,1),K259))</f>
        <v>0</v>
      </c>
      <c r="N259" s="49">
        <f>IF(E259="","",IF(E259="Personal","Personal","Business"))</f>
        <v>0</v>
      </c>
      <c r="O259" s="29">
        <f>IF(B259="","",MileageRate)</f>
        <v>0</v>
      </c>
      <c r="P259" s="29">
        <f>IF(M259="","",IF(N259="Business",ROUND(M259*MileageRate,2),0))</f>
        <v>0</v>
      </c>
      <c r="U259" s="29">
        <f>IF(B259="","",ROUND(IF(P259="",0,P259)+IF(N259="Business",IF(R259="",0,R259)+IF(S259="",0,S259),0),2))</f>
        <v>0</v>
      </c>
      <c r="W259" s="28">
        <f>IF(B259="","",TEXT(B259,"yyyy-mm"))</f>
        <v>0</v>
      </c>
      <c r="X259" s="49">
        <f>IF(B259="","",IF(AND(H259&lt;&gt;"",I259&lt;&gt;"",I259&lt;H259),"Check odometer readings",IF(K259="","Action - add distance",IF(E259="","Action - add a purpose","OK"))))</f>
        <v>0</v>
      </c>
    </row>
    <row r="260" spans="1:24">
      <c r="A260" s="46">
        <f>IF(B260="","","TR-"&amp;TEXT(ROW()-4,"0000"))</f>
        <v>0</v>
      </c>
      <c r="K260" s="32">
        <f>IF(AND(H260&lt;&gt;"",I260&lt;&gt;""),ROUND(I260-H260,1),IF(J260="","",J260))</f>
        <v>0</v>
      </c>
      <c r="M260" s="32">
        <f>IF(K260="","",IF(L260="Yes",ROUND(K260*2,1),K260))</f>
        <v>0</v>
      </c>
      <c r="N260" s="49">
        <f>IF(E260="","",IF(E260="Personal","Personal","Business"))</f>
        <v>0</v>
      </c>
      <c r="O260" s="29">
        <f>IF(B260="","",MileageRate)</f>
        <v>0</v>
      </c>
      <c r="P260" s="29">
        <f>IF(M260="","",IF(N260="Business",ROUND(M260*MileageRate,2),0))</f>
        <v>0</v>
      </c>
      <c r="U260" s="29">
        <f>IF(B260="","",ROUND(IF(P260="",0,P260)+IF(N260="Business",IF(R260="",0,R260)+IF(S260="",0,S260),0),2))</f>
        <v>0</v>
      </c>
      <c r="W260" s="28">
        <f>IF(B260="","",TEXT(B260,"yyyy-mm"))</f>
        <v>0</v>
      </c>
      <c r="X260" s="49">
        <f>IF(B260="","",IF(AND(H260&lt;&gt;"",I260&lt;&gt;"",I260&lt;H260),"Check odometer readings",IF(K260="","Action - add distance",IF(E260="","Action - add a purpose","OK"))))</f>
        <v>0</v>
      </c>
    </row>
    <row r="261" spans="1:24">
      <c r="A261" s="46">
        <f>IF(B261="","","TR-"&amp;TEXT(ROW()-4,"0000"))</f>
        <v>0</v>
      </c>
      <c r="K261" s="32">
        <f>IF(AND(H261&lt;&gt;"",I261&lt;&gt;""),ROUND(I261-H261,1),IF(J261="","",J261))</f>
        <v>0</v>
      </c>
      <c r="M261" s="32">
        <f>IF(K261="","",IF(L261="Yes",ROUND(K261*2,1),K261))</f>
        <v>0</v>
      </c>
      <c r="N261" s="49">
        <f>IF(E261="","",IF(E261="Personal","Personal","Business"))</f>
        <v>0</v>
      </c>
      <c r="O261" s="29">
        <f>IF(B261="","",MileageRate)</f>
        <v>0</v>
      </c>
      <c r="P261" s="29">
        <f>IF(M261="","",IF(N261="Business",ROUND(M261*MileageRate,2),0))</f>
        <v>0</v>
      </c>
      <c r="U261" s="29">
        <f>IF(B261="","",ROUND(IF(P261="",0,P261)+IF(N261="Business",IF(R261="",0,R261)+IF(S261="",0,S261),0),2))</f>
        <v>0</v>
      </c>
      <c r="W261" s="28">
        <f>IF(B261="","",TEXT(B261,"yyyy-mm"))</f>
        <v>0</v>
      </c>
      <c r="X261" s="49">
        <f>IF(B261="","",IF(AND(H261&lt;&gt;"",I261&lt;&gt;"",I261&lt;H261),"Check odometer readings",IF(K261="","Action - add distance",IF(E261="","Action - add a purpose","OK"))))</f>
        <v>0</v>
      </c>
    </row>
    <row r="262" spans="1:24">
      <c r="A262" s="46">
        <f>IF(B262="","","TR-"&amp;TEXT(ROW()-4,"0000"))</f>
        <v>0</v>
      </c>
      <c r="K262" s="32">
        <f>IF(AND(H262&lt;&gt;"",I262&lt;&gt;""),ROUND(I262-H262,1),IF(J262="","",J262))</f>
        <v>0</v>
      </c>
      <c r="M262" s="32">
        <f>IF(K262="","",IF(L262="Yes",ROUND(K262*2,1),K262))</f>
        <v>0</v>
      </c>
      <c r="N262" s="49">
        <f>IF(E262="","",IF(E262="Personal","Personal","Business"))</f>
        <v>0</v>
      </c>
      <c r="O262" s="29">
        <f>IF(B262="","",MileageRate)</f>
        <v>0</v>
      </c>
      <c r="P262" s="29">
        <f>IF(M262="","",IF(N262="Business",ROUND(M262*MileageRate,2),0))</f>
        <v>0</v>
      </c>
      <c r="U262" s="29">
        <f>IF(B262="","",ROUND(IF(P262="",0,P262)+IF(N262="Business",IF(R262="",0,R262)+IF(S262="",0,S262),0),2))</f>
        <v>0</v>
      </c>
      <c r="W262" s="28">
        <f>IF(B262="","",TEXT(B262,"yyyy-mm"))</f>
        <v>0</v>
      </c>
      <c r="X262" s="49">
        <f>IF(B262="","",IF(AND(H262&lt;&gt;"",I262&lt;&gt;"",I262&lt;H262),"Check odometer readings",IF(K262="","Action - add distance",IF(E262="","Action - add a purpose","OK"))))</f>
        <v>0</v>
      </c>
    </row>
    <row r="263" spans="1:24">
      <c r="A263" s="46">
        <f>IF(B263="","","TR-"&amp;TEXT(ROW()-4,"0000"))</f>
        <v>0</v>
      </c>
      <c r="K263" s="32">
        <f>IF(AND(H263&lt;&gt;"",I263&lt;&gt;""),ROUND(I263-H263,1),IF(J263="","",J263))</f>
        <v>0</v>
      </c>
      <c r="M263" s="32">
        <f>IF(K263="","",IF(L263="Yes",ROUND(K263*2,1),K263))</f>
        <v>0</v>
      </c>
      <c r="N263" s="49">
        <f>IF(E263="","",IF(E263="Personal","Personal","Business"))</f>
        <v>0</v>
      </c>
      <c r="O263" s="29">
        <f>IF(B263="","",MileageRate)</f>
        <v>0</v>
      </c>
      <c r="P263" s="29">
        <f>IF(M263="","",IF(N263="Business",ROUND(M263*MileageRate,2),0))</f>
        <v>0</v>
      </c>
      <c r="U263" s="29">
        <f>IF(B263="","",ROUND(IF(P263="",0,P263)+IF(N263="Business",IF(R263="",0,R263)+IF(S263="",0,S263),0),2))</f>
        <v>0</v>
      </c>
      <c r="W263" s="28">
        <f>IF(B263="","",TEXT(B263,"yyyy-mm"))</f>
        <v>0</v>
      </c>
      <c r="X263" s="49">
        <f>IF(B263="","",IF(AND(H263&lt;&gt;"",I263&lt;&gt;"",I263&lt;H263),"Check odometer readings",IF(K263="","Action - add distance",IF(E263="","Action - add a purpose","OK"))))</f>
        <v>0</v>
      </c>
    </row>
    <row r="264" spans="1:24">
      <c r="A264" s="46">
        <f>IF(B264="","","TR-"&amp;TEXT(ROW()-4,"0000"))</f>
        <v>0</v>
      </c>
      <c r="K264" s="32">
        <f>IF(AND(H264&lt;&gt;"",I264&lt;&gt;""),ROUND(I264-H264,1),IF(J264="","",J264))</f>
        <v>0</v>
      </c>
      <c r="M264" s="32">
        <f>IF(K264="","",IF(L264="Yes",ROUND(K264*2,1),K264))</f>
        <v>0</v>
      </c>
      <c r="N264" s="49">
        <f>IF(E264="","",IF(E264="Personal","Personal","Business"))</f>
        <v>0</v>
      </c>
      <c r="O264" s="29">
        <f>IF(B264="","",MileageRate)</f>
        <v>0</v>
      </c>
      <c r="P264" s="29">
        <f>IF(M264="","",IF(N264="Business",ROUND(M264*MileageRate,2),0))</f>
        <v>0</v>
      </c>
      <c r="U264" s="29">
        <f>IF(B264="","",ROUND(IF(P264="",0,P264)+IF(N264="Business",IF(R264="",0,R264)+IF(S264="",0,S264),0),2))</f>
        <v>0</v>
      </c>
      <c r="W264" s="28">
        <f>IF(B264="","",TEXT(B264,"yyyy-mm"))</f>
        <v>0</v>
      </c>
      <c r="X264" s="49">
        <f>IF(B264="","",IF(AND(H264&lt;&gt;"",I264&lt;&gt;"",I264&lt;H264),"Check odometer readings",IF(K264="","Action - add distance",IF(E264="","Action - add a purpose","OK"))))</f>
        <v>0</v>
      </c>
    </row>
    <row r="265" spans="1:24">
      <c r="A265" s="46">
        <f>IF(B265="","","TR-"&amp;TEXT(ROW()-4,"0000"))</f>
        <v>0</v>
      </c>
      <c r="K265" s="32">
        <f>IF(AND(H265&lt;&gt;"",I265&lt;&gt;""),ROUND(I265-H265,1),IF(J265="","",J265))</f>
        <v>0</v>
      </c>
      <c r="M265" s="32">
        <f>IF(K265="","",IF(L265="Yes",ROUND(K265*2,1),K265))</f>
        <v>0</v>
      </c>
      <c r="N265" s="49">
        <f>IF(E265="","",IF(E265="Personal","Personal","Business"))</f>
        <v>0</v>
      </c>
      <c r="O265" s="29">
        <f>IF(B265="","",MileageRate)</f>
        <v>0</v>
      </c>
      <c r="P265" s="29">
        <f>IF(M265="","",IF(N265="Business",ROUND(M265*MileageRate,2),0))</f>
        <v>0</v>
      </c>
      <c r="U265" s="29">
        <f>IF(B265="","",ROUND(IF(P265="",0,P265)+IF(N265="Business",IF(R265="",0,R265)+IF(S265="",0,S265),0),2))</f>
        <v>0</v>
      </c>
      <c r="W265" s="28">
        <f>IF(B265="","",TEXT(B265,"yyyy-mm"))</f>
        <v>0</v>
      </c>
      <c r="X265" s="49">
        <f>IF(B265="","",IF(AND(H265&lt;&gt;"",I265&lt;&gt;"",I265&lt;H265),"Check odometer readings",IF(K265="","Action - add distance",IF(E265="","Action - add a purpose","OK"))))</f>
        <v>0</v>
      </c>
    </row>
    <row r="266" spans="1:24">
      <c r="A266" s="46">
        <f>IF(B266="","","TR-"&amp;TEXT(ROW()-4,"0000"))</f>
        <v>0</v>
      </c>
      <c r="K266" s="32">
        <f>IF(AND(H266&lt;&gt;"",I266&lt;&gt;""),ROUND(I266-H266,1),IF(J266="","",J266))</f>
        <v>0</v>
      </c>
      <c r="M266" s="32">
        <f>IF(K266="","",IF(L266="Yes",ROUND(K266*2,1),K266))</f>
        <v>0</v>
      </c>
      <c r="N266" s="49">
        <f>IF(E266="","",IF(E266="Personal","Personal","Business"))</f>
        <v>0</v>
      </c>
      <c r="O266" s="29">
        <f>IF(B266="","",MileageRate)</f>
        <v>0</v>
      </c>
      <c r="P266" s="29">
        <f>IF(M266="","",IF(N266="Business",ROUND(M266*MileageRate,2),0))</f>
        <v>0</v>
      </c>
      <c r="U266" s="29">
        <f>IF(B266="","",ROUND(IF(P266="",0,P266)+IF(N266="Business",IF(R266="",0,R266)+IF(S266="",0,S266),0),2))</f>
        <v>0</v>
      </c>
      <c r="W266" s="28">
        <f>IF(B266="","",TEXT(B266,"yyyy-mm"))</f>
        <v>0</v>
      </c>
      <c r="X266" s="49">
        <f>IF(B266="","",IF(AND(H266&lt;&gt;"",I266&lt;&gt;"",I266&lt;H266),"Check odometer readings",IF(K266="","Action - add distance",IF(E266="","Action - add a purpose","OK"))))</f>
        <v>0</v>
      </c>
    </row>
    <row r="267" spans="1:24">
      <c r="A267" s="46">
        <f>IF(B267="","","TR-"&amp;TEXT(ROW()-4,"0000"))</f>
        <v>0</v>
      </c>
      <c r="K267" s="32">
        <f>IF(AND(H267&lt;&gt;"",I267&lt;&gt;""),ROUND(I267-H267,1),IF(J267="","",J267))</f>
        <v>0</v>
      </c>
      <c r="M267" s="32">
        <f>IF(K267="","",IF(L267="Yes",ROUND(K267*2,1),K267))</f>
        <v>0</v>
      </c>
      <c r="N267" s="49">
        <f>IF(E267="","",IF(E267="Personal","Personal","Business"))</f>
        <v>0</v>
      </c>
      <c r="O267" s="29">
        <f>IF(B267="","",MileageRate)</f>
        <v>0</v>
      </c>
      <c r="P267" s="29">
        <f>IF(M267="","",IF(N267="Business",ROUND(M267*MileageRate,2),0))</f>
        <v>0</v>
      </c>
      <c r="U267" s="29">
        <f>IF(B267="","",ROUND(IF(P267="",0,P267)+IF(N267="Business",IF(R267="",0,R267)+IF(S267="",0,S267),0),2))</f>
        <v>0</v>
      </c>
      <c r="W267" s="28">
        <f>IF(B267="","",TEXT(B267,"yyyy-mm"))</f>
        <v>0</v>
      </c>
      <c r="X267" s="49">
        <f>IF(B267="","",IF(AND(H267&lt;&gt;"",I267&lt;&gt;"",I267&lt;H267),"Check odometer readings",IF(K267="","Action - add distance",IF(E267="","Action - add a purpose","OK"))))</f>
        <v>0</v>
      </c>
    </row>
    <row r="268" spans="1:24">
      <c r="A268" s="46">
        <f>IF(B268="","","TR-"&amp;TEXT(ROW()-4,"0000"))</f>
        <v>0</v>
      </c>
      <c r="K268" s="32">
        <f>IF(AND(H268&lt;&gt;"",I268&lt;&gt;""),ROUND(I268-H268,1),IF(J268="","",J268))</f>
        <v>0</v>
      </c>
      <c r="M268" s="32">
        <f>IF(K268="","",IF(L268="Yes",ROUND(K268*2,1),K268))</f>
        <v>0</v>
      </c>
      <c r="N268" s="49">
        <f>IF(E268="","",IF(E268="Personal","Personal","Business"))</f>
        <v>0</v>
      </c>
      <c r="O268" s="29">
        <f>IF(B268="","",MileageRate)</f>
        <v>0</v>
      </c>
      <c r="P268" s="29">
        <f>IF(M268="","",IF(N268="Business",ROUND(M268*MileageRate,2),0))</f>
        <v>0</v>
      </c>
      <c r="U268" s="29">
        <f>IF(B268="","",ROUND(IF(P268="",0,P268)+IF(N268="Business",IF(R268="",0,R268)+IF(S268="",0,S268),0),2))</f>
        <v>0</v>
      </c>
      <c r="W268" s="28">
        <f>IF(B268="","",TEXT(B268,"yyyy-mm"))</f>
        <v>0</v>
      </c>
      <c r="X268" s="49">
        <f>IF(B268="","",IF(AND(H268&lt;&gt;"",I268&lt;&gt;"",I268&lt;H268),"Check odometer readings",IF(K268="","Action - add distance",IF(E268="","Action - add a purpose","OK"))))</f>
        <v>0</v>
      </c>
    </row>
    <row r="269" spans="1:24">
      <c r="A269" s="46">
        <f>IF(B269="","","TR-"&amp;TEXT(ROW()-4,"0000"))</f>
        <v>0</v>
      </c>
      <c r="K269" s="32">
        <f>IF(AND(H269&lt;&gt;"",I269&lt;&gt;""),ROUND(I269-H269,1),IF(J269="","",J269))</f>
        <v>0</v>
      </c>
      <c r="M269" s="32">
        <f>IF(K269="","",IF(L269="Yes",ROUND(K269*2,1),K269))</f>
        <v>0</v>
      </c>
      <c r="N269" s="49">
        <f>IF(E269="","",IF(E269="Personal","Personal","Business"))</f>
        <v>0</v>
      </c>
      <c r="O269" s="29">
        <f>IF(B269="","",MileageRate)</f>
        <v>0</v>
      </c>
      <c r="P269" s="29">
        <f>IF(M269="","",IF(N269="Business",ROUND(M269*MileageRate,2),0))</f>
        <v>0</v>
      </c>
      <c r="U269" s="29">
        <f>IF(B269="","",ROUND(IF(P269="",0,P269)+IF(N269="Business",IF(R269="",0,R269)+IF(S269="",0,S269),0),2))</f>
        <v>0</v>
      </c>
      <c r="W269" s="28">
        <f>IF(B269="","",TEXT(B269,"yyyy-mm"))</f>
        <v>0</v>
      </c>
      <c r="X269" s="49">
        <f>IF(B269="","",IF(AND(H269&lt;&gt;"",I269&lt;&gt;"",I269&lt;H269),"Check odometer readings",IF(K269="","Action - add distance",IF(E269="","Action - add a purpose","OK"))))</f>
        <v>0</v>
      </c>
    </row>
    <row r="270" spans="1:24">
      <c r="A270" s="46">
        <f>IF(B270="","","TR-"&amp;TEXT(ROW()-4,"0000"))</f>
        <v>0</v>
      </c>
      <c r="K270" s="32">
        <f>IF(AND(H270&lt;&gt;"",I270&lt;&gt;""),ROUND(I270-H270,1),IF(J270="","",J270))</f>
        <v>0</v>
      </c>
      <c r="M270" s="32">
        <f>IF(K270="","",IF(L270="Yes",ROUND(K270*2,1),K270))</f>
        <v>0</v>
      </c>
      <c r="N270" s="49">
        <f>IF(E270="","",IF(E270="Personal","Personal","Business"))</f>
        <v>0</v>
      </c>
      <c r="O270" s="29">
        <f>IF(B270="","",MileageRate)</f>
        <v>0</v>
      </c>
      <c r="P270" s="29">
        <f>IF(M270="","",IF(N270="Business",ROUND(M270*MileageRate,2),0))</f>
        <v>0</v>
      </c>
      <c r="U270" s="29">
        <f>IF(B270="","",ROUND(IF(P270="",0,P270)+IF(N270="Business",IF(R270="",0,R270)+IF(S270="",0,S270),0),2))</f>
        <v>0</v>
      </c>
      <c r="W270" s="28">
        <f>IF(B270="","",TEXT(B270,"yyyy-mm"))</f>
        <v>0</v>
      </c>
      <c r="X270" s="49">
        <f>IF(B270="","",IF(AND(H270&lt;&gt;"",I270&lt;&gt;"",I270&lt;H270),"Check odometer readings",IF(K270="","Action - add distance",IF(E270="","Action - add a purpose","OK"))))</f>
        <v>0</v>
      </c>
    </row>
    <row r="271" spans="1:24">
      <c r="A271" s="46">
        <f>IF(B271="","","TR-"&amp;TEXT(ROW()-4,"0000"))</f>
        <v>0</v>
      </c>
      <c r="K271" s="32">
        <f>IF(AND(H271&lt;&gt;"",I271&lt;&gt;""),ROUND(I271-H271,1),IF(J271="","",J271))</f>
        <v>0</v>
      </c>
      <c r="M271" s="32">
        <f>IF(K271="","",IF(L271="Yes",ROUND(K271*2,1),K271))</f>
        <v>0</v>
      </c>
      <c r="N271" s="49">
        <f>IF(E271="","",IF(E271="Personal","Personal","Business"))</f>
        <v>0</v>
      </c>
      <c r="O271" s="29">
        <f>IF(B271="","",MileageRate)</f>
        <v>0</v>
      </c>
      <c r="P271" s="29">
        <f>IF(M271="","",IF(N271="Business",ROUND(M271*MileageRate,2),0))</f>
        <v>0</v>
      </c>
      <c r="U271" s="29">
        <f>IF(B271="","",ROUND(IF(P271="",0,P271)+IF(N271="Business",IF(R271="",0,R271)+IF(S271="",0,S271),0),2))</f>
        <v>0</v>
      </c>
      <c r="W271" s="28">
        <f>IF(B271="","",TEXT(B271,"yyyy-mm"))</f>
        <v>0</v>
      </c>
      <c r="X271" s="49">
        <f>IF(B271="","",IF(AND(H271&lt;&gt;"",I271&lt;&gt;"",I271&lt;H271),"Check odometer readings",IF(K271="","Action - add distance",IF(E271="","Action - add a purpose","OK"))))</f>
        <v>0</v>
      </c>
    </row>
    <row r="272" spans="1:24">
      <c r="A272" s="46">
        <f>IF(B272="","","TR-"&amp;TEXT(ROW()-4,"0000"))</f>
        <v>0</v>
      </c>
      <c r="K272" s="32">
        <f>IF(AND(H272&lt;&gt;"",I272&lt;&gt;""),ROUND(I272-H272,1),IF(J272="","",J272))</f>
        <v>0</v>
      </c>
      <c r="M272" s="32">
        <f>IF(K272="","",IF(L272="Yes",ROUND(K272*2,1),K272))</f>
        <v>0</v>
      </c>
      <c r="N272" s="49">
        <f>IF(E272="","",IF(E272="Personal","Personal","Business"))</f>
        <v>0</v>
      </c>
      <c r="O272" s="29">
        <f>IF(B272="","",MileageRate)</f>
        <v>0</v>
      </c>
      <c r="P272" s="29">
        <f>IF(M272="","",IF(N272="Business",ROUND(M272*MileageRate,2),0))</f>
        <v>0</v>
      </c>
      <c r="U272" s="29">
        <f>IF(B272="","",ROUND(IF(P272="",0,P272)+IF(N272="Business",IF(R272="",0,R272)+IF(S272="",0,S272),0),2))</f>
        <v>0</v>
      </c>
      <c r="W272" s="28">
        <f>IF(B272="","",TEXT(B272,"yyyy-mm"))</f>
        <v>0</v>
      </c>
      <c r="X272" s="49">
        <f>IF(B272="","",IF(AND(H272&lt;&gt;"",I272&lt;&gt;"",I272&lt;H272),"Check odometer readings",IF(K272="","Action - add distance",IF(E272="","Action - add a purpose","OK"))))</f>
        <v>0</v>
      </c>
    </row>
    <row r="273" spans="1:24">
      <c r="A273" s="46">
        <f>IF(B273="","","TR-"&amp;TEXT(ROW()-4,"0000"))</f>
        <v>0</v>
      </c>
      <c r="K273" s="32">
        <f>IF(AND(H273&lt;&gt;"",I273&lt;&gt;""),ROUND(I273-H273,1),IF(J273="","",J273))</f>
        <v>0</v>
      </c>
      <c r="M273" s="32">
        <f>IF(K273="","",IF(L273="Yes",ROUND(K273*2,1),K273))</f>
        <v>0</v>
      </c>
      <c r="N273" s="49">
        <f>IF(E273="","",IF(E273="Personal","Personal","Business"))</f>
        <v>0</v>
      </c>
      <c r="O273" s="29">
        <f>IF(B273="","",MileageRate)</f>
        <v>0</v>
      </c>
      <c r="P273" s="29">
        <f>IF(M273="","",IF(N273="Business",ROUND(M273*MileageRate,2),0))</f>
        <v>0</v>
      </c>
      <c r="U273" s="29">
        <f>IF(B273="","",ROUND(IF(P273="",0,P273)+IF(N273="Business",IF(R273="",0,R273)+IF(S273="",0,S273),0),2))</f>
        <v>0</v>
      </c>
      <c r="W273" s="28">
        <f>IF(B273="","",TEXT(B273,"yyyy-mm"))</f>
        <v>0</v>
      </c>
      <c r="X273" s="49">
        <f>IF(B273="","",IF(AND(H273&lt;&gt;"",I273&lt;&gt;"",I273&lt;H273),"Check odometer readings",IF(K273="","Action - add distance",IF(E273="","Action - add a purpose","OK"))))</f>
        <v>0</v>
      </c>
    </row>
    <row r="274" spans="1:24">
      <c r="A274" s="46">
        <f>IF(B274="","","TR-"&amp;TEXT(ROW()-4,"0000"))</f>
        <v>0</v>
      </c>
      <c r="K274" s="32">
        <f>IF(AND(H274&lt;&gt;"",I274&lt;&gt;""),ROUND(I274-H274,1),IF(J274="","",J274))</f>
        <v>0</v>
      </c>
      <c r="M274" s="32">
        <f>IF(K274="","",IF(L274="Yes",ROUND(K274*2,1),K274))</f>
        <v>0</v>
      </c>
      <c r="N274" s="49">
        <f>IF(E274="","",IF(E274="Personal","Personal","Business"))</f>
        <v>0</v>
      </c>
      <c r="O274" s="29">
        <f>IF(B274="","",MileageRate)</f>
        <v>0</v>
      </c>
      <c r="P274" s="29">
        <f>IF(M274="","",IF(N274="Business",ROUND(M274*MileageRate,2),0))</f>
        <v>0</v>
      </c>
      <c r="U274" s="29">
        <f>IF(B274="","",ROUND(IF(P274="",0,P274)+IF(N274="Business",IF(R274="",0,R274)+IF(S274="",0,S274),0),2))</f>
        <v>0</v>
      </c>
      <c r="W274" s="28">
        <f>IF(B274="","",TEXT(B274,"yyyy-mm"))</f>
        <v>0</v>
      </c>
      <c r="X274" s="49">
        <f>IF(B274="","",IF(AND(H274&lt;&gt;"",I274&lt;&gt;"",I274&lt;H274),"Check odometer readings",IF(K274="","Action - add distance",IF(E274="","Action - add a purpose","OK"))))</f>
        <v>0</v>
      </c>
    </row>
    <row r="275" spans="1:24">
      <c r="A275" s="46">
        <f>IF(B275="","","TR-"&amp;TEXT(ROW()-4,"0000"))</f>
        <v>0</v>
      </c>
      <c r="K275" s="32">
        <f>IF(AND(H275&lt;&gt;"",I275&lt;&gt;""),ROUND(I275-H275,1),IF(J275="","",J275))</f>
        <v>0</v>
      </c>
      <c r="M275" s="32">
        <f>IF(K275="","",IF(L275="Yes",ROUND(K275*2,1),K275))</f>
        <v>0</v>
      </c>
      <c r="N275" s="49">
        <f>IF(E275="","",IF(E275="Personal","Personal","Business"))</f>
        <v>0</v>
      </c>
      <c r="O275" s="29">
        <f>IF(B275="","",MileageRate)</f>
        <v>0</v>
      </c>
      <c r="P275" s="29">
        <f>IF(M275="","",IF(N275="Business",ROUND(M275*MileageRate,2),0))</f>
        <v>0</v>
      </c>
      <c r="U275" s="29">
        <f>IF(B275="","",ROUND(IF(P275="",0,P275)+IF(N275="Business",IF(R275="",0,R275)+IF(S275="",0,S275),0),2))</f>
        <v>0</v>
      </c>
      <c r="W275" s="28">
        <f>IF(B275="","",TEXT(B275,"yyyy-mm"))</f>
        <v>0</v>
      </c>
      <c r="X275" s="49">
        <f>IF(B275="","",IF(AND(H275&lt;&gt;"",I275&lt;&gt;"",I275&lt;H275),"Check odometer readings",IF(K275="","Action - add distance",IF(E275="","Action - add a purpose","OK"))))</f>
        <v>0</v>
      </c>
    </row>
    <row r="276" spans="1:24">
      <c r="A276" s="46">
        <f>IF(B276="","","TR-"&amp;TEXT(ROW()-4,"0000"))</f>
        <v>0</v>
      </c>
      <c r="K276" s="32">
        <f>IF(AND(H276&lt;&gt;"",I276&lt;&gt;""),ROUND(I276-H276,1),IF(J276="","",J276))</f>
        <v>0</v>
      </c>
      <c r="M276" s="32">
        <f>IF(K276="","",IF(L276="Yes",ROUND(K276*2,1),K276))</f>
        <v>0</v>
      </c>
      <c r="N276" s="49">
        <f>IF(E276="","",IF(E276="Personal","Personal","Business"))</f>
        <v>0</v>
      </c>
      <c r="O276" s="29">
        <f>IF(B276="","",MileageRate)</f>
        <v>0</v>
      </c>
      <c r="P276" s="29">
        <f>IF(M276="","",IF(N276="Business",ROUND(M276*MileageRate,2),0))</f>
        <v>0</v>
      </c>
      <c r="U276" s="29">
        <f>IF(B276="","",ROUND(IF(P276="",0,P276)+IF(N276="Business",IF(R276="",0,R276)+IF(S276="",0,S276),0),2))</f>
        <v>0</v>
      </c>
      <c r="W276" s="28">
        <f>IF(B276="","",TEXT(B276,"yyyy-mm"))</f>
        <v>0</v>
      </c>
      <c r="X276" s="49">
        <f>IF(B276="","",IF(AND(H276&lt;&gt;"",I276&lt;&gt;"",I276&lt;H276),"Check odometer readings",IF(K276="","Action - add distance",IF(E276="","Action - add a purpose","OK"))))</f>
        <v>0</v>
      </c>
    </row>
    <row r="277" spans="1:24">
      <c r="A277" s="46">
        <f>IF(B277="","","TR-"&amp;TEXT(ROW()-4,"0000"))</f>
        <v>0</v>
      </c>
      <c r="K277" s="32">
        <f>IF(AND(H277&lt;&gt;"",I277&lt;&gt;""),ROUND(I277-H277,1),IF(J277="","",J277))</f>
        <v>0</v>
      </c>
      <c r="M277" s="32">
        <f>IF(K277="","",IF(L277="Yes",ROUND(K277*2,1),K277))</f>
        <v>0</v>
      </c>
      <c r="N277" s="49">
        <f>IF(E277="","",IF(E277="Personal","Personal","Business"))</f>
        <v>0</v>
      </c>
      <c r="O277" s="29">
        <f>IF(B277="","",MileageRate)</f>
        <v>0</v>
      </c>
      <c r="P277" s="29">
        <f>IF(M277="","",IF(N277="Business",ROUND(M277*MileageRate,2),0))</f>
        <v>0</v>
      </c>
      <c r="U277" s="29">
        <f>IF(B277="","",ROUND(IF(P277="",0,P277)+IF(N277="Business",IF(R277="",0,R277)+IF(S277="",0,S277),0),2))</f>
        <v>0</v>
      </c>
      <c r="W277" s="28">
        <f>IF(B277="","",TEXT(B277,"yyyy-mm"))</f>
        <v>0</v>
      </c>
      <c r="X277" s="49">
        <f>IF(B277="","",IF(AND(H277&lt;&gt;"",I277&lt;&gt;"",I277&lt;H277),"Check odometer readings",IF(K277="","Action - add distance",IF(E277="","Action - add a purpose","OK"))))</f>
        <v>0</v>
      </c>
    </row>
    <row r="278" spans="1:24">
      <c r="A278" s="46">
        <f>IF(B278="","","TR-"&amp;TEXT(ROW()-4,"0000"))</f>
        <v>0</v>
      </c>
      <c r="K278" s="32">
        <f>IF(AND(H278&lt;&gt;"",I278&lt;&gt;""),ROUND(I278-H278,1),IF(J278="","",J278))</f>
        <v>0</v>
      </c>
      <c r="M278" s="32">
        <f>IF(K278="","",IF(L278="Yes",ROUND(K278*2,1),K278))</f>
        <v>0</v>
      </c>
      <c r="N278" s="49">
        <f>IF(E278="","",IF(E278="Personal","Personal","Business"))</f>
        <v>0</v>
      </c>
      <c r="O278" s="29">
        <f>IF(B278="","",MileageRate)</f>
        <v>0</v>
      </c>
      <c r="P278" s="29">
        <f>IF(M278="","",IF(N278="Business",ROUND(M278*MileageRate,2),0))</f>
        <v>0</v>
      </c>
      <c r="U278" s="29">
        <f>IF(B278="","",ROUND(IF(P278="",0,P278)+IF(N278="Business",IF(R278="",0,R278)+IF(S278="",0,S278),0),2))</f>
        <v>0</v>
      </c>
      <c r="W278" s="28">
        <f>IF(B278="","",TEXT(B278,"yyyy-mm"))</f>
        <v>0</v>
      </c>
      <c r="X278" s="49">
        <f>IF(B278="","",IF(AND(H278&lt;&gt;"",I278&lt;&gt;"",I278&lt;H278),"Check odometer readings",IF(K278="","Action - add distance",IF(E278="","Action - add a purpose","OK"))))</f>
        <v>0</v>
      </c>
    </row>
    <row r="279" spans="1:24">
      <c r="A279" s="46">
        <f>IF(B279="","","TR-"&amp;TEXT(ROW()-4,"0000"))</f>
        <v>0</v>
      </c>
      <c r="K279" s="32">
        <f>IF(AND(H279&lt;&gt;"",I279&lt;&gt;""),ROUND(I279-H279,1),IF(J279="","",J279))</f>
        <v>0</v>
      </c>
      <c r="M279" s="32">
        <f>IF(K279="","",IF(L279="Yes",ROUND(K279*2,1),K279))</f>
        <v>0</v>
      </c>
      <c r="N279" s="49">
        <f>IF(E279="","",IF(E279="Personal","Personal","Business"))</f>
        <v>0</v>
      </c>
      <c r="O279" s="29">
        <f>IF(B279="","",MileageRate)</f>
        <v>0</v>
      </c>
      <c r="P279" s="29">
        <f>IF(M279="","",IF(N279="Business",ROUND(M279*MileageRate,2),0))</f>
        <v>0</v>
      </c>
      <c r="U279" s="29">
        <f>IF(B279="","",ROUND(IF(P279="",0,P279)+IF(N279="Business",IF(R279="",0,R279)+IF(S279="",0,S279),0),2))</f>
        <v>0</v>
      </c>
      <c r="W279" s="28">
        <f>IF(B279="","",TEXT(B279,"yyyy-mm"))</f>
        <v>0</v>
      </c>
      <c r="X279" s="49">
        <f>IF(B279="","",IF(AND(H279&lt;&gt;"",I279&lt;&gt;"",I279&lt;H279),"Check odometer readings",IF(K279="","Action - add distance",IF(E279="","Action - add a purpose","OK"))))</f>
        <v>0</v>
      </c>
    </row>
    <row r="280" spans="1:24">
      <c r="A280" s="46">
        <f>IF(B280="","","TR-"&amp;TEXT(ROW()-4,"0000"))</f>
        <v>0</v>
      </c>
      <c r="K280" s="32">
        <f>IF(AND(H280&lt;&gt;"",I280&lt;&gt;""),ROUND(I280-H280,1),IF(J280="","",J280))</f>
        <v>0</v>
      </c>
      <c r="M280" s="32">
        <f>IF(K280="","",IF(L280="Yes",ROUND(K280*2,1),K280))</f>
        <v>0</v>
      </c>
      <c r="N280" s="49">
        <f>IF(E280="","",IF(E280="Personal","Personal","Business"))</f>
        <v>0</v>
      </c>
      <c r="O280" s="29">
        <f>IF(B280="","",MileageRate)</f>
        <v>0</v>
      </c>
      <c r="P280" s="29">
        <f>IF(M280="","",IF(N280="Business",ROUND(M280*MileageRate,2),0))</f>
        <v>0</v>
      </c>
      <c r="U280" s="29">
        <f>IF(B280="","",ROUND(IF(P280="",0,P280)+IF(N280="Business",IF(R280="",0,R280)+IF(S280="",0,S280),0),2))</f>
        <v>0</v>
      </c>
      <c r="W280" s="28">
        <f>IF(B280="","",TEXT(B280,"yyyy-mm"))</f>
        <v>0</v>
      </c>
      <c r="X280" s="49">
        <f>IF(B280="","",IF(AND(H280&lt;&gt;"",I280&lt;&gt;"",I280&lt;H280),"Check odometer readings",IF(K280="","Action - add distance",IF(E280="","Action - add a purpose","OK"))))</f>
        <v>0</v>
      </c>
    </row>
    <row r="281" spans="1:24">
      <c r="A281" s="46">
        <f>IF(B281="","","TR-"&amp;TEXT(ROW()-4,"0000"))</f>
        <v>0</v>
      </c>
      <c r="K281" s="32">
        <f>IF(AND(H281&lt;&gt;"",I281&lt;&gt;""),ROUND(I281-H281,1),IF(J281="","",J281))</f>
        <v>0</v>
      </c>
      <c r="M281" s="32">
        <f>IF(K281="","",IF(L281="Yes",ROUND(K281*2,1),K281))</f>
        <v>0</v>
      </c>
      <c r="N281" s="49">
        <f>IF(E281="","",IF(E281="Personal","Personal","Business"))</f>
        <v>0</v>
      </c>
      <c r="O281" s="29">
        <f>IF(B281="","",MileageRate)</f>
        <v>0</v>
      </c>
      <c r="P281" s="29">
        <f>IF(M281="","",IF(N281="Business",ROUND(M281*MileageRate,2),0))</f>
        <v>0</v>
      </c>
      <c r="U281" s="29">
        <f>IF(B281="","",ROUND(IF(P281="",0,P281)+IF(N281="Business",IF(R281="",0,R281)+IF(S281="",0,S281),0),2))</f>
        <v>0</v>
      </c>
      <c r="W281" s="28">
        <f>IF(B281="","",TEXT(B281,"yyyy-mm"))</f>
        <v>0</v>
      </c>
      <c r="X281" s="49">
        <f>IF(B281="","",IF(AND(H281&lt;&gt;"",I281&lt;&gt;"",I281&lt;H281),"Check odometer readings",IF(K281="","Action - add distance",IF(E281="","Action - add a purpose","OK"))))</f>
        <v>0</v>
      </c>
    </row>
    <row r="282" spans="1:24">
      <c r="A282" s="46">
        <f>IF(B282="","","TR-"&amp;TEXT(ROW()-4,"0000"))</f>
        <v>0</v>
      </c>
      <c r="K282" s="32">
        <f>IF(AND(H282&lt;&gt;"",I282&lt;&gt;""),ROUND(I282-H282,1),IF(J282="","",J282))</f>
        <v>0</v>
      </c>
      <c r="M282" s="32">
        <f>IF(K282="","",IF(L282="Yes",ROUND(K282*2,1),K282))</f>
        <v>0</v>
      </c>
      <c r="N282" s="49">
        <f>IF(E282="","",IF(E282="Personal","Personal","Business"))</f>
        <v>0</v>
      </c>
      <c r="O282" s="29">
        <f>IF(B282="","",MileageRate)</f>
        <v>0</v>
      </c>
      <c r="P282" s="29">
        <f>IF(M282="","",IF(N282="Business",ROUND(M282*MileageRate,2),0))</f>
        <v>0</v>
      </c>
      <c r="U282" s="29">
        <f>IF(B282="","",ROUND(IF(P282="",0,P282)+IF(N282="Business",IF(R282="",0,R282)+IF(S282="",0,S282),0),2))</f>
        <v>0</v>
      </c>
      <c r="W282" s="28">
        <f>IF(B282="","",TEXT(B282,"yyyy-mm"))</f>
        <v>0</v>
      </c>
      <c r="X282" s="49">
        <f>IF(B282="","",IF(AND(H282&lt;&gt;"",I282&lt;&gt;"",I282&lt;H282),"Check odometer readings",IF(K282="","Action - add distance",IF(E282="","Action - add a purpose","OK"))))</f>
        <v>0</v>
      </c>
    </row>
    <row r="283" spans="1:24">
      <c r="A283" s="46">
        <f>IF(B283="","","TR-"&amp;TEXT(ROW()-4,"0000"))</f>
        <v>0</v>
      </c>
      <c r="K283" s="32">
        <f>IF(AND(H283&lt;&gt;"",I283&lt;&gt;""),ROUND(I283-H283,1),IF(J283="","",J283))</f>
        <v>0</v>
      </c>
      <c r="M283" s="32">
        <f>IF(K283="","",IF(L283="Yes",ROUND(K283*2,1),K283))</f>
        <v>0</v>
      </c>
      <c r="N283" s="49">
        <f>IF(E283="","",IF(E283="Personal","Personal","Business"))</f>
        <v>0</v>
      </c>
      <c r="O283" s="29">
        <f>IF(B283="","",MileageRate)</f>
        <v>0</v>
      </c>
      <c r="P283" s="29">
        <f>IF(M283="","",IF(N283="Business",ROUND(M283*MileageRate,2),0))</f>
        <v>0</v>
      </c>
      <c r="U283" s="29">
        <f>IF(B283="","",ROUND(IF(P283="",0,P283)+IF(N283="Business",IF(R283="",0,R283)+IF(S283="",0,S283),0),2))</f>
        <v>0</v>
      </c>
      <c r="W283" s="28">
        <f>IF(B283="","",TEXT(B283,"yyyy-mm"))</f>
        <v>0</v>
      </c>
      <c r="X283" s="49">
        <f>IF(B283="","",IF(AND(H283&lt;&gt;"",I283&lt;&gt;"",I283&lt;H283),"Check odometer readings",IF(K283="","Action - add distance",IF(E283="","Action - add a purpose","OK"))))</f>
        <v>0</v>
      </c>
    </row>
    <row r="284" spans="1:24">
      <c r="A284" s="46">
        <f>IF(B284="","","TR-"&amp;TEXT(ROW()-4,"0000"))</f>
        <v>0</v>
      </c>
      <c r="K284" s="32">
        <f>IF(AND(H284&lt;&gt;"",I284&lt;&gt;""),ROUND(I284-H284,1),IF(J284="","",J284))</f>
        <v>0</v>
      </c>
      <c r="M284" s="32">
        <f>IF(K284="","",IF(L284="Yes",ROUND(K284*2,1),K284))</f>
        <v>0</v>
      </c>
      <c r="N284" s="49">
        <f>IF(E284="","",IF(E284="Personal","Personal","Business"))</f>
        <v>0</v>
      </c>
      <c r="O284" s="29">
        <f>IF(B284="","",MileageRate)</f>
        <v>0</v>
      </c>
      <c r="P284" s="29">
        <f>IF(M284="","",IF(N284="Business",ROUND(M284*MileageRate,2),0))</f>
        <v>0</v>
      </c>
      <c r="U284" s="29">
        <f>IF(B284="","",ROUND(IF(P284="",0,P284)+IF(N284="Business",IF(R284="",0,R284)+IF(S284="",0,S284),0),2))</f>
        <v>0</v>
      </c>
      <c r="W284" s="28">
        <f>IF(B284="","",TEXT(B284,"yyyy-mm"))</f>
        <v>0</v>
      </c>
      <c r="X284" s="49">
        <f>IF(B284="","",IF(AND(H284&lt;&gt;"",I284&lt;&gt;"",I284&lt;H284),"Check odometer readings",IF(K284="","Action - add distance",IF(E284="","Action - add a purpose","OK"))))</f>
        <v>0</v>
      </c>
    </row>
    <row r="285" spans="1:24">
      <c r="A285" s="46">
        <f>IF(B285="","","TR-"&amp;TEXT(ROW()-4,"0000"))</f>
        <v>0</v>
      </c>
      <c r="K285" s="32">
        <f>IF(AND(H285&lt;&gt;"",I285&lt;&gt;""),ROUND(I285-H285,1),IF(J285="","",J285))</f>
        <v>0</v>
      </c>
      <c r="M285" s="32">
        <f>IF(K285="","",IF(L285="Yes",ROUND(K285*2,1),K285))</f>
        <v>0</v>
      </c>
      <c r="N285" s="49">
        <f>IF(E285="","",IF(E285="Personal","Personal","Business"))</f>
        <v>0</v>
      </c>
      <c r="O285" s="29">
        <f>IF(B285="","",MileageRate)</f>
        <v>0</v>
      </c>
      <c r="P285" s="29">
        <f>IF(M285="","",IF(N285="Business",ROUND(M285*MileageRate,2),0))</f>
        <v>0</v>
      </c>
      <c r="U285" s="29">
        <f>IF(B285="","",ROUND(IF(P285="",0,P285)+IF(N285="Business",IF(R285="",0,R285)+IF(S285="",0,S285),0),2))</f>
        <v>0</v>
      </c>
      <c r="W285" s="28">
        <f>IF(B285="","",TEXT(B285,"yyyy-mm"))</f>
        <v>0</v>
      </c>
      <c r="X285" s="49">
        <f>IF(B285="","",IF(AND(H285&lt;&gt;"",I285&lt;&gt;"",I285&lt;H285),"Check odometer readings",IF(K285="","Action - add distance",IF(E285="","Action - add a purpose","OK"))))</f>
        <v>0</v>
      </c>
    </row>
    <row r="286" spans="1:24">
      <c r="A286" s="46">
        <f>IF(B286="","","TR-"&amp;TEXT(ROW()-4,"0000"))</f>
        <v>0</v>
      </c>
      <c r="K286" s="32">
        <f>IF(AND(H286&lt;&gt;"",I286&lt;&gt;""),ROUND(I286-H286,1),IF(J286="","",J286))</f>
        <v>0</v>
      </c>
      <c r="M286" s="32">
        <f>IF(K286="","",IF(L286="Yes",ROUND(K286*2,1),K286))</f>
        <v>0</v>
      </c>
      <c r="N286" s="49">
        <f>IF(E286="","",IF(E286="Personal","Personal","Business"))</f>
        <v>0</v>
      </c>
      <c r="O286" s="29">
        <f>IF(B286="","",MileageRate)</f>
        <v>0</v>
      </c>
      <c r="P286" s="29">
        <f>IF(M286="","",IF(N286="Business",ROUND(M286*MileageRate,2),0))</f>
        <v>0</v>
      </c>
      <c r="U286" s="29">
        <f>IF(B286="","",ROUND(IF(P286="",0,P286)+IF(N286="Business",IF(R286="",0,R286)+IF(S286="",0,S286),0),2))</f>
        <v>0</v>
      </c>
      <c r="W286" s="28">
        <f>IF(B286="","",TEXT(B286,"yyyy-mm"))</f>
        <v>0</v>
      </c>
      <c r="X286" s="49">
        <f>IF(B286="","",IF(AND(H286&lt;&gt;"",I286&lt;&gt;"",I286&lt;H286),"Check odometer readings",IF(K286="","Action - add distance",IF(E286="","Action - add a purpose","OK"))))</f>
        <v>0</v>
      </c>
    </row>
    <row r="287" spans="1:24">
      <c r="A287" s="46">
        <f>IF(B287="","","TR-"&amp;TEXT(ROW()-4,"0000"))</f>
        <v>0</v>
      </c>
      <c r="K287" s="32">
        <f>IF(AND(H287&lt;&gt;"",I287&lt;&gt;""),ROUND(I287-H287,1),IF(J287="","",J287))</f>
        <v>0</v>
      </c>
      <c r="M287" s="32">
        <f>IF(K287="","",IF(L287="Yes",ROUND(K287*2,1),K287))</f>
        <v>0</v>
      </c>
      <c r="N287" s="49">
        <f>IF(E287="","",IF(E287="Personal","Personal","Business"))</f>
        <v>0</v>
      </c>
      <c r="O287" s="29">
        <f>IF(B287="","",MileageRate)</f>
        <v>0</v>
      </c>
      <c r="P287" s="29">
        <f>IF(M287="","",IF(N287="Business",ROUND(M287*MileageRate,2),0))</f>
        <v>0</v>
      </c>
      <c r="U287" s="29">
        <f>IF(B287="","",ROUND(IF(P287="",0,P287)+IF(N287="Business",IF(R287="",0,R287)+IF(S287="",0,S287),0),2))</f>
        <v>0</v>
      </c>
      <c r="W287" s="28">
        <f>IF(B287="","",TEXT(B287,"yyyy-mm"))</f>
        <v>0</v>
      </c>
      <c r="X287" s="49">
        <f>IF(B287="","",IF(AND(H287&lt;&gt;"",I287&lt;&gt;"",I287&lt;H287),"Check odometer readings",IF(K287="","Action - add distance",IF(E287="","Action - add a purpose","OK"))))</f>
        <v>0</v>
      </c>
    </row>
    <row r="288" spans="1:24">
      <c r="A288" s="46">
        <f>IF(B288="","","TR-"&amp;TEXT(ROW()-4,"0000"))</f>
        <v>0</v>
      </c>
      <c r="K288" s="32">
        <f>IF(AND(H288&lt;&gt;"",I288&lt;&gt;""),ROUND(I288-H288,1),IF(J288="","",J288))</f>
        <v>0</v>
      </c>
      <c r="M288" s="32">
        <f>IF(K288="","",IF(L288="Yes",ROUND(K288*2,1),K288))</f>
        <v>0</v>
      </c>
      <c r="N288" s="49">
        <f>IF(E288="","",IF(E288="Personal","Personal","Business"))</f>
        <v>0</v>
      </c>
      <c r="O288" s="29">
        <f>IF(B288="","",MileageRate)</f>
        <v>0</v>
      </c>
      <c r="P288" s="29">
        <f>IF(M288="","",IF(N288="Business",ROUND(M288*MileageRate,2),0))</f>
        <v>0</v>
      </c>
      <c r="U288" s="29">
        <f>IF(B288="","",ROUND(IF(P288="",0,P288)+IF(N288="Business",IF(R288="",0,R288)+IF(S288="",0,S288),0),2))</f>
        <v>0</v>
      </c>
      <c r="W288" s="28">
        <f>IF(B288="","",TEXT(B288,"yyyy-mm"))</f>
        <v>0</v>
      </c>
      <c r="X288" s="49">
        <f>IF(B288="","",IF(AND(H288&lt;&gt;"",I288&lt;&gt;"",I288&lt;H288),"Check odometer readings",IF(K288="","Action - add distance",IF(E288="","Action - add a purpose","OK"))))</f>
        <v>0</v>
      </c>
    </row>
    <row r="289" spans="1:24">
      <c r="A289" s="46">
        <f>IF(B289="","","TR-"&amp;TEXT(ROW()-4,"0000"))</f>
        <v>0</v>
      </c>
      <c r="K289" s="32">
        <f>IF(AND(H289&lt;&gt;"",I289&lt;&gt;""),ROUND(I289-H289,1),IF(J289="","",J289))</f>
        <v>0</v>
      </c>
      <c r="M289" s="32">
        <f>IF(K289="","",IF(L289="Yes",ROUND(K289*2,1),K289))</f>
        <v>0</v>
      </c>
      <c r="N289" s="49">
        <f>IF(E289="","",IF(E289="Personal","Personal","Business"))</f>
        <v>0</v>
      </c>
      <c r="O289" s="29">
        <f>IF(B289="","",MileageRate)</f>
        <v>0</v>
      </c>
      <c r="P289" s="29">
        <f>IF(M289="","",IF(N289="Business",ROUND(M289*MileageRate,2),0))</f>
        <v>0</v>
      </c>
      <c r="U289" s="29">
        <f>IF(B289="","",ROUND(IF(P289="",0,P289)+IF(N289="Business",IF(R289="",0,R289)+IF(S289="",0,S289),0),2))</f>
        <v>0</v>
      </c>
      <c r="W289" s="28">
        <f>IF(B289="","",TEXT(B289,"yyyy-mm"))</f>
        <v>0</v>
      </c>
      <c r="X289" s="49">
        <f>IF(B289="","",IF(AND(H289&lt;&gt;"",I289&lt;&gt;"",I289&lt;H289),"Check odometer readings",IF(K289="","Action - add distance",IF(E289="","Action - add a purpose","OK"))))</f>
        <v>0</v>
      </c>
    </row>
    <row r="290" spans="1:24">
      <c r="A290" s="46">
        <f>IF(B290="","","TR-"&amp;TEXT(ROW()-4,"0000"))</f>
        <v>0</v>
      </c>
      <c r="K290" s="32">
        <f>IF(AND(H290&lt;&gt;"",I290&lt;&gt;""),ROUND(I290-H290,1),IF(J290="","",J290))</f>
        <v>0</v>
      </c>
      <c r="M290" s="32">
        <f>IF(K290="","",IF(L290="Yes",ROUND(K290*2,1),K290))</f>
        <v>0</v>
      </c>
      <c r="N290" s="49">
        <f>IF(E290="","",IF(E290="Personal","Personal","Business"))</f>
        <v>0</v>
      </c>
      <c r="O290" s="29">
        <f>IF(B290="","",MileageRate)</f>
        <v>0</v>
      </c>
      <c r="P290" s="29">
        <f>IF(M290="","",IF(N290="Business",ROUND(M290*MileageRate,2),0))</f>
        <v>0</v>
      </c>
      <c r="U290" s="29">
        <f>IF(B290="","",ROUND(IF(P290="",0,P290)+IF(N290="Business",IF(R290="",0,R290)+IF(S290="",0,S290),0),2))</f>
        <v>0</v>
      </c>
      <c r="W290" s="28">
        <f>IF(B290="","",TEXT(B290,"yyyy-mm"))</f>
        <v>0</v>
      </c>
      <c r="X290" s="49">
        <f>IF(B290="","",IF(AND(H290&lt;&gt;"",I290&lt;&gt;"",I290&lt;H290),"Check odometer readings",IF(K290="","Action - add distance",IF(E290="","Action - add a purpose","OK"))))</f>
        <v>0</v>
      </c>
    </row>
    <row r="291" spans="1:24">
      <c r="A291" s="46">
        <f>IF(B291="","","TR-"&amp;TEXT(ROW()-4,"0000"))</f>
        <v>0</v>
      </c>
      <c r="K291" s="32">
        <f>IF(AND(H291&lt;&gt;"",I291&lt;&gt;""),ROUND(I291-H291,1),IF(J291="","",J291))</f>
        <v>0</v>
      </c>
      <c r="M291" s="32">
        <f>IF(K291="","",IF(L291="Yes",ROUND(K291*2,1),K291))</f>
        <v>0</v>
      </c>
      <c r="N291" s="49">
        <f>IF(E291="","",IF(E291="Personal","Personal","Business"))</f>
        <v>0</v>
      </c>
      <c r="O291" s="29">
        <f>IF(B291="","",MileageRate)</f>
        <v>0</v>
      </c>
      <c r="P291" s="29">
        <f>IF(M291="","",IF(N291="Business",ROUND(M291*MileageRate,2),0))</f>
        <v>0</v>
      </c>
      <c r="U291" s="29">
        <f>IF(B291="","",ROUND(IF(P291="",0,P291)+IF(N291="Business",IF(R291="",0,R291)+IF(S291="",0,S291),0),2))</f>
        <v>0</v>
      </c>
      <c r="W291" s="28">
        <f>IF(B291="","",TEXT(B291,"yyyy-mm"))</f>
        <v>0</v>
      </c>
      <c r="X291" s="49">
        <f>IF(B291="","",IF(AND(H291&lt;&gt;"",I291&lt;&gt;"",I291&lt;H291),"Check odometer readings",IF(K291="","Action - add distance",IF(E291="","Action - add a purpose","OK"))))</f>
        <v>0</v>
      </c>
    </row>
    <row r="292" spans="1:24">
      <c r="A292" s="46">
        <f>IF(B292="","","TR-"&amp;TEXT(ROW()-4,"0000"))</f>
        <v>0</v>
      </c>
      <c r="K292" s="32">
        <f>IF(AND(H292&lt;&gt;"",I292&lt;&gt;""),ROUND(I292-H292,1),IF(J292="","",J292))</f>
        <v>0</v>
      </c>
      <c r="M292" s="32">
        <f>IF(K292="","",IF(L292="Yes",ROUND(K292*2,1),K292))</f>
        <v>0</v>
      </c>
      <c r="N292" s="49">
        <f>IF(E292="","",IF(E292="Personal","Personal","Business"))</f>
        <v>0</v>
      </c>
      <c r="O292" s="29">
        <f>IF(B292="","",MileageRate)</f>
        <v>0</v>
      </c>
      <c r="P292" s="29">
        <f>IF(M292="","",IF(N292="Business",ROUND(M292*MileageRate,2),0))</f>
        <v>0</v>
      </c>
      <c r="U292" s="29">
        <f>IF(B292="","",ROUND(IF(P292="",0,P292)+IF(N292="Business",IF(R292="",0,R292)+IF(S292="",0,S292),0),2))</f>
        <v>0</v>
      </c>
      <c r="W292" s="28">
        <f>IF(B292="","",TEXT(B292,"yyyy-mm"))</f>
        <v>0</v>
      </c>
      <c r="X292" s="49">
        <f>IF(B292="","",IF(AND(H292&lt;&gt;"",I292&lt;&gt;"",I292&lt;H292),"Check odometer readings",IF(K292="","Action - add distance",IF(E292="","Action - add a purpose","OK"))))</f>
        <v>0</v>
      </c>
    </row>
    <row r="293" spans="1:24">
      <c r="A293" s="46">
        <f>IF(B293="","","TR-"&amp;TEXT(ROW()-4,"0000"))</f>
        <v>0</v>
      </c>
      <c r="K293" s="32">
        <f>IF(AND(H293&lt;&gt;"",I293&lt;&gt;""),ROUND(I293-H293,1),IF(J293="","",J293))</f>
        <v>0</v>
      </c>
      <c r="M293" s="32">
        <f>IF(K293="","",IF(L293="Yes",ROUND(K293*2,1),K293))</f>
        <v>0</v>
      </c>
      <c r="N293" s="49">
        <f>IF(E293="","",IF(E293="Personal","Personal","Business"))</f>
        <v>0</v>
      </c>
      <c r="O293" s="29">
        <f>IF(B293="","",MileageRate)</f>
        <v>0</v>
      </c>
      <c r="P293" s="29">
        <f>IF(M293="","",IF(N293="Business",ROUND(M293*MileageRate,2),0))</f>
        <v>0</v>
      </c>
      <c r="U293" s="29">
        <f>IF(B293="","",ROUND(IF(P293="",0,P293)+IF(N293="Business",IF(R293="",0,R293)+IF(S293="",0,S293),0),2))</f>
        <v>0</v>
      </c>
      <c r="W293" s="28">
        <f>IF(B293="","",TEXT(B293,"yyyy-mm"))</f>
        <v>0</v>
      </c>
      <c r="X293" s="49">
        <f>IF(B293="","",IF(AND(H293&lt;&gt;"",I293&lt;&gt;"",I293&lt;H293),"Check odometer readings",IF(K293="","Action - add distance",IF(E293="","Action - add a purpose","OK"))))</f>
        <v>0</v>
      </c>
    </row>
    <row r="294" spans="1:24">
      <c r="A294" s="46">
        <f>IF(B294="","","TR-"&amp;TEXT(ROW()-4,"0000"))</f>
        <v>0</v>
      </c>
      <c r="K294" s="32">
        <f>IF(AND(H294&lt;&gt;"",I294&lt;&gt;""),ROUND(I294-H294,1),IF(J294="","",J294))</f>
        <v>0</v>
      </c>
      <c r="M294" s="32">
        <f>IF(K294="","",IF(L294="Yes",ROUND(K294*2,1),K294))</f>
        <v>0</v>
      </c>
      <c r="N294" s="49">
        <f>IF(E294="","",IF(E294="Personal","Personal","Business"))</f>
        <v>0</v>
      </c>
      <c r="O294" s="29">
        <f>IF(B294="","",MileageRate)</f>
        <v>0</v>
      </c>
      <c r="P294" s="29">
        <f>IF(M294="","",IF(N294="Business",ROUND(M294*MileageRate,2),0))</f>
        <v>0</v>
      </c>
      <c r="U294" s="29">
        <f>IF(B294="","",ROUND(IF(P294="",0,P294)+IF(N294="Business",IF(R294="",0,R294)+IF(S294="",0,S294),0),2))</f>
        <v>0</v>
      </c>
      <c r="W294" s="28">
        <f>IF(B294="","",TEXT(B294,"yyyy-mm"))</f>
        <v>0</v>
      </c>
      <c r="X294" s="49">
        <f>IF(B294="","",IF(AND(H294&lt;&gt;"",I294&lt;&gt;"",I294&lt;H294),"Check odometer readings",IF(K294="","Action - add distance",IF(E294="","Action - add a purpose","OK"))))</f>
        <v>0</v>
      </c>
    </row>
    <row r="295" spans="1:24">
      <c r="A295" s="46">
        <f>IF(B295="","","TR-"&amp;TEXT(ROW()-4,"0000"))</f>
        <v>0</v>
      </c>
      <c r="K295" s="32">
        <f>IF(AND(H295&lt;&gt;"",I295&lt;&gt;""),ROUND(I295-H295,1),IF(J295="","",J295))</f>
        <v>0</v>
      </c>
      <c r="M295" s="32">
        <f>IF(K295="","",IF(L295="Yes",ROUND(K295*2,1),K295))</f>
        <v>0</v>
      </c>
      <c r="N295" s="49">
        <f>IF(E295="","",IF(E295="Personal","Personal","Business"))</f>
        <v>0</v>
      </c>
      <c r="O295" s="29">
        <f>IF(B295="","",MileageRate)</f>
        <v>0</v>
      </c>
      <c r="P295" s="29">
        <f>IF(M295="","",IF(N295="Business",ROUND(M295*MileageRate,2),0))</f>
        <v>0</v>
      </c>
      <c r="U295" s="29">
        <f>IF(B295="","",ROUND(IF(P295="",0,P295)+IF(N295="Business",IF(R295="",0,R295)+IF(S295="",0,S295),0),2))</f>
        <v>0</v>
      </c>
      <c r="W295" s="28">
        <f>IF(B295="","",TEXT(B295,"yyyy-mm"))</f>
        <v>0</v>
      </c>
      <c r="X295" s="49">
        <f>IF(B295="","",IF(AND(H295&lt;&gt;"",I295&lt;&gt;"",I295&lt;H295),"Check odometer readings",IF(K295="","Action - add distance",IF(E295="","Action - add a purpose","OK"))))</f>
        <v>0</v>
      </c>
    </row>
    <row r="296" spans="1:24">
      <c r="A296" s="46">
        <f>IF(B296="","","TR-"&amp;TEXT(ROW()-4,"0000"))</f>
        <v>0</v>
      </c>
      <c r="K296" s="32">
        <f>IF(AND(H296&lt;&gt;"",I296&lt;&gt;""),ROUND(I296-H296,1),IF(J296="","",J296))</f>
        <v>0</v>
      </c>
      <c r="M296" s="32">
        <f>IF(K296="","",IF(L296="Yes",ROUND(K296*2,1),K296))</f>
        <v>0</v>
      </c>
      <c r="N296" s="49">
        <f>IF(E296="","",IF(E296="Personal","Personal","Business"))</f>
        <v>0</v>
      </c>
      <c r="O296" s="29">
        <f>IF(B296="","",MileageRate)</f>
        <v>0</v>
      </c>
      <c r="P296" s="29">
        <f>IF(M296="","",IF(N296="Business",ROUND(M296*MileageRate,2),0))</f>
        <v>0</v>
      </c>
      <c r="U296" s="29">
        <f>IF(B296="","",ROUND(IF(P296="",0,P296)+IF(N296="Business",IF(R296="",0,R296)+IF(S296="",0,S296),0),2))</f>
        <v>0</v>
      </c>
      <c r="W296" s="28">
        <f>IF(B296="","",TEXT(B296,"yyyy-mm"))</f>
        <v>0</v>
      </c>
      <c r="X296" s="49">
        <f>IF(B296="","",IF(AND(H296&lt;&gt;"",I296&lt;&gt;"",I296&lt;H296),"Check odometer readings",IF(K296="","Action - add distance",IF(E296="","Action - add a purpose","OK"))))</f>
        <v>0</v>
      </c>
    </row>
    <row r="297" spans="1:24">
      <c r="A297" s="46">
        <f>IF(B297="","","TR-"&amp;TEXT(ROW()-4,"0000"))</f>
        <v>0</v>
      </c>
      <c r="K297" s="32">
        <f>IF(AND(H297&lt;&gt;"",I297&lt;&gt;""),ROUND(I297-H297,1),IF(J297="","",J297))</f>
        <v>0</v>
      </c>
      <c r="M297" s="32">
        <f>IF(K297="","",IF(L297="Yes",ROUND(K297*2,1),K297))</f>
        <v>0</v>
      </c>
      <c r="N297" s="49">
        <f>IF(E297="","",IF(E297="Personal","Personal","Business"))</f>
        <v>0</v>
      </c>
      <c r="O297" s="29">
        <f>IF(B297="","",MileageRate)</f>
        <v>0</v>
      </c>
      <c r="P297" s="29">
        <f>IF(M297="","",IF(N297="Business",ROUND(M297*MileageRate,2),0))</f>
        <v>0</v>
      </c>
      <c r="U297" s="29">
        <f>IF(B297="","",ROUND(IF(P297="",0,P297)+IF(N297="Business",IF(R297="",0,R297)+IF(S297="",0,S297),0),2))</f>
        <v>0</v>
      </c>
      <c r="W297" s="28">
        <f>IF(B297="","",TEXT(B297,"yyyy-mm"))</f>
        <v>0</v>
      </c>
      <c r="X297" s="49">
        <f>IF(B297="","",IF(AND(H297&lt;&gt;"",I297&lt;&gt;"",I297&lt;H297),"Check odometer readings",IF(K297="","Action - add distance",IF(E297="","Action - add a purpose","OK"))))</f>
        <v>0</v>
      </c>
    </row>
    <row r="298" spans="1:24">
      <c r="A298" s="46">
        <f>IF(B298="","","TR-"&amp;TEXT(ROW()-4,"0000"))</f>
        <v>0</v>
      </c>
      <c r="K298" s="32">
        <f>IF(AND(H298&lt;&gt;"",I298&lt;&gt;""),ROUND(I298-H298,1),IF(J298="","",J298))</f>
        <v>0</v>
      </c>
      <c r="M298" s="32">
        <f>IF(K298="","",IF(L298="Yes",ROUND(K298*2,1),K298))</f>
        <v>0</v>
      </c>
      <c r="N298" s="49">
        <f>IF(E298="","",IF(E298="Personal","Personal","Business"))</f>
        <v>0</v>
      </c>
      <c r="O298" s="29">
        <f>IF(B298="","",MileageRate)</f>
        <v>0</v>
      </c>
      <c r="P298" s="29">
        <f>IF(M298="","",IF(N298="Business",ROUND(M298*MileageRate,2),0))</f>
        <v>0</v>
      </c>
      <c r="U298" s="29">
        <f>IF(B298="","",ROUND(IF(P298="",0,P298)+IF(N298="Business",IF(R298="",0,R298)+IF(S298="",0,S298),0),2))</f>
        <v>0</v>
      </c>
      <c r="W298" s="28">
        <f>IF(B298="","",TEXT(B298,"yyyy-mm"))</f>
        <v>0</v>
      </c>
      <c r="X298" s="49">
        <f>IF(B298="","",IF(AND(H298&lt;&gt;"",I298&lt;&gt;"",I298&lt;H298),"Check odometer readings",IF(K298="","Action - add distance",IF(E298="","Action - add a purpose","OK"))))</f>
        <v>0</v>
      </c>
    </row>
    <row r="299" spans="1:24">
      <c r="A299" s="46">
        <f>IF(B299="","","TR-"&amp;TEXT(ROW()-4,"0000"))</f>
        <v>0</v>
      </c>
      <c r="K299" s="32">
        <f>IF(AND(H299&lt;&gt;"",I299&lt;&gt;""),ROUND(I299-H299,1),IF(J299="","",J299))</f>
        <v>0</v>
      </c>
      <c r="M299" s="32">
        <f>IF(K299="","",IF(L299="Yes",ROUND(K299*2,1),K299))</f>
        <v>0</v>
      </c>
      <c r="N299" s="49">
        <f>IF(E299="","",IF(E299="Personal","Personal","Business"))</f>
        <v>0</v>
      </c>
      <c r="O299" s="29">
        <f>IF(B299="","",MileageRate)</f>
        <v>0</v>
      </c>
      <c r="P299" s="29">
        <f>IF(M299="","",IF(N299="Business",ROUND(M299*MileageRate,2),0))</f>
        <v>0</v>
      </c>
      <c r="U299" s="29">
        <f>IF(B299="","",ROUND(IF(P299="",0,P299)+IF(N299="Business",IF(R299="",0,R299)+IF(S299="",0,S299),0),2))</f>
        <v>0</v>
      </c>
      <c r="W299" s="28">
        <f>IF(B299="","",TEXT(B299,"yyyy-mm"))</f>
        <v>0</v>
      </c>
      <c r="X299" s="49">
        <f>IF(B299="","",IF(AND(H299&lt;&gt;"",I299&lt;&gt;"",I299&lt;H299),"Check odometer readings",IF(K299="","Action - add distance",IF(E299="","Action - add a purpose","OK"))))</f>
        <v>0</v>
      </c>
    </row>
    <row r="300" spans="1:24">
      <c r="A300" s="46">
        <f>IF(B300="","","TR-"&amp;TEXT(ROW()-4,"0000"))</f>
        <v>0</v>
      </c>
      <c r="K300" s="32">
        <f>IF(AND(H300&lt;&gt;"",I300&lt;&gt;""),ROUND(I300-H300,1),IF(J300="","",J300))</f>
        <v>0</v>
      </c>
      <c r="M300" s="32">
        <f>IF(K300="","",IF(L300="Yes",ROUND(K300*2,1),K300))</f>
        <v>0</v>
      </c>
      <c r="N300" s="49">
        <f>IF(E300="","",IF(E300="Personal","Personal","Business"))</f>
        <v>0</v>
      </c>
      <c r="O300" s="29">
        <f>IF(B300="","",MileageRate)</f>
        <v>0</v>
      </c>
      <c r="P300" s="29">
        <f>IF(M300="","",IF(N300="Business",ROUND(M300*MileageRate,2),0))</f>
        <v>0</v>
      </c>
      <c r="U300" s="29">
        <f>IF(B300="","",ROUND(IF(P300="",0,P300)+IF(N300="Business",IF(R300="",0,R300)+IF(S300="",0,S300),0),2))</f>
        <v>0</v>
      </c>
      <c r="W300" s="28">
        <f>IF(B300="","",TEXT(B300,"yyyy-mm"))</f>
        <v>0</v>
      </c>
      <c r="X300" s="49">
        <f>IF(B300="","",IF(AND(H300&lt;&gt;"",I300&lt;&gt;"",I300&lt;H300),"Check odometer readings",IF(K300="","Action - add distance",IF(E300="","Action - add a purpose","OK"))))</f>
        <v>0</v>
      </c>
    </row>
    <row r="301" spans="1:24">
      <c r="A301" s="46">
        <f>IF(B301="","","TR-"&amp;TEXT(ROW()-4,"0000"))</f>
        <v>0</v>
      </c>
      <c r="K301" s="32">
        <f>IF(AND(H301&lt;&gt;"",I301&lt;&gt;""),ROUND(I301-H301,1),IF(J301="","",J301))</f>
        <v>0</v>
      </c>
      <c r="M301" s="32">
        <f>IF(K301="","",IF(L301="Yes",ROUND(K301*2,1),K301))</f>
        <v>0</v>
      </c>
      <c r="N301" s="49">
        <f>IF(E301="","",IF(E301="Personal","Personal","Business"))</f>
        <v>0</v>
      </c>
      <c r="O301" s="29">
        <f>IF(B301="","",MileageRate)</f>
        <v>0</v>
      </c>
      <c r="P301" s="29">
        <f>IF(M301="","",IF(N301="Business",ROUND(M301*MileageRate,2),0))</f>
        <v>0</v>
      </c>
      <c r="U301" s="29">
        <f>IF(B301="","",ROUND(IF(P301="",0,P301)+IF(N301="Business",IF(R301="",0,R301)+IF(S301="",0,S301),0),2))</f>
        <v>0</v>
      </c>
      <c r="W301" s="28">
        <f>IF(B301="","",TEXT(B301,"yyyy-mm"))</f>
        <v>0</v>
      </c>
      <c r="X301" s="49">
        <f>IF(B301="","",IF(AND(H301&lt;&gt;"",I301&lt;&gt;"",I301&lt;H301),"Check odometer readings",IF(K301="","Action - add distance",IF(E301="","Action - add a purpose","OK"))))</f>
        <v>0</v>
      </c>
    </row>
    <row r="302" spans="1:24">
      <c r="A302" s="46">
        <f>IF(B302="","","TR-"&amp;TEXT(ROW()-4,"0000"))</f>
        <v>0</v>
      </c>
      <c r="K302" s="32">
        <f>IF(AND(H302&lt;&gt;"",I302&lt;&gt;""),ROUND(I302-H302,1),IF(J302="","",J302))</f>
        <v>0</v>
      </c>
      <c r="M302" s="32">
        <f>IF(K302="","",IF(L302="Yes",ROUND(K302*2,1),K302))</f>
        <v>0</v>
      </c>
      <c r="N302" s="49">
        <f>IF(E302="","",IF(E302="Personal","Personal","Business"))</f>
        <v>0</v>
      </c>
      <c r="O302" s="29">
        <f>IF(B302="","",MileageRate)</f>
        <v>0</v>
      </c>
      <c r="P302" s="29">
        <f>IF(M302="","",IF(N302="Business",ROUND(M302*MileageRate,2),0))</f>
        <v>0</v>
      </c>
      <c r="U302" s="29">
        <f>IF(B302="","",ROUND(IF(P302="",0,P302)+IF(N302="Business",IF(R302="",0,R302)+IF(S302="",0,S302),0),2))</f>
        <v>0</v>
      </c>
      <c r="W302" s="28">
        <f>IF(B302="","",TEXT(B302,"yyyy-mm"))</f>
        <v>0</v>
      </c>
      <c r="X302" s="49">
        <f>IF(B302="","",IF(AND(H302&lt;&gt;"",I302&lt;&gt;"",I302&lt;H302),"Check odometer readings",IF(K302="","Action - add distance",IF(E302="","Action - add a purpose","OK"))))</f>
        <v>0</v>
      </c>
    </row>
    <row r="303" spans="1:24">
      <c r="A303" s="46">
        <f>IF(B303="","","TR-"&amp;TEXT(ROW()-4,"0000"))</f>
        <v>0</v>
      </c>
      <c r="K303" s="32">
        <f>IF(AND(H303&lt;&gt;"",I303&lt;&gt;""),ROUND(I303-H303,1),IF(J303="","",J303))</f>
        <v>0</v>
      </c>
      <c r="M303" s="32">
        <f>IF(K303="","",IF(L303="Yes",ROUND(K303*2,1),K303))</f>
        <v>0</v>
      </c>
      <c r="N303" s="49">
        <f>IF(E303="","",IF(E303="Personal","Personal","Business"))</f>
        <v>0</v>
      </c>
      <c r="O303" s="29">
        <f>IF(B303="","",MileageRate)</f>
        <v>0</v>
      </c>
      <c r="P303" s="29">
        <f>IF(M303="","",IF(N303="Business",ROUND(M303*MileageRate,2),0))</f>
        <v>0</v>
      </c>
      <c r="U303" s="29">
        <f>IF(B303="","",ROUND(IF(P303="",0,P303)+IF(N303="Business",IF(R303="",0,R303)+IF(S303="",0,S303),0),2))</f>
        <v>0</v>
      </c>
      <c r="W303" s="28">
        <f>IF(B303="","",TEXT(B303,"yyyy-mm"))</f>
        <v>0</v>
      </c>
      <c r="X303" s="49">
        <f>IF(B303="","",IF(AND(H303&lt;&gt;"",I303&lt;&gt;"",I303&lt;H303),"Check odometer readings",IF(K303="","Action - add distance",IF(E303="","Action - add a purpose","OK"))))</f>
        <v>0</v>
      </c>
    </row>
    <row r="304" spans="1:24">
      <c r="A304" s="46">
        <f>IF(B304="","","TR-"&amp;TEXT(ROW()-4,"0000"))</f>
        <v>0</v>
      </c>
      <c r="K304" s="32">
        <f>IF(AND(H304&lt;&gt;"",I304&lt;&gt;""),ROUND(I304-H304,1),IF(J304="","",J304))</f>
        <v>0</v>
      </c>
      <c r="M304" s="32">
        <f>IF(K304="","",IF(L304="Yes",ROUND(K304*2,1),K304))</f>
        <v>0</v>
      </c>
      <c r="N304" s="49">
        <f>IF(E304="","",IF(E304="Personal","Personal","Business"))</f>
        <v>0</v>
      </c>
      <c r="O304" s="29">
        <f>IF(B304="","",MileageRate)</f>
        <v>0</v>
      </c>
      <c r="P304" s="29">
        <f>IF(M304="","",IF(N304="Business",ROUND(M304*MileageRate,2),0))</f>
        <v>0</v>
      </c>
      <c r="U304" s="29">
        <f>IF(B304="","",ROUND(IF(P304="",0,P304)+IF(N304="Business",IF(R304="",0,R304)+IF(S304="",0,S304),0),2))</f>
        <v>0</v>
      </c>
      <c r="W304" s="28">
        <f>IF(B304="","",TEXT(B304,"yyyy-mm"))</f>
        <v>0</v>
      </c>
      <c r="X304" s="49">
        <f>IF(B304="","",IF(AND(H304&lt;&gt;"",I304&lt;&gt;"",I304&lt;H304),"Check odometer readings",IF(K304="","Action - add distance",IF(E304="","Action - add a purpose","OK"))))</f>
        <v>0</v>
      </c>
    </row>
  </sheetData>
  <sheetProtection password="EC7C" sheet="1" objects="1" scenarios="1" formatCells="0" formatColumns="0" formatRows="0" insertRows="0" insertHyperlinks="0" deleteRows="0" autoFilter="0"/>
  <autoFilter ref="A4:X304"/>
  <mergeCells count="13">
    <mergeCell ref="A1:U1"/>
    <mergeCell ref="V1:X1"/>
    <mergeCell ref="A2:X2"/>
    <mergeCell ref="A3:B3"/>
    <mergeCell ref="C3:D3"/>
    <mergeCell ref="E3:F3"/>
    <mergeCell ref="G3:H3"/>
    <mergeCell ref="I3:J3"/>
    <mergeCell ref="K3:L3"/>
    <mergeCell ref="M3:N3"/>
    <mergeCell ref="O3:P3"/>
    <mergeCell ref="Q3:R3"/>
    <mergeCell ref="S3:X3"/>
  </mergeCells>
  <conditionalFormatting sqref="M5:M304">
    <cfRule type="dataBar" priority="1">
      <dataBar>
        <cfvo type="min" val="0"/>
        <cfvo type="max" val="0"/>
        <color rgb="FF2E7D8F"/>
      </dataBar>
    </cfRule>
  </conditionalFormatting>
  <conditionalFormatting sqref="N5:N304">
    <cfRule type="containsText" dxfId="0" priority="2" operator="containsText" text="Business">
      <formula>NOT(ISERROR(SEARCH("Business",N5)))</formula>
    </cfRule>
    <cfRule type="containsText" dxfId="4" priority="3" operator="containsText" text="Personal">
      <formula>NOT(ISERROR(SEARCH("Personal",N5)))</formula>
    </cfRule>
  </conditionalFormatting>
  <conditionalFormatting sqref="X5:X304">
    <cfRule type="beginsWith" dxfId="0" priority="4" operator="beginsWith" text="OK">
      <formula>LEFT(X5,2)="OK"</formula>
    </cfRule>
    <cfRule type="containsText" dxfId="1" priority="5" operator="containsText" text="Overdue">
      <formula>NOT(ISERROR(SEARCH("Overdue",X5)))</formula>
    </cfRule>
    <cfRule type="containsText" dxfId="1" priority="6" operator="containsText" text="Missed">
      <formula>NOT(ISERROR(SEARCH("Missed",X5)))</formula>
    </cfRule>
    <cfRule type="containsText" dxfId="1" priority="7" operator="containsText" text="Conflict">
      <formula>NOT(ISERROR(SEARCH("Conflict",X5)))</formula>
    </cfRule>
    <cfRule type="containsText" dxfId="1" priority="8" operator="containsText" text="Expired">
      <formula>NOT(ISERROR(SEARCH("Expired",X5)))</formula>
    </cfRule>
    <cfRule type="containsText" dxfId="1" priority="9" operator="containsText" text="Duplicate">
      <formula>NOT(ISERROR(SEARCH("Duplicate",X5)))</formula>
    </cfRule>
    <cfRule type="containsText" dxfId="2" priority="10" operator="containsText" text="Action">
      <formula>NOT(ISERROR(SEARCH("Action",X5)))</formula>
    </cfRule>
    <cfRule type="containsText" dxfId="2" priority="11" operator="containsText" text="Due">
      <formula>NOT(ISERROR(SEARCH("Due",X5)))</formula>
    </cfRule>
    <cfRule type="containsText" dxfId="2" priority="12" operator="containsText" text="Check">
      <formula>NOT(ISERROR(SEARCH("Check",X5)))</formula>
    </cfRule>
    <cfRule type="containsText" dxfId="3" priority="13" operator="containsText" text="Today">
      <formula>NOT(ISERROR(SEARCH("Today",X5)))</formula>
    </cfRule>
    <cfRule type="containsText" dxfId="3" priority="14" operator="containsText" text="Upcoming">
      <formula>NOT(ISERROR(SEARCH("Upcoming",X5)))</formula>
    </cfRule>
  </conditionalFormatting>
  <dataValidations count="12">
    <dataValidation type="date" allowBlank="1" showInputMessage="1" showErrorMessage="1" errorTitle="Check the date" error="Enter a real date between 2000 and 2100." sqref="B5:B304">
      <formula1>36526</formula1>
      <formula2>73415</formula2>
    </dataValidation>
    <dataValidation type="list" allowBlank="1" showInputMessage="1" showErrorMessage="1" sqref="C5:C304">
      <formula1>StaffNames</formula1>
    </dataValidation>
    <dataValidation type="list" allowBlank="1" showInputMessage="1" showErrorMessage="1" sqref="D5:D304">
      <formula1>ClientNames</formula1>
    </dataValidation>
    <dataValidation type="list" allowBlank="1" showInputMessage="1" showErrorMessage="1" sqref="E5:E304">
      <formula1>TripPurposeList</formula1>
    </dataValidation>
    <dataValidation type="decimal" allowBlank="1" showInputMessage="1" showErrorMessage="1" errorTitle="Check the value" error="Enter a number between 0 and 10000000." sqref="H5:H304">
      <formula1>0</formula1>
      <formula2>10000000</formula2>
    </dataValidation>
    <dataValidation type="decimal" allowBlank="1" showInputMessage="1" showErrorMessage="1" errorTitle="Check the value" error="Enter a number between 0 and 10000000." sqref="I5:I304">
      <formula1>0</formula1>
      <formula2>10000000</formula2>
    </dataValidation>
    <dataValidation type="decimal" allowBlank="1" showInputMessage="1" showErrorMessage="1" errorTitle="Check the value" error="Enter a number between 0 and 10000." promptTitle="Manual km" prompt="Only needed when you did not record odometer readings." sqref="J5:J304">
      <formula1>0</formula1>
      <formula2>10000</formula2>
    </dataValidation>
    <dataValidation type="list" allowBlank="1" showInputMessage="1" showErrorMessage="1" sqref="L5:L304">
      <formula1>"Yes,No"</formula1>
    </dataValidation>
    <dataValidation type="decimal" allowBlank="1" showInputMessage="1" showErrorMessage="1" errorTitle="Check the value" error="Enter a number between 0 and 100000." promptTitle="Fuel cost" prompt="For reference only - the mileage rate already covers fuel. Log fuel receipts on the Expenses tab if you claim actual costs instead." sqref="Q5:Q304">
      <formula1>0</formula1>
      <formula2>100000</formula2>
    </dataValidation>
    <dataValidation type="decimal" allowBlank="1" showInputMessage="1" showErrorMessage="1" errorTitle="Check the value" error="Enter a number between 0 and 100000." sqref="R5:R304">
      <formula1>0</formula1>
      <formula2>100000</formula2>
    </dataValidation>
    <dataValidation type="decimal" allowBlank="1" showInputMessage="1" showErrorMessage="1" errorTitle="Check the value" error="Enter a number between 0 and 100000." sqref="S5:S304">
      <formula1>0</formula1>
      <formula2>100000</formula2>
    </dataValidation>
    <dataValidation type="whole" allowBlank="1" showInputMessage="1" showErrorMessage="1" errorTitle="Check the value" error="Enter a number between 0 and 1440." sqref="T5:T304">
      <formula1>0</formula1>
      <formula2>1440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&amp;L&amp;"Calibri,Bold"&amp;12&amp;C&amp;"Calibri,Bold"&amp;11Mileage&amp;R&amp;"Calibri,Italic"&amp;9Pet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7.xml><?xml version="1.0" encoding="utf-8"?>
<worksheet xmlns="http://schemas.openxmlformats.org/spreadsheetml/2006/main" xmlns:r="http://schemas.openxmlformats.org/officeDocument/2006/relationships">
  <sheetPr>
    <tabColor rgb="FF1F4E5F"/>
    <pageSetUpPr fitToPage="1"/>
  </sheetPr>
  <dimension ref="A1:AB4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6" customWidth="1"/>
    <col min="2" max="2" width="18.7109375" style="20" customWidth="1"/>
    <col min="3" max="3" width="17.7109375" style="20" customWidth="1"/>
    <col min="4" max="4" width="26.7109375" style="20" customWidth="1"/>
    <col min="5" max="5" width="14.7109375" style="20" customWidth="1"/>
    <col min="6" max="6" width="18.7109375" style="20" customWidth="1"/>
    <col min="7" max="7" width="12.7109375" style="39" customWidth="1"/>
    <col min="8" max="8" width="11.7109375" style="48" customWidth="1"/>
    <col min="9" max="9" width="22.7109375" style="20" customWidth="1"/>
    <col min="10" max="10" width="14.7109375" style="20" customWidth="1"/>
    <col min="11" max="11" width="13.7109375" style="20" customWidth="1"/>
    <col min="12" max="12" width="11.7109375" style="42" customWidth="1"/>
    <col min="13" max="13" width="26.7109375" style="47" customWidth="1"/>
    <col min="14" max="14" width="12.7109375" style="39" customWidth="1"/>
    <col min="15" max="15" width="16.7109375" style="49" customWidth="1"/>
    <col min="16" max="16" width="12.7109375" style="39" customWidth="1"/>
    <col min="17" max="17" width="24.7109375" style="20" customWidth="1"/>
    <col min="18" max="18" width="22.7109375" style="47" customWidth="1"/>
    <col min="19" max="19" width="10.7109375" style="31" customWidth="1"/>
    <col min="20" max="20" width="10.7109375" style="31" customWidth="1"/>
    <col min="21" max="21" width="10.7109375" style="51" customWidth="1"/>
    <col min="22" max="22" width="10.7109375" style="32" customWidth="1"/>
    <col min="23" max="23" width="13.7109375" style="29" customWidth="1"/>
    <col min="24" max="24" width="12.7109375" style="29" customWidth="1"/>
    <col min="25" max="25" width="11.7109375" style="29" customWidth="1"/>
    <col min="26" max="26" width="10.7109375" style="30" customWidth="1"/>
    <col min="27" max="27" width="28.7109375" style="47" customWidth="1"/>
    <col min="28" max="28" width="22.7109375" style="49" customWidth="1"/>
  </cols>
  <sheetData>
    <row r="1" spans="1:28" ht="34" customHeight="1">
      <c r="A1" s="2" t="s">
        <v>943</v>
      </c>
      <c r="B1" s="2"/>
      <c r="C1" s="2"/>
      <c r="D1" s="2"/>
      <c r="E1" s="2"/>
      <c r="F1" s="2"/>
      <c r="G1" s="2"/>
      <c r="H1" s="2"/>
      <c r="I1" s="2"/>
      <c r="J1" s="2"/>
      <c r="K1" s="2"/>
      <c r="L1" s="2"/>
      <c r="M1" s="2"/>
      <c r="N1" s="2"/>
      <c r="O1" s="2"/>
      <c r="P1" s="2"/>
      <c r="Q1" s="2"/>
      <c r="R1" s="2"/>
      <c r="S1" s="2"/>
      <c r="T1" s="2"/>
      <c r="U1" s="2"/>
      <c r="V1" s="2"/>
      <c r="W1" s="2"/>
      <c r="X1" s="2"/>
      <c r="Y1" s="2"/>
      <c r="Z1" s="3" t="s">
        <v>118</v>
      </c>
      <c r="AA1" s="3"/>
      <c r="AB1" s="3"/>
    </row>
    <row r="2" spans="1:28" ht="18" customHeight="1">
      <c r="A2" s="4" t="s">
        <v>944</v>
      </c>
      <c r="B2" s="4"/>
      <c r="C2" s="4"/>
      <c r="D2" s="4"/>
      <c r="E2" s="4"/>
      <c r="F2" s="4"/>
      <c r="G2" s="4"/>
      <c r="H2" s="4"/>
      <c r="I2" s="4"/>
      <c r="J2" s="4"/>
      <c r="K2" s="4"/>
      <c r="L2" s="4"/>
      <c r="M2" s="4"/>
      <c r="N2" s="4"/>
      <c r="O2" s="4"/>
      <c r="P2" s="4"/>
      <c r="Q2" s="4"/>
      <c r="R2" s="4"/>
      <c r="S2" s="4"/>
      <c r="T2" s="4"/>
      <c r="U2" s="4"/>
      <c r="V2" s="4"/>
      <c r="W2" s="4"/>
      <c r="X2" s="4"/>
      <c r="Y2" s="4"/>
      <c r="Z2" s="4"/>
      <c r="AA2" s="4"/>
      <c r="AB2" s="4"/>
    </row>
    <row r="3" spans="1:28"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945</v>
      </c>
      <c r="T3" s="45"/>
      <c r="U3" s="45"/>
      <c r="V3" s="45"/>
      <c r="W3" s="45"/>
      <c r="X3" s="45"/>
      <c r="Y3" s="45"/>
      <c r="Z3" s="45"/>
      <c r="AA3" s="45"/>
      <c r="AB3" s="45"/>
    </row>
    <row r="4" spans="1:28" ht="30" customHeight="1">
      <c r="A4" s="8" t="s">
        <v>642</v>
      </c>
      <c r="B4" s="8" t="s">
        <v>837</v>
      </c>
      <c r="C4" s="9" t="s">
        <v>229</v>
      </c>
      <c r="D4" s="9" t="s">
        <v>231</v>
      </c>
      <c r="E4" s="9" t="s">
        <v>946</v>
      </c>
      <c r="F4" s="9" t="s">
        <v>595</v>
      </c>
      <c r="G4" s="9" t="s">
        <v>947</v>
      </c>
      <c r="H4" s="9" t="s">
        <v>665</v>
      </c>
      <c r="I4" s="9" t="s">
        <v>948</v>
      </c>
      <c r="J4" s="9" t="s">
        <v>949</v>
      </c>
      <c r="K4" s="9" t="s">
        <v>600</v>
      </c>
      <c r="L4" s="9" t="s">
        <v>950</v>
      </c>
      <c r="M4" s="9" t="s">
        <v>951</v>
      </c>
      <c r="N4" s="9" t="s">
        <v>952</v>
      </c>
      <c r="O4" s="9" t="s">
        <v>953</v>
      </c>
      <c r="P4" s="9" t="s">
        <v>954</v>
      </c>
      <c r="Q4" s="9" t="s">
        <v>662</v>
      </c>
      <c r="R4" s="9" t="s">
        <v>955</v>
      </c>
      <c r="S4" s="9" t="s">
        <v>956</v>
      </c>
      <c r="T4" s="9" t="s">
        <v>169</v>
      </c>
      <c r="U4" s="9" t="s">
        <v>957</v>
      </c>
      <c r="V4" s="9" t="s">
        <v>958</v>
      </c>
      <c r="W4" s="9" t="s">
        <v>959</v>
      </c>
      <c r="X4" s="9" t="s">
        <v>960</v>
      </c>
      <c r="Y4" s="9" t="s">
        <v>961</v>
      </c>
      <c r="Z4" s="9" t="s">
        <v>962</v>
      </c>
      <c r="AA4" s="9" t="s">
        <v>339</v>
      </c>
      <c r="AB4" s="9" t="s">
        <v>686</v>
      </c>
    </row>
    <row r="5" spans="1:28">
      <c r="A5" s="46">
        <f>IF(B5="","","ST-"&amp;TEXT(ROW()-4,"000"))</f>
        <v>0</v>
      </c>
      <c r="O5" s="49">
        <f>IF(N5="","",IF(N5&lt;TODAY(),"EXPIRED",IF(N5-TODAY()&lt;=ExpiryAlertDays,"Due in "&amp;TEXT(N5-TODAY(),"0")&amp;" days","Valid")))</f>
        <v>0</v>
      </c>
      <c r="S5" s="31">
        <f>IF(B5="","",COUNTIFS(Bookings!$AL$5:$AL$404,B5,Bookings!$AM$5:$AM$404,"&lt;&gt;Cancelled"))</f>
        <v>0</v>
      </c>
      <c r="T5" s="31">
        <f>IF(B5="","",COUNTIFS('Visit Log'!$G$5:$G$404,B5,'Visit Log'!$AE$5:$AE$404,"Completed"))</f>
        <v>0</v>
      </c>
      <c r="U5" s="51">
        <f>IF(B5="","",ROUND(SUMIFS('Visit Log'!$K$5:$K$404,'Visit Log'!$G$5:$G$404,B5,'Visit Log'!$AE$5:$AE$404,"Completed")/60,2))</f>
        <v>0</v>
      </c>
      <c r="V5" s="32">
        <f>IF(B5="","",SUMIFS(Mileage!$M$5:$M$304,Mileage!$C$5:$C$304,B5,Mileage!$N$5:$N$304,"Business"))</f>
        <v>0</v>
      </c>
      <c r="W5" s="29">
        <f>IF(B5="","",SUMIFS(Bookings!$AK$5:$AK$404,Bookings!$AL$5:$AL$404,B5,Bookings!$AM$5:$AM$404,"&lt;&gt;Cancelled"))</f>
        <v>0</v>
      </c>
      <c r="X5" s="29">
        <f>IF(B5="","",ROUND(IF(K5="Hourly",U5*IF(L5="",0,L5),IF(K5="Per visit",T5*IF(L5="",0,L5),IF(K5="Commission %",W5*IF(L5="",0,L5)/100,0))),2))</f>
        <v>0</v>
      </c>
      <c r="Y5" s="29">
        <f>IF(OR(U5="",U5=0),"",ROUND(W5/U5,2))</f>
        <v>0</v>
      </c>
      <c r="Z5" s="30">
        <f>IF(OR(S5="",S5=0),"",T5/S5)</f>
        <v>0</v>
      </c>
      <c r="AB5" s="49">
        <f>IF(B5="","",IF(O5="EXPIRED","Certificate expired",IF(LEFT(O5,6)="Due in","Certificate due",IF(P5="","Action - background check",IF(AND(H5="Active",S5=0),"No bookings assigned","OK")))))</f>
        <v>0</v>
      </c>
    </row>
    <row r="6" spans="1:28">
      <c r="A6" s="46">
        <f>IF(B6="","","ST-"&amp;TEXT(ROW()-4,"000"))</f>
        <v>0</v>
      </c>
      <c r="O6" s="49">
        <f>IF(N6="","",IF(N6&lt;TODAY(),"EXPIRED",IF(N6-TODAY()&lt;=ExpiryAlertDays,"Due in "&amp;TEXT(N6-TODAY(),"0")&amp;" days","Valid")))</f>
        <v>0</v>
      </c>
      <c r="S6" s="31">
        <f>IF(B6="","",COUNTIFS(Bookings!$AL$5:$AL$404,B6,Bookings!$AM$5:$AM$404,"&lt;&gt;Cancelled"))</f>
        <v>0</v>
      </c>
      <c r="T6" s="31">
        <f>IF(B6="","",COUNTIFS('Visit Log'!$G$5:$G$404,B6,'Visit Log'!$AE$5:$AE$404,"Completed"))</f>
        <v>0</v>
      </c>
      <c r="U6" s="51">
        <f>IF(B6="","",ROUND(SUMIFS('Visit Log'!$K$5:$K$404,'Visit Log'!$G$5:$G$404,B6,'Visit Log'!$AE$5:$AE$404,"Completed")/60,2))</f>
        <v>0</v>
      </c>
      <c r="V6" s="32">
        <f>IF(B6="","",SUMIFS(Mileage!$M$5:$M$304,Mileage!$C$5:$C$304,B6,Mileage!$N$5:$N$304,"Business"))</f>
        <v>0</v>
      </c>
      <c r="W6" s="29">
        <f>IF(B6="","",SUMIFS(Bookings!$AK$5:$AK$404,Bookings!$AL$5:$AL$404,B6,Bookings!$AM$5:$AM$404,"&lt;&gt;Cancelled"))</f>
        <v>0</v>
      </c>
      <c r="X6" s="29">
        <f>IF(B6="","",ROUND(IF(K6="Hourly",U6*IF(L6="",0,L6),IF(K6="Per visit",T6*IF(L6="",0,L6),IF(K6="Commission %",W6*IF(L6="",0,L6)/100,0))),2))</f>
        <v>0</v>
      </c>
      <c r="Y6" s="29">
        <f>IF(OR(U6="",U6=0),"",ROUND(W6/U6,2))</f>
        <v>0</v>
      </c>
      <c r="Z6" s="30">
        <f>IF(OR(S6="",S6=0),"",T6/S6)</f>
        <v>0</v>
      </c>
      <c r="AB6" s="49">
        <f>IF(B6="","",IF(O6="EXPIRED","Certificate expired",IF(LEFT(O6,6)="Due in","Certificate due",IF(P6="","Action - background check",IF(AND(H6="Active",S6=0),"No bookings assigned","OK")))))</f>
        <v>0</v>
      </c>
    </row>
    <row r="7" spans="1:28">
      <c r="A7" s="46">
        <f>IF(B7="","","ST-"&amp;TEXT(ROW()-4,"000"))</f>
        <v>0</v>
      </c>
      <c r="O7" s="49">
        <f>IF(N7="","",IF(N7&lt;TODAY(),"EXPIRED",IF(N7-TODAY()&lt;=ExpiryAlertDays,"Due in "&amp;TEXT(N7-TODAY(),"0")&amp;" days","Valid")))</f>
        <v>0</v>
      </c>
      <c r="S7" s="31">
        <f>IF(B7="","",COUNTIFS(Bookings!$AL$5:$AL$404,B7,Bookings!$AM$5:$AM$404,"&lt;&gt;Cancelled"))</f>
        <v>0</v>
      </c>
      <c r="T7" s="31">
        <f>IF(B7="","",COUNTIFS('Visit Log'!$G$5:$G$404,B7,'Visit Log'!$AE$5:$AE$404,"Completed"))</f>
        <v>0</v>
      </c>
      <c r="U7" s="51">
        <f>IF(B7="","",ROUND(SUMIFS('Visit Log'!$K$5:$K$404,'Visit Log'!$G$5:$G$404,B7,'Visit Log'!$AE$5:$AE$404,"Completed")/60,2))</f>
        <v>0</v>
      </c>
      <c r="V7" s="32">
        <f>IF(B7="","",SUMIFS(Mileage!$M$5:$M$304,Mileage!$C$5:$C$304,B7,Mileage!$N$5:$N$304,"Business"))</f>
        <v>0</v>
      </c>
      <c r="W7" s="29">
        <f>IF(B7="","",SUMIFS(Bookings!$AK$5:$AK$404,Bookings!$AL$5:$AL$404,B7,Bookings!$AM$5:$AM$404,"&lt;&gt;Cancelled"))</f>
        <v>0</v>
      </c>
      <c r="X7" s="29">
        <f>IF(B7="","",ROUND(IF(K7="Hourly",U7*IF(L7="",0,L7),IF(K7="Per visit",T7*IF(L7="",0,L7),IF(K7="Commission %",W7*IF(L7="",0,L7)/100,0))),2))</f>
        <v>0</v>
      </c>
      <c r="Y7" s="29">
        <f>IF(OR(U7="",U7=0),"",ROUND(W7/U7,2))</f>
        <v>0</v>
      </c>
      <c r="Z7" s="30">
        <f>IF(OR(S7="",S7=0),"",T7/S7)</f>
        <v>0</v>
      </c>
      <c r="AB7" s="49">
        <f>IF(B7="","",IF(O7="EXPIRED","Certificate expired",IF(LEFT(O7,6)="Due in","Certificate due",IF(P7="","Action - background check",IF(AND(H7="Active",S7=0),"No bookings assigned","OK")))))</f>
        <v>0</v>
      </c>
    </row>
    <row r="8" spans="1:28">
      <c r="A8" s="46">
        <f>IF(B8="","","ST-"&amp;TEXT(ROW()-4,"000"))</f>
        <v>0</v>
      </c>
      <c r="O8" s="49">
        <f>IF(N8="","",IF(N8&lt;TODAY(),"EXPIRED",IF(N8-TODAY()&lt;=ExpiryAlertDays,"Due in "&amp;TEXT(N8-TODAY(),"0")&amp;" days","Valid")))</f>
        <v>0</v>
      </c>
      <c r="S8" s="31">
        <f>IF(B8="","",COUNTIFS(Bookings!$AL$5:$AL$404,B8,Bookings!$AM$5:$AM$404,"&lt;&gt;Cancelled"))</f>
        <v>0</v>
      </c>
      <c r="T8" s="31">
        <f>IF(B8="","",COUNTIFS('Visit Log'!$G$5:$G$404,B8,'Visit Log'!$AE$5:$AE$404,"Completed"))</f>
        <v>0</v>
      </c>
      <c r="U8" s="51">
        <f>IF(B8="","",ROUND(SUMIFS('Visit Log'!$K$5:$K$404,'Visit Log'!$G$5:$G$404,B8,'Visit Log'!$AE$5:$AE$404,"Completed")/60,2))</f>
        <v>0</v>
      </c>
      <c r="V8" s="32">
        <f>IF(B8="","",SUMIFS(Mileage!$M$5:$M$304,Mileage!$C$5:$C$304,B8,Mileage!$N$5:$N$304,"Business"))</f>
        <v>0</v>
      </c>
      <c r="W8" s="29">
        <f>IF(B8="","",SUMIFS(Bookings!$AK$5:$AK$404,Bookings!$AL$5:$AL$404,B8,Bookings!$AM$5:$AM$404,"&lt;&gt;Cancelled"))</f>
        <v>0</v>
      </c>
      <c r="X8" s="29">
        <f>IF(B8="","",ROUND(IF(K8="Hourly",U8*IF(L8="",0,L8),IF(K8="Per visit",T8*IF(L8="",0,L8),IF(K8="Commission %",W8*IF(L8="",0,L8)/100,0))),2))</f>
        <v>0</v>
      </c>
      <c r="Y8" s="29">
        <f>IF(OR(U8="",U8=0),"",ROUND(W8/U8,2))</f>
        <v>0</v>
      </c>
      <c r="Z8" s="30">
        <f>IF(OR(S8="",S8=0),"",T8/S8)</f>
        <v>0</v>
      </c>
      <c r="AB8" s="49">
        <f>IF(B8="","",IF(O8="EXPIRED","Certificate expired",IF(LEFT(O8,6)="Due in","Certificate due",IF(P8="","Action - background check",IF(AND(H8="Active",S8=0),"No bookings assigned","OK")))))</f>
        <v>0</v>
      </c>
    </row>
    <row r="9" spans="1:28">
      <c r="A9" s="46">
        <f>IF(B9="","","ST-"&amp;TEXT(ROW()-4,"000"))</f>
        <v>0</v>
      </c>
      <c r="O9" s="49">
        <f>IF(N9="","",IF(N9&lt;TODAY(),"EXPIRED",IF(N9-TODAY()&lt;=ExpiryAlertDays,"Due in "&amp;TEXT(N9-TODAY(),"0")&amp;" days","Valid")))</f>
        <v>0</v>
      </c>
      <c r="S9" s="31">
        <f>IF(B9="","",COUNTIFS(Bookings!$AL$5:$AL$404,B9,Bookings!$AM$5:$AM$404,"&lt;&gt;Cancelled"))</f>
        <v>0</v>
      </c>
      <c r="T9" s="31">
        <f>IF(B9="","",COUNTIFS('Visit Log'!$G$5:$G$404,B9,'Visit Log'!$AE$5:$AE$404,"Completed"))</f>
        <v>0</v>
      </c>
      <c r="U9" s="51">
        <f>IF(B9="","",ROUND(SUMIFS('Visit Log'!$K$5:$K$404,'Visit Log'!$G$5:$G$404,B9,'Visit Log'!$AE$5:$AE$404,"Completed")/60,2))</f>
        <v>0</v>
      </c>
      <c r="V9" s="32">
        <f>IF(B9="","",SUMIFS(Mileage!$M$5:$M$304,Mileage!$C$5:$C$304,B9,Mileage!$N$5:$N$304,"Business"))</f>
        <v>0</v>
      </c>
      <c r="W9" s="29">
        <f>IF(B9="","",SUMIFS(Bookings!$AK$5:$AK$404,Bookings!$AL$5:$AL$404,B9,Bookings!$AM$5:$AM$404,"&lt;&gt;Cancelled"))</f>
        <v>0</v>
      </c>
      <c r="X9" s="29">
        <f>IF(B9="","",ROUND(IF(K9="Hourly",U9*IF(L9="",0,L9),IF(K9="Per visit",T9*IF(L9="",0,L9),IF(K9="Commission %",W9*IF(L9="",0,L9)/100,0))),2))</f>
        <v>0</v>
      </c>
      <c r="Y9" s="29">
        <f>IF(OR(U9="",U9=0),"",ROUND(W9/U9,2))</f>
        <v>0</v>
      </c>
      <c r="Z9" s="30">
        <f>IF(OR(S9="",S9=0),"",T9/S9)</f>
        <v>0</v>
      </c>
      <c r="AB9" s="49">
        <f>IF(B9="","",IF(O9="EXPIRED","Certificate expired",IF(LEFT(O9,6)="Due in","Certificate due",IF(P9="","Action - background check",IF(AND(H9="Active",S9=0),"No bookings assigned","OK")))))</f>
        <v>0</v>
      </c>
    </row>
    <row r="10" spans="1:28">
      <c r="A10" s="46">
        <f>IF(B10="","","ST-"&amp;TEXT(ROW()-4,"000"))</f>
        <v>0</v>
      </c>
      <c r="O10" s="49">
        <f>IF(N10="","",IF(N10&lt;TODAY(),"EXPIRED",IF(N10-TODAY()&lt;=ExpiryAlertDays,"Due in "&amp;TEXT(N10-TODAY(),"0")&amp;" days","Valid")))</f>
        <v>0</v>
      </c>
      <c r="S10" s="31">
        <f>IF(B10="","",COUNTIFS(Bookings!$AL$5:$AL$404,B10,Bookings!$AM$5:$AM$404,"&lt;&gt;Cancelled"))</f>
        <v>0</v>
      </c>
      <c r="T10" s="31">
        <f>IF(B10="","",COUNTIFS('Visit Log'!$G$5:$G$404,B10,'Visit Log'!$AE$5:$AE$404,"Completed"))</f>
        <v>0</v>
      </c>
      <c r="U10" s="51">
        <f>IF(B10="","",ROUND(SUMIFS('Visit Log'!$K$5:$K$404,'Visit Log'!$G$5:$G$404,B10,'Visit Log'!$AE$5:$AE$404,"Completed")/60,2))</f>
        <v>0</v>
      </c>
      <c r="V10" s="32">
        <f>IF(B10="","",SUMIFS(Mileage!$M$5:$M$304,Mileage!$C$5:$C$304,B10,Mileage!$N$5:$N$304,"Business"))</f>
        <v>0</v>
      </c>
      <c r="W10" s="29">
        <f>IF(B10="","",SUMIFS(Bookings!$AK$5:$AK$404,Bookings!$AL$5:$AL$404,B10,Bookings!$AM$5:$AM$404,"&lt;&gt;Cancelled"))</f>
        <v>0</v>
      </c>
      <c r="X10" s="29">
        <f>IF(B10="","",ROUND(IF(K10="Hourly",U10*IF(L10="",0,L10),IF(K10="Per visit",T10*IF(L10="",0,L10),IF(K10="Commission %",W10*IF(L10="",0,L10)/100,0))),2))</f>
        <v>0</v>
      </c>
      <c r="Y10" s="29">
        <f>IF(OR(U10="",U10=0),"",ROUND(W10/U10,2))</f>
        <v>0</v>
      </c>
      <c r="Z10" s="30">
        <f>IF(OR(S10="",S10=0),"",T10/S10)</f>
        <v>0</v>
      </c>
      <c r="AB10" s="49">
        <f>IF(B10="","",IF(O10="EXPIRED","Certificate expired",IF(LEFT(O10,6)="Due in","Certificate due",IF(P10="","Action - background check",IF(AND(H10="Active",S10=0),"No bookings assigned","OK")))))</f>
        <v>0</v>
      </c>
    </row>
    <row r="11" spans="1:28">
      <c r="A11" s="46">
        <f>IF(B11="","","ST-"&amp;TEXT(ROW()-4,"000"))</f>
        <v>0</v>
      </c>
      <c r="O11" s="49">
        <f>IF(N11="","",IF(N11&lt;TODAY(),"EXPIRED",IF(N11-TODAY()&lt;=ExpiryAlertDays,"Due in "&amp;TEXT(N11-TODAY(),"0")&amp;" days","Valid")))</f>
        <v>0</v>
      </c>
      <c r="S11" s="31">
        <f>IF(B11="","",COUNTIFS(Bookings!$AL$5:$AL$404,B11,Bookings!$AM$5:$AM$404,"&lt;&gt;Cancelled"))</f>
        <v>0</v>
      </c>
      <c r="T11" s="31">
        <f>IF(B11="","",COUNTIFS('Visit Log'!$G$5:$G$404,B11,'Visit Log'!$AE$5:$AE$404,"Completed"))</f>
        <v>0</v>
      </c>
      <c r="U11" s="51">
        <f>IF(B11="","",ROUND(SUMIFS('Visit Log'!$K$5:$K$404,'Visit Log'!$G$5:$G$404,B11,'Visit Log'!$AE$5:$AE$404,"Completed")/60,2))</f>
        <v>0</v>
      </c>
      <c r="V11" s="32">
        <f>IF(B11="","",SUMIFS(Mileage!$M$5:$M$304,Mileage!$C$5:$C$304,B11,Mileage!$N$5:$N$304,"Business"))</f>
        <v>0</v>
      </c>
      <c r="W11" s="29">
        <f>IF(B11="","",SUMIFS(Bookings!$AK$5:$AK$404,Bookings!$AL$5:$AL$404,B11,Bookings!$AM$5:$AM$404,"&lt;&gt;Cancelled"))</f>
        <v>0</v>
      </c>
      <c r="X11" s="29">
        <f>IF(B11="","",ROUND(IF(K11="Hourly",U11*IF(L11="",0,L11),IF(K11="Per visit",T11*IF(L11="",0,L11),IF(K11="Commission %",W11*IF(L11="",0,L11)/100,0))),2))</f>
        <v>0</v>
      </c>
      <c r="Y11" s="29">
        <f>IF(OR(U11="",U11=0),"",ROUND(W11/U11,2))</f>
        <v>0</v>
      </c>
      <c r="Z11" s="30">
        <f>IF(OR(S11="",S11=0),"",T11/S11)</f>
        <v>0</v>
      </c>
      <c r="AB11" s="49">
        <f>IF(B11="","",IF(O11="EXPIRED","Certificate expired",IF(LEFT(O11,6)="Due in","Certificate due",IF(P11="","Action - background check",IF(AND(H11="Active",S11=0),"No bookings assigned","OK")))))</f>
        <v>0</v>
      </c>
    </row>
    <row r="12" spans="1:28">
      <c r="A12" s="46">
        <f>IF(B12="","","ST-"&amp;TEXT(ROW()-4,"000"))</f>
        <v>0</v>
      </c>
      <c r="O12" s="49">
        <f>IF(N12="","",IF(N12&lt;TODAY(),"EXPIRED",IF(N12-TODAY()&lt;=ExpiryAlertDays,"Due in "&amp;TEXT(N12-TODAY(),"0")&amp;" days","Valid")))</f>
        <v>0</v>
      </c>
      <c r="S12" s="31">
        <f>IF(B12="","",COUNTIFS(Bookings!$AL$5:$AL$404,B12,Bookings!$AM$5:$AM$404,"&lt;&gt;Cancelled"))</f>
        <v>0</v>
      </c>
      <c r="T12" s="31">
        <f>IF(B12="","",COUNTIFS('Visit Log'!$G$5:$G$404,B12,'Visit Log'!$AE$5:$AE$404,"Completed"))</f>
        <v>0</v>
      </c>
      <c r="U12" s="51">
        <f>IF(B12="","",ROUND(SUMIFS('Visit Log'!$K$5:$K$404,'Visit Log'!$G$5:$G$404,B12,'Visit Log'!$AE$5:$AE$404,"Completed")/60,2))</f>
        <v>0</v>
      </c>
      <c r="V12" s="32">
        <f>IF(B12="","",SUMIFS(Mileage!$M$5:$M$304,Mileage!$C$5:$C$304,B12,Mileage!$N$5:$N$304,"Business"))</f>
        <v>0</v>
      </c>
      <c r="W12" s="29">
        <f>IF(B12="","",SUMIFS(Bookings!$AK$5:$AK$404,Bookings!$AL$5:$AL$404,B12,Bookings!$AM$5:$AM$404,"&lt;&gt;Cancelled"))</f>
        <v>0</v>
      </c>
      <c r="X12" s="29">
        <f>IF(B12="","",ROUND(IF(K12="Hourly",U12*IF(L12="",0,L12),IF(K12="Per visit",T12*IF(L12="",0,L12),IF(K12="Commission %",W12*IF(L12="",0,L12)/100,0))),2))</f>
        <v>0</v>
      </c>
      <c r="Y12" s="29">
        <f>IF(OR(U12="",U12=0),"",ROUND(W12/U12,2))</f>
        <v>0</v>
      </c>
      <c r="Z12" s="30">
        <f>IF(OR(S12="",S12=0),"",T12/S12)</f>
        <v>0</v>
      </c>
      <c r="AB12" s="49">
        <f>IF(B12="","",IF(O12="EXPIRED","Certificate expired",IF(LEFT(O12,6)="Due in","Certificate due",IF(P12="","Action - background check",IF(AND(H12="Active",S12=0),"No bookings assigned","OK")))))</f>
        <v>0</v>
      </c>
    </row>
    <row r="13" spans="1:28">
      <c r="A13" s="46">
        <f>IF(B13="","","ST-"&amp;TEXT(ROW()-4,"000"))</f>
        <v>0</v>
      </c>
      <c r="O13" s="49">
        <f>IF(N13="","",IF(N13&lt;TODAY(),"EXPIRED",IF(N13-TODAY()&lt;=ExpiryAlertDays,"Due in "&amp;TEXT(N13-TODAY(),"0")&amp;" days","Valid")))</f>
        <v>0</v>
      </c>
      <c r="S13" s="31">
        <f>IF(B13="","",COUNTIFS(Bookings!$AL$5:$AL$404,B13,Bookings!$AM$5:$AM$404,"&lt;&gt;Cancelled"))</f>
        <v>0</v>
      </c>
      <c r="T13" s="31">
        <f>IF(B13="","",COUNTIFS('Visit Log'!$G$5:$G$404,B13,'Visit Log'!$AE$5:$AE$404,"Completed"))</f>
        <v>0</v>
      </c>
      <c r="U13" s="51">
        <f>IF(B13="","",ROUND(SUMIFS('Visit Log'!$K$5:$K$404,'Visit Log'!$G$5:$G$404,B13,'Visit Log'!$AE$5:$AE$404,"Completed")/60,2))</f>
        <v>0</v>
      </c>
      <c r="V13" s="32">
        <f>IF(B13="","",SUMIFS(Mileage!$M$5:$M$304,Mileage!$C$5:$C$304,B13,Mileage!$N$5:$N$304,"Business"))</f>
        <v>0</v>
      </c>
      <c r="W13" s="29">
        <f>IF(B13="","",SUMIFS(Bookings!$AK$5:$AK$404,Bookings!$AL$5:$AL$404,B13,Bookings!$AM$5:$AM$404,"&lt;&gt;Cancelled"))</f>
        <v>0</v>
      </c>
      <c r="X13" s="29">
        <f>IF(B13="","",ROUND(IF(K13="Hourly",U13*IF(L13="",0,L13),IF(K13="Per visit",T13*IF(L13="",0,L13),IF(K13="Commission %",W13*IF(L13="",0,L13)/100,0))),2))</f>
        <v>0</v>
      </c>
      <c r="Y13" s="29">
        <f>IF(OR(U13="",U13=0),"",ROUND(W13/U13,2))</f>
        <v>0</v>
      </c>
      <c r="Z13" s="30">
        <f>IF(OR(S13="",S13=0),"",T13/S13)</f>
        <v>0</v>
      </c>
      <c r="AB13" s="49">
        <f>IF(B13="","",IF(O13="EXPIRED","Certificate expired",IF(LEFT(O13,6)="Due in","Certificate due",IF(P13="","Action - background check",IF(AND(H13="Active",S13=0),"No bookings assigned","OK")))))</f>
        <v>0</v>
      </c>
    </row>
    <row r="14" spans="1:28">
      <c r="A14" s="46">
        <f>IF(B14="","","ST-"&amp;TEXT(ROW()-4,"000"))</f>
        <v>0</v>
      </c>
      <c r="O14" s="49">
        <f>IF(N14="","",IF(N14&lt;TODAY(),"EXPIRED",IF(N14-TODAY()&lt;=ExpiryAlertDays,"Due in "&amp;TEXT(N14-TODAY(),"0")&amp;" days","Valid")))</f>
        <v>0</v>
      </c>
      <c r="S14" s="31">
        <f>IF(B14="","",COUNTIFS(Bookings!$AL$5:$AL$404,B14,Bookings!$AM$5:$AM$404,"&lt;&gt;Cancelled"))</f>
        <v>0</v>
      </c>
      <c r="T14" s="31">
        <f>IF(B14="","",COUNTIFS('Visit Log'!$G$5:$G$404,B14,'Visit Log'!$AE$5:$AE$404,"Completed"))</f>
        <v>0</v>
      </c>
      <c r="U14" s="51">
        <f>IF(B14="","",ROUND(SUMIFS('Visit Log'!$K$5:$K$404,'Visit Log'!$G$5:$G$404,B14,'Visit Log'!$AE$5:$AE$404,"Completed")/60,2))</f>
        <v>0</v>
      </c>
      <c r="V14" s="32">
        <f>IF(B14="","",SUMIFS(Mileage!$M$5:$M$304,Mileage!$C$5:$C$304,B14,Mileage!$N$5:$N$304,"Business"))</f>
        <v>0</v>
      </c>
      <c r="W14" s="29">
        <f>IF(B14="","",SUMIFS(Bookings!$AK$5:$AK$404,Bookings!$AL$5:$AL$404,B14,Bookings!$AM$5:$AM$404,"&lt;&gt;Cancelled"))</f>
        <v>0</v>
      </c>
      <c r="X14" s="29">
        <f>IF(B14="","",ROUND(IF(K14="Hourly",U14*IF(L14="",0,L14),IF(K14="Per visit",T14*IF(L14="",0,L14),IF(K14="Commission %",W14*IF(L14="",0,L14)/100,0))),2))</f>
        <v>0</v>
      </c>
      <c r="Y14" s="29">
        <f>IF(OR(U14="",U14=0),"",ROUND(W14/U14,2))</f>
        <v>0</v>
      </c>
      <c r="Z14" s="30">
        <f>IF(OR(S14="",S14=0),"",T14/S14)</f>
        <v>0</v>
      </c>
      <c r="AB14" s="49">
        <f>IF(B14="","",IF(O14="EXPIRED","Certificate expired",IF(LEFT(O14,6)="Due in","Certificate due",IF(P14="","Action - background check",IF(AND(H14="Active",S14=0),"No bookings assigned","OK")))))</f>
        <v>0</v>
      </c>
    </row>
    <row r="15" spans="1:28">
      <c r="A15" s="46">
        <f>IF(B15="","","ST-"&amp;TEXT(ROW()-4,"000"))</f>
        <v>0</v>
      </c>
      <c r="O15" s="49">
        <f>IF(N15="","",IF(N15&lt;TODAY(),"EXPIRED",IF(N15-TODAY()&lt;=ExpiryAlertDays,"Due in "&amp;TEXT(N15-TODAY(),"0")&amp;" days","Valid")))</f>
        <v>0</v>
      </c>
      <c r="S15" s="31">
        <f>IF(B15="","",COUNTIFS(Bookings!$AL$5:$AL$404,B15,Bookings!$AM$5:$AM$404,"&lt;&gt;Cancelled"))</f>
        <v>0</v>
      </c>
      <c r="T15" s="31">
        <f>IF(B15="","",COUNTIFS('Visit Log'!$G$5:$G$404,B15,'Visit Log'!$AE$5:$AE$404,"Completed"))</f>
        <v>0</v>
      </c>
      <c r="U15" s="51">
        <f>IF(B15="","",ROUND(SUMIFS('Visit Log'!$K$5:$K$404,'Visit Log'!$G$5:$G$404,B15,'Visit Log'!$AE$5:$AE$404,"Completed")/60,2))</f>
        <v>0</v>
      </c>
      <c r="V15" s="32">
        <f>IF(B15="","",SUMIFS(Mileage!$M$5:$M$304,Mileage!$C$5:$C$304,B15,Mileage!$N$5:$N$304,"Business"))</f>
        <v>0</v>
      </c>
      <c r="W15" s="29">
        <f>IF(B15="","",SUMIFS(Bookings!$AK$5:$AK$404,Bookings!$AL$5:$AL$404,B15,Bookings!$AM$5:$AM$404,"&lt;&gt;Cancelled"))</f>
        <v>0</v>
      </c>
      <c r="X15" s="29">
        <f>IF(B15="","",ROUND(IF(K15="Hourly",U15*IF(L15="",0,L15),IF(K15="Per visit",T15*IF(L15="",0,L15),IF(K15="Commission %",W15*IF(L15="",0,L15)/100,0))),2))</f>
        <v>0</v>
      </c>
      <c r="Y15" s="29">
        <f>IF(OR(U15="",U15=0),"",ROUND(W15/U15,2))</f>
        <v>0</v>
      </c>
      <c r="Z15" s="30">
        <f>IF(OR(S15="",S15=0),"",T15/S15)</f>
        <v>0</v>
      </c>
      <c r="AB15" s="49">
        <f>IF(B15="","",IF(O15="EXPIRED","Certificate expired",IF(LEFT(O15,6)="Due in","Certificate due",IF(P15="","Action - background check",IF(AND(H15="Active",S15=0),"No bookings assigned","OK")))))</f>
        <v>0</v>
      </c>
    </row>
    <row r="16" spans="1:28">
      <c r="A16" s="46">
        <f>IF(B16="","","ST-"&amp;TEXT(ROW()-4,"000"))</f>
        <v>0</v>
      </c>
      <c r="O16" s="49">
        <f>IF(N16="","",IF(N16&lt;TODAY(),"EXPIRED",IF(N16-TODAY()&lt;=ExpiryAlertDays,"Due in "&amp;TEXT(N16-TODAY(),"0")&amp;" days","Valid")))</f>
        <v>0</v>
      </c>
      <c r="S16" s="31">
        <f>IF(B16="","",COUNTIFS(Bookings!$AL$5:$AL$404,B16,Bookings!$AM$5:$AM$404,"&lt;&gt;Cancelled"))</f>
        <v>0</v>
      </c>
      <c r="T16" s="31">
        <f>IF(B16="","",COUNTIFS('Visit Log'!$G$5:$G$404,B16,'Visit Log'!$AE$5:$AE$404,"Completed"))</f>
        <v>0</v>
      </c>
      <c r="U16" s="51">
        <f>IF(B16="","",ROUND(SUMIFS('Visit Log'!$K$5:$K$404,'Visit Log'!$G$5:$G$404,B16,'Visit Log'!$AE$5:$AE$404,"Completed")/60,2))</f>
        <v>0</v>
      </c>
      <c r="V16" s="32">
        <f>IF(B16="","",SUMIFS(Mileage!$M$5:$M$304,Mileage!$C$5:$C$304,B16,Mileage!$N$5:$N$304,"Business"))</f>
        <v>0</v>
      </c>
      <c r="W16" s="29">
        <f>IF(B16="","",SUMIFS(Bookings!$AK$5:$AK$404,Bookings!$AL$5:$AL$404,B16,Bookings!$AM$5:$AM$404,"&lt;&gt;Cancelled"))</f>
        <v>0</v>
      </c>
      <c r="X16" s="29">
        <f>IF(B16="","",ROUND(IF(K16="Hourly",U16*IF(L16="",0,L16),IF(K16="Per visit",T16*IF(L16="",0,L16),IF(K16="Commission %",W16*IF(L16="",0,L16)/100,0))),2))</f>
        <v>0</v>
      </c>
      <c r="Y16" s="29">
        <f>IF(OR(U16="",U16=0),"",ROUND(W16/U16,2))</f>
        <v>0</v>
      </c>
      <c r="Z16" s="30">
        <f>IF(OR(S16="",S16=0),"",T16/S16)</f>
        <v>0</v>
      </c>
      <c r="AB16" s="49">
        <f>IF(B16="","",IF(O16="EXPIRED","Certificate expired",IF(LEFT(O16,6)="Due in","Certificate due",IF(P16="","Action - background check",IF(AND(H16="Active",S16=0),"No bookings assigned","OK")))))</f>
        <v>0</v>
      </c>
    </row>
    <row r="17" spans="1:28">
      <c r="A17" s="46">
        <f>IF(B17="","","ST-"&amp;TEXT(ROW()-4,"000"))</f>
        <v>0</v>
      </c>
      <c r="O17" s="49">
        <f>IF(N17="","",IF(N17&lt;TODAY(),"EXPIRED",IF(N17-TODAY()&lt;=ExpiryAlertDays,"Due in "&amp;TEXT(N17-TODAY(),"0")&amp;" days","Valid")))</f>
        <v>0</v>
      </c>
      <c r="S17" s="31">
        <f>IF(B17="","",COUNTIFS(Bookings!$AL$5:$AL$404,B17,Bookings!$AM$5:$AM$404,"&lt;&gt;Cancelled"))</f>
        <v>0</v>
      </c>
      <c r="T17" s="31">
        <f>IF(B17="","",COUNTIFS('Visit Log'!$G$5:$G$404,B17,'Visit Log'!$AE$5:$AE$404,"Completed"))</f>
        <v>0</v>
      </c>
      <c r="U17" s="51">
        <f>IF(B17="","",ROUND(SUMIFS('Visit Log'!$K$5:$K$404,'Visit Log'!$G$5:$G$404,B17,'Visit Log'!$AE$5:$AE$404,"Completed")/60,2))</f>
        <v>0</v>
      </c>
      <c r="V17" s="32">
        <f>IF(B17="","",SUMIFS(Mileage!$M$5:$M$304,Mileage!$C$5:$C$304,B17,Mileage!$N$5:$N$304,"Business"))</f>
        <v>0</v>
      </c>
      <c r="W17" s="29">
        <f>IF(B17="","",SUMIFS(Bookings!$AK$5:$AK$404,Bookings!$AL$5:$AL$404,B17,Bookings!$AM$5:$AM$404,"&lt;&gt;Cancelled"))</f>
        <v>0</v>
      </c>
      <c r="X17" s="29">
        <f>IF(B17="","",ROUND(IF(K17="Hourly",U17*IF(L17="",0,L17),IF(K17="Per visit",T17*IF(L17="",0,L17),IF(K17="Commission %",W17*IF(L17="",0,L17)/100,0))),2))</f>
        <v>0</v>
      </c>
      <c r="Y17" s="29">
        <f>IF(OR(U17="",U17=0),"",ROUND(W17/U17,2))</f>
        <v>0</v>
      </c>
      <c r="Z17" s="30">
        <f>IF(OR(S17="",S17=0),"",T17/S17)</f>
        <v>0</v>
      </c>
      <c r="AB17" s="49">
        <f>IF(B17="","",IF(O17="EXPIRED","Certificate expired",IF(LEFT(O17,6)="Due in","Certificate due",IF(P17="","Action - background check",IF(AND(H17="Active",S17=0),"No bookings assigned","OK")))))</f>
        <v>0</v>
      </c>
    </row>
    <row r="18" spans="1:28">
      <c r="A18" s="46">
        <f>IF(B18="","","ST-"&amp;TEXT(ROW()-4,"000"))</f>
        <v>0</v>
      </c>
      <c r="O18" s="49">
        <f>IF(N18="","",IF(N18&lt;TODAY(),"EXPIRED",IF(N18-TODAY()&lt;=ExpiryAlertDays,"Due in "&amp;TEXT(N18-TODAY(),"0")&amp;" days","Valid")))</f>
        <v>0</v>
      </c>
      <c r="S18" s="31">
        <f>IF(B18="","",COUNTIFS(Bookings!$AL$5:$AL$404,B18,Bookings!$AM$5:$AM$404,"&lt;&gt;Cancelled"))</f>
        <v>0</v>
      </c>
      <c r="T18" s="31">
        <f>IF(B18="","",COUNTIFS('Visit Log'!$G$5:$G$404,B18,'Visit Log'!$AE$5:$AE$404,"Completed"))</f>
        <v>0</v>
      </c>
      <c r="U18" s="51">
        <f>IF(B18="","",ROUND(SUMIFS('Visit Log'!$K$5:$K$404,'Visit Log'!$G$5:$G$404,B18,'Visit Log'!$AE$5:$AE$404,"Completed")/60,2))</f>
        <v>0</v>
      </c>
      <c r="V18" s="32">
        <f>IF(B18="","",SUMIFS(Mileage!$M$5:$M$304,Mileage!$C$5:$C$304,B18,Mileage!$N$5:$N$304,"Business"))</f>
        <v>0</v>
      </c>
      <c r="W18" s="29">
        <f>IF(B18="","",SUMIFS(Bookings!$AK$5:$AK$404,Bookings!$AL$5:$AL$404,B18,Bookings!$AM$5:$AM$404,"&lt;&gt;Cancelled"))</f>
        <v>0</v>
      </c>
      <c r="X18" s="29">
        <f>IF(B18="","",ROUND(IF(K18="Hourly",U18*IF(L18="",0,L18),IF(K18="Per visit",T18*IF(L18="",0,L18),IF(K18="Commission %",W18*IF(L18="",0,L18)/100,0))),2))</f>
        <v>0</v>
      </c>
      <c r="Y18" s="29">
        <f>IF(OR(U18="",U18=0),"",ROUND(W18/U18,2))</f>
        <v>0</v>
      </c>
      <c r="Z18" s="30">
        <f>IF(OR(S18="",S18=0),"",T18/S18)</f>
        <v>0</v>
      </c>
      <c r="AB18" s="49">
        <f>IF(B18="","",IF(O18="EXPIRED","Certificate expired",IF(LEFT(O18,6)="Due in","Certificate due",IF(P18="","Action - background check",IF(AND(H18="Active",S18=0),"No bookings assigned","OK")))))</f>
        <v>0</v>
      </c>
    </row>
    <row r="19" spans="1:28">
      <c r="A19" s="46">
        <f>IF(B19="","","ST-"&amp;TEXT(ROW()-4,"000"))</f>
        <v>0</v>
      </c>
      <c r="O19" s="49">
        <f>IF(N19="","",IF(N19&lt;TODAY(),"EXPIRED",IF(N19-TODAY()&lt;=ExpiryAlertDays,"Due in "&amp;TEXT(N19-TODAY(),"0")&amp;" days","Valid")))</f>
        <v>0</v>
      </c>
      <c r="S19" s="31">
        <f>IF(B19="","",COUNTIFS(Bookings!$AL$5:$AL$404,B19,Bookings!$AM$5:$AM$404,"&lt;&gt;Cancelled"))</f>
        <v>0</v>
      </c>
      <c r="T19" s="31">
        <f>IF(B19="","",COUNTIFS('Visit Log'!$G$5:$G$404,B19,'Visit Log'!$AE$5:$AE$404,"Completed"))</f>
        <v>0</v>
      </c>
      <c r="U19" s="51">
        <f>IF(B19="","",ROUND(SUMIFS('Visit Log'!$K$5:$K$404,'Visit Log'!$G$5:$G$404,B19,'Visit Log'!$AE$5:$AE$404,"Completed")/60,2))</f>
        <v>0</v>
      </c>
      <c r="V19" s="32">
        <f>IF(B19="","",SUMIFS(Mileage!$M$5:$M$304,Mileage!$C$5:$C$304,B19,Mileage!$N$5:$N$304,"Business"))</f>
        <v>0</v>
      </c>
      <c r="W19" s="29">
        <f>IF(B19="","",SUMIFS(Bookings!$AK$5:$AK$404,Bookings!$AL$5:$AL$404,B19,Bookings!$AM$5:$AM$404,"&lt;&gt;Cancelled"))</f>
        <v>0</v>
      </c>
      <c r="X19" s="29">
        <f>IF(B19="","",ROUND(IF(K19="Hourly",U19*IF(L19="",0,L19),IF(K19="Per visit",T19*IF(L19="",0,L19),IF(K19="Commission %",W19*IF(L19="",0,L19)/100,0))),2))</f>
        <v>0</v>
      </c>
      <c r="Y19" s="29">
        <f>IF(OR(U19="",U19=0),"",ROUND(W19/U19,2))</f>
        <v>0</v>
      </c>
      <c r="Z19" s="30">
        <f>IF(OR(S19="",S19=0),"",T19/S19)</f>
        <v>0</v>
      </c>
      <c r="AB19" s="49">
        <f>IF(B19="","",IF(O19="EXPIRED","Certificate expired",IF(LEFT(O19,6)="Due in","Certificate due",IF(P19="","Action - background check",IF(AND(H19="Active",S19=0),"No bookings assigned","OK")))))</f>
        <v>0</v>
      </c>
    </row>
    <row r="20" spans="1:28">
      <c r="A20" s="46">
        <f>IF(B20="","","ST-"&amp;TEXT(ROW()-4,"000"))</f>
        <v>0</v>
      </c>
      <c r="O20" s="49">
        <f>IF(N20="","",IF(N20&lt;TODAY(),"EXPIRED",IF(N20-TODAY()&lt;=ExpiryAlertDays,"Due in "&amp;TEXT(N20-TODAY(),"0")&amp;" days","Valid")))</f>
        <v>0</v>
      </c>
      <c r="S20" s="31">
        <f>IF(B20="","",COUNTIFS(Bookings!$AL$5:$AL$404,B20,Bookings!$AM$5:$AM$404,"&lt;&gt;Cancelled"))</f>
        <v>0</v>
      </c>
      <c r="T20" s="31">
        <f>IF(B20="","",COUNTIFS('Visit Log'!$G$5:$G$404,B20,'Visit Log'!$AE$5:$AE$404,"Completed"))</f>
        <v>0</v>
      </c>
      <c r="U20" s="51">
        <f>IF(B20="","",ROUND(SUMIFS('Visit Log'!$K$5:$K$404,'Visit Log'!$G$5:$G$404,B20,'Visit Log'!$AE$5:$AE$404,"Completed")/60,2))</f>
        <v>0</v>
      </c>
      <c r="V20" s="32">
        <f>IF(B20="","",SUMIFS(Mileage!$M$5:$M$304,Mileage!$C$5:$C$304,B20,Mileage!$N$5:$N$304,"Business"))</f>
        <v>0</v>
      </c>
      <c r="W20" s="29">
        <f>IF(B20="","",SUMIFS(Bookings!$AK$5:$AK$404,Bookings!$AL$5:$AL$404,B20,Bookings!$AM$5:$AM$404,"&lt;&gt;Cancelled"))</f>
        <v>0</v>
      </c>
      <c r="X20" s="29">
        <f>IF(B20="","",ROUND(IF(K20="Hourly",U20*IF(L20="",0,L20),IF(K20="Per visit",T20*IF(L20="",0,L20),IF(K20="Commission %",W20*IF(L20="",0,L20)/100,0))),2))</f>
        <v>0</v>
      </c>
      <c r="Y20" s="29">
        <f>IF(OR(U20="",U20=0),"",ROUND(W20/U20,2))</f>
        <v>0</v>
      </c>
      <c r="Z20" s="30">
        <f>IF(OR(S20="",S20=0),"",T20/S20)</f>
        <v>0</v>
      </c>
      <c r="AB20" s="49">
        <f>IF(B20="","",IF(O20="EXPIRED","Certificate expired",IF(LEFT(O20,6)="Due in","Certificate due",IF(P20="","Action - background check",IF(AND(H20="Active",S20=0),"No bookings assigned","OK")))))</f>
        <v>0</v>
      </c>
    </row>
    <row r="21" spans="1:28">
      <c r="A21" s="46">
        <f>IF(B21="","","ST-"&amp;TEXT(ROW()-4,"000"))</f>
        <v>0</v>
      </c>
      <c r="O21" s="49">
        <f>IF(N21="","",IF(N21&lt;TODAY(),"EXPIRED",IF(N21-TODAY()&lt;=ExpiryAlertDays,"Due in "&amp;TEXT(N21-TODAY(),"0")&amp;" days","Valid")))</f>
        <v>0</v>
      </c>
      <c r="S21" s="31">
        <f>IF(B21="","",COUNTIFS(Bookings!$AL$5:$AL$404,B21,Bookings!$AM$5:$AM$404,"&lt;&gt;Cancelled"))</f>
        <v>0</v>
      </c>
      <c r="T21" s="31">
        <f>IF(B21="","",COUNTIFS('Visit Log'!$G$5:$G$404,B21,'Visit Log'!$AE$5:$AE$404,"Completed"))</f>
        <v>0</v>
      </c>
      <c r="U21" s="51">
        <f>IF(B21="","",ROUND(SUMIFS('Visit Log'!$K$5:$K$404,'Visit Log'!$G$5:$G$404,B21,'Visit Log'!$AE$5:$AE$404,"Completed")/60,2))</f>
        <v>0</v>
      </c>
      <c r="V21" s="32">
        <f>IF(B21="","",SUMIFS(Mileage!$M$5:$M$304,Mileage!$C$5:$C$304,B21,Mileage!$N$5:$N$304,"Business"))</f>
        <v>0</v>
      </c>
      <c r="W21" s="29">
        <f>IF(B21="","",SUMIFS(Bookings!$AK$5:$AK$404,Bookings!$AL$5:$AL$404,B21,Bookings!$AM$5:$AM$404,"&lt;&gt;Cancelled"))</f>
        <v>0</v>
      </c>
      <c r="X21" s="29">
        <f>IF(B21="","",ROUND(IF(K21="Hourly",U21*IF(L21="",0,L21),IF(K21="Per visit",T21*IF(L21="",0,L21),IF(K21="Commission %",W21*IF(L21="",0,L21)/100,0))),2))</f>
        <v>0</v>
      </c>
      <c r="Y21" s="29">
        <f>IF(OR(U21="",U21=0),"",ROUND(W21/U21,2))</f>
        <v>0</v>
      </c>
      <c r="Z21" s="30">
        <f>IF(OR(S21="",S21=0),"",T21/S21)</f>
        <v>0</v>
      </c>
      <c r="AB21" s="49">
        <f>IF(B21="","",IF(O21="EXPIRED","Certificate expired",IF(LEFT(O21,6)="Due in","Certificate due",IF(P21="","Action - background check",IF(AND(H21="Active",S21=0),"No bookings assigned","OK")))))</f>
        <v>0</v>
      </c>
    </row>
    <row r="22" spans="1:28">
      <c r="A22" s="46">
        <f>IF(B22="","","ST-"&amp;TEXT(ROW()-4,"000"))</f>
        <v>0</v>
      </c>
      <c r="O22" s="49">
        <f>IF(N22="","",IF(N22&lt;TODAY(),"EXPIRED",IF(N22-TODAY()&lt;=ExpiryAlertDays,"Due in "&amp;TEXT(N22-TODAY(),"0")&amp;" days","Valid")))</f>
        <v>0</v>
      </c>
      <c r="S22" s="31">
        <f>IF(B22="","",COUNTIFS(Bookings!$AL$5:$AL$404,B22,Bookings!$AM$5:$AM$404,"&lt;&gt;Cancelled"))</f>
        <v>0</v>
      </c>
      <c r="T22" s="31">
        <f>IF(B22="","",COUNTIFS('Visit Log'!$G$5:$G$404,B22,'Visit Log'!$AE$5:$AE$404,"Completed"))</f>
        <v>0</v>
      </c>
      <c r="U22" s="51">
        <f>IF(B22="","",ROUND(SUMIFS('Visit Log'!$K$5:$K$404,'Visit Log'!$G$5:$G$404,B22,'Visit Log'!$AE$5:$AE$404,"Completed")/60,2))</f>
        <v>0</v>
      </c>
      <c r="V22" s="32">
        <f>IF(B22="","",SUMIFS(Mileage!$M$5:$M$304,Mileage!$C$5:$C$304,B22,Mileage!$N$5:$N$304,"Business"))</f>
        <v>0</v>
      </c>
      <c r="W22" s="29">
        <f>IF(B22="","",SUMIFS(Bookings!$AK$5:$AK$404,Bookings!$AL$5:$AL$404,B22,Bookings!$AM$5:$AM$404,"&lt;&gt;Cancelled"))</f>
        <v>0</v>
      </c>
      <c r="X22" s="29">
        <f>IF(B22="","",ROUND(IF(K22="Hourly",U22*IF(L22="",0,L22),IF(K22="Per visit",T22*IF(L22="",0,L22),IF(K22="Commission %",W22*IF(L22="",0,L22)/100,0))),2))</f>
        <v>0</v>
      </c>
      <c r="Y22" s="29">
        <f>IF(OR(U22="",U22=0),"",ROUND(W22/U22,2))</f>
        <v>0</v>
      </c>
      <c r="Z22" s="30">
        <f>IF(OR(S22="",S22=0),"",T22/S22)</f>
        <v>0</v>
      </c>
      <c r="AB22" s="49">
        <f>IF(B22="","",IF(O22="EXPIRED","Certificate expired",IF(LEFT(O22,6)="Due in","Certificate due",IF(P22="","Action - background check",IF(AND(H22="Active",S22=0),"No bookings assigned","OK")))))</f>
        <v>0</v>
      </c>
    </row>
    <row r="23" spans="1:28">
      <c r="A23" s="46">
        <f>IF(B23="","","ST-"&amp;TEXT(ROW()-4,"000"))</f>
        <v>0</v>
      </c>
      <c r="O23" s="49">
        <f>IF(N23="","",IF(N23&lt;TODAY(),"EXPIRED",IF(N23-TODAY()&lt;=ExpiryAlertDays,"Due in "&amp;TEXT(N23-TODAY(),"0")&amp;" days","Valid")))</f>
        <v>0</v>
      </c>
      <c r="S23" s="31">
        <f>IF(B23="","",COUNTIFS(Bookings!$AL$5:$AL$404,B23,Bookings!$AM$5:$AM$404,"&lt;&gt;Cancelled"))</f>
        <v>0</v>
      </c>
      <c r="T23" s="31">
        <f>IF(B23="","",COUNTIFS('Visit Log'!$G$5:$G$404,B23,'Visit Log'!$AE$5:$AE$404,"Completed"))</f>
        <v>0</v>
      </c>
      <c r="U23" s="51">
        <f>IF(B23="","",ROUND(SUMIFS('Visit Log'!$K$5:$K$404,'Visit Log'!$G$5:$G$404,B23,'Visit Log'!$AE$5:$AE$404,"Completed")/60,2))</f>
        <v>0</v>
      </c>
      <c r="V23" s="32">
        <f>IF(B23="","",SUMIFS(Mileage!$M$5:$M$304,Mileage!$C$5:$C$304,B23,Mileage!$N$5:$N$304,"Business"))</f>
        <v>0</v>
      </c>
      <c r="W23" s="29">
        <f>IF(B23="","",SUMIFS(Bookings!$AK$5:$AK$404,Bookings!$AL$5:$AL$404,B23,Bookings!$AM$5:$AM$404,"&lt;&gt;Cancelled"))</f>
        <v>0</v>
      </c>
      <c r="X23" s="29">
        <f>IF(B23="","",ROUND(IF(K23="Hourly",U23*IF(L23="",0,L23),IF(K23="Per visit",T23*IF(L23="",0,L23),IF(K23="Commission %",W23*IF(L23="",0,L23)/100,0))),2))</f>
        <v>0</v>
      </c>
      <c r="Y23" s="29">
        <f>IF(OR(U23="",U23=0),"",ROUND(W23/U23,2))</f>
        <v>0</v>
      </c>
      <c r="Z23" s="30">
        <f>IF(OR(S23="",S23=0),"",T23/S23)</f>
        <v>0</v>
      </c>
      <c r="AB23" s="49">
        <f>IF(B23="","",IF(O23="EXPIRED","Certificate expired",IF(LEFT(O23,6)="Due in","Certificate due",IF(P23="","Action - background check",IF(AND(H23="Active",S23=0),"No bookings assigned","OK")))))</f>
        <v>0</v>
      </c>
    </row>
    <row r="24" spans="1:28">
      <c r="A24" s="46">
        <f>IF(B24="","","ST-"&amp;TEXT(ROW()-4,"000"))</f>
        <v>0</v>
      </c>
      <c r="O24" s="49">
        <f>IF(N24="","",IF(N24&lt;TODAY(),"EXPIRED",IF(N24-TODAY()&lt;=ExpiryAlertDays,"Due in "&amp;TEXT(N24-TODAY(),"0")&amp;" days","Valid")))</f>
        <v>0</v>
      </c>
      <c r="S24" s="31">
        <f>IF(B24="","",COUNTIFS(Bookings!$AL$5:$AL$404,B24,Bookings!$AM$5:$AM$404,"&lt;&gt;Cancelled"))</f>
        <v>0</v>
      </c>
      <c r="T24" s="31">
        <f>IF(B24="","",COUNTIFS('Visit Log'!$G$5:$G$404,B24,'Visit Log'!$AE$5:$AE$404,"Completed"))</f>
        <v>0</v>
      </c>
      <c r="U24" s="51">
        <f>IF(B24="","",ROUND(SUMIFS('Visit Log'!$K$5:$K$404,'Visit Log'!$G$5:$G$404,B24,'Visit Log'!$AE$5:$AE$404,"Completed")/60,2))</f>
        <v>0</v>
      </c>
      <c r="V24" s="32">
        <f>IF(B24="","",SUMIFS(Mileage!$M$5:$M$304,Mileage!$C$5:$C$304,B24,Mileage!$N$5:$N$304,"Business"))</f>
        <v>0</v>
      </c>
      <c r="W24" s="29">
        <f>IF(B24="","",SUMIFS(Bookings!$AK$5:$AK$404,Bookings!$AL$5:$AL$404,B24,Bookings!$AM$5:$AM$404,"&lt;&gt;Cancelled"))</f>
        <v>0</v>
      </c>
      <c r="X24" s="29">
        <f>IF(B24="","",ROUND(IF(K24="Hourly",U24*IF(L24="",0,L24),IF(K24="Per visit",T24*IF(L24="",0,L24),IF(K24="Commission %",W24*IF(L24="",0,L24)/100,0))),2))</f>
        <v>0</v>
      </c>
      <c r="Y24" s="29">
        <f>IF(OR(U24="",U24=0),"",ROUND(W24/U24,2))</f>
        <v>0</v>
      </c>
      <c r="Z24" s="30">
        <f>IF(OR(S24="",S24=0),"",T24/S24)</f>
        <v>0</v>
      </c>
      <c r="AB24" s="49">
        <f>IF(B24="","",IF(O24="EXPIRED","Certificate expired",IF(LEFT(O24,6)="Due in","Certificate due",IF(P24="","Action - background check",IF(AND(H24="Active",S24=0),"No bookings assigned","OK")))))</f>
        <v>0</v>
      </c>
    </row>
    <row r="25" spans="1:28">
      <c r="A25" s="46">
        <f>IF(B25="","","ST-"&amp;TEXT(ROW()-4,"000"))</f>
        <v>0</v>
      </c>
      <c r="O25" s="49">
        <f>IF(N25="","",IF(N25&lt;TODAY(),"EXPIRED",IF(N25-TODAY()&lt;=ExpiryAlertDays,"Due in "&amp;TEXT(N25-TODAY(),"0")&amp;" days","Valid")))</f>
        <v>0</v>
      </c>
      <c r="S25" s="31">
        <f>IF(B25="","",COUNTIFS(Bookings!$AL$5:$AL$404,B25,Bookings!$AM$5:$AM$404,"&lt;&gt;Cancelled"))</f>
        <v>0</v>
      </c>
      <c r="T25" s="31">
        <f>IF(B25="","",COUNTIFS('Visit Log'!$G$5:$G$404,B25,'Visit Log'!$AE$5:$AE$404,"Completed"))</f>
        <v>0</v>
      </c>
      <c r="U25" s="51">
        <f>IF(B25="","",ROUND(SUMIFS('Visit Log'!$K$5:$K$404,'Visit Log'!$G$5:$G$404,B25,'Visit Log'!$AE$5:$AE$404,"Completed")/60,2))</f>
        <v>0</v>
      </c>
      <c r="V25" s="32">
        <f>IF(B25="","",SUMIFS(Mileage!$M$5:$M$304,Mileage!$C$5:$C$304,B25,Mileage!$N$5:$N$304,"Business"))</f>
        <v>0</v>
      </c>
      <c r="W25" s="29">
        <f>IF(B25="","",SUMIFS(Bookings!$AK$5:$AK$404,Bookings!$AL$5:$AL$404,B25,Bookings!$AM$5:$AM$404,"&lt;&gt;Cancelled"))</f>
        <v>0</v>
      </c>
      <c r="X25" s="29">
        <f>IF(B25="","",ROUND(IF(K25="Hourly",U25*IF(L25="",0,L25),IF(K25="Per visit",T25*IF(L25="",0,L25),IF(K25="Commission %",W25*IF(L25="",0,L25)/100,0))),2))</f>
        <v>0</v>
      </c>
      <c r="Y25" s="29">
        <f>IF(OR(U25="",U25=0),"",ROUND(W25/U25,2))</f>
        <v>0</v>
      </c>
      <c r="Z25" s="30">
        <f>IF(OR(S25="",S25=0),"",T25/S25)</f>
        <v>0</v>
      </c>
      <c r="AB25" s="49">
        <f>IF(B25="","",IF(O25="EXPIRED","Certificate expired",IF(LEFT(O25,6)="Due in","Certificate due",IF(P25="","Action - background check",IF(AND(H25="Active",S25=0),"No bookings assigned","OK")))))</f>
        <v>0</v>
      </c>
    </row>
    <row r="26" spans="1:28">
      <c r="A26" s="46">
        <f>IF(B26="","","ST-"&amp;TEXT(ROW()-4,"000"))</f>
        <v>0</v>
      </c>
      <c r="O26" s="49">
        <f>IF(N26="","",IF(N26&lt;TODAY(),"EXPIRED",IF(N26-TODAY()&lt;=ExpiryAlertDays,"Due in "&amp;TEXT(N26-TODAY(),"0")&amp;" days","Valid")))</f>
        <v>0</v>
      </c>
      <c r="S26" s="31">
        <f>IF(B26="","",COUNTIFS(Bookings!$AL$5:$AL$404,B26,Bookings!$AM$5:$AM$404,"&lt;&gt;Cancelled"))</f>
        <v>0</v>
      </c>
      <c r="T26" s="31">
        <f>IF(B26="","",COUNTIFS('Visit Log'!$G$5:$G$404,B26,'Visit Log'!$AE$5:$AE$404,"Completed"))</f>
        <v>0</v>
      </c>
      <c r="U26" s="51">
        <f>IF(B26="","",ROUND(SUMIFS('Visit Log'!$K$5:$K$404,'Visit Log'!$G$5:$G$404,B26,'Visit Log'!$AE$5:$AE$404,"Completed")/60,2))</f>
        <v>0</v>
      </c>
      <c r="V26" s="32">
        <f>IF(B26="","",SUMIFS(Mileage!$M$5:$M$304,Mileage!$C$5:$C$304,B26,Mileage!$N$5:$N$304,"Business"))</f>
        <v>0</v>
      </c>
      <c r="W26" s="29">
        <f>IF(B26="","",SUMIFS(Bookings!$AK$5:$AK$404,Bookings!$AL$5:$AL$404,B26,Bookings!$AM$5:$AM$404,"&lt;&gt;Cancelled"))</f>
        <v>0</v>
      </c>
      <c r="X26" s="29">
        <f>IF(B26="","",ROUND(IF(K26="Hourly",U26*IF(L26="",0,L26),IF(K26="Per visit",T26*IF(L26="",0,L26),IF(K26="Commission %",W26*IF(L26="",0,L26)/100,0))),2))</f>
        <v>0</v>
      </c>
      <c r="Y26" s="29">
        <f>IF(OR(U26="",U26=0),"",ROUND(W26/U26,2))</f>
        <v>0</v>
      </c>
      <c r="Z26" s="30">
        <f>IF(OR(S26="",S26=0),"",T26/S26)</f>
        <v>0</v>
      </c>
      <c r="AB26" s="49">
        <f>IF(B26="","",IF(O26="EXPIRED","Certificate expired",IF(LEFT(O26,6)="Due in","Certificate due",IF(P26="","Action - background check",IF(AND(H26="Active",S26=0),"No bookings assigned","OK")))))</f>
        <v>0</v>
      </c>
    </row>
    <row r="27" spans="1:28">
      <c r="A27" s="46">
        <f>IF(B27="","","ST-"&amp;TEXT(ROW()-4,"000"))</f>
        <v>0</v>
      </c>
      <c r="O27" s="49">
        <f>IF(N27="","",IF(N27&lt;TODAY(),"EXPIRED",IF(N27-TODAY()&lt;=ExpiryAlertDays,"Due in "&amp;TEXT(N27-TODAY(),"0")&amp;" days","Valid")))</f>
        <v>0</v>
      </c>
      <c r="S27" s="31">
        <f>IF(B27="","",COUNTIFS(Bookings!$AL$5:$AL$404,B27,Bookings!$AM$5:$AM$404,"&lt;&gt;Cancelled"))</f>
        <v>0</v>
      </c>
      <c r="T27" s="31">
        <f>IF(B27="","",COUNTIFS('Visit Log'!$G$5:$G$404,B27,'Visit Log'!$AE$5:$AE$404,"Completed"))</f>
        <v>0</v>
      </c>
      <c r="U27" s="51">
        <f>IF(B27="","",ROUND(SUMIFS('Visit Log'!$K$5:$K$404,'Visit Log'!$G$5:$G$404,B27,'Visit Log'!$AE$5:$AE$404,"Completed")/60,2))</f>
        <v>0</v>
      </c>
      <c r="V27" s="32">
        <f>IF(B27="","",SUMIFS(Mileage!$M$5:$M$304,Mileage!$C$5:$C$304,B27,Mileage!$N$5:$N$304,"Business"))</f>
        <v>0</v>
      </c>
      <c r="W27" s="29">
        <f>IF(B27="","",SUMIFS(Bookings!$AK$5:$AK$404,Bookings!$AL$5:$AL$404,B27,Bookings!$AM$5:$AM$404,"&lt;&gt;Cancelled"))</f>
        <v>0</v>
      </c>
      <c r="X27" s="29">
        <f>IF(B27="","",ROUND(IF(K27="Hourly",U27*IF(L27="",0,L27),IF(K27="Per visit",T27*IF(L27="",0,L27),IF(K27="Commission %",W27*IF(L27="",0,L27)/100,0))),2))</f>
        <v>0</v>
      </c>
      <c r="Y27" s="29">
        <f>IF(OR(U27="",U27=0),"",ROUND(W27/U27,2))</f>
        <v>0</v>
      </c>
      <c r="Z27" s="30">
        <f>IF(OR(S27="",S27=0),"",T27/S27)</f>
        <v>0</v>
      </c>
      <c r="AB27" s="49">
        <f>IF(B27="","",IF(O27="EXPIRED","Certificate expired",IF(LEFT(O27,6)="Due in","Certificate due",IF(P27="","Action - background check",IF(AND(H27="Active",S27=0),"No bookings assigned","OK")))))</f>
        <v>0</v>
      </c>
    </row>
    <row r="28" spans="1:28">
      <c r="A28" s="46">
        <f>IF(B28="","","ST-"&amp;TEXT(ROW()-4,"000"))</f>
        <v>0</v>
      </c>
      <c r="O28" s="49">
        <f>IF(N28="","",IF(N28&lt;TODAY(),"EXPIRED",IF(N28-TODAY()&lt;=ExpiryAlertDays,"Due in "&amp;TEXT(N28-TODAY(),"0")&amp;" days","Valid")))</f>
        <v>0</v>
      </c>
      <c r="S28" s="31">
        <f>IF(B28="","",COUNTIFS(Bookings!$AL$5:$AL$404,B28,Bookings!$AM$5:$AM$404,"&lt;&gt;Cancelled"))</f>
        <v>0</v>
      </c>
      <c r="T28" s="31">
        <f>IF(B28="","",COUNTIFS('Visit Log'!$G$5:$G$404,B28,'Visit Log'!$AE$5:$AE$404,"Completed"))</f>
        <v>0</v>
      </c>
      <c r="U28" s="51">
        <f>IF(B28="","",ROUND(SUMIFS('Visit Log'!$K$5:$K$404,'Visit Log'!$G$5:$G$404,B28,'Visit Log'!$AE$5:$AE$404,"Completed")/60,2))</f>
        <v>0</v>
      </c>
      <c r="V28" s="32">
        <f>IF(B28="","",SUMIFS(Mileage!$M$5:$M$304,Mileage!$C$5:$C$304,B28,Mileage!$N$5:$N$304,"Business"))</f>
        <v>0</v>
      </c>
      <c r="W28" s="29">
        <f>IF(B28="","",SUMIFS(Bookings!$AK$5:$AK$404,Bookings!$AL$5:$AL$404,B28,Bookings!$AM$5:$AM$404,"&lt;&gt;Cancelled"))</f>
        <v>0</v>
      </c>
      <c r="X28" s="29">
        <f>IF(B28="","",ROUND(IF(K28="Hourly",U28*IF(L28="",0,L28),IF(K28="Per visit",T28*IF(L28="",0,L28),IF(K28="Commission %",W28*IF(L28="",0,L28)/100,0))),2))</f>
        <v>0</v>
      </c>
      <c r="Y28" s="29">
        <f>IF(OR(U28="",U28=0),"",ROUND(W28/U28,2))</f>
        <v>0</v>
      </c>
      <c r="Z28" s="30">
        <f>IF(OR(S28="",S28=0),"",T28/S28)</f>
        <v>0</v>
      </c>
      <c r="AB28" s="49">
        <f>IF(B28="","",IF(O28="EXPIRED","Certificate expired",IF(LEFT(O28,6)="Due in","Certificate due",IF(P28="","Action - background check",IF(AND(H28="Active",S28=0),"No bookings assigned","OK")))))</f>
        <v>0</v>
      </c>
    </row>
    <row r="29" spans="1:28">
      <c r="A29" s="46">
        <f>IF(B29="","","ST-"&amp;TEXT(ROW()-4,"000"))</f>
        <v>0</v>
      </c>
      <c r="O29" s="49">
        <f>IF(N29="","",IF(N29&lt;TODAY(),"EXPIRED",IF(N29-TODAY()&lt;=ExpiryAlertDays,"Due in "&amp;TEXT(N29-TODAY(),"0")&amp;" days","Valid")))</f>
        <v>0</v>
      </c>
      <c r="S29" s="31">
        <f>IF(B29="","",COUNTIFS(Bookings!$AL$5:$AL$404,B29,Bookings!$AM$5:$AM$404,"&lt;&gt;Cancelled"))</f>
        <v>0</v>
      </c>
      <c r="T29" s="31">
        <f>IF(B29="","",COUNTIFS('Visit Log'!$G$5:$G$404,B29,'Visit Log'!$AE$5:$AE$404,"Completed"))</f>
        <v>0</v>
      </c>
      <c r="U29" s="51">
        <f>IF(B29="","",ROUND(SUMIFS('Visit Log'!$K$5:$K$404,'Visit Log'!$G$5:$G$404,B29,'Visit Log'!$AE$5:$AE$404,"Completed")/60,2))</f>
        <v>0</v>
      </c>
      <c r="V29" s="32">
        <f>IF(B29="","",SUMIFS(Mileage!$M$5:$M$304,Mileage!$C$5:$C$304,B29,Mileage!$N$5:$N$304,"Business"))</f>
        <v>0</v>
      </c>
      <c r="W29" s="29">
        <f>IF(B29="","",SUMIFS(Bookings!$AK$5:$AK$404,Bookings!$AL$5:$AL$404,B29,Bookings!$AM$5:$AM$404,"&lt;&gt;Cancelled"))</f>
        <v>0</v>
      </c>
      <c r="X29" s="29">
        <f>IF(B29="","",ROUND(IF(K29="Hourly",U29*IF(L29="",0,L29),IF(K29="Per visit",T29*IF(L29="",0,L29),IF(K29="Commission %",W29*IF(L29="",0,L29)/100,0))),2))</f>
        <v>0</v>
      </c>
      <c r="Y29" s="29">
        <f>IF(OR(U29="",U29=0),"",ROUND(W29/U29,2))</f>
        <v>0</v>
      </c>
      <c r="Z29" s="30">
        <f>IF(OR(S29="",S29=0),"",T29/S29)</f>
        <v>0</v>
      </c>
      <c r="AB29" s="49">
        <f>IF(B29="","",IF(O29="EXPIRED","Certificate expired",IF(LEFT(O29,6)="Due in","Certificate due",IF(P29="","Action - background check",IF(AND(H29="Active",S29=0),"No bookings assigned","OK")))))</f>
        <v>0</v>
      </c>
    </row>
    <row r="30" spans="1:28">
      <c r="A30" s="46">
        <f>IF(B30="","","ST-"&amp;TEXT(ROW()-4,"000"))</f>
        <v>0</v>
      </c>
      <c r="O30" s="49">
        <f>IF(N30="","",IF(N30&lt;TODAY(),"EXPIRED",IF(N30-TODAY()&lt;=ExpiryAlertDays,"Due in "&amp;TEXT(N30-TODAY(),"0")&amp;" days","Valid")))</f>
        <v>0</v>
      </c>
      <c r="S30" s="31">
        <f>IF(B30="","",COUNTIFS(Bookings!$AL$5:$AL$404,B30,Bookings!$AM$5:$AM$404,"&lt;&gt;Cancelled"))</f>
        <v>0</v>
      </c>
      <c r="T30" s="31">
        <f>IF(B30="","",COUNTIFS('Visit Log'!$G$5:$G$404,B30,'Visit Log'!$AE$5:$AE$404,"Completed"))</f>
        <v>0</v>
      </c>
      <c r="U30" s="51">
        <f>IF(B30="","",ROUND(SUMIFS('Visit Log'!$K$5:$K$404,'Visit Log'!$G$5:$G$404,B30,'Visit Log'!$AE$5:$AE$404,"Completed")/60,2))</f>
        <v>0</v>
      </c>
      <c r="V30" s="32">
        <f>IF(B30="","",SUMIFS(Mileage!$M$5:$M$304,Mileage!$C$5:$C$304,B30,Mileage!$N$5:$N$304,"Business"))</f>
        <v>0</v>
      </c>
      <c r="W30" s="29">
        <f>IF(B30="","",SUMIFS(Bookings!$AK$5:$AK$404,Bookings!$AL$5:$AL$404,B30,Bookings!$AM$5:$AM$404,"&lt;&gt;Cancelled"))</f>
        <v>0</v>
      </c>
      <c r="X30" s="29">
        <f>IF(B30="","",ROUND(IF(K30="Hourly",U30*IF(L30="",0,L30),IF(K30="Per visit",T30*IF(L30="",0,L30),IF(K30="Commission %",W30*IF(L30="",0,L30)/100,0))),2))</f>
        <v>0</v>
      </c>
      <c r="Y30" s="29">
        <f>IF(OR(U30="",U30=0),"",ROUND(W30/U30,2))</f>
        <v>0</v>
      </c>
      <c r="Z30" s="30">
        <f>IF(OR(S30="",S30=0),"",T30/S30)</f>
        <v>0</v>
      </c>
      <c r="AB30" s="49">
        <f>IF(B30="","",IF(O30="EXPIRED","Certificate expired",IF(LEFT(O30,6)="Due in","Certificate due",IF(P30="","Action - background check",IF(AND(H30="Active",S30=0),"No bookings assigned","OK")))))</f>
        <v>0</v>
      </c>
    </row>
    <row r="31" spans="1:28">
      <c r="A31" s="46">
        <f>IF(B31="","","ST-"&amp;TEXT(ROW()-4,"000"))</f>
        <v>0</v>
      </c>
      <c r="O31" s="49">
        <f>IF(N31="","",IF(N31&lt;TODAY(),"EXPIRED",IF(N31-TODAY()&lt;=ExpiryAlertDays,"Due in "&amp;TEXT(N31-TODAY(),"0")&amp;" days","Valid")))</f>
        <v>0</v>
      </c>
      <c r="S31" s="31">
        <f>IF(B31="","",COUNTIFS(Bookings!$AL$5:$AL$404,B31,Bookings!$AM$5:$AM$404,"&lt;&gt;Cancelled"))</f>
        <v>0</v>
      </c>
      <c r="T31" s="31">
        <f>IF(B31="","",COUNTIFS('Visit Log'!$G$5:$G$404,B31,'Visit Log'!$AE$5:$AE$404,"Completed"))</f>
        <v>0</v>
      </c>
      <c r="U31" s="51">
        <f>IF(B31="","",ROUND(SUMIFS('Visit Log'!$K$5:$K$404,'Visit Log'!$G$5:$G$404,B31,'Visit Log'!$AE$5:$AE$404,"Completed")/60,2))</f>
        <v>0</v>
      </c>
      <c r="V31" s="32">
        <f>IF(B31="","",SUMIFS(Mileage!$M$5:$M$304,Mileage!$C$5:$C$304,B31,Mileage!$N$5:$N$304,"Business"))</f>
        <v>0</v>
      </c>
      <c r="W31" s="29">
        <f>IF(B31="","",SUMIFS(Bookings!$AK$5:$AK$404,Bookings!$AL$5:$AL$404,B31,Bookings!$AM$5:$AM$404,"&lt;&gt;Cancelled"))</f>
        <v>0</v>
      </c>
      <c r="X31" s="29">
        <f>IF(B31="","",ROUND(IF(K31="Hourly",U31*IF(L31="",0,L31),IF(K31="Per visit",T31*IF(L31="",0,L31),IF(K31="Commission %",W31*IF(L31="",0,L31)/100,0))),2))</f>
        <v>0</v>
      </c>
      <c r="Y31" s="29">
        <f>IF(OR(U31="",U31=0),"",ROUND(W31/U31,2))</f>
        <v>0</v>
      </c>
      <c r="Z31" s="30">
        <f>IF(OR(S31="",S31=0),"",T31/S31)</f>
        <v>0</v>
      </c>
      <c r="AB31" s="49">
        <f>IF(B31="","",IF(O31="EXPIRED","Certificate expired",IF(LEFT(O31,6)="Due in","Certificate due",IF(P31="","Action - background check",IF(AND(H31="Active",S31=0),"No bookings assigned","OK")))))</f>
        <v>0</v>
      </c>
    </row>
    <row r="32" spans="1:28">
      <c r="A32" s="46">
        <f>IF(B32="","","ST-"&amp;TEXT(ROW()-4,"000"))</f>
        <v>0</v>
      </c>
      <c r="O32" s="49">
        <f>IF(N32="","",IF(N32&lt;TODAY(),"EXPIRED",IF(N32-TODAY()&lt;=ExpiryAlertDays,"Due in "&amp;TEXT(N32-TODAY(),"0")&amp;" days","Valid")))</f>
        <v>0</v>
      </c>
      <c r="S32" s="31">
        <f>IF(B32="","",COUNTIFS(Bookings!$AL$5:$AL$404,B32,Bookings!$AM$5:$AM$404,"&lt;&gt;Cancelled"))</f>
        <v>0</v>
      </c>
      <c r="T32" s="31">
        <f>IF(B32="","",COUNTIFS('Visit Log'!$G$5:$G$404,B32,'Visit Log'!$AE$5:$AE$404,"Completed"))</f>
        <v>0</v>
      </c>
      <c r="U32" s="51">
        <f>IF(B32="","",ROUND(SUMIFS('Visit Log'!$K$5:$K$404,'Visit Log'!$G$5:$G$404,B32,'Visit Log'!$AE$5:$AE$404,"Completed")/60,2))</f>
        <v>0</v>
      </c>
      <c r="V32" s="32">
        <f>IF(B32="","",SUMIFS(Mileage!$M$5:$M$304,Mileage!$C$5:$C$304,B32,Mileage!$N$5:$N$304,"Business"))</f>
        <v>0</v>
      </c>
      <c r="W32" s="29">
        <f>IF(B32="","",SUMIFS(Bookings!$AK$5:$AK$404,Bookings!$AL$5:$AL$404,B32,Bookings!$AM$5:$AM$404,"&lt;&gt;Cancelled"))</f>
        <v>0</v>
      </c>
      <c r="X32" s="29">
        <f>IF(B32="","",ROUND(IF(K32="Hourly",U32*IF(L32="",0,L32),IF(K32="Per visit",T32*IF(L32="",0,L32),IF(K32="Commission %",W32*IF(L32="",0,L32)/100,0))),2))</f>
        <v>0</v>
      </c>
      <c r="Y32" s="29">
        <f>IF(OR(U32="",U32=0),"",ROUND(W32/U32,2))</f>
        <v>0</v>
      </c>
      <c r="Z32" s="30">
        <f>IF(OR(S32="",S32=0),"",T32/S32)</f>
        <v>0</v>
      </c>
      <c r="AB32" s="49">
        <f>IF(B32="","",IF(O32="EXPIRED","Certificate expired",IF(LEFT(O32,6)="Due in","Certificate due",IF(P32="","Action - background check",IF(AND(H32="Active",S32=0),"No bookings assigned","OK")))))</f>
        <v>0</v>
      </c>
    </row>
    <row r="33" spans="1:28">
      <c r="A33" s="46">
        <f>IF(B33="","","ST-"&amp;TEXT(ROW()-4,"000"))</f>
        <v>0</v>
      </c>
      <c r="O33" s="49">
        <f>IF(N33="","",IF(N33&lt;TODAY(),"EXPIRED",IF(N33-TODAY()&lt;=ExpiryAlertDays,"Due in "&amp;TEXT(N33-TODAY(),"0")&amp;" days","Valid")))</f>
        <v>0</v>
      </c>
      <c r="S33" s="31">
        <f>IF(B33="","",COUNTIFS(Bookings!$AL$5:$AL$404,B33,Bookings!$AM$5:$AM$404,"&lt;&gt;Cancelled"))</f>
        <v>0</v>
      </c>
      <c r="T33" s="31">
        <f>IF(B33="","",COUNTIFS('Visit Log'!$G$5:$G$404,B33,'Visit Log'!$AE$5:$AE$404,"Completed"))</f>
        <v>0</v>
      </c>
      <c r="U33" s="51">
        <f>IF(B33="","",ROUND(SUMIFS('Visit Log'!$K$5:$K$404,'Visit Log'!$G$5:$G$404,B33,'Visit Log'!$AE$5:$AE$404,"Completed")/60,2))</f>
        <v>0</v>
      </c>
      <c r="V33" s="32">
        <f>IF(B33="","",SUMIFS(Mileage!$M$5:$M$304,Mileage!$C$5:$C$304,B33,Mileage!$N$5:$N$304,"Business"))</f>
        <v>0</v>
      </c>
      <c r="W33" s="29">
        <f>IF(B33="","",SUMIFS(Bookings!$AK$5:$AK$404,Bookings!$AL$5:$AL$404,B33,Bookings!$AM$5:$AM$404,"&lt;&gt;Cancelled"))</f>
        <v>0</v>
      </c>
      <c r="X33" s="29">
        <f>IF(B33="","",ROUND(IF(K33="Hourly",U33*IF(L33="",0,L33),IF(K33="Per visit",T33*IF(L33="",0,L33),IF(K33="Commission %",W33*IF(L33="",0,L33)/100,0))),2))</f>
        <v>0</v>
      </c>
      <c r="Y33" s="29">
        <f>IF(OR(U33="",U33=0),"",ROUND(W33/U33,2))</f>
        <v>0</v>
      </c>
      <c r="Z33" s="30">
        <f>IF(OR(S33="",S33=0),"",T33/S33)</f>
        <v>0</v>
      </c>
      <c r="AB33" s="49">
        <f>IF(B33="","",IF(O33="EXPIRED","Certificate expired",IF(LEFT(O33,6)="Due in","Certificate due",IF(P33="","Action - background check",IF(AND(H33="Active",S33=0),"No bookings assigned","OK")))))</f>
        <v>0</v>
      </c>
    </row>
    <row r="34" spans="1:28">
      <c r="A34" s="46">
        <f>IF(B34="","","ST-"&amp;TEXT(ROW()-4,"000"))</f>
        <v>0</v>
      </c>
      <c r="O34" s="49">
        <f>IF(N34="","",IF(N34&lt;TODAY(),"EXPIRED",IF(N34-TODAY()&lt;=ExpiryAlertDays,"Due in "&amp;TEXT(N34-TODAY(),"0")&amp;" days","Valid")))</f>
        <v>0</v>
      </c>
      <c r="S34" s="31">
        <f>IF(B34="","",COUNTIFS(Bookings!$AL$5:$AL$404,B34,Bookings!$AM$5:$AM$404,"&lt;&gt;Cancelled"))</f>
        <v>0</v>
      </c>
      <c r="T34" s="31">
        <f>IF(B34="","",COUNTIFS('Visit Log'!$G$5:$G$404,B34,'Visit Log'!$AE$5:$AE$404,"Completed"))</f>
        <v>0</v>
      </c>
      <c r="U34" s="51">
        <f>IF(B34="","",ROUND(SUMIFS('Visit Log'!$K$5:$K$404,'Visit Log'!$G$5:$G$404,B34,'Visit Log'!$AE$5:$AE$404,"Completed")/60,2))</f>
        <v>0</v>
      </c>
      <c r="V34" s="32">
        <f>IF(B34="","",SUMIFS(Mileage!$M$5:$M$304,Mileage!$C$5:$C$304,B34,Mileage!$N$5:$N$304,"Business"))</f>
        <v>0</v>
      </c>
      <c r="W34" s="29">
        <f>IF(B34="","",SUMIFS(Bookings!$AK$5:$AK$404,Bookings!$AL$5:$AL$404,B34,Bookings!$AM$5:$AM$404,"&lt;&gt;Cancelled"))</f>
        <v>0</v>
      </c>
      <c r="X34" s="29">
        <f>IF(B34="","",ROUND(IF(K34="Hourly",U34*IF(L34="",0,L34),IF(K34="Per visit",T34*IF(L34="",0,L34),IF(K34="Commission %",W34*IF(L34="",0,L34)/100,0))),2))</f>
        <v>0</v>
      </c>
      <c r="Y34" s="29">
        <f>IF(OR(U34="",U34=0),"",ROUND(W34/U34,2))</f>
        <v>0</v>
      </c>
      <c r="Z34" s="30">
        <f>IF(OR(S34="",S34=0),"",T34/S34)</f>
        <v>0</v>
      </c>
      <c r="AB34" s="49">
        <f>IF(B34="","",IF(O34="EXPIRED","Certificate expired",IF(LEFT(O34,6)="Due in","Certificate due",IF(P34="","Action - background check",IF(AND(H34="Active",S34=0),"No bookings assigned","OK")))))</f>
        <v>0</v>
      </c>
    </row>
    <row r="35" spans="1:28">
      <c r="A35" s="46">
        <f>IF(B35="","","ST-"&amp;TEXT(ROW()-4,"000"))</f>
        <v>0</v>
      </c>
      <c r="O35" s="49">
        <f>IF(N35="","",IF(N35&lt;TODAY(),"EXPIRED",IF(N35-TODAY()&lt;=ExpiryAlertDays,"Due in "&amp;TEXT(N35-TODAY(),"0")&amp;" days","Valid")))</f>
        <v>0</v>
      </c>
      <c r="S35" s="31">
        <f>IF(B35="","",COUNTIFS(Bookings!$AL$5:$AL$404,B35,Bookings!$AM$5:$AM$404,"&lt;&gt;Cancelled"))</f>
        <v>0</v>
      </c>
      <c r="T35" s="31">
        <f>IF(B35="","",COUNTIFS('Visit Log'!$G$5:$G$404,B35,'Visit Log'!$AE$5:$AE$404,"Completed"))</f>
        <v>0</v>
      </c>
      <c r="U35" s="51">
        <f>IF(B35="","",ROUND(SUMIFS('Visit Log'!$K$5:$K$404,'Visit Log'!$G$5:$G$404,B35,'Visit Log'!$AE$5:$AE$404,"Completed")/60,2))</f>
        <v>0</v>
      </c>
      <c r="V35" s="32">
        <f>IF(B35="","",SUMIFS(Mileage!$M$5:$M$304,Mileage!$C$5:$C$304,B35,Mileage!$N$5:$N$304,"Business"))</f>
        <v>0</v>
      </c>
      <c r="W35" s="29">
        <f>IF(B35="","",SUMIFS(Bookings!$AK$5:$AK$404,Bookings!$AL$5:$AL$404,B35,Bookings!$AM$5:$AM$404,"&lt;&gt;Cancelled"))</f>
        <v>0</v>
      </c>
      <c r="X35" s="29">
        <f>IF(B35="","",ROUND(IF(K35="Hourly",U35*IF(L35="",0,L35),IF(K35="Per visit",T35*IF(L35="",0,L35),IF(K35="Commission %",W35*IF(L35="",0,L35)/100,0))),2))</f>
        <v>0</v>
      </c>
      <c r="Y35" s="29">
        <f>IF(OR(U35="",U35=0),"",ROUND(W35/U35,2))</f>
        <v>0</v>
      </c>
      <c r="Z35" s="30">
        <f>IF(OR(S35="",S35=0),"",T35/S35)</f>
        <v>0</v>
      </c>
      <c r="AB35" s="49">
        <f>IF(B35="","",IF(O35="EXPIRED","Certificate expired",IF(LEFT(O35,6)="Due in","Certificate due",IF(P35="","Action - background check",IF(AND(H35="Active",S35=0),"No bookings assigned","OK")))))</f>
        <v>0</v>
      </c>
    </row>
    <row r="36" spans="1:28">
      <c r="A36" s="46">
        <f>IF(B36="","","ST-"&amp;TEXT(ROW()-4,"000"))</f>
        <v>0</v>
      </c>
      <c r="O36" s="49">
        <f>IF(N36="","",IF(N36&lt;TODAY(),"EXPIRED",IF(N36-TODAY()&lt;=ExpiryAlertDays,"Due in "&amp;TEXT(N36-TODAY(),"0")&amp;" days","Valid")))</f>
        <v>0</v>
      </c>
      <c r="S36" s="31">
        <f>IF(B36="","",COUNTIFS(Bookings!$AL$5:$AL$404,B36,Bookings!$AM$5:$AM$404,"&lt;&gt;Cancelled"))</f>
        <v>0</v>
      </c>
      <c r="T36" s="31">
        <f>IF(B36="","",COUNTIFS('Visit Log'!$G$5:$G$404,B36,'Visit Log'!$AE$5:$AE$404,"Completed"))</f>
        <v>0</v>
      </c>
      <c r="U36" s="51">
        <f>IF(B36="","",ROUND(SUMIFS('Visit Log'!$K$5:$K$404,'Visit Log'!$G$5:$G$404,B36,'Visit Log'!$AE$5:$AE$404,"Completed")/60,2))</f>
        <v>0</v>
      </c>
      <c r="V36" s="32">
        <f>IF(B36="","",SUMIFS(Mileage!$M$5:$M$304,Mileage!$C$5:$C$304,B36,Mileage!$N$5:$N$304,"Business"))</f>
        <v>0</v>
      </c>
      <c r="W36" s="29">
        <f>IF(B36="","",SUMIFS(Bookings!$AK$5:$AK$404,Bookings!$AL$5:$AL$404,B36,Bookings!$AM$5:$AM$404,"&lt;&gt;Cancelled"))</f>
        <v>0</v>
      </c>
      <c r="X36" s="29">
        <f>IF(B36="","",ROUND(IF(K36="Hourly",U36*IF(L36="",0,L36),IF(K36="Per visit",T36*IF(L36="",0,L36),IF(K36="Commission %",W36*IF(L36="",0,L36)/100,0))),2))</f>
        <v>0</v>
      </c>
      <c r="Y36" s="29">
        <f>IF(OR(U36="",U36=0),"",ROUND(W36/U36,2))</f>
        <v>0</v>
      </c>
      <c r="Z36" s="30">
        <f>IF(OR(S36="",S36=0),"",T36/S36)</f>
        <v>0</v>
      </c>
      <c r="AB36" s="49">
        <f>IF(B36="","",IF(O36="EXPIRED","Certificate expired",IF(LEFT(O36,6)="Due in","Certificate due",IF(P36="","Action - background check",IF(AND(H36="Active",S36=0),"No bookings assigned","OK")))))</f>
        <v>0</v>
      </c>
    </row>
    <row r="37" spans="1:28">
      <c r="A37" s="46">
        <f>IF(B37="","","ST-"&amp;TEXT(ROW()-4,"000"))</f>
        <v>0</v>
      </c>
      <c r="O37" s="49">
        <f>IF(N37="","",IF(N37&lt;TODAY(),"EXPIRED",IF(N37-TODAY()&lt;=ExpiryAlertDays,"Due in "&amp;TEXT(N37-TODAY(),"0")&amp;" days","Valid")))</f>
        <v>0</v>
      </c>
      <c r="S37" s="31">
        <f>IF(B37="","",COUNTIFS(Bookings!$AL$5:$AL$404,B37,Bookings!$AM$5:$AM$404,"&lt;&gt;Cancelled"))</f>
        <v>0</v>
      </c>
      <c r="T37" s="31">
        <f>IF(B37="","",COUNTIFS('Visit Log'!$G$5:$G$404,B37,'Visit Log'!$AE$5:$AE$404,"Completed"))</f>
        <v>0</v>
      </c>
      <c r="U37" s="51">
        <f>IF(B37="","",ROUND(SUMIFS('Visit Log'!$K$5:$K$404,'Visit Log'!$G$5:$G$404,B37,'Visit Log'!$AE$5:$AE$404,"Completed")/60,2))</f>
        <v>0</v>
      </c>
      <c r="V37" s="32">
        <f>IF(B37="","",SUMIFS(Mileage!$M$5:$M$304,Mileage!$C$5:$C$304,B37,Mileage!$N$5:$N$304,"Business"))</f>
        <v>0</v>
      </c>
      <c r="W37" s="29">
        <f>IF(B37="","",SUMIFS(Bookings!$AK$5:$AK$404,Bookings!$AL$5:$AL$404,B37,Bookings!$AM$5:$AM$404,"&lt;&gt;Cancelled"))</f>
        <v>0</v>
      </c>
      <c r="X37" s="29">
        <f>IF(B37="","",ROUND(IF(K37="Hourly",U37*IF(L37="",0,L37),IF(K37="Per visit",T37*IF(L37="",0,L37),IF(K37="Commission %",W37*IF(L37="",0,L37)/100,0))),2))</f>
        <v>0</v>
      </c>
      <c r="Y37" s="29">
        <f>IF(OR(U37="",U37=0),"",ROUND(W37/U37,2))</f>
        <v>0</v>
      </c>
      <c r="Z37" s="30">
        <f>IF(OR(S37="",S37=0),"",T37/S37)</f>
        <v>0</v>
      </c>
      <c r="AB37" s="49">
        <f>IF(B37="","",IF(O37="EXPIRED","Certificate expired",IF(LEFT(O37,6)="Due in","Certificate due",IF(P37="","Action - background check",IF(AND(H37="Active",S37=0),"No bookings assigned","OK")))))</f>
        <v>0</v>
      </c>
    </row>
    <row r="38" spans="1:28">
      <c r="A38" s="46">
        <f>IF(B38="","","ST-"&amp;TEXT(ROW()-4,"000"))</f>
        <v>0</v>
      </c>
      <c r="O38" s="49">
        <f>IF(N38="","",IF(N38&lt;TODAY(),"EXPIRED",IF(N38-TODAY()&lt;=ExpiryAlertDays,"Due in "&amp;TEXT(N38-TODAY(),"0")&amp;" days","Valid")))</f>
        <v>0</v>
      </c>
      <c r="S38" s="31">
        <f>IF(B38="","",COUNTIFS(Bookings!$AL$5:$AL$404,B38,Bookings!$AM$5:$AM$404,"&lt;&gt;Cancelled"))</f>
        <v>0</v>
      </c>
      <c r="T38" s="31">
        <f>IF(B38="","",COUNTIFS('Visit Log'!$G$5:$G$404,B38,'Visit Log'!$AE$5:$AE$404,"Completed"))</f>
        <v>0</v>
      </c>
      <c r="U38" s="51">
        <f>IF(B38="","",ROUND(SUMIFS('Visit Log'!$K$5:$K$404,'Visit Log'!$G$5:$G$404,B38,'Visit Log'!$AE$5:$AE$404,"Completed")/60,2))</f>
        <v>0</v>
      </c>
      <c r="V38" s="32">
        <f>IF(B38="","",SUMIFS(Mileage!$M$5:$M$304,Mileage!$C$5:$C$304,B38,Mileage!$N$5:$N$304,"Business"))</f>
        <v>0</v>
      </c>
      <c r="W38" s="29">
        <f>IF(B38="","",SUMIFS(Bookings!$AK$5:$AK$404,Bookings!$AL$5:$AL$404,B38,Bookings!$AM$5:$AM$404,"&lt;&gt;Cancelled"))</f>
        <v>0</v>
      </c>
      <c r="X38" s="29">
        <f>IF(B38="","",ROUND(IF(K38="Hourly",U38*IF(L38="",0,L38),IF(K38="Per visit",T38*IF(L38="",0,L38),IF(K38="Commission %",W38*IF(L38="",0,L38)/100,0))),2))</f>
        <v>0</v>
      </c>
      <c r="Y38" s="29">
        <f>IF(OR(U38="",U38=0),"",ROUND(W38/U38,2))</f>
        <v>0</v>
      </c>
      <c r="Z38" s="30">
        <f>IF(OR(S38="",S38=0),"",T38/S38)</f>
        <v>0</v>
      </c>
      <c r="AB38" s="49">
        <f>IF(B38="","",IF(O38="EXPIRED","Certificate expired",IF(LEFT(O38,6)="Due in","Certificate due",IF(P38="","Action - background check",IF(AND(H38="Active",S38=0),"No bookings assigned","OK")))))</f>
        <v>0</v>
      </c>
    </row>
    <row r="39" spans="1:28">
      <c r="A39" s="46">
        <f>IF(B39="","","ST-"&amp;TEXT(ROW()-4,"000"))</f>
        <v>0</v>
      </c>
      <c r="O39" s="49">
        <f>IF(N39="","",IF(N39&lt;TODAY(),"EXPIRED",IF(N39-TODAY()&lt;=ExpiryAlertDays,"Due in "&amp;TEXT(N39-TODAY(),"0")&amp;" days","Valid")))</f>
        <v>0</v>
      </c>
      <c r="S39" s="31">
        <f>IF(B39="","",COUNTIFS(Bookings!$AL$5:$AL$404,B39,Bookings!$AM$5:$AM$404,"&lt;&gt;Cancelled"))</f>
        <v>0</v>
      </c>
      <c r="T39" s="31">
        <f>IF(B39="","",COUNTIFS('Visit Log'!$G$5:$G$404,B39,'Visit Log'!$AE$5:$AE$404,"Completed"))</f>
        <v>0</v>
      </c>
      <c r="U39" s="51">
        <f>IF(B39="","",ROUND(SUMIFS('Visit Log'!$K$5:$K$404,'Visit Log'!$G$5:$G$404,B39,'Visit Log'!$AE$5:$AE$404,"Completed")/60,2))</f>
        <v>0</v>
      </c>
      <c r="V39" s="32">
        <f>IF(B39="","",SUMIFS(Mileage!$M$5:$M$304,Mileage!$C$5:$C$304,B39,Mileage!$N$5:$N$304,"Business"))</f>
        <v>0</v>
      </c>
      <c r="W39" s="29">
        <f>IF(B39="","",SUMIFS(Bookings!$AK$5:$AK$404,Bookings!$AL$5:$AL$404,B39,Bookings!$AM$5:$AM$404,"&lt;&gt;Cancelled"))</f>
        <v>0</v>
      </c>
      <c r="X39" s="29">
        <f>IF(B39="","",ROUND(IF(K39="Hourly",U39*IF(L39="",0,L39),IF(K39="Per visit",T39*IF(L39="",0,L39),IF(K39="Commission %",W39*IF(L39="",0,L39)/100,0))),2))</f>
        <v>0</v>
      </c>
      <c r="Y39" s="29">
        <f>IF(OR(U39="",U39=0),"",ROUND(W39/U39,2))</f>
        <v>0</v>
      </c>
      <c r="Z39" s="30">
        <f>IF(OR(S39="",S39=0),"",T39/S39)</f>
        <v>0</v>
      </c>
      <c r="AB39" s="49">
        <f>IF(B39="","",IF(O39="EXPIRED","Certificate expired",IF(LEFT(O39,6)="Due in","Certificate due",IF(P39="","Action - background check",IF(AND(H39="Active",S39=0),"No bookings assigned","OK")))))</f>
        <v>0</v>
      </c>
    </row>
    <row r="40" spans="1:28">
      <c r="A40" s="46">
        <f>IF(B40="","","ST-"&amp;TEXT(ROW()-4,"000"))</f>
        <v>0</v>
      </c>
      <c r="O40" s="49">
        <f>IF(N40="","",IF(N40&lt;TODAY(),"EXPIRED",IF(N40-TODAY()&lt;=ExpiryAlertDays,"Due in "&amp;TEXT(N40-TODAY(),"0")&amp;" days","Valid")))</f>
        <v>0</v>
      </c>
      <c r="S40" s="31">
        <f>IF(B40="","",COUNTIFS(Bookings!$AL$5:$AL$404,B40,Bookings!$AM$5:$AM$404,"&lt;&gt;Cancelled"))</f>
        <v>0</v>
      </c>
      <c r="T40" s="31">
        <f>IF(B40="","",COUNTIFS('Visit Log'!$G$5:$G$404,B40,'Visit Log'!$AE$5:$AE$404,"Completed"))</f>
        <v>0</v>
      </c>
      <c r="U40" s="51">
        <f>IF(B40="","",ROUND(SUMIFS('Visit Log'!$K$5:$K$404,'Visit Log'!$G$5:$G$404,B40,'Visit Log'!$AE$5:$AE$404,"Completed")/60,2))</f>
        <v>0</v>
      </c>
      <c r="V40" s="32">
        <f>IF(B40="","",SUMIFS(Mileage!$M$5:$M$304,Mileage!$C$5:$C$304,B40,Mileage!$N$5:$N$304,"Business"))</f>
        <v>0</v>
      </c>
      <c r="W40" s="29">
        <f>IF(B40="","",SUMIFS(Bookings!$AK$5:$AK$404,Bookings!$AL$5:$AL$404,B40,Bookings!$AM$5:$AM$404,"&lt;&gt;Cancelled"))</f>
        <v>0</v>
      </c>
      <c r="X40" s="29">
        <f>IF(B40="","",ROUND(IF(K40="Hourly",U40*IF(L40="",0,L40),IF(K40="Per visit",T40*IF(L40="",0,L40),IF(K40="Commission %",W40*IF(L40="",0,L40)/100,0))),2))</f>
        <v>0</v>
      </c>
      <c r="Y40" s="29">
        <f>IF(OR(U40="",U40=0),"",ROUND(W40/U40,2))</f>
        <v>0</v>
      </c>
      <c r="Z40" s="30">
        <f>IF(OR(S40="",S40=0),"",T40/S40)</f>
        <v>0</v>
      </c>
      <c r="AB40" s="49">
        <f>IF(B40="","",IF(O40="EXPIRED","Certificate expired",IF(LEFT(O40,6)="Due in","Certificate due",IF(P40="","Action - background check",IF(AND(H40="Active",S40=0),"No bookings assigned","OK")))))</f>
        <v>0</v>
      </c>
    </row>
    <row r="41" spans="1:28">
      <c r="A41" s="46">
        <f>IF(B41="","","ST-"&amp;TEXT(ROW()-4,"000"))</f>
        <v>0</v>
      </c>
      <c r="O41" s="49">
        <f>IF(N41="","",IF(N41&lt;TODAY(),"EXPIRED",IF(N41-TODAY()&lt;=ExpiryAlertDays,"Due in "&amp;TEXT(N41-TODAY(),"0")&amp;" days","Valid")))</f>
        <v>0</v>
      </c>
      <c r="S41" s="31">
        <f>IF(B41="","",COUNTIFS(Bookings!$AL$5:$AL$404,B41,Bookings!$AM$5:$AM$404,"&lt;&gt;Cancelled"))</f>
        <v>0</v>
      </c>
      <c r="T41" s="31">
        <f>IF(B41="","",COUNTIFS('Visit Log'!$G$5:$G$404,B41,'Visit Log'!$AE$5:$AE$404,"Completed"))</f>
        <v>0</v>
      </c>
      <c r="U41" s="51">
        <f>IF(B41="","",ROUND(SUMIFS('Visit Log'!$K$5:$K$404,'Visit Log'!$G$5:$G$404,B41,'Visit Log'!$AE$5:$AE$404,"Completed")/60,2))</f>
        <v>0</v>
      </c>
      <c r="V41" s="32">
        <f>IF(B41="","",SUMIFS(Mileage!$M$5:$M$304,Mileage!$C$5:$C$304,B41,Mileage!$N$5:$N$304,"Business"))</f>
        <v>0</v>
      </c>
      <c r="W41" s="29">
        <f>IF(B41="","",SUMIFS(Bookings!$AK$5:$AK$404,Bookings!$AL$5:$AL$404,B41,Bookings!$AM$5:$AM$404,"&lt;&gt;Cancelled"))</f>
        <v>0</v>
      </c>
      <c r="X41" s="29">
        <f>IF(B41="","",ROUND(IF(K41="Hourly",U41*IF(L41="",0,L41),IF(K41="Per visit",T41*IF(L41="",0,L41),IF(K41="Commission %",W41*IF(L41="",0,L41)/100,0))),2))</f>
        <v>0</v>
      </c>
      <c r="Y41" s="29">
        <f>IF(OR(U41="",U41=0),"",ROUND(W41/U41,2))</f>
        <v>0</v>
      </c>
      <c r="Z41" s="30">
        <f>IF(OR(S41="",S41=0),"",T41/S41)</f>
        <v>0</v>
      </c>
      <c r="AB41" s="49">
        <f>IF(B41="","",IF(O41="EXPIRED","Certificate expired",IF(LEFT(O41,6)="Due in","Certificate due",IF(P41="","Action - background check",IF(AND(H41="Active",S41=0),"No bookings assigned","OK")))))</f>
        <v>0</v>
      </c>
    </row>
    <row r="42" spans="1:28">
      <c r="A42" s="46">
        <f>IF(B42="","","ST-"&amp;TEXT(ROW()-4,"000"))</f>
        <v>0</v>
      </c>
      <c r="O42" s="49">
        <f>IF(N42="","",IF(N42&lt;TODAY(),"EXPIRED",IF(N42-TODAY()&lt;=ExpiryAlertDays,"Due in "&amp;TEXT(N42-TODAY(),"0")&amp;" days","Valid")))</f>
        <v>0</v>
      </c>
      <c r="S42" s="31">
        <f>IF(B42="","",COUNTIFS(Bookings!$AL$5:$AL$404,B42,Bookings!$AM$5:$AM$404,"&lt;&gt;Cancelled"))</f>
        <v>0</v>
      </c>
      <c r="T42" s="31">
        <f>IF(B42="","",COUNTIFS('Visit Log'!$G$5:$G$404,B42,'Visit Log'!$AE$5:$AE$404,"Completed"))</f>
        <v>0</v>
      </c>
      <c r="U42" s="51">
        <f>IF(B42="","",ROUND(SUMIFS('Visit Log'!$K$5:$K$404,'Visit Log'!$G$5:$G$404,B42,'Visit Log'!$AE$5:$AE$404,"Completed")/60,2))</f>
        <v>0</v>
      </c>
      <c r="V42" s="32">
        <f>IF(B42="","",SUMIFS(Mileage!$M$5:$M$304,Mileage!$C$5:$C$304,B42,Mileage!$N$5:$N$304,"Business"))</f>
        <v>0</v>
      </c>
      <c r="W42" s="29">
        <f>IF(B42="","",SUMIFS(Bookings!$AK$5:$AK$404,Bookings!$AL$5:$AL$404,B42,Bookings!$AM$5:$AM$404,"&lt;&gt;Cancelled"))</f>
        <v>0</v>
      </c>
      <c r="X42" s="29">
        <f>IF(B42="","",ROUND(IF(K42="Hourly",U42*IF(L42="",0,L42),IF(K42="Per visit",T42*IF(L42="",0,L42),IF(K42="Commission %",W42*IF(L42="",0,L42)/100,0))),2))</f>
        <v>0</v>
      </c>
      <c r="Y42" s="29">
        <f>IF(OR(U42="",U42=0),"",ROUND(W42/U42,2))</f>
        <v>0</v>
      </c>
      <c r="Z42" s="30">
        <f>IF(OR(S42="",S42=0),"",T42/S42)</f>
        <v>0</v>
      </c>
      <c r="AB42" s="49">
        <f>IF(B42="","",IF(O42="EXPIRED","Certificate expired",IF(LEFT(O42,6)="Due in","Certificate due",IF(P42="","Action - background check",IF(AND(H42="Active",S42=0),"No bookings assigned","OK")))))</f>
        <v>0</v>
      </c>
    </row>
    <row r="43" spans="1:28">
      <c r="A43" s="46">
        <f>IF(B43="","","ST-"&amp;TEXT(ROW()-4,"000"))</f>
        <v>0</v>
      </c>
      <c r="O43" s="49">
        <f>IF(N43="","",IF(N43&lt;TODAY(),"EXPIRED",IF(N43-TODAY()&lt;=ExpiryAlertDays,"Due in "&amp;TEXT(N43-TODAY(),"0")&amp;" days","Valid")))</f>
        <v>0</v>
      </c>
      <c r="S43" s="31">
        <f>IF(B43="","",COUNTIFS(Bookings!$AL$5:$AL$404,B43,Bookings!$AM$5:$AM$404,"&lt;&gt;Cancelled"))</f>
        <v>0</v>
      </c>
      <c r="T43" s="31">
        <f>IF(B43="","",COUNTIFS('Visit Log'!$G$5:$G$404,B43,'Visit Log'!$AE$5:$AE$404,"Completed"))</f>
        <v>0</v>
      </c>
      <c r="U43" s="51">
        <f>IF(B43="","",ROUND(SUMIFS('Visit Log'!$K$5:$K$404,'Visit Log'!$G$5:$G$404,B43,'Visit Log'!$AE$5:$AE$404,"Completed")/60,2))</f>
        <v>0</v>
      </c>
      <c r="V43" s="32">
        <f>IF(B43="","",SUMIFS(Mileage!$M$5:$M$304,Mileage!$C$5:$C$304,B43,Mileage!$N$5:$N$304,"Business"))</f>
        <v>0</v>
      </c>
      <c r="W43" s="29">
        <f>IF(B43="","",SUMIFS(Bookings!$AK$5:$AK$404,Bookings!$AL$5:$AL$404,B43,Bookings!$AM$5:$AM$404,"&lt;&gt;Cancelled"))</f>
        <v>0</v>
      </c>
      <c r="X43" s="29">
        <f>IF(B43="","",ROUND(IF(K43="Hourly",U43*IF(L43="",0,L43),IF(K43="Per visit",T43*IF(L43="",0,L43),IF(K43="Commission %",W43*IF(L43="",0,L43)/100,0))),2))</f>
        <v>0</v>
      </c>
      <c r="Y43" s="29">
        <f>IF(OR(U43="",U43=0),"",ROUND(W43/U43,2))</f>
        <v>0</v>
      </c>
      <c r="Z43" s="30">
        <f>IF(OR(S43="",S43=0),"",T43/S43)</f>
        <v>0</v>
      </c>
      <c r="AB43" s="49">
        <f>IF(B43="","",IF(O43="EXPIRED","Certificate expired",IF(LEFT(O43,6)="Due in","Certificate due",IF(P43="","Action - background check",IF(AND(H43="Active",S43=0),"No bookings assigned","OK")))))</f>
        <v>0</v>
      </c>
    </row>
    <row r="44" spans="1:28">
      <c r="A44" s="46">
        <f>IF(B44="","","ST-"&amp;TEXT(ROW()-4,"000"))</f>
        <v>0</v>
      </c>
      <c r="O44" s="49">
        <f>IF(N44="","",IF(N44&lt;TODAY(),"EXPIRED",IF(N44-TODAY()&lt;=ExpiryAlertDays,"Due in "&amp;TEXT(N44-TODAY(),"0")&amp;" days","Valid")))</f>
        <v>0</v>
      </c>
      <c r="S44" s="31">
        <f>IF(B44="","",COUNTIFS(Bookings!$AL$5:$AL$404,B44,Bookings!$AM$5:$AM$404,"&lt;&gt;Cancelled"))</f>
        <v>0</v>
      </c>
      <c r="T44" s="31">
        <f>IF(B44="","",COUNTIFS('Visit Log'!$G$5:$G$404,B44,'Visit Log'!$AE$5:$AE$404,"Completed"))</f>
        <v>0</v>
      </c>
      <c r="U44" s="51">
        <f>IF(B44="","",ROUND(SUMIFS('Visit Log'!$K$5:$K$404,'Visit Log'!$G$5:$G$404,B44,'Visit Log'!$AE$5:$AE$404,"Completed")/60,2))</f>
        <v>0</v>
      </c>
      <c r="V44" s="32">
        <f>IF(B44="","",SUMIFS(Mileage!$M$5:$M$304,Mileage!$C$5:$C$304,B44,Mileage!$N$5:$N$304,"Business"))</f>
        <v>0</v>
      </c>
      <c r="W44" s="29">
        <f>IF(B44="","",SUMIFS(Bookings!$AK$5:$AK$404,Bookings!$AL$5:$AL$404,B44,Bookings!$AM$5:$AM$404,"&lt;&gt;Cancelled"))</f>
        <v>0</v>
      </c>
      <c r="X44" s="29">
        <f>IF(B44="","",ROUND(IF(K44="Hourly",U44*IF(L44="",0,L44),IF(K44="Per visit",T44*IF(L44="",0,L44),IF(K44="Commission %",W44*IF(L44="",0,L44)/100,0))),2))</f>
        <v>0</v>
      </c>
      <c r="Y44" s="29">
        <f>IF(OR(U44="",U44=0),"",ROUND(W44/U44,2))</f>
        <v>0</v>
      </c>
      <c r="Z44" s="30">
        <f>IF(OR(S44="",S44=0),"",T44/S44)</f>
        <v>0</v>
      </c>
      <c r="AB44" s="49">
        <f>IF(B44="","",IF(O44="EXPIRED","Certificate expired",IF(LEFT(O44,6)="Due in","Certificate due",IF(P44="","Action - background check",IF(AND(H44="Active",S44=0),"No bookings assigned","OK")))))</f>
        <v>0</v>
      </c>
    </row>
  </sheetData>
  <sheetProtection password="EC7C" sheet="1" objects="1" scenarios="1" formatCells="0" formatColumns="0" formatRows="0" insertRows="0" insertHyperlinks="0" deleteRows="0" autoFilter="0"/>
  <autoFilter ref="A4:AB44"/>
  <mergeCells count="13">
    <mergeCell ref="A1:Y1"/>
    <mergeCell ref="Z1:AB1"/>
    <mergeCell ref="A2:AB2"/>
    <mergeCell ref="A3:B3"/>
    <mergeCell ref="C3:D3"/>
    <mergeCell ref="E3:F3"/>
    <mergeCell ref="G3:H3"/>
    <mergeCell ref="I3:J3"/>
    <mergeCell ref="K3:L3"/>
    <mergeCell ref="M3:N3"/>
    <mergeCell ref="O3:P3"/>
    <mergeCell ref="Q3:R3"/>
    <mergeCell ref="S3:AB3"/>
  </mergeCells>
  <conditionalFormatting sqref="AB5:AB44">
    <cfRule type="beginsWith" dxfId="0" priority="26" operator="beginsWith" text="OK">
      <formula>LEFT(AB5,2)="OK"</formula>
    </cfRule>
    <cfRule type="containsText" dxfId="1" priority="27" operator="containsText" text="Overdue">
      <formula>NOT(ISERROR(SEARCH("Overdue",AB5)))</formula>
    </cfRule>
    <cfRule type="containsText" dxfId="1" priority="28" operator="containsText" text="Missed">
      <formula>NOT(ISERROR(SEARCH("Missed",AB5)))</formula>
    </cfRule>
    <cfRule type="containsText" dxfId="1" priority="29" operator="containsText" text="Conflict">
      <formula>NOT(ISERROR(SEARCH("Conflict",AB5)))</formula>
    </cfRule>
    <cfRule type="containsText" dxfId="1" priority="30" operator="containsText" text="Expired">
      <formula>NOT(ISERROR(SEARCH("Expired",AB5)))</formula>
    </cfRule>
    <cfRule type="containsText" dxfId="1" priority="31" operator="containsText" text="Duplicate">
      <formula>NOT(ISERROR(SEARCH("Duplicate",AB5)))</formula>
    </cfRule>
    <cfRule type="containsText" dxfId="2" priority="32" operator="containsText" text="Action">
      <formula>NOT(ISERROR(SEARCH("Action",AB5)))</formula>
    </cfRule>
    <cfRule type="containsText" dxfId="2" priority="33" operator="containsText" text="Due">
      <formula>NOT(ISERROR(SEARCH("Due",AB5)))</formula>
    </cfRule>
    <cfRule type="containsText" dxfId="2" priority="34" operator="containsText" text="Check">
      <formula>NOT(ISERROR(SEARCH("Check",AB5)))</formula>
    </cfRule>
    <cfRule type="containsText" dxfId="3" priority="35" operator="containsText" text="Today">
      <formula>NOT(ISERROR(SEARCH("Today",AB5)))</formula>
    </cfRule>
    <cfRule type="containsText" dxfId="3" priority="36" operator="containsText" text="Upcoming">
      <formula>NOT(ISERROR(SEARCH("Upcoming",AB5)))</formula>
    </cfRule>
  </conditionalFormatting>
  <conditionalFormatting sqref="H5:H44">
    <cfRule type="containsText" dxfId="0" priority="1" operator="containsText" text="Completed">
      <formula>NOT(ISERROR(SEARCH("Completed",H5)))</formula>
    </cfRule>
    <cfRule type="containsText" dxfId="0" priority="2" operator="containsText" text="Confirmed">
      <formula>NOT(ISERROR(SEARCH("Confirmed",H5)))</formula>
    </cfRule>
    <cfRule type="containsText" dxfId="0" priority="3" operator="containsText" text="Paid">
      <formula>NOT(ISERROR(SEARCH("Paid",H5)))</formula>
    </cfRule>
    <cfRule type="containsText" dxfId="0" priority="4" operator="containsText" text="Active">
      <formula>NOT(ISERROR(SEARCH("Active",H5)))</formula>
    </cfRule>
    <cfRule type="containsText" dxfId="0" priority="5" operator="containsText" text="Resolved">
      <formula>NOT(ISERROR(SEARCH("Resolved",H5)))</formula>
    </cfRule>
    <cfRule type="containsText" dxfId="0" priority="6" operator="containsText" text="Given">
      <formula>NOT(ISERROR(SEARCH("Given",H5)))</formula>
    </cfRule>
    <cfRule type="containsText" dxfId="2" priority="7" operator="containsText" text="Pending">
      <formula>NOT(ISERROR(SEARCH("Pending",H5)))</formula>
    </cfRule>
    <cfRule type="containsText" dxfId="2" priority="8" operator="containsText" text="Draft">
      <formula>NOT(ISERROR(SEARCH("Draft",H5)))</formula>
    </cfRule>
    <cfRule type="containsText" dxfId="2" priority="9" operator="containsText" text="Enquiry">
      <formula>NOT(ISERROR(SEARCH("Enquiry",H5)))</formula>
    </cfRule>
    <cfRule type="containsText" dxfId="2" priority="10" operator="containsText" text="Partially">
      <formula>NOT(ISERROR(SEARCH("Partially",H5)))</formula>
    </cfRule>
    <cfRule type="containsText" dxfId="3" priority="11" operator="containsText" text="In progress">
      <formula>NOT(ISERROR(SEARCH("In progress",H5)))</formula>
    </cfRule>
    <cfRule type="containsText" dxfId="3" priority="12" operator="containsText" text="Scheduled">
      <formula>NOT(ISERROR(SEARCH("Scheduled",H5)))</formula>
    </cfRule>
    <cfRule type="containsText" dxfId="3" priority="13" operator="containsText" text="Sent">
      <formula>NOT(ISERROR(SEARCH("Sent",H5)))</formula>
    </cfRule>
    <cfRule type="containsText" dxfId="1" priority="14" operator="containsText" text="Cancelled">
      <formula>NOT(ISERROR(SEARCH("Cancelled",H5)))</formula>
    </cfRule>
    <cfRule type="containsText" dxfId="1" priority="15" operator="containsText" text="No show">
      <formula>NOT(ISERROR(SEARCH("No show",H5)))</formula>
    </cfRule>
    <cfRule type="containsText" dxfId="1" priority="16" operator="containsText" text="Missed">
      <formula>NOT(ISERROR(SEARCH("Missed",H5)))</formula>
    </cfRule>
    <cfRule type="containsText" dxfId="1" priority="17" operator="containsText" text="Overdue">
      <formula>NOT(ISERROR(SEARCH("Overdue",H5)))</formula>
    </cfRule>
    <cfRule type="containsText" dxfId="4" priority="18" operator="containsText" text="Inactive">
      <formula>NOT(ISERROR(SEARCH("Inactive",H5)))</formula>
    </cfRule>
    <cfRule type="containsText" dxfId="1" priority="19" operator="containsText" text="Lost">
      <formula>NOT(ISERROR(SEARCH("Lost",H5)))</formula>
    </cfRule>
  </conditionalFormatting>
  <conditionalFormatting sqref="O5:O44">
    <cfRule type="containsText" dxfId="5" priority="20" operator="containsText" text="EXPIRED">
      <formula>NOT(ISERROR(SEARCH("EXPIRED",O5)))</formula>
    </cfRule>
    <cfRule type="containsText" dxfId="2" priority="21" operator="containsText" text="Due in">
      <formula>NOT(ISERROR(SEARCH("Due in",O5)))</formula>
    </cfRule>
    <cfRule type="containsText" dxfId="0" priority="22" operator="containsText" text="Valid">
      <formula>NOT(ISERROR(SEARCH("Valid",O5)))</formula>
    </cfRule>
  </conditionalFormatting>
  <conditionalFormatting sqref="W5:W44">
    <cfRule type="dataBar" priority="23">
      <dataBar>
        <cfvo type="min" val="0"/>
        <cfvo type="max" val="0"/>
        <color rgb="FF2E7D8F"/>
      </dataBar>
    </cfRule>
  </conditionalFormatting>
  <conditionalFormatting sqref="Z5:Z44">
    <cfRule type="cellIs" dxfId="2" priority="24" operator="lessThan">
      <formula>0.8</formula>
    </cfRule>
    <cfRule type="cellIs" dxfId="0" priority="25" operator="greaterThanOrEqual">
      <formula>0.95</formula>
    </cfRule>
  </conditionalFormatting>
  <dataValidations count="8">
    <dataValidation type="list" allowBlank="1" showInputMessage="1" showErrorMessage="1" sqref="E5:E44">
      <formula1>StaffRoleList</formula1>
    </dataValidation>
    <dataValidation type="list" allowBlank="1" showInputMessage="1" showErrorMessage="1" sqref="F5:F44">
      <formula1>EmploymentTypeList</formula1>
    </dataValidation>
    <dataValidation type="date" allowBlank="1" showInputMessage="1" showErrorMessage="1" errorTitle="Check the date" error="Enter a real date between 2000 and 2100." sqref="G5:G44">
      <formula1>36526</formula1>
      <formula2>73415</formula2>
    </dataValidation>
    <dataValidation type="list" allowBlank="1" showInputMessage="1" showErrorMessage="1" sqref="H5:H44">
      <formula1>StaffStatusList</formula1>
    </dataValidation>
    <dataValidation type="list" allowBlank="1" showInputMessage="1" showErrorMessage="1" sqref="K5:K44">
      <formula1>PayTypeList</formula1>
    </dataValidation>
    <dataValidation type="decimal" allowBlank="1" showInputMessage="1" showErrorMessage="1" errorTitle="Check the value" error="Enter a number between 0 and 100000." promptTitle="Pay rate" prompt="Hourly rate, per-visit fee, or the commission percentage as a number (55 = 55%)." sqref="L5:L44">
      <formula1>0</formula1>
      <formula2>100000</formula2>
    </dataValidation>
    <dataValidation type="date" allowBlank="1" showInputMessage="1" showErrorMessage="1" errorTitle="Check the date" error="Enter a real date between 2000 and 2100." sqref="N5:N44">
      <formula1>36526</formula1>
      <formula2>73415</formula2>
    </dataValidation>
    <dataValidation type="date" allowBlank="1" showInputMessage="1" showErrorMessage="1" errorTitle="Check the date" error="Enter a real date between 2000 and 2100." sqref="P5:P44">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&amp;L&amp;"Calibri,Bold"&amp;12&amp;C&amp;"Calibri,Bold"&amp;11Staff&amp;R&amp;"Calibri,Italic"&amp;9Pet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8.xml><?xml version="1.0" encoding="utf-8"?>
<worksheet xmlns="http://schemas.openxmlformats.org/spreadsheetml/2006/main" xmlns:r="http://schemas.openxmlformats.org/officeDocument/2006/relationships">
  <sheetPr>
    <tabColor rgb="FF2E7D8F"/>
    <pageSetUpPr fitToPage="1"/>
  </sheetPr>
  <dimension ref="A1:S124"/>
  <sheetViews>
    <sheetView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9.7109375" style="46" customWidth="1"/>
    <col min="2" max="2" width="28.7109375" style="20" customWidth="1"/>
    <col min="3" max="3" width="18.7109375" style="20" customWidth="1"/>
    <col min="4" max="4" width="20.7109375" style="20" customWidth="1"/>
    <col min="5" max="5" width="10.7109375" style="20" customWidth="1"/>
    <col min="6" max="6" width="11.7109375" style="42" customWidth="1"/>
    <col min="7" max="7" width="10.7109375" style="43" customWidth="1"/>
    <col min="8" max="8" width="10.7109375" style="43" customWidth="1"/>
    <col min="9" max="9" width="10.7109375" style="43" customWidth="1"/>
    <col min="10" max="10" width="12.7109375" style="29" customWidth="1"/>
    <col min="11" max="11" width="14.7109375" style="49" customWidth="1"/>
    <col min="12" max="12" width="12.7109375" style="39" customWidth="1"/>
    <col min="13" max="13" width="10.7109375" style="43" customWidth="1"/>
    <col min="14" max="14" width="12.7109375" style="29" customWidth="1"/>
    <col min="15" max="15" width="12.7109375" style="39" customWidth="1"/>
    <col min="16" max="16" width="14.7109375" style="49" customWidth="1"/>
    <col min="17" max="17" width="10.7109375" style="43" customWidth="1"/>
    <col min="18" max="18" width="26.7109375" style="47" customWidth="1"/>
    <col min="19" max="19" width="22.7109375" style="49" customWidth="1"/>
  </cols>
  <sheetData>
    <row r="1" spans="1:19" ht="34" customHeight="1">
      <c r="A1" s="2" t="s">
        <v>963</v>
      </c>
      <c r="B1" s="2"/>
      <c r="C1" s="2"/>
      <c r="D1" s="2"/>
      <c r="E1" s="2"/>
      <c r="F1" s="2"/>
      <c r="G1" s="2"/>
      <c r="H1" s="2"/>
      <c r="I1" s="2"/>
      <c r="J1" s="2"/>
      <c r="K1" s="2"/>
      <c r="L1" s="2"/>
      <c r="M1" s="2"/>
      <c r="N1" s="2"/>
      <c r="O1" s="2"/>
      <c r="P1" s="2"/>
      <c r="Q1" s="3" t="s">
        <v>118</v>
      </c>
      <c r="R1" s="3"/>
      <c r="S1" s="3"/>
    </row>
    <row r="2" spans="1:19" ht="18" customHeight="1">
      <c r="A2" s="4" t="s">
        <v>964</v>
      </c>
      <c r="B2" s="4"/>
      <c r="C2" s="4"/>
      <c r="D2" s="4"/>
      <c r="E2" s="4"/>
      <c r="F2" s="4"/>
      <c r="G2" s="4"/>
      <c r="H2" s="4"/>
      <c r="I2" s="4"/>
      <c r="J2" s="4"/>
      <c r="K2" s="4"/>
      <c r="L2" s="4"/>
      <c r="M2" s="4"/>
      <c r="N2" s="4"/>
      <c r="O2" s="4"/>
      <c r="P2" s="4"/>
      <c r="Q2" s="4"/>
      <c r="R2" s="4"/>
      <c r="S2" s="4"/>
    </row>
    <row r="3" spans="1:19"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38" t="s">
        <v>202</v>
      </c>
    </row>
    <row r="4" spans="1:19" ht="30" customHeight="1">
      <c r="A4" s="8" t="s">
        <v>642</v>
      </c>
      <c r="B4" s="8" t="s">
        <v>965</v>
      </c>
      <c r="C4" s="9" t="s">
        <v>200</v>
      </c>
      <c r="D4" s="9" t="s">
        <v>966</v>
      </c>
      <c r="E4" s="9" t="s">
        <v>967</v>
      </c>
      <c r="F4" s="9" t="s">
        <v>968</v>
      </c>
      <c r="G4" s="9" t="s">
        <v>969</v>
      </c>
      <c r="H4" s="9" t="s">
        <v>970</v>
      </c>
      <c r="I4" s="9" t="s">
        <v>971</v>
      </c>
      <c r="J4" s="9" t="s">
        <v>972</v>
      </c>
      <c r="K4" s="9" t="s">
        <v>973</v>
      </c>
      <c r="L4" s="9" t="s">
        <v>974</v>
      </c>
      <c r="M4" s="9" t="s">
        <v>975</v>
      </c>
      <c r="N4" s="9" t="s">
        <v>976</v>
      </c>
      <c r="O4" s="9" t="s">
        <v>977</v>
      </c>
      <c r="P4" s="9" t="s">
        <v>978</v>
      </c>
      <c r="Q4" s="9" t="s">
        <v>979</v>
      </c>
      <c r="R4" s="9" t="s">
        <v>339</v>
      </c>
      <c r="S4" s="9" t="s">
        <v>686</v>
      </c>
    </row>
    <row r="5" spans="1:19">
      <c r="A5" s="46">
        <f>IF(B5="","","IT-"&amp;TEXT(ROW()-4,"000"))</f>
        <v>0</v>
      </c>
      <c r="J5" s="29">
        <f>IF(B5="","",ROUND(IF(G5="",0,G5)*IF(F5="",0,F5),2))</f>
        <v>0</v>
      </c>
      <c r="K5" s="49">
        <f>IF(B5="","",IF(G5="","Set stock level",IF(G5&lt;=0,"Out of stock",IF(G5&lt;=IF(H5="",0,H5),"Low - reorder","OK"))))</f>
        <v>0</v>
      </c>
      <c r="N5" s="29">
        <f>IF(B5="","",ROUND(IF(M5="",0,M5)*IF(F5="",0,F5),2))</f>
        <v>0</v>
      </c>
      <c r="P5" s="49">
        <f>IF(O5="","",IF(O5&lt;TODAY(),"EXPIRED",IF(O5-TODAY()&lt;=ExpiryAlertDays,"Use within "&amp;TEXT(O5-TODAY(),"0")&amp;" days","OK")))</f>
        <v>0</v>
      </c>
      <c r="S5" s="49">
        <f>IF(B5="","",IF(K5="Out of stock","Order now - out of stock",IF(K5="Low - reorder","Reorder "&amp;TEXT(IF(I5="",0,I5),"0")&amp;" "&amp;E5,IF(P5="EXPIRED","Dispose - expired","OK"))))</f>
        <v>0</v>
      </c>
    </row>
    <row r="6" spans="1:19">
      <c r="A6" s="46">
        <f>IF(B6="","","IT-"&amp;TEXT(ROW()-4,"000"))</f>
        <v>0</v>
      </c>
      <c r="J6" s="29">
        <f>IF(B6="","",ROUND(IF(G6="",0,G6)*IF(F6="",0,F6),2))</f>
        <v>0</v>
      </c>
      <c r="K6" s="49">
        <f>IF(B6="","",IF(G6="","Set stock level",IF(G6&lt;=0,"Out of stock",IF(G6&lt;=IF(H6="",0,H6),"Low - reorder","OK"))))</f>
        <v>0</v>
      </c>
      <c r="N6" s="29">
        <f>IF(B6="","",ROUND(IF(M6="",0,M6)*IF(F6="",0,F6),2))</f>
        <v>0</v>
      </c>
      <c r="P6" s="49">
        <f>IF(O6="","",IF(O6&lt;TODAY(),"EXPIRED",IF(O6-TODAY()&lt;=ExpiryAlertDays,"Use within "&amp;TEXT(O6-TODAY(),"0")&amp;" days","OK")))</f>
        <v>0</v>
      </c>
      <c r="S6" s="49">
        <f>IF(B6="","",IF(K6="Out of stock","Order now - out of stock",IF(K6="Low - reorder","Reorder "&amp;TEXT(IF(I6="",0,I6),"0")&amp;" "&amp;E6,IF(P6="EXPIRED","Dispose - expired","OK"))))</f>
        <v>0</v>
      </c>
    </row>
    <row r="7" spans="1:19">
      <c r="A7" s="46">
        <f>IF(B7="","","IT-"&amp;TEXT(ROW()-4,"000"))</f>
        <v>0</v>
      </c>
      <c r="J7" s="29">
        <f>IF(B7="","",ROUND(IF(G7="",0,G7)*IF(F7="",0,F7),2))</f>
        <v>0</v>
      </c>
      <c r="K7" s="49">
        <f>IF(B7="","",IF(G7="","Set stock level",IF(G7&lt;=0,"Out of stock",IF(G7&lt;=IF(H7="",0,H7),"Low - reorder","OK"))))</f>
        <v>0</v>
      </c>
      <c r="N7" s="29">
        <f>IF(B7="","",ROUND(IF(M7="",0,M7)*IF(F7="",0,F7),2))</f>
        <v>0</v>
      </c>
      <c r="P7" s="49">
        <f>IF(O7="","",IF(O7&lt;TODAY(),"EXPIRED",IF(O7-TODAY()&lt;=ExpiryAlertDays,"Use within "&amp;TEXT(O7-TODAY(),"0")&amp;" days","OK")))</f>
        <v>0</v>
      </c>
      <c r="S7" s="49">
        <f>IF(B7="","",IF(K7="Out of stock","Order now - out of stock",IF(K7="Low - reorder","Reorder "&amp;TEXT(IF(I7="",0,I7),"0")&amp;" "&amp;E7,IF(P7="EXPIRED","Dispose - expired","OK"))))</f>
        <v>0</v>
      </c>
    </row>
    <row r="8" spans="1:19">
      <c r="A8" s="46">
        <f>IF(B8="","","IT-"&amp;TEXT(ROW()-4,"000"))</f>
        <v>0</v>
      </c>
      <c r="J8" s="29">
        <f>IF(B8="","",ROUND(IF(G8="",0,G8)*IF(F8="",0,F8),2))</f>
        <v>0</v>
      </c>
      <c r="K8" s="49">
        <f>IF(B8="","",IF(G8="","Set stock level",IF(G8&lt;=0,"Out of stock",IF(G8&lt;=IF(H8="",0,H8),"Low - reorder","OK"))))</f>
        <v>0</v>
      </c>
      <c r="N8" s="29">
        <f>IF(B8="","",ROUND(IF(M8="",0,M8)*IF(F8="",0,F8),2))</f>
        <v>0</v>
      </c>
      <c r="P8" s="49">
        <f>IF(O8="","",IF(O8&lt;TODAY(),"EXPIRED",IF(O8-TODAY()&lt;=ExpiryAlertDays,"Use within "&amp;TEXT(O8-TODAY(),"0")&amp;" days","OK")))</f>
        <v>0</v>
      </c>
      <c r="S8" s="49">
        <f>IF(B8="","",IF(K8="Out of stock","Order now - out of stock",IF(K8="Low - reorder","Reorder "&amp;TEXT(IF(I8="",0,I8),"0")&amp;" "&amp;E8,IF(P8="EXPIRED","Dispose - expired","OK"))))</f>
        <v>0</v>
      </c>
    </row>
    <row r="9" spans="1:19">
      <c r="A9" s="46">
        <f>IF(B9="","","IT-"&amp;TEXT(ROW()-4,"000"))</f>
        <v>0</v>
      </c>
      <c r="J9" s="29">
        <f>IF(B9="","",ROUND(IF(G9="",0,G9)*IF(F9="",0,F9),2))</f>
        <v>0</v>
      </c>
      <c r="K9" s="49">
        <f>IF(B9="","",IF(G9="","Set stock level",IF(G9&lt;=0,"Out of stock",IF(G9&lt;=IF(H9="",0,H9),"Low - reorder","OK"))))</f>
        <v>0</v>
      </c>
      <c r="N9" s="29">
        <f>IF(B9="","",ROUND(IF(M9="",0,M9)*IF(F9="",0,F9),2))</f>
        <v>0</v>
      </c>
      <c r="P9" s="49">
        <f>IF(O9="","",IF(O9&lt;TODAY(),"EXPIRED",IF(O9-TODAY()&lt;=ExpiryAlertDays,"Use within "&amp;TEXT(O9-TODAY(),"0")&amp;" days","OK")))</f>
        <v>0</v>
      </c>
      <c r="S9" s="49">
        <f>IF(B9="","",IF(K9="Out of stock","Order now - out of stock",IF(K9="Low - reorder","Reorder "&amp;TEXT(IF(I9="",0,I9),"0")&amp;" "&amp;E9,IF(P9="EXPIRED","Dispose - expired","OK"))))</f>
        <v>0</v>
      </c>
    </row>
    <row r="10" spans="1:19">
      <c r="A10" s="46">
        <f>IF(B10="","","IT-"&amp;TEXT(ROW()-4,"000"))</f>
        <v>0</v>
      </c>
      <c r="J10" s="29">
        <f>IF(B10="","",ROUND(IF(G10="",0,G10)*IF(F10="",0,F10),2))</f>
        <v>0</v>
      </c>
      <c r="K10" s="49">
        <f>IF(B10="","",IF(G10="","Set stock level",IF(G10&lt;=0,"Out of stock",IF(G10&lt;=IF(H10="",0,H10),"Low - reorder","OK"))))</f>
        <v>0</v>
      </c>
      <c r="N10" s="29">
        <f>IF(B10="","",ROUND(IF(M10="",0,M10)*IF(F10="",0,F10),2))</f>
        <v>0</v>
      </c>
      <c r="P10" s="49">
        <f>IF(O10="","",IF(O10&lt;TODAY(),"EXPIRED",IF(O10-TODAY()&lt;=ExpiryAlertDays,"Use within "&amp;TEXT(O10-TODAY(),"0")&amp;" days","OK")))</f>
        <v>0</v>
      </c>
      <c r="S10" s="49">
        <f>IF(B10="","",IF(K10="Out of stock","Order now - out of stock",IF(K10="Low - reorder","Reorder "&amp;TEXT(IF(I10="",0,I10),"0")&amp;" "&amp;E10,IF(P10="EXPIRED","Dispose - expired","OK"))))</f>
        <v>0</v>
      </c>
    </row>
    <row r="11" spans="1:19">
      <c r="A11" s="46">
        <f>IF(B11="","","IT-"&amp;TEXT(ROW()-4,"000"))</f>
        <v>0</v>
      </c>
      <c r="J11" s="29">
        <f>IF(B11="","",ROUND(IF(G11="",0,G11)*IF(F11="",0,F11),2))</f>
        <v>0</v>
      </c>
      <c r="K11" s="49">
        <f>IF(B11="","",IF(G11="","Set stock level",IF(G11&lt;=0,"Out of stock",IF(G11&lt;=IF(H11="",0,H11),"Low - reorder","OK"))))</f>
        <v>0</v>
      </c>
      <c r="N11" s="29">
        <f>IF(B11="","",ROUND(IF(M11="",0,M11)*IF(F11="",0,F11),2))</f>
        <v>0</v>
      </c>
      <c r="P11" s="49">
        <f>IF(O11="","",IF(O11&lt;TODAY(),"EXPIRED",IF(O11-TODAY()&lt;=ExpiryAlertDays,"Use within "&amp;TEXT(O11-TODAY(),"0")&amp;" days","OK")))</f>
        <v>0</v>
      </c>
      <c r="S11" s="49">
        <f>IF(B11="","",IF(K11="Out of stock","Order now - out of stock",IF(K11="Low - reorder","Reorder "&amp;TEXT(IF(I11="",0,I11),"0")&amp;" "&amp;E11,IF(P11="EXPIRED","Dispose - expired","OK"))))</f>
        <v>0</v>
      </c>
    </row>
    <row r="12" spans="1:19">
      <c r="A12" s="46">
        <f>IF(B12="","","IT-"&amp;TEXT(ROW()-4,"000"))</f>
        <v>0</v>
      </c>
      <c r="J12" s="29">
        <f>IF(B12="","",ROUND(IF(G12="",0,G12)*IF(F12="",0,F12),2))</f>
        <v>0</v>
      </c>
      <c r="K12" s="49">
        <f>IF(B12="","",IF(G12="","Set stock level",IF(G12&lt;=0,"Out of stock",IF(G12&lt;=IF(H12="",0,H12),"Low - reorder","OK"))))</f>
        <v>0</v>
      </c>
      <c r="N12" s="29">
        <f>IF(B12="","",ROUND(IF(M12="",0,M12)*IF(F12="",0,F12),2))</f>
        <v>0</v>
      </c>
      <c r="P12" s="49">
        <f>IF(O12="","",IF(O12&lt;TODAY(),"EXPIRED",IF(O12-TODAY()&lt;=ExpiryAlertDays,"Use within "&amp;TEXT(O12-TODAY(),"0")&amp;" days","OK")))</f>
        <v>0</v>
      </c>
      <c r="S12" s="49">
        <f>IF(B12="","",IF(K12="Out of stock","Order now - out of stock",IF(K12="Low - reorder","Reorder "&amp;TEXT(IF(I12="",0,I12),"0")&amp;" "&amp;E12,IF(P12="EXPIRED","Dispose - expired","OK"))))</f>
        <v>0</v>
      </c>
    </row>
    <row r="13" spans="1:19">
      <c r="A13" s="46">
        <f>IF(B13="","","IT-"&amp;TEXT(ROW()-4,"000"))</f>
        <v>0</v>
      </c>
      <c r="J13" s="29">
        <f>IF(B13="","",ROUND(IF(G13="",0,G13)*IF(F13="",0,F13),2))</f>
        <v>0</v>
      </c>
      <c r="K13" s="49">
        <f>IF(B13="","",IF(G13="","Set stock level",IF(G13&lt;=0,"Out of stock",IF(G13&lt;=IF(H13="",0,H13),"Low - reorder","OK"))))</f>
        <v>0</v>
      </c>
      <c r="N13" s="29">
        <f>IF(B13="","",ROUND(IF(M13="",0,M13)*IF(F13="",0,F13),2))</f>
        <v>0</v>
      </c>
      <c r="P13" s="49">
        <f>IF(O13="","",IF(O13&lt;TODAY(),"EXPIRED",IF(O13-TODAY()&lt;=ExpiryAlertDays,"Use within "&amp;TEXT(O13-TODAY(),"0")&amp;" days","OK")))</f>
        <v>0</v>
      </c>
      <c r="S13" s="49">
        <f>IF(B13="","",IF(K13="Out of stock","Order now - out of stock",IF(K13="Low - reorder","Reorder "&amp;TEXT(IF(I13="",0,I13),"0")&amp;" "&amp;E13,IF(P13="EXPIRED","Dispose - expired","OK"))))</f>
        <v>0</v>
      </c>
    </row>
    <row r="14" spans="1:19">
      <c r="A14" s="46">
        <f>IF(B14="","","IT-"&amp;TEXT(ROW()-4,"000"))</f>
        <v>0</v>
      </c>
      <c r="J14" s="29">
        <f>IF(B14="","",ROUND(IF(G14="",0,G14)*IF(F14="",0,F14),2))</f>
        <v>0</v>
      </c>
      <c r="K14" s="49">
        <f>IF(B14="","",IF(G14="","Set stock level",IF(G14&lt;=0,"Out of stock",IF(G14&lt;=IF(H14="",0,H14),"Low - reorder","OK"))))</f>
        <v>0</v>
      </c>
      <c r="N14" s="29">
        <f>IF(B14="","",ROUND(IF(M14="",0,M14)*IF(F14="",0,F14),2))</f>
        <v>0</v>
      </c>
      <c r="P14" s="49">
        <f>IF(O14="","",IF(O14&lt;TODAY(),"EXPIRED",IF(O14-TODAY()&lt;=ExpiryAlertDays,"Use within "&amp;TEXT(O14-TODAY(),"0")&amp;" days","OK")))</f>
        <v>0</v>
      </c>
      <c r="S14" s="49">
        <f>IF(B14="","",IF(K14="Out of stock","Order now - out of stock",IF(K14="Low - reorder","Reorder "&amp;TEXT(IF(I14="",0,I14),"0")&amp;" "&amp;E14,IF(P14="EXPIRED","Dispose - expired","OK"))))</f>
        <v>0</v>
      </c>
    </row>
    <row r="15" spans="1:19">
      <c r="A15" s="46">
        <f>IF(B15="","","IT-"&amp;TEXT(ROW()-4,"000"))</f>
        <v>0</v>
      </c>
      <c r="J15" s="29">
        <f>IF(B15="","",ROUND(IF(G15="",0,G15)*IF(F15="",0,F15),2))</f>
        <v>0</v>
      </c>
      <c r="K15" s="49">
        <f>IF(B15="","",IF(G15="","Set stock level",IF(G15&lt;=0,"Out of stock",IF(G15&lt;=IF(H15="",0,H15),"Low - reorder","OK"))))</f>
        <v>0</v>
      </c>
      <c r="N15" s="29">
        <f>IF(B15="","",ROUND(IF(M15="",0,M15)*IF(F15="",0,F15),2))</f>
        <v>0</v>
      </c>
      <c r="P15" s="49">
        <f>IF(O15="","",IF(O15&lt;TODAY(),"EXPIRED",IF(O15-TODAY()&lt;=ExpiryAlertDays,"Use within "&amp;TEXT(O15-TODAY(),"0")&amp;" days","OK")))</f>
        <v>0</v>
      </c>
      <c r="S15" s="49">
        <f>IF(B15="","",IF(K15="Out of stock","Order now - out of stock",IF(K15="Low - reorder","Reorder "&amp;TEXT(IF(I15="",0,I15),"0")&amp;" "&amp;E15,IF(P15="EXPIRED","Dispose - expired","OK"))))</f>
        <v>0</v>
      </c>
    </row>
    <row r="16" spans="1:19">
      <c r="A16" s="46">
        <f>IF(B16="","","IT-"&amp;TEXT(ROW()-4,"000"))</f>
        <v>0</v>
      </c>
      <c r="J16" s="29">
        <f>IF(B16="","",ROUND(IF(G16="",0,G16)*IF(F16="",0,F16),2))</f>
        <v>0</v>
      </c>
      <c r="K16" s="49">
        <f>IF(B16="","",IF(G16="","Set stock level",IF(G16&lt;=0,"Out of stock",IF(G16&lt;=IF(H16="",0,H16),"Low - reorder","OK"))))</f>
        <v>0</v>
      </c>
      <c r="N16" s="29">
        <f>IF(B16="","",ROUND(IF(M16="",0,M16)*IF(F16="",0,F16),2))</f>
        <v>0</v>
      </c>
      <c r="P16" s="49">
        <f>IF(O16="","",IF(O16&lt;TODAY(),"EXPIRED",IF(O16-TODAY()&lt;=ExpiryAlertDays,"Use within "&amp;TEXT(O16-TODAY(),"0")&amp;" days","OK")))</f>
        <v>0</v>
      </c>
      <c r="S16" s="49">
        <f>IF(B16="","",IF(K16="Out of stock","Order now - out of stock",IF(K16="Low - reorder","Reorder "&amp;TEXT(IF(I16="",0,I16),"0")&amp;" "&amp;E16,IF(P16="EXPIRED","Dispose - expired","OK"))))</f>
        <v>0</v>
      </c>
    </row>
    <row r="17" spans="1:19">
      <c r="A17" s="46">
        <f>IF(B17="","","IT-"&amp;TEXT(ROW()-4,"000"))</f>
        <v>0</v>
      </c>
      <c r="J17" s="29">
        <f>IF(B17="","",ROUND(IF(G17="",0,G17)*IF(F17="",0,F17),2))</f>
        <v>0</v>
      </c>
      <c r="K17" s="49">
        <f>IF(B17="","",IF(G17="","Set stock level",IF(G17&lt;=0,"Out of stock",IF(G17&lt;=IF(H17="",0,H17),"Low - reorder","OK"))))</f>
        <v>0</v>
      </c>
      <c r="N17" s="29">
        <f>IF(B17="","",ROUND(IF(M17="",0,M17)*IF(F17="",0,F17),2))</f>
        <v>0</v>
      </c>
      <c r="P17" s="49">
        <f>IF(O17="","",IF(O17&lt;TODAY(),"EXPIRED",IF(O17-TODAY()&lt;=ExpiryAlertDays,"Use within "&amp;TEXT(O17-TODAY(),"0")&amp;" days","OK")))</f>
        <v>0</v>
      </c>
      <c r="S17" s="49">
        <f>IF(B17="","",IF(K17="Out of stock","Order now - out of stock",IF(K17="Low - reorder","Reorder "&amp;TEXT(IF(I17="",0,I17),"0")&amp;" "&amp;E17,IF(P17="EXPIRED","Dispose - expired","OK"))))</f>
        <v>0</v>
      </c>
    </row>
    <row r="18" spans="1:19">
      <c r="A18" s="46">
        <f>IF(B18="","","IT-"&amp;TEXT(ROW()-4,"000"))</f>
        <v>0</v>
      </c>
      <c r="J18" s="29">
        <f>IF(B18="","",ROUND(IF(G18="",0,G18)*IF(F18="",0,F18),2))</f>
        <v>0</v>
      </c>
      <c r="K18" s="49">
        <f>IF(B18="","",IF(G18="","Set stock level",IF(G18&lt;=0,"Out of stock",IF(G18&lt;=IF(H18="",0,H18),"Low - reorder","OK"))))</f>
        <v>0</v>
      </c>
      <c r="N18" s="29">
        <f>IF(B18="","",ROUND(IF(M18="",0,M18)*IF(F18="",0,F18),2))</f>
        <v>0</v>
      </c>
      <c r="P18" s="49">
        <f>IF(O18="","",IF(O18&lt;TODAY(),"EXPIRED",IF(O18-TODAY()&lt;=ExpiryAlertDays,"Use within "&amp;TEXT(O18-TODAY(),"0")&amp;" days","OK")))</f>
        <v>0</v>
      </c>
      <c r="S18" s="49">
        <f>IF(B18="","",IF(K18="Out of stock","Order now - out of stock",IF(K18="Low - reorder","Reorder "&amp;TEXT(IF(I18="",0,I18),"0")&amp;" "&amp;E18,IF(P18="EXPIRED","Dispose - expired","OK"))))</f>
        <v>0</v>
      </c>
    </row>
    <row r="19" spans="1:19">
      <c r="A19" s="46">
        <f>IF(B19="","","IT-"&amp;TEXT(ROW()-4,"000"))</f>
        <v>0</v>
      </c>
      <c r="J19" s="29">
        <f>IF(B19="","",ROUND(IF(G19="",0,G19)*IF(F19="",0,F19),2))</f>
        <v>0</v>
      </c>
      <c r="K19" s="49">
        <f>IF(B19="","",IF(G19="","Set stock level",IF(G19&lt;=0,"Out of stock",IF(G19&lt;=IF(H19="",0,H19),"Low - reorder","OK"))))</f>
        <v>0</v>
      </c>
      <c r="N19" s="29">
        <f>IF(B19="","",ROUND(IF(M19="",0,M19)*IF(F19="",0,F19),2))</f>
        <v>0</v>
      </c>
      <c r="P19" s="49">
        <f>IF(O19="","",IF(O19&lt;TODAY(),"EXPIRED",IF(O19-TODAY()&lt;=ExpiryAlertDays,"Use within "&amp;TEXT(O19-TODAY(),"0")&amp;" days","OK")))</f>
        <v>0</v>
      </c>
      <c r="S19" s="49">
        <f>IF(B19="","",IF(K19="Out of stock","Order now - out of stock",IF(K19="Low - reorder","Reorder "&amp;TEXT(IF(I19="",0,I19),"0")&amp;" "&amp;E19,IF(P19="EXPIRED","Dispose - expired","OK"))))</f>
        <v>0</v>
      </c>
    </row>
    <row r="20" spans="1:19">
      <c r="A20" s="46">
        <f>IF(B20="","","IT-"&amp;TEXT(ROW()-4,"000"))</f>
        <v>0</v>
      </c>
      <c r="J20" s="29">
        <f>IF(B20="","",ROUND(IF(G20="",0,G20)*IF(F20="",0,F20),2))</f>
        <v>0</v>
      </c>
      <c r="K20" s="49">
        <f>IF(B20="","",IF(G20="","Set stock level",IF(G20&lt;=0,"Out of stock",IF(G20&lt;=IF(H20="",0,H20),"Low - reorder","OK"))))</f>
        <v>0</v>
      </c>
      <c r="N20" s="29">
        <f>IF(B20="","",ROUND(IF(M20="",0,M20)*IF(F20="",0,F20),2))</f>
        <v>0</v>
      </c>
      <c r="P20" s="49">
        <f>IF(O20="","",IF(O20&lt;TODAY(),"EXPIRED",IF(O20-TODAY()&lt;=ExpiryAlertDays,"Use within "&amp;TEXT(O20-TODAY(),"0")&amp;" days","OK")))</f>
        <v>0</v>
      </c>
      <c r="S20" s="49">
        <f>IF(B20="","",IF(K20="Out of stock","Order now - out of stock",IF(K20="Low - reorder","Reorder "&amp;TEXT(IF(I20="",0,I20),"0")&amp;" "&amp;E20,IF(P20="EXPIRED","Dispose - expired","OK"))))</f>
        <v>0</v>
      </c>
    </row>
    <row r="21" spans="1:19">
      <c r="A21" s="46">
        <f>IF(B21="","","IT-"&amp;TEXT(ROW()-4,"000"))</f>
        <v>0</v>
      </c>
      <c r="J21" s="29">
        <f>IF(B21="","",ROUND(IF(G21="",0,G21)*IF(F21="",0,F21),2))</f>
        <v>0</v>
      </c>
      <c r="K21" s="49">
        <f>IF(B21="","",IF(G21="","Set stock level",IF(G21&lt;=0,"Out of stock",IF(G21&lt;=IF(H21="",0,H21),"Low - reorder","OK"))))</f>
        <v>0</v>
      </c>
      <c r="N21" s="29">
        <f>IF(B21="","",ROUND(IF(M21="",0,M21)*IF(F21="",0,F21),2))</f>
        <v>0</v>
      </c>
      <c r="P21" s="49">
        <f>IF(O21="","",IF(O21&lt;TODAY(),"EXPIRED",IF(O21-TODAY()&lt;=ExpiryAlertDays,"Use within "&amp;TEXT(O21-TODAY(),"0")&amp;" days","OK")))</f>
        <v>0</v>
      </c>
      <c r="S21" s="49">
        <f>IF(B21="","",IF(K21="Out of stock","Order now - out of stock",IF(K21="Low - reorder","Reorder "&amp;TEXT(IF(I21="",0,I21),"0")&amp;" "&amp;E21,IF(P21="EXPIRED","Dispose - expired","OK"))))</f>
        <v>0</v>
      </c>
    </row>
    <row r="22" spans="1:19">
      <c r="A22" s="46">
        <f>IF(B22="","","IT-"&amp;TEXT(ROW()-4,"000"))</f>
        <v>0</v>
      </c>
      <c r="J22" s="29">
        <f>IF(B22="","",ROUND(IF(G22="",0,G22)*IF(F22="",0,F22),2))</f>
        <v>0</v>
      </c>
      <c r="K22" s="49">
        <f>IF(B22="","",IF(G22="","Set stock level",IF(G22&lt;=0,"Out of stock",IF(G22&lt;=IF(H22="",0,H22),"Low - reorder","OK"))))</f>
        <v>0</v>
      </c>
      <c r="N22" s="29">
        <f>IF(B22="","",ROUND(IF(M22="",0,M22)*IF(F22="",0,F22),2))</f>
        <v>0</v>
      </c>
      <c r="P22" s="49">
        <f>IF(O22="","",IF(O22&lt;TODAY(),"EXPIRED",IF(O22-TODAY()&lt;=ExpiryAlertDays,"Use within "&amp;TEXT(O22-TODAY(),"0")&amp;" days","OK")))</f>
        <v>0</v>
      </c>
      <c r="S22" s="49">
        <f>IF(B22="","",IF(K22="Out of stock","Order now - out of stock",IF(K22="Low - reorder","Reorder "&amp;TEXT(IF(I22="",0,I22),"0")&amp;" "&amp;E22,IF(P22="EXPIRED","Dispose - expired","OK"))))</f>
        <v>0</v>
      </c>
    </row>
    <row r="23" spans="1:19">
      <c r="A23" s="46">
        <f>IF(B23="","","IT-"&amp;TEXT(ROW()-4,"000"))</f>
        <v>0</v>
      </c>
      <c r="J23" s="29">
        <f>IF(B23="","",ROUND(IF(G23="",0,G23)*IF(F23="",0,F23),2))</f>
        <v>0</v>
      </c>
      <c r="K23" s="49">
        <f>IF(B23="","",IF(G23="","Set stock level",IF(G23&lt;=0,"Out of stock",IF(G23&lt;=IF(H23="",0,H23),"Low - reorder","OK"))))</f>
        <v>0</v>
      </c>
      <c r="N23" s="29">
        <f>IF(B23="","",ROUND(IF(M23="",0,M23)*IF(F23="",0,F23),2))</f>
        <v>0</v>
      </c>
      <c r="P23" s="49">
        <f>IF(O23="","",IF(O23&lt;TODAY(),"EXPIRED",IF(O23-TODAY()&lt;=ExpiryAlertDays,"Use within "&amp;TEXT(O23-TODAY(),"0")&amp;" days","OK")))</f>
        <v>0</v>
      </c>
      <c r="S23" s="49">
        <f>IF(B23="","",IF(K23="Out of stock","Order now - out of stock",IF(K23="Low - reorder","Reorder "&amp;TEXT(IF(I23="",0,I23),"0")&amp;" "&amp;E23,IF(P23="EXPIRED","Dispose - expired","OK"))))</f>
        <v>0</v>
      </c>
    </row>
    <row r="24" spans="1:19">
      <c r="A24" s="46">
        <f>IF(B24="","","IT-"&amp;TEXT(ROW()-4,"000"))</f>
        <v>0</v>
      </c>
      <c r="J24" s="29">
        <f>IF(B24="","",ROUND(IF(G24="",0,G24)*IF(F24="",0,F24),2))</f>
        <v>0</v>
      </c>
      <c r="K24" s="49">
        <f>IF(B24="","",IF(G24="","Set stock level",IF(G24&lt;=0,"Out of stock",IF(G24&lt;=IF(H24="",0,H24),"Low - reorder","OK"))))</f>
        <v>0</v>
      </c>
      <c r="N24" s="29">
        <f>IF(B24="","",ROUND(IF(M24="",0,M24)*IF(F24="",0,F24),2))</f>
        <v>0</v>
      </c>
      <c r="P24" s="49">
        <f>IF(O24="","",IF(O24&lt;TODAY(),"EXPIRED",IF(O24-TODAY()&lt;=ExpiryAlertDays,"Use within "&amp;TEXT(O24-TODAY(),"0")&amp;" days","OK")))</f>
        <v>0</v>
      </c>
      <c r="S24" s="49">
        <f>IF(B24="","",IF(K24="Out of stock","Order now - out of stock",IF(K24="Low - reorder","Reorder "&amp;TEXT(IF(I24="",0,I24),"0")&amp;" "&amp;E24,IF(P24="EXPIRED","Dispose - expired","OK"))))</f>
        <v>0</v>
      </c>
    </row>
    <row r="25" spans="1:19">
      <c r="A25" s="46">
        <f>IF(B25="","","IT-"&amp;TEXT(ROW()-4,"000"))</f>
        <v>0</v>
      </c>
      <c r="J25" s="29">
        <f>IF(B25="","",ROUND(IF(G25="",0,G25)*IF(F25="",0,F25),2))</f>
        <v>0</v>
      </c>
      <c r="K25" s="49">
        <f>IF(B25="","",IF(G25="","Set stock level",IF(G25&lt;=0,"Out of stock",IF(G25&lt;=IF(H25="",0,H25),"Low - reorder","OK"))))</f>
        <v>0</v>
      </c>
      <c r="N25" s="29">
        <f>IF(B25="","",ROUND(IF(M25="",0,M25)*IF(F25="",0,F25),2))</f>
        <v>0</v>
      </c>
      <c r="P25" s="49">
        <f>IF(O25="","",IF(O25&lt;TODAY(),"EXPIRED",IF(O25-TODAY()&lt;=ExpiryAlertDays,"Use within "&amp;TEXT(O25-TODAY(),"0")&amp;" days","OK")))</f>
        <v>0</v>
      </c>
      <c r="S25" s="49">
        <f>IF(B25="","",IF(K25="Out of stock","Order now - out of stock",IF(K25="Low - reorder","Reorder "&amp;TEXT(IF(I25="",0,I25),"0")&amp;" "&amp;E25,IF(P25="EXPIRED","Dispose - expired","OK"))))</f>
        <v>0</v>
      </c>
    </row>
    <row r="26" spans="1:19">
      <c r="A26" s="46">
        <f>IF(B26="","","IT-"&amp;TEXT(ROW()-4,"000"))</f>
        <v>0</v>
      </c>
      <c r="J26" s="29">
        <f>IF(B26="","",ROUND(IF(G26="",0,G26)*IF(F26="",0,F26),2))</f>
        <v>0</v>
      </c>
      <c r="K26" s="49">
        <f>IF(B26="","",IF(G26="","Set stock level",IF(G26&lt;=0,"Out of stock",IF(G26&lt;=IF(H26="",0,H26),"Low - reorder","OK"))))</f>
        <v>0</v>
      </c>
      <c r="N26" s="29">
        <f>IF(B26="","",ROUND(IF(M26="",0,M26)*IF(F26="",0,F26),2))</f>
        <v>0</v>
      </c>
      <c r="P26" s="49">
        <f>IF(O26="","",IF(O26&lt;TODAY(),"EXPIRED",IF(O26-TODAY()&lt;=ExpiryAlertDays,"Use within "&amp;TEXT(O26-TODAY(),"0")&amp;" days","OK")))</f>
        <v>0</v>
      </c>
      <c r="S26" s="49">
        <f>IF(B26="","",IF(K26="Out of stock","Order now - out of stock",IF(K26="Low - reorder","Reorder "&amp;TEXT(IF(I26="",0,I26),"0")&amp;" "&amp;E26,IF(P26="EXPIRED","Dispose - expired","OK"))))</f>
        <v>0</v>
      </c>
    </row>
    <row r="27" spans="1:19">
      <c r="A27" s="46">
        <f>IF(B27="","","IT-"&amp;TEXT(ROW()-4,"000"))</f>
        <v>0</v>
      </c>
      <c r="J27" s="29">
        <f>IF(B27="","",ROUND(IF(G27="",0,G27)*IF(F27="",0,F27),2))</f>
        <v>0</v>
      </c>
      <c r="K27" s="49">
        <f>IF(B27="","",IF(G27="","Set stock level",IF(G27&lt;=0,"Out of stock",IF(G27&lt;=IF(H27="",0,H27),"Low - reorder","OK"))))</f>
        <v>0</v>
      </c>
      <c r="N27" s="29">
        <f>IF(B27="","",ROUND(IF(M27="",0,M27)*IF(F27="",0,F27),2))</f>
        <v>0</v>
      </c>
      <c r="P27" s="49">
        <f>IF(O27="","",IF(O27&lt;TODAY(),"EXPIRED",IF(O27-TODAY()&lt;=ExpiryAlertDays,"Use within "&amp;TEXT(O27-TODAY(),"0")&amp;" days","OK")))</f>
        <v>0</v>
      </c>
      <c r="S27" s="49">
        <f>IF(B27="","",IF(K27="Out of stock","Order now - out of stock",IF(K27="Low - reorder","Reorder "&amp;TEXT(IF(I27="",0,I27),"0")&amp;" "&amp;E27,IF(P27="EXPIRED","Dispose - expired","OK"))))</f>
        <v>0</v>
      </c>
    </row>
    <row r="28" spans="1:19">
      <c r="A28" s="46">
        <f>IF(B28="","","IT-"&amp;TEXT(ROW()-4,"000"))</f>
        <v>0</v>
      </c>
      <c r="J28" s="29">
        <f>IF(B28="","",ROUND(IF(G28="",0,G28)*IF(F28="",0,F28),2))</f>
        <v>0</v>
      </c>
      <c r="K28" s="49">
        <f>IF(B28="","",IF(G28="","Set stock level",IF(G28&lt;=0,"Out of stock",IF(G28&lt;=IF(H28="",0,H28),"Low - reorder","OK"))))</f>
        <v>0</v>
      </c>
      <c r="N28" s="29">
        <f>IF(B28="","",ROUND(IF(M28="",0,M28)*IF(F28="",0,F28),2))</f>
        <v>0</v>
      </c>
      <c r="P28" s="49">
        <f>IF(O28="","",IF(O28&lt;TODAY(),"EXPIRED",IF(O28-TODAY()&lt;=ExpiryAlertDays,"Use within "&amp;TEXT(O28-TODAY(),"0")&amp;" days","OK")))</f>
        <v>0</v>
      </c>
      <c r="S28" s="49">
        <f>IF(B28="","",IF(K28="Out of stock","Order now - out of stock",IF(K28="Low - reorder","Reorder "&amp;TEXT(IF(I28="",0,I28),"0")&amp;" "&amp;E28,IF(P28="EXPIRED","Dispose - expired","OK"))))</f>
        <v>0</v>
      </c>
    </row>
    <row r="29" spans="1:19">
      <c r="A29" s="46">
        <f>IF(B29="","","IT-"&amp;TEXT(ROW()-4,"000"))</f>
        <v>0</v>
      </c>
      <c r="J29" s="29">
        <f>IF(B29="","",ROUND(IF(G29="",0,G29)*IF(F29="",0,F29),2))</f>
        <v>0</v>
      </c>
      <c r="K29" s="49">
        <f>IF(B29="","",IF(G29="","Set stock level",IF(G29&lt;=0,"Out of stock",IF(G29&lt;=IF(H29="",0,H29),"Low - reorder","OK"))))</f>
        <v>0</v>
      </c>
      <c r="N29" s="29">
        <f>IF(B29="","",ROUND(IF(M29="",0,M29)*IF(F29="",0,F29),2))</f>
        <v>0</v>
      </c>
      <c r="P29" s="49">
        <f>IF(O29="","",IF(O29&lt;TODAY(),"EXPIRED",IF(O29-TODAY()&lt;=ExpiryAlertDays,"Use within "&amp;TEXT(O29-TODAY(),"0")&amp;" days","OK")))</f>
        <v>0</v>
      </c>
      <c r="S29" s="49">
        <f>IF(B29="","",IF(K29="Out of stock","Order now - out of stock",IF(K29="Low - reorder","Reorder "&amp;TEXT(IF(I29="",0,I29),"0")&amp;" "&amp;E29,IF(P29="EXPIRED","Dispose - expired","OK"))))</f>
        <v>0</v>
      </c>
    </row>
    <row r="30" spans="1:19">
      <c r="A30" s="46">
        <f>IF(B30="","","IT-"&amp;TEXT(ROW()-4,"000"))</f>
        <v>0</v>
      </c>
      <c r="J30" s="29">
        <f>IF(B30="","",ROUND(IF(G30="",0,G30)*IF(F30="",0,F30),2))</f>
        <v>0</v>
      </c>
      <c r="K30" s="49">
        <f>IF(B30="","",IF(G30="","Set stock level",IF(G30&lt;=0,"Out of stock",IF(G30&lt;=IF(H30="",0,H30),"Low - reorder","OK"))))</f>
        <v>0</v>
      </c>
      <c r="N30" s="29">
        <f>IF(B30="","",ROUND(IF(M30="",0,M30)*IF(F30="",0,F30),2))</f>
        <v>0</v>
      </c>
      <c r="P30" s="49">
        <f>IF(O30="","",IF(O30&lt;TODAY(),"EXPIRED",IF(O30-TODAY()&lt;=ExpiryAlertDays,"Use within "&amp;TEXT(O30-TODAY(),"0")&amp;" days","OK")))</f>
        <v>0</v>
      </c>
      <c r="S30" s="49">
        <f>IF(B30="","",IF(K30="Out of stock","Order now - out of stock",IF(K30="Low - reorder","Reorder "&amp;TEXT(IF(I30="",0,I30),"0")&amp;" "&amp;E30,IF(P30="EXPIRED","Dispose - expired","OK"))))</f>
        <v>0</v>
      </c>
    </row>
    <row r="31" spans="1:19">
      <c r="A31" s="46">
        <f>IF(B31="","","IT-"&amp;TEXT(ROW()-4,"000"))</f>
        <v>0</v>
      </c>
      <c r="J31" s="29">
        <f>IF(B31="","",ROUND(IF(G31="",0,G31)*IF(F31="",0,F31),2))</f>
        <v>0</v>
      </c>
      <c r="K31" s="49">
        <f>IF(B31="","",IF(G31="","Set stock level",IF(G31&lt;=0,"Out of stock",IF(G31&lt;=IF(H31="",0,H31),"Low - reorder","OK"))))</f>
        <v>0</v>
      </c>
      <c r="N31" s="29">
        <f>IF(B31="","",ROUND(IF(M31="",0,M31)*IF(F31="",0,F31),2))</f>
        <v>0</v>
      </c>
      <c r="P31" s="49">
        <f>IF(O31="","",IF(O31&lt;TODAY(),"EXPIRED",IF(O31-TODAY()&lt;=ExpiryAlertDays,"Use within "&amp;TEXT(O31-TODAY(),"0")&amp;" days","OK")))</f>
        <v>0</v>
      </c>
      <c r="S31" s="49">
        <f>IF(B31="","",IF(K31="Out of stock","Order now - out of stock",IF(K31="Low - reorder","Reorder "&amp;TEXT(IF(I31="",0,I31),"0")&amp;" "&amp;E31,IF(P31="EXPIRED","Dispose - expired","OK"))))</f>
        <v>0</v>
      </c>
    </row>
    <row r="32" spans="1:19">
      <c r="A32" s="46">
        <f>IF(B32="","","IT-"&amp;TEXT(ROW()-4,"000"))</f>
        <v>0</v>
      </c>
      <c r="J32" s="29">
        <f>IF(B32="","",ROUND(IF(G32="",0,G32)*IF(F32="",0,F32),2))</f>
        <v>0</v>
      </c>
      <c r="K32" s="49">
        <f>IF(B32="","",IF(G32="","Set stock level",IF(G32&lt;=0,"Out of stock",IF(G32&lt;=IF(H32="",0,H32),"Low - reorder","OK"))))</f>
        <v>0</v>
      </c>
      <c r="N32" s="29">
        <f>IF(B32="","",ROUND(IF(M32="",0,M32)*IF(F32="",0,F32),2))</f>
        <v>0</v>
      </c>
      <c r="P32" s="49">
        <f>IF(O32="","",IF(O32&lt;TODAY(),"EXPIRED",IF(O32-TODAY()&lt;=ExpiryAlertDays,"Use within "&amp;TEXT(O32-TODAY(),"0")&amp;" days","OK")))</f>
        <v>0</v>
      </c>
      <c r="S32" s="49">
        <f>IF(B32="","",IF(K32="Out of stock","Order now - out of stock",IF(K32="Low - reorder","Reorder "&amp;TEXT(IF(I32="",0,I32),"0")&amp;" "&amp;E32,IF(P32="EXPIRED","Dispose - expired","OK"))))</f>
        <v>0</v>
      </c>
    </row>
    <row r="33" spans="1:19">
      <c r="A33" s="46">
        <f>IF(B33="","","IT-"&amp;TEXT(ROW()-4,"000"))</f>
        <v>0</v>
      </c>
      <c r="J33" s="29">
        <f>IF(B33="","",ROUND(IF(G33="",0,G33)*IF(F33="",0,F33),2))</f>
        <v>0</v>
      </c>
      <c r="K33" s="49">
        <f>IF(B33="","",IF(G33="","Set stock level",IF(G33&lt;=0,"Out of stock",IF(G33&lt;=IF(H33="",0,H33),"Low - reorder","OK"))))</f>
        <v>0</v>
      </c>
      <c r="N33" s="29">
        <f>IF(B33="","",ROUND(IF(M33="",0,M33)*IF(F33="",0,F33),2))</f>
        <v>0</v>
      </c>
      <c r="P33" s="49">
        <f>IF(O33="","",IF(O33&lt;TODAY(),"EXPIRED",IF(O33-TODAY()&lt;=ExpiryAlertDays,"Use within "&amp;TEXT(O33-TODAY(),"0")&amp;" days","OK")))</f>
        <v>0</v>
      </c>
      <c r="S33" s="49">
        <f>IF(B33="","",IF(K33="Out of stock","Order now - out of stock",IF(K33="Low - reorder","Reorder "&amp;TEXT(IF(I33="",0,I33),"0")&amp;" "&amp;E33,IF(P33="EXPIRED","Dispose - expired","OK"))))</f>
        <v>0</v>
      </c>
    </row>
    <row r="34" spans="1:19">
      <c r="A34" s="46">
        <f>IF(B34="","","IT-"&amp;TEXT(ROW()-4,"000"))</f>
        <v>0</v>
      </c>
      <c r="J34" s="29">
        <f>IF(B34="","",ROUND(IF(G34="",0,G34)*IF(F34="",0,F34),2))</f>
        <v>0</v>
      </c>
      <c r="K34" s="49">
        <f>IF(B34="","",IF(G34="","Set stock level",IF(G34&lt;=0,"Out of stock",IF(G34&lt;=IF(H34="",0,H34),"Low - reorder","OK"))))</f>
        <v>0</v>
      </c>
      <c r="N34" s="29">
        <f>IF(B34="","",ROUND(IF(M34="",0,M34)*IF(F34="",0,F34),2))</f>
        <v>0</v>
      </c>
      <c r="P34" s="49">
        <f>IF(O34="","",IF(O34&lt;TODAY(),"EXPIRED",IF(O34-TODAY()&lt;=ExpiryAlertDays,"Use within "&amp;TEXT(O34-TODAY(),"0")&amp;" days","OK")))</f>
        <v>0</v>
      </c>
      <c r="S34" s="49">
        <f>IF(B34="","",IF(K34="Out of stock","Order now - out of stock",IF(K34="Low - reorder","Reorder "&amp;TEXT(IF(I34="",0,I34),"0")&amp;" "&amp;E34,IF(P34="EXPIRED","Dispose - expired","OK"))))</f>
        <v>0</v>
      </c>
    </row>
    <row r="35" spans="1:19">
      <c r="A35" s="46">
        <f>IF(B35="","","IT-"&amp;TEXT(ROW()-4,"000"))</f>
        <v>0</v>
      </c>
      <c r="J35" s="29">
        <f>IF(B35="","",ROUND(IF(G35="",0,G35)*IF(F35="",0,F35),2))</f>
        <v>0</v>
      </c>
      <c r="K35" s="49">
        <f>IF(B35="","",IF(G35="","Set stock level",IF(G35&lt;=0,"Out of stock",IF(G35&lt;=IF(H35="",0,H35),"Low - reorder","OK"))))</f>
        <v>0</v>
      </c>
      <c r="N35" s="29">
        <f>IF(B35="","",ROUND(IF(M35="",0,M35)*IF(F35="",0,F35),2))</f>
        <v>0</v>
      </c>
      <c r="P35" s="49">
        <f>IF(O35="","",IF(O35&lt;TODAY(),"EXPIRED",IF(O35-TODAY()&lt;=ExpiryAlertDays,"Use within "&amp;TEXT(O35-TODAY(),"0")&amp;" days","OK")))</f>
        <v>0</v>
      </c>
      <c r="S35" s="49">
        <f>IF(B35="","",IF(K35="Out of stock","Order now - out of stock",IF(K35="Low - reorder","Reorder "&amp;TEXT(IF(I35="",0,I35),"0")&amp;" "&amp;E35,IF(P35="EXPIRED","Dispose - expired","OK"))))</f>
        <v>0</v>
      </c>
    </row>
    <row r="36" spans="1:19">
      <c r="A36" s="46">
        <f>IF(B36="","","IT-"&amp;TEXT(ROW()-4,"000"))</f>
        <v>0</v>
      </c>
      <c r="J36" s="29">
        <f>IF(B36="","",ROUND(IF(G36="",0,G36)*IF(F36="",0,F36),2))</f>
        <v>0</v>
      </c>
      <c r="K36" s="49">
        <f>IF(B36="","",IF(G36="","Set stock level",IF(G36&lt;=0,"Out of stock",IF(G36&lt;=IF(H36="",0,H36),"Low - reorder","OK"))))</f>
        <v>0</v>
      </c>
      <c r="N36" s="29">
        <f>IF(B36="","",ROUND(IF(M36="",0,M36)*IF(F36="",0,F36),2))</f>
        <v>0</v>
      </c>
      <c r="P36" s="49">
        <f>IF(O36="","",IF(O36&lt;TODAY(),"EXPIRED",IF(O36-TODAY()&lt;=ExpiryAlertDays,"Use within "&amp;TEXT(O36-TODAY(),"0")&amp;" days","OK")))</f>
        <v>0</v>
      </c>
      <c r="S36" s="49">
        <f>IF(B36="","",IF(K36="Out of stock","Order now - out of stock",IF(K36="Low - reorder","Reorder "&amp;TEXT(IF(I36="",0,I36),"0")&amp;" "&amp;E36,IF(P36="EXPIRED","Dispose - expired","OK"))))</f>
        <v>0</v>
      </c>
    </row>
    <row r="37" spans="1:19">
      <c r="A37" s="46">
        <f>IF(B37="","","IT-"&amp;TEXT(ROW()-4,"000"))</f>
        <v>0</v>
      </c>
      <c r="J37" s="29">
        <f>IF(B37="","",ROUND(IF(G37="",0,G37)*IF(F37="",0,F37),2))</f>
        <v>0</v>
      </c>
      <c r="K37" s="49">
        <f>IF(B37="","",IF(G37="","Set stock level",IF(G37&lt;=0,"Out of stock",IF(G37&lt;=IF(H37="",0,H37),"Low - reorder","OK"))))</f>
        <v>0</v>
      </c>
      <c r="N37" s="29">
        <f>IF(B37="","",ROUND(IF(M37="",0,M37)*IF(F37="",0,F37),2))</f>
        <v>0</v>
      </c>
      <c r="P37" s="49">
        <f>IF(O37="","",IF(O37&lt;TODAY(),"EXPIRED",IF(O37-TODAY()&lt;=ExpiryAlertDays,"Use within "&amp;TEXT(O37-TODAY(),"0")&amp;" days","OK")))</f>
        <v>0</v>
      </c>
      <c r="S37" s="49">
        <f>IF(B37="","",IF(K37="Out of stock","Order now - out of stock",IF(K37="Low - reorder","Reorder "&amp;TEXT(IF(I37="",0,I37),"0")&amp;" "&amp;E37,IF(P37="EXPIRED","Dispose - expired","OK"))))</f>
        <v>0</v>
      </c>
    </row>
    <row r="38" spans="1:19">
      <c r="A38" s="46">
        <f>IF(B38="","","IT-"&amp;TEXT(ROW()-4,"000"))</f>
        <v>0</v>
      </c>
      <c r="J38" s="29">
        <f>IF(B38="","",ROUND(IF(G38="",0,G38)*IF(F38="",0,F38),2))</f>
        <v>0</v>
      </c>
      <c r="K38" s="49">
        <f>IF(B38="","",IF(G38="","Set stock level",IF(G38&lt;=0,"Out of stock",IF(G38&lt;=IF(H38="",0,H38),"Low - reorder","OK"))))</f>
        <v>0</v>
      </c>
      <c r="N38" s="29">
        <f>IF(B38="","",ROUND(IF(M38="",0,M38)*IF(F38="",0,F38),2))</f>
        <v>0</v>
      </c>
      <c r="P38" s="49">
        <f>IF(O38="","",IF(O38&lt;TODAY(),"EXPIRED",IF(O38-TODAY()&lt;=ExpiryAlertDays,"Use within "&amp;TEXT(O38-TODAY(),"0")&amp;" days","OK")))</f>
        <v>0</v>
      </c>
      <c r="S38" s="49">
        <f>IF(B38="","",IF(K38="Out of stock","Order now - out of stock",IF(K38="Low - reorder","Reorder "&amp;TEXT(IF(I38="",0,I38),"0")&amp;" "&amp;E38,IF(P38="EXPIRED","Dispose - expired","OK"))))</f>
        <v>0</v>
      </c>
    </row>
    <row r="39" spans="1:19">
      <c r="A39" s="46">
        <f>IF(B39="","","IT-"&amp;TEXT(ROW()-4,"000"))</f>
        <v>0</v>
      </c>
      <c r="J39" s="29">
        <f>IF(B39="","",ROUND(IF(G39="",0,G39)*IF(F39="",0,F39),2))</f>
        <v>0</v>
      </c>
      <c r="K39" s="49">
        <f>IF(B39="","",IF(G39="","Set stock level",IF(G39&lt;=0,"Out of stock",IF(G39&lt;=IF(H39="",0,H39),"Low - reorder","OK"))))</f>
        <v>0</v>
      </c>
      <c r="N39" s="29">
        <f>IF(B39="","",ROUND(IF(M39="",0,M39)*IF(F39="",0,F39),2))</f>
        <v>0</v>
      </c>
      <c r="P39" s="49">
        <f>IF(O39="","",IF(O39&lt;TODAY(),"EXPIRED",IF(O39-TODAY()&lt;=ExpiryAlertDays,"Use within "&amp;TEXT(O39-TODAY(),"0")&amp;" days","OK")))</f>
        <v>0</v>
      </c>
      <c r="S39" s="49">
        <f>IF(B39="","",IF(K39="Out of stock","Order now - out of stock",IF(K39="Low - reorder","Reorder "&amp;TEXT(IF(I39="",0,I39),"0")&amp;" "&amp;E39,IF(P39="EXPIRED","Dispose - expired","OK"))))</f>
        <v>0</v>
      </c>
    </row>
    <row r="40" spans="1:19">
      <c r="A40" s="46">
        <f>IF(B40="","","IT-"&amp;TEXT(ROW()-4,"000"))</f>
        <v>0</v>
      </c>
      <c r="J40" s="29">
        <f>IF(B40="","",ROUND(IF(G40="",0,G40)*IF(F40="",0,F40),2))</f>
        <v>0</v>
      </c>
      <c r="K40" s="49">
        <f>IF(B40="","",IF(G40="","Set stock level",IF(G40&lt;=0,"Out of stock",IF(G40&lt;=IF(H40="",0,H40),"Low - reorder","OK"))))</f>
        <v>0</v>
      </c>
      <c r="N40" s="29">
        <f>IF(B40="","",ROUND(IF(M40="",0,M40)*IF(F40="",0,F40),2))</f>
        <v>0</v>
      </c>
      <c r="P40" s="49">
        <f>IF(O40="","",IF(O40&lt;TODAY(),"EXPIRED",IF(O40-TODAY()&lt;=ExpiryAlertDays,"Use within "&amp;TEXT(O40-TODAY(),"0")&amp;" days","OK")))</f>
        <v>0</v>
      </c>
      <c r="S40" s="49">
        <f>IF(B40="","",IF(K40="Out of stock","Order now - out of stock",IF(K40="Low - reorder","Reorder "&amp;TEXT(IF(I40="",0,I40),"0")&amp;" "&amp;E40,IF(P40="EXPIRED","Dispose - expired","OK"))))</f>
        <v>0</v>
      </c>
    </row>
    <row r="41" spans="1:19">
      <c r="A41" s="46">
        <f>IF(B41="","","IT-"&amp;TEXT(ROW()-4,"000"))</f>
        <v>0</v>
      </c>
      <c r="J41" s="29">
        <f>IF(B41="","",ROUND(IF(G41="",0,G41)*IF(F41="",0,F41),2))</f>
        <v>0</v>
      </c>
      <c r="K41" s="49">
        <f>IF(B41="","",IF(G41="","Set stock level",IF(G41&lt;=0,"Out of stock",IF(G41&lt;=IF(H41="",0,H41),"Low - reorder","OK"))))</f>
        <v>0</v>
      </c>
      <c r="N41" s="29">
        <f>IF(B41="","",ROUND(IF(M41="",0,M41)*IF(F41="",0,F41),2))</f>
        <v>0</v>
      </c>
      <c r="P41" s="49">
        <f>IF(O41="","",IF(O41&lt;TODAY(),"EXPIRED",IF(O41-TODAY()&lt;=ExpiryAlertDays,"Use within "&amp;TEXT(O41-TODAY(),"0")&amp;" days","OK")))</f>
        <v>0</v>
      </c>
      <c r="S41" s="49">
        <f>IF(B41="","",IF(K41="Out of stock","Order now - out of stock",IF(K41="Low - reorder","Reorder "&amp;TEXT(IF(I41="",0,I41),"0")&amp;" "&amp;E41,IF(P41="EXPIRED","Dispose - expired","OK"))))</f>
        <v>0</v>
      </c>
    </row>
    <row r="42" spans="1:19">
      <c r="A42" s="46">
        <f>IF(B42="","","IT-"&amp;TEXT(ROW()-4,"000"))</f>
        <v>0</v>
      </c>
      <c r="J42" s="29">
        <f>IF(B42="","",ROUND(IF(G42="",0,G42)*IF(F42="",0,F42),2))</f>
        <v>0</v>
      </c>
      <c r="K42" s="49">
        <f>IF(B42="","",IF(G42="","Set stock level",IF(G42&lt;=0,"Out of stock",IF(G42&lt;=IF(H42="",0,H42),"Low - reorder","OK"))))</f>
        <v>0</v>
      </c>
      <c r="N42" s="29">
        <f>IF(B42="","",ROUND(IF(M42="",0,M42)*IF(F42="",0,F42),2))</f>
        <v>0</v>
      </c>
      <c r="P42" s="49">
        <f>IF(O42="","",IF(O42&lt;TODAY(),"EXPIRED",IF(O42-TODAY()&lt;=ExpiryAlertDays,"Use within "&amp;TEXT(O42-TODAY(),"0")&amp;" days","OK")))</f>
        <v>0</v>
      </c>
      <c r="S42" s="49">
        <f>IF(B42="","",IF(K42="Out of stock","Order now - out of stock",IF(K42="Low - reorder","Reorder "&amp;TEXT(IF(I42="",0,I42),"0")&amp;" "&amp;E42,IF(P42="EXPIRED","Dispose - expired","OK"))))</f>
        <v>0</v>
      </c>
    </row>
    <row r="43" spans="1:19">
      <c r="A43" s="46">
        <f>IF(B43="","","IT-"&amp;TEXT(ROW()-4,"000"))</f>
        <v>0</v>
      </c>
      <c r="J43" s="29">
        <f>IF(B43="","",ROUND(IF(G43="",0,G43)*IF(F43="",0,F43),2))</f>
        <v>0</v>
      </c>
      <c r="K43" s="49">
        <f>IF(B43="","",IF(G43="","Set stock level",IF(G43&lt;=0,"Out of stock",IF(G43&lt;=IF(H43="",0,H43),"Low - reorder","OK"))))</f>
        <v>0</v>
      </c>
      <c r="N43" s="29">
        <f>IF(B43="","",ROUND(IF(M43="",0,M43)*IF(F43="",0,F43),2))</f>
        <v>0</v>
      </c>
      <c r="P43" s="49">
        <f>IF(O43="","",IF(O43&lt;TODAY(),"EXPIRED",IF(O43-TODAY()&lt;=ExpiryAlertDays,"Use within "&amp;TEXT(O43-TODAY(),"0")&amp;" days","OK")))</f>
        <v>0</v>
      </c>
      <c r="S43" s="49">
        <f>IF(B43="","",IF(K43="Out of stock","Order now - out of stock",IF(K43="Low - reorder","Reorder "&amp;TEXT(IF(I43="",0,I43),"0")&amp;" "&amp;E43,IF(P43="EXPIRED","Dispose - expired","OK"))))</f>
        <v>0</v>
      </c>
    </row>
    <row r="44" spans="1:19">
      <c r="A44" s="46">
        <f>IF(B44="","","IT-"&amp;TEXT(ROW()-4,"000"))</f>
        <v>0</v>
      </c>
      <c r="J44" s="29">
        <f>IF(B44="","",ROUND(IF(G44="",0,G44)*IF(F44="",0,F44),2))</f>
        <v>0</v>
      </c>
      <c r="K44" s="49">
        <f>IF(B44="","",IF(G44="","Set stock level",IF(G44&lt;=0,"Out of stock",IF(G44&lt;=IF(H44="",0,H44),"Low - reorder","OK"))))</f>
        <v>0</v>
      </c>
      <c r="N44" s="29">
        <f>IF(B44="","",ROUND(IF(M44="",0,M44)*IF(F44="",0,F44),2))</f>
        <v>0</v>
      </c>
      <c r="P44" s="49">
        <f>IF(O44="","",IF(O44&lt;TODAY(),"EXPIRED",IF(O44-TODAY()&lt;=ExpiryAlertDays,"Use within "&amp;TEXT(O44-TODAY(),"0")&amp;" days","OK")))</f>
        <v>0</v>
      </c>
      <c r="S44" s="49">
        <f>IF(B44="","",IF(K44="Out of stock","Order now - out of stock",IF(K44="Low - reorder","Reorder "&amp;TEXT(IF(I44="",0,I44),"0")&amp;" "&amp;E44,IF(P44="EXPIRED","Dispose - expired","OK"))))</f>
        <v>0</v>
      </c>
    </row>
    <row r="45" spans="1:19">
      <c r="A45" s="46">
        <f>IF(B45="","","IT-"&amp;TEXT(ROW()-4,"000"))</f>
        <v>0</v>
      </c>
      <c r="J45" s="29">
        <f>IF(B45="","",ROUND(IF(G45="",0,G45)*IF(F45="",0,F45),2))</f>
        <v>0</v>
      </c>
      <c r="K45" s="49">
        <f>IF(B45="","",IF(G45="","Set stock level",IF(G45&lt;=0,"Out of stock",IF(G45&lt;=IF(H45="",0,H45),"Low - reorder","OK"))))</f>
        <v>0</v>
      </c>
      <c r="N45" s="29">
        <f>IF(B45="","",ROUND(IF(M45="",0,M45)*IF(F45="",0,F45),2))</f>
        <v>0</v>
      </c>
      <c r="P45" s="49">
        <f>IF(O45="","",IF(O45&lt;TODAY(),"EXPIRED",IF(O45-TODAY()&lt;=ExpiryAlertDays,"Use within "&amp;TEXT(O45-TODAY(),"0")&amp;" days","OK")))</f>
        <v>0</v>
      </c>
      <c r="S45" s="49">
        <f>IF(B45="","",IF(K45="Out of stock","Order now - out of stock",IF(K45="Low - reorder","Reorder "&amp;TEXT(IF(I45="",0,I45),"0")&amp;" "&amp;E45,IF(P45="EXPIRED","Dispose - expired","OK"))))</f>
        <v>0</v>
      </c>
    </row>
    <row r="46" spans="1:19">
      <c r="A46" s="46">
        <f>IF(B46="","","IT-"&amp;TEXT(ROW()-4,"000"))</f>
        <v>0</v>
      </c>
      <c r="J46" s="29">
        <f>IF(B46="","",ROUND(IF(G46="",0,G46)*IF(F46="",0,F46),2))</f>
        <v>0</v>
      </c>
      <c r="K46" s="49">
        <f>IF(B46="","",IF(G46="","Set stock level",IF(G46&lt;=0,"Out of stock",IF(G46&lt;=IF(H46="",0,H46),"Low - reorder","OK"))))</f>
        <v>0</v>
      </c>
      <c r="N46" s="29">
        <f>IF(B46="","",ROUND(IF(M46="",0,M46)*IF(F46="",0,F46),2))</f>
        <v>0</v>
      </c>
      <c r="P46" s="49">
        <f>IF(O46="","",IF(O46&lt;TODAY(),"EXPIRED",IF(O46-TODAY()&lt;=ExpiryAlertDays,"Use within "&amp;TEXT(O46-TODAY(),"0")&amp;" days","OK")))</f>
        <v>0</v>
      </c>
      <c r="S46" s="49">
        <f>IF(B46="","",IF(K46="Out of stock","Order now - out of stock",IF(K46="Low - reorder","Reorder "&amp;TEXT(IF(I46="",0,I46),"0")&amp;" "&amp;E46,IF(P46="EXPIRED","Dispose - expired","OK"))))</f>
        <v>0</v>
      </c>
    </row>
    <row r="47" spans="1:19">
      <c r="A47" s="46">
        <f>IF(B47="","","IT-"&amp;TEXT(ROW()-4,"000"))</f>
        <v>0</v>
      </c>
      <c r="J47" s="29">
        <f>IF(B47="","",ROUND(IF(G47="",0,G47)*IF(F47="",0,F47),2))</f>
        <v>0</v>
      </c>
      <c r="K47" s="49">
        <f>IF(B47="","",IF(G47="","Set stock level",IF(G47&lt;=0,"Out of stock",IF(G47&lt;=IF(H47="",0,H47),"Low - reorder","OK"))))</f>
        <v>0</v>
      </c>
      <c r="N47" s="29">
        <f>IF(B47="","",ROUND(IF(M47="",0,M47)*IF(F47="",0,F47),2))</f>
        <v>0</v>
      </c>
      <c r="P47" s="49">
        <f>IF(O47="","",IF(O47&lt;TODAY(),"EXPIRED",IF(O47-TODAY()&lt;=ExpiryAlertDays,"Use within "&amp;TEXT(O47-TODAY(),"0")&amp;" days","OK")))</f>
        <v>0</v>
      </c>
      <c r="S47" s="49">
        <f>IF(B47="","",IF(K47="Out of stock","Order now - out of stock",IF(K47="Low - reorder","Reorder "&amp;TEXT(IF(I47="",0,I47),"0")&amp;" "&amp;E47,IF(P47="EXPIRED","Dispose - expired","OK"))))</f>
        <v>0</v>
      </c>
    </row>
    <row r="48" spans="1:19">
      <c r="A48" s="46">
        <f>IF(B48="","","IT-"&amp;TEXT(ROW()-4,"000"))</f>
        <v>0</v>
      </c>
      <c r="J48" s="29">
        <f>IF(B48="","",ROUND(IF(G48="",0,G48)*IF(F48="",0,F48),2))</f>
        <v>0</v>
      </c>
      <c r="K48" s="49">
        <f>IF(B48="","",IF(G48="","Set stock level",IF(G48&lt;=0,"Out of stock",IF(G48&lt;=IF(H48="",0,H48),"Low - reorder","OK"))))</f>
        <v>0</v>
      </c>
      <c r="N48" s="29">
        <f>IF(B48="","",ROUND(IF(M48="",0,M48)*IF(F48="",0,F48),2))</f>
        <v>0</v>
      </c>
      <c r="P48" s="49">
        <f>IF(O48="","",IF(O48&lt;TODAY(),"EXPIRED",IF(O48-TODAY()&lt;=ExpiryAlertDays,"Use within "&amp;TEXT(O48-TODAY(),"0")&amp;" days","OK")))</f>
        <v>0</v>
      </c>
      <c r="S48" s="49">
        <f>IF(B48="","",IF(K48="Out of stock","Order now - out of stock",IF(K48="Low - reorder","Reorder "&amp;TEXT(IF(I48="",0,I48),"0")&amp;" "&amp;E48,IF(P48="EXPIRED","Dispose - expired","OK"))))</f>
        <v>0</v>
      </c>
    </row>
    <row r="49" spans="1:19">
      <c r="A49" s="46">
        <f>IF(B49="","","IT-"&amp;TEXT(ROW()-4,"000"))</f>
        <v>0</v>
      </c>
      <c r="J49" s="29">
        <f>IF(B49="","",ROUND(IF(G49="",0,G49)*IF(F49="",0,F49),2))</f>
        <v>0</v>
      </c>
      <c r="K49" s="49">
        <f>IF(B49="","",IF(G49="","Set stock level",IF(G49&lt;=0,"Out of stock",IF(G49&lt;=IF(H49="",0,H49),"Low - reorder","OK"))))</f>
        <v>0</v>
      </c>
      <c r="N49" s="29">
        <f>IF(B49="","",ROUND(IF(M49="",0,M49)*IF(F49="",0,F49),2))</f>
        <v>0</v>
      </c>
      <c r="P49" s="49">
        <f>IF(O49="","",IF(O49&lt;TODAY(),"EXPIRED",IF(O49-TODAY()&lt;=ExpiryAlertDays,"Use within "&amp;TEXT(O49-TODAY(),"0")&amp;" days","OK")))</f>
        <v>0</v>
      </c>
      <c r="S49" s="49">
        <f>IF(B49="","",IF(K49="Out of stock","Order now - out of stock",IF(K49="Low - reorder","Reorder "&amp;TEXT(IF(I49="",0,I49),"0")&amp;" "&amp;E49,IF(P49="EXPIRED","Dispose - expired","OK"))))</f>
        <v>0</v>
      </c>
    </row>
    <row r="50" spans="1:19">
      <c r="A50" s="46">
        <f>IF(B50="","","IT-"&amp;TEXT(ROW()-4,"000"))</f>
        <v>0</v>
      </c>
      <c r="J50" s="29">
        <f>IF(B50="","",ROUND(IF(G50="",0,G50)*IF(F50="",0,F50),2))</f>
        <v>0</v>
      </c>
      <c r="K50" s="49">
        <f>IF(B50="","",IF(G50="","Set stock level",IF(G50&lt;=0,"Out of stock",IF(G50&lt;=IF(H50="",0,H50),"Low - reorder","OK"))))</f>
        <v>0</v>
      </c>
      <c r="N50" s="29">
        <f>IF(B50="","",ROUND(IF(M50="",0,M50)*IF(F50="",0,F50),2))</f>
        <v>0</v>
      </c>
      <c r="P50" s="49">
        <f>IF(O50="","",IF(O50&lt;TODAY(),"EXPIRED",IF(O50-TODAY()&lt;=ExpiryAlertDays,"Use within "&amp;TEXT(O50-TODAY(),"0")&amp;" days","OK")))</f>
        <v>0</v>
      </c>
      <c r="S50" s="49">
        <f>IF(B50="","",IF(K50="Out of stock","Order now - out of stock",IF(K50="Low - reorder","Reorder "&amp;TEXT(IF(I50="",0,I50),"0")&amp;" "&amp;E50,IF(P50="EXPIRED","Dispose - expired","OK"))))</f>
        <v>0</v>
      </c>
    </row>
    <row r="51" spans="1:19">
      <c r="A51" s="46">
        <f>IF(B51="","","IT-"&amp;TEXT(ROW()-4,"000"))</f>
        <v>0</v>
      </c>
      <c r="J51" s="29">
        <f>IF(B51="","",ROUND(IF(G51="",0,G51)*IF(F51="",0,F51),2))</f>
        <v>0</v>
      </c>
      <c r="K51" s="49">
        <f>IF(B51="","",IF(G51="","Set stock level",IF(G51&lt;=0,"Out of stock",IF(G51&lt;=IF(H51="",0,H51),"Low - reorder","OK"))))</f>
        <v>0</v>
      </c>
      <c r="N51" s="29">
        <f>IF(B51="","",ROUND(IF(M51="",0,M51)*IF(F51="",0,F51),2))</f>
        <v>0</v>
      </c>
      <c r="P51" s="49">
        <f>IF(O51="","",IF(O51&lt;TODAY(),"EXPIRED",IF(O51-TODAY()&lt;=ExpiryAlertDays,"Use within "&amp;TEXT(O51-TODAY(),"0")&amp;" days","OK")))</f>
        <v>0</v>
      </c>
      <c r="S51" s="49">
        <f>IF(B51="","",IF(K51="Out of stock","Order now - out of stock",IF(K51="Low - reorder","Reorder "&amp;TEXT(IF(I51="",0,I51),"0")&amp;" "&amp;E51,IF(P51="EXPIRED","Dispose - expired","OK"))))</f>
        <v>0</v>
      </c>
    </row>
    <row r="52" spans="1:19">
      <c r="A52" s="46">
        <f>IF(B52="","","IT-"&amp;TEXT(ROW()-4,"000"))</f>
        <v>0</v>
      </c>
      <c r="J52" s="29">
        <f>IF(B52="","",ROUND(IF(G52="",0,G52)*IF(F52="",0,F52),2))</f>
        <v>0</v>
      </c>
      <c r="K52" s="49">
        <f>IF(B52="","",IF(G52="","Set stock level",IF(G52&lt;=0,"Out of stock",IF(G52&lt;=IF(H52="",0,H52),"Low - reorder","OK"))))</f>
        <v>0</v>
      </c>
      <c r="N52" s="29">
        <f>IF(B52="","",ROUND(IF(M52="",0,M52)*IF(F52="",0,F52),2))</f>
        <v>0</v>
      </c>
      <c r="P52" s="49">
        <f>IF(O52="","",IF(O52&lt;TODAY(),"EXPIRED",IF(O52-TODAY()&lt;=ExpiryAlertDays,"Use within "&amp;TEXT(O52-TODAY(),"0")&amp;" days","OK")))</f>
        <v>0</v>
      </c>
      <c r="S52" s="49">
        <f>IF(B52="","",IF(K52="Out of stock","Order now - out of stock",IF(K52="Low - reorder","Reorder "&amp;TEXT(IF(I52="",0,I52),"0")&amp;" "&amp;E52,IF(P52="EXPIRED","Dispose - expired","OK"))))</f>
        <v>0</v>
      </c>
    </row>
    <row r="53" spans="1:19">
      <c r="A53" s="46">
        <f>IF(B53="","","IT-"&amp;TEXT(ROW()-4,"000"))</f>
        <v>0</v>
      </c>
      <c r="J53" s="29">
        <f>IF(B53="","",ROUND(IF(G53="",0,G53)*IF(F53="",0,F53),2))</f>
        <v>0</v>
      </c>
      <c r="K53" s="49">
        <f>IF(B53="","",IF(G53="","Set stock level",IF(G53&lt;=0,"Out of stock",IF(G53&lt;=IF(H53="",0,H53),"Low - reorder","OK"))))</f>
        <v>0</v>
      </c>
      <c r="N53" s="29">
        <f>IF(B53="","",ROUND(IF(M53="",0,M53)*IF(F53="",0,F53),2))</f>
        <v>0</v>
      </c>
      <c r="P53" s="49">
        <f>IF(O53="","",IF(O53&lt;TODAY(),"EXPIRED",IF(O53-TODAY()&lt;=ExpiryAlertDays,"Use within "&amp;TEXT(O53-TODAY(),"0")&amp;" days","OK")))</f>
        <v>0</v>
      </c>
      <c r="S53" s="49">
        <f>IF(B53="","",IF(K53="Out of stock","Order now - out of stock",IF(K53="Low - reorder","Reorder "&amp;TEXT(IF(I53="",0,I53),"0")&amp;" "&amp;E53,IF(P53="EXPIRED","Dispose - expired","OK"))))</f>
        <v>0</v>
      </c>
    </row>
    <row r="54" spans="1:19">
      <c r="A54" s="46">
        <f>IF(B54="","","IT-"&amp;TEXT(ROW()-4,"000"))</f>
        <v>0</v>
      </c>
      <c r="J54" s="29">
        <f>IF(B54="","",ROUND(IF(G54="",0,G54)*IF(F54="",0,F54),2))</f>
        <v>0</v>
      </c>
      <c r="K54" s="49">
        <f>IF(B54="","",IF(G54="","Set stock level",IF(G54&lt;=0,"Out of stock",IF(G54&lt;=IF(H54="",0,H54),"Low - reorder","OK"))))</f>
        <v>0</v>
      </c>
      <c r="N54" s="29">
        <f>IF(B54="","",ROUND(IF(M54="",0,M54)*IF(F54="",0,F54),2))</f>
        <v>0</v>
      </c>
      <c r="P54" s="49">
        <f>IF(O54="","",IF(O54&lt;TODAY(),"EXPIRED",IF(O54-TODAY()&lt;=ExpiryAlertDays,"Use within "&amp;TEXT(O54-TODAY(),"0")&amp;" days","OK")))</f>
        <v>0</v>
      </c>
      <c r="S54" s="49">
        <f>IF(B54="","",IF(K54="Out of stock","Order now - out of stock",IF(K54="Low - reorder","Reorder "&amp;TEXT(IF(I54="",0,I54),"0")&amp;" "&amp;E54,IF(P54="EXPIRED","Dispose - expired","OK"))))</f>
        <v>0</v>
      </c>
    </row>
    <row r="55" spans="1:19">
      <c r="A55" s="46">
        <f>IF(B55="","","IT-"&amp;TEXT(ROW()-4,"000"))</f>
        <v>0</v>
      </c>
      <c r="J55" s="29">
        <f>IF(B55="","",ROUND(IF(G55="",0,G55)*IF(F55="",0,F55),2))</f>
        <v>0</v>
      </c>
      <c r="K55" s="49">
        <f>IF(B55="","",IF(G55="","Set stock level",IF(G55&lt;=0,"Out of stock",IF(G55&lt;=IF(H55="",0,H55),"Low - reorder","OK"))))</f>
        <v>0</v>
      </c>
      <c r="N55" s="29">
        <f>IF(B55="","",ROUND(IF(M55="",0,M55)*IF(F55="",0,F55),2))</f>
        <v>0</v>
      </c>
      <c r="P55" s="49">
        <f>IF(O55="","",IF(O55&lt;TODAY(),"EXPIRED",IF(O55-TODAY()&lt;=ExpiryAlertDays,"Use within "&amp;TEXT(O55-TODAY(),"0")&amp;" days","OK")))</f>
        <v>0</v>
      </c>
      <c r="S55" s="49">
        <f>IF(B55="","",IF(K55="Out of stock","Order now - out of stock",IF(K55="Low - reorder","Reorder "&amp;TEXT(IF(I55="",0,I55),"0")&amp;" "&amp;E55,IF(P55="EXPIRED","Dispose - expired","OK"))))</f>
        <v>0</v>
      </c>
    </row>
    <row r="56" spans="1:19">
      <c r="A56" s="46">
        <f>IF(B56="","","IT-"&amp;TEXT(ROW()-4,"000"))</f>
        <v>0</v>
      </c>
      <c r="J56" s="29">
        <f>IF(B56="","",ROUND(IF(G56="",0,G56)*IF(F56="",0,F56),2))</f>
        <v>0</v>
      </c>
      <c r="K56" s="49">
        <f>IF(B56="","",IF(G56="","Set stock level",IF(G56&lt;=0,"Out of stock",IF(G56&lt;=IF(H56="",0,H56),"Low - reorder","OK"))))</f>
        <v>0</v>
      </c>
      <c r="N56" s="29">
        <f>IF(B56="","",ROUND(IF(M56="",0,M56)*IF(F56="",0,F56),2))</f>
        <v>0</v>
      </c>
      <c r="P56" s="49">
        <f>IF(O56="","",IF(O56&lt;TODAY(),"EXPIRED",IF(O56-TODAY()&lt;=ExpiryAlertDays,"Use within "&amp;TEXT(O56-TODAY(),"0")&amp;" days","OK")))</f>
        <v>0</v>
      </c>
      <c r="S56" s="49">
        <f>IF(B56="","",IF(K56="Out of stock","Order now - out of stock",IF(K56="Low - reorder","Reorder "&amp;TEXT(IF(I56="",0,I56),"0")&amp;" "&amp;E56,IF(P56="EXPIRED","Dispose - expired","OK"))))</f>
        <v>0</v>
      </c>
    </row>
    <row r="57" spans="1:19">
      <c r="A57" s="46">
        <f>IF(B57="","","IT-"&amp;TEXT(ROW()-4,"000"))</f>
        <v>0</v>
      </c>
      <c r="J57" s="29">
        <f>IF(B57="","",ROUND(IF(G57="",0,G57)*IF(F57="",0,F57),2))</f>
        <v>0</v>
      </c>
      <c r="K57" s="49">
        <f>IF(B57="","",IF(G57="","Set stock level",IF(G57&lt;=0,"Out of stock",IF(G57&lt;=IF(H57="",0,H57),"Low - reorder","OK"))))</f>
        <v>0</v>
      </c>
      <c r="N57" s="29">
        <f>IF(B57="","",ROUND(IF(M57="",0,M57)*IF(F57="",0,F57),2))</f>
        <v>0</v>
      </c>
      <c r="P57" s="49">
        <f>IF(O57="","",IF(O57&lt;TODAY(),"EXPIRED",IF(O57-TODAY()&lt;=ExpiryAlertDays,"Use within "&amp;TEXT(O57-TODAY(),"0")&amp;" days","OK")))</f>
        <v>0</v>
      </c>
      <c r="S57" s="49">
        <f>IF(B57="","",IF(K57="Out of stock","Order now - out of stock",IF(K57="Low - reorder","Reorder "&amp;TEXT(IF(I57="",0,I57),"0")&amp;" "&amp;E57,IF(P57="EXPIRED","Dispose - expired","OK"))))</f>
        <v>0</v>
      </c>
    </row>
    <row r="58" spans="1:19">
      <c r="A58" s="46">
        <f>IF(B58="","","IT-"&amp;TEXT(ROW()-4,"000"))</f>
        <v>0</v>
      </c>
      <c r="J58" s="29">
        <f>IF(B58="","",ROUND(IF(G58="",0,G58)*IF(F58="",0,F58),2))</f>
        <v>0</v>
      </c>
      <c r="K58" s="49">
        <f>IF(B58="","",IF(G58="","Set stock level",IF(G58&lt;=0,"Out of stock",IF(G58&lt;=IF(H58="",0,H58),"Low - reorder","OK"))))</f>
        <v>0</v>
      </c>
      <c r="N58" s="29">
        <f>IF(B58="","",ROUND(IF(M58="",0,M58)*IF(F58="",0,F58),2))</f>
        <v>0</v>
      </c>
      <c r="P58" s="49">
        <f>IF(O58="","",IF(O58&lt;TODAY(),"EXPIRED",IF(O58-TODAY()&lt;=ExpiryAlertDays,"Use within "&amp;TEXT(O58-TODAY(),"0")&amp;" days","OK")))</f>
        <v>0</v>
      </c>
      <c r="S58" s="49">
        <f>IF(B58="","",IF(K58="Out of stock","Order now - out of stock",IF(K58="Low - reorder","Reorder "&amp;TEXT(IF(I58="",0,I58),"0")&amp;" "&amp;E58,IF(P58="EXPIRED","Dispose - expired","OK"))))</f>
        <v>0</v>
      </c>
    </row>
    <row r="59" spans="1:19">
      <c r="A59" s="46">
        <f>IF(B59="","","IT-"&amp;TEXT(ROW()-4,"000"))</f>
        <v>0</v>
      </c>
      <c r="J59" s="29">
        <f>IF(B59="","",ROUND(IF(G59="",0,G59)*IF(F59="",0,F59),2))</f>
        <v>0</v>
      </c>
      <c r="K59" s="49">
        <f>IF(B59="","",IF(G59="","Set stock level",IF(G59&lt;=0,"Out of stock",IF(G59&lt;=IF(H59="",0,H59),"Low - reorder","OK"))))</f>
        <v>0</v>
      </c>
      <c r="N59" s="29">
        <f>IF(B59="","",ROUND(IF(M59="",0,M59)*IF(F59="",0,F59),2))</f>
        <v>0</v>
      </c>
      <c r="P59" s="49">
        <f>IF(O59="","",IF(O59&lt;TODAY(),"EXPIRED",IF(O59-TODAY()&lt;=ExpiryAlertDays,"Use within "&amp;TEXT(O59-TODAY(),"0")&amp;" days","OK")))</f>
        <v>0</v>
      </c>
      <c r="S59" s="49">
        <f>IF(B59="","",IF(K59="Out of stock","Order now - out of stock",IF(K59="Low - reorder","Reorder "&amp;TEXT(IF(I59="",0,I59),"0")&amp;" "&amp;E59,IF(P59="EXPIRED","Dispose - expired","OK"))))</f>
        <v>0</v>
      </c>
    </row>
    <row r="60" spans="1:19">
      <c r="A60" s="46">
        <f>IF(B60="","","IT-"&amp;TEXT(ROW()-4,"000"))</f>
        <v>0</v>
      </c>
      <c r="J60" s="29">
        <f>IF(B60="","",ROUND(IF(G60="",0,G60)*IF(F60="",0,F60),2))</f>
        <v>0</v>
      </c>
      <c r="K60" s="49">
        <f>IF(B60="","",IF(G60="","Set stock level",IF(G60&lt;=0,"Out of stock",IF(G60&lt;=IF(H60="",0,H60),"Low - reorder","OK"))))</f>
        <v>0</v>
      </c>
      <c r="N60" s="29">
        <f>IF(B60="","",ROUND(IF(M60="",0,M60)*IF(F60="",0,F60),2))</f>
        <v>0</v>
      </c>
      <c r="P60" s="49">
        <f>IF(O60="","",IF(O60&lt;TODAY(),"EXPIRED",IF(O60-TODAY()&lt;=ExpiryAlertDays,"Use within "&amp;TEXT(O60-TODAY(),"0")&amp;" days","OK")))</f>
        <v>0</v>
      </c>
      <c r="S60" s="49">
        <f>IF(B60="","",IF(K60="Out of stock","Order now - out of stock",IF(K60="Low - reorder","Reorder "&amp;TEXT(IF(I60="",0,I60),"0")&amp;" "&amp;E60,IF(P60="EXPIRED","Dispose - expired","OK"))))</f>
        <v>0</v>
      </c>
    </row>
    <row r="61" spans="1:19">
      <c r="A61" s="46">
        <f>IF(B61="","","IT-"&amp;TEXT(ROW()-4,"000"))</f>
        <v>0</v>
      </c>
      <c r="J61" s="29">
        <f>IF(B61="","",ROUND(IF(G61="",0,G61)*IF(F61="",0,F61),2))</f>
        <v>0</v>
      </c>
      <c r="K61" s="49">
        <f>IF(B61="","",IF(G61="","Set stock level",IF(G61&lt;=0,"Out of stock",IF(G61&lt;=IF(H61="",0,H61),"Low - reorder","OK"))))</f>
        <v>0</v>
      </c>
      <c r="N61" s="29">
        <f>IF(B61="","",ROUND(IF(M61="",0,M61)*IF(F61="",0,F61),2))</f>
        <v>0</v>
      </c>
      <c r="P61" s="49">
        <f>IF(O61="","",IF(O61&lt;TODAY(),"EXPIRED",IF(O61-TODAY()&lt;=ExpiryAlertDays,"Use within "&amp;TEXT(O61-TODAY(),"0")&amp;" days","OK")))</f>
        <v>0</v>
      </c>
      <c r="S61" s="49">
        <f>IF(B61="","",IF(K61="Out of stock","Order now - out of stock",IF(K61="Low - reorder","Reorder "&amp;TEXT(IF(I61="",0,I61),"0")&amp;" "&amp;E61,IF(P61="EXPIRED","Dispose - expired","OK"))))</f>
        <v>0</v>
      </c>
    </row>
    <row r="62" spans="1:19">
      <c r="A62" s="46">
        <f>IF(B62="","","IT-"&amp;TEXT(ROW()-4,"000"))</f>
        <v>0</v>
      </c>
      <c r="J62" s="29">
        <f>IF(B62="","",ROUND(IF(G62="",0,G62)*IF(F62="",0,F62),2))</f>
        <v>0</v>
      </c>
      <c r="K62" s="49">
        <f>IF(B62="","",IF(G62="","Set stock level",IF(G62&lt;=0,"Out of stock",IF(G62&lt;=IF(H62="",0,H62),"Low - reorder","OK"))))</f>
        <v>0</v>
      </c>
      <c r="N62" s="29">
        <f>IF(B62="","",ROUND(IF(M62="",0,M62)*IF(F62="",0,F62),2))</f>
        <v>0</v>
      </c>
      <c r="P62" s="49">
        <f>IF(O62="","",IF(O62&lt;TODAY(),"EXPIRED",IF(O62-TODAY()&lt;=ExpiryAlertDays,"Use within "&amp;TEXT(O62-TODAY(),"0")&amp;" days","OK")))</f>
        <v>0</v>
      </c>
      <c r="S62" s="49">
        <f>IF(B62="","",IF(K62="Out of stock","Order now - out of stock",IF(K62="Low - reorder","Reorder "&amp;TEXT(IF(I62="",0,I62),"0")&amp;" "&amp;E62,IF(P62="EXPIRED","Dispose - expired","OK"))))</f>
        <v>0</v>
      </c>
    </row>
    <row r="63" spans="1:19">
      <c r="A63" s="46">
        <f>IF(B63="","","IT-"&amp;TEXT(ROW()-4,"000"))</f>
        <v>0</v>
      </c>
      <c r="J63" s="29">
        <f>IF(B63="","",ROUND(IF(G63="",0,G63)*IF(F63="",0,F63),2))</f>
        <v>0</v>
      </c>
      <c r="K63" s="49">
        <f>IF(B63="","",IF(G63="","Set stock level",IF(G63&lt;=0,"Out of stock",IF(G63&lt;=IF(H63="",0,H63),"Low - reorder","OK"))))</f>
        <v>0</v>
      </c>
      <c r="N63" s="29">
        <f>IF(B63="","",ROUND(IF(M63="",0,M63)*IF(F63="",0,F63),2))</f>
        <v>0</v>
      </c>
      <c r="P63" s="49">
        <f>IF(O63="","",IF(O63&lt;TODAY(),"EXPIRED",IF(O63-TODAY()&lt;=ExpiryAlertDays,"Use within "&amp;TEXT(O63-TODAY(),"0")&amp;" days","OK")))</f>
        <v>0</v>
      </c>
      <c r="S63" s="49">
        <f>IF(B63="","",IF(K63="Out of stock","Order now - out of stock",IF(K63="Low - reorder","Reorder "&amp;TEXT(IF(I63="",0,I63),"0")&amp;" "&amp;E63,IF(P63="EXPIRED","Dispose - expired","OK"))))</f>
        <v>0</v>
      </c>
    </row>
    <row r="64" spans="1:19">
      <c r="A64" s="46">
        <f>IF(B64="","","IT-"&amp;TEXT(ROW()-4,"000"))</f>
        <v>0</v>
      </c>
      <c r="J64" s="29">
        <f>IF(B64="","",ROUND(IF(G64="",0,G64)*IF(F64="",0,F64),2))</f>
        <v>0</v>
      </c>
      <c r="K64" s="49">
        <f>IF(B64="","",IF(G64="","Set stock level",IF(G64&lt;=0,"Out of stock",IF(G64&lt;=IF(H64="",0,H64),"Low - reorder","OK"))))</f>
        <v>0</v>
      </c>
      <c r="N64" s="29">
        <f>IF(B64="","",ROUND(IF(M64="",0,M64)*IF(F64="",0,F64),2))</f>
        <v>0</v>
      </c>
      <c r="P64" s="49">
        <f>IF(O64="","",IF(O64&lt;TODAY(),"EXPIRED",IF(O64-TODAY()&lt;=ExpiryAlertDays,"Use within "&amp;TEXT(O64-TODAY(),"0")&amp;" days","OK")))</f>
        <v>0</v>
      </c>
      <c r="S64" s="49">
        <f>IF(B64="","",IF(K64="Out of stock","Order now - out of stock",IF(K64="Low - reorder","Reorder "&amp;TEXT(IF(I64="",0,I64),"0")&amp;" "&amp;E64,IF(P64="EXPIRED","Dispose - expired","OK"))))</f>
        <v>0</v>
      </c>
    </row>
    <row r="65" spans="1:19">
      <c r="A65" s="46">
        <f>IF(B65="","","IT-"&amp;TEXT(ROW()-4,"000"))</f>
        <v>0</v>
      </c>
      <c r="J65" s="29">
        <f>IF(B65="","",ROUND(IF(G65="",0,G65)*IF(F65="",0,F65),2))</f>
        <v>0</v>
      </c>
      <c r="K65" s="49">
        <f>IF(B65="","",IF(G65="","Set stock level",IF(G65&lt;=0,"Out of stock",IF(G65&lt;=IF(H65="",0,H65),"Low - reorder","OK"))))</f>
        <v>0</v>
      </c>
      <c r="N65" s="29">
        <f>IF(B65="","",ROUND(IF(M65="",0,M65)*IF(F65="",0,F65),2))</f>
        <v>0</v>
      </c>
      <c r="P65" s="49">
        <f>IF(O65="","",IF(O65&lt;TODAY(),"EXPIRED",IF(O65-TODAY()&lt;=ExpiryAlertDays,"Use within "&amp;TEXT(O65-TODAY(),"0")&amp;" days","OK")))</f>
        <v>0</v>
      </c>
      <c r="S65" s="49">
        <f>IF(B65="","",IF(K65="Out of stock","Order now - out of stock",IF(K65="Low - reorder","Reorder "&amp;TEXT(IF(I65="",0,I65),"0")&amp;" "&amp;E65,IF(P65="EXPIRED","Dispose - expired","OK"))))</f>
        <v>0</v>
      </c>
    </row>
    <row r="66" spans="1:19">
      <c r="A66" s="46">
        <f>IF(B66="","","IT-"&amp;TEXT(ROW()-4,"000"))</f>
        <v>0</v>
      </c>
      <c r="J66" s="29">
        <f>IF(B66="","",ROUND(IF(G66="",0,G66)*IF(F66="",0,F66),2))</f>
        <v>0</v>
      </c>
      <c r="K66" s="49">
        <f>IF(B66="","",IF(G66="","Set stock level",IF(G66&lt;=0,"Out of stock",IF(G66&lt;=IF(H66="",0,H66),"Low - reorder","OK"))))</f>
        <v>0</v>
      </c>
      <c r="N66" s="29">
        <f>IF(B66="","",ROUND(IF(M66="",0,M66)*IF(F66="",0,F66),2))</f>
        <v>0</v>
      </c>
      <c r="P66" s="49">
        <f>IF(O66="","",IF(O66&lt;TODAY(),"EXPIRED",IF(O66-TODAY()&lt;=ExpiryAlertDays,"Use within "&amp;TEXT(O66-TODAY(),"0")&amp;" days","OK")))</f>
        <v>0</v>
      </c>
      <c r="S66" s="49">
        <f>IF(B66="","",IF(K66="Out of stock","Order now - out of stock",IF(K66="Low - reorder","Reorder "&amp;TEXT(IF(I66="",0,I66),"0")&amp;" "&amp;E66,IF(P66="EXPIRED","Dispose - expired","OK"))))</f>
        <v>0</v>
      </c>
    </row>
    <row r="67" spans="1:19">
      <c r="A67" s="46">
        <f>IF(B67="","","IT-"&amp;TEXT(ROW()-4,"000"))</f>
        <v>0</v>
      </c>
      <c r="J67" s="29">
        <f>IF(B67="","",ROUND(IF(G67="",0,G67)*IF(F67="",0,F67),2))</f>
        <v>0</v>
      </c>
      <c r="K67" s="49">
        <f>IF(B67="","",IF(G67="","Set stock level",IF(G67&lt;=0,"Out of stock",IF(G67&lt;=IF(H67="",0,H67),"Low - reorder","OK"))))</f>
        <v>0</v>
      </c>
      <c r="N67" s="29">
        <f>IF(B67="","",ROUND(IF(M67="",0,M67)*IF(F67="",0,F67),2))</f>
        <v>0</v>
      </c>
      <c r="P67" s="49">
        <f>IF(O67="","",IF(O67&lt;TODAY(),"EXPIRED",IF(O67-TODAY()&lt;=ExpiryAlertDays,"Use within "&amp;TEXT(O67-TODAY(),"0")&amp;" days","OK")))</f>
        <v>0</v>
      </c>
      <c r="S67" s="49">
        <f>IF(B67="","",IF(K67="Out of stock","Order now - out of stock",IF(K67="Low - reorder","Reorder "&amp;TEXT(IF(I67="",0,I67),"0")&amp;" "&amp;E67,IF(P67="EXPIRED","Dispose - expired","OK"))))</f>
        <v>0</v>
      </c>
    </row>
    <row r="68" spans="1:19">
      <c r="A68" s="46">
        <f>IF(B68="","","IT-"&amp;TEXT(ROW()-4,"000"))</f>
        <v>0</v>
      </c>
      <c r="J68" s="29">
        <f>IF(B68="","",ROUND(IF(G68="",0,G68)*IF(F68="",0,F68),2))</f>
        <v>0</v>
      </c>
      <c r="K68" s="49">
        <f>IF(B68="","",IF(G68="","Set stock level",IF(G68&lt;=0,"Out of stock",IF(G68&lt;=IF(H68="",0,H68),"Low - reorder","OK"))))</f>
        <v>0</v>
      </c>
      <c r="N68" s="29">
        <f>IF(B68="","",ROUND(IF(M68="",0,M68)*IF(F68="",0,F68),2))</f>
        <v>0</v>
      </c>
      <c r="P68" s="49">
        <f>IF(O68="","",IF(O68&lt;TODAY(),"EXPIRED",IF(O68-TODAY()&lt;=ExpiryAlertDays,"Use within "&amp;TEXT(O68-TODAY(),"0")&amp;" days","OK")))</f>
        <v>0</v>
      </c>
      <c r="S68" s="49">
        <f>IF(B68="","",IF(K68="Out of stock","Order now - out of stock",IF(K68="Low - reorder","Reorder "&amp;TEXT(IF(I68="",0,I68),"0")&amp;" "&amp;E68,IF(P68="EXPIRED","Dispose - expired","OK"))))</f>
        <v>0</v>
      </c>
    </row>
    <row r="69" spans="1:19">
      <c r="A69" s="46">
        <f>IF(B69="","","IT-"&amp;TEXT(ROW()-4,"000"))</f>
        <v>0</v>
      </c>
      <c r="J69" s="29">
        <f>IF(B69="","",ROUND(IF(G69="",0,G69)*IF(F69="",0,F69),2))</f>
        <v>0</v>
      </c>
      <c r="K69" s="49">
        <f>IF(B69="","",IF(G69="","Set stock level",IF(G69&lt;=0,"Out of stock",IF(G69&lt;=IF(H69="",0,H69),"Low - reorder","OK"))))</f>
        <v>0</v>
      </c>
      <c r="N69" s="29">
        <f>IF(B69="","",ROUND(IF(M69="",0,M69)*IF(F69="",0,F69),2))</f>
        <v>0</v>
      </c>
      <c r="P69" s="49">
        <f>IF(O69="","",IF(O69&lt;TODAY(),"EXPIRED",IF(O69-TODAY()&lt;=ExpiryAlertDays,"Use within "&amp;TEXT(O69-TODAY(),"0")&amp;" days","OK")))</f>
        <v>0</v>
      </c>
      <c r="S69" s="49">
        <f>IF(B69="","",IF(K69="Out of stock","Order now - out of stock",IF(K69="Low - reorder","Reorder "&amp;TEXT(IF(I69="",0,I69),"0")&amp;" "&amp;E69,IF(P69="EXPIRED","Dispose - expired","OK"))))</f>
        <v>0</v>
      </c>
    </row>
    <row r="70" spans="1:19">
      <c r="A70" s="46">
        <f>IF(B70="","","IT-"&amp;TEXT(ROW()-4,"000"))</f>
        <v>0</v>
      </c>
      <c r="J70" s="29">
        <f>IF(B70="","",ROUND(IF(G70="",0,G70)*IF(F70="",0,F70),2))</f>
        <v>0</v>
      </c>
      <c r="K70" s="49">
        <f>IF(B70="","",IF(G70="","Set stock level",IF(G70&lt;=0,"Out of stock",IF(G70&lt;=IF(H70="",0,H70),"Low - reorder","OK"))))</f>
        <v>0</v>
      </c>
      <c r="N70" s="29">
        <f>IF(B70="","",ROUND(IF(M70="",0,M70)*IF(F70="",0,F70),2))</f>
        <v>0</v>
      </c>
      <c r="P70" s="49">
        <f>IF(O70="","",IF(O70&lt;TODAY(),"EXPIRED",IF(O70-TODAY()&lt;=ExpiryAlertDays,"Use within "&amp;TEXT(O70-TODAY(),"0")&amp;" days","OK")))</f>
        <v>0</v>
      </c>
      <c r="S70" s="49">
        <f>IF(B70="","",IF(K70="Out of stock","Order now - out of stock",IF(K70="Low - reorder","Reorder "&amp;TEXT(IF(I70="",0,I70),"0")&amp;" "&amp;E70,IF(P70="EXPIRED","Dispose - expired","OK"))))</f>
        <v>0</v>
      </c>
    </row>
    <row r="71" spans="1:19">
      <c r="A71" s="46">
        <f>IF(B71="","","IT-"&amp;TEXT(ROW()-4,"000"))</f>
        <v>0</v>
      </c>
      <c r="J71" s="29">
        <f>IF(B71="","",ROUND(IF(G71="",0,G71)*IF(F71="",0,F71),2))</f>
        <v>0</v>
      </c>
      <c r="K71" s="49">
        <f>IF(B71="","",IF(G71="","Set stock level",IF(G71&lt;=0,"Out of stock",IF(G71&lt;=IF(H71="",0,H71),"Low - reorder","OK"))))</f>
        <v>0</v>
      </c>
      <c r="N71" s="29">
        <f>IF(B71="","",ROUND(IF(M71="",0,M71)*IF(F71="",0,F71),2))</f>
        <v>0</v>
      </c>
      <c r="P71" s="49">
        <f>IF(O71="","",IF(O71&lt;TODAY(),"EXPIRED",IF(O71-TODAY()&lt;=ExpiryAlertDays,"Use within "&amp;TEXT(O71-TODAY(),"0")&amp;" days","OK")))</f>
        <v>0</v>
      </c>
      <c r="S71" s="49">
        <f>IF(B71="","",IF(K71="Out of stock","Order now - out of stock",IF(K71="Low - reorder","Reorder "&amp;TEXT(IF(I71="",0,I71),"0")&amp;" "&amp;E71,IF(P71="EXPIRED","Dispose - expired","OK"))))</f>
        <v>0</v>
      </c>
    </row>
    <row r="72" spans="1:19">
      <c r="A72" s="46">
        <f>IF(B72="","","IT-"&amp;TEXT(ROW()-4,"000"))</f>
        <v>0</v>
      </c>
      <c r="J72" s="29">
        <f>IF(B72="","",ROUND(IF(G72="",0,G72)*IF(F72="",0,F72),2))</f>
        <v>0</v>
      </c>
      <c r="K72" s="49">
        <f>IF(B72="","",IF(G72="","Set stock level",IF(G72&lt;=0,"Out of stock",IF(G72&lt;=IF(H72="",0,H72),"Low - reorder","OK"))))</f>
        <v>0</v>
      </c>
      <c r="N72" s="29">
        <f>IF(B72="","",ROUND(IF(M72="",0,M72)*IF(F72="",0,F72),2))</f>
        <v>0</v>
      </c>
      <c r="P72" s="49">
        <f>IF(O72="","",IF(O72&lt;TODAY(),"EXPIRED",IF(O72-TODAY()&lt;=ExpiryAlertDays,"Use within "&amp;TEXT(O72-TODAY(),"0")&amp;" days","OK")))</f>
        <v>0</v>
      </c>
      <c r="S72" s="49">
        <f>IF(B72="","",IF(K72="Out of stock","Order now - out of stock",IF(K72="Low - reorder","Reorder "&amp;TEXT(IF(I72="",0,I72),"0")&amp;" "&amp;E72,IF(P72="EXPIRED","Dispose - expired","OK"))))</f>
        <v>0</v>
      </c>
    </row>
    <row r="73" spans="1:19">
      <c r="A73" s="46">
        <f>IF(B73="","","IT-"&amp;TEXT(ROW()-4,"000"))</f>
        <v>0</v>
      </c>
      <c r="J73" s="29">
        <f>IF(B73="","",ROUND(IF(G73="",0,G73)*IF(F73="",0,F73),2))</f>
        <v>0</v>
      </c>
      <c r="K73" s="49">
        <f>IF(B73="","",IF(G73="","Set stock level",IF(G73&lt;=0,"Out of stock",IF(G73&lt;=IF(H73="",0,H73),"Low - reorder","OK"))))</f>
        <v>0</v>
      </c>
      <c r="N73" s="29">
        <f>IF(B73="","",ROUND(IF(M73="",0,M73)*IF(F73="",0,F73),2))</f>
        <v>0</v>
      </c>
      <c r="P73" s="49">
        <f>IF(O73="","",IF(O73&lt;TODAY(),"EXPIRED",IF(O73-TODAY()&lt;=ExpiryAlertDays,"Use within "&amp;TEXT(O73-TODAY(),"0")&amp;" days","OK")))</f>
        <v>0</v>
      </c>
      <c r="S73" s="49">
        <f>IF(B73="","",IF(K73="Out of stock","Order now - out of stock",IF(K73="Low - reorder","Reorder "&amp;TEXT(IF(I73="",0,I73),"0")&amp;" "&amp;E73,IF(P73="EXPIRED","Dispose - expired","OK"))))</f>
        <v>0</v>
      </c>
    </row>
    <row r="74" spans="1:19">
      <c r="A74" s="46">
        <f>IF(B74="","","IT-"&amp;TEXT(ROW()-4,"000"))</f>
        <v>0</v>
      </c>
      <c r="J74" s="29">
        <f>IF(B74="","",ROUND(IF(G74="",0,G74)*IF(F74="",0,F74),2))</f>
        <v>0</v>
      </c>
      <c r="K74" s="49">
        <f>IF(B74="","",IF(G74="","Set stock level",IF(G74&lt;=0,"Out of stock",IF(G74&lt;=IF(H74="",0,H74),"Low - reorder","OK"))))</f>
        <v>0</v>
      </c>
      <c r="N74" s="29">
        <f>IF(B74="","",ROUND(IF(M74="",0,M74)*IF(F74="",0,F74),2))</f>
        <v>0</v>
      </c>
      <c r="P74" s="49">
        <f>IF(O74="","",IF(O74&lt;TODAY(),"EXPIRED",IF(O74-TODAY()&lt;=ExpiryAlertDays,"Use within "&amp;TEXT(O74-TODAY(),"0")&amp;" days","OK")))</f>
        <v>0</v>
      </c>
      <c r="S74" s="49">
        <f>IF(B74="","",IF(K74="Out of stock","Order now - out of stock",IF(K74="Low - reorder","Reorder "&amp;TEXT(IF(I74="",0,I74),"0")&amp;" "&amp;E74,IF(P74="EXPIRED","Dispose - expired","OK"))))</f>
        <v>0</v>
      </c>
    </row>
    <row r="75" spans="1:19">
      <c r="A75" s="46">
        <f>IF(B75="","","IT-"&amp;TEXT(ROW()-4,"000"))</f>
        <v>0</v>
      </c>
      <c r="J75" s="29">
        <f>IF(B75="","",ROUND(IF(G75="",0,G75)*IF(F75="",0,F75),2))</f>
        <v>0</v>
      </c>
      <c r="K75" s="49">
        <f>IF(B75="","",IF(G75="","Set stock level",IF(G75&lt;=0,"Out of stock",IF(G75&lt;=IF(H75="",0,H75),"Low - reorder","OK"))))</f>
        <v>0</v>
      </c>
      <c r="N75" s="29">
        <f>IF(B75="","",ROUND(IF(M75="",0,M75)*IF(F75="",0,F75),2))</f>
        <v>0</v>
      </c>
      <c r="P75" s="49">
        <f>IF(O75="","",IF(O75&lt;TODAY(),"EXPIRED",IF(O75-TODAY()&lt;=ExpiryAlertDays,"Use within "&amp;TEXT(O75-TODAY(),"0")&amp;" days","OK")))</f>
        <v>0</v>
      </c>
      <c r="S75" s="49">
        <f>IF(B75="","",IF(K75="Out of stock","Order now - out of stock",IF(K75="Low - reorder","Reorder "&amp;TEXT(IF(I75="",0,I75),"0")&amp;" "&amp;E75,IF(P75="EXPIRED","Dispose - expired","OK"))))</f>
        <v>0</v>
      </c>
    </row>
    <row r="76" spans="1:19">
      <c r="A76" s="46">
        <f>IF(B76="","","IT-"&amp;TEXT(ROW()-4,"000"))</f>
        <v>0</v>
      </c>
      <c r="J76" s="29">
        <f>IF(B76="","",ROUND(IF(G76="",0,G76)*IF(F76="",0,F76),2))</f>
        <v>0</v>
      </c>
      <c r="K76" s="49">
        <f>IF(B76="","",IF(G76="","Set stock level",IF(G76&lt;=0,"Out of stock",IF(G76&lt;=IF(H76="",0,H76),"Low - reorder","OK"))))</f>
        <v>0</v>
      </c>
      <c r="N76" s="29">
        <f>IF(B76="","",ROUND(IF(M76="",0,M76)*IF(F76="",0,F76),2))</f>
        <v>0</v>
      </c>
      <c r="P76" s="49">
        <f>IF(O76="","",IF(O76&lt;TODAY(),"EXPIRED",IF(O76-TODAY()&lt;=ExpiryAlertDays,"Use within "&amp;TEXT(O76-TODAY(),"0")&amp;" days","OK")))</f>
        <v>0</v>
      </c>
      <c r="S76" s="49">
        <f>IF(B76="","",IF(K76="Out of stock","Order now - out of stock",IF(K76="Low - reorder","Reorder "&amp;TEXT(IF(I76="",0,I76),"0")&amp;" "&amp;E76,IF(P76="EXPIRED","Dispose - expired","OK"))))</f>
        <v>0</v>
      </c>
    </row>
    <row r="77" spans="1:19">
      <c r="A77" s="46">
        <f>IF(B77="","","IT-"&amp;TEXT(ROW()-4,"000"))</f>
        <v>0</v>
      </c>
      <c r="J77" s="29">
        <f>IF(B77="","",ROUND(IF(G77="",0,G77)*IF(F77="",0,F77),2))</f>
        <v>0</v>
      </c>
      <c r="K77" s="49">
        <f>IF(B77="","",IF(G77="","Set stock level",IF(G77&lt;=0,"Out of stock",IF(G77&lt;=IF(H77="",0,H77),"Low - reorder","OK"))))</f>
        <v>0</v>
      </c>
      <c r="N77" s="29">
        <f>IF(B77="","",ROUND(IF(M77="",0,M77)*IF(F77="",0,F77),2))</f>
        <v>0</v>
      </c>
      <c r="P77" s="49">
        <f>IF(O77="","",IF(O77&lt;TODAY(),"EXPIRED",IF(O77-TODAY()&lt;=ExpiryAlertDays,"Use within "&amp;TEXT(O77-TODAY(),"0")&amp;" days","OK")))</f>
        <v>0</v>
      </c>
      <c r="S77" s="49">
        <f>IF(B77="","",IF(K77="Out of stock","Order now - out of stock",IF(K77="Low - reorder","Reorder "&amp;TEXT(IF(I77="",0,I77),"0")&amp;" "&amp;E77,IF(P77="EXPIRED","Dispose - expired","OK"))))</f>
        <v>0</v>
      </c>
    </row>
    <row r="78" spans="1:19">
      <c r="A78" s="46">
        <f>IF(B78="","","IT-"&amp;TEXT(ROW()-4,"000"))</f>
        <v>0</v>
      </c>
      <c r="J78" s="29">
        <f>IF(B78="","",ROUND(IF(G78="",0,G78)*IF(F78="",0,F78),2))</f>
        <v>0</v>
      </c>
      <c r="K78" s="49">
        <f>IF(B78="","",IF(G78="","Set stock level",IF(G78&lt;=0,"Out of stock",IF(G78&lt;=IF(H78="",0,H78),"Low - reorder","OK"))))</f>
        <v>0</v>
      </c>
      <c r="N78" s="29">
        <f>IF(B78="","",ROUND(IF(M78="",0,M78)*IF(F78="",0,F78),2))</f>
        <v>0</v>
      </c>
      <c r="P78" s="49">
        <f>IF(O78="","",IF(O78&lt;TODAY(),"EXPIRED",IF(O78-TODAY()&lt;=ExpiryAlertDays,"Use within "&amp;TEXT(O78-TODAY(),"0")&amp;" days","OK")))</f>
        <v>0</v>
      </c>
      <c r="S78" s="49">
        <f>IF(B78="","",IF(K78="Out of stock","Order now - out of stock",IF(K78="Low - reorder","Reorder "&amp;TEXT(IF(I78="",0,I78),"0")&amp;" "&amp;E78,IF(P78="EXPIRED","Dispose - expired","OK"))))</f>
        <v>0</v>
      </c>
    </row>
    <row r="79" spans="1:19">
      <c r="A79" s="46">
        <f>IF(B79="","","IT-"&amp;TEXT(ROW()-4,"000"))</f>
        <v>0</v>
      </c>
      <c r="J79" s="29">
        <f>IF(B79="","",ROUND(IF(G79="",0,G79)*IF(F79="",0,F79),2))</f>
        <v>0</v>
      </c>
      <c r="K79" s="49">
        <f>IF(B79="","",IF(G79="","Set stock level",IF(G79&lt;=0,"Out of stock",IF(G79&lt;=IF(H79="",0,H79),"Low - reorder","OK"))))</f>
        <v>0</v>
      </c>
      <c r="N79" s="29">
        <f>IF(B79="","",ROUND(IF(M79="",0,M79)*IF(F79="",0,F79),2))</f>
        <v>0</v>
      </c>
      <c r="P79" s="49">
        <f>IF(O79="","",IF(O79&lt;TODAY(),"EXPIRED",IF(O79-TODAY()&lt;=ExpiryAlertDays,"Use within "&amp;TEXT(O79-TODAY(),"0")&amp;" days","OK")))</f>
        <v>0</v>
      </c>
      <c r="S79" s="49">
        <f>IF(B79="","",IF(K79="Out of stock","Order now - out of stock",IF(K79="Low - reorder","Reorder "&amp;TEXT(IF(I79="",0,I79),"0")&amp;" "&amp;E79,IF(P79="EXPIRED","Dispose - expired","OK"))))</f>
        <v>0</v>
      </c>
    </row>
    <row r="80" spans="1:19">
      <c r="A80" s="46">
        <f>IF(B80="","","IT-"&amp;TEXT(ROW()-4,"000"))</f>
        <v>0</v>
      </c>
      <c r="J80" s="29">
        <f>IF(B80="","",ROUND(IF(G80="",0,G80)*IF(F80="",0,F80),2))</f>
        <v>0</v>
      </c>
      <c r="K80" s="49">
        <f>IF(B80="","",IF(G80="","Set stock level",IF(G80&lt;=0,"Out of stock",IF(G80&lt;=IF(H80="",0,H80),"Low - reorder","OK"))))</f>
        <v>0</v>
      </c>
      <c r="N80" s="29">
        <f>IF(B80="","",ROUND(IF(M80="",0,M80)*IF(F80="",0,F80),2))</f>
        <v>0</v>
      </c>
      <c r="P80" s="49">
        <f>IF(O80="","",IF(O80&lt;TODAY(),"EXPIRED",IF(O80-TODAY()&lt;=ExpiryAlertDays,"Use within "&amp;TEXT(O80-TODAY(),"0")&amp;" days","OK")))</f>
        <v>0</v>
      </c>
      <c r="S80" s="49">
        <f>IF(B80="","",IF(K80="Out of stock","Order now - out of stock",IF(K80="Low - reorder","Reorder "&amp;TEXT(IF(I80="",0,I80),"0")&amp;" "&amp;E80,IF(P80="EXPIRED","Dispose - expired","OK"))))</f>
        <v>0</v>
      </c>
    </row>
    <row r="81" spans="1:19">
      <c r="A81" s="46">
        <f>IF(B81="","","IT-"&amp;TEXT(ROW()-4,"000"))</f>
        <v>0</v>
      </c>
      <c r="J81" s="29">
        <f>IF(B81="","",ROUND(IF(G81="",0,G81)*IF(F81="",0,F81),2))</f>
        <v>0</v>
      </c>
      <c r="K81" s="49">
        <f>IF(B81="","",IF(G81="","Set stock level",IF(G81&lt;=0,"Out of stock",IF(G81&lt;=IF(H81="",0,H81),"Low - reorder","OK"))))</f>
        <v>0</v>
      </c>
      <c r="N81" s="29">
        <f>IF(B81="","",ROUND(IF(M81="",0,M81)*IF(F81="",0,F81),2))</f>
        <v>0</v>
      </c>
      <c r="P81" s="49">
        <f>IF(O81="","",IF(O81&lt;TODAY(),"EXPIRED",IF(O81-TODAY()&lt;=ExpiryAlertDays,"Use within "&amp;TEXT(O81-TODAY(),"0")&amp;" days","OK")))</f>
        <v>0</v>
      </c>
      <c r="S81" s="49">
        <f>IF(B81="","",IF(K81="Out of stock","Order now - out of stock",IF(K81="Low - reorder","Reorder "&amp;TEXT(IF(I81="",0,I81),"0")&amp;" "&amp;E81,IF(P81="EXPIRED","Dispose - expired","OK"))))</f>
        <v>0</v>
      </c>
    </row>
    <row r="82" spans="1:19">
      <c r="A82" s="46">
        <f>IF(B82="","","IT-"&amp;TEXT(ROW()-4,"000"))</f>
        <v>0</v>
      </c>
      <c r="J82" s="29">
        <f>IF(B82="","",ROUND(IF(G82="",0,G82)*IF(F82="",0,F82),2))</f>
        <v>0</v>
      </c>
      <c r="K82" s="49">
        <f>IF(B82="","",IF(G82="","Set stock level",IF(G82&lt;=0,"Out of stock",IF(G82&lt;=IF(H82="",0,H82),"Low - reorder","OK"))))</f>
        <v>0</v>
      </c>
      <c r="N82" s="29">
        <f>IF(B82="","",ROUND(IF(M82="",0,M82)*IF(F82="",0,F82),2))</f>
        <v>0</v>
      </c>
      <c r="P82" s="49">
        <f>IF(O82="","",IF(O82&lt;TODAY(),"EXPIRED",IF(O82-TODAY()&lt;=ExpiryAlertDays,"Use within "&amp;TEXT(O82-TODAY(),"0")&amp;" days","OK")))</f>
        <v>0</v>
      </c>
      <c r="S82" s="49">
        <f>IF(B82="","",IF(K82="Out of stock","Order now - out of stock",IF(K82="Low - reorder","Reorder "&amp;TEXT(IF(I82="",0,I82),"0")&amp;" "&amp;E82,IF(P82="EXPIRED","Dispose - expired","OK"))))</f>
        <v>0</v>
      </c>
    </row>
    <row r="83" spans="1:19">
      <c r="A83" s="46">
        <f>IF(B83="","","IT-"&amp;TEXT(ROW()-4,"000"))</f>
        <v>0</v>
      </c>
      <c r="J83" s="29">
        <f>IF(B83="","",ROUND(IF(G83="",0,G83)*IF(F83="",0,F83),2))</f>
        <v>0</v>
      </c>
      <c r="K83" s="49">
        <f>IF(B83="","",IF(G83="","Set stock level",IF(G83&lt;=0,"Out of stock",IF(G83&lt;=IF(H83="",0,H83),"Low - reorder","OK"))))</f>
        <v>0</v>
      </c>
      <c r="N83" s="29">
        <f>IF(B83="","",ROUND(IF(M83="",0,M83)*IF(F83="",0,F83),2))</f>
        <v>0</v>
      </c>
      <c r="P83" s="49">
        <f>IF(O83="","",IF(O83&lt;TODAY(),"EXPIRED",IF(O83-TODAY()&lt;=ExpiryAlertDays,"Use within "&amp;TEXT(O83-TODAY(),"0")&amp;" days","OK")))</f>
        <v>0</v>
      </c>
      <c r="S83" s="49">
        <f>IF(B83="","",IF(K83="Out of stock","Order now - out of stock",IF(K83="Low - reorder","Reorder "&amp;TEXT(IF(I83="",0,I83),"0")&amp;" "&amp;E83,IF(P83="EXPIRED","Dispose - expired","OK"))))</f>
        <v>0</v>
      </c>
    </row>
    <row r="84" spans="1:19">
      <c r="A84" s="46">
        <f>IF(B84="","","IT-"&amp;TEXT(ROW()-4,"000"))</f>
        <v>0</v>
      </c>
      <c r="J84" s="29">
        <f>IF(B84="","",ROUND(IF(G84="",0,G84)*IF(F84="",0,F84),2))</f>
        <v>0</v>
      </c>
      <c r="K84" s="49">
        <f>IF(B84="","",IF(G84="","Set stock level",IF(G84&lt;=0,"Out of stock",IF(G84&lt;=IF(H84="",0,H84),"Low - reorder","OK"))))</f>
        <v>0</v>
      </c>
      <c r="N84" s="29">
        <f>IF(B84="","",ROUND(IF(M84="",0,M84)*IF(F84="",0,F84),2))</f>
        <v>0</v>
      </c>
      <c r="P84" s="49">
        <f>IF(O84="","",IF(O84&lt;TODAY(),"EXPIRED",IF(O84-TODAY()&lt;=ExpiryAlertDays,"Use within "&amp;TEXT(O84-TODAY(),"0")&amp;" days","OK")))</f>
        <v>0</v>
      </c>
      <c r="S84" s="49">
        <f>IF(B84="","",IF(K84="Out of stock","Order now - out of stock",IF(K84="Low - reorder","Reorder "&amp;TEXT(IF(I84="",0,I84),"0")&amp;" "&amp;E84,IF(P84="EXPIRED","Dispose - expired","OK"))))</f>
        <v>0</v>
      </c>
    </row>
    <row r="85" spans="1:19">
      <c r="A85" s="46">
        <f>IF(B85="","","IT-"&amp;TEXT(ROW()-4,"000"))</f>
        <v>0</v>
      </c>
      <c r="J85" s="29">
        <f>IF(B85="","",ROUND(IF(G85="",0,G85)*IF(F85="",0,F85),2))</f>
        <v>0</v>
      </c>
      <c r="K85" s="49">
        <f>IF(B85="","",IF(G85="","Set stock level",IF(G85&lt;=0,"Out of stock",IF(G85&lt;=IF(H85="",0,H85),"Low - reorder","OK"))))</f>
        <v>0</v>
      </c>
      <c r="N85" s="29">
        <f>IF(B85="","",ROUND(IF(M85="",0,M85)*IF(F85="",0,F85),2))</f>
        <v>0</v>
      </c>
      <c r="P85" s="49">
        <f>IF(O85="","",IF(O85&lt;TODAY(),"EXPIRED",IF(O85-TODAY()&lt;=ExpiryAlertDays,"Use within "&amp;TEXT(O85-TODAY(),"0")&amp;" days","OK")))</f>
        <v>0</v>
      </c>
      <c r="S85" s="49">
        <f>IF(B85="","",IF(K85="Out of stock","Order now - out of stock",IF(K85="Low - reorder","Reorder "&amp;TEXT(IF(I85="",0,I85),"0")&amp;" "&amp;E85,IF(P85="EXPIRED","Dispose - expired","OK"))))</f>
        <v>0</v>
      </c>
    </row>
    <row r="86" spans="1:19">
      <c r="A86" s="46">
        <f>IF(B86="","","IT-"&amp;TEXT(ROW()-4,"000"))</f>
        <v>0</v>
      </c>
      <c r="J86" s="29">
        <f>IF(B86="","",ROUND(IF(G86="",0,G86)*IF(F86="",0,F86),2))</f>
        <v>0</v>
      </c>
      <c r="K86" s="49">
        <f>IF(B86="","",IF(G86="","Set stock level",IF(G86&lt;=0,"Out of stock",IF(G86&lt;=IF(H86="",0,H86),"Low - reorder","OK"))))</f>
        <v>0</v>
      </c>
      <c r="N86" s="29">
        <f>IF(B86="","",ROUND(IF(M86="",0,M86)*IF(F86="",0,F86),2))</f>
        <v>0</v>
      </c>
      <c r="P86" s="49">
        <f>IF(O86="","",IF(O86&lt;TODAY(),"EXPIRED",IF(O86-TODAY()&lt;=ExpiryAlertDays,"Use within "&amp;TEXT(O86-TODAY(),"0")&amp;" days","OK")))</f>
        <v>0</v>
      </c>
      <c r="S86" s="49">
        <f>IF(B86="","",IF(K86="Out of stock","Order now - out of stock",IF(K86="Low - reorder","Reorder "&amp;TEXT(IF(I86="",0,I86),"0")&amp;" "&amp;E86,IF(P86="EXPIRED","Dispose - expired","OK"))))</f>
        <v>0</v>
      </c>
    </row>
    <row r="87" spans="1:19">
      <c r="A87" s="46">
        <f>IF(B87="","","IT-"&amp;TEXT(ROW()-4,"000"))</f>
        <v>0</v>
      </c>
      <c r="J87" s="29">
        <f>IF(B87="","",ROUND(IF(G87="",0,G87)*IF(F87="",0,F87),2))</f>
        <v>0</v>
      </c>
      <c r="K87" s="49">
        <f>IF(B87="","",IF(G87="","Set stock level",IF(G87&lt;=0,"Out of stock",IF(G87&lt;=IF(H87="",0,H87),"Low - reorder","OK"))))</f>
        <v>0</v>
      </c>
      <c r="N87" s="29">
        <f>IF(B87="","",ROUND(IF(M87="",0,M87)*IF(F87="",0,F87),2))</f>
        <v>0</v>
      </c>
      <c r="P87" s="49">
        <f>IF(O87="","",IF(O87&lt;TODAY(),"EXPIRED",IF(O87-TODAY()&lt;=ExpiryAlertDays,"Use within "&amp;TEXT(O87-TODAY(),"0")&amp;" days","OK")))</f>
        <v>0</v>
      </c>
      <c r="S87" s="49">
        <f>IF(B87="","",IF(K87="Out of stock","Order now - out of stock",IF(K87="Low - reorder","Reorder "&amp;TEXT(IF(I87="",0,I87),"0")&amp;" "&amp;E87,IF(P87="EXPIRED","Dispose - expired","OK"))))</f>
        <v>0</v>
      </c>
    </row>
    <row r="88" spans="1:19">
      <c r="A88" s="46">
        <f>IF(B88="","","IT-"&amp;TEXT(ROW()-4,"000"))</f>
        <v>0</v>
      </c>
      <c r="J88" s="29">
        <f>IF(B88="","",ROUND(IF(G88="",0,G88)*IF(F88="",0,F88),2))</f>
        <v>0</v>
      </c>
      <c r="K88" s="49">
        <f>IF(B88="","",IF(G88="","Set stock level",IF(G88&lt;=0,"Out of stock",IF(G88&lt;=IF(H88="",0,H88),"Low - reorder","OK"))))</f>
        <v>0</v>
      </c>
      <c r="N88" s="29">
        <f>IF(B88="","",ROUND(IF(M88="",0,M88)*IF(F88="",0,F88),2))</f>
        <v>0</v>
      </c>
      <c r="P88" s="49">
        <f>IF(O88="","",IF(O88&lt;TODAY(),"EXPIRED",IF(O88-TODAY()&lt;=ExpiryAlertDays,"Use within "&amp;TEXT(O88-TODAY(),"0")&amp;" days","OK")))</f>
        <v>0</v>
      </c>
      <c r="S88" s="49">
        <f>IF(B88="","",IF(K88="Out of stock","Order now - out of stock",IF(K88="Low - reorder","Reorder "&amp;TEXT(IF(I88="",0,I88),"0")&amp;" "&amp;E88,IF(P88="EXPIRED","Dispose - expired","OK"))))</f>
        <v>0</v>
      </c>
    </row>
    <row r="89" spans="1:19">
      <c r="A89" s="46">
        <f>IF(B89="","","IT-"&amp;TEXT(ROW()-4,"000"))</f>
        <v>0</v>
      </c>
      <c r="J89" s="29">
        <f>IF(B89="","",ROUND(IF(G89="",0,G89)*IF(F89="",0,F89),2))</f>
        <v>0</v>
      </c>
      <c r="K89" s="49">
        <f>IF(B89="","",IF(G89="","Set stock level",IF(G89&lt;=0,"Out of stock",IF(G89&lt;=IF(H89="",0,H89),"Low - reorder","OK"))))</f>
        <v>0</v>
      </c>
      <c r="N89" s="29">
        <f>IF(B89="","",ROUND(IF(M89="",0,M89)*IF(F89="",0,F89),2))</f>
        <v>0</v>
      </c>
      <c r="P89" s="49">
        <f>IF(O89="","",IF(O89&lt;TODAY(),"EXPIRED",IF(O89-TODAY()&lt;=ExpiryAlertDays,"Use within "&amp;TEXT(O89-TODAY(),"0")&amp;" days","OK")))</f>
        <v>0</v>
      </c>
      <c r="S89" s="49">
        <f>IF(B89="","",IF(K89="Out of stock","Order now - out of stock",IF(K89="Low - reorder","Reorder "&amp;TEXT(IF(I89="",0,I89),"0")&amp;" "&amp;E89,IF(P89="EXPIRED","Dispose - expired","OK"))))</f>
        <v>0</v>
      </c>
    </row>
    <row r="90" spans="1:19">
      <c r="A90" s="46">
        <f>IF(B90="","","IT-"&amp;TEXT(ROW()-4,"000"))</f>
        <v>0</v>
      </c>
      <c r="J90" s="29">
        <f>IF(B90="","",ROUND(IF(G90="",0,G90)*IF(F90="",0,F90),2))</f>
        <v>0</v>
      </c>
      <c r="K90" s="49">
        <f>IF(B90="","",IF(G90="","Set stock level",IF(G90&lt;=0,"Out of stock",IF(G90&lt;=IF(H90="",0,H90),"Low - reorder","OK"))))</f>
        <v>0</v>
      </c>
      <c r="N90" s="29">
        <f>IF(B90="","",ROUND(IF(M90="",0,M90)*IF(F90="",0,F90),2))</f>
        <v>0</v>
      </c>
      <c r="P90" s="49">
        <f>IF(O90="","",IF(O90&lt;TODAY(),"EXPIRED",IF(O90-TODAY()&lt;=ExpiryAlertDays,"Use within "&amp;TEXT(O90-TODAY(),"0")&amp;" days","OK")))</f>
        <v>0</v>
      </c>
      <c r="S90" s="49">
        <f>IF(B90="","",IF(K90="Out of stock","Order now - out of stock",IF(K90="Low - reorder","Reorder "&amp;TEXT(IF(I90="",0,I90),"0")&amp;" "&amp;E90,IF(P90="EXPIRED","Dispose - expired","OK"))))</f>
        <v>0</v>
      </c>
    </row>
    <row r="91" spans="1:19">
      <c r="A91" s="46">
        <f>IF(B91="","","IT-"&amp;TEXT(ROW()-4,"000"))</f>
        <v>0</v>
      </c>
      <c r="J91" s="29">
        <f>IF(B91="","",ROUND(IF(G91="",0,G91)*IF(F91="",0,F91),2))</f>
        <v>0</v>
      </c>
      <c r="K91" s="49">
        <f>IF(B91="","",IF(G91="","Set stock level",IF(G91&lt;=0,"Out of stock",IF(G91&lt;=IF(H91="",0,H91),"Low - reorder","OK"))))</f>
        <v>0</v>
      </c>
      <c r="N91" s="29">
        <f>IF(B91="","",ROUND(IF(M91="",0,M91)*IF(F91="",0,F91),2))</f>
        <v>0</v>
      </c>
      <c r="P91" s="49">
        <f>IF(O91="","",IF(O91&lt;TODAY(),"EXPIRED",IF(O91-TODAY()&lt;=ExpiryAlertDays,"Use within "&amp;TEXT(O91-TODAY(),"0")&amp;" days","OK")))</f>
        <v>0</v>
      </c>
      <c r="S91" s="49">
        <f>IF(B91="","",IF(K91="Out of stock","Order now - out of stock",IF(K91="Low - reorder","Reorder "&amp;TEXT(IF(I91="",0,I91),"0")&amp;" "&amp;E91,IF(P91="EXPIRED","Dispose - expired","OK"))))</f>
        <v>0</v>
      </c>
    </row>
    <row r="92" spans="1:19">
      <c r="A92" s="46">
        <f>IF(B92="","","IT-"&amp;TEXT(ROW()-4,"000"))</f>
        <v>0</v>
      </c>
      <c r="J92" s="29">
        <f>IF(B92="","",ROUND(IF(G92="",0,G92)*IF(F92="",0,F92),2))</f>
        <v>0</v>
      </c>
      <c r="K92" s="49">
        <f>IF(B92="","",IF(G92="","Set stock level",IF(G92&lt;=0,"Out of stock",IF(G92&lt;=IF(H92="",0,H92),"Low - reorder","OK"))))</f>
        <v>0</v>
      </c>
      <c r="N92" s="29">
        <f>IF(B92="","",ROUND(IF(M92="",0,M92)*IF(F92="",0,F92),2))</f>
        <v>0</v>
      </c>
      <c r="P92" s="49">
        <f>IF(O92="","",IF(O92&lt;TODAY(),"EXPIRED",IF(O92-TODAY()&lt;=ExpiryAlertDays,"Use within "&amp;TEXT(O92-TODAY(),"0")&amp;" days","OK")))</f>
        <v>0</v>
      </c>
      <c r="S92" s="49">
        <f>IF(B92="","",IF(K92="Out of stock","Order now - out of stock",IF(K92="Low - reorder","Reorder "&amp;TEXT(IF(I92="",0,I92),"0")&amp;" "&amp;E92,IF(P92="EXPIRED","Dispose - expired","OK"))))</f>
        <v>0</v>
      </c>
    </row>
    <row r="93" spans="1:19">
      <c r="A93" s="46">
        <f>IF(B93="","","IT-"&amp;TEXT(ROW()-4,"000"))</f>
        <v>0</v>
      </c>
      <c r="J93" s="29">
        <f>IF(B93="","",ROUND(IF(G93="",0,G93)*IF(F93="",0,F93),2))</f>
        <v>0</v>
      </c>
      <c r="K93" s="49">
        <f>IF(B93="","",IF(G93="","Set stock level",IF(G93&lt;=0,"Out of stock",IF(G93&lt;=IF(H93="",0,H93),"Low - reorder","OK"))))</f>
        <v>0</v>
      </c>
      <c r="N93" s="29">
        <f>IF(B93="","",ROUND(IF(M93="",0,M93)*IF(F93="",0,F93),2))</f>
        <v>0</v>
      </c>
      <c r="P93" s="49">
        <f>IF(O93="","",IF(O93&lt;TODAY(),"EXPIRED",IF(O93-TODAY()&lt;=ExpiryAlertDays,"Use within "&amp;TEXT(O93-TODAY(),"0")&amp;" days","OK")))</f>
        <v>0</v>
      </c>
      <c r="S93" s="49">
        <f>IF(B93="","",IF(K93="Out of stock","Order now - out of stock",IF(K93="Low - reorder","Reorder "&amp;TEXT(IF(I93="",0,I93),"0")&amp;" "&amp;E93,IF(P93="EXPIRED","Dispose - expired","OK"))))</f>
        <v>0</v>
      </c>
    </row>
    <row r="94" spans="1:19">
      <c r="A94" s="46">
        <f>IF(B94="","","IT-"&amp;TEXT(ROW()-4,"000"))</f>
        <v>0</v>
      </c>
      <c r="J94" s="29">
        <f>IF(B94="","",ROUND(IF(G94="",0,G94)*IF(F94="",0,F94),2))</f>
        <v>0</v>
      </c>
      <c r="K94" s="49">
        <f>IF(B94="","",IF(G94="","Set stock level",IF(G94&lt;=0,"Out of stock",IF(G94&lt;=IF(H94="",0,H94),"Low - reorder","OK"))))</f>
        <v>0</v>
      </c>
      <c r="N94" s="29">
        <f>IF(B94="","",ROUND(IF(M94="",0,M94)*IF(F94="",0,F94),2))</f>
        <v>0</v>
      </c>
      <c r="P94" s="49">
        <f>IF(O94="","",IF(O94&lt;TODAY(),"EXPIRED",IF(O94-TODAY()&lt;=ExpiryAlertDays,"Use within "&amp;TEXT(O94-TODAY(),"0")&amp;" days","OK")))</f>
        <v>0</v>
      </c>
      <c r="S94" s="49">
        <f>IF(B94="","",IF(K94="Out of stock","Order now - out of stock",IF(K94="Low - reorder","Reorder "&amp;TEXT(IF(I94="",0,I94),"0")&amp;" "&amp;E94,IF(P94="EXPIRED","Dispose - expired","OK"))))</f>
        <v>0</v>
      </c>
    </row>
    <row r="95" spans="1:19">
      <c r="A95" s="46">
        <f>IF(B95="","","IT-"&amp;TEXT(ROW()-4,"000"))</f>
        <v>0</v>
      </c>
      <c r="J95" s="29">
        <f>IF(B95="","",ROUND(IF(G95="",0,G95)*IF(F95="",0,F95),2))</f>
        <v>0</v>
      </c>
      <c r="K95" s="49">
        <f>IF(B95="","",IF(G95="","Set stock level",IF(G95&lt;=0,"Out of stock",IF(G95&lt;=IF(H95="",0,H95),"Low - reorder","OK"))))</f>
        <v>0</v>
      </c>
      <c r="N95" s="29">
        <f>IF(B95="","",ROUND(IF(M95="",0,M95)*IF(F95="",0,F95),2))</f>
        <v>0</v>
      </c>
      <c r="P95" s="49">
        <f>IF(O95="","",IF(O95&lt;TODAY(),"EXPIRED",IF(O95-TODAY()&lt;=ExpiryAlertDays,"Use within "&amp;TEXT(O95-TODAY(),"0")&amp;" days","OK")))</f>
        <v>0</v>
      </c>
      <c r="S95" s="49">
        <f>IF(B95="","",IF(K95="Out of stock","Order now - out of stock",IF(K95="Low - reorder","Reorder "&amp;TEXT(IF(I95="",0,I95),"0")&amp;" "&amp;E95,IF(P95="EXPIRED","Dispose - expired","OK"))))</f>
        <v>0</v>
      </c>
    </row>
    <row r="96" spans="1:19">
      <c r="A96" s="46">
        <f>IF(B96="","","IT-"&amp;TEXT(ROW()-4,"000"))</f>
        <v>0</v>
      </c>
      <c r="J96" s="29">
        <f>IF(B96="","",ROUND(IF(G96="",0,G96)*IF(F96="",0,F96),2))</f>
        <v>0</v>
      </c>
      <c r="K96" s="49">
        <f>IF(B96="","",IF(G96="","Set stock level",IF(G96&lt;=0,"Out of stock",IF(G96&lt;=IF(H96="",0,H96),"Low - reorder","OK"))))</f>
        <v>0</v>
      </c>
      <c r="N96" s="29">
        <f>IF(B96="","",ROUND(IF(M96="",0,M96)*IF(F96="",0,F96),2))</f>
        <v>0</v>
      </c>
      <c r="P96" s="49">
        <f>IF(O96="","",IF(O96&lt;TODAY(),"EXPIRED",IF(O96-TODAY()&lt;=ExpiryAlertDays,"Use within "&amp;TEXT(O96-TODAY(),"0")&amp;" days","OK")))</f>
        <v>0</v>
      </c>
      <c r="S96" s="49">
        <f>IF(B96="","",IF(K96="Out of stock","Order now - out of stock",IF(K96="Low - reorder","Reorder "&amp;TEXT(IF(I96="",0,I96),"0")&amp;" "&amp;E96,IF(P96="EXPIRED","Dispose - expired","OK"))))</f>
        <v>0</v>
      </c>
    </row>
    <row r="97" spans="1:19">
      <c r="A97" s="46">
        <f>IF(B97="","","IT-"&amp;TEXT(ROW()-4,"000"))</f>
        <v>0</v>
      </c>
      <c r="J97" s="29">
        <f>IF(B97="","",ROUND(IF(G97="",0,G97)*IF(F97="",0,F97),2))</f>
        <v>0</v>
      </c>
      <c r="K97" s="49">
        <f>IF(B97="","",IF(G97="","Set stock level",IF(G97&lt;=0,"Out of stock",IF(G97&lt;=IF(H97="",0,H97),"Low - reorder","OK"))))</f>
        <v>0</v>
      </c>
      <c r="N97" s="29">
        <f>IF(B97="","",ROUND(IF(M97="",0,M97)*IF(F97="",0,F97),2))</f>
        <v>0</v>
      </c>
      <c r="P97" s="49">
        <f>IF(O97="","",IF(O97&lt;TODAY(),"EXPIRED",IF(O97-TODAY()&lt;=ExpiryAlertDays,"Use within "&amp;TEXT(O97-TODAY(),"0")&amp;" days","OK")))</f>
        <v>0</v>
      </c>
      <c r="S97" s="49">
        <f>IF(B97="","",IF(K97="Out of stock","Order now - out of stock",IF(K97="Low - reorder","Reorder "&amp;TEXT(IF(I97="",0,I97),"0")&amp;" "&amp;E97,IF(P97="EXPIRED","Dispose - expired","OK"))))</f>
        <v>0</v>
      </c>
    </row>
    <row r="98" spans="1:19">
      <c r="A98" s="46">
        <f>IF(B98="","","IT-"&amp;TEXT(ROW()-4,"000"))</f>
        <v>0</v>
      </c>
      <c r="J98" s="29">
        <f>IF(B98="","",ROUND(IF(G98="",0,G98)*IF(F98="",0,F98),2))</f>
        <v>0</v>
      </c>
      <c r="K98" s="49">
        <f>IF(B98="","",IF(G98="","Set stock level",IF(G98&lt;=0,"Out of stock",IF(G98&lt;=IF(H98="",0,H98),"Low - reorder","OK"))))</f>
        <v>0</v>
      </c>
      <c r="N98" s="29">
        <f>IF(B98="","",ROUND(IF(M98="",0,M98)*IF(F98="",0,F98),2))</f>
        <v>0</v>
      </c>
      <c r="P98" s="49">
        <f>IF(O98="","",IF(O98&lt;TODAY(),"EXPIRED",IF(O98-TODAY()&lt;=ExpiryAlertDays,"Use within "&amp;TEXT(O98-TODAY(),"0")&amp;" days","OK")))</f>
        <v>0</v>
      </c>
      <c r="S98" s="49">
        <f>IF(B98="","",IF(K98="Out of stock","Order now - out of stock",IF(K98="Low - reorder","Reorder "&amp;TEXT(IF(I98="",0,I98),"0")&amp;" "&amp;E98,IF(P98="EXPIRED","Dispose - expired","OK"))))</f>
        <v>0</v>
      </c>
    </row>
    <row r="99" spans="1:19">
      <c r="A99" s="46">
        <f>IF(B99="","","IT-"&amp;TEXT(ROW()-4,"000"))</f>
        <v>0</v>
      </c>
      <c r="J99" s="29">
        <f>IF(B99="","",ROUND(IF(G99="",0,G99)*IF(F99="",0,F99),2))</f>
        <v>0</v>
      </c>
      <c r="K99" s="49">
        <f>IF(B99="","",IF(G99="","Set stock level",IF(G99&lt;=0,"Out of stock",IF(G99&lt;=IF(H99="",0,H99),"Low - reorder","OK"))))</f>
        <v>0</v>
      </c>
      <c r="N99" s="29">
        <f>IF(B99="","",ROUND(IF(M99="",0,M99)*IF(F99="",0,F99),2))</f>
        <v>0</v>
      </c>
      <c r="P99" s="49">
        <f>IF(O99="","",IF(O99&lt;TODAY(),"EXPIRED",IF(O99-TODAY()&lt;=ExpiryAlertDays,"Use within "&amp;TEXT(O99-TODAY(),"0")&amp;" days","OK")))</f>
        <v>0</v>
      </c>
      <c r="S99" s="49">
        <f>IF(B99="","",IF(K99="Out of stock","Order now - out of stock",IF(K99="Low - reorder","Reorder "&amp;TEXT(IF(I99="",0,I99),"0")&amp;" "&amp;E99,IF(P99="EXPIRED","Dispose - expired","OK"))))</f>
        <v>0</v>
      </c>
    </row>
    <row r="100" spans="1:19">
      <c r="A100" s="46">
        <f>IF(B100="","","IT-"&amp;TEXT(ROW()-4,"000"))</f>
        <v>0</v>
      </c>
      <c r="J100" s="29">
        <f>IF(B100="","",ROUND(IF(G100="",0,G100)*IF(F100="",0,F100),2))</f>
        <v>0</v>
      </c>
      <c r="K100" s="49">
        <f>IF(B100="","",IF(G100="","Set stock level",IF(G100&lt;=0,"Out of stock",IF(G100&lt;=IF(H100="",0,H100),"Low - reorder","OK"))))</f>
        <v>0</v>
      </c>
      <c r="N100" s="29">
        <f>IF(B100="","",ROUND(IF(M100="",0,M100)*IF(F100="",0,F100),2))</f>
        <v>0</v>
      </c>
      <c r="P100" s="49">
        <f>IF(O100="","",IF(O100&lt;TODAY(),"EXPIRED",IF(O100-TODAY()&lt;=ExpiryAlertDays,"Use within "&amp;TEXT(O100-TODAY(),"0")&amp;" days","OK")))</f>
        <v>0</v>
      </c>
      <c r="S100" s="49">
        <f>IF(B100="","",IF(K100="Out of stock","Order now - out of stock",IF(K100="Low - reorder","Reorder "&amp;TEXT(IF(I100="",0,I100),"0")&amp;" "&amp;E100,IF(P100="EXPIRED","Dispose - expired","OK"))))</f>
        <v>0</v>
      </c>
    </row>
    <row r="101" spans="1:19">
      <c r="A101" s="46">
        <f>IF(B101="","","IT-"&amp;TEXT(ROW()-4,"000"))</f>
        <v>0</v>
      </c>
      <c r="J101" s="29">
        <f>IF(B101="","",ROUND(IF(G101="",0,G101)*IF(F101="",0,F101),2))</f>
        <v>0</v>
      </c>
      <c r="K101" s="49">
        <f>IF(B101="","",IF(G101="","Set stock level",IF(G101&lt;=0,"Out of stock",IF(G101&lt;=IF(H101="",0,H101),"Low - reorder","OK"))))</f>
        <v>0</v>
      </c>
      <c r="N101" s="29">
        <f>IF(B101="","",ROUND(IF(M101="",0,M101)*IF(F101="",0,F101),2))</f>
        <v>0</v>
      </c>
      <c r="P101" s="49">
        <f>IF(O101="","",IF(O101&lt;TODAY(),"EXPIRED",IF(O101-TODAY()&lt;=ExpiryAlertDays,"Use within "&amp;TEXT(O101-TODAY(),"0")&amp;" days","OK")))</f>
        <v>0</v>
      </c>
      <c r="S101" s="49">
        <f>IF(B101="","",IF(K101="Out of stock","Order now - out of stock",IF(K101="Low - reorder","Reorder "&amp;TEXT(IF(I101="",0,I101),"0")&amp;" "&amp;E101,IF(P101="EXPIRED","Dispose - expired","OK"))))</f>
        <v>0</v>
      </c>
    </row>
    <row r="102" spans="1:19">
      <c r="A102" s="46">
        <f>IF(B102="","","IT-"&amp;TEXT(ROW()-4,"000"))</f>
        <v>0</v>
      </c>
      <c r="J102" s="29">
        <f>IF(B102="","",ROUND(IF(G102="",0,G102)*IF(F102="",0,F102),2))</f>
        <v>0</v>
      </c>
      <c r="K102" s="49">
        <f>IF(B102="","",IF(G102="","Set stock level",IF(G102&lt;=0,"Out of stock",IF(G102&lt;=IF(H102="",0,H102),"Low - reorder","OK"))))</f>
        <v>0</v>
      </c>
      <c r="N102" s="29">
        <f>IF(B102="","",ROUND(IF(M102="",0,M102)*IF(F102="",0,F102),2))</f>
        <v>0</v>
      </c>
      <c r="P102" s="49">
        <f>IF(O102="","",IF(O102&lt;TODAY(),"EXPIRED",IF(O102-TODAY()&lt;=ExpiryAlertDays,"Use within "&amp;TEXT(O102-TODAY(),"0")&amp;" days","OK")))</f>
        <v>0</v>
      </c>
      <c r="S102" s="49">
        <f>IF(B102="","",IF(K102="Out of stock","Order now - out of stock",IF(K102="Low - reorder","Reorder "&amp;TEXT(IF(I102="",0,I102),"0")&amp;" "&amp;E102,IF(P102="EXPIRED","Dispose - expired","OK"))))</f>
        <v>0</v>
      </c>
    </row>
    <row r="103" spans="1:19">
      <c r="A103" s="46">
        <f>IF(B103="","","IT-"&amp;TEXT(ROW()-4,"000"))</f>
        <v>0</v>
      </c>
      <c r="J103" s="29">
        <f>IF(B103="","",ROUND(IF(G103="",0,G103)*IF(F103="",0,F103),2))</f>
        <v>0</v>
      </c>
      <c r="K103" s="49">
        <f>IF(B103="","",IF(G103="","Set stock level",IF(G103&lt;=0,"Out of stock",IF(G103&lt;=IF(H103="",0,H103),"Low - reorder","OK"))))</f>
        <v>0</v>
      </c>
      <c r="N103" s="29">
        <f>IF(B103="","",ROUND(IF(M103="",0,M103)*IF(F103="",0,F103),2))</f>
        <v>0</v>
      </c>
      <c r="P103" s="49">
        <f>IF(O103="","",IF(O103&lt;TODAY(),"EXPIRED",IF(O103-TODAY()&lt;=ExpiryAlertDays,"Use within "&amp;TEXT(O103-TODAY(),"0")&amp;" days","OK")))</f>
        <v>0</v>
      </c>
      <c r="S103" s="49">
        <f>IF(B103="","",IF(K103="Out of stock","Order now - out of stock",IF(K103="Low - reorder","Reorder "&amp;TEXT(IF(I103="",0,I103),"0")&amp;" "&amp;E103,IF(P103="EXPIRED","Dispose - expired","OK"))))</f>
        <v>0</v>
      </c>
    </row>
    <row r="104" spans="1:19">
      <c r="A104" s="46">
        <f>IF(B104="","","IT-"&amp;TEXT(ROW()-4,"000"))</f>
        <v>0</v>
      </c>
      <c r="J104" s="29">
        <f>IF(B104="","",ROUND(IF(G104="",0,G104)*IF(F104="",0,F104),2))</f>
        <v>0</v>
      </c>
      <c r="K104" s="49">
        <f>IF(B104="","",IF(G104="","Set stock level",IF(G104&lt;=0,"Out of stock",IF(G104&lt;=IF(H104="",0,H104),"Low - reorder","OK"))))</f>
        <v>0</v>
      </c>
      <c r="N104" s="29">
        <f>IF(B104="","",ROUND(IF(M104="",0,M104)*IF(F104="",0,F104),2))</f>
        <v>0</v>
      </c>
      <c r="P104" s="49">
        <f>IF(O104="","",IF(O104&lt;TODAY(),"EXPIRED",IF(O104-TODAY()&lt;=ExpiryAlertDays,"Use within "&amp;TEXT(O104-TODAY(),"0")&amp;" days","OK")))</f>
        <v>0</v>
      </c>
      <c r="S104" s="49">
        <f>IF(B104="","",IF(K104="Out of stock","Order now - out of stock",IF(K104="Low - reorder","Reorder "&amp;TEXT(IF(I104="",0,I104),"0")&amp;" "&amp;E104,IF(P104="EXPIRED","Dispose - expired","OK"))))</f>
        <v>0</v>
      </c>
    </row>
    <row r="105" spans="1:19">
      <c r="A105" s="46">
        <f>IF(B105="","","IT-"&amp;TEXT(ROW()-4,"000"))</f>
        <v>0</v>
      </c>
      <c r="J105" s="29">
        <f>IF(B105="","",ROUND(IF(G105="",0,G105)*IF(F105="",0,F105),2))</f>
        <v>0</v>
      </c>
      <c r="K105" s="49">
        <f>IF(B105="","",IF(G105="","Set stock level",IF(G105&lt;=0,"Out of stock",IF(G105&lt;=IF(H105="",0,H105),"Low - reorder","OK"))))</f>
        <v>0</v>
      </c>
      <c r="N105" s="29">
        <f>IF(B105="","",ROUND(IF(M105="",0,M105)*IF(F105="",0,F105),2))</f>
        <v>0</v>
      </c>
      <c r="P105" s="49">
        <f>IF(O105="","",IF(O105&lt;TODAY(),"EXPIRED",IF(O105-TODAY()&lt;=ExpiryAlertDays,"Use within "&amp;TEXT(O105-TODAY(),"0")&amp;" days","OK")))</f>
        <v>0</v>
      </c>
      <c r="S105" s="49">
        <f>IF(B105="","",IF(K105="Out of stock","Order now - out of stock",IF(K105="Low - reorder","Reorder "&amp;TEXT(IF(I105="",0,I105),"0")&amp;" "&amp;E105,IF(P105="EXPIRED","Dispose - expired","OK"))))</f>
        <v>0</v>
      </c>
    </row>
    <row r="106" spans="1:19">
      <c r="A106" s="46">
        <f>IF(B106="","","IT-"&amp;TEXT(ROW()-4,"000"))</f>
        <v>0</v>
      </c>
      <c r="J106" s="29">
        <f>IF(B106="","",ROUND(IF(G106="",0,G106)*IF(F106="",0,F106),2))</f>
        <v>0</v>
      </c>
      <c r="K106" s="49">
        <f>IF(B106="","",IF(G106="","Set stock level",IF(G106&lt;=0,"Out of stock",IF(G106&lt;=IF(H106="",0,H106),"Low - reorder","OK"))))</f>
        <v>0</v>
      </c>
      <c r="N106" s="29">
        <f>IF(B106="","",ROUND(IF(M106="",0,M106)*IF(F106="",0,F106),2))</f>
        <v>0</v>
      </c>
      <c r="P106" s="49">
        <f>IF(O106="","",IF(O106&lt;TODAY(),"EXPIRED",IF(O106-TODAY()&lt;=ExpiryAlertDays,"Use within "&amp;TEXT(O106-TODAY(),"0")&amp;" days","OK")))</f>
        <v>0</v>
      </c>
      <c r="S106" s="49">
        <f>IF(B106="","",IF(K106="Out of stock","Order now - out of stock",IF(K106="Low - reorder","Reorder "&amp;TEXT(IF(I106="",0,I106),"0")&amp;" "&amp;E106,IF(P106="EXPIRED","Dispose - expired","OK"))))</f>
        <v>0</v>
      </c>
    </row>
    <row r="107" spans="1:19">
      <c r="A107" s="46">
        <f>IF(B107="","","IT-"&amp;TEXT(ROW()-4,"000"))</f>
        <v>0</v>
      </c>
      <c r="J107" s="29">
        <f>IF(B107="","",ROUND(IF(G107="",0,G107)*IF(F107="",0,F107),2))</f>
        <v>0</v>
      </c>
      <c r="K107" s="49">
        <f>IF(B107="","",IF(G107="","Set stock level",IF(G107&lt;=0,"Out of stock",IF(G107&lt;=IF(H107="",0,H107),"Low - reorder","OK"))))</f>
        <v>0</v>
      </c>
      <c r="N107" s="29">
        <f>IF(B107="","",ROUND(IF(M107="",0,M107)*IF(F107="",0,F107),2))</f>
        <v>0</v>
      </c>
      <c r="P107" s="49">
        <f>IF(O107="","",IF(O107&lt;TODAY(),"EXPIRED",IF(O107-TODAY()&lt;=ExpiryAlertDays,"Use within "&amp;TEXT(O107-TODAY(),"0")&amp;" days","OK")))</f>
        <v>0</v>
      </c>
      <c r="S107" s="49">
        <f>IF(B107="","",IF(K107="Out of stock","Order now - out of stock",IF(K107="Low - reorder","Reorder "&amp;TEXT(IF(I107="",0,I107),"0")&amp;" "&amp;E107,IF(P107="EXPIRED","Dispose - expired","OK"))))</f>
        <v>0</v>
      </c>
    </row>
    <row r="108" spans="1:19">
      <c r="A108" s="46">
        <f>IF(B108="","","IT-"&amp;TEXT(ROW()-4,"000"))</f>
        <v>0</v>
      </c>
      <c r="J108" s="29">
        <f>IF(B108="","",ROUND(IF(G108="",0,G108)*IF(F108="",0,F108),2))</f>
        <v>0</v>
      </c>
      <c r="K108" s="49">
        <f>IF(B108="","",IF(G108="","Set stock level",IF(G108&lt;=0,"Out of stock",IF(G108&lt;=IF(H108="",0,H108),"Low - reorder","OK"))))</f>
        <v>0</v>
      </c>
      <c r="N108" s="29">
        <f>IF(B108="","",ROUND(IF(M108="",0,M108)*IF(F108="",0,F108),2))</f>
        <v>0</v>
      </c>
      <c r="P108" s="49">
        <f>IF(O108="","",IF(O108&lt;TODAY(),"EXPIRED",IF(O108-TODAY()&lt;=ExpiryAlertDays,"Use within "&amp;TEXT(O108-TODAY(),"0")&amp;" days","OK")))</f>
        <v>0</v>
      </c>
      <c r="S108" s="49">
        <f>IF(B108="","",IF(K108="Out of stock","Order now - out of stock",IF(K108="Low - reorder","Reorder "&amp;TEXT(IF(I108="",0,I108),"0")&amp;" "&amp;E108,IF(P108="EXPIRED","Dispose - expired","OK"))))</f>
        <v>0</v>
      </c>
    </row>
    <row r="109" spans="1:19">
      <c r="A109" s="46">
        <f>IF(B109="","","IT-"&amp;TEXT(ROW()-4,"000"))</f>
        <v>0</v>
      </c>
      <c r="J109" s="29">
        <f>IF(B109="","",ROUND(IF(G109="",0,G109)*IF(F109="",0,F109),2))</f>
        <v>0</v>
      </c>
      <c r="K109" s="49">
        <f>IF(B109="","",IF(G109="","Set stock level",IF(G109&lt;=0,"Out of stock",IF(G109&lt;=IF(H109="",0,H109),"Low - reorder","OK"))))</f>
        <v>0</v>
      </c>
      <c r="N109" s="29">
        <f>IF(B109="","",ROUND(IF(M109="",0,M109)*IF(F109="",0,F109),2))</f>
        <v>0</v>
      </c>
      <c r="P109" s="49">
        <f>IF(O109="","",IF(O109&lt;TODAY(),"EXPIRED",IF(O109-TODAY()&lt;=ExpiryAlertDays,"Use within "&amp;TEXT(O109-TODAY(),"0")&amp;" days","OK")))</f>
        <v>0</v>
      </c>
      <c r="S109" s="49">
        <f>IF(B109="","",IF(K109="Out of stock","Order now - out of stock",IF(K109="Low - reorder","Reorder "&amp;TEXT(IF(I109="",0,I109),"0")&amp;" "&amp;E109,IF(P109="EXPIRED","Dispose - expired","OK"))))</f>
        <v>0</v>
      </c>
    </row>
    <row r="110" spans="1:19">
      <c r="A110" s="46">
        <f>IF(B110="","","IT-"&amp;TEXT(ROW()-4,"000"))</f>
        <v>0</v>
      </c>
      <c r="J110" s="29">
        <f>IF(B110="","",ROUND(IF(G110="",0,G110)*IF(F110="",0,F110),2))</f>
        <v>0</v>
      </c>
      <c r="K110" s="49">
        <f>IF(B110="","",IF(G110="","Set stock level",IF(G110&lt;=0,"Out of stock",IF(G110&lt;=IF(H110="",0,H110),"Low - reorder","OK"))))</f>
        <v>0</v>
      </c>
      <c r="N110" s="29">
        <f>IF(B110="","",ROUND(IF(M110="",0,M110)*IF(F110="",0,F110),2))</f>
        <v>0</v>
      </c>
      <c r="P110" s="49">
        <f>IF(O110="","",IF(O110&lt;TODAY(),"EXPIRED",IF(O110-TODAY()&lt;=ExpiryAlertDays,"Use within "&amp;TEXT(O110-TODAY(),"0")&amp;" days","OK")))</f>
        <v>0</v>
      </c>
      <c r="S110" s="49">
        <f>IF(B110="","",IF(K110="Out of stock","Order now - out of stock",IF(K110="Low - reorder","Reorder "&amp;TEXT(IF(I110="",0,I110),"0")&amp;" "&amp;E110,IF(P110="EXPIRED","Dispose - expired","OK"))))</f>
        <v>0</v>
      </c>
    </row>
    <row r="111" spans="1:19">
      <c r="A111" s="46">
        <f>IF(B111="","","IT-"&amp;TEXT(ROW()-4,"000"))</f>
        <v>0</v>
      </c>
      <c r="J111" s="29">
        <f>IF(B111="","",ROUND(IF(G111="",0,G111)*IF(F111="",0,F111),2))</f>
        <v>0</v>
      </c>
      <c r="K111" s="49">
        <f>IF(B111="","",IF(G111="","Set stock level",IF(G111&lt;=0,"Out of stock",IF(G111&lt;=IF(H111="",0,H111),"Low - reorder","OK"))))</f>
        <v>0</v>
      </c>
      <c r="N111" s="29">
        <f>IF(B111="","",ROUND(IF(M111="",0,M111)*IF(F111="",0,F111),2))</f>
        <v>0</v>
      </c>
      <c r="P111" s="49">
        <f>IF(O111="","",IF(O111&lt;TODAY(),"EXPIRED",IF(O111-TODAY()&lt;=ExpiryAlertDays,"Use within "&amp;TEXT(O111-TODAY(),"0")&amp;" days","OK")))</f>
        <v>0</v>
      </c>
      <c r="S111" s="49">
        <f>IF(B111="","",IF(K111="Out of stock","Order now - out of stock",IF(K111="Low - reorder","Reorder "&amp;TEXT(IF(I111="",0,I111),"0")&amp;" "&amp;E111,IF(P111="EXPIRED","Dispose - expired","OK"))))</f>
        <v>0</v>
      </c>
    </row>
    <row r="112" spans="1:19">
      <c r="A112" s="46">
        <f>IF(B112="","","IT-"&amp;TEXT(ROW()-4,"000"))</f>
        <v>0</v>
      </c>
      <c r="J112" s="29">
        <f>IF(B112="","",ROUND(IF(G112="",0,G112)*IF(F112="",0,F112),2))</f>
        <v>0</v>
      </c>
      <c r="K112" s="49">
        <f>IF(B112="","",IF(G112="","Set stock level",IF(G112&lt;=0,"Out of stock",IF(G112&lt;=IF(H112="",0,H112),"Low - reorder","OK"))))</f>
        <v>0</v>
      </c>
      <c r="N112" s="29">
        <f>IF(B112="","",ROUND(IF(M112="",0,M112)*IF(F112="",0,F112),2))</f>
        <v>0</v>
      </c>
      <c r="P112" s="49">
        <f>IF(O112="","",IF(O112&lt;TODAY(),"EXPIRED",IF(O112-TODAY()&lt;=ExpiryAlertDays,"Use within "&amp;TEXT(O112-TODAY(),"0")&amp;" days","OK")))</f>
        <v>0</v>
      </c>
      <c r="S112" s="49">
        <f>IF(B112="","",IF(K112="Out of stock","Order now - out of stock",IF(K112="Low - reorder","Reorder "&amp;TEXT(IF(I112="",0,I112),"0")&amp;" "&amp;E112,IF(P112="EXPIRED","Dispose - expired","OK"))))</f>
        <v>0</v>
      </c>
    </row>
    <row r="113" spans="1:19">
      <c r="A113" s="46">
        <f>IF(B113="","","IT-"&amp;TEXT(ROW()-4,"000"))</f>
        <v>0</v>
      </c>
      <c r="J113" s="29">
        <f>IF(B113="","",ROUND(IF(G113="",0,G113)*IF(F113="",0,F113),2))</f>
        <v>0</v>
      </c>
      <c r="K113" s="49">
        <f>IF(B113="","",IF(G113="","Set stock level",IF(G113&lt;=0,"Out of stock",IF(G113&lt;=IF(H113="",0,H113),"Low - reorder","OK"))))</f>
        <v>0</v>
      </c>
      <c r="N113" s="29">
        <f>IF(B113="","",ROUND(IF(M113="",0,M113)*IF(F113="",0,F113),2))</f>
        <v>0</v>
      </c>
      <c r="P113" s="49">
        <f>IF(O113="","",IF(O113&lt;TODAY(),"EXPIRED",IF(O113-TODAY()&lt;=ExpiryAlertDays,"Use within "&amp;TEXT(O113-TODAY(),"0")&amp;" days","OK")))</f>
        <v>0</v>
      </c>
      <c r="S113" s="49">
        <f>IF(B113="","",IF(K113="Out of stock","Order now - out of stock",IF(K113="Low - reorder","Reorder "&amp;TEXT(IF(I113="",0,I113),"0")&amp;" "&amp;E113,IF(P113="EXPIRED","Dispose - expired","OK"))))</f>
        <v>0</v>
      </c>
    </row>
    <row r="114" spans="1:19">
      <c r="A114" s="46">
        <f>IF(B114="","","IT-"&amp;TEXT(ROW()-4,"000"))</f>
        <v>0</v>
      </c>
      <c r="J114" s="29">
        <f>IF(B114="","",ROUND(IF(G114="",0,G114)*IF(F114="",0,F114),2))</f>
        <v>0</v>
      </c>
      <c r="K114" s="49">
        <f>IF(B114="","",IF(G114="","Set stock level",IF(G114&lt;=0,"Out of stock",IF(G114&lt;=IF(H114="",0,H114),"Low - reorder","OK"))))</f>
        <v>0</v>
      </c>
      <c r="N114" s="29">
        <f>IF(B114="","",ROUND(IF(M114="",0,M114)*IF(F114="",0,F114),2))</f>
        <v>0</v>
      </c>
      <c r="P114" s="49">
        <f>IF(O114="","",IF(O114&lt;TODAY(),"EXPIRED",IF(O114-TODAY()&lt;=ExpiryAlertDays,"Use within "&amp;TEXT(O114-TODAY(),"0")&amp;" days","OK")))</f>
        <v>0</v>
      </c>
      <c r="S114" s="49">
        <f>IF(B114="","",IF(K114="Out of stock","Order now - out of stock",IF(K114="Low - reorder","Reorder "&amp;TEXT(IF(I114="",0,I114),"0")&amp;" "&amp;E114,IF(P114="EXPIRED","Dispose - expired","OK"))))</f>
        <v>0</v>
      </c>
    </row>
    <row r="115" spans="1:19">
      <c r="A115" s="46">
        <f>IF(B115="","","IT-"&amp;TEXT(ROW()-4,"000"))</f>
        <v>0</v>
      </c>
      <c r="J115" s="29">
        <f>IF(B115="","",ROUND(IF(G115="",0,G115)*IF(F115="",0,F115),2))</f>
        <v>0</v>
      </c>
      <c r="K115" s="49">
        <f>IF(B115="","",IF(G115="","Set stock level",IF(G115&lt;=0,"Out of stock",IF(G115&lt;=IF(H115="",0,H115),"Low - reorder","OK"))))</f>
        <v>0</v>
      </c>
      <c r="N115" s="29">
        <f>IF(B115="","",ROUND(IF(M115="",0,M115)*IF(F115="",0,F115),2))</f>
        <v>0</v>
      </c>
      <c r="P115" s="49">
        <f>IF(O115="","",IF(O115&lt;TODAY(),"EXPIRED",IF(O115-TODAY()&lt;=ExpiryAlertDays,"Use within "&amp;TEXT(O115-TODAY(),"0")&amp;" days","OK")))</f>
        <v>0</v>
      </c>
      <c r="S115" s="49">
        <f>IF(B115="","",IF(K115="Out of stock","Order now - out of stock",IF(K115="Low - reorder","Reorder "&amp;TEXT(IF(I115="",0,I115),"0")&amp;" "&amp;E115,IF(P115="EXPIRED","Dispose - expired","OK"))))</f>
        <v>0</v>
      </c>
    </row>
    <row r="116" spans="1:19">
      <c r="A116" s="46">
        <f>IF(B116="","","IT-"&amp;TEXT(ROW()-4,"000"))</f>
        <v>0</v>
      </c>
      <c r="J116" s="29">
        <f>IF(B116="","",ROUND(IF(G116="",0,G116)*IF(F116="",0,F116),2))</f>
        <v>0</v>
      </c>
      <c r="K116" s="49">
        <f>IF(B116="","",IF(G116="","Set stock level",IF(G116&lt;=0,"Out of stock",IF(G116&lt;=IF(H116="",0,H116),"Low - reorder","OK"))))</f>
        <v>0</v>
      </c>
      <c r="N116" s="29">
        <f>IF(B116="","",ROUND(IF(M116="",0,M116)*IF(F116="",0,F116),2))</f>
        <v>0</v>
      </c>
      <c r="P116" s="49">
        <f>IF(O116="","",IF(O116&lt;TODAY(),"EXPIRED",IF(O116-TODAY()&lt;=ExpiryAlertDays,"Use within "&amp;TEXT(O116-TODAY(),"0")&amp;" days","OK")))</f>
        <v>0</v>
      </c>
      <c r="S116" s="49">
        <f>IF(B116="","",IF(K116="Out of stock","Order now - out of stock",IF(K116="Low - reorder","Reorder "&amp;TEXT(IF(I116="",0,I116),"0")&amp;" "&amp;E116,IF(P116="EXPIRED","Dispose - expired","OK"))))</f>
        <v>0</v>
      </c>
    </row>
    <row r="117" spans="1:19">
      <c r="A117" s="46">
        <f>IF(B117="","","IT-"&amp;TEXT(ROW()-4,"000"))</f>
        <v>0</v>
      </c>
      <c r="J117" s="29">
        <f>IF(B117="","",ROUND(IF(G117="",0,G117)*IF(F117="",0,F117),2))</f>
        <v>0</v>
      </c>
      <c r="K117" s="49">
        <f>IF(B117="","",IF(G117="","Set stock level",IF(G117&lt;=0,"Out of stock",IF(G117&lt;=IF(H117="",0,H117),"Low - reorder","OK"))))</f>
        <v>0</v>
      </c>
      <c r="N117" s="29">
        <f>IF(B117="","",ROUND(IF(M117="",0,M117)*IF(F117="",0,F117),2))</f>
        <v>0</v>
      </c>
      <c r="P117" s="49">
        <f>IF(O117="","",IF(O117&lt;TODAY(),"EXPIRED",IF(O117-TODAY()&lt;=ExpiryAlertDays,"Use within "&amp;TEXT(O117-TODAY(),"0")&amp;" days","OK")))</f>
        <v>0</v>
      </c>
      <c r="S117" s="49">
        <f>IF(B117="","",IF(K117="Out of stock","Order now - out of stock",IF(K117="Low - reorder","Reorder "&amp;TEXT(IF(I117="",0,I117),"0")&amp;" "&amp;E117,IF(P117="EXPIRED","Dispose - expired","OK"))))</f>
        <v>0</v>
      </c>
    </row>
    <row r="118" spans="1:19">
      <c r="A118" s="46">
        <f>IF(B118="","","IT-"&amp;TEXT(ROW()-4,"000"))</f>
        <v>0</v>
      </c>
      <c r="J118" s="29">
        <f>IF(B118="","",ROUND(IF(G118="",0,G118)*IF(F118="",0,F118),2))</f>
        <v>0</v>
      </c>
      <c r="K118" s="49">
        <f>IF(B118="","",IF(G118="","Set stock level",IF(G118&lt;=0,"Out of stock",IF(G118&lt;=IF(H118="",0,H118),"Low - reorder","OK"))))</f>
        <v>0</v>
      </c>
      <c r="N118" s="29">
        <f>IF(B118="","",ROUND(IF(M118="",0,M118)*IF(F118="",0,F118),2))</f>
        <v>0</v>
      </c>
      <c r="P118" s="49">
        <f>IF(O118="","",IF(O118&lt;TODAY(),"EXPIRED",IF(O118-TODAY()&lt;=ExpiryAlertDays,"Use within "&amp;TEXT(O118-TODAY(),"0")&amp;" days","OK")))</f>
        <v>0</v>
      </c>
      <c r="S118" s="49">
        <f>IF(B118="","",IF(K118="Out of stock","Order now - out of stock",IF(K118="Low - reorder","Reorder "&amp;TEXT(IF(I118="",0,I118),"0")&amp;" "&amp;E118,IF(P118="EXPIRED","Dispose - expired","OK"))))</f>
        <v>0</v>
      </c>
    </row>
    <row r="119" spans="1:19">
      <c r="A119" s="46">
        <f>IF(B119="","","IT-"&amp;TEXT(ROW()-4,"000"))</f>
        <v>0</v>
      </c>
      <c r="J119" s="29">
        <f>IF(B119="","",ROUND(IF(G119="",0,G119)*IF(F119="",0,F119),2))</f>
        <v>0</v>
      </c>
      <c r="K119" s="49">
        <f>IF(B119="","",IF(G119="","Set stock level",IF(G119&lt;=0,"Out of stock",IF(G119&lt;=IF(H119="",0,H119),"Low - reorder","OK"))))</f>
        <v>0</v>
      </c>
      <c r="N119" s="29">
        <f>IF(B119="","",ROUND(IF(M119="",0,M119)*IF(F119="",0,F119),2))</f>
        <v>0</v>
      </c>
      <c r="P119" s="49">
        <f>IF(O119="","",IF(O119&lt;TODAY(),"EXPIRED",IF(O119-TODAY()&lt;=ExpiryAlertDays,"Use within "&amp;TEXT(O119-TODAY(),"0")&amp;" days","OK")))</f>
        <v>0</v>
      </c>
      <c r="S119" s="49">
        <f>IF(B119="","",IF(K119="Out of stock","Order now - out of stock",IF(K119="Low - reorder","Reorder "&amp;TEXT(IF(I119="",0,I119),"0")&amp;" "&amp;E119,IF(P119="EXPIRED","Dispose - expired","OK"))))</f>
        <v>0</v>
      </c>
    </row>
    <row r="120" spans="1:19">
      <c r="A120" s="46">
        <f>IF(B120="","","IT-"&amp;TEXT(ROW()-4,"000"))</f>
        <v>0</v>
      </c>
      <c r="J120" s="29">
        <f>IF(B120="","",ROUND(IF(G120="",0,G120)*IF(F120="",0,F120),2))</f>
        <v>0</v>
      </c>
      <c r="K120" s="49">
        <f>IF(B120="","",IF(G120="","Set stock level",IF(G120&lt;=0,"Out of stock",IF(G120&lt;=IF(H120="",0,H120),"Low - reorder","OK"))))</f>
        <v>0</v>
      </c>
      <c r="N120" s="29">
        <f>IF(B120="","",ROUND(IF(M120="",0,M120)*IF(F120="",0,F120),2))</f>
        <v>0</v>
      </c>
      <c r="P120" s="49">
        <f>IF(O120="","",IF(O120&lt;TODAY(),"EXPIRED",IF(O120-TODAY()&lt;=ExpiryAlertDays,"Use within "&amp;TEXT(O120-TODAY(),"0")&amp;" days","OK")))</f>
        <v>0</v>
      </c>
      <c r="S120" s="49">
        <f>IF(B120="","",IF(K120="Out of stock","Order now - out of stock",IF(K120="Low - reorder","Reorder "&amp;TEXT(IF(I120="",0,I120),"0")&amp;" "&amp;E120,IF(P120="EXPIRED","Dispose - expired","OK"))))</f>
        <v>0</v>
      </c>
    </row>
    <row r="121" spans="1:19">
      <c r="A121" s="46">
        <f>IF(B121="","","IT-"&amp;TEXT(ROW()-4,"000"))</f>
        <v>0</v>
      </c>
      <c r="J121" s="29">
        <f>IF(B121="","",ROUND(IF(G121="",0,G121)*IF(F121="",0,F121),2))</f>
        <v>0</v>
      </c>
      <c r="K121" s="49">
        <f>IF(B121="","",IF(G121="","Set stock level",IF(G121&lt;=0,"Out of stock",IF(G121&lt;=IF(H121="",0,H121),"Low - reorder","OK"))))</f>
        <v>0</v>
      </c>
      <c r="N121" s="29">
        <f>IF(B121="","",ROUND(IF(M121="",0,M121)*IF(F121="",0,F121),2))</f>
        <v>0</v>
      </c>
      <c r="P121" s="49">
        <f>IF(O121="","",IF(O121&lt;TODAY(),"EXPIRED",IF(O121-TODAY()&lt;=ExpiryAlertDays,"Use within "&amp;TEXT(O121-TODAY(),"0")&amp;" days","OK")))</f>
        <v>0</v>
      </c>
      <c r="S121" s="49">
        <f>IF(B121="","",IF(K121="Out of stock","Order now - out of stock",IF(K121="Low - reorder","Reorder "&amp;TEXT(IF(I121="",0,I121),"0")&amp;" "&amp;E121,IF(P121="EXPIRED","Dispose - expired","OK"))))</f>
        <v>0</v>
      </c>
    </row>
    <row r="122" spans="1:19">
      <c r="A122" s="46">
        <f>IF(B122="","","IT-"&amp;TEXT(ROW()-4,"000"))</f>
        <v>0</v>
      </c>
      <c r="J122" s="29">
        <f>IF(B122="","",ROUND(IF(G122="",0,G122)*IF(F122="",0,F122),2))</f>
        <v>0</v>
      </c>
      <c r="K122" s="49">
        <f>IF(B122="","",IF(G122="","Set stock level",IF(G122&lt;=0,"Out of stock",IF(G122&lt;=IF(H122="",0,H122),"Low - reorder","OK"))))</f>
        <v>0</v>
      </c>
      <c r="N122" s="29">
        <f>IF(B122="","",ROUND(IF(M122="",0,M122)*IF(F122="",0,F122),2))</f>
        <v>0</v>
      </c>
      <c r="P122" s="49">
        <f>IF(O122="","",IF(O122&lt;TODAY(),"EXPIRED",IF(O122-TODAY()&lt;=ExpiryAlertDays,"Use within "&amp;TEXT(O122-TODAY(),"0")&amp;" days","OK")))</f>
        <v>0</v>
      </c>
      <c r="S122" s="49">
        <f>IF(B122="","",IF(K122="Out of stock","Order now - out of stock",IF(K122="Low - reorder","Reorder "&amp;TEXT(IF(I122="",0,I122),"0")&amp;" "&amp;E122,IF(P122="EXPIRED","Dispose - expired","OK"))))</f>
        <v>0</v>
      </c>
    </row>
    <row r="123" spans="1:19">
      <c r="A123" s="46">
        <f>IF(B123="","","IT-"&amp;TEXT(ROW()-4,"000"))</f>
        <v>0</v>
      </c>
      <c r="J123" s="29">
        <f>IF(B123="","",ROUND(IF(G123="",0,G123)*IF(F123="",0,F123),2))</f>
        <v>0</v>
      </c>
      <c r="K123" s="49">
        <f>IF(B123="","",IF(G123="","Set stock level",IF(G123&lt;=0,"Out of stock",IF(G123&lt;=IF(H123="",0,H123),"Low - reorder","OK"))))</f>
        <v>0</v>
      </c>
      <c r="N123" s="29">
        <f>IF(B123="","",ROUND(IF(M123="",0,M123)*IF(F123="",0,F123),2))</f>
        <v>0</v>
      </c>
      <c r="P123" s="49">
        <f>IF(O123="","",IF(O123&lt;TODAY(),"EXPIRED",IF(O123-TODAY()&lt;=ExpiryAlertDays,"Use within "&amp;TEXT(O123-TODAY(),"0")&amp;" days","OK")))</f>
        <v>0</v>
      </c>
      <c r="S123" s="49">
        <f>IF(B123="","",IF(K123="Out of stock","Order now - out of stock",IF(K123="Low - reorder","Reorder "&amp;TEXT(IF(I123="",0,I123),"0")&amp;" "&amp;E123,IF(P123="EXPIRED","Dispose - expired","OK"))))</f>
        <v>0</v>
      </c>
    </row>
    <row r="124" spans="1:19">
      <c r="A124" s="46">
        <f>IF(B124="","","IT-"&amp;TEXT(ROW()-4,"000"))</f>
        <v>0</v>
      </c>
      <c r="J124" s="29">
        <f>IF(B124="","",ROUND(IF(G124="",0,G124)*IF(F124="",0,F124),2))</f>
        <v>0</v>
      </c>
      <c r="K124" s="49">
        <f>IF(B124="","",IF(G124="","Set stock level",IF(G124&lt;=0,"Out of stock",IF(G124&lt;=IF(H124="",0,H124),"Low - reorder","OK"))))</f>
        <v>0</v>
      </c>
      <c r="N124" s="29">
        <f>IF(B124="","",ROUND(IF(M124="",0,M124)*IF(F124="",0,F124),2))</f>
        <v>0</v>
      </c>
      <c r="P124" s="49">
        <f>IF(O124="","",IF(O124&lt;TODAY(),"EXPIRED",IF(O124-TODAY()&lt;=ExpiryAlertDays,"Use within "&amp;TEXT(O124-TODAY(),"0")&amp;" days","OK")))</f>
        <v>0</v>
      </c>
      <c r="S124" s="49">
        <f>IF(B124="","",IF(K124="Out of stock","Order now - out of stock",IF(K124="Low - reorder","Reorder "&amp;TEXT(IF(I124="",0,I124),"0")&amp;" "&amp;E124,IF(P124="EXPIRED","Dispose - expired","OK"))))</f>
        <v>0</v>
      </c>
    </row>
  </sheetData>
  <sheetProtection password="EC7C" sheet="1" objects="1" scenarios="1" formatCells="0" formatColumns="0" formatRows="0" insertRows="0" insertHyperlinks="0" deleteRows="0" autoFilter="0"/>
  <autoFilter ref="A4:S124"/>
  <mergeCells count="12">
    <mergeCell ref="A1:P1"/>
    <mergeCell ref="Q1:S1"/>
    <mergeCell ref="A2:S2"/>
    <mergeCell ref="A3:B3"/>
    <mergeCell ref="C3:D3"/>
    <mergeCell ref="E3:F3"/>
    <mergeCell ref="G3:H3"/>
    <mergeCell ref="I3:J3"/>
    <mergeCell ref="K3:L3"/>
    <mergeCell ref="M3:N3"/>
    <mergeCell ref="O3:P3"/>
    <mergeCell ref="Q3:R3"/>
  </mergeCells>
  <conditionalFormatting sqref="J5:J124">
    <cfRule type="dataBar" priority="1">
      <dataBar>
        <cfvo type="min" val="0"/>
        <cfvo type="max" val="0"/>
        <color rgb="FF2E7D8F"/>
      </dataBar>
    </cfRule>
  </conditionalFormatting>
  <conditionalFormatting sqref="K5:K124">
    <cfRule type="containsText" dxfId="5" priority="2" operator="containsText" text="Out of stock">
      <formula>NOT(ISERROR(SEARCH("Out of stock",K5)))</formula>
    </cfRule>
    <cfRule type="containsText" dxfId="2" priority="3" operator="containsText" text="Low">
      <formula>NOT(ISERROR(SEARCH("Low",K5)))</formula>
    </cfRule>
    <cfRule type="containsText" dxfId="0" priority="4" operator="containsText" text="OK">
      <formula>NOT(ISERROR(SEARCH("OK",K5)))</formula>
    </cfRule>
  </conditionalFormatting>
  <conditionalFormatting sqref="P5:P124">
    <cfRule type="beginsWith" dxfId="0" priority="5" operator="beginsWith" text="OK">
      <formula>LEFT(P5,2)="OK"</formula>
    </cfRule>
    <cfRule type="containsText" dxfId="1" priority="6" operator="containsText" text="Overdue">
      <formula>NOT(ISERROR(SEARCH("Overdue",P5)))</formula>
    </cfRule>
    <cfRule type="containsText" dxfId="1" priority="7" operator="containsText" text="Missed">
      <formula>NOT(ISERROR(SEARCH("Missed",P5)))</formula>
    </cfRule>
    <cfRule type="containsText" dxfId="1" priority="8" operator="containsText" text="Conflict">
      <formula>NOT(ISERROR(SEARCH("Conflict",P5)))</formula>
    </cfRule>
    <cfRule type="containsText" dxfId="1" priority="9" operator="containsText" text="Expired">
      <formula>NOT(ISERROR(SEARCH("Expired",P5)))</formula>
    </cfRule>
    <cfRule type="containsText" dxfId="1" priority="10" operator="containsText" text="Duplicate">
      <formula>NOT(ISERROR(SEARCH("Duplicate",P5)))</formula>
    </cfRule>
    <cfRule type="containsText" dxfId="2" priority="11" operator="containsText" text="Action">
      <formula>NOT(ISERROR(SEARCH("Action",P5)))</formula>
    </cfRule>
    <cfRule type="containsText" dxfId="2" priority="12" operator="containsText" text="Due">
      <formula>NOT(ISERROR(SEARCH("Due",P5)))</formula>
    </cfRule>
    <cfRule type="containsText" dxfId="2" priority="13" operator="containsText" text="Check">
      <formula>NOT(ISERROR(SEARCH("Check",P5)))</formula>
    </cfRule>
    <cfRule type="containsText" dxfId="3" priority="14" operator="containsText" text="Today">
      <formula>NOT(ISERROR(SEARCH("Today",P5)))</formula>
    </cfRule>
    <cfRule type="containsText" dxfId="3" priority="15" operator="containsText" text="Upcoming">
      <formula>NOT(ISERROR(SEARCH("Upcoming",P5)))</formula>
    </cfRule>
    <cfRule type="containsText" dxfId="5" priority="16" operator="containsText" text="EXPIRED">
      <formula>NOT(ISERROR(SEARCH("EXPIRED",P5)))</formula>
    </cfRule>
    <cfRule type="containsText" dxfId="2" priority="17" operator="containsText" text="Use within">
      <formula>NOT(ISERROR(SEARCH("Use within",P5)))</formula>
    </cfRule>
  </conditionalFormatting>
  <conditionalFormatting sqref="S5:S124">
    <cfRule type="beginsWith" dxfId="0" priority="18" operator="beginsWith" text="OK">
      <formula>LEFT(S5,2)="OK"</formula>
    </cfRule>
    <cfRule type="containsText" dxfId="1" priority="19" operator="containsText" text="Overdue">
      <formula>NOT(ISERROR(SEARCH("Overdue",S5)))</formula>
    </cfRule>
    <cfRule type="containsText" dxfId="1" priority="20" operator="containsText" text="Missed">
      <formula>NOT(ISERROR(SEARCH("Missed",S5)))</formula>
    </cfRule>
    <cfRule type="containsText" dxfId="1" priority="21" operator="containsText" text="Conflict">
      <formula>NOT(ISERROR(SEARCH("Conflict",S5)))</formula>
    </cfRule>
    <cfRule type="containsText" dxfId="1" priority="22" operator="containsText" text="Expired">
      <formula>NOT(ISERROR(SEARCH("Expired",S5)))</formula>
    </cfRule>
    <cfRule type="containsText" dxfId="1" priority="23" operator="containsText" text="Duplicate">
      <formula>NOT(ISERROR(SEARCH("Duplicate",S5)))</formula>
    </cfRule>
    <cfRule type="containsText" dxfId="2" priority="24" operator="containsText" text="Action">
      <formula>NOT(ISERROR(SEARCH("Action",S5)))</formula>
    </cfRule>
    <cfRule type="containsText" dxfId="2" priority="25" operator="containsText" text="Due">
      <formula>NOT(ISERROR(SEARCH("Due",S5)))</formula>
    </cfRule>
    <cfRule type="containsText" dxfId="2" priority="26" operator="containsText" text="Check">
      <formula>NOT(ISERROR(SEARCH("Check",S5)))</formula>
    </cfRule>
    <cfRule type="containsText" dxfId="3" priority="27" operator="containsText" text="Today">
      <formula>NOT(ISERROR(SEARCH("Today",S5)))</formula>
    </cfRule>
    <cfRule type="containsText" dxfId="3" priority="28" operator="containsText" text="Upcoming">
      <formula>NOT(ISERROR(SEARCH("Upcoming",S5)))</formula>
    </cfRule>
    <cfRule type="containsText" dxfId="5" priority="29" operator="containsText" text="Order now">
      <formula>NOT(ISERROR(SEARCH("Order now",S5)))</formula>
    </cfRule>
    <cfRule type="containsText" dxfId="2" priority="30" operator="containsText" text="Reorder">
      <formula>NOT(ISERROR(SEARCH("Reorder",S5)))</formula>
    </cfRule>
  </conditionalFormatting>
  <dataValidations count="9">
    <dataValidation type="list" allowBlank="1" showInputMessage="1" showErrorMessage="1" sqref="C5:C124">
      <formula1>InventoryCategoryList</formula1>
    </dataValidation>
    <dataValidation type="decimal" allowBlank="1" showInputMessage="1" showErrorMessage="1" errorTitle="Check the value" error="Enter a number between 0 and 100000." sqref="F5:F124">
      <formula1>0</formula1>
      <formula2>100000</formula2>
    </dataValidation>
    <dataValidation type="decimal" allowBlank="1" showInputMessage="1" showErrorMessage="1" errorTitle="Check the value" error="Enter a number between 0 and 100000." sqref="G5:G124">
      <formula1>0</formula1>
      <formula2>100000</formula2>
    </dataValidation>
    <dataValidation type="decimal" allowBlank="1" showInputMessage="1" showErrorMessage="1" errorTitle="Check the value" error="Enter a number between 0 and 100000." promptTitle="Minimum level" prompt="When stock drops to this level the item is flagged for reorder on the Reminders tab." sqref="H5:H124">
      <formula1>0</formula1>
      <formula2>100000</formula2>
    </dataValidation>
    <dataValidation type="decimal" allowBlank="1" showInputMessage="1" showErrorMessage="1" errorTitle="Check the value" error="Enter a number between 0 and 100000." sqref="I5:I124">
      <formula1>0</formula1>
      <formula2>100000</formula2>
    </dataValidation>
    <dataValidation type="date" allowBlank="1" showInputMessage="1" showErrorMessage="1" errorTitle="Check the date" error="Enter a real date between 2000 and 2100." sqref="L5:L124">
      <formula1>36526</formula1>
      <formula2>73415</formula2>
    </dataValidation>
    <dataValidation type="decimal" allowBlank="1" showInputMessage="1" showErrorMessage="1" errorTitle="Check the value" error="Enter a number between 0 and 100000." sqref="M5:M124">
      <formula1>0</formula1>
      <formula2>100000</formula2>
    </dataValidation>
    <dataValidation type="date" allowBlank="1" showInputMessage="1" showErrorMessage="1" errorTitle="Check the date" error="Enter a real date between 2000 and 2100." sqref="O5:O124">
      <formula1>36526</formula1>
      <formula2>73415</formula2>
    </dataValidation>
    <dataValidation type="decimal" allowBlank="1" showInputMessage="1" showErrorMessage="1" errorTitle="Check the value" error="Enter a number between 0 and 100000." sqref="Q5:Q124">
      <formula1>0</formula1>
      <formula2>100000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&amp;L&amp;"Calibri,Bold"&amp;12&amp;C&amp;"Calibri,Bold"&amp;11Inventory&amp;R&amp;"Calibri,Italic"&amp;9Pet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19.xml><?xml version="1.0" encoding="utf-8"?>
<worksheet xmlns="http://schemas.openxmlformats.org/spreadsheetml/2006/main" xmlns:r="http://schemas.openxmlformats.org/officeDocument/2006/relationships">
  <sheetPr>
    <tabColor rgb="FF8A5A00"/>
    <pageSetUpPr fitToPage="1"/>
  </sheetPr>
  <dimension ref="A1:J78"/>
  <sheetViews>
    <sheetView workbookViewId="0">
      <pane xSplit="2" ySplit="3" topLeftCell="C4" activePane="bottomRight" state="frozen"/>
      <selection pane="topRight" activeCell="C1" sqref="C1"/>
      <selection pane="bottomLeft" activeCell="A4" sqref="A4"/>
      <selection pane="bottomRight"/>
    </sheetView>
  </sheetViews>
  <sheetFormatPr defaultRowHeight="15"/>
  <cols>
    <col min="1" max="1" width="9.7109375" style="46" customWidth="1"/>
    <col min="2" max="2" width="38.7109375" style="20" customWidth="1"/>
    <col min="3" max="3" width="16.7109375" style="20" customWidth="1"/>
    <col min="4" max="4" width="12.7109375" style="39" customWidth="1"/>
    <col min="5" max="5" width="16.7109375" style="20" customWidth="1"/>
    <col min="6" max="6" width="11.7109375" style="48" customWidth="1"/>
    <col min="7" max="7" width="13.7109375" style="48" customWidth="1"/>
    <col min="8" max="8" width="9.7109375" style="31" customWidth="1"/>
    <col min="9" max="9" width="18.7109375" style="49" customWidth="1"/>
    <col min="10" max="10" width="34.7109375" style="47" customWidth="1"/>
  </cols>
  <sheetData>
    <row r="1" spans="1:10" ht="34" customHeight="1">
      <c r="A1" s="2" t="s">
        <v>980</v>
      </c>
      <c r="B1" s="2"/>
      <c r="C1" s="2"/>
      <c r="D1" s="2"/>
      <c r="E1" s="2"/>
      <c r="F1" s="2"/>
      <c r="G1" s="2"/>
      <c r="H1" s="3" t="s">
        <v>118</v>
      </c>
      <c r="I1" s="3"/>
      <c r="J1" s="3"/>
    </row>
    <row r="2" spans="1:10" ht="18" customHeight="1">
      <c r="A2" s="4" t="s">
        <v>981</v>
      </c>
      <c r="B2" s="4"/>
      <c r="C2" s="4"/>
      <c r="D2" s="4"/>
      <c r="E2" s="4"/>
      <c r="F2" s="4"/>
      <c r="G2" s="4"/>
      <c r="H2" s="4"/>
      <c r="I2" s="4"/>
      <c r="J2" s="4"/>
    </row>
    <row r="3" spans="1:10" ht="16" customHeight="1">
      <c r="A3" s="10" t="s">
        <v>120</v>
      </c>
      <c r="B3" s="10"/>
      <c r="C3" s="10" t="s">
        <v>121</v>
      </c>
      <c r="D3" s="10"/>
      <c r="E3" s="10" t="s">
        <v>122</v>
      </c>
      <c r="F3" s="10"/>
      <c r="G3" s="10" t="s">
        <v>123</v>
      </c>
      <c r="H3" s="10"/>
      <c r="I3" s="10" t="s">
        <v>124</v>
      </c>
      <c r="J3" s="10"/>
    </row>
    <row r="4" spans="1:10" ht="20" customHeight="1">
      <c r="A4" s="6" t="s">
        <v>986</v>
      </c>
      <c r="B4" s="6"/>
      <c r="C4" s="6"/>
      <c r="D4" s="6"/>
      <c r="E4" s="6"/>
      <c r="F4" s="6"/>
      <c r="G4" s="6"/>
      <c r="H4" s="6"/>
      <c r="I4" s="6"/>
      <c r="J4" s="6"/>
    </row>
    <row r="5" spans="1:10">
      <c r="A5" s="11" t="s">
        <v>987</v>
      </c>
      <c r="B5" s="11"/>
      <c r="C5" s="11"/>
      <c r="D5" s="11"/>
      <c r="E5" s="11"/>
      <c r="F5" s="11"/>
      <c r="G5" s="11"/>
      <c r="H5" s="11"/>
      <c r="I5" s="11"/>
      <c r="J5" s="11"/>
    </row>
    <row r="6" spans="1:10" ht="22" customHeight="1">
      <c r="A6" s="8" t="s">
        <v>208</v>
      </c>
      <c r="B6" s="9" t="s">
        <v>209</v>
      </c>
      <c r="C6" s="9" t="s">
        <v>210</v>
      </c>
      <c r="D6" s="9"/>
      <c r="E6" s="9" t="s">
        <v>69</v>
      </c>
      <c r="F6" s="9"/>
      <c r="G6" s="9"/>
      <c r="H6" s="9"/>
      <c r="I6" s="9" t="s">
        <v>988</v>
      </c>
      <c r="J6" s="9"/>
    </row>
    <row r="7" spans="1:10">
      <c r="A7" s="28" t="s">
        <v>989</v>
      </c>
      <c r="B7" s="31">
        <f>COUNTIFS(Bookings!$I$5:$I$404,"&gt;="&amp;TODAY(),Bookings!$I$5:$I$404,"&lt;="&amp;TODAY()+7,Bookings!$AM$5:$AM$404,"&lt;&gt;Cancelled")</f>
        <v>0</v>
      </c>
      <c r="C7" s="29">
        <f>SUMIFS(Bookings!$AK$5:$AK$404,Bookings!$I$5:$I$404,"&gt;="&amp;TODAY(),Bookings!$I$5:$I$404,"&lt;="&amp;TODAY()+7,Bookings!$AM$5:$AM$404,"&lt;&gt;Cancelled")</f>
        <v>0</v>
      </c>
      <c r="D7" s="29"/>
      <c r="E7" s="11" t="s">
        <v>990</v>
      </c>
      <c r="F7" s="11"/>
      <c r="G7" s="11"/>
      <c r="H7" s="11"/>
      <c r="I7" s="10" t="s">
        <v>27</v>
      </c>
      <c r="J7" s="10"/>
    </row>
    <row r="8" spans="1:10">
      <c r="A8" s="28" t="s">
        <v>181</v>
      </c>
      <c r="B8" s="31">
        <f>COUNTIFS(Bookings!$I$5:$I$404,"&gt;="&amp;TODAY(),Bookings!$AN$5:$AN$404,"&lt;&gt;Yes",Bookings!$AM$5:$AM$404,"&lt;&gt;Cancelled")</f>
        <v>0</v>
      </c>
      <c r="C8" s="29"/>
      <c r="D8" s="29"/>
      <c r="E8" s="11" t="s">
        <v>991</v>
      </c>
      <c r="F8" s="11"/>
      <c r="G8" s="11"/>
      <c r="H8" s="11"/>
      <c r="I8" s="10" t="s">
        <v>27</v>
      </c>
      <c r="J8" s="10"/>
    </row>
    <row r="9" spans="1:10">
      <c r="A9" s="28" t="s">
        <v>992</v>
      </c>
      <c r="B9" s="31">
        <f>COUNTIF(Bookings!$AR$5:$AR$404,"Conflict*")</f>
        <v>0</v>
      </c>
      <c r="C9" s="29"/>
      <c r="D9" s="29"/>
      <c r="E9" s="11" t="s">
        <v>993</v>
      </c>
      <c r="F9" s="11"/>
      <c r="G9" s="11"/>
      <c r="H9" s="11"/>
      <c r="I9" s="10" t="s">
        <v>27</v>
      </c>
      <c r="J9" s="10"/>
    </row>
    <row r="10" spans="1:10">
      <c r="A10" s="28" t="s">
        <v>994</v>
      </c>
      <c r="B10" s="31">
        <f>COUNTIFS(Bookings!$AM$5:$AM$404,"Completed",Bookings!$AS$5:$AS$404,"No")</f>
        <v>0</v>
      </c>
      <c r="C10" s="29"/>
      <c r="D10" s="29"/>
      <c r="E10" s="11" t="s">
        <v>995</v>
      </c>
      <c r="F10" s="11"/>
      <c r="G10" s="11"/>
      <c r="H10" s="11"/>
      <c r="I10" s="10" t="s">
        <v>29</v>
      </c>
      <c r="J10" s="10"/>
    </row>
    <row r="11" spans="1:10">
      <c r="A11" s="28" t="s">
        <v>171</v>
      </c>
      <c r="B11" s="31">
        <f>COUNTIF('Visit Log'!$AE$5:$AE$404,"Missed")</f>
        <v>0</v>
      </c>
      <c r="C11" s="29"/>
      <c r="D11" s="29"/>
      <c r="E11" s="11" t="s">
        <v>996</v>
      </c>
      <c r="F11" s="11"/>
      <c r="G11" s="11"/>
      <c r="H11" s="11"/>
      <c r="I11" s="10" t="s">
        <v>29</v>
      </c>
      <c r="J11" s="10"/>
    </row>
    <row r="12" spans="1:10">
      <c r="A12" s="28" t="s">
        <v>997</v>
      </c>
      <c r="B12" s="31">
        <f>COUNTIFS('Visit Log'!$AE$5:$AE$404,"Completed",'Visit Log'!$AC$5:$AC$404,"&lt;&gt;Yes")</f>
        <v>0</v>
      </c>
      <c r="C12" s="29"/>
      <c r="D12" s="29"/>
      <c r="E12" s="11" t="s">
        <v>998</v>
      </c>
      <c r="F12" s="11"/>
      <c r="G12" s="11"/>
      <c r="H12" s="11"/>
      <c r="I12" s="10" t="s">
        <v>29</v>
      </c>
      <c r="J12" s="10"/>
    </row>
    <row r="13" spans="1:10">
      <c r="A13" s="28" t="s">
        <v>211</v>
      </c>
      <c r="B13" s="31">
        <f>COUNTIF(Invoices!$U$5:$U$304,"Overdue")+COUNTIF(Invoices!$U$5:$U$304,"Overdue - part paid")</f>
        <v>0</v>
      </c>
      <c r="C13" s="29">
        <f>SUMIFS(Invoices!$S$5:$S$304,Invoices!$U$5:$U$304,"Overdue")+SUMIFS(Invoices!$S$5:$S$304,Invoices!$U$5:$U$304,"Overdue - part paid")</f>
        <v>0</v>
      </c>
      <c r="D13" s="29"/>
      <c r="E13" s="11" t="s">
        <v>999</v>
      </c>
      <c r="F13" s="11"/>
      <c r="G13" s="11"/>
      <c r="H13" s="11"/>
      <c r="I13" s="10" t="s">
        <v>37</v>
      </c>
      <c r="J13" s="10"/>
    </row>
    <row r="14" spans="1:10">
      <c r="A14" s="28" t="s">
        <v>1000</v>
      </c>
      <c r="B14" s="31">
        <f>COUNTIFS(Invoices!$S$5:$S$304,"&gt;0.004",Invoices!$C$5:$C$304,"&gt;="&amp;TODAY(),Invoices!$C$5:$C$304,"&lt;="&amp;TODAY()+ReminderLeadDays)</f>
        <v>0</v>
      </c>
      <c r="C14" s="29">
        <f>SUMIFS(Invoices!$S$5:$S$304,Invoices!$S$5:$S$304,"&gt;0.004",Invoices!$C$5:$C$304,"&gt;="&amp;TODAY(),Invoices!$C$5:$C$304,"&lt;="&amp;TODAY()+ReminderLeadDays)</f>
        <v>0</v>
      </c>
      <c r="D14" s="29"/>
      <c r="E14" s="11" t="s">
        <v>1001</v>
      </c>
      <c r="F14" s="11"/>
      <c r="G14" s="11"/>
      <c r="H14" s="11"/>
      <c r="I14" s="10" t="s">
        <v>37</v>
      </c>
      <c r="J14" s="10"/>
    </row>
    <row r="15" spans="1:10">
      <c r="A15" s="28" t="s">
        <v>1002</v>
      </c>
      <c r="B15" s="31">
        <f>COUNTIF(Invoices!$T$5:$T$304,"Draft")</f>
        <v>0</v>
      </c>
      <c r="C15" s="29">
        <f>SUMIFS(Invoices!$O$5:$O$304,Invoices!$T$5:$T$304,"Draft")</f>
        <v>0</v>
      </c>
      <c r="D15" s="29"/>
      <c r="E15" s="11" t="s">
        <v>1003</v>
      </c>
      <c r="F15" s="11"/>
      <c r="G15" s="11"/>
      <c r="H15" s="11"/>
      <c r="I15" s="10" t="s">
        <v>37</v>
      </c>
      <c r="J15" s="10"/>
    </row>
    <row r="16" spans="1:10">
      <c r="A16" s="28" t="s">
        <v>1004</v>
      </c>
      <c r="B16" s="31">
        <f>COUNTIF(Payments!$O$5:$O$304,"&lt;&gt;Yes")</f>
        <v>0</v>
      </c>
      <c r="C16" s="29"/>
      <c r="D16" s="29"/>
      <c r="E16" s="11" t="s">
        <v>1005</v>
      </c>
      <c r="F16" s="11"/>
      <c r="G16" s="11"/>
      <c r="H16" s="11"/>
      <c r="I16" s="10" t="s">
        <v>39</v>
      </c>
      <c r="J16" s="10"/>
    </row>
    <row r="17" spans="1:10">
      <c r="A17" s="28" t="s">
        <v>1006</v>
      </c>
      <c r="B17" s="31">
        <f>COUNTIF(Pets!$Y$5:$Y$254,"Expired")</f>
        <v>0</v>
      </c>
      <c r="C17" s="29"/>
      <c r="D17" s="29"/>
      <c r="E17" s="11" t="s">
        <v>1007</v>
      </c>
      <c r="F17" s="11"/>
      <c r="G17" s="11"/>
      <c r="H17" s="11"/>
      <c r="I17" s="10" t="s">
        <v>25</v>
      </c>
      <c r="J17" s="10"/>
    </row>
    <row r="18" spans="1:10">
      <c r="A18" s="28" t="s">
        <v>1008</v>
      </c>
      <c r="B18" s="31">
        <f>COUNTIF(Pets!$Y$5:$Y$254,"Due in*")</f>
        <v>0</v>
      </c>
      <c r="C18" s="29"/>
      <c r="D18" s="29"/>
      <c r="E18" s="11" t="s">
        <v>1009</v>
      </c>
      <c r="F18" s="11"/>
      <c r="G18" s="11"/>
      <c r="H18" s="11"/>
      <c r="I18" s="10" t="s">
        <v>25</v>
      </c>
      <c r="J18" s="10"/>
    </row>
    <row r="19" spans="1:10">
      <c r="A19" s="28" t="s">
        <v>1010</v>
      </c>
      <c r="B19" s="31">
        <f>COUNTIF('Health Log'!$L$5:$L$204,"Missed")</f>
        <v>0</v>
      </c>
      <c r="C19" s="29"/>
      <c r="D19" s="29"/>
      <c r="E19" s="11" t="s">
        <v>1011</v>
      </c>
      <c r="F19" s="11"/>
      <c r="G19" s="11"/>
      <c r="H19" s="11"/>
      <c r="I19" s="10" t="s">
        <v>31</v>
      </c>
      <c r="J19" s="10"/>
    </row>
    <row r="20" spans="1:10">
      <c r="A20" s="28" t="s">
        <v>1012</v>
      </c>
      <c r="B20" s="31">
        <f>COUNTIF('Health Log'!$O$5:$O$204,"Overdue*")+COUNTIF('Health Log'!$O$5:$O$204,"Due in*")</f>
        <v>0</v>
      </c>
      <c r="C20" s="29"/>
      <c r="D20" s="29"/>
      <c r="E20" s="11" t="s">
        <v>1013</v>
      </c>
      <c r="F20" s="11"/>
      <c r="G20" s="11"/>
      <c r="H20" s="11"/>
      <c r="I20" s="10" t="s">
        <v>31</v>
      </c>
      <c r="J20" s="10"/>
    </row>
    <row r="21" spans="1:10">
      <c r="A21" s="28" t="s">
        <v>1014</v>
      </c>
      <c r="B21" s="31">
        <f>COUNTIF('Health Log'!$Q$5:$Q$204,"Due in*")</f>
        <v>0</v>
      </c>
      <c r="C21" s="29"/>
      <c r="D21" s="29"/>
      <c r="E21" s="11" t="s">
        <v>1015</v>
      </c>
      <c r="F21" s="11"/>
      <c r="G21" s="11"/>
      <c r="H21" s="11"/>
      <c r="I21" s="10" t="s">
        <v>31</v>
      </c>
      <c r="J21" s="10"/>
    </row>
    <row r="22" spans="1:10">
      <c r="A22" s="28" t="s">
        <v>216</v>
      </c>
      <c r="B22" s="31">
        <f>COUNTIF(Incidents!$R$18:$R$117,"Open")+COUNTIF(Incidents!$R$18:$R$117,"In progress")</f>
        <v>0</v>
      </c>
      <c r="C22" s="29"/>
      <c r="D22" s="29"/>
      <c r="E22" s="11" t="s">
        <v>1016</v>
      </c>
      <c r="F22" s="11"/>
      <c r="G22" s="11"/>
      <c r="H22" s="11"/>
      <c r="I22" s="10" t="s">
        <v>33</v>
      </c>
      <c r="J22" s="10"/>
    </row>
    <row r="23" spans="1:10">
      <c r="A23" s="28" t="s">
        <v>1017</v>
      </c>
      <c r="B23" s="31">
        <f>COUNTIF(Clients!$AL$5:$AL$254,"Inactive*")</f>
        <v>0</v>
      </c>
      <c r="C23" s="29"/>
      <c r="D23" s="29"/>
      <c r="E23" s="11" t="s">
        <v>1018</v>
      </c>
      <c r="F23" s="11"/>
      <c r="G23" s="11"/>
      <c r="H23" s="11"/>
      <c r="I23" s="10" t="s">
        <v>23</v>
      </c>
      <c r="J23" s="10"/>
    </row>
    <row r="24" spans="1:10">
      <c r="A24" s="28" t="s">
        <v>1019</v>
      </c>
      <c r="B24" s="31">
        <f>COUNTIF(Messages!$T$5:$T$204,"Overdue*")</f>
        <v>0</v>
      </c>
      <c r="C24" s="29"/>
      <c r="D24" s="29"/>
      <c r="E24" s="11" t="s">
        <v>1020</v>
      </c>
      <c r="F24" s="11"/>
      <c r="G24" s="11"/>
      <c r="H24" s="11"/>
      <c r="I24" s="10" t="s">
        <v>35</v>
      </c>
      <c r="J24" s="10"/>
    </row>
    <row r="25" spans="1:10">
      <c r="A25" s="28" t="s">
        <v>219</v>
      </c>
      <c r="B25" s="31">
        <f>COUNTIFS(Messages!$K$5:$K$204,"Yes",Messages!$M$5:$M$204,"&lt;&gt;Resolved")</f>
        <v>0</v>
      </c>
      <c r="C25" s="29"/>
      <c r="D25" s="29"/>
      <c r="E25" s="11" t="s">
        <v>1021</v>
      </c>
      <c r="F25" s="11"/>
      <c r="G25" s="11"/>
      <c r="H25" s="11"/>
      <c r="I25" s="10" t="s">
        <v>35</v>
      </c>
      <c r="J25" s="10"/>
    </row>
    <row r="26" spans="1:10">
      <c r="A26" s="28" t="s">
        <v>1022</v>
      </c>
      <c r="B26" s="31">
        <f>COUNTIF(Inventory!$K$5:$K$124,"Low*")+COUNTIF(Inventory!$K$5:$K$124,"Out of stock")</f>
        <v>0</v>
      </c>
      <c r="C26" s="29"/>
      <c r="D26" s="29"/>
      <c r="E26" s="11" t="s">
        <v>1023</v>
      </c>
      <c r="F26" s="11"/>
      <c r="G26" s="11"/>
      <c r="H26" s="11"/>
      <c r="I26" s="10" t="s">
        <v>47</v>
      </c>
      <c r="J26" s="10"/>
    </row>
    <row r="27" spans="1:10">
      <c r="A27" s="28" t="s">
        <v>1024</v>
      </c>
      <c r="B27" s="31">
        <f>COUNTIF(Inventory!$P$5:$P$124,"EXPIRED")</f>
        <v>0</v>
      </c>
      <c r="C27" s="29"/>
      <c r="D27" s="29"/>
      <c r="E27" s="11" t="s">
        <v>1025</v>
      </c>
      <c r="F27" s="11"/>
      <c r="G27" s="11"/>
      <c r="H27" s="11"/>
      <c r="I27" s="10" t="s">
        <v>47</v>
      </c>
      <c r="J27" s="10"/>
    </row>
    <row r="28" spans="1:10">
      <c r="A28" s="28" t="s">
        <v>1026</v>
      </c>
      <c r="B28" s="31">
        <f>COUNTIF(Staff!$O$5:$O$44,"EXPIRED")+COUNTIF(Staff!$O$5:$O$44,"Due in*")</f>
        <v>0</v>
      </c>
      <c r="C28" s="29"/>
      <c r="D28" s="29"/>
      <c r="E28" s="11" t="s">
        <v>1027</v>
      </c>
      <c r="F28" s="11"/>
      <c r="G28" s="11"/>
      <c r="H28" s="11"/>
      <c r="I28" s="10" t="s">
        <v>45</v>
      </c>
      <c r="J28" s="10"/>
    </row>
    <row r="29" spans="1:10">
      <c r="A29" s="28" t="s">
        <v>1028</v>
      </c>
      <c r="B29" s="31">
        <f>COUNTIFS(Clients!$M$5:$M$254,"Active",Clients!$S$5:$S$254,"&lt;&gt;Signed")</f>
        <v>0</v>
      </c>
      <c r="C29" s="29"/>
      <c r="D29" s="29"/>
      <c r="E29" s="11" t="s">
        <v>1029</v>
      </c>
      <c r="F29" s="11"/>
      <c r="G29" s="11"/>
      <c r="H29" s="11"/>
      <c r="I29" s="10" t="s">
        <v>23</v>
      </c>
      <c r="J29" s="10"/>
    </row>
    <row r="30" spans="1:10">
      <c r="A30" s="28" t="s">
        <v>1030</v>
      </c>
      <c r="B30" s="31">
        <f>COUNTIF(Expenses!$U$5:$U$304,"Missing receipt")</f>
        <v>0</v>
      </c>
      <c r="C30" s="29"/>
      <c r="D30" s="29"/>
      <c r="E30" s="11" t="s">
        <v>1031</v>
      </c>
      <c r="F30" s="11"/>
      <c r="G30" s="11"/>
      <c r="H30" s="11"/>
      <c r="I30" s="10" t="s">
        <v>41</v>
      </c>
      <c r="J30" s="10"/>
    </row>
    <row r="32" spans="1:10" ht="17" customHeight="1">
      <c r="A32" s="37" t="s">
        <v>1032</v>
      </c>
      <c r="B32" s="37"/>
      <c r="C32" s="37"/>
      <c r="D32" s="37"/>
      <c r="E32" s="37"/>
      <c r="F32" s="37"/>
      <c r="G32" s="37"/>
      <c r="H32" s="37"/>
      <c r="I32" s="37"/>
      <c r="J32" s="37"/>
    </row>
    <row r="33" spans="1:10">
      <c r="A33" s="8" t="s">
        <v>1033</v>
      </c>
      <c r="B33" s="9" t="s">
        <v>337</v>
      </c>
      <c r="C33" s="9"/>
      <c r="D33" s="9" t="s">
        <v>1034</v>
      </c>
      <c r="E33" s="9"/>
      <c r="F33" s="9" t="s">
        <v>665</v>
      </c>
      <c r="G33" s="9"/>
      <c r="H33" s="9"/>
      <c r="I33" s="9"/>
      <c r="J33" s="9"/>
    </row>
    <row r="34" spans="1:10">
      <c r="A34" s="28" t="s">
        <v>1035</v>
      </c>
      <c r="B34" s="21">
        <f>Biz_InsuranceRenewal</f>
        <v>0</v>
      </c>
      <c r="C34" s="21"/>
      <c r="D34" s="31">
        <f>IF($B$34="","",$B$34-TODAY())</f>
        <v>0</v>
      </c>
      <c r="E34" s="31"/>
      <c r="F34" s="49">
        <f>IF($B$34="","Add the date on the Settings tab",IF($B$34&lt;TODAY(),"EXPIRED - renew now",IF($B$34-TODAY()&lt;=ExpiryAlertDays,"Renew soon","Current")))</f>
        <v>0</v>
      </c>
      <c r="G34" s="49"/>
      <c r="H34" s="49"/>
      <c r="I34" s="49"/>
      <c r="J34" s="49"/>
    </row>
    <row r="35" spans="1:10">
      <c r="A35" s="28" t="s">
        <v>1036</v>
      </c>
      <c r="B35" s="21">
        <f>Biz_LicenceRenewal</f>
        <v>0</v>
      </c>
      <c r="C35" s="21"/>
      <c r="D35" s="31">
        <f>IF($B$35="","",$B$35-TODAY())</f>
        <v>0</v>
      </c>
      <c r="E35" s="31"/>
      <c r="F35" s="49">
        <f>IF($B$35="","Add the date on the Settings tab",IF($B$35&lt;TODAY(),"EXPIRED - renew now",IF($B$35-TODAY()&lt;=ExpiryAlertDays,"Renew soon","Current")))</f>
        <v>0</v>
      </c>
      <c r="G35" s="49"/>
      <c r="H35" s="49"/>
      <c r="I35" s="49"/>
      <c r="J35" s="49"/>
    </row>
    <row r="37" spans="1:10" ht="26" customHeight="1">
      <c r="A37" s="5" t="s">
        <v>982</v>
      </c>
      <c r="B37" s="5"/>
      <c r="C37" s="5"/>
      <c r="D37" s="5"/>
      <c r="E37" s="5"/>
      <c r="F37" s="5"/>
      <c r="G37" s="5"/>
      <c r="H37" s="5"/>
      <c r="I37" s="5"/>
      <c r="J37" s="5"/>
    </row>
    <row r="38" spans="1:10" ht="30" customHeight="1">
      <c r="A38" s="8" t="s">
        <v>642</v>
      </c>
      <c r="B38" s="8" t="s">
        <v>983</v>
      </c>
      <c r="C38" s="9" t="s">
        <v>200</v>
      </c>
      <c r="D38" s="9" t="s">
        <v>876</v>
      </c>
      <c r="E38" s="9" t="s">
        <v>588</v>
      </c>
      <c r="F38" s="9" t="s">
        <v>615</v>
      </c>
      <c r="G38" s="9" t="s">
        <v>665</v>
      </c>
      <c r="H38" s="9" t="s">
        <v>984</v>
      </c>
      <c r="I38" s="9" t="s">
        <v>985</v>
      </c>
      <c r="J38" s="9" t="s">
        <v>339</v>
      </c>
    </row>
    <row r="39" spans="1:10">
      <c r="A39" s="46">
        <f>IF(B39="","","TK-"&amp;TEXT(ROW()-4,"000"))</f>
        <v>0</v>
      </c>
      <c r="H39" s="31">
        <f>IF(OR(D39="",G39="Done",G39="Cancelled"),"",D39-TODAY())</f>
        <v>0</v>
      </c>
      <c r="I39" s="49">
        <f>IF(B39="","",IF(OR(G39="Done",G39="Cancelled"),"Closed",IF(D39="","No due date",IF(D39&lt;TODAY(),"Overdue",IF(D39-TODAY()&lt;=ReminderLeadDays,"Due soon","On track")))))</f>
        <v>0</v>
      </c>
    </row>
    <row r="40" spans="1:10">
      <c r="A40" s="46">
        <f>IF(B40="","","TK-"&amp;TEXT(ROW()-4,"000"))</f>
        <v>0</v>
      </c>
      <c r="H40" s="31">
        <f>IF(OR(D40="",G40="Done",G40="Cancelled"),"",D40-TODAY())</f>
        <v>0</v>
      </c>
      <c r="I40" s="49">
        <f>IF(B40="","",IF(OR(G40="Done",G40="Cancelled"),"Closed",IF(D40="","No due date",IF(D40&lt;TODAY(),"Overdue",IF(D40-TODAY()&lt;=ReminderLeadDays,"Due soon","On track")))))</f>
        <v>0</v>
      </c>
    </row>
    <row r="41" spans="1:10">
      <c r="A41" s="46">
        <f>IF(B41="","","TK-"&amp;TEXT(ROW()-4,"000"))</f>
        <v>0</v>
      </c>
      <c r="H41" s="31">
        <f>IF(OR(D41="",G41="Done",G41="Cancelled"),"",D41-TODAY())</f>
        <v>0</v>
      </c>
      <c r="I41" s="49">
        <f>IF(B41="","",IF(OR(G41="Done",G41="Cancelled"),"Closed",IF(D41="","No due date",IF(D41&lt;TODAY(),"Overdue",IF(D41-TODAY()&lt;=ReminderLeadDays,"Due soon","On track")))))</f>
        <v>0</v>
      </c>
    </row>
    <row r="42" spans="1:10">
      <c r="A42" s="46">
        <f>IF(B42="","","TK-"&amp;TEXT(ROW()-4,"000"))</f>
        <v>0</v>
      </c>
      <c r="H42" s="31">
        <f>IF(OR(D42="",G42="Done",G42="Cancelled"),"",D42-TODAY())</f>
        <v>0</v>
      </c>
      <c r="I42" s="49">
        <f>IF(B42="","",IF(OR(G42="Done",G42="Cancelled"),"Closed",IF(D42="","No due date",IF(D42&lt;TODAY(),"Overdue",IF(D42-TODAY()&lt;=ReminderLeadDays,"Due soon","On track")))))</f>
        <v>0</v>
      </c>
    </row>
    <row r="43" spans="1:10">
      <c r="A43" s="46">
        <f>IF(B43="","","TK-"&amp;TEXT(ROW()-4,"000"))</f>
        <v>0</v>
      </c>
      <c r="H43" s="31">
        <f>IF(OR(D43="",G43="Done",G43="Cancelled"),"",D43-TODAY())</f>
        <v>0</v>
      </c>
      <c r="I43" s="49">
        <f>IF(B43="","",IF(OR(G43="Done",G43="Cancelled"),"Closed",IF(D43="","No due date",IF(D43&lt;TODAY(),"Overdue",IF(D43-TODAY()&lt;=ReminderLeadDays,"Due soon","On track")))))</f>
        <v>0</v>
      </c>
    </row>
    <row r="44" spans="1:10">
      <c r="A44" s="46">
        <f>IF(B44="","","TK-"&amp;TEXT(ROW()-4,"000"))</f>
        <v>0</v>
      </c>
      <c r="H44" s="31">
        <f>IF(OR(D44="",G44="Done",G44="Cancelled"),"",D44-TODAY())</f>
        <v>0</v>
      </c>
      <c r="I44" s="49">
        <f>IF(B44="","",IF(OR(G44="Done",G44="Cancelled"),"Closed",IF(D44="","No due date",IF(D44&lt;TODAY(),"Overdue",IF(D44-TODAY()&lt;=ReminderLeadDays,"Due soon","On track")))))</f>
        <v>0</v>
      </c>
    </row>
    <row r="45" spans="1:10">
      <c r="A45" s="46">
        <f>IF(B45="","","TK-"&amp;TEXT(ROW()-4,"000"))</f>
        <v>0</v>
      </c>
      <c r="H45" s="31">
        <f>IF(OR(D45="",G45="Done",G45="Cancelled"),"",D45-TODAY())</f>
        <v>0</v>
      </c>
      <c r="I45" s="49">
        <f>IF(B45="","",IF(OR(G45="Done",G45="Cancelled"),"Closed",IF(D45="","No due date",IF(D45&lt;TODAY(),"Overdue",IF(D45-TODAY()&lt;=ReminderLeadDays,"Due soon","On track")))))</f>
        <v>0</v>
      </c>
    </row>
    <row r="46" spans="1:10">
      <c r="A46" s="46">
        <f>IF(B46="","","TK-"&amp;TEXT(ROW()-4,"000"))</f>
        <v>0</v>
      </c>
      <c r="H46" s="31">
        <f>IF(OR(D46="",G46="Done",G46="Cancelled"),"",D46-TODAY())</f>
        <v>0</v>
      </c>
      <c r="I46" s="49">
        <f>IF(B46="","",IF(OR(G46="Done",G46="Cancelled"),"Closed",IF(D46="","No due date",IF(D46&lt;TODAY(),"Overdue",IF(D46-TODAY()&lt;=ReminderLeadDays,"Due soon","On track")))))</f>
        <v>0</v>
      </c>
    </row>
    <row r="47" spans="1:10">
      <c r="A47" s="46">
        <f>IF(B47="","","TK-"&amp;TEXT(ROW()-4,"000"))</f>
        <v>0</v>
      </c>
      <c r="H47" s="31">
        <f>IF(OR(D47="",G47="Done",G47="Cancelled"),"",D47-TODAY())</f>
        <v>0</v>
      </c>
      <c r="I47" s="49">
        <f>IF(B47="","",IF(OR(G47="Done",G47="Cancelled"),"Closed",IF(D47="","No due date",IF(D47&lt;TODAY(),"Overdue",IF(D47-TODAY()&lt;=ReminderLeadDays,"Due soon","On track")))))</f>
        <v>0</v>
      </c>
    </row>
    <row r="48" spans="1:10">
      <c r="A48" s="46">
        <f>IF(B48="","","TK-"&amp;TEXT(ROW()-4,"000"))</f>
        <v>0</v>
      </c>
      <c r="H48" s="31">
        <f>IF(OR(D48="",G48="Done",G48="Cancelled"),"",D48-TODAY())</f>
        <v>0</v>
      </c>
      <c r="I48" s="49">
        <f>IF(B48="","",IF(OR(G48="Done",G48="Cancelled"),"Closed",IF(D48="","No due date",IF(D48&lt;TODAY(),"Overdue",IF(D48-TODAY()&lt;=ReminderLeadDays,"Due soon","On track")))))</f>
        <v>0</v>
      </c>
    </row>
    <row r="49" spans="1:9">
      <c r="A49" s="46">
        <f>IF(B49="","","TK-"&amp;TEXT(ROW()-4,"000"))</f>
        <v>0</v>
      </c>
      <c r="H49" s="31">
        <f>IF(OR(D49="",G49="Done",G49="Cancelled"),"",D49-TODAY())</f>
        <v>0</v>
      </c>
      <c r="I49" s="49">
        <f>IF(B49="","",IF(OR(G49="Done",G49="Cancelled"),"Closed",IF(D49="","No due date",IF(D49&lt;TODAY(),"Overdue",IF(D49-TODAY()&lt;=ReminderLeadDays,"Due soon","On track")))))</f>
        <v>0</v>
      </c>
    </row>
    <row r="50" spans="1:9">
      <c r="A50" s="46">
        <f>IF(B50="","","TK-"&amp;TEXT(ROW()-4,"000"))</f>
        <v>0</v>
      </c>
      <c r="H50" s="31">
        <f>IF(OR(D50="",G50="Done",G50="Cancelled"),"",D50-TODAY())</f>
        <v>0</v>
      </c>
      <c r="I50" s="49">
        <f>IF(B50="","",IF(OR(G50="Done",G50="Cancelled"),"Closed",IF(D50="","No due date",IF(D50&lt;TODAY(),"Overdue",IF(D50-TODAY()&lt;=ReminderLeadDays,"Due soon","On track")))))</f>
        <v>0</v>
      </c>
    </row>
    <row r="51" spans="1:9">
      <c r="A51" s="46">
        <f>IF(B51="","","TK-"&amp;TEXT(ROW()-4,"000"))</f>
        <v>0</v>
      </c>
      <c r="H51" s="31">
        <f>IF(OR(D51="",G51="Done",G51="Cancelled"),"",D51-TODAY())</f>
        <v>0</v>
      </c>
      <c r="I51" s="49">
        <f>IF(B51="","",IF(OR(G51="Done",G51="Cancelled"),"Closed",IF(D51="","No due date",IF(D51&lt;TODAY(),"Overdue",IF(D51-TODAY()&lt;=ReminderLeadDays,"Due soon","On track")))))</f>
        <v>0</v>
      </c>
    </row>
    <row r="52" spans="1:9">
      <c r="A52" s="46">
        <f>IF(B52="","","TK-"&amp;TEXT(ROW()-4,"000"))</f>
        <v>0</v>
      </c>
      <c r="H52" s="31">
        <f>IF(OR(D52="",G52="Done",G52="Cancelled"),"",D52-TODAY())</f>
        <v>0</v>
      </c>
      <c r="I52" s="49">
        <f>IF(B52="","",IF(OR(G52="Done",G52="Cancelled"),"Closed",IF(D52="","No due date",IF(D52&lt;TODAY(),"Overdue",IF(D52-TODAY()&lt;=ReminderLeadDays,"Due soon","On track")))))</f>
        <v>0</v>
      </c>
    </row>
    <row r="53" spans="1:9">
      <c r="A53" s="46">
        <f>IF(B53="","","TK-"&amp;TEXT(ROW()-4,"000"))</f>
        <v>0</v>
      </c>
      <c r="H53" s="31">
        <f>IF(OR(D53="",G53="Done",G53="Cancelled"),"",D53-TODAY())</f>
        <v>0</v>
      </c>
      <c r="I53" s="49">
        <f>IF(B53="","",IF(OR(G53="Done",G53="Cancelled"),"Closed",IF(D53="","No due date",IF(D53&lt;TODAY(),"Overdue",IF(D53-TODAY()&lt;=ReminderLeadDays,"Due soon","On track")))))</f>
        <v>0</v>
      </c>
    </row>
    <row r="54" spans="1:9">
      <c r="A54" s="46">
        <f>IF(B54="","","TK-"&amp;TEXT(ROW()-4,"000"))</f>
        <v>0</v>
      </c>
      <c r="H54" s="31">
        <f>IF(OR(D54="",G54="Done",G54="Cancelled"),"",D54-TODAY())</f>
        <v>0</v>
      </c>
      <c r="I54" s="49">
        <f>IF(B54="","",IF(OR(G54="Done",G54="Cancelled"),"Closed",IF(D54="","No due date",IF(D54&lt;TODAY(),"Overdue",IF(D54-TODAY()&lt;=ReminderLeadDays,"Due soon","On track")))))</f>
        <v>0</v>
      </c>
    </row>
    <row r="55" spans="1:9">
      <c r="A55" s="46">
        <f>IF(B55="","","TK-"&amp;TEXT(ROW()-4,"000"))</f>
        <v>0</v>
      </c>
      <c r="H55" s="31">
        <f>IF(OR(D55="",G55="Done",G55="Cancelled"),"",D55-TODAY())</f>
        <v>0</v>
      </c>
      <c r="I55" s="49">
        <f>IF(B55="","",IF(OR(G55="Done",G55="Cancelled"),"Closed",IF(D55="","No due date",IF(D55&lt;TODAY(),"Overdue",IF(D55-TODAY()&lt;=ReminderLeadDays,"Due soon","On track")))))</f>
        <v>0</v>
      </c>
    </row>
    <row r="56" spans="1:9">
      <c r="A56" s="46">
        <f>IF(B56="","","TK-"&amp;TEXT(ROW()-4,"000"))</f>
        <v>0</v>
      </c>
      <c r="H56" s="31">
        <f>IF(OR(D56="",G56="Done",G56="Cancelled"),"",D56-TODAY())</f>
        <v>0</v>
      </c>
      <c r="I56" s="49">
        <f>IF(B56="","",IF(OR(G56="Done",G56="Cancelled"),"Closed",IF(D56="","No due date",IF(D56&lt;TODAY(),"Overdue",IF(D56-TODAY()&lt;=ReminderLeadDays,"Due soon","On track")))))</f>
        <v>0</v>
      </c>
    </row>
    <row r="57" spans="1:9">
      <c r="A57" s="46">
        <f>IF(B57="","","TK-"&amp;TEXT(ROW()-4,"000"))</f>
        <v>0</v>
      </c>
      <c r="H57" s="31">
        <f>IF(OR(D57="",G57="Done",G57="Cancelled"),"",D57-TODAY())</f>
        <v>0</v>
      </c>
      <c r="I57" s="49">
        <f>IF(B57="","",IF(OR(G57="Done",G57="Cancelled"),"Closed",IF(D57="","No due date",IF(D57&lt;TODAY(),"Overdue",IF(D57-TODAY()&lt;=ReminderLeadDays,"Due soon","On track")))))</f>
        <v>0</v>
      </c>
    </row>
    <row r="58" spans="1:9">
      <c r="A58" s="46">
        <f>IF(B58="","","TK-"&amp;TEXT(ROW()-4,"000"))</f>
        <v>0</v>
      </c>
      <c r="H58" s="31">
        <f>IF(OR(D58="",G58="Done",G58="Cancelled"),"",D58-TODAY())</f>
        <v>0</v>
      </c>
      <c r="I58" s="49">
        <f>IF(B58="","",IF(OR(G58="Done",G58="Cancelled"),"Closed",IF(D58="","No due date",IF(D58&lt;TODAY(),"Overdue",IF(D58-TODAY()&lt;=ReminderLeadDays,"Due soon","On track")))))</f>
        <v>0</v>
      </c>
    </row>
    <row r="59" spans="1:9">
      <c r="A59" s="46">
        <f>IF(B59="","","TK-"&amp;TEXT(ROW()-4,"000"))</f>
        <v>0</v>
      </c>
      <c r="H59" s="31">
        <f>IF(OR(D59="",G59="Done",G59="Cancelled"),"",D59-TODAY())</f>
        <v>0</v>
      </c>
      <c r="I59" s="49">
        <f>IF(B59="","",IF(OR(G59="Done",G59="Cancelled"),"Closed",IF(D59="","No due date",IF(D59&lt;TODAY(),"Overdue",IF(D59-TODAY()&lt;=ReminderLeadDays,"Due soon","On track")))))</f>
        <v>0</v>
      </c>
    </row>
    <row r="60" spans="1:9">
      <c r="A60" s="46">
        <f>IF(B60="","","TK-"&amp;TEXT(ROW()-4,"000"))</f>
        <v>0</v>
      </c>
      <c r="H60" s="31">
        <f>IF(OR(D60="",G60="Done",G60="Cancelled"),"",D60-TODAY())</f>
        <v>0</v>
      </c>
      <c r="I60" s="49">
        <f>IF(B60="","",IF(OR(G60="Done",G60="Cancelled"),"Closed",IF(D60="","No due date",IF(D60&lt;TODAY(),"Overdue",IF(D60-TODAY()&lt;=ReminderLeadDays,"Due soon","On track")))))</f>
        <v>0</v>
      </c>
    </row>
    <row r="61" spans="1:9">
      <c r="A61" s="46">
        <f>IF(B61="","","TK-"&amp;TEXT(ROW()-4,"000"))</f>
        <v>0</v>
      </c>
      <c r="H61" s="31">
        <f>IF(OR(D61="",G61="Done",G61="Cancelled"),"",D61-TODAY())</f>
        <v>0</v>
      </c>
      <c r="I61" s="49">
        <f>IF(B61="","",IF(OR(G61="Done",G61="Cancelled"),"Closed",IF(D61="","No due date",IF(D61&lt;TODAY(),"Overdue",IF(D61-TODAY()&lt;=ReminderLeadDays,"Due soon","On track")))))</f>
        <v>0</v>
      </c>
    </row>
    <row r="62" spans="1:9">
      <c r="A62" s="46">
        <f>IF(B62="","","TK-"&amp;TEXT(ROW()-4,"000"))</f>
        <v>0</v>
      </c>
      <c r="H62" s="31">
        <f>IF(OR(D62="",G62="Done",G62="Cancelled"),"",D62-TODAY())</f>
        <v>0</v>
      </c>
      <c r="I62" s="49">
        <f>IF(B62="","",IF(OR(G62="Done",G62="Cancelled"),"Closed",IF(D62="","No due date",IF(D62&lt;TODAY(),"Overdue",IF(D62-TODAY()&lt;=ReminderLeadDays,"Due soon","On track")))))</f>
        <v>0</v>
      </c>
    </row>
    <row r="63" spans="1:9">
      <c r="A63" s="46">
        <f>IF(B63="","","TK-"&amp;TEXT(ROW()-4,"000"))</f>
        <v>0</v>
      </c>
      <c r="H63" s="31">
        <f>IF(OR(D63="",G63="Done",G63="Cancelled"),"",D63-TODAY())</f>
        <v>0</v>
      </c>
      <c r="I63" s="49">
        <f>IF(B63="","",IF(OR(G63="Done",G63="Cancelled"),"Closed",IF(D63="","No due date",IF(D63&lt;TODAY(),"Overdue",IF(D63-TODAY()&lt;=ReminderLeadDays,"Due soon","On track")))))</f>
        <v>0</v>
      </c>
    </row>
    <row r="64" spans="1:9">
      <c r="A64" s="46">
        <f>IF(B64="","","TK-"&amp;TEXT(ROW()-4,"000"))</f>
        <v>0</v>
      </c>
      <c r="H64" s="31">
        <f>IF(OR(D64="",G64="Done",G64="Cancelled"),"",D64-TODAY())</f>
        <v>0</v>
      </c>
      <c r="I64" s="49">
        <f>IF(B64="","",IF(OR(G64="Done",G64="Cancelled"),"Closed",IF(D64="","No due date",IF(D64&lt;TODAY(),"Overdue",IF(D64-TODAY()&lt;=ReminderLeadDays,"Due soon","On track")))))</f>
        <v>0</v>
      </c>
    </row>
    <row r="65" spans="1:9">
      <c r="A65" s="46">
        <f>IF(B65="","","TK-"&amp;TEXT(ROW()-4,"000"))</f>
        <v>0</v>
      </c>
      <c r="H65" s="31">
        <f>IF(OR(D65="",G65="Done",G65="Cancelled"),"",D65-TODAY())</f>
        <v>0</v>
      </c>
      <c r="I65" s="49">
        <f>IF(B65="","",IF(OR(G65="Done",G65="Cancelled"),"Closed",IF(D65="","No due date",IF(D65&lt;TODAY(),"Overdue",IF(D65-TODAY()&lt;=ReminderLeadDays,"Due soon","On track")))))</f>
        <v>0</v>
      </c>
    </row>
    <row r="66" spans="1:9">
      <c r="A66" s="46">
        <f>IF(B66="","","TK-"&amp;TEXT(ROW()-4,"000"))</f>
        <v>0</v>
      </c>
      <c r="H66" s="31">
        <f>IF(OR(D66="",G66="Done",G66="Cancelled"),"",D66-TODAY())</f>
        <v>0</v>
      </c>
      <c r="I66" s="49">
        <f>IF(B66="","",IF(OR(G66="Done",G66="Cancelled"),"Closed",IF(D66="","No due date",IF(D66&lt;TODAY(),"Overdue",IF(D66-TODAY()&lt;=ReminderLeadDays,"Due soon","On track")))))</f>
        <v>0</v>
      </c>
    </row>
    <row r="67" spans="1:9">
      <c r="A67" s="46">
        <f>IF(B67="","","TK-"&amp;TEXT(ROW()-4,"000"))</f>
        <v>0</v>
      </c>
      <c r="H67" s="31">
        <f>IF(OR(D67="",G67="Done",G67="Cancelled"),"",D67-TODAY())</f>
        <v>0</v>
      </c>
      <c r="I67" s="49">
        <f>IF(B67="","",IF(OR(G67="Done",G67="Cancelled"),"Closed",IF(D67="","No due date",IF(D67&lt;TODAY(),"Overdue",IF(D67-TODAY()&lt;=ReminderLeadDays,"Due soon","On track")))))</f>
        <v>0</v>
      </c>
    </row>
    <row r="68" spans="1:9">
      <c r="A68" s="46">
        <f>IF(B68="","","TK-"&amp;TEXT(ROW()-4,"000"))</f>
        <v>0</v>
      </c>
      <c r="H68" s="31">
        <f>IF(OR(D68="",G68="Done",G68="Cancelled"),"",D68-TODAY())</f>
        <v>0</v>
      </c>
      <c r="I68" s="49">
        <f>IF(B68="","",IF(OR(G68="Done",G68="Cancelled"),"Closed",IF(D68="","No due date",IF(D68&lt;TODAY(),"Overdue",IF(D68-TODAY()&lt;=ReminderLeadDays,"Due soon","On track")))))</f>
        <v>0</v>
      </c>
    </row>
    <row r="69" spans="1:9">
      <c r="A69" s="46">
        <f>IF(B69="","","TK-"&amp;TEXT(ROW()-4,"000"))</f>
        <v>0</v>
      </c>
      <c r="H69" s="31">
        <f>IF(OR(D69="",G69="Done",G69="Cancelled"),"",D69-TODAY())</f>
        <v>0</v>
      </c>
      <c r="I69" s="49">
        <f>IF(B69="","",IF(OR(G69="Done",G69="Cancelled"),"Closed",IF(D69="","No due date",IF(D69&lt;TODAY(),"Overdue",IF(D69-TODAY()&lt;=ReminderLeadDays,"Due soon","On track")))))</f>
        <v>0</v>
      </c>
    </row>
    <row r="70" spans="1:9">
      <c r="A70" s="46">
        <f>IF(B70="","","TK-"&amp;TEXT(ROW()-4,"000"))</f>
        <v>0</v>
      </c>
      <c r="H70" s="31">
        <f>IF(OR(D70="",G70="Done",G70="Cancelled"),"",D70-TODAY())</f>
        <v>0</v>
      </c>
      <c r="I70" s="49">
        <f>IF(B70="","",IF(OR(G70="Done",G70="Cancelled"),"Closed",IF(D70="","No due date",IF(D70&lt;TODAY(),"Overdue",IF(D70-TODAY()&lt;=ReminderLeadDays,"Due soon","On track")))))</f>
        <v>0</v>
      </c>
    </row>
    <row r="71" spans="1:9">
      <c r="A71" s="46">
        <f>IF(B71="","","TK-"&amp;TEXT(ROW()-4,"000"))</f>
        <v>0</v>
      </c>
      <c r="H71" s="31">
        <f>IF(OR(D71="",G71="Done",G71="Cancelled"),"",D71-TODAY())</f>
        <v>0</v>
      </c>
      <c r="I71" s="49">
        <f>IF(B71="","",IF(OR(G71="Done",G71="Cancelled"),"Closed",IF(D71="","No due date",IF(D71&lt;TODAY(),"Overdue",IF(D71-TODAY()&lt;=ReminderLeadDays,"Due soon","On track")))))</f>
        <v>0</v>
      </c>
    </row>
    <row r="72" spans="1:9">
      <c r="A72" s="46">
        <f>IF(B72="","","TK-"&amp;TEXT(ROW()-4,"000"))</f>
        <v>0</v>
      </c>
      <c r="H72" s="31">
        <f>IF(OR(D72="",G72="Done",G72="Cancelled"),"",D72-TODAY())</f>
        <v>0</v>
      </c>
      <c r="I72" s="49">
        <f>IF(B72="","",IF(OR(G72="Done",G72="Cancelled"),"Closed",IF(D72="","No due date",IF(D72&lt;TODAY(),"Overdue",IF(D72-TODAY()&lt;=ReminderLeadDays,"Due soon","On track")))))</f>
        <v>0</v>
      </c>
    </row>
    <row r="73" spans="1:9">
      <c r="A73" s="46">
        <f>IF(B73="","","TK-"&amp;TEXT(ROW()-4,"000"))</f>
        <v>0</v>
      </c>
      <c r="H73" s="31">
        <f>IF(OR(D73="",G73="Done",G73="Cancelled"),"",D73-TODAY())</f>
        <v>0</v>
      </c>
      <c r="I73" s="49">
        <f>IF(B73="","",IF(OR(G73="Done",G73="Cancelled"),"Closed",IF(D73="","No due date",IF(D73&lt;TODAY(),"Overdue",IF(D73-TODAY()&lt;=ReminderLeadDays,"Due soon","On track")))))</f>
        <v>0</v>
      </c>
    </row>
    <row r="74" spans="1:9">
      <c r="A74" s="46">
        <f>IF(B74="","","TK-"&amp;TEXT(ROW()-4,"000"))</f>
        <v>0</v>
      </c>
      <c r="H74" s="31">
        <f>IF(OR(D74="",G74="Done",G74="Cancelled"),"",D74-TODAY())</f>
        <v>0</v>
      </c>
      <c r="I74" s="49">
        <f>IF(B74="","",IF(OR(G74="Done",G74="Cancelled"),"Closed",IF(D74="","No due date",IF(D74&lt;TODAY(),"Overdue",IF(D74-TODAY()&lt;=ReminderLeadDays,"Due soon","On track")))))</f>
        <v>0</v>
      </c>
    </row>
    <row r="75" spans="1:9">
      <c r="A75" s="46">
        <f>IF(B75="","","TK-"&amp;TEXT(ROW()-4,"000"))</f>
        <v>0</v>
      </c>
      <c r="H75" s="31">
        <f>IF(OR(D75="",G75="Done",G75="Cancelled"),"",D75-TODAY())</f>
        <v>0</v>
      </c>
      <c r="I75" s="49">
        <f>IF(B75="","",IF(OR(G75="Done",G75="Cancelled"),"Closed",IF(D75="","No due date",IF(D75&lt;TODAY(),"Overdue",IF(D75-TODAY()&lt;=ReminderLeadDays,"Due soon","On track")))))</f>
        <v>0</v>
      </c>
    </row>
    <row r="76" spans="1:9">
      <c r="A76" s="46">
        <f>IF(B76="","","TK-"&amp;TEXT(ROW()-4,"000"))</f>
        <v>0</v>
      </c>
      <c r="H76" s="31">
        <f>IF(OR(D76="",G76="Done",G76="Cancelled"),"",D76-TODAY())</f>
        <v>0</v>
      </c>
      <c r="I76" s="49">
        <f>IF(B76="","",IF(OR(G76="Done",G76="Cancelled"),"Closed",IF(D76="","No due date",IF(D76&lt;TODAY(),"Overdue",IF(D76-TODAY()&lt;=ReminderLeadDays,"Due soon","On track")))))</f>
        <v>0</v>
      </c>
    </row>
    <row r="77" spans="1:9">
      <c r="A77" s="46">
        <f>IF(B77="","","TK-"&amp;TEXT(ROW()-4,"000"))</f>
        <v>0</v>
      </c>
      <c r="H77" s="31">
        <f>IF(OR(D77="",G77="Done",G77="Cancelled"),"",D77-TODAY())</f>
        <v>0</v>
      </c>
      <c r="I77" s="49">
        <f>IF(B77="","",IF(OR(G77="Done",G77="Cancelled"),"Closed",IF(D77="","No due date",IF(D77&lt;TODAY(),"Overdue",IF(D77-TODAY()&lt;=ReminderLeadDays,"Due soon","On track")))))</f>
        <v>0</v>
      </c>
    </row>
    <row r="78" spans="1:9">
      <c r="A78" s="46">
        <f>IF(B78="","","TK-"&amp;TEXT(ROW()-4,"000"))</f>
        <v>0</v>
      </c>
      <c r="H78" s="31">
        <f>IF(OR(D78="",G78="Done",G78="Cancelled"),"",D78-TODAY())</f>
        <v>0</v>
      </c>
      <c r="I78" s="49">
        <f>IF(B78="","",IF(OR(G78="Done",G78="Cancelled"),"Closed",IF(D78="","No due date",IF(D78&lt;TODAY(),"Overdue",IF(D78-TODAY()&lt;=ReminderLeadDays,"Due soon","On track")))))</f>
        <v>0</v>
      </c>
    </row>
  </sheetData>
  <sheetProtection password="EC7C" sheet="1" objects="1" scenarios="1" formatCells="0" formatColumns="0" formatRows="0" insertRows="0" insertHyperlinks="0" deleteRows="0" autoFilter="0"/>
  <autoFilter ref="A38:J78"/>
  <mergeCells count="96">
    <mergeCell ref="A1:G1"/>
    <mergeCell ref="H1:J1"/>
    <mergeCell ref="A2:J2"/>
    <mergeCell ref="A3:B3"/>
    <mergeCell ref="C3:D3"/>
    <mergeCell ref="E3:F3"/>
    <mergeCell ref="G3:H3"/>
    <mergeCell ref="I3:J3"/>
    <mergeCell ref="A37:J37"/>
    <mergeCell ref="A4:J4"/>
    <mergeCell ref="A5:J5"/>
    <mergeCell ref="C6:D6"/>
    <mergeCell ref="E6:H6"/>
    <mergeCell ref="I6:J6"/>
    <mergeCell ref="C7:D7"/>
    <mergeCell ref="E7:H7"/>
    <mergeCell ref="I7:J7"/>
    <mergeCell ref="C8:D8"/>
    <mergeCell ref="E8:H8"/>
    <mergeCell ref="I8:J8"/>
    <mergeCell ref="C9:D9"/>
    <mergeCell ref="E9:H9"/>
    <mergeCell ref="I9:J9"/>
    <mergeCell ref="C10:D10"/>
    <mergeCell ref="E10:H10"/>
    <mergeCell ref="I10:J10"/>
    <mergeCell ref="C11:D11"/>
    <mergeCell ref="E11:H11"/>
    <mergeCell ref="I11:J11"/>
    <mergeCell ref="C12:D12"/>
    <mergeCell ref="E12:H12"/>
    <mergeCell ref="I12:J12"/>
    <mergeCell ref="C13:D13"/>
    <mergeCell ref="E13:H13"/>
    <mergeCell ref="I13:J13"/>
    <mergeCell ref="C14:D14"/>
    <mergeCell ref="E14:H14"/>
    <mergeCell ref="I14:J14"/>
    <mergeCell ref="C15:D15"/>
    <mergeCell ref="E15:H15"/>
    <mergeCell ref="I15:J15"/>
    <mergeCell ref="C16:D16"/>
    <mergeCell ref="E16:H16"/>
    <mergeCell ref="I16:J16"/>
    <mergeCell ref="C17:D17"/>
    <mergeCell ref="E17:H17"/>
    <mergeCell ref="I17:J17"/>
    <mergeCell ref="C18:D18"/>
    <mergeCell ref="E18:H18"/>
    <mergeCell ref="I18:J18"/>
    <mergeCell ref="C19:D19"/>
    <mergeCell ref="E19:H19"/>
    <mergeCell ref="I19:J19"/>
    <mergeCell ref="C20:D20"/>
    <mergeCell ref="E20:H20"/>
    <mergeCell ref="I20:J20"/>
    <mergeCell ref="C21:D21"/>
    <mergeCell ref="E21:H21"/>
    <mergeCell ref="I21:J21"/>
    <mergeCell ref="C22:D22"/>
    <mergeCell ref="E22:H22"/>
    <mergeCell ref="I22:J22"/>
    <mergeCell ref="C23:D23"/>
    <mergeCell ref="E23:H23"/>
    <mergeCell ref="I23:J23"/>
    <mergeCell ref="C24:D24"/>
    <mergeCell ref="E24:H24"/>
    <mergeCell ref="I24:J24"/>
    <mergeCell ref="C25:D25"/>
    <mergeCell ref="E25:H25"/>
    <mergeCell ref="I25:J25"/>
    <mergeCell ref="C26:D26"/>
    <mergeCell ref="E26:H26"/>
    <mergeCell ref="I26:J26"/>
    <mergeCell ref="C27:D27"/>
    <mergeCell ref="E27:H27"/>
    <mergeCell ref="I27:J27"/>
    <mergeCell ref="C28:D28"/>
    <mergeCell ref="E28:H28"/>
    <mergeCell ref="I28:J28"/>
    <mergeCell ref="C29:D29"/>
    <mergeCell ref="E29:H29"/>
    <mergeCell ref="I29:J29"/>
    <mergeCell ref="C30:D30"/>
    <mergeCell ref="E30:H30"/>
    <mergeCell ref="I30:J30"/>
    <mergeCell ref="A32:J32"/>
    <mergeCell ref="B33:C33"/>
    <mergeCell ref="D33:E33"/>
    <mergeCell ref="F33:J33"/>
    <mergeCell ref="B34:C34"/>
    <mergeCell ref="D34:E34"/>
    <mergeCell ref="F34:J34"/>
    <mergeCell ref="B35:C35"/>
    <mergeCell ref="D35:E35"/>
    <mergeCell ref="F35:J35"/>
  </mergeCells>
  <conditionalFormatting sqref="B10">
    <cfRule type="cellIs" dxfId="1" priority="40" operator="greaterThan">
      <formula>0</formula>
    </cfRule>
  </conditionalFormatting>
  <conditionalFormatting sqref="B11">
    <cfRule type="cellIs" dxfId="1" priority="41" operator="greaterThan">
      <formula>0</formula>
    </cfRule>
  </conditionalFormatting>
  <conditionalFormatting sqref="B12">
    <cfRule type="cellIs" dxfId="1" priority="42" operator="greaterThan">
      <formula>0</formula>
    </cfRule>
  </conditionalFormatting>
  <conditionalFormatting sqref="B13">
    <cfRule type="cellIs" dxfId="1" priority="43" operator="greaterThan">
      <formula>0</formula>
    </cfRule>
  </conditionalFormatting>
  <conditionalFormatting sqref="B14">
    <cfRule type="cellIs" dxfId="1" priority="44" operator="greaterThan">
      <formula>0</formula>
    </cfRule>
  </conditionalFormatting>
  <conditionalFormatting sqref="B15">
    <cfRule type="cellIs" dxfId="1" priority="45" operator="greaterThan">
      <formula>0</formula>
    </cfRule>
  </conditionalFormatting>
  <conditionalFormatting sqref="B16">
    <cfRule type="cellIs" dxfId="1" priority="46" operator="greaterThan">
      <formula>0</formula>
    </cfRule>
  </conditionalFormatting>
  <conditionalFormatting sqref="B17">
    <cfRule type="cellIs" dxfId="1" priority="47" operator="greaterThan">
      <formula>0</formula>
    </cfRule>
  </conditionalFormatting>
  <conditionalFormatting sqref="B18">
    <cfRule type="cellIs" dxfId="1" priority="48" operator="greaterThan">
      <formula>0</formula>
    </cfRule>
  </conditionalFormatting>
  <conditionalFormatting sqref="B19">
    <cfRule type="cellIs" dxfId="1" priority="49" operator="greaterThan">
      <formula>0</formula>
    </cfRule>
  </conditionalFormatting>
  <conditionalFormatting sqref="B20">
    <cfRule type="cellIs" dxfId="1" priority="50" operator="greaterThan">
      <formula>0</formula>
    </cfRule>
  </conditionalFormatting>
  <conditionalFormatting sqref="B21">
    <cfRule type="cellIs" dxfId="1" priority="51" operator="greaterThan">
      <formula>0</formula>
    </cfRule>
  </conditionalFormatting>
  <conditionalFormatting sqref="B22">
    <cfRule type="cellIs" dxfId="1" priority="52" operator="greaterThan">
      <formula>0</formula>
    </cfRule>
  </conditionalFormatting>
  <conditionalFormatting sqref="B23">
    <cfRule type="cellIs" dxfId="1" priority="53" operator="greaterThan">
      <formula>0</formula>
    </cfRule>
  </conditionalFormatting>
  <conditionalFormatting sqref="B24">
    <cfRule type="cellIs" dxfId="1" priority="54" operator="greaterThan">
      <formula>0</formula>
    </cfRule>
  </conditionalFormatting>
  <conditionalFormatting sqref="B25">
    <cfRule type="cellIs" dxfId="1" priority="55" operator="greaterThan">
      <formula>0</formula>
    </cfRule>
  </conditionalFormatting>
  <conditionalFormatting sqref="B26">
    <cfRule type="cellIs" dxfId="1" priority="56" operator="greaterThan">
      <formula>0</formula>
    </cfRule>
  </conditionalFormatting>
  <conditionalFormatting sqref="B27">
    <cfRule type="cellIs" dxfId="1" priority="57" operator="greaterThan">
      <formula>0</formula>
    </cfRule>
  </conditionalFormatting>
  <conditionalFormatting sqref="B28">
    <cfRule type="cellIs" dxfId="1" priority="58" operator="greaterThan">
      <formula>0</formula>
    </cfRule>
  </conditionalFormatting>
  <conditionalFormatting sqref="B29">
    <cfRule type="cellIs" dxfId="1" priority="59" operator="greaterThan">
      <formula>0</formula>
    </cfRule>
  </conditionalFormatting>
  <conditionalFormatting sqref="B30">
    <cfRule type="cellIs" dxfId="1" priority="60" operator="greaterThan">
      <formula>0</formula>
    </cfRule>
  </conditionalFormatting>
  <conditionalFormatting sqref="B7">
    <cfRule type="cellIs" dxfId="1" priority="37" operator="greaterThan">
      <formula>0</formula>
    </cfRule>
  </conditionalFormatting>
  <conditionalFormatting sqref="B8">
    <cfRule type="cellIs" dxfId="1" priority="38" operator="greaterThan">
      <formula>0</formula>
    </cfRule>
  </conditionalFormatting>
  <conditionalFormatting sqref="B9">
    <cfRule type="cellIs" dxfId="1" priority="39" operator="greaterThan">
      <formula>0</formula>
    </cfRule>
  </conditionalFormatting>
  <conditionalFormatting sqref="F34">
    <cfRule type="containsText" dxfId="1" priority="61" operator="containsText" text="EXPIRED">
      <formula>NOT(ISERROR(SEARCH("EXPIRED",F34)))</formula>
    </cfRule>
    <cfRule type="containsText" dxfId="2" priority="62" operator="containsText" text="Renew soon">
      <formula>NOT(ISERROR(SEARCH("Renew soon",F34)))</formula>
    </cfRule>
  </conditionalFormatting>
  <conditionalFormatting sqref="F35">
    <cfRule type="containsText" dxfId="1" priority="63" operator="containsText" text="EXPIRED">
      <formula>NOT(ISERROR(SEARCH("EXPIRED",F35)))</formula>
    </cfRule>
    <cfRule type="containsText" dxfId="2" priority="64" operator="containsText" text="Renew soon">
      <formula>NOT(ISERROR(SEARCH("Renew soon",F35)))</formula>
    </cfRule>
  </conditionalFormatting>
  <conditionalFormatting sqref="F39:F78">
    <cfRule type="containsText" dxfId="5" priority="1" operator="containsText" text="Urgent">
      <formula>NOT(ISERROR(SEARCH("Urgent",F39)))</formula>
    </cfRule>
    <cfRule type="containsText" dxfId="2" priority="2" operator="containsText" text="High">
      <formula>NOT(ISERROR(SEARCH("High",F39)))</formula>
    </cfRule>
  </conditionalFormatting>
  <conditionalFormatting sqref="G39:G78">
    <cfRule type="containsText" dxfId="0" priority="3" operator="containsText" text="Completed">
      <formula>NOT(ISERROR(SEARCH("Completed",G39)))</formula>
    </cfRule>
    <cfRule type="containsText" dxfId="0" priority="4" operator="containsText" text="Confirmed">
      <formula>NOT(ISERROR(SEARCH("Confirmed",G39)))</formula>
    </cfRule>
    <cfRule type="containsText" dxfId="0" priority="5" operator="containsText" text="Paid">
      <formula>NOT(ISERROR(SEARCH("Paid",G39)))</formula>
    </cfRule>
    <cfRule type="containsText" dxfId="0" priority="6" operator="containsText" text="Active">
      <formula>NOT(ISERROR(SEARCH("Active",G39)))</formula>
    </cfRule>
    <cfRule type="containsText" dxfId="0" priority="7" operator="containsText" text="Resolved">
      <formula>NOT(ISERROR(SEARCH("Resolved",G39)))</formula>
    </cfRule>
    <cfRule type="containsText" dxfId="0" priority="8" operator="containsText" text="Given">
      <formula>NOT(ISERROR(SEARCH("Given",G39)))</formula>
    </cfRule>
    <cfRule type="containsText" dxfId="2" priority="9" operator="containsText" text="Pending">
      <formula>NOT(ISERROR(SEARCH("Pending",G39)))</formula>
    </cfRule>
    <cfRule type="containsText" dxfId="2" priority="10" operator="containsText" text="Draft">
      <formula>NOT(ISERROR(SEARCH("Draft",G39)))</formula>
    </cfRule>
    <cfRule type="containsText" dxfId="2" priority="11" operator="containsText" text="Enquiry">
      <formula>NOT(ISERROR(SEARCH("Enquiry",G39)))</formula>
    </cfRule>
    <cfRule type="containsText" dxfId="2" priority="12" operator="containsText" text="Partially">
      <formula>NOT(ISERROR(SEARCH("Partially",G39)))</formula>
    </cfRule>
    <cfRule type="containsText" dxfId="3" priority="13" operator="containsText" text="In progress">
      <formula>NOT(ISERROR(SEARCH("In progress",G39)))</formula>
    </cfRule>
    <cfRule type="containsText" dxfId="3" priority="14" operator="containsText" text="Scheduled">
      <formula>NOT(ISERROR(SEARCH("Scheduled",G39)))</formula>
    </cfRule>
    <cfRule type="containsText" dxfId="3" priority="15" operator="containsText" text="Sent">
      <formula>NOT(ISERROR(SEARCH("Sent",G39)))</formula>
    </cfRule>
    <cfRule type="containsText" dxfId="1" priority="16" operator="containsText" text="Cancelled">
      <formula>NOT(ISERROR(SEARCH("Cancelled",G39)))</formula>
    </cfRule>
    <cfRule type="containsText" dxfId="1" priority="17" operator="containsText" text="No show">
      <formula>NOT(ISERROR(SEARCH("No show",G39)))</formula>
    </cfRule>
    <cfRule type="containsText" dxfId="1" priority="18" operator="containsText" text="Missed">
      <formula>NOT(ISERROR(SEARCH("Missed",G39)))</formula>
    </cfRule>
    <cfRule type="containsText" dxfId="1" priority="19" operator="containsText" text="Overdue">
      <formula>NOT(ISERROR(SEARCH("Overdue",G39)))</formula>
    </cfRule>
    <cfRule type="containsText" dxfId="4" priority="20" operator="containsText" text="Inactive">
      <formula>NOT(ISERROR(SEARCH("Inactive",G39)))</formula>
    </cfRule>
    <cfRule type="containsText" dxfId="1" priority="21" operator="containsText" text="Lost">
      <formula>NOT(ISERROR(SEARCH("Lost",G39)))</formula>
    </cfRule>
  </conditionalFormatting>
  <conditionalFormatting sqref="H39:H78">
    <cfRule type="cellIs" dxfId="1" priority="22" operator="lessThan">
      <formula>0</formula>
    </cfRule>
    <cfRule type="cellIs" dxfId="2" priority="23" operator="between">
      <formula>0</formula>
      <formula>3</formula>
    </cfRule>
  </conditionalFormatting>
  <conditionalFormatting sqref="I39:I78">
    <cfRule type="beginsWith" dxfId="0" priority="24" operator="beginsWith" text="OK">
      <formula>LEFT(I39,2)="OK"</formula>
    </cfRule>
    <cfRule type="containsText" dxfId="1" priority="25" operator="containsText" text="Overdue">
      <formula>NOT(ISERROR(SEARCH("Overdue",I39)))</formula>
    </cfRule>
    <cfRule type="containsText" dxfId="1" priority="26" operator="containsText" text="Missed">
      <formula>NOT(ISERROR(SEARCH("Missed",I39)))</formula>
    </cfRule>
    <cfRule type="containsText" dxfId="1" priority="27" operator="containsText" text="Conflict">
      <formula>NOT(ISERROR(SEARCH("Conflict",I39)))</formula>
    </cfRule>
    <cfRule type="containsText" dxfId="1" priority="28" operator="containsText" text="Expired">
      <formula>NOT(ISERROR(SEARCH("Expired",I39)))</formula>
    </cfRule>
    <cfRule type="containsText" dxfId="1" priority="29" operator="containsText" text="Duplicate">
      <formula>NOT(ISERROR(SEARCH("Duplicate",I39)))</formula>
    </cfRule>
    <cfRule type="containsText" dxfId="2" priority="30" operator="containsText" text="Action">
      <formula>NOT(ISERROR(SEARCH("Action",I39)))</formula>
    </cfRule>
    <cfRule type="containsText" dxfId="2" priority="31" operator="containsText" text="Due">
      <formula>NOT(ISERROR(SEARCH("Due",I39)))</formula>
    </cfRule>
    <cfRule type="containsText" dxfId="2" priority="32" operator="containsText" text="Check">
      <formula>NOT(ISERROR(SEARCH("Check",I39)))</formula>
    </cfRule>
    <cfRule type="containsText" dxfId="3" priority="33" operator="containsText" text="Today">
      <formula>NOT(ISERROR(SEARCH("Today",I39)))</formula>
    </cfRule>
    <cfRule type="containsText" dxfId="3" priority="34" operator="containsText" text="Upcoming">
      <formula>NOT(ISERROR(SEARCH("Upcoming",I39)))</formula>
    </cfRule>
    <cfRule type="containsText" dxfId="0" priority="35" operator="containsText" text="On track">
      <formula>NOT(ISERROR(SEARCH("On track",I39)))</formula>
    </cfRule>
    <cfRule type="containsText" dxfId="4" priority="36" operator="containsText" text="Closed">
      <formula>NOT(ISERROR(SEARCH("Closed",I39)))</formula>
    </cfRule>
  </conditionalFormatting>
  <dataValidations count="4">
    <dataValidation type="date" allowBlank="1" showInputMessage="1" showErrorMessage="1" errorTitle="Check the date" error="Enter a real date between 2000 and 2100." sqref="D39:D78">
      <formula1>36526</formula1>
      <formula2>73415</formula2>
    </dataValidation>
    <dataValidation type="list" allowBlank="1" showInputMessage="1" showErrorMessage="1" sqref="E39:E78">
      <formula1>StaffNames</formula1>
    </dataValidation>
    <dataValidation type="list" allowBlank="1" showInputMessage="1" showErrorMessage="1" sqref="F39:F78">
      <formula1>PriorityList</formula1>
    </dataValidation>
    <dataValidation type="list" allowBlank="1" showInputMessage="1" showErrorMessage="1" sqref="G39:G78">
      <formula1>TaskStatusList</formula1>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I7" location="Bookings!A1" display="Bookings"/>
    <hyperlink ref="I8" location="Bookings!A1" display="Bookings"/>
    <hyperlink ref="I9" location="Bookings!A1" display="Bookings"/>
    <hyperlink ref="I10" location="'Visit Log'!A1" display="Visit Log"/>
    <hyperlink ref="I11" location="'Visit Log'!A1" display="Visit Log"/>
    <hyperlink ref="I12" location="'Visit Log'!A1" display="Visit Log"/>
    <hyperlink ref="I13" location="Invoices!A1" display="Invoices"/>
    <hyperlink ref="I14" location="Invoices!A1" display="Invoices"/>
    <hyperlink ref="I15" location="Invoices!A1" display="Invoices"/>
    <hyperlink ref="I16" location="Payments!A1" display="Payments"/>
    <hyperlink ref="I17" location="Pets!A1" display="Pets"/>
    <hyperlink ref="I18" location="Pets!A1" display="Pets"/>
    <hyperlink ref="I19" location="'Health Log'!A1" display="Health Log"/>
    <hyperlink ref="I20" location="'Health Log'!A1" display="Health Log"/>
    <hyperlink ref="I21" location="'Health Log'!A1" display="Health Log"/>
    <hyperlink ref="I22" location="Incidents!A1" display="Incidents"/>
    <hyperlink ref="I23" location="Clients!A1" display="Clients"/>
    <hyperlink ref="I24" location="Messages!A1" display="Messages"/>
    <hyperlink ref="I25" location="Messages!A1" display="Messages"/>
    <hyperlink ref="I26" location="Inventory!A1" display="Inventory"/>
    <hyperlink ref="I27" location="Inventory!A1" display="Inventory"/>
    <hyperlink ref="I28" location="Staff!A1" display="Staff"/>
    <hyperlink ref="I29" location="Clients!A1" display="Clients"/>
    <hyperlink ref="I30" location="Expenses!A1" display="Expenses"/>
  </hyperlinks>
  <pageMargins left="0.4" right="0.4" top="0.6" bottom="0.5" header="0.3" footer="0.3"/>
  <pageSetup paperSize="9" fitToHeight="0" orientation="landscape"/>
  <headerFooter>
    <oddHeader>&amp;L&amp;"Calibri,Bold"&amp;12&amp;C&amp;"Calibri,Bold"&amp;11Reminders&amp;R&amp;"Calibri,Italic"&amp;9Pet Sitting &amp; Dog Walking Business Spreadsheet</oddHeader>
    <oddFooter>&amp;L&amp;"Calibri,Italic"&amp;8Novality Store - v1.0.0&amp;C&amp;"Calibri,Italic"&amp;8Page &amp;P of &amp;N&amp;R&amp;"Calibri,Italic"&amp;8&amp;D</oddFooter>
  </headerFooter>
  <legacyDrawing r:id="rId1"/>
</worksheet>
</file>

<file path=xl/worksheets/sheet20.xml><?xml version="1.0" encoding="utf-8"?>
<worksheet xmlns="http://schemas.openxmlformats.org/spreadsheetml/2006/main" xmlns:r="http://schemas.openxmlformats.org/officeDocument/2006/relationships">
  <sheetPr>
    <tabColor rgb="FF17313B"/>
    <pageSetUpPr fitToPage="1"/>
  </sheetPr>
  <dimension ref="A1:L138"/>
  <sheetViews>
    <sheetView showGridLines="0" workbookViewId="0">
      <pane ySplit="4" topLeftCell="A5" activePane="bottomLeft" state="frozen"/>
      <selection pane="bottomLeft"/>
    </sheetView>
  </sheetViews>
  <sheetFormatPr defaultRowHeight="15"/>
  <cols>
    <col min="1" max="1" width="30.7109375" customWidth="1"/>
    <col min="2" max="2" width="16.7109375" customWidth="1"/>
    <col min="3" max="3" width="16.7109375" customWidth="1"/>
    <col min="4" max="4" width="16.7109375" customWidth="1"/>
    <col min="5" max="5" width="3.7109375" customWidth="1"/>
    <col min="6" max="6" width="30.7109375" customWidth="1"/>
    <col min="7" max="9" width="16.7109375" customWidth="1"/>
    <col min="10" max="12" width="14.7109375" customWidth="1"/>
  </cols>
  <sheetData>
    <row r="1" spans="1:12" ht="34" customHeight="1">
      <c r="A1" s="2" t="s">
        <v>1037</v>
      </c>
      <c r="B1" s="2"/>
      <c r="C1" s="2"/>
      <c r="D1" s="2"/>
      <c r="E1" s="2"/>
      <c r="F1" s="2"/>
      <c r="G1" s="2"/>
      <c r="H1" s="2"/>
      <c r="I1" s="2"/>
      <c r="J1" s="3" t="s">
        <v>118</v>
      </c>
      <c r="K1" s="3"/>
      <c r="L1" s="3"/>
    </row>
    <row r="2" spans="1:12" ht="18" customHeight="1">
      <c r="A2" s="4" t="s">
        <v>1038</v>
      </c>
      <c r="B2" s="4"/>
      <c r="C2" s="4"/>
      <c r="D2" s="4"/>
      <c r="E2" s="4"/>
      <c r="F2" s="4"/>
      <c r="G2" s="4"/>
      <c r="H2" s="4"/>
      <c r="I2" s="4"/>
      <c r="J2" s="4"/>
      <c r="K2" s="4"/>
      <c r="L2" s="4"/>
    </row>
    <row r="3" spans="1:12" ht="16" customHeight="1">
      <c r="A3" s="10" t="s">
        <v>120</v>
      </c>
      <c r="B3" s="10"/>
      <c r="C3" s="10" t="s">
        <v>121</v>
      </c>
      <c r="D3" s="10"/>
      <c r="E3" s="10" t="s">
        <v>122</v>
      </c>
      <c r="F3" s="10"/>
      <c r="G3" s="10" t="s">
        <v>123</v>
      </c>
      <c r="H3" s="10"/>
      <c r="I3" s="10" t="s">
        <v>124</v>
      </c>
      <c r="J3" s="10"/>
      <c r="K3" s="10" t="s">
        <v>125</v>
      </c>
      <c r="L3" s="10"/>
    </row>
    <row r="5" spans="1:12" ht="20" customHeight="1">
      <c r="A5" s="6" t="s">
        <v>1039</v>
      </c>
      <c r="B5" s="6"/>
      <c r="C5" s="6"/>
      <c r="D5" s="6"/>
      <c r="E5" s="6"/>
      <c r="F5" s="6"/>
      <c r="G5" s="6"/>
      <c r="H5" s="6"/>
      <c r="I5" s="6"/>
      <c r="J5" s="6"/>
      <c r="K5" s="6"/>
      <c r="L5" s="6"/>
    </row>
    <row r="6" spans="1:12">
      <c r="A6" s="18" t="s">
        <v>928</v>
      </c>
      <c r="B6" s="39">
        <v>46023</v>
      </c>
      <c r="C6" s="18" t="s">
        <v>929</v>
      </c>
      <c r="D6" s="39">
        <v>46387</v>
      </c>
      <c r="F6" s="11" t="s">
        <v>1040</v>
      </c>
      <c r="G6" s="11"/>
      <c r="H6" s="11"/>
      <c r="I6" s="11"/>
      <c r="J6" s="11"/>
      <c r="K6" s="11"/>
      <c r="L6" s="11"/>
    </row>
    <row r="8" spans="1:12" ht="20" customHeight="1">
      <c r="A8" s="6" t="s">
        <v>1041</v>
      </c>
      <c r="B8" s="6"/>
      <c r="C8" s="6"/>
      <c r="D8" s="6"/>
      <c r="E8" s="6"/>
      <c r="F8" s="6"/>
      <c r="G8" s="6"/>
      <c r="H8" s="6"/>
      <c r="I8" s="6"/>
      <c r="J8" s="6"/>
      <c r="K8" s="6"/>
      <c r="L8" s="6"/>
    </row>
    <row r="9" spans="1:12">
      <c r="A9" s="7" t="s">
        <v>1042</v>
      </c>
      <c r="B9" s="31">
        <f>COUNTIFS(Bookings!$I$5:$I$404,"&gt;="&amp;RepFrom,Bookings!$I$5:$I$404,"&lt;="&amp;RepTo)</f>
        <v>0</v>
      </c>
      <c r="F9" s="7" t="s">
        <v>169</v>
      </c>
      <c r="G9" s="31">
        <f>COUNTIFS('Visit Log'!$C$5:$C$404,"&gt;="&amp;RepFrom,'Visit Log'!$C$5:$C$404,"&lt;="&amp;RepTo,'Visit Log'!$AE$5:$AE$404,"Completed")</f>
        <v>0</v>
      </c>
    </row>
    <row r="10" spans="1:12">
      <c r="A10" s="7" t="s">
        <v>1043</v>
      </c>
      <c r="B10" s="31">
        <f>COUNTIFS(Bookings!$I$5:$I$404,"&gt;="&amp;RepFrom,Bookings!$I$5:$I$404,"&lt;="&amp;RepTo,Bookings!$AM$5:$AM$404,"Completed")</f>
        <v>0</v>
      </c>
      <c r="F10" s="7" t="s">
        <v>1048</v>
      </c>
      <c r="G10" s="31">
        <f>COUNTIFS('Visit Log'!$C$5:$C$404,"&gt;="&amp;RepFrom,'Visit Log'!$C$5:$C$404,"&lt;="&amp;RepTo,'Visit Log'!$AE$5:$AE$404,"Missed")</f>
        <v>0</v>
      </c>
    </row>
    <row r="11" spans="1:12">
      <c r="A11" s="7" t="s">
        <v>1044</v>
      </c>
      <c r="B11" s="31">
        <f>COUNTIFS(Bookings!$I$5:$I$404,"&gt;="&amp;RepFrom,Bookings!$I$5:$I$404,"&lt;="&amp;RepTo,Bookings!$AM$5:$AM$404,"Cancelled")</f>
        <v>0</v>
      </c>
      <c r="F11" s="7" t="s">
        <v>1049</v>
      </c>
      <c r="G11" s="51">
        <f>ROUND(SUMIFS('Visit Log'!$K$5:$K$404,'Visit Log'!$C$5:$C$404,"&gt;="&amp;RepFrom,'Visit Log'!$C$5:$C$404,"&lt;="&amp;RepTo,'Visit Log'!$AE$5:$AE$404,"Completed")/60,1)</f>
        <v>0</v>
      </c>
    </row>
    <row r="12" spans="1:12">
      <c r="A12" s="7" t="s">
        <v>1045</v>
      </c>
      <c r="B12" s="31">
        <f>COUNTIFS(Bookings!$I$5:$I$404,"&gt;="&amp;RepFrom,Bookings!$I$5:$I$404,"&lt;="&amp;RepTo,Bookings!$AM$5:$AM$404,"No show")</f>
        <v>0</v>
      </c>
      <c r="F12" s="7" t="s">
        <v>1050</v>
      </c>
      <c r="G12" s="32">
        <f>SUMIFS('Visit Log'!$P$5:$P$404,'Visit Log'!$C$5:$C$404,"&gt;="&amp;RepFrom,'Visit Log'!$C$5:$C$404,"&lt;="&amp;RepTo)</f>
        <v>0</v>
      </c>
    </row>
    <row r="13" spans="1:12">
      <c r="A13" s="7" t="s">
        <v>1046</v>
      </c>
      <c r="B13" s="31">
        <f>COUNTIFS(Bookings!$I$5:$I$404,"&gt;="&amp;RepFrom,Bookings!$I$5:$I$404,"&lt;="&amp;RepTo,Bookings!$AM$5:$AM$404,"Confirmed")+COUNTIFS(Bookings!$I$5:$I$404,"&gt;="&amp;RepFrom,Bookings!$I$5:$I$404,"&lt;="&amp;RepTo,Bookings!$AM$5:$AM$404,"Pending")</f>
        <v>0</v>
      </c>
      <c r="F13" s="7" t="s">
        <v>1051</v>
      </c>
      <c r="G13" s="30">
        <f>IFERROR(COUNTIFS('Visit Log'!$C$5:$C$404,"&gt;="&amp;RepFrom,'Visit Log'!$C$5:$C$404,"&lt;="&amp;RepTo,'Visit Log'!$L$5:$L$404,"On time")/COUNTIFS('Visit Log'!$C$5:$C$404,"&gt;="&amp;RepFrom,'Visit Log'!$C$5:$C$404,"&lt;="&amp;RepTo,'Visit Log'!$AE$5:$AE$404,"Completed"),0)</f>
        <v>0</v>
      </c>
    </row>
    <row r="14" spans="1:12">
      <c r="A14" s="7" t="s">
        <v>962</v>
      </c>
      <c r="B14" s="30">
        <f>IFERROR(COUNTIFS(Bookings!$I$5:$I$404,"&gt;="&amp;RepFrom,Bookings!$I$5:$I$404,"&lt;="&amp;RepTo,Bookings!$AM$5:$AM$404,"Completed")/COUNTIFS(Bookings!$I$5:$I$404,"&gt;="&amp;RepFrom,Bookings!$I$5:$I$404,"&lt;="&amp;RepTo),0)</f>
        <v>0</v>
      </c>
      <c r="F14" s="7" t="s">
        <v>1052</v>
      </c>
      <c r="G14" s="31">
        <f>COUNTIFS('Health Log'!$B$5:$B$204,"&gt;="&amp;RepFrom,'Health Log'!$B$5:$B$204,"&lt;="&amp;RepTo,'Health Log'!$L$5:$L$204,"Given")</f>
        <v>0</v>
      </c>
    </row>
    <row r="15" spans="1:12">
      <c r="A15" s="7" t="s">
        <v>1047</v>
      </c>
      <c r="B15" s="30">
        <f>IFERROR(COUNTIFS(Bookings!$I$5:$I$404,"&gt;="&amp;RepFrom,Bookings!$I$5:$I$404,"&lt;="&amp;RepTo,Bookings!$AM$5:$AM$404,"Cancelled")/COUNTIFS(Bookings!$I$5:$I$404,"&gt;="&amp;RepFrom,Bookings!$I$5:$I$404,"&lt;="&amp;RepTo),0)</f>
        <v>0</v>
      </c>
      <c r="F15" s="7" t="s">
        <v>1010</v>
      </c>
      <c r="G15" s="31">
        <f>COUNTIFS('Health Log'!$B$5:$B$204,"&gt;="&amp;RepFrom,'Health Log'!$B$5:$B$204,"&lt;="&amp;RepTo,'Health Log'!$L$5:$L$204,"Missed")</f>
        <v>0</v>
      </c>
    </row>
    <row r="17" spans="1:12" ht="20" customHeight="1">
      <c r="A17" s="6" t="s">
        <v>1053</v>
      </c>
      <c r="B17" s="6"/>
      <c r="C17" s="6"/>
      <c r="D17" s="6"/>
      <c r="E17" s="6"/>
      <c r="F17" s="6"/>
      <c r="G17" s="6"/>
      <c r="H17" s="6"/>
      <c r="I17" s="6"/>
      <c r="J17" s="6"/>
      <c r="K17" s="6"/>
      <c r="L17" s="6"/>
    </row>
    <row r="18" spans="1:12">
      <c r="A18" s="7" t="s">
        <v>1054</v>
      </c>
      <c r="B18" s="29">
        <f>SUMIFS(Payments!$E$5:$E$304,Payments!$B$5:$B$304,"&gt;="&amp;RepFrom,Payments!$B$5:$B$304,"&lt;="&amp;RepTo)-SUMIFS(Payments!$J$5:$J$304,Payments!$B$5:$B$304,"&gt;="&amp;RepFrom,Payments!$B$5:$B$304,"&lt;="&amp;RepTo)</f>
        <v>0</v>
      </c>
      <c r="F18" s="7" t="s">
        <v>1062</v>
      </c>
      <c r="G18" s="29">
        <f>SUMIFS(Invoices!$O$5:$O$304,Invoices!$B$5:$B$304,"&gt;="&amp;RepFrom,Invoices!$B$5:$B$304,"&lt;="&amp;RepTo,Invoices!$T$5:$T$304,"&lt;&gt;Cancelled")</f>
        <v>0</v>
      </c>
    </row>
    <row r="19" spans="1:12">
      <c r="A19" s="7" t="s">
        <v>1055</v>
      </c>
      <c r="B19" s="29">
        <f>SUMIFS(Payments!$H$5:$H$304,Payments!$B$5:$B$304,"&gt;="&amp;RepFrom,Payments!$B$5:$B$304,"&lt;="&amp;RepTo)</f>
        <v>0</v>
      </c>
      <c r="F19" s="7" t="s">
        <v>1063</v>
      </c>
      <c r="G19" s="29">
        <f>SUMIFS(Payments!$L$5:$L$304,Payments!$B$5:$B$304,"&gt;="&amp;RepFrom,Payments!$B$5:$B$304,"&lt;="&amp;RepTo)</f>
        <v>0</v>
      </c>
    </row>
    <row r="20" spans="1:12">
      <c r="A20" s="7" t="s">
        <v>1056</v>
      </c>
      <c r="B20" s="29">
        <f>SUMIFS(Payments!$I$5:$I$304,Payments!$B$5:$B$304,"&gt;="&amp;RepFrom,Payments!$B$5:$B$304,"&lt;="&amp;RepTo)</f>
        <v>0</v>
      </c>
      <c r="F20" s="7" t="s">
        <v>1064</v>
      </c>
      <c r="G20" s="29">
        <f>SUMIFS(Payments!$J$5:$J$304,Payments!$B$5:$B$304,"&gt;="&amp;RepFrom,Payments!$B$5:$B$304,"&lt;="&amp;RepTo)</f>
        <v>0</v>
      </c>
    </row>
    <row r="21" spans="1:12">
      <c r="A21" s="7" t="s">
        <v>1057</v>
      </c>
      <c r="B21" s="29">
        <f>SUM(B18:B20)</f>
        <v>0</v>
      </c>
      <c r="F21" s="7" t="s">
        <v>1065</v>
      </c>
      <c r="G21" s="29">
        <f>SUMIFS(Invoices!$S$5:$S$304,Invoices!$T$5:$T$304,"&lt;&gt;Cancelled")</f>
        <v>0</v>
      </c>
    </row>
    <row r="22" spans="1:12">
      <c r="A22" s="7" t="s">
        <v>1058</v>
      </c>
      <c r="B22" s="29">
        <f>SUMIFS(Expenses!$F$5:$F$304,Expenses!$B$5:$B$304,"&gt;="&amp;RepFrom,Expenses!$B$5:$B$304,"&lt;="&amp;RepTo,Expenses!$J$5:$J$304,"&lt;&gt;Personal",Expenses!$C$5:$C$304,"Staff wages")+SUMIFS(Expenses!$F$5:$F$304,Expenses!$B$5:$B$304,"&gt;="&amp;RepFrom,Expenses!$B$5:$B$304,"&lt;="&amp;RepTo,Expenses!$J$5:$J$304,"&lt;&gt;Personal",Expenses!$C$5:$C$304,"Contractor payments")</f>
        <v>0</v>
      </c>
      <c r="F22" s="7" t="s">
        <v>1066</v>
      </c>
      <c r="G22" s="29">
        <f>SUMIFS(Invoices!$S$5:$S$304,Invoices!$U$5:$U$304,"Overdue")+SUMIFS(Invoices!$S$5:$S$304,Invoices!$U$5:$U$304,"Overdue - part paid")</f>
        <v>0</v>
      </c>
    </row>
    <row r="23" spans="1:12">
      <c r="A23" s="7" t="s">
        <v>1059</v>
      </c>
      <c r="B23" s="29">
        <f>B21-B22</f>
        <v>0</v>
      </c>
      <c r="F23" s="7" t="s">
        <v>1067</v>
      </c>
      <c r="G23" s="29">
        <f>SUMIFS(Invoices!$N$5:$N$304,Invoices!$B$5:$B$304,"&gt;="&amp;RepFrom,Invoices!$B$5:$B$304,"&lt;="&amp;RepTo,Invoices!$T$5:$T$304,"&lt;&gt;Cancelled")</f>
        <v>0</v>
      </c>
    </row>
    <row r="24" spans="1:12">
      <c r="A24" s="7" t="s">
        <v>1060</v>
      </c>
      <c r="B24" s="29">
        <f>SUMIFS(Expenses!$F$5:$F$304,Expenses!$B$5:$B$304,"&gt;="&amp;RepFrom,Expenses!$B$5:$B$304,"&lt;="&amp;RepTo,Expenses!$J$5:$J$304,"&lt;&gt;Personal")-B22</f>
        <v>0</v>
      </c>
      <c r="F24" s="7" t="s">
        <v>1068</v>
      </c>
      <c r="G24" s="29">
        <f>SUMIFS(Expenses!$G$5:$G$304,Expenses!$B$5:$B$304,"&gt;="&amp;RepFrom,Expenses!$B$5:$B$304,"&lt;="&amp;RepTo,Expenses!$J$5:$J$304,"&lt;&gt;Personal")</f>
        <v>0</v>
      </c>
    </row>
    <row r="25" spans="1:12">
      <c r="A25" s="7" t="s">
        <v>1061</v>
      </c>
      <c r="B25" s="29">
        <f>B23-B24</f>
        <v>0</v>
      </c>
      <c r="F25" s="7" t="s">
        <v>154</v>
      </c>
      <c r="G25" s="29">
        <f>SUMIFS(Mileage!$U$5:$U$304,Mileage!$B$5:$B$304,"&gt;="&amp;RepFrom,Mileage!$B$5:$B$304,"&lt;="&amp;RepTo)</f>
        <v>0</v>
      </c>
    </row>
    <row r="26" spans="1:12">
      <c r="A26" s="7" t="s">
        <v>148</v>
      </c>
      <c r="B26" s="30">
        <f>IFERROR(B25/B21,0)</f>
        <v>0</v>
      </c>
      <c r="F26" s="7" t="s">
        <v>1069</v>
      </c>
      <c r="G26" s="32">
        <f>SUMIFS(Mileage!$M$5:$M$304,Mileage!$B$5:$B$304,"&gt;="&amp;RepFrom,Mileage!$B$5:$B$304,"&lt;="&amp;RepTo,Mileage!$N$5:$N$304,"Business")</f>
        <v>0</v>
      </c>
    </row>
    <row r="27" spans="1:12">
      <c r="A27" s="7" t="s">
        <v>156</v>
      </c>
      <c r="B27" s="29">
        <f>MAX(0,B25)*TaxReservePct</f>
        <v>0</v>
      </c>
    </row>
    <row r="29" spans="1:12" ht="20" customHeight="1">
      <c r="A29" s="6" t="s">
        <v>1070</v>
      </c>
      <c r="B29" s="6"/>
      <c r="C29" s="6"/>
      <c r="D29" s="6"/>
      <c r="E29" s="6"/>
      <c r="F29" s="6"/>
      <c r="G29" s="6"/>
      <c r="H29" s="6"/>
      <c r="I29" s="6"/>
      <c r="J29" s="6"/>
      <c r="K29" s="6"/>
      <c r="L29" s="6"/>
    </row>
    <row r="30" spans="1:12" ht="26" customHeight="1">
      <c r="A30" s="8" t="s">
        <v>198</v>
      </c>
      <c r="B30" s="9" t="s">
        <v>27</v>
      </c>
      <c r="C30" s="9" t="s">
        <v>186</v>
      </c>
      <c r="D30" s="9" t="s">
        <v>1071</v>
      </c>
      <c r="E30" s="9" t="s">
        <v>1072</v>
      </c>
      <c r="F30" s="9" t="s">
        <v>188</v>
      </c>
    </row>
    <row r="31" spans="1:12">
      <c r="A31" s="28">
        <f>IF(Calc!$I$5="","",Calc!$I$5)</f>
        <v>0</v>
      </c>
      <c r="B31" s="31">
        <f>IF(Calc!$I$5="","",Calc!$M$5)</f>
        <v>0</v>
      </c>
      <c r="C31" s="29">
        <f>IF(Calc!$I$5="","",Calc!$L$5)</f>
        <v>0</v>
      </c>
      <c r="D31" s="29">
        <f>IF(Calc!$I$5="","",Calc!$N$5)</f>
        <v>0</v>
      </c>
      <c r="E31" s="29">
        <f>IF(Calc!$I$5="","",Calc!$O$5)</f>
        <v>0</v>
      </c>
      <c r="F31" s="30">
        <f>IFERROR(Calc!$O$5/Calc!$L$5,"")</f>
        <v>0</v>
      </c>
    </row>
    <row r="32" spans="1:12">
      <c r="A32" s="28">
        <f>IF(Calc!$I$6="","",Calc!$I$6)</f>
        <v>0</v>
      </c>
      <c r="B32" s="31">
        <f>IF(Calc!$I$6="","",Calc!$M$6)</f>
        <v>0</v>
      </c>
      <c r="C32" s="29">
        <f>IF(Calc!$I$6="","",Calc!$L$6)</f>
        <v>0</v>
      </c>
      <c r="D32" s="29">
        <f>IF(Calc!$I$6="","",Calc!$N$6)</f>
        <v>0</v>
      </c>
      <c r="E32" s="29">
        <f>IF(Calc!$I$6="","",Calc!$O$6)</f>
        <v>0</v>
      </c>
      <c r="F32" s="30">
        <f>IFERROR(Calc!$O$6/Calc!$L$6,"")</f>
        <v>0</v>
      </c>
    </row>
    <row r="33" spans="1:12">
      <c r="A33" s="28">
        <f>IF(Calc!$I$7="","",Calc!$I$7)</f>
        <v>0</v>
      </c>
      <c r="B33" s="31">
        <f>IF(Calc!$I$7="","",Calc!$M$7)</f>
        <v>0</v>
      </c>
      <c r="C33" s="29">
        <f>IF(Calc!$I$7="","",Calc!$L$7)</f>
        <v>0</v>
      </c>
      <c r="D33" s="29">
        <f>IF(Calc!$I$7="","",Calc!$N$7)</f>
        <v>0</v>
      </c>
      <c r="E33" s="29">
        <f>IF(Calc!$I$7="","",Calc!$O$7)</f>
        <v>0</v>
      </c>
      <c r="F33" s="30">
        <f>IFERROR(Calc!$O$7/Calc!$L$7,"")</f>
        <v>0</v>
      </c>
    </row>
    <row r="34" spans="1:12">
      <c r="A34" s="28">
        <f>IF(Calc!$I$8="","",Calc!$I$8)</f>
        <v>0</v>
      </c>
      <c r="B34" s="31">
        <f>IF(Calc!$I$8="","",Calc!$M$8)</f>
        <v>0</v>
      </c>
      <c r="C34" s="29">
        <f>IF(Calc!$I$8="","",Calc!$L$8)</f>
        <v>0</v>
      </c>
      <c r="D34" s="29">
        <f>IF(Calc!$I$8="","",Calc!$N$8)</f>
        <v>0</v>
      </c>
      <c r="E34" s="29">
        <f>IF(Calc!$I$8="","",Calc!$O$8)</f>
        <v>0</v>
      </c>
      <c r="F34" s="30">
        <f>IFERROR(Calc!$O$8/Calc!$L$8,"")</f>
        <v>0</v>
      </c>
    </row>
    <row r="35" spans="1:12">
      <c r="A35" s="28">
        <f>IF(Calc!$I$9="","",Calc!$I$9)</f>
        <v>0</v>
      </c>
      <c r="B35" s="31">
        <f>IF(Calc!$I$9="","",Calc!$M$9)</f>
        <v>0</v>
      </c>
      <c r="C35" s="29">
        <f>IF(Calc!$I$9="","",Calc!$L$9)</f>
        <v>0</v>
      </c>
      <c r="D35" s="29">
        <f>IF(Calc!$I$9="","",Calc!$N$9)</f>
        <v>0</v>
      </c>
      <c r="E35" s="29">
        <f>IF(Calc!$I$9="","",Calc!$O$9)</f>
        <v>0</v>
      </c>
      <c r="F35" s="30">
        <f>IFERROR(Calc!$O$9/Calc!$L$9,"")</f>
        <v>0</v>
      </c>
    </row>
    <row r="36" spans="1:12">
      <c r="A36" s="28">
        <f>IF(Calc!$I$10="","",Calc!$I$10)</f>
        <v>0</v>
      </c>
      <c r="B36" s="31">
        <f>IF(Calc!$I$10="","",Calc!$M$10)</f>
        <v>0</v>
      </c>
      <c r="C36" s="29">
        <f>IF(Calc!$I$10="","",Calc!$L$10)</f>
        <v>0</v>
      </c>
      <c r="D36" s="29">
        <f>IF(Calc!$I$10="","",Calc!$N$10)</f>
        <v>0</v>
      </c>
      <c r="E36" s="29">
        <f>IF(Calc!$I$10="","",Calc!$O$10)</f>
        <v>0</v>
      </c>
      <c r="F36" s="30">
        <f>IFERROR(Calc!$O$10/Calc!$L$10,"")</f>
        <v>0</v>
      </c>
    </row>
    <row r="37" spans="1:12">
      <c r="A37" s="28">
        <f>IF(Calc!$I$11="","",Calc!$I$11)</f>
        <v>0</v>
      </c>
      <c r="B37" s="31">
        <f>IF(Calc!$I$11="","",Calc!$M$11)</f>
        <v>0</v>
      </c>
      <c r="C37" s="29">
        <f>IF(Calc!$I$11="","",Calc!$L$11)</f>
        <v>0</v>
      </c>
      <c r="D37" s="29">
        <f>IF(Calc!$I$11="","",Calc!$N$11)</f>
        <v>0</v>
      </c>
      <c r="E37" s="29">
        <f>IF(Calc!$I$11="","",Calc!$O$11)</f>
        <v>0</v>
      </c>
      <c r="F37" s="30">
        <f>IFERROR(Calc!$O$11/Calc!$L$11,"")</f>
        <v>0</v>
      </c>
    </row>
    <row r="38" spans="1:12">
      <c r="A38" s="28">
        <f>IF(Calc!$I$12="","",Calc!$I$12)</f>
        <v>0</v>
      </c>
      <c r="B38" s="31">
        <f>IF(Calc!$I$12="","",Calc!$M$12)</f>
        <v>0</v>
      </c>
      <c r="C38" s="29">
        <f>IF(Calc!$I$12="","",Calc!$L$12)</f>
        <v>0</v>
      </c>
      <c r="D38" s="29">
        <f>IF(Calc!$I$12="","",Calc!$N$12)</f>
        <v>0</v>
      </c>
      <c r="E38" s="29">
        <f>IF(Calc!$I$12="","",Calc!$O$12)</f>
        <v>0</v>
      </c>
      <c r="F38" s="30">
        <f>IFERROR(Calc!$O$12/Calc!$L$12,"")</f>
        <v>0</v>
      </c>
    </row>
    <row r="39" spans="1:12">
      <c r="A39" s="28">
        <f>IF(Calc!$I$13="","",Calc!$I$13)</f>
        <v>0</v>
      </c>
      <c r="B39" s="31">
        <f>IF(Calc!$I$13="","",Calc!$M$13)</f>
        <v>0</v>
      </c>
      <c r="C39" s="29">
        <f>IF(Calc!$I$13="","",Calc!$L$13)</f>
        <v>0</v>
      </c>
      <c r="D39" s="29">
        <f>IF(Calc!$I$13="","",Calc!$N$13)</f>
        <v>0</v>
      </c>
      <c r="E39" s="29">
        <f>IF(Calc!$I$13="","",Calc!$O$13)</f>
        <v>0</v>
      </c>
      <c r="F39" s="30">
        <f>IFERROR(Calc!$O$13/Calc!$L$13,"")</f>
        <v>0</v>
      </c>
    </row>
    <row r="40" spans="1:12">
      <c r="A40" s="28">
        <f>IF(Calc!$I$14="","",Calc!$I$14)</f>
        <v>0</v>
      </c>
      <c r="B40" s="31">
        <f>IF(Calc!$I$14="","",Calc!$M$14)</f>
        <v>0</v>
      </c>
      <c r="C40" s="29">
        <f>IF(Calc!$I$14="","",Calc!$L$14)</f>
        <v>0</v>
      </c>
      <c r="D40" s="29">
        <f>IF(Calc!$I$14="","",Calc!$N$14)</f>
        <v>0</v>
      </c>
      <c r="E40" s="29">
        <f>IF(Calc!$I$14="","",Calc!$O$14)</f>
        <v>0</v>
      </c>
      <c r="F40" s="30">
        <f>IFERROR(Calc!$O$14/Calc!$L$14,"")</f>
        <v>0</v>
      </c>
    </row>
    <row r="41" spans="1:12">
      <c r="A41" s="28">
        <f>IF(Calc!$I$15="","",Calc!$I$15)</f>
        <v>0</v>
      </c>
      <c r="B41" s="31">
        <f>IF(Calc!$I$15="","",Calc!$M$15)</f>
        <v>0</v>
      </c>
      <c r="C41" s="29">
        <f>IF(Calc!$I$15="","",Calc!$L$15)</f>
        <v>0</v>
      </c>
      <c r="D41" s="29">
        <f>IF(Calc!$I$15="","",Calc!$N$15)</f>
        <v>0</v>
      </c>
      <c r="E41" s="29">
        <f>IF(Calc!$I$15="","",Calc!$O$15)</f>
        <v>0</v>
      </c>
      <c r="F41" s="30">
        <f>IFERROR(Calc!$O$15/Calc!$L$15,"")</f>
        <v>0</v>
      </c>
    </row>
    <row r="42" spans="1:12">
      <c r="A42" s="28">
        <f>IF(Calc!$I$16="","",Calc!$I$16)</f>
        <v>0</v>
      </c>
      <c r="B42" s="31">
        <f>IF(Calc!$I$16="","",Calc!$M$16)</f>
        <v>0</v>
      </c>
      <c r="C42" s="29">
        <f>IF(Calc!$I$16="","",Calc!$L$16)</f>
        <v>0</v>
      </c>
      <c r="D42" s="29">
        <f>IF(Calc!$I$16="","",Calc!$N$16)</f>
        <v>0</v>
      </c>
      <c r="E42" s="29">
        <f>IF(Calc!$I$16="","",Calc!$O$16)</f>
        <v>0</v>
      </c>
      <c r="F42" s="30">
        <f>IFERROR(Calc!$O$16/Calc!$L$16,"")</f>
        <v>0</v>
      </c>
    </row>
    <row r="43" spans="1:12">
      <c r="A43" s="28">
        <f>IF(Calc!$I$17="","",Calc!$I$17)</f>
        <v>0</v>
      </c>
      <c r="B43" s="31">
        <f>IF(Calc!$I$17="","",Calc!$M$17)</f>
        <v>0</v>
      </c>
      <c r="C43" s="29">
        <f>IF(Calc!$I$17="","",Calc!$L$17)</f>
        <v>0</v>
      </c>
      <c r="D43" s="29">
        <f>IF(Calc!$I$17="","",Calc!$N$17)</f>
        <v>0</v>
      </c>
      <c r="E43" s="29">
        <f>IF(Calc!$I$17="","",Calc!$O$17)</f>
        <v>0</v>
      </c>
      <c r="F43" s="30">
        <f>IFERROR(Calc!$O$17/Calc!$L$17,"")</f>
        <v>0</v>
      </c>
    </row>
    <row r="44" spans="1:12">
      <c r="A44" s="28">
        <f>IF(Calc!$I$18="","",Calc!$I$18)</f>
        <v>0</v>
      </c>
      <c r="B44" s="31">
        <f>IF(Calc!$I$18="","",Calc!$M$18)</f>
        <v>0</v>
      </c>
      <c r="C44" s="29">
        <f>IF(Calc!$I$18="","",Calc!$L$18)</f>
        <v>0</v>
      </c>
      <c r="D44" s="29">
        <f>IF(Calc!$I$18="","",Calc!$N$18)</f>
        <v>0</v>
      </c>
      <c r="E44" s="29">
        <f>IF(Calc!$I$18="","",Calc!$O$18)</f>
        <v>0</v>
      </c>
      <c r="F44" s="30">
        <f>IFERROR(Calc!$O$18/Calc!$L$18,"")</f>
        <v>0</v>
      </c>
    </row>
    <row r="45" spans="1:12">
      <c r="A45" s="28">
        <f>IF(Calc!$I$19="","",Calc!$I$19)</f>
        <v>0</v>
      </c>
      <c r="B45" s="31">
        <f>IF(Calc!$I$19="","",Calc!$M$19)</f>
        <v>0</v>
      </c>
      <c r="C45" s="29">
        <f>IF(Calc!$I$19="","",Calc!$L$19)</f>
        <v>0</v>
      </c>
      <c r="D45" s="29">
        <f>IF(Calc!$I$19="","",Calc!$N$19)</f>
        <v>0</v>
      </c>
      <c r="E45" s="29">
        <f>IF(Calc!$I$19="","",Calc!$O$19)</f>
        <v>0</v>
      </c>
      <c r="F45" s="30">
        <f>IFERROR(Calc!$O$19/Calc!$L$19,"")</f>
        <v>0</v>
      </c>
    </row>
    <row r="46" spans="1:12">
      <c r="A46" s="28">
        <f>IF(Calc!$I$20="","",Calc!$I$20)</f>
        <v>0</v>
      </c>
      <c r="B46" s="31">
        <f>IF(Calc!$I$20="","",Calc!$M$20)</f>
        <v>0</v>
      </c>
      <c r="C46" s="29">
        <f>IF(Calc!$I$20="","",Calc!$L$20)</f>
        <v>0</v>
      </c>
      <c r="D46" s="29">
        <f>IF(Calc!$I$20="","",Calc!$N$20)</f>
        <v>0</v>
      </c>
      <c r="E46" s="29">
        <f>IF(Calc!$I$20="","",Calc!$O$20)</f>
        <v>0</v>
      </c>
      <c r="F46" s="30">
        <f>IFERROR(Calc!$O$20/Calc!$L$20,"")</f>
        <v>0</v>
      </c>
    </row>
    <row r="48" spans="1:12" ht="20" customHeight="1">
      <c r="A48" s="6" t="s">
        <v>1073</v>
      </c>
      <c r="B48" s="6"/>
      <c r="C48" s="6"/>
      <c r="D48" s="6"/>
      <c r="E48" s="6"/>
      <c r="F48" s="6"/>
      <c r="G48" s="6"/>
      <c r="H48" s="6"/>
      <c r="I48" s="6"/>
      <c r="J48" s="6"/>
      <c r="K48" s="6"/>
      <c r="L48" s="6"/>
    </row>
    <row r="49" spans="1:9">
      <c r="A49" s="37" t="s">
        <v>1074</v>
      </c>
      <c r="B49" s="37"/>
      <c r="C49" s="37"/>
      <c r="D49" s="37"/>
      <c r="F49" s="37" t="s">
        <v>1075</v>
      </c>
      <c r="G49" s="37"/>
      <c r="H49" s="37"/>
      <c r="I49" s="37"/>
    </row>
    <row r="50" spans="1:9" ht="26" customHeight="1">
      <c r="A50" s="8" t="s">
        <v>206</v>
      </c>
      <c r="B50" s="9" t="s">
        <v>207</v>
      </c>
      <c r="C50" s="9" t="s">
        <v>186</v>
      </c>
      <c r="D50" s="9" t="s">
        <v>27</v>
      </c>
      <c r="F50" s="8" t="s">
        <v>206</v>
      </c>
      <c r="G50" s="9" t="s">
        <v>207</v>
      </c>
      <c r="H50" s="9" t="s">
        <v>1076</v>
      </c>
      <c r="I50" s="9" t="s">
        <v>1077</v>
      </c>
    </row>
    <row r="51" spans="1:9">
      <c r="A51" s="31">
        <v>1</v>
      </c>
      <c r="B51" s="28">
        <f>IFERROR(INDEX(Calc!$A$5:$A$254,MATCH(LARGE(Calc!$E$5:$E$254,1),Calc!$E$5:$E$254,0)),"")</f>
        <v>0</v>
      </c>
      <c r="C51" s="29">
        <f>IFERROR(INDEX(Calc!$D$5:$D$254,MATCH(LARGE(Calc!$E$5:$E$254,1),Calc!$E$5:$E$254,0)),"")</f>
        <v>0</v>
      </c>
      <c r="D51" s="31">
        <f>IFERROR(INDEX(Calc!$H$5:$H$254,MATCH(LARGE(Calc!$E$5:$E$254,1),Calc!$E$5:$E$254,0)),"")</f>
        <v>0</v>
      </c>
      <c r="F51" s="31">
        <v>1</v>
      </c>
      <c r="G51" s="28">
        <f>IFERROR(INDEX(Calc!$A$5:$A$254,MATCH(LARGE(Calc!$G$5:$G$254,1),Calc!$G$5:$G$254,0)),"")</f>
        <v>0</v>
      </c>
      <c r="H51" s="29">
        <f>IFERROR(INDEX(Calc!$F$5:$F$254,MATCH(LARGE(Calc!$G$5:$G$254,1),Calc!$G$5:$G$254,0)),"")</f>
        <v>0</v>
      </c>
      <c r="I51" s="31">
        <f>IFERROR(COUNTIFS(Invoices!$D$5:$D$304,INDEX(Calc!$A$5:$A$254,MATCH(LARGE(Calc!$G$5:$G$254,1),Calc!$G$5:$G$254,0)),Invoices!$S$5:$S$304,"&gt;0.004"),"")</f>
        <v>0</v>
      </c>
    </row>
    <row r="52" spans="1:9">
      <c r="A52" s="31">
        <v>2</v>
      </c>
      <c r="B52" s="28">
        <f>IFERROR(INDEX(Calc!$A$5:$A$254,MATCH(LARGE(Calc!$E$5:$E$254,2),Calc!$E$5:$E$254,0)),"")</f>
        <v>0</v>
      </c>
      <c r="C52" s="29">
        <f>IFERROR(INDEX(Calc!$D$5:$D$254,MATCH(LARGE(Calc!$E$5:$E$254,2),Calc!$E$5:$E$254,0)),"")</f>
        <v>0</v>
      </c>
      <c r="D52" s="31">
        <f>IFERROR(INDEX(Calc!$H$5:$H$254,MATCH(LARGE(Calc!$E$5:$E$254,2),Calc!$E$5:$E$254,0)),"")</f>
        <v>0</v>
      </c>
      <c r="F52" s="31">
        <v>2</v>
      </c>
      <c r="G52" s="28">
        <f>IFERROR(INDEX(Calc!$A$5:$A$254,MATCH(LARGE(Calc!$G$5:$G$254,2),Calc!$G$5:$G$254,0)),"")</f>
        <v>0</v>
      </c>
      <c r="H52" s="29">
        <f>IFERROR(INDEX(Calc!$F$5:$F$254,MATCH(LARGE(Calc!$G$5:$G$254,2),Calc!$G$5:$G$254,0)),"")</f>
        <v>0</v>
      </c>
      <c r="I52" s="31">
        <f>IFERROR(COUNTIFS(Invoices!$D$5:$D$304,INDEX(Calc!$A$5:$A$254,MATCH(LARGE(Calc!$G$5:$G$254,2),Calc!$G$5:$G$254,0)),Invoices!$S$5:$S$304,"&gt;0.004"),"")</f>
        <v>0</v>
      </c>
    </row>
    <row r="53" spans="1:9">
      <c r="A53" s="31">
        <v>3</v>
      </c>
      <c r="B53" s="28">
        <f>IFERROR(INDEX(Calc!$A$5:$A$254,MATCH(LARGE(Calc!$E$5:$E$254,3),Calc!$E$5:$E$254,0)),"")</f>
        <v>0</v>
      </c>
      <c r="C53" s="29">
        <f>IFERROR(INDEX(Calc!$D$5:$D$254,MATCH(LARGE(Calc!$E$5:$E$254,3),Calc!$E$5:$E$254,0)),"")</f>
        <v>0</v>
      </c>
      <c r="D53" s="31">
        <f>IFERROR(INDEX(Calc!$H$5:$H$254,MATCH(LARGE(Calc!$E$5:$E$254,3),Calc!$E$5:$E$254,0)),"")</f>
        <v>0</v>
      </c>
      <c r="F53" s="31">
        <v>3</v>
      </c>
      <c r="G53" s="28">
        <f>IFERROR(INDEX(Calc!$A$5:$A$254,MATCH(LARGE(Calc!$G$5:$G$254,3),Calc!$G$5:$G$254,0)),"")</f>
        <v>0</v>
      </c>
      <c r="H53" s="29">
        <f>IFERROR(INDEX(Calc!$F$5:$F$254,MATCH(LARGE(Calc!$G$5:$G$254,3),Calc!$G$5:$G$254,0)),"")</f>
        <v>0</v>
      </c>
      <c r="I53" s="31">
        <f>IFERROR(COUNTIFS(Invoices!$D$5:$D$304,INDEX(Calc!$A$5:$A$254,MATCH(LARGE(Calc!$G$5:$G$254,3),Calc!$G$5:$G$254,0)),Invoices!$S$5:$S$304,"&gt;0.004"),"")</f>
        <v>0</v>
      </c>
    </row>
    <row r="54" spans="1:9">
      <c r="A54" s="31">
        <v>4</v>
      </c>
      <c r="B54" s="28">
        <f>IFERROR(INDEX(Calc!$A$5:$A$254,MATCH(LARGE(Calc!$E$5:$E$254,4),Calc!$E$5:$E$254,0)),"")</f>
        <v>0</v>
      </c>
      <c r="C54" s="29">
        <f>IFERROR(INDEX(Calc!$D$5:$D$254,MATCH(LARGE(Calc!$E$5:$E$254,4),Calc!$E$5:$E$254,0)),"")</f>
        <v>0</v>
      </c>
      <c r="D54" s="31">
        <f>IFERROR(INDEX(Calc!$H$5:$H$254,MATCH(LARGE(Calc!$E$5:$E$254,4),Calc!$E$5:$E$254,0)),"")</f>
        <v>0</v>
      </c>
      <c r="F54" s="31">
        <v>4</v>
      </c>
      <c r="G54" s="28">
        <f>IFERROR(INDEX(Calc!$A$5:$A$254,MATCH(LARGE(Calc!$G$5:$G$254,4),Calc!$G$5:$G$254,0)),"")</f>
        <v>0</v>
      </c>
      <c r="H54" s="29">
        <f>IFERROR(INDEX(Calc!$F$5:$F$254,MATCH(LARGE(Calc!$G$5:$G$254,4),Calc!$G$5:$G$254,0)),"")</f>
        <v>0</v>
      </c>
      <c r="I54" s="31">
        <f>IFERROR(COUNTIFS(Invoices!$D$5:$D$304,INDEX(Calc!$A$5:$A$254,MATCH(LARGE(Calc!$G$5:$G$254,4),Calc!$G$5:$G$254,0)),Invoices!$S$5:$S$304,"&gt;0.004"),"")</f>
        <v>0</v>
      </c>
    </row>
    <row r="55" spans="1:9">
      <c r="A55" s="31">
        <v>5</v>
      </c>
      <c r="B55" s="28">
        <f>IFERROR(INDEX(Calc!$A$5:$A$254,MATCH(LARGE(Calc!$E$5:$E$254,5),Calc!$E$5:$E$254,0)),"")</f>
        <v>0</v>
      </c>
      <c r="C55" s="29">
        <f>IFERROR(INDEX(Calc!$D$5:$D$254,MATCH(LARGE(Calc!$E$5:$E$254,5),Calc!$E$5:$E$254,0)),"")</f>
        <v>0</v>
      </c>
      <c r="D55" s="31">
        <f>IFERROR(INDEX(Calc!$H$5:$H$254,MATCH(LARGE(Calc!$E$5:$E$254,5),Calc!$E$5:$E$254,0)),"")</f>
        <v>0</v>
      </c>
      <c r="F55" s="31">
        <v>5</v>
      </c>
      <c r="G55" s="28">
        <f>IFERROR(INDEX(Calc!$A$5:$A$254,MATCH(LARGE(Calc!$G$5:$G$254,5),Calc!$G$5:$G$254,0)),"")</f>
        <v>0</v>
      </c>
      <c r="H55" s="29">
        <f>IFERROR(INDEX(Calc!$F$5:$F$254,MATCH(LARGE(Calc!$G$5:$G$254,5),Calc!$G$5:$G$254,0)),"")</f>
        <v>0</v>
      </c>
      <c r="I55" s="31">
        <f>IFERROR(COUNTIFS(Invoices!$D$5:$D$304,INDEX(Calc!$A$5:$A$254,MATCH(LARGE(Calc!$G$5:$G$254,5),Calc!$G$5:$G$254,0)),Invoices!$S$5:$S$304,"&gt;0.004"),"")</f>
        <v>0</v>
      </c>
    </row>
    <row r="56" spans="1:9">
      <c r="A56" s="31">
        <v>6</v>
      </c>
      <c r="B56" s="28">
        <f>IFERROR(INDEX(Calc!$A$5:$A$254,MATCH(LARGE(Calc!$E$5:$E$254,6),Calc!$E$5:$E$254,0)),"")</f>
        <v>0</v>
      </c>
      <c r="C56" s="29">
        <f>IFERROR(INDEX(Calc!$D$5:$D$254,MATCH(LARGE(Calc!$E$5:$E$254,6),Calc!$E$5:$E$254,0)),"")</f>
        <v>0</v>
      </c>
      <c r="D56" s="31">
        <f>IFERROR(INDEX(Calc!$H$5:$H$254,MATCH(LARGE(Calc!$E$5:$E$254,6),Calc!$E$5:$E$254,0)),"")</f>
        <v>0</v>
      </c>
      <c r="F56" s="31">
        <v>6</v>
      </c>
      <c r="G56" s="28">
        <f>IFERROR(INDEX(Calc!$A$5:$A$254,MATCH(LARGE(Calc!$G$5:$G$254,6),Calc!$G$5:$G$254,0)),"")</f>
        <v>0</v>
      </c>
      <c r="H56" s="29">
        <f>IFERROR(INDEX(Calc!$F$5:$F$254,MATCH(LARGE(Calc!$G$5:$G$254,6),Calc!$G$5:$G$254,0)),"")</f>
        <v>0</v>
      </c>
      <c r="I56" s="31">
        <f>IFERROR(COUNTIFS(Invoices!$D$5:$D$304,INDEX(Calc!$A$5:$A$254,MATCH(LARGE(Calc!$G$5:$G$254,6),Calc!$G$5:$G$254,0)),Invoices!$S$5:$S$304,"&gt;0.004"),"")</f>
        <v>0</v>
      </c>
    </row>
    <row r="57" spans="1:9">
      <c r="A57" s="31">
        <v>7</v>
      </c>
      <c r="B57" s="28">
        <f>IFERROR(INDEX(Calc!$A$5:$A$254,MATCH(LARGE(Calc!$E$5:$E$254,7),Calc!$E$5:$E$254,0)),"")</f>
        <v>0</v>
      </c>
      <c r="C57" s="29">
        <f>IFERROR(INDEX(Calc!$D$5:$D$254,MATCH(LARGE(Calc!$E$5:$E$254,7),Calc!$E$5:$E$254,0)),"")</f>
        <v>0</v>
      </c>
      <c r="D57" s="31">
        <f>IFERROR(INDEX(Calc!$H$5:$H$254,MATCH(LARGE(Calc!$E$5:$E$254,7),Calc!$E$5:$E$254,0)),"")</f>
        <v>0</v>
      </c>
      <c r="F57" s="31">
        <v>7</v>
      </c>
      <c r="G57" s="28">
        <f>IFERROR(INDEX(Calc!$A$5:$A$254,MATCH(LARGE(Calc!$G$5:$G$254,7),Calc!$G$5:$G$254,0)),"")</f>
        <v>0</v>
      </c>
      <c r="H57" s="29">
        <f>IFERROR(INDEX(Calc!$F$5:$F$254,MATCH(LARGE(Calc!$G$5:$G$254,7),Calc!$G$5:$G$254,0)),"")</f>
        <v>0</v>
      </c>
      <c r="I57" s="31">
        <f>IFERROR(COUNTIFS(Invoices!$D$5:$D$304,INDEX(Calc!$A$5:$A$254,MATCH(LARGE(Calc!$G$5:$G$254,7),Calc!$G$5:$G$254,0)),Invoices!$S$5:$S$304,"&gt;0.004"),"")</f>
        <v>0</v>
      </c>
    </row>
    <row r="58" spans="1:9">
      <c r="A58" s="31">
        <v>8</v>
      </c>
      <c r="B58" s="28">
        <f>IFERROR(INDEX(Calc!$A$5:$A$254,MATCH(LARGE(Calc!$E$5:$E$254,8),Calc!$E$5:$E$254,0)),"")</f>
        <v>0</v>
      </c>
      <c r="C58" s="29">
        <f>IFERROR(INDEX(Calc!$D$5:$D$254,MATCH(LARGE(Calc!$E$5:$E$254,8),Calc!$E$5:$E$254,0)),"")</f>
        <v>0</v>
      </c>
      <c r="D58" s="31">
        <f>IFERROR(INDEX(Calc!$H$5:$H$254,MATCH(LARGE(Calc!$E$5:$E$254,8),Calc!$E$5:$E$254,0)),"")</f>
        <v>0</v>
      </c>
      <c r="F58" s="31">
        <v>8</v>
      </c>
      <c r="G58" s="28">
        <f>IFERROR(INDEX(Calc!$A$5:$A$254,MATCH(LARGE(Calc!$G$5:$G$254,8),Calc!$G$5:$G$254,0)),"")</f>
        <v>0</v>
      </c>
      <c r="H58" s="29">
        <f>IFERROR(INDEX(Calc!$F$5:$F$254,MATCH(LARGE(Calc!$G$5:$G$254,8),Calc!$G$5:$G$254,0)),"")</f>
        <v>0</v>
      </c>
      <c r="I58" s="31">
        <f>IFERROR(COUNTIFS(Invoices!$D$5:$D$304,INDEX(Calc!$A$5:$A$254,MATCH(LARGE(Calc!$G$5:$G$254,8),Calc!$G$5:$G$254,0)),Invoices!$S$5:$S$304,"&gt;0.004"),"")</f>
        <v>0</v>
      </c>
    </row>
    <row r="59" spans="1:9">
      <c r="A59" s="31">
        <v>9</v>
      </c>
      <c r="B59" s="28">
        <f>IFERROR(INDEX(Calc!$A$5:$A$254,MATCH(LARGE(Calc!$E$5:$E$254,9),Calc!$E$5:$E$254,0)),"")</f>
        <v>0</v>
      </c>
      <c r="C59" s="29">
        <f>IFERROR(INDEX(Calc!$D$5:$D$254,MATCH(LARGE(Calc!$E$5:$E$254,9),Calc!$E$5:$E$254,0)),"")</f>
        <v>0</v>
      </c>
      <c r="D59" s="31">
        <f>IFERROR(INDEX(Calc!$H$5:$H$254,MATCH(LARGE(Calc!$E$5:$E$254,9),Calc!$E$5:$E$254,0)),"")</f>
        <v>0</v>
      </c>
      <c r="F59" s="31">
        <v>9</v>
      </c>
      <c r="G59" s="28">
        <f>IFERROR(INDEX(Calc!$A$5:$A$254,MATCH(LARGE(Calc!$G$5:$G$254,9),Calc!$G$5:$G$254,0)),"")</f>
        <v>0</v>
      </c>
      <c r="H59" s="29">
        <f>IFERROR(INDEX(Calc!$F$5:$F$254,MATCH(LARGE(Calc!$G$5:$G$254,9),Calc!$G$5:$G$254,0)),"")</f>
        <v>0</v>
      </c>
      <c r="I59" s="31">
        <f>IFERROR(COUNTIFS(Invoices!$D$5:$D$304,INDEX(Calc!$A$5:$A$254,MATCH(LARGE(Calc!$G$5:$G$254,9),Calc!$G$5:$G$254,0)),Invoices!$S$5:$S$304,"&gt;0.004"),"")</f>
        <v>0</v>
      </c>
    </row>
    <row r="60" spans="1:9">
      <c r="A60" s="31">
        <v>10</v>
      </c>
      <c r="B60" s="28">
        <f>IFERROR(INDEX(Calc!$A$5:$A$254,MATCH(LARGE(Calc!$E$5:$E$254,10),Calc!$E$5:$E$254,0)),"")</f>
        <v>0</v>
      </c>
      <c r="C60" s="29">
        <f>IFERROR(INDEX(Calc!$D$5:$D$254,MATCH(LARGE(Calc!$E$5:$E$254,10),Calc!$E$5:$E$254,0)),"")</f>
        <v>0</v>
      </c>
      <c r="D60" s="31">
        <f>IFERROR(INDEX(Calc!$H$5:$H$254,MATCH(LARGE(Calc!$E$5:$E$254,10),Calc!$E$5:$E$254,0)),"")</f>
        <v>0</v>
      </c>
      <c r="F60" s="31">
        <v>10</v>
      </c>
      <c r="G60" s="28">
        <f>IFERROR(INDEX(Calc!$A$5:$A$254,MATCH(LARGE(Calc!$G$5:$G$254,10),Calc!$G$5:$G$254,0)),"")</f>
        <v>0</v>
      </c>
      <c r="H60" s="29">
        <f>IFERROR(INDEX(Calc!$F$5:$F$254,MATCH(LARGE(Calc!$G$5:$G$254,10),Calc!$G$5:$G$254,0)),"")</f>
        <v>0</v>
      </c>
      <c r="I60" s="31">
        <f>IFERROR(COUNTIFS(Invoices!$D$5:$D$304,INDEX(Calc!$A$5:$A$254,MATCH(LARGE(Calc!$G$5:$G$254,10),Calc!$G$5:$G$254,0)),Invoices!$S$5:$S$304,"&gt;0.004"),"")</f>
        <v>0</v>
      </c>
    </row>
    <row r="62" spans="1:9">
      <c r="A62" s="37" t="s">
        <v>1078</v>
      </c>
      <c r="B62" s="37"/>
      <c r="C62" s="37"/>
      <c r="D62" s="37"/>
      <c r="F62" s="37" t="s">
        <v>1079</v>
      </c>
      <c r="G62" s="37"/>
      <c r="H62" s="37"/>
      <c r="I62" s="37"/>
    </row>
    <row r="63" spans="1:9" ht="26" customHeight="1">
      <c r="A63" s="8" t="s">
        <v>1080</v>
      </c>
      <c r="B63" s="9" t="s">
        <v>37</v>
      </c>
      <c r="C63" s="9" t="s">
        <v>1081</v>
      </c>
      <c r="D63" s="9" t="s">
        <v>199</v>
      </c>
      <c r="F63" s="8" t="s">
        <v>1082</v>
      </c>
      <c r="G63" s="9" t="s">
        <v>1083</v>
      </c>
      <c r="H63" s="9" t="s">
        <v>199</v>
      </c>
      <c r="I63" s="9" t="s">
        <v>202</v>
      </c>
    </row>
    <row r="64" spans="1:9">
      <c r="A64" s="28" t="s">
        <v>1084</v>
      </c>
      <c r="B64" s="31">
        <f>COUNTIFS(Invoices!$W$5:$W$304,"Not due")</f>
        <v>0</v>
      </c>
      <c r="C64" s="29">
        <f>SUMIFS(Invoices!$S$5:$S$304,Invoices!$W$5:$W$304,"Not due")</f>
        <v>0</v>
      </c>
      <c r="D64" s="30">
        <f>IFERROR(SUMIFS(Invoices!$S$5:$S$304,Invoices!$W$5:$W$304,"Not due")/SUMIFS(Invoices!$S$5:$S$304,Invoices!$T$5:$T$304,"&lt;&gt;Cancelled"),"")</f>
        <v>0</v>
      </c>
      <c r="F64" s="28">
        <f>IF(Calc!$AN$5="","",Calc!$AN$5)</f>
        <v>0</v>
      </c>
      <c r="G64" s="29">
        <f>IF(Calc!$AN$5="","",Calc!$AO$5)</f>
        <v>0</v>
      </c>
      <c r="H64" s="30">
        <f>IFERROR(Calc!$AO$5/SUM(Calc!$AO$5:$AO$254),"")</f>
        <v>0</v>
      </c>
      <c r="I64" s="28" t="s">
        <v>202</v>
      </c>
    </row>
    <row r="65" spans="1:12">
      <c r="A65" s="28" t="s">
        <v>1085</v>
      </c>
      <c r="B65" s="31">
        <f>COUNTIFS(Invoices!$W$5:$W$304,"Current")</f>
        <v>0</v>
      </c>
      <c r="C65" s="29">
        <f>SUMIFS(Invoices!$S$5:$S$304,Invoices!$W$5:$W$304,"Current")</f>
        <v>0</v>
      </c>
      <c r="D65" s="30">
        <f>IFERROR(SUMIFS(Invoices!$S$5:$S$304,Invoices!$W$5:$W$304,"Current")/SUMIFS(Invoices!$S$5:$S$304,Invoices!$T$5:$T$304,"&lt;&gt;Cancelled"),"")</f>
        <v>0</v>
      </c>
      <c r="F65" s="28">
        <f>IF(Calc!$AN$6="","",Calc!$AN$6)</f>
        <v>0</v>
      </c>
      <c r="G65" s="29">
        <f>IF(Calc!$AN$6="","",Calc!$AO$6)</f>
        <v>0</v>
      </c>
      <c r="H65" s="30">
        <f>IFERROR(Calc!$AO$6/SUM(Calc!$AO$5:$AO$254),"")</f>
        <v>0</v>
      </c>
      <c r="I65" s="28" t="s">
        <v>202</v>
      </c>
    </row>
    <row r="66" spans="1:12">
      <c r="A66" s="28" t="s">
        <v>1086</v>
      </c>
      <c r="B66" s="31">
        <f>COUNTIFS(Invoices!$W$5:$W$304,"1-30 days")</f>
        <v>0</v>
      </c>
      <c r="C66" s="29">
        <f>SUMIFS(Invoices!$S$5:$S$304,Invoices!$W$5:$W$304,"1-30 days")</f>
        <v>0</v>
      </c>
      <c r="D66" s="30">
        <f>IFERROR(SUMIFS(Invoices!$S$5:$S$304,Invoices!$W$5:$W$304,"1-30 days")/SUMIFS(Invoices!$S$5:$S$304,Invoices!$T$5:$T$304,"&lt;&gt;Cancelled"),"")</f>
        <v>0</v>
      </c>
      <c r="F66" s="28">
        <f>IF(Calc!$AN$7="","",Calc!$AN$7)</f>
        <v>0</v>
      </c>
      <c r="G66" s="29">
        <f>IF(Calc!$AN$7="","",Calc!$AO$7)</f>
        <v>0</v>
      </c>
      <c r="H66" s="30">
        <f>IFERROR(Calc!$AO$7/SUM(Calc!$AO$5:$AO$254),"")</f>
        <v>0</v>
      </c>
      <c r="I66" s="28" t="s">
        <v>202</v>
      </c>
    </row>
    <row r="67" spans="1:12">
      <c r="A67" s="28" t="s">
        <v>1087</v>
      </c>
      <c r="B67" s="31">
        <f>COUNTIFS(Invoices!$W$5:$W$304,"31-60 days")</f>
        <v>0</v>
      </c>
      <c r="C67" s="29">
        <f>SUMIFS(Invoices!$S$5:$S$304,Invoices!$W$5:$W$304,"31-60 days")</f>
        <v>0</v>
      </c>
      <c r="D67" s="30">
        <f>IFERROR(SUMIFS(Invoices!$S$5:$S$304,Invoices!$W$5:$W$304,"31-60 days")/SUMIFS(Invoices!$S$5:$S$304,Invoices!$T$5:$T$304,"&lt;&gt;Cancelled"),"")</f>
        <v>0</v>
      </c>
      <c r="F67" s="28">
        <f>IF(Calc!$AN$8="","",Calc!$AN$8)</f>
        <v>0</v>
      </c>
      <c r="G67" s="29">
        <f>IF(Calc!$AN$8="","",Calc!$AO$8)</f>
        <v>0</v>
      </c>
      <c r="H67" s="30">
        <f>IFERROR(Calc!$AO$8/SUM(Calc!$AO$5:$AO$254),"")</f>
        <v>0</v>
      </c>
      <c r="I67" s="28" t="s">
        <v>202</v>
      </c>
    </row>
    <row r="68" spans="1:12">
      <c r="A68" s="28" t="s">
        <v>1088</v>
      </c>
      <c r="B68" s="31">
        <f>COUNTIFS(Invoices!$W$5:$W$304,"61-90 days")</f>
        <v>0</v>
      </c>
      <c r="C68" s="29">
        <f>SUMIFS(Invoices!$S$5:$S$304,Invoices!$W$5:$W$304,"61-90 days")</f>
        <v>0</v>
      </c>
      <c r="D68" s="30">
        <f>IFERROR(SUMIFS(Invoices!$S$5:$S$304,Invoices!$W$5:$W$304,"61-90 days")/SUMIFS(Invoices!$S$5:$S$304,Invoices!$T$5:$T$304,"&lt;&gt;Cancelled"),"")</f>
        <v>0</v>
      </c>
      <c r="F68" s="28">
        <f>IF(Calc!$AN$9="","",Calc!$AN$9)</f>
        <v>0</v>
      </c>
      <c r="G68" s="29">
        <f>IF(Calc!$AN$9="","",Calc!$AO$9)</f>
        <v>0</v>
      </c>
      <c r="H68" s="30">
        <f>IFERROR(Calc!$AO$9/SUM(Calc!$AO$5:$AO$254),"")</f>
        <v>0</v>
      </c>
      <c r="I68" s="28" t="s">
        <v>202</v>
      </c>
    </row>
    <row r="69" spans="1:12">
      <c r="A69" s="28" t="s">
        <v>1089</v>
      </c>
      <c r="B69" s="31">
        <f>COUNTIFS(Invoices!$W$5:$W$304,"90+ days")</f>
        <v>0</v>
      </c>
      <c r="C69" s="29">
        <f>SUMIFS(Invoices!$S$5:$S$304,Invoices!$W$5:$W$304,"90+ days")</f>
        <v>0</v>
      </c>
      <c r="D69" s="30">
        <f>IFERROR(SUMIFS(Invoices!$S$5:$S$304,Invoices!$W$5:$W$304,"90+ days")/SUMIFS(Invoices!$S$5:$S$304,Invoices!$T$5:$T$304,"&lt;&gt;Cancelled"),"")</f>
        <v>0</v>
      </c>
      <c r="F69" s="28">
        <f>IF(Calc!$AN$10="","",Calc!$AN$10)</f>
        <v>0</v>
      </c>
      <c r="G69" s="29">
        <f>IF(Calc!$AN$10="","",Calc!$AO$10)</f>
        <v>0</v>
      </c>
      <c r="H69" s="30">
        <f>IFERROR(Calc!$AO$10/SUM(Calc!$AO$5:$AO$254),"")</f>
        <v>0</v>
      </c>
      <c r="I69" s="28" t="s">
        <v>202</v>
      </c>
    </row>
    <row r="70" spans="1:12">
      <c r="F70" s="28">
        <f>IF(Calc!$AN$11="","",Calc!$AN$11)</f>
        <v>0</v>
      </c>
      <c r="G70" s="29">
        <f>IF(Calc!$AN$11="","",Calc!$AO$11)</f>
        <v>0</v>
      </c>
      <c r="H70" s="30">
        <f>IFERROR(Calc!$AO$11/SUM(Calc!$AO$5:$AO$254),"")</f>
        <v>0</v>
      </c>
      <c r="I70" s="28" t="s">
        <v>202</v>
      </c>
    </row>
    <row r="71" spans="1:12">
      <c r="F71" s="28">
        <f>IF(Calc!$AN$12="","",Calc!$AN$12)</f>
        <v>0</v>
      </c>
      <c r="G71" s="29">
        <f>IF(Calc!$AN$12="","",Calc!$AO$12)</f>
        <v>0</v>
      </c>
      <c r="H71" s="30">
        <f>IFERROR(Calc!$AO$12/SUM(Calc!$AO$5:$AO$254),"")</f>
        <v>0</v>
      </c>
      <c r="I71" s="28" t="s">
        <v>202</v>
      </c>
    </row>
    <row r="73" spans="1:12" ht="20" customHeight="1">
      <c r="A73" s="6" t="s">
        <v>1090</v>
      </c>
      <c r="B73" s="6"/>
      <c r="C73" s="6"/>
      <c r="D73" s="6"/>
      <c r="E73" s="6"/>
      <c r="F73" s="6"/>
      <c r="G73" s="6"/>
      <c r="H73" s="6"/>
      <c r="I73" s="6"/>
      <c r="J73" s="6"/>
      <c r="K73" s="6"/>
      <c r="L73" s="6"/>
    </row>
    <row r="74" spans="1:12" ht="26" customHeight="1">
      <c r="A74" s="8" t="s">
        <v>200</v>
      </c>
      <c r="B74" s="9" t="s">
        <v>201</v>
      </c>
      <c r="C74" s="9" t="s">
        <v>199</v>
      </c>
      <c r="D74" s="9" t="s">
        <v>202</v>
      </c>
      <c r="E74" s="9" t="s">
        <v>202</v>
      </c>
      <c r="F74" s="9" t="s">
        <v>202</v>
      </c>
    </row>
    <row r="75" spans="1:12">
      <c r="A75" s="28">
        <f>IF(Calc!$P$5="","",Calc!$P$5)</f>
        <v>0</v>
      </c>
      <c r="B75" s="29">
        <f>IF(Calc!$P$5="","",Calc!$R$5)</f>
        <v>0</v>
      </c>
      <c r="C75" s="30">
        <f>IFERROR(Calc!$R$5/SUM(Calc!$R$5:$R$254),"")</f>
        <v>0</v>
      </c>
      <c r="D75" s="28" t="s">
        <v>202</v>
      </c>
      <c r="E75" s="28" t="s">
        <v>202</v>
      </c>
      <c r="F75" s="28" t="s">
        <v>202</v>
      </c>
    </row>
    <row r="76" spans="1:12">
      <c r="A76" s="28">
        <f>IF(Calc!$P$6="","",Calc!$P$6)</f>
        <v>0</v>
      </c>
      <c r="B76" s="29">
        <f>IF(Calc!$P$6="","",Calc!$R$6)</f>
        <v>0</v>
      </c>
      <c r="C76" s="30">
        <f>IFERROR(Calc!$R$6/SUM(Calc!$R$5:$R$254),"")</f>
        <v>0</v>
      </c>
      <c r="D76" s="28" t="s">
        <v>202</v>
      </c>
      <c r="E76" s="28" t="s">
        <v>202</v>
      </c>
      <c r="F76" s="28" t="s">
        <v>202</v>
      </c>
    </row>
    <row r="77" spans="1:12">
      <c r="A77" s="28">
        <f>IF(Calc!$P$7="","",Calc!$P$7)</f>
        <v>0</v>
      </c>
      <c r="B77" s="29">
        <f>IF(Calc!$P$7="","",Calc!$R$7)</f>
        <v>0</v>
      </c>
      <c r="C77" s="30">
        <f>IFERROR(Calc!$R$7/SUM(Calc!$R$5:$R$254),"")</f>
        <v>0</v>
      </c>
      <c r="D77" s="28" t="s">
        <v>202</v>
      </c>
      <c r="E77" s="28" t="s">
        <v>202</v>
      </c>
      <c r="F77" s="28" t="s">
        <v>202</v>
      </c>
    </row>
    <row r="78" spans="1:12">
      <c r="A78" s="28">
        <f>IF(Calc!$P$8="","",Calc!$P$8)</f>
        <v>0</v>
      </c>
      <c r="B78" s="29">
        <f>IF(Calc!$P$8="","",Calc!$R$8)</f>
        <v>0</v>
      </c>
      <c r="C78" s="30">
        <f>IFERROR(Calc!$R$8/SUM(Calc!$R$5:$R$254),"")</f>
        <v>0</v>
      </c>
      <c r="D78" s="28" t="s">
        <v>202</v>
      </c>
      <c r="E78" s="28" t="s">
        <v>202</v>
      </c>
      <c r="F78" s="28" t="s">
        <v>202</v>
      </c>
    </row>
    <row r="79" spans="1:12">
      <c r="A79" s="28">
        <f>IF(Calc!$P$9="","",Calc!$P$9)</f>
        <v>0</v>
      </c>
      <c r="B79" s="29">
        <f>IF(Calc!$P$9="","",Calc!$R$9)</f>
        <v>0</v>
      </c>
      <c r="C79" s="30">
        <f>IFERROR(Calc!$R$9/SUM(Calc!$R$5:$R$254),"")</f>
        <v>0</v>
      </c>
      <c r="D79" s="28" t="s">
        <v>202</v>
      </c>
      <c r="E79" s="28" t="s">
        <v>202</v>
      </c>
      <c r="F79" s="28" t="s">
        <v>202</v>
      </c>
    </row>
    <row r="80" spans="1:12">
      <c r="A80" s="28">
        <f>IF(Calc!$P$10="","",Calc!$P$10)</f>
        <v>0</v>
      </c>
      <c r="B80" s="29">
        <f>IF(Calc!$P$10="","",Calc!$R$10)</f>
        <v>0</v>
      </c>
      <c r="C80" s="30">
        <f>IFERROR(Calc!$R$10/SUM(Calc!$R$5:$R$254),"")</f>
        <v>0</v>
      </c>
      <c r="D80" s="28" t="s">
        <v>202</v>
      </c>
      <c r="E80" s="28" t="s">
        <v>202</v>
      </c>
      <c r="F80" s="28" t="s">
        <v>202</v>
      </c>
    </row>
    <row r="81" spans="1:12">
      <c r="A81" s="28">
        <f>IF(Calc!$P$11="","",Calc!$P$11)</f>
        <v>0</v>
      </c>
      <c r="B81" s="29">
        <f>IF(Calc!$P$11="","",Calc!$R$11)</f>
        <v>0</v>
      </c>
      <c r="C81" s="30">
        <f>IFERROR(Calc!$R$11/SUM(Calc!$R$5:$R$254),"")</f>
        <v>0</v>
      </c>
      <c r="D81" s="28" t="s">
        <v>202</v>
      </c>
      <c r="E81" s="28" t="s">
        <v>202</v>
      </c>
      <c r="F81" s="28" t="s">
        <v>202</v>
      </c>
    </row>
    <row r="82" spans="1:12">
      <c r="A82" s="28">
        <f>IF(Calc!$P$12="","",Calc!$P$12)</f>
        <v>0</v>
      </c>
      <c r="B82" s="29">
        <f>IF(Calc!$P$12="","",Calc!$R$12)</f>
        <v>0</v>
      </c>
      <c r="C82" s="30">
        <f>IFERROR(Calc!$R$12/SUM(Calc!$R$5:$R$254),"")</f>
        <v>0</v>
      </c>
      <c r="D82" s="28" t="s">
        <v>202</v>
      </c>
      <c r="E82" s="28" t="s">
        <v>202</v>
      </c>
      <c r="F82" s="28" t="s">
        <v>202</v>
      </c>
    </row>
    <row r="83" spans="1:12">
      <c r="A83" s="28">
        <f>IF(Calc!$P$13="","",Calc!$P$13)</f>
        <v>0</v>
      </c>
      <c r="B83" s="29">
        <f>IF(Calc!$P$13="","",Calc!$R$13)</f>
        <v>0</v>
      </c>
      <c r="C83" s="30">
        <f>IFERROR(Calc!$R$13/SUM(Calc!$R$5:$R$254),"")</f>
        <v>0</v>
      </c>
      <c r="D83" s="28" t="s">
        <v>202</v>
      </c>
      <c r="E83" s="28" t="s">
        <v>202</v>
      </c>
      <c r="F83" s="28" t="s">
        <v>202</v>
      </c>
    </row>
    <row r="84" spans="1:12">
      <c r="A84" s="28">
        <f>IF(Calc!$P$14="","",Calc!$P$14)</f>
        <v>0</v>
      </c>
      <c r="B84" s="29">
        <f>IF(Calc!$P$14="","",Calc!$R$14)</f>
        <v>0</v>
      </c>
      <c r="C84" s="30">
        <f>IFERROR(Calc!$R$14/SUM(Calc!$R$5:$R$254),"")</f>
        <v>0</v>
      </c>
      <c r="D84" s="28" t="s">
        <v>202</v>
      </c>
      <c r="E84" s="28" t="s">
        <v>202</v>
      </c>
      <c r="F84" s="28" t="s">
        <v>202</v>
      </c>
    </row>
    <row r="85" spans="1:12">
      <c r="A85" s="28">
        <f>IF(Calc!$P$15="","",Calc!$P$15)</f>
        <v>0</v>
      </c>
      <c r="B85" s="29">
        <f>IF(Calc!$P$15="","",Calc!$R$15)</f>
        <v>0</v>
      </c>
      <c r="C85" s="30">
        <f>IFERROR(Calc!$R$15/SUM(Calc!$R$5:$R$254),"")</f>
        <v>0</v>
      </c>
      <c r="D85" s="28" t="s">
        <v>202</v>
      </c>
      <c r="E85" s="28" t="s">
        <v>202</v>
      </c>
      <c r="F85" s="28" t="s">
        <v>202</v>
      </c>
    </row>
    <row r="86" spans="1:12">
      <c r="A86" s="28">
        <f>IF(Calc!$P$16="","",Calc!$P$16)</f>
        <v>0</v>
      </c>
      <c r="B86" s="29">
        <f>IF(Calc!$P$16="","",Calc!$R$16)</f>
        <v>0</v>
      </c>
      <c r="C86" s="30">
        <f>IFERROR(Calc!$R$16/SUM(Calc!$R$5:$R$254),"")</f>
        <v>0</v>
      </c>
      <c r="D86" s="28" t="s">
        <v>202</v>
      </c>
      <c r="E86" s="28" t="s">
        <v>202</v>
      </c>
      <c r="F86" s="28" t="s">
        <v>202</v>
      </c>
    </row>
    <row r="87" spans="1:12">
      <c r="A87" s="28">
        <f>IF(Calc!$P$17="","",Calc!$P$17)</f>
        <v>0</v>
      </c>
      <c r="B87" s="29">
        <f>IF(Calc!$P$17="","",Calc!$R$17)</f>
        <v>0</v>
      </c>
      <c r="C87" s="30">
        <f>IFERROR(Calc!$R$17/SUM(Calc!$R$5:$R$254),"")</f>
        <v>0</v>
      </c>
      <c r="D87" s="28" t="s">
        <v>202</v>
      </c>
      <c r="E87" s="28" t="s">
        <v>202</v>
      </c>
      <c r="F87" s="28" t="s">
        <v>202</v>
      </c>
    </row>
    <row r="88" spans="1:12">
      <c r="A88" s="28">
        <f>IF(Calc!$P$18="","",Calc!$P$18)</f>
        <v>0</v>
      </c>
      <c r="B88" s="29">
        <f>IF(Calc!$P$18="","",Calc!$R$18)</f>
        <v>0</v>
      </c>
      <c r="C88" s="30">
        <f>IFERROR(Calc!$R$18/SUM(Calc!$R$5:$R$254),"")</f>
        <v>0</v>
      </c>
      <c r="D88" s="28" t="s">
        <v>202</v>
      </c>
      <c r="E88" s="28" t="s">
        <v>202</v>
      </c>
      <c r="F88" s="28" t="s">
        <v>202</v>
      </c>
    </row>
    <row r="89" spans="1:12">
      <c r="A89" s="28">
        <f>IF(Calc!$P$19="","",Calc!$P$19)</f>
        <v>0</v>
      </c>
      <c r="B89" s="29">
        <f>IF(Calc!$P$19="","",Calc!$R$19)</f>
        <v>0</v>
      </c>
      <c r="C89" s="30">
        <f>IFERROR(Calc!$R$19/SUM(Calc!$R$5:$R$254),"")</f>
        <v>0</v>
      </c>
      <c r="D89" s="28" t="s">
        <v>202</v>
      </c>
      <c r="E89" s="28" t="s">
        <v>202</v>
      </c>
      <c r="F89" s="28" t="s">
        <v>202</v>
      </c>
    </row>
    <row r="90" spans="1:12">
      <c r="A90" s="28">
        <f>IF(Calc!$P$20="","",Calc!$P$20)</f>
        <v>0</v>
      </c>
      <c r="B90" s="29">
        <f>IF(Calc!$P$20="","",Calc!$R$20)</f>
        <v>0</v>
      </c>
      <c r="C90" s="30">
        <f>IFERROR(Calc!$R$20/SUM(Calc!$R$5:$R$254),"")</f>
        <v>0</v>
      </c>
      <c r="D90" s="28" t="s">
        <v>202</v>
      </c>
      <c r="E90" s="28" t="s">
        <v>202</v>
      </c>
      <c r="F90" s="28" t="s">
        <v>202</v>
      </c>
    </row>
    <row r="91" spans="1:12">
      <c r="A91" s="28">
        <f>IF(Calc!$P$21="","",Calc!$P$21)</f>
        <v>0</v>
      </c>
      <c r="B91" s="29">
        <f>IF(Calc!$P$21="","",Calc!$R$21)</f>
        <v>0</v>
      </c>
      <c r="C91" s="30">
        <f>IFERROR(Calc!$R$21/SUM(Calc!$R$5:$R$254),"")</f>
        <v>0</v>
      </c>
      <c r="D91" s="28" t="s">
        <v>202</v>
      </c>
      <c r="E91" s="28" t="s">
        <v>202</v>
      </c>
      <c r="F91" s="28" t="s">
        <v>202</v>
      </c>
    </row>
    <row r="92" spans="1:12">
      <c r="A92" s="28">
        <f>IF(Calc!$P$22="","",Calc!$P$22)</f>
        <v>0</v>
      </c>
      <c r="B92" s="29">
        <f>IF(Calc!$P$22="","",Calc!$R$22)</f>
        <v>0</v>
      </c>
      <c r="C92" s="30">
        <f>IFERROR(Calc!$R$22/SUM(Calc!$R$5:$R$254),"")</f>
        <v>0</v>
      </c>
      <c r="D92" s="28" t="s">
        <v>202</v>
      </c>
      <c r="E92" s="28" t="s">
        <v>202</v>
      </c>
      <c r="F92" s="28" t="s">
        <v>202</v>
      </c>
    </row>
    <row r="93" spans="1:12">
      <c r="A93" s="28">
        <f>IF(Calc!$P$23="","",Calc!$P$23)</f>
        <v>0</v>
      </c>
      <c r="B93" s="29">
        <f>IF(Calc!$P$23="","",Calc!$R$23)</f>
        <v>0</v>
      </c>
      <c r="C93" s="30">
        <f>IFERROR(Calc!$R$23/SUM(Calc!$R$5:$R$254),"")</f>
        <v>0</v>
      </c>
      <c r="D93" s="28" t="s">
        <v>202</v>
      </c>
      <c r="E93" s="28" t="s">
        <v>202</v>
      </c>
      <c r="F93" s="28" t="s">
        <v>202</v>
      </c>
    </row>
    <row r="94" spans="1:12">
      <c r="A94" s="28" t="s">
        <v>1091</v>
      </c>
      <c r="B94" s="29">
        <f>SUM(B75:B93)</f>
        <v>0</v>
      </c>
      <c r="C94" s="28" t="s">
        <v>202</v>
      </c>
      <c r="D94" s="28" t="s">
        <v>202</v>
      </c>
      <c r="E94" s="28" t="s">
        <v>202</v>
      </c>
      <c r="F94" s="28" t="s">
        <v>202</v>
      </c>
    </row>
    <row r="96" spans="1:12" ht="20" customHeight="1">
      <c r="A96" s="6" t="s">
        <v>1092</v>
      </c>
      <c r="B96" s="6"/>
      <c r="C96" s="6"/>
      <c r="D96" s="6"/>
      <c r="E96" s="6"/>
      <c r="F96" s="6"/>
      <c r="G96" s="6"/>
      <c r="H96" s="6"/>
      <c r="I96" s="6"/>
      <c r="J96" s="6"/>
      <c r="K96" s="6"/>
      <c r="L96" s="6"/>
    </row>
    <row r="97" spans="1:12" ht="26" customHeight="1">
      <c r="A97" s="8" t="s">
        <v>1093</v>
      </c>
      <c r="B97" s="9" t="s">
        <v>189</v>
      </c>
      <c r="C97" s="9" t="s">
        <v>741</v>
      </c>
      <c r="D97" s="9" t="s">
        <v>186</v>
      </c>
      <c r="E97" s="9" t="s">
        <v>1094</v>
      </c>
      <c r="F97" s="9" t="s">
        <v>190</v>
      </c>
    </row>
    <row r="98" spans="1:12">
      <c r="A98" s="28">
        <f>IF(Calc!$AG$5="","",Calc!$AG$5)</f>
        <v>0</v>
      </c>
      <c r="B98" s="31">
        <f>IF(Calc!$AG$5="","",Calc!$AH$5)</f>
        <v>0</v>
      </c>
      <c r="C98" s="51">
        <f>IF(Calc!$AG$5="","",Calc!$AI$5)</f>
        <v>0</v>
      </c>
      <c r="D98" s="29">
        <f>IF(Calc!$AG$5="","",Calc!$AJ$5)</f>
        <v>0</v>
      </c>
      <c r="E98" s="29">
        <f>IFERROR(Calc!$AJ$5/Calc!$AI$5,"")</f>
        <v>0</v>
      </c>
      <c r="F98" s="32">
        <f>IF(Calc!$AG$5="","",Calc!$AK$5)</f>
        <v>0</v>
      </c>
    </row>
    <row r="99" spans="1:12">
      <c r="A99" s="28">
        <f>IF(Calc!$AG$6="","",Calc!$AG$6)</f>
        <v>0</v>
      </c>
      <c r="B99" s="31">
        <f>IF(Calc!$AG$6="","",Calc!$AH$6)</f>
        <v>0</v>
      </c>
      <c r="C99" s="51">
        <f>IF(Calc!$AG$6="","",Calc!$AI$6)</f>
        <v>0</v>
      </c>
      <c r="D99" s="29">
        <f>IF(Calc!$AG$6="","",Calc!$AJ$6)</f>
        <v>0</v>
      </c>
      <c r="E99" s="29">
        <f>IFERROR(Calc!$AJ$6/Calc!$AI$6,"")</f>
        <v>0</v>
      </c>
      <c r="F99" s="32">
        <f>IF(Calc!$AG$6="","",Calc!$AK$6)</f>
        <v>0</v>
      </c>
    </row>
    <row r="100" spans="1:12">
      <c r="A100" s="28">
        <f>IF(Calc!$AG$7="","",Calc!$AG$7)</f>
        <v>0</v>
      </c>
      <c r="B100" s="31">
        <f>IF(Calc!$AG$7="","",Calc!$AH$7)</f>
        <v>0</v>
      </c>
      <c r="C100" s="51">
        <f>IF(Calc!$AG$7="","",Calc!$AI$7)</f>
        <v>0</v>
      </c>
      <c r="D100" s="29">
        <f>IF(Calc!$AG$7="","",Calc!$AJ$7)</f>
        <v>0</v>
      </c>
      <c r="E100" s="29">
        <f>IFERROR(Calc!$AJ$7/Calc!$AI$7,"")</f>
        <v>0</v>
      </c>
      <c r="F100" s="32">
        <f>IF(Calc!$AG$7="","",Calc!$AK$7)</f>
        <v>0</v>
      </c>
    </row>
    <row r="101" spans="1:12">
      <c r="A101" s="28">
        <f>IF(Calc!$AG$8="","",Calc!$AG$8)</f>
        <v>0</v>
      </c>
      <c r="B101" s="31">
        <f>IF(Calc!$AG$8="","",Calc!$AH$8)</f>
        <v>0</v>
      </c>
      <c r="C101" s="51">
        <f>IF(Calc!$AG$8="","",Calc!$AI$8)</f>
        <v>0</v>
      </c>
      <c r="D101" s="29">
        <f>IF(Calc!$AG$8="","",Calc!$AJ$8)</f>
        <v>0</v>
      </c>
      <c r="E101" s="29">
        <f>IFERROR(Calc!$AJ$8/Calc!$AI$8,"")</f>
        <v>0</v>
      </c>
      <c r="F101" s="32">
        <f>IF(Calc!$AG$8="","",Calc!$AK$8)</f>
        <v>0</v>
      </c>
    </row>
    <row r="102" spans="1:12">
      <c r="A102" s="28">
        <f>IF(Calc!$AG$9="","",Calc!$AG$9)</f>
        <v>0</v>
      </c>
      <c r="B102" s="31">
        <f>IF(Calc!$AG$9="","",Calc!$AH$9)</f>
        <v>0</v>
      </c>
      <c r="C102" s="51">
        <f>IF(Calc!$AG$9="","",Calc!$AI$9)</f>
        <v>0</v>
      </c>
      <c r="D102" s="29">
        <f>IF(Calc!$AG$9="","",Calc!$AJ$9)</f>
        <v>0</v>
      </c>
      <c r="E102" s="29">
        <f>IFERROR(Calc!$AJ$9/Calc!$AI$9,"")</f>
        <v>0</v>
      </c>
      <c r="F102" s="32">
        <f>IF(Calc!$AG$9="","",Calc!$AK$9)</f>
        <v>0</v>
      </c>
    </row>
    <row r="103" spans="1:12">
      <c r="A103" s="28">
        <f>IF(Calc!$AG$10="","",Calc!$AG$10)</f>
        <v>0</v>
      </c>
      <c r="B103" s="31">
        <f>IF(Calc!$AG$10="","",Calc!$AH$10)</f>
        <v>0</v>
      </c>
      <c r="C103" s="51">
        <f>IF(Calc!$AG$10="","",Calc!$AI$10)</f>
        <v>0</v>
      </c>
      <c r="D103" s="29">
        <f>IF(Calc!$AG$10="","",Calc!$AJ$10)</f>
        <v>0</v>
      </c>
      <c r="E103" s="29">
        <f>IFERROR(Calc!$AJ$10/Calc!$AI$10,"")</f>
        <v>0</v>
      </c>
      <c r="F103" s="32">
        <f>IF(Calc!$AG$10="","",Calc!$AK$10)</f>
        <v>0</v>
      </c>
    </row>
    <row r="104" spans="1:12">
      <c r="A104" s="28">
        <f>IF(Calc!$AG$11="","",Calc!$AG$11)</f>
        <v>0</v>
      </c>
      <c r="B104" s="31">
        <f>IF(Calc!$AG$11="","",Calc!$AH$11)</f>
        <v>0</v>
      </c>
      <c r="C104" s="51">
        <f>IF(Calc!$AG$11="","",Calc!$AI$11)</f>
        <v>0</v>
      </c>
      <c r="D104" s="29">
        <f>IF(Calc!$AG$11="","",Calc!$AJ$11)</f>
        <v>0</v>
      </c>
      <c r="E104" s="29">
        <f>IFERROR(Calc!$AJ$11/Calc!$AI$11,"")</f>
        <v>0</v>
      </c>
      <c r="F104" s="32">
        <f>IF(Calc!$AG$11="","",Calc!$AK$11)</f>
        <v>0</v>
      </c>
    </row>
    <row r="105" spans="1:12">
      <c r="A105" s="28">
        <f>IF(Calc!$AG$12="","",Calc!$AG$12)</f>
        <v>0</v>
      </c>
      <c r="B105" s="31">
        <f>IF(Calc!$AG$12="","",Calc!$AH$12)</f>
        <v>0</v>
      </c>
      <c r="C105" s="51">
        <f>IF(Calc!$AG$12="","",Calc!$AI$12)</f>
        <v>0</v>
      </c>
      <c r="D105" s="29">
        <f>IF(Calc!$AG$12="","",Calc!$AJ$12)</f>
        <v>0</v>
      </c>
      <c r="E105" s="29">
        <f>IFERROR(Calc!$AJ$12/Calc!$AI$12,"")</f>
        <v>0</v>
      </c>
      <c r="F105" s="32">
        <f>IF(Calc!$AG$12="","",Calc!$AK$12)</f>
        <v>0</v>
      </c>
    </row>
    <row r="106" spans="1:12">
      <c r="A106" s="28">
        <f>IF(Calc!$AG$13="","",Calc!$AG$13)</f>
        <v>0</v>
      </c>
      <c r="B106" s="31">
        <f>IF(Calc!$AG$13="","",Calc!$AH$13)</f>
        <v>0</v>
      </c>
      <c r="C106" s="51">
        <f>IF(Calc!$AG$13="","",Calc!$AI$13)</f>
        <v>0</v>
      </c>
      <c r="D106" s="29">
        <f>IF(Calc!$AG$13="","",Calc!$AJ$13)</f>
        <v>0</v>
      </c>
      <c r="E106" s="29">
        <f>IFERROR(Calc!$AJ$13/Calc!$AI$13,"")</f>
        <v>0</v>
      </c>
      <c r="F106" s="32">
        <f>IF(Calc!$AG$13="","",Calc!$AK$13)</f>
        <v>0</v>
      </c>
    </row>
    <row r="107" spans="1:12">
      <c r="A107" s="28">
        <f>IF(Calc!$AG$14="","",Calc!$AG$14)</f>
        <v>0</v>
      </c>
      <c r="B107" s="31">
        <f>IF(Calc!$AG$14="","",Calc!$AH$14)</f>
        <v>0</v>
      </c>
      <c r="C107" s="51">
        <f>IF(Calc!$AG$14="","",Calc!$AI$14)</f>
        <v>0</v>
      </c>
      <c r="D107" s="29">
        <f>IF(Calc!$AG$14="","",Calc!$AJ$14)</f>
        <v>0</v>
      </c>
      <c r="E107" s="29">
        <f>IFERROR(Calc!$AJ$14/Calc!$AI$14,"")</f>
        <v>0</v>
      </c>
      <c r="F107" s="32">
        <f>IF(Calc!$AG$14="","",Calc!$AK$14)</f>
        <v>0</v>
      </c>
    </row>
    <row r="108" spans="1:12">
      <c r="A108" s="28">
        <f>IF(Calc!$AG$15="","",Calc!$AG$15)</f>
        <v>0</v>
      </c>
      <c r="B108" s="31">
        <f>IF(Calc!$AG$15="","",Calc!$AH$15)</f>
        <v>0</v>
      </c>
      <c r="C108" s="51">
        <f>IF(Calc!$AG$15="","",Calc!$AI$15)</f>
        <v>0</v>
      </c>
      <c r="D108" s="29">
        <f>IF(Calc!$AG$15="","",Calc!$AJ$15)</f>
        <v>0</v>
      </c>
      <c r="E108" s="29">
        <f>IFERROR(Calc!$AJ$15/Calc!$AI$15,"")</f>
        <v>0</v>
      </c>
      <c r="F108" s="32">
        <f>IF(Calc!$AG$15="","",Calc!$AK$15)</f>
        <v>0</v>
      </c>
    </row>
    <row r="109" spans="1:12">
      <c r="A109" s="28">
        <f>IF(Calc!$AG$16="","",Calc!$AG$16)</f>
        <v>0</v>
      </c>
      <c r="B109" s="31">
        <f>IF(Calc!$AG$16="","",Calc!$AH$16)</f>
        <v>0</v>
      </c>
      <c r="C109" s="51">
        <f>IF(Calc!$AG$16="","",Calc!$AI$16)</f>
        <v>0</v>
      </c>
      <c r="D109" s="29">
        <f>IF(Calc!$AG$16="","",Calc!$AJ$16)</f>
        <v>0</v>
      </c>
      <c r="E109" s="29">
        <f>IFERROR(Calc!$AJ$16/Calc!$AI$16,"")</f>
        <v>0</v>
      </c>
      <c r="F109" s="32">
        <f>IF(Calc!$AG$16="","",Calc!$AK$16)</f>
        <v>0</v>
      </c>
    </row>
    <row r="111" spans="1:12" ht="20" customHeight="1">
      <c r="A111" s="6" t="s">
        <v>1095</v>
      </c>
      <c r="B111" s="6"/>
      <c r="C111" s="6"/>
      <c r="D111" s="6"/>
      <c r="E111" s="6"/>
      <c r="F111" s="6"/>
      <c r="G111" s="6"/>
      <c r="H111" s="6"/>
      <c r="I111" s="6"/>
      <c r="J111" s="6"/>
      <c r="K111" s="6"/>
      <c r="L111" s="6"/>
    </row>
    <row r="112" spans="1:12">
      <c r="A112" s="7" t="s">
        <v>1096</v>
      </c>
      <c r="B112" s="31">
        <f>COUNTIF(Calc!$H$5:$H$254,"&gt;0")</f>
        <v>0</v>
      </c>
      <c r="F112" s="37" t="s">
        <v>1105</v>
      </c>
      <c r="G112" s="37"/>
      <c r="H112" s="37"/>
      <c r="I112" s="37"/>
    </row>
    <row r="113" spans="1:12" ht="26" customHeight="1">
      <c r="A113" s="7" t="s">
        <v>1097</v>
      </c>
      <c r="B113" s="31">
        <f>COUNTIF(Calc!$H$5:$H$254,"&gt;1")</f>
        <v>0</v>
      </c>
      <c r="F113" s="8" t="s">
        <v>358</v>
      </c>
      <c r="G113" s="9" t="s">
        <v>23</v>
      </c>
      <c r="H113" s="9" t="s">
        <v>186</v>
      </c>
      <c r="I113" s="9" t="s">
        <v>202</v>
      </c>
    </row>
    <row r="114" spans="1:12">
      <c r="A114" s="7" t="s">
        <v>1098</v>
      </c>
      <c r="B114" s="30">
        <f>IFERROR(COUNTIF(Calc!$H$5:$H$254,"&gt;1")/COUNTIF(Calc!$H$5:$H$254,"&gt;0"),0)</f>
        <v>0</v>
      </c>
      <c r="F114" s="28">
        <f>IF(Calc!$AP$5="","",Calc!$AP$5)</f>
        <v>0</v>
      </c>
      <c r="G114" s="31">
        <f>IF(Calc!$AP$5="","",Calc!$AQ$5)</f>
        <v>0</v>
      </c>
      <c r="H114" s="29">
        <f>IF(Calc!$AP$5="","",Calc!$AR$5)</f>
        <v>0</v>
      </c>
      <c r="I114" s="28" t="s">
        <v>202</v>
      </c>
    </row>
    <row r="115" spans="1:12">
      <c r="A115" s="7" t="s">
        <v>1099</v>
      </c>
      <c r="B115" s="31">
        <f>COUNTIFS(Clients!$L$5:$L$254,"&gt;="&amp;RepFrom,Clients!$L$5:$L$254,"&lt;="&amp;RepTo)</f>
        <v>0</v>
      </c>
      <c r="F115" s="28">
        <f>IF(Calc!$AP$6="","",Calc!$AP$6)</f>
        <v>0</v>
      </c>
      <c r="G115" s="31">
        <f>IF(Calc!$AP$6="","",Calc!$AQ$6)</f>
        <v>0</v>
      </c>
      <c r="H115" s="29">
        <f>IF(Calc!$AP$6="","",Calc!$AR$6)</f>
        <v>0</v>
      </c>
      <c r="I115" s="28" t="s">
        <v>202</v>
      </c>
    </row>
    <row r="116" spans="1:12">
      <c r="A116" s="7" t="s">
        <v>1100</v>
      </c>
      <c r="B116" s="30">
        <f>IFERROR((COUNTIF(Calc!$H$5:$H$254,"&gt;0")-COUNTIFS(Clients!$L$5:$L$254,"&gt;="&amp;RepFrom,Clients!$L$5:$L$254,"&lt;="&amp;RepTo))/COUNTIF(Calc!$H$5:$H$254,"&gt;0"),0)</f>
        <v>0</v>
      </c>
      <c r="F116" s="28">
        <f>IF(Calc!$AP$7="","",Calc!$AP$7)</f>
        <v>0</v>
      </c>
      <c r="G116" s="31">
        <f>IF(Calc!$AP$7="","",Calc!$AQ$7)</f>
        <v>0</v>
      </c>
      <c r="H116" s="29">
        <f>IF(Calc!$AP$7="","",Calc!$AR$7)</f>
        <v>0</v>
      </c>
      <c r="I116" s="28" t="s">
        <v>202</v>
      </c>
    </row>
    <row r="117" spans="1:12">
      <c r="A117" s="7" t="s">
        <v>218</v>
      </c>
      <c r="B117" s="31">
        <f>COUNTIF(Clients!$AL$5:$AL$254,"Inactive*")</f>
        <v>0</v>
      </c>
      <c r="F117" s="28">
        <f>IF(Calc!$AP$8="","",Calc!$AP$8)</f>
        <v>0</v>
      </c>
      <c r="G117" s="31">
        <f>IF(Calc!$AP$8="","",Calc!$AQ$8)</f>
        <v>0</v>
      </c>
      <c r="H117" s="29">
        <f>IF(Calc!$AP$8="","",Calc!$AR$8)</f>
        <v>0</v>
      </c>
      <c r="I117" s="28" t="s">
        <v>202</v>
      </c>
    </row>
    <row r="118" spans="1:12">
      <c r="A118" s="7" t="s">
        <v>1101</v>
      </c>
      <c r="B118" s="29">
        <f>IFERROR(AVERAGEIF(Clients!$AE$5:$AE$254,"&gt;0"),0)</f>
        <v>0</v>
      </c>
      <c r="F118" s="28">
        <f>IF(Calc!$AP$9="","",Calc!$AP$9)</f>
        <v>0</v>
      </c>
      <c r="G118" s="31">
        <f>IF(Calc!$AP$9="","",Calc!$AQ$9)</f>
        <v>0</v>
      </c>
      <c r="H118" s="29">
        <f>IF(Calc!$AP$9="","",Calc!$AR$9)</f>
        <v>0</v>
      </c>
      <c r="I118" s="28" t="s">
        <v>202</v>
      </c>
    </row>
    <row r="119" spans="1:12">
      <c r="A119" s="7" t="s">
        <v>1102</v>
      </c>
      <c r="B119" s="51">
        <f>IFERROR(AVERAGEIFS(Messages!$I$5:$I$204,Messages!$B$5:$B$204,"&gt;="&amp;RepFrom,Messages!$B$5:$B$204,"&lt;="&amp;RepTo),"-")</f>
        <v>0</v>
      </c>
      <c r="F119" s="28">
        <f>IF(Calc!$AP$10="","",Calc!$AP$10)</f>
        <v>0</v>
      </c>
      <c r="G119" s="31">
        <f>IF(Calc!$AP$10="","",Calc!$AQ$10)</f>
        <v>0</v>
      </c>
      <c r="H119" s="29">
        <f>IF(Calc!$AP$10="","",Calc!$AR$10)</f>
        <v>0</v>
      </c>
      <c r="I119" s="28" t="s">
        <v>202</v>
      </c>
    </row>
    <row r="120" spans="1:12">
      <c r="A120" s="7" t="s">
        <v>1103</v>
      </c>
      <c r="B120" s="31">
        <f>COUNTIFS(Messages!$K$5:$K$204,"Yes",Messages!$B$5:$B$204,"&gt;="&amp;RepFrom,Messages!$B$5:$B$204,"&lt;="&amp;RepTo)</f>
        <v>0</v>
      </c>
      <c r="F120" s="28">
        <f>IF(Calc!$AP$11="","",Calc!$AP$11)</f>
        <v>0</v>
      </c>
      <c r="G120" s="31">
        <f>IF(Calc!$AP$11="","",Calc!$AQ$11)</f>
        <v>0</v>
      </c>
      <c r="H120" s="29">
        <f>IF(Calc!$AP$11="","",Calc!$AR$11)</f>
        <v>0</v>
      </c>
      <c r="I120" s="28" t="s">
        <v>202</v>
      </c>
    </row>
    <row r="121" spans="1:12">
      <c r="A121" s="7" t="s">
        <v>1104</v>
      </c>
      <c r="B121" s="31">
        <f>COUNTIFS(Messages!$K$5:$K$204,"Yes",Messages!$M$5:$M$204,"&lt;&gt;Resolved")</f>
        <v>0</v>
      </c>
      <c r="F121" s="28">
        <f>IF(Calc!$AP$12="","",Calc!$AP$12)</f>
        <v>0</v>
      </c>
      <c r="G121" s="31">
        <f>IF(Calc!$AP$12="","",Calc!$AQ$12)</f>
        <v>0</v>
      </c>
      <c r="H121" s="29">
        <f>IF(Calc!$AP$12="","",Calc!$AR$12)</f>
        <v>0</v>
      </c>
      <c r="I121" s="28" t="s">
        <v>202</v>
      </c>
    </row>
    <row r="122" spans="1:12">
      <c r="F122" s="28">
        <f>IF(Calc!$AP$13="","",Calc!$AP$13)</f>
        <v>0</v>
      </c>
      <c r="G122" s="31">
        <f>IF(Calc!$AP$13="","",Calc!$AQ$13)</f>
        <v>0</v>
      </c>
      <c r="H122" s="29">
        <f>IF(Calc!$AP$13="","",Calc!$AR$13)</f>
        <v>0</v>
      </c>
      <c r="I122" s="28" t="s">
        <v>202</v>
      </c>
    </row>
    <row r="123" spans="1:12">
      <c r="F123" s="28">
        <f>IF(Calc!$AP$14="","",Calc!$AP$14)</f>
        <v>0</v>
      </c>
      <c r="G123" s="31">
        <f>IF(Calc!$AP$14="","",Calc!$AQ$14)</f>
        <v>0</v>
      </c>
      <c r="H123" s="29">
        <f>IF(Calc!$AP$14="","",Calc!$AR$14)</f>
        <v>0</v>
      </c>
      <c r="I123" s="28" t="s">
        <v>202</v>
      </c>
    </row>
    <row r="125" spans="1:12" ht="20" customHeight="1">
      <c r="A125" s="6" t="s">
        <v>1106</v>
      </c>
      <c r="B125" s="6"/>
      <c r="C125" s="6"/>
      <c r="D125" s="6"/>
      <c r="E125" s="6"/>
      <c r="F125" s="6"/>
      <c r="G125" s="6"/>
      <c r="H125" s="6"/>
      <c r="I125" s="6"/>
      <c r="J125" s="6"/>
      <c r="K125" s="6"/>
      <c r="L125" s="6"/>
    </row>
    <row r="126" spans="1:12" ht="26" customHeight="1">
      <c r="A126" s="8" t="s">
        <v>1107</v>
      </c>
      <c r="B126" s="9" t="s">
        <v>1108</v>
      </c>
      <c r="C126" s="9" t="s">
        <v>199</v>
      </c>
      <c r="D126" s="9" t="s">
        <v>202</v>
      </c>
      <c r="E126" s="9" t="s">
        <v>202</v>
      </c>
      <c r="F126" s="9" t="s">
        <v>202</v>
      </c>
    </row>
    <row r="127" spans="1:12">
      <c r="A127" s="28">
        <f>IF(Calc!$AL$5="","",Calc!$AL$5)</f>
        <v>0</v>
      </c>
      <c r="B127" s="31">
        <f>IF(Calc!$AL$5="","",Calc!$AM$5)</f>
        <v>0</v>
      </c>
      <c r="C127" s="30">
        <f>IFERROR(Calc!$AM$5/SUM(Calc!$AM$5:$AM$254),"")</f>
        <v>0</v>
      </c>
      <c r="D127" s="28" t="s">
        <v>202</v>
      </c>
      <c r="E127" s="28" t="s">
        <v>202</v>
      </c>
      <c r="F127" s="28" t="s">
        <v>202</v>
      </c>
    </row>
    <row r="128" spans="1:12">
      <c r="A128" s="28">
        <f>IF(Calc!$AL$6="","",Calc!$AL$6)</f>
        <v>0</v>
      </c>
      <c r="B128" s="31">
        <f>IF(Calc!$AL$6="","",Calc!$AM$6)</f>
        <v>0</v>
      </c>
      <c r="C128" s="30">
        <f>IFERROR(Calc!$AM$6/SUM(Calc!$AM$5:$AM$254),"")</f>
        <v>0</v>
      </c>
      <c r="D128" s="28" t="s">
        <v>202</v>
      </c>
      <c r="E128" s="28" t="s">
        <v>202</v>
      </c>
      <c r="F128" s="28" t="s">
        <v>202</v>
      </c>
    </row>
    <row r="129" spans="1:12">
      <c r="A129" s="28">
        <f>IF(Calc!$AL$7="","",Calc!$AL$7)</f>
        <v>0</v>
      </c>
      <c r="B129" s="31">
        <f>IF(Calc!$AL$7="","",Calc!$AM$7)</f>
        <v>0</v>
      </c>
      <c r="C129" s="30">
        <f>IFERROR(Calc!$AM$7/SUM(Calc!$AM$5:$AM$254),"")</f>
        <v>0</v>
      </c>
      <c r="D129" s="28" t="s">
        <v>202</v>
      </c>
      <c r="E129" s="28" t="s">
        <v>202</v>
      </c>
      <c r="F129" s="28" t="s">
        <v>202</v>
      </c>
    </row>
    <row r="130" spans="1:12">
      <c r="A130" s="28">
        <f>IF(Calc!$AL$8="","",Calc!$AL$8)</f>
        <v>0</v>
      </c>
      <c r="B130" s="31">
        <f>IF(Calc!$AL$8="","",Calc!$AM$8)</f>
        <v>0</v>
      </c>
      <c r="C130" s="30">
        <f>IFERROR(Calc!$AM$8/SUM(Calc!$AM$5:$AM$254),"")</f>
        <v>0</v>
      </c>
      <c r="D130" s="28" t="s">
        <v>202</v>
      </c>
      <c r="E130" s="28" t="s">
        <v>202</v>
      </c>
      <c r="F130" s="28" t="s">
        <v>202</v>
      </c>
    </row>
    <row r="131" spans="1:12">
      <c r="A131" s="28">
        <f>IF(Calc!$AL$9="","",Calc!$AL$9)</f>
        <v>0</v>
      </c>
      <c r="B131" s="31">
        <f>IF(Calc!$AL$9="","",Calc!$AM$9)</f>
        <v>0</v>
      </c>
      <c r="C131" s="30">
        <f>IFERROR(Calc!$AM$9/SUM(Calc!$AM$5:$AM$254),"")</f>
        <v>0</v>
      </c>
      <c r="D131" s="28" t="s">
        <v>202</v>
      </c>
      <c r="E131" s="28" t="s">
        <v>202</v>
      </c>
      <c r="F131" s="28" t="s">
        <v>202</v>
      </c>
    </row>
    <row r="132" spans="1:12">
      <c r="A132" s="28">
        <f>IF(Calc!$AL$10="","",Calc!$AL$10)</f>
        <v>0</v>
      </c>
      <c r="B132" s="31">
        <f>IF(Calc!$AL$10="","",Calc!$AM$10)</f>
        <v>0</v>
      </c>
      <c r="C132" s="30">
        <f>IFERROR(Calc!$AM$10/SUM(Calc!$AM$5:$AM$254),"")</f>
        <v>0</v>
      </c>
      <c r="D132" s="28" t="s">
        <v>202</v>
      </c>
      <c r="E132" s="28" t="s">
        <v>202</v>
      </c>
      <c r="F132" s="28" t="s">
        <v>202</v>
      </c>
    </row>
    <row r="133" spans="1:12">
      <c r="A133" s="28">
        <f>IF(Calc!$AL$11="","",Calc!$AL$11)</f>
        <v>0</v>
      </c>
      <c r="B133" s="31">
        <f>IF(Calc!$AL$11="","",Calc!$AM$11)</f>
        <v>0</v>
      </c>
      <c r="C133" s="30">
        <f>IFERROR(Calc!$AM$11/SUM(Calc!$AM$5:$AM$254),"")</f>
        <v>0</v>
      </c>
      <c r="D133" s="28" t="s">
        <v>202</v>
      </c>
      <c r="E133" s="28" t="s">
        <v>202</v>
      </c>
      <c r="F133" s="28" t="s">
        <v>202</v>
      </c>
    </row>
    <row r="134" spans="1:12">
      <c r="A134" s="28">
        <f>IF(Calc!$AL$12="","",Calc!$AL$12)</f>
        <v>0</v>
      </c>
      <c r="B134" s="31">
        <f>IF(Calc!$AL$12="","",Calc!$AM$12)</f>
        <v>0</v>
      </c>
      <c r="C134" s="30">
        <f>IFERROR(Calc!$AM$12/SUM(Calc!$AM$5:$AM$254),"")</f>
        <v>0</v>
      </c>
      <c r="D134" s="28" t="s">
        <v>202</v>
      </c>
      <c r="E134" s="28" t="s">
        <v>202</v>
      </c>
      <c r="F134" s="28" t="s">
        <v>202</v>
      </c>
    </row>
    <row r="135" spans="1:12">
      <c r="A135" s="28">
        <f>IF(Calc!$AL$13="","",Calc!$AL$13)</f>
        <v>0</v>
      </c>
      <c r="B135" s="31">
        <f>IF(Calc!$AL$13="","",Calc!$AM$13)</f>
        <v>0</v>
      </c>
      <c r="C135" s="30">
        <f>IFERROR(Calc!$AM$13/SUM(Calc!$AM$5:$AM$254),"")</f>
        <v>0</v>
      </c>
      <c r="D135" s="28" t="s">
        <v>202</v>
      </c>
      <c r="E135" s="28" t="s">
        <v>202</v>
      </c>
      <c r="F135" s="28" t="s">
        <v>202</v>
      </c>
    </row>
    <row r="136" spans="1:12">
      <c r="A136" s="28">
        <f>IF(Calc!$AL$14="","",Calc!$AL$14)</f>
        <v>0</v>
      </c>
      <c r="B136" s="31">
        <f>IF(Calc!$AL$14="","",Calc!$AM$14)</f>
        <v>0</v>
      </c>
      <c r="C136" s="30">
        <f>IFERROR(Calc!$AM$14/SUM(Calc!$AM$5:$AM$254),"")</f>
        <v>0</v>
      </c>
      <c r="D136" s="28" t="s">
        <v>202</v>
      </c>
      <c r="E136" s="28" t="s">
        <v>202</v>
      </c>
      <c r="F136" s="28" t="s">
        <v>202</v>
      </c>
    </row>
    <row r="138" spans="1:12" ht="26" customHeight="1">
      <c r="A138" s="5" t="s">
        <v>1109</v>
      </c>
      <c r="B138" s="5"/>
      <c r="C138" s="5"/>
      <c r="D138" s="5"/>
      <c r="E138" s="5"/>
      <c r="F138" s="5"/>
      <c r="G138" s="5"/>
      <c r="H138" s="5"/>
      <c r="I138" s="5"/>
      <c r="J138" s="5"/>
      <c r="K138" s="5"/>
      <c r="L138" s="5"/>
    </row>
  </sheetData>
  <sheetProtection password="EC7C" sheet="1" objects="1" scenarios="1" formatCells="0" formatColumns="0" formatRows="0" insertRows="0" insertHyperlinks="0" deleteRows="0" autoFilter="0"/>
  <mergeCells count="25">
    <mergeCell ref="A1:I1"/>
    <mergeCell ref="J1:L1"/>
    <mergeCell ref="A2:L2"/>
    <mergeCell ref="A3:B3"/>
    <mergeCell ref="C3:D3"/>
    <mergeCell ref="E3:F3"/>
    <mergeCell ref="G3:H3"/>
    <mergeCell ref="I3:J3"/>
    <mergeCell ref="K3:L3"/>
    <mergeCell ref="A5:L5"/>
    <mergeCell ref="F6:L6"/>
    <mergeCell ref="A8:L8"/>
    <mergeCell ref="A17:L17"/>
    <mergeCell ref="A29:L29"/>
    <mergeCell ref="A48:L48"/>
    <mergeCell ref="A49:D49"/>
    <mergeCell ref="F49:I49"/>
    <mergeCell ref="A62:D62"/>
    <mergeCell ref="F62:I62"/>
    <mergeCell ref="A73:L73"/>
    <mergeCell ref="A96:L96"/>
    <mergeCell ref="A111:L111"/>
    <mergeCell ref="F112:I112"/>
    <mergeCell ref="A125:L125"/>
    <mergeCell ref="A138:L138"/>
  </mergeCells>
  <conditionalFormatting sqref="B75:B93">
    <cfRule type="dataBar" priority="2">
      <dataBar>
        <cfvo type="min" val="0"/>
        <cfvo type="max" val="0"/>
        <color rgb="FFC0504D"/>
      </dataBar>
    </cfRule>
  </conditionalFormatting>
  <conditionalFormatting sqref="C31:C46">
    <cfRule type="dataBar" priority="1">
      <dataBar>
        <cfvo type="min" val="0"/>
        <cfvo type="max" val="0"/>
        <color rgb="FF2E7D8F"/>
      </dataBar>
    </cfRule>
  </conditionalFormatting>
  <dataValidations count="2">
    <dataValidation type="date" allowBlank="1" showInputMessage="1" showErrorMessage="1" errorTitle="Check the date" error="Enter a real date between 2000 and 2100." sqref="B6">
      <formula1>36526</formula1>
      <formula2>73415</formula2>
    </dataValidation>
    <dataValidation type="date" allowBlank="1" showInputMessage="1" showErrorMessage="1" errorTitle="Check the date" error="Enter a real date between 2000 and 2100." sqref="D6">
      <formula1>36526</formula1>
      <formula2>73415</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&amp;L&amp;"Calibri,Bold"&amp;12&amp;C&amp;"Calibri,Bold"&amp;11Reports&amp;R&amp;"Calibri,Italic"&amp;9Pet Sitting &amp; Dog Walking Business Spreadsheet</oddHeader>
    <oddFooter>&amp;L&amp;"Calibri,Italic"&amp;8Novality Store - v1.0.0&amp;C&amp;"Calibri,Italic"&amp;8Page &amp;P of &amp;N&amp;R&amp;"Calibri,Italic"&amp;8&amp;D</oddFooter>
  </headerFooter>
</worksheet>
</file>

<file path=xl/worksheets/sheet21.xml><?xml version="1.0" encoding="utf-8"?>
<worksheet xmlns="http://schemas.openxmlformats.org/spreadsheetml/2006/main" xmlns:r="http://schemas.openxmlformats.org/officeDocument/2006/relationships">
  <sheetPr>
    <tabColor rgb="FF116241"/>
    <pageSetUpPr fitToPage="1"/>
  </sheetPr>
  <dimension ref="A1:M69"/>
  <sheetViews>
    <sheetView showGridLines="0" workbookViewId="0">
      <pane ySplit="4" topLeftCell="A5" activePane="bottomLeft" state="frozen"/>
      <selection pane="bottomLeft"/>
    </sheetView>
  </sheetViews>
  <sheetFormatPr defaultRowHeight="15"/>
  <cols>
    <col min="1" max="1" width="26.7109375" customWidth="1"/>
    <col min="2" max="13" width="13.7109375" customWidth="1"/>
  </cols>
  <sheetData>
    <row r="1" spans="1:13" ht="34" customHeight="1">
      <c r="A1" s="2" t="s">
        <v>1110</v>
      </c>
      <c r="B1" s="2"/>
      <c r="C1" s="2"/>
      <c r="D1" s="2"/>
      <c r="E1" s="2"/>
      <c r="F1" s="2"/>
      <c r="G1" s="2"/>
      <c r="H1" s="2"/>
      <c r="I1" s="2"/>
      <c r="J1" s="2"/>
      <c r="K1" s="3" t="s">
        <v>118</v>
      </c>
      <c r="L1" s="3"/>
      <c r="M1" s="3"/>
    </row>
    <row r="2" spans="1:13" ht="18" customHeight="1">
      <c r="A2" s="4" t="s">
        <v>1111</v>
      </c>
      <c r="B2" s="4"/>
      <c r="C2" s="4"/>
      <c r="D2" s="4"/>
      <c r="E2" s="4"/>
      <c r="F2" s="4"/>
      <c r="G2" s="4"/>
      <c r="H2" s="4"/>
      <c r="I2" s="4"/>
      <c r="J2" s="4"/>
      <c r="K2" s="4"/>
      <c r="L2" s="4"/>
      <c r="M2" s="4"/>
    </row>
    <row r="3" spans="1:13" ht="16" customHeight="1">
      <c r="A3" s="10" t="s">
        <v>120</v>
      </c>
      <c r="B3" s="10"/>
      <c r="C3" s="10" t="s">
        <v>121</v>
      </c>
      <c r="D3" s="10"/>
      <c r="E3" s="10" t="s">
        <v>122</v>
      </c>
      <c r="F3" s="10"/>
      <c r="G3" s="10" t="s">
        <v>123</v>
      </c>
      <c r="H3" s="10"/>
      <c r="I3" s="10" t="s">
        <v>124</v>
      </c>
      <c r="J3" s="10"/>
      <c r="K3" s="10" t="s">
        <v>125</v>
      </c>
      <c r="L3" s="10"/>
      <c r="M3" s="38" t="s">
        <v>202</v>
      </c>
    </row>
    <row r="5" spans="1:13" ht="20" customHeight="1">
      <c r="A5" s="6" t="s">
        <v>1112</v>
      </c>
      <c r="B5" s="6"/>
      <c r="C5" s="6"/>
      <c r="D5" s="6"/>
      <c r="E5" s="6"/>
      <c r="F5" s="6"/>
      <c r="G5" s="6"/>
      <c r="H5" s="6"/>
      <c r="I5" s="6"/>
      <c r="J5" s="6"/>
      <c r="K5" s="6"/>
      <c r="L5" s="6"/>
      <c r="M5" s="6"/>
    </row>
    <row r="6" spans="1:13">
      <c r="A6" s="7" t="s">
        <v>1113</v>
      </c>
      <c r="B6" s="42">
        <v>48000</v>
      </c>
    </row>
    <row r="7" spans="1:13">
      <c r="A7" s="7" t="s">
        <v>1114</v>
      </c>
      <c r="B7" s="42">
        <v>19000</v>
      </c>
    </row>
    <row r="8" spans="1:13">
      <c r="A8" s="7" t="s">
        <v>1115</v>
      </c>
      <c r="B8" s="29">
        <f>Target_Revenue-Target_Expenses</f>
        <v>0</v>
      </c>
    </row>
    <row r="9" spans="1:13">
      <c r="A9" s="7" t="s">
        <v>1116</v>
      </c>
      <c r="B9" s="30">
        <f>IFERROR((Target_Revenue-Target_Expenses)/Target_Revenue,0)</f>
        <v>0</v>
      </c>
    </row>
    <row r="10" spans="1:13">
      <c r="A10" s="7" t="s">
        <v>1117</v>
      </c>
      <c r="B10" s="42">
        <v>650</v>
      </c>
    </row>
    <row r="11" spans="1:13">
      <c r="A11" s="7" t="s">
        <v>1118</v>
      </c>
      <c r="B11" s="30">
        <f>IFERROR(1-SUMIFS(Services!$L$5:$L$54,Services!$S$5:$S$54,"Yes")/SUMIFS(Services!$G$5:$G$54,Services!$S$5:$S$54,"Yes"),0.5)</f>
        <v>0</v>
      </c>
    </row>
    <row r="12" spans="1:13">
      <c r="A12" s="7" t="s">
        <v>1119</v>
      </c>
      <c r="B12" s="29">
        <f>IFERROR(FixedCosts/B11,0)</f>
        <v>0</v>
      </c>
    </row>
    <row r="13" spans="1:13">
      <c r="A13" s="7" t="s">
        <v>1120</v>
      </c>
      <c r="B13" s="31">
        <f>IFERROR(B12/IFERROR(AVERAGEIF(Bookings!$AK$5:$AK$404,"&gt;0"),1),0)</f>
        <v>0</v>
      </c>
    </row>
    <row r="14" spans="1:13">
      <c r="A14" s="7" t="s">
        <v>1121</v>
      </c>
      <c r="B14" s="41">
        <v>0.05</v>
      </c>
    </row>
    <row r="16" spans="1:13" ht="20" customHeight="1">
      <c r="A16" s="6" t="s">
        <v>1122</v>
      </c>
      <c r="B16" s="6"/>
      <c r="C16" s="6"/>
      <c r="D16" s="6"/>
      <c r="E16" s="6"/>
      <c r="F16" s="6"/>
      <c r="G16" s="6"/>
      <c r="H16" s="6"/>
      <c r="I16" s="6"/>
      <c r="J16" s="6"/>
      <c r="K16" s="6"/>
      <c r="L16" s="6"/>
      <c r="M16" s="6"/>
    </row>
    <row r="17" spans="1:12" ht="26" customHeight="1">
      <c r="A17" s="8" t="s">
        <v>131</v>
      </c>
      <c r="B17" s="9" t="s">
        <v>1123</v>
      </c>
      <c r="C17" s="9" t="s">
        <v>1124</v>
      </c>
      <c r="D17" s="9" t="s">
        <v>1125</v>
      </c>
      <c r="E17" s="9" t="s">
        <v>1126</v>
      </c>
      <c r="F17" s="9" t="s">
        <v>1127</v>
      </c>
      <c r="G17" s="9" t="s">
        <v>1128</v>
      </c>
      <c r="H17" s="9" t="s">
        <v>1125</v>
      </c>
      <c r="I17" s="9" t="s">
        <v>187</v>
      </c>
      <c r="J17" s="9" t="s">
        <v>188</v>
      </c>
      <c r="K17" s="9" t="s">
        <v>1129</v>
      </c>
      <c r="L17" s="9" t="s">
        <v>1130</v>
      </c>
    </row>
    <row r="18" spans="1:12">
      <c r="A18" s="28">
        <f>Calc!$U$5</f>
        <v>0</v>
      </c>
      <c r="B18" s="29">
        <f>ROUND(Target_Revenue/12,2)</f>
        <v>0</v>
      </c>
      <c r="C18" s="29">
        <f>Calc!$V$5</f>
        <v>0</v>
      </c>
      <c r="D18" s="29">
        <f>C18-B18</f>
        <v>0</v>
      </c>
      <c r="E18" s="30">
        <f>IFERROR(C18/B18,"")</f>
        <v>0</v>
      </c>
      <c r="F18" s="29">
        <f>ROUND(Target_Expenses/12,2)</f>
        <v>0</v>
      </c>
      <c r="G18" s="29">
        <f>Calc!$X$5</f>
        <v>0</v>
      </c>
      <c r="H18" s="29">
        <f>F18-G18</f>
        <v>0</v>
      </c>
      <c r="I18" s="29">
        <f>C18-G18</f>
        <v>0</v>
      </c>
      <c r="J18" s="30">
        <f>IFERROR(I18/C18,"")</f>
        <v>0</v>
      </c>
      <c r="K18" s="29">
        <f>I18</f>
        <v>0</v>
      </c>
      <c r="L18" s="29">
        <f>IFERROR(ROUND(AVERAGE(C18:C18)*(1+GrowthRate),2),0)</f>
        <v>0</v>
      </c>
    </row>
    <row r="19" spans="1:12">
      <c r="A19" s="28">
        <f>Calc!$U$6</f>
        <v>0</v>
      </c>
      <c r="B19" s="29">
        <f>ROUND(Target_Revenue/12,2)</f>
        <v>0</v>
      </c>
      <c r="C19" s="29">
        <f>Calc!$V$6</f>
        <v>0</v>
      </c>
      <c r="D19" s="29">
        <f>C19-B19</f>
        <v>0</v>
      </c>
      <c r="E19" s="30">
        <f>IFERROR(C19/B19,"")</f>
        <v>0</v>
      </c>
      <c r="F19" s="29">
        <f>ROUND(Target_Expenses/12,2)</f>
        <v>0</v>
      </c>
      <c r="G19" s="29">
        <f>Calc!$X$6</f>
        <v>0</v>
      </c>
      <c r="H19" s="29">
        <f>F19-G19</f>
        <v>0</v>
      </c>
      <c r="I19" s="29">
        <f>C19-G19</f>
        <v>0</v>
      </c>
      <c r="J19" s="30">
        <f>IFERROR(I19/C19,"")</f>
        <v>0</v>
      </c>
      <c r="K19" s="29">
        <f>K18+I19</f>
        <v>0</v>
      </c>
      <c r="L19" s="29">
        <f>IFERROR(ROUND(AVERAGE(C18:C19)*(1+GrowthRate),2),0)</f>
        <v>0</v>
      </c>
    </row>
    <row r="20" spans="1:12">
      <c r="A20" s="28">
        <f>Calc!$U$7</f>
        <v>0</v>
      </c>
      <c r="B20" s="29">
        <f>ROUND(Target_Revenue/12,2)</f>
        <v>0</v>
      </c>
      <c r="C20" s="29">
        <f>Calc!$V$7</f>
        <v>0</v>
      </c>
      <c r="D20" s="29">
        <f>C20-B20</f>
        <v>0</v>
      </c>
      <c r="E20" s="30">
        <f>IFERROR(C20/B20,"")</f>
        <v>0</v>
      </c>
      <c r="F20" s="29">
        <f>ROUND(Target_Expenses/12,2)</f>
        <v>0</v>
      </c>
      <c r="G20" s="29">
        <f>Calc!$X$7</f>
        <v>0</v>
      </c>
      <c r="H20" s="29">
        <f>F20-G20</f>
        <v>0</v>
      </c>
      <c r="I20" s="29">
        <f>C20-G20</f>
        <v>0</v>
      </c>
      <c r="J20" s="30">
        <f>IFERROR(I20/C20,"")</f>
        <v>0</v>
      </c>
      <c r="K20" s="29">
        <f>K19+I20</f>
        <v>0</v>
      </c>
      <c r="L20" s="29">
        <f>IFERROR(ROUND(AVERAGE(C18:C20)*(1+GrowthRate),2),0)</f>
        <v>0</v>
      </c>
    </row>
    <row r="21" spans="1:12">
      <c r="A21" s="28">
        <f>Calc!$U$8</f>
        <v>0</v>
      </c>
      <c r="B21" s="29">
        <f>ROUND(Target_Revenue/12,2)</f>
        <v>0</v>
      </c>
      <c r="C21" s="29">
        <f>Calc!$V$8</f>
        <v>0</v>
      </c>
      <c r="D21" s="29">
        <f>C21-B21</f>
        <v>0</v>
      </c>
      <c r="E21" s="30">
        <f>IFERROR(C21/B21,"")</f>
        <v>0</v>
      </c>
      <c r="F21" s="29">
        <f>ROUND(Target_Expenses/12,2)</f>
        <v>0</v>
      </c>
      <c r="G21" s="29">
        <f>Calc!$X$8</f>
        <v>0</v>
      </c>
      <c r="H21" s="29">
        <f>F21-G21</f>
        <v>0</v>
      </c>
      <c r="I21" s="29">
        <f>C21-G21</f>
        <v>0</v>
      </c>
      <c r="J21" s="30">
        <f>IFERROR(I21/C21,"")</f>
        <v>0</v>
      </c>
      <c r="K21" s="29">
        <f>K20+I21</f>
        <v>0</v>
      </c>
      <c r="L21" s="29">
        <f>IFERROR(ROUND(AVERAGE(C18:C21)*(1+GrowthRate),2),0)</f>
        <v>0</v>
      </c>
    </row>
    <row r="22" spans="1:12">
      <c r="A22" s="28">
        <f>Calc!$U$9</f>
        <v>0</v>
      </c>
      <c r="B22" s="29">
        <f>ROUND(Target_Revenue/12,2)</f>
        <v>0</v>
      </c>
      <c r="C22" s="29">
        <f>Calc!$V$9</f>
        <v>0</v>
      </c>
      <c r="D22" s="29">
        <f>C22-B22</f>
        <v>0</v>
      </c>
      <c r="E22" s="30">
        <f>IFERROR(C22/B22,"")</f>
        <v>0</v>
      </c>
      <c r="F22" s="29">
        <f>ROUND(Target_Expenses/12,2)</f>
        <v>0</v>
      </c>
      <c r="G22" s="29">
        <f>Calc!$X$9</f>
        <v>0</v>
      </c>
      <c r="H22" s="29">
        <f>F22-G22</f>
        <v>0</v>
      </c>
      <c r="I22" s="29">
        <f>C22-G22</f>
        <v>0</v>
      </c>
      <c r="J22" s="30">
        <f>IFERROR(I22/C22,"")</f>
        <v>0</v>
      </c>
      <c r="K22" s="29">
        <f>K21+I22</f>
        <v>0</v>
      </c>
      <c r="L22" s="29">
        <f>IFERROR(ROUND(AVERAGE(C18:C22)*(1+GrowthRate),2),0)</f>
        <v>0</v>
      </c>
    </row>
    <row r="23" spans="1:12">
      <c r="A23" s="28">
        <f>Calc!$U$10</f>
        <v>0</v>
      </c>
      <c r="B23" s="29">
        <f>ROUND(Target_Revenue/12,2)</f>
        <v>0</v>
      </c>
      <c r="C23" s="29">
        <f>Calc!$V$10</f>
        <v>0</v>
      </c>
      <c r="D23" s="29">
        <f>C23-B23</f>
        <v>0</v>
      </c>
      <c r="E23" s="30">
        <f>IFERROR(C23/B23,"")</f>
        <v>0</v>
      </c>
      <c r="F23" s="29">
        <f>ROUND(Target_Expenses/12,2)</f>
        <v>0</v>
      </c>
      <c r="G23" s="29">
        <f>Calc!$X$10</f>
        <v>0</v>
      </c>
      <c r="H23" s="29">
        <f>F23-G23</f>
        <v>0</v>
      </c>
      <c r="I23" s="29">
        <f>C23-G23</f>
        <v>0</v>
      </c>
      <c r="J23" s="30">
        <f>IFERROR(I23/C23,"")</f>
        <v>0</v>
      </c>
      <c r="K23" s="29">
        <f>K22+I23</f>
        <v>0</v>
      </c>
      <c r="L23" s="29">
        <f>IFERROR(ROUND(AVERAGE(C18:C23)*(1+GrowthRate),2),0)</f>
        <v>0</v>
      </c>
    </row>
    <row r="24" spans="1:12">
      <c r="A24" s="28">
        <f>Calc!$U$11</f>
        <v>0</v>
      </c>
      <c r="B24" s="29">
        <f>ROUND(Target_Revenue/12,2)</f>
        <v>0</v>
      </c>
      <c r="C24" s="29">
        <f>Calc!$V$11</f>
        <v>0</v>
      </c>
      <c r="D24" s="29">
        <f>C24-B24</f>
        <v>0</v>
      </c>
      <c r="E24" s="30">
        <f>IFERROR(C24/B24,"")</f>
        <v>0</v>
      </c>
      <c r="F24" s="29">
        <f>ROUND(Target_Expenses/12,2)</f>
        <v>0</v>
      </c>
      <c r="G24" s="29">
        <f>Calc!$X$11</f>
        <v>0</v>
      </c>
      <c r="H24" s="29">
        <f>F24-G24</f>
        <v>0</v>
      </c>
      <c r="I24" s="29">
        <f>C24-G24</f>
        <v>0</v>
      </c>
      <c r="J24" s="30">
        <f>IFERROR(I24/C24,"")</f>
        <v>0</v>
      </c>
      <c r="K24" s="29">
        <f>K23+I24</f>
        <v>0</v>
      </c>
      <c r="L24" s="29">
        <f>IFERROR(ROUND(AVERAGE(C18:C24)*(1+GrowthRate),2),0)</f>
        <v>0</v>
      </c>
    </row>
    <row r="25" spans="1:12">
      <c r="A25" s="28">
        <f>Calc!$U$12</f>
        <v>0</v>
      </c>
      <c r="B25" s="29">
        <f>ROUND(Target_Revenue/12,2)</f>
        <v>0</v>
      </c>
      <c r="C25" s="29">
        <f>Calc!$V$12</f>
        <v>0</v>
      </c>
      <c r="D25" s="29">
        <f>C25-B25</f>
        <v>0</v>
      </c>
      <c r="E25" s="30">
        <f>IFERROR(C25/B25,"")</f>
        <v>0</v>
      </c>
      <c r="F25" s="29">
        <f>ROUND(Target_Expenses/12,2)</f>
        <v>0</v>
      </c>
      <c r="G25" s="29">
        <f>Calc!$X$12</f>
        <v>0</v>
      </c>
      <c r="H25" s="29">
        <f>F25-G25</f>
        <v>0</v>
      </c>
      <c r="I25" s="29">
        <f>C25-G25</f>
        <v>0</v>
      </c>
      <c r="J25" s="30">
        <f>IFERROR(I25/C25,"")</f>
        <v>0</v>
      </c>
      <c r="K25" s="29">
        <f>K24+I25</f>
        <v>0</v>
      </c>
      <c r="L25" s="29">
        <f>IFERROR(ROUND(AVERAGE(C18:C25)*(1+GrowthRate),2),0)</f>
        <v>0</v>
      </c>
    </row>
    <row r="26" spans="1:12">
      <c r="A26" s="28">
        <f>Calc!$U$13</f>
        <v>0</v>
      </c>
      <c r="B26" s="29">
        <f>ROUND(Target_Revenue/12,2)</f>
        <v>0</v>
      </c>
      <c r="C26" s="29">
        <f>Calc!$V$13</f>
        <v>0</v>
      </c>
      <c r="D26" s="29">
        <f>C26-B26</f>
        <v>0</v>
      </c>
      <c r="E26" s="30">
        <f>IFERROR(C26/B26,"")</f>
        <v>0</v>
      </c>
      <c r="F26" s="29">
        <f>ROUND(Target_Expenses/12,2)</f>
        <v>0</v>
      </c>
      <c r="G26" s="29">
        <f>Calc!$X$13</f>
        <v>0</v>
      </c>
      <c r="H26" s="29">
        <f>F26-G26</f>
        <v>0</v>
      </c>
      <c r="I26" s="29">
        <f>C26-G26</f>
        <v>0</v>
      </c>
      <c r="J26" s="30">
        <f>IFERROR(I26/C26,"")</f>
        <v>0</v>
      </c>
      <c r="K26" s="29">
        <f>K25+I26</f>
        <v>0</v>
      </c>
      <c r="L26" s="29">
        <f>IFERROR(ROUND(AVERAGE(C18:C26)*(1+GrowthRate),2),0)</f>
        <v>0</v>
      </c>
    </row>
    <row r="27" spans="1:12">
      <c r="A27" s="28">
        <f>Calc!$U$14</f>
        <v>0</v>
      </c>
      <c r="B27" s="29">
        <f>ROUND(Target_Revenue/12,2)</f>
        <v>0</v>
      </c>
      <c r="C27" s="29">
        <f>Calc!$V$14</f>
        <v>0</v>
      </c>
      <c r="D27" s="29">
        <f>C27-B27</f>
        <v>0</v>
      </c>
      <c r="E27" s="30">
        <f>IFERROR(C27/B27,"")</f>
        <v>0</v>
      </c>
      <c r="F27" s="29">
        <f>ROUND(Target_Expenses/12,2)</f>
        <v>0</v>
      </c>
      <c r="G27" s="29">
        <f>Calc!$X$14</f>
        <v>0</v>
      </c>
      <c r="H27" s="29">
        <f>F27-G27</f>
        <v>0</v>
      </c>
      <c r="I27" s="29">
        <f>C27-G27</f>
        <v>0</v>
      </c>
      <c r="J27" s="30">
        <f>IFERROR(I27/C27,"")</f>
        <v>0</v>
      </c>
      <c r="K27" s="29">
        <f>K26+I27</f>
        <v>0</v>
      </c>
      <c r="L27" s="29">
        <f>IFERROR(ROUND(AVERAGE(C18:C27)*(1+GrowthRate),2),0)</f>
        <v>0</v>
      </c>
    </row>
    <row r="28" spans="1:12">
      <c r="A28" s="28">
        <f>Calc!$U$15</f>
        <v>0</v>
      </c>
      <c r="B28" s="29">
        <f>ROUND(Target_Revenue/12,2)</f>
        <v>0</v>
      </c>
      <c r="C28" s="29">
        <f>Calc!$V$15</f>
        <v>0</v>
      </c>
      <c r="D28" s="29">
        <f>C28-B28</f>
        <v>0</v>
      </c>
      <c r="E28" s="30">
        <f>IFERROR(C28/B28,"")</f>
        <v>0</v>
      </c>
      <c r="F28" s="29">
        <f>ROUND(Target_Expenses/12,2)</f>
        <v>0</v>
      </c>
      <c r="G28" s="29">
        <f>Calc!$X$15</f>
        <v>0</v>
      </c>
      <c r="H28" s="29">
        <f>F28-G28</f>
        <v>0</v>
      </c>
      <c r="I28" s="29">
        <f>C28-G28</f>
        <v>0</v>
      </c>
      <c r="J28" s="30">
        <f>IFERROR(I28/C28,"")</f>
        <v>0</v>
      </c>
      <c r="K28" s="29">
        <f>K27+I28</f>
        <v>0</v>
      </c>
      <c r="L28" s="29">
        <f>IFERROR(ROUND(AVERAGE(C18:C28)*(1+GrowthRate),2),0)</f>
        <v>0</v>
      </c>
    </row>
    <row r="29" spans="1:12">
      <c r="A29" s="28">
        <f>Calc!$U$16</f>
        <v>0</v>
      </c>
      <c r="B29" s="29">
        <f>ROUND(Target_Revenue/12,2)</f>
        <v>0</v>
      </c>
      <c r="C29" s="29">
        <f>Calc!$V$16</f>
        <v>0</v>
      </c>
      <c r="D29" s="29">
        <f>C29-B29</f>
        <v>0</v>
      </c>
      <c r="E29" s="30">
        <f>IFERROR(C29/B29,"")</f>
        <v>0</v>
      </c>
      <c r="F29" s="29">
        <f>ROUND(Target_Expenses/12,2)</f>
        <v>0</v>
      </c>
      <c r="G29" s="29">
        <f>Calc!$X$16</f>
        <v>0</v>
      </c>
      <c r="H29" s="29">
        <f>F29-G29</f>
        <v>0</v>
      </c>
      <c r="I29" s="29">
        <f>C29-G29</f>
        <v>0</v>
      </c>
      <c r="J29" s="30">
        <f>IFERROR(I29/C29,"")</f>
        <v>0</v>
      </c>
      <c r="K29" s="29">
        <f>K28+I29</f>
        <v>0</v>
      </c>
      <c r="L29" s="29">
        <f>IFERROR(ROUND(AVERAGE(C18:C29)*(1+GrowthRate),2),0)</f>
        <v>0</v>
      </c>
    </row>
    <row r="30" spans="1:12">
      <c r="A30" s="13" t="s">
        <v>130</v>
      </c>
      <c r="B30" s="33">
        <f>SUM(B18:B29)</f>
        <v>0</v>
      </c>
      <c r="C30" s="33">
        <f>SUM(C18:C29)</f>
        <v>0</v>
      </c>
      <c r="D30" s="33">
        <f>SUM(D18:D29)</f>
        <v>0</v>
      </c>
      <c r="E30" s="34">
        <f>IFERROR(C30/B30,"")</f>
        <v>0</v>
      </c>
      <c r="F30" s="33">
        <f>SUM(F18:F29)</f>
        <v>0</v>
      </c>
      <c r="G30" s="33">
        <f>SUM(G18:G29)</f>
        <v>0</v>
      </c>
      <c r="H30" s="33">
        <f>SUM(H18:H29)</f>
        <v>0</v>
      </c>
      <c r="I30" s="33">
        <f>SUM(I18:I29)</f>
        <v>0</v>
      </c>
      <c r="J30" s="34">
        <f>IFERROR(I30/C30,"")</f>
        <v>0</v>
      </c>
      <c r="K30" s="33">
        <f>K29</f>
        <v>0</v>
      </c>
      <c r="L30" s="33">
        <f>SUM(L18:L29)</f>
        <v>0</v>
      </c>
    </row>
    <row r="31" spans="1:12">
      <c r="A31" s="18" t="s">
        <v>194</v>
      </c>
    </row>
    <row r="33" spans="1:13" ht="20" customHeight="1">
      <c r="A33" s="6" t="s">
        <v>1131</v>
      </c>
      <c r="B33" s="6"/>
      <c r="C33" s="6"/>
      <c r="D33" s="6"/>
      <c r="E33" s="6"/>
      <c r="F33" s="6"/>
      <c r="G33" s="6"/>
      <c r="H33" s="6"/>
      <c r="I33" s="6"/>
      <c r="J33" s="6"/>
      <c r="K33" s="6"/>
      <c r="L33" s="6"/>
      <c r="M33" s="6"/>
    </row>
    <row r="34" spans="1:13">
      <c r="A34" s="7" t="s">
        <v>1132</v>
      </c>
      <c r="B34" s="42">
        <v>1200</v>
      </c>
      <c r="J34" s="37" t="s">
        <v>1141</v>
      </c>
      <c r="K34" s="37"/>
      <c r="L34" s="37"/>
      <c r="M34" s="37"/>
    </row>
    <row r="35" spans="1:13" ht="26" customHeight="1">
      <c r="A35" s="7" t="s">
        <v>1133</v>
      </c>
      <c r="B35" s="29">
        <f>SUMIFS(Payments!$L$5:$L$304,Payments!$B$5:$B$304,"&gt;="&amp;DATE(Dash_Year,1,1),Payments!$B$5:$B$304,"&lt;="&amp;DATE(Dash_Year,12,31))</f>
        <v>0</v>
      </c>
      <c r="J35" s="8" t="s">
        <v>337</v>
      </c>
      <c r="K35" s="9" t="s">
        <v>1081</v>
      </c>
      <c r="L35" s="9" t="s">
        <v>339</v>
      </c>
      <c r="M35" s="9" t="s">
        <v>202</v>
      </c>
    </row>
    <row r="36" spans="1:13">
      <c r="A36" s="7" t="s">
        <v>1134</v>
      </c>
      <c r="B36" s="29">
        <f>SUMIFS(Expenses!$F$5:$F$304,Expenses!$B$5:$B$304,"&gt;="&amp;DATE(Dash_Year,1,1),Expenses!$B$5:$B$304,"&lt;="&amp;DATE(Dash_Year,12,31))</f>
        <v>0</v>
      </c>
      <c r="J36" s="39"/>
      <c r="K36" s="42"/>
      <c r="L36" s="20"/>
      <c r="M36" s="20"/>
    </row>
    <row r="37" spans="1:13">
      <c r="A37" s="7" t="s">
        <v>1135</v>
      </c>
      <c r="B37" s="29">
        <f>SUM(K36:K59)</f>
        <v>0</v>
      </c>
      <c r="J37" s="39"/>
      <c r="K37" s="42"/>
      <c r="L37" s="20"/>
      <c r="M37" s="20"/>
    </row>
    <row r="38" spans="1:13">
      <c r="A38" s="7" t="s">
        <v>1136</v>
      </c>
      <c r="B38" s="29">
        <f>B34+B35-B36-B37</f>
        <v>0</v>
      </c>
      <c r="J38" s="39"/>
      <c r="K38" s="42"/>
      <c r="L38" s="20"/>
      <c r="M38" s="20"/>
    </row>
    <row r="39" spans="1:13">
      <c r="A39" s="7" t="s">
        <v>1137</v>
      </c>
      <c r="B39" s="29">
        <f>MAX(0,SUMIFS(Payments!$L$5:$L$304,Payments!$B$5:$B$304,"&gt;="&amp;DATE(Dash_Year,1,1),Payments!$B$5:$B$304,"&lt;="&amp;DATE(Dash_Year,12,31))-SUMIFS(Expenses!$F$5:$F$304,Expenses!$B$5:$B$304,"&gt;="&amp;DATE(Dash_Year,1,1),Expenses!$B$5:$B$304,"&lt;="&amp;DATE(Dash_Year,12,31)))*TaxReservePct</f>
        <v>0</v>
      </c>
      <c r="J39" s="39"/>
      <c r="K39" s="42"/>
      <c r="L39" s="20"/>
      <c r="M39" s="20"/>
    </row>
    <row r="40" spans="1:13">
      <c r="A40" s="7" t="s">
        <v>1138</v>
      </c>
      <c r="B40" s="42">
        <v>2500</v>
      </c>
      <c r="J40" s="39"/>
      <c r="K40" s="42"/>
      <c r="L40" s="20"/>
      <c r="M40" s="20"/>
    </row>
    <row r="41" spans="1:13">
      <c r="A41" s="7" t="s">
        <v>1139</v>
      </c>
      <c r="B41" s="42">
        <v>900</v>
      </c>
      <c r="J41" s="39"/>
      <c r="K41" s="42"/>
      <c r="L41" s="20"/>
      <c r="M41" s="20"/>
    </row>
    <row r="42" spans="1:13">
      <c r="A42" s="7" t="s">
        <v>1140</v>
      </c>
      <c r="B42" s="30">
        <f>IFERROR(SavingsActual/SavingsTarget,0)</f>
        <v>0</v>
      </c>
      <c r="J42" s="39"/>
      <c r="K42" s="42"/>
      <c r="L42" s="20"/>
      <c r="M42" s="20"/>
    </row>
    <row r="43" spans="1:13">
      <c r="J43" s="39"/>
      <c r="K43" s="42"/>
      <c r="L43" s="20"/>
      <c r="M43" s="20"/>
    </row>
    <row r="44" spans="1:13">
      <c r="J44" s="39"/>
      <c r="K44" s="42"/>
      <c r="L44" s="20"/>
      <c r="M44" s="20"/>
    </row>
    <row r="45" spans="1:13">
      <c r="J45" s="39"/>
      <c r="K45" s="42"/>
      <c r="L45" s="20"/>
      <c r="M45" s="20"/>
    </row>
    <row r="46" spans="1:13">
      <c r="J46" s="39"/>
      <c r="K46" s="42"/>
      <c r="L46" s="20"/>
      <c r="M46" s="20"/>
    </row>
    <row r="47" spans="1:13">
      <c r="J47" s="39"/>
      <c r="K47" s="42"/>
      <c r="L47" s="20"/>
      <c r="M47" s="20"/>
    </row>
    <row r="48" spans="1:13">
      <c r="J48" s="39"/>
      <c r="K48" s="42"/>
      <c r="L48" s="20"/>
      <c r="M48" s="20"/>
    </row>
    <row r="49" spans="1:13">
      <c r="J49" s="39"/>
      <c r="K49" s="42"/>
      <c r="L49" s="20"/>
      <c r="M49" s="20"/>
    </row>
    <row r="50" spans="1:13">
      <c r="J50" s="39"/>
      <c r="K50" s="42"/>
      <c r="L50" s="20"/>
      <c r="M50" s="20"/>
    </row>
    <row r="51" spans="1:13">
      <c r="J51" s="39"/>
      <c r="K51" s="42"/>
      <c r="L51" s="20"/>
      <c r="M51" s="20"/>
    </row>
    <row r="52" spans="1:13">
      <c r="J52" s="39"/>
      <c r="K52" s="42"/>
      <c r="L52" s="20"/>
      <c r="M52" s="20"/>
    </row>
    <row r="53" spans="1:13">
      <c r="J53" s="39"/>
      <c r="K53" s="42"/>
      <c r="L53" s="20"/>
      <c r="M53" s="20"/>
    </row>
    <row r="54" spans="1:13">
      <c r="J54" s="39"/>
      <c r="K54" s="42"/>
      <c r="L54" s="20"/>
      <c r="M54" s="20"/>
    </row>
    <row r="55" spans="1:13">
      <c r="J55" s="39"/>
      <c r="K55" s="42"/>
      <c r="L55" s="20"/>
      <c r="M55" s="20"/>
    </row>
    <row r="56" spans="1:13">
      <c r="J56" s="39"/>
      <c r="K56" s="42"/>
      <c r="L56" s="20"/>
      <c r="M56" s="20"/>
    </row>
    <row r="57" spans="1:13">
      <c r="J57" s="39"/>
      <c r="K57" s="42"/>
      <c r="L57" s="20"/>
      <c r="M57" s="20"/>
    </row>
    <row r="58" spans="1:13">
      <c r="J58" s="39"/>
      <c r="K58" s="42"/>
      <c r="L58" s="20"/>
      <c r="M58" s="20"/>
    </row>
    <row r="59" spans="1:13">
      <c r="J59" s="39"/>
      <c r="K59" s="42"/>
      <c r="L59" s="20"/>
      <c r="M59" s="20"/>
    </row>
    <row r="61" spans="1:13" ht="20" customHeight="1">
      <c r="A61" s="6" t="s">
        <v>1142</v>
      </c>
      <c r="B61" s="6"/>
      <c r="C61" s="6"/>
      <c r="D61" s="6"/>
      <c r="E61" s="6"/>
      <c r="F61" s="6"/>
      <c r="G61" s="6"/>
      <c r="H61" s="6"/>
      <c r="I61" s="6"/>
      <c r="J61" s="6"/>
      <c r="K61" s="6"/>
      <c r="L61" s="6"/>
      <c r="M61" s="6"/>
    </row>
    <row r="62" spans="1:13" ht="26" customHeight="1">
      <c r="A62" s="8" t="s">
        <v>1143</v>
      </c>
      <c r="B62" s="9" t="s">
        <v>1144</v>
      </c>
      <c r="C62" s="9" t="s">
        <v>191</v>
      </c>
      <c r="D62" s="9" t="s">
        <v>192</v>
      </c>
      <c r="E62" s="9" t="s">
        <v>1145</v>
      </c>
      <c r="F62" s="9" t="s">
        <v>202</v>
      </c>
      <c r="G62" s="9" t="s">
        <v>202</v>
      </c>
      <c r="H62" s="9" t="s">
        <v>202</v>
      </c>
      <c r="I62" s="9" t="s">
        <v>202</v>
      </c>
      <c r="J62" s="9" t="s">
        <v>202</v>
      </c>
      <c r="K62" s="9" t="s">
        <v>202</v>
      </c>
      <c r="L62" s="9" t="s">
        <v>202</v>
      </c>
      <c r="M62" s="9" t="s">
        <v>202</v>
      </c>
    </row>
    <row r="63" spans="1:13">
      <c r="A63" s="28" t="s">
        <v>137</v>
      </c>
      <c r="B63" s="29">
        <f>SUMIFS(Payments!$L$5:$L$304,Payments!$B$5:$B$304,"&gt;="&amp;DATE(Dash_Year,1,1),Payments!$B$5:$B$304,"&lt;="&amp;DATE(Dash_Year,12,31))</f>
        <v>0</v>
      </c>
      <c r="C63" s="29">
        <f>SUMIFS(Payments!$L$5:$L$304,Payments!$B$5:$B$304,"&gt;="&amp;DATE(Dash_Year-1,1,1),Payments!$B$5:$B$304,"&lt;="&amp;DATE(Dash_Year-1,12,31))</f>
        <v>0</v>
      </c>
      <c r="D63" s="29">
        <f>B63-C63</f>
        <v>0</v>
      </c>
      <c r="E63" s="30">
        <f>IFERROR(B63/C63-1,"")</f>
        <v>0</v>
      </c>
    </row>
    <row r="64" spans="1:13">
      <c r="A64" s="28" t="s">
        <v>41</v>
      </c>
      <c r="B64" s="29">
        <f>SUMIFS(Expenses!$F$5:$F$304,Expenses!$B$5:$B$304,"&gt;="&amp;DATE(Dash_Year,1,1),Expenses!$B$5:$B$304,"&lt;="&amp;DATE(Dash_Year,12,31),Expenses!$J$5:$J$304,"&lt;&gt;Personal")</f>
        <v>0</v>
      </c>
      <c r="C64" s="29">
        <f>SUMIFS(Expenses!$F$5:$F$304,Expenses!$B$5:$B$304,"&gt;="&amp;DATE(Dash_Year-1,1,1),Expenses!$B$5:$B$304,"&lt;="&amp;DATE(Dash_Year-1,12,31),Expenses!$J$5:$J$304,"&lt;&gt;Personal")</f>
        <v>0</v>
      </c>
      <c r="D64" s="29">
        <f>B64-C64</f>
        <v>0</v>
      </c>
      <c r="E64" s="30">
        <f>IFERROR(B64/C64-1,"")</f>
        <v>0</v>
      </c>
    </row>
    <row r="65" spans="1:13">
      <c r="A65" s="28" t="s">
        <v>27</v>
      </c>
      <c r="B65" s="31">
        <f>COUNTIFS(Bookings!$I$5:$I$404,"&gt;="&amp;DATE(Dash_Year,1,1),Bookings!$I$5:$I$404,"&lt;="&amp;DATE(Dash_Year,12,31),Bookings!$AM$5:$AM$404,"&lt;&gt;Cancelled")</f>
        <v>0</v>
      </c>
      <c r="C65" s="31">
        <f>COUNTIFS(Bookings!$I$5:$I$404,"&gt;="&amp;DATE(Dash_Year-1,1,1),Bookings!$I$5:$I$404,"&lt;="&amp;DATE(Dash_Year-1,12,31),Bookings!$AM$5:$AM$404,"&lt;&gt;Cancelled")</f>
        <v>0</v>
      </c>
      <c r="D65" s="31">
        <f>B65-C65</f>
        <v>0</v>
      </c>
      <c r="E65" s="30">
        <f>IFERROR(B65/C65-1,"")</f>
        <v>0</v>
      </c>
    </row>
    <row r="66" spans="1:13">
      <c r="A66" s="28" t="s">
        <v>177</v>
      </c>
      <c r="B66" s="31">
        <f>COUNTIFS(Clients!$L$5:$L$254,"&gt;="&amp;DATE(Dash_Year,1,1),Clients!$L$5:$L$254,"&lt;="&amp;DATE(Dash_Year,12,31))</f>
        <v>0</v>
      </c>
      <c r="C66" s="31">
        <f>COUNTIFS(Clients!$L$5:$L$254,"&gt;="&amp;DATE(Dash_Year-1,1,1),Clients!$L$5:$L$254,"&lt;="&amp;DATE(Dash_Year-1,12,31))</f>
        <v>0</v>
      </c>
      <c r="D66" s="31">
        <f>B66-C66</f>
        <v>0</v>
      </c>
      <c r="E66" s="30">
        <f>IFERROR(B66/C66-1,"")</f>
        <v>0</v>
      </c>
    </row>
    <row r="67" spans="1:13">
      <c r="A67" s="28" t="s">
        <v>1146</v>
      </c>
      <c r="B67" s="32">
        <f>SUMIFS(Mileage!$M$5:$M$304,Mileage!$B$5:$B$304,"&gt;="&amp;DATE(Dash_Year,1,1),Mileage!$B$5:$B$304,"&lt;="&amp;DATE(Dash_Year,12,31),Mileage!$N$5:$N$304,"Business")</f>
        <v>0</v>
      </c>
      <c r="C67" s="32">
        <f>SUMIFS(Mileage!$M$5:$M$304,Mileage!$B$5:$B$304,"&gt;="&amp;DATE(Dash_Year-1,1,1),Mileage!$B$5:$B$304,"&lt;="&amp;DATE(Dash_Year-1,12,31),Mileage!$N$5:$N$304,"Business")</f>
        <v>0</v>
      </c>
      <c r="D67" s="32">
        <f>B67-C67</f>
        <v>0</v>
      </c>
      <c r="E67" s="30">
        <f>IFERROR(B67/C67-1,"")</f>
        <v>0</v>
      </c>
    </row>
    <row r="69" spans="1:13" ht="24" customHeight="1">
      <c r="A69" s="5" t="s">
        <v>1147</v>
      </c>
      <c r="B69" s="5"/>
      <c r="C69" s="5"/>
      <c r="D69" s="5"/>
      <c r="E69" s="5"/>
      <c r="F69" s="5"/>
      <c r="G69" s="5"/>
      <c r="H69" s="5"/>
      <c r="I69" s="5"/>
      <c r="J69" s="5"/>
      <c r="K69" s="5"/>
      <c r="L69" s="5"/>
      <c r="M69" s="5"/>
    </row>
  </sheetData>
  <sheetProtection password="EC7C" sheet="1" objects="1" scenarios="1" formatCells="0" formatColumns="0" formatRows="0" insertRows="0" insertHyperlinks="0" deleteRows="0" autoFilter="0"/>
  <mergeCells count="15">
    <mergeCell ref="A1:J1"/>
    <mergeCell ref="K1:M1"/>
    <mergeCell ref="A2:M2"/>
    <mergeCell ref="A3:B3"/>
    <mergeCell ref="C3:D3"/>
    <mergeCell ref="E3:F3"/>
    <mergeCell ref="G3:H3"/>
    <mergeCell ref="I3:J3"/>
    <mergeCell ref="K3:L3"/>
    <mergeCell ref="A5:M5"/>
    <mergeCell ref="A16:M16"/>
    <mergeCell ref="A33:M33"/>
    <mergeCell ref="J34:M34"/>
    <mergeCell ref="A61:M61"/>
    <mergeCell ref="A69:M69"/>
  </mergeCells>
  <dataValidations count="9">
    <dataValidation type="decimal" allowBlank="1" showInputMessage="1" showErrorMessage="1" errorTitle="Check the value" error="Enter a number between 0 and 100000000." sqref="B6">
      <formula1>0</formula1>
      <formula2>100000000</formula2>
    </dataValidation>
    <dataValidation type="decimal" allowBlank="1" showInputMessage="1" showErrorMessage="1" errorTitle="Check the value" error="Enter a number between 0 and 100000000." sqref="B7">
      <formula1>0</formula1>
      <formula2>100000000</formula2>
    </dataValidation>
    <dataValidation type="decimal" allowBlank="1" showInputMessage="1" showErrorMessage="1" errorTitle="Check the value" error="Enter a number between 0 and 1000000." sqref="B10">
      <formula1>0</formula1>
      <formula2>1000000</formula2>
    </dataValidation>
    <dataValidation type="decimal" allowBlank="1" showInputMessage="1" showErrorMessage="1" errorTitle="Check the value" error="Enter a number between -1 and 5." sqref="B14">
      <formula1>-1</formula1>
      <formula2>5</formula2>
    </dataValidation>
    <dataValidation type="decimal" allowBlank="1" showInputMessage="1" showErrorMessage="1" errorTitle="Check the value" error="Enter a number between -1000000 and 10000000." sqref="B34">
      <formula1>-1000000</formula1>
      <formula2>10000000</formula2>
    </dataValidation>
    <dataValidation type="decimal" allowBlank="1" showInputMessage="1" showErrorMessage="1" errorTitle="Check the value" error="Enter a number between 0 and 10000000." sqref="B40">
      <formula1>0</formula1>
      <formula2>10000000</formula2>
    </dataValidation>
    <dataValidation type="decimal" allowBlank="1" showInputMessage="1" showErrorMessage="1" errorTitle="Check the value" error="Enter a number between 0 and 10000000." sqref="B41">
      <formula1>0</formula1>
      <formula2>10000000</formula2>
    </dataValidation>
    <dataValidation type="date" allowBlank="1" showInputMessage="1" showErrorMessage="1" errorTitle="Check the date" error="Enter a real date between 2000 and 2100." sqref="J36:J59">
      <formula1>36526</formula1>
      <formula2>73415</formula2>
    </dataValidation>
    <dataValidation type="decimal" allowBlank="1" showInputMessage="1" showErrorMessage="1" errorTitle="Check the value" error="Enter a number between 0 and 1000000." sqref="K36:K59">
      <formula1>0</formula1>
      <formula2>1000000</formula2>
    </dataValidation>
  </dataValidation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s>
  <pageMargins left="0.4" right="0.4" top="0.6" bottom="0.5" header="0.3" footer="0.3"/>
  <pageSetup paperSize="9" fitToHeight="0" orientation="landscape"/>
  <headerFooter>
    <oddHeader>&amp;L&amp;"Calibri,Bold"&amp;12&amp;C&amp;"Calibri,Bold"&amp;11Budget&amp;R&amp;"Calibri,Italic"&amp;9Pet Sitting &amp; Dog Walking Business Spreadsheet</oddHeader>
    <oddFooter>&amp;L&amp;"Calibri,Italic"&amp;8Novality Store - v1.0.0&amp;C&amp;"Calibri,Italic"&amp;8Page &amp;P of &amp;N&amp;R&amp;"Calibri,Italic"&amp;8&amp;D</oddFooter>
  </headerFooter>
  <extLst>
    <ext xmlns:x14="http://schemas.microsoft.com/office/spreadsheetml/2009/9/main" uri="{05C60535-1F16-4fd2-B633-F4F36F0B64E0}">
      <x14:sparklineGroups xmlns:xm="http://schemas.microsoft.com/office/excel/2006/main">
        <x14:sparklineGroup type="column" displayEmptyCellsAs="gap">
          <x14:colorSeries rgb="FF1F4E5F"/>
          <x14:colorNegative theme="5"/>
          <x14:colorAxis rgb="FF000000"/>
          <x14:colorMarkers theme="4" tint="-0.499984740745262"/>
          <x14:colorFirst theme="4" tint="0.39997558519241921"/>
          <x14:colorLast theme="4" tint="0.39997558519241921"/>
          <x14:colorHigh theme="4"/>
          <x14:colorLow theme="4"/>
          <x14:sparklines>
            <x14:sparkline>
              <xm:f>Budget!I18:I29</xm:f>
              <xm:sqref>I31</xm:sqref>
            </x14:sparkline>
          </x14:sparklines>
        </x14:sparklineGroup>
        <x14:sparklineGroup type="column" displayEmptyCellsAs="gap">
          <x14:colorSeries rgb="FFC0504D"/>
          <x14:colorNegative theme="5"/>
          <x14:colorAxis rgb="FF000000"/>
          <x14:colorMarkers theme="4" tint="-0.499984740745262"/>
          <x14:colorFirst theme="4" tint="0.39997558519241921"/>
          <x14:colorLast theme="4" tint="0.39997558519241921"/>
          <x14:colorHigh theme="4"/>
          <x14:colorLow theme="4"/>
          <x14:sparklines>
            <x14:sparkline>
              <xm:f>Budget!G18:G29</xm:f>
              <xm:sqref>G31</xm:sqref>
            </x14:sparkline>
          </x14:sparklines>
        </x14:sparklineGroup>
        <x14:sparklineGroup type="column" displayEmptyCellsAs="gap">
          <x14:colorSeries rgb="FF2E7D8F"/>
          <x14:colorNegative theme="5"/>
          <x14:colorAxis rgb="FF000000"/>
          <x14:colorMarkers theme="4" tint="-0.499984740745262"/>
          <x14:colorFirst theme="4" tint="0.39997558519241921"/>
          <x14:colorLast theme="4" tint="0.39997558519241921"/>
          <x14:colorHigh theme="4"/>
          <x14:colorLow theme="4"/>
          <x14:sparklines>
            <x14:sparkline>
              <xm:f>Budget!C18:C29</xm:f>
              <xm:sqref>C31</xm:sqref>
            </x14:sparkline>
          </x14:sparklines>
        </x14:sparklineGroup>
      </x14:sparklineGroups>
    </ext>
  </extLst>
</worksheet>
</file>

<file path=xl/worksheets/sheet22.xml><?xml version="1.0" encoding="utf-8"?>
<worksheet xmlns="http://schemas.openxmlformats.org/spreadsheetml/2006/main" xmlns:r="http://schemas.openxmlformats.org/officeDocument/2006/relationships">
  <sheetPr>
    <tabColor rgb="FFDCEAEE"/>
    <pageSetUpPr fitToPage="1"/>
  </sheetPr>
  <dimension ref="A1:H43"/>
  <sheetViews>
    <sheetView showGridLines="0" workbookViewId="0"/>
  </sheetViews>
  <sheetFormatPr defaultRowHeight="15"/>
  <cols>
    <col min="1" max="1" width="14.7109375" customWidth="1"/>
    <col min="2" max="2" width="16.7109375" customWidth="1"/>
    <col min="3" max="3" width="14.7109375" customWidth="1"/>
    <col min="4" max="4" width="12.7109375" customWidth="1"/>
    <col min="5" max="5" width="8.7109375" customWidth="1"/>
    <col min="6" max="6" width="10.7109375" customWidth="1"/>
    <col min="7" max="7" width="12.7109375" customWidth="1"/>
    <col min="8" max="8" width="14.7109375" customWidth="1"/>
  </cols>
  <sheetData>
    <row r="1" spans="1:8" ht="22" customHeight="1">
      <c r="A1" s="18" t="s">
        <v>1148</v>
      </c>
      <c r="B1" s="18"/>
      <c r="C1" s="54"/>
      <c r="D1" s="54"/>
      <c r="E1" s="11" t="s">
        <v>1149</v>
      </c>
      <c r="F1" s="11"/>
      <c r="G1" s="11"/>
      <c r="H1" s="11"/>
    </row>
    <row r="3" spans="1:8" ht="30" customHeight="1">
      <c r="A3" s="55">
        <f>Biz_Name</f>
        <v>0</v>
      </c>
      <c r="B3" s="55"/>
      <c r="C3" s="55"/>
      <c r="D3" s="55"/>
      <c r="F3" s="56" t="s">
        <v>1150</v>
      </c>
      <c r="G3" s="56"/>
      <c r="H3" s="56"/>
    </row>
    <row r="4" spans="1:8">
      <c r="A4" s="57">
        <f>Biz_Address</f>
        <v>0</v>
      </c>
      <c r="B4" s="57"/>
      <c r="C4" s="57"/>
      <c r="D4" s="57"/>
      <c r="E4" s="18" t="s">
        <v>874</v>
      </c>
      <c r="F4" s="18"/>
      <c r="G4" s="58">
        <f>IFERROR(INDEX(Invoices!$A$5:$A$304,MATCH(PrintInvoiceNo,Invoices!$A$5:$A$304,0)),"")</f>
        <v>0</v>
      </c>
      <c r="H4" s="58"/>
    </row>
    <row r="5" spans="1:8">
      <c r="A5" s="57">
        <f>Biz_City&amp;" "&amp;Biz_State&amp;" "&amp;Biz_Post</f>
        <v>0</v>
      </c>
      <c r="B5" s="57"/>
      <c r="C5" s="57"/>
      <c r="D5" s="57"/>
      <c r="E5" s="18" t="s">
        <v>875</v>
      </c>
      <c r="F5" s="18"/>
      <c r="G5" s="59">
        <f>IFERROR(INDEX(Invoices!$B$5:$B$304,MATCH(PrintInvoiceNo,Invoices!$A$5:$A$304,0)),"")</f>
        <v>0</v>
      </c>
      <c r="H5" s="59"/>
    </row>
    <row r="6" spans="1:8">
      <c r="A6" s="57">
        <f>Biz_Phone</f>
        <v>0</v>
      </c>
      <c r="B6" s="57"/>
      <c r="C6" s="57"/>
      <c r="D6" s="57"/>
      <c r="E6" s="18" t="s">
        <v>876</v>
      </c>
      <c r="F6" s="18"/>
      <c r="G6" s="59">
        <f>IFERROR(INDEX(Invoices!$C$5:$C$304,MATCH(PrintInvoiceNo,Invoices!$A$5:$A$304,0)),"")</f>
        <v>0</v>
      </c>
      <c r="H6" s="59"/>
    </row>
    <row r="7" spans="1:8">
      <c r="A7" s="57">
        <f>Biz_Email</f>
        <v>0</v>
      </c>
      <c r="B7" s="57"/>
      <c r="C7" s="57"/>
      <c r="D7" s="57"/>
      <c r="E7" s="18" t="s">
        <v>665</v>
      </c>
      <c r="F7" s="18"/>
      <c r="G7" s="58">
        <f>IFERROR(INDEX(Invoices!$U$5:$U$304,MATCH(PrintInvoiceNo,Invoices!$A$5:$A$304,0)),"")</f>
        <v>0</v>
      </c>
      <c r="H7" s="58"/>
    </row>
    <row r="8" spans="1:8">
      <c r="A8" s="57">
        <f>IF(Biz_TaxID="","",TaxName&amp;" no: "&amp;Biz_TaxID)</f>
        <v>0</v>
      </c>
      <c r="B8" s="57"/>
      <c r="C8" s="57"/>
      <c r="D8" s="57"/>
      <c r="E8" s="18" t="s">
        <v>1151</v>
      </c>
      <c r="F8" s="18"/>
      <c r="G8" s="29">
        <f>IFERROR(INDEX(Invoices!$S$5:$S$304,MATCH(PrintInvoiceNo,Invoices!$A$5:$A$304,0)),0)</f>
        <v>0</v>
      </c>
      <c r="H8" s="29"/>
    </row>
    <row r="10" spans="1:8">
      <c r="A10" s="37" t="s">
        <v>1152</v>
      </c>
      <c r="B10" s="37"/>
      <c r="C10" s="37"/>
      <c r="D10" s="37"/>
      <c r="E10" s="37" t="s">
        <v>1153</v>
      </c>
      <c r="F10" s="37"/>
      <c r="G10" s="37"/>
      <c r="H10" s="37"/>
    </row>
    <row r="11" spans="1:8">
      <c r="A11" s="28">
        <f>IFERROR(INDEX(Invoices!$D$5:$D$304,MATCH(PrintInvoiceNo,Invoices!$A$5:$A$304,0)),"")</f>
        <v>0</v>
      </c>
      <c r="B11" s="28"/>
      <c r="C11" s="28"/>
      <c r="D11" s="28"/>
      <c r="E11" s="18" t="s">
        <v>877</v>
      </c>
      <c r="F11" s="18"/>
      <c r="G11" s="58">
        <f>IFERROR(INDEX(Invoices!$E$5:$E$304,MATCH(PrintInvoiceNo,Invoices!$A$5:$A$304,0)),"")</f>
        <v>0</v>
      </c>
      <c r="H11" s="58"/>
    </row>
    <row r="12" spans="1:8">
      <c r="A12" s="28">
        <f>IFERROR(INDEX(Clients!$E$5:$E$254,MATCH((IFERROR(INDEX(Invoices!$D$5:$D$304,MATCH(PrintInvoiceNo,Invoices!$A$5:$A$304,0)),"")),Clients!$B$5:$B$254,0)),"")</f>
        <v>0</v>
      </c>
      <c r="B12" s="28"/>
      <c r="C12" s="28"/>
      <c r="D12" s="28"/>
      <c r="E12" s="18" t="s">
        <v>198</v>
      </c>
      <c r="F12" s="18"/>
      <c r="G12" s="58">
        <f>IFERROR(INDEX(Bookings!$H$5:$H$404,MATCH((IFERROR(INDEX(Invoices!$E$5:$E$304,MATCH(PrintInvoiceNo,Invoices!$A$5:$A$304,0)),"")),Bookings!$A$5:$A$404,0)),"")</f>
        <v>0</v>
      </c>
      <c r="H12" s="58"/>
    </row>
    <row r="13" spans="1:8">
      <c r="A13" s="28">
        <f>IFERROR(INDEX(Clients!$F$5:$F$254,MATCH((IFERROR(INDEX(Invoices!$D$5:$D$304,MATCH(PrintInvoiceNo,Invoices!$A$5:$A$304,0)),"")),Clients!$B$5:$B$254,0)),"")&amp;" "&amp;IFERROR(INDEX(Clients!$G$5:$G$254,MATCH((IFERROR(INDEX(Invoices!$D$5:$D$304,MATCH(PrintInvoiceNo,Invoices!$A$5:$A$304,0)),"")),Clients!$B$5:$B$254,0)),"")</f>
        <v>0</v>
      </c>
      <c r="B13" s="28"/>
      <c r="C13" s="28"/>
      <c r="D13" s="28"/>
      <c r="E13" s="18" t="s">
        <v>734</v>
      </c>
      <c r="F13" s="18"/>
      <c r="G13" s="58">
        <f>IFERROR(INDEX(Bookings!$E$5:$E$404,MATCH((IFERROR(INDEX(Invoices!$E$5:$E$304,MATCH(PrintInvoiceNo,Invoices!$A$5:$A$304,0)),"")),Bookings!$A$5:$A$404,0)),"")</f>
        <v>0</v>
      </c>
      <c r="H13" s="58"/>
    </row>
    <row r="14" spans="1:8">
      <c r="A14" s="28">
        <f>IFERROR(INDEX(Clients!$C$5:$C$254,MATCH((IFERROR(INDEX(Invoices!$D$5:$D$304,MATCH(PrintInvoiceNo,Invoices!$A$5:$A$304,0)),"")),Clients!$B$5:$B$254,0)),"")</f>
        <v>0</v>
      </c>
      <c r="B14" s="28"/>
      <c r="C14" s="28"/>
      <c r="D14" s="28"/>
      <c r="E14" s="18" t="s">
        <v>1154</v>
      </c>
      <c r="F14" s="18"/>
      <c r="G14" s="59">
        <f>IFERROR(INDEX(Bookings!$I$5:$I$404,MATCH((IFERROR(INDEX(Invoices!$E$5:$E$304,MATCH(PrintInvoiceNo,Invoices!$A$5:$A$304,0)),"")),Bookings!$A$5:$A$404,0)),"")</f>
        <v>0</v>
      </c>
      <c r="H14" s="59"/>
    </row>
    <row r="15" spans="1:8">
      <c r="A15" s="28">
        <f>IFERROR(INDEX(Clients!$D$5:$D$254,MATCH((IFERROR(INDEX(Invoices!$D$5:$D$304,MATCH(PrintInvoiceNo,Invoices!$A$5:$A$304,0)),"")),Clients!$B$5:$B$254,0)),"")</f>
        <v>0</v>
      </c>
      <c r="B15" s="28"/>
      <c r="C15" s="28"/>
      <c r="D15" s="28"/>
      <c r="E15" s="18" t="s">
        <v>780</v>
      </c>
      <c r="F15" s="18"/>
      <c r="G15" s="58">
        <f>IFERROR(INDEX(Bookings!$AL$5:$AL$404,MATCH((IFERROR(INDEX(Invoices!$E$5:$E$304,MATCH(PrintInvoiceNo,Invoices!$A$5:$A$304,0)),"")),Bookings!$A$5:$A$404,0)),"")</f>
        <v>0</v>
      </c>
      <c r="H15" s="58"/>
    </row>
    <row r="17" spans="1:8" ht="20" customHeight="1">
      <c r="A17" s="8" t="s">
        <v>908</v>
      </c>
      <c r="B17" s="8"/>
      <c r="C17" s="8"/>
      <c r="D17" s="8"/>
      <c r="E17" s="9" t="s">
        <v>879</v>
      </c>
      <c r="F17" s="9" t="s">
        <v>743</v>
      </c>
      <c r="G17" s="9" t="s">
        <v>1081</v>
      </c>
      <c r="H17" s="9"/>
    </row>
    <row r="18" spans="1:8">
      <c r="A18" s="60">
        <f>IF(IFERROR(INDEX(Invoices!$G$5:$G$304,MATCH(PrintInvoiceNo,Invoices!$A$5:$A$304,0)),"")="",IFERROR(INDEX(Bookings!$H$5:$H$404,MATCH((IFERROR(INDEX(Invoices!$E$5:$E$304,MATCH(PrintInvoiceNo,Invoices!$A$5:$A$304,0)),"")),Bookings!$A$5:$A$404,0)),""),IFERROR(INDEX(Invoices!$G$5:$G$304,MATCH(PrintInvoiceNo,Invoices!$A$5:$A$304,0)),""))</f>
        <v>0</v>
      </c>
      <c r="B18" s="60"/>
      <c r="C18" s="60"/>
      <c r="D18" s="60"/>
      <c r="E18" s="51">
        <f>IF(IFERROR(INDEX(Invoices!$H$5:$H$304,MATCH(PrintInvoiceNo,Invoices!$A$5:$A$304,0)),0)=0,1,IFERROR(INDEX(Invoices!$H$5:$H$304,MATCH(PrintInvoiceNo,Invoices!$A$5:$A$304,0)),0))</f>
        <v>0</v>
      </c>
      <c r="F18" s="29">
        <f>IF(IFERROR(INDEX(Invoices!$I$5:$I$304,MATCH(PrintInvoiceNo,Invoices!$A$5:$A$304,0)),0)=0,IFERROR(INDEX(Invoices!$J$5:$J$304,MATCH(PrintInvoiceNo,Invoices!$A$5:$A$304,0)),0),IFERROR(INDEX(Invoices!$I$5:$I$304,MATCH(PrintInvoiceNo,Invoices!$A$5:$A$304,0)),0))</f>
        <v>0</v>
      </c>
      <c r="G18" s="29">
        <f>IFERROR(INDEX(Invoices!$J$5:$J$304,MATCH(PrintInvoiceNo,Invoices!$A$5:$A$304,0)),0)</f>
        <v>0</v>
      </c>
      <c r="H18" s="29"/>
    </row>
    <row r="19" spans="1:8">
      <c r="A19" s="11" t="s">
        <v>1155</v>
      </c>
      <c r="B19" s="11"/>
      <c r="C19" s="11"/>
      <c r="D19" s="11"/>
      <c r="E19" s="11"/>
      <c r="F19" s="11"/>
      <c r="G19" s="11"/>
      <c r="H19" s="11"/>
    </row>
    <row r="20" spans="1:8">
      <c r="A20" s="28">
        <f>IF(IFERROR(INDEX('Visit Log'!$C$5:$C$404,MATCH((IFERROR(INDEX(Invoices!$E$5:$E$304,MATCH(PrintInvoiceNo,Invoices!$A$5:$A$304,0)),""))&amp;"|"&amp;1,'Visit Log'!$AH$5:$AH$404,0)),"")="","","Visit on "&amp;TEXT(IFERROR(INDEX('Visit Log'!$C$5:$C$404,MATCH((IFERROR(INDEX(Invoices!$E$5:$E$304,MATCH(PrintInvoiceNo,Invoices!$A$5:$A$304,0)),""))&amp;"|"&amp;1,'Visit Log'!$AH$5:$AH$404,0)),""),"dd-mmm-yyyy")&amp;" - "&amp;IFERROR(INDEX('Visit Log'!$F$5:$F$404,MATCH((IFERROR(INDEX(Invoices!$E$5:$E$304,MATCH(PrintInvoiceNo,Invoices!$A$5:$A$304,0)),""))&amp;"|"&amp;1,'Visit Log'!$AH$5:$AH$404,0)),"")&amp;IF(IFERROR(INDEX('Visit Log'!$G$5:$G$404,MATCH((IFERROR(INDEX(Invoices!$E$5:$E$304,MATCH(PrintInvoiceNo,Invoices!$A$5:$A$304,0)),""))&amp;"|"&amp;1,'Visit Log'!$AH$5:$AH$404,0)),"")=""," "," with "&amp;IFERROR(INDEX('Visit Log'!$G$5:$G$404,MATCH((IFERROR(INDEX(Invoices!$E$5:$E$304,MATCH(PrintInvoiceNo,Invoices!$A$5:$A$304,0)),""))&amp;"|"&amp;1,'Visit Log'!$AH$5:$AH$404,0)),"")))</f>
        <v>0</v>
      </c>
      <c r="B20" s="28"/>
      <c r="C20" s="28"/>
      <c r="D20" s="28"/>
      <c r="E20" s="58">
        <f>IF(IFERROR(INDEX('Visit Log'!$K$5:$K$404,MATCH((IFERROR(INDEX(Invoices!$E$5:$E$304,MATCH(PrintInvoiceNo,Invoices!$A$5:$A$304,0)),""))&amp;"|"&amp;1,'Visit Log'!$AH$5:$AH$404,0)),"")="","",IFERROR(INDEX('Visit Log'!$K$5:$K$404,MATCH((IFERROR(INDEX(Invoices!$E$5:$E$304,MATCH(PrintInvoiceNo,Invoices!$A$5:$A$304,0)),""))&amp;"|"&amp;1,'Visit Log'!$AH$5:$AH$404,0)),"")&amp;" min")</f>
        <v>0</v>
      </c>
      <c r="F20" s="28"/>
      <c r="G20" s="28"/>
      <c r="H20" s="28"/>
    </row>
    <row r="21" spans="1:8">
      <c r="A21" s="28">
        <f>IF(IFERROR(INDEX('Visit Log'!$C$5:$C$404,MATCH((IFERROR(INDEX(Invoices!$E$5:$E$304,MATCH(PrintInvoiceNo,Invoices!$A$5:$A$304,0)),""))&amp;"|"&amp;2,'Visit Log'!$AH$5:$AH$404,0)),"")="","","Visit on "&amp;TEXT(IFERROR(INDEX('Visit Log'!$C$5:$C$404,MATCH((IFERROR(INDEX(Invoices!$E$5:$E$304,MATCH(PrintInvoiceNo,Invoices!$A$5:$A$304,0)),""))&amp;"|"&amp;2,'Visit Log'!$AH$5:$AH$404,0)),""),"dd-mmm-yyyy")&amp;" - "&amp;IFERROR(INDEX('Visit Log'!$F$5:$F$404,MATCH((IFERROR(INDEX(Invoices!$E$5:$E$304,MATCH(PrintInvoiceNo,Invoices!$A$5:$A$304,0)),""))&amp;"|"&amp;2,'Visit Log'!$AH$5:$AH$404,0)),"")&amp;IF(IFERROR(INDEX('Visit Log'!$G$5:$G$404,MATCH((IFERROR(INDEX(Invoices!$E$5:$E$304,MATCH(PrintInvoiceNo,Invoices!$A$5:$A$304,0)),""))&amp;"|"&amp;2,'Visit Log'!$AH$5:$AH$404,0)),"")=""," "," with "&amp;IFERROR(INDEX('Visit Log'!$G$5:$G$404,MATCH((IFERROR(INDEX(Invoices!$E$5:$E$304,MATCH(PrintInvoiceNo,Invoices!$A$5:$A$304,0)),""))&amp;"|"&amp;2,'Visit Log'!$AH$5:$AH$404,0)),"")))</f>
        <v>0</v>
      </c>
      <c r="B21" s="28"/>
      <c r="C21" s="28"/>
      <c r="D21" s="28"/>
      <c r="E21" s="58">
        <f>IF(IFERROR(INDEX('Visit Log'!$K$5:$K$404,MATCH((IFERROR(INDEX(Invoices!$E$5:$E$304,MATCH(PrintInvoiceNo,Invoices!$A$5:$A$304,0)),""))&amp;"|"&amp;2,'Visit Log'!$AH$5:$AH$404,0)),"")="","",IFERROR(INDEX('Visit Log'!$K$5:$K$404,MATCH((IFERROR(INDEX(Invoices!$E$5:$E$304,MATCH(PrintInvoiceNo,Invoices!$A$5:$A$304,0)),""))&amp;"|"&amp;2,'Visit Log'!$AH$5:$AH$404,0)),"")&amp;" min")</f>
        <v>0</v>
      </c>
      <c r="F21" s="28"/>
      <c r="G21" s="28"/>
      <c r="H21" s="28"/>
    </row>
    <row r="22" spans="1:8">
      <c r="A22" s="28">
        <f>IF(IFERROR(INDEX('Visit Log'!$C$5:$C$404,MATCH((IFERROR(INDEX(Invoices!$E$5:$E$304,MATCH(PrintInvoiceNo,Invoices!$A$5:$A$304,0)),""))&amp;"|"&amp;3,'Visit Log'!$AH$5:$AH$404,0)),"")="","","Visit on "&amp;TEXT(IFERROR(INDEX('Visit Log'!$C$5:$C$404,MATCH((IFERROR(INDEX(Invoices!$E$5:$E$304,MATCH(PrintInvoiceNo,Invoices!$A$5:$A$304,0)),""))&amp;"|"&amp;3,'Visit Log'!$AH$5:$AH$404,0)),""),"dd-mmm-yyyy")&amp;" - "&amp;IFERROR(INDEX('Visit Log'!$F$5:$F$404,MATCH((IFERROR(INDEX(Invoices!$E$5:$E$304,MATCH(PrintInvoiceNo,Invoices!$A$5:$A$304,0)),""))&amp;"|"&amp;3,'Visit Log'!$AH$5:$AH$404,0)),"")&amp;IF(IFERROR(INDEX('Visit Log'!$G$5:$G$404,MATCH((IFERROR(INDEX(Invoices!$E$5:$E$304,MATCH(PrintInvoiceNo,Invoices!$A$5:$A$304,0)),""))&amp;"|"&amp;3,'Visit Log'!$AH$5:$AH$404,0)),"")=""," "," with "&amp;IFERROR(INDEX('Visit Log'!$G$5:$G$404,MATCH((IFERROR(INDEX(Invoices!$E$5:$E$304,MATCH(PrintInvoiceNo,Invoices!$A$5:$A$304,0)),""))&amp;"|"&amp;3,'Visit Log'!$AH$5:$AH$404,0)),"")))</f>
        <v>0</v>
      </c>
      <c r="B22" s="28"/>
      <c r="C22" s="28"/>
      <c r="D22" s="28"/>
      <c r="E22" s="58">
        <f>IF(IFERROR(INDEX('Visit Log'!$K$5:$K$404,MATCH((IFERROR(INDEX(Invoices!$E$5:$E$304,MATCH(PrintInvoiceNo,Invoices!$A$5:$A$304,0)),""))&amp;"|"&amp;3,'Visit Log'!$AH$5:$AH$404,0)),"")="","",IFERROR(INDEX('Visit Log'!$K$5:$K$404,MATCH((IFERROR(INDEX(Invoices!$E$5:$E$304,MATCH(PrintInvoiceNo,Invoices!$A$5:$A$304,0)),""))&amp;"|"&amp;3,'Visit Log'!$AH$5:$AH$404,0)),"")&amp;" min")</f>
        <v>0</v>
      </c>
      <c r="F22" s="28"/>
      <c r="G22" s="28"/>
      <c r="H22" s="28"/>
    </row>
    <row r="23" spans="1:8">
      <c r="A23" s="28">
        <f>IF(IFERROR(INDEX('Visit Log'!$C$5:$C$404,MATCH((IFERROR(INDEX(Invoices!$E$5:$E$304,MATCH(PrintInvoiceNo,Invoices!$A$5:$A$304,0)),""))&amp;"|"&amp;4,'Visit Log'!$AH$5:$AH$404,0)),"")="","","Visit on "&amp;TEXT(IFERROR(INDEX('Visit Log'!$C$5:$C$404,MATCH((IFERROR(INDEX(Invoices!$E$5:$E$304,MATCH(PrintInvoiceNo,Invoices!$A$5:$A$304,0)),""))&amp;"|"&amp;4,'Visit Log'!$AH$5:$AH$404,0)),""),"dd-mmm-yyyy")&amp;" - "&amp;IFERROR(INDEX('Visit Log'!$F$5:$F$404,MATCH((IFERROR(INDEX(Invoices!$E$5:$E$304,MATCH(PrintInvoiceNo,Invoices!$A$5:$A$304,0)),""))&amp;"|"&amp;4,'Visit Log'!$AH$5:$AH$404,0)),"")&amp;IF(IFERROR(INDEX('Visit Log'!$G$5:$G$404,MATCH((IFERROR(INDEX(Invoices!$E$5:$E$304,MATCH(PrintInvoiceNo,Invoices!$A$5:$A$304,0)),""))&amp;"|"&amp;4,'Visit Log'!$AH$5:$AH$404,0)),"")=""," "," with "&amp;IFERROR(INDEX('Visit Log'!$G$5:$G$404,MATCH((IFERROR(INDEX(Invoices!$E$5:$E$304,MATCH(PrintInvoiceNo,Invoices!$A$5:$A$304,0)),""))&amp;"|"&amp;4,'Visit Log'!$AH$5:$AH$404,0)),"")))</f>
        <v>0</v>
      </c>
      <c r="B23" s="28"/>
      <c r="C23" s="28"/>
      <c r="D23" s="28"/>
      <c r="E23" s="58">
        <f>IF(IFERROR(INDEX('Visit Log'!$K$5:$K$404,MATCH((IFERROR(INDEX(Invoices!$E$5:$E$304,MATCH(PrintInvoiceNo,Invoices!$A$5:$A$304,0)),""))&amp;"|"&amp;4,'Visit Log'!$AH$5:$AH$404,0)),"")="","",IFERROR(INDEX('Visit Log'!$K$5:$K$404,MATCH((IFERROR(INDEX(Invoices!$E$5:$E$304,MATCH(PrintInvoiceNo,Invoices!$A$5:$A$304,0)),""))&amp;"|"&amp;4,'Visit Log'!$AH$5:$AH$404,0)),"")&amp;" min")</f>
        <v>0</v>
      </c>
      <c r="F23" s="28"/>
      <c r="G23" s="28"/>
      <c r="H23" s="28"/>
    </row>
    <row r="24" spans="1:8">
      <c r="A24" s="28">
        <f>IF(IFERROR(INDEX('Visit Log'!$C$5:$C$404,MATCH((IFERROR(INDEX(Invoices!$E$5:$E$304,MATCH(PrintInvoiceNo,Invoices!$A$5:$A$304,0)),""))&amp;"|"&amp;5,'Visit Log'!$AH$5:$AH$404,0)),"")="","","Visit on "&amp;TEXT(IFERROR(INDEX('Visit Log'!$C$5:$C$404,MATCH((IFERROR(INDEX(Invoices!$E$5:$E$304,MATCH(PrintInvoiceNo,Invoices!$A$5:$A$304,0)),""))&amp;"|"&amp;5,'Visit Log'!$AH$5:$AH$404,0)),""),"dd-mmm-yyyy")&amp;" - "&amp;IFERROR(INDEX('Visit Log'!$F$5:$F$404,MATCH((IFERROR(INDEX(Invoices!$E$5:$E$304,MATCH(PrintInvoiceNo,Invoices!$A$5:$A$304,0)),""))&amp;"|"&amp;5,'Visit Log'!$AH$5:$AH$404,0)),"")&amp;IF(IFERROR(INDEX('Visit Log'!$G$5:$G$404,MATCH((IFERROR(INDEX(Invoices!$E$5:$E$304,MATCH(PrintInvoiceNo,Invoices!$A$5:$A$304,0)),""))&amp;"|"&amp;5,'Visit Log'!$AH$5:$AH$404,0)),"")=""," "," with "&amp;IFERROR(INDEX('Visit Log'!$G$5:$G$404,MATCH((IFERROR(INDEX(Invoices!$E$5:$E$304,MATCH(PrintInvoiceNo,Invoices!$A$5:$A$304,0)),""))&amp;"|"&amp;5,'Visit Log'!$AH$5:$AH$404,0)),"")))</f>
        <v>0</v>
      </c>
      <c r="B24" s="28"/>
      <c r="C24" s="28"/>
      <c r="D24" s="28"/>
      <c r="E24" s="58">
        <f>IF(IFERROR(INDEX('Visit Log'!$K$5:$K$404,MATCH((IFERROR(INDEX(Invoices!$E$5:$E$304,MATCH(PrintInvoiceNo,Invoices!$A$5:$A$304,0)),""))&amp;"|"&amp;5,'Visit Log'!$AH$5:$AH$404,0)),"")="","",IFERROR(INDEX('Visit Log'!$K$5:$K$404,MATCH((IFERROR(INDEX(Invoices!$E$5:$E$304,MATCH(PrintInvoiceNo,Invoices!$A$5:$A$304,0)),""))&amp;"|"&amp;5,'Visit Log'!$AH$5:$AH$404,0)),"")&amp;" min")</f>
        <v>0</v>
      </c>
      <c r="F24" s="28"/>
      <c r="G24" s="28"/>
      <c r="H24" s="28"/>
    </row>
    <row r="25" spans="1:8">
      <c r="A25" s="28">
        <f>IF(IFERROR(INDEX('Visit Log'!$C$5:$C$404,MATCH((IFERROR(INDEX(Invoices!$E$5:$E$304,MATCH(PrintInvoiceNo,Invoices!$A$5:$A$304,0)),""))&amp;"|"&amp;6,'Visit Log'!$AH$5:$AH$404,0)),"")="","","Visit on "&amp;TEXT(IFERROR(INDEX('Visit Log'!$C$5:$C$404,MATCH((IFERROR(INDEX(Invoices!$E$5:$E$304,MATCH(PrintInvoiceNo,Invoices!$A$5:$A$304,0)),""))&amp;"|"&amp;6,'Visit Log'!$AH$5:$AH$404,0)),""),"dd-mmm-yyyy")&amp;" - "&amp;IFERROR(INDEX('Visit Log'!$F$5:$F$404,MATCH((IFERROR(INDEX(Invoices!$E$5:$E$304,MATCH(PrintInvoiceNo,Invoices!$A$5:$A$304,0)),""))&amp;"|"&amp;6,'Visit Log'!$AH$5:$AH$404,0)),"")&amp;IF(IFERROR(INDEX('Visit Log'!$G$5:$G$404,MATCH((IFERROR(INDEX(Invoices!$E$5:$E$304,MATCH(PrintInvoiceNo,Invoices!$A$5:$A$304,0)),""))&amp;"|"&amp;6,'Visit Log'!$AH$5:$AH$404,0)),"")=""," "," with "&amp;IFERROR(INDEX('Visit Log'!$G$5:$G$404,MATCH((IFERROR(INDEX(Invoices!$E$5:$E$304,MATCH(PrintInvoiceNo,Invoices!$A$5:$A$304,0)),""))&amp;"|"&amp;6,'Visit Log'!$AH$5:$AH$404,0)),"")))</f>
        <v>0</v>
      </c>
      <c r="B25" s="28"/>
      <c r="C25" s="28"/>
      <c r="D25" s="28"/>
      <c r="E25" s="58">
        <f>IF(IFERROR(INDEX('Visit Log'!$K$5:$K$404,MATCH((IFERROR(INDEX(Invoices!$E$5:$E$304,MATCH(PrintInvoiceNo,Invoices!$A$5:$A$304,0)),""))&amp;"|"&amp;6,'Visit Log'!$AH$5:$AH$404,0)),"")="","",IFERROR(INDEX('Visit Log'!$K$5:$K$404,MATCH((IFERROR(INDEX(Invoices!$E$5:$E$304,MATCH(PrintInvoiceNo,Invoices!$A$5:$A$304,0)),""))&amp;"|"&amp;6,'Visit Log'!$AH$5:$AH$404,0)),"")&amp;" min")</f>
        <v>0</v>
      </c>
      <c r="F25" s="28"/>
      <c r="G25" s="28"/>
      <c r="H25" s="28"/>
    </row>
    <row r="26" spans="1:8">
      <c r="A26" s="28">
        <f>IF(IFERROR(INDEX('Visit Log'!$C$5:$C$404,MATCH((IFERROR(INDEX(Invoices!$E$5:$E$304,MATCH(PrintInvoiceNo,Invoices!$A$5:$A$304,0)),""))&amp;"|"&amp;7,'Visit Log'!$AH$5:$AH$404,0)),"")="","","Visit on "&amp;TEXT(IFERROR(INDEX('Visit Log'!$C$5:$C$404,MATCH((IFERROR(INDEX(Invoices!$E$5:$E$304,MATCH(PrintInvoiceNo,Invoices!$A$5:$A$304,0)),""))&amp;"|"&amp;7,'Visit Log'!$AH$5:$AH$404,0)),""),"dd-mmm-yyyy")&amp;" - "&amp;IFERROR(INDEX('Visit Log'!$F$5:$F$404,MATCH((IFERROR(INDEX(Invoices!$E$5:$E$304,MATCH(PrintInvoiceNo,Invoices!$A$5:$A$304,0)),""))&amp;"|"&amp;7,'Visit Log'!$AH$5:$AH$404,0)),"")&amp;IF(IFERROR(INDEX('Visit Log'!$G$5:$G$404,MATCH((IFERROR(INDEX(Invoices!$E$5:$E$304,MATCH(PrintInvoiceNo,Invoices!$A$5:$A$304,0)),""))&amp;"|"&amp;7,'Visit Log'!$AH$5:$AH$404,0)),"")=""," "," with "&amp;IFERROR(INDEX('Visit Log'!$G$5:$G$404,MATCH((IFERROR(INDEX(Invoices!$E$5:$E$304,MATCH(PrintInvoiceNo,Invoices!$A$5:$A$304,0)),""))&amp;"|"&amp;7,'Visit Log'!$AH$5:$AH$404,0)),"")))</f>
        <v>0</v>
      </c>
      <c r="B26" s="28"/>
      <c r="C26" s="28"/>
      <c r="D26" s="28"/>
      <c r="E26" s="58">
        <f>IF(IFERROR(INDEX('Visit Log'!$K$5:$K$404,MATCH((IFERROR(INDEX(Invoices!$E$5:$E$304,MATCH(PrintInvoiceNo,Invoices!$A$5:$A$304,0)),""))&amp;"|"&amp;7,'Visit Log'!$AH$5:$AH$404,0)),"")="","",IFERROR(INDEX('Visit Log'!$K$5:$K$404,MATCH((IFERROR(INDEX(Invoices!$E$5:$E$304,MATCH(PrintInvoiceNo,Invoices!$A$5:$A$304,0)),""))&amp;"|"&amp;7,'Visit Log'!$AH$5:$AH$404,0)),"")&amp;" min")</f>
        <v>0</v>
      </c>
      <c r="F26" s="28"/>
      <c r="G26" s="28"/>
      <c r="H26" s="28"/>
    </row>
    <row r="27" spans="1:8">
      <c r="A27" s="28">
        <f>IF(IFERROR(INDEX('Visit Log'!$C$5:$C$404,MATCH((IFERROR(INDEX(Invoices!$E$5:$E$304,MATCH(PrintInvoiceNo,Invoices!$A$5:$A$304,0)),""))&amp;"|"&amp;8,'Visit Log'!$AH$5:$AH$404,0)),"")="","","Visit on "&amp;TEXT(IFERROR(INDEX('Visit Log'!$C$5:$C$404,MATCH((IFERROR(INDEX(Invoices!$E$5:$E$304,MATCH(PrintInvoiceNo,Invoices!$A$5:$A$304,0)),""))&amp;"|"&amp;8,'Visit Log'!$AH$5:$AH$404,0)),""),"dd-mmm-yyyy")&amp;" - "&amp;IFERROR(INDEX('Visit Log'!$F$5:$F$404,MATCH((IFERROR(INDEX(Invoices!$E$5:$E$304,MATCH(PrintInvoiceNo,Invoices!$A$5:$A$304,0)),""))&amp;"|"&amp;8,'Visit Log'!$AH$5:$AH$404,0)),"")&amp;IF(IFERROR(INDEX('Visit Log'!$G$5:$G$404,MATCH((IFERROR(INDEX(Invoices!$E$5:$E$304,MATCH(PrintInvoiceNo,Invoices!$A$5:$A$304,0)),""))&amp;"|"&amp;8,'Visit Log'!$AH$5:$AH$404,0)),"")=""," "," with "&amp;IFERROR(INDEX('Visit Log'!$G$5:$G$404,MATCH((IFERROR(INDEX(Invoices!$E$5:$E$304,MATCH(PrintInvoiceNo,Invoices!$A$5:$A$304,0)),""))&amp;"|"&amp;8,'Visit Log'!$AH$5:$AH$404,0)),"")))</f>
        <v>0</v>
      </c>
      <c r="B27" s="28"/>
      <c r="C27" s="28"/>
      <c r="D27" s="28"/>
      <c r="E27" s="58">
        <f>IF(IFERROR(INDEX('Visit Log'!$K$5:$K$404,MATCH((IFERROR(INDEX(Invoices!$E$5:$E$304,MATCH(PrintInvoiceNo,Invoices!$A$5:$A$304,0)),""))&amp;"|"&amp;8,'Visit Log'!$AH$5:$AH$404,0)),"")="","",IFERROR(INDEX('Visit Log'!$K$5:$K$404,MATCH((IFERROR(INDEX(Invoices!$E$5:$E$304,MATCH(PrintInvoiceNo,Invoices!$A$5:$A$304,0)),""))&amp;"|"&amp;8,'Visit Log'!$AH$5:$AH$404,0)),"")&amp;" min")</f>
        <v>0</v>
      </c>
      <c r="F27" s="28"/>
      <c r="G27" s="28"/>
      <c r="H27" s="28"/>
    </row>
    <row r="29" spans="1:8">
      <c r="E29" s="18" t="s">
        <v>761</v>
      </c>
      <c r="F29" s="18"/>
      <c r="G29" s="29">
        <f>IFERROR(INDEX(Invoices!$M$5:$M$304,MATCH(PrintInvoiceNo,Invoices!$A$5:$A$304,0)),0)</f>
        <v>0</v>
      </c>
      <c r="H29" s="29"/>
    </row>
    <row r="30" spans="1:8">
      <c r="E30" s="18" t="s">
        <v>881</v>
      </c>
      <c r="F30" s="18"/>
      <c r="G30" s="29">
        <f>IFERROR(INDEX(Invoices!$K$5:$K$304,MATCH(PrintInvoiceNo,Invoices!$A$5:$A$304,0)),0)</f>
        <v>0</v>
      </c>
      <c r="H30" s="29"/>
    </row>
    <row r="31" spans="1:8">
      <c r="E31" s="18" t="s">
        <v>758</v>
      </c>
      <c r="F31" s="18"/>
      <c r="G31" s="29">
        <f>-IFERROR(INDEX(Invoices!$L$5:$L$304,MATCH(PrintInvoiceNo,Invoices!$A$5:$A$304,0)),0)</f>
        <v>0</v>
      </c>
      <c r="H31" s="29"/>
    </row>
    <row r="32" spans="1:8">
      <c r="E32" s="18" t="s">
        <v>762</v>
      </c>
      <c r="F32" s="18"/>
      <c r="G32" s="29">
        <f>IFERROR(INDEX(Invoices!$N$5:$N$304,MATCH(PrintInvoiceNo,Invoices!$A$5:$A$304,0)),0)</f>
        <v>0</v>
      </c>
      <c r="H32" s="29"/>
    </row>
    <row r="33" spans="1:8">
      <c r="E33" s="18" t="s">
        <v>1156</v>
      </c>
      <c r="F33" s="18"/>
      <c r="G33" s="29">
        <f>IFERROR(INDEX(Invoices!$O$5:$O$304,MATCH(PrintInvoiceNo,Invoices!$A$5:$A$304,0)),0)</f>
        <v>0</v>
      </c>
      <c r="H33" s="29"/>
    </row>
    <row r="34" spans="1:8">
      <c r="E34" s="18" t="s">
        <v>1157</v>
      </c>
      <c r="F34" s="18"/>
      <c r="G34" s="29">
        <f>-IFERROR(INDEX(Invoices!$Q$5:$Q$304,MATCH(PrintInvoiceNo,Invoices!$A$5:$A$304,0)),0)</f>
        <v>0</v>
      </c>
      <c r="H34" s="29"/>
    </row>
    <row r="35" spans="1:8" ht="22" customHeight="1">
      <c r="E35" s="13" t="s">
        <v>1158</v>
      </c>
      <c r="F35" s="13"/>
      <c r="G35" s="61">
        <f>IFERROR(INDEX(Invoices!$S$5:$S$304,MATCH(PrintInvoiceNo,Invoices!$A$5:$A$304,0)),0)</f>
        <v>0</v>
      </c>
      <c r="H35" s="61"/>
    </row>
    <row r="37" spans="1:8">
      <c r="A37" s="37" t="s">
        <v>1159</v>
      </c>
      <c r="B37" s="37"/>
      <c r="C37" s="37"/>
      <c r="D37" s="37"/>
      <c r="E37" s="37"/>
      <c r="F37" s="37"/>
      <c r="G37" s="37"/>
      <c r="H37" s="37"/>
    </row>
    <row r="38" spans="1:8">
      <c r="A38" s="7" t="s">
        <v>1160</v>
      </c>
      <c r="B38" s="7"/>
      <c r="C38" s="28">
        <f>Biz_Bank</f>
        <v>0</v>
      </c>
      <c r="D38" s="28"/>
      <c r="E38" s="28"/>
      <c r="F38" s="28"/>
      <c r="G38" s="28"/>
      <c r="H38" s="28"/>
    </row>
    <row r="39" spans="1:8">
      <c r="A39" s="7" t="s">
        <v>1161</v>
      </c>
      <c r="B39" s="7"/>
      <c r="C39" s="28">
        <f>"Payment is due within "&amp;PaymentTermsDays&amp;" days of the invoice date."</f>
        <v>0</v>
      </c>
      <c r="D39" s="28"/>
      <c r="E39" s="28"/>
      <c r="F39" s="28"/>
      <c r="G39" s="28"/>
      <c r="H39" s="28"/>
    </row>
    <row r="40" spans="1:8">
      <c r="A40" s="7" t="s">
        <v>1162</v>
      </c>
      <c r="B40" s="7"/>
      <c r="C40" s="28">
        <f>IF(LateFeePct=0,"",TEXT(LateFeePct,"0%")&amp;" late fee may be applied to overdue balances.")</f>
        <v>0</v>
      </c>
      <c r="D40" s="28"/>
      <c r="E40" s="28"/>
      <c r="F40" s="28"/>
      <c r="G40" s="28"/>
      <c r="H40" s="28"/>
    </row>
    <row r="41" spans="1:8">
      <c r="A41" s="7" t="s">
        <v>339</v>
      </c>
      <c r="B41" s="7"/>
      <c r="C41" s="28">
        <f>IFERROR(INDEX(Invoices!$AB$5:$AB$304,MATCH(PrintInvoiceNo,Invoices!$A$5:$A$304,0)),"")</f>
        <v>0</v>
      </c>
      <c r="D41" s="28"/>
      <c r="E41" s="28"/>
      <c r="F41" s="28"/>
      <c r="G41" s="28"/>
      <c r="H41" s="28"/>
    </row>
    <row r="43" spans="1:8" ht="26" customHeight="1">
      <c r="A43" s="5">
        <f>"Thank you for trusting "&amp;Biz_Name&amp;" with your pets. Questions about this invoice? Call "&amp;Biz_Phone&amp;" or email "&amp;Biz_Email&amp;"."</f>
        <v>0</v>
      </c>
      <c r="B43" s="5"/>
      <c r="C43" s="5"/>
      <c r="D43" s="5"/>
      <c r="E43" s="5"/>
      <c r="F43" s="5"/>
      <c r="G43" s="5"/>
      <c r="H43" s="5"/>
    </row>
  </sheetData>
  <sheetProtection password="EC7C" sheet="1" objects="1" scenarios="1" formatCells="0" formatColumns="0" formatRows="0" insertRows="0" insertHyperlinks="0" deleteRows="0" autoFilter="0"/>
  <mergeCells count="82">
    <mergeCell ref="A1:B1"/>
    <mergeCell ref="C1:D1"/>
    <mergeCell ref="E1:H1"/>
    <mergeCell ref="A3:D3"/>
    <mergeCell ref="F3:H3"/>
    <mergeCell ref="A4:D4"/>
    <mergeCell ref="A5:D5"/>
    <mergeCell ref="A6:D6"/>
    <mergeCell ref="A7:D7"/>
    <mergeCell ref="A8:D8"/>
    <mergeCell ref="E4:F4"/>
    <mergeCell ref="G4:H4"/>
    <mergeCell ref="E5:F5"/>
    <mergeCell ref="G5:H5"/>
    <mergeCell ref="E6:F6"/>
    <mergeCell ref="G6:H6"/>
    <mergeCell ref="E7:F7"/>
    <mergeCell ref="G7:H7"/>
    <mergeCell ref="E8:F8"/>
    <mergeCell ref="G8:H8"/>
    <mergeCell ref="A10:D10"/>
    <mergeCell ref="E10:H10"/>
    <mergeCell ref="A11:D11"/>
    <mergeCell ref="A12:D12"/>
    <mergeCell ref="A13:D13"/>
    <mergeCell ref="A14:D14"/>
    <mergeCell ref="A15:D15"/>
    <mergeCell ref="E11:F11"/>
    <mergeCell ref="G11:H11"/>
    <mergeCell ref="E12:F12"/>
    <mergeCell ref="G12:H12"/>
    <mergeCell ref="E13:F13"/>
    <mergeCell ref="G13:H13"/>
    <mergeCell ref="E14:F14"/>
    <mergeCell ref="G14:H14"/>
    <mergeCell ref="E15:F15"/>
    <mergeCell ref="G15:H15"/>
    <mergeCell ref="A17:D17"/>
    <mergeCell ref="G17:H17"/>
    <mergeCell ref="A18:D18"/>
    <mergeCell ref="G18:H18"/>
    <mergeCell ref="A19:H19"/>
    <mergeCell ref="A20:D20"/>
    <mergeCell ref="F20:H20"/>
    <mergeCell ref="A21:D21"/>
    <mergeCell ref="F21:H21"/>
    <mergeCell ref="A22:D22"/>
    <mergeCell ref="F22:H22"/>
    <mergeCell ref="A23:D23"/>
    <mergeCell ref="F23:H23"/>
    <mergeCell ref="A24:D24"/>
    <mergeCell ref="F24:H24"/>
    <mergeCell ref="A25:D25"/>
    <mergeCell ref="F25:H25"/>
    <mergeCell ref="A26:D26"/>
    <mergeCell ref="F26:H26"/>
    <mergeCell ref="A27:D27"/>
    <mergeCell ref="F27:H27"/>
    <mergeCell ref="E29:F29"/>
    <mergeCell ref="G29:H29"/>
    <mergeCell ref="E30:F30"/>
    <mergeCell ref="G30:H30"/>
    <mergeCell ref="E31:F31"/>
    <mergeCell ref="G31:H31"/>
    <mergeCell ref="E32:F32"/>
    <mergeCell ref="G32:H32"/>
    <mergeCell ref="E33:F33"/>
    <mergeCell ref="G33:H33"/>
    <mergeCell ref="E34:F34"/>
    <mergeCell ref="G34:H34"/>
    <mergeCell ref="E35:F35"/>
    <mergeCell ref="G35:H35"/>
    <mergeCell ref="A37:H37"/>
    <mergeCell ref="A38:B38"/>
    <mergeCell ref="C38:H38"/>
    <mergeCell ref="A39:B39"/>
    <mergeCell ref="C39:H39"/>
    <mergeCell ref="A40:B40"/>
    <mergeCell ref="C40:H40"/>
    <mergeCell ref="A41:B41"/>
    <mergeCell ref="C41:H41"/>
    <mergeCell ref="A43:H43"/>
  </mergeCells>
  <dataValidations count="1">
    <dataValidation type="list" allowBlank="1" showInputMessage="1" showErrorMessage="1" promptTitle="Choose a record" prompt="Pick an invoice number - everything below fills in automatically. This row does not print." sqref="C1:D1">
      <formula1>InvoiceNos</formula1>
    </dataValidation>
  </dataValidations>
  <printOptions horizontalCentered="1"/>
  <pageMargins left="0.4" right="0.4" top="0.6" bottom="0.5" header="0.3" footer="0.3"/>
  <pageSetup paperSize="9" orientation="portrait"/>
  <headerFooter>
    <oddHeader>&amp;L&amp;"Calibri,Bold"&amp;12&amp;C&amp;"Calibri,Bold"&amp;11Print Invoice&amp;R&amp;"Calibri,Italic"&amp;9Pet Sitting &amp; Dog Walking Business Spreadsheet</oddHeader>
    <oddFooter>&amp;L&amp;"Calibri,Italic"&amp;8Novality Store - v1.0.0&amp;C&amp;"Calibri,Italic"&amp;8Page &amp;P of &amp;N&amp;R&amp;"Calibri,Italic"&amp;8&amp;D</oddFooter>
  </headerFooter>
</worksheet>
</file>

<file path=xl/worksheets/sheet23.xml><?xml version="1.0" encoding="utf-8"?>
<worksheet xmlns="http://schemas.openxmlformats.org/spreadsheetml/2006/main" xmlns:r="http://schemas.openxmlformats.org/officeDocument/2006/relationships">
  <sheetPr>
    <tabColor rgb="FFDCEAEE"/>
    <pageSetUpPr fitToPage="1"/>
  </sheetPr>
  <dimension ref="A1:H54"/>
  <sheetViews>
    <sheetView showGridLines="0" workbookViewId="0"/>
  </sheetViews>
  <sheetFormatPr defaultRowHeight="15"/>
  <cols>
    <col min="1" max="1" width="18.7109375" customWidth="1"/>
    <col min="2" max="2" width="16.7109375" customWidth="1"/>
    <col min="3" max="3" width="14.7109375" customWidth="1"/>
    <col min="4" max="4" width="12.7109375" customWidth="1"/>
    <col min="5" max="5" width="14.7109375" customWidth="1"/>
    <col min="6" max="6" width="12.7109375" customWidth="1"/>
    <col min="7" max="7" width="12.7109375" customWidth="1"/>
    <col min="8" max="8" width="14.7109375" customWidth="1"/>
  </cols>
  <sheetData>
    <row r="1" spans="1:8" ht="22" customHeight="1">
      <c r="A1" s="18" t="s">
        <v>1163</v>
      </c>
      <c r="B1" s="18"/>
      <c r="C1" s="54"/>
      <c r="D1" s="54"/>
      <c r="E1" s="11" t="s">
        <v>1164</v>
      </c>
      <c r="F1" s="11"/>
      <c r="G1" s="11"/>
      <c r="H1" s="11"/>
    </row>
    <row r="3" spans="1:8" ht="28" customHeight="1">
      <c r="A3" s="55">
        <f>"Pet Care Sheet - "&amp;IFERROR(INDEX(Pets!$B$5:$B$254,MATCH(PrintPetLabel,Pets!$D$5:$D$254,0)),"")</f>
        <v>0</v>
      </c>
      <c r="B3" s="55"/>
      <c r="C3" s="55"/>
      <c r="D3" s="55"/>
      <c r="E3" s="55"/>
      <c r="F3" s="55"/>
      <c r="G3" s="55"/>
      <c r="H3" s="55"/>
    </row>
    <row r="4" spans="1:8">
      <c r="A4" s="57">
        <f>"Prepared by "&amp;Biz_Name&amp;" - "&amp;Biz_Phone&amp;" - printed "&amp;TEXT(TODAY(),"dd-mmm-yyyy")</f>
        <v>0</v>
      </c>
      <c r="B4" s="57"/>
      <c r="C4" s="57"/>
      <c r="D4" s="57"/>
      <c r="E4" s="57"/>
      <c r="F4" s="57"/>
      <c r="G4" s="57"/>
      <c r="H4" s="57"/>
    </row>
    <row r="6" spans="1:8">
      <c r="A6" s="37" t="s">
        <v>1165</v>
      </c>
      <c r="B6" s="37"/>
      <c r="C6" s="37"/>
      <c r="D6" s="37"/>
      <c r="E6" s="37"/>
      <c r="F6" s="37"/>
      <c r="G6" s="37"/>
      <c r="H6" s="37"/>
    </row>
    <row r="7" spans="1:8">
      <c r="A7" s="18" t="s">
        <v>690</v>
      </c>
      <c r="B7" s="18"/>
      <c r="C7" s="28">
        <f>IFERROR(INDEX(Pets!$B$5:$B$254,MATCH(PrintPetLabel,Pets!$D$5:$D$254,0)),"")</f>
        <v>0</v>
      </c>
      <c r="D7" s="28"/>
      <c r="E7" s="18" t="s">
        <v>1168</v>
      </c>
      <c r="F7" s="18"/>
      <c r="G7" s="28">
        <f>IF(IFERROR(INDEX(Pets!$K$5:$K$254,MATCH(PrintPetLabel,Pets!$D$5:$D$254,0)),"")="","",IFERROR(INDEX(Pets!$K$5:$K$254,MATCH(PrintPetLabel,Pets!$D$5:$D$254,0)),"")&amp;" kg")</f>
        <v>0</v>
      </c>
      <c r="H7" s="28"/>
    </row>
    <row r="8" spans="1:8">
      <c r="A8" s="18" t="s">
        <v>1166</v>
      </c>
      <c r="B8" s="18"/>
      <c r="C8" s="28">
        <f>IFERROR(INDEX(Pets!$F$5:$F$254,MATCH(PrintPetLabel,Pets!$D$5:$D$254,0)),"")&amp;" - "&amp;IFERROR(INDEX(Pets!$G$5:$G$254,MATCH(PrintPetLabel,Pets!$D$5:$D$254,0)),"")</f>
        <v>0</v>
      </c>
      <c r="D8" s="28"/>
      <c r="E8" s="18" t="s">
        <v>699</v>
      </c>
      <c r="F8" s="18"/>
      <c r="G8" s="28">
        <f>IFERROR(INDEX(Pets!$L$5:$L$254,MATCH(PrintPetLabel,Pets!$D$5:$D$254,0)),"")</f>
        <v>0</v>
      </c>
      <c r="H8" s="28"/>
    </row>
    <row r="9" spans="1:8">
      <c r="A9" s="18" t="s">
        <v>1167</v>
      </c>
      <c r="B9" s="18"/>
      <c r="C9" s="28">
        <f>IF(IFERROR(INDEX(Pets!$I$5:$I$254,MATCH(PrintPetLabel,Pets!$D$5:$D$254,0)),"")="","",IFERROR(INDEX(Pets!$I$5:$I$254,MATCH(PrintPetLabel,Pets!$D$5:$D$254,0)),"")&amp;" years")</f>
        <v>0</v>
      </c>
      <c r="D9" s="28"/>
      <c r="E9" s="18" t="s">
        <v>1169</v>
      </c>
      <c r="F9" s="18"/>
      <c r="G9" s="28">
        <f>IFERROR(INDEX(Pets!$N$5:$N$254,MATCH(PrintPetLabel,Pets!$D$5:$D$254,0)),"")</f>
        <v>0</v>
      </c>
      <c r="H9" s="28"/>
    </row>
    <row r="10" spans="1:8">
      <c r="A10" s="18" t="s">
        <v>697</v>
      </c>
      <c r="B10" s="18"/>
      <c r="C10" s="28">
        <f>IFERROR(INDEX(Pets!$J$5:$J$254,MATCH(PrintPetLabel,Pets!$D$5:$D$254,0)),"")</f>
        <v>0</v>
      </c>
      <c r="D10" s="28"/>
      <c r="E10" s="18" t="s">
        <v>397</v>
      </c>
      <c r="F10" s="18"/>
      <c r="G10" s="28">
        <f>IFERROR(INDEX(Pets!$O$5:$O$254,MATCH(PrintPetLabel,Pets!$D$5:$D$254,0)),"")</f>
        <v>0</v>
      </c>
      <c r="H10" s="28"/>
    </row>
    <row r="12" spans="1:8">
      <c r="A12" s="37" t="s">
        <v>1170</v>
      </c>
      <c r="B12" s="37"/>
      <c r="C12" s="37"/>
      <c r="D12" s="37"/>
      <c r="E12" s="37"/>
      <c r="F12" s="37"/>
      <c r="G12" s="37"/>
      <c r="H12" s="37"/>
    </row>
    <row r="13" spans="1:8">
      <c r="A13" s="18" t="s">
        <v>588</v>
      </c>
      <c r="B13" s="18"/>
      <c r="C13" s="28">
        <f>IFERROR(INDEX(Pets!$C$5:$C$254,MATCH(PrintPetLabel,Pets!$D$5:$D$254,0)),"")</f>
        <v>0</v>
      </c>
      <c r="D13" s="28"/>
      <c r="E13" s="18" t="s">
        <v>662</v>
      </c>
      <c r="F13" s="18"/>
      <c r="G13" s="28">
        <f>IFERROR(INDEX(Clients!$H$5:$H$254,MATCH((IFERROR(INDEX(Pets!$C$5:$C$254,MATCH(PrintPetLabel,Pets!$D$5:$D$254,0)),"")),Clients!$B$5:$B$254,0)),"")</f>
        <v>0</v>
      </c>
      <c r="H13" s="28"/>
    </row>
    <row r="14" spans="1:8">
      <c r="A14" s="18" t="s">
        <v>229</v>
      </c>
      <c r="B14" s="18"/>
      <c r="C14" s="28">
        <f>IFERROR(INDEX(Clients!$C$5:$C$254,MATCH((IFERROR(INDEX(Pets!$C$5:$C$254,MATCH(PrintPetLabel,Pets!$D$5:$D$254,0)),"")),Clients!$B$5:$B$254,0)),"")</f>
        <v>0</v>
      </c>
      <c r="D14" s="28"/>
      <c r="E14" s="18" t="s">
        <v>663</v>
      </c>
      <c r="F14" s="18"/>
      <c r="G14" s="28">
        <f>IFERROR(INDEX(Clients!$I$5:$I$254,MATCH((IFERROR(INDEX(Pets!$C$5:$C$254,MATCH(PrintPetLabel,Pets!$D$5:$D$254,0)),"")),Clients!$B$5:$B$254,0)),"")</f>
        <v>0</v>
      </c>
      <c r="H14" s="28"/>
    </row>
    <row r="15" spans="1:8">
      <c r="A15" s="18" t="s">
        <v>231</v>
      </c>
      <c r="B15" s="18"/>
      <c r="C15" s="28">
        <f>IFERROR(INDEX(Clients!$D$5:$D$254,MATCH((IFERROR(INDEX(Pets!$C$5:$C$254,MATCH(PrintPetLabel,Pets!$D$5:$D$254,0)),"")),Clients!$B$5:$B$254,0)),"")</f>
        <v>0</v>
      </c>
      <c r="D15" s="28"/>
      <c r="E15" s="18" t="s">
        <v>1172</v>
      </c>
      <c r="F15" s="18"/>
      <c r="G15" s="28">
        <f>IFERROR(INDEX(Clients!$N$5:$N$254,MATCH((IFERROR(INDEX(Pets!$C$5:$C$254,MATCH(PrintPetLabel,Pets!$D$5:$D$254,0)),"")),Clients!$B$5:$B$254,0)),"")</f>
        <v>0</v>
      </c>
      <c r="H15" s="28"/>
    </row>
    <row r="16" spans="1:8">
      <c r="A16" s="18" t="s">
        <v>1171</v>
      </c>
      <c r="B16" s="18"/>
      <c r="C16" s="28">
        <f>IFERROR(INDEX(Clients!$E$5:$E$254,MATCH((IFERROR(INDEX(Pets!$C$5:$C$254,MATCH(PrintPetLabel,Pets!$D$5:$D$254,0)),"")),Clients!$B$5:$B$254,0)),"")&amp;" "&amp;IFERROR(INDEX(Clients!$F$5:$F$254,MATCH((IFERROR(INDEX(Pets!$C$5:$C$254,MATCH(PrintPetLabel,Pets!$D$5:$D$254,0)),"")),Clients!$B$5:$B$254,0)),"")</f>
        <v>0</v>
      </c>
      <c r="D16" s="28"/>
      <c r="E16" s="18" t="s">
        <v>1173</v>
      </c>
      <c r="F16" s="18"/>
      <c r="G16" s="28">
        <f>IFERROR(INDEX(Clients!$Q$5:$Q$254,MATCH((IFERROR(INDEX(Pets!$C$5:$C$254,MATCH(PrintPetLabel,Pets!$D$5:$D$254,0)),"")),Clients!$B$5:$B$254,0)),"")</f>
        <v>0</v>
      </c>
      <c r="H16" s="28"/>
    </row>
    <row r="18" spans="1:8">
      <c r="A18" s="37" t="s">
        <v>1174</v>
      </c>
      <c r="B18" s="37"/>
      <c r="C18" s="37"/>
      <c r="D18" s="37"/>
      <c r="E18" s="37"/>
      <c r="F18" s="37"/>
      <c r="G18" s="37"/>
      <c r="H18" s="37"/>
    </row>
    <row r="19" spans="1:8">
      <c r="A19" s="18" t="s">
        <v>705</v>
      </c>
      <c r="B19" s="18"/>
      <c r="C19" s="28">
        <f>IFERROR(INDEX(Pets!$S$5:$S$254,MATCH(PrintPetLabel,Pets!$D$5:$D$254,0)),"")</f>
        <v>0</v>
      </c>
      <c r="D19" s="28"/>
      <c r="E19" s="18" t="s">
        <v>711</v>
      </c>
      <c r="F19" s="18"/>
      <c r="G19" s="28">
        <f>IFERROR(INDEX(Pets!$Y$5:$Y$254,MATCH(PrintPetLabel,Pets!$D$5:$D$254,0)),"")</f>
        <v>0</v>
      </c>
      <c r="H19" s="28"/>
    </row>
    <row r="20" spans="1:8">
      <c r="A20" s="18" t="s">
        <v>706</v>
      </c>
      <c r="B20" s="18"/>
      <c r="C20" s="28">
        <f>IFERROR(INDEX(Pets!$T$5:$T$254,MATCH(PrintPetLabel,Pets!$D$5:$D$254,0)),"")</f>
        <v>0</v>
      </c>
      <c r="D20" s="28"/>
      <c r="E20" s="18" t="s">
        <v>710</v>
      </c>
      <c r="F20" s="18"/>
      <c r="G20" s="21">
        <f>IFERROR(INDEX(Pets!$X$5:$X$254,MATCH(PrintPetLabel,Pets!$D$5:$D$254,0)),"")</f>
        <v>0</v>
      </c>
      <c r="H20" s="21"/>
    </row>
    <row r="21" spans="1:8">
      <c r="A21" s="18" t="s">
        <v>707</v>
      </c>
      <c r="B21" s="18"/>
      <c r="C21" s="28">
        <f>IFERROR(INDEX(Pets!$U$5:$U$254,MATCH(PrintPetLabel,Pets!$D$5:$D$254,0)),"")</f>
        <v>0</v>
      </c>
      <c r="D21" s="28"/>
      <c r="E21" s="18" t="s">
        <v>559</v>
      </c>
      <c r="F21" s="18"/>
      <c r="G21" s="28">
        <f>IFERROR(INDEX(Pets!$Z$5:$Z$254,MATCH(PrintPetLabel,Pets!$D$5:$D$254,0)),"")&amp;" "&amp;IFERROR(INDEX(Pets!$AA$5:$AA$254,MATCH(PrintPetLabel,Pets!$D$5:$D$254,0)),"")</f>
        <v>0</v>
      </c>
      <c r="H21" s="28"/>
    </row>
    <row r="22" spans="1:8">
      <c r="A22" s="18" t="s">
        <v>1175</v>
      </c>
      <c r="B22" s="18"/>
      <c r="C22" s="28">
        <f>IFERROR(INDEX(Pets!$V$5:$V$254,MATCH(PrintPetLabel,Pets!$D$5:$D$254,0)),"")</f>
        <v>0</v>
      </c>
      <c r="D22" s="28"/>
      <c r="E22" s="18" t="s">
        <v>673</v>
      </c>
      <c r="F22" s="18"/>
      <c r="G22" s="29">
        <f>IFERROR(INDEX(Clients!$V$5:$V$254,MATCH((IFERROR(INDEX(Pets!$C$5:$C$254,MATCH(PrintPetLabel,Pets!$D$5:$D$254,0)),"")),Clients!$B$5:$B$254,0)),"")</f>
        <v>0</v>
      </c>
      <c r="H22" s="29"/>
    </row>
    <row r="24" spans="1:8">
      <c r="A24" s="37" t="s">
        <v>1176</v>
      </c>
      <c r="B24" s="37"/>
      <c r="C24" s="37"/>
      <c r="D24" s="37"/>
      <c r="E24" s="37"/>
      <c r="F24" s="37"/>
      <c r="G24" s="37"/>
      <c r="H24" s="37"/>
    </row>
    <row r="25" spans="1:8">
      <c r="A25" s="18" t="s">
        <v>703</v>
      </c>
      <c r="B25" s="18"/>
      <c r="C25" s="28">
        <f>IFERROR(INDEX(Pets!$Q$5:$Q$254,MATCH(PrintPetLabel,Pets!$D$5:$D$254,0)),"")</f>
        <v>0</v>
      </c>
      <c r="D25" s="28"/>
      <c r="E25" s="18" t="s">
        <v>1178</v>
      </c>
      <c r="F25" s="18"/>
      <c r="G25" s="28">
        <f>IFERROR(INDEX(Pets!$AH$5:$AH$254,MATCH(PrintPetLabel,Pets!$D$5:$D$254,0)),"")</f>
        <v>0</v>
      </c>
      <c r="H25" s="28"/>
    </row>
    <row r="26" spans="1:8">
      <c r="A26" s="18" t="s">
        <v>1177</v>
      </c>
      <c r="B26" s="18"/>
      <c r="C26" s="28">
        <f>IFERROR(INDEX(Pets!$R$5:$R$254,MATCH(PrintPetLabel,Pets!$D$5:$D$254,0)),"")</f>
        <v>0</v>
      </c>
      <c r="D26" s="28"/>
      <c r="E26" s="18" t="s">
        <v>1179</v>
      </c>
      <c r="F26" s="18"/>
      <c r="G26" s="28">
        <f>IFERROR(INDEX(Pets!$AI$5:$AI$254,MATCH(PrintPetLabel,Pets!$D$5:$D$254,0)),"")</f>
        <v>0</v>
      </c>
      <c r="H26" s="28"/>
    </row>
    <row r="27" spans="1:8">
      <c r="A27" s="18" t="s">
        <v>488</v>
      </c>
      <c r="B27" s="18"/>
      <c r="C27" s="28">
        <f>IFERROR(INDEX(Pets!$AG$5:$AG$254,MATCH(PrintPetLabel,Pets!$D$5:$D$254,0)),"")</f>
        <v>0</v>
      </c>
      <c r="D27" s="28"/>
      <c r="E27" s="18" t="s">
        <v>672</v>
      </c>
      <c r="F27" s="18"/>
      <c r="G27" s="28">
        <f>IFERROR(INDEX(Clients!$U$5:$U$254,MATCH((IFERROR(INDEX(Pets!$C$5:$C$254,MATCH(PrintPetLabel,Pets!$D$5:$D$254,0)),"")),Clients!$B$5:$B$254,0)),"")</f>
        <v>0</v>
      </c>
      <c r="H27" s="28"/>
    </row>
    <row r="29" spans="1:8">
      <c r="A29" s="37" t="s">
        <v>1180</v>
      </c>
      <c r="B29" s="37"/>
      <c r="C29" s="37"/>
      <c r="D29" s="37"/>
      <c r="E29" s="37"/>
      <c r="F29" s="37"/>
      <c r="G29" s="37"/>
      <c r="H29" s="37"/>
    </row>
    <row r="30" spans="1:8">
      <c r="A30" s="18" t="s">
        <v>1181</v>
      </c>
      <c r="B30" s="18"/>
      <c r="C30" s="28">
        <f>IFERROR(INDEX(Pets!$AD$5:$AD$254,MATCH(PrintPetLabel,Pets!$D$5:$D$254,0)),"")</f>
        <v>0</v>
      </c>
      <c r="D30" s="28"/>
      <c r="E30" s="18" t="s">
        <v>1185</v>
      </c>
      <c r="F30" s="18"/>
      <c r="G30" s="28">
        <f>IFERROR(INDEX(Pets!$AJ$5:$AJ$254,MATCH(PrintPetLabel,Pets!$D$5:$D$254,0)),"")</f>
        <v>0</v>
      </c>
      <c r="H30" s="28"/>
    </row>
    <row r="31" spans="1:8">
      <c r="A31" s="18" t="s">
        <v>1182</v>
      </c>
      <c r="B31" s="18"/>
      <c r="C31" s="28">
        <f>IFERROR(INDEX(Pets!$AE$5:$AE$254,MATCH(PrintPetLabel,Pets!$D$5:$D$254,0)),"")</f>
        <v>0</v>
      </c>
      <c r="D31" s="28"/>
      <c r="E31" s="18" t="s">
        <v>481</v>
      </c>
      <c r="F31" s="18"/>
      <c r="G31" s="28">
        <f>IFERROR(INDEX(Pets!$AK$5:$AK$254,MATCH(PrintPetLabel,Pets!$D$5:$D$254,0)),"")</f>
        <v>0</v>
      </c>
      <c r="H31" s="28"/>
    </row>
    <row r="32" spans="1:8">
      <c r="A32" s="18" t="s">
        <v>1183</v>
      </c>
      <c r="B32" s="18"/>
      <c r="C32" s="28">
        <f>IFERROR(INDEX(Pets!$AF$5:$AF$254,MATCH(PrintPetLabel,Pets!$D$5:$D$254,0)),"")</f>
        <v>0</v>
      </c>
      <c r="D32" s="28"/>
      <c r="E32" s="18" t="s">
        <v>493</v>
      </c>
      <c r="F32" s="18"/>
      <c r="G32" s="28">
        <f>IFERROR(INDEX(Pets!$AL$5:$AL$254,MATCH(PrintPetLabel,Pets!$D$5:$D$254,0)),"")</f>
        <v>0</v>
      </c>
      <c r="H32" s="28"/>
    </row>
    <row r="33" spans="1:8">
      <c r="A33" s="18" t="s">
        <v>1184</v>
      </c>
      <c r="B33" s="18"/>
      <c r="C33" s="28">
        <f>IFERROR(INDEX(Pets!$AC$5:$AC$254,MATCH(PrintPetLabel,Pets!$D$5:$D$254,0)),"")</f>
        <v>0</v>
      </c>
      <c r="D33" s="28"/>
      <c r="E33" s="18" t="s">
        <v>1186</v>
      </c>
      <c r="F33" s="18"/>
      <c r="G33" s="28">
        <f>IFERROR(INDEX(Pets!$AM$5:$AM$254,MATCH(PrintPetLabel,Pets!$D$5:$D$254,0)),"")</f>
        <v>0</v>
      </c>
      <c r="H33" s="28"/>
    </row>
    <row r="35" spans="1:8">
      <c r="A35" s="37" t="s">
        <v>1187</v>
      </c>
      <c r="B35" s="37"/>
      <c r="C35" s="37"/>
      <c r="D35" s="37"/>
      <c r="E35" s="37"/>
      <c r="F35" s="37"/>
      <c r="G35" s="37"/>
      <c r="H35" s="37"/>
    </row>
    <row r="36" spans="1:8" ht="20" customHeight="1">
      <c r="A36" s="18" t="s">
        <v>407</v>
      </c>
      <c r="B36" s="18"/>
      <c r="C36" s="60">
        <f>IFERROR(INDEX(Pets!$AN$5:$AN$254,MATCH(PrintPetLabel,Pets!$D$5:$D$254,0)),"")</f>
        <v>0</v>
      </c>
      <c r="D36" s="60"/>
      <c r="E36" s="60"/>
      <c r="F36" s="60"/>
      <c r="G36" s="60"/>
      <c r="H36" s="60"/>
    </row>
    <row r="37" spans="1:8" ht="20" customHeight="1">
      <c r="A37" s="18" t="s">
        <v>702</v>
      </c>
      <c r="B37" s="18"/>
      <c r="C37" s="60">
        <f>IFERROR(INDEX(Pets!$P$5:$P$254,MATCH(PrintPetLabel,Pets!$D$5:$D$254,0)),"")</f>
        <v>0</v>
      </c>
      <c r="D37" s="60"/>
      <c r="E37" s="60"/>
      <c r="F37" s="60"/>
      <c r="G37" s="60"/>
      <c r="H37" s="60"/>
    </row>
    <row r="38" spans="1:8" ht="20" customHeight="1">
      <c r="A38" s="18" t="s">
        <v>725</v>
      </c>
      <c r="B38" s="18"/>
      <c r="C38" s="60">
        <f>IFERROR(INDEX(Pets!$AO$5:$AO$254,MATCH(PrintPetLabel,Pets!$D$5:$D$254,0)),"")</f>
        <v>0</v>
      </c>
      <c r="D38" s="60"/>
      <c r="E38" s="60"/>
      <c r="F38" s="60"/>
      <c r="G38" s="60"/>
      <c r="H38" s="60"/>
    </row>
    <row r="39" spans="1:8" ht="20" customHeight="1">
      <c r="A39" s="18" t="s">
        <v>726</v>
      </c>
      <c r="B39" s="18"/>
      <c r="C39" s="60">
        <f>IFERROR(INDEX(Pets!$AP$5:$AP$254,MATCH(PrintPetLabel,Pets!$D$5:$D$254,0)),"")</f>
        <v>0</v>
      </c>
      <c r="D39" s="60"/>
      <c r="E39" s="60"/>
      <c r="F39" s="60"/>
      <c r="G39" s="60"/>
      <c r="H39" s="60"/>
    </row>
    <row r="41" spans="1:8">
      <c r="A41" s="37" t="s">
        <v>1188</v>
      </c>
      <c r="B41" s="37"/>
      <c r="C41" s="37"/>
      <c r="D41" s="37"/>
      <c r="E41" s="37"/>
      <c r="F41" s="37"/>
      <c r="G41" s="37"/>
      <c r="H41" s="37"/>
    </row>
    <row r="42" spans="1:8">
      <c r="A42" s="8" t="s">
        <v>337</v>
      </c>
      <c r="B42" s="8"/>
      <c r="C42" s="9" t="s">
        <v>198</v>
      </c>
      <c r="D42" s="9"/>
      <c r="E42" s="9" t="s">
        <v>780</v>
      </c>
      <c r="F42" s="9"/>
      <c r="G42" s="9" t="s">
        <v>339</v>
      </c>
      <c r="H42" s="9"/>
    </row>
    <row r="43" spans="1:8">
      <c r="A43" s="21">
        <f>IFERROR(INDEX('Visit Log'!$C$5:$C$404,MATCH(PrintPetLabel&amp;"|"&amp;(COUNTIF('Visit Log'!$E$5:$E$404,PrintPetLabel)-0),'Visit Log'!$AI$5:$AI$404,0)),"")</f>
        <v>0</v>
      </c>
      <c r="B43" s="21"/>
      <c r="C43" s="28">
        <f>IFERROR(INDEX('Visit Log'!$F$5:$F$404,MATCH(PrintPetLabel&amp;"|"&amp;(COUNTIF('Visit Log'!$E$5:$E$404,PrintPetLabel)-0),'Visit Log'!$AI$5:$AI$404,0)),"")</f>
        <v>0</v>
      </c>
      <c r="D43" s="28"/>
      <c r="E43" s="28">
        <f>IFERROR(INDEX('Visit Log'!$G$5:$G$404,MATCH(PrintPetLabel&amp;"|"&amp;(COUNTIF('Visit Log'!$E$5:$E$404,PrintPetLabel)-0),'Visit Log'!$AI$5:$AI$404,0)),"")</f>
        <v>0</v>
      </c>
      <c r="F43" s="28"/>
      <c r="G43" s="28">
        <f>IFERROR(INDEX('Visit Log'!$AF$5:$AF$404,MATCH(PrintPetLabel&amp;"|"&amp;(COUNTIF('Visit Log'!$E$5:$E$404,PrintPetLabel)-0),'Visit Log'!$AI$5:$AI$404,0)),"")</f>
        <v>0</v>
      </c>
      <c r="H43" s="28"/>
    </row>
    <row r="44" spans="1:8">
      <c r="A44" s="21">
        <f>IFERROR(INDEX('Visit Log'!$C$5:$C$404,MATCH(PrintPetLabel&amp;"|"&amp;(COUNTIF('Visit Log'!$E$5:$E$404,PrintPetLabel)-1),'Visit Log'!$AI$5:$AI$404,0)),"")</f>
        <v>0</v>
      </c>
      <c r="B44" s="21"/>
      <c r="C44" s="28">
        <f>IFERROR(INDEX('Visit Log'!$F$5:$F$404,MATCH(PrintPetLabel&amp;"|"&amp;(COUNTIF('Visit Log'!$E$5:$E$404,PrintPetLabel)-1),'Visit Log'!$AI$5:$AI$404,0)),"")</f>
        <v>0</v>
      </c>
      <c r="D44" s="28"/>
      <c r="E44" s="28">
        <f>IFERROR(INDEX('Visit Log'!$G$5:$G$404,MATCH(PrintPetLabel&amp;"|"&amp;(COUNTIF('Visit Log'!$E$5:$E$404,PrintPetLabel)-1),'Visit Log'!$AI$5:$AI$404,0)),"")</f>
        <v>0</v>
      </c>
      <c r="F44" s="28"/>
      <c r="G44" s="28">
        <f>IFERROR(INDEX('Visit Log'!$AF$5:$AF$404,MATCH(PrintPetLabel&amp;"|"&amp;(COUNTIF('Visit Log'!$E$5:$E$404,PrintPetLabel)-1),'Visit Log'!$AI$5:$AI$404,0)),"")</f>
        <v>0</v>
      </c>
      <c r="H44" s="28"/>
    </row>
    <row r="45" spans="1:8">
      <c r="A45" s="21">
        <f>IFERROR(INDEX('Visit Log'!$C$5:$C$404,MATCH(PrintPetLabel&amp;"|"&amp;(COUNTIF('Visit Log'!$E$5:$E$404,PrintPetLabel)-2),'Visit Log'!$AI$5:$AI$404,0)),"")</f>
        <v>0</v>
      </c>
      <c r="B45" s="21"/>
      <c r="C45" s="28">
        <f>IFERROR(INDEX('Visit Log'!$F$5:$F$404,MATCH(PrintPetLabel&amp;"|"&amp;(COUNTIF('Visit Log'!$E$5:$E$404,PrintPetLabel)-2),'Visit Log'!$AI$5:$AI$404,0)),"")</f>
        <v>0</v>
      </c>
      <c r="D45" s="28"/>
      <c r="E45" s="28">
        <f>IFERROR(INDEX('Visit Log'!$G$5:$G$404,MATCH(PrintPetLabel&amp;"|"&amp;(COUNTIF('Visit Log'!$E$5:$E$404,PrintPetLabel)-2),'Visit Log'!$AI$5:$AI$404,0)),"")</f>
        <v>0</v>
      </c>
      <c r="F45" s="28"/>
      <c r="G45" s="28">
        <f>IFERROR(INDEX('Visit Log'!$AF$5:$AF$404,MATCH(PrintPetLabel&amp;"|"&amp;(COUNTIF('Visit Log'!$E$5:$E$404,PrintPetLabel)-2),'Visit Log'!$AI$5:$AI$404,0)),"")</f>
        <v>0</v>
      </c>
      <c r="H45" s="28"/>
    </row>
    <row r="46" spans="1:8">
      <c r="A46" s="21">
        <f>IFERROR(INDEX('Visit Log'!$C$5:$C$404,MATCH(PrintPetLabel&amp;"|"&amp;(COUNTIF('Visit Log'!$E$5:$E$404,PrintPetLabel)-3),'Visit Log'!$AI$5:$AI$404,0)),"")</f>
        <v>0</v>
      </c>
      <c r="B46" s="21"/>
      <c r="C46" s="28">
        <f>IFERROR(INDEX('Visit Log'!$F$5:$F$404,MATCH(PrintPetLabel&amp;"|"&amp;(COUNTIF('Visit Log'!$E$5:$E$404,PrintPetLabel)-3),'Visit Log'!$AI$5:$AI$404,0)),"")</f>
        <v>0</v>
      </c>
      <c r="D46" s="28"/>
      <c r="E46" s="28">
        <f>IFERROR(INDEX('Visit Log'!$G$5:$G$404,MATCH(PrintPetLabel&amp;"|"&amp;(COUNTIF('Visit Log'!$E$5:$E$404,PrintPetLabel)-3),'Visit Log'!$AI$5:$AI$404,0)),"")</f>
        <v>0</v>
      </c>
      <c r="F46" s="28"/>
      <c r="G46" s="28">
        <f>IFERROR(INDEX('Visit Log'!$AF$5:$AF$404,MATCH(PrintPetLabel&amp;"|"&amp;(COUNTIF('Visit Log'!$E$5:$E$404,PrintPetLabel)-3),'Visit Log'!$AI$5:$AI$404,0)),"")</f>
        <v>0</v>
      </c>
      <c r="H46" s="28"/>
    </row>
    <row r="47" spans="1:8">
      <c r="A47" s="21">
        <f>IFERROR(INDEX('Visit Log'!$C$5:$C$404,MATCH(PrintPetLabel&amp;"|"&amp;(COUNTIF('Visit Log'!$E$5:$E$404,PrintPetLabel)-4),'Visit Log'!$AI$5:$AI$404,0)),"")</f>
        <v>0</v>
      </c>
      <c r="B47" s="21"/>
      <c r="C47" s="28">
        <f>IFERROR(INDEX('Visit Log'!$F$5:$F$404,MATCH(PrintPetLabel&amp;"|"&amp;(COUNTIF('Visit Log'!$E$5:$E$404,PrintPetLabel)-4),'Visit Log'!$AI$5:$AI$404,0)),"")</f>
        <v>0</v>
      </c>
      <c r="D47" s="28"/>
      <c r="E47" s="28">
        <f>IFERROR(INDEX('Visit Log'!$G$5:$G$404,MATCH(PrintPetLabel&amp;"|"&amp;(COUNTIF('Visit Log'!$E$5:$E$404,PrintPetLabel)-4),'Visit Log'!$AI$5:$AI$404,0)),"")</f>
        <v>0</v>
      </c>
      <c r="F47" s="28"/>
      <c r="G47" s="28">
        <f>IFERROR(INDEX('Visit Log'!$AF$5:$AF$404,MATCH(PrintPetLabel&amp;"|"&amp;(COUNTIF('Visit Log'!$E$5:$E$404,PrintPetLabel)-4),'Visit Log'!$AI$5:$AI$404,0)),"")</f>
        <v>0</v>
      </c>
      <c r="H47" s="28"/>
    </row>
    <row r="48" spans="1:8">
      <c r="A48" s="21">
        <f>IFERROR(INDEX('Visit Log'!$C$5:$C$404,MATCH(PrintPetLabel&amp;"|"&amp;(COUNTIF('Visit Log'!$E$5:$E$404,PrintPetLabel)-5),'Visit Log'!$AI$5:$AI$404,0)),"")</f>
        <v>0</v>
      </c>
      <c r="B48" s="21"/>
      <c r="C48" s="28">
        <f>IFERROR(INDEX('Visit Log'!$F$5:$F$404,MATCH(PrintPetLabel&amp;"|"&amp;(COUNTIF('Visit Log'!$E$5:$E$404,PrintPetLabel)-5),'Visit Log'!$AI$5:$AI$404,0)),"")</f>
        <v>0</v>
      </c>
      <c r="D48" s="28"/>
      <c r="E48" s="28">
        <f>IFERROR(INDEX('Visit Log'!$G$5:$G$404,MATCH(PrintPetLabel&amp;"|"&amp;(COUNTIF('Visit Log'!$E$5:$E$404,PrintPetLabel)-5),'Visit Log'!$AI$5:$AI$404,0)),"")</f>
        <v>0</v>
      </c>
      <c r="F48" s="28"/>
      <c r="G48" s="28">
        <f>IFERROR(INDEX('Visit Log'!$AF$5:$AF$404,MATCH(PrintPetLabel&amp;"|"&amp;(COUNTIF('Visit Log'!$E$5:$E$404,PrintPetLabel)-5),'Visit Log'!$AI$5:$AI$404,0)),"")</f>
        <v>0</v>
      </c>
      <c r="H48" s="28"/>
    </row>
    <row r="50" spans="1:8">
      <c r="A50" s="18" t="s">
        <v>1189</v>
      </c>
      <c r="B50" s="18"/>
      <c r="C50" s="18"/>
      <c r="D50" s="18"/>
      <c r="E50" s="18"/>
      <c r="F50" s="18"/>
      <c r="G50" s="18"/>
      <c r="H50" s="18"/>
    </row>
    <row r="51" spans="1:8" ht="18" customHeight="1">
      <c r="A51" s="62"/>
      <c r="B51" s="62"/>
      <c r="C51" s="62"/>
      <c r="D51" s="62"/>
      <c r="E51" s="62"/>
      <c r="F51" s="62"/>
      <c r="G51" s="62"/>
      <c r="H51" s="62"/>
    </row>
    <row r="52" spans="1:8" ht="18" customHeight="1">
      <c r="A52" s="62"/>
      <c r="B52" s="62"/>
      <c r="C52" s="62"/>
      <c r="D52" s="62"/>
      <c r="E52" s="62"/>
      <c r="F52" s="62"/>
      <c r="G52" s="62"/>
      <c r="H52" s="62"/>
    </row>
    <row r="53" spans="1:8" ht="18" customHeight="1">
      <c r="A53" s="62"/>
      <c r="B53" s="62"/>
      <c r="C53" s="62"/>
      <c r="D53" s="62"/>
      <c r="E53" s="62"/>
      <c r="F53" s="62"/>
      <c r="G53" s="62"/>
      <c r="H53" s="62"/>
    </row>
    <row r="54" spans="1:8" ht="18" customHeight="1">
      <c r="A54" s="62"/>
      <c r="B54" s="62"/>
      <c r="C54" s="62"/>
      <c r="D54" s="62"/>
      <c r="E54" s="62"/>
      <c r="F54" s="62"/>
      <c r="G54" s="62"/>
      <c r="H54" s="62"/>
    </row>
  </sheetData>
  <sheetProtection password="EC7C" sheet="1" objects="1" scenarios="1" formatCells="0" formatColumns="0" formatRows="0" insertRows="0" insertHyperlinks="0" deleteRows="0" autoFilter="0"/>
  <mergeCells count="129">
    <mergeCell ref="A1:B1"/>
    <mergeCell ref="C1:D1"/>
    <mergeCell ref="E1:H1"/>
    <mergeCell ref="A3:H3"/>
    <mergeCell ref="A4:H4"/>
    <mergeCell ref="A6:H6"/>
    <mergeCell ref="A7:B7"/>
    <mergeCell ref="C7:D7"/>
    <mergeCell ref="A8:B8"/>
    <mergeCell ref="C8:D8"/>
    <mergeCell ref="A9:B9"/>
    <mergeCell ref="C9:D9"/>
    <mergeCell ref="A10:B10"/>
    <mergeCell ref="C10:D10"/>
    <mergeCell ref="E7:F7"/>
    <mergeCell ref="G7:H7"/>
    <mergeCell ref="E8:F8"/>
    <mergeCell ref="G8:H8"/>
    <mergeCell ref="E9:F9"/>
    <mergeCell ref="G9:H9"/>
    <mergeCell ref="E10:F10"/>
    <mergeCell ref="G10:H10"/>
    <mergeCell ref="A12:H12"/>
    <mergeCell ref="A13:B13"/>
    <mergeCell ref="C13:D13"/>
    <mergeCell ref="A14:B14"/>
    <mergeCell ref="C14:D14"/>
    <mergeCell ref="A15:B15"/>
    <mergeCell ref="C15:D15"/>
    <mergeCell ref="A16:B16"/>
    <mergeCell ref="C16:D16"/>
    <mergeCell ref="E13:F13"/>
    <mergeCell ref="G13:H13"/>
    <mergeCell ref="E14:F14"/>
    <mergeCell ref="G14:H14"/>
    <mergeCell ref="E15:F15"/>
    <mergeCell ref="G15:H15"/>
    <mergeCell ref="E16:F16"/>
    <mergeCell ref="G16:H16"/>
    <mergeCell ref="A18:H18"/>
    <mergeCell ref="A19:B19"/>
    <mergeCell ref="C19:D19"/>
    <mergeCell ref="A20:B20"/>
    <mergeCell ref="C20:D20"/>
    <mergeCell ref="A21:B21"/>
    <mergeCell ref="C21:D21"/>
    <mergeCell ref="A22:B22"/>
    <mergeCell ref="C22:D22"/>
    <mergeCell ref="E19:F19"/>
    <mergeCell ref="G19:H19"/>
    <mergeCell ref="E20:F20"/>
    <mergeCell ref="G20:H20"/>
    <mergeCell ref="E21:F21"/>
    <mergeCell ref="G21:H21"/>
    <mergeCell ref="E22:F22"/>
    <mergeCell ref="G22:H22"/>
    <mergeCell ref="A24:H24"/>
    <mergeCell ref="A25:B25"/>
    <mergeCell ref="C25:D25"/>
    <mergeCell ref="A26:B26"/>
    <mergeCell ref="C26:D26"/>
    <mergeCell ref="A27:B27"/>
    <mergeCell ref="C27:D27"/>
    <mergeCell ref="E25:F25"/>
    <mergeCell ref="G25:H25"/>
    <mergeCell ref="E26:F26"/>
    <mergeCell ref="G26:H26"/>
    <mergeCell ref="E27:F27"/>
    <mergeCell ref="G27:H27"/>
    <mergeCell ref="A29:H29"/>
    <mergeCell ref="A30:B30"/>
    <mergeCell ref="C30:D30"/>
    <mergeCell ref="A31:B31"/>
    <mergeCell ref="C31:D31"/>
    <mergeCell ref="A32:B32"/>
    <mergeCell ref="C32:D32"/>
    <mergeCell ref="A33:B33"/>
    <mergeCell ref="C33:D33"/>
    <mergeCell ref="E30:F30"/>
    <mergeCell ref="G30:H30"/>
    <mergeCell ref="E31:F31"/>
    <mergeCell ref="G31:H31"/>
    <mergeCell ref="E32:F32"/>
    <mergeCell ref="G32:H32"/>
    <mergeCell ref="E33:F33"/>
    <mergeCell ref="G33:H33"/>
    <mergeCell ref="A35:H35"/>
    <mergeCell ref="A36:B36"/>
    <mergeCell ref="C36:H36"/>
    <mergeCell ref="A37:B37"/>
    <mergeCell ref="C37:H37"/>
    <mergeCell ref="A38:B38"/>
    <mergeCell ref="C38:H38"/>
    <mergeCell ref="A39:B39"/>
    <mergeCell ref="C39:H39"/>
    <mergeCell ref="A41:H41"/>
    <mergeCell ref="A42:B42"/>
    <mergeCell ref="C42:D42"/>
    <mergeCell ref="E42:F42"/>
    <mergeCell ref="G42:H42"/>
    <mergeCell ref="A43:B43"/>
    <mergeCell ref="C43:D43"/>
    <mergeCell ref="E43:F43"/>
    <mergeCell ref="G43:H43"/>
    <mergeCell ref="A44:B44"/>
    <mergeCell ref="C44:D44"/>
    <mergeCell ref="E44:F44"/>
    <mergeCell ref="G44:H44"/>
    <mergeCell ref="A45:B45"/>
    <mergeCell ref="C45:D45"/>
    <mergeCell ref="E45:F45"/>
    <mergeCell ref="G45:H45"/>
    <mergeCell ref="A46:B46"/>
    <mergeCell ref="C46:D46"/>
    <mergeCell ref="E46:F46"/>
    <mergeCell ref="G46:H46"/>
    <mergeCell ref="A47:B47"/>
    <mergeCell ref="C47:D47"/>
    <mergeCell ref="E47:F47"/>
    <mergeCell ref="G47:H47"/>
    <mergeCell ref="A48:B48"/>
    <mergeCell ref="C48:D48"/>
    <mergeCell ref="E48:F48"/>
    <mergeCell ref="G48:H48"/>
    <mergeCell ref="A50:H50"/>
    <mergeCell ref="A51:H51"/>
    <mergeCell ref="A52:H52"/>
    <mergeCell ref="A53:H53"/>
    <mergeCell ref="A54:H54"/>
  </mergeCells>
  <dataValidations count="1">
    <dataValidation type="list" allowBlank="1" showInputMessage="1" showErrorMessage="1" promptTitle="Choose a record" prompt="Pick a pet reference - the care sheet fills itself in. This row does not print." sqref="C1:D1">
      <formula1>PetLabels</formula1>
    </dataValidation>
  </dataValidations>
  <pageMargins left="0.4" right="0.4" top="0.6" bottom="0.5" header="0.3" footer="0.3"/>
  <pageSetup paperSize="9" fitToHeight="0" orientation="portrait"/>
  <headerFooter>
    <oddHeader>&amp;L&amp;"Calibri,Bold"&amp;12&amp;C&amp;"Calibri,Bold"&amp;11Print Pet Care&amp;R&amp;"Calibri,Italic"&amp;9Pet Sitting &amp; Dog Walking Business Spreadsheet</oddHeader>
    <oddFooter>&amp;L&amp;"Calibri,Italic"&amp;8Novality Store - v1.0.0&amp;C&amp;"Calibri,Italic"&amp;8Page &amp;P of &amp;N&amp;R&amp;"Calibri,Italic"&amp;8&amp;D</oddFooter>
  </headerFooter>
</worksheet>
</file>

<file path=xl/worksheets/sheet24.xml><?xml version="1.0" encoding="utf-8"?>
<worksheet xmlns="http://schemas.openxmlformats.org/spreadsheetml/2006/main" xmlns:r="http://schemas.openxmlformats.org/officeDocument/2006/relationships">
  <sheetPr>
    <tabColor rgb="FFDCEAEE"/>
    <pageSetUpPr fitToPage="1"/>
  </sheetPr>
  <dimension ref="A1:H31"/>
  <sheetViews>
    <sheetView showGridLines="0" workbookViewId="0"/>
  </sheetViews>
  <sheetFormatPr defaultRowHeight="15"/>
  <cols>
    <col min="1" max="1" width="18.7109375" customWidth="1"/>
    <col min="2" max="2" width="14.7109375" customWidth="1"/>
    <col min="3" max="3" width="14.7109375" customWidth="1"/>
    <col min="4" max="4" width="12.7109375" customWidth="1"/>
    <col min="5" max="5" width="14.7109375" customWidth="1"/>
    <col min="6" max="6" width="12.7109375" customWidth="1"/>
    <col min="7" max="7" width="12.7109375" customWidth="1"/>
    <col min="8" max="8" width="14.7109375" customWidth="1"/>
  </cols>
  <sheetData>
    <row r="1" spans="1:8" ht="22" customHeight="1">
      <c r="A1" s="18" t="s">
        <v>1190</v>
      </c>
      <c r="B1" s="18"/>
      <c r="C1" s="54"/>
      <c r="D1" s="54"/>
      <c r="E1" s="11" t="s">
        <v>1191</v>
      </c>
      <c r="F1" s="11"/>
      <c r="G1" s="11"/>
      <c r="H1" s="11"/>
    </row>
    <row r="3" spans="1:8" ht="28" customHeight="1">
      <c r="A3" s="55">
        <f>"Visit Report"</f>
        <v>0</v>
      </c>
      <c r="B3" s="55"/>
      <c r="C3" s="55"/>
      <c r="D3" s="55"/>
      <c r="E3" s="55"/>
      <c r="F3" s="55"/>
      <c r="G3" s="55"/>
      <c r="H3" s="55"/>
    </row>
    <row r="4" spans="1:8">
      <c r="A4" s="57">
        <f>"Prepared by "&amp;Biz_Name&amp;" - "&amp;Biz_Phone&amp;" - "&amp;Biz_Email</f>
        <v>0</v>
      </c>
      <c r="B4" s="57"/>
      <c r="C4" s="57"/>
      <c r="D4" s="57"/>
      <c r="E4" s="57"/>
      <c r="F4" s="57"/>
      <c r="G4" s="57"/>
      <c r="H4" s="57"/>
    </row>
    <row r="6" spans="1:8">
      <c r="A6" s="37" t="s">
        <v>1192</v>
      </c>
      <c r="B6" s="37"/>
      <c r="C6" s="37"/>
      <c r="D6" s="37"/>
      <c r="E6" s="37"/>
      <c r="F6" s="37"/>
      <c r="G6" s="37"/>
      <c r="H6" s="37"/>
    </row>
    <row r="7" spans="1:8">
      <c r="A7" s="18" t="s">
        <v>1193</v>
      </c>
      <c r="B7" s="18"/>
      <c r="C7" s="28">
        <f>IFERROR(INDEX('Visit Log'!$A$5:$A$404,MATCH(PrintVisitID,'Visit Log'!$A$5:$A$404,0)),"")</f>
        <v>0</v>
      </c>
      <c r="D7" s="28"/>
      <c r="E7" s="18" t="s">
        <v>337</v>
      </c>
      <c r="F7" s="18"/>
      <c r="G7" s="21">
        <f>IFERROR(INDEX('Visit Log'!$C$5:$C$404,MATCH(PrintVisitID,'Visit Log'!$A$5:$A$404,0)),"")</f>
        <v>0</v>
      </c>
      <c r="H7" s="21"/>
    </row>
    <row r="8" spans="1:8">
      <c r="A8" s="18" t="s">
        <v>207</v>
      </c>
      <c r="B8" s="18"/>
      <c r="C8" s="28">
        <f>IFERROR(INDEX('Visit Log'!$D$5:$D$404,MATCH(PrintVisitID,'Visit Log'!$A$5:$A$404,0)),"")</f>
        <v>0</v>
      </c>
      <c r="D8" s="28"/>
      <c r="E8" s="18" t="s">
        <v>734</v>
      </c>
      <c r="F8" s="18"/>
      <c r="G8" s="28">
        <f>IFERROR(INDEX('Visit Log'!$E$5:$E$404,MATCH(PrintVisitID,'Visit Log'!$A$5:$A$404,0)),"")</f>
        <v>0</v>
      </c>
      <c r="H8" s="28"/>
    </row>
    <row r="9" spans="1:8">
      <c r="A9" s="18" t="s">
        <v>198</v>
      </c>
      <c r="B9" s="18"/>
      <c r="C9" s="28">
        <f>IFERROR(INDEX('Visit Log'!$F$5:$F$404,MATCH(PrintVisitID,'Visit Log'!$A$5:$A$404,0)),"")</f>
        <v>0</v>
      </c>
      <c r="D9" s="28"/>
      <c r="E9" s="18" t="s">
        <v>780</v>
      </c>
      <c r="F9" s="18"/>
      <c r="G9" s="28">
        <f>IFERROR(INDEX('Visit Log'!$G$5:$G$404,MATCH(PrintVisitID,'Visit Log'!$A$5:$A$404,0)),"")</f>
        <v>0</v>
      </c>
      <c r="H9" s="28"/>
    </row>
    <row r="10" spans="1:8">
      <c r="A10" s="18" t="s">
        <v>467</v>
      </c>
      <c r="B10" s="18"/>
      <c r="C10" s="53">
        <f>IFERROR(INDEX('Visit Log'!$H$5:$H$404,MATCH(PrintVisitID,'Visit Log'!$A$5:$A$404,0)),"")</f>
        <v>0</v>
      </c>
      <c r="D10" s="53"/>
      <c r="E10" s="18" t="s">
        <v>665</v>
      </c>
      <c r="F10" s="18"/>
      <c r="G10" s="28">
        <f>IFERROR(INDEX('Visit Log'!$AE$5:$AE$404,MATCH(PrintVisitID,'Visit Log'!$A$5:$A$404,0)),"")</f>
        <v>0</v>
      </c>
      <c r="H10" s="28"/>
    </row>
    <row r="11" spans="1:8">
      <c r="A11" s="18" t="s">
        <v>781</v>
      </c>
      <c r="B11" s="18"/>
      <c r="C11" s="53">
        <f>IFERROR(INDEX('Visit Log'!$I$5:$I$404,MATCH(PrintVisitID,'Visit Log'!$A$5:$A$404,0)),"")</f>
        <v>0</v>
      </c>
      <c r="D11" s="53"/>
      <c r="E11" s="18" t="s">
        <v>782</v>
      </c>
      <c r="F11" s="18"/>
      <c r="G11" s="53">
        <f>IFERROR(INDEX('Visit Log'!$J$5:$J$404,MATCH(PrintVisitID,'Visit Log'!$A$5:$A$404,0)),"")</f>
        <v>0</v>
      </c>
      <c r="H11" s="53"/>
    </row>
    <row r="12" spans="1:8">
      <c r="A12" s="18" t="s">
        <v>783</v>
      </c>
      <c r="B12" s="18"/>
      <c r="C12" s="31">
        <f>IFERROR(INDEX('Visit Log'!$K$5:$K$404,MATCH(PrintVisitID,'Visit Log'!$A$5:$A$404,0)),"")</f>
        <v>0</v>
      </c>
      <c r="D12" s="31"/>
      <c r="E12" s="18" t="s">
        <v>1194</v>
      </c>
      <c r="F12" s="18"/>
      <c r="G12" s="28">
        <f>IFERROR(INDEX('Visit Log'!$L$5:$L$404,MATCH(PrintVisitID,'Visit Log'!$A$5:$A$404,0)),"")</f>
        <v>0</v>
      </c>
      <c r="H12" s="28"/>
    </row>
    <row r="14" spans="1:8">
      <c r="A14" s="37" t="s">
        <v>1195</v>
      </c>
      <c r="B14" s="37"/>
      <c r="C14" s="37"/>
      <c r="D14" s="37"/>
      <c r="E14" s="37"/>
      <c r="F14" s="37"/>
      <c r="G14" s="37"/>
      <c r="H14" s="37"/>
    </row>
    <row r="15" spans="1:8">
      <c r="A15" s="18" t="s">
        <v>789</v>
      </c>
      <c r="B15" s="18"/>
      <c r="C15" s="28">
        <f>IFERROR(INDEX('Visit Log'!$Q$5:$Q$404,MATCH(PrintVisitID,'Visit Log'!$A$5:$A$404,0)),"")</f>
        <v>0</v>
      </c>
      <c r="D15" s="28"/>
      <c r="E15" s="18" t="s">
        <v>787</v>
      </c>
      <c r="F15" s="18"/>
      <c r="G15" s="31">
        <f>IFERROR(INDEX('Visit Log'!$O$5:$O$404,MATCH(PrintVisitID,'Visit Log'!$A$5:$A$404,0)),"")</f>
        <v>0</v>
      </c>
      <c r="H15" s="31"/>
    </row>
    <row r="16" spans="1:8">
      <c r="A16" s="18" t="s">
        <v>790</v>
      </c>
      <c r="B16" s="18"/>
      <c r="C16" s="28">
        <f>IFERROR(INDEX('Visit Log'!$R$5:$R$404,MATCH(PrintVisitID,'Visit Log'!$A$5:$A$404,0)),"")</f>
        <v>0</v>
      </c>
      <c r="D16" s="28"/>
      <c r="E16" s="18" t="s">
        <v>788</v>
      </c>
      <c r="F16" s="18"/>
      <c r="G16" s="32">
        <f>IFERROR(INDEX('Visit Log'!$P$5:$P$404,MATCH(PrintVisitID,'Visit Log'!$A$5:$A$404,0)),"")</f>
        <v>0</v>
      </c>
      <c r="H16" s="32"/>
    </row>
    <row r="17" spans="1:8">
      <c r="A17" s="18" t="s">
        <v>791</v>
      </c>
      <c r="B17" s="18"/>
      <c r="C17" s="28">
        <f>IFERROR(INDEX('Visit Log'!$S$5:$S$404,MATCH(PrintVisitID,'Visit Log'!$A$5:$A$404,0)),"")</f>
        <v>0</v>
      </c>
      <c r="D17" s="28"/>
      <c r="E17" s="18" t="s">
        <v>792</v>
      </c>
      <c r="F17" s="18"/>
      <c r="G17" s="28">
        <f>IFERROR(INDEX('Visit Log'!$U$5:$U$404,MATCH(PrintVisitID,'Visit Log'!$A$5:$A$404,0)),"")</f>
        <v>0</v>
      </c>
      <c r="H17" s="28"/>
    </row>
    <row r="18" spans="1:8">
      <c r="A18" s="18" t="s">
        <v>481</v>
      </c>
      <c r="B18" s="18"/>
      <c r="C18" s="28">
        <f>IFERROR(INDEX('Visit Log'!$T$5:$T$404,MATCH(PrintVisitID,'Visit Log'!$A$5:$A$404,0)),"")</f>
        <v>0</v>
      </c>
      <c r="D18" s="28"/>
      <c r="E18" s="18" t="s">
        <v>493</v>
      </c>
      <c r="F18" s="18"/>
      <c r="G18" s="28">
        <f>IFERROR(INDEX('Visit Log'!$V$5:$V$404,MATCH(PrintVisitID,'Visit Log'!$A$5:$A$404,0)),"")</f>
        <v>0</v>
      </c>
      <c r="H18" s="28"/>
    </row>
    <row r="20" spans="1:8">
      <c r="A20" s="37" t="s">
        <v>1196</v>
      </c>
      <c r="B20" s="37"/>
      <c r="C20" s="37"/>
      <c r="D20" s="37"/>
      <c r="E20" s="37"/>
      <c r="F20" s="37"/>
      <c r="G20" s="37"/>
      <c r="H20" s="37"/>
    </row>
    <row r="21" spans="1:8" ht="22" customHeight="1">
      <c r="A21" s="18" t="s">
        <v>794</v>
      </c>
      <c r="B21" s="18"/>
      <c r="C21" s="60">
        <f>IFERROR(INDEX('Visit Log'!$W$5:$W$404,MATCH(PrintVisitID,'Visit Log'!$A$5:$A$404,0)),"")</f>
        <v>0</v>
      </c>
      <c r="D21" s="60"/>
      <c r="E21" s="60"/>
      <c r="F21" s="60"/>
      <c r="G21" s="60"/>
      <c r="H21" s="60"/>
    </row>
    <row r="22" spans="1:8" ht="22" customHeight="1">
      <c r="A22" s="18" t="s">
        <v>795</v>
      </c>
      <c r="B22" s="18"/>
      <c r="C22" s="60">
        <f>IFERROR(INDEX('Visit Log'!$X$5:$X$404,MATCH(PrintVisitID,'Visit Log'!$A$5:$A$404,0)),"")</f>
        <v>0</v>
      </c>
      <c r="D22" s="60"/>
      <c r="E22" s="60"/>
      <c r="F22" s="60"/>
      <c r="G22" s="60"/>
      <c r="H22" s="60"/>
    </row>
    <row r="23" spans="1:8" ht="22" customHeight="1">
      <c r="A23" s="18" t="s">
        <v>796</v>
      </c>
      <c r="B23" s="18"/>
      <c r="C23" s="60">
        <f>IFERROR(INDEX('Visit Log'!$Y$5:$Y$404,MATCH(PrintVisitID,'Visit Log'!$A$5:$A$404,0)),"")</f>
        <v>0</v>
      </c>
      <c r="D23" s="60"/>
      <c r="E23" s="60"/>
      <c r="F23" s="60"/>
      <c r="G23" s="60"/>
      <c r="H23" s="60"/>
    </row>
    <row r="24" spans="1:8" ht="22" customHeight="1">
      <c r="A24" s="18" t="s">
        <v>802</v>
      </c>
      <c r="B24" s="18"/>
      <c r="C24" s="60">
        <f>IFERROR(INDEX('Visit Log'!$AF$5:$AF$404,MATCH(PrintVisitID,'Visit Log'!$A$5:$A$404,0)),"")</f>
        <v>0</v>
      </c>
      <c r="D24" s="60"/>
      <c r="E24" s="60"/>
      <c r="F24" s="60"/>
      <c r="G24" s="60"/>
      <c r="H24" s="60"/>
    </row>
    <row r="25" spans="1:8" ht="22" customHeight="1">
      <c r="A25" s="18" t="s">
        <v>799</v>
      </c>
      <c r="B25" s="18"/>
      <c r="C25" s="60">
        <f>IFERROR(INDEX('Visit Log'!$AB$5:$AB$404,MATCH(PrintVisitID,'Visit Log'!$A$5:$A$404,0)),"")</f>
        <v>0</v>
      </c>
      <c r="D25" s="60"/>
      <c r="E25" s="60"/>
      <c r="F25" s="60"/>
      <c r="G25" s="60"/>
      <c r="H25" s="60"/>
    </row>
    <row r="27" spans="1:8">
      <c r="A27" s="18" t="s">
        <v>1197</v>
      </c>
      <c r="B27" s="18"/>
      <c r="C27" s="28">
        <f>IF(IFERROR(INDEX('Visit Log'!$Z$5:$Z$404,MATCH(PrintVisitID,'Visit Log'!$A$5:$A$404,0)),"")="Yes","Yes - reference "&amp;IFERROR(INDEX('Visit Log'!$AA$5:$AA$404,MATCH(PrintVisitID,'Visit Log'!$A$5:$A$404,0)),""),"No")</f>
        <v>0</v>
      </c>
      <c r="D27" s="28"/>
      <c r="E27" s="28"/>
      <c r="F27" s="28"/>
      <c r="G27" s="28"/>
      <c r="H27" s="28"/>
    </row>
    <row r="29" spans="1:8" ht="24" customHeight="1">
      <c r="A29" s="5">
        <f>"Thank you for choosing "&amp;Biz_Name&amp;". Any questions about this visit? Call "&amp;Biz_Phone&amp;"."</f>
        <v>0</v>
      </c>
      <c r="B29" s="5"/>
      <c r="C29" s="5"/>
      <c r="D29" s="5"/>
      <c r="E29" s="5"/>
      <c r="F29" s="5"/>
      <c r="G29" s="5"/>
      <c r="H29" s="5"/>
    </row>
    <row r="31" spans="1:8">
      <c r="A31" s="18" t="s">
        <v>1198</v>
      </c>
      <c r="B31" s="18"/>
      <c r="C31" s="18"/>
      <c r="D31" s="62"/>
      <c r="E31" s="62"/>
      <c r="F31" s="62"/>
      <c r="G31" s="62"/>
      <c r="H31" s="62"/>
    </row>
  </sheetData>
  <sheetProtection password="EC7C" sheet="1" objects="1" scenarios="1" formatCells="0" formatColumns="0" formatRows="0" insertRows="0" insertHyperlinks="0" deleteRows="0" autoFilter="0"/>
  <mergeCells count="63">
    <mergeCell ref="A1:B1"/>
    <mergeCell ref="C1:D1"/>
    <mergeCell ref="E1:H1"/>
    <mergeCell ref="A3:H3"/>
    <mergeCell ref="A4:H4"/>
    <mergeCell ref="A6:H6"/>
    <mergeCell ref="A7:B7"/>
    <mergeCell ref="C7:D7"/>
    <mergeCell ref="E7:F7"/>
    <mergeCell ref="G7:H7"/>
    <mergeCell ref="A8:B8"/>
    <mergeCell ref="C8:D8"/>
    <mergeCell ref="E8:F8"/>
    <mergeCell ref="G8:H8"/>
    <mergeCell ref="A9:B9"/>
    <mergeCell ref="C9:D9"/>
    <mergeCell ref="E9:F9"/>
    <mergeCell ref="G9:H9"/>
    <mergeCell ref="A10:B10"/>
    <mergeCell ref="C10:D10"/>
    <mergeCell ref="E10:F10"/>
    <mergeCell ref="G10:H10"/>
    <mergeCell ref="A11:B11"/>
    <mergeCell ref="C11:D11"/>
    <mergeCell ref="E11:F11"/>
    <mergeCell ref="G11:H11"/>
    <mergeCell ref="A12:B12"/>
    <mergeCell ref="C12:D12"/>
    <mergeCell ref="E12:F12"/>
    <mergeCell ref="G12:H12"/>
    <mergeCell ref="A14:H14"/>
    <mergeCell ref="A15:B15"/>
    <mergeCell ref="C15:D15"/>
    <mergeCell ref="A16:B16"/>
    <mergeCell ref="C16:D16"/>
    <mergeCell ref="A17:B17"/>
    <mergeCell ref="C17:D17"/>
    <mergeCell ref="A18:B18"/>
    <mergeCell ref="C18:D18"/>
    <mergeCell ref="E15:F15"/>
    <mergeCell ref="G15:H15"/>
    <mergeCell ref="E16:F16"/>
    <mergeCell ref="G16:H16"/>
    <mergeCell ref="E17:F17"/>
    <mergeCell ref="G17:H17"/>
    <mergeCell ref="E18:F18"/>
    <mergeCell ref="G18:H18"/>
    <mergeCell ref="A20:H20"/>
    <mergeCell ref="A21:B21"/>
    <mergeCell ref="C21:H21"/>
    <mergeCell ref="A22:B22"/>
    <mergeCell ref="C22:H22"/>
    <mergeCell ref="A23:B23"/>
    <mergeCell ref="C23:H23"/>
    <mergeCell ref="A24:B24"/>
    <mergeCell ref="C24:H24"/>
    <mergeCell ref="A25:B25"/>
    <mergeCell ref="C25:H25"/>
    <mergeCell ref="A27:B27"/>
    <mergeCell ref="C27:H27"/>
    <mergeCell ref="A29:H29"/>
    <mergeCell ref="A31:C31"/>
    <mergeCell ref="D31:H31"/>
  </mergeCells>
  <dataValidations count="1">
    <dataValidation type="list" allowBlank="1" showInputMessage="1" showErrorMessage="1" promptTitle="Choose a record" prompt="Pick a visit ID from the Visit Log. This row does not print." sqref="C1:D1">
      <formula1>VisitIDs</formula1>
    </dataValidation>
  </dataValidations>
  <pageMargins left="0.4" right="0.4" top="0.6" bottom="0.5" header="0.3" footer="0.3"/>
  <pageSetup paperSize="9" orientation="portrait"/>
  <headerFooter>
    <oddHeader>&amp;L&amp;"Calibri,Bold"&amp;12&amp;C&amp;"Calibri,Bold"&amp;11Print Visit&amp;R&amp;"Calibri,Italic"&amp;9Pet Sitting &amp; Dog Walking Business Spreadsheet</oddHeader>
    <oddFooter>&amp;L&amp;"Calibri,Italic"&amp;8Novality Store - v1.0.0&amp;C&amp;"Calibri,Italic"&amp;8Page &amp;P of &amp;N&amp;R&amp;"Calibri,Italic"&amp;8&amp;D</oddFooter>
  </headerFooter>
</worksheet>
</file>

<file path=xl/worksheets/sheet25.xml><?xml version="1.0" encoding="utf-8"?>
<worksheet xmlns="http://schemas.openxmlformats.org/spreadsheetml/2006/main" xmlns:r="http://schemas.openxmlformats.org/officeDocument/2006/relationships">
  <sheetPr>
    <tabColor rgb="FFDCEAEE"/>
    <pageSetUpPr fitToPage="1"/>
  </sheetPr>
  <dimension ref="A1:H240"/>
  <sheetViews>
    <sheetView showGridLines="0" workbookViewId="0"/>
  </sheetViews>
  <sheetFormatPr defaultRowHeight="15"/>
  <cols>
    <col min="1" max="1" width="26.7109375" customWidth="1"/>
    <col min="2" max="8" width="11.7109375" customWidth="1"/>
  </cols>
  <sheetData>
    <row r="1" spans="1:8" ht="26" customHeight="1">
      <c r="A1" s="5" t="s">
        <v>1199</v>
      </c>
      <c r="B1" s="5"/>
      <c r="C1" s="5"/>
      <c r="D1" s="5"/>
      <c r="E1" s="5"/>
      <c r="F1" s="5"/>
      <c r="G1" s="5"/>
      <c r="H1" s="5"/>
    </row>
    <row r="3" spans="1:8" ht="26" customHeight="1">
      <c r="A3" s="55">
        <f>Biz_Name&amp;" - New Client Registration"</f>
        <v>0</v>
      </c>
      <c r="B3" s="55"/>
      <c r="C3" s="55"/>
      <c r="D3" s="55"/>
      <c r="E3" s="55"/>
      <c r="F3" s="55"/>
      <c r="G3" s="55"/>
      <c r="H3" s="55"/>
    </row>
    <row r="4" spans="1:8">
      <c r="A4" s="57" t="s">
        <v>1200</v>
      </c>
      <c r="B4" s="57"/>
      <c r="C4" s="57"/>
      <c r="D4" s="57"/>
      <c r="E4" s="57"/>
      <c r="F4" s="57"/>
      <c r="G4" s="57"/>
      <c r="H4" s="57"/>
    </row>
    <row r="6" spans="1:8" ht="20" customHeight="1">
      <c r="A6" s="63" t="s">
        <v>660</v>
      </c>
      <c r="B6" s="63"/>
      <c r="C6" s="62"/>
      <c r="D6" s="62"/>
      <c r="E6" s="62"/>
      <c r="F6" s="62"/>
      <c r="G6" s="62"/>
      <c r="H6" s="62"/>
    </row>
    <row r="7" spans="1:8" ht="20" customHeight="1">
      <c r="A7" s="63" t="s">
        <v>229</v>
      </c>
      <c r="B7" s="63"/>
      <c r="C7" s="62"/>
      <c r="D7" s="62"/>
      <c r="E7" s="62"/>
      <c r="F7" s="62"/>
      <c r="G7" s="62"/>
      <c r="H7" s="62"/>
    </row>
    <row r="8" spans="1:8" ht="20" customHeight="1">
      <c r="A8" s="63" t="s">
        <v>231</v>
      </c>
      <c r="B8" s="63"/>
      <c r="C8" s="62"/>
      <c r="D8" s="62"/>
      <c r="E8" s="62"/>
      <c r="F8" s="62"/>
      <c r="G8" s="62"/>
      <c r="H8" s="62"/>
    </row>
    <row r="9" spans="1:8" ht="20" customHeight="1">
      <c r="A9" s="63" t="s">
        <v>235</v>
      </c>
      <c r="B9" s="63"/>
      <c r="C9" s="62"/>
      <c r="D9" s="62"/>
      <c r="E9" s="62"/>
      <c r="F9" s="62"/>
      <c r="G9" s="62"/>
      <c r="H9" s="62"/>
    </row>
    <row r="10" spans="1:8" ht="20" customHeight="1">
      <c r="A10" s="63" t="s">
        <v>237</v>
      </c>
      <c r="B10" s="63"/>
      <c r="C10" s="62"/>
      <c r="D10" s="62"/>
      <c r="E10" s="62"/>
      <c r="F10" s="62"/>
      <c r="G10" s="62"/>
      <c r="H10" s="62"/>
    </row>
    <row r="11" spans="1:8" ht="20" customHeight="1">
      <c r="A11" s="63" t="s">
        <v>661</v>
      </c>
      <c r="B11" s="63"/>
      <c r="C11" s="62"/>
      <c r="D11" s="62"/>
      <c r="E11" s="62"/>
      <c r="F11" s="62"/>
      <c r="G11" s="62"/>
      <c r="H11" s="62"/>
    </row>
    <row r="12" spans="1:8" ht="20" customHeight="1">
      <c r="A12" s="63" t="s">
        <v>1201</v>
      </c>
      <c r="B12" s="63"/>
      <c r="C12" s="62"/>
      <c r="D12" s="62"/>
      <c r="E12" s="62"/>
      <c r="F12" s="62"/>
      <c r="G12" s="62"/>
      <c r="H12" s="62"/>
    </row>
    <row r="13" spans="1:8" ht="20" customHeight="1">
      <c r="A13" s="63" t="s">
        <v>1202</v>
      </c>
      <c r="B13" s="63"/>
      <c r="C13" s="62"/>
      <c r="D13" s="62"/>
      <c r="E13" s="62"/>
      <c r="F13" s="62"/>
      <c r="G13" s="62"/>
      <c r="H13" s="62"/>
    </row>
    <row r="14" spans="1:8" ht="20" customHeight="1">
      <c r="A14" s="63" t="s">
        <v>1203</v>
      </c>
      <c r="B14" s="63"/>
      <c r="C14" s="62"/>
      <c r="D14" s="62"/>
      <c r="E14" s="62"/>
      <c r="F14" s="62"/>
      <c r="G14" s="62"/>
      <c r="H14" s="62"/>
    </row>
    <row r="15" spans="1:8" ht="20" customHeight="1">
      <c r="A15" s="63" t="s">
        <v>1204</v>
      </c>
      <c r="B15" s="63"/>
      <c r="C15" s="62"/>
      <c r="D15" s="62"/>
      <c r="E15" s="62"/>
      <c r="F15" s="62"/>
      <c r="G15" s="62"/>
      <c r="H15" s="62"/>
    </row>
    <row r="16" spans="1:8" ht="20" customHeight="1">
      <c r="A16" s="63" t="s">
        <v>1205</v>
      </c>
      <c r="B16" s="63"/>
      <c r="C16" s="62"/>
      <c r="D16" s="62"/>
      <c r="E16" s="62"/>
      <c r="F16" s="62"/>
      <c r="G16" s="62"/>
      <c r="H16" s="62"/>
    </row>
    <row r="17" spans="1:8" ht="20" customHeight="1">
      <c r="A17" s="63" t="s">
        <v>1206</v>
      </c>
      <c r="B17" s="63"/>
      <c r="C17" s="62"/>
      <c r="D17" s="62"/>
      <c r="E17" s="62"/>
      <c r="F17" s="62"/>
      <c r="G17" s="62"/>
      <c r="H17" s="62"/>
    </row>
    <row r="18" spans="1:8" ht="20" customHeight="1">
      <c r="A18" s="63" t="s">
        <v>1207</v>
      </c>
      <c r="B18" s="63"/>
      <c r="C18" s="62"/>
      <c r="D18" s="62"/>
      <c r="E18" s="62"/>
      <c r="F18" s="62"/>
      <c r="G18" s="62"/>
      <c r="H18" s="62"/>
    </row>
    <row r="19" spans="1:8" ht="20" customHeight="1">
      <c r="A19" s="63" t="s">
        <v>1208</v>
      </c>
      <c r="B19" s="63"/>
      <c r="C19" s="62"/>
      <c r="D19" s="62"/>
      <c r="E19" s="62"/>
      <c r="F19" s="62"/>
      <c r="G19" s="62"/>
      <c r="H19" s="62"/>
    </row>
    <row r="21" spans="1:8">
      <c r="A21" s="57">
        <f>Biz_Name&amp;"  |  "&amp;Biz_Phone&amp;"  |  "&amp;Biz_Email</f>
        <v>0</v>
      </c>
      <c r="B21" s="57"/>
      <c r="C21" s="57"/>
      <c r="D21" s="57"/>
      <c r="E21" s="57"/>
      <c r="F21" s="57"/>
      <c r="G21" s="57"/>
      <c r="H21" s="57"/>
    </row>
    <row r="24" spans="1:8" ht="26" customHeight="1">
      <c r="A24" s="55">
        <f>Biz_Name&amp;" - Pet Profile &amp; Care Instructions"</f>
        <v>0</v>
      </c>
      <c r="B24" s="55"/>
      <c r="C24" s="55"/>
      <c r="D24" s="55"/>
      <c r="E24" s="55"/>
      <c r="F24" s="55"/>
      <c r="G24" s="55"/>
      <c r="H24" s="55"/>
    </row>
    <row r="25" spans="1:8">
      <c r="A25" s="57" t="s">
        <v>1209</v>
      </c>
      <c r="B25" s="57"/>
      <c r="C25" s="57"/>
      <c r="D25" s="57"/>
      <c r="E25" s="57"/>
      <c r="F25" s="57"/>
      <c r="G25" s="57"/>
      <c r="H25" s="57"/>
    </row>
    <row r="27" spans="1:8" ht="20" customHeight="1">
      <c r="A27" s="63" t="s">
        <v>690</v>
      </c>
      <c r="B27" s="63"/>
      <c r="C27" s="62"/>
      <c r="D27" s="62"/>
      <c r="E27" s="62"/>
      <c r="F27" s="62"/>
      <c r="G27" s="62"/>
      <c r="H27" s="62"/>
    </row>
    <row r="28" spans="1:8" ht="20" customHeight="1">
      <c r="A28" s="63" t="s">
        <v>1166</v>
      </c>
      <c r="B28" s="63"/>
      <c r="C28" s="62"/>
      <c r="D28" s="62"/>
      <c r="E28" s="62"/>
      <c r="F28" s="62"/>
      <c r="G28" s="62"/>
      <c r="H28" s="62"/>
    </row>
    <row r="29" spans="1:8" ht="20" customHeight="1">
      <c r="A29" s="63" t="s">
        <v>695</v>
      </c>
      <c r="B29" s="63"/>
      <c r="C29" s="62"/>
      <c r="D29" s="62"/>
      <c r="E29" s="62"/>
      <c r="F29" s="62"/>
      <c r="G29" s="62"/>
      <c r="H29" s="62"/>
    </row>
    <row r="30" spans="1:8" ht="20" customHeight="1">
      <c r="A30" s="63" t="s">
        <v>697</v>
      </c>
      <c r="B30" s="63"/>
      <c r="C30" s="62"/>
      <c r="D30" s="62"/>
      <c r="E30" s="62"/>
      <c r="F30" s="62"/>
      <c r="G30" s="62"/>
      <c r="H30" s="62"/>
    </row>
    <row r="31" spans="1:8" ht="20" customHeight="1">
      <c r="A31" s="63" t="s">
        <v>1168</v>
      </c>
      <c r="B31" s="63"/>
      <c r="C31" s="62"/>
      <c r="D31" s="62"/>
      <c r="E31" s="62"/>
      <c r="F31" s="62"/>
      <c r="G31" s="62"/>
      <c r="H31" s="62"/>
    </row>
    <row r="32" spans="1:8" ht="20" customHeight="1">
      <c r="A32" s="63" t="s">
        <v>699</v>
      </c>
      <c r="B32" s="63"/>
      <c r="C32" s="62"/>
      <c r="D32" s="62"/>
      <c r="E32" s="62"/>
      <c r="F32" s="62"/>
      <c r="G32" s="62"/>
      <c r="H32" s="62"/>
    </row>
    <row r="33" spans="1:8" ht="20" customHeight="1">
      <c r="A33" s="63" t="s">
        <v>701</v>
      </c>
      <c r="B33" s="63"/>
      <c r="C33" s="62"/>
      <c r="D33" s="62"/>
      <c r="E33" s="62"/>
      <c r="F33" s="62"/>
      <c r="G33" s="62"/>
      <c r="H33" s="62"/>
    </row>
    <row r="34" spans="1:8" ht="20" customHeight="1">
      <c r="A34" s="63" t="s">
        <v>397</v>
      </c>
      <c r="B34" s="63"/>
      <c r="C34" s="62"/>
      <c r="D34" s="62"/>
      <c r="E34" s="62"/>
      <c r="F34" s="62"/>
      <c r="G34" s="62"/>
      <c r="H34" s="62"/>
    </row>
    <row r="35" spans="1:8" ht="20" customHeight="1">
      <c r="A35" s="63" t="s">
        <v>1210</v>
      </c>
      <c r="B35" s="63"/>
      <c r="C35" s="62"/>
      <c r="D35" s="62"/>
      <c r="E35" s="62"/>
      <c r="F35" s="62"/>
      <c r="G35" s="62"/>
      <c r="H35" s="62"/>
    </row>
    <row r="36" spans="1:8" ht="20" customHeight="1">
      <c r="A36" s="63" t="s">
        <v>1183</v>
      </c>
      <c r="B36" s="63"/>
      <c r="C36" s="62"/>
      <c r="D36" s="62"/>
      <c r="E36" s="62"/>
      <c r="F36" s="62"/>
      <c r="G36" s="62"/>
      <c r="H36" s="62"/>
    </row>
    <row r="37" spans="1:8" ht="20" customHeight="1">
      <c r="A37" s="63" t="s">
        <v>1211</v>
      </c>
      <c r="B37" s="63"/>
      <c r="C37" s="62"/>
      <c r="D37" s="62"/>
      <c r="E37" s="62"/>
      <c r="F37" s="62"/>
      <c r="G37" s="62"/>
      <c r="H37" s="62"/>
    </row>
    <row r="38" spans="1:8" ht="20" customHeight="1">
      <c r="A38" s="63" t="s">
        <v>1179</v>
      </c>
      <c r="B38" s="63"/>
      <c r="C38" s="62"/>
      <c r="D38" s="62"/>
      <c r="E38" s="62"/>
      <c r="F38" s="62"/>
      <c r="G38" s="62"/>
      <c r="H38" s="62"/>
    </row>
    <row r="39" spans="1:8" ht="20" customHeight="1">
      <c r="A39" s="63" t="s">
        <v>1212</v>
      </c>
      <c r="B39" s="63"/>
      <c r="C39" s="62"/>
      <c r="D39" s="62"/>
      <c r="E39" s="62"/>
      <c r="F39" s="62"/>
      <c r="G39" s="62"/>
      <c r="H39" s="62"/>
    </row>
    <row r="40" spans="1:8" ht="20" customHeight="1">
      <c r="A40" s="63" t="s">
        <v>722</v>
      </c>
      <c r="B40" s="63"/>
      <c r="C40" s="62"/>
      <c r="D40" s="62"/>
      <c r="E40" s="62"/>
      <c r="F40" s="62"/>
      <c r="G40" s="62"/>
      <c r="H40" s="62"/>
    </row>
    <row r="41" spans="1:8" ht="20" customHeight="1">
      <c r="A41" s="63" t="s">
        <v>703</v>
      </c>
      <c r="B41" s="63"/>
      <c r="C41" s="62"/>
      <c r="D41" s="62"/>
      <c r="E41" s="62"/>
      <c r="F41" s="62"/>
      <c r="G41" s="62"/>
      <c r="H41" s="62"/>
    </row>
    <row r="42" spans="1:8" ht="20" customHeight="1">
      <c r="A42" s="63" t="s">
        <v>1177</v>
      </c>
      <c r="B42" s="63"/>
      <c r="C42" s="62"/>
      <c r="D42" s="62"/>
      <c r="E42" s="62"/>
      <c r="F42" s="62"/>
      <c r="G42" s="62"/>
      <c r="H42" s="62"/>
    </row>
    <row r="43" spans="1:8" ht="20" customHeight="1">
      <c r="A43" s="63" t="s">
        <v>1213</v>
      </c>
      <c r="B43" s="63"/>
      <c r="C43" s="62"/>
      <c r="D43" s="62"/>
      <c r="E43" s="62"/>
      <c r="F43" s="62"/>
      <c r="G43" s="62"/>
      <c r="H43" s="62"/>
    </row>
    <row r="44" spans="1:8" ht="20" customHeight="1">
      <c r="A44" s="63" t="s">
        <v>1214</v>
      </c>
      <c r="B44" s="63"/>
      <c r="C44" s="62"/>
      <c r="D44" s="62"/>
      <c r="E44" s="62"/>
      <c r="F44" s="62"/>
      <c r="G44" s="62"/>
      <c r="H44" s="62"/>
    </row>
    <row r="45" spans="1:8" ht="20" customHeight="1">
      <c r="A45" s="63" t="s">
        <v>1215</v>
      </c>
      <c r="B45" s="63"/>
      <c r="C45" s="62"/>
      <c r="D45" s="62"/>
      <c r="E45" s="62"/>
      <c r="F45" s="62"/>
      <c r="G45" s="62"/>
      <c r="H45" s="62"/>
    </row>
    <row r="46" spans="1:8" ht="20" customHeight="1">
      <c r="A46" s="63" t="s">
        <v>724</v>
      </c>
      <c r="B46" s="63"/>
      <c r="C46" s="62"/>
      <c r="D46" s="62"/>
      <c r="E46" s="62"/>
      <c r="F46" s="62"/>
      <c r="G46" s="62"/>
      <c r="H46" s="62"/>
    </row>
    <row r="47" spans="1:8" ht="20" customHeight="1">
      <c r="A47" s="63" t="s">
        <v>1216</v>
      </c>
      <c r="B47" s="63"/>
      <c r="C47" s="62"/>
      <c r="D47" s="62"/>
      <c r="E47" s="62"/>
      <c r="F47" s="62"/>
      <c r="G47" s="62"/>
      <c r="H47" s="62"/>
    </row>
    <row r="48" spans="1:8" ht="20" customHeight="1">
      <c r="A48" s="63" t="s">
        <v>725</v>
      </c>
      <c r="B48" s="63"/>
      <c r="C48" s="62"/>
      <c r="D48" s="62"/>
      <c r="E48" s="62"/>
      <c r="F48" s="62"/>
      <c r="G48" s="62"/>
      <c r="H48" s="62"/>
    </row>
    <row r="50" spans="1:8">
      <c r="A50" s="57">
        <f>Biz_Name&amp;"  |  "&amp;Biz_Phone&amp;"  |  "&amp;Biz_Email</f>
        <v>0</v>
      </c>
      <c r="B50" s="57"/>
      <c r="C50" s="57"/>
      <c r="D50" s="57"/>
      <c r="E50" s="57"/>
      <c r="F50" s="57"/>
      <c r="G50" s="57"/>
      <c r="H50" s="57"/>
    </row>
    <row r="53" spans="1:8" ht="26" customHeight="1">
      <c r="A53" s="55">
        <f>Biz_Name&amp;" - Service Agreement &amp; Veterinary Consent"</f>
        <v>0</v>
      </c>
      <c r="B53" s="55"/>
      <c r="C53" s="55"/>
      <c r="D53" s="55"/>
      <c r="E53" s="55"/>
      <c r="F53" s="55"/>
      <c r="G53" s="55"/>
      <c r="H53" s="55"/>
    </row>
    <row r="54" spans="1:8">
      <c r="A54" s="57" t="s">
        <v>1217</v>
      </c>
      <c r="B54" s="57"/>
      <c r="C54" s="57"/>
      <c r="D54" s="57"/>
      <c r="E54" s="57"/>
      <c r="F54" s="57"/>
      <c r="G54" s="57"/>
      <c r="H54" s="57"/>
    </row>
    <row r="56" spans="1:8" ht="20" customHeight="1">
      <c r="A56" s="63" t="s">
        <v>660</v>
      </c>
      <c r="B56" s="63"/>
      <c r="C56" s="62"/>
      <c r="D56" s="62"/>
      <c r="E56" s="62"/>
      <c r="F56" s="62"/>
      <c r="G56" s="62"/>
      <c r="H56" s="62"/>
    </row>
    <row r="57" spans="1:8" ht="20" customHeight="1">
      <c r="A57" s="63" t="s">
        <v>1218</v>
      </c>
      <c r="B57" s="63"/>
      <c r="C57" s="62"/>
      <c r="D57" s="62"/>
      <c r="E57" s="62"/>
      <c r="F57" s="62"/>
      <c r="G57" s="62"/>
      <c r="H57" s="62"/>
    </row>
    <row r="58" spans="1:8" ht="20" customHeight="1">
      <c r="A58" s="63" t="s">
        <v>1219</v>
      </c>
      <c r="B58" s="63"/>
      <c r="C58" s="62"/>
      <c r="D58" s="62"/>
      <c r="E58" s="62"/>
      <c r="F58" s="62"/>
      <c r="G58" s="62"/>
      <c r="H58" s="62"/>
    </row>
    <row r="59" spans="1:8" ht="20" customHeight="1">
      <c r="A59" s="63" t="s">
        <v>1220</v>
      </c>
      <c r="B59" s="63"/>
      <c r="C59" s="62"/>
      <c r="D59" s="62"/>
      <c r="E59" s="62"/>
      <c r="F59" s="62"/>
      <c r="G59" s="62"/>
      <c r="H59" s="62"/>
    </row>
    <row r="60" spans="1:8" ht="20" customHeight="1">
      <c r="A60" s="63" t="s">
        <v>1221</v>
      </c>
      <c r="B60" s="63"/>
      <c r="C60" s="62"/>
      <c r="D60" s="62"/>
      <c r="E60" s="62"/>
      <c r="F60" s="62"/>
      <c r="G60" s="62"/>
      <c r="H60" s="62"/>
    </row>
    <row r="61" spans="1:8" ht="20" customHeight="1">
      <c r="A61" s="63" t="s">
        <v>1161</v>
      </c>
      <c r="B61" s="63"/>
      <c r="C61" s="62"/>
      <c r="D61" s="62"/>
      <c r="E61" s="62"/>
      <c r="F61" s="62"/>
      <c r="G61" s="62"/>
      <c r="H61" s="62"/>
    </row>
    <row r="62" spans="1:8" ht="20" customHeight="1">
      <c r="A62" s="63" t="s">
        <v>1222</v>
      </c>
      <c r="B62" s="63"/>
      <c r="C62" s="62"/>
      <c r="D62" s="62"/>
      <c r="E62" s="62"/>
      <c r="F62" s="62"/>
      <c r="G62" s="62"/>
      <c r="H62" s="62"/>
    </row>
    <row r="63" spans="1:8" ht="20" customHeight="1">
      <c r="A63" s="63" t="s">
        <v>1223</v>
      </c>
      <c r="B63" s="63"/>
      <c r="C63" s="62"/>
      <c r="D63" s="62"/>
      <c r="E63" s="62"/>
      <c r="F63" s="62"/>
      <c r="G63" s="62"/>
      <c r="H63" s="62"/>
    </row>
    <row r="64" spans="1:8" ht="20" customHeight="1">
      <c r="A64" s="63" t="s">
        <v>1224</v>
      </c>
      <c r="B64" s="63"/>
      <c r="C64" s="62"/>
      <c r="D64" s="62"/>
      <c r="E64" s="62"/>
      <c r="F64" s="62"/>
      <c r="G64" s="62"/>
      <c r="H64" s="62"/>
    </row>
    <row r="65" spans="1:8" ht="20" customHeight="1">
      <c r="A65" s="63" t="s">
        <v>1225</v>
      </c>
      <c r="B65" s="63"/>
      <c r="C65" s="62"/>
      <c r="D65" s="62"/>
      <c r="E65" s="62"/>
      <c r="F65" s="62"/>
      <c r="G65" s="62"/>
      <c r="H65" s="62"/>
    </row>
    <row r="66" spans="1:8" ht="20" customHeight="1">
      <c r="A66" s="63" t="s">
        <v>1226</v>
      </c>
      <c r="B66" s="63"/>
      <c r="C66" s="62"/>
      <c r="D66" s="62"/>
      <c r="E66" s="62"/>
      <c r="F66" s="62"/>
      <c r="G66" s="62"/>
      <c r="H66" s="62"/>
    </row>
    <row r="67" spans="1:8" ht="20" customHeight="1">
      <c r="A67" s="63" t="s">
        <v>1227</v>
      </c>
      <c r="B67" s="63"/>
      <c r="C67" s="62"/>
      <c r="D67" s="62"/>
      <c r="E67" s="62"/>
      <c r="F67" s="62"/>
      <c r="G67" s="62"/>
      <c r="H67" s="62"/>
    </row>
    <row r="68" spans="1:8" ht="20" customHeight="1">
      <c r="A68" s="63" t="s">
        <v>337</v>
      </c>
      <c r="B68" s="63"/>
      <c r="C68" s="62"/>
      <c r="D68" s="62"/>
      <c r="E68" s="62"/>
      <c r="F68" s="62"/>
      <c r="G68" s="62"/>
      <c r="H68" s="62"/>
    </row>
    <row r="69" spans="1:8" ht="20" customHeight="1">
      <c r="A69" s="63" t="s">
        <v>1228</v>
      </c>
      <c r="B69" s="63"/>
      <c r="C69" s="62"/>
      <c r="D69" s="62"/>
      <c r="E69" s="62"/>
      <c r="F69" s="62"/>
      <c r="G69" s="62"/>
      <c r="H69" s="62"/>
    </row>
    <row r="70" spans="1:8" ht="20" customHeight="1">
      <c r="A70" s="63" t="s">
        <v>337</v>
      </c>
      <c r="B70" s="63"/>
      <c r="C70" s="62"/>
      <c r="D70" s="62"/>
      <c r="E70" s="62"/>
      <c r="F70" s="62"/>
      <c r="G70" s="62"/>
      <c r="H70" s="62"/>
    </row>
    <row r="72" spans="1:8">
      <c r="A72" s="57">
        <f>Biz_Name&amp;"  |  "&amp;Biz_Phone&amp;"  |  "&amp;Biz_Email</f>
        <v>0</v>
      </c>
      <c r="B72" s="57"/>
      <c r="C72" s="57"/>
      <c r="D72" s="57"/>
      <c r="E72" s="57"/>
      <c r="F72" s="57"/>
      <c r="G72" s="57"/>
      <c r="H72" s="57"/>
    </row>
    <row r="75" spans="1:8" ht="26" customHeight="1">
      <c r="A75" s="55">
        <f>Biz_Name&amp;" - Key Handover Receipt"</f>
        <v>0</v>
      </c>
      <c r="B75" s="55"/>
      <c r="C75" s="55"/>
      <c r="D75" s="55"/>
      <c r="E75" s="55"/>
      <c r="F75" s="55"/>
      <c r="G75" s="55"/>
      <c r="H75" s="55"/>
    </row>
    <row r="76" spans="1:8">
      <c r="A76" s="57" t="s">
        <v>1229</v>
      </c>
      <c r="B76" s="57"/>
      <c r="C76" s="57"/>
      <c r="D76" s="57"/>
      <c r="E76" s="57"/>
      <c r="F76" s="57"/>
      <c r="G76" s="57"/>
      <c r="H76" s="57"/>
    </row>
    <row r="78" spans="1:8" ht="20" customHeight="1">
      <c r="A78" s="63" t="s">
        <v>660</v>
      </c>
      <c r="B78" s="63"/>
      <c r="C78" s="62"/>
      <c r="D78" s="62"/>
      <c r="E78" s="62"/>
      <c r="F78" s="62"/>
      <c r="G78" s="62"/>
      <c r="H78" s="62"/>
    </row>
    <row r="79" spans="1:8" ht="20" customHeight="1">
      <c r="A79" s="63" t="s">
        <v>1171</v>
      </c>
      <c r="B79" s="63"/>
      <c r="C79" s="62"/>
      <c r="D79" s="62"/>
      <c r="E79" s="62"/>
      <c r="F79" s="62"/>
      <c r="G79" s="62"/>
      <c r="H79" s="62"/>
    </row>
    <row r="80" spans="1:8" ht="20" customHeight="1">
      <c r="A80" s="63" t="s">
        <v>1230</v>
      </c>
      <c r="B80" s="63"/>
      <c r="C80" s="62"/>
      <c r="D80" s="62"/>
      <c r="E80" s="62"/>
      <c r="F80" s="62"/>
      <c r="G80" s="62"/>
      <c r="H80" s="62"/>
    </row>
    <row r="81" spans="1:8" ht="20" customHeight="1">
      <c r="A81" s="63" t="s">
        <v>1231</v>
      </c>
      <c r="B81" s="63"/>
      <c r="C81" s="62"/>
      <c r="D81" s="62"/>
      <c r="E81" s="62"/>
      <c r="F81" s="62"/>
      <c r="G81" s="62"/>
      <c r="H81" s="62"/>
    </row>
    <row r="82" spans="1:8" ht="20" customHeight="1">
      <c r="A82" s="63" t="s">
        <v>1232</v>
      </c>
      <c r="B82" s="63"/>
      <c r="C82" s="62"/>
      <c r="D82" s="62"/>
      <c r="E82" s="62"/>
      <c r="F82" s="62"/>
      <c r="G82" s="62"/>
      <c r="H82" s="62"/>
    </row>
    <row r="83" spans="1:8" ht="20" customHeight="1">
      <c r="A83" s="63" t="s">
        <v>1233</v>
      </c>
      <c r="B83" s="63"/>
      <c r="C83" s="62"/>
      <c r="D83" s="62"/>
      <c r="E83" s="62"/>
      <c r="F83" s="62"/>
      <c r="G83" s="62"/>
      <c r="H83" s="62"/>
    </row>
    <row r="84" spans="1:8" ht="20" customHeight="1">
      <c r="A84" s="63" t="s">
        <v>1227</v>
      </c>
      <c r="B84" s="63"/>
      <c r="C84" s="62"/>
      <c r="D84" s="62"/>
      <c r="E84" s="62"/>
      <c r="F84" s="62"/>
      <c r="G84" s="62"/>
      <c r="H84" s="62"/>
    </row>
    <row r="85" spans="1:8" ht="20" customHeight="1">
      <c r="A85" s="63" t="s">
        <v>1234</v>
      </c>
      <c r="B85" s="63"/>
      <c r="C85" s="62"/>
      <c r="D85" s="62"/>
      <c r="E85" s="62"/>
      <c r="F85" s="62"/>
      <c r="G85" s="62"/>
      <c r="H85" s="62"/>
    </row>
    <row r="86" spans="1:8" ht="20" customHeight="1">
      <c r="A86" s="63" t="s">
        <v>1235</v>
      </c>
      <c r="B86" s="63"/>
      <c r="C86" s="62"/>
      <c r="D86" s="62"/>
      <c r="E86" s="62"/>
      <c r="F86" s="62"/>
      <c r="G86" s="62"/>
      <c r="H86" s="62"/>
    </row>
    <row r="87" spans="1:8" ht="20" customHeight="1">
      <c r="A87" s="63" t="s">
        <v>1236</v>
      </c>
      <c r="B87" s="63"/>
      <c r="C87" s="62"/>
      <c r="D87" s="62"/>
      <c r="E87" s="62"/>
      <c r="F87" s="62"/>
      <c r="G87" s="62"/>
      <c r="H87" s="62"/>
    </row>
    <row r="89" spans="1:8">
      <c r="A89" s="57">
        <f>Biz_Name&amp;"  |  "&amp;Biz_Phone&amp;"  |  "&amp;Biz_Email</f>
        <v>0</v>
      </c>
      <c r="B89" s="57"/>
      <c r="C89" s="57"/>
      <c r="D89" s="57"/>
      <c r="E89" s="57"/>
      <c r="F89" s="57"/>
      <c r="G89" s="57"/>
      <c r="H89" s="57"/>
    </row>
    <row r="92" spans="1:8" ht="26" customHeight="1">
      <c r="A92" s="55">
        <f>Biz_Name&amp;" - Incident / Accident Report"</f>
        <v>0</v>
      </c>
      <c r="B92" s="55"/>
      <c r="C92" s="55"/>
      <c r="D92" s="55"/>
      <c r="E92" s="55"/>
      <c r="F92" s="55"/>
      <c r="G92" s="55"/>
      <c r="H92" s="55"/>
    </row>
    <row r="93" spans="1:8">
      <c r="A93" s="57" t="s">
        <v>1237</v>
      </c>
      <c r="B93" s="57"/>
      <c r="C93" s="57"/>
      <c r="D93" s="57"/>
      <c r="E93" s="57"/>
      <c r="F93" s="57"/>
      <c r="G93" s="57"/>
      <c r="H93" s="57"/>
    </row>
    <row r="95" spans="1:8" ht="20" customHeight="1">
      <c r="A95" s="63" t="s">
        <v>1238</v>
      </c>
      <c r="B95" s="63"/>
      <c r="C95" s="62"/>
      <c r="D95" s="62"/>
      <c r="E95" s="62"/>
      <c r="F95" s="62"/>
      <c r="G95" s="62"/>
      <c r="H95" s="62"/>
    </row>
    <row r="96" spans="1:8" ht="20" customHeight="1">
      <c r="A96" s="63" t="s">
        <v>1239</v>
      </c>
      <c r="B96" s="63"/>
      <c r="C96" s="62"/>
      <c r="D96" s="62"/>
      <c r="E96" s="62"/>
      <c r="F96" s="62"/>
      <c r="G96" s="62"/>
      <c r="H96" s="62"/>
    </row>
    <row r="97" spans="1:8" ht="20" customHeight="1">
      <c r="A97" s="63" t="s">
        <v>1240</v>
      </c>
      <c r="B97" s="63"/>
      <c r="C97" s="62"/>
      <c r="D97" s="62"/>
      <c r="E97" s="62"/>
      <c r="F97" s="62"/>
      <c r="G97" s="62"/>
      <c r="H97" s="62"/>
    </row>
    <row r="98" spans="1:8" ht="20" customHeight="1">
      <c r="A98" s="63" t="s">
        <v>1241</v>
      </c>
      <c r="B98" s="63"/>
      <c r="C98" s="62"/>
      <c r="D98" s="62"/>
      <c r="E98" s="62"/>
      <c r="F98" s="62"/>
      <c r="G98" s="62"/>
      <c r="H98" s="62"/>
    </row>
    <row r="99" spans="1:8" ht="20" customHeight="1">
      <c r="A99" s="63" t="s">
        <v>207</v>
      </c>
      <c r="B99" s="63"/>
      <c r="C99" s="62"/>
      <c r="D99" s="62"/>
      <c r="E99" s="62"/>
      <c r="F99" s="62"/>
      <c r="G99" s="62"/>
      <c r="H99" s="62"/>
    </row>
    <row r="100" spans="1:8" ht="20" customHeight="1">
      <c r="A100" s="63" t="s">
        <v>1242</v>
      </c>
      <c r="B100" s="63"/>
      <c r="C100" s="62"/>
      <c r="D100" s="62"/>
      <c r="E100" s="62"/>
      <c r="F100" s="62"/>
      <c r="G100" s="62"/>
      <c r="H100" s="62"/>
    </row>
    <row r="101" spans="1:8" ht="20" customHeight="1">
      <c r="A101" s="63" t="s">
        <v>498</v>
      </c>
      <c r="B101" s="63"/>
      <c r="C101" s="62"/>
      <c r="D101" s="62"/>
      <c r="E101" s="62"/>
      <c r="F101" s="62"/>
      <c r="G101" s="62"/>
      <c r="H101" s="62"/>
    </row>
    <row r="102" spans="1:8" ht="20" customHeight="1">
      <c r="A102" s="63" t="s">
        <v>508</v>
      </c>
      <c r="B102" s="63"/>
      <c r="C102" s="62"/>
      <c r="D102" s="62"/>
      <c r="E102" s="62"/>
      <c r="F102" s="62"/>
      <c r="G102" s="62"/>
      <c r="H102" s="62"/>
    </row>
    <row r="103" spans="1:8" ht="20" customHeight="1">
      <c r="A103" s="63" t="s">
        <v>824</v>
      </c>
      <c r="B103" s="63"/>
      <c r="C103" s="62"/>
      <c r="D103" s="62"/>
      <c r="E103" s="62"/>
      <c r="F103" s="62"/>
      <c r="G103" s="62"/>
      <c r="H103" s="62"/>
    </row>
    <row r="104" spans="1:8" ht="20" customHeight="1">
      <c r="A104" s="63" t="s">
        <v>1243</v>
      </c>
      <c r="B104" s="63"/>
      <c r="C104" s="62"/>
      <c r="D104" s="62"/>
      <c r="E104" s="62"/>
      <c r="F104" s="62"/>
      <c r="G104" s="62"/>
      <c r="H104" s="62"/>
    </row>
    <row r="105" spans="1:8" ht="20" customHeight="1">
      <c r="A105" s="63" t="s">
        <v>1244</v>
      </c>
      <c r="B105" s="63"/>
      <c r="C105" s="62"/>
      <c r="D105" s="62"/>
      <c r="E105" s="62"/>
      <c r="F105" s="62"/>
      <c r="G105" s="62"/>
      <c r="H105" s="62"/>
    </row>
    <row r="106" spans="1:8" ht="20" customHeight="1">
      <c r="A106" s="63" t="s">
        <v>1245</v>
      </c>
      <c r="B106" s="63"/>
      <c r="C106" s="62"/>
      <c r="D106" s="62"/>
      <c r="E106" s="62"/>
      <c r="F106" s="62"/>
      <c r="G106" s="62"/>
      <c r="H106" s="62"/>
    </row>
    <row r="107" spans="1:8" ht="20" customHeight="1">
      <c r="A107" s="63" t="s">
        <v>831</v>
      </c>
      <c r="B107" s="63"/>
      <c r="C107" s="62"/>
      <c r="D107" s="62"/>
      <c r="E107" s="62"/>
      <c r="F107" s="62"/>
      <c r="G107" s="62"/>
      <c r="H107" s="62"/>
    </row>
    <row r="108" spans="1:8" ht="20" customHeight="1">
      <c r="A108" s="63" t="s">
        <v>1246</v>
      </c>
      <c r="B108" s="63"/>
      <c r="C108" s="62"/>
      <c r="D108" s="62"/>
      <c r="E108" s="62"/>
      <c r="F108" s="62"/>
      <c r="G108" s="62"/>
      <c r="H108" s="62"/>
    </row>
    <row r="109" spans="1:8" ht="20" customHeight="1">
      <c r="A109" s="63" t="s">
        <v>1247</v>
      </c>
      <c r="B109" s="63"/>
      <c r="C109" s="62"/>
      <c r="D109" s="62"/>
      <c r="E109" s="62"/>
      <c r="F109" s="62"/>
      <c r="G109" s="62"/>
      <c r="H109" s="62"/>
    </row>
    <row r="110" spans="1:8" ht="20" customHeight="1">
      <c r="A110" s="63" t="s">
        <v>1248</v>
      </c>
      <c r="B110" s="63"/>
      <c r="C110" s="62"/>
      <c r="D110" s="62"/>
      <c r="E110" s="62"/>
      <c r="F110" s="62"/>
      <c r="G110" s="62"/>
      <c r="H110" s="62"/>
    </row>
    <row r="111" spans="1:8" ht="20" customHeight="1">
      <c r="A111" s="63" t="s">
        <v>1249</v>
      </c>
      <c r="B111" s="63"/>
      <c r="C111" s="62"/>
      <c r="D111" s="62"/>
      <c r="E111" s="62"/>
      <c r="F111" s="62"/>
      <c r="G111" s="62"/>
      <c r="H111" s="62"/>
    </row>
    <row r="112" spans="1:8" ht="20" customHeight="1">
      <c r="A112" s="63" t="s">
        <v>1250</v>
      </c>
      <c r="B112" s="63"/>
      <c r="C112" s="62"/>
      <c r="D112" s="62"/>
      <c r="E112" s="62"/>
      <c r="F112" s="62"/>
      <c r="G112" s="62"/>
      <c r="H112" s="62"/>
    </row>
    <row r="114" spans="1:8">
      <c r="A114" s="57">
        <f>Biz_Name&amp;"  |  "&amp;Biz_Phone&amp;"  |  "&amp;Biz_Email</f>
        <v>0</v>
      </c>
      <c r="B114" s="57"/>
      <c r="C114" s="57"/>
      <c r="D114" s="57"/>
      <c r="E114" s="57"/>
      <c r="F114" s="57"/>
      <c r="G114" s="57"/>
      <c r="H114" s="57"/>
    </row>
    <row r="117" spans="1:8" ht="26" customHeight="1">
      <c r="A117" s="55">
        <f>Biz_Name&amp;" - Daily Visit Checklist"</f>
        <v>0</v>
      </c>
      <c r="B117" s="55"/>
      <c r="C117" s="55"/>
      <c r="D117" s="55"/>
      <c r="E117" s="55"/>
      <c r="F117" s="55"/>
      <c r="G117" s="55"/>
      <c r="H117" s="55"/>
    </row>
    <row r="118" spans="1:8">
      <c r="A118" s="57" t="s">
        <v>1251</v>
      </c>
      <c r="B118" s="57"/>
      <c r="C118" s="57"/>
      <c r="D118" s="57"/>
      <c r="E118" s="57"/>
      <c r="F118" s="57"/>
      <c r="G118" s="57"/>
      <c r="H118" s="57"/>
    </row>
    <row r="120" spans="1:8" ht="20" customHeight="1">
      <c r="A120" s="63" t="s">
        <v>207</v>
      </c>
      <c r="B120" s="63"/>
      <c r="C120" s="62"/>
      <c r="D120" s="62"/>
      <c r="E120" s="62"/>
      <c r="F120" s="62"/>
      <c r="G120" s="62"/>
      <c r="H120" s="62"/>
    </row>
    <row r="121" spans="1:8" ht="20" customHeight="1">
      <c r="A121" s="63" t="s">
        <v>1252</v>
      </c>
      <c r="B121" s="63"/>
      <c r="C121" s="62"/>
      <c r="D121" s="62"/>
      <c r="E121" s="62"/>
      <c r="F121" s="62"/>
      <c r="G121" s="62"/>
      <c r="H121" s="62"/>
    </row>
    <row r="122" spans="1:8" ht="20" customHeight="1">
      <c r="A122" s="63" t="s">
        <v>1253</v>
      </c>
      <c r="B122" s="63"/>
      <c r="C122" s="62"/>
      <c r="D122" s="62"/>
      <c r="E122" s="62"/>
      <c r="F122" s="62"/>
      <c r="G122" s="62"/>
      <c r="H122" s="62"/>
    </row>
    <row r="123" spans="1:8" ht="20" customHeight="1">
      <c r="A123" s="63" t="s">
        <v>780</v>
      </c>
      <c r="B123" s="63"/>
      <c r="C123" s="62"/>
      <c r="D123" s="62"/>
      <c r="E123" s="62"/>
      <c r="F123" s="62"/>
      <c r="G123" s="62"/>
      <c r="H123" s="62"/>
    </row>
    <row r="125" spans="1:8" ht="18" customHeight="1">
      <c r="A125" s="8" t="s">
        <v>337</v>
      </c>
      <c r="B125" s="9" t="s">
        <v>1254</v>
      </c>
      <c r="C125" s="9" t="s">
        <v>1255</v>
      </c>
      <c r="D125" s="9" t="s">
        <v>789</v>
      </c>
      <c r="E125" s="9" t="s">
        <v>1256</v>
      </c>
      <c r="F125" s="9" t="s">
        <v>1257</v>
      </c>
      <c r="G125" s="9" t="s">
        <v>1258</v>
      </c>
      <c r="H125" s="9" t="s">
        <v>1259</v>
      </c>
    </row>
    <row r="126" spans="1:8" ht="18" customHeight="1">
      <c r="A126" s="64"/>
      <c r="B126" s="64"/>
      <c r="C126" s="64"/>
      <c r="D126" s="64"/>
      <c r="E126" s="64"/>
      <c r="F126" s="64"/>
      <c r="G126" s="64"/>
      <c r="H126" s="64"/>
    </row>
    <row r="127" spans="1:8" ht="18" customHeight="1">
      <c r="A127" s="64"/>
      <c r="B127" s="64"/>
      <c r="C127" s="64"/>
      <c r="D127" s="64"/>
      <c r="E127" s="64"/>
      <c r="F127" s="64"/>
      <c r="G127" s="64"/>
      <c r="H127" s="64"/>
    </row>
    <row r="128" spans="1:8" ht="18" customHeight="1">
      <c r="A128" s="64"/>
      <c r="B128" s="64"/>
      <c r="C128" s="64"/>
      <c r="D128" s="64"/>
      <c r="E128" s="64"/>
      <c r="F128" s="64"/>
      <c r="G128" s="64"/>
      <c r="H128" s="64"/>
    </row>
    <row r="129" spans="1:8" ht="18" customHeight="1">
      <c r="A129" s="64"/>
      <c r="B129" s="64"/>
      <c r="C129" s="64"/>
      <c r="D129" s="64"/>
      <c r="E129" s="64"/>
      <c r="F129" s="64"/>
      <c r="G129" s="64"/>
      <c r="H129" s="64"/>
    </row>
    <row r="130" spans="1:8" ht="18" customHeight="1">
      <c r="A130" s="64"/>
      <c r="B130" s="64"/>
      <c r="C130" s="64"/>
      <c r="D130" s="64"/>
      <c r="E130" s="64"/>
      <c r="F130" s="64"/>
      <c r="G130" s="64"/>
      <c r="H130" s="64"/>
    </row>
    <row r="131" spans="1:8" ht="18" customHeight="1">
      <c r="A131" s="64"/>
      <c r="B131" s="64"/>
      <c r="C131" s="64"/>
      <c r="D131" s="64"/>
      <c r="E131" s="64"/>
      <c r="F131" s="64"/>
      <c r="G131" s="64"/>
      <c r="H131" s="64"/>
    </row>
    <row r="132" spans="1:8" ht="18" customHeight="1">
      <c r="A132" s="64"/>
      <c r="B132" s="64"/>
      <c r="C132" s="64"/>
      <c r="D132" s="64"/>
      <c r="E132" s="64"/>
      <c r="F132" s="64"/>
      <c r="G132" s="64"/>
      <c r="H132" s="64"/>
    </row>
    <row r="133" spans="1:8" ht="18" customHeight="1">
      <c r="A133" s="64"/>
      <c r="B133" s="64"/>
      <c r="C133" s="64"/>
      <c r="D133" s="64"/>
      <c r="E133" s="64"/>
      <c r="F133" s="64"/>
      <c r="G133" s="64"/>
      <c r="H133" s="64"/>
    </row>
    <row r="134" spans="1:8" ht="18" customHeight="1">
      <c r="A134" s="64"/>
      <c r="B134" s="64"/>
      <c r="C134" s="64"/>
      <c r="D134" s="64"/>
      <c r="E134" s="64"/>
      <c r="F134" s="64"/>
      <c r="G134" s="64"/>
      <c r="H134" s="64"/>
    </row>
    <row r="135" spans="1:8" ht="18" customHeight="1">
      <c r="A135" s="64"/>
      <c r="B135" s="64"/>
      <c r="C135" s="64"/>
      <c r="D135" s="64"/>
      <c r="E135" s="64"/>
      <c r="F135" s="64"/>
      <c r="G135" s="64"/>
      <c r="H135" s="64"/>
    </row>
    <row r="136" spans="1:8" ht="18" customHeight="1">
      <c r="A136" s="64"/>
      <c r="B136" s="64"/>
      <c r="C136" s="64"/>
      <c r="D136" s="64"/>
      <c r="E136" s="64"/>
      <c r="F136" s="64"/>
      <c r="G136" s="64"/>
      <c r="H136" s="64"/>
    </row>
    <row r="137" spans="1:8" ht="18" customHeight="1">
      <c r="A137" s="64"/>
      <c r="B137" s="64"/>
      <c r="C137" s="64"/>
      <c r="D137" s="64"/>
      <c r="E137" s="64"/>
      <c r="F137" s="64"/>
      <c r="G137" s="64"/>
      <c r="H137" s="64"/>
    </row>
    <row r="138" spans="1:8" ht="18" customHeight="1">
      <c r="A138" s="64"/>
      <c r="B138" s="64"/>
      <c r="C138" s="64"/>
      <c r="D138" s="64"/>
      <c r="E138" s="64"/>
      <c r="F138" s="64"/>
      <c r="G138" s="64"/>
      <c r="H138" s="64"/>
    </row>
    <row r="139" spans="1:8" ht="18" customHeight="1">
      <c r="A139" s="64"/>
      <c r="B139" s="64"/>
      <c r="C139" s="64"/>
      <c r="D139" s="64"/>
      <c r="E139" s="64"/>
      <c r="F139" s="64"/>
      <c r="G139" s="64"/>
      <c r="H139" s="64"/>
    </row>
    <row r="141" spans="1:8">
      <c r="A141" s="57">
        <f>Biz_Name&amp;"  |  "&amp;Biz_Phone&amp;"  |  "&amp;Biz_Email</f>
        <v>0</v>
      </c>
      <c r="B141" s="57"/>
      <c r="C141" s="57"/>
      <c r="D141" s="57"/>
      <c r="E141" s="57"/>
      <c r="F141" s="57"/>
      <c r="G141" s="57"/>
      <c r="H141" s="57"/>
    </row>
    <row r="144" spans="1:8" ht="26" customHeight="1">
      <c r="A144" s="55">
        <f>Biz_Name&amp;" - Staff Timesheet"</f>
        <v>0</v>
      </c>
      <c r="B144" s="55"/>
      <c r="C144" s="55"/>
      <c r="D144" s="55"/>
      <c r="E144" s="55"/>
      <c r="F144" s="55"/>
      <c r="G144" s="55"/>
      <c r="H144" s="55"/>
    </row>
    <row r="145" spans="1:8">
      <c r="A145" s="57" t="s">
        <v>1260</v>
      </c>
      <c r="B145" s="57"/>
      <c r="C145" s="57"/>
      <c r="D145" s="57"/>
      <c r="E145" s="57"/>
      <c r="F145" s="57"/>
      <c r="G145" s="57"/>
      <c r="H145" s="57"/>
    </row>
    <row r="147" spans="1:8" ht="20" customHeight="1">
      <c r="A147" s="63" t="s">
        <v>1093</v>
      </c>
      <c r="B147" s="63"/>
      <c r="C147" s="62"/>
      <c r="D147" s="62"/>
      <c r="E147" s="62"/>
      <c r="F147" s="62"/>
      <c r="G147" s="62"/>
      <c r="H147" s="62"/>
    </row>
    <row r="148" spans="1:8" ht="20" customHeight="1">
      <c r="A148" s="63" t="s">
        <v>1253</v>
      </c>
      <c r="B148" s="63"/>
      <c r="C148" s="62"/>
      <c r="D148" s="62"/>
      <c r="E148" s="62"/>
      <c r="F148" s="62"/>
      <c r="G148" s="62"/>
      <c r="H148" s="62"/>
    </row>
    <row r="149" spans="1:8" ht="20" customHeight="1">
      <c r="A149" s="63" t="s">
        <v>950</v>
      </c>
      <c r="B149" s="63"/>
      <c r="C149" s="62"/>
      <c r="D149" s="62"/>
      <c r="E149" s="62"/>
      <c r="F149" s="62"/>
      <c r="G149" s="62"/>
      <c r="H149" s="62"/>
    </row>
    <row r="150" spans="1:8" ht="20" customHeight="1">
      <c r="A150" s="63" t="s">
        <v>1261</v>
      </c>
      <c r="B150" s="63"/>
      <c r="C150" s="62"/>
      <c r="D150" s="62"/>
      <c r="E150" s="62"/>
      <c r="F150" s="62"/>
      <c r="G150" s="62"/>
      <c r="H150" s="62"/>
    </row>
    <row r="152" spans="1:8" ht="18" customHeight="1">
      <c r="A152" s="8" t="s">
        <v>337</v>
      </c>
      <c r="B152" s="9" t="s">
        <v>1262</v>
      </c>
      <c r="C152" s="9" t="s">
        <v>739</v>
      </c>
      <c r="D152" s="9" t="s">
        <v>1263</v>
      </c>
      <c r="E152" s="9" t="s">
        <v>1264</v>
      </c>
      <c r="F152" s="9" t="s">
        <v>741</v>
      </c>
      <c r="G152" s="9" t="s">
        <v>190</v>
      </c>
      <c r="H152" s="9" t="s">
        <v>339</v>
      </c>
    </row>
    <row r="153" spans="1:8" ht="18" customHeight="1">
      <c r="A153" s="64"/>
      <c r="B153" s="64"/>
      <c r="C153" s="64"/>
      <c r="D153" s="64"/>
      <c r="E153" s="64"/>
      <c r="F153" s="64"/>
      <c r="G153" s="64"/>
      <c r="H153" s="64"/>
    </row>
    <row r="154" spans="1:8" ht="18" customHeight="1">
      <c r="A154" s="64"/>
      <c r="B154" s="64"/>
      <c r="C154" s="64"/>
      <c r="D154" s="64"/>
      <c r="E154" s="64"/>
      <c r="F154" s="64"/>
      <c r="G154" s="64"/>
      <c r="H154" s="64"/>
    </row>
    <row r="155" spans="1:8" ht="18" customHeight="1">
      <c r="A155" s="64"/>
      <c r="B155" s="64"/>
      <c r="C155" s="64"/>
      <c r="D155" s="64"/>
      <c r="E155" s="64"/>
      <c r="F155" s="64"/>
      <c r="G155" s="64"/>
      <c r="H155" s="64"/>
    </row>
    <row r="156" spans="1:8" ht="18" customHeight="1">
      <c r="A156" s="64"/>
      <c r="B156" s="64"/>
      <c r="C156" s="64"/>
      <c r="D156" s="64"/>
      <c r="E156" s="64"/>
      <c r="F156" s="64"/>
      <c r="G156" s="64"/>
      <c r="H156" s="64"/>
    </row>
    <row r="157" spans="1:8" ht="18" customHeight="1">
      <c r="A157" s="64"/>
      <c r="B157" s="64"/>
      <c r="C157" s="64"/>
      <c r="D157" s="64"/>
      <c r="E157" s="64"/>
      <c r="F157" s="64"/>
      <c r="G157" s="64"/>
      <c r="H157" s="64"/>
    </row>
    <row r="158" spans="1:8" ht="18" customHeight="1">
      <c r="A158" s="64"/>
      <c r="B158" s="64"/>
      <c r="C158" s="64"/>
      <c r="D158" s="64"/>
      <c r="E158" s="64"/>
      <c r="F158" s="64"/>
      <c r="G158" s="64"/>
      <c r="H158" s="64"/>
    </row>
    <row r="159" spans="1:8" ht="18" customHeight="1">
      <c r="A159" s="64"/>
      <c r="B159" s="64"/>
      <c r="C159" s="64"/>
      <c r="D159" s="64"/>
      <c r="E159" s="64"/>
      <c r="F159" s="64"/>
      <c r="G159" s="64"/>
      <c r="H159" s="64"/>
    </row>
    <row r="160" spans="1:8" ht="18" customHeight="1">
      <c r="A160" s="64"/>
      <c r="B160" s="64"/>
      <c r="C160" s="64"/>
      <c r="D160" s="64"/>
      <c r="E160" s="64"/>
      <c r="F160" s="64"/>
      <c r="G160" s="64"/>
      <c r="H160" s="64"/>
    </row>
    <row r="161" spans="1:8" ht="18" customHeight="1">
      <c r="A161" s="64"/>
      <c r="B161" s="64"/>
      <c r="C161" s="64"/>
      <c r="D161" s="64"/>
      <c r="E161" s="64"/>
      <c r="F161" s="64"/>
      <c r="G161" s="64"/>
      <c r="H161" s="64"/>
    </row>
    <row r="162" spans="1:8" ht="18" customHeight="1">
      <c r="A162" s="64"/>
      <c r="B162" s="64"/>
      <c r="C162" s="64"/>
      <c r="D162" s="64"/>
      <c r="E162" s="64"/>
      <c r="F162" s="64"/>
      <c r="G162" s="64"/>
      <c r="H162" s="64"/>
    </row>
    <row r="163" spans="1:8" ht="18" customHeight="1">
      <c r="A163" s="64"/>
      <c r="B163" s="64"/>
      <c r="C163" s="64"/>
      <c r="D163" s="64"/>
      <c r="E163" s="64"/>
      <c r="F163" s="64"/>
      <c r="G163" s="64"/>
      <c r="H163" s="64"/>
    </row>
    <row r="164" spans="1:8" ht="18" customHeight="1">
      <c r="A164" s="64"/>
      <c r="B164" s="64"/>
      <c r="C164" s="64"/>
      <c r="D164" s="64"/>
      <c r="E164" s="64"/>
      <c r="F164" s="64"/>
      <c r="G164" s="64"/>
      <c r="H164" s="64"/>
    </row>
    <row r="165" spans="1:8" ht="18" customHeight="1">
      <c r="A165" s="64"/>
      <c r="B165" s="64"/>
      <c r="C165" s="64"/>
      <c r="D165" s="64"/>
      <c r="E165" s="64"/>
      <c r="F165" s="64"/>
      <c r="G165" s="64"/>
      <c r="H165" s="64"/>
    </row>
    <row r="166" spans="1:8" ht="18" customHeight="1">
      <c r="A166" s="64"/>
      <c r="B166" s="64"/>
      <c r="C166" s="64"/>
      <c r="D166" s="64"/>
      <c r="E166" s="64"/>
      <c r="F166" s="64"/>
      <c r="G166" s="64"/>
      <c r="H166" s="64"/>
    </row>
    <row r="168" spans="1:8">
      <c r="A168" s="57">
        <f>Biz_Name&amp;"  |  "&amp;Biz_Phone&amp;"  |  "&amp;Biz_Email</f>
        <v>0</v>
      </c>
      <c r="B168" s="57"/>
      <c r="C168" s="57"/>
      <c r="D168" s="57"/>
      <c r="E168" s="57"/>
      <c r="F168" s="57"/>
      <c r="G168" s="57"/>
      <c r="H168" s="57"/>
    </row>
    <row r="171" spans="1:8" ht="26" customHeight="1">
      <c r="A171" s="55">
        <f>Biz_Name&amp;" - Mileage Log"</f>
        <v>0</v>
      </c>
      <c r="B171" s="55"/>
      <c r="C171" s="55"/>
      <c r="D171" s="55"/>
      <c r="E171" s="55"/>
      <c r="F171" s="55"/>
      <c r="G171" s="55"/>
      <c r="H171" s="55"/>
    </row>
    <row r="172" spans="1:8">
      <c r="A172" s="57" t="s">
        <v>1265</v>
      </c>
      <c r="B172" s="57"/>
      <c r="C172" s="57"/>
      <c r="D172" s="57"/>
      <c r="E172" s="57"/>
      <c r="F172" s="57"/>
      <c r="G172" s="57"/>
      <c r="H172" s="57"/>
    </row>
    <row r="174" spans="1:8" ht="20" customHeight="1">
      <c r="A174" s="63" t="s">
        <v>925</v>
      </c>
      <c r="B174" s="63"/>
      <c r="C174" s="62"/>
      <c r="D174" s="62"/>
      <c r="E174" s="62"/>
      <c r="F174" s="62"/>
      <c r="G174" s="62"/>
      <c r="H174" s="62"/>
    </row>
    <row r="175" spans="1:8" ht="20" customHeight="1">
      <c r="A175" s="63" t="s">
        <v>1266</v>
      </c>
      <c r="B175" s="63"/>
      <c r="C175" s="62"/>
      <c r="D175" s="62"/>
      <c r="E175" s="62"/>
      <c r="F175" s="62"/>
      <c r="G175" s="62"/>
      <c r="H175" s="62"/>
    </row>
    <row r="176" spans="1:8" ht="20" customHeight="1">
      <c r="A176" s="63" t="s">
        <v>1267</v>
      </c>
      <c r="B176" s="63"/>
      <c r="C176" s="62"/>
      <c r="D176" s="62"/>
      <c r="E176" s="62"/>
      <c r="F176" s="62"/>
      <c r="G176" s="62"/>
      <c r="H176" s="62"/>
    </row>
    <row r="177" spans="1:8" ht="20" customHeight="1">
      <c r="A177" s="63" t="s">
        <v>131</v>
      </c>
      <c r="B177" s="63"/>
      <c r="C177" s="62"/>
      <c r="D177" s="62"/>
      <c r="E177" s="62"/>
      <c r="F177" s="62"/>
      <c r="G177" s="62"/>
      <c r="H177" s="62"/>
    </row>
    <row r="179" spans="1:8" ht="18" customHeight="1">
      <c r="A179" s="8" t="s">
        <v>337</v>
      </c>
      <c r="B179" s="9" t="s">
        <v>928</v>
      </c>
      <c r="C179" s="9" t="s">
        <v>929</v>
      </c>
      <c r="D179" s="9" t="s">
        <v>927</v>
      </c>
      <c r="E179" s="9" t="s">
        <v>1268</v>
      </c>
      <c r="F179" s="9" t="s">
        <v>1269</v>
      </c>
      <c r="G179" s="9" t="s">
        <v>190</v>
      </c>
      <c r="H179" s="9" t="s">
        <v>1270</v>
      </c>
    </row>
    <row r="180" spans="1:8" ht="18" customHeight="1">
      <c r="A180" s="64"/>
      <c r="B180" s="64"/>
      <c r="C180" s="64"/>
      <c r="D180" s="64"/>
      <c r="E180" s="64"/>
      <c r="F180" s="64"/>
      <c r="G180" s="64"/>
      <c r="H180" s="64"/>
    </row>
    <row r="181" spans="1:8" ht="18" customHeight="1">
      <c r="A181" s="64"/>
      <c r="B181" s="64"/>
      <c r="C181" s="64"/>
      <c r="D181" s="64"/>
      <c r="E181" s="64"/>
      <c r="F181" s="64"/>
      <c r="G181" s="64"/>
      <c r="H181" s="64"/>
    </row>
    <row r="182" spans="1:8" ht="18" customHeight="1">
      <c r="A182" s="64"/>
      <c r="B182" s="64"/>
      <c r="C182" s="64"/>
      <c r="D182" s="64"/>
      <c r="E182" s="64"/>
      <c r="F182" s="64"/>
      <c r="G182" s="64"/>
      <c r="H182" s="64"/>
    </row>
    <row r="183" spans="1:8" ht="18" customHeight="1">
      <c r="A183" s="64"/>
      <c r="B183" s="64"/>
      <c r="C183" s="64"/>
      <c r="D183" s="64"/>
      <c r="E183" s="64"/>
      <c r="F183" s="64"/>
      <c r="G183" s="64"/>
      <c r="H183" s="64"/>
    </row>
    <row r="184" spans="1:8" ht="18" customHeight="1">
      <c r="A184" s="64"/>
      <c r="B184" s="64"/>
      <c r="C184" s="64"/>
      <c r="D184" s="64"/>
      <c r="E184" s="64"/>
      <c r="F184" s="64"/>
      <c r="G184" s="64"/>
      <c r="H184" s="64"/>
    </row>
    <row r="185" spans="1:8" ht="18" customHeight="1">
      <c r="A185" s="64"/>
      <c r="B185" s="64"/>
      <c r="C185" s="64"/>
      <c r="D185" s="64"/>
      <c r="E185" s="64"/>
      <c r="F185" s="64"/>
      <c r="G185" s="64"/>
      <c r="H185" s="64"/>
    </row>
    <row r="186" spans="1:8" ht="18" customHeight="1">
      <c r="A186" s="64"/>
      <c r="B186" s="64"/>
      <c r="C186" s="64"/>
      <c r="D186" s="64"/>
      <c r="E186" s="64"/>
      <c r="F186" s="64"/>
      <c r="G186" s="64"/>
      <c r="H186" s="64"/>
    </row>
    <row r="187" spans="1:8" ht="18" customHeight="1">
      <c r="A187" s="64"/>
      <c r="B187" s="64"/>
      <c r="C187" s="64"/>
      <c r="D187" s="64"/>
      <c r="E187" s="64"/>
      <c r="F187" s="64"/>
      <c r="G187" s="64"/>
      <c r="H187" s="64"/>
    </row>
    <row r="188" spans="1:8" ht="18" customHeight="1">
      <c r="A188" s="64"/>
      <c r="B188" s="64"/>
      <c r="C188" s="64"/>
      <c r="D188" s="64"/>
      <c r="E188" s="64"/>
      <c r="F188" s="64"/>
      <c r="G188" s="64"/>
      <c r="H188" s="64"/>
    </row>
    <row r="189" spans="1:8" ht="18" customHeight="1">
      <c r="A189" s="64"/>
      <c r="B189" s="64"/>
      <c r="C189" s="64"/>
      <c r="D189" s="64"/>
      <c r="E189" s="64"/>
      <c r="F189" s="64"/>
      <c r="G189" s="64"/>
      <c r="H189" s="64"/>
    </row>
    <row r="190" spans="1:8" ht="18" customHeight="1">
      <c r="A190" s="64"/>
      <c r="B190" s="64"/>
      <c r="C190" s="64"/>
      <c r="D190" s="64"/>
      <c r="E190" s="64"/>
      <c r="F190" s="64"/>
      <c r="G190" s="64"/>
      <c r="H190" s="64"/>
    </row>
    <row r="191" spans="1:8" ht="18" customHeight="1">
      <c r="A191" s="64"/>
      <c r="B191" s="64"/>
      <c r="C191" s="64"/>
      <c r="D191" s="64"/>
      <c r="E191" s="64"/>
      <c r="F191" s="64"/>
      <c r="G191" s="64"/>
      <c r="H191" s="64"/>
    </row>
    <row r="192" spans="1:8" ht="18" customHeight="1">
      <c r="A192" s="64"/>
      <c r="B192" s="64"/>
      <c r="C192" s="64"/>
      <c r="D192" s="64"/>
      <c r="E192" s="64"/>
      <c r="F192" s="64"/>
      <c r="G192" s="64"/>
      <c r="H192" s="64"/>
    </row>
    <row r="193" spans="1:8" ht="18" customHeight="1">
      <c r="A193" s="64"/>
      <c r="B193" s="64"/>
      <c r="C193" s="64"/>
      <c r="D193" s="64"/>
      <c r="E193" s="64"/>
      <c r="F193" s="64"/>
      <c r="G193" s="64"/>
      <c r="H193" s="64"/>
    </row>
    <row r="194" spans="1:8" ht="18" customHeight="1">
      <c r="A194" s="64"/>
      <c r="B194" s="64"/>
      <c r="C194" s="64"/>
      <c r="D194" s="64"/>
      <c r="E194" s="64"/>
      <c r="F194" s="64"/>
      <c r="G194" s="64"/>
      <c r="H194" s="64"/>
    </row>
    <row r="195" spans="1:8" ht="18" customHeight="1">
      <c r="A195" s="64"/>
      <c r="B195" s="64"/>
      <c r="C195" s="64"/>
      <c r="D195" s="64"/>
      <c r="E195" s="64"/>
      <c r="F195" s="64"/>
      <c r="G195" s="64"/>
      <c r="H195" s="64"/>
    </row>
    <row r="197" spans="1:8">
      <c r="A197" s="57">
        <f>Biz_Name&amp;"  |  "&amp;Biz_Phone&amp;"  |  "&amp;Biz_Email</f>
        <v>0</v>
      </c>
      <c r="B197" s="57"/>
      <c r="C197" s="57"/>
      <c r="D197" s="57"/>
      <c r="E197" s="57"/>
      <c r="F197" s="57"/>
      <c r="G197" s="57"/>
      <c r="H197" s="57"/>
    </row>
    <row r="200" spans="1:8" ht="26" customHeight="1">
      <c r="A200" s="55">
        <f>Biz_Name&amp;" - Client Feedback Form"</f>
        <v>0</v>
      </c>
      <c r="B200" s="55"/>
      <c r="C200" s="55"/>
      <c r="D200" s="55"/>
      <c r="E200" s="55"/>
      <c r="F200" s="55"/>
      <c r="G200" s="55"/>
      <c r="H200" s="55"/>
    </row>
    <row r="201" spans="1:8">
      <c r="A201" s="57" t="s">
        <v>1271</v>
      </c>
      <c r="B201" s="57"/>
      <c r="C201" s="57"/>
      <c r="D201" s="57"/>
      <c r="E201" s="57"/>
      <c r="F201" s="57"/>
      <c r="G201" s="57"/>
      <c r="H201" s="57"/>
    </row>
    <row r="203" spans="1:8" ht="20" customHeight="1">
      <c r="A203" s="63" t="s">
        <v>660</v>
      </c>
      <c r="B203" s="63"/>
      <c r="C203" s="62"/>
      <c r="D203" s="62"/>
      <c r="E203" s="62"/>
      <c r="F203" s="62"/>
      <c r="G203" s="62"/>
      <c r="H203" s="62"/>
    </row>
    <row r="204" spans="1:8" ht="20" customHeight="1">
      <c r="A204" s="63" t="s">
        <v>1272</v>
      </c>
      <c r="B204" s="63"/>
      <c r="C204" s="62"/>
      <c r="D204" s="62"/>
      <c r="E204" s="62"/>
      <c r="F204" s="62"/>
      <c r="G204" s="62"/>
      <c r="H204" s="62"/>
    </row>
    <row r="205" spans="1:8" ht="20" customHeight="1">
      <c r="A205" s="63" t="s">
        <v>780</v>
      </c>
      <c r="B205" s="63"/>
      <c r="C205" s="62"/>
      <c r="D205" s="62"/>
      <c r="E205" s="62"/>
      <c r="F205" s="62"/>
      <c r="G205" s="62"/>
      <c r="H205" s="62"/>
    </row>
    <row r="206" spans="1:8" ht="20" customHeight="1">
      <c r="A206" s="63" t="s">
        <v>1273</v>
      </c>
      <c r="B206" s="63"/>
      <c r="C206" s="62"/>
      <c r="D206" s="62"/>
      <c r="E206" s="62"/>
      <c r="F206" s="62"/>
      <c r="G206" s="62"/>
      <c r="H206" s="62"/>
    </row>
    <row r="207" spans="1:8" ht="20" customHeight="1">
      <c r="A207" s="63" t="s">
        <v>1274</v>
      </c>
      <c r="B207" s="63"/>
      <c r="C207" s="62"/>
      <c r="D207" s="62"/>
      <c r="E207" s="62"/>
      <c r="F207" s="62"/>
      <c r="G207" s="62"/>
      <c r="H207" s="62"/>
    </row>
    <row r="208" spans="1:8" ht="20" customHeight="1">
      <c r="A208" s="63" t="s">
        <v>1275</v>
      </c>
      <c r="B208" s="63"/>
      <c r="C208" s="62"/>
      <c r="D208" s="62"/>
      <c r="E208" s="62"/>
      <c r="F208" s="62"/>
      <c r="G208" s="62"/>
      <c r="H208" s="62"/>
    </row>
    <row r="209" spans="1:8" ht="20" customHeight="1">
      <c r="A209" s="63" t="s">
        <v>1276</v>
      </c>
      <c r="B209" s="63"/>
      <c r="C209" s="62"/>
      <c r="D209" s="62"/>
      <c r="E209" s="62"/>
      <c r="F209" s="62"/>
      <c r="G209" s="62"/>
      <c r="H209" s="62"/>
    </row>
    <row r="210" spans="1:8" ht="20" customHeight="1">
      <c r="A210" s="63" t="s">
        <v>1277</v>
      </c>
      <c r="B210" s="63"/>
      <c r="C210" s="62"/>
      <c r="D210" s="62"/>
      <c r="E210" s="62"/>
      <c r="F210" s="62"/>
      <c r="G210" s="62"/>
      <c r="H210" s="62"/>
    </row>
    <row r="211" spans="1:8" ht="20" customHeight="1">
      <c r="A211" s="63" t="s">
        <v>1278</v>
      </c>
      <c r="B211" s="63"/>
      <c r="C211" s="62"/>
      <c r="D211" s="62"/>
      <c r="E211" s="62"/>
      <c r="F211" s="62"/>
      <c r="G211" s="62"/>
      <c r="H211" s="62"/>
    </row>
    <row r="213" spans="1:8">
      <c r="A213" s="57">
        <f>Biz_Name&amp;"  |  "&amp;Biz_Phone&amp;"  |  "&amp;Biz_Email</f>
        <v>0</v>
      </c>
      <c r="B213" s="57"/>
      <c r="C213" s="57"/>
      <c r="D213" s="57"/>
      <c r="E213" s="57"/>
      <c r="F213" s="57"/>
      <c r="G213" s="57"/>
      <c r="H213" s="57"/>
    </row>
    <row r="216" spans="1:8" ht="26" customHeight="1">
      <c r="A216" s="55">
        <f>Biz_Name&amp;" - Meet &amp; Greet Checklist"</f>
        <v>0</v>
      </c>
      <c r="B216" s="55"/>
      <c r="C216" s="55"/>
      <c r="D216" s="55"/>
      <c r="E216" s="55"/>
      <c r="F216" s="55"/>
      <c r="G216" s="55"/>
      <c r="H216" s="55"/>
    </row>
    <row r="217" spans="1:8">
      <c r="A217" s="57" t="s">
        <v>1279</v>
      </c>
      <c r="B217" s="57"/>
      <c r="C217" s="57"/>
      <c r="D217" s="57"/>
      <c r="E217" s="57"/>
      <c r="F217" s="57"/>
      <c r="G217" s="57"/>
      <c r="H217" s="57"/>
    </row>
    <row r="219" spans="1:8" ht="20" customHeight="1">
      <c r="A219" s="63" t="s">
        <v>1239</v>
      </c>
      <c r="B219" s="63"/>
      <c r="C219" s="62"/>
      <c r="D219" s="62"/>
      <c r="E219" s="62"/>
      <c r="F219" s="62"/>
      <c r="G219" s="62"/>
      <c r="H219" s="62"/>
    </row>
    <row r="220" spans="1:8" ht="20" customHeight="1">
      <c r="A220" s="63" t="s">
        <v>207</v>
      </c>
      <c r="B220" s="63"/>
      <c r="C220" s="62"/>
      <c r="D220" s="62"/>
      <c r="E220" s="62"/>
      <c r="F220" s="62"/>
      <c r="G220" s="62"/>
      <c r="H220" s="62"/>
    </row>
    <row r="221" spans="1:8" ht="20" customHeight="1">
      <c r="A221" s="63" t="s">
        <v>1252</v>
      </c>
      <c r="B221" s="63"/>
      <c r="C221" s="62"/>
      <c r="D221" s="62"/>
      <c r="E221" s="62"/>
      <c r="F221" s="62"/>
      <c r="G221" s="62"/>
      <c r="H221" s="62"/>
    </row>
    <row r="222" spans="1:8" ht="20" customHeight="1">
      <c r="A222" s="63" t="s">
        <v>780</v>
      </c>
      <c r="B222" s="63"/>
      <c r="C222" s="62"/>
      <c r="D222" s="62"/>
      <c r="E222" s="62"/>
      <c r="F222" s="62"/>
      <c r="G222" s="62"/>
      <c r="H222" s="62"/>
    </row>
    <row r="224" spans="1:8" ht="18" customHeight="1">
      <c r="A224" s="8" t="s">
        <v>1280</v>
      </c>
      <c r="B224" s="9" t="s">
        <v>965</v>
      </c>
      <c r="C224" s="9" t="s">
        <v>339</v>
      </c>
      <c r="D224" s="9" t="s">
        <v>202</v>
      </c>
      <c r="E224" s="9" t="s">
        <v>202</v>
      </c>
      <c r="F224" s="9" t="s">
        <v>202</v>
      </c>
      <c r="G224" s="9" t="s">
        <v>202</v>
      </c>
      <c r="H224" s="9" t="s">
        <v>202</v>
      </c>
    </row>
    <row r="225" spans="1:8" ht="18" customHeight="1">
      <c r="A225" s="64"/>
      <c r="B225" s="64" t="s">
        <v>1281</v>
      </c>
      <c r="C225" s="64"/>
      <c r="D225" s="64"/>
      <c r="E225" s="64"/>
      <c r="F225" s="64"/>
      <c r="G225" s="64"/>
      <c r="H225" s="64"/>
    </row>
    <row r="226" spans="1:8" ht="18" customHeight="1">
      <c r="A226" s="64"/>
      <c r="B226" s="64" t="s">
        <v>1282</v>
      </c>
      <c r="C226" s="64"/>
      <c r="D226" s="64"/>
      <c r="E226" s="64"/>
      <c r="F226" s="64"/>
      <c r="G226" s="64"/>
      <c r="H226" s="64"/>
    </row>
    <row r="227" spans="1:8" ht="18" customHeight="1">
      <c r="A227" s="64"/>
      <c r="B227" s="64" t="s">
        <v>1283</v>
      </c>
      <c r="C227" s="64"/>
      <c r="D227" s="64"/>
      <c r="E227" s="64"/>
      <c r="F227" s="64"/>
      <c r="G227" s="64"/>
      <c r="H227" s="64"/>
    </row>
    <row r="228" spans="1:8" ht="18" customHeight="1">
      <c r="A228" s="64"/>
      <c r="B228" s="64" t="s">
        <v>1284</v>
      </c>
      <c r="C228" s="64"/>
      <c r="D228" s="64"/>
      <c r="E228" s="64"/>
      <c r="F228" s="64"/>
      <c r="G228" s="64"/>
      <c r="H228" s="64"/>
    </row>
    <row r="229" spans="1:8" ht="18" customHeight="1">
      <c r="A229" s="64"/>
      <c r="B229" s="64" t="s">
        <v>1285</v>
      </c>
      <c r="C229" s="64"/>
      <c r="D229" s="64"/>
      <c r="E229" s="64"/>
      <c r="F229" s="64"/>
      <c r="G229" s="64"/>
      <c r="H229" s="64"/>
    </row>
    <row r="230" spans="1:8" ht="18" customHeight="1">
      <c r="A230" s="64"/>
      <c r="B230" s="64" t="s">
        <v>1286</v>
      </c>
      <c r="C230" s="64"/>
      <c r="D230" s="64"/>
      <c r="E230" s="64"/>
      <c r="F230" s="64"/>
      <c r="G230" s="64"/>
      <c r="H230" s="64"/>
    </row>
    <row r="231" spans="1:8" ht="18" customHeight="1">
      <c r="A231" s="64"/>
      <c r="B231" s="64" t="s">
        <v>1287</v>
      </c>
      <c r="C231" s="64"/>
      <c r="D231" s="64"/>
      <c r="E231" s="64"/>
      <c r="F231" s="64"/>
      <c r="G231" s="64"/>
      <c r="H231" s="64"/>
    </row>
    <row r="232" spans="1:8" ht="18" customHeight="1">
      <c r="A232" s="64"/>
      <c r="B232" s="64" t="s">
        <v>1288</v>
      </c>
      <c r="C232" s="64"/>
      <c r="D232" s="64"/>
      <c r="E232" s="64"/>
      <c r="F232" s="64"/>
      <c r="G232" s="64"/>
      <c r="H232" s="64"/>
    </row>
    <row r="233" spans="1:8" ht="18" customHeight="1">
      <c r="A233" s="64"/>
      <c r="B233" s="64" t="s">
        <v>1289</v>
      </c>
      <c r="C233" s="64"/>
      <c r="D233" s="64"/>
      <c r="E233" s="64"/>
      <c r="F233" s="64"/>
      <c r="G233" s="64"/>
      <c r="H233" s="64"/>
    </row>
    <row r="234" spans="1:8" ht="18" customHeight="1">
      <c r="A234" s="64"/>
      <c r="B234" s="64" t="s">
        <v>1290</v>
      </c>
      <c r="C234" s="64"/>
      <c r="D234" s="64"/>
      <c r="E234" s="64"/>
      <c r="F234" s="64"/>
      <c r="G234" s="64"/>
      <c r="H234" s="64"/>
    </row>
    <row r="235" spans="1:8" ht="18" customHeight="1">
      <c r="A235" s="64"/>
      <c r="B235" s="64" t="s">
        <v>1291</v>
      </c>
      <c r="C235" s="64"/>
      <c r="D235" s="64"/>
      <c r="E235" s="64"/>
      <c r="F235" s="64"/>
      <c r="G235" s="64"/>
      <c r="H235" s="64"/>
    </row>
    <row r="236" spans="1:8" ht="18" customHeight="1">
      <c r="A236" s="64"/>
      <c r="B236" s="64" t="s">
        <v>1292</v>
      </c>
      <c r="C236" s="64"/>
      <c r="D236" s="64"/>
      <c r="E236" s="64"/>
      <c r="F236" s="64"/>
      <c r="G236" s="64"/>
      <c r="H236" s="64"/>
    </row>
    <row r="237" spans="1:8" ht="18" customHeight="1">
      <c r="A237" s="64"/>
      <c r="B237" s="64" t="s">
        <v>1293</v>
      </c>
      <c r="C237" s="64"/>
      <c r="D237" s="64"/>
      <c r="E237" s="64"/>
      <c r="F237" s="64"/>
      <c r="G237" s="64"/>
      <c r="H237" s="64"/>
    </row>
    <row r="238" spans="1:8" ht="18" customHeight="1">
      <c r="A238" s="64"/>
      <c r="B238" s="64" t="s">
        <v>1294</v>
      </c>
      <c r="C238" s="64"/>
      <c r="D238" s="64"/>
      <c r="E238" s="64"/>
      <c r="F238" s="64"/>
      <c r="G238" s="64"/>
      <c r="H238" s="64"/>
    </row>
    <row r="240" spans="1:8">
      <c r="A240" s="57">
        <f>Biz_Name&amp;"  |  "&amp;Biz_Phone&amp;"  |  "&amp;Biz_Email</f>
        <v>0</v>
      </c>
      <c r="B240" s="57"/>
      <c r="C240" s="57"/>
      <c r="D240" s="57"/>
      <c r="E240" s="57"/>
      <c r="F240" s="57"/>
      <c r="G240" s="57"/>
      <c r="H240" s="57"/>
    </row>
  </sheetData>
  <sheetProtection password="EC7C" sheet="1" objects="1" scenarios="1" formatCells="0" formatColumns="0" formatRows="0" insertRows="0" insertHyperlinks="0" deleteRows="0" autoFilter="0"/>
  <mergeCells count="253">
    <mergeCell ref="A1:H1"/>
    <mergeCell ref="A3:H3"/>
    <mergeCell ref="A4:H4"/>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 ref="A19:B19"/>
    <mergeCell ref="C19:H19"/>
    <mergeCell ref="A21:H21"/>
    <mergeCell ref="A24:H24"/>
    <mergeCell ref="A25:H25"/>
    <mergeCell ref="A27:B27"/>
    <mergeCell ref="C27:H27"/>
    <mergeCell ref="A28:B28"/>
    <mergeCell ref="C28:H28"/>
    <mergeCell ref="A29:B29"/>
    <mergeCell ref="C29:H29"/>
    <mergeCell ref="A30:B30"/>
    <mergeCell ref="C30:H30"/>
    <mergeCell ref="A31:B31"/>
    <mergeCell ref="C31:H31"/>
    <mergeCell ref="A32:B32"/>
    <mergeCell ref="C32:H32"/>
    <mergeCell ref="A33:B33"/>
    <mergeCell ref="C33:H33"/>
    <mergeCell ref="A34:B34"/>
    <mergeCell ref="C34:H34"/>
    <mergeCell ref="A35:B35"/>
    <mergeCell ref="C35:H35"/>
    <mergeCell ref="A36:B36"/>
    <mergeCell ref="C36:H36"/>
    <mergeCell ref="A37:B37"/>
    <mergeCell ref="C37:H37"/>
    <mergeCell ref="A38:B38"/>
    <mergeCell ref="C38:H38"/>
    <mergeCell ref="A39:B39"/>
    <mergeCell ref="C39:H39"/>
    <mergeCell ref="A40:B40"/>
    <mergeCell ref="C40:H40"/>
    <mergeCell ref="A41:B41"/>
    <mergeCell ref="C41:H41"/>
    <mergeCell ref="A42:B42"/>
    <mergeCell ref="C42:H42"/>
    <mergeCell ref="A43:B43"/>
    <mergeCell ref="C43:H43"/>
    <mergeCell ref="A44:B44"/>
    <mergeCell ref="C44:H44"/>
    <mergeCell ref="A45:B45"/>
    <mergeCell ref="C45:H45"/>
    <mergeCell ref="A46:B46"/>
    <mergeCell ref="C46:H46"/>
    <mergeCell ref="A47:B47"/>
    <mergeCell ref="C47:H47"/>
    <mergeCell ref="A48:B48"/>
    <mergeCell ref="C48:H48"/>
    <mergeCell ref="A50:H50"/>
    <mergeCell ref="A53:H53"/>
    <mergeCell ref="A54:H54"/>
    <mergeCell ref="A56:B56"/>
    <mergeCell ref="C56:H56"/>
    <mergeCell ref="A57:B57"/>
    <mergeCell ref="C57:H57"/>
    <mergeCell ref="A58:B58"/>
    <mergeCell ref="C58:H58"/>
    <mergeCell ref="A59:B59"/>
    <mergeCell ref="C59:H59"/>
    <mergeCell ref="A60:B60"/>
    <mergeCell ref="C60:H60"/>
    <mergeCell ref="A61:B61"/>
    <mergeCell ref="C61:H61"/>
    <mergeCell ref="A62:B62"/>
    <mergeCell ref="C62:H62"/>
    <mergeCell ref="A63:B63"/>
    <mergeCell ref="C63:H63"/>
    <mergeCell ref="A64:B64"/>
    <mergeCell ref="C64:H64"/>
    <mergeCell ref="A65:B65"/>
    <mergeCell ref="C65:H65"/>
    <mergeCell ref="A66:B66"/>
    <mergeCell ref="C66:H66"/>
    <mergeCell ref="A67:B67"/>
    <mergeCell ref="C67:H67"/>
    <mergeCell ref="A68:B68"/>
    <mergeCell ref="C68:H68"/>
    <mergeCell ref="A69:B69"/>
    <mergeCell ref="C69:H69"/>
    <mergeCell ref="A70:B70"/>
    <mergeCell ref="C70:H70"/>
    <mergeCell ref="A72:H72"/>
    <mergeCell ref="A75:H75"/>
    <mergeCell ref="A76:H76"/>
    <mergeCell ref="A78:B78"/>
    <mergeCell ref="C78:H78"/>
    <mergeCell ref="A79:B79"/>
    <mergeCell ref="C79:H79"/>
    <mergeCell ref="A80:B80"/>
    <mergeCell ref="C80:H80"/>
    <mergeCell ref="A81:B81"/>
    <mergeCell ref="C81:H81"/>
    <mergeCell ref="A82:B82"/>
    <mergeCell ref="C82:H82"/>
    <mergeCell ref="A83:B83"/>
    <mergeCell ref="C83:H83"/>
    <mergeCell ref="A84:B84"/>
    <mergeCell ref="C84:H84"/>
    <mergeCell ref="A85:B85"/>
    <mergeCell ref="C85:H85"/>
    <mergeCell ref="A86:B86"/>
    <mergeCell ref="C86:H86"/>
    <mergeCell ref="A87:B87"/>
    <mergeCell ref="C87:H87"/>
    <mergeCell ref="A89:H89"/>
    <mergeCell ref="A92:H92"/>
    <mergeCell ref="A93:H93"/>
    <mergeCell ref="A95:B95"/>
    <mergeCell ref="C95:H95"/>
    <mergeCell ref="A96:B96"/>
    <mergeCell ref="C96:H96"/>
    <mergeCell ref="A97:B97"/>
    <mergeCell ref="C97:H97"/>
    <mergeCell ref="A98:B98"/>
    <mergeCell ref="C98:H98"/>
    <mergeCell ref="A99:B99"/>
    <mergeCell ref="C99:H99"/>
    <mergeCell ref="A100:B100"/>
    <mergeCell ref="C100:H100"/>
    <mergeCell ref="A101:B101"/>
    <mergeCell ref="C101:H101"/>
    <mergeCell ref="A102:B102"/>
    <mergeCell ref="C102:H102"/>
    <mergeCell ref="A103:B103"/>
    <mergeCell ref="C103:H103"/>
    <mergeCell ref="A104:B104"/>
    <mergeCell ref="C104:H104"/>
    <mergeCell ref="A105:B105"/>
    <mergeCell ref="C105:H105"/>
    <mergeCell ref="A106:B106"/>
    <mergeCell ref="C106:H106"/>
    <mergeCell ref="A107:B107"/>
    <mergeCell ref="C107:H107"/>
    <mergeCell ref="A108:B108"/>
    <mergeCell ref="C108:H108"/>
    <mergeCell ref="A109:B109"/>
    <mergeCell ref="C109:H109"/>
    <mergeCell ref="A110:B110"/>
    <mergeCell ref="C110:H110"/>
    <mergeCell ref="A111:B111"/>
    <mergeCell ref="C111:H111"/>
    <mergeCell ref="A112:B112"/>
    <mergeCell ref="C112:H112"/>
    <mergeCell ref="A114:H114"/>
    <mergeCell ref="A117:H117"/>
    <mergeCell ref="A118:H118"/>
    <mergeCell ref="A120:B120"/>
    <mergeCell ref="C120:H120"/>
    <mergeCell ref="A121:B121"/>
    <mergeCell ref="C121:H121"/>
    <mergeCell ref="A122:B122"/>
    <mergeCell ref="C122:H122"/>
    <mergeCell ref="A123:B123"/>
    <mergeCell ref="C123:H123"/>
    <mergeCell ref="A141:H141"/>
    <mergeCell ref="A144:H144"/>
    <mergeCell ref="A145:H145"/>
    <mergeCell ref="A147:B147"/>
    <mergeCell ref="C147:H147"/>
    <mergeCell ref="A148:B148"/>
    <mergeCell ref="C148:H148"/>
    <mergeCell ref="A149:B149"/>
    <mergeCell ref="C149:H149"/>
    <mergeCell ref="A150:B150"/>
    <mergeCell ref="C150:H150"/>
    <mergeCell ref="A168:H168"/>
    <mergeCell ref="A171:H171"/>
    <mergeCell ref="A172:H172"/>
    <mergeCell ref="A174:B174"/>
    <mergeCell ref="C174:H174"/>
    <mergeCell ref="A175:B175"/>
    <mergeCell ref="C175:H175"/>
    <mergeCell ref="A176:B176"/>
    <mergeCell ref="C176:H176"/>
    <mergeCell ref="A177:B177"/>
    <mergeCell ref="C177:H177"/>
    <mergeCell ref="A197:H197"/>
    <mergeCell ref="A200:H200"/>
    <mergeCell ref="A201:H201"/>
    <mergeCell ref="A203:B203"/>
    <mergeCell ref="C203:H203"/>
    <mergeCell ref="A204:B204"/>
    <mergeCell ref="C204:H204"/>
    <mergeCell ref="A205:B205"/>
    <mergeCell ref="C205:H205"/>
    <mergeCell ref="A206:B206"/>
    <mergeCell ref="C206:H206"/>
    <mergeCell ref="A207:B207"/>
    <mergeCell ref="C207:H207"/>
    <mergeCell ref="A208:B208"/>
    <mergeCell ref="C208:H208"/>
    <mergeCell ref="A209:B209"/>
    <mergeCell ref="C209:H209"/>
    <mergeCell ref="A210:B210"/>
    <mergeCell ref="C210:H210"/>
    <mergeCell ref="A211:B211"/>
    <mergeCell ref="C211:H211"/>
    <mergeCell ref="A213:H213"/>
    <mergeCell ref="A216:H216"/>
    <mergeCell ref="A217:H217"/>
    <mergeCell ref="A219:B219"/>
    <mergeCell ref="C219:H219"/>
    <mergeCell ref="A220:B220"/>
    <mergeCell ref="C220:H220"/>
    <mergeCell ref="A221:B221"/>
    <mergeCell ref="C221:H221"/>
    <mergeCell ref="A222:B222"/>
    <mergeCell ref="C222:H222"/>
    <mergeCell ref="B225:H225"/>
    <mergeCell ref="B226:H226"/>
    <mergeCell ref="B227:H227"/>
    <mergeCell ref="B228:H228"/>
    <mergeCell ref="B229:H229"/>
    <mergeCell ref="B230:H230"/>
    <mergeCell ref="B231:H231"/>
    <mergeCell ref="B232:H232"/>
    <mergeCell ref="B233:H233"/>
    <mergeCell ref="B234:H234"/>
    <mergeCell ref="B235:H235"/>
    <mergeCell ref="B236:H236"/>
    <mergeCell ref="B237:H237"/>
    <mergeCell ref="B238:H238"/>
    <mergeCell ref="A240:H240"/>
  </mergeCells>
  <pageMargins left="0.4" right="0.4" top="0.6" bottom="0.5" header="0.3" footer="0.3"/>
  <pageSetup paperSize="9" fitToHeight="0" orientation="portrait"/>
  <headerFooter>
    <oddHeader>&amp;L&amp;"Calibri,Bold"&amp;12&amp;C&amp;"Calibri,Bold"&amp;11Print Forms&amp;R&amp;"Calibri,Italic"&amp;9Pet Sitting &amp; Dog Walking Business Spreadsheet</oddHeader>
    <oddFooter>&amp;L&amp;"Calibri,Italic"&amp;8Novality Store - v1.0.0&amp;C&amp;"Calibri,Italic"&amp;8Page &amp;P of &amp;N&amp;R&amp;"Calibri,Italic"&amp;8&amp;D</oddFooter>
  </headerFooter>
  <rowBreaks count="9" manualBreakCount="9">
    <brk id="23" max="16383" man="1"/>
    <brk id="52" max="16383" man="1"/>
    <brk id="74" max="16383" man="1"/>
    <brk id="91" max="16383" man="1"/>
    <brk id="116" max="16383" man="1"/>
    <brk id="143" max="16383" man="1"/>
    <brk id="170" max="16383" man="1"/>
    <brk id="199" max="16383" man="1"/>
    <brk id="215" max="16383" man="1"/>
  </rowBreaks>
</worksheet>
</file>

<file path=xl/worksheets/sheet26.xml><?xml version="1.0" encoding="utf-8"?>
<worksheet xmlns="http://schemas.openxmlformats.org/spreadsheetml/2006/main" xmlns:r="http://schemas.openxmlformats.org/officeDocument/2006/relationships">
  <sheetPr>
    <tabColor rgb="FF5A6B72"/>
    <pageSetUpPr fitToPage="1"/>
  </sheetPr>
  <dimension ref="A1:J86"/>
  <sheetViews>
    <sheetView showGridLines="0" workbookViewId="0">
      <pane ySplit="4" topLeftCell="A5" activePane="bottomLeft" state="frozen"/>
      <selection pane="bottomLeft"/>
    </sheetView>
  </sheetViews>
  <sheetFormatPr defaultRowHeight="15"/>
  <cols>
    <col min="1" max="1" width="3.7109375" customWidth="1"/>
    <col min="2" max="2" width="30.7109375" customWidth="1"/>
    <col min="3" max="9" width="12.7109375" customWidth="1"/>
    <col min="10" max="10" width="14.7109375" customWidth="1"/>
  </cols>
  <sheetData>
    <row r="1" spans="1:10" ht="34" customHeight="1">
      <c r="A1" s="2" t="s">
        <v>1295</v>
      </c>
      <c r="B1" s="2"/>
      <c r="C1" s="2"/>
      <c r="D1" s="2"/>
      <c r="E1" s="2"/>
      <c r="F1" s="2"/>
      <c r="G1" s="2"/>
      <c r="H1" s="3" t="s">
        <v>118</v>
      </c>
      <c r="I1" s="3"/>
      <c r="J1" s="3"/>
    </row>
    <row r="2" spans="1:10" ht="18" customHeight="1">
      <c r="A2" s="4" t="s">
        <v>1296</v>
      </c>
      <c r="B2" s="4"/>
      <c r="C2" s="4"/>
      <c r="D2" s="4"/>
      <c r="E2" s="4"/>
      <c r="F2" s="4"/>
      <c r="G2" s="4"/>
      <c r="H2" s="4"/>
      <c r="I2" s="4"/>
      <c r="J2" s="4"/>
    </row>
    <row r="3" spans="1:10" ht="16" customHeight="1">
      <c r="A3" s="10" t="s">
        <v>120</v>
      </c>
      <c r="B3" s="10"/>
      <c r="C3" s="10" t="s">
        <v>121</v>
      </c>
      <c r="D3" s="10"/>
      <c r="E3" s="10" t="s">
        <v>122</v>
      </c>
      <c r="F3" s="10"/>
      <c r="G3" s="10" t="s">
        <v>123</v>
      </c>
      <c r="H3" s="10"/>
      <c r="I3" s="10" t="s">
        <v>124</v>
      </c>
      <c r="J3" s="10"/>
    </row>
    <row r="5" spans="1:10" ht="20" customHeight="1">
      <c r="A5" s="6" t="s">
        <v>1297</v>
      </c>
      <c r="B5" s="6"/>
      <c r="C5" s="6"/>
      <c r="D5" s="6"/>
      <c r="E5" s="6"/>
      <c r="F5" s="6"/>
      <c r="G5" s="6"/>
      <c r="H5" s="6"/>
      <c r="I5" s="6"/>
      <c r="J5" s="6"/>
    </row>
    <row r="6" spans="1:10" ht="16" customHeight="1">
      <c r="B6" s="7" t="s">
        <v>1298</v>
      </c>
      <c r="C6" s="7"/>
      <c r="D6" s="7"/>
      <c r="E6" s="7"/>
      <c r="F6" s="7"/>
      <c r="G6" s="7"/>
      <c r="H6" s="7"/>
      <c r="I6" s="7"/>
      <c r="J6" s="7"/>
    </row>
    <row r="7" spans="1:10" ht="16" customHeight="1">
      <c r="B7" s="7" t="s">
        <v>1299</v>
      </c>
      <c r="C7" s="7"/>
      <c r="D7" s="7"/>
      <c r="E7" s="7"/>
      <c r="F7" s="7"/>
      <c r="G7" s="7"/>
      <c r="H7" s="7"/>
      <c r="I7" s="7"/>
      <c r="J7" s="7"/>
    </row>
    <row r="8" spans="1:10" ht="16" customHeight="1">
      <c r="B8" s="7" t="s">
        <v>1300</v>
      </c>
      <c r="C8" s="7"/>
      <c r="D8" s="7"/>
      <c r="E8" s="7"/>
      <c r="F8" s="7"/>
      <c r="G8" s="7"/>
      <c r="H8" s="7"/>
      <c r="I8" s="7"/>
      <c r="J8" s="7"/>
    </row>
    <row r="9" spans="1:10" ht="16" customHeight="1">
      <c r="B9" s="7" t="s">
        <v>1301</v>
      </c>
      <c r="C9" s="7"/>
      <c r="D9" s="7"/>
      <c r="E9" s="7"/>
      <c r="F9" s="7"/>
      <c r="G9" s="7"/>
      <c r="H9" s="7"/>
      <c r="I9" s="7"/>
      <c r="J9" s="7"/>
    </row>
    <row r="10" spans="1:10" ht="16" customHeight="1">
      <c r="B10" s="7" t="s">
        <v>1302</v>
      </c>
      <c r="C10" s="7"/>
      <c r="D10" s="7"/>
      <c r="E10" s="7"/>
      <c r="F10" s="7"/>
      <c r="G10" s="7"/>
      <c r="H10" s="7"/>
      <c r="I10" s="7"/>
      <c r="J10" s="7"/>
    </row>
    <row r="12" spans="1:10" ht="20" customHeight="1">
      <c r="A12" s="6" t="s">
        <v>1303</v>
      </c>
      <c r="B12" s="6"/>
      <c r="C12" s="6"/>
      <c r="D12" s="6"/>
      <c r="E12" s="6"/>
      <c r="F12" s="6"/>
      <c r="G12" s="6"/>
      <c r="H12" s="6"/>
      <c r="I12" s="6"/>
      <c r="J12" s="6"/>
    </row>
    <row r="13" spans="1:10" ht="16" customHeight="1">
      <c r="B13" s="7" t="s">
        <v>1304</v>
      </c>
      <c r="C13" s="7"/>
      <c r="D13" s="7"/>
      <c r="E13" s="7"/>
      <c r="F13" s="7"/>
      <c r="G13" s="7"/>
      <c r="H13" s="7"/>
      <c r="I13" s="7"/>
      <c r="J13" s="7"/>
    </row>
    <row r="14" spans="1:10" ht="16" customHeight="1">
      <c r="B14" s="7" t="s">
        <v>1305</v>
      </c>
      <c r="C14" s="7"/>
      <c r="D14" s="7"/>
      <c r="E14" s="7"/>
      <c r="F14" s="7"/>
      <c r="G14" s="7"/>
      <c r="H14" s="7"/>
      <c r="I14" s="7"/>
      <c r="J14" s="7"/>
    </row>
    <row r="15" spans="1:10" ht="16" customHeight="1">
      <c r="B15" s="7" t="s">
        <v>1306</v>
      </c>
      <c r="C15" s="7"/>
      <c r="D15" s="7"/>
      <c r="E15" s="7"/>
      <c r="F15" s="7"/>
      <c r="G15" s="7"/>
      <c r="H15" s="7"/>
      <c r="I15" s="7"/>
      <c r="J15" s="7"/>
    </row>
    <row r="16" spans="1:10" ht="16" customHeight="1">
      <c r="B16" s="7" t="s">
        <v>1307</v>
      </c>
      <c r="C16" s="7"/>
      <c r="D16" s="7"/>
      <c r="E16" s="7"/>
      <c r="F16" s="7"/>
      <c r="G16" s="7"/>
      <c r="H16" s="7"/>
      <c r="I16" s="7"/>
      <c r="J16" s="7"/>
    </row>
    <row r="17" spans="1:10" ht="16" customHeight="1">
      <c r="B17" s="7" t="s">
        <v>1308</v>
      </c>
      <c r="C17" s="7"/>
      <c r="D17" s="7"/>
      <c r="E17" s="7"/>
      <c r="F17" s="7"/>
      <c r="G17" s="7"/>
      <c r="H17" s="7"/>
      <c r="I17" s="7"/>
      <c r="J17" s="7"/>
    </row>
    <row r="18" spans="1:10" ht="16" customHeight="1">
      <c r="B18" s="7" t="s">
        <v>1309</v>
      </c>
      <c r="C18" s="7"/>
      <c r="D18" s="7"/>
      <c r="E18" s="7"/>
      <c r="F18" s="7"/>
      <c r="G18" s="7"/>
      <c r="H18" s="7"/>
      <c r="I18" s="7"/>
      <c r="J18" s="7"/>
    </row>
    <row r="20" spans="1:10" ht="20" customHeight="1">
      <c r="A20" s="6" t="s">
        <v>1310</v>
      </c>
      <c r="B20" s="6"/>
      <c r="C20" s="6"/>
      <c r="D20" s="6"/>
      <c r="E20" s="6"/>
      <c r="F20" s="6"/>
      <c r="G20" s="6"/>
      <c r="H20" s="6"/>
      <c r="I20" s="6"/>
      <c r="J20" s="6"/>
    </row>
    <row r="21" spans="1:10">
      <c r="B21" s="8" t="s">
        <v>983</v>
      </c>
      <c r="C21" s="9" t="s">
        <v>69</v>
      </c>
      <c r="D21" s="9"/>
      <c r="E21" s="9"/>
      <c r="F21" s="9"/>
      <c r="G21" s="9"/>
      <c r="H21" s="9"/>
      <c r="I21" s="9"/>
      <c r="J21" s="9"/>
    </row>
    <row r="22" spans="1:10" ht="26" customHeight="1">
      <c r="B22" s="18" t="s">
        <v>1311</v>
      </c>
      <c r="C22" s="11" t="s">
        <v>1312</v>
      </c>
      <c r="D22" s="11"/>
      <c r="E22" s="11"/>
      <c r="F22" s="11"/>
      <c r="G22" s="11"/>
      <c r="H22" s="11"/>
      <c r="I22" s="11"/>
      <c r="J22" s="11"/>
    </row>
    <row r="23" spans="1:10" ht="26" customHeight="1">
      <c r="B23" s="18" t="s">
        <v>1313</v>
      </c>
      <c r="C23" s="11" t="s">
        <v>1314</v>
      </c>
      <c r="D23" s="11"/>
      <c r="E23" s="11"/>
      <c r="F23" s="11"/>
      <c r="G23" s="11"/>
      <c r="H23" s="11"/>
      <c r="I23" s="11"/>
      <c r="J23" s="11"/>
    </row>
    <row r="24" spans="1:10" ht="26" customHeight="1">
      <c r="B24" s="18" t="s">
        <v>1315</v>
      </c>
      <c r="C24" s="11" t="s">
        <v>1316</v>
      </c>
      <c r="D24" s="11"/>
      <c r="E24" s="11"/>
      <c r="F24" s="11"/>
      <c r="G24" s="11"/>
      <c r="H24" s="11"/>
      <c r="I24" s="11"/>
      <c r="J24" s="11"/>
    </row>
    <row r="25" spans="1:10" ht="26" customHeight="1">
      <c r="B25" s="18" t="s">
        <v>1317</v>
      </c>
      <c r="C25" s="11" t="s">
        <v>1318</v>
      </c>
      <c r="D25" s="11"/>
      <c r="E25" s="11"/>
      <c r="F25" s="11"/>
      <c r="G25" s="11"/>
      <c r="H25" s="11"/>
      <c r="I25" s="11"/>
      <c r="J25" s="11"/>
    </row>
    <row r="26" spans="1:10" ht="26" customHeight="1">
      <c r="B26" s="18" t="s">
        <v>1319</v>
      </c>
      <c r="C26" s="11" t="s">
        <v>1320</v>
      </c>
      <c r="D26" s="11"/>
      <c r="E26" s="11"/>
      <c r="F26" s="11"/>
      <c r="G26" s="11"/>
      <c r="H26" s="11"/>
      <c r="I26" s="11"/>
      <c r="J26" s="11"/>
    </row>
    <row r="27" spans="1:10" ht="26" customHeight="1">
      <c r="B27" s="18" t="s">
        <v>1321</v>
      </c>
      <c r="C27" s="11" t="s">
        <v>1322</v>
      </c>
      <c r="D27" s="11"/>
      <c r="E27" s="11"/>
      <c r="F27" s="11"/>
      <c r="G27" s="11"/>
      <c r="H27" s="11"/>
      <c r="I27" s="11"/>
      <c r="J27" s="11"/>
    </row>
    <row r="28" spans="1:10" ht="26" customHeight="1">
      <c r="B28" s="18" t="s">
        <v>1323</v>
      </c>
      <c r="C28" s="11" t="s">
        <v>1324</v>
      </c>
      <c r="D28" s="11"/>
      <c r="E28" s="11"/>
      <c r="F28" s="11"/>
      <c r="G28" s="11"/>
      <c r="H28" s="11"/>
      <c r="I28" s="11"/>
      <c r="J28" s="11"/>
    </row>
    <row r="29" spans="1:10" ht="26" customHeight="1">
      <c r="B29" s="18" t="s">
        <v>1325</v>
      </c>
      <c r="C29" s="11" t="s">
        <v>1326</v>
      </c>
      <c r="D29" s="11"/>
      <c r="E29" s="11"/>
      <c r="F29" s="11"/>
      <c r="G29" s="11"/>
      <c r="H29" s="11"/>
      <c r="I29" s="11"/>
      <c r="J29" s="11"/>
    </row>
    <row r="30" spans="1:10" ht="26" customHeight="1">
      <c r="B30" s="18" t="s">
        <v>1327</v>
      </c>
      <c r="C30" s="11" t="s">
        <v>1328</v>
      </c>
      <c r="D30" s="11"/>
      <c r="E30" s="11"/>
      <c r="F30" s="11"/>
      <c r="G30" s="11"/>
      <c r="H30" s="11"/>
      <c r="I30" s="11"/>
      <c r="J30" s="11"/>
    </row>
    <row r="31" spans="1:10" ht="26" customHeight="1">
      <c r="B31" s="18" t="s">
        <v>1329</v>
      </c>
      <c r="C31" s="11" t="s">
        <v>1330</v>
      </c>
      <c r="D31" s="11"/>
      <c r="E31" s="11"/>
      <c r="F31" s="11"/>
      <c r="G31" s="11"/>
      <c r="H31" s="11"/>
      <c r="I31" s="11"/>
      <c r="J31" s="11"/>
    </row>
    <row r="32" spans="1:10" ht="26" customHeight="1">
      <c r="B32" s="18" t="s">
        <v>1331</v>
      </c>
      <c r="C32" s="11" t="s">
        <v>1332</v>
      </c>
      <c r="D32" s="11"/>
      <c r="E32" s="11"/>
      <c r="F32" s="11"/>
      <c r="G32" s="11"/>
      <c r="H32" s="11"/>
      <c r="I32" s="11"/>
      <c r="J32" s="11"/>
    </row>
    <row r="33" spans="1:10" ht="26" customHeight="1">
      <c r="B33" s="18" t="s">
        <v>1333</v>
      </c>
      <c r="C33" s="11" t="s">
        <v>1334</v>
      </c>
      <c r="D33" s="11"/>
      <c r="E33" s="11"/>
      <c r="F33" s="11"/>
      <c r="G33" s="11"/>
      <c r="H33" s="11"/>
      <c r="I33" s="11"/>
      <c r="J33" s="11"/>
    </row>
    <row r="34" spans="1:10" ht="26" customHeight="1">
      <c r="B34" s="18" t="s">
        <v>1335</v>
      </c>
      <c r="C34" s="11" t="s">
        <v>1336</v>
      </c>
      <c r="D34" s="11"/>
      <c r="E34" s="11"/>
      <c r="F34" s="11"/>
      <c r="G34" s="11"/>
      <c r="H34" s="11"/>
      <c r="I34" s="11"/>
      <c r="J34" s="11"/>
    </row>
    <row r="35" spans="1:10" ht="26" customHeight="1">
      <c r="B35" s="18" t="s">
        <v>1337</v>
      </c>
      <c r="C35" s="11" t="s">
        <v>1338</v>
      </c>
      <c r="D35" s="11"/>
      <c r="E35" s="11"/>
      <c r="F35" s="11"/>
      <c r="G35" s="11"/>
      <c r="H35" s="11"/>
      <c r="I35" s="11"/>
      <c r="J35" s="11"/>
    </row>
    <row r="37" spans="1:10" ht="20" customHeight="1">
      <c r="A37" s="6" t="s">
        <v>1339</v>
      </c>
      <c r="B37" s="6"/>
      <c r="C37" s="6"/>
      <c r="D37" s="6"/>
      <c r="E37" s="6"/>
      <c r="F37" s="6"/>
      <c r="G37" s="6"/>
      <c r="H37" s="6"/>
      <c r="I37" s="6"/>
      <c r="J37" s="6"/>
    </row>
    <row r="38" spans="1:10">
      <c r="B38" s="8" t="s">
        <v>1340</v>
      </c>
      <c r="C38" s="9" t="s">
        <v>1341</v>
      </c>
      <c r="D38" s="9"/>
      <c r="E38" s="9"/>
      <c r="F38" s="9" t="s">
        <v>339</v>
      </c>
      <c r="G38" s="9"/>
      <c r="H38" s="9"/>
      <c r="I38" s="9"/>
      <c r="J38" s="9"/>
    </row>
    <row r="39" spans="1:10" ht="26" customHeight="1">
      <c r="B39" s="18" t="s">
        <v>1342</v>
      </c>
      <c r="C39" s="7" t="s">
        <v>1343</v>
      </c>
      <c r="D39" s="7"/>
      <c r="E39" s="7"/>
      <c r="F39" s="11" t="s">
        <v>1344</v>
      </c>
      <c r="G39" s="11"/>
      <c r="H39" s="11"/>
      <c r="I39" s="11"/>
      <c r="J39" s="11"/>
    </row>
    <row r="40" spans="1:10" ht="26" customHeight="1">
      <c r="B40" s="18" t="s">
        <v>1345</v>
      </c>
      <c r="C40" s="7" t="s">
        <v>1346</v>
      </c>
      <c r="D40" s="7"/>
      <c r="E40" s="7"/>
      <c r="F40" s="11" t="s">
        <v>1347</v>
      </c>
      <c r="G40" s="11"/>
      <c r="H40" s="11"/>
      <c r="I40" s="11"/>
      <c r="J40" s="11"/>
    </row>
    <row r="41" spans="1:10" ht="26" customHeight="1">
      <c r="B41" s="18" t="s">
        <v>754</v>
      </c>
      <c r="C41" s="7" t="s">
        <v>1348</v>
      </c>
      <c r="D41" s="7"/>
      <c r="E41" s="7"/>
      <c r="F41" s="11" t="s">
        <v>1349</v>
      </c>
      <c r="G41" s="11"/>
      <c r="H41" s="11"/>
      <c r="I41" s="11"/>
      <c r="J41" s="11"/>
    </row>
    <row r="42" spans="1:10" ht="26" customHeight="1">
      <c r="B42" s="18" t="s">
        <v>762</v>
      </c>
      <c r="C42" s="7" t="s">
        <v>1350</v>
      </c>
      <c r="D42" s="7"/>
      <c r="E42" s="7"/>
      <c r="F42" s="11" t="s">
        <v>1351</v>
      </c>
      <c r="G42" s="11"/>
      <c r="H42" s="11"/>
      <c r="I42" s="11"/>
      <c r="J42" s="11"/>
    </row>
    <row r="43" spans="1:10" ht="26" customHeight="1">
      <c r="B43" s="18" t="s">
        <v>905</v>
      </c>
      <c r="C43" s="7" t="s">
        <v>1352</v>
      </c>
      <c r="D43" s="7"/>
      <c r="E43" s="7"/>
      <c r="F43" s="11" t="s">
        <v>1353</v>
      </c>
      <c r="G43" s="11"/>
      <c r="H43" s="11"/>
      <c r="I43" s="11"/>
      <c r="J43" s="11"/>
    </row>
    <row r="44" spans="1:10" ht="26" customHeight="1">
      <c r="B44" s="18" t="s">
        <v>887</v>
      </c>
      <c r="C44" s="7" t="s">
        <v>1354</v>
      </c>
      <c r="D44" s="7"/>
      <c r="E44" s="7"/>
      <c r="F44" s="11" t="s">
        <v>1355</v>
      </c>
      <c r="G44" s="11"/>
      <c r="H44" s="11"/>
      <c r="I44" s="11"/>
      <c r="J44" s="11"/>
    </row>
    <row r="45" spans="1:10" ht="26" customHeight="1">
      <c r="B45" s="18" t="s">
        <v>1356</v>
      </c>
      <c r="C45" s="7" t="s">
        <v>1357</v>
      </c>
      <c r="D45" s="7"/>
      <c r="E45" s="7"/>
      <c r="F45" s="11" t="s">
        <v>1358</v>
      </c>
      <c r="G45" s="11"/>
      <c r="H45" s="11"/>
      <c r="I45" s="11"/>
      <c r="J45" s="11"/>
    </row>
    <row r="46" spans="1:10" ht="26" customHeight="1">
      <c r="B46" s="18" t="s">
        <v>1359</v>
      </c>
      <c r="C46" s="7" t="s">
        <v>1360</v>
      </c>
      <c r="D46" s="7"/>
      <c r="E46" s="7"/>
      <c r="F46" s="11" t="s">
        <v>1361</v>
      </c>
      <c r="G46" s="11"/>
      <c r="H46" s="11"/>
      <c r="I46" s="11"/>
      <c r="J46" s="11"/>
    </row>
    <row r="47" spans="1:10" ht="26" customHeight="1">
      <c r="B47" s="18" t="s">
        <v>627</v>
      </c>
      <c r="C47" s="7" t="s">
        <v>1362</v>
      </c>
      <c r="D47" s="7"/>
      <c r="E47" s="7"/>
      <c r="F47" s="11" t="s">
        <v>1363</v>
      </c>
      <c r="G47" s="11"/>
      <c r="H47" s="11"/>
      <c r="I47" s="11"/>
      <c r="J47" s="11"/>
    </row>
    <row r="48" spans="1:10" ht="26" customHeight="1">
      <c r="B48" s="18" t="s">
        <v>154</v>
      </c>
      <c r="C48" s="7" t="s">
        <v>1364</v>
      </c>
      <c r="D48" s="7"/>
      <c r="E48" s="7"/>
      <c r="F48" s="11" t="s">
        <v>1365</v>
      </c>
      <c r="G48" s="11"/>
      <c r="H48" s="11"/>
      <c r="I48" s="11"/>
      <c r="J48" s="11"/>
    </row>
    <row r="49" spans="1:10" ht="26" customHeight="1">
      <c r="B49" s="18" t="s">
        <v>1366</v>
      </c>
      <c r="C49" s="7" t="s">
        <v>1367</v>
      </c>
      <c r="D49" s="7"/>
      <c r="E49" s="7"/>
      <c r="F49" s="11" t="s">
        <v>1368</v>
      </c>
      <c r="G49" s="11"/>
      <c r="H49" s="11"/>
      <c r="I49" s="11"/>
      <c r="J49" s="11"/>
    </row>
    <row r="51" spans="1:10" ht="20" customHeight="1">
      <c r="A51" s="6" t="s">
        <v>1369</v>
      </c>
      <c r="B51" s="6"/>
      <c r="C51" s="6"/>
      <c r="D51" s="6"/>
      <c r="E51" s="6"/>
      <c r="F51" s="6"/>
      <c r="G51" s="6"/>
      <c r="H51" s="6"/>
      <c r="I51" s="6"/>
      <c r="J51" s="6"/>
    </row>
    <row r="52" spans="1:10">
      <c r="B52" s="8" t="s">
        <v>1370</v>
      </c>
      <c r="C52" s="9" t="s">
        <v>1371</v>
      </c>
      <c r="D52" s="9"/>
      <c r="E52" s="9"/>
      <c r="F52" s="9"/>
      <c r="G52" s="9"/>
      <c r="H52" s="9"/>
      <c r="I52" s="9"/>
      <c r="J52" s="9"/>
    </row>
    <row r="53" spans="1:10" ht="26" customHeight="1">
      <c r="B53" s="18" t="s">
        <v>1372</v>
      </c>
      <c r="C53" s="11" t="s">
        <v>1373</v>
      </c>
      <c r="D53" s="11"/>
      <c r="E53" s="11"/>
      <c r="F53" s="11"/>
      <c r="G53" s="11"/>
      <c r="H53" s="11"/>
      <c r="I53" s="11"/>
      <c r="J53" s="11"/>
    </row>
    <row r="54" spans="1:10" ht="26" customHeight="1">
      <c r="B54" s="18" t="s">
        <v>1374</v>
      </c>
      <c r="C54" s="11" t="s">
        <v>1375</v>
      </c>
      <c r="D54" s="11"/>
      <c r="E54" s="11"/>
      <c r="F54" s="11"/>
      <c r="G54" s="11"/>
      <c r="H54" s="11"/>
      <c r="I54" s="11"/>
      <c r="J54" s="11"/>
    </row>
    <row r="55" spans="1:10" ht="26" customHeight="1">
      <c r="B55" s="18" t="s">
        <v>1376</v>
      </c>
      <c r="C55" s="11" t="s">
        <v>1377</v>
      </c>
      <c r="D55" s="11"/>
      <c r="E55" s="11"/>
      <c r="F55" s="11"/>
      <c r="G55" s="11"/>
      <c r="H55" s="11"/>
      <c r="I55" s="11"/>
      <c r="J55" s="11"/>
    </row>
    <row r="56" spans="1:10" ht="26" customHeight="1">
      <c r="B56" s="18" t="s">
        <v>1378</v>
      </c>
      <c r="C56" s="11" t="s">
        <v>1379</v>
      </c>
      <c r="D56" s="11"/>
      <c r="E56" s="11"/>
      <c r="F56" s="11"/>
      <c r="G56" s="11"/>
      <c r="H56" s="11"/>
      <c r="I56" s="11"/>
      <c r="J56" s="11"/>
    </row>
    <row r="57" spans="1:10" ht="26" customHeight="1">
      <c r="B57" s="18" t="s">
        <v>1380</v>
      </c>
      <c r="C57" s="11" t="s">
        <v>1381</v>
      </c>
      <c r="D57" s="11"/>
      <c r="E57" s="11"/>
      <c r="F57" s="11"/>
      <c r="G57" s="11"/>
      <c r="H57" s="11"/>
      <c r="I57" s="11"/>
      <c r="J57" s="11"/>
    </row>
    <row r="58" spans="1:10" ht="26" customHeight="1">
      <c r="B58" s="18" t="s">
        <v>1382</v>
      </c>
      <c r="C58" s="11" t="s">
        <v>1383</v>
      </c>
      <c r="D58" s="11"/>
      <c r="E58" s="11"/>
      <c r="F58" s="11"/>
      <c r="G58" s="11"/>
      <c r="H58" s="11"/>
      <c r="I58" s="11"/>
      <c r="J58" s="11"/>
    </row>
    <row r="59" spans="1:10" ht="26" customHeight="1">
      <c r="B59" s="18" t="s">
        <v>1384</v>
      </c>
      <c r="C59" s="11" t="s">
        <v>1385</v>
      </c>
      <c r="D59" s="11"/>
      <c r="E59" s="11"/>
      <c r="F59" s="11"/>
      <c r="G59" s="11"/>
      <c r="H59" s="11"/>
      <c r="I59" s="11"/>
      <c r="J59" s="11"/>
    </row>
    <row r="60" spans="1:10" ht="26" customHeight="1">
      <c r="B60" s="18" t="s">
        <v>1386</v>
      </c>
      <c r="C60" s="11" t="s">
        <v>1387</v>
      </c>
      <c r="D60" s="11"/>
      <c r="E60" s="11"/>
      <c r="F60" s="11"/>
      <c r="G60" s="11"/>
      <c r="H60" s="11"/>
      <c r="I60" s="11"/>
      <c r="J60" s="11"/>
    </row>
    <row r="61" spans="1:10" ht="26" customHeight="1">
      <c r="B61" s="18" t="s">
        <v>1388</v>
      </c>
      <c r="C61" s="11" t="s">
        <v>1389</v>
      </c>
      <c r="D61" s="11"/>
      <c r="E61" s="11"/>
      <c r="F61" s="11"/>
      <c r="G61" s="11"/>
      <c r="H61" s="11"/>
      <c r="I61" s="11"/>
      <c r="J61" s="11"/>
    </row>
    <row r="63" spans="1:10" ht="20" customHeight="1">
      <c r="A63" s="6" t="s">
        <v>1390</v>
      </c>
      <c r="B63" s="6"/>
      <c r="C63" s="6"/>
      <c r="D63" s="6"/>
      <c r="E63" s="6"/>
      <c r="F63" s="6"/>
      <c r="G63" s="6"/>
      <c r="H63" s="6"/>
      <c r="I63" s="6"/>
      <c r="J63" s="6"/>
    </row>
    <row r="64" spans="1:10" ht="24" customHeight="1">
      <c r="B64" s="18" t="s">
        <v>1391</v>
      </c>
      <c r="C64" s="11" t="s">
        <v>1392</v>
      </c>
      <c r="D64" s="11"/>
      <c r="E64" s="11"/>
      <c r="F64" s="11"/>
      <c r="G64" s="11"/>
      <c r="H64" s="11"/>
      <c r="I64" s="11"/>
      <c r="J64" s="11"/>
    </row>
    <row r="65" spans="1:10" ht="24" customHeight="1">
      <c r="B65" s="18" t="s">
        <v>1393</v>
      </c>
      <c r="C65" s="11" t="s">
        <v>1394</v>
      </c>
      <c r="D65" s="11"/>
      <c r="E65" s="11"/>
      <c r="F65" s="11"/>
      <c r="G65" s="11"/>
      <c r="H65" s="11"/>
      <c r="I65" s="11"/>
      <c r="J65" s="11"/>
    </row>
    <row r="66" spans="1:10" ht="24" customHeight="1">
      <c r="B66" s="18" t="s">
        <v>1395</v>
      </c>
      <c r="C66" s="11" t="s">
        <v>1396</v>
      </c>
      <c r="D66" s="11"/>
      <c r="E66" s="11"/>
      <c r="F66" s="11"/>
      <c r="G66" s="11"/>
      <c r="H66" s="11"/>
      <c r="I66" s="11"/>
      <c r="J66" s="11"/>
    </row>
    <row r="67" spans="1:10" ht="24" customHeight="1">
      <c r="B67" s="18" t="s">
        <v>1397</v>
      </c>
      <c r="C67" s="11" t="s">
        <v>1398</v>
      </c>
      <c r="D67" s="11"/>
      <c r="E67" s="11"/>
      <c r="F67" s="11"/>
      <c r="G67" s="11"/>
      <c r="H67" s="11"/>
      <c r="I67" s="11"/>
      <c r="J67" s="11"/>
    </row>
    <row r="69" spans="1:10" ht="20" customHeight="1">
      <c r="A69" s="6" t="s">
        <v>1399</v>
      </c>
      <c r="B69" s="6"/>
      <c r="C69" s="6"/>
      <c r="D69" s="6"/>
      <c r="E69" s="6"/>
      <c r="F69" s="6"/>
      <c r="G69" s="6"/>
      <c r="H69" s="6"/>
      <c r="I69" s="6"/>
      <c r="J69" s="6"/>
    </row>
    <row r="70" spans="1:10" ht="16" customHeight="1">
      <c r="B70" s="7" t="s">
        <v>1400</v>
      </c>
      <c r="C70" s="7"/>
      <c r="D70" s="7"/>
      <c r="E70" s="7"/>
      <c r="F70" s="7"/>
      <c r="G70" s="7"/>
      <c r="H70" s="7"/>
      <c r="I70" s="7"/>
      <c r="J70" s="7"/>
    </row>
    <row r="71" spans="1:10" ht="16" customHeight="1">
      <c r="B71" s="7" t="s">
        <v>1401</v>
      </c>
      <c r="C71" s="7"/>
      <c r="D71" s="7"/>
      <c r="E71" s="7"/>
      <c r="F71" s="7"/>
      <c r="G71" s="7"/>
      <c r="H71" s="7"/>
      <c r="I71" s="7"/>
      <c r="J71" s="7"/>
    </row>
    <row r="72" spans="1:10" ht="16" customHeight="1">
      <c r="B72" s="7" t="s">
        <v>1402</v>
      </c>
      <c r="C72" s="7"/>
      <c r="D72" s="7"/>
      <c r="E72" s="7"/>
      <c r="F72" s="7"/>
      <c r="G72" s="7"/>
      <c r="H72" s="7"/>
      <c r="I72" s="7"/>
      <c r="J72" s="7"/>
    </row>
    <row r="73" spans="1:10" ht="16" customHeight="1">
      <c r="B73" s="7" t="s">
        <v>1403</v>
      </c>
      <c r="C73" s="7"/>
      <c r="D73" s="7"/>
      <c r="E73" s="7"/>
      <c r="F73" s="7"/>
      <c r="G73" s="7"/>
      <c r="H73" s="7"/>
      <c r="I73" s="7"/>
      <c r="J73" s="7"/>
    </row>
    <row r="74" spans="1:10" ht="16" customHeight="1">
      <c r="B74" s="7" t="s">
        <v>1404</v>
      </c>
      <c r="C74" s="7"/>
      <c r="D74" s="7"/>
      <c r="E74" s="7"/>
      <c r="F74" s="7"/>
      <c r="G74" s="7"/>
      <c r="H74" s="7"/>
      <c r="I74" s="7"/>
      <c r="J74" s="7"/>
    </row>
    <row r="76" spans="1:10" ht="20" customHeight="1">
      <c r="A76" s="6" t="s">
        <v>1405</v>
      </c>
      <c r="B76" s="6"/>
      <c r="C76" s="6"/>
      <c r="D76" s="6"/>
      <c r="E76" s="6"/>
      <c r="F76" s="6"/>
      <c r="G76" s="6"/>
      <c r="H76" s="6"/>
      <c r="I76" s="6"/>
      <c r="J76" s="6"/>
    </row>
    <row r="77" spans="1:10" ht="24" customHeight="1">
      <c r="B77" s="18" t="s">
        <v>1406</v>
      </c>
      <c r="C77" s="11" t="s">
        <v>1407</v>
      </c>
      <c r="D77" s="11"/>
      <c r="E77" s="11"/>
      <c r="F77" s="11"/>
      <c r="G77" s="11"/>
      <c r="H77" s="11"/>
      <c r="I77" s="11"/>
      <c r="J77" s="11"/>
    </row>
    <row r="78" spans="1:10" ht="24" customHeight="1">
      <c r="B78" s="18" t="s">
        <v>1408</v>
      </c>
      <c r="C78" s="11" t="s">
        <v>1409</v>
      </c>
      <c r="D78" s="11"/>
      <c r="E78" s="11"/>
      <c r="F78" s="11"/>
      <c r="G78" s="11"/>
      <c r="H78" s="11"/>
      <c r="I78" s="11"/>
      <c r="J78" s="11"/>
    </row>
    <row r="79" spans="1:10" ht="24" customHeight="1">
      <c r="B79" s="18" t="s">
        <v>1410</v>
      </c>
      <c r="C79" s="11" t="s">
        <v>1411</v>
      </c>
      <c r="D79" s="11"/>
      <c r="E79" s="11"/>
      <c r="F79" s="11"/>
      <c r="G79" s="11"/>
      <c r="H79" s="11"/>
      <c r="I79" s="11"/>
      <c r="J79" s="11"/>
    </row>
    <row r="80" spans="1:10" ht="24" customHeight="1">
      <c r="B80" s="18" t="s">
        <v>1412</v>
      </c>
      <c r="C80" s="11" t="s">
        <v>1413</v>
      </c>
      <c r="D80" s="11"/>
      <c r="E80" s="11"/>
      <c r="F80" s="11"/>
      <c r="G80" s="11"/>
      <c r="H80" s="11"/>
      <c r="I80" s="11"/>
      <c r="J80" s="11"/>
    </row>
    <row r="82" spans="1:10" ht="20" customHeight="1">
      <c r="A82" s="6" t="s">
        <v>1414</v>
      </c>
      <c r="B82" s="6"/>
      <c r="C82" s="6"/>
      <c r="D82" s="6"/>
      <c r="E82" s="6"/>
      <c r="F82" s="6"/>
      <c r="G82" s="6"/>
      <c r="H82" s="6"/>
      <c r="I82" s="6"/>
      <c r="J82" s="6"/>
    </row>
    <row r="83" spans="1:10">
      <c r="B83" s="8" t="s">
        <v>1415</v>
      </c>
      <c r="C83" s="9" t="s">
        <v>1416</v>
      </c>
      <c r="D83" s="9"/>
      <c r="E83" s="9"/>
      <c r="F83" s="9"/>
      <c r="G83" s="9"/>
      <c r="H83" s="9"/>
      <c r="I83" s="9"/>
      <c r="J83" s="9"/>
    </row>
    <row r="84" spans="1:10">
      <c r="B84" s="18" t="s">
        <v>1417</v>
      </c>
      <c r="C84" s="11" t="s">
        <v>1418</v>
      </c>
      <c r="D84" s="11"/>
      <c r="E84" s="11"/>
      <c r="F84" s="11"/>
      <c r="G84" s="11"/>
      <c r="H84" s="11"/>
      <c r="I84" s="11"/>
      <c r="J84" s="11"/>
    </row>
    <row r="86" spans="1:10" ht="26" customHeight="1">
      <c r="A86" s="5" t="s">
        <v>1419</v>
      </c>
      <c r="B86" s="5"/>
      <c r="C86" s="5"/>
      <c r="D86" s="5"/>
      <c r="E86" s="5"/>
      <c r="F86" s="5"/>
      <c r="G86" s="5"/>
      <c r="H86" s="5"/>
      <c r="I86" s="5"/>
      <c r="J86" s="5"/>
    </row>
  </sheetData>
  <sheetProtection password="EC7C" sheet="1" objects="1" scenarios="1" formatCells="0" formatColumns="0" formatRows="0" insertRows="0" insertHyperlinks="0" deleteRows="0" autoFilter="0"/>
  <mergeCells count="93">
    <mergeCell ref="A1:G1"/>
    <mergeCell ref="H1:J1"/>
    <mergeCell ref="A2:J2"/>
    <mergeCell ref="A3:B3"/>
    <mergeCell ref="C3:D3"/>
    <mergeCell ref="E3:F3"/>
    <mergeCell ref="G3:H3"/>
    <mergeCell ref="I3:J3"/>
    <mergeCell ref="A5:J5"/>
    <mergeCell ref="B6:J6"/>
    <mergeCell ref="B7:J7"/>
    <mergeCell ref="B8:J8"/>
    <mergeCell ref="B9:J9"/>
    <mergeCell ref="B10:J10"/>
    <mergeCell ref="A12:J12"/>
    <mergeCell ref="B13:J13"/>
    <mergeCell ref="B14:J14"/>
    <mergeCell ref="B15:J15"/>
    <mergeCell ref="B16:J16"/>
    <mergeCell ref="B17:J17"/>
    <mergeCell ref="B18:J18"/>
    <mergeCell ref="A20:J20"/>
    <mergeCell ref="C21:J21"/>
    <mergeCell ref="C22:J22"/>
    <mergeCell ref="C23:J23"/>
    <mergeCell ref="C24:J24"/>
    <mergeCell ref="C25:J25"/>
    <mergeCell ref="C26:J26"/>
    <mergeCell ref="C27:J27"/>
    <mergeCell ref="C28:J28"/>
    <mergeCell ref="C29:J29"/>
    <mergeCell ref="C30:J30"/>
    <mergeCell ref="C31:J31"/>
    <mergeCell ref="C32:J32"/>
    <mergeCell ref="C33:J33"/>
    <mergeCell ref="C34:J34"/>
    <mergeCell ref="C35:J35"/>
    <mergeCell ref="A37:J37"/>
    <mergeCell ref="C38:E38"/>
    <mergeCell ref="F38:J38"/>
    <mergeCell ref="C39:E39"/>
    <mergeCell ref="F39:J39"/>
    <mergeCell ref="C40:E40"/>
    <mergeCell ref="F40:J40"/>
    <mergeCell ref="C41:E41"/>
    <mergeCell ref="F41:J41"/>
    <mergeCell ref="C42:E42"/>
    <mergeCell ref="F42:J42"/>
    <mergeCell ref="C43:E43"/>
    <mergeCell ref="F43:J43"/>
    <mergeCell ref="C44:E44"/>
    <mergeCell ref="F44:J44"/>
    <mergeCell ref="C45:E45"/>
    <mergeCell ref="F45:J45"/>
    <mergeCell ref="C46:E46"/>
    <mergeCell ref="F46:J46"/>
    <mergeCell ref="C47:E47"/>
    <mergeCell ref="F47:J47"/>
    <mergeCell ref="C48:E48"/>
    <mergeCell ref="F48:J48"/>
    <mergeCell ref="C49:E49"/>
    <mergeCell ref="F49:J49"/>
    <mergeCell ref="A51:J51"/>
    <mergeCell ref="C52:J52"/>
    <mergeCell ref="C53:J53"/>
    <mergeCell ref="C54:J54"/>
    <mergeCell ref="C55:J55"/>
    <mergeCell ref="C56:J56"/>
    <mergeCell ref="C57:J57"/>
    <mergeCell ref="C58:J58"/>
    <mergeCell ref="C59:J59"/>
    <mergeCell ref="C60:J60"/>
    <mergeCell ref="C61:J61"/>
    <mergeCell ref="A63:J63"/>
    <mergeCell ref="C64:J64"/>
    <mergeCell ref="C65:J65"/>
    <mergeCell ref="C66:J66"/>
    <mergeCell ref="C67:J67"/>
    <mergeCell ref="A69:J69"/>
    <mergeCell ref="B70:J70"/>
    <mergeCell ref="B71:J71"/>
    <mergeCell ref="B72:J72"/>
    <mergeCell ref="B73:J73"/>
    <mergeCell ref="B74:J74"/>
    <mergeCell ref="A76:J76"/>
    <mergeCell ref="C77:J77"/>
    <mergeCell ref="C78:J78"/>
    <mergeCell ref="C79:J79"/>
    <mergeCell ref="C80:J80"/>
    <mergeCell ref="A82:J82"/>
    <mergeCell ref="C83:J83"/>
    <mergeCell ref="C84:J84"/>
    <mergeCell ref="A86:J86"/>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s>
  <pageMargins left="0.4" right="0.4" top="0.6" bottom="0.5" header="0.3" footer="0.3"/>
  <pageSetup paperSize="9" fitToHeight="0" orientation="portrait"/>
  <headerFooter>
    <oddHeader>&amp;L&amp;"Calibri,Bold"&amp;12&amp;C&amp;"Calibri,Bold"&amp;11Help&amp;R&amp;"Calibri,Italic"&amp;9Pet Sitting &amp; Dog Walking Business Spreadsheet</oddHeader>
    <oddFooter>&amp;L&amp;"Calibri,Italic"&amp;8Novality Store - v1.0.0&amp;C&amp;"Calibri,Italic"&amp;8Page &amp;P of &amp;N&amp;R&amp;"Calibri,Italic"&amp;8&amp;D</oddFooter>
  </headerFooter>
</worksheet>
</file>

<file path=xl/worksheets/sheet27.xml><?xml version="1.0" encoding="utf-8"?>
<worksheet xmlns="http://schemas.openxmlformats.org/spreadsheetml/2006/main" xmlns:r="http://schemas.openxmlformats.org/officeDocument/2006/relationships">
  <sheetPr>
    <tabColor rgb="FF9AA7AD"/>
    <pageSetUpPr fitToPage="1"/>
  </sheetPr>
  <dimension ref="A1:AR25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0.7109375" style="28" customWidth="1"/>
    <col min="2" max="2" width="14.7109375" style="29" customWidth="1"/>
    <col min="3" max="3" width="14.7109375" style="51" customWidth="1"/>
    <col min="4" max="4" width="14.7109375" style="29" customWidth="1"/>
    <col min="5" max="5" width="14.7109375" style="51" customWidth="1"/>
    <col min="6" max="6" width="13.7109375" style="29" customWidth="1"/>
    <col min="7" max="7" width="14.7109375" style="51" customWidth="1"/>
    <col min="8" max="8" width="12.7109375" style="31" customWidth="1"/>
    <col min="9" max="9" width="22.7109375" style="28" customWidth="1"/>
    <col min="10" max="10" width="14.7109375" style="29" customWidth="1"/>
    <col min="11" max="11" width="12.7109375" style="31" customWidth="1"/>
    <col min="12" max="12" width="14.7109375" style="29" customWidth="1"/>
    <col min="13" max="13" width="12.7109375" style="31" customWidth="1"/>
    <col min="14" max="14" width="13.7109375" style="29" customWidth="1"/>
    <col min="15" max="15" width="13.7109375" style="29" customWidth="1"/>
    <col min="16" max="16" width="20.7109375" style="28" customWidth="1"/>
    <col min="17" max="17" width="13.7109375" style="29" customWidth="1"/>
    <col min="18" max="18" width="13.7109375" style="29" customWidth="1"/>
    <col min="19" max="19" width="12.7109375" style="21" customWidth="1"/>
    <col min="20" max="20" width="12.7109375" style="21" customWidth="1"/>
    <col min="21" max="21" width="10.7109375" style="28" customWidth="1"/>
    <col min="22" max="22" width="13.7109375" style="29" customWidth="1"/>
    <col min="23" max="23" width="13.7109375" style="29" customWidth="1"/>
    <col min="24" max="24" width="13.7109375" style="29" customWidth="1"/>
    <col min="25" max="25" width="13.7109375" style="29" customWidth="1"/>
    <col min="26" max="26" width="10.7109375" style="31" customWidth="1"/>
    <col min="27" max="27" width="10.7109375" style="31" customWidth="1"/>
    <col min="28" max="28" width="10.7109375" style="31" customWidth="1"/>
    <col min="29" max="29" width="10.7109375" style="31" customWidth="1"/>
    <col min="30" max="30" width="10.7109375" style="31" customWidth="1"/>
    <col min="31" max="31" width="11.7109375" style="32" customWidth="1"/>
    <col min="32" max="32" width="13.7109375" style="29" customWidth="1"/>
    <col min="33" max="33" width="18.7109375" style="28" customWidth="1"/>
    <col min="34" max="34" width="11.7109375" style="31" customWidth="1"/>
    <col min="35" max="35" width="11.7109375" style="51" customWidth="1"/>
    <col min="36" max="36" width="13.7109375" style="29" customWidth="1"/>
    <col min="37" max="37" width="11.7109375" style="32" customWidth="1"/>
    <col min="38" max="38" width="20.7109375" style="28" customWidth="1"/>
    <col min="39" max="39" width="12.7109375" style="31" customWidth="1"/>
    <col min="40" max="40" width="18.7109375" style="28" customWidth="1"/>
    <col min="41" max="41" width="13.7109375" style="29" customWidth="1"/>
    <col min="42" max="42" width="18.7109375" style="28" customWidth="1"/>
    <col min="43" max="43" width="12.7109375" style="31" customWidth="1"/>
    <col min="44" max="44" width="13.7109375" style="29" customWidth="1"/>
  </cols>
  <sheetData>
    <row r="1" spans="1:44" ht="34" customHeight="1">
      <c r="A1" s="2" t="s">
        <v>1420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3" t="s">
        <v>118</v>
      </c>
      <c r="AQ1" s="3"/>
      <c r="AR1" s="3"/>
    </row>
    <row r="2" spans="1:44" ht="18" customHeight="1">
      <c r="A2" s="4" t="s">
        <v>1421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row>
    <row r="3" spans="1:44" ht="16" customHeight="1">
      <c r="A3" s="10" t="s">
        <v>120</v>
      </c>
      <c r="B3" s="10"/>
      <c r="C3" s="10" t="s">
        <v>121</v>
      </c>
      <c r="D3" s="10"/>
      <c r="E3" s="10" t="s">
        <v>122</v>
      </c>
      <c r="F3" s="10"/>
      <c r="G3" s="10" t="s">
        <v>123</v>
      </c>
      <c r="H3" s="10"/>
      <c r="I3" s="10" t="s">
        <v>124</v>
      </c>
      <c r="J3" s="10"/>
      <c r="K3" s="10" t="s">
        <v>125</v>
      </c>
      <c r="L3" s="10"/>
      <c r="M3" s="10" t="s">
        <v>126</v>
      </c>
      <c r="N3" s="10"/>
      <c r="O3" s="10" t="s">
        <v>127</v>
      </c>
      <c r="P3" s="10"/>
      <c r="Q3" s="10" t="s">
        <v>128</v>
      </c>
      <c r="R3" s="10"/>
      <c r="S3" s="45" t="s">
        <v>1422</v>
      </c>
      <c r="T3" s="45"/>
      <c r="U3" s="45"/>
      <c r="V3" s="45"/>
      <c r="W3" s="45"/>
      <c r="X3" s="45"/>
      <c r="Y3" s="45"/>
      <c r="Z3" s="45"/>
      <c r="AA3" s="45"/>
      <c r="AB3" s="45"/>
      <c r="AC3" s="45"/>
      <c r="AD3" s="45"/>
      <c r="AE3" s="45"/>
      <c r="AF3" s="45"/>
      <c r="AG3" s="45"/>
      <c r="AH3" s="45"/>
      <c r="AI3" s="45"/>
      <c r="AJ3" s="45"/>
      <c r="AK3" s="45"/>
      <c r="AL3" s="45"/>
      <c r="AM3" s="45"/>
      <c r="AN3" s="45"/>
      <c r="AO3" s="45"/>
      <c r="AP3" s="45"/>
      <c r="AQ3" s="45"/>
      <c r="AR3" s="45"/>
    </row>
    <row r="4" spans="1:44" ht="30" customHeight="1">
      <c r="A4" s="8" t="s">
        <v>207</v>
      </c>
      <c r="B4" s="8" t="s">
        <v>1423</v>
      </c>
      <c r="C4" s="9" t="s">
        <v>1424</v>
      </c>
      <c r="D4" s="9" t="s">
        <v>1425</v>
      </c>
      <c r="E4" s="9" t="s">
        <v>1426</v>
      </c>
      <c r="F4" s="9" t="s">
        <v>141</v>
      </c>
      <c r="G4" s="9" t="s">
        <v>1427</v>
      </c>
      <c r="H4" s="9" t="s">
        <v>1428</v>
      </c>
      <c r="I4" s="9" t="s">
        <v>198</v>
      </c>
      <c r="J4" s="9" t="s">
        <v>1429</v>
      </c>
      <c r="K4" s="9" t="s">
        <v>1430</v>
      </c>
      <c r="L4" s="9" t="s">
        <v>1431</v>
      </c>
      <c r="M4" s="9" t="s">
        <v>1432</v>
      </c>
      <c r="N4" s="9" t="s">
        <v>1433</v>
      </c>
      <c r="O4" s="9" t="s">
        <v>1434</v>
      </c>
      <c r="P4" s="9" t="s">
        <v>549</v>
      </c>
      <c r="Q4" s="9" t="s">
        <v>1435</v>
      </c>
      <c r="R4" s="9" t="s">
        <v>1436</v>
      </c>
      <c r="S4" s="9" t="s">
        <v>1437</v>
      </c>
      <c r="T4" s="9" t="s">
        <v>1438</v>
      </c>
      <c r="U4" s="9" t="s">
        <v>131</v>
      </c>
      <c r="V4" s="9" t="s">
        <v>186</v>
      </c>
      <c r="W4" s="9" t="s">
        <v>139</v>
      </c>
      <c r="X4" s="9" t="s">
        <v>41</v>
      </c>
      <c r="Y4" s="9" t="s">
        <v>187</v>
      </c>
      <c r="Z4" s="9" t="s">
        <v>27</v>
      </c>
      <c r="AA4" s="9" t="s">
        <v>163</v>
      </c>
      <c r="AB4" s="9" t="s">
        <v>165</v>
      </c>
      <c r="AC4" s="9" t="s">
        <v>189</v>
      </c>
      <c r="AD4" s="9" t="s">
        <v>177</v>
      </c>
      <c r="AE4" s="9" t="s">
        <v>1146</v>
      </c>
      <c r="AF4" s="9" t="s">
        <v>1439</v>
      </c>
      <c r="AG4" s="9" t="s">
        <v>45</v>
      </c>
      <c r="AH4" s="9" t="s">
        <v>1440</v>
      </c>
      <c r="AI4" s="9" t="s">
        <v>1441</v>
      </c>
      <c r="AJ4" s="9" t="s">
        <v>1442</v>
      </c>
      <c r="AK4" s="9" t="s">
        <v>1443</v>
      </c>
      <c r="AL4" s="9" t="s">
        <v>456</v>
      </c>
      <c r="AM4" s="9" t="s">
        <v>1444</v>
      </c>
      <c r="AN4" s="9" t="s">
        <v>541</v>
      </c>
      <c r="AO4" s="9" t="s">
        <v>1445</v>
      </c>
      <c r="AP4" s="9" t="s">
        <v>358</v>
      </c>
      <c r="AQ4" s="9" t="s">
        <v>1446</v>
      </c>
      <c r="AR4" s="9" t="s">
        <v>1447</v>
      </c>
    </row>
    <row r="5" spans="1:44">
      <c r="A5" s="28">
        <f>IF(Clients!$B$5="","",Clients!$B$5)</f>
        <v>0</v>
      </c>
      <c r="B5" s="29">
        <f>IF(A5="","",SUMIFS(Payments!$L$5:$L$304,Payments!$C$5:$C$304,A5,Payments!$B$5:$B$304,"&gt;="&amp;PeriodStart,Payments!$B$5:$B$304,"&lt;="&amp;PeriodEnd))</f>
        <v>0</v>
      </c>
      <c r="C5" s="51">
        <f>IF(A5="","",IF(B5&lt;=0,"",B5+ROW()/1000000))</f>
        <v>0</v>
      </c>
      <c r="D5" s="29">
        <f>IF(A5="","",SUMIFS(Payments!$L$5:$L$304,Payments!$C$5:$C$304,A5,Payments!$B$5:$B$304,"&gt;="&amp;RepFrom,Payments!$B$5:$B$304,"&lt;="&amp;RepTo))</f>
        <v>0</v>
      </c>
      <c r="E5" s="51">
        <f>IF(A5="","",IF(D5&lt;=0,"",D5+ROW()/1000000))</f>
        <v>0</v>
      </c>
      <c r="F5" s="29">
        <f>IF(A5="","",SUMIFS(Invoices!$S$5:$S$304,Invoices!$D$5:$D$304,A5,Invoices!$T$5:$T$304,"&lt;&gt;Cancelled"))</f>
        <v>0</v>
      </c>
      <c r="G5" s="51">
        <f>IF(A5="","",IF(F5&lt;=0.004,"",F5+ROW()/1000000))</f>
        <v>0</v>
      </c>
      <c r="H5" s="31">
        <f>IF(A5="","",COUNTIFS(Bookings!$C$5:$C$404,A5,Bookings!$I$5:$I$404,"&gt;="&amp;RepFrom,Bookings!$I$5:$I$404,"&lt;="&amp;RepTo,Bookings!$AM$5:$AM$404,"&lt;&gt;Cancelled"))</f>
        <v>0</v>
      </c>
      <c r="I5" s="28">
        <f>IF(Services!$B$5="","",Services!$B$5)</f>
        <v>0</v>
      </c>
      <c r="J5" s="29">
        <f>IF(I5="","",SUMIFS(Bookings!$AK$5:$AK$404,Bookings!$H$5:$H$404,I5,Bookings!$I$5:$I$404,"&gt;="&amp;PeriodStart,Bookings!$I$5:$I$404,"&lt;="&amp;PeriodEnd,Bookings!$AM$5:$AM$404,"&lt;&gt;Cancelled"))</f>
        <v>0</v>
      </c>
      <c r="K5" s="31">
        <f>IF(I5="","",COUNTIFS(Bookings!$H$5:$H$404,I5,Bookings!$I$5:$I$404,"&gt;="&amp;PeriodStart,Bookings!$I$5:$I$404,"&lt;="&amp;PeriodEnd,Bookings!$AM$5:$AM$404,"&lt;&gt;Cancelled"))</f>
        <v>0</v>
      </c>
      <c r="L5" s="29">
        <f>IF(I5="","",SUMIFS(Bookings!$AK$5:$AK$404,Bookings!$H$5:$H$404,I5,Bookings!$I$5:$I$404,"&gt;="&amp;RepFrom,Bookings!$I$5:$I$404,"&lt;="&amp;RepTo,Bookings!$AM$5:$AM$404,"&lt;&gt;Cancelled"))</f>
        <v>0</v>
      </c>
      <c r="M5" s="31">
        <f>IF(I5="","",COUNTIFS(Bookings!$H$5:$H$404,I5,Bookings!$I$5:$I$404,"&gt;="&amp;RepFrom,Bookings!$I$5:$I$404,"&lt;="&amp;RepTo,Bookings!$AM$5:$AM$404,"&lt;&gt;Cancelled"))</f>
        <v>0</v>
      </c>
      <c r="N5" s="29">
        <f>IF(I5="","",M5*IF(Services!$L$5="",0,Services!$L$5))</f>
        <v>0</v>
      </c>
      <c r="O5" s="29">
        <f>IF(I5="","",L5-N5)</f>
        <v>0</v>
      </c>
      <c r="P5" s="28">
        <f>IF(Lists!$AG5="","",Lists!$AG5)</f>
        <v>0</v>
      </c>
      <c r="Q5" s="29">
        <f>IF(P5="","",SUMIFS(Expenses!$F$5:$F$304,Expenses!$C$5:$C$304,P5,Expenses!$B$5:$B$304,"&gt;="&amp;PeriodStart,Expenses!$B$5:$B$304,"&lt;="&amp;PeriodEnd,Expenses!$J$5:$J$304,"&lt;&gt;Personal"))</f>
        <v>0</v>
      </c>
      <c r="R5" s="29">
        <f>IF(P5="","",SUMIFS(Expenses!$F$5:$F$304,Expenses!$C$5:$C$304,P5,Expenses!$B$5:$B$304,"&gt;="&amp;RepFrom,Expenses!$B$5:$B$304,"&lt;="&amp;RepTo,Expenses!$J$5:$J$304,"&lt;&gt;Personal"))</f>
        <v>0</v>
      </c>
      <c r="S5" s="21">
        <f>IF(ROW()-4&gt;12,"",DATE(Dash_Year,ROW()-4,1))</f>
        <v>0</v>
      </c>
      <c r="T5" s="21">
        <f>IF(S5="","",EOMONTH(S5,0))</f>
        <v>0</v>
      </c>
      <c r="U5" s="28">
        <f>IF(S5="","",TEXT(S5,"mmm"))</f>
        <v>0</v>
      </c>
      <c r="V5" s="29">
        <f>IF(S5="","",SUMIFS(Payments!$L$5:$L$304,Payments!$B$5:$B$304,"&gt;="&amp;S5,Payments!$B$5:$B$304,"&lt;="&amp;T5))</f>
        <v>0</v>
      </c>
      <c r="W5" s="29">
        <f>IF(S5="","",SUMIFS(Invoices!$O$5:$O$304,Invoices!$B$5:$B$304,"&gt;="&amp;S5,Invoices!$B$5:$B$304,"&lt;="&amp;T5,Invoices!$T$5:$T$304,"&lt;&gt;Cancelled"))</f>
        <v>0</v>
      </c>
      <c r="X5" s="29">
        <f>IF(S5="","",SUMIFS(Expenses!$F$5:$F$304,Expenses!$B$5:$B$304,"&gt;="&amp;S5,Expenses!$B$5:$B$304,"&lt;="&amp;T5,Expenses!$J$5:$J$304,"&lt;&gt;Personal"))</f>
        <v>0</v>
      </c>
      <c r="Y5" s="29">
        <f>IF(S5="","",V5-X5)</f>
        <v>0</v>
      </c>
      <c r="Z5" s="31">
        <f>IF(S5="","",COUNTIFS(Bookings!$I$5:$I$404,"&gt;="&amp;S5,Bookings!$I$5:$I$404,"&lt;="&amp;T5,Bookings!$AM$5:$AM$404,"&lt;&gt;Cancelled"))</f>
        <v>0</v>
      </c>
      <c r="AA5" s="31">
        <f>IF(S5="","",COUNTIFS(Bookings!$I$5:$I$404,"&gt;="&amp;S5,Bookings!$I$5:$I$404,"&lt;="&amp;T5,Bookings!$AM$5:$AM$404,"Completed"))</f>
        <v>0</v>
      </c>
      <c r="AB5" s="31">
        <f>IF(S5="","",COUNTIFS(Bookings!$I$5:$I$404,"&gt;="&amp;S5,Bookings!$I$5:$I$404,"&lt;="&amp;T5,Bookings!$AM$5:$AM$404,"Cancelled"))</f>
        <v>0</v>
      </c>
      <c r="AC5" s="31">
        <f>IF(S5="","",COUNTIFS('Visit Log'!$C$5:$C$404,"&gt;="&amp;S5,'Visit Log'!$C$5:$C$404,"&lt;="&amp;T5,'Visit Log'!$AE$5:$AE$404,"Completed"))</f>
        <v>0</v>
      </c>
      <c r="AD5" s="31">
        <f>IF(S5="","",COUNTIFS(Clients!$L$5:$L$254,"&gt;="&amp;S5,Clients!$L$5:$L$254,"&lt;="&amp;T5))</f>
        <v>0</v>
      </c>
      <c r="AE5" s="32">
        <f>IF(S5="","",SUMIFS(Mileage!$M$5:$M$304,Mileage!$B$5:$B$304,"&gt;="&amp;S5,Mileage!$B$5:$B$304,"&lt;="&amp;T5,Mileage!$N$5:$N$304,"Business"))</f>
        <v>0</v>
      </c>
      <c r="AF5" s="29">
        <f>IF(S5="","",SUMIFS(Payments!$L$5:$L$304,Payments!$B$5:$B$304,"&gt;="&amp;DATE(Dash_Year-1,ROW()-4,1),Payments!$B$5:$B$304,"&lt;="&amp;EOMONTH(DATE(Dash_Year-1,ROW()-4,1),0)))</f>
        <v>0</v>
      </c>
      <c r="AG5" s="28">
        <f>IF(Staff!$B$5="","",Staff!$B$5)</f>
        <v>0</v>
      </c>
      <c r="AH5" s="31">
        <f>IF(AG5="","",COUNTIFS('Visit Log'!$G$5:$G$404,AG5,'Visit Log'!$C$5:$C$404,"&gt;="&amp;RepFrom,'Visit Log'!$C$5:$C$404,"&lt;="&amp;RepTo,'Visit Log'!$AE$5:$AE$404,"Completed"))</f>
        <v>0</v>
      </c>
      <c r="AI5" s="51">
        <f>IF(AG5="","",ROUND(SUMIFS('Visit Log'!$K$5:$K$404,'Visit Log'!$G$5:$G$404,AG5,'Visit Log'!$C$5:$C$404,"&gt;="&amp;RepFrom,'Visit Log'!$C$5:$C$404,"&lt;="&amp;RepTo,'Visit Log'!$AE$5:$AE$404,"Completed")/60,2))</f>
        <v>0</v>
      </c>
      <c r="AJ5" s="29">
        <f>IF(AG5="","",SUMIFS(Bookings!$AK$5:$AK$404,Bookings!$AL$5:$AL$404,AG5,Bookings!$I$5:$I$404,"&gt;="&amp;RepFrom,Bookings!$I$5:$I$404,"&lt;="&amp;RepTo,Bookings!$AM$5:$AM$404,"&lt;&gt;Cancelled"))</f>
        <v>0</v>
      </c>
      <c r="AK5" s="32">
        <f>IF(AG5="","",SUMIFS(Mileage!$M$5:$M$304,Mileage!$C$5:$C$304,AG5,Mileage!$B$5:$B$304,"&gt;="&amp;RepFrom,Mileage!$B$5:$B$304,"&lt;="&amp;RepTo))</f>
        <v>0</v>
      </c>
      <c r="AL5" s="28">
        <f>IF(Lists!$Q5="","",Lists!$Q5)</f>
        <v>0</v>
      </c>
      <c r="AM5" s="31">
        <f>IF(AL5="","",COUNTIFS(Bookings!$AV$5:$AV$404,AL5,Bookings!$I$5:$I$404,"&gt;="&amp;RepFrom,Bookings!$I$5:$I$404,"&lt;="&amp;RepTo))</f>
        <v>0</v>
      </c>
      <c r="AN5" s="28">
        <f>IF(Lists!$AF5="","",Lists!$AF5)</f>
        <v>0</v>
      </c>
      <c r="AO5" s="29">
        <f>IF(AN5="","",SUMIFS(Payments!$L$5:$L$304,Payments!$F$5:$F$304,AN5,Payments!$B$5:$B$304,"&gt;="&amp;RepFrom,Payments!$B$5:$B$304,"&lt;="&amp;RepTo))</f>
        <v>0</v>
      </c>
      <c r="AP5" s="28">
        <f>IF(Lists!$E5="","",Lists!$E5)</f>
        <v>0</v>
      </c>
      <c r="AQ5" s="31">
        <f>IF(AP5="","",COUNTIFS(Clients!$K$5:$K$254,AP5))</f>
        <v>0</v>
      </c>
      <c r="AR5" s="29">
        <f>IF(AP5="","",SUMIFS(Clients!$AE$5:$AE$254,Clients!$K$5:$K$254,AP5))</f>
        <v>0</v>
      </c>
    </row>
    <row r="6" spans="1:44">
      <c r="A6" s="28">
        <f>IF(Clients!$B$6="","",Clients!$B$6)</f>
        <v>0</v>
      </c>
      <c r="B6" s="29">
        <f>IF(A6="","",SUMIFS(Payments!$L$5:$L$304,Payments!$C$5:$C$304,A6,Payments!$B$5:$B$304,"&gt;="&amp;PeriodStart,Payments!$B$5:$B$304,"&lt;="&amp;PeriodEnd))</f>
        <v>0</v>
      </c>
      <c r="C6" s="51">
        <f>IF(A6="","",IF(B6&lt;=0,"",B6+ROW()/1000000))</f>
        <v>0</v>
      </c>
      <c r="D6" s="29">
        <f>IF(A6="","",SUMIFS(Payments!$L$5:$L$304,Payments!$C$5:$C$304,A6,Payments!$B$5:$B$304,"&gt;="&amp;RepFrom,Payments!$B$5:$B$304,"&lt;="&amp;RepTo))</f>
        <v>0</v>
      </c>
      <c r="E6" s="51">
        <f>IF(A6="","",IF(D6&lt;=0,"",D6+ROW()/1000000))</f>
        <v>0</v>
      </c>
      <c r="F6" s="29">
        <f>IF(A6="","",SUMIFS(Invoices!$S$5:$S$304,Invoices!$D$5:$D$304,A6,Invoices!$T$5:$T$304,"&lt;&gt;Cancelled"))</f>
        <v>0</v>
      </c>
      <c r="G6" s="51">
        <f>IF(A6="","",IF(F6&lt;=0.004,"",F6+ROW()/1000000))</f>
        <v>0</v>
      </c>
      <c r="H6" s="31">
        <f>IF(A6="","",COUNTIFS(Bookings!$C$5:$C$404,A6,Bookings!$I$5:$I$404,"&gt;="&amp;RepFrom,Bookings!$I$5:$I$404,"&lt;="&amp;RepTo,Bookings!$AM$5:$AM$404,"&lt;&gt;Cancelled"))</f>
        <v>0</v>
      </c>
      <c r="I6" s="28">
        <f>IF(Services!$B$6="","",Services!$B$6)</f>
        <v>0</v>
      </c>
      <c r="J6" s="29">
        <f>IF(I6="","",SUMIFS(Bookings!$AK$5:$AK$404,Bookings!$H$5:$H$404,I6,Bookings!$I$5:$I$404,"&gt;="&amp;PeriodStart,Bookings!$I$5:$I$404,"&lt;="&amp;PeriodEnd,Bookings!$AM$5:$AM$404,"&lt;&gt;Cancelled"))</f>
        <v>0</v>
      </c>
      <c r="K6" s="31">
        <f>IF(I6="","",COUNTIFS(Bookings!$H$5:$H$404,I6,Bookings!$I$5:$I$404,"&gt;="&amp;PeriodStart,Bookings!$I$5:$I$404,"&lt;="&amp;PeriodEnd,Bookings!$AM$5:$AM$404,"&lt;&gt;Cancelled"))</f>
        <v>0</v>
      </c>
      <c r="L6" s="29">
        <f>IF(I6="","",SUMIFS(Bookings!$AK$5:$AK$404,Bookings!$H$5:$H$404,I6,Bookings!$I$5:$I$404,"&gt;="&amp;RepFrom,Bookings!$I$5:$I$404,"&lt;="&amp;RepTo,Bookings!$AM$5:$AM$404,"&lt;&gt;Cancelled"))</f>
        <v>0</v>
      </c>
      <c r="M6" s="31">
        <f>IF(I6="","",COUNTIFS(Bookings!$H$5:$H$404,I6,Bookings!$I$5:$I$404,"&gt;="&amp;RepFrom,Bookings!$I$5:$I$404,"&lt;="&amp;RepTo,Bookings!$AM$5:$AM$404,"&lt;&gt;Cancelled"))</f>
        <v>0</v>
      </c>
      <c r="N6" s="29">
        <f>IF(I6="","",M6*IF(Services!$L$6="",0,Services!$L$6))</f>
        <v>0</v>
      </c>
      <c r="O6" s="29">
        <f>IF(I6="","",L6-N6)</f>
        <v>0</v>
      </c>
      <c r="P6" s="28">
        <f>IF(Lists!$AG6="","",Lists!$AG6)</f>
        <v>0</v>
      </c>
      <c r="Q6" s="29">
        <f>IF(P6="","",SUMIFS(Expenses!$F$5:$F$304,Expenses!$C$5:$C$304,P6,Expenses!$B$5:$B$304,"&gt;="&amp;PeriodStart,Expenses!$B$5:$B$304,"&lt;="&amp;PeriodEnd,Expenses!$J$5:$J$304,"&lt;&gt;Personal"))</f>
        <v>0</v>
      </c>
      <c r="R6" s="29">
        <f>IF(P6="","",SUMIFS(Expenses!$F$5:$F$304,Expenses!$C$5:$C$304,P6,Expenses!$B$5:$B$304,"&gt;="&amp;RepFrom,Expenses!$B$5:$B$304,"&lt;="&amp;RepTo,Expenses!$J$5:$J$304,"&lt;&gt;Personal"))</f>
        <v>0</v>
      </c>
      <c r="S6" s="21">
        <f>IF(ROW()-4&gt;12,"",DATE(Dash_Year,ROW()-4,1))</f>
        <v>0</v>
      </c>
      <c r="T6" s="21">
        <f>IF(S6="","",EOMONTH(S6,0))</f>
        <v>0</v>
      </c>
      <c r="U6" s="28">
        <f>IF(S6="","",TEXT(S6,"mmm"))</f>
        <v>0</v>
      </c>
      <c r="V6" s="29">
        <f>IF(S6="","",SUMIFS(Payments!$L$5:$L$304,Payments!$B$5:$B$304,"&gt;="&amp;S6,Payments!$B$5:$B$304,"&lt;="&amp;T6))</f>
        <v>0</v>
      </c>
      <c r="W6" s="29">
        <f>IF(S6="","",SUMIFS(Invoices!$O$5:$O$304,Invoices!$B$5:$B$304,"&gt;="&amp;S6,Invoices!$B$5:$B$304,"&lt;="&amp;T6,Invoices!$T$5:$T$304,"&lt;&gt;Cancelled"))</f>
        <v>0</v>
      </c>
      <c r="X6" s="29">
        <f>IF(S6="","",SUMIFS(Expenses!$F$5:$F$304,Expenses!$B$5:$B$304,"&gt;="&amp;S6,Expenses!$B$5:$B$304,"&lt;="&amp;T6,Expenses!$J$5:$J$304,"&lt;&gt;Personal"))</f>
        <v>0</v>
      </c>
      <c r="Y6" s="29">
        <f>IF(S6="","",V6-X6)</f>
        <v>0</v>
      </c>
      <c r="Z6" s="31">
        <f>IF(S6="","",COUNTIFS(Bookings!$I$5:$I$404,"&gt;="&amp;S6,Bookings!$I$5:$I$404,"&lt;="&amp;T6,Bookings!$AM$5:$AM$404,"&lt;&gt;Cancelled"))</f>
        <v>0</v>
      </c>
      <c r="AA6" s="31">
        <f>IF(S6="","",COUNTIFS(Bookings!$I$5:$I$404,"&gt;="&amp;S6,Bookings!$I$5:$I$404,"&lt;="&amp;T6,Bookings!$AM$5:$AM$404,"Completed"))</f>
        <v>0</v>
      </c>
      <c r="AB6" s="31">
        <f>IF(S6="","",COUNTIFS(Bookings!$I$5:$I$404,"&gt;="&amp;S6,Bookings!$I$5:$I$404,"&lt;="&amp;T6,Bookings!$AM$5:$AM$404,"Cancelled"))</f>
        <v>0</v>
      </c>
      <c r="AC6" s="31">
        <f>IF(S6="","",COUNTIFS('Visit Log'!$C$5:$C$404,"&gt;="&amp;S6,'Visit Log'!$C$5:$C$404,"&lt;="&amp;T6,'Visit Log'!$AE$5:$AE$404,"Completed"))</f>
        <v>0</v>
      </c>
      <c r="AD6" s="31">
        <f>IF(S6="","",COUNTIFS(Clients!$L$5:$L$254,"&gt;="&amp;S6,Clients!$L$5:$L$254,"&lt;="&amp;T6))</f>
        <v>0</v>
      </c>
      <c r="AE6" s="32">
        <f>IF(S6="","",SUMIFS(Mileage!$M$5:$M$304,Mileage!$B$5:$B$304,"&gt;="&amp;S6,Mileage!$B$5:$B$304,"&lt;="&amp;T6,Mileage!$N$5:$N$304,"Business"))</f>
        <v>0</v>
      </c>
      <c r="AF6" s="29">
        <f>IF(S6="","",SUMIFS(Payments!$L$5:$L$304,Payments!$B$5:$B$304,"&gt;="&amp;DATE(Dash_Year-1,ROW()-4,1),Payments!$B$5:$B$304,"&lt;="&amp;EOMONTH(DATE(Dash_Year-1,ROW()-4,1),0)))</f>
        <v>0</v>
      </c>
      <c r="AG6" s="28">
        <f>IF(Staff!$B$6="","",Staff!$B$6)</f>
        <v>0</v>
      </c>
      <c r="AH6" s="31">
        <f>IF(AG6="","",COUNTIFS('Visit Log'!$G$5:$G$404,AG6,'Visit Log'!$C$5:$C$404,"&gt;="&amp;RepFrom,'Visit Log'!$C$5:$C$404,"&lt;="&amp;RepTo,'Visit Log'!$AE$5:$AE$404,"Completed"))</f>
        <v>0</v>
      </c>
      <c r="AI6" s="51">
        <f>IF(AG6="","",ROUND(SUMIFS('Visit Log'!$K$5:$K$404,'Visit Log'!$G$5:$G$404,AG6,'Visit Log'!$C$5:$C$404,"&gt;="&amp;RepFrom,'Visit Log'!$C$5:$C$404,"&lt;="&amp;RepTo,'Visit Log'!$AE$5:$AE$404,"Completed")/60,2))</f>
        <v>0</v>
      </c>
      <c r="AJ6" s="29">
        <f>IF(AG6="","",SUMIFS(Bookings!$AK$5:$AK$404,Bookings!$AL$5:$AL$404,AG6,Bookings!$I$5:$I$404,"&gt;="&amp;RepFrom,Bookings!$I$5:$I$404,"&lt;="&amp;RepTo,Bookings!$AM$5:$AM$404,"&lt;&gt;Cancelled"))</f>
        <v>0</v>
      </c>
      <c r="AK6" s="32">
        <f>IF(AG6="","",SUMIFS(Mileage!$M$5:$M$304,Mileage!$C$5:$C$304,AG6,Mileage!$B$5:$B$304,"&gt;="&amp;RepFrom,Mileage!$B$5:$B$304,"&lt;="&amp;RepTo))</f>
        <v>0</v>
      </c>
      <c r="AL6" s="28">
        <f>IF(Lists!$Q6="","",Lists!$Q6)</f>
        <v>0</v>
      </c>
      <c r="AM6" s="31">
        <f>IF(AL6="","",COUNTIFS(Bookings!$AV$5:$AV$404,AL6,Bookings!$I$5:$I$404,"&gt;="&amp;RepFrom,Bookings!$I$5:$I$404,"&lt;="&amp;RepTo))</f>
        <v>0</v>
      </c>
      <c r="AN6" s="28">
        <f>IF(Lists!$AF6="","",Lists!$AF6)</f>
        <v>0</v>
      </c>
      <c r="AO6" s="29">
        <f>IF(AN6="","",SUMIFS(Payments!$L$5:$L$304,Payments!$F$5:$F$304,AN6,Payments!$B$5:$B$304,"&gt;="&amp;RepFrom,Payments!$B$5:$B$304,"&lt;="&amp;RepTo))</f>
        <v>0</v>
      </c>
      <c r="AP6" s="28">
        <f>IF(Lists!$E6="","",Lists!$E6)</f>
        <v>0</v>
      </c>
      <c r="AQ6" s="31">
        <f>IF(AP6="","",COUNTIFS(Clients!$K$5:$K$254,AP6))</f>
        <v>0</v>
      </c>
      <c r="AR6" s="29">
        <f>IF(AP6="","",SUMIFS(Clients!$AE$5:$AE$254,Clients!$K$5:$K$254,AP6))</f>
        <v>0</v>
      </c>
    </row>
    <row r="7" spans="1:44">
      <c r="A7" s="28">
        <f>IF(Clients!$B$7="","",Clients!$B$7)</f>
        <v>0</v>
      </c>
      <c r="B7" s="29">
        <f>IF(A7="","",SUMIFS(Payments!$L$5:$L$304,Payments!$C$5:$C$304,A7,Payments!$B$5:$B$304,"&gt;="&amp;PeriodStart,Payments!$B$5:$B$304,"&lt;="&amp;PeriodEnd))</f>
        <v>0</v>
      </c>
      <c r="C7" s="51">
        <f>IF(A7="","",IF(B7&lt;=0,"",B7+ROW()/1000000))</f>
        <v>0</v>
      </c>
      <c r="D7" s="29">
        <f>IF(A7="","",SUMIFS(Payments!$L$5:$L$304,Payments!$C$5:$C$304,A7,Payments!$B$5:$B$304,"&gt;="&amp;RepFrom,Payments!$B$5:$B$304,"&lt;="&amp;RepTo))</f>
        <v>0</v>
      </c>
      <c r="E7" s="51">
        <f>IF(A7="","",IF(D7&lt;=0,"",D7+ROW()/1000000))</f>
        <v>0</v>
      </c>
      <c r="F7" s="29">
        <f>IF(A7="","",SUMIFS(Invoices!$S$5:$S$304,Invoices!$D$5:$D$304,A7,Invoices!$T$5:$T$304,"&lt;&gt;Cancelled"))</f>
        <v>0</v>
      </c>
      <c r="G7" s="51">
        <f>IF(A7="","",IF(F7&lt;=0.004,"",F7+ROW()/1000000))</f>
        <v>0</v>
      </c>
      <c r="H7" s="31">
        <f>IF(A7="","",COUNTIFS(Bookings!$C$5:$C$404,A7,Bookings!$I$5:$I$404,"&gt;="&amp;RepFrom,Bookings!$I$5:$I$404,"&lt;="&amp;RepTo,Bookings!$AM$5:$AM$404,"&lt;&gt;Cancelled"))</f>
        <v>0</v>
      </c>
      <c r="I7" s="28">
        <f>IF(Services!$B$7="","",Services!$B$7)</f>
        <v>0</v>
      </c>
      <c r="J7" s="29">
        <f>IF(I7="","",SUMIFS(Bookings!$AK$5:$AK$404,Bookings!$H$5:$H$404,I7,Bookings!$I$5:$I$404,"&gt;="&amp;PeriodStart,Bookings!$I$5:$I$404,"&lt;="&amp;PeriodEnd,Bookings!$AM$5:$AM$404,"&lt;&gt;Cancelled"))</f>
        <v>0</v>
      </c>
      <c r="K7" s="31">
        <f>IF(I7="","",COUNTIFS(Bookings!$H$5:$H$404,I7,Bookings!$I$5:$I$404,"&gt;="&amp;PeriodStart,Bookings!$I$5:$I$404,"&lt;="&amp;PeriodEnd,Bookings!$AM$5:$AM$404,"&lt;&gt;Cancelled"))</f>
        <v>0</v>
      </c>
      <c r="L7" s="29">
        <f>IF(I7="","",SUMIFS(Bookings!$AK$5:$AK$404,Bookings!$H$5:$H$404,I7,Bookings!$I$5:$I$404,"&gt;="&amp;RepFrom,Bookings!$I$5:$I$404,"&lt;="&amp;RepTo,Bookings!$AM$5:$AM$404,"&lt;&gt;Cancelled"))</f>
        <v>0</v>
      </c>
      <c r="M7" s="31">
        <f>IF(I7="","",COUNTIFS(Bookings!$H$5:$H$404,I7,Bookings!$I$5:$I$404,"&gt;="&amp;RepFrom,Bookings!$I$5:$I$404,"&lt;="&amp;RepTo,Bookings!$AM$5:$AM$404,"&lt;&gt;Cancelled"))</f>
        <v>0</v>
      </c>
      <c r="N7" s="29">
        <f>IF(I7="","",M7*IF(Services!$L$7="",0,Services!$L$7))</f>
        <v>0</v>
      </c>
      <c r="O7" s="29">
        <f>IF(I7="","",L7-N7)</f>
        <v>0</v>
      </c>
      <c r="P7" s="28">
        <f>IF(Lists!$AG7="","",Lists!$AG7)</f>
        <v>0</v>
      </c>
      <c r="Q7" s="29">
        <f>IF(P7="","",SUMIFS(Expenses!$F$5:$F$304,Expenses!$C$5:$C$304,P7,Expenses!$B$5:$B$304,"&gt;="&amp;PeriodStart,Expenses!$B$5:$B$304,"&lt;="&amp;PeriodEnd,Expenses!$J$5:$J$304,"&lt;&gt;Personal"))</f>
        <v>0</v>
      </c>
      <c r="R7" s="29">
        <f>IF(P7="","",SUMIFS(Expenses!$F$5:$F$304,Expenses!$C$5:$C$304,P7,Expenses!$B$5:$B$304,"&gt;="&amp;RepFrom,Expenses!$B$5:$B$304,"&lt;="&amp;RepTo,Expenses!$J$5:$J$304,"&lt;&gt;Personal"))</f>
        <v>0</v>
      </c>
      <c r="S7" s="21">
        <f>IF(ROW()-4&gt;12,"",DATE(Dash_Year,ROW()-4,1))</f>
        <v>0</v>
      </c>
      <c r="T7" s="21">
        <f>IF(S7="","",EOMONTH(S7,0))</f>
        <v>0</v>
      </c>
      <c r="U7" s="28">
        <f>IF(S7="","",TEXT(S7,"mmm"))</f>
        <v>0</v>
      </c>
      <c r="V7" s="29">
        <f>IF(S7="","",SUMIFS(Payments!$L$5:$L$304,Payments!$B$5:$B$304,"&gt;="&amp;S7,Payments!$B$5:$B$304,"&lt;="&amp;T7))</f>
        <v>0</v>
      </c>
      <c r="W7" s="29">
        <f>IF(S7="","",SUMIFS(Invoices!$O$5:$O$304,Invoices!$B$5:$B$304,"&gt;="&amp;S7,Invoices!$B$5:$B$304,"&lt;="&amp;T7,Invoices!$T$5:$T$304,"&lt;&gt;Cancelled"))</f>
        <v>0</v>
      </c>
      <c r="X7" s="29">
        <f>IF(S7="","",SUMIFS(Expenses!$F$5:$F$304,Expenses!$B$5:$B$304,"&gt;="&amp;S7,Expenses!$B$5:$B$304,"&lt;="&amp;T7,Expenses!$J$5:$J$304,"&lt;&gt;Personal"))</f>
        <v>0</v>
      </c>
      <c r="Y7" s="29">
        <f>IF(S7="","",V7-X7)</f>
        <v>0</v>
      </c>
      <c r="Z7" s="31">
        <f>IF(S7="","",COUNTIFS(Bookings!$I$5:$I$404,"&gt;="&amp;S7,Bookings!$I$5:$I$404,"&lt;="&amp;T7,Bookings!$AM$5:$AM$404,"&lt;&gt;Cancelled"))</f>
        <v>0</v>
      </c>
      <c r="AA7" s="31">
        <f>IF(S7="","",COUNTIFS(Bookings!$I$5:$I$404,"&gt;="&amp;S7,Bookings!$I$5:$I$404,"&lt;="&amp;T7,Bookings!$AM$5:$AM$404,"Completed"))</f>
        <v>0</v>
      </c>
      <c r="AB7" s="31">
        <f>IF(S7="","",COUNTIFS(Bookings!$I$5:$I$404,"&gt;="&amp;S7,Bookings!$I$5:$I$404,"&lt;="&amp;T7,Bookings!$AM$5:$AM$404,"Cancelled"))</f>
        <v>0</v>
      </c>
      <c r="AC7" s="31">
        <f>IF(S7="","",COUNTIFS('Visit Log'!$C$5:$C$404,"&gt;="&amp;S7,'Visit Log'!$C$5:$C$404,"&lt;="&amp;T7,'Visit Log'!$AE$5:$AE$404,"Completed"))</f>
        <v>0</v>
      </c>
      <c r="AD7" s="31">
        <f>IF(S7="","",COUNTIFS(Clients!$L$5:$L$254,"&gt;="&amp;S7,Clients!$L$5:$L$254,"&lt;="&amp;T7))</f>
        <v>0</v>
      </c>
      <c r="AE7" s="32">
        <f>IF(S7="","",SUMIFS(Mileage!$M$5:$M$304,Mileage!$B$5:$B$304,"&gt;="&amp;S7,Mileage!$B$5:$B$304,"&lt;="&amp;T7,Mileage!$N$5:$N$304,"Business"))</f>
        <v>0</v>
      </c>
      <c r="AF7" s="29">
        <f>IF(S7="","",SUMIFS(Payments!$L$5:$L$304,Payments!$B$5:$B$304,"&gt;="&amp;DATE(Dash_Year-1,ROW()-4,1),Payments!$B$5:$B$304,"&lt;="&amp;EOMONTH(DATE(Dash_Year-1,ROW()-4,1),0)))</f>
        <v>0</v>
      </c>
      <c r="AG7" s="28">
        <f>IF(Staff!$B$7="","",Staff!$B$7)</f>
        <v>0</v>
      </c>
      <c r="AH7" s="31">
        <f>IF(AG7="","",COUNTIFS('Visit Log'!$G$5:$G$404,AG7,'Visit Log'!$C$5:$C$404,"&gt;="&amp;RepFrom,'Visit Log'!$C$5:$C$404,"&lt;="&amp;RepTo,'Visit Log'!$AE$5:$AE$404,"Completed"))</f>
        <v>0</v>
      </c>
      <c r="AI7" s="51">
        <f>IF(AG7="","",ROUND(SUMIFS('Visit Log'!$K$5:$K$404,'Visit Log'!$G$5:$G$404,AG7,'Visit Log'!$C$5:$C$404,"&gt;="&amp;RepFrom,'Visit Log'!$C$5:$C$404,"&lt;="&amp;RepTo,'Visit Log'!$AE$5:$AE$404,"Completed")/60,2))</f>
        <v>0</v>
      </c>
      <c r="AJ7" s="29">
        <f>IF(AG7="","",SUMIFS(Bookings!$AK$5:$AK$404,Bookings!$AL$5:$AL$404,AG7,Bookings!$I$5:$I$404,"&gt;="&amp;RepFrom,Bookings!$I$5:$I$404,"&lt;="&amp;RepTo,Bookings!$AM$5:$AM$404,"&lt;&gt;Cancelled"))</f>
        <v>0</v>
      </c>
      <c r="AK7" s="32">
        <f>IF(AG7="","",SUMIFS(Mileage!$M$5:$M$304,Mileage!$C$5:$C$304,AG7,Mileage!$B$5:$B$304,"&gt;="&amp;RepFrom,Mileage!$B$5:$B$304,"&lt;="&amp;RepTo))</f>
        <v>0</v>
      </c>
      <c r="AL7" s="28">
        <f>IF(Lists!$Q7="","",Lists!$Q7)</f>
        <v>0</v>
      </c>
      <c r="AM7" s="31">
        <f>IF(AL7="","",COUNTIFS(Bookings!$AV$5:$AV$404,AL7,Bookings!$I$5:$I$404,"&gt;="&amp;RepFrom,Bookings!$I$5:$I$404,"&lt;="&amp;RepTo))</f>
        <v>0</v>
      </c>
      <c r="AN7" s="28">
        <f>IF(Lists!$AF7="","",Lists!$AF7)</f>
        <v>0</v>
      </c>
      <c r="AO7" s="29">
        <f>IF(AN7="","",SUMIFS(Payments!$L$5:$L$304,Payments!$F$5:$F$304,AN7,Payments!$B$5:$B$304,"&gt;="&amp;RepFrom,Payments!$B$5:$B$304,"&lt;="&amp;RepTo))</f>
        <v>0</v>
      </c>
      <c r="AP7" s="28">
        <f>IF(Lists!$E7="","",Lists!$E7)</f>
        <v>0</v>
      </c>
      <c r="AQ7" s="31">
        <f>IF(AP7="","",COUNTIFS(Clients!$K$5:$K$254,AP7))</f>
        <v>0</v>
      </c>
      <c r="AR7" s="29">
        <f>IF(AP7="","",SUMIFS(Clients!$AE$5:$AE$254,Clients!$K$5:$K$254,AP7))</f>
        <v>0</v>
      </c>
    </row>
    <row r="8" spans="1:44">
      <c r="A8" s="28">
        <f>IF(Clients!$B$8="","",Clients!$B$8)</f>
        <v>0</v>
      </c>
      <c r="B8" s="29">
        <f>IF(A8="","",SUMIFS(Payments!$L$5:$L$304,Payments!$C$5:$C$304,A8,Payments!$B$5:$B$304,"&gt;="&amp;PeriodStart,Payments!$B$5:$B$304,"&lt;="&amp;PeriodEnd))</f>
        <v>0</v>
      </c>
      <c r="C8" s="51">
        <f>IF(A8="","",IF(B8&lt;=0,"",B8+ROW()/1000000))</f>
        <v>0</v>
      </c>
      <c r="D8" s="29">
        <f>IF(A8="","",SUMIFS(Payments!$L$5:$L$304,Payments!$C$5:$C$304,A8,Payments!$B$5:$B$304,"&gt;="&amp;RepFrom,Payments!$B$5:$B$304,"&lt;="&amp;RepTo))</f>
        <v>0</v>
      </c>
      <c r="E8" s="51">
        <f>IF(A8="","",IF(D8&lt;=0,"",D8+ROW()/1000000))</f>
        <v>0</v>
      </c>
      <c r="F8" s="29">
        <f>IF(A8="","",SUMIFS(Invoices!$S$5:$S$304,Invoices!$D$5:$D$304,A8,Invoices!$T$5:$T$304,"&lt;&gt;Cancelled"))</f>
        <v>0</v>
      </c>
      <c r="G8" s="51">
        <f>IF(A8="","",IF(F8&lt;=0.004,"",F8+ROW()/1000000))</f>
        <v>0</v>
      </c>
      <c r="H8" s="31">
        <f>IF(A8="","",COUNTIFS(Bookings!$C$5:$C$404,A8,Bookings!$I$5:$I$404,"&gt;="&amp;RepFrom,Bookings!$I$5:$I$404,"&lt;="&amp;RepTo,Bookings!$AM$5:$AM$404,"&lt;&gt;Cancelled"))</f>
        <v>0</v>
      </c>
      <c r="I8" s="28">
        <f>IF(Services!$B$8="","",Services!$B$8)</f>
        <v>0</v>
      </c>
      <c r="J8" s="29">
        <f>IF(I8="","",SUMIFS(Bookings!$AK$5:$AK$404,Bookings!$H$5:$H$404,I8,Bookings!$I$5:$I$404,"&gt;="&amp;PeriodStart,Bookings!$I$5:$I$404,"&lt;="&amp;PeriodEnd,Bookings!$AM$5:$AM$404,"&lt;&gt;Cancelled"))</f>
        <v>0</v>
      </c>
      <c r="K8" s="31">
        <f>IF(I8="","",COUNTIFS(Bookings!$H$5:$H$404,I8,Bookings!$I$5:$I$404,"&gt;="&amp;PeriodStart,Bookings!$I$5:$I$404,"&lt;="&amp;PeriodEnd,Bookings!$AM$5:$AM$404,"&lt;&gt;Cancelled"))</f>
        <v>0</v>
      </c>
      <c r="L8" s="29">
        <f>IF(I8="","",SUMIFS(Bookings!$AK$5:$AK$404,Bookings!$H$5:$H$404,I8,Bookings!$I$5:$I$404,"&gt;="&amp;RepFrom,Bookings!$I$5:$I$404,"&lt;="&amp;RepTo,Bookings!$AM$5:$AM$404,"&lt;&gt;Cancelled"))</f>
        <v>0</v>
      </c>
      <c r="M8" s="31">
        <f>IF(I8="","",COUNTIFS(Bookings!$H$5:$H$404,I8,Bookings!$I$5:$I$404,"&gt;="&amp;RepFrom,Bookings!$I$5:$I$404,"&lt;="&amp;RepTo,Bookings!$AM$5:$AM$404,"&lt;&gt;Cancelled"))</f>
        <v>0</v>
      </c>
      <c r="N8" s="29">
        <f>IF(I8="","",M8*IF(Services!$L$8="",0,Services!$L$8))</f>
        <v>0</v>
      </c>
      <c r="O8" s="29">
        <f>IF(I8="","",L8-N8)</f>
        <v>0</v>
      </c>
      <c r="P8" s="28">
        <f>IF(Lists!$AG8="","",Lists!$AG8)</f>
        <v>0</v>
      </c>
      <c r="Q8" s="29">
        <f>IF(P8="","",SUMIFS(Expenses!$F$5:$F$304,Expenses!$C$5:$C$304,P8,Expenses!$B$5:$B$304,"&gt;="&amp;PeriodStart,Expenses!$B$5:$B$304,"&lt;="&amp;PeriodEnd,Expenses!$J$5:$J$304,"&lt;&gt;Personal"))</f>
        <v>0</v>
      </c>
      <c r="R8" s="29">
        <f>IF(P8="","",SUMIFS(Expenses!$F$5:$F$304,Expenses!$C$5:$C$304,P8,Expenses!$B$5:$B$304,"&gt;="&amp;RepFrom,Expenses!$B$5:$B$304,"&lt;="&amp;RepTo,Expenses!$J$5:$J$304,"&lt;&gt;Personal"))</f>
        <v>0</v>
      </c>
      <c r="S8" s="21">
        <f>IF(ROW()-4&gt;12,"",DATE(Dash_Year,ROW()-4,1))</f>
        <v>0</v>
      </c>
      <c r="T8" s="21">
        <f>IF(S8="","",EOMONTH(S8,0))</f>
        <v>0</v>
      </c>
      <c r="U8" s="28">
        <f>IF(S8="","",TEXT(S8,"mmm"))</f>
        <v>0</v>
      </c>
      <c r="V8" s="29">
        <f>IF(S8="","",SUMIFS(Payments!$L$5:$L$304,Payments!$B$5:$B$304,"&gt;="&amp;S8,Payments!$B$5:$B$304,"&lt;="&amp;T8))</f>
        <v>0</v>
      </c>
      <c r="W8" s="29">
        <f>IF(S8="","",SUMIFS(Invoices!$O$5:$O$304,Invoices!$B$5:$B$304,"&gt;="&amp;S8,Invoices!$B$5:$B$304,"&lt;="&amp;T8,Invoices!$T$5:$T$304,"&lt;&gt;Cancelled"))</f>
        <v>0</v>
      </c>
      <c r="X8" s="29">
        <f>IF(S8="","",SUMIFS(Expenses!$F$5:$F$304,Expenses!$B$5:$B$304,"&gt;="&amp;S8,Expenses!$B$5:$B$304,"&lt;="&amp;T8,Expenses!$J$5:$J$304,"&lt;&gt;Personal"))</f>
        <v>0</v>
      </c>
      <c r="Y8" s="29">
        <f>IF(S8="","",V8-X8)</f>
        <v>0</v>
      </c>
      <c r="Z8" s="31">
        <f>IF(S8="","",COUNTIFS(Bookings!$I$5:$I$404,"&gt;="&amp;S8,Bookings!$I$5:$I$404,"&lt;="&amp;T8,Bookings!$AM$5:$AM$404,"&lt;&gt;Cancelled"))</f>
        <v>0</v>
      </c>
      <c r="AA8" s="31">
        <f>IF(S8="","",COUNTIFS(Bookings!$I$5:$I$404,"&gt;="&amp;S8,Bookings!$I$5:$I$404,"&lt;="&amp;T8,Bookings!$AM$5:$AM$404,"Completed"))</f>
        <v>0</v>
      </c>
      <c r="AB8" s="31">
        <f>IF(S8="","",COUNTIFS(Bookings!$I$5:$I$404,"&gt;="&amp;S8,Bookings!$I$5:$I$404,"&lt;="&amp;T8,Bookings!$AM$5:$AM$404,"Cancelled"))</f>
        <v>0</v>
      </c>
      <c r="AC8" s="31">
        <f>IF(S8="","",COUNTIFS('Visit Log'!$C$5:$C$404,"&gt;="&amp;S8,'Visit Log'!$C$5:$C$404,"&lt;="&amp;T8,'Visit Log'!$AE$5:$AE$404,"Completed"))</f>
        <v>0</v>
      </c>
      <c r="AD8" s="31">
        <f>IF(S8="","",COUNTIFS(Clients!$L$5:$L$254,"&gt;="&amp;S8,Clients!$L$5:$L$254,"&lt;="&amp;T8))</f>
        <v>0</v>
      </c>
      <c r="AE8" s="32">
        <f>IF(S8="","",SUMIFS(Mileage!$M$5:$M$304,Mileage!$B$5:$B$304,"&gt;="&amp;S8,Mileage!$B$5:$B$304,"&lt;="&amp;T8,Mileage!$N$5:$N$304,"Business"))</f>
        <v>0</v>
      </c>
      <c r="AF8" s="29">
        <f>IF(S8="","",SUMIFS(Payments!$L$5:$L$304,Payments!$B$5:$B$304,"&gt;="&amp;DATE(Dash_Year-1,ROW()-4,1),Payments!$B$5:$B$304,"&lt;="&amp;EOMONTH(DATE(Dash_Year-1,ROW()-4,1),0)))</f>
        <v>0</v>
      </c>
      <c r="AG8" s="28">
        <f>IF(Staff!$B$8="","",Staff!$B$8)</f>
        <v>0</v>
      </c>
      <c r="AH8" s="31">
        <f>IF(AG8="","",COUNTIFS('Visit Log'!$G$5:$G$404,AG8,'Visit Log'!$C$5:$C$404,"&gt;="&amp;RepFrom,'Visit Log'!$C$5:$C$404,"&lt;="&amp;RepTo,'Visit Log'!$AE$5:$AE$404,"Completed"))</f>
        <v>0</v>
      </c>
      <c r="AI8" s="51">
        <f>IF(AG8="","",ROUND(SUMIFS('Visit Log'!$K$5:$K$404,'Visit Log'!$G$5:$G$404,AG8,'Visit Log'!$C$5:$C$404,"&gt;="&amp;RepFrom,'Visit Log'!$C$5:$C$404,"&lt;="&amp;RepTo,'Visit Log'!$AE$5:$AE$404,"Completed")/60,2))</f>
        <v>0</v>
      </c>
      <c r="AJ8" s="29">
        <f>IF(AG8="","",SUMIFS(Bookings!$AK$5:$AK$404,Bookings!$AL$5:$AL$404,AG8,Bookings!$I$5:$I$404,"&gt;="&amp;RepFrom,Bookings!$I$5:$I$404,"&lt;="&amp;RepTo,Bookings!$AM$5:$AM$404,"&lt;&gt;Cancelled"))</f>
        <v>0</v>
      </c>
      <c r="AK8" s="32">
        <f>IF(AG8="","",SUMIFS(Mileage!$M$5:$M$304,Mileage!$C$5:$C$304,AG8,Mileage!$B$5:$B$304,"&gt;="&amp;RepFrom,Mileage!$B$5:$B$304,"&lt;="&amp;RepTo))</f>
        <v>0</v>
      </c>
      <c r="AL8" s="28">
        <f>IF(Lists!$Q8="","",Lists!$Q8)</f>
        <v>0</v>
      </c>
      <c r="AM8" s="31">
        <f>IF(AL8="","",COUNTIFS(Bookings!$AV$5:$AV$404,AL8,Bookings!$I$5:$I$404,"&gt;="&amp;RepFrom,Bookings!$I$5:$I$404,"&lt;="&amp;RepTo))</f>
        <v>0</v>
      </c>
      <c r="AN8" s="28">
        <f>IF(Lists!$AF8="","",Lists!$AF8)</f>
        <v>0</v>
      </c>
      <c r="AO8" s="29">
        <f>IF(AN8="","",SUMIFS(Payments!$L$5:$L$304,Payments!$F$5:$F$304,AN8,Payments!$B$5:$B$304,"&gt;="&amp;RepFrom,Payments!$B$5:$B$304,"&lt;="&amp;RepTo))</f>
        <v>0</v>
      </c>
      <c r="AP8" s="28">
        <f>IF(Lists!$E8="","",Lists!$E8)</f>
        <v>0</v>
      </c>
      <c r="AQ8" s="31">
        <f>IF(AP8="","",COUNTIFS(Clients!$K$5:$K$254,AP8))</f>
        <v>0</v>
      </c>
      <c r="AR8" s="29">
        <f>IF(AP8="","",SUMIFS(Clients!$AE$5:$AE$254,Clients!$K$5:$K$254,AP8))</f>
        <v>0</v>
      </c>
    </row>
    <row r="9" spans="1:44">
      <c r="A9" s="28">
        <f>IF(Clients!$B$9="","",Clients!$B$9)</f>
        <v>0</v>
      </c>
      <c r="B9" s="29">
        <f>IF(A9="","",SUMIFS(Payments!$L$5:$L$304,Payments!$C$5:$C$304,A9,Payments!$B$5:$B$304,"&gt;="&amp;PeriodStart,Payments!$B$5:$B$304,"&lt;="&amp;PeriodEnd))</f>
        <v>0</v>
      </c>
      <c r="C9" s="51">
        <f>IF(A9="","",IF(B9&lt;=0,"",B9+ROW()/1000000))</f>
        <v>0</v>
      </c>
      <c r="D9" s="29">
        <f>IF(A9="","",SUMIFS(Payments!$L$5:$L$304,Payments!$C$5:$C$304,A9,Payments!$B$5:$B$304,"&gt;="&amp;RepFrom,Payments!$B$5:$B$304,"&lt;="&amp;RepTo))</f>
        <v>0</v>
      </c>
      <c r="E9" s="51">
        <f>IF(A9="","",IF(D9&lt;=0,"",D9+ROW()/1000000))</f>
        <v>0</v>
      </c>
      <c r="F9" s="29">
        <f>IF(A9="","",SUMIFS(Invoices!$S$5:$S$304,Invoices!$D$5:$D$304,A9,Invoices!$T$5:$T$304,"&lt;&gt;Cancelled"))</f>
        <v>0</v>
      </c>
      <c r="G9" s="51">
        <f>IF(A9="","",IF(F9&lt;=0.004,"",F9+ROW()/1000000))</f>
        <v>0</v>
      </c>
      <c r="H9" s="31">
        <f>IF(A9="","",COUNTIFS(Bookings!$C$5:$C$404,A9,Bookings!$I$5:$I$404,"&gt;="&amp;RepFrom,Bookings!$I$5:$I$404,"&lt;="&amp;RepTo,Bookings!$AM$5:$AM$404,"&lt;&gt;Cancelled"))</f>
        <v>0</v>
      </c>
      <c r="I9" s="28">
        <f>IF(Services!$B$9="","",Services!$B$9)</f>
        <v>0</v>
      </c>
      <c r="J9" s="29">
        <f>IF(I9="","",SUMIFS(Bookings!$AK$5:$AK$404,Bookings!$H$5:$H$404,I9,Bookings!$I$5:$I$404,"&gt;="&amp;PeriodStart,Bookings!$I$5:$I$404,"&lt;="&amp;PeriodEnd,Bookings!$AM$5:$AM$404,"&lt;&gt;Cancelled"))</f>
        <v>0</v>
      </c>
      <c r="K9" s="31">
        <f>IF(I9="","",COUNTIFS(Bookings!$H$5:$H$404,I9,Bookings!$I$5:$I$404,"&gt;="&amp;PeriodStart,Bookings!$I$5:$I$404,"&lt;="&amp;PeriodEnd,Bookings!$AM$5:$AM$404,"&lt;&gt;Cancelled"))</f>
        <v>0</v>
      </c>
      <c r="L9" s="29">
        <f>IF(I9="","",SUMIFS(Bookings!$AK$5:$AK$404,Bookings!$H$5:$H$404,I9,Bookings!$I$5:$I$404,"&gt;="&amp;RepFrom,Bookings!$I$5:$I$404,"&lt;="&amp;RepTo,Bookings!$AM$5:$AM$404,"&lt;&gt;Cancelled"))</f>
        <v>0</v>
      </c>
      <c r="M9" s="31">
        <f>IF(I9="","",COUNTIFS(Bookings!$H$5:$H$404,I9,Bookings!$I$5:$I$404,"&gt;="&amp;RepFrom,Bookings!$I$5:$I$404,"&lt;="&amp;RepTo,Bookings!$AM$5:$AM$404,"&lt;&gt;Cancelled"))</f>
        <v>0</v>
      </c>
      <c r="N9" s="29">
        <f>IF(I9="","",M9*IF(Services!$L$9="",0,Services!$L$9))</f>
        <v>0</v>
      </c>
      <c r="O9" s="29">
        <f>IF(I9="","",L9-N9)</f>
        <v>0</v>
      </c>
      <c r="P9" s="28">
        <f>IF(Lists!$AG9="","",Lists!$AG9)</f>
        <v>0</v>
      </c>
      <c r="Q9" s="29">
        <f>IF(P9="","",SUMIFS(Expenses!$F$5:$F$304,Expenses!$C$5:$C$304,P9,Expenses!$B$5:$B$304,"&gt;="&amp;PeriodStart,Expenses!$B$5:$B$304,"&lt;="&amp;PeriodEnd,Expenses!$J$5:$J$304,"&lt;&gt;Personal"))</f>
        <v>0</v>
      </c>
      <c r="R9" s="29">
        <f>IF(P9="","",SUMIFS(Expenses!$F$5:$F$304,Expenses!$C$5:$C$304,P9,Expenses!$B$5:$B$304,"&gt;="&amp;RepFrom,Expenses!$B$5:$B$304,"&lt;="&amp;RepTo,Expenses!$J$5:$J$304,"&lt;&gt;Personal"))</f>
        <v>0</v>
      </c>
      <c r="S9" s="21">
        <f>IF(ROW()-4&gt;12,"",DATE(Dash_Year,ROW()-4,1))</f>
        <v>0</v>
      </c>
      <c r="T9" s="21">
        <f>IF(S9="","",EOMONTH(S9,0))</f>
        <v>0</v>
      </c>
      <c r="U9" s="28">
        <f>IF(S9="","",TEXT(S9,"mmm"))</f>
        <v>0</v>
      </c>
      <c r="V9" s="29">
        <f>IF(S9="","",SUMIFS(Payments!$L$5:$L$304,Payments!$B$5:$B$304,"&gt;="&amp;S9,Payments!$B$5:$B$304,"&lt;="&amp;T9))</f>
        <v>0</v>
      </c>
      <c r="W9" s="29">
        <f>IF(S9="","",SUMIFS(Invoices!$O$5:$O$304,Invoices!$B$5:$B$304,"&gt;="&amp;S9,Invoices!$B$5:$B$304,"&lt;="&amp;T9,Invoices!$T$5:$T$304,"&lt;&gt;Cancelled"))</f>
        <v>0</v>
      </c>
      <c r="X9" s="29">
        <f>IF(S9="","",SUMIFS(Expenses!$F$5:$F$304,Expenses!$B$5:$B$304,"&gt;="&amp;S9,Expenses!$B$5:$B$304,"&lt;="&amp;T9,Expenses!$J$5:$J$304,"&lt;&gt;Personal"))</f>
        <v>0</v>
      </c>
      <c r="Y9" s="29">
        <f>IF(S9="","",V9-X9)</f>
        <v>0</v>
      </c>
      <c r="Z9" s="31">
        <f>IF(S9="","",COUNTIFS(Bookings!$I$5:$I$404,"&gt;="&amp;S9,Bookings!$I$5:$I$404,"&lt;="&amp;T9,Bookings!$AM$5:$AM$404,"&lt;&gt;Cancelled"))</f>
        <v>0</v>
      </c>
      <c r="AA9" s="31">
        <f>IF(S9="","",COUNTIFS(Bookings!$I$5:$I$404,"&gt;="&amp;S9,Bookings!$I$5:$I$404,"&lt;="&amp;T9,Bookings!$AM$5:$AM$404,"Completed"))</f>
        <v>0</v>
      </c>
      <c r="AB9" s="31">
        <f>IF(S9="","",COUNTIFS(Bookings!$I$5:$I$404,"&gt;="&amp;S9,Bookings!$I$5:$I$404,"&lt;="&amp;T9,Bookings!$AM$5:$AM$404,"Cancelled"))</f>
        <v>0</v>
      </c>
      <c r="AC9" s="31">
        <f>IF(S9="","",COUNTIFS('Visit Log'!$C$5:$C$404,"&gt;="&amp;S9,'Visit Log'!$C$5:$C$404,"&lt;="&amp;T9,'Visit Log'!$AE$5:$AE$404,"Completed"))</f>
        <v>0</v>
      </c>
      <c r="AD9" s="31">
        <f>IF(S9="","",COUNTIFS(Clients!$L$5:$L$254,"&gt;="&amp;S9,Clients!$L$5:$L$254,"&lt;="&amp;T9))</f>
        <v>0</v>
      </c>
      <c r="AE9" s="32">
        <f>IF(S9="","",SUMIFS(Mileage!$M$5:$M$304,Mileage!$B$5:$B$304,"&gt;="&amp;S9,Mileage!$B$5:$B$304,"&lt;="&amp;T9,Mileage!$N$5:$N$304,"Business"))</f>
        <v>0</v>
      </c>
      <c r="AF9" s="29">
        <f>IF(S9="","",SUMIFS(Payments!$L$5:$L$304,Payments!$B$5:$B$304,"&gt;="&amp;DATE(Dash_Year-1,ROW()-4,1),Payments!$B$5:$B$304,"&lt;="&amp;EOMONTH(DATE(Dash_Year-1,ROW()-4,1),0)))</f>
        <v>0</v>
      </c>
      <c r="AG9" s="28">
        <f>IF(Staff!$B$9="","",Staff!$B$9)</f>
        <v>0</v>
      </c>
      <c r="AH9" s="31">
        <f>IF(AG9="","",COUNTIFS('Visit Log'!$G$5:$G$404,AG9,'Visit Log'!$C$5:$C$404,"&gt;="&amp;RepFrom,'Visit Log'!$C$5:$C$404,"&lt;="&amp;RepTo,'Visit Log'!$AE$5:$AE$404,"Completed"))</f>
        <v>0</v>
      </c>
      <c r="AI9" s="51">
        <f>IF(AG9="","",ROUND(SUMIFS('Visit Log'!$K$5:$K$404,'Visit Log'!$G$5:$G$404,AG9,'Visit Log'!$C$5:$C$404,"&gt;="&amp;RepFrom,'Visit Log'!$C$5:$C$404,"&lt;="&amp;RepTo,'Visit Log'!$AE$5:$AE$404,"Completed")/60,2))</f>
        <v>0</v>
      </c>
      <c r="AJ9" s="29">
        <f>IF(AG9="","",SUMIFS(Bookings!$AK$5:$AK$404,Bookings!$AL$5:$AL$404,AG9,Bookings!$I$5:$I$404,"&gt;="&amp;RepFrom,Bookings!$I$5:$I$404,"&lt;="&amp;RepTo,Bookings!$AM$5:$AM$404,"&lt;&gt;Cancelled"))</f>
        <v>0</v>
      </c>
      <c r="AK9" s="32">
        <f>IF(AG9="","",SUMIFS(Mileage!$M$5:$M$304,Mileage!$C$5:$C$304,AG9,Mileage!$B$5:$B$304,"&gt;="&amp;RepFrom,Mileage!$B$5:$B$304,"&lt;="&amp;RepTo))</f>
        <v>0</v>
      </c>
      <c r="AL9" s="28">
        <f>IF(Lists!$Q9="","",Lists!$Q9)</f>
        <v>0</v>
      </c>
      <c r="AM9" s="31">
        <f>IF(AL9="","",COUNTIFS(Bookings!$AV$5:$AV$404,AL9,Bookings!$I$5:$I$404,"&gt;="&amp;RepFrom,Bookings!$I$5:$I$404,"&lt;="&amp;RepTo))</f>
        <v>0</v>
      </c>
      <c r="AN9" s="28">
        <f>IF(Lists!$AF9="","",Lists!$AF9)</f>
        <v>0</v>
      </c>
      <c r="AO9" s="29">
        <f>IF(AN9="","",SUMIFS(Payments!$L$5:$L$304,Payments!$F$5:$F$304,AN9,Payments!$B$5:$B$304,"&gt;="&amp;RepFrom,Payments!$B$5:$B$304,"&lt;="&amp;RepTo))</f>
        <v>0</v>
      </c>
      <c r="AP9" s="28">
        <f>IF(Lists!$E9="","",Lists!$E9)</f>
        <v>0</v>
      </c>
      <c r="AQ9" s="31">
        <f>IF(AP9="","",COUNTIFS(Clients!$K$5:$K$254,AP9))</f>
        <v>0</v>
      </c>
      <c r="AR9" s="29">
        <f>IF(AP9="","",SUMIFS(Clients!$AE$5:$AE$254,Clients!$K$5:$K$254,AP9))</f>
        <v>0</v>
      </c>
    </row>
    <row r="10" spans="1:44">
      <c r="A10" s="28">
        <f>IF(Clients!$B$10="","",Clients!$B$10)</f>
        <v>0</v>
      </c>
      <c r="B10" s="29">
        <f>IF(A10="","",SUMIFS(Payments!$L$5:$L$304,Payments!$C$5:$C$304,A10,Payments!$B$5:$B$304,"&gt;="&amp;PeriodStart,Payments!$B$5:$B$304,"&lt;="&amp;PeriodEnd))</f>
        <v>0</v>
      </c>
      <c r="C10" s="51">
        <f>IF(A10="","",IF(B10&lt;=0,"",B10+ROW()/1000000))</f>
        <v>0</v>
      </c>
      <c r="D10" s="29">
        <f>IF(A10="","",SUMIFS(Payments!$L$5:$L$304,Payments!$C$5:$C$304,A10,Payments!$B$5:$B$304,"&gt;="&amp;RepFrom,Payments!$B$5:$B$304,"&lt;="&amp;RepTo))</f>
        <v>0</v>
      </c>
      <c r="E10" s="51">
        <f>IF(A10="","",IF(D10&lt;=0,"",D10+ROW()/1000000))</f>
        <v>0</v>
      </c>
      <c r="F10" s="29">
        <f>IF(A10="","",SUMIFS(Invoices!$S$5:$S$304,Invoices!$D$5:$D$304,A10,Invoices!$T$5:$T$304,"&lt;&gt;Cancelled"))</f>
        <v>0</v>
      </c>
      <c r="G10" s="51">
        <f>IF(A10="","",IF(F10&lt;=0.004,"",F10+ROW()/1000000))</f>
        <v>0</v>
      </c>
      <c r="H10" s="31">
        <f>IF(A10="","",COUNTIFS(Bookings!$C$5:$C$404,A10,Bookings!$I$5:$I$404,"&gt;="&amp;RepFrom,Bookings!$I$5:$I$404,"&lt;="&amp;RepTo,Bookings!$AM$5:$AM$404,"&lt;&gt;Cancelled"))</f>
        <v>0</v>
      </c>
      <c r="I10" s="28">
        <f>IF(Services!$B$10="","",Services!$B$10)</f>
        <v>0</v>
      </c>
      <c r="J10" s="29">
        <f>IF(I10="","",SUMIFS(Bookings!$AK$5:$AK$404,Bookings!$H$5:$H$404,I10,Bookings!$I$5:$I$404,"&gt;="&amp;PeriodStart,Bookings!$I$5:$I$404,"&lt;="&amp;PeriodEnd,Bookings!$AM$5:$AM$404,"&lt;&gt;Cancelled"))</f>
        <v>0</v>
      </c>
      <c r="K10" s="31">
        <f>IF(I10="","",COUNTIFS(Bookings!$H$5:$H$404,I10,Bookings!$I$5:$I$404,"&gt;="&amp;PeriodStart,Bookings!$I$5:$I$404,"&lt;="&amp;PeriodEnd,Bookings!$AM$5:$AM$404,"&lt;&gt;Cancelled"))</f>
        <v>0</v>
      </c>
      <c r="L10" s="29">
        <f>IF(I10="","",SUMIFS(Bookings!$AK$5:$AK$404,Bookings!$H$5:$H$404,I10,Bookings!$I$5:$I$404,"&gt;="&amp;RepFrom,Bookings!$I$5:$I$404,"&lt;="&amp;RepTo,Bookings!$AM$5:$AM$404,"&lt;&gt;Cancelled"))</f>
        <v>0</v>
      </c>
      <c r="M10" s="31">
        <f>IF(I10="","",COUNTIFS(Bookings!$H$5:$H$404,I10,Bookings!$I$5:$I$404,"&gt;="&amp;RepFrom,Bookings!$I$5:$I$404,"&lt;="&amp;RepTo,Bookings!$AM$5:$AM$404,"&lt;&gt;Cancelled"))</f>
        <v>0</v>
      </c>
      <c r="N10" s="29">
        <f>IF(I10="","",M10*IF(Services!$L$10="",0,Services!$L$10))</f>
        <v>0</v>
      </c>
      <c r="O10" s="29">
        <f>IF(I10="","",L10-N10)</f>
        <v>0</v>
      </c>
      <c r="P10" s="28">
        <f>IF(Lists!$AG10="","",Lists!$AG10)</f>
        <v>0</v>
      </c>
      <c r="Q10" s="29">
        <f>IF(P10="","",SUMIFS(Expenses!$F$5:$F$304,Expenses!$C$5:$C$304,P10,Expenses!$B$5:$B$304,"&gt;="&amp;PeriodStart,Expenses!$B$5:$B$304,"&lt;="&amp;PeriodEnd,Expenses!$J$5:$J$304,"&lt;&gt;Personal"))</f>
        <v>0</v>
      </c>
      <c r="R10" s="29">
        <f>IF(P10="","",SUMIFS(Expenses!$F$5:$F$304,Expenses!$C$5:$C$304,P10,Expenses!$B$5:$B$304,"&gt;="&amp;RepFrom,Expenses!$B$5:$B$304,"&lt;="&amp;RepTo,Expenses!$J$5:$J$304,"&lt;&gt;Personal"))</f>
        <v>0</v>
      </c>
      <c r="S10" s="21">
        <f>IF(ROW()-4&gt;12,"",DATE(Dash_Year,ROW()-4,1))</f>
        <v>0</v>
      </c>
      <c r="T10" s="21">
        <f>IF(S10="","",EOMONTH(S10,0))</f>
        <v>0</v>
      </c>
      <c r="U10" s="28">
        <f>IF(S10="","",TEXT(S10,"mmm"))</f>
        <v>0</v>
      </c>
      <c r="V10" s="29">
        <f>IF(S10="","",SUMIFS(Payments!$L$5:$L$304,Payments!$B$5:$B$304,"&gt;="&amp;S10,Payments!$B$5:$B$304,"&lt;="&amp;T10))</f>
        <v>0</v>
      </c>
      <c r="W10" s="29">
        <f>IF(S10="","",SUMIFS(Invoices!$O$5:$O$304,Invoices!$B$5:$B$304,"&gt;="&amp;S10,Invoices!$B$5:$B$304,"&lt;="&amp;T10,Invoices!$T$5:$T$304,"&lt;&gt;Cancelled"))</f>
        <v>0</v>
      </c>
      <c r="X10" s="29">
        <f>IF(S10="","",SUMIFS(Expenses!$F$5:$F$304,Expenses!$B$5:$B$304,"&gt;="&amp;S10,Expenses!$B$5:$B$304,"&lt;="&amp;T10,Expenses!$J$5:$J$304,"&lt;&gt;Personal"))</f>
        <v>0</v>
      </c>
      <c r="Y10" s="29">
        <f>IF(S10="","",V10-X10)</f>
        <v>0</v>
      </c>
      <c r="Z10" s="31">
        <f>IF(S10="","",COUNTIFS(Bookings!$I$5:$I$404,"&gt;="&amp;S10,Bookings!$I$5:$I$404,"&lt;="&amp;T10,Bookings!$AM$5:$AM$404,"&lt;&gt;Cancelled"))</f>
        <v>0</v>
      </c>
      <c r="AA10" s="31">
        <f>IF(S10="","",COUNTIFS(Bookings!$I$5:$I$404,"&gt;="&amp;S10,Bookings!$I$5:$I$404,"&lt;="&amp;T10,Bookings!$AM$5:$AM$404,"Completed"))</f>
        <v>0</v>
      </c>
      <c r="AB10" s="31">
        <f>IF(S10="","",COUNTIFS(Bookings!$I$5:$I$404,"&gt;="&amp;S10,Bookings!$I$5:$I$404,"&lt;="&amp;T10,Bookings!$AM$5:$AM$404,"Cancelled"))</f>
        <v>0</v>
      </c>
      <c r="AC10" s="31">
        <f>IF(S10="","",COUNTIFS('Visit Log'!$C$5:$C$404,"&gt;="&amp;S10,'Visit Log'!$C$5:$C$404,"&lt;="&amp;T10,'Visit Log'!$AE$5:$AE$404,"Completed"))</f>
        <v>0</v>
      </c>
      <c r="AD10" s="31">
        <f>IF(S10="","",COUNTIFS(Clients!$L$5:$L$254,"&gt;="&amp;S10,Clients!$L$5:$L$254,"&lt;="&amp;T10))</f>
        <v>0</v>
      </c>
      <c r="AE10" s="32">
        <f>IF(S10="","",SUMIFS(Mileage!$M$5:$M$304,Mileage!$B$5:$B$304,"&gt;="&amp;S10,Mileage!$B$5:$B$304,"&lt;="&amp;T10,Mileage!$N$5:$N$304,"Business"))</f>
        <v>0</v>
      </c>
      <c r="AF10" s="29">
        <f>IF(S10="","",SUMIFS(Payments!$L$5:$L$304,Payments!$B$5:$B$304,"&gt;="&amp;DATE(Dash_Year-1,ROW()-4,1),Payments!$B$5:$B$304,"&lt;="&amp;EOMONTH(DATE(Dash_Year-1,ROW()-4,1),0)))</f>
        <v>0</v>
      </c>
      <c r="AG10" s="28">
        <f>IF(Staff!$B$10="","",Staff!$B$10)</f>
        <v>0</v>
      </c>
      <c r="AH10" s="31">
        <f>IF(AG10="","",COUNTIFS('Visit Log'!$G$5:$G$404,AG10,'Visit Log'!$C$5:$C$404,"&gt;="&amp;RepFrom,'Visit Log'!$C$5:$C$404,"&lt;="&amp;RepTo,'Visit Log'!$AE$5:$AE$404,"Completed"))</f>
        <v>0</v>
      </c>
      <c r="AI10" s="51">
        <f>IF(AG10="","",ROUND(SUMIFS('Visit Log'!$K$5:$K$404,'Visit Log'!$G$5:$G$404,AG10,'Visit Log'!$C$5:$C$404,"&gt;="&amp;RepFrom,'Visit Log'!$C$5:$C$404,"&lt;="&amp;RepTo,'Visit Log'!$AE$5:$AE$404,"Completed")/60,2))</f>
        <v>0</v>
      </c>
      <c r="AJ10" s="29">
        <f>IF(AG10="","",SUMIFS(Bookings!$AK$5:$AK$404,Bookings!$AL$5:$AL$404,AG10,Bookings!$I$5:$I$404,"&gt;="&amp;RepFrom,Bookings!$I$5:$I$404,"&lt;="&amp;RepTo,Bookings!$AM$5:$AM$404,"&lt;&gt;Cancelled"))</f>
        <v>0</v>
      </c>
      <c r="AK10" s="32">
        <f>IF(AG10="","",SUMIFS(Mileage!$M$5:$M$304,Mileage!$C$5:$C$304,AG10,Mileage!$B$5:$B$304,"&gt;="&amp;RepFrom,Mileage!$B$5:$B$304,"&lt;="&amp;RepTo))</f>
        <v>0</v>
      </c>
      <c r="AL10" s="28">
        <f>IF(Lists!$Q10="","",Lists!$Q10)</f>
        <v>0</v>
      </c>
      <c r="AM10" s="31">
        <f>IF(AL10="","",COUNTIFS(Bookings!$AV$5:$AV$404,AL10,Bookings!$I$5:$I$404,"&gt;="&amp;RepFrom,Bookings!$I$5:$I$404,"&lt;="&amp;RepTo))</f>
        <v>0</v>
      </c>
      <c r="AN10" s="28">
        <f>IF(Lists!$AF10="","",Lists!$AF10)</f>
        <v>0</v>
      </c>
      <c r="AO10" s="29">
        <f>IF(AN10="","",SUMIFS(Payments!$L$5:$L$304,Payments!$F$5:$F$304,AN10,Payments!$B$5:$B$304,"&gt;="&amp;RepFrom,Payments!$B$5:$B$304,"&lt;="&amp;RepTo))</f>
        <v>0</v>
      </c>
      <c r="AP10" s="28">
        <f>IF(Lists!$E10="","",Lists!$E10)</f>
        <v>0</v>
      </c>
      <c r="AQ10" s="31">
        <f>IF(AP10="","",COUNTIFS(Clients!$K$5:$K$254,AP10))</f>
        <v>0</v>
      </c>
      <c r="AR10" s="29">
        <f>IF(AP10="","",SUMIFS(Clients!$AE$5:$AE$254,Clients!$K$5:$K$254,AP10))</f>
        <v>0</v>
      </c>
    </row>
    <row r="11" spans="1:44">
      <c r="A11" s="28">
        <f>IF(Clients!$B$11="","",Clients!$B$11)</f>
        <v>0</v>
      </c>
      <c r="B11" s="29">
        <f>IF(A11="","",SUMIFS(Payments!$L$5:$L$304,Payments!$C$5:$C$304,A11,Payments!$B$5:$B$304,"&gt;="&amp;PeriodStart,Payments!$B$5:$B$304,"&lt;="&amp;PeriodEnd))</f>
        <v>0</v>
      </c>
      <c r="C11" s="51">
        <f>IF(A11="","",IF(B11&lt;=0,"",B11+ROW()/1000000))</f>
        <v>0</v>
      </c>
      <c r="D11" s="29">
        <f>IF(A11="","",SUMIFS(Payments!$L$5:$L$304,Payments!$C$5:$C$304,A11,Payments!$B$5:$B$304,"&gt;="&amp;RepFrom,Payments!$B$5:$B$304,"&lt;="&amp;RepTo))</f>
        <v>0</v>
      </c>
      <c r="E11" s="51">
        <f>IF(A11="","",IF(D11&lt;=0,"",D11+ROW()/1000000))</f>
        <v>0</v>
      </c>
      <c r="F11" s="29">
        <f>IF(A11="","",SUMIFS(Invoices!$S$5:$S$304,Invoices!$D$5:$D$304,A11,Invoices!$T$5:$T$304,"&lt;&gt;Cancelled"))</f>
        <v>0</v>
      </c>
      <c r="G11" s="51">
        <f>IF(A11="","",IF(F11&lt;=0.004,"",F11+ROW()/1000000))</f>
        <v>0</v>
      </c>
      <c r="H11" s="31">
        <f>IF(A11="","",COUNTIFS(Bookings!$C$5:$C$404,A11,Bookings!$I$5:$I$404,"&gt;="&amp;RepFrom,Bookings!$I$5:$I$404,"&lt;="&amp;RepTo,Bookings!$AM$5:$AM$404,"&lt;&gt;Cancelled"))</f>
        <v>0</v>
      </c>
      <c r="I11" s="28">
        <f>IF(Services!$B$11="","",Services!$B$11)</f>
        <v>0</v>
      </c>
      <c r="J11" s="29">
        <f>IF(I11="","",SUMIFS(Bookings!$AK$5:$AK$404,Bookings!$H$5:$H$404,I11,Bookings!$I$5:$I$404,"&gt;="&amp;PeriodStart,Bookings!$I$5:$I$404,"&lt;="&amp;PeriodEnd,Bookings!$AM$5:$AM$404,"&lt;&gt;Cancelled"))</f>
        <v>0</v>
      </c>
      <c r="K11" s="31">
        <f>IF(I11="","",COUNTIFS(Bookings!$H$5:$H$404,I11,Bookings!$I$5:$I$404,"&gt;="&amp;PeriodStart,Bookings!$I$5:$I$404,"&lt;="&amp;PeriodEnd,Bookings!$AM$5:$AM$404,"&lt;&gt;Cancelled"))</f>
        <v>0</v>
      </c>
      <c r="L11" s="29">
        <f>IF(I11="","",SUMIFS(Bookings!$AK$5:$AK$404,Bookings!$H$5:$H$404,I11,Bookings!$I$5:$I$404,"&gt;="&amp;RepFrom,Bookings!$I$5:$I$404,"&lt;="&amp;RepTo,Bookings!$AM$5:$AM$404,"&lt;&gt;Cancelled"))</f>
        <v>0</v>
      </c>
      <c r="M11" s="31">
        <f>IF(I11="","",COUNTIFS(Bookings!$H$5:$H$404,I11,Bookings!$I$5:$I$404,"&gt;="&amp;RepFrom,Bookings!$I$5:$I$404,"&lt;="&amp;RepTo,Bookings!$AM$5:$AM$404,"&lt;&gt;Cancelled"))</f>
        <v>0</v>
      </c>
      <c r="N11" s="29">
        <f>IF(I11="","",M11*IF(Services!$L$11="",0,Services!$L$11))</f>
        <v>0</v>
      </c>
      <c r="O11" s="29">
        <f>IF(I11="","",L11-N11)</f>
        <v>0</v>
      </c>
      <c r="P11" s="28">
        <f>IF(Lists!$AG11="","",Lists!$AG11)</f>
        <v>0</v>
      </c>
      <c r="Q11" s="29">
        <f>IF(P11="","",SUMIFS(Expenses!$F$5:$F$304,Expenses!$C$5:$C$304,P11,Expenses!$B$5:$B$304,"&gt;="&amp;PeriodStart,Expenses!$B$5:$B$304,"&lt;="&amp;PeriodEnd,Expenses!$J$5:$J$304,"&lt;&gt;Personal"))</f>
        <v>0</v>
      </c>
      <c r="R11" s="29">
        <f>IF(P11="","",SUMIFS(Expenses!$F$5:$F$304,Expenses!$C$5:$C$304,P11,Expenses!$B$5:$B$304,"&gt;="&amp;RepFrom,Expenses!$B$5:$B$304,"&lt;="&amp;RepTo,Expenses!$J$5:$J$304,"&lt;&gt;Personal"))</f>
        <v>0</v>
      </c>
      <c r="S11" s="21">
        <f>IF(ROW()-4&gt;12,"",DATE(Dash_Year,ROW()-4,1))</f>
        <v>0</v>
      </c>
      <c r="T11" s="21">
        <f>IF(S11="","",EOMONTH(S11,0))</f>
        <v>0</v>
      </c>
      <c r="U11" s="28">
        <f>IF(S11="","",TEXT(S11,"mmm"))</f>
        <v>0</v>
      </c>
      <c r="V11" s="29">
        <f>IF(S11="","",SUMIFS(Payments!$L$5:$L$304,Payments!$B$5:$B$304,"&gt;="&amp;S11,Payments!$B$5:$B$304,"&lt;="&amp;T11))</f>
        <v>0</v>
      </c>
      <c r="W11" s="29">
        <f>IF(S11="","",SUMIFS(Invoices!$O$5:$O$304,Invoices!$B$5:$B$304,"&gt;="&amp;S11,Invoices!$B$5:$B$304,"&lt;="&amp;T11,Invoices!$T$5:$T$304,"&lt;&gt;Cancelled"))</f>
        <v>0</v>
      </c>
      <c r="X11" s="29">
        <f>IF(S11="","",SUMIFS(Expenses!$F$5:$F$304,Expenses!$B$5:$B$304,"&gt;="&amp;S11,Expenses!$B$5:$B$304,"&lt;="&amp;T11,Expenses!$J$5:$J$304,"&lt;&gt;Personal"))</f>
        <v>0</v>
      </c>
      <c r="Y11" s="29">
        <f>IF(S11="","",V11-X11)</f>
        <v>0</v>
      </c>
      <c r="Z11" s="31">
        <f>IF(S11="","",COUNTIFS(Bookings!$I$5:$I$404,"&gt;="&amp;S11,Bookings!$I$5:$I$404,"&lt;="&amp;T11,Bookings!$AM$5:$AM$404,"&lt;&gt;Cancelled"))</f>
        <v>0</v>
      </c>
      <c r="AA11" s="31">
        <f>IF(S11="","",COUNTIFS(Bookings!$I$5:$I$404,"&gt;="&amp;S11,Bookings!$I$5:$I$404,"&lt;="&amp;T11,Bookings!$AM$5:$AM$404,"Completed"))</f>
        <v>0</v>
      </c>
      <c r="AB11" s="31">
        <f>IF(S11="","",COUNTIFS(Bookings!$I$5:$I$404,"&gt;="&amp;S11,Bookings!$I$5:$I$404,"&lt;="&amp;T11,Bookings!$AM$5:$AM$404,"Cancelled"))</f>
        <v>0</v>
      </c>
      <c r="AC11" s="31">
        <f>IF(S11="","",COUNTIFS('Visit Log'!$C$5:$C$404,"&gt;="&amp;S11,'Visit Log'!$C$5:$C$404,"&lt;="&amp;T11,'Visit Log'!$AE$5:$AE$404,"Completed"))</f>
        <v>0</v>
      </c>
      <c r="AD11" s="31">
        <f>IF(S11="","",COUNTIFS(Clients!$L$5:$L$254,"&gt;="&amp;S11,Clients!$L$5:$L$254,"&lt;="&amp;T11))</f>
        <v>0</v>
      </c>
      <c r="AE11" s="32">
        <f>IF(S11="","",SUMIFS(Mileage!$M$5:$M$304,Mileage!$B$5:$B$304,"&gt;="&amp;S11,Mileage!$B$5:$B$304,"&lt;="&amp;T11,Mileage!$N$5:$N$304,"Business"))</f>
        <v>0</v>
      </c>
      <c r="AF11" s="29">
        <f>IF(S11="","",SUMIFS(Payments!$L$5:$L$304,Payments!$B$5:$B$304,"&gt;="&amp;DATE(Dash_Year-1,ROW()-4,1),Payments!$B$5:$B$304,"&lt;="&amp;EOMONTH(DATE(Dash_Year-1,ROW()-4,1),0)))</f>
        <v>0</v>
      </c>
      <c r="AG11" s="28">
        <f>IF(Staff!$B$11="","",Staff!$B$11)</f>
        <v>0</v>
      </c>
      <c r="AH11" s="31">
        <f>IF(AG11="","",COUNTIFS('Visit Log'!$G$5:$G$404,AG11,'Visit Log'!$C$5:$C$404,"&gt;="&amp;RepFrom,'Visit Log'!$C$5:$C$404,"&lt;="&amp;RepTo,'Visit Log'!$AE$5:$AE$404,"Completed"))</f>
        <v>0</v>
      </c>
      <c r="AI11" s="51">
        <f>IF(AG11="","",ROUND(SUMIFS('Visit Log'!$K$5:$K$404,'Visit Log'!$G$5:$G$404,AG11,'Visit Log'!$C$5:$C$404,"&gt;="&amp;RepFrom,'Visit Log'!$C$5:$C$404,"&lt;="&amp;RepTo,'Visit Log'!$AE$5:$AE$404,"Completed")/60,2))</f>
        <v>0</v>
      </c>
      <c r="AJ11" s="29">
        <f>IF(AG11="","",SUMIFS(Bookings!$AK$5:$AK$404,Bookings!$AL$5:$AL$404,AG11,Bookings!$I$5:$I$404,"&gt;="&amp;RepFrom,Bookings!$I$5:$I$404,"&lt;="&amp;RepTo,Bookings!$AM$5:$AM$404,"&lt;&gt;Cancelled"))</f>
        <v>0</v>
      </c>
      <c r="AK11" s="32">
        <f>IF(AG11="","",SUMIFS(Mileage!$M$5:$M$304,Mileage!$C$5:$C$304,AG11,Mileage!$B$5:$B$304,"&gt;="&amp;RepFrom,Mileage!$B$5:$B$304,"&lt;="&amp;RepTo))</f>
        <v>0</v>
      </c>
      <c r="AL11" s="28">
        <f>IF(Lists!$Q11="","",Lists!$Q11)</f>
        <v>0</v>
      </c>
      <c r="AM11" s="31">
        <f>IF(AL11="","",COUNTIFS(Bookings!$AV$5:$AV$404,AL11,Bookings!$I$5:$I$404,"&gt;="&amp;RepFrom,Bookings!$I$5:$I$404,"&lt;="&amp;RepTo))</f>
        <v>0</v>
      </c>
      <c r="AN11" s="28">
        <f>IF(Lists!$AF11="","",Lists!$AF11)</f>
        <v>0</v>
      </c>
      <c r="AO11" s="29">
        <f>IF(AN11="","",SUMIFS(Payments!$L$5:$L$304,Payments!$F$5:$F$304,AN11,Payments!$B$5:$B$304,"&gt;="&amp;RepFrom,Payments!$B$5:$B$304,"&lt;="&amp;RepTo))</f>
        <v>0</v>
      </c>
      <c r="AP11" s="28">
        <f>IF(Lists!$E11="","",Lists!$E11)</f>
        <v>0</v>
      </c>
      <c r="AQ11" s="31">
        <f>IF(AP11="","",COUNTIFS(Clients!$K$5:$K$254,AP11))</f>
        <v>0</v>
      </c>
      <c r="AR11" s="29">
        <f>IF(AP11="","",SUMIFS(Clients!$AE$5:$AE$254,Clients!$K$5:$K$254,AP11))</f>
        <v>0</v>
      </c>
    </row>
    <row r="12" spans="1:44">
      <c r="A12" s="28">
        <f>IF(Clients!$B$12="","",Clients!$B$12)</f>
        <v>0</v>
      </c>
      <c r="B12" s="29">
        <f>IF(A12="","",SUMIFS(Payments!$L$5:$L$304,Payments!$C$5:$C$304,A12,Payments!$B$5:$B$304,"&gt;="&amp;PeriodStart,Payments!$B$5:$B$304,"&lt;="&amp;PeriodEnd))</f>
        <v>0</v>
      </c>
      <c r="C12" s="51">
        <f>IF(A12="","",IF(B12&lt;=0,"",B12+ROW()/1000000))</f>
        <v>0</v>
      </c>
      <c r="D12" s="29">
        <f>IF(A12="","",SUMIFS(Payments!$L$5:$L$304,Payments!$C$5:$C$304,A12,Payments!$B$5:$B$304,"&gt;="&amp;RepFrom,Payments!$B$5:$B$304,"&lt;="&amp;RepTo))</f>
        <v>0</v>
      </c>
      <c r="E12" s="51">
        <f>IF(A12="","",IF(D12&lt;=0,"",D12+ROW()/1000000))</f>
        <v>0</v>
      </c>
      <c r="F12" s="29">
        <f>IF(A12="","",SUMIFS(Invoices!$S$5:$S$304,Invoices!$D$5:$D$304,A12,Invoices!$T$5:$T$304,"&lt;&gt;Cancelled"))</f>
        <v>0</v>
      </c>
      <c r="G12" s="51">
        <f>IF(A12="","",IF(F12&lt;=0.004,"",F12+ROW()/1000000))</f>
        <v>0</v>
      </c>
      <c r="H12" s="31">
        <f>IF(A12="","",COUNTIFS(Bookings!$C$5:$C$404,A12,Bookings!$I$5:$I$404,"&gt;="&amp;RepFrom,Bookings!$I$5:$I$404,"&lt;="&amp;RepTo,Bookings!$AM$5:$AM$404,"&lt;&gt;Cancelled"))</f>
        <v>0</v>
      </c>
      <c r="I12" s="28">
        <f>IF(Services!$B$12="","",Services!$B$12)</f>
        <v>0</v>
      </c>
      <c r="J12" s="29">
        <f>IF(I12="","",SUMIFS(Bookings!$AK$5:$AK$404,Bookings!$H$5:$H$404,I12,Bookings!$I$5:$I$404,"&gt;="&amp;PeriodStart,Bookings!$I$5:$I$404,"&lt;="&amp;PeriodEnd,Bookings!$AM$5:$AM$404,"&lt;&gt;Cancelled"))</f>
        <v>0</v>
      </c>
      <c r="K12" s="31">
        <f>IF(I12="","",COUNTIFS(Bookings!$H$5:$H$404,I12,Bookings!$I$5:$I$404,"&gt;="&amp;PeriodStart,Bookings!$I$5:$I$404,"&lt;="&amp;PeriodEnd,Bookings!$AM$5:$AM$404,"&lt;&gt;Cancelled"))</f>
        <v>0</v>
      </c>
      <c r="L12" s="29">
        <f>IF(I12="","",SUMIFS(Bookings!$AK$5:$AK$404,Bookings!$H$5:$H$404,I12,Bookings!$I$5:$I$404,"&gt;="&amp;RepFrom,Bookings!$I$5:$I$404,"&lt;="&amp;RepTo,Bookings!$AM$5:$AM$404,"&lt;&gt;Cancelled"))</f>
        <v>0</v>
      </c>
      <c r="M12" s="31">
        <f>IF(I12="","",COUNTIFS(Bookings!$H$5:$H$404,I12,Bookings!$I$5:$I$404,"&gt;="&amp;RepFrom,Bookings!$I$5:$I$404,"&lt;="&amp;RepTo,Bookings!$AM$5:$AM$404,"&lt;&gt;Cancelled"))</f>
        <v>0</v>
      </c>
      <c r="N12" s="29">
        <f>IF(I12="","",M12*IF(Services!$L$12="",0,Services!$L$12))</f>
        <v>0</v>
      </c>
      <c r="O12" s="29">
        <f>IF(I12="","",L12-N12)</f>
        <v>0</v>
      </c>
      <c r="P12" s="28">
        <f>IF(Lists!$AG12="","",Lists!$AG12)</f>
        <v>0</v>
      </c>
      <c r="Q12" s="29">
        <f>IF(P12="","",SUMIFS(Expenses!$F$5:$F$304,Expenses!$C$5:$C$304,P12,Expenses!$B$5:$B$304,"&gt;="&amp;PeriodStart,Expenses!$B$5:$B$304,"&lt;="&amp;PeriodEnd,Expenses!$J$5:$J$304,"&lt;&gt;Personal"))</f>
        <v>0</v>
      </c>
      <c r="R12" s="29">
        <f>IF(P12="","",SUMIFS(Expenses!$F$5:$F$304,Expenses!$C$5:$C$304,P12,Expenses!$B$5:$B$304,"&gt;="&amp;RepFrom,Expenses!$B$5:$B$304,"&lt;="&amp;RepTo,Expenses!$J$5:$J$304,"&lt;&gt;Personal"))</f>
        <v>0</v>
      </c>
      <c r="S12" s="21">
        <f>IF(ROW()-4&gt;12,"",DATE(Dash_Year,ROW()-4,1))</f>
        <v>0</v>
      </c>
      <c r="T12" s="21">
        <f>IF(S12="","",EOMONTH(S12,0))</f>
        <v>0</v>
      </c>
      <c r="U12" s="28">
        <f>IF(S12="","",TEXT(S12,"mmm"))</f>
        <v>0</v>
      </c>
      <c r="V12" s="29">
        <f>IF(S12="","",SUMIFS(Payments!$L$5:$L$304,Payments!$B$5:$B$304,"&gt;="&amp;S12,Payments!$B$5:$B$304,"&lt;="&amp;T12))</f>
        <v>0</v>
      </c>
      <c r="W12" s="29">
        <f>IF(S12="","",SUMIFS(Invoices!$O$5:$O$304,Invoices!$B$5:$B$304,"&gt;="&amp;S12,Invoices!$B$5:$B$304,"&lt;="&amp;T12,Invoices!$T$5:$T$304,"&lt;&gt;Cancelled"))</f>
        <v>0</v>
      </c>
      <c r="X12" s="29">
        <f>IF(S12="","",SUMIFS(Expenses!$F$5:$F$304,Expenses!$B$5:$B$304,"&gt;="&amp;S12,Expenses!$B$5:$B$304,"&lt;="&amp;T12,Expenses!$J$5:$J$304,"&lt;&gt;Personal"))</f>
        <v>0</v>
      </c>
      <c r="Y12" s="29">
        <f>IF(S12="","",V12-X12)</f>
        <v>0</v>
      </c>
      <c r="Z12" s="31">
        <f>IF(S12="","",COUNTIFS(Bookings!$I$5:$I$404,"&gt;="&amp;S12,Bookings!$I$5:$I$404,"&lt;="&amp;T12,Bookings!$AM$5:$AM$404,"&lt;&gt;Cancelled"))</f>
        <v>0</v>
      </c>
      <c r="AA12" s="31">
        <f>IF(S12="","",COUNTIFS(Bookings!$I$5:$I$404,"&gt;="&amp;S12,Bookings!$I$5:$I$404,"&lt;="&amp;T12,Bookings!$AM$5:$AM$404,"Completed"))</f>
        <v>0</v>
      </c>
      <c r="AB12" s="31">
        <f>IF(S12="","",COUNTIFS(Bookings!$I$5:$I$404,"&gt;="&amp;S12,Bookings!$I$5:$I$404,"&lt;="&amp;T12,Bookings!$AM$5:$AM$404,"Cancelled"))</f>
        <v>0</v>
      </c>
      <c r="AC12" s="31">
        <f>IF(S12="","",COUNTIFS('Visit Log'!$C$5:$C$404,"&gt;="&amp;S12,'Visit Log'!$C$5:$C$404,"&lt;="&amp;T12,'Visit Log'!$AE$5:$AE$404,"Completed"))</f>
        <v>0</v>
      </c>
      <c r="AD12" s="31">
        <f>IF(S12="","",COUNTIFS(Clients!$L$5:$L$254,"&gt;="&amp;S12,Clients!$L$5:$L$254,"&lt;="&amp;T12))</f>
        <v>0</v>
      </c>
      <c r="AE12" s="32">
        <f>IF(S12="","",SUMIFS(Mileage!$M$5:$M$304,Mileage!$B$5:$B$304,"&gt;="&amp;S12,Mileage!$B$5:$B$304,"&lt;="&amp;T12,Mileage!$N$5:$N$304,"Business"))</f>
        <v>0</v>
      </c>
      <c r="AF12" s="29">
        <f>IF(S12="","",SUMIFS(Payments!$L$5:$L$304,Payments!$B$5:$B$304,"&gt;="&amp;DATE(Dash_Year-1,ROW()-4,1),Payments!$B$5:$B$304,"&lt;="&amp;EOMONTH(DATE(Dash_Year-1,ROW()-4,1),0)))</f>
        <v>0</v>
      </c>
      <c r="AG12" s="28">
        <f>IF(Staff!$B$12="","",Staff!$B$12)</f>
        <v>0</v>
      </c>
      <c r="AH12" s="31">
        <f>IF(AG12="","",COUNTIFS('Visit Log'!$G$5:$G$404,AG12,'Visit Log'!$C$5:$C$404,"&gt;="&amp;RepFrom,'Visit Log'!$C$5:$C$404,"&lt;="&amp;RepTo,'Visit Log'!$AE$5:$AE$404,"Completed"))</f>
        <v>0</v>
      </c>
      <c r="AI12" s="51">
        <f>IF(AG12="","",ROUND(SUMIFS('Visit Log'!$K$5:$K$404,'Visit Log'!$G$5:$G$404,AG12,'Visit Log'!$C$5:$C$404,"&gt;="&amp;RepFrom,'Visit Log'!$C$5:$C$404,"&lt;="&amp;RepTo,'Visit Log'!$AE$5:$AE$404,"Completed")/60,2))</f>
        <v>0</v>
      </c>
      <c r="AJ12" s="29">
        <f>IF(AG12="","",SUMIFS(Bookings!$AK$5:$AK$404,Bookings!$AL$5:$AL$404,AG12,Bookings!$I$5:$I$404,"&gt;="&amp;RepFrom,Bookings!$I$5:$I$404,"&lt;="&amp;RepTo,Bookings!$AM$5:$AM$404,"&lt;&gt;Cancelled"))</f>
        <v>0</v>
      </c>
      <c r="AK12" s="32">
        <f>IF(AG12="","",SUMIFS(Mileage!$M$5:$M$304,Mileage!$C$5:$C$304,AG12,Mileage!$B$5:$B$304,"&gt;="&amp;RepFrom,Mileage!$B$5:$B$304,"&lt;="&amp;RepTo))</f>
        <v>0</v>
      </c>
      <c r="AL12" s="28">
        <f>IF(Lists!$Q12="","",Lists!$Q12)</f>
        <v>0</v>
      </c>
      <c r="AM12" s="31">
        <f>IF(AL12="","",COUNTIFS(Bookings!$AV$5:$AV$404,AL12,Bookings!$I$5:$I$404,"&gt;="&amp;RepFrom,Bookings!$I$5:$I$404,"&lt;="&amp;RepTo))</f>
        <v>0</v>
      </c>
      <c r="AN12" s="28">
        <f>IF(Lists!$AF12="","",Lists!$AF12)</f>
        <v>0</v>
      </c>
      <c r="AO12" s="29">
        <f>IF(AN12="","",SUMIFS(Payments!$L$5:$L$304,Payments!$F$5:$F$304,AN12,Payments!$B$5:$B$304,"&gt;="&amp;RepFrom,Payments!$B$5:$B$304,"&lt;="&amp;RepTo))</f>
        <v>0</v>
      </c>
      <c r="AP12" s="28">
        <f>IF(Lists!$E12="","",Lists!$E12)</f>
        <v>0</v>
      </c>
      <c r="AQ12" s="31">
        <f>IF(AP12="","",COUNTIFS(Clients!$K$5:$K$254,AP12))</f>
        <v>0</v>
      </c>
      <c r="AR12" s="29">
        <f>IF(AP12="","",SUMIFS(Clients!$AE$5:$AE$254,Clients!$K$5:$K$254,AP12))</f>
        <v>0</v>
      </c>
    </row>
    <row r="13" spans="1:44">
      <c r="A13" s="28">
        <f>IF(Clients!$B$13="","",Clients!$B$13)</f>
        <v>0</v>
      </c>
      <c r="B13" s="29">
        <f>IF(A13="","",SUMIFS(Payments!$L$5:$L$304,Payments!$C$5:$C$304,A13,Payments!$B$5:$B$304,"&gt;="&amp;PeriodStart,Payments!$B$5:$B$304,"&lt;="&amp;PeriodEnd))</f>
        <v>0</v>
      </c>
      <c r="C13" s="51">
        <f>IF(A13="","",IF(B13&lt;=0,"",B13+ROW()/1000000))</f>
        <v>0</v>
      </c>
      <c r="D13" s="29">
        <f>IF(A13="","",SUMIFS(Payments!$L$5:$L$304,Payments!$C$5:$C$304,A13,Payments!$B$5:$B$304,"&gt;="&amp;RepFrom,Payments!$B$5:$B$304,"&lt;="&amp;RepTo))</f>
        <v>0</v>
      </c>
      <c r="E13" s="51">
        <f>IF(A13="","",IF(D13&lt;=0,"",D13+ROW()/1000000))</f>
        <v>0</v>
      </c>
      <c r="F13" s="29">
        <f>IF(A13="","",SUMIFS(Invoices!$S$5:$S$304,Invoices!$D$5:$D$304,A13,Invoices!$T$5:$T$304,"&lt;&gt;Cancelled"))</f>
        <v>0</v>
      </c>
      <c r="G13" s="51">
        <f>IF(A13="","",IF(F13&lt;=0.004,"",F13+ROW()/1000000))</f>
        <v>0</v>
      </c>
      <c r="H13" s="31">
        <f>IF(A13="","",COUNTIFS(Bookings!$C$5:$C$404,A13,Bookings!$I$5:$I$404,"&gt;="&amp;RepFrom,Bookings!$I$5:$I$404,"&lt;="&amp;RepTo,Bookings!$AM$5:$AM$404,"&lt;&gt;Cancelled"))</f>
        <v>0</v>
      </c>
      <c r="I13" s="28">
        <f>IF(Services!$B$13="","",Services!$B$13)</f>
        <v>0</v>
      </c>
      <c r="J13" s="29">
        <f>IF(I13="","",SUMIFS(Bookings!$AK$5:$AK$404,Bookings!$H$5:$H$404,I13,Bookings!$I$5:$I$404,"&gt;="&amp;PeriodStart,Bookings!$I$5:$I$404,"&lt;="&amp;PeriodEnd,Bookings!$AM$5:$AM$404,"&lt;&gt;Cancelled"))</f>
        <v>0</v>
      </c>
      <c r="K13" s="31">
        <f>IF(I13="","",COUNTIFS(Bookings!$H$5:$H$404,I13,Bookings!$I$5:$I$404,"&gt;="&amp;PeriodStart,Bookings!$I$5:$I$404,"&lt;="&amp;PeriodEnd,Bookings!$AM$5:$AM$404,"&lt;&gt;Cancelled"))</f>
        <v>0</v>
      </c>
      <c r="L13" s="29">
        <f>IF(I13="","",SUMIFS(Bookings!$AK$5:$AK$404,Bookings!$H$5:$H$404,I13,Bookings!$I$5:$I$404,"&gt;="&amp;RepFrom,Bookings!$I$5:$I$404,"&lt;="&amp;RepTo,Bookings!$AM$5:$AM$404,"&lt;&gt;Cancelled"))</f>
        <v>0</v>
      </c>
      <c r="M13" s="31">
        <f>IF(I13="","",COUNTIFS(Bookings!$H$5:$H$404,I13,Bookings!$I$5:$I$404,"&gt;="&amp;RepFrom,Bookings!$I$5:$I$404,"&lt;="&amp;RepTo,Bookings!$AM$5:$AM$404,"&lt;&gt;Cancelled"))</f>
        <v>0</v>
      </c>
      <c r="N13" s="29">
        <f>IF(I13="","",M13*IF(Services!$L$13="",0,Services!$L$13))</f>
        <v>0</v>
      </c>
      <c r="O13" s="29">
        <f>IF(I13="","",L13-N13)</f>
        <v>0</v>
      </c>
      <c r="P13" s="28">
        <f>IF(Lists!$AG13="","",Lists!$AG13)</f>
        <v>0</v>
      </c>
      <c r="Q13" s="29">
        <f>IF(P13="","",SUMIFS(Expenses!$F$5:$F$304,Expenses!$C$5:$C$304,P13,Expenses!$B$5:$B$304,"&gt;="&amp;PeriodStart,Expenses!$B$5:$B$304,"&lt;="&amp;PeriodEnd,Expenses!$J$5:$J$304,"&lt;&gt;Personal"))</f>
        <v>0</v>
      </c>
      <c r="R13" s="29">
        <f>IF(P13="","",SUMIFS(Expenses!$F$5:$F$304,Expenses!$C$5:$C$304,P13,Expenses!$B$5:$B$304,"&gt;="&amp;RepFrom,Expenses!$B$5:$B$304,"&lt;="&amp;RepTo,Expenses!$J$5:$J$304,"&lt;&gt;Personal"))</f>
        <v>0</v>
      </c>
      <c r="S13" s="21">
        <f>IF(ROW()-4&gt;12,"",DATE(Dash_Year,ROW()-4,1))</f>
        <v>0</v>
      </c>
      <c r="T13" s="21">
        <f>IF(S13="","",EOMONTH(S13,0))</f>
        <v>0</v>
      </c>
      <c r="U13" s="28">
        <f>IF(S13="","",TEXT(S13,"mmm"))</f>
        <v>0</v>
      </c>
      <c r="V13" s="29">
        <f>IF(S13="","",SUMIFS(Payments!$L$5:$L$304,Payments!$B$5:$B$304,"&gt;="&amp;S13,Payments!$B$5:$B$304,"&lt;="&amp;T13))</f>
        <v>0</v>
      </c>
      <c r="W13" s="29">
        <f>IF(S13="","",SUMIFS(Invoices!$O$5:$O$304,Invoices!$B$5:$B$304,"&gt;="&amp;S13,Invoices!$B$5:$B$304,"&lt;="&amp;T13,Invoices!$T$5:$T$304,"&lt;&gt;Cancelled"))</f>
        <v>0</v>
      </c>
      <c r="X13" s="29">
        <f>IF(S13="","",SUMIFS(Expenses!$F$5:$F$304,Expenses!$B$5:$B$304,"&gt;="&amp;S13,Expenses!$B$5:$B$304,"&lt;="&amp;T13,Expenses!$J$5:$J$304,"&lt;&gt;Personal"))</f>
        <v>0</v>
      </c>
      <c r="Y13" s="29">
        <f>IF(S13="","",V13-X13)</f>
        <v>0</v>
      </c>
      <c r="Z13" s="31">
        <f>IF(S13="","",COUNTIFS(Bookings!$I$5:$I$404,"&gt;="&amp;S13,Bookings!$I$5:$I$404,"&lt;="&amp;T13,Bookings!$AM$5:$AM$404,"&lt;&gt;Cancelled"))</f>
        <v>0</v>
      </c>
      <c r="AA13" s="31">
        <f>IF(S13="","",COUNTIFS(Bookings!$I$5:$I$404,"&gt;="&amp;S13,Bookings!$I$5:$I$404,"&lt;="&amp;T13,Bookings!$AM$5:$AM$404,"Completed"))</f>
        <v>0</v>
      </c>
      <c r="AB13" s="31">
        <f>IF(S13="","",COUNTIFS(Bookings!$I$5:$I$404,"&gt;="&amp;S13,Bookings!$I$5:$I$404,"&lt;="&amp;T13,Bookings!$AM$5:$AM$404,"Cancelled"))</f>
        <v>0</v>
      </c>
      <c r="AC13" s="31">
        <f>IF(S13="","",COUNTIFS('Visit Log'!$C$5:$C$404,"&gt;="&amp;S13,'Visit Log'!$C$5:$C$404,"&lt;="&amp;T13,'Visit Log'!$AE$5:$AE$404,"Completed"))</f>
        <v>0</v>
      </c>
      <c r="AD13" s="31">
        <f>IF(S13="","",COUNTIFS(Clients!$L$5:$L$254,"&gt;="&amp;S13,Clients!$L$5:$L$254,"&lt;="&amp;T13))</f>
        <v>0</v>
      </c>
      <c r="AE13" s="32">
        <f>IF(S13="","",SUMIFS(Mileage!$M$5:$M$304,Mileage!$B$5:$B$304,"&gt;="&amp;S13,Mileage!$B$5:$B$304,"&lt;="&amp;T13,Mileage!$N$5:$N$304,"Business"))</f>
        <v>0</v>
      </c>
      <c r="AF13" s="29">
        <f>IF(S13="","",SUMIFS(Payments!$L$5:$L$304,Payments!$B$5:$B$304,"&gt;="&amp;DATE(Dash_Year-1,ROW()-4,1),Payments!$B$5:$B$304,"&lt;="&amp;EOMONTH(DATE(Dash_Year-1,ROW()-4,1),0)))</f>
        <v>0</v>
      </c>
      <c r="AG13" s="28">
        <f>IF(Staff!$B$13="","",Staff!$B$13)</f>
        <v>0</v>
      </c>
      <c r="AH13" s="31">
        <f>IF(AG13="","",COUNTIFS('Visit Log'!$G$5:$G$404,AG13,'Visit Log'!$C$5:$C$404,"&gt;="&amp;RepFrom,'Visit Log'!$C$5:$C$404,"&lt;="&amp;RepTo,'Visit Log'!$AE$5:$AE$404,"Completed"))</f>
        <v>0</v>
      </c>
      <c r="AI13" s="51">
        <f>IF(AG13="","",ROUND(SUMIFS('Visit Log'!$K$5:$K$404,'Visit Log'!$G$5:$G$404,AG13,'Visit Log'!$C$5:$C$404,"&gt;="&amp;RepFrom,'Visit Log'!$C$5:$C$404,"&lt;="&amp;RepTo,'Visit Log'!$AE$5:$AE$404,"Completed")/60,2))</f>
        <v>0</v>
      </c>
      <c r="AJ13" s="29">
        <f>IF(AG13="","",SUMIFS(Bookings!$AK$5:$AK$404,Bookings!$AL$5:$AL$404,AG13,Bookings!$I$5:$I$404,"&gt;="&amp;RepFrom,Bookings!$I$5:$I$404,"&lt;="&amp;RepTo,Bookings!$AM$5:$AM$404,"&lt;&gt;Cancelled"))</f>
        <v>0</v>
      </c>
      <c r="AK13" s="32">
        <f>IF(AG13="","",SUMIFS(Mileage!$M$5:$M$304,Mileage!$C$5:$C$304,AG13,Mileage!$B$5:$B$304,"&gt;="&amp;RepFrom,Mileage!$B$5:$B$304,"&lt;="&amp;RepTo))</f>
        <v>0</v>
      </c>
      <c r="AL13" s="28">
        <f>IF(Lists!$Q13="","",Lists!$Q13)</f>
        <v>0</v>
      </c>
      <c r="AM13" s="31">
        <f>IF(AL13="","",COUNTIFS(Bookings!$AV$5:$AV$404,AL13,Bookings!$I$5:$I$404,"&gt;="&amp;RepFrom,Bookings!$I$5:$I$404,"&lt;="&amp;RepTo))</f>
        <v>0</v>
      </c>
      <c r="AN13" s="28">
        <f>IF(Lists!$AF13="","",Lists!$AF13)</f>
        <v>0</v>
      </c>
      <c r="AO13" s="29">
        <f>IF(AN13="","",SUMIFS(Payments!$L$5:$L$304,Payments!$F$5:$F$304,AN13,Payments!$B$5:$B$304,"&gt;="&amp;RepFrom,Payments!$B$5:$B$304,"&lt;="&amp;RepTo))</f>
        <v>0</v>
      </c>
      <c r="AP13" s="28">
        <f>IF(Lists!$E13="","",Lists!$E13)</f>
        <v>0</v>
      </c>
      <c r="AQ13" s="31">
        <f>IF(AP13="","",COUNTIFS(Clients!$K$5:$K$254,AP13))</f>
        <v>0</v>
      </c>
      <c r="AR13" s="29">
        <f>IF(AP13="","",SUMIFS(Clients!$AE$5:$AE$254,Clients!$K$5:$K$254,AP13))</f>
        <v>0</v>
      </c>
    </row>
    <row r="14" spans="1:44">
      <c r="A14" s="28">
        <f>IF(Clients!$B$14="","",Clients!$B$14)</f>
        <v>0</v>
      </c>
      <c r="B14" s="29">
        <f>IF(A14="","",SUMIFS(Payments!$L$5:$L$304,Payments!$C$5:$C$304,A14,Payments!$B$5:$B$304,"&gt;="&amp;PeriodStart,Payments!$B$5:$B$304,"&lt;="&amp;PeriodEnd))</f>
        <v>0</v>
      </c>
      <c r="C14" s="51">
        <f>IF(A14="","",IF(B14&lt;=0,"",B14+ROW()/1000000))</f>
        <v>0</v>
      </c>
      <c r="D14" s="29">
        <f>IF(A14="","",SUMIFS(Payments!$L$5:$L$304,Payments!$C$5:$C$304,A14,Payments!$B$5:$B$304,"&gt;="&amp;RepFrom,Payments!$B$5:$B$304,"&lt;="&amp;RepTo))</f>
        <v>0</v>
      </c>
      <c r="E14" s="51">
        <f>IF(A14="","",IF(D14&lt;=0,"",D14+ROW()/1000000))</f>
        <v>0</v>
      </c>
      <c r="F14" s="29">
        <f>IF(A14="","",SUMIFS(Invoices!$S$5:$S$304,Invoices!$D$5:$D$304,A14,Invoices!$T$5:$T$304,"&lt;&gt;Cancelled"))</f>
        <v>0</v>
      </c>
      <c r="G14" s="51">
        <f>IF(A14="","",IF(F14&lt;=0.004,"",F14+ROW()/1000000))</f>
        <v>0</v>
      </c>
      <c r="H14" s="31">
        <f>IF(A14="","",COUNTIFS(Bookings!$C$5:$C$404,A14,Bookings!$I$5:$I$404,"&gt;="&amp;RepFrom,Bookings!$I$5:$I$404,"&lt;="&amp;RepTo,Bookings!$AM$5:$AM$404,"&lt;&gt;Cancelled"))</f>
        <v>0</v>
      </c>
      <c r="I14" s="28">
        <f>IF(Services!$B$14="","",Services!$B$14)</f>
        <v>0</v>
      </c>
      <c r="J14" s="29">
        <f>IF(I14="","",SUMIFS(Bookings!$AK$5:$AK$404,Bookings!$H$5:$H$404,I14,Bookings!$I$5:$I$404,"&gt;="&amp;PeriodStart,Bookings!$I$5:$I$404,"&lt;="&amp;PeriodEnd,Bookings!$AM$5:$AM$404,"&lt;&gt;Cancelled"))</f>
        <v>0</v>
      </c>
      <c r="K14" s="31">
        <f>IF(I14="","",COUNTIFS(Bookings!$H$5:$H$404,I14,Bookings!$I$5:$I$404,"&gt;="&amp;PeriodStart,Bookings!$I$5:$I$404,"&lt;="&amp;PeriodEnd,Bookings!$AM$5:$AM$404,"&lt;&gt;Cancelled"))</f>
        <v>0</v>
      </c>
      <c r="L14" s="29">
        <f>IF(I14="","",SUMIFS(Bookings!$AK$5:$AK$404,Bookings!$H$5:$H$404,I14,Bookings!$I$5:$I$404,"&gt;="&amp;RepFrom,Bookings!$I$5:$I$404,"&lt;="&amp;RepTo,Bookings!$AM$5:$AM$404,"&lt;&gt;Cancelled"))</f>
        <v>0</v>
      </c>
      <c r="M14" s="31">
        <f>IF(I14="","",COUNTIFS(Bookings!$H$5:$H$404,I14,Bookings!$I$5:$I$404,"&gt;="&amp;RepFrom,Bookings!$I$5:$I$404,"&lt;="&amp;RepTo,Bookings!$AM$5:$AM$404,"&lt;&gt;Cancelled"))</f>
        <v>0</v>
      </c>
      <c r="N14" s="29">
        <f>IF(I14="","",M14*IF(Services!$L$14="",0,Services!$L$14))</f>
        <v>0</v>
      </c>
      <c r="O14" s="29">
        <f>IF(I14="","",L14-N14)</f>
        <v>0</v>
      </c>
      <c r="P14" s="28">
        <f>IF(Lists!$AG14="","",Lists!$AG14)</f>
        <v>0</v>
      </c>
      <c r="Q14" s="29">
        <f>IF(P14="","",SUMIFS(Expenses!$F$5:$F$304,Expenses!$C$5:$C$304,P14,Expenses!$B$5:$B$304,"&gt;="&amp;PeriodStart,Expenses!$B$5:$B$304,"&lt;="&amp;PeriodEnd,Expenses!$J$5:$J$304,"&lt;&gt;Personal"))</f>
        <v>0</v>
      </c>
      <c r="R14" s="29">
        <f>IF(P14="","",SUMIFS(Expenses!$F$5:$F$304,Expenses!$C$5:$C$304,P14,Expenses!$B$5:$B$304,"&gt;="&amp;RepFrom,Expenses!$B$5:$B$304,"&lt;="&amp;RepTo,Expenses!$J$5:$J$304,"&lt;&gt;Personal"))</f>
        <v>0</v>
      </c>
      <c r="S14" s="21">
        <f>IF(ROW()-4&gt;12,"",DATE(Dash_Year,ROW()-4,1))</f>
        <v>0</v>
      </c>
      <c r="T14" s="21">
        <f>IF(S14="","",EOMONTH(S14,0))</f>
        <v>0</v>
      </c>
      <c r="U14" s="28">
        <f>IF(S14="","",TEXT(S14,"mmm"))</f>
        <v>0</v>
      </c>
      <c r="V14" s="29">
        <f>IF(S14="","",SUMIFS(Payments!$L$5:$L$304,Payments!$B$5:$B$304,"&gt;="&amp;S14,Payments!$B$5:$B$304,"&lt;="&amp;T14))</f>
        <v>0</v>
      </c>
      <c r="W14" s="29">
        <f>IF(S14="","",SUMIFS(Invoices!$O$5:$O$304,Invoices!$B$5:$B$304,"&gt;="&amp;S14,Invoices!$B$5:$B$304,"&lt;="&amp;T14,Invoices!$T$5:$T$304,"&lt;&gt;Cancelled"))</f>
        <v>0</v>
      </c>
      <c r="X14" s="29">
        <f>IF(S14="","",SUMIFS(Expenses!$F$5:$F$304,Expenses!$B$5:$B$304,"&gt;="&amp;S14,Expenses!$B$5:$B$304,"&lt;="&amp;T14,Expenses!$J$5:$J$304,"&lt;&gt;Personal"))</f>
        <v>0</v>
      </c>
      <c r="Y14" s="29">
        <f>IF(S14="","",V14-X14)</f>
        <v>0</v>
      </c>
      <c r="Z14" s="31">
        <f>IF(S14="","",COUNTIFS(Bookings!$I$5:$I$404,"&gt;="&amp;S14,Bookings!$I$5:$I$404,"&lt;="&amp;T14,Bookings!$AM$5:$AM$404,"&lt;&gt;Cancelled"))</f>
        <v>0</v>
      </c>
      <c r="AA14" s="31">
        <f>IF(S14="","",COUNTIFS(Bookings!$I$5:$I$404,"&gt;="&amp;S14,Bookings!$I$5:$I$404,"&lt;="&amp;T14,Bookings!$AM$5:$AM$404,"Completed"))</f>
        <v>0</v>
      </c>
      <c r="AB14" s="31">
        <f>IF(S14="","",COUNTIFS(Bookings!$I$5:$I$404,"&gt;="&amp;S14,Bookings!$I$5:$I$404,"&lt;="&amp;T14,Bookings!$AM$5:$AM$404,"Cancelled"))</f>
        <v>0</v>
      </c>
      <c r="AC14" s="31">
        <f>IF(S14="","",COUNTIFS('Visit Log'!$C$5:$C$404,"&gt;="&amp;S14,'Visit Log'!$C$5:$C$404,"&lt;="&amp;T14,'Visit Log'!$AE$5:$AE$404,"Completed"))</f>
        <v>0</v>
      </c>
      <c r="AD14" s="31">
        <f>IF(S14="","",COUNTIFS(Clients!$L$5:$L$254,"&gt;="&amp;S14,Clients!$L$5:$L$254,"&lt;="&amp;T14))</f>
        <v>0</v>
      </c>
      <c r="AE14" s="32">
        <f>IF(S14="","",SUMIFS(Mileage!$M$5:$M$304,Mileage!$B$5:$B$304,"&gt;="&amp;S14,Mileage!$B$5:$B$304,"&lt;="&amp;T14,Mileage!$N$5:$N$304,"Business"))</f>
        <v>0</v>
      </c>
      <c r="AF14" s="29">
        <f>IF(S14="","",SUMIFS(Payments!$L$5:$L$304,Payments!$B$5:$B$304,"&gt;="&amp;DATE(Dash_Year-1,ROW()-4,1),Payments!$B$5:$B$304,"&lt;="&amp;EOMONTH(DATE(Dash_Year-1,ROW()-4,1),0)))</f>
        <v>0</v>
      </c>
      <c r="AG14" s="28">
        <f>IF(Staff!$B$14="","",Staff!$B$14)</f>
        <v>0</v>
      </c>
      <c r="AH14" s="31">
        <f>IF(AG14="","",COUNTIFS('Visit Log'!$G$5:$G$404,AG14,'Visit Log'!$C$5:$C$404,"&gt;="&amp;RepFrom,'Visit Log'!$C$5:$C$404,"&lt;="&amp;RepTo,'Visit Log'!$AE$5:$AE$404,"Completed"))</f>
        <v>0</v>
      </c>
      <c r="AI14" s="51">
        <f>IF(AG14="","",ROUND(SUMIFS('Visit Log'!$K$5:$K$404,'Visit Log'!$G$5:$G$404,AG14,'Visit Log'!$C$5:$C$404,"&gt;="&amp;RepFrom,'Visit Log'!$C$5:$C$404,"&lt;="&amp;RepTo,'Visit Log'!$AE$5:$AE$404,"Completed")/60,2))</f>
        <v>0</v>
      </c>
      <c r="AJ14" s="29">
        <f>IF(AG14="","",SUMIFS(Bookings!$AK$5:$AK$404,Bookings!$AL$5:$AL$404,AG14,Bookings!$I$5:$I$404,"&gt;="&amp;RepFrom,Bookings!$I$5:$I$404,"&lt;="&amp;RepTo,Bookings!$AM$5:$AM$404,"&lt;&gt;Cancelled"))</f>
        <v>0</v>
      </c>
      <c r="AK14" s="32">
        <f>IF(AG14="","",SUMIFS(Mileage!$M$5:$M$304,Mileage!$C$5:$C$304,AG14,Mileage!$B$5:$B$304,"&gt;="&amp;RepFrom,Mileage!$B$5:$B$304,"&lt;="&amp;RepTo))</f>
        <v>0</v>
      </c>
      <c r="AL14" s="28">
        <f>IF(Lists!$Q14="","",Lists!$Q14)</f>
        <v>0</v>
      </c>
      <c r="AM14" s="31">
        <f>IF(AL14="","",COUNTIFS(Bookings!$AV$5:$AV$404,AL14,Bookings!$I$5:$I$404,"&gt;="&amp;RepFrom,Bookings!$I$5:$I$404,"&lt;="&amp;RepTo))</f>
        <v>0</v>
      </c>
      <c r="AN14" s="28">
        <f>IF(Lists!$AF14="","",Lists!$AF14)</f>
        <v>0</v>
      </c>
      <c r="AO14" s="29">
        <f>IF(AN14="","",SUMIFS(Payments!$L$5:$L$304,Payments!$F$5:$F$304,AN14,Payments!$B$5:$B$304,"&gt;="&amp;RepFrom,Payments!$B$5:$B$304,"&lt;="&amp;RepTo))</f>
        <v>0</v>
      </c>
      <c r="AP14" s="28">
        <f>IF(Lists!$E14="","",Lists!$E14)</f>
        <v>0</v>
      </c>
      <c r="AQ14" s="31">
        <f>IF(AP14="","",COUNTIFS(Clients!$K$5:$K$254,AP14))</f>
        <v>0</v>
      </c>
      <c r="AR14" s="29">
        <f>IF(AP14="","",SUMIFS(Clients!$AE$5:$AE$254,Clients!$K$5:$K$254,AP14))</f>
        <v>0</v>
      </c>
    </row>
    <row r="15" spans="1:44">
      <c r="A15" s="28">
        <f>IF(Clients!$B$15="","",Clients!$B$15)</f>
        <v>0</v>
      </c>
      <c r="B15" s="29">
        <f>IF(A15="","",SUMIFS(Payments!$L$5:$L$304,Payments!$C$5:$C$304,A15,Payments!$B$5:$B$304,"&gt;="&amp;PeriodStart,Payments!$B$5:$B$304,"&lt;="&amp;PeriodEnd))</f>
        <v>0</v>
      </c>
      <c r="C15" s="51">
        <f>IF(A15="","",IF(B15&lt;=0,"",B15+ROW()/1000000))</f>
        <v>0</v>
      </c>
      <c r="D15" s="29">
        <f>IF(A15="","",SUMIFS(Payments!$L$5:$L$304,Payments!$C$5:$C$304,A15,Payments!$B$5:$B$304,"&gt;="&amp;RepFrom,Payments!$B$5:$B$304,"&lt;="&amp;RepTo))</f>
        <v>0</v>
      </c>
      <c r="E15" s="51">
        <f>IF(A15="","",IF(D15&lt;=0,"",D15+ROW()/1000000))</f>
        <v>0</v>
      </c>
      <c r="F15" s="29">
        <f>IF(A15="","",SUMIFS(Invoices!$S$5:$S$304,Invoices!$D$5:$D$304,A15,Invoices!$T$5:$T$304,"&lt;&gt;Cancelled"))</f>
        <v>0</v>
      </c>
      <c r="G15" s="51">
        <f>IF(A15="","",IF(F15&lt;=0.004,"",F15+ROW()/1000000))</f>
        <v>0</v>
      </c>
      <c r="H15" s="31">
        <f>IF(A15="","",COUNTIFS(Bookings!$C$5:$C$404,A15,Bookings!$I$5:$I$404,"&gt;="&amp;RepFrom,Bookings!$I$5:$I$404,"&lt;="&amp;RepTo,Bookings!$AM$5:$AM$404,"&lt;&gt;Cancelled"))</f>
        <v>0</v>
      </c>
      <c r="I15" s="28">
        <f>IF(Services!$B$15="","",Services!$B$15)</f>
        <v>0</v>
      </c>
      <c r="J15" s="29">
        <f>IF(I15="","",SUMIFS(Bookings!$AK$5:$AK$404,Bookings!$H$5:$H$404,I15,Bookings!$I$5:$I$404,"&gt;="&amp;PeriodStart,Bookings!$I$5:$I$404,"&lt;="&amp;PeriodEnd,Bookings!$AM$5:$AM$404,"&lt;&gt;Cancelled"))</f>
        <v>0</v>
      </c>
      <c r="K15" s="31">
        <f>IF(I15="","",COUNTIFS(Bookings!$H$5:$H$404,I15,Bookings!$I$5:$I$404,"&gt;="&amp;PeriodStart,Bookings!$I$5:$I$404,"&lt;="&amp;PeriodEnd,Bookings!$AM$5:$AM$404,"&lt;&gt;Cancelled"))</f>
        <v>0</v>
      </c>
      <c r="L15" s="29">
        <f>IF(I15="","",SUMIFS(Bookings!$AK$5:$AK$404,Bookings!$H$5:$H$404,I15,Bookings!$I$5:$I$404,"&gt;="&amp;RepFrom,Bookings!$I$5:$I$404,"&lt;="&amp;RepTo,Bookings!$AM$5:$AM$404,"&lt;&gt;Cancelled"))</f>
        <v>0</v>
      </c>
      <c r="M15" s="31">
        <f>IF(I15="","",COUNTIFS(Bookings!$H$5:$H$404,I15,Bookings!$I$5:$I$404,"&gt;="&amp;RepFrom,Bookings!$I$5:$I$404,"&lt;="&amp;RepTo,Bookings!$AM$5:$AM$404,"&lt;&gt;Cancelled"))</f>
        <v>0</v>
      </c>
      <c r="N15" s="29">
        <f>IF(I15="","",M15*IF(Services!$L$15="",0,Services!$L$15))</f>
        <v>0</v>
      </c>
      <c r="O15" s="29">
        <f>IF(I15="","",L15-N15)</f>
        <v>0</v>
      </c>
      <c r="P15" s="28">
        <f>IF(Lists!$AG15="","",Lists!$AG15)</f>
        <v>0</v>
      </c>
      <c r="Q15" s="29">
        <f>IF(P15="","",SUMIFS(Expenses!$F$5:$F$304,Expenses!$C$5:$C$304,P15,Expenses!$B$5:$B$304,"&gt;="&amp;PeriodStart,Expenses!$B$5:$B$304,"&lt;="&amp;PeriodEnd,Expenses!$J$5:$J$304,"&lt;&gt;Personal"))</f>
        <v>0</v>
      </c>
      <c r="R15" s="29">
        <f>IF(P15="","",SUMIFS(Expenses!$F$5:$F$304,Expenses!$C$5:$C$304,P15,Expenses!$B$5:$B$304,"&gt;="&amp;RepFrom,Expenses!$B$5:$B$304,"&lt;="&amp;RepTo,Expenses!$J$5:$J$304,"&lt;&gt;Personal"))</f>
        <v>0</v>
      </c>
      <c r="S15" s="21">
        <f>IF(ROW()-4&gt;12,"",DATE(Dash_Year,ROW()-4,1))</f>
        <v>0</v>
      </c>
      <c r="T15" s="21">
        <f>IF(S15="","",EOMONTH(S15,0))</f>
        <v>0</v>
      </c>
      <c r="U15" s="28">
        <f>IF(S15="","",TEXT(S15,"mmm"))</f>
        <v>0</v>
      </c>
      <c r="V15" s="29">
        <f>IF(S15="","",SUMIFS(Payments!$L$5:$L$304,Payments!$B$5:$B$304,"&gt;="&amp;S15,Payments!$B$5:$B$304,"&lt;="&amp;T15))</f>
        <v>0</v>
      </c>
      <c r="W15" s="29">
        <f>IF(S15="","",SUMIFS(Invoices!$O$5:$O$304,Invoices!$B$5:$B$304,"&gt;="&amp;S15,Invoices!$B$5:$B$304,"&lt;="&amp;T15,Invoices!$T$5:$T$304,"&lt;&gt;Cancelled"))</f>
        <v>0</v>
      </c>
      <c r="X15" s="29">
        <f>IF(S15="","",SUMIFS(Expenses!$F$5:$F$304,Expenses!$B$5:$B$304,"&gt;="&amp;S15,Expenses!$B$5:$B$304,"&lt;="&amp;T15,Expenses!$J$5:$J$304,"&lt;&gt;Personal"))</f>
        <v>0</v>
      </c>
      <c r="Y15" s="29">
        <f>IF(S15="","",V15-X15)</f>
        <v>0</v>
      </c>
      <c r="Z15" s="31">
        <f>IF(S15="","",COUNTIFS(Bookings!$I$5:$I$404,"&gt;="&amp;S15,Bookings!$I$5:$I$404,"&lt;="&amp;T15,Bookings!$AM$5:$AM$404,"&lt;&gt;Cancelled"))</f>
        <v>0</v>
      </c>
      <c r="AA15" s="31">
        <f>IF(S15="","",COUNTIFS(Bookings!$I$5:$I$404,"&gt;="&amp;S15,Bookings!$I$5:$I$404,"&lt;="&amp;T15,Bookings!$AM$5:$AM$404,"Completed"))</f>
        <v>0</v>
      </c>
      <c r="AB15" s="31">
        <f>IF(S15="","",COUNTIFS(Bookings!$I$5:$I$404,"&gt;="&amp;S15,Bookings!$I$5:$I$404,"&lt;="&amp;T15,Bookings!$AM$5:$AM$404,"Cancelled"))</f>
        <v>0</v>
      </c>
      <c r="AC15" s="31">
        <f>IF(S15="","",COUNTIFS('Visit Log'!$C$5:$C$404,"&gt;="&amp;S15,'Visit Log'!$C$5:$C$404,"&lt;="&amp;T15,'Visit Log'!$AE$5:$AE$404,"Completed"))</f>
        <v>0</v>
      </c>
      <c r="AD15" s="31">
        <f>IF(S15="","",COUNTIFS(Clients!$L$5:$L$254,"&gt;="&amp;S15,Clients!$L$5:$L$254,"&lt;="&amp;T15))</f>
        <v>0</v>
      </c>
      <c r="AE15" s="32">
        <f>IF(S15="","",SUMIFS(Mileage!$M$5:$M$304,Mileage!$B$5:$B$304,"&gt;="&amp;S15,Mileage!$B$5:$B$304,"&lt;="&amp;T15,Mileage!$N$5:$N$304,"Business"))</f>
        <v>0</v>
      </c>
      <c r="AF15" s="29">
        <f>IF(S15="","",SUMIFS(Payments!$L$5:$L$304,Payments!$B$5:$B$304,"&gt;="&amp;DATE(Dash_Year-1,ROW()-4,1),Payments!$B$5:$B$304,"&lt;="&amp;EOMONTH(DATE(Dash_Year-1,ROW()-4,1),0)))</f>
        <v>0</v>
      </c>
      <c r="AG15" s="28">
        <f>IF(Staff!$B$15="","",Staff!$B$15)</f>
        <v>0</v>
      </c>
      <c r="AH15" s="31">
        <f>IF(AG15="","",COUNTIFS('Visit Log'!$G$5:$G$404,AG15,'Visit Log'!$C$5:$C$404,"&gt;="&amp;RepFrom,'Visit Log'!$C$5:$C$404,"&lt;="&amp;RepTo,'Visit Log'!$AE$5:$AE$404,"Completed"))</f>
        <v>0</v>
      </c>
      <c r="AI15" s="51">
        <f>IF(AG15="","",ROUND(SUMIFS('Visit Log'!$K$5:$K$404,'Visit Log'!$G$5:$G$404,AG15,'Visit Log'!$C$5:$C$404,"&gt;="&amp;RepFrom,'Visit Log'!$C$5:$C$404,"&lt;="&amp;RepTo,'Visit Log'!$AE$5:$AE$404,"Completed")/60,2))</f>
        <v>0</v>
      </c>
      <c r="AJ15" s="29">
        <f>IF(AG15="","",SUMIFS(Bookings!$AK$5:$AK$404,Bookings!$AL$5:$AL$404,AG15,Bookings!$I$5:$I$404,"&gt;="&amp;RepFrom,Bookings!$I$5:$I$404,"&lt;="&amp;RepTo,Bookings!$AM$5:$AM$404,"&lt;&gt;Cancelled"))</f>
        <v>0</v>
      </c>
      <c r="AK15" s="32">
        <f>IF(AG15="","",SUMIFS(Mileage!$M$5:$M$304,Mileage!$C$5:$C$304,AG15,Mileage!$B$5:$B$304,"&gt;="&amp;RepFrom,Mileage!$B$5:$B$304,"&lt;="&amp;RepTo))</f>
        <v>0</v>
      </c>
      <c r="AL15" s="28">
        <f>IF(Lists!$Q15="","",Lists!$Q15)</f>
        <v>0</v>
      </c>
      <c r="AM15" s="31">
        <f>IF(AL15="","",COUNTIFS(Bookings!$AV$5:$AV$404,AL15,Bookings!$I$5:$I$404,"&gt;="&amp;RepFrom,Bookings!$I$5:$I$404,"&lt;="&amp;RepTo))</f>
        <v>0</v>
      </c>
      <c r="AN15" s="28">
        <f>IF(Lists!$AF15="","",Lists!$AF15)</f>
        <v>0</v>
      </c>
      <c r="AO15" s="29">
        <f>IF(AN15="","",SUMIFS(Payments!$L$5:$L$304,Payments!$F$5:$F$304,AN15,Payments!$B$5:$B$304,"&gt;="&amp;RepFrom,Payments!$B$5:$B$304,"&lt;="&amp;RepTo))</f>
        <v>0</v>
      </c>
      <c r="AP15" s="28">
        <f>IF(Lists!$E15="","",Lists!$E15)</f>
        <v>0</v>
      </c>
      <c r="AQ15" s="31">
        <f>IF(AP15="","",COUNTIFS(Clients!$K$5:$K$254,AP15))</f>
        <v>0</v>
      </c>
      <c r="AR15" s="29">
        <f>IF(AP15="","",SUMIFS(Clients!$AE$5:$AE$254,Clients!$K$5:$K$254,AP15))</f>
        <v>0</v>
      </c>
    </row>
    <row r="16" spans="1:44">
      <c r="A16" s="28">
        <f>IF(Clients!$B$16="","",Clients!$B$16)</f>
        <v>0</v>
      </c>
      <c r="B16" s="29">
        <f>IF(A16="","",SUMIFS(Payments!$L$5:$L$304,Payments!$C$5:$C$304,A16,Payments!$B$5:$B$304,"&gt;="&amp;PeriodStart,Payments!$B$5:$B$304,"&lt;="&amp;PeriodEnd))</f>
        <v>0</v>
      </c>
      <c r="C16" s="51">
        <f>IF(A16="","",IF(B16&lt;=0,"",B16+ROW()/1000000))</f>
        <v>0</v>
      </c>
      <c r="D16" s="29">
        <f>IF(A16="","",SUMIFS(Payments!$L$5:$L$304,Payments!$C$5:$C$304,A16,Payments!$B$5:$B$304,"&gt;="&amp;RepFrom,Payments!$B$5:$B$304,"&lt;="&amp;RepTo))</f>
        <v>0</v>
      </c>
      <c r="E16" s="51">
        <f>IF(A16="","",IF(D16&lt;=0,"",D16+ROW()/1000000))</f>
        <v>0</v>
      </c>
      <c r="F16" s="29">
        <f>IF(A16="","",SUMIFS(Invoices!$S$5:$S$304,Invoices!$D$5:$D$304,A16,Invoices!$T$5:$T$304,"&lt;&gt;Cancelled"))</f>
        <v>0</v>
      </c>
      <c r="G16" s="51">
        <f>IF(A16="","",IF(F16&lt;=0.004,"",F16+ROW()/1000000))</f>
        <v>0</v>
      </c>
      <c r="H16" s="31">
        <f>IF(A16="","",COUNTIFS(Bookings!$C$5:$C$404,A16,Bookings!$I$5:$I$404,"&gt;="&amp;RepFrom,Bookings!$I$5:$I$404,"&lt;="&amp;RepTo,Bookings!$AM$5:$AM$404,"&lt;&gt;Cancelled"))</f>
        <v>0</v>
      </c>
      <c r="I16" s="28">
        <f>IF(Services!$B$16="","",Services!$B$16)</f>
        <v>0</v>
      </c>
      <c r="J16" s="29">
        <f>IF(I16="","",SUMIFS(Bookings!$AK$5:$AK$404,Bookings!$H$5:$H$404,I16,Bookings!$I$5:$I$404,"&gt;="&amp;PeriodStart,Bookings!$I$5:$I$404,"&lt;="&amp;PeriodEnd,Bookings!$AM$5:$AM$404,"&lt;&gt;Cancelled"))</f>
        <v>0</v>
      </c>
      <c r="K16" s="31">
        <f>IF(I16="","",COUNTIFS(Bookings!$H$5:$H$404,I16,Bookings!$I$5:$I$404,"&gt;="&amp;PeriodStart,Bookings!$I$5:$I$404,"&lt;="&amp;PeriodEnd,Bookings!$AM$5:$AM$404,"&lt;&gt;Cancelled"))</f>
        <v>0</v>
      </c>
      <c r="L16" s="29">
        <f>IF(I16="","",SUMIFS(Bookings!$AK$5:$AK$404,Bookings!$H$5:$H$404,I16,Bookings!$I$5:$I$404,"&gt;="&amp;RepFrom,Bookings!$I$5:$I$404,"&lt;="&amp;RepTo,Bookings!$AM$5:$AM$404,"&lt;&gt;Cancelled"))</f>
        <v>0</v>
      </c>
      <c r="M16" s="31">
        <f>IF(I16="","",COUNTIFS(Bookings!$H$5:$H$404,I16,Bookings!$I$5:$I$404,"&gt;="&amp;RepFrom,Bookings!$I$5:$I$404,"&lt;="&amp;RepTo,Bookings!$AM$5:$AM$404,"&lt;&gt;Cancelled"))</f>
        <v>0</v>
      </c>
      <c r="N16" s="29">
        <f>IF(I16="","",M16*IF(Services!$L$16="",0,Services!$L$16))</f>
        <v>0</v>
      </c>
      <c r="O16" s="29">
        <f>IF(I16="","",L16-N16)</f>
        <v>0</v>
      </c>
      <c r="P16" s="28">
        <f>IF(Lists!$AG16="","",Lists!$AG16)</f>
        <v>0</v>
      </c>
      <c r="Q16" s="29">
        <f>IF(P16="","",SUMIFS(Expenses!$F$5:$F$304,Expenses!$C$5:$C$304,P16,Expenses!$B$5:$B$304,"&gt;="&amp;PeriodStart,Expenses!$B$5:$B$304,"&lt;="&amp;PeriodEnd,Expenses!$J$5:$J$304,"&lt;&gt;Personal"))</f>
        <v>0</v>
      </c>
      <c r="R16" s="29">
        <f>IF(P16="","",SUMIFS(Expenses!$F$5:$F$304,Expenses!$C$5:$C$304,P16,Expenses!$B$5:$B$304,"&gt;="&amp;RepFrom,Expenses!$B$5:$B$304,"&lt;="&amp;RepTo,Expenses!$J$5:$J$304,"&lt;&gt;Personal"))</f>
        <v>0</v>
      </c>
      <c r="S16" s="21">
        <f>IF(ROW()-4&gt;12,"",DATE(Dash_Year,ROW()-4,1))</f>
        <v>0</v>
      </c>
      <c r="T16" s="21">
        <f>IF(S16="","",EOMONTH(S16,0))</f>
        <v>0</v>
      </c>
      <c r="U16" s="28">
        <f>IF(S16="","",TEXT(S16,"mmm"))</f>
        <v>0</v>
      </c>
      <c r="V16" s="29">
        <f>IF(S16="","",SUMIFS(Payments!$L$5:$L$304,Payments!$B$5:$B$304,"&gt;="&amp;S16,Payments!$B$5:$B$304,"&lt;="&amp;T16))</f>
        <v>0</v>
      </c>
      <c r="W16" s="29">
        <f>IF(S16="","",SUMIFS(Invoices!$O$5:$O$304,Invoices!$B$5:$B$304,"&gt;="&amp;S16,Invoices!$B$5:$B$304,"&lt;="&amp;T16,Invoices!$T$5:$T$304,"&lt;&gt;Cancelled"))</f>
        <v>0</v>
      </c>
      <c r="X16" s="29">
        <f>IF(S16="","",SUMIFS(Expenses!$F$5:$F$304,Expenses!$B$5:$B$304,"&gt;="&amp;S16,Expenses!$B$5:$B$304,"&lt;="&amp;T16,Expenses!$J$5:$J$304,"&lt;&gt;Personal"))</f>
        <v>0</v>
      </c>
      <c r="Y16" s="29">
        <f>IF(S16="","",V16-X16)</f>
        <v>0</v>
      </c>
      <c r="Z16" s="31">
        <f>IF(S16="","",COUNTIFS(Bookings!$I$5:$I$404,"&gt;="&amp;S16,Bookings!$I$5:$I$404,"&lt;="&amp;T16,Bookings!$AM$5:$AM$404,"&lt;&gt;Cancelled"))</f>
        <v>0</v>
      </c>
      <c r="AA16" s="31">
        <f>IF(S16="","",COUNTIFS(Bookings!$I$5:$I$404,"&gt;="&amp;S16,Bookings!$I$5:$I$404,"&lt;="&amp;T16,Bookings!$AM$5:$AM$404,"Completed"))</f>
        <v>0</v>
      </c>
      <c r="AB16" s="31">
        <f>IF(S16="","",COUNTIFS(Bookings!$I$5:$I$404,"&gt;="&amp;S16,Bookings!$I$5:$I$404,"&lt;="&amp;T16,Bookings!$AM$5:$AM$404,"Cancelled"))</f>
        <v>0</v>
      </c>
      <c r="AC16" s="31">
        <f>IF(S16="","",COUNTIFS('Visit Log'!$C$5:$C$404,"&gt;="&amp;S16,'Visit Log'!$C$5:$C$404,"&lt;="&amp;T16,'Visit Log'!$AE$5:$AE$404,"Completed"))</f>
        <v>0</v>
      </c>
      <c r="AD16" s="31">
        <f>IF(S16="","",COUNTIFS(Clients!$L$5:$L$254,"&gt;="&amp;S16,Clients!$L$5:$L$254,"&lt;="&amp;T16))</f>
        <v>0</v>
      </c>
      <c r="AE16" s="32">
        <f>IF(S16="","",SUMIFS(Mileage!$M$5:$M$304,Mileage!$B$5:$B$304,"&gt;="&amp;S16,Mileage!$B$5:$B$304,"&lt;="&amp;T16,Mileage!$N$5:$N$304,"Business"))</f>
        <v>0</v>
      </c>
      <c r="AF16" s="29">
        <f>IF(S16="","",SUMIFS(Payments!$L$5:$L$304,Payments!$B$5:$B$304,"&gt;="&amp;DATE(Dash_Year-1,ROW()-4,1),Payments!$B$5:$B$304,"&lt;="&amp;EOMONTH(DATE(Dash_Year-1,ROW()-4,1),0)))</f>
        <v>0</v>
      </c>
      <c r="AG16" s="28">
        <f>IF(Staff!$B$16="","",Staff!$B$16)</f>
        <v>0</v>
      </c>
      <c r="AH16" s="31">
        <f>IF(AG16="","",COUNTIFS('Visit Log'!$G$5:$G$404,AG16,'Visit Log'!$C$5:$C$404,"&gt;="&amp;RepFrom,'Visit Log'!$C$5:$C$404,"&lt;="&amp;RepTo,'Visit Log'!$AE$5:$AE$404,"Completed"))</f>
        <v>0</v>
      </c>
      <c r="AI16" s="51">
        <f>IF(AG16="","",ROUND(SUMIFS('Visit Log'!$K$5:$K$404,'Visit Log'!$G$5:$G$404,AG16,'Visit Log'!$C$5:$C$404,"&gt;="&amp;RepFrom,'Visit Log'!$C$5:$C$404,"&lt;="&amp;RepTo,'Visit Log'!$AE$5:$AE$404,"Completed")/60,2))</f>
        <v>0</v>
      </c>
      <c r="AJ16" s="29">
        <f>IF(AG16="","",SUMIFS(Bookings!$AK$5:$AK$404,Bookings!$AL$5:$AL$404,AG16,Bookings!$I$5:$I$404,"&gt;="&amp;RepFrom,Bookings!$I$5:$I$404,"&lt;="&amp;RepTo,Bookings!$AM$5:$AM$404,"&lt;&gt;Cancelled"))</f>
        <v>0</v>
      </c>
      <c r="AK16" s="32">
        <f>IF(AG16="","",SUMIFS(Mileage!$M$5:$M$304,Mileage!$C$5:$C$304,AG16,Mileage!$B$5:$B$304,"&gt;="&amp;RepFrom,Mileage!$B$5:$B$304,"&lt;="&amp;RepTo))</f>
        <v>0</v>
      </c>
      <c r="AL16" s="28">
        <f>IF(Lists!$Q16="","",Lists!$Q16)</f>
        <v>0</v>
      </c>
      <c r="AM16" s="31">
        <f>IF(AL16="","",COUNTIFS(Bookings!$AV$5:$AV$404,AL16,Bookings!$I$5:$I$404,"&gt;="&amp;RepFrom,Bookings!$I$5:$I$404,"&lt;="&amp;RepTo))</f>
        <v>0</v>
      </c>
      <c r="AN16" s="28">
        <f>IF(Lists!$AF16="","",Lists!$AF16)</f>
        <v>0</v>
      </c>
      <c r="AO16" s="29">
        <f>IF(AN16="","",SUMIFS(Payments!$L$5:$L$304,Payments!$F$5:$F$304,AN16,Payments!$B$5:$B$304,"&gt;="&amp;RepFrom,Payments!$B$5:$B$304,"&lt;="&amp;RepTo))</f>
        <v>0</v>
      </c>
      <c r="AP16" s="28">
        <f>IF(Lists!$E16="","",Lists!$E16)</f>
        <v>0</v>
      </c>
      <c r="AQ16" s="31">
        <f>IF(AP16="","",COUNTIFS(Clients!$K$5:$K$254,AP16))</f>
        <v>0</v>
      </c>
      <c r="AR16" s="29">
        <f>IF(AP16="","",SUMIFS(Clients!$AE$5:$AE$254,Clients!$K$5:$K$254,AP16))</f>
        <v>0</v>
      </c>
    </row>
    <row r="17" spans="1:44">
      <c r="A17" s="28">
        <f>IF(Clients!$B$17="","",Clients!$B$17)</f>
        <v>0</v>
      </c>
      <c r="B17" s="29">
        <f>IF(A17="","",SUMIFS(Payments!$L$5:$L$304,Payments!$C$5:$C$304,A17,Payments!$B$5:$B$304,"&gt;="&amp;PeriodStart,Payments!$B$5:$B$304,"&lt;="&amp;PeriodEnd))</f>
        <v>0</v>
      </c>
      <c r="C17" s="51">
        <f>IF(A17="","",IF(B17&lt;=0,"",B17+ROW()/1000000))</f>
        <v>0</v>
      </c>
      <c r="D17" s="29">
        <f>IF(A17="","",SUMIFS(Payments!$L$5:$L$304,Payments!$C$5:$C$304,A17,Payments!$B$5:$B$304,"&gt;="&amp;RepFrom,Payments!$B$5:$B$304,"&lt;="&amp;RepTo))</f>
        <v>0</v>
      </c>
      <c r="E17" s="51">
        <f>IF(A17="","",IF(D17&lt;=0,"",D17+ROW()/1000000))</f>
        <v>0</v>
      </c>
      <c r="F17" s="29">
        <f>IF(A17="","",SUMIFS(Invoices!$S$5:$S$304,Invoices!$D$5:$D$304,A17,Invoices!$T$5:$T$304,"&lt;&gt;Cancelled"))</f>
        <v>0</v>
      </c>
      <c r="G17" s="51">
        <f>IF(A17="","",IF(F17&lt;=0.004,"",F17+ROW()/1000000))</f>
        <v>0</v>
      </c>
      <c r="H17" s="31">
        <f>IF(A17="","",COUNTIFS(Bookings!$C$5:$C$404,A17,Bookings!$I$5:$I$404,"&gt;="&amp;RepFrom,Bookings!$I$5:$I$404,"&lt;="&amp;RepTo,Bookings!$AM$5:$AM$404,"&lt;&gt;Cancelled"))</f>
        <v>0</v>
      </c>
      <c r="I17" s="28">
        <f>IF(Services!$B$17="","",Services!$B$17)</f>
        <v>0</v>
      </c>
      <c r="J17" s="29">
        <f>IF(I17="","",SUMIFS(Bookings!$AK$5:$AK$404,Bookings!$H$5:$H$404,I17,Bookings!$I$5:$I$404,"&gt;="&amp;PeriodStart,Bookings!$I$5:$I$404,"&lt;="&amp;PeriodEnd,Bookings!$AM$5:$AM$404,"&lt;&gt;Cancelled"))</f>
        <v>0</v>
      </c>
      <c r="K17" s="31">
        <f>IF(I17="","",COUNTIFS(Bookings!$H$5:$H$404,I17,Bookings!$I$5:$I$404,"&gt;="&amp;PeriodStart,Bookings!$I$5:$I$404,"&lt;="&amp;PeriodEnd,Bookings!$AM$5:$AM$404,"&lt;&gt;Cancelled"))</f>
        <v>0</v>
      </c>
      <c r="L17" s="29">
        <f>IF(I17="","",SUMIFS(Bookings!$AK$5:$AK$404,Bookings!$H$5:$H$404,I17,Bookings!$I$5:$I$404,"&gt;="&amp;RepFrom,Bookings!$I$5:$I$404,"&lt;="&amp;RepTo,Bookings!$AM$5:$AM$404,"&lt;&gt;Cancelled"))</f>
        <v>0</v>
      </c>
      <c r="M17" s="31">
        <f>IF(I17="","",COUNTIFS(Bookings!$H$5:$H$404,I17,Bookings!$I$5:$I$404,"&gt;="&amp;RepFrom,Bookings!$I$5:$I$404,"&lt;="&amp;RepTo,Bookings!$AM$5:$AM$404,"&lt;&gt;Cancelled"))</f>
        <v>0</v>
      </c>
      <c r="N17" s="29">
        <f>IF(I17="","",M17*IF(Services!$L$17="",0,Services!$L$17))</f>
        <v>0</v>
      </c>
      <c r="O17" s="29">
        <f>IF(I17="","",L17-N17)</f>
        <v>0</v>
      </c>
      <c r="P17" s="28">
        <f>IF(Lists!$AG17="","",Lists!$AG17)</f>
        <v>0</v>
      </c>
      <c r="Q17" s="29">
        <f>IF(P17="","",SUMIFS(Expenses!$F$5:$F$304,Expenses!$C$5:$C$304,P17,Expenses!$B$5:$B$304,"&gt;="&amp;PeriodStart,Expenses!$B$5:$B$304,"&lt;="&amp;PeriodEnd,Expenses!$J$5:$J$304,"&lt;&gt;Personal"))</f>
        <v>0</v>
      </c>
      <c r="R17" s="29">
        <f>IF(P17="","",SUMIFS(Expenses!$F$5:$F$304,Expenses!$C$5:$C$304,P17,Expenses!$B$5:$B$304,"&gt;="&amp;RepFrom,Expenses!$B$5:$B$304,"&lt;="&amp;RepTo,Expenses!$J$5:$J$304,"&lt;&gt;Personal"))</f>
        <v>0</v>
      </c>
      <c r="S17" s="21">
        <f>IF(ROW()-4&gt;12,"",DATE(Dash_Year,ROW()-4,1))</f>
        <v>0</v>
      </c>
      <c r="T17" s="21">
        <f>IF(S17="","",EOMONTH(S17,0))</f>
        <v>0</v>
      </c>
      <c r="U17" s="28">
        <f>IF(S17="","",TEXT(S17,"mmm"))</f>
        <v>0</v>
      </c>
      <c r="V17" s="29">
        <f>IF(S17="","",SUMIFS(Payments!$L$5:$L$304,Payments!$B$5:$B$304,"&gt;="&amp;S17,Payments!$B$5:$B$304,"&lt;="&amp;T17))</f>
        <v>0</v>
      </c>
      <c r="W17" s="29">
        <f>IF(S17="","",SUMIFS(Invoices!$O$5:$O$304,Invoices!$B$5:$B$304,"&gt;="&amp;S17,Invoices!$B$5:$B$304,"&lt;="&amp;T17,Invoices!$T$5:$T$304,"&lt;&gt;Cancelled"))</f>
        <v>0</v>
      </c>
      <c r="X17" s="29">
        <f>IF(S17="","",SUMIFS(Expenses!$F$5:$F$304,Expenses!$B$5:$B$304,"&gt;="&amp;S17,Expenses!$B$5:$B$304,"&lt;="&amp;T17,Expenses!$J$5:$J$304,"&lt;&gt;Personal"))</f>
        <v>0</v>
      </c>
      <c r="Y17" s="29">
        <f>IF(S17="","",V17-X17)</f>
        <v>0</v>
      </c>
      <c r="Z17" s="31">
        <f>IF(S17="","",COUNTIFS(Bookings!$I$5:$I$404,"&gt;="&amp;S17,Bookings!$I$5:$I$404,"&lt;="&amp;T17,Bookings!$AM$5:$AM$404,"&lt;&gt;Cancelled"))</f>
        <v>0</v>
      </c>
      <c r="AA17" s="31">
        <f>IF(S17="","",COUNTIFS(Bookings!$I$5:$I$404,"&gt;="&amp;S17,Bookings!$I$5:$I$404,"&lt;="&amp;T17,Bookings!$AM$5:$AM$404,"Completed"))</f>
        <v>0</v>
      </c>
      <c r="AB17" s="31">
        <f>IF(S17="","",COUNTIFS(Bookings!$I$5:$I$404,"&gt;="&amp;S17,Bookings!$I$5:$I$404,"&lt;="&amp;T17,Bookings!$AM$5:$AM$404,"Cancelled"))</f>
        <v>0</v>
      </c>
      <c r="AC17" s="31">
        <f>IF(S17="","",COUNTIFS('Visit Log'!$C$5:$C$404,"&gt;="&amp;S17,'Visit Log'!$C$5:$C$404,"&lt;="&amp;T17,'Visit Log'!$AE$5:$AE$404,"Completed"))</f>
        <v>0</v>
      </c>
      <c r="AD17" s="31">
        <f>IF(S17="","",COUNTIFS(Clients!$L$5:$L$254,"&gt;="&amp;S17,Clients!$L$5:$L$254,"&lt;="&amp;T17))</f>
        <v>0</v>
      </c>
      <c r="AE17" s="32">
        <f>IF(S17="","",SUMIFS(Mileage!$M$5:$M$304,Mileage!$B$5:$B$304,"&gt;="&amp;S17,Mileage!$B$5:$B$304,"&lt;="&amp;T17,Mileage!$N$5:$N$304,"Business"))</f>
        <v>0</v>
      </c>
      <c r="AF17" s="29">
        <f>IF(S17="","",SUMIFS(Payments!$L$5:$L$304,Payments!$B$5:$B$304,"&gt;="&amp;DATE(Dash_Year-1,ROW()-4,1),Payments!$B$5:$B$304,"&lt;="&amp;EOMONTH(DATE(Dash_Year-1,ROW()-4,1),0)))</f>
        <v>0</v>
      </c>
      <c r="AG17" s="28">
        <f>IF(Staff!$B$17="","",Staff!$B$17)</f>
        <v>0</v>
      </c>
      <c r="AH17" s="31">
        <f>IF(AG17="","",COUNTIFS('Visit Log'!$G$5:$G$404,AG17,'Visit Log'!$C$5:$C$404,"&gt;="&amp;RepFrom,'Visit Log'!$C$5:$C$404,"&lt;="&amp;RepTo,'Visit Log'!$AE$5:$AE$404,"Completed"))</f>
        <v>0</v>
      </c>
      <c r="AI17" s="51">
        <f>IF(AG17="","",ROUND(SUMIFS('Visit Log'!$K$5:$K$404,'Visit Log'!$G$5:$G$404,AG17,'Visit Log'!$C$5:$C$404,"&gt;="&amp;RepFrom,'Visit Log'!$C$5:$C$404,"&lt;="&amp;RepTo,'Visit Log'!$AE$5:$AE$404,"Completed")/60,2))</f>
        <v>0</v>
      </c>
      <c r="AJ17" s="29">
        <f>IF(AG17="","",SUMIFS(Bookings!$AK$5:$AK$404,Bookings!$AL$5:$AL$404,AG17,Bookings!$I$5:$I$404,"&gt;="&amp;RepFrom,Bookings!$I$5:$I$404,"&lt;="&amp;RepTo,Bookings!$AM$5:$AM$404,"&lt;&gt;Cancelled"))</f>
        <v>0</v>
      </c>
      <c r="AK17" s="32">
        <f>IF(AG17="","",SUMIFS(Mileage!$M$5:$M$304,Mileage!$C$5:$C$304,AG17,Mileage!$B$5:$B$304,"&gt;="&amp;RepFrom,Mileage!$B$5:$B$304,"&lt;="&amp;RepTo))</f>
        <v>0</v>
      </c>
      <c r="AL17" s="28">
        <f>IF(Lists!$Q17="","",Lists!$Q17)</f>
        <v>0</v>
      </c>
      <c r="AM17" s="31">
        <f>IF(AL17="","",COUNTIFS(Bookings!$AV$5:$AV$404,AL17,Bookings!$I$5:$I$404,"&gt;="&amp;RepFrom,Bookings!$I$5:$I$404,"&lt;="&amp;RepTo))</f>
        <v>0</v>
      </c>
      <c r="AN17" s="28">
        <f>IF(Lists!$AF17="","",Lists!$AF17)</f>
        <v>0</v>
      </c>
      <c r="AO17" s="29">
        <f>IF(AN17="","",SUMIFS(Payments!$L$5:$L$304,Payments!$F$5:$F$304,AN17,Payments!$B$5:$B$304,"&gt;="&amp;RepFrom,Payments!$B$5:$B$304,"&lt;="&amp;RepTo))</f>
        <v>0</v>
      </c>
      <c r="AP17" s="28">
        <f>IF(Lists!$E17="","",Lists!$E17)</f>
        <v>0</v>
      </c>
      <c r="AQ17" s="31">
        <f>IF(AP17="","",COUNTIFS(Clients!$K$5:$K$254,AP17))</f>
        <v>0</v>
      </c>
      <c r="AR17" s="29">
        <f>IF(AP17="","",SUMIFS(Clients!$AE$5:$AE$254,Clients!$K$5:$K$254,AP17))</f>
        <v>0</v>
      </c>
    </row>
    <row r="18" spans="1:44">
      <c r="A18" s="28">
        <f>IF(Clients!$B$18="","",Clients!$B$18)</f>
        <v>0</v>
      </c>
      <c r="B18" s="29">
        <f>IF(A18="","",SUMIFS(Payments!$L$5:$L$304,Payments!$C$5:$C$304,A18,Payments!$B$5:$B$304,"&gt;="&amp;PeriodStart,Payments!$B$5:$B$304,"&lt;="&amp;PeriodEnd))</f>
        <v>0</v>
      </c>
      <c r="C18" s="51">
        <f>IF(A18="","",IF(B18&lt;=0,"",B18+ROW()/1000000))</f>
        <v>0</v>
      </c>
      <c r="D18" s="29">
        <f>IF(A18="","",SUMIFS(Payments!$L$5:$L$304,Payments!$C$5:$C$304,A18,Payments!$B$5:$B$304,"&gt;="&amp;RepFrom,Payments!$B$5:$B$304,"&lt;="&amp;RepTo))</f>
        <v>0</v>
      </c>
      <c r="E18" s="51">
        <f>IF(A18="","",IF(D18&lt;=0,"",D18+ROW()/1000000))</f>
        <v>0</v>
      </c>
      <c r="F18" s="29">
        <f>IF(A18="","",SUMIFS(Invoices!$S$5:$S$304,Invoices!$D$5:$D$304,A18,Invoices!$T$5:$T$304,"&lt;&gt;Cancelled"))</f>
        <v>0</v>
      </c>
      <c r="G18" s="51">
        <f>IF(A18="","",IF(F18&lt;=0.004,"",F18+ROW()/1000000))</f>
        <v>0</v>
      </c>
      <c r="H18" s="31">
        <f>IF(A18="","",COUNTIFS(Bookings!$C$5:$C$404,A18,Bookings!$I$5:$I$404,"&gt;="&amp;RepFrom,Bookings!$I$5:$I$404,"&lt;="&amp;RepTo,Bookings!$AM$5:$AM$404,"&lt;&gt;Cancelled"))</f>
        <v>0</v>
      </c>
      <c r="I18" s="28">
        <f>IF(Services!$B$18="","",Services!$B$18)</f>
        <v>0</v>
      </c>
      <c r="J18" s="29">
        <f>IF(I18="","",SUMIFS(Bookings!$AK$5:$AK$404,Bookings!$H$5:$H$404,I18,Bookings!$I$5:$I$404,"&gt;="&amp;PeriodStart,Bookings!$I$5:$I$404,"&lt;="&amp;PeriodEnd,Bookings!$AM$5:$AM$404,"&lt;&gt;Cancelled"))</f>
        <v>0</v>
      </c>
      <c r="K18" s="31">
        <f>IF(I18="","",COUNTIFS(Bookings!$H$5:$H$404,I18,Bookings!$I$5:$I$404,"&gt;="&amp;PeriodStart,Bookings!$I$5:$I$404,"&lt;="&amp;PeriodEnd,Bookings!$AM$5:$AM$404,"&lt;&gt;Cancelled"))</f>
        <v>0</v>
      </c>
      <c r="L18" s="29">
        <f>IF(I18="","",SUMIFS(Bookings!$AK$5:$AK$404,Bookings!$H$5:$H$404,I18,Bookings!$I$5:$I$404,"&gt;="&amp;RepFrom,Bookings!$I$5:$I$404,"&lt;="&amp;RepTo,Bookings!$AM$5:$AM$404,"&lt;&gt;Cancelled"))</f>
        <v>0</v>
      </c>
      <c r="M18" s="31">
        <f>IF(I18="","",COUNTIFS(Bookings!$H$5:$H$404,I18,Bookings!$I$5:$I$404,"&gt;="&amp;RepFrom,Bookings!$I$5:$I$404,"&lt;="&amp;RepTo,Bookings!$AM$5:$AM$404,"&lt;&gt;Cancelled"))</f>
        <v>0</v>
      </c>
      <c r="N18" s="29">
        <f>IF(I18="","",M18*IF(Services!$L$18="",0,Services!$L$18))</f>
        <v>0</v>
      </c>
      <c r="O18" s="29">
        <f>IF(I18="","",L18-N18)</f>
        <v>0</v>
      </c>
      <c r="P18" s="28">
        <f>IF(Lists!$AG18="","",Lists!$AG18)</f>
        <v>0</v>
      </c>
      <c r="Q18" s="29">
        <f>IF(P18="","",SUMIFS(Expenses!$F$5:$F$304,Expenses!$C$5:$C$304,P18,Expenses!$B$5:$B$304,"&gt;="&amp;PeriodStart,Expenses!$B$5:$B$304,"&lt;="&amp;PeriodEnd,Expenses!$J$5:$J$304,"&lt;&gt;Personal"))</f>
        <v>0</v>
      </c>
      <c r="R18" s="29">
        <f>IF(P18="","",SUMIFS(Expenses!$F$5:$F$304,Expenses!$C$5:$C$304,P18,Expenses!$B$5:$B$304,"&gt;="&amp;RepFrom,Expenses!$B$5:$B$304,"&lt;="&amp;RepTo,Expenses!$J$5:$J$304,"&lt;&gt;Personal"))</f>
        <v>0</v>
      </c>
      <c r="S18" s="21">
        <f>IF(ROW()-4&gt;12,"",DATE(Dash_Year,ROW()-4,1))</f>
        <v>0</v>
      </c>
      <c r="T18" s="21">
        <f>IF(S18="","",EOMONTH(S18,0))</f>
        <v>0</v>
      </c>
      <c r="U18" s="28">
        <f>IF(S18="","",TEXT(S18,"mmm"))</f>
        <v>0</v>
      </c>
      <c r="V18" s="29">
        <f>IF(S18="","",SUMIFS(Payments!$L$5:$L$304,Payments!$B$5:$B$304,"&gt;="&amp;S18,Payments!$B$5:$B$304,"&lt;="&amp;T18))</f>
        <v>0</v>
      </c>
      <c r="W18" s="29">
        <f>IF(S18="","",SUMIFS(Invoices!$O$5:$O$304,Invoices!$B$5:$B$304,"&gt;="&amp;S18,Invoices!$B$5:$B$304,"&lt;="&amp;T18,Invoices!$T$5:$T$304,"&lt;&gt;Cancelled"))</f>
        <v>0</v>
      </c>
      <c r="X18" s="29">
        <f>IF(S18="","",SUMIFS(Expenses!$F$5:$F$304,Expenses!$B$5:$B$304,"&gt;="&amp;S18,Expenses!$B$5:$B$304,"&lt;="&amp;T18,Expenses!$J$5:$J$304,"&lt;&gt;Personal"))</f>
        <v>0</v>
      </c>
      <c r="Y18" s="29">
        <f>IF(S18="","",V18-X18)</f>
        <v>0</v>
      </c>
      <c r="Z18" s="31">
        <f>IF(S18="","",COUNTIFS(Bookings!$I$5:$I$404,"&gt;="&amp;S18,Bookings!$I$5:$I$404,"&lt;="&amp;T18,Bookings!$AM$5:$AM$404,"&lt;&gt;Cancelled"))</f>
        <v>0</v>
      </c>
      <c r="AA18" s="31">
        <f>IF(S18="","",COUNTIFS(Bookings!$I$5:$I$404,"&gt;="&amp;S18,Bookings!$I$5:$I$404,"&lt;="&amp;T18,Bookings!$AM$5:$AM$404,"Completed"))</f>
        <v>0</v>
      </c>
      <c r="AB18" s="31">
        <f>IF(S18="","",COUNTIFS(Bookings!$I$5:$I$404,"&gt;="&amp;S18,Bookings!$I$5:$I$404,"&lt;="&amp;T18,Bookings!$AM$5:$AM$404,"Cancelled"))</f>
        <v>0</v>
      </c>
      <c r="AC18" s="31">
        <f>IF(S18="","",COUNTIFS('Visit Log'!$C$5:$C$404,"&gt;="&amp;S18,'Visit Log'!$C$5:$C$404,"&lt;="&amp;T18,'Visit Log'!$AE$5:$AE$404,"Completed"))</f>
        <v>0</v>
      </c>
      <c r="AD18" s="31">
        <f>IF(S18="","",COUNTIFS(Clients!$L$5:$L$254,"&gt;="&amp;S18,Clients!$L$5:$L$254,"&lt;="&amp;T18))</f>
        <v>0</v>
      </c>
      <c r="AE18" s="32">
        <f>IF(S18="","",SUMIFS(Mileage!$M$5:$M$304,Mileage!$B$5:$B$304,"&gt;="&amp;S18,Mileage!$B$5:$B$304,"&lt;="&amp;T18,Mileage!$N$5:$N$304,"Business"))</f>
        <v>0</v>
      </c>
      <c r="AF18" s="29">
        <f>IF(S18="","",SUMIFS(Payments!$L$5:$L$304,Payments!$B$5:$B$304,"&gt;="&amp;DATE(Dash_Year-1,ROW()-4,1),Payments!$B$5:$B$304,"&lt;="&amp;EOMONTH(DATE(Dash_Year-1,ROW()-4,1),0)))</f>
        <v>0</v>
      </c>
      <c r="AG18" s="28">
        <f>IF(Staff!$B$18="","",Staff!$B$18)</f>
        <v>0</v>
      </c>
      <c r="AH18" s="31">
        <f>IF(AG18="","",COUNTIFS('Visit Log'!$G$5:$G$404,AG18,'Visit Log'!$C$5:$C$404,"&gt;="&amp;RepFrom,'Visit Log'!$C$5:$C$404,"&lt;="&amp;RepTo,'Visit Log'!$AE$5:$AE$404,"Completed"))</f>
        <v>0</v>
      </c>
      <c r="AI18" s="51">
        <f>IF(AG18="","",ROUND(SUMIFS('Visit Log'!$K$5:$K$404,'Visit Log'!$G$5:$G$404,AG18,'Visit Log'!$C$5:$C$404,"&gt;="&amp;RepFrom,'Visit Log'!$C$5:$C$404,"&lt;="&amp;RepTo,'Visit Log'!$AE$5:$AE$404,"Completed")/60,2))</f>
        <v>0</v>
      </c>
      <c r="AJ18" s="29">
        <f>IF(AG18="","",SUMIFS(Bookings!$AK$5:$AK$404,Bookings!$AL$5:$AL$404,AG18,Bookings!$I$5:$I$404,"&gt;="&amp;RepFrom,Bookings!$I$5:$I$404,"&lt;="&amp;RepTo,Bookings!$AM$5:$AM$404,"&lt;&gt;Cancelled"))</f>
        <v>0</v>
      </c>
      <c r="AK18" s="32">
        <f>IF(AG18="","",SUMIFS(Mileage!$M$5:$M$304,Mileage!$C$5:$C$304,AG18,Mileage!$B$5:$B$304,"&gt;="&amp;RepFrom,Mileage!$B$5:$B$304,"&lt;="&amp;RepTo))</f>
        <v>0</v>
      </c>
      <c r="AL18" s="28">
        <f>IF(Lists!$Q18="","",Lists!$Q18)</f>
        <v>0</v>
      </c>
      <c r="AM18" s="31">
        <f>IF(AL18="","",COUNTIFS(Bookings!$AV$5:$AV$404,AL18,Bookings!$I$5:$I$404,"&gt;="&amp;RepFrom,Bookings!$I$5:$I$404,"&lt;="&amp;RepTo))</f>
        <v>0</v>
      </c>
      <c r="AN18" s="28">
        <f>IF(Lists!$AF18="","",Lists!$AF18)</f>
        <v>0</v>
      </c>
      <c r="AO18" s="29">
        <f>IF(AN18="","",SUMIFS(Payments!$L$5:$L$304,Payments!$F$5:$F$304,AN18,Payments!$B$5:$B$304,"&gt;="&amp;RepFrom,Payments!$B$5:$B$304,"&lt;="&amp;RepTo))</f>
        <v>0</v>
      </c>
      <c r="AP18" s="28">
        <f>IF(Lists!$E18="","",Lists!$E18)</f>
        <v>0</v>
      </c>
      <c r="AQ18" s="31">
        <f>IF(AP18="","",COUNTIFS(Clients!$K$5:$K$254,AP18))</f>
        <v>0</v>
      </c>
      <c r="AR18" s="29">
        <f>IF(AP18="","",SUMIFS(Clients!$AE$5:$AE$254,Clients!$K$5:$K$254,AP18))</f>
        <v>0</v>
      </c>
    </row>
    <row r="19" spans="1:44">
      <c r="A19" s="28">
        <f>IF(Clients!$B$19="","",Clients!$B$19)</f>
        <v>0</v>
      </c>
      <c r="B19" s="29">
        <f>IF(A19="","",SUMIFS(Payments!$L$5:$L$304,Payments!$C$5:$C$304,A19,Payments!$B$5:$B$304,"&gt;="&amp;PeriodStart,Payments!$B$5:$B$304,"&lt;="&amp;PeriodEnd))</f>
        <v>0</v>
      </c>
      <c r="C19" s="51">
        <f>IF(A19="","",IF(B19&lt;=0,"",B19+ROW()/1000000))</f>
        <v>0</v>
      </c>
      <c r="D19" s="29">
        <f>IF(A19="","",SUMIFS(Payments!$L$5:$L$304,Payments!$C$5:$C$304,A19,Payments!$B$5:$B$304,"&gt;="&amp;RepFrom,Payments!$B$5:$B$304,"&lt;="&amp;RepTo))</f>
        <v>0</v>
      </c>
      <c r="E19" s="51">
        <f>IF(A19="","",IF(D19&lt;=0,"",D19+ROW()/1000000))</f>
        <v>0</v>
      </c>
      <c r="F19" s="29">
        <f>IF(A19="","",SUMIFS(Invoices!$S$5:$S$304,Invoices!$D$5:$D$304,A19,Invoices!$T$5:$T$304,"&lt;&gt;Cancelled"))</f>
        <v>0</v>
      </c>
      <c r="G19" s="51">
        <f>IF(A19="","",IF(F19&lt;=0.004,"",F19+ROW()/1000000))</f>
        <v>0</v>
      </c>
      <c r="H19" s="31">
        <f>IF(A19="","",COUNTIFS(Bookings!$C$5:$C$404,A19,Bookings!$I$5:$I$404,"&gt;="&amp;RepFrom,Bookings!$I$5:$I$404,"&lt;="&amp;RepTo,Bookings!$AM$5:$AM$404,"&lt;&gt;Cancelled"))</f>
        <v>0</v>
      </c>
      <c r="I19" s="28">
        <f>IF(Services!$B$19="","",Services!$B$19)</f>
        <v>0</v>
      </c>
      <c r="J19" s="29">
        <f>IF(I19="","",SUMIFS(Bookings!$AK$5:$AK$404,Bookings!$H$5:$H$404,I19,Bookings!$I$5:$I$404,"&gt;="&amp;PeriodStart,Bookings!$I$5:$I$404,"&lt;="&amp;PeriodEnd,Bookings!$AM$5:$AM$404,"&lt;&gt;Cancelled"))</f>
        <v>0</v>
      </c>
      <c r="K19" s="31">
        <f>IF(I19="","",COUNTIFS(Bookings!$H$5:$H$404,I19,Bookings!$I$5:$I$404,"&gt;="&amp;PeriodStart,Bookings!$I$5:$I$404,"&lt;="&amp;PeriodEnd,Bookings!$AM$5:$AM$404,"&lt;&gt;Cancelled"))</f>
        <v>0</v>
      </c>
      <c r="L19" s="29">
        <f>IF(I19="","",SUMIFS(Bookings!$AK$5:$AK$404,Bookings!$H$5:$H$404,I19,Bookings!$I$5:$I$404,"&gt;="&amp;RepFrom,Bookings!$I$5:$I$404,"&lt;="&amp;RepTo,Bookings!$AM$5:$AM$404,"&lt;&gt;Cancelled"))</f>
        <v>0</v>
      </c>
      <c r="M19" s="31">
        <f>IF(I19="","",COUNTIFS(Bookings!$H$5:$H$404,I19,Bookings!$I$5:$I$404,"&gt;="&amp;RepFrom,Bookings!$I$5:$I$404,"&lt;="&amp;RepTo,Bookings!$AM$5:$AM$404,"&lt;&gt;Cancelled"))</f>
        <v>0</v>
      </c>
      <c r="N19" s="29">
        <f>IF(I19="","",M19*IF(Services!$L$19="",0,Services!$L$19))</f>
        <v>0</v>
      </c>
      <c r="O19" s="29">
        <f>IF(I19="","",L19-N19)</f>
        <v>0</v>
      </c>
      <c r="P19" s="28">
        <f>IF(Lists!$AG19="","",Lists!$AG19)</f>
        <v>0</v>
      </c>
      <c r="Q19" s="29">
        <f>IF(P19="","",SUMIFS(Expenses!$F$5:$F$304,Expenses!$C$5:$C$304,P19,Expenses!$B$5:$B$304,"&gt;="&amp;PeriodStart,Expenses!$B$5:$B$304,"&lt;="&amp;PeriodEnd,Expenses!$J$5:$J$304,"&lt;&gt;Personal"))</f>
        <v>0</v>
      </c>
      <c r="R19" s="29">
        <f>IF(P19="","",SUMIFS(Expenses!$F$5:$F$304,Expenses!$C$5:$C$304,P19,Expenses!$B$5:$B$304,"&gt;="&amp;RepFrom,Expenses!$B$5:$B$304,"&lt;="&amp;RepTo,Expenses!$J$5:$J$304,"&lt;&gt;Personal"))</f>
        <v>0</v>
      </c>
      <c r="S19" s="21">
        <f>IF(ROW()-4&gt;12,"",DATE(Dash_Year,ROW()-4,1))</f>
        <v>0</v>
      </c>
      <c r="T19" s="21">
        <f>IF(S19="","",EOMONTH(S19,0))</f>
        <v>0</v>
      </c>
      <c r="U19" s="28">
        <f>IF(S19="","",TEXT(S19,"mmm"))</f>
        <v>0</v>
      </c>
      <c r="V19" s="29">
        <f>IF(S19="","",SUMIFS(Payments!$L$5:$L$304,Payments!$B$5:$B$304,"&gt;="&amp;S19,Payments!$B$5:$B$304,"&lt;="&amp;T19))</f>
        <v>0</v>
      </c>
      <c r="W19" s="29">
        <f>IF(S19="","",SUMIFS(Invoices!$O$5:$O$304,Invoices!$B$5:$B$304,"&gt;="&amp;S19,Invoices!$B$5:$B$304,"&lt;="&amp;T19,Invoices!$T$5:$T$304,"&lt;&gt;Cancelled"))</f>
        <v>0</v>
      </c>
      <c r="X19" s="29">
        <f>IF(S19="","",SUMIFS(Expenses!$F$5:$F$304,Expenses!$B$5:$B$304,"&gt;="&amp;S19,Expenses!$B$5:$B$304,"&lt;="&amp;T19,Expenses!$J$5:$J$304,"&lt;&gt;Personal"))</f>
        <v>0</v>
      </c>
      <c r="Y19" s="29">
        <f>IF(S19="","",V19-X19)</f>
        <v>0</v>
      </c>
      <c r="Z19" s="31">
        <f>IF(S19="","",COUNTIFS(Bookings!$I$5:$I$404,"&gt;="&amp;S19,Bookings!$I$5:$I$404,"&lt;="&amp;T19,Bookings!$AM$5:$AM$404,"&lt;&gt;Cancelled"))</f>
        <v>0</v>
      </c>
      <c r="AA19" s="31">
        <f>IF(S19="","",COUNTIFS(Bookings!$I$5:$I$404,"&gt;="&amp;S19,Bookings!$I$5:$I$404,"&lt;="&amp;T19,Bookings!$AM$5:$AM$404,"Completed"))</f>
        <v>0</v>
      </c>
      <c r="AB19" s="31">
        <f>IF(S19="","",COUNTIFS(Bookings!$I$5:$I$404,"&gt;="&amp;S19,Bookings!$I$5:$I$404,"&lt;="&amp;T19,Bookings!$AM$5:$AM$404,"Cancelled"))</f>
        <v>0</v>
      </c>
      <c r="AC19" s="31">
        <f>IF(S19="","",COUNTIFS('Visit Log'!$C$5:$C$404,"&gt;="&amp;S19,'Visit Log'!$C$5:$C$404,"&lt;="&amp;T19,'Visit Log'!$AE$5:$AE$404,"Completed"))</f>
        <v>0</v>
      </c>
      <c r="AD19" s="31">
        <f>IF(S19="","",COUNTIFS(Clients!$L$5:$L$254,"&gt;="&amp;S19,Clients!$L$5:$L$254,"&lt;="&amp;T19))</f>
        <v>0</v>
      </c>
      <c r="AE19" s="32">
        <f>IF(S19="","",SUMIFS(Mileage!$M$5:$M$304,Mileage!$B$5:$B$304,"&gt;="&amp;S19,Mileage!$B$5:$B$304,"&lt;="&amp;T19,Mileage!$N$5:$N$304,"Business"))</f>
        <v>0</v>
      </c>
      <c r="AF19" s="29">
        <f>IF(S19="","",SUMIFS(Payments!$L$5:$L$304,Payments!$B$5:$B$304,"&gt;="&amp;DATE(Dash_Year-1,ROW()-4,1),Payments!$B$5:$B$304,"&lt;="&amp;EOMONTH(DATE(Dash_Year-1,ROW()-4,1),0)))</f>
        <v>0</v>
      </c>
      <c r="AG19" s="28">
        <f>IF(Staff!$B$19="","",Staff!$B$19)</f>
        <v>0</v>
      </c>
      <c r="AH19" s="31">
        <f>IF(AG19="","",COUNTIFS('Visit Log'!$G$5:$G$404,AG19,'Visit Log'!$C$5:$C$404,"&gt;="&amp;RepFrom,'Visit Log'!$C$5:$C$404,"&lt;="&amp;RepTo,'Visit Log'!$AE$5:$AE$404,"Completed"))</f>
        <v>0</v>
      </c>
      <c r="AI19" s="51">
        <f>IF(AG19="","",ROUND(SUMIFS('Visit Log'!$K$5:$K$404,'Visit Log'!$G$5:$G$404,AG19,'Visit Log'!$C$5:$C$404,"&gt;="&amp;RepFrom,'Visit Log'!$C$5:$C$404,"&lt;="&amp;RepTo,'Visit Log'!$AE$5:$AE$404,"Completed")/60,2))</f>
        <v>0</v>
      </c>
      <c r="AJ19" s="29">
        <f>IF(AG19="","",SUMIFS(Bookings!$AK$5:$AK$404,Bookings!$AL$5:$AL$404,AG19,Bookings!$I$5:$I$404,"&gt;="&amp;RepFrom,Bookings!$I$5:$I$404,"&lt;="&amp;RepTo,Bookings!$AM$5:$AM$404,"&lt;&gt;Cancelled"))</f>
        <v>0</v>
      </c>
      <c r="AK19" s="32">
        <f>IF(AG19="","",SUMIFS(Mileage!$M$5:$M$304,Mileage!$C$5:$C$304,AG19,Mileage!$B$5:$B$304,"&gt;="&amp;RepFrom,Mileage!$B$5:$B$304,"&lt;="&amp;RepTo))</f>
        <v>0</v>
      </c>
      <c r="AL19" s="28">
        <f>IF(Lists!$Q19="","",Lists!$Q19)</f>
        <v>0</v>
      </c>
      <c r="AM19" s="31">
        <f>IF(AL19="","",COUNTIFS(Bookings!$AV$5:$AV$404,AL19,Bookings!$I$5:$I$404,"&gt;="&amp;RepFrom,Bookings!$I$5:$I$404,"&lt;="&amp;RepTo))</f>
        <v>0</v>
      </c>
      <c r="AN19" s="28">
        <f>IF(Lists!$AF19="","",Lists!$AF19)</f>
        <v>0</v>
      </c>
      <c r="AO19" s="29">
        <f>IF(AN19="","",SUMIFS(Payments!$L$5:$L$304,Payments!$F$5:$F$304,AN19,Payments!$B$5:$B$304,"&gt;="&amp;RepFrom,Payments!$B$5:$B$304,"&lt;="&amp;RepTo))</f>
        <v>0</v>
      </c>
      <c r="AP19" s="28">
        <f>IF(Lists!$E19="","",Lists!$E19)</f>
        <v>0</v>
      </c>
      <c r="AQ19" s="31">
        <f>IF(AP19="","",COUNTIFS(Clients!$K$5:$K$254,AP19))</f>
        <v>0</v>
      </c>
      <c r="AR19" s="29">
        <f>IF(AP19="","",SUMIFS(Clients!$AE$5:$AE$254,Clients!$K$5:$K$254,AP19))</f>
        <v>0</v>
      </c>
    </row>
    <row r="20" spans="1:44">
      <c r="A20" s="28">
        <f>IF(Clients!$B$20="","",Clients!$B$20)</f>
        <v>0</v>
      </c>
      <c r="B20" s="29">
        <f>IF(A20="","",SUMIFS(Payments!$L$5:$L$304,Payments!$C$5:$C$304,A20,Payments!$B$5:$B$304,"&gt;="&amp;PeriodStart,Payments!$B$5:$B$304,"&lt;="&amp;PeriodEnd))</f>
        <v>0</v>
      </c>
      <c r="C20" s="51">
        <f>IF(A20="","",IF(B20&lt;=0,"",B20+ROW()/1000000))</f>
        <v>0</v>
      </c>
      <c r="D20" s="29">
        <f>IF(A20="","",SUMIFS(Payments!$L$5:$L$304,Payments!$C$5:$C$304,A20,Payments!$B$5:$B$304,"&gt;="&amp;RepFrom,Payments!$B$5:$B$304,"&lt;="&amp;RepTo))</f>
        <v>0</v>
      </c>
      <c r="E20" s="51">
        <f>IF(A20="","",IF(D20&lt;=0,"",D20+ROW()/1000000))</f>
        <v>0</v>
      </c>
      <c r="F20" s="29">
        <f>IF(A20="","",SUMIFS(Invoices!$S$5:$S$304,Invoices!$D$5:$D$304,A20,Invoices!$T$5:$T$304,"&lt;&gt;Cancelled"))</f>
        <v>0</v>
      </c>
      <c r="G20" s="51">
        <f>IF(A20="","",IF(F20&lt;=0.004,"",F20+ROW()/1000000))</f>
        <v>0</v>
      </c>
      <c r="H20" s="31">
        <f>IF(A20="","",COUNTIFS(Bookings!$C$5:$C$404,A20,Bookings!$I$5:$I$404,"&gt;="&amp;RepFrom,Bookings!$I$5:$I$404,"&lt;="&amp;RepTo,Bookings!$AM$5:$AM$404,"&lt;&gt;Cancelled"))</f>
        <v>0</v>
      </c>
      <c r="I20" s="28">
        <f>IF(Services!$B$20="","",Services!$B$20)</f>
        <v>0</v>
      </c>
      <c r="J20" s="29">
        <f>IF(I20="","",SUMIFS(Bookings!$AK$5:$AK$404,Bookings!$H$5:$H$404,I20,Bookings!$I$5:$I$404,"&gt;="&amp;PeriodStart,Bookings!$I$5:$I$404,"&lt;="&amp;PeriodEnd,Bookings!$AM$5:$AM$404,"&lt;&gt;Cancelled"))</f>
        <v>0</v>
      </c>
      <c r="K20" s="31">
        <f>IF(I20="","",COUNTIFS(Bookings!$H$5:$H$404,I20,Bookings!$I$5:$I$404,"&gt;="&amp;PeriodStart,Bookings!$I$5:$I$404,"&lt;="&amp;PeriodEnd,Bookings!$AM$5:$AM$404,"&lt;&gt;Cancelled"))</f>
        <v>0</v>
      </c>
      <c r="L20" s="29">
        <f>IF(I20="","",SUMIFS(Bookings!$AK$5:$AK$404,Bookings!$H$5:$H$404,I20,Bookings!$I$5:$I$404,"&gt;="&amp;RepFrom,Bookings!$I$5:$I$404,"&lt;="&amp;RepTo,Bookings!$AM$5:$AM$404,"&lt;&gt;Cancelled"))</f>
        <v>0</v>
      </c>
      <c r="M20" s="31">
        <f>IF(I20="","",COUNTIFS(Bookings!$H$5:$H$404,I20,Bookings!$I$5:$I$404,"&gt;="&amp;RepFrom,Bookings!$I$5:$I$404,"&lt;="&amp;RepTo,Bookings!$AM$5:$AM$404,"&lt;&gt;Cancelled"))</f>
        <v>0</v>
      </c>
      <c r="N20" s="29">
        <f>IF(I20="","",M20*IF(Services!$L$20="",0,Services!$L$20))</f>
        <v>0</v>
      </c>
      <c r="O20" s="29">
        <f>IF(I20="","",L20-N20)</f>
        <v>0</v>
      </c>
      <c r="P20" s="28">
        <f>IF(Lists!$AG20="","",Lists!$AG20)</f>
        <v>0</v>
      </c>
      <c r="Q20" s="29">
        <f>IF(P20="","",SUMIFS(Expenses!$F$5:$F$304,Expenses!$C$5:$C$304,P20,Expenses!$B$5:$B$304,"&gt;="&amp;PeriodStart,Expenses!$B$5:$B$304,"&lt;="&amp;PeriodEnd,Expenses!$J$5:$J$304,"&lt;&gt;Personal"))</f>
        <v>0</v>
      </c>
      <c r="R20" s="29">
        <f>IF(P20="","",SUMIFS(Expenses!$F$5:$F$304,Expenses!$C$5:$C$304,P20,Expenses!$B$5:$B$304,"&gt;="&amp;RepFrom,Expenses!$B$5:$B$304,"&lt;="&amp;RepTo,Expenses!$J$5:$J$304,"&lt;&gt;Personal"))</f>
        <v>0</v>
      </c>
      <c r="S20" s="21">
        <f>IF(ROW()-4&gt;12,"",DATE(Dash_Year,ROW()-4,1))</f>
        <v>0</v>
      </c>
      <c r="T20" s="21">
        <f>IF(S20="","",EOMONTH(S20,0))</f>
        <v>0</v>
      </c>
      <c r="U20" s="28">
        <f>IF(S20="","",TEXT(S20,"mmm"))</f>
        <v>0</v>
      </c>
      <c r="V20" s="29">
        <f>IF(S20="","",SUMIFS(Payments!$L$5:$L$304,Payments!$B$5:$B$304,"&gt;="&amp;S20,Payments!$B$5:$B$304,"&lt;="&amp;T20))</f>
        <v>0</v>
      </c>
      <c r="W20" s="29">
        <f>IF(S20="","",SUMIFS(Invoices!$O$5:$O$304,Invoices!$B$5:$B$304,"&gt;="&amp;S20,Invoices!$B$5:$B$304,"&lt;="&amp;T20,Invoices!$T$5:$T$304,"&lt;&gt;Cancelled"))</f>
        <v>0</v>
      </c>
      <c r="X20" s="29">
        <f>IF(S20="","",SUMIFS(Expenses!$F$5:$F$304,Expenses!$B$5:$B$304,"&gt;="&amp;S20,Expenses!$B$5:$B$304,"&lt;="&amp;T20,Expenses!$J$5:$J$304,"&lt;&gt;Personal"))</f>
        <v>0</v>
      </c>
      <c r="Y20" s="29">
        <f>IF(S20="","",V20-X20)</f>
        <v>0</v>
      </c>
      <c r="Z20" s="31">
        <f>IF(S20="","",COUNTIFS(Bookings!$I$5:$I$404,"&gt;="&amp;S20,Bookings!$I$5:$I$404,"&lt;="&amp;T20,Bookings!$AM$5:$AM$404,"&lt;&gt;Cancelled"))</f>
        <v>0</v>
      </c>
      <c r="AA20" s="31">
        <f>IF(S20="","",COUNTIFS(Bookings!$I$5:$I$404,"&gt;="&amp;S20,Bookings!$I$5:$I$404,"&lt;="&amp;T20,Bookings!$AM$5:$AM$404,"Completed"))</f>
        <v>0</v>
      </c>
      <c r="AB20" s="31">
        <f>IF(S20="","",COUNTIFS(Bookings!$I$5:$I$404,"&gt;="&amp;S20,Bookings!$I$5:$I$404,"&lt;="&amp;T20,Bookings!$AM$5:$AM$404,"Cancelled"))</f>
        <v>0</v>
      </c>
      <c r="AC20" s="31">
        <f>IF(S20="","",COUNTIFS('Visit Log'!$C$5:$C$404,"&gt;="&amp;S20,'Visit Log'!$C$5:$C$404,"&lt;="&amp;T20,'Visit Log'!$AE$5:$AE$404,"Completed"))</f>
        <v>0</v>
      </c>
      <c r="AD20" s="31">
        <f>IF(S20="","",COUNTIFS(Clients!$L$5:$L$254,"&gt;="&amp;S20,Clients!$L$5:$L$254,"&lt;="&amp;T20))</f>
        <v>0</v>
      </c>
      <c r="AE20" s="32">
        <f>IF(S20="","",SUMIFS(Mileage!$M$5:$M$304,Mileage!$B$5:$B$304,"&gt;="&amp;S20,Mileage!$B$5:$B$304,"&lt;="&amp;T20,Mileage!$N$5:$N$304,"Business"))</f>
        <v>0</v>
      </c>
      <c r="AF20" s="29">
        <f>IF(S20="","",SUMIFS(Payments!$L$5:$L$304,Payments!$B$5:$B$304,"&gt;="&amp;DATE(Dash_Year-1,ROW()-4,1),Payments!$B$5:$B$304,"&lt;="&amp;EOMONTH(DATE(Dash_Year-1,ROW()-4,1),0)))</f>
        <v>0</v>
      </c>
      <c r="AG20" s="28">
        <f>IF(Staff!$B$20="","",Staff!$B$20)</f>
        <v>0</v>
      </c>
      <c r="AH20" s="31">
        <f>IF(AG20="","",COUNTIFS('Visit Log'!$G$5:$G$404,AG20,'Visit Log'!$C$5:$C$404,"&gt;="&amp;RepFrom,'Visit Log'!$C$5:$C$404,"&lt;="&amp;RepTo,'Visit Log'!$AE$5:$AE$404,"Completed"))</f>
        <v>0</v>
      </c>
      <c r="AI20" s="51">
        <f>IF(AG20="","",ROUND(SUMIFS('Visit Log'!$K$5:$K$404,'Visit Log'!$G$5:$G$404,AG20,'Visit Log'!$C$5:$C$404,"&gt;="&amp;RepFrom,'Visit Log'!$C$5:$C$404,"&lt;="&amp;RepTo,'Visit Log'!$AE$5:$AE$404,"Completed")/60,2))</f>
        <v>0</v>
      </c>
      <c r="AJ20" s="29">
        <f>IF(AG20="","",SUMIFS(Bookings!$AK$5:$AK$404,Bookings!$AL$5:$AL$404,AG20,Bookings!$I$5:$I$404,"&gt;="&amp;RepFrom,Bookings!$I$5:$I$404,"&lt;="&amp;RepTo,Bookings!$AM$5:$AM$404,"&lt;&gt;Cancelled"))</f>
        <v>0</v>
      </c>
      <c r="AK20" s="32">
        <f>IF(AG20="","",SUMIFS(Mileage!$M$5:$M$304,Mileage!$C$5:$C$304,AG20,Mileage!$B$5:$B$304,"&gt;="&amp;RepFrom,Mileage!$B$5:$B$304,"&lt;="&amp;RepTo))</f>
        <v>0</v>
      </c>
      <c r="AL20" s="28">
        <f>IF(Lists!$Q20="","",Lists!$Q20)</f>
        <v>0</v>
      </c>
      <c r="AM20" s="31">
        <f>IF(AL20="","",COUNTIFS(Bookings!$AV$5:$AV$404,AL20,Bookings!$I$5:$I$404,"&gt;="&amp;RepFrom,Bookings!$I$5:$I$404,"&lt;="&amp;RepTo))</f>
        <v>0</v>
      </c>
      <c r="AN20" s="28">
        <f>IF(Lists!$AF20="","",Lists!$AF20)</f>
        <v>0</v>
      </c>
      <c r="AO20" s="29">
        <f>IF(AN20="","",SUMIFS(Payments!$L$5:$L$304,Payments!$F$5:$F$304,AN20,Payments!$B$5:$B$304,"&gt;="&amp;RepFrom,Payments!$B$5:$B$304,"&lt;="&amp;RepTo))</f>
        <v>0</v>
      </c>
      <c r="AP20" s="28">
        <f>IF(Lists!$E20="","",Lists!$E20)</f>
        <v>0</v>
      </c>
      <c r="AQ20" s="31">
        <f>IF(AP20="","",COUNTIFS(Clients!$K$5:$K$254,AP20))</f>
        <v>0</v>
      </c>
      <c r="AR20" s="29">
        <f>IF(AP20="","",SUMIFS(Clients!$AE$5:$AE$254,Clients!$K$5:$K$254,AP20))</f>
        <v>0</v>
      </c>
    </row>
    <row r="21" spans="1:44">
      <c r="A21" s="28">
        <f>IF(Clients!$B$21="","",Clients!$B$21)</f>
        <v>0</v>
      </c>
      <c r="B21" s="29">
        <f>IF(A21="","",SUMIFS(Payments!$L$5:$L$304,Payments!$C$5:$C$304,A21,Payments!$B$5:$B$304,"&gt;="&amp;PeriodStart,Payments!$B$5:$B$304,"&lt;="&amp;PeriodEnd))</f>
        <v>0</v>
      </c>
      <c r="C21" s="51">
        <f>IF(A21="","",IF(B21&lt;=0,"",B21+ROW()/1000000))</f>
        <v>0</v>
      </c>
      <c r="D21" s="29">
        <f>IF(A21="","",SUMIFS(Payments!$L$5:$L$304,Payments!$C$5:$C$304,A21,Payments!$B$5:$B$304,"&gt;="&amp;RepFrom,Payments!$B$5:$B$304,"&lt;="&amp;RepTo))</f>
        <v>0</v>
      </c>
      <c r="E21" s="51">
        <f>IF(A21="","",IF(D21&lt;=0,"",D21+ROW()/1000000))</f>
        <v>0</v>
      </c>
      <c r="F21" s="29">
        <f>IF(A21="","",SUMIFS(Invoices!$S$5:$S$304,Invoices!$D$5:$D$304,A21,Invoices!$T$5:$T$304,"&lt;&gt;Cancelled"))</f>
        <v>0</v>
      </c>
      <c r="G21" s="51">
        <f>IF(A21="","",IF(F21&lt;=0.004,"",F21+ROW()/1000000))</f>
        <v>0</v>
      </c>
      <c r="H21" s="31">
        <f>IF(A21="","",COUNTIFS(Bookings!$C$5:$C$404,A21,Bookings!$I$5:$I$404,"&gt;="&amp;RepFrom,Bookings!$I$5:$I$404,"&lt;="&amp;RepTo,Bookings!$AM$5:$AM$404,"&lt;&gt;Cancelled"))</f>
        <v>0</v>
      </c>
      <c r="I21" s="28">
        <f>IF(Services!$B$21="","",Services!$B$21)</f>
        <v>0</v>
      </c>
      <c r="J21" s="29">
        <f>IF(I21="","",SUMIFS(Bookings!$AK$5:$AK$404,Bookings!$H$5:$H$404,I21,Bookings!$I$5:$I$404,"&gt;="&amp;PeriodStart,Bookings!$I$5:$I$404,"&lt;="&amp;PeriodEnd,Bookings!$AM$5:$AM$404,"&lt;&gt;Cancelled"))</f>
        <v>0</v>
      </c>
      <c r="K21" s="31">
        <f>IF(I21="","",COUNTIFS(Bookings!$H$5:$H$404,I21,Bookings!$I$5:$I$404,"&gt;="&amp;PeriodStart,Bookings!$I$5:$I$404,"&lt;="&amp;PeriodEnd,Bookings!$AM$5:$AM$404,"&lt;&gt;Cancelled"))</f>
        <v>0</v>
      </c>
      <c r="L21" s="29">
        <f>IF(I21="","",SUMIFS(Bookings!$AK$5:$AK$404,Bookings!$H$5:$H$404,I21,Bookings!$I$5:$I$404,"&gt;="&amp;RepFrom,Bookings!$I$5:$I$404,"&lt;="&amp;RepTo,Bookings!$AM$5:$AM$404,"&lt;&gt;Cancelled"))</f>
        <v>0</v>
      </c>
      <c r="M21" s="31">
        <f>IF(I21="","",COUNTIFS(Bookings!$H$5:$H$404,I21,Bookings!$I$5:$I$404,"&gt;="&amp;RepFrom,Bookings!$I$5:$I$404,"&lt;="&amp;RepTo,Bookings!$AM$5:$AM$404,"&lt;&gt;Cancelled"))</f>
        <v>0</v>
      </c>
      <c r="N21" s="29">
        <f>IF(I21="","",M21*IF(Services!$L$21="",0,Services!$L$21))</f>
        <v>0</v>
      </c>
      <c r="O21" s="29">
        <f>IF(I21="","",L21-N21)</f>
        <v>0</v>
      </c>
      <c r="P21" s="28">
        <f>IF(Lists!$AG21="","",Lists!$AG21)</f>
        <v>0</v>
      </c>
      <c r="Q21" s="29">
        <f>IF(P21="","",SUMIFS(Expenses!$F$5:$F$304,Expenses!$C$5:$C$304,P21,Expenses!$B$5:$B$304,"&gt;="&amp;PeriodStart,Expenses!$B$5:$B$304,"&lt;="&amp;PeriodEnd,Expenses!$J$5:$J$304,"&lt;&gt;Personal"))</f>
        <v>0</v>
      </c>
      <c r="R21" s="29">
        <f>IF(P21="","",SUMIFS(Expenses!$F$5:$F$304,Expenses!$C$5:$C$304,P21,Expenses!$B$5:$B$304,"&gt;="&amp;RepFrom,Expenses!$B$5:$B$304,"&lt;="&amp;RepTo,Expenses!$J$5:$J$304,"&lt;&gt;Personal"))</f>
        <v>0</v>
      </c>
      <c r="S21" s="21">
        <f>IF(ROW()-4&gt;12,"",DATE(Dash_Year,ROW()-4,1))</f>
        <v>0</v>
      </c>
      <c r="T21" s="21">
        <f>IF(S21="","",EOMONTH(S21,0))</f>
        <v>0</v>
      </c>
      <c r="U21" s="28">
        <f>IF(S21="","",TEXT(S21,"mmm"))</f>
        <v>0</v>
      </c>
      <c r="V21" s="29">
        <f>IF(S21="","",SUMIFS(Payments!$L$5:$L$304,Payments!$B$5:$B$304,"&gt;="&amp;S21,Payments!$B$5:$B$304,"&lt;="&amp;T21))</f>
        <v>0</v>
      </c>
      <c r="W21" s="29">
        <f>IF(S21="","",SUMIFS(Invoices!$O$5:$O$304,Invoices!$B$5:$B$304,"&gt;="&amp;S21,Invoices!$B$5:$B$304,"&lt;="&amp;T21,Invoices!$T$5:$T$304,"&lt;&gt;Cancelled"))</f>
        <v>0</v>
      </c>
      <c r="X21" s="29">
        <f>IF(S21="","",SUMIFS(Expenses!$F$5:$F$304,Expenses!$B$5:$B$304,"&gt;="&amp;S21,Expenses!$B$5:$B$304,"&lt;="&amp;T21,Expenses!$J$5:$J$304,"&lt;&gt;Personal"))</f>
        <v>0</v>
      </c>
      <c r="Y21" s="29">
        <f>IF(S21="","",V21-X21)</f>
        <v>0</v>
      </c>
      <c r="Z21" s="31">
        <f>IF(S21="","",COUNTIFS(Bookings!$I$5:$I$404,"&gt;="&amp;S21,Bookings!$I$5:$I$404,"&lt;="&amp;T21,Bookings!$AM$5:$AM$404,"&lt;&gt;Cancelled"))</f>
        <v>0</v>
      </c>
      <c r="AA21" s="31">
        <f>IF(S21="","",COUNTIFS(Bookings!$I$5:$I$404,"&gt;="&amp;S21,Bookings!$I$5:$I$404,"&lt;="&amp;T21,Bookings!$AM$5:$AM$404,"Completed"))</f>
        <v>0</v>
      </c>
      <c r="AB21" s="31">
        <f>IF(S21="","",COUNTIFS(Bookings!$I$5:$I$404,"&gt;="&amp;S21,Bookings!$I$5:$I$404,"&lt;="&amp;T21,Bookings!$AM$5:$AM$404,"Cancelled"))</f>
        <v>0</v>
      </c>
      <c r="AC21" s="31">
        <f>IF(S21="","",COUNTIFS('Visit Log'!$C$5:$C$404,"&gt;="&amp;S21,'Visit Log'!$C$5:$C$404,"&lt;="&amp;T21,'Visit Log'!$AE$5:$AE$404,"Completed"))</f>
        <v>0</v>
      </c>
      <c r="AD21" s="31">
        <f>IF(S21="","",COUNTIFS(Clients!$L$5:$L$254,"&gt;="&amp;S21,Clients!$L$5:$L$254,"&lt;="&amp;T21))</f>
        <v>0</v>
      </c>
      <c r="AE21" s="32">
        <f>IF(S21="","",SUMIFS(Mileage!$M$5:$M$304,Mileage!$B$5:$B$304,"&gt;="&amp;S21,Mileage!$B$5:$B$304,"&lt;="&amp;T21,Mileage!$N$5:$N$304,"Business"))</f>
        <v>0</v>
      </c>
      <c r="AF21" s="29">
        <f>IF(S21="","",SUMIFS(Payments!$L$5:$L$304,Payments!$B$5:$B$304,"&gt;="&amp;DATE(Dash_Year-1,ROW()-4,1),Payments!$B$5:$B$304,"&lt;="&amp;EOMONTH(DATE(Dash_Year-1,ROW()-4,1),0)))</f>
        <v>0</v>
      </c>
      <c r="AG21" s="28">
        <f>IF(Staff!$B$21="","",Staff!$B$21)</f>
        <v>0</v>
      </c>
      <c r="AH21" s="31">
        <f>IF(AG21="","",COUNTIFS('Visit Log'!$G$5:$G$404,AG21,'Visit Log'!$C$5:$C$404,"&gt;="&amp;RepFrom,'Visit Log'!$C$5:$C$404,"&lt;="&amp;RepTo,'Visit Log'!$AE$5:$AE$404,"Completed"))</f>
        <v>0</v>
      </c>
      <c r="AI21" s="51">
        <f>IF(AG21="","",ROUND(SUMIFS('Visit Log'!$K$5:$K$404,'Visit Log'!$G$5:$G$404,AG21,'Visit Log'!$C$5:$C$404,"&gt;="&amp;RepFrom,'Visit Log'!$C$5:$C$404,"&lt;="&amp;RepTo,'Visit Log'!$AE$5:$AE$404,"Completed")/60,2))</f>
        <v>0</v>
      </c>
      <c r="AJ21" s="29">
        <f>IF(AG21="","",SUMIFS(Bookings!$AK$5:$AK$404,Bookings!$AL$5:$AL$404,AG21,Bookings!$I$5:$I$404,"&gt;="&amp;RepFrom,Bookings!$I$5:$I$404,"&lt;="&amp;RepTo,Bookings!$AM$5:$AM$404,"&lt;&gt;Cancelled"))</f>
        <v>0</v>
      </c>
      <c r="AK21" s="32">
        <f>IF(AG21="","",SUMIFS(Mileage!$M$5:$M$304,Mileage!$C$5:$C$304,AG21,Mileage!$B$5:$B$304,"&gt;="&amp;RepFrom,Mileage!$B$5:$B$304,"&lt;="&amp;RepTo))</f>
        <v>0</v>
      </c>
      <c r="AL21" s="28">
        <f>IF(Lists!$Q21="","",Lists!$Q21)</f>
        <v>0</v>
      </c>
      <c r="AM21" s="31">
        <f>IF(AL21="","",COUNTIFS(Bookings!$AV$5:$AV$404,AL21,Bookings!$I$5:$I$404,"&gt;="&amp;RepFrom,Bookings!$I$5:$I$404,"&lt;="&amp;RepTo))</f>
        <v>0</v>
      </c>
      <c r="AN21" s="28">
        <f>IF(Lists!$AF21="","",Lists!$AF21)</f>
        <v>0</v>
      </c>
      <c r="AO21" s="29">
        <f>IF(AN21="","",SUMIFS(Payments!$L$5:$L$304,Payments!$F$5:$F$304,AN21,Payments!$B$5:$B$304,"&gt;="&amp;RepFrom,Payments!$B$5:$B$304,"&lt;="&amp;RepTo))</f>
        <v>0</v>
      </c>
      <c r="AP21" s="28">
        <f>IF(Lists!$E21="","",Lists!$E21)</f>
        <v>0</v>
      </c>
      <c r="AQ21" s="31">
        <f>IF(AP21="","",COUNTIFS(Clients!$K$5:$K$254,AP21))</f>
        <v>0</v>
      </c>
      <c r="AR21" s="29">
        <f>IF(AP21="","",SUMIFS(Clients!$AE$5:$AE$254,Clients!$K$5:$K$254,AP21))</f>
        <v>0</v>
      </c>
    </row>
    <row r="22" spans="1:44">
      <c r="A22" s="28">
        <f>IF(Clients!$B$22="","",Clients!$B$22)</f>
        <v>0</v>
      </c>
      <c r="B22" s="29">
        <f>IF(A22="","",SUMIFS(Payments!$L$5:$L$304,Payments!$C$5:$C$304,A22,Payments!$B$5:$B$304,"&gt;="&amp;PeriodStart,Payments!$B$5:$B$304,"&lt;="&amp;PeriodEnd))</f>
        <v>0</v>
      </c>
      <c r="C22" s="51">
        <f>IF(A22="","",IF(B22&lt;=0,"",B22+ROW()/1000000))</f>
        <v>0</v>
      </c>
      <c r="D22" s="29">
        <f>IF(A22="","",SUMIFS(Payments!$L$5:$L$304,Payments!$C$5:$C$304,A22,Payments!$B$5:$B$304,"&gt;="&amp;RepFrom,Payments!$B$5:$B$304,"&lt;="&amp;RepTo))</f>
        <v>0</v>
      </c>
      <c r="E22" s="51">
        <f>IF(A22="","",IF(D22&lt;=0,"",D22+ROW()/1000000))</f>
        <v>0</v>
      </c>
      <c r="F22" s="29">
        <f>IF(A22="","",SUMIFS(Invoices!$S$5:$S$304,Invoices!$D$5:$D$304,A22,Invoices!$T$5:$T$304,"&lt;&gt;Cancelled"))</f>
        <v>0</v>
      </c>
      <c r="G22" s="51">
        <f>IF(A22="","",IF(F22&lt;=0.004,"",F22+ROW()/1000000))</f>
        <v>0</v>
      </c>
      <c r="H22" s="31">
        <f>IF(A22="","",COUNTIFS(Bookings!$C$5:$C$404,A22,Bookings!$I$5:$I$404,"&gt;="&amp;RepFrom,Bookings!$I$5:$I$404,"&lt;="&amp;RepTo,Bookings!$AM$5:$AM$404,"&lt;&gt;Cancelled"))</f>
        <v>0</v>
      </c>
      <c r="I22" s="28">
        <f>IF(Services!$B$22="","",Services!$B$22)</f>
        <v>0</v>
      </c>
      <c r="J22" s="29">
        <f>IF(I22="","",SUMIFS(Bookings!$AK$5:$AK$404,Bookings!$H$5:$H$404,I22,Bookings!$I$5:$I$404,"&gt;="&amp;PeriodStart,Bookings!$I$5:$I$404,"&lt;="&amp;PeriodEnd,Bookings!$AM$5:$AM$404,"&lt;&gt;Cancelled"))</f>
        <v>0</v>
      </c>
      <c r="K22" s="31">
        <f>IF(I22="","",COUNTIFS(Bookings!$H$5:$H$404,I22,Bookings!$I$5:$I$404,"&gt;="&amp;PeriodStart,Bookings!$I$5:$I$404,"&lt;="&amp;PeriodEnd,Bookings!$AM$5:$AM$404,"&lt;&gt;Cancelled"))</f>
        <v>0</v>
      </c>
      <c r="L22" s="29">
        <f>IF(I22="","",SUMIFS(Bookings!$AK$5:$AK$404,Bookings!$H$5:$H$404,I22,Bookings!$I$5:$I$404,"&gt;="&amp;RepFrom,Bookings!$I$5:$I$404,"&lt;="&amp;RepTo,Bookings!$AM$5:$AM$404,"&lt;&gt;Cancelled"))</f>
        <v>0</v>
      </c>
      <c r="M22" s="31">
        <f>IF(I22="","",COUNTIFS(Bookings!$H$5:$H$404,I22,Bookings!$I$5:$I$404,"&gt;="&amp;RepFrom,Bookings!$I$5:$I$404,"&lt;="&amp;RepTo,Bookings!$AM$5:$AM$404,"&lt;&gt;Cancelled"))</f>
        <v>0</v>
      </c>
      <c r="N22" s="29">
        <f>IF(I22="","",M22*IF(Services!$L$22="",0,Services!$L$22))</f>
        <v>0</v>
      </c>
      <c r="O22" s="29">
        <f>IF(I22="","",L22-N22)</f>
        <v>0</v>
      </c>
      <c r="P22" s="28">
        <f>IF(Lists!$AG22="","",Lists!$AG22)</f>
        <v>0</v>
      </c>
      <c r="Q22" s="29">
        <f>IF(P22="","",SUMIFS(Expenses!$F$5:$F$304,Expenses!$C$5:$C$304,P22,Expenses!$B$5:$B$304,"&gt;="&amp;PeriodStart,Expenses!$B$5:$B$304,"&lt;="&amp;PeriodEnd,Expenses!$J$5:$J$304,"&lt;&gt;Personal"))</f>
        <v>0</v>
      </c>
      <c r="R22" s="29">
        <f>IF(P22="","",SUMIFS(Expenses!$F$5:$F$304,Expenses!$C$5:$C$304,P22,Expenses!$B$5:$B$304,"&gt;="&amp;RepFrom,Expenses!$B$5:$B$304,"&lt;="&amp;RepTo,Expenses!$J$5:$J$304,"&lt;&gt;Personal"))</f>
        <v>0</v>
      </c>
      <c r="S22" s="21">
        <f>IF(ROW()-4&gt;12,"",DATE(Dash_Year,ROW()-4,1))</f>
        <v>0</v>
      </c>
      <c r="T22" s="21">
        <f>IF(S22="","",EOMONTH(S22,0))</f>
        <v>0</v>
      </c>
      <c r="U22" s="28">
        <f>IF(S22="","",TEXT(S22,"mmm"))</f>
        <v>0</v>
      </c>
      <c r="V22" s="29">
        <f>IF(S22="","",SUMIFS(Payments!$L$5:$L$304,Payments!$B$5:$B$304,"&gt;="&amp;S22,Payments!$B$5:$B$304,"&lt;="&amp;T22))</f>
        <v>0</v>
      </c>
      <c r="W22" s="29">
        <f>IF(S22="","",SUMIFS(Invoices!$O$5:$O$304,Invoices!$B$5:$B$304,"&gt;="&amp;S22,Invoices!$B$5:$B$304,"&lt;="&amp;T22,Invoices!$T$5:$T$304,"&lt;&gt;Cancelled"))</f>
        <v>0</v>
      </c>
      <c r="X22" s="29">
        <f>IF(S22="","",SUMIFS(Expenses!$F$5:$F$304,Expenses!$B$5:$B$304,"&gt;="&amp;S22,Expenses!$B$5:$B$304,"&lt;="&amp;T22,Expenses!$J$5:$J$304,"&lt;&gt;Personal"))</f>
        <v>0</v>
      </c>
      <c r="Y22" s="29">
        <f>IF(S22="","",V22-X22)</f>
        <v>0</v>
      </c>
      <c r="Z22" s="31">
        <f>IF(S22="","",COUNTIFS(Bookings!$I$5:$I$404,"&gt;="&amp;S22,Bookings!$I$5:$I$404,"&lt;="&amp;T22,Bookings!$AM$5:$AM$404,"&lt;&gt;Cancelled"))</f>
        <v>0</v>
      </c>
      <c r="AA22" s="31">
        <f>IF(S22="","",COUNTIFS(Bookings!$I$5:$I$404,"&gt;="&amp;S22,Bookings!$I$5:$I$404,"&lt;="&amp;T22,Bookings!$AM$5:$AM$404,"Completed"))</f>
        <v>0</v>
      </c>
      <c r="AB22" s="31">
        <f>IF(S22="","",COUNTIFS(Bookings!$I$5:$I$404,"&gt;="&amp;S22,Bookings!$I$5:$I$404,"&lt;="&amp;T22,Bookings!$AM$5:$AM$404,"Cancelled"))</f>
        <v>0</v>
      </c>
      <c r="AC22" s="31">
        <f>IF(S22="","",COUNTIFS('Visit Log'!$C$5:$C$404,"&gt;="&amp;S22,'Visit Log'!$C$5:$C$404,"&lt;="&amp;T22,'Visit Log'!$AE$5:$AE$404,"Completed"))</f>
        <v>0</v>
      </c>
      <c r="AD22" s="31">
        <f>IF(S22="","",COUNTIFS(Clients!$L$5:$L$254,"&gt;="&amp;S22,Clients!$L$5:$L$254,"&lt;="&amp;T22))</f>
        <v>0</v>
      </c>
      <c r="AE22" s="32">
        <f>IF(S22="","",SUMIFS(Mileage!$M$5:$M$304,Mileage!$B$5:$B$304,"&gt;="&amp;S22,Mileage!$B$5:$B$304,"&lt;="&amp;T22,Mileage!$N$5:$N$304,"Business"))</f>
        <v>0</v>
      </c>
      <c r="AF22" s="29">
        <f>IF(S22="","",SUMIFS(Payments!$L$5:$L$304,Payments!$B$5:$B$304,"&gt;="&amp;DATE(Dash_Year-1,ROW()-4,1),Payments!$B$5:$B$304,"&lt;="&amp;EOMONTH(DATE(Dash_Year-1,ROW()-4,1),0)))</f>
        <v>0</v>
      </c>
      <c r="AG22" s="28">
        <f>IF(Staff!$B$22="","",Staff!$B$22)</f>
        <v>0</v>
      </c>
      <c r="AH22" s="31">
        <f>IF(AG22="","",COUNTIFS('Visit Log'!$G$5:$G$404,AG22,'Visit Log'!$C$5:$C$404,"&gt;="&amp;RepFrom,'Visit Log'!$C$5:$C$404,"&lt;="&amp;RepTo,'Visit Log'!$AE$5:$AE$404,"Completed"))</f>
        <v>0</v>
      </c>
      <c r="AI22" s="51">
        <f>IF(AG22="","",ROUND(SUMIFS('Visit Log'!$K$5:$K$404,'Visit Log'!$G$5:$G$404,AG22,'Visit Log'!$C$5:$C$404,"&gt;="&amp;RepFrom,'Visit Log'!$C$5:$C$404,"&lt;="&amp;RepTo,'Visit Log'!$AE$5:$AE$404,"Completed")/60,2))</f>
        <v>0</v>
      </c>
      <c r="AJ22" s="29">
        <f>IF(AG22="","",SUMIFS(Bookings!$AK$5:$AK$404,Bookings!$AL$5:$AL$404,AG22,Bookings!$I$5:$I$404,"&gt;="&amp;RepFrom,Bookings!$I$5:$I$404,"&lt;="&amp;RepTo,Bookings!$AM$5:$AM$404,"&lt;&gt;Cancelled"))</f>
        <v>0</v>
      </c>
      <c r="AK22" s="32">
        <f>IF(AG22="","",SUMIFS(Mileage!$M$5:$M$304,Mileage!$C$5:$C$304,AG22,Mileage!$B$5:$B$304,"&gt;="&amp;RepFrom,Mileage!$B$5:$B$304,"&lt;="&amp;RepTo))</f>
        <v>0</v>
      </c>
      <c r="AL22" s="28">
        <f>IF(Lists!$Q22="","",Lists!$Q22)</f>
        <v>0</v>
      </c>
      <c r="AM22" s="31">
        <f>IF(AL22="","",COUNTIFS(Bookings!$AV$5:$AV$404,AL22,Bookings!$I$5:$I$404,"&gt;="&amp;RepFrom,Bookings!$I$5:$I$404,"&lt;="&amp;RepTo))</f>
        <v>0</v>
      </c>
      <c r="AN22" s="28">
        <f>IF(Lists!$AF22="","",Lists!$AF22)</f>
        <v>0</v>
      </c>
      <c r="AO22" s="29">
        <f>IF(AN22="","",SUMIFS(Payments!$L$5:$L$304,Payments!$F$5:$F$304,AN22,Payments!$B$5:$B$304,"&gt;="&amp;RepFrom,Payments!$B$5:$B$304,"&lt;="&amp;RepTo))</f>
        <v>0</v>
      </c>
      <c r="AP22" s="28">
        <f>IF(Lists!$E22="","",Lists!$E22)</f>
        <v>0</v>
      </c>
      <c r="AQ22" s="31">
        <f>IF(AP22="","",COUNTIFS(Clients!$K$5:$K$254,AP22))</f>
        <v>0</v>
      </c>
      <c r="AR22" s="29">
        <f>IF(AP22="","",SUMIFS(Clients!$AE$5:$AE$254,Clients!$K$5:$K$254,AP22))</f>
        <v>0</v>
      </c>
    </row>
    <row r="23" spans="1:44">
      <c r="A23" s="28">
        <f>IF(Clients!$B$23="","",Clients!$B$23)</f>
        <v>0</v>
      </c>
      <c r="B23" s="29">
        <f>IF(A23="","",SUMIFS(Payments!$L$5:$L$304,Payments!$C$5:$C$304,A23,Payments!$B$5:$B$304,"&gt;="&amp;PeriodStart,Payments!$B$5:$B$304,"&lt;="&amp;PeriodEnd))</f>
        <v>0</v>
      </c>
      <c r="C23" s="51">
        <f>IF(A23="","",IF(B23&lt;=0,"",B23+ROW()/1000000))</f>
        <v>0</v>
      </c>
      <c r="D23" s="29">
        <f>IF(A23="","",SUMIFS(Payments!$L$5:$L$304,Payments!$C$5:$C$304,A23,Payments!$B$5:$B$304,"&gt;="&amp;RepFrom,Payments!$B$5:$B$304,"&lt;="&amp;RepTo))</f>
        <v>0</v>
      </c>
      <c r="E23" s="51">
        <f>IF(A23="","",IF(D23&lt;=0,"",D23+ROW()/1000000))</f>
        <v>0</v>
      </c>
      <c r="F23" s="29">
        <f>IF(A23="","",SUMIFS(Invoices!$S$5:$S$304,Invoices!$D$5:$D$304,A23,Invoices!$T$5:$T$304,"&lt;&gt;Cancelled"))</f>
        <v>0</v>
      </c>
      <c r="G23" s="51">
        <f>IF(A23="","",IF(F23&lt;=0.004,"",F23+ROW()/1000000))</f>
        <v>0</v>
      </c>
      <c r="H23" s="31">
        <f>IF(A23="","",COUNTIFS(Bookings!$C$5:$C$404,A23,Bookings!$I$5:$I$404,"&gt;="&amp;RepFrom,Bookings!$I$5:$I$404,"&lt;="&amp;RepTo,Bookings!$AM$5:$AM$404,"&lt;&gt;Cancelled"))</f>
        <v>0</v>
      </c>
      <c r="I23" s="28">
        <f>IF(Services!$B$23="","",Services!$B$23)</f>
        <v>0</v>
      </c>
      <c r="J23" s="29">
        <f>IF(I23="","",SUMIFS(Bookings!$AK$5:$AK$404,Bookings!$H$5:$H$404,I23,Bookings!$I$5:$I$404,"&gt;="&amp;PeriodStart,Bookings!$I$5:$I$404,"&lt;="&amp;PeriodEnd,Bookings!$AM$5:$AM$404,"&lt;&gt;Cancelled"))</f>
        <v>0</v>
      </c>
      <c r="K23" s="31">
        <f>IF(I23="","",COUNTIFS(Bookings!$H$5:$H$404,I23,Bookings!$I$5:$I$404,"&gt;="&amp;PeriodStart,Bookings!$I$5:$I$404,"&lt;="&amp;PeriodEnd,Bookings!$AM$5:$AM$404,"&lt;&gt;Cancelled"))</f>
        <v>0</v>
      </c>
      <c r="L23" s="29">
        <f>IF(I23="","",SUMIFS(Bookings!$AK$5:$AK$404,Bookings!$H$5:$H$404,I23,Bookings!$I$5:$I$404,"&gt;="&amp;RepFrom,Bookings!$I$5:$I$404,"&lt;="&amp;RepTo,Bookings!$AM$5:$AM$404,"&lt;&gt;Cancelled"))</f>
        <v>0</v>
      </c>
      <c r="M23" s="31">
        <f>IF(I23="","",COUNTIFS(Bookings!$H$5:$H$404,I23,Bookings!$I$5:$I$404,"&gt;="&amp;RepFrom,Bookings!$I$5:$I$404,"&lt;="&amp;RepTo,Bookings!$AM$5:$AM$404,"&lt;&gt;Cancelled"))</f>
        <v>0</v>
      </c>
      <c r="N23" s="29">
        <f>IF(I23="","",M23*IF(Services!$L$23="",0,Services!$L$23))</f>
        <v>0</v>
      </c>
      <c r="O23" s="29">
        <f>IF(I23="","",L23-N23)</f>
        <v>0</v>
      </c>
      <c r="P23" s="28">
        <f>IF(Lists!$AG23="","",Lists!$AG23)</f>
        <v>0</v>
      </c>
      <c r="Q23" s="29">
        <f>IF(P23="","",SUMIFS(Expenses!$F$5:$F$304,Expenses!$C$5:$C$304,P23,Expenses!$B$5:$B$304,"&gt;="&amp;PeriodStart,Expenses!$B$5:$B$304,"&lt;="&amp;PeriodEnd,Expenses!$J$5:$J$304,"&lt;&gt;Personal"))</f>
        <v>0</v>
      </c>
      <c r="R23" s="29">
        <f>IF(P23="","",SUMIFS(Expenses!$F$5:$F$304,Expenses!$C$5:$C$304,P23,Expenses!$B$5:$B$304,"&gt;="&amp;RepFrom,Expenses!$B$5:$B$304,"&lt;="&amp;RepTo,Expenses!$J$5:$J$304,"&lt;&gt;Personal"))</f>
        <v>0</v>
      </c>
      <c r="S23" s="21">
        <f>IF(ROW()-4&gt;12,"",DATE(Dash_Year,ROW()-4,1))</f>
        <v>0</v>
      </c>
      <c r="T23" s="21">
        <f>IF(S23="","",EOMONTH(S23,0))</f>
        <v>0</v>
      </c>
      <c r="U23" s="28">
        <f>IF(S23="","",TEXT(S23,"mmm"))</f>
        <v>0</v>
      </c>
      <c r="V23" s="29">
        <f>IF(S23="","",SUMIFS(Payments!$L$5:$L$304,Payments!$B$5:$B$304,"&gt;="&amp;S23,Payments!$B$5:$B$304,"&lt;="&amp;T23))</f>
        <v>0</v>
      </c>
      <c r="W23" s="29">
        <f>IF(S23="","",SUMIFS(Invoices!$O$5:$O$304,Invoices!$B$5:$B$304,"&gt;="&amp;S23,Invoices!$B$5:$B$304,"&lt;="&amp;T23,Invoices!$T$5:$T$304,"&lt;&gt;Cancelled"))</f>
        <v>0</v>
      </c>
      <c r="X23" s="29">
        <f>IF(S23="","",SUMIFS(Expenses!$F$5:$F$304,Expenses!$B$5:$B$304,"&gt;="&amp;S23,Expenses!$B$5:$B$304,"&lt;="&amp;T23,Expenses!$J$5:$J$304,"&lt;&gt;Personal"))</f>
        <v>0</v>
      </c>
      <c r="Y23" s="29">
        <f>IF(S23="","",V23-X23)</f>
        <v>0</v>
      </c>
      <c r="Z23" s="31">
        <f>IF(S23="","",COUNTIFS(Bookings!$I$5:$I$404,"&gt;="&amp;S23,Bookings!$I$5:$I$404,"&lt;="&amp;T23,Bookings!$AM$5:$AM$404,"&lt;&gt;Cancelled"))</f>
        <v>0</v>
      </c>
      <c r="AA23" s="31">
        <f>IF(S23="","",COUNTIFS(Bookings!$I$5:$I$404,"&gt;="&amp;S23,Bookings!$I$5:$I$404,"&lt;="&amp;T23,Bookings!$AM$5:$AM$404,"Completed"))</f>
        <v>0</v>
      </c>
      <c r="AB23" s="31">
        <f>IF(S23="","",COUNTIFS(Bookings!$I$5:$I$404,"&gt;="&amp;S23,Bookings!$I$5:$I$404,"&lt;="&amp;T23,Bookings!$AM$5:$AM$404,"Cancelled"))</f>
        <v>0</v>
      </c>
      <c r="AC23" s="31">
        <f>IF(S23="","",COUNTIFS('Visit Log'!$C$5:$C$404,"&gt;="&amp;S23,'Visit Log'!$C$5:$C$404,"&lt;="&amp;T23,'Visit Log'!$AE$5:$AE$404,"Completed"))</f>
        <v>0</v>
      </c>
      <c r="AD23" s="31">
        <f>IF(S23="","",COUNTIFS(Clients!$L$5:$L$254,"&gt;="&amp;S23,Clients!$L$5:$L$254,"&lt;="&amp;T23))</f>
        <v>0</v>
      </c>
      <c r="AE23" s="32">
        <f>IF(S23="","",SUMIFS(Mileage!$M$5:$M$304,Mileage!$B$5:$B$304,"&gt;="&amp;S23,Mileage!$B$5:$B$304,"&lt;="&amp;T23,Mileage!$N$5:$N$304,"Business"))</f>
        <v>0</v>
      </c>
      <c r="AF23" s="29">
        <f>IF(S23="","",SUMIFS(Payments!$L$5:$L$304,Payments!$B$5:$B$304,"&gt;="&amp;DATE(Dash_Year-1,ROW()-4,1),Payments!$B$5:$B$304,"&lt;="&amp;EOMONTH(DATE(Dash_Year-1,ROW()-4,1),0)))</f>
        <v>0</v>
      </c>
      <c r="AG23" s="28">
        <f>IF(Staff!$B$23="","",Staff!$B$23)</f>
        <v>0</v>
      </c>
      <c r="AH23" s="31">
        <f>IF(AG23="","",COUNTIFS('Visit Log'!$G$5:$G$404,AG23,'Visit Log'!$C$5:$C$404,"&gt;="&amp;RepFrom,'Visit Log'!$C$5:$C$404,"&lt;="&amp;RepTo,'Visit Log'!$AE$5:$AE$404,"Completed"))</f>
        <v>0</v>
      </c>
      <c r="AI23" s="51">
        <f>IF(AG23="","",ROUND(SUMIFS('Visit Log'!$K$5:$K$404,'Visit Log'!$G$5:$G$404,AG23,'Visit Log'!$C$5:$C$404,"&gt;="&amp;RepFrom,'Visit Log'!$C$5:$C$404,"&lt;="&amp;RepTo,'Visit Log'!$AE$5:$AE$404,"Completed")/60,2))</f>
        <v>0</v>
      </c>
      <c r="AJ23" s="29">
        <f>IF(AG23="","",SUMIFS(Bookings!$AK$5:$AK$404,Bookings!$AL$5:$AL$404,AG23,Bookings!$I$5:$I$404,"&gt;="&amp;RepFrom,Bookings!$I$5:$I$404,"&lt;="&amp;RepTo,Bookings!$AM$5:$AM$404,"&lt;&gt;Cancelled"))</f>
        <v>0</v>
      </c>
      <c r="AK23" s="32">
        <f>IF(AG23="","",SUMIFS(Mileage!$M$5:$M$304,Mileage!$C$5:$C$304,AG23,Mileage!$B$5:$B$304,"&gt;="&amp;RepFrom,Mileage!$B$5:$B$304,"&lt;="&amp;RepTo))</f>
        <v>0</v>
      </c>
      <c r="AL23" s="28">
        <f>IF(Lists!$Q23="","",Lists!$Q23)</f>
        <v>0</v>
      </c>
      <c r="AM23" s="31">
        <f>IF(AL23="","",COUNTIFS(Bookings!$AV$5:$AV$404,AL23,Bookings!$I$5:$I$404,"&gt;="&amp;RepFrom,Bookings!$I$5:$I$404,"&lt;="&amp;RepTo))</f>
        <v>0</v>
      </c>
      <c r="AN23" s="28">
        <f>IF(Lists!$AF23="","",Lists!$AF23)</f>
        <v>0</v>
      </c>
      <c r="AO23" s="29">
        <f>IF(AN23="","",SUMIFS(Payments!$L$5:$L$304,Payments!$F$5:$F$304,AN23,Payments!$B$5:$B$304,"&gt;="&amp;RepFrom,Payments!$B$5:$B$304,"&lt;="&amp;RepTo))</f>
        <v>0</v>
      </c>
      <c r="AP23" s="28">
        <f>IF(Lists!$E23="","",Lists!$E23)</f>
        <v>0</v>
      </c>
      <c r="AQ23" s="31">
        <f>IF(AP23="","",COUNTIFS(Clients!$K$5:$K$254,AP23))</f>
        <v>0</v>
      </c>
      <c r="AR23" s="29">
        <f>IF(AP23="","",SUMIFS(Clients!$AE$5:$AE$254,Clients!$K$5:$K$254,AP23))</f>
        <v>0</v>
      </c>
    </row>
    <row r="24" spans="1:44">
      <c r="A24" s="28">
        <f>IF(Clients!$B$24="","",Clients!$B$24)</f>
        <v>0</v>
      </c>
      <c r="B24" s="29">
        <f>IF(A24="","",SUMIFS(Payments!$L$5:$L$304,Payments!$C$5:$C$304,A24,Payments!$B$5:$B$304,"&gt;="&amp;PeriodStart,Payments!$B$5:$B$304,"&lt;="&amp;PeriodEnd))</f>
        <v>0</v>
      </c>
      <c r="C24" s="51">
        <f>IF(A24="","",IF(B24&lt;=0,"",B24+ROW()/1000000))</f>
        <v>0</v>
      </c>
      <c r="D24" s="29">
        <f>IF(A24="","",SUMIFS(Payments!$L$5:$L$304,Payments!$C$5:$C$304,A24,Payments!$B$5:$B$304,"&gt;="&amp;RepFrom,Payments!$B$5:$B$304,"&lt;="&amp;RepTo))</f>
        <v>0</v>
      </c>
      <c r="E24" s="51">
        <f>IF(A24="","",IF(D24&lt;=0,"",D24+ROW()/1000000))</f>
        <v>0</v>
      </c>
      <c r="F24" s="29">
        <f>IF(A24="","",SUMIFS(Invoices!$S$5:$S$304,Invoices!$D$5:$D$304,A24,Invoices!$T$5:$T$304,"&lt;&gt;Cancelled"))</f>
        <v>0</v>
      </c>
      <c r="G24" s="51">
        <f>IF(A24="","",IF(F24&lt;=0.004,"",F24+ROW()/1000000))</f>
        <v>0</v>
      </c>
      <c r="H24" s="31">
        <f>IF(A24="","",COUNTIFS(Bookings!$C$5:$C$404,A24,Bookings!$I$5:$I$404,"&gt;="&amp;RepFrom,Bookings!$I$5:$I$404,"&lt;="&amp;RepTo,Bookings!$AM$5:$AM$404,"&lt;&gt;Cancelled"))</f>
        <v>0</v>
      </c>
      <c r="I24" s="28">
        <f>IF(Services!$B$24="","",Services!$B$24)</f>
        <v>0</v>
      </c>
      <c r="J24" s="29">
        <f>IF(I24="","",SUMIFS(Bookings!$AK$5:$AK$404,Bookings!$H$5:$H$404,I24,Bookings!$I$5:$I$404,"&gt;="&amp;PeriodStart,Bookings!$I$5:$I$404,"&lt;="&amp;PeriodEnd,Bookings!$AM$5:$AM$404,"&lt;&gt;Cancelled"))</f>
        <v>0</v>
      </c>
      <c r="K24" s="31">
        <f>IF(I24="","",COUNTIFS(Bookings!$H$5:$H$404,I24,Bookings!$I$5:$I$404,"&gt;="&amp;PeriodStart,Bookings!$I$5:$I$404,"&lt;="&amp;PeriodEnd,Bookings!$AM$5:$AM$404,"&lt;&gt;Cancelled"))</f>
        <v>0</v>
      </c>
      <c r="L24" s="29">
        <f>IF(I24="","",SUMIFS(Bookings!$AK$5:$AK$404,Bookings!$H$5:$H$404,I24,Bookings!$I$5:$I$404,"&gt;="&amp;RepFrom,Bookings!$I$5:$I$404,"&lt;="&amp;RepTo,Bookings!$AM$5:$AM$404,"&lt;&gt;Cancelled"))</f>
        <v>0</v>
      </c>
      <c r="M24" s="31">
        <f>IF(I24="","",COUNTIFS(Bookings!$H$5:$H$404,I24,Bookings!$I$5:$I$404,"&gt;="&amp;RepFrom,Bookings!$I$5:$I$404,"&lt;="&amp;RepTo,Bookings!$AM$5:$AM$404,"&lt;&gt;Cancelled"))</f>
        <v>0</v>
      </c>
      <c r="N24" s="29">
        <f>IF(I24="","",M24*IF(Services!$L$24="",0,Services!$L$24))</f>
        <v>0</v>
      </c>
      <c r="O24" s="29">
        <f>IF(I24="","",L24-N24)</f>
        <v>0</v>
      </c>
      <c r="P24" s="28">
        <f>IF(Lists!$AG24="","",Lists!$AG24)</f>
        <v>0</v>
      </c>
      <c r="Q24" s="29">
        <f>IF(P24="","",SUMIFS(Expenses!$F$5:$F$304,Expenses!$C$5:$C$304,P24,Expenses!$B$5:$B$304,"&gt;="&amp;PeriodStart,Expenses!$B$5:$B$304,"&lt;="&amp;PeriodEnd,Expenses!$J$5:$J$304,"&lt;&gt;Personal"))</f>
        <v>0</v>
      </c>
      <c r="R24" s="29">
        <f>IF(P24="","",SUMIFS(Expenses!$F$5:$F$304,Expenses!$C$5:$C$304,P24,Expenses!$B$5:$B$304,"&gt;="&amp;RepFrom,Expenses!$B$5:$B$304,"&lt;="&amp;RepTo,Expenses!$J$5:$J$304,"&lt;&gt;Personal"))</f>
        <v>0</v>
      </c>
      <c r="S24" s="21">
        <f>IF(ROW()-4&gt;12,"",DATE(Dash_Year,ROW()-4,1))</f>
        <v>0</v>
      </c>
      <c r="T24" s="21">
        <f>IF(S24="","",EOMONTH(S24,0))</f>
        <v>0</v>
      </c>
      <c r="U24" s="28">
        <f>IF(S24="","",TEXT(S24,"mmm"))</f>
        <v>0</v>
      </c>
      <c r="V24" s="29">
        <f>IF(S24="","",SUMIFS(Payments!$L$5:$L$304,Payments!$B$5:$B$304,"&gt;="&amp;S24,Payments!$B$5:$B$304,"&lt;="&amp;T24))</f>
        <v>0</v>
      </c>
      <c r="W24" s="29">
        <f>IF(S24="","",SUMIFS(Invoices!$O$5:$O$304,Invoices!$B$5:$B$304,"&gt;="&amp;S24,Invoices!$B$5:$B$304,"&lt;="&amp;T24,Invoices!$T$5:$T$304,"&lt;&gt;Cancelled"))</f>
        <v>0</v>
      </c>
      <c r="X24" s="29">
        <f>IF(S24="","",SUMIFS(Expenses!$F$5:$F$304,Expenses!$B$5:$B$304,"&gt;="&amp;S24,Expenses!$B$5:$B$304,"&lt;="&amp;T24,Expenses!$J$5:$J$304,"&lt;&gt;Personal"))</f>
        <v>0</v>
      </c>
      <c r="Y24" s="29">
        <f>IF(S24="","",V24-X24)</f>
        <v>0</v>
      </c>
      <c r="Z24" s="31">
        <f>IF(S24="","",COUNTIFS(Bookings!$I$5:$I$404,"&gt;="&amp;S24,Bookings!$I$5:$I$404,"&lt;="&amp;T24,Bookings!$AM$5:$AM$404,"&lt;&gt;Cancelled"))</f>
        <v>0</v>
      </c>
      <c r="AA24" s="31">
        <f>IF(S24="","",COUNTIFS(Bookings!$I$5:$I$404,"&gt;="&amp;S24,Bookings!$I$5:$I$404,"&lt;="&amp;T24,Bookings!$AM$5:$AM$404,"Completed"))</f>
        <v>0</v>
      </c>
      <c r="AB24" s="31">
        <f>IF(S24="","",COUNTIFS(Bookings!$I$5:$I$404,"&gt;="&amp;S24,Bookings!$I$5:$I$404,"&lt;="&amp;T24,Bookings!$AM$5:$AM$404,"Cancelled"))</f>
        <v>0</v>
      </c>
      <c r="AC24" s="31">
        <f>IF(S24="","",COUNTIFS('Visit Log'!$C$5:$C$404,"&gt;="&amp;S24,'Visit Log'!$C$5:$C$404,"&lt;="&amp;T24,'Visit Log'!$AE$5:$AE$404,"Completed"))</f>
        <v>0</v>
      </c>
      <c r="AD24" s="31">
        <f>IF(S24="","",COUNTIFS(Clients!$L$5:$L$254,"&gt;="&amp;S24,Clients!$L$5:$L$254,"&lt;="&amp;T24))</f>
        <v>0</v>
      </c>
      <c r="AE24" s="32">
        <f>IF(S24="","",SUMIFS(Mileage!$M$5:$M$304,Mileage!$B$5:$B$304,"&gt;="&amp;S24,Mileage!$B$5:$B$304,"&lt;="&amp;T24,Mileage!$N$5:$N$304,"Business"))</f>
        <v>0</v>
      </c>
      <c r="AF24" s="29">
        <f>IF(S24="","",SUMIFS(Payments!$L$5:$L$304,Payments!$B$5:$B$304,"&gt;="&amp;DATE(Dash_Year-1,ROW()-4,1),Payments!$B$5:$B$304,"&lt;="&amp;EOMONTH(DATE(Dash_Year-1,ROW()-4,1),0)))</f>
        <v>0</v>
      </c>
      <c r="AG24" s="28">
        <f>IF(Staff!$B$24="","",Staff!$B$24)</f>
        <v>0</v>
      </c>
      <c r="AH24" s="31">
        <f>IF(AG24="","",COUNTIFS('Visit Log'!$G$5:$G$404,AG24,'Visit Log'!$C$5:$C$404,"&gt;="&amp;RepFrom,'Visit Log'!$C$5:$C$404,"&lt;="&amp;RepTo,'Visit Log'!$AE$5:$AE$404,"Completed"))</f>
        <v>0</v>
      </c>
      <c r="AI24" s="51">
        <f>IF(AG24="","",ROUND(SUMIFS('Visit Log'!$K$5:$K$404,'Visit Log'!$G$5:$G$404,AG24,'Visit Log'!$C$5:$C$404,"&gt;="&amp;RepFrom,'Visit Log'!$C$5:$C$404,"&lt;="&amp;RepTo,'Visit Log'!$AE$5:$AE$404,"Completed")/60,2))</f>
        <v>0</v>
      </c>
      <c r="AJ24" s="29">
        <f>IF(AG24="","",SUMIFS(Bookings!$AK$5:$AK$404,Bookings!$AL$5:$AL$404,AG24,Bookings!$I$5:$I$404,"&gt;="&amp;RepFrom,Bookings!$I$5:$I$404,"&lt;="&amp;RepTo,Bookings!$AM$5:$AM$404,"&lt;&gt;Cancelled"))</f>
        <v>0</v>
      </c>
      <c r="AK24" s="32">
        <f>IF(AG24="","",SUMIFS(Mileage!$M$5:$M$304,Mileage!$C$5:$C$304,AG24,Mileage!$B$5:$B$304,"&gt;="&amp;RepFrom,Mileage!$B$5:$B$304,"&lt;="&amp;RepTo))</f>
        <v>0</v>
      </c>
      <c r="AL24" s="28">
        <f>IF(Lists!$Q24="","",Lists!$Q24)</f>
        <v>0</v>
      </c>
      <c r="AM24" s="31">
        <f>IF(AL24="","",COUNTIFS(Bookings!$AV$5:$AV$404,AL24,Bookings!$I$5:$I$404,"&gt;="&amp;RepFrom,Bookings!$I$5:$I$404,"&lt;="&amp;RepTo))</f>
        <v>0</v>
      </c>
      <c r="AN24" s="28">
        <f>IF(Lists!$AF24="","",Lists!$AF24)</f>
        <v>0</v>
      </c>
      <c r="AO24" s="29">
        <f>IF(AN24="","",SUMIFS(Payments!$L$5:$L$304,Payments!$F$5:$F$304,AN24,Payments!$B$5:$B$304,"&gt;="&amp;RepFrom,Payments!$B$5:$B$304,"&lt;="&amp;RepTo))</f>
        <v>0</v>
      </c>
      <c r="AP24" s="28">
        <f>IF(Lists!$E24="","",Lists!$E24)</f>
        <v>0</v>
      </c>
      <c r="AQ24" s="31">
        <f>IF(AP24="","",COUNTIFS(Clients!$K$5:$K$254,AP24))</f>
        <v>0</v>
      </c>
      <c r="AR24" s="29">
        <f>IF(AP24="","",SUMIFS(Clients!$AE$5:$AE$254,Clients!$K$5:$K$254,AP24))</f>
        <v>0</v>
      </c>
    </row>
    <row r="25" spans="1:44">
      <c r="A25" s="28">
        <f>IF(Clients!$B$25="","",Clients!$B$25)</f>
        <v>0</v>
      </c>
      <c r="B25" s="29">
        <f>IF(A25="","",SUMIFS(Payments!$L$5:$L$304,Payments!$C$5:$C$304,A25,Payments!$B$5:$B$304,"&gt;="&amp;PeriodStart,Payments!$B$5:$B$304,"&lt;="&amp;PeriodEnd))</f>
        <v>0</v>
      </c>
      <c r="C25" s="51">
        <f>IF(A25="","",IF(B25&lt;=0,"",B25+ROW()/1000000))</f>
        <v>0</v>
      </c>
      <c r="D25" s="29">
        <f>IF(A25="","",SUMIFS(Payments!$L$5:$L$304,Payments!$C$5:$C$304,A25,Payments!$B$5:$B$304,"&gt;="&amp;RepFrom,Payments!$B$5:$B$304,"&lt;="&amp;RepTo))</f>
        <v>0</v>
      </c>
      <c r="E25" s="51">
        <f>IF(A25="","",IF(D25&lt;=0,"",D25+ROW()/1000000))</f>
        <v>0</v>
      </c>
      <c r="F25" s="29">
        <f>IF(A25="","",SUMIFS(Invoices!$S$5:$S$304,Invoices!$D$5:$D$304,A25,Invoices!$T$5:$T$304,"&lt;&gt;Cancelled"))</f>
        <v>0</v>
      </c>
      <c r="G25" s="51">
        <f>IF(A25="","",IF(F25&lt;=0.004,"",F25+ROW()/1000000))</f>
        <v>0</v>
      </c>
      <c r="H25" s="31">
        <f>IF(A25="","",COUNTIFS(Bookings!$C$5:$C$404,A25,Bookings!$I$5:$I$404,"&gt;="&amp;RepFrom,Bookings!$I$5:$I$404,"&lt;="&amp;RepTo,Bookings!$AM$5:$AM$404,"&lt;&gt;Cancelled"))</f>
        <v>0</v>
      </c>
      <c r="I25" s="28">
        <f>IF(Services!$B$25="","",Services!$B$25)</f>
        <v>0</v>
      </c>
      <c r="J25" s="29">
        <f>IF(I25="","",SUMIFS(Bookings!$AK$5:$AK$404,Bookings!$H$5:$H$404,I25,Bookings!$I$5:$I$404,"&gt;="&amp;PeriodStart,Bookings!$I$5:$I$404,"&lt;="&amp;PeriodEnd,Bookings!$AM$5:$AM$404,"&lt;&gt;Cancelled"))</f>
        <v>0</v>
      </c>
      <c r="K25" s="31">
        <f>IF(I25="","",COUNTIFS(Bookings!$H$5:$H$404,I25,Bookings!$I$5:$I$404,"&gt;="&amp;PeriodStart,Bookings!$I$5:$I$404,"&lt;="&amp;PeriodEnd,Bookings!$AM$5:$AM$404,"&lt;&gt;Cancelled"))</f>
        <v>0</v>
      </c>
      <c r="L25" s="29">
        <f>IF(I25="","",SUMIFS(Bookings!$AK$5:$AK$404,Bookings!$H$5:$H$404,I25,Bookings!$I$5:$I$404,"&gt;="&amp;RepFrom,Bookings!$I$5:$I$404,"&lt;="&amp;RepTo,Bookings!$AM$5:$AM$404,"&lt;&gt;Cancelled"))</f>
        <v>0</v>
      </c>
      <c r="M25" s="31">
        <f>IF(I25="","",COUNTIFS(Bookings!$H$5:$H$404,I25,Bookings!$I$5:$I$404,"&gt;="&amp;RepFrom,Bookings!$I$5:$I$404,"&lt;="&amp;RepTo,Bookings!$AM$5:$AM$404,"&lt;&gt;Cancelled"))</f>
        <v>0</v>
      </c>
      <c r="N25" s="29">
        <f>IF(I25="","",M25*IF(Services!$L$25="",0,Services!$L$25))</f>
        <v>0</v>
      </c>
      <c r="O25" s="29">
        <f>IF(I25="","",L25-N25)</f>
        <v>0</v>
      </c>
      <c r="P25" s="28">
        <f>IF(Lists!$AG25="","",Lists!$AG25)</f>
        <v>0</v>
      </c>
      <c r="Q25" s="29">
        <f>IF(P25="","",SUMIFS(Expenses!$F$5:$F$304,Expenses!$C$5:$C$304,P25,Expenses!$B$5:$B$304,"&gt;="&amp;PeriodStart,Expenses!$B$5:$B$304,"&lt;="&amp;PeriodEnd,Expenses!$J$5:$J$304,"&lt;&gt;Personal"))</f>
        <v>0</v>
      </c>
      <c r="R25" s="29">
        <f>IF(P25="","",SUMIFS(Expenses!$F$5:$F$304,Expenses!$C$5:$C$304,P25,Expenses!$B$5:$B$304,"&gt;="&amp;RepFrom,Expenses!$B$5:$B$304,"&lt;="&amp;RepTo,Expenses!$J$5:$J$304,"&lt;&gt;Personal"))</f>
        <v>0</v>
      </c>
      <c r="S25" s="21">
        <f>IF(ROW()-4&gt;12,"",DATE(Dash_Year,ROW()-4,1))</f>
        <v>0</v>
      </c>
      <c r="T25" s="21">
        <f>IF(S25="","",EOMONTH(S25,0))</f>
        <v>0</v>
      </c>
      <c r="U25" s="28">
        <f>IF(S25="","",TEXT(S25,"mmm"))</f>
        <v>0</v>
      </c>
      <c r="V25" s="29">
        <f>IF(S25="","",SUMIFS(Payments!$L$5:$L$304,Payments!$B$5:$B$304,"&gt;="&amp;S25,Payments!$B$5:$B$304,"&lt;="&amp;T25))</f>
        <v>0</v>
      </c>
      <c r="W25" s="29">
        <f>IF(S25="","",SUMIFS(Invoices!$O$5:$O$304,Invoices!$B$5:$B$304,"&gt;="&amp;S25,Invoices!$B$5:$B$304,"&lt;="&amp;T25,Invoices!$T$5:$T$304,"&lt;&gt;Cancelled"))</f>
        <v>0</v>
      </c>
      <c r="X25" s="29">
        <f>IF(S25="","",SUMIFS(Expenses!$F$5:$F$304,Expenses!$B$5:$B$304,"&gt;="&amp;S25,Expenses!$B$5:$B$304,"&lt;="&amp;T25,Expenses!$J$5:$J$304,"&lt;&gt;Personal"))</f>
        <v>0</v>
      </c>
      <c r="Y25" s="29">
        <f>IF(S25="","",V25-X25)</f>
        <v>0</v>
      </c>
      <c r="Z25" s="31">
        <f>IF(S25="","",COUNTIFS(Bookings!$I$5:$I$404,"&gt;="&amp;S25,Bookings!$I$5:$I$404,"&lt;="&amp;T25,Bookings!$AM$5:$AM$404,"&lt;&gt;Cancelled"))</f>
        <v>0</v>
      </c>
      <c r="AA25" s="31">
        <f>IF(S25="","",COUNTIFS(Bookings!$I$5:$I$404,"&gt;="&amp;S25,Bookings!$I$5:$I$404,"&lt;="&amp;T25,Bookings!$AM$5:$AM$404,"Completed"))</f>
        <v>0</v>
      </c>
      <c r="AB25" s="31">
        <f>IF(S25="","",COUNTIFS(Bookings!$I$5:$I$404,"&gt;="&amp;S25,Bookings!$I$5:$I$404,"&lt;="&amp;T25,Bookings!$AM$5:$AM$404,"Cancelled"))</f>
        <v>0</v>
      </c>
      <c r="AC25" s="31">
        <f>IF(S25="","",COUNTIFS('Visit Log'!$C$5:$C$404,"&gt;="&amp;S25,'Visit Log'!$C$5:$C$404,"&lt;="&amp;T25,'Visit Log'!$AE$5:$AE$404,"Completed"))</f>
        <v>0</v>
      </c>
      <c r="AD25" s="31">
        <f>IF(S25="","",COUNTIFS(Clients!$L$5:$L$254,"&gt;="&amp;S25,Clients!$L$5:$L$254,"&lt;="&amp;T25))</f>
        <v>0</v>
      </c>
      <c r="AE25" s="32">
        <f>IF(S25="","",SUMIFS(Mileage!$M$5:$M$304,Mileage!$B$5:$B$304,"&gt;="&amp;S25,Mileage!$B$5:$B$304,"&lt;="&amp;T25,Mileage!$N$5:$N$304,"Business"))</f>
        <v>0</v>
      </c>
      <c r="AF25" s="29">
        <f>IF(S25="","",SUMIFS(Payments!$L$5:$L$304,Payments!$B$5:$B$304,"&gt;="&amp;DATE(Dash_Year-1,ROW()-4,1),Payments!$B$5:$B$304,"&lt;="&amp;EOMONTH(DATE(Dash_Year-1,ROW()-4,1),0)))</f>
        <v>0</v>
      </c>
      <c r="AG25" s="28">
        <f>IF(Staff!$B$25="","",Staff!$B$25)</f>
        <v>0</v>
      </c>
      <c r="AH25" s="31">
        <f>IF(AG25="","",COUNTIFS('Visit Log'!$G$5:$G$404,AG25,'Visit Log'!$C$5:$C$404,"&gt;="&amp;RepFrom,'Visit Log'!$C$5:$C$404,"&lt;="&amp;RepTo,'Visit Log'!$AE$5:$AE$404,"Completed"))</f>
        <v>0</v>
      </c>
      <c r="AI25" s="51">
        <f>IF(AG25="","",ROUND(SUMIFS('Visit Log'!$K$5:$K$404,'Visit Log'!$G$5:$G$404,AG25,'Visit Log'!$C$5:$C$404,"&gt;="&amp;RepFrom,'Visit Log'!$C$5:$C$404,"&lt;="&amp;RepTo,'Visit Log'!$AE$5:$AE$404,"Completed")/60,2))</f>
        <v>0</v>
      </c>
      <c r="AJ25" s="29">
        <f>IF(AG25="","",SUMIFS(Bookings!$AK$5:$AK$404,Bookings!$AL$5:$AL$404,AG25,Bookings!$I$5:$I$404,"&gt;="&amp;RepFrom,Bookings!$I$5:$I$404,"&lt;="&amp;RepTo,Bookings!$AM$5:$AM$404,"&lt;&gt;Cancelled"))</f>
        <v>0</v>
      </c>
      <c r="AK25" s="32">
        <f>IF(AG25="","",SUMIFS(Mileage!$M$5:$M$304,Mileage!$C$5:$C$304,AG25,Mileage!$B$5:$B$304,"&gt;="&amp;RepFrom,Mileage!$B$5:$B$304,"&lt;="&amp;RepTo))</f>
        <v>0</v>
      </c>
      <c r="AL25" s="28">
        <f>IF(Lists!$Q25="","",Lists!$Q25)</f>
        <v>0</v>
      </c>
      <c r="AM25" s="31">
        <f>IF(AL25="","",COUNTIFS(Bookings!$AV$5:$AV$404,AL25,Bookings!$I$5:$I$404,"&gt;="&amp;RepFrom,Bookings!$I$5:$I$404,"&lt;="&amp;RepTo))</f>
        <v>0</v>
      </c>
      <c r="AN25" s="28">
        <f>IF(Lists!$AF25="","",Lists!$AF25)</f>
        <v>0</v>
      </c>
      <c r="AO25" s="29">
        <f>IF(AN25="","",SUMIFS(Payments!$L$5:$L$304,Payments!$F$5:$F$304,AN25,Payments!$B$5:$B$304,"&gt;="&amp;RepFrom,Payments!$B$5:$B$304,"&lt;="&amp;RepTo))</f>
        <v>0</v>
      </c>
      <c r="AP25" s="28">
        <f>IF(Lists!$E25="","",Lists!$E25)</f>
        <v>0</v>
      </c>
      <c r="AQ25" s="31">
        <f>IF(AP25="","",COUNTIFS(Clients!$K$5:$K$254,AP25))</f>
        <v>0</v>
      </c>
      <c r="AR25" s="29">
        <f>IF(AP25="","",SUMIFS(Clients!$AE$5:$AE$254,Clients!$K$5:$K$254,AP25))</f>
        <v>0</v>
      </c>
    </row>
    <row r="26" spans="1:44">
      <c r="A26" s="28">
        <f>IF(Clients!$B$26="","",Clients!$B$26)</f>
        <v>0</v>
      </c>
      <c r="B26" s="29">
        <f>IF(A26="","",SUMIFS(Payments!$L$5:$L$304,Payments!$C$5:$C$304,A26,Payments!$B$5:$B$304,"&gt;="&amp;PeriodStart,Payments!$B$5:$B$304,"&lt;="&amp;PeriodEnd))</f>
        <v>0</v>
      </c>
      <c r="C26" s="51">
        <f>IF(A26="","",IF(B26&lt;=0,"",B26+ROW()/1000000))</f>
        <v>0</v>
      </c>
      <c r="D26" s="29">
        <f>IF(A26="","",SUMIFS(Payments!$L$5:$L$304,Payments!$C$5:$C$304,A26,Payments!$B$5:$B$304,"&gt;="&amp;RepFrom,Payments!$B$5:$B$304,"&lt;="&amp;RepTo))</f>
        <v>0</v>
      </c>
      <c r="E26" s="51">
        <f>IF(A26="","",IF(D26&lt;=0,"",D26+ROW()/1000000))</f>
        <v>0</v>
      </c>
      <c r="F26" s="29">
        <f>IF(A26="","",SUMIFS(Invoices!$S$5:$S$304,Invoices!$D$5:$D$304,A26,Invoices!$T$5:$T$304,"&lt;&gt;Cancelled"))</f>
        <v>0</v>
      </c>
      <c r="G26" s="51">
        <f>IF(A26="","",IF(F26&lt;=0.004,"",F26+ROW()/1000000))</f>
        <v>0</v>
      </c>
      <c r="H26" s="31">
        <f>IF(A26="","",COUNTIFS(Bookings!$C$5:$C$404,A26,Bookings!$I$5:$I$404,"&gt;="&amp;RepFrom,Bookings!$I$5:$I$404,"&lt;="&amp;RepTo,Bookings!$AM$5:$AM$404,"&lt;&gt;Cancelled"))</f>
        <v>0</v>
      </c>
      <c r="I26" s="28">
        <f>IF(Services!$B$26="","",Services!$B$26)</f>
        <v>0</v>
      </c>
      <c r="J26" s="29">
        <f>IF(I26="","",SUMIFS(Bookings!$AK$5:$AK$404,Bookings!$H$5:$H$404,I26,Bookings!$I$5:$I$404,"&gt;="&amp;PeriodStart,Bookings!$I$5:$I$404,"&lt;="&amp;PeriodEnd,Bookings!$AM$5:$AM$404,"&lt;&gt;Cancelled"))</f>
        <v>0</v>
      </c>
      <c r="K26" s="31">
        <f>IF(I26="","",COUNTIFS(Bookings!$H$5:$H$404,I26,Bookings!$I$5:$I$404,"&gt;="&amp;PeriodStart,Bookings!$I$5:$I$404,"&lt;="&amp;PeriodEnd,Bookings!$AM$5:$AM$404,"&lt;&gt;Cancelled"))</f>
        <v>0</v>
      </c>
      <c r="L26" s="29">
        <f>IF(I26="","",SUMIFS(Bookings!$AK$5:$AK$404,Bookings!$H$5:$H$404,I26,Bookings!$I$5:$I$404,"&gt;="&amp;RepFrom,Bookings!$I$5:$I$404,"&lt;="&amp;RepTo,Bookings!$AM$5:$AM$404,"&lt;&gt;Cancelled"))</f>
        <v>0</v>
      </c>
      <c r="M26" s="31">
        <f>IF(I26="","",COUNTIFS(Bookings!$H$5:$H$404,I26,Bookings!$I$5:$I$404,"&gt;="&amp;RepFrom,Bookings!$I$5:$I$404,"&lt;="&amp;RepTo,Bookings!$AM$5:$AM$404,"&lt;&gt;Cancelled"))</f>
        <v>0</v>
      </c>
      <c r="N26" s="29">
        <f>IF(I26="","",M26*IF(Services!$L$26="",0,Services!$L$26))</f>
        <v>0</v>
      </c>
      <c r="O26" s="29">
        <f>IF(I26="","",L26-N26)</f>
        <v>0</v>
      </c>
      <c r="P26" s="28">
        <f>IF(Lists!$AG26="","",Lists!$AG26)</f>
        <v>0</v>
      </c>
      <c r="Q26" s="29">
        <f>IF(P26="","",SUMIFS(Expenses!$F$5:$F$304,Expenses!$C$5:$C$304,P26,Expenses!$B$5:$B$304,"&gt;="&amp;PeriodStart,Expenses!$B$5:$B$304,"&lt;="&amp;PeriodEnd,Expenses!$J$5:$J$304,"&lt;&gt;Personal"))</f>
        <v>0</v>
      </c>
      <c r="R26" s="29">
        <f>IF(P26="","",SUMIFS(Expenses!$F$5:$F$304,Expenses!$C$5:$C$304,P26,Expenses!$B$5:$B$304,"&gt;="&amp;RepFrom,Expenses!$B$5:$B$304,"&lt;="&amp;RepTo,Expenses!$J$5:$J$304,"&lt;&gt;Personal"))</f>
        <v>0</v>
      </c>
      <c r="S26" s="21">
        <f>IF(ROW()-4&gt;12,"",DATE(Dash_Year,ROW()-4,1))</f>
        <v>0</v>
      </c>
      <c r="T26" s="21">
        <f>IF(S26="","",EOMONTH(S26,0))</f>
        <v>0</v>
      </c>
      <c r="U26" s="28">
        <f>IF(S26="","",TEXT(S26,"mmm"))</f>
        <v>0</v>
      </c>
      <c r="V26" s="29">
        <f>IF(S26="","",SUMIFS(Payments!$L$5:$L$304,Payments!$B$5:$B$304,"&gt;="&amp;S26,Payments!$B$5:$B$304,"&lt;="&amp;T26))</f>
        <v>0</v>
      </c>
      <c r="W26" s="29">
        <f>IF(S26="","",SUMIFS(Invoices!$O$5:$O$304,Invoices!$B$5:$B$304,"&gt;="&amp;S26,Invoices!$B$5:$B$304,"&lt;="&amp;T26,Invoices!$T$5:$T$304,"&lt;&gt;Cancelled"))</f>
        <v>0</v>
      </c>
      <c r="X26" s="29">
        <f>IF(S26="","",SUMIFS(Expenses!$F$5:$F$304,Expenses!$B$5:$B$304,"&gt;="&amp;S26,Expenses!$B$5:$B$304,"&lt;="&amp;T26,Expenses!$J$5:$J$304,"&lt;&gt;Personal"))</f>
        <v>0</v>
      </c>
      <c r="Y26" s="29">
        <f>IF(S26="","",V26-X26)</f>
        <v>0</v>
      </c>
      <c r="Z26" s="31">
        <f>IF(S26="","",COUNTIFS(Bookings!$I$5:$I$404,"&gt;="&amp;S26,Bookings!$I$5:$I$404,"&lt;="&amp;T26,Bookings!$AM$5:$AM$404,"&lt;&gt;Cancelled"))</f>
        <v>0</v>
      </c>
      <c r="AA26" s="31">
        <f>IF(S26="","",COUNTIFS(Bookings!$I$5:$I$404,"&gt;="&amp;S26,Bookings!$I$5:$I$404,"&lt;="&amp;T26,Bookings!$AM$5:$AM$404,"Completed"))</f>
        <v>0</v>
      </c>
      <c r="AB26" s="31">
        <f>IF(S26="","",COUNTIFS(Bookings!$I$5:$I$404,"&gt;="&amp;S26,Bookings!$I$5:$I$404,"&lt;="&amp;T26,Bookings!$AM$5:$AM$404,"Cancelled"))</f>
        <v>0</v>
      </c>
      <c r="AC26" s="31">
        <f>IF(S26="","",COUNTIFS('Visit Log'!$C$5:$C$404,"&gt;="&amp;S26,'Visit Log'!$C$5:$C$404,"&lt;="&amp;T26,'Visit Log'!$AE$5:$AE$404,"Completed"))</f>
        <v>0</v>
      </c>
      <c r="AD26" s="31">
        <f>IF(S26="","",COUNTIFS(Clients!$L$5:$L$254,"&gt;="&amp;S26,Clients!$L$5:$L$254,"&lt;="&amp;T26))</f>
        <v>0</v>
      </c>
      <c r="AE26" s="32">
        <f>IF(S26="","",SUMIFS(Mileage!$M$5:$M$304,Mileage!$B$5:$B$304,"&gt;="&amp;S26,Mileage!$B$5:$B$304,"&lt;="&amp;T26,Mileage!$N$5:$N$304,"Business"))</f>
        <v>0</v>
      </c>
      <c r="AF26" s="29">
        <f>IF(S26="","",SUMIFS(Payments!$L$5:$L$304,Payments!$B$5:$B$304,"&gt;="&amp;DATE(Dash_Year-1,ROW()-4,1),Payments!$B$5:$B$304,"&lt;="&amp;EOMONTH(DATE(Dash_Year-1,ROW()-4,1),0)))</f>
        <v>0</v>
      </c>
      <c r="AG26" s="28">
        <f>IF(Staff!$B$26="","",Staff!$B$26)</f>
        <v>0</v>
      </c>
      <c r="AH26" s="31">
        <f>IF(AG26="","",COUNTIFS('Visit Log'!$G$5:$G$404,AG26,'Visit Log'!$C$5:$C$404,"&gt;="&amp;RepFrom,'Visit Log'!$C$5:$C$404,"&lt;="&amp;RepTo,'Visit Log'!$AE$5:$AE$404,"Completed"))</f>
        <v>0</v>
      </c>
      <c r="AI26" s="51">
        <f>IF(AG26="","",ROUND(SUMIFS('Visit Log'!$K$5:$K$404,'Visit Log'!$G$5:$G$404,AG26,'Visit Log'!$C$5:$C$404,"&gt;="&amp;RepFrom,'Visit Log'!$C$5:$C$404,"&lt;="&amp;RepTo,'Visit Log'!$AE$5:$AE$404,"Completed")/60,2))</f>
        <v>0</v>
      </c>
      <c r="AJ26" s="29">
        <f>IF(AG26="","",SUMIFS(Bookings!$AK$5:$AK$404,Bookings!$AL$5:$AL$404,AG26,Bookings!$I$5:$I$404,"&gt;="&amp;RepFrom,Bookings!$I$5:$I$404,"&lt;="&amp;RepTo,Bookings!$AM$5:$AM$404,"&lt;&gt;Cancelled"))</f>
        <v>0</v>
      </c>
      <c r="AK26" s="32">
        <f>IF(AG26="","",SUMIFS(Mileage!$M$5:$M$304,Mileage!$C$5:$C$304,AG26,Mileage!$B$5:$B$304,"&gt;="&amp;RepFrom,Mileage!$B$5:$B$304,"&lt;="&amp;RepTo))</f>
        <v>0</v>
      </c>
      <c r="AL26" s="28">
        <f>IF(Lists!$Q26="","",Lists!$Q26)</f>
        <v>0</v>
      </c>
      <c r="AM26" s="31">
        <f>IF(AL26="","",COUNTIFS(Bookings!$AV$5:$AV$404,AL26,Bookings!$I$5:$I$404,"&gt;="&amp;RepFrom,Bookings!$I$5:$I$404,"&lt;="&amp;RepTo))</f>
        <v>0</v>
      </c>
      <c r="AN26" s="28">
        <f>IF(Lists!$AF26="","",Lists!$AF26)</f>
        <v>0</v>
      </c>
      <c r="AO26" s="29">
        <f>IF(AN26="","",SUMIFS(Payments!$L$5:$L$304,Payments!$F$5:$F$304,AN26,Payments!$B$5:$B$304,"&gt;="&amp;RepFrom,Payments!$B$5:$B$304,"&lt;="&amp;RepTo))</f>
        <v>0</v>
      </c>
      <c r="AP26" s="28">
        <f>IF(Lists!$E26="","",Lists!$E26)</f>
        <v>0</v>
      </c>
      <c r="AQ26" s="31">
        <f>IF(AP26="","",COUNTIFS(Clients!$K$5:$K$254,AP26))</f>
        <v>0</v>
      </c>
      <c r="AR26" s="29">
        <f>IF(AP26="","",SUMIFS(Clients!$AE$5:$AE$254,Clients!$K$5:$K$254,AP26))</f>
        <v>0</v>
      </c>
    </row>
    <row r="27" spans="1:44">
      <c r="A27" s="28">
        <f>IF(Clients!$B$27="","",Clients!$B$27)</f>
        <v>0</v>
      </c>
      <c r="B27" s="29">
        <f>IF(A27="","",SUMIFS(Payments!$L$5:$L$304,Payments!$C$5:$C$304,A27,Payments!$B$5:$B$304,"&gt;="&amp;PeriodStart,Payments!$B$5:$B$304,"&lt;="&amp;PeriodEnd))</f>
        <v>0</v>
      </c>
      <c r="C27" s="51">
        <f>IF(A27="","",IF(B27&lt;=0,"",B27+ROW()/1000000))</f>
        <v>0</v>
      </c>
      <c r="D27" s="29">
        <f>IF(A27="","",SUMIFS(Payments!$L$5:$L$304,Payments!$C$5:$C$304,A27,Payments!$B$5:$B$304,"&gt;="&amp;RepFrom,Payments!$B$5:$B$304,"&lt;="&amp;RepTo))</f>
        <v>0</v>
      </c>
      <c r="E27" s="51">
        <f>IF(A27="","",IF(D27&lt;=0,"",D27+ROW()/1000000))</f>
        <v>0</v>
      </c>
      <c r="F27" s="29">
        <f>IF(A27="","",SUMIFS(Invoices!$S$5:$S$304,Invoices!$D$5:$D$304,A27,Invoices!$T$5:$T$304,"&lt;&gt;Cancelled"))</f>
        <v>0</v>
      </c>
      <c r="G27" s="51">
        <f>IF(A27="","",IF(F27&lt;=0.004,"",F27+ROW()/1000000))</f>
        <v>0</v>
      </c>
      <c r="H27" s="31">
        <f>IF(A27="","",COUNTIFS(Bookings!$C$5:$C$404,A27,Bookings!$I$5:$I$404,"&gt;="&amp;RepFrom,Bookings!$I$5:$I$404,"&lt;="&amp;RepTo,Bookings!$AM$5:$AM$404,"&lt;&gt;Cancelled"))</f>
        <v>0</v>
      </c>
      <c r="I27" s="28">
        <f>IF(Services!$B$27="","",Services!$B$27)</f>
        <v>0</v>
      </c>
      <c r="J27" s="29">
        <f>IF(I27="","",SUMIFS(Bookings!$AK$5:$AK$404,Bookings!$H$5:$H$404,I27,Bookings!$I$5:$I$404,"&gt;="&amp;PeriodStart,Bookings!$I$5:$I$404,"&lt;="&amp;PeriodEnd,Bookings!$AM$5:$AM$404,"&lt;&gt;Cancelled"))</f>
        <v>0</v>
      </c>
      <c r="K27" s="31">
        <f>IF(I27="","",COUNTIFS(Bookings!$H$5:$H$404,I27,Bookings!$I$5:$I$404,"&gt;="&amp;PeriodStart,Bookings!$I$5:$I$404,"&lt;="&amp;PeriodEnd,Bookings!$AM$5:$AM$404,"&lt;&gt;Cancelled"))</f>
        <v>0</v>
      </c>
      <c r="L27" s="29">
        <f>IF(I27="","",SUMIFS(Bookings!$AK$5:$AK$404,Bookings!$H$5:$H$404,I27,Bookings!$I$5:$I$404,"&gt;="&amp;RepFrom,Bookings!$I$5:$I$404,"&lt;="&amp;RepTo,Bookings!$AM$5:$AM$404,"&lt;&gt;Cancelled"))</f>
        <v>0</v>
      </c>
      <c r="M27" s="31">
        <f>IF(I27="","",COUNTIFS(Bookings!$H$5:$H$404,I27,Bookings!$I$5:$I$404,"&gt;="&amp;RepFrom,Bookings!$I$5:$I$404,"&lt;="&amp;RepTo,Bookings!$AM$5:$AM$404,"&lt;&gt;Cancelled"))</f>
        <v>0</v>
      </c>
      <c r="N27" s="29">
        <f>IF(I27="","",M27*IF(Services!$L$27="",0,Services!$L$27))</f>
        <v>0</v>
      </c>
      <c r="O27" s="29">
        <f>IF(I27="","",L27-N27)</f>
        <v>0</v>
      </c>
      <c r="P27" s="28">
        <f>IF(Lists!$AG27="","",Lists!$AG27)</f>
        <v>0</v>
      </c>
      <c r="Q27" s="29">
        <f>IF(P27="","",SUMIFS(Expenses!$F$5:$F$304,Expenses!$C$5:$C$304,P27,Expenses!$B$5:$B$304,"&gt;="&amp;PeriodStart,Expenses!$B$5:$B$304,"&lt;="&amp;PeriodEnd,Expenses!$J$5:$J$304,"&lt;&gt;Personal"))</f>
        <v>0</v>
      </c>
      <c r="R27" s="29">
        <f>IF(P27="","",SUMIFS(Expenses!$F$5:$F$304,Expenses!$C$5:$C$304,P27,Expenses!$B$5:$B$304,"&gt;="&amp;RepFrom,Expenses!$B$5:$B$304,"&lt;="&amp;RepTo,Expenses!$J$5:$J$304,"&lt;&gt;Personal"))</f>
        <v>0</v>
      </c>
      <c r="S27" s="21">
        <f>IF(ROW()-4&gt;12,"",DATE(Dash_Year,ROW()-4,1))</f>
        <v>0</v>
      </c>
      <c r="T27" s="21">
        <f>IF(S27="","",EOMONTH(S27,0))</f>
        <v>0</v>
      </c>
      <c r="U27" s="28">
        <f>IF(S27="","",TEXT(S27,"mmm"))</f>
        <v>0</v>
      </c>
      <c r="V27" s="29">
        <f>IF(S27="","",SUMIFS(Payments!$L$5:$L$304,Payments!$B$5:$B$304,"&gt;="&amp;S27,Payments!$B$5:$B$304,"&lt;="&amp;T27))</f>
        <v>0</v>
      </c>
      <c r="W27" s="29">
        <f>IF(S27="","",SUMIFS(Invoices!$O$5:$O$304,Invoices!$B$5:$B$304,"&gt;="&amp;S27,Invoices!$B$5:$B$304,"&lt;="&amp;T27,Invoices!$T$5:$T$304,"&lt;&gt;Cancelled"))</f>
        <v>0</v>
      </c>
      <c r="X27" s="29">
        <f>IF(S27="","",SUMIFS(Expenses!$F$5:$F$304,Expenses!$B$5:$B$304,"&gt;="&amp;S27,Expenses!$B$5:$B$304,"&lt;="&amp;T27,Expenses!$J$5:$J$304,"&lt;&gt;Personal"))</f>
        <v>0</v>
      </c>
      <c r="Y27" s="29">
        <f>IF(S27="","",V27-X27)</f>
        <v>0</v>
      </c>
      <c r="Z27" s="31">
        <f>IF(S27="","",COUNTIFS(Bookings!$I$5:$I$404,"&gt;="&amp;S27,Bookings!$I$5:$I$404,"&lt;="&amp;T27,Bookings!$AM$5:$AM$404,"&lt;&gt;Cancelled"))</f>
        <v>0</v>
      </c>
      <c r="AA27" s="31">
        <f>IF(S27="","",COUNTIFS(Bookings!$I$5:$I$404,"&gt;="&amp;S27,Bookings!$I$5:$I$404,"&lt;="&amp;T27,Bookings!$AM$5:$AM$404,"Completed"))</f>
        <v>0</v>
      </c>
      <c r="AB27" s="31">
        <f>IF(S27="","",COUNTIFS(Bookings!$I$5:$I$404,"&gt;="&amp;S27,Bookings!$I$5:$I$404,"&lt;="&amp;T27,Bookings!$AM$5:$AM$404,"Cancelled"))</f>
        <v>0</v>
      </c>
      <c r="AC27" s="31">
        <f>IF(S27="","",COUNTIFS('Visit Log'!$C$5:$C$404,"&gt;="&amp;S27,'Visit Log'!$C$5:$C$404,"&lt;="&amp;T27,'Visit Log'!$AE$5:$AE$404,"Completed"))</f>
        <v>0</v>
      </c>
      <c r="AD27" s="31">
        <f>IF(S27="","",COUNTIFS(Clients!$L$5:$L$254,"&gt;="&amp;S27,Clients!$L$5:$L$254,"&lt;="&amp;T27))</f>
        <v>0</v>
      </c>
      <c r="AE27" s="32">
        <f>IF(S27="","",SUMIFS(Mileage!$M$5:$M$304,Mileage!$B$5:$B$304,"&gt;="&amp;S27,Mileage!$B$5:$B$304,"&lt;="&amp;T27,Mileage!$N$5:$N$304,"Business"))</f>
        <v>0</v>
      </c>
      <c r="AF27" s="29">
        <f>IF(S27="","",SUMIFS(Payments!$L$5:$L$304,Payments!$B$5:$B$304,"&gt;="&amp;DATE(Dash_Year-1,ROW()-4,1),Payments!$B$5:$B$304,"&lt;="&amp;EOMONTH(DATE(Dash_Year-1,ROW()-4,1),0)))</f>
        <v>0</v>
      </c>
      <c r="AG27" s="28">
        <f>IF(Staff!$B$27="","",Staff!$B$27)</f>
        <v>0</v>
      </c>
      <c r="AH27" s="31">
        <f>IF(AG27="","",COUNTIFS('Visit Log'!$G$5:$G$404,AG27,'Visit Log'!$C$5:$C$404,"&gt;="&amp;RepFrom,'Visit Log'!$C$5:$C$404,"&lt;="&amp;RepTo,'Visit Log'!$AE$5:$AE$404,"Completed"))</f>
        <v>0</v>
      </c>
      <c r="AI27" s="51">
        <f>IF(AG27="","",ROUND(SUMIFS('Visit Log'!$K$5:$K$404,'Visit Log'!$G$5:$G$404,AG27,'Visit Log'!$C$5:$C$404,"&gt;="&amp;RepFrom,'Visit Log'!$C$5:$C$404,"&lt;="&amp;RepTo,'Visit Log'!$AE$5:$AE$404,"Completed")/60,2))</f>
        <v>0</v>
      </c>
      <c r="AJ27" s="29">
        <f>IF(AG27="","",SUMIFS(Bookings!$AK$5:$AK$404,Bookings!$AL$5:$AL$404,AG27,Bookings!$I$5:$I$404,"&gt;="&amp;RepFrom,Bookings!$I$5:$I$404,"&lt;="&amp;RepTo,Bookings!$AM$5:$AM$404,"&lt;&gt;Cancelled"))</f>
        <v>0</v>
      </c>
      <c r="AK27" s="32">
        <f>IF(AG27="","",SUMIFS(Mileage!$M$5:$M$304,Mileage!$C$5:$C$304,AG27,Mileage!$B$5:$B$304,"&gt;="&amp;RepFrom,Mileage!$B$5:$B$304,"&lt;="&amp;RepTo))</f>
        <v>0</v>
      </c>
      <c r="AL27" s="28">
        <f>IF(Lists!$Q27="","",Lists!$Q27)</f>
        <v>0</v>
      </c>
      <c r="AM27" s="31">
        <f>IF(AL27="","",COUNTIFS(Bookings!$AV$5:$AV$404,AL27,Bookings!$I$5:$I$404,"&gt;="&amp;RepFrom,Bookings!$I$5:$I$404,"&lt;="&amp;RepTo))</f>
        <v>0</v>
      </c>
      <c r="AN27" s="28">
        <f>IF(Lists!$AF27="","",Lists!$AF27)</f>
        <v>0</v>
      </c>
      <c r="AO27" s="29">
        <f>IF(AN27="","",SUMIFS(Payments!$L$5:$L$304,Payments!$F$5:$F$304,AN27,Payments!$B$5:$B$304,"&gt;="&amp;RepFrom,Payments!$B$5:$B$304,"&lt;="&amp;RepTo))</f>
        <v>0</v>
      </c>
      <c r="AP27" s="28">
        <f>IF(Lists!$E27="","",Lists!$E27)</f>
        <v>0</v>
      </c>
      <c r="AQ27" s="31">
        <f>IF(AP27="","",COUNTIFS(Clients!$K$5:$K$254,AP27))</f>
        <v>0</v>
      </c>
      <c r="AR27" s="29">
        <f>IF(AP27="","",SUMIFS(Clients!$AE$5:$AE$254,Clients!$K$5:$K$254,AP27))</f>
        <v>0</v>
      </c>
    </row>
    <row r="28" spans="1:44">
      <c r="A28" s="28">
        <f>IF(Clients!$B$28="","",Clients!$B$28)</f>
        <v>0</v>
      </c>
      <c r="B28" s="29">
        <f>IF(A28="","",SUMIFS(Payments!$L$5:$L$304,Payments!$C$5:$C$304,A28,Payments!$B$5:$B$304,"&gt;="&amp;PeriodStart,Payments!$B$5:$B$304,"&lt;="&amp;PeriodEnd))</f>
        <v>0</v>
      </c>
      <c r="C28" s="51">
        <f>IF(A28="","",IF(B28&lt;=0,"",B28+ROW()/1000000))</f>
        <v>0</v>
      </c>
      <c r="D28" s="29">
        <f>IF(A28="","",SUMIFS(Payments!$L$5:$L$304,Payments!$C$5:$C$304,A28,Payments!$B$5:$B$304,"&gt;="&amp;RepFrom,Payments!$B$5:$B$304,"&lt;="&amp;RepTo))</f>
        <v>0</v>
      </c>
      <c r="E28" s="51">
        <f>IF(A28="","",IF(D28&lt;=0,"",D28+ROW()/1000000))</f>
        <v>0</v>
      </c>
      <c r="F28" s="29">
        <f>IF(A28="","",SUMIFS(Invoices!$S$5:$S$304,Invoices!$D$5:$D$304,A28,Invoices!$T$5:$T$304,"&lt;&gt;Cancelled"))</f>
        <v>0</v>
      </c>
      <c r="G28" s="51">
        <f>IF(A28="","",IF(F28&lt;=0.004,"",F28+ROW()/1000000))</f>
        <v>0</v>
      </c>
      <c r="H28" s="31">
        <f>IF(A28="","",COUNTIFS(Bookings!$C$5:$C$404,A28,Bookings!$I$5:$I$404,"&gt;="&amp;RepFrom,Bookings!$I$5:$I$404,"&lt;="&amp;RepTo,Bookings!$AM$5:$AM$404,"&lt;&gt;Cancelled"))</f>
        <v>0</v>
      </c>
      <c r="I28" s="28">
        <f>IF(Services!$B$28="","",Services!$B$28)</f>
        <v>0</v>
      </c>
      <c r="J28" s="29">
        <f>IF(I28="","",SUMIFS(Bookings!$AK$5:$AK$404,Bookings!$H$5:$H$404,I28,Bookings!$I$5:$I$404,"&gt;="&amp;PeriodStart,Bookings!$I$5:$I$404,"&lt;="&amp;PeriodEnd,Bookings!$AM$5:$AM$404,"&lt;&gt;Cancelled"))</f>
        <v>0</v>
      </c>
      <c r="K28" s="31">
        <f>IF(I28="","",COUNTIFS(Bookings!$H$5:$H$404,I28,Bookings!$I$5:$I$404,"&gt;="&amp;PeriodStart,Bookings!$I$5:$I$404,"&lt;="&amp;PeriodEnd,Bookings!$AM$5:$AM$404,"&lt;&gt;Cancelled"))</f>
        <v>0</v>
      </c>
      <c r="L28" s="29">
        <f>IF(I28="","",SUMIFS(Bookings!$AK$5:$AK$404,Bookings!$H$5:$H$404,I28,Bookings!$I$5:$I$404,"&gt;="&amp;RepFrom,Bookings!$I$5:$I$404,"&lt;="&amp;RepTo,Bookings!$AM$5:$AM$404,"&lt;&gt;Cancelled"))</f>
        <v>0</v>
      </c>
      <c r="M28" s="31">
        <f>IF(I28="","",COUNTIFS(Bookings!$H$5:$H$404,I28,Bookings!$I$5:$I$404,"&gt;="&amp;RepFrom,Bookings!$I$5:$I$404,"&lt;="&amp;RepTo,Bookings!$AM$5:$AM$404,"&lt;&gt;Cancelled"))</f>
        <v>0</v>
      </c>
      <c r="N28" s="29">
        <f>IF(I28="","",M28*IF(Services!$L$28="",0,Services!$L$28))</f>
        <v>0</v>
      </c>
      <c r="O28" s="29">
        <f>IF(I28="","",L28-N28)</f>
        <v>0</v>
      </c>
      <c r="P28" s="28">
        <f>IF(Lists!$AG28="","",Lists!$AG28)</f>
        <v>0</v>
      </c>
      <c r="Q28" s="29">
        <f>IF(P28="","",SUMIFS(Expenses!$F$5:$F$304,Expenses!$C$5:$C$304,P28,Expenses!$B$5:$B$304,"&gt;="&amp;PeriodStart,Expenses!$B$5:$B$304,"&lt;="&amp;PeriodEnd,Expenses!$J$5:$J$304,"&lt;&gt;Personal"))</f>
        <v>0</v>
      </c>
      <c r="R28" s="29">
        <f>IF(P28="","",SUMIFS(Expenses!$F$5:$F$304,Expenses!$C$5:$C$304,P28,Expenses!$B$5:$B$304,"&gt;="&amp;RepFrom,Expenses!$B$5:$B$304,"&lt;="&amp;RepTo,Expenses!$J$5:$J$304,"&lt;&gt;Personal"))</f>
        <v>0</v>
      </c>
      <c r="S28" s="21">
        <f>IF(ROW()-4&gt;12,"",DATE(Dash_Year,ROW()-4,1))</f>
        <v>0</v>
      </c>
      <c r="T28" s="21">
        <f>IF(S28="","",EOMONTH(S28,0))</f>
        <v>0</v>
      </c>
      <c r="U28" s="28">
        <f>IF(S28="","",TEXT(S28,"mmm"))</f>
        <v>0</v>
      </c>
      <c r="V28" s="29">
        <f>IF(S28="","",SUMIFS(Payments!$L$5:$L$304,Payments!$B$5:$B$304,"&gt;="&amp;S28,Payments!$B$5:$B$304,"&lt;="&amp;T28))</f>
        <v>0</v>
      </c>
      <c r="W28" s="29">
        <f>IF(S28="","",SUMIFS(Invoices!$O$5:$O$304,Invoices!$B$5:$B$304,"&gt;="&amp;S28,Invoices!$B$5:$B$304,"&lt;="&amp;T28,Invoices!$T$5:$T$304,"&lt;&gt;Cancelled"))</f>
        <v>0</v>
      </c>
      <c r="X28" s="29">
        <f>IF(S28="","",SUMIFS(Expenses!$F$5:$F$304,Expenses!$B$5:$B$304,"&gt;="&amp;S28,Expenses!$B$5:$B$304,"&lt;="&amp;T28,Expenses!$J$5:$J$304,"&lt;&gt;Personal"))</f>
        <v>0</v>
      </c>
      <c r="Y28" s="29">
        <f>IF(S28="","",V28-X28)</f>
        <v>0</v>
      </c>
      <c r="Z28" s="31">
        <f>IF(S28="","",COUNTIFS(Bookings!$I$5:$I$404,"&gt;="&amp;S28,Bookings!$I$5:$I$404,"&lt;="&amp;T28,Bookings!$AM$5:$AM$404,"&lt;&gt;Cancelled"))</f>
        <v>0</v>
      </c>
      <c r="AA28" s="31">
        <f>IF(S28="","",COUNTIFS(Bookings!$I$5:$I$404,"&gt;="&amp;S28,Bookings!$I$5:$I$404,"&lt;="&amp;T28,Bookings!$AM$5:$AM$404,"Completed"))</f>
        <v>0</v>
      </c>
      <c r="AB28" s="31">
        <f>IF(S28="","",COUNTIFS(Bookings!$I$5:$I$404,"&gt;="&amp;S28,Bookings!$I$5:$I$404,"&lt;="&amp;T28,Bookings!$AM$5:$AM$404,"Cancelled"))</f>
        <v>0</v>
      </c>
      <c r="AC28" s="31">
        <f>IF(S28="","",COUNTIFS('Visit Log'!$C$5:$C$404,"&gt;="&amp;S28,'Visit Log'!$C$5:$C$404,"&lt;="&amp;T28,'Visit Log'!$AE$5:$AE$404,"Completed"))</f>
        <v>0</v>
      </c>
      <c r="AD28" s="31">
        <f>IF(S28="","",COUNTIFS(Clients!$L$5:$L$254,"&gt;="&amp;S28,Clients!$L$5:$L$254,"&lt;="&amp;T28))</f>
        <v>0</v>
      </c>
      <c r="AE28" s="32">
        <f>IF(S28="","",SUMIFS(Mileage!$M$5:$M$304,Mileage!$B$5:$B$304,"&gt;="&amp;S28,Mileage!$B$5:$B$304,"&lt;="&amp;T28,Mileage!$N$5:$N$304,"Business"))</f>
        <v>0</v>
      </c>
      <c r="AF28" s="29">
        <f>IF(S28="","",SUMIFS(Payments!$L$5:$L$304,Payments!$B$5:$B$304,"&gt;="&amp;DATE(Dash_Year-1,ROW()-4,1),Payments!$B$5:$B$304,"&lt;="&amp;EOMONTH(DATE(Dash_Year-1,ROW()-4,1),0)))</f>
        <v>0</v>
      </c>
      <c r="AG28" s="28">
        <f>IF(Staff!$B$28="","",Staff!$B$28)</f>
        <v>0</v>
      </c>
      <c r="AH28" s="31">
        <f>IF(AG28="","",COUNTIFS('Visit Log'!$G$5:$G$404,AG28,'Visit Log'!$C$5:$C$404,"&gt;="&amp;RepFrom,'Visit Log'!$C$5:$C$404,"&lt;="&amp;RepTo,'Visit Log'!$AE$5:$AE$404,"Completed"))</f>
        <v>0</v>
      </c>
      <c r="AI28" s="51">
        <f>IF(AG28="","",ROUND(SUMIFS('Visit Log'!$K$5:$K$404,'Visit Log'!$G$5:$G$404,AG28,'Visit Log'!$C$5:$C$404,"&gt;="&amp;RepFrom,'Visit Log'!$C$5:$C$404,"&lt;="&amp;RepTo,'Visit Log'!$AE$5:$AE$404,"Completed")/60,2))</f>
        <v>0</v>
      </c>
      <c r="AJ28" s="29">
        <f>IF(AG28="","",SUMIFS(Bookings!$AK$5:$AK$404,Bookings!$AL$5:$AL$404,AG28,Bookings!$I$5:$I$404,"&gt;="&amp;RepFrom,Bookings!$I$5:$I$404,"&lt;="&amp;RepTo,Bookings!$AM$5:$AM$404,"&lt;&gt;Cancelled"))</f>
        <v>0</v>
      </c>
      <c r="AK28" s="32">
        <f>IF(AG28="","",SUMIFS(Mileage!$M$5:$M$304,Mileage!$C$5:$C$304,AG28,Mileage!$B$5:$B$304,"&gt;="&amp;RepFrom,Mileage!$B$5:$B$304,"&lt;="&amp;RepTo))</f>
        <v>0</v>
      </c>
      <c r="AL28" s="28">
        <f>IF(Lists!$Q28="","",Lists!$Q28)</f>
        <v>0</v>
      </c>
      <c r="AM28" s="31">
        <f>IF(AL28="","",COUNTIFS(Bookings!$AV$5:$AV$404,AL28,Bookings!$I$5:$I$404,"&gt;="&amp;RepFrom,Bookings!$I$5:$I$404,"&lt;="&amp;RepTo))</f>
        <v>0</v>
      </c>
      <c r="AN28" s="28">
        <f>IF(Lists!$AF28="","",Lists!$AF28)</f>
        <v>0</v>
      </c>
      <c r="AO28" s="29">
        <f>IF(AN28="","",SUMIFS(Payments!$L$5:$L$304,Payments!$F$5:$F$304,AN28,Payments!$B$5:$B$304,"&gt;="&amp;RepFrom,Payments!$B$5:$B$304,"&lt;="&amp;RepTo))</f>
        <v>0</v>
      </c>
      <c r="AP28" s="28">
        <f>IF(Lists!$E28="","",Lists!$E28)</f>
        <v>0</v>
      </c>
      <c r="AQ28" s="31">
        <f>IF(AP28="","",COUNTIFS(Clients!$K$5:$K$254,AP28))</f>
        <v>0</v>
      </c>
      <c r="AR28" s="29">
        <f>IF(AP28="","",SUMIFS(Clients!$AE$5:$AE$254,Clients!$K$5:$K$254,AP28))</f>
        <v>0</v>
      </c>
    </row>
    <row r="29" spans="1:44">
      <c r="A29" s="28">
        <f>IF(Clients!$B$29="","",Clients!$B$29)</f>
        <v>0</v>
      </c>
      <c r="B29" s="29">
        <f>IF(A29="","",SUMIFS(Payments!$L$5:$L$304,Payments!$C$5:$C$304,A29,Payments!$B$5:$B$304,"&gt;="&amp;PeriodStart,Payments!$B$5:$B$304,"&lt;="&amp;PeriodEnd))</f>
        <v>0</v>
      </c>
      <c r="C29" s="51">
        <f>IF(A29="","",IF(B29&lt;=0,"",B29+ROW()/1000000))</f>
        <v>0</v>
      </c>
      <c r="D29" s="29">
        <f>IF(A29="","",SUMIFS(Payments!$L$5:$L$304,Payments!$C$5:$C$304,A29,Payments!$B$5:$B$304,"&gt;="&amp;RepFrom,Payments!$B$5:$B$304,"&lt;="&amp;RepTo))</f>
        <v>0</v>
      </c>
      <c r="E29" s="51">
        <f>IF(A29="","",IF(D29&lt;=0,"",D29+ROW()/1000000))</f>
        <v>0</v>
      </c>
      <c r="F29" s="29">
        <f>IF(A29="","",SUMIFS(Invoices!$S$5:$S$304,Invoices!$D$5:$D$304,A29,Invoices!$T$5:$T$304,"&lt;&gt;Cancelled"))</f>
        <v>0</v>
      </c>
      <c r="G29" s="51">
        <f>IF(A29="","",IF(F29&lt;=0.004,"",F29+ROW()/1000000))</f>
        <v>0</v>
      </c>
      <c r="H29" s="31">
        <f>IF(A29="","",COUNTIFS(Bookings!$C$5:$C$404,A29,Bookings!$I$5:$I$404,"&gt;="&amp;RepFrom,Bookings!$I$5:$I$404,"&lt;="&amp;RepTo,Bookings!$AM$5:$AM$404,"&lt;&gt;Cancelled"))</f>
        <v>0</v>
      </c>
      <c r="I29" s="28">
        <f>IF(Services!$B$29="","",Services!$B$29)</f>
        <v>0</v>
      </c>
      <c r="J29" s="29">
        <f>IF(I29="","",SUMIFS(Bookings!$AK$5:$AK$404,Bookings!$H$5:$H$404,I29,Bookings!$I$5:$I$404,"&gt;="&amp;PeriodStart,Bookings!$I$5:$I$404,"&lt;="&amp;PeriodEnd,Bookings!$AM$5:$AM$404,"&lt;&gt;Cancelled"))</f>
        <v>0</v>
      </c>
      <c r="K29" s="31">
        <f>IF(I29="","",COUNTIFS(Bookings!$H$5:$H$404,I29,Bookings!$I$5:$I$404,"&gt;="&amp;PeriodStart,Bookings!$I$5:$I$404,"&lt;="&amp;PeriodEnd,Bookings!$AM$5:$AM$404,"&lt;&gt;Cancelled"))</f>
        <v>0</v>
      </c>
      <c r="L29" s="29">
        <f>IF(I29="","",SUMIFS(Bookings!$AK$5:$AK$404,Bookings!$H$5:$H$404,I29,Bookings!$I$5:$I$404,"&gt;="&amp;RepFrom,Bookings!$I$5:$I$404,"&lt;="&amp;RepTo,Bookings!$AM$5:$AM$404,"&lt;&gt;Cancelled"))</f>
        <v>0</v>
      </c>
      <c r="M29" s="31">
        <f>IF(I29="","",COUNTIFS(Bookings!$H$5:$H$404,I29,Bookings!$I$5:$I$404,"&gt;="&amp;RepFrom,Bookings!$I$5:$I$404,"&lt;="&amp;RepTo,Bookings!$AM$5:$AM$404,"&lt;&gt;Cancelled"))</f>
        <v>0</v>
      </c>
      <c r="N29" s="29">
        <f>IF(I29="","",M29*IF(Services!$L$29="",0,Services!$L$29))</f>
        <v>0</v>
      </c>
      <c r="O29" s="29">
        <f>IF(I29="","",L29-N29)</f>
        <v>0</v>
      </c>
      <c r="P29" s="28">
        <f>IF(Lists!$AG29="","",Lists!$AG29)</f>
        <v>0</v>
      </c>
      <c r="Q29" s="29">
        <f>IF(P29="","",SUMIFS(Expenses!$F$5:$F$304,Expenses!$C$5:$C$304,P29,Expenses!$B$5:$B$304,"&gt;="&amp;PeriodStart,Expenses!$B$5:$B$304,"&lt;="&amp;PeriodEnd,Expenses!$J$5:$J$304,"&lt;&gt;Personal"))</f>
        <v>0</v>
      </c>
      <c r="R29" s="29">
        <f>IF(P29="","",SUMIFS(Expenses!$F$5:$F$304,Expenses!$C$5:$C$304,P29,Expenses!$B$5:$B$304,"&gt;="&amp;RepFrom,Expenses!$B$5:$B$304,"&lt;="&amp;RepTo,Expenses!$J$5:$J$304,"&lt;&gt;Personal"))</f>
        <v>0</v>
      </c>
      <c r="S29" s="21">
        <f>IF(ROW()-4&gt;12,"",DATE(Dash_Year,ROW()-4,1))</f>
        <v>0</v>
      </c>
      <c r="T29" s="21">
        <f>IF(S29="","",EOMONTH(S29,0))</f>
        <v>0</v>
      </c>
      <c r="U29" s="28">
        <f>IF(S29="","",TEXT(S29,"mmm"))</f>
        <v>0</v>
      </c>
      <c r="V29" s="29">
        <f>IF(S29="","",SUMIFS(Payments!$L$5:$L$304,Payments!$B$5:$B$304,"&gt;="&amp;S29,Payments!$B$5:$B$304,"&lt;="&amp;T29))</f>
        <v>0</v>
      </c>
      <c r="W29" s="29">
        <f>IF(S29="","",SUMIFS(Invoices!$O$5:$O$304,Invoices!$B$5:$B$304,"&gt;="&amp;S29,Invoices!$B$5:$B$304,"&lt;="&amp;T29,Invoices!$T$5:$T$304,"&lt;&gt;Cancelled"))</f>
        <v>0</v>
      </c>
      <c r="X29" s="29">
        <f>IF(S29="","",SUMIFS(Expenses!$F$5:$F$304,Expenses!$B$5:$B$304,"&gt;="&amp;S29,Expenses!$B$5:$B$304,"&lt;="&amp;T29,Expenses!$J$5:$J$304,"&lt;&gt;Personal"))</f>
        <v>0</v>
      </c>
      <c r="Y29" s="29">
        <f>IF(S29="","",V29-X29)</f>
        <v>0</v>
      </c>
      <c r="Z29" s="31">
        <f>IF(S29="","",COUNTIFS(Bookings!$I$5:$I$404,"&gt;="&amp;S29,Bookings!$I$5:$I$404,"&lt;="&amp;T29,Bookings!$AM$5:$AM$404,"&lt;&gt;Cancelled"))</f>
        <v>0</v>
      </c>
      <c r="AA29" s="31">
        <f>IF(S29="","",COUNTIFS(Bookings!$I$5:$I$404,"&gt;="&amp;S29,Bookings!$I$5:$I$404,"&lt;="&amp;T29,Bookings!$AM$5:$AM$404,"Completed"))</f>
        <v>0</v>
      </c>
      <c r="AB29" s="31">
        <f>IF(S29="","",COUNTIFS(Bookings!$I$5:$I$404,"&gt;="&amp;S29,Bookings!$I$5:$I$404,"&lt;="&amp;T29,Bookings!$AM$5:$AM$404,"Cancelled"))</f>
        <v>0</v>
      </c>
      <c r="AC29" s="31">
        <f>IF(S29="","",COUNTIFS('Visit Log'!$C$5:$C$404,"&gt;="&amp;S29,'Visit Log'!$C$5:$C$404,"&lt;="&amp;T29,'Visit Log'!$AE$5:$AE$404,"Completed"))</f>
        <v>0</v>
      </c>
      <c r="AD29" s="31">
        <f>IF(S29="","",COUNTIFS(Clients!$L$5:$L$254,"&gt;="&amp;S29,Clients!$L$5:$L$254,"&lt;="&amp;T29))</f>
        <v>0</v>
      </c>
      <c r="AE29" s="32">
        <f>IF(S29="","",SUMIFS(Mileage!$M$5:$M$304,Mileage!$B$5:$B$304,"&gt;="&amp;S29,Mileage!$B$5:$B$304,"&lt;="&amp;T29,Mileage!$N$5:$N$304,"Business"))</f>
        <v>0</v>
      </c>
      <c r="AF29" s="29">
        <f>IF(S29="","",SUMIFS(Payments!$L$5:$L$304,Payments!$B$5:$B$304,"&gt;="&amp;DATE(Dash_Year-1,ROW()-4,1),Payments!$B$5:$B$304,"&lt;="&amp;EOMONTH(DATE(Dash_Year-1,ROW()-4,1),0)))</f>
        <v>0</v>
      </c>
      <c r="AG29" s="28">
        <f>IF(Staff!$B$29="","",Staff!$B$29)</f>
        <v>0</v>
      </c>
      <c r="AH29" s="31">
        <f>IF(AG29="","",COUNTIFS('Visit Log'!$G$5:$G$404,AG29,'Visit Log'!$C$5:$C$404,"&gt;="&amp;RepFrom,'Visit Log'!$C$5:$C$404,"&lt;="&amp;RepTo,'Visit Log'!$AE$5:$AE$404,"Completed"))</f>
        <v>0</v>
      </c>
      <c r="AI29" s="51">
        <f>IF(AG29="","",ROUND(SUMIFS('Visit Log'!$K$5:$K$404,'Visit Log'!$G$5:$G$404,AG29,'Visit Log'!$C$5:$C$404,"&gt;="&amp;RepFrom,'Visit Log'!$C$5:$C$404,"&lt;="&amp;RepTo,'Visit Log'!$AE$5:$AE$404,"Completed")/60,2))</f>
        <v>0</v>
      </c>
      <c r="AJ29" s="29">
        <f>IF(AG29="","",SUMIFS(Bookings!$AK$5:$AK$404,Bookings!$AL$5:$AL$404,AG29,Bookings!$I$5:$I$404,"&gt;="&amp;RepFrom,Bookings!$I$5:$I$404,"&lt;="&amp;RepTo,Bookings!$AM$5:$AM$404,"&lt;&gt;Cancelled"))</f>
        <v>0</v>
      </c>
      <c r="AK29" s="32">
        <f>IF(AG29="","",SUMIFS(Mileage!$M$5:$M$304,Mileage!$C$5:$C$304,AG29,Mileage!$B$5:$B$304,"&gt;="&amp;RepFrom,Mileage!$B$5:$B$304,"&lt;="&amp;RepTo))</f>
        <v>0</v>
      </c>
      <c r="AL29" s="28">
        <f>IF(Lists!$Q29="","",Lists!$Q29)</f>
        <v>0</v>
      </c>
      <c r="AM29" s="31">
        <f>IF(AL29="","",COUNTIFS(Bookings!$AV$5:$AV$404,AL29,Bookings!$I$5:$I$404,"&gt;="&amp;RepFrom,Bookings!$I$5:$I$404,"&lt;="&amp;RepTo))</f>
        <v>0</v>
      </c>
      <c r="AN29" s="28">
        <f>IF(Lists!$AF29="","",Lists!$AF29)</f>
        <v>0</v>
      </c>
      <c r="AO29" s="29">
        <f>IF(AN29="","",SUMIFS(Payments!$L$5:$L$304,Payments!$F$5:$F$304,AN29,Payments!$B$5:$B$304,"&gt;="&amp;RepFrom,Payments!$B$5:$B$304,"&lt;="&amp;RepTo))</f>
        <v>0</v>
      </c>
      <c r="AP29" s="28">
        <f>IF(Lists!$E29="","",Lists!$E29)</f>
        <v>0</v>
      </c>
      <c r="AQ29" s="31">
        <f>IF(AP29="","",COUNTIFS(Clients!$K$5:$K$254,AP29))</f>
        <v>0</v>
      </c>
      <c r="AR29" s="29">
        <f>IF(AP29="","",SUMIFS(Clients!$AE$5:$AE$254,Clients!$K$5:$K$254,AP29))</f>
        <v>0</v>
      </c>
    </row>
    <row r="30" spans="1:44">
      <c r="A30" s="28">
        <f>IF(Clients!$B$30="","",Clients!$B$30)</f>
        <v>0</v>
      </c>
      <c r="B30" s="29">
        <f>IF(A30="","",SUMIFS(Payments!$L$5:$L$304,Payments!$C$5:$C$304,A30,Payments!$B$5:$B$304,"&gt;="&amp;PeriodStart,Payments!$B$5:$B$304,"&lt;="&amp;PeriodEnd))</f>
        <v>0</v>
      </c>
      <c r="C30" s="51">
        <f>IF(A30="","",IF(B30&lt;=0,"",B30+ROW()/1000000))</f>
        <v>0</v>
      </c>
      <c r="D30" s="29">
        <f>IF(A30="","",SUMIFS(Payments!$L$5:$L$304,Payments!$C$5:$C$304,A30,Payments!$B$5:$B$304,"&gt;="&amp;RepFrom,Payments!$B$5:$B$304,"&lt;="&amp;RepTo))</f>
        <v>0</v>
      </c>
      <c r="E30" s="51">
        <f>IF(A30="","",IF(D30&lt;=0,"",D30+ROW()/1000000))</f>
        <v>0</v>
      </c>
      <c r="F30" s="29">
        <f>IF(A30="","",SUMIFS(Invoices!$S$5:$S$304,Invoices!$D$5:$D$304,A30,Invoices!$T$5:$T$304,"&lt;&gt;Cancelled"))</f>
        <v>0</v>
      </c>
      <c r="G30" s="51">
        <f>IF(A30="","",IF(F30&lt;=0.004,"",F30+ROW()/1000000))</f>
        <v>0</v>
      </c>
      <c r="H30" s="31">
        <f>IF(A30="","",COUNTIFS(Bookings!$C$5:$C$404,A30,Bookings!$I$5:$I$404,"&gt;="&amp;RepFrom,Bookings!$I$5:$I$404,"&lt;="&amp;RepTo,Bookings!$AM$5:$AM$404,"&lt;&gt;Cancelled"))</f>
        <v>0</v>
      </c>
      <c r="I30" s="28">
        <f>IF(Services!$B$30="","",Services!$B$30)</f>
        <v>0</v>
      </c>
      <c r="J30" s="29">
        <f>IF(I30="","",SUMIFS(Bookings!$AK$5:$AK$404,Bookings!$H$5:$H$404,I30,Bookings!$I$5:$I$404,"&gt;="&amp;PeriodStart,Bookings!$I$5:$I$404,"&lt;="&amp;PeriodEnd,Bookings!$AM$5:$AM$404,"&lt;&gt;Cancelled"))</f>
        <v>0</v>
      </c>
      <c r="K30" s="31">
        <f>IF(I30="","",COUNTIFS(Bookings!$H$5:$H$404,I30,Bookings!$I$5:$I$404,"&gt;="&amp;PeriodStart,Bookings!$I$5:$I$404,"&lt;="&amp;PeriodEnd,Bookings!$AM$5:$AM$404,"&lt;&gt;Cancelled"))</f>
        <v>0</v>
      </c>
      <c r="L30" s="29">
        <f>IF(I30="","",SUMIFS(Bookings!$AK$5:$AK$404,Bookings!$H$5:$H$404,I30,Bookings!$I$5:$I$404,"&gt;="&amp;RepFrom,Bookings!$I$5:$I$404,"&lt;="&amp;RepTo,Bookings!$AM$5:$AM$404,"&lt;&gt;Cancelled"))</f>
        <v>0</v>
      </c>
      <c r="M30" s="31">
        <f>IF(I30="","",COUNTIFS(Bookings!$H$5:$H$404,I30,Bookings!$I$5:$I$404,"&gt;="&amp;RepFrom,Bookings!$I$5:$I$404,"&lt;="&amp;RepTo,Bookings!$AM$5:$AM$404,"&lt;&gt;Cancelled"))</f>
        <v>0</v>
      </c>
      <c r="N30" s="29">
        <f>IF(I30="","",M30*IF(Services!$L$30="",0,Services!$L$30))</f>
        <v>0</v>
      </c>
      <c r="O30" s="29">
        <f>IF(I30="","",L30-N30)</f>
        <v>0</v>
      </c>
      <c r="P30" s="28">
        <f>IF(Lists!$AG30="","",Lists!$AG30)</f>
        <v>0</v>
      </c>
      <c r="Q30" s="29">
        <f>IF(P30="","",SUMIFS(Expenses!$F$5:$F$304,Expenses!$C$5:$C$304,P30,Expenses!$B$5:$B$304,"&gt;="&amp;PeriodStart,Expenses!$B$5:$B$304,"&lt;="&amp;PeriodEnd,Expenses!$J$5:$J$304,"&lt;&gt;Personal"))</f>
        <v>0</v>
      </c>
      <c r="R30" s="29">
        <f>IF(P30="","",SUMIFS(Expenses!$F$5:$F$304,Expenses!$C$5:$C$304,P30,Expenses!$B$5:$B$304,"&gt;="&amp;RepFrom,Expenses!$B$5:$B$304,"&lt;="&amp;RepTo,Expenses!$J$5:$J$304,"&lt;&gt;Personal"))</f>
        <v>0</v>
      </c>
      <c r="S30" s="21">
        <f>IF(ROW()-4&gt;12,"",DATE(Dash_Year,ROW()-4,1))</f>
        <v>0</v>
      </c>
      <c r="T30" s="21">
        <f>IF(S30="","",EOMONTH(S30,0))</f>
        <v>0</v>
      </c>
      <c r="U30" s="28">
        <f>IF(S30="","",TEXT(S30,"mmm"))</f>
        <v>0</v>
      </c>
      <c r="V30" s="29">
        <f>IF(S30="","",SUMIFS(Payments!$L$5:$L$304,Payments!$B$5:$B$304,"&gt;="&amp;S30,Payments!$B$5:$B$304,"&lt;="&amp;T30))</f>
        <v>0</v>
      </c>
      <c r="W30" s="29">
        <f>IF(S30="","",SUMIFS(Invoices!$O$5:$O$304,Invoices!$B$5:$B$304,"&gt;="&amp;S30,Invoices!$B$5:$B$304,"&lt;="&amp;T30,Invoices!$T$5:$T$304,"&lt;&gt;Cancelled"))</f>
        <v>0</v>
      </c>
      <c r="X30" s="29">
        <f>IF(S30="","",SUMIFS(Expenses!$F$5:$F$304,Expenses!$B$5:$B$304,"&gt;="&amp;S30,Expenses!$B$5:$B$304,"&lt;="&amp;T30,Expenses!$J$5:$J$304,"&lt;&gt;Personal"))</f>
        <v>0</v>
      </c>
      <c r="Y30" s="29">
        <f>IF(S30="","",V30-X30)</f>
        <v>0</v>
      </c>
      <c r="Z30" s="31">
        <f>IF(S30="","",COUNTIFS(Bookings!$I$5:$I$404,"&gt;="&amp;S30,Bookings!$I$5:$I$404,"&lt;="&amp;T30,Bookings!$AM$5:$AM$404,"&lt;&gt;Cancelled"))</f>
        <v>0</v>
      </c>
      <c r="AA30" s="31">
        <f>IF(S30="","",COUNTIFS(Bookings!$I$5:$I$404,"&gt;="&amp;S30,Bookings!$I$5:$I$404,"&lt;="&amp;T30,Bookings!$AM$5:$AM$404,"Completed"))</f>
        <v>0</v>
      </c>
      <c r="AB30" s="31">
        <f>IF(S30="","",COUNTIFS(Bookings!$I$5:$I$404,"&gt;="&amp;S30,Bookings!$I$5:$I$404,"&lt;="&amp;T30,Bookings!$AM$5:$AM$404,"Cancelled"))</f>
        <v>0</v>
      </c>
      <c r="AC30" s="31">
        <f>IF(S30="","",COUNTIFS('Visit Log'!$C$5:$C$404,"&gt;="&amp;S30,'Visit Log'!$C$5:$C$404,"&lt;="&amp;T30,'Visit Log'!$AE$5:$AE$404,"Completed"))</f>
        <v>0</v>
      </c>
      <c r="AD30" s="31">
        <f>IF(S30="","",COUNTIFS(Clients!$L$5:$L$254,"&gt;="&amp;S30,Clients!$L$5:$L$254,"&lt;="&amp;T30))</f>
        <v>0</v>
      </c>
      <c r="AE30" s="32">
        <f>IF(S30="","",SUMIFS(Mileage!$M$5:$M$304,Mileage!$B$5:$B$304,"&gt;="&amp;S30,Mileage!$B$5:$B$304,"&lt;="&amp;T30,Mileage!$N$5:$N$304,"Business"))</f>
        <v>0</v>
      </c>
      <c r="AF30" s="29">
        <f>IF(S30="","",SUMIFS(Payments!$L$5:$L$304,Payments!$B$5:$B$304,"&gt;="&amp;DATE(Dash_Year-1,ROW()-4,1),Payments!$B$5:$B$304,"&lt;="&amp;EOMONTH(DATE(Dash_Year-1,ROW()-4,1),0)))</f>
        <v>0</v>
      </c>
      <c r="AG30" s="28">
        <f>IF(Staff!$B$30="","",Staff!$B$30)</f>
        <v>0</v>
      </c>
      <c r="AH30" s="31">
        <f>IF(AG30="","",COUNTIFS('Visit Log'!$G$5:$G$404,AG30,'Visit Log'!$C$5:$C$404,"&gt;="&amp;RepFrom,'Visit Log'!$C$5:$C$404,"&lt;="&amp;RepTo,'Visit Log'!$AE$5:$AE$404,"Completed"))</f>
        <v>0</v>
      </c>
      <c r="AI30" s="51">
        <f>IF(AG30="","",ROUND(SUMIFS('Visit Log'!$K$5:$K$404,'Visit Log'!$G$5:$G$404,AG30,'Visit Log'!$C$5:$C$404,"&gt;="&amp;RepFrom,'Visit Log'!$C$5:$C$404,"&lt;="&amp;RepTo,'Visit Log'!$AE$5:$AE$404,"Completed")/60,2))</f>
        <v>0</v>
      </c>
      <c r="AJ30" s="29">
        <f>IF(AG30="","",SUMIFS(Bookings!$AK$5:$AK$404,Bookings!$AL$5:$AL$404,AG30,Bookings!$I$5:$I$404,"&gt;="&amp;RepFrom,Bookings!$I$5:$I$404,"&lt;="&amp;RepTo,Bookings!$AM$5:$AM$404,"&lt;&gt;Cancelled"))</f>
        <v>0</v>
      </c>
      <c r="AK30" s="32">
        <f>IF(AG30="","",SUMIFS(Mileage!$M$5:$M$304,Mileage!$C$5:$C$304,AG30,Mileage!$B$5:$B$304,"&gt;="&amp;RepFrom,Mileage!$B$5:$B$304,"&lt;="&amp;RepTo))</f>
        <v>0</v>
      </c>
      <c r="AL30" s="28">
        <f>IF(Lists!$Q30="","",Lists!$Q30)</f>
        <v>0</v>
      </c>
      <c r="AM30" s="31">
        <f>IF(AL30="","",COUNTIFS(Bookings!$AV$5:$AV$404,AL30,Bookings!$I$5:$I$404,"&gt;="&amp;RepFrom,Bookings!$I$5:$I$404,"&lt;="&amp;RepTo))</f>
        <v>0</v>
      </c>
      <c r="AN30" s="28">
        <f>IF(Lists!$AF30="","",Lists!$AF30)</f>
        <v>0</v>
      </c>
      <c r="AO30" s="29">
        <f>IF(AN30="","",SUMIFS(Payments!$L$5:$L$304,Payments!$F$5:$F$304,AN30,Payments!$B$5:$B$304,"&gt;="&amp;RepFrom,Payments!$B$5:$B$304,"&lt;="&amp;RepTo))</f>
        <v>0</v>
      </c>
      <c r="AP30" s="28">
        <f>IF(Lists!$E30="","",Lists!$E30)</f>
        <v>0</v>
      </c>
      <c r="AQ30" s="31">
        <f>IF(AP30="","",COUNTIFS(Clients!$K$5:$K$254,AP30))</f>
        <v>0</v>
      </c>
      <c r="AR30" s="29">
        <f>IF(AP30="","",SUMIFS(Clients!$AE$5:$AE$254,Clients!$K$5:$K$254,AP30))</f>
        <v>0</v>
      </c>
    </row>
    <row r="31" spans="1:44">
      <c r="A31" s="28">
        <f>IF(Clients!$B$31="","",Clients!$B$31)</f>
        <v>0</v>
      </c>
      <c r="B31" s="29">
        <f>IF(A31="","",SUMIFS(Payments!$L$5:$L$304,Payments!$C$5:$C$304,A31,Payments!$B$5:$B$304,"&gt;="&amp;PeriodStart,Payments!$B$5:$B$304,"&lt;="&amp;PeriodEnd))</f>
        <v>0</v>
      </c>
      <c r="C31" s="51">
        <f>IF(A31="","",IF(B31&lt;=0,"",B31+ROW()/1000000))</f>
        <v>0</v>
      </c>
      <c r="D31" s="29">
        <f>IF(A31="","",SUMIFS(Payments!$L$5:$L$304,Payments!$C$5:$C$304,A31,Payments!$B$5:$B$304,"&gt;="&amp;RepFrom,Payments!$B$5:$B$304,"&lt;="&amp;RepTo))</f>
        <v>0</v>
      </c>
      <c r="E31" s="51">
        <f>IF(A31="","",IF(D31&lt;=0,"",D31+ROW()/1000000))</f>
        <v>0</v>
      </c>
      <c r="F31" s="29">
        <f>IF(A31="","",SUMIFS(Invoices!$S$5:$S$304,Invoices!$D$5:$D$304,A31,Invoices!$T$5:$T$304,"&lt;&gt;Cancelled"))</f>
        <v>0</v>
      </c>
      <c r="G31" s="51">
        <f>IF(A31="","",IF(F31&lt;=0.004,"",F31+ROW()/1000000))</f>
        <v>0</v>
      </c>
      <c r="H31" s="31">
        <f>IF(A31="","",COUNTIFS(Bookings!$C$5:$C$404,A31,Bookings!$I$5:$I$404,"&gt;="&amp;RepFrom,Bookings!$I$5:$I$404,"&lt;="&amp;RepTo,Bookings!$AM$5:$AM$404,"&lt;&gt;Cancelled"))</f>
        <v>0</v>
      </c>
      <c r="I31" s="28">
        <f>IF(Services!$B$31="","",Services!$B$31)</f>
        <v>0</v>
      </c>
      <c r="J31" s="29">
        <f>IF(I31="","",SUMIFS(Bookings!$AK$5:$AK$404,Bookings!$H$5:$H$404,I31,Bookings!$I$5:$I$404,"&gt;="&amp;PeriodStart,Bookings!$I$5:$I$404,"&lt;="&amp;PeriodEnd,Bookings!$AM$5:$AM$404,"&lt;&gt;Cancelled"))</f>
        <v>0</v>
      </c>
      <c r="K31" s="31">
        <f>IF(I31="","",COUNTIFS(Bookings!$H$5:$H$404,I31,Bookings!$I$5:$I$404,"&gt;="&amp;PeriodStart,Bookings!$I$5:$I$404,"&lt;="&amp;PeriodEnd,Bookings!$AM$5:$AM$404,"&lt;&gt;Cancelled"))</f>
        <v>0</v>
      </c>
      <c r="L31" s="29">
        <f>IF(I31="","",SUMIFS(Bookings!$AK$5:$AK$404,Bookings!$H$5:$H$404,I31,Bookings!$I$5:$I$404,"&gt;="&amp;RepFrom,Bookings!$I$5:$I$404,"&lt;="&amp;RepTo,Bookings!$AM$5:$AM$404,"&lt;&gt;Cancelled"))</f>
        <v>0</v>
      </c>
      <c r="M31" s="31">
        <f>IF(I31="","",COUNTIFS(Bookings!$H$5:$H$404,I31,Bookings!$I$5:$I$404,"&gt;="&amp;RepFrom,Bookings!$I$5:$I$404,"&lt;="&amp;RepTo,Bookings!$AM$5:$AM$404,"&lt;&gt;Cancelled"))</f>
        <v>0</v>
      </c>
      <c r="N31" s="29">
        <f>IF(I31="","",M31*IF(Services!$L$31="",0,Services!$L$31))</f>
        <v>0</v>
      </c>
      <c r="O31" s="29">
        <f>IF(I31="","",L31-N31)</f>
        <v>0</v>
      </c>
      <c r="P31" s="28">
        <f>IF(Lists!$AG31="","",Lists!$AG31)</f>
        <v>0</v>
      </c>
      <c r="Q31" s="29">
        <f>IF(P31="","",SUMIFS(Expenses!$F$5:$F$304,Expenses!$C$5:$C$304,P31,Expenses!$B$5:$B$304,"&gt;="&amp;PeriodStart,Expenses!$B$5:$B$304,"&lt;="&amp;PeriodEnd,Expenses!$J$5:$J$304,"&lt;&gt;Personal"))</f>
        <v>0</v>
      </c>
      <c r="R31" s="29">
        <f>IF(P31="","",SUMIFS(Expenses!$F$5:$F$304,Expenses!$C$5:$C$304,P31,Expenses!$B$5:$B$304,"&gt;="&amp;RepFrom,Expenses!$B$5:$B$304,"&lt;="&amp;RepTo,Expenses!$J$5:$J$304,"&lt;&gt;Personal"))</f>
        <v>0</v>
      </c>
      <c r="S31" s="21">
        <f>IF(ROW()-4&gt;12,"",DATE(Dash_Year,ROW()-4,1))</f>
        <v>0</v>
      </c>
      <c r="T31" s="21">
        <f>IF(S31="","",EOMONTH(S31,0))</f>
        <v>0</v>
      </c>
      <c r="U31" s="28">
        <f>IF(S31="","",TEXT(S31,"mmm"))</f>
        <v>0</v>
      </c>
      <c r="V31" s="29">
        <f>IF(S31="","",SUMIFS(Payments!$L$5:$L$304,Payments!$B$5:$B$304,"&gt;="&amp;S31,Payments!$B$5:$B$304,"&lt;="&amp;T31))</f>
        <v>0</v>
      </c>
      <c r="W31" s="29">
        <f>IF(S31="","",SUMIFS(Invoices!$O$5:$O$304,Invoices!$B$5:$B$304,"&gt;="&amp;S31,Invoices!$B$5:$B$304,"&lt;="&amp;T31,Invoices!$T$5:$T$304,"&lt;&gt;Cancelled"))</f>
        <v>0</v>
      </c>
      <c r="X31" s="29">
        <f>IF(S31="","",SUMIFS(Expenses!$F$5:$F$304,Expenses!$B$5:$B$304,"&gt;="&amp;S31,Expenses!$B$5:$B$304,"&lt;="&amp;T31,Expenses!$J$5:$J$304,"&lt;&gt;Personal"))</f>
        <v>0</v>
      </c>
      <c r="Y31" s="29">
        <f>IF(S31="","",V31-X31)</f>
        <v>0</v>
      </c>
      <c r="Z31" s="31">
        <f>IF(S31="","",COUNTIFS(Bookings!$I$5:$I$404,"&gt;="&amp;S31,Bookings!$I$5:$I$404,"&lt;="&amp;T31,Bookings!$AM$5:$AM$404,"&lt;&gt;Cancelled"))</f>
        <v>0</v>
      </c>
      <c r="AA31" s="31">
        <f>IF(S31="","",COUNTIFS(Bookings!$I$5:$I$404,"&gt;="&amp;S31,Bookings!$I$5:$I$404,"&lt;="&amp;T31,Bookings!$AM$5:$AM$404,"Completed"))</f>
        <v>0</v>
      </c>
      <c r="AB31" s="31">
        <f>IF(S31="","",COUNTIFS(Bookings!$I$5:$I$404,"&gt;="&amp;S31,Bookings!$I$5:$I$404,"&lt;="&amp;T31,Bookings!$AM$5:$AM$404,"Cancelled"))</f>
        <v>0</v>
      </c>
      <c r="AC31" s="31">
        <f>IF(S31="","",COUNTIFS('Visit Log'!$C$5:$C$404,"&gt;="&amp;S31,'Visit Log'!$C$5:$C$404,"&lt;="&amp;T31,'Visit Log'!$AE$5:$AE$404,"Completed"))</f>
        <v>0</v>
      </c>
      <c r="AD31" s="31">
        <f>IF(S31="","",COUNTIFS(Clients!$L$5:$L$254,"&gt;="&amp;S31,Clients!$L$5:$L$254,"&lt;="&amp;T31))</f>
        <v>0</v>
      </c>
      <c r="AE31" s="32">
        <f>IF(S31="","",SUMIFS(Mileage!$M$5:$M$304,Mileage!$B$5:$B$304,"&gt;="&amp;S31,Mileage!$B$5:$B$304,"&lt;="&amp;T31,Mileage!$N$5:$N$304,"Business"))</f>
        <v>0</v>
      </c>
      <c r="AF31" s="29">
        <f>IF(S31="","",SUMIFS(Payments!$L$5:$L$304,Payments!$B$5:$B$304,"&gt;="&amp;DATE(Dash_Year-1,ROW()-4,1),Payments!$B$5:$B$304,"&lt;="&amp;EOMONTH(DATE(Dash_Year-1,ROW()-4,1),0)))</f>
        <v>0</v>
      </c>
      <c r="AG31" s="28">
        <f>IF(Staff!$B$31="","",Staff!$B$31)</f>
        <v>0</v>
      </c>
      <c r="AH31" s="31">
        <f>IF(AG31="","",COUNTIFS('Visit Log'!$G$5:$G$404,AG31,'Visit Log'!$C$5:$C$404,"&gt;="&amp;RepFrom,'Visit Log'!$C$5:$C$404,"&lt;="&amp;RepTo,'Visit Log'!$AE$5:$AE$404,"Completed"))</f>
        <v>0</v>
      </c>
      <c r="AI31" s="51">
        <f>IF(AG31="","",ROUND(SUMIFS('Visit Log'!$K$5:$K$404,'Visit Log'!$G$5:$G$404,AG31,'Visit Log'!$C$5:$C$404,"&gt;="&amp;RepFrom,'Visit Log'!$C$5:$C$404,"&lt;="&amp;RepTo,'Visit Log'!$AE$5:$AE$404,"Completed")/60,2))</f>
        <v>0</v>
      </c>
      <c r="AJ31" s="29">
        <f>IF(AG31="","",SUMIFS(Bookings!$AK$5:$AK$404,Bookings!$AL$5:$AL$404,AG31,Bookings!$I$5:$I$404,"&gt;="&amp;RepFrom,Bookings!$I$5:$I$404,"&lt;="&amp;RepTo,Bookings!$AM$5:$AM$404,"&lt;&gt;Cancelled"))</f>
        <v>0</v>
      </c>
      <c r="AK31" s="32">
        <f>IF(AG31="","",SUMIFS(Mileage!$M$5:$M$304,Mileage!$C$5:$C$304,AG31,Mileage!$B$5:$B$304,"&gt;="&amp;RepFrom,Mileage!$B$5:$B$304,"&lt;="&amp;RepTo))</f>
        <v>0</v>
      </c>
      <c r="AL31" s="28">
        <f>IF(Lists!$Q31="","",Lists!$Q31)</f>
        <v>0</v>
      </c>
      <c r="AM31" s="31">
        <f>IF(AL31="","",COUNTIFS(Bookings!$AV$5:$AV$404,AL31,Bookings!$I$5:$I$404,"&gt;="&amp;RepFrom,Bookings!$I$5:$I$404,"&lt;="&amp;RepTo))</f>
        <v>0</v>
      </c>
      <c r="AN31" s="28">
        <f>IF(Lists!$AF31="","",Lists!$AF31)</f>
        <v>0</v>
      </c>
      <c r="AO31" s="29">
        <f>IF(AN31="","",SUMIFS(Payments!$L$5:$L$304,Payments!$F$5:$F$304,AN31,Payments!$B$5:$B$304,"&gt;="&amp;RepFrom,Payments!$B$5:$B$304,"&lt;="&amp;RepTo))</f>
        <v>0</v>
      </c>
      <c r="AP31" s="28">
        <f>IF(Lists!$E31="","",Lists!$E31)</f>
        <v>0</v>
      </c>
      <c r="AQ31" s="31">
        <f>IF(AP31="","",COUNTIFS(Clients!$K$5:$K$254,AP31))</f>
        <v>0</v>
      </c>
      <c r="AR31" s="29">
        <f>IF(AP31="","",SUMIFS(Clients!$AE$5:$AE$254,Clients!$K$5:$K$254,AP31))</f>
        <v>0</v>
      </c>
    </row>
    <row r="32" spans="1:44">
      <c r="A32" s="28">
        <f>IF(Clients!$B$32="","",Clients!$B$32)</f>
        <v>0</v>
      </c>
      <c r="B32" s="29">
        <f>IF(A32="","",SUMIFS(Payments!$L$5:$L$304,Payments!$C$5:$C$304,A32,Payments!$B$5:$B$304,"&gt;="&amp;PeriodStart,Payments!$B$5:$B$304,"&lt;="&amp;PeriodEnd))</f>
        <v>0</v>
      </c>
      <c r="C32" s="51">
        <f>IF(A32="","",IF(B32&lt;=0,"",B32+ROW()/1000000))</f>
        <v>0</v>
      </c>
      <c r="D32" s="29">
        <f>IF(A32="","",SUMIFS(Payments!$L$5:$L$304,Payments!$C$5:$C$304,A32,Payments!$B$5:$B$304,"&gt;="&amp;RepFrom,Payments!$B$5:$B$304,"&lt;="&amp;RepTo))</f>
        <v>0</v>
      </c>
      <c r="E32" s="51">
        <f>IF(A32="","",IF(D32&lt;=0,"",D32+ROW()/1000000))</f>
        <v>0</v>
      </c>
      <c r="F32" s="29">
        <f>IF(A32="","",SUMIFS(Invoices!$S$5:$S$304,Invoices!$D$5:$D$304,A32,Invoices!$T$5:$T$304,"&lt;&gt;Cancelled"))</f>
        <v>0</v>
      </c>
      <c r="G32" s="51">
        <f>IF(A32="","",IF(F32&lt;=0.004,"",F32+ROW()/1000000))</f>
        <v>0</v>
      </c>
      <c r="H32" s="31">
        <f>IF(A32="","",COUNTIFS(Bookings!$C$5:$C$404,A32,Bookings!$I$5:$I$404,"&gt;="&amp;RepFrom,Bookings!$I$5:$I$404,"&lt;="&amp;RepTo,Bookings!$AM$5:$AM$404,"&lt;&gt;Cancelled"))</f>
        <v>0</v>
      </c>
      <c r="I32" s="28">
        <f>IF(Services!$B$32="","",Services!$B$32)</f>
        <v>0</v>
      </c>
      <c r="J32" s="29">
        <f>IF(I32="","",SUMIFS(Bookings!$AK$5:$AK$404,Bookings!$H$5:$H$404,I32,Bookings!$I$5:$I$404,"&gt;="&amp;PeriodStart,Bookings!$I$5:$I$404,"&lt;="&amp;PeriodEnd,Bookings!$AM$5:$AM$404,"&lt;&gt;Cancelled"))</f>
        <v>0</v>
      </c>
      <c r="K32" s="31">
        <f>IF(I32="","",COUNTIFS(Bookings!$H$5:$H$404,I32,Bookings!$I$5:$I$404,"&gt;="&amp;PeriodStart,Bookings!$I$5:$I$404,"&lt;="&amp;PeriodEnd,Bookings!$AM$5:$AM$404,"&lt;&gt;Cancelled"))</f>
        <v>0</v>
      </c>
      <c r="L32" s="29">
        <f>IF(I32="","",SUMIFS(Bookings!$AK$5:$AK$404,Bookings!$H$5:$H$404,I32,Bookings!$I$5:$I$404,"&gt;="&amp;RepFrom,Bookings!$I$5:$I$404,"&lt;="&amp;RepTo,Bookings!$AM$5:$AM$404,"&lt;&gt;Cancelled"))</f>
        <v>0</v>
      </c>
      <c r="M32" s="31">
        <f>IF(I32="","",COUNTIFS(Bookings!$H$5:$H$404,I32,Bookings!$I$5:$I$404,"&gt;="&amp;RepFrom,Bookings!$I$5:$I$404,"&lt;="&amp;RepTo,Bookings!$AM$5:$AM$404,"&lt;&gt;Cancelled"))</f>
        <v>0</v>
      </c>
      <c r="N32" s="29">
        <f>IF(I32="","",M32*IF(Services!$L$32="",0,Services!$L$32))</f>
        <v>0</v>
      </c>
      <c r="O32" s="29">
        <f>IF(I32="","",L32-N32)</f>
        <v>0</v>
      </c>
      <c r="P32" s="28">
        <f>IF(Lists!$AG32="","",Lists!$AG32)</f>
        <v>0</v>
      </c>
      <c r="Q32" s="29">
        <f>IF(P32="","",SUMIFS(Expenses!$F$5:$F$304,Expenses!$C$5:$C$304,P32,Expenses!$B$5:$B$304,"&gt;="&amp;PeriodStart,Expenses!$B$5:$B$304,"&lt;="&amp;PeriodEnd,Expenses!$J$5:$J$304,"&lt;&gt;Personal"))</f>
        <v>0</v>
      </c>
      <c r="R32" s="29">
        <f>IF(P32="","",SUMIFS(Expenses!$F$5:$F$304,Expenses!$C$5:$C$304,P32,Expenses!$B$5:$B$304,"&gt;="&amp;RepFrom,Expenses!$B$5:$B$304,"&lt;="&amp;RepTo,Expenses!$J$5:$J$304,"&lt;&gt;Personal"))</f>
        <v>0</v>
      </c>
      <c r="S32" s="21">
        <f>IF(ROW()-4&gt;12,"",DATE(Dash_Year,ROW()-4,1))</f>
        <v>0</v>
      </c>
      <c r="T32" s="21">
        <f>IF(S32="","",EOMONTH(S32,0))</f>
        <v>0</v>
      </c>
      <c r="U32" s="28">
        <f>IF(S32="","",TEXT(S32,"mmm"))</f>
        <v>0</v>
      </c>
      <c r="V32" s="29">
        <f>IF(S32="","",SUMIFS(Payments!$L$5:$L$304,Payments!$B$5:$B$304,"&gt;="&amp;S32,Payments!$B$5:$B$304,"&lt;="&amp;T32))</f>
        <v>0</v>
      </c>
      <c r="W32" s="29">
        <f>IF(S32="","",SUMIFS(Invoices!$O$5:$O$304,Invoices!$B$5:$B$304,"&gt;="&amp;S32,Invoices!$B$5:$B$304,"&lt;="&amp;T32,Invoices!$T$5:$T$304,"&lt;&gt;Cancelled"))</f>
        <v>0</v>
      </c>
      <c r="X32" s="29">
        <f>IF(S32="","",SUMIFS(Expenses!$F$5:$F$304,Expenses!$B$5:$B$304,"&gt;="&amp;S32,Expenses!$B$5:$B$304,"&lt;="&amp;T32,Expenses!$J$5:$J$304,"&lt;&gt;Personal"))</f>
        <v>0</v>
      </c>
      <c r="Y32" s="29">
        <f>IF(S32="","",V32-X32)</f>
        <v>0</v>
      </c>
      <c r="Z32" s="31">
        <f>IF(S32="","",COUNTIFS(Bookings!$I$5:$I$404,"&gt;="&amp;S32,Bookings!$I$5:$I$404,"&lt;="&amp;T32,Bookings!$AM$5:$AM$404,"&lt;&gt;Cancelled"))</f>
        <v>0</v>
      </c>
      <c r="AA32" s="31">
        <f>IF(S32="","",COUNTIFS(Bookings!$I$5:$I$404,"&gt;="&amp;S32,Bookings!$I$5:$I$404,"&lt;="&amp;T32,Bookings!$AM$5:$AM$404,"Completed"))</f>
        <v>0</v>
      </c>
      <c r="AB32" s="31">
        <f>IF(S32="","",COUNTIFS(Bookings!$I$5:$I$404,"&gt;="&amp;S32,Bookings!$I$5:$I$404,"&lt;="&amp;T32,Bookings!$AM$5:$AM$404,"Cancelled"))</f>
        <v>0</v>
      </c>
      <c r="AC32" s="31">
        <f>IF(S32="","",COUNTIFS('Visit Log'!$C$5:$C$404,"&gt;="&amp;S32,'Visit Log'!$C$5:$C$404,"&lt;="&amp;T32,'Visit Log'!$AE$5:$AE$404,"Completed"))</f>
        <v>0</v>
      </c>
      <c r="AD32" s="31">
        <f>IF(S32="","",COUNTIFS(Clients!$L$5:$L$254,"&gt;="&amp;S32,Clients!$L$5:$L$254,"&lt;="&amp;T32))</f>
        <v>0</v>
      </c>
      <c r="AE32" s="32">
        <f>IF(S32="","",SUMIFS(Mileage!$M$5:$M$304,Mileage!$B$5:$B$304,"&gt;="&amp;S32,Mileage!$B$5:$B$304,"&lt;="&amp;T32,Mileage!$N$5:$N$304,"Business"))</f>
        <v>0</v>
      </c>
      <c r="AF32" s="29">
        <f>IF(S32="","",SUMIFS(Payments!$L$5:$L$304,Payments!$B$5:$B$304,"&gt;="&amp;DATE(Dash_Year-1,ROW()-4,1),Payments!$B$5:$B$304,"&lt;="&amp;EOMONTH(DATE(Dash_Year-1,ROW()-4,1),0)))</f>
        <v>0</v>
      </c>
      <c r="AG32" s="28">
        <f>IF(Staff!$B$32="","",Staff!$B$32)</f>
        <v>0</v>
      </c>
      <c r="AH32" s="31">
        <f>IF(AG32="","",COUNTIFS('Visit Log'!$G$5:$G$404,AG32,'Visit Log'!$C$5:$C$404,"&gt;="&amp;RepFrom,'Visit Log'!$C$5:$C$404,"&lt;="&amp;RepTo,'Visit Log'!$AE$5:$AE$404,"Completed"))</f>
        <v>0</v>
      </c>
      <c r="AI32" s="51">
        <f>IF(AG32="","",ROUND(SUMIFS('Visit Log'!$K$5:$K$404,'Visit Log'!$G$5:$G$404,AG32,'Visit Log'!$C$5:$C$404,"&gt;="&amp;RepFrom,'Visit Log'!$C$5:$C$404,"&lt;="&amp;RepTo,'Visit Log'!$AE$5:$AE$404,"Completed")/60,2))</f>
        <v>0</v>
      </c>
      <c r="AJ32" s="29">
        <f>IF(AG32="","",SUMIFS(Bookings!$AK$5:$AK$404,Bookings!$AL$5:$AL$404,AG32,Bookings!$I$5:$I$404,"&gt;="&amp;RepFrom,Bookings!$I$5:$I$404,"&lt;="&amp;RepTo,Bookings!$AM$5:$AM$404,"&lt;&gt;Cancelled"))</f>
        <v>0</v>
      </c>
      <c r="AK32" s="32">
        <f>IF(AG32="","",SUMIFS(Mileage!$M$5:$M$304,Mileage!$C$5:$C$304,AG32,Mileage!$B$5:$B$304,"&gt;="&amp;RepFrom,Mileage!$B$5:$B$304,"&lt;="&amp;RepTo))</f>
        <v>0</v>
      </c>
      <c r="AL32" s="28">
        <f>IF(Lists!$Q32="","",Lists!$Q32)</f>
        <v>0</v>
      </c>
      <c r="AM32" s="31">
        <f>IF(AL32="","",COUNTIFS(Bookings!$AV$5:$AV$404,AL32,Bookings!$I$5:$I$404,"&gt;="&amp;RepFrom,Bookings!$I$5:$I$404,"&lt;="&amp;RepTo))</f>
        <v>0</v>
      </c>
      <c r="AN32" s="28">
        <f>IF(Lists!$AF32="","",Lists!$AF32)</f>
        <v>0</v>
      </c>
      <c r="AO32" s="29">
        <f>IF(AN32="","",SUMIFS(Payments!$L$5:$L$304,Payments!$F$5:$F$304,AN32,Payments!$B$5:$B$304,"&gt;="&amp;RepFrom,Payments!$B$5:$B$304,"&lt;="&amp;RepTo))</f>
        <v>0</v>
      </c>
      <c r="AP32" s="28">
        <f>IF(Lists!$E32="","",Lists!$E32)</f>
        <v>0</v>
      </c>
      <c r="AQ32" s="31">
        <f>IF(AP32="","",COUNTIFS(Clients!$K$5:$K$254,AP32))</f>
        <v>0</v>
      </c>
      <c r="AR32" s="29">
        <f>IF(AP32="","",SUMIFS(Clients!$AE$5:$AE$254,Clients!$K$5:$K$254,AP32))</f>
        <v>0</v>
      </c>
    </row>
    <row r="33" spans="1:44">
      <c r="A33" s="28">
        <f>IF(Clients!$B$33="","",Clients!$B$33)</f>
        <v>0</v>
      </c>
      <c r="B33" s="29">
        <f>IF(A33="","",SUMIFS(Payments!$L$5:$L$304,Payments!$C$5:$C$304,A33,Payments!$B$5:$B$304,"&gt;="&amp;PeriodStart,Payments!$B$5:$B$304,"&lt;="&amp;PeriodEnd))</f>
        <v>0</v>
      </c>
      <c r="C33" s="51">
        <f>IF(A33="","",IF(B33&lt;=0,"",B33+ROW()/1000000))</f>
        <v>0</v>
      </c>
      <c r="D33" s="29">
        <f>IF(A33="","",SUMIFS(Payments!$L$5:$L$304,Payments!$C$5:$C$304,A33,Payments!$B$5:$B$304,"&gt;="&amp;RepFrom,Payments!$B$5:$B$304,"&lt;="&amp;RepTo))</f>
        <v>0</v>
      </c>
      <c r="E33" s="51">
        <f>IF(A33="","",IF(D33&lt;=0,"",D33+ROW()/1000000))</f>
        <v>0</v>
      </c>
      <c r="F33" s="29">
        <f>IF(A33="","",SUMIFS(Invoices!$S$5:$S$304,Invoices!$D$5:$D$304,A33,Invoices!$T$5:$T$304,"&lt;&gt;Cancelled"))</f>
        <v>0</v>
      </c>
      <c r="G33" s="51">
        <f>IF(A33="","",IF(F33&lt;=0.004,"",F33+ROW()/1000000))</f>
        <v>0</v>
      </c>
      <c r="H33" s="31">
        <f>IF(A33="","",COUNTIFS(Bookings!$C$5:$C$404,A33,Bookings!$I$5:$I$404,"&gt;="&amp;RepFrom,Bookings!$I$5:$I$404,"&lt;="&amp;RepTo,Bookings!$AM$5:$AM$404,"&lt;&gt;Cancelled"))</f>
        <v>0</v>
      </c>
      <c r="I33" s="28">
        <f>IF(Services!$B$33="","",Services!$B$33)</f>
        <v>0</v>
      </c>
      <c r="J33" s="29">
        <f>IF(I33="","",SUMIFS(Bookings!$AK$5:$AK$404,Bookings!$H$5:$H$404,I33,Bookings!$I$5:$I$404,"&gt;="&amp;PeriodStart,Bookings!$I$5:$I$404,"&lt;="&amp;PeriodEnd,Bookings!$AM$5:$AM$404,"&lt;&gt;Cancelled"))</f>
        <v>0</v>
      </c>
      <c r="K33" s="31">
        <f>IF(I33="","",COUNTIFS(Bookings!$H$5:$H$404,I33,Bookings!$I$5:$I$404,"&gt;="&amp;PeriodStart,Bookings!$I$5:$I$404,"&lt;="&amp;PeriodEnd,Bookings!$AM$5:$AM$404,"&lt;&gt;Cancelled"))</f>
        <v>0</v>
      </c>
      <c r="L33" s="29">
        <f>IF(I33="","",SUMIFS(Bookings!$AK$5:$AK$404,Bookings!$H$5:$H$404,I33,Bookings!$I$5:$I$404,"&gt;="&amp;RepFrom,Bookings!$I$5:$I$404,"&lt;="&amp;RepTo,Bookings!$AM$5:$AM$404,"&lt;&gt;Cancelled"))</f>
        <v>0</v>
      </c>
      <c r="M33" s="31">
        <f>IF(I33="","",COUNTIFS(Bookings!$H$5:$H$404,I33,Bookings!$I$5:$I$404,"&gt;="&amp;RepFrom,Bookings!$I$5:$I$404,"&lt;="&amp;RepTo,Bookings!$AM$5:$AM$404,"&lt;&gt;Cancelled"))</f>
        <v>0</v>
      </c>
      <c r="N33" s="29">
        <f>IF(I33="","",M33*IF(Services!$L$33="",0,Services!$L$33))</f>
        <v>0</v>
      </c>
      <c r="O33" s="29">
        <f>IF(I33="","",L33-N33)</f>
        <v>0</v>
      </c>
      <c r="P33" s="28">
        <f>IF(Lists!$AG33="","",Lists!$AG33)</f>
        <v>0</v>
      </c>
      <c r="Q33" s="29">
        <f>IF(P33="","",SUMIFS(Expenses!$F$5:$F$304,Expenses!$C$5:$C$304,P33,Expenses!$B$5:$B$304,"&gt;="&amp;PeriodStart,Expenses!$B$5:$B$304,"&lt;="&amp;PeriodEnd,Expenses!$J$5:$J$304,"&lt;&gt;Personal"))</f>
        <v>0</v>
      </c>
      <c r="R33" s="29">
        <f>IF(P33="","",SUMIFS(Expenses!$F$5:$F$304,Expenses!$C$5:$C$304,P33,Expenses!$B$5:$B$304,"&gt;="&amp;RepFrom,Expenses!$B$5:$B$304,"&lt;="&amp;RepTo,Expenses!$J$5:$J$304,"&lt;&gt;Personal"))</f>
        <v>0</v>
      </c>
      <c r="S33" s="21">
        <f>IF(ROW()-4&gt;12,"",DATE(Dash_Year,ROW()-4,1))</f>
        <v>0</v>
      </c>
      <c r="T33" s="21">
        <f>IF(S33="","",EOMONTH(S33,0))</f>
        <v>0</v>
      </c>
      <c r="U33" s="28">
        <f>IF(S33="","",TEXT(S33,"mmm"))</f>
        <v>0</v>
      </c>
      <c r="V33" s="29">
        <f>IF(S33="","",SUMIFS(Payments!$L$5:$L$304,Payments!$B$5:$B$304,"&gt;="&amp;S33,Payments!$B$5:$B$304,"&lt;="&amp;T33))</f>
        <v>0</v>
      </c>
      <c r="W33" s="29">
        <f>IF(S33="","",SUMIFS(Invoices!$O$5:$O$304,Invoices!$B$5:$B$304,"&gt;="&amp;S33,Invoices!$B$5:$B$304,"&lt;="&amp;T33,Invoices!$T$5:$T$304,"&lt;&gt;Cancelled"))</f>
        <v>0</v>
      </c>
      <c r="X33" s="29">
        <f>IF(S33="","",SUMIFS(Expenses!$F$5:$F$304,Expenses!$B$5:$B$304,"&gt;="&amp;S33,Expenses!$B$5:$B$304,"&lt;="&amp;T33,Expenses!$J$5:$J$304,"&lt;&gt;Personal"))</f>
        <v>0</v>
      </c>
      <c r="Y33" s="29">
        <f>IF(S33="","",V33-X33)</f>
        <v>0</v>
      </c>
      <c r="Z33" s="31">
        <f>IF(S33="","",COUNTIFS(Bookings!$I$5:$I$404,"&gt;="&amp;S33,Bookings!$I$5:$I$404,"&lt;="&amp;T33,Bookings!$AM$5:$AM$404,"&lt;&gt;Cancelled"))</f>
        <v>0</v>
      </c>
      <c r="AA33" s="31">
        <f>IF(S33="","",COUNTIFS(Bookings!$I$5:$I$404,"&gt;="&amp;S33,Bookings!$I$5:$I$404,"&lt;="&amp;T33,Bookings!$AM$5:$AM$404,"Completed"))</f>
        <v>0</v>
      </c>
      <c r="AB33" s="31">
        <f>IF(S33="","",COUNTIFS(Bookings!$I$5:$I$404,"&gt;="&amp;S33,Bookings!$I$5:$I$404,"&lt;="&amp;T33,Bookings!$AM$5:$AM$404,"Cancelled"))</f>
        <v>0</v>
      </c>
      <c r="AC33" s="31">
        <f>IF(S33="","",COUNTIFS('Visit Log'!$C$5:$C$404,"&gt;="&amp;S33,'Visit Log'!$C$5:$C$404,"&lt;="&amp;T33,'Visit Log'!$AE$5:$AE$404,"Completed"))</f>
        <v>0</v>
      </c>
      <c r="AD33" s="31">
        <f>IF(S33="","",COUNTIFS(Clients!$L$5:$L$254,"&gt;="&amp;S33,Clients!$L$5:$L$254,"&lt;="&amp;T33))</f>
        <v>0</v>
      </c>
      <c r="AE33" s="32">
        <f>IF(S33="","",SUMIFS(Mileage!$M$5:$M$304,Mileage!$B$5:$B$304,"&gt;="&amp;S33,Mileage!$B$5:$B$304,"&lt;="&amp;T33,Mileage!$N$5:$N$304,"Business"))</f>
        <v>0</v>
      </c>
      <c r="AF33" s="29">
        <f>IF(S33="","",SUMIFS(Payments!$L$5:$L$304,Payments!$B$5:$B$304,"&gt;="&amp;DATE(Dash_Year-1,ROW()-4,1),Payments!$B$5:$B$304,"&lt;="&amp;EOMONTH(DATE(Dash_Year-1,ROW()-4,1),0)))</f>
        <v>0</v>
      </c>
      <c r="AG33" s="28">
        <f>IF(Staff!$B$33="","",Staff!$B$33)</f>
        <v>0</v>
      </c>
      <c r="AH33" s="31">
        <f>IF(AG33="","",COUNTIFS('Visit Log'!$G$5:$G$404,AG33,'Visit Log'!$C$5:$C$404,"&gt;="&amp;RepFrom,'Visit Log'!$C$5:$C$404,"&lt;="&amp;RepTo,'Visit Log'!$AE$5:$AE$404,"Completed"))</f>
        <v>0</v>
      </c>
      <c r="AI33" s="51">
        <f>IF(AG33="","",ROUND(SUMIFS('Visit Log'!$K$5:$K$404,'Visit Log'!$G$5:$G$404,AG33,'Visit Log'!$C$5:$C$404,"&gt;="&amp;RepFrom,'Visit Log'!$C$5:$C$404,"&lt;="&amp;RepTo,'Visit Log'!$AE$5:$AE$404,"Completed")/60,2))</f>
        <v>0</v>
      </c>
      <c r="AJ33" s="29">
        <f>IF(AG33="","",SUMIFS(Bookings!$AK$5:$AK$404,Bookings!$AL$5:$AL$404,AG33,Bookings!$I$5:$I$404,"&gt;="&amp;RepFrom,Bookings!$I$5:$I$404,"&lt;="&amp;RepTo,Bookings!$AM$5:$AM$404,"&lt;&gt;Cancelled"))</f>
        <v>0</v>
      </c>
      <c r="AK33" s="32">
        <f>IF(AG33="","",SUMIFS(Mileage!$M$5:$M$304,Mileage!$C$5:$C$304,AG33,Mileage!$B$5:$B$304,"&gt;="&amp;RepFrom,Mileage!$B$5:$B$304,"&lt;="&amp;RepTo))</f>
        <v>0</v>
      </c>
      <c r="AL33" s="28">
        <f>IF(Lists!$Q33="","",Lists!$Q33)</f>
        <v>0</v>
      </c>
      <c r="AM33" s="31">
        <f>IF(AL33="","",COUNTIFS(Bookings!$AV$5:$AV$404,AL33,Bookings!$I$5:$I$404,"&gt;="&amp;RepFrom,Bookings!$I$5:$I$404,"&lt;="&amp;RepTo))</f>
        <v>0</v>
      </c>
      <c r="AN33" s="28">
        <f>IF(Lists!$AF33="","",Lists!$AF33)</f>
        <v>0</v>
      </c>
      <c r="AO33" s="29">
        <f>IF(AN33="","",SUMIFS(Payments!$L$5:$L$304,Payments!$F$5:$F$304,AN33,Payments!$B$5:$B$304,"&gt;="&amp;RepFrom,Payments!$B$5:$B$304,"&lt;="&amp;RepTo))</f>
        <v>0</v>
      </c>
      <c r="AP33" s="28">
        <f>IF(Lists!$E33="","",Lists!$E33)</f>
        <v>0</v>
      </c>
      <c r="AQ33" s="31">
        <f>IF(AP33="","",COUNTIFS(Clients!$K$5:$K$254,AP33))</f>
        <v>0</v>
      </c>
      <c r="AR33" s="29">
        <f>IF(AP33="","",SUMIFS(Clients!$AE$5:$AE$254,Clients!$K$5:$K$254,AP33))</f>
        <v>0</v>
      </c>
    </row>
    <row r="34" spans="1:44">
      <c r="A34" s="28">
        <f>IF(Clients!$B$34="","",Clients!$B$34)</f>
        <v>0</v>
      </c>
      <c r="B34" s="29">
        <f>IF(A34="","",SUMIFS(Payments!$L$5:$L$304,Payments!$C$5:$C$304,A34,Payments!$B$5:$B$304,"&gt;="&amp;PeriodStart,Payments!$B$5:$B$304,"&lt;="&amp;PeriodEnd))</f>
        <v>0</v>
      </c>
      <c r="C34" s="51">
        <f>IF(A34="","",IF(B34&lt;=0,"",B34+ROW()/1000000))</f>
        <v>0</v>
      </c>
      <c r="D34" s="29">
        <f>IF(A34="","",SUMIFS(Payments!$L$5:$L$304,Payments!$C$5:$C$304,A34,Payments!$B$5:$B$304,"&gt;="&amp;RepFrom,Payments!$B$5:$B$304,"&lt;="&amp;RepTo))</f>
        <v>0</v>
      </c>
      <c r="E34" s="51">
        <f>IF(A34="","",IF(D34&lt;=0,"",D34+ROW()/1000000))</f>
        <v>0</v>
      </c>
      <c r="F34" s="29">
        <f>IF(A34="","",SUMIFS(Invoices!$S$5:$S$304,Invoices!$D$5:$D$304,A34,Invoices!$T$5:$T$304,"&lt;&gt;Cancelled"))</f>
        <v>0</v>
      </c>
      <c r="G34" s="51">
        <f>IF(A34="","",IF(F34&lt;=0.004,"",F34+ROW()/1000000))</f>
        <v>0</v>
      </c>
      <c r="H34" s="31">
        <f>IF(A34="","",COUNTIFS(Bookings!$C$5:$C$404,A34,Bookings!$I$5:$I$404,"&gt;="&amp;RepFrom,Bookings!$I$5:$I$404,"&lt;="&amp;RepTo,Bookings!$AM$5:$AM$404,"&lt;&gt;Cancelled"))</f>
        <v>0</v>
      </c>
      <c r="I34" s="28">
        <f>IF(Services!$B$34="","",Services!$B$34)</f>
        <v>0</v>
      </c>
      <c r="J34" s="29">
        <f>IF(I34="","",SUMIFS(Bookings!$AK$5:$AK$404,Bookings!$H$5:$H$404,I34,Bookings!$I$5:$I$404,"&gt;="&amp;PeriodStart,Bookings!$I$5:$I$404,"&lt;="&amp;PeriodEnd,Bookings!$AM$5:$AM$404,"&lt;&gt;Cancelled"))</f>
        <v>0</v>
      </c>
      <c r="K34" s="31">
        <f>IF(I34="","",COUNTIFS(Bookings!$H$5:$H$404,I34,Bookings!$I$5:$I$404,"&gt;="&amp;PeriodStart,Bookings!$I$5:$I$404,"&lt;="&amp;PeriodEnd,Bookings!$AM$5:$AM$404,"&lt;&gt;Cancelled"))</f>
        <v>0</v>
      </c>
      <c r="L34" s="29">
        <f>IF(I34="","",SUMIFS(Bookings!$AK$5:$AK$404,Bookings!$H$5:$H$404,I34,Bookings!$I$5:$I$404,"&gt;="&amp;RepFrom,Bookings!$I$5:$I$404,"&lt;="&amp;RepTo,Bookings!$AM$5:$AM$404,"&lt;&gt;Cancelled"))</f>
        <v>0</v>
      </c>
      <c r="M34" s="31">
        <f>IF(I34="","",COUNTIFS(Bookings!$H$5:$H$404,I34,Bookings!$I$5:$I$404,"&gt;="&amp;RepFrom,Bookings!$I$5:$I$404,"&lt;="&amp;RepTo,Bookings!$AM$5:$AM$404,"&lt;&gt;Cancelled"))</f>
        <v>0</v>
      </c>
      <c r="N34" s="29">
        <f>IF(I34="","",M34*IF(Services!$L$34="",0,Services!$L$34))</f>
        <v>0</v>
      </c>
      <c r="O34" s="29">
        <f>IF(I34="","",L34-N34)</f>
        <v>0</v>
      </c>
      <c r="P34" s="28">
        <f>IF(Lists!$AG34="","",Lists!$AG34)</f>
        <v>0</v>
      </c>
      <c r="Q34" s="29">
        <f>IF(P34="","",SUMIFS(Expenses!$F$5:$F$304,Expenses!$C$5:$C$304,P34,Expenses!$B$5:$B$304,"&gt;="&amp;PeriodStart,Expenses!$B$5:$B$304,"&lt;="&amp;PeriodEnd,Expenses!$J$5:$J$304,"&lt;&gt;Personal"))</f>
        <v>0</v>
      </c>
      <c r="R34" s="29">
        <f>IF(P34="","",SUMIFS(Expenses!$F$5:$F$304,Expenses!$C$5:$C$304,P34,Expenses!$B$5:$B$304,"&gt;="&amp;RepFrom,Expenses!$B$5:$B$304,"&lt;="&amp;RepTo,Expenses!$J$5:$J$304,"&lt;&gt;Personal"))</f>
        <v>0</v>
      </c>
      <c r="S34" s="21">
        <f>IF(ROW()-4&gt;12,"",DATE(Dash_Year,ROW()-4,1))</f>
        <v>0</v>
      </c>
      <c r="T34" s="21">
        <f>IF(S34="","",EOMONTH(S34,0))</f>
        <v>0</v>
      </c>
      <c r="U34" s="28">
        <f>IF(S34="","",TEXT(S34,"mmm"))</f>
        <v>0</v>
      </c>
      <c r="V34" s="29">
        <f>IF(S34="","",SUMIFS(Payments!$L$5:$L$304,Payments!$B$5:$B$304,"&gt;="&amp;S34,Payments!$B$5:$B$304,"&lt;="&amp;T34))</f>
        <v>0</v>
      </c>
      <c r="W34" s="29">
        <f>IF(S34="","",SUMIFS(Invoices!$O$5:$O$304,Invoices!$B$5:$B$304,"&gt;="&amp;S34,Invoices!$B$5:$B$304,"&lt;="&amp;T34,Invoices!$T$5:$T$304,"&lt;&gt;Cancelled"))</f>
        <v>0</v>
      </c>
      <c r="X34" s="29">
        <f>IF(S34="","",SUMIFS(Expenses!$F$5:$F$304,Expenses!$B$5:$B$304,"&gt;="&amp;S34,Expenses!$B$5:$B$304,"&lt;="&amp;T34,Expenses!$J$5:$J$304,"&lt;&gt;Personal"))</f>
        <v>0</v>
      </c>
      <c r="Y34" s="29">
        <f>IF(S34="","",V34-X34)</f>
        <v>0</v>
      </c>
      <c r="Z34" s="31">
        <f>IF(S34="","",COUNTIFS(Bookings!$I$5:$I$404,"&gt;="&amp;S34,Bookings!$I$5:$I$404,"&lt;="&amp;T34,Bookings!$AM$5:$AM$404,"&lt;&gt;Cancelled"))</f>
        <v>0</v>
      </c>
      <c r="AA34" s="31">
        <f>IF(S34="","",COUNTIFS(Bookings!$I$5:$I$404,"&gt;="&amp;S34,Bookings!$I$5:$I$404,"&lt;="&amp;T34,Bookings!$AM$5:$AM$404,"Completed"))</f>
        <v>0</v>
      </c>
      <c r="AB34" s="31">
        <f>IF(S34="","",COUNTIFS(Bookings!$I$5:$I$404,"&gt;="&amp;S34,Bookings!$I$5:$I$404,"&lt;="&amp;T34,Bookings!$AM$5:$AM$404,"Cancelled"))</f>
        <v>0</v>
      </c>
      <c r="AC34" s="31">
        <f>IF(S34="","",COUNTIFS('Visit Log'!$C$5:$C$404,"&gt;="&amp;S34,'Visit Log'!$C$5:$C$404,"&lt;="&amp;T34,'Visit Log'!$AE$5:$AE$404,"Completed"))</f>
        <v>0</v>
      </c>
      <c r="AD34" s="31">
        <f>IF(S34="","",COUNTIFS(Clients!$L$5:$L$254,"&gt;="&amp;S34,Clients!$L$5:$L$254,"&lt;="&amp;T34))</f>
        <v>0</v>
      </c>
      <c r="AE34" s="32">
        <f>IF(S34="","",SUMIFS(Mileage!$M$5:$M$304,Mileage!$B$5:$B$304,"&gt;="&amp;S34,Mileage!$B$5:$B$304,"&lt;="&amp;T34,Mileage!$N$5:$N$304,"Business"))</f>
        <v>0</v>
      </c>
      <c r="AF34" s="29">
        <f>IF(S34="","",SUMIFS(Payments!$L$5:$L$304,Payments!$B$5:$B$304,"&gt;="&amp;DATE(Dash_Year-1,ROW()-4,1),Payments!$B$5:$B$304,"&lt;="&amp;EOMONTH(DATE(Dash_Year-1,ROW()-4,1),0)))</f>
        <v>0</v>
      </c>
      <c r="AG34" s="28">
        <f>IF(Staff!$B$34="","",Staff!$B$34)</f>
        <v>0</v>
      </c>
      <c r="AH34" s="31">
        <f>IF(AG34="","",COUNTIFS('Visit Log'!$G$5:$G$404,AG34,'Visit Log'!$C$5:$C$404,"&gt;="&amp;RepFrom,'Visit Log'!$C$5:$C$404,"&lt;="&amp;RepTo,'Visit Log'!$AE$5:$AE$404,"Completed"))</f>
        <v>0</v>
      </c>
      <c r="AI34" s="51">
        <f>IF(AG34="","",ROUND(SUMIFS('Visit Log'!$K$5:$K$404,'Visit Log'!$G$5:$G$404,AG34,'Visit Log'!$C$5:$C$404,"&gt;="&amp;RepFrom,'Visit Log'!$C$5:$C$404,"&lt;="&amp;RepTo,'Visit Log'!$AE$5:$AE$404,"Completed")/60,2))</f>
        <v>0</v>
      </c>
      <c r="AJ34" s="29">
        <f>IF(AG34="","",SUMIFS(Bookings!$AK$5:$AK$404,Bookings!$AL$5:$AL$404,AG34,Bookings!$I$5:$I$404,"&gt;="&amp;RepFrom,Bookings!$I$5:$I$404,"&lt;="&amp;RepTo,Bookings!$AM$5:$AM$404,"&lt;&gt;Cancelled"))</f>
        <v>0</v>
      </c>
      <c r="AK34" s="32">
        <f>IF(AG34="","",SUMIFS(Mileage!$M$5:$M$304,Mileage!$C$5:$C$304,AG34,Mileage!$B$5:$B$304,"&gt;="&amp;RepFrom,Mileage!$B$5:$B$304,"&lt;="&amp;RepTo))</f>
        <v>0</v>
      </c>
      <c r="AL34" s="28">
        <f>IF(Lists!$Q34="","",Lists!$Q34)</f>
        <v>0</v>
      </c>
      <c r="AM34" s="31">
        <f>IF(AL34="","",COUNTIFS(Bookings!$AV$5:$AV$404,AL34,Bookings!$I$5:$I$404,"&gt;="&amp;RepFrom,Bookings!$I$5:$I$404,"&lt;="&amp;RepTo))</f>
        <v>0</v>
      </c>
      <c r="AN34" s="28">
        <f>IF(Lists!$AF34="","",Lists!$AF34)</f>
        <v>0</v>
      </c>
      <c r="AO34" s="29">
        <f>IF(AN34="","",SUMIFS(Payments!$L$5:$L$304,Payments!$F$5:$F$304,AN34,Payments!$B$5:$B$304,"&gt;="&amp;RepFrom,Payments!$B$5:$B$304,"&lt;="&amp;RepTo))</f>
        <v>0</v>
      </c>
      <c r="AP34" s="28">
        <f>IF(Lists!$E34="","",Lists!$E34)</f>
        <v>0</v>
      </c>
      <c r="AQ34" s="31">
        <f>IF(AP34="","",COUNTIFS(Clients!$K$5:$K$254,AP34))</f>
        <v>0</v>
      </c>
      <c r="AR34" s="29">
        <f>IF(AP34="","",SUMIFS(Clients!$AE$5:$AE$254,Clients!$K$5:$K$254,AP34))</f>
        <v>0</v>
      </c>
    </row>
    <row r="35" spans="1:44">
      <c r="A35" s="28">
        <f>IF(Clients!$B$35="","",Clients!$B$35)</f>
        <v>0</v>
      </c>
      <c r="B35" s="29">
        <f>IF(A35="","",SUMIFS(Payments!$L$5:$L$304,Payments!$C$5:$C$304,A35,Payments!$B$5:$B$304,"&gt;="&amp;PeriodStart,Payments!$B$5:$B$304,"&lt;="&amp;PeriodEnd))</f>
        <v>0</v>
      </c>
      <c r="C35" s="51">
        <f>IF(A35="","",IF(B35&lt;=0,"",B35+ROW()/1000000))</f>
        <v>0</v>
      </c>
      <c r="D35" s="29">
        <f>IF(A35="","",SUMIFS(Payments!$L$5:$L$304,Payments!$C$5:$C$304,A35,Payments!$B$5:$B$304,"&gt;="&amp;RepFrom,Payments!$B$5:$B$304,"&lt;="&amp;RepTo))</f>
        <v>0</v>
      </c>
      <c r="E35" s="51">
        <f>IF(A35="","",IF(D35&lt;=0,"",D35+ROW()/1000000))</f>
        <v>0</v>
      </c>
      <c r="F35" s="29">
        <f>IF(A35="","",SUMIFS(Invoices!$S$5:$S$304,Invoices!$D$5:$D$304,A35,Invoices!$T$5:$T$304,"&lt;&gt;Cancelled"))</f>
        <v>0</v>
      </c>
      <c r="G35" s="51">
        <f>IF(A35="","",IF(F35&lt;=0.004,"",F35+ROW()/1000000))</f>
        <v>0</v>
      </c>
      <c r="H35" s="31">
        <f>IF(A35="","",COUNTIFS(Bookings!$C$5:$C$404,A35,Bookings!$I$5:$I$404,"&gt;="&amp;RepFrom,Bookings!$I$5:$I$404,"&lt;="&amp;RepTo,Bookings!$AM$5:$AM$404,"&lt;&gt;Cancelled"))</f>
        <v>0</v>
      </c>
      <c r="I35" s="28">
        <f>IF(Services!$B$35="","",Services!$B$35)</f>
        <v>0</v>
      </c>
      <c r="J35" s="29">
        <f>IF(I35="","",SUMIFS(Bookings!$AK$5:$AK$404,Bookings!$H$5:$H$404,I35,Bookings!$I$5:$I$404,"&gt;="&amp;PeriodStart,Bookings!$I$5:$I$404,"&lt;="&amp;PeriodEnd,Bookings!$AM$5:$AM$404,"&lt;&gt;Cancelled"))</f>
        <v>0</v>
      </c>
      <c r="K35" s="31">
        <f>IF(I35="","",COUNTIFS(Bookings!$H$5:$H$404,I35,Bookings!$I$5:$I$404,"&gt;="&amp;PeriodStart,Bookings!$I$5:$I$404,"&lt;="&amp;PeriodEnd,Bookings!$AM$5:$AM$404,"&lt;&gt;Cancelled"))</f>
        <v>0</v>
      </c>
      <c r="L35" s="29">
        <f>IF(I35="","",SUMIFS(Bookings!$AK$5:$AK$404,Bookings!$H$5:$H$404,I35,Bookings!$I$5:$I$404,"&gt;="&amp;RepFrom,Bookings!$I$5:$I$404,"&lt;="&amp;RepTo,Bookings!$AM$5:$AM$404,"&lt;&gt;Cancelled"))</f>
        <v>0</v>
      </c>
      <c r="M35" s="31">
        <f>IF(I35="","",COUNTIFS(Bookings!$H$5:$H$404,I35,Bookings!$I$5:$I$404,"&gt;="&amp;RepFrom,Bookings!$I$5:$I$404,"&lt;="&amp;RepTo,Bookings!$AM$5:$AM$404,"&lt;&gt;Cancelled"))</f>
        <v>0</v>
      </c>
      <c r="N35" s="29">
        <f>IF(I35="","",M35*IF(Services!$L$35="",0,Services!$L$35))</f>
        <v>0</v>
      </c>
      <c r="O35" s="29">
        <f>IF(I35="","",L35-N35)</f>
        <v>0</v>
      </c>
      <c r="P35" s="28">
        <f>IF(Lists!$AG35="","",Lists!$AG35)</f>
        <v>0</v>
      </c>
      <c r="Q35" s="29">
        <f>IF(P35="","",SUMIFS(Expenses!$F$5:$F$304,Expenses!$C$5:$C$304,P35,Expenses!$B$5:$B$304,"&gt;="&amp;PeriodStart,Expenses!$B$5:$B$304,"&lt;="&amp;PeriodEnd,Expenses!$J$5:$J$304,"&lt;&gt;Personal"))</f>
        <v>0</v>
      </c>
      <c r="R35" s="29">
        <f>IF(P35="","",SUMIFS(Expenses!$F$5:$F$304,Expenses!$C$5:$C$304,P35,Expenses!$B$5:$B$304,"&gt;="&amp;RepFrom,Expenses!$B$5:$B$304,"&lt;="&amp;RepTo,Expenses!$J$5:$J$304,"&lt;&gt;Personal"))</f>
        <v>0</v>
      </c>
      <c r="S35" s="21">
        <f>IF(ROW()-4&gt;12,"",DATE(Dash_Year,ROW()-4,1))</f>
        <v>0</v>
      </c>
      <c r="T35" s="21">
        <f>IF(S35="","",EOMONTH(S35,0))</f>
        <v>0</v>
      </c>
      <c r="U35" s="28">
        <f>IF(S35="","",TEXT(S35,"mmm"))</f>
        <v>0</v>
      </c>
      <c r="V35" s="29">
        <f>IF(S35="","",SUMIFS(Payments!$L$5:$L$304,Payments!$B$5:$B$304,"&gt;="&amp;S35,Payments!$B$5:$B$304,"&lt;="&amp;T35))</f>
        <v>0</v>
      </c>
      <c r="W35" s="29">
        <f>IF(S35="","",SUMIFS(Invoices!$O$5:$O$304,Invoices!$B$5:$B$304,"&gt;="&amp;S35,Invoices!$B$5:$B$304,"&lt;="&amp;T35,Invoices!$T$5:$T$304,"&lt;&gt;Cancelled"))</f>
        <v>0</v>
      </c>
      <c r="X35" s="29">
        <f>IF(S35="","",SUMIFS(Expenses!$F$5:$F$304,Expenses!$B$5:$B$304,"&gt;="&amp;S35,Expenses!$B$5:$B$304,"&lt;="&amp;T35,Expenses!$J$5:$J$304,"&lt;&gt;Personal"))</f>
        <v>0</v>
      </c>
      <c r="Y35" s="29">
        <f>IF(S35="","",V35-X35)</f>
        <v>0</v>
      </c>
      <c r="Z35" s="31">
        <f>IF(S35="","",COUNTIFS(Bookings!$I$5:$I$404,"&gt;="&amp;S35,Bookings!$I$5:$I$404,"&lt;="&amp;T35,Bookings!$AM$5:$AM$404,"&lt;&gt;Cancelled"))</f>
        <v>0</v>
      </c>
      <c r="AA35" s="31">
        <f>IF(S35="","",COUNTIFS(Bookings!$I$5:$I$404,"&gt;="&amp;S35,Bookings!$I$5:$I$404,"&lt;="&amp;T35,Bookings!$AM$5:$AM$404,"Completed"))</f>
        <v>0</v>
      </c>
      <c r="AB35" s="31">
        <f>IF(S35="","",COUNTIFS(Bookings!$I$5:$I$404,"&gt;="&amp;S35,Bookings!$I$5:$I$404,"&lt;="&amp;T35,Bookings!$AM$5:$AM$404,"Cancelled"))</f>
        <v>0</v>
      </c>
      <c r="AC35" s="31">
        <f>IF(S35="","",COUNTIFS('Visit Log'!$C$5:$C$404,"&gt;="&amp;S35,'Visit Log'!$C$5:$C$404,"&lt;="&amp;T35,'Visit Log'!$AE$5:$AE$404,"Completed"))</f>
        <v>0</v>
      </c>
      <c r="AD35" s="31">
        <f>IF(S35="","",COUNTIFS(Clients!$L$5:$L$254,"&gt;="&amp;S35,Clients!$L$5:$L$254,"&lt;="&amp;T35))</f>
        <v>0</v>
      </c>
      <c r="AE35" s="32">
        <f>IF(S35="","",SUMIFS(Mileage!$M$5:$M$304,Mileage!$B$5:$B$304,"&gt;="&amp;S35,Mileage!$B$5:$B$304,"&lt;="&amp;T35,Mileage!$N$5:$N$304,"Business"))</f>
        <v>0</v>
      </c>
      <c r="AF35" s="29">
        <f>IF(S35="","",SUMIFS(Payments!$L$5:$L$304,Payments!$B$5:$B$304,"&gt;="&amp;DATE(Dash_Year-1,ROW()-4,1),Payments!$B$5:$B$304,"&lt;="&amp;EOMONTH(DATE(Dash_Year-1,ROW()-4,1),0)))</f>
        <v>0</v>
      </c>
      <c r="AG35" s="28">
        <f>IF(Staff!$B$35="","",Staff!$B$35)</f>
        <v>0</v>
      </c>
      <c r="AH35" s="31">
        <f>IF(AG35="","",COUNTIFS('Visit Log'!$G$5:$G$404,AG35,'Visit Log'!$C$5:$C$404,"&gt;="&amp;RepFrom,'Visit Log'!$C$5:$C$404,"&lt;="&amp;RepTo,'Visit Log'!$AE$5:$AE$404,"Completed"))</f>
        <v>0</v>
      </c>
      <c r="AI35" s="51">
        <f>IF(AG35="","",ROUND(SUMIFS('Visit Log'!$K$5:$K$404,'Visit Log'!$G$5:$G$404,AG35,'Visit Log'!$C$5:$C$404,"&gt;="&amp;RepFrom,'Visit Log'!$C$5:$C$404,"&lt;="&amp;RepTo,'Visit Log'!$AE$5:$AE$404,"Completed")/60,2))</f>
        <v>0</v>
      </c>
      <c r="AJ35" s="29">
        <f>IF(AG35="","",SUMIFS(Bookings!$AK$5:$AK$404,Bookings!$AL$5:$AL$404,AG35,Bookings!$I$5:$I$404,"&gt;="&amp;RepFrom,Bookings!$I$5:$I$404,"&lt;="&amp;RepTo,Bookings!$AM$5:$AM$404,"&lt;&gt;Cancelled"))</f>
        <v>0</v>
      </c>
      <c r="AK35" s="32">
        <f>IF(AG35="","",SUMIFS(Mileage!$M$5:$M$304,Mileage!$C$5:$C$304,AG35,Mileage!$B$5:$B$304,"&gt;="&amp;RepFrom,Mileage!$B$5:$B$304,"&lt;="&amp;RepTo))</f>
        <v>0</v>
      </c>
      <c r="AL35" s="28">
        <f>IF(Lists!$Q35="","",Lists!$Q35)</f>
        <v>0</v>
      </c>
      <c r="AM35" s="31">
        <f>IF(AL35="","",COUNTIFS(Bookings!$AV$5:$AV$404,AL35,Bookings!$I$5:$I$404,"&gt;="&amp;RepFrom,Bookings!$I$5:$I$404,"&lt;="&amp;RepTo))</f>
        <v>0</v>
      </c>
      <c r="AN35" s="28">
        <f>IF(Lists!$AF35="","",Lists!$AF35)</f>
        <v>0</v>
      </c>
      <c r="AO35" s="29">
        <f>IF(AN35="","",SUMIFS(Payments!$L$5:$L$304,Payments!$F$5:$F$304,AN35,Payments!$B$5:$B$304,"&gt;="&amp;RepFrom,Payments!$B$5:$B$304,"&lt;="&amp;RepTo))</f>
        <v>0</v>
      </c>
      <c r="AP35" s="28">
        <f>IF(Lists!$E35="","",Lists!$E35)</f>
        <v>0</v>
      </c>
      <c r="AQ35" s="31">
        <f>IF(AP35="","",COUNTIFS(Clients!$K$5:$K$254,AP35))</f>
        <v>0</v>
      </c>
      <c r="AR35" s="29">
        <f>IF(AP35="","",SUMIFS(Clients!$AE$5:$AE$254,Clients!$K$5:$K$254,AP35))</f>
        <v>0</v>
      </c>
    </row>
    <row r="36" spans="1:44">
      <c r="A36" s="28">
        <f>IF(Clients!$B$36="","",Clients!$B$36)</f>
        <v>0</v>
      </c>
      <c r="B36" s="29">
        <f>IF(A36="","",SUMIFS(Payments!$L$5:$L$304,Payments!$C$5:$C$304,A36,Payments!$B$5:$B$304,"&gt;="&amp;PeriodStart,Payments!$B$5:$B$304,"&lt;="&amp;PeriodEnd))</f>
        <v>0</v>
      </c>
      <c r="C36" s="51">
        <f>IF(A36="","",IF(B36&lt;=0,"",B36+ROW()/1000000))</f>
        <v>0</v>
      </c>
      <c r="D36" s="29">
        <f>IF(A36="","",SUMIFS(Payments!$L$5:$L$304,Payments!$C$5:$C$304,A36,Payments!$B$5:$B$304,"&gt;="&amp;RepFrom,Payments!$B$5:$B$304,"&lt;="&amp;RepTo))</f>
        <v>0</v>
      </c>
      <c r="E36" s="51">
        <f>IF(A36="","",IF(D36&lt;=0,"",D36+ROW()/1000000))</f>
        <v>0</v>
      </c>
      <c r="F36" s="29">
        <f>IF(A36="","",SUMIFS(Invoices!$S$5:$S$304,Invoices!$D$5:$D$304,A36,Invoices!$T$5:$T$304,"&lt;&gt;Cancelled"))</f>
        <v>0</v>
      </c>
      <c r="G36" s="51">
        <f>IF(A36="","",IF(F36&lt;=0.004,"",F36+ROW()/1000000))</f>
        <v>0</v>
      </c>
      <c r="H36" s="31">
        <f>IF(A36="","",COUNTIFS(Bookings!$C$5:$C$404,A36,Bookings!$I$5:$I$404,"&gt;="&amp;RepFrom,Bookings!$I$5:$I$404,"&lt;="&amp;RepTo,Bookings!$AM$5:$AM$404,"&lt;&gt;Cancelled"))</f>
        <v>0</v>
      </c>
      <c r="I36" s="28">
        <f>IF(Services!$B$36="","",Services!$B$36)</f>
        <v>0</v>
      </c>
      <c r="J36" s="29">
        <f>IF(I36="","",SUMIFS(Bookings!$AK$5:$AK$404,Bookings!$H$5:$H$404,I36,Bookings!$I$5:$I$404,"&gt;="&amp;PeriodStart,Bookings!$I$5:$I$404,"&lt;="&amp;PeriodEnd,Bookings!$AM$5:$AM$404,"&lt;&gt;Cancelled"))</f>
        <v>0</v>
      </c>
      <c r="K36" s="31">
        <f>IF(I36="","",COUNTIFS(Bookings!$H$5:$H$404,I36,Bookings!$I$5:$I$404,"&gt;="&amp;PeriodStart,Bookings!$I$5:$I$404,"&lt;="&amp;PeriodEnd,Bookings!$AM$5:$AM$404,"&lt;&gt;Cancelled"))</f>
        <v>0</v>
      </c>
      <c r="L36" s="29">
        <f>IF(I36="","",SUMIFS(Bookings!$AK$5:$AK$404,Bookings!$H$5:$H$404,I36,Bookings!$I$5:$I$404,"&gt;="&amp;RepFrom,Bookings!$I$5:$I$404,"&lt;="&amp;RepTo,Bookings!$AM$5:$AM$404,"&lt;&gt;Cancelled"))</f>
        <v>0</v>
      </c>
      <c r="M36" s="31">
        <f>IF(I36="","",COUNTIFS(Bookings!$H$5:$H$404,I36,Bookings!$I$5:$I$404,"&gt;="&amp;RepFrom,Bookings!$I$5:$I$404,"&lt;="&amp;RepTo,Bookings!$AM$5:$AM$404,"&lt;&gt;Cancelled"))</f>
        <v>0</v>
      </c>
      <c r="N36" s="29">
        <f>IF(I36="","",M36*IF(Services!$L$36="",0,Services!$L$36))</f>
        <v>0</v>
      </c>
      <c r="O36" s="29">
        <f>IF(I36="","",L36-N36)</f>
        <v>0</v>
      </c>
      <c r="P36" s="28">
        <f>IF(Lists!$AG36="","",Lists!$AG36)</f>
        <v>0</v>
      </c>
      <c r="Q36" s="29">
        <f>IF(P36="","",SUMIFS(Expenses!$F$5:$F$304,Expenses!$C$5:$C$304,P36,Expenses!$B$5:$B$304,"&gt;="&amp;PeriodStart,Expenses!$B$5:$B$304,"&lt;="&amp;PeriodEnd,Expenses!$J$5:$J$304,"&lt;&gt;Personal"))</f>
        <v>0</v>
      </c>
      <c r="R36" s="29">
        <f>IF(P36="","",SUMIFS(Expenses!$F$5:$F$304,Expenses!$C$5:$C$304,P36,Expenses!$B$5:$B$304,"&gt;="&amp;RepFrom,Expenses!$B$5:$B$304,"&lt;="&amp;RepTo,Expenses!$J$5:$J$304,"&lt;&gt;Personal"))</f>
        <v>0</v>
      </c>
      <c r="S36" s="21">
        <f>IF(ROW()-4&gt;12,"",DATE(Dash_Year,ROW()-4,1))</f>
        <v>0</v>
      </c>
      <c r="T36" s="21">
        <f>IF(S36="","",EOMONTH(S36,0))</f>
        <v>0</v>
      </c>
      <c r="U36" s="28">
        <f>IF(S36="","",TEXT(S36,"mmm"))</f>
        <v>0</v>
      </c>
      <c r="V36" s="29">
        <f>IF(S36="","",SUMIFS(Payments!$L$5:$L$304,Payments!$B$5:$B$304,"&gt;="&amp;S36,Payments!$B$5:$B$304,"&lt;="&amp;T36))</f>
        <v>0</v>
      </c>
      <c r="W36" s="29">
        <f>IF(S36="","",SUMIFS(Invoices!$O$5:$O$304,Invoices!$B$5:$B$304,"&gt;="&amp;S36,Invoices!$B$5:$B$304,"&lt;="&amp;T36,Invoices!$T$5:$T$304,"&lt;&gt;Cancelled"))</f>
        <v>0</v>
      </c>
      <c r="X36" s="29">
        <f>IF(S36="","",SUMIFS(Expenses!$F$5:$F$304,Expenses!$B$5:$B$304,"&gt;="&amp;S36,Expenses!$B$5:$B$304,"&lt;="&amp;T36,Expenses!$J$5:$J$304,"&lt;&gt;Personal"))</f>
        <v>0</v>
      </c>
      <c r="Y36" s="29">
        <f>IF(S36="","",V36-X36)</f>
        <v>0</v>
      </c>
      <c r="Z36" s="31">
        <f>IF(S36="","",COUNTIFS(Bookings!$I$5:$I$404,"&gt;="&amp;S36,Bookings!$I$5:$I$404,"&lt;="&amp;T36,Bookings!$AM$5:$AM$404,"&lt;&gt;Cancelled"))</f>
        <v>0</v>
      </c>
      <c r="AA36" s="31">
        <f>IF(S36="","",COUNTIFS(Bookings!$I$5:$I$404,"&gt;="&amp;S36,Bookings!$I$5:$I$404,"&lt;="&amp;T36,Bookings!$AM$5:$AM$404,"Completed"))</f>
        <v>0</v>
      </c>
      <c r="AB36" s="31">
        <f>IF(S36="","",COUNTIFS(Bookings!$I$5:$I$404,"&gt;="&amp;S36,Bookings!$I$5:$I$404,"&lt;="&amp;T36,Bookings!$AM$5:$AM$404,"Cancelled"))</f>
        <v>0</v>
      </c>
      <c r="AC36" s="31">
        <f>IF(S36="","",COUNTIFS('Visit Log'!$C$5:$C$404,"&gt;="&amp;S36,'Visit Log'!$C$5:$C$404,"&lt;="&amp;T36,'Visit Log'!$AE$5:$AE$404,"Completed"))</f>
        <v>0</v>
      </c>
      <c r="AD36" s="31">
        <f>IF(S36="","",COUNTIFS(Clients!$L$5:$L$254,"&gt;="&amp;S36,Clients!$L$5:$L$254,"&lt;="&amp;T36))</f>
        <v>0</v>
      </c>
      <c r="AE36" s="32">
        <f>IF(S36="","",SUMIFS(Mileage!$M$5:$M$304,Mileage!$B$5:$B$304,"&gt;="&amp;S36,Mileage!$B$5:$B$304,"&lt;="&amp;T36,Mileage!$N$5:$N$304,"Business"))</f>
        <v>0</v>
      </c>
      <c r="AF36" s="29">
        <f>IF(S36="","",SUMIFS(Payments!$L$5:$L$304,Payments!$B$5:$B$304,"&gt;="&amp;DATE(Dash_Year-1,ROW()-4,1),Payments!$B$5:$B$304,"&lt;="&amp;EOMONTH(DATE(Dash_Year-1,ROW()-4,1),0)))</f>
        <v>0</v>
      </c>
      <c r="AG36" s="28">
        <f>IF(Staff!$B$36="","",Staff!$B$36)</f>
        <v>0</v>
      </c>
      <c r="AH36" s="31">
        <f>IF(AG36="","",COUNTIFS('Visit Log'!$G$5:$G$404,AG36,'Visit Log'!$C$5:$C$404,"&gt;="&amp;RepFrom,'Visit Log'!$C$5:$C$404,"&lt;="&amp;RepTo,'Visit Log'!$AE$5:$AE$404,"Completed"))</f>
        <v>0</v>
      </c>
      <c r="AI36" s="51">
        <f>IF(AG36="","",ROUND(SUMIFS('Visit Log'!$K$5:$K$404,'Visit Log'!$G$5:$G$404,AG36,'Visit Log'!$C$5:$C$404,"&gt;="&amp;RepFrom,'Visit Log'!$C$5:$C$404,"&lt;="&amp;RepTo,'Visit Log'!$AE$5:$AE$404,"Completed")/60,2))</f>
        <v>0</v>
      </c>
      <c r="AJ36" s="29">
        <f>IF(AG36="","",SUMIFS(Bookings!$AK$5:$AK$404,Bookings!$AL$5:$AL$404,AG36,Bookings!$I$5:$I$404,"&gt;="&amp;RepFrom,Bookings!$I$5:$I$404,"&lt;="&amp;RepTo,Bookings!$AM$5:$AM$404,"&lt;&gt;Cancelled"))</f>
        <v>0</v>
      </c>
      <c r="AK36" s="32">
        <f>IF(AG36="","",SUMIFS(Mileage!$M$5:$M$304,Mileage!$C$5:$C$304,AG36,Mileage!$B$5:$B$304,"&gt;="&amp;RepFrom,Mileage!$B$5:$B$304,"&lt;="&amp;RepTo))</f>
        <v>0</v>
      </c>
      <c r="AL36" s="28">
        <f>IF(Lists!$Q36="","",Lists!$Q36)</f>
        <v>0</v>
      </c>
      <c r="AM36" s="31">
        <f>IF(AL36="","",COUNTIFS(Bookings!$AV$5:$AV$404,AL36,Bookings!$I$5:$I$404,"&gt;="&amp;RepFrom,Bookings!$I$5:$I$404,"&lt;="&amp;RepTo))</f>
        <v>0</v>
      </c>
      <c r="AN36" s="28">
        <f>IF(Lists!$AF36="","",Lists!$AF36)</f>
        <v>0</v>
      </c>
      <c r="AO36" s="29">
        <f>IF(AN36="","",SUMIFS(Payments!$L$5:$L$304,Payments!$F$5:$F$304,AN36,Payments!$B$5:$B$304,"&gt;="&amp;RepFrom,Payments!$B$5:$B$304,"&lt;="&amp;RepTo))</f>
        <v>0</v>
      </c>
      <c r="AP36" s="28">
        <f>IF(Lists!$E36="","",Lists!$E36)</f>
        <v>0</v>
      </c>
      <c r="AQ36" s="31">
        <f>IF(AP36="","",COUNTIFS(Clients!$K$5:$K$254,AP36))</f>
        <v>0</v>
      </c>
      <c r="AR36" s="29">
        <f>IF(AP36="","",SUMIFS(Clients!$AE$5:$AE$254,Clients!$K$5:$K$254,AP36))</f>
        <v>0</v>
      </c>
    </row>
    <row r="37" spans="1:44">
      <c r="A37" s="28">
        <f>IF(Clients!$B$37="","",Clients!$B$37)</f>
        <v>0</v>
      </c>
      <c r="B37" s="29">
        <f>IF(A37="","",SUMIFS(Payments!$L$5:$L$304,Payments!$C$5:$C$304,A37,Payments!$B$5:$B$304,"&gt;="&amp;PeriodStart,Payments!$B$5:$B$304,"&lt;="&amp;PeriodEnd))</f>
        <v>0</v>
      </c>
      <c r="C37" s="51">
        <f>IF(A37="","",IF(B37&lt;=0,"",B37+ROW()/1000000))</f>
        <v>0</v>
      </c>
      <c r="D37" s="29">
        <f>IF(A37="","",SUMIFS(Payments!$L$5:$L$304,Payments!$C$5:$C$304,A37,Payments!$B$5:$B$304,"&gt;="&amp;RepFrom,Payments!$B$5:$B$304,"&lt;="&amp;RepTo))</f>
        <v>0</v>
      </c>
      <c r="E37" s="51">
        <f>IF(A37="","",IF(D37&lt;=0,"",D37+ROW()/1000000))</f>
        <v>0</v>
      </c>
      <c r="F37" s="29">
        <f>IF(A37="","",SUMIFS(Invoices!$S$5:$S$304,Invoices!$D$5:$D$304,A37,Invoices!$T$5:$T$304,"&lt;&gt;Cancelled"))</f>
        <v>0</v>
      </c>
      <c r="G37" s="51">
        <f>IF(A37="","",IF(F37&lt;=0.004,"",F37+ROW()/1000000))</f>
        <v>0</v>
      </c>
      <c r="H37" s="31">
        <f>IF(A37="","",COUNTIFS(Bookings!$C$5:$C$404,A37,Bookings!$I$5:$I$404,"&gt;="&amp;RepFrom,Bookings!$I$5:$I$404,"&lt;="&amp;RepTo,Bookings!$AM$5:$AM$404,"&lt;&gt;Cancelled"))</f>
        <v>0</v>
      </c>
      <c r="I37" s="28">
        <f>IF(Services!$B$37="","",Services!$B$37)</f>
        <v>0</v>
      </c>
      <c r="J37" s="29">
        <f>IF(I37="","",SUMIFS(Bookings!$AK$5:$AK$404,Bookings!$H$5:$H$404,I37,Bookings!$I$5:$I$404,"&gt;="&amp;PeriodStart,Bookings!$I$5:$I$404,"&lt;="&amp;PeriodEnd,Bookings!$AM$5:$AM$404,"&lt;&gt;Cancelled"))</f>
        <v>0</v>
      </c>
      <c r="K37" s="31">
        <f>IF(I37="","",COUNTIFS(Bookings!$H$5:$H$404,I37,Bookings!$I$5:$I$404,"&gt;="&amp;PeriodStart,Bookings!$I$5:$I$404,"&lt;="&amp;PeriodEnd,Bookings!$AM$5:$AM$404,"&lt;&gt;Cancelled"))</f>
        <v>0</v>
      </c>
      <c r="L37" s="29">
        <f>IF(I37="","",SUMIFS(Bookings!$AK$5:$AK$404,Bookings!$H$5:$H$404,I37,Bookings!$I$5:$I$404,"&gt;="&amp;RepFrom,Bookings!$I$5:$I$404,"&lt;="&amp;RepTo,Bookings!$AM$5:$AM$404,"&lt;&gt;Cancelled"))</f>
        <v>0</v>
      </c>
      <c r="M37" s="31">
        <f>IF(I37="","",COUNTIFS(Bookings!$H$5:$H$404,I37,Bookings!$I$5:$I$404,"&gt;="&amp;RepFrom,Bookings!$I$5:$I$404,"&lt;="&amp;RepTo,Bookings!$AM$5:$AM$404,"&lt;&gt;Cancelled"))</f>
        <v>0</v>
      </c>
      <c r="N37" s="29">
        <f>IF(I37="","",M37*IF(Services!$L$37="",0,Services!$L$37))</f>
        <v>0</v>
      </c>
      <c r="O37" s="29">
        <f>IF(I37="","",L37-N37)</f>
        <v>0</v>
      </c>
      <c r="P37" s="28">
        <f>IF(Lists!$AG37="","",Lists!$AG37)</f>
        <v>0</v>
      </c>
      <c r="Q37" s="29">
        <f>IF(P37="","",SUMIFS(Expenses!$F$5:$F$304,Expenses!$C$5:$C$304,P37,Expenses!$B$5:$B$304,"&gt;="&amp;PeriodStart,Expenses!$B$5:$B$304,"&lt;="&amp;PeriodEnd,Expenses!$J$5:$J$304,"&lt;&gt;Personal"))</f>
        <v>0</v>
      </c>
      <c r="R37" s="29">
        <f>IF(P37="","",SUMIFS(Expenses!$F$5:$F$304,Expenses!$C$5:$C$304,P37,Expenses!$B$5:$B$304,"&gt;="&amp;RepFrom,Expenses!$B$5:$B$304,"&lt;="&amp;RepTo,Expenses!$J$5:$J$304,"&lt;&gt;Personal"))</f>
        <v>0</v>
      </c>
      <c r="S37" s="21">
        <f>IF(ROW()-4&gt;12,"",DATE(Dash_Year,ROW()-4,1))</f>
        <v>0</v>
      </c>
      <c r="T37" s="21">
        <f>IF(S37="","",EOMONTH(S37,0))</f>
        <v>0</v>
      </c>
      <c r="U37" s="28">
        <f>IF(S37="","",TEXT(S37,"mmm"))</f>
        <v>0</v>
      </c>
      <c r="V37" s="29">
        <f>IF(S37="","",SUMIFS(Payments!$L$5:$L$304,Payments!$B$5:$B$304,"&gt;="&amp;S37,Payments!$B$5:$B$304,"&lt;="&amp;T37))</f>
        <v>0</v>
      </c>
      <c r="W37" s="29">
        <f>IF(S37="","",SUMIFS(Invoices!$O$5:$O$304,Invoices!$B$5:$B$304,"&gt;="&amp;S37,Invoices!$B$5:$B$304,"&lt;="&amp;T37,Invoices!$T$5:$T$304,"&lt;&gt;Cancelled"))</f>
        <v>0</v>
      </c>
      <c r="X37" s="29">
        <f>IF(S37="","",SUMIFS(Expenses!$F$5:$F$304,Expenses!$B$5:$B$304,"&gt;="&amp;S37,Expenses!$B$5:$B$304,"&lt;="&amp;T37,Expenses!$J$5:$J$304,"&lt;&gt;Personal"))</f>
        <v>0</v>
      </c>
      <c r="Y37" s="29">
        <f>IF(S37="","",V37-X37)</f>
        <v>0</v>
      </c>
      <c r="Z37" s="31">
        <f>IF(S37="","",COUNTIFS(Bookings!$I$5:$I$404,"&gt;="&amp;S37,Bookings!$I$5:$I$404,"&lt;="&amp;T37,Bookings!$AM$5:$AM$404,"&lt;&gt;Cancelled"))</f>
        <v>0</v>
      </c>
      <c r="AA37" s="31">
        <f>IF(S37="","",COUNTIFS(Bookings!$I$5:$I$404,"&gt;="&amp;S37,Bookings!$I$5:$I$404,"&lt;="&amp;T37,Bookings!$AM$5:$AM$404,"Completed"))</f>
        <v>0</v>
      </c>
      <c r="AB37" s="31">
        <f>IF(S37="","",COUNTIFS(Bookings!$I$5:$I$404,"&gt;="&amp;S37,Bookings!$I$5:$I$404,"&lt;="&amp;T37,Bookings!$AM$5:$AM$404,"Cancelled"))</f>
        <v>0</v>
      </c>
      <c r="AC37" s="31">
        <f>IF(S37="","",COUNTIFS('Visit Log'!$C$5:$C$404,"&gt;="&amp;S37,'Visit Log'!$C$5:$C$404,"&lt;="&amp;T37,'Visit Log'!$AE$5:$AE$404,"Completed"))</f>
        <v>0</v>
      </c>
      <c r="AD37" s="31">
        <f>IF(S37="","",COUNTIFS(Clients!$L$5:$L$254,"&gt;="&amp;S37,Clients!$L$5:$L$254,"&lt;="&amp;T37))</f>
        <v>0</v>
      </c>
      <c r="AE37" s="32">
        <f>IF(S37="","",SUMIFS(Mileage!$M$5:$M$304,Mileage!$B$5:$B$304,"&gt;="&amp;S37,Mileage!$B$5:$B$304,"&lt;="&amp;T37,Mileage!$N$5:$N$304,"Business"))</f>
        <v>0</v>
      </c>
      <c r="AF37" s="29">
        <f>IF(S37="","",SUMIFS(Payments!$L$5:$L$304,Payments!$B$5:$B$304,"&gt;="&amp;DATE(Dash_Year-1,ROW()-4,1),Payments!$B$5:$B$304,"&lt;="&amp;EOMONTH(DATE(Dash_Year-1,ROW()-4,1),0)))</f>
        <v>0</v>
      </c>
      <c r="AG37" s="28">
        <f>IF(Staff!$B$37="","",Staff!$B$37)</f>
        <v>0</v>
      </c>
      <c r="AH37" s="31">
        <f>IF(AG37="","",COUNTIFS('Visit Log'!$G$5:$G$404,AG37,'Visit Log'!$C$5:$C$404,"&gt;="&amp;RepFrom,'Visit Log'!$C$5:$C$404,"&lt;="&amp;RepTo,'Visit Log'!$AE$5:$AE$404,"Completed"))</f>
        <v>0</v>
      </c>
      <c r="AI37" s="51">
        <f>IF(AG37="","",ROUND(SUMIFS('Visit Log'!$K$5:$K$404,'Visit Log'!$G$5:$G$404,AG37,'Visit Log'!$C$5:$C$404,"&gt;="&amp;RepFrom,'Visit Log'!$C$5:$C$404,"&lt;="&amp;RepTo,'Visit Log'!$AE$5:$AE$404,"Completed")/60,2))</f>
        <v>0</v>
      </c>
      <c r="AJ37" s="29">
        <f>IF(AG37="","",SUMIFS(Bookings!$AK$5:$AK$404,Bookings!$AL$5:$AL$404,AG37,Bookings!$I$5:$I$404,"&gt;="&amp;RepFrom,Bookings!$I$5:$I$404,"&lt;="&amp;RepTo,Bookings!$AM$5:$AM$404,"&lt;&gt;Cancelled"))</f>
        <v>0</v>
      </c>
      <c r="AK37" s="32">
        <f>IF(AG37="","",SUMIFS(Mileage!$M$5:$M$304,Mileage!$C$5:$C$304,AG37,Mileage!$B$5:$B$304,"&gt;="&amp;RepFrom,Mileage!$B$5:$B$304,"&lt;="&amp;RepTo))</f>
        <v>0</v>
      </c>
      <c r="AL37" s="28">
        <f>IF(Lists!$Q37="","",Lists!$Q37)</f>
        <v>0</v>
      </c>
      <c r="AM37" s="31">
        <f>IF(AL37="","",COUNTIFS(Bookings!$AV$5:$AV$404,AL37,Bookings!$I$5:$I$404,"&gt;="&amp;RepFrom,Bookings!$I$5:$I$404,"&lt;="&amp;RepTo))</f>
        <v>0</v>
      </c>
      <c r="AN37" s="28">
        <f>IF(Lists!$AF37="","",Lists!$AF37)</f>
        <v>0</v>
      </c>
      <c r="AO37" s="29">
        <f>IF(AN37="","",SUMIFS(Payments!$L$5:$L$304,Payments!$F$5:$F$304,AN37,Payments!$B$5:$B$304,"&gt;="&amp;RepFrom,Payments!$B$5:$B$304,"&lt;="&amp;RepTo))</f>
        <v>0</v>
      </c>
      <c r="AP37" s="28">
        <f>IF(Lists!$E37="","",Lists!$E37)</f>
        <v>0</v>
      </c>
      <c r="AQ37" s="31">
        <f>IF(AP37="","",COUNTIFS(Clients!$K$5:$K$254,AP37))</f>
        <v>0</v>
      </c>
      <c r="AR37" s="29">
        <f>IF(AP37="","",SUMIFS(Clients!$AE$5:$AE$254,Clients!$K$5:$K$254,AP37))</f>
        <v>0</v>
      </c>
    </row>
    <row r="38" spans="1:44">
      <c r="A38" s="28">
        <f>IF(Clients!$B$38="","",Clients!$B$38)</f>
        <v>0</v>
      </c>
      <c r="B38" s="29">
        <f>IF(A38="","",SUMIFS(Payments!$L$5:$L$304,Payments!$C$5:$C$304,A38,Payments!$B$5:$B$304,"&gt;="&amp;PeriodStart,Payments!$B$5:$B$304,"&lt;="&amp;PeriodEnd))</f>
        <v>0</v>
      </c>
      <c r="C38" s="51">
        <f>IF(A38="","",IF(B38&lt;=0,"",B38+ROW()/1000000))</f>
        <v>0</v>
      </c>
      <c r="D38" s="29">
        <f>IF(A38="","",SUMIFS(Payments!$L$5:$L$304,Payments!$C$5:$C$304,A38,Payments!$B$5:$B$304,"&gt;="&amp;RepFrom,Payments!$B$5:$B$304,"&lt;="&amp;RepTo))</f>
        <v>0</v>
      </c>
      <c r="E38" s="51">
        <f>IF(A38="","",IF(D38&lt;=0,"",D38+ROW()/1000000))</f>
        <v>0</v>
      </c>
      <c r="F38" s="29">
        <f>IF(A38="","",SUMIFS(Invoices!$S$5:$S$304,Invoices!$D$5:$D$304,A38,Invoices!$T$5:$T$304,"&lt;&gt;Cancelled"))</f>
        <v>0</v>
      </c>
      <c r="G38" s="51">
        <f>IF(A38="","",IF(F38&lt;=0.004,"",F38+ROW()/1000000))</f>
        <v>0</v>
      </c>
      <c r="H38" s="31">
        <f>IF(A38="","",COUNTIFS(Bookings!$C$5:$C$404,A38,Bookings!$I$5:$I$404,"&gt;="&amp;RepFrom,Bookings!$I$5:$I$404,"&lt;="&amp;RepTo,Bookings!$AM$5:$AM$404,"&lt;&gt;Cancelled"))</f>
        <v>0</v>
      </c>
      <c r="I38" s="28">
        <f>IF(Services!$B$38="","",Services!$B$38)</f>
        <v>0</v>
      </c>
      <c r="J38" s="29">
        <f>IF(I38="","",SUMIFS(Bookings!$AK$5:$AK$404,Bookings!$H$5:$H$404,I38,Bookings!$I$5:$I$404,"&gt;="&amp;PeriodStart,Bookings!$I$5:$I$404,"&lt;="&amp;PeriodEnd,Bookings!$AM$5:$AM$404,"&lt;&gt;Cancelled"))</f>
        <v>0</v>
      </c>
      <c r="K38" s="31">
        <f>IF(I38="","",COUNTIFS(Bookings!$H$5:$H$404,I38,Bookings!$I$5:$I$404,"&gt;="&amp;PeriodStart,Bookings!$I$5:$I$404,"&lt;="&amp;PeriodEnd,Bookings!$AM$5:$AM$404,"&lt;&gt;Cancelled"))</f>
        <v>0</v>
      </c>
      <c r="L38" s="29">
        <f>IF(I38="","",SUMIFS(Bookings!$AK$5:$AK$404,Bookings!$H$5:$H$404,I38,Bookings!$I$5:$I$404,"&gt;="&amp;RepFrom,Bookings!$I$5:$I$404,"&lt;="&amp;RepTo,Bookings!$AM$5:$AM$404,"&lt;&gt;Cancelled"))</f>
        <v>0</v>
      </c>
      <c r="M38" s="31">
        <f>IF(I38="","",COUNTIFS(Bookings!$H$5:$H$404,I38,Bookings!$I$5:$I$404,"&gt;="&amp;RepFrom,Bookings!$I$5:$I$404,"&lt;="&amp;RepTo,Bookings!$AM$5:$AM$404,"&lt;&gt;Cancelled"))</f>
        <v>0</v>
      </c>
      <c r="N38" s="29">
        <f>IF(I38="","",M38*IF(Services!$L$38="",0,Services!$L$38))</f>
        <v>0</v>
      </c>
      <c r="O38" s="29">
        <f>IF(I38="","",L38-N38)</f>
        <v>0</v>
      </c>
      <c r="P38" s="28">
        <f>IF(Lists!$AG38="","",Lists!$AG38)</f>
        <v>0</v>
      </c>
      <c r="Q38" s="29">
        <f>IF(P38="","",SUMIFS(Expenses!$F$5:$F$304,Expenses!$C$5:$C$304,P38,Expenses!$B$5:$B$304,"&gt;="&amp;PeriodStart,Expenses!$B$5:$B$304,"&lt;="&amp;PeriodEnd,Expenses!$J$5:$J$304,"&lt;&gt;Personal"))</f>
        <v>0</v>
      </c>
      <c r="R38" s="29">
        <f>IF(P38="","",SUMIFS(Expenses!$F$5:$F$304,Expenses!$C$5:$C$304,P38,Expenses!$B$5:$B$304,"&gt;="&amp;RepFrom,Expenses!$B$5:$B$304,"&lt;="&amp;RepTo,Expenses!$J$5:$J$304,"&lt;&gt;Personal"))</f>
        <v>0</v>
      </c>
      <c r="S38" s="21">
        <f>IF(ROW()-4&gt;12,"",DATE(Dash_Year,ROW()-4,1))</f>
        <v>0</v>
      </c>
      <c r="T38" s="21">
        <f>IF(S38="","",EOMONTH(S38,0))</f>
        <v>0</v>
      </c>
      <c r="U38" s="28">
        <f>IF(S38="","",TEXT(S38,"mmm"))</f>
        <v>0</v>
      </c>
      <c r="V38" s="29">
        <f>IF(S38="","",SUMIFS(Payments!$L$5:$L$304,Payments!$B$5:$B$304,"&gt;="&amp;S38,Payments!$B$5:$B$304,"&lt;="&amp;T38))</f>
        <v>0</v>
      </c>
      <c r="W38" s="29">
        <f>IF(S38="","",SUMIFS(Invoices!$O$5:$O$304,Invoices!$B$5:$B$304,"&gt;="&amp;S38,Invoices!$B$5:$B$304,"&lt;="&amp;T38,Invoices!$T$5:$T$304,"&lt;&gt;Cancelled"))</f>
        <v>0</v>
      </c>
      <c r="X38" s="29">
        <f>IF(S38="","",SUMIFS(Expenses!$F$5:$F$304,Expenses!$B$5:$B$304,"&gt;="&amp;S38,Expenses!$B$5:$B$304,"&lt;="&amp;T38,Expenses!$J$5:$J$304,"&lt;&gt;Personal"))</f>
        <v>0</v>
      </c>
      <c r="Y38" s="29">
        <f>IF(S38="","",V38-X38)</f>
        <v>0</v>
      </c>
      <c r="Z38" s="31">
        <f>IF(S38="","",COUNTIFS(Bookings!$I$5:$I$404,"&gt;="&amp;S38,Bookings!$I$5:$I$404,"&lt;="&amp;T38,Bookings!$AM$5:$AM$404,"&lt;&gt;Cancelled"))</f>
        <v>0</v>
      </c>
      <c r="AA38" s="31">
        <f>IF(S38="","",COUNTIFS(Bookings!$I$5:$I$404,"&gt;="&amp;S38,Bookings!$I$5:$I$404,"&lt;="&amp;T38,Bookings!$AM$5:$AM$404,"Completed"))</f>
        <v>0</v>
      </c>
      <c r="AB38" s="31">
        <f>IF(S38="","",COUNTIFS(Bookings!$I$5:$I$404,"&gt;="&amp;S38,Bookings!$I$5:$I$404,"&lt;="&amp;T38,Bookings!$AM$5:$AM$404,"Cancelled"))</f>
        <v>0</v>
      </c>
      <c r="AC38" s="31">
        <f>IF(S38="","",COUNTIFS('Visit Log'!$C$5:$C$404,"&gt;="&amp;S38,'Visit Log'!$C$5:$C$404,"&lt;="&amp;T38,'Visit Log'!$AE$5:$AE$404,"Completed"))</f>
        <v>0</v>
      </c>
      <c r="AD38" s="31">
        <f>IF(S38="","",COUNTIFS(Clients!$L$5:$L$254,"&gt;="&amp;S38,Clients!$L$5:$L$254,"&lt;="&amp;T38))</f>
        <v>0</v>
      </c>
      <c r="AE38" s="32">
        <f>IF(S38="","",SUMIFS(Mileage!$M$5:$M$304,Mileage!$B$5:$B$304,"&gt;="&amp;S38,Mileage!$B$5:$B$304,"&lt;="&amp;T38,Mileage!$N$5:$N$304,"Business"))</f>
        <v>0</v>
      </c>
      <c r="AF38" s="29">
        <f>IF(S38="","",SUMIFS(Payments!$L$5:$L$304,Payments!$B$5:$B$304,"&gt;="&amp;DATE(Dash_Year-1,ROW()-4,1),Payments!$B$5:$B$304,"&lt;="&amp;EOMONTH(DATE(Dash_Year-1,ROW()-4,1),0)))</f>
        <v>0</v>
      </c>
      <c r="AG38" s="28">
        <f>IF(Staff!$B$38="","",Staff!$B$38)</f>
        <v>0</v>
      </c>
      <c r="AH38" s="31">
        <f>IF(AG38="","",COUNTIFS('Visit Log'!$G$5:$G$404,AG38,'Visit Log'!$C$5:$C$404,"&gt;="&amp;RepFrom,'Visit Log'!$C$5:$C$404,"&lt;="&amp;RepTo,'Visit Log'!$AE$5:$AE$404,"Completed"))</f>
        <v>0</v>
      </c>
      <c r="AI38" s="51">
        <f>IF(AG38="","",ROUND(SUMIFS('Visit Log'!$K$5:$K$404,'Visit Log'!$G$5:$G$404,AG38,'Visit Log'!$C$5:$C$404,"&gt;="&amp;RepFrom,'Visit Log'!$C$5:$C$404,"&lt;="&amp;RepTo,'Visit Log'!$AE$5:$AE$404,"Completed")/60,2))</f>
        <v>0</v>
      </c>
      <c r="AJ38" s="29">
        <f>IF(AG38="","",SUMIFS(Bookings!$AK$5:$AK$404,Bookings!$AL$5:$AL$404,AG38,Bookings!$I$5:$I$404,"&gt;="&amp;RepFrom,Bookings!$I$5:$I$404,"&lt;="&amp;RepTo,Bookings!$AM$5:$AM$404,"&lt;&gt;Cancelled"))</f>
        <v>0</v>
      </c>
      <c r="AK38" s="32">
        <f>IF(AG38="","",SUMIFS(Mileage!$M$5:$M$304,Mileage!$C$5:$C$304,AG38,Mileage!$B$5:$B$304,"&gt;="&amp;RepFrom,Mileage!$B$5:$B$304,"&lt;="&amp;RepTo))</f>
        <v>0</v>
      </c>
      <c r="AL38" s="28">
        <f>IF(Lists!$Q38="","",Lists!$Q38)</f>
        <v>0</v>
      </c>
      <c r="AM38" s="31">
        <f>IF(AL38="","",COUNTIFS(Bookings!$AV$5:$AV$404,AL38,Bookings!$I$5:$I$404,"&gt;="&amp;RepFrom,Bookings!$I$5:$I$404,"&lt;="&amp;RepTo))</f>
        <v>0</v>
      </c>
      <c r="AN38" s="28">
        <f>IF(Lists!$AF38="","",Lists!$AF38)</f>
        <v>0</v>
      </c>
      <c r="AO38" s="29">
        <f>IF(AN38="","",SUMIFS(Payments!$L$5:$L$304,Payments!$F$5:$F$304,AN38,Payments!$B$5:$B$304,"&gt;="&amp;RepFrom,Payments!$B$5:$B$304,"&lt;="&amp;RepTo))</f>
        <v>0</v>
      </c>
      <c r="AP38" s="28">
        <f>IF(Lists!$E38="","",Lists!$E38)</f>
        <v>0</v>
      </c>
      <c r="AQ38" s="31">
        <f>IF(AP38="","",COUNTIFS(Clients!$K$5:$K$254,AP38))</f>
        <v>0</v>
      </c>
      <c r="AR38" s="29">
        <f>IF(AP38="","",SUMIFS(Clients!$AE$5:$AE$254,Clients!$K$5:$K$254,AP38))</f>
        <v>0</v>
      </c>
    </row>
    <row r="39" spans="1:44">
      <c r="A39" s="28">
        <f>IF(Clients!$B$39="","",Clients!$B$39)</f>
        <v>0</v>
      </c>
      <c r="B39" s="29">
        <f>IF(A39="","",SUMIFS(Payments!$L$5:$L$304,Payments!$C$5:$C$304,A39,Payments!$B$5:$B$304,"&gt;="&amp;PeriodStart,Payments!$B$5:$B$304,"&lt;="&amp;PeriodEnd))</f>
        <v>0</v>
      </c>
      <c r="C39" s="51">
        <f>IF(A39="","",IF(B39&lt;=0,"",B39+ROW()/1000000))</f>
        <v>0</v>
      </c>
      <c r="D39" s="29">
        <f>IF(A39="","",SUMIFS(Payments!$L$5:$L$304,Payments!$C$5:$C$304,A39,Payments!$B$5:$B$304,"&gt;="&amp;RepFrom,Payments!$B$5:$B$304,"&lt;="&amp;RepTo))</f>
        <v>0</v>
      </c>
      <c r="E39" s="51">
        <f>IF(A39="","",IF(D39&lt;=0,"",D39+ROW()/1000000))</f>
        <v>0</v>
      </c>
      <c r="F39" s="29">
        <f>IF(A39="","",SUMIFS(Invoices!$S$5:$S$304,Invoices!$D$5:$D$304,A39,Invoices!$T$5:$T$304,"&lt;&gt;Cancelled"))</f>
        <v>0</v>
      </c>
      <c r="G39" s="51">
        <f>IF(A39="","",IF(F39&lt;=0.004,"",F39+ROW()/1000000))</f>
        <v>0</v>
      </c>
      <c r="H39" s="31">
        <f>IF(A39="","",COUNTIFS(Bookings!$C$5:$C$404,A39,Bookings!$I$5:$I$404,"&gt;="&amp;RepFrom,Bookings!$I$5:$I$404,"&lt;="&amp;RepTo,Bookings!$AM$5:$AM$404,"&lt;&gt;Cancelled"))</f>
        <v>0</v>
      </c>
      <c r="I39" s="28">
        <f>IF(Services!$B$39="","",Services!$B$39)</f>
        <v>0</v>
      </c>
      <c r="J39" s="29">
        <f>IF(I39="","",SUMIFS(Bookings!$AK$5:$AK$404,Bookings!$H$5:$H$404,I39,Bookings!$I$5:$I$404,"&gt;="&amp;PeriodStart,Bookings!$I$5:$I$404,"&lt;="&amp;PeriodEnd,Bookings!$AM$5:$AM$404,"&lt;&gt;Cancelled"))</f>
        <v>0</v>
      </c>
      <c r="K39" s="31">
        <f>IF(I39="","",COUNTIFS(Bookings!$H$5:$H$404,I39,Bookings!$I$5:$I$404,"&gt;="&amp;PeriodStart,Bookings!$I$5:$I$404,"&lt;="&amp;PeriodEnd,Bookings!$AM$5:$AM$404,"&lt;&gt;Cancelled"))</f>
        <v>0</v>
      </c>
      <c r="L39" s="29">
        <f>IF(I39="","",SUMIFS(Bookings!$AK$5:$AK$404,Bookings!$H$5:$H$404,I39,Bookings!$I$5:$I$404,"&gt;="&amp;RepFrom,Bookings!$I$5:$I$404,"&lt;="&amp;RepTo,Bookings!$AM$5:$AM$404,"&lt;&gt;Cancelled"))</f>
        <v>0</v>
      </c>
      <c r="M39" s="31">
        <f>IF(I39="","",COUNTIFS(Bookings!$H$5:$H$404,I39,Bookings!$I$5:$I$404,"&gt;="&amp;RepFrom,Bookings!$I$5:$I$404,"&lt;="&amp;RepTo,Bookings!$AM$5:$AM$404,"&lt;&gt;Cancelled"))</f>
        <v>0</v>
      </c>
      <c r="N39" s="29">
        <f>IF(I39="","",M39*IF(Services!$L$39="",0,Services!$L$39))</f>
        <v>0</v>
      </c>
      <c r="O39" s="29">
        <f>IF(I39="","",L39-N39)</f>
        <v>0</v>
      </c>
      <c r="P39" s="28">
        <f>IF(Lists!$AG39="","",Lists!$AG39)</f>
        <v>0</v>
      </c>
      <c r="Q39" s="29">
        <f>IF(P39="","",SUMIFS(Expenses!$F$5:$F$304,Expenses!$C$5:$C$304,P39,Expenses!$B$5:$B$304,"&gt;="&amp;PeriodStart,Expenses!$B$5:$B$304,"&lt;="&amp;PeriodEnd,Expenses!$J$5:$J$304,"&lt;&gt;Personal"))</f>
        <v>0</v>
      </c>
      <c r="R39" s="29">
        <f>IF(P39="","",SUMIFS(Expenses!$F$5:$F$304,Expenses!$C$5:$C$304,P39,Expenses!$B$5:$B$304,"&gt;="&amp;RepFrom,Expenses!$B$5:$B$304,"&lt;="&amp;RepTo,Expenses!$J$5:$J$304,"&lt;&gt;Personal"))</f>
        <v>0</v>
      </c>
      <c r="S39" s="21">
        <f>IF(ROW()-4&gt;12,"",DATE(Dash_Year,ROW()-4,1))</f>
        <v>0</v>
      </c>
      <c r="T39" s="21">
        <f>IF(S39="","",EOMONTH(S39,0))</f>
        <v>0</v>
      </c>
      <c r="U39" s="28">
        <f>IF(S39="","",TEXT(S39,"mmm"))</f>
        <v>0</v>
      </c>
      <c r="V39" s="29">
        <f>IF(S39="","",SUMIFS(Payments!$L$5:$L$304,Payments!$B$5:$B$304,"&gt;="&amp;S39,Payments!$B$5:$B$304,"&lt;="&amp;T39))</f>
        <v>0</v>
      </c>
      <c r="W39" s="29">
        <f>IF(S39="","",SUMIFS(Invoices!$O$5:$O$304,Invoices!$B$5:$B$304,"&gt;="&amp;S39,Invoices!$B$5:$B$304,"&lt;="&amp;T39,Invoices!$T$5:$T$304,"&lt;&gt;Cancelled"))</f>
        <v>0</v>
      </c>
      <c r="X39" s="29">
        <f>IF(S39="","",SUMIFS(Expenses!$F$5:$F$304,Expenses!$B$5:$B$304,"&gt;="&amp;S39,Expenses!$B$5:$B$304,"&lt;="&amp;T39,Expenses!$J$5:$J$304,"&lt;&gt;Personal"))</f>
        <v>0</v>
      </c>
      <c r="Y39" s="29">
        <f>IF(S39="","",V39-X39)</f>
        <v>0</v>
      </c>
      <c r="Z39" s="31">
        <f>IF(S39="","",COUNTIFS(Bookings!$I$5:$I$404,"&gt;="&amp;S39,Bookings!$I$5:$I$404,"&lt;="&amp;T39,Bookings!$AM$5:$AM$404,"&lt;&gt;Cancelled"))</f>
        <v>0</v>
      </c>
      <c r="AA39" s="31">
        <f>IF(S39="","",COUNTIFS(Bookings!$I$5:$I$404,"&gt;="&amp;S39,Bookings!$I$5:$I$404,"&lt;="&amp;T39,Bookings!$AM$5:$AM$404,"Completed"))</f>
        <v>0</v>
      </c>
      <c r="AB39" s="31">
        <f>IF(S39="","",COUNTIFS(Bookings!$I$5:$I$404,"&gt;="&amp;S39,Bookings!$I$5:$I$404,"&lt;="&amp;T39,Bookings!$AM$5:$AM$404,"Cancelled"))</f>
        <v>0</v>
      </c>
      <c r="AC39" s="31">
        <f>IF(S39="","",COUNTIFS('Visit Log'!$C$5:$C$404,"&gt;="&amp;S39,'Visit Log'!$C$5:$C$404,"&lt;="&amp;T39,'Visit Log'!$AE$5:$AE$404,"Completed"))</f>
        <v>0</v>
      </c>
      <c r="AD39" s="31">
        <f>IF(S39="","",COUNTIFS(Clients!$L$5:$L$254,"&gt;="&amp;S39,Clients!$L$5:$L$254,"&lt;="&amp;T39))</f>
        <v>0</v>
      </c>
      <c r="AE39" s="32">
        <f>IF(S39="","",SUMIFS(Mileage!$M$5:$M$304,Mileage!$B$5:$B$304,"&gt;="&amp;S39,Mileage!$B$5:$B$304,"&lt;="&amp;T39,Mileage!$N$5:$N$304,"Business"))</f>
        <v>0</v>
      </c>
      <c r="AF39" s="29">
        <f>IF(S39="","",SUMIFS(Payments!$L$5:$L$304,Payments!$B$5:$B$304,"&gt;="&amp;DATE(Dash_Year-1,ROW()-4,1),Payments!$B$5:$B$304,"&lt;="&amp;EOMONTH(DATE(Dash_Year-1,ROW()-4,1),0)))</f>
        <v>0</v>
      </c>
      <c r="AG39" s="28">
        <f>IF(Staff!$B$39="","",Staff!$B$39)</f>
        <v>0</v>
      </c>
      <c r="AH39" s="31">
        <f>IF(AG39="","",COUNTIFS('Visit Log'!$G$5:$G$404,AG39,'Visit Log'!$C$5:$C$404,"&gt;="&amp;RepFrom,'Visit Log'!$C$5:$C$404,"&lt;="&amp;RepTo,'Visit Log'!$AE$5:$AE$404,"Completed"))</f>
        <v>0</v>
      </c>
      <c r="AI39" s="51">
        <f>IF(AG39="","",ROUND(SUMIFS('Visit Log'!$K$5:$K$404,'Visit Log'!$G$5:$G$404,AG39,'Visit Log'!$C$5:$C$404,"&gt;="&amp;RepFrom,'Visit Log'!$C$5:$C$404,"&lt;="&amp;RepTo,'Visit Log'!$AE$5:$AE$404,"Completed")/60,2))</f>
        <v>0</v>
      </c>
      <c r="AJ39" s="29">
        <f>IF(AG39="","",SUMIFS(Bookings!$AK$5:$AK$404,Bookings!$AL$5:$AL$404,AG39,Bookings!$I$5:$I$404,"&gt;="&amp;RepFrom,Bookings!$I$5:$I$404,"&lt;="&amp;RepTo,Bookings!$AM$5:$AM$404,"&lt;&gt;Cancelled"))</f>
        <v>0</v>
      </c>
      <c r="AK39" s="32">
        <f>IF(AG39="","",SUMIFS(Mileage!$M$5:$M$304,Mileage!$C$5:$C$304,AG39,Mileage!$B$5:$B$304,"&gt;="&amp;RepFrom,Mileage!$B$5:$B$304,"&lt;="&amp;RepTo))</f>
        <v>0</v>
      </c>
      <c r="AL39" s="28">
        <f>IF(Lists!$Q39="","",Lists!$Q39)</f>
        <v>0</v>
      </c>
      <c r="AM39" s="31">
        <f>IF(AL39="","",COUNTIFS(Bookings!$AV$5:$AV$404,AL39,Bookings!$I$5:$I$404,"&gt;="&amp;RepFrom,Bookings!$I$5:$I$404,"&lt;="&amp;RepTo))</f>
        <v>0</v>
      </c>
      <c r="AN39" s="28">
        <f>IF(Lists!$AF39="","",Lists!$AF39)</f>
        <v>0</v>
      </c>
      <c r="AO39" s="29">
        <f>IF(AN39="","",SUMIFS(Payments!$L$5:$L$304,Payments!$F$5:$F$304,AN39,Payments!$B$5:$B$304,"&gt;="&amp;RepFrom,Payments!$B$5:$B$304,"&lt;="&amp;RepTo))</f>
        <v>0</v>
      </c>
      <c r="AP39" s="28">
        <f>IF(Lists!$E39="","",Lists!$E39)</f>
        <v>0</v>
      </c>
      <c r="AQ39" s="31">
        <f>IF(AP39="","",COUNTIFS(Clients!$K$5:$K$254,AP39))</f>
        <v>0</v>
      </c>
      <c r="AR39" s="29">
        <f>IF(AP39="","",SUMIFS(Clients!$AE$5:$AE$254,Clients!$K$5:$K$254,AP39))</f>
        <v>0</v>
      </c>
    </row>
    <row r="40" spans="1:44">
      <c r="A40" s="28">
        <f>IF(Clients!$B$40="","",Clients!$B$40)</f>
        <v>0</v>
      </c>
      <c r="B40" s="29">
        <f>IF(A40="","",SUMIFS(Payments!$L$5:$L$304,Payments!$C$5:$C$304,A40,Payments!$B$5:$B$304,"&gt;="&amp;PeriodStart,Payments!$B$5:$B$304,"&lt;="&amp;PeriodEnd))</f>
        <v>0</v>
      </c>
      <c r="C40" s="51">
        <f>IF(A40="","",IF(B40&lt;=0,"",B40+ROW()/1000000))</f>
        <v>0</v>
      </c>
      <c r="D40" s="29">
        <f>IF(A40="","",SUMIFS(Payments!$L$5:$L$304,Payments!$C$5:$C$304,A40,Payments!$B$5:$B$304,"&gt;="&amp;RepFrom,Payments!$B$5:$B$304,"&lt;="&amp;RepTo))</f>
        <v>0</v>
      </c>
      <c r="E40" s="51">
        <f>IF(A40="","",IF(D40&lt;=0,"",D40+ROW()/1000000))</f>
        <v>0</v>
      </c>
      <c r="F40" s="29">
        <f>IF(A40="","",SUMIFS(Invoices!$S$5:$S$304,Invoices!$D$5:$D$304,A40,Invoices!$T$5:$T$304,"&lt;&gt;Cancelled"))</f>
        <v>0</v>
      </c>
      <c r="G40" s="51">
        <f>IF(A40="","",IF(F40&lt;=0.004,"",F40+ROW()/1000000))</f>
        <v>0</v>
      </c>
      <c r="H40" s="31">
        <f>IF(A40="","",COUNTIFS(Bookings!$C$5:$C$404,A40,Bookings!$I$5:$I$404,"&gt;="&amp;RepFrom,Bookings!$I$5:$I$404,"&lt;="&amp;RepTo,Bookings!$AM$5:$AM$404,"&lt;&gt;Cancelled"))</f>
        <v>0</v>
      </c>
      <c r="I40" s="28">
        <f>IF(Services!$B$40="","",Services!$B$40)</f>
        <v>0</v>
      </c>
      <c r="J40" s="29">
        <f>IF(I40="","",SUMIFS(Bookings!$AK$5:$AK$404,Bookings!$H$5:$H$404,I40,Bookings!$I$5:$I$404,"&gt;="&amp;PeriodStart,Bookings!$I$5:$I$404,"&lt;="&amp;PeriodEnd,Bookings!$AM$5:$AM$404,"&lt;&gt;Cancelled"))</f>
        <v>0</v>
      </c>
      <c r="K40" s="31">
        <f>IF(I40="","",COUNTIFS(Bookings!$H$5:$H$404,I40,Bookings!$I$5:$I$404,"&gt;="&amp;PeriodStart,Bookings!$I$5:$I$404,"&lt;="&amp;PeriodEnd,Bookings!$AM$5:$AM$404,"&lt;&gt;Cancelled"))</f>
        <v>0</v>
      </c>
      <c r="L40" s="29">
        <f>IF(I40="","",SUMIFS(Bookings!$AK$5:$AK$404,Bookings!$H$5:$H$404,I40,Bookings!$I$5:$I$404,"&gt;="&amp;RepFrom,Bookings!$I$5:$I$404,"&lt;="&amp;RepTo,Bookings!$AM$5:$AM$404,"&lt;&gt;Cancelled"))</f>
        <v>0</v>
      </c>
      <c r="M40" s="31">
        <f>IF(I40="","",COUNTIFS(Bookings!$H$5:$H$404,I40,Bookings!$I$5:$I$404,"&gt;="&amp;RepFrom,Bookings!$I$5:$I$404,"&lt;="&amp;RepTo,Bookings!$AM$5:$AM$404,"&lt;&gt;Cancelled"))</f>
        <v>0</v>
      </c>
      <c r="N40" s="29">
        <f>IF(I40="","",M40*IF(Services!$L$40="",0,Services!$L$40))</f>
        <v>0</v>
      </c>
      <c r="O40" s="29">
        <f>IF(I40="","",L40-N40)</f>
        <v>0</v>
      </c>
      <c r="P40" s="28">
        <f>IF(Lists!$AG40="","",Lists!$AG40)</f>
        <v>0</v>
      </c>
      <c r="Q40" s="29">
        <f>IF(P40="","",SUMIFS(Expenses!$F$5:$F$304,Expenses!$C$5:$C$304,P40,Expenses!$B$5:$B$304,"&gt;="&amp;PeriodStart,Expenses!$B$5:$B$304,"&lt;="&amp;PeriodEnd,Expenses!$J$5:$J$304,"&lt;&gt;Personal"))</f>
        <v>0</v>
      </c>
      <c r="R40" s="29">
        <f>IF(P40="","",SUMIFS(Expenses!$F$5:$F$304,Expenses!$C$5:$C$304,P40,Expenses!$B$5:$B$304,"&gt;="&amp;RepFrom,Expenses!$B$5:$B$304,"&lt;="&amp;RepTo,Expenses!$J$5:$J$304,"&lt;&gt;Personal"))</f>
        <v>0</v>
      </c>
      <c r="S40" s="21">
        <f>IF(ROW()-4&gt;12,"",DATE(Dash_Year,ROW()-4,1))</f>
        <v>0</v>
      </c>
      <c r="T40" s="21">
        <f>IF(S40="","",EOMONTH(S40,0))</f>
        <v>0</v>
      </c>
      <c r="U40" s="28">
        <f>IF(S40="","",TEXT(S40,"mmm"))</f>
        <v>0</v>
      </c>
      <c r="V40" s="29">
        <f>IF(S40="","",SUMIFS(Payments!$L$5:$L$304,Payments!$B$5:$B$304,"&gt;="&amp;S40,Payments!$B$5:$B$304,"&lt;="&amp;T40))</f>
        <v>0</v>
      </c>
      <c r="W40" s="29">
        <f>IF(S40="","",SUMIFS(Invoices!$O$5:$O$304,Invoices!$B$5:$B$304,"&gt;="&amp;S40,Invoices!$B$5:$B$304,"&lt;="&amp;T40,Invoices!$T$5:$T$304,"&lt;&gt;Cancelled"))</f>
        <v>0</v>
      </c>
      <c r="X40" s="29">
        <f>IF(S40="","",SUMIFS(Expenses!$F$5:$F$304,Expenses!$B$5:$B$304,"&gt;="&amp;S40,Expenses!$B$5:$B$304,"&lt;="&amp;T40,Expenses!$J$5:$J$304,"&lt;&gt;Personal"))</f>
        <v>0</v>
      </c>
      <c r="Y40" s="29">
        <f>IF(S40="","",V40-X40)</f>
        <v>0</v>
      </c>
      <c r="Z40" s="31">
        <f>IF(S40="","",COUNTIFS(Bookings!$I$5:$I$404,"&gt;="&amp;S40,Bookings!$I$5:$I$404,"&lt;="&amp;T40,Bookings!$AM$5:$AM$404,"&lt;&gt;Cancelled"))</f>
        <v>0</v>
      </c>
      <c r="AA40" s="31">
        <f>IF(S40="","",COUNTIFS(Bookings!$I$5:$I$404,"&gt;="&amp;S40,Bookings!$I$5:$I$404,"&lt;="&amp;T40,Bookings!$AM$5:$AM$404,"Completed"))</f>
        <v>0</v>
      </c>
      <c r="AB40" s="31">
        <f>IF(S40="","",COUNTIFS(Bookings!$I$5:$I$404,"&gt;="&amp;S40,Bookings!$I$5:$I$404,"&lt;="&amp;T40,Bookings!$AM$5:$AM$404,"Cancelled"))</f>
        <v>0</v>
      </c>
      <c r="AC40" s="31">
        <f>IF(S40="","",COUNTIFS('Visit Log'!$C$5:$C$404,"&gt;="&amp;S40,'Visit Log'!$C$5:$C$404,"&lt;="&amp;T40,'Visit Log'!$AE$5:$AE$404,"Completed"))</f>
        <v>0</v>
      </c>
      <c r="AD40" s="31">
        <f>IF(S40="","",COUNTIFS(Clients!$L$5:$L$254,"&gt;="&amp;S40,Clients!$L$5:$L$254,"&lt;="&amp;T40))</f>
        <v>0</v>
      </c>
      <c r="AE40" s="32">
        <f>IF(S40="","",SUMIFS(Mileage!$M$5:$M$304,Mileage!$B$5:$B$304,"&gt;="&amp;S40,Mileage!$B$5:$B$304,"&lt;="&amp;T40,Mileage!$N$5:$N$304,"Business"))</f>
        <v>0</v>
      </c>
      <c r="AF40" s="29">
        <f>IF(S40="","",SUMIFS(Payments!$L$5:$L$304,Payments!$B$5:$B$304,"&gt;="&amp;DATE(Dash_Year-1,ROW()-4,1),Payments!$B$5:$B$304,"&lt;="&amp;EOMONTH(DATE(Dash_Year-1,ROW()-4,1),0)))</f>
        <v>0</v>
      </c>
      <c r="AG40" s="28">
        <f>IF(Staff!$B$40="","",Staff!$B$40)</f>
        <v>0</v>
      </c>
      <c r="AH40" s="31">
        <f>IF(AG40="","",COUNTIFS('Visit Log'!$G$5:$G$404,AG40,'Visit Log'!$C$5:$C$404,"&gt;="&amp;RepFrom,'Visit Log'!$C$5:$C$404,"&lt;="&amp;RepTo,'Visit Log'!$AE$5:$AE$404,"Completed"))</f>
        <v>0</v>
      </c>
      <c r="AI40" s="51">
        <f>IF(AG40="","",ROUND(SUMIFS('Visit Log'!$K$5:$K$404,'Visit Log'!$G$5:$G$404,AG40,'Visit Log'!$C$5:$C$404,"&gt;="&amp;RepFrom,'Visit Log'!$C$5:$C$404,"&lt;="&amp;RepTo,'Visit Log'!$AE$5:$AE$404,"Completed")/60,2))</f>
        <v>0</v>
      </c>
      <c r="AJ40" s="29">
        <f>IF(AG40="","",SUMIFS(Bookings!$AK$5:$AK$404,Bookings!$AL$5:$AL$404,AG40,Bookings!$I$5:$I$404,"&gt;="&amp;RepFrom,Bookings!$I$5:$I$404,"&lt;="&amp;RepTo,Bookings!$AM$5:$AM$404,"&lt;&gt;Cancelled"))</f>
        <v>0</v>
      </c>
      <c r="AK40" s="32">
        <f>IF(AG40="","",SUMIFS(Mileage!$M$5:$M$304,Mileage!$C$5:$C$304,AG40,Mileage!$B$5:$B$304,"&gt;="&amp;RepFrom,Mileage!$B$5:$B$304,"&lt;="&amp;RepTo))</f>
        <v>0</v>
      </c>
      <c r="AL40" s="28">
        <f>IF(Lists!$Q40="","",Lists!$Q40)</f>
        <v>0</v>
      </c>
      <c r="AM40" s="31">
        <f>IF(AL40="","",COUNTIFS(Bookings!$AV$5:$AV$404,AL40,Bookings!$I$5:$I$404,"&gt;="&amp;RepFrom,Bookings!$I$5:$I$404,"&lt;="&amp;RepTo))</f>
        <v>0</v>
      </c>
      <c r="AN40" s="28">
        <f>IF(Lists!$AF40="","",Lists!$AF40)</f>
        <v>0</v>
      </c>
      <c r="AO40" s="29">
        <f>IF(AN40="","",SUMIFS(Payments!$L$5:$L$304,Payments!$F$5:$F$304,AN40,Payments!$B$5:$B$304,"&gt;="&amp;RepFrom,Payments!$B$5:$B$304,"&lt;="&amp;RepTo))</f>
        <v>0</v>
      </c>
      <c r="AP40" s="28">
        <f>IF(Lists!$E40="","",Lists!$E40)</f>
        <v>0</v>
      </c>
      <c r="AQ40" s="31">
        <f>IF(AP40="","",COUNTIFS(Clients!$K$5:$K$254,AP40))</f>
        <v>0</v>
      </c>
      <c r="AR40" s="29">
        <f>IF(AP40="","",SUMIFS(Clients!$AE$5:$AE$254,Clients!$K$5:$K$254,AP40))</f>
        <v>0</v>
      </c>
    </row>
    <row r="41" spans="1:44">
      <c r="A41" s="28">
        <f>IF(Clients!$B$41="","",Clients!$B$41)</f>
        <v>0</v>
      </c>
      <c r="B41" s="29">
        <f>IF(A41="","",SUMIFS(Payments!$L$5:$L$304,Payments!$C$5:$C$304,A41,Payments!$B$5:$B$304,"&gt;="&amp;PeriodStart,Payments!$B$5:$B$304,"&lt;="&amp;PeriodEnd))</f>
        <v>0</v>
      </c>
      <c r="C41" s="51">
        <f>IF(A41="","",IF(B41&lt;=0,"",B41+ROW()/1000000))</f>
        <v>0</v>
      </c>
      <c r="D41" s="29">
        <f>IF(A41="","",SUMIFS(Payments!$L$5:$L$304,Payments!$C$5:$C$304,A41,Payments!$B$5:$B$304,"&gt;="&amp;RepFrom,Payments!$B$5:$B$304,"&lt;="&amp;RepTo))</f>
        <v>0</v>
      </c>
      <c r="E41" s="51">
        <f>IF(A41="","",IF(D41&lt;=0,"",D41+ROW()/1000000))</f>
        <v>0</v>
      </c>
      <c r="F41" s="29">
        <f>IF(A41="","",SUMIFS(Invoices!$S$5:$S$304,Invoices!$D$5:$D$304,A41,Invoices!$T$5:$T$304,"&lt;&gt;Cancelled"))</f>
        <v>0</v>
      </c>
      <c r="G41" s="51">
        <f>IF(A41="","",IF(F41&lt;=0.004,"",F41+ROW()/1000000))</f>
        <v>0</v>
      </c>
      <c r="H41" s="31">
        <f>IF(A41="","",COUNTIFS(Bookings!$C$5:$C$404,A41,Bookings!$I$5:$I$404,"&gt;="&amp;RepFrom,Bookings!$I$5:$I$404,"&lt;="&amp;RepTo,Bookings!$AM$5:$AM$404,"&lt;&gt;Cancelled"))</f>
        <v>0</v>
      </c>
      <c r="I41" s="28">
        <f>IF(Services!$B$41="","",Services!$B$41)</f>
        <v>0</v>
      </c>
      <c r="J41" s="29">
        <f>IF(I41="","",SUMIFS(Bookings!$AK$5:$AK$404,Bookings!$H$5:$H$404,I41,Bookings!$I$5:$I$404,"&gt;="&amp;PeriodStart,Bookings!$I$5:$I$404,"&lt;="&amp;PeriodEnd,Bookings!$AM$5:$AM$404,"&lt;&gt;Cancelled"))</f>
        <v>0</v>
      </c>
      <c r="K41" s="31">
        <f>IF(I41="","",COUNTIFS(Bookings!$H$5:$H$404,I41,Bookings!$I$5:$I$404,"&gt;="&amp;PeriodStart,Bookings!$I$5:$I$404,"&lt;="&amp;PeriodEnd,Bookings!$AM$5:$AM$404,"&lt;&gt;Cancelled"))</f>
        <v>0</v>
      </c>
      <c r="L41" s="29">
        <f>IF(I41="","",SUMIFS(Bookings!$AK$5:$AK$404,Bookings!$H$5:$H$404,I41,Bookings!$I$5:$I$404,"&gt;="&amp;RepFrom,Bookings!$I$5:$I$404,"&lt;="&amp;RepTo,Bookings!$AM$5:$AM$404,"&lt;&gt;Cancelled"))</f>
        <v>0</v>
      </c>
      <c r="M41" s="31">
        <f>IF(I41="","",COUNTIFS(Bookings!$H$5:$H$404,I41,Bookings!$I$5:$I$404,"&gt;="&amp;RepFrom,Bookings!$I$5:$I$404,"&lt;="&amp;RepTo,Bookings!$AM$5:$AM$404,"&lt;&gt;Cancelled"))</f>
        <v>0</v>
      </c>
      <c r="N41" s="29">
        <f>IF(I41="","",M41*IF(Services!$L$41="",0,Services!$L$41))</f>
        <v>0</v>
      </c>
      <c r="O41" s="29">
        <f>IF(I41="","",L41-N41)</f>
        <v>0</v>
      </c>
      <c r="P41" s="28">
        <f>IF(Lists!$AG41="","",Lists!$AG41)</f>
        <v>0</v>
      </c>
      <c r="Q41" s="29">
        <f>IF(P41="","",SUMIFS(Expenses!$F$5:$F$304,Expenses!$C$5:$C$304,P41,Expenses!$B$5:$B$304,"&gt;="&amp;PeriodStart,Expenses!$B$5:$B$304,"&lt;="&amp;PeriodEnd,Expenses!$J$5:$J$304,"&lt;&gt;Personal"))</f>
        <v>0</v>
      </c>
      <c r="R41" s="29">
        <f>IF(P41="","",SUMIFS(Expenses!$F$5:$F$304,Expenses!$C$5:$C$304,P41,Expenses!$B$5:$B$304,"&gt;="&amp;RepFrom,Expenses!$B$5:$B$304,"&lt;="&amp;RepTo,Expenses!$J$5:$J$304,"&lt;&gt;Personal"))</f>
        <v>0</v>
      </c>
      <c r="S41" s="21">
        <f>IF(ROW()-4&gt;12,"",DATE(Dash_Year,ROW()-4,1))</f>
        <v>0</v>
      </c>
      <c r="T41" s="21">
        <f>IF(S41="","",EOMONTH(S41,0))</f>
        <v>0</v>
      </c>
      <c r="U41" s="28">
        <f>IF(S41="","",TEXT(S41,"mmm"))</f>
        <v>0</v>
      </c>
      <c r="V41" s="29">
        <f>IF(S41="","",SUMIFS(Payments!$L$5:$L$304,Payments!$B$5:$B$304,"&gt;="&amp;S41,Payments!$B$5:$B$304,"&lt;="&amp;T41))</f>
        <v>0</v>
      </c>
      <c r="W41" s="29">
        <f>IF(S41="","",SUMIFS(Invoices!$O$5:$O$304,Invoices!$B$5:$B$304,"&gt;="&amp;S41,Invoices!$B$5:$B$304,"&lt;="&amp;T41,Invoices!$T$5:$T$304,"&lt;&gt;Cancelled"))</f>
        <v>0</v>
      </c>
      <c r="X41" s="29">
        <f>IF(S41="","",SUMIFS(Expenses!$F$5:$F$304,Expenses!$B$5:$B$304,"&gt;="&amp;S41,Expenses!$B$5:$B$304,"&lt;="&amp;T41,Expenses!$J$5:$J$304,"&lt;&gt;Personal"))</f>
        <v>0</v>
      </c>
      <c r="Y41" s="29">
        <f>IF(S41="","",V41-X41)</f>
        <v>0</v>
      </c>
      <c r="Z41" s="31">
        <f>IF(S41="","",COUNTIFS(Bookings!$I$5:$I$404,"&gt;="&amp;S41,Bookings!$I$5:$I$404,"&lt;="&amp;T41,Bookings!$AM$5:$AM$404,"&lt;&gt;Cancelled"))</f>
        <v>0</v>
      </c>
      <c r="AA41" s="31">
        <f>IF(S41="","",COUNTIFS(Bookings!$I$5:$I$404,"&gt;="&amp;S41,Bookings!$I$5:$I$404,"&lt;="&amp;T41,Bookings!$AM$5:$AM$404,"Completed"))</f>
        <v>0</v>
      </c>
      <c r="AB41" s="31">
        <f>IF(S41="","",COUNTIFS(Bookings!$I$5:$I$404,"&gt;="&amp;S41,Bookings!$I$5:$I$404,"&lt;="&amp;T41,Bookings!$AM$5:$AM$404,"Cancelled"))</f>
        <v>0</v>
      </c>
      <c r="AC41" s="31">
        <f>IF(S41="","",COUNTIFS('Visit Log'!$C$5:$C$404,"&gt;="&amp;S41,'Visit Log'!$C$5:$C$404,"&lt;="&amp;T41,'Visit Log'!$AE$5:$AE$404,"Completed"))</f>
        <v>0</v>
      </c>
      <c r="AD41" s="31">
        <f>IF(S41="","",COUNTIFS(Clients!$L$5:$L$254,"&gt;="&amp;S41,Clients!$L$5:$L$254,"&lt;="&amp;T41))</f>
        <v>0</v>
      </c>
      <c r="AE41" s="32">
        <f>IF(S41="","",SUMIFS(Mileage!$M$5:$M$304,Mileage!$B$5:$B$304,"&gt;="&amp;S41,Mileage!$B$5:$B$304,"&lt;="&amp;T41,Mileage!$N$5:$N$304,"Business"))</f>
        <v>0</v>
      </c>
      <c r="AF41" s="29">
        <f>IF(S41="","",SUMIFS(Payments!$L$5:$L$304,Payments!$B$5:$B$304,"&gt;="&amp;DATE(Dash_Year-1,ROW()-4,1),Payments!$B$5:$B$304,"&lt;="&amp;EOMONTH(DATE(Dash_Year-1,ROW()-4,1),0)))</f>
        <v>0</v>
      </c>
      <c r="AG41" s="28">
        <f>IF(Staff!$B$41="","",Staff!$B$41)</f>
        <v>0</v>
      </c>
      <c r="AH41" s="31">
        <f>IF(AG41="","",COUNTIFS('Visit Log'!$G$5:$G$404,AG41,'Visit Log'!$C$5:$C$404,"&gt;="&amp;RepFrom,'Visit Log'!$C$5:$C$404,"&lt;="&amp;RepTo,'Visit Log'!$AE$5:$AE$404,"Completed"))</f>
        <v>0</v>
      </c>
      <c r="AI41" s="51">
        <f>IF(AG41="","",ROUND(SUMIFS('Visit Log'!$K$5:$K$404,'Visit Log'!$G$5:$G$404,AG41,'Visit Log'!$C$5:$C$404,"&gt;="&amp;RepFrom,'Visit Log'!$C$5:$C$404,"&lt;="&amp;RepTo,'Visit Log'!$AE$5:$AE$404,"Completed")/60,2))</f>
        <v>0</v>
      </c>
      <c r="AJ41" s="29">
        <f>IF(AG41="","",SUMIFS(Bookings!$AK$5:$AK$404,Bookings!$AL$5:$AL$404,AG41,Bookings!$I$5:$I$404,"&gt;="&amp;RepFrom,Bookings!$I$5:$I$404,"&lt;="&amp;RepTo,Bookings!$AM$5:$AM$404,"&lt;&gt;Cancelled"))</f>
        <v>0</v>
      </c>
      <c r="AK41" s="32">
        <f>IF(AG41="","",SUMIFS(Mileage!$M$5:$M$304,Mileage!$C$5:$C$304,AG41,Mileage!$B$5:$B$304,"&gt;="&amp;RepFrom,Mileage!$B$5:$B$304,"&lt;="&amp;RepTo))</f>
        <v>0</v>
      </c>
      <c r="AL41" s="28">
        <f>IF(Lists!$Q41="","",Lists!$Q41)</f>
        <v>0</v>
      </c>
      <c r="AM41" s="31">
        <f>IF(AL41="","",COUNTIFS(Bookings!$AV$5:$AV$404,AL41,Bookings!$I$5:$I$404,"&gt;="&amp;RepFrom,Bookings!$I$5:$I$404,"&lt;="&amp;RepTo))</f>
        <v>0</v>
      </c>
      <c r="AN41" s="28">
        <f>IF(Lists!$AF41="","",Lists!$AF41)</f>
        <v>0</v>
      </c>
      <c r="AO41" s="29">
        <f>IF(AN41="","",SUMIFS(Payments!$L$5:$L$304,Payments!$F$5:$F$304,AN41,Payments!$B$5:$B$304,"&gt;="&amp;RepFrom,Payments!$B$5:$B$304,"&lt;="&amp;RepTo))</f>
        <v>0</v>
      </c>
      <c r="AP41" s="28">
        <f>IF(Lists!$E41="","",Lists!$E41)</f>
        <v>0</v>
      </c>
      <c r="AQ41" s="31">
        <f>IF(AP41="","",COUNTIFS(Clients!$K$5:$K$254,AP41))</f>
        <v>0</v>
      </c>
      <c r="AR41" s="29">
        <f>IF(AP41="","",SUMIFS(Clients!$AE$5:$AE$254,Clients!$K$5:$K$254,AP41))</f>
        <v>0</v>
      </c>
    </row>
    <row r="42" spans="1:44">
      <c r="A42" s="28">
        <f>IF(Clients!$B$42="","",Clients!$B$42)</f>
        <v>0</v>
      </c>
      <c r="B42" s="29">
        <f>IF(A42="","",SUMIFS(Payments!$L$5:$L$304,Payments!$C$5:$C$304,A42,Payments!$B$5:$B$304,"&gt;="&amp;PeriodStart,Payments!$B$5:$B$304,"&lt;="&amp;PeriodEnd))</f>
        <v>0</v>
      </c>
      <c r="C42" s="51">
        <f>IF(A42="","",IF(B42&lt;=0,"",B42+ROW()/1000000))</f>
        <v>0</v>
      </c>
      <c r="D42" s="29">
        <f>IF(A42="","",SUMIFS(Payments!$L$5:$L$304,Payments!$C$5:$C$304,A42,Payments!$B$5:$B$304,"&gt;="&amp;RepFrom,Payments!$B$5:$B$304,"&lt;="&amp;RepTo))</f>
        <v>0</v>
      </c>
      <c r="E42" s="51">
        <f>IF(A42="","",IF(D42&lt;=0,"",D42+ROW()/1000000))</f>
        <v>0</v>
      </c>
      <c r="F42" s="29">
        <f>IF(A42="","",SUMIFS(Invoices!$S$5:$S$304,Invoices!$D$5:$D$304,A42,Invoices!$T$5:$T$304,"&lt;&gt;Cancelled"))</f>
        <v>0</v>
      </c>
      <c r="G42" s="51">
        <f>IF(A42="","",IF(F42&lt;=0.004,"",F42+ROW()/1000000))</f>
        <v>0</v>
      </c>
      <c r="H42" s="31">
        <f>IF(A42="","",COUNTIFS(Bookings!$C$5:$C$404,A42,Bookings!$I$5:$I$404,"&gt;="&amp;RepFrom,Bookings!$I$5:$I$404,"&lt;="&amp;RepTo,Bookings!$AM$5:$AM$404,"&lt;&gt;Cancelled"))</f>
        <v>0</v>
      </c>
      <c r="I42" s="28">
        <f>IF(Services!$B$42="","",Services!$B$42)</f>
        <v>0</v>
      </c>
      <c r="J42" s="29">
        <f>IF(I42="","",SUMIFS(Bookings!$AK$5:$AK$404,Bookings!$H$5:$H$404,I42,Bookings!$I$5:$I$404,"&gt;="&amp;PeriodStart,Bookings!$I$5:$I$404,"&lt;="&amp;PeriodEnd,Bookings!$AM$5:$AM$404,"&lt;&gt;Cancelled"))</f>
        <v>0</v>
      </c>
      <c r="K42" s="31">
        <f>IF(I42="","",COUNTIFS(Bookings!$H$5:$H$404,I42,Bookings!$I$5:$I$404,"&gt;="&amp;PeriodStart,Bookings!$I$5:$I$404,"&lt;="&amp;PeriodEnd,Bookings!$AM$5:$AM$404,"&lt;&gt;Cancelled"))</f>
        <v>0</v>
      </c>
      <c r="L42" s="29">
        <f>IF(I42="","",SUMIFS(Bookings!$AK$5:$AK$404,Bookings!$H$5:$H$404,I42,Bookings!$I$5:$I$404,"&gt;="&amp;RepFrom,Bookings!$I$5:$I$404,"&lt;="&amp;RepTo,Bookings!$AM$5:$AM$404,"&lt;&gt;Cancelled"))</f>
        <v>0</v>
      </c>
      <c r="M42" s="31">
        <f>IF(I42="","",COUNTIFS(Bookings!$H$5:$H$404,I42,Bookings!$I$5:$I$404,"&gt;="&amp;RepFrom,Bookings!$I$5:$I$404,"&lt;="&amp;RepTo,Bookings!$AM$5:$AM$404,"&lt;&gt;Cancelled"))</f>
        <v>0</v>
      </c>
      <c r="N42" s="29">
        <f>IF(I42="","",M42*IF(Services!$L$42="",0,Services!$L$42))</f>
        <v>0</v>
      </c>
      <c r="O42" s="29">
        <f>IF(I42="","",L42-N42)</f>
        <v>0</v>
      </c>
      <c r="P42" s="28">
        <f>IF(Lists!$AG42="","",Lists!$AG42)</f>
        <v>0</v>
      </c>
      <c r="Q42" s="29">
        <f>IF(P42="","",SUMIFS(Expenses!$F$5:$F$304,Expenses!$C$5:$C$304,P42,Expenses!$B$5:$B$304,"&gt;="&amp;PeriodStart,Expenses!$B$5:$B$304,"&lt;="&amp;PeriodEnd,Expenses!$J$5:$J$304,"&lt;&gt;Personal"))</f>
        <v>0</v>
      </c>
      <c r="R42" s="29">
        <f>IF(P42="","",SUMIFS(Expenses!$F$5:$F$304,Expenses!$C$5:$C$304,P42,Expenses!$B$5:$B$304,"&gt;="&amp;RepFrom,Expenses!$B$5:$B$304,"&lt;="&amp;RepTo,Expenses!$J$5:$J$304,"&lt;&gt;Personal"))</f>
        <v>0</v>
      </c>
      <c r="S42" s="21">
        <f>IF(ROW()-4&gt;12,"",DATE(Dash_Year,ROW()-4,1))</f>
        <v>0</v>
      </c>
      <c r="T42" s="21">
        <f>IF(S42="","",EOMONTH(S42,0))</f>
        <v>0</v>
      </c>
      <c r="U42" s="28">
        <f>IF(S42="","",TEXT(S42,"mmm"))</f>
        <v>0</v>
      </c>
      <c r="V42" s="29">
        <f>IF(S42="","",SUMIFS(Payments!$L$5:$L$304,Payments!$B$5:$B$304,"&gt;="&amp;S42,Payments!$B$5:$B$304,"&lt;="&amp;T42))</f>
        <v>0</v>
      </c>
      <c r="W42" s="29">
        <f>IF(S42="","",SUMIFS(Invoices!$O$5:$O$304,Invoices!$B$5:$B$304,"&gt;="&amp;S42,Invoices!$B$5:$B$304,"&lt;="&amp;T42,Invoices!$T$5:$T$304,"&lt;&gt;Cancelled"))</f>
        <v>0</v>
      </c>
      <c r="X42" s="29">
        <f>IF(S42="","",SUMIFS(Expenses!$F$5:$F$304,Expenses!$B$5:$B$304,"&gt;="&amp;S42,Expenses!$B$5:$B$304,"&lt;="&amp;T42,Expenses!$J$5:$J$304,"&lt;&gt;Personal"))</f>
        <v>0</v>
      </c>
      <c r="Y42" s="29">
        <f>IF(S42="","",V42-X42)</f>
        <v>0</v>
      </c>
      <c r="Z42" s="31">
        <f>IF(S42="","",COUNTIFS(Bookings!$I$5:$I$404,"&gt;="&amp;S42,Bookings!$I$5:$I$404,"&lt;="&amp;T42,Bookings!$AM$5:$AM$404,"&lt;&gt;Cancelled"))</f>
        <v>0</v>
      </c>
      <c r="AA42" s="31">
        <f>IF(S42="","",COUNTIFS(Bookings!$I$5:$I$404,"&gt;="&amp;S42,Bookings!$I$5:$I$404,"&lt;="&amp;T42,Bookings!$AM$5:$AM$404,"Completed"))</f>
        <v>0</v>
      </c>
      <c r="AB42" s="31">
        <f>IF(S42="","",COUNTIFS(Bookings!$I$5:$I$404,"&gt;="&amp;S42,Bookings!$I$5:$I$404,"&lt;="&amp;T42,Bookings!$AM$5:$AM$404,"Cancelled"))</f>
        <v>0</v>
      </c>
      <c r="AC42" s="31">
        <f>IF(S42="","",COUNTIFS('Visit Log'!$C$5:$C$404,"&gt;="&amp;S42,'Visit Log'!$C$5:$C$404,"&lt;="&amp;T42,'Visit Log'!$AE$5:$AE$404,"Completed"))</f>
        <v>0</v>
      </c>
      <c r="AD42" s="31">
        <f>IF(S42="","",COUNTIFS(Clients!$L$5:$L$254,"&gt;="&amp;S42,Clients!$L$5:$L$254,"&lt;="&amp;T42))</f>
        <v>0</v>
      </c>
      <c r="AE42" s="32">
        <f>IF(S42="","",SUMIFS(Mileage!$M$5:$M$304,Mileage!$B$5:$B$304,"&gt;="&amp;S42,Mileage!$B$5:$B$304,"&lt;="&amp;T42,Mileage!$N$5:$N$304,"Business"))</f>
        <v>0</v>
      </c>
      <c r="AF42" s="29">
        <f>IF(S42="","",SUMIFS(Payments!$L$5:$L$304,Payments!$B$5:$B$304,"&gt;="&amp;DATE(Dash_Year-1,ROW()-4,1),Payments!$B$5:$B$304,"&lt;="&amp;EOMONTH(DATE(Dash_Year-1,ROW()-4,1),0)))</f>
        <v>0</v>
      </c>
      <c r="AG42" s="28">
        <f>IF(Staff!$B$42="","",Staff!$B$42)</f>
        <v>0</v>
      </c>
      <c r="AH42" s="31">
        <f>IF(AG42="","",COUNTIFS('Visit Log'!$G$5:$G$404,AG42,'Visit Log'!$C$5:$C$404,"&gt;="&amp;RepFrom,'Visit Log'!$C$5:$C$404,"&lt;="&amp;RepTo,'Visit Log'!$AE$5:$AE$404,"Completed"))</f>
        <v>0</v>
      </c>
      <c r="AI42" s="51">
        <f>IF(AG42="","",ROUND(SUMIFS('Visit Log'!$K$5:$K$404,'Visit Log'!$G$5:$G$404,AG42,'Visit Log'!$C$5:$C$404,"&gt;="&amp;RepFrom,'Visit Log'!$C$5:$C$404,"&lt;="&amp;RepTo,'Visit Log'!$AE$5:$AE$404,"Completed")/60,2))</f>
        <v>0</v>
      </c>
      <c r="AJ42" s="29">
        <f>IF(AG42="","",SUMIFS(Bookings!$AK$5:$AK$404,Bookings!$AL$5:$AL$404,AG42,Bookings!$I$5:$I$404,"&gt;="&amp;RepFrom,Bookings!$I$5:$I$404,"&lt;="&amp;RepTo,Bookings!$AM$5:$AM$404,"&lt;&gt;Cancelled"))</f>
        <v>0</v>
      </c>
      <c r="AK42" s="32">
        <f>IF(AG42="","",SUMIFS(Mileage!$M$5:$M$304,Mileage!$C$5:$C$304,AG42,Mileage!$B$5:$B$304,"&gt;="&amp;RepFrom,Mileage!$B$5:$B$304,"&lt;="&amp;RepTo))</f>
        <v>0</v>
      </c>
      <c r="AL42" s="28">
        <f>IF(Lists!$Q42="","",Lists!$Q42)</f>
        <v>0</v>
      </c>
      <c r="AM42" s="31">
        <f>IF(AL42="","",COUNTIFS(Bookings!$AV$5:$AV$404,AL42,Bookings!$I$5:$I$404,"&gt;="&amp;RepFrom,Bookings!$I$5:$I$404,"&lt;="&amp;RepTo))</f>
        <v>0</v>
      </c>
      <c r="AN42" s="28">
        <f>IF(Lists!$AF42="","",Lists!$AF42)</f>
        <v>0</v>
      </c>
      <c r="AO42" s="29">
        <f>IF(AN42="","",SUMIFS(Payments!$L$5:$L$304,Payments!$F$5:$F$304,AN42,Payments!$B$5:$B$304,"&gt;="&amp;RepFrom,Payments!$B$5:$B$304,"&lt;="&amp;RepTo))</f>
        <v>0</v>
      </c>
      <c r="AP42" s="28">
        <f>IF(Lists!$E42="","",Lists!$E42)</f>
        <v>0</v>
      </c>
      <c r="AQ42" s="31">
        <f>IF(AP42="","",COUNTIFS(Clients!$K$5:$K$254,AP42))</f>
        <v>0</v>
      </c>
      <c r="AR42" s="29">
        <f>IF(AP42="","",SUMIFS(Clients!$AE$5:$AE$254,Clients!$K$5:$K$254,AP42))</f>
        <v>0</v>
      </c>
    </row>
    <row r="43" spans="1:44">
      <c r="A43" s="28">
        <f>IF(Clients!$B$43="","",Clients!$B$43)</f>
        <v>0</v>
      </c>
      <c r="B43" s="29">
        <f>IF(A43="","",SUMIFS(Payments!$L$5:$L$304,Payments!$C$5:$C$304,A43,Payments!$B$5:$B$304,"&gt;="&amp;PeriodStart,Payments!$B$5:$B$304,"&lt;="&amp;PeriodEnd))</f>
        <v>0</v>
      </c>
      <c r="C43" s="51">
        <f>IF(A43="","",IF(B43&lt;=0,"",B43+ROW()/1000000))</f>
        <v>0</v>
      </c>
      <c r="D43" s="29">
        <f>IF(A43="","",SUMIFS(Payments!$L$5:$L$304,Payments!$C$5:$C$304,A43,Payments!$B$5:$B$304,"&gt;="&amp;RepFrom,Payments!$B$5:$B$304,"&lt;="&amp;RepTo))</f>
        <v>0</v>
      </c>
      <c r="E43" s="51">
        <f>IF(A43="","",IF(D43&lt;=0,"",D43+ROW()/1000000))</f>
        <v>0</v>
      </c>
      <c r="F43" s="29">
        <f>IF(A43="","",SUMIFS(Invoices!$S$5:$S$304,Invoices!$D$5:$D$304,A43,Invoices!$T$5:$T$304,"&lt;&gt;Cancelled"))</f>
        <v>0</v>
      </c>
      <c r="G43" s="51">
        <f>IF(A43="","",IF(F43&lt;=0.004,"",F43+ROW()/1000000))</f>
        <v>0</v>
      </c>
      <c r="H43" s="31">
        <f>IF(A43="","",COUNTIFS(Bookings!$C$5:$C$404,A43,Bookings!$I$5:$I$404,"&gt;="&amp;RepFrom,Bookings!$I$5:$I$404,"&lt;="&amp;RepTo,Bookings!$AM$5:$AM$404,"&lt;&gt;Cancelled"))</f>
        <v>0</v>
      </c>
      <c r="I43" s="28">
        <f>IF(Services!$B$43="","",Services!$B$43)</f>
        <v>0</v>
      </c>
      <c r="J43" s="29">
        <f>IF(I43="","",SUMIFS(Bookings!$AK$5:$AK$404,Bookings!$H$5:$H$404,I43,Bookings!$I$5:$I$404,"&gt;="&amp;PeriodStart,Bookings!$I$5:$I$404,"&lt;="&amp;PeriodEnd,Bookings!$AM$5:$AM$404,"&lt;&gt;Cancelled"))</f>
        <v>0</v>
      </c>
      <c r="K43" s="31">
        <f>IF(I43="","",COUNTIFS(Bookings!$H$5:$H$404,I43,Bookings!$I$5:$I$404,"&gt;="&amp;PeriodStart,Bookings!$I$5:$I$404,"&lt;="&amp;PeriodEnd,Bookings!$AM$5:$AM$404,"&lt;&gt;Cancelled"))</f>
        <v>0</v>
      </c>
      <c r="L43" s="29">
        <f>IF(I43="","",SUMIFS(Bookings!$AK$5:$AK$404,Bookings!$H$5:$H$404,I43,Bookings!$I$5:$I$404,"&gt;="&amp;RepFrom,Bookings!$I$5:$I$404,"&lt;="&amp;RepTo,Bookings!$AM$5:$AM$404,"&lt;&gt;Cancelled"))</f>
        <v>0</v>
      </c>
      <c r="M43" s="31">
        <f>IF(I43="","",COUNTIFS(Bookings!$H$5:$H$404,I43,Bookings!$I$5:$I$404,"&gt;="&amp;RepFrom,Bookings!$I$5:$I$404,"&lt;="&amp;RepTo,Bookings!$AM$5:$AM$404,"&lt;&gt;Cancelled"))</f>
        <v>0</v>
      </c>
      <c r="N43" s="29">
        <f>IF(I43="","",M43*IF(Services!$L$43="",0,Services!$L$43))</f>
        <v>0</v>
      </c>
      <c r="O43" s="29">
        <f>IF(I43="","",L43-N43)</f>
        <v>0</v>
      </c>
      <c r="P43" s="28">
        <f>IF(Lists!$AG43="","",Lists!$AG43)</f>
        <v>0</v>
      </c>
      <c r="Q43" s="29">
        <f>IF(P43="","",SUMIFS(Expenses!$F$5:$F$304,Expenses!$C$5:$C$304,P43,Expenses!$B$5:$B$304,"&gt;="&amp;PeriodStart,Expenses!$B$5:$B$304,"&lt;="&amp;PeriodEnd,Expenses!$J$5:$J$304,"&lt;&gt;Personal"))</f>
        <v>0</v>
      </c>
      <c r="R43" s="29">
        <f>IF(P43="","",SUMIFS(Expenses!$F$5:$F$304,Expenses!$C$5:$C$304,P43,Expenses!$B$5:$B$304,"&gt;="&amp;RepFrom,Expenses!$B$5:$B$304,"&lt;="&amp;RepTo,Expenses!$J$5:$J$304,"&lt;&gt;Personal"))</f>
        <v>0</v>
      </c>
      <c r="S43" s="21">
        <f>IF(ROW()-4&gt;12,"",DATE(Dash_Year,ROW()-4,1))</f>
        <v>0</v>
      </c>
      <c r="T43" s="21">
        <f>IF(S43="","",EOMONTH(S43,0))</f>
        <v>0</v>
      </c>
      <c r="U43" s="28">
        <f>IF(S43="","",TEXT(S43,"mmm"))</f>
        <v>0</v>
      </c>
      <c r="V43" s="29">
        <f>IF(S43="","",SUMIFS(Payments!$L$5:$L$304,Payments!$B$5:$B$304,"&gt;="&amp;S43,Payments!$B$5:$B$304,"&lt;="&amp;T43))</f>
        <v>0</v>
      </c>
      <c r="W43" s="29">
        <f>IF(S43="","",SUMIFS(Invoices!$O$5:$O$304,Invoices!$B$5:$B$304,"&gt;="&amp;S43,Invoices!$B$5:$B$304,"&lt;="&amp;T43,Invoices!$T$5:$T$304,"&lt;&gt;Cancelled"))</f>
        <v>0</v>
      </c>
      <c r="X43" s="29">
        <f>IF(S43="","",SUMIFS(Expenses!$F$5:$F$304,Expenses!$B$5:$B$304,"&gt;="&amp;S43,Expenses!$B$5:$B$304,"&lt;="&amp;T43,Expenses!$J$5:$J$304,"&lt;&gt;Personal"))</f>
        <v>0</v>
      </c>
      <c r="Y43" s="29">
        <f>IF(S43="","",V43-X43)</f>
        <v>0</v>
      </c>
      <c r="Z43" s="31">
        <f>IF(S43="","",COUNTIFS(Bookings!$I$5:$I$404,"&gt;="&amp;S43,Bookings!$I$5:$I$404,"&lt;="&amp;T43,Bookings!$AM$5:$AM$404,"&lt;&gt;Cancelled"))</f>
        <v>0</v>
      </c>
      <c r="AA43" s="31">
        <f>IF(S43="","",COUNTIFS(Bookings!$I$5:$I$404,"&gt;="&amp;S43,Bookings!$I$5:$I$404,"&lt;="&amp;T43,Bookings!$AM$5:$AM$404,"Completed"))</f>
        <v>0</v>
      </c>
      <c r="AB43" s="31">
        <f>IF(S43="","",COUNTIFS(Bookings!$I$5:$I$404,"&gt;="&amp;S43,Bookings!$I$5:$I$404,"&lt;="&amp;T43,Bookings!$AM$5:$AM$404,"Cancelled"))</f>
        <v>0</v>
      </c>
      <c r="AC43" s="31">
        <f>IF(S43="","",COUNTIFS('Visit Log'!$C$5:$C$404,"&gt;="&amp;S43,'Visit Log'!$C$5:$C$404,"&lt;="&amp;T43,'Visit Log'!$AE$5:$AE$404,"Completed"))</f>
        <v>0</v>
      </c>
      <c r="AD43" s="31">
        <f>IF(S43="","",COUNTIFS(Clients!$L$5:$L$254,"&gt;="&amp;S43,Clients!$L$5:$L$254,"&lt;="&amp;T43))</f>
        <v>0</v>
      </c>
      <c r="AE43" s="32">
        <f>IF(S43="","",SUMIFS(Mileage!$M$5:$M$304,Mileage!$B$5:$B$304,"&gt;="&amp;S43,Mileage!$B$5:$B$304,"&lt;="&amp;T43,Mileage!$N$5:$N$304,"Business"))</f>
        <v>0</v>
      </c>
      <c r="AF43" s="29">
        <f>IF(S43="","",SUMIFS(Payments!$L$5:$L$304,Payments!$B$5:$B$304,"&gt;="&amp;DATE(Dash_Year-1,ROW()-4,1),Payments!$B$5:$B$304,"&lt;="&amp;EOMONTH(DATE(Dash_Year-1,ROW()-4,1),0)))</f>
        <v>0</v>
      </c>
      <c r="AG43" s="28">
        <f>IF(Staff!$B$43="","",Staff!$B$43)</f>
        <v>0</v>
      </c>
      <c r="AH43" s="31">
        <f>IF(AG43="","",COUNTIFS('Visit Log'!$G$5:$G$404,AG43,'Visit Log'!$C$5:$C$404,"&gt;="&amp;RepFrom,'Visit Log'!$C$5:$C$404,"&lt;="&amp;RepTo,'Visit Log'!$AE$5:$AE$404,"Completed"))</f>
        <v>0</v>
      </c>
      <c r="AI43" s="51">
        <f>IF(AG43="","",ROUND(SUMIFS('Visit Log'!$K$5:$K$404,'Visit Log'!$G$5:$G$404,AG43,'Visit Log'!$C$5:$C$404,"&gt;="&amp;RepFrom,'Visit Log'!$C$5:$C$404,"&lt;="&amp;RepTo,'Visit Log'!$AE$5:$AE$404,"Completed")/60,2))</f>
        <v>0</v>
      </c>
      <c r="AJ43" s="29">
        <f>IF(AG43="","",SUMIFS(Bookings!$AK$5:$AK$404,Bookings!$AL$5:$AL$404,AG43,Bookings!$I$5:$I$404,"&gt;="&amp;RepFrom,Bookings!$I$5:$I$404,"&lt;="&amp;RepTo,Bookings!$AM$5:$AM$404,"&lt;&gt;Cancelled"))</f>
        <v>0</v>
      </c>
      <c r="AK43" s="32">
        <f>IF(AG43="","",SUMIFS(Mileage!$M$5:$M$304,Mileage!$C$5:$C$304,AG43,Mileage!$B$5:$B$304,"&gt;="&amp;RepFrom,Mileage!$B$5:$B$304,"&lt;="&amp;RepTo))</f>
        <v>0</v>
      </c>
      <c r="AL43" s="28">
        <f>IF(Lists!$Q43="","",Lists!$Q43)</f>
        <v>0</v>
      </c>
      <c r="AM43" s="31">
        <f>IF(AL43="","",COUNTIFS(Bookings!$AV$5:$AV$404,AL43,Bookings!$I$5:$I$404,"&gt;="&amp;RepFrom,Bookings!$I$5:$I$404,"&lt;="&amp;RepTo))</f>
        <v>0</v>
      </c>
      <c r="AN43" s="28">
        <f>IF(Lists!$AF43="","",Lists!$AF43)</f>
        <v>0</v>
      </c>
      <c r="AO43" s="29">
        <f>IF(AN43="","",SUMIFS(Payments!$L$5:$L$304,Payments!$F$5:$F$304,AN43,Payments!$B$5:$B$304,"&gt;="&amp;RepFrom,Payments!$B$5:$B$304,"&lt;="&amp;RepTo))</f>
        <v>0</v>
      </c>
      <c r="AP43" s="28">
        <f>IF(Lists!$E43="","",Lists!$E43)</f>
        <v>0</v>
      </c>
      <c r="AQ43" s="31">
        <f>IF(AP43="","",COUNTIFS(Clients!$K$5:$K$254,AP43))</f>
        <v>0</v>
      </c>
      <c r="AR43" s="29">
        <f>IF(AP43="","",SUMIFS(Clients!$AE$5:$AE$254,Clients!$K$5:$K$254,AP43))</f>
        <v>0</v>
      </c>
    </row>
    <row r="44" spans="1:44">
      <c r="A44" s="28">
        <f>IF(Clients!$B$44="","",Clients!$B$44)</f>
        <v>0</v>
      </c>
      <c r="B44" s="29">
        <f>IF(A44="","",SUMIFS(Payments!$L$5:$L$304,Payments!$C$5:$C$304,A44,Payments!$B$5:$B$304,"&gt;="&amp;PeriodStart,Payments!$B$5:$B$304,"&lt;="&amp;PeriodEnd))</f>
        <v>0</v>
      </c>
      <c r="C44" s="51">
        <f>IF(A44="","",IF(B44&lt;=0,"",B44+ROW()/1000000))</f>
        <v>0</v>
      </c>
      <c r="D44" s="29">
        <f>IF(A44="","",SUMIFS(Payments!$L$5:$L$304,Payments!$C$5:$C$304,A44,Payments!$B$5:$B$304,"&gt;="&amp;RepFrom,Payments!$B$5:$B$304,"&lt;="&amp;RepTo))</f>
        <v>0</v>
      </c>
      <c r="E44" s="51">
        <f>IF(A44="","",IF(D44&lt;=0,"",D44+ROW()/1000000))</f>
        <v>0</v>
      </c>
      <c r="F44" s="29">
        <f>IF(A44="","",SUMIFS(Invoices!$S$5:$S$304,Invoices!$D$5:$D$304,A44,Invoices!$T$5:$T$304,"&lt;&gt;Cancelled"))</f>
        <v>0</v>
      </c>
      <c r="G44" s="51">
        <f>IF(A44="","",IF(F44&lt;=0.004,"",F44+ROW()/1000000))</f>
        <v>0</v>
      </c>
      <c r="H44" s="31">
        <f>IF(A44="","",COUNTIFS(Bookings!$C$5:$C$404,A44,Bookings!$I$5:$I$404,"&gt;="&amp;RepFrom,Bookings!$I$5:$I$404,"&lt;="&amp;RepTo,Bookings!$AM$5:$AM$404,"&lt;&gt;Cancelled"))</f>
        <v>0</v>
      </c>
      <c r="I44" s="28">
        <f>IF(Services!$B$44="","",Services!$B$44)</f>
        <v>0</v>
      </c>
      <c r="J44" s="29">
        <f>IF(I44="","",SUMIFS(Bookings!$AK$5:$AK$404,Bookings!$H$5:$H$404,I44,Bookings!$I$5:$I$404,"&gt;="&amp;PeriodStart,Bookings!$I$5:$I$404,"&lt;="&amp;PeriodEnd,Bookings!$AM$5:$AM$404,"&lt;&gt;Cancelled"))</f>
        <v>0</v>
      </c>
      <c r="K44" s="31">
        <f>IF(I44="","",COUNTIFS(Bookings!$H$5:$H$404,I44,Bookings!$I$5:$I$404,"&gt;="&amp;PeriodStart,Bookings!$I$5:$I$404,"&lt;="&amp;PeriodEnd,Bookings!$AM$5:$AM$404,"&lt;&gt;Cancelled"))</f>
        <v>0</v>
      </c>
      <c r="L44" s="29">
        <f>IF(I44="","",SUMIFS(Bookings!$AK$5:$AK$404,Bookings!$H$5:$H$404,I44,Bookings!$I$5:$I$404,"&gt;="&amp;RepFrom,Bookings!$I$5:$I$404,"&lt;="&amp;RepTo,Bookings!$AM$5:$AM$404,"&lt;&gt;Cancelled"))</f>
        <v>0</v>
      </c>
      <c r="M44" s="31">
        <f>IF(I44="","",COUNTIFS(Bookings!$H$5:$H$404,I44,Bookings!$I$5:$I$404,"&gt;="&amp;RepFrom,Bookings!$I$5:$I$404,"&lt;="&amp;RepTo,Bookings!$AM$5:$AM$404,"&lt;&gt;Cancelled"))</f>
        <v>0</v>
      </c>
      <c r="N44" s="29">
        <f>IF(I44="","",M44*IF(Services!$L$44="",0,Services!$L$44))</f>
        <v>0</v>
      </c>
      <c r="O44" s="29">
        <f>IF(I44="","",L44-N44)</f>
        <v>0</v>
      </c>
      <c r="P44" s="28">
        <f>IF(Lists!$AG44="","",Lists!$AG44)</f>
        <v>0</v>
      </c>
      <c r="Q44" s="29">
        <f>IF(P44="","",SUMIFS(Expenses!$F$5:$F$304,Expenses!$C$5:$C$304,P44,Expenses!$B$5:$B$304,"&gt;="&amp;PeriodStart,Expenses!$B$5:$B$304,"&lt;="&amp;PeriodEnd,Expenses!$J$5:$J$304,"&lt;&gt;Personal"))</f>
        <v>0</v>
      </c>
      <c r="R44" s="29">
        <f>IF(P44="","",SUMIFS(Expenses!$F$5:$F$304,Expenses!$C$5:$C$304,P44,Expenses!$B$5:$B$304,"&gt;="&amp;RepFrom,Expenses!$B$5:$B$304,"&lt;="&amp;RepTo,Expenses!$J$5:$J$304,"&lt;&gt;Personal"))</f>
        <v>0</v>
      </c>
      <c r="S44" s="21">
        <f>IF(ROW()-4&gt;12,"",DATE(Dash_Year,ROW()-4,1))</f>
        <v>0</v>
      </c>
      <c r="T44" s="21">
        <f>IF(S44="","",EOMONTH(S44,0))</f>
        <v>0</v>
      </c>
      <c r="U44" s="28">
        <f>IF(S44="","",TEXT(S44,"mmm"))</f>
        <v>0</v>
      </c>
      <c r="V44" s="29">
        <f>IF(S44="","",SUMIFS(Payments!$L$5:$L$304,Payments!$B$5:$B$304,"&gt;="&amp;S44,Payments!$B$5:$B$304,"&lt;="&amp;T44))</f>
        <v>0</v>
      </c>
      <c r="W44" s="29">
        <f>IF(S44="","",SUMIFS(Invoices!$O$5:$O$304,Invoices!$B$5:$B$304,"&gt;="&amp;S44,Invoices!$B$5:$B$304,"&lt;="&amp;T44,Invoices!$T$5:$T$304,"&lt;&gt;Cancelled"))</f>
        <v>0</v>
      </c>
      <c r="X44" s="29">
        <f>IF(S44="","",SUMIFS(Expenses!$F$5:$F$304,Expenses!$B$5:$B$304,"&gt;="&amp;S44,Expenses!$B$5:$B$304,"&lt;="&amp;T44,Expenses!$J$5:$J$304,"&lt;&gt;Personal"))</f>
        <v>0</v>
      </c>
      <c r="Y44" s="29">
        <f>IF(S44="","",V44-X44)</f>
        <v>0</v>
      </c>
      <c r="Z44" s="31">
        <f>IF(S44="","",COUNTIFS(Bookings!$I$5:$I$404,"&gt;="&amp;S44,Bookings!$I$5:$I$404,"&lt;="&amp;T44,Bookings!$AM$5:$AM$404,"&lt;&gt;Cancelled"))</f>
        <v>0</v>
      </c>
      <c r="AA44" s="31">
        <f>IF(S44="","",COUNTIFS(Bookings!$I$5:$I$404,"&gt;="&amp;S44,Bookings!$I$5:$I$404,"&lt;="&amp;T44,Bookings!$AM$5:$AM$404,"Completed"))</f>
        <v>0</v>
      </c>
      <c r="AB44" s="31">
        <f>IF(S44="","",COUNTIFS(Bookings!$I$5:$I$404,"&gt;="&amp;S44,Bookings!$I$5:$I$404,"&lt;="&amp;T44,Bookings!$AM$5:$AM$404,"Cancelled"))</f>
        <v>0</v>
      </c>
      <c r="AC44" s="31">
        <f>IF(S44="","",COUNTIFS('Visit Log'!$C$5:$C$404,"&gt;="&amp;S44,'Visit Log'!$C$5:$C$404,"&lt;="&amp;T44,'Visit Log'!$AE$5:$AE$404,"Completed"))</f>
        <v>0</v>
      </c>
      <c r="AD44" s="31">
        <f>IF(S44="","",COUNTIFS(Clients!$L$5:$L$254,"&gt;="&amp;S44,Clients!$L$5:$L$254,"&lt;="&amp;T44))</f>
        <v>0</v>
      </c>
      <c r="AE44" s="32">
        <f>IF(S44="","",SUMIFS(Mileage!$M$5:$M$304,Mileage!$B$5:$B$304,"&gt;="&amp;S44,Mileage!$B$5:$B$304,"&lt;="&amp;T44,Mileage!$N$5:$N$304,"Business"))</f>
        <v>0</v>
      </c>
      <c r="AF44" s="29">
        <f>IF(S44="","",SUMIFS(Payments!$L$5:$L$304,Payments!$B$5:$B$304,"&gt;="&amp;DATE(Dash_Year-1,ROW()-4,1),Payments!$B$5:$B$304,"&lt;="&amp;EOMONTH(DATE(Dash_Year-1,ROW()-4,1),0)))</f>
        <v>0</v>
      </c>
      <c r="AG44" s="28">
        <f>IF(Staff!$B$44="","",Staff!$B$44)</f>
        <v>0</v>
      </c>
      <c r="AH44" s="31">
        <f>IF(AG44="","",COUNTIFS('Visit Log'!$G$5:$G$404,AG44,'Visit Log'!$C$5:$C$404,"&gt;="&amp;RepFrom,'Visit Log'!$C$5:$C$404,"&lt;="&amp;RepTo,'Visit Log'!$AE$5:$AE$404,"Completed"))</f>
        <v>0</v>
      </c>
      <c r="AI44" s="51">
        <f>IF(AG44="","",ROUND(SUMIFS('Visit Log'!$K$5:$K$404,'Visit Log'!$G$5:$G$404,AG44,'Visit Log'!$C$5:$C$404,"&gt;="&amp;RepFrom,'Visit Log'!$C$5:$C$404,"&lt;="&amp;RepTo,'Visit Log'!$AE$5:$AE$404,"Completed")/60,2))</f>
        <v>0</v>
      </c>
      <c r="AJ44" s="29">
        <f>IF(AG44="","",SUMIFS(Bookings!$AK$5:$AK$404,Bookings!$AL$5:$AL$404,AG44,Bookings!$I$5:$I$404,"&gt;="&amp;RepFrom,Bookings!$I$5:$I$404,"&lt;="&amp;RepTo,Bookings!$AM$5:$AM$404,"&lt;&gt;Cancelled"))</f>
        <v>0</v>
      </c>
      <c r="AK44" s="32">
        <f>IF(AG44="","",SUMIFS(Mileage!$M$5:$M$304,Mileage!$C$5:$C$304,AG44,Mileage!$B$5:$B$304,"&gt;="&amp;RepFrom,Mileage!$B$5:$B$304,"&lt;="&amp;RepTo))</f>
        <v>0</v>
      </c>
      <c r="AL44" s="28">
        <f>IF(Lists!$Q44="","",Lists!$Q44)</f>
        <v>0</v>
      </c>
      <c r="AM44" s="31">
        <f>IF(AL44="","",COUNTIFS(Bookings!$AV$5:$AV$404,AL44,Bookings!$I$5:$I$404,"&gt;="&amp;RepFrom,Bookings!$I$5:$I$404,"&lt;="&amp;RepTo))</f>
        <v>0</v>
      </c>
      <c r="AN44" s="28">
        <f>IF(Lists!$AF44="","",Lists!$AF44)</f>
        <v>0</v>
      </c>
      <c r="AO44" s="29">
        <f>IF(AN44="","",SUMIFS(Payments!$L$5:$L$304,Payments!$F$5:$F$304,AN44,Payments!$B$5:$B$304,"&gt;="&amp;RepFrom,Payments!$B$5:$B$304,"&lt;="&amp;RepTo))</f>
        <v>0</v>
      </c>
      <c r="AP44" s="28">
        <f>IF(Lists!$E44="","",Lists!$E44)</f>
        <v>0</v>
      </c>
      <c r="AQ44" s="31">
        <f>IF(AP44="","",COUNTIFS(Clients!$K$5:$K$254,AP44))</f>
        <v>0</v>
      </c>
      <c r="AR44" s="29">
        <f>IF(AP44="","",SUMIFS(Clients!$AE$5:$AE$254,Clients!$K$5:$K$254,AP44))</f>
        <v>0</v>
      </c>
    </row>
    <row r="45" spans="1:44">
      <c r="A45" s="28">
        <f>IF(Clients!$B$45="","",Clients!$B$45)</f>
        <v>0</v>
      </c>
      <c r="B45" s="29">
        <f>IF(A45="","",SUMIFS(Payments!$L$5:$L$304,Payments!$C$5:$C$304,A45,Payments!$B$5:$B$304,"&gt;="&amp;PeriodStart,Payments!$B$5:$B$304,"&lt;="&amp;PeriodEnd))</f>
        <v>0</v>
      </c>
      <c r="C45" s="51">
        <f>IF(A45="","",IF(B45&lt;=0,"",B45+ROW()/1000000))</f>
        <v>0</v>
      </c>
      <c r="D45" s="29">
        <f>IF(A45="","",SUMIFS(Payments!$L$5:$L$304,Payments!$C$5:$C$304,A45,Payments!$B$5:$B$304,"&gt;="&amp;RepFrom,Payments!$B$5:$B$304,"&lt;="&amp;RepTo))</f>
        <v>0</v>
      </c>
      <c r="E45" s="51">
        <f>IF(A45="","",IF(D45&lt;=0,"",D45+ROW()/1000000))</f>
        <v>0</v>
      </c>
      <c r="F45" s="29">
        <f>IF(A45="","",SUMIFS(Invoices!$S$5:$S$304,Invoices!$D$5:$D$304,A45,Invoices!$T$5:$T$304,"&lt;&gt;Cancelled"))</f>
        <v>0</v>
      </c>
      <c r="G45" s="51">
        <f>IF(A45="","",IF(F45&lt;=0.004,"",F45+ROW()/1000000))</f>
        <v>0</v>
      </c>
      <c r="H45" s="31">
        <f>IF(A45="","",COUNTIFS(Bookings!$C$5:$C$404,A45,Bookings!$I$5:$I$404,"&gt;="&amp;RepFrom,Bookings!$I$5:$I$404,"&lt;="&amp;RepTo,Bookings!$AM$5:$AM$404,"&lt;&gt;Cancelled"))</f>
        <v>0</v>
      </c>
      <c r="I45" s="28">
        <f>IF(Services!$B$45="","",Services!$B$45)</f>
        <v>0</v>
      </c>
      <c r="J45" s="29">
        <f>IF(I45="","",SUMIFS(Bookings!$AK$5:$AK$404,Bookings!$H$5:$H$404,I45,Bookings!$I$5:$I$404,"&gt;="&amp;PeriodStart,Bookings!$I$5:$I$404,"&lt;="&amp;PeriodEnd,Bookings!$AM$5:$AM$404,"&lt;&gt;Cancelled"))</f>
        <v>0</v>
      </c>
      <c r="K45" s="31">
        <f>IF(I45="","",COUNTIFS(Bookings!$H$5:$H$404,I45,Bookings!$I$5:$I$404,"&gt;="&amp;PeriodStart,Bookings!$I$5:$I$404,"&lt;="&amp;PeriodEnd,Bookings!$AM$5:$AM$404,"&lt;&gt;Cancelled"))</f>
        <v>0</v>
      </c>
      <c r="L45" s="29">
        <f>IF(I45="","",SUMIFS(Bookings!$AK$5:$AK$404,Bookings!$H$5:$H$404,I45,Bookings!$I$5:$I$404,"&gt;="&amp;RepFrom,Bookings!$I$5:$I$404,"&lt;="&amp;RepTo,Bookings!$AM$5:$AM$404,"&lt;&gt;Cancelled"))</f>
        <v>0</v>
      </c>
      <c r="M45" s="31">
        <f>IF(I45="","",COUNTIFS(Bookings!$H$5:$H$404,I45,Bookings!$I$5:$I$404,"&gt;="&amp;RepFrom,Bookings!$I$5:$I$404,"&lt;="&amp;RepTo,Bookings!$AM$5:$AM$404,"&lt;&gt;Cancelled"))</f>
        <v>0</v>
      </c>
      <c r="N45" s="29">
        <f>IF(I45="","",M45*IF(Services!$L$45="",0,Services!$L$45))</f>
        <v>0</v>
      </c>
      <c r="O45" s="29">
        <f>IF(I45="","",L45-N45)</f>
        <v>0</v>
      </c>
      <c r="P45" s="28">
        <f>IF(Lists!$AG45="","",Lists!$AG45)</f>
        <v>0</v>
      </c>
      <c r="Q45" s="29">
        <f>IF(P45="","",SUMIFS(Expenses!$F$5:$F$304,Expenses!$C$5:$C$304,P45,Expenses!$B$5:$B$304,"&gt;="&amp;PeriodStart,Expenses!$B$5:$B$304,"&lt;="&amp;PeriodEnd,Expenses!$J$5:$J$304,"&lt;&gt;Personal"))</f>
        <v>0</v>
      </c>
      <c r="R45" s="29">
        <f>IF(P45="","",SUMIFS(Expenses!$F$5:$F$304,Expenses!$C$5:$C$304,P45,Expenses!$B$5:$B$304,"&gt;="&amp;RepFrom,Expenses!$B$5:$B$304,"&lt;="&amp;RepTo,Expenses!$J$5:$J$304,"&lt;&gt;Personal"))</f>
        <v>0</v>
      </c>
      <c r="S45" s="21">
        <f>IF(ROW()-4&gt;12,"",DATE(Dash_Year,ROW()-4,1))</f>
        <v>0</v>
      </c>
      <c r="T45" s="21">
        <f>IF(S45="","",EOMONTH(S45,0))</f>
        <v>0</v>
      </c>
      <c r="U45" s="28">
        <f>IF(S45="","",TEXT(S45,"mmm"))</f>
        <v>0</v>
      </c>
      <c r="V45" s="29">
        <f>IF(S45="","",SUMIFS(Payments!$L$5:$L$304,Payments!$B$5:$B$304,"&gt;="&amp;S45,Payments!$B$5:$B$304,"&lt;="&amp;T45))</f>
        <v>0</v>
      </c>
      <c r="W45" s="29">
        <f>IF(S45="","",SUMIFS(Invoices!$O$5:$O$304,Invoices!$B$5:$B$304,"&gt;="&amp;S45,Invoices!$B$5:$B$304,"&lt;="&amp;T45,Invoices!$T$5:$T$304,"&lt;&gt;Cancelled"))</f>
        <v>0</v>
      </c>
      <c r="X45" s="29">
        <f>IF(S45="","",SUMIFS(Expenses!$F$5:$F$304,Expenses!$B$5:$B$304,"&gt;="&amp;S45,Expenses!$B$5:$B$304,"&lt;="&amp;T45,Expenses!$J$5:$J$304,"&lt;&gt;Personal"))</f>
        <v>0</v>
      </c>
      <c r="Y45" s="29">
        <f>IF(S45="","",V45-X45)</f>
        <v>0</v>
      </c>
      <c r="Z45" s="31">
        <f>IF(S45="","",COUNTIFS(Bookings!$I$5:$I$404,"&gt;="&amp;S45,Bookings!$I$5:$I$404,"&lt;="&amp;T45,Bookings!$AM$5:$AM$404,"&lt;&gt;Cancelled"))</f>
        <v>0</v>
      </c>
      <c r="AA45" s="31">
        <f>IF(S45="","",COUNTIFS(Bookings!$I$5:$I$404,"&gt;="&amp;S45,Bookings!$I$5:$I$404,"&lt;="&amp;T45,Bookings!$AM$5:$AM$404,"Completed"))</f>
        <v>0</v>
      </c>
      <c r="AB45" s="31">
        <f>IF(S45="","",COUNTIFS(Bookings!$I$5:$I$404,"&gt;="&amp;S45,Bookings!$I$5:$I$404,"&lt;="&amp;T45,Bookings!$AM$5:$AM$404,"Cancelled"))</f>
        <v>0</v>
      </c>
      <c r="AC45" s="31">
        <f>IF(S45="","",COUNTIFS('Visit Log'!$C$5:$C$404,"&gt;="&amp;S45,'Visit Log'!$C$5:$C$404,"&lt;="&amp;T45,'Visit Log'!$AE$5:$AE$404,"Completed"))</f>
        <v>0</v>
      </c>
      <c r="AD45" s="31">
        <f>IF(S45="","",COUNTIFS(Clients!$L$5:$L$254,"&gt;="&amp;S45,Clients!$L$5:$L$254,"&lt;="&amp;T45))</f>
        <v>0</v>
      </c>
      <c r="AE45" s="32">
        <f>IF(S45="","",SUMIFS(Mileage!$M$5:$M$304,Mileage!$B$5:$B$304,"&gt;="&amp;S45,Mileage!$B$5:$B$304,"&lt;="&amp;T45,Mileage!$N$5:$N$304,"Business"))</f>
        <v>0</v>
      </c>
      <c r="AF45" s="29">
        <f>IF(S45="","",SUMIFS(Payments!$L$5:$L$304,Payments!$B$5:$B$304,"&gt;="&amp;DATE(Dash_Year-1,ROW()-4,1),Payments!$B$5:$B$304,"&lt;="&amp;EOMONTH(DATE(Dash_Year-1,ROW()-4,1),0)))</f>
        <v>0</v>
      </c>
      <c r="AG45" s="28">
        <f>IF(Staff!$B$45="","",Staff!$B$45)</f>
        <v>0</v>
      </c>
      <c r="AH45" s="31">
        <f>IF(AG45="","",COUNTIFS('Visit Log'!$G$5:$G$404,AG45,'Visit Log'!$C$5:$C$404,"&gt;="&amp;RepFrom,'Visit Log'!$C$5:$C$404,"&lt;="&amp;RepTo,'Visit Log'!$AE$5:$AE$404,"Completed"))</f>
        <v>0</v>
      </c>
      <c r="AI45" s="51">
        <f>IF(AG45="","",ROUND(SUMIFS('Visit Log'!$K$5:$K$404,'Visit Log'!$G$5:$G$404,AG45,'Visit Log'!$C$5:$C$404,"&gt;="&amp;RepFrom,'Visit Log'!$C$5:$C$404,"&lt;="&amp;RepTo,'Visit Log'!$AE$5:$AE$404,"Completed")/60,2))</f>
        <v>0</v>
      </c>
      <c r="AJ45" s="29">
        <f>IF(AG45="","",SUMIFS(Bookings!$AK$5:$AK$404,Bookings!$AL$5:$AL$404,AG45,Bookings!$I$5:$I$404,"&gt;="&amp;RepFrom,Bookings!$I$5:$I$404,"&lt;="&amp;RepTo,Bookings!$AM$5:$AM$404,"&lt;&gt;Cancelled"))</f>
        <v>0</v>
      </c>
      <c r="AK45" s="32">
        <f>IF(AG45="","",SUMIFS(Mileage!$M$5:$M$304,Mileage!$C$5:$C$304,AG45,Mileage!$B$5:$B$304,"&gt;="&amp;RepFrom,Mileage!$B$5:$B$304,"&lt;="&amp;RepTo))</f>
        <v>0</v>
      </c>
      <c r="AL45" s="28">
        <f>IF(Lists!$Q45="","",Lists!$Q45)</f>
        <v>0</v>
      </c>
      <c r="AM45" s="31">
        <f>IF(AL45="","",COUNTIFS(Bookings!$AV$5:$AV$404,AL45,Bookings!$I$5:$I$404,"&gt;="&amp;RepFrom,Bookings!$I$5:$I$404,"&lt;="&amp;RepTo))</f>
        <v>0</v>
      </c>
      <c r="AN45" s="28">
        <f>IF(Lists!$AF45="","",Lists!$AF45)</f>
        <v>0</v>
      </c>
      <c r="AO45" s="29">
        <f>IF(AN45="","",SUMIFS(Payments!$L$5:$L$304,Payments!$F$5:$F$304,AN45,Payments!$B$5:$B$304,"&gt;="&amp;RepFrom,Payments!$B$5:$B$304,"&lt;="&amp;RepTo))</f>
        <v>0</v>
      </c>
      <c r="AP45" s="28">
        <f>IF(Lists!$E45="","",Lists!$E45)</f>
        <v>0</v>
      </c>
      <c r="AQ45" s="31">
        <f>IF(AP45="","",COUNTIFS(Clients!$K$5:$K$254,AP45))</f>
        <v>0</v>
      </c>
      <c r="AR45" s="29">
        <f>IF(AP45="","",SUMIFS(Clients!$AE$5:$AE$254,Clients!$K$5:$K$254,AP45))</f>
        <v>0</v>
      </c>
    </row>
    <row r="46" spans="1:44">
      <c r="A46" s="28">
        <f>IF(Clients!$B$46="","",Clients!$B$46)</f>
        <v>0</v>
      </c>
      <c r="B46" s="29">
        <f>IF(A46="","",SUMIFS(Payments!$L$5:$L$304,Payments!$C$5:$C$304,A46,Payments!$B$5:$B$304,"&gt;="&amp;PeriodStart,Payments!$B$5:$B$304,"&lt;="&amp;PeriodEnd))</f>
        <v>0</v>
      </c>
      <c r="C46" s="51">
        <f>IF(A46="","",IF(B46&lt;=0,"",B46+ROW()/1000000))</f>
        <v>0</v>
      </c>
      <c r="D46" s="29">
        <f>IF(A46="","",SUMIFS(Payments!$L$5:$L$304,Payments!$C$5:$C$304,A46,Payments!$B$5:$B$304,"&gt;="&amp;RepFrom,Payments!$B$5:$B$304,"&lt;="&amp;RepTo))</f>
        <v>0</v>
      </c>
      <c r="E46" s="51">
        <f>IF(A46="","",IF(D46&lt;=0,"",D46+ROW()/1000000))</f>
        <v>0</v>
      </c>
      <c r="F46" s="29">
        <f>IF(A46="","",SUMIFS(Invoices!$S$5:$S$304,Invoices!$D$5:$D$304,A46,Invoices!$T$5:$T$304,"&lt;&gt;Cancelled"))</f>
        <v>0</v>
      </c>
      <c r="G46" s="51">
        <f>IF(A46="","",IF(F46&lt;=0.004,"",F46+ROW()/1000000))</f>
        <v>0</v>
      </c>
      <c r="H46" s="31">
        <f>IF(A46="","",COUNTIFS(Bookings!$C$5:$C$404,A46,Bookings!$I$5:$I$404,"&gt;="&amp;RepFrom,Bookings!$I$5:$I$404,"&lt;="&amp;RepTo,Bookings!$AM$5:$AM$404,"&lt;&gt;Cancelled"))</f>
        <v>0</v>
      </c>
      <c r="I46" s="28">
        <f>IF(Services!$B$46="","",Services!$B$46)</f>
        <v>0</v>
      </c>
      <c r="J46" s="29">
        <f>IF(I46="","",SUMIFS(Bookings!$AK$5:$AK$404,Bookings!$H$5:$H$404,I46,Bookings!$I$5:$I$404,"&gt;="&amp;PeriodStart,Bookings!$I$5:$I$404,"&lt;="&amp;PeriodEnd,Bookings!$AM$5:$AM$404,"&lt;&gt;Cancelled"))</f>
        <v>0</v>
      </c>
      <c r="K46" s="31">
        <f>IF(I46="","",COUNTIFS(Bookings!$H$5:$H$404,I46,Bookings!$I$5:$I$404,"&gt;="&amp;PeriodStart,Bookings!$I$5:$I$404,"&lt;="&amp;PeriodEnd,Bookings!$AM$5:$AM$404,"&lt;&gt;Cancelled"))</f>
        <v>0</v>
      </c>
      <c r="L46" s="29">
        <f>IF(I46="","",SUMIFS(Bookings!$AK$5:$AK$404,Bookings!$H$5:$H$404,I46,Bookings!$I$5:$I$404,"&gt;="&amp;RepFrom,Bookings!$I$5:$I$404,"&lt;="&amp;RepTo,Bookings!$AM$5:$AM$404,"&lt;&gt;Cancelled"))</f>
        <v>0</v>
      </c>
      <c r="M46" s="31">
        <f>IF(I46="","",COUNTIFS(Bookings!$H$5:$H$404,I46,Bookings!$I$5:$I$404,"&gt;="&amp;RepFrom,Bookings!$I$5:$I$404,"&lt;="&amp;RepTo,Bookings!$AM$5:$AM$404,"&lt;&gt;Cancelled"))</f>
        <v>0</v>
      </c>
      <c r="N46" s="29">
        <f>IF(I46="","",M46*IF(Services!$L$46="",0,Services!$L$46))</f>
        <v>0</v>
      </c>
      <c r="O46" s="29">
        <f>IF(I46="","",L46-N46)</f>
        <v>0</v>
      </c>
      <c r="P46" s="28">
        <f>IF(Lists!$AG46="","",Lists!$AG46)</f>
        <v>0</v>
      </c>
      <c r="Q46" s="29">
        <f>IF(P46="","",SUMIFS(Expenses!$F$5:$F$304,Expenses!$C$5:$C$304,P46,Expenses!$B$5:$B$304,"&gt;="&amp;PeriodStart,Expenses!$B$5:$B$304,"&lt;="&amp;PeriodEnd,Expenses!$J$5:$J$304,"&lt;&gt;Personal"))</f>
        <v>0</v>
      </c>
      <c r="R46" s="29">
        <f>IF(P46="","",SUMIFS(Expenses!$F$5:$F$304,Expenses!$C$5:$C$304,P46,Expenses!$B$5:$B$304,"&gt;="&amp;RepFrom,Expenses!$B$5:$B$304,"&lt;="&amp;RepTo,Expenses!$J$5:$J$304,"&lt;&gt;Personal"))</f>
        <v>0</v>
      </c>
      <c r="S46" s="21">
        <f>IF(ROW()-4&gt;12,"",DATE(Dash_Year,ROW()-4,1))</f>
        <v>0</v>
      </c>
      <c r="T46" s="21">
        <f>IF(S46="","",EOMONTH(S46,0))</f>
        <v>0</v>
      </c>
      <c r="U46" s="28">
        <f>IF(S46="","",TEXT(S46,"mmm"))</f>
        <v>0</v>
      </c>
      <c r="V46" s="29">
        <f>IF(S46="","",SUMIFS(Payments!$L$5:$L$304,Payments!$B$5:$B$304,"&gt;="&amp;S46,Payments!$B$5:$B$304,"&lt;="&amp;T46))</f>
        <v>0</v>
      </c>
      <c r="W46" s="29">
        <f>IF(S46="","",SUMIFS(Invoices!$O$5:$O$304,Invoices!$B$5:$B$304,"&gt;="&amp;S46,Invoices!$B$5:$B$304,"&lt;="&amp;T46,Invoices!$T$5:$T$304,"&lt;&gt;Cancelled"))</f>
        <v>0</v>
      </c>
      <c r="X46" s="29">
        <f>IF(S46="","",SUMIFS(Expenses!$F$5:$F$304,Expenses!$B$5:$B$304,"&gt;="&amp;S46,Expenses!$B$5:$B$304,"&lt;="&amp;T46,Expenses!$J$5:$J$304,"&lt;&gt;Personal"))</f>
        <v>0</v>
      </c>
      <c r="Y46" s="29">
        <f>IF(S46="","",V46-X46)</f>
        <v>0</v>
      </c>
      <c r="Z46" s="31">
        <f>IF(S46="","",COUNTIFS(Bookings!$I$5:$I$404,"&gt;="&amp;S46,Bookings!$I$5:$I$404,"&lt;="&amp;T46,Bookings!$AM$5:$AM$404,"&lt;&gt;Cancelled"))</f>
        <v>0</v>
      </c>
      <c r="AA46" s="31">
        <f>IF(S46="","",COUNTIFS(Bookings!$I$5:$I$404,"&gt;="&amp;S46,Bookings!$I$5:$I$404,"&lt;="&amp;T46,Bookings!$AM$5:$AM$404,"Completed"))</f>
        <v>0</v>
      </c>
      <c r="AB46" s="31">
        <f>IF(S46="","",COUNTIFS(Bookings!$I$5:$I$404,"&gt;="&amp;S46,Bookings!$I$5:$I$404,"&lt;="&amp;T46,Bookings!$AM$5:$AM$404,"Cancelled"))</f>
        <v>0</v>
      </c>
      <c r="AC46" s="31">
        <f>IF(S46="","",COUNTIFS('Visit Log'!$C$5:$C$404,"&gt;="&amp;S46,'Visit Log'!$C$5:$C$404,"&lt;="&amp;T46,'Visit Log'!$AE$5:$AE$404,"Completed"))</f>
        <v>0</v>
      </c>
      <c r="AD46" s="31">
        <f>IF(S46="","",COUNTIFS(Clients!$L$5:$L$254,"&gt;="&amp;S46,Clients!$L$5:$L$254,"&lt;="&amp;T46))</f>
        <v>0</v>
      </c>
      <c r="AE46" s="32">
        <f>IF(S46="","",SUMIFS(Mileage!$M$5:$M$304,Mileage!$B$5:$B$304,"&gt;="&amp;S46,Mileage!$B$5:$B$304,"&lt;="&amp;T46,Mileage!$N$5:$N$304,"Business"))</f>
        <v>0</v>
      </c>
      <c r="AF46" s="29">
        <f>IF(S46="","",SUMIFS(Payments!$L$5:$L$304,Payments!$B$5:$B$304,"&gt;="&amp;DATE(Dash_Year-1,ROW()-4,1),Payments!$B$5:$B$304,"&lt;="&amp;EOMONTH(DATE(Dash_Year-1,ROW()-4,1),0)))</f>
        <v>0</v>
      </c>
      <c r="AG46" s="28">
        <f>IF(Staff!$B$46="","",Staff!$B$46)</f>
        <v>0</v>
      </c>
      <c r="AH46" s="31">
        <f>IF(AG46="","",COUNTIFS('Visit Log'!$G$5:$G$404,AG46,'Visit Log'!$C$5:$C$404,"&gt;="&amp;RepFrom,'Visit Log'!$C$5:$C$404,"&lt;="&amp;RepTo,'Visit Log'!$AE$5:$AE$404,"Completed"))</f>
        <v>0</v>
      </c>
      <c r="AI46" s="51">
        <f>IF(AG46="","",ROUND(SUMIFS('Visit Log'!$K$5:$K$404,'Visit Log'!$G$5:$G$404,AG46,'Visit Log'!$C$5:$C$404,"&gt;="&amp;RepFrom,'Visit Log'!$C$5:$C$404,"&lt;="&amp;RepTo,'Visit Log'!$AE$5:$AE$404,"Completed")/60,2))</f>
        <v>0</v>
      </c>
      <c r="AJ46" s="29">
        <f>IF(AG46="","",SUMIFS(Bookings!$AK$5:$AK$404,Bookings!$AL$5:$AL$404,AG46,Bookings!$I$5:$I$404,"&gt;="&amp;RepFrom,Bookings!$I$5:$I$404,"&lt;="&amp;RepTo,Bookings!$AM$5:$AM$404,"&lt;&gt;Cancelled"))</f>
        <v>0</v>
      </c>
      <c r="AK46" s="32">
        <f>IF(AG46="","",SUMIFS(Mileage!$M$5:$M$304,Mileage!$C$5:$C$304,AG46,Mileage!$B$5:$B$304,"&gt;="&amp;RepFrom,Mileage!$B$5:$B$304,"&lt;="&amp;RepTo))</f>
        <v>0</v>
      </c>
      <c r="AL46" s="28">
        <f>IF(Lists!$Q46="","",Lists!$Q46)</f>
        <v>0</v>
      </c>
      <c r="AM46" s="31">
        <f>IF(AL46="","",COUNTIFS(Bookings!$AV$5:$AV$404,AL46,Bookings!$I$5:$I$404,"&gt;="&amp;RepFrom,Bookings!$I$5:$I$404,"&lt;="&amp;RepTo))</f>
        <v>0</v>
      </c>
      <c r="AN46" s="28">
        <f>IF(Lists!$AF46="","",Lists!$AF46)</f>
        <v>0</v>
      </c>
      <c r="AO46" s="29">
        <f>IF(AN46="","",SUMIFS(Payments!$L$5:$L$304,Payments!$F$5:$F$304,AN46,Payments!$B$5:$B$304,"&gt;="&amp;RepFrom,Payments!$B$5:$B$304,"&lt;="&amp;RepTo))</f>
        <v>0</v>
      </c>
      <c r="AP46" s="28">
        <f>IF(Lists!$E46="","",Lists!$E46)</f>
        <v>0</v>
      </c>
      <c r="AQ46" s="31">
        <f>IF(AP46="","",COUNTIFS(Clients!$K$5:$K$254,AP46))</f>
        <v>0</v>
      </c>
      <c r="AR46" s="29">
        <f>IF(AP46="","",SUMIFS(Clients!$AE$5:$AE$254,Clients!$K$5:$K$254,AP46))</f>
        <v>0</v>
      </c>
    </row>
    <row r="47" spans="1:44">
      <c r="A47" s="28">
        <f>IF(Clients!$B$47="","",Clients!$B$47)</f>
        <v>0</v>
      </c>
      <c r="B47" s="29">
        <f>IF(A47="","",SUMIFS(Payments!$L$5:$L$304,Payments!$C$5:$C$304,A47,Payments!$B$5:$B$304,"&gt;="&amp;PeriodStart,Payments!$B$5:$B$304,"&lt;="&amp;PeriodEnd))</f>
        <v>0</v>
      </c>
      <c r="C47" s="51">
        <f>IF(A47="","",IF(B47&lt;=0,"",B47+ROW()/1000000))</f>
        <v>0</v>
      </c>
      <c r="D47" s="29">
        <f>IF(A47="","",SUMIFS(Payments!$L$5:$L$304,Payments!$C$5:$C$304,A47,Payments!$B$5:$B$304,"&gt;="&amp;RepFrom,Payments!$B$5:$B$304,"&lt;="&amp;RepTo))</f>
        <v>0</v>
      </c>
      <c r="E47" s="51">
        <f>IF(A47="","",IF(D47&lt;=0,"",D47+ROW()/1000000))</f>
        <v>0</v>
      </c>
      <c r="F47" s="29">
        <f>IF(A47="","",SUMIFS(Invoices!$S$5:$S$304,Invoices!$D$5:$D$304,A47,Invoices!$T$5:$T$304,"&lt;&gt;Cancelled"))</f>
        <v>0</v>
      </c>
      <c r="G47" s="51">
        <f>IF(A47="","",IF(F47&lt;=0.004,"",F47+ROW()/1000000))</f>
        <v>0</v>
      </c>
      <c r="H47" s="31">
        <f>IF(A47="","",COUNTIFS(Bookings!$C$5:$C$404,A47,Bookings!$I$5:$I$404,"&gt;="&amp;RepFrom,Bookings!$I$5:$I$404,"&lt;="&amp;RepTo,Bookings!$AM$5:$AM$404,"&lt;&gt;Cancelled"))</f>
        <v>0</v>
      </c>
      <c r="I47" s="28">
        <f>IF(Services!$B$47="","",Services!$B$47)</f>
        <v>0</v>
      </c>
      <c r="J47" s="29">
        <f>IF(I47="","",SUMIFS(Bookings!$AK$5:$AK$404,Bookings!$H$5:$H$404,I47,Bookings!$I$5:$I$404,"&gt;="&amp;PeriodStart,Bookings!$I$5:$I$404,"&lt;="&amp;PeriodEnd,Bookings!$AM$5:$AM$404,"&lt;&gt;Cancelled"))</f>
        <v>0</v>
      </c>
      <c r="K47" s="31">
        <f>IF(I47="","",COUNTIFS(Bookings!$H$5:$H$404,I47,Bookings!$I$5:$I$404,"&gt;="&amp;PeriodStart,Bookings!$I$5:$I$404,"&lt;="&amp;PeriodEnd,Bookings!$AM$5:$AM$404,"&lt;&gt;Cancelled"))</f>
        <v>0</v>
      </c>
      <c r="L47" s="29">
        <f>IF(I47="","",SUMIFS(Bookings!$AK$5:$AK$404,Bookings!$H$5:$H$404,I47,Bookings!$I$5:$I$404,"&gt;="&amp;RepFrom,Bookings!$I$5:$I$404,"&lt;="&amp;RepTo,Bookings!$AM$5:$AM$404,"&lt;&gt;Cancelled"))</f>
        <v>0</v>
      </c>
      <c r="M47" s="31">
        <f>IF(I47="","",COUNTIFS(Bookings!$H$5:$H$404,I47,Bookings!$I$5:$I$404,"&gt;="&amp;RepFrom,Bookings!$I$5:$I$404,"&lt;="&amp;RepTo,Bookings!$AM$5:$AM$404,"&lt;&gt;Cancelled"))</f>
        <v>0</v>
      </c>
      <c r="N47" s="29">
        <f>IF(I47="","",M47*IF(Services!$L$47="",0,Services!$L$47))</f>
        <v>0</v>
      </c>
      <c r="O47" s="29">
        <f>IF(I47="","",L47-N47)</f>
        <v>0</v>
      </c>
      <c r="P47" s="28">
        <f>IF(Lists!$AG47="","",Lists!$AG47)</f>
        <v>0</v>
      </c>
      <c r="Q47" s="29">
        <f>IF(P47="","",SUMIFS(Expenses!$F$5:$F$304,Expenses!$C$5:$C$304,P47,Expenses!$B$5:$B$304,"&gt;="&amp;PeriodStart,Expenses!$B$5:$B$304,"&lt;="&amp;PeriodEnd,Expenses!$J$5:$J$304,"&lt;&gt;Personal"))</f>
        <v>0</v>
      </c>
      <c r="R47" s="29">
        <f>IF(P47="","",SUMIFS(Expenses!$F$5:$F$304,Expenses!$C$5:$C$304,P47,Expenses!$B$5:$B$304,"&gt;="&amp;RepFrom,Expenses!$B$5:$B$304,"&lt;="&amp;RepTo,Expenses!$J$5:$J$304,"&lt;&gt;Personal"))</f>
        <v>0</v>
      </c>
      <c r="S47" s="21">
        <f>IF(ROW()-4&gt;12,"",DATE(Dash_Year,ROW()-4,1))</f>
        <v>0</v>
      </c>
      <c r="T47" s="21">
        <f>IF(S47="","",EOMONTH(S47,0))</f>
        <v>0</v>
      </c>
      <c r="U47" s="28">
        <f>IF(S47="","",TEXT(S47,"mmm"))</f>
        <v>0</v>
      </c>
      <c r="V47" s="29">
        <f>IF(S47="","",SUMIFS(Payments!$L$5:$L$304,Payments!$B$5:$B$304,"&gt;="&amp;S47,Payments!$B$5:$B$304,"&lt;="&amp;T47))</f>
        <v>0</v>
      </c>
      <c r="W47" s="29">
        <f>IF(S47="","",SUMIFS(Invoices!$O$5:$O$304,Invoices!$B$5:$B$304,"&gt;="&amp;S47,Invoices!$B$5:$B$304,"&lt;="&amp;T47,Invoices!$T$5:$T$304,"&lt;&gt;Cancelled"))</f>
        <v>0</v>
      </c>
      <c r="X47" s="29">
        <f>IF(S47="","",SUMIFS(Expenses!$F$5:$F$304,Expenses!$B$5:$B$304,"&gt;="&amp;S47,Expenses!$B$5:$B$304,"&lt;="&amp;T47,Expenses!$J$5:$J$304,"&lt;&gt;Personal"))</f>
        <v>0</v>
      </c>
      <c r="Y47" s="29">
        <f>IF(S47="","",V47-X47)</f>
        <v>0</v>
      </c>
      <c r="Z47" s="31">
        <f>IF(S47="","",COUNTIFS(Bookings!$I$5:$I$404,"&gt;="&amp;S47,Bookings!$I$5:$I$404,"&lt;="&amp;T47,Bookings!$AM$5:$AM$404,"&lt;&gt;Cancelled"))</f>
        <v>0</v>
      </c>
      <c r="AA47" s="31">
        <f>IF(S47="","",COUNTIFS(Bookings!$I$5:$I$404,"&gt;="&amp;S47,Bookings!$I$5:$I$404,"&lt;="&amp;T47,Bookings!$AM$5:$AM$404,"Completed"))</f>
        <v>0</v>
      </c>
      <c r="AB47" s="31">
        <f>IF(S47="","",COUNTIFS(Bookings!$I$5:$I$404,"&gt;="&amp;S47,Bookings!$I$5:$I$404,"&lt;="&amp;T47,Bookings!$AM$5:$AM$404,"Cancelled"))</f>
        <v>0</v>
      </c>
      <c r="AC47" s="31">
        <f>IF(S47="","",COUNTIFS('Visit Log'!$C$5:$C$404,"&gt;="&amp;S47,'Visit Log'!$C$5:$C$404,"&lt;="&amp;T47,'Visit Log'!$AE$5:$AE$404,"Completed"))</f>
        <v>0</v>
      </c>
      <c r="AD47" s="31">
        <f>IF(S47="","",COUNTIFS(Clients!$L$5:$L$254,"&gt;="&amp;S47,Clients!$L$5:$L$254,"&lt;="&amp;T47))</f>
        <v>0</v>
      </c>
      <c r="AE47" s="32">
        <f>IF(S47="","",SUMIFS(Mileage!$M$5:$M$304,Mileage!$B$5:$B$304,"&gt;="&amp;S47,Mileage!$B$5:$B$304,"&lt;="&amp;T47,Mileage!$N$5:$N$304,"Business"))</f>
        <v>0</v>
      </c>
      <c r="AF47" s="29">
        <f>IF(S47="","",SUMIFS(Payments!$L$5:$L$304,Payments!$B$5:$B$304,"&gt;="&amp;DATE(Dash_Year-1,ROW()-4,1),Payments!$B$5:$B$304,"&lt;="&amp;EOMONTH(DATE(Dash_Year-1,ROW()-4,1),0)))</f>
        <v>0</v>
      </c>
      <c r="AG47" s="28">
        <f>IF(Staff!$B$47="","",Staff!$B$47)</f>
        <v>0</v>
      </c>
      <c r="AH47" s="31">
        <f>IF(AG47="","",COUNTIFS('Visit Log'!$G$5:$G$404,AG47,'Visit Log'!$C$5:$C$404,"&gt;="&amp;RepFrom,'Visit Log'!$C$5:$C$404,"&lt;="&amp;RepTo,'Visit Log'!$AE$5:$AE$404,"Completed"))</f>
        <v>0</v>
      </c>
      <c r="AI47" s="51">
        <f>IF(AG47="","",ROUND(SUMIFS('Visit Log'!$K$5:$K$404,'Visit Log'!$G$5:$G$404,AG47,'Visit Log'!$C$5:$C$404,"&gt;="&amp;RepFrom,'Visit Log'!$C$5:$C$404,"&lt;="&amp;RepTo,'Visit Log'!$AE$5:$AE$404,"Completed")/60,2))</f>
        <v>0</v>
      </c>
      <c r="AJ47" s="29">
        <f>IF(AG47="","",SUMIFS(Bookings!$AK$5:$AK$404,Bookings!$AL$5:$AL$404,AG47,Bookings!$I$5:$I$404,"&gt;="&amp;RepFrom,Bookings!$I$5:$I$404,"&lt;="&amp;RepTo,Bookings!$AM$5:$AM$404,"&lt;&gt;Cancelled"))</f>
        <v>0</v>
      </c>
      <c r="AK47" s="32">
        <f>IF(AG47="","",SUMIFS(Mileage!$M$5:$M$304,Mileage!$C$5:$C$304,AG47,Mileage!$B$5:$B$304,"&gt;="&amp;RepFrom,Mileage!$B$5:$B$304,"&lt;="&amp;RepTo))</f>
        <v>0</v>
      </c>
      <c r="AL47" s="28">
        <f>IF(Lists!$Q47="","",Lists!$Q47)</f>
        <v>0</v>
      </c>
      <c r="AM47" s="31">
        <f>IF(AL47="","",COUNTIFS(Bookings!$AV$5:$AV$404,AL47,Bookings!$I$5:$I$404,"&gt;="&amp;RepFrom,Bookings!$I$5:$I$404,"&lt;="&amp;RepTo))</f>
        <v>0</v>
      </c>
      <c r="AN47" s="28">
        <f>IF(Lists!$AF47="","",Lists!$AF47)</f>
        <v>0</v>
      </c>
      <c r="AO47" s="29">
        <f>IF(AN47="","",SUMIFS(Payments!$L$5:$L$304,Payments!$F$5:$F$304,AN47,Payments!$B$5:$B$304,"&gt;="&amp;RepFrom,Payments!$B$5:$B$304,"&lt;="&amp;RepTo))</f>
        <v>0</v>
      </c>
      <c r="AP47" s="28">
        <f>IF(Lists!$E47="","",Lists!$E47)</f>
        <v>0</v>
      </c>
      <c r="AQ47" s="31">
        <f>IF(AP47="","",COUNTIFS(Clients!$K$5:$K$254,AP47))</f>
        <v>0</v>
      </c>
      <c r="AR47" s="29">
        <f>IF(AP47="","",SUMIFS(Clients!$AE$5:$AE$254,Clients!$K$5:$K$254,AP47))</f>
        <v>0</v>
      </c>
    </row>
    <row r="48" spans="1:44">
      <c r="A48" s="28">
        <f>IF(Clients!$B$48="","",Clients!$B$48)</f>
        <v>0</v>
      </c>
      <c r="B48" s="29">
        <f>IF(A48="","",SUMIFS(Payments!$L$5:$L$304,Payments!$C$5:$C$304,A48,Payments!$B$5:$B$304,"&gt;="&amp;PeriodStart,Payments!$B$5:$B$304,"&lt;="&amp;PeriodEnd))</f>
        <v>0</v>
      </c>
      <c r="C48" s="51">
        <f>IF(A48="","",IF(B48&lt;=0,"",B48+ROW()/1000000))</f>
        <v>0</v>
      </c>
      <c r="D48" s="29">
        <f>IF(A48="","",SUMIFS(Payments!$L$5:$L$304,Payments!$C$5:$C$304,A48,Payments!$B$5:$B$304,"&gt;="&amp;RepFrom,Payments!$B$5:$B$304,"&lt;="&amp;RepTo))</f>
        <v>0</v>
      </c>
      <c r="E48" s="51">
        <f>IF(A48="","",IF(D48&lt;=0,"",D48+ROW()/1000000))</f>
        <v>0</v>
      </c>
      <c r="F48" s="29">
        <f>IF(A48="","",SUMIFS(Invoices!$S$5:$S$304,Invoices!$D$5:$D$304,A48,Invoices!$T$5:$T$304,"&lt;&gt;Cancelled"))</f>
        <v>0</v>
      </c>
      <c r="G48" s="51">
        <f>IF(A48="","",IF(F48&lt;=0.004,"",F48+ROW()/1000000))</f>
        <v>0</v>
      </c>
      <c r="H48" s="31">
        <f>IF(A48="","",COUNTIFS(Bookings!$C$5:$C$404,A48,Bookings!$I$5:$I$404,"&gt;="&amp;RepFrom,Bookings!$I$5:$I$404,"&lt;="&amp;RepTo,Bookings!$AM$5:$AM$404,"&lt;&gt;Cancelled"))</f>
        <v>0</v>
      </c>
      <c r="I48" s="28">
        <f>IF(Services!$B$48="","",Services!$B$48)</f>
        <v>0</v>
      </c>
      <c r="J48" s="29">
        <f>IF(I48="","",SUMIFS(Bookings!$AK$5:$AK$404,Bookings!$H$5:$H$404,I48,Bookings!$I$5:$I$404,"&gt;="&amp;PeriodStart,Bookings!$I$5:$I$404,"&lt;="&amp;PeriodEnd,Bookings!$AM$5:$AM$404,"&lt;&gt;Cancelled"))</f>
        <v>0</v>
      </c>
      <c r="K48" s="31">
        <f>IF(I48="","",COUNTIFS(Bookings!$H$5:$H$404,I48,Bookings!$I$5:$I$404,"&gt;="&amp;PeriodStart,Bookings!$I$5:$I$404,"&lt;="&amp;PeriodEnd,Bookings!$AM$5:$AM$404,"&lt;&gt;Cancelled"))</f>
        <v>0</v>
      </c>
      <c r="L48" s="29">
        <f>IF(I48="","",SUMIFS(Bookings!$AK$5:$AK$404,Bookings!$H$5:$H$404,I48,Bookings!$I$5:$I$404,"&gt;="&amp;RepFrom,Bookings!$I$5:$I$404,"&lt;="&amp;RepTo,Bookings!$AM$5:$AM$404,"&lt;&gt;Cancelled"))</f>
        <v>0</v>
      </c>
      <c r="M48" s="31">
        <f>IF(I48="","",COUNTIFS(Bookings!$H$5:$H$404,I48,Bookings!$I$5:$I$404,"&gt;="&amp;RepFrom,Bookings!$I$5:$I$404,"&lt;="&amp;RepTo,Bookings!$AM$5:$AM$404,"&lt;&gt;Cancelled"))</f>
        <v>0</v>
      </c>
      <c r="N48" s="29">
        <f>IF(I48="","",M48*IF(Services!$L$48="",0,Services!$L$48))</f>
        <v>0</v>
      </c>
      <c r="O48" s="29">
        <f>IF(I48="","",L48-N48)</f>
        <v>0</v>
      </c>
      <c r="P48" s="28">
        <f>IF(Lists!$AG48="","",Lists!$AG48)</f>
        <v>0</v>
      </c>
      <c r="Q48" s="29">
        <f>IF(P48="","",SUMIFS(Expenses!$F$5:$F$304,Expenses!$C$5:$C$304,P48,Expenses!$B$5:$B$304,"&gt;="&amp;PeriodStart,Expenses!$B$5:$B$304,"&lt;="&amp;PeriodEnd,Expenses!$J$5:$J$304,"&lt;&gt;Personal"))</f>
        <v>0</v>
      </c>
      <c r="R48" s="29">
        <f>IF(P48="","",SUMIFS(Expenses!$F$5:$F$304,Expenses!$C$5:$C$304,P48,Expenses!$B$5:$B$304,"&gt;="&amp;RepFrom,Expenses!$B$5:$B$304,"&lt;="&amp;RepTo,Expenses!$J$5:$J$304,"&lt;&gt;Personal"))</f>
        <v>0</v>
      </c>
      <c r="S48" s="21">
        <f>IF(ROW()-4&gt;12,"",DATE(Dash_Year,ROW()-4,1))</f>
        <v>0</v>
      </c>
      <c r="T48" s="21">
        <f>IF(S48="","",EOMONTH(S48,0))</f>
        <v>0</v>
      </c>
      <c r="U48" s="28">
        <f>IF(S48="","",TEXT(S48,"mmm"))</f>
        <v>0</v>
      </c>
      <c r="V48" s="29">
        <f>IF(S48="","",SUMIFS(Payments!$L$5:$L$304,Payments!$B$5:$B$304,"&gt;="&amp;S48,Payments!$B$5:$B$304,"&lt;="&amp;T48))</f>
        <v>0</v>
      </c>
      <c r="W48" s="29">
        <f>IF(S48="","",SUMIFS(Invoices!$O$5:$O$304,Invoices!$B$5:$B$304,"&gt;="&amp;S48,Invoices!$B$5:$B$304,"&lt;="&amp;T48,Invoices!$T$5:$T$304,"&lt;&gt;Cancelled"))</f>
        <v>0</v>
      </c>
      <c r="X48" s="29">
        <f>IF(S48="","",SUMIFS(Expenses!$F$5:$F$304,Expenses!$B$5:$B$304,"&gt;="&amp;S48,Expenses!$B$5:$B$304,"&lt;="&amp;T48,Expenses!$J$5:$J$304,"&lt;&gt;Personal"))</f>
        <v>0</v>
      </c>
      <c r="Y48" s="29">
        <f>IF(S48="","",V48-X48)</f>
        <v>0</v>
      </c>
      <c r="Z48" s="31">
        <f>IF(S48="","",COUNTIFS(Bookings!$I$5:$I$404,"&gt;="&amp;S48,Bookings!$I$5:$I$404,"&lt;="&amp;T48,Bookings!$AM$5:$AM$404,"&lt;&gt;Cancelled"))</f>
        <v>0</v>
      </c>
      <c r="AA48" s="31">
        <f>IF(S48="","",COUNTIFS(Bookings!$I$5:$I$404,"&gt;="&amp;S48,Bookings!$I$5:$I$404,"&lt;="&amp;T48,Bookings!$AM$5:$AM$404,"Completed"))</f>
        <v>0</v>
      </c>
      <c r="AB48" s="31">
        <f>IF(S48="","",COUNTIFS(Bookings!$I$5:$I$404,"&gt;="&amp;S48,Bookings!$I$5:$I$404,"&lt;="&amp;T48,Bookings!$AM$5:$AM$404,"Cancelled"))</f>
        <v>0</v>
      </c>
      <c r="AC48" s="31">
        <f>IF(S48="","",COUNTIFS('Visit Log'!$C$5:$C$404,"&gt;="&amp;S48,'Visit Log'!$C$5:$C$404,"&lt;="&amp;T48,'Visit Log'!$AE$5:$AE$404,"Completed"))</f>
        <v>0</v>
      </c>
      <c r="AD48" s="31">
        <f>IF(S48="","",COUNTIFS(Clients!$L$5:$L$254,"&gt;="&amp;S48,Clients!$L$5:$L$254,"&lt;="&amp;T48))</f>
        <v>0</v>
      </c>
      <c r="AE48" s="32">
        <f>IF(S48="","",SUMIFS(Mileage!$M$5:$M$304,Mileage!$B$5:$B$304,"&gt;="&amp;S48,Mileage!$B$5:$B$304,"&lt;="&amp;T48,Mileage!$N$5:$N$304,"Business"))</f>
        <v>0</v>
      </c>
      <c r="AF48" s="29">
        <f>IF(S48="","",SUMIFS(Payments!$L$5:$L$304,Payments!$B$5:$B$304,"&gt;="&amp;DATE(Dash_Year-1,ROW()-4,1),Payments!$B$5:$B$304,"&lt;="&amp;EOMONTH(DATE(Dash_Year-1,ROW()-4,1),0)))</f>
        <v>0</v>
      </c>
      <c r="AG48" s="28">
        <f>IF(Staff!$B$48="","",Staff!$B$48)</f>
        <v>0</v>
      </c>
      <c r="AH48" s="31">
        <f>IF(AG48="","",COUNTIFS('Visit Log'!$G$5:$G$404,AG48,'Visit Log'!$C$5:$C$404,"&gt;="&amp;RepFrom,'Visit Log'!$C$5:$C$404,"&lt;="&amp;RepTo,'Visit Log'!$AE$5:$AE$404,"Completed"))</f>
        <v>0</v>
      </c>
      <c r="AI48" s="51">
        <f>IF(AG48="","",ROUND(SUMIFS('Visit Log'!$K$5:$K$404,'Visit Log'!$G$5:$G$404,AG48,'Visit Log'!$C$5:$C$404,"&gt;="&amp;RepFrom,'Visit Log'!$C$5:$C$404,"&lt;="&amp;RepTo,'Visit Log'!$AE$5:$AE$404,"Completed")/60,2))</f>
        <v>0</v>
      </c>
      <c r="AJ48" s="29">
        <f>IF(AG48="","",SUMIFS(Bookings!$AK$5:$AK$404,Bookings!$AL$5:$AL$404,AG48,Bookings!$I$5:$I$404,"&gt;="&amp;RepFrom,Bookings!$I$5:$I$404,"&lt;="&amp;RepTo,Bookings!$AM$5:$AM$404,"&lt;&gt;Cancelled"))</f>
        <v>0</v>
      </c>
      <c r="AK48" s="32">
        <f>IF(AG48="","",SUMIFS(Mileage!$M$5:$M$304,Mileage!$C$5:$C$304,AG48,Mileage!$B$5:$B$304,"&gt;="&amp;RepFrom,Mileage!$B$5:$B$304,"&lt;="&amp;RepTo))</f>
        <v>0</v>
      </c>
      <c r="AL48" s="28">
        <f>IF(Lists!$Q48="","",Lists!$Q48)</f>
        <v>0</v>
      </c>
      <c r="AM48" s="31">
        <f>IF(AL48="","",COUNTIFS(Bookings!$AV$5:$AV$404,AL48,Bookings!$I$5:$I$404,"&gt;="&amp;RepFrom,Bookings!$I$5:$I$404,"&lt;="&amp;RepTo))</f>
        <v>0</v>
      </c>
      <c r="AN48" s="28">
        <f>IF(Lists!$AF48="","",Lists!$AF48)</f>
        <v>0</v>
      </c>
      <c r="AO48" s="29">
        <f>IF(AN48="","",SUMIFS(Payments!$L$5:$L$304,Payments!$F$5:$F$304,AN48,Payments!$B$5:$B$304,"&gt;="&amp;RepFrom,Payments!$B$5:$B$304,"&lt;="&amp;RepTo))</f>
        <v>0</v>
      </c>
      <c r="AP48" s="28">
        <f>IF(Lists!$E48="","",Lists!$E48)</f>
        <v>0</v>
      </c>
      <c r="AQ48" s="31">
        <f>IF(AP48="","",COUNTIFS(Clients!$K$5:$K$254,AP48))</f>
        <v>0</v>
      </c>
      <c r="AR48" s="29">
        <f>IF(AP48="","",SUMIFS(Clients!$AE$5:$AE$254,Clients!$K$5:$K$254,AP48))</f>
        <v>0</v>
      </c>
    </row>
    <row r="49" spans="1:44">
      <c r="A49" s="28">
        <f>IF(Clients!$B$49="","",Clients!$B$49)</f>
        <v>0</v>
      </c>
      <c r="B49" s="29">
        <f>IF(A49="","",SUMIFS(Payments!$L$5:$L$304,Payments!$C$5:$C$304,A49,Payments!$B$5:$B$304,"&gt;="&amp;PeriodStart,Payments!$B$5:$B$304,"&lt;="&amp;PeriodEnd))</f>
        <v>0</v>
      </c>
      <c r="C49" s="51">
        <f>IF(A49="","",IF(B49&lt;=0,"",B49+ROW()/1000000))</f>
        <v>0</v>
      </c>
      <c r="D49" s="29">
        <f>IF(A49="","",SUMIFS(Payments!$L$5:$L$304,Payments!$C$5:$C$304,A49,Payments!$B$5:$B$304,"&gt;="&amp;RepFrom,Payments!$B$5:$B$304,"&lt;="&amp;RepTo))</f>
        <v>0</v>
      </c>
      <c r="E49" s="51">
        <f>IF(A49="","",IF(D49&lt;=0,"",D49+ROW()/1000000))</f>
        <v>0</v>
      </c>
      <c r="F49" s="29">
        <f>IF(A49="","",SUMIFS(Invoices!$S$5:$S$304,Invoices!$D$5:$D$304,A49,Invoices!$T$5:$T$304,"&lt;&gt;Cancelled"))</f>
        <v>0</v>
      </c>
      <c r="G49" s="51">
        <f>IF(A49="","",IF(F49&lt;=0.004,"",F49+ROW()/1000000))</f>
        <v>0</v>
      </c>
      <c r="H49" s="31">
        <f>IF(A49="","",COUNTIFS(Bookings!$C$5:$C$404,A49,Bookings!$I$5:$I$404,"&gt;="&amp;RepFrom,Bookings!$I$5:$I$404,"&lt;="&amp;RepTo,Bookings!$AM$5:$AM$404,"&lt;&gt;Cancelled"))</f>
        <v>0</v>
      </c>
      <c r="I49" s="28">
        <f>IF(Services!$B$49="","",Services!$B$49)</f>
        <v>0</v>
      </c>
      <c r="J49" s="29">
        <f>IF(I49="","",SUMIFS(Bookings!$AK$5:$AK$404,Bookings!$H$5:$H$404,I49,Bookings!$I$5:$I$404,"&gt;="&amp;PeriodStart,Bookings!$I$5:$I$404,"&lt;="&amp;PeriodEnd,Bookings!$AM$5:$AM$404,"&lt;&gt;Cancelled"))</f>
        <v>0</v>
      </c>
      <c r="K49" s="31">
        <f>IF(I49="","",COUNTIFS(Bookings!$H$5:$H$404,I49,Bookings!$I$5:$I$404,"&gt;="&amp;PeriodStart,Bookings!$I$5:$I$404,"&lt;="&amp;PeriodEnd,Bookings!$AM$5:$AM$404,"&lt;&gt;Cancelled"))</f>
        <v>0</v>
      </c>
      <c r="L49" s="29">
        <f>IF(I49="","",SUMIFS(Bookings!$AK$5:$AK$404,Bookings!$H$5:$H$404,I49,Bookings!$I$5:$I$404,"&gt;="&amp;RepFrom,Bookings!$I$5:$I$404,"&lt;="&amp;RepTo,Bookings!$AM$5:$AM$404,"&lt;&gt;Cancelled"))</f>
        <v>0</v>
      </c>
      <c r="M49" s="31">
        <f>IF(I49="","",COUNTIFS(Bookings!$H$5:$H$404,I49,Bookings!$I$5:$I$404,"&gt;="&amp;RepFrom,Bookings!$I$5:$I$404,"&lt;="&amp;RepTo,Bookings!$AM$5:$AM$404,"&lt;&gt;Cancelled"))</f>
        <v>0</v>
      </c>
      <c r="N49" s="29">
        <f>IF(I49="","",M49*IF(Services!$L$49="",0,Services!$L$49))</f>
        <v>0</v>
      </c>
      <c r="O49" s="29">
        <f>IF(I49="","",L49-N49)</f>
        <v>0</v>
      </c>
      <c r="P49" s="28">
        <f>IF(Lists!$AG49="","",Lists!$AG49)</f>
        <v>0</v>
      </c>
      <c r="Q49" s="29">
        <f>IF(P49="","",SUMIFS(Expenses!$F$5:$F$304,Expenses!$C$5:$C$304,P49,Expenses!$B$5:$B$304,"&gt;="&amp;PeriodStart,Expenses!$B$5:$B$304,"&lt;="&amp;PeriodEnd,Expenses!$J$5:$J$304,"&lt;&gt;Personal"))</f>
        <v>0</v>
      </c>
      <c r="R49" s="29">
        <f>IF(P49="","",SUMIFS(Expenses!$F$5:$F$304,Expenses!$C$5:$C$304,P49,Expenses!$B$5:$B$304,"&gt;="&amp;RepFrom,Expenses!$B$5:$B$304,"&lt;="&amp;RepTo,Expenses!$J$5:$J$304,"&lt;&gt;Personal"))</f>
        <v>0</v>
      </c>
      <c r="S49" s="21">
        <f>IF(ROW()-4&gt;12,"",DATE(Dash_Year,ROW()-4,1))</f>
        <v>0</v>
      </c>
      <c r="T49" s="21">
        <f>IF(S49="","",EOMONTH(S49,0))</f>
        <v>0</v>
      </c>
      <c r="U49" s="28">
        <f>IF(S49="","",TEXT(S49,"mmm"))</f>
        <v>0</v>
      </c>
      <c r="V49" s="29">
        <f>IF(S49="","",SUMIFS(Payments!$L$5:$L$304,Payments!$B$5:$B$304,"&gt;="&amp;S49,Payments!$B$5:$B$304,"&lt;="&amp;T49))</f>
        <v>0</v>
      </c>
      <c r="W49" s="29">
        <f>IF(S49="","",SUMIFS(Invoices!$O$5:$O$304,Invoices!$B$5:$B$304,"&gt;="&amp;S49,Invoices!$B$5:$B$304,"&lt;="&amp;T49,Invoices!$T$5:$T$304,"&lt;&gt;Cancelled"))</f>
        <v>0</v>
      </c>
      <c r="X49" s="29">
        <f>IF(S49="","",SUMIFS(Expenses!$F$5:$F$304,Expenses!$B$5:$B$304,"&gt;="&amp;S49,Expenses!$B$5:$B$304,"&lt;="&amp;T49,Expenses!$J$5:$J$304,"&lt;&gt;Personal"))</f>
        <v>0</v>
      </c>
      <c r="Y49" s="29">
        <f>IF(S49="","",V49-X49)</f>
        <v>0</v>
      </c>
      <c r="Z49" s="31">
        <f>IF(S49="","",COUNTIFS(Bookings!$I$5:$I$404,"&gt;="&amp;S49,Bookings!$I$5:$I$404,"&lt;="&amp;T49,Bookings!$AM$5:$AM$404,"&lt;&gt;Cancelled"))</f>
        <v>0</v>
      </c>
      <c r="AA49" s="31">
        <f>IF(S49="","",COUNTIFS(Bookings!$I$5:$I$404,"&gt;="&amp;S49,Bookings!$I$5:$I$404,"&lt;="&amp;T49,Bookings!$AM$5:$AM$404,"Completed"))</f>
        <v>0</v>
      </c>
      <c r="AB49" s="31">
        <f>IF(S49="","",COUNTIFS(Bookings!$I$5:$I$404,"&gt;="&amp;S49,Bookings!$I$5:$I$404,"&lt;="&amp;T49,Bookings!$AM$5:$AM$404,"Cancelled"))</f>
        <v>0</v>
      </c>
      <c r="AC49" s="31">
        <f>IF(S49="","",COUNTIFS('Visit Log'!$C$5:$C$404,"&gt;="&amp;S49,'Visit Log'!$C$5:$C$404,"&lt;="&amp;T49,'Visit Log'!$AE$5:$AE$404,"Completed"))</f>
        <v>0</v>
      </c>
      <c r="AD49" s="31">
        <f>IF(S49="","",COUNTIFS(Clients!$L$5:$L$254,"&gt;="&amp;S49,Clients!$L$5:$L$254,"&lt;="&amp;T49))</f>
        <v>0</v>
      </c>
      <c r="AE49" s="32">
        <f>IF(S49="","",SUMIFS(Mileage!$M$5:$M$304,Mileage!$B$5:$B$304,"&gt;="&amp;S49,Mileage!$B$5:$B$304,"&lt;="&amp;T49,Mileage!$N$5:$N$304,"Business"))</f>
        <v>0</v>
      </c>
      <c r="AF49" s="29">
        <f>IF(S49="","",SUMIFS(Payments!$L$5:$L$304,Payments!$B$5:$B$304,"&gt;="&amp;DATE(Dash_Year-1,ROW()-4,1),Payments!$B$5:$B$304,"&lt;="&amp;EOMONTH(DATE(Dash_Year-1,ROW()-4,1),0)))</f>
        <v>0</v>
      </c>
      <c r="AG49" s="28">
        <f>IF(Staff!$B$49="","",Staff!$B$49)</f>
        <v>0</v>
      </c>
      <c r="AH49" s="31">
        <f>IF(AG49="","",COUNTIFS('Visit Log'!$G$5:$G$404,AG49,'Visit Log'!$C$5:$C$404,"&gt;="&amp;RepFrom,'Visit Log'!$C$5:$C$404,"&lt;="&amp;RepTo,'Visit Log'!$AE$5:$AE$404,"Completed"))</f>
        <v>0</v>
      </c>
      <c r="AI49" s="51">
        <f>IF(AG49="","",ROUND(SUMIFS('Visit Log'!$K$5:$K$404,'Visit Log'!$G$5:$G$404,AG49,'Visit Log'!$C$5:$C$404,"&gt;="&amp;RepFrom,'Visit Log'!$C$5:$C$404,"&lt;="&amp;RepTo,'Visit Log'!$AE$5:$AE$404,"Completed")/60,2))</f>
        <v>0</v>
      </c>
      <c r="AJ49" s="29">
        <f>IF(AG49="","",SUMIFS(Bookings!$AK$5:$AK$404,Bookings!$AL$5:$AL$404,AG49,Bookings!$I$5:$I$404,"&gt;="&amp;RepFrom,Bookings!$I$5:$I$404,"&lt;="&amp;RepTo,Bookings!$AM$5:$AM$404,"&lt;&gt;Cancelled"))</f>
        <v>0</v>
      </c>
      <c r="AK49" s="32">
        <f>IF(AG49="","",SUMIFS(Mileage!$M$5:$M$304,Mileage!$C$5:$C$304,AG49,Mileage!$B$5:$B$304,"&gt;="&amp;RepFrom,Mileage!$B$5:$B$304,"&lt;="&amp;RepTo))</f>
        <v>0</v>
      </c>
      <c r="AL49" s="28">
        <f>IF(Lists!$Q49="","",Lists!$Q49)</f>
        <v>0</v>
      </c>
      <c r="AM49" s="31">
        <f>IF(AL49="","",COUNTIFS(Bookings!$AV$5:$AV$404,AL49,Bookings!$I$5:$I$404,"&gt;="&amp;RepFrom,Bookings!$I$5:$I$404,"&lt;="&amp;RepTo))</f>
        <v>0</v>
      </c>
      <c r="AN49" s="28">
        <f>IF(Lists!$AF49="","",Lists!$AF49)</f>
        <v>0</v>
      </c>
      <c r="AO49" s="29">
        <f>IF(AN49="","",SUMIFS(Payments!$L$5:$L$304,Payments!$F$5:$F$304,AN49,Payments!$B$5:$B$304,"&gt;="&amp;RepFrom,Payments!$B$5:$B$304,"&lt;="&amp;RepTo))</f>
        <v>0</v>
      </c>
      <c r="AP49" s="28">
        <f>IF(Lists!$E49="","",Lists!$E49)</f>
        <v>0</v>
      </c>
      <c r="AQ49" s="31">
        <f>IF(AP49="","",COUNTIFS(Clients!$K$5:$K$254,AP49))</f>
        <v>0</v>
      </c>
      <c r="AR49" s="29">
        <f>IF(AP49="","",SUMIFS(Clients!$AE$5:$AE$254,Clients!$K$5:$K$254,AP49))</f>
        <v>0</v>
      </c>
    </row>
    <row r="50" spans="1:44">
      <c r="A50" s="28">
        <f>IF(Clients!$B$50="","",Clients!$B$50)</f>
        <v>0</v>
      </c>
      <c r="B50" s="29">
        <f>IF(A50="","",SUMIFS(Payments!$L$5:$L$304,Payments!$C$5:$C$304,A50,Payments!$B$5:$B$304,"&gt;="&amp;PeriodStart,Payments!$B$5:$B$304,"&lt;="&amp;PeriodEnd))</f>
        <v>0</v>
      </c>
      <c r="C50" s="51">
        <f>IF(A50="","",IF(B50&lt;=0,"",B50+ROW()/1000000))</f>
        <v>0</v>
      </c>
      <c r="D50" s="29">
        <f>IF(A50="","",SUMIFS(Payments!$L$5:$L$304,Payments!$C$5:$C$304,A50,Payments!$B$5:$B$304,"&gt;="&amp;RepFrom,Payments!$B$5:$B$304,"&lt;="&amp;RepTo))</f>
        <v>0</v>
      </c>
      <c r="E50" s="51">
        <f>IF(A50="","",IF(D50&lt;=0,"",D50+ROW()/1000000))</f>
        <v>0</v>
      </c>
      <c r="F50" s="29">
        <f>IF(A50="","",SUMIFS(Invoices!$S$5:$S$304,Invoices!$D$5:$D$304,A50,Invoices!$T$5:$T$304,"&lt;&gt;Cancelled"))</f>
        <v>0</v>
      </c>
      <c r="G50" s="51">
        <f>IF(A50="","",IF(F50&lt;=0.004,"",F50+ROW()/1000000))</f>
        <v>0</v>
      </c>
      <c r="H50" s="31">
        <f>IF(A50="","",COUNTIFS(Bookings!$C$5:$C$404,A50,Bookings!$I$5:$I$404,"&gt;="&amp;RepFrom,Bookings!$I$5:$I$404,"&lt;="&amp;RepTo,Bookings!$AM$5:$AM$404,"&lt;&gt;Cancelled"))</f>
        <v>0</v>
      </c>
      <c r="I50" s="28">
        <f>IF(Services!$B$50="","",Services!$B$50)</f>
        <v>0</v>
      </c>
      <c r="J50" s="29">
        <f>IF(I50="","",SUMIFS(Bookings!$AK$5:$AK$404,Bookings!$H$5:$H$404,I50,Bookings!$I$5:$I$404,"&gt;="&amp;PeriodStart,Bookings!$I$5:$I$404,"&lt;="&amp;PeriodEnd,Bookings!$AM$5:$AM$404,"&lt;&gt;Cancelled"))</f>
        <v>0</v>
      </c>
      <c r="K50" s="31">
        <f>IF(I50="","",COUNTIFS(Bookings!$H$5:$H$404,I50,Bookings!$I$5:$I$404,"&gt;="&amp;PeriodStart,Bookings!$I$5:$I$404,"&lt;="&amp;PeriodEnd,Bookings!$AM$5:$AM$404,"&lt;&gt;Cancelled"))</f>
        <v>0</v>
      </c>
      <c r="L50" s="29">
        <f>IF(I50="","",SUMIFS(Bookings!$AK$5:$AK$404,Bookings!$H$5:$H$404,I50,Bookings!$I$5:$I$404,"&gt;="&amp;RepFrom,Bookings!$I$5:$I$404,"&lt;="&amp;RepTo,Bookings!$AM$5:$AM$404,"&lt;&gt;Cancelled"))</f>
        <v>0</v>
      </c>
      <c r="M50" s="31">
        <f>IF(I50="","",COUNTIFS(Bookings!$H$5:$H$404,I50,Bookings!$I$5:$I$404,"&gt;="&amp;RepFrom,Bookings!$I$5:$I$404,"&lt;="&amp;RepTo,Bookings!$AM$5:$AM$404,"&lt;&gt;Cancelled"))</f>
        <v>0</v>
      </c>
      <c r="N50" s="29">
        <f>IF(I50="","",M50*IF(Services!$L$50="",0,Services!$L$50))</f>
        <v>0</v>
      </c>
      <c r="O50" s="29">
        <f>IF(I50="","",L50-N50)</f>
        <v>0</v>
      </c>
      <c r="P50" s="28">
        <f>IF(Lists!$AG50="","",Lists!$AG50)</f>
        <v>0</v>
      </c>
      <c r="Q50" s="29">
        <f>IF(P50="","",SUMIFS(Expenses!$F$5:$F$304,Expenses!$C$5:$C$304,P50,Expenses!$B$5:$B$304,"&gt;="&amp;PeriodStart,Expenses!$B$5:$B$304,"&lt;="&amp;PeriodEnd,Expenses!$J$5:$J$304,"&lt;&gt;Personal"))</f>
        <v>0</v>
      </c>
      <c r="R50" s="29">
        <f>IF(P50="","",SUMIFS(Expenses!$F$5:$F$304,Expenses!$C$5:$C$304,P50,Expenses!$B$5:$B$304,"&gt;="&amp;RepFrom,Expenses!$B$5:$B$304,"&lt;="&amp;RepTo,Expenses!$J$5:$J$304,"&lt;&gt;Personal"))</f>
        <v>0</v>
      </c>
      <c r="S50" s="21">
        <f>IF(ROW()-4&gt;12,"",DATE(Dash_Year,ROW()-4,1))</f>
        <v>0</v>
      </c>
      <c r="T50" s="21">
        <f>IF(S50="","",EOMONTH(S50,0))</f>
        <v>0</v>
      </c>
      <c r="U50" s="28">
        <f>IF(S50="","",TEXT(S50,"mmm"))</f>
        <v>0</v>
      </c>
      <c r="V50" s="29">
        <f>IF(S50="","",SUMIFS(Payments!$L$5:$L$304,Payments!$B$5:$B$304,"&gt;="&amp;S50,Payments!$B$5:$B$304,"&lt;="&amp;T50))</f>
        <v>0</v>
      </c>
      <c r="W50" s="29">
        <f>IF(S50="","",SUMIFS(Invoices!$O$5:$O$304,Invoices!$B$5:$B$304,"&gt;="&amp;S50,Invoices!$B$5:$B$304,"&lt;="&amp;T50,Invoices!$T$5:$T$304,"&lt;&gt;Cancelled"))</f>
        <v>0</v>
      </c>
      <c r="X50" s="29">
        <f>IF(S50="","",SUMIFS(Expenses!$F$5:$F$304,Expenses!$B$5:$B$304,"&gt;="&amp;S50,Expenses!$B$5:$B$304,"&lt;="&amp;T50,Expenses!$J$5:$J$304,"&lt;&gt;Personal"))</f>
        <v>0</v>
      </c>
      <c r="Y50" s="29">
        <f>IF(S50="","",V50-X50)</f>
        <v>0</v>
      </c>
      <c r="Z50" s="31">
        <f>IF(S50="","",COUNTIFS(Bookings!$I$5:$I$404,"&gt;="&amp;S50,Bookings!$I$5:$I$404,"&lt;="&amp;T50,Bookings!$AM$5:$AM$404,"&lt;&gt;Cancelled"))</f>
        <v>0</v>
      </c>
      <c r="AA50" s="31">
        <f>IF(S50="","",COUNTIFS(Bookings!$I$5:$I$404,"&gt;="&amp;S50,Bookings!$I$5:$I$404,"&lt;="&amp;T50,Bookings!$AM$5:$AM$404,"Completed"))</f>
        <v>0</v>
      </c>
      <c r="AB50" s="31">
        <f>IF(S50="","",COUNTIFS(Bookings!$I$5:$I$404,"&gt;="&amp;S50,Bookings!$I$5:$I$404,"&lt;="&amp;T50,Bookings!$AM$5:$AM$404,"Cancelled"))</f>
        <v>0</v>
      </c>
      <c r="AC50" s="31">
        <f>IF(S50="","",COUNTIFS('Visit Log'!$C$5:$C$404,"&gt;="&amp;S50,'Visit Log'!$C$5:$C$404,"&lt;="&amp;T50,'Visit Log'!$AE$5:$AE$404,"Completed"))</f>
        <v>0</v>
      </c>
      <c r="AD50" s="31">
        <f>IF(S50="","",COUNTIFS(Clients!$L$5:$L$254,"&gt;="&amp;S50,Clients!$L$5:$L$254,"&lt;="&amp;T50))</f>
        <v>0</v>
      </c>
      <c r="AE50" s="32">
        <f>IF(S50="","",SUMIFS(Mileage!$M$5:$M$304,Mileage!$B$5:$B$304,"&gt;="&amp;S50,Mileage!$B$5:$B$304,"&lt;="&amp;T50,Mileage!$N$5:$N$304,"Business"))</f>
        <v>0</v>
      </c>
      <c r="AF50" s="29">
        <f>IF(S50="","",SUMIFS(Payments!$L$5:$L$304,Payments!$B$5:$B$304,"&gt;="&amp;DATE(Dash_Year-1,ROW()-4,1),Payments!$B$5:$B$304,"&lt;="&amp;EOMONTH(DATE(Dash_Year-1,ROW()-4,1),0)))</f>
        <v>0</v>
      </c>
      <c r="AG50" s="28">
        <f>IF(Staff!$B$50="","",Staff!$B$50)</f>
        <v>0</v>
      </c>
      <c r="AH50" s="31">
        <f>IF(AG50="","",COUNTIFS('Visit Log'!$G$5:$G$404,AG50,'Visit Log'!$C$5:$C$404,"&gt;="&amp;RepFrom,'Visit Log'!$C$5:$C$404,"&lt;="&amp;RepTo,'Visit Log'!$AE$5:$AE$404,"Completed"))</f>
        <v>0</v>
      </c>
      <c r="AI50" s="51">
        <f>IF(AG50="","",ROUND(SUMIFS('Visit Log'!$K$5:$K$404,'Visit Log'!$G$5:$G$404,AG50,'Visit Log'!$C$5:$C$404,"&gt;="&amp;RepFrom,'Visit Log'!$C$5:$C$404,"&lt;="&amp;RepTo,'Visit Log'!$AE$5:$AE$404,"Completed")/60,2))</f>
        <v>0</v>
      </c>
      <c r="AJ50" s="29">
        <f>IF(AG50="","",SUMIFS(Bookings!$AK$5:$AK$404,Bookings!$AL$5:$AL$404,AG50,Bookings!$I$5:$I$404,"&gt;="&amp;RepFrom,Bookings!$I$5:$I$404,"&lt;="&amp;RepTo,Bookings!$AM$5:$AM$404,"&lt;&gt;Cancelled"))</f>
        <v>0</v>
      </c>
      <c r="AK50" s="32">
        <f>IF(AG50="","",SUMIFS(Mileage!$M$5:$M$304,Mileage!$C$5:$C$304,AG50,Mileage!$B$5:$B$304,"&gt;="&amp;RepFrom,Mileage!$B$5:$B$304,"&lt;="&amp;RepTo))</f>
        <v>0</v>
      </c>
      <c r="AL50" s="28">
        <f>IF(Lists!$Q50="","",Lists!$Q50)</f>
        <v>0</v>
      </c>
      <c r="AM50" s="31">
        <f>IF(AL50="","",COUNTIFS(Bookings!$AV$5:$AV$404,AL50,Bookings!$I$5:$I$404,"&gt;="&amp;RepFrom,Bookings!$I$5:$I$404,"&lt;="&amp;RepTo))</f>
        <v>0</v>
      </c>
      <c r="AN50" s="28">
        <f>IF(Lists!$AF50="","",Lists!$AF50)</f>
        <v>0</v>
      </c>
      <c r="AO50" s="29">
        <f>IF(AN50="","",SUMIFS(Payments!$L$5:$L$304,Payments!$F$5:$F$304,AN50,Payments!$B$5:$B$304,"&gt;="&amp;RepFrom,Payments!$B$5:$B$304,"&lt;="&amp;RepTo))</f>
        <v>0</v>
      </c>
      <c r="AP50" s="28">
        <f>IF(Lists!$E50="","",Lists!$E50)</f>
        <v>0</v>
      </c>
      <c r="AQ50" s="31">
        <f>IF(AP50="","",COUNTIFS(Clients!$K$5:$K$254,AP50))</f>
        <v>0</v>
      </c>
      <c r="AR50" s="29">
        <f>IF(AP50="","",SUMIFS(Clients!$AE$5:$AE$254,Clients!$K$5:$K$254,AP50))</f>
        <v>0</v>
      </c>
    </row>
    <row r="51" spans="1:44">
      <c r="A51" s="28">
        <f>IF(Clients!$B$51="","",Clients!$B$51)</f>
        <v>0</v>
      </c>
      <c r="B51" s="29">
        <f>IF(A51="","",SUMIFS(Payments!$L$5:$L$304,Payments!$C$5:$C$304,A51,Payments!$B$5:$B$304,"&gt;="&amp;PeriodStart,Payments!$B$5:$B$304,"&lt;="&amp;PeriodEnd))</f>
        <v>0</v>
      </c>
      <c r="C51" s="51">
        <f>IF(A51="","",IF(B51&lt;=0,"",B51+ROW()/1000000))</f>
        <v>0</v>
      </c>
      <c r="D51" s="29">
        <f>IF(A51="","",SUMIFS(Payments!$L$5:$L$304,Payments!$C$5:$C$304,A51,Payments!$B$5:$B$304,"&gt;="&amp;RepFrom,Payments!$B$5:$B$304,"&lt;="&amp;RepTo))</f>
        <v>0</v>
      </c>
      <c r="E51" s="51">
        <f>IF(A51="","",IF(D51&lt;=0,"",D51+ROW()/1000000))</f>
        <v>0</v>
      </c>
      <c r="F51" s="29">
        <f>IF(A51="","",SUMIFS(Invoices!$S$5:$S$304,Invoices!$D$5:$D$304,A51,Invoices!$T$5:$T$304,"&lt;&gt;Cancelled"))</f>
        <v>0</v>
      </c>
      <c r="G51" s="51">
        <f>IF(A51="","",IF(F51&lt;=0.004,"",F51+ROW()/1000000))</f>
        <v>0</v>
      </c>
      <c r="H51" s="31">
        <f>IF(A51="","",COUNTIFS(Bookings!$C$5:$C$404,A51,Bookings!$I$5:$I$404,"&gt;="&amp;RepFrom,Bookings!$I$5:$I$404,"&lt;="&amp;RepTo,Bookings!$AM$5:$AM$404,"&lt;&gt;Cancelled"))</f>
        <v>0</v>
      </c>
      <c r="I51" s="28">
        <f>IF(Services!$B$51="","",Services!$B$51)</f>
        <v>0</v>
      </c>
      <c r="J51" s="29">
        <f>IF(I51="","",SUMIFS(Bookings!$AK$5:$AK$404,Bookings!$H$5:$H$404,I51,Bookings!$I$5:$I$404,"&gt;="&amp;PeriodStart,Bookings!$I$5:$I$404,"&lt;="&amp;PeriodEnd,Bookings!$AM$5:$AM$404,"&lt;&gt;Cancelled"))</f>
        <v>0</v>
      </c>
      <c r="K51" s="31">
        <f>IF(I51="","",COUNTIFS(Bookings!$H$5:$H$404,I51,Bookings!$I$5:$I$404,"&gt;="&amp;PeriodStart,Bookings!$I$5:$I$404,"&lt;="&amp;PeriodEnd,Bookings!$AM$5:$AM$404,"&lt;&gt;Cancelled"))</f>
        <v>0</v>
      </c>
      <c r="L51" s="29">
        <f>IF(I51="","",SUMIFS(Bookings!$AK$5:$AK$404,Bookings!$H$5:$H$404,I51,Bookings!$I$5:$I$404,"&gt;="&amp;RepFrom,Bookings!$I$5:$I$404,"&lt;="&amp;RepTo,Bookings!$AM$5:$AM$404,"&lt;&gt;Cancelled"))</f>
        <v>0</v>
      </c>
      <c r="M51" s="31">
        <f>IF(I51="","",COUNTIFS(Bookings!$H$5:$H$404,I51,Bookings!$I$5:$I$404,"&gt;="&amp;RepFrom,Bookings!$I$5:$I$404,"&lt;="&amp;RepTo,Bookings!$AM$5:$AM$404,"&lt;&gt;Cancelled"))</f>
        <v>0</v>
      </c>
      <c r="N51" s="29">
        <f>IF(I51="","",M51*IF(Services!$L$51="",0,Services!$L$51))</f>
        <v>0</v>
      </c>
      <c r="O51" s="29">
        <f>IF(I51="","",L51-N51)</f>
        <v>0</v>
      </c>
      <c r="P51" s="28">
        <f>IF(Lists!$AG51="","",Lists!$AG51)</f>
        <v>0</v>
      </c>
      <c r="Q51" s="29">
        <f>IF(P51="","",SUMIFS(Expenses!$F$5:$F$304,Expenses!$C$5:$C$304,P51,Expenses!$B$5:$B$304,"&gt;="&amp;PeriodStart,Expenses!$B$5:$B$304,"&lt;="&amp;PeriodEnd,Expenses!$J$5:$J$304,"&lt;&gt;Personal"))</f>
        <v>0</v>
      </c>
      <c r="R51" s="29">
        <f>IF(P51="","",SUMIFS(Expenses!$F$5:$F$304,Expenses!$C$5:$C$304,P51,Expenses!$B$5:$B$304,"&gt;="&amp;RepFrom,Expenses!$B$5:$B$304,"&lt;="&amp;RepTo,Expenses!$J$5:$J$304,"&lt;&gt;Personal"))</f>
        <v>0</v>
      </c>
      <c r="S51" s="21">
        <f>IF(ROW()-4&gt;12,"",DATE(Dash_Year,ROW()-4,1))</f>
        <v>0</v>
      </c>
      <c r="T51" s="21">
        <f>IF(S51="","",EOMONTH(S51,0))</f>
        <v>0</v>
      </c>
      <c r="U51" s="28">
        <f>IF(S51="","",TEXT(S51,"mmm"))</f>
        <v>0</v>
      </c>
      <c r="V51" s="29">
        <f>IF(S51="","",SUMIFS(Payments!$L$5:$L$304,Payments!$B$5:$B$304,"&gt;="&amp;S51,Payments!$B$5:$B$304,"&lt;="&amp;T51))</f>
        <v>0</v>
      </c>
      <c r="W51" s="29">
        <f>IF(S51="","",SUMIFS(Invoices!$O$5:$O$304,Invoices!$B$5:$B$304,"&gt;="&amp;S51,Invoices!$B$5:$B$304,"&lt;="&amp;T51,Invoices!$T$5:$T$304,"&lt;&gt;Cancelled"))</f>
        <v>0</v>
      </c>
      <c r="X51" s="29">
        <f>IF(S51="","",SUMIFS(Expenses!$F$5:$F$304,Expenses!$B$5:$B$304,"&gt;="&amp;S51,Expenses!$B$5:$B$304,"&lt;="&amp;T51,Expenses!$J$5:$J$304,"&lt;&gt;Personal"))</f>
        <v>0</v>
      </c>
      <c r="Y51" s="29">
        <f>IF(S51="","",V51-X51)</f>
        <v>0</v>
      </c>
      <c r="Z51" s="31">
        <f>IF(S51="","",COUNTIFS(Bookings!$I$5:$I$404,"&gt;="&amp;S51,Bookings!$I$5:$I$404,"&lt;="&amp;T51,Bookings!$AM$5:$AM$404,"&lt;&gt;Cancelled"))</f>
        <v>0</v>
      </c>
      <c r="AA51" s="31">
        <f>IF(S51="","",COUNTIFS(Bookings!$I$5:$I$404,"&gt;="&amp;S51,Bookings!$I$5:$I$404,"&lt;="&amp;T51,Bookings!$AM$5:$AM$404,"Completed"))</f>
        <v>0</v>
      </c>
      <c r="AB51" s="31">
        <f>IF(S51="","",COUNTIFS(Bookings!$I$5:$I$404,"&gt;="&amp;S51,Bookings!$I$5:$I$404,"&lt;="&amp;T51,Bookings!$AM$5:$AM$404,"Cancelled"))</f>
        <v>0</v>
      </c>
      <c r="AC51" s="31">
        <f>IF(S51="","",COUNTIFS('Visit Log'!$C$5:$C$404,"&gt;="&amp;S51,'Visit Log'!$C$5:$C$404,"&lt;="&amp;T51,'Visit Log'!$AE$5:$AE$404,"Completed"))</f>
        <v>0</v>
      </c>
      <c r="AD51" s="31">
        <f>IF(S51="","",COUNTIFS(Clients!$L$5:$L$254,"&gt;="&amp;S51,Clients!$L$5:$L$254,"&lt;="&amp;T51))</f>
        <v>0</v>
      </c>
      <c r="AE51" s="32">
        <f>IF(S51="","",SUMIFS(Mileage!$M$5:$M$304,Mileage!$B$5:$B$304,"&gt;="&amp;S51,Mileage!$B$5:$B$304,"&lt;="&amp;T51,Mileage!$N$5:$N$304,"Business"))</f>
        <v>0</v>
      </c>
      <c r="AF51" s="29">
        <f>IF(S51="","",SUMIFS(Payments!$L$5:$L$304,Payments!$B$5:$B$304,"&gt;="&amp;DATE(Dash_Year-1,ROW()-4,1),Payments!$B$5:$B$304,"&lt;="&amp;EOMONTH(DATE(Dash_Year-1,ROW()-4,1),0)))</f>
        <v>0</v>
      </c>
      <c r="AG51" s="28">
        <f>IF(Staff!$B$51="","",Staff!$B$51)</f>
        <v>0</v>
      </c>
      <c r="AH51" s="31">
        <f>IF(AG51="","",COUNTIFS('Visit Log'!$G$5:$G$404,AG51,'Visit Log'!$C$5:$C$404,"&gt;="&amp;RepFrom,'Visit Log'!$C$5:$C$404,"&lt;="&amp;RepTo,'Visit Log'!$AE$5:$AE$404,"Completed"))</f>
        <v>0</v>
      </c>
      <c r="AI51" s="51">
        <f>IF(AG51="","",ROUND(SUMIFS('Visit Log'!$K$5:$K$404,'Visit Log'!$G$5:$G$404,AG51,'Visit Log'!$C$5:$C$404,"&gt;="&amp;RepFrom,'Visit Log'!$C$5:$C$404,"&lt;="&amp;RepTo,'Visit Log'!$AE$5:$AE$404,"Completed")/60,2))</f>
        <v>0</v>
      </c>
      <c r="AJ51" s="29">
        <f>IF(AG51="","",SUMIFS(Bookings!$AK$5:$AK$404,Bookings!$AL$5:$AL$404,AG51,Bookings!$I$5:$I$404,"&gt;="&amp;RepFrom,Bookings!$I$5:$I$404,"&lt;="&amp;RepTo,Bookings!$AM$5:$AM$404,"&lt;&gt;Cancelled"))</f>
        <v>0</v>
      </c>
      <c r="AK51" s="32">
        <f>IF(AG51="","",SUMIFS(Mileage!$M$5:$M$304,Mileage!$C$5:$C$304,AG51,Mileage!$B$5:$B$304,"&gt;="&amp;RepFrom,Mileage!$B$5:$B$304,"&lt;="&amp;RepTo))</f>
        <v>0</v>
      </c>
      <c r="AL51" s="28">
        <f>IF(Lists!$Q51="","",Lists!$Q51)</f>
        <v>0</v>
      </c>
      <c r="AM51" s="31">
        <f>IF(AL51="","",COUNTIFS(Bookings!$AV$5:$AV$404,AL51,Bookings!$I$5:$I$404,"&gt;="&amp;RepFrom,Bookings!$I$5:$I$404,"&lt;="&amp;RepTo))</f>
        <v>0</v>
      </c>
      <c r="AN51" s="28">
        <f>IF(Lists!$AF51="","",Lists!$AF51)</f>
        <v>0</v>
      </c>
      <c r="AO51" s="29">
        <f>IF(AN51="","",SUMIFS(Payments!$L$5:$L$304,Payments!$F$5:$F$304,AN51,Payments!$B$5:$B$304,"&gt;="&amp;RepFrom,Payments!$B$5:$B$304,"&lt;="&amp;RepTo))</f>
        <v>0</v>
      </c>
      <c r="AP51" s="28">
        <f>IF(Lists!$E51="","",Lists!$E51)</f>
        <v>0</v>
      </c>
      <c r="AQ51" s="31">
        <f>IF(AP51="","",COUNTIFS(Clients!$K$5:$K$254,AP51))</f>
        <v>0</v>
      </c>
      <c r="AR51" s="29">
        <f>IF(AP51="","",SUMIFS(Clients!$AE$5:$AE$254,Clients!$K$5:$K$254,AP51))</f>
        <v>0</v>
      </c>
    </row>
    <row r="52" spans="1:44">
      <c r="A52" s="28">
        <f>IF(Clients!$B$52="","",Clients!$B$52)</f>
        <v>0</v>
      </c>
      <c r="B52" s="29">
        <f>IF(A52="","",SUMIFS(Payments!$L$5:$L$304,Payments!$C$5:$C$304,A52,Payments!$B$5:$B$304,"&gt;="&amp;PeriodStart,Payments!$B$5:$B$304,"&lt;="&amp;PeriodEnd))</f>
        <v>0</v>
      </c>
      <c r="C52" s="51">
        <f>IF(A52="","",IF(B52&lt;=0,"",B52+ROW()/1000000))</f>
        <v>0</v>
      </c>
      <c r="D52" s="29">
        <f>IF(A52="","",SUMIFS(Payments!$L$5:$L$304,Payments!$C$5:$C$304,A52,Payments!$B$5:$B$304,"&gt;="&amp;RepFrom,Payments!$B$5:$B$304,"&lt;="&amp;RepTo))</f>
        <v>0</v>
      </c>
      <c r="E52" s="51">
        <f>IF(A52="","",IF(D52&lt;=0,"",D52+ROW()/1000000))</f>
        <v>0</v>
      </c>
      <c r="F52" s="29">
        <f>IF(A52="","",SUMIFS(Invoices!$S$5:$S$304,Invoices!$D$5:$D$304,A52,Invoices!$T$5:$T$304,"&lt;&gt;Cancelled"))</f>
        <v>0</v>
      </c>
      <c r="G52" s="51">
        <f>IF(A52="","",IF(F52&lt;=0.004,"",F52+ROW()/1000000))</f>
        <v>0</v>
      </c>
      <c r="H52" s="31">
        <f>IF(A52="","",COUNTIFS(Bookings!$C$5:$C$404,A52,Bookings!$I$5:$I$404,"&gt;="&amp;RepFrom,Bookings!$I$5:$I$404,"&lt;="&amp;RepTo,Bookings!$AM$5:$AM$404,"&lt;&gt;Cancelled"))</f>
        <v>0</v>
      </c>
      <c r="I52" s="28">
        <f>IF(Services!$B$52="","",Services!$B$52)</f>
        <v>0</v>
      </c>
      <c r="J52" s="29">
        <f>IF(I52="","",SUMIFS(Bookings!$AK$5:$AK$404,Bookings!$H$5:$H$404,I52,Bookings!$I$5:$I$404,"&gt;="&amp;PeriodStart,Bookings!$I$5:$I$404,"&lt;="&amp;PeriodEnd,Bookings!$AM$5:$AM$404,"&lt;&gt;Cancelled"))</f>
        <v>0</v>
      </c>
      <c r="K52" s="31">
        <f>IF(I52="","",COUNTIFS(Bookings!$H$5:$H$404,I52,Bookings!$I$5:$I$404,"&gt;="&amp;PeriodStart,Bookings!$I$5:$I$404,"&lt;="&amp;PeriodEnd,Bookings!$AM$5:$AM$404,"&lt;&gt;Cancelled"))</f>
        <v>0</v>
      </c>
      <c r="L52" s="29">
        <f>IF(I52="","",SUMIFS(Bookings!$AK$5:$AK$404,Bookings!$H$5:$H$404,I52,Bookings!$I$5:$I$404,"&gt;="&amp;RepFrom,Bookings!$I$5:$I$404,"&lt;="&amp;RepTo,Bookings!$AM$5:$AM$404,"&lt;&gt;Cancelled"))</f>
        <v>0</v>
      </c>
      <c r="M52" s="31">
        <f>IF(I52="","",COUNTIFS(Bookings!$H$5:$H$404,I52,Bookings!$I$5:$I$404,"&gt;="&amp;RepFrom,Bookings!$I$5:$I$404,"&lt;="&amp;RepTo,Bookings!$AM$5:$AM$404,"&lt;&gt;Cancelled"))</f>
        <v>0</v>
      </c>
      <c r="N52" s="29">
        <f>IF(I52="","",M52*IF(Services!$L$52="",0,Services!$L$52))</f>
        <v>0</v>
      </c>
      <c r="O52" s="29">
        <f>IF(I52="","",L52-N52)</f>
        <v>0</v>
      </c>
      <c r="P52" s="28">
        <f>IF(Lists!$AG52="","",Lists!$AG52)</f>
        <v>0</v>
      </c>
      <c r="Q52" s="29">
        <f>IF(P52="","",SUMIFS(Expenses!$F$5:$F$304,Expenses!$C$5:$C$304,P52,Expenses!$B$5:$B$304,"&gt;="&amp;PeriodStart,Expenses!$B$5:$B$304,"&lt;="&amp;PeriodEnd,Expenses!$J$5:$J$304,"&lt;&gt;Personal"))</f>
        <v>0</v>
      </c>
      <c r="R52" s="29">
        <f>IF(P52="","",SUMIFS(Expenses!$F$5:$F$304,Expenses!$C$5:$C$304,P52,Expenses!$B$5:$B$304,"&gt;="&amp;RepFrom,Expenses!$B$5:$B$304,"&lt;="&amp;RepTo,Expenses!$J$5:$J$304,"&lt;&gt;Personal"))</f>
        <v>0</v>
      </c>
      <c r="S52" s="21">
        <f>IF(ROW()-4&gt;12,"",DATE(Dash_Year,ROW()-4,1))</f>
        <v>0</v>
      </c>
      <c r="T52" s="21">
        <f>IF(S52="","",EOMONTH(S52,0))</f>
        <v>0</v>
      </c>
      <c r="U52" s="28">
        <f>IF(S52="","",TEXT(S52,"mmm"))</f>
        <v>0</v>
      </c>
      <c r="V52" s="29">
        <f>IF(S52="","",SUMIFS(Payments!$L$5:$L$304,Payments!$B$5:$B$304,"&gt;="&amp;S52,Payments!$B$5:$B$304,"&lt;="&amp;T52))</f>
        <v>0</v>
      </c>
      <c r="W52" s="29">
        <f>IF(S52="","",SUMIFS(Invoices!$O$5:$O$304,Invoices!$B$5:$B$304,"&gt;="&amp;S52,Invoices!$B$5:$B$304,"&lt;="&amp;T52,Invoices!$T$5:$T$304,"&lt;&gt;Cancelled"))</f>
        <v>0</v>
      </c>
      <c r="X52" s="29">
        <f>IF(S52="","",SUMIFS(Expenses!$F$5:$F$304,Expenses!$B$5:$B$304,"&gt;="&amp;S52,Expenses!$B$5:$B$304,"&lt;="&amp;T52,Expenses!$J$5:$J$304,"&lt;&gt;Personal"))</f>
        <v>0</v>
      </c>
      <c r="Y52" s="29">
        <f>IF(S52="","",V52-X52)</f>
        <v>0</v>
      </c>
      <c r="Z52" s="31">
        <f>IF(S52="","",COUNTIFS(Bookings!$I$5:$I$404,"&gt;="&amp;S52,Bookings!$I$5:$I$404,"&lt;="&amp;T52,Bookings!$AM$5:$AM$404,"&lt;&gt;Cancelled"))</f>
        <v>0</v>
      </c>
      <c r="AA52" s="31">
        <f>IF(S52="","",COUNTIFS(Bookings!$I$5:$I$404,"&gt;="&amp;S52,Bookings!$I$5:$I$404,"&lt;="&amp;T52,Bookings!$AM$5:$AM$404,"Completed"))</f>
        <v>0</v>
      </c>
      <c r="AB52" s="31">
        <f>IF(S52="","",COUNTIFS(Bookings!$I$5:$I$404,"&gt;="&amp;S52,Bookings!$I$5:$I$404,"&lt;="&amp;T52,Bookings!$AM$5:$AM$404,"Cancelled"))</f>
        <v>0</v>
      </c>
      <c r="AC52" s="31">
        <f>IF(S52="","",COUNTIFS('Visit Log'!$C$5:$C$404,"&gt;="&amp;S52,'Visit Log'!$C$5:$C$404,"&lt;="&amp;T52,'Visit Log'!$AE$5:$AE$404,"Completed"))</f>
        <v>0</v>
      </c>
      <c r="AD52" s="31">
        <f>IF(S52="","",COUNTIFS(Clients!$L$5:$L$254,"&gt;="&amp;S52,Clients!$L$5:$L$254,"&lt;="&amp;T52))</f>
        <v>0</v>
      </c>
      <c r="AE52" s="32">
        <f>IF(S52="","",SUMIFS(Mileage!$M$5:$M$304,Mileage!$B$5:$B$304,"&gt;="&amp;S52,Mileage!$B$5:$B$304,"&lt;="&amp;T52,Mileage!$N$5:$N$304,"Business"))</f>
        <v>0</v>
      </c>
      <c r="AF52" s="29">
        <f>IF(S52="","",SUMIFS(Payments!$L$5:$L$304,Payments!$B$5:$B$304,"&gt;="&amp;DATE(Dash_Year-1,ROW()-4,1),Payments!$B$5:$B$304,"&lt;="&amp;EOMONTH(DATE(Dash_Year-1,ROW()-4,1),0)))</f>
        <v>0</v>
      </c>
      <c r="AG52" s="28">
        <f>IF(Staff!$B$52="","",Staff!$B$52)</f>
        <v>0</v>
      </c>
      <c r="AH52" s="31">
        <f>IF(AG52="","",COUNTIFS('Visit Log'!$G$5:$G$404,AG52,'Visit Log'!$C$5:$C$404,"&gt;="&amp;RepFrom,'Visit Log'!$C$5:$C$404,"&lt;="&amp;RepTo,'Visit Log'!$AE$5:$AE$404,"Completed"))</f>
        <v>0</v>
      </c>
      <c r="AI52" s="51">
        <f>IF(AG52="","",ROUND(SUMIFS('Visit Log'!$K$5:$K$404,'Visit Log'!$G$5:$G$404,AG52,'Visit Log'!$C$5:$C$404,"&gt;="&amp;RepFrom,'Visit Log'!$C$5:$C$404,"&lt;="&amp;RepTo,'Visit Log'!$AE$5:$AE$404,"Completed")/60,2))</f>
        <v>0</v>
      </c>
      <c r="AJ52" s="29">
        <f>IF(AG52="","",SUMIFS(Bookings!$AK$5:$AK$404,Bookings!$AL$5:$AL$404,AG52,Bookings!$I$5:$I$404,"&gt;="&amp;RepFrom,Bookings!$I$5:$I$404,"&lt;="&amp;RepTo,Bookings!$AM$5:$AM$404,"&lt;&gt;Cancelled"))</f>
        <v>0</v>
      </c>
      <c r="AK52" s="32">
        <f>IF(AG52="","",SUMIFS(Mileage!$M$5:$M$304,Mileage!$C$5:$C$304,AG52,Mileage!$B$5:$B$304,"&gt;="&amp;RepFrom,Mileage!$B$5:$B$304,"&lt;="&amp;RepTo))</f>
        <v>0</v>
      </c>
      <c r="AL52" s="28">
        <f>IF(Lists!$Q52="","",Lists!$Q52)</f>
        <v>0</v>
      </c>
      <c r="AM52" s="31">
        <f>IF(AL52="","",COUNTIFS(Bookings!$AV$5:$AV$404,AL52,Bookings!$I$5:$I$404,"&gt;="&amp;RepFrom,Bookings!$I$5:$I$404,"&lt;="&amp;RepTo))</f>
        <v>0</v>
      </c>
      <c r="AN52" s="28">
        <f>IF(Lists!$AF52="","",Lists!$AF52)</f>
        <v>0</v>
      </c>
      <c r="AO52" s="29">
        <f>IF(AN52="","",SUMIFS(Payments!$L$5:$L$304,Payments!$F$5:$F$304,AN52,Payments!$B$5:$B$304,"&gt;="&amp;RepFrom,Payments!$B$5:$B$304,"&lt;="&amp;RepTo))</f>
        <v>0</v>
      </c>
      <c r="AP52" s="28">
        <f>IF(Lists!$E52="","",Lists!$E52)</f>
        <v>0</v>
      </c>
      <c r="AQ52" s="31">
        <f>IF(AP52="","",COUNTIFS(Clients!$K$5:$K$254,AP52))</f>
        <v>0</v>
      </c>
      <c r="AR52" s="29">
        <f>IF(AP52="","",SUMIFS(Clients!$AE$5:$AE$254,Clients!$K$5:$K$254,AP52))</f>
        <v>0</v>
      </c>
    </row>
    <row r="53" spans="1:44">
      <c r="A53" s="28">
        <f>IF(Clients!$B$53="","",Clients!$B$53)</f>
        <v>0</v>
      </c>
      <c r="B53" s="29">
        <f>IF(A53="","",SUMIFS(Payments!$L$5:$L$304,Payments!$C$5:$C$304,A53,Payments!$B$5:$B$304,"&gt;="&amp;PeriodStart,Payments!$B$5:$B$304,"&lt;="&amp;PeriodEnd))</f>
        <v>0</v>
      </c>
      <c r="C53" s="51">
        <f>IF(A53="","",IF(B53&lt;=0,"",B53+ROW()/1000000))</f>
        <v>0</v>
      </c>
      <c r="D53" s="29">
        <f>IF(A53="","",SUMIFS(Payments!$L$5:$L$304,Payments!$C$5:$C$304,A53,Payments!$B$5:$B$304,"&gt;="&amp;RepFrom,Payments!$B$5:$B$304,"&lt;="&amp;RepTo))</f>
        <v>0</v>
      </c>
      <c r="E53" s="51">
        <f>IF(A53="","",IF(D53&lt;=0,"",D53+ROW()/1000000))</f>
        <v>0</v>
      </c>
      <c r="F53" s="29">
        <f>IF(A53="","",SUMIFS(Invoices!$S$5:$S$304,Invoices!$D$5:$D$304,A53,Invoices!$T$5:$T$304,"&lt;&gt;Cancelled"))</f>
        <v>0</v>
      </c>
      <c r="G53" s="51">
        <f>IF(A53="","",IF(F53&lt;=0.004,"",F53+ROW()/1000000))</f>
        <v>0</v>
      </c>
      <c r="H53" s="31">
        <f>IF(A53="","",COUNTIFS(Bookings!$C$5:$C$404,A53,Bookings!$I$5:$I$404,"&gt;="&amp;RepFrom,Bookings!$I$5:$I$404,"&lt;="&amp;RepTo,Bookings!$AM$5:$AM$404,"&lt;&gt;Cancelled"))</f>
        <v>0</v>
      </c>
      <c r="I53" s="28">
        <f>IF(Services!$B$53="","",Services!$B$53)</f>
        <v>0</v>
      </c>
      <c r="J53" s="29">
        <f>IF(I53="","",SUMIFS(Bookings!$AK$5:$AK$404,Bookings!$H$5:$H$404,I53,Bookings!$I$5:$I$404,"&gt;="&amp;PeriodStart,Bookings!$I$5:$I$404,"&lt;="&amp;PeriodEnd,Bookings!$AM$5:$AM$404,"&lt;&gt;Cancelled"))</f>
        <v>0</v>
      </c>
      <c r="K53" s="31">
        <f>IF(I53="","",COUNTIFS(Bookings!$H$5:$H$404,I53,Bookings!$I$5:$I$404,"&gt;="&amp;PeriodStart,Bookings!$I$5:$I$404,"&lt;="&amp;PeriodEnd,Bookings!$AM$5:$AM$404,"&lt;&gt;Cancelled"))</f>
        <v>0</v>
      </c>
      <c r="L53" s="29">
        <f>IF(I53="","",SUMIFS(Bookings!$AK$5:$AK$404,Bookings!$H$5:$H$404,I53,Bookings!$I$5:$I$404,"&gt;="&amp;RepFrom,Bookings!$I$5:$I$404,"&lt;="&amp;RepTo,Bookings!$AM$5:$AM$404,"&lt;&gt;Cancelled"))</f>
        <v>0</v>
      </c>
      <c r="M53" s="31">
        <f>IF(I53="","",COUNTIFS(Bookings!$H$5:$H$404,I53,Bookings!$I$5:$I$404,"&gt;="&amp;RepFrom,Bookings!$I$5:$I$404,"&lt;="&amp;RepTo,Bookings!$AM$5:$AM$404,"&lt;&gt;Cancelled"))</f>
        <v>0</v>
      </c>
      <c r="N53" s="29">
        <f>IF(I53="","",M53*IF(Services!$L$53="",0,Services!$L$53))</f>
        <v>0</v>
      </c>
      <c r="O53" s="29">
        <f>IF(I53="","",L53-N53)</f>
        <v>0</v>
      </c>
      <c r="P53" s="28">
        <f>IF(Lists!$AG53="","",Lists!$AG53)</f>
        <v>0</v>
      </c>
      <c r="Q53" s="29">
        <f>IF(P53="","",SUMIFS(Expenses!$F$5:$F$304,Expenses!$C$5:$C$304,P53,Expenses!$B$5:$B$304,"&gt;="&amp;PeriodStart,Expenses!$B$5:$B$304,"&lt;="&amp;PeriodEnd,Expenses!$J$5:$J$304,"&lt;&gt;Personal"))</f>
        <v>0</v>
      </c>
      <c r="R53" s="29">
        <f>IF(P53="","",SUMIFS(Expenses!$F$5:$F$304,Expenses!$C$5:$C$304,P53,Expenses!$B$5:$B$304,"&gt;="&amp;RepFrom,Expenses!$B$5:$B$304,"&lt;="&amp;RepTo,Expenses!$J$5:$J$304,"&lt;&gt;Personal"))</f>
        <v>0</v>
      </c>
      <c r="S53" s="21">
        <f>IF(ROW()-4&gt;12,"",DATE(Dash_Year,ROW()-4,1))</f>
        <v>0</v>
      </c>
      <c r="T53" s="21">
        <f>IF(S53="","",EOMONTH(S53,0))</f>
        <v>0</v>
      </c>
      <c r="U53" s="28">
        <f>IF(S53="","",TEXT(S53,"mmm"))</f>
        <v>0</v>
      </c>
      <c r="V53" s="29">
        <f>IF(S53="","",SUMIFS(Payments!$L$5:$L$304,Payments!$B$5:$B$304,"&gt;="&amp;S53,Payments!$B$5:$B$304,"&lt;="&amp;T53))</f>
        <v>0</v>
      </c>
      <c r="W53" s="29">
        <f>IF(S53="","",SUMIFS(Invoices!$O$5:$O$304,Invoices!$B$5:$B$304,"&gt;="&amp;S53,Invoices!$B$5:$B$304,"&lt;="&amp;T53,Invoices!$T$5:$T$304,"&lt;&gt;Cancelled"))</f>
        <v>0</v>
      </c>
      <c r="X53" s="29">
        <f>IF(S53="","",SUMIFS(Expenses!$F$5:$F$304,Expenses!$B$5:$B$304,"&gt;="&amp;S53,Expenses!$B$5:$B$304,"&lt;="&amp;T53,Expenses!$J$5:$J$304,"&lt;&gt;Personal"))</f>
        <v>0</v>
      </c>
      <c r="Y53" s="29">
        <f>IF(S53="","",V53-X53)</f>
        <v>0</v>
      </c>
      <c r="Z53" s="31">
        <f>IF(S53="","",COUNTIFS(Bookings!$I$5:$I$404,"&gt;="&amp;S53,Bookings!$I$5:$I$404,"&lt;="&amp;T53,Bookings!$AM$5:$AM$404,"&lt;&gt;Cancelled"))</f>
        <v>0</v>
      </c>
      <c r="AA53" s="31">
        <f>IF(S53="","",COUNTIFS(Bookings!$I$5:$I$404,"&gt;="&amp;S53,Bookings!$I$5:$I$404,"&lt;="&amp;T53,Bookings!$AM$5:$AM$404,"Completed"))</f>
        <v>0</v>
      </c>
      <c r="AB53" s="31">
        <f>IF(S53="","",COUNTIFS(Bookings!$I$5:$I$404,"&gt;="&amp;S53,Bookings!$I$5:$I$404,"&lt;="&amp;T53,Bookings!$AM$5:$AM$404,"Cancelled"))</f>
        <v>0</v>
      </c>
      <c r="AC53" s="31">
        <f>IF(S53="","",COUNTIFS('Visit Log'!$C$5:$C$404,"&gt;="&amp;S53,'Visit Log'!$C$5:$C$404,"&lt;="&amp;T53,'Visit Log'!$AE$5:$AE$404,"Completed"))</f>
        <v>0</v>
      </c>
      <c r="AD53" s="31">
        <f>IF(S53="","",COUNTIFS(Clients!$L$5:$L$254,"&gt;="&amp;S53,Clients!$L$5:$L$254,"&lt;="&amp;T53))</f>
        <v>0</v>
      </c>
      <c r="AE53" s="32">
        <f>IF(S53="","",SUMIFS(Mileage!$M$5:$M$304,Mileage!$B$5:$B$304,"&gt;="&amp;S53,Mileage!$B$5:$B$304,"&lt;="&amp;T53,Mileage!$N$5:$N$304,"Business"))</f>
        <v>0</v>
      </c>
      <c r="AF53" s="29">
        <f>IF(S53="","",SUMIFS(Payments!$L$5:$L$304,Payments!$B$5:$B$304,"&gt;="&amp;DATE(Dash_Year-1,ROW()-4,1),Payments!$B$5:$B$304,"&lt;="&amp;EOMONTH(DATE(Dash_Year-1,ROW()-4,1),0)))</f>
        <v>0</v>
      </c>
      <c r="AG53" s="28">
        <f>IF(Staff!$B$53="","",Staff!$B$53)</f>
        <v>0</v>
      </c>
      <c r="AH53" s="31">
        <f>IF(AG53="","",COUNTIFS('Visit Log'!$G$5:$G$404,AG53,'Visit Log'!$C$5:$C$404,"&gt;="&amp;RepFrom,'Visit Log'!$C$5:$C$404,"&lt;="&amp;RepTo,'Visit Log'!$AE$5:$AE$404,"Completed"))</f>
        <v>0</v>
      </c>
      <c r="AI53" s="51">
        <f>IF(AG53="","",ROUND(SUMIFS('Visit Log'!$K$5:$K$404,'Visit Log'!$G$5:$G$404,AG53,'Visit Log'!$C$5:$C$404,"&gt;="&amp;RepFrom,'Visit Log'!$C$5:$C$404,"&lt;="&amp;RepTo,'Visit Log'!$AE$5:$AE$404,"Completed")/60,2))</f>
        <v>0</v>
      </c>
      <c r="AJ53" s="29">
        <f>IF(AG53="","",SUMIFS(Bookings!$AK$5:$AK$404,Bookings!$AL$5:$AL$404,AG53,Bookings!$I$5:$I$404,"&gt;="&amp;RepFrom,Bookings!$I$5:$I$404,"&lt;="&amp;RepTo,Bookings!$AM$5:$AM$404,"&lt;&gt;Cancelled"))</f>
        <v>0</v>
      </c>
      <c r="AK53" s="32">
        <f>IF(AG53="","",SUMIFS(Mileage!$M$5:$M$304,Mileage!$C$5:$C$304,AG53,Mileage!$B$5:$B$304,"&gt;="&amp;RepFrom,Mileage!$B$5:$B$304,"&lt;="&amp;RepTo))</f>
        <v>0</v>
      </c>
      <c r="AL53" s="28">
        <f>IF(Lists!$Q53="","",Lists!$Q53)</f>
        <v>0</v>
      </c>
      <c r="AM53" s="31">
        <f>IF(AL53="","",COUNTIFS(Bookings!$AV$5:$AV$404,AL53,Bookings!$I$5:$I$404,"&gt;="&amp;RepFrom,Bookings!$I$5:$I$404,"&lt;="&amp;RepTo))</f>
        <v>0</v>
      </c>
      <c r="AN53" s="28">
        <f>IF(Lists!$AF53="","",Lists!$AF53)</f>
        <v>0</v>
      </c>
      <c r="AO53" s="29">
        <f>IF(AN53="","",SUMIFS(Payments!$L$5:$L$304,Payments!$F$5:$F$304,AN53,Payments!$B$5:$B$304,"&gt;="&amp;RepFrom,Payments!$B$5:$B$304,"&lt;="&amp;RepTo))</f>
        <v>0</v>
      </c>
      <c r="AP53" s="28">
        <f>IF(Lists!$E53="","",Lists!$E53)</f>
        <v>0</v>
      </c>
      <c r="AQ53" s="31">
        <f>IF(AP53="","",COUNTIFS(Clients!$K$5:$K$254,AP53))</f>
        <v>0</v>
      </c>
      <c r="AR53" s="29">
        <f>IF(AP53="","",SUMIFS(Clients!$AE$5:$AE$254,Clients!$K$5:$K$254,AP53))</f>
        <v>0</v>
      </c>
    </row>
    <row r="54" spans="1:44">
      <c r="A54" s="28">
        <f>IF(Clients!$B$54="","",Clients!$B$54)</f>
        <v>0</v>
      </c>
      <c r="B54" s="29">
        <f>IF(A54="","",SUMIFS(Payments!$L$5:$L$304,Payments!$C$5:$C$304,A54,Payments!$B$5:$B$304,"&gt;="&amp;PeriodStart,Payments!$B$5:$B$304,"&lt;="&amp;PeriodEnd))</f>
        <v>0</v>
      </c>
      <c r="C54" s="51">
        <f>IF(A54="","",IF(B54&lt;=0,"",B54+ROW()/1000000))</f>
        <v>0</v>
      </c>
      <c r="D54" s="29">
        <f>IF(A54="","",SUMIFS(Payments!$L$5:$L$304,Payments!$C$5:$C$304,A54,Payments!$B$5:$B$304,"&gt;="&amp;RepFrom,Payments!$B$5:$B$304,"&lt;="&amp;RepTo))</f>
        <v>0</v>
      </c>
      <c r="E54" s="51">
        <f>IF(A54="","",IF(D54&lt;=0,"",D54+ROW()/1000000))</f>
        <v>0</v>
      </c>
      <c r="F54" s="29">
        <f>IF(A54="","",SUMIFS(Invoices!$S$5:$S$304,Invoices!$D$5:$D$304,A54,Invoices!$T$5:$T$304,"&lt;&gt;Cancelled"))</f>
        <v>0</v>
      </c>
      <c r="G54" s="51">
        <f>IF(A54="","",IF(F54&lt;=0.004,"",F54+ROW()/1000000))</f>
        <v>0</v>
      </c>
      <c r="H54" s="31">
        <f>IF(A54="","",COUNTIFS(Bookings!$C$5:$C$404,A54,Bookings!$I$5:$I$404,"&gt;="&amp;RepFrom,Bookings!$I$5:$I$404,"&lt;="&amp;RepTo,Bookings!$AM$5:$AM$404,"&lt;&gt;Cancelled"))</f>
        <v>0</v>
      </c>
      <c r="I54" s="28">
        <f>IF(Services!$B$54="","",Services!$B$54)</f>
        <v>0</v>
      </c>
      <c r="J54" s="29">
        <f>IF(I54="","",SUMIFS(Bookings!$AK$5:$AK$404,Bookings!$H$5:$H$404,I54,Bookings!$I$5:$I$404,"&gt;="&amp;PeriodStart,Bookings!$I$5:$I$404,"&lt;="&amp;PeriodEnd,Bookings!$AM$5:$AM$404,"&lt;&gt;Cancelled"))</f>
        <v>0</v>
      </c>
      <c r="K54" s="31">
        <f>IF(I54="","",COUNTIFS(Bookings!$H$5:$H$404,I54,Bookings!$I$5:$I$404,"&gt;="&amp;PeriodStart,Bookings!$I$5:$I$404,"&lt;="&amp;PeriodEnd,Bookings!$AM$5:$AM$404,"&lt;&gt;Cancelled"))</f>
        <v>0</v>
      </c>
      <c r="L54" s="29">
        <f>IF(I54="","",SUMIFS(Bookings!$AK$5:$AK$404,Bookings!$H$5:$H$404,I54,Bookings!$I$5:$I$404,"&gt;="&amp;RepFrom,Bookings!$I$5:$I$404,"&lt;="&amp;RepTo,Bookings!$AM$5:$AM$404,"&lt;&gt;Cancelled"))</f>
        <v>0</v>
      </c>
      <c r="M54" s="31">
        <f>IF(I54="","",COUNTIFS(Bookings!$H$5:$H$404,I54,Bookings!$I$5:$I$404,"&gt;="&amp;RepFrom,Bookings!$I$5:$I$404,"&lt;="&amp;RepTo,Bookings!$AM$5:$AM$404,"&lt;&gt;Cancelled"))</f>
        <v>0</v>
      </c>
      <c r="N54" s="29">
        <f>IF(I54="","",M54*IF(Services!$L$54="",0,Services!$L$54))</f>
        <v>0</v>
      </c>
      <c r="O54" s="29">
        <f>IF(I54="","",L54-N54)</f>
        <v>0</v>
      </c>
      <c r="P54" s="28">
        <f>IF(Lists!$AG54="","",Lists!$AG54)</f>
        <v>0</v>
      </c>
      <c r="Q54" s="29">
        <f>IF(P54="","",SUMIFS(Expenses!$F$5:$F$304,Expenses!$C$5:$C$304,P54,Expenses!$B$5:$B$304,"&gt;="&amp;PeriodStart,Expenses!$B$5:$B$304,"&lt;="&amp;PeriodEnd,Expenses!$J$5:$J$304,"&lt;&gt;Personal"))</f>
        <v>0</v>
      </c>
      <c r="R54" s="29">
        <f>IF(P54="","",SUMIFS(Expenses!$F$5:$F$304,Expenses!$C$5:$C$304,P54,Expenses!$B$5:$B$304,"&gt;="&amp;RepFrom,Expenses!$B$5:$B$304,"&lt;="&amp;RepTo,Expenses!$J$5:$J$304,"&lt;&gt;Personal"))</f>
        <v>0</v>
      </c>
      <c r="S54" s="21">
        <f>IF(ROW()-4&gt;12,"",DATE(Dash_Year,ROW()-4,1))</f>
        <v>0</v>
      </c>
      <c r="T54" s="21">
        <f>IF(S54="","",EOMONTH(S54,0))</f>
        <v>0</v>
      </c>
      <c r="U54" s="28">
        <f>IF(S54="","",TEXT(S54,"mmm"))</f>
        <v>0</v>
      </c>
      <c r="V54" s="29">
        <f>IF(S54="","",SUMIFS(Payments!$L$5:$L$304,Payments!$B$5:$B$304,"&gt;="&amp;S54,Payments!$B$5:$B$304,"&lt;="&amp;T54))</f>
        <v>0</v>
      </c>
      <c r="W54" s="29">
        <f>IF(S54="","",SUMIFS(Invoices!$O$5:$O$304,Invoices!$B$5:$B$304,"&gt;="&amp;S54,Invoices!$B$5:$B$304,"&lt;="&amp;T54,Invoices!$T$5:$T$304,"&lt;&gt;Cancelled"))</f>
        <v>0</v>
      </c>
      <c r="X54" s="29">
        <f>IF(S54="","",SUMIFS(Expenses!$F$5:$F$304,Expenses!$B$5:$B$304,"&gt;="&amp;S54,Expenses!$B$5:$B$304,"&lt;="&amp;T54,Expenses!$J$5:$J$304,"&lt;&gt;Personal"))</f>
        <v>0</v>
      </c>
      <c r="Y54" s="29">
        <f>IF(S54="","",V54-X54)</f>
        <v>0</v>
      </c>
      <c r="Z54" s="31">
        <f>IF(S54="","",COUNTIFS(Bookings!$I$5:$I$404,"&gt;="&amp;S54,Bookings!$I$5:$I$404,"&lt;="&amp;T54,Bookings!$AM$5:$AM$404,"&lt;&gt;Cancelled"))</f>
        <v>0</v>
      </c>
      <c r="AA54" s="31">
        <f>IF(S54="","",COUNTIFS(Bookings!$I$5:$I$404,"&gt;="&amp;S54,Bookings!$I$5:$I$404,"&lt;="&amp;T54,Bookings!$AM$5:$AM$404,"Completed"))</f>
        <v>0</v>
      </c>
      <c r="AB54" s="31">
        <f>IF(S54="","",COUNTIFS(Bookings!$I$5:$I$404,"&gt;="&amp;S54,Bookings!$I$5:$I$404,"&lt;="&amp;T54,Bookings!$AM$5:$AM$404,"Cancelled"))</f>
        <v>0</v>
      </c>
      <c r="AC54" s="31">
        <f>IF(S54="","",COUNTIFS('Visit Log'!$C$5:$C$404,"&gt;="&amp;S54,'Visit Log'!$C$5:$C$404,"&lt;="&amp;T54,'Visit Log'!$AE$5:$AE$404,"Completed"))</f>
        <v>0</v>
      </c>
      <c r="AD54" s="31">
        <f>IF(S54="","",COUNTIFS(Clients!$L$5:$L$254,"&gt;="&amp;S54,Clients!$L$5:$L$254,"&lt;="&amp;T54))</f>
        <v>0</v>
      </c>
      <c r="AE54" s="32">
        <f>IF(S54="","",SUMIFS(Mileage!$M$5:$M$304,Mileage!$B$5:$B$304,"&gt;="&amp;S54,Mileage!$B$5:$B$304,"&lt;="&amp;T54,Mileage!$N$5:$N$304,"Business"))</f>
        <v>0</v>
      </c>
      <c r="AF54" s="29">
        <f>IF(S54="","",SUMIFS(Payments!$L$5:$L$304,Payments!$B$5:$B$304,"&gt;="&amp;DATE(Dash_Year-1,ROW()-4,1),Payments!$B$5:$B$304,"&lt;="&amp;EOMONTH(DATE(Dash_Year-1,ROW()-4,1),0)))</f>
        <v>0</v>
      </c>
      <c r="AG54" s="28">
        <f>IF(Staff!$B$54="","",Staff!$B$54)</f>
        <v>0</v>
      </c>
      <c r="AH54" s="31">
        <f>IF(AG54="","",COUNTIFS('Visit Log'!$G$5:$G$404,AG54,'Visit Log'!$C$5:$C$404,"&gt;="&amp;RepFrom,'Visit Log'!$C$5:$C$404,"&lt;="&amp;RepTo,'Visit Log'!$AE$5:$AE$404,"Completed"))</f>
        <v>0</v>
      </c>
      <c r="AI54" s="51">
        <f>IF(AG54="","",ROUND(SUMIFS('Visit Log'!$K$5:$K$404,'Visit Log'!$G$5:$G$404,AG54,'Visit Log'!$C$5:$C$404,"&gt;="&amp;RepFrom,'Visit Log'!$C$5:$C$404,"&lt;="&amp;RepTo,'Visit Log'!$AE$5:$AE$404,"Completed")/60,2))</f>
        <v>0</v>
      </c>
      <c r="AJ54" s="29">
        <f>IF(AG54="","",SUMIFS(Bookings!$AK$5:$AK$404,Bookings!$AL$5:$AL$404,AG54,Bookings!$I$5:$I$404,"&gt;="&amp;RepFrom,Bookings!$I$5:$I$404,"&lt;="&amp;RepTo,Bookings!$AM$5:$AM$404,"&lt;&gt;Cancelled"))</f>
        <v>0</v>
      </c>
      <c r="AK54" s="32">
        <f>IF(AG54="","",SUMIFS(Mileage!$M$5:$M$304,Mileage!$C$5:$C$304,AG54,Mileage!$B$5:$B$304,"&gt;="&amp;RepFrom,Mileage!$B$5:$B$304,"&lt;="&amp;RepTo))</f>
        <v>0</v>
      </c>
      <c r="AL54" s="28">
        <f>IF(Lists!$Q54="","",Lists!$Q54)</f>
        <v>0</v>
      </c>
      <c r="AM54" s="31">
        <f>IF(AL54="","",COUNTIFS(Bookings!$AV$5:$AV$404,AL54,Bookings!$I$5:$I$404,"&gt;="&amp;RepFrom,Bookings!$I$5:$I$404,"&lt;="&amp;RepTo))</f>
        <v>0</v>
      </c>
      <c r="AN54" s="28">
        <f>IF(Lists!$AF54="","",Lists!$AF54)</f>
        <v>0</v>
      </c>
      <c r="AO54" s="29">
        <f>IF(AN54="","",SUMIFS(Payments!$L$5:$L$304,Payments!$F$5:$F$304,AN54,Payments!$B$5:$B$304,"&gt;="&amp;RepFrom,Payments!$B$5:$B$304,"&lt;="&amp;RepTo))</f>
        <v>0</v>
      </c>
      <c r="AP54" s="28">
        <f>IF(Lists!$E54="","",Lists!$E54)</f>
        <v>0</v>
      </c>
      <c r="AQ54" s="31">
        <f>IF(AP54="","",COUNTIFS(Clients!$K$5:$K$254,AP54))</f>
        <v>0</v>
      </c>
      <c r="AR54" s="29">
        <f>IF(AP54="","",SUMIFS(Clients!$AE$5:$AE$254,Clients!$K$5:$K$254,AP54))</f>
        <v>0</v>
      </c>
    </row>
    <row r="55" spans="1:44">
      <c r="A55" s="28">
        <f>IF(Clients!$B$55="","",Clients!$B$55)</f>
        <v>0</v>
      </c>
      <c r="B55" s="29">
        <f>IF(A55="","",SUMIFS(Payments!$L$5:$L$304,Payments!$C$5:$C$304,A55,Payments!$B$5:$B$304,"&gt;="&amp;PeriodStart,Payments!$B$5:$B$304,"&lt;="&amp;PeriodEnd))</f>
        <v>0</v>
      </c>
      <c r="C55" s="51">
        <f>IF(A55="","",IF(B55&lt;=0,"",B55+ROW()/1000000))</f>
        <v>0</v>
      </c>
      <c r="D55" s="29">
        <f>IF(A55="","",SUMIFS(Payments!$L$5:$L$304,Payments!$C$5:$C$304,A55,Payments!$B$5:$B$304,"&gt;="&amp;RepFrom,Payments!$B$5:$B$304,"&lt;="&amp;RepTo))</f>
        <v>0</v>
      </c>
      <c r="E55" s="51">
        <f>IF(A55="","",IF(D55&lt;=0,"",D55+ROW()/1000000))</f>
        <v>0</v>
      </c>
      <c r="F55" s="29">
        <f>IF(A55="","",SUMIFS(Invoices!$S$5:$S$304,Invoices!$D$5:$D$304,A55,Invoices!$T$5:$T$304,"&lt;&gt;Cancelled"))</f>
        <v>0</v>
      </c>
      <c r="G55" s="51">
        <f>IF(A55="","",IF(F55&lt;=0.004,"",F55+ROW()/1000000))</f>
        <v>0</v>
      </c>
      <c r="H55" s="31">
        <f>IF(A55="","",COUNTIFS(Bookings!$C$5:$C$404,A55,Bookings!$I$5:$I$404,"&gt;="&amp;RepFrom,Bookings!$I$5:$I$404,"&lt;="&amp;RepTo,Bookings!$AM$5:$AM$404,"&lt;&gt;Cancelled"))</f>
        <v>0</v>
      </c>
      <c r="I55" s="28">
        <f>IF(Services!$B$55="","",Services!$B$55)</f>
        <v>0</v>
      </c>
      <c r="J55" s="29">
        <f>IF(I55="","",SUMIFS(Bookings!$AK$5:$AK$404,Bookings!$H$5:$H$404,I55,Bookings!$I$5:$I$404,"&gt;="&amp;PeriodStart,Bookings!$I$5:$I$404,"&lt;="&amp;PeriodEnd,Bookings!$AM$5:$AM$404,"&lt;&gt;Cancelled"))</f>
        <v>0</v>
      </c>
      <c r="K55" s="31">
        <f>IF(I55="","",COUNTIFS(Bookings!$H$5:$H$404,I55,Bookings!$I$5:$I$404,"&gt;="&amp;PeriodStart,Bookings!$I$5:$I$404,"&lt;="&amp;PeriodEnd,Bookings!$AM$5:$AM$404,"&lt;&gt;Cancelled"))</f>
        <v>0</v>
      </c>
      <c r="L55" s="29">
        <f>IF(I55="","",SUMIFS(Bookings!$AK$5:$AK$404,Bookings!$H$5:$H$404,I55,Bookings!$I$5:$I$404,"&gt;="&amp;RepFrom,Bookings!$I$5:$I$404,"&lt;="&amp;RepTo,Bookings!$AM$5:$AM$404,"&lt;&gt;Cancelled"))</f>
        <v>0</v>
      </c>
      <c r="M55" s="31">
        <f>IF(I55="","",COUNTIFS(Bookings!$H$5:$H$404,I55,Bookings!$I$5:$I$404,"&gt;="&amp;RepFrom,Bookings!$I$5:$I$404,"&lt;="&amp;RepTo,Bookings!$AM$5:$AM$404,"&lt;&gt;Cancelled"))</f>
        <v>0</v>
      </c>
      <c r="N55" s="29">
        <f>IF(I55="","",M55*IF(Services!$L$55="",0,Services!$L$55))</f>
        <v>0</v>
      </c>
      <c r="O55" s="29">
        <f>IF(I55="","",L55-N55)</f>
        <v>0</v>
      </c>
      <c r="P55" s="28">
        <f>IF(Lists!$AG55="","",Lists!$AG55)</f>
        <v>0</v>
      </c>
      <c r="Q55" s="29">
        <f>IF(P55="","",SUMIFS(Expenses!$F$5:$F$304,Expenses!$C$5:$C$304,P55,Expenses!$B$5:$B$304,"&gt;="&amp;PeriodStart,Expenses!$B$5:$B$304,"&lt;="&amp;PeriodEnd,Expenses!$J$5:$J$304,"&lt;&gt;Personal"))</f>
        <v>0</v>
      </c>
      <c r="R55" s="29">
        <f>IF(P55="","",SUMIFS(Expenses!$F$5:$F$304,Expenses!$C$5:$C$304,P55,Expenses!$B$5:$B$304,"&gt;="&amp;RepFrom,Expenses!$B$5:$B$304,"&lt;="&amp;RepTo,Expenses!$J$5:$J$304,"&lt;&gt;Personal"))</f>
        <v>0</v>
      </c>
      <c r="S55" s="21">
        <f>IF(ROW()-4&gt;12,"",DATE(Dash_Year,ROW()-4,1))</f>
        <v>0</v>
      </c>
      <c r="T55" s="21">
        <f>IF(S55="","",EOMONTH(S55,0))</f>
        <v>0</v>
      </c>
      <c r="U55" s="28">
        <f>IF(S55="","",TEXT(S55,"mmm"))</f>
        <v>0</v>
      </c>
      <c r="V55" s="29">
        <f>IF(S55="","",SUMIFS(Payments!$L$5:$L$304,Payments!$B$5:$B$304,"&gt;="&amp;S55,Payments!$B$5:$B$304,"&lt;="&amp;T55))</f>
        <v>0</v>
      </c>
      <c r="W55" s="29">
        <f>IF(S55="","",SUMIFS(Invoices!$O$5:$O$304,Invoices!$B$5:$B$304,"&gt;="&amp;S55,Invoices!$B$5:$B$304,"&lt;="&amp;T55,Invoices!$T$5:$T$304,"&lt;&gt;Cancelled"))</f>
        <v>0</v>
      </c>
      <c r="X55" s="29">
        <f>IF(S55="","",SUMIFS(Expenses!$F$5:$F$304,Expenses!$B$5:$B$304,"&gt;="&amp;S55,Expenses!$B$5:$B$304,"&lt;="&amp;T55,Expenses!$J$5:$J$304,"&lt;&gt;Personal"))</f>
        <v>0</v>
      </c>
      <c r="Y55" s="29">
        <f>IF(S55="","",V55-X55)</f>
        <v>0</v>
      </c>
      <c r="Z55" s="31">
        <f>IF(S55="","",COUNTIFS(Bookings!$I$5:$I$404,"&gt;="&amp;S55,Bookings!$I$5:$I$404,"&lt;="&amp;T55,Bookings!$AM$5:$AM$404,"&lt;&gt;Cancelled"))</f>
        <v>0</v>
      </c>
      <c r="AA55" s="31">
        <f>IF(S55="","",COUNTIFS(Bookings!$I$5:$I$404,"&gt;="&amp;S55,Bookings!$I$5:$I$404,"&lt;="&amp;T55,Bookings!$AM$5:$AM$404,"Completed"))</f>
        <v>0</v>
      </c>
      <c r="AB55" s="31">
        <f>IF(S55="","",COUNTIFS(Bookings!$I$5:$I$404,"&gt;="&amp;S55,Bookings!$I$5:$I$404,"&lt;="&amp;T55,Bookings!$AM$5:$AM$404,"Cancelled"))</f>
        <v>0</v>
      </c>
      <c r="AC55" s="31">
        <f>IF(S55="","",COUNTIFS('Visit Log'!$C$5:$C$404,"&gt;="&amp;S55,'Visit Log'!$C$5:$C$404,"&lt;="&amp;T55,'Visit Log'!$AE$5:$AE$404,"Completed"))</f>
        <v>0</v>
      </c>
      <c r="AD55" s="31">
        <f>IF(S55="","",COUNTIFS(Clients!$L$5:$L$254,"&gt;="&amp;S55,Clients!$L$5:$L$254,"&lt;="&amp;T55))</f>
        <v>0</v>
      </c>
      <c r="AE55" s="32">
        <f>IF(S55="","",SUMIFS(Mileage!$M$5:$M$304,Mileage!$B$5:$B$304,"&gt;="&amp;S55,Mileage!$B$5:$B$304,"&lt;="&amp;T55,Mileage!$N$5:$N$304,"Business"))</f>
        <v>0</v>
      </c>
      <c r="AF55" s="29">
        <f>IF(S55="","",SUMIFS(Payments!$L$5:$L$304,Payments!$B$5:$B$304,"&gt;="&amp;DATE(Dash_Year-1,ROW()-4,1),Payments!$B$5:$B$304,"&lt;="&amp;EOMONTH(DATE(Dash_Year-1,ROW()-4,1),0)))</f>
        <v>0</v>
      </c>
      <c r="AG55" s="28">
        <f>IF(Staff!$B$55="","",Staff!$B$55)</f>
        <v>0</v>
      </c>
      <c r="AH55" s="31">
        <f>IF(AG55="","",COUNTIFS('Visit Log'!$G$5:$G$404,AG55,'Visit Log'!$C$5:$C$404,"&gt;="&amp;RepFrom,'Visit Log'!$C$5:$C$404,"&lt;="&amp;RepTo,'Visit Log'!$AE$5:$AE$404,"Completed"))</f>
        <v>0</v>
      </c>
      <c r="AI55" s="51">
        <f>IF(AG55="","",ROUND(SUMIFS('Visit Log'!$K$5:$K$404,'Visit Log'!$G$5:$G$404,AG55,'Visit Log'!$C$5:$C$404,"&gt;="&amp;RepFrom,'Visit Log'!$C$5:$C$404,"&lt;="&amp;RepTo,'Visit Log'!$AE$5:$AE$404,"Completed")/60,2))</f>
        <v>0</v>
      </c>
      <c r="AJ55" s="29">
        <f>IF(AG55="","",SUMIFS(Bookings!$AK$5:$AK$404,Bookings!$AL$5:$AL$404,AG55,Bookings!$I$5:$I$404,"&gt;="&amp;RepFrom,Bookings!$I$5:$I$404,"&lt;="&amp;RepTo,Bookings!$AM$5:$AM$404,"&lt;&gt;Cancelled"))</f>
        <v>0</v>
      </c>
      <c r="AK55" s="32">
        <f>IF(AG55="","",SUMIFS(Mileage!$M$5:$M$304,Mileage!$C$5:$C$304,AG55,Mileage!$B$5:$B$304,"&gt;="&amp;RepFrom,Mileage!$B$5:$B$304,"&lt;="&amp;RepTo))</f>
        <v>0</v>
      </c>
      <c r="AL55" s="28">
        <f>IF(Lists!$Q55="","",Lists!$Q55)</f>
        <v>0</v>
      </c>
      <c r="AM55" s="31">
        <f>IF(AL55="","",COUNTIFS(Bookings!$AV$5:$AV$404,AL55,Bookings!$I$5:$I$404,"&gt;="&amp;RepFrom,Bookings!$I$5:$I$404,"&lt;="&amp;RepTo))</f>
        <v>0</v>
      </c>
      <c r="AN55" s="28">
        <f>IF(Lists!$AF55="","",Lists!$AF55)</f>
        <v>0</v>
      </c>
      <c r="AO55" s="29">
        <f>IF(AN55="","",SUMIFS(Payments!$L$5:$L$304,Payments!$F$5:$F$304,AN55,Payments!$B$5:$B$304,"&gt;="&amp;RepFrom,Payments!$B$5:$B$304,"&lt;="&amp;RepTo))</f>
        <v>0</v>
      </c>
      <c r="AP55" s="28">
        <f>IF(Lists!$E55="","",Lists!$E55)</f>
        <v>0</v>
      </c>
      <c r="AQ55" s="31">
        <f>IF(AP55="","",COUNTIFS(Clients!$K$5:$K$254,AP55))</f>
        <v>0</v>
      </c>
      <c r="AR55" s="29">
        <f>IF(AP55="","",SUMIFS(Clients!$AE$5:$AE$254,Clients!$K$5:$K$254,AP55))</f>
        <v>0</v>
      </c>
    </row>
    <row r="56" spans="1:44">
      <c r="A56" s="28">
        <f>IF(Clients!$B$56="","",Clients!$B$56)</f>
        <v>0</v>
      </c>
      <c r="B56" s="29">
        <f>IF(A56="","",SUMIFS(Payments!$L$5:$L$304,Payments!$C$5:$C$304,A56,Payments!$B$5:$B$304,"&gt;="&amp;PeriodStart,Payments!$B$5:$B$304,"&lt;="&amp;PeriodEnd))</f>
        <v>0</v>
      </c>
      <c r="C56" s="51">
        <f>IF(A56="","",IF(B56&lt;=0,"",B56+ROW()/1000000))</f>
        <v>0</v>
      </c>
      <c r="D56" s="29">
        <f>IF(A56="","",SUMIFS(Payments!$L$5:$L$304,Payments!$C$5:$C$304,A56,Payments!$B$5:$B$304,"&gt;="&amp;RepFrom,Payments!$B$5:$B$304,"&lt;="&amp;RepTo))</f>
        <v>0</v>
      </c>
      <c r="E56" s="51">
        <f>IF(A56="","",IF(D56&lt;=0,"",D56+ROW()/1000000))</f>
        <v>0</v>
      </c>
      <c r="F56" s="29">
        <f>IF(A56="","",SUMIFS(Invoices!$S$5:$S$304,Invoices!$D$5:$D$304,A56,Invoices!$T$5:$T$304,"&lt;&gt;Cancelled"))</f>
        <v>0</v>
      </c>
      <c r="G56" s="51">
        <f>IF(A56="","",IF(F56&lt;=0.004,"",F56+ROW()/1000000))</f>
        <v>0</v>
      </c>
      <c r="H56" s="31">
        <f>IF(A56="","",COUNTIFS(Bookings!$C$5:$C$404,A56,Bookings!$I$5:$I$404,"&gt;="&amp;RepFrom,Bookings!$I$5:$I$404,"&lt;="&amp;RepTo,Bookings!$AM$5:$AM$404,"&lt;&gt;Cancelled"))</f>
        <v>0</v>
      </c>
      <c r="I56" s="28">
        <f>IF(Services!$B$56="","",Services!$B$56)</f>
        <v>0</v>
      </c>
      <c r="J56" s="29">
        <f>IF(I56="","",SUMIFS(Bookings!$AK$5:$AK$404,Bookings!$H$5:$H$404,I56,Bookings!$I$5:$I$404,"&gt;="&amp;PeriodStart,Bookings!$I$5:$I$404,"&lt;="&amp;PeriodEnd,Bookings!$AM$5:$AM$404,"&lt;&gt;Cancelled"))</f>
        <v>0</v>
      </c>
      <c r="K56" s="31">
        <f>IF(I56="","",COUNTIFS(Bookings!$H$5:$H$404,I56,Bookings!$I$5:$I$404,"&gt;="&amp;PeriodStart,Bookings!$I$5:$I$404,"&lt;="&amp;PeriodEnd,Bookings!$AM$5:$AM$404,"&lt;&gt;Cancelled"))</f>
        <v>0</v>
      </c>
      <c r="L56" s="29">
        <f>IF(I56="","",SUMIFS(Bookings!$AK$5:$AK$404,Bookings!$H$5:$H$404,I56,Bookings!$I$5:$I$404,"&gt;="&amp;RepFrom,Bookings!$I$5:$I$404,"&lt;="&amp;RepTo,Bookings!$AM$5:$AM$404,"&lt;&gt;Cancelled"))</f>
        <v>0</v>
      </c>
      <c r="M56" s="31">
        <f>IF(I56="","",COUNTIFS(Bookings!$H$5:$H$404,I56,Bookings!$I$5:$I$404,"&gt;="&amp;RepFrom,Bookings!$I$5:$I$404,"&lt;="&amp;RepTo,Bookings!$AM$5:$AM$404,"&lt;&gt;Cancelled"))</f>
        <v>0</v>
      </c>
      <c r="N56" s="29">
        <f>IF(I56="","",M56*IF(Services!$L$56="",0,Services!$L$56))</f>
        <v>0</v>
      </c>
      <c r="O56" s="29">
        <f>IF(I56="","",L56-N56)</f>
        <v>0</v>
      </c>
      <c r="P56" s="28">
        <f>IF(Lists!$AG56="","",Lists!$AG56)</f>
        <v>0</v>
      </c>
      <c r="Q56" s="29">
        <f>IF(P56="","",SUMIFS(Expenses!$F$5:$F$304,Expenses!$C$5:$C$304,P56,Expenses!$B$5:$B$304,"&gt;="&amp;PeriodStart,Expenses!$B$5:$B$304,"&lt;="&amp;PeriodEnd,Expenses!$J$5:$J$304,"&lt;&gt;Personal"))</f>
        <v>0</v>
      </c>
      <c r="R56" s="29">
        <f>IF(P56="","",SUMIFS(Expenses!$F$5:$F$304,Expenses!$C$5:$C$304,P56,Expenses!$B$5:$B$304,"&gt;="&amp;RepFrom,Expenses!$B$5:$B$304,"&lt;="&amp;RepTo,Expenses!$J$5:$J$304,"&lt;&gt;Personal"))</f>
        <v>0</v>
      </c>
      <c r="S56" s="21">
        <f>IF(ROW()-4&gt;12,"",DATE(Dash_Year,ROW()-4,1))</f>
        <v>0</v>
      </c>
      <c r="T56" s="21">
        <f>IF(S56="","",EOMONTH(S56,0))</f>
        <v>0</v>
      </c>
      <c r="U56" s="28">
        <f>IF(S56="","",TEXT(S56,"mmm"))</f>
        <v>0</v>
      </c>
      <c r="V56" s="29">
        <f>IF(S56="","",SUMIFS(Payments!$L$5:$L$304,Payments!$B$5:$B$304,"&gt;="&amp;S56,Payments!$B$5:$B$304,"&lt;="&amp;T56))</f>
        <v>0</v>
      </c>
      <c r="W56" s="29">
        <f>IF(S56="","",SUMIFS(Invoices!$O$5:$O$304,Invoices!$B$5:$B$304,"&gt;="&amp;S56,Invoices!$B$5:$B$304,"&lt;="&amp;T56,Invoices!$T$5:$T$304,"&lt;&gt;Cancelled"))</f>
        <v>0</v>
      </c>
      <c r="X56" s="29">
        <f>IF(S56="","",SUMIFS(Expenses!$F$5:$F$304,Expenses!$B$5:$B$304,"&gt;="&amp;S56,Expenses!$B$5:$B$304,"&lt;="&amp;T56,Expenses!$J$5:$J$304,"&lt;&gt;Personal"))</f>
        <v>0</v>
      </c>
      <c r="Y56" s="29">
        <f>IF(S56="","",V56-X56)</f>
        <v>0</v>
      </c>
      <c r="Z56" s="31">
        <f>IF(S56="","",COUNTIFS(Bookings!$I$5:$I$404,"&gt;="&amp;S56,Bookings!$I$5:$I$404,"&lt;="&amp;T56,Bookings!$AM$5:$AM$404,"&lt;&gt;Cancelled"))</f>
        <v>0</v>
      </c>
      <c r="AA56" s="31">
        <f>IF(S56="","",COUNTIFS(Bookings!$I$5:$I$404,"&gt;="&amp;S56,Bookings!$I$5:$I$404,"&lt;="&amp;T56,Bookings!$AM$5:$AM$404,"Completed"))</f>
        <v>0</v>
      </c>
      <c r="AB56" s="31">
        <f>IF(S56="","",COUNTIFS(Bookings!$I$5:$I$404,"&gt;="&amp;S56,Bookings!$I$5:$I$404,"&lt;="&amp;T56,Bookings!$AM$5:$AM$404,"Cancelled"))</f>
        <v>0</v>
      </c>
      <c r="AC56" s="31">
        <f>IF(S56="","",COUNTIFS('Visit Log'!$C$5:$C$404,"&gt;="&amp;S56,'Visit Log'!$C$5:$C$404,"&lt;="&amp;T56,'Visit Log'!$AE$5:$AE$404,"Completed"))</f>
        <v>0</v>
      </c>
      <c r="AD56" s="31">
        <f>IF(S56="","",COUNTIFS(Clients!$L$5:$L$254,"&gt;="&amp;S56,Clients!$L$5:$L$254,"&lt;="&amp;T56))</f>
        <v>0</v>
      </c>
      <c r="AE56" s="32">
        <f>IF(S56="","",SUMIFS(Mileage!$M$5:$M$304,Mileage!$B$5:$B$304,"&gt;="&amp;S56,Mileage!$B$5:$B$304,"&lt;="&amp;T56,Mileage!$N$5:$N$304,"Business"))</f>
        <v>0</v>
      </c>
      <c r="AF56" s="29">
        <f>IF(S56="","",SUMIFS(Payments!$L$5:$L$304,Payments!$B$5:$B$304,"&gt;="&amp;DATE(Dash_Year-1,ROW()-4,1),Payments!$B$5:$B$304,"&lt;="&amp;EOMONTH(DATE(Dash_Year-1,ROW()-4,1),0)))</f>
        <v>0</v>
      </c>
      <c r="AG56" s="28">
        <f>IF(Staff!$B$56="","",Staff!$B$56)</f>
        <v>0</v>
      </c>
      <c r="AH56" s="31">
        <f>IF(AG56="","",COUNTIFS('Visit Log'!$G$5:$G$404,AG56,'Visit Log'!$C$5:$C$404,"&gt;="&amp;RepFrom,'Visit Log'!$C$5:$C$404,"&lt;="&amp;RepTo,'Visit Log'!$AE$5:$AE$404,"Completed"))</f>
        <v>0</v>
      </c>
      <c r="AI56" s="51">
        <f>IF(AG56="","",ROUND(SUMIFS('Visit Log'!$K$5:$K$404,'Visit Log'!$G$5:$G$404,AG56,'Visit Log'!$C$5:$C$404,"&gt;="&amp;RepFrom,'Visit Log'!$C$5:$C$404,"&lt;="&amp;RepTo,'Visit Log'!$AE$5:$AE$404,"Completed")/60,2))</f>
        <v>0</v>
      </c>
      <c r="AJ56" s="29">
        <f>IF(AG56="","",SUMIFS(Bookings!$AK$5:$AK$404,Bookings!$AL$5:$AL$404,AG56,Bookings!$I$5:$I$404,"&gt;="&amp;RepFrom,Bookings!$I$5:$I$404,"&lt;="&amp;RepTo,Bookings!$AM$5:$AM$404,"&lt;&gt;Cancelled"))</f>
        <v>0</v>
      </c>
      <c r="AK56" s="32">
        <f>IF(AG56="","",SUMIFS(Mileage!$M$5:$M$304,Mileage!$C$5:$C$304,AG56,Mileage!$B$5:$B$304,"&gt;="&amp;RepFrom,Mileage!$B$5:$B$304,"&lt;="&amp;RepTo))</f>
        <v>0</v>
      </c>
      <c r="AL56" s="28">
        <f>IF(Lists!$Q56="","",Lists!$Q56)</f>
        <v>0</v>
      </c>
      <c r="AM56" s="31">
        <f>IF(AL56="","",COUNTIFS(Bookings!$AV$5:$AV$404,AL56,Bookings!$I$5:$I$404,"&gt;="&amp;RepFrom,Bookings!$I$5:$I$404,"&lt;="&amp;RepTo))</f>
        <v>0</v>
      </c>
      <c r="AN56" s="28">
        <f>IF(Lists!$AF56="","",Lists!$AF56)</f>
        <v>0</v>
      </c>
      <c r="AO56" s="29">
        <f>IF(AN56="","",SUMIFS(Payments!$L$5:$L$304,Payments!$F$5:$F$304,AN56,Payments!$B$5:$B$304,"&gt;="&amp;RepFrom,Payments!$B$5:$B$304,"&lt;="&amp;RepTo))</f>
        <v>0</v>
      </c>
      <c r="AP56" s="28">
        <f>IF(Lists!$E56="","",Lists!$E56)</f>
        <v>0</v>
      </c>
      <c r="AQ56" s="31">
        <f>IF(AP56="","",COUNTIFS(Clients!$K$5:$K$254,AP56))</f>
        <v>0</v>
      </c>
      <c r="AR56" s="29">
        <f>IF(AP56="","",SUMIFS(Clients!$AE$5:$AE$254,Clients!$K$5:$K$254,AP56))</f>
        <v>0</v>
      </c>
    </row>
    <row r="57" spans="1:44">
      <c r="A57" s="28">
        <f>IF(Clients!$B$57="","",Clients!$B$57)</f>
        <v>0</v>
      </c>
      <c r="B57" s="29">
        <f>IF(A57="","",SUMIFS(Payments!$L$5:$L$304,Payments!$C$5:$C$304,A57,Payments!$B$5:$B$304,"&gt;="&amp;PeriodStart,Payments!$B$5:$B$304,"&lt;="&amp;PeriodEnd))</f>
        <v>0</v>
      </c>
      <c r="C57" s="51">
        <f>IF(A57="","",IF(B57&lt;=0,"",B57+ROW()/1000000))</f>
        <v>0</v>
      </c>
      <c r="D57" s="29">
        <f>IF(A57="","",SUMIFS(Payments!$L$5:$L$304,Payments!$C$5:$C$304,A57,Payments!$B$5:$B$304,"&gt;="&amp;RepFrom,Payments!$B$5:$B$304,"&lt;="&amp;RepTo))</f>
        <v>0</v>
      </c>
      <c r="E57" s="51">
        <f>IF(A57="","",IF(D57&lt;=0,"",D57+ROW()/1000000))</f>
        <v>0</v>
      </c>
      <c r="F57" s="29">
        <f>IF(A57="","",SUMIFS(Invoices!$S$5:$S$304,Invoices!$D$5:$D$304,A57,Invoices!$T$5:$T$304,"&lt;&gt;Cancelled"))</f>
        <v>0</v>
      </c>
      <c r="G57" s="51">
        <f>IF(A57="","",IF(F57&lt;=0.004,"",F57+ROW()/1000000))</f>
        <v>0</v>
      </c>
      <c r="H57" s="31">
        <f>IF(A57="","",COUNTIFS(Bookings!$C$5:$C$404,A57,Bookings!$I$5:$I$404,"&gt;="&amp;RepFrom,Bookings!$I$5:$I$404,"&lt;="&amp;RepTo,Bookings!$AM$5:$AM$404,"&lt;&gt;Cancelled"))</f>
        <v>0</v>
      </c>
      <c r="I57" s="28">
        <f>IF(Services!$B$57="","",Services!$B$57)</f>
        <v>0</v>
      </c>
      <c r="J57" s="29">
        <f>IF(I57="","",SUMIFS(Bookings!$AK$5:$AK$404,Bookings!$H$5:$H$404,I57,Bookings!$I$5:$I$404,"&gt;="&amp;PeriodStart,Bookings!$I$5:$I$404,"&lt;="&amp;PeriodEnd,Bookings!$AM$5:$AM$404,"&lt;&gt;Cancelled"))</f>
        <v>0</v>
      </c>
      <c r="K57" s="31">
        <f>IF(I57="","",COUNTIFS(Bookings!$H$5:$H$404,I57,Bookings!$I$5:$I$404,"&gt;="&amp;PeriodStart,Bookings!$I$5:$I$404,"&lt;="&amp;PeriodEnd,Bookings!$AM$5:$AM$404,"&lt;&gt;Cancelled"))</f>
        <v>0</v>
      </c>
      <c r="L57" s="29">
        <f>IF(I57="","",SUMIFS(Bookings!$AK$5:$AK$404,Bookings!$H$5:$H$404,I57,Bookings!$I$5:$I$404,"&gt;="&amp;RepFrom,Bookings!$I$5:$I$404,"&lt;="&amp;RepTo,Bookings!$AM$5:$AM$404,"&lt;&gt;Cancelled"))</f>
        <v>0</v>
      </c>
      <c r="M57" s="31">
        <f>IF(I57="","",COUNTIFS(Bookings!$H$5:$H$404,I57,Bookings!$I$5:$I$404,"&gt;="&amp;RepFrom,Bookings!$I$5:$I$404,"&lt;="&amp;RepTo,Bookings!$AM$5:$AM$404,"&lt;&gt;Cancelled"))</f>
        <v>0</v>
      </c>
      <c r="N57" s="29">
        <f>IF(I57="","",M57*IF(Services!$L$57="",0,Services!$L$57))</f>
        <v>0</v>
      </c>
      <c r="O57" s="29">
        <f>IF(I57="","",L57-N57)</f>
        <v>0</v>
      </c>
      <c r="P57" s="28">
        <f>IF(Lists!$AG57="","",Lists!$AG57)</f>
        <v>0</v>
      </c>
      <c r="Q57" s="29">
        <f>IF(P57="","",SUMIFS(Expenses!$F$5:$F$304,Expenses!$C$5:$C$304,P57,Expenses!$B$5:$B$304,"&gt;="&amp;PeriodStart,Expenses!$B$5:$B$304,"&lt;="&amp;PeriodEnd,Expenses!$J$5:$J$304,"&lt;&gt;Personal"))</f>
        <v>0</v>
      </c>
      <c r="R57" s="29">
        <f>IF(P57="","",SUMIFS(Expenses!$F$5:$F$304,Expenses!$C$5:$C$304,P57,Expenses!$B$5:$B$304,"&gt;="&amp;RepFrom,Expenses!$B$5:$B$304,"&lt;="&amp;RepTo,Expenses!$J$5:$J$304,"&lt;&gt;Personal"))</f>
        <v>0</v>
      </c>
      <c r="S57" s="21">
        <f>IF(ROW()-4&gt;12,"",DATE(Dash_Year,ROW()-4,1))</f>
        <v>0</v>
      </c>
      <c r="T57" s="21">
        <f>IF(S57="","",EOMONTH(S57,0))</f>
        <v>0</v>
      </c>
      <c r="U57" s="28">
        <f>IF(S57="","",TEXT(S57,"mmm"))</f>
        <v>0</v>
      </c>
      <c r="V57" s="29">
        <f>IF(S57="","",SUMIFS(Payments!$L$5:$L$304,Payments!$B$5:$B$304,"&gt;="&amp;S57,Payments!$B$5:$B$304,"&lt;="&amp;T57))</f>
        <v>0</v>
      </c>
      <c r="W57" s="29">
        <f>IF(S57="","",SUMIFS(Invoices!$O$5:$O$304,Invoices!$B$5:$B$304,"&gt;="&amp;S57,Invoices!$B$5:$B$304,"&lt;="&amp;T57,Invoices!$T$5:$T$304,"&lt;&gt;Cancelled"))</f>
        <v>0</v>
      </c>
      <c r="X57" s="29">
        <f>IF(S57="","",SUMIFS(Expenses!$F$5:$F$304,Expenses!$B$5:$B$304,"&gt;="&amp;S57,Expenses!$B$5:$B$304,"&lt;="&amp;T57,Expenses!$J$5:$J$304,"&lt;&gt;Personal"))</f>
        <v>0</v>
      </c>
      <c r="Y57" s="29">
        <f>IF(S57="","",V57-X57)</f>
        <v>0</v>
      </c>
      <c r="Z57" s="31">
        <f>IF(S57="","",COUNTIFS(Bookings!$I$5:$I$404,"&gt;="&amp;S57,Bookings!$I$5:$I$404,"&lt;="&amp;T57,Bookings!$AM$5:$AM$404,"&lt;&gt;Cancelled"))</f>
        <v>0</v>
      </c>
      <c r="AA57" s="31">
        <f>IF(S57="","",COUNTIFS(Bookings!$I$5:$I$404,"&gt;="&amp;S57,Bookings!$I$5:$I$404,"&lt;="&amp;T57,Bookings!$AM$5:$AM$404,"Completed"))</f>
        <v>0</v>
      </c>
      <c r="AB57" s="31">
        <f>IF(S57="","",COUNTIFS(Bookings!$I$5:$I$404,"&gt;="&amp;S57,Bookings!$I$5:$I$404,"&lt;="&amp;T57,Bookings!$AM$5:$AM$404,"Cancelled"))</f>
        <v>0</v>
      </c>
      <c r="AC57" s="31">
        <f>IF(S57="","",COUNTIFS('Visit Log'!$C$5:$C$404,"&gt;="&amp;S57,'Visit Log'!$C$5:$C$404,"&lt;="&amp;T57,'Visit Log'!$AE$5:$AE$404,"Completed"))</f>
        <v>0</v>
      </c>
      <c r="AD57" s="31">
        <f>IF(S57="","",COUNTIFS(Clients!$L$5:$L$254,"&gt;="&amp;S57,Clients!$L$5:$L$254,"&lt;="&amp;T57))</f>
        <v>0</v>
      </c>
      <c r="AE57" s="32">
        <f>IF(S57="","",SUMIFS(Mileage!$M$5:$M$304,Mileage!$B$5:$B$304,"&gt;="&amp;S57,Mileage!$B$5:$B$304,"&lt;="&amp;T57,Mileage!$N$5:$N$304,"Business"))</f>
        <v>0</v>
      </c>
      <c r="AF57" s="29">
        <f>IF(S57="","",SUMIFS(Payments!$L$5:$L$304,Payments!$B$5:$B$304,"&gt;="&amp;DATE(Dash_Year-1,ROW()-4,1),Payments!$B$5:$B$304,"&lt;="&amp;EOMONTH(DATE(Dash_Year-1,ROW()-4,1),0)))</f>
        <v>0</v>
      </c>
      <c r="AG57" s="28">
        <f>IF(Staff!$B$57="","",Staff!$B$57)</f>
        <v>0</v>
      </c>
      <c r="AH57" s="31">
        <f>IF(AG57="","",COUNTIFS('Visit Log'!$G$5:$G$404,AG57,'Visit Log'!$C$5:$C$404,"&gt;="&amp;RepFrom,'Visit Log'!$C$5:$C$404,"&lt;="&amp;RepTo,'Visit Log'!$AE$5:$AE$404,"Completed"))</f>
        <v>0</v>
      </c>
      <c r="AI57" s="51">
        <f>IF(AG57="","",ROUND(SUMIFS('Visit Log'!$K$5:$K$404,'Visit Log'!$G$5:$G$404,AG57,'Visit Log'!$C$5:$C$404,"&gt;="&amp;RepFrom,'Visit Log'!$C$5:$C$404,"&lt;="&amp;RepTo,'Visit Log'!$AE$5:$AE$404,"Completed")/60,2))</f>
        <v>0</v>
      </c>
      <c r="AJ57" s="29">
        <f>IF(AG57="","",SUMIFS(Bookings!$AK$5:$AK$404,Bookings!$AL$5:$AL$404,AG57,Bookings!$I$5:$I$404,"&gt;="&amp;RepFrom,Bookings!$I$5:$I$404,"&lt;="&amp;RepTo,Bookings!$AM$5:$AM$404,"&lt;&gt;Cancelled"))</f>
        <v>0</v>
      </c>
      <c r="AK57" s="32">
        <f>IF(AG57="","",SUMIFS(Mileage!$M$5:$M$304,Mileage!$C$5:$C$304,AG57,Mileage!$B$5:$B$304,"&gt;="&amp;RepFrom,Mileage!$B$5:$B$304,"&lt;="&amp;RepTo))</f>
        <v>0</v>
      </c>
      <c r="AL57" s="28">
        <f>IF(Lists!$Q57="","",Lists!$Q57)</f>
        <v>0</v>
      </c>
      <c r="AM57" s="31">
        <f>IF(AL57="","",COUNTIFS(Bookings!$AV$5:$AV$404,AL57,Bookings!$I$5:$I$404,"&gt;="&amp;RepFrom,Bookings!$I$5:$I$404,"&lt;="&amp;RepTo))</f>
        <v>0</v>
      </c>
      <c r="AN57" s="28">
        <f>IF(Lists!$AF57="","",Lists!$AF57)</f>
        <v>0</v>
      </c>
      <c r="AO57" s="29">
        <f>IF(AN57="","",SUMIFS(Payments!$L$5:$L$304,Payments!$F$5:$F$304,AN57,Payments!$B$5:$B$304,"&gt;="&amp;RepFrom,Payments!$B$5:$B$304,"&lt;="&amp;RepTo))</f>
        <v>0</v>
      </c>
      <c r="AP57" s="28">
        <f>IF(Lists!$E57="","",Lists!$E57)</f>
        <v>0</v>
      </c>
      <c r="AQ57" s="31">
        <f>IF(AP57="","",COUNTIFS(Clients!$K$5:$K$254,AP57))</f>
        <v>0</v>
      </c>
      <c r="AR57" s="29">
        <f>IF(AP57="","",SUMIFS(Clients!$AE$5:$AE$254,Clients!$K$5:$K$254,AP57))</f>
        <v>0</v>
      </c>
    </row>
    <row r="58" spans="1:44">
      <c r="A58" s="28">
        <f>IF(Clients!$B$58="","",Clients!$B$58)</f>
        <v>0</v>
      </c>
      <c r="B58" s="29">
        <f>IF(A58="","",SUMIFS(Payments!$L$5:$L$304,Payments!$C$5:$C$304,A58,Payments!$B$5:$B$304,"&gt;="&amp;PeriodStart,Payments!$B$5:$B$304,"&lt;="&amp;PeriodEnd))</f>
        <v>0</v>
      </c>
      <c r="C58" s="51">
        <f>IF(A58="","",IF(B58&lt;=0,"",B58+ROW()/1000000))</f>
        <v>0</v>
      </c>
      <c r="D58" s="29">
        <f>IF(A58="","",SUMIFS(Payments!$L$5:$L$304,Payments!$C$5:$C$304,A58,Payments!$B$5:$B$304,"&gt;="&amp;RepFrom,Payments!$B$5:$B$304,"&lt;="&amp;RepTo))</f>
        <v>0</v>
      </c>
      <c r="E58" s="51">
        <f>IF(A58="","",IF(D58&lt;=0,"",D58+ROW()/1000000))</f>
        <v>0</v>
      </c>
      <c r="F58" s="29">
        <f>IF(A58="","",SUMIFS(Invoices!$S$5:$S$304,Invoices!$D$5:$D$304,A58,Invoices!$T$5:$T$304,"&lt;&gt;Cancelled"))</f>
        <v>0</v>
      </c>
      <c r="G58" s="51">
        <f>IF(A58="","",IF(F58&lt;=0.004,"",F58+ROW()/1000000))</f>
        <v>0</v>
      </c>
      <c r="H58" s="31">
        <f>IF(A58="","",COUNTIFS(Bookings!$C$5:$C$404,A58,Bookings!$I$5:$I$404,"&gt;="&amp;RepFrom,Bookings!$I$5:$I$404,"&lt;="&amp;RepTo,Bookings!$AM$5:$AM$404,"&lt;&gt;Cancelled"))</f>
        <v>0</v>
      </c>
      <c r="I58" s="28">
        <f>IF(Services!$B$58="","",Services!$B$58)</f>
        <v>0</v>
      </c>
      <c r="J58" s="29">
        <f>IF(I58="","",SUMIFS(Bookings!$AK$5:$AK$404,Bookings!$H$5:$H$404,I58,Bookings!$I$5:$I$404,"&gt;="&amp;PeriodStart,Bookings!$I$5:$I$404,"&lt;="&amp;PeriodEnd,Bookings!$AM$5:$AM$404,"&lt;&gt;Cancelled"))</f>
        <v>0</v>
      </c>
      <c r="K58" s="31">
        <f>IF(I58="","",COUNTIFS(Bookings!$H$5:$H$404,I58,Bookings!$I$5:$I$404,"&gt;="&amp;PeriodStart,Bookings!$I$5:$I$404,"&lt;="&amp;PeriodEnd,Bookings!$AM$5:$AM$404,"&lt;&gt;Cancelled"))</f>
        <v>0</v>
      </c>
      <c r="L58" s="29">
        <f>IF(I58="","",SUMIFS(Bookings!$AK$5:$AK$404,Bookings!$H$5:$H$404,I58,Bookings!$I$5:$I$404,"&gt;="&amp;RepFrom,Bookings!$I$5:$I$404,"&lt;="&amp;RepTo,Bookings!$AM$5:$AM$404,"&lt;&gt;Cancelled"))</f>
        <v>0</v>
      </c>
      <c r="M58" s="31">
        <f>IF(I58="","",COUNTIFS(Bookings!$H$5:$H$404,I58,Bookings!$I$5:$I$404,"&gt;="&amp;RepFrom,Bookings!$I$5:$I$404,"&lt;="&amp;RepTo,Bookings!$AM$5:$AM$404,"&lt;&gt;Cancelled"))</f>
        <v>0</v>
      </c>
      <c r="N58" s="29">
        <f>IF(I58="","",M58*IF(Services!$L$58="",0,Services!$L$58))</f>
        <v>0</v>
      </c>
      <c r="O58" s="29">
        <f>IF(I58="","",L58-N58)</f>
        <v>0</v>
      </c>
      <c r="P58" s="28">
        <f>IF(Lists!$AG58="","",Lists!$AG58)</f>
        <v>0</v>
      </c>
      <c r="Q58" s="29">
        <f>IF(P58="","",SUMIFS(Expenses!$F$5:$F$304,Expenses!$C$5:$C$304,P58,Expenses!$B$5:$B$304,"&gt;="&amp;PeriodStart,Expenses!$B$5:$B$304,"&lt;="&amp;PeriodEnd,Expenses!$J$5:$J$304,"&lt;&gt;Personal"))</f>
        <v>0</v>
      </c>
      <c r="R58" s="29">
        <f>IF(P58="","",SUMIFS(Expenses!$F$5:$F$304,Expenses!$C$5:$C$304,P58,Expenses!$B$5:$B$304,"&gt;="&amp;RepFrom,Expenses!$B$5:$B$304,"&lt;="&amp;RepTo,Expenses!$J$5:$J$304,"&lt;&gt;Personal"))</f>
        <v>0</v>
      </c>
      <c r="S58" s="21">
        <f>IF(ROW()-4&gt;12,"",DATE(Dash_Year,ROW()-4,1))</f>
        <v>0</v>
      </c>
      <c r="T58" s="21">
        <f>IF(S58="","",EOMONTH(S58,0))</f>
        <v>0</v>
      </c>
      <c r="U58" s="28">
        <f>IF(S58="","",TEXT(S58,"mmm"))</f>
        <v>0</v>
      </c>
      <c r="V58" s="29">
        <f>IF(S58="","",SUMIFS(Payments!$L$5:$L$304,Payments!$B$5:$B$304,"&gt;="&amp;S58,Payments!$B$5:$B$304,"&lt;="&amp;T58))</f>
        <v>0</v>
      </c>
      <c r="W58" s="29">
        <f>IF(S58="","",SUMIFS(Invoices!$O$5:$O$304,Invoices!$B$5:$B$304,"&gt;="&amp;S58,Invoices!$B$5:$B$304,"&lt;="&amp;T58,Invoices!$T$5:$T$304,"&lt;&gt;Cancelled"))</f>
        <v>0</v>
      </c>
      <c r="X58" s="29">
        <f>IF(S58="","",SUMIFS(Expenses!$F$5:$F$304,Expenses!$B$5:$B$304,"&gt;="&amp;S58,Expenses!$B$5:$B$304,"&lt;="&amp;T58,Expenses!$J$5:$J$304,"&lt;&gt;Personal"))</f>
        <v>0</v>
      </c>
      <c r="Y58" s="29">
        <f>IF(S58="","",V58-X58)</f>
        <v>0</v>
      </c>
      <c r="Z58" s="31">
        <f>IF(S58="","",COUNTIFS(Bookings!$I$5:$I$404,"&gt;="&amp;S58,Bookings!$I$5:$I$404,"&lt;="&amp;T58,Bookings!$AM$5:$AM$404,"&lt;&gt;Cancelled"))</f>
        <v>0</v>
      </c>
      <c r="AA58" s="31">
        <f>IF(S58="","",COUNTIFS(Bookings!$I$5:$I$404,"&gt;="&amp;S58,Bookings!$I$5:$I$404,"&lt;="&amp;T58,Bookings!$AM$5:$AM$404,"Completed"))</f>
        <v>0</v>
      </c>
      <c r="AB58" s="31">
        <f>IF(S58="","",COUNTIFS(Bookings!$I$5:$I$404,"&gt;="&amp;S58,Bookings!$I$5:$I$404,"&lt;="&amp;T58,Bookings!$AM$5:$AM$404,"Cancelled"))</f>
        <v>0</v>
      </c>
      <c r="AC58" s="31">
        <f>IF(S58="","",COUNTIFS('Visit Log'!$C$5:$C$404,"&gt;="&amp;S58,'Visit Log'!$C$5:$C$404,"&lt;="&amp;T58,'Visit Log'!$AE$5:$AE$404,"Completed"))</f>
        <v>0</v>
      </c>
      <c r="AD58" s="31">
        <f>IF(S58="","",COUNTIFS(Clients!$L$5:$L$254,"&gt;="&amp;S58,Clients!$L$5:$L$254,"&lt;="&amp;T58))</f>
        <v>0</v>
      </c>
      <c r="AE58" s="32">
        <f>IF(S58="","",SUMIFS(Mileage!$M$5:$M$304,Mileage!$B$5:$B$304,"&gt;="&amp;S58,Mileage!$B$5:$B$304,"&lt;="&amp;T58,Mileage!$N$5:$N$304,"Business"))</f>
        <v>0</v>
      </c>
      <c r="AF58" s="29">
        <f>IF(S58="","",SUMIFS(Payments!$L$5:$L$304,Payments!$B$5:$B$304,"&gt;="&amp;DATE(Dash_Year-1,ROW()-4,1),Payments!$B$5:$B$304,"&lt;="&amp;EOMONTH(DATE(Dash_Year-1,ROW()-4,1),0)))</f>
        <v>0</v>
      </c>
      <c r="AG58" s="28">
        <f>IF(Staff!$B$58="","",Staff!$B$58)</f>
        <v>0</v>
      </c>
      <c r="AH58" s="31">
        <f>IF(AG58="","",COUNTIFS('Visit Log'!$G$5:$G$404,AG58,'Visit Log'!$C$5:$C$404,"&gt;="&amp;RepFrom,'Visit Log'!$C$5:$C$404,"&lt;="&amp;RepTo,'Visit Log'!$AE$5:$AE$404,"Completed"))</f>
        <v>0</v>
      </c>
      <c r="AI58" s="51">
        <f>IF(AG58="","",ROUND(SUMIFS('Visit Log'!$K$5:$K$404,'Visit Log'!$G$5:$G$404,AG58,'Visit Log'!$C$5:$C$404,"&gt;="&amp;RepFrom,'Visit Log'!$C$5:$C$404,"&lt;="&amp;RepTo,'Visit Log'!$AE$5:$AE$404,"Completed")/60,2))</f>
        <v>0</v>
      </c>
      <c r="AJ58" s="29">
        <f>IF(AG58="","",SUMIFS(Bookings!$AK$5:$AK$404,Bookings!$AL$5:$AL$404,AG58,Bookings!$I$5:$I$404,"&gt;="&amp;RepFrom,Bookings!$I$5:$I$404,"&lt;="&amp;RepTo,Bookings!$AM$5:$AM$404,"&lt;&gt;Cancelled"))</f>
        <v>0</v>
      </c>
      <c r="AK58" s="32">
        <f>IF(AG58="","",SUMIFS(Mileage!$M$5:$M$304,Mileage!$C$5:$C$304,AG58,Mileage!$B$5:$B$304,"&gt;="&amp;RepFrom,Mileage!$B$5:$B$304,"&lt;="&amp;RepTo))</f>
        <v>0</v>
      </c>
      <c r="AL58" s="28">
        <f>IF(Lists!$Q58="","",Lists!$Q58)</f>
        <v>0</v>
      </c>
      <c r="AM58" s="31">
        <f>IF(AL58="","",COUNTIFS(Bookings!$AV$5:$AV$404,AL58,Bookings!$I$5:$I$404,"&gt;="&amp;RepFrom,Bookings!$I$5:$I$404,"&lt;="&amp;RepTo))</f>
        <v>0</v>
      </c>
      <c r="AN58" s="28">
        <f>IF(Lists!$AF58="","",Lists!$AF58)</f>
        <v>0</v>
      </c>
      <c r="AO58" s="29">
        <f>IF(AN58="","",SUMIFS(Payments!$L$5:$L$304,Payments!$F$5:$F$304,AN58,Payments!$B$5:$B$304,"&gt;="&amp;RepFrom,Payments!$B$5:$B$304,"&lt;="&amp;RepTo))</f>
        <v>0</v>
      </c>
      <c r="AP58" s="28">
        <f>IF(Lists!$E58="","",Lists!$E58)</f>
        <v>0</v>
      </c>
      <c r="AQ58" s="31">
        <f>IF(AP58="","",COUNTIFS(Clients!$K$5:$K$254,AP58))</f>
        <v>0</v>
      </c>
      <c r="AR58" s="29">
        <f>IF(AP58="","",SUMIFS(Clients!$AE$5:$AE$254,Clients!$K$5:$K$254,AP58))</f>
        <v>0</v>
      </c>
    </row>
    <row r="59" spans="1:44">
      <c r="A59" s="28">
        <f>IF(Clients!$B$59="","",Clients!$B$59)</f>
        <v>0</v>
      </c>
      <c r="B59" s="29">
        <f>IF(A59="","",SUMIFS(Payments!$L$5:$L$304,Payments!$C$5:$C$304,A59,Payments!$B$5:$B$304,"&gt;="&amp;PeriodStart,Payments!$B$5:$B$304,"&lt;="&amp;PeriodEnd))</f>
        <v>0</v>
      </c>
      <c r="C59" s="51">
        <f>IF(A59="","",IF(B59&lt;=0,"",B59+ROW()/1000000))</f>
        <v>0</v>
      </c>
      <c r="D59" s="29">
        <f>IF(A59="","",SUMIFS(Payments!$L$5:$L$304,Payments!$C$5:$C$304,A59,Payments!$B$5:$B$304,"&gt;="&amp;RepFrom,Payments!$B$5:$B$304,"&lt;="&amp;RepTo))</f>
        <v>0</v>
      </c>
      <c r="E59" s="51">
        <f>IF(A59="","",IF(D59&lt;=0,"",D59+ROW()/1000000))</f>
        <v>0</v>
      </c>
      <c r="F59" s="29">
        <f>IF(A59="","",SUMIFS(Invoices!$S$5:$S$304,Invoices!$D$5:$D$304,A59,Invoices!$T$5:$T$304,"&lt;&gt;Cancelled"))</f>
        <v>0</v>
      </c>
      <c r="G59" s="51">
        <f>IF(A59="","",IF(F59&lt;=0.004,"",F59+ROW()/1000000))</f>
        <v>0</v>
      </c>
      <c r="H59" s="31">
        <f>IF(A59="","",COUNTIFS(Bookings!$C$5:$C$404,A59,Bookings!$I$5:$I$404,"&gt;="&amp;RepFrom,Bookings!$I$5:$I$404,"&lt;="&amp;RepTo,Bookings!$AM$5:$AM$404,"&lt;&gt;Cancelled"))</f>
        <v>0</v>
      </c>
      <c r="I59" s="28">
        <f>IF(Services!$B$59="","",Services!$B$59)</f>
        <v>0</v>
      </c>
      <c r="J59" s="29">
        <f>IF(I59="","",SUMIFS(Bookings!$AK$5:$AK$404,Bookings!$H$5:$H$404,I59,Bookings!$I$5:$I$404,"&gt;="&amp;PeriodStart,Bookings!$I$5:$I$404,"&lt;="&amp;PeriodEnd,Bookings!$AM$5:$AM$404,"&lt;&gt;Cancelled"))</f>
        <v>0</v>
      </c>
      <c r="K59" s="31">
        <f>IF(I59="","",COUNTIFS(Bookings!$H$5:$H$404,I59,Bookings!$I$5:$I$404,"&gt;="&amp;PeriodStart,Bookings!$I$5:$I$404,"&lt;="&amp;PeriodEnd,Bookings!$AM$5:$AM$404,"&lt;&gt;Cancelled"))</f>
        <v>0</v>
      </c>
      <c r="L59" s="29">
        <f>IF(I59="","",SUMIFS(Bookings!$AK$5:$AK$404,Bookings!$H$5:$H$404,I59,Bookings!$I$5:$I$404,"&gt;="&amp;RepFrom,Bookings!$I$5:$I$404,"&lt;="&amp;RepTo,Bookings!$AM$5:$AM$404,"&lt;&gt;Cancelled"))</f>
        <v>0</v>
      </c>
      <c r="M59" s="31">
        <f>IF(I59="","",COUNTIFS(Bookings!$H$5:$H$404,I59,Bookings!$I$5:$I$404,"&gt;="&amp;RepFrom,Bookings!$I$5:$I$404,"&lt;="&amp;RepTo,Bookings!$AM$5:$AM$404,"&lt;&gt;Cancelled"))</f>
        <v>0</v>
      </c>
      <c r="N59" s="29">
        <f>IF(I59="","",M59*IF(Services!$L$59="",0,Services!$L$59))</f>
        <v>0</v>
      </c>
      <c r="O59" s="29">
        <f>IF(I59="","",L59-N59)</f>
        <v>0</v>
      </c>
      <c r="P59" s="28">
        <f>IF(Lists!$AG59="","",Lists!$AG59)</f>
        <v>0</v>
      </c>
      <c r="Q59" s="29">
        <f>IF(P59="","",SUMIFS(Expenses!$F$5:$F$304,Expenses!$C$5:$C$304,P59,Expenses!$B$5:$B$304,"&gt;="&amp;PeriodStart,Expenses!$B$5:$B$304,"&lt;="&amp;PeriodEnd,Expenses!$J$5:$J$304,"&lt;&gt;Personal"))</f>
        <v>0</v>
      </c>
      <c r="R59" s="29">
        <f>IF(P59="","",SUMIFS(Expenses!$F$5:$F$304,Expenses!$C$5:$C$304,P59,Expenses!$B$5:$B$304,"&gt;="&amp;RepFrom,Expenses!$B$5:$B$304,"&lt;="&amp;RepTo,Expenses!$J$5:$J$304,"&lt;&gt;Personal"))</f>
        <v>0</v>
      </c>
      <c r="S59" s="21">
        <f>IF(ROW()-4&gt;12,"",DATE(Dash_Year,ROW()-4,1))</f>
        <v>0</v>
      </c>
      <c r="T59" s="21">
        <f>IF(S59="","",EOMONTH(S59,0))</f>
        <v>0</v>
      </c>
      <c r="U59" s="28">
        <f>IF(S59="","",TEXT(S59,"mmm"))</f>
        <v>0</v>
      </c>
      <c r="V59" s="29">
        <f>IF(S59="","",SUMIFS(Payments!$L$5:$L$304,Payments!$B$5:$B$304,"&gt;="&amp;S59,Payments!$B$5:$B$304,"&lt;="&amp;T59))</f>
        <v>0</v>
      </c>
      <c r="W59" s="29">
        <f>IF(S59="","",SUMIFS(Invoices!$O$5:$O$304,Invoices!$B$5:$B$304,"&gt;="&amp;S59,Invoices!$B$5:$B$304,"&lt;="&amp;T59,Invoices!$T$5:$T$304,"&lt;&gt;Cancelled"))</f>
        <v>0</v>
      </c>
      <c r="X59" s="29">
        <f>IF(S59="","",SUMIFS(Expenses!$F$5:$F$304,Expenses!$B$5:$B$304,"&gt;="&amp;S59,Expenses!$B$5:$B$304,"&lt;="&amp;T59,Expenses!$J$5:$J$304,"&lt;&gt;Personal"))</f>
        <v>0</v>
      </c>
      <c r="Y59" s="29">
        <f>IF(S59="","",V59-X59)</f>
        <v>0</v>
      </c>
      <c r="Z59" s="31">
        <f>IF(S59="","",COUNTIFS(Bookings!$I$5:$I$404,"&gt;="&amp;S59,Bookings!$I$5:$I$404,"&lt;="&amp;T59,Bookings!$AM$5:$AM$404,"&lt;&gt;Cancelled"))</f>
        <v>0</v>
      </c>
      <c r="AA59" s="31">
        <f>IF(S59="","",COUNTIFS(Bookings!$I$5:$I$404,"&gt;="&amp;S59,Bookings!$I$5:$I$404,"&lt;="&amp;T59,Bookings!$AM$5:$AM$404,"Completed"))</f>
        <v>0</v>
      </c>
      <c r="AB59" s="31">
        <f>IF(S59="","",COUNTIFS(Bookings!$I$5:$I$404,"&gt;="&amp;S59,Bookings!$I$5:$I$404,"&lt;="&amp;T59,Bookings!$AM$5:$AM$404,"Cancelled"))</f>
        <v>0</v>
      </c>
      <c r="AC59" s="31">
        <f>IF(S59="","",COUNTIFS('Visit Log'!$C$5:$C$404,"&gt;="&amp;S59,'Visit Log'!$C$5:$C$404,"&lt;="&amp;T59,'Visit Log'!$AE$5:$AE$404,"Completed"))</f>
        <v>0</v>
      </c>
      <c r="AD59" s="31">
        <f>IF(S59="","",COUNTIFS(Clients!$L$5:$L$254,"&gt;="&amp;S59,Clients!$L$5:$L$254,"&lt;="&amp;T59))</f>
        <v>0</v>
      </c>
      <c r="AE59" s="32">
        <f>IF(S59="","",SUMIFS(Mileage!$M$5:$M$304,Mileage!$B$5:$B$304,"&gt;="&amp;S59,Mileage!$B$5:$B$304,"&lt;="&amp;T59,Mileage!$N$5:$N$304,"Business"))</f>
        <v>0</v>
      </c>
      <c r="AF59" s="29">
        <f>IF(S59="","",SUMIFS(Payments!$L$5:$L$304,Payments!$B$5:$B$304,"&gt;="&amp;DATE(Dash_Year-1,ROW()-4,1),Payments!$B$5:$B$304,"&lt;="&amp;EOMONTH(DATE(Dash_Year-1,ROW()-4,1),0)))</f>
        <v>0</v>
      </c>
      <c r="AG59" s="28">
        <f>IF(Staff!$B$59="","",Staff!$B$59)</f>
        <v>0</v>
      </c>
      <c r="AH59" s="31">
        <f>IF(AG59="","",COUNTIFS('Visit Log'!$G$5:$G$404,AG59,'Visit Log'!$C$5:$C$404,"&gt;="&amp;RepFrom,'Visit Log'!$C$5:$C$404,"&lt;="&amp;RepTo,'Visit Log'!$AE$5:$AE$404,"Completed"))</f>
        <v>0</v>
      </c>
      <c r="AI59" s="51">
        <f>IF(AG59="","",ROUND(SUMIFS('Visit Log'!$K$5:$K$404,'Visit Log'!$G$5:$G$404,AG59,'Visit Log'!$C$5:$C$404,"&gt;="&amp;RepFrom,'Visit Log'!$C$5:$C$404,"&lt;="&amp;RepTo,'Visit Log'!$AE$5:$AE$404,"Completed")/60,2))</f>
        <v>0</v>
      </c>
      <c r="AJ59" s="29">
        <f>IF(AG59="","",SUMIFS(Bookings!$AK$5:$AK$404,Bookings!$AL$5:$AL$404,AG59,Bookings!$I$5:$I$404,"&gt;="&amp;RepFrom,Bookings!$I$5:$I$404,"&lt;="&amp;RepTo,Bookings!$AM$5:$AM$404,"&lt;&gt;Cancelled"))</f>
        <v>0</v>
      </c>
      <c r="AK59" s="32">
        <f>IF(AG59="","",SUMIFS(Mileage!$M$5:$M$304,Mileage!$C$5:$C$304,AG59,Mileage!$B$5:$B$304,"&gt;="&amp;RepFrom,Mileage!$B$5:$B$304,"&lt;="&amp;RepTo))</f>
        <v>0</v>
      </c>
      <c r="AL59" s="28">
        <f>IF(Lists!$Q59="","",Lists!$Q59)</f>
        <v>0</v>
      </c>
      <c r="AM59" s="31">
        <f>IF(AL59="","",COUNTIFS(Bookings!$AV$5:$AV$404,AL59,Bookings!$I$5:$I$404,"&gt;="&amp;RepFrom,Bookings!$I$5:$I$404,"&lt;="&amp;RepTo))</f>
        <v>0</v>
      </c>
      <c r="AN59" s="28">
        <f>IF(Lists!$AF59="","",Lists!$AF59)</f>
        <v>0</v>
      </c>
      <c r="AO59" s="29">
        <f>IF(AN59="","",SUMIFS(Payments!$L$5:$L$304,Payments!$F$5:$F$304,AN59,Payments!$B$5:$B$304,"&gt;="&amp;RepFrom,Payments!$B$5:$B$304,"&lt;="&amp;RepTo))</f>
        <v>0</v>
      </c>
      <c r="AP59" s="28">
        <f>IF(Lists!$E59="","",Lists!$E59)</f>
        <v>0</v>
      </c>
      <c r="AQ59" s="31">
        <f>IF(AP59="","",COUNTIFS(Clients!$K$5:$K$254,AP59))</f>
        <v>0</v>
      </c>
      <c r="AR59" s="29">
        <f>IF(AP59="","",SUMIFS(Clients!$AE$5:$AE$254,Clients!$K$5:$K$254,AP59))</f>
        <v>0</v>
      </c>
    </row>
    <row r="60" spans="1:44">
      <c r="A60" s="28">
        <f>IF(Clients!$B$60="","",Clients!$B$60)</f>
        <v>0</v>
      </c>
      <c r="B60" s="29">
        <f>IF(A60="","",SUMIFS(Payments!$L$5:$L$304,Payments!$C$5:$C$304,A60,Payments!$B$5:$B$304,"&gt;="&amp;PeriodStart,Payments!$B$5:$B$304,"&lt;="&amp;PeriodEnd))</f>
        <v>0</v>
      </c>
      <c r="C60" s="51">
        <f>IF(A60="","",IF(B60&lt;=0,"",B60+ROW()/1000000))</f>
        <v>0</v>
      </c>
      <c r="D60" s="29">
        <f>IF(A60="","",SUMIFS(Payments!$L$5:$L$304,Payments!$C$5:$C$304,A60,Payments!$B$5:$B$304,"&gt;="&amp;RepFrom,Payments!$B$5:$B$304,"&lt;="&amp;RepTo))</f>
        <v>0</v>
      </c>
      <c r="E60" s="51">
        <f>IF(A60="","",IF(D60&lt;=0,"",D60+ROW()/1000000))</f>
        <v>0</v>
      </c>
      <c r="F60" s="29">
        <f>IF(A60="","",SUMIFS(Invoices!$S$5:$S$304,Invoices!$D$5:$D$304,A60,Invoices!$T$5:$T$304,"&lt;&gt;Cancelled"))</f>
        <v>0</v>
      </c>
      <c r="G60" s="51">
        <f>IF(A60="","",IF(F60&lt;=0.004,"",F60+ROW()/1000000))</f>
        <v>0</v>
      </c>
      <c r="H60" s="31">
        <f>IF(A60="","",COUNTIFS(Bookings!$C$5:$C$404,A60,Bookings!$I$5:$I$404,"&gt;="&amp;RepFrom,Bookings!$I$5:$I$404,"&lt;="&amp;RepTo,Bookings!$AM$5:$AM$404,"&lt;&gt;Cancelled"))</f>
        <v>0</v>
      </c>
      <c r="I60" s="28">
        <f>IF(Services!$B$60="","",Services!$B$60)</f>
        <v>0</v>
      </c>
      <c r="J60" s="29">
        <f>IF(I60="","",SUMIFS(Bookings!$AK$5:$AK$404,Bookings!$H$5:$H$404,I60,Bookings!$I$5:$I$404,"&gt;="&amp;PeriodStart,Bookings!$I$5:$I$404,"&lt;="&amp;PeriodEnd,Bookings!$AM$5:$AM$404,"&lt;&gt;Cancelled"))</f>
        <v>0</v>
      </c>
      <c r="K60" s="31">
        <f>IF(I60="","",COUNTIFS(Bookings!$H$5:$H$404,I60,Bookings!$I$5:$I$404,"&gt;="&amp;PeriodStart,Bookings!$I$5:$I$404,"&lt;="&amp;PeriodEnd,Bookings!$AM$5:$AM$404,"&lt;&gt;Cancelled"))</f>
        <v>0</v>
      </c>
      <c r="L60" s="29">
        <f>IF(I60="","",SUMIFS(Bookings!$AK$5:$AK$404,Bookings!$H$5:$H$404,I60,Bookings!$I$5:$I$404,"&gt;="&amp;RepFrom,Bookings!$I$5:$I$404,"&lt;="&amp;RepTo,Bookings!$AM$5:$AM$404,"&lt;&gt;Cancelled"))</f>
        <v>0</v>
      </c>
      <c r="M60" s="31">
        <f>IF(I60="","",COUNTIFS(Bookings!$H$5:$H$404,I60,Bookings!$I$5:$I$404,"&gt;="&amp;RepFrom,Bookings!$I$5:$I$404,"&lt;="&amp;RepTo,Bookings!$AM$5:$AM$404,"&lt;&gt;Cancelled"))</f>
        <v>0</v>
      </c>
      <c r="N60" s="29">
        <f>IF(I60="","",M60*IF(Services!$L$60="",0,Services!$L$60))</f>
        <v>0</v>
      </c>
      <c r="O60" s="29">
        <f>IF(I60="","",L60-N60)</f>
        <v>0</v>
      </c>
      <c r="P60" s="28">
        <f>IF(Lists!$AG60="","",Lists!$AG60)</f>
        <v>0</v>
      </c>
      <c r="Q60" s="29">
        <f>IF(P60="","",SUMIFS(Expenses!$F$5:$F$304,Expenses!$C$5:$C$304,P60,Expenses!$B$5:$B$304,"&gt;="&amp;PeriodStart,Expenses!$B$5:$B$304,"&lt;="&amp;PeriodEnd,Expenses!$J$5:$J$304,"&lt;&gt;Personal"))</f>
        <v>0</v>
      </c>
      <c r="R60" s="29">
        <f>IF(P60="","",SUMIFS(Expenses!$F$5:$F$304,Expenses!$C$5:$C$304,P60,Expenses!$B$5:$B$304,"&gt;="&amp;RepFrom,Expenses!$B$5:$B$304,"&lt;="&amp;RepTo,Expenses!$J$5:$J$304,"&lt;&gt;Personal"))</f>
        <v>0</v>
      </c>
      <c r="S60" s="21">
        <f>IF(ROW()-4&gt;12,"",DATE(Dash_Year,ROW()-4,1))</f>
        <v>0</v>
      </c>
      <c r="T60" s="21">
        <f>IF(S60="","",EOMONTH(S60,0))</f>
        <v>0</v>
      </c>
      <c r="U60" s="28">
        <f>IF(S60="","",TEXT(S60,"mmm"))</f>
        <v>0</v>
      </c>
      <c r="V60" s="29">
        <f>IF(S60="","",SUMIFS(Payments!$L$5:$L$304,Payments!$B$5:$B$304,"&gt;="&amp;S60,Payments!$B$5:$B$304,"&lt;="&amp;T60))</f>
        <v>0</v>
      </c>
      <c r="W60" s="29">
        <f>IF(S60="","",SUMIFS(Invoices!$O$5:$O$304,Invoices!$B$5:$B$304,"&gt;="&amp;S60,Invoices!$B$5:$B$304,"&lt;="&amp;T60,Invoices!$T$5:$T$304,"&lt;&gt;Cancelled"))</f>
        <v>0</v>
      </c>
      <c r="X60" s="29">
        <f>IF(S60="","",SUMIFS(Expenses!$F$5:$F$304,Expenses!$B$5:$B$304,"&gt;="&amp;S60,Expenses!$B$5:$B$304,"&lt;="&amp;T60,Expenses!$J$5:$J$304,"&lt;&gt;Personal"))</f>
        <v>0</v>
      </c>
      <c r="Y60" s="29">
        <f>IF(S60="","",V60-X60)</f>
        <v>0</v>
      </c>
      <c r="Z60" s="31">
        <f>IF(S60="","",COUNTIFS(Bookings!$I$5:$I$404,"&gt;="&amp;S60,Bookings!$I$5:$I$404,"&lt;="&amp;T60,Bookings!$AM$5:$AM$404,"&lt;&gt;Cancelled"))</f>
        <v>0</v>
      </c>
      <c r="AA60" s="31">
        <f>IF(S60="","",COUNTIFS(Bookings!$I$5:$I$404,"&gt;="&amp;S60,Bookings!$I$5:$I$404,"&lt;="&amp;T60,Bookings!$AM$5:$AM$404,"Completed"))</f>
        <v>0</v>
      </c>
      <c r="AB60" s="31">
        <f>IF(S60="","",COUNTIFS(Bookings!$I$5:$I$404,"&gt;="&amp;S60,Bookings!$I$5:$I$404,"&lt;="&amp;T60,Bookings!$AM$5:$AM$404,"Cancelled"))</f>
        <v>0</v>
      </c>
      <c r="AC60" s="31">
        <f>IF(S60="","",COUNTIFS('Visit Log'!$C$5:$C$404,"&gt;="&amp;S60,'Visit Log'!$C$5:$C$404,"&lt;="&amp;T60,'Visit Log'!$AE$5:$AE$404,"Completed"))</f>
        <v>0</v>
      </c>
      <c r="AD60" s="31">
        <f>IF(S60="","",COUNTIFS(Clients!$L$5:$L$254,"&gt;="&amp;S60,Clients!$L$5:$L$254,"&lt;="&amp;T60))</f>
        <v>0</v>
      </c>
      <c r="AE60" s="32">
        <f>IF(S60="","",SUMIFS(Mileage!$M$5:$M$304,Mileage!$B$5:$B$304,"&gt;="&amp;S60,Mileage!$B$5:$B$304,"&lt;="&amp;T60,Mileage!$N$5:$N$304,"Business"))</f>
        <v>0</v>
      </c>
      <c r="AF60" s="29">
        <f>IF(S60="","",SUMIFS(Payments!$L$5:$L$304,Payments!$B$5:$B$304,"&gt;="&amp;DATE(Dash_Year-1,ROW()-4,1),Payments!$B$5:$B$304,"&lt;="&amp;EOMONTH(DATE(Dash_Year-1,ROW()-4,1),0)))</f>
        <v>0</v>
      </c>
      <c r="AG60" s="28">
        <f>IF(Staff!$B$60="","",Staff!$B$60)</f>
        <v>0</v>
      </c>
      <c r="AH60" s="31">
        <f>IF(AG60="","",COUNTIFS('Visit Log'!$G$5:$G$404,AG60,'Visit Log'!$C$5:$C$404,"&gt;="&amp;RepFrom,'Visit Log'!$C$5:$C$404,"&lt;="&amp;RepTo,'Visit Log'!$AE$5:$AE$404,"Completed"))</f>
        <v>0</v>
      </c>
      <c r="AI60" s="51">
        <f>IF(AG60="","",ROUND(SUMIFS('Visit Log'!$K$5:$K$404,'Visit Log'!$G$5:$G$404,AG60,'Visit Log'!$C$5:$C$404,"&gt;="&amp;RepFrom,'Visit Log'!$C$5:$C$404,"&lt;="&amp;RepTo,'Visit Log'!$AE$5:$AE$404,"Completed")/60,2))</f>
        <v>0</v>
      </c>
      <c r="AJ60" s="29">
        <f>IF(AG60="","",SUMIFS(Bookings!$AK$5:$AK$404,Bookings!$AL$5:$AL$404,AG60,Bookings!$I$5:$I$404,"&gt;="&amp;RepFrom,Bookings!$I$5:$I$404,"&lt;="&amp;RepTo,Bookings!$AM$5:$AM$404,"&lt;&gt;Cancelled"))</f>
        <v>0</v>
      </c>
      <c r="AK60" s="32">
        <f>IF(AG60="","",SUMIFS(Mileage!$M$5:$M$304,Mileage!$C$5:$C$304,AG60,Mileage!$B$5:$B$304,"&gt;="&amp;RepFrom,Mileage!$B$5:$B$304,"&lt;="&amp;RepTo))</f>
        <v>0</v>
      </c>
      <c r="AL60" s="28">
        <f>IF(Lists!$Q60="","",Lists!$Q60)</f>
        <v>0</v>
      </c>
      <c r="AM60" s="31">
        <f>IF(AL60="","",COUNTIFS(Bookings!$AV$5:$AV$404,AL60,Bookings!$I$5:$I$404,"&gt;="&amp;RepFrom,Bookings!$I$5:$I$404,"&lt;="&amp;RepTo))</f>
        <v>0</v>
      </c>
      <c r="AN60" s="28">
        <f>IF(Lists!$AF60="","",Lists!$AF60)</f>
        <v>0</v>
      </c>
      <c r="AO60" s="29">
        <f>IF(AN60="","",SUMIFS(Payments!$L$5:$L$304,Payments!$F$5:$F$304,AN60,Payments!$B$5:$B$304,"&gt;="&amp;RepFrom,Payments!$B$5:$B$304,"&lt;="&amp;RepTo))</f>
        <v>0</v>
      </c>
      <c r="AP60" s="28">
        <f>IF(Lists!$E60="","",Lists!$E60)</f>
        <v>0</v>
      </c>
      <c r="AQ60" s="31">
        <f>IF(AP60="","",COUNTIFS(Clients!$K$5:$K$254,AP60))</f>
        <v>0</v>
      </c>
      <c r="AR60" s="29">
        <f>IF(AP60="","",SUMIFS(Clients!$AE$5:$AE$254,Clients!$K$5:$K$254,AP60))</f>
        <v>0</v>
      </c>
    </row>
    <row r="61" spans="1:44">
      <c r="A61" s="28">
        <f>IF(Clients!$B$61="","",Clients!$B$61)</f>
        <v>0</v>
      </c>
      <c r="B61" s="29">
        <f>IF(A61="","",SUMIFS(Payments!$L$5:$L$304,Payments!$C$5:$C$304,A61,Payments!$B$5:$B$304,"&gt;="&amp;PeriodStart,Payments!$B$5:$B$304,"&lt;="&amp;PeriodEnd))</f>
        <v>0</v>
      </c>
      <c r="C61" s="51">
        <f>IF(A61="","",IF(B61&lt;=0,"",B61+ROW()/1000000))</f>
        <v>0</v>
      </c>
      <c r="D61" s="29">
        <f>IF(A61="","",SUMIFS(Payments!$L$5:$L$304,Payments!$C$5:$C$304,A61,Payments!$B$5:$B$304,"&gt;="&amp;RepFrom,Payments!$B$5:$B$304,"&lt;="&amp;RepTo))</f>
        <v>0</v>
      </c>
      <c r="E61" s="51">
        <f>IF(A61="","",IF(D61&lt;=0,"",D61+ROW()/1000000))</f>
        <v>0</v>
      </c>
      <c r="F61" s="29">
        <f>IF(A61="","",SUMIFS(Invoices!$S$5:$S$304,Invoices!$D$5:$D$304,A61,Invoices!$T$5:$T$304,"&lt;&gt;Cancelled"))</f>
        <v>0</v>
      </c>
      <c r="G61" s="51">
        <f>IF(A61="","",IF(F61&lt;=0.004,"",F61+ROW()/1000000))</f>
        <v>0</v>
      </c>
      <c r="H61" s="31">
        <f>IF(A61="","",COUNTIFS(Bookings!$C$5:$C$404,A61,Bookings!$I$5:$I$404,"&gt;="&amp;RepFrom,Bookings!$I$5:$I$404,"&lt;="&amp;RepTo,Bookings!$AM$5:$AM$404,"&lt;&gt;Cancelled"))</f>
        <v>0</v>
      </c>
      <c r="I61" s="28">
        <f>IF(Services!$B$61="","",Services!$B$61)</f>
        <v>0</v>
      </c>
      <c r="J61" s="29">
        <f>IF(I61="","",SUMIFS(Bookings!$AK$5:$AK$404,Bookings!$H$5:$H$404,I61,Bookings!$I$5:$I$404,"&gt;="&amp;PeriodStart,Bookings!$I$5:$I$404,"&lt;="&amp;PeriodEnd,Bookings!$AM$5:$AM$404,"&lt;&gt;Cancelled"))</f>
        <v>0</v>
      </c>
      <c r="K61" s="31">
        <f>IF(I61="","",COUNTIFS(Bookings!$H$5:$H$404,I61,Bookings!$I$5:$I$404,"&gt;="&amp;PeriodStart,Bookings!$I$5:$I$404,"&lt;="&amp;PeriodEnd,Bookings!$AM$5:$AM$404,"&lt;&gt;Cancelled"))</f>
        <v>0</v>
      </c>
      <c r="L61" s="29">
        <f>IF(I61="","",SUMIFS(Bookings!$AK$5:$AK$404,Bookings!$H$5:$H$404,I61,Bookings!$I$5:$I$404,"&gt;="&amp;RepFrom,Bookings!$I$5:$I$404,"&lt;="&amp;RepTo,Bookings!$AM$5:$AM$404,"&lt;&gt;Cancelled"))</f>
        <v>0</v>
      </c>
      <c r="M61" s="31">
        <f>IF(I61="","",COUNTIFS(Bookings!$H$5:$H$404,I61,Bookings!$I$5:$I$404,"&gt;="&amp;RepFrom,Bookings!$I$5:$I$404,"&lt;="&amp;RepTo,Bookings!$AM$5:$AM$404,"&lt;&gt;Cancelled"))</f>
        <v>0</v>
      </c>
      <c r="N61" s="29">
        <f>IF(I61="","",M61*IF(Services!$L$61="",0,Services!$L$61))</f>
        <v>0</v>
      </c>
      <c r="O61" s="29">
        <f>IF(I61="","",L61-N61)</f>
        <v>0</v>
      </c>
      <c r="P61" s="28">
        <f>IF(Lists!$AG61="","",Lists!$AG61)</f>
        <v>0</v>
      </c>
      <c r="Q61" s="29">
        <f>IF(P61="","",SUMIFS(Expenses!$F$5:$F$304,Expenses!$C$5:$C$304,P61,Expenses!$B$5:$B$304,"&gt;="&amp;PeriodStart,Expenses!$B$5:$B$304,"&lt;="&amp;PeriodEnd,Expenses!$J$5:$J$304,"&lt;&gt;Personal"))</f>
        <v>0</v>
      </c>
      <c r="R61" s="29">
        <f>IF(P61="","",SUMIFS(Expenses!$F$5:$F$304,Expenses!$C$5:$C$304,P61,Expenses!$B$5:$B$304,"&gt;="&amp;RepFrom,Expenses!$B$5:$B$304,"&lt;="&amp;RepTo,Expenses!$J$5:$J$304,"&lt;&gt;Personal"))</f>
        <v>0</v>
      </c>
      <c r="S61" s="21">
        <f>IF(ROW()-4&gt;12,"",DATE(Dash_Year,ROW()-4,1))</f>
        <v>0</v>
      </c>
      <c r="T61" s="21">
        <f>IF(S61="","",EOMONTH(S61,0))</f>
        <v>0</v>
      </c>
      <c r="U61" s="28">
        <f>IF(S61="","",TEXT(S61,"mmm"))</f>
        <v>0</v>
      </c>
      <c r="V61" s="29">
        <f>IF(S61="","",SUMIFS(Payments!$L$5:$L$304,Payments!$B$5:$B$304,"&gt;="&amp;S61,Payments!$B$5:$B$304,"&lt;="&amp;T61))</f>
        <v>0</v>
      </c>
      <c r="W61" s="29">
        <f>IF(S61="","",SUMIFS(Invoices!$O$5:$O$304,Invoices!$B$5:$B$304,"&gt;="&amp;S61,Invoices!$B$5:$B$304,"&lt;="&amp;T61,Invoices!$T$5:$T$304,"&lt;&gt;Cancelled"))</f>
        <v>0</v>
      </c>
      <c r="X61" s="29">
        <f>IF(S61="","",SUMIFS(Expenses!$F$5:$F$304,Expenses!$B$5:$B$304,"&gt;="&amp;S61,Expenses!$B$5:$B$304,"&lt;="&amp;T61,Expenses!$J$5:$J$304,"&lt;&gt;Personal"))</f>
        <v>0</v>
      </c>
      <c r="Y61" s="29">
        <f>IF(S61="","",V61-X61)</f>
        <v>0</v>
      </c>
      <c r="Z61" s="31">
        <f>IF(S61="","",COUNTIFS(Bookings!$I$5:$I$404,"&gt;="&amp;S61,Bookings!$I$5:$I$404,"&lt;="&amp;T61,Bookings!$AM$5:$AM$404,"&lt;&gt;Cancelled"))</f>
        <v>0</v>
      </c>
      <c r="AA61" s="31">
        <f>IF(S61="","",COUNTIFS(Bookings!$I$5:$I$404,"&gt;="&amp;S61,Bookings!$I$5:$I$404,"&lt;="&amp;T61,Bookings!$AM$5:$AM$404,"Completed"))</f>
        <v>0</v>
      </c>
      <c r="AB61" s="31">
        <f>IF(S61="","",COUNTIFS(Bookings!$I$5:$I$404,"&gt;="&amp;S61,Bookings!$I$5:$I$404,"&lt;="&amp;T61,Bookings!$AM$5:$AM$404,"Cancelled"))</f>
        <v>0</v>
      </c>
      <c r="AC61" s="31">
        <f>IF(S61="","",COUNTIFS('Visit Log'!$C$5:$C$404,"&gt;="&amp;S61,'Visit Log'!$C$5:$C$404,"&lt;="&amp;T61,'Visit Log'!$AE$5:$AE$404,"Completed"))</f>
        <v>0</v>
      </c>
      <c r="AD61" s="31">
        <f>IF(S61="","",COUNTIFS(Clients!$L$5:$L$254,"&gt;="&amp;S61,Clients!$L$5:$L$254,"&lt;="&amp;T61))</f>
        <v>0</v>
      </c>
      <c r="AE61" s="32">
        <f>IF(S61="","",SUMIFS(Mileage!$M$5:$M$304,Mileage!$B$5:$B$304,"&gt;="&amp;S61,Mileage!$B$5:$B$304,"&lt;="&amp;T61,Mileage!$N$5:$N$304,"Business"))</f>
        <v>0</v>
      </c>
      <c r="AF61" s="29">
        <f>IF(S61="","",SUMIFS(Payments!$L$5:$L$304,Payments!$B$5:$B$304,"&gt;="&amp;DATE(Dash_Year-1,ROW()-4,1),Payments!$B$5:$B$304,"&lt;="&amp;EOMONTH(DATE(Dash_Year-1,ROW()-4,1),0)))</f>
        <v>0</v>
      </c>
      <c r="AG61" s="28">
        <f>IF(Staff!$B$61="","",Staff!$B$61)</f>
        <v>0</v>
      </c>
      <c r="AH61" s="31">
        <f>IF(AG61="","",COUNTIFS('Visit Log'!$G$5:$G$404,AG61,'Visit Log'!$C$5:$C$404,"&gt;="&amp;RepFrom,'Visit Log'!$C$5:$C$404,"&lt;="&amp;RepTo,'Visit Log'!$AE$5:$AE$404,"Completed"))</f>
        <v>0</v>
      </c>
      <c r="AI61" s="51">
        <f>IF(AG61="","",ROUND(SUMIFS('Visit Log'!$K$5:$K$404,'Visit Log'!$G$5:$G$404,AG61,'Visit Log'!$C$5:$C$404,"&gt;="&amp;RepFrom,'Visit Log'!$C$5:$C$404,"&lt;="&amp;RepTo,'Visit Log'!$AE$5:$AE$404,"Completed")/60,2))</f>
        <v>0</v>
      </c>
      <c r="AJ61" s="29">
        <f>IF(AG61="","",SUMIFS(Bookings!$AK$5:$AK$404,Bookings!$AL$5:$AL$404,AG61,Bookings!$I$5:$I$404,"&gt;="&amp;RepFrom,Bookings!$I$5:$I$404,"&lt;="&amp;RepTo,Bookings!$AM$5:$AM$404,"&lt;&gt;Cancelled"))</f>
        <v>0</v>
      </c>
      <c r="AK61" s="32">
        <f>IF(AG61="","",SUMIFS(Mileage!$M$5:$M$304,Mileage!$C$5:$C$304,AG61,Mileage!$B$5:$B$304,"&gt;="&amp;RepFrom,Mileage!$B$5:$B$304,"&lt;="&amp;RepTo))</f>
        <v>0</v>
      </c>
      <c r="AL61" s="28">
        <f>IF(Lists!$Q61="","",Lists!$Q61)</f>
        <v>0</v>
      </c>
      <c r="AM61" s="31">
        <f>IF(AL61="","",COUNTIFS(Bookings!$AV$5:$AV$404,AL61,Bookings!$I$5:$I$404,"&gt;="&amp;RepFrom,Bookings!$I$5:$I$404,"&lt;="&amp;RepTo))</f>
        <v>0</v>
      </c>
      <c r="AN61" s="28">
        <f>IF(Lists!$AF61="","",Lists!$AF61)</f>
        <v>0</v>
      </c>
      <c r="AO61" s="29">
        <f>IF(AN61="","",SUMIFS(Payments!$L$5:$L$304,Payments!$F$5:$F$304,AN61,Payments!$B$5:$B$304,"&gt;="&amp;RepFrom,Payments!$B$5:$B$304,"&lt;="&amp;RepTo))</f>
        <v>0</v>
      </c>
      <c r="AP61" s="28">
        <f>IF(Lists!$E61="","",Lists!$E61)</f>
        <v>0</v>
      </c>
      <c r="AQ61" s="31">
        <f>IF(AP61="","",COUNTIFS(Clients!$K$5:$K$254,AP61))</f>
        <v>0</v>
      </c>
      <c r="AR61" s="29">
        <f>IF(AP61="","",SUMIFS(Clients!$AE$5:$AE$254,Clients!$K$5:$K$254,AP61))</f>
        <v>0</v>
      </c>
    </row>
    <row r="62" spans="1:44">
      <c r="A62" s="28">
        <f>IF(Clients!$B$62="","",Clients!$B$62)</f>
        <v>0</v>
      </c>
      <c r="B62" s="29">
        <f>IF(A62="","",SUMIFS(Payments!$L$5:$L$304,Payments!$C$5:$C$304,A62,Payments!$B$5:$B$304,"&gt;="&amp;PeriodStart,Payments!$B$5:$B$304,"&lt;="&amp;PeriodEnd))</f>
        <v>0</v>
      </c>
      <c r="C62" s="51">
        <f>IF(A62="","",IF(B62&lt;=0,"",B62+ROW()/1000000))</f>
        <v>0</v>
      </c>
      <c r="D62" s="29">
        <f>IF(A62="","",SUMIFS(Payments!$L$5:$L$304,Payments!$C$5:$C$304,A62,Payments!$B$5:$B$304,"&gt;="&amp;RepFrom,Payments!$B$5:$B$304,"&lt;="&amp;RepTo))</f>
        <v>0</v>
      </c>
      <c r="E62" s="51">
        <f>IF(A62="","",IF(D62&lt;=0,"",D62+ROW()/1000000))</f>
        <v>0</v>
      </c>
      <c r="F62" s="29">
        <f>IF(A62="","",SUMIFS(Invoices!$S$5:$S$304,Invoices!$D$5:$D$304,A62,Invoices!$T$5:$T$304,"&lt;&gt;Cancelled"))</f>
        <v>0</v>
      </c>
      <c r="G62" s="51">
        <f>IF(A62="","",IF(F62&lt;=0.004,"",F62+ROW()/1000000))</f>
        <v>0</v>
      </c>
      <c r="H62" s="31">
        <f>IF(A62="","",COUNTIFS(Bookings!$C$5:$C$404,A62,Bookings!$I$5:$I$404,"&gt;="&amp;RepFrom,Bookings!$I$5:$I$404,"&lt;="&amp;RepTo,Bookings!$AM$5:$AM$404,"&lt;&gt;Cancelled"))</f>
        <v>0</v>
      </c>
      <c r="I62" s="28">
        <f>IF(Services!$B$62="","",Services!$B$62)</f>
        <v>0</v>
      </c>
      <c r="J62" s="29">
        <f>IF(I62="","",SUMIFS(Bookings!$AK$5:$AK$404,Bookings!$H$5:$H$404,I62,Bookings!$I$5:$I$404,"&gt;="&amp;PeriodStart,Bookings!$I$5:$I$404,"&lt;="&amp;PeriodEnd,Bookings!$AM$5:$AM$404,"&lt;&gt;Cancelled"))</f>
        <v>0</v>
      </c>
      <c r="K62" s="31">
        <f>IF(I62="","",COUNTIFS(Bookings!$H$5:$H$404,I62,Bookings!$I$5:$I$404,"&gt;="&amp;PeriodStart,Bookings!$I$5:$I$404,"&lt;="&amp;PeriodEnd,Bookings!$AM$5:$AM$404,"&lt;&gt;Cancelled"))</f>
        <v>0</v>
      </c>
      <c r="L62" s="29">
        <f>IF(I62="","",SUMIFS(Bookings!$AK$5:$AK$404,Bookings!$H$5:$H$404,I62,Bookings!$I$5:$I$404,"&gt;="&amp;RepFrom,Bookings!$I$5:$I$404,"&lt;="&amp;RepTo,Bookings!$AM$5:$AM$404,"&lt;&gt;Cancelled"))</f>
        <v>0</v>
      </c>
      <c r="M62" s="31">
        <f>IF(I62="","",COUNTIFS(Bookings!$H$5:$H$404,I62,Bookings!$I$5:$I$404,"&gt;="&amp;RepFrom,Bookings!$I$5:$I$404,"&lt;="&amp;RepTo,Bookings!$AM$5:$AM$404,"&lt;&gt;Cancelled"))</f>
        <v>0</v>
      </c>
      <c r="N62" s="29">
        <f>IF(I62="","",M62*IF(Services!$L$62="",0,Services!$L$62))</f>
        <v>0</v>
      </c>
      <c r="O62" s="29">
        <f>IF(I62="","",L62-N62)</f>
        <v>0</v>
      </c>
      <c r="P62" s="28">
        <f>IF(Lists!$AG62="","",Lists!$AG62)</f>
        <v>0</v>
      </c>
      <c r="Q62" s="29">
        <f>IF(P62="","",SUMIFS(Expenses!$F$5:$F$304,Expenses!$C$5:$C$304,P62,Expenses!$B$5:$B$304,"&gt;="&amp;PeriodStart,Expenses!$B$5:$B$304,"&lt;="&amp;PeriodEnd,Expenses!$J$5:$J$304,"&lt;&gt;Personal"))</f>
        <v>0</v>
      </c>
      <c r="R62" s="29">
        <f>IF(P62="","",SUMIFS(Expenses!$F$5:$F$304,Expenses!$C$5:$C$304,P62,Expenses!$B$5:$B$304,"&gt;="&amp;RepFrom,Expenses!$B$5:$B$304,"&lt;="&amp;RepTo,Expenses!$J$5:$J$304,"&lt;&gt;Personal"))</f>
        <v>0</v>
      </c>
      <c r="S62" s="21">
        <f>IF(ROW()-4&gt;12,"",DATE(Dash_Year,ROW()-4,1))</f>
        <v>0</v>
      </c>
      <c r="T62" s="21">
        <f>IF(S62="","",EOMONTH(S62,0))</f>
        <v>0</v>
      </c>
      <c r="U62" s="28">
        <f>IF(S62="","",TEXT(S62,"mmm"))</f>
        <v>0</v>
      </c>
      <c r="V62" s="29">
        <f>IF(S62="","",SUMIFS(Payments!$L$5:$L$304,Payments!$B$5:$B$304,"&gt;="&amp;S62,Payments!$B$5:$B$304,"&lt;="&amp;T62))</f>
        <v>0</v>
      </c>
      <c r="W62" s="29">
        <f>IF(S62="","",SUMIFS(Invoices!$O$5:$O$304,Invoices!$B$5:$B$304,"&gt;="&amp;S62,Invoices!$B$5:$B$304,"&lt;="&amp;T62,Invoices!$T$5:$T$304,"&lt;&gt;Cancelled"))</f>
        <v>0</v>
      </c>
      <c r="X62" s="29">
        <f>IF(S62="","",SUMIFS(Expenses!$F$5:$F$304,Expenses!$B$5:$B$304,"&gt;="&amp;S62,Expenses!$B$5:$B$304,"&lt;="&amp;T62,Expenses!$J$5:$J$304,"&lt;&gt;Personal"))</f>
        <v>0</v>
      </c>
      <c r="Y62" s="29">
        <f>IF(S62="","",V62-X62)</f>
        <v>0</v>
      </c>
      <c r="Z62" s="31">
        <f>IF(S62="","",COUNTIFS(Bookings!$I$5:$I$404,"&gt;="&amp;S62,Bookings!$I$5:$I$404,"&lt;="&amp;T62,Bookings!$AM$5:$AM$404,"&lt;&gt;Cancelled"))</f>
        <v>0</v>
      </c>
      <c r="AA62" s="31">
        <f>IF(S62="","",COUNTIFS(Bookings!$I$5:$I$404,"&gt;="&amp;S62,Bookings!$I$5:$I$404,"&lt;="&amp;T62,Bookings!$AM$5:$AM$404,"Completed"))</f>
        <v>0</v>
      </c>
      <c r="AB62" s="31">
        <f>IF(S62="","",COUNTIFS(Bookings!$I$5:$I$404,"&gt;="&amp;S62,Bookings!$I$5:$I$404,"&lt;="&amp;T62,Bookings!$AM$5:$AM$404,"Cancelled"))</f>
        <v>0</v>
      </c>
      <c r="AC62" s="31">
        <f>IF(S62="","",COUNTIFS('Visit Log'!$C$5:$C$404,"&gt;="&amp;S62,'Visit Log'!$C$5:$C$404,"&lt;="&amp;T62,'Visit Log'!$AE$5:$AE$404,"Completed"))</f>
        <v>0</v>
      </c>
      <c r="AD62" s="31">
        <f>IF(S62="","",COUNTIFS(Clients!$L$5:$L$254,"&gt;="&amp;S62,Clients!$L$5:$L$254,"&lt;="&amp;T62))</f>
        <v>0</v>
      </c>
      <c r="AE62" s="32">
        <f>IF(S62="","",SUMIFS(Mileage!$M$5:$M$304,Mileage!$B$5:$B$304,"&gt;="&amp;S62,Mileage!$B$5:$B$304,"&lt;="&amp;T62,Mileage!$N$5:$N$304,"Business"))</f>
        <v>0</v>
      </c>
      <c r="AF62" s="29">
        <f>IF(S62="","",SUMIFS(Payments!$L$5:$L$304,Payments!$B$5:$B$304,"&gt;="&amp;DATE(Dash_Year-1,ROW()-4,1),Payments!$B$5:$B$304,"&lt;="&amp;EOMONTH(DATE(Dash_Year-1,ROW()-4,1),0)))</f>
        <v>0</v>
      </c>
      <c r="AG62" s="28">
        <f>IF(Staff!$B$62="","",Staff!$B$62)</f>
        <v>0</v>
      </c>
      <c r="AH62" s="31">
        <f>IF(AG62="","",COUNTIFS('Visit Log'!$G$5:$G$404,AG62,'Visit Log'!$C$5:$C$404,"&gt;="&amp;RepFrom,'Visit Log'!$C$5:$C$404,"&lt;="&amp;RepTo,'Visit Log'!$AE$5:$AE$404,"Completed"))</f>
        <v>0</v>
      </c>
      <c r="AI62" s="51">
        <f>IF(AG62="","",ROUND(SUMIFS('Visit Log'!$K$5:$K$404,'Visit Log'!$G$5:$G$404,AG62,'Visit Log'!$C$5:$C$404,"&gt;="&amp;RepFrom,'Visit Log'!$C$5:$C$404,"&lt;="&amp;RepTo,'Visit Log'!$AE$5:$AE$404,"Completed")/60,2))</f>
        <v>0</v>
      </c>
      <c r="AJ62" s="29">
        <f>IF(AG62="","",SUMIFS(Bookings!$AK$5:$AK$404,Bookings!$AL$5:$AL$404,AG62,Bookings!$I$5:$I$404,"&gt;="&amp;RepFrom,Bookings!$I$5:$I$404,"&lt;="&amp;RepTo,Bookings!$AM$5:$AM$404,"&lt;&gt;Cancelled"))</f>
        <v>0</v>
      </c>
      <c r="AK62" s="32">
        <f>IF(AG62="","",SUMIFS(Mileage!$M$5:$M$304,Mileage!$C$5:$C$304,AG62,Mileage!$B$5:$B$304,"&gt;="&amp;RepFrom,Mileage!$B$5:$B$304,"&lt;="&amp;RepTo))</f>
        <v>0</v>
      </c>
      <c r="AL62" s="28">
        <f>IF(Lists!$Q62="","",Lists!$Q62)</f>
        <v>0</v>
      </c>
      <c r="AM62" s="31">
        <f>IF(AL62="","",COUNTIFS(Bookings!$AV$5:$AV$404,AL62,Bookings!$I$5:$I$404,"&gt;="&amp;RepFrom,Bookings!$I$5:$I$404,"&lt;="&amp;RepTo))</f>
        <v>0</v>
      </c>
      <c r="AN62" s="28">
        <f>IF(Lists!$AF62="","",Lists!$AF62)</f>
        <v>0</v>
      </c>
      <c r="AO62" s="29">
        <f>IF(AN62="","",SUMIFS(Payments!$L$5:$L$304,Payments!$F$5:$F$304,AN62,Payments!$B$5:$B$304,"&gt;="&amp;RepFrom,Payments!$B$5:$B$304,"&lt;="&amp;RepTo))</f>
        <v>0</v>
      </c>
      <c r="AP62" s="28">
        <f>IF(Lists!$E62="","",Lists!$E62)</f>
        <v>0</v>
      </c>
      <c r="AQ62" s="31">
        <f>IF(AP62="","",COUNTIFS(Clients!$K$5:$K$254,AP62))</f>
        <v>0</v>
      </c>
      <c r="AR62" s="29">
        <f>IF(AP62="","",SUMIFS(Clients!$AE$5:$AE$254,Clients!$K$5:$K$254,AP62))</f>
        <v>0</v>
      </c>
    </row>
    <row r="63" spans="1:44">
      <c r="A63" s="28">
        <f>IF(Clients!$B$63="","",Clients!$B$63)</f>
        <v>0</v>
      </c>
      <c r="B63" s="29">
        <f>IF(A63="","",SUMIFS(Payments!$L$5:$L$304,Payments!$C$5:$C$304,A63,Payments!$B$5:$B$304,"&gt;="&amp;PeriodStart,Payments!$B$5:$B$304,"&lt;="&amp;PeriodEnd))</f>
        <v>0</v>
      </c>
      <c r="C63" s="51">
        <f>IF(A63="","",IF(B63&lt;=0,"",B63+ROW()/1000000))</f>
        <v>0</v>
      </c>
      <c r="D63" s="29">
        <f>IF(A63="","",SUMIFS(Payments!$L$5:$L$304,Payments!$C$5:$C$304,A63,Payments!$B$5:$B$304,"&gt;="&amp;RepFrom,Payments!$B$5:$B$304,"&lt;="&amp;RepTo))</f>
        <v>0</v>
      </c>
      <c r="E63" s="51">
        <f>IF(A63="","",IF(D63&lt;=0,"",D63+ROW()/1000000))</f>
        <v>0</v>
      </c>
      <c r="F63" s="29">
        <f>IF(A63="","",SUMIFS(Invoices!$S$5:$S$304,Invoices!$D$5:$D$304,A63,Invoices!$T$5:$T$304,"&lt;&gt;Cancelled"))</f>
        <v>0</v>
      </c>
      <c r="G63" s="51">
        <f>IF(A63="","",IF(F63&lt;=0.004,"",F63+ROW()/1000000))</f>
        <v>0</v>
      </c>
      <c r="H63" s="31">
        <f>IF(A63="","",COUNTIFS(Bookings!$C$5:$C$404,A63,Bookings!$I$5:$I$404,"&gt;="&amp;RepFrom,Bookings!$I$5:$I$404,"&lt;="&amp;RepTo,Bookings!$AM$5:$AM$404,"&lt;&gt;Cancelled"))</f>
        <v>0</v>
      </c>
      <c r="I63" s="28">
        <f>IF(Services!$B$63="","",Services!$B$63)</f>
        <v>0</v>
      </c>
      <c r="J63" s="29">
        <f>IF(I63="","",SUMIFS(Bookings!$AK$5:$AK$404,Bookings!$H$5:$H$404,I63,Bookings!$I$5:$I$404,"&gt;="&amp;PeriodStart,Bookings!$I$5:$I$404,"&lt;="&amp;PeriodEnd,Bookings!$AM$5:$AM$404,"&lt;&gt;Cancelled"))</f>
        <v>0</v>
      </c>
      <c r="K63" s="31">
        <f>IF(I63="","",COUNTIFS(Bookings!$H$5:$H$404,I63,Bookings!$I$5:$I$404,"&gt;="&amp;PeriodStart,Bookings!$I$5:$I$404,"&lt;="&amp;PeriodEnd,Bookings!$AM$5:$AM$404,"&lt;&gt;Cancelled"))</f>
        <v>0</v>
      </c>
      <c r="L63" s="29">
        <f>IF(I63="","",SUMIFS(Bookings!$AK$5:$AK$404,Bookings!$H$5:$H$404,I63,Bookings!$I$5:$I$404,"&gt;="&amp;RepFrom,Bookings!$I$5:$I$404,"&lt;="&amp;RepTo,Bookings!$AM$5:$AM$404,"&lt;&gt;Cancelled"))</f>
        <v>0</v>
      </c>
      <c r="M63" s="31">
        <f>IF(I63="","",COUNTIFS(Bookings!$H$5:$H$404,I63,Bookings!$I$5:$I$404,"&gt;="&amp;RepFrom,Bookings!$I$5:$I$404,"&lt;="&amp;RepTo,Bookings!$AM$5:$AM$404,"&lt;&gt;Cancelled"))</f>
        <v>0</v>
      </c>
      <c r="N63" s="29">
        <f>IF(I63="","",M63*IF(Services!$L$63="",0,Services!$L$63))</f>
        <v>0</v>
      </c>
      <c r="O63" s="29">
        <f>IF(I63="","",L63-N63)</f>
        <v>0</v>
      </c>
      <c r="P63" s="28">
        <f>IF(Lists!$AG63="","",Lists!$AG63)</f>
        <v>0</v>
      </c>
      <c r="Q63" s="29">
        <f>IF(P63="","",SUMIFS(Expenses!$F$5:$F$304,Expenses!$C$5:$C$304,P63,Expenses!$B$5:$B$304,"&gt;="&amp;PeriodStart,Expenses!$B$5:$B$304,"&lt;="&amp;PeriodEnd,Expenses!$J$5:$J$304,"&lt;&gt;Personal"))</f>
        <v>0</v>
      </c>
      <c r="R63" s="29">
        <f>IF(P63="","",SUMIFS(Expenses!$F$5:$F$304,Expenses!$C$5:$C$304,P63,Expenses!$B$5:$B$304,"&gt;="&amp;RepFrom,Expenses!$B$5:$B$304,"&lt;="&amp;RepTo,Expenses!$J$5:$J$304,"&lt;&gt;Personal"))</f>
        <v>0</v>
      </c>
      <c r="S63" s="21">
        <f>IF(ROW()-4&gt;12,"",DATE(Dash_Year,ROW()-4,1))</f>
        <v>0</v>
      </c>
      <c r="T63" s="21">
        <f>IF(S63="","",EOMONTH(S63,0))</f>
        <v>0</v>
      </c>
      <c r="U63" s="28">
        <f>IF(S63="","",TEXT(S63,"mmm"))</f>
        <v>0</v>
      </c>
      <c r="V63" s="29">
        <f>IF(S63="","",SUMIFS(Payments!$L$5:$L$304,Payments!$B$5:$B$304,"&gt;="&amp;S63,Payments!$B$5:$B$304,"&lt;="&amp;T63))</f>
        <v>0</v>
      </c>
      <c r="W63" s="29">
        <f>IF(S63="","",SUMIFS(Invoices!$O$5:$O$304,Invoices!$B$5:$B$304,"&gt;="&amp;S63,Invoices!$B$5:$B$304,"&lt;="&amp;T63,Invoices!$T$5:$T$304,"&lt;&gt;Cancelled"))</f>
        <v>0</v>
      </c>
      <c r="X63" s="29">
        <f>IF(S63="","",SUMIFS(Expenses!$F$5:$F$304,Expenses!$B$5:$B$304,"&gt;="&amp;S63,Expenses!$B$5:$B$304,"&lt;="&amp;T63,Expenses!$J$5:$J$304,"&lt;&gt;Personal"))</f>
        <v>0</v>
      </c>
      <c r="Y63" s="29">
        <f>IF(S63="","",V63-X63)</f>
        <v>0</v>
      </c>
      <c r="Z63" s="31">
        <f>IF(S63="","",COUNTIFS(Bookings!$I$5:$I$404,"&gt;="&amp;S63,Bookings!$I$5:$I$404,"&lt;="&amp;T63,Bookings!$AM$5:$AM$404,"&lt;&gt;Cancelled"))</f>
        <v>0</v>
      </c>
      <c r="AA63" s="31">
        <f>IF(S63="","",COUNTIFS(Bookings!$I$5:$I$404,"&gt;="&amp;S63,Bookings!$I$5:$I$404,"&lt;="&amp;T63,Bookings!$AM$5:$AM$404,"Completed"))</f>
        <v>0</v>
      </c>
      <c r="AB63" s="31">
        <f>IF(S63="","",COUNTIFS(Bookings!$I$5:$I$404,"&gt;="&amp;S63,Bookings!$I$5:$I$404,"&lt;="&amp;T63,Bookings!$AM$5:$AM$404,"Cancelled"))</f>
        <v>0</v>
      </c>
      <c r="AC63" s="31">
        <f>IF(S63="","",COUNTIFS('Visit Log'!$C$5:$C$404,"&gt;="&amp;S63,'Visit Log'!$C$5:$C$404,"&lt;="&amp;T63,'Visit Log'!$AE$5:$AE$404,"Completed"))</f>
        <v>0</v>
      </c>
      <c r="AD63" s="31">
        <f>IF(S63="","",COUNTIFS(Clients!$L$5:$L$254,"&gt;="&amp;S63,Clients!$L$5:$L$254,"&lt;="&amp;T63))</f>
        <v>0</v>
      </c>
      <c r="AE63" s="32">
        <f>IF(S63="","",SUMIFS(Mileage!$M$5:$M$304,Mileage!$B$5:$B$304,"&gt;="&amp;S63,Mileage!$B$5:$B$304,"&lt;="&amp;T63,Mileage!$N$5:$N$304,"Business"))</f>
        <v>0</v>
      </c>
      <c r="AF63" s="29">
        <f>IF(S63="","",SUMIFS(Payments!$L$5:$L$304,Payments!$B$5:$B$304,"&gt;="&amp;DATE(Dash_Year-1,ROW()-4,1),Payments!$B$5:$B$304,"&lt;="&amp;EOMONTH(DATE(Dash_Year-1,ROW()-4,1),0)))</f>
        <v>0</v>
      </c>
      <c r="AG63" s="28">
        <f>IF(Staff!$B$63="","",Staff!$B$63)</f>
        <v>0</v>
      </c>
      <c r="AH63" s="31">
        <f>IF(AG63="","",COUNTIFS('Visit Log'!$G$5:$G$404,AG63,'Visit Log'!$C$5:$C$404,"&gt;="&amp;RepFrom,'Visit Log'!$C$5:$C$404,"&lt;="&amp;RepTo,'Visit Log'!$AE$5:$AE$404,"Completed"))</f>
        <v>0</v>
      </c>
      <c r="AI63" s="51">
        <f>IF(AG63="","",ROUND(SUMIFS('Visit Log'!$K$5:$K$404,'Visit Log'!$G$5:$G$404,AG63,'Visit Log'!$C$5:$C$404,"&gt;="&amp;RepFrom,'Visit Log'!$C$5:$C$404,"&lt;="&amp;RepTo,'Visit Log'!$AE$5:$AE$404,"Completed")/60,2))</f>
        <v>0</v>
      </c>
      <c r="AJ63" s="29">
        <f>IF(AG63="","",SUMIFS(Bookings!$AK$5:$AK$404,Bookings!$AL$5:$AL$404,AG63,Bookings!$I$5:$I$404,"&gt;="&amp;RepFrom,Bookings!$I$5:$I$404,"&lt;="&amp;RepTo,Bookings!$AM$5:$AM$404,"&lt;&gt;Cancelled"))</f>
        <v>0</v>
      </c>
      <c r="AK63" s="32">
        <f>IF(AG63="","",SUMIFS(Mileage!$M$5:$M$304,Mileage!$C$5:$C$304,AG63,Mileage!$B$5:$B$304,"&gt;="&amp;RepFrom,Mileage!$B$5:$B$304,"&lt;="&amp;RepTo))</f>
        <v>0</v>
      </c>
      <c r="AL63" s="28">
        <f>IF(Lists!$Q63="","",Lists!$Q63)</f>
        <v>0</v>
      </c>
      <c r="AM63" s="31">
        <f>IF(AL63="","",COUNTIFS(Bookings!$AV$5:$AV$404,AL63,Bookings!$I$5:$I$404,"&gt;="&amp;RepFrom,Bookings!$I$5:$I$404,"&lt;="&amp;RepTo))</f>
        <v>0</v>
      </c>
      <c r="AN63" s="28">
        <f>IF(Lists!$AF63="","",Lists!$AF63)</f>
        <v>0</v>
      </c>
      <c r="AO63" s="29">
        <f>IF(AN63="","",SUMIFS(Payments!$L$5:$L$304,Payments!$F$5:$F$304,AN63,Payments!$B$5:$B$304,"&gt;="&amp;RepFrom,Payments!$B$5:$B$304,"&lt;="&amp;RepTo))</f>
        <v>0</v>
      </c>
      <c r="AP63" s="28">
        <f>IF(Lists!$E63="","",Lists!$E63)</f>
        <v>0</v>
      </c>
      <c r="AQ63" s="31">
        <f>IF(AP63="","",COUNTIFS(Clients!$K$5:$K$254,AP63))</f>
        <v>0</v>
      </c>
      <c r="AR63" s="29">
        <f>IF(AP63="","",SUMIFS(Clients!$AE$5:$AE$254,Clients!$K$5:$K$254,AP63))</f>
        <v>0</v>
      </c>
    </row>
    <row r="64" spans="1:44">
      <c r="A64" s="28">
        <f>IF(Clients!$B$64="","",Clients!$B$64)</f>
        <v>0</v>
      </c>
      <c r="B64" s="29">
        <f>IF(A64="","",SUMIFS(Payments!$L$5:$L$304,Payments!$C$5:$C$304,A64,Payments!$B$5:$B$304,"&gt;="&amp;PeriodStart,Payments!$B$5:$B$304,"&lt;="&amp;PeriodEnd))</f>
        <v>0</v>
      </c>
      <c r="C64" s="51">
        <f>IF(A64="","",IF(B64&lt;=0,"",B64+ROW()/1000000))</f>
        <v>0</v>
      </c>
      <c r="D64" s="29">
        <f>IF(A64="","",SUMIFS(Payments!$L$5:$L$304,Payments!$C$5:$C$304,A64,Payments!$B$5:$B$304,"&gt;="&amp;RepFrom,Payments!$B$5:$B$304,"&lt;="&amp;RepTo))</f>
        <v>0</v>
      </c>
      <c r="E64" s="51">
        <f>IF(A64="","",IF(D64&lt;=0,"",D64+ROW()/1000000))</f>
        <v>0</v>
      </c>
      <c r="F64" s="29">
        <f>IF(A64="","",SUMIFS(Invoices!$S$5:$S$304,Invoices!$D$5:$D$304,A64,Invoices!$T$5:$T$304,"&lt;&gt;Cancelled"))</f>
        <v>0</v>
      </c>
      <c r="G64" s="51">
        <f>IF(A64="","",IF(F64&lt;=0.004,"",F64+ROW()/1000000))</f>
        <v>0</v>
      </c>
      <c r="H64" s="31">
        <f>IF(A64="","",COUNTIFS(Bookings!$C$5:$C$404,A64,Bookings!$I$5:$I$404,"&gt;="&amp;RepFrom,Bookings!$I$5:$I$404,"&lt;="&amp;RepTo,Bookings!$AM$5:$AM$404,"&lt;&gt;Cancelled"))</f>
        <v>0</v>
      </c>
      <c r="I64" s="28">
        <f>IF(Services!$B$64="","",Services!$B$64)</f>
        <v>0</v>
      </c>
      <c r="J64" s="29">
        <f>IF(I64="","",SUMIFS(Bookings!$AK$5:$AK$404,Bookings!$H$5:$H$404,I64,Bookings!$I$5:$I$404,"&gt;="&amp;PeriodStart,Bookings!$I$5:$I$404,"&lt;="&amp;PeriodEnd,Bookings!$AM$5:$AM$404,"&lt;&gt;Cancelled"))</f>
        <v>0</v>
      </c>
      <c r="K64" s="31">
        <f>IF(I64="","",COUNTIFS(Bookings!$H$5:$H$404,I64,Bookings!$I$5:$I$404,"&gt;="&amp;PeriodStart,Bookings!$I$5:$I$404,"&lt;="&amp;PeriodEnd,Bookings!$AM$5:$AM$404,"&lt;&gt;Cancelled"))</f>
        <v>0</v>
      </c>
      <c r="L64" s="29">
        <f>IF(I64="","",SUMIFS(Bookings!$AK$5:$AK$404,Bookings!$H$5:$H$404,I64,Bookings!$I$5:$I$404,"&gt;="&amp;RepFrom,Bookings!$I$5:$I$404,"&lt;="&amp;RepTo,Bookings!$AM$5:$AM$404,"&lt;&gt;Cancelled"))</f>
        <v>0</v>
      </c>
      <c r="M64" s="31">
        <f>IF(I64="","",COUNTIFS(Bookings!$H$5:$H$404,I64,Bookings!$I$5:$I$404,"&gt;="&amp;RepFrom,Bookings!$I$5:$I$404,"&lt;="&amp;RepTo,Bookings!$AM$5:$AM$404,"&lt;&gt;Cancelled"))</f>
        <v>0</v>
      </c>
      <c r="N64" s="29">
        <f>IF(I64="","",M64*IF(Services!$L$64="",0,Services!$L$64))</f>
        <v>0</v>
      </c>
      <c r="O64" s="29">
        <f>IF(I64="","",L64-N64)</f>
        <v>0</v>
      </c>
      <c r="P64" s="28">
        <f>IF(Lists!$AG64="","",Lists!$AG64)</f>
        <v>0</v>
      </c>
      <c r="Q64" s="29">
        <f>IF(P64="","",SUMIFS(Expenses!$F$5:$F$304,Expenses!$C$5:$C$304,P64,Expenses!$B$5:$B$304,"&gt;="&amp;PeriodStart,Expenses!$B$5:$B$304,"&lt;="&amp;PeriodEnd,Expenses!$J$5:$J$304,"&lt;&gt;Personal"))</f>
        <v>0</v>
      </c>
      <c r="R64" s="29">
        <f>IF(P64="","",SUMIFS(Expenses!$F$5:$F$304,Expenses!$C$5:$C$304,P64,Expenses!$B$5:$B$304,"&gt;="&amp;RepFrom,Expenses!$B$5:$B$304,"&lt;="&amp;RepTo,Expenses!$J$5:$J$304,"&lt;&gt;Personal"))</f>
        <v>0</v>
      </c>
      <c r="S64" s="21">
        <f>IF(ROW()-4&gt;12,"",DATE(Dash_Year,ROW()-4,1))</f>
        <v>0</v>
      </c>
      <c r="T64" s="21">
        <f>IF(S64="","",EOMONTH(S64,0))</f>
        <v>0</v>
      </c>
      <c r="U64" s="28">
        <f>IF(S64="","",TEXT(S64,"mmm"))</f>
        <v>0</v>
      </c>
      <c r="V64" s="29">
        <f>IF(S64="","",SUMIFS(Payments!$L$5:$L$304,Payments!$B$5:$B$304,"&gt;="&amp;S64,Payments!$B$5:$B$304,"&lt;="&amp;T64))</f>
        <v>0</v>
      </c>
      <c r="W64" s="29">
        <f>IF(S64="","",SUMIFS(Invoices!$O$5:$O$304,Invoices!$B$5:$B$304,"&gt;="&amp;S64,Invoices!$B$5:$B$304,"&lt;="&amp;T64,Invoices!$T$5:$T$304,"&lt;&gt;Cancelled"))</f>
        <v>0</v>
      </c>
      <c r="X64" s="29">
        <f>IF(S64="","",SUMIFS(Expenses!$F$5:$F$304,Expenses!$B$5:$B$304,"&gt;="&amp;S64,Expenses!$B$5:$B$304,"&lt;="&amp;T64,Expenses!$J$5:$J$304,"&lt;&gt;Personal"))</f>
        <v>0</v>
      </c>
      <c r="Y64" s="29">
        <f>IF(S64="","",V64-X64)</f>
        <v>0</v>
      </c>
      <c r="Z64" s="31">
        <f>IF(S64="","",COUNTIFS(Bookings!$I$5:$I$404,"&gt;="&amp;S64,Bookings!$I$5:$I$404,"&lt;="&amp;T64,Bookings!$AM$5:$AM$404,"&lt;&gt;Cancelled"))</f>
        <v>0</v>
      </c>
      <c r="AA64" s="31">
        <f>IF(S64="","",COUNTIFS(Bookings!$I$5:$I$404,"&gt;="&amp;S64,Bookings!$I$5:$I$404,"&lt;="&amp;T64,Bookings!$AM$5:$AM$404,"Completed"))</f>
        <v>0</v>
      </c>
      <c r="AB64" s="31">
        <f>IF(S64="","",COUNTIFS(Bookings!$I$5:$I$404,"&gt;="&amp;S64,Bookings!$I$5:$I$404,"&lt;="&amp;T64,Bookings!$AM$5:$AM$404,"Cancelled"))</f>
        <v>0</v>
      </c>
      <c r="AC64" s="31">
        <f>IF(S64="","",COUNTIFS('Visit Log'!$C$5:$C$404,"&gt;="&amp;S64,'Visit Log'!$C$5:$C$404,"&lt;="&amp;T64,'Visit Log'!$AE$5:$AE$404,"Completed"))</f>
        <v>0</v>
      </c>
      <c r="AD64" s="31">
        <f>IF(S64="","",COUNTIFS(Clients!$L$5:$L$254,"&gt;="&amp;S64,Clients!$L$5:$L$254,"&lt;="&amp;T64))</f>
        <v>0</v>
      </c>
      <c r="AE64" s="32">
        <f>IF(S64="","",SUMIFS(Mileage!$M$5:$M$304,Mileage!$B$5:$B$304,"&gt;="&amp;S64,Mileage!$B$5:$B$304,"&lt;="&amp;T64,Mileage!$N$5:$N$304,"Business"))</f>
        <v>0</v>
      </c>
      <c r="AF64" s="29">
        <f>IF(S64="","",SUMIFS(Payments!$L$5:$L$304,Payments!$B$5:$B$304,"&gt;="&amp;DATE(Dash_Year-1,ROW()-4,1),Payments!$B$5:$B$304,"&lt;="&amp;EOMONTH(DATE(Dash_Year-1,ROW()-4,1),0)))</f>
        <v>0</v>
      </c>
      <c r="AG64" s="28">
        <f>IF(Staff!$B$64="","",Staff!$B$64)</f>
        <v>0</v>
      </c>
      <c r="AH64" s="31">
        <f>IF(AG64="","",COUNTIFS('Visit Log'!$G$5:$G$404,AG64,'Visit Log'!$C$5:$C$404,"&gt;="&amp;RepFrom,'Visit Log'!$C$5:$C$404,"&lt;="&amp;RepTo,'Visit Log'!$AE$5:$AE$404,"Completed"))</f>
        <v>0</v>
      </c>
      <c r="AI64" s="51">
        <f>IF(AG64="","",ROUND(SUMIFS('Visit Log'!$K$5:$K$404,'Visit Log'!$G$5:$G$404,AG64,'Visit Log'!$C$5:$C$404,"&gt;="&amp;RepFrom,'Visit Log'!$C$5:$C$404,"&lt;="&amp;RepTo,'Visit Log'!$AE$5:$AE$404,"Completed")/60,2))</f>
        <v>0</v>
      </c>
      <c r="AJ64" s="29">
        <f>IF(AG64="","",SUMIFS(Bookings!$AK$5:$AK$404,Bookings!$AL$5:$AL$404,AG64,Bookings!$I$5:$I$404,"&gt;="&amp;RepFrom,Bookings!$I$5:$I$404,"&lt;="&amp;RepTo,Bookings!$AM$5:$AM$404,"&lt;&gt;Cancelled"))</f>
        <v>0</v>
      </c>
      <c r="AK64" s="32">
        <f>IF(AG64="","",SUMIFS(Mileage!$M$5:$M$304,Mileage!$C$5:$C$304,AG64,Mileage!$B$5:$B$304,"&gt;="&amp;RepFrom,Mileage!$B$5:$B$304,"&lt;="&amp;RepTo))</f>
        <v>0</v>
      </c>
      <c r="AL64" s="28">
        <f>IF(Lists!$Q64="","",Lists!$Q64)</f>
        <v>0</v>
      </c>
      <c r="AM64" s="31">
        <f>IF(AL64="","",COUNTIFS(Bookings!$AV$5:$AV$404,AL64,Bookings!$I$5:$I$404,"&gt;="&amp;RepFrom,Bookings!$I$5:$I$404,"&lt;="&amp;RepTo))</f>
        <v>0</v>
      </c>
      <c r="AN64" s="28">
        <f>IF(Lists!$AF64="","",Lists!$AF64)</f>
        <v>0</v>
      </c>
      <c r="AO64" s="29">
        <f>IF(AN64="","",SUMIFS(Payments!$L$5:$L$304,Payments!$F$5:$F$304,AN64,Payments!$B$5:$B$304,"&gt;="&amp;RepFrom,Payments!$B$5:$B$304,"&lt;="&amp;RepTo))</f>
        <v>0</v>
      </c>
      <c r="AP64" s="28">
        <f>IF(Lists!$E64="","",Lists!$E64)</f>
        <v>0</v>
      </c>
      <c r="AQ64" s="31">
        <f>IF(AP64="","",COUNTIFS(Clients!$K$5:$K$254,AP64))</f>
        <v>0</v>
      </c>
      <c r="AR64" s="29">
        <f>IF(AP64="","",SUMIFS(Clients!$AE$5:$AE$254,Clients!$K$5:$K$254,AP64))</f>
        <v>0</v>
      </c>
    </row>
    <row r="65" spans="1:44">
      <c r="A65" s="28">
        <f>IF(Clients!$B$65="","",Clients!$B$65)</f>
        <v>0</v>
      </c>
      <c r="B65" s="29">
        <f>IF(A65="","",SUMIFS(Payments!$L$5:$L$304,Payments!$C$5:$C$304,A65,Payments!$B$5:$B$304,"&gt;="&amp;PeriodStart,Payments!$B$5:$B$304,"&lt;="&amp;PeriodEnd))</f>
        <v>0</v>
      </c>
      <c r="C65" s="51">
        <f>IF(A65="","",IF(B65&lt;=0,"",B65+ROW()/1000000))</f>
        <v>0</v>
      </c>
      <c r="D65" s="29">
        <f>IF(A65="","",SUMIFS(Payments!$L$5:$L$304,Payments!$C$5:$C$304,A65,Payments!$B$5:$B$304,"&gt;="&amp;RepFrom,Payments!$B$5:$B$304,"&lt;="&amp;RepTo))</f>
        <v>0</v>
      </c>
      <c r="E65" s="51">
        <f>IF(A65="","",IF(D65&lt;=0,"",D65+ROW()/1000000))</f>
        <v>0</v>
      </c>
      <c r="F65" s="29">
        <f>IF(A65="","",SUMIFS(Invoices!$S$5:$S$304,Invoices!$D$5:$D$304,A65,Invoices!$T$5:$T$304,"&lt;&gt;Cancelled"))</f>
        <v>0</v>
      </c>
      <c r="G65" s="51">
        <f>IF(A65="","",IF(F65&lt;=0.004,"",F65+ROW()/1000000))</f>
        <v>0</v>
      </c>
      <c r="H65" s="31">
        <f>IF(A65="","",COUNTIFS(Bookings!$C$5:$C$404,A65,Bookings!$I$5:$I$404,"&gt;="&amp;RepFrom,Bookings!$I$5:$I$404,"&lt;="&amp;RepTo,Bookings!$AM$5:$AM$404,"&lt;&gt;Cancelled"))</f>
        <v>0</v>
      </c>
      <c r="I65" s="28">
        <f>IF(Services!$B$65="","",Services!$B$65)</f>
        <v>0</v>
      </c>
      <c r="J65" s="29">
        <f>IF(I65="","",SUMIFS(Bookings!$AK$5:$AK$404,Bookings!$H$5:$H$404,I65,Bookings!$I$5:$I$404,"&gt;="&amp;PeriodStart,Bookings!$I$5:$I$404,"&lt;="&amp;PeriodEnd,Bookings!$AM$5:$AM$404,"&lt;&gt;Cancelled"))</f>
        <v>0</v>
      </c>
      <c r="K65" s="31">
        <f>IF(I65="","",COUNTIFS(Bookings!$H$5:$H$404,I65,Bookings!$I$5:$I$404,"&gt;="&amp;PeriodStart,Bookings!$I$5:$I$404,"&lt;="&amp;PeriodEnd,Bookings!$AM$5:$AM$404,"&lt;&gt;Cancelled"))</f>
        <v>0</v>
      </c>
      <c r="L65" s="29">
        <f>IF(I65="","",SUMIFS(Bookings!$AK$5:$AK$404,Bookings!$H$5:$H$404,I65,Bookings!$I$5:$I$404,"&gt;="&amp;RepFrom,Bookings!$I$5:$I$404,"&lt;="&amp;RepTo,Bookings!$AM$5:$AM$404,"&lt;&gt;Cancelled"))</f>
        <v>0</v>
      </c>
      <c r="M65" s="31">
        <f>IF(I65="","",COUNTIFS(Bookings!$H$5:$H$404,I65,Bookings!$I$5:$I$404,"&gt;="&amp;RepFrom,Bookings!$I$5:$I$404,"&lt;="&amp;RepTo,Bookings!$AM$5:$AM$404,"&lt;&gt;Cancelled"))</f>
        <v>0</v>
      </c>
      <c r="N65" s="29">
        <f>IF(I65="","",M65*IF(Services!$L$65="",0,Services!$L$65))</f>
        <v>0</v>
      </c>
      <c r="O65" s="29">
        <f>IF(I65="","",L65-N65)</f>
        <v>0</v>
      </c>
      <c r="P65" s="28">
        <f>IF(Lists!$AG65="","",Lists!$AG65)</f>
        <v>0</v>
      </c>
      <c r="Q65" s="29">
        <f>IF(P65="","",SUMIFS(Expenses!$F$5:$F$304,Expenses!$C$5:$C$304,P65,Expenses!$B$5:$B$304,"&gt;="&amp;PeriodStart,Expenses!$B$5:$B$304,"&lt;="&amp;PeriodEnd,Expenses!$J$5:$J$304,"&lt;&gt;Personal"))</f>
        <v>0</v>
      </c>
      <c r="R65" s="29">
        <f>IF(P65="","",SUMIFS(Expenses!$F$5:$F$304,Expenses!$C$5:$C$304,P65,Expenses!$B$5:$B$304,"&gt;="&amp;RepFrom,Expenses!$B$5:$B$304,"&lt;="&amp;RepTo,Expenses!$J$5:$J$304,"&lt;&gt;Personal"))</f>
        <v>0</v>
      </c>
      <c r="S65" s="21">
        <f>IF(ROW()-4&gt;12,"",DATE(Dash_Year,ROW()-4,1))</f>
        <v>0</v>
      </c>
      <c r="T65" s="21">
        <f>IF(S65="","",EOMONTH(S65,0))</f>
        <v>0</v>
      </c>
      <c r="U65" s="28">
        <f>IF(S65="","",TEXT(S65,"mmm"))</f>
        <v>0</v>
      </c>
      <c r="V65" s="29">
        <f>IF(S65="","",SUMIFS(Payments!$L$5:$L$304,Payments!$B$5:$B$304,"&gt;="&amp;S65,Payments!$B$5:$B$304,"&lt;="&amp;T65))</f>
        <v>0</v>
      </c>
      <c r="W65" s="29">
        <f>IF(S65="","",SUMIFS(Invoices!$O$5:$O$304,Invoices!$B$5:$B$304,"&gt;="&amp;S65,Invoices!$B$5:$B$304,"&lt;="&amp;T65,Invoices!$T$5:$T$304,"&lt;&gt;Cancelled"))</f>
        <v>0</v>
      </c>
      <c r="X65" s="29">
        <f>IF(S65="","",SUMIFS(Expenses!$F$5:$F$304,Expenses!$B$5:$B$304,"&gt;="&amp;S65,Expenses!$B$5:$B$304,"&lt;="&amp;T65,Expenses!$J$5:$J$304,"&lt;&gt;Personal"))</f>
        <v>0</v>
      </c>
      <c r="Y65" s="29">
        <f>IF(S65="","",V65-X65)</f>
        <v>0</v>
      </c>
      <c r="Z65" s="31">
        <f>IF(S65="","",COUNTIFS(Bookings!$I$5:$I$404,"&gt;="&amp;S65,Bookings!$I$5:$I$404,"&lt;="&amp;T65,Bookings!$AM$5:$AM$404,"&lt;&gt;Cancelled"))</f>
        <v>0</v>
      </c>
      <c r="AA65" s="31">
        <f>IF(S65="","",COUNTIFS(Bookings!$I$5:$I$404,"&gt;="&amp;S65,Bookings!$I$5:$I$404,"&lt;="&amp;T65,Bookings!$AM$5:$AM$404,"Completed"))</f>
        <v>0</v>
      </c>
      <c r="AB65" s="31">
        <f>IF(S65="","",COUNTIFS(Bookings!$I$5:$I$404,"&gt;="&amp;S65,Bookings!$I$5:$I$404,"&lt;="&amp;T65,Bookings!$AM$5:$AM$404,"Cancelled"))</f>
        <v>0</v>
      </c>
      <c r="AC65" s="31">
        <f>IF(S65="","",COUNTIFS('Visit Log'!$C$5:$C$404,"&gt;="&amp;S65,'Visit Log'!$C$5:$C$404,"&lt;="&amp;T65,'Visit Log'!$AE$5:$AE$404,"Completed"))</f>
        <v>0</v>
      </c>
      <c r="AD65" s="31">
        <f>IF(S65="","",COUNTIFS(Clients!$L$5:$L$254,"&gt;="&amp;S65,Clients!$L$5:$L$254,"&lt;="&amp;T65))</f>
        <v>0</v>
      </c>
      <c r="AE65" s="32">
        <f>IF(S65="","",SUMIFS(Mileage!$M$5:$M$304,Mileage!$B$5:$B$304,"&gt;="&amp;S65,Mileage!$B$5:$B$304,"&lt;="&amp;T65,Mileage!$N$5:$N$304,"Business"))</f>
        <v>0</v>
      </c>
      <c r="AF65" s="29">
        <f>IF(S65="","",SUMIFS(Payments!$L$5:$L$304,Payments!$B$5:$B$304,"&gt;="&amp;DATE(Dash_Year-1,ROW()-4,1),Payments!$B$5:$B$304,"&lt;="&amp;EOMONTH(DATE(Dash_Year-1,ROW()-4,1),0)))</f>
        <v>0</v>
      </c>
      <c r="AG65" s="28">
        <f>IF(Staff!$B$65="","",Staff!$B$65)</f>
        <v>0</v>
      </c>
      <c r="AH65" s="31">
        <f>IF(AG65="","",COUNTIFS('Visit Log'!$G$5:$G$404,AG65,'Visit Log'!$C$5:$C$404,"&gt;="&amp;RepFrom,'Visit Log'!$C$5:$C$404,"&lt;="&amp;RepTo,'Visit Log'!$AE$5:$AE$404,"Completed"))</f>
        <v>0</v>
      </c>
      <c r="AI65" s="51">
        <f>IF(AG65="","",ROUND(SUMIFS('Visit Log'!$K$5:$K$404,'Visit Log'!$G$5:$G$404,AG65,'Visit Log'!$C$5:$C$404,"&gt;="&amp;RepFrom,'Visit Log'!$C$5:$C$404,"&lt;="&amp;RepTo,'Visit Log'!$AE$5:$AE$404,"Completed")/60,2))</f>
        <v>0</v>
      </c>
      <c r="AJ65" s="29">
        <f>IF(AG65="","",SUMIFS(Bookings!$AK$5:$AK$404,Bookings!$AL$5:$AL$404,AG65,Bookings!$I$5:$I$404,"&gt;="&amp;RepFrom,Bookings!$I$5:$I$404,"&lt;="&amp;RepTo,Bookings!$AM$5:$AM$404,"&lt;&gt;Cancelled"))</f>
        <v>0</v>
      </c>
      <c r="AK65" s="32">
        <f>IF(AG65="","",SUMIFS(Mileage!$M$5:$M$304,Mileage!$C$5:$C$304,AG65,Mileage!$B$5:$B$304,"&gt;="&amp;RepFrom,Mileage!$B$5:$B$304,"&lt;="&amp;RepTo))</f>
        <v>0</v>
      </c>
      <c r="AL65" s="28">
        <f>IF(Lists!$Q65="","",Lists!$Q65)</f>
        <v>0</v>
      </c>
      <c r="AM65" s="31">
        <f>IF(AL65="","",COUNTIFS(Bookings!$AV$5:$AV$404,AL65,Bookings!$I$5:$I$404,"&gt;="&amp;RepFrom,Bookings!$I$5:$I$404,"&lt;="&amp;RepTo))</f>
        <v>0</v>
      </c>
      <c r="AN65" s="28">
        <f>IF(Lists!$AF65="","",Lists!$AF65)</f>
        <v>0</v>
      </c>
      <c r="AO65" s="29">
        <f>IF(AN65="","",SUMIFS(Payments!$L$5:$L$304,Payments!$F$5:$F$304,AN65,Payments!$B$5:$B$304,"&gt;="&amp;RepFrom,Payments!$B$5:$B$304,"&lt;="&amp;RepTo))</f>
        <v>0</v>
      </c>
      <c r="AP65" s="28">
        <f>IF(Lists!$E65="","",Lists!$E65)</f>
        <v>0</v>
      </c>
      <c r="AQ65" s="31">
        <f>IF(AP65="","",COUNTIFS(Clients!$K$5:$K$254,AP65))</f>
        <v>0</v>
      </c>
      <c r="AR65" s="29">
        <f>IF(AP65="","",SUMIFS(Clients!$AE$5:$AE$254,Clients!$K$5:$K$254,AP65))</f>
        <v>0</v>
      </c>
    </row>
    <row r="66" spans="1:44">
      <c r="A66" s="28">
        <f>IF(Clients!$B$66="","",Clients!$B$66)</f>
        <v>0</v>
      </c>
      <c r="B66" s="29">
        <f>IF(A66="","",SUMIFS(Payments!$L$5:$L$304,Payments!$C$5:$C$304,A66,Payments!$B$5:$B$304,"&gt;="&amp;PeriodStart,Payments!$B$5:$B$304,"&lt;="&amp;PeriodEnd))</f>
        <v>0</v>
      </c>
      <c r="C66" s="51">
        <f>IF(A66="","",IF(B66&lt;=0,"",B66+ROW()/1000000))</f>
        <v>0</v>
      </c>
      <c r="D66" s="29">
        <f>IF(A66="","",SUMIFS(Payments!$L$5:$L$304,Payments!$C$5:$C$304,A66,Payments!$B$5:$B$304,"&gt;="&amp;RepFrom,Payments!$B$5:$B$304,"&lt;="&amp;RepTo))</f>
        <v>0</v>
      </c>
      <c r="E66" s="51">
        <f>IF(A66="","",IF(D66&lt;=0,"",D66+ROW()/1000000))</f>
        <v>0</v>
      </c>
      <c r="F66" s="29">
        <f>IF(A66="","",SUMIFS(Invoices!$S$5:$S$304,Invoices!$D$5:$D$304,A66,Invoices!$T$5:$T$304,"&lt;&gt;Cancelled"))</f>
        <v>0</v>
      </c>
      <c r="G66" s="51">
        <f>IF(A66="","",IF(F66&lt;=0.004,"",F66+ROW()/1000000))</f>
        <v>0</v>
      </c>
      <c r="H66" s="31">
        <f>IF(A66="","",COUNTIFS(Bookings!$C$5:$C$404,A66,Bookings!$I$5:$I$404,"&gt;="&amp;RepFrom,Bookings!$I$5:$I$404,"&lt;="&amp;RepTo,Bookings!$AM$5:$AM$404,"&lt;&gt;Cancelled"))</f>
        <v>0</v>
      </c>
      <c r="I66" s="28">
        <f>IF(Services!$B$66="","",Services!$B$66)</f>
        <v>0</v>
      </c>
      <c r="J66" s="29">
        <f>IF(I66="","",SUMIFS(Bookings!$AK$5:$AK$404,Bookings!$H$5:$H$404,I66,Bookings!$I$5:$I$404,"&gt;="&amp;PeriodStart,Bookings!$I$5:$I$404,"&lt;="&amp;PeriodEnd,Bookings!$AM$5:$AM$404,"&lt;&gt;Cancelled"))</f>
        <v>0</v>
      </c>
      <c r="K66" s="31">
        <f>IF(I66="","",COUNTIFS(Bookings!$H$5:$H$404,I66,Bookings!$I$5:$I$404,"&gt;="&amp;PeriodStart,Bookings!$I$5:$I$404,"&lt;="&amp;PeriodEnd,Bookings!$AM$5:$AM$404,"&lt;&gt;Cancelled"))</f>
        <v>0</v>
      </c>
      <c r="L66" s="29">
        <f>IF(I66="","",SUMIFS(Bookings!$AK$5:$AK$404,Bookings!$H$5:$H$404,I66,Bookings!$I$5:$I$404,"&gt;="&amp;RepFrom,Bookings!$I$5:$I$404,"&lt;="&amp;RepTo,Bookings!$AM$5:$AM$404,"&lt;&gt;Cancelled"))</f>
        <v>0</v>
      </c>
      <c r="M66" s="31">
        <f>IF(I66="","",COUNTIFS(Bookings!$H$5:$H$404,I66,Bookings!$I$5:$I$404,"&gt;="&amp;RepFrom,Bookings!$I$5:$I$404,"&lt;="&amp;RepTo,Bookings!$AM$5:$AM$404,"&lt;&gt;Cancelled"))</f>
        <v>0</v>
      </c>
      <c r="N66" s="29">
        <f>IF(I66="","",M66*IF(Services!$L$66="",0,Services!$L$66))</f>
        <v>0</v>
      </c>
      <c r="O66" s="29">
        <f>IF(I66="","",L66-N66)</f>
        <v>0</v>
      </c>
      <c r="P66" s="28">
        <f>IF(Lists!$AG66="","",Lists!$AG66)</f>
        <v>0</v>
      </c>
      <c r="Q66" s="29">
        <f>IF(P66="","",SUMIFS(Expenses!$F$5:$F$304,Expenses!$C$5:$C$304,P66,Expenses!$B$5:$B$304,"&gt;="&amp;PeriodStart,Expenses!$B$5:$B$304,"&lt;="&amp;PeriodEnd,Expenses!$J$5:$J$304,"&lt;&gt;Personal"))</f>
        <v>0</v>
      </c>
      <c r="R66" s="29">
        <f>IF(P66="","",SUMIFS(Expenses!$F$5:$F$304,Expenses!$C$5:$C$304,P66,Expenses!$B$5:$B$304,"&gt;="&amp;RepFrom,Expenses!$B$5:$B$304,"&lt;="&amp;RepTo,Expenses!$J$5:$J$304,"&lt;&gt;Personal"))</f>
        <v>0</v>
      </c>
      <c r="S66" s="21">
        <f>IF(ROW()-4&gt;12,"",DATE(Dash_Year,ROW()-4,1))</f>
        <v>0</v>
      </c>
      <c r="T66" s="21">
        <f>IF(S66="","",EOMONTH(S66,0))</f>
        <v>0</v>
      </c>
      <c r="U66" s="28">
        <f>IF(S66="","",TEXT(S66,"mmm"))</f>
        <v>0</v>
      </c>
      <c r="V66" s="29">
        <f>IF(S66="","",SUMIFS(Payments!$L$5:$L$304,Payments!$B$5:$B$304,"&gt;="&amp;S66,Payments!$B$5:$B$304,"&lt;="&amp;T66))</f>
        <v>0</v>
      </c>
      <c r="W66" s="29">
        <f>IF(S66="","",SUMIFS(Invoices!$O$5:$O$304,Invoices!$B$5:$B$304,"&gt;="&amp;S66,Invoices!$B$5:$B$304,"&lt;="&amp;T66,Invoices!$T$5:$T$304,"&lt;&gt;Cancelled"))</f>
        <v>0</v>
      </c>
      <c r="X66" s="29">
        <f>IF(S66="","",SUMIFS(Expenses!$F$5:$F$304,Expenses!$B$5:$B$304,"&gt;="&amp;S66,Expenses!$B$5:$B$304,"&lt;="&amp;T66,Expenses!$J$5:$J$304,"&lt;&gt;Personal"))</f>
        <v>0</v>
      </c>
      <c r="Y66" s="29">
        <f>IF(S66="","",V66-X66)</f>
        <v>0</v>
      </c>
      <c r="Z66" s="31">
        <f>IF(S66="","",COUNTIFS(Bookings!$I$5:$I$404,"&gt;="&amp;S66,Bookings!$I$5:$I$404,"&lt;="&amp;T66,Bookings!$AM$5:$AM$404,"&lt;&gt;Cancelled"))</f>
        <v>0</v>
      </c>
      <c r="AA66" s="31">
        <f>IF(S66="","",COUNTIFS(Bookings!$I$5:$I$404,"&gt;="&amp;S66,Bookings!$I$5:$I$404,"&lt;="&amp;T66,Bookings!$AM$5:$AM$404,"Completed"))</f>
        <v>0</v>
      </c>
      <c r="AB66" s="31">
        <f>IF(S66="","",COUNTIFS(Bookings!$I$5:$I$404,"&gt;="&amp;S66,Bookings!$I$5:$I$404,"&lt;="&amp;T66,Bookings!$AM$5:$AM$404,"Cancelled"))</f>
        <v>0</v>
      </c>
      <c r="AC66" s="31">
        <f>IF(S66="","",COUNTIFS('Visit Log'!$C$5:$C$404,"&gt;="&amp;S66,'Visit Log'!$C$5:$C$404,"&lt;="&amp;T66,'Visit Log'!$AE$5:$AE$404,"Completed"))</f>
        <v>0</v>
      </c>
      <c r="AD66" s="31">
        <f>IF(S66="","",COUNTIFS(Clients!$L$5:$L$254,"&gt;="&amp;S66,Clients!$L$5:$L$254,"&lt;="&amp;T66))</f>
        <v>0</v>
      </c>
      <c r="AE66" s="32">
        <f>IF(S66="","",SUMIFS(Mileage!$M$5:$M$304,Mileage!$B$5:$B$304,"&gt;="&amp;S66,Mileage!$B$5:$B$304,"&lt;="&amp;T66,Mileage!$N$5:$N$304,"Business"))</f>
        <v>0</v>
      </c>
      <c r="AF66" s="29">
        <f>IF(S66="","",SUMIFS(Payments!$L$5:$L$304,Payments!$B$5:$B$304,"&gt;="&amp;DATE(Dash_Year-1,ROW()-4,1),Payments!$B$5:$B$304,"&lt;="&amp;EOMONTH(DATE(Dash_Year-1,ROW()-4,1),0)))</f>
        <v>0</v>
      </c>
      <c r="AG66" s="28">
        <f>IF(Staff!$B$66="","",Staff!$B$66)</f>
        <v>0</v>
      </c>
      <c r="AH66" s="31">
        <f>IF(AG66="","",COUNTIFS('Visit Log'!$G$5:$G$404,AG66,'Visit Log'!$C$5:$C$404,"&gt;="&amp;RepFrom,'Visit Log'!$C$5:$C$404,"&lt;="&amp;RepTo,'Visit Log'!$AE$5:$AE$404,"Completed"))</f>
        <v>0</v>
      </c>
      <c r="AI66" s="51">
        <f>IF(AG66="","",ROUND(SUMIFS('Visit Log'!$K$5:$K$404,'Visit Log'!$G$5:$G$404,AG66,'Visit Log'!$C$5:$C$404,"&gt;="&amp;RepFrom,'Visit Log'!$C$5:$C$404,"&lt;="&amp;RepTo,'Visit Log'!$AE$5:$AE$404,"Completed")/60,2))</f>
        <v>0</v>
      </c>
      <c r="AJ66" s="29">
        <f>IF(AG66="","",SUMIFS(Bookings!$AK$5:$AK$404,Bookings!$AL$5:$AL$404,AG66,Bookings!$I$5:$I$404,"&gt;="&amp;RepFrom,Bookings!$I$5:$I$404,"&lt;="&amp;RepTo,Bookings!$AM$5:$AM$404,"&lt;&gt;Cancelled"))</f>
        <v>0</v>
      </c>
      <c r="AK66" s="32">
        <f>IF(AG66="","",SUMIFS(Mileage!$M$5:$M$304,Mileage!$C$5:$C$304,AG66,Mileage!$B$5:$B$304,"&gt;="&amp;RepFrom,Mileage!$B$5:$B$304,"&lt;="&amp;RepTo))</f>
        <v>0</v>
      </c>
      <c r="AL66" s="28">
        <f>IF(Lists!$Q66="","",Lists!$Q66)</f>
        <v>0</v>
      </c>
      <c r="AM66" s="31">
        <f>IF(AL66="","",COUNTIFS(Bookings!$AV$5:$AV$404,AL66,Bookings!$I$5:$I$404,"&gt;="&amp;RepFrom,Bookings!$I$5:$I$404,"&lt;="&amp;RepTo))</f>
        <v>0</v>
      </c>
      <c r="AN66" s="28">
        <f>IF(Lists!$AF66="","",Lists!$AF66)</f>
        <v>0</v>
      </c>
      <c r="AO66" s="29">
        <f>IF(AN66="","",SUMIFS(Payments!$L$5:$L$304,Payments!$F$5:$F$304,AN66,Payments!$B$5:$B$304,"&gt;="&amp;RepFrom,Payments!$B$5:$B$304,"&lt;="&amp;RepTo))</f>
        <v>0</v>
      </c>
      <c r="AP66" s="28">
        <f>IF(Lists!$E66="","",Lists!$E66)</f>
        <v>0</v>
      </c>
      <c r="AQ66" s="31">
        <f>IF(AP66="","",COUNTIFS(Clients!$K$5:$K$254,AP66))</f>
        <v>0</v>
      </c>
      <c r="AR66" s="29">
        <f>IF(AP66="","",SUMIFS(Clients!$AE$5:$AE$254,Clients!$K$5:$K$254,AP66))</f>
        <v>0</v>
      </c>
    </row>
    <row r="67" spans="1:44">
      <c r="A67" s="28">
        <f>IF(Clients!$B$67="","",Clients!$B$67)</f>
        <v>0</v>
      </c>
      <c r="B67" s="29">
        <f>IF(A67="","",SUMIFS(Payments!$L$5:$L$304,Payments!$C$5:$C$304,A67,Payments!$B$5:$B$304,"&gt;="&amp;PeriodStart,Payments!$B$5:$B$304,"&lt;="&amp;PeriodEnd))</f>
        <v>0</v>
      </c>
      <c r="C67" s="51">
        <f>IF(A67="","",IF(B67&lt;=0,"",B67+ROW()/1000000))</f>
        <v>0</v>
      </c>
      <c r="D67" s="29">
        <f>IF(A67="","",SUMIFS(Payments!$L$5:$L$304,Payments!$C$5:$C$304,A67,Payments!$B$5:$B$304,"&gt;="&amp;RepFrom,Payments!$B$5:$B$304,"&lt;="&amp;RepTo))</f>
        <v>0</v>
      </c>
      <c r="E67" s="51">
        <f>IF(A67="","",IF(D67&lt;=0,"",D67+ROW()/1000000))</f>
        <v>0</v>
      </c>
      <c r="F67" s="29">
        <f>IF(A67="","",SUMIFS(Invoices!$S$5:$S$304,Invoices!$D$5:$D$304,A67,Invoices!$T$5:$T$304,"&lt;&gt;Cancelled"))</f>
        <v>0</v>
      </c>
      <c r="G67" s="51">
        <f>IF(A67="","",IF(F67&lt;=0.004,"",F67+ROW()/1000000))</f>
        <v>0</v>
      </c>
      <c r="H67" s="31">
        <f>IF(A67="","",COUNTIFS(Bookings!$C$5:$C$404,A67,Bookings!$I$5:$I$404,"&gt;="&amp;RepFrom,Bookings!$I$5:$I$404,"&lt;="&amp;RepTo,Bookings!$AM$5:$AM$404,"&lt;&gt;Cancelled"))</f>
        <v>0</v>
      </c>
      <c r="I67" s="28">
        <f>IF(Services!$B$67="","",Services!$B$67)</f>
        <v>0</v>
      </c>
      <c r="J67" s="29">
        <f>IF(I67="","",SUMIFS(Bookings!$AK$5:$AK$404,Bookings!$H$5:$H$404,I67,Bookings!$I$5:$I$404,"&gt;="&amp;PeriodStart,Bookings!$I$5:$I$404,"&lt;="&amp;PeriodEnd,Bookings!$AM$5:$AM$404,"&lt;&gt;Cancelled"))</f>
        <v>0</v>
      </c>
      <c r="K67" s="31">
        <f>IF(I67="","",COUNTIFS(Bookings!$H$5:$H$404,I67,Bookings!$I$5:$I$404,"&gt;="&amp;PeriodStart,Bookings!$I$5:$I$404,"&lt;="&amp;PeriodEnd,Bookings!$AM$5:$AM$404,"&lt;&gt;Cancelled"))</f>
        <v>0</v>
      </c>
      <c r="L67" s="29">
        <f>IF(I67="","",SUMIFS(Bookings!$AK$5:$AK$404,Bookings!$H$5:$H$404,I67,Bookings!$I$5:$I$404,"&gt;="&amp;RepFrom,Bookings!$I$5:$I$404,"&lt;="&amp;RepTo,Bookings!$AM$5:$AM$404,"&lt;&gt;Cancelled"))</f>
        <v>0</v>
      </c>
      <c r="M67" s="31">
        <f>IF(I67="","",COUNTIFS(Bookings!$H$5:$H$404,I67,Bookings!$I$5:$I$404,"&gt;="&amp;RepFrom,Bookings!$I$5:$I$404,"&lt;="&amp;RepTo,Bookings!$AM$5:$AM$404,"&lt;&gt;Cancelled"))</f>
        <v>0</v>
      </c>
      <c r="N67" s="29">
        <f>IF(I67="","",M67*IF(Services!$L$67="",0,Services!$L$67))</f>
        <v>0</v>
      </c>
      <c r="O67" s="29">
        <f>IF(I67="","",L67-N67)</f>
        <v>0</v>
      </c>
      <c r="P67" s="28">
        <f>IF(Lists!$AG67="","",Lists!$AG67)</f>
        <v>0</v>
      </c>
      <c r="Q67" s="29">
        <f>IF(P67="","",SUMIFS(Expenses!$F$5:$F$304,Expenses!$C$5:$C$304,P67,Expenses!$B$5:$B$304,"&gt;="&amp;PeriodStart,Expenses!$B$5:$B$304,"&lt;="&amp;PeriodEnd,Expenses!$J$5:$J$304,"&lt;&gt;Personal"))</f>
        <v>0</v>
      </c>
      <c r="R67" s="29">
        <f>IF(P67="","",SUMIFS(Expenses!$F$5:$F$304,Expenses!$C$5:$C$304,P67,Expenses!$B$5:$B$304,"&gt;="&amp;RepFrom,Expenses!$B$5:$B$304,"&lt;="&amp;RepTo,Expenses!$J$5:$J$304,"&lt;&gt;Personal"))</f>
        <v>0</v>
      </c>
      <c r="S67" s="21">
        <f>IF(ROW()-4&gt;12,"",DATE(Dash_Year,ROW()-4,1))</f>
        <v>0</v>
      </c>
      <c r="T67" s="21">
        <f>IF(S67="","",EOMONTH(S67,0))</f>
        <v>0</v>
      </c>
      <c r="U67" s="28">
        <f>IF(S67="","",TEXT(S67,"mmm"))</f>
        <v>0</v>
      </c>
      <c r="V67" s="29">
        <f>IF(S67="","",SUMIFS(Payments!$L$5:$L$304,Payments!$B$5:$B$304,"&gt;="&amp;S67,Payments!$B$5:$B$304,"&lt;="&amp;T67))</f>
        <v>0</v>
      </c>
      <c r="W67" s="29">
        <f>IF(S67="","",SUMIFS(Invoices!$O$5:$O$304,Invoices!$B$5:$B$304,"&gt;="&amp;S67,Invoices!$B$5:$B$304,"&lt;="&amp;T67,Invoices!$T$5:$T$304,"&lt;&gt;Cancelled"))</f>
        <v>0</v>
      </c>
      <c r="X67" s="29">
        <f>IF(S67="","",SUMIFS(Expenses!$F$5:$F$304,Expenses!$B$5:$B$304,"&gt;="&amp;S67,Expenses!$B$5:$B$304,"&lt;="&amp;T67,Expenses!$J$5:$J$304,"&lt;&gt;Personal"))</f>
        <v>0</v>
      </c>
      <c r="Y67" s="29">
        <f>IF(S67="","",V67-X67)</f>
        <v>0</v>
      </c>
      <c r="Z67" s="31">
        <f>IF(S67="","",COUNTIFS(Bookings!$I$5:$I$404,"&gt;="&amp;S67,Bookings!$I$5:$I$404,"&lt;="&amp;T67,Bookings!$AM$5:$AM$404,"&lt;&gt;Cancelled"))</f>
        <v>0</v>
      </c>
      <c r="AA67" s="31">
        <f>IF(S67="","",COUNTIFS(Bookings!$I$5:$I$404,"&gt;="&amp;S67,Bookings!$I$5:$I$404,"&lt;="&amp;T67,Bookings!$AM$5:$AM$404,"Completed"))</f>
        <v>0</v>
      </c>
      <c r="AB67" s="31">
        <f>IF(S67="","",COUNTIFS(Bookings!$I$5:$I$404,"&gt;="&amp;S67,Bookings!$I$5:$I$404,"&lt;="&amp;T67,Bookings!$AM$5:$AM$404,"Cancelled"))</f>
        <v>0</v>
      </c>
      <c r="AC67" s="31">
        <f>IF(S67="","",COUNTIFS('Visit Log'!$C$5:$C$404,"&gt;="&amp;S67,'Visit Log'!$C$5:$C$404,"&lt;="&amp;T67,'Visit Log'!$AE$5:$AE$404,"Completed"))</f>
        <v>0</v>
      </c>
      <c r="AD67" s="31">
        <f>IF(S67="","",COUNTIFS(Clients!$L$5:$L$254,"&gt;="&amp;S67,Clients!$L$5:$L$254,"&lt;="&amp;T67))</f>
        <v>0</v>
      </c>
      <c r="AE67" s="32">
        <f>IF(S67="","",SUMIFS(Mileage!$M$5:$M$304,Mileage!$B$5:$B$304,"&gt;="&amp;S67,Mileage!$B$5:$B$304,"&lt;="&amp;T67,Mileage!$N$5:$N$304,"Business"))</f>
        <v>0</v>
      </c>
      <c r="AF67" s="29">
        <f>IF(S67="","",SUMIFS(Payments!$L$5:$L$304,Payments!$B$5:$B$304,"&gt;="&amp;DATE(Dash_Year-1,ROW()-4,1),Payments!$B$5:$B$304,"&lt;="&amp;EOMONTH(DATE(Dash_Year-1,ROW()-4,1),0)))</f>
        <v>0</v>
      </c>
      <c r="AG67" s="28">
        <f>IF(Staff!$B$67="","",Staff!$B$67)</f>
        <v>0</v>
      </c>
      <c r="AH67" s="31">
        <f>IF(AG67="","",COUNTIFS('Visit Log'!$G$5:$G$404,AG67,'Visit Log'!$C$5:$C$404,"&gt;="&amp;RepFrom,'Visit Log'!$C$5:$C$404,"&lt;="&amp;RepTo,'Visit Log'!$AE$5:$AE$404,"Completed"))</f>
        <v>0</v>
      </c>
      <c r="AI67" s="51">
        <f>IF(AG67="","",ROUND(SUMIFS('Visit Log'!$K$5:$K$404,'Visit Log'!$G$5:$G$404,AG67,'Visit Log'!$C$5:$C$404,"&gt;="&amp;RepFrom,'Visit Log'!$C$5:$C$404,"&lt;="&amp;RepTo,'Visit Log'!$AE$5:$AE$404,"Completed")/60,2))</f>
        <v>0</v>
      </c>
      <c r="AJ67" s="29">
        <f>IF(AG67="","",SUMIFS(Bookings!$AK$5:$AK$404,Bookings!$AL$5:$AL$404,AG67,Bookings!$I$5:$I$404,"&gt;="&amp;RepFrom,Bookings!$I$5:$I$404,"&lt;="&amp;RepTo,Bookings!$AM$5:$AM$404,"&lt;&gt;Cancelled"))</f>
        <v>0</v>
      </c>
      <c r="AK67" s="32">
        <f>IF(AG67="","",SUMIFS(Mileage!$M$5:$M$304,Mileage!$C$5:$C$304,AG67,Mileage!$B$5:$B$304,"&gt;="&amp;RepFrom,Mileage!$B$5:$B$304,"&lt;="&amp;RepTo))</f>
        <v>0</v>
      </c>
      <c r="AL67" s="28">
        <f>IF(Lists!$Q67="","",Lists!$Q67)</f>
        <v>0</v>
      </c>
      <c r="AM67" s="31">
        <f>IF(AL67="","",COUNTIFS(Bookings!$AV$5:$AV$404,AL67,Bookings!$I$5:$I$404,"&gt;="&amp;RepFrom,Bookings!$I$5:$I$404,"&lt;="&amp;RepTo))</f>
        <v>0</v>
      </c>
      <c r="AN67" s="28">
        <f>IF(Lists!$AF67="","",Lists!$AF67)</f>
        <v>0</v>
      </c>
      <c r="AO67" s="29">
        <f>IF(AN67="","",SUMIFS(Payments!$L$5:$L$304,Payments!$F$5:$F$304,AN67,Payments!$B$5:$B$304,"&gt;="&amp;RepFrom,Payments!$B$5:$B$304,"&lt;="&amp;RepTo))</f>
        <v>0</v>
      </c>
      <c r="AP67" s="28">
        <f>IF(Lists!$E67="","",Lists!$E67)</f>
        <v>0</v>
      </c>
      <c r="AQ67" s="31">
        <f>IF(AP67="","",COUNTIFS(Clients!$K$5:$K$254,AP67))</f>
        <v>0</v>
      </c>
      <c r="AR67" s="29">
        <f>IF(AP67="","",SUMIFS(Clients!$AE$5:$AE$254,Clients!$K$5:$K$254,AP67))</f>
        <v>0</v>
      </c>
    </row>
    <row r="68" spans="1:44">
      <c r="A68" s="28">
        <f>IF(Clients!$B$68="","",Clients!$B$68)</f>
        <v>0</v>
      </c>
      <c r="B68" s="29">
        <f>IF(A68="","",SUMIFS(Payments!$L$5:$L$304,Payments!$C$5:$C$304,A68,Payments!$B$5:$B$304,"&gt;="&amp;PeriodStart,Payments!$B$5:$B$304,"&lt;="&amp;PeriodEnd))</f>
        <v>0</v>
      </c>
      <c r="C68" s="51">
        <f>IF(A68="","",IF(B68&lt;=0,"",B68+ROW()/1000000))</f>
        <v>0</v>
      </c>
      <c r="D68" s="29">
        <f>IF(A68="","",SUMIFS(Payments!$L$5:$L$304,Payments!$C$5:$C$304,A68,Payments!$B$5:$B$304,"&gt;="&amp;RepFrom,Payments!$B$5:$B$304,"&lt;="&amp;RepTo))</f>
        <v>0</v>
      </c>
      <c r="E68" s="51">
        <f>IF(A68="","",IF(D68&lt;=0,"",D68+ROW()/1000000))</f>
        <v>0</v>
      </c>
      <c r="F68" s="29">
        <f>IF(A68="","",SUMIFS(Invoices!$S$5:$S$304,Invoices!$D$5:$D$304,A68,Invoices!$T$5:$T$304,"&lt;&gt;Cancelled"))</f>
        <v>0</v>
      </c>
      <c r="G68" s="51">
        <f>IF(A68="","",IF(F68&lt;=0.004,"",F68+ROW()/1000000))</f>
        <v>0</v>
      </c>
      <c r="H68" s="31">
        <f>IF(A68="","",COUNTIFS(Bookings!$C$5:$C$404,A68,Bookings!$I$5:$I$404,"&gt;="&amp;RepFrom,Bookings!$I$5:$I$404,"&lt;="&amp;RepTo,Bookings!$AM$5:$AM$404,"&lt;&gt;Cancelled"))</f>
        <v>0</v>
      </c>
      <c r="I68" s="28">
        <f>IF(Services!$B$68="","",Services!$B$68)</f>
        <v>0</v>
      </c>
      <c r="J68" s="29">
        <f>IF(I68="","",SUMIFS(Bookings!$AK$5:$AK$404,Bookings!$H$5:$H$404,I68,Bookings!$I$5:$I$404,"&gt;="&amp;PeriodStart,Bookings!$I$5:$I$404,"&lt;="&amp;PeriodEnd,Bookings!$AM$5:$AM$404,"&lt;&gt;Cancelled"))</f>
        <v>0</v>
      </c>
      <c r="K68" s="31">
        <f>IF(I68="","",COUNTIFS(Bookings!$H$5:$H$404,I68,Bookings!$I$5:$I$404,"&gt;="&amp;PeriodStart,Bookings!$I$5:$I$404,"&lt;="&amp;PeriodEnd,Bookings!$AM$5:$AM$404,"&lt;&gt;Cancelled"))</f>
        <v>0</v>
      </c>
      <c r="L68" s="29">
        <f>IF(I68="","",SUMIFS(Bookings!$AK$5:$AK$404,Bookings!$H$5:$H$404,I68,Bookings!$I$5:$I$404,"&gt;="&amp;RepFrom,Bookings!$I$5:$I$404,"&lt;="&amp;RepTo,Bookings!$AM$5:$AM$404,"&lt;&gt;Cancelled"))</f>
        <v>0</v>
      </c>
      <c r="M68" s="31">
        <f>IF(I68="","",COUNTIFS(Bookings!$H$5:$H$404,I68,Bookings!$I$5:$I$404,"&gt;="&amp;RepFrom,Bookings!$I$5:$I$404,"&lt;="&amp;RepTo,Bookings!$AM$5:$AM$404,"&lt;&gt;Cancelled"))</f>
        <v>0</v>
      </c>
      <c r="N68" s="29">
        <f>IF(I68="","",M68*IF(Services!$L$68="",0,Services!$L$68))</f>
        <v>0</v>
      </c>
      <c r="O68" s="29">
        <f>IF(I68="","",L68-N68)</f>
        <v>0</v>
      </c>
      <c r="P68" s="28">
        <f>IF(Lists!$AG68="","",Lists!$AG68)</f>
        <v>0</v>
      </c>
      <c r="Q68" s="29">
        <f>IF(P68="","",SUMIFS(Expenses!$F$5:$F$304,Expenses!$C$5:$C$304,P68,Expenses!$B$5:$B$304,"&gt;="&amp;PeriodStart,Expenses!$B$5:$B$304,"&lt;="&amp;PeriodEnd,Expenses!$J$5:$J$304,"&lt;&gt;Personal"))</f>
        <v>0</v>
      </c>
      <c r="R68" s="29">
        <f>IF(P68="","",SUMIFS(Expenses!$F$5:$F$304,Expenses!$C$5:$C$304,P68,Expenses!$B$5:$B$304,"&gt;="&amp;RepFrom,Expenses!$B$5:$B$304,"&lt;="&amp;RepTo,Expenses!$J$5:$J$304,"&lt;&gt;Personal"))</f>
        <v>0</v>
      </c>
      <c r="S68" s="21">
        <f>IF(ROW()-4&gt;12,"",DATE(Dash_Year,ROW()-4,1))</f>
        <v>0</v>
      </c>
      <c r="T68" s="21">
        <f>IF(S68="","",EOMONTH(S68,0))</f>
        <v>0</v>
      </c>
      <c r="U68" s="28">
        <f>IF(S68="","",TEXT(S68,"mmm"))</f>
        <v>0</v>
      </c>
      <c r="V68" s="29">
        <f>IF(S68="","",SUMIFS(Payments!$L$5:$L$304,Payments!$B$5:$B$304,"&gt;="&amp;S68,Payments!$B$5:$B$304,"&lt;="&amp;T68))</f>
        <v>0</v>
      </c>
      <c r="W68" s="29">
        <f>IF(S68="","",SUMIFS(Invoices!$O$5:$O$304,Invoices!$B$5:$B$304,"&gt;="&amp;S68,Invoices!$B$5:$B$304,"&lt;="&amp;T68,Invoices!$T$5:$T$304,"&lt;&gt;Cancelled"))</f>
        <v>0</v>
      </c>
      <c r="X68" s="29">
        <f>IF(S68="","",SUMIFS(Expenses!$F$5:$F$304,Expenses!$B$5:$B$304,"&gt;="&amp;S68,Expenses!$B$5:$B$304,"&lt;="&amp;T68,Expenses!$J$5:$J$304,"&lt;&gt;Personal"))</f>
        <v>0</v>
      </c>
      <c r="Y68" s="29">
        <f>IF(S68="","",V68-X68)</f>
        <v>0</v>
      </c>
      <c r="Z68" s="31">
        <f>IF(S68="","",COUNTIFS(Bookings!$I$5:$I$404,"&gt;="&amp;S68,Bookings!$I$5:$I$404,"&lt;="&amp;T68,Bookings!$AM$5:$AM$404,"&lt;&gt;Cancelled"))</f>
        <v>0</v>
      </c>
      <c r="AA68" s="31">
        <f>IF(S68="","",COUNTIFS(Bookings!$I$5:$I$404,"&gt;="&amp;S68,Bookings!$I$5:$I$404,"&lt;="&amp;T68,Bookings!$AM$5:$AM$404,"Completed"))</f>
        <v>0</v>
      </c>
      <c r="AB68" s="31">
        <f>IF(S68="","",COUNTIFS(Bookings!$I$5:$I$404,"&gt;="&amp;S68,Bookings!$I$5:$I$404,"&lt;="&amp;T68,Bookings!$AM$5:$AM$404,"Cancelled"))</f>
        <v>0</v>
      </c>
      <c r="AC68" s="31">
        <f>IF(S68="","",COUNTIFS('Visit Log'!$C$5:$C$404,"&gt;="&amp;S68,'Visit Log'!$C$5:$C$404,"&lt;="&amp;T68,'Visit Log'!$AE$5:$AE$404,"Completed"))</f>
        <v>0</v>
      </c>
      <c r="AD68" s="31">
        <f>IF(S68="","",COUNTIFS(Clients!$L$5:$L$254,"&gt;="&amp;S68,Clients!$L$5:$L$254,"&lt;="&amp;T68))</f>
        <v>0</v>
      </c>
      <c r="AE68" s="32">
        <f>IF(S68="","",SUMIFS(Mileage!$M$5:$M$304,Mileage!$B$5:$B$304,"&gt;="&amp;S68,Mileage!$B$5:$B$304,"&lt;="&amp;T68,Mileage!$N$5:$N$304,"Business"))</f>
        <v>0</v>
      </c>
      <c r="AF68" s="29">
        <f>IF(S68="","",SUMIFS(Payments!$L$5:$L$304,Payments!$B$5:$B$304,"&gt;="&amp;DATE(Dash_Year-1,ROW()-4,1),Payments!$B$5:$B$304,"&lt;="&amp;EOMONTH(DATE(Dash_Year-1,ROW()-4,1),0)))</f>
        <v>0</v>
      </c>
      <c r="AG68" s="28">
        <f>IF(Staff!$B$68="","",Staff!$B$68)</f>
        <v>0</v>
      </c>
      <c r="AH68" s="31">
        <f>IF(AG68="","",COUNTIFS('Visit Log'!$G$5:$G$404,AG68,'Visit Log'!$C$5:$C$404,"&gt;="&amp;RepFrom,'Visit Log'!$C$5:$C$404,"&lt;="&amp;RepTo,'Visit Log'!$AE$5:$AE$404,"Completed"))</f>
        <v>0</v>
      </c>
      <c r="AI68" s="51">
        <f>IF(AG68="","",ROUND(SUMIFS('Visit Log'!$K$5:$K$404,'Visit Log'!$G$5:$G$404,AG68,'Visit Log'!$C$5:$C$404,"&gt;="&amp;RepFrom,'Visit Log'!$C$5:$C$404,"&lt;="&amp;RepTo,'Visit Log'!$AE$5:$AE$404,"Completed")/60,2))</f>
        <v>0</v>
      </c>
      <c r="AJ68" s="29">
        <f>IF(AG68="","",SUMIFS(Bookings!$AK$5:$AK$404,Bookings!$AL$5:$AL$404,AG68,Bookings!$I$5:$I$404,"&gt;="&amp;RepFrom,Bookings!$I$5:$I$404,"&lt;="&amp;RepTo,Bookings!$AM$5:$AM$404,"&lt;&gt;Cancelled"))</f>
        <v>0</v>
      </c>
      <c r="AK68" s="32">
        <f>IF(AG68="","",SUMIFS(Mileage!$M$5:$M$304,Mileage!$C$5:$C$304,AG68,Mileage!$B$5:$B$304,"&gt;="&amp;RepFrom,Mileage!$B$5:$B$304,"&lt;="&amp;RepTo))</f>
        <v>0</v>
      </c>
      <c r="AL68" s="28">
        <f>IF(Lists!$Q68="","",Lists!$Q68)</f>
        <v>0</v>
      </c>
      <c r="AM68" s="31">
        <f>IF(AL68="","",COUNTIFS(Bookings!$AV$5:$AV$404,AL68,Bookings!$I$5:$I$404,"&gt;="&amp;RepFrom,Bookings!$I$5:$I$404,"&lt;="&amp;RepTo))</f>
        <v>0</v>
      </c>
      <c r="AN68" s="28">
        <f>IF(Lists!$AF68="","",Lists!$AF68)</f>
        <v>0</v>
      </c>
      <c r="AO68" s="29">
        <f>IF(AN68="","",SUMIFS(Payments!$L$5:$L$304,Payments!$F$5:$F$304,AN68,Payments!$B$5:$B$304,"&gt;="&amp;RepFrom,Payments!$B$5:$B$304,"&lt;="&amp;RepTo))</f>
        <v>0</v>
      </c>
      <c r="AP68" s="28">
        <f>IF(Lists!$E68="","",Lists!$E68)</f>
        <v>0</v>
      </c>
      <c r="AQ68" s="31">
        <f>IF(AP68="","",COUNTIFS(Clients!$K$5:$K$254,AP68))</f>
        <v>0</v>
      </c>
      <c r="AR68" s="29">
        <f>IF(AP68="","",SUMIFS(Clients!$AE$5:$AE$254,Clients!$K$5:$K$254,AP68))</f>
        <v>0</v>
      </c>
    </row>
    <row r="69" spans="1:44">
      <c r="A69" s="28">
        <f>IF(Clients!$B$69="","",Clients!$B$69)</f>
        <v>0</v>
      </c>
      <c r="B69" s="29">
        <f>IF(A69="","",SUMIFS(Payments!$L$5:$L$304,Payments!$C$5:$C$304,A69,Payments!$B$5:$B$304,"&gt;="&amp;PeriodStart,Payments!$B$5:$B$304,"&lt;="&amp;PeriodEnd))</f>
        <v>0</v>
      </c>
      <c r="C69" s="51">
        <f>IF(A69="","",IF(B69&lt;=0,"",B69+ROW()/1000000))</f>
        <v>0</v>
      </c>
      <c r="D69" s="29">
        <f>IF(A69="","",SUMIFS(Payments!$L$5:$L$304,Payments!$C$5:$C$304,A69,Payments!$B$5:$B$304,"&gt;="&amp;RepFrom,Payments!$B$5:$B$304,"&lt;="&amp;RepTo))</f>
        <v>0</v>
      </c>
      <c r="E69" s="51">
        <f>IF(A69="","",IF(D69&lt;=0,"",D69+ROW()/1000000))</f>
        <v>0</v>
      </c>
      <c r="F69" s="29">
        <f>IF(A69="","",SUMIFS(Invoices!$S$5:$S$304,Invoices!$D$5:$D$304,A69,Invoices!$T$5:$T$304,"&lt;&gt;Cancelled"))</f>
        <v>0</v>
      </c>
      <c r="G69" s="51">
        <f>IF(A69="","",IF(F69&lt;=0.004,"",F69+ROW()/1000000))</f>
        <v>0</v>
      </c>
      <c r="H69" s="31">
        <f>IF(A69="","",COUNTIFS(Bookings!$C$5:$C$404,A69,Bookings!$I$5:$I$404,"&gt;="&amp;RepFrom,Bookings!$I$5:$I$404,"&lt;="&amp;RepTo,Bookings!$AM$5:$AM$404,"&lt;&gt;Cancelled"))</f>
        <v>0</v>
      </c>
      <c r="I69" s="28">
        <f>IF(Services!$B$69="","",Services!$B$69)</f>
        <v>0</v>
      </c>
      <c r="J69" s="29">
        <f>IF(I69="","",SUMIFS(Bookings!$AK$5:$AK$404,Bookings!$H$5:$H$404,I69,Bookings!$I$5:$I$404,"&gt;="&amp;PeriodStart,Bookings!$I$5:$I$404,"&lt;="&amp;PeriodEnd,Bookings!$AM$5:$AM$404,"&lt;&gt;Cancelled"))</f>
        <v>0</v>
      </c>
      <c r="K69" s="31">
        <f>IF(I69="","",COUNTIFS(Bookings!$H$5:$H$404,I69,Bookings!$I$5:$I$404,"&gt;="&amp;PeriodStart,Bookings!$I$5:$I$404,"&lt;="&amp;PeriodEnd,Bookings!$AM$5:$AM$404,"&lt;&gt;Cancelled"))</f>
        <v>0</v>
      </c>
      <c r="L69" s="29">
        <f>IF(I69="","",SUMIFS(Bookings!$AK$5:$AK$404,Bookings!$H$5:$H$404,I69,Bookings!$I$5:$I$404,"&gt;="&amp;RepFrom,Bookings!$I$5:$I$404,"&lt;="&amp;RepTo,Bookings!$AM$5:$AM$404,"&lt;&gt;Cancelled"))</f>
        <v>0</v>
      </c>
      <c r="M69" s="31">
        <f>IF(I69="","",COUNTIFS(Bookings!$H$5:$H$404,I69,Bookings!$I$5:$I$404,"&gt;="&amp;RepFrom,Bookings!$I$5:$I$404,"&lt;="&amp;RepTo,Bookings!$AM$5:$AM$404,"&lt;&gt;Cancelled"))</f>
        <v>0</v>
      </c>
      <c r="N69" s="29">
        <f>IF(I69="","",M69*IF(Services!$L$69="",0,Services!$L$69))</f>
        <v>0</v>
      </c>
      <c r="O69" s="29">
        <f>IF(I69="","",L69-N69)</f>
        <v>0</v>
      </c>
      <c r="P69" s="28">
        <f>IF(Lists!$AG69="","",Lists!$AG69)</f>
        <v>0</v>
      </c>
      <c r="Q69" s="29">
        <f>IF(P69="","",SUMIFS(Expenses!$F$5:$F$304,Expenses!$C$5:$C$304,P69,Expenses!$B$5:$B$304,"&gt;="&amp;PeriodStart,Expenses!$B$5:$B$304,"&lt;="&amp;PeriodEnd,Expenses!$J$5:$J$304,"&lt;&gt;Personal"))</f>
        <v>0</v>
      </c>
      <c r="R69" s="29">
        <f>IF(P69="","",SUMIFS(Expenses!$F$5:$F$304,Expenses!$C$5:$C$304,P69,Expenses!$B$5:$B$304,"&gt;="&amp;RepFrom,Expenses!$B$5:$B$304,"&lt;="&amp;RepTo,Expenses!$J$5:$J$304,"&lt;&gt;Personal"))</f>
        <v>0</v>
      </c>
      <c r="S69" s="21">
        <f>IF(ROW()-4&gt;12,"",DATE(Dash_Year,ROW()-4,1))</f>
        <v>0</v>
      </c>
      <c r="T69" s="21">
        <f>IF(S69="","",EOMONTH(S69,0))</f>
        <v>0</v>
      </c>
      <c r="U69" s="28">
        <f>IF(S69="","",TEXT(S69,"mmm"))</f>
        <v>0</v>
      </c>
      <c r="V69" s="29">
        <f>IF(S69="","",SUMIFS(Payments!$L$5:$L$304,Payments!$B$5:$B$304,"&gt;="&amp;S69,Payments!$B$5:$B$304,"&lt;="&amp;T69))</f>
        <v>0</v>
      </c>
      <c r="W69" s="29">
        <f>IF(S69="","",SUMIFS(Invoices!$O$5:$O$304,Invoices!$B$5:$B$304,"&gt;="&amp;S69,Invoices!$B$5:$B$304,"&lt;="&amp;T69,Invoices!$T$5:$T$304,"&lt;&gt;Cancelled"))</f>
        <v>0</v>
      </c>
      <c r="X69" s="29">
        <f>IF(S69="","",SUMIFS(Expenses!$F$5:$F$304,Expenses!$B$5:$B$304,"&gt;="&amp;S69,Expenses!$B$5:$B$304,"&lt;="&amp;T69,Expenses!$J$5:$J$304,"&lt;&gt;Personal"))</f>
        <v>0</v>
      </c>
      <c r="Y69" s="29">
        <f>IF(S69="","",V69-X69)</f>
        <v>0</v>
      </c>
      <c r="Z69" s="31">
        <f>IF(S69="","",COUNTIFS(Bookings!$I$5:$I$404,"&gt;="&amp;S69,Bookings!$I$5:$I$404,"&lt;="&amp;T69,Bookings!$AM$5:$AM$404,"&lt;&gt;Cancelled"))</f>
        <v>0</v>
      </c>
      <c r="AA69" s="31">
        <f>IF(S69="","",COUNTIFS(Bookings!$I$5:$I$404,"&gt;="&amp;S69,Bookings!$I$5:$I$404,"&lt;="&amp;T69,Bookings!$AM$5:$AM$404,"Completed"))</f>
        <v>0</v>
      </c>
      <c r="AB69" s="31">
        <f>IF(S69="","",COUNTIFS(Bookings!$I$5:$I$404,"&gt;="&amp;S69,Bookings!$I$5:$I$404,"&lt;="&amp;T69,Bookings!$AM$5:$AM$404,"Cancelled"))</f>
        <v>0</v>
      </c>
      <c r="AC69" s="31">
        <f>IF(S69="","",COUNTIFS('Visit Log'!$C$5:$C$404,"&gt;="&amp;S69,'Visit Log'!$C$5:$C$404,"&lt;="&amp;T69,'Visit Log'!$AE$5:$AE$404,"Completed"))</f>
        <v>0</v>
      </c>
      <c r="AD69" s="31">
        <f>IF(S69="","",COUNTIFS(Clients!$L$5:$L$254,"&gt;="&amp;S69,Clients!$L$5:$L$254,"&lt;="&amp;T69))</f>
        <v>0</v>
      </c>
      <c r="AE69" s="32">
        <f>IF(S69="","",SUMIFS(Mileage!$M$5:$M$304,Mileage!$B$5:$B$304,"&gt;="&amp;S69,Mileage!$B$5:$B$304,"&lt;="&amp;T69,Mileage!$N$5:$N$304,"Business"))</f>
        <v>0</v>
      </c>
      <c r="AF69" s="29">
        <f>IF(S69="","",SUMIFS(Payments!$L$5:$L$304,Payments!$B$5:$B$304,"&gt;="&amp;DATE(Dash_Year-1,ROW()-4,1),Payments!$B$5:$B$304,"&lt;="&amp;EOMONTH(DATE(Dash_Year-1,ROW()-4,1),0)))</f>
        <v>0</v>
      </c>
      <c r="AG69" s="28">
        <f>IF(Staff!$B$69="","",Staff!$B$69)</f>
        <v>0</v>
      </c>
      <c r="AH69" s="31">
        <f>IF(AG69="","",COUNTIFS('Visit Log'!$G$5:$G$404,AG69,'Visit Log'!$C$5:$C$404,"&gt;="&amp;RepFrom,'Visit Log'!$C$5:$C$404,"&lt;="&amp;RepTo,'Visit Log'!$AE$5:$AE$404,"Completed"))</f>
        <v>0</v>
      </c>
      <c r="AI69" s="51">
        <f>IF(AG69="","",ROUND(SUMIFS('Visit Log'!$K$5:$K$404,'Visit Log'!$G$5:$G$404,AG69,'Visit Log'!$C$5:$C$404,"&gt;="&amp;RepFrom,'Visit Log'!$C$5:$C$404,"&lt;="&amp;RepTo,'Visit Log'!$AE$5:$AE$404,"Completed")/60,2))</f>
        <v>0</v>
      </c>
      <c r="AJ69" s="29">
        <f>IF(AG69="","",SUMIFS(Bookings!$AK$5:$AK$404,Bookings!$AL$5:$AL$404,AG69,Bookings!$I$5:$I$404,"&gt;="&amp;RepFrom,Bookings!$I$5:$I$404,"&lt;="&amp;RepTo,Bookings!$AM$5:$AM$404,"&lt;&gt;Cancelled"))</f>
        <v>0</v>
      </c>
      <c r="AK69" s="32">
        <f>IF(AG69="","",SUMIFS(Mileage!$M$5:$M$304,Mileage!$C$5:$C$304,AG69,Mileage!$B$5:$B$304,"&gt;="&amp;RepFrom,Mileage!$B$5:$B$304,"&lt;="&amp;RepTo))</f>
        <v>0</v>
      </c>
      <c r="AL69" s="28">
        <f>IF(Lists!$Q69="","",Lists!$Q69)</f>
        <v>0</v>
      </c>
      <c r="AM69" s="31">
        <f>IF(AL69="","",COUNTIFS(Bookings!$AV$5:$AV$404,AL69,Bookings!$I$5:$I$404,"&gt;="&amp;RepFrom,Bookings!$I$5:$I$404,"&lt;="&amp;RepTo))</f>
        <v>0</v>
      </c>
      <c r="AN69" s="28">
        <f>IF(Lists!$AF69="","",Lists!$AF69)</f>
        <v>0</v>
      </c>
      <c r="AO69" s="29">
        <f>IF(AN69="","",SUMIFS(Payments!$L$5:$L$304,Payments!$F$5:$F$304,AN69,Payments!$B$5:$B$304,"&gt;="&amp;RepFrom,Payments!$B$5:$B$304,"&lt;="&amp;RepTo))</f>
        <v>0</v>
      </c>
      <c r="AP69" s="28">
        <f>IF(Lists!$E69="","",Lists!$E69)</f>
        <v>0</v>
      </c>
      <c r="AQ69" s="31">
        <f>IF(AP69="","",COUNTIFS(Clients!$K$5:$K$254,AP69))</f>
        <v>0</v>
      </c>
      <c r="AR69" s="29">
        <f>IF(AP69="","",SUMIFS(Clients!$AE$5:$AE$254,Clients!$K$5:$K$254,AP69))</f>
        <v>0</v>
      </c>
    </row>
    <row r="70" spans="1:44">
      <c r="A70" s="28">
        <f>IF(Clients!$B$70="","",Clients!$B$70)</f>
        <v>0</v>
      </c>
      <c r="B70" s="29">
        <f>IF(A70="","",SUMIFS(Payments!$L$5:$L$304,Payments!$C$5:$C$304,A70,Payments!$B$5:$B$304,"&gt;="&amp;PeriodStart,Payments!$B$5:$B$304,"&lt;="&amp;PeriodEnd))</f>
        <v>0</v>
      </c>
      <c r="C70" s="51">
        <f>IF(A70="","",IF(B70&lt;=0,"",B70+ROW()/1000000))</f>
        <v>0</v>
      </c>
      <c r="D70" s="29">
        <f>IF(A70="","",SUMIFS(Payments!$L$5:$L$304,Payments!$C$5:$C$304,A70,Payments!$B$5:$B$304,"&gt;="&amp;RepFrom,Payments!$B$5:$B$304,"&lt;="&amp;RepTo))</f>
        <v>0</v>
      </c>
      <c r="E70" s="51">
        <f>IF(A70="","",IF(D70&lt;=0,"",D70+ROW()/1000000))</f>
        <v>0</v>
      </c>
      <c r="F70" s="29">
        <f>IF(A70="","",SUMIFS(Invoices!$S$5:$S$304,Invoices!$D$5:$D$304,A70,Invoices!$T$5:$T$304,"&lt;&gt;Cancelled"))</f>
        <v>0</v>
      </c>
      <c r="G70" s="51">
        <f>IF(A70="","",IF(F70&lt;=0.004,"",F70+ROW()/1000000))</f>
        <v>0</v>
      </c>
      <c r="H70" s="31">
        <f>IF(A70="","",COUNTIFS(Bookings!$C$5:$C$404,A70,Bookings!$I$5:$I$404,"&gt;="&amp;RepFrom,Bookings!$I$5:$I$404,"&lt;="&amp;RepTo,Bookings!$AM$5:$AM$404,"&lt;&gt;Cancelled"))</f>
        <v>0</v>
      </c>
      <c r="I70" s="28">
        <f>IF(Services!$B$70="","",Services!$B$70)</f>
        <v>0</v>
      </c>
      <c r="J70" s="29">
        <f>IF(I70="","",SUMIFS(Bookings!$AK$5:$AK$404,Bookings!$H$5:$H$404,I70,Bookings!$I$5:$I$404,"&gt;="&amp;PeriodStart,Bookings!$I$5:$I$404,"&lt;="&amp;PeriodEnd,Bookings!$AM$5:$AM$404,"&lt;&gt;Cancelled"))</f>
        <v>0</v>
      </c>
      <c r="K70" s="31">
        <f>IF(I70="","",COUNTIFS(Bookings!$H$5:$H$404,I70,Bookings!$I$5:$I$404,"&gt;="&amp;PeriodStart,Bookings!$I$5:$I$404,"&lt;="&amp;PeriodEnd,Bookings!$AM$5:$AM$404,"&lt;&gt;Cancelled"))</f>
        <v>0</v>
      </c>
      <c r="L70" s="29">
        <f>IF(I70="","",SUMIFS(Bookings!$AK$5:$AK$404,Bookings!$H$5:$H$404,I70,Bookings!$I$5:$I$404,"&gt;="&amp;RepFrom,Bookings!$I$5:$I$404,"&lt;="&amp;RepTo,Bookings!$AM$5:$AM$404,"&lt;&gt;Cancelled"))</f>
        <v>0</v>
      </c>
      <c r="M70" s="31">
        <f>IF(I70="","",COUNTIFS(Bookings!$H$5:$H$404,I70,Bookings!$I$5:$I$404,"&gt;="&amp;RepFrom,Bookings!$I$5:$I$404,"&lt;="&amp;RepTo,Bookings!$AM$5:$AM$404,"&lt;&gt;Cancelled"))</f>
        <v>0</v>
      </c>
      <c r="N70" s="29">
        <f>IF(I70="","",M70*IF(Services!$L$70="",0,Services!$L$70))</f>
        <v>0</v>
      </c>
      <c r="O70" s="29">
        <f>IF(I70="","",L70-N70)</f>
        <v>0</v>
      </c>
      <c r="P70" s="28">
        <f>IF(Lists!$AG70="","",Lists!$AG70)</f>
        <v>0</v>
      </c>
      <c r="Q70" s="29">
        <f>IF(P70="","",SUMIFS(Expenses!$F$5:$F$304,Expenses!$C$5:$C$304,P70,Expenses!$B$5:$B$304,"&gt;="&amp;PeriodStart,Expenses!$B$5:$B$304,"&lt;="&amp;PeriodEnd,Expenses!$J$5:$J$304,"&lt;&gt;Personal"))</f>
        <v>0</v>
      </c>
      <c r="R70" s="29">
        <f>IF(P70="","",SUMIFS(Expenses!$F$5:$F$304,Expenses!$C$5:$C$304,P70,Expenses!$B$5:$B$304,"&gt;="&amp;RepFrom,Expenses!$B$5:$B$304,"&lt;="&amp;RepTo,Expenses!$J$5:$J$304,"&lt;&gt;Personal"))</f>
        <v>0</v>
      </c>
      <c r="S70" s="21">
        <f>IF(ROW()-4&gt;12,"",DATE(Dash_Year,ROW()-4,1))</f>
        <v>0</v>
      </c>
      <c r="T70" s="21">
        <f>IF(S70="","",EOMONTH(S70,0))</f>
        <v>0</v>
      </c>
      <c r="U70" s="28">
        <f>IF(S70="","",TEXT(S70,"mmm"))</f>
        <v>0</v>
      </c>
      <c r="V70" s="29">
        <f>IF(S70="","",SUMIFS(Payments!$L$5:$L$304,Payments!$B$5:$B$304,"&gt;="&amp;S70,Payments!$B$5:$B$304,"&lt;="&amp;T70))</f>
        <v>0</v>
      </c>
      <c r="W70" s="29">
        <f>IF(S70="","",SUMIFS(Invoices!$O$5:$O$304,Invoices!$B$5:$B$304,"&gt;="&amp;S70,Invoices!$B$5:$B$304,"&lt;="&amp;T70,Invoices!$T$5:$T$304,"&lt;&gt;Cancelled"))</f>
        <v>0</v>
      </c>
      <c r="X70" s="29">
        <f>IF(S70="","",SUMIFS(Expenses!$F$5:$F$304,Expenses!$B$5:$B$304,"&gt;="&amp;S70,Expenses!$B$5:$B$304,"&lt;="&amp;T70,Expenses!$J$5:$J$304,"&lt;&gt;Personal"))</f>
        <v>0</v>
      </c>
      <c r="Y70" s="29">
        <f>IF(S70="","",V70-X70)</f>
        <v>0</v>
      </c>
      <c r="Z70" s="31">
        <f>IF(S70="","",COUNTIFS(Bookings!$I$5:$I$404,"&gt;="&amp;S70,Bookings!$I$5:$I$404,"&lt;="&amp;T70,Bookings!$AM$5:$AM$404,"&lt;&gt;Cancelled"))</f>
        <v>0</v>
      </c>
      <c r="AA70" s="31">
        <f>IF(S70="","",COUNTIFS(Bookings!$I$5:$I$404,"&gt;="&amp;S70,Bookings!$I$5:$I$404,"&lt;="&amp;T70,Bookings!$AM$5:$AM$404,"Completed"))</f>
        <v>0</v>
      </c>
      <c r="AB70" s="31">
        <f>IF(S70="","",COUNTIFS(Bookings!$I$5:$I$404,"&gt;="&amp;S70,Bookings!$I$5:$I$404,"&lt;="&amp;T70,Bookings!$AM$5:$AM$404,"Cancelled"))</f>
        <v>0</v>
      </c>
      <c r="AC70" s="31">
        <f>IF(S70="","",COUNTIFS('Visit Log'!$C$5:$C$404,"&gt;="&amp;S70,'Visit Log'!$C$5:$C$404,"&lt;="&amp;T70,'Visit Log'!$AE$5:$AE$404,"Completed"))</f>
        <v>0</v>
      </c>
      <c r="AD70" s="31">
        <f>IF(S70="","",COUNTIFS(Clients!$L$5:$L$254,"&gt;="&amp;S70,Clients!$L$5:$L$254,"&lt;="&amp;T70))</f>
        <v>0</v>
      </c>
      <c r="AE70" s="32">
        <f>IF(S70="","",SUMIFS(Mileage!$M$5:$M$304,Mileage!$B$5:$B$304,"&gt;="&amp;S70,Mileage!$B$5:$B$304,"&lt;="&amp;T70,Mileage!$N$5:$N$304,"Business"))</f>
        <v>0</v>
      </c>
      <c r="AF70" s="29">
        <f>IF(S70="","",SUMIFS(Payments!$L$5:$L$304,Payments!$B$5:$B$304,"&gt;="&amp;DATE(Dash_Year-1,ROW()-4,1),Payments!$B$5:$B$304,"&lt;="&amp;EOMONTH(DATE(Dash_Year-1,ROW()-4,1),0)))</f>
        <v>0</v>
      </c>
      <c r="AG70" s="28">
        <f>IF(Staff!$B$70="","",Staff!$B$70)</f>
        <v>0</v>
      </c>
      <c r="AH70" s="31">
        <f>IF(AG70="","",COUNTIFS('Visit Log'!$G$5:$G$404,AG70,'Visit Log'!$C$5:$C$404,"&gt;="&amp;RepFrom,'Visit Log'!$C$5:$C$404,"&lt;="&amp;RepTo,'Visit Log'!$AE$5:$AE$404,"Completed"))</f>
        <v>0</v>
      </c>
      <c r="AI70" s="51">
        <f>IF(AG70="","",ROUND(SUMIFS('Visit Log'!$K$5:$K$404,'Visit Log'!$G$5:$G$404,AG70,'Visit Log'!$C$5:$C$404,"&gt;="&amp;RepFrom,'Visit Log'!$C$5:$C$404,"&lt;="&amp;RepTo,'Visit Log'!$AE$5:$AE$404,"Completed")/60,2))</f>
        <v>0</v>
      </c>
      <c r="AJ70" s="29">
        <f>IF(AG70="","",SUMIFS(Bookings!$AK$5:$AK$404,Bookings!$AL$5:$AL$404,AG70,Bookings!$I$5:$I$404,"&gt;="&amp;RepFrom,Bookings!$I$5:$I$404,"&lt;="&amp;RepTo,Bookings!$AM$5:$AM$404,"&lt;&gt;Cancelled"))</f>
        <v>0</v>
      </c>
      <c r="AK70" s="32">
        <f>IF(AG70="","",SUMIFS(Mileage!$M$5:$M$304,Mileage!$C$5:$C$304,AG70,Mileage!$B$5:$B$304,"&gt;="&amp;RepFrom,Mileage!$B$5:$B$304,"&lt;="&amp;RepTo))</f>
        <v>0</v>
      </c>
      <c r="AL70" s="28">
        <f>IF(Lists!$Q70="","",Lists!$Q70)</f>
        <v>0</v>
      </c>
      <c r="AM70" s="31">
        <f>IF(AL70="","",COUNTIFS(Bookings!$AV$5:$AV$404,AL70,Bookings!$I$5:$I$404,"&gt;="&amp;RepFrom,Bookings!$I$5:$I$404,"&lt;="&amp;RepTo))</f>
        <v>0</v>
      </c>
      <c r="AN70" s="28">
        <f>IF(Lists!$AF70="","",Lists!$AF70)</f>
        <v>0</v>
      </c>
      <c r="AO70" s="29">
        <f>IF(AN70="","",SUMIFS(Payments!$L$5:$L$304,Payments!$F$5:$F$304,AN70,Payments!$B$5:$B$304,"&gt;="&amp;RepFrom,Payments!$B$5:$B$304,"&lt;="&amp;RepTo))</f>
        <v>0</v>
      </c>
      <c r="AP70" s="28">
        <f>IF(Lists!$E70="","",Lists!$E70)</f>
        <v>0</v>
      </c>
      <c r="AQ70" s="31">
        <f>IF(AP70="","",COUNTIFS(Clients!$K$5:$K$254,AP70))</f>
        <v>0</v>
      </c>
      <c r="AR70" s="29">
        <f>IF(AP70="","",SUMIFS(Clients!$AE$5:$AE$254,Clients!$K$5:$K$254,AP70))</f>
        <v>0</v>
      </c>
    </row>
    <row r="71" spans="1:44">
      <c r="A71" s="28">
        <f>IF(Clients!$B$71="","",Clients!$B$71)</f>
        <v>0</v>
      </c>
      <c r="B71" s="29">
        <f>IF(A71="","",SUMIFS(Payments!$L$5:$L$304,Payments!$C$5:$C$304,A71,Payments!$B$5:$B$304,"&gt;="&amp;PeriodStart,Payments!$B$5:$B$304,"&lt;="&amp;PeriodEnd))</f>
        <v>0</v>
      </c>
      <c r="C71" s="51">
        <f>IF(A71="","",IF(B71&lt;=0,"",B71+ROW()/1000000))</f>
        <v>0</v>
      </c>
      <c r="D71" s="29">
        <f>IF(A71="","",SUMIFS(Payments!$L$5:$L$304,Payments!$C$5:$C$304,A71,Payments!$B$5:$B$304,"&gt;="&amp;RepFrom,Payments!$B$5:$B$304,"&lt;="&amp;RepTo))</f>
        <v>0</v>
      </c>
      <c r="E71" s="51">
        <f>IF(A71="","",IF(D71&lt;=0,"",D71+ROW()/1000000))</f>
        <v>0</v>
      </c>
      <c r="F71" s="29">
        <f>IF(A71="","",SUMIFS(Invoices!$S$5:$S$304,Invoices!$D$5:$D$304,A71,Invoices!$T$5:$T$304,"&lt;&gt;Cancelled"))</f>
        <v>0</v>
      </c>
      <c r="G71" s="51">
        <f>IF(A71="","",IF(F71&lt;=0.004,"",F71+ROW()/1000000))</f>
        <v>0</v>
      </c>
      <c r="H71" s="31">
        <f>IF(A71="","",COUNTIFS(Bookings!$C$5:$C$404,A71,Bookings!$I$5:$I$404,"&gt;="&amp;RepFrom,Bookings!$I$5:$I$404,"&lt;="&amp;RepTo,Bookings!$AM$5:$AM$404,"&lt;&gt;Cancelled"))</f>
        <v>0</v>
      </c>
      <c r="I71" s="28">
        <f>IF(Services!$B$71="","",Services!$B$71)</f>
        <v>0</v>
      </c>
      <c r="J71" s="29">
        <f>IF(I71="","",SUMIFS(Bookings!$AK$5:$AK$404,Bookings!$H$5:$H$404,I71,Bookings!$I$5:$I$404,"&gt;="&amp;PeriodStart,Bookings!$I$5:$I$404,"&lt;="&amp;PeriodEnd,Bookings!$AM$5:$AM$404,"&lt;&gt;Cancelled"))</f>
        <v>0</v>
      </c>
      <c r="K71" s="31">
        <f>IF(I71="","",COUNTIFS(Bookings!$H$5:$H$404,I71,Bookings!$I$5:$I$404,"&gt;="&amp;PeriodStart,Bookings!$I$5:$I$404,"&lt;="&amp;PeriodEnd,Bookings!$AM$5:$AM$404,"&lt;&gt;Cancelled"))</f>
        <v>0</v>
      </c>
      <c r="L71" s="29">
        <f>IF(I71="","",SUMIFS(Bookings!$AK$5:$AK$404,Bookings!$H$5:$H$404,I71,Bookings!$I$5:$I$404,"&gt;="&amp;RepFrom,Bookings!$I$5:$I$404,"&lt;="&amp;RepTo,Bookings!$AM$5:$AM$404,"&lt;&gt;Cancelled"))</f>
        <v>0</v>
      </c>
      <c r="M71" s="31">
        <f>IF(I71="","",COUNTIFS(Bookings!$H$5:$H$404,I71,Bookings!$I$5:$I$404,"&gt;="&amp;RepFrom,Bookings!$I$5:$I$404,"&lt;="&amp;RepTo,Bookings!$AM$5:$AM$404,"&lt;&gt;Cancelled"))</f>
        <v>0</v>
      </c>
      <c r="N71" s="29">
        <f>IF(I71="","",M71*IF(Services!$L$71="",0,Services!$L$71))</f>
        <v>0</v>
      </c>
      <c r="O71" s="29">
        <f>IF(I71="","",L71-N71)</f>
        <v>0</v>
      </c>
      <c r="P71" s="28">
        <f>IF(Lists!$AG71="","",Lists!$AG71)</f>
        <v>0</v>
      </c>
      <c r="Q71" s="29">
        <f>IF(P71="","",SUMIFS(Expenses!$F$5:$F$304,Expenses!$C$5:$C$304,P71,Expenses!$B$5:$B$304,"&gt;="&amp;PeriodStart,Expenses!$B$5:$B$304,"&lt;="&amp;PeriodEnd,Expenses!$J$5:$J$304,"&lt;&gt;Personal"))</f>
        <v>0</v>
      </c>
      <c r="R71" s="29">
        <f>IF(P71="","",SUMIFS(Expenses!$F$5:$F$304,Expenses!$C$5:$C$304,P71,Expenses!$B$5:$B$304,"&gt;="&amp;RepFrom,Expenses!$B$5:$B$304,"&lt;="&amp;RepTo,Expenses!$J$5:$J$304,"&lt;&gt;Personal"))</f>
        <v>0</v>
      </c>
      <c r="S71" s="21">
        <f>IF(ROW()-4&gt;12,"",DATE(Dash_Year,ROW()-4,1))</f>
        <v>0</v>
      </c>
      <c r="T71" s="21">
        <f>IF(S71="","",EOMONTH(S71,0))</f>
        <v>0</v>
      </c>
      <c r="U71" s="28">
        <f>IF(S71="","",TEXT(S71,"mmm"))</f>
        <v>0</v>
      </c>
      <c r="V71" s="29">
        <f>IF(S71="","",SUMIFS(Payments!$L$5:$L$304,Payments!$B$5:$B$304,"&gt;="&amp;S71,Payments!$B$5:$B$304,"&lt;="&amp;T71))</f>
        <v>0</v>
      </c>
      <c r="W71" s="29">
        <f>IF(S71="","",SUMIFS(Invoices!$O$5:$O$304,Invoices!$B$5:$B$304,"&gt;="&amp;S71,Invoices!$B$5:$B$304,"&lt;="&amp;T71,Invoices!$T$5:$T$304,"&lt;&gt;Cancelled"))</f>
        <v>0</v>
      </c>
      <c r="X71" s="29">
        <f>IF(S71="","",SUMIFS(Expenses!$F$5:$F$304,Expenses!$B$5:$B$304,"&gt;="&amp;S71,Expenses!$B$5:$B$304,"&lt;="&amp;T71,Expenses!$J$5:$J$304,"&lt;&gt;Personal"))</f>
        <v>0</v>
      </c>
      <c r="Y71" s="29">
        <f>IF(S71="","",V71-X71)</f>
        <v>0</v>
      </c>
      <c r="Z71" s="31">
        <f>IF(S71="","",COUNTIFS(Bookings!$I$5:$I$404,"&gt;="&amp;S71,Bookings!$I$5:$I$404,"&lt;="&amp;T71,Bookings!$AM$5:$AM$404,"&lt;&gt;Cancelled"))</f>
        <v>0</v>
      </c>
      <c r="AA71" s="31">
        <f>IF(S71="","",COUNTIFS(Bookings!$I$5:$I$404,"&gt;="&amp;S71,Bookings!$I$5:$I$404,"&lt;="&amp;T71,Bookings!$AM$5:$AM$404,"Completed"))</f>
        <v>0</v>
      </c>
      <c r="AB71" s="31">
        <f>IF(S71="","",COUNTIFS(Bookings!$I$5:$I$404,"&gt;="&amp;S71,Bookings!$I$5:$I$404,"&lt;="&amp;T71,Bookings!$AM$5:$AM$404,"Cancelled"))</f>
        <v>0</v>
      </c>
      <c r="AC71" s="31">
        <f>IF(S71="","",COUNTIFS('Visit Log'!$C$5:$C$404,"&gt;="&amp;S71,'Visit Log'!$C$5:$C$404,"&lt;="&amp;T71,'Visit Log'!$AE$5:$AE$404,"Completed"))</f>
        <v>0</v>
      </c>
      <c r="AD71" s="31">
        <f>IF(S71="","",COUNTIFS(Clients!$L$5:$L$254,"&gt;="&amp;S71,Clients!$L$5:$L$254,"&lt;="&amp;T71))</f>
        <v>0</v>
      </c>
      <c r="AE71" s="32">
        <f>IF(S71="","",SUMIFS(Mileage!$M$5:$M$304,Mileage!$B$5:$B$304,"&gt;="&amp;S71,Mileage!$B$5:$B$304,"&lt;="&amp;T71,Mileage!$N$5:$N$304,"Business"))</f>
        <v>0</v>
      </c>
      <c r="AF71" s="29">
        <f>IF(S71="","",SUMIFS(Payments!$L$5:$L$304,Payments!$B$5:$B$304,"&gt;="&amp;DATE(Dash_Year-1,ROW()-4,1),Payments!$B$5:$B$304,"&lt;="&amp;EOMONTH(DATE(Dash_Year-1,ROW()-4,1),0)))</f>
        <v>0</v>
      </c>
      <c r="AG71" s="28">
        <f>IF(Staff!$B$71="","",Staff!$B$71)</f>
        <v>0</v>
      </c>
      <c r="AH71" s="31">
        <f>IF(AG71="","",COUNTIFS('Visit Log'!$G$5:$G$404,AG71,'Visit Log'!$C$5:$C$404,"&gt;="&amp;RepFrom,'Visit Log'!$C$5:$C$404,"&lt;="&amp;RepTo,'Visit Log'!$AE$5:$AE$404,"Completed"))</f>
        <v>0</v>
      </c>
      <c r="AI71" s="51">
        <f>IF(AG71="","",ROUND(SUMIFS('Visit Log'!$K$5:$K$404,'Visit Log'!$G$5:$G$404,AG71,'Visit Log'!$C$5:$C$404,"&gt;="&amp;RepFrom,'Visit Log'!$C$5:$C$404,"&lt;="&amp;RepTo,'Visit Log'!$AE$5:$AE$404,"Completed")/60,2))</f>
        <v>0</v>
      </c>
      <c r="AJ71" s="29">
        <f>IF(AG71="","",SUMIFS(Bookings!$AK$5:$AK$404,Bookings!$AL$5:$AL$404,AG71,Bookings!$I$5:$I$404,"&gt;="&amp;RepFrom,Bookings!$I$5:$I$404,"&lt;="&amp;RepTo,Bookings!$AM$5:$AM$404,"&lt;&gt;Cancelled"))</f>
        <v>0</v>
      </c>
      <c r="AK71" s="32">
        <f>IF(AG71="","",SUMIFS(Mileage!$M$5:$M$304,Mileage!$C$5:$C$304,AG71,Mileage!$B$5:$B$304,"&gt;="&amp;RepFrom,Mileage!$B$5:$B$304,"&lt;="&amp;RepTo))</f>
        <v>0</v>
      </c>
      <c r="AL71" s="28">
        <f>IF(Lists!$Q71="","",Lists!$Q71)</f>
        <v>0</v>
      </c>
      <c r="AM71" s="31">
        <f>IF(AL71="","",COUNTIFS(Bookings!$AV$5:$AV$404,AL71,Bookings!$I$5:$I$404,"&gt;="&amp;RepFrom,Bookings!$I$5:$I$404,"&lt;="&amp;RepTo))</f>
        <v>0</v>
      </c>
      <c r="AN71" s="28">
        <f>IF(Lists!$AF71="","",Lists!$AF71)</f>
        <v>0</v>
      </c>
      <c r="AO71" s="29">
        <f>IF(AN71="","",SUMIFS(Payments!$L$5:$L$304,Payments!$F$5:$F$304,AN71,Payments!$B$5:$B$304,"&gt;="&amp;RepFrom,Payments!$B$5:$B$304,"&lt;="&amp;RepTo))</f>
        <v>0</v>
      </c>
      <c r="AP71" s="28">
        <f>IF(Lists!$E71="","",Lists!$E71)</f>
        <v>0</v>
      </c>
      <c r="AQ71" s="31">
        <f>IF(AP71="","",COUNTIFS(Clients!$K$5:$K$254,AP71))</f>
        <v>0</v>
      </c>
      <c r="AR71" s="29">
        <f>IF(AP71="","",SUMIFS(Clients!$AE$5:$AE$254,Clients!$K$5:$K$254,AP71))</f>
        <v>0</v>
      </c>
    </row>
    <row r="72" spans="1:44">
      <c r="A72" s="28">
        <f>IF(Clients!$B$72="","",Clients!$B$72)</f>
        <v>0</v>
      </c>
      <c r="B72" s="29">
        <f>IF(A72="","",SUMIFS(Payments!$L$5:$L$304,Payments!$C$5:$C$304,A72,Payments!$B$5:$B$304,"&gt;="&amp;PeriodStart,Payments!$B$5:$B$304,"&lt;="&amp;PeriodEnd))</f>
        <v>0</v>
      </c>
      <c r="C72" s="51">
        <f>IF(A72="","",IF(B72&lt;=0,"",B72+ROW()/1000000))</f>
        <v>0</v>
      </c>
      <c r="D72" s="29">
        <f>IF(A72="","",SUMIFS(Payments!$L$5:$L$304,Payments!$C$5:$C$304,A72,Payments!$B$5:$B$304,"&gt;="&amp;RepFrom,Payments!$B$5:$B$304,"&lt;="&amp;RepTo))</f>
        <v>0</v>
      </c>
      <c r="E72" s="51">
        <f>IF(A72="","",IF(D72&lt;=0,"",D72+ROW()/1000000))</f>
        <v>0</v>
      </c>
      <c r="F72" s="29">
        <f>IF(A72="","",SUMIFS(Invoices!$S$5:$S$304,Invoices!$D$5:$D$304,A72,Invoices!$T$5:$T$304,"&lt;&gt;Cancelled"))</f>
        <v>0</v>
      </c>
      <c r="G72" s="51">
        <f>IF(A72="","",IF(F72&lt;=0.004,"",F72+ROW()/1000000))</f>
        <v>0</v>
      </c>
      <c r="H72" s="31">
        <f>IF(A72="","",COUNTIFS(Bookings!$C$5:$C$404,A72,Bookings!$I$5:$I$404,"&gt;="&amp;RepFrom,Bookings!$I$5:$I$404,"&lt;="&amp;RepTo,Bookings!$AM$5:$AM$404,"&lt;&gt;Cancelled"))</f>
        <v>0</v>
      </c>
      <c r="I72" s="28">
        <f>IF(Services!$B$72="","",Services!$B$72)</f>
        <v>0</v>
      </c>
      <c r="J72" s="29">
        <f>IF(I72="","",SUMIFS(Bookings!$AK$5:$AK$404,Bookings!$H$5:$H$404,I72,Bookings!$I$5:$I$404,"&gt;="&amp;PeriodStart,Bookings!$I$5:$I$404,"&lt;="&amp;PeriodEnd,Bookings!$AM$5:$AM$404,"&lt;&gt;Cancelled"))</f>
        <v>0</v>
      </c>
      <c r="K72" s="31">
        <f>IF(I72="","",COUNTIFS(Bookings!$H$5:$H$404,I72,Bookings!$I$5:$I$404,"&gt;="&amp;PeriodStart,Bookings!$I$5:$I$404,"&lt;="&amp;PeriodEnd,Bookings!$AM$5:$AM$404,"&lt;&gt;Cancelled"))</f>
        <v>0</v>
      </c>
      <c r="L72" s="29">
        <f>IF(I72="","",SUMIFS(Bookings!$AK$5:$AK$404,Bookings!$H$5:$H$404,I72,Bookings!$I$5:$I$404,"&gt;="&amp;RepFrom,Bookings!$I$5:$I$404,"&lt;="&amp;RepTo,Bookings!$AM$5:$AM$404,"&lt;&gt;Cancelled"))</f>
        <v>0</v>
      </c>
      <c r="M72" s="31">
        <f>IF(I72="","",COUNTIFS(Bookings!$H$5:$H$404,I72,Bookings!$I$5:$I$404,"&gt;="&amp;RepFrom,Bookings!$I$5:$I$404,"&lt;="&amp;RepTo,Bookings!$AM$5:$AM$404,"&lt;&gt;Cancelled"))</f>
        <v>0</v>
      </c>
      <c r="N72" s="29">
        <f>IF(I72="","",M72*IF(Services!$L$72="",0,Services!$L$72))</f>
        <v>0</v>
      </c>
      <c r="O72" s="29">
        <f>IF(I72="","",L72-N72)</f>
        <v>0</v>
      </c>
      <c r="P72" s="28">
        <f>IF(Lists!$AG72="","",Lists!$AG72)</f>
        <v>0</v>
      </c>
      <c r="Q72" s="29">
        <f>IF(P72="","",SUMIFS(Expenses!$F$5:$F$304,Expenses!$C$5:$C$304,P72,Expenses!$B$5:$B$304,"&gt;="&amp;PeriodStart,Expenses!$B$5:$B$304,"&lt;="&amp;PeriodEnd,Expenses!$J$5:$J$304,"&lt;&gt;Personal"))</f>
        <v>0</v>
      </c>
      <c r="R72" s="29">
        <f>IF(P72="","",SUMIFS(Expenses!$F$5:$F$304,Expenses!$C$5:$C$304,P72,Expenses!$B$5:$B$304,"&gt;="&amp;RepFrom,Expenses!$B$5:$B$304,"&lt;="&amp;RepTo,Expenses!$J$5:$J$304,"&lt;&gt;Personal"))</f>
        <v>0</v>
      </c>
      <c r="S72" s="21">
        <f>IF(ROW()-4&gt;12,"",DATE(Dash_Year,ROW()-4,1))</f>
        <v>0</v>
      </c>
      <c r="T72" s="21">
        <f>IF(S72="","",EOMONTH(S72,0))</f>
        <v>0</v>
      </c>
      <c r="U72" s="28">
        <f>IF(S72="","",TEXT(S72,"mmm"))</f>
        <v>0</v>
      </c>
      <c r="V72" s="29">
        <f>IF(S72="","",SUMIFS(Payments!$L$5:$L$304,Payments!$B$5:$B$304,"&gt;="&amp;S72,Payments!$B$5:$B$304,"&lt;="&amp;T72))</f>
        <v>0</v>
      </c>
      <c r="W72" s="29">
        <f>IF(S72="","",SUMIFS(Invoices!$O$5:$O$304,Invoices!$B$5:$B$304,"&gt;="&amp;S72,Invoices!$B$5:$B$304,"&lt;="&amp;T72,Invoices!$T$5:$T$304,"&lt;&gt;Cancelled"))</f>
        <v>0</v>
      </c>
      <c r="X72" s="29">
        <f>IF(S72="","",SUMIFS(Expenses!$F$5:$F$304,Expenses!$B$5:$B$304,"&gt;="&amp;S72,Expenses!$B$5:$B$304,"&lt;="&amp;T72,Expenses!$J$5:$J$304,"&lt;&gt;Personal"))</f>
        <v>0</v>
      </c>
      <c r="Y72" s="29">
        <f>IF(S72="","",V72-X72)</f>
        <v>0</v>
      </c>
      <c r="Z72" s="31">
        <f>IF(S72="","",COUNTIFS(Bookings!$I$5:$I$404,"&gt;="&amp;S72,Bookings!$I$5:$I$404,"&lt;="&amp;T72,Bookings!$AM$5:$AM$404,"&lt;&gt;Cancelled"))</f>
        <v>0</v>
      </c>
      <c r="AA72" s="31">
        <f>IF(S72="","",COUNTIFS(Bookings!$I$5:$I$404,"&gt;="&amp;S72,Bookings!$I$5:$I$404,"&lt;="&amp;T72,Bookings!$AM$5:$AM$404,"Completed"))</f>
        <v>0</v>
      </c>
      <c r="AB72" s="31">
        <f>IF(S72="","",COUNTIFS(Bookings!$I$5:$I$404,"&gt;="&amp;S72,Bookings!$I$5:$I$404,"&lt;="&amp;T72,Bookings!$AM$5:$AM$404,"Cancelled"))</f>
        <v>0</v>
      </c>
      <c r="AC72" s="31">
        <f>IF(S72="","",COUNTIFS('Visit Log'!$C$5:$C$404,"&gt;="&amp;S72,'Visit Log'!$C$5:$C$404,"&lt;="&amp;T72,'Visit Log'!$AE$5:$AE$404,"Completed"))</f>
        <v>0</v>
      </c>
      <c r="AD72" s="31">
        <f>IF(S72="","",COUNTIFS(Clients!$L$5:$L$254,"&gt;="&amp;S72,Clients!$L$5:$L$254,"&lt;="&amp;T72))</f>
        <v>0</v>
      </c>
      <c r="AE72" s="32">
        <f>IF(S72="","",SUMIFS(Mileage!$M$5:$M$304,Mileage!$B$5:$B$304,"&gt;="&amp;S72,Mileage!$B$5:$B$304,"&lt;="&amp;T72,Mileage!$N$5:$N$304,"Business"))</f>
        <v>0</v>
      </c>
      <c r="AF72" s="29">
        <f>IF(S72="","",SUMIFS(Payments!$L$5:$L$304,Payments!$B$5:$B$304,"&gt;="&amp;DATE(Dash_Year-1,ROW()-4,1),Payments!$B$5:$B$304,"&lt;="&amp;EOMONTH(DATE(Dash_Year-1,ROW()-4,1),0)))</f>
        <v>0</v>
      </c>
      <c r="AG72" s="28">
        <f>IF(Staff!$B$72="","",Staff!$B$72)</f>
        <v>0</v>
      </c>
      <c r="AH72" s="31">
        <f>IF(AG72="","",COUNTIFS('Visit Log'!$G$5:$G$404,AG72,'Visit Log'!$C$5:$C$404,"&gt;="&amp;RepFrom,'Visit Log'!$C$5:$C$404,"&lt;="&amp;RepTo,'Visit Log'!$AE$5:$AE$404,"Completed"))</f>
        <v>0</v>
      </c>
      <c r="AI72" s="51">
        <f>IF(AG72="","",ROUND(SUMIFS('Visit Log'!$K$5:$K$404,'Visit Log'!$G$5:$G$404,AG72,'Visit Log'!$C$5:$C$404,"&gt;="&amp;RepFrom,'Visit Log'!$C$5:$C$404,"&lt;="&amp;RepTo,'Visit Log'!$AE$5:$AE$404,"Completed")/60,2))</f>
        <v>0</v>
      </c>
      <c r="AJ72" s="29">
        <f>IF(AG72="","",SUMIFS(Bookings!$AK$5:$AK$404,Bookings!$AL$5:$AL$404,AG72,Bookings!$I$5:$I$404,"&gt;="&amp;RepFrom,Bookings!$I$5:$I$404,"&lt;="&amp;RepTo,Bookings!$AM$5:$AM$404,"&lt;&gt;Cancelled"))</f>
        <v>0</v>
      </c>
      <c r="AK72" s="32">
        <f>IF(AG72="","",SUMIFS(Mileage!$M$5:$M$304,Mileage!$C$5:$C$304,AG72,Mileage!$B$5:$B$304,"&gt;="&amp;RepFrom,Mileage!$B$5:$B$304,"&lt;="&amp;RepTo))</f>
        <v>0</v>
      </c>
      <c r="AL72" s="28">
        <f>IF(Lists!$Q72="","",Lists!$Q72)</f>
        <v>0</v>
      </c>
      <c r="AM72" s="31">
        <f>IF(AL72="","",COUNTIFS(Bookings!$AV$5:$AV$404,AL72,Bookings!$I$5:$I$404,"&gt;="&amp;RepFrom,Bookings!$I$5:$I$404,"&lt;="&amp;RepTo))</f>
        <v>0</v>
      </c>
      <c r="AN72" s="28">
        <f>IF(Lists!$AF72="","",Lists!$AF72)</f>
        <v>0</v>
      </c>
      <c r="AO72" s="29">
        <f>IF(AN72="","",SUMIFS(Payments!$L$5:$L$304,Payments!$F$5:$F$304,AN72,Payments!$B$5:$B$304,"&gt;="&amp;RepFrom,Payments!$B$5:$B$304,"&lt;="&amp;RepTo))</f>
        <v>0</v>
      </c>
      <c r="AP72" s="28">
        <f>IF(Lists!$E72="","",Lists!$E72)</f>
        <v>0</v>
      </c>
      <c r="AQ72" s="31">
        <f>IF(AP72="","",COUNTIFS(Clients!$K$5:$K$254,AP72))</f>
        <v>0</v>
      </c>
      <c r="AR72" s="29">
        <f>IF(AP72="","",SUMIFS(Clients!$AE$5:$AE$254,Clients!$K$5:$K$254,AP72))</f>
        <v>0</v>
      </c>
    </row>
    <row r="73" spans="1:44">
      <c r="A73" s="28">
        <f>IF(Clients!$B$73="","",Clients!$B$73)</f>
        <v>0</v>
      </c>
      <c r="B73" s="29">
        <f>IF(A73="","",SUMIFS(Payments!$L$5:$L$304,Payments!$C$5:$C$304,A73,Payments!$B$5:$B$304,"&gt;="&amp;PeriodStart,Payments!$B$5:$B$304,"&lt;="&amp;PeriodEnd))</f>
        <v>0</v>
      </c>
      <c r="C73" s="51">
        <f>IF(A73="","",IF(B73&lt;=0,"",B73+ROW()/1000000))</f>
        <v>0</v>
      </c>
      <c r="D73" s="29">
        <f>IF(A73="","",SUMIFS(Payments!$L$5:$L$304,Payments!$C$5:$C$304,A73,Payments!$B$5:$B$304,"&gt;="&amp;RepFrom,Payments!$B$5:$B$304,"&lt;="&amp;RepTo))</f>
        <v>0</v>
      </c>
      <c r="E73" s="51">
        <f>IF(A73="","",IF(D73&lt;=0,"",D73+ROW()/1000000))</f>
        <v>0</v>
      </c>
      <c r="F73" s="29">
        <f>IF(A73="","",SUMIFS(Invoices!$S$5:$S$304,Invoices!$D$5:$D$304,A73,Invoices!$T$5:$T$304,"&lt;&gt;Cancelled"))</f>
        <v>0</v>
      </c>
      <c r="G73" s="51">
        <f>IF(A73="","",IF(F73&lt;=0.004,"",F73+ROW()/1000000))</f>
        <v>0</v>
      </c>
      <c r="H73" s="31">
        <f>IF(A73="","",COUNTIFS(Bookings!$C$5:$C$404,A73,Bookings!$I$5:$I$404,"&gt;="&amp;RepFrom,Bookings!$I$5:$I$404,"&lt;="&amp;RepTo,Bookings!$AM$5:$AM$404,"&lt;&gt;Cancelled"))</f>
        <v>0</v>
      </c>
      <c r="I73" s="28">
        <f>IF(Services!$B$73="","",Services!$B$73)</f>
        <v>0</v>
      </c>
      <c r="J73" s="29">
        <f>IF(I73="","",SUMIFS(Bookings!$AK$5:$AK$404,Bookings!$H$5:$H$404,I73,Bookings!$I$5:$I$404,"&gt;="&amp;PeriodStart,Bookings!$I$5:$I$404,"&lt;="&amp;PeriodEnd,Bookings!$AM$5:$AM$404,"&lt;&gt;Cancelled"))</f>
        <v>0</v>
      </c>
      <c r="K73" s="31">
        <f>IF(I73="","",COUNTIFS(Bookings!$H$5:$H$404,I73,Bookings!$I$5:$I$404,"&gt;="&amp;PeriodStart,Bookings!$I$5:$I$404,"&lt;="&amp;PeriodEnd,Bookings!$AM$5:$AM$404,"&lt;&gt;Cancelled"))</f>
        <v>0</v>
      </c>
      <c r="L73" s="29">
        <f>IF(I73="","",SUMIFS(Bookings!$AK$5:$AK$404,Bookings!$H$5:$H$404,I73,Bookings!$I$5:$I$404,"&gt;="&amp;RepFrom,Bookings!$I$5:$I$404,"&lt;="&amp;RepTo,Bookings!$AM$5:$AM$404,"&lt;&gt;Cancelled"))</f>
        <v>0</v>
      </c>
      <c r="M73" s="31">
        <f>IF(I73="","",COUNTIFS(Bookings!$H$5:$H$404,I73,Bookings!$I$5:$I$404,"&gt;="&amp;RepFrom,Bookings!$I$5:$I$404,"&lt;="&amp;RepTo,Bookings!$AM$5:$AM$404,"&lt;&gt;Cancelled"))</f>
        <v>0</v>
      </c>
      <c r="N73" s="29">
        <f>IF(I73="","",M73*IF(Services!$L$73="",0,Services!$L$73))</f>
        <v>0</v>
      </c>
      <c r="O73" s="29">
        <f>IF(I73="","",L73-N73)</f>
        <v>0</v>
      </c>
      <c r="P73" s="28">
        <f>IF(Lists!$AG73="","",Lists!$AG73)</f>
        <v>0</v>
      </c>
      <c r="Q73" s="29">
        <f>IF(P73="","",SUMIFS(Expenses!$F$5:$F$304,Expenses!$C$5:$C$304,P73,Expenses!$B$5:$B$304,"&gt;="&amp;PeriodStart,Expenses!$B$5:$B$304,"&lt;="&amp;PeriodEnd,Expenses!$J$5:$J$304,"&lt;&gt;Personal"))</f>
        <v>0</v>
      </c>
      <c r="R73" s="29">
        <f>IF(P73="","",SUMIFS(Expenses!$F$5:$F$304,Expenses!$C$5:$C$304,P73,Expenses!$B$5:$B$304,"&gt;="&amp;RepFrom,Expenses!$B$5:$B$304,"&lt;="&amp;RepTo,Expenses!$J$5:$J$304,"&lt;&gt;Personal"))</f>
        <v>0</v>
      </c>
      <c r="S73" s="21">
        <f>IF(ROW()-4&gt;12,"",DATE(Dash_Year,ROW()-4,1))</f>
        <v>0</v>
      </c>
      <c r="T73" s="21">
        <f>IF(S73="","",EOMONTH(S73,0))</f>
        <v>0</v>
      </c>
      <c r="U73" s="28">
        <f>IF(S73="","",TEXT(S73,"mmm"))</f>
        <v>0</v>
      </c>
      <c r="V73" s="29">
        <f>IF(S73="","",SUMIFS(Payments!$L$5:$L$304,Payments!$B$5:$B$304,"&gt;="&amp;S73,Payments!$B$5:$B$304,"&lt;="&amp;T73))</f>
        <v>0</v>
      </c>
      <c r="W73" s="29">
        <f>IF(S73="","",SUMIFS(Invoices!$O$5:$O$304,Invoices!$B$5:$B$304,"&gt;="&amp;S73,Invoices!$B$5:$B$304,"&lt;="&amp;T73,Invoices!$T$5:$T$304,"&lt;&gt;Cancelled"))</f>
        <v>0</v>
      </c>
      <c r="X73" s="29">
        <f>IF(S73="","",SUMIFS(Expenses!$F$5:$F$304,Expenses!$B$5:$B$304,"&gt;="&amp;S73,Expenses!$B$5:$B$304,"&lt;="&amp;T73,Expenses!$J$5:$J$304,"&lt;&gt;Personal"))</f>
        <v>0</v>
      </c>
      <c r="Y73" s="29">
        <f>IF(S73="","",V73-X73)</f>
        <v>0</v>
      </c>
      <c r="Z73" s="31">
        <f>IF(S73="","",COUNTIFS(Bookings!$I$5:$I$404,"&gt;="&amp;S73,Bookings!$I$5:$I$404,"&lt;="&amp;T73,Bookings!$AM$5:$AM$404,"&lt;&gt;Cancelled"))</f>
        <v>0</v>
      </c>
      <c r="AA73" s="31">
        <f>IF(S73="","",COUNTIFS(Bookings!$I$5:$I$404,"&gt;="&amp;S73,Bookings!$I$5:$I$404,"&lt;="&amp;T73,Bookings!$AM$5:$AM$404,"Completed"))</f>
        <v>0</v>
      </c>
      <c r="AB73" s="31">
        <f>IF(S73="","",COUNTIFS(Bookings!$I$5:$I$404,"&gt;="&amp;S73,Bookings!$I$5:$I$404,"&lt;="&amp;T73,Bookings!$AM$5:$AM$404,"Cancelled"))</f>
        <v>0</v>
      </c>
      <c r="AC73" s="31">
        <f>IF(S73="","",COUNTIFS('Visit Log'!$C$5:$C$404,"&gt;="&amp;S73,'Visit Log'!$C$5:$C$404,"&lt;="&amp;T73,'Visit Log'!$AE$5:$AE$404,"Completed"))</f>
        <v>0</v>
      </c>
      <c r="AD73" s="31">
        <f>IF(S73="","",COUNTIFS(Clients!$L$5:$L$254,"&gt;="&amp;S73,Clients!$L$5:$L$254,"&lt;="&amp;T73))</f>
        <v>0</v>
      </c>
      <c r="AE73" s="32">
        <f>IF(S73="","",SUMIFS(Mileage!$M$5:$M$304,Mileage!$B$5:$B$304,"&gt;="&amp;S73,Mileage!$B$5:$B$304,"&lt;="&amp;T73,Mileage!$N$5:$N$304,"Business"))</f>
        <v>0</v>
      </c>
      <c r="AF73" s="29">
        <f>IF(S73="","",SUMIFS(Payments!$L$5:$L$304,Payments!$B$5:$B$304,"&gt;="&amp;DATE(Dash_Year-1,ROW()-4,1),Payments!$B$5:$B$304,"&lt;="&amp;EOMONTH(DATE(Dash_Year-1,ROW()-4,1),0)))</f>
        <v>0</v>
      </c>
      <c r="AG73" s="28">
        <f>IF(Staff!$B$73="","",Staff!$B$73)</f>
        <v>0</v>
      </c>
      <c r="AH73" s="31">
        <f>IF(AG73="","",COUNTIFS('Visit Log'!$G$5:$G$404,AG73,'Visit Log'!$C$5:$C$404,"&gt;="&amp;RepFrom,'Visit Log'!$C$5:$C$404,"&lt;="&amp;RepTo,'Visit Log'!$AE$5:$AE$404,"Completed"))</f>
        <v>0</v>
      </c>
      <c r="AI73" s="51">
        <f>IF(AG73="","",ROUND(SUMIFS('Visit Log'!$K$5:$K$404,'Visit Log'!$G$5:$G$404,AG73,'Visit Log'!$C$5:$C$404,"&gt;="&amp;RepFrom,'Visit Log'!$C$5:$C$404,"&lt;="&amp;RepTo,'Visit Log'!$AE$5:$AE$404,"Completed")/60,2))</f>
        <v>0</v>
      </c>
      <c r="AJ73" s="29">
        <f>IF(AG73="","",SUMIFS(Bookings!$AK$5:$AK$404,Bookings!$AL$5:$AL$404,AG73,Bookings!$I$5:$I$404,"&gt;="&amp;RepFrom,Bookings!$I$5:$I$404,"&lt;="&amp;RepTo,Bookings!$AM$5:$AM$404,"&lt;&gt;Cancelled"))</f>
        <v>0</v>
      </c>
      <c r="AK73" s="32">
        <f>IF(AG73="","",SUMIFS(Mileage!$M$5:$M$304,Mileage!$C$5:$C$304,AG73,Mileage!$B$5:$B$304,"&gt;="&amp;RepFrom,Mileage!$B$5:$B$304,"&lt;="&amp;RepTo))</f>
        <v>0</v>
      </c>
      <c r="AL73" s="28">
        <f>IF(Lists!$Q73="","",Lists!$Q73)</f>
        <v>0</v>
      </c>
      <c r="AM73" s="31">
        <f>IF(AL73="","",COUNTIFS(Bookings!$AV$5:$AV$404,AL73,Bookings!$I$5:$I$404,"&gt;="&amp;RepFrom,Bookings!$I$5:$I$404,"&lt;="&amp;RepTo))</f>
        <v>0</v>
      </c>
      <c r="AN73" s="28">
        <f>IF(Lists!$AF73="","",Lists!$AF73)</f>
        <v>0</v>
      </c>
      <c r="AO73" s="29">
        <f>IF(AN73="","",SUMIFS(Payments!$L$5:$L$304,Payments!$F$5:$F$304,AN73,Payments!$B$5:$B$304,"&gt;="&amp;RepFrom,Payments!$B$5:$B$304,"&lt;="&amp;RepTo))</f>
        <v>0</v>
      </c>
      <c r="AP73" s="28">
        <f>IF(Lists!$E73="","",Lists!$E73)</f>
        <v>0</v>
      </c>
      <c r="AQ73" s="31">
        <f>IF(AP73="","",COUNTIFS(Clients!$K$5:$K$254,AP73))</f>
        <v>0</v>
      </c>
      <c r="AR73" s="29">
        <f>IF(AP73="","",SUMIFS(Clients!$AE$5:$AE$254,Clients!$K$5:$K$254,AP73))</f>
        <v>0</v>
      </c>
    </row>
    <row r="74" spans="1:44">
      <c r="A74" s="28">
        <f>IF(Clients!$B$74="","",Clients!$B$74)</f>
        <v>0</v>
      </c>
      <c r="B74" s="29">
        <f>IF(A74="","",SUMIFS(Payments!$L$5:$L$304,Payments!$C$5:$C$304,A74,Payments!$B$5:$B$304,"&gt;="&amp;PeriodStart,Payments!$B$5:$B$304,"&lt;="&amp;PeriodEnd))</f>
        <v>0</v>
      </c>
      <c r="C74" s="51">
        <f>IF(A74="","",IF(B74&lt;=0,"",B74+ROW()/1000000))</f>
        <v>0</v>
      </c>
      <c r="D74" s="29">
        <f>IF(A74="","",SUMIFS(Payments!$L$5:$L$304,Payments!$C$5:$C$304,A74,Payments!$B$5:$B$304,"&gt;="&amp;RepFrom,Payments!$B$5:$B$304,"&lt;="&amp;RepTo))</f>
        <v>0</v>
      </c>
      <c r="E74" s="51">
        <f>IF(A74="","",IF(D74&lt;=0,"",D74+ROW()/1000000))</f>
        <v>0</v>
      </c>
      <c r="F74" s="29">
        <f>IF(A74="","",SUMIFS(Invoices!$S$5:$S$304,Invoices!$D$5:$D$304,A74,Invoices!$T$5:$T$304,"&lt;&gt;Cancelled"))</f>
        <v>0</v>
      </c>
      <c r="G74" s="51">
        <f>IF(A74="","",IF(F74&lt;=0.004,"",F74+ROW()/1000000))</f>
        <v>0</v>
      </c>
      <c r="H74" s="31">
        <f>IF(A74="","",COUNTIFS(Bookings!$C$5:$C$404,A74,Bookings!$I$5:$I$404,"&gt;="&amp;RepFrom,Bookings!$I$5:$I$404,"&lt;="&amp;RepTo,Bookings!$AM$5:$AM$404,"&lt;&gt;Cancelled"))</f>
        <v>0</v>
      </c>
      <c r="I74" s="28">
        <f>IF(Services!$B$74="","",Services!$B$74)</f>
        <v>0</v>
      </c>
      <c r="J74" s="29">
        <f>IF(I74="","",SUMIFS(Bookings!$AK$5:$AK$404,Bookings!$H$5:$H$404,I74,Bookings!$I$5:$I$404,"&gt;="&amp;PeriodStart,Bookings!$I$5:$I$404,"&lt;="&amp;PeriodEnd,Bookings!$AM$5:$AM$404,"&lt;&gt;Cancelled"))</f>
        <v>0</v>
      </c>
      <c r="K74" s="31">
        <f>IF(I74="","",COUNTIFS(Bookings!$H$5:$H$404,I74,Bookings!$I$5:$I$404,"&gt;="&amp;PeriodStart,Bookings!$I$5:$I$404,"&lt;="&amp;PeriodEnd,Bookings!$AM$5:$AM$404,"&lt;&gt;Cancelled"))</f>
        <v>0</v>
      </c>
      <c r="L74" s="29">
        <f>IF(I74="","",SUMIFS(Bookings!$AK$5:$AK$404,Bookings!$H$5:$H$404,I74,Bookings!$I$5:$I$404,"&gt;="&amp;RepFrom,Bookings!$I$5:$I$404,"&lt;="&amp;RepTo,Bookings!$AM$5:$AM$404,"&lt;&gt;Cancelled"))</f>
        <v>0</v>
      </c>
      <c r="M74" s="31">
        <f>IF(I74="","",COUNTIFS(Bookings!$H$5:$H$404,I74,Bookings!$I$5:$I$404,"&gt;="&amp;RepFrom,Bookings!$I$5:$I$404,"&lt;="&amp;RepTo,Bookings!$AM$5:$AM$404,"&lt;&gt;Cancelled"))</f>
        <v>0</v>
      </c>
      <c r="N74" s="29">
        <f>IF(I74="","",M74*IF(Services!$L$74="",0,Services!$L$74))</f>
        <v>0</v>
      </c>
      <c r="O74" s="29">
        <f>IF(I74="","",L74-N74)</f>
        <v>0</v>
      </c>
      <c r="P74" s="28">
        <f>IF(Lists!$AG74="","",Lists!$AG74)</f>
        <v>0</v>
      </c>
      <c r="Q74" s="29">
        <f>IF(P74="","",SUMIFS(Expenses!$F$5:$F$304,Expenses!$C$5:$C$304,P74,Expenses!$B$5:$B$304,"&gt;="&amp;PeriodStart,Expenses!$B$5:$B$304,"&lt;="&amp;PeriodEnd,Expenses!$J$5:$J$304,"&lt;&gt;Personal"))</f>
        <v>0</v>
      </c>
      <c r="R74" s="29">
        <f>IF(P74="","",SUMIFS(Expenses!$F$5:$F$304,Expenses!$C$5:$C$304,P74,Expenses!$B$5:$B$304,"&gt;="&amp;RepFrom,Expenses!$B$5:$B$304,"&lt;="&amp;RepTo,Expenses!$J$5:$J$304,"&lt;&gt;Personal"))</f>
        <v>0</v>
      </c>
      <c r="S74" s="21">
        <f>IF(ROW()-4&gt;12,"",DATE(Dash_Year,ROW()-4,1))</f>
        <v>0</v>
      </c>
      <c r="T74" s="21">
        <f>IF(S74="","",EOMONTH(S74,0))</f>
        <v>0</v>
      </c>
      <c r="U74" s="28">
        <f>IF(S74="","",TEXT(S74,"mmm"))</f>
        <v>0</v>
      </c>
      <c r="V74" s="29">
        <f>IF(S74="","",SUMIFS(Payments!$L$5:$L$304,Payments!$B$5:$B$304,"&gt;="&amp;S74,Payments!$B$5:$B$304,"&lt;="&amp;T74))</f>
        <v>0</v>
      </c>
      <c r="W74" s="29">
        <f>IF(S74="","",SUMIFS(Invoices!$O$5:$O$304,Invoices!$B$5:$B$304,"&gt;="&amp;S74,Invoices!$B$5:$B$304,"&lt;="&amp;T74,Invoices!$T$5:$T$304,"&lt;&gt;Cancelled"))</f>
        <v>0</v>
      </c>
      <c r="X74" s="29">
        <f>IF(S74="","",SUMIFS(Expenses!$F$5:$F$304,Expenses!$B$5:$B$304,"&gt;="&amp;S74,Expenses!$B$5:$B$304,"&lt;="&amp;T74,Expenses!$J$5:$J$304,"&lt;&gt;Personal"))</f>
        <v>0</v>
      </c>
      <c r="Y74" s="29">
        <f>IF(S74="","",V74-X74)</f>
        <v>0</v>
      </c>
      <c r="Z74" s="31">
        <f>IF(S74="","",COUNTIFS(Bookings!$I$5:$I$404,"&gt;="&amp;S74,Bookings!$I$5:$I$404,"&lt;="&amp;T74,Bookings!$AM$5:$AM$404,"&lt;&gt;Cancelled"))</f>
        <v>0</v>
      </c>
      <c r="AA74" s="31">
        <f>IF(S74="","",COUNTIFS(Bookings!$I$5:$I$404,"&gt;="&amp;S74,Bookings!$I$5:$I$404,"&lt;="&amp;T74,Bookings!$AM$5:$AM$404,"Completed"))</f>
        <v>0</v>
      </c>
      <c r="AB74" s="31">
        <f>IF(S74="","",COUNTIFS(Bookings!$I$5:$I$404,"&gt;="&amp;S74,Bookings!$I$5:$I$404,"&lt;="&amp;T74,Bookings!$AM$5:$AM$404,"Cancelled"))</f>
        <v>0</v>
      </c>
      <c r="AC74" s="31">
        <f>IF(S74="","",COUNTIFS('Visit Log'!$C$5:$C$404,"&gt;="&amp;S74,'Visit Log'!$C$5:$C$404,"&lt;="&amp;T74,'Visit Log'!$AE$5:$AE$404,"Completed"))</f>
        <v>0</v>
      </c>
      <c r="AD74" s="31">
        <f>IF(S74="","",COUNTIFS(Clients!$L$5:$L$254,"&gt;="&amp;S74,Clients!$L$5:$L$254,"&lt;="&amp;T74))</f>
        <v>0</v>
      </c>
      <c r="AE74" s="32">
        <f>IF(S74="","",SUMIFS(Mileage!$M$5:$M$304,Mileage!$B$5:$B$304,"&gt;="&amp;S74,Mileage!$B$5:$B$304,"&lt;="&amp;T74,Mileage!$N$5:$N$304,"Business"))</f>
        <v>0</v>
      </c>
      <c r="AF74" s="29">
        <f>IF(S74="","",SUMIFS(Payments!$L$5:$L$304,Payments!$B$5:$B$304,"&gt;="&amp;DATE(Dash_Year-1,ROW()-4,1),Payments!$B$5:$B$304,"&lt;="&amp;EOMONTH(DATE(Dash_Year-1,ROW()-4,1),0)))</f>
        <v>0</v>
      </c>
      <c r="AG74" s="28">
        <f>IF(Staff!$B$74="","",Staff!$B$74)</f>
        <v>0</v>
      </c>
      <c r="AH74" s="31">
        <f>IF(AG74="","",COUNTIFS('Visit Log'!$G$5:$G$404,AG74,'Visit Log'!$C$5:$C$404,"&gt;="&amp;RepFrom,'Visit Log'!$C$5:$C$404,"&lt;="&amp;RepTo,'Visit Log'!$AE$5:$AE$404,"Completed"))</f>
        <v>0</v>
      </c>
      <c r="AI74" s="51">
        <f>IF(AG74="","",ROUND(SUMIFS('Visit Log'!$K$5:$K$404,'Visit Log'!$G$5:$G$404,AG74,'Visit Log'!$C$5:$C$404,"&gt;="&amp;RepFrom,'Visit Log'!$C$5:$C$404,"&lt;="&amp;RepTo,'Visit Log'!$AE$5:$AE$404,"Completed")/60,2))</f>
        <v>0</v>
      </c>
      <c r="AJ74" s="29">
        <f>IF(AG74="","",SUMIFS(Bookings!$AK$5:$AK$404,Bookings!$AL$5:$AL$404,AG74,Bookings!$I$5:$I$404,"&gt;="&amp;RepFrom,Bookings!$I$5:$I$404,"&lt;="&amp;RepTo,Bookings!$AM$5:$AM$404,"&lt;&gt;Cancelled"))</f>
        <v>0</v>
      </c>
      <c r="AK74" s="32">
        <f>IF(AG74="","",SUMIFS(Mileage!$M$5:$M$304,Mileage!$C$5:$C$304,AG74,Mileage!$B$5:$B$304,"&gt;="&amp;RepFrom,Mileage!$B$5:$B$304,"&lt;="&amp;RepTo))</f>
        <v>0</v>
      </c>
      <c r="AL74" s="28">
        <f>IF(Lists!$Q74="","",Lists!$Q74)</f>
        <v>0</v>
      </c>
      <c r="AM74" s="31">
        <f>IF(AL74="","",COUNTIFS(Bookings!$AV$5:$AV$404,AL74,Bookings!$I$5:$I$404,"&gt;="&amp;RepFrom,Bookings!$I$5:$I$404,"&lt;="&amp;RepTo))</f>
        <v>0</v>
      </c>
      <c r="AN74" s="28">
        <f>IF(Lists!$AF74="","",Lists!$AF74)</f>
        <v>0</v>
      </c>
      <c r="AO74" s="29">
        <f>IF(AN74="","",SUMIFS(Payments!$L$5:$L$304,Payments!$F$5:$F$304,AN74,Payments!$B$5:$B$304,"&gt;="&amp;RepFrom,Payments!$B$5:$B$304,"&lt;="&amp;RepTo))</f>
        <v>0</v>
      </c>
      <c r="AP74" s="28">
        <f>IF(Lists!$E74="","",Lists!$E74)</f>
        <v>0</v>
      </c>
      <c r="AQ74" s="31">
        <f>IF(AP74="","",COUNTIFS(Clients!$K$5:$K$254,AP74))</f>
        <v>0</v>
      </c>
      <c r="AR74" s="29">
        <f>IF(AP74="","",SUMIFS(Clients!$AE$5:$AE$254,Clients!$K$5:$K$254,AP74))</f>
        <v>0</v>
      </c>
    </row>
    <row r="75" spans="1:44">
      <c r="A75" s="28">
        <f>IF(Clients!$B$75="","",Clients!$B$75)</f>
        <v>0</v>
      </c>
      <c r="B75" s="29">
        <f>IF(A75="","",SUMIFS(Payments!$L$5:$L$304,Payments!$C$5:$C$304,A75,Payments!$B$5:$B$304,"&gt;="&amp;PeriodStart,Payments!$B$5:$B$304,"&lt;="&amp;PeriodEnd))</f>
        <v>0</v>
      </c>
      <c r="C75" s="51">
        <f>IF(A75="","",IF(B75&lt;=0,"",B75+ROW()/1000000))</f>
        <v>0</v>
      </c>
      <c r="D75" s="29">
        <f>IF(A75="","",SUMIFS(Payments!$L$5:$L$304,Payments!$C$5:$C$304,A75,Payments!$B$5:$B$304,"&gt;="&amp;RepFrom,Payments!$B$5:$B$304,"&lt;="&amp;RepTo))</f>
        <v>0</v>
      </c>
      <c r="E75" s="51">
        <f>IF(A75="","",IF(D75&lt;=0,"",D75+ROW()/1000000))</f>
        <v>0</v>
      </c>
      <c r="F75" s="29">
        <f>IF(A75="","",SUMIFS(Invoices!$S$5:$S$304,Invoices!$D$5:$D$304,A75,Invoices!$T$5:$T$304,"&lt;&gt;Cancelled"))</f>
        <v>0</v>
      </c>
      <c r="G75" s="51">
        <f>IF(A75="","",IF(F75&lt;=0.004,"",F75+ROW()/1000000))</f>
        <v>0</v>
      </c>
      <c r="H75" s="31">
        <f>IF(A75="","",COUNTIFS(Bookings!$C$5:$C$404,A75,Bookings!$I$5:$I$404,"&gt;="&amp;RepFrom,Bookings!$I$5:$I$404,"&lt;="&amp;RepTo,Bookings!$AM$5:$AM$404,"&lt;&gt;Cancelled"))</f>
        <v>0</v>
      </c>
      <c r="I75" s="28">
        <f>IF(Services!$B$75="","",Services!$B$75)</f>
        <v>0</v>
      </c>
      <c r="J75" s="29">
        <f>IF(I75="","",SUMIFS(Bookings!$AK$5:$AK$404,Bookings!$H$5:$H$404,I75,Bookings!$I$5:$I$404,"&gt;="&amp;PeriodStart,Bookings!$I$5:$I$404,"&lt;="&amp;PeriodEnd,Bookings!$AM$5:$AM$404,"&lt;&gt;Cancelled"))</f>
        <v>0</v>
      </c>
      <c r="K75" s="31">
        <f>IF(I75="","",COUNTIFS(Bookings!$H$5:$H$404,I75,Bookings!$I$5:$I$404,"&gt;="&amp;PeriodStart,Bookings!$I$5:$I$404,"&lt;="&amp;PeriodEnd,Bookings!$AM$5:$AM$404,"&lt;&gt;Cancelled"))</f>
        <v>0</v>
      </c>
      <c r="L75" s="29">
        <f>IF(I75="","",SUMIFS(Bookings!$AK$5:$AK$404,Bookings!$H$5:$H$404,I75,Bookings!$I$5:$I$404,"&gt;="&amp;RepFrom,Bookings!$I$5:$I$404,"&lt;="&amp;RepTo,Bookings!$AM$5:$AM$404,"&lt;&gt;Cancelled"))</f>
        <v>0</v>
      </c>
      <c r="M75" s="31">
        <f>IF(I75="","",COUNTIFS(Bookings!$H$5:$H$404,I75,Bookings!$I$5:$I$404,"&gt;="&amp;RepFrom,Bookings!$I$5:$I$404,"&lt;="&amp;RepTo,Bookings!$AM$5:$AM$404,"&lt;&gt;Cancelled"))</f>
        <v>0</v>
      </c>
      <c r="N75" s="29">
        <f>IF(I75="","",M75*IF(Services!$L$75="",0,Services!$L$75))</f>
        <v>0</v>
      </c>
      <c r="O75" s="29">
        <f>IF(I75="","",L75-N75)</f>
        <v>0</v>
      </c>
      <c r="P75" s="28">
        <f>IF(Lists!$AG75="","",Lists!$AG75)</f>
        <v>0</v>
      </c>
      <c r="Q75" s="29">
        <f>IF(P75="","",SUMIFS(Expenses!$F$5:$F$304,Expenses!$C$5:$C$304,P75,Expenses!$B$5:$B$304,"&gt;="&amp;PeriodStart,Expenses!$B$5:$B$304,"&lt;="&amp;PeriodEnd,Expenses!$J$5:$J$304,"&lt;&gt;Personal"))</f>
        <v>0</v>
      </c>
      <c r="R75" s="29">
        <f>IF(P75="","",SUMIFS(Expenses!$F$5:$F$304,Expenses!$C$5:$C$304,P75,Expenses!$B$5:$B$304,"&gt;="&amp;RepFrom,Expenses!$B$5:$B$304,"&lt;="&amp;RepTo,Expenses!$J$5:$J$304,"&lt;&gt;Personal"))</f>
        <v>0</v>
      </c>
      <c r="S75" s="21">
        <f>IF(ROW()-4&gt;12,"",DATE(Dash_Year,ROW()-4,1))</f>
        <v>0</v>
      </c>
      <c r="T75" s="21">
        <f>IF(S75="","",EOMONTH(S75,0))</f>
        <v>0</v>
      </c>
      <c r="U75" s="28">
        <f>IF(S75="","",TEXT(S75,"mmm"))</f>
        <v>0</v>
      </c>
      <c r="V75" s="29">
        <f>IF(S75="","",SUMIFS(Payments!$L$5:$L$304,Payments!$B$5:$B$304,"&gt;="&amp;S75,Payments!$B$5:$B$304,"&lt;="&amp;T75))</f>
        <v>0</v>
      </c>
      <c r="W75" s="29">
        <f>IF(S75="","",SUMIFS(Invoices!$O$5:$O$304,Invoices!$B$5:$B$304,"&gt;="&amp;S75,Invoices!$B$5:$B$304,"&lt;="&amp;T75,Invoices!$T$5:$T$304,"&lt;&gt;Cancelled"))</f>
        <v>0</v>
      </c>
      <c r="X75" s="29">
        <f>IF(S75="","",SUMIFS(Expenses!$F$5:$F$304,Expenses!$B$5:$B$304,"&gt;="&amp;S75,Expenses!$B$5:$B$304,"&lt;="&amp;T75,Expenses!$J$5:$J$304,"&lt;&gt;Personal"))</f>
        <v>0</v>
      </c>
      <c r="Y75" s="29">
        <f>IF(S75="","",V75-X75)</f>
        <v>0</v>
      </c>
      <c r="Z75" s="31">
        <f>IF(S75="","",COUNTIFS(Bookings!$I$5:$I$404,"&gt;="&amp;S75,Bookings!$I$5:$I$404,"&lt;="&amp;T75,Bookings!$AM$5:$AM$404,"&lt;&gt;Cancelled"))</f>
        <v>0</v>
      </c>
      <c r="AA75" s="31">
        <f>IF(S75="","",COUNTIFS(Bookings!$I$5:$I$404,"&gt;="&amp;S75,Bookings!$I$5:$I$404,"&lt;="&amp;T75,Bookings!$AM$5:$AM$404,"Completed"))</f>
        <v>0</v>
      </c>
      <c r="AB75" s="31">
        <f>IF(S75="","",COUNTIFS(Bookings!$I$5:$I$404,"&gt;="&amp;S75,Bookings!$I$5:$I$404,"&lt;="&amp;T75,Bookings!$AM$5:$AM$404,"Cancelled"))</f>
        <v>0</v>
      </c>
      <c r="AC75" s="31">
        <f>IF(S75="","",COUNTIFS('Visit Log'!$C$5:$C$404,"&gt;="&amp;S75,'Visit Log'!$C$5:$C$404,"&lt;="&amp;T75,'Visit Log'!$AE$5:$AE$404,"Completed"))</f>
        <v>0</v>
      </c>
      <c r="AD75" s="31">
        <f>IF(S75="","",COUNTIFS(Clients!$L$5:$L$254,"&gt;="&amp;S75,Clients!$L$5:$L$254,"&lt;="&amp;T75))</f>
        <v>0</v>
      </c>
      <c r="AE75" s="32">
        <f>IF(S75="","",SUMIFS(Mileage!$M$5:$M$304,Mileage!$B$5:$B$304,"&gt;="&amp;S75,Mileage!$B$5:$B$304,"&lt;="&amp;T75,Mileage!$N$5:$N$304,"Business"))</f>
        <v>0</v>
      </c>
      <c r="AF75" s="29">
        <f>IF(S75="","",SUMIFS(Payments!$L$5:$L$304,Payments!$B$5:$B$304,"&gt;="&amp;DATE(Dash_Year-1,ROW()-4,1),Payments!$B$5:$B$304,"&lt;="&amp;EOMONTH(DATE(Dash_Year-1,ROW()-4,1),0)))</f>
        <v>0</v>
      </c>
      <c r="AG75" s="28">
        <f>IF(Staff!$B$75="","",Staff!$B$75)</f>
        <v>0</v>
      </c>
      <c r="AH75" s="31">
        <f>IF(AG75="","",COUNTIFS('Visit Log'!$G$5:$G$404,AG75,'Visit Log'!$C$5:$C$404,"&gt;="&amp;RepFrom,'Visit Log'!$C$5:$C$404,"&lt;="&amp;RepTo,'Visit Log'!$AE$5:$AE$404,"Completed"))</f>
        <v>0</v>
      </c>
      <c r="AI75" s="51">
        <f>IF(AG75="","",ROUND(SUMIFS('Visit Log'!$K$5:$K$404,'Visit Log'!$G$5:$G$404,AG75,'Visit Log'!$C$5:$C$404,"&gt;="&amp;RepFrom,'Visit Log'!$C$5:$C$404,"&lt;="&amp;RepTo,'Visit Log'!$AE$5:$AE$404,"Completed")/60,2))</f>
        <v>0</v>
      </c>
      <c r="AJ75" s="29">
        <f>IF(AG75="","",SUMIFS(Bookings!$AK$5:$AK$404,Bookings!$AL$5:$AL$404,AG75,Bookings!$I$5:$I$404,"&gt;="&amp;RepFrom,Bookings!$I$5:$I$404,"&lt;="&amp;RepTo,Bookings!$AM$5:$AM$404,"&lt;&gt;Cancelled"))</f>
        <v>0</v>
      </c>
      <c r="AK75" s="32">
        <f>IF(AG75="","",SUMIFS(Mileage!$M$5:$M$304,Mileage!$C$5:$C$304,AG75,Mileage!$B$5:$B$304,"&gt;="&amp;RepFrom,Mileage!$B$5:$B$304,"&lt;="&amp;RepTo))</f>
        <v>0</v>
      </c>
      <c r="AL75" s="28">
        <f>IF(Lists!$Q75="","",Lists!$Q75)</f>
        <v>0</v>
      </c>
      <c r="AM75" s="31">
        <f>IF(AL75="","",COUNTIFS(Bookings!$AV$5:$AV$404,AL75,Bookings!$I$5:$I$404,"&gt;="&amp;RepFrom,Bookings!$I$5:$I$404,"&lt;="&amp;RepTo))</f>
        <v>0</v>
      </c>
      <c r="AN75" s="28">
        <f>IF(Lists!$AF75="","",Lists!$AF75)</f>
        <v>0</v>
      </c>
      <c r="AO75" s="29">
        <f>IF(AN75="","",SUMIFS(Payments!$L$5:$L$304,Payments!$F$5:$F$304,AN75,Payments!$B$5:$B$304,"&gt;="&amp;RepFrom,Payments!$B$5:$B$304,"&lt;="&amp;RepTo))</f>
        <v>0</v>
      </c>
      <c r="AP75" s="28">
        <f>IF(Lists!$E75="","",Lists!$E75)</f>
        <v>0</v>
      </c>
      <c r="AQ75" s="31">
        <f>IF(AP75="","",COUNTIFS(Clients!$K$5:$K$254,AP75))</f>
        <v>0</v>
      </c>
      <c r="AR75" s="29">
        <f>IF(AP75="","",SUMIFS(Clients!$AE$5:$AE$254,Clients!$K$5:$K$254,AP75))</f>
        <v>0</v>
      </c>
    </row>
    <row r="76" spans="1:44">
      <c r="A76" s="28">
        <f>IF(Clients!$B$76="","",Clients!$B$76)</f>
        <v>0</v>
      </c>
      <c r="B76" s="29">
        <f>IF(A76="","",SUMIFS(Payments!$L$5:$L$304,Payments!$C$5:$C$304,A76,Payments!$B$5:$B$304,"&gt;="&amp;PeriodStart,Payments!$B$5:$B$304,"&lt;="&amp;PeriodEnd))</f>
        <v>0</v>
      </c>
      <c r="C76" s="51">
        <f>IF(A76="","",IF(B76&lt;=0,"",B76+ROW()/1000000))</f>
        <v>0</v>
      </c>
      <c r="D76" s="29">
        <f>IF(A76="","",SUMIFS(Payments!$L$5:$L$304,Payments!$C$5:$C$304,A76,Payments!$B$5:$B$304,"&gt;="&amp;RepFrom,Payments!$B$5:$B$304,"&lt;="&amp;RepTo))</f>
        <v>0</v>
      </c>
      <c r="E76" s="51">
        <f>IF(A76="","",IF(D76&lt;=0,"",D76+ROW()/1000000))</f>
        <v>0</v>
      </c>
      <c r="F76" s="29">
        <f>IF(A76="","",SUMIFS(Invoices!$S$5:$S$304,Invoices!$D$5:$D$304,A76,Invoices!$T$5:$T$304,"&lt;&gt;Cancelled"))</f>
        <v>0</v>
      </c>
      <c r="G76" s="51">
        <f>IF(A76="","",IF(F76&lt;=0.004,"",F76+ROW()/1000000))</f>
        <v>0</v>
      </c>
      <c r="H76" s="31">
        <f>IF(A76="","",COUNTIFS(Bookings!$C$5:$C$404,A76,Bookings!$I$5:$I$404,"&gt;="&amp;RepFrom,Bookings!$I$5:$I$404,"&lt;="&amp;RepTo,Bookings!$AM$5:$AM$404,"&lt;&gt;Cancelled"))</f>
        <v>0</v>
      </c>
      <c r="I76" s="28">
        <f>IF(Services!$B$76="","",Services!$B$76)</f>
        <v>0</v>
      </c>
      <c r="J76" s="29">
        <f>IF(I76="","",SUMIFS(Bookings!$AK$5:$AK$404,Bookings!$H$5:$H$404,I76,Bookings!$I$5:$I$404,"&gt;="&amp;PeriodStart,Bookings!$I$5:$I$404,"&lt;="&amp;PeriodEnd,Bookings!$AM$5:$AM$404,"&lt;&gt;Cancelled"))</f>
        <v>0</v>
      </c>
      <c r="K76" s="31">
        <f>IF(I76="","",COUNTIFS(Bookings!$H$5:$H$404,I76,Bookings!$I$5:$I$404,"&gt;="&amp;PeriodStart,Bookings!$I$5:$I$404,"&lt;="&amp;PeriodEnd,Bookings!$AM$5:$AM$404,"&lt;&gt;Cancelled"))</f>
        <v>0</v>
      </c>
      <c r="L76" s="29">
        <f>IF(I76="","",SUMIFS(Bookings!$AK$5:$AK$404,Bookings!$H$5:$H$404,I76,Bookings!$I$5:$I$404,"&gt;="&amp;RepFrom,Bookings!$I$5:$I$404,"&lt;="&amp;RepTo,Bookings!$AM$5:$AM$404,"&lt;&gt;Cancelled"))</f>
        <v>0</v>
      </c>
      <c r="M76" s="31">
        <f>IF(I76="","",COUNTIFS(Bookings!$H$5:$H$404,I76,Bookings!$I$5:$I$404,"&gt;="&amp;RepFrom,Bookings!$I$5:$I$404,"&lt;="&amp;RepTo,Bookings!$AM$5:$AM$404,"&lt;&gt;Cancelled"))</f>
        <v>0</v>
      </c>
      <c r="N76" s="29">
        <f>IF(I76="","",M76*IF(Services!$L$76="",0,Services!$L$76))</f>
        <v>0</v>
      </c>
      <c r="O76" s="29">
        <f>IF(I76="","",L76-N76)</f>
        <v>0</v>
      </c>
      <c r="P76" s="28">
        <f>IF(Lists!$AG76="","",Lists!$AG76)</f>
        <v>0</v>
      </c>
      <c r="Q76" s="29">
        <f>IF(P76="","",SUMIFS(Expenses!$F$5:$F$304,Expenses!$C$5:$C$304,P76,Expenses!$B$5:$B$304,"&gt;="&amp;PeriodStart,Expenses!$B$5:$B$304,"&lt;="&amp;PeriodEnd,Expenses!$J$5:$J$304,"&lt;&gt;Personal"))</f>
        <v>0</v>
      </c>
      <c r="R76" s="29">
        <f>IF(P76="","",SUMIFS(Expenses!$F$5:$F$304,Expenses!$C$5:$C$304,P76,Expenses!$B$5:$B$304,"&gt;="&amp;RepFrom,Expenses!$B$5:$B$304,"&lt;="&amp;RepTo,Expenses!$J$5:$J$304,"&lt;&gt;Personal"))</f>
        <v>0</v>
      </c>
      <c r="S76" s="21">
        <f>IF(ROW()-4&gt;12,"",DATE(Dash_Year,ROW()-4,1))</f>
        <v>0</v>
      </c>
      <c r="T76" s="21">
        <f>IF(S76="","",EOMONTH(S76,0))</f>
        <v>0</v>
      </c>
      <c r="U76" s="28">
        <f>IF(S76="","",TEXT(S76,"mmm"))</f>
        <v>0</v>
      </c>
      <c r="V76" s="29">
        <f>IF(S76="","",SUMIFS(Payments!$L$5:$L$304,Payments!$B$5:$B$304,"&gt;="&amp;S76,Payments!$B$5:$B$304,"&lt;="&amp;T76))</f>
        <v>0</v>
      </c>
      <c r="W76" s="29">
        <f>IF(S76="","",SUMIFS(Invoices!$O$5:$O$304,Invoices!$B$5:$B$304,"&gt;="&amp;S76,Invoices!$B$5:$B$304,"&lt;="&amp;T76,Invoices!$T$5:$T$304,"&lt;&gt;Cancelled"))</f>
        <v>0</v>
      </c>
      <c r="X76" s="29">
        <f>IF(S76="","",SUMIFS(Expenses!$F$5:$F$304,Expenses!$B$5:$B$304,"&gt;="&amp;S76,Expenses!$B$5:$B$304,"&lt;="&amp;T76,Expenses!$J$5:$J$304,"&lt;&gt;Personal"))</f>
        <v>0</v>
      </c>
      <c r="Y76" s="29">
        <f>IF(S76="","",V76-X76)</f>
        <v>0</v>
      </c>
      <c r="Z76" s="31">
        <f>IF(S76="","",COUNTIFS(Bookings!$I$5:$I$404,"&gt;="&amp;S76,Bookings!$I$5:$I$404,"&lt;="&amp;T76,Bookings!$AM$5:$AM$404,"&lt;&gt;Cancelled"))</f>
        <v>0</v>
      </c>
      <c r="AA76" s="31">
        <f>IF(S76="","",COUNTIFS(Bookings!$I$5:$I$404,"&gt;="&amp;S76,Bookings!$I$5:$I$404,"&lt;="&amp;T76,Bookings!$AM$5:$AM$404,"Completed"))</f>
        <v>0</v>
      </c>
      <c r="AB76" s="31">
        <f>IF(S76="","",COUNTIFS(Bookings!$I$5:$I$404,"&gt;="&amp;S76,Bookings!$I$5:$I$404,"&lt;="&amp;T76,Bookings!$AM$5:$AM$404,"Cancelled"))</f>
        <v>0</v>
      </c>
      <c r="AC76" s="31">
        <f>IF(S76="","",COUNTIFS('Visit Log'!$C$5:$C$404,"&gt;="&amp;S76,'Visit Log'!$C$5:$C$404,"&lt;="&amp;T76,'Visit Log'!$AE$5:$AE$404,"Completed"))</f>
        <v>0</v>
      </c>
      <c r="AD76" s="31">
        <f>IF(S76="","",COUNTIFS(Clients!$L$5:$L$254,"&gt;="&amp;S76,Clients!$L$5:$L$254,"&lt;="&amp;T76))</f>
        <v>0</v>
      </c>
      <c r="AE76" s="32">
        <f>IF(S76="","",SUMIFS(Mileage!$M$5:$M$304,Mileage!$B$5:$B$304,"&gt;="&amp;S76,Mileage!$B$5:$B$304,"&lt;="&amp;T76,Mileage!$N$5:$N$304,"Business"))</f>
        <v>0</v>
      </c>
      <c r="AF76" s="29">
        <f>IF(S76="","",SUMIFS(Payments!$L$5:$L$304,Payments!$B$5:$B$304,"&gt;="&amp;DATE(Dash_Year-1,ROW()-4,1),Payments!$B$5:$B$304,"&lt;="&amp;EOMONTH(DATE(Dash_Year-1,ROW()-4,1),0)))</f>
        <v>0</v>
      </c>
      <c r="AG76" s="28">
        <f>IF(Staff!$B$76="","",Staff!$B$76)</f>
        <v>0</v>
      </c>
      <c r="AH76" s="31">
        <f>IF(AG76="","",COUNTIFS('Visit Log'!$G$5:$G$404,AG76,'Visit Log'!$C$5:$C$404,"&gt;="&amp;RepFrom,'Visit Log'!$C$5:$C$404,"&lt;="&amp;RepTo,'Visit Log'!$AE$5:$AE$404,"Completed"))</f>
        <v>0</v>
      </c>
      <c r="AI76" s="51">
        <f>IF(AG76="","",ROUND(SUMIFS('Visit Log'!$K$5:$K$404,'Visit Log'!$G$5:$G$404,AG76,'Visit Log'!$C$5:$C$404,"&gt;="&amp;RepFrom,'Visit Log'!$C$5:$C$404,"&lt;="&amp;RepTo,'Visit Log'!$AE$5:$AE$404,"Completed")/60,2))</f>
        <v>0</v>
      </c>
      <c r="AJ76" s="29">
        <f>IF(AG76="","",SUMIFS(Bookings!$AK$5:$AK$404,Bookings!$AL$5:$AL$404,AG76,Bookings!$I$5:$I$404,"&gt;="&amp;RepFrom,Bookings!$I$5:$I$404,"&lt;="&amp;RepTo,Bookings!$AM$5:$AM$404,"&lt;&gt;Cancelled"))</f>
        <v>0</v>
      </c>
      <c r="AK76" s="32">
        <f>IF(AG76="","",SUMIFS(Mileage!$M$5:$M$304,Mileage!$C$5:$C$304,AG76,Mileage!$B$5:$B$304,"&gt;="&amp;RepFrom,Mileage!$B$5:$B$304,"&lt;="&amp;RepTo))</f>
        <v>0</v>
      </c>
      <c r="AL76" s="28">
        <f>IF(Lists!$Q76="","",Lists!$Q76)</f>
        <v>0</v>
      </c>
      <c r="AM76" s="31">
        <f>IF(AL76="","",COUNTIFS(Bookings!$AV$5:$AV$404,AL76,Bookings!$I$5:$I$404,"&gt;="&amp;RepFrom,Bookings!$I$5:$I$404,"&lt;="&amp;RepTo))</f>
        <v>0</v>
      </c>
      <c r="AN76" s="28">
        <f>IF(Lists!$AF76="","",Lists!$AF76)</f>
        <v>0</v>
      </c>
      <c r="AO76" s="29">
        <f>IF(AN76="","",SUMIFS(Payments!$L$5:$L$304,Payments!$F$5:$F$304,AN76,Payments!$B$5:$B$304,"&gt;="&amp;RepFrom,Payments!$B$5:$B$304,"&lt;="&amp;RepTo))</f>
        <v>0</v>
      </c>
      <c r="AP76" s="28">
        <f>IF(Lists!$E76="","",Lists!$E76)</f>
        <v>0</v>
      </c>
      <c r="AQ76" s="31">
        <f>IF(AP76="","",COUNTIFS(Clients!$K$5:$K$254,AP76))</f>
        <v>0</v>
      </c>
      <c r="AR76" s="29">
        <f>IF(AP76="","",SUMIFS(Clients!$AE$5:$AE$254,Clients!$K$5:$K$254,AP76))</f>
        <v>0</v>
      </c>
    </row>
    <row r="77" spans="1:44">
      <c r="A77" s="28">
        <f>IF(Clients!$B$77="","",Clients!$B$77)</f>
        <v>0</v>
      </c>
      <c r="B77" s="29">
        <f>IF(A77="","",SUMIFS(Payments!$L$5:$L$304,Payments!$C$5:$C$304,A77,Payments!$B$5:$B$304,"&gt;="&amp;PeriodStart,Payments!$B$5:$B$304,"&lt;="&amp;PeriodEnd))</f>
        <v>0</v>
      </c>
      <c r="C77" s="51">
        <f>IF(A77="","",IF(B77&lt;=0,"",B77+ROW()/1000000))</f>
        <v>0</v>
      </c>
      <c r="D77" s="29">
        <f>IF(A77="","",SUMIFS(Payments!$L$5:$L$304,Payments!$C$5:$C$304,A77,Payments!$B$5:$B$304,"&gt;="&amp;RepFrom,Payments!$B$5:$B$304,"&lt;="&amp;RepTo))</f>
        <v>0</v>
      </c>
      <c r="E77" s="51">
        <f>IF(A77="","",IF(D77&lt;=0,"",D77+ROW()/1000000))</f>
        <v>0</v>
      </c>
      <c r="F77" s="29">
        <f>IF(A77="","",SUMIFS(Invoices!$S$5:$S$304,Invoices!$D$5:$D$304,A77,Invoices!$T$5:$T$304,"&lt;&gt;Cancelled"))</f>
        <v>0</v>
      </c>
      <c r="G77" s="51">
        <f>IF(A77="","",IF(F77&lt;=0.004,"",F77+ROW()/1000000))</f>
        <v>0</v>
      </c>
      <c r="H77" s="31">
        <f>IF(A77="","",COUNTIFS(Bookings!$C$5:$C$404,A77,Bookings!$I$5:$I$404,"&gt;="&amp;RepFrom,Bookings!$I$5:$I$404,"&lt;="&amp;RepTo,Bookings!$AM$5:$AM$404,"&lt;&gt;Cancelled"))</f>
        <v>0</v>
      </c>
      <c r="I77" s="28">
        <f>IF(Services!$B$77="","",Services!$B$77)</f>
        <v>0</v>
      </c>
      <c r="J77" s="29">
        <f>IF(I77="","",SUMIFS(Bookings!$AK$5:$AK$404,Bookings!$H$5:$H$404,I77,Bookings!$I$5:$I$404,"&gt;="&amp;PeriodStart,Bookings!$I$5:$I$404,"&lt;="&amp;PeriodEnd,Bookings!$AM$5:$AM$404,"&lt;&gt;Cancelled"))</f>
        <v>0</v>
      </c>
      <c r="K77" s="31">
        <f>IF(I77="","",COUNTIFS(Bookings!$H$5:$H$404,I77,Bookings!$I$5:$I$404,"&gt;="&amp;PeriodStart,Bookings!$I$5:$I$404,"&lt;="&amp;PeriodEnd,Bookings!$AM$5:$AM$404,"&lt;&gt;Cancelled"))</f>
        <v>0</v>
      </c>
      <c r="L77" s="29">
        <f>IF(I77="","",SUMIFS(Bookings!$AK$5:$AK$404,Bookings!$H$5:$H$404,I77,Bookings!$I$5:$I$404,"&gt;="&amp;RepFrom,Bookings!$I$5:$I$404,"&lt;="&amp;RepTo,Bookings!$AM$5:$AM$404,"&lt;&gt;Cancelled"))</f>
        <v>0</v>
      </c>
      <c r="M77" s="31">
        <f>IF(I77="","",COUNTIFS(Bookings!$H$5:$H$404,I77,Bookings!$I$5:$I$404,"&gt;="&amp;RepFrom,Bookings!$I$5:$I$404,"&lt;="&amp;RepTo,Bookings!$AM$5:$AM$404,"&lt;&gt;Cancelled"))</f>
        <v>0</v>
      </c>
      <c r="N77" s="29">
        <f>IF(I77="","",M77*IF(Services!$L$77="",0,Services!$L$77))</f>
        <v>0</v>
      </c>
      <c r="O77" s="29">
        <f>IF(I77="","",L77-N77)</f>
        <v>0</v>
      </c>
      <c r="P77" s="28">
        <f>IF(Lists!$AG77="","",Lists!$AG77)</f>
        <v>0</v>
      </c>
      <c r="Q77" s="29">
        <f>IF(P77="","",SUMIFS(Expenses!$F$5:$F$304,Expenses!$C$5:$C$304,P77,Expenses!$B$5:$B$304,"&gt;="&amp;PeriodStart,Expenses!$B$5:$B$304,"&lt;="&amp;PeriodEnd,Expenses!$J$5:$J$304,"&lt;&gt;Personal"))</f>
        <v>0</v>
      </c>
      <c r="R77" s="29">
        <f>IF(P77="","",SUMIFS(Expenses!$F$5:$F$304,Expenses!$C$5:$C$304,P77,Expenses!$B$5:$B$304,"&gt;="&amp;RepFrom,Expenses!$B$5:$B$304,"&lt;="&amp;RepTo,Expenses!$J$5:$J$304,"&lt;&gt;Personal"))</f>
        <v>0</v>
      </c>
      <c r="S77" s="21">
        <f>IF(ROW()-4&gt;12,"",DATE(Dash_Year,ROW()-4,1))</f>
        <v>0</v>
      </c>
      <c r="T77" s="21">
        <f>IF(S77="","",EOMONTH(S77,0))</f>
        <v>0</v>
      </c>
      <c r="U77" s="28">
        <f>IF(S77="","",TEXT(S77,"mmm"))</f>
        <v>0</v>
      </c>
      <c r="V77" s="29">
        <f>IF(S77="","",SUMIFS(Payments!$L$5:$L$304,Payments!$B$5:$B$304,"&gt;="&amp;S77,Payments!$B$5:$B$304,"&lt;="&amp;T77))</f>
        <v>0</v>
      </c>
      <c r="W77" s="29">
        <f>IF(S77="","",SUMIFS(Invoices!$O$5:$O$304,Invoices!$B$5:$B$304,"&gt;="&amp;S77,Invoices!$B$5:$B$304,"&lt;="&amp;T77,Invoices!$T$5:$T$304,"&lt;&gt;Cancelled"))</f>
        <v>0</v>
      </c>
      <c r="X77" s="29">
        <f>IF(S77="","",SUMIFS(Expenses!$F$5:$F$304,Expenses!$B$5:$B$304,"&gt;="&amp;S77,Expenses!$B$5:$B$304,"&lt;="&amp;T77,Expenses!$J$5:$J$304,"&lt;&gt;Personal"))</f>
        <v>0</v>
      </c>
      <c r="Y77" s="29">
        <f>IF(S77="","",V77-X77)</f>
        <v>0</v>
      </c>
      <c r="Z77" s="31">
        <f>IF(S77="","",COUNTIFS(Bookings!$I$5:$I$404,"&gt;="&amp;S77,Bookings!$I$5:$I$404,"&lt;="&amp;T77,Bookings!$AM$5:$AM$404,"&lt;&gt;Cancelled"))</f>
        <v>0</v>
      </c>
      <c r="AA77" s="31">
        <f>IF(S77="","",COUNTIFS(Bookings!$I$5:$I$404,"&gt;="&amp;S77,Bookings!$I$5:$I$404,"&lt;="&amp;T77,Bookings!$AM$5:$AM$404,"Completed"))</f>
        <v>0</v>
      </c>
      <c r="AB77" s="31">
        <f>IF(S77="","",COUNTIFS(Bookings!$I$5:$I$404,"&gt;="&amp;S77,Bookings!$I$5:$I$404,"&lt;="&amp;T77,Bookings!$AM$5:$AM$404,"Cancelled"))</f>
        <v>0</v>
      </c>
      <c r="AC77" s="31">
        <f>IF(S77="","",COUNTIFS('Visit Log'!$C$5:$C$404,"&gt;="&amp;S77,'Visit Log'!$C$5:$C$404,"&lt;="&amp;T77,'Visit Log'!$AE$5:$AE$404,"Completed"))</f>
        <v>0</v>
      </c>
      <c r="AD77" s="31">
        <f>IF(S77="","",COUNTIFS(Clients!$L$5:$L$254,"&gt;="&amp;S77,Clients!$L$5:$L$254,"&lt;="&amp;T77))</f>
        <v>0</v>
      </c>
      <c r="AE77" s="32">
        <f>IF(S77="","",SUMIFS(Mileage!$M$5:$M$304,Mileage!$B$5:$B$304,"&gt;="&amp;S77,Mileage!$B$5:$B$304,"&lt;="&amp;T77,Mileage!$N$5:$N$304,"Business"))</f>
        <v>0</v>
      </c>
      <c r="AF77" s="29">
        <f>IF(S77="","",SUMIFS(Payments!$L$5:$L$304,Payments!$B$5:$B$304,"&gt;="&amp;DATE(Dash_Year-1,ROW()-4,1),Payments!$B$5:$B$304,"&lt;="&amp;EOMONTH(DATE(Dash_Year-1,ROW()-4,1),0)))</f>
        <v>0</v>
      </c>
      <c r="AG77" s="28">
        <f>IF(Staff!$B$77="","",Staff!$B$77)</f>
        <v>0</v>
      </c>
      <c r="AH77" s="31">
        <f>IF(AG77="","",COUNTIFS('Visit Log'!$G$5:$G$404,AG77,'Visit Log'!$C$5:$C$404,"&gt;="&amp;RepFrom,'Visit Log'!$C$5:$C$404,"&lt;="&amp;RepTo,'Visit Log'!$AE$5:$AE$404,"Completed"))</f>
        <v>0</v>
      </c>
      <c r="AI77" s="51">
        <f>IF(AG77="","",ROUND(SUMIFS('Visit Log'!$K$5:$K$404,'Visit Log'!$G$5:$G$404,AG77,'Visit Log'!$C$5:$C$404,"&gt;="&amp;RepFrom,'Visit Log'!$C$5:$C$404,"&lt;="&amp;RepTo,'Visit Log'!$AE$5:$AE$404,"Completed")/60,2))</f>
        <v>0</v>
      </c>
      <c r="AJ77" s="29">
        <f>IF(AG77="","",SUMIFS(Bookings!$AK$5:$AK$404,Bookings!$AL$5:$AL$404,AG77,Bookings!$I$5:$I$404,"&gt;="&amp;RepFrom,Bookings!$I$5:$I$404,"&lt;="&amp;RepTo,Bookings!$AM$5:$AM$404,"&lt;&gt;Cancelled"))</f>
        <v>0</v>
      </c>
      <c r="AK77" s="32">
        <f>IF(AG77="","",SUMIFS(Mileage!$M$5:$M$304,Mileage!$C$5:$C$304,AG77,Mileage!$B$5:$B$304,"&gt;="&amp;RepFrom,Mileage!$B$5:$B$304,"&lt;="&amp;RepTo))</f>
        <v>0</v>
      </c>
      <c r="AL77" s="28">
        <f>IF(Lists!$Q77="","",Lists!$Q77)</f>
        <v>0</v>
      </c>
      <c r="AM77" s="31">
        <f>IF(AL77="","",COUNTIFS(Bookings!$AV$5:$AV$404,AL77,Bookings!$I$5:$I$404,"&gt;="&amp;RepFrom,Bookings!$I$5:$I$404,"&lt;="&amp;RepTo))</f>
        <v>0</v>
      </c>
      <c r="AN77" s="28">
        <f>IF(Lists!$AF77="","",Lists!$AF77)</f>
        <v>0</v>
      </c>
      <c r="AO77" s="29">
        <f>IF(AN77="","",SUMIFS(Payments!$L$5:$L$304,Payments!$F$5:$F$304,AN77,Payments!$B$5:$B$304,"&gt;="&amp;RepFrom,Payments!$B$5:$B$304,"&lt;="&amp;RepTo))</f>
        <v>0</v>
      </c>
      <c r="AP77" s="28">
        <f>IF(Lists!$E77="","",Lists!$E77)</f>
        <v>0</v>
      </c>
      <c r="AQ77" s="31">
        <f>IF(AP77="","",COUNTIFS(Clients!$K$5:$K$254,AP77))</f>
        <v>0</v>
      </c>
      <c r="AR77" s="29">
        <f>IF(AP77="","",SUMIFS(Clients!$AE$5:$AE$254,Clients!$K$5:$K$254,AP77))</f>
        <v>0</v>
      </c>
    </row>
    <row r="78" spans="1:44">
      <c r="A78" s="28">
        <f>IF(Clients!$B$78="","",Clients!$B$78)</f>
        <v>0</v>
      </c>
      <c r="B78" s="29">
        <f>IF(A78="","",SUMIFS(Payments!$L$5:$L$304,Payments!$C$5:$C$304,A78,Payments!$B$5:$B$304,"&gt;="&amp;PeriodStart,Payments!$B$5:$B$304,"&lt;="&amp;PeriodEnd))</f>
        <v>0</v>
      </c>
      <c r="C78" s="51">
        <f>IF(A78="","",IF(B78&lt;=0,"",B78+ROW()/1000000))</f>
        <v>0</v>
      </c>
      <c r="D78" s="29">
        <f>IF(A78="","",SUMIFS(Payments!$L$5:$L$304,Payments!$C$5:$C$304,A78,Payments!$B$5:$B$304,"&gt;="&amp;RepFrom,Payments!$B$5:$B$304,"&lt;="&amp;RepTo))</f>
        <v>0</v>
      </c>
      <c r="E78" s="51">
        <f>IF(A78="","",IF(D78&lt;=0,"",D78+ROW()/1000000))</f>
        <v>0</v>
      </c>
      <c r="F78" s="29">
        <f>IF(A78="","",SUMIFS(Invoices!$S$5:$S$304,Invoices!$D$5:$D$304,A78,Invoices!$T$5:$T$304,"&lt;&gt;Cancelled"))</f>
        <v>0</v>
      </c>
      <c r="G78" s="51">
        <f>IF(A78="","",IF(F78&lt;=0.004,"",F78+ROW()/1000000))</f>
        <v>0</v>
      </c>
      <c r="H78" s="31">
        <f>IF(A78="","",COUNTIFS(Bookings!$C$5:$C$404,A78,Bookings!$I$5:$I$404,"&gt;="&amp;RepFrom,Bookings!$I$5:$I$404,"&lt;="&amp;RepTo,Bookings!$AM$5:$AM$404,"&lt;&gt;Cancelled"))</f>
        <v>0</v>
      </c>
      <c r="I78" s="28">
        <f>IF(Services!$B$78="","",Services!$B$78)</f>
        <v>0</v>
      </c>
      <c r="J78" s="29">
        <f>IF(I78="","",SUMIFS(Bookings!$AK$5:$AK$404,Bookings!$H$5:$H$404,I78,Bookings!$I$5:$I$404,"&gt;="&amp;PeriodStart,Bookings!$I$5:$I$404,"&lt;="&amp;PeriodEnd,Bookings!$AM$5:$AM$404,"&lt;&gt;Cancelled"))</f>
        <v>0</v>
      </c>
      <c r="K78" s="31">
        <f>IF(I78="","",COUNTIFS(Bookings!$H$5:$H$404,I78,Bookings!$I$5:$I$404,"&gt;="&amp;PeriodStart,Bookings!$I$5:$I$404,"&lt;="&amp;PeriodEnd,Bookings!$AM$5:$AM$404,"&lt;&gt;Cancelled"))</f>
        <v>0</v>
      </c>
      <c r="L78" s="29">
        <f>IF(I78="","",SUMIFS(Bookings!$AK$5:$AK$404,Bookings!$H$5:$H$404,I78,Bookings!$I$5:$I$404,"&gt;="&amp;RepFrom,Bookings!$I$5:$I$404,"&lt;="&amp;RepTo,Bookings!$AM$5:$AM$404,"&lt;&gt;Cancelled"))</f>
        <v>0</v>
      </c>
      <c r="M78" s="31">
        <f>IF(I78="","",COUNTIFS(Bookings!$H$5:$H$404,I78,Bookings!$I$5:$I$404,"&gt;="&amp;RepFrom,Bookings!$I$5:$I$404,"&lt;="&amp;RepTo,Bookings!$AM$5:$AM$404,"&lt;&gt;Cancelled"))</f>
        <v>0</v>
      </c>
      <c r="N78" s="29">
        <f>IF(I78="","",M78*IF(Services!$L$78="",0,Services!$L$78))</f>
        <v>0</v>
      </c>
      <c r="O78" s="29">
        <f>IF(I78="","",L78-N78)</f>
        <v>0</v>
      </c>
      <c r="P78" s="28">
        <f>IF(Lists!$AG78="","",Lists!$AG78)</f>
        <v>0</v>
      </c>
      <c r="Q78" s="29">
        <f>IF(P78="","",SUMIFS(Expenses!$F$5:$F$304,Expenses!$C$5:$C$304,P78,Expenses!$B$5:$B$304,"&gt;="&amp;PeriodStart,Expenses!$B$5:$B$304,"&lt;="&amp;PeriodEnd,Expenses!$J$5:$J$304,"&lt;&gt;Personal"))</f>
        <v>0</v>
      </c>
      <c r="R78" s="29">
        <f>IF(P78="","",SUMIFS(Expenses!$F$5:$F$304,Expenses!$C$5:$C$304,P78,Expenses!$B$5:$B$304,"&gt;="&amp;RepFrom,Expenses!$B$5:$B$304,"&lt;="&amp;RepTo,Expenses!$J$5:$J$304,"&lt;&gt;Personal"))</f>
        <v>0</v>
      </c>
      <c r="S78" s="21">
        <f>IF(ROW()-4&gt;12,"",DATE(Dash_Year,ROW()-4,1))</f>
        <v>0</v>
      </c>
      <c r="T78" s="21">
        <f>IF(S78="","",EOMONTH(S78,0))</f>
        <v>0</v>
      </c>
      <c r="U78" s="28">
        <f>IF(S78="","",TEXT(S78,"mmm"))</f>
        <v>0</v>
      </c>
      <c r="V78" s="29">
        <f>IF(S78="","",SUMIFS(Payments!$L$5:$L$304,Payments!$B$5:$B$304,"&gt;="&amp;S78,Payments!$B$5:$B$304,"&lt;="&amp;T78))</f>
        <v>0</v>
      </c>
      <c r="W78" s="29">
        <f>IF(S78="","",SUMIFS(Invoices!$O$5:$O$304,Invoices!$B$5:$B$304,"&gt;="&amp;S78,Invoices!$B$5:$B$304,"&lt;="&amp;T78,Invoices!$T$5:$T$304,"&lt;&gt;Cancelled"))</f>
        <v>0</v>
      </c>
      <c r="X78" s="29">
        <f>IF(S78="","",SUMIFS(Expenses!$F$5:$F$304,Expenses!$B$5:$B$304,"&gt;="&amp;S78,Expenses!$B$5:$B$304,"&lt;="&amp;T78,Expenses!$J$5:$J$304,"&lt;&gt;Personal"))</f>
        <v>0</v>
      </c>
      <c r="Y78" s="29">
        <f>IF(S78="","",V78-X78)</f>
        <v>0</v>
      </c>
      <c r="Z78" s="31">
        <f>IF(S78="","",COUNTIFS(Bookings!$I$5:$I$404,"&gt;="&amp;S78,Bookings!$I$5:$I$404,"&lt;="&amp;T78,Bookings!$AM$5:$AM$404,"&lt;&gt;Cancelled"))</f>
        <v>0</v>
      </c>
      <c r="AA78" s="31">
        <f>IF(S78="","",COUNTIFS(Bookings!$I$5:$I$404,"&gt;="&amp;S78,Bookings!$I$5:$I$404,"&lt;="&amp;T78,Bookings!$AM$5:$AM$404,"Completed"))</f>
        <v>0</v>
      </c>
      <c r="AB78" s="31">
        <f>IF(S78="","",COUNTIFS(Bookings!$I$5:$I$404,"&gt;="&amp;S78,Bookings!$I$5:$I$404,"&lt;="&amp;T78,Bookings!$AM$5:$AM$404,"Cancelled"))</f>
        <v>0</v>
      </c>
      <c r="AC78" s="31">
        <f>IF(S78="","",COUNTIFS('Visit Log'!$C$5:$C$404,"&gt;="&amp;S78,'Visit Log'!$C$5:$C$404,"&lt;="&amp;T78,'Visit Log'!$AE$5:$AE$404,"Completed"))</f>
        <v>0</v>
      </c>
      <c r="AD78" s="31">
        <f>IF(S78="","",COUNTIFS(Clients!$L$5:$L$254,"&gt;="&amp;S78,Clients!$L$5:$L$254,"&lt;="&amp;T78))</f>
        <v>0</v>
      </c>
      <c r="AE78" s="32">
        <f>IF(S78="","",SUMIFS(Mileage!$M$5:$M$304,Mileage!$B$5:$B$304,"&gt;="&amp;S78,Mileage!$B$5:$B$304,"&lt;="&amp;T78,Mileage!$N$5:$N$304,"Business"))</f>
        <v>0</v>
      </c>
      <c r="AF78" s="29">
        <f>IF(S78="","",SUMIFS(Payments!$L$5:$L$304,Payments!$B$5:$B$304,"&gt;="&amp;DATE(Dash_Year-1,ROW()-4,1),Payments!$B$5:$B$304,"&lt;="&amp;EOMONTH(DATE(Dash_Year-1,ROW()-4,1),0)))</f>
        <v>0</v>
      </c>
      <c r="AG78" s="28">
        <f>IF(Staff!$B$78="","",Staff!$B$78)</f>
        <v>0</v>
      </c>
      <c r="AH78" s="31">
        <f>IF(AG78="","",COUNTIFS('Visit Log'!$G$5:$G$404,AG78,'Visit Log'!$C$5:$C$404,"&gt;="&amp;RepFrom,'Visit Log'!$C$5:$C$404,"&lt;="&amp;RepTo,'Visit Log'!$AE$5:$AE$404,"Completed"))</f>
        <v>0</v>
      </c>
      <c r="AI78" s="51">
        <f>IF(AG78="","",ROUND(SUMIFS('Visit Log'!$K$5:$K$404,'Visit Log'!$G$5:$G$404,AG78,'Visit Log'!$C$5:$C$404,"&gt;="&amp;RepFrom,'Visit Log'!$C$5:$C$404,"&lt;="&amp;RepTo,'Visit Log'!$AE$5:$AE$404,"Completed")/60,2))</f>
        <v>0</v>
      </c>
      <c r="AJ78" s="29">
        <f>IF(AG78="","",SUMIFS(Bookings!$AK$5:$AK$404,Bookings!$AL$5:$AL$404,AG78,Bookings!$I$5:$I$404,"&gt;="&amp;RepFrom,Bookings!$I$5:$I$404,"&lt;="&amp;RepTo,Bookings!$AM$5:$AM$404,"&lt;&gt;Cancelled"))</f>
        <v>0</v>
      </c>
      <c r="AK78" s="32">
        <f>IF(AG78="","",SUMIFS(Mileage!$M$5:$M$304,Mileage!$C$5:$C$304,AG78,Mileage!$B$5:$B$304,"&gt;="&amp;RepFrom,Mileage!$B$5:$B$304,"&lt;="&amp;RepTo))</f>
        <v>0</v>
      </c>
      <c r="AL78" s="28">
        <f>IF(Lists!$Q78="","",Lists!$Q78)</f>
        <v>0</v>
      </c>
      <c r="AM78" s="31">
        <f>IF(AL78="","",COUNTIFS(Bookings!$AV$5:$AV$404,AL78,Bookings!$I$5:$I$404,"&gt;="&amp;RepFrom,Bookings!$I$5:$I$404,"&lt;="&amp;RepTo))</f>
        <v>0</v>
      </c>
      <c r="AN78" s="28">
        <f>IF(Lists!$AF78="","",Lists!$AF78)</f>
        <v>0</v>
      </c>
      <c r="AO78" s="29">
        <f>IF(AN78="","",SUMIFS(Payments!$L$5:$L$304,Payments!$F$5:$F$304,AN78,Payments!$B$5:$B$304,"&gt;="&amp;RepFrom,Payments!$B$5:$B$304,"&lt;="&amp;RepTo))</f>
        <v>0</v>
      </c>
      <c r="AP78" s="28">
        <f>IF(Lists!$E78="","",Lists!$E78)</f>
        <v>0</v>
      </c>
      <c r="AQ78" s="31">
        <f>IF(AP78="","",COUNTIFS(Clients!$K$5:$K$254,AP78))</f>
        <v>0</v>
      </c>
      <c r="AR78" s="29">
        <f>IF(AP78="","",SUMIFS(Clients!$AE$5:$AE$254,Clients!$K$5:$K$254,AP78))</f>
        <v>0</v>
      </c>
    </row>
    <row r="79" spans="1:44">
      <c r="A79" s="28">
        <f>IF(Clients!$B$79="","",Clients!$B$79)</f>
        <v>0</v>
      </c>
      <c r="B79" s="29">
        <f>IF(A79="","",SUMIFS(Payments!$L$5:$L$304,Payments!$C$5:$C$304,A79,Payments!$B$5:$B$304,"&gt;="&amp;PeriodStart,Payments!$B$5:$B$304,"&lt;="&amp;PeriodEnd))</f>
        <v>0</v>
      </c>
      <c r="C79" s="51">
        <f>IF(A79="","",IF(B79&lt;=0,"",B79+ROW()/1000000))</f>
        <v>0</v>
      </c>
      <c r="D79" s="29">
        <f>IF(A79="","",SUMIFS(Payments!$L$5:$L$304,Payments!$C$5:$C$304,A79,Payments!$B$5:$B$304,"&gt;="&amp;RepFrom,Payments!$B$5:$B$304,"&lt;="&amp;RepTo))</f>
        <v>0</v>
      </c>
      <c r="E79" s="51">
        <f>IF(A79="","",IF(D79&lt;=0,"",D79+ROW()/1000000))</f>
        <v>0</v>
      </c>
      <c r="F79" s="29">
        <f>IF(A79="","",SUMIFS(Invoices!$S$5:$S$304,Invoices!$D$5:$D$304,A79,Invoices!$T$5:$T$304,"&lt;&gt;Cancelled"))</f>
        <v>0</v>
      </c>
      <c r="G79" s="51">
        <f>IF(A79="","",IF(F79&lt;=0.004,"",F79+ROW()/1000000))</f>
        <v>0</v>
      </c>
      <c r="H79" s="31">
        <f>IF(A79="","",COUNTIFS(Bookings!$C$5:$C$404,A79,Bookings!$I$5:$I$404,"&gt;="&amp;RepFrom,Bookings!$I$5:$I$404,"&lt;="&amp;RepTo,Bookings!$AM$5:$AM$404,"&lt;&gt;Cancelled"))</f>
        <v>0</v>
      </c>
      <c r="I79" s="28">
        <f>IF(Services!$B$79="","",Services!$B$79)</f>
        <v>0</v>
      </c>
      <c r="J79" s="29">
        <f>IF(I79="","",SUMIFS(Bookings!$AK$5:$AK$404,Bookings!$H$5:$H$404,I79,Bookings!$I$5:$I$404,"&gt;="&amp;PeriodStart,Bookings!$I$5:$I$404,"&lt;="&amp;PeriodEnd,Bookings!$AM$5:$AM$404,"&lt;&gt;Cancelled"))</f>
        <v>0</v>
      </c>
      <c r="K79" s="31">
        <f>IF(I79="","",COUNTIFS(Bookings!$H$5:$H$404,I79,Bookings!$I$5:$I$404,"&gt;="&amp;PeriodStart,Bookings!$I$5:$I$404,"&lt;="&amp;PeriodEnd,Bookings!$AM$5:$AM$404,"&lt;&gt;Cancelled"))</f>
        <v>0</v>
      </c>
      <c r="L79" s="29">
        <f>IF(I79="","",SUMIFS(Bookings!$AK$5:$AK$404,Bookings!$H$5:$H$404,I79,Bookings!$I$5:$I$404,"&gt;="&amp;RepFrom,Bookings!$I$5:$I$404,"&lt;="&amp;RepTo,Bookings!$AM$5:$AM$404,"&lt;&gt;Cancelled"))</f>
        <v>0</v>
      </c>
      <c r="M79" s="31">
        <f>IF(I79="","",COUNTIFS(Bookings!$H$5:$H$404,I79,Bookings!$I$5:$I$404,"&gt;="&amp;RepFrom,Bookings!$I$5:$I$404,"&lt;="&amp;RepTo,Bookings!$AM$5:$AM$404,"&lt;&gt;Cancelled"))</f>
        <v>0</v>
      </c>
      <c r="N79" s="29">
        <f>IF(I79="","",M79*IF(Services!$L$79="",0,Services!$L$79))</f>
        <v>0</v>
      </c>
      <c r="O79" s="29">
        <f>IF(I79="","",L79-N79)</f>
        <v>0</v>
      </c>
      <c r="P79" s="28">
        <f>IF(Lists!$AG79="","",Lists!$AG79)</f>
        <v>0</v>
      </c>
      <c r="Q79" s="29">
        <f>IF(P79="","",SUMIFS(Expenses!$F$5:$F$304,Expenses!$C$5:$C$304,P79,Expenses!$B$5:$B$304,"&gt;="&amp;PeriodStart,Expenses!$B$5:$B$304,"&lt;="&amp;PeriodEnd,Expenses!$J$5:$J$304,"&lt;&gt;Personal"))</f>
        <v>0</v>
      </c>
      <c r="R79" s="29">
        <f>IF(P79="","",SUMIFS(Expenses!$F$5:$F$304,Expenses!$C$5:$C$304,P79,Expenses!$B$5:$B$304,"&gt;="&amp;RepFrom,Expenses!$B$5:$B$304,"&lt;="&amp;RepTo,Expenses!$J$5:$J$304,"&lt;&gt;Personal"))</f>
        <v>0</v>
      </c>
      <c r="S79" s="21">
        <f>IF(ROW()-4&gt;12,"",DATE(Dash_Year,ROW()-4,1))</f>
        <v>0</v>
      </c>
      <c r="T79" s="21">
        <f>IF(S79="","",EOMONTH(S79,0))</f>
        <v>0</v>
      </c>
      <c r="U79" s="28">
        <f>IF(S79="","",TEXT(S79,"mmm"))</f>
        <v>0</v>
      </c>
      <c r="V79" s="29">
        <f>IF(S79="","",SUMIFS(Payments!$L$5:$L$304,Payments!$B$5:$B$304,"&gt;="&amp;S79,Payments!$B$5:$B$304,"&lt;="&amp;T79))</f>
        <v>0</v>
      </c>
      <c r="W79" s="29">
        <f>IF(S79="","",SUMIFS(Invoices!$O$5:$O$304,Invoices!$B$5:$B$304,"&gt;="&amp;S79,Invoices!$B$5:$B$304,"&lt;="&amp;T79,Invoices!$T$5:$T$304,"&lt;&gt;Cancelled"))</f>
        <v>0</v>
      </c>
      <c r="X79" s="29">
        <f>IF(S79="","",SUMIFS(Expenses!$F$5:$F$304,Expenses!$B$5:$B$304,"&gt;="&amp;S79,Expenses!$B$5:$B$304,"&lt;="&amp;T79,Expenses!$J$5:$J$304,"&lt;&gt;Personal"))</f>
        <v>0</v>
      </c>
      <c r="Y79" s="29">
        <f>IF(S79="","",V79-X79)</f>
        <v>0</v>
      </c>
      <c r="Z79" s="31">
        <f>IF(S79="","",COUNTIFS(Bookings!$I$5:$I$404,"&gt;="&amp;S79,Bookings!$I$5:$I$404,"&lt;="&amp;T79,Bookings!$AM$5:$AM$404,"&lt;&gt;Cancelled"))</f>
        <v>0</v>
      </c>
      <c r="AA79" s="31">
        <f>IF(S79="","",COUNTIFS(Bookings!$I$5:$I$404,"&gt;="&amp;S79,Bookings!$I$5:$I$404,"&lt;="&amp;T79,Bookings!$AM$5:$AM$404,"Completed"))</f>
        <v>0</v>
      </c>
      <c r="AB79" s="31">
        <f>IF(S79="","",COUNTIFS(Bookings!$I$5:$I$404,"&gt;="&amp;S79,Bookings!$I$5:$I$404,"&lt;="&amp;T79,Bookings!$AM$5:$AM$404,"Cancelled"))</f>
        <v>0</v>
      </c>
      <c r="AC79" s="31">
        <f>IF(S79="","",COUNTIFS('Visit Log'!$C$5:$C$404,"&gt;="&amp;S79,'Visit Log'!$C$5:$C$404,"&lt;="&amp;T79,'Visit Log'!$AE$5:$AE$404,"Completed"))</f>
        <v>0</v>
      </c>
      <c r="AD79" s="31">
        <f>IF(S79="","",COUNTIFS(Clients!$L$5:$L$254,"&gt;="&amp;S79,Clients!$L$5:$L$254,"&lt;="&amp;T79))</f>
        <v>0</v>
      </c>
      <c r="AE79" s="32">
        <f>IF(S79="","",SUMIFS(Mileage!$M$5:$M$304,Mileage!$B$5:$B$304,"&gt;="&amp;S79,Mileage!$B$5:$B$304,"&lt;="&amp;T79,Mileage!$N$5:$N$304,"Business"))</f>
        <v>0</v>
      </c>
      <c r="AF79" s="29">
        <f>IF(S79="","",SUMIFS(Payments!$L$5:$L$304,Payments!$B$5:$B$304,"&gt;="&amp;DATE(Dash_Year-1,ROW()-4,1),Payments!$B$5:$B$304,"&lt;="&amp;EOMONTH(DATE(Dash_Year-1,ROW()-4,1),0)))</f>
        <v>0</v>
      </c>
      <c r="AG79" s="28">
        <f>IF(Staff!$B$79="","",Staff!$B$79)</f>
        <v>0</v>
      </c>
      <c r="AH79" s="31">
        <f>IF(AG79="","",COUNTIFS('Visit Log'!$G$5:$G$404,AG79,'Visit Log'!$C$5:$C$404,"&gt;="&amp;RepFrom,'Visit Log'!$C$5:$C$404,"&lt;="&amp;RepTo,'Visit Log'!$AE$5:$AE$404,"Completed"))</f>
        <v>0</v>
      </c>
      <c r="AI79" s="51">
        <f>IF(AG79="","",ROUND(SUMIFS('Visit Log'!$K$5:$K$404,'Visit Log'!$G$5:$G$404,AG79,'Visit Log'!$C$5:$C$404,"&gt;="&amp;RepFrom,'Visit Log'!$C$5:$C$404,"&lt;="&amp;RepTo,'Visit Log'!$AE$5:$AE$404,"Completed")/60,2))</f>
        <v>0</v>
      </c>
      <c r="AJ79" s="29">
        <f>IF(AG79="","",SUMIFS(Bookings!$AK$5:$AK$404,Bookings!$AL$5:$AL$404,AG79,Bookings!$I$5:$I$404,"&gt;="&amp;RepFrom,Bookings!$I$5:$I$404,"&lt;="&amp;RepTo,Bookings!$AM$5:$AM$404,"&lt;&gt;Cancelled"))</f>
        <v>0</v>
      </c>
      <c r="AK79" s="32">
        <f>IF(AG79="","",SUMIFS(Mileage!$M$5:$M$304,Mileage!$C$5:$C$304,AG79,Mileage!$B$5:$B$304,"&gt;="&amp;RepFrom,Mileage!$B$5:$B$304,"&lt;="&amp;RepTo))</f>
        <v>0</v>
      </c>
      <c r="AL79" s="28">
        <f>IF(Lists!$Q79="","",Lists!$Q79)</f>
        <v>0</v>
      </c>
      <c r="AM79" s="31">
        <f>IF(AL79="","",COUNTIFS(Bookings!$AV$5:$AV$404,AL79,Bookings!$I$5:$I$404,"&gt;="&amp;RepFrom,Bookings!$I$5:$I$404,"&lt;="&amp;RepTo))</f>
        <v>0</v>
      </c>
      <c r="AN79" s="28">
        <f>IF(Lists!$AF79="","",Lists!$AF79)</f>
        <v>0</v>
      </c>
      <c r="AO79" s="29">
        <f>IF(AN79="","",SUMIFS(Payments!$L$5:$L$304,Payments!$F$5:$F$304,AN79,Payments!$B$5:$B$304,"&gt;="&amp;RepFrom,Payments!$B$5:$B$304,"&lt;="&amp;RepTo))</f>
        <v>0</v>
      </c>
      <c r="AP79" s="28">
        <f>IF(Lists!$E79="","",Lists!$E79)</f>
        <v>0</v>
      </c>
      <c r="AQ79" s="31">
        <f>IF(AP79="","",COUNTIFS(Clients!$K$5:$K$254,AP79))</f>
        <v>0</v>
      </c>
      <c r="AR79" s="29">
        <f>IF(AP79="","",SUMIFS(Clients!$AE$5:$AE$254,Clients!$K$5:$K$254,AP79))</f>
        <v>0</v>
      </c>
    </row>
    <row r="80" spans="1:44">
      <c r="A80" s="28">
        <f>IF(Clients!$B$80="","",Clients!$B$80)</f>
        <v>0</v>
      </c>
      <c r="B80" s="29">
        <f>IF(A80="","",SUMIFS(Payments!$L$5:$L$304,Payments!$C$5:$C$304,A80,Payments!$B$5:$B$304,"&gt;="&amp;PeriodStart,Payments!$B$5:$B$304,"&lt;="&amp;PeriodEnd))</f>
        <v>0</v>
      </c>
      <c r="C80" s="51">
        <f>IF(A80="","",IF(B80&lt;=0,"",B80+ROW()/1000000))</f>
        <v>0</v>
      </c>
      <c r="D80" s="29">
        <f>IF(A80="","",SUMIFS(Payments!$L$5:$L$304,Payments!$C$5:$C$304,A80,Payments!$B$5:$B$304,"&gt;="&amp;RepFrom,Payments!$B$5:$B$304,"&lt;="&amp;RepTo))</f>
        <v>0</v>
      </c>
      <c r="E80" s="51">
        <f>IF(A80="","",IF(D80&lt;=0,"",D80+ROW()/1000000))</f>
        <v>0</v>
      </c>
      <c r="F80" s="29">
        <f>IF(A80="","",SUMIFS(Invoices!$S$5:$S$304,Invoices!$D$5:$D$304,A80,Invoices!$T$5:$T$304,"&lt;&gt;Cancelled"))</f>
        <v>0</v>
      </c>
      <c r="G80" s="51">
        <f>IF(A80="","",IF(F80&lt;=0.004,"",F80+ROW()/1000000))</f>
        <v>0</v>
      </c>
      <c r="H80" s="31">
        <f>IF(A80="","",COUNTIFS(Bookings!$C$5:$C$404,A80,Bookings!$I$5:$I$404,"&gt;="&amp;RepFrom,Bookings!$I$5:$I$404,"&lt;="&amp;RepTo,Bookings!$AM$5:$AM$404,"&lt;&gt;Cancelled"))</f>
        <v>0</v>
      </c>
      <c r="I80" s="28">
        <f>IF(Services!$B$80="","",Services!$B$80)</f>
        <v>0</v>
      </c>
      <c r="J80" s="29">
        <f>IF(I80="","",SUMIFS(Bookings!$AK$5:$AK$404,Bookings!$H$5:$H$404,I80,Bookings!$I$5:$I$404,"&gt;="&amp;PeriodStart,Bookings!$I$5:$I$404,"&lt;="&amp;PeriodEnd,Bookings!$AM$5:$AM$404,"&lt;&gt;Cancelled"))</f>
        <v>0</v>
      </c>
      <c r="K80" s="31">
        <f>IF(I80="","",COUNTIFS(Bookings!$H$5:$H$404,I80,Bookings!$I$5:$I$404,"&gt;="&amp;PeriodStart,Bookings!$I$5:$I$404,"&lt;="&amp;PeriodEnd,Bookings!$AM$5:$AM$404,"&lt;&gt;Cancelled"))</f>
        <v>0</v>
      </c>
      <c r="L80" s="29">
        <f>IF(I80="","",SUMIFS(Bookings!$AK$5:$AK$404,Bookings!$H$5:$H$404,I80,Bookings!$I$5:$I$404,"&gt;="&amp;RepFrom,Bookings!$I$5:$I$404,"&lt;="&amp;RepTo,Bookings!$AM$5:$AM$404,"&lt;&gt;Cancelled"))</f>
        <v>0</v>
      </c>
      <c r="M80" s="31">
        <f>IF(I80="","",COUNTIFS(Bookings!$H$5:$H$404,I80,Bookings!$I$5:$I$404,"&gt;="&amp;RepFrom,Bookings!$I$5:$I$404,"&lt;="&amp;RepTo,Bookings!$AM$5:$AM$404,"&lt;&gt;Cancelled"))</f>
        <v>0</v>
      </c>
      <c r="N80" s="29">
        <f>IF(I80="","",M80*IF(Services!$L$80="",0,Services!$L$80))</f>
        <v>0</v>
      </c>
      <c r="O80" s="29">
        <f>IF(I80="","",L80-N80)</f>
        <v>0</v>
      </c>
      <c r="P80" s="28">
        <f>IF(Lists!$AG80="","",Lists!$AG80)</f>
        <v>0</v>
      </c>
      <c r="Q80" s="29">
        <f>IF(P80="","",SUMIFS(Expenses!$F$5:$F$304,Expenses!$C$5:$C$304,P80,Expenses!$B$5:$B$304,"&gt;="&amp;PeriodStart,Expenses!$B$5:$B$304,"&lt;="&amp;PeriodEnd,Expenses!$J$5:$J$304,"&lt;&gt;Personal"))</f>
        <v>0</v>
      </c>
      <c r="R80" s="29">
        <f>IF(P80="","",SUMIFS(Expenses!$F$5:$F$304,Expenses!$C$5:$C$304,P80,Expenses!$B$5:$B$304,"&gt;="&amp;RepFrom,Expenses!$B$5:$B$304,"&lt;="&amp;RepTo,Expenses!$J$5:$J$304,"&lt;&gt;Personal"))</f>
        <v>0</v>
      </c>
      <c r="S80" s="21">
        <f>IF(ROW()-4&gt;12,"",DATE(Dash_Year,ROW()-4,1))</f>
        <v>0</v>
      </c>
      <c r="T80" s="21">
        <f>IF(S80="","",EOMONTH(S80,0))</f>
        <v>0</v>
      </c>
      <c r="U80" s="28">
        <f>IF(S80="","",TEXT(S80,"mmm"))</f>
        <v>0</v>
      </c>
      <c r="V80" s="29">
        <f>IF(S80="","",SUMIFS(Payments!$L$5:$L$304,Payments!$B$5:$B$304,"&gt;="&amp;S80,Payments!$B$5:$B$304,"&lt;="&amp;T80))</f>
        <v>0</v>
      </c>
      <c r="W80" s="29">
        <f>IF(S80="","",SUMIFS(Invoices!$O$5:$O$304,Invoices!$B$5:$B$304,"&gt;="&amp;S80,Invoices!$B$5:$B$304,"&lt;="&amp;T80,Invoices!$T$5:$T$304,"&lt;&gt;Cancelled"))</f>
        <v>0</v>
      </c>
      <c r="X80" s="29">
        <f>IF(S80="","",SUMIFS(Expenses!$F$5:$F$304,Expenses!$B$5:$B$304,"&gt;="&amp;S80,Expenses!$B$5:$B$304,"&lt;="&amp;T80,Expenses!$J$5:$J$304,"&lt;&gt;Personal"))</f>
        <v>0</v>
      </c>
      <c r="Y80" s="29">
        <f>IF(S80="","",V80-X80)</f>
        <v>0</v>
      </c>
      <c r="Z80" s="31">
        <f>IF(S80="","",COUNTIFS(Bookings!$I$5:$I$404,"&gt;="&amp;S80,Bookings!$I$5:$I$404,"&lt;="&amp;T80,Bookings!$AM$5:$AM$404,"&lt;&gt;Cancelled"))</f>
        <v>0</v>
      </c>
      <c r="AA80" s="31">
        <f>IF(S80="","",COUNTIFS(Bookings!$I$5:$I$404,"&gt;="&amp;S80,Bookings!$I$5:$I$404,"&lt;="&amp;T80,Bookings!$AM$5:$AM$404,"Completed"))</f>
        <v>0</v>
      </c>
      <c r="AB80" s="31">
        <f>IF(S80="","",COUNTIFS(Bookings!$I$5:$I$404,"&gt;="&amp;S80,Bookings!$I$5:$I$404,"&lt;="&amp;T80,Bookings!$AM$5:$AM$404,"Cancelled"))</f>
        <v>0</v>
      </c>
      <c r="AC80" s="31">
        <f>IF(S80="","",COUNTIFS('Visit Log'!$C$5:$C$404,"&gt;="&amp;S80,'Visit Log'!$C$5:$C$404,"&lt;="&amp;T80,'Visit Log'!$AE$5:$AE$404,"Completed"))</f>
        <v>0</v>
      </c>
      <c r="AD80" s="31">
        <f>IF(S80="","",COUNTIFS(Clients!$L$5:$L$254,"&gt;="&amp;S80,Clients!$L$5:$L$254,"&lt;="&amp;T80))</f>
        <v>0</v>
      </c>
      <c r="AE80" s="32">
        <f>IF(S80="","",SUMIFS(Mileage!$M$5:$M$304,Mileage!$B$5:$B$304,"&gt;="&amp;S80,Mileage!$B$5:$B$304,"&lt;="&amp;T80,Mileage!$N$5:$N$304,"Business"))</f>
        <v>0</v>
      </c>
      <c r="AF80" s="29">
        <f>IF(S80="","",SUMIFS(Payments!$L$5:$L$304,Payments!$B$5:$B$304,"&gt;="&amp;DATE(Dash_Year-1,ROW()-4,1),Payments!$B$5:$B$304,"&lt;="&amp;EOMONTH(DATE(Dash_Year-1,ROW()-4,1),0)))</f>
        <v>0</v>
      </c>
      <c r="AG80" s="28">
        <f>IF(Staff!$B$80="","",Staff!$B$80)</f>
        <v>0</v>
      </c>
      <c r="AH80" s="31">
        <f>IF(AG80="","",COUNTIFS('Visit Log'!$G$5:$G$404,AG80,'Visit Log'!$C$5:$C$404,"&gt;="&amp;RepFrom,'Visit Log'!$C$5:$C$404,"&lt;="&amp;RepTo,'Visit Log'!$AE$5:$AE$404,"Completed"))</f>
        <v>0</v>
      </c>
      <c r="AI80" s="51">
        <f>IF(AG80="","",ROUND(SUMIFS('Visit Log'!$K$5:$K$404,'Visit Log'!$G$5:$G$404,AG80,'Visit Log'!$C$5:$C$404,"&gt;="&amp;RepFrom,'Visit Log'!$C$5:$C$404,"&lt;="&amp;RepTo,'Visit Log'!$AE$5:$AE$404,"Completed")/60,2))</f>
        <v>0</v>
      </c>
      <c r="AJ80" s="29">
        <f>IF(AG80="","",SUMIFS(Bookings!$AK$5:$AK$404,Bookings!$AL$5:$AL$404,AG80,Bookings!$I$5:$I$404,"&gt;="&amp;RepFrom,Bookings!$I$5:$I$404,"&lt;="&amp;RepTo,Bookings!$AM$5:$AM$404,"&lt;&gt;Cancelled"))</f>
        <v>0</v>
      </c>
      <c r="AK80" s="32">
        <f>IF(AG80="","",SUMIFS(Mileage!$M$5:$M$304,Mileage!$C$5:$C$304,AG80,Mileage!$B$5:$B$304,"&gt;="&amp;RepFrom,Mileage!$B$5:$B$304,"&lt;="&amp;RepTo))</f>
        <v>0</v>
      </c>
      <c r="AL80" s="28">
        <f>IF(Lists!$Q80="","",Lists!$Q80)</f>
        <v>0</v>
      </c>
      <c r="AM80" s="31">
        <f>IF(AL80="","",COUNTIFS(Bookings!$AV$5:$AV$404,AL80,Bookings!$I$5:$I$404,"&gt;="&amp;RepFrom,Bookings!$I$5:$I$404,"&lt;="&amp;RepTo))</f>
        <v>0</v>
      </c>
      <c r="AN80" s="28">
        <f>IF(Lists!$AF80="","",Lists!$AF80)</f>
        <v>0</v>
      </c>
      <c r="AO80" s="29">
        <f>IF(AN80="","",SUMIFS(Payments!$L$5:$L$304,Payments!$F$5:$F$304,AN80,Payments!$B$5:$B$304,"&gt;="&amp;RepFrom,Payments!$B$5:$B$304,"&lt;="&amp;RepTo))</f>
        <v>0</v>
      </c>
      <c r="AP80" s="28">
        <f>IF(Lists!$E80="","",Lists!$E80)</f>
        <v>0</v>
      </c>
      <c r="AQ80" s="31">
        <f>IF(AP80="","",COUNTIFS(Clients!$K$5:$K$254,AP80))</f>
        <v>0</v>
      </c>
      <c r="AR80" s="29">
        <f>IF(AP80="","",SUMIFS(Clients!$AE$5:$AE$254,Clients!$K$5:$K$254,AP80))</f>
        <v>0</v>
      </c>
    </row>
    <row r="81" spans="1:44">
      <c r="A81" s="28">
        <f>IF(Clients!$B$81="","",Clients!$B$81)</f>
        <v>0</v>
      </c>
      <c r="B81" s="29">
        <f>IF(A81="","",SUMIFS(Payments!$L$5:$L$304,Payments!$C$5:$C$304,A81,Payments!$B$5:$B$304,"&gt;="&amp;PeriodStart,Payments!$B$5:$B$304,"&lt;="&amp;PeriodEnd))</f>
        <v>0</v>
      </c>
      <c r="C81" s="51">
        <f>IF(A81="","",IF(B81&lt;=0,"",B81+ROW()/1000000))</f>
        <v>0</v>
      </c>
      <c r="D81" s="29">
        <f>IF(A81="","",SUMIFS(Payments!$L$5:$L$304,Payments!$C$5:$C$304,A81,Payments!$B$5:$B$304,"&gt;="&amp;RepFrom,Payments!$B$5:$B$304,"&lt;="&amp;RepTo))</f>
        <v>0</v>
      </c>
      <c r="E81" s="51">
        <f>IF(A81="","",IF(D81&lt;=0,"",D81+ROW()/1000000))</f>
        <v>0</v>
      </c>
      <c r="F81" s="29">
        <f>IF(A81="","",SUMIFS(Invoices!$S$5:$S$304,Invoices!$D$5:$D$304,A81,Invoices!$T$5:$T$304,"&lt;&gt;Cancelled"))</f>
        <v>0</v>
      </c>
      <c r="G81" s="51">
        <f>IF(A81="","",IF(F81&lt;=0.004,"",F81+ROW()/1000000))</f>
        <v>0</v>
      </c>
      <c r="H81" s="31">
        <f>IF(A81="","",COUNTIFS(Bookings!$C$5:$C$404,A81,Bookings!$I$5:$I$404,"&gt;="&amp;RepFrom,Bookings!$I$5:$I$404,"&lt;="&amp;RepTo,Bookings!$AM$5:$AM$404,"&lt;&gt;Cancelled"))</f>
        <v>0</v>
      </c>
      <c r="I81" s="28">
        <f>IF(Services!$B$81="","",Services!$B$81)</f>
        <v>0</v>
      </c>
      <c r="J81" s="29">
        <f>IF(I81="","",SUMIFS(Bookings!$AK$5:$AK$404,Bookings!$H$5:$H$404,I81,Bookings!$I$5:$I$404,"&gt;="&amp;PeriodStart,Bookings!$I$5:$I$404,"&lt;="&amp;PeriodEnd,Bookings!$AM$5:$AM$404,"&lt;&gt;Cancelled"))</f>
        <v>0</v>
      </c>
      <c r="K81" s="31">
        <f>IF(I81="","",COUNTIFS(Bookings!$H$5:$H$404,I81,Bookings!$I$5:$I$404,"&gt;="&amp;PeriodStart,Bookings!$I$5:$I$404,"&lt;="&amp;PeriodEnd,Bookings!$AM$5:$AM$404,"&lt;&gt;Cancelled"))</f>
        <v>0</v>
      </c>
      <c r="L81" s="29">
        <f>IF(I81="","",SUMIFS(Bookings!$AK$5:$AK$404,Bookings!$H$5:$H$404,I81,Bookings!$I$5:$I$404,"&gt;="&amp;RepFrom,Bookings!$I$5:$I$404,"&lt;="&amp;RepTo,Bookings!$AM$5:$AM$404,"&lt;&gt;Cancelled"))</f>
        <v>0</v>
      </c>
      <c r="M81" s="31">
        <f>IF(I81="","",COUNTIFS(Bookings!$H$5:$H$404,I81,Bookings!$I$5:$I$404,"&gt;="&amp;RepFrom,Bookings!$I$5:$I$404,"&lt;="&amp;RepTo,Bookings!$AM$5:$AM$404,"&lt;&gt;Cancelled"))</f>
        <v>0</v>
      </c>
      <c r="N81" s="29">
        <f>IF(I81="","",M81*IF(Services!$L$81="",0,Services!$L$81))</f>
        <v>0</v>
      </c>
      <c r="O81" s="29">
        <f>IF(I81="","",L81-N81)</f>
        <v>0</v>
      </c>
      <c r="P81" s="28">
        <f>IF(Lists!$AG81="","",Lists!$AG81)</f>
        <v>0</v>
      </c>
      <c r="Q81" s="29">
        <f>IF(P81="","",SUMIFS(Expenses!$F$5:$F$304,Expenses!$C$5:$C$304,P81,Expenses!$B$5:$B$304,"&gt;="&amp;PeriodStart,Expenses!$B$5:$B$304,"&lt;="&amp;PeriodEnd,Expenses!$J$5:$J$304,"&lt;&gt;Personal"))</f>
        <v>0</v>
      </c>
      <c r="R81" s="29">
        <f>IF(P81="","",SUMIFS(Expenses!$F$5:$F$304,Expenses!$C$5:$C$304,P81,Expenses!$B$5:$B$304,"&gt;="&amp;RepFrom,Expenses!$B$5:$B$304,"&lt;="&amp;RepTo,Expenses!$J$5:$J$304,"&lt;&gt;Personal"))</f>
        <v>0</v>
      </c>
      <c r="S81" s="21">
        <f>IF(ROW()-4&gt;12,"",DATE(Dash_Year,ROW()-4,1))</f>
        <v>0</v>
      </c>
      <c r="T81" s="21">
        <f>IF(S81="","",EOMONTH(S81,0))</f>
        <v>0</v>
      </c>
      <c r="U81" s="28">
        <f>IF(S81="","",TEXT(S81,"mmm"))</f>
        <v>0</v>
      </c>
      <c r="V81" s="29">
        <f>IF(S81="","",SUMIFS(Payments!$L$5:$L$304,Payments!$B$5:$B$304,"&gt;="&amp;S81,Payments!$B$5:$B$304,"&lt;="&amp;T81))</f>
        <v>0</v>
      </c>
      <c r="W81" s="29">
        <f>IF(S81="","",SUMIFS(Invoices!$O$5:$O$304,Invoices!$B$5:$B$304,"&gt;="&amp;S81,Invoices!$B$5:$B$304,"&lt;="&amp;T81,Invoices!$T$5:$T$304,"&lt;&gt;Cancelled"))</f>
        <v>0</v>
      </c>
      <c r="X81" s="29">
        <f>IF(S81="","",SUMIFS(Expenses!$F$5:$F$304,Expenses!$B$5:$B$304,"&gt;="&amp;S81,Expenses!$B$5:$B$304,"&lt;="&amp;T81,Expenses!$J$5:$J$304,"&lt;&gt;Personal"))</f>
        <v>0</v>
      </c>
      <c r="Y81" s="29">
        <f>IF(S81="","",V81-X81)</f>
        <v>0</v>
      </c>
      <c r="Z81" s="31">
        <f>IF(S81="","",COUNTIFS(Bookings!$I$5:$I$404,"&gt;="&amp;S81,Bookings!$I$5:$I$404,"&lt;="&amp;T81,Bookings!$AM$5:$AM$404,"&lt;&gt;Cancelled"))</f>
        <v>0</v>
      </c>
      <c r="AA81" s="31">
        <f>IF(S81="","",COUNTIFS(Bookings!$I$5:$I$404,"&gt;="&amp;S81,Bookings!$I$5:$I$404,"&lt;="&amp;T81,Bookings!$AM$5:$AM$404,"Completed"))</f>
        <v>0</v>
      </c>
      <c r="AB81" s="31">
        <f>IF(S81="","",COUNTIFS(Bookings!$I$5:$I$404,"&gt;="&amp;S81,Bookings!$I$5:$I$404,"&lt;="&amp;T81,Bookings!$AM$5:$AM$404,"Cancelled"))</f>
        <v>0</v>
      </c>
      <c r="AC81" s="31">
        <f>IF(S81="","",COUNTIFS('Visit Log'!$C$5:$C$404,"&gt;="&amp;S81,'Visit Log'!$C$5:$C$404,"&lt;="&amp;T81,'Visit Log'!$AE$5:$AE$404,"Completed"))</f>
        <v>0</v>
      </c>
      <c r="AD81" s="31">
        <f>IF(S81="","",COUNTIFS(Clients!$L$5:$L$254,"&gt;="&amp;S81,Clients!$L$5:$L$254,"&lt;="&amp;T81))</f>
        <v>0</v>
      </c>
      <c r="AE81" s="32">
        <f>IF(S81="","",SUMIFS(Mileage!$M$5:$M$304,Mileage!$B$5:$B$304,"&gt;="&amp;S81,Mileage!$B$5:$B$304,"&lt;="&amp;T81,Mileage!$N$5:$N$304,"Business"))</f>
        <v>0</v>
      </c>
      <c r="AF81" s="29">
        <f>IF(S81="","",SUMIFS(Payments!$L$5:$L$304,Payments!$B$5:$B$304,"&gt;="&amp;DATE(Dash_Year-1,ROW()-4,1),Payments!$B$5:$B$304,"&lt;="&amp;EOMONTH(DATE(Dash_Year-1,ROW()-4,1),0)))</f>
        <v>0</v>
      </c>
      <c r="AG81" s="28">
        <f>IF(Staff!$B$81="","",Staff!$B$81)</f>
        <v>0</v>
      </c>
      <c r="AH81" s="31">
        <f>IF(AG81="","",COUNTIFS('Visit Log'!$G$5:$G$404,AG81,'Visit Log'!$C$5:$C$404,"&gt;="&amp;RepFrom,'Visit Log'!$C$5:$C$404,"&lt;="&amp;RepTo,'Visit Log'!$AE$5:$AE$404,"Completed"))</f>
        <v>0</v>
      </c>
      <c r="AI81" s="51">
        <f>IF(AG81="","",ROUND(SUMIFS('Visit Log'!$K$5:$K$404,'Visit Log'!$G$5:$G$404,AG81,'Visit Log'!$C$5:$C$404,"&gt;="&amp;RepFrom,'Visit Log'!$C$5:$C$404,"&lt;="&amp;RepTo,'Visit Log'!$AE$5:$AE$404,"Completed")/60,2))</f>
        <v>0</v>
      </c>
      <c r="AJ81" s="29">
        <f>IF(AG81="","",SUMIFS(Bookings!$AK$5:$AK$404,Bookings!$AL$5:$AL$404,AG81,Bookings!$I$5:$I$404,"&gt;="&amp;RepFrom,Bookings!$I$5:$I$404,"&lt;="&amp;RepTo,Bookings!$AM$5:$AM$404,"&lt;&gt;Cancelled"))</f>
        <v>0</v>
      </c>
      <c r="AK81" s="32">
        <f>IF(AG81="","",SUMIFS(Mileage!$M$5:$M$304,Mileage!$C$5:$C$304,AG81,Mileage!$B$5:$B$304,"&gt;="&amp;RepFrom,Mileage!$B$5:$B$304,"&lt;="&amp;RepTo))</f>
        <v>0</v>
      </c>
      <c r="AL81" s="28">
        <f>IF(Lists!$Q81="","",Lists!$Q81)</f>
        <v>0</v>
      </c>
      <c r="AM81" s="31">
        <f>IF(AL81="","",COUNTIFS(Bookings!$AV$5:$AV$404,AL81,Bookings!$I$5:$I$404,"&gt;="&amp;RepFrom,Bookings!$I$5:$I$404,"&lt;="&amp;RepTo))</f>
        <v>0</v>
      </c>
      <c r="AN81" s="28">
        <f>IF(Lists!$AF81="","",Lists!$AF81)</f>
        <v>0</v>
      </c>
      <c r="AO81" s="29">
        <f>IF(AN81="","",SUMIFS(Payments!$L$5:$L$304,Payments!$F$5:$F$304,AN81,Payments!$B$5:$B$304,"&gt;="&amp;RepFrom,Payments!$B$5:$B$304,"&lt;="&amp;RepTo))</f>
        <v>0</v>
      </c>
      <c r="AP81" s="28">
        <f>IF(Lists!$E81="","",Lists!$E81)</f>
        <v>0</v>
      </c>
      <c r="AQ81" s="31">
        <f>IF(AP81="","",COUNTIFS(Clients!$K$5:$K$254,AP81))</f>
        <v>0</v>
      </c>
      <c r="AR81" s="29">
        <f>IF(AP81="","",SUMIFS(Clients!$AE$5:$AE$254,Clients!$K$5:$K$254,AP81))</f>
        <v>0</v>
      </c>
    </row>
    <row r="82" spans="1:44">
      <c r="A82" s="28">
        <f>IF(Clients!$B$82="","",Clients!$B$82)</f>
        <v>0</v>
      </c>
      <c r="B82" s="29">
        <f>IF(A82="","",SUMIFS(Payments!$L$5:$L$304,Payments!$C$5:$C$304,A82,Payments!$B$5:$B$304,"&gt;="&amp;PeriodStart,Payments!$B$5:$B$304,"&lt;="&amp;PeriodEnd))</f>
        <v>0</v>
      </c>
      <c r="C82" s="51">
        <f>IF(A82="","",IF(B82&lt;=0,"",B82+ROW()/1000000))</f>
        <v>0</v>
      </c>
      <c r="D82" s="29">
        <f>IF(A82="","",SUMIFS(Payments!$L$5:$L$304,Payments!$C$5:$C$304,A82,Payments!$B$5:$B$304,"&gt;="&amp;RepFrom,Payments!$B$5:$B$304,"&lt;="&amp;RepTo))</f>
        <v>0</v>
      </c>
      <c r="E82" s="51">
        <f>IF(A82="","",IF(D82&lt;=0,"",D82+ROW()/1000000))</f>
        <v>0</v>
      </c>
      <c r="F82" s="29">
        <f>IF(A82="","",SUMIFS(Invoices!$S$5:$S$304,Invoices!$D$5:$D$304,A82,Invoices!$T$5:$T$304,"&lt;&gt;Cancelled"))</f>
        <v>0</v>
      </c>
      <c r="G82" s="51">
        <f>IF(A82="","",IF(F82&lt;=0.004,"",F82+ROW()/1000000))</f>
        <v>0</v>
      </c>
      <c r="H82" s="31">
        <f>IF(A82="","",COUNTIFS(Bookings!$C$5:$C$404,A82,Bookings!$I$5:$I$404,"&gt;="&amp;RepFrom,Bookings!$I$5:$I$404,"&lt;="&amp;RepTo,Bookings!$AM$5:$AM$404,"&lt;&gt;Cancelled"))</f>
        <v>0</v>
      </c>
      <c r="I82" s="28">
        <f>IF(Services!$B$82="","",Services!$B$82)</f>
        <v>0</v>
      </c>
      <c r="J82" s="29">
        <f>IF(I82="","",SUMIFS(Bookings!$AK$5:$AK$404,Bookings!$H$5:$H$404,I82,Bookings!$I$5:$I$404,"&gt;="&amp;PeriodStart,Bookings!$I$5:$I$404,"&lt;="&amp;PeriodEnd,Bookings!$AM$5:$AM$404,"&lt;&gt;Cancelled"))</f>
        <v>0</v>
      </c>
      <c r="K82" s="31">
        <f>IF(I82="","",COUNTIFS(Bookings!$H$5:$H$404,I82,Bookings!$I$5:$I$404,"&gt;="&amp;PeriodStart,Bookings!$I$5:$I$404,"&lt;="&amp;PeriodEnd,Bookings!$AM$5:$AM$404,"&lt;&gt;Cancelled"))</f>
        <v>0</v>
      </c>
      <c r="L82" s="29">
        <f>IF(I82="","",SUMIFS(Bookings!$AK$5:$AK$404,Bookings!$H$5:$H$404,I82,Bookings!$I$5:$I$404,"&gt;="&amp;RepFrom,Bookings!$I$5:$I$404,"&lt;="&amp;RepTo,Bookings!$AM$5:$AM$404,"&lt;&gt;Cancelled"))</f>
        <v>0</v>
      </c>
      <c r="M82" s="31">
        <f>IF(I82="","",COUNTIFS(Bookings!$H$5:$H$404,I82,Bookings!$I$5:$I$404,"&gt;="&amp;RepFrom,Bookings!$I$5:$I$404,"&lt;="&amp;RepTo,Bookings!$AM$5:$AM$404,"&lt;&gt;Cancelled"))</f>
        <v>0</v>
      </c>
      <c r="N82" s="29">
        <f>IF(I82="","",M82*IF(Services!$L$82="",0,Services!$L$82))</f>
        <v>0</v>
      </c>
      <c r="O82" s="29">
        <f>IF(I82="","",L82-N82)</f>
        <v>0</v>
      </c>
      <c r="P82" s="28">
        <f>IF(Lists!$AG82="","",Lists!$AG82)</f>
        <v>0</v>
      </c>
      <c r="Q82" s="29">
        <f>IF(P82="","",SUMIFS(Expenses!$F$5:$F$304,Expenses!$C$5:$C$304,P82,Expenses!$B$5:$B$304,"&gt;="&amp;PeriodStart,Expenses!$B$5:$B$304,"&lt;="&amp;PeriodEnd,Expenses!$J$5:$J$304,"&lt;&gt;Personal"))</f>
        <v>0</v>
      </c>
      <c r="R82" s="29">
        <f>IF(P82="","",SUMIFS(Expenses!$F$5:$F$304,Expenses!$C$5:$C$304,P82,Expenses!$B$5:$B$304,"&gt;="&amp;RepFrom,Expenses!$B$5:$B$304,"&lt;="&amp;RepTo,Expenses!$J$5:$J$304,"&lt;&gt;Personal"))</f>
        <v>0</v>
      </c>
      <c r="S82" s="21">
        <f>IF(ROW()-4&gt;12,"",DATE(Dash_Year,ROW()-4,1))</f>
        <v>0</v>
      </c>
      <c r="T82" s="21">
        <f>IF(S82="","",EOMONTH(S82,0))</f>
        <v>0</v>
      </c>
      <c r="U82" s="28">
        <f>IF(S82="","",TEXT(S82,"mmm"))</f>
        <v>0</v>
      </c>
      <c r="V82" s="29">
        <f>IF(S82="","",SUMIFS(Payments!$L$5:$L$304,Payments!$B$5:$B$304,"&gt;="&amp;S82,Payments!$B$5:$B$304,"&lt;="&amp;T82))</f>
        <v>0</v>
      </c>
      <c r="W82" s="29">
        <f>IF(S82="","",SUMIFS(Invoices!$O$5:$O$304,Invoices!$B$5:$B$304,"&gt;="&amp;S82,Invoices!$B$5:$B$304,"&lt;="&amp;T82,Invoices!$T$5:$T$304,"&lt;&gt;Cancelled"))</f>
        <v>0</v>
      </c>
      <c r="X82" s="29">
        <f>IF(S82="","",SUMIFS(Expenses!$F$5:$F$304,Expenses!$B$5:$B$304,"&gt;="&amp;S82,Expenses!$B$5:$B$304,"&lt;="&amp;T82,Expenses!$J$5:$J$304,"&lt;&gt;Personal"))</f>
        <v>0</v>
      </c>
      <c r="Y82" s="29">
        <f>IF(S82="","",V82-X82)</f>
        <v>0</v>
      </c>
      <c r="Z82" s="31">
        <f>IF(S82="","",COUNTIFS(Bookings!$I$5:$I$404,"&gt;="&amp;S82,Bookings!$I$5:$I$404,"&lt;="&amp;T82,Bookings!$AM$5:$AM$404,"&lt;&gt;Cancelled"))</f>
        <v>0</v>
      </c>
      <c r="AA82" s="31">
        <f>IF(S82="","",COUNTIFS(Bookings!$I$5:$I$404,"&gt;="&amp;S82,Bookings!$I$5:$I$404,"&lt;="&amp;T82,Bookings!$AM$5:$AM$404,"Completed"))</f>
        <v>0</v>
      </c>
      <c r="AB82" s="31">
        <f>IF(S82="","",COUNTIFS(Bookings!$I$5:$I$404,"&gt;="&amp;S82,Bookings!$I$5:$I$404,"&lt;="&amp;T82,Bookings!$AM$5:$AM$404,"Cancelled"))</f>
        <v>0</v>
      </c>
      <c r="AC82" s="31">
        <f>IF(S82="","",COUNTIFS('Visit Log'!$C$5:$C$404,"&gt;="&amp;S82,'Visit Log'!$C$5:$C$404,"&lt;="&amp;T82,'Visit Log'!$AE$5:$AE$404,"Completed"))</f>
        <v>0</v>
      </c>
      <c r="AD82" s="31">
        <f>IF(S82="","",COUNTIFS(Clients!$L$5:$L$254,"&gt;="&amp;S82,Clients!$L$5:$L$254,"&lt;="&amp;T82))</f>
        <v>0</v>
      </c>
      <c r="AE82" s="32">
        <f>IF(S82="","",SUMIFS(Mileage!$M$5:$M$304,Mileage!$B$5:$B$304,"&gt;="&amp;S82,Mileage!$B$5:$B$304,"&lt;="&amp;T82,Mileage!$N$5:$N$304,"Business"))</f>
        <v>0</v>
      </c>
      <c r="AF82" s="29">
        <f>IF(S82="","",SUMIFS(Payments!$L$5:$L$304,Payments!$B$5:$B$304,"&gt;="&amp;DATE(Dash_Year-1,ROW()-4,1),Payments!$B$5:$B$304,"&lt;="&amp;EOMONTH(DATE(Dash_Year-1,ROW()-4,1),0)))</f>
        <v>0</v>
      </c>
      <c r="AG82" s="28">
        <f>IF(Staff!$B$82="","",Staff!$B$82)</f>
        <v>0</v>
      </c>
      <c r="AH82" s="31">
        <f>IF(AG82="","",COUNTIFS('Visit Log'!$G$5:$G$404,AG82,'Visit Log'!$C$5:$C$404,"&gt;="&amp;RepFrom,'Visit Log'!$C$5:$C$404,"&lt;="&amp;RepTo,'Visit Log'!$AE$5:$AE$404,"Completed"))</f>
        <v>0</v>
      </c>
      <c r="AI82" s="51">
        <f>IF(AG82="","",ROUND(SUMIFS('Visit Log'!$K$5:$K$404,'Visit Log'!$G$5:$G$404,AG82,'Visit Log'!$C$5:$C$404,"&gt;="&amp;RepFrom,'Visit Log'!$C$5:$C$404,"&lt;="&amp;RepTo,'Visit Log'!$AE$5:$AE$404,"Completed")/60,2))</f>
        <v>0</v>
      </c>
      <c r="AJ82" s="29">
        <f>IF(AG82="","",SUMIFS(Bookings!$AK$5:$AK$404,Bookings!$AL$5:$AL$404,AG82,Bookings!$I$5:$I$404,"&gt;="&amp;RepFrom,Bookings!$I$5:$I$404,"&lt;="&amp;RepTo,Bookings!$AM$5:$AM$404,"&lt;&gt;Cancelled"))</f>
        <v>0</v>
      </c>
      <c r="AK82" s="32">
        <f>IF(AG82="","",SUMIFS(Mileage!$M$5:$M$304,Mileage!$C$5:$C$304,AG82,Mileage!$B$5:$B$304,"&gt;="&amp;RepFrom,Mileage!$B$5:$B$304,"&lt;="&amp;RepTo))</f>
        <v>0</v>
      </c>
      <c r="AL82" s="28">
        <f>IF(Lists!$Q82="","",Lists!$Q82)</f>
        <v>0</v>
      </c>
      <c r="AM82" s="31">
        <f>IF(AL82="","",COUNTIFS(Bookings!$AV$5:$AV$404,AL82,Bookings!$I$5:$I$404,"&gt;="&amp;RepFrom,Bookings!$I$5:$I$404,"&lt;="&amp;RepTo))</f>
        <v>0</v>
      </c>
      <c r="AN82" s="28">
        <f>IF(Lists!$AF82="","",Lists!$AF82)</f>
        <v>0</v>
      </c>
      <c r="AO82" s="29">
        <f>IF(AN82="","",SUMIFS(Payments!$L$5:$L$304,Payments!$F$5:$F$304,AN82,Payments!$B$5:$B$304,"&gt;="&amp;RepFrom,Payments!$B$5:$B$304,"&lt;="&amp;RepTo))</f>
        <v>0</v>
      </c>
      <c r="AP82" s="28">
        <f>IF(Lists!$E82="","",Lists!$E82)</f>
        <v>0</v>
      </c>
      <c r="AQ82" s="31">
        <f>IF(AP82="","",COUNTIFS(Clients!$K$5:$K$254,AP82))</f>
        <v>0</v>
      </c>
      <c r="AR82" s="29">
        <f>IF(AP82="","",SUMIFS(Clients!$AE$5:$AE$254,Clients!$K$5:$K$254,AP82))</f>
        <v>0</v>
      </c>
    </row>
    <row r="83" spans="1:44">
      <c r="A83" s="28">
        <f>IF(Clients!$B$83="","",Clients!$B$83)</f>
        <v>0</v>
      </c>
      <c r="B83" s="29">
        <f>IF(A83="","",SUMIFS(Payments!$L$5:$L$304,Payments!$C$5:$C$304,A83,Payments!$B$5:$B$304,"&gt;="&amp;PeriodStart,Payments!$B$5:$B$304,"&lt;="&amp;PeriodEnd))</f>
        <v>0</v>
      </c>
      <c r="C83" s="51">
        <f>IF(A83="","",IF(B83&lt;=0,"",B83+ROW()/1000000))</f>
        <v>0</v>
      </c>
      <c r="D83" s="29">
        <f>IF(A83="","",SUMIFS(Payments!$L$5:$L$304,Payments!$C$5:$C$304,A83,Payments!$B$5:$B$304,"&gt;="&amp;RepFrom,Payments!$B$5:$B$304,"&lt;="&amp;RepTo))</f>
        <v>0</v>
      </c>
      <c r="E83" s="51">
        <f>IF(A83="","",IF(D83&lt;=0,"",D83+ROW()/1000000))</f>
        <v>0</v>
      </c>
      <c r="F83" s="29">
        <f>IF(A83="","",SUMIFS(Invoices!$S$5:$S$304,Invoices!$D$5:$D$304,A83,Invoices!$T$5:$T$304,"&lt;&gt;Cancelled"))</f>
        <v>0</v>
      </c>
      <c r="G83" s="51">
        <f>IF(A83="","",IF(F83&lt;=0.004,"",F83+ROW()/1000000))</f>
        <v>0</v>
      </c>
      <c r="H83" s="31">
        <f>IF(A83="","",COUNTIFS(Bookings!$C$5:$C$404,A83,Bookings!$I$5:$I$404,"&gt;="&amp;RepFrom,Bookings!$I$5:$I$404,"&lt;="&amp;RepTo,Bookings!$AM$5:$AM$404,"&lt;&gt;Cancelled"))</f>
        <v>0</v>
      </c>
      <c r="I83" s="28">
        <f>IF(Services!$B$83="","",Services!$B$83)</f>
        <v>0</v>
      </c>
      <c r="J83" s="29">
        <f>IF(I83="","",SUMIFS(Bookings!$AK$5:$AK$404,Bookings!$H$5:$H$404,I83,Bookings!$I$5:$I$404,"&gt;="&amp;PeriodStart,Bookings!$I$5:$I$404,"&lt;="&amp;PeriodEnd,Bookings!$AM$5:$AM$404,"&lt;&gt;Cancelled"))</f>
        <v>0</v>
      </c>
      <c r="K83" s="31">
        <f>IF(I83="","",COUNTIFS(Bookings!$H$5:$H$404,I83,Bookings!$I$5:$I$404,"&gt;="&amp;PeriodStart,Bookings!$I$5:$I$404,"&lt;="&amp;PeriodEnd,Bookings!$AM$5:$AM$404,"&lt;&gt;Cancelled"))</f>
        <v>0</v>
      </c>
      <c r="L83" s="29">
        <f>IF(I83="","",SUMIFS(Bookings!$AK$5:$AK$404,Bookings!$H$5:$H$404,I83,Bookings!$I$5:$I$404,"&gt;="&amp;RepFrom,Bookings!$I$5:$I$404,"&lt;="&amp;RepTo,Bookings!$AM$5:$AM$404,"&lt;&gt;Cancelled"))</f>
        <v>0</v>
      </c>
      <c r="M83" s="31">
        <f>IF(I83="","",COUNTIFS(Bookings!$H$5:$H$404,I83,Bookings!$I$5:$I$404,"&gt;="&amp;RepFrom,Bookings!$I$5:$I$404,"&lt;="&amp;RepTo,Bookings!$AM$5:$AM$404,"&lt;&gt;Cancelled"))</f>
        <v>0</v>
      </c>
      <c r="N83" s="29">
        <f>IF(I83="","",M83*IF(Services!$L$83="",0,Services!$L$83))</f>
        <v>0</v>
      </c>
      <c r="O83" s="29">
        <f>IF(I83="","",L83-N83)</f>
        <v>0</v>
      </c>
      <c r="P83" s="28">
        <f>IF(Lists!$AG83="","",Lists!$AG83)</f>
        <v>0</v>
      </c>
      <c r="Q83" s="29">
        <f>IF(P83="","",SUMIFS(Expenses!$F$5:$F$304,Expenses!$C$5:$C$304,P83,Expenses!$B$5:$B$304,"&gt;="&amp;PeriodStart,Expenses!$B$5:$B$304,"&lt;="&amp;PeriodEnd,Expenses!$J$5:$J$304,"&lt;&gt;Personal"))</f>
        <v>0</v>
      </c>
      <c r="R83" s="29">
        <f>IF(P83="","",SUMIFS(Expenses!$F$5:$F$304,Expenses!$C$5:$C$304,P83,Expenses!$B$5:$B$304,"&gt;="&amp;RepFrom,Expenses!$B$5:$B$304,"&lt;="&amp;RepTo,Expenses!$J$5:$J$304,"&lt;&gt;Personal"))</f>
        <v>0</v>
      </c>
      <c r="S83" s="21">
        <f>IF(ROW()-4&gt;12,"",DATE(Dash_Year,ROW()-4,1))</f>
        <v>0</v>
      </c>
      <c r="T83" s="21">
        <f>IF(S83="","",EOMONTH(S83,0))</f>
        <v>0</v>
      </c>
      <c r="U83" s="28">
        <f>IF(S83="","",TEXT(S83,"mmm"))</f>
        <v>0</v>
      </c>
      <c r="V83" s="29">
        <f>IF(S83="","",SUMIFS(Payments!$L$5:$L$304,Payments!$B$5:$B$304,"&gt;="&amp;S83,Payments!$B$5:$B$304,"&lt;="&amp;T83))</f>
        <v>0</v>
      </c>
      <c r="W83" s="29">
        <f>IF(S83="","",SUMIFS(Invoices!$O$5:$O$304,Invoices!$B$5:$B$304,"&gt;="&amp;S83,Invoices!$B$5:$B$304,"&lt;="&amp;T83,Invoices!$T$5:$T$304,"&lt;&gt;Cancelled"))</f>
        <v>0</v>
      </c>
      <c r="X83" s="29">
        <f>IF(S83="","",SUMIFS(Expenses!$F$5:$F$304,Expenses!$B$5:$B$304,"&gt;="&amp;S83,Expenses!$B$5:$B$304,"&lt;="&amp;T83,Expenses!$J$5:$J$304,"&lt;&gt;Personal"))</f>
        <v>0</v>
      </c>
      <c r="Y83" s="29">
        <f>IF(S83="","",V83-X83)</f>
        <v>0</v>
      </c>
      <c r="Z83" s="31">
        <f>IF(S83="","",COUNTIFS(Bookings!$I$5:$I$404,"&gt;="&amp;S83,Bookings!$I$5:$I$404,"&lt;="&amp;T83,Bookings!$AM$5:$AM$404,"&lt;&gt;Cancelled"))</f>
        <v>0</v>
      </c>
      <c r="AA83" s="31">
        <f>IF(S83="","",COUNTIFS(Bookings!$I$5:$I$404,"&gt;="&amp;S83,Bookings!$I$5:$I$404,"&lt;="&amp;T83,Bookings!$AM$5:$AM$404,"Completed"))</f>
        <v>0</v>
      </c>
      <c r="AB83" s="31">
        <f>IF(S83="","",COUNTIFS(Bookings!$I$5:$I$404,"&gt;="&amp;S83,Bookings!$I$5:$I$404,"&lt;="&amp;T83,Bookings!$AM$5:$AM$404,"Cancelled"))</f>
        <v>0</v>
      </c>
      <c r="AC83" s="31">
        <f>IF(S83="","",COUNTIFS('Visit Log'!$C$5:$C$404,"&gt;="&amp;S83,'Visit Log'!$C$5:$C$404,"&lt;="&amp;T83,'Visit Log'!$AE$5:$AE$404,"Completed"))</f>
        <v>0</v>
      </c>
      <c r="AD83" s="31">
        <f>IF(S83="","",COUNTIFS(Clients!$L$5:$L$254,"&gt;="&amp;S83,Clients!$L$5:$L$254,"&lt;="&amp;T83))</f>
        <v>0</v>
      </c>
      <c r="AE83" s="32">
        <f>IF(S83="","",SUMIFS(Mileage!$M$5:$M$304,Mileage!$B$5:$B$304,"&gt;="&amp;S83,Mileage!$B$5:$B$304,"&lt;="&amp;T83,Mileage!$N$5:$N$304,"Business"))</f>
        <v>0</v>
      </c>
      <c r="AF83" s="29">
        <f>IF(S83="","",SUMIFS(Payments!$L$5:$L$304,Payments!$B$5:$B$304,"&gt;="&amp;DATE(Dash_Year-1,ROW()-4,1),Payments!$B$5:$B$304,"&lt;="&amp;EOMONTH(DATE(Dash_Year-1,ROW()-4,1),0)))</f>
        <v>0</v>
      </c>
      <c r="AG83" s="28">
        <f>IF(Staff!$B$83="","",Staff!$B$83)</f>
        <v>0</v>
      </c>
      <c r="AH83" s="31">
        <f>IF(AG83="","",COUNTIFS('Visit Log'!$G$5:$G$404,AG83,'Visit Log'!$C$5:$C$404,"&gt;="&amp;RepFrom,'Visit Log'!$C$5:$C$404,"&lt;="&amp;RepTo,'Visit Log'!$AE$5:$AE$404,"Completed"))</f>
        <v>0</v>
      </c>
      <c r="AI83" s="51">
        <f>IF(AG83="","",ROUND(SUMIFS('Visit Log'!$K$5:$K$404,'Visit Log'!$G$5:$G$404,AG83,'Visit Log'!$C$5:$C$404,"&gt;="&amp;RepFrom,'Visit Log'!$C$5:$C$404,"&lt;="&amp;RepTo,'Visit Log'!$AE$5:$AE$404,"Completed")/60,2))</f>
        <v>0</v>
      </c>
      <c r="AJ83" s="29">
        <f>IF(AG83="","",SUMIFS(Bookings!$AK$5:$AK$404,Bookings!$AL$5:$AL$404,AG83,Bookings!$I$5:$I$404,"&gt;="&amp;RepFrom,Bookings!$I$5:$I$404,"&lt;="&amp;RepTo,Bookings!$AM$5:$AM$404,"&lt;&gt;Cancelled"))</f>
        <v>0</v>
      </c>
      <c r="AK83" s="32">
        <f>IF(AG83="","",SUMIFS(Mileage!$M$5:$M$304,Mileage!$C$5:$C$304,AG83,Mileage!$B$5:$B$304,"&gt;="&amp;RepFrom,Mileage!$B$5:$B$304,"&lt;="&amp;RepTo))</f>
        <v>0</v>
      </c>
      <c r="AL83" s="28">
        <f>IF(Lists!$Q83="","",Lists!$Q83)</f>
        <v>0</v>
      </c>
      <c r="AM83" s="31">
        <f>IF(AL83="","",COUNTIFS(Bookings!$AV$5:$AV$404,AL83,Bookings!$I$5:$I$404,"&gt;="&amp;RepFrom,Bookings!$I$5:$I$404,"&lt;="&amp;RepTo))</f>
        <v>0</v>
      </c>
      <c r="AN83" s="28">
        <f>IF(Lists!$AF83="","",Lists!$AF83)</f>
        <v>0</v>
      </c>
      <c r="AO83" s="29">
        <f>IF(AN83="","",SUMIFS(Payments!$L$5:$L$304,Payments!$F$5:$F$304,AN83,Payments!$B$5:$B$304,"&gt;="&amp;RepFrom,Payments!$B$5:$B$304,"&lt;="&amp;RepTo))</f>
        <v>0</v>
      </c>
      <c r="AP83" s="28">
        <f>IF(Lists!$E83="","",Lists!$E83)</f>
        <v>0</v>
      </c>
      <c r="AQ83" s="31">
        <f>IF(AP83="","",COUNTIFS(Clients!$K$5:$K$254,AP83))</f>
        <v>0</v>
      </c>
      <c r="AR83" s="29">
        <f>IF(AP83="","",SUMIFS(Clients!$AE$5:$AE$254,Clients!$K$5:$K$254,AP83))</f>
        <v>0</v>
      </c>
    </row>
    <row r="84" spans="1:44">
      <c r="A84" s="28">
        <f>IF(Clients!$B$84="","",Clients!$B$84)</f>
        <v>0</v>
      </c>
      <c r="B84" s="29">
        <f>IF(A84="","",SUMIFS(Payments!$L$5:$L$304,Payments!$C$5:$C$304,A84,Payments!$B$5:$B$304,"&gt;="&amp;PeriodStart,Payments!$B$5:$B$304,"&lt;="&amp;PeriodEnd))</f>
        <v>0</v>
      </c>
      <c r="C84" s="51">
        <f>IF(A84="","",IF(B84&lt;=0,"",B84+ROW()/1000000))</f>
        <v>0</v>
      </c>
      <c r="D84" s="29">
        <f>IF(A84="","",SUMIFS(Payments!$L$5:$L$304,Payments!$C$5:$C$304,A84,Payments!$B$5:$B$304,"&gt;="&amp;RepFrom,Payments!$B$5:$B$304,"&lt;="&amp;RepTo))</f>
        <v>0</v>
      </c>
      <c r="E84" s="51">
        <f>IF(A84="","",IF(D84&lt;=0,"",D84+ROW()/1000000))</f>
        <v>0</v>
      </c>
      <c r="F84" s="29">
        <f>IF(A84="","",SUMIFS(Invoices!$S$5:$S$304,Invoices!$D$5:$D$304,A84,Invoices!$T$5:$T$304,"&lt;&gt;Cancelled"))</f>
        <v>0</v>
      </c>
      <c r="G84" s="51">
        <f>IF(A84="","",IF(F84&lt;=0.004,"",F84+ROW()/1000000))</f>
        <v>0</v>
      </c>
      <c r="H84" s="31">
        <f>IF(A84="","",COUNTIFS(Bookings!$C$5:$C$404,A84,Bookings!$I$5:$I$404,"&gt;="&amp;RepFrom,Bookings!$I$5:$I$404,"&lt;="&amp;RepTo,Bookings!$AM$5:$AM$404,"&lt;&gt;Cancelled"))</f>
        <v>0</v>
      </c>
      <c r="I84" s="28">
        <f>IF(Services!$B$84="","",Services!$B$84)</f>
        <v>0</v>
      </c>
      <c r="J84" s="29">
        <f>IF(I84="","",SUMIFS(Bookings!$AK$5:$AK$404,Bookings!$H$5:$H$404,I84,Bookings!$I$5:$I$404,"&gt;="&amp;PeriodStart,Bookings!$I$5:$I$404,"&lt;="&amp;PeriodEnd,Bookings!$AM$5:$AM$404,"&lt;&gt;Cancelled"))</f>
        <v>0</v>
      </c>
      <c r="K84" s="31">
        <f>IF(I84="","",COUNTIFS(Bookings!$H$5:$H$404,I84,Bookings!$I$5:$I$404,"&gt;="&amp;PeriodStart,Bookings!$I$5:$I$404,"&lt;="&amp;PeriodEnd,Bookings!$AM$5:$AM$404,"&lt;&gt;Cancelled"))</f>
        <v>0</v>
      </c>
      <c r="L84" s="29">
        <f>IF(I84="","",SUMIFS(Bookings!$AK$5:$AK$404,Bookings!$H$5:$H$404,I84,Bookings!$I$5:$I$404,"&gt;="&amp;RepFrom,Bookings!$I$5:$I$404,"&lt;="&amp;RepTo,Bookings!$AM$5:$AM$404,"&lt;&gt;Cancelled"))</f>
        <v>0</v>
      </c>
      <c r="M84" s="31">
        <f>IF(I84="","",COUNTIFS(Bookings!$H$5:$H$404,I84,Bookings!$I$5:$I$404,"&gt;="&amp;RepFrom,Bookings!$I$5:$I$404,"&lt;="&amp;RepTo,Bookings!$AM$5:$AM$404,"&lt;&gt;Cancelled"))</f>
        <v>0</v>
      </c>
      <c r="N84" s="29">
        <f>IF(I84="","",M84*IF(Services!$L$84="",0,Services!$L$84))</f>
        <v>0</v>
      </c>
      <c r="O84" s="29">
        <f>IF(I84="","",L84-N84)</f>
        <v>0</v>
      </c>
      <c r="P84" s="28">
        <f>IF(Lists!$AG84="","",Lists!$AG84)</f>
        <v>0</v>
      </c>
      <c r="Q84" s="29">
        <f>IF(P84="","",SUMIFS(Expenses!$F$5:$F$304,Expenses!$C$5:$C$304,P84,Expenses!$B$5:$B$304,"&gt;="&amp;PeriodStart,Expenses!$B$5:$B$304,"&lt;="&amp;PeriodEnd,Expenses!$J$5:$J$304,"&lt;&gt;Personal"))</f>
        <v>0</v>
      </c>
      <c r="R84" s="29">
        <f>IF(P84="","",SUMIFS(Expenses!$F$5:$F$304,Expenses!$C$5:$C$304,P84,Expenses!$B$5:$B$304,"&gt;="&amp;RepFrom,Expenses!$B$5:$B$304,"&lt;="&amp;RepTo,Expenses!$J$5:$J$304,"&lt;&gt;Personal"))</f>
        <v>0</v>
      </c>
      <c r="S84" s="21">
        <f>IF(ROW()-4&gt;12,"",DATE(Dash_Year,ROW()-4,1))</f>
        <v>0</v>
      </c>
      <c r="T84" s="21">
        <f>IF(S84="","",EOMONTH(S84,0))</f>
        <v>0</v>
      </c>
      <c r="U84" s="28">
        <f>IF(S84="","",TEXT(S84,"mmm"))</f>
        <v>0</v>
      </c>
      <c r="V84" s="29">
        <f>IF(S84="","",SUMIFS(Payments!$L$5:$L$304,Payments!$B$5:$B$304,"&gt;="&amp;S84,Payments!$B$5:$B$304,"&lt;="&amp;T84))</f>
        <v>0</v>
      </c>
      <c r="W84" s="29">
        <f>IF(S84="","",SUMIFS(Invoices!$O$5:$O$304,Invoices!$B$5:$B$304,"&gt;="&amp;S84,Invoices!$B$5:$B$304,"&lt;="&amp;T84,Invoices!$T$5:$T$304,"&lt;&gt;Cancelled"))</f>
        <v>0</v>
      </c>
      <c r="X84" s="29">
        <f>IF(S84="","",SUMIFS(Expenses!$F$5:$F$304,Expenses!$B$5:$B$304,"&gt;="&amp;S84,Expenses!$B$5:$B$304,"&lt;="&amp;T84,Expenses!$J$5:$J$304,"&lt;&gt;Personal"))</f>
        <v>0</v>
      </c>
      <c r="Y84" s="29">
        <f>IF(S84="","",V84-X84)</f>
        <v>0</v>
      </c>
      <c r="Z84" s="31">
        <f>IF(S84="","",COUNTIFS(Bookings!$I$5:$I$404,"&gt;="&amp;S84,Bookings!$I$5:$I$404,"&lt;="&amp;T84,Bookings!$AM$5:$AM$404,"&lt;&gt;Cancelled"))</f>
        <v>0</v>
      </c>
      <c r="AA84" s="31">
        <f>IF(S84="","",COUNTIFS(Bookings!$I$5:$I$404,"&gt;="&amp;S84,Bookings!$I$5:$I$404,"&lt;="&amp;T84,Bookings!$AM$5:$AM$404,"Completed"))</f>
        <v>0</v>
      </c>
      <c r="AB84" s="31">
        <f>IF(S84="","",COUNTIFS(Bookings!$I$5:$I$404,"&gt;="&amp;S84,Bookings!$I$5:$I$404,"&lt;="&amp;T84,Bookings!$AM$5:$AM$404,"Cancelled"))</f>
        <v>0</v>
      </c>
      <c r="AC84" s="31">
        <f>IF(S84="","",COUNTIFS('Visit Log'!$C$5:$C$404,"&gt;="&amp;S84,'Visit Log'!$C$5:$C$404,"&lt;="&amp;T84,'Visit Log'!$AE$5:$AE$404,"Completed"))</f>
        <v>0</v>
      </c>
      <c r="AD84" s="31">
        <f>IF(S84="","",COUNTIFS(Clients!$L$5:$L$254,"&gt;="&amp;S84,Clients!$L$5:$L$254,"&lt;="&amp;T84))</f>
        <v>0</v>
      </c>
      <c r="AE84" s="32">
        <f>IF(S84="","",SUMIFS(Mileage!$M$5:$M$304,Mileage!$B$5:$B$304,"&gt;="&amp;S84,Mileage!$B$5:$B$304,"&lt;="&amp;T84,Mileage!$N$5:$N$304,"Business"))</f>
        <v>0</v>
      </c>
      <c r="AF84" s="29">
        <f>IF(S84="","",SUMIFS(Payments!$L$5:$L$304,Payments!$B$5:$B$304,"&gt;="&amp;DATE(Dash_Year-1,ROW()-4,1),Payments!$B$5:$B$304,"&lt;="&amp;EOMONTH(DATE(Dash_Year-1,ROW()-4,1),0)))</f>
        <v>0</v>
      </c>
      <c r="AG84" s="28">
        <f>IF(Staff!$B$84="","",Staff!$B$84)</f>
        <v>0</v>
      </c>
      <c r="AH84" s="31">
        <f>IF(AG84="","",COUNTIFS('Visit Log'!$G$5:$G$404,AG84,'Visit Log'!$C$5:$C$404,"&gt;="&amp;RepFrom,'Visit Log'!$C$5:$C$404,"&lt;="&amp;RepTo,'Visit Log'!$AE$5:$AE$404,"Completed"))</f>
        <v>0</v>
      </c>
      <c r="AI84" s="51">
        <f>IF(AG84="","",ROUND(SUMIFS('Visit Log'!$K$5:$K$404,'Visit Log'!$G$5:$G$404,AG84,'Visit Log'!$C$5:$C$404,"&gt;="&amp;RepFrom,'Visit Log'!$C$5:$C$404,"&lt;="&amp;RepTo,'Visit Log'!$AE$5:$AE$404,"Completed")/60,2))</f>
        <v>0</v>
      </c>
      <c r="AJ84" s="29">
        <f>IF(AG84="","",SUMIFS(Bookings!$AK$5:$AK$404,Bookings!$AL$5:$AL$404,AG84,Bookings!$I$5:$I$404,"&gt;="&amp;RepFrom,Bookings!$I$5:$I$404,"&lt;="&amp;RepTo,Bookings!$AM$5:$AM$404,"&lt;&gt;Cancelled"))</f>
        <v>0</v>
      </c>
      <c r="AK84" s="32">
        <f>IF(AG84="","",SUMIFS(Mileage!$M$5:$M$304,Mileage!$C$5:$C$304,AG84,Mileage!$B$5:$B$304,"&gt;="&amp;RepFrom,Mileage!$B$5:$B$304,"&lt;="&amp;RepTo))</f>
        <v>0</v>
      </c>
      <c r="AL84" s="28">
        <f>IF(Lists!$Q84="","",Lists!$Q84)</f>
        <v>0</v>
      </c>
      <c r="AM84" s="31">
        <f>IF(AL84="","",COUNTIFS(Bookings!$AV$5:$AV$404,AL84,Bookings!$I$5:$I$404,"&gt;="&amp;RepFrom,Bookings!$I$5:$I$404,"&lt;="&amp;RepTo))</f>
        <v>0</v>
      </c>
      <c r="AN84" s="28">
        <f>IF(Lists!$AF84="","",Lists!$AF84)</f>
        <v>0</v>
      </c>
      <c r="AO84" s="29">
        <f>IF(AN84="","",SUMIFS(Payments!$L$5:$L$304,Payments!$F$5:$F$304,AN84,Payments!$B$5:$B$304,"&gt;="&amp;RepFrom,Payments!$B$5:$B$304,"&lt;="&amp;RepTo))</f>
        <v>0</v>
      </c>
      <c r="AP84" s="28">
        <f>IF(Lists!$E84="","",Lists!$E84)</f>
        <v>0</v>
      </c>
      <c r="AQ84" s="31">
        <f>IF(AP84="","",COUNTIFS(Clients!$K$5:$K$254,AP84))</f>
        <v>0</v>
      </c>
      <c r="AR84" s="29">
        <f>IF(AP84="","",SUMIFS(Clients!$AE$5:$AE$254,Clients!$K$5:$K$254,AP84))</f>
        <v>0</v>
      </c>
    </row>
    <row r="85" spans="1:44">
      <c r="A85" s="28">
        <f>IF(Clients!$B$85="","",Clients!$B$85)</f>
        <v>0</v>
      </c>
      <c r="B85" s="29">
        <f>IF(A85="","",SUMIFS(Payments!$L$5:$L$304,Payments!$C$5:$C$304,A85,Payments!$B$5:$B$304,"&gt;="&amp;PeriodStart,Payments!$B$5:$B$304,"&lt;="&amp;PeriodEnd))</f>
        <v>0</v>
      </c>
      <c r="C85" s="51">
        <f>IF(A85="","",IF(B85&lt;=0,"",B85+ROW()/1000000))</f>
        <v>0</v>
      </c>
      <c r="D85" s="29">
        <f>IF(A85="","",SUMIFS(Payments!$L$5:$L$304,Payments!$C$5:$C$304,A85,Payments!$B$5:$B$304,"&gt;="&amp;RepFrom,Payments!$B$5:$B$304,"&lt;="&amp;RepTo))</f>
        <v>0</v>
      </c>
      <c r="E85" s="51">
        <f>IF(A85="","",IF(D85&lt;=0,"",D85+ROW()/1000000))</f>
        <v>0</v>
      </c>
      <c r="F85" s="29">
        <f>IF(A85="","",SUMIFS(Invoices!$S$5:$S$304,Invoices!$D$5:$D$304,A85,Invoices!$T$5:$T$304,"&lt;&gt;Cancelled"))</f>
        <v>0</v>
      </c>
      <c r="G85" s="51">
        <f>IF(A85="","",IF(F85&lt;=0.004,"",F85+ROW()/1000000))</f>
        <v>0</v>
      </c>
      <c r="H85" s="31">
        <f>IF(A85="","",COUNTIFS(Bookings!$C$5:$C$404,A85,Bookings!$I$5:$I$404,"&gt;="&amp;RepFrom,Bookings!$I$5:$I$404,"&lt;="&amp;RepTo,Bookings!$AM$5:$AM$404,"&lt;&gt;Cancelled"))</f>
        <v>0</v>
      </c>
      <c r="I85" s="28">
        <f>IF(Services!$B$85="","",Services!$B$85)</f>
        <v>0</v>
      </c>
      <c r="J85" s="29">
        <f>IF(I85="","",SUMIFS(Bookings!$AK$5:$AK$404,Bookings!$H$5:$H$404,I85,Bookings!$I$5:$I$404,"&gt;="&amp;PeriodStart,Bookings!$I$5:$I$404,"&lt;="&amp;PeriodEnd,Bookings!$AM$5:$AM$404,"&lt;&gt;Cancelled"))</f>
        <v>0</v>
      </c>
      <c r="K85" s="31">
        <f>IF(I85="","",COUNTIFS(Bookings!$H$5:$H$404,I85,Bookings!$I$5:$I$404,"&gt;="&amp;PeriodStart,Bookings!$I$5:$I$404,"&lt;="&amp;PeriodEnd,Bookings!$AM$5:$AM$404,"&lt;&gt;Cancelled"))</f>
        <v>0</v>
      </c>
      <c r="L85" s="29">
        <f>IF(I85="","",SUMIFS(Bookings!$AK$5:$AK$404,Bookings!$H$5:$H$404,I85,Bookings!$I$5:$I$404,"&gt;="&amp;RepFrom,Bookings!$I$5:$I$404,"&lt;="&amp;RepTo,Bookings!$AM$5:$AM$404,"&lt;&gt;Cancelled"))</f>
        <v>0</v>
      </c>
      <c r="M85" s="31">
        <f>IF(I85="","",COUNTIFS(Bookings!$H$5:$H$404,I85,Bookings!$I$5:$I$404,"&gt;="&amp;RepFrom,Bookings!$I$5:$I$404,"&lt;="&amp;RepTo,Bookings!$AM$5:$AM$404,"&lt;&gt;Cancelled"))</f>
        <v>0</v>
      </c>
      <c r="N85" s="29">
        <f>IF(I85="","",M85*IF(Services!$L$85="",0,Services!$L$85))</f>
        <v>0</v>
      </c>
      <c r="O85" s="29">
        <f>IF(I85="","",L85-N85)</f>
        <v>0</v>
      </c>
      <c r="P85" s="28">
        <f>IF(Lists!$AG85="","",Lists!$AG85)</f>
        <v>0</v>
      </c>
      <c r="Q85" s="29">
        <f>IF(P85="","",SUMIFS(Expenses!$F$5:$F$304,Expenses!$C$5:$C$304,P85,Expenses!$B$5:$B$304,"&gt;="&amp;PeriodStart,Expenses!$B$5:$B$304,"&lt;="&amp;PeriodEnd,Expenses!$J$5:$J$304,"&lt;&gt;Personal"))</f>
        <v>0</v>
      </c>
      <c r="R85" s="29">
        <f>IF(P85="","",SUMIFS(Expenses!$F$5:$F$304,Expenses!$C$5:$C$304,P85,Expenses!$B$5:$B$304,"&gt;="&amp;RepFrom,Expenses!$B$5:$B$304,"&lt;="&amp;RepTo,Expenses!$J$5:$J$304,"&lt;&gt;Personal"))</f>
        <v>0</v>
      </c>
      <c r="S85" s="21">
        <f>IF(ROW()-4&gt;12,"",DATE(Dash_Year,ROW()-4,1))</f>
        <v>0</v>
      </c>
      <c r="T85" s="21">
        <f>IF(S85="","",EOMONTH(S85,0))</f>
        <v>0</v>
      </c>
      <c r="U85" s="28">
        <f>IF(S85="","",TEXT(S85,"mmm"))</f>
        <v>0</v>
      </c>
      <c r="V85" s="29">
        <f>IF(S85="","",SUMIFS(Payments!$L$5:$L$304,Payments!$B$5:$B$304,"&gt;="&amp;S85,Payments!$B$5:$B$304,"&lt;="&amp;T85))</f>
        <v>0</v>
      </c>
      <c r="W85" s="29">
        <f>IF(S85="","",SUMIFS(Invoices!$O$5:$O$304,Invoices!$B$5:$B$304,"&gt;="&amp;S85,Invoices!$B$5:$B$304,"&lt;="&amp;T85,Invoices!$T$5:$T$304,"&lt;&gt;Cancelled"))</f>
        <v>0</v>
      </c>
      <c r="X85" s="29">
        <f>IF(S85="","",SUMIFS(Expenses!$F$5:$F$304,Expenses!$B$5:$B$304,"&gt;="&amp;S85,Expenses!$B$5:$B$304,"&lt;="&amp;T85,Expenses!$J$5:$J$304,"&lt;&gt;Personal"))</f>
        <v>0</v>
      </c>
      <c r="Y85" s="29">
        <f>IF(S85="","",V85-X85)</f>
        <v>0</v>
      </c>
      <c r="Z85" s="31">
        <f>IF(S85="","",COUNTIFS(Bookings!$I$5:$I$404,"&gt;="&amp;S85,Bookings!$I$5:$I$404,"&lt;="&amp;T85,Bookings!$AM$5:$AM$404,"&lt;&gt;Cancelled"))</f>
        <v>0</v>
      </c>
      <c r="AA85" s="31">
        <f>IF(S85="","",COUNTIFS(Bookings!$I$5:$I$404,"&gt;="&amp;S85,Bookings!$I$5:$I$404,"&lt;="&amp;T85,Bookings!$AM$5:$AM$404,"Completed"))</f>
        <v>0</v>
      </c>
      <c r="AB85" s="31">
        <f>IF(S85="","",COUNTIFS(Bookings!$I$5:$I$404,"&gt;="&amp;S85,Bookings!$I$5:$I$404,"&lt;="&amp;T85,Bookings!$AM$5:$AM$404,"Cancelled"))</f>
        <v>0</v>
      </c>
      <c r="AC85" s="31">
        <f>IF(S85="","",COUNTIFS('Visit Log'!$C$5:$C$404,"&gt;="&amp;S85,'Visit Log'!$C$5:$C$404,"&lt;="&amp;T85,'Visit Log'!$AE$5:$AE$404,"Completed"))</f>
        <v>0</v>
      </c>
      <c r="AD85" s="31">
        <f>IF(S85="","",COUNTIFS(Clients!$L$5:$L$254,"&gt;="&amp;S85,Clients!$L$5:$L$254,"&lt;="&amp;T85))</f>
        <v>0</v>
      </c>
      <c r="AE85" s="32">
        <f>IF(S85="","",SUMIFS(Mileage!$M$5:$M$304,Mileage!$B$5:$B$304,"&gt;="&amp;S85,Mileage!$B$5:$B$304,"&lt;="&amp;T85,Mileage!$N$5:$N$304,"Business"))</f>
        <v>0</v>
      </c>
      <c r="AF85" s="29">
        <f>IF(S85="","",SUMIFS(Payments!$L$5:$L$304,Payments!$B$5:$B$304,"&gt;="&amp;DATE(Dash_Year-1,ROW()-4,1),Payments!$B$5:$B$304,"&lt;="&amp;EOMONTH(DATE(Dash_Year-1,ROW()-4,1),0)))</f>
        <v>0</v>
      </c>
      <c r="AG85" s="28">
        <f>IF(Staff!$B$85="","",Staff!$B$85)</f>
        <v>0</v>
      </c>
      <c r="AH85" s="31">
        <f>IF(AG85="","",COUNTIFS('Visit Log'!$G$5:$G$404,AG85,'Visit Log'!$C$5:$C$404,"&gt;="&amp;RepFrom,'Visit Log'!$C$5:$C$404,"&lt;="&amp;RepTo,'Visit Log'!$AE$5:$AE$404,"Completed"))</f>
        <v>0</v>
      </c>
      <c r="AI85" s="51">
        <f>IF(AG85="","",ROUND(SUMIFS('Visit Log'!$K$5:$K$404,'Visit Log'!$G$5:$G$404,AG85,'Visit Log'!$C$5:$C$404,"&gt;="&amp;RepFrom,'Visit Log'!$C$5:$C$404,"&lt;="&amp;RepTo,'Visit Log'!$AE$5:$AE$404,"Completed")/60,2))</f>
        <v>0</v>
      </c>
      <c r="AJ85" s="29">
        <f>IF(AG85="","",SUMIFS(Bookings!$AK$5:$AK$404,Bookings!$AL$5:$AL$404,AG85,Bookings!$I$5:$I$404,"&gt;="&amp;RepFrom,Bookings!$I$5:$I$404,"&lt;="&amp;RepTo,Bookings!$AM$5:$AM$404,"&lt;&gt;Cancelled"))</f>
        <v>0</v>
      </c>
      <c r="AK85" s="32">
        <f>IF(AG85="","",SUMIFS(Mileage!$M$5:$M$304,Mileage!$C$5:$C$304,AG85,Mileage!$B$5:$B$304,"&gt;="&amp;RepFrom,Mileage!$B$5:$B$304,"&lt;="&amp;RepTo))</f>
        <v>0</v>
      </c>
      <c r="AL85" s="28">
        <f>IF(Lists!$Q85="","",Lists!$Q85)</f>
        <v>0</v>
      </c>
      <c r="AM85" s="31">
        <f>IF(AL85="","",COUNTIFS(Bookings!$AV$5:$AV$404,AL85,Bookings!$I$5:$I$404,"&gt;="&amp;RepFrom,Bookings!$I$5:$I$404,"&lt;="&amp;RepTo))</f>
        <v>0</v>
      </c>
      <c r="AN85" s="28">
        <f>IF(Lists!$AF85="","",Lists!$AF85)</f>
        <v>0</v>
      </c>
      <c r="AO85" s="29">
        <f>IF(AN85="","",SUMIFS(Payments!$L$5:$L$304,Payments!$F$5:$F$304,AN85,Payments!$B$5:$B$304,"&gt;="&amp;RepFrom,Payments!$B$5:$B$304,"&lt;="&amp;RepTo))</f>
        <v>0</v>
      </c>
      <c r="AP85" s="28">
        <f>IF(Lists!$E85="","",Lists!$E85)</f>
        <v>0</v>
      </c>
      <c r="AQ85" s="31">
        <f>IF(AP85="","",COUNTIFS(Clients!$K$5:$K$254,AP85))</f>
        <v>0</v>
      </c>
      <c r="AR85" s="29">
        <f>IF(AP85="","",SUMIFS(Clients!$AE$5:$AE$254,Clients!$K$5:$K$254,AP85))</f>
        <v>0</v>
      </c>
    </row>
    <row r="86" spans="1:44">
      <c r="A86" s="28">
        <f>IF(Clients!$B$86="","",Clients!$B$86)</f>
        <v>0</v>
      </c>
      <c r="B86" s="29">
        <f>IF(A86="","",SUMIFS(Payments!$L$5:$L$304,Payments!$C$5:$C$304,A86,Payments!$B$5:$B$304,"&gt;="&amp;PeriodStart,Payments!$B$5:$B$304,"&lt;="&amp;PeriodEnd))</f>
        <v>0</v>
      </c>
      <c r="C86" s="51">
        <f>IF(A86="","",IF(B86&lt;=0,"",B86+ROW()/1000000))</f>
        <v>0</v>
      </c>
      <c r="D86" s="29">
        <f>IF(A86="","",SUMIFS(Payments!$L$5:$L$304,Payments!$C$5:$C$304,A86,Payments!$B$5:$B$304,"&gt;="&amp;RepFrom,Payments!$B$5:$B$304,"&lt;="&amp;RepTo))</f>
        <v>0</v>
      </c>
      <c r="E86" s="51">
        <f>IF(A86="","",IF(D86&lt;=0,"",D86+ROW()/1000000))</f>
        <v>0</v>
      </c>
      <c r="F86" s="29">
        <f>IF(A86="","",SUMIFS(Invoices!$S$5:$S$304,Invoices!$D$5:$D$304,A86,Invoices!$T$5:$T$304,"&lt;&gt;Cancelled"))</f>
        <v>0</v>
      </c>
      <c r="G86" s="51">
        <f>IF(A86="","",IF(F86&lt;=0.004,"",F86+ROW()/1000000))</f>
        <v>0</v>
      </c>
      <c r="H86" s="31">
        <f>IF(A86="","",COUNTIFS(Bookings!$C$5:$C$404,A86,Bookings!$I$5:$I$404,"&gt;="&amp;RepFrom,Bookings!$I$5:$I$404,"&lt;="&amp;RepTo,Bookings!$AM$5:$AM$404,"&lt;&gt;Cancelled"))</f>
        <v>0</v>
      </c>
      <c r="I86" s="28">
        <f>IF(Services!$B$86="","",Services!$B$86)</f>
        <v>0</v>
      </c>
      <c r="J86" s="29">
        <f>IF(I86="","",SUMIFS(Bookings!$AK$5:$AK$404,Bookings!$H$5:$H$404,I86,Bookings!$I$5:$I$404,"&gt;="&amp;PeriodStart,Bookings!$I$5:$I$404,"&lt;="&amp;PeriodEnd,Bookings!$AM$5:$AM$404,"&lt;&gt;Cancelled"))</f>
        <v>0</v>
      </c>
      <c r="K86" s="31">
        <f>IF(I86="","",COUNTIFS(Bookings!$H$5:$H$404,I86,Bookings!$I$5:$I$404,"&gt;="&amp;PeriodStart,Bookings!$I$5:$I$404,"&lt;="&amp;PeriodEnd,Bookings!$AM$5:$AM$404,"&lt;&gt;Cancelled"))</f>
        <v>0</v>
      </c>
      <c r="L86" s="29">
        <f>IF(I86="","",SUMIFS(Bookings!$AK$5:$AK$404,Bookings!$H$5:$H$404,I86,Bookings!$I$5:$I$404,"&gt;="&amp;RepFrom,Bookings!$I$5:$I$404,"&lt;="&amp;RepTo,Bookings!$AM$5:$AM$404,"&lt;&gt;Cancelled"))</f>
        <v>0</v>
      </c>
      <c r="M86" s="31">
        <f>IF(I86="","",COUNTIFS(Bookings!$H$5:$H$404,I86,Bookings!$I$5:$I$404,"&gt;="&amp;RepFrom,Bookings!$I$5:$I$404,"&lt;="&amp;RepTo,Bookings!$AM$5:$AM$404,"&lt;&gt;Cancelled"))</f>
        <v>0</v>
      </c>
      <c r="N86" s="29">
        <f>IF(I86="","",M86*IF(Services!$L$86="",0,Services!$L$86))</f>
        <v>0</v>
      </c>
      <c r="O86" s="29">
        <f>IF(I86="","",L86-N86)</f>
        <v>0</v>
      </c>
      <c r="P86" s="28">
        <f>IF(Lists!$AG86="","",Lists!$AG86)</f>
        <v>0</v>
      </c>
      <c r="Q86" s="29">
        <f>IF(P86="","",SUMIFS(Expenses!$F$5:$F$304,Expenses!$C$5:$C$304,P86,Expenses!$B$5:$B$304,"&gt;="&amp;PeriodStart,Expenses!$B$5:$B$304,"&lt;="&amp;PeriodEnd,Expenses!$J$5:$J$304,"&lt;&gt;Personal"))</f>
        <v>0</v>
      </c>
      <c r="R86" s="29">
        <f>IF(P86="","",SUMIFS(Expenses!$F$5:$F$304,Expenses!$C$5:$C$304,P86,Expenses!$B$5:$B$304,"&gt;="&amp;RepFrom,Expenses!$B$5:$B$304,"&lt;="&amp;RepTo,Expenses!$J$5:$J$304,"&lt;&gt;Personal"))</f>
        <v>0</v>
      </c>
      <c r="S86" s="21">
        <f>IF(ROW()-4&gt;12,"",DATE(Dash_Year,ROW()-4,1))</f>
        <v>0</v>
      </c>
      <c r="T86" s="21">
        <f>IF(S86="","",EOMONTH(S86,0))</f>
        <v>0</v>
      </c>
      <c r="U86" s="28">
        <f>IF(S86="","",TEXT(S86,"mmm"))</f>
        <v>0</v>
      </c>
      <c r="V86" s="29">
        <f>IF(S86="","",SUMIFS(Payments!$L$5:$L$304,Payments!$B$5:$B$304,"&gt;="&amp;S86,Payments!$B$5:$B$304,"&lt;="&amp;T86))</f>
        <v>0</v>
      </c>
      <c r="W86" s="29">
        <f>IF(S86="","",SUMIFS(Invoices!$O$5:$O$304,Invoices!$B$5:$B$304,"&gt;="&amp;S86,Invoices!$B$5:$B$304,"&lt;="&amp;T86,Invoices!$T$5:$T$304,"&lt;&gt;Cancelled"))</f>
        <v>0</v>
      </c>
      <c r="X86" s="29">
        <f>IF(S86="","",SUMIFS(Expenses!$F$5:$F$304,Expenses!$B$5:$B$304,"&gt;="&amp;S86,Expenses!$B$5:$B$304,"&lt;="&amp;T86,Expenses!$J$5:$J$304,"&lt;&gt;Personal"))</f>
        <v>0</v>
      </c>
      <c r="Y86" s="29">
        <f>IF(S86="","",V86-X86)</f>
        <v>0</v>
      </c>
      <c r="Z86" s="31">
        <f>IF(S86="","",COUNTIFS(Bookings!$I$5:$I$404,"&gt;="&amp;S86,Bookings!$I$5:$I$404,"&lt;="&amp;T86,Bookings!$AM$5:$AM$404,"&lt;&gt;Cancelled"))</f>
        <v>0</v>
      </c>
      <c r="AA86" s="31">
        <f>IF(S86="","",COUNTIFS(Bookings!$I$5:$I$404,"&gt;="&amp;S86,Bookings!$I$5:$I$404,"&lt;="&amp;T86,Bookings!$AM$5:$AM$404,"Completed"))</f>
        <v>0</v>
      </c>
      <c r="AB86" s="31">
        <f>IF(S86="","",COUNTIFS(Bookings!$I$5:$I$404,"&gt;="&amp;S86,Bookings!$I$5:$I$404,"&lt;="&amp;T86,Bookings!$AM$5:$AM$404,"Cancelled"))</f>
        <v>0</v>
      </c>
      <c r="AC86" s="31">
        <f>IF(S86="","",COUNTIFS('Visit Log'!$C$5:$C$404,"&gt;="&amp;S86,'Visit Log'!$C$5:$C$404,"&lt;="&amp;T86,'Visit Log'!$AE$5:$AE$404,"Completed"))</f>
        <v>0</v>
      </c>
      <c r="AD86" s="31">
        <f>IF(S86="","",COUNTIFS(Clients!$L$5:$L$254,"&gt;="&amp;S86,Clients!$L$5:$L$254,"&lt;="&amp;T86))</f>
        <v>0</v>
      </c>
      <c r="AE86" s="32">
        <f>IF(S86="","",SUMIFS(Mileage!$M$5:$M$304,Mileage!$B$5:$B$304,"&gt;="&amp;S86,Mileage!$B$5:$B$304,"&lt;="&amp;T86,Mileage!$N$5:$N$304,"Business"))</f>
        <v>0</v>
      </c>
      <c r="AF86" s="29">
        <f>IF(S86="","",SUMIFS(Payments!$L$5:$L$304,Payments!$B$5:$B$304,"&gt;="&amp;DATE(Dash_Year-1,ROW()-4,1),Payments!$B$5:$B$304,"&lt;="&amp;EOMONTH(DATE(Dash_Year-1,ROW()-4,1),0)))</f>
        <v>0</v>
      </c>
      <c r="AG86" s="28">
        <f>IF(Staff!$B$86="","",Staff!$B$86)</f>
        <v>0</v>
      </c>
      <c r="AH86" s="31">
        <f>IF(AG86="","",COUNTIFS('Visit Log'!$G$5:$G$404,AG86,'Visit Log'!$C$5:$C$404,"&gt;="&amp;RepFrom,'Visit Log'!$C$5:$C$404,"&lt;="&amp;RepTo,'Visit Log'!$AE$5:$AE$404,"Completed"))</f>
        <v>0</v>
      </c>
      <c r="AI86" s="51">
        <f>IF(AG86="","",ROUND(SUMIFS('Visit Log'!$K$5:$K$404,'Visit Log'!$G$5:$G$404,AG86,'Visit Log'!$C$5:$C$404,"&gt;="&amp;RepFrom,'Visit Log'!$C$5:$C$404,"&lt;="&amp;RepTo,'Visit Log'!$AE$5:$AE$404,"Completed")/60,2))</f>
        <v>0</v>
      </c>
      <c r="AJ86" s="29">
        <f>IF(AG86="","",SUMIFS(Bookings!$AK$5:$AK$404,Bookings!$AL$5:$AL$404,AG86,Bookings!$I$5:$I$404,"&gt;="&amp;RepFrom,Bookings!$I$5:$I$404,"&lt;="&amp;RepTo,Bookings!$AM$5:$AM$404,"&lt;&gt;Cancelled"))</f>
        <v>0</v>
      </c>
      <c r="AK86" s="32">
        <f>IF(AG86="","",SUMIFS(Mileage!$M$5:$M$304,Mileage!$C$5:$C$304,AG86,Mileage!$B$5:$B$304,"&gt;="&amp;RepFrom,Mileage!$B$5:$B$304,"&lt;="&amp;RepTo))</f>
        <v>0</v>
      </c>
      <c r="AL86" s="28">
        <f>IF(Lists!$Q86="","",Lists!$Q86)</f>
        <v>0</v>
      </c>
      <c r="AM86" s="31">
        <f>IF(AL86="","",COUNTIFS(Bookings!$AV$5:$AV$404,AL86,Bookings!$I$5:$I$404,"&gt;="&amp;RepFrom,Bookings!$I$5:$I$404,"&lt;="&amp;RepTo))</f>
        <v>0</v>
      </c>
      <c r="AN86" s="28">
        <f>IF(Lists!$AF86="","",Lists!$AF86)</f>
        <v>0</v>
      </c>
      <c r="AO86" s="29">
        <f>IF(AN86="","",SUMIFS(Payments!$L$5:$L$304,Payments!$F$5:$F$304,AN86,Payments!$B$5:$B$304,"&gt;="&amp;RepFrom,Payments!$B$5:$B$304,"&lt;="&amp;RepTo))</f>
        <v>0</v>
      </c>
      <c r="AP86" s="28">
        <f>IF(Lists!$E86="","",Lists!$E86)</f>
        <v>0</v>
      </c>
      <c r="AQ86" s="31">
        <f>IF(AP86="","",COUNTIFS(Clients!$K$5:$K$254,AP86))</f>
        <v>0</v>
      </c>
      <c r="AR86" s="29">
        <f>IF(AP86="","",SUMIFS(Clients!$AE$5:$AE$254,Clients!$K$5:$K$254,AP86))</f>
        <v>0</v>
      </c>
    </row>
    <row r="87" spans="1:44">
      <c r="A87" s="28">
        <f>IF(Clients!$B$87="","",Clients!$B$87)</f>
        <v>0</v>
      </c>
      <c r="B87" s="29">
        <f>IF(A87="","",SUMIFS(Payments!$L$5:$L$304,Payments!$C$5:$C$304,A87,Payments!$B$5:$B$304,"&gt;="&amp;PeriodStart,Payments!$B$5:$B$304,"&lt;="&amp;PeriodEnd))</f>
        <v>0</v>
      </c>
      <c r="C87" s="51">
        <f>IF(A87="","",IF(B87&lt;=0,"",B87+ROW()/1000000))</f>
        <v>0</v>
      </c>
      <c r="D87" s="29">
        <f>IF(A87="","",SUMIFS(Payments!$L$5:$L$304,Payments!$C$5:$C$304,A87,Payments!$B$5:$B$304,"&gt;="&amp;RepFrom,Payments!$B$5:$B$304,"&lt;="&amp;RepTo))</f>
        <v>0</v>
      </c>
      <c r="E87" s="51">
        <f>IF(A87="","",IF(D87&lt;=0,"",D87+ROW()/1000000))</f>
        <v>0</v>
      </c>
      <c r="F87" s="29">
        <f>IF(A87="","",SUMIFS(Invoices!$S$5:$S$304,Invoices!$D$5:$D$304,A87,Invoices!$T$5:$T$304,"&lt;&gt;Cancelled"))</f>
        <v>0</v>
      </c>
      <c r="G87" s="51">
        <f>IF(A87="","",IF(F87&lt;=0.004,"",F87+ROW()/1000000))</f>
        <v>0</v>
      </c>
      <c r="H87" s="31">
        <f>IF(A87="","",COUNTIFS(Bookings!$C$5:$C$404,A87,Bookings!$I$5:$I$404,"&gt;="&amp;RepFrom,Bookings!$I$5:$I$404,"&lt;="&amp;RepTo,Bookings!$AM$5:$AM$404,"&lt;&gt;Cancelled"))</f>
        <v>0</v>
      </c>
      <c r="I87" s="28">
        <f>IF(Services!$B$87="","",Services!$B$87)</f>
        <v>0</v>
      </c>
      <c r="J87" s="29">
        <f>IF(I87="","",SUMIFS(Bookings!$AK$5:$AK$404,Bookings!$H$5:$H$404,I87,Bookings!$I$5:$I$404,"&gt;="&amp;PeriodStart,Bookings!$I$5:$I$404,"&lt;="&amp;PeriodEnd,Bookings!$AM$5:$AM$404,"&lt;&gt;Cancelled"))</f>
        <v>0</v>
      </c>
      <c r="K87" s="31">
        <f>IF(I87="","",COUNTIFS(Bookings!$H$5:$H$404,I87,Bookings!$I$5:$I$404,"&gt;="&amp;PeriodStart,Bookings!$I$5:$I$404,"&lt;="&amp;PeriodEnd,Bookings!$AM$5:$AM$404,"&lt;&gt;Cancelled"))</f>
        <v>0</v>
      </c>
      <c r="L87" s="29">
        <f>IF(I87="","",SUMIFS(Bookings!$AK$5:$AK$404,Bookings!$H$5:$H$404,I87,Bookings!$I$5:$I$404,"&gt;="&amp;RepFrom,Bookings!$I$5:$I$404,"&lt;="&amp;RepTo,Bookings!$AM$5:$AM$404,"&lt;&gt;Cancelled"))</f>
        <v>0</v>
      </c>
      <c r="M87" s="31">
        <f>IF(I87="","",COUNTIFS(Bookings!$H$5:$H$404,I87,Bookings!$I$5:$I$404,"&gt;="&amp;RepFrom,Bookings!$I$5:$I$404,"&lt;="&amp;RepTo,Bookings!$AM$5:$AM$404,"&lt;&gt;Cancelled"))</f>
        <v>0</v>
      </c>
      <c r="N87" s="29">
        <f>IF(I87="","",M87*IF(Services!$L$87="",0,Services!$L$87))</f>
        <v>0</v>
      </c>
      <c r="O87" s="29">
        <f>IF(I87="","",L87-N87)</f>
        <v>0</v>
      </c>
      <c r="P87" s="28">
        <f>IF(Lists!$AG87="","",Lists!$AG87)</f>
        <v>0</v>
      </c>
      <c r="Q87" s="29">
        <f>IF(P87="","",SUMIFS(Expenses!$F$5:$F$304,Expenses!$C$5:$C$304,P87,Expenses!$B$5:$B$304,"&gt;="&amp;PeriodStart,Expenses!$B$5:$B$304,"&lt;="&amp;PeriodEnd,Expenses!$J$5:$J$304,"&lt;&gt;Personal"))</f>
        <v>0</v>
      </c>
      <c r="R87" s="29">
        <f>IF(P87="","",SUMIFS(Expenses!$F$5:$F$304,Expenses!$C$5:$C$304,P87,Expenses!$B$5:$B$304,"&gt;="&amp;RepFrom,Expenses!$B$5:$B$304,"&lt;="&amp;RepTo,Expenses!$J$5:$J$304,"&lt;&gt;Personal"))</f>
        <v>0</v>
      </c>
      <c r="S87" s="21">
        <f>IF(ROW()-4&gt;12,"",DATE(Dash_Year,ROW()-4,1))</f>
        <v>0</v>
      </c>
      <c r="T87" s="21">
        <f>IF(S87="","",EOMONTH(S87,0))</f>
        <v>0</v>
      </c>
      <c r="U87" s="28">
        <f>IF(S87="","",TEXT(S87,"mmm"))</f>
        <v>0</v>
      </c>
      <c r="V87" s="29">
        <f>IF(S87="","",SUMIFS(Payments!$L$5:$L$304,Payments!$B$5:$B$304,"&gt;="&amp;S87,Payments!$B$5:$B$304,"&lt;="&amp;T87))</f>
        <v>0</v>
      </c>
      <c r="W87" s="29">
        <f>IF(S87="","",SUMIFS(Invoices!$O$5:$O$304,Invoices!$B$5:$B$304,"&gt;="&amp;S87,Invoices!$B$5:$B$304,"&lt;="&amp;T87,Invoices!$T$5:$T$304,"&lt;&gt;Cancelled"))</f>
        <v>0</v>
      </c>
      <c r="X87" s="29">
        <f>IF(S87="","",SUMIFS(Expenses!$F$5:$F$304,Expenses!$B$5:$B$304,"&gt;="&amp;S87,Expenses!$B$5:$B$304,"&lt;="&amp;T87,Expenses!$J$5:$J$304,"&lt;&gt;Personal"))</f>
        <v>0</v>
      </c>
      <c r="Y87" s="29">
        <f>IF(S87="","",V87-X87)</f>
        <v>0</v>
      </c>
      <c r="Z87" s="31">
        <f>IF(S87="","",COUNTIFS(Bookings!$I$5:$I$404,"&gt;="&amp;S87,Bookings!$I$5:$I$404,"&lt;="&amp;T87,Bookings!$AM$5:$AM$404,"&lt;&gt;Cancelled"))</f>
        <v>0</v>
      </c>
      <c r="AA87" s="31">
        <f>IF(S87="","",COUNTIFS(Bookings!$I$5:$I$404,"&gt;="&amp;S87,Bookings!$I$5:$I$404,"&lt;="&amp;T87,Bookings!$AM$5:$AM$404,"Completed"))</f>
        <v>0</v>
      </c>
      <c r="AB87" s="31">
        <f>IF(S87="","",COUNTIFS(Bookings!$I$5:$I$404,"&gt;="&amp;S87,Bookings!$I$5:$I$404,"&lt;="&amp;T87,Bookings!$AM$5:$AM$404,"Cancelled"))</f>
        <v>0</v>
      </c>
      <c r="AC87" s="31">
        <f>IF(S87="","",COUNTIFS('Visit Log'!$C$5:$C$404,"&gt;="&amp;S87,'Visit Log'!$C$5:$C$404,"&lt;="&amp;T87,'Visit Log'!$AE$5:$AE$404,"Completed"))</f>
        <v>0</v>
      </c>
      <c r="AD87" s="31">
        <f>IF(S87="","",COUNTIFS(Clients!$L$5:$L$254,"&gt;="&amp;S87,Clients!$L$5:$L$254,"&lt;="&amp;T87))</f>
        <v>0</v>
      </c>
      <c r="AE87" s="32">
        <f>IF(S87="","",SUMIFS(Mileage!$M$5:$M$304,Mileage!$B$5:$B$304,"&gt;="&amp;S87,Mileage!$B$5:$B$304,"&lt;="&amp;T87,Mileage!$N$5:$N$304,"Business"))</f>
        <v>0</v>
      </c>
      <c r="AF87" s="29">
        <f>IF(S87="","",SUMIFS(Payments!$L$5:$L$304,Payments!$B$5:$B$304,"&gt;="&amp;DATE(Dash_Year-1,ROW()-4,1),Payments!$B$5:$B$304,"&lt;="&amp;EOMONTH(DATE(Dash_Year-1,ROW()-4,1),0)))</f>
        <v>0</v>
      </c>
      <c r="AG87" s="28">
        <f>IF(Staff!$B$87="","",Staff!$B$87)</f>
        <v>0</v>
      </c>
      <c r="AH87" s="31">
        <f>IF(AG87="","",COUNTIFS('Visit Log'!$G$5:$G$404,AG87,'Visit Log'!$C$5:$C$404,"&gt;="&amp;RepFrom,'Visit Log'!$C$5:$C$404,"&lt;="&amp;RepTo,'Visit Log'!$AE$5:$AE$404,"Completed"))</f>
        <v>0</v>
      </c>
      <c r="AI87" s="51">
        <f>IF(AG87="","",ROUND(SUMIFS('Visit Log'!$K$5:$K$404,'Visit Log'!$G$5:$G$404,AG87,'Visit Log'!$C$5:$C$404,"&gt;="&amp;RepFrom,'Visit Log'!$C$5:$C$404,"&lt;="&amp;RepTo,'Visit Log'!$AE$5:$AE$404,"Completed")/60,2))</f>
        <v>0</v>
      </c>
      <c r="AJ87" s="29">
        <f>IF(AG87="","",SUMIFS(Bookings!$AK$5:$AK$404,Bookings!$AL$5:$AL$404,AG87,Bookings!$I$5:$I$404,"&gt;="&amp;RepFrom,Bookings!$I$5:$I$404,"&lt;="&amp;RepTo,Bookings!$AM$5:$AM$404,"&lt;&gt;Cancelled"))</f>
        <v>0</v>
      </c>
      <c r="AK87" s="32">
        <f>IF(AG87="","",SUMIFS(Mileage!$M$5:$M$304,Mileage!$C$5:$C$304,AG87,Mileage!$B$5:$B$304,"&gt;="&amp;RepFrom,Mileage!$B$5:$B$304,"&lt;="&amp;RepTo))</f>
        <v>0</v>
      </c>
      <c r="AL87" s="28">
        <f>IF(Lists!$Q87="","",Lists!$Q87)</f>
        <v>0</v>
      </c>
      <c r="AM87" s="31">
        <f>IF(AL87="","",COUNTIFS(Bookings!$AV$5:$AV$404,AL87,Bookings!$I$5:$I$404,"&gt;="&amp;RepFrom,Bookings!$I$5:$I$404,"&lt;="&amp;RepTo))</f>
        <v>0</v>
      </c>
      <c r="AN87" s="28">
        <f>IF(Lists!$AF87="","",Lists!$AF87)</f>
        <v>0</v>
      </c>
      <c r="AO87" s="29">
        <f>IF(AN87="","",SUMIFS(Payments!$L$5:$L$304,Payments!$F$5:$F$304,AN87,Payments!$B$5:$B$304,"&gt;="&amp;RepFrom,Payments!$B$5:$B$304,"&lt;="&amp;RepTo))</f>
        <v>0</v>
      </c>
      <c r="AP87" s="28">
        <f>IF(Lists!$E87="","",Lists!$E87)</f>
        <v>0</v>
      </c>
      <c r="AQ87" s="31">
        <f>IF(AP87="","",COUNTIFS(Clients!$K$5:$K$254,AP87))</f>
        <v>0</v>
      </c>
      <c r="AR87" s="29">
        <f>IF(AP87="","",SUMIFS(Clients!$AE$5:$AE$254,Clients!$K$5:$K$254,AP87))</f>
        <v>0</v>
      </c>
    </row>
    <row r="88" spans="1:44">
      <c r="A88" s="28">
        <f>IF(Clients!$B$88="","",Clients!$B$88)</f>
        <v>0</v>
      </c>
      <c r="B88" s="29">
        <f>IF(A88="","",SUMIFS(Payments!$L$5:$L$304,Payments!$C$5:$C$304,A88,Payments!$B$5:$B$304,"&gt;="&amp;PeriodStart,Payments!$B$5:$B$304,"&lt;="&amp;PeriodEnd))</f>
        <v>0</v>
      </c>
      <c r="C88" s="51">
        <f>IF(A88="","",IF(B88&lt;=0,"",B88+ROW()/1000000))</f>
        <v>0</v>
      </c>
      <c r="D88" s="29">
        <f>IF(A88="","",SUMIFS(Payments!$L$5:$L$304,Payments!$C$5:$C$304,A88,Payments!$B$5:$B$304,"&gt;="&amp;RepFrom,Payments!$B$5:$B$304,"&lt;="&amp;RepTo))</f>
        <v>0</v>
      </c>
      <c r="E88" s="51">
        <f>IF(A88="","",IF(D88&lt;=0,"",D88+ROW()/1000000))</f>
        <v>0</v>
      </c>
      <c r="F88" s="29">
        <f>IF(A88="","",SUMIFS(Invoices!$S$5:$S$304,Invoices!$D$5:$D$304,A88,Invoices!$T$5:$T$304,"&lt;&gt;Cancelled"))</f>
        <v>0</v>
      </c>
      <c r="G88" s="51">
        <f>IF(A88="","",IF(F88&lt;=0.004,"",F88+ROW()/1000000))</f>
        <v>0</v>
      </c>
      <c r="H88" s="31">
        <f>IF(A88="","",COUNTIFS(Bookings!$C$5:$C$404,A88,Bookings!$I$5:$I$404,"&gt;="&amp;RepFrom,Bookings!$I$5:$I$404,"&lt;="&amp;RepTo,Bookings!$AM$5:$AM$404,"&lt;&gt;Cancelled"))</f>
        <v>0</v>
      </c>
      <c r="I88" s="28">
        <f>IF(Services!$B$88="","",Services!$B$88)</f>
        <v>0</v>
      </c>
      <c r="J88" s="29">
        <f>IF(I88="","",SUMIFS(Bookings!$AK$5:$AK$404,Bookings!$H$5:$H$404,I88,Bookings!$I$5:$I$404,"&gt;="&amp;PeriodStart,Bookings!$I$5:$I$404,"&lt;="&amp;PeriodEnd,Bookings!$AM$5:$AM$404,"&lt;&gt;Cancelled"))</f>
        <v>0</v>
      </c>
      <c r="K88" s="31">
        <f>IF(I88="","",COUNTIFS(Bookings!$H$5:$H$404,I88,Bookings!$I$5:$I$404,"&gt;="&amp;PeriodStart,Bookings!$I$5:$I$404,"&lt;="&amp;PeriodEnd,Bookings!$AM$5:$AM$404,"&lt;&gt;Cancelled"))</f>
        <v>0</v>
      </c>
      <c r="L88" s="29">
        <f>IF(I88="","",SUMIFS(Bookings!$AK$5:$AK$404,Bookings!$H$5:$H$404,I88,Bookings!$I$5:$I$404,"&gt;="&amp;RepFrom,Bookings!$I$5:$I$404,"&lt;="&amp;RepTo,Bookings!$AM$5:$AM$404,"&lt;&gt;Cancelled"))</f>
        <v>0</v>
      </c>
      <c r="M88" s="31">
        <f>IF(I88="","",COUNTIFS(Bookings!$H$5:$H$404,I88,Bookings!$I$5:$I$404,"&gt;="&amp;RepFrom,Bookings!$I$5:$I$404,"&lt;="&amp;RepTo,Bookings!$AM$5:$AM$404,"&lt;&gt;Cancelled"))</f>
        <v>0</v>
      </c>
      <c r="N88" s="29">
        <f>IF(I88="","",M88*IF(Services!$L$88="",0,Services!$L$88))</f>
        <v>0</v>
      </c>
      <c r="O88" s="29">
        <f>IF(I88="","",L88-N88)</f>
        <v>0</v>
      </c>
      <c r="P88" s="28">
        <f>IF(Lists!$AG88="","",Lists!$AG88)</f>
        <v>0</v>
      </c>
      <c r="Q88" s="29">
        <f>IF(P88="","",SUMIFS(Expenses!$F$5:$F$304,Expenses!$C$5:$C$304,P88,Expenses!$B$5:$B$304,"&gt;="&amp;PeriodStart,Expenses!$B$5:$B$304,"&lt;="&amp;PeriodEnd,Expenses!$J$5:$J$304,"&lt;&gt;Personal"))</f>
        <v>0</v>
      </c>
      <c r="R88" s="29">
        <f>IF(P88="","",SUMIFS(Expenses!$F$5:$F$304,Expenses!$C$5:$C$304,P88,Expenses!$B$5:$B$304,"&gt;="&amp;RepFrom,Expenses!$B$5:$B$304,"&lt;="&amp;RepTo,Expenses!$J$5:$J$304,"&lt;&gt;Personal"))</f>
        <v>0</v>
      </c>
      <c r="S88" s="21">
        <f>IF(ROW()-4&gt;12,"",DATE(Dash_Year,ROW()-4,1))</f>
        <v>0</v>
      </c>
      <c r="T88" s="21">
        <f>IF(S88="","",EOMONTH(S88,0))</f>
        <v>0</v>
      </c>
      <c r="U88" s="28">
        <f>IF(S88="","",TEXT(S88,"mmm"))</f>
        <v>0</v>
      </c>
      <c r="V88" s="29">
        <f>IF(S88="","",SUMIFS(Payments!$L$5:$L$304,Payments!$B$5:$B$304,"&gt;="&amp;S88,Payments!$B$5:$B$304,"&lt;="&amp;T88))</f>
        <v>0</v>
      </c>
      <c r="W88" s="29">
        <f>IF(S88="","",SUMIFS(Invoices!$O$5:$O$304,Invoices!$B$5:$B$304,"&gt;="&amp;S88,Invoices!$B$5:$B$304,"&lt;="&amp;T88,Invoices!$T$5:$T$304,"&lt;&gt;Cancelled"))</f>
        <v>0</v>
      </c>
      <c r="X88" s="29">
        <f>IF(S88="","",SUMIFS(Expenses!$F$5:$F$304,Expenses!$B$5:$B$304,"&gt;="&amp;S88,Expenses!$B$5:$B$304,"&lt;="&amp;T88,Expenses!$J$5:$J$304,"&lt;&gt;Personal"))</f>
        <v>0</v>
      </c>
      <c r="Y88" s="29">
        <f>IF(S88="","",V88-X88)</f>
        <v>0</v>
      </c>
      <c r="Z88" s="31">
        <f>IF(S88="","",COUNTIFS(Bookings!$I$5:$I$404,"&gt;="&amp;S88,Bookings!$I$5:$I$404,"&lt;="&amp;T88,Bookings!$AM$5:$AM$404,"&lt;&gt;Cancelled"))</f>
        <v>0</v>
      </c>
      <c r="AA88" s="31">
        <f>IF(S88="","",COUNTIFS(Bookings!$I$5:$I$404,"&gt;="&amp;S88,Bookings!$I$5:$I$404,"&lt;="&amp;T88,Bookings!$AM$5:$AM$404,"Completed"))</f>
        <v>0</v>
      </c>
      <c r="AB88" s="31">
        <f>IF(S88="","",COUNTIFS(Bookings!$I$5:$I$404,"&gt;="&amp;S88,Bookings!$I$5:$I$404,"&lt;="&amp;T88,Bookings!$AM$5:$AM$404,"Cancelled"))</f>
        <v>0</v>
      </c>
      <c r="AC88" s="31">
        <f>IF(S88="","",COUNTIFS('Visit Log'!$C$5:$C$404,"&gt;="&amp;S88,'Visit Log'!$C$5:$C$404,"&lt;="&amp;T88,'Visit Log'!$AE$5:$AE$404,"Completed"))</f>
        <v>0</v>
      </c>
      <c r="AD88" s="31">
        <f>IF(S88="","",COUNTIFS(Clients!$L$5:$L$254,"&gt;="&amp;S88,Clients!$L$5:$L$254,"&lt;="&amp;T88))</f>
        <v>0</v>
      </c>
      <c r="AE88" s="32">
        <f>IF(S88="","",SUMIFS(Mileage!$M$5:$M$304,Mileage!$B$5:$B$304,"&gt;="&amp;S88,Mileage!$B$5:$B$304,"&lt;="&amp;T88,Mileage!$N$5:$N$304,"Business"))</f>
        <v>0</v>
      </c>
      <c r="AF88" s="29">
        <f>IF(S88="","",SUMIFS(Payments!$L$5:$L$304,Payments!$B$5:$B$304,"&gt;="&amp;DATE(Dash_Year-1,ROW()-4,1),Payments!$B$5:$B$304,"&lt;="&amp;EOMONTH(DATE(Dash_Year-1,ROW()-4,1),0)))</f>
        <v>0</v>
      </c>
      <c r="AG88" s="28">
        <f>IF(Staff!$B$88="","",Staff!$B$88)</f>
        <v>0</v>
      </c>
      <c r="AH88" s="31">
        <f>IF(AG88="","",COUNTIFS('Visit Log'!$G$5:$G$404,AG88,'Visit Log'!$C$5:$C$404,"&gt;="&amp;RepFrom,'Visit Log'!$C$5:$C$404,"&lt;="&amp;RepTo,'Visit Log'!$AE$5:$AE$404,"Completed"))</f>
        <v>0</v>
      </c>
      <c r="AI88" s="51">
        <f>IF(AG88="","",ROUND(SUMIFS('Visit Log'!$K$5:$K$404,'Visit Log'!$G$5:$G$404,AG88,'Visit Log'!$C$5:$C$404,"&gt;="&amp;RepFrom,'Visit Log'!$C$5:$C$404,"&lt;="&amp;RepTo,'Visit Log'!$AE$5:$AE$404,"Completed")/60,2))</f>
        <v>0</v>
      </c>
      <c r="AJ88" s="29">
        <f>IF(AG88="","",SUMIFS(Bookings!$AK$5:$AK$404,Bookings!$AL$5:$AL$404,AG88,Bookings!$I$5:$I$404,"&gt;="&amp;RepFrom,Bookings!$I$5:$I$404,"&lt;="&amp;RepTo,Bookings!$AM$5:$AM$404,"&lt;&gt;Cancelled"))</f>
        <v>0</v>
      </c>
      <c r="AK88" s="32">
        <f>IF(AG88="","",SUMIFS(Mileage!$M$5:$M$304,Mileage!$C$5:$C$304,AG88,Mileage!$B$5:$B$304,"&gt;="&amp;RepFrom,Mileage!$B$5:$B$304,"&lt;="&amp;RepTo))</f>
        <v>0</v>
      </c>
      <c r="AL88" s="28">
        <f>IF(Lists!$Q88="","",Lists!$Q88)</f>
        <v>0</v>
      </c>
      <c r="AM88" s="31">
        <f>IF(AL88="","",COUNTIFS(Bookings!$AV$5:$AV$404,AL88,Bookings!$I$5:$I$404,"&gt;="&amp;RepFrom,Bookings!$I$5:$I$404,"&lt;="&amp;RepTo))</f>
        <v>0</v>
      </c>
      <c r="AN88" s="28">
        <f>IF(Lists!$AF88="","",Lists!$AF88)</f>
        <v>0</v>
      </c>
      <c r="AO88" s="29">
        <f>IF(AN88="","",SUMIFS(Payments!$L$5:$L$304,Payments!$F$5:$F$304,AN88,Payments!$B$5:$B$304,"&gt;="&amp;RepFrom,Payments!$B$5:$B$304,"&lt;="&amp;RepTo))</f>
        <v>0</v>
      </c>
      <c r="AP88" s="28">
        <f>IF(Lists!$E88="","",Lists!$E88)</f>
        <v>0</v>
      </c>
      <c r="AQ88" s="31">
        <f>IF(AP88="","",COUNTIFS(Clients!$K$5:$K$254,AP88))</f>
        <v>0</v>
      </c>
      <c r="AR88" s="29">
        <f>IF(AP88="","",SUMIFS(Clients!$AE$5:$AE$254,Clients!$K$5:$K$254,AP88))</f>
        <v>0</v>
      </c>
    </row>
    <row r="89" spans="1:44">
      <c r="A89" s="28">
        <f>IF(Clients!$B$89="","",Clients!$B$89)</f>
        <v>0</v>
      </c>
      <c r="B89" s="29">
        <f>IF(A89="","",SUMIFS(Payments!$L$5:$L$304,Payments!$C$5:$C$304,A89,Payments!$B$5:$B$304,"&gt;="&amp;PeriodStart,Payments!$B$5:$B$304,"&lt;="&amp;PeriodEnd))</f>
        <v>0</v>
      </c>
      <c r="C89" s="51">
        <f>IF(A89="","",IF(B89&lt;=0,"",B89+ROW()/1000000))</f>
        <v>0</v>
      </c>
      <c r="D89" s="29">
        <f>IF(A89="","",SUMIFS(Payments!$L$5:$L$304,Payments!$C$5:$C$304,A89,Payments!$B$5:$B$304,"&gt;="&amp;RepFrom,Payments!$B$5:$B$304,"&lt;="&amp;RepTo))</f>
        <v>0</v>
      </c>
      <c r="E89" s="51">
        <f>IF(A89="","",IF(D89&lt;=0,"",D89+ROW()/1000000))</f>
        <v>0</v>
      </c>
      <c r="F89" s="29">
        <f>IF(A89="","",SUMIFS(Invoices!$S$5:$S$304,Invoices!$D$5:$D$304,A89,Invoices!$T$5:$T$304,"&lt;&gt;Cancelled"))</f>
        <v>0</v>
      </c>
      <c r="G89" s="51">
        <f>IF(A89="","",IF(F89&lt;=0.004,"",F89+ROW()/1000000))</f>
        <v>0</v>
      </c>
      <c r="H89" s="31">
        <f>IF(A89="","",COUNTIFS(Bookings!$C$5:$C$404,A89,Bookings!$I$5:$I$404,"&gt;="&amp;RepFrom,Bookings!$I$5:$I$404,"&lt;="&amp;RepTo,Bookings!$AM$5:$AM$404,"&lt;&gt;Cancelled"))</f>
        <v>0</v>
      </c>
      <c r="I89" s="28">
        <f>IF(Services!$B$89="","",Services!$B$89)</f>
        <v>0</v>
      </c>
      <c r="J89" s="29">
        <f>IF(I89="","",SUMIFS(Bookings!$AK$5:$AK$404,Bookings!$H$5:$H$404,I89,Bookings!$I$5:$I$404,"&gt;="&amp;PeriodStart,Bookings!$I$5:$I$404,"&lt;="&amp;PeriodEnd,Bookings!$AM$5:$AM$404,"&lt;&gt;Cancelled"))</f>
        <v>0</v>
      </c>
      <c r="K89" s="31">
        <f>IF(I89="","",COUNTIFS(Bookings!$H$5:$H$404,I89,Bookings!$I$5:$I$404,"&gt;="&amp;PeriodStart,Bookings!$I$5:$I$404,"&lt;="&amp;PeriodEnd,Bookings!$AM$5:$AM$404,"&lt;&gt;Cancelled"))</f>
        <v>0</v>
      </c>
      <c r="L89" s="29">
        <f>IF(I89="","",SUMIFS(Bookings!$AK$5:$AK$404,Bookings!$H$5:$H$404,I89,Bookings!$I$5:$I$404,"&gt;="&amp;RepFrom,Bookings!$I$5:$I$404,"&lt;="&amp;RepTo,Bookings!$AM$5:$AM$404,"&lt;&gt;Cancelled"))</f>
        <v>0</v>
      </c>
      <c r="M89" s="31">
        <f>IF(I89="","",COUNTIFS(Bookings!$H$5:$H$404,I89,Bookings!$I$5:$I$404,"&gt;="&amp;RepFrom,Bookings!$I$5:$I$404,"&lt;="&amp;RepTo,Bookings!$AM$5:$AM$404,"&lt;&gt;Cancelled"))</f>
        <v>0</v>
      </c>
      <c r="N89" s="29">
        <f>IF(I89="","",M89*IF(Services!$L$89="",0,Services!$L$89))</f>
        <v>0</v>
      </c>
      <c r="O89" s="29">
        <f>IF(I89="","",L89-N89)</f>
        <v>0</v>
      </c>
      <c r="P89" s="28">
        <f>IF(Lists!$AG89="","",Lists!$AG89)</f>
        <v>0</v>
      </c>
      <c r="Q89" s="29">
        <f>IF(P89="","",SUMIFS(Expenses!$F$5:$F$304,Expenses!$C$5:$C$304,P89,Expenses!$B$5:$B$304,"&gt;="&amp;PeriodStart,Expenses!$B$5:$B$304,"&lt;="&amp;PeriodEnd,Expenses!$J$5:$J$304,"&lt;&gt;Personal"))</f>
        <v>0</v>
      </c>
      <c r="R89" s="29">
        <f>IF(P89="","",SUMIFS(Expenses!$F$5:$F$304,Expenses!$C$5:$C$304,P89,Expenses!$B$5:$B$304,"&gt;="&amp;RepFrom,Expenses!$B$5:$B$304,"&lt;="&amp;RepTo,Expenses!$J$5:$J$304,"&lt;&gt;Personal"))</f>
        <v>0</v>
      </c>
      <c r="S89" s="21">
        <f>IF(ROW()-4&gt;12,"",DATE(Dash_Year,ROW()-4,1))</f>
        <v>0</v>
      </c>
      <c r="T89" s="21">
        <f>IF(S89="","",EOMONTH(S89,0))</f>
        <v>0</v>
      </c>
      <c r="U89" s="28">
        <f>IF(S89="","",TEXT(S89,"mmm"))</f>
        <v>0</v>
      </c>
      <c r="V89" s="29">
        <f>IF(S89="","",SUMIFS(Payments!$L$5:$L$304,Payments!$B$5:$B$304,"&gt;="&amp;S89,Payments!$B$5:$B$304,"&lt;="&amp;T89))</f>
        <v>0</v>
      </c>
      <c r="W89" s="29">
        <f>IF(S89="","",SUMIFS(Invoices!$O$5:$O$304,Invoices!$B$5:$B$304,"&gt;="&amp;S89,Invoices!$B$5:$B$304,"&lt;="&amp;T89,Invoices!$T$5:$T$304,"&lt;&gt;Cancelled"))</f>
        <v>0</v>
      </c>
      <c r="X89" s="29">
        <f>IF(S89="","",SUMIFS(Expenses!$F$5:$F$304,Expenses!$B$5:$B$304,"&gt;="&amp;S89,Expenses!$B$5:$B$304,"&lt;="&amp;T89,Expenses!$J$5:$J$304,"&lt;&gt;Personal"))</f>
        <v>0</v>
      </c>
      <c r="Y89" s="29">
        <f>IF(S89="","",V89-X89)</f>
        <v>0</v>
      </c>
      <c r="Z89" s="31">
        <f>IF(S89="","",COUNTIFS(Bookings!$I$5:$I$404,"&gt;="&amp;S89,Bookings!$I$5:$I$404,"&lt;="&amp;T89,Bookings!$AM$5:$AM$404,"&lt;&gt;Cancelled"))</f>
        <v>0</v>
      </c>
      <c r="AA89" s="31">
        <f>IF(S89="","",COUNTIFS(Bookings!$I$5:$I$404,"&gt;="&amp;S89,Bookings!$I$5:$I$404,"&lt;="&amp;T89,Bookings!$AM$5:$AM$404,"Completed"))</f>
        <v>0</v>
      </c>
      <c r="AB89" s="31">
        <f>IF(S89="","",COUNTIFS(Bookings!$I$5:$I$404,"&gt;="&amp;S89,Bookings!$I$5:$I$404,"&lt;="&amp;T89,Bookings!$AM$5:$AM$404,"Cancelled"))</f>
        <v>0</v>
      </c>
      <c r="AC89" s="31">
        <f>IF(S89="","",COUNTIFS('Visit Log'!$C$5:$C$404,"&gt;="&amp;S89,'Visit Log'!$C$5:$C$404,"&lt;="&amp;T89,'Visit Log'!$AE$5:$AE$404,"Completed"))</f>
        <v>0</v>
      </c>
      <c r="AD89" s="31">
        <f>IF(S89="","",COUNTIFS(Clients!$L$5:$L$254,"&gt;="&amp;S89,Clients!$L$5:$L$254,"&lt;="&amp;T89))</f>
        <v>0</v>
      </c>
      <c r="AE89" s="32">
        <f>IF(S89="","",SUMIFS(Mileage!$M$5:$M$304,Mileage!$B$5:$B$304,"&gt;="&amp;S89,Mileage!$B$5:$B$304,"&lt;="&amp;T89,Mileage!$N$5:$N$304,"Business"))</f>
        <v>0</v>
      </c>
      <c r="AF89" s="29">
        <f>IF(S89="","",SUMIFS(Payments!$L$5:$L$304,Payments!$B$5:$B$304,"&gt;="&amp;DATE(Dash_Year-1,ROW()-4,1),Payments!$B$5:$B$304,"&lt;="&amp;EOMONTH(DATE(Dash_Year-1,ROW()-4,1),0)))</f>
        <v>0</v>
      </c>
      <c r="AG89" s="28">
        <f>IF(Staff!$B$89="","",Staff!$B$89)</f>
        <v>0</v>
      </c>
      <c r="AH89" s="31">
        <f>IF(AG89="","",COUNTIFS('Visit Log'!$G$5:$G$404,AG89,'Visit Log'!$C$5:$C$404,"&gt;="&amp;RepFrom,'Visit Log'!$C$5:$C$404,"&lt;="&amp;RepTo,'Visit Log'!$AE$5:$AE$404,"Completed"))</f>
        <v>0</v>
      </c>
      <c r="AI89" s="51">
        <f>IF(AG89="","",ROUND(SUMIFS('Visit Log'!$K$5:$K$404,'Visit Log'!$G$5:$G$404,AG89,'Visit Log'!$C$5:$C$404,"&gt;="&amp;RepFrom,'Visit Log'!$C$5:$C$404,"&lt;="&amp;RepTo,'Visit Log'!$AE$5:$AE$404,"Completed")/60,2))</f>
        <v>0</v>
      </c>
      <c r="AJ89" s="29">
        <f>IF(AG89="","",SUMIFS(Bookings!$AK$5:$AK$404,Bookings!$AL$5:$AL$404,AG89,Bookings!$I$5:$I$404,"&gt;="&amp;RepFrom,Bookings!$I$5:$I$404,"&lt;="&amp;RepTo,Bookings!$AM$5:$AM$404,"&lt;&gt;Cancelled"))</f>
        <v>0</v>
      </c>
      <c r="AK89" s="32">
        <f>IF(AG89="","",SUMIFS(Mileage!$M$5:$M$304,Mileage!$C$5:$C$304,AG89,Mileage!$B$5:$B$304,"&gt;="&amp;RepFrom,Mileage!$B$5:$B$304,"&lt;="&amp;RepTo))</f>
        <v>0</v>
      </c>
      <c r="AL89" s="28">
        <f>IF(Lists!$Q89="","",Lists!$Q89)</f>
        <v>0</v>
      </c>
      <c r="AM89" s="31">
        <f>IF(AL89="","",COUNTIFS(Bookings!$AV$5:$AV$404,AL89,Bookings!$I$5:$I$404,"&gt;="&amp;RepFrom,Bookings!$I$5:$I$404,"&lt;="&amp;RepTo))</f>
        <v>0</v>
      </c>
      <c r="AN89" s="28">
        <f>IF(Lists!$AF89="","",Lists!$AF89)</f>
        <v>0</v>
      </c>
      <c r="AO89" s="29">
        <f>IF(AN89="","",SUMIFS(Payments!$L$5:$L$304,Payments!$F$5:$F$304,AN89,Payments!$B$5:$B$304,"&gt;="&amp;RepFrom,Payments!$B$5:$B$304,"&lt;="&amp;RepTo))</f>
        <v>0</v>
      </c>
      <c r="AP89" s="28">
        <f>IF(Lists!$E89="","",Lists!$E89)</f>
        <v>0</v>
      </c>
      <c r="AQ89" s="31">
        <f>IF(AP89="","",COUNTIFS(Clients!$K$5:$K$254,AP89))</f>
        <v>0</v>
      </c>
      <c r="AR89" s="29">
        <f>IF(AP89="","",SUMIFS(Clients!$AE$5:$AE$254,Clients!$K$5:$K$254,AP89))</f>
        <v>0</v>
      </c>
    </row>
    <row r="90" spans="1:44">
      <c r="A90" s="28">
        <f>IF(Clients!$B$90="","",Clients!$B$90)</f>
        <v>0</v>
      </c>
      <c r="B90" s="29">
        <f>IF(A90="","",SUMIFS(Payments!$L$5:$L$304,Payments!$C$5:$C$304,A90,Payments!$B$5:$B$304,"&gt;="&amp;PeriodStart,Payments!$B$5:$B$304,"&lt;="&amp;PeriodEnd))</f>
        <v>0</v>
      </c>
      <c r="C90" s="51">
        <f>IF(A90="","",IF(B90&lt;=0,"",B90+ROW()/1000000))</f>
        <v>0</v>
      </c>
      <c r="D90" s="29">
        <f>IF(A90="","",SUMIFS(Payments!$L$5:$L$304,Payments!$C$5:$C$304,A90,Payments!$B$5:$B$304,"&gt;="&amp;RepFrom,Payments!$B$5:$B$304,"&lt;="&amp;RepTo))</f>
        <v>0</v>
      </c>
      <c r="E90" s="51">
        <f>IF(A90="","",IF(D90&lt;=0,"",D90+ROW()/1000000))</f>
        <v>0</v>
      </c>
      <c r="F90" s="29">
        <f>IF(A90="","",SUMIFS(Invoices!$S$5:$S$304,Invoices!$D$5:$D$304,A90,Invoices!$T$5:$T$304,"&lt;&gt;Cancelled"))</f>
        <v>0</v>
      </c>
      <c r="G90" s="51">
        <f>IF(A90="","",IF(F90&lt;=0.004,"",F90+ROW()/1000000))</f>
        <v>0</v>
      </c>
      <c r="H90" s="31">
        <f>IF(A90="","",COUNTIFS(Bookings!$C$5:$C$404,A90,Bookings!$I$5:$I$404,"&gt;="&amp;RepFrom,Bookings!$I$5:$I$404,"&lt;="&amp;RepTo,Bookings!$AM$5:$AM$404,"&lt;&gt;Cancelled"))</f>
        <v>0</v>
      </c>
      <c r="I90" s="28">
        <f>IF(Services!$B$90="","",Services!$B$90)</f>
        <v>0</v>
      </c>
      <c r="J90" s="29">
        <f>IF(I90="","",SUMIFS(Bookings!$AK$5:$AK$404,Bookings!$H$5:$H$404,I90,Bookings!$I$5:$I$404,"&gt;="&amp;PeriodStart,Bookings!$I$5:$I$404,"&lt;="&amp;PeriodEnd,Bookings!$AM$5:$AM$404,"&lt;&gt;Cancelled"))</f>
        <v>0</v>
      </c>
      <c r="K90" s="31">
        <f>IF(I90="","",COUNTIFS(Bookings!$H$5:$H$404,I90,Bookings!$I$5:$I$404,"&gt;="&amp;PeriodStart,Bookings!$I$5:$I$404,"&lt;="&amp;PeriodEnd,Bookings!$AM$5:$AM$404,"&lt;&gt;Cancelled"))</f>
        <v>0</v>
      </c>
      <c r="L90" s="29">
        <f>IF(I90="","",SUMIFS(Bookings!$AK$5:$AK$404,Bookings!$H$5:$H$404,I90,Bookings!$I$5:$I$404,"&gt;="&amp;RepFrom,Bookings!$I$5:$I$404,"&lt;="&amp;RepTo,Bookings!$AM$5:$AM$404,"&lt;&gt;Cancelled"))</f>
        <v>0</v>
      </c>
      <c r="M90" s="31">
        <f>IF(I90="","",COUNTIFS(Bookings!$H$5:$H$404,I90,Bookings!$I$5:$I$404,"&gt;="&amp;RepFrom,Bookings!$I$5:$I$404,"&lt;="&amp;RepTo,Bookings!$AM$5:$AM$404,"&lt;&gt;Cancelled"))</f>
        <v>0</v>
      </c>
      <c r="N90" s="29">
        <f>IF(I90="","",M90*IF(Services!$L$90="",0,Services!$L$90))</f>
        <v>0</v>
      </c>
      <c r="O90" s="29">
        <f>IF(I90="","",L90-N90)</f>
        <v>0</v>
      </c>
      <c r="P90" s="28">
        <f>IF(Lists!$AG90="","",Lists!$AG90)</f>
        <v>0</v>
      </c>
      <c r="Q90" s="29">
        <f>IF(P90="","",SUMIFS(Expenses!$F$5:$F$304,Expenses!$C$5:$C$304,P90,Expenses!$B$5:$B$304,"&gt;="&amp;PeriodStart,Expenses!$B$5:$B$304,"&lt;="&amp;PeriodEnd,Expenses!$J$5:$J$304,"&lt;&gt;Personal"))</f>
        <v>0</v>
      </c>
      <c r="R90" s="29">
        <f>IF(P90="","",SUMIFS(Expenses!$F$5:$F$304,Expenses!$C$5:$C$304,P90,Expenses!$B$5:$B$304,"&gt;="&amp;RepFrom,Expenses!$B$5:$B$304,"&lt;="&amp;RepTo,Expenses!$J$5:$J$304,"&lt;&gt;Personal"))</f>
        <v>0</v>
      </c>
      <c r="S90" s="21">
        <f>IF(ROW()-4&gt;12,"",DATE(Dash_Year,ROW()-4,1))</f>
        <v>0</v>
      </c>
      <c r="T90" s="21">
        <f>IF(S90="","",EOMONTH(S90,0))</f>
        <v>0</v>
      </c>
      <c r="U90" s="28">
        <f>IF(S90="","",TEXT(S90,"mmm"))</f>
        <v>0</v>
      </c>
      <c r="V90" s="29">
        <f>IF(S90="","",SUMIFS(Payments!$L$5:$L$304,Payments!$B$5:$B$304,"&gt;="&amp;S90,Payments!$B$5:$B$304,"&lt;="&amp;T90))</f>
        <v>0</v>
      </c>
      <c r="W90" s="29">
        <f>IF(S90="","",SUMIFS(Invoices!$O$5:$O$304,Invoices!$B$5:$B$304,"&gt;="&amp;S90,Invoices!$B$5:$B$304,"&lt;="&amp;T90,Invoices!$T$5:$T$304,"&lt;&gt;Cancelled"))</f>
        <v>0</v>
      </c>
      <c r="X90" s="29">
        <f>IF(S90="","",SUMIFS(Expenses!$F$5:$F$304,Expenses!$B$5:$B$304,"&gt;="&amp;S90,Expenses!$B$5:$B$304,"&lt;="&amp;T90,Expenses!$J$5:$J$304,"&lt;&gt;Personal"))</f>
        <v>0</v>
      </c>
      <c r="Y90" s="29">
        <f>IF(S90="","",V90-X90)</f>
        <v>0</v>
      </c>
      <c r="Z90" s="31">
        <f>IF(S90="","",COUNTIFS(Bookings!$I$5:$I$404,"&gt;="&amp;S90,Bookings!$I$5:$I$404,"&lt;="&amp;T90,Bookings!$AM$5:$AM$404,"&lt;&gt;Cancelled"))</f>
        <v>0</v>
      </c>
      <c r="AA90" s="31">
        <f>IF(S90="","",COUNTIFS(Bookings!$I$5:$I$404,"&gt;="&amp;S90,Bookings!$I$5:$I$404,"&lt;="&amp;T90,Bookings!$AM$5:$AM$404,"Completed"))</f>
        <v>0</v>
      </c>
      <c r="AB90" s="31">
        <f>IF(S90="","",COUNTIFS(Bookings!$I$5:$I$404,"&gt;="&amp;S90,Bookings!$I$5:$I$404,"&lt;="&amp;T90,Bookings!$AM$5:$AM$404,"Cancelled"))</f>
        <v>0</v>
      </c>
      <c r="AC90" s="31">
        <f>IF(S90="","",COUNTIFS('Visit Log'!$C$5:$C$404,"&gt;="&amp;S90,'Visit Log'!$C$5:$C$404,"&lt;="&amp;T90,'Visit Log'!$AE$5:$AE$404,"Completed"))</f>
        <v>0</v>
      </c>
      <c r="AD90" s="31">
        <f>IF(S90="","",COUNTIFS(Clients!$L$5:$L$254,"&gt;="&amp;S90,Clients!$L$5:$L$254,"&lt;="&amp;T90))</f>
        <v>0</v>
      </c>
      <c r="AE90" s="32">
        <f>IF(S90="","",SUMIFS(Mileage!$M$5:$M$304,Mileage!$B$5:$B$304,"&gt;="&amp;S90,Mileage!$B$5:$B$304,"&lt;="&amp;T90,Mileage!$N$5:$N$304,"Business"))</f>
        <v>0</v>
      </c>
      <c r="AF90" s="29">
        <f>IF(S90="","",SUMIFS(Payments!$L$5:$L$304,Payments!$B$5:$B$304,"&gt;="&amp;DATE(Dash_Year-1,ROW()-4,1),Payments!$B$5:$B$304,"&lt;="&amp;EOMONTH(DATE(Dash_Year-1,ROW()-4,1),0)))</f>
        <v>0</v>
      </c>
      <c r="AG90" s="28">
        <f>IF(Staff!$B$90="","",Staff!$B$90)</f>
        <v>0</v>
      </c>
      <c r="AH90" s="31">
        <f>IF(AG90="","",COUNTIFS('Visit Log'!$G$5:$G$404,AG90,'Visit Log'!$C$5:$C$404,"&gt;="&amp;RepFrom,'Visit Log'!$C$5:$C$404,"&lt;="&amp;RepTo,'Visit Log'!$AE$5:$AE$404,"Completed"))</f>
        <v>0</v>
      </c>
      <c r="AI90" s="51">
        <f>IF(AG90="","",ROUND(SUMIFS('Visit Log'!$K$5:$K$404,'Visit Log'!$G$5:$G$404,AG90,'Visit Log'!$C$5:$C$404,"&gt;="&amp;RepFrom,'Visit Log'!$C$5:$C$404,"&lt;="&amp;RepTo,'Visit Log'!$AE$5:$AE$404,"Completed")/60,2))</f>
        <v>0</v>
      </c>
      <c r="AJ90" s="29">
        <f>IF(AG90="","",SUMIFS(Bookings!$AK$5:$AK$404,Bookings!$AL$5:$AL$404,AG90,Bookings!$I$5:$I$404,"&gt;="&amp;RepFrom,Bookings!$I$5:$I$404,"&lt;="&amp;RepTo,Bookings!$AM$5:$AM$404,"&lt;&gt;Cancelled"))</f>
        <v>0</v>
      </c>
      <c r="AK90" s="32">
        <f>IF(AG90="","",SUMIFS(Mileage!$M$5:$M$304,Mileage!$C$5:$C$304,AG90,Mileage!$B$5:$B$304,"&gt;="&amp;RepFrom,Mileage!$B$5:$B$304,"&lt;="&amp;RepTo))</f>
        <v>0</v>
      </c>
      <c r="AL90" s="28">
        <f>IF(Lists!$Q90="","",Lists!$Q90)</f>
        <v>0</v>
      </c>
      <c r="AM90" s="31">
        <f>IF(AL90="","",COUNTIFS(Bookings!$AV$5:$AV$404,AL90,Bookings!$I$5:$I$404,"&gt;="&amp;RepFrom,Bookings!$I$5:$I$404,"&lt;="&amp;RepTo))</f>
        <v>0</v>
      </c>
      <c r="AN90" s="28">
        <f>IF(Lists!$AF90="","",Lists!$AF90)</f>
        <v>0</v>
      </c>
      <c r="AO90" s="29">
        <f>IF(AN90="","",SUMIFS(Payments!$L$5:$L$304,Payments!$F$5:$F$304,AN90,Payments!$B$5:$B$304,"&gt;="&amp;RepFrom,Payments!$B$5:$B$304,"&lt;="&amp;RepTo))</f>
        <v>0</v>
      </c>
      <c r="AP90" s="28">
        <f>IF(Lists!$E90="","",Lists!$E90)</f>
        <v>0</v>
      </c>
      <c r="AQ90" s="31">
        <f>IF(AP90="","",COUNTIFS(Clients!$K$5:$K$254,AP90))</f>
        <v>0</v>
      </c>
      <c r="AR90" s="29">
        <f>IF(AP90="","",SUMIFS(Clients!$AE$5:$AE$254,Clients!$K$5:$K$254,AP90))</f>
        <v>0</v>
      </c>
    </row>
    <row r="91" spans="1:44">
      <c r="A91" s="28">
        <f>IF(Clients!$B$91="","",Clients!$B$91)</f>
        <v>0</v>
      </c>
      <c r="B91" s="29">
        <f>IF(A91="","",SUMIFS(Payments!$L$5:$L$304,Payments!$C$5:$C$304,A91,Payments!$B$5:$B$304,"&gt;="&amp;PeriodStart,Payments!$B$5:$B$304,"&lt;="&amp;PeriodEnd))</f>
        <v>0</v>
      </c>
      <c r="C91" s="51">
        <f>IF(A91="","",IF(B91&lt;=0,"",B91+ROW()/1000000))</f>
        <v>0</v>
      </c>
      <c r="D91" s="29">
        <f>IF(A91="","",SUMIFS(Payments!$L$5:$L$304,Payments!$C$5:$C$304,A91,Payments!$B$5:$B$304,"&gt;="&amp;RepFrom,Payments!$B$5:$B$304,"&lt;="&amp;RepTo))</f>
        <v>0</v>
      </c>
      <c r="E91" s="51">
        <f>IF(A91="","",IF(D91&lt;=0,"",D91+ROW()/1000000))</f>
        <v>0</v>
      </c>
      <c r="F91" s="29">
        <f>IF(A91="","",SUMIFS(Invoices!$S$5:$S$304,Invoices!$D$5:$D$304,A91,Invoices!$T$5:$T$304,"&lt;&gt;Cancelled"))</f>
        <v>0</v>
      </c>
      <c r="G91" s="51">
        <f>IF(A91="","",IF(F91&lt;=0.004,"",F91+ROW()/1000000))</f>
        <v>0</v>
      </c>
      <c r="H91" s="31">
        <f>IF(A91="","",COUNTIFS(Bookings!$C$5:$C$404,A91,Bookings!$I$5:$I$404,"&gt;="&amp;RepFrom,Bookings!$I$5:$I$404,"&lt;="&amp;RepTo,Bookings!$AM$5:$AM$404,"&lt;&gt;Cancelled"))</f>
        <v>0</v>
      </c>
      <c r="I91" s="28">
        <f>IF(Services!$B$91="","",Services!$B$91)</f>
        <v>0</v>
      </c>
      <c r="J91" s="29">
        <f>IF(I91="","",SUMIFS(Bookings!$AK$5:$AK$404,Bookings!$H$5:$H$404,I91,Bookings!$I$5:$I$404,"&gt;="&amp;PeriodStart,Bookings!$I$5:$I$404,"&lt;="&amp;PeriodEnd,Bookings!$AM$5:$AM$404,"&lt;&gt;Cancelled"))</f>
        <v>0</v>
      </c>
      <c r="K91" s="31">
        <f>IF(I91="","",COUNTIFS(Bookings!$H$5:$H$404,I91,Bookings!$I$5:$I$404,"&gt;="&amp;PeriodStart,Bookings!$I$5:$I$404,"&lt;="&amp;PeriodEnd,Bookings!$AM$5:$AM$404,"&lt;&gt;Cancelled"))</f>
        <v>0</v>
      </c>
      <c r="L91" s="29">
        <f>IF(I91="","",SUMIFS(Bookings!$AK$5:$AK$404,Bookings!$H$5:$H$404,I91,Bookings!$I$5:$I$404,"&gt;="&amp;RepFrom,Bookings!$I$5:$I$404,"&lt;="&amp;RepTo,Bookings!$AM$5:$AM$404,"&lt;&gt;Cancelled"))</f>
        <v>0</v>
      </c>
      <c r="M91" s="31">
        <f>IF(I91="","",COUNTIFS(Bookings!$H$5:$H$404,I91,Bookings!$I$5:$I$404,"&gt;="&amp;RepFrom,Bookings!$I$5:$I$404,"&lt;="&amp;RepTo,Bookings!$AM$5:$AM$404,"&lt;&gt;Cancelled"))</f>
        <v>0</v>
      </c>
      <c r="N91" s="29">
        <f>IF(I91="","",M91*IF(Services!$L$91="",0,Services!$L$91))</f>
        <v>0</v>
      </c>
      <c r="O91" s="29">
        <f>IF(I91="","",L91-N91)</f>
        <v>0</v>
      </c>
      <c r="P91" s="28">
        <f>IF(Lists!$AG91="","",Lists!$AG91)</f>
        <v>0</v>
      </c>
      <c r="Q91" s="29">
        <f>IF(P91="","",SUMIFS(Expenses!$F$5:$F$304,Expenses!$C$5:$C$304,P91,Expenses!$B$5:$B$304,"&gt;="&amp;PeriodStart,Expenses!$B$5:$B$304,"&lt;="&amp;PeriodEnd,Expenses!$J$5:$J$304,"&lt;&gt;Personal"))</f>
        <v>0</v>
      </c>
      <c r="R91" s="29">
        <f>IF(P91="","",SUMIFS(Expenses!$F$5:$F$304,Expenses!$C$5:$C$304,P91,Expenses!$B$5:$B$304,"&gt;="&amp;RepFrom,Expenses!$B$5:$B$304,"&lt;="&amp;RepTo,Expenses!$J$5:$J$304,"&lt;&gt;Personal"))</f>
        <v>0</v>
      </c>
      <c r="S91" s="21">
        <f>IF(ROW()-4&gt;12,"",DATE(Dash_Year,ROW()-4,1))</f>
        <v>0</v>
      </c>
      <c r="T91" s="21">
        <f>IF(S91="","",EOMONTH(S91,0))</f>
        <v>0</v>
      </c>
      <c r="U91" s="28">
        <f>IF(S91="","",TEXT(S91,"mmm"))</f>
        <v>0</v>
      </c>
      <c r="V91" s="29">
        <f>IF(S91="","",SUMIFS(Payments!$L$5:$L$304,Payments!$B$5:$B$304,"&gt;="&amp;S91,Payments!$B$5:$B$304,"&lt;="&amp;T91))</f>
        <v>0</v>
      </c>
      <c r="W91" s="29">
        <f>IF(S91="","",SUMIFS(Invoices!$O$5:$O$304,Invoices!$B$5:$B$304,"&gt;="&amp;S91,Invoices!$B$5:$B$304,"&lt;="&amp;T91,Invoices!$T$5:$T$304,"&lt;&gt;Cancelled"))</f>
        <v>0</v>
      </c>
      <c r="X91" s="29">
        <f>IF(S91="","",SUMIFS(Expenses!$F$5:$F$304,Expenses!$B$5:$B$304,"&gt;="&amp;S91,Expenses!$B$5:$B$304,"&lt;="&amp;T91,Expenses!$J$5:$J$304,"&lt;&gt;Personal"))</f>
        <v>0</v>
      </c>
      <c r="Y91" s="29">
        <f>IF(S91="","",V91-X91)</f>
        <v>0</v>
      </c>
      <c r="Z91" s="31">
        <f>IF(S91="","",COUNTIFS(Bookings!$I$5:$I$404,"&gt;="&amp;S91,Bookings!$I$5:$I$404,"&lt;="&amp;T91,Bookings!$AM$5:$AM$404,"&lt;&gt;Cancelled"))</f>
        <v>0</v>
      </c>
      <c r="AA91" s="31">
        <f>IF(S91="","",COUNTIFS(Bookings!$I$5:$I$404,"&gt;="&amp;S91,Bookings!$I$5:$I$404,"&lt;="&amp;T91,Bookings!$AM$5:$AM$404,"Completed"))</f>
        <v>0</v>
      </c>
      <c r="AB91" s="31">
        <f>IF(S91="","",COUNTIFS(Bookings!$I$5:$I$404,"&gt;="&amp;S91,Bookings!$I$5:$I$404,"&lt;="&amp;T91,Bookings!$AM$5:$AM$404,"Cancelled"))</f>
        <v>0</v>
      </c>
      <c r="AC91" s="31">
        <f>IF(S91="","",COUNTIFS('Visit Log'!$C$5:$C$404,"&gt;="&amp;S91,'Visit Log'!$C$5:$C$404,"&lt;="&amp;T91,'Visit Log'!$AE$5:$AE$404,"Completed"))</f>
        <v>0</v>
      </c>
      <c r="AD91" s="31">
        <f>IF(S91="","",COUNTIFS(Clients!$L$5:$L$254,"&gt;="&amp;S91,Clients!$L$5:$L$254,"&lt;="&amp;T91))</f>
        <v>0</v>
      </c>
      <c r="AE91" s="32">
        <f>IF(S91="","",SUMIFS(Mileage!$M$5:$M$304,Mileage!$B$5:$B$304,"&gt;="&amp;S91,Mileage!$B$5:$B$304,"&lt;="&amp;T91,Mileage!$N$5:$N$304,"Business"))</f>
        <v>0</v>
      </c>
      <c r="AF91" s="29">
        <f>IF(S91="","",SUMIFS(Payments!$L$5:$L$304,Payments!$B$5:$B$304,"&gt;="&amp;DATE(Dash_Year-1,ROW()-4,1),Payments!$B$5:$B$304,"&lt;="&amp;EOMONTH(DATE(Dash_Year-1,ROW()-4,1),0)))</f>
        <v>0</v>
      </c>
      <c r="AG91" s="28">
        <f>IF(Staff!$B$91="","",Staff!$B$91)</f>
        <v>0</v>
      </c>
      <c r="AH91" s="31">
        <f>IF(AG91="","",COUNTIFS('Visit Log'!$G$5:$G$404,AG91,'Visit Log'!$C$5:$C$404,"&gt;="&amp;RepFrom,'Visit Log'!$C$5:$C$404,"&lt;="&amp;RepTo,'Visit Log'!$AE$5:$AE$404,"Completed"))</f>
        <v>0</v>
      </c>
      <c r="AI91" s="51">
        <f>IF(AG91="","",ROUND(SUMIFS('Visit Log'!$K$5:$K$404,'Visit Log'!$G$5:$G$404,AG91,'Visit Log'!$C$5:$C$404,"&gt;="&amp;RepFrom,'Visit Log'!$C$5:$C$404,"&lt;="&amp;RepTo,'Visit Log'!$AE$5:$AE$404,"Completed")/60,2))</f>
        <v>0</v>
      </c>
      <c r="AJ91" s="29">
        <f>IF(AG91="","",SUMIFS(Bookings!$AK$5:$AK$404,Bookings!$AL$5:$AL$404,AG91,Bookings!$I$5:$I$404,"&gt;="&amp;RepFrom,Bookings!$I$5:$I$404,"&lt;="&amp;RepTo,Bookings!$AM$5:$AM$404,"&lt;&gt;Cancelled"))</f>
        <v>0</v>
      </c>
      <c r="AK91" s="32">
        <f>IF(AG91="","",SUMIFS(Mileage!$M$5:$M$304,Mileage!$C$5:$C$304,AG91,Mileage!$B$5:$B$304,"&gt;="&amp;RepFrom,Mileage!$B$5:$B$304,"&lt;="&amp;RepTo))</f>
        <v>0</v>
      </c>
      <c r="AL91" s="28">
        <f>IF(Lists!$Q91="","",Lists!$Q91)</f>
        <v>0</v>
      </c>
      <c r="AM91" s="31">
        <f>IF(AL91="","",COUNTIFS(Bookings!$AV$5:$AV$404,AL91,Bookings!$I$5:$I$404,"&gt;="&amp;RepFrom,Bookings!$I$5:$I$404,"&lt;="&amp;RepTo))</f>
        <v>0</v>
      </c>
      <c r="AN91" s="28">
        <f>IF(Lists!$AF91="","",Lists!$AF91)</f>
        <v>0</v>
      </c>
      <c r="AO91" s="29">
        <f>IF(AN91="","",SUMIFS(Payments!$L$5:$L$304,Payments!$F$5:$F$304,AN91,Payments!$B$5:$B$304,"&gt;="&amp;RepFrom,Payments!$B$5:$B$304,"&lt;="&amp;RepTo))</f>
        <v>0</v>
      </c>
      <c r="AP91" s="28">
        <f>IF(Lists!$E91="","",Lists!$E91)</f>
        <v>0</v>
      </c>
      <c r="AQ91" s="31">
        <f>IF(AP91="","",COUNTIFS(Clients!$K$5:$K$254,AP91))</f>
        <v>0</v>
      </c>
      <c r="AR91" s="29">
        <f>IF(AP91="","",SUMIFS(Clients!$AE$5:$AE$254,Clients!$K$5:$K$254,AP91))</f>
        <v>0</v>
      </c>
    </row>
    <row r="92" spans="1:44">
      <c r="A92" s="28">
        <f>IF(Clients!$B$92="","",Clients!$B$92)</f>
        <v>0</v>
      </c>
      <c r="B92" s="29">
        <f>IF(A92="","",SUMIFS(Payments!$L$5:$L$304,Payments!$C$5:$C$304,A92,Payments!$B$5:$B$304,"&gt;="&amp;PeriodStart,Payments!$B$5:$B$304,"&lt;="&amp;PeriodEnd))</f>
        <v>0</v>
      </c>
      <c r="C92" s="51">
        <f>IF(A92="","",IF(B92&lt;=0,"",B92+ROW()/1000000))</f>
        <v>0</v>
      </c>
      <c r="D92" s="29">
        <f>IF(A92="","",SUMIFS(Payments!$L$5:$L$304,Payments!$C$5:$C$304,A92,Payments!$B$5:$B$304,"&gt;="&amp;RepFrom,Payments!$B$5:$B$304,"&lt;="&amp;RepTo))</f>
        <v>0</v>
      </c>
      <c r="E92" s="51">
        <f>IF(A92="","",IF(D92&lt;=0,"",D92+ROW()/1000000))</f>
        <v>0</v>
      </c>
      <c r="F92" s="29">
        <f>IF(A92="","",SUMIFS(Invoices!$S$5:$S$304,Invoices!$D$5:$D$304,A92,Invoices!$T$5:$T$304,"&lt;&gt;Cancelled"))</f>
        <v>0</v>
      </c>
      <c r="G92" s="51">
        <f>IF(A92="","",IF(F92&lt;=0.004,"",F92+ROW()/1000000))</f>
        <v>0</v>
      </c>
      <c r="H92" s="31">
        <f>IF(A92="","",COUNTIFS(Bookings!$C$5:$C$404,A92,Bookings!$I$5:$I$404,"&gt;="&amp;RepFrom,Bookings!$I$5:$I$404,"&lt;="&amp;RepTo,Bookings!$AM$5:$AM$404,"&lt;&gt;Cancelled"))</f>
        <v>0</v>
      </c>
      <c r="I92" s="28">
        <f>IF(Services!$B$92="","",Services!$B$92)</f>
        <v>0</v>
      </c>
      <c r="J92" s="29">
        <f>IF(I92="","",SUMIFS(Bookings!$AK$5:$AK$404,Bookings!$H$5:$H$404,I92,Bookings!$I$5:$I$404,"&gt;="&amp;PeriodStart,Bookings!$I$5:$I$404,"&lt;="&amp;PeriodEnd,Bookings!$AM$5:$AM$404,"&lt;&gt;Cancelled"))</f>
        <v>0</v>
      </c>
      <c r="K92" s="31">
        <f>IF(I92="","",COUNTIFS(Bookings!$H$5:$H$404,I92,Bookings!$I$5:$I$404,"&gt;="&amp;PeriodStart,Bookings!$I$5:$I$404,"&lt;="&amp;PeriodEnd,Bookings!$AM$5:$AM$404,"&lt;&gt;Cancelled"))</f>
        <v>0</v>
      </c>
      <c r="L92" s="29">
        <f>IF(I92="","",SUMIFS(Bookings!$AK$5:$AK$404,Bookings!$H$5:$H$404,I92,Bookings!$I$5:$I$404,"&gt;="&amp;RepFrom,Bookings!$I$5:$I$404,"&lt;="&amp;RepTo,Bookings!$AM$5:$AM$404,"&lt;&gt;Cancelled"))</f>
        <v>0</v>
      </c>
      <c r="M92" s="31">
        <f>IF(I92="","",COUNTIFS(Bookings!$H$5:$H$404,I92,Bookings!$I$5:$I$404,"&gt;="&amp;RepFrom,Bookings!$I$5:$I$404,"&lt;="&amp;RepTo,Bookings!$AM$5:$AM$404,"&lt;&gt;Cancelled"))</f>
        <v>0</v>
      </c>
      <c r="N92" s="29">
        <f>IF(I92="","",M92*IF(Services!$L$92="",0,Services!$L$92))</f>
        <v>0</v>
      </c>
      <c r="O92" s="29">
        <f>IF(I92="","",L92-N92)</f>
        <v>0</v>
      </c>
      <c r="P92" s="28">
        <f>IF(Lists!$AG92="","",Lists!$AG92)</f>
        <v>0</v>
      </c>
      <c r="Q92" s="29">
        <f>IF(P92="","",SUMIFS(Expenses!$F$5:$F$304,Expenses!$C$5:$C$304,P92,Expenses!$B$5:$B$304,"&gt;="&amp;PeriodStart,Expenses!$B$5:$B$304,"&lt;="&amp;PeriodEnd,Expenses!$J$5:$J$304,"&lt;&gt;Personal"))</f>
        <v>0</v>
      </c>
      <c r="R92" s="29">
        <f>IF(P92="","",SUMIFS(Expenses!$F$5:$F$304,Expenses!$C$5:$C$304,P92,Expenses!$B$5:$B$304,"&gt;="&amp;RepFrom,Expenses!$B$5:$B$304,"&lt;="&amp;RepTo,Expenses!$J$5:$J$304,"&lt;&gt;Personal"))</f>
        <v>0</v>
      </c>
      <c r="S92" s="21">
        <f>IF(ROW()-4&gt;12,"",DATE(Dash_Year,ROW()-4,1))</f>
        <v>0</v>
      </c>
      <c r="T92" s="21">
        <f>IF(S92="","",EOMONTH(S92,0))</f>
        <v>0</v>
      </c>
      <c r="U92" s="28">
        <f>IF(S92="","",TEXT(S92,"mmm"))</f>
        <v>0</v>
      </c>
      <c r="V92" s="29">
        <f>IF(S92="","",SUMIFS(Payments!$L$5:$L$304,Payments!$B$5:$B$304,"&gt;="&amp;S92,Payments!$B$5:$B$304,"&lt;="&amp;T92))</f>
        <v>0</v>
      </c>
      <c r="W92" s="29">
        <f>IF(S92="","",SUMIFS(Invoices!$O$5:$O$304,Invoices!$B$5:$B$304,"&gt;="&amp;S92,Invoices!$B$5:$B$304,"&lt;="&amp;T92,Invoices!$T$5:$T$304,"&lt;&gt;Cancelled"))</f>
        <v>0</v>
      </c>
      <c r="X92" s="29">
        <f>IF(S92="","",SUMIFS(Expenses!$F$5:$F$304,Expenses!$B$5:$B$304,"&gt;="&amp;S92,Expenses!$B$5:$B$304,"&lt;="&amp;T92,Expenses!$J$5:$J$304,"&lt;&gt;Personal"))</f>
        <v>0</v>
      </c>
      <c r="Y92" s="29">
        <f>IF(S92="","",V92-X92)</f>
        <v>0</v>
      </c>
      <c r="Z92" s="31">
        <f>IF(S92="","",COUNTIFS(Bookings!$I$5:$I$404,"&gt;="&amp;S92,Bookings!$I$5:$I$404,"&lt;="&amp;T92,Bookings!$AM$5:$AM$404,"&lt;&gt;Cancelled"))</f>
        <v>0</v>
      </c>
      <c r="AA92" s="31">
        <f>IF(S92="","",COUNTIFS(Bookings!$I$5:$I$404,"&gt;="&amp;S92,Bookings!$I$5:$I$404,"&lt;="&amp;T92,Bookings!$AM$5:$AM$404,"Completed"))</f>
        <v>0</v>
      </c>
      <c r="AB92" s="31">
        <f>IF(S92="","",COUNTIFS(Bookings!$I$5:$I$404,"&gt;="&amp;S92,Bookings!$I$5:$I$404,"&lt;="&amp;T92,Bookings!$AM$5:$AM$404,"Cancelled"))</f>
        <v>0</v>
      </c>
      <c r="AC92" s="31">
        <f>IF(S92="","",COUNTIFS('Visit Log'!$C$5:$C$404,"&gt;="&amp;S92,'Visit Log'!$C$5:$C$404,"&lt;="&amp;T92,'Visit Log'!$AE$5:$AE$404,"Completed"))</f>
        <v>0</v>
      </c>
      <c r="AD92" s="31">
        <f>IF(S92="","",COUNTIFS(Clients!$L$5:$L$254,"&gt;="&amp;S92,Clients!$L$5:$L$254,"&lt;="&amp;T92))</f>
        <v>0</v>
      </c>
      <c r="AE92" s="32">
        <f>IF(S92="","",SUMIFS(Mileage!$M$5:$M$304,Mileage!$B$5:$B$304,"&gt;="&amp;S92,Mileage!$B$5:$B$304,"&lt;="&amp;T92,Mileage!$N$5:$N$304,"Business"))</f>
        <v>0</v>
      </c>
      <c r="AF92" s="29">
        <f>IF(S92="","",SUMIFS(Payments!$L$5:$L$304,Payments!$B$5:$B$304,"&gt;="&amp;DATE(Dash_Year-1,ROW()-4,1),Payments!$B$5:$B$304,"&lt;="&amp;EOMONTH(DATE(Dash_Year-1,ROW()-4,1),0)))</f>
        <v>0</v>
      </c>
      <c r="AG92" s="28">
        <f>IF(Staff!$B$92="","",Staff!$B$92)</f>
        <v>0</v>
      </c>
      <c r="AH92" s="31">
        <f>IF(AG92="","",COUNTIFS('Visit Log'!$G$5:$G$404,AG92,'Visit Log'!$C$5:$C$404,"&gt;="&amp;RepFrom,'Visit Log'!$C$5:$C$404,"&lt;="&amp;RepTo,'Visit Log'!$AE$5:$AE$404,"Completed"))</f>
        <v>0</v>
      </c>
      <c r="AI92" s="51">
        <f>IF(AG92="","",ROUND(SUMIFS('Visit Log'!$K$5:$K$404,'Visit Log'!$G$5:$G$404,AG92,'Visit Log'!$C$5:$C$404,"&gt;="&amp;RepFrom,'Visit Log'!$C$5:$C$404,"&lt;="&amp;RepTo,'Visit Log'!$AE$5:$AE$404,"Completed")/60,2))</f>
        <v>0</v>
      </c>
      <c r="AJ92" s="29">
        <f>IF(AG92="","",SUMIFS(Bookings!$AK$5:$AK$404,Bookings!$AL$5:$AL$404,AG92,Bookings!$I$5:$I$404,"&gt;="&amp;RepFrom,Bookings!$I$5:$I$404,"&lt;="&amp;RepTo,Bookings!$AM$5:$AM$404,"&lt;&gt;Cancelled"))</f>
        <v>0</v>
      </c>
      <c r="AK92" s="32">
        <f>IF(AG92="","",SUMIFS(Mileage!$M$5:$M$304,Mileage!$C$5:$C$304,AG92,Mileage!$B$5:$B$304,"&gt;="&amp;RepFrom,Mileage!$B$5:$B$304,"&lt;="&amp;RepTo))</f>
        <v>0</v>
      </c>
      <c r="AL92" s="28">
        <f>IF(Lists!$Q92="","",Lists!$Q92)</f>
        <v>0</v>
      </c>
      <c r="AM92" s="31">
        <f>IF(AL92="","",COUNTIFS(Bookings!$AV$5:$AV$404,AL92,Bookings!$I$5:$I$404,"&gt;="&amp;RepFrom,Bookings!$I$5:$I$404,"&lt;="&amp;RepTo))</f>
        <v>0</v>
      </c>
      <c r="AN92" s="28">
        <f>IF(Lists!$AF92="","",Lists!$AF92)</f>
        <v>0</v>
      </c>
      <c r="AO92" s="29">
        <f>IF(AN92="","",SUMIFS(Payments!$L$5:$L$304,Payments!$F$5:$F$304,AN92,Payments!$B$5:$B$304,"&gt;="&amp;RepFrom,Payments!$B$5:$B$304,"&lt;="&amp;RepTo))</f>
        <v>0</v>
      </c>
      <c r="AP92" s="28">
        <f>IF(Lists!$E92="","",Lists!$E92)</f>
        <v>0</v>
      </c>
      <c r="AQ92" s="31">
        <f>IF(AP92="","",COUNTIFS(Clients!$K$5:$K$254,AP92))</f>
        <v>0</v>
      </c>
      <c r="AR92" s="29">
        <f>IF(AP92="","",SUMIFS(Clients!$AE$5:$AE$254,Clients!$K$5:$K$254,AP92))</f>
        <v>0</v>
      </c>
    </row>
    <row r="93" spans="1:44">
      <c r="A93" s="28">
        <f>IF(Clients!$B$93="","",Clients!$B$93)</f>
        <v>0</v>
      </c>
      <c r="B93" s="29">
        <f>IF(A93="","",SUMIFS(Payments!$L$5:$L$304,Payments!$C$5:$C$304,A93,Payments!$B$5:$B$304,"&gt;="&amp;PeriodStart,Payments!$B$5:$B$304,"&lt;="&amp;PeriodEnd))</f>
        <v>0</v>
      </c>
      <c r="C93" s="51">
        <f>IF(A93="","",IF(B93&lt;=0,"",B93+ROW()/1000000))</f>
        <v>0</v>
      </c>
      <c r="D93" s="29">
        <f>IF(A93="","",SUMIFS(Payments!$L$5:$L$304,Payments!$C$5:$C$304,A93,Payments!$B$5:$B$304,"&gt;="&amp;RepFrom,Payments!$B$5:$B$304,"&lt;="&amp;RepTo))</f>
        <v>0</v>
      </c>
      <c r="E93" s="51">
        <f>IF(A93="","",IF(D93&lt;=0,"",D93+ROW()/1000000))</f>
        <v>0</v>
      </c>
      <c r="F93" s="29">
        <f>IF(A93="","",SUMIFS(Invoices!$S$5:$S$304,Invoices!$D$5:$D$304,A93,Invoices!$T$5:$T$304,"&lt;&gt;Cancelled"))</f>
        <v>0</v>
      </c>
      <c r="G93" s="51">
        <f>IF(A93="","",IF(F93&lt;=0.004,"",F93+ROW()/1000000))</f>
        <v>0</v>
      </c>
      <c r="H93" s="31">
        <f>IF(A93="","",COUNTIFS(Bookings!$C$5:$C$404,A93,Bookings!$I$5:$I$404,"&gt;="&amp;RepFrom,Bookings!$I$5:$I$404,"&lt;="&amp;RepTo,Bookings!$AM$5:$AM$404,"&lt;&gt;Cancelled"))</f>
        <v>0</v>
      </c>
      <c r="I93" s="28">
        <f>IF(Services!$B$93="","",Services!$B$93)</f>
        <v>0</v>
      </c>
      <c r="J93" s="29">
        <f>IF(I93="","",SUMIFS(Bookings!$AK$5:$AK$404,Bookings!$H$5:$H$404,I93,Bookings!$I$5:$I$404,"&gt;="&amp;PeriodStart,Bookings!$I$5:$I$404,"&lt;="&amp;PeriodEnd,Bookings!$AM$5:$AM$404,"&lt;&gt;Cancelled"))</f>
        <v>0</v>
      </c>
      <c r="K93" s="31">
        <f>IF(I93="","",COUNTIFS(Bookings!$H$5:$H$404,I93,Bookings!$I$5:$I$404,"&gt;="&amp;PeriodStart,Bookings!$I$5:$I$404,"&lt;="&amp;PeriodEnd,Bookings!$AM$5:$AM$404,"&lt;&gt;Cancelled"))</f>
        <v>0</v>
      </c>
      <c r="L93" s="29">
        <f>IF(I93="","",SUMIFS(Bookings!$AK$5:$AK$404,Bookings!$H$5:$H$404,I93,Bookings!$I$5:$I$404,"&gt;="&amp;RepFrom,Bookings!$I$5:$I$404,"&lt;="&amp;RepTo,Bookings!$AM$5:$AM$404,"&lt;&gt;Cancelled"))</f>
        <v>0</v>
      </c>
      <c r="M93" s="31">
        <f>IF(I93="","",COUNTIFS(Bookings!$H$5:$H$404,I93,Bookings!$I$5:$I$404,"&gt;="&amp;RepFrom,Bookings!$I$5:$I$404,"&lt;="&amp;RepTo,Bookings!$AM$5:$AM$404,"&lt;&gt;Cancelled"))</f>
        <v>0</v>
      </c>
      <c r="N93" s="29">
        <f>IF(I93="","",M93*IF(Services!$L$93="",0,Services!$L$93))</f>
        <v>0</v>
      </c>
      <c r="O93" s="29">
        <f>IF(I93="","",L93-N93)</f>
        <v>0</v>
      </c>
      <c r="P93" s="28">
        <f>IF(Lists!$AG93="","",Lists!$AG93)</f>
        <v>0</v>
      </c>
      <c r="Q93" s="29">
        <f>IF(P93="","",SUMIFS(Expenses!$F$5:$F$304,Expenses!$C$5:$C$304,P93,Expenses!$B$5:$B$304,"&gt;="&amp;PeriodStart,Expenses!$B$5:$B$304,"&lt;="&amp;PeriodEnd,Expenses!$J$5:$J$304,"&lt;&gt;Personal"))</f>
        <v>0</v>
      </c>
      <c r="R93" s="29">
        <f>IF(P93="","",SUMIFS(Expenses!$F$5:$F$304,Expenses!$C$5:$C$304,P93,Expenses!$B$5:$B$304,"&gt;="&amp;RepFrom,Expenses!$B$5:$B$304,"&lt;="&amp;RepTo,Expenses!$J$5:$J$304,"&lt;&gt;Personal"))</f>
        <v>0</v>
      </c>
      <c r="S93" s="21">
        <f>IF(ROW()-4&gt;12,"",DATE(Dash_Year,ROW()-4,1))</f>
        <v>0</v>
      </c>
      <c r="T93" s="21">
        <f>IF(S93="","",EOMONTH(S93,0))</f>
        <v>0</v>
      </c>
      <c r="U93" s="28">
        <f>IF(S93="","",TEXT(S93,"mmm"))</f>
        <v>0</v>
      </c>
      <c r="V93" s="29">
        <f>IF(S93="","",SUMIFS(Payments!$L$5:$L$304,Payments!$B$5:$B$304,"&gt;="&amp;S93,Payments!$B$5:$B$304,"&lt;="&amp;T93))</f>
        <v>0</v>
      </c>
      <c r="W93" s="29">
        <f>IF(S93="","",SUMIFS(Invoices!$O$5:$O$304,Invoices!$B$5:$B$304,"&gt;="&amp;S93,Invoices!$B$5:$B$304,"&lt;="&amp;T93,Invoices!$T$5:$T$304,"&lt;&gt;Cancelled"))</f>
        <v>0</v>
      </c>
      <c r="X93" s="29">
        <f>IF(S93="","",SUMIFS(Expenses!$F$5:$F$304,Expenses!$B$5:$B$304,"&gt;="&amp;S93,Expenses!$B$5:$B$304,"&lt;="&amp;T93,Expenses!$J$5:$J$304,"&lt;&gt;Personal"))</f>
        <v>0</v>
      </c>
      <c r="Y93" s="29">
        <f>IF(S93="","",V93-X93)</f>
        <v>0</v>
      </c>
      <c r="Z93" s="31">
        <f>IF(S93="","",COUNTIFS(Bookings!$I$5:$I$404,"&gt;="&amp;S93,Bookings!$I$5:$I$404,"&lt;="&amp;T93,Bookings!$AM$5:$AM$404,"&lt;&gt;Cancelled"))</f>
        <v>0</v>
      </c>
      <c r="AA93" s="31">
        <f>IF(S93="","",COUNTIFS(Bookings!$I$5:$I$404,"&gt;="&amp;S93,Bookings!$I$5:$I$404,"&lt;="&amp;T93,Bookings!$AM$5:$AM$404,"Completed"))</f>
        <v>0</v>
      </c>
      <c r="AB93" s="31">
        <f>IF(S93="","",COUNTIFS(Bookings!$I$5:$I$404,"&gt;="&amp;S93,Bookings!$I$5:$I$404,"&lt;="&amp;T93,Bookings!$AM$5:$AM$404,"Cancelled"))</f>
        <v>0</v>
      </c>
      <c r="AC93" s="31">
        <f>IF(S93="","",COUNTIFS('Visit Log'!$C$5:$C$404,"&gt;="&amp;S93,'Visit Log'!$C$5:$C$404,"&lt;="&amp;T93,'Visit Log'!$AE$5:$AE$404,"Completed"))</f>
        <v>0</v>
      </c>
      <c r="AD93" s="31">
        <f>IF(S93="","",COUNTIFS(Clients!$L$5:$L$254,"&gt;="&amp;S93,Clients!$L$5:$L$254,"&lt;="&amp;T93))</f>
        <v>0</v>
      </c>
      <c r="AE93" s="32">
        <f>IF(S93="","",SUMIFS(Mileage!$M$5:$M$304,Mileage!$B$5:$B$304,"&gt;="&amp;S93,Mileage!$B$5:$B$304,"&lt;="&amp;T93,Mileage!$N$5:$N$304,"Business"))</f>
        <v>0</v>
      </c>
      <c r="AF93" s="29">
        <f>IF(S93="","",SUMIFS(Payments!$L$5:$L$304,Payments!$B$5:$B$304,"&gt;="&amp;DATE(Dash_Year-1,ROW()-4,1),Payments!$B$5:$B$304,"&lt;="&amp;EOMONTH(DATE(Dash_Year-1,ROW()-4,1),0)))</f>
        <v>0</v>
      </c>
      <c r="AG93" s="28">
        <f>IF(Staff!$B$93="","",Staff!$B$93)</f>
        <v>0</v>
      </c>
      <c r="AH93" s="31">
        <f>IF(AG93="","",COUNTIFS('Visit Log'!$G$5:$G$404,AG93,'Visit Log'!$C$5:$C$404,"&gt;="&amp;RepFrom,'Visit Log'!$C$5:$C$404,"&lt;="&amp;RepTo,'Visit Log'!$AE$5:$AE$404,"Completed"))</f>
        <v>0</v>
      </c>
      <c r="AI93" s="51">
        <f>IF(AG93="","",ROUND(SUMIFS('Visit Log'!$K$5:$K$404,'Visit Log'!$G$5:$G$404,AG93,'Visit Log'!$C$5:$C$404,"&gt;="&amp;RepFrom,'Visit Log'!$C$5:$C$404,"&lt;="&amp;RepTo,'Visit Log'!$AE$5:$AE$404,"Completed")/60,2))</f>
        <v>0</v>
      </c>
      <c r="AJ93" s="29">
        <f>IF(AG93="","",SUMIFS(Bookings!$AK$5:$AK$404,Bookings!$AL$5:$AL$404,AG93,Bookings!$I$5:$I$404,"&gt;="&amp;RepFrom,Bookings!$I$5:$I$404,"&lt;="&amp;RepTo,Bookings!$AM$5:$AM$404,"&lt;&gt;Cancelled"))</f>
        <v>0</v>
      </c>
      <c r="AK93" s="32">
        <f>IF(AG93="","",SUMIFS(Mileage!$M$5:$M$304,Mileage!$C$5:$C$304,AG93,Mileage!$B$5:$B$304,"&gt;="&amp;RepFrom,Mileage!$B$5:$B$304,"&lt;="&amp;RepTo))</f>
        <v>0</v>
      </c>
      <c r="AL93" s="28">
        <f>IF(Lists!$Q93="","",Lists!$Q93)</f>
        <v>0</v>
      </c>
      <c r="AM93" s="31">
        <f>IF(AL93="","",COUNTIFS(Bookings!$AV$5:$AV$404,AL93,Bookings!$I$5:$I$404,"&gt;="&amp;RepFrom,Bookings!$I$5:$I$404,"&lt;="&amp;RepTo))</f>
        <v>0</v>
      </c>
      <c r="AN93" s="28">
        <f>IF(Lists!$AF93="","",Lists!$AF93)</f>
        <v>0</v>
      </c>
      <c r="AO93" s="29">
        <f>IF(AN93="","",SUMIFS(Payments!$L$5:$L$304,Payments!$F$5:$F$304,AN93,Payments!$B$5:$B$304,"&gt;="&amp;RepFrom,Payments!$B$5:$B$304,"&lt;="&amp;RepTo))</f>
        <v>0</v>
      </c>
      <c r="AP93" s="28">
        <f>IF(Lists!$E93="","",Lists!$E93)</f>
        <v>0</v>
      </c>
      <c r="AQ93" s="31">
        <f>IF(AP93="","",COUNTIFS(Clients!$K$5:$K$254,AP93))</f>
        <v>0</v>
      </c>
      <c r="AR93" s="29">
        <f>IF(AP93="","",SUMIFS(Clients!$AE$5:$AE$254,Clients!$K$5:$K$254,AP93))</f>
        <v>0</v>
      </c>
    </row>
    <row r="94" spans="1:44">
      <c r="A94" s="28">
        <f>IF(Clients!$B$94="","",Clients!$B$94)</f>
        <v>0</v>
      </c>
      <c r="B94" s="29">
        <f>IF(A94="","",SUMIFS(Payments!$L$5:$L$304,Payments!$C$5:$C$304,A94,Payments!$B$5:$B$304,"&gt;="&amp;PeriodStart,Payments!$B$5:$B$304,"&lt;="&amp;PeriodEnd))</f>
        <v>0</v>
      </c>
      <c r="C94" s="51">
        <f>IF(A94="","",IF(B94&lt;=0,"",B94+ROW()/1000000))</f>
        <v>0</v>
      </c>
      <c r="D94" s="29">
        <f>IF(A94="","",SUMIFS(Payments!$L$5:$L$304,Payments!$C$5:$C$304,A94,Payments!$B$5:$B$304,"&gt;="&amp;RepFrom,Payments!$B$5:$B$304,"&lt;="&amp;RepTo))</f>
        <v>0</v>
      </c>
      <c r="E94" s="51">
        <f>IF(A94="","",IF(D94&lt;=0,"",D94+ROW()/1000000))</f>
        <v>0</v>
      </c>
      <c r="F94" s="29">
        <f>IF(A94="","",SUMIFS(Invoices!$S$5:$S$304,Invoices!$D$5:$D$304,A94,Invoices!$T$5:$T$304,"&lt;&gt;Cancelled"))</f>
        <v>0</v>
      </c>
      <c r="G94" s="51">
        <f>IF(A94="","",IF(F94&lt;=0.004,"",F94+ROW()/1000000))</f>
        <v>0</v>
      </c>
      <c r="H94" s="31">
        <f>IF(A94="","",COUNTIFS(Bookings!$C$5:$C$404,A94,Bookings!$I$5:$I$404,"&gt;="&amp;RepFrom,Bookings!$I$5:$I$404,"&lt;="&amp;RepTo,Bookings!$AM$5:$AM$404,"&lt;&gt;Cancelled"))</f>
        <v>0</v>
      </c>
      <c r="I94" s="28">
        <f>IF(Services!$B$94="","",Services!$B$94)</f>
        <v>0</v>
      </c>
      <c r="J94" s="29">
        <f>IF(I94="","",SUMIFS(Bookings!$AK$5:$AK$404,Bookings!$H$5:$H$404,I94,Bookings!$I$5:$I$404,"&gt;="&amp;PeriodStart,Bookings!$I$5:$I$404,"&lt;="&amp;PeriodEnd,Bookings!$AM$5:$AM$404,"&lt;&gt;Cancelled"))</f>
        <v>0</v>
      </c>
      <c r="K94" s="31">
        <f>IF(I94="","",COUNTIFS(Bookings!$H$5:$H$404,I94,Bookings!$I$5:$I$404,"&gt;="&amp;PeriodStart,Bookings!$I$5:$I$404,"&lt;="&amp;PeriodEnd,Bookings!$AM$5:$AM$404,"&lt;&gt;Cancelled"))</f>
        <v>0</v>
      </c>
      <c r="L94" s="29">
        <f>IF(I94="","",SUMIFS(Bookings!$AK$5:$AK$404,Bookings!$H$5:$H$404,I94,Bookings!$I$5:$I$404,"&gt;="&amp;RepFrom,Bookings!$I$5:$I$404,"&lt;="&amp;RepTo,Bookings!$AM$5:$AM$404,"&lt;&gt;Cancelled"))</f>
        <v>0</v>
      </c>
      <c r="M94" s="31">
        <f>IF(I94="","",COUNTIFS(Bookings!$H$5:$H$404,I94,Bookings!$I$5:$I$404,"&gt;="&amp;RepFrom,Bookings!$I$5:$I$404,"&lt;="&amp;RepTo,Bookings!$AM$5:$AM$404,"&lt;&gt;Cancelled"))</f>
        <v>0</v>
      </c>
      <c r="N94" s="29">
        <f>IF(I94="","",M94*IF(Services!$L$94="",0,Services!$L$94))</f>
        <v>0</v>
      </c>
      <c r="O94" s="29">
        <f>IF(I94="","",L94-N94)</f>
        <v>0</v>
      </c>
      <c r="P94" s="28">
        <f>IF(Lists!$AG94="","",Lists!$AG94)</f>
        <v>0</v>
      </c>
      <c r="Q94" s="29">
        <f>IF(P94="","",SUMIFS(Expenses!$F$5:$F$304,Expenses!$C$5:$C$304,P94,Expenses!$B$5:$B$304,"&gt;="&amp;PeriodStart,Expenses!$B$5:$B$304,"&lt;="&amp;PeriodEnd,Expenses!$J$5:$J$304,"&lt;&gt;Personal"))</f>
        <v>0</v>
      </c>
      <c r="R94" s="29">
        <f>IF(P94="","",SUMIFS(Expenses!$F$5:$F$304,Expenses!$C$5:$C$304,P94,Expenses!$B$5:$B$304,"&gt;="&amp;RepFrom,Expenses!$B$5:$B$304,"&lt;="&amp;RepTo,Expenses!$J$5:$J$304,"&lt;&gt;Personal"))</f>
        <v>0</v>
      </c>
      <c r="S94" s="21">
        <f>IF(ROW()-4&gt;12,"",DATE(Dash_Year,ROW()-4,1))</f>
        <v>0</v>
      </c>
      <c r="T94" s="21">
        <f>IF(S94="","",EOMONTH(S94,0))</f>
        <v>0</v>
      </c>
      <c r="U94" s="28">
        <f>IF(S94="","",TEXT(S94,"mmm"))</f>
        <v>0</v>
      </c>
      <c r="V94" s="29">
        <f>IF(S94="","",SUMIFS(Payments!$L$5:$L$304,Payments!$B$5:$B$304,"&gt;="&amp;S94,Payments!$B$5:$B$304,"&lt;="&amp;T94))</f>
        <v>0</v>
      </c>
      <c r="W94" s="29">
        <f>IF(S94="","",SUMIFS(Invoices!$O$5:$O$304,Invoices!$B$5:$B$304,"&gt;="&amp;S94,Invoices!$B$5:$B$304,"&lt;="&amp;T94,Invoices!$T$5:$T$304,"&lt;&gt;Cancelled"))</f>
        <v>0</v>
      </c>
      <c r="X94" s="29">
        <f>IF(S94="","",SUMIFS(Expenses!$F$5:$F$304,Expenses!$B$5:$B$304,"&gt;="&amp;S94,Expenses!$B$5:$B$304,"&lt;="&amp;T94,Expenses!$J$5:$J$304,"&lt;&gt;Personal"))</f>
        <v>0</v>
      </c>
      <c r="Y94" s="29">
        <f>IF(S94="","",V94-X94)</f>
        <v>0</v>
      </c>
      <c r="Z94" s="31">
        <f>IF(S94="","",COUNTIFS(Bookings!$I$5:$I$404,"&gt;="&amp;S94,Bookings!$I$5:$I$404,"&lt;="&amp;T94,Bookings!$AM$5:$AM$404,"&lt;&gt;Cancelled"))</f>
        <v>0</v>
      </c>
      <c r="AA94" s="31">
        <f>IF(S94="","",COUNTIFS(Bookings!$I$5:$I$404,"&gt;="&amp;S94,Bookings!$I$5:$I$404,"&lt;="&amp;T94,Bookings!$AM$5:$AM$404,"Completed"))</f>
        <v>0</v>
      </c>
      <c r="AB94" s="31">
        <f>IF(S94="","",COUNTIFS(Bookings!$I$5:$I$404,"&gt;="&amp;S94,Bookings!$I$5:$I$404,"&lt;="&amp;T94,Bookings!$AM$5:$AM$404,"Cancelled"))</f>
        <v>0</v>
      </c>
      <c r="AC94" s="31">
        <f>IF(S94="","",COUNTIFS('Visit Log'!$C$5:$C$404,"&gt;="&amp;S94,'Visit Log'!$C$5:$C$404,"&lt;="&amp;T94,'Visit Log'!$AE$5:$AE$404,"Completed"))</f>
        <v>0</v>
      </c>
      <c r="AD94" s="31">
        <f>IF(S94="","",COUNTIFS(Clients!$L$5:$L$254,"&gt;="&amp;S94,Clients!$L$5:$L$254,"&lt;="&amp;T94))</f>
        <v>0</v>
      </c>
      <c r="AE94" s="32">
        <f>IF(S94="","",SUMIFS(Mileage!$M$5:$M$304,Mileage!$B$5:$B$304,"&gt;="&amp;S94,Mileage!$B$5:$B$304,"&lt;="&amp;T94,Mileage!$N$5:$N$304,"Business"))</f>
        <v>0</v>
      </c>
      <c r="AF94" s="29">
        <f>IF(S94="","",SUMIFS(Payments!$L$5:$L$304,Payments!$B$5:$B$304,"&gt;="&amp;DATE(Dash_Year-1,ROW()-4,1),Payments!$B$5:$B$304,"&lt;="&amp;EOMONTH(DATE(Dash_Year-1,ROW()-4,1),0)))</f>
        <v>0</v>
      </c>
      <c r="AG94" s="28">
        <f>IF(Staff!$B$94="","",Staff!$B$94)</f>
        <v>0</v>
      </c>
      <c r="AH94" s="31">
        <f>IF(AG94="","",COUNTIFS('Visit Log'!$G$5:$G$404,AG94,'Visit Log'!$C$5:$C$404,"&gt;="&amp;RepFrom,'Visit Log'!$C$5:$C$404,"&lt;="&amp;RepTo,'Visit Log'!$AE$5:$AE$404,"Completed"))</f>
        <v>0</v>
      </c>
      <c r="AI94" s="51">
        <f>IF(AG94="","",ROUND(SUMIFS('Visit Log'!$K$5:$K$404,'Visit Log'!$G$5:$G$404,AG94,'Visit Log'!$C$5:$C$404,"&gt;="&amp;RepFrom,'Visit Log'!$C$5:$C$404,"&lt;="&amp;RepTo,'Visit Log'!$AE$5:$AE$404,"Completed")/60,2))</f>
        <v>0</v>
      </c>
      <c r="AJ94" s="29">
        <f>IF(AG94="","",SUMIFS(Bookings!$AK$5:$AK$404,Bookings!$AL$5:$AL$404,AG94,Bookings!$I$5:$I$404,"&gt;="&amp;RepFrom,Bookings!$I$5:$I$404,"&lt;="&amp;RepTo,Bookings!$AM$5:$AM$404,"&lt;&gt;Cancelled"))</f>
        <v>0</v>
      </c>
      <c r="AK94" s="32">
        <f>IF(AG94="","",SUMIFS(Mileage!$M$5:$M$304,Mileage!$C$5:$C$304,AG94,Mileage!$B$5:$B$304,"&gt;="&amp;RepFrom,Mileage!$B$5:$B$304,"&lt;="&amp;RepTo))</f>
        <v>0</v>
      </c>
      <c r="AL94" s="28">
        <f>IF(Lists!$Q94="","",Lists!$Q94)</f>
        <v>0</v>
      </c>
      <c r="AM94" s="31">
        <f>IF(AL94="","",COUNTIFS(Bookings!$AV$5:$AV$404,AL94,Bookings!$I$5:$I$404,"&gt;="&amp;RepFrom,Bookings!$I$5:$I$404,"&lt;="&amp;RepTo))</f>
        <v>0</v>
      </c>
      <c r="AN94" s="28">
        <f>IF(Lists!$AF94="","",Lists!$AF94)</f>
        <v>0</v>
      </c>
      <c r="AO94" s="29">
        <f>IF(AN94="","",SUMIFS(Payments!$L$5:$L$304,Payments!$F$5:$F$304,AN94,Payments!$B$5:$B$304,"&gt;="&amp;RepFrom,Payments!$B$5:$B$304,"&lt;="&amp;RepTo))</f>
        <v>0</v>
      </c>
      <c r="AP94" s="28">
        <f>IF(Lists!$E94="","",Lists!$E94)</f>
        <v>0</v>
      </c>
      <c r="AQ94" s="31">
        <f>IF(AP94="","",COUNTIFS(Clients!$K$5:$K$254,AP94))</f>
        <v>0</v>
      </c>
      <c r="AR94" s="29">
        <f>IF(AP94="","",SUMIFS(Clients!$AE$5:$AE$254,Clients!$K$5:$K$254,AP94))</f>
        <v>0</v>
      </c>
    </row>
    <row r="95" spans="1:44">
      <c r="A95" s="28">
        <f>IF(Clients!$B$95="","",Clients!$B$95)</f>
        <v>0</v>
      </c>
      <c r="B95" s="29">
        <f>IF(A95="","",SUMIFS(Payments!$L$5:$L$304,Payments!$C$5:$C$304,A95,Payments!$B$5:$B$304,"&gt;="&amp;PeriodStart,Payments!$B$5:$B$304,"&lt;="&amp;PeriodEnd))</f>
        <v>0</v>
      </c>
      <c r="C95" s="51">
        <f>IF(A95="","",IF(B95&lt;=0,"",B95+ROW()/1000000))</f>
        <v>0</v>
      </c>
      <c r="D95" s="29">
        <f>IF(A95="","",SUMIFS(Payments!$L$5:$L$304,Payments!$C$5:$C$304,A95,Payments!$B$5:$B$304,"&gt;="&amp;RepFrom,Payments!$B$5:$B$304,"&lt;="&amp;RepTo))</f>
        <v>0</v>
      </c>
      <c r="E95" s="51">
        <f>IF(A95="","",IF(D95&lt;=0,"",D95+ROW()/1000000))</f>
        <v>0</v>
      </c>
      <c r="F95" s="29">
        <f>IF(A95="","",SUMIFS(Invoices!$S$5:$S$304,Invoices!$D$5:$D$304,A95,Invoices!$T$5:$T$304,"&lt;&gt;Cancelled"))</f>
        <v>0</v>
      </c>
      <c r="G95" s="51">
        <f>IF(A95="","",IF(F95&lt;=0.004,"",F95+ROW()/1000000))</f>
        <v>0</v>
      </c>
      <c r="H95" s="31">
        <f>IF(A95="","",COUNTIFS(Bookings!$C$5:$C$404,A95,Bookings!$I$5:$I$404,"&gt;="&amp;RepFrom,Bookings!$I$5:$I$404,"&lt;="&amp;RepTo,Bookings!$AM$5:$AM$404,"&lt;&gt;Cancelled"))</f>
        <v>0</v>
      </c>
      <c r="I95" s="28">
        <f>IF(Services!$B$95="","",Services!$B$95)</f>
        <v>0</v>
      </c>
      <c r="J95" s="29">
        <f>IF(I95="","",SUMIFS(Bookings!$AK$5:$AK$404,Bookings!$H$5:$H$404,I95,Bookings!$I$5:$I$404,"&gt;="&amp;PeriodStart,Bookings!$I$5:$I$404,"&lt;="&amp;PeriodEnd,Bookings!$AM$5:$AM$404,"&lt;&gt;Cancelled"))</f>
        <v>0</v>
      </c>
      <c r="K95" s="31">
        <f>IF(I95="","",COUNTIFS(Bookings!$H$5:$H$404,I95,Bookings!$I$5:$I$404,"&gt;="&amp;PeriodStart,Bookings!$I$5:$I$404,"&lt;="&amp;PeriodEnd,Bookings!$AM$5:$AM$404,"&lt;&gt;Cancelled"))</f>
        <v>0</v>
      </c>
      <c r="L95" s="29">
        <f>IF(I95="","",SUMIFS(Bookings!$AK$5:$AK$404,Bookings!$H$5:$H$404,I95,Bookings!$I$5:$I$404,"&gt;="&amp;RepFrom,Bookings!$I$5:$I$404,"&lt;="&amp;RepTo,Bookings!$AM$5:$AM$404,"&lt;&gt;Cancelled"))</f>
        <v>0</v>
      </c>
      <c r="M95" s="31">
        <f>IF(I95="","",COUNTIFS(Bookings!$H$5:$H$404,I95,Bookings!$I$5:$I$404,"&gt;="&amp;RepFrom,Bookings!$I$5:$I$404,"&lt;="&amp;RepTo,Bookings!$AM$5:$AM$404,"&lt;&gt;Cancelled"))</f>
        <v>0</v>
      </c>
      <c r="N95" s="29">
        <f>IF(I95="","",M95*IF(Services!$L$95="",0,Services!$L$95))</f>
        <v>0</v>
      </c>
      <c r="O95" s="29">
        <f>IF(I95="","",L95-N95)</f>
        <v>0</v>
      </c>
      <c r="P95" s="28">
        <f>IF(Lists!$AG95="","",Lists!$AG95)</f>
        <v>0</v>
      </c>
      <c r="Q95" s="29">
        <f>IF(P95="","",SUMIFS(Expenses!$F$5:$F$304,Expenses!$C$5:$C$304,P95,Expenses!$B$5:$B$304,"&gt;="&amp;PeriodStart,Expenses!$B$5:$B$304,"&lt;="&amp;PeriodEnd,Expenses!$J$5:$J$304,"&lt;&gt;Personal"))</f>
        <v>0</v>
      </c>
      <c r="R95" s="29">
        <f>IF(P95="","",SUMIFS(Expenses!$F$5:$F$304,Expenses!$C$5:$C$304,P95,Expenses!$B$5:$B$304,"&gt;="&amp;RepFrom,Expenses!$B$5:$B$304,"&lt;="&amp;RepTo,Expenses!$J$5:$J$304,"&lt;&gt;Personal"))</f>
        <v>0</v>
      </c>
      <c r="S95" s="21">
        <f>IF(ROW()-4&gt;12,"",DATE(Dash_Year,ROW()-4,1))</f>
        <v>0</v>
      </c>
      <c r="T95" s="21">
        <f>IF(S95="","",EOMONTH(S95,0))</f>
        <v>0</v>
      </c>
      <c r="U95" s="28">
        <f>IF(S95="","",TEXT(S95,"mmm"))</f>
        <v>0</v>
      </c>
      <c r="V95" s="29">
        <f>IF(S95="","",SUMIFS(Payments!$L$5:$L$304,Payments!$B$5:$B$304,"&gt;="&amp;S95,Payments!$B$5:$B$304,"&lt;="&amp;T95))</f>
        <v>0</v>
      </c>
      <c r="W95" s="29">
        <f>IF(S95="","",SUMIFS(Invoices!$O$5:$O$304,Invoices!$B$5:$B$304,"&gt;="&amp;S95,Invoices!$B$5:$B$304,"&lt;="&amp;T95,Invoices!$T$5:$T$304,"&lt;&gt;Cancelled"))</f>
        <v>0</v>
      </c>
      <c r="X95" s="29">
        <f>IF(S95="","",SUMIFS(Expenses!$F$5:$F$304,Expenses!$B$5:$B$304,"&gt;="&amp;S95,Expenses!$B$5:$B$304,"&lt;="&amp;T95,Expenses!$J$5:$J$304,"&lt;&gt;Personal"))</f>
        <v>0</v>
      </c>
      <c r="Y95" s="29">
        <f>IF(S95="","",V95-X95)</f>
        <v>0</v>
      </c>
      <c r="Z95" s="31">
        <f>IF(S95="","",COUNTIFS(Bookings!$I$5:$I$404,"&gt;="&amp;S95,Bookings!$I$5:$I$404,"&lt;="&amp;T95,Bookings!$AM$5:$AM$404,"&lt;&gt;Cancelled"))</f>
        <v>0</v>
      </c>
      <c r="AA95" s="31">
        <f>IF(S95="","",COUNTIFS(Bookings!$I$5:$I$404,"&gt;="&amp;S95,Bookings!$I$5:$I$404,"&lt;="&amp;T95,Bookings!$AM$5:$AM$404,"Completed"))</f>
        <v>0</v>
      </c>
      <c r="AB95" s="31">
        <f>IF(S95="","",COUNTIFS(Bookings!$I$5:$I$404,"&gt;="&amp;S95,Bookings!$I$5:$I$404,"&lt;="&amp;T95,Bookings!$AM$5:$AM$404,"Cancelled"))</f>
        <v>0</v>
      </c>
      <c r="AC95" s="31">
        <f>IF(S95="","",COUNTIFS('Visit Log'!$C$5:$C$404,"&gt;="&amp;S95,'Visit Log'!$C$5:$C$404,"&lt;="&amp;T95,'Visit Log'!$AE$5:$AE$404,"Completed"))</f>
        <v>0</v>
      </c>
      <c r="AD95" s="31">
        <f>IF(S95="","",COUNTIFS(Clients!$L$5:$L$254,"&gt;="&amp;S95,Clients!$L$5:$L$254,"&lt;="&amp;T95))</f>
        <v>0</v>
      </c>
      <c r="AE95" s="32">
        <f>IF(S95="","",SUMIFS(Mileage!$M$5:$M$304,Mileage!$B$5:$B$304,"&gt;="&amp;S95,Mileage!$B$5:$B$304,"&lt;="&amp;T95,Mileage!$N$5:$N$304,"Business"))</f>
        <v>0</v>
      </c>
      <c r="AF95" s="29">
        <f>IF(S95="","",SUMIFS(Payments!$L$5:$L$304,Payments!$B$5:$B$304,"&gt;="&amp;DATE(Dash_Year-1,ROW()-4,1),Payments!$B$5:$B$304,"&lt;="&amp;EOMONTH(DATE(Dash_Year-1,ROW()-4,1),0)))</f>
        <v>0</v>
      </c>
      <c r="AG95" s="28">
        <f>IF(Staff!$B$95="","",Staff!$B$95)</f>
        <v>0</v>
      </c>
      <c r="AH95" s="31">
        <f>IF(AG95="","",COUNTIFS('Visit Log'!$G$5:$G$404,AG95,'Visit Log'!$C$5:$C$404,"&gt;="&amp;RepFrom,'Visit Log'!$C$5:$C$404,"&lt;="&amp;RepTo,'Visit Log'!$AE$5:$AE$404,"Completed"))</f>
        <v>0</v>
      </c>
      <c r="AI95" s="51">
        <f>IF(AG95="","",ROUND(SUMIFS('Visit Log'!$K$5:$K$404,'Visit Log'!$G$5:$G$404,AG95,'Visit Log'!$C$5:$C$404,"&gt;="&amp;RepFrom,'Visit Log'!$C$5:$C$404,"&lt;="&amp;RepTo,'Visit Log'!$AE$5:$AE$404,"Completed")/60,2))</f>
        <v>0</v>
      </c>
      <c r="AJ95" s="29">
        <f>IF(AG95="","",SUMIFS(Bookings!$AK$5:$AK$404,Bookings!$AL$5:$AL$404,AG95,Bookings!$I$5:$I$404,"&gt;="&amp;RepFrom,Bookings!$I$5:$I$404,"&lt;="&amp;RepTo,Bookings!$AM$5:$AM$404,"&lt;&gt;Cancelled"))</f>
        <v>0</v>
      </c>
      <c r="AK95" s="32">
        <f>IF(AG95="","",SUMIFS(Mileage!$M$5:$M$304,Mileage!$C$5:$C$304,AG95,Mileage!$B$5:$B$304,"&gt;="&amp;RepFrom,Mileage!$B$5:$B$304,"&lt;="&amp;RepTo))</f>
        <v>0</v>
      </c>
      <c r="AL95" s="28">
        <f>IF(Lists!$Q95="","",Lists!$Q95)</f>
        <v>0</v>
      </c>
      <c r="AM95" s="31">
        <f>IF(AL95="","",COUNTIFS(Bookings!$AV$5:$AV$404,AL95,Bookings!$I$5:$I$404,"&gt;="&amp;RepFrom,Bookings!$I$5:$I$404,"&lt;="&amp;RepTo))</f>
        <v>0</v>
      </c>
      <c r="AN95" s="28">
        <f>IF(Lists!$AF95="","",Lists!$AF95)</f>
        <v>0</v>
      </c>
      <c r="AO95" s="29">
        <f>IF(AN95="","",SUMIFS(Payments!$L$5:$L$304,Payments!$F$5:$F$304,AN95,Payments!$B$5:$B$304,"&gt;="&amp;RepFrom,Payments!$B$5:$B$304,"&lt;="&amp;RepTo))</f>
        <v>0</v>
      </c>
      <c r="AP95" s="28">
        <f>IF(Lists!$E95="","",Lists!$E95)</f>
        <v>0</v>
      </c>
      <c r="AQ95" s="31">
        <f>IF(AP95="","",COUNTIFS(Clients!$K$5:$K$254,AP95))</f>
        <v>0</v>
      </c>
      <c r="AR95" s="29">
        <f>IF(AP95="","",SUMIFS(Clients!$AE$5:$AE$254,Clients!$K$5:$K$254,AP95))</f>
        <v>0</v>
      </c>
    </row>
    <row r="96" spans="1:44">
      <c r="A96" s="28">
        <f>IF(Clients!$B$96="","",Clients!$B$96)</f>
        <v>0</v>
      </c>
      <c r="B96" s="29">
        <f>IF(A96="","",SUMIFS(Payments!$L$5:$L$304,Payments!$C$5:$C$304,A96,Payments!$B$5:$B$304,"&gt;="&amp;PeriodStart,Payments!$B$5:$B$304,"&lt;="&amp;PeriodEnd))</f>
        <v>0</v>
      </c>
      <c r="C96" s="51">
        <f>IF(A96="","",IF(B96&lt;=0,"",B96+ROW()/1000000))</f>
        <v>0</v>
      </c>
      <c r="D96" s="29">
        <f>IF(A96="","",SUMIFS(Payments!$L$5:$L$304,Payments!$C$5:$C$304,A96,Payments!$B$5:$B$304,"&gt;="&amp;RepFrom,Payments!$B$5:$B$304,"&lt;="&amp;RepTo))</f>
        <v>0</v>
      </c>
      <c r="E96" s="51">
        <f>IF(A96="","",IF(D96&lt;=0,"",D96+ROW()/1000000))</f>
        <v>0</v>
      </c>
      <c r="F96" s="29">
        <f>IF(A96="","",SUMIFS(Invoices!$S$5:$S$304,Invoices!$D$5:$D$304,A96,Invoices!$T$5:$T$304,"&lt;&gt;Cancelled"))</f>
        <v>0</v>
      </c>
      <c r="G96" s="51">
        <f>IF(A96="","",IF(F96&lt;=0.004,"",F96+ROW()/1000000))</f>
        <v>0</v>
      </c>
      <c r="H96" s="31">
        <f>IF(A96="","",COUNTIFS(Bookings!$C$5:$C$404,A96,Bookings!$I$5:$I$404,"&gt;="&amp;RepFrom,Bookings!$I$5:$I$404,"&lt;="&amp;RepTo,Bookings!$AM$5:$AM$404,"&lt;&gt;Cancelled"))</f>
        <v>0</v>
      </c>
      <c r="I96" s="28">
        <f>IF(Services!$B$96="","",Services!$B$96)</f>
        <v>0</v>
      </c>
      <c r="J96" s="29">
        <f>IF(I96="","",SUMIFS(Bookings!$AK$5:$AK$404,Bookings!$H$5:$H$404,I96,Bookings!$I$5:$I$404,"&gt;="&amp;PeriodStart,Bookings!$I$5:$I$404,"&lt;="&amp;PeriodEnd,Bookings!$AM$5:$AM$404,"&lt;&gt;Cancelled"))</f>
        <v>0</v>
      </c>
      <c r="K96" s="31">
        <f>IF(I96="","",COUNTIFS(Bookings!$H$5:$H$404,I96,Bookings!$I$5:$I$404,"&gt;="&amp;PeriodStart,Bookings!$I$5:$I$404,"&lt;="&amp;PeriodEnd,Bookings!$AM$5:$AM$404,"&lt;&gt;Cancelled"))</f>
        <v>0</v>
      </c>
      <c r="L96" s="29">
        <f>IF(I96="","",SUMIFS(Bookings!$AK$5:$AK$404,Bookings!$H$5:$H$404,I96,Bookings!$I$5:$I$404,"&gt;="&amp;RepFrom,Bookings!$I$5:$I$404,"&lt;="&amp;RepTo,Bookings!$AM$5:$AM$404,"&lt;&gt;Cancelled"))</f>
        <v>0</v>
      </c>
      <c r="M96" s="31">
        <f>IF(I96="","",COUNTIFS(Bookings!$H$5:$H$404,I96,Bookings!$I$5:$I$404,"&gt;="&amp;RepFrom,Bookings!$I$5:$I$404,"&lt;="&amp;RepTo,Bookings!$AM$5:$AM$404,"&lt;&gt;Cancelled"))</f>
        <v>0</v>
      </c>
      <c r="N96" s="29">
        <f>IF(I96="","",M96*IF(Services!$L$96="",0,Services!$L$96))</f>
        <v>0</v>
      </c>
      <c r="O96" s="29">
        <f>IF(I96="","",L96-N96)</f>
        <v>0</v>
      </c>
      <c r="P96" s="28">
        <f>IF(Lists!$AG96="","",Lists!$AG96)</f>
        <v>0</v>
      </c>
      <c r="Q96" s="29">
        <f>IF(P96="","",SUMIFS(Expenses!$F$5:$F$304,Expenses!$C$5:$C$304,P96,Expenses!$B$5:$B$304,"&gt;="&amp;PeriodStart,Expenses!$B$5:$B$304,"&lt;="&amp;PeriodEnd,Expenses!$J$5:$J$304,"&lt;&gt;Personal"))</f>
        <v>0</v>
      </c>
      <c r="R96" s="29">
        <f>IF(P96="","",SUMIFS(Expenses!$F$5:$F$304,Expenses!$C$5:$C$304,P96,Expenses!$B$5:$B$304,"&gt;="&amp;RepFrom,Expenses!$B$5:$B$304,"&lt;="&amp;RepTo,Expenses!$J$5:$J$304,"&lt;&gt;Personal"))</f>
        <v>0</v>
      </c>
      <c r="S96" s="21">
        <f>IF(ROW()-4&gt;12,"",DATE(Dash_Year,ROW()-4,1))</f>
        <v>0</v>
      </c>
      <c r="T96" s="21">
        <f>IF(S96="","",EOMONTH(S96,0))</f>
        <v>0</v>
      </c>
      <c r="U96" s="28">
        <f>IF(S96="","",TEXT(S96,"mmm"))</f>
        <v>0</v>
      </c>
      <c r="V96" s="29">
        <f>IF(S96="","",SUMIFS(Payments!$L$5:$L$304,Payments!$B$5:$B$304,"&gt;="&amp;S96,Payments!$B$5:$B$304,"&lt;="&amp;T96))</f>
        <v>0</v>
      </c>
      <c r="W96" s="29">
        <f>IF(S96="","",SUMIFS(Invoices!$O$5:$O$304,Invoices!$B$5:$B$304,"&gt;="&amp;S96,Invoices!$B$5:$B$304,"&lt;="&amp;T96,Invoices!$T$5:$T$304,"&lt;&gt;Cancelled"))</f>
        <v>0</v>
      </c>
      <c r="X96" s="29">
        <f>IF(S96="","",SUMIFS(Expenses!$F$5:$F$304,Expenses!$B$5:$B$304,"&gt;="&amp;S96,Expenses!$B$5:$B$304,"&lt;="&amp;T96,Expenses!$J$5:$J$304,"&lt;&gt;Personal"))</f>
        <v>0</v>
      </c>
      <c r="Y96" s="29">
        <f>IF(S96="","",V96-X96)</f>
        <v>0</v>
      </c>
      <c r="Z96" s="31">
        <f>IF(S96="","",COUNTIFS(Bookings!$I$5:$I$404,"&gt;="&amp;S96,Bookings!$I$5:$I$404,"&lt;="&amp;T96,Bookings!$AM$5:$AM$404,"&lt;&gt;Cancelled"))</f>
        <v>0</v>
      </c>
      <c r="AA96" s="31">
        <f>IF(S96="","",COUNTIFS(Bookings!$I$5:$I$404,"&gt;="&amp;S96,Bookings!$I$5:$I$404,"&lt;="&amp;T96,Bookings!$AM$5:$AM$404,"Completed"))</f>
        <v>0</v>
      </c>
      <c r="AB96" s="31">
        <f>IF(S96="","",COUNTIFS(Bookings!$I$5:$I$404,"&gt;="&amp;S96,Bookings!$I$5:$I$404,"&lt;="&amp;T96,Bookings!$AM$5:$AM$404,"Cancelled"))</f>
        <v>0</v>
      </c>
      <c r="AC96" s="31">
        <f>IF(S96="","",COUNTIFS('Visit Log'!$C$5:$C$404,"&gt;="&amp;S96,'Visit Log'!$C$5:$C$404,"&lt;="&amp;T96,'Visit Log'!$AE$5:$AE$404,"Completed"))</f>
        <v>0</v>
      </c>
      <c r="AD96" s="31">
        <f>IF(S96="","",COUNTIFS(Clients!$L$5:$L$254,"&gt;="&amp;S96,Clients!$L$5:$L$254,"&lt;="&amp;T96))</f>
        <v>0</v>
      </c>
      <c r="AE96" s="32">
        <f>IF(S96="","",SUMIFS(Mileage!$M$5:$M$304,Mileage!$B$5:$B$304,"&gt;="&amp;S96,Mileage!$B$5:$B$304,"&lt;="&amp;T96,Mileage!$N$5:$N$304,"Business"))</f>
        <v>0</v>
      </c>
      <c r="AF96" s="29">
        <f>IF(S96="","",SUMIFS(Payments!$L$5:$L$304,Payments!$B$5:$B$304,"&gt;="&amp;DATE(Dash_Year-1,ROW()-4,1),Payments!$B$5:$B$304,"&lt;="&amp;EOMONTH(DATE(Dash_Year-1,ROW()-4,1),0)))</f>
        <v>0</v>
      </c>
      <c r="AG96" s="28">
        <f>IF(Staff!$B$96="","",Staff!$B$96)</f>
        <v>0</v>
      </c>
      <c r="AH96" s="31">
        <f>IF(AG96="","",COUNTIFS('Visit Log'!$G$5:$G$404,AG96,'Visit Log'!$C$5:$C$404,"&gt;="&amp;RepFrom,'Visit Log'!$C$5:$C$404,"&lt;="&amp;RepTo,'Visit Log'!$AE$5:$AE$404,"Completed"))</f>
        <v>0</v>
      </c>
      <c r="AI96" s="51">
        <f>IF(AG96="","",ROUND(SUMIFS('Visit Log'!$K$5:$K$404,'Visit Log'!$G$5:$G$404,AG96,'Visit Log'!$C$5:$C$404,"&gt;="&amp;RepFrom,'Visit Log'!$C$5:$C$404,"&lt;="&amp;RepTo,'Visit Log'!$AE$5:$AE$404,"Completed")/60,2))</f>
        <v>0</v>
      </c>
      <c r="AJ96" s="29">
        <f>IF(AG96="","",SUMIFS(Bookings!$AK$5:$AK$404,Bookings!$AL$5:$AL$404,AG96,Bookings!$I$5:$I$404,"&gt;="&amp;RepFrom,Bookings!$I$5:$I$404,"&lt;="&amp;RepTo,Bookings!$AM$5:$AM$404,"&lt;&gt;Cancelled"))</f>
        <v>0</v>
      </c>
      <c r="AK96" s="32">
        <f>IF(AG96="","",SUMIFS(Mileage!$M$5:$M$304,Mileage!$C$5:$C$304,AG96,Mileage!$B$5:$B$304,"&gt;="&amp;RepFrom,Mileage!$B$5:$B$304,"&lt;="&amp;RepTo))</f>
        <v>0</v>
      </c>
      <c r="AL96" s="28">
        <f>IF(Lists!$Q96="","",Lists!$Q96)</f>
        <v>0</v>
      </c>
      <c r="AM96" s="31">
        <f>IF(AL96="","",COUNTIFS(Bookings!$AV$5:$AV$404,AL96,Bookings!$I$5:$I$404,"&gt;="&amp;RepFrom,Bookings!$I$5:$I$404,"&lt;="&amp;RepTo))</f>
        <v>0</v>
      </c>
      <c r="AN96" s="28">
        <f>IF(Lists!$AF96="","",Lists!$AF96)</f>
        <v>0</v>
      </c>
      <c r="AO96" s="29">
        <f>IF(AN96="","",SUMIFS(Payments!$L$5:$L$304,Payments!$F$5:$F$304,AN96,Payments!$B$5:$B$304,"&gt;="&amp;RepFrom,Payments!$B$5:$B$304,"&lt;="&amp;RepTo))</f>
        <v>0</v>
      </c>
      <c r="AP96" s="28">
        <f>IF(Lists!$E96="","",Lists!$E96)</f>
        <v>0</v>
      </c>
      <c r="AQ96" s="31">
        <f>IF(AP96="","",COUNTIFS(Clients!$K$5:$K$254,AP96))</f>
        <v>0</v>
      </c>
      <c r="AR96" s="29">
        <f>IF(AP96="","",SUMIFS(Clients!$AE$5:$AE$254,Clients!$K$5:$K$254,AP96))</f>
        <v>0</v>
      </c>
    </row>
    <row r="97" spans="1:44">
      <c r="A97" s="28">
        <f>IF(Clients!$B$97="","",Clients!$B$97)</f>
        <v>0</v>
      </c>
      <c r="B97" s="29">
        <f>IF(A97="","",SUMIFS(Payments!$L$5:$L$304,Payments!$C$5:$C$304,A97,Payments!$B$5:$B$304,"&gt;="&amp;PeriodStart,Payments!$B$5:$B$304,"&lt;="&amp;PeriodEnd))</f>
        <v>0</v>
      </c>
      <c r="C97" s="51">
        <f>IF(A97="","",IF(B97&lt;=0,"",B97+ROW()/1000000))</f>
        <v>0</v>
      </c>
      <c r="D97" s="29">
        <f>IF(A97="","",SUMIFS(Payments!$L$5:$L$304,Payments!$C$5:$C$304,A97,Payments!$B$5:$B$304,"&gt;="&amp;RepFrom,Payments!$B$5:$B$304,"&lt;="&amp;RepTo))</f>
        <v>0</v>
      </c>
      <c r="E97" s="51">
        <f>IF(A97="","",IF(D97&lt;=0,"",D97+ROW()/1000000))</f>
        <v>0</v>
      </c>
      <c r="F97" s="29">
        <f>IF(A97="","",SUMIFS(Invoices!$S$5:$S$304,Invoices!$D$5:$D$304,A97,Invoices!$T$5:$T$304,"&lt;&gt;Cancelled"))</f>
        <v>0</v>
      </c>
      <c r="G97" s="51">
        <f>IF(A97="","",IF(F97&lt;=0.004,"",F97+ROW()/1000000))</f>
        <v>0</v>
      </c>
      <c r="H97" s="31">
        <f>IF(A97="","",COUNTIFS(Bookings!$C$5:$C$404,A97,Bookings!$I$5:$I$404,"&gt;="&amp;RepFrom,Bookings!$I$5:$I$404,"&lt;="&amp;RepTo,Bookings!$AM$5:$AM$404,"&lt;&gt;Cancelled"))</f>
        <v>0</v>
      </c>
      <c r="I97" s="28">
        <f>IF(Services!$B$97="","",Services!$B$97)</f>
        <v>0</v>
      </c>
      <c r="J97" s="29">
        <f>IF(I97="","",SUMIFS(Bookings!$AK$5:$AK$404,Bookings!$H$5:$H$404,I97,Bookings!$I$5:$I$404,"&gt;="&amp;PeriodStart,Bookings!$I$5:$I$404,"&lt;="&amp;PeriodEnd,Bookings!$AM$5:$AM$404,"&lt;&gt;Cancelled"))</f>
        <v>0</v>
      </c>
      <c r="K97" s="31">
        <f>IF(I97="","",COUNTIFS(Bookings!$H$5:$H$404,I97,Bookings!$I$5:$I$404,"&gt;="&amp;PeriodStart,Bookings!$I$5:$I$404,"&lt;="&amp;PeriodEnd,Bookings!$AM$5:$AM$404,"&lt;&gt;Cancelled"))</f>
        <v>0</v>
      </c>
      <c r="L97" s="29">
        <f>IF(I97="","",SUMIFS(Bookings!$AK$5:$AK$404,Bookings!$H$5:$H$404,I97,Bookings!$I$5:$I$404,"&gt;="&amp;RepFrom,Bookings!$I$5:$I$404,"&lt;="&amp;RepTo,Bookings!$AM$5:$AM$404,"&lt;&gt;Cancelled"))</f>
        <v>0</v>
      </c>
      <c r="M97" s="31">
        <f>IF(I97="","",COUNTIFS(Bookings!$H$5:$H$404,I97,Bookings!$I$5:$I$404,"&gt;="&amp;RepFrom,Bookings!$I$5:$I$404,"&lt;="&amp;RepTo,Bookings!$AM$5:$AM$404,"&lt;&gt;Cancelled"))</f>
        <v>0</v>
      </c>
      <c r="N97" s="29">
        <f>IF(I97="","",M97*IF(Services!$L$97="",0,Services!$L$97))</f>
        <v>0</v>
      </c>
      <c r="O97" s="29">
        <f>IF(I97="","",L97-N97)</f>
        <v>0</v>
      </c>
      <c r="P97" s="28">
        <f>IF(Lists!$AG97="","",Lists!$AG97)</f>
        <v>0</v>
      </c>
      <c r="Q97" s="29">
        <f>IF(P97="","",SUMIFS(Expenses!$F$5:$F$304,Expenses!$C$5:$C$304,P97,Expenses!$B$5:$B$304,"&gt;="&amp;PeriodStart,Expenses!$B$5:$B$304,"&lt;="&amp;PeriodEnd,Expenses!$J$5:$J$304,"&lt;&gt;Personal"))</f>
        <v>0</v>
      </c>
      <c r="R97" s="29">
        <f>IF(P97="","",SUMIFS(Expenses!$F$5:$F$304,Expenses!$C$5:$C$304,P97,Expenses!$B$5:$B$304,"&gt;="&amp;RepFrom,Expenses!$B$5:$B$304,"&lt;="&amp;RepTo,Expenses!$J$5:$J$304,"&lt;&gt;Personal"))</f>
        <v>0</v>
      </c>
      <c r="S97" s="21">
        <f>IF(ROW()-4&gt;12,"",DATE(Dash_Year,ROW()-4,1))</f>
        <v>0</v>
      </c>
      <c r="T97" s="21">
        <f>IF(S97="","",EOMONTH(S97,0))</f>
        <v>0</v>
      </c>
      <c r="U97" s="28">
        <f>IF(S97="","",TEXT(S97,"mmm"))</f>
        <v>0</v>
      </c>
      <c r="V97" s="29">
        <f>IF(S97="","",SUMIFS(Payments!$L$5:$L$304,Payments!$B$5:$B$304,"&gt;="&amp;S97,Payments!$B$5:$B$304,"&lt;="&amp;T97))</f>
        <v>0</v>
      </c>
      <c r="W97" s="29">
        <f>IF(S97="","",SUMIFS(Invoices!$O$5:$O$304,Invoices!$B$5:$B$304,"&gt;="&amp;S97,Invoices!$B$5:$B$304,"&lt;="&amp;T97,Invoices!$T$5:$T$304,"&lt;&gt;Cancelled"))</f>
        <v>0</v>
      </c>
      <c r="X97" s="29">
        <f>IF(S97="","",SUMIFS(Expenses!$F$5:$F$304,Expenses!$B$5:$B$304,"&gt;="&amp;S97,Expenses!$B$5:$B$304,"&lt;="&amp;T97,Expenses!$J$5:$J$304,"&lt;&gt;Personal"))</f>
        <v>0</v>
      </c>
      <c r="Y97" s="29">
        <f>IF(S97="","",V97-X97)</f>
        <v>0</v>
      </c>
      <c r="Z97" s="31">
        <f>IF(S97="","",COUNTIFS(Bookings!$I$5:$I$404,"&gt;="&amp;S97,Bookings!$I$5:$I$404,"&lt;="&amp;T97,Bookings!$AM$5:$AM$404,"&lt;&gt;Cancelled"))</f>
        <v>0</v>
      </c>
      <c r="AA97" s="31">
        <f>IF(S97="","",COUNTIFS(Bookings!$I$5:$I$404,"&gt;="&amp;S97,Bookings!$I$5:$I$404,"&lt;="&amp;T97,Bookings!$AM$5:$AM$404,"Completed"))</f>
        <v>0</v>
      </c>
      <c r="AB97" s="31">
        <f>IF(S97="","",COUNTIFS(Bookings!$I$5:$I$404,"&gt;="&amp;S97,Bookings!$I$5:$I$404,"&lt;="&amp;T97,Bookings!$AM$5:$AM$404,"Cancelled"))</f>
        <v>0</v>
      </c>
      <c r="AC97" s="31">
        <f>IF(S97="","",COUNTIFS('Visit Log'!$C$5:$C$404,"&gt;="&amp;S97,'Visit Log'!$C$5:$C$404,"&lt;="&amp;T97,'Visit Log'!$AE$5:$AE$404,"Completed"))</f>
        <v>0</v>
      </c>
      <c r="AD97" s="31">
        <f>IF(S97="","",COUNTIFS(Clients!$L$5:$L$254,"&gt;="&amp;S97,Clients!$L$5:$L$254,"&lt;="&amp;T97))</f>
        <v>0</v>
      </c>
      <c r="AE97" s="32">
        <f>IF(S97="","",SUMIFS(Mileage!$M$5:$M$304,Mileage!$B$5:$B$304,"&gt;="&amp;S97,Mileage!$B$5:$B$304,"&lt;="&amp;T97,Mileage!$N$5:$N$304,"Business"))</f>
        <v>0</v>
      </c>
      <c r="AF97" s="29">
        <f>IF(S97="","",SUMIFS(Payments!$L$5:$L$304,Payments!$B$5:$B$304,"&gt;="&amp;DATE(Dash_Year-1,ROW()-4,1),Payments!$B$5:$B$304,"&lt;="&amp;EOMONTH(DATE(Dash_Year-1,ROW()-4,1),0)))</f>
        <v>0</v>
      </c>
      <c r="AG97" s="28">
        <f>IF(Staff!$B$97="","",Staff!$B$97)</f>
        <v>0</v>
      </c>
      <c r="AH97" s="31">
        <f>IF(AG97="","",COUNTIFS('Visit Log'!$G$5:$G$404,AG97,'Visit Log'!$C$5:$C$404,"&gt;="&amp;RepFrom,'Visit Log'!$C$5:$C$404,"&lt;="&amp;RepTo,'Visit Log'!$AE$5:$AE$404,"Completed"))</f>
        <v>0</v>
      </c>
      <c r="AI97" s="51">
        <f>IF(AG97="","",ROUND(SUMIFS('Visit Log'!$K$5:$K$404,'Visit Log'!$G$5:$G$404,AG97,'Visit Log'!$C$5:$C$404,"&gt;="&amp;RepFrom,'Visit Log'!$C$5:$C$404,"&lt;="&amp;RepTo,'Visit Log'!$AE$5:$AE$404,"Completed")/60,2))</f>
        <v>0</v>
      </c>
      <c r="AJ97" s="29">
        <f>IF(AG97="","",SUMIFS(Bookings!$AK$5:$AK$404,Bookings!$AL$5:$AL$404,AG97,Bookings!$I$5:$I$404,"&gt;="&amp;RepFrom,Bookings!$I$5:$I$404,"&lt;="&amp;RepTo,Bookings!$AM$5:$AM$404,"&lt;&gt;Cancelled"))</f>
        <v>0</v>
      </c>
      <c r="AK97" s="32">
        <f>IF(AG97="","",SUMIFS(Mileage!$M$5:$M$304,Mileage!$C$5:$C$304,AG97,Mileage!$B$5:$B$304,"&gt;="&amp;RepFrom,Mileage!$B$5:$B$304,"&lt;="&amp;RepTo))</f>
        <v>0</v>
      </c>
      <c r="AL97" s="28">
        <f>IF(Lists!$Q97="","",Lists!$Q97)</f>
        <v>0</v>
      </c>
      <c r="AM97" s="31">
        <f>IF(AL97="","",COUNTIFS(Bookings!$AV$5:$AV$404,AL97,Bookings!$I$5:$I$404,"&gt;="&amp;RepFrom,Bookings!$I$5:$I$404,"&lt;="&amp;RepTo))</f>
        <v>0</v>
      </c>
      <c r="AN97" s="28">
        <f>IF(Lists!$AF97="","",Lists!$AF97)</f>
        <v>0</v>
      </c>
      <c r="AO97" s="29">
        <f>IF(AN97="","",SUMIFS(Payments!$L$5:$L$304,Payments!$F$5:$F$304,AN97,Payments!$B$5:$B$304,"&gt;="&amp;RepFrom,Payments!$B$5:$B$304,"&lt;="&amp;RepTo))</f>
        <v>0</v>
      </c>
      <c r="AP97" s="28">
        <f>IF(Lists!$E97="","",Lists!$E97)</f>
        <v>0</v>
      </c>
      <c r="AQ97" s="31">
        <f>IF(AP97="","",COUNTIFS(Clients!$K$5:$K$254,AP97))</f>
        <v>0</v>
      </c>
      <c r="AR97" s="29">
        <f>IF(AP97="","",SUMIFS(Clients!$AE$5:$AE$254,Clients!$K$5:$K$254,AP97))</f>
        <v>0</v>
      </c>
    </row>
    <row r="98" spans="1:44">
      <c r="A98" s="28">
        <f>IF(Clients!$B$98="","",Clients!$B$98)</f>
        <v>0</v>
      </c>
      <c r="B98" s="29">
        <f>IF(A98="","",SUMIFS(Payments!$L$5:$L$304,Payments!$C$5:$C$304,A98,Payments!$B$5:$B$304,"&gt;="&amp;PeriodStart,Payments!$B$5:$B$304,"&lt;="&amp;PeriodEnd))</f>
        <v>0</v>
      </c>
      <c r="C98" s="51">
        <f>IF(A98="","",IF(B98&lt;=0,"",B98+ROW()/1000000))</f>
        <v>0</v>
      </c>
      <c r="D98" s="29">
        <f>IF(A98="","",SUMIFS(Payments!$L$5:$L$304,Payments!$C$5:$C$304,A98,Payments!$B$5:$B$304,"&gt;="&amp;RepFrom,Payments!$B$5:$B$304,"&lt;="&amp;RepTo))</f>
        <v>0</v>
      </c>
      <c r="E98" s="51">
        <f>IF(A98="","",IF(D98&lt;=0,"",D98+ROW()/1000000))</f>
        <v>0</v>
      </c>
      <c r="F98" s="29">
        <f>IF(A98="","",SUMIFS(Invoices!$S$5:$S$304,Invoices!$D$5:$D$304,A98,Invoices!$T$5:$T$304,"&lt;&gt;Cancelled"))</f>
        <v>0</v>
      </c>
      <c r="G98" s="51">
        <f>IF(A98="","",IF(F98&lt;=0.004,"",F98+ROW()/1000000))</f>
        <v>0</v>
      </c>
      <c r="H98" s="31">
        <f>IF(A98="","",COUNTIFS(Bookings!$C$5:$C$404,A98,Bookings!$I$5:$I$404,"&gt;="&amp;RepFrom,Bookings!$I$5:$I$404,"&lt;="&amp;RepTo,Bookings!$AM$5:$AM$404,"&lt;&gt;Cancelled"))</f>
        <v>0</v>
      </c>
      <c r="I98" s="28">
        <f>IF(Services!$B$98="","",Services!$B$98)</f>
        <v>0</v>
      </c>
      <c r="J98" s="29">
        <f>IF(I98="","",SUMIFS(Bookings!$AK$5:$AK$404,Bookings!$H$5:$H$404,I98,Bookings!$I$5:$I$404,"&gt;="&amp;PeriodStart,Bookings!$I$5:$I$404,"&lt;="&amp;PeriodEnd,Bookings!$AM$5:$AM$404,"&lt;&gt;Cancelled"))</f>
        <v>0</v>
      </c>
      <c r="K98" s="31">
        <f>IF(I98="","",COUNTIFS(Bookings!$H$5:$H$404,I98,Bookings!$I$5:$I$404,"&gt;="&amp;PeriodStart,Bookings!$I$5:$I$404,"&lt;="&amp;PeriodEnd,Bookings!$AM$5:$AM$404,"&lt;&gt;Cancelled"))</f>
        <v>0</v>
      </c>
      <c r="L98" s="29">
        <f>IF(I98="","",SUMIFS(Bookings!$AK$5:$AK$404,Bookings!$H$5:$H$404,I98,Bookings!$I$5:$I$404,"&gt;="&amp;RepFrom,Bookings!$I$5:$I$404,"&lt;="&amp;RepTo,Bookings!$AM$5:$AM$404,"&lt;&gt;Cancelled"))</f>
        <v>0</v>
      </c>
      <c r="M98" s="31">
        <f>IF(I98="","",COUNTIFS(Bookings!$H$5:$H$404,I98,Bookings!$I$5:$I$404,"&gt;="&amp;RepFrom,Bookings!$I$5:$I$404,"&lt;="&amp;RepTo,Bookings!$AM$5:$AM$404,"&lt;&gt;Cancelled"))</f>
        <v>0</v>
      </c>
      <c r="N98" s="29">
        <f>IF(I98="","",M98*IF(Services!$L$98="",0,Services!$L$98))</f>
        <v>0</v>
      </c>
      <c r="O98" s="29">
        <f>IF(I98="","",L98-N98)</f>
        <v>0</v>
      </c>
      <c r="P98" s="28">
        <f>IF(Lists!$AG98="","",Lists!$AG98)</f>
        <v>0</v>
      </c>
      <c r="Q98" s="29">
        <f>IF(P98="","",SUMIFS(Expenses!$F$5:$F$304,Expenses!$C$5:$C$304,P98,Expenses!$B$5:$B$304,"&gt;="&amp;PeriodStart,Expenses!$B$5:$B$304,"&lt;="&amp;PeriodEnd,Expenses!$J$5:$J$304,"&lt;&gt;Personal"))</f>
        <v>0</v>
      </c>
      <c r="R98" s="29">
        <f>IF(P98="","",SUMIFS(Expenses!$F$5:$F$304,Expenses!$C$5:$C$304,P98,Expenses!$B$5:$B$304,"&gt;="&amp;RepFrom,Expenses!$B$5:$B$304,"&lt;="&amp;RepTo,Expenses!$J$5:$J$304,"&lt;&gt;Personal"))</f>
        <v>0</v>
      </c>
      <c r="S98" s="21">
        <f>IF(ROW()-4&gt;12,"",DATE(Dash_Year,ROW()-4,1))</f>
        <v>0</v>
      </c>
      <c r="T98" s="21">
        <f>IF(S98="","",EOMONTH(S98,0))</f>
        <v>0</v>
      </c>
      <c r="U98" s="28">
        <f>IF(S98="","",TEXT(S98,"mmm"))</f>
        <v>0</v>
      </c>
      <c r="V98" s="29">
        <f>IF(S98="","",SUMIFS(Payments!$L$5:$L$304,Payments!$B$5:$B$304,"&gt;="&amp;S98,Payments!$B$5:$B$304,"&lt;="&amp;T98))</f>
        <v>0</v>
      </c>
      <c r="W98" s="29">
        <f>IF(S98="","",SUMIFS(Invoices!$O$5:$O$304,Invoices!$B$5:$B$304,"&gt;="&amp;S98,Invoices!$B$5:$B$304,"&lt;="&amp;T98,Invoices!$T$5:$T$304,"&lt;&gt;Cancelled"))</f>
        <v>0</v>
      </c>
      <c r="X98" s="29">
        <f>IF(S98="","",SUMIFS(Expenses!$F$5:$F$304,Expenses!$B$5:$B$304,"&gt;="&amp;S98,Expenses!$B$5:$B$304,"&lt;="&amp;T98,Expenses!$J$5:$J$304,"&lt;&gt;Personal"))</f>
        <v>0</v>
      </c>
      <c r="Y98" s="29">
        <f>IF(S98="","",V98-X98)</f>
        <v>0</v>
      </c>
      <c r="Z98" s="31">
        <f>IF(S98="","",COUNTIFS(Bookings!$I$5:$I$404,"&gt;="&amp;S98,Bookings!$I$5:$I$404,"&lt;="&amp;T98,Bookings!$AM$5:$AM$404,"&lt;&gt;Cancelled"))</f>
        <v>0</v>
      </c>
      <c r="AA98" s="31">
        <f>IF(S98="","",COUNTIFS(Bookings!$I$5:$I$404,"&gt;="&amp;S98,Bookings!$I$5:$I$404,"&lt;="&amp;T98,Bookings!$AM$5:$AM$404,"Completed"))</f>
        <v>0</v>
      </c>
      <c r="AB98" s="31">
        <f>IF(S98="","",COUNTIFS(Bookings!$I$5:$I$404,"&gt;="&amp;S98,Bookings!$I$5:$I$404,"&lt;="&amp;T98,Bookings!$AM$5:$AM$404,"Cancelled"))</f>
        <v>0</v>
      </c>
      <c r="AC98" s="31">
        <f>IF(S98="","",COUNTIFS('Visit Log'!$C$5:$C$404,"&gt;="&amp;S98,'Visit Log'!$C$5:$C$404,"&lt;="&amp;T98,'Visit Log'!$AE$5:$AE$404,"Completed"))</f>
        <v>0</v>
      </c>
      <c r="AD98" s="31">
        <f>IF(S98="","",COUNTIFS(Clients!$L$5:$L$254,"&gt;="&amp;S98,Clients!$L$5:$L$254,"&lt;="&amp;T98))</f>
        <v>0</v>
      </c>
      <c r="AE98" s="32">
        <f>IF(S98="","",SUMIFS(Mileage!$M$5:$M$304,Mileage!$B$5:$B$304,"&gt;="&amp;S98,Mileage!$B$5:$B$304,"&lt;="&amp;T98,Mileage!$N$5:$N$304,"Business"))</f>
        <v>0</v>
      </c>
      <c r="AF98" s="29">
        <f>IF(S98="","",SUMIFS(Payments!$L$5:$L$304,Payments!$B$5:$B$304,"&gt;="&amp;DATE(Dash_Year-1,ROW()-4,1),Payments!$B$5:$B$304,"&lt;="&amp;EOMONTH(DATE(Dash_Year-1,ROW()-4,1),0)))</f>
        <v>0</v>
      </c>
      <c r="AG98" s="28">
        <f>IF(Staff!$B$98="","",Staff!$B$98)</f>
        <v>0</v>
      </c>
      <c r="AH98" s="31">
        <f>IF(AG98="","",COUNTIFS('Visit Log'!$G$5:$G$404,AG98,'Visit Log'!$C$5:$C$404,"&gt;="&amp;RepFrom,'Visit Log'!$C$5:$C$404,"&lt;="&amp;RepTo,'Visit Log'!$AE$5:$AE$404,"Completed"))</f>
        <v>0</v>
      </c>
      <c r="AI98" s="51">
        <f>IF(AG98="","",ROUND(SUMIFS('Visit Log'!$K$5:$K$404,'Visit Log'!$G$5:$G$404,AG98,'Visit Log'!$C$5:$C$404,"&gt;="&amp;RepFrom,'Visit Log'!$C$5:$C$404,"&lt;="&amp;RepTo,'Visit Log'!$AE$5:$AE$404,"Completed")/60,2))</f>
        <v>0</v>
      </c>
      <c r="AJ98" s="29">
        <f>IF(AG98="","",SUMIFS(Bookings!$AK$5:$AK$404,Bookings!$AL$5:$AL$404,AG98,Bookings!$I$5:$I$404,"&gt;="&amp;RepFrom,Bookings!$I$5:$I$404,"&lt;="&amp;RepTo,Bookings!$AM$5:$AM$404,"&lt;&gt;Cancelled"))</f>
        <v>0</v>
      </c>
      <c r="AK98" s="32">
        <f>IF(AG98="","",SUMIFS(Mileage!$M$5:$M$304,Mileage!$C$5:$C$304,AG98,Mileage!$B$5:$B$304,"&gt;="&amp;RepFrom,Mileage!$B$5:$B$304,"&lt;="&amp;RepTo))</f>
        <v>0</v>
      </c>
      <c r="AL98" s="28">
        <f>IF(Lists!$Q98="","",Lists!$Q98)</f>
        <v>0</v>
      </c>
      <c r="AM98" s="31">
        <f>IF(AL98="","",COUNTIFS(Bookings!$AV$5:$AV$404,AL98,Bookings!$I$5:$I$404,"&gt;="&amp;RepFrom,Bookings!$I$5:$I$404,"&lt;="&amp;RepTo))</f>
        <v>0</v>
      </c>
      <c r="AN98" s="28">
        <f>IF(Lists!$AF98="","",Lists!$AF98)</f>
        <v>0</v>
      </c>
      <c r="AO98" s="29">
        <f>IF(AN98="","",SUMIFS(Payments!$L$5:$L$304,Payments!$F$5:$F$304,AN98,Payments!$B$5:$B$304,"&gt;="&amp;RepFrom,Payments!$B$5:$B$304,"&lt;="&amp;RepTo))</f>
        <v>0</v>
      </c>
      <c r="AP98" s="28">
        <f>IF(Lists!$E98="","",Lists!$E98)</f>
        <v>0</v>
      </c>
      <c r="AQ98" s="31">
        <f>IF(AP98="","",COUNTIFS(Clients!$K$5:$K$254,AP98))</f>
        <v>0</v>
      </c>
      <c r="AR98" s="29">
        <f>IF(AP98="","",SUMIFS(Clients!$AE$5:$AE$254,Clients!$K$5:$K$254,AP98))</f>
        <v>0</v>
      </c>
    </row>
    <row r="99" spans="1:44">
      <c r="A99" s="28">
        <f>IF(Clients!$B$99="","",Clients!$B$99)</f>
        <v>0</v>
      </c>
      <c r="B99" s="29">
        <f>IF(A99="","",SUMIFS(Payments!$L$5:$L$304,Payments!$C$5:$C$304,A99,Payments!$B$5:$B$304,"&gt;="&amp;PeriodStart,Payments!$B$5:$B$304,"&lt;="&amp;PeriodEnd))</f>
        <v>0</v>
      </c>
      <c r="C99" s="51">
        <f>IF(A99="","",IF(B99&lt;=0,"",B99+ROW()/1000000))</f>
        <v>0</v>
      </c>
      <c r="D99" s="29">
        <f>IF(A99="","",SUMIFS(Payments!$L$5:$L$304,Payments!$C$5:$C$304,A99,Payments!$B$5:$B$304,"&gt;="&amp;RepFrom,Payments!$B$5:$B$304,"&lt;="&amp;RepTo))</f>
        <v>0</v>
      </c>
      <c r="E99" s="51">
        <f>IF(A99="","",IF(D99&lt;=0,"",D99+ROW()/1000000))</f>
        <v>0</v>
      </c>
      <c r="F99" s="29">
        <f>IF(A99="","",SUMIFS(Invoices!$S$5:$S$304,Invoices!$D$5:$D$304,A99,Invoices!$T$5:$T$304,"&lt;&gt;Cancelled"))</f>
        <v>0</v>
      </c>
      <c r="G99" s="51">
        <f>IF(A99="","",IF(F99&lt;=0.004,"",F99+ROW()/1000000))</f>
        <v>0</v>
      </c>
      <c r="H99" s="31">
        <f>IF(A99="","",COUNTIFS(Bookings!$C$5:$C$404,A99,Bookings!$I$5:$I$404,"&gt;="&amp;RepFrom,Bookings!$I$5:$I$404,"&lt;="&amp;RepTo,Bookings!$AM$5:$AM$404,"&lt;&gt;Cancelled"))</f>
        <v>0</v>
      </c>
      <c r="I99" s="28">
        <f>IF(Services!$B$99="","",Services!$B$99)</f>
        <v>0</v>
      </c>
      <c r="J99" s="29">
        <f>IF(I99="","",SUMIFS(Bookings!$AK$5:$AK$404,Bookings!$H$5:$H$404,I99,Bookings!$I$5:$I$404,"&gt;="&amp;PeriodStart,Bookings!$I$5:$I$404,"&lt;="&amp;PeriodEnd,Bookings!$AM$5:$AM$404,"&lt;&gt;Cancelled"))</f>
        <v>0</v>
      </c>
      <c r="K99" s="31">
        <f>IF(I99="","",COUNTIFS(Bookings!$H$5:$H$404,I99,Bookings!$I$5:$I$404,"&gt;="&amp;PeriodStart,Bookings!$I$5:$I$404,"&lt;="&amp;PeriodEnd,Bookings!$AM$5:$AM$404,"&lt;&gt;Cancelled"))</f>
        <v>0</v>
      </c>
      <c r="L99" s="29">
        <f>IF(I99="","",SUMIFS(Bookings!$AK$5:$AK$404,Bookings!$H$5:$H$404,I99,Bookings!$I$5:$I$404,"&gt;="&amp;RepFrom,Bookings!$I$5:$I$404,"&lt;="&amp;RepTo,Bookings!$AM$5:$AM$404,"&lt;&gt;Cancelled"))</f>
        <v>0</v>
      </c>
      <c r="M99" s="31">
        <f>IF(I99="","",COUNTIFS(Bookings!$H$5:$H$404,I99,Bookings!$I$5:$I$404,"&gt;="&amp;RepFrom,Bookings!$I$5:$I$404,"&lt;="&amp;RepTo,Bookings!$AM$5:$AM$404,"&lt;&gt;Cancelled"))</f>
        <v>0</v>
      </c>
      <c r="N99" s="29">
        <f>IF(I99="","",M99*IF(Services!$L$99="",0,Services!$L$99))</f>
        <v>0</v>
      </c>
      <c r="O99" s="29">
        <f>IF(I99="","",L99-N99)</f>
        <v>0</v>
      </c>
      <c r="P99" s="28">
        <f>IF(Lists!$AG99="","",Lists!$AG99)</f>
        <v>0</v>
      </c>
      <c r="Q99" s="29">
        <f>IF(P99="","",SUMIFS(Expenses!$F$5:$F$304,Expenses!$C$5:$C$304,P99,Expenses!$B$5:$B$304,"&gt;="&amp;PeriodStart,Expenses!$B$5:$B$304,"&lt;="&amp;PeriodEnd,Expenses!$J$5:$J$304,"&lt;&gt;Personal"))</f>
        <v>0</v>
      </c>
      <c r="R99" s="29">
        <f>IF(P99="","",SUMIFS(Expenses!$F$5:$F$304,Expenses!$C$5:$C$304,P99,Expenses!$B$5:$B$304,"&gt;="&amp;RepFrom,Expenses!$B$5:$B$304,"&lt;="&amp;RepTo,Expenses!$J$5:$J$304,"&lt;&gt;Personal"))</f>
        <v>0</v>
      </c>
      <c r="S99" s="21">
        <f>IF(ROW()-4&gt;12,"",DATE(Dash_Year,ROW()-4,1))</f>
        <v>0</v>
      </c>
      <c r="T99" s="21">
        <f>IF(S99="","",EOMONTH(S99,0))</f>
        <v>0</v>
      </c>
      <c r="U99" s="28">
        <f>IF(S99="","",TEXT(S99,"mmm"))</f>
        <v>0</v>
      </c>
      <c r="V99" s="29">
        <f>IF(S99="","",SUMIFS(Payments!$L$5:$L$304,Payments!$B$5:$B$304,"&gt;="&amp;S99,Payments!$B$5:$B$304,"&lt;="&amp;T99))</f>
        <v>0</v>
      </c>
      <c r="W99" s="29">
        <f>IF(S99="","",SUMIFS(Invoices!$O$5:$O$304,Invoices!$B$5:$B$304,"&gt;="&amp;S99,Invoices!$B$5:$B$304,"&lt;="&amp;T99,Invoices!$T$5:$T$304,"&lt;&gt;Cancelled"))</f>
        <v>0</v>
      </c>
      <c r="X99" s="29">
        <f>IF(S99="","",SUMIFS(Expenses!$F$5:$F$304,Expenses!$B$5:$B$304,"&gt;="&amp;S99,Expenses!$B$5:$B$304,"&lt;="&amp;T99,Expenses!$J$5:$J$304,"&lt;&gt;Personal"))</f>
        <v>0</v>
      </c>
      <c r="Y99" s="29">
        <f>IF(S99="","",V99-X99)</f>
        <v>0</v>
      </c>
      <c r="Z99" s="31">
        <f>IF(S99="","",COUNTIFS(Bookings!$I$5:$I$404,"&gt;="&amp;S99,Bookings!$I$5:$I$404,"&lt;="&amp;T99,Bookings!$AM$5:$AM$404,"&lt;&gt;Cancelled"))</f>
        <v>0</v>
      </c>
      <c r="AA99" s="31">
        <f>IF(S99="","",COUNTIFS(Bookings!$I$5:$I$404,"&gt;="&amp;S99,Bookings!$I$5:$I$404,"&lt;="&amp;T99,Bookings!$AM$5:$AM$404,"Completed"))</f>
        <v>0</v>
      </c>
      <c r="AB99" s="31">
        <f>IF(S99="","",COUNTIFS(Bookings!$I$5:$I$404,"&gt;="&amp;S99,Bookings!$I$5:$I$404,"&lt;="&amp;T99,Bookings!$AM$5:$AM$404,"Cancelled"))</f>
        <v>0</v>
      </c>
      <c r="AC99" s="31">
        <f>IF(S99="","",COUNTIFS('Visit Log'!$C$5:$C$404,"&gt;="&amp;S99,'Visit Log'!$C$5:$C$404,"&lt;="&amp;T99,'Visit Log'!$AE$5:$AE$404,"Completed"))</f>
        <v>0</v>
      </c>
      <c r="AD99" s="31">
        <f>IF(S99="","",COUNTIFS(Clients!$L$5:$L$254,"&gt;="&amp;S99,Clients!$L$5:$L$254,"&lt;="&amp;T99))</f>
        <v>0</v>
      </c>
      <c r="AE99" s="32">
        <f>IF(S99="","",SUMIFS(Mileage!$M$5:$M$304,Mileage!$B$5:$B$304,"&gt;="&amp;S99,Mileage!$B$5:$B$304,"&lt;="&amp;T99,Mileage!$N$5:$N$304,"Business"))</f>
        <v>0</v>
      </c>
      <c r="AF99" s="29">
        <f>IF(S99="","",SUMIFS(Payments!$L$5:$L$304,Payments!$B$5:$B$304,"&gt;="&amp;DATE(Dash_Year-1,ROW()-4,1),Payments!$B$5:$B$304,"&lt;="&amp;EOMONTH(DATE(Dash_Year-1,ROW()-4,1),0)))</f>
        <v>0</v>
      </c>
      <c r="AG99" s="28">
        <f>IF(Staff!$B$99="","",Staff!$B$99)</f>
        <v>0</v>
      </c>
      <c r="AH99" s="31">
        <f>IF(AG99="","",COUNTIFS('Visit Log'!$G$5:$G$404,AG99,'Visit Log'!$C$5:$C$404,"&gt;="&amp;RepFrom,'Visit Log'!$C$5:$C$404,"&lt;="&amp;RepTo,'Visit Log'!$AE$5:$AE$404,"Completed"))</f>
        <v>0</v>
      </c>
      <c r="AI99" s="51">
        <f>IF(AG99="","",ROUND(SUMIFS('Visit Log'!$K$5:$K$404,'Visit Log'!$G$5:$G$404,AG99,'Visit Log'!$C$5:$C$404,"&gt;="&amp;RepFrom,'Visit Log'!$C$5:$C$404,"&lt;="&amp;RepTo,'Visit Log'!$AE$5:$AE$404,"Completed")/60,2))</f>
        <v>0</v>
      </c>
      <c r="AJ99" s="29">
        <f>IF(AG99="","",SUMIFS(Bookings!$AK$5:$AK$404,Bookings!$AL$5:$AL$404,AG99,Bookings!$I$5:$I$404,"&gt;="&amp;RepFrom,Bookings!$I$5:$I$404,"&lt;="&amp;RepTo,Bookings!$AM$5:$AM$404,"&lt;&gt;Cancelled"))</f>
        <v>0</v>
      </c>
      <c r="AK99" s="32">
        <f>IF(AG99="","",SUMIFS(Mileage!$M$5:$M$304,Mileage!$C$5:$C$304,AG99,Mileage!$B$5:$B$304,"&gt;="&amp;RepFrom,Mileage!$B$5:$B$304,"&lt;="&amp;RepTo))</f>
        <v>0</v>
      </c>
      <c r="AL99" s="28">
        <f>IF(Lists!$Q99="","",Lists!$Q99)</f>
        <v>0</v>
      </c>
      <c r="AM99" s="31">
        <f>IF(AL99="","",COUNTIFS(Bookings!$AV$5:$AV$404,AL99,Bookings!$I$5:$I$404,"&gt;="&amp;RepFrom,Bookings!$I$5:$I$404,"&lt;="&amp;RepTo))</f>
        <v>0</v>
      </c>
      <c r="AN99" s="28">
        <f>IF(Lists!$AF99="","",Lists!$AF99)</f>
        <v>0</v>
      </c>
      <c r="AO99" s="29">
        <f>IF(AN99="","",SUMIFS(Payments!$L$5:$L$304,Payments!$F$5:$F$304,AN99,Payments!$B$5:$B$304,"&gt;="&amp;RepFrom,Payments!$B$5:$B$304,"&lt;="&amp;RepTo))</f>
        <v>0</v>
      </c>
      <c r="AP99" s="28">
        <f>IF(Lists!$E99="","",Lists!$E99)</f>
        <v>0</v>
      </c>
      <c r="AQ99" s="31">
        <f>IF(AP99="","",COUNTIFS(Clients!$K$5:$K$254,AP99))</f>
        <v>0</v>
      </c>
      <c r="AR99" s="29">
        <f>IF(AP99="","",SUMIFS(Clients!$AE$5:$AE$254,Clients!$K$5:$K$254,AP99))</f>
        <v>0</v>
      </c>
    </row>
    <row r="100" spans="1:44">
      <c r="A100" s="28">
        <f>IF(Clients!$B$100="","",Clients!$B$100)</f>
        <v>0</v>
      </c>
      <c r="B100" s="29">
        <f>IF(A100="","",SUMIFS(Payments!$L$5:$L$304,Payments!$C$5:$C$304,A100,Payments!$B$5:$B$304,"&gt;="&amp;PeriodStart,Payments!$B$5:$B$304,"&lt;="&amp;PeriodEnd))</f>
        <v>0</v>
      </c>
      <c r="C100" s="51">
        <f>IF(A100="","",IF(B100&lt;=0,"",B100+ROW()/1000000))</f>
        <v>0</v>
      </c>
      <c r="D100" s="29">
        <f>IF(A100="","",SUMIFS(Payments!$L$5:$L$304,Payments!$C$5:$C$304,A100,Payments!$B$5:$B$304,"&gt;="&amp;RepFrom,Payments!$B$5:$B$304,"&lt;="&amp;RepTo))</f>
        <v>0</v>
      </c>
      <c r="E100" s="51">
        <f>IF(A100="","",IF(D100&lt;=0,"",D100+ROW()/1000000))</f>
        <v>0</v>
      </c>
      <c r="F100" s="29">
        <f>IF(A100="","",SUMIFS(Invoices!$S$5:$S$304,Invoices!$D$5:$D$304,A100,Invoices!$T$5:$T$304,"&lt;&gt;Cancelled"))</f>
        <v>0</v>
      </c>
      <c r="G100" s="51">
        <f>IF(A100="","",IF(F100&lt;=0.004,"",F100+ROW()/1000000))</f>
        <v>0</v>
      </c>
      <c r="H100" s="31">
        <f>IF(A100="","",COUNTIFS(Bookings!$C$5:$C$404,A100,Bookings!$I$5:$I$404,"&gt;="&amp;RepFrom,Bookings!$I$5:$I$404,"&lt;="&amp;RepTo,Bookings!$AM$5:$AM$404,"&lt;&gt;Cancelled"))</f>
        <v>0</v>
      </c>
      <c r="I100" s="28">
        <f>IF(Services!$B$100="","",Services!$B$100)</f>
        <v>0</v>
      </c>
      <c r="J100" s="29">
        <f>IF(I100="","",SUMIFS(Bookings!$AK$5:$AK$404,Bookings!$H$5:$H$404,I100,Bookings!$I$5:$I$404,"&gt;="&amp;PeriodStart,Bookings!$I$5:$I$404,"&lt;="&amp;PeriodEnd,Bookings!$AM$5:$AM$404,"&lt;&gt;Cancelled"))</f>
        <v>0</v>
      </c>
      <c r="K100" s="31">
        <f>IF(I100="","",COUNTIFS(Bookings!$H$5:$H$404,I100,Bookings!$I$5:$I$404,"&gt;="&amp;PeriodStart,Bookings!$I$5:$I$404,"&lt;="&amp;PeriodEnd,Bookings!$AM$5:$AM$404,"&lt;&gt;Cancelled"))</f>
        <v>0</v>
      </c>
      <c r="L100" s="29">
        <f>IF(I100="","",SUMIFS(Bookings!$AK$5:$AK$404,Bookings!$H$5:$H$404,I100,Bookings!$I$5:$I$404,"&gt;="&amp;RepFrom,Bookings!$I$5:$I$404,"&lt;="&amp;RepTo,Bookings!$AM$5:$AM$404,"&lt;&gt;Cancelled"))</f>
        <v>0</v>
      </c>
      <c r="M100" s="31">
        <f>IF(I100="","",COUNTIFS(Bookings!$H$5:$H$404,I100,Bookings!$I$5:$I$404,"&gt;="&amp;RepFrom,Bookings!$I$5:$I$404,"&lt;="&amp;RepTo,Bookings!$AM$5:$AM$404,"&lt;&gt;Cancelled"))</f>
        <v>0</v>
      </c>
      <c r="N100" s="29">
        <f>IF(I100="","",M100*IF(Services!$L$100="",0,Services!$L$100))</f>
        <v>0</v>
      </c>
      <c r="O100" s="29">
        <f>IF(I100="","",L100-N100)</f>
        <v>0</v>
      </c>
      <c r="P100" s="28">
        <f>IF(Lists!$AG100="","",Lists!$AG100)</f>
        <v>0</v>
      </c>
      <c r="Q100" s="29">
        <f>IF(P100="","",SUMIFS(Expenses!$F$5:$F$304,Expenses!$C$5:$C$304,P100,Expenses!$B$5:$B$304,"&gt;="&amp;PeriodStart,Expenses!$B$5:$B$304,"&lt;="&amp;PeriodEnd,Expenses!$J$5:$J$304,"&lt;&gt;Personal"))</f>
        <v>0</v>
      </c>
      <c r="R100" s="29">
        <f>IF(P100="","",SUMIFS(Expenses!$F$5:$F$304,Expenses!$C$5:$C$304,P100,Expenses!$B$5:$B$304,"&gt;="&amp;RepFrom,Expenses!$B$5:$B$304,"&lt;="&amp;RepTo,Expenses!$J$5:$J$304,"&lt;&gt;Personal"))</f>
        <v>0</v>
      </c>
      <c r="S100" s="21">
        <f>IF(ROW()-4&gt;12,"",DATE(Dash_Year,ROW()-4,1))</f>
        <v>0</v>
      </c>
      <c r="T100" s="21">
        <f>IF(S100="","",EOMONTH(S100,0))</f>
        <v>0</v>
      </c>
      <c r="U100" s="28">
        <f>IF(S100="","",TEXT(S100,"mmm"))</f>
        <v>0</v>
      </c>
      <c r="V100" s="29">
        <f>IF(S100="","",SUMIFS(Payments!$L$5:$L$304,Payments!$B$5:$B$304,"&gt;="&amp;S100,Payments!$B$5:$B$304,"&lt;="&amp;T100))</f>
        <v>0</v>
      </c>
      <c r="W100" s="29">
        <f>IF(S100="","",SUMIFS(Invoices!$O$5:$O$304,Invoices!$B$5:$B$304,"&gt;="&amp;S100,Invoices!$B$5:$B$304,"&lt;="&amp;T100,Invoices!$T$5:$T$304,"&lt;&gt;Cancelled"))</f>
        <v>0</v>
      </c>
      <c r="X100" s="29">
        <f>IF(S100="","",SUMIFS(Expenses!$F$5:$F$304,Expenses!$B$5:$B$304,"&gt;="&amp;S100,Expenses!$B$5:$B$304,"&lt;="&amp;T100,Expenses!$J$5:$J$304,"&lt;&gt;Personal"))</f>
        <v>0</v>
      </c>
      <c r="Y100" s="29">
        <f>IF(S100="","",V100-X100)</f>
        <v>0</v>
      </c>
      <c r="Z100" s="31">
        <f>IF(S100="","",COUNTIFS(Bookings!$I$5:$I$404,"&gt;="&amp;S100,Bookings!$I$5:$I$404,"&lt;="&amp;T100,Bookings!$AM$5:$AM$404,"&lt;&gt;Cancelled"))</f>
        <v>0</v>
      </c>
      <c r="AA100" s="31">
        <f>IF(S100="","",COUNTIFS(Bookings!$I$5:$I$404,"&gt;="&amp;S100,Bookings!$I$5:$I$404,"&lt;="&amp;T100,Bookings!$AM$5:$AM$404,"Completed"))</f>
        <v>0</v>
      </c>
      <c r="AB100" s="31">
        <f>IF(S100="","",COUNTIFS(Bookings!$I$5:$I$404,"&gt;="&amp;S100,Bookings!$I$5:$I$404,"&lt;="&amp;T100,Bookings!$AM$5:$AM$404,"Cancelled"))</f>
        <v>0</v>
      </c>
      <c r="AC100" s="31">
        <f>IF(S100="","",COUNTIFS('Visit Log'!$C$5:$C$404,"&gt;="&amp;S100,'Visit Log'!$C$5:$C$404,"&lt;="&amp;T100,'Visit Log'!$AE$5:$AE$404,"Completed"))</f>
        <v>0</v>
      </c>
      <c r="AD100" s="31">
        <f>IF(S100="","",COUNTIFS(Clients!$L$5:$L$254,"&gt;="&amp;S100,Clients!$L$5:$L$254,"&lt;="&amp;T100))</f>
        <v>0</v>
      </c>
      <c r="AE100" s="32">
        <f>IF(S100="","",SUMIFS(Mileage!$M$5:$M$304,Mileage!$B$5:$B$304,"&gt;="&amp;S100,Mileage!$B$5:$B$304,"&lt;="&amp;T100,Mileage!$N$5:$N$304,"Business"))</f>
        <v>0</v>
      </c>
      <c r="AF100" s="29">
        <f>IF(S100="","",SUMIFS(Payments!$L$5:$L$304,Payments!$B$5:$B$304,"&gt;="&amp;DATE(Dash_Year-1,ROW()-4,1),Payments!$B$5:$B$304,"&lt;="&amp;EOMONTH(DATE(Dash_Year-1,ROW()-4,1),0)))</f>
        <v>0</v>
      </c>
      <c r="AG100" s="28">
        <f>IF(Staff!$B$100="","",Staff!$B$100)</f>
        <v>0</v>
      </c>
      <c r="AH100" s="31">
        <f>IF(AG100="","",COUNTIFS('Visit Log'!$G$5:$G$404,AG100,'Visit Log'!$C$5:$C$404,"&gt;="&amp;RepFrom,'Visit Log'!$C$5:$C$404,"&lt;="&amp;RepTo,'Visit Log'!$AE$5:$AE$404,"Completed"))</f>
        <v>0</v>
      </c>
      <c r="AI100" s="51">
        <f>IF(AG100="","",ROUND(SUMIFS('Visit Log'!$K$5:$K$404,'Visit Log'!$G$5:$G$404,AG100,'Visit Log'!$C$5:$C$404,"&gt;="&amp;RepFrom,'Visit Log'!$C$5:$C$404,"&lt;="&amp;RepTo,'Visit Log'!$AE$5:$AE$404,"Completed")/60,2))</f>
        <v>0</v>
      </c>
      <c r="AJ100" s="29">
        <f>IF(AG100="","",SUMIFS(Bookings!$AK$5:$AK$404,Bookings!$AL$5:$AL$404,AG100,Bookings!$I$5:$I$404,"&gt;="&amp;RepFrom,Bookings!$I$5:$I$404,"&lt;="&amp;RepTo,Bookings!$AM$5:$AM$404,"&lt;&gt;Cancelled"))</f>
        <v>0</v>
      </c>
      <c r="AK100" s="32">
        <f>IF(AG100="","",SUMIFS(Mileage!$M$5:$M$304,Mileage!$C$5:$C$304,AG100,Mileage!$B$5:$B$304,"&gt;="&amp;RepFrom,Mileage!$B$5:$B$304,"&lt;="&amp;RepTo))</f>
        <v>0</v>
      </c>
      <c r="AL100" s="28">
        <f>IF(Lists!$Q100="","",Lists!$Q100)</f>
        <v>0</v>
      </c>
      <c r="AM100" s="31">
        <f>IF(AL100="","",COUNTIFS(Bookings!$AV$5:$AV$404,AL100,Bookings!$I$5:$I$404,"&gt;="&amp;RepFrom,Bookings!$I$5:$I$404,"&lt;="&amp;RepTo))</f>
        <v>0</v>
      </c>
      <c r="AN100" s="28">
        <f>IF(Lists!$AF100="","",Lists!$AF100)</f>
        <v>0</v>
      </c>
      <c r="AO100" s="29">
        <f>IF(AN100="","",SUMIFS(Payments!$L$5:$L$304,Payments!$F$5:$F$304,AN100,Payments!$B$5:$B$304,"&gt;="&amp;RepFrom,Payments!$B$5:$B$304,"&lt;="&amp;RepTo))</f>
        <v>0</v>
      </c>
      <c r="AP100" s="28">
        <f>IF(Lists!$E100="","",Lists!$E100)</f>
        <v>0</v>
      </c>
      <c r="AQ100" s="31">
        <f>IF(AP100="","",COUNTIFS(Clients!$K$5:$K$254,AP100))</f>
        <v>0</v>
      </c>
      <c r="AR100" s="29">
        <f>IF(AP100="","",SUMIFS(Clients!$AE$5:$AE$254,Clients!$K$5:$K$254,AP100))</f>
        <v>0</v>
      </c>
    </row>
    <row r="101" spans="1:44">
      <c r="A101" s="28">
        <f>IF(Clients!$B$101="","",Clients!$B$101)</f>
        <v>0</v>
      </c>
      <c r="B101" s="29">
        <f>IF(A101="","",SUMIFS(Payments!$L$5:$L$304,Payments!$C$5:$C$304,A101,Payments!$B$5:$B$304,"&gt;="&amp;PeriodStart,Payments!$B$5:$B$304,"&lt;="&amp;PeriodEnd))</f>
        <v>0</v>
      </c>
      <c r="C101" s="51">
        <f>IF(A101="","",IF(B101&lt;=0,"",B101+ROW()/1000000))</f>
        <v>0</v>
      </c>
      <c r="D101" s="29">
        <f>IF(A101="","",SUMIFS(Payments!$L$5:$L$304,Payments!$C$5:$C$304,A101,Payments!$B$5:$B$304,"&gt;="&amp;RepFrom,Payments!$B$5:$B$304,"&lt;="&amp;RepTo))</f>
        <v>0</v>
      </c>
      <c r="E101" s="51">
        <f>IF(A101="","",IF(D101&lt;=0,"",D101+ROW()/1000000))</f>
        <v>0</v>
      </c>
      <c r="F101" s="29">
        <f>IF(A101="","",SUMIFS(Invoices!$S$5:$S$304,Invoices!$D$5:$D$304,A101,Invoices!$T$5:$T$304,"&lt;&gt;Cancelled"))</f>
        <v>0</v>
      </c>
      <c r="G101" s="51">
        <f>IF(A101="","",IF(F101&lt;=0.004,"",F101+ROW()/1000000))</f>
        <v>0</v>
      </c>
      <c r="H101" s="31">
        <f>IF(A101="","",COUNTIFS(Bookings!$C$5:$C$404,A101,Bookings!$I$5:$I$404,"&gt;="&amp;RepFrom,Bookings!$I$5:$I$404,"&lt;="&amp;RepTo,Bookings!$AM$5:$AM$404,"&lt;&gt;Cancelled"))</f>
        <v>0</v>
      </c>
      <c r="I101" s="28">
        <f>IF(Services!$B$101="","",Services!$B$101)</f>
        <v>0</v>
      </c>
      <c r="J101" s="29">
        <f>IF(I101="","",SUMIFS(Bookings!$AK$5:$AK$404,Bookings!$H$5:$H$404,I101,Bookings!$I$5:$I$404,"&gt;="&amp;PeriodStart,Bookings!$I$5:$I$404,"&lt;="&amp;PeriodEnd,Bookings!$AM$5:$AM$404,"&lt;&gt;Cancelled"))</f>
        <v>0</v>
      </c>
      <c r="K101" s="31">
        <f>IF(I101="","",COUNTIFS(Bookings!$H$5:$H$404,I101,Bookings!$I$5:$I$404,"&gt;="&amp;PeriodStart,Bookings!$I$5:$I$404,"&lt;="&amp;PeriodEnd,Bookings!$AM$5:$AM$404,"&lt;&gt;Cancelled"))</f>
        <v>0</v>
      </c>
      <c r="L101" s="29">
        <f>IF(I101="","",SUMIFS(Bookings!$AK$5:$AK$404,Bookings!$H$5:$H$404,I101,Bookings!$I$5:$I$404,"&gt;="&amp;RepFrom,Bookings!$I$5:$I$404,"&lt;="&amp;RepTo,Bookings!$AM$5:$AM$404,"&lt;&gt;Cancelled"))</f>
        <v>0</v>
      </c>
      <c r="M101" s="31">
        <f>IF(I101="","",COUNTIFS(Bookings!$H$5:$H$404,I101,Bookings!$I$5:$I$404,"&gt;="&amp;RepFrom,Bookings!$I$5:$I$404,"&lt;="&amp;RepTo,Bookings!$AM$5:$AM$404,"&lt;&gt;Cancelled"))</f>
        <v>0</v>
      </c>
      <c r="N101" s="29">
        <f>IF(I101="","",M101*IF(Services!$L$101="",0,Services!$L$101))</f>
        <v>0</v>
      </c>
      <c r="O101" s="29">
        <f>IF(I101="","",L101-N101)</f>
        <v>0</v>
      </c>
      <c r="P101" s="28">
        <f>IF(Lists!$AG101="","",Lists!$AG101)</f>
        <v>0</v>
      </c>
      <c r="Q101" s="29">
        <f>IF(P101="","",SUMIFS(Expenses!$F$5:$F$304,Expenses!$C$5:$C$304,P101,Expenses!$B$5:$B$304,"&gt;="&amp;PeriodStart,Expenses!$B$5:$B$304,"&lt;="&amp;PeriodEnd,Expenses!$J$5:$J$304,"&lt;&gt;Personal"))</f>
        <v>0</v>
      </c>
      <c r="R101" s="29">
        <f>IF(P101="","",SUMIFS(Expenses!$F$5:$F$304,Expenses!$C$5:$C$304,P101,Expenses!$B$5:$B$304,"&gt;="&amp;RepFrom,Expenses!$B$5:$B$304,"&lt;="&amp;RepTo,Expenses!$J$5:$J$304,"&lt;&gt;Personal"))</f>
        <v>0</v>
      </c>
      <c r="S101" s="21">
        <f>IF(ROW()-4&gt;12,"",DATE(Dash_Year,ROW()-4,1))</f>
        <v>0</v>
      </c>
      <c r="T101" s="21">
        <f>IF(S101="","",EOMONTH(S101,0))</f>
        <v>0</v>
      </c>
      <c r="U101" s="28">
        <f>IF(S101="","",TEXT(S101,"mmm"))</f>
        <v>0</v>
      </c>
      <c r="V101" s="29">
        <f>IF(S101="","",SUMIFS(Payments!$L$5:$L$304,Payments!$B$5:$B$304,"&gt;="&amp;S101,Payments!$B$5:$B$304,"&lt;="&amp;T101))</f>
        <v>0</v>
      </c>
      <c r="W101" s="29">
        <f>IF(S101="","",SUMIFS(Invoices!$O$5:$O$304,Invoices!$B$5:$B$304,"&gt;="&amp;S101,Invoices!$B$5:$B$304,"&lt;="&amp;T101,Invoices!$T$5:$T$304,"&lt;&gt;Cancelled"))</f>
        <v>0</v>
      </c>
      <c r="X101" s="29">
        <f>IF(S101="","",SUMIFS(Expenses!$F$5:$F$304,Expenses!$B$5:$B$304,"&gt;="&amp;S101,Expenses!$B$5:$B$304,"&lt;="&amp;T101,Expenses!$J$5:$J$304,"&lt;&gt;Personal"))</f>
        <v>0</v>
      </c>
      <c r="Y101" s="29">
        <f>IF(S101="","",V101-X101)</f>
        <v>0</v>
      </c>
      <c r="Z101" s="31">
        <f>IF(S101="","",COUNTIFS(Bookings!$I$5:$I$404,"&gt;="&amp;S101,Bookings!$I$5:$I$404,"&lt;="&amp;T101,Bookings!$AM$5:$AM$404,"&lt;&gt;Cancelled"))</f>
        <v>0</v>
      </c>
      <c r="AA101" s="31">
        <f>IF(S101="","",COUNTIFS(Bookings!$I$5:$I$404,"&gt;="&amp;S101,Bookings!$I$5:$I$404,"&lt;="&amp;T101,Bookings!$AM$5:$AM$404,"Completed"))</f>
        <v>0</v>
      </c>
      <c r="AB101" s="31">
        <f>IF(S101="","",COUNTIFS(Bookings!$I$5:$I$404,"&gt;="&amp;S101,Bookings!$I$5:$I$404,"&lt;="&amp;T101,Bookings!$AM$5:$AM$404,"Cancelled"))</f>
        <v>0</v>
      </c>
      <c r="AC101" s="31">
        <f>IF(S101="","",COUNTIFS('Visit Log'!$C$5:$C$404,"&gt;="&amp;S101,'Visit Log'!$C$5:$C$404,"&lt;="&amp;T101,'Visit Log'!$AE$5:$AE$404,"Completed"))</f>
        <v>0</v>
      </c>
      <c r="AD101" s="31">
        <f>IF(S101="","",COUNTIFS(Clients!$L$5:$L$254,"&gt;="&amp;S101,Clients!$L$5:$L$254,"&lt;="&amp;T101))</f>
        <v>0</v>
      </c>
      <c r="AE101" s="32">
        <f>IF(S101="","",SUMIFS(Mileage!$M$5:$M$304,Mileage!$B$5:$B$304,"&gt;="&amp;S101,Mileage!$B$5:$B$304,"&lt;="&amp;T101,Mileage!$N$5:$N$304,"Business"))</f>
        <v>0</v>
      </c>
      <c r="AF101" s="29">
        <f>IF(S101="","",SUMIFS(Payments!$L$5:$L$304,Payments!$B$5:$B$304,"&gt;="&amp;DATE(Dash_Year-1,ROW()-4,1),Payments!$B$5:$B$304,"&lt;="&amp;EOMONTH(DATE(Dash_Year-1,ROW()-4,1),0)))</f>
        <v>0</v>
      </c>
      <c r="AG101" s="28">
        <f>IF(Staff!$B$101="","",Staff!$B$101)</f>
        <v>0</v>
      </c>
      <c r="AH101" s="31">
        <f>IF(AG101="","",COUNTIFS('Visit Log'!$G$5:$G$404,AG101,'Visit Log'!$C$5:$C$404,"&gt;="&amp;RepFrom,'Visit Log'!$C$5:$C$404,"&lt;="&amp;RepTo,'Visit Log'!$AE$5:$AE$404,"Completed"))</f>
        <v>0</v>
      </c>
      <c r="AI101" s="51">
        <f>IF(AG101="","",ROUND(SUMIFS('Visit Log'!$K$5:$K$404,'Visit Log'!$G$5:$G$404,AG101,'Visit Log'!$C$5:$C$404,"&gt;="&amp;RepFrom,'Visit Log'!$C$5:$C$404,"&lt;="&amp;RepTo,'Visit Log'!$AE$5:$AE$404,"Completed")/60,2))</f>
        <v>0</v>
      </c>
      <c r="AJ101" s="29">
        <f>IF(AG101="","",SUMIFS(Bookings!$AK$5:$AK$404,Bookings!$AL$5:$AL$404,AG101,Bookings!$I$5:$I$404,"&gt;="&amp;RepFrom,Bookings!$I$5:$I$404,"&lt;="&amp;RepTo,Bookings!$AM$5:$AM$404,"&lt;&gt;Cancelled"))</f>
        <v>0</v>
      </c>
      <c r="AK101" s="32">
        <f>IF(AG101="","",SUMIFS(Mileage!$M$5:$M$304,Mileage!$C$5:$C$304,AG101,Mileage!$B$5:$B$304,"&gt;="&amp;RepFrom,Mileage!$B$5:$B$304,"&lt;="&amp;RepTo))</f>
        <v>0</v>
      </c>
      <c r="AL101" s="28">
        <f>IF(Lists!$Q101="","",Lists!$Q101)</f>
        <v>0</v>
      </c>
      <c r="AM101" s="31">
        <f>IF(AL101="","",COUNTIFS(Bookings!$AV$5:$AV$404,AL101,Bookings!$I$5:$I$404,"&gt;="&amp;RepFrom,Bookings!$I$5:$I$404,"&lt;="&amp;RepTo))</f>
        <v>0</v>
      </c>
      <c r="AN101" s="28">
        <f>IF(Lists!$AF101="","",Lists!$AF101)</f>
        <v>0</v>
      </c>
      <c r="AO101" s="29">
        <f>IF(AN101="","",SUMIFS(Payments!$L$5:$L$304,Payments!$F$5:$F$304,AN101,Payments!$B$5:$B$304,"&gt;="&amp;RepFrom,Payments!$B$5:$B$304,"&lt;="&amp;RepTo))</f>
        <v>0</v>
      </c>
      <c r="AP101" s="28">
        <f>IF(Lists!$E101="","",Lists!$E101)</f>
        <v>0</v>
      </c>
      <c r="AQ101" s="31">
        <f>IF(AP101="","",COUNTIFS(Clients!$K$5:$K$254,AP101))</f>
        <v>0</v>
      </c>
      <c r="AR101" s="29">
        <f>IF(AP101="","",SUMIFS(Clients!$AE$5:$AE$254,Clients!$K$5:$K$254,AP101))</f>
        <v>0</v>
      </c>
    </row>
    <row r="102" spans="1:44">
      <c r="A102" s="28">
        <f>IF(Clients!$B$102="","",Clients!$B$102)</f>
        <v>0</v>
      </c>
      <c r="B102" s="29">
        <f>IF(A102="","",SUMIFS(Payments!$L$5:$L$304,Payments!$C$5:$C$304,A102,Payments!$B$5:$B$304,"&gt;="&amp;PeriodStart,Payments!$B$5:$B$304,"&lt;="&amp;PeriodEnd))</f>
        <v>0</v>
      </c>
      <c r="C102" s="51">
        <f>IF(A102="","",IF(B102&lt;=0,"",B102+ROW()/1000000))</f>
        <v>0</v>
      </c>
      <c r="D102" s="29">
        <f>IF(A102="","",SUMIFS(Payments!$L$5:$L$304,Payments!$C$5:$C$304,A102,Payments!$B$5:$B$304,"&gt;="&amp;RepFrom,Payments!$B$5:$B$304,"&lt;="&amp;RepTo))</f>
        <v>0</v>
      </c>
      <c r="E102" s="51">
        <f>IF(A102="","",IF(D102&lt;=0,"",D102+ROW()/1000000))</f>
        <v>0</v>
      </c>
      <c r="F102" s="29">
        <f>IF(A102="","",SUMIFS(Invoices!$S$5:$S$304,Invoices!$D$5:$D$304,A102,Invoices!$T$5:$T$304,"&lt;&gt;Cancelled"))</f>
        <v>0</v>
      </c>
      <c r="G102" s="51">
        <f>IF(A102="","",IF(F102&lt;=0.004,"",F102+ROW()/1000000))</f>
        <v>0</v>
      </c>
      <c r="H102" s="31">
        <f>IF(A102="","",COUNTIFS(Bookings!$C$5:$C$404,A102,Bookings!$I$5:$I$404,"&gt;="&amp;RepFrom,Bookings!$I$5:$I$404,"&lt;="&amp;RepTo,Bookings!$AM$5:$AM$404,"&lt;&gt;Cancelled"))</f>
        <v>0</v>
      </c>
      <c r="I102" s="28">
        <f>IF(Services!$B$102="","",Services!$B$102)</f>
        <v>0</v>
      </c>
      <c r="J102" s="29">
        <f>IF(I102="","",SUMIFS(Bookings!$AK$5:$AK$404,Bookings!$H$5:$H$404,I102,Bookings!$I$5:$I$404,"&gt;="&amp;PeriodStart,Bookings!$I$5:$I$404,"&lt;="&amp;PeriodEnd,Bookings!$AM$5:$AM$404,"&lt;&gt;Cancelled"))</f>
        <v>0</v>
      </c>
      <c r="K102" s="31">
        <f>IF(I102="","",COUNTIFS(Bookings!$H$5:$H$404,I102,Bookings!$I$5:$I$404,"&gt;="&amp;PeriodStart,Bookings!$I$5:$I$404,"&lt;="&amp;PeriodEnd,Bookings!$AM$5:$AM$404,"&lt;&gt;Cancelled"))</f>
        <v>0</v>
      </c>
      <c r="L102" s="29">
        <f>IF(I102="","",SUMIFS(Bookings!$AK$5:$AK$404,Bookings!$H$5:$H$404,I102,Bookings!$I$5:$I$404,"&gt;="&amp;RepFrom,Bookings!$I$5:$I$404,"&lt;="&amp;RepTo,Bookings!$AM$5:$AM$404,"&lt;&gt;Cancelled"))</f>
        <v>0</v>
      </c>
      <c r="M102" s="31">
        <f>IF(I102="","",COUNTIFS(Bookings!$H$5:$H$404,I102,Bookings!$I$5:$I$404,"&gt;="&amp;RepFrom,Bookings!$I$5:$I$404,"&lt;="&amp;RepTo,Bookings!$AM$5:$AM$404,"&lt;&gt;Cancelled"))</f>
        <v>0</v>
      </c>
      <c r="N102" s="29">
        <f>IF(I102="","",M102*IF(Services!$L$102="",0,Services!$L$102))</f>
        <v>0</v>
      </c>
      <c r="O102" s="29">
        <f>IF(I102="","",L102-N102)</f>
        <v>0</v>
      </c>
      <c r="P102" s="28">
        <f>IF(Lists!$AG102="","",Lists!$AG102)</f>
        <v>0</v>
      </c>
      <c r="Q102" s="29">
        <f>IF(P102="","",SUMIFS(Expenses!$F$5:$F$304,Expenses!$C$5:$C$304,P102,Expenses!$B$5:$B$304,"&gt;="&amp;PeriodStart,Expenses!$B$5:$B$304,"&lt;="&amp;PeriodEnd,Expenses!$J$5:$J$304,"&lt;&gt;Personal"))</f>
        <v>0</v>
      </c>
      <c r="R102" s="29">
        <f>IF(P102="","",SUMIFS(Expenses!$F$5:$F$304,Expenses!$C$5:$C$304,P102,Expenses!$B$5:$B$304,"&gt;="&amp;RepFrom,Expenses!$B$5:$B$304,"&lt;="&amp;RepTo,Expenses!$J$5:$J$304,"&lt;&gt;Personal"))</f>
        <v>0</v>
      </c>
      <c r="S102" s="21">
        <f>IF(ROW()-4&gt;12,"",DATE(Dash_Year,ROW()-4,1))</f>
        <v>0</v>
      </c>
      <c r="T102" s="21">
        <f>IF(S102="","",EOMONTH(S102,0))</f>
        <v>0</v>
      </c>
      <c r="U102" s="28">
        <f>IF(S102="","",TEXT(S102,"mmm"))</f>
        <v>0</v>
      </c>
      <c r="V102" s="29">
        <f>IF(S102="","",SUMIFS(Payments!$L$5:$L$304,Payments!$B$5:$B$304,"&gt;="&amp;S102,Payments!$B$5:$B$304,"&lt;="&amp;T102))</f>
        <v>0</v>
      </c>
      <c r="W102" s="29">
        <f>IF(S102="","",SUMIFS(Invoices!$O$5:$O$304,Invoices!$B$5:$B$304,"&gt;="&amp;S102,Invoices!$B$5:$B$304,"&lt;="&amp;T102,Invoices!$T$5:$T$304,"&lt;&gt;Cancelled"))</f>
        <v>0</v>
      </c>
      <c r="X102" s="29">
        <f>IF(S102="","",SUMIFS(Expenses!$F$5:$F$304,Expenses!$B$5:$B$304,"&gt;="&amp;S102,Expenses!$B$5:$B$304,"&lt;="&amp;T102,Expenses!$J$5:$J$304,"&lt;&gt;Personal"))</f>
        <v>0</v>
      </c>
      <c r="Y102" s="29">
        <f>IF(S102="","",V102-X102)</f>
        <v>0</v>
      </c>
      <c r="Z102" s="31">
        <f>IF(S102="","",COUNTIFS(Bookings!$I$5:$I$404,"&gt;="&amp;S102,Bookings!$I$5:$I$404,"&lt;="&amp;T102,Bookings!$AM$5:$AM$404,"&lt;&gt;Cancelled"))</f>
        <v>0</v>
      </c>
      <c r="AA102" s="31">
        <f>IF(S102="","",COUNTIFS(Bookings!$I$5:$I$404,"&gt;="&amp;S102,Bookings!$I$5:$I$404,"&lt;="&amp;T102,Bookings!$AM$5:$AM$404,"Completed"))</f>
        <v>0</v>
      </c>
      <c r="AB102" s="31">
        <f>IF(S102="","",COUNTIFS(Bookings!$I$5:$I$404,"&gt;="&amp;S102,Bookings!$I$5:$I$404,"&lt;="&amp;T102,Bookings!$AM$5:$AM$404,"Cancelled"))</f>
        <v>0</v>
      </c>
      <c r="AC102" s="31">
        <f>IF(S102="","",COUNTIFS('Visit Log'!$C$5:$C$404,"&gt;="&amp;S102,'Visit Log'!$C$5:$C$404,"&lt;="&amp;T102,'Visit Log'!$AE$5:$AE$404,"Completed"))</f>
        <v>0</v>
      </c>
      <c r="AD102" s="31">
        <f>IF(S102="","",COUNTIFS(Clients!$L$5:$L$254,"&gt;="&amp;S102,Clients!$L$5:$L$254,"&lt;="&amp;T102))</f>
        <v>0</v>
      </c>
      <c r="AE102" s="32">
        <f>IF(S102="","",SUMIFS(Mileage!$M$5:$M$304,Mileage!$B$5:$B$304,"&gt;="&amp;S102,Mileage!$B$5:$B$304,"&lt;="&amp;T102,Mileage!$N$5:$N$304,"Business"))</f>
        <v>0</v>
      </c>
      <c r="AF102" s="29">
        <f>IF(S102="","",SUMIFS(Payments!$L$5:$L$304,Payments!$B$5:$B$304,"&gt;="&amp;DATE(Dash_Year-1,ROW()-4,1),Payments!$B$5:$B$304,"&lt;="&amp;EOMONTH(DATE(Dash_Year-1,ROW()-4,1),0)))</f>
        <v>0</v>
      </c>
      <c r="AG102" s="28">
        <f>IF(Staff!$B$102="","",Staff!$B$102)</f>
        <v>0</v>
      </c>
      <c r="AH102" s="31">
        <f>IF(AG102="","",COUNTIFS('Visit Log'!$G$5:$G$404,AG102,'Visit Log'!$C$5:$C$404,"&gt;="&amp;RepFrom,'Visit Log'!$C$5:$C$404,"&lt;="&amp;RepTo,'Visit Log'!$AE$5:$AE$404,"Completed"))</f>
        <v>0</v>
      </c>
      <c r="AI102" s="51">
        <f>IF(AG102="","",ROUND(SUMIFS('Visit Log'!$K$5:$K$404,'Visit Log'!$G$5:$G$404,AG102,'Visit Log'!$C$5:$C$404,"&gt;="&amp;RepFrom,'Visit Log'!$C$5:$C$404,"&lt;="&amp;RepTo,'Visit Log'!$AE$5:$AE$404,"Completed")/60,2))</f>
        <v>0</v>
      </c>
      <c r="AJ102" s="29">
        <f>IF(AG102="","",SUMIFS(Bookings!$AK$5:$AK$404,Bookings!$AL$5:$AL$404,AG102,Bookings!$I$5:$I$404,"&gt;="&amp;RepFrom,Bookings!$I$5:$I$404,"&lt;="&amp;RepTo,Bookings!$AM$5:$AM$404,"&lt;&gt;Cancelled"))</f>
        <v>0</v>
      </c>
      <c r="AK102" s="32">
        <f>IF(AG102="","",SUMIFS(Mileage!$M$5:$M$304,Mileage!$C$5:$C$304,AG102,Mileage!$B$5:$B$304,"&gt;="&amp;RepFrom,Mileage!$B$5:$B$304,"&lt;="&amp;RepTo))</f>
        <v>0</v>
      </c>
      <c r="AL102" s="28">
        <f>IF(Lists!$Q102="","",Lists!$Q102)</f>
        <v>0</v>
      </c>
      <c r="AM102" s="31">
        <f>IF(AL102="","",COUNTIFS(Bookings!$AV$5:$AV$404,AL102,Bookings!$I$5:$I$404,"&gt;="&amp;RepFrom,Bookings!$I$5:$I$404,"&lt;="&amp;RepTo))</f>
        <v>0</v>
      </c>
      <c r="AN102" s="28">
        <f>IF(Lists!$AF102="","",Lists!$AF102)</f>
        <v>0</v>
      </c>
      <c r="AO102" s="29">
        <f>IF(AN102="","",SUMIFS(Payments!$L$5:$L$304,Payments!$F$5:$F$304,AN102,Payments!$B$5:$B$304,"&gt;="&amp;RepFrom,Payments!$B$5:$B$304,"&lt;="&amp;RepTo))</f>
        <v>0</v>
      </c>
      <c r="AP102" s="28">
        <f>IF(Lists!$E102="","",Lists!$E102)</f>
        <v>0</v>
      </c>
      <c r="AQ102" s="31">
        <f>IF(AP102="","",COUNTIFS(Clients!$K$5:$K$254,AP102))</f>
        <v>0</v>
      </c>
      <c r="AR102" s="29">
        <f>IF(AP102="","",SUMIFS(Clients!$AE$5:$AE$254,Clients!$K$5:$K$254,AP102))</f>
        <v>0</v>
      </c>
    </row>
    <row r="103" spans="1:44">
      <c r="A103" s="28">
        <f>IF(Clients!$B$103="","",Clients!$B$103)</f>
        <v>0</v>
      </c>
      <c r="B103" s="29">
        <f>IF(A103="","",SUMIFS(Payments!$L$5:$L$304,Payments!$C$5:$C$304,A103,Payments!$B$5:$B$304,"&gt;="&amp;PeriodStart,Payments!$B$5:$B$304,"&lt;="&amp;PeriodEnd))</f>
        <v>0</v>
      </c>
      <c r="C103" s="51">
        <f>IF(A103="","",IF(B103&lt;=0,"",B103+ROW()/1000000))</f>
        <v>0</v>
      </c>
      <c r="D103" s="29">
        <f>IF(A103="","",SUMIFS(Payments!$L$5:$L$304,Payments!$C$5:$C$304,A103,Payments!$B$5:$B$304,"&gt;="&amp;RepFrom,Payments!$B$5:$B$304,"&lt;="&amp;RepTo))</f>
        <v>0</v>
      </c>
      <c r="E103" s="51">
        <f>IF(A103="","",IF(D103&lt;=0,"",D103+ROW()/1000000))</f>
        <v>0</v>
      </c>
      <c r="F103" s="29">
        <f>IF(A103="","",SUMIFS(Invoices!$S$5:$S$304,Invoices!$D$5:$D$304,A103,Invoices!$T$5:$T$304,"&lt;&gt;Cancelled"))</f>
        <v>0</v>
      </c>
      <c r="G103" s="51">
        <f>IF(A103="","",IF(F103&lt;=0.004,"",F103+ROW()/1000000))</f>
        <v>0</v>
      </c>
      <c r="H103" s="31">
        <f>IF(A103="","",COUNTIFS(Bookings!$C$5:$C$404,A103,Bookings!$I$5:$I$404,"&gt;="&amp;RepFrom,Bookings!$I$5:$I$404,"&lt;="&amp;RepTo,Bookings!$AM$5:$AM$404,"&lt;&gt;Cancelled"))</f>
        <v>0</v>
      </c>
      <c r="I103" s="28">
        <f>IF(Services!$B$103="","",Services!$B$103)</f>
        <v>0</v>
      </c>
      <c r="J103" s="29">
        <f>IF(I103="","",SUMIFS(Bookings!$AK$5:$AK$404,Bookings!$H$5:$H$404,I103,Bookings!$I$5:$I$404,"&gt;="&amp;PeriodStart,Bookings!$I$5:$I$404,"&lt;="&amp;PeriodEnd,Bookings!$AM$5:$AM$404,"&lt;&gt;Cancelled"))</f>
        <v>0</v>
      </c>
      <c r="K103" s="31">
        <f>IF(I103="","",COUNTIFS(Bookings!$H$5:$H$404,I103,Bookings!$I$5:$I$404,"&gt;="&amp;PeriodStart,Bookings!$I$5:$I$404,"&lt;="&amp;PeriodEnd,Bookings!$AM$5:$AM$404,"&lt;&gt;Cancelled"))</f>
        <v>0</v>
      </c>
      <c r="L103" s="29">
        <f>IF(I103="","",SUMIFS(Bookings!$AK$5:$AK$404,Bookings!$H$5:$H$404,I103,Bookings!$I$5:$I$404,"&gt;="&amp;RepFrom,Bookings!$I$5:$I$404,"&lt;="&amp;RepTo,Bookings!$AM$5:$AM$404,"&lt;&gt;Cancelled"))</f>
        <v>0</v>
      </c>
      <c r="M103" s="31">
        <f>IF(I103="","",COUNTIFS(Bookings!$H$5:$H$404,I103,Bookings!$I$5:$I$404,"&gt;="&amp;RepFrom,Bookings!$I$5:$I$404,"&lt;="&amp;RepTo,Bookings!$AM$5:$AM$404,"&lt;&gt;Cancelled"))</f>
        <v>0</v>
      </c>
      <c r="N103" s="29">
        <f>IF(I103="","",M103*IF(Services!$L$103="",0,Services!$L$103))</f>
        <v>0</v>
      </c>
      <c r="O103" s="29">
        <f>IF(I103="","",L103-N103)</f>
        <v>0</v>
      </c>
      <c r="P103" s="28">
        <f>IF(Lists!$AG103="","",Lists!$AG103)</f>
        <v>0</v>
      </c>
      <c r="Q103" s="29">
        <f>IF(P103="","",SUMIFS(Expenses!$F$5:$F$304,Expenses!$C$5:$C$304,P103,Expenses!$B$5:$B$304,"&gt;="&amp;PeriodStart,Expenses!$B$5:$B$304,"&lt;="&amp;PeriodEnd,Expenses!$J$5:$J$304,"&lt;&gt;Personal"))</f>
        <v>0</v>
      </c>
      <c r="R103" s="29">
        <f>IF(P103="","",SUMIFS(Expenses!$F$5:$F$304,Expenses!$C$5:$C$304,P103,Expenses!$B$5:$B$304,"&gt;="&amp;RepFrom,Expenses!$B$5:$B$304,"&lt;="&amp;RepTo,Expenses!$J$5:$J$304,"&lt;&gt;Personal"))</f>
        <v>0</v>
      </c>
      <c r="S103" s="21">
        <f>IF(ROW()-4&gt;12,"",DATE(Dash_Year,ROW()-4,1))</f>
        <v>0</v>
      </c>
      <c r="T103" s="21">
        <f>IF(S103="","",EOMONTH(S103,0))</f>
        <v>0</v>
      </c>
      <c r="U103" s="28">
        <f>IF(S103="","",TEXT(S103,"mmm"))</f>
        <v>0</v>
      </c>
      <c r="V103" s="29">
        <f>IF(S103="","",SUMIFS(Payments!$L$5:$L$304,Payments!$B$5:$B$304,"&gt;="&amp;S103,Payments!$B$5:$B$304,"&lt;="&amp;T103))</f>
        <v>0</v>
      </c>
      <c r="W103" s="29">
        <f>IF(S103="","",SUMIFS(Invoices!$O$5:$O$304,Invoices!$B$5:$B$304,"&gt;="&amp;S103,Invoices!$B$5:$B$304,"&lt;="&amp;T103,Invoices!$T$5:$T$304,"&lt;&gt;Cancelled"))</f>
        <v>0</v>
      </c>
      <c r="X103" s="29">
        <f>IF(S103="","",SUMIFS(Expenses!$F$5:$F$304,Expenses!$B$5:$B$304,"&gt;="&amp;S103,Expenses!$B$5:$B$304,"&lt;="&amp;T103,Expenses!$J$5:$J$304,"&lt;&gt;Personal"))</f>
        <v>0</v>
      </c>
      <c r="Y103" s="29">
        <f>IF(S103="","",V103-X103)</f>
        <v>0</v>
      </c>
      <c r="Z103" s="31">
        <f>IF(S103="","",COUNTIFS(Bookings!$I$5:$I$404,"&gt;="&amp;S103,Bookings!$I$5:$I$404,"&lt;="&amp;T103,Bookings!$AM$5:$AM$404,"&lt;&gt;Cancelled"))</f>
        <v>0</v>
      </c>
      <c r="AA103" s="31">
        <f>IF(S103="","",COUNTIFS(Bookings!$I$5:$I$404,"&gt;="&amp;S103,Bookings!$I$5:$I$404,"&lt;="&amp;T103,Bookings!$AM$5:$AM$404,"Completed"))</f>
        <v>0</v>
      </c>
      <c r="AB103" s="31">
        <f>IF(S103="","",COUNTIFS(Bookings!$I$5:$I$404,"&gt;="&amp;S103,Bookings!$I$5:$I$404,"&lt;="&amp;T103,Bookings!$AM$5:$AM$404,"Cancelled"))</f>
        <v>0</v>
      </c>
      <c r="AC103" s="31">
        <f>IF(S103="","",COUNTIFS('Visit Log'!$C$5:$C$404,"&gt;="&amp;S103,'Visit Log'!$C$5:$C$404,"&lt;="&amp;T103,'Visit Log'!$AE$5:$AE$404,"Completed"))</f>
        <v>0</v>
      </c>
      <c r="AD103" s="31">
        <f>IF(S103="","",COUNTIFS(Clients!$L$5:$L$254,"&gt;="&amp;S103,Clients!$L$5:$L$254,"&lt;="&amp;T103))</f>
        <v>0</v>
      </c>
      <c r="AE103" s="32">
        <f>IF(S103="","",SUMIFS(Mileage!$M$5:$M$304,Mileage!$B$5:$B$304,"&gt;="&amp;S103,Mileage!$B$5:$B$304,"&lt;="&amp;T103,Mileage!$N$5:$N$304,"Business"))</f>
        <v>0</v>
      </c>
      <c r="AF103" s="29">
        <f>IF(S103="","",SUMIFS(Payments!$L$5:$L$304,Payments!$B$5:$B$304,"&gt;="&amp;DATE(Dash_Year-1,ROW()-4,1),Payments!$B$5:$B$304,"&lt;="&amp;EOMONTH(DATE(Dash_Year-1,ROW()-4,1),0)))</f>
        <v>0</v>
      </c>
      <c r="AG103" s="28">
        <f>IF(Staff!$B$103="","",Staff!$B$103)</f>
        <v>0</v>
      </c>
      <c r="AH103" s="31">
        <f>IF(AG103="","",COUNTIFS('Visit Log'!$G$5:$G$404,AG103,'Visit Log'!$C$5:$C$404,"&gt;="&amp;RepFrom,'Visit Log'!$C$5:$C$404,"&lt;="&amp;RepTo,'Visit Log'!$AE$5:$AE$404,"Completed"))</f>
        <v>0</v>
      </c>
      <c r="AI103" s="51">
        <f>IF(AG103="","",ROUND(SUMIFS('Visit Log'!$K$5:$K$404,'Visit Log'!$G$5:$G$404,AG103,'Visit Log'!$C$5:$C$404,"&gt;="&amp;RepFrom,'Visit Log'!$C$5:$C$404,"&lt;="&amp;RepTo,'Visit Log'!$AE$5:$AE$404,"Completed")/60,2))</f>
        <v>0</v>
      </c>
      <c r="AJ103" s="29">
        <f>IF(AG103="","",SUMIFS(Bookings!$AK$5:$AK$404,Bookings!$AL$5:$AL$404,AG103,Bookings!$I$5:$I$404,"&gt;="&amp;RepFrom,Bookings!$I$5:$I$404,"&lt;="&amp;RepTo,Bookings!$AM$5:$AM$404,"&lt;&gt;Cancelled"))</f>
        <v>0</v>
      </c>
      <c r="AK103" s="32">
        <f>IF(AG103="","",SUMIFS(Mileage!$M$5:$M$304,Mileage!$C$5:$C$304,AG103,Mileage!$B$5:$B$304,"&gt;="&amp;RepFrom,Mileage!$B$5:$B$304,"&lt;="&amp;RepTo))</f>
        <v>0</v>
      </c>
      <c r="AL103" s="28">
        <f>IF(Lists!$Q103="","",Lists!$Q103)</f>
        <v>0</v>
      </c>
      <c r="AM103" s="31">
        <f>IF(AL103="","",COUNTIFS(Bookings!$AV$5:$AV$404,AL103,Bookings!$I$5:$I$404,"&gt;="&amp;RepFrom,Bookings!$I$5:$I$404,"&lt;="&amp;RepTo))</f>
        <v>0</v>
      </c>
      <c r="AN103" s="28">
        <f>IF(Lists!$AF103="","",Lists!$AF103)</f>
        <v>0</v>
      </c>
      <c r="AO103" s="29">
        <f>IF(AN103="","",SUMIFS(Payments!$L$5:$L$304,Payments!$F$5:$F$304,AN103,Payments!$B$5:$B$304,"&gt;="&amp;RepFrom,Payments!$B$5:$B$304,"&lt;="&amp;RepTo))</f>
        <v>0</v>
      </c>
      <c r="AP103" s="28">
        <f>IF(Lists!$E103="","",Lists!$E103)</f>
        <v>0</v>
      </c>
      <c r="AQ103" s="31">
        <f>IF(AP103="","",COUNTIFS(Clients!$K$5:$K$254,AP103))</f>
        <v>0</v>
      </c>
      <c r="AR103" s="29">
        <f>IF(AP103="","",SUMIFS(Clients!$AE$5:$AE$254,Clients!$K$5:$K$254,AP103))</f>
        <v>0</v>
      </c>
    </row>
    <row r="104" spans="1:44">
      <c r="A104" s="28">
        <f>IF(Clients!$B$104="","",Clients!$B$104)</f>
        <v>0</v>
      </c>
      <c r="B104" s="29">
        <f>IF(A104="","",SUMIFS(Payments!$L$5:$L$304,Payments!$C$5:$C$304,A104,Payments!$B$5:$B$304,"&gt;="&amp;PeriodStart,Payments!$B$5:$B$304,"&lt;="&amp;PeriodEnd))</f>
        <v>0</v>
      </c>
      <c r="C104" s="51">
        <f>IF(A104="","",IF(B104&lt;=0,"",B104+ROW()/1000000))</f>
        <v>0</v>
      </c>
      <c r="D104" s="29">
        <f>IF(A104="","",SUMIFS(Payments!$L$5:$L$304,Payments!$C$5:$C$304,A104,Payments!$B$5:$B$304,"&gt;="&amp;RepFrom,Payments!$B$5:$B$304,"&lt;="&amp;RepTo))</f>
        <v>0</v>
      </c>
      <c r="E104" s="51">
        <f>IF(A104="","",IF(D104&lt;=0,"",D104+ROW()/1000000))</f>
        <v>0</v>
      </c>
      <c r="F104" s="29">
        <f>IF(A104="","",SUMIFS(Invoices!$S$5:$S$304,Invoices!$D$5:$D$304,A104,Invoices!$T$5:$T$304,"&lt;&gt;Cancelled"))</f>
        <v>0</v>
      </c>
      <c r="G104" s="51">
        <f>IF(A104="","",IF(F104&lt;=0.004,"",F104+ROW()/1000000))</f>
        <v>0</v>
      </c>
      <c r="H104" s="31">
        <f>IF(A104="","",COUNTIFS(Bookings!$C$5:$C$404,A104,Bookings!$I$5:$I$404,"&gt;="&amp;RepFrom,Bookings!$I$5:$I$404,"&lt;="&amp;RepTo,Bookings!$AM$5:$AM$404,"&lt;&gt;Cancelled"))</f>
        <v>0</v>
      </c>
      <c r="I104" s="28">
        <f>IF(Services!$B$104="","",Services!$B$104)</f>
        <v>0</v>
      </c>
      <c r="J104" s="29">
        <f>IF(I104="","",SUMIFS(Bookings!$AK$5:$AK$404,Bookings!$H$5:$H$404,I104,Bookings!$I$5:$I$404,"&gt;="&amp;PeriodStart,Bookings!$I$5:$I$404,"&lt;="&amp;PeriodEnd,Bookings!$AM$5:$AM$404,"&lt;&gt;Cancelled"))</f>
        <v>0</v>
      </c>
      <c r="K104" s="31">
        <f>IF(I104="","",COUNTIFS(Bookings!$H$5:$H$404,I104,Bookings!$I$5:$I$404,"&gt;="&amp;PeriodStart,Bookings!$I$5:$I$404,"&lt;="&amp;PeriodEnd,Bookings!$AM$5:$AM$404,"&lt;&gt;Cancelled"))</f>
        <v>0</v>
      </c>
      <c r="L104" s="29">
        <f>IF(I104="","",SUMIFS(Bookings!$AK$5:$AK$404,Bookings!$H$5:$H$404,I104,Bookings!$I$5:$I$404,"&gt;="&amp;RepFrom,Bookings!$I$5:$I$404,"&lt;="&amp;RepTo,Bookings!$AM$5:$AM$404,"&lt;&gt;Cancelled"))</f>
        <v>0</v>
      </c>
      <c r="M104" s="31">
        <f>IF(I104="","",COUNTIFS(Bookings!$H$5:$H$404,I104,Bookings!$I$5:$I$404,"&gt;="&amp;RepFrom,Bookings!$I$5:$I$404,"&lt;="&amp;RepTo,Bookings!$AM$5:$AM$404,"&lt;&gt;Cancelled"))</f>
        <v>0</v>
      </c>
      <c r="N104" s="29">
        <f>IF(I104="","",M104*IF(Services!$L$104="",0,Services!$L$104))</f>
        <v>0</v>
      </c>
      <c r="O104" s="29">
        <f>IF(I104="","",L104-N104)</f>
        <v>0</v>
      </c>
      <c r="P104" s="28">
        <f>IF(Lists!$AG104="","",Lists!$AG104)</f>
        <v>0</v>
      </c>
      <c r="Q104" s="29">
        <f>IF(P104="","",SUMIFS(Expenses!$F$5:$F$304,Expenses!$C$5:$C$304,P104,Expenses!$B$5:$B$304,"&gt;="&amp;PeriodStart,Expenses!$B$5:$B$304,"&lt;="&amp;PeriodEnd,Expenses!$J$5:$J$304,"&lt;&gt;Personal"))</f>
        <v>0</v>
      </c>
      <c r="R104" s="29">
        <f>IF(P104="","",SUMIFS(Expenses!$F$5:$F$304,Expenses!$C$5:$C$304,P104,Expenses!$B$5:$B$304,"&gt;="&amp;RepFrom,Expenses!$B$5:$B$304,"&lt;="&amp;RepTo,Expenses!$J$5:$J$304,"&lt;&gt;Personal"))</f>
        <v>0</v>
      </c>
      <c r="S104" s="21">
        <f>IF(ROW()-4&gt;12,"",DATE(Dash_Year,ROW()-4,1))</f>
        <v>0</v>
      </c>
      <c r="T104" s="21">
        <f>IF(S104="","",EOMONTH(S104,0))</f>
        <v>0</v>
      </c>
      <c r="U104" s="28">
        <f>IF(S104="","",TEXT(S104,"mmm"))</f>
        <v>0</v>
      </c>
      <c r="V104" s="29">
        <f>IF(S104="","",SUMIFS(Payments!$L$5:$L$304,Payments!$B$5:$B$304,"&gt;="&amp;S104,Payments!$B$5:$B$304,"&lt;="&amp;T104))</f>
        <v>0</v>
      </c>
      <c r="W104" s="29">
        <f>IF(S104="","",SUMIFS(Invoices!$O$5:$O$304,Invoices!$B$5:$B$304,"&gt;="&amp;S104,Invoices!$B$5:$B$304,"&lt;="&amp;T104,Invoices!$T$5:$T$304,"&lt;&gt;Cancelled"))</f>
        <v>0</v>
      </c>
      <c r="X104" s="29">
        <f>IF(S104="","",SUMIFS(Expenses!$F$5:$F$304,Expenses!$B$5:$B$304,"&gt;="&amp;S104,Expenses!$B$5:$B$304,"&lt;="&amp;T104,Expenses!$J$5:$J$304,"&lt;&gt;Personal"))</f>
        <v>0</v>
      </c>
      <c r="Y104" s="29">
        <f>IF(S104="","",V104-X104)</f>
        <v>0</v>
      </c>
      <c r="Z104" s="31">
        <f>IF(S104="","",COUNTIFS(Bookings!$I$5:$I$404,"&gt;="&amp;S104,Bookings!$I$5:$I$404,"&lt;="&amp;T104,Bookings!$AM$5:$AM$404,"&lt;&gt;Cancelled"))</f>
        <v>0</v>
      </c>
      <c r="AA104" s="31">
        <f>IF(S104="","",COUNTIFS(Bookings!$I$5:$I$404,"&gt;="&amp;S104,Bookings!$I$5:$I$404,"&lt;="&amp;T104,Bookings!$AM$5:$AM$404,"Completed"))</f>
        <v>0</v>
      </c>
      <c r="AB104" s="31">
        <f>IF(S104="","",COUNTIFS(Bookings!$I$5:$I$404,"&gt;="&amp;S104,Bookings!$I$5:$I$404,"&lt;="&amp;T104,Bookings!$AM$5:$AM$404,"Cancelled"))</f>
        <v>0</v>
      </c>
      <c r="AC104" s="31">
        <f>IF(S104="","",COUNTIFS('Visit Log'!$C$5:$C$404,"&gt;="&amp;S104,'Visit Log'!$C$5:$C$404,"&lt;="&amp;T104,'Visit Log'!$AE$5:$AE$404,"Completed"))</f>
        <v>0</v>
      </c>
      <c r="AD104" s="31">
        <f>IF(S104="","",COUNTIFS(Clients!$L$5:$L$254,"&gt;="&amp;S104,Clients!$L$5:$L$254,"&lt;="&amp;T104))</f>
        <v>0</v>
      </c>
      <c r="AE104" s="32">
        <f>IF(S104="","",SUMIFS(Mileage!$M$5:$M$304,Mileage!$B$5:$B$304,"&gt;="&amp;S104,Mileage!$B$5:$B$304,"&lt;="&amp;T104,Mileage!$N$5:$N$304,"Business"))</f>
        <v>0</v>
      </c>
      <c r="AF104" s="29">
        <f>IF(S104="","",SUMIFS(Payments!$L$5:$L$304,Payments!$B$5:$B$304,"&gt;="&amp;DATE(Dash_Year-1,ROW()-4,1),Payments!$B$5:$B$304,"&lt;="&amp;EOMONTH(DATE(Dash_Year-1,ROW()-4,1),0)))</f>
        <v>0</v>
      </c>
      <c r="AG104" s="28">
        <f>IF(Staff!$B$104="","",Staff!$B$104)</f>
        <v>0</v>
      </c>
      <c r="AH104" s="31">
        <f>IF(AG104="","",COUNTIFS('Visit Log'!$G$5:$G$404,AG104,'Visit Log'!$C$5:$C$404,"&gt;="&amp;RepFrom,'Visit Log'!$C$5:$C$404,"&lt;="&amp;RepTo,'Visit Log'!$AE$5:$AE$404,"Completed"))</f>
        <v>0</v>
      </c>
      <c r="AI104" s="51">
        <f>IF(AG104="","",ROUND(SUMIFS('Visit Log'!$K$5:$K$404,'Visit Log'!$G$5:$G$404,AG104,'Visit Log'!$C$5:$C$404,"&gt;="&amp;RepFrom,'Visit Log'!$C$5:$C$404,"&lt;="&amp;RepTo,'Visit Log'!$AE$5:$AE$404,"Completed")/60,2))</f>
        <v>0</v>
      </c>
      <c r="AJ104" s="29">
        <f>IF(AG104="","",SUMIFS(Bookings!$AK$5:$AK$404,Bookings!$AL$5:$AL$404,AG104,Bookings!$I$5:$I$404,"&gt;="&amp;RepFrom,Bookings!$I$5:$I$404,"&lt;="&amp;RepTo,Bookings!$AM$5:$AM$404,"&lt;&gt;Cancelled"))</f>
        <v>0</v>
      </c>
      <c r="AK104" s="32">
        <f>IF(AG104="","",SUMIFS(Mileage!$M$5:$M$304,Mileage!$C$5:$C$304,AG104,Mileage!$B$5:$B$304,"&gt;="&amp;RepFrom,Mileage!$B$5:$B$304,"&lt;="&amp;RepTo))</f>
        <v>0</v>
      </c>
      <c r="AL104" s="28">
        <f>IF(Lists!$Q104="","",Lists!$Q104)</f>
        <v>0</v>
      </c>
      <c r="AM104" s="31">
        <f>IF(AL104="","",COUNTIFS(Bookings!$AV$5:$AV$404,AL104,Bookings!$I$5:$I$404,"&gt;="&amp;RepFrom,Bookings!$I$5:$I$404,"&lt;="&amp;RepTo))</f>
        <v>0</v>
      </c>
      <c r="AN104" s="28">
        <f>IF(Lists!$AF104="","",Lists!$AF104)</f>
        <v>0</v>
      </c>
      <c r="AO104" s="29">
        <f>IF(AN104="","",SUMIFS(Payments!$L$5:$L$304,Payments!$F$5:$F$304,AN104,Payments!$B$5:$B$304,"&gt;="&amp;RepFrom,Payments!$B$5:$B$304,"&lt;="&amp;RepTo))</f>
        <v>0</v>
      </c>
      <c r="AP104" s="28">
        <f>IF(Lists!$E104="","",Lists!$E104)</f>
        <v>0</v>
      </c>
      <c r="AQ104" s="31">
        <f>IF(AP104="","",COUNTIFS(Clients!$K$5:$K$254,AP104))</f>
        <v>0</v>
      </c>
      <c r="AR104" s="29">
        <f>IF(AP104="","",SUMIFS(Clients!$AE$5:$AE$254,Clients!$K$5:$K$254,AP104))</f>
        <v>0</v>
      </c>
    </row>
    <row r="105" spans="1:44">
      <c r="A105" s="28">
        <f>IF(Clients!$B$105="","",Clients!$B$105)</f>
        <v>0</v>
      </c>
      <c r="B105" s="29">
        <f>IF(A105="","",SUMIFS(Payments!$L$5:$L$304,Payments!$C$5:$C$304,A105,Payments!$B$5:$B$304,"&gt;="&amp;PeriodStart,Payments!$B$5:$B$304,"&lt;="&amp;PeriodEnd))</f>
        <v>0</v>
      </c>
      <c r="C105" s="51">
        <f>IF(A105="","",IF(B105&lt;=0,"",B105+ROW()/1000000))</f>
        <v>0</v>
      </c>
      <c r="D105" s="29">
        <f>IF(A105="","",SUMIFS(Payments!$L$5:$L$304,Payments!$C$5:$C$304,A105,Payments!$B$5:$B$304,"&gt;="&amp;RepFrom,Payments!$B$5:$B$304,"&lt;="&amp;RepTo))</f>
        <v>0</v>
      </c>
      <c r="E105" s="51">
        <f>IF(A105="","",IF(D105&lt;=0,"",D105+ROW()/1000000))</f>
        <v>0</v>
      </c>
      <c r="F105" s="29">
        <f>IF(A105="","",SUMIFS(Invoices!$S$5:$S$304,Invoices!$D$5:$D$304,A105,Invoices!$T$5:$T$304,"&lt;&gt;Cancelled"))</f>
        <v>0</v>
      </c>
      <c r="G105" s="51">
        <f>IF(A105="","",IF(F105&lt;=0.004,"",F105+ROW()/1000000))</f>
        <v>0</v>
      </c>
      <c r="H105" s="31">
        <f>IF(A105="","",COUNTIFS(Bookings!$C$5:$C$404,A105,Bookings!$I$5:$I$404,"&gt;="&amp;RepFrom,Bookings!$I$5:$I$404,"&lt;="&amp;RepTo,Bookings!$AM$5:$AM$404,"&lt;&gt;Cancelled"))</f>
        <v>0</v>
      </c>
      <c r="I105" s="28">
        <f>IF(Services!$B$105="","",Services!$B$105)</f>
        <v>0</v>
      </c>
      <c r="J105" s="29">
        <f>IF(I105="","",SUMIFS(Bookings!$AK$5:$AK$404,Bookings!$H$5:$H$404,I105,Bookings!$I$5:$I$404,"&gt;="&amp;PeriodStart,Bookings!$I$5:$I$404,"&lt;="&amp;PeriodEnd,Bookings!$AM$5:$AM$404,"&lt;&gt;Cancelled"))</f>
        <v>0</v>
      </c>
      <c r="K105" s="31">
        <f>IF(I105="","",COUNTIFS(Bookings!$H$5:$H$404,I105,Bookings!$I$5:$I$404,"&gt;="&amp;PeriodStart,Bookings!$I$5:$I$404,"&lt;="&amp;PeriodEnd,Bookings!$AM$5:$AM$404,"&lt;&gt;Cancelled"))</f>
        <v>0</v>
      </c>
      <c r="L105" s="29">
        <f>IF(I105="","",SUMIFS(Bookings!$AK$5:$AK$404,Bookings!$H$5:$H$404,I105,Bookings!$I$5:$I$404,"&gt;="&amp;RepFrom,Bookings!$I$5:$I$404,"&lt;="&amp;RepTo,Bookings!$AM$5:$AM$404,"&lt;&gt;Cancelled"))</f>
        <v>0</v>
      </c>
      <c r="M105" s="31">
        <f>IF(I105="","",COUNTIFS(Bookings!$H$5:$H$404,I105,Bookings!$I$5:$I$404,"&gt;="&amp;RepFrom,Bookings!$I$5:$I$404,"&lt;="&amp;RepTo,Bookings!$AM$5:$AM$404,"&lt;&gt;Cancelled"))</f>
        <v>0</v>
      </c>
      <c r="N105" s="29">
        <f>IF(I105="","",M105*IF(Services!$L$105="",0,Services!$L$105))</f>
        <v>0</v>
      </c>
      <c r="O105" s="29">
        <f>IF(I105="","",L105-N105)</f>
        <v>0</v>
      </c>
      <c r="P105" s="28">
        <f>IF(Lists!$AG105="","",Lists!$AG105)</f>
        <v>0</v>
      </c>
      <c r="Q105" s="29">
        <f>IF(P105="","",SUMIFS(Expenses!$F$5:$F$304,Expenses!$C$5:$C$304,P105,Expenses!$B$5:$B$304,"&gt;="&amp;PeriodStart,Expenses!$B$5:$B$304,"&lt;="&amp;PeriodEnd,Expenses!$J$5:$J$304,"&lt;&gt;Personal"))</f>
        <v>0</v>
      </c>
      <c r="R105" s="29">
        <f>IF(P105="","",SUMIFS(Expenses!$F$5:$F$304,Expenses!$C$5:$C$304,P105,Expenses!$B$5:$B$304,"&gt;="&amp;RepFrom,Expenses!$B$5:$B$304,"&lt;="&amp;RepTo,Expenses!$J$5:$J$304,"&lt;&gt;Personal"))</f>
        <v>0</v>
      </c>
      <c r="S105" s="21">
        <f>IF(ROW()-4&gt;12,"",DATE(Dash_Year,ROW()-4,1))</f>
        <v>0</v>
      </c>
      <c r="T105" s="21">
        <f>IF(S105="","",EOMONTH(S105,0))</f>
        <v>0</v>
      </c>
      <c r="U105" s="28">
        <f>IF(S105="","",TEXT(S105,"mmm"))</f>
        <v>0</v>
      </c>
      <c r="V105" s="29">
        <f>IF(S105="","",SUMIFS(Payments!$L$5:$L$304,Payments!$B$5:$B$304,"&gt;="&amp;S105,Payments!$B$5:$B$304,"&lt;="&amp;T105))</f>
        <v>0</v>
      </c>
      <c r="W105" s="29">
        <f>IF(S105="","",SUMIFS(Invoices!$O$5:$O$304,Invoices!$B$5:$B$304,"&gt;="&amp;S105,Invoices!$B$5:$B$304,"&lt;="&amp;T105,Invoices!$T$5:$T$304,"&lt;&gt;Cancelled"))</f>
        <v>0</v>
      </c>
      <c r="X105" s="29">
        <f>IF(S105="","",SUMIFS(Expenses!$F$5:$F$304,Expenses!$B$5:$B$304,"&gt;="&amp;S105,Expenses!$B$5:$B$304,"&lt;="&amp;T105,Expenses!$J$5:$J$304,"&lt;&gt;Personal"))</f>
        <v>0</v>
      </c>
      <c r="Y105" s="29">
        <f>IF(S105="","",V105-X105)</f>
        <v>0</v>
      </c>
      <c r="Z105" s="31">
        <f>IF(S105="","",COUNTIFS(Bookings!$I$5:$I$404,"&gt;="&amp;S105,Bookings!$I$5:$I$404,"&lt;="&amp;T105,Bookings!$AM$5:$AM$404,"&lt;&gt;Cancelled"))</f>
        <v>0</v>
      </c>
      <c r="AA105" s="31">
        <f>IF(S105="","",COUNTIFS(Bookings!$I$5:$I$404,"&gt;="&amp;S105,Bookings!$I$5:$I$404,"&lt;="&amp;T105,Bookings!$AM$5:$AM$404,"Completed"))</f>
        <v>0</v>
      </c>
      <c r="AB105" s="31">
        <f>IF(S105="","",COUNTIFS(Bookings!$I$5:$I$404,"&gt;="&amp;S105,Bookings!$I$5:$I$404,"&lt;="&amp;T105,Bookings!$AM$5:$AM$404,"Cancelled"))</f>
        <v>0</v>
      </c>
      <c r="AC105" s="31">
        <f>IF(S105="","",COUNTIFS('Visit Log'!$C$5:$C$404,"&gt;="&amp;S105,'Visit Log'!$C$5:$C$404,"&lt;="&amp;T105,'Visit Log'!$AE$5:$AE$404,"Completed"))</f>
        <v>0</v>
      </c>
      <c r="AD105" s="31">
        <f>IF(S105="","",COUNTIFS(Clients!$L$5:$L$254,"&gt;="&amp;S105,Clients!$L$5:$L$254,"&lt;="&amp;T105))</f>
        <v>0</v>
      </c>
      <c r="AE105" s="32">
        <f>IF(S105="","",SUMIFS(Mileage!$M$5:$M$304,Mileage!$B$5:$B$304,"&gt;="&amp;S105,Mileage!$B$5:$B$304,"&lt;="&amp;T105,Mileage!$N$5:$N$304,"Business"))</f>
        <v>0</v>
      </c>
      <c r="AF105" s="29">
        <f>IF(S105="","",SUMIFS(Payments!$L$5:$L$304,Payments!$B$5:$B$304,"&gt;="&amp;DATE(Dash_Year-1,ROW()-4,1),Payments!$B$5:$B$304,"&lt;="&amp;EOMONTH(DATE(Dash_Year-1,ROW()-4,1),0)))</f>
        <v>0</v>
      </c>
      <c r="AG105" s="28">
        <f>IF(Staff!$B$105="","",Staff!$B$105)</f>
        <v>0</v>
      </c>
      <c r="AH105" s="31">
        <f>IF(AG105="","",COUNTIFS('Visit Log'!$G$5:$G$404,AG105,'Visit Log'!$C$5:$C$404,"&gt;="&amp;RepFrom,'Visit Log'!$C$5:$C$404,"&lt;="&amp;RepTo,'Visit Log'!$AE$5:$AE$404,"Completed"))</f>
        <v>0</v>
      </c>
      <c r="AI105" s="51">
        <f>IF(AG105="","",ROUND(SUMIFS('Visit Log'!$K$5:$K$404,'Visit Log'!$G$5:$G$404,AG105,'Visit Log'!$C$5:$C$404,"&gt;="&amp;RepFrom,'Visit Log'!$C$5:$C$404,"&lt;="&amp;RepTo,'Visit Log'!$AE$5:$AE$404,"Completed")/60,2))</f>
        <v>0</v>
      </c>
      <c r="AJ105" s="29">
        <f>IF(AG105="","",SUMIFS(Bookings!$AK$5:$AK$404,Bookings!$AL$5:$AL$404,AG105,Bookings!$I$5:$I$404,"&gt;="&amp;RepFrom,Bookings!$I$5:$I$404,"&lt;="&amp;RepTo,Bookings!$AM$5:$AM$404,"&lt;&gt;Cancelled"))</f>
        <v>0</v>
      </c>
      <c r="AK105" s="32">
        <f>IF(AG105="","",SUMIFS(Mileage!$M$5:$M$304,Mileage!$C$5:$C$304,AG105,Mileage!$B$5:$B$304,"&gt;="&amp;RepFrom,Mileage!$B$5:$B$304,"&lt;="&amp;RepTo))</f>
        <v>0</v>
      </c>
      <c r="AL105" s="28">
        <f>IF(Lists!$Q105="","",Lists!$Q105)</f>
        <v>0</v>
      </c>
      <c r="AM105" s="31">
        <f>IF(AL105="","",COUNTIFS(Bookings!$AV$5:$AV$404,AL105,Bookings!$I$5:$I$404,"&gt;="&amp;RepFrom,Bookings!$I$5:$I$404,"&lt;="&amp;RepTo))</f>
        <v>0</v>
      </c>
      <c r="AN105" s="28">
        <f>IF(Lists!$AF105="","",Lists!$AF105)</f>
        <v>0</v>
      </c>
      <c r="AO105" s="29">
        <f>IF(AN105="","",SUMIFS(Payments!$L$5:$L$304,Payments!$F$5:$F$304,AN105,Payments!$B$5:$B$304,"&gt;="&amp;RepFrom,Payments!$B$5:$B$304,"&lt;="&amp;RepTo))</f>
        <v>0</v>
      </c>
      <c r="AP105" s="28">
        <f>IF(Lists!$E105="","",Lists!$E105)</f>
        <v>0</v>
      </c>
      <c r="AQ105" s="31">
        <f>IF(AP105="","",COUNTIFS(Clients!$K$5:$K$254,AP105))</f>
        <v>0</v>
      </c>
      <c r="AR105" s="29">
        <f>IF(AP105="","",SUMIFS(Clients!$AE$5:$AE$254,Clients!$K$5:$K$254,AP105))</f>
        <v>0</v>
      </c>
    </row>
    <row r="106" spans="1:44">
      <c r="A106" s="28">
        <f>IF(Clients!$B$106="","",Clients!$B$106)</f>
        <v>0</v>
      </c>
      <c r="B106" s="29">
        <f>IF(A106="","",SUMIFS(Payments!$L$5:$L$304,Payments!$C$5:$C$304,A106,Payments!$B$5:$B$304,"&gt;="&amp;PeriodStart,Payments!$B$5:$B$304,"&lt;="&amp;PeriodEnd))</f>
        <v>0</v>
      </c>
      <c r="C106" s="51">
        <f>IF(A106="","",IF(B106&lt;=0,"",B106+ROW()/1000000))</f>
        <v>0</v>
      </c>
      <c r="D106" s="29">
        <f>IF(A106="","",SUMIFS(Payments!$L$5:$L$304,Payments!$C$5:$C$304,A106,Payments!$B$5:$B$304,"&gt;="&amp;RepFrom,Payments!$B$5:$B$304,"&lt;="&amp;RepTo))</f>
        <v>0</v>
      </c>
      <c r="E106" s="51">
        <f>IF(A106="","",IF(D106&lt;=0,"",D106+ROW()/1000000))</f>
        <v>0</v>
      </c>
      <c r="F106" s="29">
        <f>IF(A106="","",SUMIFS(Invoices!$S$5:$S$304,Invoices!$D$5:$D$304,A106,Invoices!$T$5:$T$304,"&lt;&gt;Cancelled"))</f>
        <v>0</v>
      </c>
      <c r="G106" s="51">
        <f>IF(A106="","",IF(F106&lt;=0.004,"",F106+ROW()/1000000))</f>
        <v>0</v>
      </c>
      <c r="H106" s="31">
        <f>IF(A106="","",COUNTIFS(Bookings!$C$5:$C$404,A106,Bookings!$I$5:$I$404,"&gt;="&amp;RepFrom,Bookings!$I$5:$I$404,"&lt;="&amp;RepTo,Bookings!$AM$5:$AM$404,"&lt;&gt;Cancelled"))</f>
        <v>0</v>
      </c>
      <c r="I106" s="28">
        <f>IF(Services!$B$106="","",Services!$B$106)</f>
        <v>0</v>
      </c>
      <c r="J106" s="29">
        <f>IF(I106="","",SUMIFS(Bookings!$AK$5:$AK$404,Bookings!$H$5:$H$404,I106,Bookings!$I$5:$I$404,"&gt;="&amp;PeriodStart,Bookings!$I$5:$I$404,"&lt;="&amp;PeriodEnd,Bookings!$AM$5:$AM$404,"&lt;&gt;Cancelled"))</f>
        <v>0</v>
      </c>
      <c r="K106" s="31">
        <f>IF(I106="","",COUNTIFS(Bookings!$H$5:$H$404,I106,Bookings!$I$5:$I$404,"&gt;="&amp;PeriodStart,Bookings!$I$5:$I$404,"&lt;="&amp;PeriodEnd,Bookings!$AM$5:$AM$404,"&lt;&gt;Cancelled"))</f>
        <v>0</v>
      </c>
      <c r="L106" s="29">
        <f>IF(I106="","",SUMIFS(Bookings!$AK$5:$AK$404,Bookings!$H$5:$H$404,I106,Bookings!$I$5:$I$404,"&gt;="&amp;RepFrom,Bookings!$I$5:$I$404,"&lt;="&amp;RepTo,Bookings!$AM$5:$AM$404,"&lt;&gt;Cancelled"))</f>
        <v>0</v>
      </c>
      <c r="M106" s="31">
        <f>IF(I106="","",COUNTIFS(Bookings!$H$5:$H$404,I106,Bookings!$I$5:$I$404,"&gt;="&amp;RepFrom,Bookings!$I$5:$I$404,"&lt;="&amp;RepTo,Bookings!$AM$5:$AM$404,"&lt;&gt;Cancelled"))</f>
        <v>0</v>
      </c>
      <c r="N106" s="29">
        <f>IF(I106="","",M106*IF(Services!$L$106="",0,Services!$L$106))</f>
        <v>0</v>
      </c>
      <c r="O106" s="29">
        <f>IF(I106="","",L106-N106)</f>
        <v>0</v>
      </c>
      <c r="P106" s="28">
        <f>IF(Lists!$AG106="","",Lists!$AG106)</f>
        <v>0</v>
      </c>
      <c r="Q106" s="29">
        <f>IF(P106="","",SUMIFS(Expenses!$F$5:$F$304,Expenses!$C$5:$C$304,P106,Expenses!$B$5:$B$304,"&gt;="&amp;PeriodStart,Expenses!$B$5:$B$304,"&lt;="&amp;PeriodEnd,Expenses!$J$5:$J$304,"&lt;&gt;Personal"))</f>
        <v>0</v>
      </c>
      <c r="R106" s="29">
        <f>IF(P106="","",SUMIFS(Expenses!$F$5:$F$304,Expenses!$C$5:$C$304,P106,Expenses!$B$5:$B$304,"&gt;="&amp;RepFrom,Expenses!$B$5:$B$304,"&lt;="&amp;RepTo,Expenses!$J$5:$J$304,"&lt;&gt;Personal"))</f>
        <v>0</v>
      </c>
      <c r="S106" s="21">
        <f>IF(ROW()-4&gt;12,"",DATE(Dash_Year,ROW()-4,1))</f>
        <v>0</v>
      </c>
      <c r="T106" s="21">
        <f>IF(S106="","",EOMONTH(S106,0))</f>
        <v>0</v>
      </c>
      <c r="U106" s="28">
        <f>IF(S106="","",TEXT(S106,"mmm"))</f>
        <v>0</v>
      </c>
      <c r="V106" s="29">
        <f>IF(S106="","",SUMIFS(Payments!$L$5:$L$304,Payments!$B$5:$B$304,"&gt;="&amp;S106,Payments!$B$5:$B$304,"&lt;="&amp;T106))</f>
        <v>0</v>
      </c>
      <c r="W106" s="29">
        <f>IF(S106="","",SUMIFS(Invoices!$O$5:$O$304,Invoices!$B$5:$B$304,"&gt;="&amp;S106,Invoices!$B$5:$B$304,"&lt;="&amp;T106,Invoices!$T$5:$T$304,"&lt;&gt;Cancelled"))</f>
        <v>0</v>
      </c>
      <c r="X106" s="29">
        <f>IF(S106="","",SUMIFS(Expenses!$F$5:$F$304,Expenses!$B$5:$B$304,"&gt;="&amp;S106,Expenses!$B$5:$B$304,"&lt;="&amp;T106,Expenses!$J$5:$J$304,"&lt;&gt;Personal"))</f>
        <v>0</v>
      </c>
      <c r="Y106" s="29">
        <f>IF(S106="","",V106-X106)</f>
        <v>0</v>
      </c>
      <c r="Z106" s="31">
        <f>IF(S106="","",COUNTIFS(Bookings!$I$5:$I$404,"&gt;="&amp;S106,Bookings!$I$5:$I$404,"&lt;="&amp;T106,Bookings!$AM$5:$AM$404,"&lt;&gt;Cancelled"))</f>
        <v>0</v>
      </c>
      <c r="AA106" s="31">
        <f>IF(S106="","",COUNTIFS(Bookings!$I$5:$I$404,"&gt;="&amp;S106,Bookings!$I$5:$I$404,"&lt;="&amp;T106,Bookings!$AM$5:$AM$404,"Completed"))</f>
        <v>0</v>
      </c>
      <c r="AB106" s="31">
        <f>IF(S106="","",COUNTIFS(Bookings!$I$5:$I$404,"&gt;="&amp;S106,Bookings!$I$5:$I$404,"&lt;="&amp;T106,Bookings!$AM$5:$AM$404,"Cancelled"))</f>
        <v>0</v>
      </c>
      <c r="AC106" s="31">
        <f>IF(S106="","",COUNTIFS('Visit Log'!$C$5:$C$404,"&gt;="&amp;S106,'Visit Log'!$C$5:$C$404,"&lt;="&amp;T106,'Visit Log'!$AE$5:$AE$404,"Completed"))</f>
        <v>0</v>
      </c>
      <c r="AD106" s="31">
        <f>IF(S106="","",COUNTIFS(Clients!$L$5:$L$254,"&gt;="&amp;S106,Clients!$L$5:$L$254,"&lt;="&amp;T106))</f>
        <v>0</v>
      </c>
      <c r="AE106" s="32">
        <f>IF(S106="","",SUMIFS(Mileage!$M$5:$M$304,Mileage!$B$5:$B$304,"&gt;="&amp;S106,Mileage!$B$5:$B$304,"&lt;="&amp;T106,Mileage!$N$5:$N$304,"Business"))</f>
        <v>0</v>
      </c>
      <c r="AF106" s="29">
        <f>IF(S106="","",SUMIFS(Payments!$L$5:$L$304,Payments!$B$5:$B$304,"&gt;="&amp;DATE(Dash_Year-1,ROW()-4,1),Payments!$B$5:$B$304,"&lt;="&amp;EOMONTH(DATE(Dash_Year-1,ROW()-4,1),0)))</f>
        <v>0</v>
      </c>
      <c r="AG106" s="28">
        <f>IF(Staff!$B$106="","",Staff!$B$106)</f>
        <v>0</v>
      </c>
      <c r="AH106" s="31">
        <f>IF(AG106="","",COUNTIFS('Visit Log'!$G$5:$G$404,AG106,'Visit Log'!$C$5:$C$404,"&gt;="&amp;RepFrom,'Visit Log'!$C$5:$C$404,"&lt;="&amp;RepTo,'Visit Log'!$AE$5:$AE$404,"Completed"))</f>
        <v>0</v>
      </c>
      <c r="AI106" s="51">
        <f>IF(AG106="","",ROUND(SUMIFS('Visit Log'!$K$5:$K$404,'Visit Log'!$G$5:$G$404,AG106,'Visit Log'!$C$5:$C$404,"&gt;="&amp;RepFrom,'Visit Log'!$C$5:$C$404,"&lt;="&amp;RepTo,'Visit Log'!$AE$5:$AE$404,"Completed")/60,2))</f>
        <v>0</v>
      </c>
      <c r="AJ106" s="29">
        <f>IF(AG106="","",SUMIFS(Bookings!$AK$5:$AK$404,Bookings!$AL$5:$AL$404,AG106,Bookings!$I$5:$I$404,"&gt;="&amp;RepFrom,Bookings!$I$5:$I$404,"&lt;="&amp;RepTo,Bookings!$AM$5:$AM$404,"&lt;&gt;Cancelled"))</f>
        <v>0</v>
      </c>
      <c r="AK106" s="32">
        <f>IF(AG106="","",SUMIFS(Mileage!$M$5:$M$304,Mileage!$C$5:$C$304,AG106,Mileage!$B$5:$B$304,"&gt;="&amp;RepFrom,Mileage!$B$5:$B$304,"&lt;="&amp;RepTo))</f>
        <v>0</v>
      </c>
      <c r="AL106" s="28">
        <f>IF(Lists!$Q106="","",Lists!$Q106)</f>
        <v>0</v>
      </c>
      <c r="AM106" s="31">
        <f>IF(AL106="","",COUNTIFS(Bookings!$AV$5:$AV$404,AL106,Bookings!$I$5:$I$404,"&gt;="&amp;RepFrom,Bookings!$I$5:$I$404,"&lt;="&amp;RepTo))</f>
        <v>0</v>
      </c>
      <c r="AN106" s="28">
        <f>IF(Lists!$AF106="","",Lists!$AF106)</f>
        <v>0</v>
      </c>
      <c r="AO106" s="29">
        <f>IF(AN106="","",SUMIFS(Payments!$L$5:$L$304,Payments!$F$5:$F$304,AN106,Payments!$B$5:$B$304,"&gt;="&amp;RepFrom,Payments!$B$5:$B$304,"&lt;="&amp;RepTo))</f>
        <v>0</v>
      </c>
      <c r="AP106" s="28">
        <f>IF(Lists!$E106="","",Lists!$E106)</f>
        <v>0</v>
      </c>
      <c r="AQ106" s="31">
        <f>IF(AP106="","",COUNTIFS(Clients!$K$5:$K$254,AP106))</f>
        <v>0</v>
      </c>
      <c r="AR106" s="29">
        <f>IF(AP106="","",SUMIFS(Clients!$AE$5:$AE$254,Clients!$K$5:$K$254,AP106))</f>
        <v>0</v>
      </c>
    </row>
    <row r="107" spans="1:44">
      <c r="A107" s="28">
        <f>IF(Clients!$B$107="","",Clients!$B$107)</f>
        <v>0</v>
      </c>
      <c r="B107" s="29">
        <f>IF(A107="","",SUMIFS(Payments!$L$5:$L$304,Payments!$C$5:$C$304,A107,Payments!$B$5:$B$304,"&gt;="&amp;PeriodStart,Payments!$B$5:$B$304,"&lt;="&amp;PeriodEnd))</f>
        <v>0</v>
      </c>
      <c r="C107" s="51">
        <f>IF(A107="","",IF(B107&lt;=0,"",B107+ROW()/1000000))</f>
        <v>0</v>
      </c>
      <c r="D107" s="29">
        <f>IF(A107="","",SUMIFS(Payments!$L$5:$L$304,Payments!$C$5:$C$304,A107,Payments!$B$5:$B$304,"&gt;="&amp;RepFrom,Payments!$B$5:$B$304,"&lt;="&amp;RepTo))</f>
        <v>0</v>
      </c>
      <c r="E107" s="51">
        <f>IF(A107="","",IF(D107&lt;=0,"",D107+ROW()/1000000))</f>
        <v>0</v>
      </c>
      <c r="F107" s="29">
        <f>IF(A107="","",SUMIFS(Invoices!$S$5:$S$304,Invoices!$D$5:$D$304,A107,Invoices!$T$5:$T$304,"&lt;&gt;Cancelled"))</f>
        <v>0</v>
      </c>
      <c r="G107" s="51">
        <f>IF(A107="","",IF(F107&lt;=0.004,"",F107+ROW()/1000000))</f>
        <v>0</v>
      </c>
      <c r="H107" s="31">
        <f>IF(A107="","",COUNTIFS(Bookings!$C$5:$C$404,A107,Bookings!$I$5:$I$404,"&gt;="&amp;RepFrom,Bookings!$I$5:$I$404,"&lt;="&amp;RepTo,Bookings!$AM$5:$AM$404,"&lt;&gt;Cancelled"))</f>
        <v>0</v>
      </c>
      <c r="I107" s="28">
        <f>IF(Services!$B$107="","",Services!$B$107)</f>
        <v>0</v>
      </c>
      <c r="J107" s="29">
        <f>IF(I107="","",SUMIFS(Bookings!$AK$5:$AK$404,Bookings!$H$5:$H$404,I107,Bookings!$I$5:$I$404,"&gt;="&amp;PeriodStart,Bookings!$I$5:$I$404,"&lt;="&amp;PeriodEnd,Bookings!$AM$5:$AM$404,"&lt;&gt;Cancelled"))</f>
        <v>0</v>
      </c>
      <c r="K107" s="31">
        <f>IF(I107="","",COUNTIFS(Bookings!$H$5:$H$404,I107,Bookings!$I$5:$I$404,"&gt;="&amp;PeriodStart,Bookings!$I$5:$I$404,"&lt;="&amp;PeriodEnd,Bookings!$AM$5:$AM$404,"&lt;&gt;Cancelled"))</f>
        <v>0</v>
      </c>
      <c r="L107" s="29">
        <f>IF(I107="","",SUMIFS(Bookings!$AK$5:$AK$404,Bookings!$H$5:$H$404,I107,Bookings!$I$5:$I$404,"&gt;="&amp;RepFrom,Bookings!$I$5:$I$404,"&lt;="&amp;RepTo,Bookings!$AM$5:$AM$404,"&lt;&gt;Cancelled"))</f>
        <v>0</v>
      </c>
      <c r="M107" s="31">
        <f>IF(I107="","",COUNTIFS(Bookings!$H$5:$H$404,I107,Bookings!$I$5:$I$404,"&gt;="&amp;RepFrom,Bookings!$I$5:$I$404,"&lt;="&amp;RepTo,Bookings!$AM$5:$AM$404,"&lt;&gt;Cancelled"))</f>
        <v>0</v>
      </c>
      <c r="N107" s="29">
        <f>IF(I107="","",M107*IF(Services!$L$107="",0,Services!$L$107))</f>
        <v>0</v>
      </c>
      <c r="O107" s="29">
        <f>IF(I107="","",L107-N107)</f>
        <v>0</v>
      </c>
      <c r="P107" s="28">
        <f>IF(Lists!$AG107="","",Lists!$AG107)</f>
        <v>0</v>
      </c>
      <c r="Q107" s="29">
        <f>IF(P107="","",SUMIFS(Expenses!$F$5:$F$304,Expenses!$C$5:$C$304,P107,Expenses!$B$5:$B$304,"&gt;="&amp;PeriodStart,Expenses!$B$5:$B$304,"&lt;="&amp;PeriodEnd,Expenses!$J$5:$J$304,"&lt;&gt;Personal"))</f>
        <v>0</v>
      </c>
      <c r="R107" s="29">
        <f>IF(P107="","",SUMIFS(Expenses!$F$5:$F$304,Expenses!$C$5:$C$304,P107,Expenses!$B$5:$B$304,"&gt;="&amp;RepFrom,Expenses!$B$5:$B$304,"&lt;="&amp;RepTo,Expenses!$J$5:$J$304,"&lt;&gt;Personal"))</f>
        <v>0</v>
      </c>
      <c r="S107" s="21">
        <f>IF(ROW()-4&gt;12,"",DATE(Dash_Year,ROW()-4,1))</f>
        <v>0</v>
      </c>
      <c r="T107" s="21">
        <f>IF(S107="","",EOMONTH(S107,0))</f>
        <v>0</v>
      </c>
      <c r="U107" s="28">
        <f>IF(S107="","",TEXT(S107,"mmm"))</f>
        <v>0</v>
      </c>
      <c r="V107" s="29">
        <f>IF(S107="","",SUMIFS(Payments!$L$5:$L$304,Payments!$B$5:$B$304,"&gt;="&amp;S107,Payments!$B$5:$B$304,"&lt;="&amp;T107))</f>
        <v>0</v>
      </c>
      <c r="W107" s="29">
        <f>IF(S107="","",SUMIFS(Invoices!$O$5:$O$304,Invoices!$B$5:$B$304,"&gt;="&amp;S107,Invoices!$B$5:$B$304,"&lt;="&amp;T107,Invoices!$T$5:$T$304,"&lt;&gt;Cancelled"))</f>
        <v>0</v>
      </c>
      <c r="X107" s="29">
        <f>IF(S107="","",SUMIFS(Expenses!$F$5:$F$304,Expenses!$B$5:$B$304,"&gt;="&amp;S107,Expenses!$B$5:$B$304,"&lt;="&amp;T107,Expenses!$J$5:$J$304,"&lt;&gt;Personal"))</f>
        <v>0</v>
      </c>
      <c r="Y107" s="29">
        <f>IF(S107="","",V107-X107)</f>
        <v>0</v>
      </c>
      <c r="Z107" s="31">
        <f>IF(S107="","",COUNTIFS(Bookings!$I$5:$I$404,"&gt;="&amp;S107,Bookings!$I$5:$I$404,"&lt;="&amp;T107,Bookings!$AM$5:$AM$404,"&lt;&gt;Cancelled"))</f>
        <v>0</v>
      </c>
      <c r="AA107" s="31">
        <f>IF(S107="","",COUNTIFS(Bookings!$I$5:$I$404,"&gt;="&amp;S107,Bookings!$I$5:$I$404,"&lt;="&amp;T107,Bookings!$AM$5:$AM$404,"Completed"))</f>
        <v>0</v>
      </c>
      <c r="AB107" s="31">
        <f>IF(S107="","",COUNTIFS(Bookings!$I$5:$I$404,"&gt;="&amp;S107,Bookings!$I$5:$I$404,"&lt;="&amp;T107,Bookings!$AM$5:$AM$404,"Cancelled"))</f>
        <v>0</v>
      </c>
      <c r="AC107" s="31">
        <f>IF(S107="","",COUNTIFS('Visit Log'!$C$5:$C$404,"&gt;="&amp;S107,'Visit Log'!$C$5:$C$404,"&lt;="&amp;T107,'Visit Log'!$AE$5:$AE$404,"Completed"))</f>
        <v>0</v>
      </c>
      <c r="AD107" s="31">
        <f>IF(S107="","",COUNTIFS(Clients!$L$5:$L$254,"&gt;="&amp;S107,Clients!$L$5:$L$254,"&lt;="&amp;T107))</f>
        <v>0</v>
      </c>
      <c r="AE107" s="32">
        <f>IF(S107="","",SUMIFS(Mileage!$M$5:$M$304,Mileage!$B$5:$B$304,"&gt;="&amp;S107,Mileage!$B$5:$B$304,"&lt;="&amp;T107,Mileage!$N$5:$N$304,"Business"))</f>
        <v>0</v>
      </c>
      <c r="AF107" s="29">
        <f>IF(S107="","",SUMIFS(Payments!$L$5:$L$304,Payments!$B$5:$B$304,"&gt;="&amp;DATE(Dash_Year-1,ROW()-4,1),Payments!$B$5:$B$304,"&lt;="&amp;EOMONTH(DATE(Dash_Year-1,ROW()-4,1),0)))</f>
        <v>0</v>
      </c>
      <c r="AG107" s="28">
        <f>IF(Staff!$B$107="","",Staff!$B$107)</f>
        <v>0</v>
      </c>
      <c r="AH107" s="31">
        <f>IF(AG107="","",COUNTIFS('Visit Log'!$G$5:$G$404,AG107,'Visit Log'!$C$5:$C$404,"&gt;="&amp;RepFrom,'Visit Log'!$C$5:$C$404,"&lt;="&amp;RepTo,'Visit Log'!$AE$5:$AE$404,"Completed"))</f>
        <v>0</v>
      </c>
      <c r="AI107" s="51">
        <f>IF(AG107="","",ROUND(SUMIFS('Visit Log'!$K$5:$K$404,'Visit Log'!$G$5:$G$404,AG107,'Visit Log'!$C$5:$C$404,"&gt;="&amp;RepFrom,'Visit Log'!$C$5:$C$404,"&lt;="&amp;RepTo,'Visit Log'!$AE$5:$AE$404,"Completed")/60,2))</f>
        <v>0</v>
      </c>
      <c r="AJ107" s="29">
        <f>IF(AG107="","",SUMIFS(Bookings!$AK$5:$AK$404,Bookings!$AL$5:$AL$404,AG107,Bookings!$I$5:$I$404,"&gt;="&amp;RepFrom,Bookings!$I$5:$I$404,"&lt;="&amp;RepTo,Bookings!$AM$5:$AM$404,"&lt;&gt;Cancelled"))</f>
        <v>0</v>
      </c>
      <c r="AK107" s="32">
        <f>IF(AG107="","",SUMIFS(Mileage!$M$5:$M$304,Mileage!$C$5:$C$304,AG107,Mileage!$B$5:$B$304,"&gt;="&amp;RepFrom,Mileage!$B$5:$B$304,"&lt;="&amp;RepTo))</f>
        <v>0</v>
      </c>
      <c r="AL107" s="28">
        <f>IF(Lists!$Q107="","",Lists!$Q107)</f>
        <v>0</v>
      </c>
      <c r="AM107" s="31">
        <f>IF(AL107="","",COUNTIFS(Bookings!$AV$5:$AV$404,AL107,Bookings!$I$5:$I$404,"&gt;="&amp;RepFrom,Bookings!$I$5:$I$404,"&lt;="&amp;RepTo))</f>
        <v>0</v>
      </c>
      <c r="AN107" s="28">
        <f>IF(Lists!$AF107="","",Lists!$AF107)</f>
        <v>0</v>
      </c>
      <c r="AO107" s="29">
        <f>IF(AN107="","",SUMIFS(Payments!$L$5:$L$304,Payments!$F$5:$F$304,AN107,Payments!$B$5:$B$304,"&gt;="&amp;RepFrom,Payments!$B$5:$B$304,"&lt;="&amp;RepTo))</f>
        <v>0</v>
      </c>
      <c r="AP107" s="28">
        <f>IF(Lists!$E107="","",Lists!$E107)</f>
        <v>0</v>
      </c>
      <c r="AQ107" s="31">
        <f>IF(AP107="","",COUNTIFS(Clients!$K$5:$K$254,AP107))</f>
        <v>0</v>
      </c>
      <c r="AR107" s="29">
        <f>IF(AP107="","",SUMIFS(Clients!$AE$5:$AE$254,Clients!$K$5:$K$254,AP107))</f>
        <v>0</v>
      </c>
    </row>
    <row r="108" spans="1:44">
      <c r="A108" s="28">
        <f>IF(Clients!$B$108="","",Clients!$B$108)</f>
        <v>0</v>
      </c>
      <c r="B108" s="29">
        <f>IF(A108="","",SUMIFS(Payments!$L$5:$L$304,Payments!$C$5:$C$304,A108,Payments!$B$5:$B$304,"&gt;="&amp;PeriodStart,Payments!$B$5:$B$304,"&lt;="&amp;PeriodEnd))</f>
        <v>0</v>
      </c>
      <c r="C108" s="51">
        <f>IF(A108="","",IF(B108&lt;=0,"",B108+ROW()/1000000))</f>
        <v>0</v>
      </c>
      <c r="D108" s="29">
        <f>IF(A108="","",SUMIFS(Payments!$L$5:$L$304,Payments!$C$5:$C$304,A108,Payments!$B$5:$B$304,"&gt;="&amp;RepFrom,Payments!$B$5:$B$304,"&lt;="&amp;RepTo))</f>
        <v>0</v>
      </c>
      <c r="E108" s="51">
        <f>IF(A108="","",IF(D108&lt;=0,"",D108+ROW()/1000000))</f>
        <v>0</v>
      </c>
      <c r="F108" s="29">
        <f>IF(A108="","",SUMIFS(Invoices!$S$5:$S$304,Invoices!$D$5:$D$304,A108,Invoices!$T$5:$T$304,"&lt;&gt;Cancelled"))</f>
        <v>0</v>
      </c>
      <c r="G108" s="51">
        <f>IF(A108="","",IF(F108&lt;=0.004,"",F108+ROW()/1000000))</f>
        <v>0</v>
      </c>
      <c r="H108" s="31">
        <f>IF(A108="","",COUNTIFS(Bookings!$C$5:$C$404,A108,Bookings!$I$5:$I$404,"&gt;="&amp;RepFrom,Bookings!$I$5:$I$404,"&lt;="&amp;RepTo,Bookings!$AM$5:$AM$404,"&lt;&gt;Cancelled"))</f>
        <v>0</v>
      </c>
      <c r="I108" s="28">
        <f>IF(Services!$B$108="","",Services!$B$108)</f>
        <v>0</v>
      </c>
      <c r="J108" s="29">
        <f>IF(I108="","",SUMIFS(Bookings!$AK$5:$AK$404,Bookings!$H$5:$H$404,I108,Bookings!$I$5:$I$404,"&gt;="&amp;PeriodStart,Bookings!$I$5:$I$404,"&lt;="&amp;PeriodEnd,Bookings!$AM$5:$AM$404,"&lt;&gt;Cancelled"))</f>
        <v>0</v>
      </c>
      <c r="K108" s="31">
        <f>IF(I108="","",COUNTIFS(Bookings!$H$5:$H$404,I108,Bookings!$I$5:$I$404,"&gt;="&amp;PeriodStart,Bookings!$I$5:$I$404,"&lt;="&amp;PeriodEnd,Bookings!$AM$5:$AM$404,"&lt;&gt;Cancelled"))</f>
        <v>0</v>
      </c>
      <c r="L108" s="29">
        <f>IF(I108="","",SUMIFS(Bookings!$AK$5:$AK$404,Bookings!$H$5:$H$404,I108,Bookings!$I$5:$I$404,"&gt;="&amp;RepFrom,Bookings!$I$5:$I$404,"&lt;="&amp;RepTo,Bookings!$AM$5:$AM$404,"&lt;&gt;Cancelled"))</f>
        <v>0</v>
      </c>
      <c r="M108" s="31">
        <f>IF(I108="","",COUNTIFS(Bookings!$H$5:$H$404,I108,Bookings!$I$5:$I$404,"&gt;="&amp;RepFrom,Bookings!$I$5:$I$404,"&lt;="&amp;RepTo,Bookings!$AM$5:$AM$404,"&lt;&gt;Cancelled"))</f>
        <v>0</v>
      </c>
      <c r="N108" s="29">
        <f>IF(I108="","",M108*IF(Services!$L$108="",0,Services!$L$108))</f>
        <v>0</v>
      </c>
      <c r="O108" s="29">
        <f>IF(I108="","",L108-N108)</f>
        <v>0</v>
      </c>
      <c r="P108" s="28">
        <f>IF(Lists!$AG108="","",Lists!$AG108)</f>
        <v>0</v>
      </c>
      <c r="Q108" s="29">
        <f>IF(P108="","",SUMIFS(Expenses!$F$5:$F$304,Expenses!$C$5:$C$304,P108,Expenses!$B$5:$B$304,"&gt;="&amp;PeriodStart,Expenses!$B$5:$B$304,"&lt;="&amp;PeriodEnd,Expenses!$J$5:$J$304,"&lt;&gt;Personal"))</f>
        <v>0</v>
      </c>
      <c r="R108" s="29">
        <f>IF(P108="","",SUMIFS(Expenses!$F$5:$F$304,Expenses!$C$5:$C$304,P108,Expenses!$B$5:$B$304,"&gt;="&amp;RepFrom,Expenses!$B$5:$B$304,"&lt;="&amp;RepTo,Expenses!$J$5:$J$304,"&lt;&gt;Personal"))</f>
        <v>0</v>
      </c>
      <c r="S108" s="21">
        <f>IF(ROW()-4&gt;12,"",DATE(Dash_Year,ROW()-4,1))</f>
        <v>0</v>
      </c>
      <c r="T108" s="21">
        <f>IF(S108="","",EOMONTH(S108,0))</f>
        <v>0</v>
      </c>
      <c r="U108" s="28">
        <f>IF(S108="","",TEXT(S108,"mmm"))</f>
        <v>0</v>
      </c>
      <c r="V108" s="29">
        <f>IF(S108="","",SUMIFS(Payments!$L$5:$L$304,Payments!$B$5:$B$304,"&gt;="&amp;S108,Payments!$B$5:$B$304,"&lt;="&amp;T108))</f>
        <v>0</v>
      </c>
      <c r="W108" s="29">
        <f>IF(S108="","",SUMIFS(Invoices!$O$5:$O$304,Invoices!$B$5:$B$304,"&gt;="&amp;S108,Invoices!$B$5:$B$304,"&lt;="&amp;T108,Invoices!$T$5:$T$304,"&lt;&gt;Cancelled"))</f>
        <v>0</v>
      </c>
      <c r="X108" s="29">
        <f>IF(S108="","",SUMIFS(Expenses!$F$5:$F$304,Expenses!$B$5:$B$304,"&gt;="&amp;S108,Expenses!$B$5:$B$304,"&lt;="&amp;T108,Expenses!$J$5:$J$304,"&lt;&gt;Personal"))</f>
        <v>0</v>
      </c>
      <c r="Y108" s="29">
        <f>IF(S108="","",V108-X108)</f>
        <v>0</v>
      </c>
      <c r="Z108" s="31">
        <f>IF(S108="","",COUNTIFS(Bookings!$I$5:$I$404,"&gt;="&amp;S108,Bookings!$I$5:$I$404,"&lt;="&amp;T108,Bookings!$AM$5:$AM$404,"&lt;&gt;Cancelled"))</f>
        <v>0</v>
      </c>
      <c r="AA108" s="31">
        <f>IF(S108="","",COUNTIFS(Bookings!$I$5:$I$404,"&gt;="&amp;S108,Bookings!$I$5:$I$404,"&lt;="&amp;T108,Bookings!$AM$5:$AM$404,"Completed"))</f>
        <v>0</v>
      </c>
      <c r="AB108" s="31">
        <f>IF(S108="","",COUNTIFS(Bookings!$I$5:$I$404,"&gt;="&amp;S108,Bookings!$I$5:$I$404,"&lt;="&amp;T108,Bookings!$AM$5:$AM$404,"Cancelled"))</f>
        <v>0</v>
      </c>
      <c r="AC108" s="31">
        <f>IF(S108="","",COUNTIFS('Visit Log'!$C$5:$C$404,"&gt;="&amp;S108,'Visit Log'!$C$5:$C$404,"&lt;="&amp;T108,'Visit Log'!$AE$5:$AE$404,"Completed"))</f>
        <v>0</v>
      </c>
      <c r="AD108" s="31">
        <f>IF(S108="","",COUNTIFS(Clients!$L$5:$L$254,"&gt;="&amp;S108,Clients!$L$5:$L$254,"&lt;="&amp;T108))</f>
        <v>0</v>
      </c>
      <c r="AE108" s="32">
        <f>IF(S108="","",SUMIFS(Mileage!$M$5:$M$304,Mileage!$B$5:$B$304,"&gt;="&amp;S108,Mileage!$B$5:$B$304,"&lt;="&amp;T108,Mileage!$N$5:$N$304,"Business"))</f>
        <v>0</v>
      </c>
      <c r="AF108" s="29">
        <f>IF(S108="","",SUMIFS(Payments!$L$5:$L$304,Payments!$B$5:$B$304,"&gt;="&amp;DATE(Dash_Year-1,ROW()-4,1),Payments!$B$5:$B$304,"&lt;="&amp;EOMONTH(DATE(Dash_Year-1,ROW()-4,1),0)))</f>
        <v>0</v>
      </c>
      <c r="AG108" s="28">
        <f>IF(Staff!$B$108="","",Staff!$B$108)</f>
        <v>0</v>
      </c>
      <c r="AH108" s="31">
        <f>IF(AG108="","",COUNTIFS('Visit Log'!$G$5:$G$404,AG108,'Visit Log'!$C$5:$C$404,"&gt;="&amp;RepFrom,'Visit Log'!$C$5:$C$404,"&lt;="&amp;RepTo,'Visit Log'!$AE$5:$AE$404,"Completed"))</f>
        <v>0</v>
      </c>
      <c r="AI108" s="51">
        <f>IF(AG108="","",ROUND(SUMIFS('Visit Log'!$K$5:$K$404,'Visit Log'!$G$5:$G$404,AG108,'Visit Log'!$C$5:$C$404,"&gt;="&amp;RepFrom,'Visit Log'!$C$5:$C$404,"&lt;="&amp;RepTo,'Visit Log'!$AE$5:$AE$404,"Completed")/60,2))</f>
        <v>0</v>
      </c>
      <c r="AJ108" s="29">
        <f>IF(AG108="","",SUMIFS(Bookings!$AK$5:$AK$404,Bookings!$AL$5:$AL$404,AG108,Bookings!$I$5:$I$404,"&gt;="&amp;RepFrom,Bookings!$I$5:$I$404,"&lt;="&amp;RepTo,Bookings!$AM$5:$AM$404,"&lt;&gt;Cancelled"))</f>
        <v>0</v>
      </c>
      <c r="AK108" s="32">
        <f>IF(AG108="","",SUMIFS(Mileage!$M$5:$M$304,Mileage!$C$5:$C$304,AG108,Mileage!$B$5:$B$304,"&gt;="&amp;RepFrom,Mileage!$B$5:$B$304,"&lt;="&amp;RepTo))</f>
        <v>0</v>
      </c>
      <c r="AL108" s="28">
        <f>IF(Lists!$Q108="","",Lists!$Q108)</f>
        <v>0</v>
      </c>
      <c r="AM108" s="31">
        <f>IF(AL108="","",COUNTIFS(Bookings!$AV$5:$AV$404,AL108,Bookings!$I$5:$I$404,"&gt;="&amp;RepFrom,Bookings!$I$5:$I$404,"&lt;="&amp;RepTo))</f>
        <v>0</v>
      </c>
      <c r="AN108" s="28">
        <f>IF(Lists!$AF108="","",Lists!$AF108)</f>
        <v>0</v>
      </c>
      <c r="AO108" s="29">
        <f>IF(AN108="","",SUMIFS(Payments!$L$5:$L$304,Payments!$F$5:$F$304,AN108,Payments!$B$5:$B$304,"&gt;="&amp;RepFrom,Payments!$B$5:$B$304,"&lt;="&amp;RepTo))</f>
        <v>0</v>
      </c>
      <c r="AP108" s="28">
        <f>IF(Lists!$E108="","",Lists!$E108)</f>
        <v>0</v>
      </c>
      <c r="AQ108" s="31">
        <f>IF(AP108="","",COUNTIFS(Clients!$K$5:$K$254,AP108))</f>
        <v>0</v>
      </c>
      <c r="AR108" s="29">
        <f>IF(AP108="","",SUMIFS(Clients!$AE$5:$AE$254,Clients!$K$5:$K$254,AP108))</f>
        <v>0</v>
      </c>
    </row>
    <row r="109" spans="1:44">
      <c r="A109" s="28">
        <f>IF(Clients!$B$109="","",Clients!$B$109)</f>
        <v>0</v>
      </c>
      <c r="B109" s="29">
        <f>IF(A109="","",SUMIFS(Payments!$L$5:$L$304,Payments!$C$5:$C$304,A109,Payments!$B$5:$B$304,"&gt;="&amp;PeriodStart,Payments!$B$5:$B$304,"&lt;="&amp;PeriodEnd))</f>
        <v>0</v>
      </c>
      <c r="C109" s="51">
        <f>IF(A109="","",IF(B109&lt;=0,"",B109+ROW()/1000000))</f>
        <v>0</v>
      </c>
      <c r="D109" s="29">
        <f>IF(A109="","",SUMIFS(Payments!$L$5:$L$304,Payments!$C$5:$C$304,A109,Payments!$B$5:$B$304,"&gt;="&amp;RepFrom,Payments!$B$5:$B$304,"&lt;="&amp;RepTo))</f>
        <v>0</v>
      </c>
      <c r="E109" s="51">
        <f>IF(A109="","",IF(D109&lt;=0,"",D109+ROW()/1000000))</f>
        <v>0</v>
      </c>
      <c r="F109" s="29">
        <f>IF(A109="","",SUMIFS(Invoices!$S$5:$S$304,Invoices!$D$5:$D$304,A109,Invoices!$T$5:$T$304,"&lt;&gt;Cancelled"))</f>
        <v>0</v>
      </c>
      <c r="G109" s="51">
        <f>IF(A109="","",IF(F109&lt;=0.004,"",F109+ROW()/1000000))</f>
        <v>0</v>
      </c>
      <c r="H109" s="31">
        <f>IF(A109="","",COUNTIFS(Bookings!$C$5:$C$404,A109,Bookings!$I$5:$I$404,"&gt;="&amp;RepFrom,Bookings!$I$5:$I$404,"&lt;="&amp;RepTo,Bookings!$AM$5:$AM$404,"&lt;&gt;Cancelled"))</f>
        <v>0</v>
      </c>
      <c r="I109" s="28">
        <f>IF(Services!$B$109="","",Services!$B$109)</f>
        <v>0</v>
      </c>
      <c r="J109" s="29">
        <f>IF(I109="","",SUMIFS(Bookings!$AK$5:$AK$404,Bookings!$H$5:$H$404,I109,Bookings!$I$5:$I$404,"&gt;="&amp;PeriodStart,Bookings!$I$5:$I$404,"&lt;="&amp;PeriodEnd,Bookings!$AM$5:$AM$404,"&lt;&gt;Cancelled"))</f>
        <v>0</v>
      </c>
      <c r="K109" s="31">
        <f>IF(I109="","",COUNTIFS(Bookings!$H$5:$H$404,I109,Bookings!$I$5:$I$404,"&gt;="&amp;PeriodStart,Bookings!$I$5:$I$404,"&lt;="&amp;PeriodEnd,Bookings!$AM$5:$AM$404,"&lt;&gt;Cancelled"))</f>
        <v>0</v>
      </c>
      <c r="L109" s="29">
        <f>IF(I109="","",SUMIFS(Bookings!$AK$5:$AK$404,Bookings!$H$5:$H$404,I109,Bookings!$I$5:$I$404,"&gt;="&amp;RepFrom,Bookings!$I$5:$I$404,"&lt;="&amp;RepTo,Bookings!$AM$5:$AM$404,"&lt;&gt;Cancelled"))</f>
        <v>0</v>
      </c>
      <c r="M109" s="31">
        <f>IF(I109="","",COUNTIFS(Bookings!$H$5:$H$404,I109,Bookings!$I$5:$I$404,"&gt;="&amp;RepFrom,Bookings!$I$5:$I$404,"&lt;="&amp;RepTo,Bookings!$AM$5:$AM$404,"&lt;&gt;Cancelled"))</f>
        <v>0</v>
      </c>
      <c r="N109" s="29">
        <f>IF(I109="","",M109*IF(Services!$L$109="",0,Services!$L$109))</f>
        <v>0</v>
      </c>
      <c r="O109" s="29">
        <f>IF(I109="","",L109-N109)</f>
        <v>0</v>
      </c>
      <c r="P109" s="28">
        <f>IF(Lists!$AG109="","",Lists!$AG109)</f>
        <v>0</v>
      </c>
      <c r="Q109" s="29">
        <f>IF(P109="","",SUMIFS(Expenses!$F$5:$F$304,Expenses!$C$5:$C$304,P109,Expenses!$B$5:$B$304,"&gt;="&amp;PeriodStart,Expenses!$B$5:$B$304,"&lt;="&amp;PeriodEnd,Expenses!$J$5:$J$304,"&lt;&gt;Personal"))</f>
        <v>0</v>
      </c>
      <c r="R109" s="29">
        <f>IF(P109="","",SUMIFS(Expenses!$F$5:$F$304,Expenses!$C$5:$C$304,P109,Expenses!$B$5:$B$304,"&gt;="&amp;RepFrom,Expenses!$B$5:$B$304,"&lt;="&amp;RepTo,Expenses!$J$5:$J$304,"&lt;&gt;Personal"))</f>
        <v>0</v>
      </c>
      <c r="S109" s="21">
        <f>IF(ROW()-4&gt;12,"",DATE(Dash_Year,ROW()-4,1))</f>
        <v>0</v>
      </c>
      <c r="T109" s="21">
        <f>IF(S109="","",EOMONTH(S109,0))</f>
        <v>0</v>
      </c>
      <c r="U109" s="28">
        <f>IF(S109="","",TEXT(S109,"mmm"))</f>
        <v>0</v>
      </c>
      <c r="V109" s="29">
        <f>IF(S109="","",SUMIFS(Payments!$L$5:$L$304,Payments!$B$5:$B$304,"&gt;="&amp;S109,Payments!$B$5:$B$304,"&lt;="&amp;T109))</f>
        <v>0</v>
      </c>
      <c r="W109" s="29">
        <f>IF(S109="","",SUMIFS(Invoices!$O$5:$O$304,Invoices!$B$5:$B$304,"&gt;="&amp;S109,Invoices!$B$5:$B$304,"&lt;="&amp;T109,Invoices!$T$5:$T$304,"&lt;&gt;Cancelled"))</f>
        <v>0</v>
      </c>
      <c r="X109" s="29">
        <f>IF(S109="","",SUMIFS(Expenses!$F$5:$F$304,Expenses!$B$5:$B$304,"&gt;="&amp;S109,Expenses!$B$5:$B$304,"&lt;="&amp;T109,Expenses!$J$5:$J$304,"&lt;&gt;Personal"))</f>
        <v>0</v>
      </c>
      <c r="Y109" s="29">
        <f>IF(S109="","",V109-X109)</f>
        <v>0</v>
      </c>
      <c r="Z109" s="31">
        <f>IF(S109="","",COUNTIFS(Bookings!$I$5:$I$404,"&gt;="&amp;S109,Bookings!$I$5:$I$404,"&lt;="&amp;T109,Bookings!$AM$5:$AM$404,"&lt;&gt;Cancelled"))</f>
        <v>0</v>
      </c>
      <c r="AA109" s="31">
        <f>IF(S109="","",COUNTIFS(Bookings!$I$5:$I$404,"&gt;="&amp;S109,Bookings!$I$5:$I$404,"&lt;="&amp;T109,Bookings!$AM$5:$AM$404,"Completed"))</f>
        <v>0</v>
      </c>
      <c r="AB109" s="31">
        <f>IF(S109="","",COUNTIFS(Bookings!$I$5:$I$404,"&gt;="&amp;S109,Bookings!$I$5:$I$404,"&lt;="&amp;T109,Bookings!$AM$5:$AM$404,"Cancelled"))</f>
        <v>0</v>
      </c>
      <c r="AC109" s="31">
        <f>IF(S109="","",COUNTIFS('Visit Log'!$C$5:$C$404,"&gt;="&amp;S109,'Visit Log'!$C$5:$C$404,"&lt;="&amp;T109,'Visit Log'!$AE$5:$AE$404,"Completed"))</f>
        <v>0</v>
      </c>
      <c r="AD109" s="31">
        <f>IF(S109="","",COUNTIFS(Clients!$L$5:$L$254,"&gt;="&amp;S109,Clients!$L$5:$L$254,"&lt;="&amp;T109))</f>
        <v>0</v>
      </c>
      <c r="AE109" s="32">
        <f>IF(S109="","",SUMIFS(Mileage!$M$5:$M$304,Mileage!$B$5:$B$304,"&gt;="&amp;S109,Mileage!$B$5:$B$304,"&lt;="&amp;T109,Mileage!$N$5:$N$304,"Business"))</f>
        <v>0</v>
      </c>
      <c r="AF109" s="29">
        <f>IF(S109="","",SUMIFS(Payments!$L$5:$L$304,Payments!$B$5:$B$304,"&gt;="&amp;DATE(Dash_Year-1,ROW()-4,1),Payments!$B$5:$B$304,"&lt;="&amp;EOMONTH(DATE(Dash_Year-1,ROW()-4,1),0)))</f>
        <v>0</v>
      </c>
      <c r="AG109" s="28">
        <f>IF(Staff!$B$109="","",Staff!$B$109)</f>
        <v>0</v>
      </c>
      <c r="AH109" s="31">
        <f>IF(AG109="","",COUNTIFS('Visit Log'!$G$5:$G$404,AG109,'Visit Log'!$C$5:$C$404,"&gt;="&amp;RepFrom,'Visit Log'!$C$5:$C$404,"&lt;="&amp;RepTo,'Visit Log'!$AE$5:$AE$404,"Completed"))</f>
        <v>0</v>
      </c>
      <c r="AI109" s="51">
        <f>IF(AG109="","",ROUND(SUMIFS('Visit Log'!$K$5:$K$404,'Visit Log'!$G$5:$G$404,AG109,'Visit Log'!$C$5:$C$404,"&gt;="&amp;RepFrom,'Visit Log'!$C$5:$C$404,"&lt;="&amp;RepTo,'Visit Log'!$AE$5:$AE$404,"Completed")/60,2))</f>
        <v>0</v>
      </c>
      <c r="AJ109" s="29">
        <f>IF(AG109="","",SUMIFS(Bookings!$AK$5:$AK$404,Bookings!$AL$5:$AL$404,AG109,Bookings!$I$5:$I$404,"&gt;="&amp;RepFrom,Bookings!$I$5:$I$404,"&lt;="&amp;RepTo,Bookings!$AM$5:$AM$404,"&lt;&gt;Cancelled"))</f>
        <v>0</v>
      </c>
      <c r="AK109" s="32">
        <f>IF(AG109="","",SUMIFS(Mileage!$M$5:$M$304,Mileage!$C$5:$C$304,AG109,Mileage!$B$5:$B$304,"&gt;="&amp;RepFrom,Mileage!$B$5:$B$304,"&lt;="&amp;RepTo))</f>
        <v>0</v>
      </c>
      <c r="AL109" s="28">
        <f>IF(Lists!$Q109="","",Lists!$Q109)</f>
        <v>0</v>
      </c>
      <c r="AM109" s="31">
        <f>IF(AL109="","",COUNTIFS(Bookings!$AV$5:$AV$404,AL109,Bookings!$I$5:$I$404,"&gt;="&amp;RepFrom,Bookings!$I$5:$I$404,"&lt;="&amp;RepTo))</f>
        <v>0</v>
      </c>
      <c r="AN109" s="28">
        <f>IF(Lists!$AF109="","",Lists!$AF109)</f>
        <v>0</v>
      </c>
      <c r="AO109" s="29">
        <f>IF(AN109="","",SUMIFS(Payments!$L$5:$L$304,Payments!$F$5:$F$304,AN109,Payments!$B$5:$B$304,"&gt;="&amp;RepFrom,Payments!$B$5:$B$304,"&lt;="&amp;RepTo))</f>
        <v>0</v>
      </c>
      <c r="AP109" s="28">
        <f>IF(Lists!$E109="","",Lists!$E109)</f>
        <v>0</v>
      </c>
      <c r="AQ109" s="31">
        <f>IF(AP109="","",COUNTIFS(Clients!$K$5:$K$254,AP109))</f>
        <v>0</v>
      </c>
      <c r="AR109" s="29">
        <f>IF(AP109="","",SUMIFS(Clients!$AE$5:$AE$254,Clients!$K$5:$K$254,AP109))</f>
        <v>0</v>
      </c>
    </row>
    <row r="110" spans="1:44">
      <c r="A110" s="28">
        <f>IF(Clients!$B$110="","",Clients!$B$110)</f>
        <v>0</v>
      </c>
      <c r="B110" s="29">
        <f>IF(A110="","",SUMIFS(Payments!$L$5:$L$304,Payments!$C$5:$C$304,A110,Payments!$B$5:$B$304,"&gt;="&amp;PeriodStart,Payments!$B$5:$B$304,"&lt;="&amp;PeriodEnd))</f>
        <v>0</v>
      </c>
      <c r="C110" s="51">
        <f>IF(A110="","",IF(B110&lt;=0,"",B110+ROW()/1000000))</f>
        <v>0</v>
      </c>
      <c r="D110" s="29">
        <f>IF(A110="","",SUMIFS(Payments!$L$5:$L$304,Payments!$C$5:$C$304,A110,Payments!$B$5:$B$304,"&gt;="&amp;RepFrom,Payments!$B$5:$B$304,"&lt;="&amp;RepTo))</f>
        <v>0</v>
      </c>
      <c r="E110" s="51">
        <f>IF(A110="","",IF(D110&lt;=0,"",D110+ROW()/1000000))</f>
        <v>0</v>
      </c>
      <c r="F110" s="29">
        <f>IF(A110="","",SUMIFS(Invoices!$S$5:$S$304,Invoices!$D$5:$D$304,A110,Invoices!$T$5:$T$304,"&lt;&gt;Cancelled"))</f>
        <v>0</v>
      </c>
      <c r="G110" s="51">
        <f>IF(A110="","",IF(F110&lt;=0.004,"",F110+ROW()/1000000))</f>
        <v>0</v>
      </c>
      <c r="H110" s="31">
        <f>IF(A110="","",COUNTIFS(Bookings!$C$5:$C$404,A110,Bookings!$I$5:$I$404,"&gt;="&amp;RepFrom,Bookings!$I$5:$I$404,"&lt;="&amp;RepTo,Bookings!$AM$5:$AM$404,"&lt;&gt;Cancelled"))</f>
        <v>0</v>
      </c>
      <c r="I110" s="28">
        <f>IF(Services!$B$110="","",Services!$B$110)</f>
        <v>0</v>
      </c>
      <c r="J110" s="29">
        <f>IF(I110="","",SUMIFS(Bookings!$AK$5:$AK$404,Bookings!$H$5:$H$404,I110,Bookings!$I$5:$I$404,"&gt;="&amp;PeriodStart,Bookings!$I$5:$I$404,"&lt;="&amp;PeriodEnd,Bookings!$AM$5:$AM$404,"&lt;&gt;Cancelled"))</f>
        <v>0</v>
      </c>
      <c r="K110" s="31">
        <f>IF(I110="","",COUNTIFS(Bookings!$H$5:$H$404,I110,Bookings!$I$5:$I$404,"&gt;="&amp;PeriodStart,Bookings!$I$5:$I$404,"&lt;="&amp;PeriodEnd,Bookings!$AM$5:$AM$404,"&lt;&gt;Cancelled"))</f>
        <v>0</v>
      </c>
      <c r="L110" s="29">
        <f>IF(I110="","",SUMIFS(Bookings!$AK$5:$AK$404,Bookings!$H$5:$H$404,I110,Bookings!$I$5:$I$404,"&gt;="&amp;RepFrom,Bookings!$I$5:$I$404,"&lt;="&amp;RepTo,Bookings!$AM$5:$AM$404,"&lt;&gt;Cancelled"))</f>
        <v>0</v>
      </c>
      <c r="M110" s="31">
        <f>IF(I110="","",COUNTIFS(Bookings!$H$5:$H$404,I110,Bookings!$I$5:$I$404,"&gt;="&amp;RepFrom,Bookings!$I$5:$I$404,"&lt;="&amp;RepTo,Bookings!$AM$5:$AM$404,"&lt;&gt;Cancelled"))</f>
        <v>0</v>
      </c>
      <c r="N110" s="29">
        <f>IF(I110="","",M110*IF(Services!$L$110="",0,Services!$L$110))</f>
        <v>0</v>
      </c>
      <c r="O110" s="29">
        <f>IF(I110="","",L110-N110)</f>
        <v>0</v>
      </c>
      <c r="P110" s="28">
        <f>IF(Lists!$AG110="","",Lists!$AG110)</f>
        <v>0</v>
      </c>
      <c r="Q110" s="29">
        <f>IF(P110="","",SUMIFS(Expenses!$F$5:$F$304,Expenses!$C$5:$C$304,P110,Expenses!$B$5:$B$304,"&gt;="&amp;PeriodStart,Expenses!$B$5:$B$304,"&lt;="&amp;PeriodEnd,Expenses!$J$5:$J$304,"&lt;&gt;Personal"))</f>
        <v>0</v>
      </c>
      <c r="R110" s="29">
        <f>IF(P110="","",SUMIFS(Expenses!$F$5:$F$304,Expenses!$C$5:$C$304,P110,Expenses!$B$5:$B$304,"&gt;="&amp;RepFrom,Expenses!$B$5:$B$304,"&lt;="&amp;RepTo,Expenses!$J$5:$J$304,"&lt;&gt;Personal"))</f>
        <v>0</v>
      </c>
      <c r="S110" s="21">
        <f>IF(ROW()-4&gt;12,"",DATE(Dash_Year,ROW()-4,1))</f>
        <v>0</v>
      </c>
      <c r="T110" s="21">
        <f>IF(S110="","",EOMONTH(S110,0))</f>
        <v>0</v>
      </c>
      <c r="U110" s="28">
        <f>IF(S110="","",TEXT(S110,"mmm"))</f>
        <v>0</v>
      </c>
      <c r="V110" s="29">
        <f>IF(S110="","",SUMIFS(Payments!$L$5:$L$304,Payments!$B$5:$B$304,"&gt;="&amp;S110,Payments!$B$5:$B$304,"&lt;="&amp;T110))</f>
        <v>0</v>
      </c>
      <c r="W110" s="29">
        <f>IF(S110="","",SUMIFS(Invoices!$O$5:$O$304,Invoices!$B$5:$B$304,"&gt;="&amp;S110,Invoices!$B$5:$B$304,"&lt;="&amp;T110,Invoices!$T$5:$T$304,"&lt;&gt;Cancelled"))</f>
        <v>0</v>
      </c>
      <c r="X110" s="29">
        <f>IF(S110="","",SUMIFS(Expenses!$F$5:$F$304,Expenses!$B$5:$B$304,"&gt;="&amp;S110,Expenses!$B$5:$B$304,"&lt;="&amp;T110,Expenses!$J$5:$J$304,"&lt;&gt;Personal"))</f>
        <v>0</v>
      </c>
      <c r="Y110" s="29">
        <f>IF(S110="","",V110-X110)</f>
        <v>0</v>
      </c>
      <c r="Z110" s="31">
        <f>IF(S110="","",COUNTIFS(Bookings!$I$5:$I$404,"&gt;="&amp;S110,Bookings!$I$5:$I$404,"&lt;="&amp;T110,Bookings!$AM$5:$AM$404,"&lt;&gt;Cancelled"))</f>
        <v>0</v>
      </c>
      <c r="AA110" s="31">
        <f>IF(S110="","",COUNTIFS(Bookings!$I$5:$I$404,"&gt;="&amp;S110,Bookings!$I$5:$I$404,"&lt;="&amp;T110,Bookings!$AM$5:$AM$404,"Completed"))</f>
        <v>0</v>
      </c>
      <c r="AB110" s="31">
        <f>IF(S110="","",COUNTIFS(Bookings!$I$5:$I$404,"&gt;="&amp;S110,Bookings!$I$5:$I$404,"&lt;="&amp;T110,Bookings!$AM$5:$AM$404,"Cancelled"))</f>
        <v>0</v>
      </c>
      <c r="AC110" s="31">
        <f>IF(S110="","",COUNTIFS('Visit Log'!$C$5:$C$404,"&gt;="&amp;S110,'Visit Log'!$C$5:$C$404,"&lt;="&amp;T110,'Visit Log'!$AE$5:$AE$404,"Completed"))</f>
        <v>0</v>
      </c>
      <c r="AD110" s="31">
        <f>IF(S110="","",COUNTIFS(Clients!$L$5:$L$254,"&gt;="&amp;S110,Clients!$L$5:$L$254,"&lt;="&amp;T110))</f>
        <v>0</v>
      </c>
      <c r="AE110" s="32">
        <f>IF(S110="","",SUMIFS(Mileage!$M$5:$M$304,Mileage!$B$5:$B$304,"&gt;="&amp;S110,Mileage!$B$5:$B$304,"&lt;="&amp;T110,Mileage!$N$5:$N$304,"Business"))</f>
        <v>0</v>
      </c>
      <c r="AF110" s="29">
        <f>IF(S110="","",SUMIFS(Payments!$L$5:$L$304,Payments!$B$5:$B$304,"&gt;="&amp;DATE(Dash_Year-1,ROW()-4,1),Payments!$B$5:$B$304,"&lt;="&amp;EOMONTH(DATE(Dash_Year-1,ROW()-4,1),0)))</f>
        <v>0</v>
      </c>
      <c r="AG110" s="28">
        <f>IF(Staff!$B$110="","",Staff!$B$110)</f>
        <v>0</v>
      </c>
      <c r="AH110" s="31">
        <f>IF(AG110="","",COUNTIFS('Visit Log'!$G$5:$G$404,AG110,'Visit Log'!$C$5:$C$404,"&gt;="&amp;RepFrom,'Visit Log'!$C$5:$C$404,"&lt;="&amp;RepTo,'Visit Log'!$AE$5:$AE$404,"Completed"))</f>
        <v>0</v>
      </c>
      <c r="AI110" s="51">
        <f>IF(AG110="","",ROUND(SUMIFS('Visit Log'!$K$5:$K$404,'Visit Log'!$G$5:$G$404,AG110,'Visit Log'!$C$5:$C$404,"&gt;="&amp;RepFrom,'Visit Log'!$C$5:$C$404,"&lt;="&amp;RepTo,'Visit Log'!$AE$5:$AE$404,"Completed")/60,2))</f>
        <v>0</v>
      </c>
      <c r="AJ110" s="29">
        <f>IF(AG110="","",SUMIFS(Bookings!$AK$5:$AK$404,Bookings!$AL$5:$AL$404,AG110,Bookings!$I$5:$I$404,"&gt;="&amp;RepFrom,Bookings!$I$5:$I$404,"&lt;="&amp;RepTo,Bookings!$AM$5:$AM$404,"&lt;&gt;Cancelled"))</f>
        <v>0</v>
      </c>
      <c r="AK110" s="32">
        <f>IF(AG110="","",SUMIFS(Mileage!$M$5:$M$304,Mileage!$C$5:$C$304,AG110,Mileage!$B$5:$B$304,"&gt;="&amp;RepFrom,Mileage!$B$5:$B$304,"&lt;="&amp;RepTo))</f>
        <v>0</v>
      </c>
      <c r="AL110" s="28">
        <f>IF(Lists!$Q110="","",Lists!$Q110)</f>
        <v>0</v>
      </c>
      <c r="AM110" s="31">
        <f>IF(AL110="","",COUNTIFS(Bookings!$AV$5:$AV$404,AL110,Bookings!$I$5:$I$404,"&gt;="&amp;RepFrom,Bookings!$I$5:$I$404,"&lt;="&amp;RepTo))</f>
        <v>0</v>
      </c>
      <c r="AN110" s="28">
        <f>IF(Lists!$AF110="","",Lists!$AF110)</f>
        <v>0</v>
      </c>
      <c r="AO110" s="29">
        <f>IF(AN110="","",SUMIFS(Payments!$L$5:$L$304,Payments!$F$5:$F$304,AN110,Payments!$B$5:$B$304,"&gt;="&amp;RepFrom,Payments!$B$5:$B$304,"&lt;="&amp;RepTo))</f>
        <v>0</v>
      </c>
      <c r="AP110" s="28">
        <f>IF(Lists!$E110="","",Lists!$E110)</f>
        <v>0</v>
      </c>
      <c r="AQ110" s="31">
        <f>IF(AP110="","",COUNTIFS(Clients!$K$5:$K$254,AP110))</f>
        <v>0</v>
      </c>
      <c r="AR110" s="29">
        <f>IF(AP110="","",SUMIFS(Clients!$AE$5:$AE$254,Clients!$K$5:$K$254,AP110))</f>
        <v>0</v>
      </c>
    </row>
    <row r="111" spans="1:44">
      <c r="A111" s="28">
        <f>IF(Clients!$B$111="","",Clients!$B$111)</f>
        <v>0</v>
      </c>
      <c r="B111" s="29">
        <f>IF(A111="","",SUMIFS(Payments!$L$5:$L$304,Payments!$C$5:$C$304,A111,Payments!$B$5:$B$304,"&gt;="&amp;PeriodStart,Payments!$B$5:$B$304,"&lt;="&amp;PeriodEnd))</f>
        <v>0</v>
      </c>
      <c r="C111" s="51">
        <f>IF(A111="","",IF(B111&lt;=0,"",B111+ROW()/1000000))</f>
        <v>0</v>
      </c>
      <c r="D111" s="29">
        <f>IF(A111="","",SUMIFS(Payments!$L$5:$L$304,Payments!$C$5:$C$304,A111,Payments!$B$5:$B$304,"&gt;="&amp;RepFrom,Payments!$B$5:$B$304,"&lt;="&amp;RepTo))</f>
        <v>0</v>
      </c>
      <c r="E111" s="51">
        <f>IF(A111="","",IF(D111&lt;=0,"",D111+ROW()/1000000))</f>
        <v>0</v>
      </c>
      <c r="F111" s="29">
        <f>IF(A111="","",SUMIFS(Invoices!$S$5:$S$304,Invoices!$D$5:$D$304,A111,Invoices!$T$5:$T$304,"&lt;&gt;Cancelled"))</f>
        <v>0</v>
      </c>
      <c r="G111" s="51">
        <f>IF(A111="","",IF(F111&lt;=0.004,"",F111+ROW()/1000000))</f>
        <v>0</v>
      </c>
      <c r="H111" s="31">
        <f>IF(A111="","",COUNTIFS(Bookings!$C$5:$C$404,A111,Bookings!$I$5:$I$404,"&gt;="&amp;RepFrom,Bookings!$I$5:$I$404,"&lt;="&amp;RepTo,Bookings!$AM$5:$AM$404,"&lt;&gt;Cancelled"))</f>
        <v>0</v>
      </c>
      <c r="I111" s="28">
        <f>IF(Services!$B$111="","",Services!$B$111)</f>
        <v>0</v>
      </c>
      <c r="J111" s="29">
        <f>IF(I111="","",SUMIFS(Bookings!$AK$5:$AK$404,Bookings!$H$5:$H$404,I111,Bookings!$I$5:$I$404,"&gt;="&amp;PeriodStart,Bookings!$I$5:$I$404,"&lt;="&amp;PeriodEnd,Bookings!$AM$5:$AM$404,"&lt;&gt;Cancelled"))</f>
        <v>0</v>
      </c>
      <c r="K111" s="31">
        <f>IF(I111="","",COUNTIFS(Bookings!$H$5:$H$404,I111,Bookings!$I$5:$I$404,"&gt;="&amp;PeriodStart,Bookings!$I$5:$I$404,"&lt;="&amp;PeriodEnd,Bookings!$AM$5:$AM$404,"&lt;&gt;Cancelled"))</f>
        <v>0</v>
      </c>
      <c r="L111" s="29">
        <f>IF(I111="","",SUMIFS(Bookings!$AK$5:$AK$404,Bookings!$H$5:$H$404,I111,Bookings!$I$5:$I$404,"&gt;="&amp;RepFrom,Bookings!$I$5:$I$404,"&lt;="&amp;RepTo,Bookings!$AM$5:$AM$404,"&lt;&gt;Cancelled"))</f>
        <v>0</v>
      </c>
      <c r="M111" s="31">
        <f>IF(I111="","",COUNTIFS(Bookings!$H$5:$H$404,I111,Bookings!$I$5:$I$404,"&gt;="&amp;RepFrom,Bookings!$I$5:$I$404,"&lt;="&amp;RepTo,Bookings!$AM$5:$AM$404,"&lt;&gt;Cancelled"))</f>
        <v>0</v>
      </c>
      <c r="N111" s="29">
        <f>IF(I111="","",M111*IF(Services!$L$111="",0,Services!$L$111))</f>
        <v>0</v>
      </c>
      <c r="O111" s="29">
        <f>IF(I111="","",L111-N111)</f>
        <v>0</v>
      </c>
      <c r="P111" s="28">
        <f>IF(Lists!$AG111="","",Lists!$AG111)</f>
        <v>0</v>
      </c>
      <c r="Q111" s="29">
        <f>IF(P111="","",SUMIFS(Expenses!$F$5:$F$304,Expenses!$C$5:$C$304,P111,Expenses!$B$5:$B$304,"&gt;="&amp;PeriodStart,Expenses!$B$5:$B$304,"&lt;="&amp;PeriodEnd,Expenses!$J$5:$J$304,"&lt;&gt;Personal"))</f>
        <v>0</v>
      </c>
      <c r="R111" s="29">
        <f>IF(P111="","",SUMIFS(Expenses!$F$5:$F$304,Expenses!$C$5:$C$304,P111,Expenses!$B$5:$B$304,"&gt;="&amp;RepFrom,Expenses!$B$5:$B$304,"&lt;="&amp;RepTo,Expenses!$J$5:$J$304,"&lt;&gt;Personal"))</f>
        <v>0</v>
      </c>
      <c r="S111" s="21">
        <f>IF(ROW()-4&gt;12,"",DATE(Dash_Year,ROW()-4,1))</f>
        <v>0</v>
      </c>
      <c r="T111" s="21">
        <f>IF(S111="","",EOMONTH(S111,0))</f>
        <v>0</v>
      </c>
      <c r="U111" s="28">
        <f>IF(S111="","",TEXT(S111,"mmm"))</f>
        <v>0</v>
      </c>
      <c r="V111" s="29">
        <f>IF(S111="","",SUMIFS(Payments!$L$5:$L$304,Payments!$B$5:$B$304,"&gt;="&amp;S111,Payments!$B$5:$B$304,"&lt;="&amp;T111))</f>
        <v>0</v>
      </c>
      <c r="W111" s="29">
        <f>IF(S111="","",SUMIFS(Invoices!$O$5:$O$304,Invoices!$B$5:$B$304,"&gt;="&amp;S111,Invoices!$B$5:$B$304,"&lt;="&amp;T111,Invoices!$T$5:$T$304,"&lt;&gt;Cancelled"))</f>
        <v>0</v>
      </c>
      <c r="X111" s="29">
        <f>IF(S111="","",SUMIFS(Expenses!$F$5:$F$304,Expenses!$B$5:$B$304,"&gt;="&amp;S111,Expenses!$B$5:$B$304,"&lt;="&amp;T111,Expenses!$J$5:$J$304,"&lt;&gt;Personal"))</f>
        <v>0</v>
      </c>
      <c r="Y111" s="29">
        <f>IF(S111="","",V111-X111)</f>
        <v>0</v>
      </c>
      <c r="Z111" s="31">
        <f>IF(S111="","",COUNTIFS(Bookings!$I$5:$I$404,"&gt;="&amp;S111,Bookings!$I$5:$I$404,"&lt;="&amp;T111,Bookings!$AM$5:$AM$404,"&lt;&gt;Cancelled"))</f>
        <v>0</v>
      </c>
      <c r="AA111" s="31">
        <f>IF(S111="","",COUNTIFS(Bookings!$I$5:$I$404,"&gt;="&amp;S111,Bookings!$I$5:$I$404,"&lt;="&amp;T111,Bookings!$AM$5:$AM$404,"Completed"))</f>
        <v>0</v>
      </c>
      <c r="AB111" s="31">
        <f>IF(S111="","",COUNTIFS(Bookings!$I$5:$I$404,"&gt;="&amp;S111,Bookings!$I$5:$I$404,"&lt;="&amp;T111,Bookings!$AM$5:$AM$404,"Cancelled"))</f>
        <v>0</v>
      </c>
      <c r="AC111" s="31">
        <f>IF(S111="","",COUNTIFS('Visit Log'!$C$5:$C$404,"&gt;="&amp;S111,'Visit Log'!$C$5:$C$404,"&lt;="&amp;T111,'Visit Log'!$AE$5:$AE$404,"Completed"))</f>
        <v>0</v>
      </c>
      <c r="AD111" s="31">
        <f>IF(S111="","",COUNTIFS(Clients!$L$5:$L$254,"&gt;="&amp;S111,Clients!$L$5:$L$254,"&lt;="&amp;T111))</f>
        <v>0</v>
      </c>
      <c r="AE111" s="32">
        <f>IF(S111="","",SUMIFS(Mileage!$M$5:$M$304,Mileage!$B$5:$B$304,"&gt;="&amp;S111,Mileage!$B$5:$B$304,"&lt;="&amp;T111,Mileage!$N$5:$N$304,"Business"))</f>
        <v>0</v>
      </c>
      <c r="AF111" s="29">
        <f>IF(S111="","",SUMIFS(Payments!$L$5:$L$304,Payments!$B$5:$B$304,"&gt;="&amp;DATE(Dash_Year-1,ROW()-4,1),Payments!$B$5:$B$304,"&lt;="&amp;EOMONTH(DATE(Dash_Year-1,ROW()-4,1),0)))</f>
        <v>0</v>
      </c>
      <c r="AG111" s="28">
        <f>IF(Staff!$B$111="","",Staff!$B$111)</f>
        <v>0</v>
      </c>
      <c r="AH111" s="31">
        <f>IF(AG111="","",COUNTIFS('Visit Log'!$G$5:$G$404,AG111,'Visit Log'!$C$5:$C$404,"&gt;="&amp;RepFrom,'Visit Log'!$C$5:$C$404,"&lt;="&amp;RepTo,'Visit Log'!$AE$5:$AE$404,"Completed"))</f>
        <v>0</v>
      </c>
      <c r="AI111" s="51">
        <f>IF(AG111="","",ROUND(SUMIFS('Visit Log'!$K$5:$K$404,'Visit Log'!$G$5:$G$404,AG111,'Visit Log'!$C$5:$C$404,"&gt;="&amp;RepFrom,'Visit Log'!$C$5:$C$404,"&lt;="&amp;RepTo,'Visit Log'!$AE$5:$AE$404,"Completed")/60,2))</f>
        <v>0</v>
      </c>
      <c r="AJ111" s="29">
        <f>IF(AG111="","",SUMIFS(Bookings!$AK$5:$AK$404,Bookings!$AL$5:$AL$404,AG111,Bookings!$I$5:$I$404,"&gt;="&amp;RepFrom,Bookings!$I$5:$I$404,"&lt;="&amp;RepTo,Bookings!$AM$5:$AM$404,"&lt;&gt;Cancelled"))</f>
        <v>0</v>
      </c>
      <c r="AK111" s="32">
        <f>IF(AG111="","",SUMIFS(Mileage!$M$5:$M$304,Mileage!$C$5:$C$304,AG111,Mileage!$B$5:$B$304,"&gt;="&amp;RepFrom,Mileage!$B$5:$B$304,"&lt;="&amp;RepTo))</f>
        <v>0</v>
      </c>
      <c r="AL111" s="28">
        <f>IF(Lists!$Q111="","",Lists!$Q111)</f>
        <v>0</v>
      </c>
      <c r="AM111" s="31">
        <f>IF(AL111="","",COUNTIFS(Bookings!$AV$5:$AV$404,AL111,Bookings!$I$5:$I$404,"&gt;="&amp;RepFrom,Bookings!$I$5:$I$404,"&lt;="&amp;RepTo))</f>
        <v>0</v>
      </c>
      <c r="AN111" s="28">
        <f>IF(Lists!$AF111="","",Lists!$AF111)</f>
        <v>0</v>
      </c>
      <c r="AO111" s="29">
        <f>IF(AN111="","",SUMIFS(Payments!$L$5:$L$304,Payments!$F$5:$F$304,AN111,Payments!$B$5:$B$304,"&gt;="&amp;RepFrom,Payments!$B$5:$B$304,"&lt;="&amp;RepTo))</f>
        <v>0</v>
      </c>
      <c r="AP111" s="28">
        <f>IF(Lists!$E111="","",Lists!$E111)</f>
        <v>0</v>
      </c>
      <c r="AQ111" s="31">
        <f>IF(AP111="","",COUNTIFS(Clients!$K$5:$K$254,AP111))</f>
        <v>0</v>
      </c>
      <c r="AR111" s="29">
        <f>IF(AP111="","",SUMIFS(Clients!$AE$5:$AE$254,Clients!$K$5:$K$254,AP111))</f>
        <v>0</v>
      </c>
    </row>
    <row r="112" spans="1:44">
      <c r="A112" s="28">
        <f>IF(Clients!$B$112="","",Clients!$B$112)</f>
        <v>0</v>
      </c>
      <c r="B112" s="29">
        <f>IF(A112="","",SUMIFS(Payments!$L$5:$L$304,Payments!$C$5:$C$304,A112,Payments!$B$5:$B$304,"&gt;="&amp;PeriodStart,Payments!$B$5:$B$304,"&lt;="&amp;PeriodEnd))</f>
        <v>0</v>
      </c>
      <c r="C112" s="51">
        <f>IF(A112="","",IF(B112&lt;=0,"",B112+ROW()/1000000))</f>
        <v>0</v>
      </c>
      <c r="D112" s="29">
        <f>IF(A112="","",SUMIFS(Payments!$L$5:$L$304,Payments!$C$5:$C$304,A112,Payments!$B$5:$B$304,"&gt;="&amp;RepFrom,Payments!$B$5:$B$304,"&lt;="&amp;RepTo))</f>
        <v>0</v>
      </c>
      <c r="E112" s="51">
        <f>IF(A112="","",IF(D112&lt;=0,"",D112+ROW()/1000000))</f>
        <v>0</v>
      </c>
      <c r="F112" s="29">
        <f>IF(A112="","",SUMIFS(Invoices!$S$5:$S$304,Invoices!$D$5:$D$304,A112,Invoices!$T$5:$T$304,"&lt;&gt;Cancelled"))</f>
        <v>0</v>
      </c>
      <c r="G112" s="51">
        <f>IF(A112="","",IF(F112&lt;=0.004,"",F112+ROW()/1000000))</f>
        <v>0</v>
      </c>
      <c r="H112" s="31">
        <f>IF(A112="","",COUNTIFS(Bookings!$C$5:$C$404,A112,Bookings!$I$5:$I$404,"&gt;="&amp;RepFrom,Bookings!$I$5:$I$404,"&lt;="&amp;RepTo,Bookings!$AM$5:$AM$404,"&lt;&gt;Cancelled"))</f>
        <v>0</v>
      </c>
      <c r="I112" s="28">
        <f>IF(Services!$B$112="","",Services!$B$112)</f>
        <v>0</v>
      </c>
      <c r="J112" s="29">
        <f>IF(I112="","",SUMIFS(Bookings!$AK$5:$AK$404,Bookings!$H$5:$H$404,I112,Bookings!$I$5:$I$404,"&gt;="&amp;PeriodStart,Bookings!$I$5:$I$404,"&lt;="&amp;PeriodEnd,Bookings!$AM$5:$AM$404,"&lt;&gt;Cancelled"))</f>
        <v>0</v>
      </c>
      <c r="K112" s="31">
        <f>IF(I112="","",COUNTIFS(Bookings!$H$5:$H$404,I112,Bookings!$I$5:$I$404,"&gt;="&amp;PeriodStart,Bookings!$I$5:$I$404,"&lt;="&amp;PeriodEnd,Bookings!$AM$5:$AM$404,"&lt;&gt;Cancelled"))</f>
        <v>0</v>
      </c>
      <c r="L112" s="29">
        <f>IF(I112="","",SUMIFS(Bookings!$AK$5:$AK$404,Bookings!$H$5:$H$404,I112,Bookings!$I$5:$I$404,"&gt;="&amp;RepFrom,Bookings!$I$5:$I$404,"&lt;="&amp;RepTo,Bookings!$AM$5:$AM$404,"&lt;&gt;Cancelled"))</f>
        <v>0</v>
      </c>
      <c r="M112" s="31">
        <f>IF(I112="","",COUNTIFS(Bookings!$H$5:$H$404,I112,Bookings!$I$5:$I$404,"&gt;="&amp;RepFrom,Bookings!$I$5:$I$404,"&lt;="&amp;RepTo,Bookings!$AM$5:$AM$404,"&lt;&gt;Cancelled"))</f>
        <v>0</v>
      </c>
      <c r="N112" s="29">
        <f>IF(I112="","",M112*IF(Services!$L$112="",0,Services!$L$112))</f>
        <v>0</v>
      </c>
      <c r="O112" s="29">
        <f>IF(I112="","",L112-N112)</f>
        <v>0</v>
      </c>
      <c r="P112" s="28">
        <f>IF(Lists!$AG112="","",Lists!$AG112)</f>
        <v>0</v>
      </c>
      <c r="Q112" s="29">
        <f>IF(P112="","",SUMIFS(Expenses!$F$5:$F$304,Expenses!$C$5:$C$304,P112,Expenses!$B$5:$B$304,"&gt;="&amp;PeriodStart,Expenses!$B$5:$B$304,"&lt;="&amp;PeriodEnd,Expenses!$J$5:$J$304,"&lt;&gt;Personal"))</f>
        <v>0</v>
      </c>
      <c r="R112" s="29">
        <f>IF(P112="","",SUMIFS(Expenses!$F$5:$F$304,Expenses!$C$5:$C$304,P112,Expenses!$B$5:$B$304,"&gt;="&amp;RepFrom,Expenses!$B$5:$B$304,"&lt;="&amp;RepTo,Expenses!$J$5:$J$304,"&lt;&gt;Personal"))</f>
        <v>0</v>
      </c>
      <c r="S112" s="21">
        <f>IF(ROW()-4&gt;12,"",DATE(Dash_Year,ROW()-4,1))</f>
        <v>0</v>
      </c>
      <c r="T112" s="21">
        <f>IF(S112="","",EOMONTH(S112,0))</f>
        <v>0</v>
      </c>
      <c r="U112" s="28">
        <f>IF(S112="","",TEXT(S112,"mmm"))</f>
        <v>0</v>
      </c>
      <c r="V112" s="29">
        <f>IF(S112="","",SUMIFS(Payments!$L$5:$L$304,Payments!$B$5:$B$304,"&gt;="&amp;S112,Payments!$B$5:$B$304,"&lt;="&amp;T112))</f>
        <v>0</v>
      </c>
      <c r="W112" s="29">
        <f>IF(S112="","",SUMIFS(Invoices!$O$5:$O$304,Invoices!$B$5:$B$304,"&gt;="&amp;S112,Invoices!$B$5:$B$304,"&lt;="&amp;T112,Invoices!$T$5:$T$304,"&lt;&gt;Cancelled"))</f>
        <v>0</v>
      </c>
      <c r="X112" s="29">
        <f>IF(S112="","",SUMIFS(Expenses!$F$5:$F$304,Expenses!$B$5:$B$304,"&gt;="&amp;S112,Expenses!$B$5:$B$304,"&lt;="&amp;T112,Expenses!$J$5:$J$304,"&lt;&gt;Personal"))</f>
        <v>0</v>
      </c>
      <c r="Y112" s="29">
        <f>IF(S112="","",V112-X112)</f>
        <v>0</v>
      </c>
      <c r="Z112" s="31">
        <f>IF(S112="","",COUNTIFS(Bookings!$I$5:$I$404,"&gt;="&amp;S112,Bookings!$I$5:$I$404,"&lt;="&amp;T112,Bookings!$AM$5:$AM$404,"&lt;&gt;Cancelled"))</f>
        <v>0</v>
      </c>
      <c r="AA112" s="31">
        <f>IF(S112="","",COUNTIFS(Bookings!$I$5:$I$404,"&gt;="&amp;S112,Bookings!$I$5:$I$404,"&lt;="&amp;T112,Bookings!$AM$5:$AM$404,"Completed"))</f>
        <v>0</v>
      </c>
      <c r="AB112" s="31">
        <f>IF(S112="","",COUNTIFS(Bookings!$I$5:$I$404,"&gt;="&amp;S112,Bookings!$I$5:$I$404,"&lt;="&amp;T112,Bookings!$AM$5:$AM$404,"Cancelled"))</f>
        <v>0</v>
      </c>
      <c r="AC112" s="31">
        <f>IF(S112="","",COUNTIFS('Visit Log'!$C$5:$C$404,"&gt;="&amp;S112,'Visit Log'!$C$5:$C$404,"&lt;="&amp;T112,'Visit Log'!$AE$5:$AE$404,"Completed"))</f>
        <v>0</v>
      </c>
      <c r="AD112" s="31">
        <f>IF(S112="","",COUNTIFS(Clients!$L$5:$L$254,"&gt;="&amp;S112,Clients!$L$5:$L$254,"&lt;="&amp;T112))</f>
        <v>0</v>
      </c>
      <c r="AE112" s="32">
        <f>IF(S112="","",SUMIFS(Mileage!$M$5:$M$304,Mileage!$B$5:$B$304,"&gt;="&amp;S112,Mileage!$B$5:$B$304,"&lt;="&amp;T112,Mileage!$N$5:$N$304,"Business"))</f>
        <v>0</v>
      </c>
      <c r="AF112" s="29">
        <f>IF(S112="","",SUMIFS(Payments!$L$5:$L$304,Payments!$B$5:$B$304,"&gt;="&amp;DATE(Dash_Year-1,ROW()-4,1),Payments!$B$5:$B$304,"&lt;="&amp;EOMONTH(DATE(Dash_Year-1,ROW()-4,1),0)))</f>
        <v>0</v>
      </c>
      <c r="AG112" s="28">
        <f>IF(Staff!$B$112="","",Staff!$B$112)</f>
        <v>0</v>
      </c>
      <c r="AH112" s="31">
        <f>IF(AG112="","",COUNTIFS('Visit Log'!$G$5:$G$404,AG112,'Visit Log'!$C$5:$C$404,"&gt;="&amp;RepFrom,'Visit Log'!$C$5:$C$404,"&lt;="&amp;RepTo,'Visit Log'!$AE$5:$AE$404,"Completed"))</f>
        <v>0</v>
      </c>
      <c r="AI112" s="51">
        <f>IF(AG112="","",ROUND(SUMIFS('Visit Log'!$K$5:$K$404,'Visit Log'!$G$5:$G$404,AG112,'Visit Log'!$C$5:$C$404,"&gt;="&amp;RepFrom,'Visit Log'!$C$5:$C$404,"&lt;="&amp;RepTo,'Visit Log'!$AE$5:$AE$404,"Completed")/60,2))</f>
        <v>0</v>
      </c>
      <c r="AJ112" s="29">
        <f>IF(AG112="","",SUMIFS(Bookings!$AK$5:$AK$404,Bookings!$AL$5:$AL$404,AG112,Bookings!$I$5:$I$404,"&gt;="&amp;RepFrom,Bookings!$I$5:$I$404,"&lt;="&amp;RepTo,Bookings!$AM$5:$AM$404,"&lt;&gt;Cancelled"))</f>
        <v>0</v>
      </c>
      <c r="AK112" s="32">
        <f>IF(AG112="","",SUMIFS(Mileage!$M$5:$M$304,Mileage!$C$5:$C$304,AG112,Mileage!$B$5:$B$304,"&gt;="&amp;RepFrom,Mileage!$B$5:$B$304,"&lt;="&amp;RepTo))</f>
        <v>0</v>
      </c>
      <c r="AL112" s="28">
        <f>IF(Lists!$Q112="","",Lists!$Q112)</f>
        <v>0</v>
      </c>
      <c r="AM112" s="31">
        <f>IF(AL112="","",COUNTIFS(Bookings!$AV$5:$AV$404,AL112,Bookings!$I$5:$I$404,"&gt;="&amp;RepFrom,Bookings!$I$5:$I$404,"&lt;="&amp;RepTo))</f>
        <v>0</v>
      </c>
      <c r="AN112" s="28">
        <f>IF(Lists!$AF112="","",Lists!$AF112)</f>
        <v>0</v>
      </c>
      <c r="AO112" s="29">
        <f>IF(AN112="","",SUMIFS(Payments!$L$5:$L$304,Payments!$F$5:$F$304,AN112,Payments!$B$5:$B$304,"&gt;="&amp;RepFrom,Payments!$B$5:$B$304,"&lt;="&amp;RepTo))</f>
        <v>0</v>
      </c>
      <c r="AP112" s="28">
        <f>IF(Lists!$E112="","",Lists!$E112)</f>
        <v>0</v>
      </c>
      <c r="AQ112" s="31">
        <f>IF(AP112="","",COUNTIFS(Clients!$K$5:$K$254,AP112))</f>
        <v>0</v>
      </c>
      <c r="AR112" s="29">
        <f>IF(AP112="","",SUMIFS(Clients!$AE$5:$AE$254,Clients!$K$5:$K$254,AP112))</f>
        <v>0</v>
      </c>
    </row>
    <row r="113" spans="1:44">
      <c r="A113" s="28">
        <f>IF(Clients!$B$113="","",Clients!$B$113)</f>
        <v>0</v>
      </c>
      <c r="B113" s="29">
        <f>IF(A113="","",SUMIFS(Payments!$L$5:$L$304,Payments!$C$5:$C$304,A113,Payments!$B$5:$B$304,"&gt;="&amp;PeriodStart,Payments!$B$5:$B$304,"&lt;="&amp;PeriodEnd))</f>
        <v>0</v>
      </c>
      <c r="C113" s="51">
        <f>IF(A113="","",IF(B113&lt;=0,"",B113+ROW()/1000000))</f>
        <v>0</v>
      </c>
      <c r="D113" s="29">
        <f>IF(A113="","",SUMIFS(Payments!$L$5:$L$304,Payments!$C$5:$C$304,A113,Payments!$B$5:$B$304,"&gt;="&amp;RepFrom,Payments!$B$5:$B$304,"&lt;="&amp;RepTo))</f>
        <v>0</v>
      </c>
      <c r="E113" s="51">
        <f>IF(A113="","",IF(D113&lt;=0,"",D113+ROW()/1000000))</f>
        <v>0</v>
      </c>
      <c r="F113" s="29">
        <f>IF(A113="","",SUMIFS(Invoices!$S$5:$S$304,Invoices!$D$5:$D$304,A113,Invoices!$T$5:$T$304,"&lt;&gt;Cancelled"))</f>
        <v>0</v>
      </c>
      <c r="G113" s="51">
        <f>IF(A113="","",IF(F113&lt;=0.004,"",F113+ROW()/1000000))</f>
        <v>0</v>
      </c>
      <c r="H113" s="31">
        <f>IF(A113="","",COUNTIFS(Bookings!$C$5:$C$404,A113,Bookings!$I$5:$I$404,"&gt;="&amp;RepFrom,Bookings!$I$5:$I$404,"&lt;="&amp;RepTo,Bookings!$AM$5:$AM$404,"&lt;&gt;Cancelled"))</f>
        <v>0</v>
      </c>
      <c r="I113" s="28">
        <f>IF(Services!$B$113="","",Services!$B$113)</f>
        <v>0</v>
      </c>
      <c r="J113" s="29">
        <f>IF(I113="","",SUMIFS(Bookings!$AK$5:$AK$404,Bookings!$H$5:$H$404,I113,Bookings!$I$5:$I$404,"&gt;="&amp;PeriodStart,Bookings!$I$5:$I$404,"&lt;="&amp;PeriodEnd,Bookings!$AM$5:$AM$404,"&lt;&gt;Cancelled"))</f>
        <v>0</v>
      </c>
      <c r="K113" s="31">
        <f>IF(I113="","",COUNTIFS(Bookings!$H$5:$H$404,I113,Bookings!$I$5:$I$404,"&gt;="&amp;PeriodStart,Bookings!$I$5:$I$404,"&lt;="&amp;PeriodEnd,Bookings!$AM$5:$AM$404,"&lt;&gt;Cancelled"))</f>
        <v>0</v>
      </c>
      <c r="L113" s="29">
        <f>IF(I113="","",SUMIFS(Bookings!$AK$5:$AK$404,Bookings!$H$5:$H$404,I113,Bookings!$I$5:$I$404,"&gt;="&amp;RepFrom,Bookings!$I$5:$I$404,"&lt;="&amp;RepTo,Bookings!$AM$5:$AM$404,"&lt;&gt;Cancelled"))</f>
        <v>0</v>
      </c>
      <c r="M113" s="31">
        <f>IF(I113="","",COUNTIFS(Bookings!$H$5:$H$404,I113,Bookings!$I$5:$I$404,"&gt;="&amp;RepFrom,Bookings!$I$5:$I$404,"&lt;="&amp;RepTo,Bookings!$AM$5:$AM$404,"&lt;&gt;Cancelled"))</f>
        <v>0</v>
      </c>
      <c r="N113" s="29">
        <f>IF(I113="","",M113*IF(Services!$L$113="",0,Services!$L$113))</f>
        <v>0</v>
      </c>
      <c r="O113" s="29">
        <f>IF(I113="","",L113-N113)</f>
        <v>0</v>
      </c>
      <c r="P113" s="28">
        <f>IF(Lists!$AG113="","",Lists!$AG113)</f>
        <v>0</v>
      </c>
      <c r="Q113" s="29">
        <f>IF(P113="","",SUMIFS(Expenses!$F$5:$F$304,Expenses!$C$5:$C$304,P113,Expenses!$B$5:$B$304,"&gt;="&amp;PeriodStart,Expenses!$B$5:$B$304,"&lt;="&amp;PeriodEnd,Expenses!$J$5:$J$304,"&lt;&gt;Personal"))</f>
        <v>0</v>
      </c>
      <c r="R113" s="29">
        <f>IF(P113="","",SUMIFS(Expenses!$F$5:$F$304,Expenses!$C$5:$C$304,P113,Expenses!$B$5:$B$304,"&gt;="&amp;RepFrom,Expenses!$B$5:$B$304,"&lt;="&amp;RepTo,Expenses!$J$5:$J$304,"&lt;&gt;Personal"))</f>
        <v>0</v>
      </c>
      <c r="S113" s="21">
        <f>IF(ROW()-4&gt;12,"",DATE(Dash_Year,ROW()-4,1))</f>
        <v>0</v>
      </c>
      <c r="T113" s="21">
        <f>IF(S113="","",EOMONTH(S113,0))</f>
        <v>0</v>
      </c>
      <c r="U113" s="28">
        <f>IF(S113="","",TEXT(S113,"mmm"))</f>
        <v>0</v>
      </c>
      <c r="V113" s="29">
        <f>IF(S113="","",SUMIFS(Payments!$L$5:$L$304,Payments!$B$5:$B$304,"&gt;="&amp;S113,Payments!$B$5:$B$304,"&lt;="&amp;T113))</f>
        <v>0</v>
      </c>
      <c r="W113" s="29">
        <f>IF(S113="","",SUMIFS(Invoices!$O$5:$O$304,Invoices!$B$5:$B$304,"&gt;="&amp;S113,Invoices!$B$5:$B$304,"&lt;="&amp;T113,Invoices!$T$5:$T$304,"&lt;&gt;Cancelled"))</f>
        <v>0</v>
      </c>
      <c r="X113" s="29">
        <f>IF(S113="","",SUMIFS(Expenses!$F$5:$F$304,Expenses!$B$5:$B$304,"&gt;="&amp;S113,Expenses!$B$5:$B$304,"&lt;="&amp;T113,Expenses!$J$5:$J$304,"&lt;&gt;Personal"))</f>
        <v>0</v>
      </c>
      <c r="Y113" s="29">
        <f>IF(S113="","",V113-X113)</f>
        <v>0</v>
      </c>
      <c r="Z113" s="31">
        <f>IF(S113="","",COUNTIFS(Bookings!$I$5:$I$404,"&gt;="&amp;S113,Bookings!$I$5:$I$404,"&lt;="&amp;T113,Bookings!$AM$5:$AM$404,"&lt;&gt;Cancelled"))</f>
        <v>0</v>
      </c>
      <c r="AA113" s="31">
        <f>IF(S113="","",COUNTIFS(Bookings!$I$5:$I$404,"&gt;="&amp;S113,Bookings!$I$5:$I$404,"&lt;="&amp;T113,Bookings!$AM$5:$AM$404,"Completed"))</f>
        <v>0</v>
      </c>
      <c r="AB113" s="31">
        <f>IF(S113="","",COUNTIFS(Bookings!$I$5:$I$404,"&gt;="&amp;S113,Bookings!$I$5:$I$404,"&lt;="&amp;T113,Bookings!$AM$5:$AM$404,"Cancelled"))</f>
        <v>0</v>
      </c>
      <c r="AC113" s="31">
        <f>IF(S113="","",COUNTIFS('Visit Log'!$C$5:$C$404,"&gt;="&amp;S113,'Visit Log'!$C$5:$C$404,"&lt;="&amp;T113,'Visit Log'!$AE$5:$AE$404,"Completed"))</f>
        <v>0</v>
      </c>
      <c r="AD113" s="31">
        <f>IF(S113="","",COUNTIFS(Clients!$L$5:$L$254,"&gt;="&amp;S113,Clients!$L$5:$L$254,"&lt;="&amp;T113))</f>
        <v>0</v>
      </c>
      <c r="AE113" s="32">
        <f>IF(S113="","",SUMIFS(Mileage!$M$5:$M$304,Mileage!$B$5:$B$304,"&gt;="&amp;S113,Mileage!$B$5:$B$304,"&lt;="&amp;T113,Mileage!$N$5:$N$304,"Business"))</f>
        <v>0</v>
      </c>
      <c r="AF113" s="29">
        <f>IF(S113="","",SUMIFS(Payments!$L$5:$L$304,Payments!$B$5:$B$304,"&gt;="&amp;DATE(Dash_Year-1,ROW()-4,1),Payments!$B$5:$B$304,"&lt;="&amp;EOMONTH(DATE(Dash_Year-1,ROW()-4,1),0)))</f>
        <v>0</v>
      </c>
      <c r="AG113" s="28">
        <f>IF(Staff!$B$113="","",Staff!$B$113)</f>
        <v>0</v>
      </c>
      <c r="AH113" s="31">
        <f>IF(AG113="","",COUNTIFS('Visit Log'!$G$5:$G$404,AG113,'Visit Log'!$C$5:$C$404,"&gt;="&amp;RepFrom,'Visit Log'!$C$5:$C$404,"&lt;="&amp;RepTo,'Visit Log'!$AE$5:$AE$404,"Completed"))</f>
        <v>0</v>
      </c>
      <c r="AI113" s="51">
        <f>IF(AG113="","",ROUND(SUMIFS('Visit Log'!$K$5:$K$404,'Visit Log'!$G$5:$G$404,AG113,'Visit Log'!$C$5:$C$404,"&gt;="&amp;RepFrom,'Visit Log'!$C$5:$C$404,"&lt;="&amp;RepTo,'Visit Log'!$AE$5:$AE$404,"Completed")/60,2))</f>
        <v>0</v>
      </c>
      <c r="AJ113" s="29">
        <f>IF(AG113="","",SUMIFS(Bookings!$AK$5:$AK$404,Bookings!$AL$5:$AL$404,AG113,Bookings!$I$5:$I$404,"&gt;="&amp;RepFrom,Bookings!$I$5:$I$404,"&lt;="&amp;RepTo,Bookings!$AM$5:$AM$404,"&lt;&gt;Cancelled"))</f>
        <v>0</v>
      </c>
      <c r="AK113" s="32">
        <f>IF(AG113="","",SUMIFS(Mileage!$M$5:$M$304,Mileage!$C$5:$C$304,AG113,Mileage!$B$5:$B$304,"&gt;="&amp;RepFrom,Mileage!$B$5:$B$304,"&lt;="&amp;RepTo))</f>
        <v>0</v>
      </c>
      <c r="AL113" s="28">
        <f>IF(Lists!$Q113="","",Lists!$Q113)</f>
        <v>0</v>
      </c>
      <c r="AM113" s="31">
        <f>IF(AL113="","",COUNTIFS(Bookings!$AV$5:$AV$404,AL113,Bookings!$I$5:$I$404,"&gt;="&amp;RepFrom,Bookings!$I$5:$I$404,"&lt;="&amp;RepTo))</f>
        <v>0</v>
      </c>
      <c r="AN113" s="28">
        <f>IF(Lists!$AF113="","",Lists!$AF113)</f>
        <v>0</v>
      </c>
      <c r="AO113" s="29">
        <f>IF(AN113="","",SUMIFS(Payments!$L$5:$L$304,Payments!$F$5:$F$304,AN113,Payments!$B$5:$B$304,"&gt;="&amp;RepFrom,Payments!$B$5:$B$304,"&lt;="&amp;RepTo))</f>
        <v>0</v>
      </c>
      <c r="AP113" s="28">
        <f>IF(Lists!$E113="","",Lists!$E113)</f>
        <v>0</v>
      </c>
      <c r="AQ113" s="31">
        <f>IF(AP113="","",COUNTIFS(Clients!$K$5:$K$254,AP113))</f>
        <v>0</v>
      </c>
      <c r="AR113" s="29">
        <f>IF(AP113="","",SUMIFS(Clients!$AE$5:$AE$254,Clients!$K$5:$K$254,AP113))</f>
        <v>0</v>
      </c>
    </row>
    <row r="114" spans="1:44">
      <c r="A114" s="28">
        <f>IF(Clients!$B$114="","",Clients!$B$114)</f>
        <v>0</v>
      </c>
      <c r="B114" s="29">
        <f>IF(A114="","",SUMIFS(Payments!$L$5:$L$304,Payments!$C$5:$C$304,A114,Payments!$B$5:$B$304,"&gt;="&amp;PeriodStart,Payments!$B$5:$B$304,"&lt;="&amp;PeriodEnd))</f>
        <v>0</v>
      </c>
      <c r="C114" s="51">
        <f>IF(A114="","",IF(B114&lt;=0,"",B114+ROW()/1000000))</f>
        <v>0</v>
      </c>
      <c r="D114" s="29">
        <f>IF(A114="","",SUMIFS(Payments!$L$5:$L$304,Payments!$C$5:$C$304,A114,Payments!$B$5:$B$304,"&gt;="&amp;RepFrom,Payments!$B$5:$B$304,"&lt;="&amp;RepTo))</f>
        <v>0</v>
      </c>
      <c r="E114" s="51">
        <f>IF(A114="","",IF(D114&lt;=0,"",D114+ROW()/1000000))</f>
        <v>0</v>
      </c>
      <c r="F114" s="29">
        <f>IF(A114="","",SUMIFS(Invoices!$S$5:$S$304,Invoices!$D$5:$D$304,A114,Invoices!$T$5:$T$304,"&lt;&gt;Cancelled"))</f>
        <v>0</v>
      </c>
      <c r="G114" s="51">
        <f>IF(A114="","",IF(F114&lt;=0.004,"",F114+ROW()/1000000))</f>
        <v>0</v>
      </c>
      <c r="H114" s="31">
        <f>IF(A114="","",COUNTIFS(Bookings!$C$5:$C$404,A114,Bookings!$I$5:$I$404,"&gt;="&amp;RepFrom,Bookings!$I$5:$I$404,"&lt;="&amp;RepTo,Bookings!$AM$5:$AM$404,"&lt;&gt;Cancelled"))</f>
        <v>0</v>
      </c>
      <c r="I114" s="28">
        <f>IF(Services!$B$114="","",Services!$B$114)</f>
        <v>0</v>
      </c>
      <c r="J114" s="29">
        <f>IF(I114="","",SUMIFS(Bookings!$AK$5:$AK$404,Bookings!$H$5:$H$404,I114,Bookings!$I$5:$I$404,"&gt;="&amp;PeriodStart,Bookings!$I$5:$I$404,"&lt;="&amp;PeriodEnd,Bookings!$AM$5:$AM$404,"&lt;&gt;Cancelled"))</f>
        <v>0</v>
      </c>
      <c r="K114" s="31">
        <f>IF(I114="","",COUNTIFS(Bookings!$H$5:$H$404,I114,Bookings!$I$5:$I$404,"&gt;="&amp;PeriodStart,Bookings!$I$5:$I$404,"&lt;="&amp;PeriodEnd,Bookings!$AM$5:$AM$404,"&lt;&gt;Cancelled"))</f>
        <v>0</v>
      </c>
      <c r="L114" s="29">
        <f>IF(I114="","",SUMIFS(Bookings!$AK$5:$AK$404,Bookings!$H$5:$H$404,I114,Bookings!$I$5:$I$404,"&gt;="&amp;RepFrom,Bookings!$I$5:$I$404,"&lt;="&amp;RepTo,Bookings!$AM$5:$AM$404,"&lt;&gt;Cancelled"))</f>
        <v>0</v>
      </c>
      <c r="M114" s="31">
        <f>IF(I114="","",COUNTIFS(Bookings!$H$5:$H$404,I114,Bookings!$I$5:$I$404,"&gt;="&amp;RepFrom,Bookings!$I$5:$I$404,"&lt;="&amp;RepTo,Bookings!$AM$5:$AM$404,"&lt;&gt;Cancelled"))</f>
        <v>0</v>
      </c>
      <c r="N114" s="29">
        <f>IF(I114="","",M114*IF(Services!$L$114="",0,Services!$L$114))</f>
        <v>0</v>
      </c>
      <c r="O114" s="29">
        <f>IF(I114="","",L114-N114)</f>
        <v>0</v>
      </c>
      <c r="P114" s="28">
        <f>IF(Lists!$AG114="","",Lists!$AG114)</f>
        <v>0</v>
      </c>
      <c r="Q114" s="29">
        <f>IF(P114="","",SUMIFS(Expenses!$F$5:$F$304,Expenses!$C$5:$C$304,P114,Expenses!$B$5:$B$304,"&gt;="&amp;PeriodStart,Expenses!$B$5:$B$304,"&lt;="&amp;PeriodEnd,Expenses!$J$5:$J$304,"&lt;&gt;Personal"))</f>
        <v>0</v>
      </c>
      <c r="R114" s="29">
        <f>IF(P114="","",SUMIFS(Expenses!$F$5:$F$304,Expenses!$C$5:$C$304,P114,Expenses!$B$5:$B$304,"&gt;="&amp;RepFrom,Expenses!$B$5:$B$304,"&lt;="&amp;RepTo,Expenses!$J$5:$J$304,"&lt;&gt;Personal"))</f>
        <v>0</v>
      </c>
      <c r="S114" s="21">
        <f>IF(ROW()-4&gt;12,"",DATE(Dash_Year,ROW()-4,1))</f>
        <v>0</v>
      </c>
      <c r="T114" s="21">
        <f>IF(S114="","",EOMONTH(S114,0))</f>
        <v>0</v>
      </c>
      <c r="U114" s="28">
        <f>IF(S114="","",TEXT(S114,"mmm"))</f>
        <v>0</v>
      </c>
      <c r="V114" s="29">
        <f>IF(S114="","",SUMIFS(Payments!$L$5:$L$304,Payments!$B$5:$B$304,"&gt;="&amp;S114,Payments!$B$5:$B$304,"&lt;="&amp;T114))</f>
        <v>0</v>
      </c>
      <c r="W114" s="29">
        <f>IF(S114="","",SUMIFS(Invoices!$O$5:$O$304,Invoices!$B$5:$B$304,"&gt;="&amp;S114,Invoices!$B$5:$B$304,"&lt;="&amp;T114,Invoices!$T$5:$T$304,"&lt;&gt;Cancelled"))</f>
        <v>0</v>
      </c>
      <c r="X114" s="29">
        <f>IF(S114="","",SUMIFS(Expenses!$F$5:$F$304,Expenses!$B$5:$B$304,"&gt;="&amp;S114,Expenses!$B$5:$B$304,"&lt;="&amp;T114,Expenses!$J$5:$J$304,"&lt;&gt;Personal"))</f>
        <v>0</v>
      </c>
      <c r="Y114" s="29">
        <f>IF(S114="","",V114-X114)</f>
        <v>0</v>
      </c>
      <c r="Z114" s="31">
        <f>IF(S114="","",COUNTIFS(Bookings!$I$5:$I$404,"&gt;="&amp;S114,Bookings!$I$5:$I$404,"&lt;="&amp;T114,Bookings!$AM$5:$AM$404,"&lt;&gt;Cancelled"))</f>
        <v>0</v>
      </c>
      <c r="AA114" s="31">
        <f>IF(S114="","",COUNTIFS(Bookings!$I$5:$I$404,"&gt;="&amp;S114,Bookings!$I$5:$I$404,"&lt;="&amp;T114,Bookings!$AM$5:$AM$404,"Completed"))</f>
        <v>0</v>
      </c>
      <c r="AB114" s="31">
        <f>IF(S114="","",COUNTIFS(Bookings!$I$5:$I$404,"&gt;="&amp;S114,Bookings!$I$5:$I$404,"&lt;="&amp;T114,Bookings!$AM$5:$AM$404,"Cancelled"))</f>
        <v>0</v>
      </c>
      <c r="AC114" s="31">
        <f>IF(S114="","",COUNTIFS('Visit Log'!$C$5:$C$404,"&gt;="&amp;S114,'Visit Log'!$C$5:$C$404,"&lt;="&amp;T114,'Visit Log'!$AE$5:$AE$404,"Completed"))</f>
        <v>0</v>
      </c>
      <c r="AD114" s="31">
        <f>IF(S114="","",COUNTIFS(Clients!$L$5:$L$254,"&gt;="&amp;S114,Clients!$L$5:$L$254,"&lt;="&amp;T114))</f>
        <v>0</v>
      </c>
      <c r="AE114" s="32">
        <f>IF(S114="","",SUMIFS(Mileage!$M$5:$M$304,Mileage!$B$5:$B$304,"&gt;="&amp;S114,Mileage!$B$5:$B$304,"&lt;="&amp;T114,Mileage!$N$5:$N$304,"Business"))</f>
        <v>0</v>
      </c>
      <c r="AF114" s="29">
        <f>IF(S114="","",SUMIFS(Payments!$L$5:$L$304,Payments!$B$5:$B$304,"&gt;="&amp;DATE(Dash_Year-1,ROW()-4,1),Payments!$B$5:$B$304,"&lt;="&amp;EOMONTH(DATE(Dash_Year-1,ROW()-4,1),0)))</f>
        <v>0</v>
      </c>
      <c r="AG114" s="28">
        <f>IF(Staff!$B$114="","",Staff!$B$114)</f>
        <v>0</v>
      </c>
      <c r="AH114" s="31">
        <f>IF(AG114="","",COUNTIFS('Visit Log'!$G$5:$G$404,AG114,'Visit Log'!$C$5:$C$404,"&gt;="&amp;RepFrom,'Visit Log'!$C$5:$C$404,"&lt;="&amp;RepTo,'Visit Log'!$AE$5:$AE$404,"Completed"))</f>
        <v>0</v>
      </c>
      <c r="AI114" s="51">
        <f>IF(AG114="","",ROUND(SUMIFS('Visit Log'!$K$5:$K$404,'Visit Log'!$G$5:$G$404,AG114,'Visit Log'!$C$5:$C$404,"&gt;="&amp;RepFrom,'Visit Log'!$C$5:$C$404,"&lt;="&amp;RepTo,'Visit Log'!$AE$5:$AE$404,"Completed")/60,2))</f>
        <v>0</v>
      </c>
      <c r="AJ114" s="29">
        <f>IF(AG114="","",SUMIFS(Bookings!$AK$5:$AK$404,Bookings!$AL$5:$AL$404,AG114,Bookings!$I$5:$I$404,"&gt;="&amp;RepFrom,Bookings!$I$5:$I$404,"&lt;="&amp;RepTo,Bookings!$AM$5:$AM$404,"&lt;&gt;Cancelled"))</f>
        <v>0</v>
      </c>
      <c r="AK114" s="32">
        <f>IF(AG114="","",SUMIFS(Mileage!$M$5:$M$304,Mileage!$C$5:$C$304,AG114,Mileage!$B$5:$B$304,"&gt;="&amp;RepFrom,Mileage!$B$5:$B$304,"&lt;="&amp;RepTo))</f>
        <v>0</v>
      </c>
      <c r="AL114" s="28">
        <f>IF(Lists!$Q114="","",Lists!$Q114)</f>
        <v>0</v>
      </c>
      <c r="AM114" s="31">
        <f>IF(AL114="","",COUNTIFS(Bookings!$AV$5:$AV$404,AL114,Bookings!$I$5:$I$404,"&gt;="&amp;RepFrom,Bookings!$I$5:$I$404,"&lt;="&amp;RepTo))</f>
        <v>0</v>
      </c>
      <c r="AN114" s="28">
        <f>IF(Lists!$AF114="","",Lists!$AF114)</f>
        <v>0</v>
      </c>
      <c r="AO114" s="29">
        <f>IF(AN114="","",SUMIFS(Payments!$L$5:$L$304,Payments!$F$5:$F$304,AN114,Payments!$B$5:$B$304,"&gt;="&amp;RepFrom,Payments!$B$5:$B$304,"&lt;="&amp;RepTo))</f>
        <v>0</v>
      </c>
      <c r="AP114" s="28">
        <f>IF(Lists!$E114="","",Lists!$E114)</f>
        <v>0</v>
      </c>
      <c r="AQ114" s="31">
        <f>IF(AP114="","",COUNTIFS(Clients!$K$5:$K$254,AP114))</f>
        <v>0</v>
      </c>
      <c r="AR114" s="29">
        <f>IF(AP114="","",SUMIFS(Clients!$AE$5:$AE$254,Clients!$K$5:$K$254,AP114))</f>
        <v>0</v>
      </c>
    </row>
    <row r="115" spans="1:44">
      <c r="A115" s="28">
        <f>IF(Clients!$B$115="","",Clients!$B$115)</f>
        <v>0</v>
      </c>
      <c r="B115" s="29">
        <f>IF(A115="","",SUMIFS(Payments!$L$5:$L$304,Payments!$C$5:$C$304,A115,Payments!$B$5:$B$304,"&gt;="&amp;PeriodStart,Payments!$B$5:$B$304,"&lt;="&amp;PeriodEnd))</f>
        <v>0</v>
      </c>
      <c r="C115" s="51">
        <f>IF(A115="","",IF(B115&lt;=0,"",B115+ROW()/1000000))</f>
        <v>0</v>
      </c>
      <c r="D115" s="29">
        <f>IF(A115="","",SUMIFS(Payments!$L$5:$L$304,Payments!$C$5:$C$304,A115,Payments!$B$5:$B$304,"&gt;="&amp;RepFrom,Payments!$B$5:$B$304,"&lt;="&amp;RepTo))</f>
        <v>0</v>
      </c>
      <c r="E115" s="51">
        <f>IF(A115="","",IF(D115&lt;=0,"",D115+ROW()/1000000))</f>
        <v>0</v>
      </c>
      <c r="F115" s="29">
        <f>IF(A115="","",SUMIFS(Invoices!$S$5:$S$304,Invoices!$D$5:$D$304,A115,Invoices!$T$5:$T$304,"&lt;&gt;Cancelled"))</f>
        <v>0</v>
      </c>
      <c r="G115" s="51">
        <f>IF(A115="","",IF(F115&lt;=0.004,"",F115+ROW()/1000000))</f>
        <v>0</v>
      </c>
      <c r="H115" s="31">
        <f>IF(A115="","",COUNTIFS(Bookings!$C$5:$C$404,A115,Bookings!$I$5:$I$404,"&gt;="&amp;RepFrom,Bookings!$I$5:$I$404,"&lt;="&amp;RepTo,Bookings!$AM$5:$AM$404,"&lt;&gt;Cancelled"))</f>
        <v>0</v>
      </c>
      <c r="I115" s="28">
        <f>IF(Services!$B$115="","",Services!$B$115)</f>
        <v>0</v>
      </c>
      <c r="J115" s="29">
        <f>IF(I115="","",SUMIFS(Bookings!$AK$5:$AK$404,Bookings!$H$5:$H$404,I115,Bookings!$I$5:$I$404,"&gt;="&amp;PeriodStart,Bookings!$I$5:$I$404,"&lt;="&amp;PeriodEnd,Bookings!$AM$5:$AM$404,"&lt;&gt;Cancelled"))</f>
        <v>0</v>
      </c>
      <c r="K115" s="31">
        <f>IF(I115="","",COUNTIFS(Bookings!$H$5:$H$404,I115,Bookings!$I$5:$I$404,"&gt;="&amp;PeriodStart,Bookings!$I$5:$I$404,"&lt;="&amp;PeriodEnd,Bookings!$AM$5:$AM$404,"&lt;&gt;Cancelled"))</f>
        <v>0</v>
      </c>
      <c r="L115" s="29">
        <f>IF(I115="","",SUMIFS(Bookings!$AK$5:$AK$404,Bookings!$H$5:$H$404,I115,Bookings!$I$5:$I$404,"&gt;="&amp;RepFrom,Bookings!$I$5:$I$404,"&lt;="&amp;RepTo,Bookings!$AM$5:$AM$404,"&lt;&gt;Cancelled"))</f>
        <v>0</v>
      </c>
      <c r="M115" s="31">
        <f>IF(I115="","",COUNTIFS(Bookings!$H$5:$H$404,I115,Bookings!$I$5:$I$404,"&gt;="&amp;RepFrom,Bookings!$I$5:$I$404,"&lt;="&amp;RepTo,Bookings!$AM$5:$AM$404,"&lt;&gt;Cancelled"))</f>
        <v>0</v>
      </c>
      <c r="N115" s="29">
        <f>IF(I115="","",M115*IF(Services!$L$115="",0,Services!$L$115))</f>
        <v>0</v>
      </c>
      <c r="O115" s="29">
        <f>IF(I115="","",L115-N115)</f>
        <v>0</v>
      </c>
      <c r="P115" s="28">
        <f>IF(Lists!$AG115="","",Lists!$AG115)</f>
        <v>0</v>
      </c>
      <c r="Q115" s="29">
        <f>IF(P115="","",SUMIFS(Expenses!$F$5:$F$304,Expenses!$C$5:$C$304,P115,Expenses!$B$5:$B$304,"&gt;="&amp;PeriodStart,Expenses!$B$5:$B$304,"&lt;="&amp;PeriodEnd,Expenses!$J$5:$J$304,"&lt;&gt;Personal"))</f>
        <v>0</v>
      </c>
      <c r="R115" s="29">
        <f>IF(P115="","",SUMIFS(Expenses!$F$5:$F$304,Expenses!$C$5:$C$304,P115,Expenses!$B$5:$B$304,"&gt;="&amp;RepFrom,Expenses!$B$5:$B$304,"&lt;="&amp;RepTo,Expenses!$J$5:$J$304,"&lt;&gt;Personal"))</f>
        <v>0</v>
      </c>
      <c r="S115" s="21">
        <f>IF(ROW()-4&gt;12,"",DATE(Dash_Year,ROW()-4,1))</f>
        <v>0</v>
      </c>
      <c r="T115" s="21">
        <f>IF(S115="","",EOMONTH(S115,0))</f>
        <v>0</v>
      </c>
      <c r="U115" s="28">
        <f>IF(S115="","",TEXT(S115,"mmm"))</f>
        <v>0</v>
      </c>
      <c r="V115" s="29">
        <f>IF(S115="","",SUMIFS(Payments!$L$5:$L$304,Payments!$B$5:$B$304,"&gt;="&amp;S115,Payments!$B$5:$B$304,"&lt;="&amp;T115))</f>
        <v>0</v>
      </c>
      <c r="W115" s="29">
        <f>IF(S115="","",SUMIFS(Invoices!$O$5:$O$304,Invoices!$B$5:$B$304,"&gt;="&amp;S115,Invoices!$B$5:$B$304,"&lt;="&amp;T115,Invoices!$T$5:$T$304,"&lt;&gt;Cancelled"))</f>
        <v>0</v>
      </c>
      <c r="X115" s="29">
        <f>IF(S115="","",SUMIFS(Expenses!$F$5:$F$304,Expenses!$B$5:$B$304,"&gt;="&amp;S115,Expenses!$B$5:$B$304,"&lt;="&amp;T115,Expenses!$J$5:$J$304,"&lt;&gt;Personal"))</f>
        <v>0</v>
      </c>
      <c r="Y115" s="29">
        <f>IF(S115="","",V115-X115)</f>
        <v>0</v>
      </c>
      <c r="Z115" s="31">
        <f>IF(S115="","",COUNTIFS(Bookings!$I$5:$I$404,"&gt;="&amp;S115,Bookings!$I$5:$I$404,"&lt;="&amp;T115,Bookings!$AM$5:$AM$404,"&lt;&gt;Cancelled"))</f>
        <v>0</v>
      </c>
      <c r="AA115" s="31">
        <f>IF(S115="","",COUNTIFS(Bookings!$I$5:$I$404,"&gt;="&amp;S115,Bookings!$I$5:$I$404,"&lt;="&amp;T115,Bookings!$AM$5:$AM$404,"Completed"))</f>
        <v>0</v>
      </c>
      <c r="AB115" s="31">
        <f>IF(S115="","",COUNTIFS(Bookings!$I$5:$I$404,"&gt;="&amp;S115,Bookings!$I$5:$I$404,"&lt;="&amp;T115,Bookings!$AM$5:$AM$404,"Cancelled"))</f>
        <v>0</v>
      </c>
      <c r="AC115" s="31">
        <f>IF(S115="","",COUNTIFS('Visit Log'!$C$5:$C$404,"&gt;="&amp;S115,'Visit Log'!$C$5:$C$404,"&lt;="&amp;T115,'Visit Log'!$AE$5:$AE$404,"Completed"))</f>
        <v>0</v>
      </c>
      <c r="AD115" s="31">
        <f>IF(S115="","",COUNTIFS(Clients!$L$5:$L$254,"&gt;="&amp;S115,Clients!$L$5:$L$254,"&lt;="&amp;T115))</f>
        <v>0</v>
      </c>
      <c r="AE115" s="32">
        <f>IF(S115="","",SUMIFS(Mileage!$M$5:$M$304,Mileage!$B$5:$B$304,"&gt;="&amp;S115,Mileage!$B$5:$B$304,"&lt;="&amp;T115,Mileage!$N$5:$N$304,"Business"))</f>
        <v>0</v>
      </c>
      <c r="AF115" s="29">
        <f>IF(S115="","",SUMIFS(Payments!$L$5:$L$304,Payments!$B$5:$B$304,"&gt;="&amp;DATE(Dash_Year-1,ROW()-4,1),Payments!$B$5:$B$304,"&lt;="&amp;EOMONTH(DATE(Dash_Year-1,ROW()-4,1),0)))</f>
        <v>0</v>
      </c>
      <c r="AG115" s="28">
        <f>IF(Staff!$B$115="","",Staff!$B$115)</f>
        <v>0</v>
      </c>
      <c r="AH115" s="31">
        <f>IF(AG115="","",COUNTIFS('Visit Log'!$G$5:$G$404,AG115,'Visit Log'!$C$5:$C$404,"&gt;="&amp;RepFrom,'Visit Log'!$C$5:$C$404,"&lt;="&amp;RepTo,'Visit Log'!$AE$5:$AE$404,"Completed"))</f>
        <v>0</v>
      </c>
      <c r="AI115" s="51">
        <f>IF(AG115="","",ROUND(SUMIFS('Visit Log'!$K$5:$K$404,'Visit Log'!$G$5:$G$404,AG115,'Visit Log'!$C$5:$C$404,"&gt;="&amp;RepFrom,'Visit Log'!$C$5:$C$404,"&lt;="&amp;RepTo,'Visit Log'!$AE$5:$AE$404,"Completed")/60,2))</f>
        <v>0</v>
      </c>
      <c r="AJ115" s="29">
        <f>IF(AG115="","",SUMIFS(Bookings!$AK$5:$AK$404,Bookings!$AL$5:$AL$404,AG115,Bookings!$I$5:$I$404,"&gt;="&amp;RepFrom,Bookings!$I$5:$I$404,"&lt;="&amp;RepTo,Bookings!$AM$5:$AM$404,"&lt;&gt;Cancelled"))</f>
        <v>0</v>
      </c>
      <c r="AK115" s="32">
        <f>IF(AG115="","",SUMIFS(Mileage!$M$5:$M$304,Mileage!$C$5:$C$304,AG115,Mileage!$B$5:$B$304,"&gt;="&amp;RepFrom,Mileage!$B$5:$B$304,"&lt;="&amp;RepTo))</f>
        <v>0</v>
      </c>
      <c r="AL115" s="28">
        <f>IF(Lists!$Q115="","",Lists!$Q115)</f>
        <v>0</v>
      </c>
      <c r="AM115" s="31">
        <f>IF(AL115="","",COUNTIFS(Bookings!$AV$5:$AV$404,AL115,Bookings!$I$5:$I$404,"&gt;="&amp;RepFrom,Bookings!$I$5:$I$404,"&lt;="&amp;RepTo))</f>
        <v>0</v>
      </c>
      <c r="AN115" s="28">
        <f>IF(Lists!$AF115="","",Lists!$AF115)</f>
        <v>0</v>
      </c>
      <c r="AO115" s="29">
        <f>IF(AN115="","",SUMIFS(Payments!$L$5:$L$304,Payments!$F$5:$F$304,AN115,Payments!$B$5:$B$304,"&gt;="&amp;RepFrom,Payments!$B$5:$B$304,"&lt;="&amp;RepTo))</f>
        <v>0</v>
      </c>
      <c r="AP115" s="28">
        <f>IF(Lists!$E115="","",Lists!$E115)</f>
        <v>0</v>
      </c>
      <c r="AQ115" s="31">
        <f>IF(AP115="","",COUNTIFS(Clients!$K$5:$K$254,AP115))</f>
        <v>0</v>
      </c>
      <c r="AR115" s="29">
        <f>IF(AP115="","",SUMIFS(Clients!$AE$5:$AE$254,Clients!$K$5:$K$254,AP115))</f>
        <v>0</v>
      </c>
    </row>
    <row r="116" spans="1:44">
      <c r="A116" s="28">
        <f>IF(Clients!$B$116="","",Clients!$B$116)</f>
        <v>0</v>
      </c>
      <c r="B116" s="29">
        <f>IF(A116="","",SUMIFS(Payments!$L$5:$L$304,Payments!$C$5:$C$304,A116,Payments!$B$5:$B$304,"&gt;="&amp;PeriodStart,Payments!$B$5:$B$304,"&lt;="&amp;PeriodEnd))</f>
        <v>0</v>
      </c>
      <c r="C116" s="51">
        <f>IF(A116="","",IF(B116&lt;=0,"",B116+ROW()/1000000))</f>
        <v>0</v>
      </c>
      <c r="D116" s="29">
        <f>IF(A116="","",SUMIFS(Payments!$L$5:$L$304,Payments!$C$5:$C$304,A116,Payments!$B$5:$B$304,"&gt;="&amp;RepFrom,Payments!$B$5:$B$304,"&lt;="&amp;RepTo))</f>
        <v>0</v>
      </c>
      <c r="E116" s="51">
        <f>IF(A116="","",IF(D116&lt;=0,"",D116+ROW()/1000000))</f>
        <v>0</v>
      </c>
      <c r="F116" s="29">
        <f>IF(A116="","",SUMIFS(Invoices!$S$5:$S$304,Invoices!$D$5:$D$304,A116,Invoices!$T$5:$T$304,"&lt;&gt;Cancelled"))</f>
        <v>0</v>
      </c>
      <c r="G116" s="51">
        <f>IF(A116="","",IF(F116&lt;=0.004,"",F116+ROW()/1000000))</f>
        <v>0</v>
      </c>
      <c r="H116" s="31">
        <f>IF(A116="","",COUNTIFS(Bookings!$C$5:$C$404,A116,Bookings!$I$5:$I$404,"&gt;="&amp;RepFrom,Bookings!$I$5:$I$404,"&lt;="&amp;RepTo,Bookings!$AM$5:$AM$404,"&lt;&gt;Cancelled"))</f>
        <v>0</v>
      </c>
      <c r="I116" s="28">
        <f>IF(Services!$B$116="","",Services!$B$116)</f>
        <v>0</v>
      </c>
      <c r="J116" s="29">
        <f>IF(I116="","",SUMIFS(Bookings!$AK$5:$AK$404,Bookings!$H$5:$H$404,I116,Bookings!$I$5:$I$404,"&gt;="&amp;PeriodStart,Bookings!$I$5:$I$404,"&lt;="&amp;PeriodEnd,Bookings!$AM$5:$AM$404,"&lt;&gt;Cancelled"))</f>
        <v>0</v>
      </c>
      <c r="K116" s="31">
        <f>IF(I116="","",COUNTIFS(Bookings!$H$5:$H$404,I116,Bookings!$I$5:$I$404,"&gt;="&amp;PeriodStart,Bookings!$I$5:$I$404,"&lt;="&amp;PeriodEnd,Bookings!$AM$5:$AM$404,"&lt;&gt;Cancelled"))</f>
        <v>0</v>
      </c>
      <c r="L116" s="29">
        <f>IF(I116="","",SUMIFS(Bookings!$AK$5:$AK$404,Bookings!$H$5:$H$404,I116,Bookings!$I$5:$I$404,"&gt;="&amp;RepFrom,Bookings!$I$5:$I$404,"&lt;="&amp;RepTo,Bookings!$AM$5:$AM$404,"&lt;&gt;Cancelled"))</f>
        <v>0</v>
      </c>
      <c r="M116" s="31">
        <f>IF(I116="","",COUNTIFS(Bookings!$H$5:$H$404,I116,Bookings!$I$5:$I$404,"&gt;="&amp;RepFrom,Bookings!$I$5:$I$404,"&lt;="&amp;RepTo,Bookings!$AM$5:$AM$404,"&lt;&gt;Cancelled"))</f>
        <v>0</v>
      </c>
      <c r="N116" s="29">
        <f>IF(I116="","",M116*IF(Services!$L$116="",0,Services!$L$116))</f>
        <v>0</v>
      </c>
      <c r="O116" s="29">
        <f>IF(I116="","",L116-N116)</f>
        <v>0</v>
      </c>
      <c r="P116" s="28">
        <f>IF(Lists!$AG116="","",Lists!$AG116)</f>
        <v>0</v>
      </c>
      <c r="Q116" s="29">
        <f>IF(P116="","",SUMIFS(Expenses!$F$5:$F$304,Expenses!$C$5:$C$304,P116,Expenses!$B$5:$B$304,"&gt;="&amp;PeriodStart,Expenses!$B$5:$B$304,"&lt;="&amp;PeriodEnd,Expenses!$J$5:$J$304,"&lt;&gt;Personal"))</f>
        <v>0</v>
      </c>
      <c r="R116" s="29">
        <f>IF(P116="","",SUMIFS(Expenses!$F$5:$F$304,Expenses!$C$5:$C$304,P116,Expenses!$B$5:$B$304,"&gt;="&amp;RepFrom,Expenses!$B$5:$B$304,"&lt;="&amp;RepTo,Expenses!$J$5:$J$304,"&lt;&gt;Personal"))</f>
        <v>0</v>
      </c>
      <c r="S116" s="21">
        <f>IF(ROW()-4&gt;12,"",DATE(Dash_Year,ROW()-4,1))</f>
        <v>0</v>
      </c>
      <c r="T116" s="21">
        <f>IF(S116="","",EOMONTH(S116,0))</f>
        <v>0</v>
      </c>
      <c r="U116" s="28">
        <f>IF(S116="","",TEXT(S116,"mmm"))</f>
        <v>0</v>
      </c>
      <c r="V116" s="29">
        <f>IF(S116="","",SUMIFS(Payments!$L$5:$L$304,Payments!$B$5:$B$304,"&gt;="&amp;S116,Payments!$B$5:$B$304,"&lt;="&amp;T116))</f>
        <v>0</v>
      </c>
      <c r="W116" s="29">
        <f>IF(S116="","",SUMIFS(Invoices!$O$5:$O$304,Invoices!$B$5:$B$304,"&gt;="&amp;S116,Invoices!$B$5:$B$304,"&lt;="&amp;T116,Invoices!$T$5:$T$304,"&lt;&gt;Cancelled"))</f>
        <v>0</v>
      </c>
      <c r="X116" s="29">
        <f>IF(S116="","",SUMIFS(Expenses!$F$5:$F$304,Expenses!$B$5:$B$304,"&gt;="&amp;S116,Expenses!$B$5:$B$304,"&lt;="&amp;T116,Expenses!$J$5:$J$304,"&lt;&gt;Personal"))</f>
        <v>0</v>
      </c>
      <c r="Y116" s="29">
        <f>IF(S116="","",V116-X116)</f>
        <v>0</v>
      </c>
      <c r="Z116" s="31">
        <f>IF(S116="","",COUNTIFS(Bookings!$I$5:$I$404,"&gt;="&amp;S116,Bookings!$I$5:$I$404,"&lt;="&amp;T116,Bookings!$AM$5:$AM$404,"&lt;&gt;Cancelled"))</f>
        <v>0</v>
      </c>
      <c r="AA116" s="31">
        <f>IF(S116="","",COUNTIFS(Bookings!$I$5:$I$404,"&gt;="&amp;S116,Bookings!$I$5:$I$404,"&lt;="&amp;T116,Bookings!$AM$5:$AM$404,"Completed"))</f>
        <v>0</v>
      </c>
      <c r="AB116" s="31">
        <f>IF(S116="","",COUNTIFS(Bookings!$I$5:$I$404,"&gt;="&amp;S116,Bookings!$I$5:$I$404,"&lt;="&amp;T116,Bookings!$AM$5:$AM$404,"Cancelled"))</f>
        <v>0</v>
      </c>
      <c r="AC116" s="31">
        <f>IF(S116="","",COUNTIFS('Visit Log'!$C$5:$C$404,"&gt;="&amp;S116,'Visit Log'!$C$5:$C$404,"&lt;="&amp;T116,'Visit Log'!$AE$5:$AE$404,"Completed"))</f>
        <v>0</v>
      </c>
      <c r="AD116" s="31">
        <f>IF(S116="","",COUNTIFS(Clients!$L$5:$L$254,"&gt;="&amp;S116,Clients!$L$5:$L$254,"&lt;="&amp;T116))</f>
        <v>0</v>
      </c>
      <c r="AE116" s="32">
        <f>IF(S116="","",SUMIFS(Mileage!$M$5:$M$304,Mileage!$B$5:$B$304,"&gt;="&amp;S116,Mileage!$B$5:$B$304,"&lt;="&amp;T116,Mileage!$N$5:$N$304,"Business"))</f>
        <v>0</v>
      </c>
      <c r="AF116" s="29">
        <f>IF(S116="","",SUMIFS(Payments!$L$5:$L$304,Payments!$B$5:$B$304,"&gt;="&amp;DATE(Dash_Year-1,ROW()-4,1),Payments!$B$5:$B$304,"&lt;="&amp;EOMONTH(DATE(Dash_Year-1,ROW()-4,1),0)))</f>
        <v>0</v>
      </c>
      <c r="AG116" s="28">
        <f>IF(Staff!$B$116="","",Staff!$B$116)</f>
        <v>0</v>
      </c>
      <c r="AH116" s="31">
        <f>IF(AG116="","",COUNTIFS('Visit Log'!$G$5:$G$404,AG116,'Visit Log'!$C$5:$C$404,"&gt;="&amp;RepFrom,'Visit Log'!$C$5:$C$404,"&lt;="&amp;RepTo,'Visit Log'!$AE$5:$AE$404,"Completed"))</f>
        <v>0</v>
      </c>
      <c r="AI116" s="51">
        <f>IF(AG116="","",ROUND(SUMIFS('Visit Log'!$K$5:$K$404,'Visit Log'!$G$5:$G$404,AG116,'Visit Log'!$C$5:$C$404,"&gt;="&amp;RepFrom,'Visit Log'!$C$5:$C$404,"&lt;="&amp;RepTo,'Visit Log'!$AE$5:$AE$404,"Completed")/60,2))</f>
        <v>0</v>
      </c>
      <c r="AJ116" s="29">
        <f>IF(AG116="","",SUMIFS(Bookings!$AK$5:$AK$404,Bookings!$AL$5:$AL$404,AG116,Bookings!$I$5:$I$404,"&gt;="&amp;RepFrom,Bookings!$I$5:$I$404,"&lt;="&amp;RepTo,Bookings!$AM$5:$AM$404,"&lt;&gt;Cancelled"))</f>
        <v>0</v>
      </c>
      <c r="AK116" s="32">
        <f>IF(AG116="","",SUMIFS(Mileage!$M$5:$M$304,Mileage!$C$5:$C$304,AG116,Mileage!$B$5:$B$304,"&gt;="&amp;RepFrom,Mileage!$B$5:$B$304,"&lt;="&amp;RepTo))</f>
        <v>0</v>
      </c>
      <c r="AL116" s="28">
        <f>IF(Lists!$Q116="","",Lists!$Q116)</f>
        <v>0</v>
      </c>
      <c r="AM116" s="31">
        <f>IF(AL116="","",COUNTIFS(Bookings!$AV$5:$AV$404,AL116,Bookings!$I$5:$I$404,"&gt;="&amp;RepFrom,Bookings!$I$5:$I$404,"&lt;="&amp;RepTo))</f>
        <v>0</v>
      </c>
      <c r="AN116" s="28">
        <f>IF(Lists!$AF116="","",Lists!$AF116)</f>
        <v>0</v>
      </c>
      <c r="AO116" s="29">
        <f>IF(AN116="","",SUMIFS(Payments!$L$5:$L$304,Payments!$F$5:$F$304,AN116,Payments!$B$5:$B$304,"&gt;="&amp;RepFrom,Payments!$B$5:$B$304,"&lt;="&amp;RepTo))</f>
        <v>0</v>
      </c>
      <c r="AP116" s="28">
        <f>IF(Lists!$E116="","",Lists!$E116)</f>
        <v>0</v>
      </c>
      <c r="AQ116" s="31">
        <f>IF(AP116="","",COUNTIFS(Clients!$K$5:$K$254,AP116))</f>
        <v>0</v>
      </c>
      <c r="AR116" s="29">
        <f>IF(AP116="","",SUMIFS(Clients!$AE$5:$AE$254,Clients!$K$5:$K$254,AP116))</f>
        <v>0</v>
      </c>
    </row>
    <row r="117" spans="1:44">
      <c r="A117" s="28">
        <f>IF(Clients!$B$117="","",Clients!$B$117)</f>
        <v>0</v>
      </c>
      <c r="B117" s="29">
        <f>IF(A117="","",SUMIFS(Payments!$L$5:$L$304,Payments!$C$5:$C$304,A117,Payments!$B$5:$B$304,"&gt;="&amp;PeriodStart,Payments!$B$5:$B$304,"&lt;="&amp;PeriodEnd))</f>
        <v>0</v>
      </c>
      <c r="C117" s="51">
        <f>IF(A117="","",IF(B117&lt;=0,"",B117+ROW()/1000000))</f>
        <v>0</v>
      </c>
      <c r="D117" s="29">
        <f>IF(A117="","",SUMIFS(Payments!$L$5:$L$304,Payments!$C$5:$C$304,A117,Payments!$B$5:$B$304,"&gt;="&amp;RepFrom,Payments!$B$5:$B$304,"&lt;="&amp;RepTo))</f>
        <v>0</v>
      </c>
      <c r="E117" s="51">
        <f>IF(A117="","",IF(D117&lt;=0,"",D117+ROW()/1000000))</f>
        <v>0</v>
      </c>
      <c r="F117" s="29">
        <f>IF(A117="","",SUMIFS(Invoices!$S$5:$S$304,Invoices!$D$5:$D$304,A117,Invoices!$T$5:$T$304,"&lt;&gt;Cancelled"))</f>
        <v>0</v>
      </c>
      <c r="G117" s="51">
        <f>IF(A117="","",IF(F117&lt;=0.004,"",F117+ROW()/1000000))</f>
        <v>0</v>
      </c>
      <c r="H117" s="31">
        <f>IF(A117="","",COUNTIFS(Bookings!$C$5:$C$404,A117,Bookings!$I$5:$I$404,"&gt;="&amp;RepFrom,Bookings!$I$5:$I$404,"&lt;="&amp;RepTo,Bookings!$AM$5:$AM$404,"&lt;&gt;Cancelled"))</f>
        <v>0</v>
      </c>
      <c r="I117" s="28">
        <f>IF(Services!$B$117="","",Services!$B$117)</f>
        <v>0</v>
      </c>
      <c r="J117" s="29">
        <f>IF(I117="","",SUMIFS(Bookings!$AK$5:$AK$404,Bookings!$H$5:$H$404,I117,Bookings!$I$5:$I$404,"&gt;="&amp;PeriodStart,Bookings!$I$5:$I$404,"&lt;="&amp;PeriodEnd,Bookings!$AM$5:$AM$404,"&lt;&gt;Cancelled"))</f>
        <v>0</v>
      </c>
      <c r="K117" s="31">
        <f>IF(I117="","",COUNTIFS(Bookings!$H$5:$H$404,I117,Bookings!$I$5:$I$404,"&gt;="&amp;PeriodStart,Bookings!$I$5:$I$404,"&lt;="&amp;PeriodEnd,Bookings!$AM$5:$AM$404,"&lt;&gt;Cancelled"))</f>
        <v>0</v>
      </c>
      <c r="L117" s="29">
        <f>IF(I117="","",SUMIFS(Bookings!$AK$5:$AK$404,Bookings!$H$5:$H$404,I117,Bookings!$I$5:$I$404,"&gt;="&amp;RepFrom,Bookings!$I$5:$I$404,"&lt;="&amp;RepTo,Bookings!$AM$5:$AM$404,"&lt;&gt;Cancelled"))</f>
        <v>0</v>
      </c>
      <c r="M117" s="31">
        <f>IF(I117="","",COUNTIFS(Bookings!$H$5:$H$404,I117,Bookings!$I$5:$I$404,"&gt;="&amp;RepFrom,Bookings!$I$5:$I$404,"&lt;="&amp;RepTo,Bookings!$AM$5:$AM$404,"&lt;&gt;Cancelled"))</f>
        <v>0</v>
      </c>
      <c r="N117" s="29">
        <f>IF(I117="","",M117*IF(Services!$L$117="",0,Services!$L$117))</f>
        <v>0</v>
      </c>
      <c r="O117" s="29">
        <f>IF(I117="","",L117-N117)</f>
        <v>0</v>
      </c>
      <c r="P117" s="28">
        <f>IF(Lists!$AG117="","",Lists!$AG117)</f>
        <v>0</v>
      </c>
      <c r="Q117" s="29">
        <f>IF(P117="","",SUMIFS(Expenses!$F$5:$F$304,Expenses!$C$5:$C$304,P117,Expenses!$B$5:$B$304,"&gt;="&amp;PeriodStart,Expenses!$B$5:$B$304,"&lt;="&amp;PeriodEnd,Expenses!$J$5:$J$304,"&lt;&gt;Personal"))</f>
        <v>0</v>
      </c>
      <c r="R117" s="29">
        <f>IF(P117="","",SUMIFS(Expenses!$F$5:$F$304,Expenses!$C$5:$C$304,P117,Expenses!$B$5:$B$304,"&gt;="&amp;RepFrom,Expenses!$B$5:$B$304,"&lt;="&amp;RepTo,Expenses!$J$5:$J$304,"&lt;&gt;Personal"))</f>
        <v>0</v>
      </c>
      <c r="S117" s="21">
        <f>IF(ROW()-4&gt;12,"",DATE(Dash_Year,ROW()-4,1))</f>
        <v>0</v>
      </c>
      <c r="T117" s="21">
        <f>IF(S117="","",EOMONTH(S117,0))</f>
        <v>0</v>
      </c>
      <c r="U117" s="28">
        <f>IF(S117="","",TEXT(S117,"mmm"))</f>
        <v>0</v>
      </c>
      <c r="V117" s="29">
        <f>IF(S117="","",SUMIFS(Payments!$L$5:$L$304,Payments!$B$5:$B$304,"&gt;="&amp;S117,Payments!$B$5:$B$304,"&lt;="&amp;T117))</f>
        <v>0</v>
      </c>
      <c r="W117" s="29">
        <f>IF(S117="","",SUMIFS(Invoices!$O$5:$O$304,Invoices!$B$5:$B$304,"&gt;="&amp;S117,Invoices!$B$5:$B$304,"&lt;="&amp;T117,Invoices!$T$5:$T$304,"&lt;&gt;Cancelled"))</f>
        <v>0</v>
      </c>
      <c r="X117" s="29">
        <f>IF(S117="","",SUMIFS(Expenses!$F$5:$F$304,Expenses!$B$5:$B$304,"&gt;="&amp;S117,Expenses!$B$5:$B$304,"&lt;="&amp;T117,Expenses!$J$5:$J$304,"&lt;&gt;Personal"))</f>
        <v>0</v>
      </c>
      <c r="Y117" s="29">
        <f>IF(S117="","",V117-X117)</f>
        <v>0</v>
      </c>
      <c r="Z117" s="31">
        <f>IF(S117="","",COUNTIFS(Bookings!$I$5:$I$404,"&gt;="&amp;S117,Bookings!$I$5:$I$404,"&lt;="&amp;T117,Bookings!$AM$5:$AM$404,"&lt;&gt;Cancelled"))</f>
        <v>0</v>
      </c>
      <c r="AA117" s="31">
        <f>IF(S117="","",COUNTIFS(Bookings!$I$5:$I$404,"&gt;="&amp;S117,Bookings!$I$5:$I$404,"&lt;="&amp;T117,Bookings!$AM$5:$AM$404,"Completed"))</f>
        <v>0</v>
      </c>
      <c r="AB117" s="31">
        <f>IF(S117="","",COUNTIFS(Bookings!$I$5:$I$404,"&gt;="&amp;S117,Bookings!$I$5:$I$404,"&lt;="&amp;T117,Bookings!$AM$5:$AM$404,"Cancelled"))</f>
        <v>0</v>
      </c>
      <c r="AC117" s="31">
        <f>IF(S117="","",COUNTIFS('Visit Log'!$C$5:$C$404,"&gt;="&amp;S117,'Visit Log'!$C$5:$C$404,"&lt;="&amp;T117,'Visit Log'!$AE$5:$AE$404,"Completed"))</f>
        <v>0</v>
      </c>
      <c r="AD117" s="31">
        <f>IF(S117="","",COUNTIFS(Clients!$L$5:$L$254,"&gt;="&amp;S117,Clients!$L$5:$L$254,"&lt;="&amp;T117))</f>
        <v>0</v>
      </c>
      <c r="AE117" s="32">
        <f>IF(S117="","",SUMIFS(Mileage!$M$5:$M$304,Mileage!$B$5:$B$304,"&gt;="&amp;S117,Mileage!$B$5:$B$304,"&lt;="&amp;T117,Mileage!$N$5:$N$304,"Business"))</f>
        <v>0</v>
      </c>
      <c r="AF117" s="29">
        <f>IF(S117="","",SUMIFS(Payments!$L$5:$L$304,Payments!$B$5:$B$304,"&gt;="&amp;DATE(Dash_Year-1,ROW()-4,1),Payments!$B$5:$B$304,"&lt;="&amp;EOMONTH(DATE(Dash_Year-1,ROW()-4,1),0)))</f>
        <v>0</v>
      </c>
      <c r="AG117" s="28">
        <f>IF(Staff!$B$117="","",Staff!$B$117)</f>
        <v>0</v>
      </c>
      <c r="AH117" s="31">
        <f>IF(AG117="","",COUNTIFS('Visit Log'!$G$5:$G$404,AG117,'Visit Log'!$C$5:$C$404,"&gt;="&amp;RepFrom,'Visit Log'!$C$5:$C$404,"&lt;="&amp;RepTo,'Visit Log'!$AE$5:$AE$404,"Completed"))</f>
        <v>0</v>
      </c>
      <c r="AI117" s="51">
        <f>IF(AG117="","",ROUND(SUMIFS('Visit Log'!$K$5:$K$404,'Visit Log'!$G$5:$G$404,AG117,'Visit Log'!$C$5:$C$404,"&gt;="&amp;RepFrom,'Visit Log'!$C$5:$C$404,"&lt;="&amp;RepTo,'Visit Log'!$AE$5:$AE$404,"Completed")/60,2))</f>
        <v>0</v>
      </c>
      <c r="AJ117" s="29">
        <f>IF(AG117="","",SUMIFS(Bookings!$AK$5:$AK$404,Bookings!$AL$5:$AL$404,AG117,Bookings!$I$5:$I$404,"&gt;="&amp;RepFrom,Bookings!$I$5:$I$404,"&lt;="&amp;RepTo,Bookings!$AM$5:$AM$404,"&lt;&gt;Cancelled"))</f>
        <v>0</v>
      </c>
      <c r="AK117" s="32">
        <f>IF(AG117="","",SUMIFS(Mileage!$M$5:$M$304,Mileage!$C$5:$C$304,AG117,Mileage!$B$5:$B$304,"&gt;="&amp;RepFrom,Mileage!$B$5:$B$304,"&lt;="&amp;RepTo))</f>
        <v>0</v>
      </c>
      <c r="AL117" s="28">
        <f>IF(Lists!$Q117="","",Lists!$Q117)</f>
        <v>0</v>
      </c>
      <c r="AM117" s="31">
        <f>IF(AL117="","",COUNTIFS(Bookings!$AV$5:$AV$404,AL117,Bookings!$I$5:$I$404,"&gt;="&amp;RepFrom,Bookings!$I$5:$I$404,"&lt;="&amp;RepTo))</f>
        <v>0</v>
      </c>
      <c r="AN117" s="28">
        <f>IF(Lists!$AF117="","",Lists!$AF117)</f>
        <v>0</v>
      </c>
      <c r="AO117" s="29">
        <f>IF(AN117="","",SUMIFS(Payments!$L$5:$L$304,Payments!$F$5:$F$304,AN117,Payments!$B$5:$B$304,"&gt;="&amp;RepFrom,Payments!$B$5:$B$304,"&lt;="&amp;RepTo))</f>
        <v>0</v>
      </c>
      <c r="AP117" s="28">
        <f>IF(Lists!$E117="","",Lists!$E117)</f>
        <v>0</v>
      </c>
      <c r="AQ117" s="31">
        <f>IF(AP117="","",COUNTIFS(Clients!$K$5:$K$254,AP117))</f>
        <v>0</v>
      </c>
      <c r="AR117" s="29">
        <f>IF(AP117="","",SUMIFS(Clients!$AE$5:$AE$254,Clients!$K$5:$K$254,AP117))</f>
        <v>0</v>
      </c>
    </row>
    <row r="118" spans="1:44">
      <c r="A118" s="28">
        <f>IF(Clients!$B$118="","",Clients!$B$118)</f>
        <v>0</v>
      </c>
      <c r="B118" s="29">
        <f>IF(A118="","",SUMIFS(Payments!$L$5:$L$304,Payments!$C$5:$C$304,A118,Payments!$B$5:$B$304,"&gt;="&amp;PeriodStart,Payments!$B$5:$B$304,"&lt;="&amp;PeriodEnd))</f>
        <v>0</v>
      </c>
      <c r="C118" s="51">
        <f>IF(A118="","",IF(B118&lt;=0,"",B118+ROW()/1000000))</f>
        <v>0</v>
      </c>
      <c r="D118" s="29">
        <f>IF(A118="","",SUMIFS(Payments!$L$5:$L$304,Payments!$C$5:$C$304,A118,Payments!$B$5:$B$304,"&gt;="&amp;RepFrom,Payments!$B$5:$B$304,"&lt;="&amp;RepTo))</f>
        <v>0</v>
      </c>
      <c r="E118" s="51">
        <f>IF(A118="","",IF(D118&lt;=0,"",D118+ROW()/1000000))</f>
        <v>0</v>
      </c>
      <c r="F118" s="29">
        <f>IF(A118="","",SUMIFS(Invoices!$S$5:$S$304,Invoices!$D$5:$D$304,A118,Invoices!$T$5:$T$304,"&lt;&gt;Cancelled"))</f>
        <v>0</v>
      </c>
      <c r="G118" s="51">
        <f>IF(A118="","",IF(F118&lt;=0.004,"",F118+ROW()/1000000))</f>
        <v>0</v>
      </c>
      <c r="H118" s="31">
        <f>IF(A118="","",COUNTIFS(Bookings!$C$5:$C$404,A118,Bookings!$I$5:$I$404,"&gt;="&amp;RepFrom,Bookings!$I$5:$I$404,"&lt;="&amp;RepTo,Bookings!$AM$5:$AM$404,"&lt;&gt;Cancelled"))</f>
        <v>0</v>
      </c>
      <c r="I118" s="28">
        <f>IF(Services!$B$118="","",Services!$B$118)</f>
        <v>0</v>
      </c>
      <c r="J118" s="29">
        <f>IF(I118="","",SUMIFS(Bookings!$AK$5:$AK$404,Bookings!$H$5:$H$404,I118,Bookings!$I$5:$I$404,"&gt;="&amp;PeriodStart,Bookings!$I$5:$I$404,"&lt;="&amp;PeriodEnd,Bookings!$AM$5:$AM$404,"&lt;&gt;Cancelled"))</f>
        <v>0</v>
      </c>
      <c r="K118" s="31">
        <f>IF(I118="","",COUNTIFS(Bookings!$H$5:$H$404,I118,Bookings!$I$5:$I$404,"&gt;="&amp;PeriodStart,Bookings!$I$5:$I$404,"&lt;="&amp;PeriodEnd,Bookings!$AM$5:$AM$404,"&lt;&gt;Cancelled"))</f>
        <v>0</v>
      </c>
      <c r="L118" s="29">
        <f>IF(I118="","",SUMIFS(Bookings!$AK$5:$AK$404,Bookings!$H$5:$H$404,I118,Bookings!$I$5:$I$404,"&gt;="&amp;RepFrom,Bookings!$I$5:$I$404,"&lt;="&amp;RepTo,Bookings!$AM$5:$AM$404,"&lt;&gt;Cancelled"))</f>
        <v>0</v>
      </c>
      <c r="M118" s="31">
        <f>IF(I118="","",COUNTIFS(Bookings!$H$5:$H$404,I118,Bookings!$I$5:$I$404,"&gt;="&amp;RepFrom,Bookings!$I$5:$I$404,"&lt;="&amp;RepTo,Bookings!$AM$5:$AM$404,"&lt;&gt;Cancelled"))</f>
        <v>0</v>
      </c>
      <c r="N118" s="29">
        <f>IF(I118="","",M118*IF(Services!$L$118="",0,Services!$L$118))</f>
        <v>0</v>
      </c>
      <c r="O118" s="29">
        <f>IF(I118="","",L118-N118)</f>
        <v>0</v>
      </c>
      <c r="P118" s="28">
        <f>IF(Lists!$AG118="","",Lists!$AG118)</f>
        <v>0</v>
      </c>
      <c r="Q118" s="29">
        <f>IF(P118="","",SUMIFS(Expenses!$F$5:$F$304,Expenses!$C$5:$C$304,P118,Expenses!$B$5:$B$304,"&gt;="&amp;PeriodStart,Expenses!$B$5:$B$304,"&lt;="&amp;PeriodEnd,Expenses!$J$5:$J$304,"&lt;&gt;Personal"))</f>
        <v>0</v>
      </c>
      <c r="R118" s="29">
        <f>IF(P118="","",SUMIFS(Expenses!$F$5:$F$304,Expenses!$C$5:$C$304,P118,Expenses!$B$5:$B$304,"&gt;="&amp;RepFrom,Expenses!$B$5:$B$304,"&lt;="&amp;RepTo,Expenses!$J$5:$J$304,"&lt;&gt;Personal"))</f>
        <v>0</v>
      </c>
      <c r="S118" s="21">
        <f>IF(ROW()-4&gt;12,"",DATE(Dash_Year,ROW()-4,1))</f>
        <v>0</v>
      </c>
      <c r="T118" s="21">
        <f>IF(S118="","",EOMONTH(S118,0))</f>
        <v>0</v>
      </c>
      <c r="U118" s="28">
        <f>IF(S118="","",TEXT(S118,"mmm"))</f>
        <v>0</v>
      </c>
      <c r="V118" s="29">
        <f>IF(S118="","",SUMIFS(Payments!$L$5:$L$304,Payments!$B$5:$B$304,"&gt;="&amp;S118,Payments!$B$5:$B$304,"&lt;="&amp;T118))</f>
        <v>0</v>
      </c>
      <c r="W118" s="29">
        <f>IF(S118="","",SUMIFS(Invoices!$O$5:$O$304,Invoices!$B$5:$B$304,"&gt;="&amp;S118,Invoices!$B$5:$B$304,"&lt;="&amp;T118,Invoices!$T$5:$T$304,"&lt;&gt;Cancelled"))</f>
        <v>0</v>
      </c>
      <c r="X118" s="29">
        <f>IF(S118="","",SUMIFS(Expenses!$F$5:$F$304,Expenses!$B$5:$B$304,"&gt;="&amp;S118,Expenses!$B$5:$B$304,"&lt;="&amp;T118,Expenses!$J$5:$J$304,"&lt;&gt;Personal"))</f>
        <v>0</v>
      </c>
      <c r="Y118" s="29">
        <f>IF(S118="","",V118-X118)</f>
        <v>0</v>
      </c>
      <c r="Z118" s="31">
        <f>IF(S118="","",COUNTIFS(Bookings!$I$5:$I$404,"&gt;="&amp;S118,Bookings!$I$5:$I$404,"&lt;="&amp;T118,Bookings!$AM$5:$AM$404,"&lt;&gt;Cancelled"))</f>
        <v>0</v>
      </c>
      <c r="AA118" s="31">
        <f>IF(S118="","",COUNTIFS(Bookings!$I$5:$I$404,"&gt;="&amp;S118,Bookings!$I$5:$I$404,"&lt;="&amp;T118,Bookings!$AM$5:$AM$404,"Completed"))</f>
        <v>0</v>
      </c>
      <c r="AB118" s="31">
        <f>IF(S118="","",COUNTIFS(Bookings!$I$5:$I$404,"&gt;="&amp;S118,Bookings!$I$5:$I$404,"&lt;="&amp;T118,Bookings!$AM$5:$AM$404,"Cancelled"))</f>
        <v>0</v>
      </c>
      <c r="AC118" s="31">
        <f>IF(S118="","",COUNTIFS('Visit Log'!$C$5:$C$404,"&gt;="&amp;S118,'Visit Log'!$C$5:$C$404,"&lt;="&amp;T118,'Visit Log'!$AE$5:$AE$404,"Completed"))</f>
        <v>0</v>
      </c>
      <c r="AD118" s="31">
        <f>IF(S118="","",COUNTIFS(Clients!$L$5:$L$254,"&gt;="&amp;S118,Clients!$L$5:$L$254,"&lt;="&amp;T118))</f>
        <v>0</v>
      </c>
      <c r="AE118" s="32">
        <f>IF(S118="","",SUMIFS(Mileage!$M$5:$M$304,Mileage!$B$5:$B$304,"&gt;="&amp;S118,Mileage!$B$5:$B$304,"&lt;="&amp;T118,Mileage!$N$5:$N$304,"Business"))</f>
        <v>0</v>
      </c>
      <c r="AF118" s="29">
        <f>IF(S118="","",SUMIFS(Payments!$L$5:$L$304,Payments!$B$5:$B$304,"&gt;="&amp;DATE(Dash_Year-1,ROW()-4,1),Payments!$B$5:$B$304,"&lt;="&amp;EOMONTH(DATE(Dash_Year-1,ROW()-4,1),0)))</f>
        <v>0</v>
      </c>
      <c r="AG118" s="28">
        <f>IF(Staff!$B$118="","",Staff!$B$118)</f>
        <v>0</v>
      </c>
      <c r="AH118" s="31">
        <f>IF(AG118="","",COUNTIFS('Visit Log'!$G$5:$G$404,AG118,'Visit Log'!$C$5:$C$404,"&gt;="&amp;RepFrom,'Visit Log'!$C$5:$C$404,"&lt;="&amp;RepTo,'Visit Log'!$AE$5:$AE$404,"Completed"))</f>
        <v>0</v>
      </c>
      <c r="AI118" s="51">
        <f>IF(AG118="","",ROUND(SUMIFS('Visit Log'!$K$5:$K$404,'Visit Log'!$G$5:$G$404,AG118,'Visit Log'!$C$5:$C$404,"&gt;="&amp;RepFrom,'Visit Log'!$C$5:$C$404,"&lt;="&amp;RepTo,'Visit Log'!$AE$5:$AE$404,"Completed")/60,2))</f>
        <v>0</v>
      </c>
      <c r="AJ118" s="29">
        <f>IF(AG118="","",SUMIFS(Bookings!$AK$5:$AK$404,Bookings!$AL$5:$AL$404,AG118,Bookings!$I$5:$I$404,"&gt;="&amp;RepFrom,Bookings!$I$5:$I$404,"&lt;="&amp;RepTo,Bookings!$AM$5:$AM$404,"&lt;&gt;Cancelled"))</f>
        <v>0</v>
      </c>
      <c r="AK118" s="32">
        <f>IF(AG118="","",SUMIFS(Mileage!$M$5:$M$304,Mileage!$C$5:$C$304,AG118,Mileage!$B$5:$B$304,"&gt;="&amp;RepFrom,Mileage!$B$5:$B$304,"&lt;="&amp;RepTo))</f>
        <v>0</v>
      </c>
      <c r="AL118" s="28">
        <f>IF(Lists!$Q118="","",Lists!$Q118)</f>
        <v>0</v>
      </c>
      <c r="AM118" s="31">
        <f>IF(AL118="","",COUNTIFS(Bookings!$AV$5:$AV$404,AL118,Bookings!$I$5:$I$404,"&gt;="&amp;RepFrom,Bookings!$I$5:$I$404,"&lt;="&amp;RepTo))</f>
        <v>0</v>
      </c>
      <c r="AN118" s="28">
        <f>IF(Lists!$AF118="","",Lists!$AF118)</f>
        <v>0</v>
      </c>
      <c r="AO118" s="29">
        <f>IF(AN118="","",SUMIFS(Payments!$L$5:$L$304,Payments!$F$5:$F$304,AN118,Payments!$B$5:$B$304,"&gt;="&amp;RepFrom,Payments!$B$5:$B$304,"&lt;="&amp;RepTo))</f>
        <v>0</v>
      </c>
      <c r="AP118" s="28">
        <f>IF(Lists!$E118="","",Lists!$E118)</f>
        <v>0</v>
      </c>
      <c r="AQ118" s="31">
        <f>IF(AP118="","",COUNTIFS(Clients!$K$5:$K$254,AP118))</f>
        <v>0</v>
      </c>
      <c r="AR118" s="29">
        <f>IF(AP118="","",SUMIFS(Clients!$AE$5:$AE$254,Clients!$K$5:$K$254,AP118))</f>
        <v>0</v>
      </c>
    </row>
    <row r="119" spans="1:44">
      <c r="A119" s="28">
        <f>IF(Clients!$B$119="","",Clients!$B$119)</f>
        <v>0</v>
      </c>
      <c r="B119" s="29">
        <f>IF(A119="","",SUMIFS(Payments!$L$5:$L$304,Payments!$C$5:$C$304,A119,Payments!$B$5:$B$304,"&gt;="&amp;PeriodStart,Payments!$B$5:$B$304,"&lt;="&amp;PeriodEnd))</f>
        <v>0</v>
      </c>
      <c r="C119" s="51">
        <f>IF(A119="","",IF(B119&lt;=0,"",B119+ROW()/1000000))</f>
        <v>0</v>
      </c>
      <c r="D119" s="29">
        <f>IF(A119="","",SUMIFS(Payments!$L$5:$L$304,Payments!$C$5:$C$304,A119,Payments!$B$5:$B$304,"&gt;="&amp;RepFrom,Payments!$B$5:$B$304,"&lt;="&amp;RepTo))</f>
        <v>0</v>
      </c>
      <c r="E119" s="51">
        <f>IF(A119="","",IF(D119&lt;=0,"",D119+ROW()/1000000))</f>
        <v>0</v>
      </c>
      <c r="F119" s="29">
        <f>IF(A119="","",SUMIFS(Invoices!$S$5:$S$304,Invoices!$D$5:$D$304,A119,Invoices!$T$5:$T$304,"&lt;&gt;Cancelled"))</f>
        <v>0</v>
      </c>
      <c r="G119" s="51">
        <f>IF(A119="","",IF(F119&lt;=0.004,"",F119+ROW()/1000000))</f>
        <v>0</v>
      </c>
      <c r="H119" s="31">
        <f>IF(A119="","",COUNTIFS(Bookings!$C$5:$C$404,A119,Bookings!$I$5:$I$404,"&gt;="&amp;RepFrom,Bookings!$I$5:$I$404,"&lt;="&amp;RepTo,Bookings!$AM$5:$AM$404,"&lt;&gt;Cancelled"))</f>
        <v>0</v>
      </c>
      <c r="I119" s="28">
        <f>IF(Services!$B$119="","",Services!$B$119)</f>
        <v>0</v>
      </c>
      <c r="J119" s="29">
        <f>IF(I119="","",SUMIFS(Bookings!$AK$5:$AK$404,Bookings!$H$5:$H$404,I119,Bookings!$I$5:$I$404,"&gt;="&amp;PeriodStart,Bookings!$I$5:$I$404,"&lt;="&amp;PeriodEnd,Bookings!$AM$5:$AM$404,"&lt;&gt;Cancelled"))</f>
        <v>0</v>
      </c>
      <c r="K119" s="31">
        <f>IF(I119="","",COUNTIFS(Bookings!$H$5:$H$404,I119,Bookings!$I$5:$I$404,"&gt;="&amp;PeriodStart,Bookings!$I$5:$I$404,"&lt;="&amp;PeriodEnd,Bookings!$AM$5:$AM$404,"&lt;&gt;Cancelled"))</f>
        <v>0</v>
      </c>
      <c r="L119" s="29">
        <f>IF(I119="","",SUMIFS(Bookings!$AK$5:$AK$404,Bookings!$H$5:$H$404,I119,Bookings!$I$5:$I$404,"&gt;="&amp;RepFrom,Bookings!$I$5:$I$404,"&lt;="&amp;RepTo,Bookings!$AM$5:$AM$404,"&lt;&gt;Cancelled"))</f>
        <v>0</v>
      </c>
      <c r="M119" s="31">
        <f>IF(I119="","",COUNTIFS(Bookings!$H$5:$H$404,I119,Bookings!$I$5:$I$404,"&gt;="&amp;RepFrom,Bookings!$I$5:$I$404,"&lt;="&amp;RepTo,Bookings!$AM$5:$AM$404,"&lt;&gt;Cancelled"))</f>
        <v>0</v>
      </c>
      <c r="N119" s="29">
        <f>IF(I119="","",M119*IF(Services!$L$119="",0,Services!$L$119))</f>
        <v>0</v>
      </c>
      <c r="O119" s="29">
        <f>IF(I119="","",L119-N119)</f>
        <v>0</v>
      </c>
      <c r="P119" s="28">
        <f>IF(Lists!$AG119="","",Lists!$AG119)</f>
        <v>0</v>
      </c>
      <c r="Q119" s="29">
        <f>IF(P119="","",SUMIFS(Expenses!$F$5:$F$304,Expenses!$C$5:$C$304,P119,Expenses!$B$5:$B$304,"&gt;="&amp;PeriodStart,Expenses!$B$5:$B$304,"&lt;="&amp;PeriodEnd,Expenses!$J$5:$J$304,"&lt;&gt;Personal"))</f>
        <v>0</v>
      </c>
      <c r="R119" s="29">
        <f>IF(P119="","",SUMIFS(Expenses!$F$5:$F$304,Expenses!$C$5:$C$304,P119,Expenses!$B$5:$B$304,"&gt;="&amp;RepFrom,Expenses!$B$5:$B$304,"&lt;="&amp;RepTo,Expenses!$J$5:$J$304,"&lt;&gt;Personal"))</f>
        <v>0</v>
      </c>
      <c r="S119" s="21">
        <f>IF(ROW()-4&gt;12,"",DATE(Dash_Year,ROW()-4,1))</f>
        <v>0</v>
      </c>
      <c r="T119" s="21">
        <f>IF(S119="","",EOMONTH(S119,0))</f>
        <v>0</v>
      </c>
      <c r="U119" s="28">
        <f>IF(S119="","",TEXT(S119,"mmm"))</f>
        <v>0</v>
      </c>
      <c r="V119" s="29">
        <f>IF(S119="","",SUMIFS(Payments!$L$5:$L$304,Payments!$B$5:$B$304,"&gt;="&amp;S119,Payments!$B$5:$B$304,"&lt;="&amp;T119))</f>
        <v>0</v>
      </c>
      <c r="W119" s="29">
        <f>IF(S119="","",SUMIFS(Invoices!$O$5:$O$304,Invoices!$B$5:$B$304,"&gt;="&amp;S119,Invoices!$B$5:$B$304,"&lt;="&amp;T119,Invoices!$T$5:$T$304,"&lt;&gt;Cancelled"))</f>
        <v>0</v>
      </c>
      <c r="X119" s="29">
        <f>IF(S119="","",SUMIFS(Expenses!$F$5:$F$304,Expenses!$B$5:$B$304,"&gt;="&amp;S119,Expenses!$B$5:$B$304,"&lt;="&amp;T119,Expenses!$J$5:$J$304,"&lt;&gt;Personal"))</f>
        <v>0</v>
      </c>
      <c r="Y119" s="29">
        <f>IF(S119="","",V119-X119)</f>
        <v>0</v>
      </c>
      <c r="Z119" s="31">
        <f>IF(S119="","",COUNTIFS(Bookings!$I$5:$I$404,"&gt;="&amp;S119,Bookings!$I$5:$I$404,"&lt;="&amp;T119,Bookings!$AM$5:$AM$404,"&lt;&gt;Cancelled"))</f>
        <v>0</v>
      </c>
      <c r="AA119" s="31">
        <f>IF(S119="","",COUNTIFS(Bookings!$I$5:$I$404,"&gt;="&amp;S119,Bookings!$I$5:$I$404,"&lt;="&amp;T119,Bookings!$AM$5:$AM$404,"Completed"))</f>
        <v>0</v>
      </c>
      <c r="AB119" s="31">
        <f>IF(S119="","",COUNTIFS(Bookings!$I$5:$I$404,"&gt;="&amp;S119,Bookings!$I$5:$I$404,"&lt;="&amp;T119,Bookings!$AM$5:$AM$404,"Cancelled"))</f>
        <v>0</v>
      </c>
      <c r="AC119" s="31">
        <f>IF(S119="","",COUNTIFS('Visit Log'!$C$5:$C$404,"&gt;="&amp;S119,'Visit Log'!$C$5:$C$404,"&lt;="&amp;T119,'Visit Log'!$AE$5:$AE$404,"Completed"))</f>
        <v>0</v>
      </c>
      <c r="AD119" s="31">
        <f>IF(S119="","",COUNTIFS(Clients!$L$5:$L$254,"&gt;="&amp;S119,Clients!$L$5:$L$254,"&lt;="&amp;T119))</f>
        <v>0</v>
      </c>
      <c r="AE119" s="32">
        <f>IF(S119="","",SUMIFS(Mileage!$M$5:$M$304,Mileage!$B$5:$B$304,"&gt;="&amp;S119,Mileage!$B$5:$B$304,"&lt;="&amp;T119,Mileage!$N$5:$N$304,"Business"))</f>
        <v>0</v>
      </c>
      <c r="AF119" s="29">
        <f>IF(S119="","",SUMIFS(Payments!$L$5:$L$304,Payments!$B$5:$B$304,"&gt;="&amp;DATE(Dash_Year-1,ROW()-4,1),Payments!$B$5:$B$304,"&lt;="&amp;EOMONTH(DATE(Dash_Year-1,ROW()-4,1),0)))</f>
        <v>0</v>
      </c>
      <c r="AG119" s="28">
        <f>IF(Staff!$B$119="","",Staff!$B$119)</f>
        <v>0</v>
      </c>
      <c r="AH119" s="31">
        <f>IF(AG119="","",COUNTIFS('Visit Log'!$G$5:$G$404,AG119,'Visit Log'!$C$5:$C$404,"&gt;="&amp;RepFrom,'Visit Log'!$C$5:$C$404,"&lt;="&amp;RepTo,'Visit Log'!$AE$5:$AE$404,"Completed"))</f>
        <v>0</v>
      </c>
      <c r="AI119" s="51">
        <f>IF(AG119="","",ROUND(SUMIFS('Visit Log'!$K$5:$K$404,'Visit Log'!$G$5:$G$404,AG119,'Visit Log'!$C$5:$C$404,"&gt;="&amp;RepFrom,'Visit Log'!$C$5:$C$404,"&lt;="&amp;RepTo,'Visit Log'!$AE$5:$AE$404,"Completed")/60,2))</f>
        <v>0</v>
      </c>
      <c r="AJ119" s="29">
        <f>IF(AG119="","",SUMIFS(Bookings!$AK$5:$AK$404,Bookings!$AL$5:$AL$404,AG119,Bookings!$I$5:$I$404,"&gt;="&amp;RepFrom,Bookings!$I$5:$I$404,"&lt;="&amp;RepTo,Bookings!$AM$5:$AM$404,"&lt;&gt;Cancelled"))</f>
        <v>0</v>
      </c>
      <c r="AK119" s="32">
        <f>IF(AG119="","",SUMIFS(Mileage!$M$5:$M$304,Mileage!$C$5:$C$304,AG119,Mileage!$B$5:$B$304,"&gt;="&amp;RepFrom,Mileage!$B$5:$B$304,"&lt;="&amp;RepTo))</f>
        <v>0</v>
      </c>
      <c r="AL119" s="28">
        <f>IF(Lists!$Q119="","",Lists!$Q119)</f>
        <v>0</v>
      </c>
      <c r="AM119" s="31">
        <f>IF(AL119="","",COUNTIFS(Bookings!$AV$5:$AV$404,AL119,Bookings!$I$5:$I$404,"&gt;="&amp;RepFrom,Bookings!$I$5:$I$404,"&lt;="&amp;RepTo))</f>
        <v>0</v>
      </c>
      <c r="AN119" s="28">
        <f>IF(Lists!$AF119="","",Lists!$AF119)</f>
        <v>0</v>
      </c>
      <c r="AO119" s="29">
        <f>IF(AN119="","",SUMIFS(Payments!$L$5:$L$304,Payments!$F$5:$F$304,AN119,Payments!$B$5:$B$304,"&gt;="&amp;RepFrom,Payments!$B$5:$B$304,"&lt;="&amp;RepTo))</f>
        <v>0</v>
      </c>
      <c r="AP119" s="28">
        <f>IF(Lists!$E119="","",Lists!$E119)</f>
        <v>0</v>
      </c>
      <c r="AQ119" s="31">
        <f>IF(AP119="","",COUNTIFS(Clients!$K$5:$K$254,AP119))</f>
        <v>0</v>
      </c>
      <c r="AR119" s="29">
        <f>IF(AP119="","",SUMIFS(Clients!$AE$5:$AE$254,Clients!$K$5:$K$254,AP119))</f>
        <v>0</v>
      </c>
    </row>
    <row r="120" spans="1:44">
      <c r="A120" s="28">
        <f>IF(Clients!$B$120="","",Clients!$B$120)</f>
        <v>0</v>
      </c>
      <c r="B120" s="29">
        <f>IF(A120="","",SUMIFS(Payments!$L$5:$L$304,Payments!$C$5:$C$304,A120,Payments!$B$5:$B$304,"&gt;="&amp;PeriodStart,Payments!$B$5:$B$304,"&lt;="&amp;PeriodEnd))</f>
        <v>0</v>
      </c>
      <c r="C120" s="51">
        <f>IF(A120="","",IF(B120&lt;=0,"",B120+ROW()/1000000))</f>
        <v>0</v>
      </c>
      <c r="D120" s="29">
        <f>IF(A120="","",SUMIFS(Payments!$L$5:$L$304,Payments!$C$5:$C$304,A120,Payments!$B$5:$B$304,"&gt;="&amp;RepFrom,Payments!$B$5:$B$304,"&lt;="&amp;RepTo))</f>
        <v>0</v>
      </c>
      <c r="E120" s="51">
        <f>IF(A120="","",IF(D120&lt;=0,"",D120+ROW()/1000000))</f>
        <v>0</v>
      </c>
      <c r="F120" s="29">
        <f>IF(A120="","",SUMIFS(Invoices!$S$5:$S$304,Invoices!$D$5:$D$304,A120,Invoices!$T$5:$T$304,"&lt;&gt;Cancelled"))</f>
        <v>0</v>
      </c>
      <c r="G120" s="51">
        <f>IF(A120="","",IF(F120&lt;=0.004,"",F120+ROW()/1000000))</f>
        <v>0</v>
      </c>
      <c r="H120" s="31">
        <f>IF(A120="","",COUNTIFS(Bookings!$C$5:$C$404,A120,Bookings!$I$5:$I$404,"&gt;="&amp;RepFrom,Bookings!$I$5:$I$404,"&lt;="&amp;RepTo,Bookings!$AM$5:$AM$404,"&lt;&gt;Cancelled"))</f>
        <v>0</v>
      </c>
      <c r="I120" s="28">
        <f>IF(Services!$B$120="","",Services!$B$120)</f>
        <v>0</v>
      </c>
      <c r="J120" s="29">
        <f>IF(I120="","",SUMIFS(Bookings!$AK$5:$AK$404,Bookings!$H$5:$H$404,I120,Bookings!$I$5:$I$404,"&gt;="&amp;PeriodStart,Bookings!$I$5:$I$404,"&lt;="&amp;PeriodEnd,Bookings!$AM$5:$AM$404,"&lt;&gt;Cancelled"))</f>
        <v>0</v>
      </c>
      <c r="K120" s="31">
        <f>IF(I120="","",COUNTIFS(Bookings!$H$5:$H$404,I120,Bookings!$I$5:$I$404,"&gt;="&amp;PeriodStart,Bookings!$I$5:$I$404,"&lt;="&amp;PeriodEnd,Bookings!$AM$5:$AM$404,"&lt;&gt;Cancelled"))</f>
        <v>0</v>
      </c>
      <c r="L120" s="29">
        <f>IF(I120="","",SUMIFS(Bookings!$AK$5:$AK$404,Bookings!$H$5:$H$404,I120,Bookings!$I$5:$I$404,"&gt;="&amp;RepFrom,Bookings!$I$5:$I$404,"&lt;="&amp;RepTo,Bookings!$AM$5:$AM$404,"&lt;&gt;Cancelled"))</f>
        <v>0</v>
      </c>
      <c r="M120" s="31">
        <f>IF(I120="","",COUNTIFS(Bookings!$H$5:$H$404,I120,Bookings!$I$5:$I$404,"&gt;="&amp;RepFrom,Bookings!$I$5:$I$404,"&lt;="&amp;RepTo,Bookings!$AM$5:$AM$404,"&lt;&gt;Cancelled"))</f>
        <v>0</v>
      </c>
      <c r="N120" s="29">
        <f>IF(I120="","",M120*IF(Services!$L$120="",0,Services!$L$120))</f>
        <v>0</v>
      </c>
      <c r="O120" s="29">
        <f>IF(I120="","",L120-N120)</f>
        <v>0</v>
      </c>
      <c r="P120" s="28">
        <f>IF(Lists!$AG120="","",Lists!$AG120)</f>
        <v>0</v>
      </c>
      <c r="Q120" s="29">
        <f>IF(P120="","",SUMIFS(Expenses!$F$5:$F$304,Expenses!$C$5:$C$304,P120,Expenses!$B$5:$B$304,"&gt;="&amp;PeriodStart,Expenses!$B$5:$B$304,"&lt;="&amp;PeriodEnd,Expenses!$J$5:$J$304,"&lt;&gt;Personal"))</f>
        <v>0</v>
      </c>
      <c r="R120" s="29">
        <f>IF(P120="","",SUMIFS(Expenses!$F$5:$F$304,Expenses!$C$5:$C$304,P120,Expenses!$B$5:$B$304,"&gt;="&amp;RepFrom,Expenses!$B$5:$B$304,"&lt;="&amp;RepTo,Expenses!$J$5:$J$304,"&lt;&gt;Personal"))</f>
        <v>0</v>
      </c>
      <c r="S120" s="21">
        <f>IF(ROW()-4&gt;12,"",DATE(Dash_Year,ROW()-4,1))</f>
        <v>0</v>
      </c>
      <c r="T120" s="21">
        <f>IF(S120="","",EOMONTH(S120,0))</f>
        <v>0</v>
      </c>
      <c r="U120" s="28">
        <f>IF(S120="","",TEXT(S120,"mmm"))</f>
        <v>0</v>
      </c>
      <c r="V120" s="29">
        <f>IF(S120="","",SUMIFS(Payments!$L$5:$L$304,Payments!$B$5:$B$304,"&gt;="&amp;S120,Payments!$B$5:$B$304,"&lt;="&amp;T120))</f>
        <v>0</v>
      </c>
      <c r="W120" s="29">
        <f>IF(S120="","",SUMIFS(Invoices!$O$5:$O$304,Invoices!$B$5:$B$304,"&gt;="&amp;S120,Invoices!$B$5:$B$304,"&lt;="&amp;T120,Invoices!$T$5:$T$304,"&lt;&gt;Cancelled"))</f>
        <v>0</v>
      </c>
      <c r="X120" s="29">
        <f>IF(S120="","",SUMIFS(Expenses!$F$5:$F$304,Expenses!$B$5:$B$304,"&gt;="&amp;S120,Expenses!$B$5:$B$304,"&lt;="&amp;T120,Expenses!$J$5:$J$304,"&lt;&gt;Personal"))</f>
        <v>0</v>
      </c>
      <c r="Y120" s="29">
        <f>IF(S120="","",V120-X120)</f>
        <v>0</v>
      </c>
      <c r="Z120" s="31">
        <f>IF(S120="","",COUNTIFS(Bookings!$I$5:$I$404,"&gt;="&amp;S120,Bookings!$I$5:$I$404,"&lt;="&amp;T120,Bookings!$AM$5:$AM$404,"&lt;&gt;Cancelled"))</f>
        <v>0</v>
      </c>
      <c r="AA120" s="31">
        <f>IF(S120="","",COUNTIFS(Bookings!$I$5:$I$404,"&gt;="&amp;S120,Bookings!$I$5:$I$404,"&lt;="&amp;T120,Bookings!$AM$5:$AM$404,"Completed"))</f>
        <v>0</v>
      </c>
      <c r="AB120" s="31">
        <f>IF(S120="","",COUNTIFS(Bookings!$I$5:$I$404,"&gt;="&amp;S120,Bookings!$I$5:$I$404,"&lt;="&amp;T120,Bookings!$AM$5:$AM$404,"Cancelled"))</f>
        <v>0</v>
      </c>
      <c r="AC120" s="31">
        <f>IF(S120="","",COUNTIFS('Visit Log'!$C$5:$C$404,"&gt;="&amp;S120,'Visit Log'!$C$5:$C$404,"&lt;="&amp;T120,'Visit Log'!$AE$5:$AE$404,"Completed"))</f>
        <v>0</v>
      </c>
      <c r="AD120" s="31">
        <f>IF(S120="","",COUNTIFS(Clients!$L$5:$L$254,"&gt;="&amp;S120,Clients!$L$5:$L$254,"&lt;="&amp;T120))</f>
        <v>0</v>
      </c>
      <c r="AE120" s="32">
        <f>IF(S120="","",SUMIFS(Mileage!$M$5:$M$304,Mileage!$B$5:$B$304,"&gt;="&amp;S120,Mileage!$B$5:$B$304,"&lt;="&amp;T120,Mileage!$N$5:$N$304,"Business"))</f>
        <v>0</v>
      </c>
      <c r="AF120" s="29">
        <f>IF(S120="","",SUMIFS(Payments!$L$5:$L$304,Payments!$B$5:$B$304,"&gt;="&amp;DATE(Dash_Year-1,ROW()-4,1),Payments!$B$5:$B$304,"&lt;="&amp;EOMONTH(DATE(Dash_Year-1,ROW()-4,1),0)))</f>
        <v>0</v>
      </c>
      <c r="AG120" s="28">
        <f>IF(Staff!$B$120="","",Staff!$B$120)</f>
        <v>0</v>
      </c>
      <c r="AH120" s="31">
        <f>IF(AG120="","",COUNTIFS('Visit Log'!$G$5:$G$404,AG120,'Visit Log'!$C$5:$C$404,"&gt;="&amp;RepFrom,'Visit Log'!$C$5:$C$404,"&lt;="&amp;RepTo,'Visit Log'!$AE$5:$AE$404,"Completed"))</f>
        <v>0</v>
      </c>
      <c r="AI120" s="51">
        <f>IF(AG120="","",ROUND(SUMIFS('Visit Log'!$K$5:$K$404,'Visit Log'!$G$5:$G$404,AG120,'Visit Log'!$C$5:$C$404,"&gt;="&amp;RepFrom,'Visit Log'!$C$5:$C$404,"&lt;="&amp;RepTo,'Visit Log'!$AE$5:$AE$404,"Completed")/60,2))</f>
        <v>0</v>
      </c>
      <c r="AJ120" s="29">
        <f>IF(AG120="","",SUMIFS(Bookings!$AK$5:$AK$404,Bookings!$AL$5:$AL$404,AG120,Bookings!$I$5:$I$404,"&gt;="&amp;RepFrom,Bookings!$I$5:$I$404,"&lt;="&amp;RepTo,Bookings!$AM$5:$AM$404,"&lt;&gt;Cancelled"))</f>
        <v>0</v>
      </c>
      <c r="AK120" s="32">
        <f>IF(AG120="","",SUMIFS(Mileage!$M$5:$M$304,Mileage!$C$5:$C$304,AG120,Mileage!$B$5:$B$304,"&gt;="&amp;RepFrom,Mileage!$B$5:$B$304,"&lt;="&amp;RepTo))</f>
        <v>0</v>
      </c>
      <c r="AL120" s="28">
        <f>IF(Lists!$Q120="","",Lists!$Q120)</f>
        <v>0</v>
      </c>
      <c r="AM120" s="31">
        <f>IF(AL120="","",COUNTIFS(Bookings!$AV$5:$AV$404,AL120,Bookings!$I$5:$I$404,"&gt;="&amp;RepFrom,Bookings!$I$5:$I$404,"&lt;="&amp;RepTo))</f>
        <v>0</v>
      </c>
      <c r="AN120" s="28">
        <f>IF(Lists!$AF120="","",Lists!$AF120)</f>
        <v>0</v>
      </c>
      <c r="AO120" s="29">
        <f>IF(AN120="","",SUMIFS(Payments!$L$5:$L$304,Payments!$F$5:$F$304,AN120,Payments!$B$5:$B$304,"&gt;="&amp;RepFrom,Payments!$B$5:$B$304,"&lt;="&amp;RepTo))</f>
        <v>0</v>
      </c>
      <c r="AP120" s="28">
        <f>IF(Lists!$E120="","",Lists!$E120)</f>
        <v>0</v>
      </c>
      <c r="AQ120" s="31">
        <f>IF(AP120="","",COUNTIFS(Clients!$K$5:$K$254,AP120))</f>
        <v>0</v>
      </c>
      <c r="AR120" s="29">
        <f>IF(AP120="","",SUMIFS(Clients!$AE$5:$AE$254,Clients!$K$5:$K$254,AP120))</f>
        <v>0</v>
      </c>
    </row>
    <row r="121" spans="1:44">
      <c r="A121" s="28">
        <f>IF(Clients!$B$121="","",Clients!$B$121)</f>
        <v>0</v>
      </c>
      <c r="B121" s="29">
        <f>IF(A121="","",SUMIFS(Payments!$L$5:$L$304,Payments!$C$5:$C$304,A121,Payments!$B$5:$B$304,"&gt;="&amp;PeriodStart,Payments!$B$5:$B$304,"&lt;="&amp;PeriodEnd))</f>
        <v>0</v>
      </c>
      <c r="C121" s="51">
        <f>IF(A121="","",IF(B121&lt;=0,"",B121+ROW()/1000000))</f>
        <v>0</v>
      </c>
      <c r="D121" s="29">
        <f>IF(A121="","",SUMIFS(Payments!$L$5:$L$304,Payments!$C$5:$C$304,A121,Payments!$B$5:$B$304,"&gt;="&amp;RepFrom,Payments!$B$5:$B$304,"&lt;="&amp;RepTo))</f>
        <v>0</v>
      </c>
      <c r="E121" s="51">
        <f>IF(A121="","",IF(D121&lt;=0,"",D121+ROW()/1000000))</f>
        <v>0</v>
      </c>
      <c r="F121" s="29">
        <f>IF(A121="","",SUMIFS(Invoices!$S$5:$S$304,Invoices!$D$5:$D$304,A121,Invoices!$T$5:$T$304,"&lt;&gt;Cancelled"))</f>
        <v>0</v>
      </c>
      <c r="G121" s="51">
        <f>IF(A121="","",IF(F121&lt;=0.004,"",F121+ROW()/1000000))</f>
        <v>0</v>
      </c>
      <c r="H121" s="31">
        <f>IF(A121="","",COUNTIFS(Bookings!$C$5:$C$404,A121,Bookings!$I$5:$I$404,"&gt;="&amp;RepFrom,Bookings!$I$5:$I$404,"&lt;="&amp;RepTo,Bookings!$AM$5:$AM$404,"&lt;&gt;Cancelled"))</f>
        <v>0</v>
      </c>
      <c r="I121" s="28">
        <f>IF(Services!$B$121="","",Services!$B$121)</f>
        <v>0</v>
      </c>
      <c r="J121" s="29">
        <f>IF(I121="","",SUMIFS(Bookings!$AK$5:$AK$404,Bookings!$H$5:$H$404,I121,Bookings!$I$5:$I$404,"&gt;="&amp;PeriodStart,Bookings!$I$5:$I$404,"&lt;="&amp;PeriodEnd,Bookings!$AM$5:$AM$404,"&lt;&gt;Cancelled"))</f>
        <v>0</v>
      </c>
      <c r="K121" s="31">
        <f>IF(I121="","",COUNTIFS(Bookings!$H$5:$H$404,I121,Bookings!$I$5:$I$404,"&gt;="&amp;PeriodStart,Bookings!$I$5:$I$404,"&lt;="&amp;PeriodEnd,Bookings!$AM$5:$AM$404,"&lt;&gt;Cancelled"))</f>
        <v>0</v>
      </c>
      <c r="L121" s="29">
        <f>IF(I121="","",SUMIFS(Bookings!$AK$5:$AK$404,Bookings!$H$5:$H$404,I121,Bookings!$I$5:$I$404,"&gt;="&amp;RepFrom,Bookings!$I$5:$I$404,"&lt;="&amp;RepTo,Bookings!$AM$5:$AM$404,"&lt;&gt;Cancelled"))</f>
        <v>0</v>
      </c>
      <c r="M121" s="31">
        <f>IF(I121="","",COUNTIFS(Bookings!$H$5:$H$404,I121,Bookings!$I$5:$I$404,"&gt;="&amp;RepFrom,Bookings!$I$5:$I$404,"&lt;="&amp;RepTo,Bookings!$AM$5:$AM$404,"&lt;&gt;Cancelled"))</f>
        <v>0</v>
      </c>
      <c r="N121" s="29">
        <f>IF(I121="","",M121*IF(Services!$L$121="",0,Services!$L$121))</f>
        <v>0</v>
      </c>
      <c r="O121" s="29">
        <f>IF(I121="","",L121-N121)</f>
        <v>0</v>
      </c>
      <c r="P121" s="28">
        <f>IF(Lists!$AG121="","",Lists!$AG121)</f>
        <v>0</v>
      </c>
      <c r="Q121" s="29">
        <f>IF(P121="","",SUMIFS(Expenses!$F$5:$F$304,Expenses!$C$5:$C$304,P121,Expenses!$B$5:$B$304,"&gt;="&amp;PeriodStart,Expenses!$B$5:$B$304,"&lt;="&amp;PeriodEnd,Expenses!$J$5:$J$304,"&lt;&gt;Personal"))</f>
        <v>0</v>
      </c>
      <c r="R121" s="29">
        <f>IF(P121="","",SUMIFS(Expenses!$F$5:$F$304,Expenses!$C$5:$C$304,P121,Expenses!$B$5:$B$304,"&gt;="&amp;RepFrom,Expenses!$B$5:$B$304,"&lt;="&amp;RepTo,Expenses!$J$5:$J$304,"&lt;&gt;Personal"))</f>
        <v>0</v>
      </c>
      <c r="S121" s="21">
        <f>IF(ROW()-4&gt;12,"",DATE(Dash_Year,ROW()-4,1))</f>
        <v>0</v>
      </c>
      <c r="T121" s="21">
        <f>IF(S121="","",EOMONTH(S121,0))</f>
        <v>0</v>
      </c>
      <c r="U121" s="28">
        <f>IF(S121="","",TEXT(S121,"mmm"))</f>
        <v>0</v>
      </c>
      <c r="V121" s="29">
        <f>IF(S121="","",SUMIFS(Payments!$L$5:$L$304,Payments!$B$5:$B$304,"&gt;="&amp;S121,Payments!$B$5:$B$304,"&lt;="&amp;T121))</f>
        <v>0</v>
      </c>
      <c r="W121" s="29">
        <f>IF(S121="","",SUMIFS(Invoices!$O$5:$O$304,Invoices!$B$5:$B$304,"&gt;="&amp;S121,Invoices!$B$5:$B$304,"&lt;="&amp;T121,Invoices!$T$5:$T$304,"&lt;&gt;Cancelled"))</f>
        <v>0</v>
      </c>
      <c r="X121" s="29">
        <f>IF(S121="","",SUMIFS(Expenses!$F$5:$F$304,Expenses!$B$5:$B$304,"&gt;="&amp;S121,Expenses!$B$5:$B$304,"&lt;="&amp;T121,Expenses!$J$5:$J$304,"&lt;&gt;Personal"))</f>
        <v>0</v>
      </c>
      <c r="Y121" s="29">
        <f>IF(S121="","",V121-X121)</f>
        <v>0</v>
      </c>
      <c r="Z121" s="31">
        <f>IF(S121="","",COUNTIFS(Bookings!$I$5:$I$404,"&gt;="&amp;S121,Bookings!$I$5:$I$404,"&lt;="&amp;T121,Bookings!$AM$5:$AM$404,"&lt;&gt;Cancelled"))</f>
        <v>0</v>
      </c>
      <c r="AA121" s="31">
        <f>IF(S121="","",COUNTIFS(Bookings!$I$5:$I$404,"&gt;="&amp;S121,Bookings!$I$5:$I$404,"&lt;="&amp;T121,Bookings!$AM$5:$AM$404,"Completed"))</f>
        <v>0</v>
      </c>
      <c r="AB121" s="31">
        <f>IF(S121="","",COUNTIFS(Bookings!$I$5:$I$404,"&gt;="&amp;S121,Bookings!$I$5:$I$404,"&lt;="&amp;T121,Bookings!$AM$5:$AM$404,"Cancelled"))</f>
        <v>0</v>
      </c>
      <c r="AC121" s="31">
        <f>IF(S121="","",COUNTIFS('Visit Log'!$C$5:$C$404,"&gt;="&amp;S121,'Visit Log'!$C$5:$C$404,"&lt;="&amp;T121,'Visit Log'!$AE$5:$AE$404,"Completed"))</f>
        <v>0</v>
      </c>
      <c r="AD121" s="31">
        <f>IF(S121="","",COUNTIFS(Clients!$L$5:$L$254,"&gt;="&amp;S121,Clients!$L$5:$L$254,"&lt;="&amp;T121))</f>
        <v>0</v>
      </c>
      <c r="AE121" s="32">
        <f>IF(S121="","",SUMIFS(Mileage!$M$5:$M$304,Mileage!$B$5:$B$304,"&gt;="&amp;S121,Mileage!$B$5:$B$304,"&lt;="&amp;T121,Mileage!$N$5:$N$304,"Business"))</f>
        <v>0</v>
      </c>
      <c r="AF121" s="29">
        <f>IF(S121="","",SUMIFS(Payments!$L$5:$L$304,Payments!$B$5:$B$304,"&gt;="&amp;DATE(Dash_Year-1,ROW()-4,1),Payments!$B$5:$B$304,"&lt;="&amp;EOMONTH(DATE(Dash_Year-1,ROW()-4,1),0)))</f>
        <v>0</v>
      </c>
      <c r="AG121" s="28">
        <f>IF(Staff!$B$121="","",Staff!$B$121)</f>
        <v>0</v>
      </c>
      <c r="AH121" s="31">
        <f>IF(AG121="","",COUNTIFS('Visit Log'!$G$5:$G$404,AG121,'Visit Log'!$C$5:$C$404,"&gt;="&amp;RepFrom,'Visit Log'!$C$5:$C$404,"&lt;="&amp;RepTo,'Visit Log'!$AE$5:$AE$404,"Completed"))</f>
        <v>0</v>
      </c>
      <c r="AI121" s="51">
        <f>IF(AG121="","",ROUND(SUMIFS('Visit Log'!$K$5:$K$404,'Visit Log'!$G$5:$G$404,AG121,'Visit Log'!$C$5:$C$404,"&gt;="&amp;RepFrom,'Visit Log'!$C$5:$C$404,"&lt;="&amp;RepTo,'Visit Log'!$AE$5:$AE$404,"Completed")/60,2))</f>
        <v>0</v>
      </c>
      <c r="AJ121" s="29">
        <f>IF(AG121="","",SUMIFS(Bookings!$AK$5:$AK$404,Bookings!$AL$5:$AL$404,AG121,Bookings!$I$5:$I$404,"&gt;="&amp;RepFrom,Bookings!$I$5:$I$404,"&lt;="&amp;RepTo,Bookings!$AM$5:$AM$404,"&lt;&gt;Cancelled"))</f>
        <v>0</v>
      </c>
      <c r="AK121" s="32">
        <f>IF(AG121="","",SUMIFS(Mileage!$M$5:$M$304,Mileage!$C$5:$C$304,AG121,Mileage!$B$5:$B$304,"&gt;="&amp;RepFrom,Mileage!$B$5:$B$304,"&lt;="&amp;RepTo))</f>
        <v>0</v>
      </c>
      <c r="AL121" s="28">
        <f>IF(Lists!$Q121="","",Lists!$Q121)</f>
        <v>0</v>
      </c>
      <c r="AM121" s="31">
        <f>IF(AL121="","",COUNTIFS(Bookings!$AV$5:$AV$404,AL121,Bookings!$I$5:$I$404,"&gt;="&amp;RepFrom,Bookings!$I$5:$I$404,"&lt;="&amp;RepTo))</f>
        <v>0</v>
      </c>
      <c r="AN121" s="28">
        <f>IF(Lists!$AF121="","",Lists!$AF121)</f>
        <v>0</v>
      </c>
      <c r="AO121" s="29">
        <f>IF(AN121="","",SUMIFS(Payments!$L$5:$L$304,Payments!$F$5:$F$304,AN121,Payments!$B$5:$B$304,"&gt;="&amp;RepFrom,Payments!$B$5:$B$304,"&lt;="&amp;RepTo))</f>
        <v>0</v>
      </c>
      <c r="AP121" s="28">
        <f>IF(Lists!$E121="","",Lists!$E121)</f>
        <v>0</v>
      </c>
      <c r="AQ121" s="31">
        <f>IF(AP121="","",COUNTIFS(Clients!$K$5:$K$254,AP121))</f>
        <v>0</v>
      </c>
      <c r="AR121" s="29">
        <f>IF(AP121="","",SUMIFS(Clients!$AE$5:$AE$254,Clients!$K$5:$K$254,AP121))</f>
        <v>0</v>
      </c>
    </row>
    <row r="122" spans="1:44">
      <c r="A122" s="28">
        <f>IF(Clients!$B$122="","",Clients!$B$122)</f>
        <v>0</v>
      </c>
      <c r="B122" s="29">
        <f>IF(A122="","",SUMIFS(Payments!$L$5:$L$304,Payments!$C$5:$C$304,A122,Payments!$B$5:$B$304,"&gt;="&amp;PeriodStart,Payments!$B$5:$B$304,"&lt;="&amp;PeriodEnd))</f>
        <v>0</v>
      </c>
      <c r="C122" s="51">
        <f>IF(A122="","",IF(B122&lt;=0,"",B122+ROW()/1000000))</f>
        <v>0</v>
      </c>
      <c r="D122" s="29">
        <f>IF(A122="","",SUMIFS(Payments!$L$5:$L$304,Payments!$C$5:$C$304,A122,Payments!$B$5:$B$304,"&gt;="&amp;RepFrom,Payments!$B$5:$B$304,"&lt;="&amp;RepTo))</f>
        <v>0</v>
      </c>
      <c r="E122" s="51">
        <f>IF(A122="","",IF(D122&lt;=0,"",D122+ROW()/1000000))</f>
        <v>0</v>
      </c>
      <c r="F122" s="29">
        <f>IF(A122="","",SUMIFS(Invoices!$S$5:$S$304,Invoices!$D$5:$D$304,A122,Invoices!$T$5:$T$304,"&lt;&gt;Cancelled"))</f>
        <v>0</v>
      </c>
      <c r="G122" s="51">
        <f>IF(A122="","",IF(F122&lt;=0.004,"",F122+ROW()/1000000))</f>
        <v>0</v>
      </c>
      <c r="H122" s="31">
        <f>IF(A122="","",COUNTIFS(Bookings!$C$5:$C$404,A122,Bookings!$I$5:$I$404,"&gt;="&amp;RepFrom,Bookings!$I$5:$I$404,"&lt;="&amp;RepTo,Bookings!$AM$5:$AM$404,"&lt;&gt;Cancelled"))</f>
        <v>0</v>
      </c>
      <c r="I122" s="28">
        <f>IF(Services!$B$122="","",Services!$B$122)</f>
        <v>0</v>
      </c>
      <c r="J122" s="29">
        <f>IF(I122="","",SUMIFS(Bookings!$AK$5:$AK$404,Bookings!$H$5:$H$404,I122,Bookings!$I$5:$I$404,"&gt;="&amp;PeriodStart,Bookings!$I$5:$I$404,"&lt;="&amp;PeriodEnd,Bookings!$AM$5:$AM$404,"&lt;&gt;Cancelled"))</f>
        <v>0</v>
      </c>
      <c r="K122" s="31">
        <f>IF(I122="","",COUNTIFS(Bookings!$H$5:$H$404,I122,Bookings!$I$5:$I$404,"&gt;="&amp;PeriodStart,Bookings!$I$5:$I$404,"&lt;="&amp;PeriodEnd,Bookings!$AM$5:$AM$404,"&lt;&gt;Cancelled"))</f>
        <v>0</v>
      </c>
      <c r="L122" s="29">
        <f>IF(I122="","",SUMIFS(Bookings!$AK$5:$AK$404,Bookings!$H$5:$H$404,I122,Bookings!$I$5:$I$404,"&gt;="&amp;RepFrom,Bookings!$I$5:$I$404,"&lt;="&amp;RepTo,Bookings!$AM$5:$AM$404,"&lt;&gt;Cancelled"))</f>
        <v>0</v>
      </c>
      <c r="M122" s="31">
        <f>IF(I122="","",COUNTIFS(Bookings!$H$5:$H$404,I122,Bookings!$I$5:$I$404,"&gt;="&amp;RepFrom,Bookings!$I$5:$I$404,"&lt;="&amp;RepTo,Bookings!$AM$5:$AM$404,"&lt;&gt;Cancelled"))</f>
        <v>0</v>
      </c>
      <c r="N122" s="29">
        <f>IF(I122="","",M122*IF(Services!$L$122="",0,Services!$L$122))</f>
        <v>0</v>
      </c>
      <c r="O122" s="29">
        <f>IF(I122="","",L122-N122)</f>
        <v>0</v>
      </c>
      <c r="P122" s="28">
        <f>IF(Lists!$AG122="","",Lists!$AG122)</f>
        <v>0</v>
      </c>
      <c r="Q122" s="29">
        <f>IF(P122="","",SUMIFS(Expenses!$F$5:$F$304,Expenses!$C$5:$C$304,P122,Expenses!$B$5:$B$304,"&gt;="&amp;PeriodStart,Expenses!$B$5:$B$304,"&lt;="&amp;PeriodEnd,Expenses!$J$5:$J$304,"&lt;&gt;Personal"))</f>
        <v>0</v>
      </c>
      <c r="R122" s="29">
        <f>IF(P122="","",SUMIFS(Expenses!$F$5:$F$304,Expenses!$C$5:$C$304,P122,Expenses!$B$5:$B$304,"&gt;="&amp;RepFrom,Expenses!$B$5:$B$304,"&lt;="&amp;RepTo,Expenses!$J$5:$J$304,"&lt;&gt;Personal"))</f>
        <v>0</v>
      </c>
      <c r="S122" s="21">
        <f>IF(ROW()-4&gt;12,"",DATE(Dash_Year,ROW()-4,1))</f>
        <v>0</v>
      </c>
      <c r="T122" s="21">
        <f>IF(S122="","",EOMONTH(S122,0))</f>
        <v>0</v>
      </c>
      <c r="U122" s="28">
        <f>IF(S122="","",TEXT(S122,"mmm"))</f>
        <v>0</v>
      </c>
      <c r="V122" s="29">
        <f>IF(S122="","",SUMIFS(Payments!$L$5:$L$304,Payments!$B$5:$B$304,"&gt;="&amp;S122,Payments!$B$5:$B$304,"&lt;="&amp;T122))</f>
        <v>0</v>
      </c>
      <c r="W122" s="29">
        <f>IF(S122="","",SUMIFS(Invoices!$O$5:$O$304,Invoices!$B$5:$B$304,"&gt;="&amp;S122,Invoices!$B$5:$B$304,"&lt;="&amp;T122,Invoices!$T$5:$T$304,"&lt;&gt;Cancelled"))</f>
        <v>0</v>
      </c>
      <c r="X122" s="29">
        <f>IF(S122="","",SUMIFS(Expenses!$F$5:$F$304,Expenses!$B$5:$B$304,"&gt;="&amp;S122,Expenses!$B$5:$B$304,"&lt;="&amp;T122,Expenses!$J$5:$J$304,"&lt;&gt;Personal"))</f>
        <v>0</v>
      </c>
      <c r="Y122" s="29">
        <f>IF(S122="","",V122-X122)</f>
        <v>0</v>
      </c>
      <c r="Z122" s="31">
        <f>IF(S122="","",COUNTIFS(Bookings!$I$5:$I$404,"&gt;="&amp;S122,Bookings!$I$5:$I$404,"&lt;="&amp;T122,Bookings!$AM$5:$AM$404,"&lt;&gt;Cancelled"))</f>
        <v>0</v>
      </c>
      <c r="AA122" s="31">
        <f>IF(S122="","",COUNTIFS(Bookings!$I$5:$I$404,"&gt;="&amp;S122,Bookings!$I$5:$I$404,"&lt;="&amp;T122,Bookings!$AM$5:$AM$404,"Completed"))</f>
        <v>0</v>
      </c>
      <c r="AB122" s="31">
        <f>IF(S122="","",COUNTIFS(Bookings!$I$5:$I$404,"&gt;="&amp;S122,Bookings!$I$5:$I$404,"&lt;="&amp;T122,Bookings!$AM$5:$AM$404,"Cancelled"))</f>
        <v>0</v>
      </c>
      <c r="AC122" s="31">
        <f>IF(S122="","",COUNTIFS('Visit Log'!$C$5:$C$404,"&gt;="&amp;S122,'Visit Log'!$C$5:$C$404,"&lt;="&amp;T122,'Visit Log'!$AE$5:$AE$404,"Completed"))</f>
        <v>0</v>
      </c>
      <c r="AD122" s="31">
        <f>IF(S122="","",COUNTIFS(Clients!$L$5:$L$254,"&gt;="&amp;S122,Clients!$L$5:$L$254,"&lt;="&amp;T122))</f>
        <v>0</v>
      </c>
      <c r="AE122" s="32">
        <f>IF(S122="","",SUMIFS(Mileage!$M$5:$M$304,Mileage!$B$5:$B$304,"&gt;="&amp;S122,Mileage!$B$5:$B$304,"&lt;="&amp;T122,Mileage!$N$5:$N$304,"Business"))</f>
        <v>0</v>
      </c>
      <c r="AF122" s="29">
        <f>IF(S122="","",SUMIFS(Payments!$L$5:$L$304,Payments!$B$5:$B$304,"&gt;="&amp;DATE(Dash_Year-1,ROW()-4,1),Payments!$B$5:$B$304,"&lt;="&amp;EOMONTH(DATE(Dash_Year-1,ROW()-4,1),0)))</f>
        <v>0</v>
      </c>
      <c r="AG122" s="28">
        <f>IF(Staff!$B$122="","",Staff!$B$122)</f>
        <v>0</v>
      </c>
      <c r="AH122" s="31">
        <f>IF(AG122="","",COUNTIFS('Visit Log'!$G$5:$G$404,AG122,'Visit Log'!$C$5:$C$404,"&gt;="&amp;RepFrom,'Visit Log'!$C$5:$C$404,"&lt;="&amp;RepTo,'Visit Log'!$AE$5:$AE$404,"Completed"))</f>
        <v>0</v>
      </c>
      <c r="AI122" s="51">
        <f>IF(AG122="","",ROUND(SUMIFS('Visit Log'!$K$5:$K$404,'Visit Log'!$G$5:$G$404,AG122,'Visit Log'!$C$5:$C$404,"&gt;="&amp;RepFrom,'Visit Log'!$C$5:$C$404,"&lt;="&amp;RepTo,'Visit Log'!$AE$5:$AE$404,"Completed")/60,2))</f>
        <v>0</v>
      </c>
      <c r="AJ122" s="29">
        <f>IF(AG122="","",SUMIFS(Bookings!$AK$5:$AK$404,Bookings!$AL$5:$AL$404,AG122,Bookings!$I$5:$I$404,"&gt;="&amp;RepFrom,Bookings!$I$5:$I$404,"&lt;="&amp;RepTo,Bookings!$AM$5:$AM$404,"&lt;&gt;Cancelled"))</f>
        <v>0</v>
      </c>
      <c r="AK122" s="32">
        <f>IF(AG122="","",SUMIFS(Mileage!$M$5:$M$304,Mileage!$C$5:$C$304,AG122,Mileage!$B$5:$B$304,"&gt;="&amp;RepFrom,Mileage!$B$5:$B$304,"&lt;="&amp;RepTo))</f>
        <v>0</v>
      </c>
      <c r="AL122" s="28">
        <f>IF(Lists!$Q122="","",Lists!$Q122)</f>
        <v>0</v>
      </c>
      <c r="AM122" s="31">
        <f>IF(AL122="","",COUNTIFS(Bookings!$AV$5:$AV$404,AL122,Bookings!$I$5:$I$404,"&gt;="&amp;RepFrom,Bookings!$I$5:$I$404,"&lt;="&amp;RepTo))</f>
        <v>0</v>
      </c>
      <c r="AN122" s="28">
        <f>IF(Lists!$AF122="","",Lists!$AF122)</f>
        <v>0</v>
      </c>
      <c r="AO122" s="29">
        <f>IF(AN122="","",SUMIFS(Payments!$L$5:$L$304,Payments!$F$5:$F$304,AN122,Payments!$B$5:$B$304,"&gt;="&amp;RepFrom,Payments!$B$5:$B$304,"&lt;="&amp;RepTo))</f>
        <v>0</v>
      </c>
      <c r="AP122" s="28">
        <f>IF(Lists!$E122="","",Lists!$E122)</f>
        <v>0</v>
      </c>
      <c r="AQ122" s="31">
        <f>IF(AP122="","",COUNTIFS(Clients!$K$5:$K$254,AP122))</f>
        <v>0</v>
      </c>
      <c r="AR122" s="29">
        <f>IF(AP122="","",SUMIFS(Clients!$AE$5:$AE$254,Clients!$K$5:$K$254,AP122))</f>
        <v>0</v>
      </c>
    </row>
    <row r="123" spans="1:44">
      <c r="A123" s="28">
        <f>IF(Clients!$B$123="","",Clients!$B$123)</f>
        <v>0</v>
      </c>
      <c r="B123" s="29">
        <f>IF(A123="","",SUMIFS(Payments!$L$5:$L$304,Payments!$C$5:$C$304,A123,Payments!$B$5:$B$304,"&gt;="&amp;PeriodStart,Payments!$B$5:$B$304,"&lt;="&amp;PeriodEnd))</f>
        <v>0</v>
      </c>
      <c r="C123" s="51">
        <f>IF(A123="","",IF(B123&lt;=0,"",B123+ROW()/1000000))</f>
        <v>0</v>
      </c>
      <c r="D123" s="29">
        <f>IF(A123="","",SUMIFS(Payments!$L$5:$L$304,Payments!$C$5:$C$304,A123,Payments!$B$5:$B$304,"&gt;="&amp;RepFrom,Payments!$B$5:$B$304,"&lt;="&amp;RepTo))</f>
        <v>0</v>
      </c>
      <c r="E123" s="51">
        <f>IF(A123="","",IF(D123&lt;=0,"",D123+ROW()/1000000))</f>
        <v>0</v>
      </c>
      <c r="F123" s="29">
        <f>IF(A123="","",SUMIFS(Invoices!$S$5:$S$304,Invoices!$D$5:$D$304,A123,Invoices!$T$5:$T$304,"&lt;&gt;Cancelled"))</f>
        <v>0</v>
      </c>
      <c r="G123" s="51">
        <f>IF(A123="","",IF(F123&lt;=0.004,"",F123+ROW()/1000000))</f>
        <v>0</v>
      </c>
      <c r="H123" s="31">
        <f>IF(A123="","",COUNTIFS(Bookings!$C$5:$C$404,A123,Bookings!$I$5:$I$404,"&gt;="&amp;RepFrom,Bookings!$I$5:$I$404,"&lt;="&amp;RepTo,Bookings!$AM$5:$AM$404,"&lt;&gt;Cancelled"))</f>
        <v>0</v>
      </c>
      <c r="I123" s="28">
        <f>IF(Services!$B$123="","",Services!$B$123)</f>
        <v>0</v>
      </c>
      <c r="J123" s="29">
        <f>IF(I123="","",SUMIFS(Bookings!$AK$5:$AK$404,Bookings!$H$5:$H$404,I123,Bookings!$I$5:$I$404,"&gt;="&amp;PeriodStart,Bookings!$I$5:$I$404,"&lt;="&amp;PeriodEnd,Bookings!$AM$5:$AM$404,"&lt;&gt;Cancelled"))</f>
        <v>0</v>
      </c>
      <c r="K123" s="31">
        <f>IF(I123="","",COUNTIFS(Bookings!$H$5:$H$404,I123,Bookings!$I$5:$I$404,"&gt;="&amp;PeriodStart,Bookings!$I$5:$I$404,"&lt;="&amp;PeriodEnd,Bookings!$AM$5:$AM$404,"&lt;&gt;Cancelled"))</f>
        <v>0</v>
      </c>
      <c r="L123" s="29">
        <f>IF(I123="","",SUMIFS(Bookings!$AK$5:$AK$404,Bookings!$H$5:$H$404,I123,Bookings!$I$5:$I$404,"&gt;="&amp;RepFrom,Bookings!$I$5:$I$404,"&lt;="&amp;RepTo,Bookings!$AM$5:$AM$404,"&lt;&gt;Cancelled"))</f>
        <v>0</v>
      </c>
      <c r="M123" s="31">
        <f>IF(I123="","",COUNTIFS(Bookings!$H$5:$H$404,I123,Bookings!$I$5:$I$404,"&gt;="&amp;RepFrom,Bookings!$I$5:$I$404,"&lt;="&amp;RepTo,Bookings!$AM$5:$AM$404,"&lt;&gt;Cancelled"))</f>
        <v>0</v>
      </c>
      <c r="N123" s="29">
        <f>IF(I123="","",M123*IF(Services!$L$123="",0,Services!$L$123))</f>
        <v>0</v>
      </c>
      <c r="O123" s="29">
        <f>IF(I123="","",L123-N123)</f>
        <v>0</v>
      </c>
      <c r="P123" s="28">
        <f>IF(Lists!$AG123="","",Lists!$AG123)</f>
        <v>0</v>
      </c>
      <c r="Q123" s="29">
        <f>IF(P123="","",SUMIFS(Expenses!$F$5:$F$304,Expenses!$C$5:$C$304,P123,Expenses!$B$5:$B$304,"&gt;="&amp;PeriodStart,Expenses!$B$5:$B$304,"&lt;="&amp;PeriodEnd,Expenses!$J$5:$J$304,"&lt;&gt;Personal"))</f>
        <v>0</v>
      </c>
      <c r="R123" s="29">
        <f>IF(P123="","",SUMIFS(Expenses!$F$5:$F$304,Expenses!$C$5:$C$304,P123,Expenses!$B$5:$B$304,"&gt;="&amp;RepFrom,Expenses!$B$5:$B$304,"&lt;="&amp;RepTo,Expenses!$J$5:$J$304,"&lt;&gt;Personal"))</f>
        <v>0</v>
      </c>
      <c r="S123" s="21">
        <f>IF(ROW()-4&gt;12,"",DATE(Dash_Year,ROW()-4,1))</f>
        <v>0</v>
      </c>
      <c r="T123" s="21">
        <f>IF(S123="","",EOMONTH(S123,0))</f>
        <v>0</v>
      </c>
      <c r="U123" s="28">
        <f>IF(S123="","",TEXT(S123,"mmm"))</f>
        <v>0</v>
      </c>
      <c r="V123" s="29">
        <f>IF(S123="","",SUMIFS(Payments!$L$5:$L$304,Payments!$B$5:$B$304,"&gt;="&amp;S123,Payments!$B$5:$B$304,"&lt;="&amp;T123))</f>
        <v>0</v>
      </c>
      <c r="W123" s="29">
        <f>IF(S123="","",SUMIFS(Invoices!$O$5:$O$304,Invoices!$B$5:$B$304,"&gt;="&amp;S123,Invoices!$B$5:$B$304,"&lt;="&amp;T123,Invoices!$T$5:$T$304,"&lt;&gt;Cancelled"))</f>
        <v>0</v>
      </c>
      <c r="X123" s="29">
        <f>IF(S123="","",SUMIFS(Expenses!$F$5:$F$304,Expenses!$B$5:$B$304,"&gt;="&amp;S123,Expenses!$B$5:$B$304,"&lt;="&amp;T123,Expenses!$J$5:$J$304,"&lt;&gt;Personal"))</f>
        <v>0</v>
      </c>
      <c r="Y123" s="29">
        <f>IF(S123="","",V123-X123)</f>
        <v>0</v>
      </c>
      <c r="Z123" s="31">
        <f>IF(S123="","",COUNTIFS(Bookings!$I$5:$I$404,"&gt;="&amp;S123,Bookings!$I$5:$I$404,"&lt;="&amp;T123,Bookings!$AM$5:$AM$404,"&lt;&gt;Cancelled"))</f>
        <v>0</v>
      </c>
      <c r="AA123" s="31">
        <f>IF(S123="","",COUNTIFS(Bookings!$I$5:$I$404,"&gt;="&amp;S123,Bookings!$I$5:$I$404,"&lt;="&amp;T123,Bookings!$AM$5:$AM$404,"Completed"))</f>
        <v>0</v>
      </c>
      <c r="AB123" s="31">
        <f>IF(S123="","",COUNTIFS(Bookings!$I$5:$I$404,"&gt;="&amp;S123,Bookings!$I$5:$I$404,"&lt;="&amp;T123,Bookings!$AM$5:$AM$404,"Cancelled"))</f>
        <v>0</v>
      </c>
      <c r="AC123" s="31">
        <f>IF(S123="","",COUNTIFS('Visit Log'!$C$5:$C$404,"&gt;="&amp;S123,'Visit Log'!$C$5:$C$404,"&lt;="&amp;T123,'Visit Log'!$AE$5:$AE$404,"Completed"))</f>
        <v>0</v>
      </c>
      <c r="AD123" s="31">
        <f>IF(S123="","",COUNTIFS(Clients!$L$5:$L$254,"&gt;="&amp;S123,Clients!$L$5:$L$254,"&lt;="&amp;T123))</f>
        <v>0</v>
      </c>
      <c r="AE123" s="32">
        <f>IF(S123="","",SUMIFS(Mileage!$M$5:$M$304,Mileage!$B$5:$B$304,"&gt;="&amp;S123,Mileage!$B$5:$B$304,"&lt;="&amp;T123,Mileage!$N$5:$N$304,"Business"))</f>
        <v>0</v>
      </c>
      <c r="AF123" s="29">
        <f>IF(S123="","",SUMIFS(Payments!$L$5:$L$304,Payments!$B$5:$B$304,"&gt;="&amp;DATE(Dash_Year-1,ROW()-4,1),Payments!$B$5:$B$304,"&lt;="&amp;EOMONTH(DATE(Dash_Year-1,ROW()-4,1),0)))</f>
        <v>0</v>
      </c>
      <c r="AG123" s="28">
        <f>IF(Staff!$B$123="","",Staff!$B$123)</f>
        <v>0</v>
      </c>
      <c r="AH123" s="31">
        <f>IF(AG123="","",COUNTIFS('Visit Log'!$G$5:$G$404,AG123,'Visit Log'!$C$5:$C$404,"&gt;="&amp;RepFrom,'Visit Log'!$C$5:$C$404,"&lt;="&amp;RepTo,'Visit Log'!$AE$5:$AE$404,"Completed"))</f>
        <v>0</v>
      </c>
      <c r="AI123" s="51">
        <f>IF(AG123="","",ROUND(SUMIFS('Visit Log'!$K$5:$K$404,'Visit Log'!$G$5:$G$404,AG123,'Visit Log'!$C$5:$C$404,"&gt;="&amp;RepFrom,'Visit Log'!$C$5:$C$404,"&lt;="&amp;RepTo,'Visit Log'!$AE$5:$AE$404,"Completed")/60,2))</f>
        <v>0</v>
      </c>
      <c r="AJ123" s="29">
        <f>IF(AG123="","",SUMIFS(Bookings!$AK$5:$AK$404,Bookings!$AL$5:$AL$404,AG123,Bookings!$I$5:$I$404,"&gt;="&amp;RepFrom,Bookings!$I$5:$I$404,"&lt;="&amp;RepTo,Bookings!$AM$5:$AM$404,"&lt;&gt;Cancelled"))</f>
        <v>0</v>
      </c>
      <c r="AK123" s="32">
        <f>IF(AG123="","",SUMIFS(Mileage!$M$5:$M$304,Mileage!$C$5:$C$304,AG123,Mileage!$B$5:$B$304,"&gt;="&amp;RepFrom,Mileage!$B$5:$B$304,"&lt;="&amp;RepTo))</f>
        <v>0</v>
      </c>
      <c r="AL123" s="28">
        <f>IF(Lists!$Q123="","",Lists!$Q123)</f>
        <v>0</v>
      </c>
      <c r="AM123" s="31">
        <f>IF(AL123="","",COUNTIFS(Bookings!$AV$5:$AV$404,AL123,Bookings!$I$5:$I$404,"&gt;="&amp;RepFrom,Bookings!$I$5:$I$404,"&lt;="&amp;RepTo))</f>
        <v>0</v>
      </c>
      <c r="AN123" s="28">
        <f>IF(Lists!$AF123="","",Lists!$AF123)</f>
        <v>0</v>
      </c>
      <c r="AO123" s="29">
        <f>IF(AN123="","",SUMIFS(Payments!$L$5:$L$304,Payments!$F$5:$F$304,AN123,Payments!$B$5:$B$304,"&gt;="&amp;RepFrom,Payments!$B$5:$B$304,"&lt;="&amp;RepTo))</f>
        <v>0</v>
      </c>
      <c r="AP123" s="28">
        <f>IF(Lists!$E123="","",Lists!$E123)</f>
        <v>0</v>
      </c>
      <c r="AQ123" s="31">
        <f>IF(AP123="","",COUNTIFS(Clients!$K$5:$K$254,AP123))</f>
        <v>0</v>
      </c>
      <c r="AR123" s="29">
        <f>IF(AP123="","",SUMIFS(Clients!$AE$5:$AE$254,Clients!$K$5:$K$254,AP123))</f>
        <v>0</v>
      </c>
    </row>
    <row r="124" spans="1:44">
      <c r="A124" s="28">
        <f>IF(Clients!$B$124="","",Clients!$B$124)</f>
        <v>0</v>
      </c>
      <c r="B124" s="29">
        <f>IF(A124="","",SUMIFS(Payments!$L$5:$L$304,Payments!$C$5:$C$304,A124,Payments!$B$5:$B$304,"&gt;="&amp;PeriodStart,Payments!$B$5:$B$304,"&lt;="&amp;PeriodEnd))</f>
        <v>0</v>
      </c>
      <c r="C124" s="51">
        <f>IF(A124="","",IF(B124&lt;=0,"",B124+ROW()/1000000))</f>
        <v>0</v>
      </c>
      <c r="D124" s="29">
        <f>IF(A124="","",SUMIFS(Payments!$L$5:$L$304,Payments!$C$5:$C$304,A124,Payments!$B$5:$B$304,"&gt;="&amp;RepFrom,Payments!$B$5:$B$304,"&lt;="&amp;RepTo))</f>
        <v>0</v>
      </c>
      <c r="E124" s="51">
        <f>IF(A124="","",IF(D124&lt;=0,"",D124+ROW()/1000000))</f>
        <v>0</v>
      </c>
      <c r="F124" s="29">
        <f>IF(A124="","",SUMIFS(Invoices!$S$5:$S$304,Invoices!$D$5:$D$304,A124,Invoices!$T$5:$T$304,"&lt;&gt;Cancelled"))</f>
        <v>0</v>
      </c>
      <c r="G124" s="51">
        <f>IF(A124="","",IF(F124&lt;=0.004,"",F124+ROW()/1000000))</f>
        <v>0</v>
      </c>
      <c r="H124" s="31">
        <f>IF(A124="","",COUNTIFS(Bookings!$C$5:$C$404,A124,Bookings!$I$5:$I$404,"&gt;="&amp;RepFrom,Bookings!$I$5:$I$404,"&lt;="&amp;RepTo,Bookings!$AM$5:$AM$404,"&lt;&gt;Cancelled"))</f>
        <v>0</v>
      </c>
      <c r="I124" s="28">
        <f>IF(Services!$B$124="","",Services!$B$124)</f>
        <v>0</v>
      </c>
      <c r="J124" s="29">
        <f>IF(I124="","",SUMIFS(Bookings!$AK$5:$AK$404,Bookings!$H$5:$H$404,I124,Bookings!$I$5:$I$404,"&gt;="&amp;PeriodStart,Bookings!$I$5:$I$404,"&lt;="&amp;PeriodEnd,Bookings!$AM$5:$AM$404,"&lt;&gt;Cancelled"))</f>
        <v>0</v>
      </c>
      <c r="K124" s="31">
        <f>IF(I124="","",COUNTIFS(Bookings!$H$5:$H$404,I124,Bookings!$I$5:$I$404,"&gt;="&amp;PeriodStart,Bookings!$I$5:$I$404,"&lt;="&amp;PeriodEnd,Bookings!$AM$5:$AM$404,"&lt;&gt;Cancelled"))</f>
        <v>0</v>
      </c>
      <c r="L124" s="29">
        <f>IF(I124="","",SUMIFS(Bookings!$AK$5:$AK$404,Bookings!$H$5:$H$404,I124,Bookings!$I$5:$I$404,"&gt;="&amp;RepFrom,Bookings!$I$5:$I$404,"&lt;="&amp;RepTo,Bookings!$AM$5:$AM$404,"&lt;&gt;Cancelled"))</f>
        <v>0</v>
      </c>
      <c r="M124" s="31">
        <f>IF(I124="","",COUNTIFS(Bookings!$H$5:$H$404,I124,Bookings!$I$5:$I$404,"&gt;="&amp;RepFrom,Bookings!$I$5:$I$404,"&lt;="&amp;RepTo,Bookings!$AM$5:$AM$404,"&lt;&gt;Cancelled"))</f>
        <v>0</v>
      </c>
      <c r="N124" s="29">
        <f>IF(I124="","",M124*IF(Services!$L$124="",0,Services!$L$124))</f>
        <v>0</v>
      </c>
      <c r="O124" s="29">
        <f>IF(I124="","",L124-N124)</f>
        <v>0</v>
      </c>
      <c r="P124" s="28">
        <f>IF(Lists!$AG124="","",Lists!$AG124)</f>
        <v>0</v>
      </c>
      <c r="Q124" s="29">
        <f>IF(P124="","",SUMIFS(Expenses!$F$5:$F$304,Expenses!$C$5:$C$304,P124,Expenses!$B$5:$B$304,"&gt;="&amp;PeriodStart,Expenses!$B$5:$B$304,"&lt;="&amp;PeriodEnd,Expenses!$J$5:$J$304,"&lt;&gt;Personal"))</f>
        <v>0</v>
      </c>
      <c r="R124" s="29">
        <f>IF(P124="","",SUMIFS(Expenses!$F$5:$F$304,Expenses!$C$5:$C$304,P124,Expenses!$B$5:$B$304,"&gt;="&amp;RepFrom,Expenses!$B$5:$B$304,"&lt;="&amp;RepTo,Expenses!$J$5:$J$304,"&lt;&gt;Personal"))</f>
        <v>0</v>
      </c>
      <c r="S124" s="21">
        <f>IF(ROW()-4&gt;12,"",DATE(Dash_Year,ROW()-4,1))</f>
        <v>0</v>
      </c>
      <c r="T124" s="21">
        <f>IF(S124="","",EOMONTH(S124,0))</f>
        <v>0</v>
      </c>
      <c r="U124" s="28">
        <f>IF(S124="","",TEXT(S124,"mmm"))</f>
        <v>0</v>
      </c>
      <c r="V124" s="29">
        <f>IF(S124="","",SUMIFS(Payments!$L$5:$L$304,Payments!$B$5:$B$304,"&gt;="&amp;S124,Payments!$B$5:$B$304,"&lt;="&amp;T124))</f>
        <v>0</v>
      </c>
      <c r="W124" s="29">
        <f>IF(S124="","",SUMIFS(Invoices!$O$5:$O$304,Invoices!$B$5:$B$304,"&gt;="&amp;S124,Invoices!$B$5:$B$304,"&lt;="&amp;T124,Invoices!$T$5:$T$304,"&lt;&gt;Cancelled"))</f>
        <v>0</v>
      </c>
      <c r="X124" s="29">
        <f>IF(S124="","",SUMIFS(Expenses!$F$5:$F$304,Expenses!$B$5:$B$304,"&gt;="&amp;S124,Expenses!$B$5:$B$304,"&lt;="&amp;T124,Expenses!$J$5:$J$304,"&lt;&gt;Personal"))</f>
        <v>0</v>
      </c>
      <c r="Y124" s="29">
        <f>IF(S124="","",V124-X124)</f>
        <v>0</v>
      </c>
      <c r="Z124" s="31">
        <f>IF(S124="","",COUNTIFS(Bookings!$I$5:$I$404,"&gt;="&amp;S124,Bookings!$I$5:$I$404,"&lt;="&amp;T124,Bookings!$AM$5:$AM$404,"&lt;&gt;Cancelled"))</f>
        <v>0</v>
      </c>
      <c r="AA124" s="31">
        <f>IF(S124="","",COUNTIFS(Bookings!$I$5:$I$404,"&gt;="&amp;S124,Bookings!$I$5:$I$404,"&lt;="&amp;T124,Bookings!$AM$5:$AM$404,"Completed"))</f>
        <v>0</v>
      </c>
      <c r="AB124" s="31">
        <f>IF(S124="","",COUNTIFS(Bookings!$I$5:$I$404,"&gt;="&amp;S124,Bookings!$I$5:$I$404,"&lt;="&amp;T124,Bookings!$AM$5:$AM$404,"Cancelled"))</f>
        <v>0</v>
      </c>
      <c r="AC124" s="31">
        <f>IF(S124="","",COUNTIFS('Visit Log'!$C$5:$C$404,"&gt;="&amp;S124,'Visit Log'!$C$5:$C$404,"&lt;="&amp;T124,'Visit Log'!$AE$5:$AE$404,"Completed"))</f>
        <v>0</v>
      </c>
      <c r="AD124" s="31">
        <f>IF(S124="","",COUNTIFS(Clients!$L$5:$L$254,"&gt;="&amp;S124,Clients!$L$5:$L$254,"&lt;="&amp;T124))</f>
        <v>0</v>
      </c>
      <c r="AE124" s="32">
        <f>IF(S124="","",SUMIFS(Mileage!$M$5:$M$304,Mileage!$B$5:$B$304,"&gt;="&amp;S124,Mileage!$B$5:$B$304,"&lt;="&amp;T124,Mileage!$N$5:$N$304,"Business"))</f>
        <v>0</v>
      </c>
      <c r="AF124" s="29">
        <f>IF(S124="","",SUMIFS(Payments!$L$5:$L$304,Payments!$B$5:$B$304,"&gt;="&amp;DATE(Dash_Year-1,ROW()-4,1),Payments!$B$5:$B$304,"&lt;="&amp;EOMONTH(DATE(Dash_Year-1,ROW()-4,1),0)))</f>
        <v>0</v>
      </c>
      <c r="AG124" s="28">
        <f>IF(Staff!$B$124="","",Staff!$B$124)</f>
        <v>0</v>
      </c>
      <c r="AH124" s="31">
        <f>IF(AG124="","",COUNTIFS('Visit Log'!$G$5:$G$404,AG124,'Visit Log'!$C$5:$C$404,"&gt;="&amp;RepFrom,'Visit Log'!$C$5:$C$404,"&lt;="&amp;RepTo,'Visit Log'!$AE$5:$AE$404,"Completed"))</f>
        <v>0</v>
      </c>
      <c r="AI124" s="51">
        <f>IF(AG124="","",ROUND(SUMIFS('Visit Log'!$K$5:$K$404,'Visit Log'!$G$5:$G$404,AG124,'Visit Log'!$C$5:$C$404,"&gt;="&amp;RepFrom,'Visit Log'!$C$5:$C$404,"&lt;="&amp;RepTo,'Visit Log'!$AE$5:$AE$404,"Completed")/60,2))</f>
        <v>0</v>
      </c>
      <c r="AJ124" s="29">
        <f>IF(AG124="","",SUMIFS(Bookings!$AK$5:$AK$404,Bookings!$AL$5:$AL$404,AG124,Bookings!$I$5:$I$404,"&gt;="&amp;RepFrom,Bookings!$I$5:$I$404,"&lt;="&amp;RepTo,Bookings!$AM$5:$AM$404,"&lt;&gt;Cancelled"))</f>
        <v>0</v>
      </c>
      <c r="AK124" s="32">
        <f>IF(AG124="","",SUMIFS(Mileage!$M$5:$M$304,Mileage!$C$5:$C$304,AG124,Mileage!$B$5:$B$304,"&gt;="&amp;RepFrom,Mileage!$B$5:$B$304,"&lt;="&amp;RepTo))</f>
        <v>0</v>
      </c>
      <c r="AL124" s="28">
        <f>IF(Lists!$Q124="","",Lists!$Q124)</f>
        <v>0</v>
      </c>
      <c r="AM124" s="31">
        <f>IF(AL124="","",COUNTIFS(Bookings!$AV$5:$AV$404,AL124,Bookings!$I$5:$I$404,"&gt;="&amp;RepFrom,Bookings!$I$5:$I$404,"&lt;="&amp;RepTo))</f>
        <v>0</v>
      </c>
      <c r="AN124" s="28">
        <f>IF(Lists!$AF124="","",Lists!$AF124)</f>
        <v>0</v>
      </c>
      <c r="AO124" s="29">
        <f>IF(AN124="","",SUMIFS(Payments!$L$5:$L$304,Payments!$F$5:$F$304,AN124,Payments!$B$5:$B$304,"&gt;="&amp;RepFrom,Payments!$B$5:$B$304,"&lt;="&amp;RepTo))</f>
        <v>0</v>
      </c>
      <c r="AP124" s="28">
        <f>IF(Lists!$E124="","",Lists!$E124)</f>
        <v>0</v>
      </c>
      <c r="AQ124" s="31">
        <f>IF(AP124="","",COUNTIFS(Clients!$K$5:$K$254,AP124))</f>
        <v>0</v>
      </c>
      <c r="AR124" s="29">
        <f>IF(AP124="","",SUMIFS(Clients!$AE$5:$AE$254,Clients!$K$5:$K$254,AP124))</f>
        <v>0</v>
      </c>
    </row>
    <row r="125" spans="1:44">
      <c r="A125" s="28">
        <f>IF(Clients!$B$125="","",Clients!$B$125)</f>
        <v>0</v>
      </c>
      <c r="B125" s="29">
        <f>IF(A125="","",SUMIFS(Payments!$L$5:$L$304,Payments!$C$5:$C$304,A125,Payments!$B$5:$B$304,"&gt;="&amp;PeriodStart,Payments!$B$5:$B$304,"&lt;="&amp;PeriodEnd))</f>
        <v>0</v>
      </c>
      <c r="C125" s="51">
        <f>IF(A125="","",IF(B125&lt;=0,"",B125+ROW()/1000000))</f>
        <v>0</v>
      </c>
      <c r="D125" s="29">
        <f>IF(A125="","",SUMIFS(Payments!$L$5:$L$304,Payments!$C$5:$C$304,A125,Payments!$B$5:$B$304,"&gt;="&amp;RepFrom,Payments!$B$5:$B$304,"&lt;="&amp;RepTo))</f>
        <v>0</v>
      </c>
      <c r="E125" s="51">
        <f>IF(A125="","",IF(D125&lt;=0,"",D125+ROW()/1000000))</f>
        <v>0</v>
      </c>
      <c r="F125" s="29">
        <f>IF(A125="","",SUMIFS(Invoices!$S$5:$S$304,Invoices!$D$5:$D$304,A125,Invoices!$T$5:$T$304,"&lt;&gt;Cancelled"))</f>
        <v>0</v>
      </c>
      <c r="G125" s="51">
        <f>IF(A125="","",IF(F125&lt;=0.004,"",F125+ROW()/1000000))</f>
        <v>0</v>
      </c>
      <c r="H125" s="31">
        <f>IF(A125="","",COUNTIFS(Bookings!$C$5:$C$404,A125,Bookings!$I$5:$I$404,"&gt;="&amp;RepFrom,Bookings!$I$5:$I$404,"&lt;="&amp;RepTo,Bookings!$AM$5:$AM$404,"&lt;&gt;Cancelled"))</f>
        <v>0</v>
      </c>
      <c r="I125" s="28">
        <f>IF(Services!$B$125="","",Services!$B$125)</f>
        <v>0</v>
      </c>
      <c r="J125" s="29">
        <f>IF(I125="","",SUMIFS(Bookings!$AK$5:$AK$404,Bookings!$H$5:$H$404,I125,Bookings!$I$5:$I$404,"&gt;="&amp;PeriodStart,Bookings!$I$5:$I$404,"&lt;="&amp;PeriodEnd,Bookings!$AM$5:$AM$404,"&lt;&gt;Cancelled"))</f>
        <v>0</v>
      </c>
      <c r="K125" s="31">
        <f>IF(I125="","",COUNTIFS(Bookings!$H$5:$H$404,I125,Bookings!$I$5:$I$404,"&gt;="&amp;PeriodStart,Bookings!$I$5:$I$404,"&lt;="&amp;PeriodEnd,Bookings!$AM$5:$AM$404,"&lt;&gt;Cancelled"))</f>
        <v>0</v>
      </c>
      <c r="L125" s="29">
        <f>IF(I125="","",SUMIFS(Bookings!$AK$5:$AK$404,Bookings!$H$5:$H$404,I125,Bookings!$I$5:$I$404,"&gt;="&amp;RepFrom,Bookings!$I$5:$I$404,"&lt;="&amp;RepTo,Bookings!$AM$5:$AM$404,"&lt;&gt;Cancelled"))</f>
        <v>0</v>
      </c>
      <c r="M125" s="31">
        <f>IF(I125="","",COUNTIFS(Bookings!$H$5:$H$404,I125,Bookings!$I$5:$I$404,"&gt;="&amp;RepFrom,Bookings!$I$5:$I$404,"&lt;="&amp;RepTo,Bookings!$AM$5:$AM$404,"&lt;&gt;Cancelled"))</f>
        <v>0</v>
      </c>
      <c r="N125" s="29">
        <f>IF(I125="","",M125*IF(Services!$L$125="",0,Services!$L$125))</f>
        <v>0</v>
      </c>
      <c r="O125" s="29">
        <f>IF(I125="","",L125-N125)</f>
        <v>0</v>
      </c>
      <c r="P125" s="28">
        <f>IF(Lists!$AG125="","",Lists!$AG125)</f>
        <v>0</v>
      </c>
      <c r="Q125" s="29">
        <f>IF(P125="","",SUMIFS(Expenses!$F$5:$F$304,Expenses!$C$5:$C$304,P125,Expenses!$B$5:$B$304,"&gt;="&amp;PeriodStart,Expenses!$B$5:$B$304,"&lt;="&amp;PeriodEnd,Expenses!$J$5:$J$304,"&lt;&gt;Personal"))</f>
        <v>0</v>
      </c>
      <c r="R125" s="29">
        <f>IF(P125="","",SUMIFS(Expenses!$F$5:$F$304,Expenses!$C$5:$C$304,P125,Expenses!$B$5:$B$304,"&gt;="&amp;RepFrom,Expenses!$B$5:$B$304,"&lt;="&amp;RepTo,Expenses!$J$5:$J$304,"&lt;&gt;Personal"))</f>
        <v>0</v>
      </c>
      <c r="S125" s="21">
        <f>IF(ROW()-4&gt;12,"",DATE(Dash_Year,ROW()-4,1))</f>
        <v>0</v>
      </c>
      <c r="T125" s="21">
        <f>IF(S125="","",EOMONTH(S125,0))</f>
        <v>0</v>
      </c>
      <c r="U125" s="28">
        <f>IF(S125="","",TEXT(S125,"mmm"))</f>
        <v>0</v>
      </c>
      <c r="V125" s="29">
        <f>IF(S125="","",SUMIFS(Payments!$L$5:$L$304,Payments!$B$5:$B$304,"&gt;="&amp;S125,Payments!$B$5:$B$304,"&lt;="&amp;T125))</f>
        <v>0</v>
      </c>
      <c r="W125" s="29">
        <f>IF(S125="","",SUMIFS(Invoices!$O$5:$O$304,Invoices!$B$5:$B$304,"&gt;="&amp;S125,Invoices!$B$5:$B$304,"&lt;="&amp;T125,Invoices!$T$5:$T$304,"&lt;&gt;Cancelled"))</f>
        <v>0</v>
      </c>
      <c r="X125" s="29">
        <f>IF(S125="","",SUMIFS(Expenses!$F$5:$F$304,Expenses!$B$5:$B$304,"&gt;="&amp;S125,Expenses!$B$5:$B$304,"&lt;="&amp;T125,Expenses!$J$5:$J$304,"&lt;&gt;Personal"))</f>
        <v>0</v>
      </c>
      <c r="Y125" s="29">
        <f>IF(S125="","",V125-X125)</f>
        <v>0</v>
      </c>
      <c r="Z125" s="31">
        <f>IF(S125="","",COUNTIFS(Bookings!$I$5:$I$404,"&gt;="&amp;S125,Bookings!$I$5:$I$404,"&lt;="&amp;T125,Bookings!$AM$5:$AM$404,"&lt;&gt;Cancelled"))</f>
        <v>0</v>
      </c>
      <c r="AA125" s="31">
        <f>IF(S125="","",COUNTIFS(Bookings!$I$5:$I$404,"&gt;="&amp;S125,Bookings!$I$5:$I$404,"&lt;="&amp;T125,Bookings!$AM$5:$AM$404,"Completed"))</f>
        <v>0</v>
      </c>
      <c r="AB125" s="31">
        <f>IF(S125="","",COUNTIFS(Bookings!$I$5:$I$404,"&gt;="&amp;S125,Bookings!$I$5:$I$404,"&lt;="&amp;T125,Bookings!$AM$5:$AM$404,"Cancelled"))</f>
        <v>0</v>
      </c>
      <c r="AC125" s="31">
        <f>IF(S125="","",COUNTIFS('Visit Log'!$C$5:$C$404,"&gt;="&amp;S125,'Visit Log'!$C$5:$C$404,"&lt;="&amp;T125,'Visit Log'!$AE$5:$AE$404,"Completed"))</f>
        <v>0</v>
      </c>
      <c r="AD125" s="31">
        <f>IF(S125="","",COUNTIFS(Clients!$L$5:$L$254,"&gt;="&amp;S125,Clients!$L$5:$L$254,"&lt;="&amp;T125))</f>
        <v>0</v>
      </c>
      <c r="AE125" s="32">
        <f>IF(S125="","",SUMIFS(Mileage!$M$5:$M$304,Mileage!$B$5:$B$304,"&gt;="&amp;S125,Mileage!$B$5:$B$304,"&lt;="&amp;T125,Mileage!$N$5:$N$304,"Business"))</f>
        <v>0</v>
      </c>
      <c r="AF125" s="29">
        <f>IF(S125="","",SUMIFS(Payments!$L$5:$L$304,Payments!$B$5:$B$304,"&gt;="&amp;DATE(Dash_Year-1,ROW()-4,1),Payments!$B$5:$B$304,"&lt;="&amp;EOMONTH(DATE(Dash_Year-1,ROW()-4,1),0)))</f>
        <v>0</v>
      </c>
      <c r="AG125" s="28">
        <f>IF(Staff!$B$125="","",Staff!$B$125)</f>
        <v>0</v>
      </c>
      <c r="AH125" s="31">
        <f>IF(AG125="","",COUNTIFS('Visit Log'!$G$5:$G$404,AG125,'Visit Log'!$C$5:$C$404,"&gt;="&amp;RepFrom,'Visit Log'!$C$5:$C$404,"&lt;="&amp;RepTo,'Visit Log'!$AE$5:$AE$404,"Completed"))</f>
        <v>0</v>
      </c>
      <c r="AI125" s="51">
        <f>IF(AG125="","",ROUND(SUMIFS('Visit Log'!$K$5:$K$404,'Visit Log'!$G$5:$G$404,AG125,'Visit Log'!$C$5:$C$404,"&gt;="&amp;RepFrom,'Visit Log'!$C$5:$C$404,"&lt;="&amp;RepTo,'Visit Log'!$AE$5:$AE$404,"Completed")/60,2))</f>
        <v>0</v>
      </c>
      <c r="AJ125" s="29">
        <f>IF(AG125="","",SUMIFS(Bookings!$AK$5:$AK$404,Bookings!$AL$5:$AL$404,AG125,Bookings!$I$5:$I$404,"&gt;="&amp;RepFrom,Bookings!$I$5:$I$404,"&lt;="&amp;RepTo,Bookings!$AM$5:$AM$404,"&lt;&gt;Cancelled"))</f>
        <v>0</v>
      </c>
      <c r="AK125" s="32">
        <f>IF(AG125="","",SUMIFS(Mileage!$M$5:$M$304,Mileage!$C$5:$C$304,AG125,Mileage!$B$5:$B$304,"&gt;="&amp;RepFrom,Mileage!$B$5:$B$304,"&lt;="&amp;RepTo))</f>
        <v>0</v>
      </c>
      <c r="AL125" s="28">
        <f>IF(Lists!$Q125="","",Lists!$Q125)</f>
        <v>0</v>
      </c>
      <c r="AM125" s="31">
        <f>IF(AL125="","",COUNTIFS(Bookings!$AV$5:$AV$404,AL125,Bookings!$I$5:$I$404,"&gt;="&amp;RepFrom,Bookings!$I$5:$I$404,"&lt;="&amp;RepTo))</f>
        <v>0</v>
      </c>
      <c r="AN125" s="28">
        <f>IF(Lists!$AF125="","",Lists!$AF125)</f>
        <v>0</v>
      </c>
      <c r="AO125" s="29">
        <f>IF(AN125="","",SUMIFS(Payments!$L$5:$L$304,Payments!$F$5:$F$304,AN125,Payments!$B$5:$B$304,"&gt;="&amp;RepFrom,Payments!$B$5:$B$304,"&lt;="&amp;RepTo))</f>
        <v>0</v>
      </c>
      <c r="AP125" s="28">
        <f>IF(Lists!$E125="","",Lists!$E125)</f>
        <v>0</v>
      </c>
      <c r="AQ125" s="31">
        <f>IF(AP125="","",COUNTIFS(Clients!$K$5:$K$254,AP125))</f>
        <v>0</v>
      </c>
      <c r="AR125" s="29">
        <f>IF(AP125="","",SUMIFS(Clients!$AE$5:$AE$254,Clients!$K$5:$K$254,AP125))</f>
        <v>0</v>
      </c>
    </row>
    <row r="126" spans="1:44">
      <c r="A126" s="28">
        <f>IF(Clients!$B$126="","",Clients!$B$126)</f>
        <v>0</v>
      </c>
      <c r="B126" s="29">
        <f>IF(A126="","",SUMIFS(Payments!$L$5:$L$304,Payments!$C$5:$C$304,A126,Payments!$B$5:$B$304,"&gt;="&amp;PeriodStart,Payments!$B$5:$B$304,"&lt;="&amp;PeriodEnd))</f>
        <v>0</v>
      </c>
      <c r="C126" s="51">
        <f>IF(A126="","",IF(B126&lt;=0,"",B126+ROW()/1000000))</f>
        <v>0</v>
      </c>
      <c r="D126" s="29">
        <f>IF(A126="","",SUMIFS(Payments!$L$5:$L$304,Payments!$C$5:$C$304,A126,Payments!$B$5:$B$304,"&gt;="&amp;RepFrom,Payments!$B$5:$B$304,"&lt;="&amp;RepTo))</f>
        <v>0</v>
      </c>
      <c r="E126" s="51">
        <f>IF(A126="","",IF(D126&lt;=0,"",D126+ROW()/1000000))</f>
        <v>0</v>
      </c>
      <c r="F126" s="29">
        <f>IF(A126="","",SUMIFS(Invoices!$S$5:$S$304,Invoices!$D$5:$D$304,A126,Invoices!$T$5:$T$304,"&lt;&gt;Cancelled"))</f>
        <v>0</v>
      </c>
      <c r="G126" s="51">
        <f>IF(A126="","",IF(F126&lt;=0.004,"",F126+ROW()/1000000))</f>
        <v>0</v>
      </c>
      <c r="H126" s="31">
        <f>IF(A126="","",COUNTIFS(Bookings!$C$5:$C$404,A126,Bookings!$I$5:$I$404,"&gt;="&amp;RepFrom,Bookings!$I$5:$I$404,"&lt;="&amp;RepTo,Bookings!$AM$5:$AM$404,"&lt;&gt;Cancelled"))</f>
        <v>0</v>
      </c>
      <c r="I126" s="28">
        <f>IF(Services!$B$126="","",Services!$B$126)</f>
        <v>0</v>
      </c>
      <c r="J126" s="29">
        <f>IF(I126="","",SUMIFS(Bookings!$AK$5:$AK$404,Bookings!$H$5:$H$404,I126,Bookings!$I$5:$I$404,"&gt;="&amp;PeriodStart,Bookings!$I$5:$I$404,"&lt;="&amp;PeriodEnd,Bookings!$AM$5:$AM$404,"&lt;&gt;Cancelled"))</f>
        <v>0</v>
      </c>
      <c r="K126" s="31">
        <f>IF(I126="","",COUNTIFS(Bookings!$H$5:$H$404,I126,Bookings!$I$5:$I$404,"&gt;="&amp;PeriodStart,Bookings!$I$5:$I$404,"&lt;="&amp;PeriodEnd,Bookings!$AM$5:$AM$404,"&lt;&gt;Cancelled"))</f>
        <v>0</v>
      </c>
      <c r="L126" s="29">
        <f>IF(I126="","",SUMIFS(Bookings!$AK$5:$AK$404,Bookings!$H$5:$H$404,I126,Bookings!$I$5:$I$404,"&gt;="&amp;RepFrom,Bookings!$I$5:$I$404,"&lt;="&amp;RepTo,Bookings!$AM$5:$AM$404,"&lt;&gt;Cancelled"))</f>
        <v>0</v>
      </c>
      <c r="M126" s="31">
        <f>IF(I126="","",COUNTIFS(Bookings!$H$5:$H$404,I126,Bookings!$I$5:$I$404,"&gt;="&amp;RepFrom,Bookings!$I$5:$I$404,"&lt;="&amp;RepTo,Bookings!$AM$5:$AM$404,"&lt;&gt;Cancelled"))</f>
        <v>0</v>
      </c>
      <c r="N126" s="29">
        <f>IF(I126="","",M126*IF(Services!$L$126="",0,Services!$L$126))</f>
        <v>0</v>
      </c>
      <c r="O126" s="29">
        <f>IF(I126="","",L126-N126)</f>
        <v>0</v>
      </c>
      <c r="P126" s="28">
        <f>IF(Lists!$AG126="","",Lists!$AG126)</f>
        <v>0</v>
      </c>
      <c r="Q126" s="29">
        <f>IF(P126="","",SUMIFS(Expenses!$F$5:$F$304,Expenses!$C$5:$C$304,P126,Expenses!$B$5:$B$304,"&gt;="&amp;PeriodStart,Expenses!$B$5:$B$304,"&lt;="&amp;PeriodEnd,Expenses!$J$5:$J$304,"&lt;&gt;Personal"))</f>
        <v>0</v>
      </c>
      <c r="R126" s="29">
        <f>IF(P126="","",SUMIFS(Expenses!$F$5:$F$304,Expenses!$C$5:$C$304,P126,Expenses!$B$5:$B$304,"&gt;="&amp;RepFrom,Expenses!$B$5:$B$304,"&lt;="&amp;RepTo,Expenses!$J$5:$J$304,"&lt;&gt;Personal"))</f>
        <v>0</v>
      </c>
      <c r="S126" s="21">
        <f>IF(ROW()-4&gt;12,"",DATE(Dash_Year,ROW()-4,1))</f>
        <v>0</v>
      </c>
      <c r="T126" s="21">
        <f>IF(S126="","",EOMONTH(S126,0))</f>
        <v>0</v>
      </c>
      <c r="U126" s="28">
        <f>IF(S126="","",TEXT(S126,"mmm"))</f>
        <v>0</v>
      </c>
      <c r="V126" s="29">
        <f>IF(S126="","",SUMIFS(Payments!$L$5:$L$304,Payments!$B$5:$B$304,"&gt;="&amp;S126,Payments!$B$5:$B$304,"&lt;="&amp;T126))</f>
        <v>0</v>
      </c>
      <c r="W126" s="29">
        <f>IF(S126="","",SUMIFS(Invoices!$O$5:$O$304,Invoices!$B$5:$B$304,"&gt;="&amp;S126,Invoices!$B$5:$B$304,"&lt;="&amp;T126,Invoices!$T$5:$T$304,"&lt;&gt;Cancelled"))</f>
        <v>0</v>
      </c>
      <c r="X126" s="29">
        <f>IF(S126="","",SUMIFS(Expenses!$F$5:$F$304,Expenses!$B$5:$B$304,"&gt;="&amp;S126,Expenses!$B$5:$B$304,"&lt;="&amp;T126,Expenses!$J$5:$J$304,"&lt;&gt;Personal"))</f>
        <v>0</v>
      </c>
      <c r="Y126" s="29">
        <f>IF(S126="","",V126-X126)</f>
        <v>0</v>
      </c>
      <c r="Z126" s="31">
        <f>IF(S126="","",COUNTIFS(Bookings!$I$5:$I$404,"&gt;="&amp;S126,Bookings!$I$5:$I$404,"&lt;="&amp;T126,Bookings!$AM$5:$AM$404,"&lt;&gt;Cancelled"))</f>
        <v>0</v>
      </c>
      <c r="AA126" s="31">
        <f>IF(S126="","",COUNTIFS(Bookings!$I$5:$I$404,"&gt;="&amp;S126,Bookings!$I$5:$I$404,"&lt;="&amp;T126,Bookings!$AM$5:$AM$404,"Completed"))</f>
        <v>0</v>
      </c>
      <c r="AB126" s="31">
        <f>IF(S126="","",COUNTIFS(Bookings!$I$5:$I$404,"&gt;="&amp;S126,Bookings!$I$5:$I$404,"&lt;="&amp;T126,Bookings!$AM$5:$AM$404,"Cancelled"))</f>
        <v>0</v>
      </c>
      <c r="AC126" s="31">
        <f>IF(S126="","",COUNTIFS('Visit Log'!$C$5:$C$404,"&gt;="&amp;S126,'Visit Log'!$C$5:$C$404,"&lt;="&amp;T126,'Visit Log'!$AE$5:$AE$404,"Completed"))</f>
        <v>0</v>
      </c>
      <c r="AD126" s="31">
        <f>IF(S126="","",COUNTIFS(Clients!$L$5:$L$254,"&gt;="&amp;S126,Clients!$L$5:$L$254,"&lt;="&amp;T126))</f>
        <v>0</v>
      </c>
      <c r="AE126" s="32">
        <f>IF(S126="","",SUMIFS(Mileage!$M$5:$M$304,Mileage!$B$5:$B$304,"&gt;="&amp;S126,Mileage!$B$5:$B$304,"&lt;="&amp;T126,Mileage!$N$5:$N$304,"Business"))</f>
        <v>0</v>
      </c>
      <c r="AF126" s="29">
        <f>IF(S126="","",SUMIFS(Payments!$L$5:$L$304,Payments!$B$5:$B$304,"&gt;="&amp;DATE(Dash_Year-1,ROW()-4,1),Payments!$B$5:$B$304,"&lt;="&amp;EOMONTH(DATE(Dash_Year-1,ROW()-4,1),0)))</f>
        <v>0</v>
      </c>
      <c r="AG126" s="28">
        <f>IF(Staff!$B$126="","",Staff!$B$126)</f>
        <v>0</v>
      </c>
      <c r="AH126" s="31">
        <f>IF(AG126="","",COUNTIFS('Visit Log'!$G$5:$G$404,AG126,'Visit Log'!$C$5:$C$404,"&gt;="&amp;RepFrom,'Visit Log'!$C$5:$C$404,"&lt;="&amp;RepTo,'Visit Log'!$AE$5:$AE$404,"Completed"))</f>
        <v>0</v>
      </c>
      <c r="AI126" s="51">
        <f>IF(AG126="","",ROUND(SUMIFS('Visit Log'!$K$5:$K$404,'Visit Log'!$G$5:$G$404,AG126,'Visit Log'!$C$5:$C$404,"&gt;="&amp;RepFrom,'Visit Log'!$C$5:$C$404,"&lt;="&amp;RepTo,'Visit Log'!$AE$5:$AE$404,"Completed")/60,2))</f>
        <v>0</v>
      </c>
      <c r="AJ126" s="29">
        <f>IF(AG126="","",SUMIFS(Bookings!$AK$5:$AK$404,Bookings!$AL$5:$AL$404,AG126,Bookings!$I$5:$I$404,"&gt;="&amp;RepFrom,Bookings!$I$5:$I$404,"&lt;="&amp;RepTo,Bookings!$AM$5:$AM$404,"&lt;&gt;Cancelled"))</f>
        <v>0</v>
      </c>
      <c r="AK126" s="32">
        <f>IF(AG126="","",SUMIFS(Mileage!$M$5:$M$304,Mileage!$C$5:$C$304,AG126,Mileage!$B$5:$B$304,"&gt;="&amp;RepFrom,Mileage!$B$5:$B$304,"&lt;="&amp;RepTo))</f>
        <v>0</v>
      </c>
      <c r="AL126" s="28">
        <f>IF(Lists!$Q126="","",Lists!$Q126)</f>
        <v>0</v>
      </c>
      <c r="AM126" s="31">
        <f>IF(AL126="","",COUNTIFS(Bookings!$AV$5:$AV$404,AL126,Bookings!$I$5:$I$404,"&gt;="&amp;RepFrom,Bookings!$I$5:$I$404,"&lt;="&amp;RepTo))</f>
        <v>0</v>
      </c>
      <c r="AN126" s="28">
        <f>IF(Lists!$AF126="","",Lists!$AF126)</f>
        <v>0</v>
      </c>
      <c r="AO126" s="29">
        <f>IF(AN126="","",SUMIFS(Payments!$L$5:$L$304,Payments!$F$5:$F$304,AN126,Payments!$B$5:$B$304,"&gt;="&amp;RepFrom,Payments!$B$5:$B$304,"&lt;="&amp;RepTo))</f>
        <v>0</v>
      </c>
      <c r="AP126" s="28">
        <f>IF(Lists!$E126="","",Lists!$E126)</f>
        <v>0</v>
      </c>
      <c r="AQ126" s="31">
        <f>IF(AP126="","",COUNTIFS(Clients!$K$5:$K$254,AP126))</f>
        <v>0</v>
      </c>
      <c r="AR126" s="29">
        <f>IF(AP126="","",SUMIFS(Clients!$AE$5:$AE$254,Clients!$K$5:$K$254,AP126))</f>
        <v>0</v>
      </c>
    </row>
    <row r="127" spans="1:44">
      <c r="A127" s="28">
        <f>IF(Clients!$B$127="","",Clients!$B$127)</f>
        <v>0</v>
      </c>
      <c r="B127" s="29">
        <f>IF(A127="","",SUMIFS(Payments!$L$5:$L$304,Payments!$C$5:$C$304,A127,Payments!$B$5:$B$304,"&gt;="&amp;PeriodStart,Payments!$B$5:$B$304,"&lt;="&amp;PeriodEnd))</f>
        <v>0</v>
      </c>
      <c r="C127" s="51">
        <f>IF(A127="","",IF(B127&lt;=0,"",B127+ROW()/1000000))</f>
        <v>0</v>
      </c>
      <c r="D127" s="29">
        <f>IF(A127="","",SUMIFS(Payments!$L$5:$L$304,Payments!$C$5:$C$304,A127,Payments!$B$5:$B$304,"&gt;="&amp;RepFrom,Payments!$B$5:$B$304,"&lt;="&amp;RepTo))</f>
        <v>0</v>
      </c>
      <c r="E127" s="51">
        <f>IF(A127="","",IF(D127&lt;=0,"",D127+ROW()/1000000))</f>
        <v>0</v>
      </c>
      <c r="F127" s="29">
        <f>IF(A127="","",SUMIFS(Invoices!$S$5:$S$304,Invoices!$D$5:$D$304,A127,Invoices!$T$5:$T$304,"&lt;&gt;Cancelled"))</f>
        <v>0</v>
      </c>
      <c r="G127" s="51">
        <f>IF(A127="","",IF(F127&lt;=0.004,"",F127+ROW()/1000000))</f>
        <v>0</v>
      </c>
      <c r="H127" s="31">
        <f>IF(A127="","",COUNTIFS(Bookings!$C$5:$C$404,A127,Bookings!$I$5:$I$404,"&gt;="&amp;RepFrom,Bookings!$I$5:$I$404,"&lt;="&amp;RepTo,Bookings!$AM$5:$AM$404,"&lt;&gt;Cancelled"))</f>
        <v>0</v>
      </c>
      <c r="I127" s="28">
        <f>IF(Services!$B$127="","",Services!$B$127)</f>
        <v>0</v>
      </c>
      <c r="J127" s="29">
        <f>IF(I127="","",SUMIFS(Bookings!$AK$5:$AK$404,Bookings!$H$5:$H$404,I127,Bookings!$I$5:$I$404,"&gt;="&amp;PeriodStart,Bookings!$I$5:$I$404,"&lt;="&amp;PeriodEnd,Bookings!$AM$5:$AM$404,"&lt;&gt;Cancelled"))</f>
        <v>0</v>
      </c>
      <c r="K127" s="31">
        <f>IF(I127="","",COUNTIFS(Bookings!$H$5:$H$404,I127,Bookings!$I$5:$I$404,"&gt;="&amp;PeriodStart,Bookings!$I$5:$I$404,"&lt;="&amp;PeriodEnd,Bookings!$AM$5:$AM$404,"&lt;&gt;Cancelled"))</f>
        <v>0</v>
      </c>
      <c r="L127" s="29">
        <f>IF(I127="","",SUMIFS(Bookings!$AK$5:$AK$404,Bookings!$H$5:$H$404,I127,Bookings!$I$5:$I$404,"&gt;="&amp;RepFrom,Bookings!$I$5:$I$404,"&lt;="&amp;RepTo,Bookings!$AM$5:$AM$404,"&lt;&gt;Cancelled"))</f>
        <v>0</v>
      </c>
      <c r="M127" s="31">
        <f>IF(I127="","",COUNTIFS(Bookings!$H$5:$H$404,I127,Bookings!$I$5:$I$404,"&gt;="&amp;RepFrom,Bookings!$I$5:$I$404,"&lt;="&amp;RepTo,Bookings!$AM$5:$AM$404,"&lt;&gt;Cancelled"))</f>
        <v>0</v>
      </c>
      <c r="N127" s="29">
        <f>IF(I127="","",M127*IF(Services!$L$127="",0,Services!$L$127))</f>
        <v>0</v>
      </c>
      <c r="O127" s="29">
        <f>IF(I127="","",L127-N127)</f>
        <v>0</v>
      </c>
      <c r="P127" s="28">
        <f>IF(Lists!$AG127="","",Lists!$AG127)</f>
        <v>0</v>
      </c>
      <c r="Q127" s="29">
        <f>IF(P127="","",SUMIFS(Expenses!$F$5:$F$304,Expenses!$C$5:$C$304,P127,Expenses!$B$5:$B$304,"&gt;="&amp;PeriodStart,Expenses!$B$5:$B$304,"&lt;="&amp;PeriodEnd,Expenses!$J$5:$J$304,"&lt;&gt;Personal"))</f>
        <v>0</v>
      </c>
      <c r="R127" s="29">
        <f>IF(P127="","",SUMIFS(Expenses!$F$5:$F$304,Expenses!$C$5:$C$304,P127,Expenses!$B$5:$B$304,"&gt;="&amp;RepFrom,Expenses!$B$5:$B$304,"&lt;="&amp;RepTo,Expenses!$J$5:$J$304,"&lt;&gt;Personal"))</f>
        <v>0</v>
      </c>
      <c r="S127" s="21">
        <f>IF(ROW()-4&gt;12,"",DATE(Dash_Year,ROW()-4,1))</f>
        <v>0</v>
      </c>
      <c r="T127" s="21">
        <f>IF(S127="","",EOMONTH(S127,0))</f>
        <v>0</v>
      </c>
      <c r="U127" s="28">
        <f>IF(S127="","",TEXT(S127,"mmm"))</f>
        <v>0</v>
      </c>
      <c r="V127" s="29">
        <f>IF(S127="","",SUMIFS(Payments!$L$5:$L$304,Payments!$B$5:$B$304,"&gt;="&amp;S127,Payments!$B$5:$B$304,"&lt;="&amp;T127))</f>
        <v>0</v>
      </c>
      <c r="W127" s="29">
        <f>IF(S127="","",SUMIFS(Invoices!$O$5:$O$304,Invoices!$B$5:$B$304,"&gt;="&amp;S127,Invoices!$B$5:$B$304,"&lt;="&amp;T127,Invoices!$T$5:$T$304,"&lt;&gt;Cancelled"))</f>
        <v>0</v>
      </c>
      <c r="X127" s="29">
        <f>IF(S127="","",SUMIFS(Expenses!$F$5:$F$304,Expenses!$B$5:$B$304,"&gt;="&amp;S127,Expenses!$B$5:$B$304,"&lt;="&amp;T127,Expenses!$J$5:$J$304,"&lt;&gt;Personal"))</f>
        <v>0</v>
      </c>
      <c r="Y127" s="29">
        <f>IF(S127="","",V127-X127)</f>
        <v>0</v>
      </c>
      <c r="Z127" s="31">
        <f>IF(S127="","",COUNTIFS(Bookings!$I$5:$I$404,"&gt;="&amp;S127,Bookings!$I$5:$I$404,"&lt;="&amp;T127,Bookings!$AM$5:$AM$404,"&lt;&gt;Cancelled"))</f>
        <v>0</v>
      </c>
      <c r="AA127" s="31">
        <f>IF(S127="","",COUNTIFS(Bookings!$I$5:$I$404,"&gt;="&amp;S127,Bookings!$I$5:$I$404,"&lt;="&amp;T127,Bookings!$AM$5:$AM$404,"Completed"))</f>
        <v>0</v>
      </c>
      <c r="AB127" s="31">
        <f>IF(S127="","",COUNTIFS(Bookings!$I$5:$I$404,"&gt;="&amp;S127,Bookings!$I$5:$I$404,"&lt;="&amp;T127,Bookings!$AM$5:$AM$404,"Cancelled"))</f>
        <v>0</v>
      </c>
      <c r="AC127" s="31">
        <f>IF(S127="","",COUNTIFS('Visit Log'!$C$5:$C$404,"&gt;="&amp;S127,'Visit Log'!$C$5:$C$404,"&lt;="&amp;T127,'Visit Log'!$AE$5:$AE$404,"Completed"))</f>
        <v>0</v>
      </c>
      <c r="AD127" s="31">
        <f>IF(S127="","",COUNTIFS(Clients!$L$5:$L$254,"&gt;="&amp;S127,Clients!$L$5:$L$254,"&lt;="&amp;T127))</f>
        <v>0</v>
      </c>
      <c r="AE127" s="32">
        <f>IF(S127="","",SUMIFS(Mileage!$M$5:$M$304,Mileage!$B$5:$B$304,"&gt;="&amp;S127,Mileage!$B$5:$B$304,"&lt;="&amp;T127,Mileage!$N$5:$N$304,"Business"))</f>
        <v>0</v>
      </c>
      <c r="AF127" s="29">
        <f>IF(S127="","",SUMIFS(Payments!$L$5:$L$304,Payments!$B$5:$B$304,"&gt;="&amp;DATE(Dash_Year-1,ROW()-4,1),Payments!$B$5:$B$304,"&lt;="&amp;EOMONTH(DATE(Dash_Year-1,ROW()-4,1),0)))</f>
        <v>0</v>
      </c>
      <c r="AG127" s="28">
        <f>IF(Staff!$B$127="","",Staff!$B$127)</f>
        <v>0</v>
      </c>
      <c r="AH127" s="31">
        <f>IF(AG127="","",COUNTIFS('Visit Log'!$G$5:$G$404,AG127,'Visit Log'!$C$5:$C$404,"&gt;="&amp;RepFrom,'Visit Log'!$C$5:$C$404,"&lt;="&amp;RepTo,'Visit Log'!$AE$5:$AE$404,"Completed"))</f>
        <v>0</v>
      </c>
      <c r="AI127" s="51">
        <f>IF(AG127="","",ROUND(SUMIFS('Visit Log'!$K$5:$K$404,'Visit Log'!$G$5:$G$404,AG127,'Visit Log'!$C$5:$C$404,"&gt;="&amp;RepFrom,'Visit Log'!$C$5:$C$404,"&lt;="&amp;RepTo,'Visit Log'!$AE$5:$AE$404,"Completed")/60,2))</f>
        <v>0</v>
      </c>
      <c r="AJ127" s="29">
        <f>IF(AG127="","",SUMIFS(Bookings!$AK$5:$AK$404,Bookings!$AL$5:$AL$404,AG127,Bookings!$I$5:$I$404,"&gt;="&amp;RepFrom,Bookings!$I$5:$I$404,"&lt;="&amp;RepTo,Bookings!$AM$5:$AM$404,"&lt;&gt;Cancelled"))</f>
        <v>0</v>
      </c>
      <c r="AK127" s="32">
        <f>IF(AG127="","",SUMIFS(Mileage!$M$5:$M$304,Mileage!$C$5:$C$304,AG127,Mileage!$B$5:$B$304,"&gt;="&amp;RepFrom,Mileage!$B$5:$B$304,"&lt;="&amp;RepTo))</f>
        <v>0</v>
      </c>
      <c r="AL127" s="28">
        <f>IF(Lists!$Q127="","",Lists!$Q127)</f>
        <v>0</v>
      </c>
      <c r="AM127" s="31">
        <f>IF(AL127="","",COUNTIFS(Bookings!$AV$5:$AV$404,AL127,Bookings!$I$5:$I$404,"&gt;="&amp;RepFrom,Bookings!$I$5:$I$404,"&lt;="&amp;RepTo))</f>
        <v>0</v>
      </c>
      <c r="AN127" s="28">
        <f>IF(Lists!$AF127="","",Lists!$AF127)</f>
        <v>0</v>
      </c>
      <c r="AO127" s="29">
        <f>IF(AN127="","",SUMIFS(Payments!$L$5:$L$304,Payments!$F$5:$F$304,AN127,Payments!$B$5:$B$304,"&gt;="&amp;RepFrom,Payments!$B$5:$B$304,"&lt;="&amp;RepTo))</f>
        <v>0</v>
      </c>
      <c r="AP127" s="28">
        <f>IF(Lists!$E127="","",Lists!$E127)</f>
        <v>0</v>
      </c>
      <c r="AQ127" s="31">
        <f>IF(AP127="","",COUNTIFS(Clients!$K$5:$K$254,AP127))</f>
        <v>0</v>
      </c>
      <c r="AR127" s="29">
        <f>IF(AP127="","",SUMIFS(Clients!$AE$5:$AE$254,Clients!$K$5:$K$254,AP127))</f>
        <v>0</v>
      </c>
    </row>
    <row r="128" spans="1:44">
      <c r="A128" s="28">
        <f>IF(Clients!$B$128="","",Clients!$B$128)</f>
        <v>0</v>
      </c>
      <c r="B128" s="29">
        <f>IF(A128="","",SUMIFS(Payments!$L$5:$L$304,Payments!$C$5:$C$304,A128,Payments!$B$5:$B$304,"&gt;="&amp;PeriodStart,Payments!$B$5:$B$304,"&lt;="&amp;PeriodEnd))</f>
        <v>0</v>
      </c>
      <c r="C128" s="51">
        <f>IF(A128="","",IF(B128&lt;=0,"",B128+ROW()/1000000))</f>
        <v>0</v>
      </c>
      <c r="D128" s="29">
        <f>IF(A128="","",SUMIFS(Payments!$L$5:$L$304,Payments!$C$5:$C$304,A128,Payments!$B$5:$B$304,"&gt;="&amp;RepFrom,Payments!$B$5:$B$304,"&lt;="&amp;RepTo))</f>
        <v>0</v>
      </c>
      <c r="E128" s="51">
        <f>IF(A128="","",IF(D128&lt;=0,"",D128+ROW()/1000000))</f>
        <v>0</v>
      </c>
      <c r="F128" s="29">
        <f>IF(A128="","",SUMIFS(Invoices!$S$5:$S$304,Invoices!$D$5:$D$304,A128,Invoices!$T$5:$T$304,"&lt;&gt;Cancelled"))</f>
        <v>0</v>
      </c>
      <c r="G128" s="51">
        <f>IF(A128="","",IF(F128&lt;=0.004,"",F128+ROW()/1000000))</f>
        <v>0</v>
      </c>
      <c r="H128" s="31">
        <f>IF(A128="","",COUNTIFS(Bookings!$C$5:$C$404,A128,Bookings!$I$5:$I$404,"&gt;="&amp;RepFrom,Bookings!$I$5:$I$404,"&lt;="&amp;RepTo,Bookings!$AM$5:$AM$404,"&lt;&gt;Cancelled"))</f>
        <v>0</v>
      </c>
      <c r="I128" s="28">
        <f>IF(Services!$B$128="","",Services!$B$128)</f>
        <v>0</v>
      </c>
      <c r="J128" s="29">
        <f>IF(I128="","",SUMIFS(Bookings!$AK$5:$AK$404,Bookings!$H$5:$H$404,I128,Bookings!$I$5:$I$404,"&gt;="&amp;PeriodStart,Bookings!$I$5:$I$404,"&lt;="&amp;PeriodEnd,Bookings!$AM$5:$AM$404,"&lt;&gt;Cancelled"))</f>
        <v>0</v>
      </c>
      <c r="K128" s="31">
        <f>IF(I128="","",COUNTIFS(Bookings!$H$5:$H$404,I128,Bookings!$I$5:$I$404,"&gt;="&amp;PeriodStart,Bookings!$I$5:$I$404,"&lt;="&amp;PeriodEnd,Bookings!$AM$5:$AM$404,"&lt;&gt;Cancelled"))</f>
        <v>0</v>
      </c>
      <c r="L128" s="29">
        <f>IF(I128="","",SUMIFS(Bookings!$AK$5:$AK$404,Bookings!$H$5:$H$404,I128,Bookings!$I$5:$I$404,"&gt;="&amp;RepFrom,Bookings!$I$5:$I$404,"&lt;="&amp;RepTo,Bookings!$AM$5:$AM$404,"&lt;&gt;Cancelled"))</f>
        <v>0</v>
      </c>
      <c r="M128" s="31">
        <f>IF(I128="","",COUNTIFS(Bookings!$H$5:$H$404,I128,Bookings!$I$5:$I$404,"&gt;="&amp;RepFrom,Bookings!$I$5:$I$404,"&lt;="&amp;RepTo,Bookings!$AM$5:$AM$404,"&lt;&gt;Cancelled"))</f>
        <v>0</v>
      </c>
      <c r="N128" s="29">
        <f>IF(I128="","",M128*IF(Services!$L$128="",0,Services!$L$128))</f>
        <v>0</v>
      </c>
      <c r="O128" s="29">
        <f>IF(I128="","",L128-N128)</f>
        <v>0</v>
      </c>
      <c r="P128" s="28">
        <f>IF(Lists!$AG128="","",Lists!$AG128)</f>
        <v>0</v>
      </c>
      <c r="Q128" s="29">
        <f>IF(P128="","",SUMIFS(Expenses!$F$5:$F$304,Expenses!$C$5:$C$304,P128,Expenses!$B$5:$B$304,"&gt;="&amp;PeriodStart,Expenses!$B$5:$B$304,"&lt;="&amp;PeriodEnd,Expenses!$J$5:$J$304,"&lt;&gt;Personal"))</f>
        <v>0</v>
      </c>
      <c r="R128" s="29">
        <f>IF(P128="","",SUMIFS(Expenses!$F$5:$F$304,Expenses!$C$5:$C$304,P128,Expenses!$B$5:$B$304,"&gt;="&amp;RepFrom,Expenses!$B$5:$B$304,"&lt;="&amp;RepTo,Expenses!$J$5:$J$304,"&lt;&gt;Personal"))</f>
        <v>0</v>
      </c>
      <c r="S128" s="21">
        <f>IF(ROW()-4&gt;12,"",DATE(Dash_Year,ROW()-4,1))</f>
        <v>0</v>
      </c>
      <c r="T128" s="21">
        <f>IF(S128="","",EOMONTH(S128,0))</f>
        <v>0</v>
      </c>
      <c r="U128" s="28">
        <f>IF(S128="","",TEXT(S128,"mmm"))</f>
        <v>0</v>
      </c>
      <c r="V128" s="29">
        <f>IF(S128="","",SUMIFS(Payments!$L$5:$L$304,Payments!$B$5:$B$304,"&gt;="&amp;S128,Payments!$B$5:$B$304,"&lt;="&amp;T128))</f>
        <v>0</v>
      </c>
      <c r="W128" s="29">
        <f>IF(S128="","",SUMIFS(Invoices!$O$5:$O$304,Invoices!$B$5:$B$304,"&gt;="&amp;S128,Invoices!$B$5:$B$304,"&lt;="&amp;T128,Invoices!$T$5:$T$304,"&lt;&gt;Cancelled"))</f>
        <v>0</v>
      </c>
      <c r="X128" s="29">
        <f>IF(S128="","",SUMIFS(Expenses!$F$5:$F$304,Expenses!$B$5:$B$304,"&gt;="&amp;S128,Expenses!$B$5:$B$304,"&lt;="&amp;T128,Expenses!$J$5:$J$304,"&lt;&gt;Personal"))</f>
        <v>0</v>
      </c>
      <c r="Y128" s="29">
        <f>IF(S128="","",V128-X128)</f>
        <v>0</v>
      </c>
      <c r="Z128" s="31">
        <f>IF(S128="","",COUNTIFS(Bookings!$I$5:$I$404,"&gt;="&amp;S128,Bookings!$I$5:$I$404,"&lt;="&amp;T128,Bookings!$AM$5:$AM$404,"&lt;&gt;Cancelled"))</f>
        <v>0</v>
      </c>
      <c r="AA128" s="31">
        <f>IF(S128="","",COUNTIFS(Bookings!$I$5:$I$404,"&gt;="&amp;S128,Bookings!$I$5:$I$404,"&lt;="&amp;T128,Bookings!$AM$5:$AM$404,"Completed"))</f>
        <v>0</v>
      </c>
      <c r="AB128" s="31">
        <f>IF(S128="","",COUNTIFS(Bookings!$I$5:$I$404,"&gt;="&amp;S128,Bookings!$I$5:$I$404,"&lt;="&amp;T128,Bookings!$AM$5:$AM$404,"Cancelled"))</f>
        <v>0</v>
      </c>
      <c r="AC128" s="31">
        <f>IF(S128="","",COUNTIFS('Visit Log'!$C$5:$C$404,"&gt;="&amp;S128,'Visit Log'!$C$5:$C$404,"&lt;="&amp;T128,'Visit Log'!$AE$5:$AE$404,"Completed"))</f>
        <v>0</v>
      </c>
      <c r="AD128" s="31">
        <f>IF(S128="","",COUNTIFS(Clients!$L$5:$L$254,"&gt;="&amp;S128,Clients!$L$5:$L$254,"&lt;="&amp;T128))</f>
        <v>0</v>
      </c>
      <c r="AE128" s="32">
        <f>IF(S128="","",SUMIFS(Mileage!$M$5:$M$304,Mileage!$B$5:$B$304,"&gt;="&amp;S128,Mileage!$B$5:$B$304,"&lt;="&amp;T128,Mileage!$N$5:$N$304,"Business"))</f>
        <v>0</v>
      </c>
      <c r="AF128" s="29">
        <f>IF(S128="","",SUMIFS(Payments!$L$5:$L$304,Payments!$B$5:$B$304,"&gt;="&amp;DATE(Dash_Year-1,ROW()-4,1),Payments!$B$5:$B$304,"&lt;="&amp;EOMONTH(DATE(Dash_Year-1,ROW()-4,1),0)))</f>
        <v>0</v>
      </c>
      <c r="AG128" s="28">
        <f>IF(Staff!$B$128="","",Staff!$B$128)</f>
        <v>0</v>
      </c>
      <c r="AH128" s="31">
        <f>IF(AG128="","",COUNTIFS('Visit Log'!$G$5:$G$404,AG128,'Visit Log'!$C$5:$C$404,"&gt;="&amp;RepFrom,'Visit Log'!$C$5:$C$404,"&lt;="&amp;RepTo,'Visit Log'!$AE$5:$AE$404,"Completed"))</f>
        <v>0</v>
      </c>
      <c r="AI128" s="51">
        <f>IF(AG128="","",ROUND(SUMIFS('Visit Log'!$K$5:$K$404,'Visit Log'!$G$5:$G$404,AG128,'Visit Log'!$C$5:$C$404,"&gt;="&amp;RepFrom,'Visit Log'!$C$5:$C$404,"&lt;="&amp;RepTo,'Visit Log'!$AE$5:$AE$404,"Completed")/60,2))</f>
        <v>0</v>
      </c>
      <c r="AJ128" s="29">
        <f>IF(AG128="","",SUMIFS(Bookings!$AK$5:$AK$404,Bookings!$AL$5:$AL$404,AG128,Bookings!$I$5:$I$404,"&gt;="&amp;RepFrom,Bookings!$I$5:$I$404,"&lt;="&amp;RepTo,Bookings!$AM$5:$AM$404,"&lt;&gt;Cancelled"))</f>
        <v>0</v>
      </c>
      <c r="AK128" s="32">
        <f>IF(AG128="","",SUMIFS(Mileage!$M$5:$M$304,Mileage!$C$5:$C$304,AG128,Mileage!$B$5:$B$304,"&gt;="&amp;RepFrom,Mileage!$B$5:$B$304,"&lt;="&amp;RepTo))</f>
        <v>0</v>
      </c>
      <c r="AL128" s="28">
        <f>IF(Lists!$Q128="","",Lists!$Q128)</f>
        <v>0</v>
      </c>
      <c r="AM128" s="31">
        <f>IF(AL128="","",COUNTIFS(Bookings!$AV$5:$AV$404,AL128,Bookings!$I$5:$I$404,"&gt;="&amp;RepFrom,Bookings!$I$5:$I$404,"&lt;="&amp;RepTo))</f>
        <v>0</v>
      </c>
      <c r="AN128" s="28">
        <f>IF(Lists!$AF128="","",Lists!$AF128)</f>
        <v>0</v>
      </c>
      <c r="AO128" s="29">
        <f>IF(AN128="","",SUMIFS(Payments!$L$5:$L$304,Payments!$F$5:$F$304,AN128,Payments!$B$5:$B$304,"&gt;="&amp;RepFrom,Payments!$B$5:$B$304,"&lt;="&amp;RepTo))</f>
        <v>0</v>
      </c>
      <c r="AP128" s="28">
        <f>IF(Lists!$E128="","",Lists!$E128)</f>
        <v>0</v>
      </c>
      <c r="AQ128" s="31">
        <f>IF(AP128="","",COUNTIFS(Clients!$K$5:$K$254,AP128))</f>
        <v>0</v>
      </c>
      <c r="AR128" s="29">
        <f>IF(AP128="","",SUMIFS(Clients!$AE$5:$AE$254,Clients!$K$5:$K$254,AP128))</f>
        <v>0</v>
      </c>
    </row>
    <row r="129" spans="1:44">
      <c r="A129" s="28">
        <f>IF(Clients!$B$129="","",Clients!$B$129)</f>
        <v>0</v>
      </c>
      <c r="B129" s="29">
        <f>IF(A129="","",SUMIFS(Payments!$L$5:$L$304,Payments!$C$5:$C$304,A129,Payments!$B$5:$B$304,"&gt;="&amp;PeriodStart,Payments!$B$5:$B$304,"&lt;="&amp;PeriodEnd))</f>
        <v>0</v>
      </c>
      <c r="C129" s="51">
        <f>IF(A129="","",IF(B129&lt;=0,"",B129+ROW()/1000000))</f>
        <v>0</v>
      </c>
      <c r="D129" s="29">
        <f>IF(A129="","",SUMIFS(Payments!$L$5:$L$304,Payments!$C$5:$C$304,A129,Payments!$B$5:$B$304,"&gt;="&amp;RepFrom,Payments!$B$5:$B$304,"&lt;="&amp;RepTo))</f>
        <v>0</v>
      </c>
      <c r="E129" s="51">
        <f>IF(A129="","",IF(D129&lt;=0,"",D129+ROW()/1000000))</f>
        <v>0</v>
      </c>
      <c r="F129" s="29">
        <f>IF(A129="","",SUMIFS(Invoices!$S$5:$S$304,Invoices!$D$5:$D$304,A129,Invoices!$T$5:$T$304,"&lt;&gt;Cancelled"))</f>
        <v>0</v>
      </c>
      <c r="G129" s="51">
        <f>IF(A129="","",IF(F129&lt;=0.004,"",F129+ROW()/1000000))</f>
        <v>0</v>
      </c>
      <c r="H129" s="31">
        <f>IF(A129="","",COUNTIFS(Bookings!$C$5:$C$404,A129,Bookings!$I$5:$I$404,"&gt;="&amp;RepFrom,Bookings!$I$5:$I$404,"&lt;="&amp;RepTo,Bookings!$AM$5:$AM$404,"&lt;&gt;Cancelled"))</f>
        <v>0</v>
      </c>
      <c r="I129" s="28">
        <f>IF(Services!$B$129="","",Services!$B$129)</f>
        <v>0</v>
      </c>
      <c r="J129" s="29">
        <f>IF(I129="","",SUMIFS(Bookings!$AK$5:$AK$404,Bookings!$H$5:$H$404,I129,Bookings!$I$5:$I$404,"&gt;="&amp;PeriodStart,Bookings!$I$5:$I$404,"&lt;="&amp;PeriodEnd,Bookings!$AM$5:$AM$404,"&lt;&gt;Cancelled"))</f>
        <v>0</v>
      </c>
      <c r="K129" s="31">
        <f>IF(I129="","",COUNTIFS(Bookings!$H$5:$H$404,I129,Bookings!$I$5:$I$404,"&gt;="&amp;PeriodStart,Bookings!$I$5:$I$404,"&lt;="&amp;PeriodEnd,Bookings!$AM$5:$AM$404,"&lt;&gt;Cancelled"))</f>
        <v>0</v>
      </c>
      <c r="L129" s="29">
        <f>IF(I129="","",SUMIFS(Bookings!$AK$5:$AK$404,Bookings!$H$5:$H$404,I129,Bookings!$I$5:$I$404,"&gt;="&amp;RepFrom,Bookings!$I$5:$I$404,"&lt;="&amp;RepTo,Bookings!$AM$5:$AM$404,"&lt;&gt;Cancelled"))</f>
        <v>0</v>
      </c>
      <c r="M129" s="31">
        <f>IF(I129="","",COUNTIFS(Bookings!$H$5:$H$404,I129,Bookings!$I$5:$I$404,"&gt;="&amp;RepFrom,Bookings!$I$5:$I$404,"&lt;="&amp;RepTo,Bookings!$AM$5:$AM$404,"&lt;&gt;Cancelled"))</f>
        <v>0</v>
      </c>
      <c r="N129" s="29">
        <f>IF(I129="","",M129*IF(Services!$L$129="",0,Services!$L$129))</f>
        <v>0</v>
      </c>
      <c r="O129" s="29">
        <f>IF(I129="","",L129-N129)</f>
        <v>0</v>
      </c>
      <c r="P129" s="28">
        <f>IF(Lists!$AG129="","",Lists!$AG129)</f>
        <v>0</v>
      </c>
      <c r="Q129" s="29">
        <f>IF(P129="","",SUMIFS(Expenses!$F$5:$F$304,Expenses!$C$5:$C$304,P129,Expenses!$B$5:$B$304,"&gt;="&amp;PeriodStart,Expenses!$B$5:$B$304,"&lt;="&amp;PeriodEnd,Expenses!$J$5:$J$304,"&lt;&gt;Personal"))</f>
        <v>0</v>
      </c>
      <c r="R129" s="29">
        <f>IF(P129="","",SUMIFS(Expenses!$F$5:$F$304,Expenses!$C$5:$C$304,P129,Expenses!$B$5:$B$304,"&gt;="&amp;RepFrom,Expenses!$B$5:$B$304,"&lt;="&amp;RepTo,Expenses!$J$5:$J$304,"&lt;&gt;Personal"))</f>
        <v>0</v>
      </c>
      <c r="S129" s="21">
        <f>IF(ROW()-4&gt;12,"",DATE(Dash_Year,ROW()-4,1))</f>
        <v>0</v>
      </c>
      <c r="T129" s="21">
        <f>IF(S129="","",EOMONTH(S129,0))</f>
        <v>0</v>
      </c>
      <c r="U129" s="28">
        <f>IF(S129="","",TEXT(S129,"mmm"))</f>
        <v>0</v>
      </c>
      <c r="V129" s="29">
        <f>IF(S129="","",SUMIFS(Payments!$L$5:$L$304,Payments!$B$5:$B$304,"&gt;="&amp;S129,Payments!$B$5:$B$304,"&lt;="&amp;T129))</f>
        <v>0</v>
      </c>
      <c r="W129" s="29">
        <f>IF(S129="","",SUMIFS(Invoices!$O$5:$O$304,Invoices!$B$5:$B$304,"&gt;="&amp;S129,Invoices!$B$5:$B$304,"&lt;="&amp;T129,Invoices!$T$5:$T$304,"&lt;&gt;Cancelled"))</f>
        <v>0</v>
      </c>
      <c r="X129" s="29">
        <f>IF(S129="","",SUMIFS(Expenses!$F$5:$F$304,Expenses!$B$5:$B$304,"&gt;="&amp;S129,Expenses!$B$5:$B$304,"&lt;="&amp;T129,Expenses!$J$5:$J$304,"&lt;&gt;Personal"))</f>
        <v>0</v>
      </c>
      <c r="Y129" s="29">
        <f>IF(S129="","",V129-X129)</f>
        <v>0</v>
      </c>
      <c r="Z129" s="31">
        <f>IF(S129="","",COUNTIFS(Bookings!$I$5:$I$404,"&gt;="&amp;S129,Bookings!$I$5:$I$404,"&lt;="&amp;T129,Bookings!$AM$5:$AM$404,"&lt;&gt;Cancelled"))</f>
        <v>0</v>
      </c>
      <c r="AA129" s="31">
        <f>IF(S129="","",COUNTIFS(Bookings!$I$5:$I$404,"&gt;="&amp;S129,Bookings!$I$5:$I$404,"&lt;="&amp;T129,Bookings!$AM$5:$AM$404,"Completed"))</f>
        <v>0</v>
      </c>
      <c r="AB129" s="31">
        <f>IF(S129="","",COUNTIFS(Bookings!$I$5:$I$404,"&gt;="&amp;S129,Bookings!$I$5:$I$404,"&lt;="&amp;T129,Bookings!$AM$5:$AM$404,"Cancelled"))</f>
        <v>0</v>
      </c>
      <c r="AC129" s="31">
        <f>IF(S129="","",COUNTIFS('Visit Log'!$C$5:$C$404,"&gt;="&amp;S129,'Visit Log'!$C$5:$C$404,"&lt;="&amp;T129,'Visit Log'!$AE$5:$AE$404,"Completed"))</f>
        <v>0</v>
      </c>
      <c r="AD129" s="31">
        <f>IF(S129="","",COUNTIFS(Clients!$L$5:$L$254,"&gt;="&amp;S129,Clients!$L$5:$L$254,"&lt;="&amp;T129))</f>
        <v>0</v>
      </c>
      <c r="AE129" s="32">
        <f>IF(S129="","",SUMIFS(Mileage!$M$5:$M$304,Mileage!$B$5:$B$304,"&gt;="&amp;S129,Mileage!$B$5:$B$304,"&lt;="&amp;T129,Mileage!$N$5:$N$304,"Business"))</f>
        <v>0</v>
      </c>
      <c r="AF129" s="29">
        <f>IF(S129="","",SUMIFS(Payments!$L$5:$L$304,Payments!$B$5:$B$304,"&gt;="&amp;DATE(Dash_Year-1,ROW()-4,1),Payments!$B$5:$B$304,"&lt;="&amp;EOMONTH(DATE(Dash_Year-1,ROW()-4,1),0)))</f>
        <v>0</v>
      </c>
      <c r="AG129" s="28">
        <f>IF(Staff!$B$129="","",Staff!$B$129)</f>
        <v>0</v>
      </c>
      <c r="AH129" s="31">
        <f>IF(AG129="","",COUNTIFS('Visit Log'!$G$5:$G$404,AG129,'Visit Log'!$C$5:$C$404,"&gt;="&amp;RepFrom,'Visit Log'!$C$5:$C$404,"&lt;="&amp;RepTo,'Visit Log'!$AE$5:$AE$404,"Completed"))</f>
        <v>0</v>
      </c>
      <c r="AI129" s="51">
        <f>IF(AG129="","",ROUND(SUMIFS('Visit Log'!$K$5:$K$404,'Visit Log'!$G$5:$G$404,AG129,'Visit Log'!$C$5:$C$404,"&gt;="&amp;RepFrom,'Visit Log'!$C$5:$C$404,"&lt;="&amp;RepTo,'Visit Log'!$AE$5:$AE$404,"Completed")/60,2))</f>
        <v>0</v>
      </c>
      <c r="AJ129" s="29">
        <f>IF(AG129="","",SUMIFS(Bookings!$AK$5:$AK$404,Bookings!$AL$5:$AL$404,AG129,Bookings!$I$5:$I$404,"&gt;="&amp;RepFrom,Bookings!$I$5:$I$404,"&lt;="&amp;RepTo,Bookings!$AM$5:$AM$404,"&lt;&gt;Cancelled"))</f>
        <v>0</v>
      </c>
      <c r="AK129" s="32">
        <f>IF(AG129="","",SUMIFS(Mileage!$M$5:$M$304,Mileage!$C$5:$C$304,AG129,Mileage!$B$5:$B$304,"&gt;="&amp;RepFrom,Mileage!$B$5:$B$304,"&lt;="&amp;RepTo))</f>
        <v>0</v>
      </c>
      <c r="AL129" s="28">
        <f>IF(Lists!$Q129="","",Lists!$Q129)</f>
        <v>0</v>
      </c>
      <c r="AM129" s="31">
        <f>IF(AL129="","",COUNTIFS(Bookings!$AV$5:$AV$404,AL129,Bookings!$I$5:$I$404,"&gt;="&amp;RepFrom,Bookings!$I$5:$I$404,"&lt;="&amp;RepTo))</f>
        <v>0</v>
      </c>
      <c r="AN129" s="28">
        <f>IF(Lists!$AF129="","",Lists!$AF129)</f>
        <v>0</v>
      </c>
      <c r="AO129" s="29">
        <f>IF(AN129="","",SUMIFS(Payments!$L$5:$L$304,Payments!$F$5:$F$304,AN129,Payments!$B$5:$B$304,"&gt;="&amp;RepFrom,Payments!$B$5:$B$304,"&lt;="&amp;RepTo))</f>
        <v>0</v>
      </c>
      <c r="AP129" s="28">
        <f>IF(Lists!$E129="","",Lists!$E129)</f>
        <v>0</v>
      </c>
      <c r="AQ129" s="31">
        <f>IF(AP129="","",COUNTIFS(Clients!$K$5:$K$254,AP129))</f>
        <v>0</v>
      </c>
      <c r="AR129" s="29">
        <f>IF(AP129="","",SUMIFS(Clients!$AE$5:$AE$254,Clients!$K$5:$K$254,AP129))</f>
        <v>0</v>
      </c>
    </row>
    <row r="130" spans="1:44">
      <c r="A130" s="28">
        <f>IF(Clients!$B$130="","",Clients!$B$130)</f>
        <v>0</v>
      </c>
      <c r="B130" s="29">
        <f>IF(A130="","",SUMIFS(Payments!$L$5:$L$304,Payments!$C$5:$C$304,A130,Payments!$B$5:$B$304,"&gt;="&amp;PeriodStart,Payments!$B$5:$B$304,"&lt;="&amp;PeriodEnd))</f>
        <v>0</v>
      </c>
      <c r="C130" s="51">
        <f>IF(A130="","",IF(B130&lt;=0,"",B130+ROW()/1000000))</f>
        <v>0</v>
      </c>
      <c r="D130" s="29">
        <f>IF(A130="","",SUMIFS(Payments!$L$5:$L$304,Payments!$C$5:$C$304,A130,Payments!$B$5:$B$304,"&gt;="&amp;RepFrom,Payments!$B$5:$B$304,"&lt;="&amp;RepTo))</f>
        <v>0</v>
      </c>
      <c r="E130" s="51">
        <f>IF(A130="","",IF(D130&lt;=0,"",D130+ROW()/1000000))</f>
        <v>0</v>
      </c>
      <c r="F130" s="29">
        <f>IF(A130="","",SUMIFS(Invoices!$S$5:$S$304,Invoices!$D$5:$D$304,A130,Invoices!$T$5:$T$304,"&lt;&gt;Cancelled"))</f>
        <v>0</v>
      </c>
      <c r="G130" s="51">
        <f>IF(A130="","",IF(F130&lt;=0.004,"",F130+ROW()/1000000))</f>
        <v>0</v>
      </c>
      <c r="H130" s="31">
        <f>IF(A130="","",COUNTIFS(Bookings!$C$5:$C$404,A130,Bookings!$I$5:$I$404,"&gt;="&amp;RepFrom,Bookings!$I$5:$I$404,"&lt;="&amp;RepTo,Bookings!$AM$5:$AM$404,"&lt;&gt;Cancelled"))</f>
        <v>0</v>
      </c>
      <c r="I130" s="28">
        <f>IF(Services!$B$130="","",Services!$B$130)</f>
        <v>0</v>
      </c>
      <c r="J130" s="29">
        <f>IF(I130="","",SUMIFS(Bookings!$AK$5:$AK$404,Bookings!$H$5:$H$404,I130,Bookings!$I$5:$I$404,"&gt;="&amp;PeriodStart,Bookings!$I$5:$I$404,"&lt;="&amp;PeriodEnd,Bookings!$AM$5:$AM$404,"&lt;&gt;Cancelled"))</f>
        <v>0</v>
      </c>
      <c r="K130" s="31">
        <f>IF(I130="","",COUNTIFS(Bookings!$H$5:$H$404,I130,Bookings!$I$5:$I$404,"&gt;="&amp;PeriodStart,Bookings!$I$5:$I$404,"&lt;="&amp;PeriodEnd,Bookings!$AM$5:$AM$404,"&lt;&gt;Cancelled"))</f>
        <v>0</v>
      </c>
      <c r="L130" s="29">
        <f>IF(I130="","",SUMIFS(Bookings!$AK$5:$AK$404,Bookings!$H$5:$H$404,I130,Bookings!$I$5:$I$404,"&gt;="&amp;RepFrom,Bookings!$I$5:$I$404,"&lt;="&amp;RepTo,Bookings!$AM$5:$AM$404,"&lt;&gt;Cancelled"))</f>
        <v>0</v>
      </c>
      <c r="M130" s="31">
        <f>IF(I130="","",COUNTIFS(Bookings!$H$5:$H$404,I130,Bookings!$I$5:$I$404,"&gt;="&amp;RepFrom,Bookings!$I$5:$I$404,"&lt;="&amp;RepTo,Bookings!$AM$5:$AM$404,"&lt;&gt;Cancelled"))</f>
        <v>0</v>
      </c>
      <c r="N130" s="29">
        <f>IF(I130="","",M130*IF(Services!$L$130="",0,Services!$L$130))</f>
        <v>0</v>
      </c>
      <c r="O130" s="29">
        <f>IF(I130="","",L130-N130)</f>
        <v>0</v>
      </c>
      <c r="P130" s="28">
        <f>IF(Lists!$AG130="","",Lists!$AG130)</f>
        <v>0</v>
      </c>
      <c r="Q130" s="29">
        <f>IF(P130="","",SUMIFS(Expenses!$F$5:$F$304,Expenses!$C$5:$C$304,P130,Expenses!$B$5:$B$304,"&gt;="&amp;PeriodStart,Expenses!$B$5:$B$304,"&lt;="&amp;PeriodEnd,Expenses!$J$5:$J$304,"&lt;&gt;Personal"))</f>
        <v>0</v>
      </c>
      <c r="R130" s="29">
        <f>IF(P130="","",SUMIFS(Expenses!$F$5:$F$304,Expenses!$C$5:$C$304,P130,Expenses!$B$5:$B$304,"&gt;="&amp;RepFrom,Expenses!$B$5:$B$304,"&lt;="&amp;RepTo,Expenses!$J$5:$J$304,"&lt;&gt;Personal"))</f>
        <v>0</v>
      </c>
      <c r="S130" s="21">
        <f>IF(ROW()-4&gt;12,"",DATE(Dash_Year,ROW()-4,1))</f>
        <v>0</v>
      </c>
      <c r="T130" s="21">
        <f>IF(S130="","",EOMONTH(S130,0))</f>
        <v>0</v>
      </c>
      <c r="U130" s="28">
        <f>IF(S130="","",TEXT(S130,"mmm"))</f>
        <v>0</v>
      </c>
      <c r="V130" s="29">
        <f>IF(S130="","",SUMIFS(Payments!$L$5:$L$304,Payments!$B$5:$B$304,"&gt;="&amp;S130,Payments!$B$5:$B$304,"&lt;="&amp;T130))</f>
        <v>0</v>
      </c>
      <c r="W130" s="29">
        <f>IF(S130="","",SUMIFS(Invoices!$O$5:$O$304,Invoices!$B$5:$B$304,"&gt;="&amp;S130,Invoices!$B$5:$B$304,"&lt;="&amp;T130,Invoices!$T$5:$T$304,"&lt;&gt;Cancelled"))</f>
        <v>0</v>
      </c>
      <c r="X130" s="29">
        <f>IF(S130="","",SUMIFS(Expenses!$F$5:$F$304,Expenses!$B$5:$B$304,"&gt;="&amp;S130,Expenses!$B$5:$B$304,"&lt;="&amp;T130,Expenses!$J$5:$J$304,"&lt;&gt;Personal"))</f>
        <v>0</v>
      </c>
      <c r="Y130" s="29">
        <f>IF(S130="","",V130-X130)</f>
        <v>0</v>
      </c>
      <c r="Z130" s="31">
        <f>IF(S130="","",COUNTIFS(Bookings!$I$5:$I$404,"&gt;="&amp;S130,Bookings!$I$5:$I$404,"&lt;="&amp;T130,Bookings!$AM$5:$AM$404,"&lt;&gt;Cancelled"))</f>
        <v>0</v>
      </c>
      <c r="AA130" s="31">
        <f>IF(S130="","",COUNTIFS(Bookings!$I$5:$I$404,"&gt;="&amp;S130,Bookings!$I$5:$I$404,"&lt;="&amp;T130,Bookings!$AM$5:$AM$404,"Completed"))</f>
        <v>0</v>
      </c>
      <c r="AB130" s="31">
        <f>IF(S130="","",COUNTIFS(Bookings!$I$5:$I$404,"&gt;="&amp;S130,Bookings!$I$5:$I$404,"&lt;="&amp;T130,Bookings!$AM$5:$AM$404,"Cancelled"))</f>
        <v>0</v>
      </c>
      <c r="AC130" s="31">
        <f>IF(S130="","",COUNTIFS('Visit Log'!$C$5:$C$404,"&gt;="&amp;S130,'Visit Log'!$C$5:$C$404,"&lt;="&amp;T130,'Visit Log'!$AE$5:$AE$404,"Completed"))</f>
        <v>0</v>
      </c>
      <c r="AD130" s="31">
        <f>IF(S130="","",COUNTIFS(Clients!$L$5:$L$254,"&gt;="&amp;S130,Clients!$L$5:$L$254,"&lt;="&amp;T130))</f>
        <v>0</v>
      </c>
      <c r="AE130" s="32">
        <f>IF(S130="","",SUMIFS(Mileage!$M$5:$M$304,Mileage!$B$5:$B$304,"&gt;="&amp;S130,Mileage!$B$5:$B$304,"&lt;="&amp;T130,Mileage!$N$5:$N$304,"Business"))</f>
        <v>0</v>
      </c>
      <c r="AF130" s="29">
        <f>IF(S130="","",SUMIFS(Payments!$L$5:$L$304,Payments!$B$5:$B$304,"&gt;="&amp;DATE(Dash_Year-1,ROW()-4,1),Payments!$B$5:$B$304,"&lt;="&amp;EOMONTH(DATE(Dash_Year-1,ROW()-4,1),0)))</f>
        <v>0</v>
      </c>
      <c r="AG130" s="28">
        <f>IF(Staff!$B$130="","",Staff!$B$130)</f>
        <v>0</v>
      </c>
      <c r="AH130" s="31">
        <f>IF(AG130="","",COUNTIFS('Visit Log'!$G$5:$G$404,AG130,'Visit Log'!$C$5:$C$404,"&gt;="&amp;RepFrom,'Visit Log'!$C$5:$C$404,"&lt;="&amp;RepTo,'Visit Log'!$AE$5:$AE$404,"Completed"))</f>
        <v>0</v>
      </c>
      <c r="AI130" s="51">
        <f>IF(AG130="","",ROUND(SUMIFS('Visit Log'!$K$5:$K$404,'Visit Log'!$G$5:$G$404,AG130,'Visit Log'!$C$5:$C$404,"&gt;="&amp;RepFrom,'Visit Log'!$C$5:$C$404,"&lt;="&amp;RepTo,'Visit Log'!$AE$5:$AE$404,"Completed")/60,2))</f>
        <v>0</v>
      </c>
      <c r="AJ130" s="29">
        <f>IF(AG130="","",SUMIFS(Bookings!$AK$5:$AK$404,Bookings!$AL$5:$AL$404,AG130,Bookings!$I$5:$I$404,"&gt;="&amp;RepFrom,Bookings!$I$5:$I$404,"&lt;="&amp;RepTo,Bookings!$AM$5:$AM$404,"&lt;&gt;Cancelled"))</f>
        <v>0</v>
      </c>
      <c r="AK130" s="32">
        <f>IF(AG130="","",SUMIFS(Mileage!$M$5:$M$304,Mileage!$C$5:$C$304,AG130,Mileage!$B$5:$B$304,"&gt;="&amp;RepFrom,Mileage!$B$5:$B$304,"&lt;="&amp;RepTo))</f>
        <v>0</v>
      </c>
      <c r="AL130" s="28">
        <f>IF(Lists!$Q130="","",Lists!$Q130)</f>
        <v>0</v>
      </c>
      <c r="AM130" s="31">
        <f>IF(AL130="","",COUNTIFS(Bookings!$AV$5:$AV$404,AL130,Bookings!$I$5:$I$404,"&gt;="&amp;RepFrom,Bookings!$I$5:$I$404,"&lt;="&amp;RepTo))</f>
        <v>0</v>
      </c>
      <c r="AN130" s="28">
        <f>IF(Lists!$AF130="","",Lists!$AF130)</f>
        <v>0</v>
      </c>
      <c r="AO130" s="29">
        <f>IF(AN130="","",SUMIFS(Payments!$L$5:$L$304,Payments!$F$5:$F$304,AN130,Payments!$B$5:$B$304,"&gt;="&amp;RepFrom,Payments!$B$5:$B$304,"&lt;="&amp;RepTo))</f>
        <v>0</v>
      </c>
      <c r="AP130" s="28">
        <f>IF(Lists!$E130="","",Lists!$E130)</f>
        <v>0</v>
      </c>
      <c r="AQ130" s="31">
        <f>IF(AP130="","",COUNTIFS(Clients!$K$5:$K$254,AP130))</f>
        <v>0</v>
      </c>
      <c r="AR130" s="29">
        <f>IF(AP130="","",SUMIFS(Clients!$AE$5:$AE$254,Clients!$K$5:$K$254,AP130))</f>
        <v>0</v>
      </c>
    </row>
    <row r="131" spans="1:44">
      <c r="A131" s="28">
        <f>IF(Clients!$B$131="","",Clients!$B$131)</f>
        <v>0</v>
      </c>
      <c r="B131" s="29">
        <f>IF(A131="","",SUMIFS(Payments!$L$5:$L$304,Payments!$C$5:$C$304,A131,Payments!$B$5:$B$304,"&gt;="&amp;PeriodStart,Payments!$B$5:$B$304,"&lt;="&amp;PeriodEnd))</f>
        <v>0</v>
      </c>
      <c r="C131" s="51">
        <f>IF(A131="","",IF(B131&lt;=0,"",B131+ROW()/1000000))</f>
        <v>0</v>
      </c>
      <c r="D131" s="29">
        <f>IF(A131="","",SUMIFS(Payments!$L$5:$L$304,Payments!$C$5:$C$304,A131,Payments!$B$5:$B$304,"&gt;="&amp;RepFrom,Payments!$B$5:$B$304,"&lt;="&amp;RepTo))</f>
        <v>0</v>
      </c>
      <c r="E131" s="51">
        <f>IF(A131="","",IF(D131&lt;=0,"",D131+ROW()/1000000))</f>
        <v>0</v>
      </c>
      <c r="F131" s="29">
        <f>IF(A131="","",SUMIFS(Invoices!$S$5:$S$304,Invoices!$D$5:$D$304,A131,Invoices!$T$5:$T$304,"&lt;&gt;Cancelled"))</f>
        <v>0</v>
      </c>
      <c r="G131" s="51">
        <f>IF(A131="","",IF(F131&lt;=0.004,"",F131+ROW()/1000000))</f>
        <v>0</v>
      </c>
      <c r="H131" s="31">
        <f>IF(A131="","",COUNTIFS(Bookings!$C$5:$C$404,A131,Bookings!$I$5:$I$404,"&gt;="&amp;RepFrom,Bookings!$I$5:$I$404,"&lt;="&amp;RepTo,Bookings!$AM$5:$AM$404,"&lt;&gt;Cancelled"))</f>
        <v>0</v>
      </c>
      <c r="I131" s="28">
        <f>IF(Services!$B$131="","",Services!$B$131)</f>
        <v>0</v>
      </c>
      <c r="J131" s="29">
        <f>IF(I131="","",SUMIFS(Bookings!$AK$5:$AK$404,Bookings!$H$5:$H$404,I131,Bookings!$I$5:$I$404,"&gt;="&amp;PeriodStart,Bookings!$I$5:$I$404,"&lt;="&amp;PeriodEnd,Bookings!$AM$5:$AM$404,"&lt;&gt;Cancelled"))</f>
        <v>0</v>
      </c>
      <c r="K131" s="31">
        <f>IF(I131="","",COUNTIFS(Bookings!$H$5:$H$404,I131,Bookings!$I$5:$I$404,"&gt;="&amp;PeriodStart,Bookings!$I$5:$I$404,"&lt;="&amp;PeriodEnd,Bookings!$AM$5:$AM$404,"&lt;&gt;Cancelled"))</f>
        <v>0</v>
      </c>
      <c r="L131" s="29">
        <f>IF(I131="","",SUMIFS(Bookings!$AK$5:$AK$404,Bookings!$H$5:$H$404,I131,Bookings!$I$5:$I$404,"&gt;="&amp;RepFrom,Bookings!$I$5:$I$404,"&lt;="&amp;RepTo,Bookings!$AM$5:$AM$404,"&lt;&gt;Cancelled"))</f>
        <v>0</v>
      </c>
      <c r="M131" s="31">
        <f>IF(I131="","",COUNTIFS(Bookings!$H$5:$H$404,I131,Bookings!$I$5:$I$404,"&gt;="&amp;RepFrom,Bookings!$I$5:$I$404,"&lt;="&amp;RepTo,Bookings!$AM$5:$AM$404,"&lt;&gt;Cancelled"))</f>
        <v>0</v>
      </c>
      <c r="N131" s="29">
        <f>IF(I131="","",M131*IF(Services!$L$131="",0,Services!$L$131))</f>
        <v>0</v>
      </c>
      <c r="O131" s="29">
        <f>IF(I131="","",L131-N131)</f>
        <v>0</v>
      </c>
      <c r="P131" s="28">
        <f>IF(Lists!$AG131="","",Lists!$AG131)</f>
        <v>0</v>
      </c>
      <c r="Q131" s="29">
        <f>IF(P131="","",SUMIFS(Expenses!$F$5:$F$304,Expenses!$C$5:$C$304,P131,Expenses!$B$5:$B$304,"&gt;="&amp;PeriodStart,Expenses!$B$5:$B$304,"&lt;="&amp;PeriodEnd,Expenses!$J$5:$J$304,"&lt;&gt;Personal"))</f>
        <v>0</v>
      </c>
      <c r="R131" s="29">
        <f>IF(P131="","",SUMIFS(Expenses!$F$5:$F$304,Expenses!$C$5:$C$304,P131,Expenses!$B$5:$B$304,"&gt;="&amp;RepFrom,Expenses!$B$5:$B$304,"&lt;="&amp;RepTo,Expenses!$J$5:$J$304,"&lt;&gt;Personal"))</f>
        <v>0</v>
      </c>
      <c r="S131" s="21">
        <f>IF(ROW()-4&gt;12,"",DATE(Dash_Year,ROW()-4,1))</f>
        <v>0</v>
      </c>
      <c r="T131" s="21">
        <f>IF(S131="","",EOMONTH(S131,0))</f>
        <v>0</v>
      </c>
      <c r="U131" s="28">
        <f>IF(S131="","",TEXT(S131,"mmm"))</f>
        <v>0</v>
      </c>
      <c r="V131" s="29">
        <f>IF(S131="","",SUMIFS(Payments!$L$5:$L$304,Payments!$B$5:$B$304,"&gt;="&amp;S131,Payments!$B$5:$B$304,"&lt;="&amp;T131))</f>
        <v>0</v>
      </c>
      <c r="W131" s="29">
        <f>IF(S131="","",SUMIFS(Invoices!$O$5:$O$304,Invoices!$B$5:$B$304,"&gt;="&amp;S131,Invoices!$B$5:$B$304,"&lt;="&amp;T131,Invoices!$T$5:$T$304,"&lt;&gt;Cancelled"))</f>
        <v>0</v>
      </c>
      <c r="X131" s="29">
        <f>IF(S131="","",SUMIFS(Expenses!$F$5:$F$304,Expenses!$B$5:$B$304,"&gt;="&amp;S131,Expenses!$B$5:$B$304,"&lt;="&amp;T131,Expenses!$J$5:$J$304,"&lt;&gt;Personal"))</f>
        <v>0</v>
      </c>
      <c r="Y131" s="29">
        <f>IF(S131="","",V131-X131)</f>
        <v>0</v>
      </c>
      <c r="Z131" s="31">
        <f>IF(S131="","",COUNTIFS(Bookings!$I$5:$I$404,"&gt;="&amp;S131,Bookings!$I$5:$I$404,"&lt;="&amp;T131,Bookings!$AM$5:$AM$404,"&lt;&gt;Cancelled"))</f>
        <v>0</v>
      </c>
      <c r="AA131" s="31">
        <f>IF(S131="","",COUNTIFS(Bookings!$I$5:$I$404,"&gt;="&amp;S131,Bookings!$I$5:$I$404,"&lt;="&amp;T131,Bookings!$AM$5:$AM$404,"Completed"))</f>
        <v>0</v>
      </c>
      <c r="AB131" s="31">
        <f>IF(S131="","",COUNTIFS(Bookings!$I$5:$I$404,"&gt;="&amp;S131,Bookings!$I$5:$I$404,"&lt;="&amp;T131,Bookings!$AM$5:$AM$404,"Cancelled"))</f>
        <v>0</v>
      </c>
      <c r="AC131" s="31">
        <f>IF(S131="","",COUNTIFS('Visit Log'!$C$5:$C$404,"&gt;="&amp;S131,'Visit Log'!$C$5:$C$404,"&lt;="&amp;T131,'Visit Log'!$AE$5:$AE$404,"Completed"))</f>
        <v>0</v>
      </c>
      <c r="AD131" s="31">
        <f>IF(S131="","",COUNTIFS(Clients!$L$5:$L$254,"&gt;="&amp;S131,Clients!$L$5:$L$254,"&lt;="&amp;T131))</f>
        <v>0</v>
      </c>
      <c r="AE131" s="32">
        <f>IF(S131="","",SUMIFS(Mileage!$M$5:$M$304,Mileage!$B$5:$B$304,"&gt;="&amp;S131,Mileage!$B$5:$B$304,"&lt;="&amp;T131,Mileage!$N$5:$N$304,"Business"))</f>
        <v>0</v>
      </c>
      <c r="AF131" s="29">
        <f>IF(S131="","",SUMIFS(Payments!$L$5:$L$304,Payments!$B$5:$B$304,"&gt;="&amp;DATE(Dash_Year-1,ROW()-4,1),Payments!$B$5:$B$304,"&lt;="&amp;EOMONTH(DATE(Dash_Year-1,ROW()-4,1),0)))</f>
        <v>0</v>
      </c>
      <c r="AG131" s="28">
        <f>IF(Staff!$B$131="","",Staff!$B$131)</f>
        <v>0</v>
      </c>
      <c r="AH131" s="31">
        <f>IF(AG131="","",COUNTIFS('Visit Log'!$G$5:$G$404,AG131,'Visit Log'!$C$5:$C$404,"&gt;="&amp;RepFrom,'Visit Log'!$C$5:$C$404,"&lt;="&amp;RepTo,'Visit Log'!$AE$5:$AE$404,"Completed"))</f>
        <v>0</v>
      </c>
      <c r="AI131" s="51">
        <f>IF(AG131="","",ROUND(SUMIFS('Visit Log'!$K$5:$K$404,'Visit Log'!$G$5:$G$404,AG131,'Visit Log'!$C$5:$C$404,"&gt;="&amp;RepFrom,'Visit Log'!$C$5:$C$404,"&lt;="&amp;RepTo,'Visit Log'!$AE$5:$AE$404,"Completed")/60,2))</f>
        <v>0</v>
      </c>
      <c r="AJ131" s="29">
        <f>IF(AG131="","",SUMIFS(Bookings!$AK$5:$AK$404,Bookings!$AL$5:$AL$404,AG131,Bookings!$I$5:$I$404,"&gt;="&amp;RepFrom,Bookings!$I$5:$I$404,"&lt;="&amp;RepTo,Bookings!$AM$5:$AM$404,"&lt;&gt;Cancelled"))</f>
        <v>0</v>
      </c>
      <c r="AK131" s="32">
        <f>IF(AG131="","",SUMIFS(Mileage!$M$5:$M$304,Mileage!$C$5:$C$304,AG131,Mileage!$B$5:$B$304,"&gt;="&amp;RepFrom,Mileage!$B$5:$B$304,"&lt;="&amp;RepTo))</f>
        <v>0</v>
      </c>
      <c r="AL131" s="28">
        <f>IF(Lists!$Q131="","",Lists!$Q131)</f>
        <v>0</v>
      </c>
      <c r="AM131" s="31">
        <f>IF(AL131="","",COUNTIFS(Bookings!$AV$5:$AV$404,AL131,Bookings!$I$5:$I$404,"&gt;="&amp;RepFrom,Bookings!$I$5:$I$404,"&lt;="&amp;RepTo))</f>
        <v>0</v>
      </c>
      <c r="AN131" s="28">
        <f>IF(Lists!$AF131="","",Lists!$AF131)</f>
        <v>0</v>
      </c>
      <c r="AO131" s="29">
        <f>IF(AN131="","",SUMIFS(Payments!$L$5:$L$304,Payments!$F$5:$F$304,AN131,Payments!$B$5:$B$304,"&gt;="&amp;RepFrom,Payments!$B$5:$B$304,"&lt;="&amp;RepTo))</f>
        <v>0</v>
      </c>
      <c r="AP131" s="28">
        <f>IF(Lists!$E131="","",Lists!$E131)</f>
        <v>0</v>
      </c>
      <c r="AQ131" s="31">
        <f>IF(AP131="","",COUNTIFS(Clients!$K$5:$K$254,AP131))</f>
        <v>0</v>
      </c>
      <c r="AR131" s="29">
        <f>IF(AP131="","",SUMIFS(Clients!$AE$5:$AE$254,Clients!$K$5:$K$254,AP131))</f>
        <v>0</v>
      </c>
    </row>
    <row r="132" spans="1:44">
      <c r="A132" s="28">
        <f>IF(Clients!$B$132="","",Clients!$B$132)</f>
        <v>0</v>
      </c>
      <c r="B132" s="29">
        <f>IF(A132="","",SUMIFS(Payments!$L$5:$L$304,Payments!$C$5:$C$304,A132,Payments!$B$5:$B$304,"&gt;="&amp;PeriodStart,Payments!$B$5:$B$304,"&lt;="&amp;PeriodEnd))</f>
        <v>0</v>
      </c>
      <c r="C132" s="51">
        <f>IF(A132="","",IF(B132&lt;=0,"",B132+ROW()/1000000))</f>
        <v>0</v>
      </c>
      <c r="D132" s="29">
        <f>IF(A132="","",SUMIFS(Payments!$L$5:$L$304,Payments!$C$5:$C$304,A132,Payments!$B$5:$B$304,"&gt;="&amp;RepFrom,Payments!$B$5:$B$304,"&lt;="&amp;RepTo))</f>
        <v>0</v>
      </c>
      <c r="E132" s="51">
        <f>IF(A132="","",IF(D132&lt;=0,"",D132+ROW()/1000000))</f>
        <v>0</v>
      </c>
      <c r="F132" s="29">
        <f>IF(A132="","",SUMIFS(Invoices!$S$5:$S$304,Invoices!$D$5:$D$304,A132,Invoices!$T$5:$T$304,"&lt;&gt;Cancelled"))</f>
        <v>0</v>
      </c>
      <c r="G132" s="51">
        <f>IF(A132="","",IF(F132&lt;=0.004,"",F132+ROW()/1000000))</f>
        <v>0</v>
      </c>
      <c r="H132" s="31">
        <f>IF(A132="","",COUNTIFS(Bookings!$C$5:$C$404,A132,Bookings!$I$5:$I$404,"&gt;="&amp;RepFrom,Bookings!$I$5:$I$404,"&lt;="&amp;RepTo,Bookings!$AM$5:$AM$404,"&lt;&gt;Cancelled"))</f>
        <v>0</v>
      </c>
      <c r="I132" s="28">
        <f>IF(Services!$B$132="","",Services!$B$132)</f>
        <v>0</v>
      </c>
      <c r="J132" s="29">
        <f>IF(I132="","",SUMIFS(Bookings!$AK$5:$AK$404,Bookings!$H$5:$H$404,I132,Bookings!$I$5:$I$404,"&gt;="&amp;PeriodStart,Bookings!$I$5:$I$404,"&lt;="&amp;PeriodEnd,Bookings!$AM$5:$AM$404,"&lt;&gt;Cancelled"))</f>
        <v>0</v>
      </c>
      <c r="K132" s="31">
        <f>IF(I132="","",COUNTIFS(Bookings!$H$5:$H$404,I132,Bookings!$I$5:$I$404,"&gt;="&amp;PeriodStart,Bookings!$I$5:$I$404,"&lt;="&amp;PeriodEnd,Bookings!$AM$5:$AM$404,"&lt;&gt;Cancelled"))</f>
        <v>0</v>
      </c>
      <c r="L132" s="29">
        <f>IF(I132="","",SUMIFS(Bookings!$AK$5:$AK$404,Bookings!$H$5:$H$404,I132,Bookings!$I$5:$I$404,"&gt;="&amp;RepFrom,Bookings!$I$5:$I$404,"&lt;="&amp;RepTo,Bookings!$AM$5:$AM$404,"&lt;&gt;Cancelled"))</f>
        <v>0</v>
      </c>
      <c r="M132" s="31">
        <f>IF(I132="","",COUNTIFS(Bookings!$H$5:$H$404,I132,Bookings!$I$5:$I$404,"&gt;="&amp;RepFrom,Bookings!$I$5:$I$404,"&lt;="&amp;RepTo,Bookings!$AM$5:$AM$404,"&lt;&gt;Cancelled"))</f>
        <v>0</v>
      </c>
      <c r="N132" s="29">
        <f>IF(I132="","",M132*IF(Services!$L$132="",0,Services!$L$132))</f>
        <v>0</v>
      </c>
      <c r="O132" s="29">
        <f>IF(I132="","",L132-N132)</f>
        <v>0</v>
      </c>
      <c r="P132" s="28">
        <f>IF(Lists!$AG132="","",Lists!$AG132)</f>
        <v>0</v>
      </c>
      <c r="Q132" s="29">
        <f>IF(P132="","",SUMIFS(Expenses!$F$5:$F$304,Expenses!$C$5:$C$304,P132,Expenses!$B$5:$B$304,"&gt;="&amp;PeriodStart,Expenses!$B$5:$B$304,"&lt;="&amp;PeriodEnd,Expenses!$J$5:$J$304,"&lt;&gt;Personal"))</f>
        <v>0</v>
      </c>
      <c r="R132" s="29">
        <f>IF(P132="","",SUMIFS(Expenses!$F$5:$F$304,Expenses!$C$5:$C$304,P132,Expenses!$B$5:$B$304,"&gt;="&amp;RepFrom,Expenses!$B$5:$B$304,"&lt;="&amp;RepTo,Expenses!$J$5:$J$304,"&lt;&gt;Personal"))</f>
        <v>0</v>
      </c>
      <c r="S132" s="21">
        <f>IF(ROW()-4&gt;12,"",DATE(Dash_Year,ROW()-4,1))</f>
        <v>0</v>
      </c>
      <c r="T132" s="21">
        <f>IF(S132="","",EOMONTH(S132,0))</f>
        <v>0</v>
      </c>
      <c r="U132" s="28">
        <f>IF(S132="","",TEXT(S132,"mmm"))</f>
        <v>0</v>
      </c>
      <c r="V132" s="29">
        <f>IF(S132="","",SUMIFS(Payments!$L$5:$L$304,Payments!$B$5:$B$304,"&gt;="&amp;S132,Payments!$B$5:$B$304,"&lt;="&amp;T132))</f>
        <v>0</v>
      </c>
      <c r="W132" s="29">
        <f>IF(S132="","",SUMIFS(Invoices!$O$5:$O$304,Invoices!$B$5:$B$304,"&gt;="&amp;S132,Invoices!$B$5:$B$304,"&lt;="&amp;T132,Invoices!$T$5:$T$304,"&lt;&gt;Cancelled"))</f>
        <v>0</v>
      </c>
      <c r="X132" s="29">
        <f>IF(S132="","",SUMIFS(Expenses!$F$5:$F$304,Expenses!$B$5:$B$304,"&gt;="&amp;S132,Expenses!$B$5:$B$304,"&lt;="&amp;T132,Expenses!$J$5:$J$304,"&lt;&gt;Personal"))</f>
        <v>0</v>
      </c>
      <c r="Y132" s="29">
        <f>IF(S132="","",V132-X132)</f>
        <v>0</v>
      </c>
      <c r="Z132" s="31">
        <f>IF(S132="","",COUNTIFS(Bookings!$I$5:$I$404,"&gt;="&amp;S132,Bookings!$I$5:$I$404,"&lt;="&amp;T132,Bookings!$AM$5:$AM$404,"&lt;&gt;Cancelled"))</f>
        <v>0</v>
      </c>
      <c r="AA132" s="31">
        <f>IF(S132="","",COUNTIFS(Bookings!$I$5:$I$404,"&gt;="&amp;S132,Bookings!$I$5:$I$404,"&lt;="&amp;T132,Bookings!$AM$5:$AM$404,"Completed"))</f>
        <v>0</v>
      </c>
      <c r="AB132" s="31">
        <f>IF(S132="","",COUNTIFS(Bookings!$I$5:$I$404,"&gt;="&amp;S132,Bookings!$I$5:$I$404,"&lt;="&amp;T132,Bookings!$AM$5:$AM$404,"Cancelled"))</f>
        <v>0</v>
      </c>
      <c r="AC132" s="31">
        <f>IF(S132="","",COUNTIFS('Visit Log'!$C$5:$C$404,"&gt;="&amp;S132,'Visit Log'!$C$5:$C$404,"&lt;="&amp;T132,'Visit Log'!$AE$5:$AE$404,"Completed"))</f>
        <v>0</v>
      </c>
      <c r="AD132" s="31">
        <f>IF(S132="","",COUNTIFS(Clients!$L$5:$L$254,"&gt;="&amp;S132,Clients!$L$5:$L$254,"&lt;="&amp;T132))</f>
        <v>0</v>
      </c>
      <c r="AE132" s="32">
        <f>IF(S132="","",SUMIFS(Mileage!$M$5:$M$304,Mileage!$B$5:$B$304,"&gt;="&amp;S132,Mileage!$B$5:$B$304,"&lt;="&amp;T132,Mileage!$N$5:$N$304,"Business"))</f>
        <v>0</v>
      </c>
      <c r="AF132" s="29">
        <f>IF(S132="","",SUMIFS(Payments!$L$5:$L$304,Payments!$B$5:$B$304,"&gt;="&amp;DATE(Dash_Year-1,ROW()-4,1),Payments!$B$5:$B$304,"&lt;="&amp;EOMONTH(DATE(Dash_Year-1,ROW()-4,1),0)))</f>
        <v>0</v>
      </c>
      <c r="AG132" s="28">
        <f>IF(Staff!$B$132="","",Staff!$B$132)</f>
        <v>0</v>
      </c>
      <c r="AH132" s="31">
        <f>IF(AG132="","",COUNTIFS('Visit Log'!$G$5:$G$404,AG132,'Visit Log'!$C$5:$C$404,"&gt;="&amp;RepFrom,'Visit Log'!$C$5:$C$404,"&lt;="&amp;RepTo,'Visit Log'!$AE$5:$AE$404,"Completed"))</f>
        <v>0</v>
      </c>
      <c r="AI132" s="51">
        <f>IF(AG132="","",ROUND(SUMIFS('Visit Log'!$K$5:$K$404,'Visit Log'!$G$5:$G$404,AG132,'Visit Log'!$C$5:$C$404,"&gt;="&amp;RepFrom,'Visit Log'!$C$5:$C$404,"&lt;="&amp;RepTo,'Visit Log'!$AE$5:$AE$404,"Completed")/60,2))</f>
        <v>0</v>
      </c>
      <c r="AJ132" s="29">
        <f>IF(AG132="","",SUMIFS(Bookings!$AK$5:$AK$404,Bookings!$AL$5:$AL$404,AG132,Bookings!$I$5:$I$404,"&gt;="&amp;RepFrom,Bookings!$I$5:$I$404,"&lt;="&amp;RepTo,Bookings!$AM$5:$AM$404,"&lt;&gt;Cancelled"))</f>
        <v>0</v>
      </c>
      <c r="AK132" s="32">
        <f>IF(AG132="","",SUMIFS(Mileage!$M$5:$M$304,Mileage!$C$5:$C$304,AG132,Mileage!$B$5:$B$304,"&gt;="&amp;RepFrom,Mileage!$B$5:$B$304,"&lt;="&amp;RepTo))</f>
        <v>0</v>
      </c>
      <c r="AL132" s="28">
        <f>IF(Lists!$Q132="","",Lists!$Q132)</f>
        <v>0</v>
      </c>
      <c r="AM132" s="31">
        <f>IF(AL132="","",COUNTIFS(Bookings!$AV$5:$AV$404,AL132,Bookings!$I$5:$I$404,"&gt;="&amp;RepFrom,Bookings!$I$5:$I$404,"&lt;="&amp;RepTo))</f>
        <v>0</v>
      </c>
      <c r="AN132" s="28">
        <f>IF(Lists!$AF132="","",Lists!$AF132)</f>
        <v>0</v>
      </c>
      <c r="AO132" s="29">
        <f>IF(AN132="","",SUMIFS(Payments!$L$5:$L$304,Payments!$F$5:$F$304,AN132,Payments!$B$5:$B$304,"&gt;="&amp;RepFrom,Payments!$B$5:$B$304,"&lt;="&amp;RepTo))</f>
        <v>0</v>
      </c>
      <c r="AP132" s="28">
        <f>IF(Lists!$E132="","",Lists!$E132)</f>
        <v>0</v>
      </c>
      <c r="AQ132" s="31">
        <f>IF(AP132="","",COUNTIFS(Clients!$K$5:$K$254,AP132))</f>
        <v>0</v>
      </c>
      <c r="AR132" s="29">
        <f>IF(AP132="","",SUMIFS(Clients!$AE$5:$AE$254,Clients!$K$5:$K$254,AP132))</f>
        <v>0</v>
      </c>
    </row>
    <row r="133" spans="1:44">
      <c r="A133" s="28">
        <f>IF(Clients!$B$133="","",Clients!$B$133)</f>
        <v>0</v>
      </c>
      <c r="B133" s="29">
        <f>IF(A133="","",SUMIFS(Payments!$L$5:$L$304,Payments!$C$5:$C$304,A133,Payments!$B$5:$B$304,"&gt;="&amp;PeriodStart,Payments!$B$5:$B$304,"&lt;="&amp;PeriodEnd))</f>
        <v>0</v>
      </c>
      <c r="C133" s="51">
        <f>IF(A133="","",IF(B133&lt;=0,"",B133+ROW()/1000000))</f>
        <v>0</v>
      </c>
      <c r="D133" s="29">
        <f>IF(A133="","",SUMIFS(Payments!$L$5:$L$304,Payments!$C$5:$C$304,A133,Payments!$B$5:$B$304,"&gt;="&amp;RepFrom,Payments!$B$5:$B$304,"&lt;="&amp;RepTo))</f>
        <v>0</v>
      </c>
      <c r="E133" s="51">
        <f>IF(A133="","",IF(D133&lt;=0,"",D133+ROW()/1000000))</f>
        <v>0</v>
      </c>
      <c r="F133" s="29">
        <f>IF(A133="","",SUMIFS(Invoices!$S$5:$S$304,Invoices!$D$5:$D$304,A133,Invoices!$T$5:$T$304,"&lt;&gt;Cancelled"))</f>
        <v>0</v>
      </c>
      <c r="G133" s="51">
        <f>IF(A133="","",IF(F133&lt;=0.004,"",F133+ROW()/1000000))</f>
        <v>0</v>
      </c>
      <c r="H133" s="31">
        <f>IF(A133="","",COUNTIFS(Bookings!$C$5:$C$404,A133,Bookings!$I$5:$I$404,"&gt;="&amp;RepFrom,Bookings!$I$5:$I$404,"&lt;="&amp;RepTo,Bookings!$AM$5:$AM$404,"&lt;&gt;Cancelled"))</f>
        <v>0</v>
      </c>
      <c r="I133" s="28">
        <f>IF(Services!$B$133="","",Services!$B$133)</f>
        <v>0</v>
      </c>
      <c r="J133" s="29">
        <f>IF(I133="","",SUMIFS(Bookings!$AK$5:$AK$404,Bookings!$H$5:$H$404,I133,Bookings!$I$5:$I$404,"&gt;="&amp;PeriodStart,Bookings!$I$5:$I$404,"&lt;="&amp;PeriodEnd,Bookings!$AM$5:$AM$404,"&lt;&gt;Cancelled"))</f>
        <v>0</v>
      </c>
      <c r="K133" s="31">
        <f>IF(I133="","",COUNTIFS(Bookings!$H$5:$H$404,I133,Bookings!$I$5:$I$404,"&gt;="&amp;PeriodStart,Bookings!$I$5:$I$404,"&lt;="&amp;PeriodEnd,Bookings!$AM$5:$AM$404,"&lt;&gt;Cancelled"))</f>
        <v>0</v>
      </c>
      <c r="L133" s="29">
        <f>IF(I133="","",SUMIFS(Bookings!$AK$5:$AK$404,Bookings!$H$5:$H$404,I133,Bookings!$I$5:$I$404,"&gt;="&amp;RepFrom,Bookings!$I$5:$I$404,"&lt;="&amp;RepTo,Bookings!$AM$5:$AM$404,"&lt;&gt;Cancelled"))</f>
        <v>0</v>
      </c>
      <c r="M133" s="31">
        <f>IF(I133="","",COUNTIFS(Bookings!$H$5:$H$404,I133,Bookings!$I$5:$I$404,"&gt;="&amp;RepFrom,Bookings!$I$5:$I$404,"&lt;="&amp;RepTo,Bookings!$AM$5:$AM$404,"&lt;&gt;Cancelled"))</f>
        <v>0</v>
      </c>
      <c r="N133" s="29">
        <f>IF(I133="","",M133*IF(Services!$L$133="",0,Services!$L$133))</f>
        <v>0</v>
      </c>
      <c r="O133" s="29">
        <f>IF(I133="","",L133-N133)</f>
        <v>0</v>
      </c>
      <c r="P133" s="28">
        <f>IF(Lists!$AG133="","",Lists!$AG133)</f>
        <v>0</v>
      </c>
      <c r="Q133" s="29">
        <f>IF(P133="","",SUMIFS(Expenses!$F$5:$F$304,Expenses!$C$5:$C$304,P133,Expenses!$B$5:$B$304,"&gt;="&amp;PeriodStart,Expenses!$B$5:$B$304,"&lt;="&amp;PeriodEnd,Expenses!$J$5:$J$304,"&lt;&gt;Personal"))</f>
        <v>0</v>
      </c>
      <c r="R133" s="29">
        <f>IF(P133="","",SUMIFS(Expenses!$F$5:$F$304,Expenses!$C$5:$C$304,P133,Expenses!$B$5:$B$304,"&gt;="&amp;RepFrom,Expenses!$B$5:$B$304,"&lt;="&amp;RepTo,Expenses!$J$5:$J$304,"&lt;&gt;Personal"))</f>
        <v>0</v>
      </c>
      <c r="S133" s="21">
        <f>IF(ROW()-4&gt;12,"",DATE(Dash_Year,ROW()-4,1))</f>
        <v>0</v>
      </c>
      <c r="T133" s="21">
        <f>IF(S133="","",EOMONTH(S133,0))</f>
        <v>0</v>
      </c>
      <c r="U133" s="28">
        <f>IF(S133="","",TEXT(S133,"mmm"))</f>
        <v>0</v>
      </c>
      <c r="V133" s="29">
        <f>IF(S133="","",SUMIFS(Payments!$L$5:$L$304,Payments!$B$5:$B$304,"&gt;="&amp;S133,Payments!$B$5:$B$304,"&lt;="&amp;T133))</f>
        <v>0</v>
      </c>
      <c r="W133" s="29">
        <f>IF(S133="","",SUMIFS(Invoices!$O$5:$O$304,Invoices!$B$5:$B$304,"&gt;="&amp;S133,Invoices!$B$5:$B$304,"&lt;="&amp;T133,Invoices!$T$5:$T$304,"&lt;&gt;Cancelled"))</f>
        <v>0</v>
      </c>
      <c r="X133" s="29">
        <f>IF(S133="","",SUMIFS(Expenses!$F$5:$F$304,Expenses!$B$5:$B$304,"&gt;="&amp;S133,Expenses!$B$5:$B$304,"&lt;="&amp;T133,Expenses!$J$5:$J$304,"&lt;&gt;Personal"))</f>
        <v>0</v>
      </c>
      <c r="Y133" s="29">
        <f>IF(S133="","",V133-X133)</f>
        <v>0</v>
      </c>
      <c r="Z133" s="31">
        <f>IF(S133="","",COUNTIFS(Bookings!$I$5:$I$404,"&gt;="&amp;S133,Bookings!$I$5:$I$404,"&lt;="&amp;T133,Bookings!$AM$5:$AM$404,"&lt;&gt;Cancelled"))</f>
        <v>0</v>
      </c>
      <c r="AA133" s="31">
        <f>IF(S133="","",COUNTIFS(Bookings!$I$5:$I$404,"&gt;="&amp;S133,Bookings!$I$5:$I$404,"&lt;="&amp;T133,Bookings!$AM$5:$AM$404,"Completed"))</f>
        <v>0</v>
      </c>
      <c r="AB133" s="31">
        <f>IF(S133="","",COUNTIFS(Bookings!$I$5:$I$404,"&gt;="&amp;S133,Bookings!$I$5:$I$404,"&lt;="&amp;T133,Bookings!$AM$5:$AM$404,"Cancelled"))</f>
        <v>0</v>
      </c>
      <c r="AC133" s="31">
        <f>IF(S133="","",COUNTIFS('Visit Log'!$C$5:$C$404,"&gt;="&amp;S133,'Visit Log'!$C$5:$C$404,"&lt;="&amp;T133,'Visit Log'!$AE$5:$AE$404,"Completed"))</f>
        <v>0</v>
      </c>
      <c r="AD133" s="31">
        <f>IF(S133="","",COUNTIFS(Clients!$L$5:$L$254,"&gt;="&amp;S133,Clients!$L$5:$L$254,"&lt;="&amp;T133))</f>
        <v>0</v>
      </c>
      <c r="AE133" s="32">
        <f>IF(S133="","",SUMIFS(Mileage!$M$5:$M$304,Mileage!$B$5:$B$304,"&gt;="&amp;S133,Mileage!$B$5:$B$304,"&lt;="&amp;T133,Mileage!$N$5:$N$304,"Business"))</f>
        <v>0</v>
      </c>
      <c r="AF133" s="29">
        <f>IF(S133="","",SUMIFS(Payments!$L$5:$L$304,Payments!$B$5:$B$304,"&gt;="&amp;DATE(Dash_Year-1,ROW()-4,1),Payments!$B$5:$B$304,"&lt;="&amp;EOMONTH(DATE(Dash_Year-1,ROW()-4,1),0)))</f>
        <v>0</v>
      </c>
      <c r="AG133" s="28">
        <f>IF(Staff!$B$133="","",Staff!$B$133)</f>
        <v>0</v>
      </c>
      <c r="AH133" s="31">
        <f>IF(AG133="","",COUNTIFS('Visit Log'!$G$5:$G$404,AG133,'Visit Log'!$C$5:$C$404,"&gt;="&amp;RepFrom,'Visit Log'!$C$5:$C$404,"&lt;="&amp;RepTo,'Visit Log'!$AE$5:$AE$404,"Completed"))</f>
        <v>0</v>
      </c>
      <c r="AI133" s="51">
        <f>IF(AG133="","",ROUND(SUMIFS('Visit Log'!$K$5:$K$404,'Visit Log'!$G$5:$G$404,AG133,'Visit Log'!$C$5:$C$404,"&gt;="&amp;RepFrom,'Visit Log'!$C$5:$C$404,"&lt;="&amp;RepTo,'Visit Log'!$AE$5:$AE$404,"Completed")/60,2))</f>
        <v>0</v>
      </c>
      <c r="AJ133" s="29">
        <f>IF(AG133="","",SUMIFS(Bookings!$AK$5:$AK$404,Bookings!$AL$5:$AL$404,AG133,Bookings!$I$5:$I$404,"&gt;="&amp;RepFrom,Bookings!$I$5:$I$404,"&lt;="&amp;RepTo,Bookings!$AM$5:$AM$404,"&lt;&gt;Cancelled"))</f>
        <v>0</v>
      </c>
      <c r="AK133" s="32">
        <f>IF(AG133="","",SUMIFS(Mileage!$M$5:$M$304,Mileage!$C$5:$C$304,AG133,Mileage!$B$5:$B$304,"&gt;="&amp;RepFrom,Mileage!$B$5:$B$304,"&lt;="&amp;RepTo))</f>
        <v>0</v>
      </c>
      <c r="AL133" s="28">
        <f>IF(Lists!$Q133="","",Lists!$Q133)</f>
        <v>0</v>
      </c>
      <c r="AM133" s="31">
        <f>IF(AL133="","",COUNTIFS(Bookings!$AV$5:$AV$404,AL133,Bookings!$I$5:$I$404,"&gt;="&amp;RepFrom,Bookings!$I$5:$I$404,"&lt;="&amp;RepTo))</f>
        <v>0</v>
      </c>
      <c r="AN133" s="28">
        <f>IF(Lists!$AF133="","",Lists!$AF133)</f>
        <v>0</v>
      </c>
      <c r="AO133" s="29">
        <f>IF(AN133="","",SUMIFS(Payments!$L$5:$L$304,Payments!$F$5:$F$304,AN133,Payments!$B$5:$B$304,"&gt;="&amp;RepFrom,Payments!$B$5:$B$304,"&lt;="&amp;RepTo))</f>
        <v>0</v>
      </c>
      <c r="AP133" s="28">
        <f>IF(Lists!$E133="","",Lists!$E133)</f>
        <v>0</v>
      </c>
      <c r="AQ133" s="31">
        <f>IF(AP133="","",COUNTIFS(Clients!$K$5:$K$254,AP133))</f>
        <v>0</v>
      </c>
      <c r="AR133" s="29">
        <f>IF(AP133="","",SUMIFS(Clients!$AE$5:$AE$254,Clients!$K$5:$K$254,AP133))</f>
        <v>0</v>
      </c>
    </row>
    <row r="134" spans="1:44">
      <c r="A134" s="28">
        <f>IF(Clients!$B$134="","",Clients!$B$134)</f>
        <v>0</v>
      </c>
      <c r="B134" s="29">
        <f>IF(A134="","",SUMIFS(Payments!$L$5:$L$304,Payments!$C$5:$C$304,A134,Payments!$B$5:$B$304,"&gt;="&amp;PeriodStart,Payments!$B$5:$B$304,"&lt;="&amp;PeriodEnd))</f>
        <v>0</v>
      </c>
      <c r="C134" s="51">
        <f>IF(A134="","",IF(B134&lt;=0,"",B134+ROW()/1000000))</f>
        <v>0</v>
      </c>
      <c r="D134" s="29">
        <f>IF(A134="","",SUMIFS(Payments!$L$5:$L$304,Payments!$C$5:$C$304,A134,Payments!$B$5:$B$304,"&gt;="&amp;RepFrom,Payments!$B$5:$B$304,"&lt;="&amp;RepTo))</f>
        <v>0</v>
      </c>
      <c r="E134" s="51">
        <f>IF(A134="","",IF(D134&lt;=0,"",D134+ROW()/1000000))</f>
        <v>0</v>
      </c>
      <c r="F134" s="29">
        <f>IF(A134="","",SUMIFS(Invoices!$S$5:$S$304,Invoices!$D$5:$D$304,A134,Invoices!$T$5:$T$304,"&lt;&gt;Cancelled"))</f>
        <v>0</v>
      </c>
      <c r="G134" s="51">
        <f>IF(A134="","",IF(F134&lt;=0.004,"",F134+ROW()/1000000))</f>
        <v>0</v>
      </c>
      <c r="H134" s="31">
        <f>IF(A134="","",COUNTIFS(Bookings!$C$5:$C$404,A134,Bookings!$I$5:$I$404,"&gt;="&amp;RepFrom,Bookings!$I$5:$I$404,"&lt;="&amp;RepTo,Bookings!$AM$5:$AM$404,"&lt;&gt;Cancelled"))</f>
        <v>0</v>
      </c>
      <c r="I134" s="28">
        <f>IF(Services!$B$134="","",Services!$B$134)</f>
        <v>0</v>
      </c>
      <c r="J134" s="29">
        <f>IF(I134="","",SUMIFS(Bookings!$AK$5:$AK$404,Bookings!$H$5:$H$404,I134,Bookings!$I$5:$I$404,"&gt;="&amp;PeriodStart,Bookings!$I$5:$I$404,"&lt;="&amp;PeriodEnd,Bookings!$AM$5:$AM$404,"&lt;&gt;Cancelled"))</f>
        <v>0</v>
      </c>
      <c r="K134" s="31">
        <f>IF(I134="","",COUNTIFS(Bookings!$H$5:$H$404,I134,Bookings!$I$5:$I$404,"&gt;="&amp;PeriodStart,Bookings!$I$5:$I$404,"&lt;="&amp;PeriodEnd,Bookings!$AM$5:$AM$404,"&lt;&gt;Cancelled"))</f>
        <v>0</v>
      </c>
      <c r="L134" s="29">
        <f>IF(I134="","",SUMIFS(Bookings!$AK$5:$AK$404,Bookings!$H$5:$H$404,I134,Bookings!$I$5:$I$404,"&gt;="&amp;RepFrom,Bookings!$I$5:$I$404,"&lt;="&amp;RepTo,Bookings!$AM$5:$AM$404,"&lt;&gt;Cancelled"))</f>
        <v>0</v>
      </c>
      <c r="M134" s="31">
        <f>IF(I134="","",COUNTIFS(Bookings!$H$5:$H$404,I134,Bookings!$I$5:$I$404,"&gt;="&amp;RepFrom,Bookings!$I$5:$I$404,"&lt;="&amp;RepTo,Bookings!$AM$5:$AM$404,"&lt;&gt;Cancelled"))</f>
        <v>0</v>
      </c>
      <c r="N134" s="29">
        <f>IF(I134="","",M134*IF(Services!$L$134="",0,Services!$L$134))</f>
        <v>0</v>
      </c>
      <c r="O134" s="29">
        <f>IF(I134="","",L134-N134)</f>
        <v>0</v>
      </c>
      <c r="P134" s="28">
        <f>IF(Lists!$AG134="","",Lists!$AG134)</f>
        <v>0</v>
      </c>
      <c r="Q134" s="29">
        <f>IF(P134="","",SUMIFS(Expenses!$F$5:$F$304,Expenses!$C$5:$C$304,P134,Expenses!$B$5:$B$304,"&gt;="&amp;PeriodStart,Expenses!$B$5:$B$304,"&lt;="&amp;PeriodEnd,Expenses!$J$5:$J$304,"&lt;&gt;Personal"))</f>
        <v>0</v>
      </c>
      <c r="R134" s="29">
        <f>IF(P134="","",SUMIFS(Expenses!$F$5:$F$304,Expenses!$C$5:$C$304,P134,Expenses!$B$5:$B$304,"&gt;="&amp;RepFrom,Expenses!$B$5:$B$304,"&lt;="&amp;RepTo,Expenses!$J$5:$J$304,"&lt;&gt;Personal"))</f>
        <v>0</v>
      </c>
      <c r="S134" s="21">
        <f>IF(ROW()-4&gt;12,"",DATE(Dash_Year,ROW()-4,1))</f>
        <v>0</v>
      </c>
      <c r="T134" s="21">
        <f>IF(S134="","",EOMONTH(S134,0))</f>
        <v>0</v>
      </c>
      <c r="U134" s="28">
        <f>IF(S134="","",TEXT(S134,"mmm"))</f>
        <v>0</v>
      </c>
      <c r="V134" s="29">
        <f>IF(S134="","",SUMIFS(Payments!$L$5:$L$304,Payments!$B$5:$B$304,"&gt;="&amp;S134,Payments!$B$5:$B$304,"&lt;="&amp;T134))</f>
        <v>0</v>
      </c>
      <c r="W134" s="29">
        <f>IF(S134="","",SUMIFS(Invoices!$O$5:$O$304,Invoices!$B$5:$B$304,"&gt;="&amp;S134,Invoices!$B$5:$B$304,"&lt;="&amp;T134,Invoices!$T$5:$T$304,"&lt;&gt;Cancelled"))</f>
        <v>0</v>
      </c>
      <c r="X134" s="29">
        <f>IF(S134="","",SUMIFS(Expenses!$F$5:$F$304,Expenses!$B$5:$B$304,"&gt;="&amp;S134,Expenses!$B$5:$B$304,"&lt;="&amp;T134,Expenses!$J$5:$J$304,"&lt;&gt;Personal"))</f>
        <v>0</v>
      </c>
      <c r="Y134" s="29">
        <f>IF(S134="","",V134-X134)</f>
        <v>0</v>
      </c>
      <c r="Z134" s="31">
        <f>IF(S134="","",COUNTIFS(Bookings!$I$5:$I$404,"&gt;="&amp;S134,Bookings!$I$5:$I$404,"&lt;="&amp;T134,Bookings!$AM$5:$AM$404,"&lt;&gt;Cancelled"))</f>
        <v>0</v>
      </c>
      <c r="AA134" s="31">
        <f>IF(S134="","",COUNTIFS(Bookings!$I$5:$I$404,"&gt;="&amp;S134,Bookings!$I$5:$I$404,"&lt;="&amp;T134,Bookings!$AM$5:$AM$404,"Completed"))</f>
        <v>0</v>
      </c>
      <c r="AB134" s="31">
        <f>IF(S134="","",COUNTIFS(Bookings!$I$5:$I$404,"&gt;="&amp;S134,Bookings!$I$5:$I$404,"&lt;="&amp;T134,Bookings!$AM$5:$AM$404,"Cancelled"))</f>
        <v>0</v>
      </c>
      <c r="AC134" s="31">
        <f>IF(S134="","",COUNTIFS('Visit Log'!$C$5:$C$404,"&gt;="&amp;S134,'Visit Log'!$C$5:$C$404,"&lt;="&amp;T134,'Visit Log'!$AE$5:$AE$404,"Completed"))</f>
        <v>0</v>
      </c>
      <c r="AD134" s="31">
        <f>IF(S134="","",COUNTIFS(Clients!$L$5:$L$254,"&gt;="&amp;S134,Clients!$L$5:$L$254,"&lt;="&amp;T134))</f>
        <v>0</v>
      </c>
      <c r="AE134" s="32">
        <f>IF(S134="","",SUMIFS(Mileage!$M$5:$M$304,Mileage!$B$5:$B$304,"&gt;="&amp;S134,Mileage!$B$5:$B$304,"&lt;="&amp;T134,Mileage!$N$5:$N$304,"Business"))</f>
        <v>0</v>
      </c>
      <c r="AF134" s="29">
        <f>IF(S134="","",SUMIFS(Payments!$L$5:$L$304,Payments!$B$5:$B$304,"&gt;="&amp;DATE(Dash_Year-1,ROW()-4,1),Payments!$B$5:$B$304,"&lt;="&amp;EOMONTH(DATE(Dash_Year-1,ROW()-4,1),0)))</f>
        <v>0</v>
      </c>
      <c r="AG134" s="28">
        <f>IF(Staff!$B$134="","",Staff!$B$134)</f>
        <v>0</v>
      </c>
      <c r="AH134" s="31">
        <f>IF(AG134="","",COUNTIFS('Visit Log'!$G$5:$G$404,AG134,'Visit Log'!$C$5:$C$404,"&gt;="&amp;RepFrom,'Visit Log'!$C$5:$C$404,"&lt;="&amp;RepTo,'Visit Log'!$AE$5:$AE$404,"Completed"))</f>
        <v>0</v>
      </c>
      <c r="AI134" s="51">
        <f>IF(AG134="","",ROUND(SUMIFS('Visit Log'!$K$5:$K$404,'Visit Log'!$G$5:$G$404,AG134,'Visit Log'!$C$5:$C$404,"&gt;="&amp;RepFrom,'Visit Log'!$C$5:$C$404,"&lt;="&amp;RepTo,'Visit Log'!$AE$5:$AE$404,"Completed")/60,2))</f>
        <v>0</v>
      </c>
      <c r="AJ134" s="29">
        <f>IF(AG134="","",SUMIFS(Bookings!$AK$5:$AK$404,Bookings!$AL$5:$AL$404,AG134,Bookings!$I$5:$I$404,"&gt;="&amp;RepFrom,Bookings!$I$5:$I$404,"&lt;="&amp;RepTo,Bookings!$AM$5:$AM$404,"&lt;&gt;Cancelled"))</f>
        <v>0</v>
      </c>
      <c r="AK134" s="32">
        <f>IF(AG134="","",SUMIFS(Mileage!$M$5:$M$304,Mileage!$C$5:$C$304,AG134,Mileage!$B$5:$B$304,"&gt;="&amp;RepFrom,Mileage!$B$5:$B$304,"&lt;="&amp;RepTo))</f>
        <v>0</v>
      </c>
      <c r="AL134" s="28">
        <f>IF(Lists!$Q134="","",Lists!$Q134)</f>
        <v>0</v>
      </c>
      <c r="AM134" s="31">
        <f>IF(AL134="","",COUNTIFS(Bookings!$AV$5:$AV$404,AL134,Bookings!$I$5:$I$404,"&gt;="&amp;RepFrom,Bookings!$I$5:$I$404,"&lt;="&amp;RepTo))</f>
        <v>0</v>
      </c>
      <c r="AN134" s="28">
        <f>IF(Lists!$AF134="","",Lists!$AF134)</f>
        <v>0</v>
      </c>
      <c r="AO134" s="29">
        <f>IF(AN134="","",SUMIFS(Payments!$L$5:$L$304,Payments!$F$5:$F$304,AN134,Payments!$B$5:$B$304,"&gt;="&amp;RepFrom,Payments!$B$5:$B$304,"&lt;="&amp;RepTo))</f>
        <v>0</v>
      </c>
      <c r="AP134" s="28">
        <f>IF(Lists!$E134="","",Lists!$E134)</f>
        <v>0</v>
      </c>
      <c r="AQ134" s="31">
        <f>IF(AP134="","",COUNTIFS(Clients!$K$5:$K$254,AP134))</f>
        <v>0</v>
      </c>
      <c r="AR134" s="29">
        <f>IF(AP134="","",SUMIFS(Clients!$AE$5:$AE$254,Clients!$K$5:$K$254,AP134))</f>
        <v>0</v>
      </c>
    </row>
    <row r="135" spans="1:44">
      <c r="A135" s="28">
        <f>IF(Clients!$B$135="","",Clients!$B$135)</f>
        <v>0</v>
      </c>
      <c r="B135" s="29">
        <f>IF(A135="","",SUMIFS(Payments!$L$5:$L$304,Payments!$C$5:$C$304,A135,Payments!$B$5:$B$304,"&gt;="&amp;PeriodStart,Payments!$B$5:$B$304,"&lt;="&amp;PeriodEnd))</f>
        <v>0</v>
      </c>
      <c r="C135" s="51">
        <f>IF(A135="","",IF(B135&lt;=0,"",B135+ROW()/1000000))</f>
        <v>0</v>
      </c>
      <c r="D135" s="29">
        <f>IF(A135="","",SUMIFS(Payments!$L$5:$L$304,Payments!$C$5:$C$304,A135,Payments!$B$5:$B$304,"&gt;="&amp;RepFrom,Payments!$B$5:$B$304,"&lt;="&amp;RepTo))</f>
        <v>0</v>
      </c>
      <c r="E135" s="51">
        <f>IF(A135="","",IF(D135&lt;=0,"",D135+ROW()/1000000))</f>
        <v>0</v>
      </c>
      <c r="F135" s="29">
        <f>IF(A135="","",SUMIFS(Invoices!$S$5:$S$304,Invoices!$D$5:$D$304,A135,Invoices!$T$5:$T$304,"&lt;&gt;Cancelled"))</f>
        <v>0</v>
      </c>
      <c r="G135" s="51">
        <f>IF(A135="","",IF(F135&lt;=0.004,"",F135+ROW()/1000000))</f>
        <v>0</v>
      </c>
      <c r="H135" s="31">
        <f>IF(A135="","",COUNTIFS(Bookings!$C$5:$C$404,A135,Bookings!$I$5:$I$404,"&gt;="&amp;RepFrom,Bookings!$I$5:$I$404,"&lt;="&amp;RepTo,Bookings!$AM$5:$AM$404,"&lt;&gt;Cancelled"))</f>
        <v>0</v>
      </c>
      <c r="I135" s="28">
        <f>IF(Services!$B$135="","",Services!$B$135)</f>
        <v>0</v>
      </c>
      <c r="J135" s="29">
        <f>IF(I135="","",SUMIFS(Bookings!$AK$5:$AK$404,Bookings!$H$5:$H$404,I135,Bookings!$I$5:$I$404,"&gt;="&amp;PeriodStart,Bookings!$I$5:$I$404,"&lt;="&amp;PeriodEnd,Bookings!$AM$5:$AM$404,"&lt;&gt;Cancelled"))</f>
        <v>0</v>
      </c>
      <c r="K135" s="31">
        <f>IF(I135="","",COUNTIFS(Bookings!$H$5:$H$404,I135,Bookings!$I$5:$I$404,"&gt;="&amp;PeriodStart,Bookings!$I$5:$I$404,"&lt;="&amp;PeriodEnd,Bookings!$AM$5:$AM$404,"&lt;&gt;Cancelled"))</f>
        <v>0</v>
      </c>
      <c r="L135" s="29">
        <f>IF(I135="","",SUMIFS(Bookings!$AK$5:$AK$404,Bookings!$H$5:$H$404,I135,Bookings!$I$5:$I$404,"&gt;="&amp;RepFrom,Bookings!$I$5:$I$404,"&lt;="&amp;RepTo,Bookings!$AM$5:$AM$404,"&lt;&gt;Cancelled"))</f>
        <v>0</v>
      </c>
      <c r="M135" s="31">
        <f>IF(I135="","",COUNTIFS(Bookings!$H$5:$H$404,I135,Bookings!$I$5:$I$404,"&gt;="&amp;RepFrom,Bookings!$I$5:$I$404,"&lt;="&amp;RepTo,Bookings!$AM$5:$AM$404,"&lt;&gt;Cancelled"))</f>
        <v>0</v>
      </c>
      <c r="N135" s="29">
        <f>IF(I135="","",M135*IF(Services!$L$135="",0,Services!$L$135))</f>
        <v>0</v>
      </c>
      <c r="O135" s="29">
        <f>IF(I135="","",L135-N135)</f>
        <v>0</v>
      </c>
      <c r="P135" s="28">
        <f>IF(Lists!$AG135="","",Lists!$AG135)</f>
        <v>0</v>
      </c>
      <c r="Q135" s="29">
        <f>IF(P135="","",SUMIFS(Expenses!$F$5:$F$304,Expenses!$C$5:$C$304,P135,Expenses!$B$5:$B$304,"&gt;="&amp;PeriodStart,Expenses!$B$5:$B$304,"&lt;="&amp;PeriodEnd,Expenses!$J$5:$J$304,"&lt;&gt;Personal"))</f>
        <v>0</v>
      </c>
      <c r="R135" s="29">
        <f>IF(P135="","",SUMIFS(Expenses!$F$5:$F$304,Expenses!$C$5:$C$304,P135,Expenses!$B$5:$B$304,"&gt;="&amp;RepFrom,Expenses!$B$5:$B$304,"&lt;="&amp;RepTo,Expenses!$J$5:$J$304,"&lt;&gt;Personal"))</f>
        <v>0</v>
      </c>
      <c r="S135" s="21">
        <f>IF(ROW()-4&gt;12,"",DATE(Dash_Year,ROW()-4,1))</f>
        <v>0</v>
      </c>
      <c r="T135" s="21">
        <f>IF(S135="","",EOMONTH(S135,0))</f>
        <v>0</v>
      </c>
      <c r="U135" s="28">
        <f>IF(S135="","",TEXT(S135,"mmm"))</f>
        <v>0</v>
      </c>
      <c r="V135" s="29">
        <f>IF(S135="","",SUMIFS(Payments!$L$5:$L$304,Payments!$B$5:$B$304,"&gt;="&amp;S135,Payments!$B$5:$B$304,"&lt;="&amp;T135))</f>
        <v>0</v>
      </c>
      <c r="W135" s="29">
        <f>IF(S135="","",SUMIFS(Invoices!$O$5:$O$304,Invoices!$B$5:$B$304,"&gt;="&amp;S135,Invoices!$B$5:$B$304,"&lt;="&amp;T135,Invoices!$T$5:$T$304,"&lt;&gt;Cancelled"))</f>
        <v>0</v>
      </c>
      <c r="X135" s="29">
        <f>IF(S135="","",SUMIFS(Expenses!$F$5:$F$304,Expenses!$B$5:$B$304,"&gt;="&amp;S135,Expenses!$B$5:$B$304,"&lt;="&amp;T135,Expenses!$J$5:$J$304,"&lt;&gt;Personal"))</f>
        <v>0</v>
      </c>
      <c r="Y135" s="29">
        <f>IF(S135="","",V135-X135)</f>
        <v>0</v>
      </c>
      <c r="Z135" s="31">
        <f>IF(S135="","",COUNTIFS(Bookings!$I$5:$I$404,"&gt;="&amp;S135,Bookings!$I$5:$I$404,"&lt;="&amp;T135,Bookings!$AM$5:$AM$404,"&lt;&gt;Cancelled"))</f>
        <v>0</v>
      </c>
      <c r="AA135" s="31">
        <f>IF(S135="","",COUNTIFS(Bookings!$I$5:$I$404,"&gt;="&amp;S135,Bookings!$I$5:$I$404,"&lt;="&amp;T135,Bookings!$AM$5:$AM$404,"Completed"))</f>
        <v>0</v>
      </c>
      <c r="AB135" s="31">
        <f>IF(S135="","",COUNTIFS(Bookings!$I$5:$I$404,"&gt;="&amp;S135,Bookings!$I$5:$I$404,"&lt;="&amp;T135,Bookings!$AM$5:$AM$404,"Cancelled"))</f>
        <v>0</v>
      </c>
      <c r="AC135" s="31">
        <f>IF(S135="","",COUNTIFS('Visit Log'!$C$5:$C$404,"&gt;="&amp;S135,'Visit Log'!$C$5:$C$404,"&lt;="&amp;T135,'Visit Log'!$AE$5:$AE$404,"Completed"))</f>
        <v>0</v>
      </c>
      <c r="AD135" s="31">
        <f>IF(S135="","",COUNTIFS(Clients!$L$5:$L$254,"&gt;="&amp;S135,Clients!$L$5:$L$254,"&lt;="&amp;T135))</f>
        <v>0</v>
      </c>
      <c r="AE135" s="32">
        <f>IF(S135="","",SUMIFS(Mileage!$M$5:$M$304,Mileage!$B$5:$B$304,"&gt;="&amp;S135,Mileage!$B$5:$B$304,"&lt;="&amp;T135,Mileage!$N$5:$N$304,"Business"))</f>
        <v>0</v>
      </c>
      <c r="AF135" s="29">
        <f>IF(S135="","",SUMIFS(Payments!$L$5:$L$304,Payments!$B$5:$B$304,"&gt;="&amp;DATE(Dash_Year-1,ROW()-4,1),Payments!$B$5:$B$304,"&lt;="&amp;EOMONTH(DATE(Dash_Year-1,ROW()-4,1),0)))</f>
        <v>0</v>
      </c>
      <c r="AG135" s="28">
        <f>IF(Staff!$B$135="","",Staff!$B$135)</f>
        <v>0</v>
      </c>
      <c r="AH135" s="31">
        <f>IF(AG135="","",COUNTIFS('Visit Log'!$G$5:$G$404,AG135,'Visit Log'!$C$5:$C$404,"&gt;="&amp;RepFrom,'Visit Log'!$C$5:$C$404,"&lt;="&amp;RepTo,'Visit Log'!$AE$5:$AE$404,"Completed"))</f>
        <v>0</v>
      </c>
      <c r="AI135" s="51">
        <f>IF(AG135="","",ROUND(SUMIFS('Visit Log'!$K$5:$K$404,'Visit Log'!$G$5:$G$404,AG135,'Visit Log'!$C$5:$C$404,"&gt;="&amp;RepFrom,'Visit Log'!$C$5:$C$404,"&lt;="&amp;RepTo,'Visit Log'!$AE$5:$AE$404,"Completed")/60,2))</f>
        <v>0</v>
      </c>
      <c r="AJ135" s="29">
        <f>IF(AG135="","",SUMIFS(Bookings!$AK$5:$AK$404,Bookings!$AL$5:$AL$404,AG135,Bookings!$I$5:$I$404,"&gt;="&amp;RepFrom,Bookings!$I$5:$I$404,"&lt;="&amp;RepTo,Bookings!$AM$5:$AM$404,"&lt;&gt;Cancelled"))</f>
        <v>0</v>
      </c>
      <c r="AK135" s="32">
        <f>IF(AG135="","",SUMIFS(Mileage!$M$5:$M$304,Mileage!$C$5:$C$304,AG135,Mileage!$B$5:$B$304,"&gt;="&amp;RepFrom,Mileage!$B$5:$B$304,"&lt;="&amp;RepTo))</f>
        <v>0</v>
      </c>
      <c r="AL135" s="28">
        <f>IF(Lists!$Q135="","",Lists!$Q135)</f>
        <v>0</v>
      </c>
      <c r="AM135" s="31">
        <f>IF(AL135="","",COUNTIFS(Bookings!$AV$5:$AV$404,AL135,Bookings!$I$5:$I$404,"&gt;="&amp;RepFrom,Bookings!$I$5:$I$404,"&lt;="&amp;RepTo))</f>
        <v>0</v>
      </c>
      <c r="AN135" s="28">
        <f>IF(Lists!$AF135="","",Lists!$AF135)</f>
        <v>0</v>
      </c>
      <c r="AO135" s="29">
        <f>IF(AN135="","",SUMIFS(Payments!$L$5:$L$304,Payments!$F$5:$F$304,AN135,Payments!$B$5:$B$304,"&gt;="&amp;RepFrom,Payments!$B$5:$B$304,"&lt;="&amp;RepTo))</f>
        <v>0</v>
      </c>
      <c r="AP135" s="28">
        <f>IF(Lists!$E135="","",Lists!$E135)</f>
        <v>0</v>
      </c>
      <c r="AQ135" s="31">
        <f>IF(AP135="","",COUNTIFS(Clients!$K$5:$K$254,AP135))</f>
        <v>0</v>
      </c>
      <c r="AR135" s="29">
        <f>IF(AP135="","",SUMIFS(Clients!$AE$5:$AE$254,Clients!$K$5:$K$254,AP135))</f>
        <v>0</v>
      </c>
    </row>
    <row r="136" spans="1:44">
      <c r="A136" s="28">
        <f>IF(Clients!$B$136="","",Clients!$B$136)</f>
        <v>0</v>
      </c>
      <c r="B136" s="29">
        <f>IF(A136="","",SUMIFS(Payments!$L$5:$L$304,Payments!$C$5:$C$304,A136,Payments!$B$5:$B$304,"&gt;="&amp;PeriodStart,Payments!$B$5:$B$304,"&lt;="&amp;PeriodEnd))</f>
        <v>0</v>
      </c>
      <c r="C136" s="51">
        <f>IF(A136="","",IF(B136&lt;=0,"",B136+ROW()/1000000))</f>
        <v>0</v>
      </c>
      <c r="D136" s="29">
        <f>IF(A136="","",SUMIFS(Payments!$L$5:$L$304,Payments!$C$5:$C$304,A136,Payments!$B$5:$B$304,"&gt;="&amp;RepFrom,Payments!$B$5:$B$304,"&lt;="&amp;RepTo))</f>
        <v>0</v>
      </c>
      <c r="E136" s="51">
        <f>IF(A136="","",IF(D136&lt;=0,"",D136+ROW()/1000000))</f>
        <v>0</v>
      </c>
      <c r="F136" s="29">
        <f>IF(A136="","",SUMIFS(Invoices!$S$5:$S$304,Invoices!$D$5:$D$304,A136,Invoices!$T$5:$T$304,"&lt;&gt;Cancelled"))</f>
        <v>0</v>
      </c>
      <c r="G136" s="51">
        <f>IF(A136="","",IF(F136&lt;=0.004,"",F136+ROW()/1000000))</f>
        <v>0</v>
      </c>
      <c r="H136" s="31">
        <f>IF(A136="","",COUNTIFS(Bookings!$C$5:$C$404,A136,Bookings!$I$5:$I$404,"&gt;="&amp;RepFrom,Bookings!$I$5:$I$404,"&lt;="&amp;RepTo,Bookings!$AM$5:$AM$404,"&lt;&gt;Cancelled"))</f>
        <v>0</v>
      </c>
      <c r="I136" s="28">
        <f>IF(Services!$B$136="","",Services!$B$136)</f>
        <v>0</v>
      </c>
      <c r="J136" s="29">
        <f>IF(I136="","",SUMIFS(Bookings!$AK$5:$AK$404,Bookings!$H$5:$H$404,I136,Bookings!$I$5:$I$404,"&gt;="&amp;PeriodStart,Bookings!$I$5:$I$404,"&lt;="&amp;PeriodEnd,Bookings!$AM$5:$AM$404,"&lt;&gt;Cancelled"))</f>
        <v>0</v>
      </c>
      <c r="K136" s="31">
        <f>IF(I136="","",COUNTIFS(Bookings!$H$5:$H$404,I136,Bookings!$I$5:$I$404,"&gt;="&amp;PeriodStart,Bookings!$I$5:$I$404,"&lt;="&amp;PeriodEnd,Bookings!$AM$5:$AM$404,"&lt;&gt;Cancelled"))</f>
        <v>0</v>
      </c>
      <c r="L136" s="29">
        <f>IF(I136="","",SUMIFS(Bookings!$AK$5:$AK$404,Bookings!$H$5:$H$404,I136,Bookings!$I$5:$I$404,"&gt;="&amp;RepFrom,Bookings!$I$5:$I$404,"&lt;="&amp;RepTo,Bookings!$AM$5:$AM$404,"&lt;&gt;Cancelled"))</f>
        <v>0</v>
      </c>
      <c r="M136" s="31">
        <f>IF(I136="","",COUNTIFS(Bookings!$H$5:$H$404,I136,Bookings!$I$5:$I$404,"&gt;="&amp;RepFrom,Bookings!$I$5:$I$404,"&lt;="&amp;RepTo,Bookings!$AM$5:$AM$404,"&lt;&gt;Cancelled"))</f>
        <v>0</v>
      </c>
      <c r="N136" s="29">
        <f>IF(I136="","",M136*IF(Services!$L$136="",0,Services!$L$136))</f>
        <v>0</v>
      </c>
      <c r="O136" s="29">
        <f>IF(I136="","",L136-N136)</f>
        <v>0</v>
      </c>
      <c r="P136" s="28">
        <f>IF(Lists!$AG136="","",Lists!$AG136)</f>
        <v>0</v>
      </c>
      <c r="Q136" s="29">
        <f>IF(P136="","",SUMIFS(Expenses!$F$5:$F$304,Expenses!$C$5:$C$304,P136,Expenses!$B$5:$B$304,"&gt;="&amp;PeriodStart,Expenses!$B$5:$B$304,"&lt;="&amp;PeriodEnd,Expenses!$J$5:$J$304,"&lt;&gt;Personal"))</f>
        <v>0</v>
      </c>
      <c r="R136" s="29">
        <f>IF(P136="","",SUMIFS(Expenses!$F$5:$F$304,Expenses!$C$5:$C$304,P136,Expenses!$B$5:$B$304,"&gt;="&amp;RepFrom,Expenses!$B$5:$B$304,"&lt;="&amp;RepTo,Expenses!$J$5:$J$304,"&lt;&gt;Personal"))</f>
        <v>0</v>
      </c>
      <c r="S136" s="21">
        <f>IF(ROW()-4&gt;12,"",DATE(Dash_Year,ROW()-4,1))</f>
        <v>0</v>
      </c>
      <c r="T136" s="21">
        <f>IF(S136="","",EOMONTH(S136,0))</f>
        <v>0</v>
      </c>
      <c r="U136" s="28">
        <f>IF(S136="","",TEXT(S136,"mmm"))</f>
        <v>0</v>
      </c>
      <c r="V136" s="29">
        <f>IF(S136="","",SUMIFS(Payments!$L$5:$L$304,Payments!$B$5:$B$304,"&gt;="&amp;S136,Payments!$B$5:$B$304,"&lt;="&amp;T136))</f>
        <v>0</v>
      </c>
      <c r="W136" s="29">
        <f>IF(S136="","",SUMIFS(Invoices!$O$5:$O$304,Invoices!$B$5:$B$304,"&gt;="&amp;S136,Invoices!$B$5:$B$304,"&lt;="&amp;T136,Invoices!$T$5:$T$304,"&lt;&gt;Cancelled"))</f>
        <v>0</v>
      </c>
      <c r="X136" s="29">
        <f>IF(S136="","",SUMIFS(Expenses!$F$5:$F$304,Expenses!$B$5:$B$304,"&gt;="&amp;S136,Expenses!$B$5:$B$304,"&lt;="&amp;T136,Expenses!$J$5:$J$304,"&lt;&gt;Personal"))</f>
        <v>0</v>
      </c>
      <c r="Y136" s="29">
        <f>IF(S136="","",V136-X136)</f>
        <v>0</v>
      </c>
      <c r="Z136" s="31">
        <f>IF(S136="","",COUNTIFS(Bookings!$I$5:$I$404,"&gt;="&amp;S136,Bookings!$I$5:$I$404,"&lt;="&amp;T136,Bookings!$AM$5:$AM$404,"&lt;&gt;Cancelled"))</f>
        <v>0</v>
      </c>
      <c r="AA136" s="31">
        <f>IF(S136="","",COUNTIFS(Bookings!$I$5:$I$404,"&gt;="&amp;S136,Bookings!$I$5:$I$404,"&lt;="&amp;T136,Bookings!$AM$5:$AM$404,"Completed"))</f>
        <v>0</v>
      </c>
      <c r="AB136" s="31">
        <f>IF(S136="","",COUNTIFS(Bookings!$I$5:$I$404,"&gt;="&amp;S136,Bookings!$I$5:$I$404,"&lt;="&amp;T136,Bookings!$AM$5:$AM$404,"Cancelled"))</f>
        <v>0</v>
      </c>
      <c r="AC136" s="31">
        <f>IF(S136="","",COUNTIFS('Visit Log'!$C$5:$C$404,"&gt;="&amp;S136,'Visit Log'!$C$5:$C$404,"&lt;="&amp;T136,'Visit Log'!$AE$5:$AE$404,"Completed"))</f>
        <v>0</v>
      </c>
      <c r="AD136" s="31">
        <f>IF(S136="","",COUNTIFS(Clients!$L$5:$L$254,"&gt;="&amp;S136,Clients!$L$5:$L$254,"&lt;="&amp;T136))</f>
        <v>0</v>
      </c>
      <c r="AE136" s="32">
        <f>IF(S136="","",SUMIFS(Mileage!$M$5:$M$304,Mileage!$B$5:$B$304,"&gt;="&amp;S136,Mileage!$B$5:$B$304,"&lt;="&amp;T136,Mileage!$N$5:$N$304,"Business"))</f>
        <v>0</v>
      </c>
      <c r="AF136" s="29">
        <f>IF(S136="","",SUMIFS(Payments!$L$5:$L$304,Payments!$B$5:$B$304,"&gt;="&amp;DATE(Dash_Year-1,ROW()-4,1),Payments!$B$5:$B$304,"&lt;="&amp;EOMONTH(DATE(Dash_Year-1,ROW()-4,1),0)))</f>
        <v>0</v>
      </c>
      <c r="AG136" s="28">
        <f>IF(Staff!$B$136="","",Staff!$B$136)</f>
        <v>0</v>
      </c>
      <c r="AH136" s="31">
        <f>IF(AG136="","",COUNTIFS('Visit Log'!$G$5:$G$404,AG136,'Visit Log'!$C$5:$C$404,"&gt;="&amp;RepFrom,'Visit Log'!$C$5:$C$404,"&lt;="&amp;RepTo,'Visit Log'!$AE$5:$AE$404,"Completed"))</f>
        <v>0</v>
      </c>
      <c r="AI136" s="51">
        <f>IF(AG136="","",ROUND(SUMIFS('Visit Log'!$K$5:$K$404,'Visit Log'!$G$5:$G$404,AG136,'Visit Log'!$C$5:$C$404,"&gt;="&amp;RepFrom,'Visit Log'!$C$5:$C$404,"&lt;="&amp;RepTo,'Visit Log'!$AE$5:$AE$404,"Completed")/60,2))</f>
        <v>0</v>
      </c>
      <c r="AJ136" s="29">
        <f>IF(AG136="","",SUMIFS(Bookings!$AK$5:$AK$404,Bookings!$AL$5:$AL$404,AG136,Bookings!$I$5:$I$404,"&gt;="&amp;RepFrom,Bookings!$I$5:$I$404,"&lt;="&amp;RepTo,Bookings!$AM$5:$AM$404,"&lt;&gt;Cancelled"))</f>
        <v>0</v>
      </c>
      <c r="AK136" s="32">
        <f>IF(AG136="","",SUMIFS(Mileage!$M$5:$M$304,Mileage!$C$5:$C$304,AG136,Mileage!$B$5:$B$304,"&gt;="&amp;RepFrom,Mileage!$B$5:$B$304,"&lt;="&amp;RepTo))</f>
        <v>0</v>
      </c>
      <c r="AL136" s="28">
        <f>IF(Lists!$Q136="","",Lists!$Q136)</f>
        <v>0</v>
      </c>
      <c r="AM136" s="31">
        <f>IF(AL136="","",COUNTIFS(Bookings!$AV$5:$AV$404,AL136,Bookings!$I$5:$I$404,"&gt;="&amp;RepFrom,Bookings!$I$5:$I$404,"&lt;="&amp;RepTo))</f>
        <v>0</v>
      </c>
      <c r="AN136" s="28">
        <f>IF(Lists!$AF136="","",Lists!$AF136)</f>
        <v>0</v>
      </c>
      <c r="AO136" s="29">
        <f>IF(AN136="","",SUMIFS(Payments!$L$5:$L$304,Payments!$F$5:$F$304,AN136,Payments!$B$5:$B$304,"&gt;="&amp;RepFrom,Payments!$B$5:$B$304,"&lt;="&amp;RepTo))</f>
        <v>0</v>
      </c>
      <c r="AP136" s="28">
        <f>IF(Lists!$E136="","",Lists!$E136)</f>
        <v>0</v>
      </c>
      <c r="AQ136" s="31">
        <f>IF(AP136="","",COUNTIFS(Clients!$K$5:$K$254,AP136))</f>
        <v>0</v>
      </c>
      <c r="AR136" s="29">
        <f>IF(AP136="","",SUMIFS(Clients!$AE$5:$AE$254,Clients!$K$5:$K$254,AP136))</f>
        <v>0</v>
      </c>
    </row>
    <row r="137" spans="1:44">
      <c r="A137" s="28">
        <f>IF(Clients!$B$137="","",Clients!$B$137)</f>
        <v>0</v>
      </c>
      <c r="B137" s="29">
        <f>IF(A137="","",SUMIFS(Payments!$L$5:$L$304,Payments!$C$5:$C$304,A137,Payments!$B$5:$B$304,"&gt;="&amp;PeriodStart,Payments!$B$5:$B$304,"&lt;="&amp;PeriodEnd))</f>
        <v>0</v>
      </c>
      <c r="C137" s="51">
        <f>IF(A137="","",IF(B137&lt;=0,"",B137+ROW()/1000000))</f>
        <v>0</v>
      </c>
      <c r="D137" s="29">
        <f>IF(A137="","",SUMIFS(Payments!$L$5:$L$304,Payments!$C$5:$C$304,A137,Payments!$B$5:$B$304,"&gt;="&amp;RepFrom,Payments!$B$5:$B$304,"&lt;="&amp;RepTo))</f>
        <v>0</v>
      </c>
      <c r="E137" s="51">
        <f>IF(A137="","",IF(D137&lt;=0,"",D137+ROW()/1000000))</f>
        <v>0</v>
      </c>
      <c r="F137" s="29">
        <f>IF(A137="","",SUMIFS(Invoices!$S$5:$S$304,Invoices!$D$5:$D$304,A137,Invoices!$T$5:$T$304,"&lt;&gt;Cancelled"))</f>
        <v>0</v>
      </c>
      <c r="G137" s="51">
        <f>IF(A137="","",IF(F137&lt;=0.004,"",F137+ROW()/1000000))</f>
        <v>0</v>
      </c>
      <c r="H137" s="31">
        <f>IF(A137="","",COUNTIFS(Bookings!$C$5:$C$404,A137,Bookings!$I$5:$I$404,"&gt;="&amp;RepFrom,Bookings!$I$5:$I$404,"&lt;="&amp;RepTo,Bookings!$AM$5:$AM$404,"&lt;&gt;Cancelled"))</f>
        <v>0</v>
      </c>
      <c r="I137" s="28">
        <f>IF(Services!$B$137="","",Services!$B$137)</f>
        <v>0</v>
      </c>
      <c r="J137" s="29">
        <f>IF(I137="","",SUMIFS(Bookings!$AK$5:$AK$404,Bookings!$H$5:$H$404,I137,Bookings!$I$5:$I$404,"&gt;="&amp;PeriodStart,Bookings!$I$5:$I$404,"&lt;="&amp;PeriodEnd,Bookings!$AM$5:$AM$404,"&lt;&gt;Cancelled"))</f>
        <v>0</v>
      </c>
      <c r="K137" s="31">
        <f>IF(I137="","",COUNTIFS(Bookings!$H$5:$H$404,I137,Bookings!$I$5:$I$404,"&gt;="&amp;PeriodStart,Bookings!$I$5:$I$404,"&lt;="&amp;PeriodEnd,Bookings!$AM$5:$AM$404,"&lt;&gt;Cancelled"))</f>
        <v>0</v>
      </c>
      <c r="L137" s="29">
        <f>IF(I137="","",SUMIFS(Bookings!$AK$5:$AK$404,Bookings!$H$5:$H$404,I137,Bookings!$I$5:$I$404,"&gt;="&amp;RepFrom,Bookings!$I$5:$I$404,"&lt;="&amp;RepTo,Bookings!$AM$5:$AM$404,"&lt;&gt;Cancelled"))</f>
        <v>0</v>
      </c>
      <c r="M137" s="31">
        <f>IF(I137="","",COUNTIFS(Bookings!$H$5:$H$404,I137,Bookings!$I$5:$I$404,"&gt;="&amp;RepFrom,Bookings!$I$5:$I$404,"&lt;="&amp;RepTo,Bookings!$AM$5:$AM$404,"&lt;&gt;Cancelled"))</f>
        <v>0</v>
      </c>
      <c r="N137" s="29">
        <f>IF(I137="","",M137*IF(Services!$L$137="",0,Services!$L$137))</f>
        <v>0</v>
      </c>
      <c r="O137" s="29">
        <f>IF(I137="","",L137-N137)</f>
        <v>0</v>
      </c>
      <c r="P137" s="28">
        <f>IF(Lists!$AG137="","",Lists!$AG137)</f>
        <v>0</v>
      </c>
      <c r="Q137" s="29">
        <f>IF(P137="","",SUMIFS(Expenses!$F$5:$F$304,Expenses!$C$5:$C$304,P137,Expenses!$B$5:$B$304,"&gt;="&amp;PeriodStart,Expenses!$B$5:$B$304,"&lt;="&amp;PeriodEnd,Expenses!$J$5:$J$304,"&lt;&gt;Personal"))</f>
        <v>0</v>
      </c>
      <c r="R137" s="29">
        <f>IF(P137="","",SUMIFS(Expenses!$F$5:$F$304,Expenses!$C$5:$C$304,P137,Expenses!$B$5:$B$304,"&gt;="&amp;RepFrom,Expenses!$B$5:$B$304,"&lt;="&amp;RepTo,Expenses!$J$5:$J$304,"&lt;&gt;Personal"))</f>
        <v>0</v>
      </c>
      <c r="S137" s="21">
        <f>IF(ROW()-4&gt;12,"",DATE(Dash_Year,ROW()-4,1))</f>
        <v>0</v>
      </c>
      <c r="T137" s="21">
        <f>IF(S137="","",EOMONTH(S137,0))</f>
        <v>0</v>
      </c>
      <c r="U137" s="28">
        <f>IF(S137="","",TEXT(S137,"mmm"))</f>
        <v>0</v>
      </c>
      <c r="V137" s="29">
        <f>IF(S137="","",SUMIFS(Payments!$L$5:$L$304,Payments!$B$5:$B$304,"&gt;="&amp;S137,Payments!$B$5:$B$304,"&lt;="&amp;T137))</f>
        <v>0</v>
      </c>
      <c r="W137" s="29">
        <f>IF(S137="","",SUMIFS(Invoices!$O$5:$O$304,Invoices!$B$5:$B$304,"&gt;="&amp;S137,Invoices!$B$5:$B$304,"&lt;="&amp;T137,Invoices!$T$5:$T$304,"&lt;&gt;Cancelled"))</f>
        <v>0</v>
      </c>
      <c r="X137" s="29">
        <f>IF(S137="","",SUMIFS(Expenses!$F$5:$F$304,Expenses!$B$5:$B$304,"&gt;="&amp;S137,Expenses!$B$5:$B$304,"&lt;="&amp;T137,Expenses!$J$5:$J$304,"&lt;&gt;Personal"))</f>
        <v>0</v>
      </c>
      <c r="Y137" s="29">
        <f>IF(S137="","",V137-X137)</f>
        <v>0</v>
      </c>
      <c r="Z137" s="31">
        <f>IF(S137="","",COUNTIFS(Bookings!$I$5:$I$404,"&gt;="&amp;S137,Bookings!$I$5:$I$404,"&lt;="&amp;T137,Bookings!$AM$5:$AM$404,"&lt;&gt;Cancelled"))</f>
        <v>0</v>
      </c>
      <c r="AA137" s="31">
        <f>IF(S137="","",COUNTIFS(Bookings!$I$5:$I$404,"&gt;="&amp;S137,Bookings!$I$5:$I$404,"&lt;="&amp;T137,Bookings!$AM$5:$AM$404,"Completed"))</f>
        <v>0</v>
      </c>
      <c r="AB137" s="31">
        <f>IF(S137="","",COUNTIFS(Bookings!$I$5:$I$404,"&gt;="&amp;S137,Bookings!$I$5:$I$404,"&lt;="&amp;T137,Bookings!$AM$5:$AM$404,"Cancelled"))</f>
        <v>0</v>
      </c>
      <c r="AC137" s="31">
        <f>IF(S137="","",COUNTIFS('Visit Log'!$C$5:$C$404,"&gt;="&amp;S137,'Visit Log'!$C$5:$C$404,"&lt;="&amp;T137,'Visit Log'!$AE$5:$AE$404,"Completed"))</f>
        <v>0</v>
      </c>
      <c r="AD137" s="31">
        <f>IF(S137="","",COUNTIFS(Clients!$L$5:$L$254,"&gt;="&amp;S137,Clients!$L$5:$L$254,"&lt;="&amp;T137))</f>
        <v>0</v>
      </c>
      <c r="AE137" s="32">
        <f>IF(S137="","",SUMIFS(Mileage!$M$5:$M$304,Mileage!$B$5:$B$304,"&gt;="&amp;S137,Mileage!$B$5:$B$304,"&lt;="&amp;T137,Mileage!$N$5:$N$304,"Business"))</f>
        <v>0</v>
      </c>
      <c r="AF137" s="29">
        <f>IF(S137="","",SUMIFS(Payments!$L$5:$L$304,Payments!$B$5:$B$304,"&gt;="&amp;DATE(Dash_Year-1,ROW()-4,1),Payments!$B$5:$B$304,"&lt;="&amp;EOMONTH(DATE(Dash_Year-1,ROW()-4,1),0)))</f>
        <v>0</v>
      </c>
      <c r="AG137" s="28">
        <f>IF(Staff!$B$137="","",Staff!$B$137)</f>
        <v>0</v>
      </c>
      <c r="AH137" s="31">
        <f>IF(AG137="","",COUNTIFS('Visit Log'!$G$5:$G$404,AG137,'Visit Log'!$C$5:$C$404,"&gt;="&amp;RepFrom,'Visit Log'!$C$5:$C$404,"&lt;="&amp;RepTo,'Visit Log'!$AE$5:$AE$404,"Completed"))</f>
        <v>0</v>
      </c>
      <c r="AI137" s="51">
        <f>IF(AG137="","",ROUND(SUMIFS('Visit Log'!$K$5:$K$404,'Visit Log'!$G$5:$G$404,AG137,'Visit Log'!$C$5:$C$404,"&gt;="&amp;RepFrom,'Visit Log'!$C$5:$C$404,"&lt;="&amp;RepTo,'Visit Log'!$AE$5:$AE$404,"Completed")/60,2))</f>
        <v>0</v>
      </c>
      <c r="AJ137" s="29">
        <f>IF(AG137="","",SUMIFS(Bookings!$AK$5:$AK$404,Bookings!$AL$5:$AL$404,AG137,Bookings!$I$5:$I$404,"&gt;="&amp;RepFrom,Bookings!$I$5:$I$404,"&lt;="&amp;RepTo,Bookings!$AM$5:$AM$404,"&lt;&gt;Cancelled"))</f>
        <v>0</v>
      </c>
      <c r="AK137" s="32">
        <f>IF(AG137="","",SUMIFS(Mileage!$M$5:$M$304,Mileage!$C$5:$C$304,AG137,Mileage!$B$5:$B$304,"&gt;="&amp;RepFrom,Mileage!$B$5:$B$304,"&lt;="&amp;RepTo))</f>
        <v>0</v>
      </c>
      <c r="AL137" s="28">
        <f>IF(Lists!$Q137="","",Lists!$Q137)</f>
        <v>0</v>
      </c>
      <c r="AM137" s="31">
        <f>IF(AL137="","",COUNTIFS(Bookings!$AV$5:$AV$404,AL137,Bookings!$I$5:$I$404,"&gt;="&amp;RepFrom,Bookings!$I$5:$I$404,"&lt;="&amp;RepTo))</f>
        <v>0</v>
      </c>
      <c r="AN137" s="28">
        <f>IF(Lists!$AF137="","",Lists!$AF137)</f>
        <v>0</v>
      </c>
      <c r="AO137" s="29">
        <f>IF(AN137="","",SUMIFS(Payments!$L$5:$L$304,Payments!$F$5:$F$304,AN137,Payments!$B$5:$B$304,"&gt;="&amp;RepFrom,Payments!$B$5:$B$304,"&lt;="&amp;RepTo))</f>
        <v>0</v>
      </c>
      <c r="AP137" s="28">
        <f>IF(Lists!$E137="","",Lists!$E137)</f>
        <v>0</v>
      </c>
      <c r="AQ137" s="31">
        <f>IF(AP137="","",COUNTIFS(Clients!$K$5:$K$254,AP137))</f>
        <v>0</v>
      </c>
      <c r="AR137" s="29">
        <f>IF(AP137="","",SUMIFS(Clients!$AE$5:$AE$254,Clients!$K$5:$K$254,AP137))</f>
        <v>0</v>
      </c>
    </row>
    <row r="138" spans="1:44">
      <c r="A138" s="28">
        <f>IF(Clients!$B$138="","",Clients!$B$138)</f>
        <v>0</v>
      </c>
      <c r="B138" s="29">
        <f>IF(A138="","",SUMIFS(Payments!$L$5:$L$304,Payments!$C$5:$C$304,A138,Payments!$B$5:$B$304,"&gt;="&amp;PeriodStart,Payments!$B$5:$B$304,"&lt;="&amp;PeriodEnd))</f>
        <v>0</v>
      </c>
      <c r="C138" s="51">
        <f>IF(A138="","",IF(B138&lt;=0,"",B138+ROW()/1000000))</f>
        <v>0</v>
      </c>
      <c r="D138" s="29">
        <f>IF(A138="","",SUMIFS(Payments!$L$5:$L$304,Payments!$C$5:$C$304,A138,Payments!$B$5:$B$304,"&gt;="&amp;RepFrom,Payments!$B$5:$B$304,"&lt;="&amp;RepTo))</f>
        <v>0</v>
      </c>
      <c r="E138" s="51">
        <f>IF(A138="","",IF(D138&lt;=0,"",D138+ROW()/1000000))</f>
        <v>0</v>
      </c>
      <c r="F138" s="29">
        <f>IF(A138="","",SUMIFS(Invoices!$S$5:$S$304,Invoices!$D$5:$D$304,A138,Invoices!$T$5:$T$304,"&lt;&gt;Cancelled"))</f>
        <v>0</v>
      </c>
      <c r="G138" s="51">
        <f>IF(A138="","",IF(F138&lt;=0.004,"",F138+ROW()/1000000))</f>
        <v>0</v>
      </c>
      <c r="H138" s="31">
        <f>IF(A138="","",COUNTIFS(Bookings!$C$5:$C$404,A138,Bookings!$I$5:$I$404,"&gt;="&amp;RepFrom,Bookings!$I$5:$I$404,"&lt;="&amp;RepTo,Bookings!$AM$5:$AM$404,"&lt;&gt;Cancelled"))</f>
        <v>0</v>
      </c>
      <c r="I138" s="28">
        <f>IF(Services!$B$138="","",Services!$B$138)</f>
        <v>0</v>
      </c>
      <c r="J138" s="29">
        <f>IF(I138="","",SUMIFS(Bookings!$AK$5:$AK$404,Bookings!$H$5:$H$404,I138,Bookings!$I$5:$I$404,"&gt;="&amp;PeriodStart,Bookings!$I$5:$I$404,"&lt;="&amp;PeriodEnd,Bookings!$AM$5:$AM$404,"&lt;&gt;Cancelled"))</f>
        <v>0</v>
      </c>
      <c r="K138" s="31">
        <f>IF(I138="","",COUNTIFS(Bookings!$H$5:$H$404,I138,Bookings!$I$5:$I$404,"&gt;="&amp;PeriodStart,Bookings!$I$5:$I$404,"&lt;="&amp;PeriodEnd,Bookings!$AM$5:$AM$404,"&lt;&gt;Cancelled"))</f>
        <v>0</v>
      </c>
      <c r="L138" s="29">
        <f>IF(I138="","",SUMIFS(Bookings!$AK$5:$AK$404,Bookings!$H$5:$H$404,I138,Bookings!$I$5:$I$404,"&gt;="&amp;RepFrom,Bookings!$I$5:$I$404,"&lt;="&amp;RepTo,Bookings!$AM$5:$AM$404,"&lt;&gt;Cancelled"))</f>
        <v>0</v>
      </c>
      <c r="M138" s="31">
        <f>IF(I138="","",COUNTIFS(Bookings!$H$5:$H$404,I138,Bookings!$I$5:$I$404,"&gt;="&amp;RepFrom,Bookings!$I$5:$I$404,"&lt;="&amp;RepTo,Bookings!$AM$5:$AM$404,"&lt;&gt;Cancelled"))</f>
        <v>0</v>
      </c>
      <c r="N138" s="29">
        <f>IF(I138="","",M138*IF(Services!$L$138="",0,Services!$L$138))</f>
        <v>0</v>
      </c>
      <c r="O138" s="29">
        <f>IF(I138="","",L138-N138)</f>
        <v>0</v>
      </c>
      <c r="P138" s="28">
        <f>IF(Lists!$AG138="","",Lists!$AG138)</f>
        <v>0</v>
      </c>
      <c r="Q138" s="29">
        <f>IF(P138="","",SUMIFS(Expenses!$F$5:$F$304,Expenses!$C$5:$C$304,P138,Expenses!$B$5:$B$304,"&gt;="&amp;PeriodStart,Expenses!$B$5:$B$304,"&lt;="&amp;PeriodEnd,Expenses!$J$5:$J$304,"&lt;&gt;Personal"))</f>
        <v>0</v>
      </c>
      <c r="R138" s="29">
        <f>IF(P138="","",SUMIFS(Expenses!$F$5:$F$304,Expenses!$C$5:$C$304,P138,Expenses!$B$5:$B$304,"&gt;="&amp;RepFrom,Expenses!$B$5:$B$304,"&lt;="&amp;RepTo,Expenses!$J$5:$J$304,"&lt;&gt;Personal"))</f>
        <v>0</v>
      </c>
      <c r="S138" s="21">
        <f>IF(ROW()-4&gt;12,"",DATE(Dash_Year,ROW()-4,1))</f>
        <v>0</v>
      </c>
      <c r="T138" s="21">
        <f>IF(S138="","",EOMONTH(S138,0))</f>
        <v>0</v>
      </c>
      <c r="U138" s="28">
        <f>IF(S138="","",TEXT(S138,"mmm"))</f>
        <v>0</v>
      </c>
      <c r="V138" s="29">
        <f>IF(S138="","",SUMIFS(Payments!$L$5:$L$304,Payments!$B$5:$B$304,"&gt;="&amp;S138,Payments!$B$5:$B$304,"&lt;="&amp;T138))</f>
        <v>0</v>
      </c>
      <c r="W138" s="29">
        <f>IF(S138="","",SUMIFS(Invoices!$O$5:$O$304,Invoices!$B$5:$B$304,"&gt;="&amp;S138,Invoices!$B$5:$B$304,"&lt;="&amp;T138,Invoices!$T$5:$T$304,"&lt;&gt;Cancelled"))</f>
        <v>0</v>
      </c>
      <c r="X138" s="29">
        <f>IF(S138="","",SUMIFS(Expenses!$F$5:$F$304,Expenses!$B$5:$B$304,"&gt;="&amp;S138,Expenses!$B$5:$B$304,"&lt;="&amp;T138,Expenses!$J$5:$J$304,"&lt;&gt;Personal"))</f>
        <v>0</v>
      </c>
      <c r="Y138" s="29">
        <f>IF(S138="","",V138-X138)</f>
        <v>0</v>
      </c>
      <c r="Z138" s="31">
        <f>IF(S138="","",COUNTIFS(Bookings!$I$5:$I$404,"&gt;="&amp;S138,Bookings!$I$5:$I$404,"&lt;="&amp;T138,Bookings!$AM$5:$AM$404,"&lt;&gt;Cancelled"))</f>
        <v>0</v>
      </c>
      <c r="AA138" s="31">
        <f>IF(S138="","",COUNTIFS(Bookings!$I$5:$I$404,"&gt;="&amp;S138,Bookings!$I$5:$I$404,"&lt;="&amp;T138,Bookings!$AM$5:$AM$404,"Completed"))</f>
        <v>0</v>
      </c>
      <c r="AB138" s="31">
        <f>IF(S138="","",COUNTIFS(Bookings!$I$5:$I$404,"&gt;="&amp;S138,Bookings!$I$5:$I$404,"&lt;="&amp;T138,Bookings!$AM$5:$AM$404,"Cancelled"))</f>
        <v>0</v>
      </c>
      <c r="AC138" s="31">
        <f>IF(S138="","",COUNTIFS('Visit Log'!$C$5:$C$404,"&gt;="&amp;S138,'Visit Log'!$C$5:$C$404,"&lt;="&amp;T138,'Visit Log'!$AE$5:$AE$404,"Completed"))</f>
        <v>0</v>
      </c>
      <c r="AD138" s="31">
        <f>IF(S138="","",COUNTIFS(Clients!$L$5:$L$254,"&gt;="&amp;S138,Clients!$L$5:$L$254,"&lt;="&amp;T138))</f>
        <v>0</v>
      </c>
      <c r="AE138" s="32">
        <f>IF(S138="","",SUMIFS(Mileage!$M$5:$M$304,Mileage!$B$5:$B$304,"&gt;="&amp;S138,Mileage!$B$5:$B$304,"&lt;="&amp;T138,Mileage!$N$5:$N$304,"Business"))</f>
        <v>0</v>
      </c>
      <c r="AF138" s="29">
        <f>IF(S138="","",SUMIFS(Payments!$L$5:$L$304,Payments!$B$5:$B$304,"&gt;="&amp;DATE(Dash_Year-1,ROW()-4,1),Payments!$B$5:$B$304,"&lt;="&amp;EOMONTH(DATE(Dash_Year-1,ROW()-4,1),0)))</f>
        <v>0</v>
      </c>
      <c r="AG138" s="28">
        <f>IF(Staff!$B$138="","",Staff!$B$138)</f>
        <v>0</v>
      </c>
      <c r="AH138" s="31">
        <f>IF(AG138="","",COUNTIFS('Visit Log'!$G$5:$G$404,AG138,'Visit Log'!$C$5:$C$404,"&gt;="&amp;RepFrom,'Visit Log'!$C$5:$C$404,"&lt;="&amp;RepTo,'Visit Log'!$AE$5:$AE$404,"Completed"))</f>
        <v>0</v>
      </c>
      <c r="AI138" s="51">
        <f>IF(AG138="","",ROUND(SUMIFS('Visit Log'!$K$5:$K$404,'Visit Log'!$G$5:$G$404,AG138,'Visit Log'!$C$5:$C$404,"&gt;="&amp;RepFrom,'Visit Log'!$C$5:$C$404,"&lt;="&amp;RepTo,'Visit Log'!$AE$5:$AE$404,"Completed")/60,2))</f>
        <v>0</v>
      </c>
      <c r="AJ138" s="29">
        <f>IF(AG138="","",SUMIFS(Bookings!$AK$5:$AK$404,Bookings!$AL$5:$AL$404,AG138,Bookings!$I$5:$I$404,"&gt;="&amp;RepFrom,Bookings!$I$5:$I$404,"&lt;="&amp;RepTo,Bookings!$AM$5:$AM$404,"&lt;&gt;Cancelled"))</f>
        <v>0</v>
      </c>
      <c r="AK138" s="32">
        <f>IF(AG138="","",SUMIFS(Mileage!$M$5:$M$304,Mileage!$C$5:$C$304,AG138,Mileage!$B$5:$B$304,"&gt;="&amp;RepFrom,Mileage!$B$5:$B$304,"&lt;="&amp;RepTo))</f>
        <v>0</v>
      </c>
      <c r="AL138" s="28">
        <f>IF(Lists!$Q138="","",Lists!$Q138)</f>
        <v>0</v>
      </c>
      <c r="AM138" s="31">
        <f>IF(AL138="","",COUNTIFS(Bookings!$AV$5:$AV$404,AL138,Bookings!$I$5:$I$404,"&gt;="&amp;RepFrom,Bookings!$I$5:$I$404,"&lt;="&amp;RepTo))</f>
        <v>0</v>
      </c>
      <c r="AN138" s="28">
        <f>IF(Lists!$AF138="","",Lists!$AF138)</f>
        <v>0</v>
      </c>
      <c r="AO138" s="29">
        <f>IF(AN138="","",SUMIFS(Payments!$L$5:$L$304,Payments!$F$5:$F$304,AN138,Payments!$B$5:$B$304,"&gt;="&amp;RepFrom,Payments!$B$5:$B$304,"&lt;="&amp;RepTo))</f>
        <v>0</v>
      </c>
      <c r="AP138" s="28">
        <f>IF(Lists!$E138="","",Lists!$E138)</f>
        <v>0</v>
      </c>
      <c r="AQ138" s="31">
        <f>IF(AP138="","",COUNTIFS(Clients!$K$5:$K$254,AP138))</f>
        <v>0</v>
      </c>
      <c r="AR138" s="29">
        <f>IF(AP138="","",SUMIFS(Clients!$AE$5:$AE$254,Clients!$K$5:$K$254,AP138))</f>
        <v>0</v>
      </c>
    </row>
    <row r="139" spans="1:44">
      <c r="A139" s="28">
        <f>IF(Clients!$B$139="","",Clients!$B$139)</f>
        <v>0</v>
      </c>
      <c r="B139" s="29">
        <f>IF(A139="","",SUMIFS(Payments!$L$5:$L$304,Payments!$C$5:$C$304,A139,Payments!$B$5:$B$304,"&gt;="&amp;PeriodStart,Payments!$B$5:$B$304,"&lt;="&amp;PeriodEnd))</f>
        <v>0</v>
      </c>
      <c r="C139" s="51">
        <f>IF(A139="","",IF(B139&lt;=0,"",B139+ROW()/1000000))</f>
        <v>0</v>
      </c>
      <c r="D139" s="29">
        <f>IF(A139="","",SUMIFS(Payments!$L$5:$L$304,Payments!$C$5:$C$304,A139,Payments!$B$5:$B$304,"&gt;="&amp;RepFrom,Payments!$B$5:$B$304,"&lt;="&amp;RepTo))</f>
        <v>0</v>
      </c>
      <c r="E139" s="51">
        <f>IF(A139="","",IF(D139&lt;=0,"",D139+ROW()/1000000))</f>
        <v>0</v>
      </c>
      <c r="F139" s="29">
        <f>IF(A139="","",SUMIFS(Invoices!$S$5:$S$304,Invoices!$D$5:$D$304,A139,Invoices!$T$5:$T$304,"&lt;&gt;Cancelled"))</f>
        <v>0</v>
      </c>
      <c r="G139" s="51">
        <f>IF(A139="","",IF(F139&lt;=0.004,"",F139+ROW()/1000000))</f>
        <v>0</v>
      </c>
      <c r="H139" s="31">
        <f>IF(A139="","",COUNTIFS(Bookings!$C$5:$C$404,A139,Bookings!$I$5:$I$404,"&gt;="&amp;RepFrom,Bookings!$I$5:$I$404,"&lt;="&amp;RepTo,Bookings!$AM$5:$AM$404,"&lt;&gt;Cancelled"))</f>
        <v>0</v>
      </c>
      <c r="I139" s="28">
        <f>IF(Services!$B$139="","",Services!$B$139)</f>
        <v>0</v>
      </c>
      <c r="J139" s="29">
        <f>IF(I139="","",SUMIFS(Bookings!$AK$5:$AK$404,Bookings!$H$5:$H$404,I139,Bookings!$I$5:$I$404,"&gt;="&amp;PeriodStart,Bookings!$I$5:$I$404,"&lt;="&amp;PeriodEnd,Bookings!$AM$5:$AM$404,"&lt;&gt;Cancelled"))</f>
        <v>0</v>
      </c>
      <c r="K139" s="31">
        <f>IF(I139="","",COUNTIFS(Bookings!$H$5:$H$404,I139,Bookings!$I$5:$I$404,"&gt;="&amp;PeriodStart,Bookings!$I$5:$I$404,"&lt;="&amp;PeriodEnd,Bookings!$AM$5:$AM$404,"&lt;&gt;Cancelled"))</f>
        <v>0</v>
      </c>
      <c r="L139" s="29">
        <f>IF(I139="","",SUMIFS(Bookings!$AK$5:$AK$404,Bookings!$H$5:$H$404,I139,Bookings!$I$5:$I$404,"&gt;="&amp;RepFrom,Bookings!$I$5:$I$404,"&lt;="&amp;RepTo,Bookings!$AM$5:$AM$404,"&lt;&gt;Cancelled"))</f>
        <v>0</v>
      </c>
      <c r="M139" s="31">
        <f>IF(I139="","",COUNTIFS(Bookings!$H$5:$H$404,I139,Bookings!$I$5:$I$404,"&gt;="&amp;RepFrom,Bookings!$I$5:$I$404,"&lt;="&amp;RepTo,Bookings!$AM$5:$AM$404,"&lt;&gt;Cancelled"))</f>
        <v>0</v>
      </c>
      <c r="N139" s="29">
        <f>IF(I139="","",M139*IF(Services!$L$139="",0,Services!$L$139))</f>
        <v>0</v>
      </c>
      <c r="O139" s="29">
        <f>IF(I139="","",L139-N139)</f>
        <v>0</v>
      </c>
      <c r="P139" s="28">
        <f>IF(Lists!$AG139="","",Lists!$AG139)</f>
        <v>0</v>
      </c>
      <c r="Q139" s="29">
        <f>IF(P139="","",SUMIFS(Expenses!$F$5:$F$304,Expenses!$C$5:$C$304,P139,Expenses!$B$5:$B$304,"&gt;="&amp;PeriodStart,Expenses!$B$5:$B$304,"&lt;="&amp;PeriodEnd,Expenses!$J$5:$J$304,"&lt;&gt;Personal"))</f>
        <v>0</v>
      </c>
      <c r="R139" s="29">
        <f>IF(P139="","",SUMIFS(Expenses!$F$5:$F$304,Expenses!$C$5:$C$304,P139,Expenses!$B$5:$B$304,"&gt;="&amp;RepFrom,Expenses!$B$5:$B$304,"&lt;="&amp;RepTo,Expenses!$J$5:$J$304,"&lt;&gt;Personal"))</f>
        <v>0</v>
      </c>
      <c r="S139" s="21">
        <f>IF(ROW()-4&gt;12,"",DATE(Dash_Year,ROW()-4,1))</f>
        <v>0</v>
      </c>
      <c r="T139" s="21">
        <f>IF(S139="","",EOMONTH(S139,0))</f>
        <v>0</v>
      </c>
      <c r="U139" s="28">
        <f>IF(S139="","",TEXT(S139,"mmm"))</f>
        <v>0</v>
      </c>
      <c r="V139" s="29">
        <f>IF(S139="","",SUMIFS(Payments!$L$5:$L$304,Payments!$B$5:$B$304,"&gt;="&amp;S139,Payments!$B$5:$B$304,"&lt;="&amp;T139))</f>
        <v>0</v>
      </c>
      <c r="W139" s="29">
        <f>IF(S139="","",SUMIFS(Invoices!$O$5:$O$304,Invoices!$B$5:$B$304,"&gt;="&amp;S139,Invoices!$B$5:$B$304,"&lt;="&amp;T139,Invoices!$T$5:$T$304,"&lt;&gt;Cancelled"))</f>
        <v>0</v>
      </c>
      <c r="X139" s="29">
        <f>IF(S139="","",SUMIFS(Expenses!$F$5:$F$304,Expenses!$B$5:$B$304,"&gt;="&amp;S139,Expenses!$B$5:$B$304,"&lt;="&amp;T139,Expenses!$J$5:$J$304,"&lt;&gt;Personal"))</f>
        <v>0</v>
      </c>
      <c r="Y139" s="29">
        <f>IF(S139="","",V139-X139)</f>
        <v>0</v>
      </c>
      <c r="Z139" s="31">
        <f>IF(S139="","",COUNTIFS(Bookings!$I$5:$I$404,"&gt;="&amp;S139,Bookings!$I$5:$I$404,"&lt;="&amp;T139,Bookings!$AM$5:$AM$404,"&lt;&gt;Cancelled"))</f>
        <v>0</v>
      </c>
      <c r="AA139" s="31">
        <f>IF(S139="","",COUNTIFS(Bookings!$I$5:$I$404,"&gt;="&amp;S139,Bookings!$I$5:$I$404,"&lt;="&amp;T139,Bookings!$AM$5:$AM$404,"Completed"))</f>
        <v>0</v>
      </c>
      <c r="AB139" s="31">
        <f>IF(S139="","",COUNTIFS(Bookings!$I$5:$I$404,"&gt;="&amp;S139,Bookings!$I$5:$I$404,"&lt;="&amp;T139,Bookings!$AM$5:$AM$404,"Cancelled"))</f>
        <v>0</v>
      </c>
      <c r="AC139" s="31">
        <f>IF(S139="","",COUNTIFS('Visit Log'!$C$5:$C$404,"&gt;="&amp;S139,'Visit Log'!$C$5:$C$404,"&lt;="&amp;T139,'Visit Log'!$AE$5:$AE$404,"Completed"))</f>
        <v>0</v>
      </c>
      <c r="AD139" s="31">
        <f>IF(S139="","",COUNTIFS(Clients!$L$5:$L$254,"&gt;="&amp;S139,Clients!$L$5:$L$254,"&lt;="&amp;T139))</f>
        <v>0</v>
      </c>
      <c r="AE139" s="32">
        <f>IF(S139="","",SUMIFS(Mileage!$M$5:$M$304,Mileage!$B$5:$B$304,"&gt;="&amp;S139,Mileage!$B$5:$B$304,"&lt;="&amp;T139,Mileage!$N$5:$N$304,"Business"))</f>
        <v>0</v>
      </c>
      <c r="AF139" s="29">
        <f>IF(S139="","",SUMIFS(Payments!$L$5:$L$304,Payments!$B$5:$B$304,"&gt;="&amp;DATE(Dash_Year-1,ROW()-4,1),Payments!$B$5:$B$304,"&lt;="&amp;EOMONTH(DATE(Dash_Year-1,ROW()-4,1),0)))</f>
        <v>0</v>
      </c>
      <c r="AG139" s="28">
        <f>IF(Staff!$B$139="","",Staff!$B$139)</f>
        <v>0</v>
      </c>
      <c r="AH139" s="31">
        <f>IF(AG139="","",COUNTIFS('Visit Log'!$G$5:$G$404,AG139,'Visit Log'!$C$5:$C$404,"&gt;="&amp;RepFrom,'Visit Log'!$C$5:$C$404,"&lt;="&amp;RepTo,'Visit Log'!$AE$5:$AE$404,"Completed"))</f>
        <v>0</v>
      </c>
      <c r="AI139" s="51">
        <f>IF(AG139="","",ROUND(SUMIFS('Visit Log'!$K$5:$K$404,'Visit Log'!$G$5:$G$404,AG139,'Visit Log'!$C$5:$C$404,"&gt;="&amp;RepFrom,'Visit Log'!$C$5:$C$404,"&lt;="&amp;RepTo,'Visit Log'!$AE$5:$AE$404,"Completed")/60,2))</f>
        <v>0</v>
      </c>
      <c r="AJ139" s="29">
        <f>IF(AG139="","",SUMIFS(Bookings!$AK$5:$AK$404,Bookings!$AL$5:$AL$404,AG139,Bookings!$I$5:$I$404,"&gt;="&amp;RepFrom,Bookings!$I$5:$I$404,"&lt;="&amp;RepTo,Bookings!$AM$5:$AM$404,"&lt;&gt;Cancelled"))</f>
        <v>0</v>
      </c>
      <c r="AK139" s="32">
        <f>IF(AG139="","",SUMIFS(Mileage!$M$5:$M$304,Mileage!$C$5:$C$304,AG139,Mileage!$B$5:$B$304,"&gt;="&amp;RepFrom,Mileage!$B$5:$B$304,"&lt;="&amp;RepTo))</f>
        <v>0</v>
      </c>
      <c r="AL139" s="28">
        <f>IF(Lists!$Q139="","",Lists!$Q139)</f>
        <v>0</v>
      </c>
      <c r="AM139" s="31">
        <f>IF(AL139="","",COUNTIFS(Bookings!$AV$5:$AV$404,AL139,Bookings!$I$5:$I$404,"&gt;="&amp;RepFrom,Bookings!$I$5:$I$404,"&lt;="&amp;RepTo))</f>
        <v>0</v>
      </c>
      <c r="AN139" s="28">
        <f>IF(Lists!$AF139="","",Lists!$AF139)</f>
        <v>0</v>
      </c>
      <c r="AO139" s="29">
        <f>IF(AN139="","",SUMIFS(Payments!$L$5:$L$304,Payments!$F$5:$F$304,AN139,Payments!$B$5:$B$304,"&gt;="&amp;RepFrom,Payments!$B$5:$B$304,"&lt;="&amp;RepTo))</f>
        <v>0</v>
      </c>
      <c r="AP139" s="28">
        <f>IF(Lists!$E139="","",Lists!$E139)</f>
        <v>0</v>
      </c>
      <c r="AQ139" s="31">
        <f>IF(AP139="","",COUNTIFS(Clients!$K$5:$K$254,AP139))</f>
        <v>0</v>
      </c>
      <c r="AR139" s="29">
        <f>IF(AP139="","",SUMIFS(Clients!$AE$5:$AE$254,Clients!$K$5:$K$254,AP139))</f>
        <v>0</v>
      </c>
    </row>
    <row r="140" spans="1:44">
      <c r="A140" s="28">
        <f>IF(Clients!$B$140="","",Clients!$B$140)</f>
        <v>0</v>
      </c>
      <c r="B140" s="29">
        <f>IF(A140="","",SUMIFS(Payments!$L$5:$L$304,Payments!$C$5:$C$304,A140,Payments!$B$5:$B$304,"&gt;="&amp;PeriodStart,Payments!$B$5:$B$304,"&lt;="&amp;PeriodEnd))</f>
        <v>0</v>
      </c>
      <c r="C140" s="51">
        <f>IF(A140="","",IF(B140&lt;=0,"",B140+ROW()/1000000))</f>
        <v>0</v>
      </c>
      <c r="D140" s="29">
        <f>IF(A140="","",SUMIFS(Payments!$L$5:$L$304,Payments!$C$5:$C$304,A140,Payments!$B$5:$B$304,"&gt;="&amp;RepFrom,Payments!$B$5:$B$304,"&lt;="&amp;RepTo))</f>
        <v>0</v>
      </c>
      <c r="E140" s="51">
        <f>IF(A140="","",IF(D140&lt;=0,"",D140+ROW()/1000000))</f>
        <v>0</v>
      </c>
      <c r="F140" s="29">
        <f>IF(A140="","",SUMIFS(Invoices!$S$5:$S$304,Invoices!$D$5:$D$304,A140,Invoices!$T$5:$T$304,"&lt;&gt;Cancelled"))</f>
        <v>0</v>
      </c>
      <c r="G140" s="51">
        <f>IF(A140="","",IF(F140&lt;=0.004,"",F140+ROW()/1000000))</f>
        <v>0</v>
      </c>
      <c r="H140" s="31">
        <f>IF(A140="","",COUNTIFS(Bookings!$C$5:$C$404,A140,Bookings!$I$5:$I$404,"&gt;="&amp;RepFrom,Bookings!$I$5:$I$404,"&lt;="&amp;RepTo,Bookings!$AM$5:$AM$404,"&lt;&gt;Cancelled"))</f>
        <v>0</v>
      </c>
      <c r="I140" s="28">
        <f>IF(Services!$B$140="","",Services!$B$140)</f>
        <v>0</v>
      </c>
      <c r="J140" s="29">
        <f>IF(I140="","",SUMIFS(Bookings!$AK$5:$AK$404,Bookings!$H$5:$H$404,I140,Bookings!$I$5:$I$404,"&gt;="&amp;PeriodStart,Bookings!$I$5:$I$404,"&lt;="&amp;PeriodEnd,Bookings!$AM$5:$AM$404,"&lt;&gt;Cancelled"))</f>
        <v>0</v>
      </c>
      <c r="K140" s="31">
        <f>IF(I140="","",COUNTIFS(Bookings!$H$5:$H$404,I140,Bookings!$I$5:$I$404,"&gt;="&amp;PeriodStart,Bookings!$I$5:$I$404,"&lt;="&amp;PeriodEnd,Bookings!$AM$5:$AM$404,"&lt;&gt;Cancelled"))</f>
        <v>0</v>
      </c>
      <c r="L140" s="29">
        <f>IF(I140="","",SUMIFS(Bookings!$AK$5:$AK$404,Bookings!$H$5:$H$404,I140,Bookings!$I$5:$I$404,"&gt;="&amp;RepFrom,Bookings!$I$5:$I$404,"&lt;="&amp;RepTo,Bookings!$AM$5:$AM$404,"&lt;&gt;Cancelled"))</f>
        <v>0</v>
      </c>
      <c r="M140" s="31">
        <f>IF(I140="","",COUNTIFS(Bookings!$H$5:$H$404,I140,Bookings!$I$5:$I$404,"&gt;="&amp;RepFrom,Bookings!$I$5:$I$404,"&lt;="&amp;RepTo,Bookings!$AM$5:$AM$404,"&lt;&gt;Cancelled"))</f>
        <v>0</v>
      </c>
      <c r="N140" s="29">
        <f>IF(I140="","",M140*IF(Services!$L$140="",0,Services!$L$140))</f>
        <v>0</v>
      </c>
      <c r="O140" s="29">
        <f>IF(I140="","",L140-N140)</f>
        <v>0</v>
      </c>
      <c r="P140" s="28">
        <f>IF(Lists!$AG140="","",Lists!$AG140)</f>
        <v>0</v>
      </c>
      <c r="Q140" s="29">
        <f>IF(P140="","",SUMIFS(Expenses!$F$5:$F$304,Expenses!$C$5:$C$304,P140,Expenses!$B$5:$B$304,"&gt;="&amp;PeriodStart,Expenses!$B$5:$B$304,"&lt;="&amp;PeriodEnd,Expenses!$J$5:$J$304,"&lt;&gt;Personal"))</f>
        <v>0</v>
      </c>
      <c r="R140" s="29">
        <f>IF(P140="","",SUMIFS(Expenses!$F$5:$F$304,Expenses!$C$5:$C$304,P140,Expenses!$B$5:$B$304,"&gt;="&amp;RepFrom,Expenses!$B$5:$B$304,"&lt;="&amp;RepTo,Expenses!$J$5:$J$304,"&lt;&gt;Personal"))</f>
        <v>0</v>
      </c>
      <c r="S140" s="21">
        <f>IF(ROW()-4&gt;12,"",DATE(Dash_Year,ROW()-4,1))</f>
        <v>0</v>
      </c>
      <c r="T140" s="21">
        <f>IF(S140="","",EOMONTH(S140,0))</f>
        <v>0</v>
      </c>
      <c r="U140" s="28">
        <f>IF(S140="","",TEXT(S140,"mmm"))</f>
        <v>0</v>
      </c>
      <c r="V140" s="29">
        <f>IF(S140="","",SUMIFS(Payments!$L$5:$L$304,Payments!$B$5:$B$304,"&gt;="&amp;S140,Payments!$B$5:$B$304,"&lt;="&amp;T140))</f>
        <v>0</v>
      </c>
      <c r="W140" s="29">
        <f>IF(S140="","",SUMIFS(Invoices!$O$5:$O$304,Invoices!$B$5:$B$304,"&gt;="&amp;S140,Invoices!$B$5:$B$304,"&lt;="&amp;T140,Invoices!$T$5:$T$304,"&lt;&gt;Cancelled"))</f>
        <v>0</v>
      </c>
      <c r="X140" s="29">
        <f>IF(S140="","",SUMIFS(Expenses!$F$5:$F$304,Expenses!$B$5:$B$304,"&gt;="&amp;S140,Expenses!$B$5:$B$304,"&lt;="&amp;T140,Expenses!$J$5:$J$304,"&lt;&gt;Personal"))</f>
        <v>0</v>
      </c>
      <c r="Y140" s="29">
        <f>IF(S140="","",V140-X140)</f>
        <v>0</v>
      </c>
      <c r="Z140" s="31">
        <f>IF(S140="","",COUNTIFS(Bookings!$I$5:$I$404,"&gt;="&amp;S140,Bookings!$I$5:$I$404,"&lt;="&amp;T140,Bookings!$AM$5:$AM$404,"&lt;&gt;Cancelled"))</f>
        <v>0</v>
      </c>
      <c r="AA140" s="31">
        <f>IF(S140="","",COUNTIFS(Bookings!$I$5:$I$404,"&gt;="&amp;S140,Bookings!$I$5:$I$404,"&lt;="&amp;T140,Bookings!$AM$5:$AM$404,"Completed"))</f>
        <v>0</v>
      </c>
      <c r="AB140" s="31">
        <f>IF(S140="","",COUNTIFS(Bookings!$I$5:$I$404,"&gt;="&amp;S140,Bookings!$I$5:$I$404,"&lt;="&amp;T140,Bookings!$AM$5:$AM$404,"Cancelled"))</f>
        <v>0</v>
      </c>
      <c r="AC140" s="31">
        <f>IF(S140="","",COUNTIFS('Visit Log'!$C$5:$C$404,"&gt;="&amp;S140,'Visit Log'!$C$5:$C$404,"&lt;="&amp;T140,'Visit Log'!$AE$5:$AE$404,"Completed"))</f>
        <v>0</v>
      </c>
      <c r="AD140" s="31">
        <f>IF(S140="","",COUNTIFS(Clients!$L$5:$L$254,"&gt;="&amp;S140,Clients!$L$5:$L$254,"&lt;="&amp;T140))</f>
        <v>0</v>
      </c>
      <c r="AE140" s="32">
        <f>IF(S140="","",SUMIFS(Mileage!$M$5:$M$304,Mileage!$B$5:$B$304,"&gt;="&amp;S140,Mileage!$B$5:$B$304,"&lt;="&amp;T140,Mileage!$N$5:$N$304,"Business"))</f>
        <v>0</v>
      </c>
      <c r="AF140" s="29">
        <f>IF(S140="","",SUMIFS(Payments!$L$5:$L$304,Payments!$B$5:$B$304,"&gt;="&amp;DATE(Dash_Year-1,ROW()-4,1),Payments!$B$5:$B$304,"&lt;="&amp;EOMONTH(DATE(Dash_Year-1,ROW()-4,1),0)))</f>
        <v>0</v>
      </c>
      <c r="AG140" s="28">
        <f>IF(Staff!$B$140="","",Staff!$B$140)</f>
        <v>0</v>
      </c>
      <c r="AH140" s="31">
        <f>IF(AG140="","",COUNTIFS('Visit Log'!$G$5:$G$404,AG140,'Visit Log'!$C$5:$C$404,"&gt;="&amp;RepFrom,'Visit Log'!$C$5:$C$404,"&lt;="&amp;RepTo,'Visit Log'!$AE$5:$AE$404,"Completed"))</f>
        <v>0</v>
      </c>
      <c r="AI140" s="51">
        <f>IF(AG140="","",ROUND(SUMIFS('Visit Log'!$K$5:$K$404,'Visit Log'!$G$5:$G$404,AG140,'Visit Log'!$C$5:$C$404,"&gt;="&amp;RepFrom,'Visit Log'!$C$5:$C$404,"&lt;="&amp;RepTo,'Visit Log'!$AE$5:$AE$404,"Completed")/60,2))</f>
        <v>0</v>
      </c>
      <c r="AJ140" s="29">
        <f>IF(AG140="","",SUMIFS(Bookings!$AK$5:$AK$404,Bookings!$AL$5:$AL$404,AG140,Bookings!$I$5:$I$404,"&gt;="&amp;RepFrom,Bookings!$I$5:$I$404,"&lt;="&amp;RepTo,Bookings!$AM$5:$AM$404,"&lt;&gt;Cancelled"))</f>
        <v>0</v>
      </c>
      <c r="AK140" s="32">
        <f>IF(AG140="","",SUMIFS(Mileage!$M$5:$M$304,Mileage!$C$5:$C$304,AG140,Mileage!$B$5:$B$304,"&gt;="&amp;RepFrom,Mileage!$B$5:$B$304,"&lt;="&amp;RepTo))</f>
        <v>0</v>
      </c>
      <c r="AL140" s="28">
        <f>IF(Lists!$Q140="","",Lists!$Q140)</f>
        <v>0</v>
      </c>
      <c r="AM140" s="31">
        <f>IF(AL140="","",COUNTIFS(Bookings!$AV$5:$AV$404,AL140,Bookings!$I$5:$I$404,"&gt;="&amp;RepFrom,Bookings!$I$5:$I$404,"&lt;="&amp;RepTo))</f>
        <v>0</v>
      </c>
      <c r="AN140" s="28">
        <f>IF(Lists!$AF140="","",Lists!$AF140)</f>
        <v>0</v>
      </c>
      <c r="AO140" s="29">
        <f>IF(AN140="","",SUMIFS(Payments!$L$5:$L$304,Payments!$F$5:$F$304,AN140,Payments!$B$5:$B$304,"&gt;="&amp;RepFrom,Payments!$B$5:$B$304,"&lt;="&amp;RepTo))</f>
        <v>0</v>
      </c>
      <c r="AP140" s="28">
        <f>IF(Lists!$E140="","",Lists!$E140)</f>
        <v>0</v>
      </c>
      <c r="AQ140" s="31">
        <f>IF(AP140="","",COUNTIFS(Clients!$K$5:$K$254,AP140))</f>
        <v>0</v>
      </c>
      <c r="AR140" s="29">
        <f>IF(AP140="","",SUMIFS(Clients!$AE$5:$AE$254,Clients!$K$5:$K$254,AP140))</f>
        <v>0</v>
      </c>
    </row>
    <row r="141" spans="1:44">
      <c r="A141" s="28">
        <f>IF(Clients!$B$141="","",Clients!$B$141)</f>
        <v>0</v>
      </c>
      <c r="B141" s="29">
        <f>IF(A141="","",SUMIFS(Payments!$L$5:$L$304,Payments!$C$5:$C$304,A141,Payments!$B$5:$B$304,"&gt;="&amp;PeriodStart,Payments!$B$5:$B$304,"&lt;="&amp;PeriodEnd))</f>
        <v>0</v>
      </c>
      <c r="C141" s="51">
        <f>IF(A141="","",IF(B141&lt;=0,"",B141+ROW()/1000000))</f>
        <v>0</v>
      </c>
      <c r="D141" s="29">
        <f>IF(A141="","",SUMIFS(Payments!$L$5:$L$304,Payments!$C$5:$C$304,A141,Payments!$B$5:$B$304,"&gt;="&amp;RepFrom,Payments!$B$5:$B$304,"&lt;="&amp;RepTo))</f>
        <v>0</v>
      </c>
      <c r="E141" s="51">
        <f>IF(A141="","",IF(D141&lt;=0,"",D141+ROW()/1000000))</f>
        <v>0</v>
      </c>
      <c r="F141" s="29">
        <f>IF(A141="","",SUMIFS(Invoices!$S$5:$S$304,Invoices!$D$5:$D$304,A141,Invoices!$T$5:$T$304,"&lt;&gt;Cancelled"))</f>
        <v>0</v>
      </c>
      <c r="G141" s="51">
        <f>IF(A141="","",IF(F141&lt;=0.004,"",F141+ROW()/1000000))</f>
        <v>0</v>
      </c>
      <c r="H141" s="31">
        <f>IF(A141="","",COUNTIFS(Bookings!$C$5:$C$404,A141,Bookings!$I$5:$I$404,"&gt;="&amp;RepFrom,Bookings!$I$5:$I$404,"&lt;="&amp;RepTo,Bookings!$AM$5:$AM$404,"&lt;&gt;Cancelled"))</f>
        <v>0</v>
      </c>
      <c r="I141" s="28">
        <f>IF(Services!$B$141="","",Services!$B$141)</f>
        <v>0</v>
      </c>
      <c r="J141" s="29">
        <f>IF(I141="","",SUMIFS(Bookings!$AK$5:$AK$404,Bookings!$H$5:$H$404,I141,Bookings!$I$5:$I$404,"&gt;="&amp;PeriodStart,Bookings!$I$5:$I$404,"&lt;="&amp;PeriodEnd,Bookings!$AM$5:$AM$404,"&lt;&gt;Cancelled"))</f>
        <v>0</v>
      </c>
      <c r="K141" s="31">
        <f>IF(I141="","",COUNTIFS(Bookings!$H$5:$H$404,I141,Bookings!$I$5:$I$404,"&gt;="&amp;PeriodStart,Bookings!$I$5:$I$404,"&lt;="&amp;PeriodEnd,Bookings!$AM$5:$AM$404,"&lt;&gt;Cancelled"))</f>
        <v>0</v>
      </c>
      <c r="L141" s="29">
        <f>IF(I141="","",SUMIFS(Bookings!$AK$5:$AK$404,Bookings!$H$5:$H$404,I141,Bookings!$I$5:$I$404,"&gt;="&amp;RepFrom,Bookings!$I$5:$I$404,"&lt;="&amp;RepTo,Bookings!$AM$5:$AM$404,"&lt;&gt;Cancelled"))</f>
        <v>0</v>
      </c>
      <c r="M141" s="31">
        <f>IF(I141="","",COUNTIFS(Bookings!$H$5:$H$404,I141,Bookings!$I$5:$I$404,"&gt;="&amp;RepFrom,Bookings!$I$5:$I$404,"&lt;="&amp;RepTo,Bookings!$AM$5:$AM$404,"&lt;&gt;Cancelled"))</f>
        <v>0</v>
      </c>
      <c r="N141" s="29">
        <f>IF(I141="","",M141*IF(Services!$L$141="",0,Services!$L$141))</f>
        <v>0</v>
      </c>
      <c r="O141" s="29">
        <f>IF(I141="","",L141-N141)</f>
        <v>0</v>
      </c>
      <c r="P141" s="28">
        <f>IF(Lists!$AG141="","",Lists!$AG141)</f>
        <v>0</v>
      </c>
      <c r="Q141" s="29">
        <f>IF(P141="","",SUMIFS(Expenses!$F$5:$F$304,Expenses!$C$5:$C$304,P141,Expenses!$B$5:$B$304,"&gt;="&amp;PeriodStart,Expenses!$B$5:$B$304,"&lt;="&amp;PeriodEnd,Expenses!$J$5:$J$304,"&lt;&gt;Personal"))</f>
        <v>0</v>
      </c>
      <c r="R141" s="29">
        <f>IF(P141="","",SUMIFS(Expenses!$F$5:$F$304,Expenses!$C$5:$C$304,P141,Expenses!$B$5:$B$304,"&gt;="&amp;RepFrom,Expenses!$B$5:$B$304,"&lt;="&amp;RepTo,Expenses!$J$5:$J$304,"&lt;&gt;Personal"))</f>
        <v>0</v>
      </c>
      <c r="S141" s="21">
        <f>IF(ROW()-4&gt;12,"",DATE(Dash_Year,ROW()-4,1))</f>
        <v>0</v>
      </c>
      <c r="T141" s="21">
        <f>IF(S141="","",EOMONTH(S141,0))</f>
        <v>0</v>
      </c>
      <c r="U141" s="28">
        <f>IF(S141="","",TEXT(S141,"mmm"))</f>
        <v>0</v>
      </c>
      <c r="V141" s="29">
        <f>IF(S141="","",SUMIFS(Payments!$L$5:$L$304,Payments!$B$5:$B$304,"&gt;="&amp;S141,Payments!$B$5:$B$304,"&lt;="&amp;T141))</f>
        <v>0</v>
      </c>
      <c r="W141" s="29">
        <f>IF(S141="","",SUMIFS(Invoices!$O$5:$O$304,Invoices!$B$5:$B$304,"&gt;="&amp;S141,Invoices!$B$5:$B$304,"&lt;="&amp;T141,Invoices!$T$5:$T$304,"&lt;&gt;Cancelled"))</f>
        <v>0</v>
      </c>
      <c r="X141" s="29">
        <f>IF(S141="","",SUMIFS(Expenses!$F$5:$F$304,Expenses!$B$5:$B$304,"&gt;="&amp;S141,Expenses!$B$5:$B$304,"&lt;="&amp;T141,Expenses!$J$5:$J$304,"&lt;&gt;Personal"))</f>
        <v>0</v>
      </c>
      <c r="Y141" s="29">
        <f>IF(S141="","",V141-X141)</f>
        <v>0</v>
      </c>
      <c r="Z141" s="31">
        <f>IF(S141="","",COUNTIFS(Bookings!$I$5:$I$404,"&gt;="&amp;S141,Bookings!$I$5:$I$404,"&lt;="&amp;T141,Bookings!$AM$5:$AM$404,"&lt;&gt;Cancelled"))</f>
        <v>0</v>
      </c>
      <c r="AA141" s="31">
        <f>IF(S141="","",COUNTIFS(Bookings!$I$5:$I$404,"&gt;="&amp;S141,Bookings!$I$5:$I$404,"&lt;="&amp;T141,Bookings!$AM$5:$AM$404,"Completed"))</f>
        <v>0</v>
      </c>
      <c r="AB141" s="31">
        <f>IF(S141="","",COUNTIFS(Bookings!$I$5:$I$404,"&gt;="&amp;S141,Bookings!$I$5:$I$404,"&lt;="&amp;T141,Bookings!$AM$5:$AM$404,"Cancelled"))</f>
        <v>0</v>
      </c>
      <c r="AC141" s="31">
        <f>IF(S141="","",COUNTIFS('Visit Log'!$C$5:$C$404,"&gt;="&amp;S141,'Visit Log'!$C$5:$C$404,"&lt;="&amp;T141,'Visit Log'!$AE$5:$AE$404,"Completed"))</f>
        <v>0</v>
      </c>
      <c r="AD141" s="31">
        <f>IF(S141="","",COUNTIFS(Clients!$L$5:$L$254,"&gt;="&amp;S141,Clients!$L$5:$L$254,"&lt;="&amp;T141))</f>
        <v>0</v>
      </c>
      <c r="AE141" s="32">
        <f>IF(S141="","",SUMIFS(Mileage!$M$5:$M$304,Mileage!$B$5:$B$304,"&gt;="&amp;S141,Mileage!$B$5:$B$304,"&lt;="&amp;T141,Mileage!$N$5:$N$304,"Business"))</f>
        <v>0</v>
      </c>
      <c r="AF141" s="29">
        <f>IF(S141="","",SUMIFS(Payments!$L$5:$L$304,Payments!$B$5:$B$304,"&gt;="&amp;DATE(Dash_Year-1,ROW()-4,1),Payments!$B$5:$B$304,"&lt;="&amp;EOMONTH(DATE(Dash_Year-1,ROW()-4,1),0)))</f>
        <v>0</v>
      </c>
      <c r="AG141" s="28">
        <f>IF(Staff!$B$141="","",Staff!$B$141)</f>
        <v>0</v>
      </c>
      <c r="AH141" s="31">
        <f>IF(AG141="","",COUNTIFS('Visit Log'!$G$5:$G$404,AG141,'Visit Log'!$C$5:$C$404,"&gt;="&amp;RepFrom,'Visit Log'!$C$5:$C$404,"&lt;="&amp;RepTo,'Visit Log'!$AE$5:$AE$404,"Completed"))</f>
        <v>0</v>
      </c>
      <c r="AI141" s="51">
        <f>IF(AG141="","",ROUND(SUMIFS('Visit Log'!$K$5:$K$404,'Visit Log'!$G$5:$G$404,AG141,'Visit Log'!$C$5:$C$404,"&gt;="&amp;RepFrom,'Visit Log'!$C$5:$C$404,"&lt;="&amp;RepTo,'Visit Log'!$AE$5:$AE$404,"Completed")/60,2))</f>
        <v>0</v>
      </c>
      <c r="AJ141" s="29">
        <f>IF(AG141="","",SUMIFS(Bookings!$AK$5:$AK$404,Bookings!$AL$5:$AL$404,AG141,Bookings!$I$5:$I$404,"&gt;="&amp;RepFrom,Bookings!$I$5:$I$404,"&lt;="&amp;RepTo,Bookings!$AM$5:$AM$404,"&lt;&gt;Cancelled"))</f>
        <v>0</v>
      </c>
      <c r="AK141" s="32">
        <f>IF(AG141="","",SUMIFS(Mileage!$M$5:$M$304,Mileage!$C$5:$C$304,AG141,Mileage!$B$5:$B$304,"&gt;="&amp;RepFrom,Mileage!$B$5:$B$304,"&lt;="&amp;RepTo))</f>
        <v>0</v>
      </c>
      <c r="AL141" s="28">
        <f>IF(Lists!$Q141="","",Lists!$Q141)</f>
        <v>0</v>
      </c>
      <c r="AM141" s="31">
        <f>IF(AL141="","",COUNTIFS(Bookings!$AV$5:$AV$404,AL141,Bookings!$I$5:$I$404,"&gt;="&amp;RepFrom,Bookings!$I$5:$I$404,"&lt;="&amp;RepTo))</f>
        <v>0</v>
      </c>
      <c r="AN141" s="28">
        <f>IF(Lists!$AF141="","",Lists!$AF141)</f>
        <v>0</v>
      </c>
      <c r="AO141" s="29">
        <f>IF(AN141="","",SUMIFS(Payments!$L$5:$L$304,Payments!$F$5:$F$304,AN141,Payments!$B$5:$B$304,"&gt;="&amp;RepFrom,Payments!$B$5:$B$304,"&lt;="&amp;RepTo))</f>
        <v>0</v>
      </c>
      <c r="AP141" s="28">
        <f>IF(Lists!$E141="","",Lists!$E141)</f>
        <v>0</v>
      </c>
      <c r="AQ141" s="31">
        <f>IF(AP141="","",COUNTIFS(Clients!$K$5:$K$254,AP141))</f>
        <v>0</v>
      </c>
      <c r="AR141" s="29">
        <f>IF(AP141="","",SUMIFS(Clients!$AE$5:$AE$254,Clients!$K$5:$K$254,AP141))</f>
        <v>0</v>
      </c>
    </row>
    <row r="142" spans="1:44">
      <c r="A142" s="28">
        <f>IF(Clients!$B$142="","",Clients!$B$142)</f>
        <v>0</v>
      </c>
      <c r="B142" s="29">
        <f>IF(A142="","",SUMIFS(Payments!$L$5:$L$304,Payments!$C$5:$C$304,A142,Payments!$B$5:$B$304,"&gt;="&amp;PeriodStart,Payments!$B$5:$B$304,"&lt;="&amp;PeriodEnd))</f>
        <v>0</v>
      </c>
      <c r="C142" s="51">
        <f>IF(A142="","",IF(B142&lt;=0,"",B142+ROW()/1000000))</f>
        <v>0</v>
      </c>
      <c r="D142" s="29">
        <f>IF(A142="","",SUMIFS(Payments!$L$5:$L$304,Payments!$C$5:$C$304,A142,Payments!$B$5:$B$304,"&gt;="&amp;RepFrom,Payments!$B$5:$B$304,"&lt;="&amp;RepTo))</f>
        <v>0</v>
      </c>
      <c r="E142" s="51">
        <f>IF(A142="","",IF(D142&lt;=0,"",D142+ROW()/1000000))</f>
        <v>0</v>
      </c>
      <c r="F142" s="29">
        <f>IF(A142="","",SUMIFS(Invoices!$S$5:$S$304,Invoices!$D$5:$D$304,A142,Invoices!$T$5:$T$304,"&lt;&gt;Cancelled"))</f>
        <v>0</v>
      </c>
      <c r="G142" s="51">
        <f>IF(A142="","",IF(F142&lt;=0.004,"",F142+ROW()/1000000))</f>
        <v>0</v>
      </c>
      <c r="H142" s="31">
        <f>IF(A142="","",COUNTIFS(Bookings!$C$5:$C$404,A142,Bookings!$I$5:$I$404,"&gt;="&amp;RepFrom,Bookings!$I$5:$I$404,"&lt;="&amp;RepTo,Bookings!$AM$5:$AM$404,"&lt;&gt;Cancelled"))</f>
        <v>0</v>
      </c>
      <c r="I142" s="28">
        <f>IF(Services!$B$142="","",Services!$B$142)</f>
        <v>0</v>
      </c>
      <c r="J142" s="29">
        <f>IF(I142="","",SUMIFS(Bookings!$AK$5:$AK$404,Bookings!$H$5:$H$404,I142,Bookings!$I$5:$I$404,"&gt;="&amp;PeriodStart,Bookings!$I$5:$I$404,"&lt;="&amp;PeriodEnd,Bookings!$AM$5:$AM$404,"&lt;&gt;Cancelled"))</f>
        <v>0</v>
      </c>
      <c r="K142" s="31">
        <f>IF(I142="","",COUNTIFS(Bookings!$H$5:$H$404,I142,Bookings!$I$5:$I$404,"&gt;="&amp;PeriodStart,Bookings!$I$5:$I$404,"&lt;="&amp;PeriodEnd,Bookings!$AM$5:$AM$404,"&lt;&gt;Cancelled"))</f>
        <v>0</v>
      </c>
      <c r="L142" s="29">
        <f>IF(I142="","",SUMIFS(Bookings!$AK$5:$AK$404,Bookings!$H$5:$H$404,I142,Bookings!$I$5:$I$404,"&gt;="&amp;RepFrom,Bookings!$I$5:$I$404,"&lt;="&amp;RepTo,Bookings!$AM$5:$AM$404,"&lt;&gt;Cancelled"))</f>
        <v>0</v>
      </c>
      <c r="M142" s="31">
        <f>IF(I142="","",COUNTIFS(Bookings!$H$5:$H$404,I142,Bookings!$I$5:$I$404,"&gt;="&amp;RepFrom,Bookings!$I$5:$I$404,"&lt;="&amp;RepTo,Bookings!$AM$5:$AM$404,"&lt;&gt;Cancelled"))</f>
        <v>0</v>
      </c>
      <c r="N142" s="29">
        <f>IF(I142="","",M142*IF(Services!$L$142="",0,Services!$L$142))</f>
        <v>0</v>
      </c>
      <c r="O142" s="29">
        <f>IF(I142="","",L142-N142)</f>
        <v>0</v>
      </c>
      <c r="P142" s="28">
        <f>IF(Lists!$AG142="","",Lists!$AG142)</f>
        <v>0</v>
      </c>
      <c r="Q142" s="29">
        <f>IF(P142="","",SUMIFS(Expenses!$F$5:$F$304,Expenses!$C$5:$C$304,P142,Expenses!$B$5:$B$304,"&gt;="&amp;PeriodStart,Expenses!$B$5:$B$304,"&lt;="&amp;PeriodEnd,Expenses!$J$5:$J$304,"&lt;&gt;Personal"))</f>
        <v>0</v>
      </c>
      <c r="R142" s="29">
        <f>IF(P142="","",SUMIFS(Expenses!$F$5:$F$304,Expenses!$C$5:$C$304,P142,Expenses!$B$5:$B$304,"&gt;="&amp;RepFrom,Expenses!$B$5:$B$304,"&lt;="&amp;RepTo,Expenses!$J$5:$J$304,"&lt;&gt;Personal"))</f>
        <v>0</v>
      </c>
      <c r="S142" s="21">
        <f>IF(ROW()-4&gt;12,"",DATE(Dash_Year,ROW()-4,1))</f>
        <v>0</v>
      </c>
      <c r="T142" s="21">
        <f>IF(S142="","",EOMONTH(S142,0))</f>
        <v>0</v>
      </c>
      <c r="U142" s="28">
        <f>IF(S142="","",TEXT(S142,"mmm"))</f>
        <v>0</v>
      </c>
      <c r="V142" s="29">
        <f>IF(S142="","",SUMIFS(Payments!$L$5:$L$304,Payments!$B$5:$B$304,"&gt;="&amp;S142,Payments!$B$5:$B$304,"&lt;="&amp;T142))</f>
        <v>0</v>
      </c>
      <c r="W142" s="29">
        <f>IF(S142="","",SUMIFS(Invoices!$O$5:$O$304,Invoices!$B$5:$B$304,"&gt;="&amp;S142,Invoices!$B$5:$B$304,"&lt;="&amp;T142,Invoices!$T$5:$T$304,"&lt;&gt;Cancelled"))</f>
        <v>0</v>
      </c>
      <c r="X142" s="29">
        <f>IF(S142="","",SUMIFS(Expenses!$F$5:$F$304,Expenses!$B$5:$B$304,"&gt;="&amp;S142,Expenses!$B$5:$B$304,"&lt;="&amp;T142,Expenses!$J$5:$J$304,"&lt;&gt;Personal"))</f>
        <v>0</v>
      </c>
      <c r="Y142" s="29">
        <f>IF(S142="","",V142-X142)</f>
        <v>0</v>
      </c>
      <c r="Z142" s="31">
        <f>IF(S142="","",COUNTIFS(Bookings!$I$5:$I$404,"&gt;="&amp;S142,Bookings!$I$5:$I$404,"&lt;="&amp;T142,Bookings!$AM$5:$AM$404,"&lt;&gt;Cancelled"))</f>
        <v>0</v>
      </c>
      <c r="AA142" s="31">
        <f>IF(S142="","",COUNTIFS(Bookings!$I$5:$I$404,"&gt;="&amp;S142,Bookings!$I$5:$I$404,"&lt;="&amp;T142,Bookings!$AM$5:$AM$404,"Completed"))</f>
        <v>0</v>
      </c>
      <c r="AB142" s="31">
        <f>IF(S142="","",COUNTIFS(Bookings!$I$5:$I$404,"&gt;="&amp;S142,Bookings!$I$5:$I$404,"&lt;="&amp;T142,Bookings!$AM$5:$AM$404,"Cancelled"))</f>
        <v>0</v>
      </c>
      <c r="AC142" s="31">
        <f>IF(S142="","",COUNTIFS('Visit Log'!$C$5:$C$404,"&gt;="&amp;S142,'Visit Log'!$C$5:$C$404,"&lt;="&amp;T142,'Visit Log'!$AE$5:$AE$404,"Completed"))</f>
        <v>0</v>
      </c>
      <c r="AD142" s="31">
        <f>IF(S142="","",COUNTIFS(Clients!$L$5:$L$254,"&gt;="&amp;S142,Clients!$L$5:$L$254,"&lt;="&amp;T142))</f>
        <v>0</v>
      </c>
      <c r="AE142" s="32">
        <f>IF(S142="","",SUMIFS(Mileage!$M$5:$M$304,Mileage!$B$5:$B$304,"&gt;="&amp;S142,Mileage!$B$5:$B$304,"&lt;="&amp;T142,Mileage!$N$5:$N$304,"Business"))</f>
        <v>0</v>
      </c>
      <c r="AF142" s="29">
        <f>IF(S142="","",SUMIFS(Payments!$L$5:$L$304,Payments!$B$5:$B$304,"&gt;="&amp;DATE(Dash_Year-1,ROW()-4,1),Payments!$B$5:$B$304,"&lt;="&amp;EOMONTH(DATE(Dash_Year-1,ROW()-4,1),0)))</f>
        <v>0</v>
      </c>
      <c r="AG142" s="28">
        <f>IF(Staff!$B$142="","",Staff!$B$142)</f>
        <v>0</v>
      </c>
      <c r="AH142" s="31">
        <f>IF(AG142="","",COUNTIFS('Visit Log'!$G$5:$G$404,AG142,'Visit Log'!$C$5:$C$404,"&gt;="&amp;RepFrom,'Visit Log'!$C$5:$C$404,"&lt;="&amp;RepTo,'Visit Log'!$AE$5:$AE$404,"Completed"))</f>
        <v>0</v>
      </c>
      <c r="AI142" s="51">
        <f>IF(AG142="","",ROUND(SUMIFS('Visit Log'!$K$5:$K$404,'Visit Log'!$G$5:$G$404,AG142,'Visit Log'!$C$5:$C$404,"&gt;="&amp;RepFrom,'Visit Log'!$C$5:$C$404,"&lt;="&amp;RepTo,'Visit Log'!$AE$5:$AE$404,"Completed")/60,2))</f>
        <v>0</v>
      </c>
      <c r="AJ142" s="29">
        <f>IF(AG142="","",SUMIFS(Bookings!$AK$5:$AK$404,Bookings!$AL$5:$AL$404,AG142,Bookings!$I$5:$I$404,"&gt;="&amp;RepFrom,Bookings!$I$5:$I$404,"&lt;="&amp;RepTo,Bookings!$AM$5:$AM$404,"&lt;&gt;Cancelled"))</f>
        <v>0</v>
      </c>
      <c r="AK142" s="32">
        <f>IF(AG142="","",SUMIFS(Mileage!$M$5:$M$304,Mileage!$C$5:$C$304,AG142,Mileage!$B$5:$B$304,"&gt;="&amp;RepFrom,Mileage!$B$5:$B$304,"&lt;="&amp;RepTo))</f>
        <v>0</v>
      </c>
      <c r="AL142" s="28">
        <f>IF(Lists!$Q142="","",Lists!$Q142)</f>
        <v>0</v>
      </c>
      <c r="AM142" s="31">
        <f>IF(AL142="","",COUNTIFS(Bookings!$AV$5:$AV$404,AL142,Bookings!$I$5:$I$404,"&gt;="&amp;RepFrom,Bookings!$I$5:$I$404,"&lt;="&amp;RepTo))</f>
        <v>0</v>
      </c>
      <c r="AN142" s="28">
        <f>IF(Lists!$AF142="","",Lists!$AF142)</f>
        <v>0</v>
      </c>
      <c r="AO142" s="29">
        <f>IF(AN142="","",SUMIFS(Payments!$L$5:$L$304,Payments!$F$5:$F$304,AN142,Payments!$B$5:$B$304,"&gt;="&amp;RepFrom,Payments!$B$5:$B$304,"&lt;="&amp;RepTo))</f>
        <v>0</v>
      </c>
      <c r="AP142" s="28">
        <f>IF(Lists!$E142="","",Lists!$E142)</f>
        <v>0</v>
      </c>
      <c r="AQ142" s="31">
        <f>IF(AP142="","",COUNTIFS(Clients!$K$5:$K$254,AP142))</f>
        <v>0</v>
      </c>
      <c r="AR142" s="29">
        <f>IF(AP142="","",SUMIFS(Clients!$AE$5:$AE$254,Clients!$K$5:$K$254,AP142))</f>
        <v>0</v>
      </c>
    </row>
    <row r="143" spans="1:44">
      <c r="A143" s="28">
        <f>IF(Clients!$B$143="","",Clients!$B$143)</f>
        <v>0</v>
      </c>
      <c r="B143" s="29">
        <f>IF(A143="","",SUMIFS(Payments!$L$5:$L$304,Payments!$C$5:$C$304,A143,Payments!$B$5:$B$304,"&gt;="&amp;PeriodStart,Payments!$B$5:$B$304,"&lt;="&amp;PeriodEnd))</f>
        <v>0</v>
      </c>
      <c r="C143" s="51">
        <f>IF(A143="","",IF(B143&lt;=0,"",B143+ROW()/1000000))</f>
        <v>0</v>
      </c>
      <c r="D143" s="29">
        <f>IF(A143="","",SUMIFS(Payments!$L$5:$L$304,Payments!$C$5:$C$304,A143,Payments!$B$5:$B$304,"&gt;="&amp;RepFrom,Payments!$B$5:$B$304,"&lt;="&amp;RepTo))</f>
        <v>0</v>
      </c>
      <c r="E143" s="51">
        <f>IF(A143="","",IF(D143&lt;=0,"",D143+ROW()/1000000))</f>
        <v>0</v>
      </c>
      <c r="F143" s="29">
        <f>IF(A143="","",SUMIFS(Invoices!$S$5:$S$304,Invoices!$D$5:$D$304,A143,Invoices!$T$5:$T$304,"&lt;&gt;Cancelled"))</f>
        <v>0</v>
      </c>
      <c r="G143" s="51">
        <f>IF(A143="","",IF(F143&lt;=0.004,"",F143+ROW()/1000000))</f>
        <v>0</v>
      </c>
      <c r="H143" s="31">
        <f>IF(A143="","",COUNTIFS(Bookings!$C$5:$C$404,A143,Bookings!$I$5:$I$404,"&gt;="&amp;RepFrom,Bookings!$I$5:$I$404,"&lt;="&amp;RepTo,Bookings!$AM$5:$AM$404,"&lt;&gt;Cancelled"))</f>
        <v>0</v>
      </c>
      <c r="I143" s="28">
        <f>IF(Services!$B$143="","",Services!$B$143)</f>
        <v>0</v>
      </c>
      <c r="J143" s="29">
        <f>IF(I143="","",SUMIFS(Bookings!$AK$5:$AK$404,Bookings!$H$5:$H$404,I143,Bookings!$I$5:$I$404,"&gt;="&amp;PeriodStart,Bookings!$I$5:$I$404,"&lt;="&amp;PeriodEnd,Bookings!$AM$5:$AM$404,"&lt;&gt;Cancelled"))</f>
        <v>0</v>
      </c>
      <c r="K143" s="31">
        <f>IF(I143="","",COUNTIFS(Bookings!$H$5:$H$404,I143,Bookings!$I$5:$I$404,"&gt;="&amp;PeriodStart,Bookings!$I$5:$I$404,"&lt;="&amp;PeriodEnd,Bookings!$AM$5:$AM$404,"&lt;&gt;Cancelled"))</f>
        <v>0</v>
      </c>
      <c r="L143" s="29">
        <f>IF(I143="","",SUMIFS(Bookings!$AK$5:$AK$404,Bookings!$H$5:$H$404,I143,Bookings!$I$5:$I$404,"&gt;="&amp;RepFrom,Bookings!$I$5:$I$404,"&lt;="&amp;RepTo,Bookings!$AM$5:$AM$404,"&lt;&gt;Cancelled"))</f>
        <v>0</v>
      </c>
      <c r="M143" s="31">
        <f>IF(I143="","",COUNTIFS(Bookings!$H$5:$H$404,I143,Bookings!$I$5:$I$404,"&gt;="&amp;RepFrom,Bookings!$I$5:$I$404,"&lt;="&amp;RepTo,Bookings!$AM$5:$AM$404,"&lt;&gt;Cancelled"))</f>
        <v>0</v>
      </c>
      <c r="N143" s="29">
        <f>IF(I143="","",M143*IF(Services!$L$143="",0,Services!$L$143))</f>
        <v>0</v>
      </c>
      <c r="O143" s="29">
        <f>IF(I143="","",L143-N143)</f>
        <v>0</v>
      </c>
      <c r="P143" s="28">
        <f>IF(Lists!$AG143="","",Lists!$AG143)</f>
        <v>0</v>
      </c>
      <c r="Q143" s="29">
        <f>IF(P143="","",SUMIFS(Expenses!$F$5:$F$304,Expenses!$C$5:$C$304,P143,Expenses!$B$5:$B$304,"&gt;="&amp;PeriodStart,Expenses!$B$5:$B$304,"&lt;="&amp;PeriodEnd,Expenses!$J$5:$J$304,"&lt;&gt;Personal"))</f>
        <v>0</v>
      </c>
      <c r="R143" s="29">
        <f>IF(P143="","",SUMIFS(Expenses!$F$5:$F$304,Expenses!$C$5:$C$304,P143,Expenses!$B$5:$B$304,"&gt;="&amp;RepFrom,Expenses!$B$5:$B$304,"&lt;="&amp;RepTo,Expenses!$J$5:$J$304,"&lt;&gt;Personal"))</f>
        <v>0</v>
      </c>
      <c r="S143" s="21">
        <f>IF(ROW()-4&gt;12,"",DATE(Dash_Year,ROW()-4,1))</f>
        <v>0</v>
      </c>
      <c r="T143" s="21">
        <f>IF(S143="","",EOMONTH(S143,0))</f>
        <v>0</v>
      </c>
      <c r="U143" s="28">
        <f>IF(S143="","",TEXT(S143,"mmm"))</f>
        <v>0</v>
      </c>
      <c r="V143" s="29">
        <f>IF(S143="","",SUMIFS(Payments!$L$5:$L$304,Payments!$B$5:$B$304,"&gt;="&amp;S143,Payments!$B$5:$B$304,"&lt;="&amp;T143))</f>
        <v>0</v>
      </c>
      <c r="W143" s="29">
        <f>IF(S143="","",SUMIFS(Invoices!$O$5:$O$304,Invoices!$B$5:$B$304,"&gt;="&amp;S143,Invoices!$B$5:$B$304,"&lt;="&amp;T143,Invoices!$T$5:$T$304,"&lt;&gt;Cancelled"))</f>
        <v>0</v>
      </c>
      <c r="X143" s="29">
        <f>IF(S143="","",SUMIFS(Expenses!$F$5:$F$304,Expenses!$B$5:$B$304,"&gt;="&amp;S143,Expenses!$B$5:$B$304,"&lt;="&amp;T143,Expenses!$J$5:$J$304,"&lt;&gt;Personal"))</f>
        <v>0</v>
      </c>
      <c r="Y143" s="29">
        <f>IF(S143="","",V143-X143)</f>
        <v>0</v>
      </c>
      <c r="Z143" s="31">
        <f>IF(S143="","",COUNTIFS(Bookings!$I$5:$I$404,"&gt;="&amp;S143,Bookings!$I$5:$I$404,"&lt;="&amp;T143,Bookings!$AM$5:$AM$404,"&lt;&gt;Cancelled"))</f>
        <v>0</v>
      </c>
      <c r="AA143" s="31">
        <f>IF(S143="","",COUNTIFS(Bookings!$I$5:$I$404,"&gt;="&amp;S143,Bookings!$I$5:$I$404,"&lt;="&amp;T143,Bookings!$AM$5:$AM$404,"Completed"))</f>
        <v>0</v>
      </c>
      <c r="AB143" s="31">
        <f>IF(S143="","",COUNTIFS(Bookings!$I$5:$I$404,"&gt;="&amp;S143,Bookings!$I$5:$I$404,"&lt;="&amp;T143,Bookings!$AM$5:$AM$404,"Cancelled"))</f>
        <v>0</v>
      </c>
      <c r="AC143" s="31">
        <f>IF(S143="","",COUNTIFS('Visit Log'!$C$5:$C$404,"&gt;="&amp;S143,'Visit Log'!$C$5:$C$404,"&lt;="&amp;T143,'Visit Log'!$AE$5:$AE$404,"Completed"))</f>
        <v>0</v>
      </c>
      <c r="AD143" s="31">
        <f>IF(S143="","",COUNTIFS(Clients!$L$5:$L$254,"&gt;="&amp;S143,Clients!$L$5:$L$254,"&lt;="&amp;T143))</f>
        <v>0</v>
      </c>
      <c r="AE143" s="32">
        <f>IF(S143="","",SUMIFS(Mileage!$M$5:$M$304,Mileage!$B$5:$B$304,"&gt;="&amp;S143,Mileage!$B$5:$B$304,"&lt;="&amp;T143,Mileage!$N$5:$N$304,"Business"))</f>
        <v>0</v>
      </c>
      <c r="AF143" s="29">
        <f>IF(S143="","",SUMIFS(Payments!$L$5:$L$304,Payments!$B$5:$B$304,"&gt;="&amp;DATE(Dash_Year-1,ROW()-4,1),Payments!$B$5:$B$304,"&lt;="&amp;EOMONTH(DATE(Dash_Year-1,ROW()-4,1),0)))</f>
        <v>0</v>
      </c>
      <c r="AG143" s="28">
        <f>IF(Staff!$B$143="","",Staff!$B$143)</f>
        <v>0</v>
      </c>
      <c r="AH143" s="31">
        <f>IF(AG143="","",COUNTIFS('Visit Log'!$G$5:$G$404,AG143,'Visit Log'!$C$5:$C$404,"&gt;="&amp;RepFrom,'Visit Log'!$C$5:$C$404,"&lt;="&amp;RepTo,'Visit Log'!$AE$5:$AE$404,"Completed"))</f>
        <v>0</v>
      </c>
      <c r="AI143" s="51">
        <f>IF(AG143="","",ROUND(SUMIFS('Visit Log'!$K$5:$K$404,'Visit Log'!$G$5:$G$404,AG143,'Visit Log'!$C$5:$C$404,"&gt;="&amp;RepFrom,'Visit Log'!$C$5:$C$404,"&lt;="&amp;RepTo,'Visit Log'!$AE$5:$AE$404,"Completed")/60,2))</f>
        <v>0</v>
      </c>
      <c r="AJ143" s="29">
        <f>IF(AG143="","",SUMIFS(Bookings!$AK$5:$AK$404,Bookings!$AL$5:$AL$404,AG143,Bookings!$I$5:$I$404,"&gt;="&amp;RepFrom,Bookings!$I$5:$I$404,"&lt;="&amp;RepTo,Bookings!$AM$5:$AM$404,"&lt;&gt;Cancelled"))</f>
        <v>0</v>
      </c>
      <c r="AK143" s="32">
        <f>IF(AG143="","",SUMIFS(Mileage!$M$5:$M$304,Mileage!$C$5:$C$304,AG143,Mileage!$B$5:$B$304,"&gt;="&amp;RepFrom,Mileage!$B$5:$B$304,"&lt;="&amp;RepTo))</f>
        <v>0</v>
      </c>
      <c r="AL143" s="28">
        <f>IF(Lists!$Q143="","",Lists!$Q143)</f>
        <v>0</v>
      </c>
      <c r="AM143" s="31">
        <f>IF(AL143="","",COUNTIFS(Bookings!$AV$5:$AV$404,AL143,Bookings!$I$5:$I$404,"&gt;="&amp;RepFrom,Bookings!$I$5:$I$404,"&lt;="&amp;RepTo))</f>
        <v>0</v>
      </c>
      <c r="AN143" s="28">
        <f>IF(Lists!$AF143="","",Lists!$AF143)</f>
        <v>0</v>
      </c>
      <c r="AO143" s="29">
        <f>IF(AN143="","",SUMIFS(Payments!$L$5:$L$304,Payments!$F$5:$F$304,AN143,Payments!$B$5:$B$304,"&gt;="&amp;RepFrom,Payments!$B$5:$B$304,"&lt;="&amp;RepTo))</f>
        <v>0</v>
      </c>
      <c r="AP143" s="28">
        <f>IF(Lists!$E143="","",Lists!$E143)</f>
        <v>0</v>
      </c>
      <c r="AQ143" s="31">
        <f>IF(AP143="","",COUNTIFS(Clients!$K$5:$K$254,AP143))</f>
        <v>0</v>
      </c>
      <c r="AR143" s="29">
        <f>IF(AP143="","",SUMIFS(Clients!$AE$5:$AE$254,Clients!$K$5:$K$254,AP143))</f>
        <v>0</v>
      </c>
    </row>
    <row r="144" spans="1:44">
      <c r="A144" s="28">
        <f>IF(Clients!$B$144="","",Clients!$B$144)</f>
        <v>0</v>
      </c>
      <c r="B144" s="29">
        <f>IF(A144="","",SUMIFS(Payments!$L$5:$L$304,Payments!$C$5:$C$304,A144,Payments!$B$5:$B$304,"&gt;="&amp;PeriodStart,Payments!$B$5:$B$304,"&lt;="&amp;PeriodEnd))</f>
        <v>0</v>
      </c>
      <c r="C144" s="51">
        <f>IF(A144="","",IF(B144&lt;=0,"",B144+ROW()/1000000))</f>
        <v>0</v>
      </c>
      <c r="D144" s="29">
        <f>IF(A144="","",SUMIFS(Payments!$L$5:$L$304,Payments!$C$5:$C$304,A144,Payments!$B$5:$B$304,"&gt;="&amp;RepFrom,Payments!$B$5:$B$304,"&lt;="&amp;RepTo))</f>
        <v>0</v>
      </c>
      <c r="E144" s="51">
        <f>IF(A144="","",IF(D144&lt;=0,"",D144+ROW()/1000000))</f>
        <v>0</v>
      </c>
      <c r="F144" s="29">
        <f>IF(A144="","",SUMIFS(Invoices!$S$5:$S$304,Invoices!$D$5:$D$304,A144,Invoices!$T$5:$T$304,"&lt;&gt;Cancelled"))</f>
        <v>0</v>
      </c>
      <c r="G144" s="51">
        <f>IF(A144="","",IF(F144&lt;=0.004,"",F144+ROW()/1000000))</f>
        <v>0</v>
      </c>
      <c r="H144" s="31">
        <f>IF(A144="","",COUNTIFS(Bookings!$C$5:$C$404,A144,Bookings!$I$5:$I$404,"&gt;="&amp;RepFrom,Bookings!$I$5:$I$404,"&lt;="&amp;RepTo,Bookings!$AM$5:$AM$404,"&lt;&gt;Cancelled"))</f>
        <v>0</v>
      </c>
      <c r="I144" s="28">
        <f>IF(Services!$B$144="","",Services!$B$144)</f>
        <v>0</v>
      </c>
      <c r="J144" s="29">
        <f>IF(I144="","",SUMIFS(Bookings!$AK$5:$AK$404,Bookings!$H$5:$H$404,I144,Bookings!$I$5:$I$404,"&gt;="&amp;PeriodStart,Bookings!$I$5:$I$404,"&lt;="&amp;PeriodEnd,Bookings!$AM$5:$AM$404,"&lt;&gt;Cancelled"))</f>
        <v>0</v>
      </c>
      <c r="K144" s="31">
        <f>IF(I144="","",COUNTIFS(Bookings!$H$5:$H$404,I144,Bookings!$I$5:$I$404,"&gt;="&amp;PeriodStart,Bookings!$I$5:$I$404,"&lt;="&amp;PeriodEnd,Bookings!$AM$5:$AM$404,"&lt;&gt;Cancelled"))</f>
        <v>0</v>
      </c>
      <c r="L144" s="29">
        <f>IF(I144="","",SUMIFS(Bookings!$AK$5:$AK$404,Bookings!$H$5:$H$404,I144,Bookings!$I$5:$I$404,"&gt;="&amp;RepFrom,Bookings!$I$5:$I$404,"&lt;="&amp;RepTo,Bookings!$AM$5:$AM$404,"&lt;&gt;Cancelled"))</f>
        <v>0</v>
      </c>
      <c r="M144" s="31">
        <f>IF(I144="","",COUNTIFS(Bookings!$H$5:$H$404,I144,Bookings!$I$5:$I$404,"&gt;="&amp;RepFrom,Bookings!$I$5:$I$404,"&lt;="&amp;RepTo,Bookings!$AM$5:$AM$404,"&lt;&gt;Cancelled"))</f>
        <v>0</v>
      </c>
      <c r="N144" s="29">
        <f>IF(I144="","",M144*IF(Services!$L$144="",0,Services!$L$144))</f>
        <v>0</v>
      </c>
      <c r="O144" s="29">
        <f>IF(I144="","",L144-N144)</f>
        <v>0</v>
      </c>
      <c r="P144" s="28">
        <f>IF(Lists!$AG144="","",Lists!$AG144)</f>
        <v>0</v>
      </c>
      <c r="Q144" s="29">
        <f>IF(P144="","",SUMIFS(Expenses!$F$5:$F$304,Expenses!$C$5:$C$304,P144,Expenses!$B$5:$B$304,"&gt;="&amp;PeriodStart,Expenses!$B$5:$B$304,"&lt;="&amp;PeriodEnd,Expenses!$J$5:$J$304,"&lt;&gt;Personal"))</f>
        <v>0</v>
      </c>
      <c r="R144" s="29">
        <f>IF(P144="","",SUMIFS(Expenses!$F$5:$F$304,Expenses!$C$5:$C$304,P144,Expenses!$B$5:$B$304,"&gt;="&amp;RepFrom,Expenses!$B$5:$B$304,"&lt;="&amp;RepTo,Expenses!$J$5:$J$304,"&lt;&gt;Personal"))</f>
        <v>0</v>
      </c>
      <c r="S144" s="21">
        <f>IF(ROW()-4&gt;12,"",DATE(Dash_Year,ROW()-4,1))</f>
        <v>0</v>
      </c>
      <c r="T144" s="21">
        <f>IF(S144="","",EOMONTH(S144,0))</f>
        <v>0</v>
      </c>
      <c r="U144" s="28">
        <f>IF(S144="","",TEXT(S144,"mmm"))</f>
        <v>0</v>
      </c>
      <c r="V144" s="29">
        <f>IF(S144="","",SUMIFS(Payments!$L$5:$L$304,Payments!$B$5:$B$304,"&gt;="&amp;S144,Payments!$B$5:$B$304,"&lt;="&amp;T144))</f>
        <v>0</v>
      </c>
      <c r="W144" s="29">
        <f>IF(S144="","",SUMIFS(Invoices!$O$5:$O$304,Invoices!$B$5:$B$304,"&gt;="&amp;S144,Invoices!$B$5:$B$304,"&lt;="&amp;T144,Invoices!$T$5:$T$304,"&lt;&gt;Cancelled"))</f>
        <v>0</v>
      </c>
      <c r="X144" s="29">
        <f>IF(S144="","",SUMIFS(Expenses!$F$5:$F$304,Expenses!$B$5:$B$304,"&gt;="&amp;S144,Expenses!$B$5:$B$304,"&lt;="&amp;T144,Expenses!$J$5:$J$304,"&lt;&gt;Personal"))</f>
        <v>0</v>
      </c>
      <c r="Y144" s="29">
        <f>IF(S144="","",V144-X144)</f>
        <v>0</v>
      </c>
      <c r="Z144" s="31">
        <f>IF(S144="","",COUNTIFS(Bookings!$I$5:$I$404,"&gt;="&amp;S144,Bookings!$I$5:$I$404,"&lt;="&amp;T144,Bookings!$AM$5:$AM$404,"&lt;&gt;Cancelled"))</f>
        <v>0</v>
      </c>
      <c r="AA144" s="31">
        <f>IF(S144="","",COUNTIFS(Bookings!$I$5:$I$404,"&gt;="&amp;S144,Bookings!$I$5:$I$404,"&lt;="&amp;T144,Bookings!$AM$5:$AM$404,"Completed"))</f>
        <v>0</v>
      </c>
      <c r="AB144" s="31">
        <f>IF(S144="","",COUNTIFS(Bookings!$I$5:$I$404,"&gt;="&amp;S144,Bookings!$I$5:$I$404,"&lt;="&amp;T144,Bookings!$AM$5:$AM$404,"Cancelled"))</f>
        <v>0</v>
      </c>
      <c r="AC144" s="31">
        <f>IF(S144="","",COUNTIFS('Visit Log'!$C$5:$C$404,"&gt;="&amp;S144,'Visit Log'!$C$5:$C$404,"&lt;="&amp;T144,'Visit Log'!$AE$5:$AE$404,"Completed"))</f>
        <v>0</v>
      </c>
      <c r="AD144" s="31">
        <f>IF(S144="","",COUNTIFS(Clients!$L$5:$L$254,"&gt;="&amp;S144,Clients!$L$5:$L$254,"&lt;="&amp;T144))</f>
        <v>0</v>
      </c>
      <c r="AE144" s="32">
        <f>IF(S144="","",SUMIFS(Mileage!$M$5:$M$304,Mileage!$B$5:$B$304,"&gt;="&amp;S144,Mileage!$B$5:$B$304,"&lt;="&amp;T144,Mileage!$N$5:$N$304,"Business"))</f>
        <v>0</v>
      </c>
      <c r="AF144" s="29">
        <f>IF(S144="","",SUMIFS(Payments!$L$5:$L$304,Payments!$B$5:$B$304,"&gt;="&amp;DATE(Dash_Year-1,ROW()-4,1),Payments!$B$5:$B$304,"&lt;="&amp;EOMONTH(DATE(Dash_Year-1,ROW()-4,1),0)))</f>
        <v>0</v>
      </c>
      <c r="AG144" s="28">
        <f>IF(Staff!$B$144="","",Staff!$B$144)</f>
        <v>0</v>
      </c>
      <c r="AH144" s="31">
        <f>IF(AG144="","",COUNTIFS('Visit Log'!$G$5:$G$404,AG144,'Visit Log'!$C$5:$C$404,"&gt;="&amp;RepFrom,'Visit Log'!$C$5:$C$404,"&lt;="&amp;RepTo,'Visit Log'!$AE$5:$AE$404,"Completed"))</f>
        <v>0</v>
      </c>
      <c r="AI144" s="51">
        <f>IF(AG144="","",ROUND(SUMIFS('Visit Log'!$K$5:$K$404,'Visit Log'!$G$5:$G$404,AG144,'Visit Log'!$C$5:$C$404,"&gt;="&amp;RepFrom,'Visit Log'!$C$5:$C$404,"&lt;="&amp;RepTo,'Visit Log'!$AE$5:$AE$404,"Completed")/60,2))</f>
        <v>0</v>
      </c>
      <c r="AJ144" s="29">
        <f>IF(AG144="","",SUMIFS(Bookings!$AK$5:$AK$404,Bookings!$AL$5:$AL$404,AG144,Bookings!$I$5:$I$404,"&gt;="&amp;RepFrom,Bookings!$I$5:$I$404,"&lt;="&amp;RepTo,Bookings!$AM$5:$AM$404,"&lt;&gt;Cancelled"))</f>
        <v>0</v>
      </c>
      <c r="AK144" s="32">
        <f>IF(AG144="","",SUMIFS(Mileage!$M$5:$M$304,Mileage!$C$5:$C$304,AG144,Mileage!$B$5:$B$304,"&gt;="&amp;RepFrom,Mileage!$B$5:$B$304,"&lt;="&amp;RepTo))</f>
        <v>0</v>
      </c>
      <c r="AL144" s="28">
        <f>IF(Lists!$Q144="","",Lists!$Q144)</f>
        <v>0</v>
      </c>
      <c r="AM144" s="31">
        <f>IF(AL144="","",COUNTIFS(Bookings!$AV$5:$AV$404,AL144,Bookings!$I$5:$I$404,"&gt;="&amp;RepFrom,Bookings!$I$5:$I$404,"&lt;="&amp;RepTo))</f>
        <v>0</v>
      </c>
      <c r="AN144" s="28">
        <f>IF(Lists!$AF144="","",Lists!$AF144)</f>
        <v>0</v>
      </c>
      <c r="AO144" s="29">
        <f>IF(AN144="","",SUMIFS(Payments!$L$5:$L$304,Payments!$F$5:$F$304,AN144,Payments!$B$5:$B$304,"&gt;="&amp;RepFrom,Payments!$B$5:$B$304,"&lt;="&amp;RepTo))</f>
        <v>0</v>
      </c>
      <c r="AP144" s="28">
        <f>IF(Lists!$E144="","",Lists!$E144)</f>
        <v>0</v>
      </c>
      <c r="AQ144" s="31">
        <f>IF(AP144="","",COUNTIFS(Clients!$K$5:$K$254,AP144))</f>
        <v>0</v>
      </c>
      <c r="AR144" s="29">
        <f>IF(AP144="","",SUMIFS(Clients!$AE$5:$AE$254,Clients!$K$5:$K$254,AP144))</f>
        <v>0</v>
      </c>
    </row>
    <row r="145" spans="1:44">
      <c r="A145" s="28">
        <f>IF(Clients!$B$145="","",Clients!$B$145)</f>
        <v>0</v>
      </c>
      <c r="B145" s="29">
        <f>IF(A145="","",SUMIFS(Payments!$L$5:$L$304,Payments!$C$5:$C$304,A145,Payments!$B$5:$B$304,"&gt;="&amp;PeriodStart,Payments!$B$5:$B$304,"&lt;="&amp;PeriodEnd))</f>
        <v>0</v>
      </c>
      <c r="C145" s="51">
        <f>IF(A145="","",IF(B145&lt;=0,"",B145+ROW()/1000000))</f>
        <v>0</v>
      </c>
      <c r="D145" s="29">
        <f>IF(A145="","",SUMIFS(Payments!$L$5:$L$304,Payments!$C$5:$C$304,A145,Payments!$B$5:$B$304,"&gt;="&amp;RepFrom,Payments!$B$5:$B$304,"&lt;="&amp;RepTo))</f>
        <v>0</v>
      </c>
      <c r="E145" s="51">
        <f>IF(A145="","",IF(D145&lt;=0,"",D145+ROW()/1000000))</f>
        <v>0</v>
      </c>
      <c r="F145" s="29">
        <f>IF(A145="","",SUMIFS(Invoices!$S$5:$S$304,Invoices!$D$5:$D$304,A145,Invoices!$T$5:$T$304,"&lt;&gt;Cancelled"))</f>
        <v>0</v>
      </c>
      <c r="G145" s="51">
        <f>IF(A145="","",IF(F145&lt;=0.004,"",F145+ROW()/1000000))</f>
        <v>0</v>
      </c>
      <c r="H145" s="31">
        <f>IF(A145="","",COUNTIFS(Bookings!$C$5:$C$404,A145,Bookings!$I$5:$I$404,"&gt;="&amp;RepFrom,Bookings!$I$5:$I$404,"&lt;="&amp;RepTo,Bookings!$AM$5:$AM$404,"&lt;&gt;Cancelled"))</f>
        <v>0</v>
      </c>
      <c r="I145" s="28">
        <f>IF(Services!$B$145="","",Services!$B$145)</f>
        <v>0</v>
      </c>
      <c r="J145" s="29">
        <f>IF(I145="","",SUMIFS(Bookings!$AK$5:$AK$404,Bookings!$H$5:$H$404,I145,Bookings!$I$5:$I$404,"&gt;="&amp;PeriodStart,Bookings!$I$5:$I$404,"&lt;="&amp;PeriodEnd,Bookings!$AM$5:$AM$404,"&lt;&gt;Cancelled"))</f>
        <v>0</v>
      </c>
      <c r="K145" s="31">
        <f>IF(I145="","",COUNTIFS(Bookings!$H$5:$H$404,I145,Bookings!$I$5:$I$404,"&gt;="&amp;PeriodStart,Bookings!$I$5:$I$404,"&lt;="&amp;PeriodEnd,Bookings!$AM$5:$AM$404,"&lt;&gt;Cancelled"))</f>
        <v>0</v>
      </c>
      <c r="L145" s="29">
        <f>IF(I145="","",SUMIFS(Bookings!$AK$5:$AK$404,Bookings!$H$5:$H$404,I145,Bookings!$I$5:$I$404,"&gt;="&amp;RepFrom,Bookings!$I$5:$I$404,"&lt;="&amp;RepTo,Bookings!$AM$5:$AM$404,"&lt;&gt;Cancelled"))</f>
        <v>0</v>
      </c>
      <c r="M145" s="31">
        <f>IF(I145="","",COUNTIFS(Bookings!$H$5:$H$404,I145,Bookings!$I$5:$I$404,"&gt;="&amp;RepFrom,Bookings!$I$5:$I$404,"&lt;="&amp;RepTo,Bookings!$AM$5:$AM$404,"&lt;&gt;Cancelled"))</f>
        <v>0</v>
      </c>
      <c r="N145" s="29">
        <f>IF(I145="","",M145*IF(Services!$L$145="",0,Services!$L$145))</f>
        <v>0</v>
      </c>
      <c r="O145" s="29">
        <f>IF(I145="","",L145-N145)</f>
        <v>0</v>
      </c>
      <c r="P145" s="28">
        <f>IF(Lists!$AG145="","",Lists!$AG145)</f>
        <v>0</v>
      </c>
      <c r="Q145" s="29">
        <f>IF(P145="","",SUMIFS(Expenses!$F$5:$F$304,Expenses!$C$5:$C$304,P145,Expenses!$B$5:$B$304,"&gt;="&amp;PeriodStart,Expenses!$B$5:$B$304,"&lt;="&amp;PeriodEnd,Expenses!$J$5:$J$304,"&lt;&gt;Personal"))</f>
        <v>0</v>
      </c>
      <c r="R145" s="29">
        <f>IF(P145="","",SUMIFS(Expenses!$F$5:$F$304,Expenses!$C$5:$C$304,P145,Expenses!$B$5:$B$304,"&gt;="&amp;RepFrom,Expenses!$B$5:$B$304,"&lt;="&amp;RepTo,Expenses!$J$5:$J$304,"&lt;&gt;Personal"))</f>
        <v>0</v>
      </c>
      <c r="S145" s="21">
        <f>IF(ROW()-4&gt;12,"",DATE(Dash_Year,ROW()-4,1))</f>
        <v>0</v>
      </c>
      <c r="T145" s="21">
        <f>IF(S145="","",EOMONTH(S145,0))</f>
        <v>0</v>
      </c>
      <c r="U145" s="28">
        <f>IF(S145="","",TEXT(S145,"mmm"))</f>
        <v>0</v>
      </c>
      <c r="V145" s="29">
        <f>IF(S145="","",SUMIFS(Payments!$L$5:$L$304,Payments!$B$5:$B$304,"&gt;="&amp;S145,Payments!$B$5:$B$304,"&lt;="&amp;T145))</f>
        <v>0</v>
      </c>
      <c r="W145" s="29">
        <f>IF(S145="","",SUMIFS(Invoices!$O$5:$O$304,Invoices!$B$5:$B$304,"&gt;="&amp;S145,Invoices!$B$5:$B$304,"&lt;="&amp;T145,Invoices!$T$5:$T$304,"&lt;&gt;Cancelled"))</f>
        <v>0</v>
      </c>
      <c r="X145" s="29">
        <f>IF(S145="","",SUMIFS(Expenses!$F$5:$F$304,Expenses!$B$5:$B$304,"&gt;="&amp;S145,Expenses!$B$5:$B$304,"&lt;="&amp;T145,Expenses!$J$5:$J$304,"&lt;&gt;Personal"))</f>
        <v>0</v>
      </c>
      <c r="Y145" s="29">
        <f>IF(S145="","",V145-X145)</f>
        <v>0</v>
      </c>
      <c r="Z145" s="31">
        <f>IF(S145="","",COUNTIFS(Bookings!$I$5:$I$404,"&gt;="&amp;S145,Bookings!$I$5:$I$404,"&lt;="&amp;T145,Bookings!$AM$5:$AM$404,"&lt;&gt;Cancelled"))</f>
        <v>0</v>
      </c>
      <c r="AA145" s="31">
        <f>IF(S145="","",COUNTIFS(Bookings!$I$5:$I$404,"&gt;="&amp;S145,Bookings!$I$5:$I$404,"&lt;="&amp;T145,Bookings!$AM$5:$AM$404,"Completed"))</f>
        <v>0</v>
      </c>
      <c r="AB145" s="31">
        <f>IF(S145="","",COUNTIFS(Bookings!$I$5:$I$404,"&gt;="&amp;S145,Bookings!$I$5:$I$404,"&lt;="&amp;T145,Bookings!$AM$5:$AM$404,"Cancelled"))</f>
        <v>0</v>
      </c>
      <c r="AC145" s="31">
        <f>IF(S145="","",COUNTIFS('Visit Log'!$C$5:$C$404,"&gt;="&amp;S145,'Visit Log'!$C$5:$C$404,"&lt;="&amp;T145,'Visit Log'!$AE$5:$AE$404,"Completed"))</f>
        <v>0</v>
      </c>
      <c r="AD145" s="31">
        <f>IF(S145="","",COUNTIFS(Clients!$L$5:$L$254,"&gt;="&amp;S145,Clients!$L$5:$L$254,"&lt;="&amp;T145))</f>
        <v>0</v>
      </c>
      <c r="AE145" s="32">
        <f>IF(S145="","",SUMIFS(Mileage!$M$5:$M$304,Mileage!$B$5:$B$304,"&gt;="&amp;S145,Mileage!$B$5:$B$304,"&lt;="&amp;T145,Mileage!$N$5:$N$304,"Business"))</f>
        <v>0</v>
      </c>
      <c r="AF145" s="29">
        <f>IF(S145="","",SUMIFS(Payments!$L$5:$L$304,Payments!$B$5:$B$304,"&gt;="&amp;DATE(Dash_Year-1,ROW()-4,1),Payments!$B$5:$B$304,"&lt;="&amp;EOMONTH(DATE(Dash_Year-1,ROW()-4,1),0)))</f>
        <v>0</v>
      </c>
      <c r="AG145" s="28">
        <f>IF(Staff!$B$145="","",Staff!$B$145)</f>
        <v>0</v>
      </c>
      <c r="AH145" s="31">
        <f>IF(AG145="","",COUNTIFS('Visit Log'!$G$5:$G$404,AG145,'Visit Log'!$C$5:$C$404,"&gt;="&amp;RepFrom,'Visit Log'!$C$5:$C$404,"&lt;="&amp;RepTo,'Visit Log'!$AE$5:$AE$404,"Completed"))</f>
        <v>0</v>
      </c>
      <c r="AI145" s="51">
        <f>IF(AG145="","",ROUND(SUMIFS('Visit Log'!$K$5:$K$404,'Visit Log'!$G$5:$G$404,AG145,'Visit Log'!$C$5:$C$404,"&gt;="&amp;RepFrom,'Visit Log'!$C$5:$C$404,"&lt;="&amp;RepTo,'Visit Log'!$AE$5:$AE$404,"Completed")/60,2))</f>
        <v>0</v>
      </c>
      <c r="AJ145" s="29">
        <f>IF(AG145="","",SUMIFS(Bookings!$AK$5:$AK$404,Bookings!$AL$5:$AL$404,AG145,Bookings!$I$5:$I$404,"&gt;="&amp;RepFrom,Bookings!$I$5:$I$404,"&lt;="&amp;RepTo,Bookings!$AM$5:$AM$404,"&lt;&gt;Cancelled"))</f>
        <v>0</v>
      </c>
      <c r="AK145" s="32">
        <f>IF(AG145="","",SUMIFS(Mileage!$M$5:$M$304,Mileage!$C$5:$C$304,AG145,Mileage!$B$5:$B$304,"&gt;="&amp;RepFrom,Mileage!$B$5:$B$304,"&lt;="&amp;RepTo))</f>
        <v>0</v>
      </c>
      <c r="AL145" s="28">
        <f>IF(Lists!$Q145="","",Lists!$Q145)</f>
        <v>0</v>
      </c>
      <c r="AM145" s="31">
        <f>IF(AL145="","",COUNTIFS(Bookings!$AV$5:$AV$404,AL145,Bookings!$I$5:$I$404,"&gt;="&amp;RepFrom,Bookings!$I$5:$I$404,"&lt;="&amp;RepTo))</f>
        <v>0</v>
      </c>
      <c r="AN145" s="28">
        <f>IF(Lists!$AF145="","",Lists!$AF145)</f>
        <v>0</v>
      </c>
      <c r="AO145" s="29">
        <f>IF(AN145="","",SUMIFS(Payments!$L$5:$L$304,Payments!$F$5:$F$304,AN145,Payments!$B$5:$B$304,"&gt;="&amp;RepFrom,Payments!$B$5:$B$304,"&lt;="&amp;RepTo))</f>
        <v>0</v>
      </c>
      <c r="AP145" s="28">
        <f>IF(Lists!$E145="","",Lists!$E145)</f>
        <v>0</v>
      </c>
      <c r="AQ145" s="31">
        <f>IF(AP145="","",COUNTIFS(Clients!$K$5:$K$254,AP145))</f>
        <v>0</v>
      </c>
      <c r="AR145" s="29">
        <f>IF(AP145="","",SUMIFS(Clients!$AE$5:$AE$254,Clients!$K$5:$K$254,AP145))</f>
        <v>0</v>
      </c>
    </row>
    <row r="146" spans="1:44">
      <c r="A146" s="28">
        <f>IF(Clients!$B$146="","",Clients!$B$146)</f>
        <v>0</v>
      </c>
      <c r="B146" s="29">
        <f>IF(A146="","",SUMIFS(Payments!$L$5:$L$304,Payments!$C$5:$C$304,A146,Payments!$B$5:$B$304,"&gt;="&amp;PeriodStart,Payments!$B$5:$B$304,"&lt;="&amp;PeriodEnd))</f>
        <v>0</v>
      </c>
      <c r="C146" s="51">
        <f>IF(A146="","",IF(B146&lt;=0,"",B146+ROW()/1000000))</f>
        <v>0</v>
      </c>
      <c r="D146" s="29">
        <f>IF(A146="","",SUMIFS(Payments!$L$5:$L$304,Payments!$C$5:$C$304,A146,Payments!$B$5:$B$304,"&gt;="&amp;RepFrom,Payments!$B$5:$B$304,"&lt;="&amp;RepTo))</f>
        <v>0</v>
      </c>
      <c r="E146" s="51">
        <f>IF(A146="","",IF(D146&lt;=0,"",D146+ROW()/1000000))</f>
        <v>0</v>
      </c>
      <c r="F146" s="29">
        <f>IF(A146="","",SUMIFS(Invoices!$S$5:$S$304,Invoices!$D$5:$D$304,A146,Invoices!$T$5:$T$304,"&lt;&gt;Cancelled"))</f>
        <v>0</v>
      </c>
      <c r="G146" s="51">
        <f>IF(A146="","",IF(F146&lt;=0.004,"",F146+ROW()/1000000))</f>
        <v>0</v>
      </c>
      <c r="H146" s="31">
        <f>IF(A146="","",COUNTIFS(Bookings!$C$5:$C$404,A146,Bookings!$I$5:$I$404,"&gt;="&amp;RepFrom,Bookings!$I$5:$I$404,"&lt;="&amp;RepTo,Bookings!$AM$5:$AM$404,"&lt;&gt;Cancelled"))</f>
        <v>0</v>
      </c>
      <c r="I146" s="28">
        <f>IF(Services!$B$146="","",Services!$B$146)</f>
        <v>0</v>
      </c>
      <c r="J146" s="29">
        <f>IF(I146="","",SUMIFS(Bookings!$AK$5:$AK$404,Bookings!$H$5:$H$404,I146,Bookings!$I$5:$I$404,"&gt;="&amp;PeriodStart,Bookings!$I$5:$I$404,"&lt;="&amp;PeriodEnd,Bookings!$AM$5:$AM$404,"&lt;&gt;Cancelled"))</f>
        <v>0</v>
      </c>
      <c r="K146" s="31">
        <f>IF(I146="","",COUNTIFS(Bookings!$H$5:$H$404,I146,Bookings!$I$5:$I$404,"&gt;="&amp;PeriodStart,Bookings!$I$5:$I$404,"&lt;="&amp;PeriodEnd,Bookings!$AM$5:$AM$404,"&lt;&gt;Cancelled"))</f>
        <v>0</v>
      </c>
      <c r="L146" s="29">
        <f>IF(I146="","",SUMIFS(Bookings!$AK$5:$AK$404,Bookings!$H$5:$H$404,I146,Bookings!$I$5:$I$404,"&gt;="&amp;RepFrom,Bookings!$I$5:$I$404,"&lt;="&amp;RepTo,Bookings!$AM$5:$AM$404,"&lt;&gt;Cancelled"))</f>
        <v>0</v>
      </c>
      <c r="M146" s="31">
        <f>IF(I146="","",COUNTIFS(Bookings!$H$5:$H$404,I146,Bookings!$I$5:$I$404,"&gt;="&amp;RepFrom,Bookings!$I$5:$I$404,"&lt;="&amp;RepTo,Bookings!$AM$5:$AM$404,"&lt;&gt;Cancelled"))</f>
        <v>0</v>
      </c>
      <c r="N146" s="29">
        <f>IF(I146="","",M146*IF(Services!$L$146="",0,Services!$L$146))</f>
        <v>0</v>
      </c>
      <c r="O146" s="29">
        <f>IF(I146="","",L146-N146)</f>
        <v>0</v>
      </c>
      <c r="P146" s="28">
        <f>IF(Lists!$AG146="","",Lists!$AG146)</f>
        <v>0</v>
      </c>
      <c r="Q146" s="29">
        <f>IF(P146="","",SUMIFS(Expenses!$F$5:$F$304,Expenses!$C$5:$C$304,P146,Expenses!$B$5:$B$304,"&gt;="&amp;PeriodStart,Expenses!$B$5:$B$304,"&lt;="&amp;PeriodEnd,Expenses!$J$5:$J$304,"&lt;&gt;Personal"))</f>
        <v>0</v>
      </c>
      <c r="R146" s="29">
        <f>IF(P146="","",SUMIFS(Expenses!$F$5:$F$304,Expenses!$C$5:$C$304,P146,Expenses!$B$5:$B$304,"&gt;="&amp;RepFrom,Expenses!$B$5:$B$304,"&lt;="&amp;RepTo,Expenses!$J$5:$J$304,"&lt;&gt;Personal"))</f>
        <v>0</v>
      </c>
      <c r="S146" s="21">
        <f>IF(ROW()-4&gt;12,"",DATE(Dash_Year,ROW()-4,1))</f>
        <v>0</v>
      </c>
      <c r="T146" s="21">
        <f>IF(S146="","",EOMONTH(S146,0))</f>
        <v>0</v>
      </c>
      <c r="U146" s="28">
        <f>IF(S146="","",TEXT(S146,"mmm"))</f>
        <v>0</v>
      </c>
      <c r="V146" s="29">
        <f>IF(S146="","",SUMIFS(Payments!$L$5:$L$304,Payments!$B$5:$B$304,"&gt;="&amp;S146,Payments!$B$5:$B$304,"&lt;="&amp;T146))</f>
        <v>0</v>
      </c>
      <c r="W146" s="29">
        <f>IF(S146="","",SUMIFS(Invoices!$O$5:$O$304,Invoices!$B$5:$B$304,"&gt;="&amp;S146,Invoices!$B$5:$B$304,"&lt;="&amp;T146,Invoices!$T$5:$T$304,"&lt;&gt;Cancelled"))</f>
        <v>0</v>
      </c>
      <c r="X146" s="29">
        <f>IF(S146="","",SUMIFS(Expenses!$F$5:$F$304,Expenses!$B$5:$B$304,"&gt;="&amp;S146,Expenses!$B$5:$B$304,"&lt;="&amp;T146,Expenses!$J$5:$J$304,"&lt;&gt;Personal"))</f>
        <v>0</v>
      </c>
      <c r="Y146" s="29">
        <f>IF(S146="","",V146-X146)</f>
        <v>0</v>
      </c>
      <c r="Z146" s="31">
        <f>IF(S146="","",COUNTIFS(Bookings!$I$5:$I$404,"&gt;="&amp;S146,Bookings!$I$5:$I$404,"&lt;="&amp;T146,Bookings!$AM$5:$AM$404,"&lt;&gt;Cancelled"))</f>
        <v>0</v>
      </c>
      <c r="AA146" s="31">
        <f>IF(S146="","",COUNTIFS(Bookings!$I$5:$I$404,"&gt;="&amp;S146,Bookings!$I$5:$I$404,"&lt;="&amp;T146,Bookings!$AM$5:$AM$404,"Completed"))</f>
        <v>0</v>
      </c>
      <c r="AB146" s="31">
        <f>IF(S146="","",COUNTIFS(Bookings!$I$5:$I$404,"&gt;="&amp;S146,Bookings!$I$5:$I$404,"&lt;="&amp;T146,Bookings!$AM$5:$AM$404,"Cancelled"))</f>
        <v>0</v>
      </c>
      <c r="AC146" s="31">
        <f>IF(S146="","",COUNTIFS('Visit Log'!$C$5:$C$404,"&gt;="&amp;S146,'Visit Log'!$C$5:$C$404,"&lt;="&amp;T146,'Visit Log'!$AE$5:$AE$404,"Completed"))</f>
        <v>0</v>
      </c>
      <c r="AD146" s="31">
        <f>IF(S146="","",COUNTIFS(Clients!$L$5:$L$254,"&gt;="&amp;S146,Clients!$L$5:$L$254,"&lt;="&amp;T146))</f>
        <v>0</v>
      </c>
      <c r="AE146" s="32">
        <f>IF(S146="","",SUMIFS(Mileage!$M$5:$M$304,Mileage!$B$5:$B$304,"&gt;="&amp;S146,Mileage!$B$5:$B$304,"&lt;="&amp;T146,Mileage!$N$5:$N$304,"Business"))</f>
        <v>0</v>
      </c>
      <c r="AF146" s="29">
        <f>IF(S146="","",SUMIFS(Payments!$L$5:$L$304,Payments!$B$5:$B$304,"&gt;="&amp;DATE(Dash_Year-1,ROW()-4,1),Payments!$B$5:$B$304,"&lt;="&amp;EOMONTH(DATE(Dash_Year-1,ROW()-4,1),0)))</f>
        <v>0</v>
      </c>
      <c r="AG146" s="28">
        <f>IF(Staff!$B$146="","",Staff!$B$146)</f>
        <v>0</v>
      </c>
      <c r="AH146" s="31">
        <f>IF(AG146="","",COUNTIFS('Visit Log'!$G$5:$G$404,AG146,'Visit Log'!$C$5:$C$404,"&gt;="&amp;RepFrom,'Visit Log'!$C$5:$C$404,"&lt;="&amp;RepTo,'Visit Log'!$AE$5:$AE$404,"Completed"))</f>
        <v>0</v>
      </c>
      <c r="AI146" s="51">
        <f>IF(AG146="","",ROUND(SUMIFS('Visit Log'!$K$5:$K$404,'Visit Log'!$G$5:$G$404,AG146,'Visit Log'!$C$5:$C$404,"&gt;="&amp;RepFrom,'Visit Log'!$C$5:$C$404,"&lt;="&amp;RepTo,'Visit Log'!$AE$5:$AE$404,"Completed")/60,2))</f>
        <v>0</v>
      </c>
      <c r="AJ146" s="29">
        <f>IF(AG146="","",SUMIFS(Bookings!$AK$5:$AK$404,Bookings!$AL$5:$AL$404,AG146,Bookings!$I$5:$I$404,"&gt;="&amp;RepFrom,Bookings!$I$5:$I$404,"&lt;="&amp;RepTo,Bookings!$AM$5:$AM$404,"&lt;&gt;Cancelled"))</f>
        <v>0</v>
      </c>
      <c r="AK146" s="32">
        <f>IF(AG146="","",SUMIFS(Mileage!$M$5:$M$304,Mileage!$C$5:$C$304,AG146,Mileage!$B$5:$B$304,"&gt;="&amp;RepFrom,Mileage!$B$5:$B$304,"&lt;="&amp;RepTo))</f>
        <v>0</v>
      </c>
      <c r="AL146" s="28">
        <f>IF(Lists!$Q146="","",Lists!$Q146)</f>
        <v>0</v>
      </c>
      <c r="AM146" s="31">
        <f>IF(AL146="","",COUNTIFS(Bookings!$AV$5:$AV$404,AL146,Bookings!$I$5:$I$404,"&gt;="&amp;RepFrom,Bookings!$I$5:$I$404,"&lt;="&amp;RepTo))</f>
        <v>0</v>
      </c>
      <c r="AN146" s="28">
        <f>IF(Lists!$AF146="","",Lists!$AF146)</f>
        <v>0</v>
      </c>
      <c r="AO146" s="29">
        <f>IF(AN146="","",SUMIFS(Payments!$L$5:$L$304,Payments!$F$5:$F$304,AN146,Payments!$B$5:$B$304,"&gt;="&amp;RepFrom,Payments!$B$5:$B$304,"&lt;="&amp;RepTo))</f>
        <v>0</v>
      </c>
      <c r="AP146" s="28">
        <f>IF(Lists!$E146="","",Lists!$E146)</f>
        <v>0</v>
      </c>
      <c r="AQ146" s="31">
        <f>IF(AP146="","",COUNTIFS(Clients!$K$5:$K$254,AP146))</f>
        <v>0</v>
      </c>
      <c r="AR146" s="29">
        <f>IF(AP146="","",SUMIFS(Clients!$AE$5:$AE$254,Clients!$K$5:$K$254,AP146))</f>
        <v>0</v>
      </c>
    </row>
    <row r="147" spans="1:44">
      <c r="A147" s="28">
        <f>IF(Clients!$B$147="","",Clients!$B$147)</f>
        <v>0</v>
      </c>
      <c r="B147" s="29">
        <f>IF(A147="","",SUMIFS(Payments!$L$5:$L$304,Payments!$C$5:$C$304,A147,Payments!$B$5:$B$304,"&gt;="&amp;PeriodStart,Payments!$B$5:$B$304,"&lt;="&amp;PeriodEnd))</f>
        <v>0</v>
      </c>
      <c r="C147" s="51">
        <f>IF(A147="","",IF(B147&lt;=0,"",B147+ROW()/1000000))</f>
        <v>0</v>
      </c>
      <c r="D147" s="29">
        <f>IF(A147="","",SUMIFS(Payments!$L$5:$L$304,Payments!$C$5:$C$304,A147,Payments!$B$5:$B$304,"&gt;="&amp;RepFrom,Payments!$B$5:$B$304,"&lt;="&amp;RepTo))</f>
        <v>0</v>
      </c>
      <c r="E147" s="51">
        <f>IF(A147="","",IF(D147&lt;=0,"",D147+ROW()/1000000))</f>
        <v>0</v>
      </c>
      <c r="F147" s="29">
        <f>IF(A147="","",SUMIFS(Invoices!$S$5:$S$304,Invoices!$D$5:$D$304,A147,Invoices!$T$5:$T$304,"&lt;&gt;Cancelled"))</f>
        <v>0</v>
      </c>
      <c r="G147" s="51">
        <f>IF(A147="","",IF(F147&lt;=0.004,"",F147+ROW()/1000000))</f>
        <v>0</v>
      </c>
      <c r="H147" s="31">
        <f>IF(A147="","",COUNTIFS(Bookings!$C$5:$C$404,A147,Bookings!$I$5:$I$404,"&gt;="&amp;RepFrom,Bookings!$I$5:$I$404,"&lt;="&amp;RepTo,Bookings!$AM$5:$AM$404,"&lt;&gt;Cancelled"))</f>
        <v>0</v>
      </c>
      <c r="I147" s="28">
        <f>IF(Services!$B$147="","",Services!$B$147)</f>
        <v>0</v>
      </c>
      <c r="J147" s="29">
        <f>IF(I147="","",SUMIFS(Bookings!$AK$5:$AK$404,Bookings!$H$5:$H$404,I147,Bookings!$I$5:$I$404,"&gt;="&amp;PeriodStart,Bookings!$I$5:$I$404,"&lt;="&amp;PeriodEnd,Bookings!$AM$5:$AM$404,"&lt;&gt;Cancelled"))</f>
        <v>0</v>
      </c>
      <c r="K147" s="31">
        <f>IF(I147="","",COUNTIFS(Bookings!$H$5:$H$404,I147,Bookings!$I$5:$I$404,"&gt;="&amp;PeriodStart,Bookings!$I$5:$I$404,"&lt;="&amp;PeriodEnd,Bookings!$AM$5:$AM$404,"&lt;&gt;Cancelled"))</f>
        <v>0</v>
      </c>
      <c r="L147" s="29">
        <f>IF(I147="","",SUMIFS(Bookings!$AK$5:$AK$404,Bookings!$H$5:$H$404,I147,Bookings!$I$5:$I$404,"&gt;="&amp;RepFrom,Bookings!$I$5:$I$404,"&lt;="&amp;RepTo,Bookings!$AM$5:$AM$404,"&lt;&gt;Cancelled"))</f>
        <v>0</v>
      </c>
      <c r="M147" s="31">
        <f>IF(I147="","",COUNTIFS(Bookings!$H$5:$H$404,I147,Bookings!$I$5:$I$404,"&gt;="&amp;RepFrom,Bookings!$I$5:$I$404,"&lt;="&amp;RepTo,Bookings!$AM$5:$AM$404,"&lt;&gt;Cancelled"))</f>
        <v>0</v>
      </c>
      <c r="N147" s="29">
        <f>IF(I147="","",M147*IF(Services!$L$147="",0,Services!$L$147))</f>
        <v>0</v>
      </c>
      <c r="O147" s="29">
        <f>IF(I147="","",L147-N147)</f>
        <v>0</v>
      </c>
      <c r="P147" s="28">
        <f>IF(Lists!$AG147="","",Lists!$AG147)</f>
        <v>0</v>
      </c>
      <c r="Q147" s="29">
        <f>IF(P147="","",SUMIFS(Expenses!$F$5:$F$304,Expenses!$C$5:$C$304,P147,Expenses!$B$5:$B$304,"&gt;="&amp;PeriodStart,Expenses!$B$5:$B$304,"&lt;="&amp;PeriodEnd,Expenses!$J$5:$J$304,"&lt;&gt;Personal"))</f>
        <v>0</v>
      </c>
      <c r="R147" s="29">
        <f>IF(P147="","",SUMIFS(Expenses!$F$5:$F$304,Expenses!$C$5:$C$304,P147,Expenses!$B$5:$B$304,"&gt;="&amp;RepFrom,Expenses!$B$5:$B$304,"&lt;="&amp;RepTo,Expenses!$J$5:$J$304,"&lt;&gt;Personal"))</f>
        <v>0</v>
      </c>
      <c r="S147" s="21">
        <f>IF(ROW()-4&gt;12,"",DATE(Dash_Year,ROW()-4,1))</f>
        <v>0</v>
      </c>
      <c r="T147" s="21">
        <f>IF(S147="","",EOMONTH(S147,0))</f>
        <v>0</v>
      </c>
      <c r="U147" s="28">
        <f>IF(S147="","",TEXT(S147,"mmm"))</f>
        <v>0</v>
      </c>
      <c r="V147" s="29">
        <f>IF(S147="","",SUMIFS(Payments!$L$5:$L$304,Payments!$B$5:$B$304,"&gt;="&amp;S147,Payments!$B$5:$B$304,"&lt;="&amp;T147))</f>
        <v>0</v>
      </c>
      <c r="W147" s="29">
        <f>IF(S147="","",SUMIFS(Invoices!$O$5:$O$304,Invoices!$B$5:$B$304,"&gt;="&amp;S147,Invoices!$B$5:$B$304,"&lt;="&amp;T147,Invoices!$T$5:$T$304,"&lt;&gt;Cancelled"))</f>
        <v>0</v>
      </c>
      <c r="X147" s="29">
        <f>IF(S147="","",SUMIFS(Expenses!$F$5:$F$304,Expenses!$B$5:$B$304,"&gt;="&amp;S147,Expenses!$B$5:$B$304,"&lt;="&amp;T147,Expenses!$J$5:$J$304,"&lt;&gt;Personal"))</f>
        <v>0</v>
      </c>
      <c r="Y147" s="29">
        <f>IF(S147="","",V147-X147)</f>
        <v>0</v>
      </c>
      <c r="Z147" s="31">
        <f>IF(S147="","",COUNTIFS(Bookings!$I$5:$I$404,"&gt;="&amp;S147,Bookings!$I$5:$I$404,"&lt;="&amp;T147,Bookings!$AM$5:$AM$404,"&lt;&gt;Cancelled"))</f>
        <v>0</v>
      </c>
      <c r="AA147" s="31">
        <f>IF(S147="","",COUNTIFS(Bookings!$I$5:$I$404,"&gt;="&amp;S147,Bookings!$I$5:$I$404,"&lt;="&amp;T147,Bookings!$AM$5:$AM$404,"Completed"))</f>
        <v>0</v>
      </c>
      <c r="AB147" s="31">
        <f>IF(S147="","",COUNTIFS(Bookings!$I$5:$I$404,"&gt;="&amp;S147,Bookings!$I$5:$I$404,"&lt;="&amp;T147,Bookings!$AM$5:$AM$404,"Cancelled"))</f>
        <v>0</v>
      </c>
      <c r="AC147" s="31">
        <f>IF(S147="","",COUNTIFS('Visit Log'!$C$5:$C$404,"&gt;="&amp;S147,'Visit Log'!$C$5:$C$404,"&lt;="&amp;T147,'Visit Log'!$AE$5:$AE$404,"Completed"))</f>
        <v>0</v>
      </c>
      <c r="AD147" s="31">
        <f>IF(S147="","",COUNTIFS(Clients!$L$5:$L$254,"&gt;="&amp;S147,Clients!$L$5:$L$254,"&lt;="&amp;T147))</f>
        <v>0</v>
      </c>
      <c r="AE147" s="32">
        <f>IF(S147="","",SUMIFS(Mileage!$M$5:$M$304,Mileage!$B$5:$B$304,"&gt;="&amp;S147,Mileage!$B$5:$B$304,"&lt;="&amp;T147,Mileage!$N$5:$N$304,"Business"))</f>
        <v>0</v>
      </c>
      <c r="AF147" s="29">
        <f>IF(S147="","",SUMIFS(Payments!$L$5:$L$304,Payments!$B$5:$B$304,"&gt;="&amp;DATE(Dash_Year-1,ROW()-4,1),Payments!$B$5:$B$304,"&lt;="&amp;EOMONTH(DATE(Dash_Year-1,ROW()-4,1),0)))</f>
        <v>0</v>
      </c>
      <c r="AG147" s="28">
        <f>IF(Staff!$B$147="","",Staff!$B$147)</f>
        <v>0</v>
      </c>
      <c r="AH147" s="31">
        <f>IF(AG147="","",COUNTIFS('Visit Log'!$G$5:$G$404,AG147,'Visit Log'!$C$5:$C$404,"&gt;="&amp;RepFrom,'Visit Log'!$C$5:$C$404,"&lt;="&amp;RepTo,'Visit Log'!$AE$5:$AE$404,"Completed"))</f>
        <v>0</v>
      </c>
      <c r="AI147" s="51">
        <f>IF(AG147="","",ROUND(SUMIFS('Visit Log'!$K$5:$K$404,'Visit Log'!$G$5:$G$404,AG147,'Visit Log'!$C$5:$C$404,"&gt;="&amp;RepFrom,'Visit Log'!$C$5:$C$404,"&lt;="&amp;RepTo,'Visit Log'!$AE$5:$AE$404,"Completed")/60,2))</f>
        <v>0</v>
      </c>
      <c r="AJ147" s="29">
        <f>IF(AG147="","",SUMIFS(Bookings!$AK$5:$AK$404,Bookings!$AL$5:$AL$404,AG147,Bookings!$I$5:$I$404,"&gt;="&amp;RepFrom,Bookings!$I$5:$I$404,"&lt;="&amp;RepTo,Bookings!$AM$5:$AM$404,"&lt;&gt;Cancelled"))</f>
        <v>0</v>
      </c>
      <c r="AK147" s="32">
        <f>IF(AG147="","",SUMIFS(Mileage!$M$5:$M$304,Mileage!$C$5:$C$304,AG147,Mileage!$B$5:$B$304,"&gt;="&amp;RepFrom,Mileage!$B$5:$B$304,"&lt;="&amp;RepTo))</f>
        <v>0</v>
      </c>
      <c r="AL147" s="28">
        <f>IF(Lists!$Q147="","",Lists!$Q147)</f>
        <v>0</v>
      </c>
      <c r="AM147" s="31">
        <f>IF(AL147="","",COUNTIFS(Bookings!$AV$5:$AV$404,AL147,Bookings!$I$5:$I$404,"&gt;="&amp;RepFrom,Bookings!$I$5:$I$404,"&lt;="&amp;RepTo))</f>
        <v>0</v>
      </c>
      <c r="AN147" s="28">
        <f>IF(Lists!$AF147="","",Lists!$AF147)</f>
        <v>0</v>
      </c>
      <c r="AO147" s="29">
        <f>IF(AN147="","",SUMIFS(Payments!$L$5:$L$304,Payments!$F$5:$F$304,AN147,Payments!$B$5:$B$304,"&gt;="&amp;RepFrom,Payments!$B$5:$B$304,"&lt;="&amp;RepTo))</f>
        <v>0</v>
      </c>
      <c r="AP147" s="28">
        <f>IF(Lists!$E147="","",Lists!$E147)</f>
        <v>0</v>
      </c>
      <c r="AQ147" s="31">
        <f>IF(AP147="","",COUNTIFS(Clients!$K$5:$K$254,AP147))</f>
        <v>0</v>
      </c>
      <c r="AR147" s="29">
        <f>IF(AP147="","",SUMIFS(Clients!$AE$5:$AE$254,Clients!$K$5:$K$254,AP147))</f>
        <v>0</v>
      </c>
    </row>
    <row r="148" spans="1:44">
      <c r="A148" s="28">
        <f>IF(Clients!$B$148="","",Clients!$B$148)</f>
        <v>0</v>
      </c>
      <c r="B148" s="29">
        <f>IF(A148="","",SUMIFS(Payments!$L$5:$L$304,Payments!$C$5:$C$304,A148,Payments!$B$5:$B$304,"&gt;="&amp;PeriodStart,Payments!$B$5:$B$304,"&lt;="&amp;PeriodEnd))</f>
        <v>0</v>
      </c>
      <c r="C148" s="51">
        <f>IF(A148="","",IF(B148&lt;=0,"",B148+ROW()/1000000))</f>
        <v>0</v>
      </c>
      <c r="D148" s="29">
        <f>IF(A148="","",SUMIFS(Payments!$L$5:$L$304,Payments!$C$5:$C$304,A148,Payments!$B$5:$B$304,"&gt;="&amp;RepFrom,Payments!$B$5:$B$304,"&lt;="&amp;RepTo))</f>
        <v>0</v>
      </c>
      <c r="E148" s="51">
        <f>IF(A148="","",IF(D148&lt;=0,"",D148+ROW()/1000000))</f>
        <v>0</v>
      </c>
      <c r="F148" s="29">
        <f>IF(A148="","",SUMIFS(Invoices!$S$5:$S$304,Invoices!$D$5:$D$304,A148,Invoices!$T$5:$T$304,"&lt;&gt;Cancelled"))</f>
        <v>0</v>
      </c>
      <c r="G148" s="51">
        <f>IF(A148="","",IF(F148&lt;=0.004,"",F148+ROW()/1000000))</f>
        <v>0</v>
      </c>
      <c r="H148" s="31">
        <f>IF(A148="","",COUNTIFS(Bookings!$C$5:$C$404,A148,Bookings!$I$5:$I$404,"&gt;="&amp;RepFrom,Bookings!$I$5:$I$404,"&lt;="&amp;RepTo,Bookings!$AM$5:$AM$404,"&lt;&gt;Cancelled"))</f>
        <v>0</v>
      </c>
      <c r="I148" s="28">
        <f>IF(Services!$B$148="","",Services!$B$148)</f>
        <v>0</v>
      </c>
      <c r="J148" s="29">
        <f>IF(I148="","",SUMIFS(Bookings!$AK$5:$AK$404,Bookings!$H$5:$H$404,I148,Bookings!$I$5:$I$404,"&gt;="&amp;PeriodStart,Bookings!$I$5:$I$404,"&lt;="&amp;PeriodEnd,Bookings!$AM$5:$AM$404,"&lt;&gt;Cancelled"))</f>
        <v>0</v>
      </c>
      <c r="K148" s="31">
        <f>IF(I148="","",COUNTIFS(Bookings!$H$5:$H$404,I148,Bookings!$I$5:$I$404,"&gt;="&amp;PeriodStart,Bookings!$I$5:$I$404,"&lt;="&amp;PeriodEnd,Bookings!$AM$5:$AM$404,"&lt;&gt;Cancelled"))</f>
        <v>0</v>
      </c>
      <c r="L148" s="29">
        <f>IF(I148="","",SUMIFS(Bookings!$AK$5:$AK$404,Bookings!$H$5:$H$404,I148,Bookings!$I$5:$I$404,"&gt;="&amp;RepFrom,Bookings!$I$5:$I$404,"&lt;="&amp;RepTo,Bookings!$AM$5:$AM$404,"&lt;&gt;Cancelled"))</f>
        <v>0</v>
      </c>
      <c r="M148" s="31">
        <f>IF(I148="","",COUNTIFS(Bookings!$H$5:$H$404,I148,Bookings!$I$5:$I$404,"&gt;="&amp;RepFrom,Bookings!$I$5:$I$404,"&lt;="&amp;RepTo,Bookings!$AM$5:$AM$404,"&lt;&gt;Cancelled"))</f>
        <v>0</v>
      </c>
      <c r="N148" s="29">
        <f>IF(I148="","",M148*IF(Services!$L$148="",0,Services!$L$148))</f>
        <v>0</v>
      </c>
      <c r="O148" s="29">
        <f>IF(I148="","",L148-N148)</f>
        <v>0</v>
      </c>
      <c r="P148" s="28">
        <f>IF(Lists!$AG148="","",Lists!$AG148)</f>
        <v>0</v>
      </c>
      <c r="Q148" s="29">
        <f>IF(P148="","",SUMIFS(Expenses!$F$5:$F$304,Expenses!$C$5:$C$304,P148,Expenses!$B$5:$B$304,"&gt;="&amp;PeriodStart,Expenses!$B$5:$B$304,"&lt;="&amp;PeriodEnd,Expenses!$J$5:$J$304,"&lt;&gt;Personal"))</f>
        <v>0</v>
      </c>
      <c r="R148" s="29">
        <f>IF(P148="","",SUMIFS(Expenses!$F$5:$F$304,Expenses!$C$5:$C$304,P148,Expenses!$B$5:$B$304,"&gt;="&amp;RepFrom,Expenses!$B$5:$B$304,"&lt;="&amp;RepTo,Expenses!$J$5:$J$304,"&lt;&gt;Personal"))</f>
        <v>0</v>
      </c>
      <c r="S148" s="21">
        <f>IF(ROW()-4&gt;12,"",DATE(Dash_Year,ROW()-4,1))</f>
        <v>0</v>
      </c>
      <c r="T148" s="21">
        <f>IF(S148="","",EOMONTH(S148,0))</f>
        <v>0</v>
      </c>
      <c r="U148" s="28">
        <f>IF(S148="","",TEXT(S148,"mmm"))</f>
        <v>0</v>
      </c>
      <c r="V148" s="29">
        <f>IF(S148="","",SUMIFS(Payments!$L$5:$L$304,Payments!$B$5:$B$304,"&gt;="&amp;S148,Payments!$B$5:$B$304,"&lt;="&amp;T148))</f>
        <v>0</v>
      </c>
      <c r="W148" s="29">
        <f>IF(S148="","",SUMIFS(Invoices!$O$5:$O$304,Invoices!$B$5:$B$304,"&gt;="&amp;S148,Invoices!$B$5:$B$304,"&lt;="&amp;T148,Invoices!$T$5:$T$304,"&lt;&gt;Cancelled"))</f>
        <v>0</v>
      </c>
      <c r="X148" s="29">
        <f>IF(S148="","",SUMIFS(Expenses!$F$5:$F$304,Expenses!$B$5:$B$304,"&gt;="&amp;S148,Expenses!$B$5:$B$304,"&lt;="&amp;T148,Expenses!$J$5:$J$304,"&lt;&gt;Personal"))</f>
        <v>0</v>
      </c>
      <c r="Y148" s="29">
        <f>IF(S148="","",V148-X148)</f>
        <v>0</v>
      </c>
      <c r="Z148" s="31">
        <f>IF(S148="","",COUNTIFS(Bookings!$I$5:$I$404,"&gt;="&amp;S148,Bookings!$I$5:$I$404,"&lt;="&amp;T148,Bookings!$AM$5:$AM$404,"&lt;&gt;Cancelled"))</f>
        <v>0</v>
      </c>
      <c r="AA148" s="31">
        <f>IF(S148="","",COUNTIFS(Bookings!$I$5:$I$404,"&gt;="&amp;S148,Bookings!$I$5:$I$404,"&lt;="&amp;T148,Bookings!$AM$5:$AM$404,"Completed"))</f>
        <v>0</v>
      </c>
      <c r="AB148" s="31">
        <f>IF(S148="","",COUNTIFS(Bookings!$I$5:$I$404,"&gt;="&amp;S148,Bookings!$I$5:$I$404,"&lt;="&amp;T148,Bookings!$AM$5:$AM$404,"Cancelled"))</f>
        <v>0</v>
      </c>
      <c r="AC148" s="31">
        <f>IF(S148="","",COUNTIFS('Visit Log'!$C$5:$C$404,"&gt;="&amp;S148,'Visit Log'!$C$5:$C$404,"&lt;="&amp;T148,'Visit Log'!$AE$5:$AE$404,"Completed"))</f>
        <v>0</v>
      </c>
      <c r="AD148" s="31">
        <f>IF(S148="","",COUNTIFS(Clients!$L$5:$L$254,"&gt;="&amp;S148,Clients!$L$5:$L$254,"&lt;="&amp;T148))</f>
        <v>0</v>
      </c>
      <c r="AE148" s="32">
        <f>IF(S148="","",SUMIFS(Mileage!$M$5:$M$304,Mileage!$B$5:$B$304,"&gt;="&amp;S148,Mileage!$B$5:$B$304,"&lt;="&amp;T148,Mileage!$N$5:$N$304,"Business"))</f>
        <v>0</v>
      </c>
      <c r="AF148" s="29">
        <f>IF(S148="","",SUMIFS(Payments!$L$5:$L$304,Payments!$B$5:$B$304,"&gt;="&amp;DATE(Dash_Year-1,ROW()-4,1),Payments!$B$5:$B$304,"&lt;="&amp;EOMONTH(DATE(Dash_Year-1,ROW()-4,1),0)))</f>
        <v>0</v>
      </c>
      <c r="AG148" s="28">
        <f>IF(Staff!$B$148="","",Staff!$B$148)</f>
        <v>0</v>
      </c>
      <c r="AH148" s="31">
        <f>IF(AG148="","",COUNTIFS('Visit Log'!$G$5:$G$404,AG148,'Visit Log'!$C$5:$C$404,"&gt;="&amp;RepFrom,'Visit Log'!$C$5:$C$404,"&lt;="&amp;RepTo,'Visit Log'!$AE$5:$AE$404,"Completed"))</f>
        <v>0</v>
      </c>
      <c r="AI148" s="51">
        <f>IF(AG148="","",ROUND(SUMIFS('Visit Log'!$K$5:$K$404,'Visit Log'!$G$5:$G$404,AG148,'Visit Log'!$C$5:$C$404,"&gt;="&amp;RepFrom,'Visit Log'!$C$5:$C$404,"&lt;="&amp;RepTo,'Visit Log'!$AE$5:$AE$404,"Completed")/60,2))</f>
        <v>0</v>
      </c>
      <c r="AJ148" s="29">
        <f>IF(AG148="","",SUMIFS(Bookings!$AK$5:$AK$404,Bookings!$AL$5:$AL$404,AG148,Bookings!$I$5:$I$404,"&gt;="&amp;RepFrom,Bookings!$I$5:$I$404,"&lt;="&amp;RepTo,Bookings!$AM$5:$AM$404,"&lt;&gt;Cancelled"))</f>
        <v>0</v>
      </c>
      <c r="AK148" s="32">
        <f>IF(AG148="","",SUMIFS(Mileage!$M$5:$M$304,Mileage!$C$5:$C$304,AG148,Mileage!$B$5:$B$304,"&gt;="&amp;RepFrom,Mileage!$B$5:$B$304,"&lt;="&amp;RepTo))</f>
        <v>0</v>
      </c>
      <c r="AL148" s="28">
        <f>IF(Lists!$Q148="","",Lists!$Q148)</f>
        <v>0</v>
      </c>
      <c r="AM148" s="31">
        <f>IF(AL148="","",COUNTIFS(Bookings!$AV$5:$AV$404,AL148,Bookings!$I$5:$I$404,"&gt;="&amp;RepFrom,Bookings!$I$5:$I$404,"&lt;="&amp;RepTo))</f>
        <v>0</v>
      </c>
      <c r="AN148" s="28">
        <f>IF(Lists!$AF148="","",Lists!$AF148)</f>
        <v>0</v>
      </c>
      <c r="AO148" s="29">
        <f>IF(AN148="","",SUMIFS(Payments!$L$5:$L$304,Payments!$F$5:$F$304,AN148,Payments!$B$5:$B$304,"&gt;="&amp;RepFrom,Payments!$B$5:$B$304,"&lt;="&amp;RepTo))</f>
        <v>0</v>
      </c>
      <c r="AP148" s="28">
        <f>IF(Lists!$E148="","",Lists!$E148)</f>
        <v>0</v>
      </c>
      <c r="AQ148" s="31">
        <f>IF(AP148="","",COUNTIFS(Clients!$K$5:$K$254,AP148))</f>
        <v>0</v>
      </c>
      <c r="AR148" s="29">
        <f>IF(AP148="","",SUMIFS(Clients!$AE$5:$AE$254,Clients!$K$5:$K$254,AP148))</f>
        <v>0</v>
      </c>
    </row>
    <row r="149" spans="1:44">
      <c r="A149" s="28">
        <f>IF(Clients!$B$149="","",Clients!$B$149)</f>
        <v>0</v>
      </c>
      <c r="B149" s="29">
        <f>IF(A149="","",SUMIFS(Payments!$L$5:$L$304,Payments!$C$5:$C$304,A149,Payments!$B$5:$B$304,"&gt;="&amp;PeriodStart,Payments!$B$5:$B$304,"&lt;="&amp;PeriodEnd))</f>
        <v>0</v>
      </c>
      <c r="C149" s="51">
        <f>IF(A149="","",IF(B149&lt;=0,"",B149+ROW()/1000000))</f>
        <v>0</v>
      </c>
      <c r="D149" s="29">
        <f>IF(A149="","",SUMIFS(Payments!$L$5:$L$304,Payments!$C$5:$C$304,A149,Payments!$B$5:$B$304,"&gt;="&amp;RepFrom,Payments!$B$5:$B$304,"&lt;="&amp;RepTo))</f>
        <v>0</v>
      </c>
      <c r="E149" s="51">
        <f>IF(A149="","",IF(D149&lt;=0,"",D149+ROW()/1000000))</f>
        <v>0</v>
      </c>
      <c r="F149" s="29">
        <f>IF(A149="","",SUMIFS(Invoices!$S$5:$S$304,Invoices!$D$5:$D$304,A149,Invoices!$T$5:$T$304,"&lt;&gt;Cancelled"))</f>
        <v>0</v>
      </c>
      <c r="G149" s="51">
        <f>IF(A149="","",IF(F149&lt;=0.004,"",F149+ROW()/1000000))</f>
        <v>0</v>
      </c>
      <c r="H149" s="31">
        <f>IF(A149="","",COUNTIFS(Bookings!$C$5:$C$404,A149,Bookings!$I$5:$I$404,"&gt;="&amp;RepFrom,Bookings!$I$5:$I$404,"&lt;="&amp;RepTo,Bookings!$AM$5:$AM$404,"&lt;&gt;Cancelled"))</f>
        <v>0</v>
      </c>
      <c r="I149" s="28">
        <f>IF(Services!$B$149="","",Services!$B$149)</f>
        <v>0</v>
      </c>
      <c r="J149" s="29">
        <f>IF(I149="","",SUMIFS(Bookings!$AK$5:$AK$404,Bookings!$H$5:$H$404,I149,Bookings!$I$5:$I$404,"&gt;="&amp;PeriodStart,Bookings!$I$5:$I$404,"&lt;="&amp;PeriodEnd,Bookings!$AM$5:$AM$404,"&lt;&gt;Cancelled"))</f>
        <v>0</v>
      </c>
      <c r="K149" s="31">
        <f>IF(I149="","",COUNTIFS(Bookings!$H$5:$H$404,I149,Bookings!$I$5:$I$404,"&gt;="&amp;PeriodStart,Bookings!$I$5:$I$404,"&lt;="&amp;PeriodEnd,Bookings!$AM$5:$AM$404,"&lt;&gt;Cancelled"))</f>
        <v>0</v>
      </c>
      <c r="L149" s="29">
        <f>IF(I149="","",SUMIFS(Bookings!$AK$5:$AK$404,Bookings!$H$5:$H$404,I149,Bookings!$I$5:$I$404,"&gt;="&amp;RepFrom,Bookings!$I$5:$I$404,"&lt;="&amp;RepTo,Bookings!$AM$5:$AM$404,"&lt;&gt;Cancelled"))</f>
        <v>0</v>
      </c>
      <c r="M149" s="31">
        <f>IF(I149="","",COUNTIFS(Bookings!$H$5:$H$404,I149,Bookings!$I$5:$I$404,"&gt;="&amp;RepFrom,Bookings!$I$5:$I$404,"&lt;="&amp;RepTo,Bookings!$AM$5:$AM$404,"&lt;&gt;Cancelled"))</f>
        <v>0</v>
      </c>
      <c r="N149" s="29">
        <f>IF(I149="","",M149*IF(Services!$L$149="",0,Services!$L$149))</f>
        <v>0</v>
      </c>
      <c r="O149" s="29">
        <f>IF(I149="","",L149-N149)</f>
        <v>0</v>
      </c>
      <c r="P149" s="28">
        <f>IF(Lists!$AG149="","",Lists!$AG149)</f>
        <v>0</v>
      </c>
      <c r="Q149" s="29">
        <f>IF(P149="","",SUMIFS(Expenses!$F$5:$F$304,Expenses!$C$5:$C$304,P149,Expenses!$B$5:$B$304,"&gt;="&amp;PeriodStart,Expenses!$B$5:$B$304,"&lt;="&amp;PeriodEnd,Expenses!$J$5:$J$304,"&lt;&gt;Personal"))</f>
        <v>0</v>
      </c>
      <c r="R149" s="29">
        <f>IF(P149="","",SUMIFS(Expenses!$F$5:$F$304,Expenses!$C$5:$C$304,P149,Expenses!$B$5:$B$304,"&gt;="&amp;RepFrom,Expenses!$B$5:$B$304,"&lt;="&amp;RepTo,Expenses!$J$5:$J$304,"&lt;&gt;Personal"))</f>
        <v>0</v>
      </c>
      <c r="S149" s="21">
        <f>IF(ROW()-4&gt;12,"",DATE(Dash_Year,ROW()-4,1))</f>
        <v>0</v>
      </c>
      <c r="T149" s="21">
        <f>IF(S149="","",EOMONTH(S149,0))</f>
        <v>0</v>
      </c>
      <c r="U149" s="28">
        <f>IF(S149="","",TEXT(S149,"mmm"))</f>
        <v>0</v>
      </c>
      <c r="V149" s="29">
        <f>IF(S149="","",SUMIFS(Payments!$L$5:$L$304,Payments!$B$5:$B$304,"&gt;="&amp;S149,Payments!$B$5:$B$304,"&lt;="&amp;T149))</f>
        <v>0</v>
      </c>
      <c r="W149" s="29">
        <f>IF(S149="","",SUMIFS(Invoices!$O$5:$O$304,Invoices!$B$5:$B$304,"&gt;="&amp;S149,Invoices!$B$5:$B$304,"&lt;="&amp;T149,Invoices!$T$5:$T$304,"&lt;&gt;Cancelled"))</f>
        <v>0</v>
      </c>
      <c r="X149" s="29">
        <f>IF(S149="","",SUMIFS(Expenses!$F$5:$F$304,Expenses!$B$5:$B$304,"&gt;="&amp;S149,Expenses!$B$5:$B$304,"&lt;="&amp;T149,Expenses!$J$5:$J$304,"&lt;&gt;Personal"))</f>
        <v>0</v>
      </c>
      <c r="Y149" s="29">
        <f>IF(S149="","",V149-X149)</f>
        <v>0</v>
      </c>
      <c r="Z149" s="31">
        <f>IF(S149="","",COUNTIFS(Bookings!$I$5:$I$404,"&gt;="&amp;S149,Bookings!$I$5:$I$404,"&lt;="&amp;T149,Bookings!$AM$5:$AM$404,"&lt;&gt;Cancelled"))</f>
        <v>0</v>
      </c>
      <c r="AA149" s="31">
        <f>IF(S149="","",COUNTIFS(Bookings!$I$5:$I$404,"&gt;="&amp;S149,Bookings!$I$5:$I$404,"&lt;="&amp;T149,Bookings!$AM$5:$AM$404,"Completed"))</f>
        <v>0</v>
      </c>
      <c r="AB149" s="31">
        <f>IF(S149="","",COUNTIFS(Bookings!$I$5:$I$404,"&gt;="&amp;S149,Bookings!$I$5:$I$404,"&lt;="&amp;T149,Bookings!$AM$5:$AM$404,"Cancelled"))</f>
        <v>0</v>
      </c>
      <c r="AC149" s="31">
        <f>IF(S149="","",COUNTIFS('Visit Log'!$C$5:$C$404,"&gt;="&amp;S149,'Visit Log'!$C$5:$C$404,"&lt;="&amp;T149,'Visit Log'!$AE$5:$AE$404,"Completed"))</f>
        <v>0</v>
      </c>
      <c r="AD149" s="31">
        <f>IF(S149="","",COUNTIFS(Clients!$L$5:$L$254,"&gt;="&amp;S149,Clients!$L$5:$L$254,"&lt;="&amp;T149))</f>
        <v>0</v>
      </c>
      <c r="AE149" s="32">
        <f>IF(S149="","",SUMIFS(Mileage!$M$5:$M$304,Mileage!$B$5:$B$304,"&gt;="&amp;S149,Mileage!$B$5:$B$304,"&lt;="&amp;T149,Mileage!$N$5:$N$304,"Business"))</f>
        <v>0</v>
      </c>
      <c r="AF149" s="29">
        <f>IF(S149="","",SUMIFS(Payments!$L$5:$L$304,Payments!$B$5:$B$304,"&gt;="&amp;DATE(Dash_Year-1,ROW()-4,1),Payments!$B$5:$B$304,"&lt;="&amp;EOMONTH(DATE(Dash_Year-1,ROW()-4,1),0)))</f>
        <v>0</v>
      </c>
      <c r="AG149" s="28">
        <f>IF(Staff!$B$149="","",Staff!$B$149)</f>
        <v>0</v>
      </c>
      <c r="AH149" s="31">
        <f>IF(AG149="","",COUNTIFS('Visit Log'!$G$5:$G$404,AG149,'Visit Log'!$C$5:$C$404,"&gt;="&amp;RepFrom,'Visit Log'!$C$5:$C$404,"&lt;="&amp;RepTo,'Visit Log'!$AE$5:$AE$404,"Completed"))</f>
        <v>0</v>
      </c>
      <c r="AI149" s="51">
        <f>IF(AG149="","",ROUND(SUMIFS('Visit Log'!$K$5:$K$404,'Visit Log'!$G$5:$G$404,AG149,'Visit Log'!$C$5:$C$404,"&gt;="&amp;RepFrom,'Visit Log'!$C$5:$C$404,"&lt;="&amp;RepTo,'Visit Log'!$AE$5:$AE$404,"Completed")/60,2))</f>
        <v>0</v>
      </c>
      <c r="AJ149" s="29">
        <f>IF(AG149="","",SUMIFS(Bookings!$AK$5:$AK$404,Bookings!$AL$5:$AL$404,AG149,Bookings!$I$5:$I$404,"&gt;="&amp;RepFrom,Bookings!$I$5:$I$404,"&lt;="&amp;RepTo,Bookings!$AM$5:$AM$404,"&lt;&gt;Cancelled"))</f>
        <v>0</v>
      </c>
      <c r="AK149" s="32">
        <f>IF(AG149="","",SUMIFS(Mileage!$M$5:$M$304,Mileage!$C$5:$C$304,AG149,Mileage!$B$5:$B$304,"&gt;="&amp;RepFrom,Mileage!$B$5:$B$304,"&lt;="&amp;RepTo))</f>
        <v>0</v>
      </c>
      <c r="AL149" s="28">
        <f>IF(Lists!$Q149="","",Lists!$Q149)</f>
        <v>0</v>
      </c>
      <c r="AM149" s="31">
        <f>IF(AL149="","",COUNTIFS(Bookings!$AV$5:$AV$404,AL149,Bookings!$I$5:$I$404,"&gt;="&amp;RepFrom,Bookings!$I$5:$I$404,"&lt;="&amp;RepTo))</f>
        <v>0</v>
      </c>
      <c r="AN149" s="28">
        <f>IF(Lists!$AF149="","",Lists!$AF149)</f>
        <v>0</v>
      </c>
      <c r="AO149" s="29">
        <f>IF(AN149="","",SUMIFS(Payments!$L$5:$L$304,Payments!$F$5:$F$304,AN149,Payments!$B$5:$B$304,"&gt;="&amp;RepFrom,Payments!$B$5:$B$304,"&lt;="&amp;RepTo))</f>
        <v>0</v>
      </c>
      <c r="AP149" s="28">
        <f>IF(Lists!$E149="","",Lists!$E149)</f>
        <v>0</v>
      </c>
      <c r="AQ149" s="31">
        <f>IF(AP149="","",COUNTIFS(Clients!$K$5:$K$254,AP149))</f>
        <v>0</v>
      </c>
      <c r="AR149" s="29">
        <f>IF(AP149="","",SUMIFS(Clients!$AE$5:$AE$254,Clients!$K$5:$K$254,AP149))</f>
        <v>0</v>
      </c>
    </row>
    <row r="150" spans="1:44">
      <c r="A150" s="28">
        <f>IF(Clients!$B$150="","",Clients!$B$150)</f>
        <v>0</v>
      </c>
      <c r="B150" s="29">
        <f>IF(A150="","",SUMIFS(Payments!$L$5:$L$304,Payments!$C$5:$C$304,A150,Payments!$B$5:$B$304,"&gt;="&amp;PeriodStart,Payments!$B$5:$B$304,"&lt;="&amp;PeriodEnd))</f>
        <v>0</v>
      </c>
      <c r="C150" s="51">
        <f>IF(A150="","",IF(B150&lt;=0,"",B150+ROW()/1000000))</f>
        <v>0</v>
      </c>
      <c r="D150" s="29">
        <f>IF(A150="","",SUMIFS(Payments!$L$5:$L$304,Payments!$C$5:$C$304,A150,Payments!$B$5:$B$304,"&gt;="&amp;RepFrom,Payments!$B$5:$B$304,"&lt;="&amp;RepTo))</f>
        <v>0</v>
      </c>
      <c r="E150" s="51">
        <f>IF(A150="","",IF(D150&lt;=0,"",D150+ROW()/1000000))</f>
        <v>0</v>
      </c>
      <c r="F150" s="29">
        <f>IF(A150="","",SUMIFS(Invoices!$S$5:$S$304,Invoices!$D$5:$D$304,A150,Invoices!$T$5:$T$304,"&lt;&gt;Cancelled"))</f>
        <v>0</v>
      </c>
      <c r="G150" s="51">
        <f>IF(A150="","",IF(F150&lt;=0.004,"",F150+ROW()/1000000))</f>
        <v>0</v>
      </c>
      <c r="H150" s="31">
        <f>IF(A150="","",COUNTIFS(Bookings!$C$5:$C$404,A150,Bookings!$I$5:$I$404,"&gt;="&amp;RepFrom,Bookings!$I$5:$I$404,"&lt;="&amp;RepTo,Bookings!$AM$5:$AM$404,"&lt;&gt;Cancelled"))</f>
        <v>0</v>
      </c>
      <c r="I150" s="28">
        <f>IF(Services!$B$150="","",Services!$B$150)</f>
        <v>0</v>
      </c>
      <c r="J150" s="29">
        <f>IF(I150="","",SUMIFS(Bookings!$AK$5:$AK$404,Bookings!$H$5:$H$404,I150,Bookings!$I$5:$I$404,"&gt;="&amp;PeriodStart,Bookings!$I$5:$I$404,"&lt;="&amp;PeriodEnd,Bookings!$AM$5:$AM$404,"&lt;&gt;Cancelled"))</f>
        <v>0</v>
      </c>
      <c r="K150" s="31">
        <f>IF(I150="","",COUNTIFS(Bookings!$H$5:$H$404,I150,Bookings!$I$5:$I$404,"&gt;="&amp;PeriodStart,Bookings!$I$5:$I$404,"&lt;="&amp;PeriodEnd,Bookings!$AM$5:$AM$404,"&lt;&gt;Cancelled"))</f>
        <v>0</v>
      </c>
      <c r="L150" s="29">
        <f>IF(I150="","",SUMIFS(Bookings!$AK$5:$AK$404,Bookings!$H$5:$H$404,I150,Bookings!$I$5:$I$404,"&gt;="&amp;RepFrom,Bookings!$I$5:$I$404,"&lt;="&amp;RepTo,Bookings!$AM$5:$AM$404,"&lt;&gt;Cancelled"))</f>
        <v>0</v>
      </c>
      <c r="M150" s="31">
        <f>IF(I150="","",COUNTIFS(Bookings!$H$5:$H$404,I150,Bookings!$I$5:$I$404,"&gt;="&amp;RepFrom,Bookings!$I$5:$I$404,"&lt;="&amp;RepTo,Bookings!$AM$5:$AM$404,"&lt;&gt;Cancelled"))</f>
        <v>0</v>
      </c>
      <c r="N150" s="29">
        <f>IF(I150="","",M150*IF(Services!$L$150="",0,Services!$L$150))</f>
        <v>0</v>
      </c>
      <c r="O150" s="29">
        <f>IF(I150="","",L150-N150)</f>
        <v>0</v>
      </c>
      <c r="P150" s="28">
        <f>IF(Lists!$AG150="","",Lists!$AG150)</f>
        <v>0</v>
      </c>
      <c r="Q150" s="29">
        <f>IF(P150="","",SUMIFS(Expenses!$F$5:$F$304,Expenses!$C$5:$C$304,P150,Expenses!$B$5:$B$304,"&gt;="&amp;PeriodStart,Expenses!$B$5:$B$304,"&lt;="&amp;PeriodEnd,Expenses!$J$5:$J$304,"&lt;&gt;Personal"))</f>
        <v>0</v>
      </c>
      <c r="R150" s="29">
        <f>IF(P150="","",SUMIFS(Expenses!$F$5:$F$304,Expenses!$C$5:$C$304,P150,Expenses!$B$5:$B$304,"&gt;="&amp;RepFrom,Expenses!$B$5:$B$304,"&lt;="&amp;RepTo,Expenses!$J$5:$J$304,"&lt;&gt;Personal"))</f>
        <v>0</v>
      </c>
      <c r="S150" s="21">
        <f>IF(ROW()-4&gt;12,"",DATE(Dash_Year,ROW()-4,1))</f>
        <v>0</v>
      </c>
      <c r="T150" s="21">
        <f>IF(S150="","",EOMONTH(S150,0))</f>
        <v>0</v>
      </c>
      <c r="U150" s="28">
        <f>IF(S150="","",TEXT(S150,"mmm"))</f>
        <v>0</v>
      </c>
      <c r="V150" s="29">
        <f>IF(S150="","",SUMIFS(Payments!$L$5:$L$304,Payments!$B$5:$B$304,"&gt;="&amp;S150,Payments!$B$5:$B$304,"&lt;="&amp;T150))</f>
        <v>0</v>
      </c>
      <c r="W150" s="29">
        <f>IF(S150="","",SUMIFS(Invoices!$O$5:$O$304,Invoices!$B$5:$B$304,"&gt;="&amp;S150,Invoices!$B$5:$B$304,"&lt;="&amp;T150,Invoices!$T$5:$T$304,"&lt;&gt;Cancelled"))</f>
        <v>0</v>
      </c>
      <c r="X150" s="29">
        <f>IF(S150="","",SUMIFS(Expenses!$F$5:$F$304,Expenses!$B$5:$B$304,"&gt;="&amp;S150,Expenses!$B$5:$B$304,"&lt;="&amp;T150,Expenses!$J$5:$J$304,"&lt;&gt;Personal"))</f>
        <v>0</v>
      </c>
      <c r="Y150" s="29">
        <f>IF(S150="","",V150-X150)</f>
        <v>0</v>
      </c>
      <c r="Z150" s="31">
        <f>IF(S150="","",COUNTIFS(Bookings!$I$5:$I$404,"&gt;="&amp;S150,Bookings!$I$5:$I$404,"&lt;="&amp;T150,Bookings!$AM$5:$AM$404,"&lt;&gt;Cancelled"))</f>
        <v>0</v>
      </c>
      <c r="AA150" s="31">
        <f>IF(S150="","",COUNTIFS(Bookings!$I$5:$I$404,"&gt;="&amp;S150,Bookings!$I$5:$I$404,"&lt;="&amp;T150,Bookings!$AM$5:$AM$404,"Completed"))</f>
        <v>0</v>
      </c>
      <c r="AB150" s="31">
        <f>IF(S150="","",COUNTIFS(Bookings!$I$5:$I$404,"&gt;="&amp;S150,Bookings!$I$5:$I$404,"&lt;="&amp;T150,Bookings!$AM$5:$AM$404,"Cancelled"))</f>
        <v>0</v>
      </c>
      <c r="AC150" s="31">
        <f>IF(S150="","",COUNTIFS('Visit Log'!$C$5:$C$404,"&gt;="&amp;S150,'Visit Log'!$C$5:$C$404,"&lt;="&amp;T150,'Visit Log'!$AE$5:$AE$404,"Completed"))</f>
        <v>0</v>
      </c>
      <c r="AD150" s="31">
        <f>IF(S150="","",COUNTIFS(Clients!$L$5:$L$254,"&gt;="&amp;S150,Clients!$L$5:$L$254,"&lt;="&amp;T150))</f>
        <v>0</v>
      </c>
      <c r="AE150" s="32">
        <f>IF(S150="","",SUMIFS(Mileage!$M$5:$M$304,Mileage!$B$5:$B$304,"&gt;="&amp;S150,Mileage!$B$5:$B$304,"&lt;="&amp;T150,Mileage!$N$5:$N$304,"Business"))</f>
        <v>0</v>
      </c>
      <c r="AF150" s="29">
        <f>IF(S150="","",SUMIFS(Payments!$L$5:$L$304,Payments!$B$5:$B$304,"&gt;="&amp;DATE(Dash_Year-1,ROW()-4,1),Payments!$B$5:$B$304,"&lt;="&amp;EOMONTH(DATE(Dash_Year-1,ROW()-4,1),0)))</f>
        <v>0</v>
      </c>
      <c r="AG150" s="28">
        <f>IF(Staff!$B$150="","",Staff!$B$150)</f>
        <v>0</v>
      </c>
      <c r="AH150" s="31">
        <f>IF(AG150="","",COUNTIFS('Visit Log'!$G$5:$G$404,AG150,'Visit Log'!$C$5:$C$404,"&gt;="&amp;RepFrom,'Visit Log'!$C$5:$C$404,"&lt;="&amp;RepTo,'Visit Log'!$AE$5:$AE$404,"Completed"))</f>
        <v>0</v>
      </c>
      <c r="AI150" s="51">
        <f>IF(AG150="","",ROUND(SUMIFS('Visit Log'!$K$5:$K$404,'Visit Log'!$G$5:$G$404,AG150,'Visit Log'!$C$5:$C$404,"&gt;="&amp;RepFrom,'Visit Log'!$C$5:$C$404,"&lt;="&amp;RepTo,'Visit Log'!$AE$5:$AE$404,"Completed")/60,2))</f>
        <v>0</v>
      </c>
      <c r="AJ150" s="29">
        <f>IF(AG150="","",SUMIFS(Bookings!$AK$5:$AK$404,Bookings!$AL$5:$AL$404,AG150,Bookings!$I$5:$I$404,"&gt;="&amp;RepFrom,Bookings!$I$5:$I$404,"&lt;="&amp;RepTo,Bookings!$AM$5:$AM$404,"&lt;&gt;Cancelled"))</f>
        <v>0</v>
      </c>
      <c r="AK150" s="32">
        <f>IF(AG150="","",SUMIFS(Mileage!$M$5:$M$304,Mileage!$C$5:$C$304,AG150,Mileage!$B$5:$B$304,"&gt;="&amp;RepFrom,Mileage!$B$5:$B$304,"&lt;="&amp;RepTo))</f>
        <v>0</v>
      </c>
      <c r="AL150" s="28">
        <f>IF(Lists!$Q150="","",Lists!$Q150)</f>
        <v>0</v>
      </c>
      <c r="AM150" s="31">
        <f>IF(AL150="","",COUNTIFS(Bookings!$AV$5:$AV$404,AL150,Bookings!$I$5:$I$404,"&gt;="&amp;RepFrom,Bookings!$I$5:$I$404,"&lt;="&amp;RepTo))</f>
        <v>0</v>
      </c>
      <c r="AN150" s="28">
        <f>IF(Lists!$AF150="","",Lists!$AF150)</f>
        <v>0</v>
      </c>
      <c r="AO150" s="29">
        <f>IF(AN150="","",SUMIFS(Payments!$L$5:$L$304,Payments!$F$5:$F$304,AN150,Payments!$B$5:$B$304,"&gt;="&amp;RepFrom,Payments!$B$5:$B$304,"&lt;="&amp;RepTo))</f>
        <v>0</v>
      </c>
      <c r="AP150" s="28">
        <f>IF(Lists!$E150="","",Lists!$E150)</f>
        <v>0</v>
      </c>
      <c r="AQ150" s="31">
        <f>IF(AP150="","",COUNTIFS(Clients!$K$5:$K$254,AP150))</f>
        <v>0</v>
      </c>
      <c r="AR150" s="29">
        <f>IF(AP150="","",SUMIFS(Clients!$AE$5:$AE$254,Clients!$K$5:$K$254,AP150))</f>
        <v>0</v>
      </c>
    </row>
    <row r="151" spans="1:44">
      <c r="A151" s="28">
        <f>IF(Clients!$B$151="","",Clients!$B$151)</f>
        <v>0</v>
      </c>
      <c r="B151" s="29">
        <f>IF(A151="","",SUMIFS(Payments!$L$5:$L$304,Payments!$C$5:$C$304,A151,Payments!$B$5:$B$304,"&gt;="&amp;PeriodStart,Payments!$B$5:$B$304,"&lt;="&amp;PeriodEnd))</f>
        <v>0</v>
      </c>
      <c r="C151" s="51">
        <f>IF(A151="","",IF(B151&lt;=0,"",B151+ROW()/1000000))</f>
        <v>0</v>
      </c>
      <c r="D151" s="29">
        <f>IF(A151="","",SUMIFS(Payments!$L$5:$L$304,Payments!$C$5:$C$304,A151,Payments!$B$5:$B$304,"&gt;="&amp;RepFrom,Payments!$B$5:$B$304,"&lt;="&amp;RepTo))</f>
        <v>0</v>
      </c>
      <c r="E151" s="51">
        <f>IF(A151="","",IF(D151&lt;=0,"",D151+ROW()/1000000))</f>
        <v>0</v>
      </c>
      <c r="F151" s="29">
        <f>IF(A151="","",SUMIFS(Invoices!$S$5:$S$304,Invoices!$D$5:$D$304,A151,Invoices!$T$5:$T$304,"&lt;&gt;Cancelled"))</f>
        <v>0</v>
      </c>
      <c r="G151" s="51">
        <f>IF(A151="","",IF(F151&lt;=0.004,"",F151+ROW()/1000000))</f>
        <v>0</v>
      </c>
      <c r="H151" s="31">
        <f>IF(A151="","",COUNTIFS(Bookings!$C$5:$C$404,A151,Bookings!$I$5:$I$404,"&gt;="&amp;RepFrom,Bookings!$I$5:$I$404,"&lt;="&amp;RepTo,Bookings!$AM$5:$AM$404,"&lt;&gt;Cancelled"))</f>
        <v>0</v>
      </c>
      <c r="I151" s="28">
        <f>IF(Services!$B$151="","",Services!$B$151)</f>
        <v>0</v>
      </c>
      <c r="J151" s="29">
        <f>IF(I151="","",SUMIFS(Bookings!$AK$5:$AK$404,Bookings!$H$5:$H$404,I151,Bookings!$I$5:$I$404,"&gt;="&amp;PeriodStart,Bookings!$I$5:$I$404,"&lt;="&amp;PeriodEnd,Bookings!$AM$5:$AM$404,"&lt;&gt;Cancelled"))</f>
        <v>0</v>
      </c>
      <c r="K151" s="31">
        <f>IF(I151="","",COUNTIFS(Bookings!$H$5:$H$404,I151,Bookings!$I$5:$I$404,"&gt;="&amp;PeriodStart,Bookings!$I$5:$I$404,"&lt;="&amp;PeriodEnd,Bookings!$AM$5:$AM$404,"&lt;&gt;Cancelled"))</f>
        <v>0</v>
      </c>
      <c r="L151" s="29">
        <f>IF(I151="","",SUMIFS(Bookings!$AK$5:$AK$404,Bookings!$H$5:$H$404,I151,Bookings!$I$5:$I$404,"&gt;="&amp;RepFrom,Bookings!$I$5:$I$404,"&lt;="&amp;RepTo,Bookings!$AM$5:$AM$404,"&lt;&gt;Cancelled"))</f>
        <v>0</v>
      </c>
      <c r="M151" s="31">
        <f>IF(I151="","",COUNTIFS(Bookings!$H$5:$H$404,I151,Bookings!$I$5:$I$404,"&gt;="&amp;RepFrom,Bookings!$I$5:$I$404,"&lt;="&amp;RepTo,Bookings!$AM$5:$AM$404,"&lt;&gt;Cancelled"))</f>
        <v>0</v>
      </c>
      <c r="N151" s="29">
        <f>IF(I151="","",M151*IF(Services!$L$151="",0,Services!$L$151))</f>
        <v>0</v>
      </c>
      <c r="O151" s="29">
        <f>IF(I151="","",L151-N151)</f>
        <v>0</v>
      </c>
      <c r="P151" s="28">
        <f>IF(Lists!$AG151="","",Lists!$AG151)</f>
        <v>0</v>
      </c>
      <c r="Q151" s="29">
        <f>IF(P151="","",SUMIFS(Expenses!$F$5:$F$304,Expenses!$C$5:$C$304,P151,Expenses!$B$5:$B$304,"&gt;="&amp;PeriodStart,Expenses!$B$5:$B$304,"&lt;="&amp;PeriodEnd,Expenses!$J$5:$J$304,"&lt;&gt;Personal"))</f>
        <v>0</v>
      </c>
      <c r="R151" s="29">
        <f>IF(P151="","",SUMIFS(Expenses!$F$5:$F$304,Expenses!$C$5:$C$304,P151,Expenses!$B$5:$B$304,"&gt;="&amp;RepFrom,Expenses!$B$5:$B$304,"&lt;="&amp;RepTo,Expenses!$J$5:$J$304,"&lt;&gt;Personal"))</f>
        <v>0</v>
      </c>
      <c r="S151" s="21">
        <f>IF(ROW()-4&gt;12,"",DATE(Dash_Year,ROW()-4,1))</f>
        <v>0</v>
      </c>
      <c r="T151" s="21">
        <f>IF(S151="","",EOMONTH(S151,0))</f>
        <v>0</v>
      </c>
      <c r="U151" s="28">
        <f>IF(S151="","",TEXT(S151,"mmm"))</f>
        <v>0</v>
      </c>
      <c r="V151" s="29">
        <f>IF(S151="","",SUMIFS(Payments!$L$5:$L$304,Payments!$B$5:$B$304,"&gt;="&amp;S151,Payments!$B$5:$B$304,"&lt;="&amp;T151))</f>
        <v>0</v>
      </c>
      <c r="W151" s="29">
        <f>IF(S151="","",SUMIFS(Invoices!$O$5:$O$304,Invoices!$B$5:$B$304,"&gt;="&amp;S151,Invoices!$B$5:$B$304,"&lt;="&amp;T151,Invoices!$T$5:$T$304,"&lt;&gt;Cancelled"))</f>
        <v>0</v>
      </c>
      <c r="X151" s="29">
        <f>IF(S151="","",SUMIFS(Expenses!$F$5:$F$304,Expenses!$B$5:$B$304,"&gt;="&amp;S151,Expenses!$B$5:$B$304,"&lt;="&amp;T151,Expenses!$J$5:$J$304,"&lt;&gt;Personal"))</f>
        <v>0</v>
      </c>
      <c r="Y151" s="29">
        <f>IF(S151="","",V151-X151)</f>
        <v>0</v>
      </c>
      <c r="Z151" s="31">
        <f>IF(S151="","",COUNTIFS(Bookings!$I$5:$I$404,"&gt;="&amp;S151,Bookings!$I$5:$I$404,"&lt;="&amp;T151,Bookings!$AM$5:$AM$404,"&lt;&gt;Cancelled"))</f>
        <v>0</v>
      </c>
      <c r="AA151" s="31">
        <f>IF(S151="","",COUNTIFS(Bookings!$I$5:$I$404,"&gt;="&amp;S151,Bookings!$I$5:$I$404,"&lt;="&amp;T151,Bookings!$AM$5:$AM$404,"Completed"))</f>
        <v>0</v>
      </c>
      <c r="AB151" s="31">
        <f>IF(S151="","",COUNTIFS(Bookings!$I$5:$I$404,"&gt;="&amp;S151,Bookings!$I$5:$I$404,"&lt;="&amp;T151,Bookings!$AM$5:$AM$404,"Cancelled"))</f>
        <v>0</v>
      </c>
      <c r="AC151" s="31">
        <f>IF(S151="","",COUNTIFS('Visit Log'!$C$5:$C$404,"&gt;="&amp;S151,'Visit Log'!$C$5:$C$404,"&lt;="&amp;T151,'Visit Log'!$AE$5:$AE$404,"Completed"))</f>
        <v>0</v>
      </c>
      <c r="AD151" s="31">
        <f>IF(S151="","",COUNTIFS(Clients!$L$5:$L$254,"&gt;="&amp;S151,Clients!$L$5:$L$254,"&lt;="&amp;T151))</f>
        <v>0</v>
      </c>
      <c r="AE151" s="32">
        <f>IF(S151="","",SUMIFS(Mileage!$M$5:$M$304,Mileage!$B$5:$B$304,"&gt;="&amp;S151,Mileage!$B$5:$B$304,"&lt;="&amp;T151,Mileage!$N$5:$N$304,"Business"))</f>
        <v>0</v>
      </c>
      <c r="AF151" s="29">
        <f>IF(S151="","",SUMIFS(Payments!$L$5:$L$304,Payments!$B$5:$B$304,"&gt;="&amp;DATE(Dash_Year-1,ROW()-4,1),Payments!$B$5:$B$304,"&lt;="&amp;EOMONTH(DATE(Dash_Year-1,ROW()-4,1),0)))</f>
        <v>0</v>
      </c>
      <c r="AG151" s="28">
        <f>IF(Staff!$B$151="","",Staff!$B$151)</f>
        <v>0</v>
      </c>
      <c r="AH151" s="31">
        <f>IF(AG151="","",COUNTIFS('Visit Log'!$G$5:$G$404,AG151,'Visit Log'!$C$5:$C$404,"&gt;="&amp;RepFrom,'Visit Log'!$C$5:$C$404,"&lt;="&amp;RepTo,'Visit Log'!$AE$5:$AE$404,"Completed"))</f>
        <v>0</v>
      </c>
      <c r="AI151" s="51">
        <f>IF(AG151="","",ROUND(SUMIFS('Visit Log'!$K$5:$K$404,'Visit Log'!$G$5:$G$404,AG151,'Visit Log'!$C$5:$C$404,"&gt;="&amp;RepFrom,'Visit Log'!$C$5:$C$404,"&lt;="&amp;RepTo,'Visit Log'!$AE$5:$AE$404,"Completed")/60,2))</f>
        <v>0</v>
      </c>
      <c r="AJ151" s="29">
        <f>IF(AG151="","",SUMIFS(Bookings!$AK$5:$AK$404,Bookings!$AL$5:$AL$404,AG151,Bookings!$I$5:$I$404,"&gt;="&amp;RepFrom,Bookings!$I$5:$I$404,"&lt;="&amp;RepTo,Bookings!$AM$5:$AM$404,"&lt;&gt;Cancelled"))</f>
        <v>0</v>
      </c>
      <c r="AK151" s="32">
        <f>IF(AG151="","",SUMIFS(Mileage!$M$5:$M$304,Mileage!$C$5:$C$304,AG151,Mileage!$B$5:$B$304,"&gt;="&amp;RepFrom,Mileage!$B$5:$B$304,"&lt;="&amp;RepTo))</f>
        <v>0</v>
      </c>
      <c r="AL151" s="28">
        <f>IF(Lists!$Q151="","",Lists!$Q151)</f>
        <v>0</v>
      </c>
      <c r="AM151" s="31">
        <f>IF(AL151="","",COUNTIFS(Bookings!$AV$5:$AV$404,AL151,Bookings!$I$5:$I$404,"&gt;="&amp;RepFrom,Bookings!$I$5:$I$404,"&lt;="&amp;RepTo))</f>
        <v>0</v>
      </c>
      <c r="AN151" s="28">
        <f>IF(Lists!$AF151="","",Lists!$AF151)</f>
        <v>0</v>
      </c>
      <c r="AO151" s="29">
        <f>IF(AN151="","",SUMIFS(Payments!$L$5:$L$304,Payments!$F$5:$F$304,AN151,Payments!$B$5:$B$304,"&gt;="&amp;RepFrom,Payments!$B$5:$B$304,"&lt;="&amp;RepTo))</f>
        <v>0</v>
      </c>
      <c r="AP151" s="28">
        <f>IF(Lists!$E151="","",Lists!$E151)</f>
        <v>0</v>
      </c>
      <c r="AQ151" s="31">
        <f>IF(AP151="","",COUNTIFS(Clients!$K$5:$K$254,AP151))</f>
        <v>0</v>
      </c>
      <c r="AR151" s="29">
        <f>IF(AP151="","",SUMIFS(Clients!$AE$5:$AE$254,Clients!$K$5:$K$254,AP151))</f>
        <v>0</v>
      </c>
    </row>
    <row r="152" spans="1:44">
      <c r="A152" s="28">
        <f>IF(Clients!$B$152="","",Clients!$B$152)</f>
        <v>0</v>
      </c>
      <c r="B152" s="29">
        <f>IF(A152="","",SUMIFS(Payments!$L$5:$L$304,Payments!$C$5:$C$304,A152,Payments!$B$5:$B$304,"&gt;="&amp;PeriodStart,Payments!$B$5:$B$304,"&lt;="&amp;PeriodEnd))</f>
        <v>0</v>
      </c>
      <c r="C152" s="51">
        <f>IF(A152="","",IF(B152&lt;=0,"",B152+ROW()/1000000))</f>
        <v>0</v>
      </c>
      <c r="D152" s="29">
        <f>IF(A152="","",SUMIFS(Payments!$L$5:$L$304,Payments!$C$5:$C$304,A152,Payments!$B$5:$B$304,"&gt;="&amp;RepFrom,Payments!$B$5:$B$304,"&lt;="&amp;RepTo))</f>
        <v>0</v>
      </c>
      <c r="E152" s="51">
        <f>IF(A152="","",IF(D152&lt;=0,"",D152+ROW()/1000000))</f>
        <v>0</v>
      </c>
      <c r="F152" s="29">
        <f>IF(A152="","",SUMIFS(Invoices!$S$5:$S$304,Invoices!$D$5:$D$304,A152,Invoices!$T$5:$T$304,"&lt;&gt;Cancelled"))</f>
        <v>0</v>
      </c>
      <c r="G152" s="51">
        <f>IF(A152="","",IF(F152&lt;=0.004,"",F152+ROW()/1000000))</f>
        <v>0</v>
      </c>
      <c r="H152" s="31">
        <f>IF(A152="","",COUNTIFS(Bookings!$C$5:$C$404,A152,Bookings!$I$5:$I$404,"&gt;="&amp;RepFrom,Bookings!$I$5:$I$404,"&lt;="&amp;RepTo,Bookings!$AM$5:$AM$404,"&lt;&gt;Cancelled"))</f>
        <v>0</v>
      </c>
      <c r="I152" s="28">
        <f>IF(Services!$B$152="","",Services!$B$152)</f>
        <v>0</v>
      </c>
      <c r="J152" s="29">
        <f>IF(I152="","",SUMIFS(Bookings!$AK$5:$AK$404,Bookings!$H$5:$H$404,I152,Bookings!$I$5:$I$404,"&gt;="&amp;PeriodStart,Bookings!$I$5:$I$404,"&lt;="&amp;PeriodEnd,Bookings!$AM$5:$AM$404,"&lt;&gt;Cancelled"))</f>
        <v>0</v>
      </c>
      <c r="K152" s="31">
        <f>IF(I152="","",COUNTIFS(Bookings!$H$5:$H$404,I152,Bookings!$I$5:$I$404,"&gt;="&amp;PeriodStart,Bookings!$I$5:$I$404,"&lt;="&amp;PeriodEnd,Bookings!$AM$5:$AM$404,"&lt;&gt;Cancelled"))</f>
        <v>0</v>
      </c>
      <c r="L152" s="29">
        <f>IF(I152="","",SUMIFS(Bookings!$AK$5:$AK$404,Bookings!$H$5:$H$404,I152,Bookings!$I$5:$I$404,"&gt;="&amp;RepFrom,Bookings!$I$5:$I$404,"&lt;="&amp;RepTo,Bookings!$AM$5:$AM$404,"&lt;&gt;Cancelled"))</f>
        <v>0</v>
      </c>
      <c r="M152" s="31">
        <f>IF(I152="","",COUNTIFS(Bookings!$H$5:$H$404,I152,Bookings!$I$5:$I$404,"&gt;="&amp;RepFrom,Bookings!$I$5:$I$404,"&lt;="&amp;RepTo,Bookings!$AM$5:$AM$404,"&lt;&gt;Cancelled"))</f>
        <v>0</v>
      </c>
      <c r="N152" s="29">
        <f>IF(I152="","",M152*IF(Services!$L$152="",0,Services!$L$152))</f>
        <v>0</v>
      </c>
      <c r="O152" s="29">
        <f>IF(I152="","",L152-N152)</f>
        <v>0</v>
      </c>
      <c r="P152" s="28">
        <f>IF(Lists!$AG152="","",Lists!$AG152)</f>
        <v>0</v>
      </c>
      <c r="Q152" s="29">
        <f>IF(P152="","",SUMIFS(Expenses!$F$5:$F$304,Expenses!$C$5:$C$304,P152,Expenses!$B$5:$B$304,"&gt;="&amp;PeriodStart,Expenses!$B$5:$B$304,"&lt;="&amp;PeriodEnd,Expenses!$J$5:$J$304,"&lt;&gt;Personal"))</f>
        <v>0</v>
      </c>
      <c r="R152" s="29">
        <f>IF(P152="","",SUMIFS(Expenses!$F$5:$F$304,Expenses!$C$5:$C$304,P152,Expenses!$B$5:$B$304,"&gt;="&amp;RepFrom,Expenses!$B$5:$B$304,"&lt;="&amp;RepTo,Expenses!$J$5:$J$304,"&lt;&gt;Personal"))</f>
        <v>0</v>
      </c>
      <c r="S152" s="21">
        <f>IF(ROW()-4&gt;12,"",DATE(Dash_Year,ROW()-4,1))</f>
        <v>0</v>
      </c>
      <c r="T152" s="21">
        <f>IF(S152="","",EOMONTH(S152,0))</f>
        <v>0</v>
      </c>
      <c r="U152" s="28">
        <f>IF(S152="","",TEXT(S152,"mmm"))</f>
        <v>0</v>
      </c>
      <c r="V152" s="29">
        <f>IF(S152="","",SUMIFS(Payments!$L$5:$L$304,Payments!$B$5:$B$304,"&gt;="&amp;S152,Payments!$B$5:$B$304,"&lt;="&amp;T152))</f>
        <v>0</v>
      </c>
      <c r="W152" s="29">
        <f>IF(S152="","",SUMIFS(Invoices!$O$5:$O$304,Invoices!$B$5:$B$304,"&gt;="&amp;S152,Invoices!$B$5:$B$304,"&lt;="&amp;T152,Invoices!$T$5:$T$304,"&lt;&gt;Cancelled"))</f>
        <v>0</v>
      </c>
      <c r="X152" s="29">
        <f>IF(S152="","",SUMIFS(Expenses!$F$5:$F$304,Expenses!$B$5:$B$304,"&gt;="&amp;S152,Expenses!$B$5:$B$304,"&lt;="&amp;T152,Expenses!$J$5:$J$304,"&lt;&gt;Personal"))</f>
        <v>0</v>
      </c>
      <c r="Y152" s="29">
        <f>IF(S152="","",V152-X152)</f>
        <v>0</v>
      </c>
      <c r="Z152" s="31">
        <f>IF(S152="","",COUNTIFS(Bookings!$I$5:$I$404,"&gt;="&amp;S152,Bookings!$I$5:$I$404,"&lt;="&amp;T152,Bookings!$AM$5:$AM$404,"&lt;&gt;Cancelled"))</f>
        <v>0</v>
      </c>
      <c r="AA152" s="31">
        <f>IF(S152="","",COUNTIFS(Bookings!$I$5:$I$404,"&gt;="&amp;S152,Bookings!$I$5:$I$404,"&lt;="&amp;T152,Bookings!$AM$5:$AM$404,"Completed"))</f>
        <v>0</v>
      </c>
      <c r="AB152" s="31">
        <f>IF(S152="","",COUNTIFS(Bookings!$I$5:$I$404,"&gt;="&amp;S152,Bookings!$I$5:$I$404,"&lt;="&amp;T152,Bookings!$AM$5:$AM$404,"Cancelled"))</f>
        <v>0</v>
      </c>
      <c r="AC152" s="31">
        <f>IF(S152="","",COUNTIFS('Visit Log'!$C$5:$C$404,"&gt;="&amp;S152,'Visit Log'!$C$5:$C$404,"&lt;="&amp;T152,'Visit Log'!$AE$5:$AE$404,"Completed"))</f>
        <v>0</v>
      </c>
      <c r="AD152" s="31">
        <f>IF(S152="","",COUNTIFS(Clients!$L$5:$L$254,"&gt;="&amp;S152,Clients!$L$5:$L$254,"&lt;="&amp;T152))</f>
        <v>0</v>
      </c>
      <c r="AE152" s="32">
        <f>IF(S152="","",SUMIFS(Mileage!$M$5:$M$304,Mileage!$B$5:$B$304,"&gt;="&amp;S152,Mileage!$B$5:$B$304,"&lt;="&amp;T152,Mileage!$N$5:$N$304,"Business"))</f>
        <v>0</v>
      </c>
      <c r="AF152" s="29">
        <f>IF(S152="","",SUMIFS(Payments!$L$5:$L$304,Payments!$B$5:$B$304,"&gt;="&amp;DATE(Dash_Year-1,ROW()-4,1),Payments!$B$5:$B$304,"&lt;="&amp;EOMONTH(DATE(Dash_Year-1,ROW()-4,1),0)))</f>
        <v>0</v>
      </c>
      <c r="AG152" s="28">
        <f>IF(Staff!$B$152="","",Staff!$B$152)</f>
        <v>0</v>
      </c>
      <c r="AH152" s="31">
        <f>IF(AG152="","",COUNTIFS('Visit Log'!$G$5:$G$404,AG152,'Visit Log'!$C$5:$C$404,"&gt;="&amp;RepFrom,'Visit Log'!$C$5:$C$404,"&lt;="&amp;RepTo,'Visit Log'!$AE$5:$AE$404,"Completed"))</f>
        <v>0</v>
      </c>
      <c r="AI152" s="51">
        <f>IF(AG152="","",ROUND(SUMIFS('Visit Log'!$K$5:$K$404,'Visit Log'!$G$5:$G$404,AG152,'Visit Log'!$C$5:$C$404,"&gt;="&amp;RepFrom,'Visit Log'!$C$5:$C$404,"&lt;="&amp;RepTo,'Visit Log'!$AE$5:$AE$404,"Completed")/60,2))</f>
        <v>0</v>
      </c>
      <c r="AJ152" s="29">
        <f>IF(AG152="","",SUMIFS(Bookings!$AK$5:$AK$404,Bookings!$AL$5:$AL$404,AG152,Bookings!$I$5:$I$404,"&gt;="&amp;RepFrom,Bookings!$I$5:$I$404,"&lt;="&amp;RepTo,Bookings!$AM$5:$AM$404,"&lt;&gt;Cancelled"))</f>
        <v>0</v>
      </c>
      <c r="AK152" s="32">
        <f>IF(AG152="","",SUMIFS(Mileage!$M$5:$M$304,Mileage!$C$5:$C$304,AG152,Mileage!$B$5:$B$304,"&gt;="&amp;RepFrom,Mileage!$B$5:$B$304,"&lt;="&amp;RepTo))</f>
        <v>0</v>
      </c>
      <c r="AL152" s="28">
        <f>IF(Lists!$Q152="","",Lists!$Q152)</f>
        <v>0</v>
      </c>
      <c r="AM152" s="31">
        <f>IF(AL152="","",COUNTIFS(Bookings!$AV$5:$AV$404,AL152,Bookings!$I$5:$I$404,"&gt;="&amp;RepFrom,Bookings!$I$5:$I$404,"&lt;="&amp;RepTo))</f>
        <v>0</v>
      </c>
      <c r="AN152" s="28">
        <f>IF(Lists!$AF152="","",Lists!$AF152)</f>
        <v>0</v>
      </c>
      <c r="AO152" s="29">
        <f>IF(AN152="","",SUMIFS(Payments!$L$5:$L$304,Payments!$F$5:$F$304,AN152,Payments!$B$5:$B$304,"&gt;="&amp;RepFrom,Payments!$B$5:$B$304,"&lt;="&amp;RepTo))</f>
        <v>0</v>
      </c>
      <c r="AP152" s="28">
        <f>IF(Lists!$E152="","",Lists!$E152)</f>
        <v>0</v>
      </c>
      <c r="AQ152" s="31">
        <f>IF(AP152="","",COUNTIFS(Clients!$K$5:$K$254,AP152))</f>
        <v>0</v>
      </c>
      <c r="AR152" s="29">
        <f>IF(AP152="","",SUMIFS(Clients!$AE$5:$AE$254,Clients!$K$5:$K$254,AP152))</f>
        <v>0</v>
      </c>
    </row>
    <row r="153" spans="1:44">
      <c r="A153" s="28">
        <f>IF(Clients!$B$153="","",Clients!$B$153)</f>
        <v>0</v>
      </c>
      <c r="B153" s="29">
        <f>IF(A153="","",SUMIFS(Payments!$L$5:$L$304,Payments!$C$5:$C$304,A153,Payments!$B$5:$B$304,"&gt;="&amp;PeriodStart,Payments!$B$5:$B$304,"&lt;="&amp;PeriodEnd))</f>
        <v>0</v>
      </c>
      <c r="C153" s="51">
        <f>IF(A153="","",IF(B153&lt;=0,"",B153+ROW()/1000000))</f>
        <v>0</v>
      </c>
      <c r="D153" s="29">
        <f>IF(A153="","",SUMIFS(Payments!$L$5:$L$304,Payments!$C$5:$C$304,A153,Payments!$B$5:$B$304,"&gt;="&amp;RepFrom,Payments!$B$5:$B$304,"&lt;="&amp;RepTo))</f>
        <v>0</v>
      </c>
      <c r="E153" s="51">
        <f>IF(A153="","",IF(D153&lt;=0,"",D153+ROW()/1000000))</f>
        <v>0</v>
      </c>
      <c r="F153" s="29">
        <f>IF(A153="","",SUMIFS(Invoices!$S$5:$S$304,Invoices!$D$5:$D$304,A153,Invoices!$T$5:$T$304,"&lt;&gt;Cancelled"))</f>
        <v>0</v>
      </c>
      <c r="G153" s="51">
        <f>IF(A153="","",IF(F153&lt;=0.004,"",F153+ROW()/1000000))</f>
        <v>0</v>
      </c>
      <c r="H153" s="31">
        <f>IF(A153="","",COUNTIFS(Bookings!$C$5:$C$404,A153,Bookings!$I$5:$I$404,"&gt;="&amp;RepFrom,Bookings!$I$5:$I$404,"&lt;="&amp;RepTo,Bookings!$AM$5:$AM$404,"&lt;&gt;Cancelled"))</f>
        <v>0</v>
      </c>
      <c r="I153" s="28">
        <f>IF(Services!$B$153="","",Services!$B$153)</f>
        <v>0</v>
      </c>
      <c r="J153" s="29">
        <f>IF(I153="","",SUMIFS(Bookings!$AK$5:$AK$404,Bookings!$H$5:$H$404,I153,Bookings!$I$5:$I$404,"&gt;="&amp;PeriodStart,Bookings!$I$5:$I$404,"&lt;="&amp;PeriodEnd,Bookings!$AM$5:$AM$404,"&lt;&gt;Cancelled"))</f>
        <v>0</v>
      </c>
      <c r="K153" s="31">
        <f>IF(I153="","",COUNTIFS(Bookings!$H$5:$H$404,I153,Bookings!$I$5:$I$404,"&gt;="&amp;PeriodStart,Bookings!$I$5:$I$404,"&lt;="&amp;PeriodEnd,Bookings!$AM$5:$AM$404,"&lt;&gt;Cancelled"))</f>
        <v>0</v>
      </c>
      <c r="L153" s="29">
        <f>IF(I153="","",SUMIFS(Bookings!$AK$5:$AK$404,Bookings!$H$5:$H$404,I153,Bookings!$I$5:$I$404,"&gt;="&amp;RepFrom,Bookings!$I$5:$I$404,"&lt;="&amp;RepTo,Bookings!$AM$5:$AM$404,"&lt;&gt;Cancelled"))</f>
        <v>0</v>
      </c>
      <c r="M153" s="31">
        <f>IF(I153="","",COUNTIFS(Bookings!$H$5:$H$404,I153,Bookings!$I$5:$I$404,"&gt;="&amp;RepFrom,Bookings!$I$5:$I$404,"&lt;="&amp;RepTo,Bookings!$AM$5:$AM$404,"&lt;&gt;Cancelled"))</f>
        <v>0</v>
      </c>
      <c r="N153" s="29">
        <f>IF(I153="","",M153*IF(Services!$L$153="",0,Services!$L$153))</f>
        <v>0</v>
      </c>
      <c r="O153" s="29">
        <f>IF(I153="","",L153-N153)</f>
        <v>0</v>
      </c>
      <c r="P153" s="28">
        <f>IF(Lists!$AG153="","",Lists!$AG153)</f>
        <v>0</v>
      </c>
      <c r="Q153" s="29">
        <f>IF(P153="","",SUMIFS(Expenses!$F$5:$F$304,Expenses!$C$5:$C$304,P153,Expenses!$B$5:$B$304,"&gt;="&amp;PeriodStart,Expenses!$B$5:$B$304,"&lt;="&amp;PeriodEnd,Expenses!$J$5:$J$304,"&lt;&gt;Personal"))</f>
        <v>0</v>
      </c>
      <c r="R153" s="29">
        <f>IF(P153="","",SUMIFS(Expenses!$F$5:$F$304,Expenses!$C$5:$C$304,P153,Expenses!$B$5:$B$304,"&gt;="&amp;RepFrom,Expenses!$B$5:$B$304,"&lt;="&amp;RepTo,Expenses!$J$5:$J$304,"&lt;&gt;Personal"))</f>
        <v>0</v>
      </c>
      <c r="S153" s="21">
        <f>IF(ROW()-4&gt;12,"",DATE(Dash_Year,ROW()-4,1))</f>
        <v>0</v>
      </c>
      <c r="T153" s="21">
        <f>IF(S153="","",EOMONTH(S153,0))</f>
        <v>0</v>
      </c>
      <c r="U153" s="28">
        <f>IF(S153="","",TEXT(S153,"mmm"))</f>
        <v>0</v>
      </c>
      <c r="V153" s="29">
        <f>IF(S153="","",SUMIFS(Payments!$L$5:$L$304,Payments!$B$5:$B$304,"&gt;="&amp;S153,Payments!$B$5:$B$304,"&lt;="&amp;T153))</f>
        <v>0</v>
      </c>
      <c r="W153" s="29">
        <f>IF(S153="","",SUMIFS(Invoices!$O$5:$O$304,Invoices!$B$5:$B$304,"&gt;="&amp;S153,Invoices!$B$5:$B$304,"&lt;="&amp;T153,Invoices!$T$5:$T$304,"&lt;&gt;Cancelled"))</f>
        <v>0</v>
      </c>
      <c r="X153" s="29">
        <f>IF(S153="","",SUMIFS(Expenses!$F$5:$F$304,Expenses!$B$5:$B$304,"&gt;="&amp;S153,Expenses!$B$5:$B$304,"&lt;="&amp;T153,Expenses!$J$5:$J$304,"&lt;&gt;Personal"))</f>
        <v>0</v>
      </c>
      <c r="Y153" s="29">
        <f>IF(S153="","",V153-X153)</f>
        <v>0</v>
      </c>
      <c r="Z153" s="31">
        <f>IF(S153="","",COUNTIFS(Bookings!$I$5:$I$404,"&gt;="&amp;S153,Bookings!$I$5:$I$404,"&lt;="&amp;T153,Bookings!$AM$5:$AM$404,"&lt;&gt;Cancelled"))</f>
        <v>0</v>
      </c>
      <c r="AA153" s="31">
        <f>IF(S153="","",COUNTIFS(Bookings!$I$5:$I$404,"&gt;="&amp;S153,Bookings!$I$5:$I$404,"&lt;="&amp;T153,Bookings!$AM$5:$AM$404,"Completed"))</f>
        <v>0</v>
      </c>
      <c r="AB153" s="31">
        <f>IF(S153="","",COUNTIFS(Bookings!$I$5:$I$404,"&gt;="&amp;S153,Bookings!$I$5:$I$404,"&lt;="&amp;T153,Bookings!$AM$5:$AM$404,"Cancelled"))</f>
        <v>0</v>
      </c>
      <c r="AC153" s="31">
        <f>IF(S153="","",COUNTIFS('Visit Log'!$C$5:$C$404,"&gt;="&amp;S153,'Visit Log'!$C$5:$C$404,"&lt;="&amp;T153,'Visit Log'!$AE$5:$AE$404,"Completed"))</f>
        <v>0</v>
      </c>
      <c r="AD153" s="31">
        <f>IF(S153="","",COUNTIFS(Clients!$L$5:$L$254,"&gt;="&amp;S153,Clients!$L$5:$L$254,"&lt;="&amp;T153))</f>
        <v>0</v>
      </c>
      <c r="AE153" s="32">
        <f>IF(S153="","",SUMIFS(Mileage!$M$5:$M$304,Mileage!$B$5:$B$304,"&gt;="&amp;S153,Mileage!$B$5:$B$304,"&lt;="&amp;T153,Mileage!$N$5:$N$304,"Business"))</f>
        <v>0</v>
      </c>
      <c r="AF153" s="29">
        <f>IF(S153="","",SUMIFS(Payments!$L$5:$L$304,Payments!$B$5:$B$304,"&gt;="&amp;DATE(Dash_Year-1,ROW()-4,1),Payments!$B$5:$B$304,"&lt;="&amp;EOMONTH(DATE(Dash_Year-1,ROW()-4,1),0)))</f>
        <v>0</v>
      </c>
      <c r="AG153" s="28">
        <f>IF(Staff!$B$153="","",Staff!$B$153)</f>
        <v>0</v>
      </c>
      <c r="AH153" s="31">
        <f>IF(AG153="","",COUNTIFS('Visit Log'!$G$5:$G$404,AG153,'Visit Log'!$C$5:$C$404,"&gt;="&amp;RepFrom,'Visit Log'!$C$5:$C$404,"&lt;="&amp;RepTo,'Visit Log'!$AE$5:$AE$404,"Completed"))</f>
        <v>0</v>
      </c>
      <c r="AI153" s="51">
        <f>IF(AG153="","",ROUND(SUMIFS('Visit Log'!$K$5:$K$404,'Visit Log'!$G$5:$G$404,AG153,'Visit Log'!$C$5:$C$404,"&gt;="&amp;RepFrom,'Visit Log'!$C$5:$C$404,"&lt;="&amp;RepTo,'Visit Log'!$AE$5:$AE$404,"Completed")/60,2))</f>
        <v>0</v>
      </c>
      <c r="AJ153" s="29">
        <f>IF(AG153="","",SUMIFS(Bookings!$AK$5:$AK$404,Bookings!$AL$5:$AL$404,AG153,Bookings!$I$5:$I$404,"&gt;="&amp;RepFrom,Bookings!$I$5:$I$404,"&lt;="&amp;RepTo,Bookings!$AM$5:$AM$404,"&lt;&gt;Cancelled"))</f>
        <v>0</v>
      </c>
      <c r="AK153" s="32">
        <f>IF(AG153="","",SUMIFS(Mileage!$M$5:$M$304,Mileage!$C$5:$C$304,AG153,Mileage!$B$5:$B$304,"&gt;="&amp;RepFrom,Mileage!$B$5:$B$304,"&lt;="&amp;RepTo))</f>
        <v>0</v>
      </c>
      <c r="AL153" s="28">
        <f>IF(Lists!$Q153="","",Lists!$Q153)</f>
        <v>0</v>
      </c>
      <c r="AM153" s="31">
        <f>IF(AL153="","",COUNTIFS(Bookings!$AV$5:$AV$404,AL153,Bookings!$I$5:$I$404,"&gt;="&amp;RepFrom,Bookings!$I$5:$I$404,"&lt;="&amp;RepTo))</f>
        <v>0</v>
      </c>
      <c r="AN153" s="28">
        <f>IF(Lists!$AF153="","",Lists!$AF153)</f>
        <v>0</v>
      </c>
      <c r="AO153" s="29">
        <f>IF(AN153="","",SUMIFS(Payments!$L$5:$L$304,Payments!$F$5:$F$304,AN153,Payments!$B$5:$B$304,"&gt;="&amp;RepFrom,Payments!$B$5:$B$304,"&lt;="&amp;RepTo))</f>
        <v>0</v>
      </c>
      <c r="AP153" s="28">
        <f>IF(Lists!$E153="","",Lists!$E153)</f>
        <v>0</v>
      </c>
      <c r="AQ153" s="31">
        <f>IF(AP153="","",COUNTIFS(Clients!$K$5:$K$254,AP153))</f>
        <v>0</v>
      </c>
      <c r="AR153" s="29">
        <f>IF(AP153="","",SUMIFS(Clients!$AE$5:$AE$254,Clients!$K$5:$K$254,AP153))</f>
        <v>0</v>
      </c>
    </row>
    <row r="154" spans="1:44">
      <c r="A154" s="28">
        <f>IF(Clients!$B$154="","",Clients!$B$154)</f>
        <v>0</v>
      </c>
      <c r="B154" s="29">
        <f>IF(A154="","",SUMIFS(Payments!$L$5:$L$304,Payments!$C$5:$C$304,A154,Payments!$B$5:$B$304,"&gt;="&amp;PeriodStart,Payments!$B$5:$B$304,"&lt;="&amp;PeriodEnd))</f>
        <v>0</v>
      </c>
      <c r="C154" s="51">
        <f>IF(A154="","",IF(B154&lt;=0,"",B154+ROW()/1000000))</f>
        <v>0</v>
      </c>
      <c r="D154" s="29">
        <f>IF(A154="","",SUMIFS(Payments!$L$5:$L$304,Payments!$C$5:$C$304,A154,Payments!$B$5:$B$304,"&gt;="&amp;RepFrom,Payments!$B$5:$B$304,"&lt;="&amp;RepTo))</f>
        <v>0</v>
      </c>
      <c r="E154" s="51">
        <f>IF(A154="","",IF(D154&lt;=0,"",D154+ROW()/1000000))</f>
        <v>0</v>
      </c>
      <c r="F154" s="29">
        <f>IF(A154="","",SUMIFS(Invoices!$S$5:$S$304,Invoices!$D$5:$D$304,A154,Invoices!$T$5:$T$304,"&lt;&gt;Cancelled"))</f>
        <v>0</v>
      </c>
      <c r="G154" s="51">
        <f>IF(A154="","",IF(F154&lt;=0.004,"",F154+ROW()/1000000))</f>
        <v>0</v>
      </c>
      <c r="H154" s="31">
        <f>IF(A154="","",COUNTIFS(Bookings!$C$5:$C$404,A154,Bookings!$I$5:$I$404,"&gt;="&amp;RepFrom,Bookings!$I$5:$I$404,"&lt;="&amp;RepTo,Bookings!$AM$5:$AM$404,"&lt;&gt;Cancelled"))</f>
        <v>0</v>
      </c>
      <c r="I154" s="28">
        <f>IF(Services!$B$154="","",Services!$B$154)</f>
        <v>0</v>
      </c>
      <c r="J154" s="29">
        <f>IF(I154="","",SUMIFS(Bookings!$AK$5:$AK$404,Bookings!$H$5:$H$404,I154,Bookings!$I$5:$I$404,"&gt;="&amp;PeriodStart,Bookings!$I$5:$I$404,"&lt;="&amp;PeriodEnd,Bookings!$AM$5:$AM$404,"&lt;&gt;Cancelled"))</f>
        <v>0</v>
      </c>
      <c r="K154" s="31">
        <f>IF(I154="","",COUNTIFS(Bookings!$H$5:$H$404,I154,Bookings!$I$5:$I$404,"&gt;="&amp;PeriodStart,Bookings!$I$5:$I$404,"&lt;="&amp;PeriodEnd,Bookings!$AM$5:$AM$404,"&lt;&gt;Cancelled"))</f>
        <v>0</v>
      </c>
      <c r="L154" s="29">
        <f>IF(I154="","",SUMIFS(Bookings!$AK$5:$AK$404,Bookings!$H$5:$H$404,I154,Bookings!$I$5:$I$404,"&gt;="&amp;RepFrom,Bookings!$I$5:$I$404,"&lt;="&amp;RepTo,Bookings!$AM$5:$AM$404,"&lt;&gt;Cancelled"))</f>
        <v>0</v>
      </c>
      <c r="M154" s="31">
        <f>IF(I154="","",COUNTIFS(Bookings!$H$5:$H$404,I154,Bookings!$I$5:$I$404,"&gt;="&amp;RepFrom,Bookings!$I$5:$I$404,"&lt;="&amp;RepTo,Bookings!$AM$5:$AM$404,"&lt;&gt;Cancelled"))</f>
        <v>0</v>
      </c>
      <c r="N154" s="29">
        <f>IF(I154="","",M154*IF(Services!$L$154="",0,Services!$L$154))</f>
        <v>0</v>
      </c>
      <c r="O154" s="29">
        <f>IF(I154="","",L154-N154)</f>
        <v>0</v>
      </c>
      <c r="P154" s="28">
        <f>IF(Lists!$AG154="","",Lists!$AG154)</f>
        <v>0</v>
      </c>
      <c r="Q154" s="29">
        <f>IF(P154="","",SUMIFS(Expenses!$F$5:$F$304,Expenses!$C$5:$C$304,P154,Expenses!$B$5:$B$304,"&gt;="&amp;PeriodStart,Expenses!$B$5:$B$304,"&lt;="&amp;PeriodEnd,Expenses!$J$5:$J$304,"&lt;&gt;Personal"))</f>
        <v>0</v>
      </c>
      <c r="R154" s="29">
        <f>IF(P154="","",SUMIFS(Expenses!$F$5:$F$304,Expenses!$C$5:$C$304,P154,Expenses!$B$5:$B$304,"&gt;="&amp;RepFrom,Expenses!$B$5:$B$304,"&lt;="&amp;RepTo,Expenses!$J$5:$J$304,"&lt;&gt;Personal"))</f>
        <v>0</v>
      </c>
      <c r="S154" s="21">
        <f>IF(ROW()-4&gt;12,"",DATE(Dash_Year,ROW()-4,1))</f>
        <v>0</v>
      </c>
      <c r="T154" s="21">
        <f>IF(S154="","",EOMONTH(S154,0))</f>
        <v>0</v>
      </c>
      <c r="U154" s="28">
        <f>IF(S154="","",TEXT(S154,"mmm"))</f>
        <v>0</v>
      </c>
      <c r="V154" s="29">
        <f>IF(S154="","",SUMIFS(Payments!$L$5:$L$304,Payments!$B$5:$B$304,"&gt;="&amp;S154,Payments!$B$5:$B$304,"&lt;="&amp;T154))</f>
        <v>0</v>
      </c>
      <c r="W154" s="29">
        <f>IF(S154="","",SUMIFS(Invoices!$O$5:$O$304,Invoices!$B$5:$B$304,"&gt;="&amp;S154,Invoices!$B$5:$B$304,"&lt;="&amp;T154,Invoices!$T$5:$T$304,"&lt;&gt;Cancelled"))</f>
        <v>0</v>
      </c>
      <c r="X154" s="29">
        <f>IF(S154="","",SUMIFS(Expenses!$F$5:$F$304,Expenses!$B$5:$B$304,"&gt;="&amp;S154,Expenses!$B$5:$B$304,"&lt;="&amp;T154,Expenses!$J$5:$J$304,"&lt;&gt;Personal"))</f>
        <v>0</v>
      </c>
      <c r="Y154" s="29">
        <f>IF(S154="","",V154-X154)</f>
        <v>0</v>
      </c>
      <c r="Z154" s="31">
        <f>IF(S154="","",COUNTIFS(Bookings!$I$5:$I$404,"&gt;="&amp;S154,Bookings!$I$5:$I$404,"&lt;="&amp;T154,Bookings!$AM$5:$AM$404,"&lt;&gt;Cancelled"))</f>
        <v>0</v>
      </c>
      <c r="AA154" s="31">
        <f>IF(S154="","",COUNTIFS(Bookings!$I$5:$I$404,"&gt;="&amp;S154,Bookings!$I$5:$I$404,"&lt;="&amp;T154,Bookings!$AM$5:$AM$404,"Completed"))</f>
        <v>0</v>
      </c>
      <c r="AB154" s="31">
        <f>IF(S154="","",COUNTIFS(Bookings!$I$5:$I$404,"&gt;="&amp;S154,Bookings!$I$5:$I$404,"&lt;="&amp;T154,Bookings!$AM$5:$AM$404,"Cancelled"))</f>
        <v>0</v>
      </c>
      <c r="AC154" s="31">
        <f>IF(S154="","",COUNTIFS('Visit Log'!$C$5:$C$404,"&gt;="&amp;S154,'Visit Log'!$C$5:$C$404,"&lt;="&amp;T154,'Visit Log'!$AE$5:$AE$404,"Completed"))</f>
        <v>0</v>
      </c>
      <c r="AD154" s="31">
        <f>IF(S154="","",COUNTIFS(Clients!$L$5:$L$254,"&gt;="&amp;S154,Clients!$L$5:$L$254,"&lt;="&amp;T154))</f>
        <v>0</v>
      </c>
      <c r="AE154" s="32">
        <f>IF(S154="","",SUMIFS(Mileage!$M$5:$M$304,Mileage!$B$5:$B$304,"&gt;="&amp;S154,Mileage!$B$5:$B$304,"&lt;="&amp;T154,Mileage!$N$5:$N$304,"Business"))</f>
        <v>0</v>
      </c>
      <c r="AF154" s="29">
        <f>IF(S154="","",SUMIFS(Payments!$L$5:$L$304,Payments!$B$5:$B$304,"&gt;="&amp;DATE(Dash_Year-1,ROW()-4,1),Payments!$B$5:$B$304,"&lt;="&amp;EOMONTH(DATE(Dash_Year-1,ROW()-4,1),0)))</f>
        <v>0</v>
      </c>
      <c r="AG154" s="28">
        <f>IF(Staff!$B$154="","",Staff!$B$154)</f>
        <v>0</v>
      </c>
      <c r="AH154" s="31">
        <f>IF(AG154="","",COUNTIFS('Visit Log'!$G$5:$G$404,AG154,'Visit Log'!$C$5:$C$404,"&gt;="&amp;RepFrom,'Visit Log'!$C$5:$C$404,"&lt;="&amp;RepTo,'Visit Log'!$AE$5:$AE$404,"Completed"))</f>
        <v>0</v>
      </c>
      <c r="AI154" s="51">
        <f>IF(AG154="","",ROUND(SUMIFS('Visit Log'!$K$5:$K$404,'Visit Log'!$G$5:$G$404,AG154,'Visit Log'!$C$5:$C$404,"&gt;="&amp;RepFrom,'Visit Log'!$C$5:$C$404,"&lt;="&amp;RepTo,'Visit Log'!$AE$5:$AE$404,"Completed")/60,2))</f>
        <v>0</v>
      </c>
      <c r="AJ154" s="29">
        <f>IF(AG154="","",SUMIFS(Bookings!$AK$5:$AK$404,Bookings!$AL$5:$AL$404,AG154,Bookings!$I$5:$I$404,"&gt;="&amp;RepFrom,Bookings!$I$5:$I$404,"&lt;="&amp;RepTo,Bookings!$AM$5:$AM$404,"&lt;&gt;Cancelled"))</f>
        <v>0</v>
      </c>
      <c r="AK154" s="32">
        <f>IF(AG154="","",SUMIFS(Mileage!$M$5:$M$304,Mileage!$C$5:$C$304,AG154,Mileage!$B$5:$B$304,"&gt;="&amp;RepFrom,Mileage!$B$5:$B$304,"&lt;="&amp;RepTo))</f>
        <v>0</v>
      </c>
      <c r="AL154" s="28">
        <f>IF(Lists!$Q154="","",Lists!$Q154)</f>
        <v>0</v>
      </c>
      <c r="AM154" s="31">
        <f>IF(AL154="","",COUNTIFS(Bookings!$AV$5:$AV$404,AL154,Bookings!$I$5:$I$404,"&gt;="&amp;RepFrom,Bookings!$I$5:$I$404,"&lt;="&amp;RepTo))</f>
        <v>0</v>
      </c>
      <c r="AN154" s="28">
        <f>IF(Lists!$AF154="","",Lists!$AF154)</f>
        <v>0</v>
      </c>
      <c r="AO154" s="29">
        <f>IF(AN154="","",SUMIFS(Payments!$L$5:$L$304,Payments!$F$5:$F$304,AN154,Payments!$B$5:$B$304,"&gt;="&amp;RepFrom,Payments!$B$5:$B$304,"&lt;="&amp;RepTo))</f>
        <v>0</v>
      </c>
      <c r="AP154" s="28">
        <f>IF(Lists!$E154="","",Lists!$E154)</f>
        <v>0</v>
      </c>
      <c r="AQ154" s="31">
        <f>IF(AP154="","",COUNTIFS(Clients!$K$5:$K$254,AP154))</f>
        <v>0</v>
      </c>
      <c r="AR154" s="29">
        <f>IF(AP154="","",SUMIFS(Clients!$AE$5:$AE$254,Clients!$K$5:$K$254,AP154))</f>
        <v>0</v>
      </c>
    </row>
    <row r="155" spans="1:44">
      <c r="A155" s="28">
        <f>IF(Clients!$B$155="","",Clients!$B$155)</f>
        <v>0</v>
      </c>
      <c r="B155" s="29">
        <f>IF(A155="","",SUMIFS(Payments!$L$5:$L$304,Payments!$C$5:$C$304,A155,Payments!$B$5:$B$304,"&gt;="&amp;PeriodStart,Payments!$B$5:$B$304,"&lt;="&amp;PeriodEnd))</f>
        <v>0</v>
      </c>
      <c r="C155" s="51">
        <f>IF(A155="","",IF(B155&lt;=0,"",B155+ROW()/1000000))</f>
        <v>0</v>
      </c>
      <c r="D155" s="29">
        <f>IF(A155="","",SUMIFS(Payments!$L$5:$L$304,Payments!$C$5:$C$304,A155,Payments!$B$5:$B$304,"&gt;="&amp;RepFrom,Payments!$B$5:$B$304,"&lt;="&amp;RepTo))</f>
        <v>0</v>
      </c>
      <c r="E155" s="51">
        <f>IF(A155="","",IF(D155&lt;=0,"",D155+ROW()/1000000))</f>
        <v>0</v>
      </c>
      <c r="F155" s="29">
        <f>IF(A155="","",SUMIFS(Invoices!$S$5:$S$304,Invoices!$D$5:$D$304,A155,Invoices!$T$5:$T$304,"&lt;&gt;Cancelled"))</f>
        <v>0</v>
      </c>
      <c r="G155" s="51">
        <f>IF(A155="","",IF(F155&lt;=0.004,"",F155+ROW()/1000000))</f>
        <v>0</v>
      </c>
      <c r="H155" s="31">
        <f>IF(A155="","",COUNTIFS(Bookings!$C$5:$C$404,A155,Bookings!$I$5:$I$404,"&gt;="&amp;RepFrom,Bookings!$I$5:$I$404,"&lt;="&amp;RepTo,Bookings!$AM$5:$AM$404,"&lt;&gt;Cancelled"))</f>
        <v>0</v>
      </c>
      <c r="I155" s="28">
        <f>IF(Services!$B$155="","",Services!$B$155)</f>
        <v>0</v>
      </c>
      <c r="J155" s="29">
        <f>IF(I155="","",SUMIFS(Bookings!$AK$5:$AK$404,Bookings!$H$5:$H$404,I155,Bookings!$I$5:$I$404,"&gt;="&amp;PeriodStart,Bookings!$I$5:$I$404,"&lt;="&amp;PeriodEnd,Bookings!$AM$5:$AM$404,"&lt;&gt;Cancelled"))</f>
        <v>0</v>
      </c>
      <c r="K155" s="31">
        <f>IF(I155="","",COUNTIFS(Bookings!$H$5:$H$404,I155,Bookings!$I$5:$I$404,"&gt;="&amp;PeriodStart,Bookings!$I$5:$I$404,"&lt;="&amp;PeriodEnd,Bookings!$AM$5:$AM$404,"&lt;&gt;Cancelled"))</f>
        <v>0</v>
      </c>
      <c r="L155" s="29">
        <f>IF(I155="","",SUMIFS(Bookings!$AK$5:$AK$404,Bookings!$H$5:$H$404,I155,Bookings!$I$5:$I$404,"&gt;="&amp;RepFrom,Bookings!$I$5:$I$404,"&lt;="&amp;RepTo,Bookings!$AM$5:$AM$404,"&lt;&gt;Cancelled"))</f>
        <v>0</v>
      </c>
      <c r="M155" s="31">
        <f>IF(I155="","",COUNTIFS(Bookings!$H$5:$H$404,I155,Bookings!$I$5:$I$404,"&gt;="&amp;RepFrom,Bookings!$I$5:$I$404,"&lt;="&amp;RepTo,Bookings!$AM$5:$AM$404,"&lt;&gt;Cancelled"))</f>
        <v>0</v>
      </c>
      <c r="N155" s="29">
        <f>IF(I155="","",M155*IF(Services!$L$155="",0,Services!$L$155))</f>
        <v>0</v>
      </c>
      <c r="O155" s="29">
        <f>IF(I155="","",L155-N155)</f>
        <v>0</v>
      </c>
      <c r="P155" s="28">
        <f>IF(Lists!$AG155="","",Lists!$AG155)</f>
        <v>0</v>
      </c>
      <c r="Q155" s="29">
        <f>IF(P155="","",SUMIFS(Expenses!$F$5:$F$304,Expenses!$C$5:$C$304,P155,Expenses!$B$5:$B$304,"&gt;="&amp;PeriodStart,Expenses!$B$5:$B$304,"&lt;="&amp;PeriodEnd,Expenses!$J$5:$J$304,"&lt;&gt;Personal"))</f>
        <v>0</v>
      </c>
      <c r="R155" s="29">
        <f>IF(P155="","",SUMIFS(Expenses!$F$5:$F$304,Expenses!$C$5:$C$304,P155,Expenses!$B$5:$B$304,"&gt;="&amp;RepFrom,Expenses!$B$5:$B$304,"&lt;="&amp;RepTo,Expenses!$J$5:$J$304,"&lt;&gt;Personal"))</f>
        <v>0</v>
      </c>
      <c r="S155" s="21">
        <f>IF(ROW()-4&gt;12,"",DATE(Dash_Year,ROW()-4,1))</f>
        <v>0</v>
      </c>
      <c r="T155" s="21">
        <f>IF(S155="","",EOMONTH(S155,0))</f>
        <v>0</v>
      </c>
      <c r="U155" s="28">
        <f>IF(S155="","",TEXT(S155,"mmm"))</f>
        <v>0</v>
      </c>
      <c r="V155" s="29">
        <f>IF(S155="","",SUMIFS(Payments!$L$5:$L$304,Payments!$B$5:$B$304,"&gt;="&amp;S155,Payments!$B$5:$B$304,"&lt;="&amp;T155))</f>
        <v>0</v>
      </c>
      <c r="W155" s="29">
        <f>IF(S155="","",SUMIFS(Invoices!$O$5:$O$304,Invoices!$B$5:$B$304,"&gt;="&amp;S155,Invoices!$B$5:$B$304,"&lt;="&amp;T155,Invoices!$T$5:$T$304,"&lt;&gt;Cancelled"))</f>
        <v>0</v>
      </c>
      <c r="X155" s="29">
        <f>IF(S155="","",SUMIFS(Expenses!$F$5:$F$304,Expenses!$B$5:$B$304,"&gt;="&amp;S155,Expenses!$B$5:$B$304,"&lt;="&amp;T155,Expenses!$J$5:$J$304,"&lt;&gt;Personal"))</f>
        <v>0</v>
      </c>
      <c r="Y155" s="29">
        <f>IF(S155="","",V155-X155)</f>
        <v>0</v>
      </c>
      <c r="Z155" s="31">
        <f>IF(S155="","",COUNTIFS(Bookings!$I$5:$I$404,"&gt;="&amp;S155,Bookings!$I$5:$I$404,"&lt;="&amp;T155,Bookings!$AM$5:$AM$404,"&lt;&gt;Cancelled"))</f>
        <v>0</v>
      </c>
      <c r="AA155" s="31">
        <f>IF(S155="","",COUNTIFS(Bookings!$I$5:$I$404,"&gt;="&amp;S155,Bookings!$I$5:$I$404,"&lt;="&amp;T155,Bookings!$AM$5:$AM$404,"Completed"))</f>
        <v>0</v>
      </c>
      <c r="AB155" s="31">
        <f>IF(S155="","",COUNTIFS(Bookings!$I$5:$I$404,"&gt;="&amp;S155,Bookings!$I$5:$I$404,"&lt;="&amp;T155,Bookings!$AM$5:$AM$404,"Cancelled"))</f>
        <v>0</v>
      </c>
      <c r="AC155" s="31">
        <f>IF(S155="","",COUNTIFS('Visit Log'!$C$5:$C$404,"&gt;="&amp;S155,'Visit Log'!$C$5:$C$404,"&lt;="&amp;T155,'Visit Log'!$AE$5:$AE$404,"Completed"))</f>
        <v>0</v>
      </c>
      <c r="AD155" s="31">
        <f>IF(S155="","",COUNTIFS(Clients!$L$5:$L$254,"&gt;="&amp;S155,Clients!$L$5:$L$254,"&lt;="&amp;T155))</f>
        <v>0</v>
      </c>
      <c r="AE155" s="32">
        <f>IF(S155="","",SUMIFS(Mileage!$M$5:$M$304,Mileage!$B$5:$B$304,"&gt;="&amp;S155,Mileage!$B$5:$B$304,"&lt;="&amp;T155,Mileage!$N$5:$N$304,"Business"))</f>
        <v>0</v>
      </c>
      <c r="AF155" s="29">
        <f>IF(S155="","",SUMIFS(Payments!$L$5:$L$304,Payments!$B$5:$B$304,"&gt;="&amp;DATE(Dash_Year-1,ROW()-4,1),Payments!$B$5:$B$304,"&lt;="&amp;EOMONTH(DATE(Dash_Year-1,ROW()-4,1),0)))</f>
        <v>0</v>
      </c>
      <c r="AG155" s="28">
        <f>IF(Staff!$B$155="","",Staff!$B$155)</f>
        <v>0</v>
      </c>
      <c r="AH155" s="31">
        <f>IF(AG155="","",COUNTIFS('Visit Log'!$G$5:$G$404,AG155,'Visit Log'!$C$5:$C$404,"&gt;="&amp;RepFrom,'Visit Log'!$C$5:$C$404,"&lt;="&amp;RepTo,'Visit Log'!$AE$5:$AE$404,"Completed"))</f>
        <v>0</v>
      </c>
      <c r="AI155" s="51">
        <f>IF(AG155="","",ROUND(SUMIFS('Visit Log'!$K$5:$K$404,'Visit Log'!$G$5:$G$404,AG155,'Visit Log'!$C$5:$C$404,"&gt;="&amp;RepFrom,'Visit Log'!$C$5:$C$404,"&lt;="&amp;RepTo,'Visit Log'!$AE$5:$AE$404,"Completed")/60,2))</f>
        <v>0</v>
      </c>
      <c r="AJ155" s="29">
        <f>IF(AG155="","",SUMIFS(Bookings!$AK$5:$AK$404,Bookings!$AL$5:$AL$404,AG155,Bookings!$I$5:$I$404,"&gt;="&amp;RepFrom,Bookings!$I$5:$I$404,"&lt;="&amp;RepTo,Bookings!$AM$5:$AM$404,"&lt;&gt;Cancelled"))</f>
        <v>0</v>
      </c>
      <c r="AK155" s="32">
        <f>IF(AG155="","",SUMIFS(Mileage!$M$5:$M$304,Mileage!$C$5:$C$304,AG155,Mileage!$B$5:$B$304,"&gt;="&amp;RepFrom,Mileage!$B$5:$B$304,"&lt;="&amp;RepTo))</f>
        <v>0</v>
      </c>
      <c r="AL155" s="28">
        <f>IF(Lists!$Q155="","",Lists!$Q155)</f>
        <v>0</v>
      </c>
      <c r="AM155" s="31">
        <f>IF(AL155="","",COUNTIFS(Bookings!$AV$5:$AV$404,AL155,Bookings!$I$5:$I$404,"&gt;="&amp;RepFrom,Bookings!$I$5:$I$404,"&lt;="&amp;RepTo))</f>
        <v>0</v>
      </c>
      <c r="AN155" s="28">
        <f>IF(Lists!$AF155="","",Lists!$AF155)</f>
        <v>0</v>
      </c>
      <c r="AO155" s="29">
        <f>IF(AN155="","",SUMIFS(Payments!$L$5:$L$304,Payments!$F$5:$F$304,AN155,Payments!$B$5:$B$304,"&gt;="&amp;RepFrom,Payments!$B$5:$B$304,"&lt;="&amp;RepTo))</f>
        <v>0</v>
      </c>
      <c r="AP155" s="28">
        <f>IF(Lists!$E155="","",Lists!$E155)</f>
        <v>0</v>
      </c>
      <c r="AQ155" s="31">
        <f>IF(AP155="","",COUNTIFS(Clients!$K$5:$K$254,AP155))</f>
        <v>0</v>
      </c>
      <c r="AR155" s="29">
        <f>IF(AP155="","",SUMIFS(Clients!$AE$5:$AE$254,Clients!$K$5:$K$254,AP155))</f>
        <v>0</v>
      </c>
    </row>
    <row r="156" spans="1:44">
      <c r="A156" s="28">
        <f>IF(Clients!$B$156="","",Clients!$B$156)</f>
        <v>0</v>
      </c>
      <c r="B156" s="29">
        <f>IF(A156="","",SUMIFS(Payments!$L$5:$L$304,Payments!$C$5:$C$304,A156,Payments!$B$5:$B$304,"&gt;="&amp;PeriodStart,Payments!$B$5:$B$304,"&lt;="&amp;PeriodEnd))</f>
        <v>0</v>
      </c>
      <c r="C156" s="51">
        <f>IF(A156="","",IF(B156&lt;=0,"",B156+ROW()/1000000))</f>
        <v>0</v>
      </c>
      <c r="D156" s="29">
        <f>IF(A156="","",SUMIFS(Payments!$L$5:$L$304,Payments!$C$5:$C$304,A156,Payments!$B$5:$B$304,"&gt;="&amp;RepFrom,Payments!$B$5:$B$304,"&lt;="&amp;RepTo))</f>
        <v>0</v>
      </c>
      <c r="E156" s="51">
        <f>IF(A156="","",IF(D156&lt;=0,"",D156+ROW()/1000000))</f>
        <v>0</v>
      </c>
      <c r="F156" s="29">
        <f>IF(A156="","",SUMIFS(Invoices!$S$5:$S$304,Invoices!$D$5:$D$304,A156,Invoices!$T$5:$T$304,"&lt;&gt;Cancelled"))</f>
        <v>0</v>
      </c>
      <c r="G156" s="51">
        <f>IF(A156="","",IF(F156&lt;=0.004,"",F156+ROW()/1000000))</f>
        <v>0</v>
      </c>
      <c r="H156" s="31">
        <f>IF(A156="","",COUNTIFS(Bookings!$C$5:$C$404,A156,Bookings!$I$5:$I$404,"&gt;="&amp;RepFrom,Bookings!$I$5:$I$404,"&lt;="&amp;RepTo,Bookings!$AM$5:$AM$404,"&lt;&gt;Cancelled"))</f>
        <v>0</v>
      </c>
      <c r="I156" s="28">
        <f>IF(Services!$B$156="","",Services!$B$156)</f>
        <v>0</v>
      </c>
      <c r="J156" s="29">
        <f>IF(I156="","",SUMIFS(Bookings!$AK$5:$AK$404,Bookings!$H$5:$H$404,I156,Bookings!$I$5:$I$404,"&gt;="&amp;PeriodStart,Bookings!$I$5:$I$404,"&lt;="&amp;PeriodEnd,Bookings!$AM$5:$AM$404,"&lt;&gt;Cancelled"))</f>
        <v>0</v>
      </c>
      <c r="K156" s="31">
        <f>IF(I156="","",COUNTIFS(Bookings!$H$5:$H$404,I156,Bookings!$I$5:$I$404,"&gt;="&amp;PeriodStart,Bookings!$I$5:$I$404,"&lt;="&amp;PeriodEnd,Bookings!$AM$5:$AM$404,"&lt;&gt;Cancelled"))</f>
        <v>0</v>
      </c>
      <c r="L156" s="29">
        <f>IF(I156="","",SUMIFS(Bookings!$AK$5:$AK$404,Bookings!$H$5:$H$404,I156,Bookings!$I$5:$I$404,"&gt;="&amp;RepFrom,Bookings!$I$5:$I$404,"&lt;="&amp;RepTo,Bookings!$AM$5:$AM$404,"&lt;&gt;Cancelled"))</f>
        <v>0</v>
      </c>
      <c r="M156" s="31">
        <f>IF(I156="","",COUNTIFS(Bookings!$H$5:$H$404,I156,Bookings!$I$5:$I$404,"&gt;="&amp;RepFrom,Bookings!$I$5:$I$404,"&lt;="&amp;RepTo,Bookings!$AM$5:$AM$404,"&lt;&gt;Cancelled"))</f>
        <v>0</v>
      </c>
      <c r="N156" s="29">
        <f>IF(I156="","",M156*IF(Services!$L$156="",0,Services!$L$156))</f>
        <v>0</v>
      </c>
      <c r="O156" s="29">
        <f>IF(I156="","",L156-N156)</f>
        <v>0</v>
      </c>
      <c r="P156" s="28">
        <f>IF(Lists!$AG156="","",Lists!$AG156)</f>
        <v>0</v>
      </c>
      <c r="Q156" s="29">
        <f>IF(P156="","",SUMIFS(Expenses!$F$5:$F$304,Expenses!$C$5:$C$304,P156,Expenses!$B$5:$B$304,"&gt;="&amp;PeriodStart,Expenses!$B$5:$B$304,"&lt;="&amp;PeriodEnd,Expenses!$J$5:$J$304,"&lt;&gt;Personal"))</f>
        <v>0</v>
      </c>
      <c r="R156" s="29">
        <f>IF(P156="","",SUMIFS(Expenses!$F$5:$F$304,Expenses!$C$5:$C$304,P156,Expenses!$B$5:$B$304,"&gt;="&amp;RepFrom,Expenses!$B$5:$B$304,"&lt;="&amp;RepTo,Expenses!$J$5:$J$304,"&lt;&gt;Personal"))</f>
        <v>0</v>
      </c>
      <c r="S156" s="21">
        <f>IF(ROW()-4&gt;12,"",DATE(Dash_Year,ROW()-4,1))</f>
        <v>0</v>
      </c>
      <c r="T156" s="21">
        <f>IF(S156="","",EOMONTH(S156,0))</f>
        <v>0</v>
      </c>
      <c r="U156" s="28">
        <f>IF(S156="","",TEXT(S156,"mmm"))</f>
        <v>0</v>
      </c>
      <c r="V156" s="29">
        <f>IF(S156="","",SUMIFS(Payments!$L$5:$L$304,Payments!$B$5:$B$304,"&gt;="&amp;S156,Payments!$B$5:$B$304,"&lt;="&amp;T156))</f>
        <v>0</v>
      </c>
      <c r="W156" s="29">
        <f>IF(S156="","",SUMIFS(Invoices!$O$5:$O$304,Invoices!$B$5:$B$304,"&gt;="&amp;S156,Invoices!$B$5:$B$304,"&lt;="&amp;T156,Invoices!$T$5:$T$304,"&lt;&gt;Cancelled"))</f>
        <v>0</v>
      </c>
      <c r="X156" s="29">
        <f>IF(S156="","",SUMIFS(Expenses!$F$5:$F$304,Expenses!$B$5:$B$304,"&gt;="&amp;S156,Expenses!$B$5:$B$304,"&lt;="&amp;T156,Expenses!$J$5:$J$304,"&lt;&gt;Personal"))</f>
        <v>0</v>
      </c>
      <c r="Y156" s="29">
        <f>IF(S156="","",V156-X156)</f>
        <v>0</v>
      </c>
      <c r="Z156" s="31">
        <f>IF(S156="","",COUNTIFS(Bookings!$I$5:$I$404,"&gt;="&amp;S156,Bookings!$I$5:$I$404,"&lt;="&amp;T156,Bookings!$AM$5:$AM$404,"&lt;&gt;Cancelled"))</f>
        <v>0</v>
      </c>
      <c r="AA156" s="31">
        <f>IF(S156="","",COUNTIFS(Bookings!$I$5:$I$404,"&gt;="&amp;S156,Bookings!$I$5:$I$404,"&lt;="&amp;T156,Bookings!$AM$5:$AM$404,"Completed"))</f>
        <v>0</v>
      </c>
      <c r="AB156" s="31">
        <f>IF(S156="","",COUNTIFS(Bookings!$I$5:$I$404,"&gt;="&amp;S156,Bookings!$I$5:$I$404,"&lt;="&amp;T156,Bookings!$AM$5:$AM$404,"Cancelled"))</f>
        <v>0</v>
      </c>
      <c r="AC156" s="31">
        <f>IF(S156="","",COUNTIFS('Visit Log'!$C$5:$C$404,"&gt;="&amp;S156,'Visit Log'!$C$5:$C$404,"&lt;="&amp;T156,'Visit Log'!$AE$5:$AE$404,"Completed"))</f>
        <v>0</v>
      </c>
      <c r="AD156" s="31">
        <f>IF(S156="","",COUNTIFS(Clients!$L$5:$L$254,"&gt;="&amp;S156,Clients!$L$5:$L$254,"&lt;="&amp;T156))</f>
        <v>0</v>
      </c>
      <c r="AE156" s="32">
        <f>IF(S156="","",SUMIFS(Mileage!$M$5:$M$304,Mileage!$B$5:$B$304,"&gt;="&amp;S156,Mileage!$B$5:$B$304,"&lt;="&amp;T156,Mileage!$N$5:$N$304,"Business"))</f>
        <v>0</v>
      </c>
      <c r="AF156" s="29">
        <f>IF(S156="","",SUMIFS(Payments!$L$5:$L$304,Payments!$B$5:$B$304,"&gt;="&amp;DATE(Dash_Year-1,ROW()-4,1),Payments!$B$5:$B$304,"&lt;="&amp;EOMONTH(DATE(Dash_Year-1,ROW()-4,1),0)))</f>
        <v>0</v>
      </c>
      <c r="AG156" s="28">
        <f>IF(Staff!$B$156="","",Staff!$B$156)</f>
        <v>0</v>
      </c>
      <c r="AH156" s="31">
        <f>IF(AG156="","",COUNTIFS('Visit Log'!$G$5:$G$404,AG156,'Visit Log'!$C$5:$C$404,"&gt;="&amp;RepFrom,'Visit Log'!$C$5:$C$404,"&lt;="&amp;RepTo,'Visit Log'!$AE$5:$AE$404,"Completed"))</f>
        <v>0</v>
      </c>
      <c r="AI156" s="51">
        <f>IF(AG156="","",ROUND(SUMIFS('Visit Log'!$K$5:$K$404,'Visit Log'!$G$5:$G$404,AG156,'Visit Log'!$C$5:$C$404,"&gt;="&amp;RepFrom,'Visit Log'!$C$5:$C$404,"&lt;="&amp;RepTo,'Visit Log'!$AE$5:$AE$404,"Completed")/60,2))</f>
        <v>0</v>
      </c>
      <c r="AJ156" s="29">
        <f>IF(AG156="","",SUMIFS(Bookings!$AK$5:$AK$404,Bookings!$AL$5:$AL$404,AG156,Bookings!$I$5:$I$404,"&gt;="&amp;RepFrom,Bookings!$I$5:$I$404,"&lt;="&amp;RepTo,Bookings!$AM$5:$AM$404,"&lt;&gt;Cancelled"))</f>
        <v>0</v>
      </c>
      <c r="AK156" s="32">
        <f>IF(AG156="","",SUMIFS(Mileage!$M$5:$M$304,Mileage!$C$5:$C$304,AG156,Mileage!$B$5:$B$304,"&gt;="&amp;RepFrom,Mileage!$B$5:$B$304,"&lt;="&amp;RepTo))</f>
        <v>0</v>
      </c>
      <c r="AL156" s="28">
        <f>IF(Lists!$Q156="","",Lists!$Q156)</f>
        <v>0</v>
      </c>
      <c r="AM156" s="31">
        <f>IF(AL156="","",COUNTIFS(Bookings!$AV$5:$AV$404,AL156,Bookings!$I$5:$I$404,"&gt;="&amp;RepFrom,Bookings!$I$5:$I$404,"&lt;="&amp;RepTo))</f>
        <v>0</v>
      </c>
      <c r="AN156" s="28">
        <f>IF(Lists!$AF156="","",Lists!$AF156)</f>
        <v>0</v>
      </c>
      <c r="AO156" s="29">
        <f>IF(AN156="","",SUMIFS(Payments!$L$5:$L$304,Payments!$F$5:$F$304,AN156,Payments!$B$5:$B$304,"&gt;="&amp;RepFrom,Payments!$B$5:$B$304,"&lt;="&amp;RepTo))</f>
        <v>0</v>
      </c>
      <c r="AP156" s="28">
        <f>IF(Lists!$E156="","",Lists!$E156)</f>
        <v>0</v>
      </c>
      <c r="AQ156" s="31">
        <f>IF(AP156="","",COUNTIFS(Clients!$K$5:$K$254,AP156))</f>
        <v>0</v>
      </c>
      <c r="AR156" s="29">
        <f>IF(AP156="","",SUMIFS(Clients!$AE$5:$AE$254,Clients!$K$5:$K$254,AP156))</f>
        <v>0</v>
      </c>
    </row>
    <row r="157" spans="1:44">
      <c r="A157" s="28">
        <f>IF(Clients!$B$157="","",Clients!$B$157)</f>
        <v>0</v>
      </c>
      <c r="B157" s="29">
        <f>IF(A157="","",SUMIFS(Payments!$L$5:$L$304,Payments!$C$5:$C$304,A157,Payments!$B$5:$B$304,"&gt;="&amp;PeriodStart,Payments!$B$5:$B$304,"&lt;="&amp;PeriodEnd))</f>
        <v>0</v>
      </c>
      <c r="C157" s="51">
        <f>IF(A157="","",IF(B157&lt;=0,"",B157+ROW()/1000000))</f>
        <v>0</v>
      </c>
      <c r="D157" s="29">
        <f>IF(A157="","",SUMIFS(Payments!$L$5:$L$304,Payments!$C$5:$C$304,A157,Payments!$B$5:$B$304,"&gt;="&amp;RepFrom,Payments!$B$5:$B$304,"&lt;="&amp;RepTo))</f>
        <v>0</v>
      </c>
      <c r="E157" s="51">
        <f>IF(A157="","",IF(D157&lt;=0,"",D157+ROW()/1000000))</f>
        <v>0</v>
      </c>
      <c r="F157" s="29">
        <f>IF(A157="","",SUMIFS(Invoices!$S$5:$S$304,Invoices!$D$5:$D$304,A157,Invoices!$T$5:$T$304,"&lt;&gt;Cancelled"))</f>
        <v>0</v>
      </c>
      <c r="G157" s="51">
        <f>IF(A157="","",IF(F157&lt;=0.004,"",F157+ROW()/1000000))</f>
        <v>0</v>
      </c>
      <c r="H157" s="31">
        <f>IF(A157="","",COUNTIFS(Bookings!$C$5:$C$404,A157,Bookings!$I$5:$I$404,"&gt;="&amp;RepFrom,Bookings!$I$5:$I$404,"&lt;="&amp;RepTo,Bookings!$AM$5:$AM$404,"&lt;&gt;Cancelled"))</f>
        <v>0</v>
      </c>
      <c r="I157" s="28">
        <f>IF(Services!$B$157="","",Services!$B$157)</f>
        <v>0</v>
      </c>
      <c r="J157" s="29">
        <f>IF(I157="","",SUMIFS(Bookings!$AK$5:$AK$404,Bookings!$H$5:$H$404,I157,Bookings!$I$5:$I$404,"&gt;="&amp;PeriodStart,Bookings!$I$5:$I$404,"&lt;="&amp;PeriodEnd,Bookings!$AM$5:$AM$404,"&lt;&gt;Cancelled"))</f>
        <v>0</v>
      </c>
      <c r="K157" s="31">
        <f>IF(I157="","",COUNTIFS(Bookings!$H$5:$H$404,I157,Bookings!$I$5:$I$404,"&gt;="&amp;PeriodStart,Bookings!$I$5:$I$404,"&lt;="&amp;PeriodEnd,Bookings!$AM$5:$AM$404,"&lt;&gt;Cancelled"))</f>
        <v>0</v>
      </c>
      <c r="L157" s="29">
        <f>IF(I157="","",SUMIFS(Bookings!$AK$5:$AK$404,Bookings!$H$5:$H$404,I157,Bookings!$I$5:$I$404,"&gt;="&amp;RepFrom,Bookings!$I$5:$I$404,"&lt;="&amp;RepTo,Bookings!$AM$5:$AM$404,"&lt;&gt;Cancelled"))</f>
        <v>0</v>
      </c>
      <c r="M157" s="31">
        <f>IF(I157="","",COUNTIFS(Bookings!$H$5:$H$404,I157,Bookings!$I$5:$I$404,"&gt;="&amp;RepFrom,Bookings!$I$5:$I$404,"&lt;="&amp;RepTo,Bookings!$AM$5:$AM$404,"&lt;&gt;Cancelled"))</f>
        <v>0</v>
      </c>
      <c r="N157" s="29">
        <f>IF(I157="","",M157*IF(Services!$L$157="",0,Services!$L$157))</f>
        <v>0</v>
      </c>
      <c r="O157" s="29">
        <f>IF(I157="","",L157-N157)</f>
        <v>0</v>
      </c>
      <c r="P157" s="28">
        <f>IF(Lists!$AG157="","",Lists!$AG157)</f>
        <v>0</v>
      </c>
      <c r="Q157" s="29">
        <f>IF(P157="","",SUMIFS(Expenses!$F$5:$F$304,Expenses!$C$5:$C$304,P157,Expenses!$B$5:$B$304,"&gt;="&amp;PeriodStart,Expenses!$B$5:$B$304,"&lt;="&amp;PeriodEnd,Expenses!$J$5:$J$304,"&lt;&gt;Personal"))</f>
        <v>0</v>
      </c>
      <c r="R157" s="29">
        <f>IF(P157="","",SUMIFS(Expenses!$F$5:$F$304,Expenses!$C$5:$C$304,P157,Expenses!$B$5:$B$304,"&gt;="&amp;RepFrom,Expenses!$B$5:$B$304,"&lt;="&amp;RepTo,Expenses!$J$5:$J$304,"&lt;&gt;Personal"))</f>
        <v>0</v>
      </c>
      <c r="S157" s="21">
        <f>IF(ROW()-4&gt;12,"",DATE(Dash_Year,ROW()-4,1))</f>
        <v>0</v>
      </c>
      <c r="T157" s="21">
        <f>IF(S157="","",EOMONTH(S157,0))</f>
        <v>0</v>
      </c>
      <c r="U157" s="28">
        <f>IF(S157="","",TEXT(S157,"mmm"))</f>
        <v>0</v>
      </c>
      <c r="V157" s="29">
        <f>IF(S157="","",SUMIFS(Payments!$L$5:$L$304,Payments!$B$5:$B$304,"&gt;="&amp;S157,Payments!$B$5:$B$304,"&lt;="&amp;T157))</f>
        <v>0</v>
      </c>
      <c r="W157" s="29">
        <f>IF(S157="","",SUMIFS(Invoices!$O$5:$O$304,Invoices!$B$5:$B$304,"&gt;="&amp;S157,Invoices!$B$5:$B$304,"&lt;="&amp;T157,Invoices!$T$5:$T$304,"&lt;&gt;Cancelled"))</f>
        <v>0</v>
      </c>
      <c r="X157" s="29">
        <f>IF(S157="","",SUMIFS(Expenses!$F$5:$F$304,Expenses!$B$5:$B$304,"&gt;="&amp;S157,Expenses!$B$5:$B$304,"&lt;="&amp;T157,Expenses!$J$5:$J$304,"&lt;&gt;Personal"))</f>
        <v>0</v>
      </c>
      <c r="Y157" s="29">
        <f>IF(S157="","",V157-X157)</f>
        <v>0</v>
      </c>
      <c r="Z157" s="31">
        <f>IF(S157="","",COUNTIFS(Bookings!$I$5:$I$404,"&gt;="&amp;S157,Bookings!$I$5:$I$404,"&lt;="&amp;T157,Bookings!$AM$5:$AM$404,"&lt;&gt;Cancelled"))</f>
        <v>0</v>
      </c>
      <c r="AA157" s="31">
        <f>IF(S157="","",COUNTIFS(Bookings!$I$5:$I$404,"&gt;="&amp;S157,Bookings!$I$5:$I$404,"&lt;="&amp;T157,Bookings!$AM$5:$AM$404,"Completed"))</f>
        <v>0</v>
      </c>
      <c r="AB157" s="31">
        <f>IF(S157="","",COUNTIFS(Bookings!$I$5:$I$404,"&gt;="&amp;S157,Bookings!$I$5:$I$404,"&lt;="&amp;T157,Bookings!$AM$5:$AM$404,"Cancelled"))</f>
        <v>0</v>
      </c>
      <c r="AC157" s="31">
        <f>IF(S157="","",COUNTIFS('Visit Log'!$C$5:$C$404,"&gt;="&amp;S157,'Visit Log'!$C$5:$C$404,"&lt;="&amp;T157,'Visit Log'!$AE$5:$AE$404,"Completed"))</f>
        <v>0</v>
      </c>
      <c r="AD157" s="31">
        <f>IF(S157="","",COUNTIFS(Clients!$L$5:$L$254,"&gt;="&amp;S157,Clients!$L$5:$L$254,"&lt;="&amp;T157))</f>
        <v>0</v>
      </c>
      <c r="AE157" s="32">
        <f>IF(S157="","",SUMIFS(Mileage!$M$5:$M$304,Mileage!$B$5:$B$304,"&gt;="&amp;S157,Mileage!$B$5:$B$304,"&lt;="&amp;T157,Mileage!$N$5:$N$304,"Business"))</f>
        <v>0</v>
      </c>
      <c r="AF157" s="29">
        <f>IF(S157="","",SUMIFS(Payments!$L$5:$L$304,Payments!$B$5:$B$304,"&gt;="&amp;DATE(Dash_Year-1,ROW()-4,1),Payments!$B$5:$B$304,"&lt;="&amp;EOMONTH(DATE(Dash_Year-1,ROW()-4,1),0)))</f>
        <v>0</v>
      </c>
      <c r="AG157" s="28">
        <f>IF(Staff!$B$157="","",Staff!$B$157)</f>
        <v>0</v>
      </c>
      <c r="AH157" s="31">
        <f>IF(AG157="","",COUNTIFS('Visit Log'!$G$5:$G$404,AG157,'Visit Log'!$C$5:$C$404,"&gt;="&amp;RepFrom,'Visit Log'!$C$5:$C$404,"&lt;="&amp;RepTo,'Visit Log'!$AE$5:$AE$404,"Completed"))</f>
        <v>0</v>
      </c>
      <c r="AI157" s="51">
        <f>IF(AG157="","",ROUND(SUMIFS('Visit Log'!$K$5:$K$404,'Visit Log'!$G$5:$G$404,AG157,'Visit Log'!$C$5:$C$404,"&gt;="&amp;RepFrom,'Visit Log'!$C$5:$C$404,"&lt;="&amp;RepTo,'Visit Log'!$AE$5:$AE$404,"Completed")/60,2))</f>
        <v>0</v>
      </c>
      <c r="AJ157" s="29">
        <f>IF(AG157="","",SUMIFS(Bookings!$AK$5:$AK$404,Bookings!$AL$5:$AL$404,AG157,Bookings!$I$5:$I$404,"&gt;="&amp;RepFrom,Bookings!$I$5:$I$404,"&lt;="&amp;RepTo,Bookings!$AM$5:$AM$404,"&lt;&gt;Cancelled"))</f>
        <v>0</v>
      </c>
      <c r="AK157" s="32">
        <f>IF(AG157="","",SUMIFS(Mileage!$M$5:$M$304,Mileage!$C$5:$C$304,AG157,Mileage!$B$5:$B$304,"&gt;="&amp;RepFrom,Mileage!$B$5:$B$304,"&lt;="&amp;RepTo))</f>
        <v>0</v>
      </c>
      <c r="AL157" s="28">
        <f>IF(Lists!$Q157="","",Lists!$Q157)</f>
        <v>0</v>
      </c>
      <c r="AM157" s="31">
        <f>IF(AL157="","",COUNTIFS(Bookings!$AV$5:$AV$404,AL157,Bookings!$I$5:$I$404,"&gt;="&amp;RepFrom,Bookings!$I$5:$I$404,"&lt;="&amp;RepTo))</f>
        <v>0</v>
      </c>
      <c r="AN157" s="28">
        <f>IF(Lists!$AF157="","",Lists!$AF157)</f>
        <v>0</v>
      </c>
      <c r="AO157" s="29">
        <f>IF(AN157="","",SUMIFS(Payments!$L$5:$L$304,Payments!$F$5:$F$304,AN157,Payments!$B$5:$B$304,"&gt;="&amp;RepFrom,Payments!$B$5:$B$304,"&lt;="&amp;RepTo))</f>
        <v>0</v>
      </c>
      <c r="AP157" s="28">
        <f>IF(Lists!$E157="","",Lists!$E157)</f>
        <v>0</v>
      </c>
      <c r="AQ157" s="31">
        <f>IF(AP157="","",COUNTIFS(Clients!$K$5:$K$254,AP157))</f>
        <v>0</v>
      </c>
      <c r="AR157" s="29">
        <f>IF(AP157="","",SUMIFS(Clients!$AE$5:$AE$254,Clients!$K$5:$K$254,AP157))</f>
        <v>0</v>
      </c>
    </row>
    <row r="158" spans="1:44">
      <c r="A158" s="28">
        <f>IF(Clients!$B$158="","",Clients!$B$158)</f>
        <v>0</v>
      </c>
      <c r="B158" s="29">
        <f>IF(A158="","",SUMIFS(Payments!$L$5:$L$304,Payments!$C$5:$C$304,A158,Payments!$B$5:$B$304,"&gt;="&amp;PeriodStart,Payments!$B$5:$B$304,"&lt;="&amp;PeriodEnd))</f>
        <v>0</v>
      </c>
      <c r="C158" s="51">
        <f>IF(A158="","",IF(B158&lt;=0,"",B158+ROW()/1000000))</f>
        <v>0</v>
      </c>
      <c r="D158" s="29">
        <f>IF(A158="","",SUMIFS(Payments!$L$5:$L$304,Payments!$C$5:$C$304,A158,Payments!$B$5:$B$304,"&gt;="&amp;RepFrom,Payments!$B$5:$B$304,"&lt;="&amp;RepTo))</f>
        <v>0</v>
      </c>
      <c r="E158" s="51">
        <f>IF(A158="","",IF(D158&lt;=0,"",D158+ROW()/1000000))</f>
        <v>0</v>
      </c>
      <c r="F158" s="29">
        <f>IF(A158="","",SUMIFS(Invoices!$S$5:$S$304,Invoices!$D$5:$D$304,A158,Invoices!$T$5:$T$304,"&lt;&gt;Cancelled"))</f>
        <v>0</v>
      </c>
      <c r="G158" s="51">
        <f>IF(A158="","",IF(F158&lt;=0.004,"",F158+ROW()/1000000))</f>
        <v>0</v>
      </c>
      <c r="H158" s="31">
        <f>IF(A158="","",COUNTIFS(Bookings!$C$5:$C$404,A158,Bookings!$I$5:$I$404,"&gt;="&amp;RepFrom,Bookings!$I$5:$I$404,"&lt;="&amp;RepTo,Bookings!$AM$5:$AM$404,"&lt;&gt;Cancelled"))</f>
        <v>0</v>
      </c>
      <c r="I158" s="28">
        <f>IF(Services!$B$158="","",Services!$B$158)</f>
        <v>0</v>
      </c>
      <c r="J158" s="29">
        <f>IF(I158="","",SUMIFS(Bookings!$AK$5:$AK$404,Bookings!$H$5:$H$404,I158,Bookings!$I$5:$I$404,"&gt;="&amp;PeriodStart,Bookings!$I$5:$I$404,"&lt;="&amp;PeriodEnd,Bookings!$AM$5:$AM$404,"&lt;&gt;Cancelled"))</f>
        <v>0</v>
      </c>
      <c r="K158" s="31">
        <f>IF(I158="","",COUNTIFS(Bookings!$H$5:$H$404,I158,Bookings!$I$5:$I$404,"&gt;="&amp;PeriodStart,Bookings!$I$5:$I$404,"&lt;="&amp;PeriodEnd,Bookings!$AM$5:$AM$404,"&lt;&gt;Cancelled"))</f>
        <v>0</v>
      </c>
      <c r="L158" s="29">
        <f>IF(I158="","",SUMIFS(Bookings!$AK$5:$AK$404,Bookings!$H$5:$H$404,I158,Bookings!$I$5:$I$404,"&gt;="&amp;RepFrom,Bookings!$I$5:$I$404,"&lt;="&amp;RepTo,Bookings!$AM$5:$AM$404,"&lt;&gt;Cancelled"))</f>
        <v>0</v>
      </c>
      <c r="M158" s="31">
        <f>IF(I158="","",COUNTIFS(Bookings!$H$5:$H$404,I158,Bookings!$I$5:$I$404,"&gt;="&amp;RepFrom,Bookings!$I$5:$I$404,"&lt;="&amp;RepTo,Bookings!$AM$5:$AM$404,"&lt;&gt;Cancelled"))</f>
        <v>0</v>
      </c>
      <c r="N158" s="29">
        <f>IF(I158="","",M158*IF(Services!$L$158="",0,Services!$L$158))</f>
        <v>0</v>
      </c>
      <c r="O158" s="29">
        <f>IF(I158="","",L158-N158)</f>
        <v>0</v>
      </c>
      <c r="P158" s="28">
        <f>IF(Lists!$AG158="","",Lists!$AG158)</f>
        <v>0</v>
      </c>
      <c r="Q158" s="29">
        <f>IF(P158="","",SUMIFS(Expenses!$F$5:$F$304,Expenses!$C$5:$C$304,P158,Expenses!$B$5:$B$304,"&gt;="&amp;PeriodStart,Expenses!$B$5:$B$304,"&lt;="&amp;PeriodEnd,Expenses!$J$5:$J$304,"&lt;&gt;Personal"))</f>
        <v>0</v>
      </c>
      <c r="R158" s="29">
        <f>IF(P158="","",SUMIFS(Expenses!$F$5:$F$304,Expenses!$C$5:$C$304,P158,Expenses!$B$5:$B$304,"&gt;="&amp;RepFrom,Expenses!$B$5:$B$304,"&lt;="&amp;RepTo,Expenses!$J$5:$J$304,"&lt;&gt;Personal"))</f>
        <v>0</v>
      </c>
      <c r="S158" s="21">
        <f>IF(ROW()-4&gt;12,"",DATE(Dash_Year,ROW()-4,1))</f>
        <v>0</v>
      </c>
      <c r="T158" s="21">
        <f>IF(S158="","",EOMONTH(S158,0))</f>
        <v>0</v>
      </c>
      <c r="U158" s="28">
        <f>IF(S158="","",TEXT(S158,"mmm"))</f>
        <v>0</v>
      </c>
      <c r="V158" s="29">
        <f>IF(S158="","",SUMIFS(Payments!$L$5:$L$304,Payments!$B$5:$B$304,"&gt;="&amp;S158,Payments!$B$5:$B$304,"&lt;="&amp;T158))</f>
        <v>0</v>
      </c>
      <c r="W158" s="29">
        <f>IF(S158="","",SUMIFS(Invoices!$O$5:$O$304,Invoices!$B$5:$B$304,"&gt;="&amp;S158,Invoices!$B$5:$B$304,"&lt;="&amp;T158,Invoices!$T$5:$T$304,"&lt;&gt;Cancelled"))</f>
        <v>0</v>
      </c>
      <c r="X158" s="29">
        <f>IF(S158="","",SUMIFS(Expenses!$F$5:$F$304,Expenses!$B$5:$B$304,"&gt;="&amp;S158,Expenses!$B$5:$B$304,"&lt;="&amp;T158,Expenses!$J$5:$J$304,"&lt;&gt;Personal"))</f>
        <v>0</v>
      </c>
      <c r="Y158" s="29">
        <f>IF(S158="","",V158-X158)</f>
        <v>0</v>
      </c>
      <c r="Z158" s="31">
        <f>IF(S158="","",COUNTIFS(Bookings!$I$5:$I$404,"&gt;="&amp;S158,Bookings!$I$5:$I$404,"&lt;="&amp;T158,Bookings!$AM$5:$AM$404,"&lt;&gt;Cancelled"))</f>
        <v>0</v>
      </c>
      <c r="AA158" s="31">
        <f>IF(S158="","",COUNTIFS(Bookings!$I$5:$I$404,"&gt;="&amp;S158,Bookings!$I$5:$I$404,"&lt;="&amp;T158,Bookings!$AM$5:$AM$404,"Completed"))</f>
        <v>0</v>
      </c>
      <c r="AB158" s="31">
        <f>IF(S158="","",COUNTIFS(Bookings!$I$5:$I$404,"&gt;="&amp;S158,Bookings!$I$5:$I$404,"&lt;="&amp;T158,Bookings!$AM$5:$AM$404,"Cancelled"))</f>
        <v>0</v>
      </c>
      <c r="AC158" s="31">
        <f>IF(S158="","",COUNTIFS('Visit Log'!$C$5:$C$404,"&gt;="&amp;S158,'Visit Log'!$C$5:$C$404,"&lt;="&amp;T158,'Visit Log'!$AE$5:$AE$404,"Completed"))</f>
        <v>0</v>
      </c>
      <c r="AD158" s="31">
        <f>IF(S158="","",COUNTIFS(Clients!$L$5:$L$254,"&gt;="&amp;S158,Clients!$L$5:$L$254,"&lt;="&amp;T158))</f>
        <v>0</v>
      </c>
      <c r="AE158" s="32">
        <f>IF(S158="","",SUMIFS(Mileage!$M$5:$M$304,Mileage!$B$5:$B$304,"&gt;="&amp;S158,Mileage!$B$5:$B$304,"&lt;="&amp;T158,Mileage!$N$5:$N$304,"Business"))</f>
        <v>0</v>
      </c>
      <c r="AF158" s="29">
        <f>IF(S158="","",SUMIFS(Payments!$L$5:$L$304,Payments!$B$5:$B$304,"&gt;="&amp;DATE(Dash_Year-1,ROW()-4,1),Payments!$B$5:$B$304,"&lt;="&amp;EOMONTH(DATE(Dash_Year-1,ROW()-4,1),0)))</f>
        <v>0</v>
      </c>
      <c r="AG158" s="28">
        <f>IF(Staff!$B$158="","",Staff!$B$158)</f>
        <v>0</v>
      </c>
      <c r="AH158" s="31">
        <f>IF(AG158="","",COUNTIFS('Visit Log'!$G$5:$G$404,AG158,'Visit Log'!$C$5:$C$404,"&gt;="&amp;RepFrom,'Visit Log'!$C$5:$C$404,"&lt;="&amp;RepTo,'Visit Log'!$AE$5:$AE$404,"Completed"))</f>
        <v>0</v>
      </c>
      <c r="AI158" s="51">
        <f>IF(AG158="","",ROUND(SUMIFS('Visit Log'!$K$5:$K$404,'Visit Log'!$G$5:$G$404,AG158,'Visit Log'!$C$5:$C$404,"&gt;="&amp;RepFrom,'Visit Log'!$C$5:$C$404,"&lt;="&amp;RepTo,'Visit Log'!$AE$5:$AE$404,"Completed")/60,2))</f>
        <v>0</v>
      </c>
      <c r="AJ158" s="29">
        <f>IF(AG158="","",SUMIFS(Bookings!$AK$5:$AK$404,Bookings!$AL$5:$AL$404,AG158,Bookings!$I$5:$I$404,"&gt;="&amp;RepFrom,Bookings!$I$5:$I$404,"&lt;="&amp;RepTo,Bookings!$AM$5:$AM$404,"&lt;&gt;Cancelled"))</f>
        <v>0</v>
      </c>
      <c r="AK158" s="32">
        <f>IF(AG158="","",SUMIFS(Mileage!$M$5:$M$304,Mileage!$C$5:$C$304,AG158,Mileage!$B$5:$B$304,"&gt;="&amp;RepFrom,Mileage!$B$5:$B$304,"&lt;="&amp;RepTo))</f>
        <v>0</v>
      </c>
      <c r="AL158" s="28">
        <f>IF(Lists!$Q158="","",Lists!$Q158)</f>
        <v>0</v>
      </c>
      <c r="AM158" s="31">
        <f>IF(AL158="","",COUNTIFS(Bookings!$AV$5:$AV$404,AL158,Bookings!$I$5:$I$404,"&gt;="&amp;RepFrom,Bookings!$I$5:$I$404,"&lt;="&amp;RepTo))</f>
        <v>0</v>
      </c>
      <c r="AN158" s="28">
        <f>IF(Lists!$AF158="","",Lists!$AF158)</f>
        <v>0</v>
      </c>
      <c r="AO158" s="29">
        <f>IF(AN158="","",SUMIFS(Payments!$L$5:$L$304,Payments!$F$5:$F$304,AN158,Payments!$B$5:$B$304,"&gt;="&amp;RepFrom,Payments!$B$5:$B$304,"&lt;="&amp;RepTo))</f>
        <v>0</v>
      </c>
      <c r="AP158" s="28">
        <f>IF(Lists!$E158="","",Lists!$E158)</f>
        <v>0</v>
      </c>
      <c r="AQ158" s="31">
        <f>IF(AP158="","",COUNTIFS(Clients!$K$5:$K$254,AP158))</f>
        <v>0</v>
      </c>
      <c r="AR158" s="29">
        <f>IF(AP158="","",SUMIFS(Clients!$AE$5:$AE$254,Clients!$K$5:$K$254,AP158))</f>
        <v>0</v>
      </c>
    </row>
    <row r="159" spans="1:44">
      <c r="A159" s="28">
        <f>IF(Clients!$B$159="","",Clients!$B$159)</f>
        <v>0</v>
      </c>
      <c r="B159" s="29">
        <f>IF(A159="","",SUMIFS(Payments!$L$5:$L$304,Payments!$C$5:$C$304,A159,Payments!$B$5:$B$304,"&gt;="&amp;PeriodStart,Payments!$B$5:$B$304,"&lt;="&amp;PeriodEnd))</f>
        <v>0</v>
      </c>
      <c r="C159" s="51">
        <f>IF(A159="","",IF(B159&lt;=0,"",B159+ROW()/1000000))</f>
        <v>0</v>
      </c>
      <c r="D159" s="29">
        <f>IF(A159="","",SUMIFS(Payments!$L$5:$L$304,Payments!$C$5:$C$304,A159,Payments!$B$5:$B$304,"&gt;="&amp;RepFrom,Payments!$B$5:$B$304,"&lt;="&amp;RepTo))</f>
        <v>0</v>
      </c>
      <c r="E159" s="51">
        <f>IF(A159="","",IF(D159&lt;=0,"",D159+ROW()/1000000))</f>
        <v>0</v>
      </c>
      <c r="F159" s="29">
        <f>IF(A159="","",SUMIFS(Invoices!$S$5:$S$304,Invoices!$D$5:$D$304,A159,Invoices!$T$5:$T$304,"&lt;&gt;Cancelled"))</f>
        <v>0</v>
      </c>
      <c r="G159" s="51">
        <f>IF(A159="","",IF(F159&lt;=0.004,"",F159+ROW()/1000000))</f>
        <v>0</v>
      </c>
      <c r="H159" s="31">
        <f>IF(A159="","",COUNTIFS(Bookings!$C$5:$C$404,A159,Bookings!$I$5:$I$404,"&gt;="&amp;RepFrom,Bookings!$I$5:$I$404,"&lt;="&amp;RepTo,Bookings!$AM$5:$AM$404,"&lt;&gt;Cancelled"))</f>
        <v>0</v>
      </c>
      <c r="I159" s="28">
        <f>IF(Services!$B$159="","",Services!$B$159)</f>
        <v>0</v>
      </c>
      <c r="J159" s="29">
        <f>IF(I159="","",SUMIFS(Bookings!$AK$5:$AK$404,Bookings!$H$5:$H$404,I159,Bookings!$I$5:$I$404,"&gt;="&amp;PeriodStart,Bookings!$I$5:$I$404,"&lt;="&amp;PeriodEnd,Bookings!$AM$5:$AM$404,"&lt;&gt;Cancelled"))</f>
        <v>0</v>
      </c>
      <c r="K159" s="31">
        <f>IF(I159="","",COUNTIFS(Bookings!$H$5:$H$404,I159,Bookings!$I$5:$I$404,"&gt;="&amp;PeriodStart,Bookings!$I$5:$I$404,"&lt;="&amp;PeriodEnd,Bookings!$AM$5:$AM$404,"&lt;&gt;Cancelled"))</f>
        <v>0</v>
      </c>
      <c r="L159" s="29">
        <f>IF(I159="","",SUMIFS(Bookings!$AK$5:$AK$404,Bookings!$H$5:$H$404,I159,Bookings!$I$5:$I$404,"&gt;="&amp;RepFrom,Bookings!$I$5:$I$404,"&lt;="&amp;RepTo,Bookings!$AM$5:$AM$404,"&lt;&gt;Cancelled"))</f>
        <v>0</v>
      </c>
      <c r="M159" s="31">
        <f>IF(I159="","",COUNTIFS(Bookings!$H$5:$H$404,I159,Bookings!$I$5:$I$404,"&gt;="&amp;RepFrom,Bookings!$I$5:$I$404,"&lt;="&amp;RepTo,Bookings!$AM$5:$AM$404,"&lt;&gt;Cancelled"))</f>
        <v>0</v>
      </c>
      <c r="N159" s="29">
        <f>IF(I159="","",M159*IF(Services!$L$159="",0,Services!$L$159))</f>
        <v>0</v>
      </c>
      <c r="O159" s="29">
        <f>IF(I159="","",L159-N159)</f>
        <v>0</v>
      </c>
      <c r="P159" s="28">
        <f>IF(Lists!$AG159="","",Lists!$AG159)</f>
        <v>0</v>
      </c>
      <c r="Q159" s="29">
        <f>IF(P159="","",SUMIFS(Expenses!$F$5:$F$304,Expenses!$C$5:$C$304,P159,Expenses!$B$5:$B$304,"&gt;="&amp;PeriodStart,Expenses!$B$5:$B$304,"&lt;="&amp;PeriodEnd,Expenses!$J$5:$J$304,"&lt;&gt;Personal"))</f>
        <v>0</v>
      </c>
      <c r="R159" s="29">
        <f>IF(P159="","",SUMIFS(Expenses!$F$5:$F$304,Expenses!$C$5:$C$304,P159,Expenses!$B$5:$B$304,"&gt;="&amp;RepFrom,Expenses!$B$5:$B$304,"&lt;="&amp;RepTo,Expenses!$J$5:$J$304,"&lt;&gt;Personal"))</f>
        <v>0</v>
      </c>
      <c r="S159" s="21">
        <f>IF(ROW()-4&gt;12,"",DATE(Dash_Year,ROW()-4,1))</f>
        <v>0</v>
      </c>
      <c r="T159" s="21">
        <f>IF(S159="","",EOMONTH(S159,0))</f>
        <v>0</v>
      </c>
      <c r="U159" s="28">
        <f>IF(S159="","",TEXT(S159,"mmm"))</f>
        <v>0</v>
      </c>
      <c r="V159" s="29">
        <f>IF(S159="","",SUMIFS(Payments!$L$5:$L$304,Payments!$B$5:$B$304,"&gt;="&amp;S159,Payments!$B$5:$B$304,"&lt;="&amp;T159))</f>
        <v>0</v>
      </c>
      <c r="W159" s="29">
        <f>IF(S159="","",SUMIFS(Invoices!$O$5:$O$304,Invoices!$B$5:$B$304,"&gt;="&amp;S159,Invoices!$B$5:$B$304,"&lt;="&amp;T159,Invoices!$T$5:$T$304,"&lt;&gt;Cancelled"))</f>
        <v>0</v>
      </c>
      <c r="X159" s="29">
        <f>IF(S159="","",SUMIFS(Expenses!$F$5:$F$304,Expenses!$B$5:$B$304,"&gt;="&amp;S159,Expenses!$B$5:$B$304,"&lt;="&amp;T159,Expenses!$J$5:$J$304,"&lt;&gt;Personal"))</f>
        <v>0</v>
      </c>
      <c r="Y159" s="29">
        <f>IF(S159="","",V159-X159)</f>
        <v>0</v>
      </c>
      <c r="Z159" s="31">
        <f>IF(S159="","",COUNTIFS(Bookings!$I$5:$I$404,"&gt;="&amp;S159,Bookings!$I$5:$I$404,"&lt;="&amp;T159,Bookings!$AM$5:$AM$404,"&lt;&gt;Cancelled"))</f>
        <v>0</v>
      </c>
      <c r="AA159" s="31">
        <f>IF(S159="","",COUNTIFS(Bookings!$I$5:$I$404,"&gt;="&amp;S159,Bookings!$I$5:$I$404,"&lt;="&amp;T159,Bookings!$AM$5:$AM$404,"Completed"))</f>
        <v>0</v>
      </c>
      <c r="AB159" s="31">
        <f>IF(S159="","",COUNTIFS(Bookings!$I$5:$I$404,"&gt;="&amp;S159,Bookings!$I$5:$I$404,"&lt;="&amp;T159,Bookings!$AM$5:$AM$404,"Cancelled"))</f>
        <v>0</v>
      </c>
      <c r="AC159" s="31">
        <f>IF(S159="","",COUNTIFS('Visit Log'!$C$5:$C$404,"&gt;="&amp;S159,'Visit Log'!$C$5:$C$404,"&lt;="&amp;T159,'Visit Log'!$AE$5:$AE$404,"Completed"))</f>
        <v>0</v>
      </c>
      <c r="AD159" s="31">
        <f>IF(S159="","",COUNTIFS(Clients!$L$5:$L$254,"&gt;="&amp;S159,Clients!$L$5:$L$254,"&lt;="&amp;T159))</f>
        <v>0</v>
      </c>
      <c r="AE159" s="32">
        <f>IF(S159="","",SUMIFS(Mileage!$M$5:$M$304,Mileage!$B$5:$B$304,"&gt;="&amp;S159,Mileage!$B$5:$B$304,"&lt;="&amp;T159,Mileage!$N$5:$N$304,"Business"))</f>
        <v>0</v>
      </c>
      <c r="AF159" s="29">
        <f>IF(S159="","",SUMIFS(Payments!$L$5:$L$304,Payments!$B$5:$B$304,"&gt;="&amp;DATE(Dash_Year-1,ROW()-4,1),Payments!$B$5:$B$304,"&lt;="&amp;EOMONTH(DATE(Dash_Year-1,ROW()-4,1),0)))</f>
        <v>0</v>
      </c>
      <c r="AG159" s="28">
        <f>IF(Staff!$B$159="","",Staff!$B$159)</f>
        <v>0</v>
      </c>
      <c r="AH159" s="31">
        <f>IF(AG159="","",COUNTIFS('Visit Log'!$G$5:$G$404,AG159,'Visit Log'!$C$5:$C$404,"&gt;="&amp;RepFrom,'Visit Log'!$C$5:$C$404,"&lt;="&amp;RepTo,'Visit Log'!$AE$5:$AE$404,"Completed"))</f>
        <v>0</v>
      </c>
      <c r="AI159" s="51">
        <f>IF(AG159="","",ROUND(SUMIFS('Visit Log'!$K$5:$K$404,'Visit Log'!$G$5:$G$404,AG159,'Visit Log'!$C$5:$C$404,"&gt;="&amp;RepFrom,'Visit Log'!$C$5:$C$404,"&lt;="&amp;RepTo,'Visit Log'!$AE$5:$AE$404,"Completed")/60,2))</f>
        <v>0</v>
      </c>
      <c r="AJ159" s="29">
        <f>IF(AG159="","",SUMIFS(Bookings!$AK$5:$AK$404,Bookings!$AL$5:$AL$404,AG159,Bookings!$I$5:$I$404,"&gt;="&amp;RepFrom,Bookings!$I$5:$I$404,"&lt;="&amp;RepTo,Bookings!$AM$5:$AM$404,"&lt;&gt;Cancelled"))</f>
        <v>0</v>
      </c>
      <c r="AK159" s="32">
        <f>IF(AG159="","",SUMIFS(Mileage!$M$5:$M$304,Mileage!$C$5:$C$304,AG159,Mileage!$B$5:$B$304,"&gt;="&amp;RepFrom,Mileage!$B$5:$B$304,"&lt;="&amp;RepTo))</f>
        <v>0</v>
      </c>
      <c r="AL159" s="28">
        <f>IF(Lists!$Q159="","",Lists!$Q159)</f>
        <v>0</v>
      </c>
      <c r="AM159" s="31">
        <f>IF(AL159="","",COUNTIFS(Bookings!$AV$5:$AV$404,AL159,Bookings!$I$5:$I$404,"&gt;="&amp;RepFrom,Bookings!$I$5:$I$404,"&lt;="&amp;RepTo))</f>
        <v>0</v>
      </c>
      <c r="AN159" s="28">
        <f>IF(Lists!$AF159="","",Lists!$AF159)</f>
        <v>0</v>
      </c>
      <c r="AO159" s="29">
        <f>IF(AN159="","",SUMIFS(Payments!$L$5:$L$304,Payments!$F$5:$F$304,AN159,Payments!$B$5:$B$304,"&gt;="&amp;RepFrom,Payments!$B$5:$B$304,"&lt;="&amp;RepTo))</f>
        <v>0</v>
      </c>
      <c r="AP159" s="28">
        <f>IF(Lists!$E159="","",Lists!$E159)</f>
        <v>0</v>
      </c>
      <c r="AQ159" s="31">
        <f>IF(AP159="","",COUNTIFS(Clients!$K$5:$K$254,AP159))</f>
        <v>0</v>
      </c>
      <c r="AR159" s="29">
        <f>IF(AP159="","",SUMIFS(Clients!$AE$5:$AE$254,Clients!$K$5:$K$254,AP159))</f>
        <v>0</v>
      </c>
    </row>
    <row r="160" spans="1:44">
      <c r="A160" s="28">
        <f>IF(Clients!$B$160="","",Clients!$B$160)</f>
        <v>0</v>
      </c>
      <c r="B160" s="29">
        <f>IF(A160="","",SUMIFS(Payments!$L$5:$L$304,Payments!$C$5:$C$304,A160,Payments!$B$5:$B$304,"&gt;="&amp;PeriodStart,Payments!$B$5:$B$304,"&lt;="&amp;PeriodEnd))</f>
        <v>0</v>
      </c>
      <c r="C160" s="51">
        <f>IF(A160="","",IF(B160&lt;=0,"",B160+ROW()/1000000))</f>
        <v>0</v>
      </c>
      <c r="D160" s="29">
        <f>IF(A160="","",SUMIFS(Payments!$L$5:$L$304,Payments!$C$5:$C$304,A160,Payments!$B$5:$B$304,"&gt;="&amp;RepFrom,Payments!$B$5:$B$304,"&lt;="&amp;RepTo))</f>
        <v>0</v>
      </c>
      <c r="E160" s="51">
        <f>IF(A160="","",IF(D160&lt;=0,"",D160+ROW()/1000000))</f>
        <v>0</v>
      </c>
      <c r="F160" s="29">
        <f>IF(A160="","",SUMIFS(Invoices!$S$5:$S$304,Invoices!$D$5:$D$304,A160,Invoices!$T$5:$T$304,"&lt;&gt;Cancelled"))</f>
        <v>0</v>
      </c>
      <c r="G160" s="51">
        <f>IF(A160="","",IF(F160&lt;=0.004,"",F160+ROW()/1000000))</f>
        <v>0</v>
      </c>
      <c r="H160" s="31">
        <f>IF(A160="","",COUNTIFS(Bookings!$C$5:$C$404,A160,Bookings!$I$5:$I$404,"&gt;="&amp;RepFrom,Bookings!$I$5:$I$404,"&lt;="&amp;RepTo,Bookings!$AM$5:$AM$404,"&lt;&gt;Cancelled"))</f>
        <v>0</v>
      </c>
      <c r="I160" s="28">
        <f>IF(Services!$B$160="","",Services!$B$160)</f>
        <v>0</v>
      </c>
      <c r="J160" s="29">
        <f>IF(I160="","",SUMIFS(Bookings!$AK$5:$AK$404,Bookings!$H$5:$H$404,I160,Bookings!$I$5:$I$404,"&gt;="&amp;PeriodStart,Bookings!$I$5:$I$404,"&lt;="&amp;PeriodEnd,Bookings!$AM$5:$AM$404,"&lt;&gt;Cancelled"))</f>
        <v>0</v>
      </c>
      <c r="K160" s="31">
        <f>IF(I160="","",COUNTIFS(Bookings!$H$5:$H$404,I160,Bookings!$I$5:$I$404,"&gt;="&amp;PeriodStart,Bookings!$I$5:$I$404,"&lt;="&amp;PeriodEnd,Bookings!$AM$5:$AM$404,"&lt;&gt;Cancelled"))</f>
        <v>0</v>
      </c>
      <c r="L160" s="29">
        <f>IF(I160="","",SUMIFS(Bookings!$AK$5:$AK$404,Bookings!$H$5:$H$404,I160,Bookings!$I$5:$I$404,"&gt;="&amp;RepFrom,Bookings!$I$5:$I$404,"&lt;="&amp;RepTo,Bookings!$AM$5:$AM$404,"&lt;&gt;Cancelled"))</f>
        <v>0</v>
      </c>
      <c r="M160" s="31">
        <f>IF(I160="","",COUNTIFS(Bookings!$H$5:$H$404,I160,Bookings!$I$5:$I$404,"&gt;="&amp;RepFrom,Bookings!$I$5:$I$404,"&lt;="&amp;RepTo,Bookings!$AM$5:$AM$404,"&lt;&gt;Cancelled"))</f>
        <v>0</v>
      </c>
      <c r="N160" s="29">
        <f>IF(I160="","",M160*IF(Services!$L$160="",0,Services!$L$160))</f>
        <v>0</v>
      </c>
      <c r="O160" s="29">
        <f>IF(I160="","",L160-N160)</f>
        <v>0</v>
      </c>
      <c r="P160" s="28">
        <f>IF(Lists!$AG160="","",Lists!$AG160)</f>
        <v>0</v>
      </c>
      <c r="Q160" s="29">
        <f>IF(P160="","",SUMIFS(Expenses!$F$5:$F$304,Expenses!$C$5:$C$304,P160,Expenses!$B$5:$B$304,"&gt;="&amp;PeriodStart,Expenses!$B$5:$B$304,"&lt;="&amp;PeriodEnd,Expenses!$J$5:$J$304,"&lt;&gt;Personal"))</f>
        <v>0</v>
      </c>
      <c r="R160" s="29">
        <f>IF(P160="","",SUMIFS(Expenses!$F$5:$F$304,Expenses!$C$5:$C$304,P160,Expenses!$B$5:$B$304,"&gt;="&amp;RepFrom,Expenses!$B$5:$B$304,"&lt;="&amp;RepTo,Expenses!$J$5:$J$304,"&lt;&gt;Personal"))</f>
        <v>0</v>
      </c>
      <c r="S160" s="21">
        <f>IF(ROW()-4&gt;12,"",DATE(Dash_Year,ROW()-4,1))</f>
        <v>0</v>
      </c>
      <c r="T160" s="21">
        <f>IF(S160="","",EOMONTH(S160,0))</f>
        <v>0</v>
      </c>
      <c r="U160" s="28">
        <f>IF(S160="","",TEXT(S160,"mmm"))</f>
        <v>0</v>
      </c>
      <c r="V160" s="29">
        <f>IF(S160="","",SUMIFS(Payments!$L$5:$L$304,Payments!$B$5:$B$304,"&gt;="&amp;S160,Payments!$B$5:$B$304,"&lt;="&amp;T160))</f>
        <v>0</v>
      </c>
      <c r="W160" s="29">
        <f>IF(S160="","",SUMIFS(Invoices!$O$5:$O$304,Invoices!$B$5:$B$304,"&gt;="&amp;S160,Invoices!$B$5:$B$304,"&lt;="&amp;T160,Invoices!$T$5:$T$304,"&lt;&gt;Cancelled"))</f>
        <v>0</v>
      </c>
      <c r="X160" s="29">
        <f>IF(S160="","",SUMIFS(Expenses!$F$5:$F$304,Expenses!$B$5:$B$304,"&gt;="&amp;S160,Expenses!$B$5:$B$304,"&lt;="&amp;T160,Expenses!$J$5:$J$304,"&lt;&gt;Personal"))</f>
        <v>0</v>
      </c>
      <c r="Y160" s="29">
        <f>IF(S160="","",V160-X160)</f>
        <v>0</v>
      </c>
      <c r="Z160" s="31">
        <f>IF(S160="","",COUNTIFS(Bookings!$I$5:$I$404,"&gt;="&amp;S160,Bookings!$I$5:$I$404,"&lt;="&amp;T160,Bookings!$AM$5:$AM$404,"&lt;&gt;Cancelled"))</f>
        <v>0</v>
      </c>
      <c r="AA160" s="31">
        <f>IF(S160="","",COUNTIFS(Bookings!$I$5:$I$404,"&gt;="&amp;S160,Bookings!$I$5:$I$404,"&lt;="&amp;T160,Bookings!$AM$5:$AM$404,"Completed"))</f>
        <v>0</v>
      </c>
      <c r="AB160" s="31">
        <f>IF(S160="","",COUNTIFS(Bookings!$I$5:$I$404,"&gt;="&amp;S160,Bookings!$I$5:$I$404,"&lt;="&amp;T160,Bookings!$AM$5:$AM$404,"Cancelled"))</f>
        <v>0</v>
      </c>
      <c r="AC160" s="31">
        <f>IF(S160="","",COUNTIFS('Visit Log'!$C$5:$C$404,"&gt;="&amp;S160,'Visit Log'!$C$5:$C$404,"&lt;="&amp;T160,'Visit Log'!$AE$5:$AE$404,"Completed"))</f>
        <v>0</v>
      </c>
      <c r="AD160" s="31">
        <f>IF(S160="","",COUNTIFS(Clients!$L$5:$L$254,"&gt;="&amp;S160,Clients!$L$5:$L$254,"&lt;="&amp;T160))</f>
        <v>0</v>
      </c>
      <c r="AE160" s="32">
        <f>IF(S160="","",SUMIFS(Mileage!$M$5:$M$304,Mileage!$B$5:$B$304,"&gt;="&amp;S160,Mileage!$B$5:$B$304,"&lt;="&amp;T160,Mileage!$N$5:$N$304,"Business"))</f>
        <v>0</v>
      </c>
      <c r="AF160" s="29">
        <f>IF(S160="","",SUMIFS(Payments!$L$5:$L$304,Payments!$B$5:$B$304,"&gt;="&amp;DATE(Dash_Year-1,ROW()-4,1),Payments!$B$5:$B$304,"&lt;="&amp;EOMONTH(DATE(Dash_Year-1,ROW()-4,1),0)))</f>
        <v>0</v>
      </c>
      <c r="AG160" s="28">
        <f>IF(Staff!$B$160="","",Staff!$B$160)</f>
        <v>0</v>
      </c>
      <c r="AH160" s="31">
        <f>IF(AG160="","",COUNTIFS('Visit Log'!$G$5:$G$404,AG160,'Visit Log'!$C$5:$C$404,"&gt;="&amp;RepFrom,'Visit Log'!$C$5:$C$404,"&lt;="&amp;RepTo,'Visit Log'!$AE$5:$AE$404,"Completed"))</f>
        <v>0</v>
      </c>
      <c r="AI160" s="51">
        <f>IF(AG160="","",ROUND(SUMIFS('Visit Log'!$K$5:$K$404,'Visit Log'!$G$5:$G$404,AG160,'Visit Log'!$C$5:$C$404,"&gt;="&amp;RepFrom,'Visit Log'!$C$5:$C$404,"&lt;="&amp;RepTo,'Visit Log'!$AE$5:$AE$404,"Completed")/60,2))</f>
        <v>0</v>
      </c>
      <c r="AJ160" s="29">
        <f>IF(AG160="","",SUMIFS(Bookings!$AK$5:$AK$404,Bookings!$AL$5:$AL$404,AG160,Bookings!$I$5:$I$404,"&gt;="&amp;RepFrom,Bookings!$I$5:$I$404,"&lt;="&amp;RepTo,Bookings!$AM$5:$AM$404,"&lt;&gt;Cancelled"))</f>
        <v>0</v>
      </c>
      <c r="AK160" s="32">
        <f>IF(AG160="","",SUMIFS(Mileage!$M$5:$M$304,Mileage!$C$5:$C$304,AG160,Mileage!$B$5:$B$304,"&gt;="&amp;RepFrom,Mileage!$B$5:$B$304,"&lt;="&amp;RepTo))</f>
        <v>0</v>
      </c>
      <c r="AL160" s="28">
        <f>IF(Lists!$Q160="","",Lists!$Q160)</f>
        <v>0</v>
      </c>
      <c r="AM160" s="31">
        <f>IF(AL160="","",COUNTIFS(Bookings!$AV$5:$AV$404,AL160,Bookings!$I$5:$I$404,"&gt;="&amp;RepFrom,Bookings!$I$5:$I$404,"&lt;="&amp;RepTo))</f>
        <v>0</v>
      </c>
      <c r="AN160" s="28">
        <f>IF(Lists!$AF160="","",Lists!$AF160)</f>
        <v>0</v>
      </c>
      <c r="AO160" s="29">
        <f>IF(AN160="","",SUMIFS(Payments!$L$5:$L$304,Payments!$F$5:$F$304,AN160,Payments!$B$5:$B$304,"&gt;="&amp;RepFrom,Payments!$B$5:$B$304,"&lt;="&amp;RepTo))</f>
        <v>0</v>
      </c>
      <c r="AP160" s="28">
        <f>IF(Lists!$E160="","",Lists!$E160)</f>
        <v>0</v>
      </c>
      <c r="AQ160" s="31">
        <f>IF(AP160="","",COUNTIFS(Clients!$K$5:$K$254,AP160))</f>
        <v>0</v>
      </c>
      <c r="AR160" s="29">
        <f>IF(AP160="","",SUMIFS(Clients!$AE$5:$AE$254,Clients!$K$5:$K$254,AP160))</f>
        <v>0</v>
      </c>
    </row>
    <row r="161" spans="1:44">
      <c r="A161" s="28">
        <f>IF(Clients!$B$161="","",Clients!$B$161)</f>
        <v>0</v>
      </c>
      <c r="B161" s="29">
        <f>IF(A161="","",SUMIFS(Payments!$L$5:$L$304,Payments!$C$5:$C$304,A161,Payments!$B$5:$B$304,"&gt;="&amp;PeriodStart,Payments!$B$5:$B$304,"&lt;="&amp;PeriodEnd))</f>
        <v>0</v>
      </c>
      <c r="C161" s="51">
        <f>IF(A161="","",IF(B161&lt;=0,"",B161+ROW()/1000000))</f>
        <v>0</v>
      </c>
      <c r="D161" s="29">
        <f>IF(A161="","",SUMIFS(Payments!$L$5:$L$304,Payments!$C$5:$C$304,A161,Payments!$B$5:$B$304,"&gt;="&amp;RepFrom,Payments!$B$5:$B$304,"&lt;="&amp;RepTo))</f>
        <v>0</v>
      </c>
      <c r="E161" s="51">
        <f>IF(A161="","",IF(D161&lt;=0,"",D161+ROW()/1000000))</f>
        <v>0</v>
      </c>
      <c r="F161" s="29">
        <f>IF(A161="","",SUMIFS(Invoices!$S$5:$S$304,Invoices!$D$5:$D$304,A161,Invoices!$T$5:$T$304,"&lt;&gt;Cancelled"))</f>
        <v>0</v>
      </c>
      <c r="G161" s="51">
        <f>IF(A161="","",IF(F161&lt;=0.004,"",F161+ROW()/1000000))</f>
        <v>0</v>
      </c>
      <c r="H161" s="31">
        <f>IF(A161="","",COUNTIFS(Bookings!$C$5:$C$404,A161,Bookings!$I$5:$I$404,"&gt;="&amp;RepFrom,Bookings!$I$5:$I$404,"&lt;="&amp;RepTo,Bookings!$AM$5:$AM$404,"&lt;&gt;Cancelled"))</f>
        <v>0</v>
      </c>
      <c r="I161" s="28">
        <f>IF(Services!$B$161="","",Services!$B$161)</f>
        <v>0</v>
      </c>
      <c r="J161" s="29">
        <f>IF(I161="","",SUMIFS(Bookings!$AK$5:$AK$404,Bookings!$H$5:$H$404,I161,Bookings!$I$5:$I$404,"&gt;="&amp;PeriodStart,Bookings!$I$5:$I$404,"&lt;="&amp;PeriodEnd,Bookings!$AM$5:$AM$404,"&lt;&gt;Cancelled"))</f>
        <v>0</v>
      </c>
      <c r="K161" s="31">
        <f>IF(I161="","",COUNTIFS(Bookings!$H$5:$H$404,I161,Bookings!$I$5:$I$404,"&gt;="&amp;PeriodStart,Bookings!$I$5:$I$404,"&lt;="&amp;PeriodEnd,Bookings!$AM$5:$AM$404,"&lt;&gt;Cancelled"))</f>
        <v>0</v>
      </c>
      <c r="L161" s="29">
        <f>IF(I161="","",SUMIFS(Bookings!$AK$5:$AK$404,Bookings!$H$5:$H$404,I161,Bookings!$I$5:$I$404,"&gt;="&amp;RepFrom,Bookings!$I$5:$I$404,"&lt;="&amp;RepTo,Bookings!$AM$5:$AM$404,"&lt;&gt;Cancelled"))</f>
        <v>0</v>
      </c>
      <c r="M161" s="31">
        <f>IF(I161="","",COUNTIFS(Bookings!$H$5:$H$404,I161,Bookings!$I$5:$I$404,"&gt;="&amp;RepFrom,Bookings!$I$5:$I$404,"&lt;="&amp;RepTo,Bookings!$AM$5:$AM$404,"&lt;&gt;Cancelled"))</f>
        <v>0</v>
      </c>
      <c r="N161" s="29">
        <f>IF(I161="","",M161*IF(Services!$L$161="",0,Services!$L$161))</f>
        <v>0</v>
      </c>
      <c r="O161" s="29">
        <f>IF(I161="","",L161-N161)</f>
        <v>0</v>
      </c>
      <c r="P161" s="28">
        <f>IF(Lists!$AG161="","",Lists!$AG161)</f>
        <v>0</v>
      </c>
      <c r="Q161" s="29">
        <f>IF(P161="","",SUMIFS(Expenses!$F$5:$F$304,Expenses!$C$5:$C$304,P161,Expenses!$B$5:$B$304,"&gt;="&amp;PeriodStart,Expenses!$B$5:$B$304,"&lt;="&amp;PeriodEnd,Expenses!$J$5:$J$304,"&lt;&gt;Personal"))</f>
        <v>0</v>
      </c>
      <c r="R161" s="29">
        <f>IF(P161="","",SUMIFS(Expenses!$F$5:$F$304,Expenses!$C$5:$C$304,P161,Expenses!$B$5:$B$304,"&gt;="&amp;RepFrom,Expenses!$B$5:$B$304,"&lt;="&amp;RepTo,Expenses!$J$5:$J$304,"&lt;&gt;Personal"))</f>
        <v>0</v>
      </c>
      <c r="S161" s="21">
        <f>IF(ROW()-4&gt;12,"",DATE(Dash_Year,ROW()-4,1))</f>
        <v>0</v>
      </c>
      <c r="T161" s="21">
        <f>IF(S161="","",EOMONTH(S161,0))</f>
        <v>0</v>
      </c>
      <c r="U161" s="28">
        <f>IF(S161="","",TEXT(S161,"mmm"))</f>
        <v>0</v>
      </c>
      <c r="V161" s="29">
        <f>IF(S161="","",SUMIFS(Payments!$L$5:$L$304,Payments!$B$5:$B$304,"&gt;="&amp;S161,Payments!$B$5:$B$304,"&lt;="&amp;T161))</f>
        <v>0</v>
      </c>
      <c r="W161" s="29">
        <f>IF(S161="","",SUMIFS(Invoices!$O$5:$O$304,Invoices!$B$5:$B$304,"&gt;="&amp;S161,Invoices!$B$5:$B$304,"&lt;="&amp;T161,Invoices!$T$5:$T$304,"&lt;&gt;Cancelled"))</f>
        <v>0</v>
      </c>
      <c r="X161" s="29">
        <f>IF(S161="","",SUMIFS(Expenses!$F$5:$F$304,Expenses!$B$5:$B$304,"&gt;="&amp;S161,Expenses!$B$5:$B$304,"&lt;="&amp;T161,Expenses!$J$5:$J$304,"&lt;&gt;Personal"))</f>
        <v>0</v>
      </c>
      <c r="Y161" s="29">
        <f>IF(S161="","",V161-X161)</f>
        <v>0</v>
      </c>
      <c r="Z161" s="31">
        <f>IF(S161="","",COUNTIFS(Bookings!$I$5:$I$404,"&gt;="&amp;S161,Bookings!$I$5:$I$404,"&lt;="&amp;T161,Bookings!$AM$5:$AM$404,"&lt;&gt;Cancelled"))</f>
        <v>0</v>
      </c>
      <c r="AA161" s="31">
        <f>IF(S161="","",COUNTIFS(Bookings!$I$5:$I$404,"&gt;="&amp;S161,Bookings!$I$5:$I$404,"&lt;="&amp;T161,Bookings!$AM$5:$AM$404,"Completed"))</f>
        <v>0</v>
      </c>
      <c r="AB161" s="31">
        <f>IF(S161="","",COUNTIFS(Bookings!$I$5:$I$404,"&gt;="&amp;S161,Bookings!$I$5:$I$404,"&lt;="&amp;T161,Bookings!$AM$5:$AM$404,"Cancelled"))</f>
        <v>0</v>
      </c>
      <c r="AC161" s="31">
        <f>IF(S161="","",COUNTIFS('Visit Log'!$C$5:$C$404,"&gt;="&amp;S161,'Visit Log'!$C$5:$C$404,"&lt;="&amp;T161,'Visit Log'!$AE$5:$AE$404,"Completed"))</f>
        <v>0</v>
      </c>
      <c r="AD161" s="31">
        <f>IF(S161="","",COUNTIFS(Clients!$L$5:$L$254,"&gt;="&amp;S161,Clients!$L$5:$L$254,"&lt;="&amp;T161))</f>
        <v>0</v>
      </c>
      <c r="AE161" s="32">
        <f>IF(S161="","",SUMIFS(Mileage!$M$5:$M$304,Mileage!$B$5:$B$304,"&gt;="&amp;S161,Mileage!$B$5:$B$304,"&lt;="&amp;T161,Mileage!$N$5:$N$304,"Business"))</f>
        <v>0</v>
      </c>
      <c r="AF161" s="29">
        <f>IF(S161="","",SUMIFS(Payments!$L$5:$L$304,Payments!$B$5:$B$304,"&gt;="&amp;DATE(Dash_Year-1,ROW()-4,1),Payments!$B$5:$B$304,"&lt;="&amp;EOMONTH(DATE(Dash_Year-1,ROW()-4,1),0)))</f>
        <v>0</v>
      </c>
      <c r="AG161" s="28">
        <f>IF(Staff!$B$161="","",Staff!$B$161)</f>
        <v>0</v>
      </c>
      <c r="AH161" s="31">
        <f>IF(AG161="","",COUNTIFS('Visit Log'!$G$5:$G$404,AG161,'Visit Log'!$C$5:$C$404,"&gt;="&amp;RepFrom,'Visit Log'!$C$5:$C$404,"&lt;="&amp;RepTo,'Visit Log'!$AE$5:$AE$404,"Completed"))</f>
        <v>0</v>
      </c>
      <c r="AI161" s="51">
        <f>IF(AG161="","",ROUND(SUMIFS('Visit Log'!$K$5:$K$404,'Visit Log'!$G$5:$G$404,AG161,'Visit Log'!$C$5:$C$404,"&gt;="&amp;RepFrom,'Visit Log'!$C$5:$C$404,"&lt;="&amp;RepTo,'Visit Log'!$AE$5:$AE$404,"Completed")/60,2))</f>
        <v>0</v>
      </c>
      <c r="AJ161" s="29">
        <f>IF(AG161="","",SUMIFS(Bookings!$AK$5:$AK$404,Bookings!$AL$5:$AL$404,AG161,Bookings!$I$5:$I$404,"&gt;="&amp;RepFrom,Bookings!$I$5:$I$404,"&lt;="&amp;RepTo,Bookings!$AM$5:$AM$404,"&lt;&gt;Cancelled"))</f>
        <v>0</v>
      </c>
      <c r="AK161" s="32">
        <f>IF(AG161="","",SUMIFS(Mileage!$M$5:$M$304,Mileage!$C$5:$C$304,AG161,Mileage!$B$5:$B$304,"&gt;="&amp;RepFrom,Mileage!$B$5:$B$304,"&lt;="&amp;RepTo))</f>
        <v>0</v>
      </c>
      <c r="AL161" s="28">
        <f>IF(Lists!$Q161="","",Lists!$Q161)</f>
        <v>0</v>
      </c>
      <c r="AM161" s="31">
        <f>IF(AL161="","",COUNTIFS(Bookings!$AV$5:$AV$404,AL161,Bookings!$I$5:$I$404,"&gt;="&amp;RepFrom,Bookings!$I$5:$I$404,"&lt;="&amp;RepTo))</f>
        <v>0</v>
      </c>
      <c r="AN161" s="28">
        <f>IF(Lists!$AF161="","",Lists!$AF161)</f>
        <v>0</v>
      </c>
      <c r="AO161" s="29">
        <f>IF(AN161="","",SUMIFS(Payments!$L$5:$L$304,Payments!$F$5:$F$304,AN161,Payments!$B$5:$B$304,"&gt;="&amp;RepFrom,Payments!$B$5:$B$304,"&lt;="&amp;RepTo))</f>
        <v>0</v>
      </c>
      <c r="AP161" s="28">
        <f>IF(Lists!$E161="","",Lists!$E161)</f>
        <v>0</v>
      </c>
      <c r="AQ161" s="31">
        <f>IF(AP161="","",COUNTIFS(Clients!$K$5:$K$254,AP161))</f>
        <v>0</v>
      </c>
      <c r="AR161" s="29">
        <f>IF(AP161="","",SUMIFS(Clients!$AE$5:$AE$254,Clients!$K$5:$K$254,AP161))</f>
        <v>0</v>
      </c>
    </row>
    <row r="162" spans="1:44">
      <c r="A162" s="28">
        <f>IF(Clients!$B$162="","",Clients!$B$162)</f>
        <v>0</v>
      </c>
      <c r="B162" s="29">
        <f>IF(A162="","",SUMIFS(Payments!$L$5:$L$304,Payments!$C$5:$C$304,A162,Payments!$B$5:$B$304,"&gt;="&amp;PeriodStart,Payments!$B$5:$B$304,"&lt;="&amp;PeriodEnd))</f>
        <v>0</v>
      </c>
      <c r="C162" s="51">
        <f>IF(A162="","",IF(B162&lt;=0,"",B162+ROW()/1000000))</f>
        <v>0</v>
      </c>
      <c r="D162" s="29">
        <f>IF(A162="","",SUMIFS(Payments!$L$5:$L$304,Payments!$C$5:$C$304,A162,Payments!$B$5:$B$304,"&gt;="&amp;RepFrom,Payments!$B$5:$B$304,"&lt;="&amp;RepTo))</f>
        <v>0</v>
      </c>
      <c r="E162" s="51">
        <f>IF(A162="","",IF(D162&lt;=0,"",D162+ROW()/1000000))</f>
        <v>0</v>
      </c>
      <c r="F162" s="29">
        <f>IF(A162="","",SUMIFS(Invoices!$S$5:$S$304,Invoices!$D$5:$D$304,A162,Invoices!$T$5:$T$304,"&lt;&gt;Cancelled"))</f>
        <v>0</v>
      </c>
      <c r="G162" s="51">
        <f>IF(A162="","",IF(F162&lt;=0.004,"",F162+ROW()/1000000))</f>
        <v>0</v>
      </c>
      <c r="H162" s="31">
        <f>IF(A162="","",COUNTIFS(Bookings!$C$5:$C$404,A162,Bookings!$I$5:$I$404,"&gt;="&amp;RepFrom,Bookings!$I$5:$I$404,"&lt;="&amp;RepTo,Bookings!$AM$5:$AM$404,"&lt;&gt;Cancelled"))</f>
        <v>0</v>
      </c>
      <c r="I162" s="28">
        <f>IF(Services!$B$162="","",Services!$B$162)</f>
        <v>0</v>
      </c>
      <c r="J162" s="29">
        <f>IF(I162="","",SUMIFS(Bookings!$AK$5:$AK$404,Bookings!$H$5:$H$404,I162,Bookings!$I$5:$I$404,"&gt;="&amp;PeriodStart,Bookings!$I$5:$I$404,"&lt;="&amp;PeriodEnd,Bookings!$AM$5:$AM$404,"&lt;&gt;Cancelled"))</f>
        <v>0</v>
      </c>
      <c r="K162" s="31">
        <f>IF(I162="","",COUNTIFS(Bookings!$H$5:$H$404,I162,Bookings!$I$5:$I$404,"&gt;="&amp;PeriodStart,Bookings!$I$5:$I$404,"&lt;="&amp;PeriodEnd,Bookings!$AM$5:$AM$404,"&lt;&gt;Cancelled"))</f>
        <v>0</v>
      </c>
      <c r="L162" s="29">
        <f>IF(I162="","",SUMIFS(Bookings!$AK$5:$AK$404,Bookings!$H$5:$H$404,I162,Bookings!$I$5:$I$404,"&gt;="&amp;RepFrom,Bookings!$I$5:$I$404,"&lt;="&amp;RepTo,Bookings!$AM$5:$AM$404,"&lt;&gt;Cancelled"))</f>
        <v>0</v>
      </c>
      <c r="M162" s="31">
        <f>IF(I162="","",COUNTIFS(Bookings!$H$5:$H$404,I162,Bookings!$I$5:$I$404,"&gt;="&amp;RepFrom,Bookings!$I$5:$I$404,"&lt;="&amp;RepTo,Bookings!$AM$5:$AM$404,"&lt;&gt;Cancelled"))</f>
        <v>0</v>
      </c>
      <c r="N162" s="29">
        <f>IF(I162="","",M162*IF(Services!$L$162="",0,Services!$L$162))</f>
        <v>0</v>
      </c>
      <c r="O162" s="29">
        <f>IF(I162="","",L162-N162)</f>
        <v>0</v>
      </c>
      <c r="P162" s="28">
        <f>IF(Lists!$AG162="","",Lists!$AG162)</f>
        <v>0</v>
      </c>
      <c r="Q162" s="29">
        <f>IF(P162="","",SUMIFS(Expenses!$F$5:$F$304,Expenses!$C$5:$C$304,P162,Expenses!$B$5:$B$304,"&gt;="&amp;PeriodStart,Expenses!$B$5:$B$304,"&lt;="&amp;PeriodEnd,Expenses!$J$5:$J$304,"&lt;&gt;Personal"))</f>
        <v>0</v>
      </c>
      <c r="R162" s="29">
        <f>IF(P162="","",SUMIFS(Expenses!$F$5:$F$304,Expenses!$C$5:$C$304,P162,Expenses!$B$5:$B$304,"&gt;="&amp;RepFrom,Expenses!$B$5:$B$304,"&lt;="&amp;RepTo,Expenses!$J$5:$J$304,"&lt;&gt;Personal"))</f>
        <v>0</v>
      </c>
      <c r="S162" s="21">
        <f>IF(ROW()-4&gt;12,"",DATE(Dash_Year,ROW()-4,1))</f>
        <v>0</v>
      </c>
      <c r="T162" s="21">
        <f>IF(S162="","",EOMONTH(S162,0))</f>
        <v>0</v>
      </c>
      <c r="U162" s="28">
        <f>IF(S162="","",TEXT(S162,"mmm"))</f>
        <v>0</v>
      </c>
      <c r="V162" s="29">
        <f>IF(S162="","",SUMIFS(Payments!$L$5:$L$304,Payments!$B$5:$B$304,"&gt;="&amp;S162,Payments!$B$5:$B$304,"&lt;="&amp;T162))</f>
        <v>0</v>
      </c>
      <c r="W162" s="29">
        <f>IF(S162="","",SUMIFS(Invoices!$O$5:$O$304,Invoices!$B$5:$B$304,"&gt;="&amp;S162,Invoices!$B$5:$B$304,"&lt;="&amp;T162,Invoices!$T$5:$T$304,"&lt;&gt;Cancelled"))</f>
        <v>0</v>
      </c>
      <c r="X162" s="29">
        <f>IF(S162="","",SUMIFS(Expenses!$F$5:$F$304,Expenses!$B$5:$B$304,"&gt;="&amp;S162,Expenses!$B$5:$B$304,"&lt;="&amp;T162,Expenses!$J$5:$J$304,"&lt;&gt;Personal"))</f>
        <v>0</v>
      </c>
      <c r="Y162" s="29">
        <f>IF(S162="","",V162-X162)</f>
        <v>0</v>
      </c>
      <c r="Z162" s="31">
        <f>IF(S162="","",COUNTIFS(Bookings!$I$5:$I$404,"&gt;="&amp;S162,Bookings!$I$5:$I$404,"&lt;="&amp;T162,Bookings!$AM$5:$AM$404,"&lt;&gt;Cancelled"))</f>
        <v>0</v>
      </c>
      <c r="AA162" s="31">
        <f>IF(S162="","",COUNTIFS(Bookings!$I$5:$I$404,"&gt;="&amp;S162,Bookings!$I$5:$I$404,"&lt;="&amp;T162,Bookings!$AM$5:$AM$404,"Completed"))</f>
        <v>0</v>
      </c>
      <c r="AB162" s="31">
        <f>IF(S162="","",COUNTIFS(Bookings!$I$5:$I$404,"&gt;="&amp;S162,Bookings!$I$5:$I$404,"&lt;="&amp;T162,Bookings!$AM$5:$AM$404,"Cancelled"))</f>
        <v>0</v>
      </c>
      <c r="AC162" s="31">
        <f>IF(S162="","",COUNTIFS('Visit Log'!$C$5:$C$404,"&gt;="&amp;S162,'Visit Log'!$C$5:$C$404,"&lt;="&amp;T162,'Visit Log'!$AE$5:$AE$404,"Completed"))</f>
        <v>0</v>
      </c>
      <c r="AD162" s="31">
        <f>IF(S162="","",COUNTIFS(Clients!$L$5:$L$254,"&gt;="&amp;S162,Clients!$L$5:$L$254,"&lt;="&amp;T162))</f>
        <v>0</v>
      </c>
      <c r="AE162" s="32">
        <f>IF(S162="","",SUMIFS(Mileage!$M$5:$M$304,Mileage!$B$5:$B$304,"&gt;="&amp;S162,Mileage!$B$5:$B$304,"&lt;="&amp;T162,Mileage!$N$5:$N$304,"Business"))</f>
        <v>0</v>
      </c>
      <c r="AF162" s="29">
        <f>IF(S162="","",SUMIFS(Payments!$L$5:$L$304,Payments!$B$5:$B$304,"&gt;="&amp;DATE(Dash_Year-1,ROW()-4,1),Payments!$B$5:$B$304,"&lt;="&amp;EOMONTH(DATE(Dash_Year-1,ROW()-4,1),0)))</f>
        <v>0</v>
      </c>
      <c r="AG162" s="28">
        <f>IF(Staff!$B$162="","",Staff!$B$162)</f>
        <v>0</v>
      </c>
      <c r="AH162" s="31">
        <f>IF(AG162="","",COUNTIFS('Visit Log'!$G$5:$G$404,AG162,'Visit Log'!$C$5:$C$404,"&gt;="&amp;RepFrom,'Visit Log'!$C$5:$C$404,"&lt;="&amp;RepTo,'Visit Log'!$AE$5:$AE$404,"Completed"))</f>
        <v>0</v>
      </c>
      <c r="AI162" s="51">
        <f>IF(AG162="","",ROUND(SUMIFS('Visit Log'!$K$5:$K$404,'Visit Log'!$G$5:$G$404,AG162,'Visit Log'!$C$5:$C$404,"&gt;="&amp;RepFrom,'Visit Log'!$C$5:$C$404,"&lt;="&amp;RepTo,'Visit Log'!$AE$5:$AE$404,"Completed")/60,2))</f>
        <v>0</v>
      </c>
      <c r="AJ162" s="29">
        <f>IF(AG162="","",SUMIFS(Bookings!$AK$5:$AK$404,Bookings!$AL$5:$AL$404,AG162,Bookings!$I$5:$I$404,"&gt;="&amp;RepFrom,Bookings!$I$5:$I$404,"&lt;="&amp;RepTo,Bookings!$AM$5:$AM$404,"&lt;&gt;Cancelled"))</f>
        <v>0</v>
      </c>
      <c r="AK162" s="32">
        <f>IF(AG162="","",SUMIFS(Mileage!$M$5:$M$304,Mileage!$C$5:$C$304,AG162,Mileage!$B$5:$B$304,"&gt;="&amp;RepFrom,Mileage!$B$5:$B$304,"&lt;="&amp;RepTo))</f>
        <v>0</v>
      </c>
      <c r="AL162" s="28">
        <f>IF(Lists!$Q162="","",Lists!$Q162)</f>
        <v>0</v>
      </c>
      <c r="AM162" s="31">
        <f>IF(AL162="","",COUNTIFS(Bookings!$AV$5:$AV$404,AL162,Bookings!$I$5:$I$404,"&gt;="&amp;RepFrom,Bookings!$I$5:$I$404,"&lt;="&amp;RepTo))</f>
        <v>0</v>
      </c>
      <c r="AN162" s="28">
        <f>IF(Lists!$AF162="","",Lists!$AF162)</f>
        <v>0</v>
      </c>
      <c r="AO162" s="29">
        <f>IF(AN162="","",SUMIFS(Payments!$L$5:$L$304,Payments!$F$5:$F$304,AN162,Payments!$B$5:$B$304,"&gt;="&amp;RepFrom,Payments!$B$5:$B$304,"&lt;="&amp;RepTo))</f>
        <v>0</v>
      </c>
      <c r="AP162" s="28">
        <f>IF(Lists!$E162="","",Lists!$E162)</f>
        <v>0</v>
      </c>
      <c r="AQ162" s="31">
        <f>IF(AP162="","",COUNTIFS(Clients!$K$5:$K$254,AP162))</f>
        <v>0</v>
      </c>
      <c r="AR162" s="29">
        <f>IF(AP162="","",SUMIFS(Clients!$AE$5:$AE$254,Clients!$K$5:$K$254,AP162))</f>
        <v>0</v>
      </c>
    </row>
    <row r="163" spans="1:44">
      <c r="A163" s="28">
        <f>IF(Clients!$B$163="","",Clients!$B$163)</f>
        <v>0</v>
      </c>
      <c r="B163" s="29">
        <f>IF(A163="","",SUMIFS(Payments!$L$5:$L$304,Payments!$C$5:$C$304,A163,Payments!$B$5:$B$304,"&gt;="&amp;PeriodStart,Payments!$B$5:$B$304,"&lt;="&amp;PeriodEnd))</f>
        <v>0</v>
      </c>
      <c r="C163" s="51">
        <f>IF(A163="","",IF(B163&lt;=0,"",B163+ROW()/1000000))</f>
        <v>0</v>
      </c>
      <c r="D163" s="29">
        <f>IF(A163="","",SUMIFS(Payments!$L$5:$L$304,Payments!$C$5:$C$304,A163,Payments!$B$5:$B$304,"&gt;="&amp;RepFrom,Payments!$B$5:$B$304,"&lt;="&amp;RepTo))</f>
        <v>0</v>
      </c>
      <c r="E163" s="51">
        <f>IF(A163="","",IF(D163&lt;=0,"",D163+ROW()/1000000))</f>
        <v>0</v>
      </c>
      <c r="F163" s="29">
        <f>IF(A163="","",SUMIFS(Invoices!$S$5:$S$304,Invoices!$D$5:$D$304,A163,Invoices!$T$5:$T$304,"&lt;&gt;Cancelled"))</f>
        <v>0</v>
      </c>
      <c r="G163" s="51">
        <f>IF(A163="","",IF(F163&lt;=0.004,"",F163+ROW()/1000000))</f>
        <v>0</v>
      </c>
      <c r="H163" s="31">
        <f>IF(A163="","",COUNTIFS(Bookings!$C$5:$C$404,A163,Bookings!$I$5:$I$404,"&gt;="&amp;RepFrom,Bookings!$I$5:$I$404,"&lt;="&amp;RepTo,Bookings!$AM$5:$AM$404,"&lt;&gt;Cancelled"))</f>
        <v>0</v>
      </c>
      <c r="I163" s="28">
        <f>IF(Services!$B$163="","",Services!$B$163)</f>
        <v>0</v>
      </c>
      <c r="J163" s="29">
        <f>IF(I163="","",SUMIFS(Bookings!$AK$5:$AK$404,Bookings!$H$5:$H$404,I163,Bookings!$I$5:$I$404,"&gt;="&amp;PeriodStart,Bookings!$I$5:$I$404,"&lt;="&amp;PeriodEnd,Bookings!$AM$5:$AM$404,"&lt;&gt;Cancelled"))</f>
        <v>0</v>
      </c>
      <c r="K163" s="31">
        <f>IF(I163="","",COUNTIFS(Bookings!$H$5:$H$404,I163,Bookings!$I$5:$I$404,"&gt;="&amp;PeriodStart,Bookings!$I$5:$I$404,"&lt;="&amp;PeriodEnd,Bookings!$AM$5:$AM$404,"&lt;&gt;Cancelled"))</f>
        <v>0</v>
      </c>
      <c r="L163" s="29">
        <f>IF(I163="","",SUMIFS(Bookings!$AK$5:$AK$404,Bookings!$H$5:$H$404,I163,Bookings!$I$5:$I$404,"&gt;="&amp;RepFrom,Bookings!$I$5:$I$404,"&lt;="&amp;RepTo,Bookings!$AM$5:$AM$404,"&lt;&gt;Cancelled"))</f>
        <v>0</v>
      </c>
      <c r="M163" s="31">
        <f>IF(I163="","",COUNTIFS(Bookings!$H$5:$H$404,I163,Bookings!$I$5:$I$404,"&gt;="&amp;RepFrom,Bookings!$I$5:$I$404,"&lt;="&amp;RepTo,Bookings!$AM$5:$AM$404,"&lt;&gt;Cancelled"))</f>
        <v>0</v>
      </c>
      <c r="N163" s="29">
        <f>IF(I163="","",M163*IF(Services!$L$163="",0,Services!$L$163))</f>
        <v>0</v>
      </c>
      <c r="O163" s="29">
        <f>IF(I163="","",L163-N163)</f>
        <v>0</v>
      </c>
      <c r="P163" s="28">
        <f>IF(Lists!$AG163="","",Lists!$AG163)</f>
        <v>0</v>
      </c>
      <c r="Q163" s="29">
        <f>IF(P163="","",SUMIFS(Expenses!$F$5:$F$304,Expenses!$C$5:$C$304,P163,Expenses!$B$5:$B$304,"&gt;="&amp;PeriodStart,Expenses!$B$5:$B$304,"&lt;="&amp;PeriodEnd,Expenses!$J$5:$J$304,"&lt;&gt;Personal"))</f>
        <v>0</v>
      </c>
      <c r="R163" s="29">
        <f>IF(P163="","",SUMIFS(Expenses!$F$5:$F$304,Expenses!$C$5:$C$304,P163,Expenses!$B$5:$B$304,"&gt;="&amp;RepFrom,Expenses!$B$5:$B$304,"&lt;="&amp;RepTo,Expenses!$J$5:$J$304,"&lt;&gt;Personal"))</f>
        <v>0</v>
      </c>
      <c r="S163" s="21">
        <f>IF(ROW()-4&gt;12,"",DATE(Dash_Year,ROW()-4,1))</f>
        <v>0</v>
      </c>
      <c r="T163" s="21">
        <f>IF(S163="","",EOMONTH(S163,0))</f>
        <v>0</v>
      </c>
      <c r="U163" s="28">
        <f>IF(S163="","",TEXT(S163,"mmm"))</f>
        <v>0</v>
      </c>
      <c r="V163" s="29">
        <f>IF(S163="","",SUMIFS(Payments!$L$5:$L$304,Payments!$B$5:$B$304,"&gt;="&amp;S163,Payments!$B$5:$B$304,"&lt;="&amp;T163))</f>
        <v>0</v>
      </c>
      <c r="W163" s="29">
        <f>IF(S163="","",SUMIFS(Invoices!$O$5:$O$304,Invoices!$B$5:$B$304,"&gt;="&amp;S163,Invoices!$B$5:$B$304,"&lt;="&amp;T163,Invoices!$T$5:$T$304,"&lt;&gt;Cancelled"))</f>
        <v>0</v>
      </c>
      <c r="X163" s="29">
        <f>IF(S163="","",SUMIFS(Expenses!$F$5:$F$304,Expenses!$B$5:$B$304,"&gt;="&amp;S163,Expenses!$B$5:$B$304,"&lt;="&amp;T163,Expenses!$J$5:$J$304,"&lt;&gt;Personal"))</f>
        <v>0</v>
      </c>
      <c r="Y163" s="29">
        <f>IF(S163="","",V163-X163)</f>
        <v>0</v>
      </c>
      <c r="Z163" s="31">
        <f>IF(S163="","",COUNTIFS(Bookings!$I$5:$I$404,"&gt;="&amp;S163,Bookings!$I$5:$I$404,"&lt;="&amp;T163,Bookings!$AM$5:$AM$404,"&lt;&gt;Cancelled"))</f>
        <v>0</v>
      </c>
      <c r="AA163" s="31">
        <f>IF(S163="","",COUNTIFS(Bookings!$I$5:$I$404,"&gt;="&amp;S163,Bookings!$I$5:$I$404,"&lt;="&amp;T163,Bookings!$AM$5:$AM$404,"Completed"))</f>
        <v>0</v>
      </c>
      <c r="AB163" s="31">
        <f>IF(S163="","",COUNTIFS(Bookings!$I$5:$I$404,"&gt;="&amp;S163,Bookings!$I$5:$I$404,"&lt;="&amp;T163,Bookings!$AM$5:$AM$404,"Cancelled"))</f>
        <v>0</v>
      </c>
      <c r="AC163" s="31">
        <f>IF(S163="","",COUNTIFS('Visit Log'!$C$5:$C$404,"&gt;="&amp;S163,'Visit Log'!$C$5:$C$404,"&lt;="&amp;T163,'Visit Log'!$AE$5:$AE$404,"Completed"))</f>
        <v>0</v>
      </c>
      <c r="AD163" s="31">
        <f>IF(S163="","",COUNTIFS(Clients!$L$5:$L$254,"&gt;="&amp;S163,Clients!$L$5:$L$254,"&lt;="&amp;T163))</f>
        <v>0</v>
      </c>
      <c r="AE163" s="32">
        <f>IF(S163="","",SUMIFS(Mileage!$M$5:$M$304,Mileage!$B$5:$B$304,"&gt;="&amp;S163,Mileage!$B$5:$B$304,"&lt;="&amp;T163,Mileage!$N$5:$N$304,"Business"))</f>
        <v>0</v>
      </c>
      <c r="AF163" s="29">
        <f>IF(S163="","",SUMIFS(Payments!$L$5:$L$304,Payments!$B$5:$B$304,"&gt;="&amp;DATE(Dash_Year-1,ROW()-4,1),Payments!$B$5:$B$304,"&lt;="&amp;EOMONTH(DATE(Dash_Year-1,ROW()-4,1),0)))</f>
        <v>0</v>
      </c>
      <c r="AG163" s="28">
        <f>IF(Staff!$B$163="","",Staff!$B$163)</f>
        <v>0</v>
      </c>
      <c r="AH163" s="31">
        <f>IF(AG163="","",COUNTIFS('Visit Log'!$G$5:$G$404,AG163,'Visit Log'!$C$5:$C$404,"&gt;="&amp;RepFrom,'Visit Log'!$C$5:$C$404,"&lt;="&amp;RepTo,'Visit Log'!$AE$5:$AE$404,"Completed"))</f>
        <v>0</v>
      </c>
      <c r="AI163" s="51">
        <f>IF(AG163="","",ROUND(SUMIFS('Visit Log'!$K$5:$K$404,'Visit Log'!$G$5:$G$404,AG163,'Visit Log'!$C$5:$C$404,"&gt;="&amp;RepFrom,'Visit Log'!$C$5:$C$404,"&lt;="&amp;RepTo,'Visit Log'!$AE$5:$AE$404,"Completed")/60,2))</f>
        <v>0</v>
      </c>
      <c r="AJ163" s="29">
        <f>IF(AG163="","",SUMIFS(Bookings!$AK$5:$AK$404,Bookings!$AL$5:$AL$404,AG163,Bookings!$I$5:$I$404,"&gt;="&amp;RepFrom,Bookings!$I$5:$I$404,"&lt;="&amp;RepTo,Bookings!$AM$5:$AM$404,"&lt;&gt;Cancelled"))</f>
        <v>0</v>
      </c>
      <c r="AK163" s="32">
        <f>IF(AG163="","",SUMIFS(Mileage!$M$5:$M$304,Mileage!$C$5:$C$304,AG163,Mileage!$B$5:$B$304,"&gt;="&amp;RepFrom,Mileage!$B$5:$B$304,"&lt;="&amp;RepTo))</f>
        <v>0</v>
      </c>
      <c r="AL163" s="28">
        <f>IF(Lists!$Q163="","",Lists!$Q163)</f>
        <v>0</v>
      </c>
      <c r="AM163" s="31">
        <f>IF(AL163="","",COUNTIFS(Bookings!$AV$5:$AV$404,AL163,Bookings!$I$5:$I$404,"&gt;="&amp;RepFrom,Bookings!$I$5:$I$404,"&lt;="&amp;RepTo))</f>
        <v>0</v>
      </c>
      <c r="AN163" s="28">
        <f>IF(Lists!$AF163="","",Lists!$AF163)</f>
        <v>0</v>
      </c>
      <c r="AO163" s="29">
        <f>IF(AN163="","",SUMIFS(Payments!$L$5:$L$304,Payments!$F$5:$F$304,AN163,Payments!$B$5:$B$304,"&gt;="&amp;RepFrom,Payments!$B$5:$B$304,"&lt;="&amp;RepTo))</f>
        <v>0</v>
      </c>
      <c r="AP163" s="28">
        <f>IF(Lists!$E163="","",Lists!$E163)</f>
        <v>0</v>
      </c>
      <c r="AQ163" s="31">
        <f>IF(AP163="","",COUNTIFS(Clients!$K$5:$K$254,AP163))</f>
        <v>0</v>
      </c>
      <c r="AR163" s="29">
        <f>IF(AP163="","",SUMIFS(Clients!$AE$5:$AE$254,Clients!$K$5:$K$254,AP163))</f>
        <v>0</v>
      </c>
    </row>
    <row r="164" spans="1:44">
      <c r="A164" s="28">
        <f>IF(Clients!$B$164="","",Clients!$B$164)</f>
        <v>0</v>
      </c>
      <c r="B164" s="29">
        <f>IF(A164="","",SUMIFS(Payments!$L$5:$L$304,Payments!$C$5:$C$304,A164,Payments!$B$5:$B$304,"&gt;="&amp;PeriodStart,Payments!$B$5:$B$304,"&lt;="&amp;PeriodEnd))</f>
        <v>0</v>
      </c>
      <c r="C164" s="51">
        <f>IF(A164="","",IF(B164&lt;=0,"",B164+ROW()/1000000))</f>
        <v>0</v>
      </c>
      <c r="D164" s="29">
        <f>IF(A164="","",SUMIFS(Payments!$L$5:$L$304,Payments!$C$5:$C$304,A164,Payments!$B$5:$B$304,"&gt;="&amp;RepFrom,Payments!$B$5:$B$304,"&lt;="&amp;RepTo))</f>
        <v>0</v>
      </c>
      <c r="E164" s="51">
        <f>IF(A164="","",IF(D164&lt;=0,"",D164+ROW()/1000000))</f>
        <v>0</v>
      </c>
      <c r="F164" s="29">
        <f>IF(A164="","",SUMIFS(Invoices!$S$5:$S$304,Invoices!$D$5:$D$304,A164,Invoices!$T$5:$T$304,"&lt;&gt;Cancelled"))</f>
        <v>0</v>
      </c>
      <c r="G164" s="51">
        <f>IF(A164="","",IF(F164&lt;=0.004,"",F164+ROW()/1000000))</f>
        <v>0</v>
      </c>
      <c r="H164" s="31">
        <f>IF(A164="","",COUNTIFS(Bookings!$C$5:$C$404,A164,Bookings!$I$5:$I$404,"&gt;="&amp;RepFrom,Bookings!$I$5:$I$404,"&lt;="&amp;RepTo,Bookings!$AM$5:$AM$404,"&lt;&gt;Cancelled"))</f>
        <v>0</v>
      </c>
      <c r="I164" s="28">
        <f>IF(Services!$B$164="","",Services!$B$164)</f>
        <v>0</v>
      </c>
      <c r="J164" s="29">
        <f>IF(I164="","",SUMIFS(Bookings!$AK$5:$AK$404,Bookings!$H$5:$H$404,I164,Bookings!$I$5:$I$404,"&gt;="&amp;PeriodStart,Bookings!$I$5:$I$404,"&lt;="&amp;PeriodEnd,Bookings!$AM$5:$AM$404,"&lt;&gt;Cancelled"))</f>
        <v>0</v>
      </c>
      <c r="K164" s="31">
        <f>IF(I164="","",COUNTIFS(Bookings!$H$5:$H$404,I164,Bookings!$I$5:$I$404,"&gt;="&amp;PeriodStart,Bookings!$I$5:$I$404,"&lt;="&amp;PeriodEnd,Bookings!$AM$5:$AM$404,"&lt;&gt;Cancelled"))</f>
        <v>0</v>
      </c>
      <c r="L164" s="29">
        <f>IF(I164="","",SUMIFS(Bookings!$AK$5:$AK$404,Bookings!$H$5:$H$404,I164,Bookings!$I$5:$I$404,"&gt;="&amp;RepFrom,Bookings!$I$5:$I$404,"&lt;="&amp;RepTo,Bookings!$AM$5:$AM$404,"&lt;&gt;Cancelled"))</f>
        <v>0</v>
      </c>
      <c r="M164" s="31">
        <f>IF(I164="","",COUNTIFS(Bookings!$H$5:$H$404,I164,Bookings!$I$5:$I$404,"&gt;="&amp;RepFrom,Bookings!$I$5:$I$404,"&lt;="&amp;RepTo,Bookings!$AM$5:$AM$404,"&lt;&gt;Cancelled"))</f>
        <v>0</v>
      </c>
      <c r="N164" s="29">
        <f>IF(I164="","",M164*IF(Services!$L$164="",0,Services!$L$164))</f>
        <v>0</v>
      </c>
      <c r="O164" s="29">
        <f>IF(I164="","",L164-N164)</f>
        <v>0</v>
      </c>
      <c r="P164" s="28">
        <f>IF(Lists!$AG164="","",Lists!$AG164)</f>
        <v>0</v>
      </c>
      <c r="Q164" s="29">
        <f>IF(P164="","",SUMIFS(Expenses!$F$5:$F$304,Expenses!$C$5:$C$304,P164,Expenses!$B$5:$B$304,"&gt;="&amp;PeriodStart,Expenses!$B$5:$B$304,"&lt;="&amp;PeriodEnd,Expenses!$J$5:$J$304,"&lt;&gt;Personal"))</f>
        <v>0</v>
      </c>
      <c r="R164" s="29">
        <f>IF(P164="","",SUMIFS(Expenses!$F$5:$F$304,Expenses!$C$5:$C$304,P164,Expenses!$B$5:$B$304,"&gt;="&amp;RepFrom,Expenses!$B$5:$B$304,"&lt;="&amp;RepTo,Expenses!$J$5:$J$304,"&lt;&gt;Personal"))</f>
        <v>0</v>
      </c>
      <c r="S164" s="21">
        <f>IF(ROW()-4&gt;12,"",DATE(Dash_Year,ROW()-4,1))</f>
        <v>0</v>
      </c>
      <c r="T164" s="21">
        <f>IF(S164="","",EOMONTH(S164,0))</f>
        <v>0</v>
      </c>
      <c r="U164" s="28">
        <f>IF(S164="","",TEXT(S164,"mmm"))</f>
        <v>0</v>
      </c>
      <c r="V164" s="29">
        <f>IF(S164="","",SUMIFS(Payments!$L$5:$L$304,Payments!$B$5:$B$304,"&gt;="&amp;S164,Payments!$B$5:$B$304,"&lt;="&amp;T164))</f>
        <v>0</v>
      </c>
      <c r="W164" s="29">
        <f>IF(S164="","",SUMIFS(Invoices!$O$5:$O$304,Invoices!$B$5:$B$304,"&gt;="&amp;S164,Invoices!$B$5:$B$304,"&lt;="&amp;T164,Invoices!$T$5:$T$304,"&lt;&gt;Cancelled"))</f>
        <v>0</v>
      </c>
      <c r="X164" s="29">
        <f>IF(S164="","",SUMIFS(Expenses!$F$5:$F$304,Expenses!$B$5:$B$304,"&gt;="&amp;S164,Expenses!$B$5:$B$304,"&lt;="&amp;T164,Expenses!$J$5:$J$304,"&lt;&gt;Personal"))</f>
        <v>0</v>
      </c>
      <c r="Y164" s="29">
        <f>IF(S164="","",V164-X164)</f>
        <v>0</v>
      </c>
      <c r="Z164" s="31">
        <f>IF(S164="","",COUNTIFS(Bookings!$I$5:$I$404,"&gt;="&amp;S164,Bookings!$I$5:$I$404,"&lt;="&amp;T164,Bookings!$AM$5:$AM$404,"&lt;&gt;Cancelled"))</f>
        <v>0</v>
      </c>
      <c r="AA164" s="31">
        <f>IF(S164="","",COUNTIFS(Bookings!$I$5:$I$404,"&gt;="&amp;S164,Bookings!$I$5:$I$404,"&lt;="&amp;T164,Bookings!$AM$5:$AM$404,"Completed"))</f>
        <v>0</v>
      </c>
      <c r="AB164" s="31">
        <f>IF(S164="","",COUNTIFS(Bookings!$I$5:$I$404,"&gt;="&amp;S164,Bookings!$I$5:$I$404,"&lt;="&amp;T164,Bookings!$AM$5:$AM$404,"Cancelled"))</f>
        <v>0</v>
      </c>
      <c r="AC164" s="31">
        <f>IF(S164="","",COUNTIFS('Visit Log'!$C$5:$C$404,"&gt;="&amp;S164,'Visit Log'!$C$5:$C$404,"&lt;="&amp;T164,'Visit Log'!$AE$5:$AE$404,"Completed"))</f>
        <v>0</v>
      </c>
      <c r="AD164" s="31">
        <f>IF(S164="","",COUNTIFS(Clients!$L$5:$L$254,"&gt;="&amp;S164,Clients!$L$5:$L$254,"&lt;="&amp;T164))</f>
        <v>0</v>
      </c>
      <c r="AE164" s="32">
        <f>IF(S164="","",SUMIFS(Mileage!$M$5:$M$304,Mileage!$B$5:$B$304,"&gt;="&amp;S164,Mileage!$B$5:$B$304,"&lt;="&amp;T164,Mileage!$N$5:$N$304,"Business"))</f>
        <v>0</v>
      </c>
      <c r="AF164" s="29">
        <f>IF(S164="","",SUMIFS(Payments!$L$5:$L$304,Payments!$B$5:$B$304,"&gt;="&amp;DATE(Dash_Year-1,ROW()-4,1),Payments!$B$5:$B$304,"&lt;="&amp;EOMONTH(DATE(Dash_Year-1,ROW()-4,1),0)))</f>
        <v>0</v>
      </c>
      <c r="AG164" s="28">
        <f>IF(Staff!$B$164="","",Staff!$B$164)</f>
        <v>0</v>
      </c>
      <c r="AH164" s="31">
        <f>IF(AG164="","",COUNTIFS('Visit Log'!$G$5:$G$404,AG164,'Visit Log'!$C$5:$C$404,"&gt;="&amp;RepFrom,'Visit Log'!$C$5:$C$404,"&lt;="&amp;RepTo,'Visit Log'!$AE$5:$AE$404,"Completed"))</f>
        <v>0</v>
      </c>
      <c r="AI164" s="51">
        <f>IF(AG164="","",ROUND(SUMIFS('Visit Log'!$K$5:$K$404,'Visit Log'!$G$5:$G$404,AG164,'Visit Log'!$C$5:$C$404,"&gt;="&amp;RepFrom,'Visit Log'!$C$5:$C$404,"&lt;="&amp;RepTo,'Visit Log'!$AE$5:$AE$404,"Completed")/60,2))</f>
        <v>0</v>
      </c>
      <c r="AJ164" s="29">
        <f>IF(AG164="","",SUMIFS(Bookings!$AK$5:$AK$404,Bookings!$AL$5:$AL$404,AG164,Bookings!$I$5:$I$404,"&gt;="&amp;RepFrom,Bookings!$I$5:$I$404,"&lt;="&amp;RepTo,Bookings!$AM$5:$AM$404,"&lt;&gt;Cancelled"))</f>
        <v>0</v>
      </c>
      <c r="AK164" s="32">
        <f>IF(AG164="","",SUMIFS(Mileage!$M$5:$M$304,Mileage!$C$5:$C$304,AG164,Mileage!$B$5:$B$304,"&gt;="&amp;RepFrom,Mileage!$B$5:$B$304,"&lt;="&amp;RepTo))</f>
        <v>0</v>
      </c>
      <c r="AL164" s="28">
        <f>IF(Lists!$Q164="","",Lists!$Q164)</f>
        <v>0</v>
      </c>
      <c r="AM164" s="31">
        <f>IF(AL164="","",COUNTIFS(Bookings!$AV$5:$AV$404,AL164,Bookings!$I$5:$I$404,"&gt;="&amp;RepFrom,Bookings!$I$5:$I$404,"&lt;="&amp;RepTo))</f>
        <v>0</v>
      </c>
      <c r="AN164" s="28">
        <f>IF(Lists!$AF164="","",Lists!$AF164)</f>
        <v>0</v>
      </c>
      <c r="AO164" s="29">
        <f>IF(AN164="","",SUMIFS(Payments!$L$5:$L$304,Payments!$F$5:$F$304,AN164,Payments!$B$5:$B$304,"&gt;="&amp;RepFrom,Payments!$B$5:$B$304,"&lt;="&amp;RepTo))</f>
        <v>0</v>
      </c>
      <c r="AP164" s="28">
        <f>IF(Lists!$E164="","",Lists!$E164)</f>
        <v>0</v>
      </c>
      <c r="AQ164" s="31">
        <f>IF(AP164="","",COUNTIFS(Clients!$K$5:$K$254,AP164))</f>
        <v>0</v>
      </c>
      <c r="AR164" s="29">
        <f>IF(AP164="","",SUMIFS(Clients!$AE$5:$AE$254,Clients!$K$5:$K$254,AP164))</f>
        <v>0</v>
      </c>
    </row>
    <row r="165" spans="1:44">
      <c r="A165" s="28">
        <f>IF(Clients!$B$165="","",Clients!$B$165)</f>
        <v>0</v>
      </c>
      <c r="B165" s="29">
        <f>IF(A165="","",SUMIFS(Payments!$L$5:$L$304,Payments!$C$5:$C$304,A165,Payments!$B$5:$B$304,"&gt;="&amp;PeriodStart,Payments!$B$5:$B$304,"&lt;="&amp;PeriodEnd))</f>
        <v>0</v>
      </c>
      <c r="C165" s="51">
        <f>IF(A165="","",IF(B165&lt;=0,"",B165+ROW()/1000000))</f>
        <v>0</v>
      </c>
      <c r="D165" s="29">
        <f>IF(A165="","",SUMIFS(Payments!$L$5:$L$304,Payments!$C$5:$C$304,A165,Payments!$B$5:$B$304,"&gt;="&amp;RepFrom,Payments!$B$5:$B$304,"&lt;="&amp;RepTo))</f>
        <v>0</v>
      </c>
      <c r="E165" s="51">
        <f>IF(A165="","",IF(D165&lt;=0,"",D165+ROW()/1000000))</f>
        <v>0</v>
      </c>
      <c r="F165" s="29">
        <f>IF(A165="","",SUMIFS(Invoices!$S$5:$S$304,Invoices!$D$5:$D$304,A165,Invoices!$T$5:$T$304,"&lt;&gt;Cancelled"))</f>
        <v>0</v>
      </c>
      <c r="G165" s="51">
        <f>IF(A165="","",IF(F165&lt;=0.004,"",F165+ROW()/1000000))</f>
        <v>0</v>
      </c>
      <c r="H165" s="31">
        <f>IF(A165="","",COUNTIFS(Bookings!$C$5:$C$404,A165,Bookings!$I$5:$I$404,"&gt;="&amp;RepFrom,Bookings!$I$5:$I$404,"&lt;="&amp;RepTo,Bookings!$AM$5:$AM$404,"&lt;&gt;Cancelled"))</f>
        <v>0</v>
      </c>
      <c r="I165" s="28">
        <f>IF(Services!$B$165="","",Services!$B$165)</f>
        <v>0</v>
      </c>
      <c r="J165" s="29">
        <f>IF(I165="","",SUMIFS(Bookings!$AK$5:$AK$404,Bookings!$H$5:$H$404,I165,Bookings!$I$5:$I$404,"&gt;="&amp;PeriodStart,Bookings!$I$5:$I$404,"&lt;="&amp;PeriodEnd,Bookings!$AM$5:$AM$404,"&lt;&gt;Cancelled"))</f>
        <v>0</v>
      </c>
      <c r="K165" s="31">
        <f>IF(I165="","",COUNTIFS(Bookings!$H$5:$H$404,I165,Bookings!$I$5:$I$404,"&gt;="&amp;PeriodStart,Bookings!$I$5:$I$404,"&lt;="&amp;PeriodEnd,Bookings!$AM$5:$AM$404,"&lt;&gt;Cancelled"))</f>
        <v>0</v>
      </c>
      <c r="L165" s="29">
        <f>IF(I165="","",SUMIFS(Bookings!$AK$5:$AK$404,Bookings!$H$5:$H$404,I165,Bookings!$I$5:$I$404,"&gt;="&amp;RepFrom,Bookings!$I$5:$I$404,"&lt;="&amp;RepTo,Bookings!$AM$5:$AM$404,"&lt;&gt;Cancelled"))</f>
        <v>0</v>
      </c>
      <c r="M165" s="31">
        <f>IF(I165="","",COUNTIFS(Bookings!$H$5:$H$404,I165,Bookings!$I$5:$I$404,"&gt;="&amp;RepFrom,Bookings!$I$5:$I$404,"&lt;="&amp;RepTo,Bookings!$AM$5:$AM$404,"&lt;&gt;Cancelled"))</f>
        <v>0</v>
      </c>
      <c r="N165" s="29">
        <f>IF(I165="","",M165*IF(Services!$L$165="",0,Services!$L$165))</f>
        <v>0</v>
      </c>
      <c r="O165" s="29">
        <f>IF(I165="","",L165-N165)</f>
        <v>0</v>
      </c>
      <c r="P165" s="28">
        <f>IF(Lists!$AG165="","",Lists!$AG165)</f>
        <v>0</v>
      </c>
      <c r="Q165" s="29">
        <f>IF(P165="","",SUMIFS(Expenses!$F$5:$F$304,Expenses!$C$5:$C$304,P165,Expenses!$B$5:$B$304,"&gt;="&amp;PeriodStart,Expenses!$B$5:$B$304,"&lt;="&amp;PeriodEnd,Expenses!$J$5:$J$304,"&lt;&gt;Personal"))</f>
        <v>0</v>
      </c>
      <c r="R165" s="29">
        <f>IF(P165="","",SUMIFS(Expenses!$F$5:$F$304,Expenses!$C$5:$C$304,P165,Expenses!$B$5:$B$304,"&gt;="&amp;RepFrom,Expenses!$B$5:$B$304,"&lt;="&amp;RepTo,Expenses!$J$5:$J$304,"&lt;&gt;Personal"))</f>
        <v>0</v>
      </c>
      <c r="S165" s="21">
        <f>IF(ROW()-4&gt;12,"",DATE(Dash_Year,ROW()-4,1))</f>
        <v>0</v>
      </c>
      <c r="T165" s="21">
        <f>IF(S165="","",EOMONTH(S165,0))</f>
        <v>0</v>
      </c>
      <c r="U165" s="28">
        <f>IF(S165="","",TEXT(S165,"mmm"))</f>
        <v>0</v>
      </c>
      <c r="V165" s="29">
        <f>IF(S165="","",SUMIFS(Payments!$L$5:$L$304,Payments!$B$5:$B$304,"&gt;="&amp;S165,Payments!$B$5:$B$304,"&lt;="&amp;T165))</f>
        <v>0</v>
      </c>
      <c r="W165" s="29">
        <f>IF(S165="","",SUMIFS(Invoices!$O$5:$O$304,Invoices!$B$5:$B$304,"&gt;="&amp;S165,Invoices!$B$5:$B$304,"&lt;="&amp;T165,Invoices!$T$5:$T$304,"&lt;&gt;Cancelled"))</f>
        <v>0</v>
      </c>
      <c r="X165" s="29">
        <f>IF(S165="","",SUMIFS(Expenses!$F$5:$F$304,Expenses!$B$5:$B$304,"&gt;="&amp;S165,Expenses!$B$5:$B$304,"&lt;="&amp;T165,Expenses!$J$5:$J$304,"&lt;&gt;Personal"))</f>
        <v>0</v>
      </c>
      <c r="Y165" s="29">
        <f>IF(S165="","",V165-X165)</f>
        <v>0</v>
      </c>
      <c r="Z165" s="31">
        <f>IF(S165="","",COUNTIFS(Bookings!$I$5:$I$404,"&gt;="&amp;S165,Bookings!$I$5:$I$404,"&lt;="&amp;T165,Bookings!$AM$5:$AM$404,"&lt;&gt;Cancelled"))</f>
        <v>0</v>
      </c>
      <c r="AA165" s="31">
        <f>IF(S165="","",COUNTIFS(Bookings!$I$5:$I$404,"&gt;="&amp;S165,Bookings!$I$5:$I$404,"&lt;="&amp;T165,Bookings!$AM$5:$AM$404,"Completed"))</f>
        <v>0</v>
      </c>
      <c r="AB165" s="31">
        <f>IF(S165="","",COUNTIFS(Bookings!$I$5:$I$404,"&gt;="&amp;S165,Bookings!$I$5:$I$404,"&lt;="&amp;T165,Bookings!$AM$5:$AM$404,"Cancelled"))</f>
        <v>0</v>
      </c>
      <c r="AC165" s="31">
        <f>IF(S165="","",COUNTIFS('Visit Log'!$C$5:$C$404,"&gt;="&amp;S165,'Visit Log'!$C$5:$C$404,"&lt;="&amp;T165,'Visit Log'!$AE$5:$AE$404,"Completed"))</f>
        <v>0</v>
      </c>
      <c r="AD165" s="31">
        <f>IF(S165="","",COUNTIFS(Clients!$L$5:$L$254,"&gt;="&amp;S165,Clients!$L$5:$L$254,"&lt;="&amp;T165))</f>
        <v>0</v>
      </c>
      <c r="AE165" s="32">
        <f>IF(S165="","",SUMIFS(Mileage!$M$5:$M$304,Mileage!$B$5:$B$304,"&gt;="&amp;S165,Mileage!$B$5:$B$304,"&lt;="&amp;T165,Mileage!$N$5:$N$304,"Business"))</f>
        <v>0</v>
      </c>
      <c r="AF165" s="29">
        <f>IF(S165="","",SUMIFS(Payments!$L$5:$L$304,Payments!$B$5:$B$304,"&gt;="&amp;DATE(Dash_Year-1,ROW()-4,1),Payments!$B$5:$B$304,"&lt;="&amp;EOMONTH(DATE(Dash_Year-1,ROW()-4,1),0)))</f>
        <v>0</v>
      </c>
      <c r="AG165" s="28">
        <f>IF(Staff!$B$165="","",Staff!$B$165)</f>
        <v>0</v>
      </c>
      <c r="AH165" s="31">
        <f>IF(AG165="","",COUNTIFS('Visit Log'!$G$5:$G$404,AG165,'Visit Log'!$C$5:$C$404,"&gt;="&amp;RepFrom,'Visit Log'!$C$5:$C$404,"&lt;="&amp;RepTo,'Visit Log'!$AE$5:$AE$404,"Completed"))</f>
        <v>0</v>
      </c>
      <c r="AI165" s="51">
        <f>IF(AG165="","",ROUND(SUMIFS('Visit Log'!$K$5:$K$404,'Visit Log'!$G$5:$G$404,AG165,'Visit Log'!$C$5:$C$404,"&gt;="&amp;RepFrom,'Visit Log'!$C$5:$C$404,"&lt;="&amp;RepTo,'Visit Log'!$AE$5:$AE$404,"Completed")/60,2))</f>
        <v>0</v>
      </c>
      <c r="AJ165" s="29">
        <f>IF(AG165="","",SUMIFS(Bookings!$AK$5:$AK$404,Bookings!$AL$5:$AL$404,AG165,Bookings!$I$5:$I$404,"&gt;="&amp;RepFrom,Bookings!$I$5:$I$404,"&lt;="&amp;RepTo,Bookings!$AM$5:$AM$404,"&lt;&gt;Cancelled"))</f>
        <v>0</v>
      </c>
      <c r="AK165" s="32">
        <f>IF(AG165="","",SUMIFS(Mileage!$M$5:$M$304,Mileage!$C$5:$C$304,AG165,Mileage!$B$5:$B$304,"&gt;="&amp;RepFrom,Mileage!$B$5:$B$304,"&lt;="&amp;RepTo))</f>
        <v>0</v>
      </c>
      <c r="AL165" s="28">
        <f>IF(Lists!$Q165="","",Lists!$Q165)</f>
        <v>0</v>
      </c>
      <c r="AM165" s="31">
        <f>IF(AL165="","",COUNTIFS(Bookings!$AV$5:$AV$404,AL165,Bookings!$I$5:$I$404,"&gt;="&amp;RepFrom,Bookings!$I$5:$I$404,"&lt;="&amp;RepTo))</f>
        <v>0</v>
      </c>
      <c r="AN165" s="28">
        <f>IF(Lists!$AF165="","",Lists!$AF165)</f>
        <v>0</v>
      </c>
      <c r="AO165" s="29">
        <f>IF(AN165="","",SUMIFS(Payments!$L$5:$L$304,Payments!$F$5:$F$304,AN165,Payments!$B$5:$B$304,"&gt;="&amp;RepFrom,Payments!$B$5:$B$304,"&lt;="&amp;RepTo))</f>
        <v>0</v>
      </c>
      <c r="AP165" s="28">
        <f>IF(Lists!$E165="","",Lists!$E165)</f>
        <v>0</v>
      </c>
      <c r="AQ165" s="31">
        <f>IF(AP165="","",COUNTIFS(Clients!$K$5:$K$254,AP165))</f>
        <v>0</v>
      </c>
      <c r="AR165" s="29">
        <f>IF(AP165="","",SUMIFS(Clients!$AE$5:$AE$254,Clients!$K$5:$K$254,AP165))</f>
        <v>0</v>
      </c>
    </row>
    <row r="166" spans="1:44">
      <c r="A166" s="28">
        <f>IF(Clients!$B$166="","",Clients!$B$166)</f>
        <v>0</v>
      </c>
      <c r="B166" s="29">
        <f>IF(A166="","",SUMIFS(Payments!$L$5:$L$304,Payments!$C$5:$C$304,A166,Payments!$B$5:$B$304,"&gt;="&amp;PeriodStart,Payments!$B$5:$B$304,"&lt;="&amp;PeriodEnd))</f>
        <v>0</v>
      </c>
      <c r="C166" s="51">
        <f>IF(A166="","",IF(B166&lt;=0,"",B166+ROW()/1000000))</f>
        <v>0</v>
      </c>
      <c r="D166" s="29">
        <f>IF(A166="","",SUMIFS(Payments!$L$5:$L$304,Payments!$C$5:$C$304,A166,Payments!$B$5:$B$304,"&gt;="&amp;RepFrom,Payments!$B$5:$B$304,"&lt;="&amp;RepTo))</f>
        <v>0</v>
      </c>
      <c r="E166" s="51">
        <f>IF(A166="","",IF(D166&lt;=0,"",D166+ROW()/1000000))</f>
        <v>0</v>
      </c>
      <c r="F166" s="29">
        <f>IF(A166="","",SUMIFS(Invoices!$S$5:$S$304,Invoices!$D$5:$D$304,A166,Invoices!$T$5:$T$304,"&lt;&gt;Cancelled"))</f>
        <v>0</v>
      </c>
      <c r="G166" s="51">
        <f>IF(A166="","",IF(F166&lt;=0.004,"",F166+ROW()/1000000))</f>
        <v>0</v>
      </c>
      <c r="H166" s="31">
        <f>IF(A166="","",COUNTIFS(Bookings!$C$5:$C$404,A166,Bookings!$I$5:$I$404,"&gt;="&amp;RepFrom,Bookings!$I$5:$I$404,"&lt;="&amp;RepTo,Bookings!$AM$5:$AM$404,"&lt;&gt;Cancelled"))</f>
        <v>0</v>
      </c>
      <c r="I166" s="28">
        <f>IF(Services!$B$166="","",Services!$B$166)</f>
        <v>0</v>
      </c>
      <c r="J166" s="29">
        <f>IF(I166="","",SUMIFS(Bookings!$AK$5:$AK$404,Bookings!$H$5:$H$404,I166,Bookings!$I$5:$I$404,"&gt;="&amp;PeriodStart,Bookings!$I$5:$I$404,"&lt;="&amp;PeriodEnd,Bookings!$AM$5:$AM$404,"&lt;&gt;Cancelled"))</f>
        <v>0</v>
      </c>
      <c r="K166" s="31">
        <f>IF(I166="","",COUNTIFS(Bookings!$H$5:$H$404,I166,Bookings!$I$5:$I$404,"&gt;="&amp;PeriodStart,Bookings!$I$5:$I$404,"&lt;="&amp;PeriodEnd,Bookings!$AM$5:$AM$404,"&lt;&gt;Cancelled"))</f>
        <v>0</v>
      </c>
      <c r="L166" s="29">
        <f>IF(I166="","",SUMIFS(Bookings!$AK$5:$AK$404,Bookings!$H$5:$H$404,I166,Bookings!$I$5:$I$404,"&gt;="&amp;RepFrom,Bookings!$I$5:$I$404,"&lt;="&amp;RepTo,Bookings!$AM$5:$AM$404,"&lt;&gt;Cancelled"))</f>
        <v>0</v>
      </c>
      <c r="M166" s="31">
        <f>IF(I166="","",COUNTIFS(Bookings!$H$5:$H$404,I166,Bookings!$I$5:$I$404,"&gt;="&amp;RepFrom,Bookings!$I$5:$I$404,"&lt;="&amp;RepTo,Bookings!$AM$5:$AM$404,"&lt;&gt;Cancelled"))</f>
        <v>0</v>
      </c>
      <c r="N166" s="29">
        <f>IF(I166="","",M166*IF(Services!$L$166="",0,Services!$L$166))</f>
        <v>0</v>
      </c>
      <c r="O166" s="29">
        <f>IF(I166="","",L166-N166)</f>
        <v>0</v>
      </c>
      <c r="P166" s="28">
        <f>IF(Lists!$AG166="","",Lists!$AG166)</f>
        <v>0</v>
      </c>
      <c r="Q166" s="29">
        <f>IF(P166="","",SUMIFS(Expenses!$F$5:$F$304,Expenses!$C$5:$C$304,P166,Expenses!$B$5:$B$304,"&gt;="&amp;PeriodStart,Expenses!$B$5:$B$304,"&lt;="&amp;PeriodEnd,Expenses!$J$5:$J$304,"&lt;&gt;Personal"))</f>
        <v>0</v>
      </c>
      <c r="R166" s="29">
        <f>IF(P166="","",SUMIFS(Expenses!$F$5:$F$304,Expenses!$C$5:$C$304,P166,Expenses!$B$5:$B$304,"&gt;="&amp;RepFrom,Expenses!$B$5:$B$304,"&lt;="&amp;RepTo,Expenses!$J$5:$J$304,"&lt;&gt;Personal"))</f>
        <v>0</v>
      </c>
      <c r="S166" s="21">
        <f>IF(ROW()-4&gt;12,"",DATE(Dash_Year,ROW()-4,1))</f>
        <v>0</v>
      </c>
      <c r="T166" s="21">
        <f>IF(S166="","",EOMONTH(S166,0))</f>
        <v>0</v>
      </c>
      <c r="U166" s="28">
        <f>IF(S166="","",TEXT(S166,"mmm"))</f>
        <v>0</v>
      </c>
      <c r="V166" s="29">
        <f>IF(S166="","",SUMIFS(Payments!$L$5:$L$304,Payments!$B$5:$B$304,"&gt;="&amp;S166,Payments!$B$5:$B$304,"&lt;="&amp;T166))</f>
        <v>0</v>
      </c>
      <c r="W166" s="29">
        <f>IF(S166="","",SUMIFS(Invoices!$O$5:$O$304,Invoices!$B$5:$B$304,"&gt;="&amp;S166,Invoices!$B$5:$B$304,"&lt;="&amp;T166,Invoices!$T$5:$T$304,"&lt;&gt;Cancelled"))</f>
        <v>0</v>
      </c>
      <c r="X166" s="29">
        <f>IF(S166="","",SUMIFS(Expenses!$F$5:$F$304,Expenses!$B$5:$B$304,"&gt;="&amp;S166,Expenses!$B$5:$B$304,"&lt;="&amp;T166,Expenses!$J$5:$J$304,"&lt;&gt;Personal"))</f>
        <v>0</v>
      </c>
      <c r="Y166" s="29">
        <f>IF(S166="","",V166-X166)</f>
        <v>0</v>
      </c>
      <c r="Z166" s="31">
        <f>IF(S166="","",COUNTIFS(Bookings!$I$5:$I$404,"&gt;="&amp;S166,Bookings!$I$5:$I$404,"&lt;="&amp;T166,Bookings!$AM$5:$AM$404,"&lt;&gt;Cancelled"))</f>
        <v>0</v>
      </c>
      <c r="AA166" s="31">
        <f>IF(S166="","",COUNTIFS(Bookings!$I$5:$I$404,"&gt;="&amp;S166,Bookings!$I$5:$I$404,"&lt;="&amp;T166,Bookings!$AM$5:$AM$404,"Completed"))</f>
        <v>0</v>
      </c>
      <c r="AB166" s="31">
        <f>IF(S166="","",COUNTIFS(Bookings!$I$5:$I$404,"&gt;="&amp;S166,Bookings!$I$5:$I$404,"&lt;="&amp;T166,Bookings!$AM$5:$AM$404,"Cancelled"))</f>
        <v>0</v>
      </c>
      <c r="AC166" s="31">
        <f>IF(S166="","",COUNTIFS('Visit Log'!$C$5:$C$404,"&gt;="&amp;S166,'Visit Log'!$C$5:$C$404,"&lt;="&amp;T166,'Visit Log'!$AE$5:$AE$404,"Completed"))</f>
        <v>0</v>
      </c>
      <c r="AD166" s="31">
        <f>IF(S166="","",COUNTIFS(Clients!$L$5:$L$254,"&gt;="&amp;S166,Clients!$L$5:$L$254,"&lt;="&amp;T166))</f>
        <v>0</v>
      </c>
      <c r="AE166" s="32">
        <f>IF(S166="","",SUMIFS(Mileage!$M$5:$M$304,Mileage!$B$5:$B$304,"&gt;="&amp;S166,Mileage!$B$5:$B$304,"&lt;="&amp;T166,Mileage!$N$5:$N$304,"Business"))</f>
        <v>0</v>
      </c>
      <c r="AF166" s="29">
        <f>IF(S166="","",SUMIFS(Payments!$L$5:$L$304,Payments!$B$5:$B$304,"&gt;="&amp;DATE(Dash_Year-1,ROW()-4,1),Payments!$B$5:$B$304,"&lt;="&amp;EOMONTH(DATE(Dash_Year-1,ROW()-4,1),0)))</f>
        <v>0</v>
      </c>
      <c r="AG166" s="28">
        <f>IF(Staff!$B$166="","",Staff!$B$166)</f>
        <v>0</v>
      </c>
      <c r="AH166" s="31">
        <f>IF(AG166="","",COUNTIFS('Visit Log'!$G$5:$G$404,AG166,'Visit Log'!$C$5:$C$404,"&gt;="&amp;RepFrom,'Visit Log'!$C$5:$C$404,"&lt;="&amp;RepTo,'Visit Log'!$AE$5:$AE$404,"Completed"))</f>
        <v>0</v>
      </c>
      <c r="AI166" s="51">
        <f>IF(AG166="","",ROUND(SUMIFS('Visit Log'!$K$5:$K$404,'Visit Log'!$G$5:$G$404,AG166,'Visit Log'!$C$5:$C$404,"&gt;="&amp;RepFrom,'Visit Log'!$C$5:$C$404,"&lt;="&amp;RepTo,'Visit Log'!$AE$5:$AE$404,"Completed")/60,2))</f>
        <v>0</v>
      </c>
      <c r="AJ166" s="29">
        <f>IF(AG166="","",SUMIFS(Bookings!$AK$5:$AK$404,Bookings!$AL$5:$AL$404,AG166,Bookings!$I$5:$I$404,"&gt;="&amp;RepFrom,Bookings!$I$5:$I$404,"&lt;="&amp;RepTo,Bookings!$AM$5:$AM$404,"&lt;&gt;Cancelled"))</f>
        <v>0</v>
      </c>
      <c r="AK166" s="32">
        <f>IF(AG166="","",SUMIFS(Mileage!$M$5:$M$304,Mileage!$C$5:$C$304,AG166,Mileage!$B$5:$B$304,"&gt;="&amp;RepFrom,Mileage!$B$5:$B$304,"&lt;="&amp;RepTo))</f>
        <v>0</v>
      </c>
      <c r="AL166" s="28">
        <f>IF(Lists!$Q166="","",Lists!$Q166)</f>
        <v>0</v>
      </c>
      <c r="AM166" s="31">
        <f>IF(AL166="","",COUNTIFS(Bookings!$AV$5:$AV$404,AL166,Bookings!$I$5:$I$404,"&gt;="&amp;RepFrom,Bookings!$I$5:$I$404,"&lt;="&amp;RepTo))</f>
        <v>0</v>
      </c>
      <c r="AN166" s="28">
        <f>IF(Lists!$AF166="","",Lists!$AF166)</f>
        <v>0</v>
      </c>
      <c r="AO166" s="29">
        <f>IF(AN166="","",SUMIFS(Payments!$L$5:$L$304,Payments!$F$5:$F$304,AN166,Payments!$B$5:$B$304,"&gt;="&amp;RepFrom,Payments!$B$5:$B$304,"&lt;="&amp;RepTo))</f>
        <v>0</v>
      </c>
      <c r="AP166" s="28">
        <f>IF(Lists!$E166="","",Lists!$E166)</f>
        <v>0</v>
      </c>
      <c r="AQ166" s="31">
        <f>IF(AP166="","",COUNTIFS(Clients!$K$5:$K$254,AP166))</f>
        <v>0</v>
      </c>
      <c r="AR166" s="29">
        <f>IF(AP166="","",SUMIFS(Clients!$AE$5:$AE$254,Clients!$K$5:$K$254,AP166))</f>
        <v>0</v>
      </c>
    </row>
    <row r="167" spans="1:44">
      <c r="A167" s="28">
        <f>IF(Clients!$B$167="","",Clients!$B$167)</f>
        <v>0</v>
      </c>
      <c r="B167" s="29">
        <f>IF(A167="","",SUMIFS(Payments!$L$5:$L$304,Payments!$C$5:$C$304,A167,Payments!$B$5:$B$304,"&gt;="&amp;PeriodStart,Payments!$B$5:$B$304,"&lt;="&amp;PeriodEnd))</f>
        <v>0</v>
      </c>
      <c r="C167" s="51">
        <f>IF(A167="","",IF(B167&lt;=0,"",B167+ROW()/1000000))</f>
        <v>0</v>
      </c>
      <c r="D167" s="29">
        <f>IF(A167="","",SUMIFS(Payments!$L$5:$L$304,Payments!$C$5:$C$304,A167,Payments!$B$5:$B$304,"&gt;="&amp;RepFrom,Payments!$B$5:$B$304,"&lt;="&amp;RepTo))</f>
        <v>0</v>
      </c>
      <c r="E167" s="51">
        <f>IF(A167="","",IF(D167&lt;=0,"",D167+ROW()/1000000))</f>
        <v>0</v>
      </c>
      <c r="F167" s="29">
        <f>IF(A167="","",SUMIFS(Invoices!$S$5:$S$304,Invoices!$D$5:$D$304,A167,Invoices!$T$5:$T$304,"&lt;&gt;Cancelled"))</f>
        <v>0</v>
      </c>
      <c r="G167" s="51">
        <f>IF(A167="","",IF(F167&lt;=0.004,"",F167+ROW()/1000000))</f>
        <v>0</v>
      </c>
      <c r="H167" s="31">
        <f>IF(A167="","",COUNTIFS(Bookings!$C$5:$C$404,A167,Bookings!$I$5:$I$404,"&gt;="&amp;RepFrom,Bookings!$I$5:$I$404,"&lt;="&amp;RepTo,Bookings!$AM$5:$AM$404,"&lt;&gt;Cancelled"))</f>
        <v>0</v>
      </c>
      <c r="I167" s="28">
        <f>IF(Services!$B$167="","",Services!$B$167)</f>
        <v>0</v>
      </c>
      <c r="J167" s="29">
        <f>IF(I167="","",SUMIFS(Bookings!$AK$5:$AK$404,Bookings!$H$5:$H$404,I167,Bookings!$I$5:$I$404,"&gt;="&amp;PeriodStart,Bookings!$I$5:$I$404,"&lt;="&amp;PeriodEnd,Bookings!$AM$5:$AM$404,"&lt;&gt;Cancelled"))</f>
        <v>0</v>
      </c>
      <c r="K167" s="31">
        <f>IF(I167="","",COUNTIFS(Bookings!$H$5:$H$404,I167,Bookings!$I$5:$I$404,"&gt;="&amp;PeriodStart,Bookings!$I$5:$I$404,"&lt;="&amp;PeriodEnd,Bookings!$AM$5:$AM$404,"&lt;&gt;Cancelled"))</f>
        <v>0</v>
      </c>
      <c r="L167" s="29">
        <f>IF(I167="","",SUMIFS(Bookings!$AK$5:$AK$404,Bookings!$H$5:$H$404,I167,Bookings!$I$5:$I$404,"&gt;="&amp;RepFrom,Bookings!$I$5:$I$404,"&lt;="&amp;RepTo,Bookings!$AM$5:$AM$404,"&lt;&gt;Cancelled"))</f>
        <v>0</v>
      </c>
      <c r="M167" s="31">
        <f>IF(I167="","",COUNTIFS(Bookings!$H$5:$H$404,I167,Bookings!$I$5:$I$404,"&gt;="&amp;RepFrom,Bookings!$I$5:$I$404,"&lt;="&amp;RepTo,Bookings!$AM$5:$AM$404,"&lt;&gt;Cancelled"))</f>
        <v>0</v>
      </c>
      <c r="N167" s="29">
        <f>IF(I167="","",M167*IF(Services!$L$167="",0,Services!$L$167))</f>
        <v>0</v>
      </c>
      <c r="O167" s="29">
        <f>IF(I167="","",L167-N167)</f>
        <v>0</v>
      </c>
      <c r="P167" s="28">
        <f>IF(Lists!$AG167="","",Lists!$AG167)</f>
        <v>0</v>
      </c>
      <c r="Q167" s="29">
        <f>IF(P167="","",SUMIFS(Expenses!$F$5:$F$304,Expenses!$C$5:$C$304,P167,Expenses!$B$5:$B$304,"&gt;="&amp;PeriodStart,Expenses!$B$5:$B$304,"&lt;="&amp;PeriodEnd,Expenses!$J$5:$J$304,"&lt;&gt;Personal"))</f>
        <v>0</v>
      </c>
      <c r="R167" s="29">
        <f>IF(P167="","",SUMIFS(Expenses!$F$5:$F$304,Expenses!$C$5:$C$304,P167,Expenses!$B$5:$B$304,"&gt;="&amp;RepFrom,Expenses!$B$5:$B$304,"&lt;="&amp;RepTo,Expenses!$J$5:$J$304,"&lt;&gt;Personal"))</f>
        <v>0</v>
      </c>
      <c r="S167" s="21">
        <f>IF(ROW()-4&gt;12,"",DATE(Dash_Year,ROW()-4,1))</f>
        <v>0</v>
      </c>
      <c r="T167" s="21">
        <f>IF(S167="","",EOMONTH(S167,0))</f>
        <v>0</v>
      </c>
      <c r="U167" s="28">
        <f>IF(S167="","",TEXT(S167,"mmm"))</f>
        <v>0</v>
      </c>
      <c r="V167" s="29">
        <f>IF(S167="","",SUMIFS(Payments!$L$5:$L$304,Payments!$B$5:$B$304,"&gt;="&amp;S167,Payments!$B$5:$B$304,"&lt;="&amp;T167))</f>
        <v>0</v>
      </c>
      <c r="W167" s="29">
        <f>IF(S167="","",SUMIFS(Invoices!$O$5:$O$304,Invoices!$B$5:$B$304,"&gt;="&amp;S167,Invoices!$B$5:$B$304,"&lt;="&amp;T167,Invoices!$T$5:$T$304,"&lt;&gt;Cancelled"))</f>
        <v>0</v>
      </c>
      <c r="X167" s="29">
        <f>IF(S167="","",SUMIFS(Expenses!$F$5:$F$304,Expenses!$B$5:$B$304,"&gt;="&amp;S167,Expenses!$B$5:$B$304,"&lt;="&amp;T167,Expenses!$J$5:$J$304,"&lt;&gt;Personal"))</f>
        <v>0</v>
      </c>
      <c r="Y167" s="29">
        <f>IF(S167="","",V167-X167)</f>
        <v>0</v>
      </c>
      <c r="Z167" s="31">
        <f>IF(S167="","",COUNTIFS(Bookings!$I$5:$I$404,"&gt;="&amp;S167,Bookings!$I$5:$I$404,"&lt;="&amp;T167,Bookings!$AM$5:$AM$404,"&lt;&gt;Cancelled"))</f>
        <v>0</v>
      </c>
      <c r="AA167" s="31">
        <f>IF(S167="","",COUNTIFS(Bookings!$I$5:$I$404,"&gt;="&amp;S167,Bookings!$I$5:$I$404,"&lt;="&amp;T167,Bookings!$AM$5:$AM$404,"Completed"))</f>
        <v>0</v>
      </c>
      <c r="AB167" s="31">
        <f>IF(S167="","",COUNTIFS(Bookings!$I$5:$I$404,"&gt;="&amp;S167,Bookings!$I$5:$I$404,"&lt;="&amp;T167,Bookings!$AM$5:$AM$404,"Cancelled"))</f>
        <v>0</v>
      </c>
      <c r="AC167" s="31">
        <f>IF(S167="","",COUNTIFS('Visit Log'!$C$5:$C$404,"&gt;="&amp;S167,'Visit Log'!$C$5:$C$404,"&lt;="&amp;T167,'Visit Log'!$AE$5:$AE$404,"Completed"))</f>
        <v>0</v>
      </c>
      <c r="AD167" s="31">
        <f>IF(S167="","",COUNTIFS(Clients!$L$5:$L$254,"&gt;="&amp;S167,Clients!$L$5:$L$254,"&lt;="&amp;T167))</f>
        <v>0</v>
      </c>
      <c r="AE167" s="32">
        <f>IF(S167="","",SUMIFS(Mileage!$M$5:$M$304,Mileage!$B$5:$B$304,"&gt;="&amp;S167,Mileage!$B$5:$B$304,"&lt;="&amp;T167,Mileage!$N$5:$N$304,"Business"))</f>
        <v>0</v>
      </c>
      <c r="AF167" s="29">
        <f>IF(S167="","",SUMIFS(Payments!$L$5:$L$304,Payments!$B$5:$B$304,"&gt;="&amp;DATE(Dash_Year-1,ROW()-4,1),Payments!$B$5:$B$304,"&lt;="&amp;EOMONTH(DATE(Dash_Year-1,ROW()-4,1),0)))</f>
        <v>0</v>
      </c>
      <c r="AG167" s="28">
        <f>IF(Staff!$B$167="","",Staff!$B$167)</f>
        <v>0</v>
      </c>
      <c r="AH167" s="31">
        <f>IF(AG167="","",COUNTIFS('Visit Log'!$G$5:$G$404,AG167,'Visit Log'!$C$5:$C$404,"&gt;="&amp;RepFrom,'Visit Log'!$C$5:$C$404,"&lt;="&amp;RepTo,'Visit Log'!$AE$5:$AE$404,"Completed"))</f>
        <v>0</v>
      </c>
      <c r="AI167" s="51">
        <f>IF(AG167="","",ROUND(SUMIFS('Visit Log'!$K$5:$K$404,'Visit Log'!$G$5:$G$404,AG167,'Visit Log'!$C$5:$C$404,"&gt;="&amp;RepFrom,'Visit Log'!$C$5:$C$404,"&lt;="&amp;RepTo,'Visit Log'!$AE$5:$AE$404,"Completed")/60,2))</f>
        <v>0</v>
      </c>
      <c r="AJ167" s="29">
        <f>IF(AG167="","",SUMIFS(Bookings!$AK$5:$AK$404,Bookings!$AL$5:$AL$404,AG167,Bookings!$I$5:$I$404,"&gt;="&amp;RepFrom,Bookings!$I$5:$I$404,"&lt;="&amp;RepTo,Bookings!$AM$5:$AM$404,"&lt;&gt;Cancelled"))</f>
        <v>0</v>
      </c>
      <c r="AK167" s="32">
        <f>IF(AG167="","",SUMIFS(Mileage!$M$5:$M$304,Mileage!$C$5:$C$304,AG167,Mileage!$B$5:$B$304,"&gt;="&amp;RepFrom,Mileage!$B$5:$B$304,"&lt;="&amp;RepTo))</f>
        <v>0</v>
      </c>
      <c r="AL167" s="28">
        <f>IF(Lists!$Q167="","",Lists!$Q167)</f>
        <v>0</v>
      </c>
      <c r="AM167" s="31">
        <f>IF(AL167="","",COUNTIFS(Bookings!$AV$5:$AV$404,AL167,Bookings!$I$5:$I$404,"&gt;="&amp;RepFrom,Bookings!$I$5:$I$404,"&lt;="&amp;RepTo))</f>
        <v>0</v>
      </c>
      <c r="AN167" s="28">
        <f>IF(Lists!$AF167="","",Lists!$AF167)</f>
        <v>0</v>
      </c>
      <c r="AO167" s="29">
        <f>IF(AN167="","",SUMIFS(Payments!$L$5:$L$304,Payments!$F$5:$F$304,AN167,Payments!$B$5:$B$304,"&gt;="&amp;RepFrom,Payments!$B$5:$B$304,"&lt;="&amp;RepTo))</f>
        <v>0</v>
      </c>
      <c r="AP167" s="28">
        <f>IF(Lists!$E167="","",Lists!$E167)</f>
        <v>0</v>
      </c>
      <c r="AQ167" s="31">
        <f>IF(AP167="","",COUNTIFS(Clients!$K$5:$K$254,AP167))</f>
        <v>0</v>
      </c>
      <c r="AR167" s="29">
        <f>IF(AP167="","",SUMIFS(Clients!$AE$5:$AE$254,Clients!$K$5:$K$254,AP167))</f>
        <v>0</v>
      </c>
    </row>
    <row r="168" spans="1:44">
      <c r="A168" s="28">
        <f>IF(Clients!$B$168="","",Clients!$B$168)</f>
        <v>0</v>
      </c>
      <c r="B168" s="29">
        <f>IF(A168="","",SUMIFS(Payments!$L$5:$L$304,Payments!$C$5:$C$304,A168,Payments!$B$5:$B$304,"&gt;="&amp;PeriodStart,Payments!$B$5:$B$304,"&lt;="&amp;PeriodEnd))</f>
        <v>0</v>
      </c>
      <c r="C168" s="51">
        <f>IF(A168="","",IF(B168&lt;=0,"",B168+ROW()/1000000))</f>
        <v>0</v>
      </c>
      <c r="D168" s="29">
        <f>IF(A168="","",SUMIFS(Payments!$L$5:$L$304,Payments!$C$5:$C$304,A168,Payments!$B$5:$B$304,"&gt;="&amp;RepFrom,Payments!$B$5:$B$304,"&lt;="&amp;RepTo))</f>
        <v>0</v>
      </c>
      <c r="E168" s="51">
        <f>IF(A168="","",IF(D168&lt;=0,"",D168+ROW()/1000000))</f>
        <v>0</v>
      </c>
      <c r="F168" s="29">
        <f>IF(A168="","",SUMIFS(Invoices!$S$5:$S$304,Invoices!$D$5:$D$304,A168,Invoices!$T$5:$T$304,"&lt;&gt;Cancelled"))</f>
        <v>0</v>
      </c>
      <c r="G168" s="51">
        <f>IF(A168="","",IF(F168&lt;=0.004,"",F168+ROW()/1000000))</f>
        <v>0</v>
      </c>
      <c r="H168" s="31">
        <f>IF(A168="","",COUNTIFS(Bookings!$C$5:$C$404,A168,Bookings!$I$5:$I$404,"&gt;="&amp;RepFrom,Bookings!$I$5:$I$404,"&lt;="&amp;RepTo,Bookings!$AM$5:$AM$404,"&lt;&gt;Cancelled"))</f>
        <v>0</v>
      </c>
      <c r="I168" s="28">
        <f>IF(Services!$B$168="","",Services!$B$168)</f>
        <v>0</v>
      </c>
      <c r="J168" s="29">
        <f>IF(I168="","",SUMIFS(Bookings!$AK$5:$AK$404,Bookings!$H$5:$H$404,I168,Bookings!$I$5:$I$404,"&gt;="&amp;PeriodStart,Bookings!$I$5:$I$404,"&lt;="&amp;PeriodEnd,Bookings!$AM$5:$AM$404,"&lt;&gt;Cancelled"))</f>
        <v>0</v>
      </c>
      <c r="K168" s="31">
        <f>IF(I168="","",COUNTIFS(Bookings!$H$5:$H$404,I168,Bookings!$I$5:$I$404,"&gt;="&amp;PeriodStart,Bookings!$I$5:$I$404,"&lt;="&amp;PeriodEnd,Bookings!$AM$5:$AM$404,"&lt;&gt;Cancelled"))</f>
        <v>0</v>
      </c>
      <c r="L168" s="29">
        <f>IF(I168="","",SUMIFS(Bookings!$AK$5:$AK$404,Bookings!$H$5:$H$404,I168,Bookings!$I$5:$I$404,"&gt;="&amp;RepFrom,Bookings!$I$5:$I$404,"&lt;="&amp;RepTo,Bookings!$AM$5:$AM$404,"&lt;&gt;Cancelled"))</f>
        <v>0</v>
      </c>
      <c r="M168" s="31">
        <f>IF(I168="","",COUNTIFS(Bookings!$H$5:$H$404,I168,Bookings!$I$5:$I$404,"&gt;="&amp;RepFrom,Bookings!$I$5:$I$404,"&lt;="&amp;RepTo,Bookings!$AM$5:$AM$404,"&lt;&gt;Cancelled"))</f>
        <v>0</v>
      </c>
      <c r="N168" s="29">
        <f>IF(I168="","",M168*IF(Services!$L$168="",0,Services!$L$168))</f>
        <v>0</v>
      </c>
      <c r="O168" s="29">
        <f>IF(I168="","",L168-N168)</f>
        <v>0</v>
      </c>
      <c r="P168" s="28">
        <f>IF(Lists!$AG168="","",Lists!$AG168)</f>
        <v>0</v>
      </c>
      <c r="Q168" s="29">
        <f>IF(P168="","",SUMIFS(Expenses!$F$5:$F$304,Expenses!$C$5:$C$304,P168,Expenses!$B$5:$B$304,"&gt;="&amp;PeriodStart,Expenses!$B$5:$B$304,"&lt;="&amp;PeriodEnd,Expenses!$J$5:$J$304,"&lt;&gt;Personal"))</f>
        <v>0</v>
      </c>
      <c r="R168" s="29">
        <f>IF(P168="","",SUMIFS(Expenses!$F$5:$F$304,Expenses!$C$5:$C$304,P168,Expenses!$B$5:$B$304,"&gt;="&amp;RepFrom,Expenses!$B$5:$B$304,"&lt;="&amp;RepTo,Expenses!$J$5:$J$304,"&lt;&gt;Personal"))</f>
        <v>0</v>
      </c>
      <c r="S168" s="21">
        <f>IF(ROW()-4&gt;12,"",DATE(Dash_Year,ROW()-4,1))</f>
        <v>0</v>
      </c>
      <c r="T168" s="21">
        <f>IF(S168="","",EOMONTH(S168,0))</f>
        <v>0</v>
      </c>
      <c r="U168" s="28">
        <f>IF(S168="","",TEXT(S168,"mmm"))</f>
        <v>0</v>
      </c>
      <c r="V168" s="29">
        <f>IF(S168="","",SUMIFS(Payments!$L$5:$L$304,Payments!$B$5:$B$304,"&gt;="&amp;S168,Payments!$B$5:$B$304,"&lt;="&amp;T168))</f>
        <v>0</v>
      </c>
      <c r="W168" s="29">
        <f>IF(S168="","",SUMIFS(Invoices!$O$5:$O$304,Invoices!$B$5:$B$304,"&gt;="&amp;S168,Invoices!$B$5:$B$304,"&lt;="&amp;T168,Invoices!$T$5:$T$304,"&lt;&gt;Cancelled"))</f>
        <v>0</v>
      </c>
      <c r="X168" s="29">
        <f>IF(S168="","",SUMIFS(Expenses!$F$5:$F$304,Expenses!$B$5:$B$304,"&gt;="&amp;S168,Expenses!$B$5:$B$304,"&lt;="&amp;T168,Expenses!$J$5:$J$304,"&lt;&gt;Personal"))</f>
        <v>0</v>
      </c>
      <c r="Y168" s="29">
        <f>IF(S168="","",V168-X168)</f>
        <v>0</v>
      </c>
      <c r="Z168" s="31">
        <f>IF(S168="","",COUNTIFS(Bookings!$I$5:$I$404,"&gt;="&amp;S168,Bookings!$I$5:$I$404,"&lt;="&amp;T168,Bookings!$AM$5:$AM$404,"&lt;&gt;Cancelled"))</f>
        <v>0</v>
      </c>
      <c r="AA168" s="31">
        <f>IF(S168="","",COUNTIFS(Bookings!$I$5:$I$404,"&gt;="&amp;S168,Bookings!$I$5:$I$404,"&lt;="&amp;T168,Bookings!$AM$5:$AM$404,"Completed"))</f>
        <v>0</v>
      </c>
      <c r="AB168" s="31">
        <f>IF(S168="","",COUNTIFS(Bookings!$I$5:$I$404,"&gt;="&amp;S168,Bookings!$I$5:$I$404,"&lt;="&amp;T168,Bookings!$AM$5:$AM$404,"Cancelled"))</f>
        <v>0</v>
      </c>
      <c r="AC168" s="31">
        <f>IF(S168="","",COUNTIFS('Visit Log'!$C$5:$C$404,"&gt;="&amp;S168,'Visit Log'!$C$5:$C$404,"&lt;="&amp;T168,'Visit Log'!$AE$5:$AE$404,"Completed"))</f>
        <v>0</v>
      </c>
      <c r="AD168" s="31">
        <f>IF(S168="","",COUNTIFS(Clients!$L$5:$L$254,"&gt;="&amp;S168,Clients!$L$5:$L$254,"&lt;="&amp;T168))</f>
        <v>0</v>
      </c>
      <c r="AE168" s="32">
        <f>IF(S168="","",SUMIFS(Mileage!$M$5:$M$304,Mileage!$B$5:$B$304,"&gt;="&amp;S168,Mileage!$B$5:$B$304,"&lt;="&amp;T168,Mileage!$N$5:$N$304,"Business"))</f>
        <v>0</v>
      </c>
      <c r="AF168" s="29">
        <f>IF(S168="","",SUMIFS(Payments!$L$5:$L$304,Payments!$B$5:$B$304,"&gt;="&amp;DATE(Dash_Year-1,ROW()-4,1),Payments!$B$5:$B$304,"&lt;="&amp;EOMONTH(DATE(Dash_Year-1,ROW()-4,1),0)))</f>
        <v>0</v>
      </c>
      <c r="AG168" s="28">
        <f>IF(Staff!$B$168="","",Staff!$B$168)</f>
        <v>0</v>
      </c>
      <c r="AH168" s="31">
        <f>IF(AG168="","",COUNTIFS('Visit Log'!$G$5:$G$404,AG168,'Visit Log'!$C$5:$C$404,"&gt;="&amp;RepFrom,'Visit Log'!$C$5:$C$404,"&lt;="&amp;RepTo,'Visit Log'!$AE$5:$AE$404,"Completed"))</f>
        <v>0</v>
      </c>
      <c r="AI168" s="51">
        <f>IF(AG168="","",ROUND(SUMIFS('Visit Log'!$K$5:$K$404,'Visit Log'!$G$5:$G$404,AG168,'Visit Log'!$C$5:$C$404,"&gt;="&amp;RepFrom,'Visit Log'!$C$5:$C$404,"&lt;="&amp;RepTo,'Visit Log'!$AE$5:$AE$404,"Completed")/60,2))</f>
        <v>0</v>
      </c>
      <c r="AJ168" s="29">
        <f>IF(AG168="","",SUMIFS(Bookings!$AK$5:$AK$404,Bookings!$AL$5:$AL$404,AG168,Bookings!$I$5:$I$404,"&gt;="&amp;RepFrom,Bookings!$I$5:$I$404,"&lt;="&amp;RepTo,Bookings!$AM$5:$AM$404,"&lt;&gt;Cancelled"))</f>
        <v>0</v>
      </c>
      <c r="AK168" s="32">
        <f>IF(AG168="","",SUMIFS(Mileage!$M$5:$M$304,Mileage!$C$5:$C$304,AG168,Mileage!$B$5:$B$304,"&gt;="&amp;RepFrom,Mileage!$B$5:$B$304,"&lt;="&amp;RepTo))</f>
        <v>0</v>
      </c>
      <c r="AL168" s="28">
        <f>IF(Lists!$Q168="","",Lists!$Q168)</f>
        <v>0</v>
      </c>
      <c r="AM168" s="31">
        <f>IF(AL168="","",COUNTIFS(Bookings!$AV$5:$AV$404,AL168,Bookings!$I$5:$I$404,"&gt;="&amp;RepFrom,Bookings!$I$5:$I$404,"&lt;="&amp;RepTo))</f>
        <v>0</v>
      </c>
      <c r="AN168" s="28">
        <f>IF(Lists!$AF168="","",Lists!$AF168)</f>
        <v>0</v>
      </c>
      <c r="AO168" s="29">
        <f>IF(AN168="","",SUMIFS(Payments!$L$5:$L$304,Payments!$F$5:$F$304,AN168,Payments!$B$5:$B$304,"&gt;="&amp;RepFrom,Payments!$B$5:$B$304,"&lt;="&amp;RepTo))</f>
        <v>0</v>
      </c>
      <c r="AP168" s="28">
        <f>IF(Lists!$E168="","",Lists!$E168)</f>
        <v>0</v>
      </c>
      <c r="AQ168" s="31">
        <f>IF(AP168="","",COUNTIFS(Clients!$K$5:$K$254,AP168))</f>
        <v>0</v>
      </c>
      <c r="AR168" s="29">
        <f>IF(AP168="","",SUMIFS(Clients!$AE$5:$AE$254,Clients!$K$5:$K$254,AP168))</f>
        <v>0</v>
      </c>
    </row>
    <row r="169" spans="1:44">
      <c r="A169" s="28">
        <f>IF(Clients!$B$169="","",Clients!$B$169)</f>
        <v>0</v>
      </c>
      <c r="B169" s="29">
        <f>IF(A169="","",SUMIFS(Payments!$L$5:$L$304,Payments!$C$5:$C$304,A169,Payments!$B$5:$B$304,"&gt;="&amp;PeriodStart,Payments!$B$5:$B$304,"&lt;="&amp;PeriodEnd))</f>
        <v>0</v>
      </c>
      <c r="C169" s="51">
        <f>IF(A169="","",IF(B169&lt;=0,"",B169+ROW()/1000000))</f>
        <v>0</v>
      </c>
      <c r="D169" s="29">
        <f>IF(A169="","",SUMIFS(Payments!$L$5:$L$304,Payments!$C$5:$C$304,A169,Payments!$B$5:$B$304,"&gt;="&amp;RepFrom,Payments!$B$5:$B$304,"&lt;="&amp;RepTo))</f>
        <v>0</v>
      </c>
      <c r="E169" s="51">
        <f>IF(A169="","",IF(D169&lt;=0,"",D169+ROW()/1000000))</f>
        <v>0</v>
      </c>
      <c r="F169" s="29">
        <f>IF(A169="","",SUMIFS(Invoices!$S$5:$S$304,Invoices!$D$5:$D$304,A169,Invoices!$T$5:$T$304,"&lt;&gt;Cancelled"))</f>
        <v>0</v>
      </c>
      <c r="G169" s="51">
        <f>IF(A169="","",IF(F169&lt;=0.004,"",F169+ROW()/1000000))</f>
        <v>0</v>
      </c>
      <c r="H169" s="31">
        <f>IF(A169="","",COUNTIFS(Bookings!$C$5:$C$404,A169,Bookings!$I$5:$I$404,"&gt;="&amp;RepFrom,Bookings!$I$5:$I$404,"&lt;="&amp;RepTo,Bookings!$AM$5:$AM$404,"&lt;&gt;Cancelled"))</f>
        <v>0</v>
      </c>
      <c r="I169" s="28">
        <f>IF(Services!$B$169="","",Services!$B$169)</f>
        <v>0</v>
      </c>
      <c r="J169" s="29">
        <f>IF(I169="","",SUMIFS(Bookings!$AK$5:$AK$404,Bookings!$H$5:$H$404,I169,Bookings!$I$5:$I$404,"&gt;="&amp;PeriodStart,Bookings!$I$5:$I$404,"&lt;="&amp;PeriodEnd,Bookings!$AM$5:$AM$404,"&lt;&gt;Cancelled"))</f>
        <v>0</v>
      </c>
      <c r="K169" s="31">
        <f>IF(I169="","",COUNTIFS(Bookings!$H$5:$H$404,I169,Bookings!$I$5:$I$404,"&gt;="&amp;PeriodStart,Bookings!$I$5:$I$404,"&lt;="&amp;PeriodEnd,Bookings!$AM$5:$AM$404,"&lt;&gt;Cancelled"))</f>
        <v>0</v>
      </c>
      <c r="L169" s="29">
        <f>IF(I169="","",SUMIFS(Bookings!$AK$5:$AK$404,Bookings!$H$5:$H$404,I169,Bookings!$I$5:$I$404,"&gt;="&amp;RepFrom,Bookings!$I$5:$I$404,"&lt;="&amp;RepTo,Bookings!$AM$5:$AM$404,"&lt;&gt;Cancelled"))</f>
        <v>0</v>
      </c>
      <c r="M169" s="31">
        <f>IF(I169="","",COUNTIFS(Bookings!$H$5:$H$404,I169,Bookings!$I$5:$I$404,"&gt;="&amp;RepFrom,Bookings!$I$5:$I$404,"&lt;="&amp;RepTo,Bookings!$AM$5:$AM$404,"&lt;&gt;Cancelled"))</f>
        <v>0</v>
      </c>
      <c r="N169" s="29">
        <f>IF(I169="","",M169*IF(Services!$L$169="",0,Services!$L$169))</f>
        <v>0</v>
      </c>
      <c r="O169" s="29">
        <f>IF(I169="","",L169-N169)</f>
        <v>0</v>
      </c>
      <c r="P169" s="28">
        <f>IF(Lists!$AG169="","",Lists!$AG169)</f>
        <v>0</v>
      </c>
      <c r="Q169" s="29">
        <f>IF(P169="","",SUMIFS(Expenses!$F$5:$F$304,Expenses!$C$5:$C$304,P169,Expenses!$B$5:$B$304,"&gt;="&amp;PeriodStart,Expenses!$B$5:$B$304,"&lt;="&amp;PeriodEnd,Expenses!$J$5:$J$304,"&lt;&gt;Personal"))</f>
        <v>0</v>
      </c>
      <c r="R169" s="29">
        <f>IF(P169="","",SUMIFS(Expenses!$F$5:$F$304,Expenses!$C$5:$C$304,P169,Expenses!$B$5:$B$304,"&gt;="&amp;RepFrom,Expenses!$B$5:$B$304,"&lt;="&amp;RepTo,Expenses!$J$5:$J$304,"&lt;&gt;Personal"))</f>
        <v>0</v>
      </c>
      <c r="S169" s="21">
        <f>IF(ROW()-4&gt;12,"",DATE(Dash_Year,ROW()-4,1))</f>
        <v>0</v>
      </c>
      <c r="T169" s="21">
        <f>IF(S169="","",EOMONTH(S169,0))</f>
        <v>0</v>
      </c>
      <c r="U169" s="28">
        <f>IF(S169="","",TEXT(S169,"mmm"))</f>
        <v>0</v>
      </c>
      <c r="V169" s="29">
        <f>IF(S169="","",SUMIFS(Payments!$L$5:$L$304,Payments!$B$5:$B$304,"&gt;="&amp;S169,Payments!$B$5:$B$304,"&lt;="&amp;T169))</f>
        <v>0</v>
      </c>
      <c r="W169" s="29">
        <f>IF(S169="","",SUMIFS(Invoices!$O$5:$O$304,Invoices!$B$5:$B$304,"&gt;="&amp;S169,Invoices!$B$5:$B$304,"&lt;="&amp;T169,Invoices!$T$5:$T$304,"&lt;&gt;Cancelled"))</f>
        <v>0</v>
      </c>
      <c r="X169" s="29">
        <f>IF(S169="","",SUMIFS(Expenses!$F$5:$F$304,Expenses!$B$5:$B$304,"&gt;="&amp;S169,Expenses!$B$5:$B$304,"&lt;="&amp;T169,Expenses!$J$5:$J$304,"&lt;&gt;Personal"))</f>
        <v>0</v>
      </c>
      <c r="Y169" s="29">
        <f>IF(S169="","",V169-X169)</f>
        <v>0</v>
      </c>
      <c r="Z169" s="31">
        <f>IF(S169="","",COUNTIFS(Bookings!$I$5:$I$404,"&gt;="&amp;S169,Bookings!$I$5:$I$404,"&lt;="&amp;T169,Bookings!$AM$5:$AM$404,"&lt;&gt;Cancelled"))</f>
        <v>0</v>
      </c>
      <c r="AA169" s="31">
        <f>IF(S169="","",COUNTIFS(Bookings!$I$5:$I$404,"&gt;="&amp;S169,Bookings!$I$5:$I$404,"&lt;="&amp;T169,Bookings!$AM$5:$AM$404,"Completed"))</f>
        <v>0</v>
      </c>
      <c r="AB169" s="31">
        <f>IF(S169="","",COUNTIFS(Bookings!$I$5:$I$404,"&gt;="&amp;S169,Bookings!$I$5:$I$404,"&lt;="&amp;T169,Bookings!$AM$5:$AM$404,"Cancelled"))</f>
        <v>0</v>
      </c>
      <c r="AC169" s="31">
        <f>IF(S169="","",COUNTIFS('Visit Log'!$C$5:$C$404,"&gt;="&amp;S169,'Visit Log'!$C$5:$C$404,"&lt;="&amp;T169,'Visit Log'!$AE$5:$AE$404,"Completed"))</f>
        <v>0</v>
      </c>
      <c r="AD169" s="31">
        <f>IF(S169="","",COUNTIFS(Clients!$L$5:$L$254,"&gt;="&amp;S169,Clients!$L$5:$L$254,"&lt;="&amp;T169))</f>
        <v>0</v>
      </c>
      <c r="AE169" s="32">
        <f>IF(S169="","",SUMIFS(Mileage!$M$5:$M$304,Mileage!$B$5:$B$304,"&gt;="&amp;S169,Mileage!$B$5:$B$304,"&lt;="&amp;T169,Mileage!$N$5:$N$304,"Business"))</f>
        <v>0</v>
      </c>
      <c r="AF169" s="29">
        <f>IF(S169="","",SUMIFS(Payments!$L$5:$L$304,Payments!$B$5:$B$304,"&gt;="&amp;DATE(Dash_Year-1,ROW()-4,1),Payments!$B$5:$B$304,"&lt;="&amp;EOMONTH(DATE(Dash_Year-1,ROW()-4,1),0)))</f>
        <v>0</v>
      </c>
      <c r="AG169" s="28">
        <f>IF(Staff!$B$169="","",Staff!$B$169)</f>
        <v>0</v>
      </c>
      <c r="AH169" s="31">
        <f>IF(AG169="","",COUNTIFS('Visit Log'!$G$5:$G$404,AG169,'Visit Log'!$C$5:$C$404,"&gt;="&amp;RepFrom,'Visit Log'!$C$5:$C$404,"&lt;="&amp;RepTo,'Visit Log'!$AE$5:$AE$404,"Completed"))</f>
        <v>0</v>
      </c>
      <c r="AI169" s="51">
        <f>IF(AG169="","",ROUND(SUMIFS('Visit Log'!$K$5:$K$404,'Visit Log'!$G$5:$G$404,AG169,'Visit Log'!$C$5:$C$404,"&gt;="&amp;RepFrom,'Visit Log'!$C$5:$C$404,"&lt;="&amp;RepTo,'Visit Log'!$AE$5:$AE$404,"Completed")/60,2))</f>
        <v>0</v>
      </c>
      <c r="AJ169" s="29">
        <f>IF(AG169="","",SUMIFS(Bookings!$AK$5:$AK$404,Bookings!$AL$5:$AL$404,AG169,Bookings!$I$5:$I$404,"&gt;="&amp;RepFrom,Bookings!$I$5:$I$404,"&lt;="&amp;RepTo,Bookings!$AM$5:$AM$404,"&lt;&gt;Cancelled"))</f>
        <v>0</v>
      </c>
      <c r="AK169" s="32">
        <f>IF(AG169="","",SUMIFS(Mileage!$M$5:$M$304,Mileage!$C$5:$C$304,AG169,Mileage!$B$5:$B$304,"&gt;="&amp;RepFrom,Mileage!$B$5:$B$304,"&lt;="&amp;RepTo))</f>
        <v>0</v>
      </c>
      <c r="AL169" s="28">
        <f>IF(Lists!$Q169="","",Lists!$Q169)</f>
        <v>0</v>
      </c>
      <c r="AM169" s="31">
        <f>IF(AL169="","",COUNTIFS(Bookings!$AV$5:$AV$404,AL169,Bookings!$I$5:$I$404,"&gt;="&amp;RepFrom,Bookings!$I$5:$I$404,"&lt;="&amp;RepTo))</f>
        <v>0</v>
      </c>
      <c r="AN169" s="28">
        <f>IF(Lists!$AF169="","",Lists!$AF169)</f>
        <v>0</v>
      </c>
      <c r="AO169" s="29">
        <f>IF(AN169="","",SUMIFS(Payments!$L$5:$L$304,Payments!$F$5:$F$304,AN169,Payments!$B$5:$B$304,"&gt;="&amp;RepFrom,Payments!$B$5:$B$304,"&lt;="&amp;RepTo))</f>
        <v>0</v>
      </c>
      <c r="AP169" s="28">
        <f>IF(Lists!$E169="","",Lists!$E169)</f>
        <v>0</v>
      </c>
      <c r="AQ169" s="31">
        <f>IF(AP169="","",COUNTIFS(Clients!$K$5:$K$254,AP169))</f>
        <v>0</v>
      </c>
      <c r="AR169" s="29">
        <f>IF(AP169="","",SUMIFS(Clients!$AE$5:$AE$254,Clients!$K$5:$K$254,AP169))</f>
        <v>0</v>
      </c>
    </row>
    <row r="170" spans="1:44">
      <c r="A170" s="28">
        <f>IF(Clients!$B$170="","",Clients!$B$170)</f>
        <v>0</v>
      </c>
      <c r="B170" s="29">
        <f>IF(A170="","",SUMIFS(Payments!$L$5:$L$304,Payments!$C$5:$C$304,A170,Payments!$B$5:$B$304,"&gt;="&amp;PeriodStart,Payments!$B$5:$B$304,"&lt;="&amp;PeriodEnd))</f>
        <v>0</v>
      </c>
      <c r="C170" s="51">
        <f>IF(A170="","",IF(B170&lt;=0,"",B170+ROW()/1000000))</f>
        <v>0</v>
      </c>
      <c r="D170" s="29">
        <f>IF(A170="","",SUMIFS(Payments!$L$5:$L$304,Payments!$C$5:$C$304,A170,Payments!$B$5:$B$304,"&gt;="&amp;RepFrom,Payments!$B$5:$B$304,"&lt;="&amp;RepTo))</f>
        <v>0</v>
      </c>
      <c r="E170" s="51">
        <f>IF(A170="","",IF(D170&lt;=0,"",D170+ROW()/1000000))</f>
        <v>0</v>
      </c>
      <c r="F170" s="29">
        <f>IF(A170="","",SUMIFS(Invoices!$S$5:$S$304,Invoices!$D$5:$D$304,A170,Invoices!$T$5:$T$304,"&lt;&gt;Cancelled"))</f>
        <v>0</v>
      </c>
      <c r="G170" s="51">
        <f>IF(A170="","",IF(F170&lt;=0.004,"",F170+ROW()/1000000))</f>
        <v>0</v>
      </c>
      <c r="H170" s="31">
        <f>IF(A170="","",COUNTIFS(Bookings!$C$5:$C$404,A170,Bookings!$I$5:$I$404,"&gt;="&amp;RepFrom,Bookings!$I$5:$I$404,"&lt;="&amp;RepTo,Bookings!$AM$5:$AM$404,"&lt;&gt;Cancelled"))</f>
        <v>0</v>
      </c>
      <c r="I170" s="28">
        <f>IF(Services!$B$170="","",Services!$B$170)</f>
        <v>0</v>
      </c>
      <c r="J170" s="29">
        <f>IF(I170="","",SUMIFS(Bookings!$AK$5:$AK$404,Bookings!$H$5:$H$404,I170,Bookings!$I$5:$I$404,"&gt;="&amp;PeriodStart,Bookings!$I$5:$I$404,"&lt;="&amp;PeriodEnd,Bookings!$AM$5:$AM$404,"&lt;&gt;Cancelled"))</f>
        <v>0</v>
      </c>
      <c r="K170" s="31">
        <f>IF(I170="","",COUNTIFS(Bookings!$H$5:$H$404,I170,Bookings!$I$5:$I$404,"&gt;="&amp;PeriodStart,Bookings!$I$5:$I$404,"&lt;="&amp;PeriodEnd,Bookings!$AM$5:$AM$404,"&lt;&gt;Cancelled"))</f>
        <v>0</v>
      </c>
      <c r="L170" s="29">
        <f>IF(I170="","",SUMIFS(Bookings!$AK$5:$AK$404,Bookings!$H$5:$H$404,I170,Bookings!$I$5:$I$404,"&gt;="&amp;RepFrom,Bookings!$I$5:$I$404,"&lt;="&amp;RepTo,Bookings!$AM$5:$AM$404,"&lt;&gt;Cancelled"))</f>
        <v>0</v>
      </c>
      <c r="M170" s="31">
        <f>IF(I170="","",COUNTIFS(Bookings!$H$5:$H$404,I170,Bookings!$I$5:$I$404,"&gt;="&amp;RepFrom,Bookings!$I$5:$I$404,"&lt;="&amp;RepTo,Bookings!$AM$5:$AM$404,"&lt;&gt;Cancelled"))</f>
        <v>0</v>
      </c>
      <c r="N170" s="29">
        <f>IF(I170="","",M170*IF(Services!$L$170="",0,Services!$L$170))</f>
        <v>0</v>
      </c>
      <c r="O170" s="29">
        <f>IF(I170="","",L170-N170)</f>
        <v>0</v>
      </c>
      <c r="P170" s="28">
        <f>IF(Lists!$AG170="","",Lists!$AG170)</f>
        <v>0</v>
      </c>
      <c r="Q170" s="29">
        <f>IF(P170="","",SUMIFS(Expenses!$F$5:$F$304,Expenses!$C$5:$C$304,P170,Expenses!$B$5:$B$304,"&gt;="&amp;PeriodStart,Expenses!$B$5:$B$304,"&lt;="&amp;PeriodEnd,Expenses!$J$5:$J$304,"&lt;&gt;Personal"))</f>
        <v>0</v>
      </c>
      <c r="R170" s="29">
        <f>IF(P170="","",SUMIFS(Expenses!$F$5:$F$304,Expenses!$C$5:$C$304,P170,Expenses!$B$5:$B$304,"&gt;="&amp;RepFrom,Expenses!$B$5:$B$304,"&lt;="&amp;RepTo,Expenses!$J$5:$J$304,"&lt;&gt;Personal"))</f>
        <v>0</v>
      </c>
      <c r="S170" s="21">
        <f>IF(ROW()-4&gt;12,"",DATE(Dash_Year,ROW()-4,1))</f>
        <v>0</v>
      </c>
      <c r="T170" s="21">
        <f>IF(S170="","",EOMONTH(S170,0))</f>
        <v>0</v>
      </c>
      <c r="U170" s="28">
        <f>IF(S170="","",TEXT(S170,"mmm"))</f>
        <v>0</v>
      </c>
      <c r="V170" s="29">
        <f>IF(S170="","",SUMIFS(Payments!$L$5:$L$304,Payments!$B$5:$B$304,"&gt;="&amp;S170,Payments!$B$5:$B$304,"&lt;="&amp;T170))</f>
        <v>0</v>
      </c>
      <c r="W170" s="29">
        <f>IF(S170="","",SUMIFS(Invoices!$O$5:$O$304,Invoices!$B$5:$B$304,"&gt;="&amp;S170,Invoices!$B$5:$B$304,"&lt;="&amp;T170,Invoices!$T$5:$T$304,"&lt;&gt;Cancelled"))</f>
        <v>0</v>
      </c>
      <c r="X170" s="29">
        <f>IF(S170="","",SUMIFS(Expenses!$F$5:$F$304,Expenses!$B$5:$B$304,"&gt;="&amp;S170,Expenses!$B$5:$B$304,"&lt;="&amp;T170,Expenses!$J$5:$J$304,"&lt;&gt;Personal"))</f>
        <v>0</v>
      </c>
      <c r="Y170" s="29">
        <f>IF(S170="","",V170-X170)</f>
        <v>0</v>
      </c>
      <c r="Z170" s="31">
        <f>IF(S170="","",COUNTIFS(Bookings!$I$5:$I$404,"&gt;="&amp;S170,Bookings!$I$5:$I$404,"&lt;="&amp;T170,Bookings!$AM$5:$AM$404,"&lt;&gt;Cancelled"))</f>
        <v>0</v>
      </c>
      <c r="AA170" s="31">
        <f>IF(S170="","",COUNTIFS(Bookings!$I$5:$I$404,"&gt;="&amp;S170,Bookings!$I$5:$I$404,"&lt;="&amp;T170,Bookings!$AM$5:$AM$404,"Completed"))</f>
        <v>0</v>
      </c>
      <c r="AB170" s="31">
        <f>IF(S170="","",COUNTIFS(Bookings!$I$5:$I$404,"&gt;="&amp;S170,Bookings!$I$5:$I$404,"&lt;="&amp;T170,Bookings!$AM$5:$AM$404,"Cancelled"))</f>
        <v>0</v>
      </c>
      <c r="AC170" s="31">
        <f>IF(S170="","",COUNTIFS('Visit Log'!$C$5:$C$404,"&gt;="&amp;S170,'Visit Log'!$C$5:$C$404,"&lt;="&amp;T170,'Visit Log'!$AE$5:$AE$404,"Completed"))</f>
        <v>0</v>
      </c>
      <c r="AD170" s="31">
        <f>IF(S170="","",COUNTIFS(Clients!$L$5:$L$254,"&gt;="&amp;S170,Clients!$L$5:$L$254,"&lt;="&amp;T170))</f>
        <v>0</v>
      </c>
      <c r="AE170" s="32">
        <f>IF(S170="","",SUMIFS(Mileage!$M$5:$M$304,Mileage!$B$5:$B$304,"&gt;="&amp;S170,Mileage!$B$5:$B$304,"&lt;="&amp;T170,Mileage!$N$5:$N$304,"Business"))</f>
        <v>0</v>
      </c>
      <c r="AF170" s="29">
        <f>IF(S170="","",SUMIFS(Payments!$L$5:$L$304,Payments!$B$5:$B$304,"&gt;="&amp;DATE(Dash_Year-1,ROW()-4,1),Payments!$B$5:$B$304,"&lt;="&amp;EOMONTH(DATE(Dash_Year-1,ROW()-4,1),0)))</f>
        <v>0</v>
      </c>
      <c r="AG170" s="28">
        <f>IF(Staff!$B$170="","",Staff!$B$170)</f>
        <v>0</v>
      </c>
      <c r="AH170" s="31">
        <f>IF(AG170="","",COUNTIFS('Visit Log'!$G$5:$G$404,AG170,'Visit Log'!$C$5:$C$404,"&gt;="&amp;RepFrom,'Visit Log'!$C$5:$C$404,"&lt;="&amp;RepTo,'Visit Log'!$AE$5:$AE$404,"Completed"))</f>
        <v>0</v>
      </c>
      <c r="AI170" s="51">
        <f>IF(AG170="","",ROUND(SUMIFS('Visit Log'!$K$5:$K$404,'Visit Log'!$G$5:$G$404,AG170,'Visit Log'!$C$5:$C$404,"&gt;="&amp;RepFrom,'Visit Log'!$C$5:$C$404,"&lt;="&amp;RepTo,'Visit Log'!$AE$5:$AE$404,"Completed")/60,2))</f>
        <v>0</v>
      </c>
      <c r="AJ170" s="29">
        <f>IF(AG170="","",SUMIFS(Bookings!$AK$5:$AK$404,Bookings!$AL$5:$AL$404,AG170,Bookings!$I$5:$I$404,"&gt;="&amp;RepFrom,Bookings!$I$5:$I$404,"&lt;="&amp;RepTo,Bookings!$AM$5:$AM$404,"&lt;&gt;Cancelled"))</f>
        <v>0</v>
      </c>
      <c r="AK170" s="32">
        <f>IF(AG170="","",SUMIFS(Mileage!$M$5:$M$304,Mileage!$C$5:$C$304,AG170,Mileage!$B$5:$B$304,"&gt;="&amp;RepFrom,Mileage!$B$5:$B$304,"&lt;="&amp;RepTo))</f>
        <v>0</v>
      </c>
      <c r="AL170" s="28">
        <f>IF(Lists!$Q170="","",Lists!$Q170)</f>
        <v>0</v>
      </c>
      <c r="AM170" s="31">
        <f>IF(AL170="","",COUNTIFS(Bookings!$AV$5:$AV$404,AL170,Bookings!$I$5:$I$404,"&gt;="&amp;RepFrom,Bookings!$I$5:$I$404,"&lt;="&amp;RepTo))</f>
        <v>0</v>
      </c>
      <c r="AN170" s="28">
        <f>IF(Lists!$AF170="","",Lists!$AF170)</f>
        <v>0</v>
      </c>
      <c r="AO170" s="29">
        <f>IF(AN170="","",SUMIFS(Payments!$L$5:$L$304,Payments!$F$5:$F$304,AN170,Payments!$B$5:$B$304,"&gt;="&amp;RepFrom,Payments!$B$5:$B$304,"&lt;="&amp;RepTo))</f>
        <v>0</v>
      </c>
      <c r="AP170" s="28">
        <f>IF(Lists!$E170="","",Lists!$E170)</f>
        <v>0</v>
      </c>
      <c r="AQ170" s="31">
        <f>IF(AP170="","",COUNTIFS(Clients!$K$5:$K$254,AP170))</f>
        <v>0</v>
      </c>
      <c r="AR170" s="29">
        <f>IF(AP170="","",SUMIFS(Clients!$AE$5:$AE$254,Clients!$K$5:$K$254,AP170))</f>
        <v>0</v>
      </c>
    </row>
    <row r="171" spans="1:44">
      <c r="A171" s="28">
        <f>IF(Clients!$B$171="","",Clients!$B$171)</f>
        <v>0</v>
      </c>
      <c r="B171" s="29">
        <f>IF(A171="","",SUMIFS(Payments!$L$5:$L$304,Payments!$C$5:$C$304,A171,Payments!$B$5:$B$304,"&gt;="&amp;PeriodStart,Payments!$B$5:$B$304,"&lt;="&amp;PeriodEnd))</f>
        <v>0</v>
      </c>
      <c r="C171" s="51">
        <f>IF(A171="","",IF(B171&lt;=0,"",B171+ROW()/1000000))</f>
        <v>0</v>
      </c>
      <c r="D171" s="29">
        <f>IF(A171="","",SUMIFS(Payments!$L$5:$L$304,Payments!$C$5:$C$304,A171,Payments!$B$5:$B$304,"&gt;="&amp;RepFrom,Payments!$B$5:$B$304,"&lt;="&amp;RepTo))</f>
        <v>0</v>
      </c>
      <c r="E171" s="51">
        <f>IF(A171="","",IF(D171&lt;=0,"",D171+ROW()/1000000))</f>
        <v>0</v>
      </c>
      <c r="F171" s="29">
        <f>IF(A171="","",SUMIFS(Invoices!$S$5:$S$304,Invoices!$D$5:$D$304,A171,Invoices!$T$5:$T$304,"&lt;&gt;Cancelled"))</f>
        <v>0</v>
      </c>
      <c r="G171" s="51">
        <f>IF(A171="","",IF(F171&lt;=0.004,"",F171+ROW()/1000000))</f>
        <v>0</v>
      </c>
      <c r="H171" s="31">
        <f>IF(A171="","",COUNTIFS(Bookings!$C$5:$C$404,A171,Bookings!$I$5:$I$404,"&gt;="&amp;RepFrom,Bookings!$I$5:$I$404,"&lt;="&amp;RepTo,Bookings!$AM$5:$AM$404,"&lt;&gt;Cancelled"))</f>
        <v>0</v>
      </c>
      <c r="I171" s="28">
        <f>IF(Services!$B$171="","",Services!$B$171)</f>
        <v>0</v>
      </c>
      <c r="J171" s="29">
        <f>IF(I171="","",SUMIFS(Bookings!$AK$5:$AK$404,Bookings!$H$5:$H$404,I171,Bookings!$I$5:$I$404,"&gt;="&amp;PeriodStart,Bookings!$I$5:$I$404,"&lt;="&amp;PeriodEnd,Bookings!$AM$5:$AM$404,"&lt;&gt;Cancelled"))</f>
        <v>0</v>
      </c>
      <c r="K171" s="31">
        <f>IF(I171="","",COUNTIFS(Bookings!$H$5:$H$404,I171,Bookings!$I$5:$I$404,"&gt;="&amp;PeriodStart,Bookings!$I$5:$I$404,"&lt;="&amp;PeriodEnd,Bookings!$AM$5:$AM$404,"&lt;&gt;Cancelled"))</f>
        <v>0</v>
      </c>
      <c r="L171" s="29">
        <f>IF(I171="","",SUMIFS(Bookings!$AK$5:$AK$404,Bookings!$H$5:$H$404,I171,Bookings!$I$5:$I$404,"&gt;="&amp;RepFrom,Bookings!$I$5:$I$404,"&lt;="&amp;RepTo,Bookings!$AM$5:$AM$404,"&lt;&gt;Cancelled"))</f>
        <v>0</v>
      </c>
      <c r="M171" s="31">
        <f>IF(I171="","",COUNTIFS(Bookings!$H$5:$H$404,I171,Bookings!$I$5:$I$404,"&gt;="&amp;RepFrom,Bookings!$I$5:$I$404,"&lt;="&amp;RepTo,Bookings!$AM$5:$AM$404,"&lt;&gt;Cancelled"))</f>
        <v>0</v>
      </c>
      <c r="N171" s="29">
        <f>IF(I171="","",M171*IF(Services!$L$171="",0,Services!$L$171))</f>
        <v>0</v>
      </c>
      <c r="O171" s="29">
        <f>IF(I171="","",L171-N171)</f>
        <v>0</v>
      </c>
      <c r="P171" s="28">
        <f>IF(Lists!$AG171="","",Lists!$AG171)</f>
        <v>0</v>
      </c>
      <c r="Q171" s="29">
        <f>IF(P171="","",SUMIFS(Expenses!$F$5:$F$304,Expenses!$C$5:$C$304,P171,Expenses!$B$5:$B$304,"&gt;="&amp;PeriodStart,Expenses!$B$5:$B$304,"&lt;="&amp;PeriodEnd,Expenses!$J$5:$J$304,"&lt;&gt;Personal"))</f>
        <v>0</v>
      </c>
      <c r="R171" s="29">
        <f>IF(P171="","",SUMIFS(Expenses!$F$5:$F$304,Expenses!$C$5:$C$304,P171,Expenses!$B$5:$B$304,"&gt;="&amp;RepFrom,Expenses!$B$5:$B$304,"&lt;="&amp;RepTo,Expenses!$J$5:$J$304,"&lt;&gt;Personal"))</f>
        <v>0</v>
      </c>
      <c r="S171" s="21">
        <f>IF(ROW()-4&gt;12,"",DATE(Dash_Year,ROW()-4,1))</f>
        <v>0</v>
      </c>
      <c r="T171" s="21">
        <f>IF(S171="","",EOMONTH(S171,0))</f>
        <v>0</v>
      </c>
      <c r="U171" s="28">
        <f>IF(S171="","",TEXT(S171,"mmm"))</f>
        <v>0</v>
      </c>
      <c r="V171" s="29">
        <f>IF(S171="","",SUMIFS(Payments!$L$5:$L$304,Payments!$B$5:$B$304,"&gt;="&amp;S171,Payments!$B$5:$B$304,"&lt;="&amp;T171))</f>
        <v>0</v>
      </c>
      <c r="W171" s="29">
        <f>IF(S171="","",SUMIFS(Invoices!$O$5:$O$304,Invoices!$B$5:$B$304,"&gt;="&amp;S171,Invoices!$B$5:$B$304,"&lt;="&amp;T171,Invoices!$T$5:$T$304,"&lt;&gt;Cancelled"))</f>
        <v>0</v>
      </c>
      <c r="X171" s="29">
        <f>IF(S171="","",SUMIFS(Expenses!$F$5:$F$304,Expenses!$B$5:$B$304,"&gt;="&amp;S171,Expenses!$B$5:$B$304,"&lt;="&amp;T171,Expenses!$J$5:$J$304,"&lt;&gt;Personal"))</f>
        <v>0</v>
      </c>
      <c r="Y171" s="29">
        <f>IF(S171="","",V171-X171)</f>
        <v>0</v>
      </c>
      <c r="Z171" s="31">
        <f>IF(S171="","",COUNTIFS(Bookings!$I$5:$I$404,"&gt;="&amp;S171,Bookings!$I$5:$I$404,"&lt;="&amp;T171,Bookings!$AM$5:$AM$404,"&lt;&gt;Cancelled"))</f>
        <v>0</v>
      </c>
      <c r="AA171" s="31">
        <f>IF(S171="","",COUNTIFS(Bookings!$I$5:$I$404,"&gt;="&amp;S171,Bookings!$I$5:$I$404,"&lt;="&amp;T171,Bookings!$AM$5:$AM$404,"Completed"))</f>
        <v>0</v>
      </c>
      <c r="AB171" s="31">
        <f>IF(S171="","",COUNTIFS(Bookings!$I$5:$I$404,"&gt;="&amp;S171,Bookings!$I$5:$I$404,"&lt;="&amp;T171,Bookings!$AM$5:$AM$404,"Cancelled"))</f>
        <v>0</v>
      </c>
      <c r="AC171" s="31">
        <f>IF(S171="","",COUNTIFS('Visit Log'!$C$5:$C$404,"&gt;="&amp;S171,'Visit Log'!$C$5:$C$404,"&lt;="&amp;T171,'Visit Log'!$AE$5:$AE$404,"Completed"))</f>
        <v>0</v>
      </c>
      <c r="AD171" s="31">
        <f>IF(S171="","",COUNTIFS(Clients!$L$5:$L$254,"&gt;="&amp;S171,Clients!$L$5:$L$254,"&lt;="&amp;T171))</f>
        <v>0</v>
      </c>
      <c r="AE171" s="32">
        <f>IF(S171="","",SUMIFS(Mileage!$M$5:$M$304,Mileage!$B$5:$B$304,"&gt;="&amp;S171,Mileage!$B$5:$B$304,"&lt;="&amp;T171,Mileage!$N$5:$N$304,"Business"))</f>
        <v>0</v>
      </c>
      <c r="AF171" s="29">
        <f>IF(S171="","",SUMIFS(Payments!$L$5:$L$304,Payments!$B$5:$B$304,"&gt;="&amp;DATE(Dash_Year-1,ROW()-4,1),Payments!$B$5:$B$304,"&lt;="&amp;EOMONTH(DATE(Dash_Year-1,ROW()-4,1),0)))</f>
        <v>0</v>
      </c>
      <c r="AG171" s="28">
        <f>IF(Staff!$B$171="","",Staff!$B$171)</f>
        <v>0</v>
      </c>
      <c r="AH171" s="31">
        <f>IF(AG171="","",COUNTIFS('Visit Log'!$G$5:$G$404,AG171,'Visit Log'!$C$5:$C$404,"&gt;="&amp;RepFrom,'Visit Log'!$C$5:$C$404,"&lt;="&amp;RepTo,'Visit Log'!$AE$5:$AE$404,"Completed"))</f>
        <v>0</v>
      </c>
      <c r="AI171" s="51">
        <f>IF(AG171="","",ROUND(SUMIFS('Visit Log'!$K$5:$K$404,'Visit Log'!$G$5:$G$404,AG171,'Visit Log'!$C$5:$C$404,"&gt;="&amp;RepFrom,'Visit Log'!$C$5:$C$404,"&lt;="&amp;RepTo,'Visit Log'!$AE$5:$AE$404,"Completed")/60,2))</f>
        <v>0</v>
      </c>
      <c r="AJ171" s="29">
        <f>IF(AG171="","",SUMIFS(Bookings!$AK$5:$AK$404,Bookings!$AL$5:$AL$404,AG171,Bookings!$I$5:$I$404,"&gt;="&amp;RepFrom,Bookings!$I$5:$I$404,"&lt;="&amp;RepTo,Bookings!$AM$5:$AM$404,"&lt;&gt;Cancelled"))</f>
        <v>0</v>
      </c>
      <c r="AK171" s="32">
        <f>IF(AG171="","",SUMIFS(Mileage!$M$5:$M$304,Mileage!$C$5:$C$304,AG171,Mileage!$B$5:$B$304,"&gt;="&amp;RepFrom,Mileage!$B$5:$B$304,"&lt;="&amp;RepTo))</f>
        <v>0</v>
      </c>
      <c r="AL171" s="28">
        <f>IF(Lists!$Q171="","",Lists!$Q171)</f>
        <v>0</v>
      </c>
      <c r="AM171" s="31">
        <f>IF(AL171="","",COUNTIFS(Bookings!$AV$5:$AV$404,AL171,Bookings!$I$5:$I$404,"&gt;="&amp;RepFrom,Bookings!$I$5:$I$404,"&lt;="&amp;RepTo))</f>
        <v>0</v>
      </c>
      <c r="AN171" s="28">
        <f>IF(Lists!$AF171="","",Lists!$AF171)</f>
        <v>0</v>
      </c>
      <c r="AO171" s="29">
        <f>IF(AN171="","",SUMIFS(Payments!$L$5:$L$304,Payments!$F$5:$F$304,AN171,Payments!$B$5:$B$304,"&gt;="&amp;RepFrom,Payments!$B$5:$B$304,"&lt;="&amp;RepTo))</f>
        <v>0</v>
      </c>
      <c r="AP171" s="28">
        <f>IF(Lists!$E171="","",Lists!$E171)</f>
        <v>0</v>
      </c>
      <c r="AQ171" s="31">
        <f>IF(AP171="","",COUNTIFS(Clients!$K$5:$K$254,AP171))</f>
        <v>0</v>
      </c>
      <c r="AR171" s="29">
        <f>IF(AP171="","",SUMIFS(Clients!$AE$5:$AE$254,Clients!$K$5:$K$254,AP171))</f>
        <v>0</v>
      </c>
    </row>
    <row r="172" spans="1:44">
      <c r="A172" s="28">
        <f>IF(Clients!$B$172="","",Clients!$B$172)</f>
        <v>0</v>
      </c>
      <c r="B172" s="29">
        <f>IF(A172="","",SUMIFS(Payments!$L$5:$L$304,Payments!$C$5:$C$304,A172,Payments!$B$5:$B$304,"&gt;="&amp;PeriodStart,Payments!$B$5:$B$304,"&lt;="&amp;PeriodEnd))</f>
        <v>0</v>
      </c>
      <c r="C172" s="51">
        <f>IF(A172="","",IF(B172&lt;=0,"",B172+ROW()/1000000))</f>
        <v>0</v>
      </c>
      <c r="D172" s="29">
        <f>IF(A172="","",SUMIFS(Payments!$L$5:$L$304,Payments!$C$5:$C$304,A172,Payments!$B$5:$B$304,"&gt;="&amp;RepFrom,Payments!$B$5:$B$304,"&lt;="&amp;RepTo))</f>
        <v>0</v>
      </c>
      <c r="E172" s="51">
        <f>IF(A172="","",IF(D172&lt;=0,"",D172+ROW()/1000000))</f>
        <v>0</v>
      </c>
      <c r="F172" s="29">
        <f>IF(A172="","",SUMIFS(Invoices!$S$5:$S$304,Invoices!$D$5:$D$304,A172,Invoices!$T$5:$T$304,"&lt;&gt;Cancelled"))</f>
        <v>0</v>
      </c>
      <c r="G172" s="51">
        <f>IF(A172="","",IF(F172&lt;=0.004,"",F172+ROW()/1000000))</f>
        <v>0</v>
      </c>
      <c r="H172" s="31">
        <f>IF(A172="","",COUNTIFS(Bookings!$C$5:$C$404,A172,Bookings!$I$5:$I$404,"&gt;="&amp;RepFrom,Bookings!$I$5:$I$404,"&lt;="&amp;RepTo,Bookings!$AM$5:$AM$404,"&lt;&gt;Cancelled"))</f>
        <v>0</v>
      </c>
      <c r="I172" s="28">
        <f>IF(Services!$B$172="","",Services!$B$172)</f>
        <v>0</v>
      </c>
      <c r="J172" s="29">
        <f>IF(I172="","",SUMIFS(Bookings!$AK$5:$AK$404,Bookings!$H$5:$H$404,I172,Bookings!$I$5:$I$404,"&gt;="&amp;PeriodStart,Bookings!$I$5:$I$404,"&lt;="&amp;PeriodEnd,Bookings!$AM$5:$AM$404,"&lt;&gt;Cancelled"))</f>
        <v>0</v>
      </c>
      <c r="K172" s="31">
        <f>IF(I172="","",COUNTIFS(Bookings!$H$5:$H$404,I172,Bookings!$I$5:$I$404,"&gt;="&amp;PeriodStart,Bookings!$I$5:$I$404,"&lt;="&amp;PeriodEnd,Bookings!$AM$5:$AM$404,"&lt;&gt;Cancelled"))</f>
        <v>0</v>
      </c>
      <c r="L172" s="29">
        <f>IF(I172="","",SUMIFS(Bookings!$AK$5:$AK$404,Bookings!$H$5:$H$404,I172,Bookings!$I$5:$I$404,"&gt;="&amp;RepFrom,Bookings!$I$5:$I$404,"&lt;="&amp;RepTo,Bookings!$AM$5:$AM$404,"&lt;&gt;Cancelled"))</f>
        <v>0</v>
      </c>
      <c r="M172" s="31">
        <f>IF(I172="","",COUNTIFS(Bookings!$H$5:$H$404,I172,Bookings!$I$5:$I$404,"&gt;="&amp;RepFrom,Bookings!$I$5:$I$404,"&lt;="&amp;RepTo,Bookings!$AM$5:$AM$404,"&lt;&gt;Cancelled"))</f>
        <v>0</v>
      </c>
      <c r="N172" s="29">
        <f>IF(I172="","",M172*IF(Services!$L$172="",0,Services!$L$172))</f>
        <v>0</v>
      </c>
      <c r="O172" s="29">
        <f>IF(I172="","",L172-N172)</f>
        <v>0</v>
      </c>
      <c r="P172" s="28">
        <f>IF(Lists!$AG172="","",Lists!$AG172)</f>
        <v>0</v>
      </c>
      <c r="Q172" s="29">
        <f>IF(P172="","",SUMIFS(Expenses!$F$5:$F$304,Expenses!$C$5:$C$304,P172,Expenses!$B$5:$B$304,"&gt;="&amp;PeriodStart,Expenses!$B$5:$B$304,"&lt;="&amp;PeriodEnd,Expenses!$J$5:$J$304,"&lt;&gt;Personal"))</f>
        <v>0</v>
      </c>
      <c r="R172" s="29">
        <f>IF(P172="","",SUMIFS(Expenses!$F$5:$F$304,Expenses!$C$5:$C$304,P172,Expenses!$B$5:$B$304,"&gt;="&amp;RepFrom,Expenses!$B$5:$B$304,"&lt;="&amp;RepTo,Expenses!$J$5:$J$304,"&lt;&gt;Personal"))</f>
        <v>0</v>
      </c>
      <c r="S172" s="21">
        <f>IF(ROW()-4&gt;12,"",DATE(Dash_Year,ROW()-4,1))</f>
        <v>0</v>
      </c>
      <c r="T172" s="21">
        <f>IF(S172="","",EOMONTH(S172,0))</f>
        <v>0</v>
      </c>
      <c r="U172" s="28">
        <f>IF(S172="","",TEXT(S172,"mmm"))</f>
        <v>0</v>
      </c>
      <c r="V172" s="29">
        <f>IF(S172="","",SUMIFS(Payments!$L$5:$L$304,Payments!$B$5:$B$304,"&gt;="&amp;S172,Payments!$B$5:$B$304,"&lt;="&amp;T172))</f>
        <v>0</v>
      </c>
      <c r="W172" s="29">
        <f>IF(S172="","",SUMIFS(Invoices!$O$5:$O$304,Invoices!$B$5:$B$304,"&gt;="&amp;S172,Invoices!$B$5:$B$304,"&lt;="&amp;T172,Invoices!$T$5:$T$304,"&lt;&gt;Cancelled"))</f>
        <v>0</v>
      </c>
      <c r="X172" s="29">
        <f>IF(S172="","",SUMIFS(Expenses!$F$5:$F$304,Expenses!$B$5:$B$304,"&gt;="&amp;S172,Expenses!$B$5:$B$304,"&lt;="&amp;T172,Expenses!$J$5:$J$304,"&lt;&gt;Personal"))</f>
        <v>0</v>
      </c>
      <c r="Y172" s="29">
        <f>IF(S172="","",V172-X172)</f>
        <v>0</v>
      </c>
      <c r="Z172" s="31">
        <f>IF(S172="","",COUNTIFS(Bookings!$I$5:$I$404,"&gt;="&amp;S172,Bookings!$I$5:$I$404,"&lt;="&amp;T172,Bookings!$AM$5:$AM$404,"&lt;&gt;Cancelled"))</f>
        <v>0</v>
      </c>
      <c r="AA172" s="31">
        <f>IF(S172="","",COUNTIFS(Bookings!$I$5:$I$404,"&gt;="&amp;S172,Bookings!$I$5:$I$404,"&lt;="&amp;T172,Bookings!$AM$5:$AM$404,"Completed"))</f>
        <v>0</v>
      </c>
      <c r="AB172" s="31">
        <f>IF(S172="","",COUNTIFS(Bookings!$I$5:$I$404,"&gt;="&amp;S172,Bookings!$I$5:$I$404,"&lt;="&amp;T172,Bookings!$AM$5:$AM$404,"Cancelled"))</f>
        <v>0</v>
      </c>
      <c r="AC172" s="31">
        <f>IF(S172="","",COUNTIFS('Visit Log'!$C$5:$C$404,"&gt;="&amp;S172,'Visit Log'!$C$5:$C$404,"&lt;="&amp;T172,'Visit Log'!$AE$5:$AE$404,"Completed"))</f>
        <v>0</v>
      </c>
      <c r="AD172" s="31">
        <f>IF(S172="","",COUNTIFS(Clients!$L$5:$L$254,"&gt;="&amp;S172,Clients!$L$5:$L$254,"&lt;="&amp;T172))</f>
        <v>0</v>
      </c>
      <c r="AE172" s="32">
        <f>IF(S172="","",SUMIFS(Mileage!$M$5:$M$304,Mileage!$B$5:$B$304,"&gt;="&amp;S172,Mileage!$B$5:$B$304,"&lt;="&amp;T172,Mileage!$N$5:$N$304,"Business"))</f>
        <v>0</v>
      </c>
      <c r="AF172" s="29">
        <f>IF(S172="","",SUMIFS(Payments!$L$5:$L$304,Payments!$B$5:$B$304,"&gt;="&amp;DATE(Dash_Year-1,ROW()-4,1),Payments!$B$5:$B$304,"&lt;="&amp;EOMONTH(DATE(Dash_Year-1,ROW()-4,1),0)))</f>
        <v>0</v>
      </c>
      <c r="AG172" s="28">
        <f>IF(Staff!$B$172="","",Staff!$B$172)</f>
        <v>0</v>
      </c>
      <c r="AH172" s="31">
        <f>IF(AG172="","",COUNTIFS('Visit Log'!$G$5:$G$404,AG172,'Visit Log'!$C$5:$C$404,"&gt;="&amp;RepFrom,'Visit Log'!$C$5:$C$404,"&lt;="&amp;RepTo,'Visit Log'!$AE$5:$AE$404,"Completed"))</f>
        <v>0</v>
      </c>
      <c r="AI172" s="51">
        <f>IF(AG172="","",ROUND(SUMIFS('Visit Log'!$K$5:$K$404,'Visit Log'!$G$5:$G$404,AG172,'Visit Log'!$C$5:$C$404,"&gt;="&amp;RepFrom,'Visit Log'!$C$5:$C$404,"&lt;="&amp;RepTo,'Visit Log'!$AE$5:$AE$404,"Completed")/60,2))</f>
        <v>0</v>
      </c>
      <c r="AJ172" s="29">
        <f>IF(AG172="","",SUMIFS(Bookings!$AK$5:$AK$404,Bookings!$AL$5:$AL$404,AG172,Bookings!$I$5:$I$404,"&gt;="&amp;RepFrom,Bookings!$I$5:$I$404,"&lt;="&amp;RepTo,Bookings!$AM$5:$AM$404,"&lt;&gt;Cancelled"))</f>
        <v>0</v>
      </c>
      <c r="AK172" s="32">
        <f>IF(AG172="","",SUMIFS(Mileage!$M$5:$M$304,Mileage!$C$5:$C$304,AG172,Mileage!$B$5:$B$304,"&gt;="&amp;RepFrom,Mileage!$B$5:$B$304,"&lt;="&amp;RepTo))</f>
        <v>0</v>
      </c>
      <c r="AL172" s="28">
        <f>IF(Lists!$Q172="","",Lists!$Q172)</f>
        <v>0</v>
      </c>
      <c r="AM172" s="31">
        <f>IF(AL172="","",COUNTIFS(Bookings!$AV$5:$AV$404,AL172,Bookings!$I$5:$I$404,"&gt;="&amp;RepFrom,Bookings!$I$5:$I$404,"&lt;="&amp;RepTo))</f>
        <v>0</v>
      </c>
      <c r="AN172" s="28">
        <f>IF(Lists!$AF172="","",Lists!$AF172)</f>
        <v>0</v>
      </c>
      <c r="AO172" s="29">
        <f>IF(AN172="","",SUMIFS(Payments!$L$5:$L$304,Payments!$F$5:$F$304,AN172,Payments!$B$5:$B$304,"&gt;="&amp;RepFrom,Payments!$B$5:$B$304,"&lt;="&amp;RepTo))</f>
        <v>0</v>
      </c>
      <c r="AP172" s="28">
        <f>IF(Lists!$E172="","",Lists!$E172)</f>
        <v>0</v>
      </c>
      <c r="AQ172" s="31">
        <f>IF(AP172="","",COUNTIFS(Clients!$K$5:$K$254,AP172))</f>
        <v>0</v>
      </c>
      <c r="AR172" s="29">
        <f>IF(AP172="","",SUMIFS(Clients!$AE$5:$AE$254,Clients!$K$5:$K$254,AP172))</f>
        <v>0</v>
      </c>
    </row>
    <row r="173" spans="1:44">
      <c r="A173" s="28">
        <f>IF(Clients!$B$173="","",Clients!$B$173)</f>
        <v>0</v>
      </c>
      <c r="B173" s="29">
        <f>IF(A173="","",SUMIFS(Payments!$L$5:$L$304,Payments!$C$5:$C$304,A173,Payments!$B$5:$B$304,"&gt;="&amp;PeriodStart,Payments!$B$5:$B$304,"&lt;="&amp;PeriodEnd))</f>
        <v>0</v>
      </c>
      <c r="C173" s="51">
        <f>IF(A173="","",IF(B173&lt;=0,"",B173+ROW()/1000000))</f>
        <v>0</v>
      </c>
      <c r="D173" s="29">
        <f>IF(A173="","",SUMIFS(Payments!$L$5:$L$304,Payments!$C$5:$C$304,A173,Payments!$B$5:$B$304,"&gt;="&amp;RepFrom,Payments!$B$5:$B$304,"&lt;="&amp;RepTo))</f>
        <v>0</v>
      </c>
      <c r="E173" s="51">
        <f>IF(A173="","",IF(D173&lt;=0,"",D173+ROW()/1000000))</f>
        <v>0</v>
      </c>
      <c r="F173" s="29">
        <f>IF(A173="","",SUMIFS(Invoices!$S$5:$S$304,Invoices!$D$5:$D$304,A173,Invoices!$T$5:$T$304,"&lt;&gt;Cancelled"))</f>
        <v>0</v>
      </c>
      <c r="G173" s="51">
        <f>IF(A173="","",IF(F173&lt;=0.004,"",F173+ROW()/1000000))</f>
        <v>0</v>
      </c>
      <c r="H173" s="31">
        <f>IF(A173="","",COUNTIFS(Bookings!$C$5:$C$404,A173,Bookings!$I$5:$I$404,"&gt;="&amp;RepFrom,Bookings!$I$5:$I$404,"&lt;="&amp;RepTo,Bookings!$AM$5:$AM$404,"&lt;&gt;Cancelled"))</f>
        <v>0</v>
      </c>
      <c r="I173" s="28">
        <f>IF(Services!$B$173="","",Services!$B$173)</f>
        <v>0</v>
      </c>
      <c r="J173" s="29">
        <f>IF(I173="","",SUMIFS(Bookings!$AK$5:$AK$404,Bookings!$H$5:$H$404,I173,Bookings!$I$5:$I$404,"&gt;="&amp;PeriodStart,Bookings!$I$5:$I$404,"&lt;="&amp;PeriodEnd,Bookings!$AM$5:$AM$404,"&lt;&gt;Cancelled"))</f>
        <v>0</v>
      </c>
      <c r="K173" s="31">
        <f>IF(I173="","",COUNTIFS(Bookings!$H$5:$H$404,I173,Bookings!$I$5:$I$404,"&gt;="&amp;PeriodStart,Bookings!$I$5:$I$404,"&lt;="&amp;PeriodEnd,Bookings!$AM$5:$AM$404,"&lt;&gt;Cancelled"))</f>
        <v>0</v>
      </c>
      <c r="L173" s="29">
        <f>IF(I173="","",SUMIFS(Bookings!$AK$5:$AK$404,Bookings!$H$5:$H$404,I173,Bookings!$I$5:$I$404,"&gt;="&amp;RepFrom,Bookings!$I$5:$I$404,"&lt;="&amp;RepTo,Bookings!$AM$5:$AM$404,"&lt;&gt;Cancelled"))</f>
        <v>0</v>
      </c>
      <c r="M173" s="31">
        <f>IF(I173="","",COUNTIFS(Bookings!$H$5:$H$404,I173,Bookings!$I$5:$I$404,"&gt;="&amp;RepFrom,Bookings!$I$5:$I$404,"&lt;="&amp;RepTo,Bookings!$AM$5:$AM$404,"&lt;&gt;Cancelled"))</f>
        <v>0</v>
      </c>
      <c r="N173" s="29">
        <f>IF(I173="","",M173*IF(Services!$L$173="",0,Services!$L$173))</f>
        <v>0</v>
      </c>
      <c r="O173" s="29">
        <f>IF(I173="","",L173-N173)</f>
        <v>0</v>
      </c>
      <c r="P173" s="28">
        <f>IF(Lists!$AG173="","",Lists!$AG173)</f>
        <v>0</v>
      </c>
      <c r="Q173" s="29">
        <f>IF(P173="","",SUMIFS(Expenses!$F$5:$F$304,Expenses!$C$5:$C$304,P173,Expenses!$B$5:$B$304,"&gt;="&amp;PeriodStart,Expenses!$B$5:$B$304,"&lt;="&amp;PeriodEnd,Expenses!$J$5:$J$304,"&lt;&gt;Personal"))</f>
        <v>0</v>
      </c>
      <c r="R173" s="29">
        <f>IF(P173="","",SUMIFS(Expenses!$F$5:$F$304,Expenses!$C$5:$C$304,P173,Expenses!$B$5:$B$304,"&gt;="&amp;RepFrom,Expenses!$B$5:$B$304,"&lt;="&amp;RepTo,Expenses!$J$5:$J$304,"&lt;&gt;Personal"))</f>
        <v>0</v>
      </c>
      <c r="S173" s="21">
        <f>IF(ROW()-4&gt;12,"",DATE(Dash_Year,ROW()-4,1))</f>
        <v>0</v>
      </c>
      <c r="T173" s="21">
        <f>IF(S173="","",EOMONTH(S173,0))</f>
        <v>0</v>
      </c>
      <c r="U173" s="28">
        <f>IF(S173="","",TEXT(S173,"mmm"))</f>
        <v>0</v>
      </c>
      <c r="V173" s="29">
        <f>IF(S173="","",SUMIFS(Payments!$L$5:$L$304,Payments!$B$5:$B$304,"&gt;="&amp;S173,Payments!$B$5:$B$304,"&lt;="&amp;T173))</f>
        <v>0</v>
      </c>
      <c r="W173" s="29">
        <f>IF(S173="","",SUMIFS(Invoices!$O$5:$O$304,Invoices!$B$5:$B$304,"&gt;="&amp;S173,Invoices!$B$5:$B$304,"&lt;="&amp;T173,Invoices!$T$5:$T$304,"&lt;&gt;Cancelled"))</f>
        <v>0</v>
      </c>
      <c r="X173" s="29">
        <f>IF(S173="","",SUMIFS(Expenses!$F$5:$F$304,Expenses!$B$5:$B$304,"&gt;="&amp;S173,Expenses!$B$5:$B$304,"&lt;="&amp;T173,Expenses!$J$5:$J$304,"&lt;&gt;Personal"))</f>
        <v>0</v>
      </c>
      <c r="Y173" s="29">
        <f>IF(S173="","",V173-X173)</f>
        <v>0</v>
      </c>
      <c r="Z173" s="31">
        <f>IF(S173="","",COUNTIFS(Bookings!$I$5:$I$404,"&gt;="&amp;S173,Bookings!$I$5:$I$404,"&lt;="&amp;T173,Bookings!$AM$5:$AM$404,"&lt;&gt;Cancelled"))</f>
        <v>0</v>
      </c>
      <c r="AA173" s="31">
        <f>IF(S173="","",COUNTIFS(Bookings!$I$5:$I$404,"&gt;="&amp;S173,Bookings!$I$5:$I$404,"&lt;="&amp;T173,Bookings!$AM$5:$AM$404,"Completed"))</f>
        <v>0</v>
      </c>
      <c r="AB173" s="31">
        <f>IF(S173="","",COUNTIFS(Bookings!$I$5:$I$404,"&gt;="&amp;S173,Bookings!$I$5:$I$404,"&lt;="&amp;T173,Bookings!$AM$5:$AM$404,"Cancelled"))</f>
        <v>0</v>
      </c>
      <c r="AC173" s="31">
        <f>IF(S173="","",COUNTIFS('Visit Log'!$C$5:$C$404,"&gt;="&amp;S173,'Visit Log'!$C$5:$C$404,"&lt;="&amp;T173,'Visit Log'!$AE$5:$AE$404,"Completed"))</f>
        <v>0</v>
      </c>
      <c r="AD173" s="31">
        <f>IF(S173="","",COUNTIFS(Clients!$L$5:$L$254,"&gt;="&amp;S173,Clients!$L$5:$L$254,"&lt;="&amp;T173))</f>
        <v>0</v>
      </c>
      <c r="AE173" s="32">
        <f>IF(S173="","",SUMIFS(Mileage!$M$5:$M$304,Mileage!$B$5:$B$304,"&gt;="&amp;S173,Mileage!$B$5:$B$304,"&lt;="&amp;T173,Mileage!$N$5:$N$304,"Business"))</f>
        <v>0</v>
      </c>
      <c r="AF173" s="29">
        <f>IF(S173="","",SUMIFS(Payments!$L$5:$L$304,Payments!$B$5:$B$304,"&gt;="&amp;DATE(Dash_Year-1,ROW()-4,1),Payments!$B$5:$B$304,"&lt;="&amp;EOMONTH(DATE(Dash_Year-1,ROW()-4,1),0)))</f>
        <v>0</v>
      </c>
      <c r="AG173" s="28">
        <f>IF(Staff!$B$173="","",Staff!$B$173)</f>
        <v>0</v>
      </c>
      <c r="AH173" s="31">
        <f>IF(AG173="","",COUNTIFS('Visit Log'!$G$5:$G$404,AG173,'Visit Log'!$C$5:$C$404,"&gt;="&amp;RepFrom,'Visit Log'!$C$5:$C$404,"&lt;="&amp;RepTo,'Visit Log'!$AE$5:$AE$404,"Completed"))</f>
        <v>0</v>
      </c>
      <c r="AI173" s="51">
        <f>IF(AG173="","",ROUND(SUMIFS('Visit Log'!$K$5:$K$404,'Visit Log'!$G$5:$G$404,AG173,'Visit Log'!$C$5:$C$404,"&gt;="&amp;RepFrom,'Visit Log'!$C$5:$C$404,"&lt;="&amp;RepTo,'Visit Log'!$AE$5:$AE$404,"Completed")/60,2))</f>
        <v>0</v>
      </c>
      <c r="AJ173" s="29">
        <f>IF(AG173="","",SUMIFS(Bookings!$AK$5:$AK$404,Bookings!$AL$5:$AL$404,AG173,Bookings!$I$5:$I$404,"&gt;="&amp;RepFrom,Bookings!$I$5:$I$404,"&lt;="&amp;RepTo,Bookings!$AM$5:$AM$404,"&lt;&gt;Cancelled"))</f>
        <v>0</v>
      </c>
      <c r="AK173" s="32">
        <f>IF(AG173="","",SUMIFS(Mileage!$M$5:$M$304,Mileage!$C$5:$C$304,AG173,Mileage!$B$5:$B$304,"&gt;="&amp;RepFrom,Mileage!$B$5:$B$304,"&lt;="&amp;RepTo))</f>
        <v>0</v>
      </c>
      <c r="AL173" s="28">
        <f>IF(Lists!$Q173="","",Lists!$Q173)</f>
        <v>0</v>
      </c>
      <c r="AM173" s="31">
        <f>IF(AL173="","",COUNTIFS(Bookings!$AV$5:$AV$404,AL173,Bookings!$I$5:$I$404,"&gt;="&amp;RepFrom,Bookings!$I$5:$I$404,"&lt;="&amp;RepTo))</f>
        <v>0</v>
      </c>
      <c r="AN173" s="28">
        <f>IF(Lists!$AF173="","",Lists!$AF173)</f>
        <v>0</v>
      </c>
      <c r="AO173" s="29">
        <f>IF(AN173="","",SUMIFS(Payments!$L$5:$L$304,Payments!$F$5:$F$304,AN173,Payments!$B$5:$B$304,"&gt;="&amp;RepFrom,Payments!$B$5:$B$304,"&lt;="&amp;RepTo))</f>
        <v>0</v>
      </c>
      <c r="AP173" s="28">
        <f>IF(Lists!$E173="","",Lists!$E173)</f>
        <v>0</v>
      </c>
      <c r="AQ173" s="31">
        <f>IF(AP173="","",COUNTIFS(Clients!$K$5:$K$254,AP173))</f>
        <v>0</v>
      </c>
      <c r="AR173" s="29">
        <f>IF(AP173="","",SUMIFS(Clients!$AE$5:$AE$254,Clients!$K$5:$K$254,AP173))</f>
        <v>0</v>
      </c>
    </row>
    <row r="174" spans="1:44">
      <c r="A174" s="28">
        <f>IF(Clients!$B$174="","",Clients!$B$174)</f>
        <v>0</v>
      </c>
      <c r="B174" s="29">
        <f>IF(A174="","",SUMIFS(Payments!$L$5:$L$304,Payments!$C$5:$C$304,A174,Payments!$B$5:$B$304,"&gt;="&amp;PeriodStart,Payments!$B$5:$B$304,"&lt;="&amp;PeriodEnd))</f>
        <v>0</v>
      </c>
      <c r="C174" s="51">
        <f>IF(A174="","",IF(B174&lt;=0,"",B174+ROW()/1000000))</f>
        <v>0</v>
      </c>
      <c r="D174" s="29">
        <f>IF(A174="","",SUMIFS(Payments!$L$5:$L$304,Payments!$C$5:$C$304,A174,Payments!$B$5:$B$304,"&gt;="&amp;RepFrom,Payments!$B$5:$B$304,"&lt;="&amp;RepTo))</f>
        <v>0</v>
      </c>
      <c r="E174" s="51">
        <f>IF(A174="","",IF(D174&lt;=0,"",D174+ROW()/1000000))</f>
        <v>0</v>
      </c>
      <c r="F174" s="29">
        <f>IF(A174="","",SUMIFS(Invoices!$S$5:$S$304,Invoices!$D$5:$D$304,A174,Invoices!$T$5:$T$304,"&lt;&gt;Cancelled"))</f>
        <v>0</v>
      </c>
      <c r="G174" s="51">
        <f>IF(A174="","",IF(F174&lt;=0.004,"",F174+ROW()/1000000))</f>
        <v>0</v>
      </c>
      <c r="H174" s="31">
        <f>IF(A174="","",COUNTIFS(Bookings!$C$5:$C$404,A174,Bookings!$I$5:$I$404,"&gt;="&amp;RepFrom,Bookings!$I$5:$I$404,"&lt;="&amp;RepTo,Bookings!$AM$5:$AM$404,"&lt;&gt;Cancelled"))</f>
        <v>0</v>
      </c>
      <c r="I174" s="28">
        <f>IF(Services!$B$174="","",Services!$B$174)</f>
        <v>0</v>
      </c>
      <c r="J174" s="29">
        <f>IF(I174="","",SUMIFS(Bookings!$AK$5:$AK$404,Bookings!$H$5:$H$404,I174,Bookings!$I$5:$I$404,"&gt;="&amp;PeriodStart,Bookings!$I$5:$I$404,"&lt;="&amp;PeriodEnd,Bookings!$AM$5:$AM$404,"&lt;&gt;Cancelled"))</f>
        <v>0</v>
      </c>
      <c r="K174" s="31">
        <f>IF(I174="","",COUNTIFS(Bookings!$H$5:$H$404,I174,Bookings!$I$5:$I$404,"&gt;="&amp;PeriodStart,Bookings!$I$5:$I$404,"&lt;="&amp;PeriodEnd,Bookings!$AM$5:$AM$404,"&lt;&gt;Cancelled"))</f>
        <v>0</v>
      </c>
      <c r="L174" s="29">
        <f>IF(I174="","",SUMIFS(Bookings!$AK$5:$AK$404,Bookings!$H$5:$H$404,I174,Bookings!$I$5:$I$404,"&gt;="&amp;RepFrom,Bookings!$I$5:$I$404,"&lt;="&amp;RepTo,Bookings!$AM$5:$AM$404,"&lt;&gt;Cancelled"))</f>
        <v>0</v>
      </c>
      <c r="M174" s="31">
        <f>IF(I174="","",COUNTIFS(Bookings!$H$5:$H$404,I174,Bookings!$I$5:$I$404,"&gt;="&amp;RepFrom,Bookings!$I$5:$I$404,"&lt;="&amp;RepTo,Bookings!$AM$5:$AM$404,"&lt;&gt;Cancelled"))</f>
        <v>0</v>
      </c>
      <c r="N174" s="29">
        <f>IF(I174="","",M174*IF(Services!$L$174="",0,Services!$L$174))</f>
        <v>0</v>
      </c>
      <c r="O174" s="29">
        <f>IF(I174="","",L174-N174)</f>
        <v>0</v>
      </c>
      <c r="P174" s="28">
        <f>IF(Lists!$AG174="","",Lists!$AG174)</f>
        <v>0</v>
      </c>
      <c r="Q174" s="29">
        <f>IF(P174="","",SUMIFS(Expenses!$F$5:$F$304,Expenses!$C$5:$C$304,P174,Expenses!$B$5:$B$304,"&gt;="&amp;PeriodStart,Expenses!$B$5:$B$304,"&lt;="&amp;PeriodEnd,Expenses!$J$5:$J$304,"&lt;&gt;Personal"))</f>
        <v>0</v>
      </c>
      <c r="R174" s="29">
        <f>IF(P174="","",SUMIFS(Expenses!$F$5:$F$304,Expenses!$C$5:$C$304,P174,Expenses!$B$5:$B$304,"&gt;="&amp;RepFrom,Expenses!$B$5:$B$304,"&lt;="&amp;RepTo,Expenses!$J$5:$J$304,"&lt;&gt;Personal"))</f>
        <v>0</v>
      </c>
      <c r="S174" s="21">
        <f>IF(ROW()-4&gt;12,"",DATE(Dash_Year,ROW()-4,1))</f>
        <v>0</v>
      </c>
      <c r="T174" s="21">
        <f>IF(S174="","",EOMONTH(S174,0))</f>
        <v>0</v>
      </c>
      <c r="U174" s="28">
        <f>IF(S174="","",TEXT(S174,"mmm"))</f>
        <v>0</v>
      </c>
      <c r="V174" s="29">
        <f>IF(S174="","",SUMIFS(Payments!$L$5:$L$304,Payments!$B$5:$B$304,"&gt;="&amp;S174,Payments!$B$5:$B$304,"&lt;="&amp;T174))</f>
        <v>0</v>
      </c>
      <c r="W174" s="29">
        <f>IF(S174="","",SUMIFS(Invoices!$O$5:$O$304,Invoices!$B$5:$B$304,"&gt;="&amp;S174,Invoices!$B$5:$B$304,"&lt;="&amp;T174,Invoices!$T$5:$T$304,"&lt;&gt;Cancelled"))</f>
        <v>0</v>
      </c>
      <c r="X174" s="29">
        <f>IF(S174="","",SUMIFS(Expenses!$F$5:$F$304,Expenses!$B$5:$B$304,"&gt;="&amp;S174,Expenses!$B$5:$B$304,"&lt;="&amp;T174,Expenses!$J$5:$J$304,"&lt;&gt;Personal"))</f>
        <v>0</v>
      </c>
      <c r="Y174" s="29">
        <f>IF(S174="","",V174-X174)</f>
        <v>0</v>
      </c>
      <c r="Z174" s="31">
        <f>IF(S174="","",COUNTIFS(Bookings!$I$5:$I$404,"&gt;="&amp;S174,Bookings!$I$5:$I$404,"&lt;="&amp;T174,Bookings!$AM$5:$AM$404,"&lt;&gt;Cancelled"))</f>
        <v>0</v>
      </c>
      <c r="AA174" s="31">
        <f>IF(S174="","",COUNTIFS(Bookings!$I$5:$I$404,"&gt;="&amp;S174,Bookings!$I$5:$I$404,"&lt;="&amp;T174,Bookings!$AM$5:$AM$404,"Completed"))</f>
        <v>0</v>
      </c>
      <c r="AB174" s="31">
        <f>IF(S174="","",COUNTIFS(Bookings!$I$5:$I$404,"&gt;="&amp;S174,Bookings!$I$5:$I$404,"&lt;="&amp;T174,Bookings!$AM$5:$AM$404,"Cancelled"))</f>
        <v>0</v>
      </c>
      <c r="AC174" s="31">
        <f>IF(S174="","",COUNTIFS('Visit Log'!$C$5:$C$404,"&gt;="&amp;S174,'Visit Log'!$C$5:$C$404,"&lt;="&amp;T174,'Visit Log'!$AE$5:$AE$404,"Completed"))</f>
        <v>0</v>
      </c>
      <c r="AD174" s="31">
        <f>IF(S174="","",COUNTIFS(Clients!$L$5:$L$254,"&gt;="&amp;S174,Clients!$L$5:$L$254,"&lt;="&amp;T174))</f>
        <v>0</v>
      </c>
      <c r="AE174" s="32">
        <f>IF(S174="","",SUMIFS(Mileage!$M$5:$M$304,Mileage!$B$5:$B$304,"&gt;="&amp;S174,Mileage!$B$5:$B$304,"&lt;="&amp;T174,Mileage!$N$5:$N$304,"Business"))</f>
        <v>0</v>
      </c>
      <c r="AF174" s="29">
        <f>IF(S174="","",SUMIFS(Payments!$L$5:$L$304,Payments!$B$5:$B$304,"&gt;="&amp;DATE(Dash_Year-1,ROW()-4,1),Payments!$B$5:$B$304,"&lt;="&amp;EOMONTH(DATE(Dash_Year-1,ROW()-4,1),0)))</f>
        <v>0</v>
      </c>
      <c r="AG174" s="28">
        <f>IF(Staff!$B$174="","",Staff!$B$174)</f>
        <v>0</v>
      </c>
      <c r="AH174" s="31">
        <f>IF(AG174="","",COUNTIFS('Visit Log'!$G$5:$G$404,AG174,'Visit Log'!$C$5:$C$404,"&gt;="&amp;RepFrom,'Visit Log'!$C$5:$C$404,"&lt;="&amp;RepTo,'Visit Log'!$AE$5:$AE$404,"Completed"))</f>
        <v>0</v>
      </c>
      <c r="AI174" s="51">
        <f>IF(AG174="","",ROUND(SUMIFS('Visit Log'!$K$5:$K$404,'Visit Log'!$G$5:$G$404,AG174,'Visit Log'!$C$5:$C$404,"&gt;="&amp;RepFrom,'Visit Log'!$C$5:$C$404,"&lt;="&amp;RepTo,'Visit Log'!$AE$5:$AE$404,"Completed")/60,2))</f>
        <v>0</v>
      </c>
      <c r="AJ174" s="29">
        <f>IF(AG174="","",SUMIFS(Bookings!$AK$5:$AK$404,Bookings!$AL$5:$AL$404,AG174,Bookings!$I$5:$I$404,"&gt;="&amp;RepFrom,Bookings!$I$5:$I$404,"&lt;="&amp;RepTo,Bookings!$AM$5:$AM$404,"&lt;&gt;Cancelled"))</f>
        <v>0</v>
      </c>
      <c r="AK174" s="32">
        <f>IF(AG174="","",SUMIFS(Mileage!$M$5:$M$304,Mileage!$C$5:$C$304,AG174,Mileage!$B$5:$B$304,"&gt;="&amp;RepFrom,Mileage!$B$5:$B$304,"&lt;="&amp;RepTo))</f>
        <v>0</v>
      </c>
      <c r="AL174" s="28">
        <f>IF(Lists!$Q174="","",Lists!$Q174)</f>
        <v>0</v>
      </c>
      <c r="AM174" s="31">
        <f>IF(AL174="","",COUNTIFS(Bookings!$AV$5:$AV$404,AL174,Bookings!$I$5:$I$404,"&gt;="&amp;RepFrom,Bookings!$I$5:$I$404,"&lt;="&amp;RepTo))</f>
        <v>0</v>
      </c>
      <c r="AN174" s="28">
        <f>IF(Lists!$AF174="","",Lists!$AF174)</f>
        <v>0</v>
      </c>
      <c r="AO174" s="29">
        <f>IF(AN174="","",SUMIFS(Payments!$L$5:$L$304,Payments!$F$5:$F$304,AN174,Payments!$B$5:$B$304,"&gt;="&amp;RepFrom,Payments!$B$5:$B$304,"&lt;="&amp;RepTo))</f>
        <v>0</v>
      </c>
      <c r="AP174" s="28">
        <f>IF(Lists!$E174="","",Lists!$E174)</f>
        <v>0</v>
      </c>
      <c r="AQ174" s="31">
        <f>IF(AP174="","",COUNTIFS(Clients!$K$5:$K$254,AP174))</f>
        <v>0</v>
      </c>
      <c r="AR174" s="29">
        <f>IF(AP174="","",SUMIFS(Clients!$AE$5:$AE$254,Clients!$K$5:$K$254,AP174))</f>
        <v>0</v>
      </c>
    </row>
    <row r="175" spans="1:44">
      <c r="A175" s="28">
        <f>IF(Clients!$B$175="","",Clients!$B$175)</f>
        <v>0</v>
      </c>
      <c r="B175" s="29">
        <f>IF(A175="","",SUMIFS(Payments!$L$5:$L$304,Payments!$C$5:$C$304,A175,Payments!$B$5:$B$304,"&gt;="&amp;PeriodStart,Payments!$B$5:$B$304,"&lt;="&amp;PeriodEnd))</f>
        <v>0</v>
      </c>
      <c r="C175" s="51">
        <f>IF(A175="","",IF(B175&lt;=0,"",B175+ROW()/1000000))</f>
        <v>0</v>
      </c>
      <c r="D175" s="29">
        <f>IF(A175="","",SUMIFS(Payments!$L$5:$L$304,Payments!$C$5:$C$304,A175,Payments!$B$5:$B$304,"&gt;="&amp;RepFrom,Payments!$B$5:$B$304,"&lt;="&amp;RepTo))</f>
        <v>0</v>
      </c>
      <c r="E175" s="51">
        <f>IF(A175="","",IF(D175&lt;=0,"",D175+ROW()/1000000))</f>
        <v>0</v>
      </c>
      <c r="F175" s="29">
        <f>IF(A175="","",SUMIFS(Invoices!$S$5:$S$304,Invoices!$D$5:$D$304,A175,Invoices!$T$5:$T$304,"&lt;&gt;Cancelled"))</f>
        <v>0</v>
      </c>
      <c r="G175" s="51">
        <f>IF(A175="","",IF(F175&lt;=0.004,"",F175+ROW()/1000000))</f>
        <v>0</v>
      </c>
      <c r="H175" s="31">
        <f>IF(A175="","",COUNTIFS(Bookings!$C$5:$C$404,A175,Bookings!$I$5:$I$404,"&gt;="&amp;RepFrom,Bookings!$I$5:$I$404,"&lt;="&amp;RepTo,Bookings!$AM$5:$AM$404,"&lt;&gt;Cancelled"))</f>
        <v>0</v>
      </c>
      <c r="I175" s="28">
        <f>IF(Services!$B$175="","",Services!$B$175)</f>
        <v>0</v>
      </c>
      <c r="J175" s="29">
        <f>IF(I175="","",SUMIFS(Bookings!$AK$5:$AK$404,Bookings!$H$5:$H$404,I175,Bookings!$I$5:$I$404,"&gt;="&amp;PeriodStart,Bookings!$I$5:$I$404,"&lt;="&amp;PeriodEnd,Bookings!$AM$5:$AM$404,"&lt;&gt;Cancelled"))</f>
        <v>0</v>
      </c>
      <c r="K175" s="31">
        <f>IF(I175="","",COUNTIFS(Bookings!$H$5:$H$404,I175,Bookings!$I$5:$I$404,"&gt;="&amp;PeriodStart,Bookings!$I$5:$I$404,"&lt;="&amp;PeriodEnd,Bookings!$AM$5:$AM$404,"&lt;&gt;Cancelled"))</f>
        <v>0</v>
      </c>
      <c r="L175" s="29">
        <f>IF(I175="","",SUMIFS(Bookings!$AK$5:$AK$404,Bookings!$H$5:$H$404,I175,Bookings!$I$5:$I$404,"&gt;="&amp;RepFrom,Bookings!$I$5:$I$404,"&lt;="&amp;RepTo,Bookings!$AM$5:$AM$404,"&lt;&gt;Cancelled"))</f>
        <v>0</v>
      </c>
      <c r="M175" s="31">
        <f>IF(I175="","",COUNTIFS(Bookings!$H$5:$H$404,I175,Bookings!$I$5:$I$404,"&gt;="&amp;RepFrom,Bookings!$I$5:$I$404,"&lt;="&amp;RepTo,Bookings!$AM$5:$AM$404,"&lt;&gt;Cancelled"))</f>
        <v>0</v>
      </c>
      <c r="N175" s="29">
        <f>IF(I175="","",M175*IF(Services!$L$175="",0,Services!$L$175))</f>
        <v>0</v>
      </c>
      <c r="O175" s="29">
        <f>IF(I175="","",L175-N175)</f>
        <v>0</v>
      </c>
      <c r="P175" s="28">
        <f>IF(Lists!$AG175="","",Lists!$AG175)</f>
        <v>0</v>
      </c>
      <c r="Q175" s="29">
        <f>IF(P175="","",SUMIFS(Expenses!$F$5:$F$304,Expenses!$C$5:$C$304,P175,Expenses!$B$5:$B$304,"&gt;="&amp;PeriodStart,Expenses!$B$5:$B$304,"&lt;="&amp;PeriodEnd,Expenses!$J$5:$J$304,"&lt;&gt;Personal"))</f>
        <v>0</v>
      </c>
      <c r="R175" s="29">
        <f>IF(P175="","",SUMIFS(Expenses!$F$5:$F$304,Expenses!$C$5:$C$304,P175,Expenses!$B$5:$B$304,"&gt;="&amp;RepFrom,Expenses!$B$5:$B$304,"&lt;="&amp;RepTo,Expenses!$J$5:$J$304,"&lt;&gt;Personal"))</f>
        <v>0</v>
      </c>
      <c r="S175" s="21">
        <f>IF(ROW()-4&gt;12,"",DATE(Dash_Year,ROW()-4,1))</f>
        <v>0</v>
      </c>
      <c r="T175" s="21">
        <f>IF(S175="","",EOMONTH(S175,0))</f>
        <v>0</v>
      </c>
      <c r="U175" s="28">
        <f>IF(S175="","",TEXT(S175,"mmm"))</f>
        <v>0</v>
      </c>
      <c r="V175" s="29">
        <f>IF(S175="","",SUMIFS(Payments!$L$5:$L$304,Payments!$B$5:$B$304,"&gt;="&amp;S175,Payments!$B$5:$B$304,"&lt;="&amp;T175))</f>
        <v>0</v>
      </c>
      <c r="W175" s="29">
        <f>IF(S175="","",SUMIFS(Invoices!$O$5:$O$304,Invoices!$B$5:$B$304,"&gt;="&amp;S175,Invoices!$B$5:$B$304,"&lt;="&amp;T175,Invoices!$T$5:$T$304,"&lt;&gt;Cancelled"))</f>
        <v>0</v>
      </c>
      <c r="X175" s="29">
        <f>IF(S175="","",SUMIFS(Expenses!$F$5:$F$304,Expenses!$B$5:$B$304,"&gt;="&amp;S175,Expenses!$B$5:$B$304,"&lt;="&amp;T175,Expenses!$J$5:$J$304,"&lt;&gt;Personal"))</f>
        <v>0</v>
      </c>
      <c r="Y175" s="29">
        <f>IF(S175="","",V175-X175)</f>
        <v>0</v>
      </c>
      <c r="Z175" s="31">
        <f>IF(S175="","",COUNTIFS(Bookings!$I$5:$I$404,"&gt;="&amp;S175,Bookings!$I$5:$I$404,"&lt;="&amp;T175,Bookings!$AM$5:$AM$404,"&lt;&gt;Cancelled"))</f>
        <v>0</v>
      </c>
      <c r="AA175" s="31">
        <f>IF(S175="","",COUNTIFS(Bookings!$I$5:$I$404,"&gt;="&amp;S175,Bookings!$I$5:$I$404,"&lt;="&amp;T175,Bookings!$AM$5:$AM$404,"Completed"))</f>
        <v>0</v>
      </c>
      <c r="AB175" s="31">
        <f>IF(S175="","",COUNTIFS(Bookings!$I$5:$I$404,"&gt;="&amp;S175,Bookings!$I$5:$I$404,"&lt;="&amp;T175,Bookings!$AM$5:$AM$404,"Cancelled"))</f>
        <v>0</v>
      </c>
      <c r="AC175" s="31">
        <f>IF(S175="","",COUNTIFS('Visit Log'!$C$5:$C$404,"&gt;="&amp;S175,'Visit Log'!$C$5:$C$404,"&lt;="&amp;T175,'Visit Log'!$AE$5:$AE$404,"Completed"))</f>
        <v>0</v>
      </c>
      <c r="AD175" s="31">
        <f>IF(S175="","",COUNTIFS(Clients!$L$5:$L$254,"&gt;="&amp;S175,Clients!$L$5:$L$254,"&lt;="&amp;T175))</f>
        <v>0</v>
      </c>
      <c r="AE175" s="32">
        <f>IF(S175="","",SUMIFS(Mileage!$M$5:$M$304,Mileage!$B$5:$B$304,"&gt;="&amp;S175,Mileage!$B$5:$B$304,"&lt;="&amp;T175,Mileage!$N$5:$N$304,"Business"))</f>
        <v>0</v>
      </c>
      <c r="AF175" s="29">
        <f>IF(S175="","",SUMIFS(Payments!$L$5:$L$304,Payments!$B$5:$B$304,"&gt;="&amp;DATE(Dash_Year-1,ROW()-4,1),Payments!$B$5:$B$304,"&lt;="&amp;EOMONTH(DATE(Dash_Year-1,ROW()-4,1),0)))</f>
        <v>0</v>
      </c>
      <c r="AG175" s="28">
        <f>IF(Staff!$B$175="","",Staff!$B$175)</f>
        <v>0</v>
      </c>
      <c r="AH175" s="31">
        <f>IF(AG175="","",COUNTIFS('Visit Log'!$G$5:$G$404,AG175,'Visit Log'!$C$5:$C$404,"&gt;="&amp;RepFrom,'Visit Log'!$C$5:$C$404,"&lt;="&amp;RepTo,'Visit Log'!$AE$5:$AE$404,"Completed"))</f>
        <v>0</v>
      </c>
      <c r="AI175" s="51">
        <f>IF(AG175="","",ROUND(SUMIFS('Visit Log'!$K$5:$K$404,'Visit Log'!$G$5:$G$404,AG175,'Visit Log'!$C$5:$C$404,"&gt;="&amp;RepFrom,'Visit Log'!$C$5:$C$404,"&lt;="&amp;RepTo,'Visit Log'!$AE$5:$AE$404,"Completed")/60,2))</f>
        <v>0</v>
      </c>
      <c r="AJ175" s="29">
        <f>IF(AG175="","",SUMIFS(Bookings!$AK$5:$AK$404,Bookings!$AL$5:$AL$404,AG175,Bookings!$I$5:$I$404,"&gt;="&amp;RepFrom,Bookings!$I$5:$I$404,"&lt;="&amp;RepTo,Bookings!$AM$5:$AM$404,"&lt;&gt;Cancelled"))</f>
        <v>0</v>
      </c>
      <c r="AK175" s="32">
        <f>IF(AG175="","",SUMIFS(Mileage!$M$5:$M$304,Mileage!$C$5:$C$304,AG175,Mileage!$B$5:$B$304,"&gt;="&amp;RepFrom,Mileage!$B$5:$B$304,"&lt;="&amp;RepTo))</f>
        <v>0</v>
      </c>
      <c r="AL175" s="28">
        <f>IF(Lists!$Q175="","",Lists!$Q175)</f>
        <v>0</v>
      </c>
      <c r="AM175" s="31">
        <f>IF(AL175="","",COUNTIFS(Bookings!$AV$5:$AV$404,AL175,Bookings!$I$5:$I$404,"&gt;="&amp;RepFrom,Bookings!$I$5:$I$404,"&lt;="&amp;RepTo))</f>
        <v>0</v>
      </c>
      <c r="AN175" s="28">
        <f>IF(Lists!$AF175="","",Lists!$AF175)</f>
        <v>0</v>
      </c>
      <c r="AO175" s="29">
        <f>IF(AN175="","",SUMIFS(Payments!$L$5:$L$304,Payments!$F$5:$F$304,AN175,Payments!$B$5:$B$304,"&gt;="&amp;RepFrom,Payments!$B$5:$B$304,"&lt;="&amp;RepTo))</f>
        <v>0</v>
      </c>
      <c r="AP175" s="28">
        <f>IF(Lists!$E175="","",Lists!$E175)</f>
        <v>0</v>
      </c>
      <c r="AQ175" s="31">
        <f>IF(AP175="","",COUNTIFS(Clients!$K$5:$K$254,AP175))</f>
        <v>0</v>
      </c>
      <c r="AR175" s="29">
        <f>IF(AP175="","",SUMIFS(Clients!$AE$5:$AE$254,Clients!$K$5:$K$254,AP175))</f>
        <v>0</v>
      </c>
    </row>
    <row r="176" spans="1:44">
      <c r="A176" s="28">
        <f>IF(Clients!$B$176="","",Clients!$B$176)</f>
        <v>0</v>
      </c>
      <c r="B176" s="29">
        <f>IF(A176="","",SUMIFS(Payments!$L$5:$L$304,Payments!$C$5:$C$304,A176,Payments!$B$5:$B$304,"&gt;="&amp;PeriodStart,Payments!$B$5:$B$304,"&lt;="&amp;PeriodEnd))</f>
        <v>0</v>
      </c>
      <c r="C176" s="51">
        <f>IF(A176="","",IF(B176&lt;=0,"",B176+ROW()/1000000))</f>
        <v>0</v>
      </c>
      <c r="D176" s="29">
        <f>IF(A176="","",SUMIFS(Payments!$L$5:$L$304,Payments!$C$5:$C$304,A176,Payments!$B$5:$B$304,"&gt;="&amp;RepFrom,Payments!$B$5:$B$304,"&lt;="&amp;RepTo))</f>
        <v>0</v>
      </c>
      <c r="E176" s="51">
        <f>IF(A176="","",IF(D176&lt;=0,"",D176+ROW()/1000000))</f>
        <v>0</v>
      </c>
      <c r="F176" s="29">
        <f>IF(A176="","",SUMIFS(Invoices!$S$5:$S$304,Invoices!$D$5:$D$304,A176,Invoices!$T$5:$T$304,"&lt;&gt;Cancelled"))</f>
        <v>0</v>
      </c>
      <c r="G176" s="51">
        <f>IF(A176="","",IF(F176&lt;=0.004,"",F176+ROW()/1000000))</f>
        <v>0</v>
      </c>
      <c r="H176" s="31">
        <f>IF(A176="","",COUNTIFS(Bookings!$C$5:$C$404,A176,Bookings!$I$5:$I$404,"&gt;="&amp;RepFrom,Bookings!$I$5:$I$404,"&lt;="&amp;RepTo,Bookings!$AM$5:$AM$404,"&lt;&gt;Cancelled"))</f>
        <v>0</v>
      </c>
      <c r="I176" s="28">
        <f>IF(Services!$B$176="","",Services!$B$176)</f>
        <v>0</v>
      </c>
      <c r="J176" s="29">
        <f>IF(I176="","",SUMIFS(Bookings!$AK$5:$AK$404,Bookings!$H$5:$H$404,I176,Bookings!$I$5:$I$404,"&gt;="&amp;PeriodStart,Bookings!$I$5:$I$404,"&lt;="&amp;PeriodEnd,Bookings!$AM$5:$AM$404,"&lt;&gt;Cancelled"))</f>
        <v>0</v>
      </c>
      <c r="K176" s="31">
        <f>IF(I176="","",COUNTIFS(Bookings!$H$5:$H$404,I176,Bookings!$I$5:$I$404,"&gt;="&amp;PeriodStart,Bookings!$I$5:$I$404,"&lt;="&amp;PeriodEnd,Bookings!$AM$5:$AM$404,"&lt;&gt;Cancelled"))</f>
        <v>0</v>
      </c>
      <c r="L176" s="29">
        <f>IF(I176="","",SUMIFS(Bookings!$AK$5:$AK$404,Bookings!$H$5:$H$404,I176,Bookings!$I$5:$I$404,"&gt;="&amp;RepFrom,Bookings!$I$5:$I$404,"&lt;="&amp;RepTo,Bookings!$AM$5:$AM$404,"&lt;&gt;Cancelled"))</f>
        <v>0</v>
      </c>
      <c r="M176" s="31">
        <f>IF(I176="","",COUNTIFS(Bookings!$H$5:$H$404,I176,Bookings!$I$5:$I$404,"&gt;="&amp;RepFrom,Bookings!$I$5:$I$404,"&lt;="&amp;RepTo,Bookings!$AM$5:$AM$404,"&lt;&gt;Cancelled"))</f>
        <v>0</v>
      </c>
      <c r="N176" s="29">
        <f>IF(I176="","",M176*IF(Services!$L$176="",0,Services!$L$176))</f>
        <v>0</v>
      </c>
      <c r="O176" s="29">
        <f>IF(I176="","",L176-N176)</f>
        <v>0</v>
      </c>
      <c r="P176" s="28">
        <f>IF(Lists!$AG176="","",Lists!$AG176)</f>
        <v>0</v>
      </c>
      <c r="Q176" s="29">
        <f>IF(P176="","",SUMIFS(Expenses!$F$5:$F$304,Expenses!$C$5:$C$304,P176,Expenses!$B$5:$B$304,"&gt;="&amp;PeriodStart,Expenses!$B$5:$B$304,"&lt;="&amp;PeriodEnd,Expenses!$J$5:$J$304,"&lt;&gt;Personal"))</f>
        <v>0</v>
      </c>
      <c r="R176" s="29">
        <f>IF(P176="","",SUMIFS(Expenses!$F$5:$F$304,Expenses!$C$5:$C$304,P176,Expenses!$B$5:$B$304,"&gt;="&amp;RepFrom,Expenses!$B$5:$B$304,"&lt;="&amp;RepTo,Expenses!$J$5:$J$304,"&lt;&gt;Personal"))</f>
        <v>0</v>
      </c>
      <c r="S176" s="21">
        <f>IF(ROW()-4&gt;12,"",DATE(Dash_Year,ROW()-4,1))</f>
        <v>0</v>
      </c>
      <c r="T176" s="21">
        <f>IF(S176="","",EOMONTH(S176,0))</f>
        <v>0</v>
      </c>
      <c r="U176" s="28">
        <f>IF(S176="","",TEXT(S176,"mmm"))</f>
        <v>0</v>
      </c>
      <c r="V176" s="29">
        <f>IF(S176="","",SUMIFS(Payments!$L$5:$L$304,Payments!$B$5:$B$304,"&gt;="&amp;S176,Payments!$B$5:$B$304,"&lt;="&amp;T176))</f>
        <v>0</v>
      </c>
      <c r="W176" s="29">
        <f>IF(S176="","",SUMIFS(Invoices!$O$5:$O$304,Invoices!$B$5:$B$304,"&gt;="&amp;S176,Invoices!$B$5:$B$304,"&lt;="&amp;T176,Invoices!$T$5:$T$304,"&lt;&gt;Cancelled"))</f>
        <v>0</v>
      </c>
      <c r="X176" s="29">
        <f>IF(S176="","",SUMIFS(Expenses!$F$5:$F$304,Expenses!$B$5:$B$304,"&gt;="&amp;S176,Expenses!$B$5:$B$304,"&lt;="&amp;T176,Expenses!$J$5:$J$304,"&lt;&gt;Personal"))</f>
        <v>0</v>
      </c>
      <c r="Y176" s="29">
        <f>IF(S176="","",V176-X176)</f>
        <v>0</v>
      </c>
      <c r="Z176" s="31">
        <f>IF(S176="","",COUNTIFS(Bookings!$I$5:$I$404,"&gt;="&amp;S176,Bookings!$I$5:$I$404,"&lt;="&amp;T176,Bookings!$AM$5:$AM$404,"&lt;&gt;Cancelled"))</f>
        <v>0</v>
      </c>
      <c r="AA176" s="31">
        <f>IF(S176="","",COUNTIFS(Bookings!$I$5:$I$404,"&gt;="&amp;S176,Bookings!$I$5:$I$404,"&lt;="&amp;T176,Bookings!$AM$5:$AM$404,"Completed"))</f>
        <v>0</v>
      </c>
      <c r="AB176" s="31">
        <f>IF(S176="","",COUNTIFS(Bookings!$I$5:$I$404,"&gt;="&amp;S176,Bookings!$I$5:$I$404,"&lt;="&amp;T176,Bookings!$AM$5:$AM$404,"Cancelled"))</f>
        <v>0</v>
      </c>
      <c r="AC176" s="31">
        <f>IF(S176="","",COUNTIFS('Visit Log'!$C$5:$C$404,"&gt;="&amp;S176,'Visit Log'!$C$5:$C$404,"&lt;="&amp;T176,'Visit Log'!$AE$5:$AE$404,"Completed"))</f>
        <v>0</v>
      </c>
      <c r="AD176" s="31">
        <f>IF(S176="","",COUNTIFS(Clients!$L$5:$L$254,"&gt;="&amp;S176,Clients!$L$5:$L$254,"&lt;="&amp;T176))</f>
        <v>0</v>
      </c>
      <c r="AE176" s="32">
        <f>IF(S176="","",SUMIFS(Mileage!$M$5:$M$304,Mileage!$B$5:$B$304,"&gt;="&amp;S176,Mileage!$B$5:$B$304,"&lt;="&amp;T176,Mileage!$N$5:$N$304,"Business"))</f>
        <v>0</v>
      </c>
      <c r="AF176" s="29">
        <f>IF(S176="","",SUMIFS(Payments!$L$5:$L$304,Payments!$B$5:$B$304,"&gt;="&amp;DATE(Dash_Year-1,ROW()-4,1),Payments!$B$5:$B$304,"&lt;="&amp;EOMONTH(DATE(Dash_Year-1,ROW()-4,1),0)))</f>
        <v>0</v>
      </c>
      <c r="AG176" s="28">
        <f>IF(Staff!$B$176="","",Staff!$B$176)</f>
        <v>0</v>
      </c>
      <c r="AH176" s="31">
        <f>IF(AG176="","",COUNTIFS('Visit Log'!$G$5:$G$404,AG176,'Visit Log'!$C$5:$C$404,"&gt;="&amp;RepFrom,'Visit Log'!$C$5:$C$404,"&lt;="&amp;RepTo,'Visit Log'!$AE$5:$AE$404,"Completed"))</f>
        <v>0</v>
      </c>
      <c r="AI176" s="51">
        <f>IF(AG176="","",ROUND(SUMIFS('Visit Log'!$K$5:$K$404,'Visit Log'!$G$5:$G$404,AG176,'Visit Log'!$C$5:$C$404,"&gt;="&amp;RepFrom,'Visit Log'!$C$5:$C$404,"&lt;="&amp;RepTo,'Visit Log'!$AE$5:$AE$404,"Completed")/60,2))</f>
        <v>0</v>
      </c>
      <c r="AJ176" s="29">
        <f>IF(AG176="","",SUMIFS(Bookings!$AK$5:$AK$404,Bookings!$AL$5:$AL$404,AG176,Bookings!$I$5:$I$404,"&gt;="&amp;RepFrom,Bookings!$I$5:$I$404,"&lt;="&amp;RepTo,Bookings!$AM$5:$AM$404,"&lt;&gt;Cancelled"))</f>
        <v>0</v>
      </c>
      <c r="AK176" s="32">
        <f>IF(AG176="","",SUMIFS(Mileage!$M$5:$M$304,Mileage!$C$5:$C$304,AG176,Mileage!$B$5:$B$304,"&gt;="&amp;RepFrom,Mileage!$B$5:$B$304,"&lt;="&amp;RepTo))</f>
        <v>0</v>
      </c>
      <c r="AL176" s="28">
        <f>IF(Lists!$Q176="","",Lists!$Q176)</f>
        <v>0</v>
      </c>
      <c r="AM176" s="31">
        <f>IF(AL176="","",COUNTIFS(Bookings!$AV$5:$AV$404,AL176,Bookings!$I$5:$I$404,"&gt;="&amp;RepFrom,Bookings!$I$5:$I$404,"&lt;="&amp;RepTo))</f>
        <v>0</v>
      </c>
      <c r="AN176" s="28">
        <f>IF(Lists!$AF176="","",Lists!$AF176)</f>
        <v>0</v>
      </c>
      <c r="AO176" s="29">
        <f>IF(AN176="","",SUMIFS(Payments!$L$5:$L$304,Payments!$F$5:$F$304,AN176,Payments!$B$5:$B$304,"&gt;="&amp;RepFrom,Payments!$B$5:$B$304,"&lt;="&amp;RepTo))</f>
        <v>0</v>
      </c>
      <c r="AP176" s="28">
        <f>IF(Lists!$E176="","",Lists!$E176)</f>
        <v>0</v>
      </c>
      <c r="AQ176" s="31">
        <f>IF(AP176="","",COUNTIFS(Clients!$K$5:$K$254,AP176))</f>
        <v>0</v>
      </c>
      <c r="AR176" s="29">
        <f>IF(AP176="","",SUMIFS(Clients!$AE$5:$AE$254,Clients!$K$5:$K$254,AP176))</f>
        <v>0</v>
      </c>
    </row>
    <row r="177" spans="1:44">
      <c r="A177" s="28">
        <f>IF(Clients!$B$177="","",Clients!$B$177)</f>
        <v>0</v>
      </c>
      <c r="B177" s="29">
        <f>IF(A177="","",SUMIFS(Payments!$L$5:$L$304,Payments!$C$5:$C$304,A177,Payments!$B$5:$B$304,"&gt;="&amp;PeriodStart,Payments!$B$5:$B$304,"&lt;="&amp;PeriodEnd))</f>
        <v>0</v>
      </c>
      <c r="C177" s="51">
        <f>IF(A177="","",IF(B177&lt;=0,"",B177+ROW()/1000000))</f>
        <v>0</v>
      </c>
      <c r="D177" s="29">
        <f>IF(A177="","",SUMIFS(Payments!$L$5:$L$304,Payments!$C$5:$C$304,A177,Payments!$B$5:$B$304,"&gt;="&amp;RepFrom,Payments!$B$5:$B$304,"&lt;="&amp;RepTo))</f>
        <v>0</v>
      </c>
      <c r="E177" s="51">
        <f>IF(A177="","",IF(D177&lt;=0,"",D177+ROW()/1000000))</f>
        <v>0</v>
      </c>
      <c r="F177" s="29">
        <f>IF(A177="","",SUMIFS(Invoices!$S$5:$S$304,Invoices!$D$5:$D$304,A177,Invoices!$T$5:$T$304,"&lt;&gt;Cancelled"))</f>
        <v>0</v>
      </c>
      <c r="G177" s="51">
        <f>IF(A177="","",IF(F177&lt;=0.004,"",F177+ROW()/1000000))</f>
        <v>0</v>
      </c>
      <c r="H177" s="31">
        <f>IF(A177="","",COUNTIFS(Bookings!$C$5:$C$404,A177,Bookings!$I$5:$I$404,"&gt;="&amp;RepFrom,Bookings!$I$5:$I$404,"&lt;="&amp;RepTo,Bookings!$AM$5:$AM$404,"&lt;&gt;Cancelled"))</f>
        <v>0</v>
      </c>
      <c r="I177" s="28">
        <f>IF(Services!$B$177="","",Services!$B$177)</f>
        <v>0</v>
      </c>
      <c r="J177" s="29">
        <f>IF(I177="","",SUMIFS(Bookings!$AK$5:$AK$404,Bookings!$H$5:$H$404,I177,Bookings!$I$5:$I$404,"&gt;="&amp;PeriodStart,Bookings!$I$5:$I$404,"&lt;="&amp;PeriodEnd,Bookings!$AM$5:$AM$404,"&lt;&gt;Cancelled"))</f>
        <v>0</v>
      </c>
      <c r="K177" s="31">
        <f>IF(I177="","",COUNTIFS(Bookings!$H$5:$H$404,I177,Bookings!$I$5:$I$404,"&gt;="&amp;PeriodStart,Bookings!$I$5:$I$404,"&lt;="&amp;PeriodEnd,Bookings!$AM$5:$AM$404,"&lt;&gt;Cancelled"))</f>
        <v>0</v>
      </c>
      <c r="L177" s="29">
        <f>IF(I177="","",SUMIFS(Bookings!$AK$5:$AK$404,Bookings!$H$5:$H$404,I177,Bookings!$I$5:$I$404,"&gt;="&amp;RepFrom,Bookings!$I$5:$I$404,"&lt;="&amp;RepTo,Bookings!$AM$5:$AM$404,"&lt;&gt;Cancelled"))</f>
        <v>0</v>
      </c>
      <c r="M177" s="31">
        <f>IF(I177="","",COUNTIFS(Bookings!$H$5:$H$404,I177,Bookings!$I$5:$I$404,"&gt;="&amp;RepFrom,Bookings!$I$5:$I$404,"&lt;="&amp;RepTo,Bookings!$AM$5:$AM$404,"&lt;&gt;Cancelled"))</f>
        <v>0</v>
      </c>
      <c r="N177" s="29">
        <f>IF(I177="","",M177*IF(Services!$L$177="",0,Services!$L$177))</f>
        <v>0</v>
      </c>
      <c r="O177" s="29">
        <f>IF(I177="","",L177-N177)</f>
        <v>0</v>
      </c>
      <c r="P177" s="28">
        <f>IF(Lists!$AG177="","",Lists!$AG177)</f>
        <v>0</v>
      </c>
      <c r="Q177" s="29">
        <f>IF(P177="","",SUMIFS(Expenses!$F$5:$F$304,Expenses!$C$5:$C$304,P177,Expenses!$B$5:$B$304,"&gt;="&amp;PeriodStart,Expenses!$B$5:$B$304,"&lt;="&amp;PeriodEnd,Expenses!$J$5:$J$304,"&lt;&gt;Personal"))</f>
        <v>0</v>
      </c>
      <c r="R177" s="29">
        <f>IF(P177="","",SUMIFS(Expenses!$F$5:$F$304,Expenses!$C$5:$C$304,P177,Expenses!$B$5:$B$304,"&gt;="&amp;RepFrom,Expenses!$B$5:$B$304,"&lt;="&amp;RepTo,Expenses!$J$5:$J$304,"&lt;&gt;Personal"))</f>
        <v>0</v>
      </c>
      <c r="S177" s="21">
        <f>IF(ROW()-4&gt;12,"",DATE(Dash_Year,ROW()-4,1))</f>
        <v>0</v>
      </c>
      <c r="T177" s="21">
        <f>IF(S177="","",EOMONTH(S177,0))</f>
        <v>0</v>
      </c>
      <c r="U177" s="28">
        <f>IF(S177="","",TEXT(S177,"mmm"))</f>
        <v>0</v>
      </c>
      <c r="V177" s="29">
        <f>IF(S177="","",SUMIFS(Payments!$L$5:$L$304,Payments!$B$5:$B$304,"&gt;="&amp;S177,Payments!$B$5:$B$304,"&lt;="&amp;T177))</f>
        <v>0</v>
      </c>
      <c r="W177" s="29">
        <f>IF(S177="","",SUMIFS(Invoices!$O$5:$O$304,Invoices!$B$5:$B$304,"&gt;="&amp;S177,Invoices!$B$5:$B$304,"&lt;="&amp;T177,Invoices!$T$5:$T$304,"&lt;&gt;Cancelled"))</f>
        <v>0</v>
      </c>
      <c r="X177" s="29">
        <f>IF(S177="","",SUMIFS(Expenses!$F$5:$F$304,Expenses!$B$5:$B$304,"&gt;="&amp;S177,Expenses!$B$5:$B$304,"&lt;="&amp;T177,Expenses!$J$5:$J$304,"&lt;&gt;Personal"))</f>
        <v>0</v>
      </c>
      <c r="Y177" s="29">
        <f>IF(S177="","",V177-X177)</f>
        <v>0</v>
      </c>
      <c r="Z177" s="31">
        <f>IF(S177="","",COUNTIFS(Bookings!$I$5:$I$404,"&gt;="&amp;S177,Bookings!$I$5:$I$404,"&lt;="&amp;T177,Bookings!$AM$5:$AM$404,"&lt;&gt;Cancelled"))</f>
        <v>0</v>
      </c>
      <c r="AA177" s="31">
        <f>IF(S177="","",COUNTIFS(Bookings!$I$5:$I$404,"&gt;="&amp;S177,Bookings!$I$5:$I$404,"&lt;="&amp;T177,Bookings!$AM$5:$AM$404,"Completed"))</f>
        <v>0</v>
      </c>
      <c r="AB177" s="31">
        <f>IF(S177="","",COUNTIFS(Bookings!$I$5:$I$404,"&gt;="&amp;S177,Bookings!$I$5:$I$404,"&lt;="&amp;T177,Bookings!$AM$5:$AM$404,"Cancelled"))</f>
        <v>0</v>
      </c>
      <c r="AC177" s="31">
        <f>IF(S177="","",COUNTIFS('Visit Log'!$C$5:$C$404,"&gt;="&amp;S177,'Visit Log'!$C$5:$C$404,"&lt;="&amp;T177,'Visit Log'!$AE$5:$AE$404,"Completed"))</f>
        <v>0</v>
      </c>
      <c r="AD177" s="31">
        <f>IF(S177="","",COUNTIFS(Clients!$L$5:$L$254,"&gt;="&amp;S177,Clients!$L$5:$L$254,"&lt;="&amp;T177))</f>
        <v>0</v>
      </c>
      <c r="AE177" s="32">
        <f>IF(S177="","",SUMIFS(Mileage!$M$5:$M$304,Mileage!$B$5:$B$304,"&gt;="&amp;S177,Mileage!$B$5:$B$304,"&lt;="&amp;T177,Mileage!$N$5:$N$304,"Business"))</f>
        <v>0</v>
      </c>
      <c r="AF177" s="29">
        <f>IF(S177="","",SUMIFS(Payments!$L$5:$L$304,Payments!$B$5:$B$304,"&gt;="&amp;DATE(Dash_Year-1,ROW()-4,1),Payments!$B$5:$B$304,"&lt;="&amp;EOMONTH(DATE(Dash_Year-1,ROW()-4,1),0)))</f>
        <v>0</v>
      </c>
      <c r="AG177" s="28">
        <f>IF(Staff!$B$177="","",Staff!$B$177)</f>
        <v>0</v>
      </c>
      <c r="AH177" s="31">
        <f>IF(AG177="","",COUNTIFS('Visit Log'!$G$5:$G$404,AG177,'Visit Log'!$C$5:$C$404,"&gt;="&amp;RepFrom,'Visit Log'!$C$5:$C$404,"&lt;="&amp;RepTo,'Visit Log'!$AE$5:$AE$404,"Completed"))</f>
        <v>0</v>
      </c>
      <c r="AI177" s="51">
        <f>IF(AG177="","",ROUND(SUMIFS('Visit Log'!$K$5:$K$404,'Visit Log'!$G$5:$G$404,AG177,'Visit Log'!$C$5:$C$404,"&gt;="&amp;RepFrom,'Visit Log'!$C$5:$C$404,"&lt;="&amp;RepTo,'Visit Log'!$AE$5:$AE$404,"Completed")/60,2))</f>
        <v>0</v>
      </c>
      <c r="AJ177" s="29">
        <f>IF(AG177="","",SUMIFS(Bookings!$AK$5:$AK$404,Bookings!$AL$5:$AL$404,AG177,Bookings!$I$5:$I$404,"&gt;="&amp;RepFrom,Bookings!$I$5:$I$404,"&lt;="&amp;RepTo,Bookings!$AM$5:$AM$404,"&lt;&gt;Cancelled"))</f>
        <v>0</v>
      </c>
      <c r="AK177" s="32">
        <f>IF(AG177="","",SUMIFS(Mileage!$M$5:$M$304,Mileage!$C$5:$C$304,AG177,Mileage!$B$5:$B$304,"&gt;="&amp;RepFrom,Mileage!$B$5:$B$304,"&lt;="&amp;RepTo))</f>
        <v>0</v>
      </c>
      <c r="AL177" s="28">
        <f>IF(Lists!$Q177="","",Lists!$Q177)</f>
        <v>0</v>
      </c>
      <c r="AM177" s="31">
        <f>IF(AL177="","",COUNTIFS(Bookings!$AV$5:$AV$404,AL177,Bookings!$I$5:$I$404,"&gt;="&amp;RepFrom,Bookings!$I$5:$I$404,"&lt;="&amp;RepTo))</f>
        <v>0</v>
      </c>
      <c r="AN177" s="28">
        <f>IF(Lists!$AF177="","",Lists!$AF177)</f>
        <v>0</v>
      </c>
      <c r="AO177" s="29">
        <f>IF(AN177="","",SUMIFS(Payments!$L$5:$L$304,Payments!$F$5:$F$304,AN177,Payments!$B$5:$B$304,"&gt;="&amp;RepFrom,Payments!$B$5:$B$304,"&lt;="&amp;RepTo))</f>
        <v>0</v>
      </c>
      <c r="AP177" s="28">
        <f>IF(Lists!$E177="","",Lists!$E177)</f>
        <v>0</v>
      </c>
      <c r="AQ177" s="31">
        <f>IF(AP177="","",COUNTIFS(Clients!$K$5:$K$254,AP177))</f>
        <v>0</v>
      </c>
      <c r="AR177" s="29">
        <f>IF(AP177="","",SUMIFS(Clients!$AE$5:$AE$254,Clients!$K$5:$K$254,AP177))</f>
        <v>0</v>
      </c>
    </row>
    <row r="178" spans="1:44">
      <c r="A178" s="28">
        <f>IF(Clients!$B$178="","",Clients!$B$178)</f>
        <v>0</v>
      </c>
      <c r="B178" s="29">
        <f>IF(A178="","",SUMIFS(Payments!$L$5:$L$304,Payments!$C$5:$C$304,A178,Payments!$B$5:$B$304,"&gt;="&amp;PeriodStart,Payments!$B$5:$B$304,"&lt;="&amp;PeriodEnd))</f>
        <v>0</v>
      </c>
      <c r="C178" s="51">
        <f>IF(A178="","",IF(B178&lt;=0,"",B178+ROW()/1000000))</f>
        <v>0</v>
      </c>
      <c r="D178" s="29">
        <f>IF(A178="","",SUMIFS(Payments!$L$5:$L$304,Payments!$C$5:$C$304,A178,Payments!$B$5:$B$304,"&gt;="&amp;RepFrom,Payments!$B$5:$B$304,"&lt;="&amp;RepTo))</f>
        <v>0</v>
      </c>
      <c r="E178" s="51">
        <f>IF(A178="","",IF(D178&lt;=0,"",D178+ROW()/1000000))</f>
        <v>0</v>
      </c>
      <c r="F178" s="29">
        <f>IF(A178="","",SUMIFS(Invoices!$S$5:$S$304,Invoices!$D$5:$D$304,A178,Invoices!$T$5:$T$304,"&lt;&gt;Cancelled"))</f>
        <v>0</v>
      </c>
      <c r="G178" s="51">
        <f>IF(A178="","",IF(F178&lt;=0.004,"",F178+ROW()/1000000))</f>
        <v>0</v>
      </c>
      <c r="H178" s="31">
        <f>IF(A178="","",COUNTIFS(Bookings!$C$5:$C$404,A178,Bookings!$I$5:$I$404,"&gt;="&amp;RepFrom,Bookings!$I$5:$I$404,"&lt;="&amp;RepTo,Bookings!$AM$5:$AM$404,"&lt;&gt;Cancelled"))</f>
        <v>0</v>
      </c>
      <c r="I178" s="28">
        <f>IF(Services!$B$178="","",Services!$B$178)</f>
        <v>0</v>
      </c>
      <c r="J178" s="29">
        <f>IF(I178="","",SUMIFS(Bookings!$AK$5:$AK$404,Bookings!$H$5:$H$404,I178,Bookings!$I$5:$I$404,"&gt;="&amp;PeriodStart,Bookings!$I$5:$I$404,"&lt;="&amp;PeriodEnd,Bookings!$AM$5:$AM$404,"&lt;&gt;Cancelled"))</f>
        <v>0</v>
      </c>
      <c r="K178" s="31">
        <f>IF(I178="","",COUNTIFS(Bookings!$H$5:$H$404,I178,Bookings!$I$5:$I$404,"&gt;="&amp;PeriodStart,Bookings!$I$5:$I$404,"&lt;="&amp;PeriodEnd,Bookings!$AM$5:$AM$404,"&lt;&gt;Cancelled"))</f>
        <v>0</v>
      </c>
      <c r="L178" s="29">
        <f>IF(I178="","",SUMIFS(Bookings!$AK$5:$AK$404,Bookings!$H$5:$H$404,I178,Bookings!$I$5:$I$404,"&gt;="&amp;RepFrom,Bookings!$I$5:$I$404,"&lt;="&amp;RepTo,Bookings!$AM$5:$AM$404,"&lt;&gt;Cancelled"))</f>
        <v>0</v>
      </c>
      <c r="M178" s="31">
        <f>IF(I178="","",COUNTIFS(Bookings!$H$5:$H$404,I178,Bookings!$I$5:$I$404,"&gt;="&amp;RepFrom,Bookings!$I$5:$I$404,"&lt;="&amp;RepTo,Bookings!$AM$5:$AM$404,"&lt;&gt;Cancelled"))</f>
        <v>0</v>
      </c>
      <c r="N178" s="29">
        <f>IF(I178="","",M178*IF(Services!$L$178="",0,Services!$L$178))</f>
        <v>0</v>
      </c>
      <c r="O178" s="29">
        <f>IF(I178="","",L178-N178)</f>
        <v>0</v>
      </c>
      <c r="P178" s="28">
        <f>IF(Lists!$AG178="","",Lists!$AG178)</f>
        <v>0</v>
      </c>
      <c r="Q178" s="29">
        <f>IF(P178="","",SUMIFS(Expenses!$F$5:$F$304,Expenses!$C$5:$C$304,P178,Expenses!$B$5:$B$304,"&gt;="&amp;PeriodStart,Expenses!$B$5:$B$304,"&lt;="&amp;PeriodEnd,Expenses!$J$5:$J$304,"&lt;&gt;Personal"))</f>
        <v>0</v>
      </c>
      <c r="R178" s="29">
        <f>IF(P178="","",SUMIFS(Expenses!$F$5:$F$304,Expenses!$C$5:$C$304,P178,Expenses!$B$5:$B$304,"&gt;="&amp;RepFrom,Expenses!$B$5:$B$304,"&lt;="&amp;RepTo,Expenses!$J$5:$J$304,"&lt;&gt;Personal"))</f>
        <v>0</v>
      </c>
      <c r="S178" s="21">
        <f>IF(ROW()-4&gt;12,"",DATE(Dash_Year,ROW()-4,1))</f>
        <v>0</v>
      </c>
      <c r="T178" s="21">
        <f>IF(S178="","",EOMONTH(S178,0))</f>
        <v>0</v>
      </c>
      <c r="U178" s="28">
        <f>IF(S178="","",TEXT(S178,"mmm"))</f>
        <v>0</v>
      </c>
      <c r="V178" s="29">
        <f>IF(S178="","",SUMIFS(Payments!$L$5:$L$304,Payments!$B$5:$B$304,"&gt;="&amp;S178,Payments!$B$5:$B$304,"&lt;="&amp;T178))</f>
        <v>0</v>
      </c>
      <c r="W178" s="29">
        <f>IF(S178="","",SUMIFS(Invoices!$O$5:$O$304,Invoices!$B$5:$B$304,"&gt;="&amp;S178,Invoices!$B$5:$B$304,"&lt;="&amp;T178,Invoices!$T$5:$T$304,"&lt;&gt;Cancelled"))</f>
        <v>0</v>
      </c>
      <c r="X178" s="29">
        <f>IF(S178="","",SUMIFS(Expenses!$F$5:$F$304,Expenses!$B$5:$B$304,"&gt;="&amp;S178,Expenses!$B$5:$B$304,"&lt;="&amp;T178,Expenses!$J$5:$J$304,"&lt;&gt;Personal"))</f>
        <v>0</v>
      </c>
      <c r="Y178" s="29">
        <f>IF(S178="","",V178-X178)</f>
        <v>0</v>
      </c>
      <c r="Z178" s="31">
        <f>IF(S178="","",COUNTIFS(Bookings!$I$5:$I$404,"&gt;="&amp;S178,Bookings!$I$5:$I$404,"&lt;="&amp;T178,Bookings!$AM$5:$AM$404,"&lt;&gt;Cancelled"))</f>
        <v>0</v>
      </c>
      <c r="AA178" s="31">
        <f>IF(S178="","",COUNTIFS(Bookings!$I$5:$I$404,"&gt;="&amp;S178,Bookings!$I$5:$I$404,"&lt;="&amp;T178,Bookings!$AM$5:$AM$404,"Completed"))</f>
        <v>0</v>
      </c>
      <c r="AB178" s="31">
        <f>IF(S178="","",COUNTIFS(Bookings!$I$5:$I$404,"&gt;="&amp;S178,Bookings!$I$5:$I$404,"&lt;="&amp;T178,Bookings!$AM$5:$AM$404,"Cancelled"))</f>
        <v>0</v>
      </c>
      <c r="AC178" s="31">
        <f>IF(S178="","",COUNTIFS('Visit Log'!$C$5:$C$404,"&gt;="&amp;S178,'Visit Log'!$C$5:$C$404,"&lt;="&amp;T178,'Visit Log'!$AE$5:$AE$404,"Completed"))</f>
        <v>0</v>
      </c>
      <c r="AD178" s="31">
        <f>IF(S178="","",COUNTIFS(Clients!$L$5:$L$254,"&gt;="&amp;S178,Clients!$L$5:$L$254,"&lt;="&amp;T178))</f>
        <v>0</v>
      </c>
      <c r="AE178" s="32">
        <f>IF(S178="","",SUMIFS(Mileage!$M$5:$M$304,Mileage!$B$5:$B$304,"&gt;="&amp;S178,Mileage!$B$5:$B$304,"&lt;="&amp;T178,Mileage!$N$5:$N$304,"Business"))</f>
        <v>0</v>
      </c>
      <c r="AF178" s="29">
        <f>IF(S178="","",SUMIFS(Payments!$L$5:$L$304,Payments!$B$5:$B$304,"&gt;="&amp;DATE(Dash_Year-1,ROW()-4,1),Payments!$B$5:$B$304,"&lt;="&amp;EOMONTH(DATE(Dash_Year-1,ROW()-4,1),0)))</f>
        <v>0</v>
      </c>
      <c r="AG178" s="28">
        <f>IF(Staff!$B$178="","",Staff!$B$178)</f>
        <v>0</v>
      </c>
      <c r="AH178" s="31">
        <f>IF(AG178="","",COUNTIFS('Visit Log'!$G$5:$G$404,AG178,'Visit Log'!$C$5:$C$404,"&gt;="&amp;RepFrom,'Visit Log'!$C$5:$C$404,"&lt;="&amp;RepTo,'Visit Log'!$AE$5:$AE$404,"Completed"))</f>
        <v>0</v>
      </c>
      <c r="AI178" s="51">
        <f>IF(AG178="","",ROUND(SUMIFS('Visit Log'!$K$5:$K$404,'Visit Log'!$G$5:$G$404,AG178,'Visit Log'!$C$5:$C$404,"&gt;="&amp;RepFrom,'Visit Log'!$C$5:$C$404,"&lt;="&amp;RepTo,'Visit Log'!$AE$5:$AE$404,"Completed")/60,2))</f>
        <v>0</v>
      </c>
      <c r="AJ178" s="29">
        <f>IF(AG178="","",SUMIFS(Bookings!$AK$5:$AK$404,Bookings!$AL$5:$AL$404,AG178,Bookings!$I$5:$I$404,"&gt;="&amp;RepFrom,Bookings!$I$5:$I$404,"&lt;="&amp;RepTo,Bookings!$AM$5:$AM$404,"&lt;&gt;Cancelled"))</f>
        <v>0</v>
      </c>
      <c r="AK178" s="32">
        <f>IF(AG178="","",SUMIFS(Mileage!$M$5:$M$304,Mileage!$C$5:$C$304,AG178,Mileage!$B$5:$B$304,"&gt;="&amp;RepFrom,Mileage!$B$5:$B$304,"&lt;="&amp;RepTo))</f>
        <v>0</v>
      </c>
      <c r="AL178" s="28">
        <f>IF(Lists!$Q178="","",Lists!$Q178)</f>
        <v>0</v>
      </c>
      <c r="AM178" s="31">
        <f>IF(AL178="","",COUNTIFS(Bookings!$AV$5:$AV$404,AL178,Bookings!$I$5:$I$404,"&gt;="&amp;RepFrom,Bookings!$I$5:$I$404,"&lt;="&amp;RepTo))</f>
        <v>0</v>
      </c>
      <c r="AN178" s="28">
        <f>IF(Lists!$AF178="","",Lists!$AF178)</f>
        <v>0</v>
      </c>
      <c r="AO178" s="29">
        <f>IF(AN178="","",SUMIFS(Payments!$L$5:$L$304,Payments!$F$5:$F$304,AN178,Payments!$B$5:$B$304,"&gt;="&amp;RepFrom,Payments!$B$5:$B$304,"&lt;="&amp;RepTo))</f>
        <v>0</v>
      </c>
      <c r="AP178" s="28">
        <f>IF(Lists!$E178="","",Lists!$E178)</f>
        <v>0</v>
      </c>
      <c r="AQ178" s="31">
        <f>IF(AP178="","",COUNTIFS(Clients!$K$5:$K$254,AP178))</f>
        <v>0</v>
      </c>
      <c r="AR178" s="29">
        <f>IF(AP178="","",SUMIFS(Clients!$AE$5:$AE$254,Clients!$K$5:$K$254,AP178))</f>
        <v>0</v>
      </c>
    </row>
    <row r="179" spans="1:44">
      <c r="A179" s="28">
        <f>IF(Clients!$B$179="","",Clients!$B$179)</f>
        <v>0</v>
      </c>
      <c r="B179" s="29">
        <f>IF(A179="","",SUMIFS(Payments!$L$5:$L$304,Payments!$C$5:$C$304,A179,Payments!$B$5:$B$304,"&gt;="&amp;PeriodStart,Payments!$B$5:$B$304,"&lt;="&amp;PeriodEnd))</f>
        <v>0</v>
      </c>
      <c r="C179" s="51">
        <f>IF(A179="","",IF(B179&lt;=0,"",B179+ROW()/1000000))</f>
        <v>0</v>
      </c>
      <c r="D179" s="29">
        <f>IF(A179="","",SUMIFS(Payments!$L$5:$L$304,Payments!$C$5:$C$304,A179,Payments!$B$5:$B$304,"&gt;="&amp;RepFrom,Payments!$B$5:$B$304,"&lt;="&amp;RepTo))</f>
        <v>0</v>
      </c>
      <c r="E179" s="51">
        <f>IF(A179="","",IF(D179&lt;=0,"",D179+ROW()/1000000))</f>
        <v>0</v>
      </c>
      <c r="F179" s="29">
        <f>IF(A179="","",SUMIFS(Invoices!$S$5:$S$304,Invoices!$D$5:$D$304,A179,Invoices!$T$5:$T$304,"&lt;&gt;Cancelled"))</f>
        <v>0</v>
      </c>
      <c r="G179" s="51">
        <f>IF(A179="","",IF(F179&lt;=0.004,"",F179+ROW()/1000000))</f>
        <v>0</v>
      </c>
      <c r="H179" s="31">
        <f>IF(A179="","",COUNTIFS(Bookings!$C$5:$C$404,A179,Bookings!$I$5:$I$404,"&gt;="&amp;RepFrom,Bookings!$I$5:$I$404,"&lt;="&amp;RepTo,Bookings!$AM$5:$AM$404,"&lt;&gt;Cancelled"))</f>
        <v>0</v>
      </c>
      <c r="I179" s="28">
        <f>IF(Services!$B$179="","",Services!$B$179)</f>
        <v>0</v>
      </c>
      <c r="J179" s="29">
        <f>IF(I179="","",SUMIFS(Bookings!$AK$5:$AK$404,Bookings!$H$5:$H$404,I179,Bookings!$I$5:$I$404,"&gt;="&amp;PeriodStart,Bookings!$I$5:$I$404,"&lt;="&amp;PeriodEnd,Bookings!$AM$5:$AM$404,"&lt;&gt;Cancelled"))</f>
        <v>0</v>
      </c>
      <c r="K179" s="31">
        <f>IF(I179="","",COUNTIFS(Bookings!$H$5:$H$404,I179,Bookings!$I$5:$I$404,"&gt;="&amp;PeriodStart,Bookings!$I$5:$I$404,"&lt;="&amp;PeriodEnd,Bookings!$AM$5:$AM$404,"&lt;&gt;Cancelled"))</f>
        <v>0</v>
      </c>
      <c r="L179" s="29">
        <f>IF(I179="","",SUMIFS(Bookings!$AK$5:$AK$404,Bookings!$H$5:$H$404,I179,Bookings!$I$5:$I$404,"&gt;="&amp;RepFrom,Bookings!$I$5:$I$404,"&lt;="&amp;RepTo,Bookings!$AM$5:$AM$404,"&lt;&gt;Cancelled"))</f>
        <v>0</v>
      </c>
      <c r="M179" s="31">
        <f>IF(I179="","",COUNTIFS(Bookings!$H$5:$H$404,I179,Bookings!$I$5:$I$404,"&gt;="&amp;RepFrom,Bookings!$I$5:$I$404,"&lt;="&amp;RepTo,Bookings!$AM$5:$AM$404,"&lt;&gt;Cancelled"))</f>
        <v>0</v>
      </c>
      <c r="N179" s="29">
        <f>IF(I179="","",M179*IF(Services!$L$179="",0,Services!$L$179))</f>
        <v>0</v>
      </c>
      <c r="O179" s="29">
        <f>IF(I179="","",L179-N179)</f>
        <v>0</v>
      </c>
      <c r="P179" s="28">
        <f>IF(Lists!$AG179="","",Lists!$AG179)</f>
        <v>0</v>
      </c>
      <c r="Q179" s="29">
        <f>IF(P179="","",SUMIFS(Expenses!$F$5:$F$304,Expenses!$C$5:$C$304,P179,Expenses!$B$5:$B$304,"&gt;="&amp;PeriodStart,Expenses!$B$5:$B$304,"&lt;="&amp;PeriodEnd,Expenses!$J$5:$J$304,"&lt;&gt;Personal"))</f>
        <v>0</v>
      </c>
      <c r="R179" s="29">
        <f>IF(P179="","",SUMIFS(Expenses!$F$5:$F$304,Expenses!$C$5:$C$304,P179,Expenses!$B$5:$B$304,"&gt;="&amp;RepFrom,Expenses!$B$5:$B$304,"&lt;="&amp;RepTo,Expenses!$J$5:$J$304,"&lt;&gt;Personal"))</f>
        <v>0</v>
      </c>
      <c r="S179" s="21">
        <f>IF(ROW()-4&gt;12,"",DATE(Dash_Year,ROW()-4,1))</f>
        <v>0</v>
      </c>
      <c r="T179" s="21">
        <f>IF(S179="","",EOMONTH(S179,0))</f>
        <v>0</v>
      </c>
      <c r="U179" s="28">
        <f>IF(S179="","",TEXT(S179,"mmm"))</f>
        <v>0</v>
      </c>
      <c r="V179" s="29">
        <f>IF(S179="","",SUMIFS(Payments!$L$5:$L$304,Payments!$B$5:$B$304,"&gt;="&amp;S179,Payments!$B$5:$B$304,"&lt;="&amp;T179))</f>
        <v>0</v>
      </c>
      <c r="W179" s="29">
        <f>IF(S179="","",SUMIFS(Invoices!$O$5:$O$304,Invoices!$B$5:$B$304,"&gt;="&amp;S179,Invoices!$B$5:$B$304,"&lt;="&amp;T179,Invoices!$T$5:$T$304,"&lt;&gt;Cancelled"))</f>
        <v>0</v>
      </c>
      <c r="X179" s="29">
        <f>IF(S179="","",SUMIFS(Expenses!$F$5:$F$304,Expenses!$B$5:$B$304,"&gt;="&amp;S179,Expenses!$B$5:$B$304,"&lt;="&amp;T179,Expenses!$J$5:$J$304,"&lt;&gt;Personal"))</f>
        <v>0</v>
      </c>
      <c r="Y179" s="29">
        <f>IF(S179="","",V179-X179)</f>
        <v>0</v>
      </c>
      <c r="Z179" s="31">
        <f>IF(S179="","",COUNTIFS(Bookings!$I$5:$I$404,"&gt;="&amp;S179,Bookings!$I$5:$I$404,"&lt;="&amp;T179,Bookings!$AM$5:$AM$404,"&lt;&gt;Cancelled"))</f>
        <v>0</v>
      </c>
      <c r="AA179" s="31">
        <f>IF(S179="","",COUNTIFS(Bookings!$I$5:$I$404,"&gt;="&amp;S179,Bookings!$I$5:$I$404,"&lt;="&amp;T179,Bookings!$AM$5:$AM$404,"Completed"))</f>
        <v>0</v>
      </c>
      <c r="AB179" s="31">
        <f>IF(S179="","",COUNTIFS(Bookings!$I$5:$I$404,"&gt;="&amp;S179,Bookings!$I$5:$I$404,"&lt;="&amp;T179,Bookings!$AM$5:$AM$404,"Cancelled"))</f>
        <v>0</v>
      </c>
      <c r="AC179" s="31">
        <f>IF(S179="","",COUNTIFS('Visit Log'!$C$5:$C$404,"&gt;="&amp;S179,'Visit Log'!$C$5:$C$404,"&lt;="&amp;T179,'Visit Log'!$AE$5:$AE$404,"Completed"))</f>
        <v>0</v>
      </c>
      <c r="AD179" s="31">
        <f>IF(S179="","",COUNTIFS(Clients!$L$5:$L$254,"&gt;="&amp;S179,Clients!$L$5:$L$254,"&lt;="&amp;T179))</f>
        <v>0</v>
      </c>
      <c r="AE179" s="32">
        <f>IF(S179="","",SUMIFS(Mileage!$M$5:$M$304,Mileage!$B$5:$B$304,"&gt;="&amp;S179,Mileage!$B$5:$B$304,"&lt;="&amp;T179,Mileage!$N$5:$N$304,"Business"))</f>
        <v>0</v>
      </c>
      <c r="AF179" s="29">
        <f>IF(S179="","",SUMIFS(Payments!$L$5:$L$304,Payments!$B$5:$B$304,"&gt;="&amp;DATE(Dash_Year-1,ROW()-4,1),Payments!$B$5:$B$304,"&lt;="&amp;EOMONTH(DATE(Dash_Year-1,ROW()-4,1),0)))</f>
        <v>0</v>
      </c>
      <c r="AG179" s="28">
        <f>IF(Staff!$B$179="","",Staff!$B$179)</f>
        <v>0</v>
      </c>
      <c r="AH179" s="31">
        <f>IF(AG179="","",COUNTIFS('Visit Log'!$G$5:$G$404,AG179,'Visit Log'!$C$5:$C$404,"&gt;="&amp;RepFrom,'Visit Log'!$C$5:$C$404,"&lt;="&amp;RepTo,'Visit Log'!$AE$5:$AE$404,"Completed"))</f>
        <v>0</v>
      </c>
      <c r="AI179" s="51">
        <f>IF(AG179="","",ROUND(SUMIFS('Visit Log'!$K$5:$K$404,'Visit Log'!$G$5:$G$404,AG179,'Visit Log'!$C$5:$C$404,"&gt;="&amp;RepFrom,'Visit Log'!$C$5:$C$404,"&lt;="&amp;RepTo,'Visit Log'!$AE$5:$AE$404,"Completed")/60,2))</f>
        <v>0</v>
      </c>
      <c r="AJ179" s="29">
        <f>IF(AG179="","",SUMIFS(Bookings!$AK$5:$AK$404,Bookings!$AL$5:$AL$404,AG179,Bookings!$I$5:$I$404,"&gt;="&amp;RepFrom,Bookings!$I$5:$I$404,"&lt;="&amp;RepTo,Bookings!$AM$5:$AM$404,"&lt;&gt;Cancelled"))</f>
        <v>0</v>
      </c>
      <c r="AK179" s="32">
        <f>IF(AG179="","",SUMIFS(Mileage!$M$5:$M$304,Mileage!$C$5:$C$304,AG179,Mileage!$B$5:$B$304,"&gt;="&amp;RepFrom,Mileage!$B$5:$B$304,"&lt;="&amp;RepTo))</f>
        <v>0</v>
      </c>
      <c r="AL179" s="28">
        <f>IF(Lists!$Q179="","",Lists!$Q179)</f>
        <v>0</v>
      </c>
      <c r="AM179" s="31">
        <f>IF(AL179="","",COUNTIFS(Bookings!$AV$5:$AV$404,AL179,Bookings!$I$5:$I$404,"&gt;="&amp;RepFrom,Bookings!$I$5:$I$404,"&lt;="&amp;RepTo))</f>
        <v>0</v>
      </c>
      <c r="AN179" s="28">
        <f>IF(Lists!$AF179="","",Lists!$AF179)</f>
        <v>0</v>
      </c>
      <c r="AO179" s="29">
        <f>IF(AN179="","",SUMIFS(Payments!$L$5:$L$304,Payments!$F$5:$F$304,AN179,Payments!$B$5:$B$304,"&gt;="&amp;RepFrom,Payments!$B$5:$B$304,"&lt;="&amp;RepTo))</f>
        <v>0</v>
      </c>
      <c r="AP179" s="28">
        <f>IF(Lists!$E179="","",Lists!$E179)</f>
        <v>0</v>
      </c>
      <c r="AQ179" s="31">
        <f>IF(AP179="","",COUNTIFS(Clients!$K$5:$K$254,AP179))</f>
        <v>0</v>
      </c>
      <c r="AR179" s="29">
        <f>IF(AP179="","",SUMIFS(Clients!$AE$5:$AE$254,Clients!$K$5:$K$254,AP179))</f>
        <v>0</v>
      </c>
    </row>
    <row r="180" spans="1:44">
      <c r="A180" s="28">
        <f>IF(Clients!$B$180="","",Clients!$B$180)</f>
        <v>0</v>
      </c>
      <c r="B180" s="29">
        <f>IF(A180="","",SUMIFS(Payments!$L$5:$L$304,Payments!$C$5:$C$304,A180,Payments!$B$5:$B$304,"&gt;="&amp;PeriodStart,Payments!$B$5:$B$304,"&lt;="&amp;PeriodEnd))</f>
        <v>0</v>
      </c>
      <c r="C180" s="51">
        <f>IF(A180="","",IF(B180&lt;=0,"",B180+ROW()/1000000))</f>
        <v>0</v>
      </c>
      <c r="D180" s="29">
        <f>IF(A180="","",SUMIFS(Payments!$L$5:$L$304,Payments!$C$5:$C$304,A180,Payments!$B$5:$B$304,"&gt;="&amp;RepFrom,Payments!$B$5:$B$304,"&lt;="&amp;RepTo))</f>
        <v>0</v>
      </c>
      <c r="E180" s="51">
        <f>IF(A180="","",IF(D180&lt;=0,"",D180+ROW()/1000000))</f>
        <v>0</v>
      </c>
      <c r="F180" s="29">
        <f>IF(A180="","",SUMIFS(Invoices!$S$5:$S$304,Invoices!$D$5:$D$304,A180,Invoices!$T$5:$T$304,"&lt;&gt;Cancelled"))</f>
        <v>0</v>
      </c>
      <c r="G180" s="51">
        <f>IF(A180="","",IF(F180&lt;=0.004,"",F180+ROW()/1000000))</f>
        <v>0</v>
      </c>
      <c r="H180" s="31">
        <f>IF(A180="","",COUNTIFS(Bookings!$C$5:$C$404,A180,Bookings!$I$5:$I$404,"&gt;="&amp;RepFrom,Bookings!$I$5:$I$404,"&lt;="&amp;RepTo,Bookings!$AM$5:$AM$404,"&lt;&gt;Cancelled"))</f>
        <v>0</v>
      </c>
      <c r="I180" s="28">
        <f>IF(Services!$B$180="","",Services!$B$180)</f>
        <v>0</v>
      </c>
      <c r="J180" s="29">
        <f>IF(I180="","",SUMIFS(Bookings!$AK$5:$AK$404,Bookings!$H$5:$H$404,I180,Bookings!$I$5:$I$404,"&gt;="&amp;PeriodStart,Bookings!$I$5:$I$404,"&lt;="&amp;PeriodEnd,Bookings!$AM$5:$AM$404,"&lt;&gt;Cancelled"))</f>
        <v>0</v>
      </c>
      <c r="K180" s="31">
        <f>IF(I180="","",COUNTIFS(Bookings!$H$5:$H$404,I180,Bookings!$I$5:$I$404,"&gt;="&amp;PeriodStart,Bookings!$I$5:$I$404,"&lt;="&amp;PeriodEnd,Bookings!$AM$5:$AM$404,"&lt;&gt;Cancelled"))</f>
        <v>0</v>
      </c>
      <c r="L180" s="29">
        <f>IF(I180="","",SUMIFS(Bookings!$AK$5:$AK$404,Bookings!$H$5:$H$404,I180,Bookings!$I$5:$I$404,"&gt;="&amp;RepFrom,Bookings!$I$5:$I$404,"&lt;="&amp;RepTo,Bookings!$AM$5:$AM$404,"&lt;&gt;Cancelled"))</f>
        <v>0</v>
      </c>
      <c r="M180" s="31">
        <f>IF(I180="","",COUNTIFS(Bookings!$H$5:$H$404,I180,Bookings!$I$5:$I$404,"&gt;="&amp;RepFrom,Bookings!$I$5:$I$404,"&lt;="&amp;RepTo,Bookings!$AM$5:$AM$404,"&lt;&gt;Cancelled"))</f>
        <v>0</v>
      </c>
      <c r="N180" s="29">
        <f>IF(I180="","",M180*IF(Services!$L$180="",0,Services!$L$180))</f>
        <v>0</v>
      </c>
      <c r="O180" s="29">
        <f>IF(I180="","",L180-N180)</f>
        <v>0</v>
      </c>
      <c r="P180" s="28">
        <f>IF(Lists!$AG180="","",Lists!$AG180)</f>
        <v>0</v>
      </c>
      <c r="Q180" s="29">
        <f>IF(P180="","",SUMIFS(Expenses!$F$5:$F$304,Expenses!$C$5:$C$304,P180,Expenses!$B$5:$B$304,"&gt;="&amp;PeriodStart,Expenses!$B$5:$B$304,"&lt;="&amp;PeriodEnd,Expenses!$J$5:$J$304,"&lt;&gt;Personal"))</f>
        <v>0</v>
      </c>
      <c r="R180" s="29">
        <f>IF(P180="","",SUMIFS(Expenses!$F$5:$F$304,Expenses!$C$5:$C$304,P180,Expenses!$B$5:$B$304,"&gt;="&amp;RepFrom,Expenses!$B$5:$B$304,"&lt;="&amp;RepTo,Expenses!$J$5:$J$304,"&lt;&gt;Personal"))</f>
        <v>0</v>
      </c>
      <c r="S180" s="21">
        <f>IF(ROW()-4&gt;12,"",DATE(Dash_Year,ROW()-4,1))</f>
        <v>0</v>
      </c>
      <c r="T180" s="21">
        <f>IF(S180="","",EOMONTH(S180,0))</f>
        <v>0</v>
      </c>
      <c r="U180" s="28">
        <f>IF(S180="","",TEXT(S180,"mmm"))</f>
        <v>0</v>
      </c>
      <c r="V180" s="29">
        <f>IF(S180="","",SUMIFS(Payments!$L$5:$L$304,Payments!$B$5:$B$304,"&gt;="&amp;S180,Payments!$B$5:$B$304,"&lt;="&amp;T180))</f>
        <v>0</v>
      </c>
      <c r="W180" s="29">
        <f>IF(S180="","",SUMIFS(Invoices!$O$5:$O$304,Invoices!$B$5:$B$304,"&gt;="&amp;S180,Invoices!$B$5:$B$304,"&lt;="&amp;T180,Invoices!$T$5:$T$304,"&lt;&gt;Cancelled"))</f>
        <v>0</v>
      </c>
      <c r="X180" s="29">
        <f>IF(S180="","",SUMIFS(Expenses!$F$5:$F$304,Expenses!$B$5:$B$304,"&gt;="&amp;S180,Expenses!$B$5:$B$304,"&lt;="&amp;T180,Expenses!$J$5:$J$304,"&lt;&gt;Personal"))</f>
        <v>0</v>
      </c>
      <c r="Y180" s="29">
        <f>IF(S180="","",V180-X180)</f>
        <v>0</v>
      </c>
      <c r="Z180" s="31">
        <f>IF(S180="","",COUNTIFS(Bookings!$I$5:$I$404,"&gt;="&amp;S180,Bookings!$I$5:$I$404,"&lt;="&amp;T180,Bookings!$AM$5:$AM$404,"&lt;&gt;Cancelled"))</f>
        <v>0</v>
      </c>
      <c r="AA180" s="31">
        <f>IF(S180="","",COUNTIFS(Bookings!$I$5:$I$404,"&gt;="&amp;S180,Bookings!$I$5:$I$404,"&lt;="&amp;T180,Bookings!$AM$5:$AM$404,"Completed"))</f>
        <v>0</v>
      </c>
      <c r="AB180" s="31">
        <f>IF(S180="","",COUNTIFS(Bookings!$I$5:$I$404,"&gt;="&amp;S180,Bookings!$I$5:$I$404,"&lt;="&amp;T180,Bookings!$AM$5:$AM$404,"Cancelled"))</f>
        <v>0</v>
      </c>
      <c r="AC180" s="31">
        <f>IF(S180="","",COUNTIFS('Visit Log'!$C$5:$C$404,"&gt;="&amp;S180,'Visit Log'!$C$5:$C$404,"&lt;="&amp;T180,'Visit Log'!$AE$5:$AE$404,"Completed"))</f>
        <v>0</v>
      </c>
      <c r="AD180" s="31">
        <f>IF(S180="","",COUNTIFS(Clients!$L$5:$L$254,"&gt;="&amp;S180,Clients!$L$5:$L$254,"&lt;="&amp;T180))</f>
        <v>0</v>
      </c>
      <c r="AE180" s="32">
        <f>IF(S180="","",SUMIFS(Mileage!$M$5:$M$304,Mileage!$B$5:$B$304,"&gt;="&amp;S180,Mileage!$B$5:$B$304,"&lt;="&amp;T180,Mileage!$N$5:$N$304,"Business"))</f>
        <v>0</v>
      </c>
      <c r="AF180" s="29">
        <f>IF(S180="","",SUMIFS(Payments!$L$5:$L$304,Payments!$B$5:$B$304,"&gt;="&amp;DATE(Dash_Year-1,ROW()-4,1),Payments!$B$5:$B$304,"&lt;="&amp;EOMONTH(DATE(Dash_Year-1,ROW()-4,1),0)))</f>
        <v>0</v>
      </c>
      <c r="AG180" s="28">
        <f>IF(Staff!$B$180="","",Staff!$B$180)</f>
        <v>0</v>
      </c>
      <c r="AH180" s="31">
        <f>IF(AG180="","",COUNTIFS('Visit Log'!$G$5:$G$404,AG180,'Visit Log'!$C$5:$C$404,"&gt;="&amp;RepFrom,'Visit Log'!$C$5:$C$404,"&lt;="&amp;RepTo,'Visit Log'!$AE$5:$AE$404,"Completed"))</f>
        <v>0</v>
      </c>
      <c r="AI180" s="51">
        <f>IF(AG180="","",ROUND(SUMIFS('Visit Log'!$K$5:$K$404,'Visit Log'!$G$5:$G$404,AG180,'Visit Log'!$C$5:$C$404,"&gt;="&amp;RepFrom,'Visit Log'!$C$5:$C$404,"&lt;="&amp;RepTo,'Visit Log'!$AE$5:$AE$404,"Completed")/60,2))</f>
        <v>0</v>
      </c>
      <c r="AJ180" s="29">
        <f>IF(AG180="","",SUMIFS(Bookings!$AK$5:$AK$404,Bookings!$AL$5:$AL$404,AG180,Bookings!$I$5:$I$404,"&gt;="&amp;RepFrom,Bookings!$I$5:$I$404,"&lt;="&amp;RepTo,Bookings!$AM$5:$AM$404,"&lt;&gt;Cancelled"))</f>
        <v>0</v>
      </c>
      <c r="AK180" s="32">
        <f>IF(AG180="","",SUMIFS(Mileage!$M$5:$M$304,Mileage!$C$5:$C$304,AG180,Mileage!$B$5:$B$304,"&gt;="&amp;RepFrom,Mileage!$B$5:$B$304,"&lt;="&amp;RepTo))</f>
        <v>0</v>
      </c>
      <c r="AL180" s="28">
        <f>IF(Lists!$Q180="","",Lists!$Q180)</f>
        <v>0</v>
      </c>
      <c r="AM180" s="31">
        <f>IF(AL180="","",COUNTIFS(Bookings!$AV$5:$AV$404,AL180,Bookings!$I$5:$I$404,"&gt;="&amp;RepFrom,Bookings!$I$5:$I$404,"&lt;="&amp;RepTo))</f>
        <v>0</v>
      </c>
      <c r="AN180" s="28">
        <f>IF(Lists!$AF180="","",Lists!$AF180)</f>
        <v>0</v>
      </c>
      <c r="AO180" s="29">
        <f>IF(AN180="","",SUMIFS(Payments!$L$5:$L$304,Payments!$F$5:$F$304,AN180,Payments!$B$5:$B$304,"&gt;="&amp;RepFrom,Payments!$B$5:$B$304,"&lt;="&amp;RepTo))</f>
        <v>0</v>
      </c>
      <c r="AP180" s="28">
        <f>IF(Lists!$E180="","",Lists!$E180)</f>
        <v>0</v>
      </c>
      <c r="AQ180" s="31">
        <f>IF(AP180="","",COUNTIFS(Clients!$K$5:$K$254,AP180))</f>
        <v>0</v>
      </c>
      <c r="AR180" s="29">
        <f>IF(AP180="","",SUMIFS(Clients!$AE$5:$AE$254,Clients!$K$5:$K$254,AP180))</f>
        <v>0</v>
      </c>
    </row>
    <row r="181" spans="1:44">
      <c r="A181" s="28">
        <f>IF(Clients!$B$181="","",Clients!$B$181)</f>
        <v>0</v>
      </c>
      <c r="B181" s="29">
        <f>IF(A181="","",SUMIFS(Payments!$L$5:$L$304,Payments!$C$5:$C$304,A181,Payments!$B$5:$B$304,"&gt;="&amp;PeriodStart,Payments!$B$5:$B$304,"&lt;="&amp;PeriodEnd))</f>
        <v>0</v>
      </c>
      <c r="C181" s="51">
        <f>IF(A181="","",IF(B181&lt;=0,"",B181+ROW()/1000000))</f>
        <v>0</v>
      </c>
      <c r="D181" s="29">
        <f>IF(A181="","",SUMIFS(Payments!$L$5:$L$304,Payments!$C$5:$C$304,A181,Payments!$B$5:$B$304,"&gt;="&amp;RepFrom,Payments!$B$5:$B$304,"&lt;="&amp;RepTo))</f>
        <v>0</v>
      </c>
      <c r="E181" s="51">
        <f>IF(A181="","",IF(D181&lt;=0,"",D181+ROW()/1000000))</f>
        <v>0</v>
      </c>
      <c r="F181" s="29">
        <f>IF(A181="","",SUMIFS(Invoices!$S$5:$S$304,Invoices!$D$5:$D$304,A181,Invoices!$T$5:$T$304,"&lt;&gt;Cancelled"))</f>
        <v>0</v>
      </c>
      <c r="G181" s="51">
        <f>IF(A181="","",IF(F181&lt;=0.004,"",F181+ROW()/1000000))</f>
        <v>0</v>
      </c>
      <c r="H181" s="31">
        <f>IF(A181="","",COUNTIFS(Bookings!$C$5:$C$404,A181,Bookings!$I$5:$I$404,"&gt;="&amp;RepFrom,Bookings!$I$5:$I$404,"&lt;="&amp;RepTo,Bookings!$AM$5:$AM$404,"&lt;&gt;Cancelled"))</f>
        <v>0</v>
      </c>
      <c r="I181" s="28">
        <f>IF(Services!$B$181="","",Services!$B$181)</f>
        <v>0</v>
      </c>
      <c r="J181" s="29">
        <f>IF(I181="","",SUMIFS(Bookings!$AK$5:$AK$404,Bookings!$H$5:$H$404,I181,Bookings!$I$5:$I$404,"&gt;="&amp;PeriodStart,Bookings!$I$5:$I$404,"&lt;="&amp;PeriodEnd,Bookings!$AM$5:$AM$404,"&lt;&gt;Cancelled"))</f>
        <v>0</v>
      </c>
      <c r="K181" s="31">
        <f>IF(I181="","",COUNTIFS(Bookings!$H$5:$H$404,I181,Bookings!$I$5:$I$404,"&gt;="&amp;PeriodStart,Bookings!$I$5:$I$404,"&lt;="&amp;PeriodEnd,Bookings!$AM$5:$AM$404,"&lt;&gt;Cancelled"))</f>
        <v>0</v>
      </c>
      <c r="L181" s="29">
        <f>IF(I181="","",SUMIFS(Bookings!$AK$5:$AK$404,Bookings!$H$5:$H$404,I181,Bookings!$I$5:$I$404,"&gt;="&amp;RepFrom,Bookings!$I$5:$I$404,"&lt;="&amp;RepTo,Bookings!$AM$5:$AM$404,"&lt;&gt;Cancelled"))</f>
        <v>0</v>
      </c>
      <c r="M181" s="31">
        <f>IF(I181="","",COUNTIFS(Bookings!$H$5:$H$404,I181,Bookings!$I$5:$I$404,"&gt;="&amp;RepFrom,Bookings!$I$5:$I$404,"&lt;="&amp;RepTo,Bookings!$AM$5:$AM$404,"&lt;&gt;Cancelled"))</f>
        <v>0</v>
      </c>
      <c r="N181" s="29">
        <f>IF(I181="","",M181*IF(Services!$L$181="",0,Services!$L$181))</f>
        <v>0</v>
      </c>
      <c r="O181" s="29">
        <f>IF(I181="","",L181-N181)</f>
        <v>0</v>
      </c>
      <c r="P181" s="28">
        <f>IF(Lists!$AG181="","",Lists!$AG181)</f>
        <v>0</v>
      </c>
      <c r="Q181" s="29">
        <f>IF(P181="","",SUMIFS(Expenses!$F$5:$F$304,Expenses!$C$5:$C$304,P181,Expenses!$B$5:$B$304,"&gt;="&amp;PeriodStart,Expenses!$B$5:$B$304,"&lt;="&amp;PeriodEnd,Expenses!$J$5:$J$304,"&lt;&gt;Personal"))</f>
        <v>0</v>
      </c>
      <c r="R181" s="29">
        <f>IF(P181="","",SUMIFS(Expenses!$F$5:$F$304,Expenses!$C$5:$C$304,P181,Expenses!$B$5:$B$304,"&gt;="&amp;RepFrom,Expenses!$B$5:$B$304,"&lt;="&amp;RepTo,Expenses!$J$5:$J$304,"&lt;&gt;Personal"))</f>
        <v>0</v>
      </c>
      <c r="S181" s="21">
        <f>IF(ROW()-4&gt;12,"",DATE(Dash_Year,ROW()-4,1))</f>
        <v>0</v>
      </c>
      <c r="T181" s="21">
        <f>IF(S181="","",EOMONTH(S181,0))</f>
        <v>0</v>
      </c>
      <c r="U181" s="28">
        <f>IF(S181="","",TEXT(S181,"mmm"))</f>
        <v>0</v>
      </c>
      <c r="V181" s="29">
        <f>IF(S181="","",SUMIFS(Payments!$L$5:$L$304,Payments!$B$5:$B$304,"&gt;="&amp;S181,Payments!$B$5:$B$304,"&lt;="&amp;T181))</f>
        <v>0</v>
      </c>
      <c r="W181" s="29">
        <f>IF(S181="","",SUMIFS(Invoices!$O$5:$O$304,Invoices!$B$5:$B$304,"&gt;="&amp;S181,Invoices!$B$5:$B$304,"&lt;="&amp;T181,Invoices!$T$5:$T$304,"&lt;&gt;Cancelled"))</f>
        <v>0</v>
      </c>
      <c r="X181" s="29">
        <f>IF(S181="","",SUMIFS(Expenses!$F$5:$F$304,Expenses!$B$5:$B$304,"&gt;="&amp;S181,Expenses!$B$5:$B$304,"&lt;="&amp;T181,Expenses!$J$5:$J$304,"&lt;&gt;Personal"))</f>
        <v>0</v>
      </c>
      <c r="Y181" s="29">
        <f>IF(S181="","",V181-X181)</f>
        <v>0</v>
      </c>
      <c r="Z181" s="31">
        <f>IF(S181="","",COUNTIFS(Bookings!$I$5:$I$404,"&gt;="&amp;S181,Bookings!$I$5:$I$404,"&lt;="&amp;T181,Bookings!$AM$5:$AM$404,"&lt;&gt;Cancelled"))</f>
        <v>0</v>
      </c>
      <c r="AA181" s="31">
        <f>IF(S181="","",COUNTIFS(Bookings!$I$5:$I$404,"&gt;="&amp;S181,Bookings!$I$5:$I$404,"&lt;="&amp;T181,Bookings!$AM$5:$AM$404,"Completed"))</f>
        <v>0</v>
      </c>
      <c r="AB181" s="31">
        <f>IF(S181="","",COUNTIFS(Bookings!$I$5:$I$404,"&gt;="&amp;S181,Bookings!$I$5:$I$404,"&lt;="&amp;T181,Bookings!$AM$5:$AM$404,"Cancelled"))</f>
        <v>0</v>
      </c>
      <c r="AC181" s="31">
        <f>IF(S181="","",COUNTIFS('Visit Log'!$C$5:$C$404,"&gt;="&amp;S181,'Visit Log'!$C$5:$C$404,"&lt;="&amp;T181,'Visit Log'!$AE$5:$AE$404,"Completed"))</f>
        <v>0</v>
      </c>
      <c r="AD181" s="31">
        <f>IF(S181="","",COUNTIFS(Clients!$L$5:$L$254,"&gt;="&amp;S181,Clients!$L$5:$L$254,"&lt;="&amp;T181))</f>
        <v>0</v>
      </c>
      <c r="AE181" s="32">
        <f>IF(S181="","",SUMIFS(Mileage!$M$5:$M$304,Mileage!$B$5:$B$304,"&gt;="&amp;S181,Mileage!$B$5:$B$304,"&lt;="&amp;T181,Mileage!$N$5:$N$304,"Business"))</f>
        <v>0</v>
      </c>
      <c r="AF181" s="29">
        <f>IF(S181="","",SUMIFS(Payments!$L$5:$L$304,Payments!$B$5:$B$304,"&gt;="&amp;DATE(Dash_Year-1,ROW()-4,1),Payments!$B$5:$B$304,"&lt;="&amp;EOMONTH(DATE(Dash_Year-1,ROW()-4,1),0)))</f>
        <v>0</v>
      </c>
      <c r="AG181" s="28">
        <f>IF(Staff!$B$181="","",Staff!$B$181)</f>
        <v>0</v>
      </c>
      <c r="AH181" s="31">
        <f>IF(AG181="","",COUNTIFS('Visit Log'!$G$5:$G$404,AG181,'Visit Log'!$C$5:$C$404,"&gt;="&amp;RepFrom,'Visit Log'!$C$5:$C$404,"&lt;="&amp;RepTo,'Visit Log'!$AE$5:$AE$404,"Completed"))</f>
        <v>0</v>
      </c>
      <c r="AI181" s="51">
        <f>IF(AG181="","",ROUND(SUMIFS('Visit Log'!$K$5:$K$404,'Visit Log'!$G$5:$G$404,AG181,'Visit Log'!$C$5:$C$404,"&gt;="&amp;RepFrom,'Visit Log'!$C$5:$C$404,"&lt;="&amp;RepTo,'Visit Log'!$AE$5:$AE$404,"Completed")/60,2))</f>
        <v>0</v>
      </c>
      <c r="AJ181" s="29">
        <f>IF(AG181="","",SUMIFS(Bookings!$AK$5:$AK$404,Bookings!$AL$5:$AL$404,AG181,Bookings!$I$5:$I$404,"&gt;="&amp;RepFrom,Bookings!$I$5:$I$404,"&lt;="&amp;RepTo,Bookings!$AM$5:$AM$404,"&lt;&gt;Cancelled"))</f>
        <v>0</v>
      </c>
      <c r="AK181" s="32">
        <f>IF(AG181="","",SUMIFS(Mileage!$M$5:$M$304,Mileage!$C$5:$C$304,AG181,Mileage!$B$5:$B$304,"&gt;="&amp;RepFrom,Mileage!$B$5:$B$304,"&lt;="&amp;RepTo))</f>
        <v>0</v>
      </c>
      <c r="AL181" s="28">
        <f>IF(Lists!$Q181="","",Lists!$Q181)</f>
        <v>0</v>
      </c>
      <c r="AM181" s="31">
        <f>IF(AL181="","",COUNTIFS(Bookings!$AV$5:$AV$404,AL181,Bookings!$I$5:$I$404,"&gt;="&amp;RepFrom,Bookings!$I$5:$I$404,"&lt;="&amp;RepTo))</f>
        <v>0</v>
      </c>
      <c r="AN181" s="28">
        <f>IF(Lists!$AF181="","",Lists!$AF181)</f>
        <v>0</v>
      </c>
      <c r="AO181" s="29">
        <f>IF(AN181="","",SUMIFS(Payments!$L$5:$L$304,Payments!$F$5:$F$304,AN181,Payments!$B$5:$B$304,"&gt;="&amp;RepFrom,Payments!$B$5:$B$304,"&lt;="&amp;RepTo))</f>
        <v>0</v>
      </c>
      <c r="AP181" s="28">
        <f>IF(Lists!$E181="","",Lists!$E181)</f>
        <v>0</v>
      </c>
      <c r="AQ181" s="31">
        <f>IF(AP181="","",COUNTIFS(Clients!$K$5:$K$254,AP181))</f>
        <v>0</v>
      </c>
      <c r="AR181" s="29">
        <f>IF(AP181="","",SUMIFS(Clients!$AE$5:$AE$254,Clients!$K$5:$K$254,AP181))</f>
        <v>0</v>
      </c>
    </row>
    <row r="182" spans="1:44">
      <c r="A182" s="28">
        <f>IF(Clients!$B$182="","",Clients!$B$182)</f>
        <v>0</v>
      </c>
      <c r="B182" s="29">
        <f>IF(A182="","",SUMIFS(Payments!$L$5:$L$304,Payments!$C$5:$C$304,A182,Payments!$B$5:$B$304,"&gt;="&amp;PeriodStart,Payments!$B$5:$B$304,"&lt;="&amp;PeriodEnd))</f>
        <v>0</v>
      </c>
      <c r="C182" s="51">
        <f>IF(A182="","",IF(B182&lt;=0,"",B182+ROW()/1000000))</f>
        <v>0</v>
      </c>
      <c r="D182" s="29">
        <f>IF(A182="","",SUMIFS(Payments!$L$5:$L$304,Payments!$C$5:$C$304,A182,Payments!$B$5:$B$304,"&gt;="&amp;RepFrom,Payments!$B$5:$B$304,"&lt;="&amp;RepTo))</f>
        <v>0</v>
      </c>
      <c r="E182" s="51">
        <f>IF(A182="","",IF(D182&lt;=0,"",D182+ROW()/1000000))</f>
        <v>0</v>
      </c>
      <c r="F182" s="29">
        <f>IF(A182="","",SUMIFS(Invoices!$S$5:$S$304,Invoices!$D$5:$D$304,A182,Invoices!$T$5:$T$304,"&lt;&gt;Cancelled"))</f>
        <v>0</v>
      </c>
      <c r="G182" s="51">
        <f>IF(A182="","",IF(F182&lt;=0.004,"",F182+ROW()/1000000))</f>
        <v>0</v>
      </c>
      <c r="H182" s="31">
        <f>IF(A182="","",COUNTIFS(Bookings!$C$5:$C$404,A182,Bookings!$I$5:$I$404,"&gt;="&amp;RepFrom,Bookings!$I$5:$I$404,"&lt;="&amp;RepTo,Bookings!$AM$5:$AM$404,"&lt;&gt;Cancelled"))</f>
        <v>0</v>
      </c>
      <c r="I182" s="28">
        <f>IF(Services!$B$182="","",Services!$B$182)</f>
        <v>0</v>
      </c>
      <c r="J182" s="29">
        <f>IF(I182="","",SUMIFS(Bookings!$AK$5:$AK$404,Bookings!$H$5:$H$404,I182,Bookings!$I$5:$I$404,"&gt;="&amp;PeriodStart,Bookings!$I$5:$I$404,"&lt;="&amp;PeriodEnd,Bookings!$AM$5:$AM$404,"&lt;&gt;Cancelled"))</f>
        <v>0</v>
      </c>
      <c r="K182" s="31">
        <f>IF(I182="","",COUNTIFS(Bookings!$H$5:$H$404,I182,Bookings!$I$5:$I$404,"&gt;="&amp;PeriodStart,Bookings!$I$5:$I$404,"&lt;="&amp;PeriodEnd,Bookings!$AM$5:$AM$404,"&lt;&gt;Cancelled"))</f>
        <v>0</v>
      </c>
      <c r="L182" s="29">
        <f>IF(I182="","",SUMIFS(Bookings!$AK$5:$AK$404,Bookings!$H$5:$H$404,I182,Bookings!$I$5:$I$404,"&gt;="&amp;RepFrom,Bookings!$I$5:$I$404,"&lt;="&amp;RepTo,Bookings!$AM$5:$AM$404,"&lt;&gt;Cancelled"))</f>
        <v>0</v>
      </c>
      <c r="M182" s="31">
        <f>IF(I182="","",COUNTIFS(Bookings!$H$5:$H$404,I182,Bookings!$I$5:$I$404,"&gt;="&amp;RepFrom,Bookings!$I$5:$I$404,"&lt;="&amp;RepTo,Bookings!$AM$5:$AM$404,"&lt;&gt;Cancelled"))</f>
        <v>0</v>
      </c>
      <c r="N182" s="29">
        <f>IF(I182="","",M182*IF(Services!$L$182="",0,Services!$L$182))</f>
        <v>0</v>
      </c>
      <c r="O182" s="29">
        <f>IF(I182="","",L182-N182)</f>
        <v>0</v>
      </c>
      <c r="P182" s="28">
        <f>IF(Lists!$AG182="","",Lists!$AG182)</f>
        <v>0</v>
      </c>
      <c r="Q182" s="29">
        <f>IF(P182="","",SUMIFS(Expenses!$F$5:$F$304,Expenses!$C$5:$C$304,P182,Expenses!$B$5:$B$304,"&gt;="&amp;PeriodStart,Expenses!$B$5:$B$304,"&lt;="&amp;PeriodEnd,Expenses!$J$5:$J$304,"&lt;&gt;Personal"))</f>
        <v>0</v>
      </c>
      <c r="R182" s="29">
        <f>IF(P182="","",SUMIFS(Expenses!$F$5:$F$304,Expenses!$C$5:$C$304,P182,Expenses!$B$5:$B$304,"&gt;="&amp;RepFrom,Expenses!$B$5:$B$304,"&lt;="&amp;RepTo,Expenses!$J$5:$J$304,"&lt;&gt;Personal"))</f>
        <v>0</v>
      </c>
      <c r="S182" s="21">
        <f>IF(ROW()-4&gt;12,"",DATE(Dash_Year,ROW()-4,1))</f>
        <v>0</v>
      </c>
      <c r="T182" s="21">
        <f>IF(S182="","",EOMONTH(S182,0))</f>
        <v>0</v>
      </c>
      <c r="U182" s="28">
        <f>IF(S182="","",TEXT(S182,"mmm"))</f>
        <v>0</v>
      </c>
      <c r="V182" s="29">
        <f>IF(S182="","",SUMIFS(Payments!$L$5:$L$304,Payments!$B$5:$B$304,"&gt;="&amp;S182,Payments!$B$5:$B$304,"&lt;="&amp;T182))</f>
        <v>0</v>
      </c>
      <c r="W182" s="29">
        <f>IF(S182="","",SUMIFS(Invoices!$O$5:$O$304,Invoices!$B$5:$B$304,"&gt;="&amp;S182,Invoices!$B$5:$B$304,"&lt;="&amp;T182,Invoices!$T$5:$T$304,"&lt;&gt;Cancelled"))</f>
        <v>0</v>
      </c>
      <c r="X182" s="29">
        <f>IF(S182="","",SUMIFS(Expenses!$F$5:$F$304,Expenses!$B$5:$B$304,"&gt;="&amp;S182,Expenses!$B$5:$B$304,"&lt;="&amp;T182,Expenses!$J$5:$J$304,"&lt;&gt;Personal"))</f>
        <v>0</v>
      </c>
      <c r="Y182" s="29">
        <f>IF(S182="","",V182-X182)</f>
        <v>0</v>
      </c>
      <c r="Z182" s="31">
        <f>IF(S182="","",COUNTIFS(Bookings!$I$5:$I$404,"&gt;="&amp;S182,Bookings!$I$5:$I$404,"&lt;="&amp;T182,Bookings!$AM$5:$AM$404,"&lt;&gt;Cancelled"))</f>
        <v>0</v>
      </c>
      <c r="AA182" s="31">
        <f>IF(S182="","",COUNTIFS(Bookings!$I$5:$I$404,"&gt;="&amp;S182,Bookings!$I$5:$I$404,"&lt;="&amp;T182,Bookings!$AM$5:$AM$404,"Completed"))</f>
        <v>0</v>
      </c>
      <c r="AB182" s="31">
        <f>IF(S182="","",COUNTIFS(Bookings!$I$5:$I$404,"&gt;="&amp;S182,Bookings!$I$5:$I$404,"&lt;="&amp;T182,Bookings!$AM$5:$AM$404,"Cancelled"))</f>
        <v>0</v>
      </c>
      <c r="AC182" s="31">
        <f>IF(S182="","",COUNTIFS('Visit Log'!$C$5:$C$404,"&gt;="&amp;S182,'Visit Log'!$C$5:$C$404,"&lt;="&amp;T182,'Visit Log'!$AE$5:$AE$404,"Completed"))</f>
        <v>0</v>
      </c>
      <c r="AD182" s="31">
        <f>IF(S182="","",COUNTIFS(Clients!$L$5:$L$254,"&gt;="&amp;S182,Clients!$L$5:$L$254,"&lt;="&amp;T182))</f>
        <v>0</v>
      </c>
      <c r="AE182" s="32">
        <f>IF(S182="","",SUMIFS(Mileage!$M$5:$M$304,Mileage!$B$5:$B$304,"&gt;="&amp;S182,Mileage!$B$5:$B$304,"&lt;="&amp;T182,Mileage!$N$5:$N$304,"Business"))</f>
        <v>0</v>
      </c>
      <c r="AF182" s="29">
        <f>IF(S182="","",SUMIFS(Payments!$L$5:$L$304,Payments!$B$5:$B$304,"&gt;="&amp;DATE(Dash_Year-1,ROW()-4,1),Payments!$B$5:$B$304,"&lt;="&amp;EOMONTH(DATE(Dash_Year-1,ROW()-4,1),0)))</f>
        <v>0</v>
      </c>
      <c r="AG182" s="28">
        <f>IF(Staff!$B$182="","",Staff!$B$182)</f>
        <v>0</v>
      </c>
      <c r="AH182" s="31">
        <f>IF(AG182="","",COUNTIFS('Visit Log'!$G$5:$G$404,AG182,'Visit Log'!$C$5:$C$404,"&gt;="&amp;RepFrom,'Visit Log'!$C$5:$C$404,"&lt;="&amp;RepTo,'Visit Log'!$AE$5:$AE$404,"Completed"))</f>
        <v>0</v>
      </c>
      <c r="AI182" s="51">
        <f>IF(AG182="","",ROUND(SUMIFS('Visit Log'!$K$5:$K$404,'Visit Log'!$G$5:$G$404,AG182,'Visit Log'!$C$5:$C$404,"&gt;="&amp;RepFrom,'Visit Log'!$C$5:$C$404,"&lt;="&amp;RepTo,'Visit Log'!$AE$5:$AE$404,"Completed")/60,2))</f>
        <v>0</v>
      </c>
      <c r="AJ182" s="29">
        <f>IF(AG182="","",SUMIFS(Bookings!$AK$5:$AK$404,Bookings!$AL$5:$AL$404,AG182,Bookings!$I$5:$I$404,"&gt;="&amp;RepFrom,Bookings!$I$5:$I$404,"&lt;="&amp;RepTo,Bookings!$AM$5:$AM$404,"&lt;&gt;Cancelled"))</f>
        <v>0</v>
      </c>
      <c r="AK182" s="32">
        <f>IF(AG182="","",SUMIFS(Mileage!$M$5:$M$304,Mileage!$C$5:$C$304,AG182,Mileage!$B$5:$B$304,"&gt;="&amp;RepFrom,Mileage!$B$5:$B$304,"&lt;="&amp;RepTo))</f>
        <v>0</v>
      </c>
      <c r="AL182" s="28">
        <f>IF(Lists!$Q182="","",Lists!$Q182)</f>
        <v>0</v>
      </c>
      <c r="AM182" s="31">
        <f>IF(AL182="","",COUNTIFS(Bookings!$AV$5:$AV$404,AL182,Bookings!$I$5:$I$404,"&gt;="&amp;RepFrom,Bookings!$I$5:$I$404,"&lt;="&amp;RepTo))</f>
        <v>0</v>
      </c>
      <c r="AN182" s="28">
        <f>IF(Lists!$AF182="","",Lists!$AF182)</f>
        <v>0</v>
      </c>
      <c r="AO182" s="29">
        <f>IF(AN182="","",SUMIFS(Payments!$L$5:$L$304,Payments!$F$5:$F$304,AN182,Payments!$B$5:$B$304,"&gt;="&amp;RepFrom,Payments!$B$5:$B$304,"&lt;="&amp;RepTo))</f>
        <v>0</v>
      </c>
      <c r="AP182" s="28">
        <f>IF(Lists!$E182="","",Lists!$E182)</f>
        <v>0</v>
      </c>
      <c r="AQ182" s="31">
        <f>IF(AP182="","",COUNTIFS(Clients!$K$5:$K$254,AP182))</f>
        <v>0</v>
      </c>
      <c r="AR182" s="29">
        <f>IF(AP182="","",SUMIFS(Clients!$AE$5:$AE$254,Clients!$K$5:$K$254,AP182))</f>
        <v>0</v>
      </c>
    </row>
    <row r="183" spans="1:44">
      <c r="A183" s="28">
        <f>IF(Clients!$B$183="","",Clients!$B$183)</f>
        <v>0</v>
      </c>
      <c r="B183" s="29">
        <f>IF(A183="","",SUMIFS(Payments!$L$5:$L$304,Payments!$C$5:$C$304,A183,Payments!$B$5:$B$304,"&gt;="&amp;PeriodStart,Payments!$B$5:$B$304,"&lt;="&amp;PeriodEnd))</f>
        <v>0</v>
      </c>
      <c r="C183" s="51">
        <f>IF(A183="","",IF(B183&lt;=0,"",B183+ROW()/1000000))</f>
        <v>0</v>
      </c>
      <c r="D183" s="29">
        <f>IF(A183="","",SUMIFS(Payments!$L$5:$L$304,Payments!$C$5:$C$304,A183,Payments!$B$5:$B$304,"&gt;="&amp;RepFrom,Payments!$B$5:$B$304,"&lt;="&amp;RepTo))</f>
        <v>0</v>
      </c>
      <c r="E183" s="51">
        <f>IF(A183="","",IF(D183&lt;=0,"",D183+ROW()/1000000))</f>
        <v>0</v>
      </c>
      <c r="F183" s="29">
        <f>IF(A183="","",SUMIFS(Invoices!$S$5:$S$304,Invoices!$D$5:$D$304,A183,Invoices!$T$5:$T$304,"&lt;&gt;Cancelled"))</f>
        <v>0</v>
      </c>
      <c r="G183" s="51">
        <f>IF(A183="","",IF(F183&lt;=0.004,"",F183+ROW()/1000000))</f>
        <v>0</v>
      </c>
      <c r="H183" s="31">
        <f>IF(A183="","",COUNTIFS(Bookings!$C$5:$C$404,A183,Bookings!$I$5:$I$404,"&gt;="&amp;RepFrom,Bookings!$I$5:$I$404,"&lt;="&amp;RepTo,Bookings!$AM$5:$AM$404,"&lt;&gt;Cancelled"))</f>
        <v>0</v>
      </c>
      <c r="I183" s="28">
        <f>IF(Services!$B$183="","",Services!$B$183)</f>
        <v>0</v>
      </c>
      <c r="J183" s="29">
        <f>IF(I183="","",SUMIFS(Bookings!$AK$5:$AK$404,Bookings!$H$5:$H$404,I183,Bookings!$I$5:$I$404,"&gt;="&amp;PeriodStart,Bookings!$I$5:$I$404,"&lt;="&amp;PeriodEnd,Bookings!$AM$5:$AM$404,"&lt;&gt;Cancelled"))</f>
        <v>0</v>
      </c>
      <c r="K183" s="31">
        <f>IF(I183="","",COUNTIFS(Bookings!$H$5:$H$404,I183,Bookings!$I$5:$I$404,"&gt;="&amp;PeriodStart,Bookings!$I$5:$I$404,"&lt;="&amp;PeriodEnd,Bookings!$AM$5:$AM$404,"&lt;&gt;Cancelled"))</f>
        <v>0</v>
      </c>
      <c r="L183" s="29">
        <f>IF(I183="","",SUMIFS(Bookings!$AK$5:$AK$404,Bookings!$H$5:$H$404,I183,Bookings!$I$5:$I$404,"&gt;="&amp;RepFrom,Bookings!$I$5:$I$404,"&lt;="&amp;RepTo,Bookings!$AM$5:$AM$404,"&lt;&gt;Cancelled"))</f>
        <v>0</v>
      </c>
      <c r="M183" s="31">
        <f>IF(I183="","",COUNTIFS(Bookings!$H$5:$H$404,I183,Bookings!$I$5:$I$404,"&gt;="&amp;RepFrom,Bookings!$I$5:$I$404,"&lt;="&amp;RepTo,Bookings!$AM$5:$AM$404,"&lt;&gt;Cancelled"))</f>
        <v>0</v>
      </c>
      <c r="N183" s="29">
        <f>IF(I183="","",M183*IF(Services!$L$183="",0,Services!$L$183))</f>
        <v>0</v>
      </c>
      <c r="O183" s="29">
        <f>IF(I183="","",L183-N183)</f>
        <v>0</v>
      </c>
      <c r="P183" s="28">
        <f>IF(Lists!$AG183="","",Lists!$AG183)</f>
        <v>0</v>
      </c>
      <c r="Q183" s="29">
        <f>IF(P183="","",SUMIFS(Expenses!$F$5:$F$304,Expenses!$C$5:$C$304,P183,Expenses!$B$5:$B$304,"&gt;="&amp;PeriodStart,Expenses!$B$5:$B$304,"&lt;="&amp;PeriodEnd,Expenses!$J$5:$J$304,"&lt;&gt;Personal"))</f>
        <v>0</v>
      </c>
      <c r="R183" s="29">
        <f>IF(P183="","",SUMIFS(Expenses!$F$5:$F$304,Expenses!$C$5:$C$304,P183,Expenses!$B$5:$B$304,"&gt;="&amp;RepFrom,Expenses!$B$5:$B$304,"&lt;="&amp;RepTo,Expenses!$J$5:$J$304,"&lt;&gt;Personal"))</f>
        <v>0</v>
      </c>
      <c r="S183" s="21">
        <f>IF(ROW()-4&gt;12,"",DATE(Dash_Year,ROW()-4,1))</f>
        <v>0</v>
      </c>
      <c r="T183" s="21">
        <f>IF(S183="","",EOMONTH(S183,0))</f>
        <v>0</v>
      </c>
      <c r="U183" s="28">
        <f>IF(S183="","",TEXT(S183,"mmm"))</f>
        <v>0</v>
      </c>
      <c r="V183" s="29">
        <f>IF(S183="","",SUMIFS(Payments!$L$5:$L$304,Payments!$B$5:$B$304,"&gt;="&amp;S183,Payments!$B$5:$B$304,"&lt;="&amp;T183))</f>
        <v>0</v>
      </c>
      <c r="W183" s="29">
        <f>IF(S183="","",SUMIFS(Invoices!$O$5:$O$304,Invoices!$B$5:$B$304,"&gt;="&amp;S183,Invoices!$B$5:$B$304,"&lt;="&amp;T183,Invoices!$T$5:$T$304,"&lt;&gt;Cancelled"))</f>
        <v>0</v>
      </c>
      <c r="X183" s="29">
        <f>IF(S183="","",SUMIFS(Expenses!$F$5:$F$304,Expenses!$B$5:$B$304,"&gt;="&amp;S183,Expenses!$B$5:$B$304,"&lt;="&amp;T183,Expenses!$J$5:$J$304,"&lt;&gt;Personal"))</f>
        <v>0</v>
      </c>
      <c r="Y183" s="29">
        <f>IF(S183="","",V183-X183)</f>
        <v>0</v>
      </c>
      <c r="Z183" s="31">
        <f>IF(S183="","",COUNTIFS(Bookings!$I$5:$I$404,"&gt;="&amp;S183,Bookings!$I$5:$I$404,"&lt;="&amp;T183,Bookings!$AM$5:$AM$404,"&lt;&gt;Cancelled"))</f>
        <v>0</v>
      </c>
      <c r="AA183" s="31">
        <f>IF(S183="","",COUNTIFS(Bookings!$I$5:$I$404,"&gt;="&amp;S183,Bookings!$I$5:$I$404,"&lt;="&amp;T183,Bookings!$AM$5:$AM$404,"Completed"))</f>
        <v>0</v>
      </c>
      <c r="AB183" s="31">
        <f>IF(S183="","",COUNTIFS(Bookings!$I$5:$I$404,"&gt;="&amp;S183,Bookings!$I$5:$I$404,"&lt;="&amp;T183,Bookings!$AM$5:$AM$404,"Cancelled"))</f>
        <v>0</v>
      </c>
      <c r="AC183" s="31">
        <f>IF(S183="","",COUNTIFS('Visit Log'!$C$5:$C$404,"&gt;="&amp;S183,'Visit Log'!$C$5:$C$404,"&lt;="&amp;T183,'Visit Log'!$AE$5:$AE$404,"Completed"))</f>
        <v>0</v>
      </c>
      <c r="AD183" s="31">
        <f>IF(S183="","",COUNTIFS(Clients!$L$5:$L$254,"&gt;="&amp;S183,Clients!$L$5:$L$254,"&lt;="&amp;T183))</f>
        <v>0</v>
      </c>
      <c r="AE183" s="32">
        <f>IF(S183="","",SUMIFS(Mileage!$M$5:$M$304,Mileage!$B$5:$B$304,"&gt;="&amp;S183,Mileage!$B$5:$B$304,"&lt;="&amp;T183,Mileage!$N$5:$N$304,"Business"))</f>
        <v>0</v>
      </c>
      <c r="AF183" s="29">
        <f>IF(S183="","",SUMIFS(Payments!$L$5:$L$304,Payments!$B$5:$B$304,"&gt;="&amp;DATE(Dash_Year-1,ROW()-4,1),Payments!$B$5:$B$304,"&lt;="&amp;EOMONTH(DATE(Dash_Year-1,ROW()-4,1),0)))</f>
        <v>0</v>
      </c>
      <c r="AG183" s="28">
        <f>IF(Staff!$B$183="","",Staff!$B$183)</f>
        <v>0</v>
      </c>
      <c r="AH183" s="31">
        <f>IF(AG183="","",COUNTIFS('Visit Log'!$G$5:$G$404,AG183,'Visit Log'!$C$5:$C$404,"&gt;="&amp;RepFrom,'Visit Log'!$C$5:$C$404,"&lt;="&amp;RepTo,'Visit Log'!$AE$5:$AE$404,"Completed"))</f>
        <v>0</v>
      </c>
      <c r="AI183" s="51">
        <f>IF(AG183="","",ROUND(SUMIFS('Visit Log'!$K$5:$K$404,'Visit Log'!$G$5:$G$404,AG183,'Visit Log'!$C$5:$C$404,"&gt;="&amp;RepFrom,'Visit Log'!$C$5:$C$404,"&lt;="&amp;RepTo,'Visit Log'!$AE$5:$AE$404,"Completed")/60,2))</f>
        <v>0</v>
      </c>
      <c r="AJ183" s="29">
        <f>IF(AG183="","",SUMIFS(Bookings!$AK$5:$AK$404,Bookings!$AL$5:$AL$404,AG183,Bookings!$I$5:$I$404,"&gt;="&amp;RepFrom,Bookings!$I$5:$I$404,"&lt;="&amp;RepTo,Bookings!$AM$5:$AM$404,"&lt;&gt;Cancelled"))</f>
        <v>0</v>
      </c>
      <c r="AK183" s="32">
        <f>IF(AG183="","",SUMIFS(Mileage!$M$5:$M$304,Mileage!$C$5:$C$304,AG183,Mileage!$B$5:$B$304,"&gt;="&amp;RepFrom,Mileage!$B$5:$B$304,"&lt;="&amp;RepTo))</f>
        <v>0</v>
      </c>
      <c r="AL183" s="28">
        <f>IF(Lists!$Q183="","",Lists!$Q183)</f>
        <v>0</v>
      </c>
      <c r="AM183" s="31">
        <f>IF(AL183="","",COUNTIFS(Bookings!$AV$5:$AV$404,AL183,Bookings!$I$5:$I$404,"&gt;="&amp;RepFrom,Bookings!$I$5:$I$404,"&lt;="&amp;RepTo))</f>
        <v>0</v>
      </c>
      <c r="AN183" s="28">
        <f>IF(Lists!$AF183="","",Lists!$AF183)</f>
        <v>0</v>
      </c>
      <c r="AO183" s="29">
        <f>IF(AN183="","",SUMIFS(Payments!$L$5:$L$304,Payments!$F$5:$F$304,AN183,Payments!$B$5:$B$304,"&gt;="&amp;RepFrom,Payments!$B$5:$B$304,"&lt;="&amp;RepTo))</f>
        <v>0</v>
      </c>
      <c r="AP183" s="28">
        <f>IF(Lists!$E183="","",Lists!$E183)</f>
        <v>0</v>
      </c>
      <c r="AQ183" s="31">
        <f>IF(AP183="","",COUNTIFS(Clients!$K$5:$K$254,AP183))</f>
        <v>0</v>
      </c>
      <c r="AR183" s="29">
        <f>IF(AP183="","",SUMIFS(Clients!$AE$5:$AE$254,Clients!$K$5:$K$254,AP183))</f>
        <v>0</v>
      </c>
    </row>
    <row r="184" spans="1:44">
      <c r="A184" s="28">
        <f>IF(Clients!$B$184="","",Clients!$B$184)</f>
        <v>0</v>
      </c>
      <c r="B184" s="29">
        <f>IF(A184="","",SUMIFS(Payments!$L$5:$L$304,Payments!$C$5:$C$304,A184,Payments!$B$5:$B$304,"&gt;="&amp;PeriodStart,Payments!$B$5:$B$304,"&lt;="&amp;PeriodEnd))</f>
        <v>0</v>
      </c>
      <c r="C184" s="51">
        <f>IF(A184="","",IF(B184&lt;=0,"",B184+ROW()/1000000))</f>
        <v>0</v>
      </c>
      <c r="D184" s="29">
        <f>IF(A184="","",SUMIFS(Payments!$L$5:$L$304,Payments!$C$5:$C$304,A184,Payments!$B$5:$B$304,"&gt;="&amp;RepFrom,Payments!$B$5:$B$304,"&lt;="&amp;RepTo))</f>
        <v>0</v>
      </c>
      <c r="E184" s="51">
        <f>IF(A184="","",IF(D184&lt;=0,"",D184+ROW()/1000000))</f>
        <v>0</v>
      </c>
      <c r="F184" s="29">
        <f>IF(A184="","",SUMIFS(Invoices!$S$5:$S$304,Invoices!$D$5:$D$304,A184,Invoices!$T$5:$T$304,"&lt;&gt;Cancelled"))</f>
        <v>0</v>
      </c>
      <c r="G184" s="51">
        <f>IF(A184="","",IF(F184&lt;=0.004,"",F184+ROW()/1000000))</f>
        <v>0</v>
      </c>
      <c r="H184" s="31">
        <f>IF(A184="","",COUNTIFS(Bookings!$C$5:$C$404,A184,Bookings!$I$5:$I$404,"&gt;="&amp;RepFrom,Bookings!$I$5:$I$404,"&lt;="&amp;RepTo,Bookings!$AM$5:$AM$404,"&lt;&gt;Cancelled"))</f>
        <v>0</v>
      </c>
      <c r="I184" s="28">
        <f>IF(Services!$B$184="","",Services!$B$184)</f>
        <v>0</v>
      </c>
      <c r="J184" s="29">
        <f>IF(I184="","",SUMIFS(Bookings!$AK$5:$AK$404,Bookings!$H$5:$H$404,I184,Bookings!$I$5:$I$404,"&gt;="&amp;PeriodStart,Bookings!$I$5:$I$404,"&lt;="&amp;PeriodEnd,Bookings!$AM$5:$AM$404,"&lt;&gt;Cancelled"))</f>
        <v>0</v>
      </c>
      <c r="K184" s="31">
        <f>IF(I184="","",COUNTIFS(Bookings!$H$5:$H$404,I184,Bookings!$I$5:$I$404,"&gt;="&amp;PeriodStart,Bookings!$I$5:$I$404,"&lt;="&amp;PeriodEnd,Bookings!$AM$5:$AM$404,"&lt;&gt;Cancelled"))</f>
        <v>0</v>
      </c>
      <c r="L184" s="29">
        <f>IF(I184="","",SUMIFS(Bookings!$AK$5:$AK$404,Bookings!$H$5:$H$404,I184,Bookings!$I$5:$I$404,"&gt;="&amp;RepFrom,Bookings!$I$5:$I$404,"&lt;="&amp;RepTo,Bookings!$AM$5:$AM$404,"&lt;&gt;Cancelled"))</f>
        <v>0</v>
      </c>
      <c r="M184" s="31">
        <f>IF(I184="","",COUNTIFS(Bookings!$H$5:$H$404,I184,Bookings!$I$5:$I$404,"&gt;="&amp;RepFrom,Bookings!$I$5:$I$404,"&lt;="&amp;RepTo,Bookings!$AM$5:$AM$404,"&lt;&gt;Cancelled"))</f>
        <v>0</v>
      </c>
      <c r="N184" s="29">
        <f>IF(I184="","",M184*IF(Services!$L$184="",0,Services!$L$184))</f>
        <v>0</v>
      </c>
      <c r="O184" s="29">
        <f>IF(I184="","",L184-N184)</f>
        <v>0</v>
      </c>
      <c r="P184" s="28">
        <f>IF(Lists!$AG184="","",Lists!$AG184)</f>
        <v>0</v>
      </c>
      <c r="Q184" s="29">
        <f>IF(P184="","",SUMIFS(Expenses!$F$5:$F$304,Expenses!$C$5:$C$304,P184,Expenses!$B$5:$B$304,"&gt;="&amp;PeriodStart,Expenses!$B$5:$B$304,"&lt;="&amp;PeriodEnd,Expenses!$J$5:$J$304,"&lt;&gt;Personal"))</f>
        <v>0</v>
      </c>
      <c r="R184" s="29">
        <f>IF(P184="","",SUMIFS(Expenses!$F$5:$F$304,Expenses!$C$5:$C$304,P184,Expenses!$B$5:$B$304,"&gt;="&amp;RepFrom,Expenses!$B$5:$B$304,"&lt;="&amp;RepTo,Expenses!$J$5:$J$304,"&lt;&gt;Personal"))</f>
        <v>0</v>
      </c>
      <c r="S184" s="21">
        <f>IF(ROW()-4&gt;12,"",DATE(Dash_Year,ROW()-4,1))</f>
        <v>0</v>
      </c>
      <c r="T184" s="21">
        <f>IF(S184="","",EOMONTH(S184,0))</f>
        <v>0</v>
      </c>
      <c r="U184" s="28">
        <f>IF(S184="","",TEXT(S184,"mmm"))</f>
        <v>0</v>
      </c>
      <c r="V184" s="29">
        <f>IF(S184="","",SUMIFS(Payments!$L$5:$L$304,Payments!$B$5:$B$304,"&gt;="&amp;S184,Payments!$B$5:$B$304,"&lt;="&amp;T184))</f>
        <v>0</v>
      </c>
      <c r="W184" s="29">
        <f>IF(S184="","",SUMIFS(Invoices!$O$5:$O$304,Invoices!$B$5:$B$304,"&gt;="&amp;S184,Invoices!$B$5:$B$304,"&lt;="&amp;T184,Invoices!$T$5:$T$304,"&lt;&gt;Cancelled"))</f>
        <v>0</v>
      </c>
      <c r="X184" s="29">
        <f>IF(S184="","",SUMIFS(Expenses!$F$5:$F$304,Expenses!$B$5:$B$304,"&gt;="&amp;S184,Expenses!$B$5:$B$304,"&lt;="&amp;T184,Expenses!$J$5:$J$304,"&lt;&gt;Personal"))</f>
        <v>0</v>
      </c>
      <c r="Y184" s="29">
        <f>IF(S184="","",V184-X184)</f>
        <v>0</v>
      </c>
      <c r="Z184" s="31">
        <f>IF(S184="","",COUNTIFS(Bookings!$I$5:$I$404,"&gt;="&amp;S184,Bookings!$I$5:$I$404,"&lt;="&amp;T184,Bookings!$AM$5:$AM$404,"&lt;&gt;Cancelled"))</f>
        <v>0</v>
      </c>
      <c r="AA184" s="31">
        <f>IF(S184="","",COUNTIFS(Bookings!$I$5:$I$404,"&gt;="&amp;S184,Bookings!$I$5:$I$404,"&lt;="&amp;T184,Bookings!$AM$5:$AM$404,"Completed"))</f>
        <v>0</v>
      </c>
      <c r="AB184" s="31">
        <f>IF(S184="","",COUNTIFS(Bookings!$I$5:$I$404,"&gt;="&amp;S184,Bookings!$I$5:$I$404,"&lt;="&amp;T184,Bookings!$AM$5:$AM$404,"Cancelled"))</f>
        <v>0</v>
      </c>
      <c r="AC184" s="31">
        <f>IF(S184="","",COUNTIFS('Visit Log'!$C$5:$C$404,"&gt;="&amp;S184,'Visit Log'!$C$5:$C$404,"&lt;="&amp;T184,'Visit Log'!$AE$5:$AE$404,"Completed"))</f>
        <v>0</v>
      </c>
      <c r="AD184" s="31">
        <f>IF(S184="","",COUNTIFS(Clients!$L$5:$L$254,"&gt;="&amp;S184,Clients!$L$5:$L$254,"&lt;="&amp;T184))</f>
        <v>0</v>
      </c>
      <c r="AE184" s="32">
        <f>IF(S184="","",SUMIFS(Mileage!$M$5:$M$304,Mileage!$B$5:$B$304,"&gt;="&amp;S184,Mileage!$B$5:$B$304,"&lt;="&amp;T184,Mileage!$N$5:$N$304,"Business"))</f>
        <v>0</v>
      </c>
      <c r="AF184" s="29">
        <f>IF(S184="","",SUMIFS(Payments!$L$5:$L$304,Payments!$B$5:$B$304,"&gt;="&amp;DATE(Dash_Year-1,ROW()-4,1),Payments!$B$5:$B$304,"&lt;="&amp;EOMONTH(DATE(Dash_Year-1,ROW()-4,1),0)))</f>
        <v>0</v>
      </c>
      <c r="AG184" s="28">
        <f>IF(Staff!$B$184="","",Staff!$B$184)</f>
        <v>0</v>
      </c>
      <c r="AH184" s="31">
        <f>IF(AG184="","",COUNTIFS('Visit Log'!$G$5:$G$404,AG184,'Visit Log'!$C$5:$C$404,"&gt;="&amp;RepFrom,'Visit Log'!$C$5:$C$404,"&lt;="&amp;RepTo,'Visit Log'!$AE$5:$AE$404,"Completed"))</f>
        <v>0</v>
      </c>
      <c r="AI184" s="51">
        <f>IF(AG184="","",ROUND(SUMIFS('Visit Log'!$K$5:$K$404,'Visit Log'!$G$5:$G$404,AG184,'Visit Log'!$C$5:$C$404,"&gt;="&amp;RepFrom,'Visit Log'!$C$5:$C$404,"&lt;="&amp;RepTo,'Visit Log'!$AE$5:$AE$404,"Completed")/60,2))</f>
        <v>0</v>
      </c>
      <c r="AJ184" s="29">
        <f>IF(AG184="","",SUMIFS(Bookings!$AK$5:$AK$404,Bookings!$AL$5:$AL$404,AG184,Bookings!$I$5:$I$404,"&gt;="&amp;RepFrom,Bookings!$I$5:$I$404,"&lt;="&amp;RepTo,Bookings!$AM$5:$AM$404,"&lt;&gt;Cancelled"))</f>
        <v>0</v>
      </c>
      <c r="AK184" s="32">
        <f>IF(AG184="","",SUMIFS(Mileage!$M$5:$M$304,Mileage!$C$5:$C$304,AG184,Mileage!$B$5:$B$304,"&gt;="&amp;RepFrom,Mileage!$B$5:$B$304,"&lt;="&amp;RepTo))</f>
        <v>0</v>
      </c>
      <c r="AL184" s="28">
        <f>IF(Lists!$Q184="","",Lists!$Q184)</f>
        <v>0</v>
      </c>
      <c r="AM184" s="31">
        <f>IF(AL184="","",COUNTIFS(Bookings!$AV$5:$AV$404,AL184,Bookings!$I$5:$I$404,"&gt;="&amp;RepFrom,Bookings!$I$5:$I$404,"&lt;="&amp;RepTo))</f>
        <v>0</v>
      </c>
      <c r="AN184" s="28">
        <f>IF(Lists!$AF184="","",Lists!$AF184)</f>
        <v>0</v>
      </c>
      <c r="AO184" s="29">
        <f>IF(AN184="","",SUMIFS(Payments!$L$5:$L$304,Payments!$F$5:$F$304,AN184,Payments!$B$5:$B$304,"&gt;="&amp;RepFrom,Payments!$B$5:$B$304,"&lt;="&amp;RepTo))</f>
        <v>0</v>
      </c>
      <c r="AP184" s="28">
        <f>IF(Lists!$E184="","",Lists!$E184)</f>
        <v>0</v>
      </c>
      <c r="AQ184" s="31">
        <f>IF(AP184="","",COUNTIFS(Clients!$K$5:$K$254,AP184))</f>
        <v>0</v>
      </c>
      <c r="AR184" s="29">
        <f>IF(AP184="","",SUMIFS(Clients!$AE$5:$AE$254,Clients!$K$5:$K$254,AP184))</f>
        <v>0</v>
      </c>
    </row>
    <row r="185" spans="1:44">
      <c r="A185" s="28">
        <f>IF(Clients!$B$185="","",Clients!$B$185)</f>
        <v>0</v>
      </c>
      <c r="B185" s="29">
        <f>IF(A185="","",SUMIFS(Payments!$L$5:$L$304,Payments!$C$5:$C$304,A185,Payments!$B$5:$B$304,"&gt;="&amp;PeriodStart,Payments!$B$5:$B$304,"&lt;="&amp;PeriodEnd))</f>
        <v>0</v>
      </c>
      <c r="C185" s="51">
        <f>IF(A185="","",IF(B185&lt;=0,"",B185+ROW()/1000000))</f>
        <v>0</v>
      </c>
      <c r="D185" s="29">
        <f>IF(A185="","",SUMIFS(Payments!$L$5:$L$304,Payments!$C$5:$C$304,A185,Payments!$B$5:$B$304,"&gt;="&amp;RepFrom,Payments!$B$5:$B$304,"&lt;="&amp;RepTo))</f>
        <v>0</v>
      </c>
      <c r="E185" s="51">
        <f>IF(A185="","",IF(D185&lt;=0,"",D185+ROW()/1000000))</f>
        <v>0</v>
      </c>
      <c r="F185" s="29">
        <f>IF(A185="","",SUMIFS(Invoices!$S$5:$S$304,Invoices!$D$5:$D$304,A185,Invoices!$T$5:$T$304,"&lt;&gt;Cancelled"))</f>
        <v>0</v>
      </c>
      <c r="G185" s="51">
        <f>IF(A185="","",IF(F185&lt;=0.004,"",F185+ROW()/1000000))</f>
        <v>0</v>
      </c>
      <c r="H185" s="31">
        <f>IF(A185="","",COUNTIFS(Bookings!$C$5:$C$404,A185,Bookings!$I$5:$I$404,"&gt;="&amp;RepFrom,Bookings!$I$5:$I$404,"&lt;="&amp;RepTo,Bookings!$AM$5:$AM$404,"&lt;&gt;Cancelled"))</f>
        <v>0</v>
      </c>
      <c r="I185" s="28">
        <f>IF(Services!$B$185="","",Services!$B$185)</f>
        <v>0</v>
      </c>
      <c r="J185" s="29">
        <f>IF(I185="","",SUMIFS(Bookings!$AK$5:$AK$404,Bookings!$H$5:$H$404,I185,Bookings!$I$5:$I$404,"&gt;="&amp;PeriodStart,Bookings!$I$5:$I$404,"&lt;="&amp;PeriodEnd,Bookings!$AM$5:$AM$404,"&lt;&gt;Cancelled"))</f>
        <v>0</v>
      </c>
      <c r="K185" s="31">
        <f>IF(I185="","",COUNTIFS(Bookings!$H$5:$H$404,I185,Bookings!$I$5:$I$404,"&gt;="&amp;PeriodStart,Bookings!$I$5:$I$404,"&lt;="&amp;PeriodEnd,Bookings!$AM$5:$AM$404,"&lt;&gt;Cancelled"))</f>
        <v>0</v>
      </c>
      <c r="L185" s="29">
        <f>IF(I185="","",SUMIFS(Bookings!$AK$5:$AK$404,Bookings!$H$5:$H$404,I185,Bookings!$I$5:$I$404,"&gt;="&amp;RepFrom,Bookings!$I$5:$I$404,"&lt;="&amp;RepTo,Bookings!$AM$5:$AM$404,"&lt;&gt;Cancelled"))</f>
        <v>0</v>
      </c>
      <c r="M185" s="31">
        <f>IF(I185="","",COUNTIFS(Bookings!$H$5:$H$404,I185,Bookings!$I$5:$I$404,"&gt;="&amp;RepFrom,Bookings!$I$5:$I$404,"&lt;="&amp;RepTo,Bookings!$AM$5:$AM$404,"&lt;&gt;Cancelled"))</f>
        <v>0</v>
      </c>
      <c r="N185" s="29">
        <f>IF(I185="","",M185*IF(Services!$L$185="",0,Services!$L$185))</f>
        <v>0</v>
      </c>
      <c r="O185" s="29">
        <f>IF(I185="","",L185-N185)</f>
        <v>0</v>
      </c>
      <c r="P185" s="28">
        <f>IF(Lists!$AG185="","",Lists!$AG185)</f>
        <v>0</v>
      </c>
      <c r="Q185" s="29">
        <f>IF(P185="","",SUMIFS(Expenses!$F$5:$F$304,Expenses!$C$5:$C$304,P185,Expenses!$B$5:$B$304,"&gt;="&amp;PeriodStart,Expenses!$B$5:$B$304,"&lt;="&amp;PeriodEnd,Expenses!$J$5:$J$304,"&lt;&gt;Personal"))</f>
        <v>0</v>
      </c>
      <c r="R185" s="29">
        <f>IF(P185="","",SUMIFS(Expenses!$F$5:$F$304,Expenses!$C$5:$C$304,P185,Expenses!$B$5:$B$304,"&gt;="&amp;RepFrom,Expenses!$B$5:$B$304,"&lt;="&amp;RepTo,Expenses!$J$5:$J$304,"&lt;&gt;Personal"))</f>
        <v>0</v>
      </c>
      <c r="S185" s="21">
        <f>IF(ROW()-4&gt;12,"",DATE(Dash_Year,ROW()-4,1))</f>
        <v>0</v>
      </c>
      <c r="T185" s="21">
        <f>IF(S185="","",EOMONTH(S185,0))</f>
        <v>0</v>
      </c>
      <c r="U185" s="28">
        <f>IF(S185="","",TEXT(S185,"mmm"))</f>
        <v>0</v>
      </c>
      <c r="V185" s="29">
        <f>IF(S185="","",SUMIFS(Payments!$L$5:$L$304,Payments!$B$5:$B$304,"&gt;="&amp;S185,Payments!$B$5:$B$304,"&lt;="&amp;T185))</f>
        <v>0</v>
      </c>
      <c r="W185" s="29">
        <f>IF(S185="","",SUMIFS(Invoices!$O$5:$O$304,Invoices!$B$5:$B$304,"&gt;="&amp;S185,Invoices!$B$5:$B$304,"&lt;="&amp;T185,Invoices!$T$5:$T$304,"&lt;&gt;Cancelled"))</f>
        <v>0</v>
      </c>
      <c r="X185" s="29">
        <f>IF(S185="","",SUMIFS(Expenses!$F$5:$F$304,Expenses!$B$5:$B$304,"&gt;="&amp;S185,Expenses!$B$5:$B$304,"&lt;="&amp;T185,Expenses!$J$5:$J$304,"&lt;&gt;Personal"))</f>
        <v>0</v>
      </c>
      <c r="Y185" s="29">
        <f>IF(S185="","",V185-X185)</f>
        <v>0</v>
      </c>
      <c r="Z185" s="31">
        <f>IF(S185="","",COUNTIFS(Bookings!$I$5:$I$404,"&gt;="&amp;S185,Bookings!$I$5:$I$404,"&lt;="&amp;T185,Bookings!$AM$5:$AM$404,"&lt;&gt;Cancelled"))</f>
        <v>0</v>
      </c>
      <c r="AA185" s="31">
        <f>IF(S185="","",COUNTIFS(Bookings!$I$5:$I$404,"&gt;="&amp;S185,Bookings!$I$5:$I$404,"&lt;="&amp;T185,Bookings!$AM$5:$AM$404,"Completed"))</f>
        <v>0</v>
      </c>
      <c r="AB185" s="31">
        <f>IF(S185="","",COUNTIFS(Bookings!$I$5:$I$404,"&gt;="&amp;S185,Bookings!$I$5:$I$404,"&lt;="&amp;T185,Bookings!$AM$5:$AM$404,"Cancelled"))</f>
        <v>0</v>
      </c>
      <c r="AC185" s="31">
        <f>IF(S185="","",COUNTIFS('Visit Log'!$C$5:$C$404,"&gt;="&amp;S185,'Visit Log'!$C$5:$C$404,"&lt;="&amp;T185,'Visit Log'!$AE$5:$AE$404,"Completed"))</f>
        <v>0</v>
      </c>
      <c r="AD185" s="31">
        <f>IF(S185="","",COUNTIFS(Clients!$L$5:$L$254,"&gt;="&amp;S185,Clients!$L$5:$L$254,"&lt;="&amp;T185))</f>
        <v>0</v>
      </c>
      <c r="AE185" s="32">
        <f>IF(S185="","",SUMIFS(Mileage!$M$5:$M$304,Mileage!$B$5:$B$304,"&gt;="&amp;S185,Mileage!$B$5:$B$304,"&lt;="&amp;T185,Mileage!$N$5:$N$304,"Business"))</f>
        <v>0</v>
      </c>
      <c r="AF185" s="29">
        <f>IF(S185="","",SUMIFS(Payments!$L$5:$L$304,Payments!$B$5:$B$304,"&gt;="&amp;DATE(Dash_Year-1,ROW()-4,1),Payments!$B$5:$B$304,"&lt;="&amp;EOMONTH(DATE(Dash_Year-1,ROW()-4,1),0)))</f>
        <v>0</v>
      </c>
      <c r="AG185" s="28">
        <f>IF(Staff!$B$185="","",Staff!$B$185)</f>
        <v>0</v>
      </c>
      <c r="AH185" s="31">
        <f>IF(AG185="","",COUNTIFS('Visit Log'!$G$5:$G$404,AG185,'Visit Log'!$C$5:$C$404,"&gt;="&amp;RepFrom,'Visit Log'!$C$5:$C$404,"&lt;="&amp;RepTo,'Visit Log'!$AE$5:$AE$404,"Completed"))</f>
        <v>0</v>
      </c>
      <c r="AI185" s="51">
        <f>IF(AG185="","",ROUND(SUMIFS('Visit Log'!$K$5:$K$404,'Visit Log'!$G$5:$G$404,AG185,'Visit Log'!$C$5:$C$404,"&gt;="&amp;RepFrom,'Visit Log'!$C$5:$C$404,"&lt;="&amp;RepTo,'Visit Log'!$AE$5:$AE$404,"Completed")/60,2))</f>
        <v>0</v>
      </c>
      <c r="AJ185" s="29">
        <f>IF(AG185="","",SUMIFS(Bookings!$AK$5:$AK$404,Bookings!$AL$5:$AL$404,AG185,Bookings!$I$5:$I$404,"&gt;="&amp;RepFrom,Bookings!$I$5:$I$404,"&lt;="&amp;RepTo,Bookings!$AM$5:$AM$404,"&lt;&gt;Cancelled"))</f>
        <v>0</v>
      </c>
      <c r="AK185" s="32">
        <f>IF(AG185="","",SUMIFS(Mileage!$M$5:$M$304,Mileage!$C$5:$C$304,AG185,Mileage!$B$5:$B$304,"&gt;="&amp;RepFrom,Mileage!$B$5:$B$304,"&lt;="&amp;RepTo))</f>
        <v>0</v>
      </c>
      <c r="AL185" s="28">
        <f>IF(Lists!$Q185="","",Lists!$Q185)</f>
        <v>0</v>
      </c>
      <c r="AM185" s="31">
        <f>IF(AL185="","",COUNTIFS(Bookings!$AV$5:$AV$404,AL185,Bookings!$I$5:$I$404,"&gt;="&amp;RepFrom,Bookings!$I$5:$I$404,"&lt;="&amp;RepTo))</f>
        <v>0</v>
      </c>
      <c r="AN185" s="28">
        <f>IF(Lists!$AF185="","",Lists!$AF185)</f>
        <v>0</v>
      </c>
      <c r="AO185" s="29">
        <f>IF(AN185="","",SUMIFS(Payments!$L$5:$L$304,Payments!$F$5:$F$304,AN185,Payments!$B$5:$B$304,"&gt;="&amp;RepFrom,Payments!$B$5:$B$304,"&lt;="&amp;RepTo))</f>
        <v>0</v>
      </c>
      <c r="AP185" s="28">
        <f>IF(Lists!$E185="","",Lists!$E185)</f>
        <v>0</v>
      </c>
      <c r="AQ185" s="31">
        <f>IF(AP185="","",COUNTIFS(Clients!$K$5:$K$254,AP185))</f>
        <v>0</v>
      </c>
      <c r="AR185" s="29">
        <f>IF(AP185="","",SUMIFS(Clients!$AE$5:$AE$254,Clients!$K$5:$K$254,AP185))</f>
        <v>0</v>
      </c>
    </row>
    <row r="186" spans="1:44">
      <c r="A186" s="28">
        <f>IF(Clients!$B$186="","",Clients!$B$186)</f>
        <v>0</v>
      </c>
      <c r="B186" s="29">
        <f>IF(A186="","",SUMIFS(Payments!$L$5:$L$304,Payments!$C$5:$C$304,A186,Payments!$B$5:$B$304,"&gt;="&amp;PeriodStart,Payments!$B$5:$B$304,"&lt;="&amp;PeriodEnd))</f>
        <v>0</v>
      </c>
      <c r="C186" s="51">
        <f>IF(A186="","",IF(B186&lt;=0,"",B186+ROW()/1000000))</f>
        <v>0</v>
      </c>
      <c r="D186" s="29">
        <f>IF(A186="","",SUMIFS(Payments!$L$5:$L$304,Payments!$C$5:$C$304,A186,Payments!$B$5:$B$304,"&gt;="&amp;RepFrom,Payments!$B$5:$B$304,"&lt;="&amp;RepTo))</f>
        <v>0</v>
      </c>
      <c r="E186" s="51">
        <f>IF(A186="","",IF(D186&lt;=0,"",D186+ROW()/1000000))</f>
        <v>0</v>
      </c>
      <c r="F186" s="29">
        <f>IF(A186="","",SUMIFS(Invoices!$S$5:$S$304,Invoices!$D$5:$D$304,A186,Invoices!$T$5:$T$304,"&lt;&gt;Cancelled"))</f>
        <v>0</v>
      </c>
      <c r="G186" s="51">
        <f>IF(A186="","",IF(F186&lt;=0.004,"",F186+ROW()/1000000))</f>
        <v>0</v>
      </c>
      <c r="H186" s="31">
        <f>IF(A186="","",COUNTIFS(Bookings!$C$5:$C$404,A186,Bookings!$I$5:$I$404,"&gt;="&amp;RepFrom,Bookings!$I$5:$I$404,"&lt;="&amp;RepTo,Bookings!$AM$5:$AM$404,"&lt;&gt;Cancelled"))</f>
        <v>0</v>
      </c>
      <c r="I186" s="28">
        <f>IF(Services!$B$186="","",Services!$B$186)</f>
        <v>0</v>
      </c>
      <c r="J186" s="29">
        <f>IF(I186="","",SUMIFS(Bookings!$AK$5:$AK$404,Bookings!$H$5:$H$404,I186,Bookings!$I$5:$I$404,"&gt;="&amp;PeriodStart,Bookings!$I$5:$I$404,"&lt;="&amp;PeriodEnd,Bookings!$AM$5:$AM$404,"&lt;&gt;Cancelled"))</f>
        <v>0</v>
      </c>
      <c r="K186" s="31">
        <f>IF(I186="","",COUNTIFS(Bookings!$H$5:$H$404,I186,Bookings!$I$5:$I$404,"&gt;="&amp;PeriodStart,Bookings!$I$5:$I$404,"&lt;="&amp;PeriodEnd,Bookings!$AM$5:$AM$404,"&lt;&gt;Cancelled"))</f>
        <v>0</v>
      </c>
      <c r="L186" s="29">
        <f>IF(I186="","",SUMIFS(Bookings!$AK$5:$AK$404,Bookings!$H$5:$H$404,I186,Bookings!$I$5:$I$404,"&gt;="&amp;RepFrom,Bookings!$I$5:$I$404,"&lt;="&amp;RepTo,Bookings!$AM$5:$AM$404,"&lt;&gt;Cancelled"))</f>
        <v>0</v>
      </c>
      <c r="M186" s="31">
        <f>IF(I186="","",COUNTIFS(Bookings!$H$5:$H$404,I186,Bookings!$I$5:$I$404,"&gt;="&amp;RepFrom,Bookings!$I$5:$I$404,"&lt;="&amp;RepTo,Bookings!$AM$5:$AM$404,"&lt;&gt;Cancelled"))</f>
        <v>0</v>
      </c>
      <c r="N186" s="29">
        <f>IF(I186="","",M186*IF(Services!$L$186="",0,Services!$L$186))</f>
        <v>0</v>
      </c>
      <c r="O186" s="29">
        <f>IF(I186="","",L186-N186)</f>
        <v>0</v>
      </c>
      <c r="P186" s="28">
        <f>IF(Lists!$AG186="","",Lists!$AG186)</f>
        <v>0</v>
      </c>
      <c r="Q186" s="29">
        <f>IF(P186="","",SUMIFS(Expenses!$F$5:$F$304,Expenses!$C$5:$C$304,P186,Expenses!$B$5:$B$304,"&gt;="&amp;PeriodStart,Expenses!$B$5:$B$304,"&lt;="&amp;PeriodEnd,Expenses!$J$5:$J$304,"&lt;&gt;Personal"))</f>
        <v>0</v>
      </c>
      <c r="R186" s="29">
        <f>IF(P186="","",SUMIFS(Expenses!$F$5:$F$304,Expenses!$C$5:$C$304,P186,Expenses!$B$5:$B$304,"&gt;="&amp;RepFrom,Expenses!$B$5:$B$304,"&lt;="&amp;RepTo,Expenses!$J$5:$J$304,"&lt;&gt;Personal"))</f>
        <v>0</v>
      </c>
      <c r="S186" s="21">
        <f>IF(ROW()-4&gt;12,"",DATE(Dash_Year,ROW()-4,1))</f>
        <v>0</v>
      </c>
      <c r="T186" s="21">
        <f>IF(S186="","",EOMONTH(S186,0))</f>
        <v>0</v>
      </c>
      <c r="U186" s="28">
        <f>IF(S186="","",TEXT(S186,"mmm"))</f>
        <v>0</v>
      </c>
      <c r="V186" s="29">
        <f>IF(S186="","",SUMIFS(Payments!$L$5:$L$304,Payments!$B$5:$B$304,"&gt;="&amp;S186,Payments!$B$5:$B$304,"&lt;="&amp;T186))</f>
        <v>0</v>
      </c>
      <c r="W186" s="29">
        <f>IF(S186="","",SUMIFS(Invoices!$O$5:$O$304,Invoices!$B$5:$B$304,"&gt;="&amp;S186,Invoices!$B$5:$B$304,"&lt;="&amp;T186,Invoices!$T$5:$T$304,"&lt;&gt;Cancelled"))</f>
        <v>0</v>
      </c>
      <c r="X186" s="29">
        <f>IF(S186="","",SUMIFS(Expenses!$F$5:$F$304,Expenses!$B$5:$B$304,"&gt;="&amp;S186,Expenses!$B$5:$B$304,"&lt;="&amp;T186,Expenses!$J$5:$J$304,"&lt;&gt;Personal"))</f>
        <v>0</v>
      </c>
      <c r="Y186" s="29">
        <f>IF(S186="","",V186-X186)</f>
        <v>0</v>
      </c>
      <c r="Z186" s="31">
        <f>IF(S186="","",COUNTIFS(Bookings!$I$5:$I$404,"&gt;="&amp;S186,Bookings!$I$5:$I$404,"&lt;="&amp;T186,Bookings!$AM$5:$AM$404,"&lt;&gt;Cancelled"))</f>
        <v>0</v>
      </c>
      <c r="AA186" s="31">
        <f>IF(S186="","",COUNTIFS(Bookings!$I$5:$I$404,"&gt;="&amp;S186,Bookings!$I$5:$I$404,"&lt;="&amp;T186,Bookings!$AM$5:$AM$404,"Completed"))</f>
        <v>0</v>
      </c>
      <c r="AB186" s="31">
        <f>IF(S186="","",COUNTIFS(Bookings!$I$5:$I$404,"&gt;="&amp;S186,Bookings!$I$5:$I$404,"&lt;="&amp;T186,Bookings!$AM$5:$AM$404,"Cancelled"))</f>
        <v>0</v>
      </c>
      <c r="AC186" s="31">
        <f>IF(S186="","",COUNTIFS('Visit Log'!$C$5:$C$404,"&gt;="&amp;S186,'Visit Log'!$C$5:$C$404,"&lt;="&amp;T186,'Visit Log'!$AE$5:$AE$404,"Completed"))</f>
        <v>0</v>
      </c>
      <c r="AD186" s="31">
        <f>IF(S186="","",COUNTIFS(Clients!$L$5:$L$254,"&gt;="&amp;S186,Clients!$L$5:$L$254,"&lt;="&amp;T186))</f>
        <v>0</v>
      </c>
      <c r="AE186" s="32">
        <f>IF(S186="","",SUMIFS(Mileage!$M$5:$M$304,Mileage!$B$5:$B$304,"&gt;="&amp;S186,Mileage!$B$5:$B$304,"&lt;="&amp;T186,Mileage!$N$5:$N$304,"Business"))</f>
        <v>0</v>
      </c>
      <c r="AF186" s="29">
        <f>IF(S186="","",SUMIFS(Payments!$L$5:$L$304,Payments!$B$5:$B$304,"&gt;="&amp;DATE(Dash_Year-1,ROW()-4,1),Payments!$B$5:$B$304,"&lt;="&amp;EOMONTH(DATE(Dash_Year-1,ROW()-4,1),0)))</f>
        <v>0</v>
      </c>
      <c r="AG186" s="28">
        <f>IF(Staff!$B$186="","",Staff!$B$186)</f>
        <v>0</v>
      </c>
      <c r="AH186" s="31">
        <f>IF(AG186="","",COUNTIFS('Visit Log'!$G$5:$G$404,AG186,'Visit Log'!$C$5:$C$404,"&gt;="&amp;RepFrom,'Visit Log'!$C$5:$C$404,"&lt;="&amp;RepTo,'Visit Log'!$AE$5:$AE$404,"Completed"))</f>
        <v>0</v>
      </c>
      <c r="AI186" s="51">
        <f>IF(AG186="","",ROUND(SUMIFS('Visit Log'!$K$5:$K$404,'Visit Log'!$G$5:$G$404,AG186,'Visit Log'!$C$5:$C$404,"&gt;="&amp;RepFrom,'Visit Log'!$C$5:$C$404,"&lt;="&amp;RepTo,'Visit Log'!$AE$5:$AE$404,"Completed")/60,2))</f>
        <v>0</v>
      </c>
      <c r="AJ186" s="29">
        <f>IF(AG186="","",SUMIFS(Bookings!$AK$5:$AK$404,Bookings!$AL$5:$AL$404,AG186,Bookings!$I$5:$I$404,"&gt;="&amp;RepFrom,Bookings!$I$5:$I$404,"&lt;="&amp;RepTo,Bookings!$AM$5:$AM$404,"&lt;&gt;Cancelled"))</f>
        <v>0</v>
      </c>
      <c r="AK186" s="32">
        <f>IF(AG186="","",SUMIFS(Mileage!$M$5:$M$304,Mileage!$C$5:$C$304,AG186,Mileage!$B$5:$B$304,"&gt;="&amp;RepFrom,Mileage!$B$5:$B$304,"&lt;="&amp;RepTo))</f>
        <v>0</v>
      </c>
      <c r="AL186" s="28">
        <f>IF(Lists!$Q186="","",Lists!$Q186)</f>
        <v>0</v>
      </c>
      <c r="AM186" s="31">
        <f>IF(AL186="","",COUNTIFS(Bookings!$AV$5:$AV$404,AL186,Bookings!$I$5:$I$404,"&gt;="&amp;RepFrom,Bookings!$I$5:$I$404,"&lt;="&amp;RepTo))</f>
        <v>0</v>
      </c>
      <c r="AN186" s="28">
        <f>IF(Lists!$AF186="","",Lists!$AF186)</f>
        <v>0</v>
      </c>
      <c r="AO186" s="29">
        <f>IF(AN186="","",SUMIFS(Payments!$L$5:$L$304,Payments!$F$5:$F$304,AN186,Payments!$B$5:$B$304,"&gt;="&amp;RepFrom,Payments!$B$5:$B$304,"&lt;="&amp;RepTo))</f>
        <v>0</v>
      </c>
      <c r="AP186" s="28">
        <f>IF(Lists!$E186="","",Lists!$E186)</f>
        <v>0</v>
      </c>
      <c r="AQ186" s="31">
        <f>IF(AP186="","",COUNTIFS(Clients!$K$5:$K$254,AP186))</f>
        <v>0</v>
      </c>
      <c r="AR186" s="29">
        <f>IF(AP186="","",SUMIFS(Clients!$AE$5:$AE$254,Clients!$K$5:$K$254,AP186))</f>
        <v>0</v>
      </c>
    </row>
    <row r="187" spans="1:44">
      <c r="A187" s="28">
        <f>IF(Clients!$B$187="","",Clients!$B$187)</f>
        <v>0</v>
      </c>
      <c r="B187" s="29">
        <f>IF(A187="","",SUMIFS(Payments!$L$5:$L$304,Payments!$C$5:$C$304,A187,Payments!$B$5:$B$304,"&gt;="&amp;PeriodStart,Payments!$B$5:$B$304,"&lt;="&amp;PeriodEnd))</f>
        <v>0</v>
      </c>
      <c r="C187" s="51">
        <f>IF(A187="","",IF(B187&lt;=0,"",B187+ROW()/1000000))</f>
        <v>0</v>
      </c>
      <c r="D187" s="29">
        <f>IF(A187="","",SUMIFS(Payments!$L$5:$L$304,Payments!$C$5:$C$304,A187,Payments!$B$5:$B$304,"&gt;="&amp;RepFrom,Payments!$B$5:$B$304,"&lt;="&amp;RepTo))</f>
        <v>0</v>
      </c>
      <c r="E187" s="51">
        <f>IF(A187="","",IF(D187&lt;=0,"",D187+ROW()/1000000))</f>
        <v>0</v>
      </c>
      <c r="F187" s="29">
        <f>IF(A187="","",SUMIFS(Invoices!$S$5:$S$304,Invoices!$D$5:$D$304,A187,Invoices!$T$5:$T$304,"&lt;&gt;Cancelled"))</f>
        <v>0</v>
      </c>
      <c r="G187" s="51">
        <f>IF(A187="","",IF(F187&lt;=0.004,"",F187+ROW()/1000000))</f>
        <v>0</v>
      </c>
      <c r="H187" s="31">
        <f>IF(A187="","",COUNTIFS(Bookings!$C$5:$C$404,A187,Bookings!$I$5:$I$404,"&gt;="&amp;RepFrom,Bookings!$I$5:$I$404,"&lt;="&amp;RepTo,Bookings!$AM$5:$AM$404,"&lt;&gt;Cancelled"))</f>
        <v>0</v>
      </c>
      <c r="I187" s="28">
        <f>IF(Services!$B$187="","",Services!$B$187)</f>
        <v>0</v>
      </c>
      <c r="J187" s="29">
        <f>IF(I187="","",SUMIFS(Bookings!$AK$5:$AK$404,Bookings!$H$5:$H$404,I187,Bookings!$I$5:$I$404,"&gt;="&amp;PeriodStart,Bookings!$I$5:$I$404,"&lt;="&amp;PeriodEnd,Bookings!$AM$5:$AM$404,"&lt;&gt;Cancelled"))</f>
        <v>0</v>
      </c>
      <c r="K187" s="31">
        <f>IF(I187="","",COUNTIFS(Bookings!$H$5:$H$404,I187,Bookings!$I$5:$I$404,"&gt;="&amp;PeriodStart,Bookings!$I$5:$I$404,"&lt;="&amp;PeriodEnd,Bookings!$AM$5:$AM$404,"&lt;&gt;Cancelled"))</f>
        <v>0</v>
      </c>
      <c r="L187" s="29">
        <f>IF(I187="","",SUMIFS(Bookings!$AK$5:$AK$404,Bookings!$H$5:$H$404,I187,Bookings!$I$5:$I$404,"&gt;="&amp;RepFrom,Bookings!$I$5:$I$404,"&lt;="&amp;RepTo,Bookings!$AM$5:$AM$404,"&lt;&gt;Cancelled"))</f>
        <v>0</v>
      </c>
      <c r="M187" s="31">
        <f>IF(I187="","",COUNTIFS(Bookings!$H$5:$H$404,I187,Bookings!$I$5:$I$404,"&gt;="&amp;RepFrom,Bookings!$I$5:$I$404,"&lt;="&amp;RepTo,Bookings!$AM$5:$AM$404,"&lt;&gt;Cancelled"))</f>
        <v>0</v>
      </c>
      <c r="N187" s="29">
        <f>IF(I187="","",M187*IF(Services!$L$187="",0,Services!$L$187))</f>
        <v>0</v>
      </c>
      <c r="O187" s="29">
        <f>IF(I187="","",L187-N187)</f>
        <v>0</v>
      </c>
      <c r="P187" s="28">
        <f>IF(Lists!$AG187="","",Lists!$AG187)</f>
        <v>0</v>
      </c>
      <c r="Q187" s="29">
        <f>IF(P187="","",SUMIFS(Expenses!$F$5:$F$304,Expenses!$C$5:$C$304,P187,Expenses!$B$5:$B$304,"&gt;="&amp;PeriodStart,Expenses!$B$5:$B$304,"&lt;="&amp;PeriodEnd,Expenses!$J$5:$J$304,"&lt;&gt;Personal"))</f>
        <v>0</v>
      </c>
      <c r="R187" s="29">
        <f>IF(P187="","",SUMIFS(Expenses!$F$5:$F$304,Expenses!$C$5:$C$304,P187,Expenses!$B$5:$B$304,"&gt;="&amp;RepFrom,Expenses!$B$5:$B$304,"&lt;="&amp;RepTo,Expenses!$J$5:$J$304,"&lt;&gt;Personal"))</f>
        <v>0</v>
      </c>
      <c r="S187" s="21">
        <f>IF(ROW()-4&gt;12,"",DATE(Dash_Year,ROW()-4,1))</f>
        <v>0</v>
      </c>
      <c r="T187" s="21">
        <f>IF(S187="","",EOMONTH(S187,0))</f>
        <v>0</v>
      </c>
      <c r="U187" s="28">
        <f>IF(S187="","",TEXT(S187,"mmm"))</f>
        <v>0</v>
      </c>
      <c r="V187" s="29">
        <f>IF(S187="","",SUMIFS(Payments!$L$5:$L$304,Payments!$B$5:$B$304,"&gt;="&amp;S187,Payments!$B$5:$B$304,"&lt;="&amp;T187))</f>
        <v>0</v>
      </c>
      <c r="W187" s="29">
        <f>IF(S187="","",SUMIFS(Invoices!$O$5:$O$304,Invoices!$B$5:$B$304,"&gt;="&amp;S187,Invoices!$B$5:$B$304,"&lt;="&amp;T187,Invoices!$T$5:$T$304,"&lt;&gt;Cancelled"))</f>
        <v>0</v>
      </c>
      <c r="X187" s="29">
        <f>IF(S187="","",SUMIFS(Expenses!$F$5:$F$304,Expenses!$B$5:$B$304,"&gt;="&amp;S187,Expenses!$B$5:$B$304,"&lt;="&amp;T187,Expenses!$J$5:$J$304,"&lt;&gt;Personal"))</f>
        <v>0</v>
      </c>
      <c r="Y187" s="29">
        <f>IF(S187="","",V187-X187)</f>
        <v>0</v>
      </c>
      <c r="Z187" s="31">
        <f>IF(S187="","",COUNTIFS(Bookings!$I$5:$I$404,"&gt;="&amp;S187,Bookings!$I$5:$I$404,"&lt;="&amp;T187,Bookings!$AM$5:$AM$404,"&lt;&gt;Cancelled"))</f>
        <v>0</v>
      </c>
      <c r="AA187" s="31">
        <f>IF(S187="","",COUNTIFS(Bookings!$I$5:$I$404,"&gt;="&amp;S187,Bookings!$I$5:$I$404,"&lt;="&amp;T187,Bookings!$AM$5:$AM$404,"Completed"))</f>
        <v>0</v>
      </c>
      <c r="AB187" s="31">
        <f>IF(S187="","",COUNTIFS(Bookings!$I$5:$I$404,"&gt;="&amp;S187,Bookings!$I$5:$I$404,"&lt;="&amp;T187,Bookings!$AM$5:$AM$404,"Cancelled"))</f>
        <v>0</v>
      </c>
      <c r="AC187" s="31">
        <f>IF(S187="","",COUNTIFS('Visit Log'!$C$5:$C$404,"&gt;="&amp;S187,'Visit Log'!$C$5:$C$404,"&lt;="&amp;T187,'Visit Log'!$AE$5:$AE$404,"Completed"))</f>
        <v>0</v>
      </c>
      <c r="AD187" s="31">
        <f>IF(S187="","",COUNTIFS(Clients!$L$5:$L$254,"&gt;="&amp;S187,Clients!$L$5:$L$254,"&lt;="&amp;T187))</f>
        <v>0</v>
      </c>
      <c r="AE187" s="32">
        <f>IF(S187="","",SUMIFS(Mileage!$M$5:$M$304,Mileage!$B$5:$B$304,"&gt;="&amp;S187,Mileage!$B$5:$B$304,"&lt;="&amp;T187,Mileage!$N$5:$N$304,"Business"))</f>
        <v>0</v>
      </c>
      <c r="AF187" s="29">
        <f>IF(S187="","",SUMIFS(Payments!$L$5:$L$304,Payments!$B$5:$B$304,"&gt;="&amp;DATE(Dash_Year-1,ROW()-4,1),Payments!$B$5:$B$304,"&lt;="&amp;EOMONTH(DATE(Dash_Year-1,ROW()-4,1),0)))</f>
        <v>0</v>
      </c>
      <c r="AG187" s="28">
        <f>IF(Staff!$B$187="","",Staff!$B$187)</f>
        <v>0</v>
      </c>
      <c r="AH187" s="31">
        <f>IF(AG187="","",COUNTIFS('Visit Log'!$G$5:$G$404,AG187,'Visit Log'!$C$5:$C$404,"&gt;="&amp;RepFrom,'Visit Log'!$C$5:$C$404,"&lt;="&amp;RepTo,'Visit Log'!$AE$5:$AE$404,"Completed"))</f>
        <v>0</v>
      </c>
      <c r="AI187" s="51">
        <f>IF(AG187="","",ROUND(SUMIFS('Visit Log'!$K$5:$K$404,'Visit Log'!$G$5:$G$404,AG187,'Visit Log'!$C$5:$C$404,"&gt;="&amp;RepFrom,'Visit Log'!$C$5:$C$404,"&lt;="&amp;RepTo,'Visit Log'!$AE$5:$AE$404,"Completed")/60,2))</f>
        <v>0</v>
      </c>
      <c r="AJ187" s="29">
        <f>IF(AG187="","",SUMIFS(Bookings!$AK$5:$AK$404,Bookings!$AL$5:$AL$404,AG187,Bookings!$I$5:$I$404,"&gt;="&amp;RepFrom,Bookings!$I$5:$I$404,"&lt;="&amp;RepTo,Bookings!$AM$5:$AM$404,"&lt;&gt;Cancelled"))</f>
        <v>0</v>
      </c>
      <c r="AK187" s="32">
        <f>IF(AG187="","",SUMIFS(Mileage!$M$5:$M$304,Mileage!$C$5:$C$304,AG187,Mileage!$B$5:$B$304,"&gt;="&amp;RepFrom,Mileage!$B$5:$B$304,"&lt;="&amp;RepTo))</f>
        <v>0</v>
      </c>
      <c r="AL187" s="28">
        <f>IF(Lists!$Q187="","",Lists!$Q187)</f>
        <v>0</v>
      </c>
      <c r="AM187" s="31">
        <f>IF(AL187="","",COUNTIFS(Bookings!$AV$5:$AV$404,AL187,Bookings!$I$5:$I$404,"&gt;="&amp;RepFrom,Bookings!$I$5:$I$404,"&lt;="&amp;RepTo))</f>
        <v>0</v>
      </c>
      <c r="AN187" s="28">
        <f>IF(Lists!$AF187="","",Lists!$AF187)</f>
        <v>0</v>
      </c>
      <c r="AO187" s="29">
        <f>IF(AN187="","",SUMIFS(Payments!$L$5:$L$304,Payments!$F$5:$F$304,AN187,Payments!$B$5:$B$304,"&gt;="&amp;RepFrom,Payments!$B$5:$B$304,"&lt;="&amp;RepTo))</f>
        <v>0</v>
      </c>
      <c r="AP187" s="28">
        <f>IF(Lists!$E187="","",Lists!$E187)</f>
        <v>0</v>
      </c>
      <c r="AQ187" s="31">
        <f>IF(AP187="","",COUNTIFS(Clients!$K$5:$K$254,AP187))</f>
        <v>0</v>
      </c>
      <c r="AR187" s="29">
        <f>IF(AP187="","",SUMIFS(Clients!$AE$5:$AE$254,Clients!$K$5:$K$254,AP187))</f>
        <v>0</v>
      </c>
    </row>
    <row r="188" spans="1:44">
      <c r="A188" s="28">
        <f>IF(Clients!$B$188="","",Clients!$B$188)</f>
        <v>0</v>
      </c>
      <c r="B188" s="29">
        <f>IF(A188="","",SUMIFS(Payments!$L$5:$L$304,Payments!$C$5:$C$304,A188,Payments!$B$5:$B$304,"&gt;="&amp;PeriodStart,Payments!$B$5:$B$304,"&lt;="&amp;PeriodEnd))</f>
        <v>0</v>
      </c>
      <c r="C188" s="51">
        <f>IF(A188="","",IF(B188&lt;=0,"",B188+ROW()/1000000))</f>
        <v>0</v>
      </c>
      <c r="D188" s="29">
        <f>IF(A188="","",SUMIFS(Payments!$L$5:$L$304,Payments!$C$5:$C$304,A188,Payments!$B$5:$B$304,"&gt;="&amp;RepFrom,Payments!$B$5:$B$304,"&lt;="&amp;RepTo))</f>
        <v>0</v>
      </c>
      <c r="E188" s="51">
        <f>IF(A188="","",IF(D188&lt;=0,"",D188+ROW()/1000000))</f>
        <v>0</v>
      </c>
      <c r="F188" s="29">
        <f>IF(A188="","",SUMIFS(Invoices!$S$5:$S$304,Invoices!$D$5:$D$304,A188,Invoices!$T$5:$T$304,"&lt;&gt;Cancelled"))</f>
        <v>0</v>
      </c>
      <c r="G188" s="51">
        <f>IF(A188="","",IF(F188&lt;=0.004,"",F188+ROW()/1000000))</f>
        <v>0</v>
      </c>
      <c r="H188" s="31">
        <f>IF(A188="","",COUNTIFS(Bookings!$C$5:$C$404,A188,Bookings!$I$5:$I$404,"&gt;="&amp;RepFrom,Bookings!$I$5:$I$404,"&lt;="&amp;RepTo,Bookings!$AM$5:$AM$404,"&lt;&gt;Cancelled"))</f>
        <v>0</v>
      </c>
      <c r="I188" s="28">
        <f>IF(Services!$B$188="","",Services!$B$188)</f>
        <v>0</v>
      </c>
      <c r="J188" s="29">
        <f>IF(I188="","",SUMIFS(Bookings!$AK$5:$AK$404,Bookings!$H$5:$H$404,I188,Bookings!$I$5:$I$404,"&gt;="&amp;PeriodStart,Bookings!$I$5:$I$404,"&lt;="&amp;PeriodEnd,Bookings!$AM$5:$AM$404,"&lt;&gt;Cancelled"))</f>
        <v>0</v>
      </c>
      <c r="K188" s="31">
        <f>IF(I188="","",COUNTIFS(Bookings!$H$5:$H$404,I188,Bookings!$I$5:$I$404,"&gt;="&amp;PeriodStart,Bookings!$I$5:$I$404,"&lt;="&amp;PeriodEnd,Bookings!$AM$5:$AM$404,"&lt;&gt;Cancelled"))</f>
        <v>0</v>
      </c>
      <c r="L188" s="29">
        <f>IF(I188="","",SUMIFS(Bookings!$AK$5:$AK$404,Bookings!$H$5:$H$404,I188,Bookings!$I$5:$I$404,"&gt;="&amp;RepFrom,Bookings!$I$5:$I$404,"&lt;="&amp;RepTo,Bookings!$AM$5:$AM$404,"&lt;&gt;Cancelled"))</f>
        <v>0</v>
      </c>
      <c r="M188" s="31">
        <f>IF(I188="","",COUNTIFS(Bookings!$H$5:$H$404,I188,Bookings!$I$5:$I$404,"&gt;="&amp;RepFrom,Bookings!$I$5:$I$404,"&lt;="&amp;RepTo,Bookings!$AM$5:$AM$404,"&lt;&gt;Cancelled"))</f>
        <v>0</v>
      </c>
      <c r="N188" s="29">
        <f>IF(I188="","",M188*IF(Services!$L$188="",0,Services!$L$188))</f>
        <v>0</v>
      </c>
      <c r="O188" s="29">
        <f>IF(I188="","",L188-N188)</f>
        <v>0</v>
      </c>
      <c r="P188" s="28">
        <f>IF(Lists!$AG188="","",Lists!$AG188)</f>
        <v>0</v>
      </c>
      <c r="Q188" s="29">
        <f>IF(P188="","",SUMIFS(Expenses!$F$5:$F$304,Expenses!$C$5:$C$304,P188,Expenses!$B$5:$B$304,"&gt;="&amp;PeriodStart,Expenses!$B$5:$B$304,"&lt;="&amp;PeriodEnd,Expenses!$J$5:$J$304,"&lt;&gt;Personal"))</f>
        <v>0</v>
      </c>
      <c r="R188" s="29">
        <f>IF(P188="","",SUMIFS(Expenses!$F$5:$F$304,Expenses!$C$5:$C$304,P188,Expenses!$B$5:$B$304,"&gt;="&amp;RepFrom,Expenses!$B$5:$B$304,"&lt;="&amp;RepTo,Expenses!$J$5:$J$304,"&lt;&gt;Personal"))</f>
        <v>0</v>
      </c>
      <c r="S188" s="21">
        <f>IF(ROW()-4&gt;12,"",DATE(Dash_Year,ROW()-4,1))</f>
        <v>0</v>
      </c>
      <c r="T188" s="21">
        <f>IF(S188="","",EOMONTH(S188,0))</f>
        <v>0</v>
      </c>
      <c r="U188" s="28">
        <f>IF(S188="","",TEXT(S188,"mmm"))</f>
        <v>0</v>
      </c>
      <c r="V188" s="29">
        <f>IF(S188="","",SUMIFS(Payments!$L$5:$L$304,Payments!$B$5:$B$304,"&gt;="&amp;S188,Payments!$B$5:$B$304,"&lt;="&amp;T188))</f>
        <v>0</v>
      </c>
      <c r="W188" s="29">
        <f>IF(S188="","",SUMIFS(Invoices!$O$5:$O$304,Invoices!$B$5:$B$304,"&gt;="&amp;S188,Invoices!$B$5:$B$304,"&lt;="&amp;T188,Invoices!$T$5:$T$304,"&lt;&gt;Cancelled"))</f>
        <v>0</v>
      </c>
      <c r="X188" s="29">
        <f>IF(S188="","",SUMIFS(Expenses!$F$5:$F$304,Expenses!$B$5:$B$304,"&gt;="&amp;S188,Expenses!$B$5:$B$304,"&lt;="&amp;T188,Expenses!$J$5:$J$304,"&lt;&gt;Personal"))</f>
        <v>0</v>
      </c>
      <c r="Y188" s="29">
        <f>IF(S188="","",V188-X188)</f>
        <v>0</v>
      </c>
      <c r="Z188" s="31">
        <f>IF(S188="","",COUNTIFS(Bookings!$I$5:$I$404,"&gt;="&amp;S188,Bookings!$I$5:$I$404,"&lt;="&amp;T188,Bookings!$AM$5:$AM$404,"&lt;&gt;Cancelled"))</f>
        <v>0</v>
      </c>
      <c r="AA188" s="31">
        <f>IF(S188="","",COUNTIFS(Bookings!$I$5:$I$404,"&gt;="&amp;S188,Bookings!$I$5:$I$404,"&lt;="&amp;T188,Bookings!$AM$5:$AM$404,"Completed"))</f>
        <v>0</v>
      </c>
      <c r="AB188" s="31">
        <f>IF(S188="","",COUNTIFS(Bookings!$I$5:$I$404,"&gt;="&amp;S188,Bookings!$I$5:$I$404,"&lt;="&amp;T188,Bookings!$AM$5:$AM$404,"Cancelled"))</f>
        <v>0</v>
      </c>
      <c r="AC188" s="31">
        <f>IF(S188="","",COUNTIFS('Visit Log'!$C$5:$C$404,"&gt;="&amp;S188,'Visit Log'!$C$5:$C$404,"&lt;="&amp;T188,'Visit Log'!$AE$5:$AE$404,"Completed"))</f>
        <v>0</v>
      </c>
      <c r="AD188" s="31">
        <f>IF(S188="","",COUNTIFS(Clients!$L$5:$L$254,"&gt;="&amp;S188,Clients!$L$5:$L$254,"&lt;="&amp;T188))</f>
        <v>0</v>
      </c>
      <c r="AE188" s="32">
        <f>IF(S188="","",SUMIFS(Mileage!$M$5:$M$304,Mileage!$B$5:$B$304,"&gt;="&amp;S188,Mileage!$B$5:$B$304,"&lt;="&amp;T188,Mileage!$N$5:$N$304,"Business"))</f>
        <v>0</v>
      </c>
      <c r="AF188" s="29">
        <f>IF(S188="","",SUMIFS(Payments!$L$5:$L$304,Payments!$B$5:$B$304,"&gt;="&amp;DATE(Dash_Year-1,ROW()-4,1),Payments!$B$5:$B$304,"&lt;="&amp;EOMONTH(DATE(Dash_Year-1,ROW()-4,1),0)))</f>
        <v>0</v>
      </c>
      <c r="AG188" s="28">
        <f>IF(Staff!$B$188="","",Staff!$B$188)</f>
        <v>0</v>
      </c>
      <c r="AH188" s="31">
        <f>IF(AG188="","",COUNTIFS('Visit Log'!$G$5:$G$404,AG188,'Visit Log'!$C$5:$C$404,"&gt;="&amp;RepFrom,'Visit Log'!$C$5:$C$404,"&lt;="&amp;RepTo,'Visit Log'!$AE$5:$AE$404,"Completed"))</f>
        <v>0</v>
      </c>
      <c r="AI188" s="51">
        <f>IF(AG188="","",ROUND(SUMIFS('Visit Log'!$K$5:$K$404,'Visit Log'!$G$5:$G$404,AG188,'Visit Log'!$C$5:$C$404,"&gt;="&amp;RepFrom,'Visit Log'!$C$5:$C$404,"&lt;="&amp;RepTo,'Visit Log'!$AE$5:$AE$404,"Completed")/60,2))</f>
        <v>0</v>
      </c>
      <c r="AJ188" s="29">
        <f>IF(AG188="","",SUMIFS(Bookings!$AK$5:$AK$404,Bookings!$AL$5:$AL$404,AG188,Bookings!$I$5:$I$404,"&gt;="&amp;RepFrom,Bookings!$I$5:$I$404,"&lt;="&amp;RepTo,Bookings!$AM$5:$AM$404,"&lt;&gt;Cancelled"))</f>
        <v>0</v>
      </c>
      <c r="AK188" s="32">
        <f>IF(AG188="","",SUMIFS(Mileage!$M$5:$M$304,Mileage!$C$5:$C$304,AG188,Mileage!$B$5:$B$304,"&gt;="&amp;RepFrom,Mileage!$B$5:$B$304,"&lt;="&amp;RepTo))</f>
        <v>0</v>
      </c>
      <c r="AL188" s="28">
        <f>IF(Lists!$Q188="","",Lists!$Q188)</f>
        <v>0</v>
      </c>
      <c r="AM188" s="31">
        <f>IF(AL188="","",COUNTIFS(Bookings!$AV$5:$AV$404,AL188,Bookings!$I$5:$I$404,"&gt;="&amp;RepFrom,Bookings!$I$5:$I$404,"&lt;="&amp;RepTo))</f>
        <v>0</v>
      </c>
      <c r="AN188" s="28">
        <f>IF(Lists!$AF188="","",Lists!$AF188)</f>
        <v>0</v>
      </c>
      <c r="AO188" s="29">
        <f>IF(AN188="","",SUMIFS(Payments!$L$5:$L$304,Payments!$F$5:$F$304,AN188,Payments!$B$5:$B$304,"&gt;="&amp;RepFrom,Payments!$B$5:$B$304,"&lt;="&amp;RepTo))</f>
        <v>0</v>
      </c>
      <c r="AP188" s="28">
        <f>IF(Lists!$E188="","",Lists!$E188)</f>
        <v>0</v>
      </c>
      <c r="AQ188" s="31">
        <f>IF(AP188="","",COUNTIFS(Clients!$K$5:$K$254,AP188))</f>
        <v>0</v>
      </c>
      <c r="AR188" s="29">
        <f>IF(AP188="","",SUMIFS(Clients!$AE$5:$AE$254,Clients!$K$5:$K$254,AP188))</f>
        <v>0</v>
      </c>
    </row>
    <row r="189" spans="1:44">
      <c r="A189" s="28">
        <f>IF(Clients!$B$189="","",Clients!$B$189)</f>
        <v>0</v>
      </c>
      <c r="B189" s="29">
        <f>IF(A189="","",SUMIFS(Payments!$L$5:$L$304,Payments!$C$5:$C$304,A189,Payments!$B$5:$B$304,"&gt;="&amp;PeriodStart,Payments!$B$5:$B$304,"&lt;="&amp;PeriodEnd))</f>
        <v>0</v>
      </c>
      <c r="C189" s="51">
        <f>IF(A189="","",IF(B189&lt;=0,"",B189+ROW()/1000000))</f>
        <v>0</v>
      </c>
      <c r="D189" s="29">
        <f>IF(A189="","",SUMIFS(Payments!$L$5:$L$304,Payments!$C$5:$C$304,A189,Payments!$B$5:$B$304,"&gt;="&amp;RepFrom,Payments!$B$5:$B$304,"&lt;="&amp;RepTo))</f>
        <v>0</v>
      </c>
      <c r="E189" s="51">
        <f>IF(A189="","",IF(D189&lt;=0,"",D189+ROW()/1000000))</f>
        <v>0</v>
      </c>
      <c r="F189" s="29">
        <f>IF(A189="","",SUMIFS(Invoices!$S$5:$S$304,Invoices!$D$5:$D$304,A189,Invoices!$T$5:$T$304,"&lt;&gt;Cancelled"))</f>
        <v>0</v>
      </c>
      <c r="G189" s="51">
        <f>IF(A189="","",IF(F189&lt;=0.004,"",F189+ROW()/1000000))</f>
        <v>0</v>
      </c>
      <c r="H189" s="31">
        <f>IF(A189="","",COUNTIFS(Bookings!$C$5:$C$404,A189,Bookings!$I$5:$I$404,"&gt;="&amp;RepFrom,Bookings!$I$5:$I$404,"&lt;="&amp;RepTo,Bookings!$AM$5:$AM$404,"&lt;&gt;Cancelled"))</f>
        <v>0</v>
      </c>
      <c r="I189" s="28">
        <f>IF(Services!$B$189="","",Services!$B$189)</f>
        <v>0</v>
      </c>
      <c r="J189" s="29">
        <f>IF(I189="","",SUMIFS(Bookings!$AK$5:$AK$404,Bookings!$H$5:$H$404,I189,Bookings!$I$5:$I$404,"&gt;="&amp;PeriodStart,Bookings!$I$5:$I$404,"&lt;="&amp;PeriodEnd,Bookings!$AM$5:$AM$404,"&lt;&gt;Cancelled"))</f>
        <v>0</v>
      </c>
      <c r="K189" s="31">
        <f>IF(I189="","",COUNTIFS(Bookings!$H$5:$H$404,I189,Bookings!$I$5:$I$404,"&gt;="&amp;PeriodStart,Bookings!$I$5:$I$404,"&lt;="&amp;PeriodEnd,Bookings!$AM$5:$AM$404,"&lt;&gt;Cancelled"))</f>
        <v>0</v>
      </c>
      <c r="L189" s="29">
        <f>IF(I189="","",SUMIFS(Bookings!$AK$5:$AK$404,Bookings!$H$5:$H$404,I189,Bookings!$I$5:$I$404,"&gt;="&amp;RepFrom,Bookings!$I$5:$I$404,"&lt;="&amp;RepTo,Bookings!$AM$5:$AM$404,"&lt;&gt;Cancelled"))</f>
        <v>0</v>
      </c>
      <c r="M189" s="31">
        <f>IF(I189="","",COUNTIFS(Bookings!$H$5:$H$404,I189,Bookings!$I$5:$I$404,"&gt;="&amp;RepFrom,Bookings!$I$5:$I$404,"&lt;="&amp;RepTo,Bookings!$AM$5:$AM$404,"&lt;&gt;Cancelled"))</f>
        <v>0</v>
      </c>
      <c r="N189" s="29">
        <f>IF(I189="","",M189*IF(Services!$L$189="",0,Services!$L$189))</f>
        <v>0</v>
      </c>
      <c r="O189" s="29">
        <f>IF(I189="","",L189-N189)</f>
        <v>0</v>
      </c>
      <c r="P189" s="28">
        <f>IF(Lists!$AG189="","",Lists!$AG189)</f>
        <v>0</v>
      </c>
      <c r="Q189" s="29">
        <f>IF(P189="","",SUMIFS(Expenses!$F$5:$F$304,Expenses!$C$5:$C$304,P189,Expenses!$B$5:$B$304,"&gt;="&amp;PeriodStart,Expenses!$B$5:$B$304,"&lt;="&amp;PeriodEnd,Expenses!$J$5:$J$304,"&lt;&gt;Personal"))</f>
        <v>0</v>
      </c>
      <c r="R189" s="29">
        <f>IF(P189="","",SUMIFS(Expenses!$F$5:$F$304,Expenses!$C$5:$C$304,P189,Expenses!$B$5:$B$304,"&gt;="&amp;RepFrom,Expenses!$B$5:$B$304,"&lt;="&amp;RepTo,Expenses!$J$5:$J$304,"&lt;&gt;Personal"))</f>
        <v>0</v>
      </c>
      <c r="S189" s="21">
        <f>IF(ROW()-4&gt;12,"",DATE(Dash_Year,ROW()-4,1))</f>
        <v>0</v>
      </c>
      <c r="T189" s="21">
        <f>IF(S189="","",EOMONTH(S189,0))</f>
        <v>0</v>
      </c>
      <c r="U189" s="28">
        <f>IF(S189="","",TEXT(S189,"mmm"))</f>
        <v>0</v>
      </c>
      <c r="V189" s="29">
        <f>IF(S189="","",SUMIFS(Payments!$L$5:$L$304,Payments!$B$5:$B$304,"&gt;="&amp;S189,Payments!$B$5:$B$304,"&lt;="&amp;T189))</f>
        <v>0</v>
      </c>
      <c r="W189" s="29">
        <f>IF(S189="","",SUMIFS(Invoices!$O$5:$O$304,Invoices!$B$5:$B$304,"&gt;="&amp;S189,Invoices!$B$5:$B$304,"&lt;="&amp;T189,Invoices!$T$5:$T$304,"&lt;&gt;Cancelled"))</f>
        <v>0</v>
      </c>
      <c r="X189" s="29">
        <f>IF(S189="","",SUMIFS(Expenses!$F$5:$F$304,Expenses!$B$5:$B$304,"&gt;="&amp;S189,Expenses!$B$5:$B$304,"&lt;="&amp;T189,Expenses!$J$5:$J$304,"&lt;&gt;Personal"))</f>
        <v>0</v>
      </c>
      <c r="Y189" s="29">
        <f>IF(S189="","",V189-X189)</f>
        <v>0</v>
      </c>
      <c r="Z189" s="31">
        <f>IF(S189="","",COUNTIFS(Bookings!$I$5:$I$404,"&gt;="&amp;S189,Bookings!$I$5:$I$404,"&lt;="&amp;T189,Bookings!$AM$5:$AM$404,"&lt;&gt;Cancelled"))</f>
        <v>0</v>
      </c>
      <c r="AA189" s="31">
        <f>IF(S189="","",COUNTIFS(Bookings!$I$5:$I$404,"&gt;="&amp;S189,Bookings!$I$5:$I$404,"&lt;="&amp;T189,Bookings!$AM$5:$AM$404,"Completed"))</f>
        <v>0</v>
      </c>
      <c r="AB189" s="31">
        <f>IF(S189="","",COUNTIFS(Bookings!$I$5:$I$404,"&gt;="&amp;S189,Bookings!$I$5:$I$404,"&lt;="&amp;T189,Bookings!$AM$5:$AM$404,"Cancelled"))</f>
        <v>0</v>
      </c>
      <c r="AC189" s="31">
        <f>IF(S189="","",COUNTIFS('Visit Log'!$C$5:$C$404,"&gt;="&amp;S189,'Visit Log'!$C$5:$C$404,"&lt;="&amp;T189,'Visit Log'!$AE$5:$AE$404,"Completed"))</f>
        <v>0</v>
      </c>
      <c r="AD189" s="31">
        <f>IF(S189="","",COUNTIFS(Clients!$L$5:$L$254,"&gt;="&amp;S189,Clients!$L$5:$L$254,"&lt;="&amp;T189))</f>
        <v>0</v>
      </c>
      <c r="AE189" s="32">
        <f>IF(S189="","",SUMIFS(Mileage!$M$5:$M$304,Mileage!$B$5:$B$304,"&gt;="&amp;S189,Mileage!$B$5:$B$304,"&lt;="&amp;T189,Mileage!$N$5:$N$304,"Business"))</f>
        <v>0</v>
      </c>
      <c r="AF189" s="29">
        <f>IF(S189="","",SUMIFS(Payments!$L$5:$L$304,Payments!$B$5:$B$304,"&gt;="&amp;DATE(Dash_Year-1,ROW()-4,1),Payments!$B$5:$B$304,"&lt;="&amp;EOMONTH(DATE(Dash_Year-1,ROW()-4,1),0)))</f>
        <v>0</v>
      </c>
      <c r="AG189" s="28">
        <f>IF(Staff!$B$189="","",Staff!$B$189)</f>
        <v>0</v>
      </c>
      <c r="AH189" s="31">
        <f>IF(AG189="","",COUNTIFS('Visit Log'!$G$5:$G$404,AG189,'Visit Log'!$C$5:$C$404,"&gt;="&amp;RepFrom,'Visit Log'!$C$5:$C$404,"&lt;="&amp;RepTo,'Visit Log'!$AE$5:$AE$404,"Completed"))</f>
        <v>0</v>
      </c>
      <c r="AI189" s="51">
        <f>IF(AG189="","",ROUND(SUMIFS('Visit Log'!$K$5:$K$404,'Visit Log'!$G$5:$G$404,AG189,'Visit Log'!$C$5:$C$404,"&gt;="&amp;RepFrom,'Visit Log'!$C$5:$C$404,"&lt;="&amp;RepTo,'Visit Log'!$AE$5:$AE$404,"Completed")/60,2))</f>
        <v>0</v>
      </c>
      <c r="AJ189" s="29">
        <f>IF(AG189="","",SUMIFS(Bookings!$AK$5:$AK$404,Bookings!$AL$5:$AL$404,AG189,Bookings!$I$5:$I$404,"&gt;="&amp;RepFrom,Bookings!$I$5:$I$404,"&lt;="&amp;RepTo,Bookings!$AM$5:$AM$404,"&lt;&gt;Cancelled"))</f>
        <v>0</v>
      </c>
      <c r="AK189" s="32">
        <f>IF(AG189="","",SUMIFS(Mileage!$M$5:$M$304,Mileage!$C$5:$C$304,AG189,Mileage!$B$5:$B$304,"&gt;="&amp;RepFrom,Mileage!$B$5:$B$304,"&lt;="&amp;RepTo))</f>
        <v>0</v>
      </c>
      <c r="AL189" s="28">
        <f>IF(Lists!$Q189="","",Lists!$Q189)</f>
        <v>0</v>
      </c>
      <c r="AM189" s="31">
        <f>IF(AL189="","",COUNTIFS(Bookings!$AV$5:$AV$404,AL189,Bookings!$I$5:$I$404,"&gt;="&amp;RepFrom,Bookings!$I$5:$I$404,"&lt;="&amp;RepTo))</f>
        <v>0</v>
      </c>
      <c r="AN189" s="28">
        <f>IF(Lists!$AF189="","",Lists!$AF189)</f>
        <v>0</v>
      </c>
      <c r="AO189" s="29">
        <f>IF(AN189="","",SUMIFS(Payments!$L$5:$L$304,Payments!$F$5:$F$304,AN189,Payments!$B$5:$B$304,"&gt;="&amp;RepFrom,Payments!$B$5:$B$304,"&lt;="&amp;RepTo))</f>
        <v>0</v>
      </c>
      <c r="AP189" s="28">
        <f>IF(Lists!$E189="","",Lists!$E189)</f>
        <v>0</v>
      </c>
      <c r="AQ189" s="31">
        <f>IF(AP189="","",COUNTIFS(Clients!$K$5:$K$254,AP189))</f>
        <v>0</v>
      </c>
      <c r="AR189" s="29">
        <f>IF(AP189="","",SUMIFS(Clients!$AE$5:$AE$254,Clients!$K$5:$K$254,AP189))</f>
        <v>0</v>
      </c>
    </row>
    <row r="190" spans="1:44">
      <c r="A190" s="28">
        <f>IF(Clients!$B$190="","",Clients!$B$190)</f>
        <v>0</v>
      </c>
      <c r="B190" s="29">
        <f>IF(A190="","",SUMIFS(Payments!$L$5:$L$304,Payments!$C$5:$C$304,A190,Payments!$B$5:$B$304,"&gt;="&amp;PeriodStart,Payments!$B$5:$B$304,"&lt;="&amp;PeriodEnd))</f>
        <v>0</v>
      </c>
      <c r="C190" s="51">
        <f>IF(A190="","",IF(B190&lt;=0,"",B190+ROW()/1000000))</f>
        <v>0</v>
      </c>
      <c r="D190" s="29">
        <f>IF(A190="","",SUMIFS(Payments!$L$5:$L$304,Payments!$C$5:$C$304,A190,Payments!$B$5:$B$304,"&gt;="&amp;RepFrom,Payments!$B$5:$B$304,"&lt;="&amp;RepTo))</f>
        <v>0</v>
      </c>
      <c r="E190" s="51">
        <f>IF(A190="","",IF(D190&lt;=0,"",D190+ROW()/1000000))</f>
        <v>0</v>
      </c>
      <c r="F190" s="29">
        <f>IF(A190="","",SUMIFS(Invoices!$S$5:$S$304,Invoices!$D$5:$D$304,A190,Invoices!$T$5:$T$304,"&lt;&gt;Cancelled"))</f>
        <v>0</v>
      </c>
      <c r="G190" s="51">
        <f>IF(A190="","",IF(F190&lt;=0.004,"",F190+ROW()/1000000))</f>
        <v>0</v>
      </c>
      <c r="H190" s="31">
        <f>IF(A190="","",COUNTIFS(Bookings!$C$5:$C$404,A190,Bookings!$I$5:$I$404,"&gt;="&amp;RepFrom,Bookings!$I$5:$I$404,"&lt;="&amp;RepTo,Bookings!$AM$5:$AM$404,"&lt;&gt;Cancelled"))</f>
        <v>0</v>
      </c>
      <c r="I190" s="28">
        <f>IF(Services!$B$190="","",Services!$B$190)</f>
        <v>0</v>
      </c>
      <c r="J190" s="29">
        <f>IF(I190="","",SUMIFS(Bookings!$AK$5:$AK$404,Bookings!$H$5:$H$404,I190,Bookings!$I$5:$I$404,"&gt;="&amp;PeriodStart,Bookings!$I$5:$I$404,"&lt;="&amp;PeriodEnd,Bookings!$AM$5:$AM$404,"&lt;&gt;Cancelled"))</f>
        <v>0</v>
      </c>
      <c r="K190" s="31">
        <f>IF(I190="","",COUNTIFS(Bookings!$H$5:$H$404,I190,Bookings!$I$5:$I$404,"&gt;="&amp;PeriodStart,Bookings!$I$5:$I$404,"&lt;="&amp;PeriodEnd,Bookings!$AM$5:$AM$404,"&lt;&gt;Cancelled"))</f>
        <v>0</v>
      </c>
      <c r="L190" s="29">
        <f>IF(I190="","",SUMIFS(Bookings!$AK$5:$AK$404,Bookings!$H$5:$H$404,I190,Bookings!$I$5:$I$404,"&gt;="&amp;RepFrom,Bookings!$I$5:$I$404,"&lt;="&amp;RepTo,Bookings!$AM$5:$AM$404,"&lt;&gt;Cancelled"))</f>
        <v>0</v>
      </c>
      <c r="M190" s="31">
        <f>IF(I190="","",COUNTIFS(Bookings!$H$5:$H$404,I190,Bookings!$I$5:$I$404,"&gt;="&amp;RepFrom,Bookings!$I$5:$I$404,"&lt;="&amp;RepTo,Bookings!$AM$5:$AM$404,"&lt;&gt;Cancelled"))</f>
        <v>0</v>
      </c>
      <c r="N190" s="29">
        <f>IF(I190="","",M190*IF(Services!$L$190="",0,Services!$L$190))</f>
        <v>0</v>
      </c>
      <c r="O190" s="29">
        <f>IF(I190="","",L190-N190)</f>
        <v>0</v>
      </c>
      <c r="P190" s="28">
        <f>IF(Lists!$AG190="","",Lists!$AG190)</f>
        <v>0</v>
      </c>
      <c r="Q190" s="29">
        <f>IF(P190="","",SUMIFS(Expenses!$F$5:$F$304,Expenses!$C$5:$C$304,P190,Expenses!$B$5:$B$304,"&gt;="&amp;PeriodStart,Expenses!$B$5:$B$304,"&lt;="&amp;PeriodEnd,Expenses!$J$5:$J$304,"&lt;&gt;Personal"))</f>
        <v>0</v>
      </c>
      <c r="R190" s="29">
        <f>IF(P190="","",SUMIFS(Expenses!$F$5:$F$304,Expenses!$C$5:$C$304,P190,Expenses!$B$5:$B$304,"&gt;="&amp;RepFrom,Expenses!$B$5:$B$304,"&lt;="&amp;RepTo,Expenses!$J$5:$J$304,"&lt;&gt;Personal"))</f>
        <v>0</v>
      </c>
      <c r="S190" s="21">
        <f>IF(ROW()-4&gt;12,"",DATE(Dash_Year,ROW()-4,1))</f>
        <v>0</v>
      </c>
      <c r="T190" s="21">
        <f>IF(S190="","",EOMONTH(S190,0))</f>
        <v>0</v>
      </c>
      <c r="U190" s="28">
        <f>IF(S190="","",TEXT(S190,"mmm"))</f>
        <v>0</v>
      </c>
      <c r="V190" s="29">
        <f>IF(S190="","",SUMIFS(Payments!$L$5:$L$304,Payments!$B$5:$B$304,"&gt;="&amp;S190,Payments!$B$5:$B$304,"&lt;="&amp;T190))</f>
        <v>0</v>
      </c>
      <c r="W190" s="29">
        <f>IF(S190="","",SUMIFS(Invoices!$O$5:$O$304,Invoices!$B$5:$B$304,"&gt;="&amp;S190,Invoices!$B$5:$B$304,"&lt;="&amp;T190,Invoices!$T$5:$T$304,"&lt;&gt;Cancelled"))</f>
        <v>0</v>
      </c>
      <c r="X190" s="29">
        <f>IF(S190="","",SUMIFS(Expenses!$F$5:$F$304,Expenses!$B$5:$B$304,"&gt;="&amp;S190,Expenses!$B$5:$B$304,"&lt;="&amp;T190,Expenses!$J$5:$J$304,"&lt;&gt;Personal"))</f>
        <v>0</v>
      </c>
      <c r="Y190" s="29">
        <f>IF(S190="","",V190-X190)</f>
        <v>0</v>
      </c>
      <c r="Z190" s="31">
        <f>IF(S190="","",COUNTIFS(Bookings!$I$5:$I$404,"&gt;="&amp;S190,Bookings!$I$5:$I$404,"&lt;="&amp;T190,Bookings!$AM$5:$AM$404,"&lt;&gt;Cancelled"))</f>
        <v>0</v>
      </c>
      <c r="AA190" s="31">
        <f>IF(S190="","",COUNTIFS(Bookings!$I$5:$I$404,"&gt;="&amp;S190,Bookings!$I$5:$I$404,"&lt;="&amp;T190,Bookings!$AM$5:$AM$404,"Completed"))</f>
        <v>0</v>
      </c>
      <c r="AB190" s="31">
        <f>IF(S190="","",COUNTIFS(Bookings!$I$5:$I$404,"&gt;="&amp;S190,Bookings!$I$5:$I$404,"&lt;="&amp;T190,Bookings!$AM$5:$AM$404,"Cancelled"))</f>
        <v>0</v>
      </c>
      <c r="AC190" s="31">
        <f>IF(S190="","",COUNTIFS('Visit Log'!$C$5:$C$404,"&gt;="&amp;S190,'Visit Log'!$C$5:$C$404,"&lt;="&amp;T190,'Visit Log'!$AE$5:$AE$404,"Completed"))</f>
        <v>0</v>
      </c>
      <c r="AD190" s="31">
        <f>IF(S190="","",COUNTIFS(Clients!$L$5:$L$254,"&gt;="&amp;S190,Clients!$L$5:$L$254,"&lt;="&amp;T190))</f>
        <v>0</v>
      </c>
      <c r="AE190" s="32">
        <f>IF(S190="","",SUMIFS(Mileage!$M$5:$M$304,Mileage!$B$5:$B$304,"&gt;="&amp;S190,Mileage!$B$5:$B$304,"&lt;="&amp;T190,Mileage!$N$5:$N$304,"Business"))</f>
        <v>0</v>
      </c>
      <c r="AF190" s="29">
        <f>IF(S190="","",SUMIFS(Payments!$L$5:$L$304,Payments!$B$5:$B$304,"&gt;="&amp;DATE(Dash_Year-1,ROW()-4,1),Payments!$B$5:$B$304,"&lt;="&amp;EOMONTH(DATE(Dash_Year-1,ROW()-4,1),0)))</f>
        <v>0</v>
      </c>
      <c r="AG190" s="28">
        <f>IF(Staff!$B$190="","",Staff!$B$190)</f>
        <v>0</v>
      </c>
      <c r="AH190" s="31">
        <f>IF(AG190="","",COUNTIFS('Visit Log'!$G$5:$G$404,AG190,'Visit Log'!$C$5:$C$404,"&gt;="&amp;RepFrom,'Visit Log'!$C$5:$C$404,"&lt;="&amp;RepTo,'Visit Log'!$AE$5:$AE$404,"Completed"))</f>
        <v>0</v>
      </c>
      <c r="AI190" s="51">
        <f>IF(AG190="","",ROUND(SUMIFS('Visit Log'!$K$5:$K$404,'Visit Log'!$G$5:$G$404,AG190,'Visit Log'!$C$5:$C$404,"&gt;="&amp;RepFrom,'Visit Log'!$C$5:$C$404,"&lt;="&amp;RepTo,'Visit Log'!$AE$5:$AE$404,"Completed")/60,2))</f>
        <v>0</v>
      </c>
      <c r="AJ190" s="29">
        <f>IF(AG190="","",SUMIFS(Bookings!$AK$5:$AK$404,Bookings!$AL$5:$AL$404,AG190,Bookings!$I$5:$I$404,"&gt;="&amp;RepFrom,Bookings!$I$5:$I$404,"&lt;="&amp;RepTo,Bookings!$AM$5:$AM$404,"&lt;&gt;Cancelled"))</f>
        <v>0</v>
      </c>
      <c r="AK190" s="32">
        <f>IF(AG190="","",SUMIFS(Mileage!$M$5:$M$304,Mileage!$C$5:$C$304,AG190,Mileage!$B$5:$B$304,"&gt;="&amp;RepFrom,Mileage!$B$5:$B$304,"&lt;="&amp;RepTo))</f>
        <v>0</v>
      </c>
      <c r="AL190" s="28">
        <f>IF(Lists!$Q190="","",Lists!$Q190)</f>
        <v>0</v>
      </c>
      <c r="AM190" s="31">
        <f>IF(AL190="","",COUNTIFS(Bookings!$AV$5:$AV$404,AL190,Bookings!$I$5:$I$404,"&gt;="&amp;RepFrom,Bookings!$I$5:$I$404,"&lt;="&amp;RepTo))</f>
        <v>0</v>
      </c>
      <c r="AN190" s="28">
        <f>IF(Lists!$AF190="","",Lists!$AF190)</f>
        <v>0</v>
      </c>
      <c r="AO190" s="29">
        <f>IF(AN190="","",SUMIFS(Payments!$L$5:$L$304,Payments!$F$5:$F$304,AN190,Payments!$B$5:$B$304,"&gt;="&amp;RepFrom,Payments!$B$5:$B$304,"&lt;="&amp;RepTo))</f>
        <v>0</v>
      </c>
      <c r="AP190" s="28">
        <f>IF(Lists!$E190="","",Lists!$E190)</f>
        <v>0</v>
      </c>
      <c r="AQ190" s="31">
        <f>IF(AP190="","",COUNTIFS(Clients!$K$5:$K$254,AP190))</f>
        <v>0</v>
      </c>
      <c r="AR190" s="29">
        <f>IF(AP190="","",SUMIFS(Clients!$AE$5:$AE$254,Clients!$K$5:$K$254,AP190))</f>
        <v>0</v>
      </c>
    </row>
    <row r="191" spans="1:44">
      <c r="A191" s="28">
        <f>IF(Clients!$B$191="","",Clients!$B$191)</f>
        <v>0</v>
      </c>
      <c r="B191" s="29">
        <f>IF(A191="","",SUMIFS(Payments!$L$5:$L$304,Payments!$C$5:$C$304,A191,Payments!$B$5:$B$304,"&gt;="&amp;PeriodStart,Payments!$B$5:$B$304,"&lt;="&amp;PeriodEnd))</f>
        <v>0</v>
      </c>
      <c r="C191" s="51">
        <f>IF(A191="","",IF(B191&lt;=0,"",B191+ROW()/1000000))</f>
        <v>0</v>
      </c>
      <c r="D191" s="29">
        <f>IF(A191="","",SUMIFS(Payments!$L$5:$L$304,Payments!$C$5:$C$304,A191,Payments!$B$5:$B$304,"&gt;="&amp;RepFrom,Payments!$B$5:$B$304,"&lt;="&amp;RepTo))</f>
        <v>0</v>
      </c>
      <c r="E191" s="51">
        <f>IF(A191="","",IF(D191&lt;=0,"",D191+ROW()/1000000))</f>
        <v>0</v>
      </c>
      <c r="F191" s="29">
        <f>IF(A191="","",SUMIFS(Invoices!$S$5:$S$304,Invoices!$D$5:$D$304,A191,Invoices!$T$5:$T$304,"&lt;&gt;Cancelled"))</f>
        <v>0</v>
      </c>
      <c r="G191" s="51">
        <f>IF(A191="","",IF(F191&lt;=0.004,"",F191+ROW()/1000000))</f>
        <v>0</v>
      </c>
      <c r="H191" s="31">
        <f>IF(A191="","",COUNTIFS(Bookings!$C$5:$C$404,A191,Bookings!$I$5:$I$404,"&gt;="&amp;RepFrom,Bookings!$I$5:$I$404,"&lt;="&amp;RepTo,Bookings!$AM$5:$AM$404,"&lt;&gt;Cancelled"))</f>
        <v>0</v>
      </c>
      <c r="I191" s="28">
        <f>IF(Services!$B$191="","",Services!$B$191)</f>
        <v>0</v>
      </c>
      <c r="J191" s="29">
        <f>IF(I191="","",SUMIFS(Bookings!$AK$5:$AK$404,Bookings!$H$5:$H$404,I191,Bookings!$I$5:$I$404,"&gt;="&amp;PeriodStart,Bookings!$I$5:$I$404,"&lt;="&amp;PeriodEnd,Bookings!$AM$5:$AM$404,"&lt;&gt;Cancelled"))</f>
        <v>0</v>
      </c>
      <c r="K191" s="31">
        <f>IF(I191="","",COUNTIFS(Bookings!$H$5:$H$404,I191,Bookings!$I$5:$I$404,"&gt;="&amp;PeriodStart,Bookings!$I$5:$I$404,"&lt;="&amp;PeriodEnd,Bookings!$AM$5:$AM$404,"&lt;&gt;Cancelled"))</f>
        <v>0</v>
      </c>
      <c r="L191" s="29">
        <f>IF(I191="","",SUMIFS(Bookings!$AK$5:$AK$404,Bookings!$H$5:$H$404,I191,Bookings!$I$5:$I$404,"&gt;="&amp;RepFrom,Bookings!$I$5:$I$404,"&lt;="&amp;RepTo,Bookings!$AM$5:$AM$404,"&lt;&gt;Cancelled"))</f>
        <v>0</v>
      </c>
      <c r="M191" s="31">
        <f>IF(I191="","",COUNTIFS(Bookings!$H$5:$H$404,I191,Bookings!$I$5:$I$404,"&gt;="&amp;RepFrom,Bookings!$I$5:$I$404,"&lt;="&amp;RepTo,Bookings!$AM$5:$AM$404,"&lt;&gt;Cancelled"))</f>
        <v>0</v>
      </c>
      <c r="N191" s="29">
        <f>IF(I191="","",M191*IF(Services!$L$191="",0,Services!$L$191))</f>
        <v>0</v>
      </c>
      <c r="O191" s="29">
        <f>IF(I191="","",L191-N191)</f>
        <v>0</v>
      </c>
      <c r="P191" s="28">
        <f>IF(Lists!$AG191="","",Lists!$AG191)</f>
        <v>0</v>
      </c>
      <c r="Q191" s="29">
        <f>IF(P191="","",SUMIFS(Expenses!$F$5:$F$304,Expenses!$C$5:$C$304,P191,Expenses!$B$5:$B$304,"&gt;="&amp;PeriodStart,Expenses!$B$5:$B$304,"&lt;="&amp;PeriodEnd,Expenses!$J$5:$J$304,"&lt;&gt;Personal"))</f>
        <v>0</v>
      </c>
      <c r="R191" s="29">
        <f>IF(P191="","",SUMIFS(Expenses!$F$5:$F$304,Expenses!$C$5:$C$304,P191,Expenses!$B$5:$B$304,"&gt;="&amp;RepFrom,Expenses!$B$5:$B$304,"&lt;="&amp;RepTo,Expenses!$J$5:$J$304,"&lt;&gt;Personal"))</f>
        <v>0</v>
      </c>
      <c r="S191" s="21">
        <f>IF(ROW()-4&gt;12,"",DATE(Dash_Year,ROW()-4,1))</f>
        <v>0</v>
      </c>
      <c r="T191" s="21">
        <f>IF(S191="","",EOMONTH(S191,0))</f>
        <v>0</v>
      </c>
      <c r="U191" s="28">
        <f>IF(S191="","",TEXT(S191,"mmm"))</f>
        <v>0</v>
      </c>
      <c r="V191" s="29">
        <f>IF(S191="","",SUMIFS(Payments!$L$5:$L$304,Payments!$B$5:$B$304,"&gt;="&amp;S191,Payments!$B$5:$B$304,"&lt;="&amp;T191))</f>
        <v>0</v>
      </c>
      <c r="W191" s="29">
        <f>IF(S191="","",SUMIFS(Invoices!$O$5:$O$304,Invoices!$B$5:$B$304,"&gt;="&amp;S191,Invoices!$B$5:$B$304,"&lt;="&amp;T191,Invoices!$T$5:$T$304,"&lt;&gt;Cancelled"))</f>
        <v>0</v>
      </c>
      <c r="X191" s="29">
        <f>IF(S191="","",SUMIFS(Expenses!$F$5:$F$304,Expenses!$B$5:$B$304,"&gt;="&amp;S191,Expenses!$B$5:$B$304,"&lt;="&amp;T191,Expenses!$J$5:$J$304,"&lt;&gt;Personal"))</f>
        <v>0</v>
      </c>
      <c r="Y191" s="29">
        <f>IF(S191="","",V191-X191)</f>
        <v>0</v>
      </c>
      <c r="Z191" s="31">
        <f>IF(S191="","",COUNTIFS(Bookings!$I$5:$I$404,"&gt;="&amp;S191,Bookings!$I$5:$I$404,"&lt;="&amp;T191,Bookings!$AM$5:$AM$404,"&lt;&gt;Cancelled"))</f>
        <v>0</v>
      </c>
      <c r="AA191" s="31">
        <f>IF(S191="","",COUNTIFS(Bookings!$I$5:$I$404,"&gt;="&amp;S191,Bookings!$I$5:$I$404,"&lt;="&amp;T191,Bookings!$AM$5:$AM$404,"Completed"))</f>
        <v>0</v>
      </c>
      <c r="AB191" s="31">
        <f>IF(S191="","",COUNTIFS(Bookings!$I$5:$I$404,"&gt;="&amp;S191,Bookings!$I$5:$I$404,"&lt;="&amp;T191,Bookings!$AM$5:$AM$404,"Cancelled"))</f>
        <v>0</v>
      </c>
      <c r="AC191" s="31">
        <f>IF(S191="","",COUNTIFS('Visit Log'!$C$5:$C$404,"&gt;="&amp;S191,'Visit Log'!$C$5:$C$404,"&lt;="&amp;T191,'Visit Log'!$AE$5:$AE$404,"Completed"))</f>
        <v>0</v>
      </c>
      <c r="AD191" s="31">
        <f>IF(S191="","",COUNTIFS(Clients!$L$5:$L$254,"&gt;="&amp;S191,Clients!$L$5:$L$254,"&lt;="&amp;T191))</f>
        <v>0</v>
      </c>
      <c r="AE191" s="32">
        <f>IF(S191="","",SUMIFS(Mileage!$M$5:$M$304,Mileage!$B$5:$B$304,"&gt;="&amp;S191,Mileage!$B$5:$B$304,"&lt;="&amp;T191,Mileage!$N$5:$N$304,"Business"))</f>
        <v>0</v>
      </c>
      <c r="AF191" s="29">
        <f>IF(S191="","",SUMIFS(Payments!$L$5:$L$304,Payments!$B$5:$B$304,"&gt;="&amp;DATE(Dash_Year-1,ROW()-4,1),Payments!$B$5:$B$304,"&lt;="&amp;EOMONTH(DATE(Dash_Year-1,ROW()-4,1),0)))</f>
        <v>0</v>
      </c>
      <c r="AG191" s="28">
        <f>IF(Staff!$B$191="","",Staff!$B$191)</f>
        <v>0</v>
      </c>
      <c r="AH191" s="31">
        <f>IF(AG191="","",COUNTIFS('Visit Log'!$G$5:$G$404,AG191,'Visit Log'!$C$5:$C$404,"&gt;="&amp;RepFrom,'Visit Log'!$C$5:$C$404,"&lt;="&amp;RepTo,'Visit Log'!$AE$5:$AE$404,"Completed"))</f>
        <v>0</v>
      </c>
      <c r="AI191" s="51">
        <f>IF(AG191="","",ROUND(SUMIFS('Visit Log'!$K$5:$K$404,'Visit Log'!$G$5:$G$404,AG191,'Visit Log'!$C$5:$C$404,"&gt;="&amp;RepFrom,'Visit Log'!$C$5:$C$404,"&lt;="&amp;RepTo,'Visit Log'!$AE$5:$AE$404,"Completed")/60,2))</f>
        <v>0</v>
      </c>
      <c r="AJ191" s="29">
        <f>IF(AG191="","",SUMIFS(Bookings!$AK$5:$AK$404,Bookings!$AL$5:$AL$404,AG191,Bookings!$I$5:$I$404,"&gt;="&amp;RepFrom,Bookings!$I$5:$I$404,"&lt;="&amp;RepTo,Bookings!$AM$5:$AM$404,"&lt;&gt;Cancelled"))</f>
        <v>0</v>
      </c>
      <c r="AK191" s="32">
        <f>IF(AG191="","",SUMIFS(Mileage!$M$5:$M$304,Mileage!$C$5:$C$304,AG191,Mileage!$B$5:$B$304,"&gt;="&amp;RepFrom,Mileage!$B$5:$B$304,"&lt;="&amp;RepTo))</f>
        <v>0</v>
      </c>
      <c r="AL191" s="28">
        <f>IF(Lists!$Q191="","",Lists!$Q191)</f>
        <v>0</v>
      </c>
      <c r="AM191" s="31">
        <f>IF(AL191="","",COUNTIFS(Bookings!$AV$5:$AV$404,AL191,Bookings!$I$5:$I$404,"&gt;="&amp;RepFrom,Bookings!$I$5:$I$404,"&lt;="&amp;RepTo))</f>
        <v>0</v>
      </c>
      <c r="AN191" s="28">
        <f>IF(Lists!$AF191="","",Lists!$AF191)</f>
        <v>0</v>
      </c>
      <c r="AO191" s="29">
        <f>IF(AN191="","",SUMIFS(Payments!$L$5:$L$304,Payments!$F$5:$F$304,AN191,Payments!$B$5:$B$304,"&gt;="&amp;RepFrom,Payments!$B$5:$B$304,"&lt;="&amp;RepTo))</f>
        <v>0</v>
      </c>
      <c r="AP191" s="28">
        <f>IF(Lists!$E191="","",Lists!$E191)</f>
        <v>0</v>
      </c>
      <c r="AQ191" s="31">
        <f>IF(AP191="","",COUNTIFS(Clients!$K$5:$K$254,AP191))</f>
        <v>0</v>
      </c>
      <c r="AR191" s="29">
        <f>IF(AP191="","",SUMIFS(Clients!$AE$5:$AE$254,Clients!$K$5:$K$254,AP191))</f>
        <v>0</v>
      </c>
    </row>
    <row r="192" spans="1:44">
      <c r="A192" s="28">
        <f>IF(Clients!$B$192="","",Clients!$B$192)</f>
        <v>0</v>
      </c>
      <c r="B192" s="29">
        <f>IF(A192="","",SUMIFS(Payments!$L$5:$L$304,Payments!$C$5:$C$304,A192,Payments!$B$5:$B$304,"&gt;="&amp;PeriodStart,Payments!$B$5:$B$304,"&lt;="&amp;PeriodEnd))</f>
        <v>0</v>
      </c>
      <c r="C192" s="51">
        <f>IF(A192="","",IF(B192&lt;=0,"",B192+ROW()/1000000))</f>
        <v>0</v>
      </c>
      <c r="D192" s="29">
        <f>IF(A192="","",SUMIFS(Payments!$L$5:$L$304,Payments!$C$5:$C$304,A192,Payments!$B$5:$B$304,"&gt;="&amp;RepFrom,Payments!$B$5:$B$304,"&lt;="&amp;RepTo))</f>
        <v>0</v>
      </c>
      <c r="E192" s="51">
        <f>IF(A192="","",IF(D192&lt;=0,"",D192+ROW()/1000000))</f>
        <v>0</v>
      </c>
      <c r="F192" s="29">
        <f>IF(A192="","",SUMIFS(Invoices!$S$5:$S$304,Invoices!$D$5:$D$304,A192,Invoices!$T$5:$T$304,"&lt;&gt;Cancelled"))</f>
        <v>0</v>
      </c>
      <c r="G192" s="51">
        <f>IF(A192="","",IF(F192&lt;=0.004,"",F192+ROW()/1000000))</f>
        <v>0</v>
      </c>
      <c r="H192" s="31">
        <f>IF(A192="","",COUNTIFS(Bookings!$C$5:$C$404,A192,Bookings!$I$5:$I$404,"&gt;="&amp;RepFrom,Bookings!$I$5:$I$404,"&lt;="&amp;RepTo,Bookings!$AM$5:$AM$404,"&lt;&gt;Cancelled"))</f>
        <v>0</v>
      </c>
      <c r="I192" s="28">
        <f>IF(Services!$B$192="","",Services!$B$192)</f>
        <v>0</v>
      </c>
      <c r="J192" s="29">
        <f>IF(I192="","",SUMIFS(Bookings!$AK$5:$AK$404,Bookings!$H$5:$H$404,I192,Bookings!$I$5:$I$404,"&gt;="&amp;PeriodStart,Bookings!$I$5:$I$404,"&lt;="&amp;PeriodEnd,Bookings!$AM$5:$AM$404,"&lt;&gt;Cancelled"))</f>
        <v>0</v>
      </c>
      <c r="K192" s="31">
        <f>IF(I192="","",COUNTIFS(Bookings!$H$5:$H$404,I192,Bookings!$I$5:$I$404,"&gt;="&amp;PeriodStart,Bookings!$I$5:$I$404,"&lt;="&amp;PeriodEnd,Bookings!$AM$5:$AM$404,"&lt;&gt;Cancelled"))</f>
        <v>0</v>
      </c>
      <c r="L192" s="29">
        <f>IF(I192="","",SUMIFS(Bookings!$AK$5:$AK$404,Bookings!$H$5:$H$404,I192,Bookings!$I$5:$I$404,"&gt;="&amp;RepFrom,Bookings!$I$5:$I$404,"&lt;="&amp;RepTo,Bookings!$AM$5:$AM$404,"&lt;&gt;Cancelled"))</f>
        <v>0</v>
      </c>
      <c r="M192" s="31">
        <f>IF(I192="","",COUNTIFS(Bookings!$H$5:$H$404,I192,Bookings!$I$5:$I$404,"&gt;="&amp;RepFrom,Bookings!$I$5:$I$404,"&lt;="&amp;RepTo,Bookings!$AM$5:$AM$404,"&lt;&gt;Cancelled"))</f>
        <v>0</v>
      </c>
      <c r="N192" s="29">
        <f>IF(I192="","",M192*IF(Services!$L$192="",0,Services!$L$192))</f>
        <v>0</v>
      </c>
      <c r="O192" s="29">
        <f>IF(I192="","",L192-N192)</f>
        <v>0</v>
      </c>
      <c r="P192" s="28">
        <f>IF(Lists!$AG192="","",Lists!$AG192)</f>
        <v>0</v>
      </c>
      <c r="Q192" s="29">
        <f>IF(P192="","",SUMIFS(Expenses!$F$5:$F$304,Expenses!$C$5:$C$304,P192,Expenses!$B$5:$B$304,"&gt;="&amp;PeriodStart,Expenses!$B$5:$B$304,"&lt;="&amp;PeriodEnd,Expenses!$J$5:$J$304,"&lt;&gt;Personal"))</f>
        <v>0</v>
      </c>
      <c r="R192" s="29">
        <f>IF(P192="","",SUMIFS(Expenses!$F$5:$F$304,Expenses!$C$5:$C$304,P192,Expenses!$B$5:$B$304,"&gt;="&amp;RepFrom,Expenses!$B$5:$B$304,"&lt;="&amp;RepTo,Expenses!$J$5:$J$304,"&lt;&gt;Personal"))</f>
        <v>0</v>
      </c>
      <c r="S192" s="21">
        <f>IF(ROW()-4&gt;12,"",DATE(Dash_Year,ROW()-4,1))</f>
        <v>0</v>
      </c>
      <c r="T192" s="21">
        <f>IF(S192="","",EOMONTH(S192,0))</f>
        <v>0</v>
      </c>
      <c r="U192" s="28">
        <f>IF(S192="","",TEXT(S192,"mmm"))</f>
        <v>0</v>
      </c>
      <c r="V192" s="29">
        <f>IF(S192="","",SUMIFS(Payments!$L$5:$L$304,Payments!$B$5:$B$304,"&gt;="&amp;S192,Payments!$B$5:$B$304,"&lt;="&amp;T192))</f>
        <v>0</v>
      </c>
      <c r="W192" s="29">
        <f>IF(S192="","",SUMIFS(Invoices!$O$5:$O$304,Invoices!$B$5:$B$304,"&gt;="&amp;S192,Invoices!$B$5:$B$304,"&lt;="&amp;T192,Invoices!$T$5:$T$304,"&lt;&gt;Cancelled"))</f>
        <v>0</v>
      </c>
      <c r="X192" s="29">
        <f>IF(S192="","",SUMIFS(Expenses!$F$5:$F$304,Expenses!$B$5:$B$304,"&gt;="&amp;S192,Expenses!$B$5:$B$304,"&lt;="&amp;T192,Expenses!$J$5:$J$304,"&lt;&gt;Personal"))</f>
        <v>0</v>
      </c>
      <c r="Y192" s="29">
        <f>IF(S192="","",V192-X192)</f>
        <v>0</v>
      </c>
      <c r="Z192" s="31">
        <f>IF(S192="","",COUNTIFS(Bookings!$I$5:$I$404,"&gt;="&amp;S192,Bookings!$I$5:$I$404,"&lt;="&amp;T192,Bookings!$AM$5:$AM$404,"&lt;&gt;Cancelled"))</f>
        <v>0</v>
      </c>
      <c r="AA192" s="31">
        <f>IF(S192="","",COUNTIFS(Bookings!$I$5:$I$404,"&gt;="&amp;S192,Bookings!$I$5:$I$404,"&lt;="&amp;T192,Bookings!$AM$5:$AM$404,"Completed"))</f>
        <v>0</v>
      </c>
      <c r="AB192" s="31">
        <f>IF(S192="","",COUNTIFS(Bookings!$I$5:$I$404,"&gt;="&amp;S192,Bookings!$I$5:$I$404,"&lt;="&amp;T192,Bookings!$AM$5:$AM$404,"Cancelled"))</f>
        <v>0</v>
      </c>
      <c r="AC192" s="31">
        <f>IF(S192="","",COUNTIFS('Visit Log'!$C$5:$C$404,"&gt;="&amp;S192,'Visit Log'!$C$5:$C$404,"&lt;="&amp;T192,'Visit Log'!$AE$5:$AE$404,"Completed"))</f>
        <v>0</v>
      </c>
      <c r="AD192" s="31">
        <f>IF(S192="","",COUNTIFS(Clients!$L$5:$L$254,"&gt;="&amp;S192,Clients!$L$5:$L$254,"&lt;="&amp;T192))</f>
        <v>0</v>
      </c>
      <c r="AE192" s="32">
        <f>IF(S192="","",SUMIFS(Mileage!$M$5:$M$304,Mileage!$B$5:$B$304,"&gt;="&amp;S192,Mileage!$B$5:$B$304,"&lt;="&amp;T192,Mileage!$N$5:$N$304,"Business"))</f>
        <v>0</v>
      </c>
      <c r="AF192" s="29">
        <f>IF(S192="","",SUMIFS(Payments!$L$5:$L$304,Payments!$B$5:$B$304,"&gt;="&amp;DATE(Dash_Year-1,ROW()-4,1),Payments!$B$5:$B$304,"&lt;="&amp;EOMONTH(DATE(Dash_Year-1,ROW()-4,1),0)))</f>
        <v>0</v>
      </c>
      <c r="AG192" s="28">
        <f>IF(Staff!$B$192="","",Staff!$B$192)</f>
        <v>0</v>
      </c>
      <c r="AH192" s="31">
        <f>IF(AG192="","",COUNTIFS('Visit Log'!$G$5:$G$404,AG192,'Visit Log'!$C$5:$C$404,"&gt;="&amp;RepFrom,'Visit Log'!$C$5:$C$404,"&lt;="&amp;RepTo,'Visit Log'!$AE$5:$AE$404,"Completed"))</f>
        <v>0</v>
      </c>
      <c r="AI192" s="51">
        <f>IF(AG192="","",ROUND(SUMIFS('Visit Log'!$K$5:$K$404,'Visit Log'!$G$5:$G$404,AG192,'Visit Log'!$C$5:$C$404,"&gt;="&amp;RepFrom,'Visit Log'!$C$5:$C$404,"&lt;="&amp;RepTo,'Visit Log'!$AE$5:$AE$404,"Completed")/60,2))</f>
        <v>0</v>
      </c>
      <c r="AJ192" s="29">
        <f>IF(AG192="","",SUMIFS(Bookings!$AK$5:$AK$404,Bookings!$AL$5:$AL$404,AG192,Bookings!$I$5:$I$404,"&gt;="&amp;RepFrom,Bookings!$I$5:$I$404,"&lt;="&amp;RepTo,Bookings!$AM$5:$AM$404,"&lt;&gt;Cancelled"))</f>
        <v>0</v>
      </c>
      <c r="AK192" s="32">
        <f>IF(AG192="","",SUMIFS(Mileage!$M$5:$M$304,Mileage!$C$5:$C$304,AG192,Mileage!$B$5:$B$304,"&gt;="&amp;RepFrom,Mileage!$B$5:$B$304,"&lt;="&amp;RepTo))</f>
        <v>0</v>
      </c>
      <c r="AL192" s="28">
        <f>IF(Lists!$Q192="","",Lists!$Q192)</f>
        <v>0</v>
      </c>
      <c r="AM192" s="31">
        <f>IF(AL192="","",COUNTIFS(Bookings!$AV$5:$AV$404,AL192,Bookings!$I$5:$I$404,"&gt;="&amp;RepFrom,Bookings!$I$5:$I$404,"&lt;="&amp;RepTo))</f>
        <v>0</v>
      </c>
      <c r="AN192" s="28">
        <f>IF(Lists!$AF192="","",Lists!$AF192)</f>
        <v>0</v>
      </c>
      <c r="AO192" s="29">
        <f>IF(AN192="","",SUMIFS(Payments!$L$5:$L$304,Payments!$F$5:$F$304,AN192,Payments!$B$5:$B$304,"&gt;="&amp;RepFrom,Payments!$B$5:$B$304,"&lt;="&amp;RepTo))</f>
        <v>0</v>
      </c>
      <c r="AP192" s="28">
        <f>IF(Lists!$E192="","",Lists!$E192)</f>
        <v>0</v>
      </c>
      <c r="AQ192" s="31">
        <f>IF(AP192="","",COUNTIFS(Clients!$K$5:$K$254,AP192))</f>
        <v>0</v>
      </c>
      <c r="AR192" s="29">
        <f>IF(AP192="","",SUMIFS(Clients!$AE$5:$AE$254,Clients!$K$5:$K$254,AP192))</f>
        <v>0</v>
      </c>
    </row>
    <row r="193" spans="1:44">
      <c r="A193" s="28">
        <f>IF(Clients!$B$193="","",Clients!$B$193)</f>
        <v>0</v>
      </c>
      <c r="B193" s="29">
        <f>IF(A193="","",SUMIFS(Payments!$L$5:$L$304,Payments!$C$5:$C$304,A193,Payments!$B$5:$B$304,"&gt;="&amp;PeriodStart,Payments!$B$5:$B$304,"&lt;="&amp;PeriodEnd))</f>
        <v>0</v>
      </c>
      <c r="C193" s="51">
        <f>IF(A193="","",IF(B193&lt;=0,"",B193+ROW()/1000000))</f>
        <v>0</v>
      </c>
      <c r="D193" s="29">
        <f>IF(A193="","",SUMIFS(Payments!$L$5:$L$304,Payments!$C$5:$C$304,A193,Payments!$B$5:$B$304,"&gt;="&amp;RepFrom,Payments!$B$5:$B$304,"&lt;="&amp;RepTo))</f>
        <v>0</v>
      </c>
      <c r="E193" s="51">
        <f>IF(A193="","",IF(D193&lt;=0,"",D193+ROW()/1000000))</f>
        <v>0</v>
      </c>
      <c r="F193" s="29">
        <f>IF(A193="","",SUMIFS(Invoices!$S$5:$S$304,Invoices!$D$5:$D$304,A193,Invoices!$T$5:$T$304,"&lt;&gt;Cancelled"))</f>
        <v>0</v>
      </c>
      <c r="G193" s="51">
        <f>IF(A193="","",IF(F193&lt;=0.004,"",F193+ROW()/1000000))</f>
        <v>0</v>
      </c>
      <c r="H193" s="31">
        <f>IF(A193="","",COUNTIFS(Bookings!$C$5:$C$404,A193,Bookings!$I$5:$I$404,"&gt;="&amp;RepFrom,Bookings!$I$5:$I$404,"&lt;="&amp;RepTo,Bookings!$AM$5:$AM$404,"&lt;&gt;Cancelled"))</f>
        <v>0</v>
      </c>
      <c r="I193" s="28">
        <f>IF(Services!$B$193="","",Services!$B$193)</f>
        <v>0</v>
      </c>
      <c r="J193" s="29">
        <f>IF(I193="","",SUMIFS(Bookings!$AK$5:$AK$404,Bookings!$H$5:$H$404,I193,Bookings!$I$5:$I$404,"&gt;="&amp;PeriodStart,Bookings!$I$5:$I$404,"&lt;="&amp;PeriodEnd,Bookings!$AM$5:$AM$404,"&lt;&gt;Cancelled"))</f>
        <v>0</v>
      </c>
      <c r="K193" s="31">
        <f>IF(I193="","",COUNTIFS(Bookings!$H$5:$H$404,I193,Bookings!$I$5:$I$404,"&gt;="&amp;PeriodStart,Bookings!$I$5:$I$404,"&lt;="&amp;PeriodEnd,Bookings!$AM$5:$AM$404,"&lt;&gt;Cancelled"))</f>
        <v>0</v>
      </c>
      <c r="L193" s="29">
        <f>IF(I193="","",SUMIFS(Bookings!$AK$5:$AK$404,Bookings!$H$5:$H$404,I193,Bookings!$I$5:$I$404,"&gt;="&amp;RepFrom,Bookings!$I$5:$I$404,"&lt;="&amp;RepTo,Bookings!$AM$5:$AM$404,"&lt;&gt;Cancelled"))</f>
        <v>0</v>
      </c>
      <c r="M193" s="31">
        <f>IF(I193="","",COUNTIFS(Bookings!$H$5:$H$404,I193,Bookings!$I$5:$I$404,"&gt;="&amp;RepFrom,Bookings!$I$5:$I$404,"&lt;="&amp;RepTo,Bookings!$AM$5:$AM$404,"&lt;&gt;Cancelled"))</f>
        <v>0</v>
      </c>
      <c r="N193" s="29">
        <f>IF(I193="","",M193*IF(Services!$L$193="",0,Services!$L$193))</f>
        <v>0</v>
      </c>
      <c r="O193" s="29">
        <f>IF(I193="","",L193-N193)</f>
        <v>0</v>
      </c>
      <c r="P193" s="28">
        <f>IF(Lists!$AG193="","",Lists!$AG193)</f>
        <v>0</v>
      </c>
      <c r="Q193" s="29">
        <f>IF(P193="","",SUMIFS(Expenses!$F$5:$F$304,Expenses!$C$5:$C$304,P193,Expenses!$B$5:$B$304,"&gt;="&amp;PeriodStart,Expenses!$B$5:$B$304,"&lt;="&amp;PeriodEnd,Expenses!$J$5:$J$304,"&lt;&gt;Personal"))</f>
        <v>0</v>
      </c>
      <c r="R193" s="29">
        <f>IF(P193="","",SUMIFS(Expenses!$F$5:$F$304,Expenses!$C$5:$C$304,P193,Expenses!$B$5:$B$304,"&gt;="&amp;RepFrom,Expenses!$B$5:$B$304,"&lt;="&amp;RepTo,Expenses!$J$5:$J$304,"&lt;&gt;Personal"))</f>
        <v>0</v>
      </c>
      <c r="S193" s="21">
        <f>IF(ROW()-4&gt;12,"",DATE(Dash_Year,ROW()-4,1))</f>
        <v>0</v>
      </c>
      <c r="T193" s="21">
        <f>IF(S193="","",EOMONTH(S193,0))</f>
        <v>0</v>
      </c>
      <c r="U193" s="28">
        <f>IF(S193="","",TEXT(S193,"mmm"))</f>
        <v>0</v>
      </c>
      <c r="V193" s="29">
        <f>IF(S193="","",SUMIFS(Payments!$L$5:$L$304,Payments!$B$5:$B$304,"&gt;="&amp;S193,Payments!$B$5:$B$304,"&lt;="&amp;T193))</f>
        <v>0</v>
      </c>
      <c r="W193" s="29">
        <f>IF(S193="","",SUMIFS(Invoices!$O$5:$O$304,Invoices!$B$5:$B$304,"&gt;="&amp;S193,Invoices!$B$5:$B$304,"&lt;="&amp;T193,Invoices!$T$5:$T$304,"&lt;&gt;Cancelled"))</f>
        <v>0</v>
      </c>
      <c r="X193" s="29">
        <f>IF(S193="","",SUMIFS(Expenses!$F$5:$F$304,Expenses!$B$5:$B$304,"&gt;="&amp;S193,Expenses!$B$5:$B$304,"&lt;="&amp;T193,Expenses!$J$5:$J$304,"&lt;&gt;Personal"))</f>
        <v>0</v>
      </c>
      <c r="Y193" s="29">
        <f>IF(S193="","",V193-X193)</f>
        <v>0</v>
      </c>
      <c r="Z193" s="31">
        <f>IF(S193="","",COUNTIFS(Bookings!$I$5:$I$404,"&gt;="&amp;S193,Bookings!$I$5:$I$404,"&lt;="&amp;T193,Bookings!$AM$5:$AM$404,"&lt;&gt;Cancelled"))</f>
        <v>0</v>
      </c>
      <c r="AA193" s="31">
        <f>IF(S193="","",COUNTIFS(Bookings!$I$5:$I$404,"&gt;="&amp;S193,Bookings!$I$5:$I$404,"&lt;="&amp;T193,Bookings!$AM$5:$AM$404,"Completed"))</f>
        <v>0</v>
      </c>
      <c r="AB193" s="31">
        <f>IF(S193="","",COUNTIFS(Bookings!$I$5:$I$404,"&gt;="&amp;S193,Bookings!$I$5:$I$404,"&lt;="&amp;T193,Bookings!$AM$5:$AM$404,"Cancelled"))</f>
        <v>0</v>
      </c>
      <c r="AC193" s="31">
        <f>IF(S193="","",COUNTIFS('Visit Log'!$C$5:$C$404,"&gt;="&amp;S193,'Visit Log'!$C$5:$C$404,"&lt;="&amp;T193,'Visit Log'!$AE$5:$AE$404,"Completed"))</f>
        <v>0</v>
      </c>
      <c r="AD193" s="31">
        <f>IF(S193="","",COUNTIFS(Clients!$L$5:$L$254,"&gt;="&amp;S193,Clients!$L$5:$L$254,"&lt;="&amp;T193))</f>
        <v>0</v>
      </c>
      <c r="AE193" s="32">
        <f>IF(S193="","",SUMIFS(Mileage!$M$5:$M$304,Mileage!$B$5:$B$304,"&gt;="&amp;S193,Mileage!$B$5:$B$304,"&lt;="&amp;T193,Mileage!$N$5:$N$304,"Business"))</f>
        <v>0</v>
      </c>
      <c r="AF193" s="29">
        <f>IF(S193="","",SUMIFS(Payments!$L$5:$L$304,Payments!$B$5:$B$304,"&gt;="&amp;DATE(Dash_Year-1,ROW()-4,1),Payments!$B$5:$B$304,"&lt;="&amp;EOMONTH(DATE(Dash_Year-1,ROW()-4,1),0)))</f>
        <v>0</v>
      </c>
      <c r="AG193" s="28">
        <f>IF(Staff!$B$193="","",Staff!$B$193)</f>
        <v>0</v>
      </c>
      <c r="AH193" s="31">
        <f>IF(AG193="","",COUNTIFS('Visit Log'!$G$5:$G$404,AG193,'Visit Log'!$C$5:$C$404,"&gt;="&amp;RepFrom,'Visit Log'!$C$5:$C$404,"&lt;="&amp;RepTo,'Visit Log'!$AE$5:$AE$404,"Completed"))</f>
        <v>0</v>
      </c>
      <c r="AI193" s="51">
        <f>IF(AG193="","",ROUND(SUMIFS('Visit Log'!$K$5:$K$404,'Visit Log'!$G$5:$G$404,AG193,'Visit Log'!$C$5:$C$404,"&gt;="&amp;RepFrom,'Visit Log'!$C$5:$C$404,"&lt;="&amp;RepTo,'Visit Log'!$AE$5:$AE$404,"Completed")/60,2))</f>
        <v>0</v>
      </c>
      <c r="AJ193" s="29">
        <f>IF(AG193="","",SUMIFS(Bookings!$AK$5:$AK$404,Bookings!$AL$5:$AL$404,AG193,Bookings!$I$5:$I$404,"&gt;="&amp;RepFrom,Bookings!$I$5:$I$404,"&lt;="&amp;RepTo,Bookings!$AM$5:$AM$404,"&lt;&gt;Cancelled"))</f>
        <v>0</v>
      </c>
      <c r="AK193" s="32">
        <f>IF(AG193="","",SUMIFS(Mileage!$M$5:$M$304,Mileage!$C$5:$C$304,AG193,Mileage!$B$5:$B$304,"&gt;="&amp;RepFrom,Mileage!$B$5:$B$304,"&lt;="&amp;RepTo))</f>
        <v>0</v>
      </c>
      <c r="AL193" s="28">
        <f>IF(Lists!$Q193="","",Lists!$Q193)</f>
        <v>0</v>
      </c>
      <c r="AM193" s="31">
        <f>IF(AL193="","",COUNTIFS(Bookings!$AV$5:$AV$404,AL193,Bookings!$I$5:$I$404,"&gt;="&amp;RepFrom,Bookings!$I$5:$I$404,"&lt;="&amp;RepTo))</f>
        <v>0</v>
      </c>
      <c r="AN193" s="28">
        <f>IF(Lists!$AF193="","",Lists!$AF193)</f>
        <v>0</v>
      </c>
      <c r="AO193" s="29">
        <f>IF(AN193="","",SUMIFS(Payments!$L$5:$L$304,Payments!$F$5:$F$304,AN193,Payments!$B$5:$B$304,"&gt;="&amp;RepFrom,Payments!$B$5:$B$304,"&lt;="&amp;RepTo))</f>
        <v>0</v>
      </c>
      <c r="AP193" s="28">
        <f>IF(Lists!$E193="","",Lists!$E193)</f>
        <v>0</v>
      </c>
      <c r="AQ193" s="31">
        <f>IF(AP193="","",COUNTIFS(Clients!$K$5:$K$254,AP193))</f>
        <v>0</v>
      </c>
      <c r="AR193" s="29">
        <f>IF(AP193="","",SUMIFS(Clients!$AE$5:$AE$254,Clients!$K$5:$K$254,AP193))</f>
        <v>0</v>
      </c>
    </row>
    <row r="194" spans="1:44">
      <c r="A194" s="28">
        <f>IF(Clients!$B$194="","",Clients!$B$194)</f>
        <v>0</v>
      </c>
      <c r="B194" s="29">
        <f>IF(A194="","",SUMIFS(Payments!$L$5:$L$304,Payments!$C$5:$C$304,A194,Payments!$B$5:$B$304,"&gt;="&amp;PeriodStart,Payments!$B$5:$B$304,"&lt;="&amp;PeriodEnd))</f>
        <v>0</v>
      </c>
      <c r="C194" s="51">
        <f>IF(A194="","",IF(B194&lt;=0,"",B194+ROW()/1000000))</f>
        <v>0</v>
      </c>
      <c r="D194" s="29">
        <f>IF(A194="","",SUMIFS(Payments!$L$5:$L$304,Payments!$C$5:$C$304,A194,Payments!$B$5:$B$304,"&gt;="&amp;RepFrom,Payments!$B$5:$B$304,"&lt;="&amp;RepTo))</f>
        <v>0</v>
      </c>
      <c r="E194" s="51">
        <f>IF(A194="","",IF(D194&lt;=0,"",D194+ROW()/1000000))</f>
        <v>0</v>
      </c>
      <c r="F194" s="29">
        <f>IF(A194="","",SUMIFS(Invoices!$S$5:$S$304,Invoices!$D$5:$D$304,A194,Invoices!$T$5:$T$304,"&lt;&gt;Cancelled"))</f>
        <v>0</v>
      </c>
      <c r="G194" s="51">
        <f>IF(A194="","",IF(F194&lt;=0.004,"",F194+ROW()/1000000))</f>
        <v>0</v>
      </c>
      <c r="H194" s="31">
        <f>IF(A194="","",COUNTIFS(Bookings!$C$5:$C$404,A194,Bookings!$I$5:$I$404,"&gt;="&amp;RepFrom,Bookings!$I$5:$I$404,"&lt;="&amp;RepTo,Bookings!$AM$5:$AM$404,"&lt;&gt;Cancelled"))</f>
        <v>0</v>
      </c>
      <c r="I194" s="28">
        <f>IF(Services!$B$194="","",Services!$B$194)</f>
        <v>0</v>
      </c>
      <c r="J194" s="29">
        <f>IF(I194="","",SUMIFS(Bookings!$AK$5:$AK$404,Bookings!$H$5:$H$404,I194,Bookings!$I$5:$I$404,"&gt;="&amp;PeriodStart,Bookings!$I$5:$I$404,"&lt;="&amp;PeriodEnd,Bookings!$AM$5:$AM$404,"&lt;&gt;Cancelled"))</f>
        <v>0</v>
      </c>
      <c r="K194" s="31">
        <f>IF(I194="","",COUNTIFS(Bookings!$H$5:$H$404,I194,Bookings!$I$5:$I$404,"&gt;="&amp;PeriodStart,Bookings!$I$5:$I$404,"&lt;="&amp;PeriodEnd,Bookings!$AM$5:$AM$404,"&lt;&gt;Cancelled"))</f>
        <v>0</v>
      </c>
      <c r="L194" s="29">
        <f>IF(I194="","",SUMIFS(Bookings!$AK$5:$AK$404,Bookings!$H$5:$H$404,I194,Bookings!$I$5:$I$404,"&gt;="&amp;RepFrom,Bookings!$I$5:$I$404,"&lt;="&amp;RepTo,Bookings!$AM$5:$AM$404,"&lt;&gt;Cancelled"))</f>
        <v>0</v>
      </c>
      <c r="M194" s="31">
        <f>IF(I194="","",COUNTIFS(Bookings!$H$5:$H$404,I194,Bookings!$I$5:$I$404,"&gt;="&amp;RepFrom,Bookings!$I$5:$I$404,"&lt;="&amp;RepTo,Bookings!$AM$5:$AM$404,"&lt;&gt;Cancelled"))</f>
        <v>0</v>
      </c>
      <c r="N194" s="29">
        <f>IF(I194="","",M194*IF(Services!$L$194="",0,Services!$L$194))</f>
        <v>0</v>
      </c>
      <c r="O194" s="29">
        <f>IF(I194="","",L194-N194)</f>
        <v>0</v>
      </c>
      <c r="P194" s="28">
        <f>IF(Lists!$AG194="","",Lists!$AG194)</f>
        <v>0</v>
      </c>
      <c r="Q194" s="29">
        <f>IF(P194="","",SUMIFS(Expenses!$F$5:$F$304,Expenses!$C$5:$C$304,P194,Expenses!$B$5:$B$304,"&gt;="&amp;PeriodStart,Expenses!$B$5:$B$304,"&lt;="&amp;PeriodEnd,Expenses!$J$5:$J$304,"&lt;&gt;Personal"))</f>
        <v>0</v>
      </c>
      <c r="R194" s="29">
        <f>IF(P194="","",SUMIFS(Expenses!$F$5:$F$304,Expenses!$C$5:$C$304,P194,Expenses!$B$5:$B$304,"&gt;="&amp;RepFrom,Expenses!$B$5:$B$304,"&lt;="&amp;RepTo,Expenses!$J$5:$J$304,"&lt;&gt;Personal"))</f>
        <v>0</v>
      </c>
      <c r="S194" s="21">
        <f>IF(ROW()-4&gt;12,"",DATE(Dash_Year,ROW()-4,1))</f>
        <v>0</v>
      </c>
      <c r="T194" s="21">
        <f>IF(S194="","",EOMONTH(S194,0))</f>
        <v>0</v>
      </c>
      <c r="U194" s="28">
        <f>IF(S194="","",TEXT(S194,"mmm"))</f>
        <v>0</v>
      </c>
      <c r="V194" s="29">
        <f>IF(S194="","",SUMIFS(Payments!$L$5:$L$304,Payments!$B$5:$B$304,"&gt;="&amp;S194,Payments!$B$5:$B$304,"&lt;="&amp;T194))</f>
        <v>0</v>
      </c>
      <c r="W194" s="29">
        <f>IF(S194="","",SUMIFS(Invoices!$O$5:$O$304,Invoices!$B$5:$B$304,"&gt;="&amp;S194,Invoices!$B$5:$B$304,"&lt;="&amp;T194,Invoices!$T$5:$T$304,"&lt;&gt;Cancelled"))</f>
        <v>0</v>
      </c>
      <c r="X194" s="29">
        <f>IF(S194="","",SUMIFS(Expenses!$F$5:$F$304,Expenses!$B$5:$B$304,"&gt;="&amp;S194,Expenses!$B$5:$B$304,"&lt;="&amp;T194,Expenses!$J$5:$J$304,"&lt;&gt;Personal"))</f>
        <v>0</v>
      </c>
      <c r="Y194" s="29">
        <f>IF(S194="","",V194-X194)</f>
        <v>0</v>
      </c>
      <c r="Z194" s="31">
        <f>IF(S194="","",COUNTIFS(Bookings!$I$5:$I$404,"&gt;="&amp;S194,Bookings!$I$5:$I$404,"&lt;="&amp;T194,Bookings!$AM$5:$AM$404,"&lt;&gt;Cancelled"))</f>
        <v>0</v>
      </c>
      <c r="AA194" s="31">
        <f>IF(S194="","",COUNTIFS(Bookings!$I$5:$I$404,"&gt;="&amp;S194,Bookings!$I$5:$I$404,"&lt;="&amp;T194,Bookings!$AM$5:$AM$404,"Completed"))</f>
        <v>0</v>
      </c>
      <c r="AB194" s="31">
        <f>IF(S194="","",COUNTIFS(Bookings!$I$5:$I$404,"&gt;="&amp;S194,Bookings!$I$5:$I$404,"&lt;="&amp;T194,Bookings!$AM$5:$AM$404,"Cancelled"))</f>
        <v>0</v>
      </c>
      <c r="AC194" s="31">
        <f>IF(S194="","",COUNTIFS('Visit Log'!$C$5:$C$404,"&gt;="&amp;S194,'Visit Log'!$C$5:$C$404,"&lt;="&amp;T194,'Visit Log'!$AE$5:$AE$404,"Completed"))</f>
        <v>0</v>
      </c>
      <c r="AD194" s="31">
        <f>IF(S194="","",COUNTIFS(Clients!$L$5:$L$254,"&gt;="&amp;S194,Clients!$L$5:$L$254,"&lt;="&amp;T194))</f>
        <v>0</v>
      </c>
      <c r="AE194" s="32">
        <f>IF(S194="","",SUMIFS(Mileage!$M$5:$M$304,Mileage!$B$5:$B$304,"&gt;="&amp;S194,Mileage!$B$5:$B$304,"&lt;="&amp;T194,Mileage!$N$5:$N$304,"Business"))</f>
        <v>0</v>
      </c>
      <c r="AF194" s="29">
        <f>IF(S194="","",SUMIFS(Payments!$L$5:$L$304,Payments!$B$5:$B$304,"&gt;="&amp;DATE(Dash_Year-1,ROW()-4,1),Payments!$B$5:$B$304,"&lt;="&amp;EOMONTH(DATE(Dash_Year-1,ROW()-4,1),0)))</f>
        <v>0</v>
      </c>
      <c r="AG194" s="28">
        <f>IF(Staff!$B$194="","",Staff!$B$194)</f>
        <v>0</v>
      </c>
      <c r="AH194" s="31">
        <f>IF(AG194="","",COUNTIFS('Visit Log'!$G$5:$G$404,AG194,'Visit Log'!$C$5:$C$404,"&gt;="&amp;RepFrom,'Visit Log'!$C$5:$C$404,"&lt;="&amp;RepTo,'Visit Log'!$AE$5:$AE$404,"Completed"))</f>
        <v>0</v>
      </c>
      <c r="AI194" s="51">
        <f>IF(AG194="","",ROUND(SUMIFS('Visit Log'!$K$5:$K$404,'Visit Log'!$G$5:$G$404,AG194,'Visit Log'!$C$5:$C$404,"&gt;="&amp;RepFrom,'Visit Log'!$C$5:$C$404,"&lt;="&amp;RepTo,'Visit Log'!$AE$5:$AE$404,"Completed")/60,2))</f>
        <v>0</v>
      </c>
      <c r="AJ194" s="29">
        <f>IF(AG194="","",SUMIFS(Bookings!$AK$5:$AK$404,Bookings!$AL$5:$AL$404,AG194,Bookings!$I$5:$I$404,"&gt;="&amp;RepFrom,Bookings!$I$5:$I$404,"&lt;="&amp;RepTo,Bookings!$AM$5:$AM$404,"&lt;&gt;Cancelled"))</f>
        <v>0</v>
      </c>
      <c r="AK194" s="32">
        <f>IF(AG194="","",SUMIFS(Mileage!$M$5:$M$304,Mileage!$C$5:$C$304,AG194,Mileage!$B$5:$B$304,"&gt;="&amp;RepFrom,Mileage!$B$5:$B$304,"&lt;="&amp;RepTo))</f>
        <v>0</v>
      </c>
      <c r="AL194" s="28">
        <f>IF(Lists!$Q194="","",Lists!$Q194)</f>
        <v>0</v>
      </c>
      <c r="AM194" s="31">
        <f>IF(AL194="","",COUNTIFS(Bookings!$AV$5:$AV$404,AL194,Bookings!$I$5:$I$404,"&gt;="&amp;RepFrom,Bookings!$I$5:$I$404,"&lt;="&amp;RepTo))</f>
        <v>0</v>
      </c>
      <c r="AN194" s="28">
        <f>IF(Lists!$AF194="","",Lists!$AF194)</f>
        <v>0</v>
      </c>
      <c r="AO194" s="29">
        <f>IF(AN194="","",SUMIFS(Payments!$L$5:$L$304,Payments!$F$5:$F$304,AN194,Payments!$B$5:$B$304,"&gt;="&amp;RepFrom,Payments!$B$5:$B$304,"&lt;="&amp;RepTo))</f>
        <v>0</v>
      </c>
      <c r="AP194" s="28">
        <f>IF(Lists!$E194="","",Lists!$E194)</f>
        <v>0</v>
      </c>
      <c r="AQ194" s="31">
        <f>IF(AP194="","",COUNTIFS(Clients!$K$5:$K$254,AP194))</f>
        <v>0</v>
      </c>
      <c r="AR194" s="29">
        <f>IF(AP194="","",SUMIFS(Clients!$AE$5:$AE$254,Clients!$K$5:$K$254,AP194))</f>
        <v>0</v>
      </c>
    </row>
    <row r="195" spans="1:44">
      <c r="A195" s="28">
        <f>IF(Clients!$B$195="","",Clients!$B$195)</f>
        <v>0</v>
      </c>
      <c r="B195" s="29">
        <f>IF(A195="","",SUMIFS(Payments!$L$5:$L$304,Payments!$C$5:$C$304,A195,Payments!$B$5:$B$304,"&gt;="&amp;PeriodStart,Payments!$B$5:$B$304,"&lt;="&amp;PeriodEnd))</f>
        <v>0</v>
      </c>
      <c r="C195" s="51">
        <f>IF(A195="","",IF(B195&lt;=0,"",B195+ROW()/1000000))</f>
        <v>0</v>
      </c>
      <c r="D195" s="29">
        <f>IF(A195="","",SUMIFS(Payments!$L$5:$L$304,Payments!$C$5:$C$304,A195,Payments!$B$5:$B$304,"&gt;="&amp;RepFrom,Payments!$B$5:$B$304,"&lt;="&amp;RepTo))</f>
        <v>0</v>
      </c>
      <c r="E195" s="51">
        <f>IF(A195="","",IF(D195&lt;=0,"",D195+ROW()/1000000))</f>
        <v>0</v>
      </c>
      <c r="F195" s="29">
        <f>IF(A195="","",SUMIFS(Invoices!$S$5:$S$304,Invoices!$D$5:$D$304,A195,Invoices!$T$5:$T$304,"&lt;&gt;Cancelled"))</f>
        <v>0</v>
      </c>
      <c r="G195" s="51">
        <f>IF(A195="","",IF(F195&lt;=0.004,"",F195+ROW()/1000000))</f>
        <v>0</v>
      </c>
      <c r="H195" s="31">
        <f>IF(A195="","",COUNTIFS(Bookings!$C$5:$C$404,A195,Bookings!$I$5:$I$404,"&gt;="&amp;RepFrom,Bookings!$I$5:$I$404,"&lt;="&amp;RepTo,Bookings!$AM$5:$AM$404,"&lt;&gt;Cancelled"))</f>
        <v>0</v>
      </c>
      <c r="I195" s="28">
        <f>IF(Services!$B$195="","",Services!$B$195)</f>
        <v>0</v>
      </c>
      <c r="J195" s="29">
        <f>IF(I195="","",SUMIFS(Bookings!$AK$5:$AK$404,Bookings!$H$5:$H$404,I195,Bookings!$I$5:$I$404,"&gt;="&amp;PeriodStart,Bookings!$I$5:$I$404,"&lt;="&amp;PeriodEnd,Bookings!$AM$5:$AM$404,"&lt;&gt;Cancelled"))</f>
        <v>0</v>
      </c>
      <c r="K195" s="31">
        <f>IF(I195="","",COUNTIFS(Bookings!$H$5:$H$404,I195,Bookings!$I$5:$I$404,"&gt;="&amp;PeriodStart,Bookings!$I$5:$I$404,"&lt;="&amp;PeriodEnd,Bookings!$AM$5:$AM$404,"&lt;&gt;Cancelled"))</f>
        <v>0</v>
      </c>
      <c r="L195" s="29">
        <f>IF(I195="","",SUMIFS(Bookings!$AK$5:$AK$404,Bookings!$H$5:$H$404,I195,Bookings!$I$5:$I$404,"&gt;="&amp;RepFrom,Bookings!$I$5:$I$404,"&lt;="&amp;RepTo,Bookings!$AM$5:$AM$404,"&lt;&gt;Cancelled"))</f>
        <v>0</v>
      </c>
      <c r="M195" s="31">
        <f>IF(I195="","",COUNTIFS(Bookings!$H$5:$H$404,I195,Bookings!$I$5:$I$404,"&gt;="&amp;RepFrom,Bookings!$I$5:$I$404,"&lt;="&amp;RepTo,Bookings!$AM$5:$AM$404,"&lt;&gt;Cancelled"))</f>
        <v>0</v>
      </c>
      <c r="N195" s="29">
        <f>IF(I195="","",M195*IF(Services!$L$195="",0,Services!$L$195))</f>
        <v>0</v>
      </c>
      <c r="O195" s="29">
        <f>IF(I195="","",L195-N195)</f>
        <v>0</v>
      </c>
      <c r="P195" s="28">
        <f>IF(Lists!$AG195="","",Lists!$AG195)</f>
        <v>0</v>
      </c>
      <c r="Q195" s="29">
        <f>IF(P195="","",SUMIFS(Expenses!$F$5:$F$304,Expenses!$C$5:$C$304,P195,Expenses!$B$5:$B$304,"&gt;="&amp;PeriodStart,Expenses!$B$5:$B$304,"&lt;="&amp;PeriodEnd,Expenses!$J$5:$J$304,"&lt;&gt;Personal"))</f>
        <v>0</v>
      </c>
      <c r="R195" s="29">
        <f>IF(P195="","",SUMIFS(Expenses!$F$5:$F$304,Expenses!$C$5:$C$304,P195,Expenses!$B$5:$B$304,"&gt;="&amp;RepFrom,Expenses!$B$5:$B$304,"&lt;="&amp;RepTo,Expenses!$J$5:$J$304,"&lt;&gt;Personal"))</f>
        <v>0</v>
      </c>
      <c r="S195" s="21">
        <f>IF(ROW()-4&gt;12,"",DATE(Dash_Year,ROW()-4,1))</f>
        <v>0</v>
      </c>
      <c r="T195" s="21">
        <f>IF(S195="","",EOMONTH(S195,0))</f>
        <v>0</v>
      </c>
      <c r="U195" s="28">
        <f>IF(S195="","",TEXT(S195,"mmm"))</f>
        <v>0</v>
      </c>
      <c r="V195" s="29">
        <f>IF(S195="","",SUMIFS(Payments!$L$5:$L$304,Payments!$B$5:$B$304,"&gt;="&amp;S195,Payments!$B$5:$B$304,"&lt;="&amp;T195))</f>
        <v>0</v>
      </c>
      <c r="W195" s="29">
        <f>IF(S195="","",SUMIFS(Invoices!$O$5:$O$304,Invoices!$B$5:$B$304,"&gt;="&amp;S195,Invoices!$B$5:$B$304,"&lt;="&amp;T195,Invoices!$T$5:$T$304,"&lt;&gt;Cancelled"))</f>
        <v>0</v>
      </c>
      <c r="X195" s="29">
        <f>IF(S195="","",SUMIFS(Expenses!$F$5:$F$304,Expenses!$B$5:$B$304,"&gt;="&amp;S195,Expenses!$B$5:$B$304,"&lt;="&amp;T195,Expenses!$J$5:$J$304,"&lt;&gt;Personal"))</f>
        <v>0</v>
      </c>
      <c r="Y195" s="29">
        <f>IF(S195="","",V195-X195)</f>
        <v>0</v>
      </c>
      <c r="Z195" s="31">
        <f>IF(S195="","",COUNTIFS(Bookings!$I$5:$I$404,"&gt;="&amp;S195,Bookings!$I$5:$I$404,"&lt;="&amp;T195,Bookings!$AM$5:$AM$404,"&lt;&gt;Cancelled"))</f>
        <v>0</v>
      </c>
      <c r="AA195" s="31">
        <f>IF(S195="","",COUNTIFS(Bookings!$I$5:$I$404,"&gt;="&amp;S195,Bookings!$I$5:$I$404,"&lt;="&amp;T195,Bookings!$AM$5:$AM$404,"Completed"))</f>
        <v>0</v>
      </c>
      <c r="AB195" s="31">
        <f>IF(S195="","",COUNTIFS(Bookings!$I$5:$I$404,"&gt;="&amp;S195,Bookings!$I$5:$I$404,"&lt;="&amp;T195,Bookings!$AM$5:$AM$404,"Cancelled"))</f>
        <v>0</v>
      </c>
      <c r="AC195" s="31">
        <f>IF(S195="","",COUNTIFS('Visit Log'!$C$5:$C$404,"&gt;="&amp;S195,'Visit Log'!$C$5:$C$404,"&lt;="&amp;T195,'Visit Log'!$AE$5:$AE$404,"Completed"))</f>
        <v>0</v>
      </c>
      <c r="AD195" s="31">
        <f>IF(S195="","",COUNTIFS(Clients!$L$5:$L$254,"&gt;="&amp;S195,Clients!$L$5:$L$254,"&lt;="&amp;T195))</f>
        <v>0</v>
      </c>
      <c r="AE195" s="32">
        <f>IF(S195="","",SUMIFS(Mileage!$M$5:$M$304,Mileage!$B$5:$B$304,"&gt;="&amp;S195,Mileage!$B$5:$B$304,"&lt;="&amp;T195,Mileage!$N$5:$N$304,"Business"))</f>
        <v>0</v>
      </c>
      <c r="AF195" s="29">
        <f>IF(S195="","",SUMIFS(Payments!$L$5:$L$304,Payments!$B$5:$B$304,"&gt;="&amp;DATE(Dash_Year-1,ROW()-4,1),Payments!$B$5:$B$304,"&lt;="&amp;EOMONTH(DATE(Dash_Year-1,ROW()-4,1),0)))</f>
        <v>0</v>
      </c>
      <c r="AG195" s="28">
        <f>IF(Staff!$B$195="","",Staff!$B$195)</f>
        <v>0</v>
      </c>
      <c r="AH195" s="31">
        <f>IF(AG195="","",COUNTIFS('Visit Log'!$G$5:$G$404,AG195,'Visit Log'!$C$5:$C$404,"&gt;="&amp;RepFrom,'Visit Log'!$C$5:$C$404,"&lt;="&amp;RepTo,'Visit Log'!$AE$5:$AE$404,"Completed"))</f>
        <v>0</v>
      </c>
      <c r="AI195" s="51">
        <f>IF(AG195="","",ROUND(SUMIFS('Visit Log'!$K$5:$K$404,'Visit Log'!$G$5:$G$404,AG195,'Visit Log'!$C$5:$C$404,"&gt;="&amp;RepFrom,'Visit Log'!$C$5:$C$404,"&lt;="&amp;RepTo,'Visit Log'!$AE$5:$AE$404,"Completed")/60,2))</f>
        <v>0</v>
      </c>
      <c r="AJ195" s="29">
        <f>IF(AG195="","",SUMIFS(Bookings!$AK$5:$AK$404,Bookings!$AL$5:$AL$404,AG195,Bookings!$I$5:$I$404,"&gt;="&amp;RepFrom,Bookings!$I$5:$I$404,"&lt;="&amp;RepTo,Bookings!$AM$5:$AM$404,"&lt;&gt;Cancelled"))</f>
        <v>0</v>
      </c>
      <c r="AK195" s="32">
        <f>IF(AG195="","",SUMIFS(Mileage!$M$5:$M$304,Mileage!$C$5:$C$304,AG195,Mileage!$B$5:$B$304,"&gt;="&amp;RepFrom,Mileage!$B$5:$B$304,"&lt;="&amp;RepTo))</f>
        <v>0</v>
      </c>
      <c r="AL195" s="28">
        <f>IF(Lists!$Q195="","",Lists!$Q195)</f>
        <v>0</v>
      </c>
      <c r="AM195" s="31">
        <f>IF(AL195="","",COUNTIFS(Bookings!$AV$5:$AV$404,AL195,Bookings!$I$5:$I$404,"&gt;="&amp;RepFrom,Bookings!$I$5:$I$404,"&lt;="&amp;RepTo))</f>
        <v>0</v>
      </c>
      <c r="AN195" s="28">
        <f>IF(Lists!$AF195="","",Lists!$AF195)</f>
        <v>0</v>
      </c>
      <c r="AO195" s="29">
        <f>IF(AN195="","",SUMIFS(Payments!$L$5:$L$304,Payments!$F$5:$F$304,AN195,Payments!$B$5:$B$304,"&gt;="&amp;RepFrom,Payments!$B$5:$B$304,"&lt;="&amp;RepTo))</f>
        <v>0</v>
      </c>
      <c r="AP195" s="28">
        <f>IF(Lists!$E195="","",Lists!$E195)</f>
        <v>0</v>
      </c>
      <c r="AQ195" s="31">
        <f>IF(AP195="","",COUNTIFS(Clients!$K$5:$K$254,AP195))</f>
        <v>0</v>
      </c>
      <c r="AR195" s="29">
        <f>IF(AP195="","",SUMIFS(Clients!$AE$5:$AE$254,Clients!$K$5:$K$254,AP195))</f>
        <v>0</v>
      </c>
    </row>
    <row r="196" spans="1:44">
      <c r="A196" s="28">
        <f>IF(Clients!$B$196="","",Clients!$B$196)</f>
        <v>0</v>
      </c>
      <c r="B196" s="29">
        <f>IF(A196="","",SUMIFS(Payments!$L$5:$L$304,Payments!$C$5:$C$304,A196,Payments!$B$5:$B$304,"&gt;="&amp;PeriodStart,Payments!$B$5:$B$304,"&lt;="&amp;PeriodEnd))</f>
        <v>0</v>
      </c>
      <c r="C196" s="51">
        <f>IF(A196="","",IF(B196&lt;=0,"",B196+ROW()/1000000))</f>
        <v>0</v>
      </c>
      <c r="D196" s="29">
        <f>IF(A196="","",SUMIFS(Payments!$L$5:$L$304,Payments!$C$5:$C$304,A196,Payments!$B$5:$B$304,"&gt;="&amp;RepFrom,Payments!$B$5:$B$304,"&lt;="&amp;RepTo))</f>
        <v>0</v>
      </c>
      <c r="E196" s="51">
        <f>IF(A196="","",IF(D196&lt;=0,"",D196+ROW()/1000000))</f>
        <v>0</v>
      </c>
      <c r="F196" s="29">
        <f>IF(A196="","",SUMIFS(Invoices!$S$5:$S$304,Invoices!$D$5:$D$304,A196,Invoices!$T$5:$T$304,"&lt;&gt;Cancelled"))</f>
        <v>0</v>
      </c>
      <c r="G196" s="51">
        <f>IF(A196="","",IF(F196&lt;=0.004,"",F196+ROW()/1000000))</f>
        <v>0</v>
      </c>
      <c r="H196" s="31">
        <f>IF(A196="","",COUNTIFS(Bookings!$C$5:$C$404,A196,Bookings!$I$5:$I$404,"&gt;="&amp;RepFrom,Bookings!$I$5:$I$404,"&lt;="&amp;RepTo,Bookings!$AM$5:$AM$404,"&lt;&gt;Cancelled"))</f>
        <v>0</v>
      </c>
      <c r="I196" s="28">
        <f>IF(Services!$B$196="","",Services!$B$196)</f>
        <v>0</v>
      </c>
      <c r="J196" s="29">
        <f>IF(I196="","",SUMIFS(Bookings!$AK$5:$AK$404,Bookings!$H$5:$H$404,I196,Bookings!$I$5:$I$404,"&gt;="&amp;PeriodStart,Bookings!$I$5:$I$404,"&lt;="&amp;PeriodEnd,Bookings!$AM$5:$AM$404,"&lt;&gt;Cancelled"))</f>
        <v>0</v>
      </c>
      <c r="K196" s="31">
        <f>IF(I196="","",COUNTIFS(Bookings!$H$5:$H$404,I196,Bookings!$I$5:$I$404,"&gt;="&amp;PeriodStart,Bookings!$I$5:$I$404,"&lt;="&amp;PeriodEnd,Bookings!$AM$5:$AM$404,"&lt;&gt;Cancelled"))</f>
        <v>0</v>
      </c>
      <c r="L196" s="29">
        <f>IF(I196="","",SUMIFS(Bookings!$AK$5:$AK$404,Bookings!$H$5:$H$404,I196,Bookings!$I$5:$I$404,"&gt;="&amp;RepFrom,Bookings!$I$5:$I$404,"&lt;="&amp;RepTo,Bookings!$AM$5:$AM$404,"&lt;&gt;Cancelled"))</f>
        <v>0</v>
      </c>
      <c r="M196" s="31">
        <f>IF(I196="","",COUNTIFS(Bookings!$H$5:$H$404,I196,Bookings!$I$5:$I$404,"&gt;="&amp;RepFrom,Bookings!$I$5:$I$404,"&lt;="&amp;RepTo,Bookings!$AM$5:$AM$404,"&lt;&gt;Cancelled"))</f>
        <v>0</v>
      </c>
      <c r="N196" s="29">
        <f>IF(I196="","",M196*IF(Services!$L$196="",0,Services!$L$196))</f>
        <v>0</v>
      </c>
      <c r="O196" s="29">
        <f>IF(I196="","",L196-N196)</f>
        <v>0</v>
      </c>
      <c r="P196" s="28">
        <f>IF(Lists!$AG196="","",Lists!$AG196)</f>
        <v>0</v>
      </c>
      <c r="Q196" s="29">
        <f>IF(P196="","",SUMIFS(Expenses!$F$5:$F$304,Expenses!$C$5:$C$304,P196,Expenses!$B$5:$B$304,"&gt;="&amp;PeriodStart,Expenses!$B$5:$B$304,"&lt;="&amp;PeriodEnd,Expenses!$J$5:$J$304,"&lt;&gt;Personal"))</f>
        <v>0</v>
      </c>
      <c r="R196" s="29">
        <f>IF(P196="","",SUMIFS(Expenses!$F$5:$F$304,Expenses!$C$5:$C$304,P196,Expenses!$B$5:$B$304,"&gt;="&amp;RepFrom,Expenses!$B$5:$B$304,"&lt;="&amp;RepTo,Expenses!$J$5:$J$304,"&lt;&gt;Personal"))</f>
        <v>0</v>
      </c>
      <c r="S196" s="21">
        <f>IF(ROW()-4&gt;12,"",DATE(Dash_Year,ROW()-4,1))</f>
        <v>0</v>
      </c>
      <c r="T196" s="21">
        <f>IF(S196="","",EOMONTH(S196,0))</f>
        <v>0</v>
      </c>
      <c r="U196" s="28">
        <f>IF(S196="","",TEXT(S196,"mmm"))</f>
        <v>0</v>
      </c>
      <c r="V196" s="29">
        <f>IF(S196="","",SUMIFS(Payments!$L$5:$L$304,Payments!$B$5:$B$304,"&gt;="&amp;S196,Payments!$B$5:$B$304,"&lt;="&amp;T196))</f>
        <v>0</v>
      </c>
      <c r="W196" s="29">
        <f>IF(S196="","",SUMIFS(Invoices!$O$5:$O$304,Invoices!$B$5:$B$304,"&gt;="&amp;S196,Invoices!$B$5:$B$304,"&lt;="&amp;T196,Invoices!$T$5:$T$304,"&lt;&gt;Cancelled"))</f>
        <v>0</v>
      </c>
      <c r="X196" s="29">
        <f>IF(S196="","",SUMIFS(Expenses!$F$5:$F$304,Expenses!$B$5:$B$304,"&gt;="&amp;S196,Expenses!$B$5:$B$304,"&lt;="&amp;T196,Expenses!$J$5:$J$304,"&lt;&gt;Personal"))</f>
        <v>0</v>
      </c>
      <c r="Y196" s="29">
        <f>IF(S196="","",V196-X196)</f>
        <v>0</v>
      </c>
      <c r="Z196" s="31">
        <f>IF(S196="","",COUNTIFS(Bookings!$I$5:$I$404,"&gt;="&amp;S196,Bookings!$I$5:$I$404,"&lt;="&amp;T196,Bookings!$AM$5:$AM$404,"&lt;&gt;Cancelled"))</f>
        <v>0</v>
      </c>
      <c r="AA196" s="31">
        <f>IF(S196="","",COUNTIFS(Bookings!$I$5:$I$404,"&gt;="&amp;S196,Bookings!$I$5:$I$404,"&lt;="&amp;T196,Bookings!$AM$5:$AM$404,"Completed"))</f>
        <v>0</v>
      </c>
      <c r="AB196" s="31">
        <f>IF(S196="","",COUNTIFS(Bookings!$I$5:$I$404,"&gt;="&amp;S196,Bookings!$I$5:$I$404,"&lt;="&amp;T196,Bookings!$AM$5:$AM$404,"Cancelled"))</f>
        <v>0</v>
      </c>
      <c r="AC196" s="31">
        <f>IF(S196="","",COUNTIFS('Visit Log'!$C$5:$C$404,"&gt;="&amp;S196,'Visit Log'!$C$5:$C$404,"&lt;="&amp;T196,'Visit Log'!$AE$5:$AE$404,"Completed"))</f>
        <v>0</v>
      </c>
      <c r="AD196" s="31">
        <f>IF(S196="","",COUNTIFS(Clients!$L$5:$L$254,"&gt;="&amp;S196,Clients!$L$5:$L$254,"&lt;="&amp;T196))</f>
        <v>0</v>
      </c>
      <c r="AE196" s="32">
        <f>IF(S196="","",SUMIFS(Mileage!$M$5:$M$304,Mileage!$B$5:$B$304,"&gt;="&amp;S196,Mileage!$B$5:$B$304,"&lt;="&amp;T196,Mileage!$N$5:$N$304,"Business"))</f>
        <v>0</v>
      </c>
      <c r="AF196" s="29">
        <f>IF(S196="","",SUMIFS(Payments!$L$5:$L$304,Payments!$B$5:$B$304,"&gt;="&amp;DATE(Dash_Year-1,ROW()-4,1),Payments!$B$5:$B$304,"&lt;="&amp;EOMONTH(DATE(Dash_Year-1,ROW()-4,1),0)))</f>
        <v>0</v>
      </c>
      <c r="AG196" s="28">
        <f>IF(Staff!$B$196="","",Staff!$B$196)</f>
        <v>0</v>
      </c>
      <c r="AH196" s="31">
        <f>IF(AG196="","",COUNTIFS('Visit Log'!$G$5:$G$404,AG196,'Visit Log'!$C$5:$C$404,"&gt;="&amp;RepFrom,'Visit Log'!$C$5:$C$404,"&lt;="&amp;RepTo,'Visit Log'!$AE$5:$AE$404,"Completed"))</f>
        <v>0</v>
      </c>
      <c r="AI196" s="51">
        <f>IF(AG196="","",ROUND(SUMIFS('Visit Log'!$K$5:$K$404,'Visit Log'!$G$5:$G$404,AG196,'Visit Log'!$C$5:$C$404,"&gt;="&amp;RepFrom,'Visit Log'!$C$5:$C$404,"&lt;="&amp;RepTo,'Visit Log'!$AE$5:$AE$404,"Completed")/60,2))</f>
        <v>0</v>
      </c>
      <c r="AJ196" s="29">
        <f>IF(AG196="","",SUMIFS(Bookings!$AK$5:$AK$404,Bookings!$AL$5:$AL$404,AG196,Bookings!$I$5:$I$404,"&gt;="&amp;RepFrom,Bookings!$I$5:$I$404,"&lt;="&amp;RepTo,Bookings!$AM$5:$AM$404,"&lt;&gt;Cancelled"))</f>
        <v>0</v>
      </c>
      <c r="AK196" s="32">
        <f>IF(AG196="","",SUMIFS(Mileage!$M$5:$M$304,Mileage!$C$5:$C$304,AG196,Mileage!$B$5:$B$304,"&gt;="&amp;RepFrom,Mileage!$B$5:$B$304,"&lt;="&amp;RepTo))</f>
        <v>0</v>
      </c>
      <c r="AL196" s="28">
        <f>IF(Lists!$Q196="","",Lists!$Q196)</f>
        <v>0</v>
      </c>
      <c r="AM196" s="31">
        <f>IF(AL196="","",COUNTIFS(Bookings!$AV$5:$AV$404,AL196,Bookings!$I$5:$I$404,"&gt;="&amp;RepFrom,Bookings!$I$5:$I$404,"&lt;="&amp;RepTo))</f>
        <v>0</v>
      </c>
      <c r="AN196" s="28">
        <f>IF(Lists!$AF196="","",Lists!$AF196)</f>
        <v>0</v>
      </c>
      <c r="AO196" s="29">
        <f>IF(AN196="","",SUMIFS(Payments!$L$5:$L$304,Payments!$F$5:$F$304,AN196,Payments!$B$5:$B$304,"&gt;="&amp;RepFrom,Payments!$B$5:$B$304,"&lt;="&amp;RepTo))</f>
        <v>0</v>
      </c>
      <c r="AP196" s="28">
        <f>IF(Lists!$E196="","",Lists!$E196)</f>
        <v>0</v>
      </c>
      <c r="AQ196" s="31">
        <f>IF(AP196="","",COUNTIFS(Clients!$K$5:$K$254,AP196))</f>
        <v>0</v>
      </c>
      <c r="AR196" s="29">
        <f>IF(AP196="","",SUMIFS(Clients!$AE$5:$AE$254,Clients!$K$5:$K$254,AP196))</f>
        <v>0</v>
      </c>
    </row>
    <row r="197" spans="1:44">
      <c r="A197" s="28">
        <f>IF(Clients!$B$197="","",Clients!$B$197)</f>
        <v>0</v>
      </c>
      <c r="B197" s="29">
        <f>IF(A197="","",SUMIFS(Payments!$L$5:$L$304,Payments!$C$5:$C$304,A197,Payments!$B$5:$B$304,"&gt;="&amp;PeriodStart,Payments!$B$5:$B$304,"&lt;="&amp;PeriodEnd))</f>
        <v>0</v>
      </c>
      <c r="C197" s="51">
        <f>IF(A197="","",IF(B197&lt;=0,"",B197+ROW()/1000000))</f>
        <v>0</v>
      </c>
      <c r="D197" s="29">
        <f>IF(A197="","",SUMIFS(Payments!$L$5:$L$304,Payments!$C$5:$C$304,A197,Payments!$B$5:$B$304,"&gt;="&amp;RepFrom,Payments!$B$5:$B$304,"&lt;="&amp;RepTo))</f>
        <v>0</v>
      </c>
      <c r="E197" s="51">
        <f>IF(A197="","",IF(D197&lt;=0,"",D197+ROW()/1000000))</f>
        <v>0</v>
      </c>
      <c r="F197" s="29">
        <f>IF(A197="","",SUMIFS(Invoices!$S$5:$S$304,Invoices!$D$5:$D$304,A197,Invoices!$T$5:$T$304,"&lt;&gt;Cancelled"))</f>
        <v>0</v>
      </c>
      <c r="G197" s="51">
        <f>IF(A197="","",IF(F197&lt;=0.004,"",F197+ROW()/1000000))</f>
        <v>0</v>
      </c>
      <c r="H197" s="31">
        <f>IF(A197="","",COUNTIFS(Bookings!$C$5:$C$404,A197,Bookings!$I$5:$I$404,"&gt;="&amp;RepFrom,Bookings!$I$5:$I$404,"&lt;="&amp;RepTo,Bookings!$AM$5:$AM$404,"&lt;&gt;Cancelled"))</f>
        <v>0</v>
      </c>
      <c r="I197" s="28">
        <f>IF(Services!$B$197="","",Services!$B$197)</f>
        <v>0</v>
      </c>
      <c r="J197" s="29">
        <f>IF(I197="","",SUMIFS(Bookings!$AK$5:$AK$404,Bookings!$H$5:$H$404,I197,Bookings!$I$5:$I$404,"&gt;="&amp;PeriodStart,Bookings!$I$5:$I$404,"&lt;="&amp;PeriodEnd,Bookings!$AM$5:$AM$404,"&lt;&gt;Cancelled"))</f>
        <v>0</v>
      </c>
      <c r="K197" s="31">
        <f>IF(I197="","",COUNTIFS(Bookings!$H$5:$H$404,I197,Bookings!$I$5:$I$404,"&gt;="&amp;PeriodStart,Bookings!$I$5:$I$404,"&lt;="&amp;PeriodEnd,Bookings!$AM$5:$AM$404,"&lt;&gt;Cancelled"))</f>
        <v>0</v>
      </c>
      <c r="L197" s="29">
        <f>IF(I197="","",SUMIFS(Bookings!$AK$5:$AK$404,Bookings!$H$5:$H$404,I197,Bookings!$I$5:$I$404,"&gt;="&amp;RepFrom,Bookings!$I$5:$I$404,"&lt;="&amp;RepTo,Bookings!$AM$5:$AM$404,"&lt;&gt;Cancelled"))</f>
        <v>0</v>
      </c>
      <c r="M197" s="31">
        <f>IF(I197="","",COUNTIFS(Bookings!$H$5:$H$404,I197,Bookings!$I$5:$I$404,"&gt;="&amp;RepFrom,Bookings!$I$5:$I$404,"&lt;="&amp;RepTo,Bookings!$AM$5:$AM$404,"&lt;&gt;Cancelled"))</f>
        <v>0</v>
      </c>
      <c r="N197" s="29">
        <f>IF(I197="","",M197*IF(Services!$L$197="",0,Services!$L$197))</f>
        <v>0</v>
      </c>
      <c r="O197" s="29">
        <f>IF(I197="","",L197-N197)</f>
        <v>0</v>
      </c>
      <c r="P197" s="28">
        <f>IF(Lists!$AG197="","",Lists!$AG197)</f>
        <v>0</v>
      </c>
      <c r="Q197" s="29">
        <f>IF(P197="","",SUMIFS(Expenses!$F$5:$F$304,Expenses!$C$5:$C$304,P197,Expenses!$B$5:$B$304,"&gt;="&amp;PeriodStart,Expenses!$B$5:$B$304,"&lt;="&amp;PeriodEnd,Expenses!$J$5:$J$304,"&lt;&gt;Personal"))</f>
        <v>0</v>
      </c>
      <c r="R197" s="29">
        <f>IF(P197="","",SUMIFS(Expenses!$F$5:$F$304,Expenses!$C$5:$C$304,P197,Expenses!$B$5:$B$304,"&gt;="&amp;RepFrom,Expenses!$B$5:$B$304,"&lt;="&amp;RepTo,Expenses!$J$5:$J$304,"&lt;&gt;Personal"))</f>
        <v>0</v>
      </c>
      <c r="S197" s="21">
        <f>IF(ROW()-4&gt;12,"",DATE(Dash_Year,ROW()-4,1))</f>
        <v>0</v>
      </c>
      <c r="T197" s="21">
        <f>IF(S197="","",EOMONTH(S197,0))</f>
        <v>0</v>
      </c>
      <c r="U197" s="28">
        <f>IF(S197="","",TEXT(S197,"mmm"))</f>
        <v>0</v>
      </c>
      <c r="V197" s="29">
        <f>IF(S197="","",SUMIFS(Payments!$L$5:$L$304,Payments!$B$5:$B$304,"&gt;="&amp;S197,Payments!$B$5:$B$304,"&lt;="&amp;T197))</f>
        <v>0</v>
      </c>
      <c r="W197" s="29">
        <f>IF(S197="","",SUMIFS(Invoices!$O$5:$O$304,Invoices!$B$5:$B$304,"&gt;="&amp;S197,Invoices!$B$5:$B$304,"&lt;="&amp;T197,Invoices!$T$5:$T$304,"&lt;&gt;Cancelled"))</f>
        <v>0</v>
      </c>
      <c r="X197" s="29">
        <f>IF(S197="","",SUMIFS(Expenses!$F$5:$F$304,Expenses!$B$5:$B$304,"&gt;="&amp;S197,Expenses!$B$5:$B$304,"&lt;="&amp;T197,Expenses!$J$5:$J$304,"&lt;&gt;Personal"))</f>
        <v>0</v>
      </c>
      <c r="Y197" s="29">
        <f>IF(S197="","",V197-X197)</f>
        <v>0</v>
      </c>
      <c r="Z197" s="31">
        <f>IF(S197="","",COUNTIFS(Bookings!$I$5:$I$404,"&gt;="&amp;S197,Bookings!$I$5:$I$404,"&lt;="&amp;T197,Bookings!$AM$5:$AM$404,"&lt;&gt;Cancelled"))</f>
        <v>0</v>
      </c>
      <c r="AA197" s="31">
        <f>IF(S197="","",COUNTIFS(Bookings!$I$5:$I$404,"&gt;="&amp;S197,Bookings!$I$5:$I$404,"&lt;="&amp;T197,Bookings!$AM$5:$AM$404,"Completed"))</f>
        <v>0</v>
      </c>
      <c r="AB197" s="31">
        <f>IF(S197="","",COUNTIFS(Bookings!$I$5:$I$404,"&gt;="&amp;S197,Bookings!$I$5:$I$404,"&lt;="&amp;T197,Bookings!$AM$5:$AM$404,"Cancelled"))</f>
        <v>0</v>
      </c>
      <c r="AC197" s="31">
        <f>IF(S197="","",COUNTIFS('Visit Log'!$C$5:$C$404,"&gt;="&amp;S197,'Visit Log'!$C$5:$C$404,"&lt;="&amp;T197,'Visit Log'!$AE$5:$AE$404,"Completed"))</f>
        <v>0</v>
      </c>
      <c r="AD197" s="31">
        <f>IF(S197="","",COUNTIFS(Clients!$L$5:$L$254,"&gt;="&amp;S197,Clients!$L$5:$L$254,"&lt;="&amp;T197))</f>
        <v>0</v>
      </c>
      <c r="AE197" s="32">
        <f>IF(S197="","",SUMIFS(Mileage!$M$5:$M$304,Mileage!$B$5:$B$304,"&gt;="&amp;S197,Mileage!$B$5:$B$304,"&lt;="&amp;T197,Mileage!$N$5:$N$304,"Business"))</f>
        <v>0</v>
      </c>
      <c r="AF197" s="29">
        <f>IF(S197="","",SUMIFS(Payments!$L$5:$L$304,Payments!$B$5:$B$304,"&gt;="&amp;DATE(Dash_Year-1,ROW()-4,1),Payments!$B$5:$B$304,"&lt;="&amp;EOMONTH(DATE(Dash_Year-1,ROW()-4,1),0)))</f>
        <v>0</v>
      </c>
      <c r="AG197" s="28">
        <f>IF(Staff!$B$197="","",Staff!$B$197)</f>
        <v>0</v>
      </c>
      <c r="AH197" s="31">
        <f>IF(AG197="","",COUNTIFS('Visit Log'!$G$5:$G$404,AG197,'Visit Log'!$C$5:$C$404,"&gt;="&amp;RepFrom,'Visit Log'!$C$5:$C$404,"&lt;="&amp;RepTo,'Visit Log'!$AE$5:$AE$404,"Completed"))</f>
        <v>0</v>
      </c>
      <c r="AI197" s="51">
        <f>IF(AG197="","",ROUND(SUMIFS('Visit Log'!$K$5:$K$404,'Visit Log'!$G$5:$G$404,AG197,'Visit Log'!$C$5:$C$404,"&gt;="&amp;RepFrom,'Visit Log'!$C$5:$C$404,"&lt;="&amp;RepTo,'Visit Log'!$AE$5:$AE$404,"Completed")/60,2))</f>
        <v>0</v>
      </c>
      <c r="AJ197" s="29">
        <f>IF(AG197="","",SUMIFS(Bookings!$AK$5:$AK$404,Bookings!$AL$5:$AL$404,AG197,Bookings!$I$5:$I$404,"&gt;="&amp;RepFrom,Bookings!$I$5:$I$404,"&lt;="&amp;RepTo,Bookings!$AM$5:$AM$404,"&lt;&gt;Cancelled"))</f>
        <v>0</v>
      </c>
      <c r="AK197" s="32">
        <f>IF(AG197="","",SUMIFS(Mileage!$M$5:$M$304,Mileage!$C$5:$C$304,AG197,Mileage!$B$5:$B$304,"&gt;="&amp;RepFrom,Mileage!$B$5:$B$304,"&lt;="&amp;RepTo))</f>
        <v>0</v>
      </c>
      <c r="AL197" s="28">
        <f>IF(Lists!$Q197="","",Lists!$Q197)</f>
        <v>0</v>
      </c>
      <c r="AM197" s="31">
        <f>IF(AL197="","",COUNTIFS(Bookings!$AV$5:$AV$404,AL197,Bookings!$I$5:$I$404,"&gt;="&amp;RepFrom,Bookings!$I$5:$I$404,"&lt;="&amp;RepTo))</f>
        <v>0</v>
      </c>
      <c r="AN197" s="28">
        <f>IF(Lists!$AF197="","",Lists!$AF197)</f>
        <v>0</v>
      </c>
      <c r="AO197" s="29">
        <f>IF(AN197="","",SUMIFS(Payments!$L$5:$L$304,Payments!$F$5:$F$304,AN197,Payments!$B$5:$B$304,"&gt;="&amp;RepFrom,Payments!$B$5:$B$304,"&lt;="&amp;RepTo))</f>
        <v>0</v>
      </c>
      <c r="AP197" s="28">
        <f>IF(Lists!$E197="","",Lists!$E197)</f>
        <v>0</v>
      </c>
      <c r="AQ197" s="31">
        <f>IF(AP197="","",COUNTIFS(Clients!$K$5:$K$254,AP197))</f>
        <v>0</v>
      </c>
      <c r="AR197" s="29">
        <f>IF(AP197="","",SUMIFS(Clients!$AE$5:$AE$254,Clients!$K$5:$K$254,AP197))</f>
        <v>0</v>
      </c>
    </row>
    <row r="198" spans="1:44">
      <c r="A198" s="28">
        <f>IF(Clients!$B$198="","",Clients!$B$198)</f>
        <v>0</v>
      </c>
      <c r="B198" s="29">
        <f>IF(A198="","",SUMIFS(Payments!$L$5:$L$304,Payments!$C$5:$C$304,A198,Payments!$B$5:$B$304,"&gt;="&amp;PeriodStart,Payments!$B$5:$B$304,"&lt;="&amp;PeriodEnd))</f>
        <v>0</v>
      </c>
      <c r="C198" s="51">
        <f>IF(A198="","",IF(B198&lt;=0,"",B198+ROW()/1000000))</f>
        <v>0</v>
      </c>
      <c r="D198" s="29">
        <f>IF(A198="","",SUMIFS(Payments!$L$5:$L$304,Payments!$C$5:$C$304,A198,Payments!$B$5:$B$304,"&gt;="&amp;RepFrom,Payments!$B$5:$B$304,"&lt;="&amp;RepTo))</f>
        <v>0</v>
      </c>
      <c r="E198" s="51">
        <f>IF(A198="","",IF(D198&lt;=0,"",D198+ROW()/1000000))</f>
        <v>0</v>
      </c>
      <c r="F198" s="29">
        <f>IF(A198="","",SUMIFS(Invoices!$S$5:$S$304,Invoices!$D$5:$D$304,A198,Invoices!$T$5:$T$304,"&lt;&gt;Cancelled"))</f>
        <v>0</v>
      </c>
      <c r="G198" s="51">
        <f>IF(A198="","",IF(F198&lt;=0.004,"",F198+ROW()/1000000))</f>
        <v>0</v>
      </c>
      <c r="H198" s="31">
        <f>IF(A198="","",COUNTIFS(Bookings!$C$5:$C$404,A198,Bookings!$I$5:$I$404,"&gt;="&amp;RepFrom,Bookings!$I$5:$I$404,"&lt;="&amp;RepTo,Bookings!$AM$5:$AM$404,"&lt;&gt;Cancelled"))</f>
        <v>0</v>
      </c>
      <c r="I198" s="28">
        <f>IF(Services!$B$198="","",Services!$B$198)</f>
        <v>0</v>
      </c>
      <c r="J198" s="29">
        <f>IF(I198="","",SUMIFS(Bookings!$AK$5:$AK$404,Bookings!$H$5:$H$404,I198,Bookings!$I$5:$I$404,"&gt;="&amp;PeriodStart,Bookings!$I$5:$I$404,"&lt;="&amp;PeriodEnd,Bookings!$AM$5:$AM$404,"&lt;&gt;Cancelled"))</f>
        <v>0</v>
      </c>
      <c r="K198" s="31">
        <f>IF(I198="","",COUNTIFS(Bookings!$H$5:$H$404,I198,Bookings!$I$5:$I$404,"&gt;="&amp;PeriodStart,Bookings!$I$5:$I$404,"&lt;="&amp;PeriodEnd,Bookings!$AM$5:$AM$404,"&lt;&gt;Cancelled"))</f>
        <v>0</v>
      </c>
      <c r="L198" s="29">
        <f>IF(I198="","",SUMIFS(Bookings!$AK$5:$AK$404,Bookings!$H$5:$H$404,I198,Bookings!$I$5:$I$404,"&gt;="&amp;RepFrom,Bookings!$I$5:$I$404,"&lt;="&amp;RepTo,Bookings!$AM$5:$AM$404,"&lt;&gt;Cancelled"))</f>
        <v>0</v>
      </c>
      <c r="M198" s="31">
        <f>IF(I198="","",COUNTIFS(Bookings!$H$5:$H$404,I198,Bookings!$I$5:$I$404,"&gt;="&amp;RepFrom,Bookings!$I$5:$I$404,"&lt;="&amp;RepTo,Bookings!$AM$5:$AM$404,"&lt;&gt;Cancelled"))</f>
        <v>0</v>
      </c>
      <c r="N198" s="29">
        <f>IF(I198="","",M198*IF(Services!$L$198="",0,Services!$L$198))</f>
        <v>0</v>
      </c>
      <c r="O198" s="29">
        <f>IF(I198="","",L198-N198)</f>
        <v>0</v>
      </c>
      <c r="P198" s="28">
        <f>IF(Lists!$AG198="","",Lists!$AG198)</f>
        <v>0</v>
      </c>
      <c r="Q198" s="29">
        <f>IF(P198="","",SUMIFS(Expenses!$F$5:$F$304,Expenses!$C$5:$C$304,P198,Expenses!$B$5:$B$304,"&gt;="&amp;PeriodStart,Expenses!$B$5:$B$304,"&lt;="&amp;PeriodEnd,Expenses!$J$5:$J$304,"&lt;&gt;Personal"))</f>
        <v>0</v>
      </c>
      <c r="R198" s="29">
        <f>IF(P198="","",SUMIFS(Expenses!$F$5:$F$304,Expenses!$C$5:$C$304,P198,Expenses!$B$5:$B$304,"&gt;="&amp;RepFrom,Expenses!$B$5:$B$304,"&lt;="&amp;RepTo,Expenses!$J$5:$J$304,"&lt;&gt;Personal"))</f>
        <v>0</v>
      </c>
      <c r="S198" s="21">
        <f>IF(ROW()-4&gt;12,"",DATE(Dash_Year,ROW()-4,1))</f>
        <v>0</v>
      </c>
      <c r="T198" s="21">
        <f>IF(S198="","",EOMONTH(S198,0))</f>
        <v>0</v>
      </c>
      <c r="U198" s="28">
        <f>IF(S198="","",TEXT(S198,"mmm"))</f>
        <v>0</v>
      </c>
      <c r="V198" s="29">
        <f>IF(S198="","",SUMIFS(Payments!$L$5:$L$304,Payments!$B$5:$B$304,"&gt;="&amp;S198,Payments!$B$5:$B$304,"&lt;="&amp;T198))</f>
        <v>0</v>
      </c>
      <c r="W198" s="29">
        <f>IF(S198="","",SUMIFS(Invoices!$O$5:$O$304,Invoices!$B$5:$B$304,"&gt;="&amp;S198,Invoices!$B$5:$B$304,"&lt;="&amp;T198,Invoices!$T$5:$T$304,"&lt;&gt;Cancelled"))</f>
        <v>0</v>
      </c>
      <c r="X198" s="29">
        <f>IF(S198="","",SUMIFS(Expenses!$F$5:$F$304,Expenses!$B$5:$B$304,"&gt;="&amp;S198,Expenses!$B$5:$B$304,"&lt;="&amp;T198,Expenses!$J$5:$J$304,"&lt;&gt;Personal"))</f>
        <v>0</v>
      </c>
      <c r="Y198" s="29">
        <f>IF(S198="","",V198-X198)</f>
        <v>0</v>
      </c>
      <c r="Z198" s="31">
        <f>IF(S198="","",COUNTIFS(Bookings!$I$5:$I$404,"&gt;="&amp;S198,Bookings!$I$5:$I$404,"&lt;="&amp;T198,Bookings!$AM$5:$AM$404,"&lt;&gt;Cancelled"))</f>
        <v>0</v>
      </c>
      <c r="AA198" s="31">
        <f>IF(S198="","",COUNTIFS(Bookings!$I$5:$I$404,"&gt;="&amp;S198,Bookings!$I$5:$I$404,"&lt;="&amp;T198,Bookings!$AM$5:$AM$404,"Completed"))</f>
        <v>0</v>
      </c>
      <c r="AB198" s="31">
        <f>IF(S198="","",COUNTIFS(Bookings!$I$5:$I$404,"&gt;="&amp;S198,Bookings!$I$5:$I$404,"&lt;="&amp;T198,Bookings!$AM$5:$AM$404,"Cancelled"))</f>
        <v>0</v>
      </c>
      <c r="AC198" s="31">
        <f>IF(S198="","",COUNTIFS('Visit Log'!$C$5:$C$404,"&gt;="&amp;S198,'Visit Log'!$C$5:$C$404,"&lt;="&amp;T198,'Visit Log'!$AE$5:$AE$404,"Completed"))</f>
        <v>0</v>
      </c>
      <c r="AD198" s="31">
        <f>IF(S198="","",COUNTIFS(Clients!$L$5:$L$254,"&gt;="&amp;S198,Clients!$L$5:$L$254,"&lt;="&amp;T198))</f>
        <v>0</v>
      </c>
      <c r="AE198" s="32">
        <f>IF(S198="","",SUMIFS(Mileage!$M$5:$M$304,Mileage!$B$5:$B$304,"&gt;="&amp;S198,Mileage!$B$5:$B$304,"&lt;="&amp;T198,Mileage!$N$5:$N$304,"Business"))</f>
        <v>0</v>
      </c>
      <c r="AF198" s="29">
        <f>IF(S198="","",SUMIFS(Payments!$L$5:$L$304,Payments!$B$5:$B$304,"&gt;="&amp;DATE(Dash_Year-1,ROW()-4,1),Payments!$B$5:$B$304,"&lt;="&amp;EOMONTH(DATE(Dash_Year-1,ROW()-4,1),0)))</f>
        <v>0</v>
      </c>
      <c r="AG198" s="28">
        <f>IF(Staff!$B$198="","",Staff!$B$198)</f>
        <v>0</v>
      </c>
      <c r="AH198" s="31">
        <f>IF(AG198="","",COUNTIFS('Visit Log'!$G$5:$G$404,AG198,'Visit Log'!$C$5:$C$404,"&gt;="&amp;RepFrom,'Visit Log'!$C$5:$C$404,"&lt;="&amp;RepTo,'Visit Log'!$AE$5:$AE$404,"Completed"))</f>
        <v>0</v>
      </c>
      <c r="AI198" s="51">
        <f>IF(AG198="","",ROUND(SUMIFS('Visit Log'!$K$5:$K$404,'Visit Log'!$G$5:$G$404,AG198,'Visit Log'!$C$5:$C$404,"&gt;="&amp;RepFrom,'Visit Log'!$C$5:$C$404,"&lt;="&amp;RepTo,'Visit Log'!$AE$5:$AE$404,"Completed")/60,2))</f>
        <v>0</v>
      </c>
      <c r="AJ198" s="29">
        <f>IF(AG198="","",SUMIFS(Bookings!$AK$5:$AK$404,Bookings!$AL$5:$AL$404,AG198,Bookings!$I$5:$I$404,"&gt;="&amp;RepFrom,Bookings!$I$5:$I$404,"&lt;="&amp;RepTo,Bookings!$AM$5:$AM$404,"&lt;&gt;Cancelled"))</f>
        <v>0</v>
      </c>
      <c r="AK198" s="32">
        <f>IF(AG198="","",SUMIFS(Mileage!$M$5:$M$304,Mileage!$C$5:$C$304,AG198,Mileage!$B$5:$B$304,"&gt;="&amp;RepFrom,Mileage!$B$5:$B$304,"&lt;="&amp;RepTo))</f>
        <v>0</v>
      </c>
      <c r="AL198" s="28">
        <f>IF(Lists!$Q198="","",Lists!$Q198)</f>
        <v>0</v>
      </c>
      <c r="AM198" s="31">
        <f>IF(AL198="","",COUNTIFS(Bookings!$AV$5:$AV$404,AL198,Bookings!$I$5:$I$404,"&gt;="&amp;RepFrom,Bookings!$I$5:$I$404,"&lt;="&amp;RepTo))</f>
        <v>0</v>
      </c>
      <c r="AN198" s="28">
        <f>IF(Lists!$AF198="","",Lists!$AF198)</f>
        <v>0</v>
      </c>
      <c r="AO198" s="29">
        <f>IF(AN198="","",SUMIFS(Payments!$L$5:$L$304,Payments!$F$5:$F$304,AN198,Payments!$B$5:$B$304,"&gt;="&amp;RepFrom,Payments!$B$5:$B$304,"&lt;="&amp;RepTo))</f>
        <v>0</v>
      </c>
      <c r="AP198" s="28">
        <f>IF(Lists!$E198="","",Lists!$E198)</f>
        <v>0</v>
      </c>
      <c r="AQ198" s="31">
        <f>IF(AP198="","",COUNTIFS(Clients!$K$5:$K$254,AP198))</f>
        <v>0</v>
      </c>
      <c r="AR198" s="29">
        <f>IF(AP198="","",SUMIFS(Clients!$AE$5:$AE$254,Clients!$K$5:$K$254,AP198))</f>
        <v>0</v>
      </c>
    </row>
    <row r="199" spans="1:44">
      <c r="A199" s="28">
        <f>IF(Clients!$B$199="","",Clients!$B$199)</f>
        <v>0</v>
      </c>
      <c r="B199" s="29">
        <f>IF(A199="","",SUMIFS(Payments!$L$5:$L$304,Payments!$C$5:$C$304,A199,Payments!$B$5:$B$304,"&gt;="&amp;PeriodStart,Payments!$B$5:$B$304,"&lt;="&amp;PeriodEnd))</f>
        <v>0</v>
      </c>
      <c r="C199" s="51">
        <f>IF(A199="","",IF(B199&lt;=0,"",B199+ROW()/1000000))</f>
        <v>0</v>
      </c>
      <c r="D199" s="29">
        <f>IF(A199="","",SUMIFS(Payments!$L$5:$L$304,Payments!$C$5:$C$304,A199,Payments!$B$5:$B$304,"&gt;="&amp;RepFrom,Payments!$B$5:$B$304,"&lt;="&amp;RepTo))</f>
        <v>0</v>
      </c>
      <c r="E199" s="51">
        <f>IF(A199="","",IF(D199&lt;=0,"",D199+ROW()/1000000))</f>
        <v>0</v>
      </c>
      <c r="F199" s="29">
        <f>IF(A199="","",SUMIFS(Invoices!$S$5:$S$304,Invoices!$D$5:$D$304,A199,Invoices!$T$5:$T$304,"&lt;&gt;Cancelled"))</f>
        <v>0</v>
      </c>
      <c r="G199" s="51">
        <f>IF(A199="","",IF(F199&lt;=0.004,"",F199+ROW()/1000000))</f>
        <v>0</v>
      </c>
      <c r="H199" s="31">
        <f>IF(A199="","",COUNTIFS(Bookings!$C$5:$C$404,A199,Bookings!$I$5:$I$404,"&gt;="&amp;RepFrom,Bookings!$I$5:$I$404,"&lt;="&amp;RepTo,Bookings!$AM$5:$AM$404,"&lt;&gt;Cancelled"))</f>
        <v>0</v>
      </c>
      <c r="I199" s="28">
        <f>IF(Services!$B$199="","",Services!$B$199)</f>
        <v>0</v>
      </c>
      <c r="J199" s="29">
        <f>IF(I199="","",SUMIFS(Bookings!$AK$5:$AK$404,Bookings!$H$5:$H$404,I199,Bookings!$I$5:$I$404,"&gt;="&amp;PeriodStart,Bookings!$I$5:$I$404,"&lt;="&amp;PeriodEnd,Bookings!$AM$5:$AM$404,"&lt;&gt;Cancelled"))</f>
        <v>0</v>
      </c>
      <c r="K199" s="31">
        <f>IF(I199="","",COUNTIFS(Bookings!$H$5:$H$404,I199,Bookings!$I$5:$I$404,"&gt;="&amp;PeriodStart,Bookings!$I$5:$I$404,"&lt;="&amp;PeriodEnd,Bookings!$AM$5:$AM$404,"&lt;&gt;Cancelled"))</f>
        <v>0</v>
      </c>
      <c r="L199" s="29">
        <f>IF(I199="","",SUMIFS(Bookings!$AK$5:$AK$404,Bookings!$H$5:$H$404,I199,Bookings!$I$5:$I$404,"&gt;="&amp;RepFrom,Bookings!$I$5:$I$404,"&lt;="&amp;RepTo,Bookings!$AM$5:$AM$404,"&lt;&gt;Cancelled"))</f>
        <v>0</v>
      </c>
      <c r="M199" s="31">
        <f>IF(I199="","",COUNTIFS(Bookings!$H$5:$H$404,I199,Bookings!$I$5:$I$404,"&gt;="&amp;RepFrom,Bookings!$I$5:$I$404,"&lt;="&amp;RepTo,Bookings!$AM$5:$AM$404,"&lt;&gt;Cancelled"))</f>
        <v>0</v>
      </c>
      <c r="N199" s="29">
        <f>IF(I199="","",M199*IF(Services!$L$199="",0,Services!$L$199))</f>
        <v>0</v>
      </c>
      <c r="O199" s="29">
        <f>IF(I199="","",L199-N199)</f>
        <v>0</v>
      </c>
      <c r="P199" s="28">
        <f>IF(Lists!$AG199="","",Lists!$AG199)</f>
        <v>0</v>
      </c>
      <c r="Q199" s="29">
        <f>IF(P199="","",SUMIFS(Expenses!$F$5:$F$304,Expenses!$C$5:$C$304,P199,Expenses!$B$5:$B$304,"&gt;="&amp;PeriodStart,Expenses!$B$5:$B$304,"&lt;="&amp;PeriodEnd,Expenses!$J$5:$J$304,"&lt;&gt;Personal"))</f>
        <v>0</v>
      </c>
      <c r="R199" s="29">
        <f>IF(P199="","",SUMIFS(Expenses!$F$5:$F$304,Expenses!$C$5:$C$304,P199,Expenses!$B$5:$B$304,"&gt;="&amp;RepFrom,Expenses!$B$5:$B$304,"&lt;="&amp;RepTo,Expenses!$J$5:$J$304,"&lt;&gt;Personal"))</f>
        <v>0</v>
      </c>
      <c r="S199" s="21">
        <f>IF(ROW()-4&gt;12,"",DATE(Dash_Year,ROW()-4,1))</f>
        <v>0</v>
      </c>
      <c r="T199" s="21">
        <f>IF(S199="","",EOMONTH(S199,0))</f>
        <v>0</v>
      </c>
      <c r="U199" s="28">
        <f>IF(S199="","",TEXT(S199,"mmm"))</f>
        <v>0</v>
      </c>
      <c r="V199" s="29">
        <f>IF(S199="","",SUMIFS(Payments!$L$5:$L$304,Payments!$B$5:$B$304,"&gt;="&amp;S199,Payments!$B$5:$B$304,"&lt;="&amp;T199))</f>
        <v>0</v>
      </c>
      <c r="W199" s="29">
        <f>IF(S199="","",SUMIFS(Invoices!$O$5:$O$304,Invoices!$B$5:$B$304,"&gt;="&amp;S199,Invoices!$B$5:$B$304,"&lt;="&amp;T199,Invoices!$T$5:$T$304,"&lt;&gt;Cancelled"))</f>
        <v>0</v>
      </c>
      <c r="X199" s="29">
        <f>IF(S199="","",SUMIFS(Expenses!$F$5:$F$304,Expenses!$B$5:$B$304,"&gt;="&amp;S199,Expenses!$B$5:$B$304,"&lt;="&amp;T199,Expenses!$J$5:$J$304,"&lt;&gt;Personal"))</f>
        <v>0</v>
      </c>
      <c r="Y199" s="29">
        <f>IF(S199="","",V199-X199)</f>
        <v>0</v>
      </c>
      <c r="Z199" s="31">
        <f>IF(S199="","",COUNTIFS(Bookings!$I$5:$I$404,"&gt;="&amp;S199,Bookings!$I$5:$I$404,"&lt;="&amp;T199,Bookings!$AM$5:$AM$404,"&lt;&gt;Cancelled"))</f>
        <v>0</v>
      </c>
      <c r="AA199" s="31">
        <f>IF(S199="","",COUNTIFS(Bookings!$I$5:$I$404,"&gt;="&amp;S199,Bookings!$I$5:$I$404,"&lt;="&amp;T199,Bookings!$AM$5:$AM$404,"Completed"))</f>
        <v>0</v>
      </c>
      <c r="AB199" s="31">
        <f>IF(S199="","",COUNTIFS(Bookings!$I$5:$I$404,"&gt;="&amp;S199,Bookings!$I$5:$I$404,"&lt;="&amp;T199,Bookings!$AM$5:$AM$404,"Cancelled"))</f>
        <v>0</v>
      </c>
      <c r="AC199" s="31">
        <f>IF(S199="","",COUNTIFS('Visit Log'!$C$5:$C$404,"&gt;="&amp;S199,'Visit Log'!$C$5:$C$404,"&lt;="&amp;T199,'Visit Log'!$AE$5:$AE$404,"Completed"))</f>
        <v>0</v>
      </c>
      <c r="AD199" s="31">
        <f>IF(S199="","",COUNTIFS(Clients!$L$5:$L$254,"&gt;="&amp;S199,Clients!$L$5:$L$254,"&lt;="&amp;T199))</f>
        <v>0</v>
      </c>
      <c r="AE199" s="32">
        <f>IF(S199="","",SUMIFS(Mileage!$M$5:$M$304,Mileage!$B$5:$B$304,"&gt;="&amp;S199,Mileage!$B$5:$B$304,"&lt;="&amp;T199,Mileage!$N$5:$N$304,"Business"))</f>
        <v>0</v>
      </c>
      <c r="AF199" s="29">
        <f>IF(S199="","",SUMIFS(Payments!$L$5:$L$304,Payments!$B$5:$B$304,"&gt;="&amp;DATE(Dash_Year-1,ROW()-4,1),Payments!$B$5:$B$304,"&lt;="&amp;EOMONTH(DATE(Dash_Year-1,ROW()-4,1),0)))</f>
        <v>0</v>
      </c>
      <c r="AG199" s="28">
        <f>IF(Staff!$B$199="","",Staff!$B$199)</f>
        <v>0</v>
      </c>
      <c r="AH199" s="31">
        <f>IF(AG199="","",COUNTIFS('Visit Log'!$G$5:$G$404,AG199,'Visit Log'!$C$5:$C$404,"&gt;="&amp;RepFrom,'Visit Log'!$C$5:$C$404,"&lt;="&amp;RepTo,'Visit Log'!$AE$5:$AE$404,"Completed"))</f>
        <v>0</v>
      </c>
      <c r="AI199" s="51">
        <f>IF(AG199="","",ROUND(SUMIFS('Visit Log'!$K$5:$K$404,'Visit Log'!$G$5:$G$404,AG199,'Visit Log'!$C$5:$C$404,"&gt;="&amp;RepFrom,'Visit Log'!$C$5:$C$404,"&lt;="&amp;RepTo,'Visit Log'!$AE$5:$AE$404,"Completed")/60,2))</f>
        <v>0</v>
      </c>
      <c r="AJ199" s="29">
        <f>IF(AG199="","",SUMIFS(Bookings!$AK$5:$AK$404,Bookings!$AL$5:$AL$404,AG199,Bookings!$I$5:$I$404,"&gt;="&amp;RepFrom,Bookings!$I$5:$I$404,"&lt;="&amp;RepTo,Bookings!$AM$5:$AM$404,"&lt;&gt;Cancelled"))</f>
        <v>0</v>
      </c>
      <c r="AK199" s="32">
        <f>IF(AG199="","",SUMIFS(Mileage!$M$5:$M$304,Mileage!$C$5:$C$304,AG199,Mileage!$B$5:$B$304,"&gt;="&amp;RepFrom,Mileage!$B$5:$B$304,"&lt;="&amp;RepTo))</f>
        <v>0</v>
      </c>
      <c r="AL199" s="28">
        <f>IF(Lists!$Q199="","",Lists!$Q199)</f>
        <v>0</v>
      </c>
      <c r="AM199" s="31">
        <f>IF(AL199="","",COUNTIFS(Bookings!$AV$5:$AV$404,AL199,Bookings!$I$5:$I$404,"&gt;="&amp;RepFrom,Bookings!$I$5:$I$404,"&lt;="&amp;RepTo))</f>
        <v>0</v>
      </c>
      <c r="AN199" s="28">
        <f>IF(Lists!$AF199="","",Lists!$AF199)</f>
        <v>0</v>
      </c>
      <c r="AO199" s="29">
        <f>IF(AN199="","",SUMIFS(Payments!$L$5:$L$304,Payments!$F$5:$F$304,AN199,Payments!$B$5:$B$304,"&gt;="&amp;RepFrom,Payments!$B$5:$B$304,"&lt;="&amp;RepTo))</f>
        <v>0</v>
      </c>
      <c r="AP199" s="28">
        <f>IF(Lists!$E199="","",Lists!$E199)</f>
        <v>0</v>
      </c>
      <c r="AQ199" s="31">
        <f>IF(AP199="","",COUNTIFS(Clients!$K$5:$K$254,AP199))</f>
        <v>0</v>
      </c>
      <c r="AR199" s="29">
        <f>IF(AP199="","",SUMIFS(Clients!$AE$5:$AE$254,Clients!$K$5:$K$254,AP199))</f>
        <v>0</v>
      </c>
    </row>
    <row r="200" spans="1:44">
      <c r="A200" s="28">
        <f>IF(Clients!$B$200="","",Clients!$B$200)</f>
        <v>0</v>
      </c>
      <c r="B200" s="29">
        <f>IF(A200="","",SUMIFS(Payments!$L$5:$L$304,Payments!$C$5:$C$304,A200,Payments!$B$5:$B$304,"&gt;="&amp;PeriodStart,Payments!$B$5:$B$304,"&lt;="&amp;PeriodEnd))</f>
        <v>0</v>
      </c>
      <c r="C200" s="51">
        <f>IF(A200="","",IF(B200&lt;=0,"",B200+ROW()/1000000))</f>
        <v>0</v>
      </c>
      <c r="D200" s="29">
        <f>IF(A200="","",SUMIFS(Payments!$L$5:$L$304,Payments!$C$5:$C$304,A200,Payments!$B$5:$B$304,"&gt;="&amp;RepFrom,Payments!$B$5:$B$304,"&lt;="&amp;RepTo))</f>
        <v>0</v>
      </c>
      <c r="E200" s="51">
        <f>IF(A200="","",IF(D200&lt;=0,"",D200+ROW()/1000000))</f>
        <v>0</v>
      </c>
      <c r="F200" s="29">
        <f>IF(A200="","",SUMIFS(Invoices!$S$5:$S$304,Invoices!$D$5:$D$304,A200,Invoices!$T$5:$T$304,"&lt;&gt;Cancelled"))</f>
        <v>0</v>
      </c>
      <c r="G200" s="51">
        <f>IF(A200="","",IF(F200&lt;=0.004,"",F200+ROW()/1000000))</f>
        <v>0</v>
      </c>
      <c r="H200" s="31">
        <f>IF(A200="","",COUNTIFS(Bookings!$C$5:$C$404,A200,Bookings!$I$5:$I$404,"&gt;="&amp;RepFrom,Bookings!$I$5:$I$404,"&lt;="&amp;RepTo,Bookings!$AM$5:$AM$404,"&lt;&gt;Cancelled"))</f>
        <v>0</v>
      </c>
      <c r="I200" s="28">
        <f>IF(Services!$B$200="","",Services!$B$200)</f>
        <v>0</v>
      </c>
      <c r="J200" s="29">
        <f>IF(I200="","",SUMIFS(Bookings!$AK$5:$AK$404,Bookings!$H$5:$H$404,I200,Bookings!$I$5:$I$404,"&gt;="&amp;PeriodStart,Bookings!$I$5:$I$404,"&lt;="&amp;PeriodEnd,Bookings!$AM$5:$AM$404,"&lt;&gt;Cancelled"))</f>
        <v>0</v>
      </c>
      <c r="K200" s="31">
        <f>IF(I200="","",COUNTIFS(Bookings!$H$5:$H$404,I200,Bookings!$I$5:$I$404,"&gt;="&amp;PeriodStart,Bookings!$I$5:$I$404,"&lt;="&amp;PeriodEnd,Bookings!$AM$5:$AM$404,"&lt;&gt;Cancelled"))</f>
        <v>0</v>
      </c>
      <c r="L200" s="29">
        <f>IF(I200="","",SUMIFS(Bookings!$AK$5:$AK$404,Bookings!$H$5:$H$404,I200,Bookings!$I$5:$I$404,"&gt;="&amp;RepFrom,Bookings!$I$5:$I$404,"&lt;="&amp;RepTo,Bookings!$AM$5:$AM$404,"&lt;&gt;Cancelled"))</f>
        <v>0</v>
      </c>
      <c r="M200" s="31">
        <f>IF(I200="","",COUNTIFS(Bookings!$H$5:$H$404,I200,Bookings!$I$5:$I$404,"&gt;="&amp;RepFrom,Bookings!$I$5:$I$404,"&lt;="&amp;RepTo,Bookings!$AM$5:$AM$404,"&lt;&gt;Cancelled"))</f>
        <v>0</v>
      </c>
      <c r="N200" s="29">
        <f>IF(I200="","",M200*IF(Services!$L$200="",0,Services!$L$200))</f>
        <v>0</v>
      </c>
      <c r="O200" s="29">
        <f>IF(I200="","",L200-N200)</f>
        <v>0</v>
      </c>
      <c r="P200" s="28">
        <f>IF(Lists!$AG200="","",Lists!$AG200)</f>
        <v>0</v>
      </c>
      <c r="Q200" s="29">
        <f>IF(P200="","",SUMIFS(Expenses!$F$5:$F$304,Expenses!$C$5:$C$304,P200,Expenses!$B$5:$B$304,"&gt;="&amp;PeriodStart,Expenses!$B$5:$B$304,"&lt;="&amp;PeriodEnd,Expenses!$J$5:$J$304,"&lt;&gt;Personal"))</f>
        <v>0</v>
      </c>
      <c r="R200" s="29">
        <f>IF(P200="","",SUMIFS(Expenses!$F$5:$F$304,Expenses!$C$5:$C$304,P200,Expenses!$B$5:$B$304,"&gt;="&amp;RepFrom,Expenses!$B$5:$B$304,"&lt;="&amp;RepTo,Expenses!$J$5:$J$304,"&lt;&gt;Personal"))</f>
        <v>0</v>
      </c>
      <c r="S200" s="21">
        <f>IF(ROW()-4&gt;12,"",DATE(Dash_Year,ROW()-4,1))</f>
        <v>0</v>
      </c>
      <c r="T200" s="21">
        <f>IF(S200="","",EOMONTH(S200,0))</f>
        <v>0</v>
      </c>
      <c r="U200" s="28">
        <f>IF(S200="","",TEXT(S200,"mmm"))</f>
        <v>0</v>
      </c>
      <c r="V200" s="29">
        <f>IF(S200="","",SUMIFS(Payments!$L$5:$L$304,Payments!$B$5:$B$304,"&gt;="&amp;S200,Payments!$B$5:$B$304,"&lt;="&amp;T200))</f>
        <v>0</v>
      </c>
      <c r="W200" s="29">
        <f>IF(S200="","",SUMIFS(Invoices!$O$5:$O$304,Invoices!$B$5:$B$304,"&gt;="&amp;S200,Invoices!$B$5:$B$304,"&lt;="&amp;T200,Invoices!$T$5:$T$304,"&lt;&gt;Cancelled"))</f>
        <v>0</v>
      </c>
      <c r="X200" s="29">
        <f>IF(S200="","",SUMIFS(Expenses!$F$5:$F$304,Expenses!$B$5:$B$304,"&gt;="&amp;S200,Expenses!$B$5:$B$304,"&lt;="&amp;T200,Expenses!$J$5:$J$304,"&lt;&gt;Personal"))</f>
        <v>0</v>
      </c>
      <c r="Y200" s="29">
        <f>IF(S200="","",V200-X200)</f>
        <v>0</v>
      </c>
      <c r="Z200" s="31">
        <f>IF(S200="","",COUNTIFS(Bookings!$I$5:$I$404,"&gt;="&amp;S200,Bookings!$I$5:$I$404,"&lt;="&amp;T200,Bookings!$AM$5:$AM$404,"&lt;&gt;Cancelled"))</f>
        <v>0</v>
      </c>
      <c r="AA200" s="31">
        <f>IF(S200="","",COUNTIFS(Bookings!$I$5:$I$404,"&gt;="&amp;S200,Bookings!$I$5:$I$404,"&lt;="&amp;T200,Bookings!$AM$5:$AM$404,"Completed"))</f>
        <v>0</v>
      </c>
      <c r="AB200" s="31">
        <f>IF(S200="","",COUNTIFS(Bookings!$I$5:$I$404,"&gt;="&amp;S200,Bookings!$I$5:$I$404,"&lt;="&amp;T200,Bookings!$AM$5:$AM$404,"Cancelled"))</f>
        <v>0</v>
      </c>
      <c r="AC200" s="31">
        <f>IF(S200="","",COUNTIFS('Visit Log'!$C$5:$C$404,"&gt;="&amp;S200,'Visit Log'!$C$5:$C$404,"&lt;="&amp;T200,'Visit Log'!$AE$5:$AE$404,"Completed"))</f>
        <v>0</v>
      </c>
      <c r="AD200" s="31">
        <f>IF(S200="","",COUNTIFS(Clients!$L$5:$L$254,"&gt;="&amp;S200,Clients!$L$5:$L$254,"&lt;="&amp;T200))</f>
        <v>0</v>
      </c>
      <c r="AE200" s="32">
        <f>IF(S200="","",SUMIFS(Mileage!$M$5:$M$304,Mileage!$B$5:$B$304,"&gt;="&amp;S200,Mileage!$B$5:$B$304,"&lt;="&amp;T200,Mileage!$N$5:$N$304,"Business"))</f>
        <v>0</v>
      </c>
      <c r="AF200" s="29">
        <f>IF(S200="","",SUMIFS(Payments!$L$5:$L$304,Payments!$B$5:$B$304,"&gt;="&amp;DATE(Dash_Year-1,ROW()-4,1),Payments!$B$5:$B$304,"&lt;="&amp;EOMONTH(DATE(Dash_Year-1,ROW()-4,1),0)))</f>
        <v>0</v>
      </c>
      <c r="AG200" s="28">
        <f>IF(Staff!$B$200="","",Staff!$B$200)</f>
        <v>0</v>
      </c>
      <c r="AH200" s="31">
        <f>IF(AG200="","",COUNTIFS('Visit Log'!$G$5:$G$404,AG200,'Visit Log'!$C$5:$C$404,"&gt;="&amp;RepFrom,'Visit Log'!$C$5:$C$404,"&lt;="&amp;RepTo,'Visit Log'!$AE$5:$AE$404,"Completed"))</f>
        <v>0</v>
      </c>
      <c r="AI200" s="51">
        <f>IF(AG200="","",ROUND(SUMIFS('Visit Log'!$K$5:$K$404,'Visit Log'!$G$5:$G$404,AG200,'Visit Log'!$C$5:$C$404,"&gt;="&amp;RepFrom,'Visit Log'!$C$5:$C$404,"&lt;="&amp;RepTo,'Visit Log'!$AE$5:$AE$404,"Completed")/60,2))</f>
        <v>0</v>
      </c>
      <c r="AJ200" s="29">
        <f>IF(AG200="","",SUMIFS(Bookings!$AK$5:$AK$404,Bookings!$AL$5:$AL$404,AG200,Bookings!$I$5:$I$404,"&gt;="&amp;RepFrom,Bookings!$I$5:$I$404,"&lt;="&amp;RepTo,Bookings!$AM$5:$AM$404,"&lt;&gt;Cancelled"))</f>
        <v>0</v>
      </c>
      <c r="AK200" s="32">
        <f>IF(AG200="","",SUMIFS(Mileage!$M$5:$M$304,Mileage!$C$5:$C$304,AG200,Mileage!$B$5:$B$304,"&gt;="&amp;RepFrom,Mileage!$B$5:$B$304,"&lt;="&amp;RepTo))</f>
        <v>0</v>
      </c>
      <c r="AL200" s="28">
        <f>IF(Lists!$Q200="","",Lists!$Q200)</f>
        <v>0</v>
      </c>
      <c r="AM200" s="31">
        <f>IF(AL200="","",COUNTIFS(Bookings!$AV$5:$AV$404,AL200,Bookings!$I$5:$I$404,"&gt;="&amp;RepFrom,Bookings!$I$5:$I$404,"&lt;="&amp;RepTo))</f>
        <v>0</v>
      </c>
      <c r="AN200" s="28">
        <f>IF(Lists!$AF200="","",Lists!$AF200)</f>
        <v>0</v>
      </c>
      <c r="AO200" s="29">
        <f>IF(AN200="","",SUMIFS(Payments!$L$5:$L$304,Payments!$F$5:$F$304,AN200,Payments!$B$5:$B$304,"&gt;="&amp;RepFrom,Payments!$B$5:$B$304,"&lt;="&amp;RepTo))</f>
        <v>0</v>
      </c>
      <c r="AP200" s="28">
        <f>IF(Lists!$E200="","",Lists!$E200)</f>
        <v>0</v>
      </c>
      <c r="AQ200" s="31">
        <f>IF(AP200="","",COUNTIFS(Clients!$K$5:$K$254,AP200))</f>
        <v>0</v>
      </c>
      <c r="AR200" s="29">
        <f>IF(AP200="","",SUMIFS(Clients!$AE$5:$AE$254,Clients!$K$5:$K$254,AP200))</f>
        <v>0</v>
      </c>
    </row>
    <row r="201" spans="1:44">
      <c r="A201" s="28">
        <f>IF(Clients!$B$201="","",Clients!$B$201)</f>
        <v>0</v>
      </c>
      <c r="B201" s="29">
        <f>IF(A201="","",SUMIFS(Payments!$L$5:$L$304,Payments!$C$5:$C$304,A201,Payments!$B$5:$B$304,"&gt;="&amp;PeriodStart,Payments!$B$5:$B$304,"&lt;="&amp;PeriodEnd))</f>
        <v>0</v>
      </c>
      <c r="C201" s="51">
        <f>IF(A201="","",IF(B201&lt;=0,"",B201+ROW()/1000000))</f>
        <v>0</v>
      </c>
      <c r="D201" s="29">
        <f>IF(A201="","",SUMIFS(Payments!$L$5:$L$304,Payments!$C$5:$C$304,A201,Payments!$B$5:$B$304,"&gt;="&amp;RepFrom,Payments!$B$5:$B$304,"&lt;="&amp;RepTo))</f>
        <v>0</v>
      </c>
      <c r="E201" s="51">
        <f>IF(A201="","",IF(D201&lt;=0,"",D201+ROW()/1000000))</f>
        <v>0</v>
      </c>
      <c r="F201" s="29">
        <f>IF(A201="","",SUMIFS(Invoices!$S$5:$S$304,Invoices!$D$5:$D$304,A201,Invoices!$T$5:$T$304,"&lt;&gt;Cancelled"))</f>
        <v>0</v>
      </c>
      <c r="G201" s="51">
        <f>IF(A201="","",IF(F201&lt;=0.004,"",F201+ROW()/1000000))</f>
        <v>0</v>
      </c>
      <c r="H201" s="31">
        <f>IF(A201="","",COUNTIFS(Bookings!$C$5:$C$404,A201,Bookings!$I$5:$I$404,"&gt;="&amp;RepFrom,Bookings!$I$5:$I$404,"&lt;="&amp;RepTo,Bookings!$AM$5:$AM$404,"&lt;&gt;Cancelled"))</f>
        <v>0</v>
      </c>
      <c r="I201" s="28">
        <f>IF(Services!$B$201="","",Services!$B$201)</f>
        <v>0</v>
      </c>
      <c r="J201" s="29">
        <f>IF(I201="","",SUMIFS(Bookings!$AK$5:$AK$404,Bookings!$H$5:$H$404,I201,Bookings!$I$5:$I$404,"&gt;="&amp;PeriodStart,Bookings!$I$5:$I$404,"&lt;="&amp;PeriodEnd,Bookings!$AM$5:$AM$404,"&lt;&gt;Cancelled"))</f>
        <v>0</v>
      </c>
      <c r="K201" s="31">
        <f>IF(I201="","",COUNTIFS(Bookings!$H$5:$H$404,I201,Bookings!$I$5:$I$404,"&gt;="&amp;PeriodStart,Bookings!$I$5:$I$404,"&lt;="&amp;PeriodEnd,Bookings!$AM$5:$AM$404,"&lt;&gt;Cancelled"))</f>
        <v>0</v>
      </c>
      <c r="L201" s="29">
        <f>IF(I201="","",SUMIFS(Bookings!$AK$5:$AK$404,Bookings!$H$5:$H$404,I201,Bookings!$I$5:$I$404,"&gt;="&amp;RepFrom,Bookings!$I$5:$I$404,"&lt;="&amp;RepTo,Bookings!$AM$5:$AM$404,"&lt;&gt;Cancelled"))</f>
        <v>0</v>
      </c>
      <c r="M201" s="31">
        <f>IF(I201="","",COUNTIFS(Bookings!$H$5:$H$404,I201,Bookings!$I$5:$I$404,"&gt;="&amp;RepFrom,Bookings!$I$5:$I$404,"&lt;="&amp;RepTo,Bookings!$AM$5:$AM$404,"&lt;&gt;Cancelled"))</f>
        <v>0</v>
      </c>
      <c r="N201" s="29">
        <f>IF(I201="","",M201*IF(Services!$L$201="",0,Services!$L$201))</f>
        <v>0</v>
      </c>
      <c r="O201" s="29">
        <f>IF(I201="","",L201-N201)</f>
        <v>0</v>
      </c>
      <c r="P201" s="28">
        <f>IF(Lists!$AG201="","",Lists!$AG201)</f>
        <v>0</v>
      </c>
      <c r="Q201" s="29">
        <f>IF(P201="","",SUMIFS(Expenses!$F$5:$F$304,Expenses!$C$5:$C$304,P201,Expenses!$B$5:$B$304,"&gt;="&amp;PeriodStart,Expenses!$B$5:$B$304,"&lt;="&amp;PeriodEnd,Expenses!$J$5:$J$304,"&lt;&gt;Personal"))</f>
        <v>0</v>
      </c>
      <c r="R201" s="29">
        <f>IF(P201="","",SUMIFS(Expenses!$F$5:$F$304,Expenses!$C$5:$C$304,P201,Expenses!$B$5:$B$304,"&gt;="&amp;RepFrom,Expenses!$B$5:$B$304,"&lt;="&amp;RepTo,Expenses!$J$5:$J$304,"&lt;&gt;Personal"))</f>
        <v>0</v>
      </c>
      <c r="S201" s="21">
        <f>IF(ROW()-4&gt;12,"",DATE(Dash_Year,ROW()-4,1))</f>
        <v>0</v>
      </c>
      <c r="T201" s="21">
        <f>IF(S201="","",EOMONTH(S201,0))</f>
        <v>0</v>
      </c>
      <c r="U201" s="28">
        <f>IF(S201="","",TEXT(S201,"mmm"))</f>
        <v>0</v>
      </c>
      <c r="V201" s="29">
        <f>IF(S201="","",SUMIFS(Payments!$L$5:$L$304,Payments!$B$5:$B$304,"&gt;="&amp;S201,Payments!$B$5:$B$304,"&lt;="&amp;T201))</f>
        <v>0</v>
      </c>
      <c r="W201" s="29">
        <f>IF(S201="","",SUMIFS(Invoices!$O$5:$O$304,Invoices!$B$5:$B$304,"&gt;="&amp;S201,Invoices!$B$5:$B$304,"&lt;="&amp;T201,Invoices!$T$5:$T$304,"&lt;&gt;Cancelled"))</f>
        <v>0</v>
      </c>
      <c r="X201" s="29">
        <f>IF(S201="","",SUMIFS(Expenses!$F$5:$F$304,Expenses!$B$5:$B$304,"&gt;="&amp;S201,Expenses!$B$5:$B$304,"&lt;="&amp;T201,Expenses!$J$5:$J$304,"&lt;&gt;Personal"))</f>
        <v>0</v>
      </c>
      <c r="Y201" s="29">
        <f>IF(S201="","",V201-X201)</f>
        <v>0</v>
      </c>
      <c r="Z201" s="31">
        <f>IF(S201="","",COUNTIFS(Bookings!$I$5:$I$404,"&gt;="&amp;S201,Bookings!$I$5:$I$404,"&lt;="&amp;T201,Bookings!$AM$5:$AM$404,"&lt;&gt;Cancelled"))</f>
        <v>0</v>
      </c>
      <c r="AA201" s="31">
        <f>IF(S201="","",COUNTIFS(Bookings!$I$5:$I$404,"&gt;="&amp;S201,Bookings!$I$5:$I$404,"&lt;="&amp;T201,Bookings!$AM$5:$AM$404,"Completed"))</f>
        <v>0</v>
      </c>
      <c r="AB201" s="31">
        <f>IF(S201="","",COUNTIFS(Bookings!$I$5:$I$404,"&gt;="&amp;S201,Bookings!$I$5:$I$404,"&lt;="&amp;T201,Bookings!$AM$5:$AM$404,"Cancelled"))</f>
        <v>0</v>
      </c>
      <c r="AC201" s="31">
        <f>IF(S201="","",COUNTIFS('Visit Log'!$C$5:$C$404,"&gt;="&amp;S201,'Visit Log'!$C$5:$C$404,"&lt;="&amp;T201,'Visit Log'!$AE$5:$AE$404,"Completed"))</f>
        <v>0</v>
      </c>
      <c r="AD201" s="31">
        <f>IF(S201="","",COUNTIFS(Clients!$L$5:$L$254,"&gt;="&amp;S201,Clients!$L$5:$L$254,"&lt;="&amp;T201))</f>
        <v>0</v>
      </c>
      <c r="AE201" s="32">
        <f>IF(S201="","",SUMIFS(Mileage!$M$5:$M$304,Mileage!$B$5:$B$304,"&gt;="&amp;S201,Mileage!$B$5:$B$304,"&lt;="&amp;T201,Mileage!$N$5:$N$304,"Business"))</f>
        <v>0</v>
      </c>
      <c r="AF201" s="29">
        <f>IF(S201="","",SUMIFS(Payments!$L$5:$L$304,Payments!$B$5:$B$304,"&gt;="&amp;DATE(Dash_Year-1,ROW()-4,1),Payments!$B$5:$B$304,"&lt;="&amp;EOMONTH(DATE(Dash_Year-1,ROW()-4,1),0)))</f>
        <v>0</v>
      </c>
      <c r="AG201" s="28">
        <f>IF(Staff!$B$201="","",Staff!$B$201)</f>
        <v>0</v>
      </c>
      <c r="AH201" s="31">
        <f>IF(AG201="","",COUNTIFS('Visit Log'!$G$5:$G$404,AG201,'Visit Log'!$C$5:$C$404,"&gt;="&amp;RepFrom,'Visit Log'!$C$5:$C$404,"&lt;="&amp;RepTo,'Visit Log'!$AE$5:$AE$404,"Completed"))</f>
        <v>0</v>
      </c>
      <c r="AI201" s="51">
        <f>IF(AG201="","",ROUND(SUMIFS('Visit Log'!$K$5:$K$404,'Visit Log'!$G$5:$G$404,AG201,'Visit Log'!$C$5:$C$404,"&gt;="&amp;RepFrom,'Visit Log'!$C$5:$C$404,"&lt;="&amp;RepTo,'Visit Log'!$AE$5:$AE$404,"Completed")/60,2))</f>
        <v>0</v>
      </c>
      <c r="AJ201" s="29">
        <f>IF(AG201="","",SUMIFS(Bookings!$AK$5:$AK$404,Bookings!$AL$5:$AL$404,AG201,Bookings!$I$5:$I$404,"&gt;="&amp;RepFrom,Bookings!$I$5:$I$404,"&lt;="&amp;RepTo,Bookings!$AM$5:$AM$404,"&lt;&gt;Cancelled"))</f>
        <v>0</v>
      </c>
      <c r="AK201" s="32">
        <f>IF(AG201="","",SUMIFS(Mileage!$M$5:$M$304,Mileage!$C$5:$C$304,AG201,Mileage!$B$5:$B$304,"&gt;="&amp;RepFrom,Mileage!$B$5:$B$304,"&lt;="&amp;RepTo))</f>
        <v>0</v>
      </c>
      <c r="AL201" s="28">
        <f>IF(Lists!$Q201="","",Lists!$Q201)</f>
        <v>0</v>
      </c>
      <c r="AM201" s="31">
        <f>IF(AL201="","",COUNTIFS(Bookings!$AV$5:$AV$404,AL201,Bookings!$I$5:$I$404,"&gt;="&amp;RepFrom,Bookings!$I$5:$I$404,"&lt;="&amp;RepTo))</f>
        <v>0</v>
      </c>
      <c r="AN201" s="28">
        <f>IF(Lists!$AF201="","",Lists!$AF201)</f>
        <v>0</v>
      </c>
      <c r="AO201" s="29">
        <f>IF(AN201="","",SUMIFS(Payments!$L$5:$L$304,Payments!$F$5:$F$304,AN201,Payments!$B$5:$B$304,"&gt;="&amp;RepFrom,Payments!$B$5:$B$304,"&lt;="&amp;RepTo))</f>
        <v>0</v>
      </c>
      <c r="AP201" s="28">
        <f>IF(Lists!$E201="","",Lists!$E201)</f>
        <v>0</v>
      </c>
      <c r="AQ201" s="31">
        <f>IF(AP201="","",COUNTIFS(Clients!$K$5:$K$254,AP201))</f>
        <v>0</v>
      </c>
      <c r="AR201" s="29">
        <f>IF(AP201="","",SUMIFS(Clients!$AE$5:$AE$254,Clients!$K$5:$K$254,AP201))</f>
        <v>0</v>
      </c>
    </row>
    <row r="202" spans="1:44">
      <c r="A202" s="28">
        <f>IF(Clients!$B$202="","",Clients!$B$202)</f>
        <v>0</v>
      </c>
      <c r="B202" s="29">
        <f>IF(A202="","",SUMIFS(Payments!$L$5:$L$304,Payments!$C$5:$C$304,A202,Payments!$B$5:$B$304,"&gt;="&amp;PeriodStart,Payments!$B$5:$B$304,"&lt;="&amp;PeriodEnd))</f>
        <v>0</v>
      </c>
      <c r="C202" s="51">
        <f>IF(A202="","",IF(B202&lt;=0,"",B202+ROW()/1000000))</f>
        <v>0</v>
      </c>
      <c r="D202" s="29">
        <f>IF(A202="","",SUMIFS(Payments!$L$5:$L$304,Payments!$C$5:$C$304,A202,Payments!$B$5:$B$304,"&gt;="&amp;RepFrom,Payments!$B$5:$B$304,"&lt;="&amp;RepTo))</f>
        <v>0</v>
      </c>
      <c r="E202" s="51">
        <f>IF(A202="","",IF(D202&lt;=0,"",D202+ROW()/1000000))</f>
        <v>0</v>
      </c>
      <c r="F202" s="29">
        <f>IF(A202="","",SUMIFS(Invoices!$S$5:$S$304,Invoices!$D$5:$D$304,A202,Invoices!$T$5:$T$304,"&lt;&gt;Cancelled"))</f>
        <v>0</v>
      </c>
      <c r="G202" s="51">
        <f>IF(A202="","",IF(F202&lt;=0.004,"",F202+ROW()/1000000))</f>
        <v>0</v>
      </c>
      <c r="H202" s="31">
        <f>IF(A202="","",COUNTIFS(Bookings!$C$5:$C$404,A202,Bookings!$I$5:$I$404,"&gt;="&amp;RepFrom,Bookings!$I$5:$I$404,"&lt;="&amp;RepTo,Bookings!$AM$5:$AM$404,"&lt;&gt;Cancelled"))</f>
        <v>0</v>
      </c>
      <c r="I202" s="28">
        <f>IF(Services!$B$202="","",Services!$B$202)</f>
        <v>0</v>
      </c>
      <c r="J202" s="29">
        <f>IF(I202="","",SUMIFS(Bookings!$AK$5:$AK$404,Bookings!$H$5:$H$404,I202,Bookings!$I$5:$I$404,"&gt;="&amp;PeriodStart,Bookings!$I$5:$I$404,"&lt;="&amp;PeriodEnd,Bookings!$AM$5:$AM$404,"&lt;&gt;Cancelled"))</f>
        <v>0</v>
      </c>
      <c r="K202" s="31">
        <f>IF(I202="","",COUNTIFS(Bookings!$H$5:$H$404,I202,Bookings!$I$5:$I$404,"&gt;="&amp;PeriodStart,Bookings!$I$5:$I$404,"&lt;="&amp;PeriodEnd,Bookings!$AM$5:$AM$404,"&lt;&gt;Cancelled"))</f>
        <v>0</v>
      </c>
      <c r="L202" s="29">
        <f>IF(I202="","",SUMIFS(Bookings!$AK$5:$AK$404,Bookings!$H$5:$H$404,I202,Bookings!$I$5:$I$404,"&gt;="&amp;RepFrom,Bookings!$I$5:$I$404,"&lt;="&amp;RepTo,Bookings!$AM$5:$AM$404,"&lt;&gt;Cancelled"))</f>
        <v>0</v>
      </c>
      <c r="M202" s="31">
        <f>IF(I202="","",COUNTIFS(Bookings!$H$5:$H$404,I202,Bookings!$I$5:$I$404,"&gt;="&amp;RepFrom,Bookings!$I$5:$I$404,"&lt;="&amp;RepTo,Bookings!$AM$5:$AM$404,"&lt;&gt;Cancelled"))</f>
        <v>0</v>
      </c>
      <c r="N202" s="29">
        <f>IF(I202="","",M202*IF(Services!$L$202="",0,Services!$L$202))</f>
        <v>0</v>
      </c>
      <c r="O202" s="29">
        <f>IF(I202="","",L202-N202)</f>
        <v>0</v>
      </c>
      <c r="P202" s="28">
        <f>IF(Lists!$AG202="","",Lists!$AG202)</f>
        <v>0</v>
      </c>
      <c r="Q202" s="29">
        <f>IF(P202="","",SUMIFS(Expenses!$F$5:$F$304,Expenses!$C$5:$C$304,P202,Expenses!$B$5:$B$304,"&gt;="&amp;PeriodStart,Expenses!$B$5:$B$304,"&lt;="&amp;PeriodEnd,Expenses!$J$5:$J$304,"&lt;&gt;Personal"))</f>
        <v>0</v>
      </c>
      <c r="R202" s="29">
        <f>IF(P202="","",SUMIFS(Expenses!$F$5:$F$304,Expenses!$C$5:$C$304,P202,Expenses!$B$5:$B$304,"&gt;="&amp;RepFrom,Expenses!$B$5:$B$304,"&lt;="&amp;RepTo,Expenses!$J$5:$J$304,"&lt;&gt;Personal"))</f>
        <v>0</v>
      </c>
      <c r="S202" s="21">
        <f>IF(ROW()-4&gt;12,"",DATE(Dash_Year,ROW()-4,1))</f>
        <v>0</v>
      </c>
      <c r="T202" s="21">
        <f>IF(S202="","",EOMONTH(S202,0))</f>
        <v>0</v>
      </c>
      <c r="U202" s="28">
        <f>IF(S202="","",TEXT(S202,"mmm"))</f>
        <v>0</v>
      </c>
      <c r="V202" s="29">
        <f>IF(S202="","",SUMIFS(Payments!$L$5:$L$304,Payments!$B$5:$B$304,"&gt;="&amp;S202,Payments!$B$5:$B$304,"&lt;="&amp;T202))</f>
        <v>0</v>
      </c>
      <c r="W202" s="29">
        <f>IF(S202="","",SUMIFS(Invoices!$O$5:$O$304,Invoices!$B$5:$B$304,"&gt;="&amp;S202,Invoices!$B$5:$B$304,"&lt;="&amp;T202,Invoices!$T$5:$T$304,"&lt;&gt;Cancelled"))</f>
        <v>0</v>
      </c>
      <c r="X202" s="29">
        <f>IF(S202="","",SUMIFS(Expenses!$F$5:$F$304,Expenses!$B$5:$B$304,"&gt;="&amp;S202,Expenses!$B$5:$B$304,"&lt;="&amp;T202,Expenses!$J$5:$J$304,"&lt;&gt;Personal"))</f>
        <v>0</v>
      </c>
      <c r="Y202" s="29">
        <f>IF(S202="","",V202-X202)</f>
        <v>0</v>
      </c>
      <c r="Z202" s="31">
        <f>IF(S202="","",COUNTIFS(Bookings!$I$5:$I$404,"&gt;="&amp;S202,Bookings!$I$5:$I$404,"&lt;="&amp;T202,Bookings!$AM$5:$AM$404,"&lt;&gt;Cancelled"))</f>
        <v>0</v>
      </c>
      <c r="AA202" s="31">
        <f>IF(S202="","",COUNTIFS(Bookings!$I$5:$I$404,"&gt;="&amp;S202,Bookings!$I$5:$I$404,"&lt;="&amp;T202,Bookings!$AM$5:$AM$404,"Completed"))</f>
        <v>0</v>
      </c>
      <c r="AB202" s="31">
        <f>IF(S202="","",COUNTIFS(Bookings!$I$5:$I$404,"&gt;="&amp;S202,Bookings!$I$5:$I$404,"&lt;="&amp;T202,Bookings!$AM$5:$AM$404,"Cancelled"))</f>
        <v>0</v>
      </c>
      <c r="AC202" s="31">
        <f>IF(S202="","",COUNTIFS('Visit Log'!$C$5:$C$404,"&gt;="&amp;S202,'Visit Log'!$C$5:$C$404,"&lt;="&amp;T202,'Visit Log'!$AE$5:$AE$404,"Completed"))</f>
        <v>0</v>
      </c>
      <c r="AD202" s="31">
        <f>IF(S202="","",COUNTIFS(Clients!$L$5:$L$254,"&gt;="&amp;S202,Clients!$L$5:$L$254,"&lt;="&amp;T202))</f>
        <v>0</v>
      </c>
      <c r="AE202" s="32">
        <f>IF(S202="","",SUMIFS(Mileage!$M$5:$M$304,Mileage!$B$5:$B$304,"&gt;="&amp;S202,Mileage!$B$5:$B$304,"&lt;="&amp;T202,Mileage!$N$5:$N$304,"Business"))</f>
        <v>0</v>
      </c>
      <c r="AF202" s="29">
        <f>IF(S202="","",SUMIFS(Payments!$L$5:$L$304,Payments!$B$5:$B$304,"&gt;="&amp;DATE(Dash_Year-1,ROW()-4,1),Payments!$B$5:$B$304,"&lt;="&amp;EOMONTH(DATE(Dash_Year-1,ROW()-4,1),0)))</f>
        <v>0</v>
      </c>
      <c r="AG202" s="28">
        <f>IF(Staff!$B$202="","",Staff!$B$202)</f>
        <v>0</v>
      </c>
      <c r="AH202" s="31">
        <f>IF(AG202="","",COUNTIFS('Visit Log'!$G$5:$G$404,AG202,'Visit Log'!$C$5:$C$404,"&gt;="&amp;RepFrom,'Visit Log'!$C$5:$C$404,"&lt;="&amp;RepTo,'Visit Log'!$AE$5:$AE$404,"Completed"))</f>
        <v>0</v>
      </c>
      <c r="AI202" s="51">
        <f>IF(AG202="","",ROUND(SUMIFS('Visit Log'!$K$5:$K$404,'Visit Log'!$G$5:$G$404,AG202,'Visit Log'!$C$5:$C$404,"&gt;="&amp;RepFrom,'Visit Log'!$C$5:$C$404,"&lt;="&amp;RepTo,'Visit Log'!$AE$5:$AE$404,"Completed")/60,2))</f>
        <v>0</v>
      </c>
      <c r="AJ202" s="29">
        <f>IF(AG202="","",SUMIFS(Bookings!$AK$5:$AK$404,Bookings!$AL$5:$AL$404,AG202,Bookings!$I$5:$I$404,"&gt;="&amp;RepFrom,Bookings!$I$5:$I$404,"&lt;="&amp;RepTo,Bookings!$AM$5:$AM$404,"&lt;&gt;Cancelled"))</f>
        <v>0</v>
      </c>
      <c r="AK202" s="32">
        <f>IF(AG202="","",SUMIFS(Mileage!$M$5:$M$304,Mileage!$C$5:$C$304,AG202,Mileage!$B$5:$B$304,"&gt;="&amp;RepFrom,Mileage!$B$5:$B$304,"&lt;="&amp;RepTo))</f>
        <v>0</v>
      </c>
      <c r="AL202" s="28">
        <f>IF(Lists!$Q202="","",Lists!$Q202)</f>
        <v>0</v>
      </c>
      <c r="AM202" s="31">
        <f>IF(AL202="","",COUNTIFS(Bookings!$AV$5:$AV$404,AL202,Bookings!$I$5:$I$404,"&gt;="&amp;RepFrom,Bookings!$I$5:$I$404,"&lt;="&amp;RepTo))</f>
        <v>0</v>
      </c>
      <c r="AN202" s="28">
        <f>IF(Lists!$AF202="","",Lists!$AF202)</f>
        <v>0</v>
      </c>
      <c r="AO202" s="29">
        <f>IF(AN202="","",SUMIFS(Payments!$L$5:$L$304,Payments!$F$5:$F$304,AN202,Payments!$B$5:$B$304,"&gt;="&amp;RepFrom,Payments!$B$5:$B$304,"&lt;="&amp;RepTo))</f>
        <v>0</v>
      </c>
      <c r="AP202" s="28">
        <f>IF(Lists!$E202="","",Lists!$E202)</f>
        <v>0</v>
      </c>
      <c r="AQ202" s="31">
        <f>IF(AP202="","",COUNTIFS(Clients!$K$5:$K$254,AP202))</f>
        <v>0</v>
      </c>
      <c r="AR202" s="29">
        <f>IF(AP202="","",SUMIFS(Clients!$AE$5:$AE$254,Clients!$K$5:$K$254,AP202))</f>
        <v>0</v>
      </c>
    </row>
    <row r="203" spans="1:44">
      <c r="A203" s="28">
        <f>IF(Clients!$B$203="","",Clients!$B$203)</f>
        <v>0</v>
      </c>
      <c r="B203" s="29">
        <f>IF(A203="","",SUMIFS(Payments!$L$5:$L$304,Payments!$C$5:$C$304,A203,Payments!$B$5:$B$304,"&gt;="&amp;PeriodStart,Payments!$B$5:$B$304,"&lt;="&amp;PeriodEnd))</f>
        <v>0</v>
      </c>
      <c r="C203" s="51">
        <f>IF(A203="","",IF(B203&lt;=0,"",B203+ROW()/1000000))</f>
        <v>0</v>
      </c>
      <c r="D203" s="29">
        <f>IF(A203="","",SUMIFS(Payments!$L$5:$L$304,Payments!$C$5:$C$304,A203,Payments!$B$5:$B$304,"&gt;="&amp;RepFrom,Payments!$B$5:$B$304,"&lt;="&amp;RepTo))</f>
        <v>0</v>
      </c>
      <c r="E203" s="51">
        <f>IF(A203="","",IF(D203&lt;=0,"",D203+ROW()/1000000))</f>
        <v>0</v>
      </c>
      <c r="F203" s="29">
        <f>IF(A203="","",SUMIFS(Invoices!$S$5:$S$304,Invoices!$D$5:$D$304,A203,Invoices!$T$5:$T$304,"&lt;&gt;Cancelled"))</f>
        <v>0</v>
      </c>
      <c r="G203" s="51">
        <f>IF(A203="","",IF(F203&lt;=0.004,"",F203+ROW()/1000000))</f>
        <v>0</v>
      </c>
      <c r="H203" s="31">
        <f>IF(A203="","",COUNTIFS(Bookings!$C$5:$C$404,A203,Bookings!$I$5:$I$404,"&gt;="&amp;RepFrom,Bookings!$I$5:$I$404,"&lt;="&amp;RepTo,Bookings!$AM$5:$AM$404,"&lt;&gt;Cancelled"))</f>
        <v>0</v>
      </c>
      <c r="I203" s="28">
        <f>IF(Services!$B$203="","",Services!$B$203)</f>
        <v>0</v>
      </c>
      <c r="J203" s="29">
        <f>IF(I203="","",SUMIFS(Bookings!$AK$5:$AK$404,Bookings!$H$5:$H$404,I203,Bookings!$I$5:$I$404,"&gt;="&amp;PeriodStart,Bookings!$I$5:$I$404,"&lt;="&amp;PeriodEnd,Bookings!$AM$5:$AM$404,"&lt;&gt;Cancelled"))</f>
        <v>0</v>
      </c>
      <c r="K203" s="31">
        <f>IF(I203="","",COUNTIFS(Bookings!$H$5:$H$404,I203,Bookings!$I$5:$I$404,"&gt;="&amp;PeriodStart,Bookings!$I$5:$I$404,"&lt;="&amp;PeriodEnd,Bookings!$AM$5:$AM$404,"&lt;&gt;Cancelled"))</f>
        <v>0</v>
      </c>
      <c r="L203" s="29">
        <f>IF(I203="","",SUMIFS(Bookings!$AK$5:$AK$404,Bookings!$H$5:$H$404,I203,Bookings!$I$5:$I$404,"&gt;="&amp;RepFrom,Bookings!$I$5:$I$404,"&lt;="&amp;RepTo,Bookings!$AM$5:$AM$404,"&lt;&gt;Cancelled"))</f>
        <v>0</v>
      </c>
      <c r="M203" s="31">
        <f>IF(I203="","",COUNTIFS(Bookings!$H$5:$H$404,I203,Bookings!$I$5:$I$404,"&gt;="&amp;RepFrom,Bookings!$I$5:$I$404,"&lt;="&amp;RepTo,Bookings!$AM$5:$AM$404,"&lt;&gt;Cancelled"))</f>
        <v>0</v>
      </c>
      <c r="N203" s="29">
        <f>IF(I203="","",M203*IF(Services!$L$203="",0,Services!$L$203))</f>
        <v>0</v>
      </c>
      <c r="O203" s="29">
        <f>IF(I203="","",L203-N203)</f>
        <v>0</v>
      </c>
      <c r="P203" s="28">
        <f>IF(Lists!$AG203="","",Lists!$AG203)</f>
        <v>0</v>
      </c>
      <c r="Q203" s="29">
        <f>IF(P203="","",SUMIFS(Expenses!$F$5:$F$304,Expenses!$C$5:$C$304,P203,Expenses!$B$5:$B$304,"&gt;="&amp;PeriodStart,Expenses!$B$5:$B$304,"&lt;="&amp;PeriodEnd,Expenses!$J$5:$J$304,"&lt;&gt;Personal"))</f>
        <v>0</v>
      </c>
      <c r="R203" s="29">
        <f>IF(P203="","",SUMIFS(Expenses!$F$5:$F$304,Expenses!$C$5:$C$304,P203,Expenses!$B$5:$B$304,"&gt;="&amp;RepFrom,Expenses!$B$5:$B$304,"&lt;="&amp;RepTo,Expenses!$J$5:$J$304,"&lt;&gt;Personal"))</f>
        <v>0</v>
      </c>
      <c r="S203" s="21">
        <f>IF(ROW()-4&gt;12,"",DATE(Dash_Year,ROW()-4,1))</f>
        <v>0</v>
      </c>
      <c r="T203" s="21">
        <f>IF(S203="","",EOMONTH(S203,0))</f>
        <v>0</v>
      </c>
      <c r="U203" s="28">
        <f>IF(S203="","",TEXT(S203,"mmm"))</f>
        <v>0</v>
      </c>
      <c r="V203" s="29">
        <f>IF(S203="","",SUMIFS(Payments!$L$5:$L$304,Payments!$B$5:$B$304,"&gt;="&amp;S203,Payments!$B$5:$B$304,"&lt;="&amp;T203))</f>
        <v>0</v>
      </c>
      <c r="W203" s="29">
        <f>IF(S203="","",SUMIFS(Invoices!$O$5:$O$304,Invoices!$B$5:$B$304,"&gt;="&amp;S203,Invoices!$B$5:$B$304,"&lt;="&amp;T203,Invoices!$T$5:$T$304,"&lt;&gt;Cancelled"))</f>
        <v>0</v>
      </c>
      <c r="X203" s="29">
        <f>IF(S203="","",SUMIFS(Expenses!$F$5:$F$304,Expenses!$B$5:$B$304,"&gt;="&amp;S203,Expenses!$B$5:$B$304,"&lt;="&amp;T203,Expenses!$J$5:$J$304,"&lt;&gt;Personal"))</f>
        <v>0</v>
      </c>
      <c r="Y203" s="29">
        <f>IF(S203="","",V203-X203)</f>
        <v>0</v>
      </c>
      <c r="Z203" s="31">
        <f>IF(S203="","",COUNTIFS(Bookings!$I$5:$I$404,"&gt;="&amp;S203,Bookings!$I$5:$I$404,"&lt;="&amp;T203,Bookings!$AM$5:$AM$404,"&lt;&gt;Cancelled"))</f>
        <v>0</v>
      </c>
      <c r="AA203" s="31">
        <f>IF(S203="","",COUNTIFS(Bookings!$I$5:$I$404,"&gt;="&amp;S203,Bookings!$I$5:$I$404,"&lt;="&amp;T203,Bookings!$AM$5:$AM$404,"Completed"))</f>
        <v>0</v>
      </c>
      <c r="AB203" s="31">
        <f>IF(S203="","",COUNTIFS(Bookings!$I$5:$I$404,"&gt;="&amp;S203,Bookings!$I$5:$I$404,"&lt;="&amp;T203,Bookings!$AM$5:$AM$404,"Cancelled"))</f>
        <v>0</v>
      </c>
      <c r="AC203" s="31">
        <f>IF(S203="","",COUNTIFS('Visit Log'!$C$5:$C$404,"&gt;="&amp;S203,'Visit Log'!$C$5:$C$404,"&lt;="&amp;T203,'Visit Log'!$AE$5:$AE$404,"Completed"))</f>
        <v>0</v>
      </c>
      <c r="AD203" s="31">
        <f>IF(S203="","",COUNTIFS(Clients!$L$5:$L$254,"&gt;="&amp;S203,Clients!$L$5:$L$254,"&lt;="&amp;T203))</f>
        <v>0</v>
      </c>
      <c r="AE203" s="32">
        <f>IF(S203="","",SUMIFS(Mileage!$M$5:$M$304,Mileage!$B$5:$B$304,"&gt;="&amp;S203,Mileage!$B$5:$B$304,"&lt;="&amp;T203,Mileage!$N$5:$N$304,"Business"))</f>
        <v>0</v>
      </c>
      <c r="AF203" s="29">
        <f>IF(S203="","",SUMIFS(Payments!$L$5:$L$304,Payments!$B$5:$B$304,"&gt;="&amp;DATE(Dash_Year-1,ROW()-4,1),Payments!$B$5:$B$304,"&lt;="&amp;EOMONTH(DATE(Dash_Year-1,ROW()-4,1),0)))</f>
        <v>0</v>
      </c>
      <c r="AG203" s="28">
        <f>IF(Staff!$B$203="","",Staff!$B$203)</f>
        <v>0</v>
      </c>
      <c r="AH203" s="31">
        <f>IF(AG203="","",COUNTIFS('Visit Log'!$G$5:$G$404,AG203,'Visit Log'!$C$5:$C$404,"&gt;="&amp;RepFrom,'Visit Log'!$C$5:$C$404,"&lt;="&amp;RepTo,'Visit Log'!$AE$5:$AE$404,"Completed"))</f>
        <v>0</v>
      </c>
      <c r="AI203" s="51">
        <f>IF(AG203="","",ROUND(SUMIFS('Visit Log'!$K$5:$K$404,'Visit Log'!$G$5:$G$404,AG203,'Visit Log'!$C$5:$C$404,"&gt;="&amp;RepFrom,'Visit Log'!$C$5:$C$404,"&lt;="&amp;RepTo,'Visit Log'!$AE$5:$AE$404,"Completed")/60,2))</f>
        <v>0</v>
      </c>
      <c r="AJ203" s="29">
        <f>IF(AG203="","",SUMIFS(Bookings!$AK$5:$AK$404,Bookings!$AL$5:$AL$404,AG203,Bookings!$I$5:$I$404,"&gt;="&amp;RepFrom,Bookings!$I$5:$I$404,"&lt;="&amp;RepTo,Bookings!$AM$5:$AM$404,"&lt;&gt;Cancelled"))</f>
        <v>0</v>
      </c>
      <c r="AK203" s="32">
        <f>IF(AG203="","",SUMIFS(Mileage!$M$5:$M$304,Mileage!$C$5:$C$304,AG203,Mileage!$B$5:$B$304,"&gt;="&amp;RepFrom,Mileage!$B$5:$B$304,"&lt;="&amp;RepTo))</f>
        <v>0</v>
      </c>
      <c r="AL203" s="28">
        <f>IF(Lists!$Q203="","",Lists!$Q203)</f>
        <v>0</v>
      </c>
      <c r="AM203" s="31">
        <f>IF(AL203="","",COUNTIFS(Bookings!$AV$5:$AV$404,AL203,Bookings!$I$5:$I$404,"&gt;="&amp;RepFrom,Bookings!$I$5:$I$404,"&lt;="&amp;RepTo))</f>
        <v>0</v>
      </c>
      <c r="AN203" s="28">
        <f>IF(Lists!$AF203="","",Lists!$AF203)</f>
        <v>0</v>
      </c>
      <c r="AO203" s="29">
        <f>IF(AN203="","",SUMIFS(Payments!$L$5:$L$304,Payments!$F$5:$F$304,AN203,Payments!$B$5:$B$304,"&gt;="&amp;RepFrom,Payments!$B$5:$B$304,"&lt;="&amp;RepTo))</f>
        <v>0</v>
      </c>
      <c r="AP203" s="28">
        <f>IF(Lists!$E203="","",Lists!$E203)</f>
        <v>0</v>
      </c>
      <c r="AQ203" s="31">
        <f>IF(AP203="","",COUNTIFS(Clients!$K$5:$K$254,AP203))</f>
        <v>0</v>
      </c>
      <c r="AR203" s="29">
        <f>IF(AP203="","",SUMIFS(Clients!$AE$5:$AE$254,Clients!$K$5:$K$254,AP203))</f>
        <v>0</v>
      </c>
    </row>
    <row r="204" spans="1:44">
      <c r="A204" s="28">
        <f>IF(Clients!$B$204="","",Clients!$B$204)</f>
        <v>0</v>
      </c>
      <c r="B204" s="29">
        <f>IF(A204="","",SUMIFS(Payments!$L$5:$L$304,Payments!$C$5:$C$304,A204,Payments!$B$5:$B$304,"&gt;="&amp;PeriodStart,Payments!$B$5:$B$304,"&lt;="&amp;PeriodEnd))</f>
        <v>0</v>
      </c>
      <c r="C204" s="51">
        <f>IF(A204="","",IF(B204&lt;=0,"",B204+ROW()/1000000))</f>
        <v>0</v>
      </c>
      <c r="D204" s="29">
        <f>IF(A204="","",SUMIFS(Payments!$L$5:$L$304,Payments!$C$5:$C$304,A204,Payments!$B$5:$B$304,"&gt;="&amp;RepFrom,Payments!$B$5:$B$304,"&lt;="&amp;RepTo))</f>
        <v>0</v>
      </c>
      <c r="E204" s="51">
        <f>IF(A204="","",IF(D204&lt;=0,"",D204+ROW()/1000000))</f>
        <v>0</v>
      </c>
      <c r="F204" s="29">
        <f>IF(A204="","",SUMIFS(Invoices!$S$5:$S$304,Invoices!$D$5:$D$304,A204,Invoices!$T$5:$T$304,"&lt;&gt;Cancelled"))</f>
        <v>0</v>
      </c>
      <c r="G204" s="51">
        <f>IF(A204="","",IF(F204&lt;=0.004,"",F204+ROW()/1000000))</f>
        <v>0</v>
      </c>
      <c r="H204" s="31">
        <f>IF(A204="","",COUNTIFS(Bookings!$C$5:$C$404,A204,Bookings!$I$5:$I$404,"&gt;="&amp;RepFrom,Bookings!$I$5:$I$404,"&lt;="&amp;RepTo,Bookings!$AM$5:$AM$404,"&lt;&gt;Cancelled"))</f>
        <v>0</v>
      </c>
      <c r="I204" s="28">
        <f>IF(Services!$B$204="","",Services!$B$204)</f>
        <v>0</v>
      </c>
      <c r="J204" s="29">
        <f>IF(I204="","",SUMIFS(Bookings!$AK$5:$AK$404,Bookings!$H$5:$H$404,I204,Bookings!$I$5:$I$404,"&gt;="&amp;PeriodStart,Bookings!$I$5:$I$404,"&lt;="&amp;PeriodEnd,Bookings!$AM$5:$AM$404,"&lt;&gt;Cancelled"))</f>
        <v>0</v>
      </c>
      <c r="K204" s="31">
        <f>IF(I204="","",COUNTIFS(Bookings!$H$5:$H$404,I204,Bookings!$I$5:$I$404,"&gt;="&amp;PeriodStart,Bookings!$I$5:$I$404,"&lt;="&amp;PeriodEnd,Bookings!$AM$5:$AM$404,"&lt;&gt;Cancelled"))</f>
        <v>0</v>
      </c>
      <c r="L204" s="29">
        <f>IF(I204="","",SUMIFS(Bookings!$AK$5:$AK$404,Bookings!$H$5:$H$404,I204,Bookings!$I$5:$I$404,"&gt;="&amp;RepFrom,Bookings!$I$5:$I$404,"&lt;="&amp;RepTo,Bookings!$AM$5:$AM$404,"&lt;&gt;Cancelled"))</f>
        <v>0</v>
      </c>
      <c r="M204" s="31">
        <f>IF(I204="","",COUNTIFS(Bookings!$H$5:$H$404,I204,Bookings!$I$5:$I$404,"&gt;="&amp;RepFrom,Bookings!$I$5:$I$404,"&lt;="&amp;RepTo,Bookings!$AM$5:$AM$404,"&lt;&gt;Cancelled"))</f>
        <v>0</v>
      </c>
      <c r="N204" s="29">
        <f>IF(I204="","",M204*IF(Services!$L$204="",0,Services!$L$204))</f>
        <v>0</v>
      </c>
      <c r="O204" s="29">
        <f>IF(I204="","",L204-N204)</f>
        <v>0</v>
      </c>
      <c r="P204" s="28">
        <f>IF(Lists!$AG204="","",Lists!$AG204)</f>
        <v>0</v>
      </c>
      <c r="Q204" s="29">
        <f>IF(P204="","",SUMIFS(Expenses!$F$5:$F$304,Expenses!$C$5:$C$304,P204,Expenses!$B$5:$B$304,"&gt;="&amp;PeriodStart,Expenses!$B$5:$B$304,"&lt;="&amp;PeriodEnd,Expenses!$J$5:$J$304,"&lt;&gt;Personal"))</f>
        <v>0</v>
      </c>
      <c r="R204" s="29">
        <f>IF(P204="","",SUMIFS(Expenses!$F$5:$F$304,Expenses!$C$5:$C$304,P204,Expenses!$B$5:$B$304,"&gt;="&amp;RepFrom,Expenses!$B$5:$B$304,"&lt;="&amp;RepTo,Expenses!$J$5:$J$304,"&lt;&gt;Personal"))</f>
        <v>0</v>
      </c>
      <c r="S204" s="21">
        <f>IF(ROW()-4&gt;12,"",DATE(Dash_Year,ROW()-4,1))</f>
        <v>0</v>
      </c>
      <c r="T204" s="21">
        <f>IF(S204="","",EOMONTH(S204,0))</f>
        <v>0</v>
      </c>
      <c r="U204" s="28">
        <f>IF(S204="","",TEXT(S204,"mmm"))</f>
        <v>0</v>
      </c>
      <c r="V204" s="29">
        <f>IF(S204="","",SUMIFS(Payments!$L$5:$L$304,Payments!$B$5:$B$304,"&gt;="&amp;S204,Payments!$B$5:$B$304,"&lt;="&amp;T204))</f>
        <v>0</v>
      </c>
      <c r="W204" s="29">
        <f>IF(S204="","",SUMIFS(Invoices!$O$5:$O$304,Invoices!$B$5:$B$304,"&gt;="&amp;S204,Invoices!$B$5:$B$304,"&lt;="&amp;T204,Invoices!$T$5:$T$304,"&lt;&gt;Cancelled"))</f>
        <v>0</v>
      </c>
      <c r="X204" s="29">
        <f>IF(S204="","",SUMIFS(Expenses!$F$5:$F$304,Expenses!$B$5:$B$304,"&gt;="&amp;S204,Expenses!$B$5:$B$304,"&lt;="&amp;T204,Expenses!$J$5:$J$304,"&lt;&gt;Personal"))</f>
        <v>0</v>
      </c>
      <c r="Y204" s="29">
        <f>IF(S204="","",V204-X204)</f>
        <v>0</v>
      </c>
      <c r="Z204" s="31">
        <f>IF(S204="","",COUNTIFS(Bookings!$I$5:$I$404,"&gt;="&amp;S204,Bookings!$I$5:$I$404,"&lt;="&amp;T204,Bookings!$AM$5:$AM$404,"&lt;&gt;Cancelled"))</f>
        <v>0</v>
      </c>
      <c r="AA204" s="31">
        <f>IF(S204="","",COUNTIFS(Bookings!$I$5:$I$404,"&gt;="&amp;S204,Bookings!$I$5:$I$404,"&lt;="&amp;T204,Bookings!$AM$5:$AM$404,"Completed"))</f>
        <v>0</v>
      </c>
      <c r="AB204" s="31">
        <f>IF(S204="","",COUNTIFS(Bookings!$I$5:$I$404,"&gt;="&amp;S204,Bookings!$I$5:$I$404,"&lt;="&amp;T204,Bookings!$AM$5:$AM$404,"Cancelled"))</f>
        <v>0</v>
      </c>
      <c r="AC204" s="31">
        <f>IF(S204="","",COUNTIFS('Visit Log'!$C$5:$C$404,"&gt;="&amp;S204,'Visit Log'!$C$5:$C$404,"&lt;="&amp;T204,'Visit Log'!$AE$5:$AE$404,"Completed"))</f>
        <v>0</v>
      </c>
      <c r="AD204" s="31">
        <f>IF(S204="","",COUNTIFS(Clients!$L$5:$L$254,"&gt;="&amp;S204,Clients!$L$5:$L$254,"&lt;="&amp;T204))</f>
        <v>0</v>
      </c>
      <c r="AE204" s="32">
        <f>IF(S204="","",SUMIFS(Mileage!$M$5:$M$304,Mileage!$B$5:$B$304,"&gt;="&amp;S204,Mileage!$B$5:$B$304,"&lt;="&amp;T204,Mileage!$N$5:$N$304,"Business"))</f>
        <v>0</v>
      </c>
      <c r="AF204" s="29">
        <f>IF(S204="","",SUMIFS(Payments!$L$5:$L$304,Payments!$B$5:$B$304,"&gt;="&amp;DATE(Dash_Year-1,ROW()-4,1),Payments!$B$5:$B$304,"&lt;="&amp;EOMONTH(DATE(Dash_Year-1,ROW()-4,1),0)))</f>
        <v>0</v>
      </c>
      <c r="AG204" s="28">
        <f>IF(Staff!$B$204="","",Staff!$B$204)</f>
        <v>0</v>
      </c>
      <c r="AH204" s="31">
        <f>IF(AG204="","",COUNTIFS('Visit Log'!$G$5:$G$404,AG204,'Visit Log'!$C$5:$C$404,"&gt;="&amp;RepFrom,'Visit Log'!$C$5:$C$404,"&lt;="&amp;RepTo,'Visit Log'!$AE$5:$AE$404,"Completed"))</f>
        <v>0</v>
      </c>
      <c r="AI204" s="51">
        <f>IF(AG204="","",ROUND(SUMIFS('Visit Log'!$K$5:$K$404,'Visit Log'!$G$5:$G$404,AG204,'Visit Log'!$C$5:$C$404,"&gt;="&amp;RepFrom,'Visit Log'!$C$5:$C$404,"&lt;="&amp;RepTo,'Visit Log'!$AE$5:$AE$404,"Completed")/60,2))</f>
        <v>0</v>
      </c>
      <c r="AJ204" s="29">
        <f>IF(AG204="","",SUMIFS(Bookings!$AK$5:$AK$404,Bookings!$AL$5:$AL$404,AG204,Bookings!$I$5:$I$404,"&gt;="&amp;RepFrom,Bookings!$I$5:$I$404,"&lt;="&amp;RepTo,Bookings!$AM$5:$AM$404,"&lt;&gt;Cancelled"))</f>
        <v>0</v>
      </c>
      <c r="AK204" s="32">
        <f>IF(AG204="","",SUMIFS(Mileage!$M$5:$M$304,Mileage!$C$5:$C$304,AG204,Mileage!$B$5:$B$304,"&gt;="&amp;RepFrom,Mileage!$B$5:$B$304,"&lt;="&amp;RepTo))</f>
        <v>0</v>
      </c>
      <c r="AL204" s="28">
        <f>IF(Lists!$Q204="","",Lists!$Q204)</f>
        <v>0</v>
      </c>
      <c r="AM204" s="31">
        <f>IF(AL204="","",COUNTIFS(Bookings!$AV$5:$AV$404,AL204,Bookings!$I$5:$I$404,"&gt;="&amp;RepFrom,Bookings!$I$5:$I$404,"&lt;="&amp;RepTo))</f>
        <v>0</v>
      </c>
      <c r="AN204" s="28">
        <f>IF(Lists!$AF204="","",Lists!$AF204)</f>
        <v>0</v>
      </c>
      <c r="AO204" s="29">
        <f>IF(AN204="","",SUMIFS(Payments!$L$5:$L$304,Payments!$F$5:$F$304,AN204,Payments!$B$5:$B$304,"&gt;="&amp;RepFrom,Payments!$B$5:$B$304,"&lt;="&amp;RepTo))</f>
        <v>0</v>
      </c>
      <c r="AP204" s="28">
        <f>IF(Lists!$E204="","",Lists!$E204)</f>
        <v>0</v>
      </c>
      <c r="AQ204" s="31">
        <f>IF(AP204="","",COUNTIFS(Clients!$K$5:$K$254,AP204))</f>
        <v>0</v>
      </c>
      <c r="AR204" s="29">
        <f>IF(AP204="","",SUMIFS(Clients!$AE$5:$AE$254,Clients!$K$5:$K$254,AP204))</f>
        <v>0</v>
      </c>
    </row>
    <row r="205" spans="1:44">
      <c r="A205" s="28">
        <f>IF(Clients!$B$205="","",Clients!$B$205)</f>
        <v>0</v>
      </c>
      <c r="B205" s="29">
        <f>IF(A205="","",SUMIFS(Payments!$L$5:$L$304,Payments!$C$5:$C$304,A205,Payments!$B$5:$B$304,"&gt;="&amp;PeriodStart,Payments!$B$5:$B$304,"&lt;="&amp;PeriodEnd))</f>
        <v>0</v>
      </c>
      <c r="C205" s="51">
        <f>IF(A205="","",IF(B205&lt;=0,"",B205+ROW()/1000000))</f>
        <v>0</v>
      </c>
      <c r="D205" s="29">
        <f>IF(A205="","",SUMIFS(Payments!$L$5:$L$304,Payments!$C$5:$C$304,A205,Payments!$B$5:$B$304,"&gt;="&amp;RepFrom,Payments!$B$5:$B$304,"&lt;="&amp;RepTo))</f>
        <v>0</v>
      </c>
      <c r="E205" s="51">
        <f>IF(A205="","",IF(D205&lt;=0,"",D205+ROW()/1000000))</f>
        <v>0</v>
      </c>
      <c r="F205" s="29">
        <f>IF(A205="","",SUMIFS(Invoices!$S$5:$S$304,Invoices!$D$5:$D$304,A205,Invoices!$T$5:$T$304,"&lt;&gt;Cancelled"))</f>
        <v>0</v>
      </c>
      <c r="G205" s="51">
        <f>IF(A205="","",IF(F205&lt;=0.004,"",F205+ROW()/1000000))</f>
        <v>0</v>
      </c>
      <c r="H205" s="31">
        <f>IF(A205="","",COUNTIFS(Bookings!$C$5:$C$404,A205,Bookings!$I$5:$I$404,"&gt;="&amp;RepFrom,Bookings!$I$5:$I$404,"&lt;="&amp;RepTo,Bookings!$AM$5:$AM$404,"&lt;&gt;Cancelled"))</f>
        <v>0</v>
      </c>
      <c r="I205" s="28">
        <f>IF(Services!$B$205="","",Services!$B$205)</f>
        <v>0</v>
      </c>
      <c r="J205" s="29">
        <f>IF(I205="","",SUMIFS(Bookings!$AK$5:$AK$404,Bookings!$H$5:$H$404,I205,Bookings!$I$5:$I$404,"&gt;="&amp;PeriodStart,Bookings!$I$5:$I$404,"&lt;="&amp;PeriodEnd,Bookings!$AM$5:$AM$404,"&lt;&gt;Cancelled"))</f>
        <v>0</v>
      </c>
      <c r="K205" s="31">
        <f>IF(I205="","",COUNTIFS(Bookings!$H$5:$H$404,I205,Bookings!$I$5:$I$404,"&gt;="&amp;PeriodStart,Bookings!$I$5:$I$404,"&lt;="&amp;PeriodEnd,Bookings!$AM$5:$AM$404,"&lt;&gt;Cancelled"))</f>
        <v>0</v>
      </c>
      <c r="L205" s="29">
        <f>IF(I205="","",SUMIFS(Bookings!$AK$5:$AK$404,Bookings!$H$5:$H$404,I205,Bookings!$I$5:$I$404,"&gt;="&amp;RepFrom,Bookings!$I$5:$I$404,"&lt;="&amp;RepTo,Bookings!$AM$5:$AM$404,"&lt;&gt;Cancelled"))</f>
        <v>0</v>
      </c>
      <c r="M205" s="31">
        <f>IF(I205="","",COUNTIFS(Bookings!$H$5:$H$404,I205,Bookings!$I$5:$I$404,"&gt;="&amp;RepFrom,Bookings!$I$5:$I$404,"&lt;="&amp;RepTo,Bookings!$AM$5:$AM$404,"&lt;&gt;Cancelled"))</f>
        <v>0</v>
      </c>
      <c r="N205" s="29">
        <f>IF(I205="","",M205*IF(Services!$L$205="",0,Services!$L$205))</f>
        <v>0</v>
      </c>
      <c r="O205" s="29">
        <f>IF(I205="","",L205-N205)</f>
        <v>0</v>
      </c>
      <c r="P205" s="28">
        <f>IF(Lists!$AG205="","",Lists!$AG205)</f>
        <v>0</v>
      </c>
      <c r="Q205" s="29">
        <f>IF(P205="","",SUMIFS(Expenses!$F$5:$F$304,Expenses!$C$5:$C$304,P205,Expenses!$B$5:$B$304,"&gt;="&amp;PeriodStart,Expenses!$B$5:$B$304,"&lt;="&amp;PeriodEnd,Expenses!$J$5:$J$304,"&lt;&gt;Personal"))</f>
        <v>0</v>
      </c>
      <c r="R205" s="29">
        <f>IF(P205="","",SUMIFS(Expenses!$F$5:$F$304,Expenses!$C$5:$C$304,P205,Expenses!$B$5:$B$304,"&gt;="&amp;RepFrom,Expenses!$B$5:$B$304,"&lt;="&amp;RepTo,Expenses!$J$5:$J$304,"&lt;&gt;Personal"))</f>
        <v>0</v>
      </c>
      <c r="S205" s="21">
        <f>IF(ROW()-4&gt;12,"",DATE(Dash_Year,ROW()-4,1))</f>
        <v>0</v>
      </c>
      <c r="T205" s="21">
        <f>IF(S205="","",EOMONTH(S205,0))</f>
        <v>0</v>
      </c>
      <c r="U205" s="28">
        <f>IF(S205="","",TEXT(S205,"mmm"))</f>
        <v>0</v>
      </c>
      <c r="V205" s="29">
        <f>IF(S205="","",SUMIFS(Payments!$L$5:$L$304,Payments!$B$5:$B$304,"&gt;="&amp;S205,Payments!$B$5:$B$304,"&lt;="&amp;T205))</f>
        <v>0</v>
      </c>
      <c r="W205" s="29">
        <f>IF(S205="","",SUMIFS(Invoices!$O$5:$O$304,Invoices!$B$5:$B$304,"&gt;="&amp;S205,Invoices!$B$5:$B$304,"&lt;="&amp;T205,Invoices!$T$5:$T$304,"&lt;&gt;Cancelled"))</f>
        <v>0</v>
      </c>
      <c r="X205" s="29">
        <f>IF(S205="","",SUMIFS(Expenses!$F$5:$F$304,Expenses!$B$5:$B$304,"&gt;="&amp;S205,Expenses!$B$5:$B$304,"&lt;="&amp;T205,Expenses!$J$5:$J$304,"&lt;&gt;Personal"))</f>
        <v>0</v>
      </c>
      <c r="Y205" s="29">
        <f>IF(S205="","",V205-X205)</f>
        <v>0</v>
      </c>
      <c r="Z205" s="31">
        <f>IF(S205="","",COUNTIFS(Bookings!$I$5:$I$404,"&gt;="&amp;S205,Bookings!$I$5:$I$404,"&lt;="&amp;T205,Bookings!$AM$5:$AM$404,"&lt;&gt;Cancelled"))</f>
        <v>0</v>
      </c>
      <c r="AA205" s="31">
        <f>IF(S205="","",COUNTIFS(Bookings!$I$5:$I$404,"&gt;="&amp;S205,Bookings!$I$5:$I$404,"&lt;="&amp;T205,Bookings!$AM$5:$AM$404,"Completed"))</f>
        <v>0</v>
      </c>
      <c r="AB205" s="31">
        <f>IF(S205="","",COUNTIFS(Bookings!$I$5:$I$404,"&gt;="&amp;S205,Bookings!$I$5:$I$404,"&lt;="&amp;T205,Bookings!$AM$5:$AM$404,"Cancelled"))</f>
        <v>0</v>
      </c>
      <c r="AC205" s="31">
        <f>IF(S205="","",COUNTIFS('Visit Log'!$C$5:$C$404,"&gt;="&amp;S205,'Visit Log'!$C$5:$C$404,"&lt;="&amp;T205,'Visit Log'!$AE$5:$AE$404,"Completed"))</f>
        <v>0</v>
      </c>
      <c r="AD205" s="31">
        <f>IF(S205="","",COUNTIFS(Clients!$L$5:$L$254,"&gt;="&amp;S205,Clients!$L$5:$L$254,"&lt;="&amp;T205))</f>
        <v>0</v>
      </c>
      <c r="AE205" s="32">
        <f>IF(S205="","",SUMIFS(Mileage!$M$5:$M$304,Mileage!$B$5:$B$304,"&gt;="&amp;S205,Mileage!$B$5:$B$304,"&lt;="&amp;T205,Mileage!$N$5:$N$304,"Business"))</f>
        <v>0</v>
      </c>
      <c r="AF205" s="29">
        <f>IF(S205="","",SUMIFS(Payments!$L$5:$L$304,Payments!$B$5:$B$304,"&gt;="&amp;DATE(Dash_Year-1,ROW()-4,1),Payments!$B$5:$B$304,"&lt;="&amp;EOMONTH(DATE(Dash_Year-1,ROW()-4,1),0)))</f>
        <v>0</v>
      </c>
      <c r="AG205" s="28">
        <f>IF(Staff!$B$205="","",Staff!$B$205)</f>
        <v>0</v>
      </c>
      <c r="AH205" s="31">
        <f>IF(AG205="","",COUNTIFS('Visit Log'!$G$5:$G$404,AG205,'Visit Log'!$C$5:$C$404,"&gt;="&amp;RepFrom,'Visit Log'!$C$5:$C$404,"&lt;="&amp;RepTo,'Visit Log'!$AE$5:$AE$404,"Completed"))</f>
        <v>0</v>
      </c>
      <c r="AI205" s="51">
        <f>IF(AG205="","",ROUND(SUMIFS('Visit Log'!$K$5:$K$404,'Visit Log'!$G$5:$G$404,AG205,'Visit Log'!$C$5:$C$404,"&gt;="&amp;RepFrom,'Visit Log'!$C$5:$C$404,"&lt;="&amp;RepTo,'Visit Log'!$AE$5:$AE$404,"Completed")/60,2))</f>
        <v>0</v>
      </c>
      <c r="AJ205" s="29">
        <f>IF(AG205="","",SUMIFS(Bookings!$AK$5:$AK$404,Bookings!$AL$5:$AL$404,AG205,Bookings!$I$5:$I$404,"&gt;="&amp;RepFrom,Bookings!$I$5:$I$404,"&lt;="&amp;RepTo,Bookings!$AM$5:$AM$404,"&lt;&gt;Cancelled"))</f>
        <v>0</v>
      </c>
      <c r="AK205" s="32">
        <f>IF(AG205="","",SUMIFS(Mileage!$M$5:$M$304,Mileage!$C$5:$C$304,AG205,Mileage!$B$5:$B$304,"&gt;="&amp;RepFrom,Mileage!$B$5:$B$304,"&lt;="&amp;RepTo))</f>
        <v>0</v>
      </c>
      <c r="AL205" s="28">
        <f>IF(Lists!$Q205="","",Lists!$Q205)</f>
        <v>0</v>
      </c>
      <c r="AM205" s="31">
        <f>IF(AL205="","",COUNTIFS(Bookings!$AV$5:$AV$404,AL205,Bookings!$I$5:$I$404,"&gt;="&amp;RepFrom,Bookings!$I$5:$I$404,"&lt;="&amp;RepTo))</f>
        <v>0</v>
      </c>
      <c r="AN205" s="28">
        <f>IF(Lists!$AF205="","",Lists!$AF205)</f>
        <v>0</v>
      </c>
      <c r="AO205" s="29">
        <f>IF(AN205="","",SUMIFS(Payments!$L$5:$L$304,Payments!$F$5:$F$304,AN205,Payments!$B$5:$B$304,"&gt;="&amp;RepFrom,Payments!$B$5:$B$304,"&lt;="&amp;RepTo))</f>
        <v>0</v>
      </c>
      <c r="AP205" s="28">
        <f>IF(Lists!$E205="","",Lists!$E205)</f>
        <v>0</v>
      </c>
      <c r="AQ205" s="31">
        <f>IF(AP205="","",COUNTIFS(Clients!$K$5:$K$254,AP205))</f>
        <v>0</v>
      </c>
      <c r="AR205" s="29">
        <f>IF(AP205="","",SUMIFS(Clients!$AE$5:$AE$254,Clients!$K$5:$K$254,AP205))</f>
        <v>0</v>
      </c>
    </row>
    <row r="206" spans="1:44">
      <c r="A206" s="28">
        <f>IF(Clients!$B$206="","",Clients!$B$206)</f>
        <v>0</v>
      </c>
      <c r="B206" s="29">
        <f>IF(A206="","",SUMIFS(Payments!$L$5:$L$304,Payments!$C$5:$C$304,A206,Payments!$B$5:$B$304,"&gt;="&amp;PeriodStart,Payments!$B$5:$B$304,"&lt;="&amp;PeriodEnd))</f>
        <v>0</v>
      </c>
      <c r="C206" s="51">
        <f>IF(A206="","",IF(B206&lt;=0,"",B206+ROW()/1000000))</f>
        <v>0</v>
      </c>
      <c r="D206" s="29">
        <f>IF(A206="","",SUMIFS(Payments!$L$5:$L$304,Payments!$C$5:$C$304,A206,Payments!$B$5:$B$304,"&gt;="&amp;RepFrom,Payments!$B$5:$B$304,"&lt;="&amp;RepTo))</f>
        <v>0</v>
      </c>
      <c r="E206" s="51">
        <f>IF(A206="","",IF(D206&lt;=0,"",D206+ROW()/1000000))</f>
        <v>0</v>
      </c>
      <c r="F206" s="29">
        <f>IF(A206="","",SUMIFS(Invoices!$S$5:$S$304,Invoices!$D$5:$D$304,A206,Invoices!$T$5:$T$304,"&lt;&gt;Cancelled"))</f>
        <v>0</v>
      </c>
      <c r="G206" s="51">
        <f>IF(A206="","",IF(F206&lt;=0.004,"",F206+ROW()/1000000))</f>
        <v>0</v>
      </c>
      <c r="H206" s="31">
        <f>IF(A206="","",COUNTIFS(Bookings!$C$5:$C$404,A206,Bookings!$I$5:$I$404,"&gt;="&amp;RepFrom,Bookings!$I$5:$I$404,"&lt;="&amp;RepTo,Bookings!$AM$5:$AM$404,"&lt;&gt;Cancelled"))</f>
        <v>0</v>
      </c>
      <c r="I206" s="28">
        <f>IF(Services!$B$206="","",Services!$B$206)</f>
        <v>0</v>
      </c>
      <c r="J206" s="29">
        <f>IF(I206="","",SUMIFS(Bookings!$AK$5:$AK$404,Bookings!$H$5:$H$404,I206,Bookings!$I$5:$I$404,"&gt;="&amp;PeriodStart,Bookings!$I$5:$I$404,"&lt;="&amp;PeriodEnd,Bookings!$AM$5:$AM$404,"&lt;&gt;Cancelled"))</f>
        <v>0</v>
      </c>
      <c r="K206" s="31">
        <f>IF(I206="","",COUNTIFS(Bookings!$H$5:$H$404,I206,Bookings!$I$5:$I$404,"&gt;="&amp;PeriodStart,Bookings!$I$5:$I$404,"&lt;="&amp;PeriodEnd,Bookings!$AM$5:$AM$404,"&lt;&gt;Cancelled"))</f>
        <v>0</v>
      </c>
      <c r="L206" s="29">
        <f>IF(I206="","",SUMIFS(Bookings!$AK$5:$AK$404,Bookings!$H$5:$H$404,I206,Bookings!$I$5:$I$404,"&gt;="&amp;RepFrom,Bookings!$I$5:$I$404,"&lt;="&amp;RepTo,Bookings!$AM$5:$AM$404,"&lt;&gt;Cancelled"))</f>
        <v>0</v>
      </c>
      <c r="M206" s="31">
        <f>IF(I206="","",COUNTIFS(Bookings!$H$5:$H$404,I206,Bookings!$I$5:$I$404,"&gt;="&amp;RepFrom,Bookings!$I$5:$I$404,"&lt;="&amp;RepTo,Bookings!$AM$5:$AM$404,"&lt;&gt;Cancelled"))</f>
        <v>0</v>
      </c>
      <c r="N206" s="29">
        <f>IF(I206="","",M206*IF(Services!$L$206="",0,Services!$L$206))</f>
        <v>0</v>
      </c>
      <c r="O206" s="29">
        <f>IF(I206="","",L206-N206)</f>
        <v>0</v>
      </c>
      <c r="P206" s="28">
        <f>IF(Lists!$AG206="","",Lists!$AG206)</f>
        <v>0</v>
      </c>
      <c r="Q206" s="29">
        <f>IF(P206="","",SUMIFS(Expenses!$F$5:$F$304,Expenses!$C$5:$C$304,P206,Expenses!$B$5:$B$304,"&gt;="&amp;PeriodStart,Expenses!$B$5:$B$304,"&lt;="&amp;PeriodEnd,Expenses!$J$5:$J$304,"&lt;&gt;Personal"))</f>
        <v>0</v>
      </c>
      <c r="R206" s="29">
        <f>IF(P206="","",SUMIFS(Expenses!$F$5:$F$304,Expenses!$C$5:$C$304,P206,Expenses!$B$5:$B$304,"&gt;="&amp;RepFrom,Expenses!$B$5:$B$304,"&lt;="&amp;RepTo,Expenses!$J$5:$J$304,"&lt;&gt;Personal"))</f>
        <v>0</v>
      </c>
      <c r="S206" s="21">
        <f>IF(ROW()-4&gt;12,"",DATE(Dash_Year,ROW()-4,1))</f>
        <v>0</v>
      </c>
      <c r="T206" s="21">
        <f>IF(S206="","",EOMONTH(S206,0))</f>
        <v>0</v>
      </c>
      <c r="U206" s="28">
        <f>IF(S206="","",TEXT(S206,"mmm"))</f>
        <v>0</v>
      </c>
      <c r="V206" s="29">
        <f>IF(S206="","",SUMIFS(Payments!$L$5:$L$304,Payments!$B$5:$B$304,"&gt;="&amp;S206,Payments!$B$5:$B$304,"&lt;="&amp;T206))</f>
        <v>0</v>
      </c>
      <c r="W206" s="29">
        <f>IF(S206="","",SUMIFS(Invoices!$O$5:$O$304,Invoices!$B$5:$B$304,"&gt;="&amp;S206,Invoices!$B$5:$B$304,"&lt;="&amp;T206,Invoices!$T$5:$T$304,"&lt;&gt;Cancelled"))</f>
        <v>0</v>
      </c>
      <c r="X206" s="29">
        <f>IF(S206="","",SUMIFS(Expenses!$F$5:$F$304,Expenses!$B$5:$B$304,"&gt;="&amp;S206,Expenses!$B$5:$B$304,"&lt;="&amp;T206,Expenses!$J$5:$J$304,"&lt;&gt;Personal"))</f>
        <v>0</v>
      </c>
      <c r="Y206" s="29">
        <f>IF(S206="","",V206-X206)</f>
        <v>0</v>
      </c>
      <c r="Z206" s="31">
        <f>IF(S206="","",COUNTIFS(Bookings!$I$5:$I$404,"&gt;="&amp;S206,Bookings!$I$5:$I$404,"&lt;="&amp;T206,Bookings!$AM$5:$AM$404,"&lt;&gt;Cancelled"))</f>
        <v>0</v>
      </c>
      <c r="AA206" s="31">
        <f>IF(S206="","",COUNTIFS(Bookings!$I$5:$I$404,"&gt;="&amp;S206,Bookings!$I$5:$I$404,"&lt;="&amp;T206,Bookings!$AM$5:$AM$404,"Completed"))</f>
        <v>0</v>
      </c>
      <c r="AB206" s="31">
        <f>IF(S206="","",COUNTIFS(Bookings!$I$5:$I$404,"&gt;="&amp;S206,Bookings!$I$5:$I$404,"&lt;="&amp;T206,Bookings!$AM$5:$AM$404,"Cancelled"))</f>
        <v>0</v>
      </c>
      <c r="AC206" s="31">
        <f>IF(S206="","",COUNTIFS('Visit Log'!$C$5:$C$404,"&gt;="&amp;S206,'Visit Log'!$C$5:$C$404,"&lt;="&amp;T206,'Visit Log'!$AE$5:$AE$404,"Completed"))</f>
        <v>0</v>
      </c>
      <c r="AD206" s="31">
        <f>IF(S206="","",COUNTIFS(Clients!$L$5:$L$254,"&gt;="&amp;S206,Clients!$L$5:$L$254,"&lt;="&amp;T206))</f>
        <v>0</v>
      </c>
      <c r="AE206" s="32">
        <f>IF(S206="","",SUMIFS(Mileage!$M$5:$M$304,Mileage!$B$5:$B$304,"&gt;="&amp;S206,Mileage!$B$5:$B$304,"&lt;="&amp;T206,Mileage!$N$5:$N$304,"Business"))</f>
        <v>0</v>
      </c>
      <c r="AF206" s="29">
        <f>IF(S206="","",SUMIFS(Payments!$L$5:$L$304,Payments!$B$5:$B$304,"&gt;="&amp;DATE(Dash_Year-1,ROW()-4,1),Payments!$B$5:$B$304,"&lt;="&amp;EOMONTH(DATE(Dash_Year-1,ROW()-4,1),0)))</f>
        <v>0</v>
      </c>
      <c r="AG206" s="28">
        <f>IF(Staff!$B$206="","",Staff!$B$206)</f>
        <v>0</v>
      </c>
      <c r="AH206" s="31">
        <f>IF(AG206="","",COUNTIFS('Visit Log'!$G$5:$G$404,AG206,'Visit Log'!$C$5:$C$404,"&gt;="&amp;RepFrom,'Visit Log'!$C$5:$C$404,"&lt;="&amp;RepTo,'Visit Log'!$AE$5:$AE$404,"Completed"))</f>
        <v>0</v>
      </c>
      <c r="AI206" s="51">
        <f>IF(AG206="","",ROUND(SUMIFS('Visit Log'!$K$5:$K$404,'Visit Log'!$G$5:$G$404,AG206,'Visit Log'!$C$5:$C$404,"&gt;="&amp;RepFrom,'Visit Log'!$C$5:$C$404,"&lt;="&amp;RepTo,'Visit Log'!$AE$5:$AE$404,"Completed")/60,2))</f>
        <v>0</v>
      </c>
      <c r="AJ206" s="29">
        <f>IF(AG206="","",SUMIFS(Bookings!$AK$5:$AK$404,Bookings!$AL$5:$AL$404,AG206,Bookings!$I$5:$I$404,"&gt;="&amp;RepFrom,Bookings!$I$5:$I$404,"&lt;="&amp;RepTo,Bookings!$AM$5:$AM$404,"&lt;&gt;Cancelled"))</f>
        <v>0</v>
      </c>
      <c r="AK206" s="32">
        <f>IF(AG206="","",SUMIFS(Mileage!$M$5:$M$304,Mileage!$C$5:$C$304,AG206,Mileage!$B$5:$B$304,"&gt;="&amp;RepFrom,Mileage!$B$5:$B$304,"&lt;="&amp;RepTo))</f>
        <v>0</v>
      </c>
      <c r="AL206" s="28">
        <f>IF(Lists!$Q206="","",Lists!$Q206)</f>
        <v>0</v>
      </c>
      <c r="AM206" s="31">
        <f>IF(AL206="","",COUNTIFS(Bookings!$AV$5:$AV$404,AL206,Bookings!$I$5:$I$404,"&gt;="&amp;RepFrom,Bookings!$I$5:$I$404,"&lt;="&amp;RepTo))</f>
        <v>0</v>
      </c>
      <c r="AN206" s="28">
        <f>IF(Lists!$AF206="","",Lists!$AF206)</f>
        <v>0</v>
      </c>
      <c r="AO206" s="29">
        <f>IF(AN206="","",SUMIFS(Payments!$L$5:$L$304,Payments!$F$5:$F$304,AN206,Payments!$B$5:$B$304,"&gt;="&amp;RepFrom,Payments!$B$5:$B$304,"&lt;="&amp;RepTo))</f>
        <v>0</v>
      </c>
      <c r="AP206" s="28">
        <f>IF(Lists!$E206="","",Lists!$E206)</f>
        <v>0</v>
      </c>
      <c r="AQ206" s="31">
        <f>IF(AP206="","",COUNTIFS(Clients!$K$5:$K$254,AP206))</f>
        <v>0</v>
      </c>
      <c r="AR206" s="29">
        <f>IF(AP206="","",SUMIFS(Clients!$AE$5:$AE$254,Clients!$K$5:$K$254,AP206))</f>
        <v>0</v>
      </c>
    </row>
    <row r="207" spans="1:44">
      <c r="A207" s="28">
        <f>IF(Clients!$B$207="","",Clients!$B$207)</f>
        <v>0</v>
      </c>
      <c r="B207" s="29">
        <f>IF(A207="","",SUMIFS(Payments!$L$5:$L$304,Payments!$C$5:$C$304,A207,Payments!$B$5:$B$304,"&gt;="&amp;PeriodStart,Payments!$B$5:$B$304,"&lt;="&amp;PeriodEnd))</f>
        <v>0</v>
      </c>
      <c r="C207" s="51">
        <f>IF(A207="","",IF(B207&lt;=0,"",B207+ROW()/1000000))</f>
        <v>0</v>
      </c>
      <c r="D207" s="29">
        <f>IF(A207="","",SUMIFS(Payments!$L$5:$L$304,Payments!$C$5:$C$304,A207,Payments!$B$5:$B$304,"&gt;="&amp;RepFrom,Payments!$B$5:$B$304,"&lt;="&amp;RepTo))</f>
        <v>0</v>
      </c>
      <c r="E207" s="51">
        <f>IF(A207="","",IF(D207&lt;=0,"",D207+ROW()/1000000))</f>
        <v>0</v>
      </c>
      <c r="F207" s="29">
        <f>IF(A207="","",SUMIFS(Invoices!$S$5:$S$304,Invoices!$D$5:$D$304,A207,Invoices!$T$5:$T$304,"&lt;&gt;Cancelled"))</f>
        <v>0</v>
      </c>
      <c r="G207" s="51">
        <f>IF(A207="","",IF(F207&lt;=0.004,"",F207+ROW()/1000000))</f>
        <v>0</v>
      </c>
      <c r="H207" s="31">
        <f>IF(A207="","",COUNTIFS(Bookings!$C$5:$C$404,A207,Bookings!$I$5:$I$404,"&gt;="&amp;RepFrom,Bookings!$I$5:$I$404,"&lt;="&amp;RepTo,Bookings!$AM$5:$AM$404,"&lt;&gt;Cancelled"))</f>
        <v>0</v>
      </c>
      <c r="I207" s="28">
        <f>IF(Services!$B$207="","",Services!$B$207)</f>
        <v>0</v>
      </c>
      <c r="J207" s="29">
        <f>IF(I207="","",SUMIFS(Bookings!$AK$5:$AK$404,Bookings!$H$5:$H$404,I207,Bookings!$I$5:$I$404,"&gt;="&amp;PeriodStart,Bookings!$I$5:$I$404,"&lt;="&amp;PeriodEnd,Bookings!$AM$5:$AM$404,"&lt;&gt;Cancelled"))</f>
        <v>0</v>
      </c>
      <c r="K207" s="31">
        <f>IF(I207="","",COUNTIFS(Bookings!$H$5:$H$404,I207,Bookings!$I$5:$I$404,"&gt;="&amp;PeriodStart,Bookings!$I$5:$I$404,"&lt;="&amp;PeriodEnd,Bookings!$AM$5:$AM$404,"&lt;&gt;Cancelled"))</f>
        <v>0</v>
      </c>
      <c r="L207" s="29">
        <f>IF(I207="","",SUMIFS(Bookings!$AK$5:$AK$404,Bookings!$H$5:$H$404,I207,Bookings!$I$5:$I$404,"&gt;="&amp;RepFrom,Bookings!$I$5:$I$404,"&lt;="&amp;RepTo,Bookings!$AM$5:$AM$404,"&lt;&gt;Cancelled"))</f>
        <v>0</v>
      </c>
      <c r="M207" s="31">
        <f>IF(I207="","",COUNTIFS(Bookings!$H$5:$H$404,I207,Bookings!$I$5:$I$404,"&gt;="&amp;RepFrom,Bookings!$I$5:$I$404,"&lt;="&amp;RepTo,Bookings!$AM$5:$AM$404,"&lt;&gt;Cancelled"))</f>
        <v>0</v>
      </c>
      <c r="N207" s="29">
        <f>IF(I207="","",M207*IF(Services!$L$207="",0,Services!$L$207))</f>
        <v>0</v>
      </c>
      <c r="O207" s="29">
        <f>IF(I207="","",L207-N207)</f>
        <v>0</v>
      </c>
      <c r="P207" s="28">
        <f>IF(Lists!$AG207="","",Lists!$AG207)</f>
        <v>0</v>
      </c>
      <c r="Q207" s="29">
        <f>IF(P207="","",SUMIFS(Expenses!$F$5:$F$304,Expenses!$C$5:$C$304,P207,Expenses!$B$5:$B$304,"&gt;="&amp;PeriodStart,Expenses!$B$5:$B$304,"&lt;="&amp;PeriodEnd,Expenses!$J$5:$J$304,"&lt;&gt;Personal"))</f>
        <v>0</v>
      </c>
      <c r="R207" s="29">
        <f>IF(P207="","",SUMIFS(Expenses!$F$5:$F$304,Expenses!$C$5:$C$304,P207,Expenses!$B$5:$B$304,"&gt;="&amp;RepFrom,Expenses!$B$5:$B$304,"&lt;="&amp;RepTo,Expenses!$J$5:$J$304,"&lt;&gt;Personal"))</f>
        <v>0</v>
      </c>
      <c r="S207" s="21">
        <f>IF(ROW()-4&gt;12,"",DATE(Dash_Year,ROW()-4,1))</f>
        <v>0</v>
      </c>
      <c r="T207" s="21">
        <f>IF(S207="","",EOMONTH(S207,0))</f>
        <v>0</v>
      </c>
      <c r="U207" s="28">
        <f>IF(S207="","",TEXT(S207,"mmm"))</f>
        <v>0</v>
      </c>
      <c r="V207" s="29">
        <f>IF(S207="","",SUMIFS(Payments!$L$5:$L$304,Payments!$B$5:$B$304,"&gt;="&amp;S207,Payments!$B$5:$B$304,"&lt;="&amp;T207))</f>
        <v>0</v>
      </c>
      <c r="W207" s="29">
        <f>IF(S207="","",SUMIFS(Invoices!$O$5:$O$304,Invoices!$B$5:$B$304,"&gt;="&amp;S207,Invoices!$B$5:$B$304,"&lt;="&amp;T207,Invoices!$T$5:$T$304,"&lt;&gt;Cancelled"))</f>
        <v>0</v>
      </c>
      <c r="X207" s="29">
        <f>IF(S207="","",SUMIFS(Expenses!$F$5:$F$304,Expenses!$B$5:$B$304,"&gt;="&amp;S207,Expenses!$B$5:$B$304,"&lt;="&amp;T207,Expenses!$J$5:$J$304,"&lt;&gt;Personal"))</f>
        <v>0</v>
      </c>
      <c r="Y207" s="29">
        <f>IF(S207="","",V207-X207)</f>
        <v>0</v>
      </c>
      <c r="Z207" s="31">
        <f>IF(S207="","",COUNTIFS(Bookings!$I$5:$I$404,"&gt;="&amp;S207,Bookings!$I$5:$I$404,"&lt;="&amp;T207,Bookings!$AM$5:$AM$404,"&lt;&gt;Cancelled"))</f>
        <v>0</v>
      </c>
      <c r="AA207" s="31">
        <f>IF(S207="","",COUNTIFS(Bookings!$I$5:$I$404,"&gt;="&amp;S207,Bookings!$I$5:$I$404,"&lt;="&amp;T207,Bookings!$AM$5:$AM$404,"Completed"))</f>
        <v>0</v>
      </c>
      <c r="AB207" s="31">
        <f>IF(S207="","",COUNTIFS(Bookings!$I$5:$I$404,"&gt;="&amp;S207,Bookings!$I$5:$I$404,"&lt;="&amp;T207,Bookings!$AM$5:$AM$404,"Cancelled"))</f>
        <v>0</v>
      </c>
      <c r="AC207" s="31">
        <f>IF(S207="","",COUNTIFS('Visit Log'!$C$5:$C$404,"&gt;="&amp;S207,'Visit Log'!$C$5:$C$404,"&lt;="&amp;T207,'Visit Log'!$AE$5:$AE$404,"Completed"))</f>
        <v>0</v>
      </c>
      <c r="AD207" s="31">
        <f>IF(S207="","",COUNTIFS(Clients!$L$5:$L$254,"&gt;="&amp;S207,Clients!$L$5:$L$254,"&lt;="&amp;T207))</f>
        <v>0</v>
      </c>
      <c r="AE207" s="32">
        <f>IF(S207="","",SUMIFS(Mileage!$M$5:$M$304,Mileage!$B$5:$B$304,"&gt;="&amp;S207,Mileage!$B$5:$B$304,"&lt;="&amp;T207,Mileage!$N$5:$N$304,"Business"))</f>
        <v>0</v>
      </c>
      <c r="AF207" s="29">
        <f>IF(S207="","",SUMIFS(Payments!$L$5:$L$304,Payments!$B$5:$B$304,"&gt;="&amp;DATE(Dash_Year-1,ROW()-4,1),Payments!$B$5:$B$304,"&lt;="&amp;EOMONTH(DATE(Dash_Year-1,ROW()-4,1),0)))</f>
        <v>0</v>
      </c>
      <c r="AG207" s="28">
        <f>IF(Staff!$B$207="","",Staff!$B$207)</f>
        <v>0</v>
      </c>
      <c r="AH207" s="31">
        <f>IF(AG207="","",COUNTIFS('Visit Log'!$G$5:$G$404,AG207,'Visit Log'!$C$5:$C$404,"&gt;="&amp;RepFrom,'Visit Log'!$C$5:$C$404,"&lt;="&amp;RepTo,'Visit Log'!$AE$5:$AE$404,"Completed"))</f>
        <v>0</v>
      </c>
      <c r="AI207" s="51">
        <f>IF(AG207="","",ROUND(SUMIFS('Visit Log'!$K$5:$K$404,'Visit Log'!$G$5:$G$404,AG207,'Visit Log'!$C$5:$C$404,"&gt;="&amp;RepFrom,'Visit Log'!$C$5:$C$404,"&lt;="&amp;RepTo,'Visit Log'!$AE$5:$AE$404,"Completed")/60,2))</f>
        <v>0</v>
      </c>
      <c r="AJ207" s="29">
        <f>IF(AG207="","",SUMIFS(Bookings!$AK$5:$AK$404,Bookings!$AL$5:$AL$404,AG207,Bookings!$I$5:$I$404,"&gt;="&amp;RepFrom,Bookings!$I$5:$I$404,"&lt;="&amp;RepTo,Bookings!$AM$5:$AM$404,"&lt;&gt;Cancelled"))</f>
        <v>0</v>
      </c>
      <c r="AK207" s="32">
        <f>IF(AG207="","",SUMIFS(Mileage!$M$5:$M$304,Mileage!$C$5:$C$304,AG207,Mileage!$B$5:$B$304,"&gt;="&amp;RepFrom,Mileage!$B$5:$B$304,"&lt;="&amp;RepTo))</f>
        <v>0</v>
      </c>
      <c r="AL207" s="28">
        <f>IF(Lists!$Q207="","",Lists!$Q207)</f>
        <v>0</v>
      </c>
      <c r="AM207" s="31">
        <f>IF(AL207="","",COUNTIFS(Bookings!$AV$5:$AV$404,AL207,Bookings!$I$5:$I$404,"&gt;="&amp;RepFrom,Bookings!$I$5:$I$404,"&lt;="&amp;RepTo))</f>
        <v>0</v>
      </c>
      <c r="AN207" s="28">
        <f>IF(Lists!$AF207="","",Lists!$AF207)</f>
        <v>0</v>
      </c>
      <c r="AO207" s="29">
        <f>IF(AN207="","",SUMIFS(Payments!$L$5:$L$304,Payments!$F$5:$F$304,AN207,Payments!$B$5:$B$304,"&gt;="&amp;RepFrom,Payments!$B$5:$B$304,"&lt;="&amp;RepTo))</f>
        <v>0</v>
      </c>
      <c r="AP207" s="28">
        <f>IF(Lists!$E207="","",Lists!$E207)</f>
        <v>0</v>
      </c>
      <c r="AQ207" s="31">
        <f>IF(AP207="","",COUNTIFS(Clients!$K$5:$K$254,AP207))</f>
        <v>0</v>
      </c>
      <c r="AR207" s="29">
        <f>IF(AP207="","",SUMIFS(Clients!$AE$5:$AE$254,Clients!$K$5:$K$254,AP207))</f>
        <v>0</v>
      </c>
    </row>
    <row r="208" spans="1:44">
      <c r="A208" s="28">
        <f>IF(Clients!$B$208="","",Clients!$B$208)</f>
        <v>0</v>
      </c>
      <c r="B208" s="29">
        <f>IF(A208="","",SUMIFS(Payments!$L$5:$L$304,Payments!$C$5:$C$304,A208,Payments!$B$5:$B$304,"&gt;="&amp;PeriodStart,Payments!$B$5:$B$304,"&lt;="&amp;PeriodEnd))</f>
        <v>0</v>
      </c>
      <c r="C208" s="51">
        <f>IF(A208="","",IF(B208&lt;=0,"",B208+ROW()/1000000))</f>
        <v>0</v>
      </c>
      <c r="D208" s="29">
        <f>IF(A208="","",SUMIFS(Payments!$L$5:$L$304,Payments!$C$5:$C$304,A208,Payments!$B$5:$B$304,"&gt;="&amp;RepFrom,Payments!$B$5:$B$304,"&lt;="&amp;RepTo))</f>
        <v>0</v>
      </c>
      <c r="E208" s="51">
        <f>IF(A208="","",IF(D208&lt;=0,"",D208+ROW()/1000000))</f>
        <v>0</v>
      </c>
      <c r="F208" s="29">
        <f>IF(A208="","",SUMIFS(Invoices!$S$5:$S$304,Invoices!$D$5:$D$304,A208,Invoices!$T$5:$T$304,"&lt;&gt;Cancelled"))</f>
        <v>0</v>
      </c>
      <c r="G208" s="51">
        <f>IF(A208="","",IF(F208&lt;=0.004,"",F208+ROW()/1000000))</f>
        <v>0</v>
      </c>
      <c r="H208" s="31">
        <f>IF(A208="","",COUNTIFS(Bookings!$C$5:$C$404,A208,Bookings!$I$5:$I$404,"&gt;="&amp;RepFrom,Bookings!$I$5:$I$404,"&lt;="&amp;RepTo,Bookings!$AM$5:$AM$404,"&lt;&gt;Cancelled"))</f>
        <v>0</v>
      </c>
      <c r="I208" s="28">
        <f>IF(Services!$B$208="","",Services!$B$208)</f>
        <v>0</v>
      </c>
      <c r="J208" s="29">
        <f>IF(I208="","",SUMIFS(Bookings!$AK$5:$AK$404,Bookings!$H$5:$H$404,I208,Bookings!$I$5:$I$404,"&gt;="&amp;PeriodStart,Bookings!$I$5:$I$404,"&lt;="&amp;PeriodEnd,Bookings!$AM$5:$AM$404,"&lt;&gt;Cancelled"))</f>
        <v>0</v>
      </c>
      <c r="K208" s="31">
        <f>IF(I208="","",COUNTIFS(Bookings!$H$5:$H$404,I208,Bookings!$I$5:$I$404,"&gt;="&amp;PeriodStart,Bookings!$I$5:$I$404,"&lt;="&amp;PeriodEnd,Bookings!$AM$5:$AM$404,"&lt;&gt;Cancelled"))</f>
        <v>0</v>
      </c>
      <c r="L208" s="29">
        <f>IF(I208="","",SUMIFS(Bookings!$AK$5:$AK$404,Bookings!$H$5:$H$404,I208,Bookings!$I$5:$I$404,"&gt;="&amp;RepFrom,Bookings!$I$5:$I$404,"&lt;="&amp;RepTo,Bookings!$AM$5:$AM$404,"&lt;&gt;Cancelled"))</f>
        <v>0</v>
      </c>
      <c r="M208" s="31">
        <f>IF(I208="","",COUNTIFS(Bookings!$H$5:$H$404,I208,Bookings!$I$5:$I$404,"&gt;="&amp;RepFrom,Bookings!$I$5:$I$404,"&lt;="&amp;RepTo,Bookings!$AM$5:$AM$404,"&lt;&gt;Cancelled"))</f>
        <v>0</v>
      </c>
      <c r="N208" s="29">
        <f>IF(I208="","",M208*IF(Services!$L$208="",0,Services!$L$208))</f>
        <v>0</v>
      </c>
      <c r="O208" s="29">
        <f>IF(I208="","",L208-N208)</f>
        <v>0</v>
      </c>
      <c r="P208" s="28">
        <f>IF(Lists!$AG208="","",Lists!$AG208)</f>
        <v>0</v>
      </c>
      <c r="Q208" s="29">
        <f>IF(P208="","",SUMIFS(Expenses!$F$5:$F$304,Expenses!$C$5:$C$304,P208,Expenses!$B$5:$B$304,"&gt;="&amp;PeriodStart,Expenses!$B$5:$B$304,"&lt;="&amp;PeriodEnd,Expenses!$J$5:$J$304,"&lt;&gt;Personal"))</f>
        <v>0</v>
      </c>
      <c r="R208" s="29">
        <f>IF(P208="","",SUMIFS(Expenses!$F$5:$F$304,Expenses!$C$5:$C$304,P208,Expenses!$B$5:$B$304,"&gt;="&amp;RepFrom,Expenses!$B$5:$B$304,"&lt;="&amp;RepTo,Expenses!$J$5:$J$304,"&lt;&gt;Personal"))</f>
        <v>0</v>
      </c>
      <c r="S208" s="21">
        <f>IF(ROW()-4&gt;12,"",DATE(Dash_Year,ROW()-4,1))</f>
        <v>0</v>
      </c>
      <c r="T208" s="21">
        <f>IF(S208="","",EOMONTH(S208,0))</f>
        <v>0</v>
      </c>
      <c r="U208" s="28">
        <f>IF(S208="","",TEXT(S208,"mmm"))</f>
        <v>0</v>
      </c>
      <c r="V208" s="29">
        <f>IF(S208="","",SUMIFS(Payments!$L$5:$L$304,Payments!$B$5:$B$304,"&gt;="&amp;S208,Payments!$B$5:$B$304,"&lt;="&amp;T208))</f>
        <v>0</v>
      </c>
      <c r="W208" s="29">
        <f>IF(S208="","",SUMIFS(Invoices!$O$5:$O$304,Invoices!$B$5:$B$304,"&gt;="&amp;S208,Invoices!$B$5:$B$304,"&lt;="&amp;T208,Invoices!$T$5:$T$304,"&lt;&gt;Cancelled"))</f>
        <v>0</v>
      </c>
      <c r="X208" s="29">
        <f>IF(S208="","",SUMIFS(Expenses!$F$5:$F$304,Expenses!$B$5:$B$304,"&gt;="&amp;S208,Expenses!$B$5:$B$304,"&lt;="&amp;T208,Expenses!$J$5:$J$304,"&lt;&gt;Personal"))</f>
        <v>0</v>
      </c>
      <c r="Y208" s="29">
        <f>IF(S208="","",V208-X208)</f>
        <v>0</v>
      </c>
      <c r="Z208" s="31">
        <f>IF(S208="","",COUNTIFS(Bookings!$I$5:$I$404,"&gt;="&amp;S208,Bookings!$I$5:$I$404,"&lt;="&amp;T208,Bookings!$AM$5:$AM$404,"&lt;&gt;Cancelled"))</f>
        <v>0</v>
      </c>
      <c r="AA208" s="31">
        <f>IF(S208="","",COUNTIFS(Bookings!$I$5:$I$404,"&gt;="&amp;S208,Bookings!$I$5:$I$404,"&lt;="&amp;T208,Bookings!$AM$5:$AM$404,"Completed"))</f>
        <v>0</v>
      </c>
      <c r="AB208" s="31">
        <f>IF(S208="","",COUNTIFS(Bookings!$I$5:$I$404,"&gt;="&amp;S208,Bookings!$I$5:$I$404,"&lt;="&amp;T208,Bookings!$AM$5:$AM$404,"Cancelled"))</f>
        <v>0</v>
      </c>
      <c r="AC208" s="31">
        <f>IF(S208="","",COUNTIFS('Visit Log'!$C$5:$C$404,"&gt;="&amp;S208,'Visit Log'!$C$5:$C$404,"&lt;="&amp;T208,'Visit Log'!$AE$5:$AE$404,"Completed"))</f>
        <v>0</v>
      </c>
      <c r="AD208" s="31">
        <f>IF(S208="","",COUNTIFS(Clients!$L$5:$L$254,"&gt;="&amp;S208,Clients!$L$5:$L$254,"&lt;="&amp;T208))</f>
        <v>0</v>
      </c>
      <c r="AE208" s="32">
        <f>IF(S208="","",SUMIFS(Mileage!$M$5:$M$304,Mileage!$B$5:$B$304,"&gt;="&amp;S208,Mileage!$B$5:$B$304,"&lt;="&amp;T208,Mileage!$N$5:$N$304,"Business"))</f>
        <v>0</v>
      </c>
      <c r="AF208" s="29">
        <f>IF(S208="","",SUMIFS(Payments!$L$5:$L$304,Payments!$B$5:$B$304,"&gt;="&amp;DATE(Dash_Year-1,ROW()-4,1),Payments!$B$5:$B$304,"&lt;="&amp;EOMONTH(DATE(Dash_Year-1,ROW()-4,1),0)))</f>
        <v>0</v>
      </c>
      <c r="AG208" s="28">
        <f>IF(Staff!$B$208="","",Staff!$B$208)</f>
        <v>0</v>
      </c>
      <c r="AH208" s="31">
        <f>IF(AG208="","",COUNTIFS('Visit Log'!$G$5:$G$404,AG208,'Visit Log'!$C$5:$C$404,"&gt;="&amp;RepFrom,'Visit Log'!$C$5:$C$404,"&lt;="&amp;RepTo,'Visit Log'!$AE$5:$AE$404,"Completed"))</f>
        <v>0</v>
      </c>
      <c r="AI208" s="51">
        <f>IF(AG208="","",ROUND(SUMIFS('Visit Log'!$K$5:$K$404,'Visit Log'!$G$5:$G$404,AG208,'Visit Log'!$C$5:$C$404,"&gt;="&amp;RepFrom,'Visit Log'!$C$5:$C$404,"&lt;="&amp;RepTo,'Visit Log'!$AE$5:$AE$404,"Completed")/60,2))</f>
        <v>0</v>
      </c>
      <c r="AJ208" s="29">
        <f>IF(AG208="","",SUMIFS(Bookings!$AK$5:$AK$404,Bookings!$AL$5:$AL$404,AG208,Bookings!$I$5:$I$404,"&gt;="&amp;RepFrom,Bookings!$I$5:$I$404,"&lt;="&amp;RepTo,Bookings!$AM$5:$AM$404,"&lt;&gt;Cancelled"))</f>
        <v>0</v>
      </c>
      <c r="AK208" s="32">
        <f>IF(AG208="","",SUMIFS(Mileage!$M$5:$M$304,Mileage!$C$5:$C$304,AG208,Mileage!$B$5:$B$304,"&gt;="&amp;RepFrom,Mileage!$B$5:$B$304,"&lt;="&amp;RepTo))</f>
        <v>0</v>
      </c>
      <c r="AL208" s="28">
        <f>IF(Lists!$Q208="","",Lists!$Q208)</f>
        <v>0</v>
      </c>
      <c r="AM208" s="31">
        <f>IF(AL208="","",COUNTIFS(Bookings!$AV$5:$AV$404,AL208,Bookings!$I$5:$I$404,"&gt;="&amp;RepFrom,Bookings!$I$5:$I$404,"&lt;="&amp;RepTo))</f>
        <v>0</v>
      </c>
      <c r="AN208" s="28">
        <f>IF(Lists!$AF208="","",Lists!$AF208)</f>
        <v>0</v>
      </c>
      <c r="AO208" s="29">
        <f>IF(AN208="","",SUMIFS(Payments!$L$5:$L$304,Payments!$F$5:$F$304,AN208,Payments!$B$5:$B$304,"&gt;="&amp;RepFrom,Payments!$B$5:$B$304,"&lt;="&amp;RepTo))</f>
        <v>0</v>
      </c>
      <c r="AP208" s="28">
        <f>IF(Lists!$E208="","",Lists!$E208)</f>
        <v>0</v>
      </c>
      <c r="AQ208" s="31">
        <f>IF(AP208="","",COUNTIFS(Clients!$K$5:$K$254,AP208))</f>
        <v>0</v>
      </c>
      <c r="AR208" s="29">
        <f>IF(AP208="","",SUMIFS(Clients!$AE$5:$AE$254,Clients!$K$5:$K$254,AP208))</f>
        <v>0</v>
      </c>
    </row>
    <row r="209" spans="1:44">
      <c r="A209" s="28">
        <f>IF(Clients!$B$209="","",Clients!$B$209)</f>
        <v>0</v>
      </c>
      <c r="B209" s="29">
        <f>IF(A209="","",SUMIFS(Payments!$L$5:$L$304,Payments!$C$5:$C$304,A209,Payments!$B$5:$B$304,"&gt;="&amp;PeriodStart,Payments!$B$5:$B$304,"&lt;="&amp;PeriodEnd))</f>
        <v>0</v>
      </c>
      <c r="C209" s="51">
        <f>IF(A209="","",IF(B209&lt;=0,"",B209+ROW()/1000000))</f>
        <v>0</v>
      </c>
      <c r="D209" s="29">
        <f>IF(A209="","",SUMIFS(Payments!$L$5:$L$304,Payments!$C$5:$C$304,A209,Payments!$B$5:$B$304,"&gt;="&amp;RepFrom,Payments!$B$5:$B$304,"&lt;="&amp;RepTo))</f>
        <v>0</v>
      </c>
      <c r="E209" s="51">
        <f>IF(A209="","",IF(D209&lt;=0,"",D209+ROW()/1000000))</f>
        <v>0</v>
      </c>
      <c r="F209" s="29">
        <f>IF(A209="","",SUMIFS(Invoices!$S$5:$S$304,Invoices!$D$5:$D$304,A209,Invoices!$T$5:$T$304,"&lt;&gt;Cancelled"))</f>
        <v>0</v>
      </c>
      <c r="G209" s="51">
        <f>IF(A209="","",IF(F209&lt;=0.004,"",F209+ROW()/1000000))</f>
        <v>0</v>
      </c>
      <c r="H209" s="31">
        <f>IF(A209="","",COUNTIFS(Bookings!$C$5:$C$404,A209,Bookings!$I$5:$I$404,"&gt;="&amp;RepFrom,Bookings!$I$5:$I$404,"&lt;="&amp;RepTo,Bookings!$AM$5:$AM$404,"&lt;&gt;Cancelled"))</f>
        <v>0</v>
      </c>
      <c r="I209" s="28">
        <f>IF(Services!$B$209="","",Services!$B$209)</f>
        <v>0</v>
      </c>
      <c r="J209" s="29">
        <f>IF(I209="","",SUMIFS(Bookings!$AK$5:$AK$404,Bookings!$H$5:$H$404,I209,Bookings!$I$5:$I$404,"&gt;="&amp;PeriodStart,Bookings!$I$5:$I$404,"&lt;="&amp;PeriodEnd,Bookings!$AM$5:$AM$404,"&lt;&gt;Cancelled"))</f>
        <v>0</v>
      </c>
      <c r="K209" s="31">
        <f>IF(I209="","",COUNTIFS(Bookings!$H$5:$H$404,I209,Bookings!$I$5:$I$404,"&gt;="&amp;PeriodStart,Bookings!$I$5:$I$404,"&lt;="&amp;PeriodEnd,Bookings!$AM$5:$AM$404,"&lt;&gt;Cancelled"))</f>
        <v>0</v>
      </c>
      <c r="L209" s="29">
        <f>IF(I209="","",SUMIFS(Bookings!$AK$5:$AK$404,Bookings!$H$5:$H$404,I209,Bookings!$I$5:$I$404,"&gt;="&amp;RepFrom,Bookings!$I$5:$I$404,"&lt;="&amp;RepTo,Bookings!$AM$5:$AM$404,"&lt;&gt;Cancelled"))</f>
        <v>0</v>
      </c>
      <c r="M209" s="31">
        <f>IF(I209="","",COUNTIFS(Bookings!$H$5:$H$404,I209,Bookings!$I$5:$I$404,"&gt;="&amp;RepFrom,Bookings!$I$5:$I$404,"&lt;="&amp;RepTo,Bookings!$AM$5:$AM$404,"&lt;&gt;Cancelled"))</f>
        <v>0</v>
      </c>
      <c r="N209" s="29">
        <f>IF(I209="","",M209*IF(Services!$L$209="",0,Services!$L$209))</f>
        <v>0</v>
      </c>
      <c r="O209" s="29">
        <f>IF(I209="","",L209-N209)</f>
        <v>0</v>
      </c>
      <c r="P209" s="28">
        <f>IF(Lists!$AG209="","",Lists!$AG209)</f>
        <v>0</v>
      </c>
      <c r="Q209" s="29">
        <f>IF(P209="","",SUMIFS(Expenses!$F$5:$F$304,Expenses!$C$5:$C$304,P209,Expenses!$B$5:$B$304,"&gt;="&amp;PeriodStart,Expenses!$B$5:$B$304,"&lt;="&amp;PeriodEnd,Expenses!$J$5:$J$304,"&lt;&gt;Personal"))</f>
        <v>0</v>
      </c>
      <c r="R209" s="29">
        <f>IF(P209="","",SUMIFS(Expenses!$F$5:$F$304,Expenses!$C$5:$C$304,P209,Expenses!$B$5:$B$304,"&gt;="&amp;RepFrom,Expenses!$B$5:$B$304,"&lt;="&amp;RepTo,Expenses!$J$5:$J$304,"&lt;&gt;Personal"))</f>
        <v>0</v>
      </c>
      <c r="S209" s="21">
        <f>IF(ROW()-4&gt;12,"",DATE(Dash_Year,ROW()-4,1))</f>
        <v>0</v>
      </c>
      <c r="T209" s="21">
        <f>IF(S209="","",EOMONTH(S209,0))</f>
        <v>0</v>
      </c>
      <c r="U209" s="28">
        <f>IF(S209="","",TEXT(S209,"mmm"))</f>
        <v>0</v>
      </c>
      <c r="V209" s="29">
        <f>IF(S209="","",SUMIFS(Payments!$L$5:$L$304,Payments!$B$5:$B$304,"&gt;="&amp;S209,Payments!$B$5:$B$304,"&lt;="&amp;T209))</f>
        <v>0</v>
      </c>
      <c r="W209" s="29">
        <f>IF(S209="","",SUMIFS(Invoices!$O$5:$O$304,Invoices!$B$5:$B$304,"&gt;="&amp;S209,Invoices!$B$5:$B$304,"&lt;="&amp;T209,Invoices!$T$5:$T$304,"&lt;&gt;Cancelled"))</f>
        <v>0</v>
      </c>
      <c r="X209" s="29">
        <f>IF(S209="","",SUMIFS(Expenses!$F$5:$F$304,Expenses!$B$5:$B$304,"&gt;="&amp;S209,Expenses!$B$5:$B$304,"&lt;="&amp;T209,Expenses!$J$5:$J$304,"&lt;&gt;Personal"))</f>
        <v>0</v>
      </c>
      <c r="Y209" s="29">
        <f>IF(S209="","",V209-X209)</f>
        <v>0</v>
      </c>
      <c r="Z209" s="31">
        <f>IF(S209="","",COUNTIFS(Bookings!$I$5:$I$404,"&gt;="&amp;S209,Bookings!$I$5:$I$404,"&lt;="&amp;T209,Bookings!$AM$5:$AM$404,"&lt;&gt;Cancelled"))</f>
        <v>0</v>
      </c>
      <c r="AA209" s="31">
        <f>IF(S209="","",COUNTIFS(Bookings!$I$5:$I$404,"&gt;="&amp;S209,Bookings!$I$5:$I$404,"&lt;="&amp;T209,Bookings!$AM$5:$AM$404,"Completed"))</f>
        <v>0</v>
      </c>
      <c r="AB209" s="31">
        <f>IF(S209="","",COUNTIFS(Bookings!$I$5:$I$404,"&gt;="&amp;S209,Bookings!$I$5:$I$404,"&lt;="&amp;T209,Bookings!$AM$5:$AM$404,"Cancelled"))</f>
        <v>0</v>
      </c>
      <c r="AC209" s="31">
        <f>IF(S209="","",COUNTIFS('Visit Log'!$C$5:$C$404,"&gt;="&amp;S209,'Visit Log'!$C$5:$C$404,"&lt;="&amp;T209,'Visit Log'!$AE$5:$AE$404,"Completed"))</f>
        <v>0</v>
      </c>
      <c r="AD209" s="31">
        <f>IF(S209="","",COUNTIFS(Clients!$L$5:$L$254,"&gt;="&amp;S209,Clients!$L$5:$L$254,"&lt;="&amp;T209))</f>
        <v>0</v>
      </c>
      <c r="AE209" s="32">
        <f>IF(S209="","",SUMIFS(Mileage!$M$5:$M$304,Mileage!$B$5:$B$304,"&gt;="&amp;S209,Mileage!$B$5:$B$304,"&lt;="&amp;T209,Mileage!$N$5:$N$304,"Business"))</f>
        <v>0</v>
      </c>
      <c r="AF209" s="29">
        <f>IF(S209="","",SUMIFS(Payments!$L$5:$L$304,Payments!$B$5:$B$304,"&gt;="&amp;DATE(Dash_Year-1,ROW()-4,1),Payments!$B$5:$B$304,"&lt;="&amp;EOMONTH(DATE(Dash_Year-1,ROW()-4,1),0)))</f>
        <v>0</v>
      </c>
      <c r="AG209" s="28">
        <f>IF(Staff!$B$209="","",Staff!$B$209)</f>
        <v>0</v>
      </c>
      <c r="AH209" s="31">
        <f>IF(AG209="","",COUNTIFS('Visit Log'!$G$5:$G$404,AG209,'Visit Log'!$C$5:$C$404,"&gt;="&amp;RepFrom,'Visit Log'!$C$5:$C$404,"&lt;="&amp;RepTo,'Visit Log'!$AE$5:$AE$404,"Completed"))</f>
        <v>0</v>
      </c>
      <c r="AI209" s="51">
        <f>IF(AG209="","",ROUND(SUMIFS('Visit Log'!$K$5:$K$404,'Visit Log'!$G$5:$G$404,AG209,'Visit Log'!$C$5:$C$404,"&gt;="&amp;RepFrom,'Visit Log'!$C$5:$C$404,"&lt;="&amp;RepTo,'Visit Log'!$AE$5:$AE$404,"Completed")/60,2))</f>
        <v>0</v>
      </c>
      <c r="AJ209" s="29">
        <f>IF(AG209="","",SUMIFS(Bookings!$AK$5:$AK$404,Bookings!$AL$5:$AL$404,AG209,Bookings!$I$5:$I$404,"&gt;="&amp;RepFrom,Bookings!$I$5:$I$404,"&lt;="&amp;RepTo,Bookings!$AM$5:$AM$404,"&lt;&gt;Cancelled"))</f>
        <v>0</v>
      </c>
      <c r="AK209" s="32">
        <f>IF(AG209="","",SUMIFS(Mileage!$M$5:$M$304,Mileage!$C$5:$C$304,AG209,Mileage!$B$5:$B$304,"&gt;="&amp;RepFrom,Mileage!$B$5:$B$304,"&lt;="&amp;RepTo))</f>
        <v>0</v>
      </c>
      <c r="AL209" s="28">
        <f>IF(Lists!$Q209="","",Lists!$Q209)</f>
        <v>0</v>
      </c>
      <c r="AM209" s="31">
        <f>IF(AL209="","",COUNTIFS(Bookings!$AV$5:$AV$404,AL209,Bookings!$I$5:$I$404,"&gt;="&amp;RepFrom,Bookings!$I$5:$I$404,"&lt;="&amp;RepTo))</f>
        <v>0</v>
      </c>
      <c r="AN209" s="28">
        <f>IF(Lists!$AF209="","",Lists!$AF209)</f>
        <v>0</v>
      </c>
      <c r="AO209" s="29">
        <f>IF(AN209="","",SUMIFS(Payments!$L$5:$L$304,Payments!$F$5:$F$304,AN209,Payments!$B$5:$B$304,"&gt;="&amp;RepFrom,Payments!$B$5:$B$304,"&lt;="&amp;RepTo))</f>
        <v>0</v>
      </c>
      <c r="AP209" s="28">
        <f>IF(Lists!$E209="","",Lists!$E209)</f>
        <v>0</v>
      </c>
      <c r="AQ209" s="31">
        <f>IF(AP209="","",COUNTIFS(Clients!$K$5:$K$254,AP209))</f>
        <v>0</v>
      </c>
      <c r="AR209" s="29">
        <f>IF(AP209="","",SUMIFS(Clients!$AE$5:$AE$254,Clients!$K$5:$K$254,AP209))</f>
        <v>0</v>
      </c>
    </row>
    <row r="210" spans="1:44">
      <c r="A210" s="28">
        <f>IF(Clients!$B$210="","",Clients!$B$210)</f>
        <v>0</v>
      </c>
      <c r="B210" s="29">
        <f>IF(A210="","",SUMIFS(Payments!$L$5:$L$304,Payments!$C$5:$C$304,A210,Payments!$B$5:$B$304,"&gt;="&amp;PeriodStart,Payments!$B$5:$B$304,"&lt;="&amp;PeriodEnd))</f>
        <v>0</v>
      </c>
      <c r="C210" s="51">
        <f>IF(A210="","",IF(B210&lt;=0,"",B210+ROW()/1000000))</f>
        <v>0</v>
      </c>
      <c r="D210" s="29">
        <f>IF(A210="","",SUMIFS(Payments!$L$5:$L$304,Payments!$C$5:$C$304,A210,Payments!$B$5:$B$304,"&gt;="&amp;RepFrom,Payments!$B$5:$B$304,"&lt;="&amp;RepTo))</f>
        <v>0</v>
      </c>
      <c r="E210" s="51">
        <f>IF(A210="","",IF(D210&lt;=0,"",D210+ROW()/1000000))</f>
        <v>0</v>
      </c>
      <c r="F210" s="29">
        <f>IF(A210="","",SUMIFS(Invoices!$S$5:$S$304,Invoices!$D$5:$D$304,A210,Invoices!$T$5:$T$304,"&lt;&gt;Cancelled"))</f>
        <v>0</v>
      </c>
      <c r="G210" s="51">
        <f>IF(A210="","",IF(F210&lt;=0.004,"",F210+ROW()/1000000))</f>
        <v>0</v>
      </c>
      <c r="H210" s="31">
        <f>IF(A210="","",COUNTIFS(Bookings!$C$5:$C$404,A210,Bookings!$I$5:$I$404,"&gt;="&amp;RepFrom,Bookings!$I$5:$I$404,"&lt;="&amp;RepTo,Bookings!$AM$5:$AM$404,"&lt;&gt;Cancelled"))</f>
        <v>0</v>
      </c>
      <c r="I210" s="28">
        <f>IF(Services!$B$210="","",Services!$B$210)</f>
        <v>0</v>
      </c>
      <c r="J210" s="29">
        <f>IF(I210="","",SUMIFS(Bookings!$AK$5:$AK$404,Bookings!$H$5:$H$404,I210,Bookings!$I$5:$I$404,"&gt;="&amp;PeriodStart,Bookings!$I$5:$I$404,"&lt;="&amp;PeriodEnd,Bookings!$AM$5:$AM$404,"&lt;&gt;Cancelled"))</f>
        <v>0</v>
      </c>
      <c r="K210" s="31">
        <f>IF(I210="","",COUNTIFS(Bookings!$H$5:$H$404,I210,Bookings!$I$5:$I$404,"&gt;="&amp;PeriodStart,Bookings!$I$5:$I$404,"&lt;="&amp;PeriodEnd,Bookings!$AM$5:$AM$404,"&lt;&gt;Cancelled"))</f>
        <v>0</v>
      </c>
      <c r="L210" s="29">
        <f>IF(I210="","",SUMIFS(Bookings!$AK$5:$AK$404,Bookings!$H$5:$H$404,I210,Bookings!$I$5:$I$404,"&gt;="&amp;RepFrom,Bookings!$I$5:$I$404,"&lt;="&amp;RepTo,Bookings!$AM$5:$AM$404,"&lt;&gt;Cancelled"))</f>
        <v>0</v>
      </c>
      <c r="M210" s="31">
        <f>IF(I210="","",COUNTIFS(Bookings!$H$5:$H$404,I210,Bookings!$I$5:$I$404,"&gt;="&amp;RepFrom,Bookings!$I$5:$I$404,"&lt;="&amp;RepTo,Bookings!$AM$5:$AM$404,"&lt;&gt;Cancelled"))</f>
        <v>0</v>
      </c>
      <c r="N210" s="29">
        <f>IF(I210="","",M210*IF(Services!$L$210="",0,Services!$L$210))</f>
        <v>0</v>
      </c>
      <c r="O210" s="29">
        <f>IF(I210="","",L210-N210)</f>
        <v>0</v>
      </c>
      <c r="P210" s="28">
        <f>IF(Lists!$AG210="","",Lists!$AG210)</f>
        <v>0</v>
      </c>
      <c r="Q210" s="29">
        <f>IF(P210="","",SUMIFS(Expenses!$F$5:$F$304,Expenses!$C$5:$C$304,P210,Expenses!$B$5:$B$304,"&gt;="&amp;PeriodStart,Expenses!$B$5:$B$304,"&lt;="&amp;PeriodEnd,Expenses!$J$5:$J$304,"&lt;&gt;Personal"))</f>
        <v>0</v>
      </c>
      <c r="R210" s="29">
        <f>IF(P210="","",SUMIFS(Expenses!$F$5:$F$304,Expenses!$C$5:$C$304,P210,Expenses!$B$5:$B$304,"&gt;="&amp;RepFrom,Expenses!$B$5:$B$304,"&lt;="&amp;RepTo,Expenses!$J$5:$J$304,"&lt;&gt;Personal"))</f>
        <v>0</v>
      </c>
      <c r="S210" s="21">
        <f>IF(ROW()-4&gt;12,"",DATE(Dash_Year,ROW()-4,1))</f>
        <v>0</v>
      </c>
      <c r="T210" s="21">
        <f>IF(S210="","",EOMONTH(S210,0))</f>
        <v>0</v>
      </c>
      <c r="U210" s="28">
        <f>IF(S210="","",TEXT(S210,"mmm"))</f>
        <v>0</v>
      </c>
      <c r="V210" s="29">
        <f>IF(S210="","",SUMIFS(Payments!$L$5:$L$304,Payments!$B$5:$B$304,"&gt;="&amp;S210,Payments!$B$5:$B$304,"&lt;="&amp;T210))</f>
        <v>0</v>
      </c>
      <c r="W210" s="29">
        <f>IF(S210="","",SUMIFS(Invoices!$O$5:$O$304,Invoices!$B$5:$B$304,"&gt;="&amp;S210,Invoices!$B$5:$B$304,"&lt;="&amp;T210,Invoices!$T$5:$T$304,"&lt;&gt;Cancelled"))</f>
        <v>0</v>
      </c>
      <c r="X210" s="29">
        <f>IF(S210="","",SUMIFS(Expenses!$F$5:$F$304,Expenses!$B$5:$B$304,"&gt;="&amp;S210,Expenses!$B$5:$B$304,"&lt;="&amp;T210,Expenses!$J$5:$J$304,"&lt;&gt;Personal"))</f>
        <v>0</v>
      </c>
      <c r="Y210" s="29">
        <f>IF(S210="","",V210-X210)</f>
        <v>0</v>
      </c>
      <c r="Z210" s="31">
        <f>IF(S210="","",COUNTIFS(Bookings!$I$5:$I$404,"&gt;="&amp;S210,Bookings!$I$5:$I$404,"&lt;="&amp;T210,Bookings!$AM$5:$AM$404,"&lt;&gt;Cancelled"))</f>
        <v>0</v>
      </c>
      <c r="AA210" s="31">
        <f>IF(S210="","",COUNTIFS(Bookings!$I$5:$I$404,"&gt;="&amp;S210,Bookings!$I$5:$I$404,"&lt;="&amp;T210,Bookings!$AM$5:$AM$404,"Completed"))</f>
        <v>0</v>
      </c>
      <c r="AB210" s="31">
        <f>IF(S210="","",COUNTIFS(Bookings!$I$5:$I$404,"&gt;="&amp;S210,Bookings!$I$5:$I$404,"&lt;="&amp;T210,Bookings!$AM$5:$AM$404,"Cancelled"))</f>
        <v>0</v>
      </c>
      <c r="AC210" s="31">
        <f>IF(S210="","",COUNTIFS('Visit Log'!$C$5:$C$404,"&gt;="&amp;S210,'Visit Log'!$C$5:$C$404,"&lt;="&amp;T210,'Visit Log'!$AE$5:$AE$404,"Completed"))</f>
        <v>0</v>
      </c>
      <c r="AD210" s="31">
        <f>IF(S210="","",COUNTIFS(Clients!$L$5:$L$254,"&gt;="&amp;S210,Clients!$L$5:$L$254,"&lt;="&amp;T210))</f>
        <v>0</v>
      </c>
      <c r="AE210" s="32">
        <f>IF(S210="","",SUMIFS(Mileage!$M$5:$M$304,Mileage!$B$5:$B$304,"&gt;="&amp;S210,Mileage!$B$5:$B$304,"&lt;="&amp;T210,Mileage!$N$5:$N$304,"Business"))</f>
        <v>0</v>
      </c>
      <c r="AF210" s="29">
        <f>IF(S210="","",SUMIFS(Payments!$L$5:$L$304,Payments!$B$5:$B$304,"&gt;="&amp;DATE(Dash_Year-1,ROW()-4,1),Payments!$B$5:$B$304,"&lt;="&amp;EOMONTH(DATE(Dash_Year-1,ROW()-4,1),0)))</f>
        <v>0</v>
      </c>
      <c r="AG210" s="28">
        <f>IF(Staff!$B$210="","",Staff!$B$210)</f>
        <v>0</v>
      </c>
      <c r="AH210" s="31">
        <f>IF(AG210="","",COUNTIFS('Visit Log'!$G$5:$G$404,AG210,'Visit Log'!$C$5:$C$404,"&gt;="&amp;RepFrom,'Visit Log'!$C$5:$C$404,"&lt;="&amp;RepTo,'Visit Log'!$AE$5:$AE$404,"Completed"))</f>
        <v>0</v>
      </c>
      <c r="AI210" s="51">
        <f>IF(AG210="","",ROUND(SUMIFS('Visit Log'!$K$5:$K$404,'Visit Log'!$G$5:$G$404,AG210,'Visit Log'!$C$5:$C$404,"&gt;="&amp;RepFrom,'Visit Log'!$C$5:$C$404,"&lt;="&amp;RepTo,'Visit Log'!$AE$5:$AE$404,"Completed")/60,2))</f>
        <v>0</v>
      </c>
      <c r="AJ210" s="29">
        <f>IF(AG210="","",SUMIFS(Bookings!$AK$5:$AK$404,Bookings!$AL$5:$AL$404,AG210,Bookings!$I$5:$I$404,"&gt;="&amp;RepFrom,Bookings!$I$5:$I$404,"&lt;="&amp;RepTo,Bookings!$AM$5:$AM$404,"&lt;&gt;Cancelled"))</f>
        <v>0</v>
      </c>
      <c r="AK210" s="32">
        <f>IF(AG210="","",SUMIFS(Mileage!$M$5:$M$304,Mileage!$C$5:$C$304,AG210,Mileage!$B$5:$B$304,"&gt;="&amp;RepFrom,Mileage!$B$5:$B$304,"&lt;="&amp;RepTo))</f>
        <v>0</v>
      </c>
      <c r="AL210" s="28">
        <f>IF(Lists!$Q210="","",Lists!$Q210)</f>
        <v>0</v>
      </c>
      <c r="AM210" s="31">
        <f>IF(AL210="","",COUNTIFS(Bookings!$AV$5:$AV$404,AL210,Bookings!$I$5:$I$404,"&gt;="&amp;RepFrom,Bookings!$I$5:$I$404,"&lt;="&amp;RepTo))</f>
        <v>0</v>
      </c>
      <c r="AN210" s="28">
        <f>IF(Lists!$AF210="","",Lists!$AF210)</f>
        <v>0</v>
      </c>
      <c r="AO210" s="29">
        <f>IF(AN210="","",SUMIFS(Payments!$L$5:$L$304,Payments!$F$5:$F$304,AN210,Payments!$B$5:$B$304,"&gt;="&amp;RepFrom,Payments!$B$5:$B$304,"&lt;="&amp;RepTo))</f>
        <v>0</v>
      </c>
      <c r="AP210" s="28">
        <f>IF(Lists!$E210="","",Lists!$E210)</f>
        <v>0</v>
      </c>
      <c r="AQ210" s="31">
        <f>IF(AP210="","",COUNTIFS(Clients!$K$5:$K$254,AP210))</f>
        <v>0</v>
      </c>
      <c r="AR210" s="29">
        <f>IF(AP210="","",SUMIFS(Clients!$AE$5:$AE$254,Clients!$K$5:$K$254,AP210))</f>
        <v>0</v>
      </c>
    </row>
    <row r="211" spans="1:44">
      <c r="A211" s="28">
        <f>IF(Clients!$B$211="","",Clients!$B$211)</f>
        <v>0</v>
      </c>
      <c r="B211" s="29">
        <f>IF(A211="","",SUMIFS(Payments!$L$5:$L$304,Payments!$C$5:$C$304,A211,Payments!$B$5:$B$304,"&gt;="&amp;PeriodStart,Payments!$B$5:$B$304,"&lt;="&amp;PeriodEnd))</f>
        <v>0</v>
      </c>
      <c r="C211" s="51">
        <f>IF(A211="","",IF(B211&lt;=0,"",B211+ROW()/1000000))</f>
        <v>0</v>
      </c>
      <c r="D211" s="29">
        <f>IF(A211="","",SUMIFS(Payments!$L$5:$L$304,Payments!$C$5:$C$304,A211,Payments!$B$5:$B$304,"&gt;="&amp;RepFrom,Payments!$B$5:$B$304,"&lt;="&amp;RepTo))</f>
        <v>0</v>
      </c>
      <c r="E211" s="51">
        <f>IF(A211="","",IF(D211&lt;=0,"",D211+ROW()/1000000))</f>
        <v>0</v>
      </c>
      <c r="F211" s="29">
        <f>IF(A211="","",SUMIFS(Invoices!$S$5:$S$304,Invoices!$D$5:$D$304,A211,Invoices!$T$5:$T$304,"&lt;&gt;Cancelled"))</f>
        <v>0</v>
      </c>
      <c r="G211" s="51">
        <f>IF(A211="","",IF(F211&lt;=0.004,"",F211+ROW()/1000000))</f>
        <v>0</v>
      </c>
      <c r="H211" s="31">
        <f>IF(A211="","",COUNTIFS(Bookings!$C$5:$C$404,A211,Bookings!$I$5:$I$404,"&gt;="&amp;RepFrom,Bookings!$I$5:$I$404,"&lt;="&amp;RepTo,Bookings!$AM$5:$AM$404,"&lt;&gt;Cancelled"))</f>
        <v>0</v>
      </c>
      <c r="I211" s="28">
        <f>IF(Services!$B$211="","",Services!$B$211)</f>
        <v>0</v>
      </c>
      <c r="J211" s="29">
        <f>IF(I211="","",SUMIFS(Bookings!$AK$5:$AK$404,Bookings!$H$5:$H$404,I211,Bookings!$I$5:$I$404,"&gt;="&amp;PeriodStart,Bookings!$I$5:$I$404,"&lt;="&amp;PeriodEnd,Bookings!$AM$5:$AM$404,"&lt;&gt;Cancelled"))</f>
        <v>0</v>
      </c>
      <c r="K211" s="31">
        <f>IF(I211="","",COUNTIFS(Bookings!$H$5:$H$404,I211,Bookings!$I$5:$I$404,"&gt;="&amp;PeriodStart,Bookings!$I$5:$I$404,"&lt;="&amp;PeriodEnd,Bookings!$AM$5:$AM$404,"&lt;&gt;Cancelled"))</f>
        <v>0</v>
      </c>
      <c r="L211" s="29">
        <f>IF(I211="","",SUMIFS(Bookings!$AK$5:$AK$404,Bookings!$H$5:$H$404,I211,Bookings!$I$5:$I$404,"&gt;="&amp;RepFrom,Bookings!$I$5:$I$404,"&lt;="&amp;RepTo,Bookings!$AM$5:$AM$404,"&lt;&gt;Cancelled"))</f>
        <v>0</v>
      </c>
      <c r="M211" s="31">
        <f>IF(I211="","",COUNTIFS(Bookings!$H$5:$H$404,I211,Bookings!$I$5:$I$404,"&gt;="&amp;RepFrom,Bookings!$I$5:$I$404,"&lt;="&amp;RepTo,Bookings!$AM$5:$AM$404,"&lt;&gt;Cancelled"))</f>
        <v>0</v>
      </c>
      <c r="N211" s="29">
        <f>IF(I211="","",M211*IF(Services!$L$211="",0,Services!$L$211))</f>
        <v>0</v>
      </c>
      <c r="O211" s="29">
        <f>IF(I211="","",L211-N211)</f>
        <v>0</v>
      </c>
      <c r="P211" s="28">
        <f>IF(Lists!$AG211="","",Lists!$AG211)</f>
        <v>0</v>
      </c>
      <c r="Q211" s="29">
        <f>IF(P211="","",SUMIFS(Expenses!$F$5:$F$304,Expenses!$C$5:$C$304,P211,Expenses!$B$5:$B$304,"&gt;="&amp;PeriodStart,Expenses!$B$5:$B$304,"&lt;="&amp;PeriodEnd,Expenses!$J$5:$J$304,"&lt;&gt;Personal"))</f>
        <v>0</v>
      </c>
      <c r="R211" s="29">
        <f>IF(P211="","",SUMIFS(Expenses!$F$5:$F$304,Expenses!$C$5:$C$304,P211,Expenses!$B$5:$B$304,"&gt;="&amp;RepFrom,Expenses!$B$5:$B$304,"&lt;="&amp;RepTo,Expenses!$J$5:$J$304,"&lt;&gt;Personal"))</f>
        <v>0</v>
      </c>
      <c r="S211" s="21">
        <f>IF(ROW()-4&gt;12,"",DATE(Dash_Year,ROW()-4,1))</f>
        <v>0</v>
      </c>
      <c r="T211" s="21">
        <f>IF(S211="","",EOMONTH(S211,0))</f>
        <v>0</v>
      </c>
      <c r="U211" s="28">
        <f>IF(S211="","",TEXT(S211,"mmm"))</f>
        <v>0</v>
      </c>
      <c r="V211" s="29">
        <f>IF(S211="","",SUMIFS(Payments!$L$5:$L$304,Payments!$B$5:$B$304,"&gt;="&amp;S211,Payments!$B$5:$B$304,"&lt;="&amp;T211))</f>
        <v>0</v>
      </c>
      <c r="W211" s="29">
        <f>IF(S211="","",SUMIFS(Invoices!$O$5:$O$304,Invoices!$B$5:$B$304,"&gt;="&amp;S211,Invoices!$B$5:$B$304,"&lt;="&amp;T211,Invoices!$T$5:$T$304,"&lt;&gt;Cancelled"))</f>
        <v>0</v>
      </c>
      <c r="X211" s="29">
        <f>IF(S211="","",SUMIFS(Expenses!$F$5:$F$304,Expenses!$B$5:$B$304,"&gt;="&amp;S211,Expenses!$B$5:$B$304,"&lt;="&amp;T211,Expenses!$J$5:$J$304,"&lt;&gt;Personal"))</f>
        <v>0</v>
      </c>
      <c r="Y211" s="29">
        <f>IF(S211="","",V211-X211)</f>
        <v>0</v>
      </c>
      <c r="Z211" s="31">
        <f>IF(S211="","",COUNTIFS(Bookings!$I$5:$I$404,"&gt;="&amp;S211,Bookings!$I$5:$I$404,"&lt;="&amp;T211,Bookings!$AM$5:$AM$404,"&lt;&gt;Cancelled"))</f>
        <v>0</v>
      </c>
      <c r="AA211" s="31">
        <f>IF(S211="","",COUNTIFS(Bookings!$I$5:$I$404,"&gt;="&amp;S211,Bookings!$I$5:$I$404,"&lt;="&amp;T211,Bookings!$AM$5:$AM$404,"Completed"))</f>
        <v>0</v>
      </c>
      <c r="AB211" s="31">
        <f>IF(S211="","",COUNTIFS(Bookings!$I$5:$I$404,"&gt;="&amp;S211,Bookings!$I$5:$I$404,"&lt;="&amp;T211,Bookings!$AM$5:$AM$404,"Cancelled"))</f>
        <v>0</v>
      </c>
      <c r="AC211" s="31">
        <f>IF(S211="","",COUNTIFS('Visit Log'!$C$5:$C$404,"&gt;="&amp;S211,'Visit Log'!$C$5:$C$404,"&lt;="&amp;T211,'Visit Log'!$AE$5:$AE$404,"Completed"))</f>
        <v>0</v>
      </c>
      <c r="AD211" s="31">
        <f>IF(S211="","",COUNTIFS(Clients!$L$5:$L$254,"&gt;="&amp;S211,Clients!$L$5:$L$254,"&lt;="&amp;T211))</f>
        <v>0</v>
      </c>
      <c r="AE211" s="32">
        <f>IF(S211="","",SUMIFS(Mileage!$M$5:$M$304,Mileage!$B$5:$B$304,"&gt;="&amp;S211,Mileage!$B$5:$B$304,"&lt;="&amp;T211,Mileage!$N$5:$N$304,"Business"))</f>
        <v>0</v>
      </c>
      <c r="AF211" s="29">
        <f>IF(S211="","",SUMIFS(Payments!$L$5:$L$304,Payments!$B$5:$B$304,"&gt;="&amp;DATE(Dash_Year-1,ROW()-4,1),Payments!$B$5:$B$304,"&lt;="&amp;EOMONTH(DATE(Dash_Year-1,ROW()-4,1),0)))</f>
        <v>0</v>
      </c>
      <c r="AG211" s="28">
        <f>IF(Staff!$B$211="","",Staff!$B$211)</f>
        <v>0</v>
      </c>
      <c r="AH211" s="31">
        <f>IF(AG211="","",COUNTIFS('Visit Log'!$G$5:$G$404,AG211,'Visit Log'!$C$5:$C$404,"&gt;="&amp;RepFrom,'Visit Log'!$C$5:$C$404,"&lt;="&amp;RepTo,'Visit Log'!$AE$5:$AE$404,"Completed"))</f>
        <v>0</v>
      </c>
      <c r="AI211" s="51">
        <f>IF(AG211="","",ROUND(SUMIFS('Visit Log'!$K$5:$K$404,'Visit Log'!$G$5:$G$404,AG211,'Visit Log'!$C$5:$C$404,"&gt;="&amp;RepFrom,'Visit Log'!$C$5:$C$404,"&lt;="&amp;RepTo,'Visit Log'!$AE$5:$AE$404,"Completed")/60,2))</f>
        <v>0</v>
      </c>
      <c r="AJ211" s="29">
        <f>IF(AG211="","",SUMIFS(Bookings!$AK$5:$AK$404,Bookings!$AL$5:$AL$404,AG211,Bookings!$I$5:$I$404,"&gt;="&amp;RepFrom,Bookings!$I$5:$I$404,"&lt;="&amp;RepTo,Bookings!$AM$5:$AM$404,"&lt;&gt;Cancelled"))</f>
        <v>0</v>
      </c>
      <c r="AK211" s="32">
        <f>IF(AG211="","",SUMIFS(Mileage!$M$5:$M$304,Mileage!$C$5:$C$304,AG211,Mileage!$B$5:$B$304,"&gt;="&amp;RepFrom,Mileage!$B$5:$B$304,"&lt;="&amp;RepTo))</f>
        <v>0</v>
      </c>
      <c r="AL211" s="28">
        <f>IF(Lists!$Q211="","",Lists!$Q211)</f>
        <v>0</v>
      </c>
      <c r="AM211" s="31">
        <f>IF(AL211="","",COUNTIFS(Bookings!$AV$5:$AV$404,AL211,Bookings!$I$5:$I$404,"&gt;="&amp;RepFrom,Bookings!$I$5:$I$404,"&lt;="&amp;RepTo))</f>
        <v>0</v>
      </c>
      <c r="AN211" s="28">
        <f>IF(Lists!$AF211="","",Lists!$AF211)</f>
        <v>0</v>
      </c>
      <c r="AO211" s="29">
        <f>IF(AN211="","",SUMIFS(Payments!$L$5:$L$304,Payments!$F$5:$F$304,AN211,Payments!$B$5:$B$304,"&gt;="&amp;RepFrom,Payments!$B$5:$B$304,"&lt;="&amp;RepTo))</f>
        <v>0</v>
      </c>
      <c r="AP211" s="28">
        <f>IF(Lists!$E211="","",Lists!$E211)</f>
        <v>0</v>
      </c>
      <c r="AQ211" s="31">
        <f>IF(AP211="","",COUNTIFS(Clients!$K$5:$K$254,AP211))</f>
        <v>0</v>
      </c>
      <c r="AR211" s="29">
        <f>IF(AP211="","",SUMIFS(Clients!$AE$5:$AE$254,Clients!$K$5:$K$254,AP211))</f>
        <v>0</v>
      </c>
    </row>
    <row r="212" spans="1:44">
      <c r="A212" s="28">
        <f>IF(Clients!$B$212="","",Clients!$B$212)</f>
        <v>0</v>
      </c>
      <c r="B212" s="29">
        <f>IF(A212="","",SUMIFS(Payments!$L$5:$L$304,Payments!$C$5:$C$304,A212,Payments!$B$5:$B$304,"&gt;="&amp;PeriodStart,Payments!$B$5:$B$304,"&lt;="&amp;PeriodEnd))</f>
        <v>0</v>
      </c>
      <c r="C212" s="51">
        <f>IF(A212="","",IF(B212&lt;=0,"",B212+ROW()/1000000))</f>
        <v>0</v>
      </c>
      <c r="D212" s="29">
        <f>IF(A212="","",SUMIFS(Payments!$L$5:$L$304,Payments!$C$5:$C$304,A212,Payments!$B$5:$B$304,"&gt;="&amp;RepFrom,Payments!$B$5:$B$304,"&lt;="&amp;RepTo))</f>
        <v>0</v>
      </c>
      <c r="E212" s="51">
        <f>IF(A212="","",IF(D212&lt;=0,"",D212+ROW()/1000000))</f>
        <v>0</v>
      </c>
      <c r="F212" s="29">
        <f>IF(A212="","",SUMIFS(Invoices!$S$5:$S$304,Invoices!$D$5:$D$304,A212,Invoices!$T$5:$T$304,"&lt;&gt;Cancelled"))</f>
        <v>0</v>
      </c>
      <c r="G212" s="51">
        <f>IF(A212="","",IF(F212&lt;=0.004,"",F212+ROW()/1000000))</f>
        <v>0</v>
      </c>
      <c r="H212" s="31">
        <f>IF(A212="","",COUNTIFS(Bookings!$C$5:$C$404,A212,Bookings!$I$5:$I$404,"&gt;="&amp;RepFrom,Bookings!$I$5:$I$404,"&lt;="&amp;RepTo,Bookings!$AM$5:$AM$404,"&lt;&gt;Cancelled"))</f>
        <v>0</v>
      </c>
      <c r="I212" s="28">
        <f>IF(Services!$B$212="","",Services!$B$212)</f>
        <v>0</v>
      </c>
      <c r="J212" s="29">
        <f>IF(I212="","",SUMIFS(Bookings!$AK$5:$AK$404,Bookings!$H$5:$H$404,I212,Bookings!$I$5:$I$404,"&gt;="&amp;PeriodStart,Bookings!$I$5:$I$404,"&lt;="&amp;PeriodEnd,Bookings!$AM$5:$AM$404,"&lt;&gt;Cancelled"))</f>
        <v>0</v>
      </c>
      <c r="K212" s="31">
        <f>IF(I212="","",COUNTIFS(Bookings!$H$5:$H$404,I212,Bookings!$I$5:$I$404,"&gt;="&amp;PeriodStart,Bookings!$I$5:$I$404,"&lt;="&amp;PeriodEnd,Bookings!$AM$5:$AM$404,"&lt;&gt;Cancelled"))</f>
        <v>0</v>
      </c>
      <c r="L212" s="29">
        <f>IF(I212="","",SUMIFS(Bookings!$AK$5:$AK$404,Bookings!$H$5:$H$404,I212,Bookings!$I$5:$I$404,"&gt;="&amp;RepFrom,Bookings!$I$5:$I$404,"&lt;="&amp;RepTo,Bookings!$AM$5:$AM$404,"&lt;&gt;Cancelled"))</f>
        <v>0</v>
      </c>
      <c r="M212" s="31">
        <f>IF(I212="","",COUNTIFS(Bookings!$H$5:$H$404,I212,Bookings!$I$5:$I$404,"&gt;="&amp;RepFrom,Bookings!$I$5:$I$404,"&lt;="&amp;RepTo,Bookings!$AM$5:$AM$404,"&lt;&gt;Cancelled"))</f>
        <v>0</v>
      </c>
      <c r="N212" s="29">
        <f>IF(I212="","",M212*IF(Services!$L$212="",0,Services!$L$212))</f>
        <v>0</v>
      </c>
      <c r="O212" s="29">
        <f>IF(I212="","",L212-N212)</f>
        <v>0</v>
      </c>
      <c r="P212" s="28">
        <f>IF(Lists!$AG212="","",Lists!$AG212)</f>
        <v>0</v>
      </c>
      <c r="Q212" s="29">
        <f>IF(P212="","",SUMIFS(Expenses!$F$5:$F$304,Expenses!$C$5:$C$304,P212,Expenses!$B$5:$B$304,"&gt;="&amp;PeriodStart,Expenses!$B$5:$B$304,"&lt;="&amp;PeriodEnd,Expenses!$J$5:$J$304,"&lt;&gt;Personal"))</f>
        <v>0</v>
      </c>
      <c r="R212" s="29">
        <f>IF(P212="","",SUMIFS(Expenses!$F$5:$F$304,Expenses!$C$5:$C$304,P212,Expenses!$B$5:$B$304,"&gt;="&amp;RepFrom,Expenses!$B$5:$B$304,"&lt;="&amp;RepTo,Expenses!$J$5:$J$304,"&lt;&gt;Personal"))</f>
        <v>0</v>
      </c>
      <c r="S212" s="21">
        <f>IF(ROW()-4&gt;12,"",DATE(Dash_Year,ROW()-4,1))</f>
        <v>0</v>
      </c>
      <c r="T212" s="21">
        <f>IF(S212="","",EOMONTH(S212,0))</f>
        <v>0</v>
      </c>
      <c r="U212" s="28">
        <f>IF(S212="","",TEXT(S212,"mmm"))</f>
        <v>0</v>
      </c>
      <c r="V212" s="29">
        <f>IF(S212="","",SUMIFS(Payments!$L$5:$L$304,Payments!$B$5:$B$304,"&gt;="&amp;S212,Payments!$B$5:$B$304,"&lt;="&amp;T212))</f>
        <v>0</v>
      </c>
      <c r="W212" s="29">
        <f>IF(S212="","",SUMIFS(Invoices!$O$5:$O$304,Invoices!$B$5:$B$304,"&gt;="&amp;S212,Invoices!$B$5:$B$304,"&lt;="&amp;T212,Invoices!$T$5:$T$304,"&lt;&gt;Cancelled"))</f>
        <v>0</v>
      </c>
      <c r="X212" s="29">
        <f>IF(S212="","",SUMIFS(Expenses!$F$5:$F$304,Expenses!$B$5:$B$304,"&gt;="&amp;S212,Expenses!$B$5:$B$304,"&lt;="&amp;T212,Expenses!$J$5:$J$304,"&lt;&gt;Personal"))</f>
        <v>0</v>
      </c>
      <c r="Y212" s="29">
        <f>IF(S212="","",V212-X212)</f>
        <v>0</v>
      </c>
      <c r="Z212" s="31">
        <f>IF(S212="","",COUNTIFS(Bookings!$I$5:$I$404,"&gt;="&amp;S212,Bookings!$I$5:$I$404,"&lt;="&amp;T212,Bookings!$AM$5:$AM$404,"&lt;&gt;Cancelled"))</f>
        <v>0</v>
      </c>
      <c r="AA212" s="31">
        <f>IF(S212="","",COUNTIFS(Bookings!$I$5:$I$404,"&gt;="&amp;S212,Bookings!$I$5:$I$404,"&lt;="&amp;T212,Bookings!$AM$5:$AM$404,"Completed"))</f>
        <v>0</v>
      </c>
      <c r="AB212" s="31">
        <f>IF(S212="","",COUNTIFS(Bookings!$I$5:$I$404,"&gt;="&amp;S212,Bookings!$I$5:$I$404,"&lt;="&amp;T212,Bookings!$AM$5:$AM$404,"Cancelled"))</f>
        <v>0</v>
      </c>
      <c r="AC212" s="31">
        <f>IF(S212="","",COUNTIFS('Visit Log'!$C$5:$C$404,"&gt;="&amp;S212,'Visit Log'!$C$5:$C$404,"&lt;="&amp;T212,'Visit Log'!$AE$5:$AE$404,"Completed"))</f>
        <v>0</v>
      </c>
      <c r="AD212" s="31">
        <f>IF(S212="","",COUNTIFS(Clients!$L$5:$L$254,"&gt;="&amp;S212,Clients!$L$5:$L$254,"&lt;="&amp;T212))</f>
        <v>0</v>
      </c>
      <c r="AE212" s="32">
        <f>IF(S212="","",SUMIFS(Mileage!$M$5:$M$304,Mileage!$B$5:$B$304,"&gt;="&amp;S212,Mileage!$B$5:$B$304,"&lt;="&amp;T212,Mileage!$N$5:$N$304,"Business"))</f>
        <v>0</v>
      </c>
      <c r="AF212" s="29">
        <f>IF(S212="","",SUMIFS(Payments!$L$5:$L$304,Payments!$B$5:$B$304,"&gt;="&amp;DATE(Dash_Year-1,ROW()-4,1),Payments!$B$5:$B$304,"&lt;="&amp;EOMONTH(DATE(Dash_Year-1,ROW()-4,1),0)))</f>
        <v>0</v>
      </c>
      <c r="AG212" s="28">
        <f>IF(Staff!$B$212="","",Staff!$B$212)</f>
        <v>0</v>
      </c>
      <c r="AH212" s="31">
        <f>IF(AG212="","",COUNTIFS('Visit Log'!$G$5:$G$404,AG212,'Visit Log'!$C$5:$C$404,"&gt;="&amp;RepFrom,'Visit Log'!$C$5:$C$404,"&lt;="&amp;RepTo,'Visit Log'!$AE$5:$AE$404,"Completed"))</f>
        <v>0</v>
      </c>
      <c r="AI212" s="51">
        <f>IF(AG212="","",ROUND(SUMIFS('Visit Log'!$K$5:$K$404,'Visit Log'!$G$5:$G$404,AG212,'Visit Log'!$C$5:$C$404,"&gt;="&amp;RepFrom,'Visit Log'!$C$5:$C$404,"&lt;="&amp;RepTo,'Visit Log'!$AE$5:$AE$404,"Completed")/60,2))</f>
        <v>0</v>
      </c>
      <c r="AJ212" s="29">
        <f>IF(AG212="","",SUMIFS(Bookings!$AK$5:$AK$404,Bookings!$AL$5:$AL$404,AG212,Bookings!$I$5:$I$404,"&gt;="&amp;RepFrom,Bookings!$I$5:$I$404,"&lt;="&amp;RepTo,Bookings!$AM$5:$AM$404,"&lt;&gt;Cancelled"))</f>
        <v>0</v>
      </c>
      <c r="AK212" s="32">
        <f>IF(AG212="","",SUMIFS(Mileage!$M$5:$M$304,Mileage!$C$5:$C$304,AG212,Mileage!$B$5:$B$304,"&gt;="&amp;RepFrom,Mileage!$B$5:$B$304,"&lt;="&amp;RepTo))</f>
        <v>0</v>
      </c>
      <c r="AL212" s="28">
        <f>IF(Lists!$Q212="","",Lists!$Q212)</f>
        <v>0</v>
      </c>
      <c r="AM212" s="31">
        <f>IF(AL212="","",COUNTIFS(Bookings!$AV$5:$AV$404,AL212,Bookings!$I$5:$I$404,"&gt;="&amp;RepFrom,Bookings!$I$5:$I$404,"&lt;="&amp;RepTo))</f>
        <v>0</v>
      </c>
      <c r="AN212" s="28">
        <f>IF(Lists!$AF212="","",Lists!$AF212)</f>
        <v>0</v>
      </c>
      <c r="AO212" s="29">
        <f>IF(AN212="","",SUMIFS(Payments!$L$5:$L$304,Payments!$F$5:$F$304,AN212,Payments!$B$5:$B$304,"&gt;="&amp;RepFrom,Payments!$B$5:$B$304,"&lt;="&amp;RepTo))</f>
        <v>0</v>
      </c>
      <c r="AP212" s="28">
        <f>IF(Lists!$E212="","",Lists!$E212)</f>
        <v>0</v>
      </c>
      <c r="AQ212" s="31">
        <f>IF(AP212="","",COUNTIFS(Clients!$K$5:$K$254,AP212))</f>
        <v>0</v>
      </c>
      <c r="AR212" s="29">
        <f>IF(AP212="","",SUMIFS(Clients!$AE$5:$AE$254,Clients!$K$5:$K$254,AP212))</f>
        <v>0</v>
      </c>
    </row>
    <row r="213" spans="1:44">
      <c r="A213" s="28">
        <f>IF(Clients!$B$213="","",Clients!$B$213)</f>
        <v>0</v>
      </c>
      <c r="B213" s="29">
        <f>IF(A213="","",SUMIFS(Payments!$L$5:$L$304,Payments!$C$5:$C$304,A213,Payments!$B$5:$B$304,"&gt;="&amp;PeriodStart,Payments!$B$5:$B$304,"&lt;="&amp;PeriodEnd))</f>
        <v>0</v>
      </c>
      <c r="C213" s="51">
        <f>IF(A213="","",IF(B213&lt;=0,"",B213+ROW()/1000000))</f>
        <v>0</v>
      </c>
      <c r="D213" s="29">
        <f>IF(A213="","",SUMIFS(Payments!$L$5:$L$304,Payments!$C$5:$C$304,A213,Payments!$B$5:$B$304,"&gt;="&amp;RepFrom,Payments!$B$5:$B$304,"&lt;="&amp;RepTo))</f>
        <v>0</v>
      </c>
      <c r="E213" s="51">
        <f>IF(A213="","",IF(D213&lt;=0,"",D213+ROW()/1000000))</f>
        <v>0</v>
      </c>
      <c r="F213" s="29">
        <f>IF(A213="","",SUMIFS(Invoices!$S$5:$S$304,Invoices!$D$5:$D$304,A213,Invoices!$T$5:$T$304,"&lt;&gt;Cancelled"))</f>
        <v>0</v>
      </c>
      <c r="G213" s="51">
        <f>IF(A213="","",IF(F213&lt;=0.004,"",F213+ROW()/1000000))</f>
        <v>0</v>
      </c>
      <c r="H213" s="31">
        <f>IF(A213="","",COUNTIFS(Bookings!$C$5:$C$404,A213,Bookings!$I$5:$I$404,"&gt;="&amp;RepFrom,Bookings!$I$5:$I$404,"&lt;="&amp;RepTo,Bookings!$AM$5:$AM$404,"&lt;&gt;Cancelled"))</f>
        <v>0</v>
      </c>
      <c r="I213" s="28">
        <f>IF(Services!$B$213="","",Services!$B$213)</f>
        <v>0</v>
      </c>
      <c r="J213" s="29">
        <f>IF(I213="","",SUMIFS(Bookings!$AK$5:$AK$404,Bookings!$H$5:$H$404,I213,Bookings!$I$5:$I$404,"&gt;="&amp;PeriodStart,Bookings!$I$5:$I$404,"&lt;="&amp;PeriodEnd,Bookings!$AM$5:$AM$404,"&lt;&gt;Cancelled"))</f>
        <v>0</v>
      </c>
      <c r="K213" s="31">
        <f>IF(I213="","",COUNTIFS(Bookings!$H$5:$H$404,I213,Bookings!$I$5:$I$404,"&gt;="&amp;PeriodStart,Bookings!$I$5:$I$404,"&lt;="&amp;PeriodEnd,Bookings!$AM$5:$AM$404,"&lt;&gt;Cancelled"))</f>
        <v>0</v>
      </c>
      <c r="L213" s="29">
        <f>IF(I213="","",SUMIFS(Bookings!$AK$5:$AK$404,Bookings!$H$5:$H$404,I213,Bookings!$I$5:$I$404,"&gt;="&amp;RepFrom,Bookings!$I$5:$I$404,"&lt;="&amp;RepTo,Bookings!$AM$5:$AM$404,"&lt;&gt;Cancelled"))</f>
        <v>0</v>
      </c>
      <c r="M213" s="31">
        <f>IF(I213="","",COUNTIFS(Bookings!$H$5:$H$404,I213,Bookings!$I$5:$I$404,"&gt;="&amp;RepFrom,Bookings!$I$5:$I$404,"&lt;="&amp;RepTo,Bookings!$AM$5:$AM$404,"&lt;&gt;Cancelled"))</f>
        <v>0</v>
      </c>
      <c r="N213" s="29">
        <f>IF(I213="","",M213*IF(Services!$L$213="",0,Services!$L$213))</f>
        <v>0</v>
      </c>
      <c r="O213" s="29">
        <f>IF(I213="","",L213-N213)</f>
        <v>0</v>
      </c>
      <c r="P213" s="28">
        <f>IF(Lists!$AG213="","",Lists!$AG213)</f>
        <v>0</v>
      </c>
      <c r="Q213" s="29">
        <f>IF(P213="","",SUMIFS(Expenses!$F$5:$F$304,Expenses!$C$5:$C$304,P213,Expenses!$B$5:$B$304,"&gt;="&amp;PeriodStart,Expenses!$B$5:$B$304,"&lt;="&amp;PeriodEnd,Expenses!$J$5:$J$304,"&lt;&gt;Personal"))</f>
        <v>0</v>
      </c>
      <c r="R213" s="29">
        <f>IF(P213="","",SUMIFS(Expenses!$F$5:$F$304,Expenses!$C$5:$C$304,P213,Expenses!$B$5:$B$304,"&gt;="&amp;RepFrom,Expenses!$B$5:$B$304,"&lt;="&amp;RepTo,Expenses!$J$5:$J$304,"&lt;&gt;Personal"))</f>
        <v>0</v>
      </c>
      <c r="S213" s="21">
        <f>IF(ROW()-4&gt;12,"",DATE(Dash_Year,ROW()-4,1))</f>
        <v>0</v>
      </c>
      <c r="T213" s="21">
        <f>IF(S213="","",EOMONTH(S213,0))</f>
        <v>0</v>
      </c>
      <c r="U213" s="28">
        <f>IF(S213="","",TEXT(S213,"mmm"))</f>
        <v>0</v>
      </c>
      <c r="V213" s="29">
        <f>IF(S213="","",SUMIFS(Payments!$L$5:$L$304,Payments!$B$5:$B$304,"&gt;="&amp;S213,Payments!$B$5:$B$304,"&lt;="&amp;T213))</f>
        <v>0</v>
      </c>
      <c r="W213" s="29">
        <f>IF(S213="","",SUMIFS(Invoices!$O$5:$O$304,Invoices!$B$5:$B$304,"&gt;="&amp;S213,Invoices!$B$5:$B$304,"&lt;="&amp;T213,Invoices!$T$5:$T$304,"&lt;&gt;Cancelled"))</f>
        <v>0</v>
      </c>
      <c r="X213" s="29">
        <f>IF(S213="","",SUMIFS(Expenses!$F$5:$F$304,Expenses!$B$5:$B$304,"&gt;="&amp;S213,Expenses!$B$5:$B$304,"&lt;="&amp;T213,Expenses!$J$5:$J$304,"&lt;&gt;Personal"))</f>
        <v>0</v>
      </c>
      <c r="Y213" s="29">
        <f>IF(S213="","",V213-X213)</f>
        <v>0</v>
      </c>
      <c r="Z213" s="31">
        <f>IF(S213="","",COUNTIFS(Bookings!$I$5:$I$404,"&gt;="&amp;S213,Bookings!$I$5:$I$404,"&lt;="&amp;T213,Bookings!$AM$5:$AM$404,"&lt;&gt;Cancelled"))</f>
        <v>0</v>
      </c>
      <c r="AA213" s="31">
        <f>IF(S213="","",COUNTIFS(Bookings!$I$5:$I$404,"&gt;="&amp;S213,Bookings!$I$5:$I$404,"&lt;="&amp;T213,Bookings!$AM$5:$AM$404,"Completed"))</f>
        <v>0</v>
      </c>
      <c r="AB213" s="31">
        <f>IF(S213="","",COUNTIFS(Bookings!$I$5:$I$404,"&gt;="&amp;S213,Bookings!$I$5:$I$404,"&lt;="&amp;T213,Bookings!$AM$5:$AM$404,"Cancelled"))</f>
        <v>0</v>
      </c>
      <c r="AC213" s="31">
        <f>IF(S213="","",COUNTIFS('Visit Log'!$C$5:$C$404,"&gt;="&amp;S213,'Visit Log'!$C$5:$C$404,"&lt;="&amp;T213,'Visit Log'!$AE$5:$AE$404,"Completed"))</f>
        <v>0</v>
      </c>
      <c r="AD213" s="31">
        <f>IF(S213="","",COUNTIFS(Clients!$L$5:$L$254,"&gt;="&amp;S213,Clients!$L$5:$L$254,"&lt;="&amp;T213))</f>
        <v>0</v>
      </c>
      <c r="AE213" s="32">
        <f>IF(S213="","",SUMIFS(Mileage!$M$5:$M$304,Mileage!$B$5:$B$304,"&gt;="&amp;S213,Mileage!$B$5:$B$304,"&lt;="&amp;T213,Mileage!$N$5:$N$304,"Business"))</f>
        <v>0</v>
      </c>
      <c r="AF213" s="29">
        <f>IF(S213="","",SUMIFS(Payments!$L$5:$L$304,Payments!$B$5:$B$304,"&gt;="&amp;DATE(Dash_Year-1,ROW()-4,1),Payments!$B$5:$B$304,"&lt;="&amp;EOMONTH(DATE(Dash_Year-1,ROW()-4,1),0)))</f>
        <v>0</v>
      </c>
      <c r="AG213" s="28">
        <f>IF(Staff!$B$213="","",Staff!$B$213)</f>
        <v>0</v>
      </c>
      <c r="AH213" s="31">
        <f>IF(AG213="","",COUNTIFS('Visit Log'!$G$5:$G$404,AG213,'Visit Log'!$C$5:$C$404,"&gt;="&amp;RepFrom,'Visit Log'!$C$5:$C$404,"&lt;="&amp;RepTo,'Visit Log'!$AE$5:$AE$404,"Completed"))</f>
        <v>0</v>
      </c>
      <c r="AI213" s="51">
        <f>IF(AG213="","",ROUND(SUMIFS('Visit Log'!$K$5:$K$404,'Visit Log'!$G$5:$G$404,AG213,'Visit Log'!$C$5:$C$404,"&gt;="&amp;RepFrom,'Visit Log'!$C$5:$C$404,"&lt;="&amp;RepTo,'Visit Log'!$AE$5:$AE$404,"Completed")/60,2))</f>
        <v>0</v>
      </c>
      <c r="AJ213" s="29">
        <f>IF(AG213="","",SUMIFS(Bookings!$AK$5:$AK$404,Bookings!$AL$5:$AL$404,AG213,Bookings!$I$5:$I$404,"&gt;="&amp;RepFrom,Bookings!$I$5:$I$404,"&lt;="&amp;RepTo,Bookings!$AM$5:$AM$404,"&lt;&gt;Cancelled"))</f>
        <v>0</v>
      </c>
      <c r="AK213" s="32">
        <f>IF(AG213="","",SUMIFS(Mileage!$M$5:$M$304,Mileage!$C$5:$C$304,AG213,Mileage!$B$5:$B$304,"&gt;="&amp;RepFrom,Mileage!$B$5:$B$304,"&lt;="&amp;RepTo))</f>
        <v>0</v>
      </c>
      <c r="AL213" s="28">
        <f>IF(Lists!$Q213="","",Lists!$Q213)</f>
        <v>0</v>
      </c>
      <c r="AM213" s="31">
        <f>IF(AL213="","",COUNTIFS(Bookings!$AV$5:$AV$404,AL213,Bookings!$I$5:$I$404,"&gt;="&amp;RepFrom,Bookings!$I$5:$I$404,"&lt;="&amp;RepTo))</f>
        <v>0</v>
      </c>
      <c r="AN213" s="28">
        <f>IF(Lists!$AF213="","",Lists!$AF213)</f>
        <v>0</v>
      </c>
      <c r="AO213" s="29">
        <f>IF(AN213="","",SUMIFS(Payments!$L$5:$L$304,Payments!$F$5:$F$304,AN213,Payments!$B$5:$B$304,"&gt;="&amp;RepFrom,Payments!$B$5:$B$304,"&lt;="&amp;RepTo))</f>
        <v>0</v>
      </c>
      <c r="AP213" s="28">
        <f>IF(Lists!$E213="","",Lists!$E213)</f>
        <v>0</v>
      </c>
      <c r="AQ213" s="31">
        <f>IF(AP213="","",COUNTIFS(Clients!$K$5:$K$254,AP213))</f>
        <v>0</v>
      </c>
      <c r="AR213" s="29">
        <f>IF(AP213="","",SUMIFS(Clients!$AE$5:$AE$254,Clients!$K$5:$K$254,AP213))</f>
        <v>0</v>
      </c>
    </row>
    <row r="214" spans="1:44">
      <c r="A214" s="28">
        <f>IF(Clients!$B$214="","",Clients!$B$214)</f>
        <v>0</v>
      </c>
      <c r="B214" s="29">
        <f>IF(A214="","",SUMIFS(Payments!$L$5:$L$304,Payments!$C$5:$C$304,A214,Payments!$B$5:$B$304,"&gt;="&amp;PeriodStart,Payments!$B$5:$B$304,"&lt;="&amp;PeriodEnd))</f>
        <v>0</v>
      </c>
      <c r="C214" s="51">
        <f>IF(A214="","",IF(B214&lt;=0,"",B214+ROW()/1000000))</f>
        <v>0</v>
      </c>
      <c r="D214" s="29">
        <f>IF(A214="","",SUMIFS(Payments!$L$5:$L$304,Payments!$C$5:$C$304,A214,Payments!$B$5:$B$304,"&gt;="&amp;RepFrom,Payments!$B$5:$B$304,"&lt;="&amp;RepTo))</f>
        <v>0</v>
      </c>
      <c r="E214" s="51">
        <f>IF(A214="","",IF(D214&lt;=0,"",D214+ROW()/1000000))</f>
        <v>0</v>
      </c>
      <c r="F214" s="29">
        <f>IF(A214="","",SUMIFS(Invoices!$S$5:$S$304,Invoices!$D$5:$D$304,A214,Invoices!$T$5:$T$304,"&lt;&gt;Cancelled"))</f>
        <v>0</v>
      </c>
      <c r="G214" s="51">
        <f>IF(A214="","",IF(F214&lt;=0.004,"",F214+ROW()/1000000))</f>
        <v>0</v>
      </c>
      <c r="H214" s="31">
        <f>IF(A214="","",COUNTIFS(Bookings!$C$5:$C$404,A214,Bookings!$I$5:$I$404,"&gt;="&amp;RepFrom,Bookings!$I$5:$I$404,"&lt;="&amp;RepTo,Bookings!$AM$5:$AM$404,"&lt;&gt;Cancelled"))</f>
        <v>0</v>
      </c>
      <c r="I214" s="28">
        <f>IF(Services!$B$214="","",Services!$B$214)</f>
        <v>0</v>
      </c>
      <c r="J214" s="29">
        <f>IF(I214="","",SUMIFS(Bookings!$AK$5:$AK$404,Bookings!$H$5:$H$404,I214,Bookings!$I$5:$I$404,"&gt;="&amp;PeriodStart,Bookings!$I$5:$I$404,"&lt;="&amp;PeriodEnd,Bookings!$AM$5:$AM$404,"&lt;&gt;Cancelled"))</f>
        <v>0</v>
      </c>
      <c r="K214" s="31">
        <f>IF(I214="","",COUNTIFS(Bookings!$H$5:$H$404,I214,Bookings!$I$5:$I$404,"&gt;="&amp;PeriodStart,Bookings!$I$5:$I$404,"&lt;="&amp;PeriodEnd,Bookings!$AM$5:$AM$404,"&lt;&gt;Cancelled"))</f>
        <v>0</v>
      </c>
      <c r="L214" s="29">
        <f>IF(I214="","",SUMIFS(Bookings!$AK$5:$AK$404,Bookings!$H$5:$H$404,I214,Bookings!$I$5:$I$404,"&gt;="&amp;RepFrom,Bookings!$I$5:$I$404,"&lt;="&amp;RepTo,Bookings!$AM$5:$AM$404,"&lt;&gt;Cancelled"))</f>
        <v>0</v>
      </c>
      <c r="M214" s="31">
        <f>IF(I214="","",COUNTIFS(Bookings!$H$5:$H$404,I214,Bookings!$I$5:$I$404,"&gt;="&amp;RepFrom,Bookings!$I$5:$I$404,"&lt;="&amp;RepTo,Bookings!$AM$5:$AM$404,"&lt;&gt;Cancelled"))</f>
        <v>0</v>
      </c>
      <c r="N214" s="29">
        <f>IF(I214="","",M214*IF(Services!$L$214="",0,Services!$L$214))</f>
        <v>0</v>
      </c>
      <c r="O214" s="29">
        <f>IF(I214="","",L214-N214)</f>
        <v>0</v>
      </c>
      <c r="P214" s="28">
        <f>IF(Lists!$AG214="","",Lists!$AG214)</f>
        <v>0</v>
      </c>
      <c r="Q214" s="29">
        <f>IF(P214="","",SUMIFS(Expenses!$F$5:$F$304,Expenses!$C$5:$C$304,P214,Expenses!$B$5:$B$304,"&gt;="&amp;PeriodStart,Expenses!$B$5:$B$304,"&lt;="&amp;PeriodEnd,Expenses!$J$5:$J$304,"&lt;&gt;Personal"))</f>
        <v>0</v>
      </c>
      <c r="R214" s="29">
        <f>IF(P214="","",SUMIFS(Expenses!$F$5:$F$304,Expenses!$C$5:$C$304,P214,Expenses!$B$5:$B$304,"&gt;="&amp;RepFrom,Expenses!$B$5:$B$304,"&lt;="&amp;RepTo,Expenses!$J$5:$J$304,"&lt;&gt;Personal"))</f>
        <v>0</v>
      </c>
      <c r="S214" s="21">
        <f>IF(ROW()-4&gt;12,"",DATE(Dash_Year,ROW()-4,1))</f>
        <v>0</v>
      </c>
      <c r="T214" s="21">
        <f>IF(S214="","",EOMONTH(S214,0))</f>
        <v>0</v>
      </c>
      <c r="U214" s="28">
        <f>IF(S214="","",TEXT(S214,"mmm"))</f>
        <v>0</v>
      </c>
      <c r="V214" s="29">
        <f>IF(S214="","",SUMIFS(Payments!$L$5:$L$304,Payments!$B$5:$B$304,"&gt;="&amp;S214,Payments!$B$5:$B$304,"&lt;="&amp;T214))</f>
        <v>0</v>
      </c>
      <c r="W214" s="29">
        <f>IF(S214="","",SUMIFS(Invoices!$O$5:$O$304,Invoices!$B$5:$B$304,"&gt;="&amp;S214,Invoices!$B$5:$B$304,"&lt;="&amp;T214,Invoices!$T$5:$T$304,"&lt;&gt;Cancelled"))</f>
        <v>0</v>
      </c>
      <c r="X214" s="29">
        <f>IF(S214="","",SUMIFS(Expenses!$F$5:$F$304,Expenses!$B$5:$B$304,"&gt;="&amp;S214,Expenses!$B$5:$B$304,"&lt;="&amp;T214,Expenses!$J$5:$J$304,"&lt;&gt;Personal"))</f>
        <v>0</v>
      </c>
      <c r="Y214" s="29">
        <f>IF(S214="","",V214-X214)</f>
        <v>0</v>
      </c>
      <c r="Z214" s="31">
        <f>IF(S214="","",COUNTIFS(Bookings!$I$5:$I$404,"&gt;="&amp;S214,Bookings!$I$5:$I$404,"&lt;="&amp;T214,Bookings!$AM$5:$AM$404,"&lt;&gt;Cancelled"))</f>
        <v>0</v>
      </c>
      <c r="AA214" s="31">
        <f>IF(S214="","",COUNTIFS(Bookings!$I$5:$I$404,"&gt;="&amp;S214,Bookings!$I$5:$I$404,"&lt;="&amp;T214,Bookings!$AM$5:$AM$404,"Completed"))</f>
        <v>0</v>
      </c>
      <c r="AB214" s="31">
        <f>IF(S214="","",COUNTIFS(Bookings!$I$5:$I$404,"&gt;="&amp;S214,Bookings!$I$5:$I$404,"&lt;="&amp;T214,Bookings!$AM$5:$AM$404,"Cancelled"))</f>
        <v>0</v>
      </c>
      <c r="AC214" s="31">
        <f>IF(S214="","",COUNTIFS('Visit Log'!$C$5:$C$404,"&gt;="&amp;S214,'Visit Log'!$C$5:$C$404,"&lt;="&amp;T214,'Visit Log'!$AE$5:$AE$404,"Completed"))</f>
        <v>0</v>
      </c>
      <c r="AD214" s="31">
        <f>IF(S214="","",COUNTIFS(Clients!$L$5:$L$254,"&gt;="&amp;S214,Clients!$L$5:$L$254,"&lt;="&amp;T214))</f>
        <v>0</v>
      </c>
      <c r="AE214" s="32">
        <f>IF(S214="","",SUMIFS(Mileage!$M$5:$M$304,Mileage!$B$5:$B$304,"&gt;="&amp;S214,Mileage!$B$5:$B$304,"&lt;="&amp;T214,Mileage!$N$5:$N$304,"Business"))</f>
        <v>0</v>
      </c>
      <c r="AF214" s="29">
        <f>IF(S214="","",SUMIFS(Payments!$L$5:$L$304,Payments!$B$5:$B$304,"&gt;="&amp;DATE(Dash_Year-1,ROW()-4,1),Payments!$B$5:$B$304,"&lt;="&amp;EOMONTH(DATE(Dash_Year-1,ROW()-4,1),0)))</f>
        <v>0</v>
      </c>
      <c r="AG214" s="28">
        <f>IF(Staff!$B$214="","",Staff!$B$214)</f>
        <v>0</v>
      </c>
      <c r="AH214" s="31">
        <f>IF(AG214="","",COUNTIFS('Visit Log'!$G$5:$G$404,AG214,'Visit Log'!$C$5:$C$404,"&gt;="&amp;RepFrom,'Visit Log'!$C$5:$C$404,"&lt;="&amp;RepTo,'Visit Log'!$AE$5:$AE$404,"Completed"))</f>
        <v>0</v>
      </c>
      <c r="AI214" s="51">
        <f>IF(AG214="","",ROUND(SUMIFS('Visit Log'!$K$5:$K$404,'Visit Log'!$G$5:$G$404,AG214,'Visit Log'!$C$5:$C$404,"&gt;="&amp;RepFrom,'Visit Log'!$C$5:$C$404,"&lt;="&amp;RepTo,'Visit Log'!$AE$5:$AE$404,"Completed")/60,2))</f>
        <v>0</v>
      </c>
      <c r="AJ214" s="29">
        <f>IF(AG214="","",SUMIFS(Bookings!$AK$5:$AK$404,Bookings!$AL$5:$AL$404,AG214,Bookings!$I$5:$I$404,"&gt;="&amp;RepFrom,Bookings!$I$5:$I$404,"&lt;="&amp;RepTo,Bookings!$AM$5:$AM$404,"&lt;&gt;Cancelled"))</f>
        <v>0</v>
      </c>
      <c r="AK214" s="32">
        <f>IF(AG214="","",SUMIFS(Mileage!$M$5:$M$304,Mileage!$C$5:$C$304,AG214,Mileage!$B$5:$B$304,"&gt;="&amp;RepFrom,Mileage!$B$5:$B$304,"&lt;="&amp;RepTo))</f>
        <v>0</v>
      </c>
      <c r="AL214" s="28">
        <f>IF(Lists!$Q214="","",Lists!$Q214)</f>
        <v>0</v>
      </c>
      <c r="AM214" s="31">
        <f>IF(AL214="","",COUNTIFS(Bookings!$AV$5:$AV$404,AL214,Bookings!$I$5:$I$404,"&gt;="&amp;RepFrom,Bookings!$I$5:$I$404,"&lt;="&amp;RepTo))</f>
        <v>0</v>
      </c>
      <c r="AN214" s="28">
        <f>IF(Lists!$AF214="","",Lists!$AF214)</f>
        <v>0</v>
      </c>
      <c r="AO214" s="29">
        <f>IF(AN214="","",SUMIFS(Payments!$L$5:$L$304,Payments!$F$5:$F$304,AN214,Payments!$B$5:$B$304,"&gt;="&amp;RepFrom,Payments!$B$5:$B$304,"&lt;="&amp;RepTo))</f>
        <v>0</v>
      </c>
      <c r="AP214" s="28">
        <f>IF(Lists!$E214="","",Lists!$E214)</f>
        <v>0</v>
      </c>
      <c r="AQ214" s="31">
        <f>IF(AP214="","",COUNTIFS(Clients!$K$5:$K$254,AP214))</f>
        <v>0</v>
      </c>
      <c r="AR214" s="29">
        <f>IF(AP214="","",SUMIFS(Clients!$AE$5:$AE$254,Clients!$K$5:$K$254,AP214))</f>
        <v>0</v>
      </c>
    </row>
    <row r="215" spans="1:44">
      <c r="A215" s="28">
        <f>IF(Clients!$B$215="","",Clients!$B$215)</f>
        <v>0</v>
      </c>
      <c r="B215" s="29">
        <f>IF(A215="","",SUMIFS(Payments!$L$5:$L$304,Payments!$C$5:$C$304,A215,Payments!$B$5:$B$304,"&gt;="&amp;PeriodStart,Payments!$B$5:$B$304,"&lt;="&amp;PeriodEnd))</f>
        <v>0</v>
      </c>
      <c r="C215" s="51">
        <f>IF(A215="","",IF(B215&lt;=0,"",B215+ROW()/1000000))</f>
        <v>0</v>
      </c>
      <c r="D215" s="29">
        <f>IF(A215="","",SUMIFS(Payments!$L$5:$L$304,Payments!$C$5:$C$304,A215,Payments!$B$5:$B$304,"&gt;="&amp;RepFrom,Payments!$B$5:$B$304,"&lt;="&amp;RepTo))</f>
        <v>0</v>
      </c>
      <c r="E215" s="51">
        <f>IF(A215="","",IF(D215&lt;=0,"",D215+ROW()/1000000))</f>
        <v>0</v>
      </c>
      <c r="F215" s="29">
        <f>IF(A215="","",SUMIFS(Invoices!$S$5:$S$304,Invoices!$D$5:$D$304,A215,Invoices!$T$5:$T$304,"&lt;&gt;Cancelled"))</f>
        <v>0</v>
      </c>
      <c r="G215" s="51">
        <f>IF(A215="","",IF(F215&lt;=0.004,"",F215+ROW()/1000000))</f>
        <v>0</v>
      </c>
      <c r="H215" s="31">
        <f>IF(A215="","",COUNTIFS(Bookings!$C$5:$C$404,A215,Bookings!$I$5:$I$404,"&gt;="&amp;RepFrom,Bookings!$I$5:$I$404,"&lt;="&amp;RepTo,Bookings!$AM$5:$AM$404,"&lt;&gt;Cancelled"))</f>
        <v>0</v>
      </c>
      <c r="I215" s="28">
        <f>IF(Services!$B$215="","",Services!$B$215)</f>
        <v>0</v>
      </c>
      <c r="J215" s="29">
        <f>IF(I215="","",SUMIFS(Bookings!$AK$5:$AK$404,Bookings!$H$5:$H$404,I215,Bookings!$I$5:$I$404,"&gt;="&amp;PeriodStart,Bookings!$I$5:$I$404,"&lt;="&amp;PeriodEnd,Bookings!$AM$5:$AM$404,"&lt;&gt;Cancelled"))</f>
        <v>0</v>
      </c>
      <c r="K215" s="31">
        <f>IF(I215="","",COUNTIFS(Bookings!$H$5:$H$404,I215,Bookings!$I$5:$I$404,"&gt;="&amp;PeriodStart,Bookings!$I$5:$I$404,"&lt;="&amp;PeriodEnd,Bookings!$AM$5:$AM$404,"&lt;&gt;Cancelled"))</f>
        <v>0</v>
      </c>
      <c r="L215" s="29">
        <f>IF(I215="","",SUMIFS(Bookings!$AK$5:$AK$404,Bookings!$H$5:$H$404,I215,Bookings!$I$5:$I$404,"&gt;="&amp;RepFrom,Bookings!$I$5:$I$404,"&lt;="&amp;RepTo,Bookings!$AM$5:$AM$404,"&lt;&gt;Cancelled"))</f>
        <v>0</v>
      </c>
      <c r="M215" s="31">
        <f>IF(I215="","",COUNTIFS(Bookings!$H$5:$H$404,I215,Bookings!$I$5:$I$404,"&gt;="&amp;RepFrom,Bookings!$I$5:$I$404,"&lt;="&amp;RepTo,Bookings!$AM$5:$AM$404,"&lt;&gt;Cancelled"))</f>
        <v>0</v>
      </c>
      <c r="N215" s="29">
        <f>IF(I215="","",M215*IF(Services!$L$215="",0,Services!$L$215))</f>
        <v>0</v>
      </c>
      <c r="O215" s="29">
        <f>IF(I215="","",L215-N215)</f>
        <v>0</v>
      </c>
      <c r="P215" s="28">
        <f>IF(Lists!$AG215="","",Lists!$AG215)</f>
        <v>0</v>
      </c>
      <c r="Q215" s="29">
        <f>IF(P215="","",SUMIFS(Expenses!$F$5:$F$304,Expenses!$C$5:$C$304,P215,Expenses!$B$5:$B$304,"&gt;="&amp;PeriodStart,Expenses!$B$5:$B$304,"&lt;="&amp;PeriodEnd,Expenses!$J$5:$J$304,"&lt;&gt;Personal"))</f>
        <v>0</v>
      </c>
      <c r="R215" s="29">
        <f>IF(P215="","",SUMIFS(Expenses!$F$5:$F$304,Expenses!$C$5:$C$304,P215,Expenses!$B$5:$B$304,"&gt;="&amp;RepFrom,Expenses!$B$5:$B$304,"&lt;="&amp;RepTo,Expenses!$J$5:$J$304,"&lt;&gt;Personal"))</f>
        <v>0</v>
      </c>
      <c r="S215" s="21">
        <f>IF(ROW()-4&gt;12,"",DATE(Dash_Year,ROW()-4,1))</f>
        <v>0</v>
      </c>
      <c r="T215" s="21">
        <f>IF(S215="","",EOMONTH(S215,0))</f>
        <v>0</v>
      </c>
      <c r="U215" s="28">
        <f>IF(S215="","",TEXT(S215,"mmm"))</f>
        <v>0</v>
      </c>
      <c r="V215" s="29">
        <f>IF(S215="","",SUMIFS(Payments!$L$5:$L$304,Payments!$B$5:$B$304,"&gt;="&amp;S215,Payments!$B$5:$B$304,"&lt;="&amp;T215))</f>
        <v>0</v>
      </c>
      <c r="W215" s="29">
        <f>IF(S215="","",SUMIFS(Invoices!$O$5:$O$304,Invoices!$B$5:$B$304,"&gt;="&amp;S215,Invoices!$B$5:$B$304,"&lt;="&amp;T215,Invoices!$T$5:$T$304,"&lt;&gt;Cancelled"))</f>
        <v>0</v>
      </c>
      <c r="X215" s="29">
        <f>IF(S215="","",SUMIFS(Expenses!$F$5:$F$304,Expenses!$B$5:$B$304,"&gt;="&amp;S215,Expenses!$B$5:$B$304,"&lt;="&amp;T215,Expenses!$J$5:$J$304,"&lt;&gt;Personal"))</f>
        <v>0</v>
      </c>
      <c r="Y215" s="29">
        <f>IF(S215="","",V215-X215)</f>
        <v>0</v>
      </c>
      <c r="Z215" s="31">
        <f>IF(S215="","",COUNTIFS(Bookings!$I$5:$I$404,"&gt;="&amp;S215,Bookings!$I$5:$I$404,"&lt;="&amp;T215,Bookings!$AM$5:$AM$404,"&lt;&gt;Cancelled"))</f>
        <v>0</v>
      </c>
      <c r="AA215" s="31">
        <f>IF(S215="","",COUNTIFS(Bookings!$I$5:$I$404,"&gt;="&amp;S215,Bookings!$I$5:$I$404,"&lt;="&amp;T215,Bookings!$AM$5:$AM$404,"Completed"))</f>
        <v>0</v>
      </c>
      <c r="AB215" s="31">
        <f>IF(S215="","",COUNTIFS(Bookings!$I$5:$I$404,"&gt;="&amp;S215,Bookings!$I$5:$I$404,"&lt;="&amp;T215,Bookings!$AM$5:$AM$404,"Cancelled"))</f>
        <v>0</v>
      </c>
      <c r="AC215" s="31">
        <f>IF(S215="","",COUNTIFS('Visit Log'!$C$5:$C$404,"&gt;="&amp;S215,'Visit Log'!$C$5:$C$404,"&lt;="&amp;T215,'Visit Log'!$AE$5:$AE$404,"Completed"))</f>
        <v>0</v>
      </c>
      <c r="AD215" s="31">
        <f>IF(S215="","",COUNTIFS(Clients!$L$5:$L$254,"&gt;="&amp;S215,Clients!$L$5:$L$254,"&lt;="&amp;T215))</f>
        <v>0</v>
      </c>
      <c r="AE215" s="32">
        <f>IF(S215="","",SUMIFS(Mileage!$M$5:$M$304,Mileage!$B$5:$B$304,"&gt;="&amp;S215,Mileage!$B$5:$B$304,"&lt;="&amp;T215,Mileage!$N$5:$N$304,"Business"))</f>
        <v>0</v>
      </c>
      <c r="AF215" s="29">
        <f>IF(S215="","",SUMIFS(Payments!$L$5:$L$304,Payments!$B$5:$B$304,"&gt;="&amp;DATE(Dash_Year-1,ROW()-4,1),Payments!$B$5:$B$304,"&lt;="&amp;EOMONTH(DATE(Dash_Year-1,ROW()-4,1),0)))</f>
        <v>0</v>
      </c>
      <c r="AG215" s="28">
        <f>IF(Staff!$B$215="","",Staff!$B$215)</f>
        <v>0</v>
      </c>
      <c r="AH215" s="31">
        <f>IF(AG215="","",COUNTIFS('Visit Log'!$G$5:$G$404,AG215,'Visit Log'!$C$5:$C$404,"&gt;="&amp;RepFrom,'Visit Log'!$C$5:$C$404,"&lt;="&amp;RepTo,'Visit Log'!$AE$5:$AE$404,"Completed"))</f>
        <v>0</v>
      </c>
      <c r="AI215" s="51">
        <f>IF(AG215="","",ROUND(SUMIFS('Visit Log'!$K$5:$K$404,'Visit Log'!$G$5:$G$404,AG215,'Visit Log'!$C$5:$C$404,"&gt;="&amp;RepFrom,'Visit Log'!$C$5:$C$404,"&lt;="&amp;RepTo,'Visit Log'!$AE$5:$AE$404,"Completed")/60,2))</f>
        <v>0</v>
      </c>
      <c r="AJ215" s="29">
        <f>IF(AG215="","",SUMIFS(Bookings!$AK$5:$AK$404,Bookings!$AL$5:$AL$404,AG215,Bookings!$I$5:$I$404,"&gt;="&amp;RepFrom,Bookings!$I$5:$I$404,"&lt;="&amp;RepTo,Bookings!$AM$5:$AM$404,"&lt;&gt;Cancelled"))</f>
        <v>0</v>
      </c>
      <c r="AK215" s="32">
        <f>IF(AG215="","",SUMIFS(Mileage!$M$5:$M$304,Mileage!$C$5:$C$304,AG215,Mileage!$B$5:$B$304,"&gt;="&amp;RepFrom,Mileage!$B$5:$B$304,"&lt;="&amp;RepTo))</f>
        <v>0</v>
      </c>
      <c r="AL215" s="28">
        <f>IF(Lists!$Q215="","",Lists!$Q215)</f>
        <v>0</v>
      </c>
      <c r="AM215" s="31">
        <f>IF(AL215="","",COUNTIFS(Bookings!$AV$5:$AV$404,AL215,Bookings!$I$5:$I$404,"&gt;="&amp;RepFrom,Bookings!$I$5:$I$404,"&lt;="&amp;RepTo))</f>
        <v>0</v>
      </c>
      <c r="AN215" s="28">
        <f>IF(Lists!$AF215="","",Lists!$AF215)</f>
        <v>0</v>
      </c>
      <c r="AO215" s="29">
        <f>IF(AN215="","",SUMIFS(Payments!$L$5:$L$304,Payments!$F$5:$F$304,AN215,Payments!$B$5:$B$304,"&gt;="&amp;RepFrom,Payments!$B$5:$B$304,"&lt;="&amp;RepTo))</f>
        <v>0</v>
      </c>
      <c r="AP215" s="28">
        <f>IF(Lists!$E215="","",Lists!$E215)</f>
        <v>0</v>
      </c>
      <c r="AQ215" s="31">
        <f>IF(AP215="","",COUNTIFS(Clients!$K$5:$K$254,AP215))</f>
        <v>0</v>
      </c>
      <c r="AR215" s="29">
        <f>IF(AP215="","",SUMIFS(Clients!$AE$5:$AE$254,Clients!$K$5:$K$254,AP215))</f>
        <v>0</v>
      </c>
    </row>
    <row r="216" spans="1:44">
      <c r="A216" s="28">
        <f>IF(Clients!$B$216="","",Clients!$B$216)</f>
        <v>0</v>
      </c>
      <c r="B216" s="29">
        <f>IF(A216="","",SUMIFS(Payments!$L$5:$L$304,Payments!$C$5:$C$304,A216,Payments!$B$5:$B$304,"&gt;="&amp;PeriodStart,Payments!$B$5:$B$304,"&lt;="&amp;PeriodEnd))</f>
        <v>0</v>
      </c>
      <c r="C216" s="51">
        <f>IF(A216="","",IF(B216&lt;=0,"",B216+ROW()/1000000))</f>
        <v>0</v>
      </c>
      <c r="D216" s="29">
        <f>IF(A216="","",SUMIFS(Payments!$L$5:$L$304,Payments!$C$5:$C$304,A216,Payments!$B$5:$B$304,"&gt;="&amp;RepFrom,Payments!$B$5:$B$304,"&lt;="&amp;RepTo))</f>
        <v>0</v>
      </c>
      <c r="E216" s="51">
        <f>IF(A216="","",IF(D216&lt;=0,"",D216+ROW()/1000000))</f>
        <v>0</v>
      </c>
      <c r="F216" s="29">
        <f>IF(A216="","",SUMIFS(Invoices!$S$5:$S$304,Invoices!$D$5:$D$304,A216,Invoices!$T$5:$T$304,"&lt;&gt;Cancelled"))</f>
        <v>0</v>
      </c>
      <c r="G216" s="51">
        <f>IF(A216="","",IF(F216&lt;=0.004,"",F216+ROW()/1000000))</f>
        <v>0</v>
      </c>
      <c r="H216" s="31">
        <f>IF(A216="","",COUNTIFS(Bookings!$C$5:$C$404,A216,Bookings!$I$5:$I$404,"&gt;="&amp;RepFrom,Bookings!$I$5:$I$404,"&lt;="&amp;RepTo,Bookings!$AM$5:$AM$404,"&lt;&gt;Cancelled"))</f>
        <v>0</v>
      </c>
      <c r="I216" s="28">
        <f>IF(Services!$B$216="","",Services!$B$216)</f>
        <v>0</v>
      </c>
      <c r="J216" s="29">
        <f>IF(I216="","",SUMIFS(Bookings!$AK$5:$AK$404,Bookings!$H$5:$H$404,I216,Bookings!$I$5:$I$404,"&gt;="&amp;PeriodStart,Bookings!$I$5:$I$404,"&lt;="&amp;PeriodEnd,Bookings!$AM$5:$AM$404,"&lt;&gt;Cancelled"))</f>
        <v>0</v>
      </c>
      <c r="K216" s="31">
        <f>IF(I216="","",COUNTIFS(Bookings!$H$5:$H$404,I216,Bookings!$I$5:$I$404,"&gt;="&amp;PeriodStart,Bookings!$I$5:$I$404,"&lt;="&amp;PeriodEnd,Bookings!$AM$5:$AM$404,"&lt;&gt;Cancelled"))</f>
        <v>0</v>
      </c>
      <c r="L216" s="29">
        <f>IF(I216="","",SUMIFS(Bookings!$AK$5:$AK$404,Bookings!$H$5:$H$404,I216,Bookings!$I$5:$I$404,"&gt;="&amp;RepFrom,Bookings!$I$5:$I$404,"&lt;="&amp;RepTo,Bookings!$AM$5:$AM$404,"&lt;&gt;Cancelled"))</f>
        <v>0</v>
      </c>
      <c r="M216" s="31">
        <f>IF(I216="","",COUNTIFS(Bookings!$H$5:$H$404,I216,Bookings!$I$5:$I$404,"&gt;="&amp;RepFrom,Bookings!$I$5:$I$404,"&lt;="&amp;RepTo,Bookings!$AM$5:$AM$404,"&lt;&gt;Cancelled"))</f>
        <v>0</v>
      </c>
      <c r="N216" s="29">
        <f>IF(I216="","",M216*IF(Services!$L$216="",0,Services!$L$216))</f>
        <v>0</v>
      </c>
      <c r="O216" s="29">
        <f>IF(I216="","",L216-N216)</f>
        <v>0</v>
      </c>
      <c r="P216" s="28">
        <f>IF(Lists!$AG216="","",Lists!$AG216)</f>
        <v>0</v>
      </c>
      <c r="Q216" s="29">
        <f>IF(P216="","",SUMIFS(Expenses!$F$5:$F$304,Expenses!$C$5:$C$304,P216,Expenses!$B$5:$B$304,"&gt;="&amp;PeriodStart,Expenses!$B$5:$B$304,"&lt;="&amp;PeriodEnd,Expenses!$J$5:$J$304,"&lt;&gt;Personal"))</f>
        <v>0</v>
      </c>
      <c r="R216" s="29">
        <f>IF(P216="","",SUMIFS(Expenses!$F$5:$F$304,Expenses!$C$5:$C$304,P216,Expenses!$B$5:$B$304,"&gt;="&amp;RepFrom,Expenses!$B$5:$B$304,"&lt;="&amp;RepTo,Expenses!$J$5:$J$304,"&lt;&gt;Personal"))</f>
        <v>0</v>
      </c>
      <c r="S216" s="21">
        <f>IF(ROW()-4&gt;12,"",DATE(Dash_Year,ROW()-4,1))</f>
        <v>0</v>
      </c>
      <c r="T216" s="21">
        <f>IF(S216="","",EOMONTH(S216,0))</f>
        <v>0</v>
      </c>
      <c r="U216" s="28">
        <f>IF(S216="","",TEXT(S216,"mmm"))</f>
        <v>0</v>
      </c>
      <c r="V216" s="29">
        <f>IF(S216="","",SUMIFS(Payments!$L$5:$L$304,Payments!$B$5:$B$304,"&gt;="&amp;S216,Payments!$B$5:$B$304,"&lt;="&amp;T216))</f>
        <v>0</v>
      </c>
      <c r="W216" s="29">
        <f>IF(S216="","",SUMIFS(Invoices!$O$5:$O$304,Invoices!$B$5:$B$304,"&gt;="&amp;S216,Invoices!$B$5:$B$304,"&lt;="&amp;T216,Invoices!$T$5:$T$304,"&lt;&gt;Cancelled"))</f>
        <v>0</v>
      </c>
      <c r="X216" s="29">
        <f>IF(S216="","",SUMIFS(Expenses!$F$5:$F$304,Expenses!$B$5:$B$304,"&gt;="&amp;S216,Expenses!$B$5:$B$304,"&lt;="&amp;T216,Expenses!$J$5:$J$304,"&lt;&gt;Personal"))</f>
        <v>0</v>
      </c>
      <c r="Y216" s="29">
        <f>IF(S216="","",V216-X216)</f>
        <v>0</v>
      </c>
      <c r="Z216" s="31">
        <f>IF(S216="","",COUNTIFS(Bookings!$I$5:$I$404,"&gt;="&amp;S216,Bookings!$I$5:$I$404,"&lt;="&amp;T216,Bookings!$AM$5:$AM$404,"&lt;&gt;Cancelled"))</f>
        <v>0</v>
      </c>
      <c r="AA216" s="31">
        <f>IF(S216="","",COUNTIFS(Bookings!$I$5:$I$404,"&gt;="&amp;S216,Bookings!$I$5:$I$404,"&lt;="&amp;T216,Bookings!$AM$5:$AM$404,"Completed"))</f>
        <v>0</v>
      </c>
      <c r="AB216" s="31">
        <f>IF(S216="","",COUNTIFS(Bookings!$I$5:$I$404,"&gt;="&amp;S216,Bookings!$I$5:$I$404,"&lt;="&amp;T216,Bookings!$AM$5:$AM$404,"Cancelled"))</f>
        <v>0</v>
      </c>
      <c r="AC216" s="31">
        <f>IF(S216="","",COUNTIFS('Visit Log'!$C$5:$C$404,"&gt;="&amp;S216,'Visit Log'!$C$5:$C$404,"&lt;="&amp;T216,'Visit Log'!$AE$5:$AE$404,"Completed"))</f>
        <v>0</v>
      </c>
      <c r="AD216" s="31">
        <f>IF(S216="","",COUNTIFS(Clients!$L$5:$L$254,"&gt;="&amp;S216,Clients!$L$5:$L$254,"&lt;="&amp;T216))</f>
        <v>0</v>
      </c>
      <c r="AE216" s="32">
        <f>IF(S216="","",SUMIFS(Mileage!$M$5:$M$304,Mileage!$B$5:$B$304,"&gt;="&amp;S216,Mileage!$B$5:$B$304,"&lt;="&amp;T216,Mileage!$N$5:$N$304,"Business"))</f>
        <v>0</v>
      </c>
      <c r="AF216" s="29">
        <f>IF(S216="","",SUMIFS(Payments!$L$5:$L$304,Payments!$B$5:$B$304,"&gt;="&amp;DATE(Dash_Year-1,ROW()-4,1),Payments!$B$5:$B$304,"&lt;="&amp;EOMONTH(DATE(Dash_Year-1,ROW()-4,1),0)))</f>
        <v>0</v>
      </c>
      <c r="AG216" s="28">
        <f>IF(Staff!$B$216="","",Staff!$B$216)</f>
        <v>0</v>
      </c>
      <c r="AH216" s="31">
        <f>IF(AG216="","",COUNTIFS('Visit Log'!$G$5:$G$404,AG216,'Visit Log'!$C$5:$C$404,"&gt;="&amp;RepFrom,'Visit Log'!$C$5:$C$404,"&lt;="&amp;RepTo,'Visit Log'!$AE$5:$AE$404,"Completed"))</f>
        <v>0</v>
      </c>
      <c r="AI216" s="51">
        <f>IF(AG216="","",ROUND(SUMIFS('Visit Log'!$K$5:$K$404,'Visit Log'!$G$5:$G$404,AG216,'Visit Log'!$C$5:$C$404,"&gt;="&amp;RepFrom,'Visit Log'!$C$5:$C$404,"&lt;="&amp;RepTo,'Visit Log'!$AE$5:$AE$404,"Completed")/60,2))</f>
        <v>0</v>
      </c>
      <c r="AJ216" s="29">
        <f>IF(AG216="","",SUMIFS(Bookings!$AK$5:$AK$404,Bookings!$AL$5:$AL$404,AG216,Bookings!$I$5:$I$404,"&gt;="&amp;RepFrom,Bookings!$I$5:$I$404,"&lt;="&amp;RepTo,Bookings!$AM$5:$AM$404,"&lt;&gt;Cancelled"))</f>
        <v>0</v>
      </c>
      <c r="AK216" s="32">
        <f>IF(AG216="","",SUMIFS(Mileage!$M$5:$M$304,Mileage!$C$5:$C$304,AG216,Mileage!$B$5:$B$304,"&gt;="&amp;RepFrom,Mileage!$B$5:$B$304,"&lt;="&amp;RepTo))</f>
        <v>0</v>
      </c>
      <c r="AL216" s="28">
        <f>IF(Lists!$Q216="","",Lists!$Q216)</f>
        <v>0</v>
      </c>
      <c r="AM216" s="31">
        <f>IF(AL216="","",COUNTIFS(Bookings!$AV$5:$AV$404,AL216,Bookings!$I$5:$I$404,"&gt;="&amp;RepFrom,Bookings!$I$5:$I$404,"&lt;="&amp;RepTo))</f>
        <v>0</v>
      </c>
      <c r="AN216" s="28">
        <f>IF(Lists!$AF216="","",Lists!$AF216)</f>
        <v>0</v>
      </c>
      <c r="AO216" s="29">
        <f>IF(AN216="","",SUMIFS(Payments!$L$5:$L$304,Payments!$F$5:$F$304,AN216,Payments!$B$5:$B$304,"&gt;="&amp;RepFrom,Payments!$B$5:$B$304,"&lt;="&amp;RepTo))</f>
        <v>0</v>
      </c>
      <c r="AP216" s="28">
        <f>IF(Lists!$E216="","",Lists!$E216)</f>
        <v>0</v>
      </c>
      <c r="AQ216" s="31">
        <f>IF(AP216="","",COUNTIFS(Clients!$K$5:$K$254,AP216))</f>
        <v>0</v>
      </c>
      <c r="AR216" s="29">
        <f>IF(AP216="","",SUMIFS(Clients!$AE$5:$AE$254,Clients!$K$5:$K$254,AP216))</f>
        <v>0</v>
      </c>
    </row>
    <row r="217" spans="1:44">
      <c r="A217" s="28">
        <f>IF(Clients!$B$217="","",Clients!$B$217)</f>
        <v>0</v>
      </c>
      <c r="B217" s="29">
        <f>IF(A217="","",SUMIFS(Payments!$L$5:$L$304,Payments!$C$5:$C$304,A217,Payments!$B$5:$B$304,"&gt;="&amp;PeriodStart,Payments!$B$5:$B$304,"&lt;="&amp;PeriodEnd))</f>
        <v>0</v>
      </c>
      <c r="C217" s="51">
        <f>IF(A217="","",IF(B217&lt;=0,"",B217+ROW()/1000000))</f>
        <v>0</v>
      </c>
      <c r="D217" s="29">
        <f>IF(A217="","",SUMIFS(Payments!$L$5:$L$304,Payments!$C$5:$C$304,A217,Payments!$B$5:$B$304,"&gt;="&amp;RepFrom,Payments!$B$5:$B$304,"&lt;="&amp;RepTo))</f>
        <v>0</v>
      </c>
      <c r="E217" s="51">
        <f>IF(A217="","",IF(D217&lt;=0,"",D217+ROW()/1000000))</f>
        <v>0</v>
      </c>
      <c r="F217" s="29">
        <f>IF(A217="","",SUMIFS(Invoices!$S$5:$S$304,Invoices!$D$5:$D$304,A217,Invoices!$T$5:$T$304,"&lt;&gt;Cancelled"))</f>
        <v>0</v>
      </c>
      <c r="G217" s="51">
        <f>IF(A217="","",IF(F217&lt;=0.004,"",F217+ROW()/1000000))</f>
        <v>0</v>
      </c>
      <c r="H217" s="31">
        <f>IF(A217="","",COUNTIFS(Bookings!$C$5:$C$404,A217,Bookings!$I$5:$I$404,"&gt;="&amp;RepFrom,Bookings!$I$5:$I$404,"&lt;="&amp;RepTo,Bookings!$AM$5:$AM$404,"&lt;&gt;Cancelled"))</f>
        <v>0</v>
      </c>
      <c r="I217" s="28">
        <f>IF(Services!$B$217="","",Services!$B$217)</f>
        <v>0</v>
      </c>
      <c r="J217" s="29">
        <f>IF(I217="","",SUMIFS(Bookings!$AK$5:$AK$404,Bookings!$H$5:$H$404,I217,Bookings!$I$5:$I$404,"&gt;="&amp;PeriodStart,Bookings!$I$5:$I$404,"&lt;="&amp;PeriodEnd,Bookings!$AM$5:$AM$404,"&lt;&gt;Cancelled"))</f>
        <v>0</v>
      </c>
      <c r="K217" s="31">
        <f>IF(I217="","",COUNTIFS(Bookings!$H$5:$H$404,I217,Bookings!$I$5:$I$404,"&gt;="&amp;PeriodStart,Bookings!$I$5:$I$404,"&lt;="&amp;PeriodEnd,Bookings!$AM$5:$AM$404,"&lt;&gt;Cancelled"))</f>
        <v>0</v>
      </c>
      <c r="L217" s="29">
        <f>IF(I217="","",SUMIFS(Bookings!$AK$5:$AK$404,Bookings!$H$5:$H$404,I217,Bookings!$I$5:$I$404,"&gt;="&amp;RepFrom,Bookings!$I$5:$I$404,"&lt;="&amp;RepTo,Bookings!$AM$5:$AM$404,"&lt;&gt;Cancelled"))</f>
        <v>0</v>
      </c>
      <c r="M217" s="31">
        <f>IF(I217="","",COUNTIFS(Bookings!$H$5:$H$404,I217,Bookings!$I$5:$I$404,"&gt;="&amp;RepFrom,Bookings!$I$5:$I$404,"&lt;="&amp;RepTo,Bookings!$AM$5:$AM$404,"&lt;&gt;Cancelled"))</f>
        <v>0</v>
      </c>
      <c r="N217" s="29">
        <f>IF(I217="","",M217*IF(Services!$L$217="",0,Services!$L$217))</f>
        <v>0</v>
      </c>
      <c r="O217" s="29">
        <f>IF(I217="","",L217-N217)</f>
        <v>0</v>
      </c>
      <c r="P217" s="28">
        <f>IF(Lists!$AG217="","",Lists!$AG217)</f>
        <v>0</v>
      </c>
      <c r="Q217" s="29">
        <f>IF(P217="","",SUMIFS(Expenses!$F$5:$F$304,Expenses!$C$5:$C$304,P217,Expenses!$B$5:$B$304,"&gt;="&amp;PeriodStart,Expenses!$B$5:$B$304,"&lt;="&amp;PeriodEnd,Expenses!$J$5:$J$304,"&lt;&gt;Personal"))</f>
        <v>0</v>
      </c>
      <c r="R217" s="29">
        <f>IF(P217="","",SUMIFS(Expenses!$F$5:$F$304,Expenses!$C$5:$C$304,P217,Expenses!$B$5:$B$304,"&gt;="&amp;RepFrom,Expenses!$B$5:$B$304,"&lt;="&amp;RepTo,Expenses!$J$5:$J$304,"&lt;&gt;Personal"))</f>
        <v>0</v>
      </c>
      <c r="S217" s="21">
        <f>IF(ROW()-4&gt;12,"",DATE(Dash_Year,ROW()-4,1))</f>
        <v>0</v>
      </c>
      <c r="T217" s="21">
        <f>IF(S217="","",EOMONTH(S217,0))</f>
        <v>0</v>
      </c>
      <c r="U217" s="28">
        <f>IF(S217="","",TEXT(S217,"mmm"))</f>
        <v>0</v>
      </c>
      <c r="V217" s="29">
        <f>IF(S217="","",SUMIFS(Payments!$L$5:$L$304,Payments!$B$5:$B$304,"&gt;="&amp;S217,Payments!$B$5:$B$304,"&lt;="&amp;T217))</f>
        <v>0</v>
      </c>
      <c r="W217" s="29">
        <f>IF(S217="","",SUMIFS(Invoices!$O$5:$O$304,Invoices!$B$5:$B$304,"&gt;="&amp;S217,Invoices!$B$5:$B$304,"&lt;="&amp;T217,Invoices!$T$5:$T$304,"&lt;&gt;Cancelled"))</f>
        <v>0</v>
      </c>
      <c r="X217" s="29">
        <f>IF(S217="","",SUMIFS(Expenses!$F$5:$F$304,Expenses!$B$5:$B$304,"&gt;="&amp;S217,Expenses!$B$5:$B$304,"&lt;="&amp;T217,Expenses!$J$5:$J$304,"&lt;&gt;Personal"))</f>
        <v>0</v>
      </c>
      <c r="Y217" s="29">
        <f>IF(S217="","",V217-X217)</f>
        <v>0</v>
      </c>
      <c r="Z217" s="31">
        <f>IF(S217="","",COUNTIFS(Bookings!$I$5:$I$404,"&gt;="&amp;S217,Bookings!$I$5:$I$404,"&lt;="&amp;T217,Bookings!$AM$5:$AM$404,"&lt;&gt;Cancelled"))</f>
        <v>0</v>
      </c>
      <c r="AA217" s="31">
        <f>IF(S217="","",COUNTIFS(Bookings!$I$5:$I$404,"&gt;="&amp;S217,Bookings!$I$5:$I$404,"&lt;="&amp;T217,Bookings!$AM$5:$AM$404,"Completed"))</f>
        <v>0</v>
      </c>
      <c r="AB217" s="31">
        <f>IF(S217="","",COUNTIFS(Bookings!$I$5:$I$404,"&gt;="&amp;S217,Bookings!$I$5:$I$404,"&lt;="&amp;T217,Bookings!$AM$5:$AM$404,"Cancelled"))</f>
        <v>0</v>
      </c>
      <c r="AC217" s="31">
        <f>IF(S217="","",COUNTIFS('Visit Log'!$C$5:$C$404,"&gt;="&amp;S217,'Visit Log'!$C$5:$C$404,"&lt;="&amp;T217,'Visit Log'!$AE$5:$AE$404,"Completed"))</f>
        <v>0</v>
      </c>
      <c r="AD217" s="31">
        <f>IF(S217="","",COUNTIFS(Clients!$L$5:$L$254,"&gt;="&amp;S217,Clients!$L$5:$L$254,"&lt;="&amp;T217))</f>
        <v>0</v>
      </c>
      <c r="AE217" s="32">
        <f>IF(S217="","",SUMIFS(Mileage!$M$5:$M$304,Mileage!$B$5:$B$304,"&gt;="&amp;S217,Mileage!$B$5:$B$304,"&lt;="&amp;T217,Mileage!$N$5:$N$304,"Business"))</f>
        <v>0</v>
      </c>
      <c r="AF217" s="29">
        <f>IF(S217="","",SUMIFS(Payments!$L$5:$L$304,Payments!$B$5:$B$304,"&gt;="&amp;DATE(Dash_Year-1,ROW()-4,1),Payments!$B$5:$B$304,"&lt;="&amp;EOMONTH(DATE(Dash_Year-1,ROW()-4,1),0)))</f>
        <v>0</v>
      </c>
      <c r="AG217" s="28">
        <f>IF(Staff!$B$217="","",Staff!$B$217)</f>
        <v>0</v>
      </c>
      <c r="AH217" s="31">
        <f>IF(AG217="","",COUNTIFS('Visit Log'!$G$5:$G$404,AG217,'Visit Log'!$C$5:$C$404,"&gt;="&amp;RepFrom,'Visit Log'!$C$5:$C$404,"&lt;="&amp;RepTo,'Visit Log'!$AE$5:$AE$404,"Completed"))</f>
        <v>0</v>
      </c>
      <c r="AI217" s="51">
        <f>IF(AG217="","",ROUND(SUMIFS('Visit Log'!$K$5:$K$404,'Visit Log'!$G$5:$G$404,AG217,'Visit Log'!$C$5:$C$404,"&gt;="&amp;RepFrom,'Visit Log'!$C$5:$C$404,"&lt;="&amp;RepTo,'Visit Log'!$AE$5:$AE$404,"Completed")/60,2))</f>
        <v>0</v>
      </c>
      <c r="AJ217" s="29">
        <f>IF(AG217="","",SUMIFS(Bookings!$AK$5:$AK$404,Bookings!$AL$5:$AL$404,AG217,Bookings!$I$5:$I$404,"&gt;="&amp;RepFrom,Bookings!$I$5:$I$404,"&lt;="&amp;RepTo,Bookings!$AM$5:$AM$404,"&lt;&gt;Cancelled"))</f>
        <v>0</v>
      </c>
      <c r="AK217" s="32">
        <f>IF(AG217="","",SUMIFS(Mileage!$M$5:$M$304,Mileage!$C$5:$C$304,AG217,Mileage!$B$5:$B$304,"&gt;="&amp;RepFrom,Mileage!$B$5:$B$304,"&lt;="&amp;RepTo))</f>
        <v>0</v>
      </c>
      <c r="AL217" s="28">
        <f>IF(Lists!$Q217="","",Lists!$Q217)</f>
        <v>0</v>
      </c>
      <c r="AM217" s="31">
        <f>IF(AL217="","",COUNTIFS(Bookings!$AV$5:$AV$404,AL217,Bookings!$I$5:$I$404,"&gt;="&amp;RepFrom,Bookings!$I$5:$I$404,"&lt;="&amp;RepTo))</f>
        <v>0</v>
      </c>
      <c r="AN217" s="28">
        <f>IF(Lists!$AF217="","",Lists!$AF217)</f>
        <v>0</v>
      </c>
      <c r="AO217" s="29">
        <f>IF(AN217="","",SUMIFS(Payments!$L$5:$L$304,Payments!$F$5:$F$304,AN217,Payments!$B$5:$B$304,"&gt;="&amp;RepFrom,Payments!$B$5:$B$304,"&lt;="&amp;RepTo))</f>
        <v>0</v>
      </c>
      <c r="AP217" s="28">
        <f>IF(Lists!$E217="","",Lists!$E217)</f>
        <v>0</v>
      </c>
      <c r="AQ217" s="31">
        <f>IF(AP217="","",COUNTIFS(Clients!$K$5:$K$254,AP217))</f>
        <v>0</v>
      </c>
      <c r="AR217" s="29">
        <f>IF(AP217="","",SUMIFS(Clients!$AE$5:$AE$254,Clients!$K$5:$K$254,AP217))</f>
        <v>0</v>
      </c>
    </row>
    <row r="218" spans="1:44">
      <c r="A218" s="28">
        <f>IF(Clients!$B$218="","",Clients!$B$218)</f>
        <v>0</v>
      </c>
      <c r="B218" s="29">
        <f>IF(A218="","",SUMIFS(Payments!$L$5:$L$304,Payments!$C$5:$C$304,A218,Payments!$B$5:$B$304,"&gt;="&amp;PeriodStart,Payments!$B$5:$B$304,"&lt;="&amp;PeriodEnd))</f>
        <v>0</v>
      </c>
      <c r="C218" s="51">
        <f>IF(A218="","",IF(B218&lt;=0,"",B218+ROW()/1000000))</f>
        <v>0</v>
      </c>
      <c r="D218" s="29">
        <f>IF(A218="","",SUMIFS(Payments!$L$5:$L$304,Payments!$C$5:$C$304,A218,Payments!$B$5:$B$304,"&gt;="&amp;RepFrom,Payments!$B$5:$B$304,"&lt;="&amp;RepTo))</f>
        <v>0</v>
      </c>
      <c r="E218" s="51">
        <f>IF(A218="","",IF(D218&lt;=0,"",D218+ROW()/1000000))</f>
        <v>0</v>
      </c>
      <c r="F218" s="29">
        <f>IF(A218="","",SUMIFS(Invoices!$S$5:$S$304,Invoices!$D$5:$D$304,A218,Invoices!$T$5:$T$304,"&lt;&gt;Cancelled"))</f>
        <v>0</v>
      </c>
      <c r="G218" s="51">
        <f>IF(A218="","",IF(F218&lt;=0.004,"",F218+ROW()/1000000))</f>
        <v>0</v>
      </c>
      <c r="H218" s="31">
        <f>IF(A218="","",COUNTIFS(Bookings!$C$5:$C$404,A218,Bookings!$I$5:$I$404,"&gt;="&amp;RepFrom,Bookings!$I$5:$I$404,"&lt;="&amp;RepTo,Bookings!$AM$5:$AM$404,"&lt;&gt;Cancelled"))</f>
        <v>0</v>
      </c>
      <c r="I218" s="28">
        <f>IF(Services!$B$218="","",Services!$B$218)</f>
        <v>0</v>
      </c>
      <c r="J218" s="29">
        <f>IF(I218="","",SUMIFS(Bookings!$AK$5:$AK$404,Bookings!$H$5:$H$404,I218,Bookings!$I$5:$I$404,"&gt;="&amp;PeriodStart,Bookings!$I$5:$I$404,"&lt;="&amp;PeriodEnd,Bookings!$AM$5:$AM$404,"&lt;&gt;Cancelled"))</f>
        <v>0</v>
      </c>
      <c r="K218" s="31">
        <f>IF(I218="","",COUNTIFS(Bookings!$H$5:$H$404,I218,Bookings!$I$5:$I$404,"&gt;="&amp;PeriodStart,Bookings!$I$5:$I$404,"&lt;="&amp;PeriodEnd,Bookings!$AM$5:$AM$404,"&lt;&gt;Cancelled"))</f>
        <v>0</v>
      </c>
      <c r="L218" s="29">
        <f>IF(I218="","",SUMIFS(Bookings!$AK$5:$AK$404,Bookings!$H$5:$H$404,I218,Bookings!$I$5:$I$404,"&gt;="&amp;RepFrom,Bookings!$I$5:$I$404,"&lt;="&amp;RepTo,Bookings!$AM$5:$AM$404,"&lt;&gt;Cancelled"))</f>
        <v>0</v>
      </c>
      <c r="M218" s="31">
        <f>IF(I218="","",COUNTIFS(Bookings!$H$5:$H$404,I218,Bookings!$I$5:$I$404,"&gt;="&amp;RepFrom,Bookings!$I$5:$I$404,"&lt;="&amp;RepTo,Bookings!$AM$5:$AM$404,"&lt;&gt;Cancelled"))</f>
        <v>0</v>
      </c>
      <c r="N218" s="29">
        <f>IF(I218="","",M218*IF(Services!$L$218="",0,Services!$L$218))</f>
        <v>0</v>
      </c>
      <c r="O218" s="29">
        <f>IF(I218="","",L218-N218)</f>
        <v>0</v>
      </c>
      <c r="P218" s="28">
        <f>IF(Lists!$AG218="","",Lists!$AG218)</f>
        <v>0</v>
      </c>
      <c r="Q218" s="29">
        <f>IF(P218="","",SUMIFS(Expenses!$F$5:$F$304,Expenses!$C$5:$C$304,P218,Expenses!$B$5:$B$304,"&gt;="&amp;PeriodStart,Expenses!$B$5:$B$304,"&lt;="&amp;PeriodEnd,Expenses!$J$5:$J$304,"&lt;&gt;Personal"))</f>
        <v>0</v>
      </c>
      <c r="R218" s="29">
        <f>IF(P218="","",SUMIFS(Expenses!$F$5:$F$304,Expenses!$C$5:$C$304,P218,Expenses!$B$5:$B$304,"&gt;="&amp;RepFrom,Expenses!$B$5:$B$304,"&lt;="&amp;RepTo,Expenses!$J$5:$J$304,"&lt;&gt;Personal"))</f>
        <v>0</v>
      </c>
      <c r="S218" s="21">
        <f>IF(ROW()-4&gt;12,"",DATE(Dash_Year,ROW()-4,1))</f>
        <v>0</v>
      </c>
      <c r="T218" s="21">
        <f>IF(S218="","",EOMONTH(S218,0))</f>
        <v>0</v>
      </c>
      <c r="U218" s="28">
        <f>IF(S218="","",TEXT(S218,"mmm"))</f>
        <v>0</v>
      </c>
      <c r="V218" s="29">
        <f>IF(S218="","",SUMIFS(Payments!$L$5:$L$304,Payments!$B$5:$B$304,"&gt;="&amp;S218,Payments!$B$5:$B$304,"&lt;="&amp;T218))</f>
        <v>0</v>
      </c>
      <c r="W218" s="29">
        <f>IF(S218="","",SUMIFS(Invoices!$O$5:$O$304,Invoices!$B$5:$B$304,"&gt;="&amp;S218,Invoices!$B$5:$B$304,"&lt;="&amp;T218,Invoices!$T$5:$T$304,"&lt;&gt;Cancelled"))</f>
        <v>0</v>
      </c>
      <c r="X218" s="29">
        <f>IF(S218="","",SUMIFS(Expenses!$F$5:$F$304,Expenses!$B$5:$B$304,"&gt;="&amp;S218,Expenses!$B$5:$B$304,"&lt;="&amp;T218,Expenses!$J$5:$J$304,"&lt;&gt;Personal"))</f>
        <v>0</v>
      </c>
      <c r="Y218" s="29">
        <f>IF(S218="","",V218-X218)</f>
        <v>0</v>
      </c>
      <c r="Z218" s="31">
        <f>IF(S218="","",COUNTIFS(Bookings!$I$5:$I$404,"&gt;="&amp;S218,Bookings!$I$5:$I$404,"&lt;="&amp;T218,Bookings!$AM$5:$AM$404,"&lt;&gt;Cancelled"))</f>
        <v>0</v>
      </c>
      <c r="AA218" s="31">
        <f>IF(S218="","",COUNTIFS(Bookings!$I$5:$I$404,"&gt;="&amp;S218,Bookings!$I$5:$I$404,"&lt;="&amp;T218,Bookings!$AM$5:$AM$404,"Completed"))</f>
        <v>0</v>
      </c>
      <c r="AB218" s="31">
        <f>IF(S218="","",COUNTIFS(Bookings!$I$5:$I$404,"&gt;="&amp;S218,Bookings!$I$5:$I$404,"&lt;="&amp;T218,Bookings!$AM$5:$AM$404,"Cancelled"))</f>
        <v>0</v>
      </c>
      <c r="AC218" s="31">
        <f>IF(S218="","",COUNTIFS('Visit Log'!$C$5:$C$404,"&gt;="&amp;S218,'Visit Log'!$C$5:$C$404,"&lt;="&amp;T218,'Visit Log'!$AE$5:$AE$404,"Completed"))</f>
        <v>0</v>
      </c>
      <c r="AD218" s="31">
        <f>IF(S218="","",COUNTIFS(Clients!$L$5:$L$254,"&gt;="&amp;S218,Clients!$L$5:$L$254,"&lt;="&amp;T218))</f>
        <v>0</v>
      </c>
      <c r="AE218" s="32">
        <f>IF(S218="","",SUMIFS(Mileage!$M$5:$M$304,Mileage!$B$5:$B$304,"&gt;="&amp;S218,Mileage!$B$5:$B$304,"&lt;="&amp;T218,Mileage!$N$5:$N$304,"Business"))</f>
        <v>0</v>
      </c>
      <c r="AF218" s="29">
        <f>IF(S218="","",SUMIFS(Payments!$L$5:$L$304,Payments!$B$5:$B$304,"&gt;="&amp;DATE(Dash_Year-1,ROW()-4,1),Payments!$B$5:$B$304,"&lt;="&amp;EOMONTH(DATE(Dash_Year-1,ROW()-4,1),0)))</f>
        <v>0</v>
      </c>
      <c r="AG218" s="28">
        <f>IF(Staff!$B$218="","",Staff!$B$218)</f>
        <v>0</v>
      </c>
      <c r="AH218" s="31">
        <f>IF(AG218="","",COUNTIFS('Visit Log'!$G$5:$G$404,AG218,'Visit Log'!$C$5:$C$404,"&gt;="&amp;RepFrom,'Visit Log'!$C$5:$C$404,"&lt;="&amp;RepTo,'Visit Log'!$AE$5:$AE$404,"Completed"))</f>
        <v>0</v>
      </c>
      <c r="AI218" s="51">
        <f>IF(AG218="","",ROUND(SUMIFS('Visit Log'!$K$5:$K$404,'Visit Log'!$G$5:$G$404,AG218,'Visit Log'!$C$5:$C$404,"&gt;="&amp;RepFrom,'Visit Log'!$C$5:$C$404,"&lt;="&amp;RepTo,'Visit Log'!$AE$5:$AE$404,"Completed")/60,2))</f>
        <v>0</v>
      </c>
      <c r="AJ218" s="29">
        <f>IF(AG218="","",SUMIFS(Bookings!$AK$5:$AK$404,Bookings!$AL$5:$AL$404,AG218,Bookings!$I$5:$I$404,"&gt;="&amp;RepFrom,Bookings!$I$5:$I$404,"&lt;="&amp;RepTo,Bookings!$AM$5:$AM$404,"&lt;&gt;Cancelled"))</f>
        <v>0</v>
      </c>
      <c r="AK218" s="32">
        <f>IF(AG218="","",SUMIFS(Mileage!$M$5:$M$304,Mileage!$C$5:$C$304,AG218,Mileage!$B$5:$B$304,"&gt;="&amp;RepFrom,Mileage!$B$5:$B$304,"&lt;="&amp;RepTo))</f>
        <v>0</v>
      </c>
      <c r="AL218" s="28">
        <f>IF(Lists!$Q218="","",Lists!$Q218)</f>
        <v>0</v>
      </c>
      <c r="AM218" s="31">
        <f>IF(AL218="","",COUNTIFS(Bookings!$AV$5:$AV$404,AL218,Bookings!$I$5:$I$404,"&gt;="&amp;RepFrom,Bookings!$I$5:$I$404,"&lt;="&amp;RepTo))</f>
        <v>0</v>
      </c>
      <c r="AN218" s="28">
        <f>IF(Lists!$AF218="","",Lists!$AF218)</f>
        <v>0</v>
      </c>
      <c r="AO218" s="29">
        <f>IF(AN218="","",SUMIFS(Payments!$L$5:$L$304,Payments!$F$5:$F$304,AN218,Payments!$B$5:$B$304,"&gt;="&amp;RepFrom,Payments!$B$5:$B$304,"&lt;="&amp;RepTo))</f>
        <v>0</v>
      </c>
      <c r="AP218" s="28">
        <f>IF(Lists!$E218="","",Lists!$E218)</f>
        <v>0</v>
      </c>
      <c r="AQ218" s="31">
        <f>IF(AP218="","",COUNTIFS(Clients!$K$5:$K$254,AP218))</f>
        <v>0</v>
      </c>
      <c r="AR218" s="29">
        <f>IF(AP218="","",SUMIFS(Clients!$AE$5:$AE$254,Clients!$K$5:$K$254,AP218))</f>
        <v>0</v>
      </c>
    </row>
    <row r="219" spans="1:44">
      <c r="A219" s="28">
        <f>IF(Clients!$B$219="","",Clients!$B$219)</f>
        <v>0</v>
      </c>
      <c r="B219" s="29">
        <f>IF(A219="","",SUMIFS(Payments!$L$5:$L$304,Payments!$C$5:$C$304,A219,Payments!$B$5:$B$304,"&gt;="&amp;PeriodStart,Payments!$B$5:$B$304,"&lt;="&amp;PeriodEnd))</f>
        <v>0</v>
      </c>
      <c r="C219" s="51">
        <f>IF(A219="","",IF(B219&lt;=0,"",B219+ROW()/1000000))</f>
        <v>0</v>
      </c>
      <c r="D219" s="29">
        <f>IF(A219="","",SUMIFS(Payments!$L$5:$L$304,Payments!$C$5:$C$304,A219,Payments!$B$5:$B$304,"&gt;="&amp;RepFrom,Payments!$B$5:$B$304,"&lt;="&amp;RepTo))</f>
        <v>0</v>
      </c>
      <c r="E219" s="51">
        <f>IF(A219="","",IF(D219&lt;=0,"",D219+ROW()/1000000))</f>
        <v>0</v>
      </c>
      <c r="F219" s="29">
        <f>IF(A219="","",SUMIFS(Invoices!$S$5:$S$304,Invoices!$D$5:$D$304,A219,Invoices!$T$5:$T$304,"&lt;&gt;Cancelled"))</f>
        <v>0</v>
      </c>
      <c r="G219" s="51">
        <f>IF(A219="","",IF(F219&lt;=0.004,"",F219+ROW()/1000000))</f>
        <v>0</v>
      </c>
      <c r="H219" s="31">
        <f>IF(A219="","",COUNTIFS(Bookings!$C$5:$C$404,A219,Bookings!$I$5:$I$404,"&gt;="&amp;RepFrom,Bookings!$I$5:$I$404,"&lt;="&amp;RepTo,Bookings!$AM$5:$AM$404,"&lt;&gt;Cancelled"))</f>
        <v>0</v>
      </c>
      <c r="I219" s="28">
        <f>IF(Services!$B$219="","",Services!$B$219)</f>
        <v>0</v>
      </c>
      <c r="J219" s="29">
        <f>IF(I219="","",SUMIFS(Bookings!$AK$5:$AK$404,Bookings!$H$5:$H$404,I219,Bookings!$I$5:$I$404,"&gt;="&amp;PeriodStart,Bookings!$I$5:$I$404,"&lt;="&amp;PeriodEnd,Bookings!$AM$5:$AM$404,"&lt;&gt;Cancelled"))</f>
        <v>0</v>
      </c>
      <c r="K219" s="31">
        <f>IF(I219="","",COUNTIFS(Bookings!$H$5:$H$404,I219,Bookings!$I$5:$I$404,"&gt;="&amp;PeriodStart,Bookings!$I$5:$I$404,"&lt;="&amp;PeriodEnd,Bookings!$AM$5:$AM$404,"&lt;&gt;Cancelled"))</f>
        <v>0</v>
      </c>
      <c r="L219" s="29">
        <f>IF(I219="","",SUMIFS(Bookings!$AK$5:$AK$404,Bookings!$H$5:$H$404,I219,Bookings!$I$5:$I$404,"&gt;="&amp;RepFrom,Bookings!$I$5:$I$404,"&lt;="&amp;RepTo,Bookings!$AM$5:$AM$404,"&lt;&gt;Cancelled"))</f>
        <v>0</v>
      </c>
      <c r="M219" s="31">
        <f>IF(I219="","",COUNTIFS(Bookings!$H$5:$H$404,I219,Bookings!$I$5:$I$404,"&gt;="&amp;RepFrom,Bookings!$I$5:$I$404,"&lt;="&amp;RepTo,Bookings!$AM$5:$AM$404,"&lt;&gt;Cancelled"))</f>
        <v>0</v>
      </c>
      <c r="N219" s="29">
        <f>IF(I219="","",M219*IF(Services!$L$219="",0,Services!$L$219))</f>
        <v>0</v>
      </c>
      <c r="O219" s="29">
        <f>IF(I219="","",L219-N219)</f>
        <v>0</v>
      </c>
      <c r="P219" s="28">
        <f>IF(Lists!$AG219="","",Lists!$AG219)</f>
        <v>0</v>
      </c>
      <c r="Q219" s="29">
        <f>IF(P219="","",SUMIFS(Expenses!$F$5:$F$304,Expenses!$C$5:$C$304,P219,Expenses!$B$5:$B$304,"&gt;="&amp;PeriodStart,Expenses!$B$5:$B$304,"&lt;="&amp;PeriodEnd,Expenses!$J$5:$J$304,"&lt;&gt;Personal"))</f>
        <v>0</v>
      </c>
      <c r="R219" s="29">
        <f>IF(P219="","",SUMIFS(Expenses!$F$5:$F$304,Expenses!$C$5:$C$304,P219,Expenses!$B$5:$B$304,"&gt;="&amp;RepFrom,Expenses!$B$5:$B$304,"&lt;="&amp;RepTo,Expenses!$J$5:$J$304,"&lt;&gt;Personal"))</f>
        <v>0</v>
      </c>
      <c r="S219" s="21">
        <f>IF(ROW()-4&gt;12,"",DATE(Dash_Year,ROW()-4,1))</f>
        <v>0</v>
      </c>
      <c r="T219" s="21">
        <f>IF(S219="","",EOMONTH(S219,0))</f>
        <v>0</v>
      </c>
      <c r="U219" s="28">
        <f>IF(S219="","",TEXT(S219,"mmm"))</f>
        <v>0</v>
      </c>
      <c r="V219" s="29">
        <f>IF(S219="","",SUMIFS(Payments!$L$5:$L$304,Payments!$B$5:$B$304,"&gt;="&amp;S219,Payments!$B$5:$B$304,"&lt;="&amp;T219))</f>
        <v>0</v>
      </c>
      <c r="W219" s="29">
        <f>IF(S219="","",SUMIFS(Invoices!$O$5:$O$304,Invoices!$B$5:$B$304,"&gt;="&amp;S219,Invoices!$B$5:$B$304,"&lt;="&amp;T219,Invoices!$T$5:$T$304,"&lt;&gt;Cancelled"))</f>
        <v>0</v>
      </c>
      <c r="X219" s="29">
        <f>IF(S219="","",SUMIFS(Expenses!$F$5:$F$304,Expenses!$B$5:$B$304,"&gt;="&amp;S219,Expenses!$B$5:$B$304,"&lt;="&amp;T219,Expenses!$J$5:$J$304,"&lt;&gt;Personal"))</f>
        <v>0</v>
      </c>
      <c r="Y219" s="29">
        <f>IF(S219="","",V219-X219)</f>
        <v>0</v>
      </c>
      <c r="Z219" s="31">
        <f>IF(S219="","",COUNTIFS(Bookings!$I$5:$I$404,"&gt;="&amp;S219,Bookings!$I$5:$I$404,"&lt;="&amp;T219,Bookings!$AM$5:$AM$404,"&lt;&gt;Cancelled"))</f>
        <v>0</v>
      </c>
      <c r="AA219" s="31">
        <f>IF(S219="","",COUNTIFS(Bookings!$I$5:$I$404,"&gt;="&amp;S219,Bookings!$I$5:$I$404,"&lt;="&amp;T219,Bookings!$AM$5:$AM$404,"Completed"))</f>
        <v>0</v>
      </c>
      <c r="AB219" s="31">
        <f>IF(S219="","",COUNTIFS(Bookings!$I$5:$I$404,"&gt;="&amp;S219,Bookings!$I$5:$I$404,"&lt;="&amp;T219,Bookings!$AM$5:$AM$404,"Cancelled"))</f>
        <v>0</v>
      </c>
      <c r="AC219" s="31">
        <f>IF(S219="","",COUNTIFS('Visit Log'!$C$5:$C$404,"&gt;="&amp;S219,'Visit Log'!$C$5:$C$404,"&lt;="&amp;T219,'Visit Log'!$AE$5:$AE$404,"Completed"))</f>
        <v>0</v>
      </c>
      <c r="AD219" s="31">
        <f>IF(S219="","",COUNTIFS(Clients!$L$5:$L$254,"&gt;="&amp;S219,Clients!$L$5:$L$254,"&lt;="&amp;T219))</f>
        <v>0</v>
      </c>
      <c r="AE219" s="32">
        <f>IF(S219="","",SUMIFS(Mileage!$M$5:$M$304,Mileage!$B$5:$B$304,"&gt;="&amp;S219,Mileage!$B$5:$B$304,"&lt;="&amp;T219,Mileage!$N$5:$N$304,"Business"))</f>
        <v>0</v>
      </c>
      <c r="AF219" s="29">
        <f>IF(S219="","",SUMIFS(Payments!$L$5:$L$304,Payments!$B$5:$B$304,"&gt;="&amp;DATE(Dash_Year-1,ROW()-4,1),Payments!$B$5:$B$304,"&lt;="&amp;EOMONTH(DATE(Dash_Year-1,ROW()-4,1),0)))</f>
        <v>0</v>
      </c>
      <c r="AG219" s="28">
        <f>IF(Staff!$B$219="","",Staff!$B$219)</f>
        <v>0</v>
      </c>
      <c r="AH219" s="31">
        <f>IF(AG219="","",COUNTIFS('Visit Log'!$G$5:$G$404,AG219,'Visit Log'!$C$5:$C$404,"&gt;="&amp;RepFrom,'Visit Log'!$C$5:$C$404,"&lt;="&amp;RepTo,'Visit Log'!$AE$5:$AE$404,"Completed"))</f>
        <v>0</v>
      </c>
      <c r="AI219" s="51">
        <f>IF(AG219="","",ROUND(SUMIFS('Visit Log'!$K$5:$K$404,'Visit Log'!$G$5:$G$404,AG219,'Visit Log'!$C$5:$C$404,"&gt;="&amp;RepFrom,'Visit Log'!$C$5:$C$404,"&lt;="&amp;RepTo,'Visit Log'!$AE$5:$AE$404,"Completed")/60,2))</f>
        <v>0</v>
      </c>
      <c r="AJ219" s="29">
        <f>IF(AG219="","",SUMIFS(Bookings!$AK$5:$AK$404,Bookings!$AL$5:$AL$404,AG219,Bookings!$I$5:$I$404,"&gt;="&amp;RepFrom,Bookings!$I$5:$I$404,"&lt;="&amp;RepTo,Bookings!$AM$5:$AM$404,"&lt;&gt;Cancelled"))</f>
        <v>0</v>
      </c>
      <c r="AK219" s="32">
        <f>IF(AG219="","",SUMIFS(Mileage!$M$5:$M$304,Mileage!$C$5:$C$304,AG219,Mileage!$B$5:$B$304,"&gt;="&amp;RepFrom,Mileage!$B$5:$B$304,"&lt;="&amp;RepTo))</f>
        <v>0</v>
      </c>
      <c r="AL219" s="28">
        <f>IF(Lists!$Q219="","",Lists!$Q219)</f>
        <v>0</v>
      </c>
      <c r="AM219" s="31">
        <f>IF(AL219="","",COUNTIFS(Bookings!$AV$5:$AV$404,AL219,Bookings!$I$5:$I$404,"&gt;="&amp;RepFrom,Bookings!$I$5:$I$404,"&lt;="&amp;RepTo))</f>
        <v>0</v>
      </c>
      <c r="AN219" s="28">
        <f>IF(Lists!$AF219="","",Lists!$AF219)</f>
        <v>0</v>
      </c>
      <c r="AO219" s="29">
        <f>IF(AN219="","",SUMIFS(Payments!$L$5:$L$304,Payments!$F$5:$F$304,AN219,Payments!$B$5:$B$304,"&gt;="&amp;RepFrom,Payments!$B$5:$B$304,"&lt;="&amp;RepTo))</f>
        <v>0</v>
      </c>
      <c r="AP219" s="28">
        <f>IF(Lists!$E219="","",Lists!$E219)</f>
        <v>0</v>
      </c>
      <c r="AQ219" s="31">
        <f>IF(AP219="","",COUNTIFS(Clients!$K$5:$K$254,AP219))</f>
        <v>0</v>
      </c>
      <c r="AR219" s="29">
        <f>IF(AP219="","",SUMIFS(Clients!$AE$5:$AE$254,Clients!$K$5:$K$254,AP219))</f>
        <v>0</v>
      </c>
    </row>
    <row r="220" spans="1:44">
      <c r="A220" s="28">
        <f>IF(Clients!$B$220="","",Clients!$B$220)</f>
        <v>0</v>
      </c>
      <c r="B220" s="29">
        <f>IF(A220="","",SUMIFS(Payments!$L$5:$L$304,Payments!$C$5:$C$304,A220,Payments!$B$5:$B$304,"&gt;="&amp;PeriodStart,Payments!$B$5:$B$304,"&lt;="&amp;PeriodEnd))</f>
        <v>0</v>
      </c>
      <c r="C220" s="51">
        <f>IF(A220="","",IF(B220&lt;=0,"",B220+ROW()/1000000))</f>
        <v>0</v>
      </c>
      <c r="D220" s="29">
        <f>IF(A220="","",SUMIFS(Payments!$L$5:$L$304,Payments!$C$5:$C$304,A220,Payments!$B$5:$B$304,"&gt;="&amp;RepFrom,Payments!$B$5:$B$304,"&lt;="&amp;RepTo))</f>
        <v>0</v>
      </c>
      <c r="E220" s="51">
        <f>IF(A220="","",IF(D220&lt;=0,"",D220+ROW()/1000000))</f>
        <v>0</v>
      </c>
      <c r="F220" s="29">
        <f>IF(A220="","",SUMIFS(Invoices!$S$5:$S$304,Invoices!$D$5:$D$304,A220,Invoices!$T$5:$T$304,"&lt;&gt;Cancelled"))</f>
        <v>0</v>
      </c>
      <c r="G220" s="51">
        <f>IF(A220="","",IF(F220&lt;=0.004,"",F220+ROW()/1000000))</f>
        <v>0</v>
      </c>
      <c r="H220" s="31">
        <f>IF(A220="","",COUNTIFS(Bookings!$C$5:$C$404,A220,Bookings!$I$5:$I$404,"&gt;="&amp;RepFrom,Bookings!$I$5:$I$404,"&lt;="&amp;RepTo,Bookings!$AM$5:$AM$404,"&lt;&gt;Cancelled"))</f>
        <v>0</v>
      </c>
      <c r="I220" s="28">
        <f>IF(Services!$B$220="","",Services!$B$220)</f>
        <v>0</v>
      </c>
      <c r="J220" s="29">
        <f>IF(I220="","",SUMIFS(Bookings!$AK$5:$AK$404,Bookings!$H$5:$H$404,I220,Bookings!$I$5:$I$404,"&gt;="&amp;PeriodStart,Bookings!$I$5:$I$404,"&lt;="&amp;PeriodEnd,Bookings!$AM$5:$AM$404,"&lt;&gt;Cancelled"))</f>
        <v>0</v>
      </c>
      <c r="K220" s="31">
        <f>IF(I220="","",COUNTIFS(Bookings!$H$5:$H$404,I220,Bookings!$I$5:$I$404,"&gt;="&amp;PeriodStart,Bookings!$I$5:$I$404,"&lt;="&amp;PeriodEnd,Bookings!$AM$5:$AM$404,"&lt;&gt;Cancelled"))</f>
        <v>0</v>
      </c>
      <c r="L220" s="29">
        <f>IF(I220="","",SUMIFS(Bookings!$AK$5:$AK$404,Bookings!$H$5:$H$404,I220,Bookings!$I$5:$I$404,"&gt;="&amp;RepFrom,Bookings!$I$5:$I$404,"&lt;="&amp;RepTo,Bookings!$AM$5:$AM$404,"&lt;&gt;Cancelled"))</f>
        <v>0</v>
      </c>
      <c r="M220" s="31">
        <f>IF(I220="","",COUNTIFS(Bookings!$H$5:$H$404,I220,Bookings!$I$5:$I$404,"&gt;="&amp;RepFrom,Bookings!$I$5:$I$404,"&lt;="&amp;RepTo,Bookings!$AM$5:$AM$404,"&lt;&gt;Cancelled"))</f>
        <v>0</v>
      </c>
      <c r="N220" s="29">
        <f>IF(I220="","",M220*IF(Services!$L$220="",0,Services!$L$220))</f>
        <v>0</v>
      </c>
      <c r="O220" s="29">
        <f>IF(I220="","",L220-N220)</f>
        <v>0</v>
      </c>
      <c r="P220" s="28">
        <f>IF(Lists!$AG220="","",Lists!$AG220)</f>
        <v>0</v>
      </c>
      <c r="Q220" s="29">
        <f>IF(P220="","",SUMIFS(Expenses!$F$5:$F$304,Expenses!$C$5:$C$304,P220,Expenses!$B$5:$B$304,"&gt;="&amp;PeriodStart,Expenses!$B$5:$B$304,"&lt;="&amp;PeriodEnd,Expenses!$J$5:$J$304,"&lt;&gt;Personal"))</f>
        <v>0</v>
      </c>
      <c r="R220" s="29">
        <f>IF(P220="","",SUMIFS(Expenses!$F$5:$F$304,Expenses!$C$5:$C$304,P220,Expenses!$B$5:$B$304,"&gt;="&amp;RepFrom,Expenses!$B$5:$B$304,"&lt;="&amp;RepTo,Expenses!$J$5:$J$304,"&lt;&gt;Personal"))</f>
        <v>0</v>
      </c>
      <c r="S220" s="21">
        <f>IF(ROW()-4&gt;12,"",DATE(Dash_Year,ROW()-4,1))</f>
        <v>0</v>
      </c>
      <c r="T220" s="21">
        <f>IF(S220="","",EOMONTH(S220,0))</f>
        <v>0</v>
      </c>
      <c r="U220" s="28">
        <f>IF(S220="","",TEXT(S220,"mmm"))</f>
        <v>0</v>
      </c>
      <c r="V220" s="29">
        <f>IF(S220="","",SUMIFS(Payments!$L$5:$L$304,Payments!$B$5:$B$304,"&gt;="&amp;S220,Payments!$B$5:$B$304,"&lt;="&amp;T220))</f>
        <v>0</v>
      </c>
      <c r="W220" s="29">
        <f>IF(S220="","",SUMIFS(Invoices!$O$5:$O$304,Invoices!$B$5:$B$304,"&gt;="&amp;S220,Invoices!$B$5:$B$304,"&lt;="&amp;T220,Invoices!$T$5:$T$304,"&lt;&gt;Cancelled"))</f>
        <v>0</v>
      </c>
      <c r="X220" s="29">
        <f>IF(S220="","",SUMIFS(Expenses!$F$5:$F$304,Expenses!$B$5:$B$304,"&gt;="&amp;S220,Expenses!$B$5:$B$304,"&lt;="&amp;T220,Expenses!$J$5:$J$304,"&lt;&gt;Personal"))</f>
        <v>0</v>
      </c>
      <c r="Y220" s="29">
        <f>IF(S220="","",V220-X220)</f>
        <v>0</v>
      </c>
      <c r="Z220" s="31">
        <f>IF(S220="","",COUNTIFS(Bookings!$I$5:$I$404,"&gt;="&amp;S220,Bookings!$I$5:$I$404,"&lt;="&amp;T220,Bookings!$AM$5:$AM$404,"&lt;&gt;Cancelled"))</f>
        <v>0</v>
      </c>
      <c r="AA220" s="31">
        <f>IF(S220="","",COUNTIFS(Bookings!$I$5:$I$404,"&gt;="&amp;S220,Bookings!$I$5:$I$404,"&lt;="&amp;T220,Bookings!$AM$5:$AM$404,"Completed"))</f>
        <v>0</v>
      </c>
      <c r="AB220" s="31">
        <f>IF(S220="","",COUNTIFS(Bookings!$I$5:$I$404,"&gt;="&amp;S220,Bookings!$I$5:$I$404,"&lt;="&amp;T220,Bookings!$AM$5:$AM$404,"Cancelled"))</f>
        <v>0</v>
      </c>
      <c r="AC220" s="31">
        <f>IF(S220="","",COUNTIFS('Visit Log'!$C$5:$C$404,"&gt;="&amp;S220,'Visit Log'!$C$5:$C$404,"&lt;="&amp;T220,'Visit Log'!$AE$5:$AE$404,"Completed"))</f>
        <v>0</v>
      </c>
      <c r="AD220" s="31">
        <f>IF(S220="","",COUNTIFS(Clients!$L$5:$L$254,"&gt;="&amp;S220,Clients!$L$5:$L$254,"&lt;="&amp;T220))</f>
        <v>0</v>
      </c>
      <c r="AE220" s="32">
        <f>IF(S220="","",SUMIFS(Mileage!$M$5:$M$304,Mileage!$B$5:$B$304,"&gt;="&amp;S220,Mileage!$B$5:$B$304,"&lt;="&amp;T220,Mileage!$N$5:$N$304,"Business"))</f>
        <v>0</v>
      </c>
      <c r="AF220" s="29">
        <f>IF(S220="","",SUMIFS(Payments!$L$5:$L$304,Payments!$B$5:$B$304,"&gt;="&amp;DATE(Dash_Year-1,ROW()-4,1),Payments!$B$5:$B$304,"&lt;="&amp;EOMONTH(DATE(Dash_Year-1,ROW()-4,1),0)))</f>
        <v>0</v>
      </c>
      <c r="AG220" s="28">
        <f>IF(Staff!$B$220="","",Staff!$B$220)</f>
        <v>0</v>
      </c>
      <c r="AH220" s="31">
        <f>IF(AG220="","",COUNTIFS('Visit Log'!$G$5:$G$404,AG220,'Visit Log'!$C$5:$C$404,"&gt;="&amp;RepFrom,'Visit Log'!$C$5:$C$404,"&lt;="&amp;RepTo,'Visit Log'!$AE$5:$AE$404,"Completed"))</f>
        <v>0</v>
      </c>
      <c r="AI220" s="51">
        <f>IF(AG220="","",ROUND(SUMIFS('Visit Log'!$K$5:$K$404,'Visit Log'!$G$5:$G$404,AG220,'Visit Log'!$C$5:$C$404,"&gt;="&amp;RepFrom,'Visit Log'!$C$5:$C$404,"&lt;="&amp;RepTo,'Visit Log'!$AE$5:$AE$404,"Completed")/60,2))</f>
        <v>0</v>
      </c>
      <c r="AJ220" s="29">
        <f>IF(AG220="","",SUMIFS(Bookings!$AK$5:$AK$404,Bookings!$AL$5:$AL$404,AG220,Bookings!$I$5:$I$404,"&gt;="&amp;RepFrom,Bookings!$I$5:$I$404,"&lt;="&amp;RepTo,Bookings!$AM$5:$AM$404,"&lt;&gt;Cancelled"))</f>
        <v>0</v>
      </c>
      <c r="AK220" s="32">
        <f>IF(AG220="","",SUMIFS(Mileage!$M$5:$M$304,Mileage!$C$5:$C$304,AG220,Mileage!$B$5:$B$304,"&gt;="&amp;RepFrom,Mileage!$B$5:$B$304,"&lt;="&amp;RepTo))</f>
        <v>0</v>
      </c>
      <c r="AL220" s="28">
        <f>IF(Lists!$Q220="","",Lists!$Q220)</f>
        <v>0</v>
      </c>
      <c r="AM220" s="31">
        <f>IF(AL220="","",COUNTIFS(Bookings!$AV$5:$AV$404,AL220,Bookings!$I$5:$I$404,"&gt;="&amp;RepFrom,Bookings!$I$5:$I$404,"&lt;="&amp;RepTo))</f>
        <v>0</v>
      </c>
      <c r="AN220" s="28">
        <f>IF(Lists!$AF220="","",Lists!$AF220)</f>
        <v>0</v>
      </c>
      <c r="AO220" s="29">
        <f>IF(AN220="","",SUMIFS(Payments!$L$5:$L$304,Payments!$F$5:$F$304,AN220,Payments!$B$5:$B$304,"&gt;="&amp;RepFrom,Payments!$B$5:$B$304,"&lt;="&amp;RepTo))</f>
        <v>0</v>
      </c>
      <c r="AP220" s="28">
        <f>IF(Lists!$E220="","",Lists!$E220)</f>
        <v>0</v>
      </c>
      <c r="AQ220" s="31">
        <f>IF(AP220="","",COUNTIFS(Clients!$K$5:$K$254,AP220))</f>
        <v>0</v>
      </c>
      <c r="AR220" s="29">
        <f>IF(AP220="","",SUMIFS(Clients!$AE$5:$AE$254,Clients!$K$5:$K$254,AP220))</f>
        <v>0</v>
      </c>
    </row>
    <row r="221" spans="1:44">
      <c r="A221" s="28">
        <f>IF(Clients!$B$221="","",Clients!$B$221)</f>
        <v>0</v>
      </c>
      <c r="B221" s="29">
        <f>IF(A221="","",SUMIFS(Payments!$L$5:$L$304,Payments!$C$5:$C$304,A221,Payments!$B$5:$B$304,"&gt;="&amp;PeriodStart,Payments!$B$5:$B$304,"&lt;="&amp;PeriodEnd))</f>
        <v>0</v>
      </c>
      <c r="C221" s="51">
        <f>IF(A221="","",IF(B221&lt;=0,"",B221+ROW()/1000000))</f>
        <v>0</v>
      </c>
      <c r="D221" s="29">
        <f>IF(A221="","",SUMIFS(Payments!$L$5:$L$304,Payments!$C$5:$C$304,A221,Payments!$B$5:$B$304,"&gt;="&amp;RepFrom,Payments!$B$5:$B$304,"&lt;="&amp;RepTo))</f>
        <v>0</v>
      </c>
      <c r="E221" s="51">
        <f>IF(A221="","",IF(D221&lt;=0,"",D221+ROW()/1000000))</f>
        <v>0</v>
      </c>
      <c r="F221" s="29">
        <f>IF(A221="","",SUMIFS(Invoices!$S$5:$S$304,Invoices!$D$5:$D$304,A221,Invoices!$T$5:$T$304,"&lt;&gt;Cancelled"))</f>
        <v>0</v>
      </c>
      <c r="G221" s="51">
        <f>IF(A221="","",IF(F221&lt;=0.004,"",F221+ROW()/1000000))</f>
        <v>0</v>
      </c>
      <c r="H221" s="31">
        <f>IF(A221="","",COUNTIFS(Bookings!$C$5:$C$404,A221,Bookings!$I$5:$I$404,"&gt;="&amp;RepFrom,Bookings!$I$5:$I$404,"&lt;="&amp;RepTo,Bookings!$AM$5:$AM$404,"&lt;&gt;Cancelled"))</f>
        <v>0</v>
      </c>
      <c r="I221" s="28">
        <f>IF(Services!$B$221="","",Services!$B$221)</f>
        <v>0</v>
      </c>
      <c r="J221" s="29">
        <f>IF(I221="","",SUMIFS(Bookings!$AK$5:$AK$404,Bookings!$H$5:$H$404,I221,Bookings!$I$5:$I$404,"&gt;="&amp;PeriodStart,Bookings!$I$5:$I$404,"&lt;="&amp;PeriodEnd,Bookings!$AM$5:$AM$404,"&lt;&gt;Cancelled"))</f>
        <v>0</v>
      </c>
      <c r="K221" s="31">
        <f>IF(I221="","",COUNTIFS(Bookings!$H$5:$H$404,I221,Bookings!$I$5:$I$404,"&gt;="&amp;PeriodStart,Bookings!$I$5:$I$404,"&lt;="&amp;PeriodEnd,Bookings!$AM$5:$AM$404,"&lt;&gt;Cancelled"))</f>
        <v>0</v>
      </c>
      <c r="L221" s="29">
        <f>IF(I221="","",SUMIFS(Bookings!$AK$5:$AK$404,Bookings!$H$5:$H$404,I221,Bookings!$I$5:$I$404,"&gt;="&amp;RepFrom,Bookings!$I$5:$I$404,"&lt;="&amp;RepTo,Bookings!$AM$5:$AM$404,"&lt;&gt;Cancelled"))</f>
        <v>0</v>
      </c>
      <c r="M221" s="31">
        <f>IF(I221="","",COUNTIFS(Bookings!$H$5:$H$404,I221,Bookings!$I$5:$I$404,"&gt;="&amp;RepFrom,Bookings!$I$5:$I$404,"&lt;="&amp;RepTo,Bookings!$AM$5:$AM$404,"&lt;&gt;Cancelled"))</f>
        <v>0</v>
      </c>
      <c r="N221" s="29">
        <f>IF(I221="","",M221*IF(Services!$L$221="",0,Services!$L$221))</f>
        <v>0</v>
      </c>
      <c r="O221" s="29">
        <f>IF(I221="","",L221-N221)</f>
        <v>0</v>
      </c>
      <c r="P221" s="28">
        <f>IF(Lists!$AG221="","",Lists!$AG221)</f>
        <v>0</v>
      </c>
      <c r="Q221" s="29">
        <f>IF(P221="","",SUMIFS(Expenses!$F$5:$F$304,Expenses!$C$5:$C$304,P221,Expenses!$B$5:$B$304,"&gt;="&amp;PeriodStart,Expenses!$B$5:$B$304,"&lt;="&amp;PeriodEnd,Expenses!$J$5:$J$304,"&lt;&gt;Personal"))</f>
        <v>0</v>
      </c>
      <c r="R221" s="29">
        <f>IF(P221="","",SUMIFS(Expenses!$F$5:$F$304,Expenses!$C$5:$C$304,P221,Expenses!$B$5:$B$304,"&gt;="&amp;RepFrom,Expenses!$B$5:$B$304,"&lt;="&amp;RepTo,Expenses!$J$5:$J$304,"&lt;&gt;Personal"))</f>
        <v>0</v>
      </c>
      <c r="S221" s="21">
        <f>IF(ROW()-4&gt;12,"",DATE(Dash_Year,ROW()-4,1))</f>
        <v>0</v>
      </c>
      <c r="T221" s="21">
        <f>IF(S221="","",EOMONTH(S221,0))</f>
        <v>0</v>
      </c>
      <c r="U221" s="28">
        <f>IF(S221="","",TEXT(S221,"mmm"))</f>
        <v>0</v>
      </c>
      <c r="V221" s="29">
        <f>IF(S221="","",SUMIFS(Payments!$L$5:$L$304,Payments!$B$5:$B$304,"&gt;="&amp;S221,Payments!$B$5:$B$304,"&lt;="&amp;T221))</f>
        <v>0</v>
      </c>
      <c r="W221" s="29">
        <f>IF(S221="","",SUMIFS(Invoices!$O$5:$O$304,Invoices!$B$5:$B$304,"&gt;="&amp;S221,Invoices!$B$5:$B$304,"&lt;="&amp;T221,Invoices!$T$5:$T$304,"&lt;&gt;Cancelled"))</f>
        <v>0</v>
      </c>
      <c r="X221" s="29">
        <f>IF(S221="","",SUMIFS(Expenses!$F$5:$F$304,Expenses!$B$5:$B$304,"&gt;="&amp;S221,Expenses!$B$5:$B$304,"&lt;="&amp;T221,Expenses!$J$5:$J$304,"&lt;&gt;Personal"))</f>
        <v>0</v>
      </c>
      <c r="Y221" s="29">
        <f>IF(S221="","",V221-X221)</f>
        <v>0</v>
      </c>
      <c r="Z221" s="31">
        <f>IF(S221="","",COUNTIFS(Bookings!$I$5:$I$404,"&gt;="&amp;S221,Bookings!$I$5:$I$404,"&lt;="&amp;T221,Bookings!$AM$5:$AM$404,"&lt;&gt;Cancelled"))</f>
        <v>0</v>
      </c>
      <c r="AA221" s="31">
        <f>IF(S221="","",COUNTIFS(Bookings!$I$5:$I$404,"&gt;="&amp;S221,Bookings!$I$5:$I$404,"&lt;="&amp;T221,Bookings!$AM$5:$AM$404,"Completed"))</f>
        <v>0</v>
      </c>
      <c r="AB221" s="31">
        <f>IF(S221="","",COUNTIFS(Bookings!$I$5:$I$404,"&gt;="&amp;S221,Bookings!$I$5:$I$404,"&lt;="&amp;T221,Bookings!$AM$5:$AM$404,"Cancelled"))</f>
        <v>0</v>
      </c>
      <c r="AC221" s="31">
        <f>IF(S221="","",COUNTIFS('Visit Log'!$C$5:$C$404,"&gt;="&amp;S221,'Visit Log'!$C$5:$C$404,"&lt;="&amp;T221,'Visit Log'!$AE$5:$AE$404,"Completed"))</f>
        <v>0</v>
      </c>
      <c r="AD221" s="31">
        <f>IF(S221="","",COUNTIFS(Clients!$L$5:$L$254,"&gt;="&amp;S221,Clients!$L$5:$L$254,"&lt;="&amp;T221))</f>
        <v>0</v>
      </c>
      <c r="AE221" s="32">
        <f>IF(S221="","",SUMIFS(Mileage!$M$5:$M$304,Mileage!$B$5:$B$304,"&gt;="&amp;S221,Mileage!$B$5:$B$304,"&lt;="&amp;T221,Mileage!$N$5:$N$304,"Business"))</f>
        <v>0</v>
      </c>
      <c r="AF221" s="29">
        <f>IF(S221="","",SUMIFS(Payments!$L$5:$L$304,Payments!$B$5:$B$304,"&gt;="&amp;DATE(Dash_Year-1,ROW()-4,1),Payments!$B$5:$B$304,"&lt;="&amp;EOMONTH(DATE(Dash_Year-1,ROW()-4,1),0)))</f>
        <v>0</v>
      </c>
      <c r="AG221" s="28">
        <f>IF(Staff!$B$221="","",Staff!$B$221)</f>
        <v>0</v>
      </c>
      <c r="AH221" s="31">
        <f>IF(AG221="","",COUNTIFS('Visit Log'!$G$5:$G$404,AG221,'Visit Log'!$C$5:$C$404,"&gt;="&amp;RepFrom,'Visit Log'!$C$5:$C$404,"&lt;="&amp;RepTo,'Visit Log'!$AE$5:$AE$404,"Completed"))</f>
        <v>0</v>
      </c>
      <c r="AI221" s="51">
        <f>IF(AG221="","",ROUND(SUMIFS('Visit Log'!$K$5:$K$404,'Visit Log'!$G$5:$G$404,AG221,'Visit Log'!$C$5:$C$404,"&gt;="&amp;RepFrom,'Visit Log'!$C$5:$C$404,"&lt;="&amp;RepTo,'Visit Log'!$AE$5:$AE$404,"Completed")/60,2))</f>
        <v>0</v>
      </c>
      <c r="AJ221" s="29">
        <f>IF(AG221="","",SUMIFS(Bookings!$AK$5:$AK$404,Bookings!$AL$5:$AL$404,AG221,Bookings!$I$5:$I$404,"&gt;="&amp;RepFrom,Bookings!$I$5:$I$404,"&lt;="&amp;RepTo,Bookings!$AM$5:$AM$404,"&lt;&gt;Cancelled"))</f>
        <v>0</v>
      </c>
      <c r="AK221" s="32">
        <f>IF(AG221="","",SUMIFS(Mileage!$M$5:$M$304,Mileage!$C$5:$C$304,AG221,Mileage!$B$5:$B$304,"&gt;="&amp;RepFrom,Mileage!$B$5:$B$304,"&lt;="&amp;RepTo))</f>
        <v>0</v>
      </c>
      <c r="AL221" s="28">
        <f>IF(Lists!$Q221="","",Lists!$Q221)</f>
        <v>0</v>
      </c>
      <c r="AM221" s="31">
        <f>IF(AL221="","",COUNTIFS(Bookings!$AV$5:$AV$404,AL221,Bookings!$I$5:$I$404,"&gt;="&amp;RepFrom,Bookings!$I$5:$I$404,"&lt;="&amp;RepTo))</f>
        <v>0</v>
      </c>
      <c r="AN221" s="28">
        <f>IF(Lists!$AF221="","",Lists!$AF221)</f>
        <v>0</v>
      </c>
      <c r="AO221" s="29">
        <f>IF(AN221="","",SUMIFS(Payments!$L$5:$L$304,Payments!$F$5:$F$304,AN221,Payments!$B$5:$B$304,"&gt;="&amp;RepFrom,Payments!$B$5:$B$304,"&lt;="&amp;RepTo))</f>
        <v>0</v>
      </c>
      <c r="AP221" s="28">
        <f>IF(Lists!$E221="","",Lists!$E221)</f>
        <v>0</v>
      </c>
      <c r="AQ221" s="31">
        <f>IF(AP221="","",COUNTIFS(Clients!$K$5:$K$254,AP221))</f>
        <v>0</v>
      </c>
      <c r="AR221" s="29">
        <f>IF(AP221="","",SUMIFS(Clients!$AE$5:$AE$254,Clients!$K$5:$K$254,AP221))</f>
        <v>0</v>
      </c>
    </row>
    <row r="222" spans="1:44">
      <c r="A222" s="28">
        <f>IF(Clients!$B$222="","",Clients!$B$222)</f>
        <v>0</v>
      </c>
      <c r="B222" s="29">
        <f>IF(A222="","",SUMIFS(Payments!$L$5:$L$304,Payments!$C$5:$C$304,A222,Payments!$B$5:$B$304,"&gt;="&amp;PeriodStart,Payments!$B$5:$B$304,"&lt;="&amp;PeriodEnd))</f>
        <v>0</v>
      </c>
      <c r="C222" s="51">
        <f>IF(A222="","",IF(B222&lt;=0,"",B222+ROW()/1000000))</f>
        <v>0</v>
      </c>
      <c r="D222" s="29">
        <f>IF(A222="","",SUMIFS(Payments!$L$5:$L$304,Payments!$C$5:$C$304,A222,Payments!$B$5:$B$304,"&gt;="&amp;RepFrom,Payments!$B$5:$B$304,"&lt;="&amp;RepTo))</f>
        <v>0</v>
      </c>
      <c r="E222" s="51">
        <f>IF(A222="","",IF(D222&lt;=0,"",D222+ROW()/1000000))</f>
        <v>0</v>
      </c>
      <c r="F222" s="29">
        <f>IF(A222="","",SUMIFS(Invoices!$S$5:$S$304,Invoices!$D$5:$D$304,A222,Invoices!$T$5:$T$304,"&lt;&gt;Cancelled"))</f>
        <v>0</v>
      </c>
      <c r="G222" s="51">
        <f>IF(A222="","",IF(F222&lt;=0.004,"",F222+ROW()/1000000))</f>
        <v>0</v>
      </c>
      <c r="H222" s="31">
        <f>IF(A222="","",COUNTIFS(Bookings!$C$5:$C$404,A222,Bookings!$I$5:$I$404,"&gt;="&amp;RepFrom,Bookings!$I$5:$I$404,"&lt;="&amp;RepTo,Bookings!$AM$5:$AM$404,"&lt;&gt;Cancelled"))</f>
        <v>0</v>
      </c>
      <c r="I222" s="28">
        <f>IF(Services!$B$222="","",Services!$B$222)</f>
        <v>0</v>
      </c>
      <c r="J222" s="29">
        <f>IF(I222="","",SUMIFS(Bookings!$AK$5:$AK$404,Bookings!$H$5:$H$404,I222,Bookings!$I$5:$I$404,"&gt;="&amp;PeriodStart,Bookings!$I$5:$I$404,"&lt;="&amp;PeriodEnd,Bookings!$AM$5:$AM$404,"&lt;&gt;Cancelled"))</f>
        <v>0</v>
      </c>
      <c r="K222" s="31">
        <f>IF(I222="","",COUNTIFS(Bookings!$H$5:$H$404,I222,Bookings!$I$5:$I$404,"&gt;="&amp;PeriodStart,Bookings!$I$5:$I$404,"&lt;="&amp;PeriodEnd,Bookings!$AM$5:$AM$404,"&lt;&gt;Cancelled"))</f>
        <v>0</v>
      </c>
      <c r="L222" s="29">
        <f>IF(I222="","",SUMIFS(Bookings!$AK$5:$AK$404,Bookings!$H$5:$H$404,I222,Bookings!$I$5:$I$404,"&gt;="&amp;RepFrom,Bookings!$I$5:$I$404,"&lt;="&amp;RepTo,Bookings!$AM$5:$AM$404,"&lt;&gt;Cancelled"))</f>
        <v>0</v>
      </c>
      <c r="M222" s="31">
        <f>IF(I222="","",COUNTIFS(Bookings!$H$5:$H$404,I222,Bookings!$I$5:$I$404,"&gt;="&amp;RepFrom,Bookings!$I$5:$I$404,"&lt;="&amp;RepTo,Bookings!$AM$5:$AM$404,"&lt;&gt;Cancelled"))</f>
        <v>0</v>
      </c>
      <c r="N222" s="29">
        <f>IF(I222="","",M222*IF(Services!$L$222="",0,Services!$L$222))</f>
        <v>0</v>
      </c>
      <c r="O222" s="29">
        <f>IF(I222="","",L222-N222)</f>
        <v>0</v>
      </c>
      <c r="P222" s="28">
        <f>IF(Lists!$AG222="","",Lists!$AG222)</f>
        <v>0</v>
      </c>
      <c r="Q222" s="29">
        <f>IF(P222="","",SUMIFS(Expenses!$F$5:$F$304,Expenses!$C$5:$C$304,P222,Expenses!$B$5:$B$304,"&gt;="&amp;PeriodStart,Expenses!$B$5:$B$304,"&lt;="&amp;PeriodEnd,Expenses!$J$5:$J$304,"&lt;&gt;Personal"))</f>
        <v>0</v>
      </c>
      <c r="R222" s="29">
        <f>IF(P222="","",SUMIFS(Expenses!$F$5:$F$304,Expenses!$C$5:$C$304,P222,Expenses!$B$5:$B$304,"&gt;="&amp;RepFrom,Expenses!$B$5:$B$304,"&lt;="&amp;RepTo,Expenses!$J$5:$J$304,"&lt;&gt;Personal"))</f>
        <v>0</v>
      </c>
      <c r="S222" s="21">
        <f>IF(ROW()-4&gt;12,"",DATE(Dash_Year,ROW()-4,1))</f>
        <v>0</v>
      </c>
      <c r="T222" s="21">
        <f>IF(S222="","",EOMONTH(S222,0))</f>
        <v>0</v>
      </c>
      <c r="U222" s="28">
        <f>IF(S222="","",TEXT(S222,"mmm"))</f>
        <v>0</v>
      </c>
      <c r="V222" s="29">
        <f>IF(S222="","",SUMIFS(Payments!$L$5:$L$304,Payments!$B$5:$B$304,"&gt;="&amp;S222,Payments!$B$5:$B$304,"&lt;="&amp;T222))</f>
        <v>0</v>
      </c>
      <c r="W222" s="29">
        <f>IF(S222="","",SUMIFS(Invoices!$O$5:$O$304,Invoices!$B$5:$B$304,"&gt;="&amp;S222,Invoices!$B$5:$B$304,"&lt;="&amp;T222,Invoices!$T$5:$T$304,"&lt;&gt;Cancelled"))</f>
        <v>0</v>
      </c>
      <c r="X222" s="29">
        <f>IF(S222="","",SUMIFS(Expenses!$F$5:$F$304,Expenses!$B$5:$B$304,"&gt;="&amp;S222,Expenses!$B$5:$B$304,"&lt;="&amp;T222,Expenses!$J$5:$J$304,"&lt;&gt;Personal"))</f>
        <v>0</v>
      </c>
      <c r="Y222" s="29">
        <f>IF(S222="","",V222-X222)</f>
        <v>0</v>
      </c>
      <c r="Z222" s="31">
        <f>IF(S222="","",COUNTIFS(Bookings!$I$5:$I$404,"&gt;="&amp;S222,Bookings!$I$5:$I$404,"&lt;="&amp;T222,Bookings!$AM$5:$AM$404,"&lt;&gt;Cancelled"))</f>
        <v>0</v>
      </c>
      <c r="AA222" s="31">
        <f>IF(S222="","",COUNTIFS(Bookings!$I$5:$I$404,"&gt;="&amp;S222,Bookings!$I$5:$I$404,"&lt;="&amp;T222,Bookings!$AM$5:$AM$404,"Completed"))</f>
        <v>0</v>
      </c>
      <c r="AB222" s="31">
        <f>IF(S222="","",COUNTIFS(Bookings!$I$5:$I$404,"&gt;="&amp;S222,Bookings!$I$5:$I$404,"&lt;="&amp;T222,Bookings!$AM$5:$AM$404,"Cancelled"))</f>
        <v>0</v>
      </c>
      <c r="AC222" s="31">
        <f>IF(S222="","",COUNTIFS('Visit Log'!$C$5:$C$404,"&gt;="&amp;S222,'Visit Log'!$C$5:$C$404,"&lt;="&amp;T222,'Visit Log'!$AE$5:$AE$404,"Completed"))</f>
        <v>0</v>
      </c>
      <c r="AD222" s="31">
        <f>IF(S222="","",COUNTIFS(Clients!$L$5:$L$254,"&gt;="&amp;S222,Clients!$L$5:$L$254,"&lt;="&amp;T222))</f>
        <v>0</v>
      </c>
      <c r="AE222" s="32">
        <f>IF(S222="","",SUMIFS(Mileage!$M$5:$M$304,Mileage!$B$5:$B$304,"&gt;="&amp;S222,Mileage!$B$5:$B$304,"&lt;="&amp;T222,Mileage!$N$5:$N$304,"Business"))</f>
        <v>0</v>
      </c>
      <c r="AF222" s="29">
        <f>IF(S222="","",SUMIFS(Payments!$L$5:$L$304,Payments!$B$5:$B$304,"&gt;="&amp;DATE(Dash_Year-1,ROW()-4,1),Payments!$B$5:$B$304,"&lt;="&amp;EOMONTH(DATE(Dash_Year-1,ROW()-4,1),0)))</f>
        <v>0</v>
      </c>
      <c r="AG222" s="28">
        <f>IF(Staff!$B$222="","",Staff!$B$222)</f>
        <v>0</v>
      </c>
      <c r="AH222" s="31">
        <f>IF(AG222="","",COUNTIFS('Visit Log'!$G$5:$G$404,AG222,'Visit Log'!$C$5:$C$404,"&gt;="&amp;RepFrom,'Visit Log'!$C$5:$C$404,"&lt;="&amp;RepTo,'Visit Log'!$AE$5:$AE$404,"Completed"))</f>
        <v>0</v>
      </c>
      <c r="AI222" s="51">
        <f>IF(AG222="","",ROUND(SUMIFS('Visit Log'!$K$5:$K$404,'Visit Log'!$G$5:$G$404,AG222,'Visit Log'!$C$5:$C$404,"&gt;="&amp;RepFrom,'Visit Log'!$C$5:$C$404,"&lt;="&amp;RepTo,'Visit Log'!$AE$5:$AE$404,"Completed")/60,2))</f>
        <v>0</v>
      </c>
      <c r="AJ222" s="29">
        <f>IF(AG222="","",SUMIFS(Bookings!$AK$5:$AK$404,Bookings!$AL$5:$AL$404,AG222,Bookings!$I$5:$I$404,"&gt;="&amp;RepFrom,Bookings!$I$5:$I$404,"&lt;="&amp;RepTo,Bookings!$AM$5:$AM$404,"&lt;&gt;Cancelled"))</f>
        <v>0</v>
      </c>
      <c r="AK222" s="32">
        <f>IF(AG222="","",SUMIFS(Mileage!$M$5:$M$304,Mileage!$C$5:$C$304,AG222,Mileage!$B$5:$B$304,"&gt;="&amp;RepFrom,Mileage!$B$5:$B$304,"&lt;="&amp;RepTo))</f>
        <v>0</v>
      </c>
      <c r="AL222" s="28">
        <f>IF(Lists!$Q222="","",Lists!$Q222)</f>
        <v>0</v>
      </c>
      <c r="AM222" s="31">
        <f>IF(AL222="","",COUNTIFS(Bookings!$AV$5:$AV$404,AL222,Bookings!$I$5:$I$404,"&gt;="&amp;RepFrom,Bookings!$I$5:$I$404,"&lt;="&amp;RepTo))</f>
        <v>0</v>
      </c>
      <c r="AN222" s="28">
        <f>IF(Lists!$AF222="","",Lists!$AF222)</f>
        <v>0</v>
      </c>
      <c r="AO222" s="29">
        <f>IF(AN222="","",SUMIFS(Payments!$L$5:$L$304,Payments!$F$5:$F$304,AN222,Payments!$B$5:$B$304,"&gt;="&amp;RepFrom,Payments!$B$5:$B$304,"&lt;="&amp;RepTo))</f>
        <v>0</v>
      </c>
      <c r="AP222" s="28">
        <f>IF(Lists!$E222="","",Lists!$E222)</f>
        <v>0</v>
      </c>
      <c r="AQ222" s="31">
        <f>IF(AP222="","",COUNTIFS(Clients!$K$5:$K$254,AP222))</f>
        <v>0</v>
      </c>
      <c r="AR222" s="29">
        <f>IF(AP222="","",SUMIFS(Clients!$AE$5:$AE$254,Clients!$K$5:$K$254,AP222))</f>
        <v>0</v>
      </c>
    </row>
    <row r="223" spans="1:44">
      <c r="A223" s="28">
        <f>IF(Clients!$B$223="","",Clients!$B$223)</f>
        <v>0</v>
      </c>
      <c r="B223" s="29">
        <f>IF(A223="","",SUMIFS(Payments!$L$5:$L$304,Payments!$C$5:$C$304,A223,Payments!$B$5:$B$304,"&gt;="&amp;PeriodStart,Payments!$B$5:$B$304,"&lt;="&amp;PeriodEnd))</f>
        <v>0</v>
      </c>
      <c r="C223" s="51">
        <f>IF(A223="","",IF(B223&lt;=0,"",B223+ROW()/1000000))</f>
        <v>0</v>
      </c>
      <c r="D223" s="29">
        <f>IF(A223="","",SUMIFS(Payments!$L$5:$L$304,Payments!$C$5:$C$304,A223,Payments!$B$5:$B$304,"&gt;="&amp;RepFrom,Payments!$B$5:$B$304,"&lt;="&amp;RepTo))</f>
        <v>0</v>
      </c>
      <c r="E223" s="51">
        <f>IF(A223="","",IF(D223&lt;=0,"",D223+ROW()/1000000))</f>
        <v>0</v>
      </c>
      <c r="F223" s="29">
        <f>IF(A223="","",SUMIFS(Invoices!$S$5:$S$304,Invoices!$D$5:$D$304,A223,Invoices!$T$5:$T$304,"&lt;&gt;Cancelled"))</f>
        <v>0</v>
      </c>
      <c r="G223" s="51">
        <f>IF(A223="","",IF(F223&lt;=0.004,"",F223+ROW()/1000000))</f>
        <v>0</v>
      </c>
      <c r="H223" s="31">
        <f>IF(A223="","",COUNTIFS(Bookings!$C$5:$C$404,A223,Bookings!$I$5:$I$404,"&gt;="&amp;RepFrom,Bookings!$I$5:$I$404,"&lt;="&amp;RepTo,Bookings!$AM$5:$AM$404,"&lt;&gt;Cancelled"))</f>
        <v>0</v>
      </c>
      <c r="I223" s="28">
        <f>IF(Services!$B$223="","",Services!$B$223)</f>
        <v>0</v>
      </c>
      <c r="J223" s="29">
        <f>IF(I223="","",SUMIFS(Bookings!$AK$5:$AK$404,Bookings!$H$5:$H$404,I223,Bookings!$I$5:$I$404,"&gt;="&amp;PeriodStart,Bookings!$I$5:$I$404,"&lt;="&amp;PeriodEnd,Bookings!$AM$5:$AM$404,"&lt;&gt;Cancelled"))</f>
        <v>0</v>
      </c>
      <c r="K223" s="31">
        <f>IF(I223="","",COUNTIFS(Bookings!$H$5:$H$404,I223,Bookings!$I$5:$I$404,"&gt;="&amp;PeriodStart,Bookings!$I$5:$I$404,"&lt;="&amp;PeriodEnd,Bookings!$AM$5:$AM$404,"&lt;&gt;Cancelled"))</f>
        <v>0</v>
      </c>
      <c r="L223" s="29">
        <f>IF(I223="","",SUMIFS(Bookings!$AK$5:$AK$404,Bookings!$H$5:$H$404,I223,Bookings!$I$5:$I$404,"&gt;="&amp;RepFrom,Bookings!$I$5:$I$404,"&lt;="&amp;RepTo,Bookings!$AM$5:$AM$404,"&lt;&gt;Cancelled"))</f>
        <v>0</v>
      </c>
      <c r="M223" s="31">
        <f>IF(I223="","",COUNTIFS(Bookings!$H$5:$H$404,I223,Bookings!$I$5:$I$404,"&gt;="&amp;RepFrom,Bookings!$I$5:$I$404,"&lt;="&amp;RepTo,Bookings!$AM$5:$AM$404,"&lt;&gt;Cancelled"))</f>
        <v>0</v>
      </c>
      <c r="N223" s="29">
        <f>IF(I223="","",M223*IF(Services!$L$223="",0,Services!$L$223))</f>
        <v>0</v>
      </c>
      <c r="O223" s="29">
        <f>IF(I223="","",L223-N223)</f>
        <v>0</v>
      </c>
      <c r="P223" s="28">
        <f>IF(Lists!$AG223="","",Lists!$AG223)</f>
        <v>0</v>
      </c>
      <c r="Q223" s="29">
        <f>IF(P223="","",SUMIFS(Expenses!$F$5:$F$304,Expenses!$C$5:$C$304,P223,Expenses!$B$5:$B$304,"&gt;="&amp;PeriodStart,Expenses!$B$5:$B$304,"&lt;="&amp;PeriodEnd,Expenses!$J$5:$J$304,"&lt;&gt;Personal"))</f>
        <v>0</v>
      </c>
      <c r="R223" s="29">
        <f>IF(P223="","",SUMIFS(Expenses!$F$5:$F$304,Expenses!$C$5:$C$304,P223,Expenses!$B$5:$B$304,"&gt;="&amp;RepFrom,Expenses!$B$5:$B$304,"&lt;="&amp;RepTo,Expenses!$J$5:$J$304,"&lt;&gt;Personal"))</f>
        <v>0</v>
      </c>
      <c r="S223" s="21">
        <f>IF(ROW()-4&gt;12,"",DATE(Dash_Year,ROW()-4,1))</f>
        <v>0</v>
      </c>
      <c r="T223" s="21">
        <f>IF(S223="","",EOMONTH(S223,0))</f>
        <v>0</v>
      </c>
      <c r="U223" s="28">
        <f>IF(S223="","",TEXT(S223,"mmm"))</f>
        <v>0</v>
      </c>
      <c r="V223" s="29">
        <f>IF(S223="","",SUMIFS(Payments!$L$5:$L$304,Payments!$B$5:$B$304,"&gt;="&amp;S223,Payments!$B$5:$B$304,"&lt;="&amp;T223))</f>
        <v>0</v>
      </c>
      <c r="W223" s="29">
        <f>IF(S223="","",SUMIFS(Invoices!$O$5:$O$304,Invoices!$B$5:$B$304,"&gt;="&amp;S223,Invoices!$B$5:$B$304,"&lt;="&amp;T223,Invoices!$T$5:$T$304,"&lt;&gt;Cancelled"))</f>
        <v>0</v>
      </c>
      <c r="X223" s="29">
        <f>IF(S223="","",SUMIFS(Expenses!$F$5:$F$304,Expenses!$B$5:$B$304,"&gt;="&amp;S223,Expenses!$B$5:$B$304,"&lt;="&amp;T223,Expenses!$J$5:$J$304,"&lt;&gt;Personal"))</f>
        <v>0</v>
      </c>
      <c r="Y223" s="29">
        <f>IF(S223="","",V223-X223)</f>
        <v>0</v>
      </c>
      <c r="Z223" s="31">
        <f>IF(S223="","",COUNTIFS(Bookings!$I$5:$I$404,"&gt;="&amp;S223,Bookings!$I$5:$I$404,"&lt;="&amp;T223,Bookings!$AM$5:$AM$404,"&lt;&gt;Cancelled"))</f>
        <v>0</v>
      </c>
      <c r="AA223" s="31">
        <f>IF(S223="","",COUNTIFS(Bookings!$I$5:$I$404,"&gt;="&amp;S223,Bookings!$I$5:$I$404,"&lt;="&amp;T223,Bookings!$AM$5:$AM$404,"Completed"))</f>
        <v>0</v>
      </c>
      <c r="AB223" s="31">
        <f>IF(S223="","",COUNTIFS(Bookings!$I$5:$I$404,"&gt;="&amp;S223,Bookings!$I$5:$I$404,"&lt;="&amp;T223,Bookings!$AM$5:$AM$404,"Cancelled"))</f>
        <v>0</v>
      </c>
      <c r="AC223" s="31">
        <f>IF(S223="","",COUNTIFS('Visit Log'!$C$5:$C$404,"&gt;="&amp;S223,'Visit Log'!$C$5:$C$404,"&lt;="&amp;T223,'Visit Log'!$AE$5:$AE$404,"Completed"))</f>
        <v>0</v>
      </c>
      <c r="AD223" s="31">
        <f>IF(S223="","",COUNTIFS(Clients!$L$5:$L$254,"&gt;="&amp;S223,Clients!$L$5:$L$254,"&lt;="&amp;T223))</f>
        <v>0</v>
      </c>
      <c r="AE223" s="32">
        <f>IF(S223="","",SUMIFS(Mileage!$M$5:$M$304,Mileage!$B$5:$B$304,"&gt;="&amp;S223,Mileage!$B$5:$B$304,"&lt;="&amp;T223,Mileage!$N$5:$N$304,"Business"))</f>
        <v>0</v>
      </c>
      <c r="AF223" s="29">
        <f>IF(S223="","",SUMIFS(Payments!$L$5:$L$304,Payments!$B$5:$B$304,"&gt;="&amp;DATE(Dash_Year-1,ROW()-4,1),Payments!$B$5:$B$304,"&lt;="&amp;EOMONTH(DATE(Dash_Year-1,ROW()-4,1),0)))</f>
        <v>0</v>
      </c>
      <c r="AG223" s="28">
        <f>IF(Staff!$B$223="","",Staff!$B$223)</f>
        <v>0</v>
      </c>
      <c r="AH223" s="31">
        <f>IF(AG223="","",COUNTIFS('Visit Log'!$G$5:$G$404,AG223,'Visit Log'!$C$5:$C$404,"&gt;="&amp;RepFrom,'Visit Log'!$C$5:$C$404,"&lt;="&amp;RepTo,'Visit Log'!$AE$5:$AE$404,"Completed"))</f>
        <v>0</v>
      </c>
      <c r="AI223" s="51">
        <f>IF(AG223="","",ROUND(SUMIFS('Visit Log'!$K$5:$K$404,'Visit Log'!$G$5:$G$404,AG223,'Visit Log'!$C$5:$C$404,"&gt;="&amp;RepFrom,'Visit Log'!$C$5:$C$404,"&lt;="&amp;RepTo,'Visit Log'!$AE$5:$AE$404,"Completed")/60,2))</f>
        <v>0</v>
      </c>
      <c r="AJ223" s="29">
        <f>IF(AG223="","",SUMIFS(Bookings!$AK$5:$AK$404,Bookings!$AL$5:$AL$404,AG223,Bookings!$I$5:$I$404,"&gt;="&amp;RepFrom,Bookings!$I$5:$I$404,"&lt;="&amp;RepTo,Bookings!$AM$5:$AM$404,"&lt;&gt;Cancelled"))</f>
        <v>0</v>
      </c>
      <c r="AK223" s="32">
        <f>IF(AG223="","",SUMIFS(Mileage!$M$5:$M$304,Mileage!$C$5:$C$304,AG223,Mileage!$B$5:$B$304,"&gt;="&amp;RepFrom,Mileage!$B$5:$B$304,"&lt;="&amp;RepTo))</f>
        <v>0</v>
      </c>
      <c r="AL223" s="28">
        <f>IF(Lists!$Q223="","",Lists!$Q223)</f>
        <v>0</v>
      </c>
      <c r="AM223" s="31">
        <f>IF(AL223="","",COUNTIFS(Bookings!$AV$5:$AV$404,AL223,Bookings!$I$5:$I$404,"&gt;="&amp;RepFrom,Bookings!$I$5:$I$404,"&lt;="&amp;RepTo))</f>
        <v>0</v>
      </c>
      <c r="AN223" s="28">
        <f>IF(Lists!$AF223="","",Lists!$AF223)</f>
        <v>0</v>
      </c>
      <c r="AO223" s="29">
        <f>IF(AN223="","",SUMIFS(Payments!$L$5:$L$304,Payments!$F$5:$F$304,AN223,Payments!$B$5:$B$304,"&gt;="&amp;RepFrom,Payments!$B$5:$B$304,"&lt;="&amp;RepTo))</f>
        <v>0</v>
      </c>
      <c r="AP223" s="28">
        <f>IF(Lists!$E223="","",Lists!$E223)</f>
        <v>0</v>
      </c>
      <c r="AQ223" s="31">
        <f>IF(AP223="","",COUNTIFS(Clients!$K$5:$K$254,AP223))</f>
        <v>0</v>
      </c>
      <c r="AR223" s="29">
        <f>IF(AP223="","",SUMIFS(Clients!$AE$5:$AE$254,Clients!$K$5:$K$254,AP223))</f>
        <v>0</v>
      </c>
    </row>
    <row r="224" spans="1:44">
      <c r="A224" s="28">
        <f>IF(Clients!$B$224="","",Clients!$B$224)</f>
        <v>0</v>
      </c>
      <c r="B224" s="29">
        <f>IF(A224="","",SUMIFS(Payments!$L$5:$L$304,Payments!$C$5:$C$304,A224,Payments!$B$5:$B$304,"&gt;="&amp;PeriodStart,Payments!$B$5:$B$304,"&lt;="&amp;PeriodEnd))</f>
        <v>0</v>
      </c>
      <c r="C224" s="51">
        <f>IF(A224="","",IF(B224&lt;=0,"",B224+ROW()/1000000))</f>
        <v>0</v>
      </c>
      <c r="D224" s="29">
        <f>IF(A224="","",SUMIFS(Payments!$L$5:$L$304,Payments!$C$5:$C$304,A224,Payments!$B$5:$B$304,"&gt;="&amp;RepFrom,Payments!$B$5:$B$304,"&lt;="&amp;RepTo))</f>
        <v>0</v>
      </c>
      <c r="E224" s="51">
        <f>IF(A224="","",IF(D224&lt;=0,"",D224+ROW()/1000000))</f>
        <v>0</v>
      </c>
      <c r="F224" s="29">
        <f>IF(A224="","",SUMIFS(Invoices!$S$5:$S$304,Invoices!$D$5:$D$304,A224,Invoices!$T$5:$T$304,"&lt;&gt;Cancelled"))</f>
        <v>0</v>
      </c>
      <c r="G224" s="51">
        <f>IF(A224="","",IF(F224&lt;=0.004,"",F224+ROW()/1000000))</f>
        <v>0</v>
      </c>
      <c r="H224" s="31">
        <f>IF(A224="","",COUNTIFS(Bookings!$C$5:$C$404,A224,Bookings!$I$5:$I$404,"&gt;="&amp;RepFrom,Bookings!$I$5:$I$404,"&lt;="&amp;RepTo,Bookings!$AM$5:$AM$404,"&lt;&gt;Cancelled"))</f>
        <v>0</v>
      </c>
      <c r="I224" s="28">
        <f>IF(Services!$B$224="","",Services!$B$224)</f>
        <v>0</v>
      </c>
      <c r="J224" s="29">
        <f>IF(I224="","",SUMIFS(Bookings!$AK$5:$AK$404,Bookings!$H$5:$H$404,I224,Bookings!$I$5:$I$404,"&gt;="&amp;PeriodStart,Bookings!$I$5:$I$404,"&lt;="&amp;PeriodEnd,Bookings!$AM$5:$AM$404,"&lt;&gt;Cancelled"))</f>
        <v>0</v>
      </c>
      <c r="K224" s="31">
        <f>IF(I224="","",COUNTIFS(Bookings!$H$5:$H$404,I224,Bookings!$I$5:$I$404,"&gt;="&amp;PeriodStart,Bookings!$I$5:$I$404,"&lt;="&amp;PeriodEnd,Bookings!$AM$5:$AM$404,"&lt;&gt;Cancelled"))</f>
        <v>0</v>
      </c>
      <c r="L224" s="29">
        <f>IF(I224="","",SUMIFS(Bookings!$AK$5:$AK$404,Bookings!$H$5:$H$404,I224,Bookings!$I$5:$I$404,"&gt;="&amp;RepFrom,Bookings!$I$5:$I$404,"&lt;="&amp;RepTo,Bookings!$AM$5:$AM$404,"&lt;&gt;Cancelled"))</f>
        <v>0</v>
      </c>
      <c r="M224" s="31">
        <f>IF(I224="","",COUNTIFS(Bookings!$H$5:$H$404,I224,Bookings!$I$5:$I$404,"&gt;="&amp;RepFrom,Bookings!$I$5:$I$404,"&lt;="&amp;RepTo,Bookings!$AM$5:$AM$404,"&lt;&gt;Cancelled"))</f>
        <v>0</v>
      </c>
      <c r="N224" s="29">
        <f>IF(I224="","",M224*IF(Services!$L$224="",0,Services!$L$224))</f>
        <v>0</v>
      </c>
      <c r="O224" s="29">
        <f>IF(I224="","",L224-N224)</f>
        <v>0</v>
      </c>
      <c r="P224" s="28">
        <f>IF(Lists!$AG224="","",Lists!$AG224)</f>
        <v>0</v>
      </c>
      <c r="Q224" s="29">
        <f>IF(P224="","",SUMIFS(Expenses!$F$5:$F$304,Expenses!$C$5:$C$304,P224,Expenses!$B$5:$B$304,"&gt;="&amp;PeriodStart,Expenses!$B$5:$B$304,"&lt;="&amp;PeriodEnd,Expenses!$J$5:$J$304,"&lt;&gt;Personal"))</f>
        <v>0</v>
      </c>
      <c r="R224" s="29">
        <f>IF(P224="","",SUMIFS(Expenses!$F$5:$F$304,Expenses!$C$5:$C$304,P224,Expenses!$B$5:$B$304,"&gt;="&amp;RepFrom,Expenses!$B$5:$B$304,"&lt;="&amp;RepTo,Expenses!$J$5:$J$304,"&lt;&gt;Personal"))</f>
        <v>0</v>
      </c>
      <c r="S224" s="21">
        <f>IF(ROW()-4&gt;12,"",DATE(Dash_Year,ROW()-4,1))</f>
        <v>0</v>
      </c>
      <c r="T224" s="21">
        <f>IF(S224="","",EOMONTH(S224,0))</f>
        <v>0</v>
      </c>
      <c r="U224" s="28">
        <f>IF(S224="","",TEXT(S224,"mmm"))</f>
        <v>0</v>
      </c>
      <c r="V224" s="29">
        <f>IF(S224="","",SUMIFS(Payments!$L$5:$L$304,Payments!$B$5:$B$304,"&gt;="&amp;S224,Payments!$B$5:$B$304,"&lt;="&amp;T224))</f>
        <v>0</v>
      </c>
      <c r="W224" s="29">
        <f>IF(S224="","",SUMIFS(Invoices!$O$5:$O$304,Invoices!$B$5:$B$304,"&gt;="&amp;S224,Invoices!$B$5:$B$304,"&lt;="&amp;T224,Invoices!$T$5:$T$304,"&lt;&gt;Cancelled"))</f>
        <v>0</v>
      </c>
      <c r="X224" s="29">
        <f>IF(S224="","",SUMIFS(Expenses!$F$5:$F$304,Expenses!$B$5:$B$304,"&gt;="&amp;S224,Expenses!$B$5:$B$304,"&lt;="&amp;T224,Expenses!$J$5:$J$304,"&lt;&gt;Personal"))</f>
        <v>0</v>
      </c>
      <c r="Y224" s="29">
        <f>IF(S224="","",V224-X224)</f>
        <v>0</v>
      </c>
      <c r="Z224" s="31">
        <f>IF(S224="","",COUNTIFS(Bookings!$I$5:$I$404,"&gt;="&amp;S224,Bookings!$I$5:$I$404,"&lt;="&amp;T224,Bookings!$AM$5:$AM$404,"&lt;&gt;Cancelled"))</f>
        <v>0</v>
      </c>
      <c r="AA224" s="31">
        <f>IF(S224="","",COUNTIFS(Bookings!$I$5:$I$404,"&gt;="&amp;S224,Bookings!$I$5:$I$404,"&lt;="&amp;T224,Bookings!$AM$5:$AM$404,"Completed"))</f>
        <v>0</v>
      </c>
      <c r="AB224" s="31">
        <f>IF(S224="","",COUNTIFS(Bookings!$I$5:$I$404,"&gt;="&amp;S224,Bookings!$I$5:$I$404,"&lt;="&amp;T224,Bookings!$AM$5:$AM$404,"Cancelled"))</f>
        <v>0</v>
      </c>
      <c r="AC224" s="31">
        <f>IF(S224="","",COUNTIFS('Visit Log'!$C$5:$C$404,"&gt;="&amp;S224,'Visit Log'!$C$5:$C$404,"&lt;="&amp;T224,'Visit Log'!$AE$5:$AE$404,"Completed"))</f>
        <v>0</v>
      </c>
      <c r="AD224" s="31">
        <f>IF(S224="","",COUNTIFS(Clients!$L$5:$L$254,"&gt;="&amp;S224,Clients!$L$5:$L$254,"&lt;="&amp;T224))</f>
        <v>0</v>
      </c>
      <c r="AE224" s="32">
        <f>IF(S224="","",SUMIFS(Mileage!$M$5:$M$304,Mileage!$B$5:$B$304,"&gt;="&amp;S224,Mileage!$B$5:$B$304,"&lt;="&amp;T224,Mileage!$N$5:$N$304,"Business"))</f>
        <v>0</v>
      </c>
      <c r="AF224" s="29">
        <f>IF(S224="","",SUMIFS(Payments!$L$5:$L$304,Payments!$B$5:$B$304,"&gt;="&amp;DATE(Dash_Year-1,ROW()-4,1),Payments!$B$5:$B$304,"&lt;="&amp;EOMONTH(DATE(Dash_Year-1,ROW()-4,1),0)))</f>
        <v>0</v>
      </c>
      <c r="AG224" s="28">
        <f>IF(Staff!$B$224="","",Staff!$B$224)</f>
        <v>0</v>
      </c>
      <c r="AH224" s="31">
        <f>IF(AG224="","",COUNTIFS('Visit Log'!$G$5:$G$404,AG224,'Visit Log'!$C$5:$C$404,"&gt;="&amp;RepFrom,'Visit Log'!$C$5:$C$404,"&lt;="&amp;RepTo,'Visit Log'!$AE$5:$AE$404,"Completed"))</f>
        <v>0</v>
      </c>
      <c r="AI224" s="51">
        <f>IF(AG224="","",ROUND(SUMIFS('Visit Log'!$K$5:$K$404,'Visit Log'!$G$5:$G$404,AG224,'Visit Log'!$C$5:$C$404,"&gt;="&amp;RepFrom,'Visit Log'!$C$5:$C$404,"&lt;="&amp;RepTo,'Visit Log'!$AE$5:$AE$404,"Completed")/60,2))</f>
        <v>0</v>
      </c>
      <c r="AJ224" s="29">
        <f>IF(AG224="","",SUMIFS(Bookings!$AK$5:$AK$404,Bookings!$AL$5:$AL$404,AG224,Bookings!$I$5:$I$404,"&gt;="&amp;RepFrom,Bookings!$I$5:$I$404,"&lt;="&amp;RepTo,Bookings!$AM$5:$AM$404,"&lt;&gt;Cancelled"))</f>
        <v>0</v>
      </c>
      <c r="AK224" s="32">
        <f>IF(AG224="","",SUMIFS(Mileage!$M$5:$M$304,Mileage!$C$5:$C$304,AG224,Mileage!$B$5:$B$304,"&gt;="&amp;RepFrom,Mileage!$B$5:$B$304,"&lt;="&amp;RepTo))</f>
        <v>0</v>
      </c>
      <c r="AL224" s="28">
        <f>IF(Lists!$Q224="","",Lists!$Q224)</f>
        <v>0</v>
      </c>
      <c r="AM224" s="31">
        <f>IF(AL224="","",COUNTIFS(Bookings!$AV$5:$AV$404,AL224,Bookings!$I$5:$I$404,"&gt;="&amp;RepFrom,Bookings!$I$5:$I$404,"&lt;="&amp;RepTo))</f>
        <v>0</v>
      </c>
      <c r="AN224" s="28">
        <f>IF(Lists!$AF224="","",Lists!$AF224)</f>
        <v>0</v>
      </c>
      <c r="AO224" s="29">
        <f>IF(AN224="","",SUMIFS(Payments!$L$5:$L$304,Payments!$F$5:$F$304,AN224,Payments!$B$5:$B$304,"&gt;="&amp;RepFrom,Payments!$B$5:$B$304,"&lt;="&amp;RepTo))</f>
        <v>0</v>
      </c>
      <c r="AP224" s="28">
        <f>IF(Lists!$E224="","",Lists!$E224)</f>
        <v>0</v>
      </c>
      <c r="AQ224" s="31">
        <f>IF(AP224="","",COUNTIFS(Clients!$K$5:$K$254,AP224))</f>
        <v>0</v>
      </c>
      <c r="AR224" s="29">
        <f>IF(AP224="","",SUMIFS(Clients!$AE$5:$AE$254,Clients!$K$5:$K$254,AP224))</f>
        <v>0</v>
      </c>
    </row>
    <row r="225" spans="1:44">
      <c r="A225" s="28">
        <f>IF(Clients!$B$225="","",Clients!$B$225)</f>
        <v>0</v>
      </c>
      <c r="B225" s="29">
        <f>IF(A225="","",SUMIFS(Payments!$L$5:$L$304,Payments!$C$5:$C$304,A225,Payments!$B$5:$B$304,"&gt;="&amp;PeriodStart,Payments!$B$5:$B$304,"&lt;="&amp;PeriodEnd))</f>
        <v>0</v>
      </c>
      <c r="C225" s="51">
        <f>IF(A225="","",IF(B225&lt;=0,"",B225+ROW()/1000000))</f>
        <v>0</v>
      </c>
      <c r="D225" s="29">
        <f>IF(A225="","",SUMIFS(Payments!$L$5:$L$304,Payments!$C$5:$C$304,A225,Payments!$B$5:$B$304,"&gt;="&amp;RepFrom,Payments!$B$5:$B$304,"&lt;="&amp;RepTo))</f>
        <v>0</v>
      </c>
      <c r="E225" s="51">
        <f>IF(A225="","",IF(D225&lt;=0,"",D225+ROW()/1000000))</f>
        <v>0</v>
      </c>
      <c r="F225" s="29">
        <f>IF(A225="","",SUMIFS(Invoices!$S$5:$S$304,Invoices!$D$5:$D$304,A225,Invoices!$T$5:$T$304,"&lt;&gt;Cancelled"))</f>
        <v>0</v>
      </c>
      <c r="G225" s="51">
        <f>IF(A225="","",IF(F225&lt;=0.004,"",F225+ROW()/1000000))</f>
        <v>0</v>
      </c>
      <c r="H225" s="31">
        <f>IF(A225="","",COUNTIFS(Bookings!$C$5:$C$404,A225,Bookings!$I$5:$I$404,"&gt;="&amp;RepFrom,Bookings!$I$5:$I$404,"&lt;="&amp;RepTo,Bookings!$AM$5:$AM$404,"&lt;&gt;Cancelled"))</f>
        <v>0</v>
      </c>
      <c r="I225" s="28">
        <f>IF(Services!$B$225="","",Services!$B$225)</f>
        <v>0</v>
      </c>
      <c r="J225" s="29">
        <f>IF(I225="","",SUMIFS(Bookings!$AK$5:$AK$404,Bookings!$H$5:$H$404,I225,Bookings!$I$5:$I$404,"&gt;="&amp;PeriodStart,Bookings!$I$5:$I$404,"&lt;="&amp;PeriodEnd,Bookings!$AM$5:$AM$404,"&lt;&gt;Cancelled"))</f>
        <v>0</v>
      </c>
      <c r="K225" s="31">
        <f>IF(I225="","",COUNTIFS(Bookings!$H$5:$H$404,I225,Bookings!$I$5:$I$404,"&gt;="&amp;PeriodStart,Bookings!$I$5:$I$404,"&lt;="&amp;PeriodEnd,Bookings!$AM$5:$AM$404,"&lt;&gt;Cancelled"))</f>
        <v>0</v>
      </c>
      <c r="L225" s="29">
        <f>IF(I225="","",SUMIFS(Bookings!$AK$5:$AK$404,Bookings!$H$5:$H$404,I225,Bookings!$I$5:$I$404,"&gt;="&amp;RepFrom,Bookings!$I$5:$I$404,"&lt;="&amp;RepTo,Bookings!$AM$5:$AM$404,"&lt;&gt;Cancelled"))</f>
        <v>0</v>
      </c>
      <c r="M225" s="31">
        <f>IF(I225="","",COUNTIFS(Bookings!$H$5:$H$404,I225,Bookings!$I$5:$I$404,"&gt;="&amp;RepFrom,Bookings!$I$5:$I$404,"&lt;="&amp;RepTo,Bookings!$AM$5:$AM$404,"&lt;&gt;Cancelled"))</f>
        <v>0</v>
      </c>
      <c r="N225" s="29">
        <f>IF(I225="","",M225*IF(Services!$L$225="",0,Services!$L$225))</f>
        <v>0</v>
      </c>
      <c r="O225" s="29">
        <f>IF(I225="","",L225-N225)</f>
        <v>0</v>
      </c>
      <c r="P225" s="28">
        <f>IF(Lists!$AG225="","",Lists!$AG225)</f>
        <v>0</v>
      </c>
      <c r="Q225" s="29">
        <f>IF(P225="","",SUMIFS(Expenses!$F$5:$F$304,Expenses!$C$5:$C$304,P225,Expenses!$B$5:$B$304,"&gt;="&amp;PeriodStart,Expenses!$B$5:$B$304,"&lt;="&amp;PeriodEnd,Expenses!$J$5:$J$304,"&lt;&gt;Personal"))</f>
        <v>0</v>
      </c>
      <c r="R225" s="29">
        <f>IF(P225="","",SUMIFS(Expenses!$F$5:$F$304,Expenses!$C$5:$C$304,P225,Expenses!$B$5:$B$304,"&gt;="&amp;RepFrom,Expenses!$B$5:$B$304,"&lt;="&amp;RepTo,Expenses!$J$5:$J$304,"&lt;&gt;Personal"))</f>
        <v>0</v>
      </c>
      <c r="S225" s="21">
        <f>IF(ROW()-4&gt;12,"",DATE(Dash_Year,ROW()-4,1))</f>
        <v>0</v>
      </c>
      <c r="T225" s="21">
        <f>IF(S225="","",EOMONTH(S225,0))</f>
        <v>0</v>
      </c>
      <c r="U225" s="28">
        <f>IF(S225="","",TEXT(S225,"mmm"))</f>
        <v>0</v>
      </c>
      <c r="V225" s="29">
        <f>IF(S225="","",SUMIFS(Payments!$L$5:$L$304,Payments!$B$5:$B$304,"&gt;="&amp;S225,Payments!$B$5:$B$304,"&lt;="&amp;T225))</f>
        <v>0</v>
      </c>
      <c r="W225" s="29">
        <f>IF(S225="","",SUMIFS(Invoices!$O$5:$O$304,Invoices!$B$5:$B$304,"&gt;="&amp;S225,Invoices!$B$5:$B$304,"&lt;="&amp;T225,Invoices!$T$5:$T$304,"&lt;&gt;Cancelled"))</f>
        <v>0</v>
      </c>
      <c r="X225" s="29">
        <f>IF(S225="","",SUMIFS(Expenses!$F$5:$F$304,Expenses!$B$5:$B$304,"&gt;="&amp;S225,Expenses!$B$5:$B$304,"&lt;="&amp;T225,Expenses!$J$5:$J$304,"&lt;&gt;Personal"))</f>
        <v>0</v>
      </c>
      <c r="Y225" s="29">
        <f>IF(S225="","",V225-X225)</f>
        <v>0</v>
      </c>
      <c r="Z225" s="31">
        <f>IF(S225="","",COUNTIFS(Bookings!$I$5:$I$404,"&gt;="&amp;S225,Bookings!$I$5:$I$404,"&lt;="&amp;T225,Bookings!$AM$5:$AM$404,"&lt;&gt;Cancelled"))</f>
        <v>0</v>
      </c>
      <c r="AA225" s="31">
        <f>IF(S225="","",COUNTIFS(Bookings!$I$5:$I$404,"&gt;="&amp;S225,Bookings!$I$5:$I$404,"&lt;="&amp;T225,Bookings!$AM$5:$AM$404,"Completed"))</f>
        <v>0</v>
      </c>
      <c r="AB225" s="31">
        <f>IF(S225="","",COUNTIFS(Bookings!$I$5:$I$404,"&gt;="&amp;S225,Bookings!$I$5:$I$404,"&lt;="&amp;T225,Bookings!$AM$5:$AM$404,"Cancelled"))</f>
        <v>0</v>
      </c>
      <c r="AC225" s="31">
        <f>IF(S225="","",COUNTIFS('Visit Log'!$C$5:$C$404,"&gt;="&amp;S225,'Visit Log'!$C$5:$C$404,"&lt;="&amp;T225,'Visit Log'!$AE$5:$AE$404,"Completed"))</f>
        <v>0</v>
      </c>
      <c r="AD225" s="31">
        <f>IF(S225="","",COUNTIFS(Clients!$L$5:$L$254,"&gt;="&amp;S225,Clients!$L$5:$L$254,"&lt;="&amp;T225))</f>
        <v>0</v>
      </c>
      <c r="AE225" s="32">
        <f>IF(S225="","",SUMIFS(Mileage!$M$5:$M$304,Mileage!$B$5:$B$304,"&gt;="&amp;S225,Mileage!$B$5:$B$304,"&lt;="&amp;T225,Mileage!$N$5:$N$304,"Business"))</f>
        <v>0</v>
      </c>
      <c r="AF225" s="29">
        <f>IF(S225="","",SUMIFS(Payments!$L$5:$L$304,Payments!$B$5:$B$304,"&gt;="&amp;DATE(Dash_Year-1,ROW()-4,1),Payments!$B$5:$B$304,"&lt;="&amp;EOMONTH(DATE(Dash_Year-1,ROW()-4,1),0)))</f>
        <v>0</v>
      </c>
      <c r="AG225" s="28">
        <f>IF(Staff!$B$225="","",Staff!$B$225)</f>
        <v>0</v>
      </c>
      <c r="AH225" s="31">
        <f>IF(AG225="","",COUNTIFS('Visit Log'!$G$5:$G$404,AG225,'Visit Log'!$C$5:$C$404,"&gt;="&amp;RepFrom,'Visit Log'!$C$5:$C$404,"&lt;="&amp;RepTo,'Visit Log'!$AE$5:$AE$404,"Completed"))</f>
        <v>0</v>
      </c>
      <c r="AI225" s="51">
        <f>IF(AG225="","",ROUND(SUMIFS('Visit Log'!$K$5:$K$404,'Visit Log'!$G$5:$G$404,AG225,'Visit Log'!$C$5:$C$404,"&gt;="&amp;RepFrom,'Visit Log'!$C$5:$C$404,"&lt;="&amp;RepTo,'Visit Log'!$AE$5:$AE$404,"Completed")/60,2))</f>
        <v>0</v>
      </c>
      <c r="AJ225" s="29">
        <f>IF(AG225="","",SUMIFS(Bookings!$AK$5:$AK$404,Bookings!$AL$5:$AL$404,AG225,Bookings!$I$5:$I$404,"&gt;="&amp;RepFrom,Bookings!$I$5:$I$404,"&lt;="&amp;RepTo,Bookings!$AM$5:$AM$404,"&lt;&gt;Cancelled"))</f>
        <v>0</v>
      </c>
      <c r="AK225" s="32">
        <f>IF(AG225="","",SUMIFS(Mileage!$M$5:$M$304,Mileage!$C$5:$C$304,AG225,Mileage!$B$5:$B$304,"&gt;="&amp;RepFrom,Mileage!$B$5:$B$304,"&lt;="&amp;RepTo))</f>
        <v>0</v>
      </c>
      <c r="AL225" s="28">
        <f>IF(Lists!$Q225="","",Lists!$Q225)</f>
        <v>0</v>
      </c>
      <c r="AM225" s="31">
        <f>IF(AL225="","",COUNTIFS(Bookings!$AV$5:$AV$404,AL225,Bookings!$I$5:$I$404,"&gt;="&amp;RepFrom,Bookings!$I$5:$I$404,"&lt;="&amp;RepTo))</f>
        <v>0</v>
      </c>
      <c r="AN225" s="28">
        <f>IF(Lists!$AF225="","",Lists!$AF225)</f>
        <v>0</v>
      </c>
      <c r="AO225" s="29">
        <f>IF(AN225="","",SUMIFS(Payments!$L$5:$L$304,Payments!$F$5:$F$304,AN225,Payments!$B$5:$B$304,"&gt;="&amp;RepFrom,Payments!$B$5:$B$304,"&lt;="&amp;RepTo))</f>
        <v>0</v>
      </c>
      <c r="AP225" s="28">
        <f>IF(Lists!$E225="","",Lists!$E225)</f>
        <v>0</v>
      </c>
      <c r="AQ225" s="31">
        <f>IF(AP225="","",COUNTIFS(Clients!$K$5:$K$254,AP225))</f>
        <v>0</v>
      </c>
      <c r="AR225" s="29">
        <f>IF(AP225="","",SUMIFS(Clients!$AE$5:$AE$254,Clients!$K$5:$K$254,AP225))</f>
        <v>0</v>
      </c>
    </row>
    <row r="226" spans="1:44">
      <c r="A226" s="28">
        <f>IF(Clients!$B$226="","",Clients!$B$226)</f>
        <v>0</v>
      </c>
      <c r="B226" s="29">
        <f>IF(A226="","",SUMIFS(Payments!$L$5:$L$304,Payments!$C$5:$C$304,A226,Payments!$B$5:$B$304,"&gt;="&amp;PeriodStart,Payments!$B$5:$B$304,"&lt;="&amp;PeriodEnd))</f>
        <v>0</v>
      </c>
      <c r="C226" s="51">
        <f>IF(A226="","",IF(B226&lt;=0,"",B226+ROW()/1000000))</f>
        <v>0</v>
      </c>
      <c r="D226" s="29">
        <f>IF(A226="","",SUMIFS(Payments!$L$5:$L$304,Payments!$C$5:$C$304,A226,Payments!$B$5:$B$304,"&gt;="&amp;RepFrom,Payments!$B$5:$B$304,"&lt;="&amp;RepTo))</f>
        <v>0</v>
      </c>
      <c r="E226" s="51">
        <f>IF(A226="","",IF(D226&lt;=0,"",D226+ROW()/1000000))</f>
        <v>0</v>
      </c>
      <c r="F226" s="29">
        <f>IF(A226="","",SUMIFS(Invoices!$S$5:$S$304,Invoices!$D$5:$D$304,A226,Invoices!$T$5:$T$304,"&lt;&gt;Cancelled"))</f>
        <v>0</v>
      </c>
      <c r="G226" s="51">
        <f>IF(A226="","",IF(F226&lt;=0.004,"",F226+ROW()/1000000))</f>
        <v>0</v>
      </c>
      <c r="H226" s="31">
        <f>IF(A226="","",COUNTIFS(Bookings!$C$5:$C$404,A226,Bookings!$I$5:$I$404,"&gt;="&amp;RepFrom,Bookings!$I$5:$I$404,"&lt;="&amp;RepTo,Bookings!$AM$5:$AM$404,"&lt;&gt;Cancelled"))</f>
        <v>0</v>
      </c>
      <c r="I226" s="28">
        <f>IF(Services!$B$226="","",Services!$B$226)</f>
        <v>0</v>
      </c>
      <c r="J226" s="29">
        <f>IF(I226="","",SUMIFS(Bookings!$AK$5:$AK$404,Bookings!$H$5:$H$404,I226,Bookings!$I$5:$I$404,"&gt;="&amp;PeriodStart,Bookings!$I$5:$I$404,"&lt;="&amp;PeriodEnd,Bookings!$AM$5:$AM$404,"&lt;&gt;Cancelled"))</f>
        <v>0</v>
      </c>
      <c r="K226" s="31">
        <f>IF(I226="","",COUNTIFS(Bookings!$H$5:$H$404,I226,Bookings!$I$5:$I$404,"&gt;="&amp;PeriodStart,Bookings!$I$5:$I$404,"&lt;="&amp;PeriodEnd,Bookings!$AM$5:$AM$404,"&lt;&gt;Cancelled"))</f>
        <v>0</v>
      </c>
      <c r="L226" s="29">
        <f>IF(I226="","",SUMIFS(Bookings!$AK$5:$AK$404,Bookings!$H$5:$H$404,I226,Bookings!$I$5:$I$404,"&gt;="&amp;RepFrom,Bookings!$I$5:$I$404,"&lt;="&amp;RepTo,Bookings!$AM$5:$AM$404,"&lt;&gt;Cancelled"))</f>
        <v>0</v>
      </c>
      <c r="M226" s="31">
        <f>IF(I226="","",COUNTIFS(Bookings!$H$5:$H$404,I226,Bookings!$I$5:$I$404,"&gt;="&amp;RepFrom,Bookings!$I$5:$I$404,"&lt;="&amp;RepTo,Bookings!$AM$5:$AM$404,"&lt;&gt;Cancelled"))</f>
        <v>0</v>
      </c>
      <c r="N226" s="29">
        <f>IF(I226="","",M226*IF(Services!$L$226="",0,Services!$L$226))</f>
        <v>0</v>
      </c>
      <c r="O226" s="29">
        <f>IF(I226="","",L226-N226)</f>
        <v>0</v>
      </c>
      <c r="P226" s="28">
        <f>IF(Lists!$AG226="","",Lists!$AG226)</f>
        <v>0</v>
      </c>
      <c r="Q226" s="29">
        <f>IF(P226="","",SUMIFS(Expenses!$F$5:$F$304,Expenses!$C$5:$C$304,P226,Expenses!$B$5:$B$304,"&gt;="&amp;PeriodStart,Expenses!$B$5:$B$304,"&lt;="&amp;PeriodEnd,Expenses!$J$5:$J$304,"&lt;&gt;Personal"))</f>
        <v>0</v>
      </c>
      <c r="R226" s="29">
        <f>IF(P226="","",SUMIFS(Expenses!$F$5:$F$304,Expenses!$C$5:$C$304,P226,Expenses!$B$5:$B$304,"&gt;="&amp;RepFrom,Expenses!$B$5:$B$304,"&lt;="&amp;RepTo,Expenses!$J$5:$J$304,"&lt;&gt;Personal"))</f>
        <v>0</v>
      </c>
      <c r="S226" s="21">
        <f>IF(ROW()-4&gt;12,"",DATE(Dash_Year,ROW()-4,1))</f>
        <v>0</v>
      </c>
      <c r="T226" s="21">
        <f>IF(S226="","",EOMONTH(S226,0))</f>
        <v>0</v>
      </c>
      <c r="U226" s="28">
        <f>IF(S226="","",TEXT(S226,"mmm"))</f>
        <v>0</v>
      </c>
      <c r="V226" s="29">
        <f>IF(S226="","",SUMIFS(Payments!$L$5:$L$304,Payments!$B$5:$B$304,"&gt;="&amp;S226,Payments!$B$5:$B$304,"&lt;="&amp;T226))</f>
        <v>0</v>
      </c>
      <c r="W226" s="29">
        <f>IF(S226="","",SUMIFS(Invoices!$O$5:$O$304,Invoices!$B$5:$B$304,"&gt;="&amp;S226,Invoices!$B$5:$B$304,"&lt;="&amp;T226,Invoices!$T$5:$T$304,"&lt;&gt;Cancelled"))</f>
        <v>0</v>
      </c>
      <c r="X226" s="29">
        <f>IF(S226="","",SUMIFS(Expenses!$F$5:$F$304,Expenses!$B$5:$B$304,"&gt;="&amp;S226,Expenses!$B$5:$B$304,"&lt;="&amp;T226,Expenses!$J$5:$J$304,"&lt;&gt;Personal"))</f>
        <v>0</v>
      </c>
      <c r="Y226" s="29">
        <f>IF(S226="","",V226-X226)</f>
        <v>0</v>
      </c>
      <c r="Z226" s="31">
        <f>IF(S226="","",COUNTIFS(Bookings!$I$5:$I$404,"&gt;="&amp;S226,Bookings!$I$5:$I$404,"&lt;="&amp;T226,Bookings!$AM$5:$AM$404,"&lt;&gt;Cancelled"))</f>
        <v>0</v>
      </c>
      <c r="AA226" s="31">
        <f>IF(S226="","",COUNTIFS(Bookings!$I$5:$I$404,"&gt;="&amp;S226,Bookings!$I$5:$I$404,"&lt;="&amp;T226,Bookings!$AM$5:$AM$404,"Completed"))</f>
        <v>0</v>
      </c>
      <c r="AB226" s="31">
        <f>IF(S226="","",COUNTIFS(Bookings!$I$5:$I$404,"&gt;="&amp;S226,Bookings!$I$5:$I$404,"&lt;="&amp;T226,Bookings!$AM$5:$AM$404,"Cancelled"))</f>
        <v>0</v>
      </c>
      <c r="AC226" s="31">
        <f>IF(S226="","",COUNTIFS('Visit Log'!$C$5:$C$404,"&gt;="&amp;S226,'Visit Log'!$C$5:$C$404,"&lt;="&amp;T226,'Visit Log'!$AE$5:$AE$404,"Completed"))</f>
        <v>0</v>
      </c>
      <c r="AD226" s="31">
        <f>IF(S226="","",COUNTIFS(Clients!$L$5:$L$254,"&gt;="&amp;S226,Clients!$L$5:$L$254,"&lt;="&amp;T226))</f>
        <v>0</v>
      </c>
      <c r="AE226" s="32">
        <f>IF(S226="","",SUMIFS(Mileage!$M$5:$M$304,Mileage!$B$5:$B$304,"&gt;="&amp;S226,Mileage!$B$5:$B$304,"&lt;="&amp;T226,Mileage!$N$5:$N$304,"Business"))</f>
        <v>0</v>
      </c>
      <c r="AF226" s="29">
        <f>IF(S226="","",SUMIFS(Payments!$L$5:$L$304,Payments!$B$5:$B$304,"&gt;="&amp;DATE(Dash_Year-1,ROW()-4,1),Payments!$B$5:$B$304,"&lt;="&amp;EOMONTH(DATE(Dash_Year-1,ROW()-4,1),0)))</f>
        <v>0</v>
      </c>
      <c r="AG226" s="28">
        <f>IF(Staff!$B$226="","",Staff!$B$226)</f>
        <v>0</v>
      </c>
      <c r="AH226" s="31">
        <f>IF(AG226="","",COUNTIFS('Visit Log'!$G$5:$G$404,AG226,'Visit Log'!$C$5:$C$404,"&gt;="&amp;RepFrom,'Visit Log'!$C$5:$C$404,"&lt;="&amp;RepTo,'Visit Log'!$AE$5:$AE$404,"Completed"))</f>
        <v>0</v>
      </c>
      <c r="AI226" s="51">
        <f>IF(AG226="","",ROUND(SUMIFS('Visit Log'!$K$5:$K$404,'Visit Log'!$G$5:$G$404,AG226,'Visit Log'!$C$5:$C$404,"&gt;="&amp;RepFrom,'Visit Log'!$C$5:$C$404,"&lt;="&amp;RepTo,'Visit Log'!$AE$5:$AE$404,"Completed")/60,2))</f>
        <v>0</v>
      </c>
      <c r="AJ226" s="29">
        <f>IF(AG226="","",SUMIFS(Bookings!$AK$5:$AK$404,Bookings!$AL$5:$AL$404,AG226,Bookings!$I$5:$I$404,"&gt;="&amp;RepFrom,Bookings!$I$5:$I$404,"&lt;="&amp;RepTo,Bookings!$AM$5:$AM$404,"&lt;&gt;Cancelled"))</f>
        <v>0</v>
      </c>
      <c r="AK226" s="32">
        <f>IF(AG226="","",SUMIFS(Mileage!$M$5:$M$304,Mileage!$C$5:$C$304,AG226,Mileage!$B$5:$B$304,"&gt;="&amp;RepFrom,Mileage!$B$5:$B$304,"&lt;="&amp;RepTo))</f>
        <v>0</v>
      </c>
      <c r="AL226" s="28">
        <f>IF(Lists!$Q226="","",Lists!$Q226)</f>
        <v>0</v>
      </c>
      <c r="AM226" s="31">
        <f>IF(AL226="","",COUNTIFS(Bookings!$AV$5:$AV$404,AL226,Bookings!$I$5:$I$404,"&gt;="&amp;RepFrom,Bookings!$I$5:$I$404,"&lt;="&amp;RepTo))</f>
        <v>0</v>
      </c>
      <c r="AN226" s="28">
        <f>IF(Lists!$AF226="","",Lists!$AF226)</f>
        <v>0</v>
      </c>
      <c r="AO226" s="29">
        <f>IF(AN226="","",SUMIFS(Payments!$L$5:$L$304,Payments!$F$5:$F$304,AN226,Payments!$B$5:$B$304,"&gt;="&amp;RepFrom,Payments!$B$5:$B$304,"&lt;="&amp;RepTo))</f>
        <v>0</v>
      </c>
      <c r="AP226" s="28">
        <f>IF(Lists!$E226="","",Lists!$E226)</f>
        <v>0</v>
      </c>
      <c r="AQ226" s="31">
        <f>IF(AP226="","",COUNTIFS(Clients!$K$5:$K$254,AP226))</f>
        <v>0</v>
      </c>
      <c r="AR226" s="29">
        <f>IF(AP226="","",SUMIFS(Clients!$AE$5:$AE$254,Clients!$K$5:$K$254,AP226))</f>
        <v>0</v>
      </c>
    </row>
    <row r="227" spans="1:44">
      <c r="A227" s="28">
        <f>IF(Clients!$B$227="","",Clients!$B$227)</f>
        <v>0</v>
      </c>
      <c r="B227" s="29">
        <f>IF(A227="","",SUMIFS(Payments!$L$5:$L$304,Payments!$C$5:$C$304,A227,Payments!$B$5:$B$304,"&gt;="&amp;PeriodStart,Payments!$B$5:$B$304,"&lt;="&amp;PeriodEnd))</f>
        <v>0</v>
      </c>
      <c r="C227" s="51">
        <f>IF(A227="","",IF(B227&lt;=0,"",B227+ROW()/1000000))</f>
        <v>0</v>
      </c>
      <c r="D227" s="29">
        <f>IF(A227="","",SUMIFS(Payments!$L$5:$L$304,Payments!$C$5:$C$304,A227,Payments!$B$5:$B$304,"&gt;="&amp;RepFrom,Payments!$B$5:$B$304,"&lt;="&amp;RepTo))</f>
        <v>0</v>
      </c>
      <c r="E227" s="51">
        <f>IF(A227="","",IF(D227&lt;=0,"",D227+ROW()/1000000))</f>
        <v>0</v>
      </c>
      <c r="F227" s="29">
        <f>IF(A227="","",SUMIFS(Invoices!$S$5:$S$304,Invoices!$D$5:$D$304,A227,Invoices!$T$5:$T$304,"&lt;&gt;Cancelled"))</f>
        <v>0</v>
      </c>
      <c r="G227" s="51">
        <f>IF(A227="","",IF(F227&lt;=0.004,"",F227+ROW()/1000000))</f>
        <v>0</v>
      </c>
      <c r="H227" s="31">
        <f>IF(A227="","",COUNTIFS(Bookings!$C$5:$C$404,A227,Bookings!$I$5:$I$404,"&gt;="&amp;RepFrom,Bookings!$I$5:$I$404,"&lt;="&amp;RepTo,Bookings!$AM$5:$AM$404,"&lt;&gt;Cancelled"))</f>
        <v>0</v>
      </c>
      <c r="I227" s="28">
        <f>IF(Services!$B$227="","",Services!$B$227)</f>
        <v>0</v>
      </c>
      <c r="J227" s="29">
        <f>IF(I227="","",SUMIFS(Bookings!$AK$5:$AK$404,Bookings!$H$5:$H$404,I227,Bookings!$I$5:$I$404,"&gt;="&amp;PeriodStart,Bookings!$I$5:$I$404,"&lt;="&amp;PeriodEnd,Bookings!$AM$5:$AM$404,"&lt;&gt;Cancelled"))</f>
        <v>0</v>
      </c>
      <c r="K227" s="31">
        <f>IF(I227="","",COUNTIFS(Bookings!$H$5:$H$404,I227,Bookings!$I$5:$I$404,"&gt;="&amp;PeriodStart,Bookings!$I$5:$I$404,"&lt;="&amp;PeriodEnd,Bookings!$AM$5:$AM$404,"&lt;&gt;Cancelled"))</f>
        <v>0</v>
      </c>
      <c r="L227" s="29">
        <f>IF(I227="","",SUMIFS(Bookings!$AK$5:$AK$404,Bookings!$H$5:$H$404,I227,Bookings!$I$5:$I$404,"&gt;="&amp;RepFrom,Bookings!$I$5:$I$404,"&lt;="&amp;RepTo,Bookings!$AM$5:$AM$404,"&lt;&gt;Cancelled"))</f>
        <v>0</v>
      </c>
      <c r="M227" s="31">
        <f>IF(I227="","",COUNTIFS(Bookings!$H$5:$H$404,I227,Bookings!$I$5:$I$404,"&gt;="&amp;RepFrom,Bookings!$I$5:$I$404,"&lt;="&amp;RepTo,Bookings!$AM$5:$AM$404,"&lt;&gt;Cancelled"))</f>
        <v>0</v>
      </c>
      <c r="N227" s="29">
        <f>IF(I227="","",M227*IF(Services!$L$227="",0,Services!$L$227))</f>
        <v>0</v>
      </c>
      <c r="O227" s="29">
        <f>IF(I227="","",L227-N227)</f>
        <v>0</v>
      </c>
      <c r="P227" s="28">
        <f>IF(Lists!$AG227="","",Lists!$AG227)</f>
        <v>0</v>
      </c>
      <c r="Q227" s="29">
        <f>IF(P227="","",SUMIFS(Expenses!$F$5:$F$304,Expenses!$C$5:$C$304,P227,Expenses!$B$5:$B$304,"&gt;="&amp;PeriodStart,Expenses!$B$5:$B$304,"&lt;="&amp;PeriodEnd,Expenses!$J$5:$J$304,"&lt;&gt;Personal"))</f>
        <v>0</v>
      </c>
      <c r="R227" s="29">
        <f>IF(P227="","",SUMIFS(Expenses!$F$5:$F$304,Expenses!$C$5:$C$304,P227,Expenses!$B$5:$B$304,"&gt;="&amp;RepFrom,Expenses!$B$5:$B$304,"&lt;="&amp;RepTo,Expenses!$J$5:$J$304,"&lt;&gt;Personal"))</f>
        <v>0</v>
      </c>
      <c r="S227" s="21">
        <f>IF(ROW()-4&gt;12,"",DATE(Dash_Year,ROW()-4,1))</f>
        <v>0</v>
      </c>
      <c r="T227" s="21">
        <f>IF(S227="","",EOMONTH(S227,0))</f>
        <v>0</v>
      </c>
      <c r="U227" s="28">
        <f>IF(S227="","",TEXT(S227,"mmm"))</f>
        <v>0</v>
      </c>
      <c r="V227" s="29">
        <f>IF(S227="","",SUMIFS(Payments!$L$5:$L$304,Payments!$B$5:$B$304,"&gt;="&amp;S227,Payments!$B$5:$B$304,"&lt;="&amp;T227))</f>
        <v>0</v>
      </c>
      <c r="W227" s="29">
        <f>IF(S227="","",SUMIFS(Invoices!$O$5:$O$304,Invoices!$B$5:$B$304,"&gt;="&amp;S227,Invoices!$B$5:$B$304,"&lt;="&amp;T227,Invoices!$T$5:$T$304,"&lt;&gt;Cancelled"))</f>
        <v>0</v>
      </c>
      <c r="X227" s="29">
        <f>IF(S227="","",SUMIFS(Expenses!$F$5:$F$304,Expenses!$B$5:$B$304,"&gt;="&amp;S227,Expenses!$B$5:$B$304,"&lt;="&amp;T227,Expenses!$J$5:$J$304,"&lt;&gt;Personal"))</f>
        <v>0</v>
      </c>
      <c r="Y227" s="29">
        <f>IF(S227="","",V227-X227)</f>
        <v>0</v>
      </c>
      <c r="Z227" s="31">
        <f>IF(S227="","",COUNTIFS(Bookings!$I$5:$I$404,"&gt;="&amp;S227,Bookings!$I$5:$I$404,"&lt;="&amp;T227,Bookings!$AM$5:$AM$404,"&lt;&gt;Cancelled"))</f>
        <v>0</v>
      </c>
      <c r="AA227" s="31">
        <f>IF(S227="","",COUNTIFS(Bookings!$I$5:$I$404,"&gt;="&amp;S227,Bookings!$I$5:$I$404,"&lt;="&amp;T227,Bookings!$AM$5:$AM$404,"Completed"))</f>
        <v>0</v>
      </c>
      <c r="AB227" s="31">
        <f>IF(S227="","",COUNTIFS(Bookings!$I$5:$I$404,"&gt;="&amp;S227,Bookings!$I$5:$I$404,"&lt;="&amp;T227,Bookings!$AM$5:$AM$404,"Cancelled"))</f>
        <v>0</v>
      </c>
      <c r="AC227" s="31">
        <f>IF(S227="","",COUNTIFS('Visit Log'!$C$5:$C$404,"&gt;="&amp;S227,'Visit Log'!$C$5:$C$404,"&lt;="&amp;T227,'Visit Log'!$AE$5:$AE$404,"Completed"))</f>
        <v>0</v>
      </c>
      <c r="AD227" s="31">
        <f>IF(S227="","",COUNTIFS(Clients!$L$5:$L$254,"&gt;="&amp;S227,Clients!$L$5:$L$254,"&lt;="&amp;T227))</f>
        <v>0</v>
      </c>
      <c r="AE227" s="32">
        <f>IF(S227="","",SUMIFS(Mileage!$M$5:$M$304,Mileage!$B$5:$B$304,"&gt;="&amp;S227,Mileage!$B$5:$B$304,"&lt;="&amp;T227,Mileage!$N$5:$N$304,"Business"))</f>
        <v>0</v>
      </c>
      <c r="AF227" s="29">
        <f>IF(S227="","",SUMIFS(Payments!$L$5:$L$304,Payments!$B$5:$B$304,"&gt;="&amp;DATE(Dash_Year-1,ROW()-4,1),Payments!$B$5:$B$304,"&lt;="&amp;EOMONTH(DATE(Dash_Year-1,ROW()-4,1),0)))</f>
        <v>0</v>
      </c>
      <c r="AG227" s="28">
        <f>IF(Staff!$B$227="","",Staff!$B$227)</f>
        <v>0</v>
      </c>
      <c r="AH227" s="31">
        <f>IF(AG227="","",COUNTIFS('Visit Log'!$G$5:$G$404,AG227,'Visit Log'!$C$5:$C$404,"&gt;="&amp;RepFrom,'Visit Log'!$C$5:$C$404,"&lt;="&amp;RepTo,'Visit Log'!$AE$5:$AE$404,"Completed"))</f>
        <v>0</v>
      </c>
      <c r="AI227" s="51">
        <f>IF(AG227="","",ROUND(SUMIFS('Visit Log'!$K$5:$K$404,'Visit Log'!$G$5:$G$404,AG227,'Visit Log'!$C$5:$C$404,"&gt;="&amp;RepFrom,'Visit Log'!$C$5:$C$404,"&lt;="&amp;RepTo,'Visit Log'!$AE$5:$AE$404,"Completed")/60,2))</f>
        <v>0</v>
      </c>
      <c r="AJ227" s="29">
        <f>IF(AG227="","",SUMIFS(Bookings!$AK$5:$AK$404,Bookings!$AL$5:$AL$404,AG227,Bookings!$I$5:$I$404,"&gt;="&amp;RepFrom,Bookings!$I$5:$I$404,"&lt;="&amp;RepTo,Bookings!$AM$5:$AM$404,"&lt;&gt;Cancelled"))</f>
        <v>0</v>
      </c>
      <c r="AK227" s="32">
        <f>IF(AG227="","",SUMIFS(Mileage!$M$5:$M$304,Mileage!$C$5:$C$304,AG227,Mileage!$B$5:$B$304,"&gt;="&amp;RepFrom,Mileage!$B$5:$B$304,"&lt;="&amp;RepTo))</f>
        <v>0</v>
      </c>
      <c r="AL227" s="28">
        <f>IF(Lists!$Q227="","",Lists!$Q227)</f>
        <v>0</v>
      </c>
      <c r="AM227" s="31">
        <f>IF(AL227="","",COUNTIFS(Bookings!$AV$5:$AV$404,AL227,Bookings!$I$5:$I$404,"&gt;="&amp;RepFrom,Bookings!$I$5:$I$404,"&lt;="&amp;RepTo))</f>
        <v>0</v>
      </c>
      <c r="AN227" s="28">
        <f>IF(Lists!$AF227="","",Lists!$AF227)</f>
        <v>0</v>
      </c>
      <c r="AO227" s="29">
        <f>IF(AN227="","",SUMIFS(Payments!$L$5:$L$304,Payments!$F$5:$F$304,AN227,Payments!$B$5:$B$304,"&gt;="&amp;RepFrom,Payments!$B$5:$B$304,"&lt;="&amp;RepTo))</f>
        <v>0</v>
      </c>
      <c r="AP227" s="28">
        <f>IF(Lists!$E227="","",Lists!$E227)</f>
        <v>0</v>
      </c>
      <c r="AQ227" s="31">
        <f>IF(AP227="","",COUNTIFS(Clients!$K$5:$K$254,AP227))</f>
        <v>0</v>
      </c>
      <c r="AR227" s="29">
        <f>IF(AP227="","",SUMIFS(Clients!$AE$5:$AE$254,Clients!$K$5:$K$254,AP227))</f>
        <v>0</v>
      </c>
    </row>
    <row r="228" spans="1:44">
      <c r="A228" s="28">
        <f>IF(Clients!$B$228="","",Clients!$B$228)</f>
        <v>0</v>
      </c>
      <c r="B228" s="29">
        <f>IF(A228="","",SUMIFS(Payments!$L$5:$L$304,Payments!$C$5:$C$304,A228,Payments!$B$5:$B$304,"&gt;="&amp;PeriodStart,Payments!$B$5:$B$304,"&lt;="&amp;PeriodEnd))</f>
        <v>0</v>
      </c>
      <c r="C228" s="51">
        <f>IF(A228="","",IF(B228&lt;=0,"",B228+ROW()/1000000))</f>
        <v>0</v>
      </c>
      <c r="D228" s="29">
        <f>IF(A228="","",SUMIFS(Payments!$L$5:$L$304,Payments!$C$5:$C$304,A228,Payments!$B$5:$B$304,"&gt;="&amp;RepFrom,Payments!$B$5:$B$304,"&lt;="&amp;RepTo))</f>
        <v>0</v>
      </c>
      <c r="E228" s="51">
        <f>IF(A228="","",IF(D228&lt;=0,"",D228+ROW()/1000000))</f>
        <v>0</v>
      </c>
      <c r="F228" s="29">
        <f>IF(A228="","",SUMIFS(Invoices!$S$5:$S$304,Invoices!$D$5:$D$304,A228,Invoices!$T$5:$T$304,"&lt;&gt;Cancelled"))</f>
        <v>0</v>
      </c>
      <c r="G228" s="51">
        <f>IF(A228="","",IF(F228&lt;=0.004,"",F228+ROW()/1000000))</f>
        <v>0</v>
      </c>
      <c r="H228" s="31">
        <f>IF(A228="","",COUNTIFS(Bookings!$C$5:$C$404,A228,Bookings!$I$5:$I$404,"&gt;="&amp;RepFrom,Bookings!$I$5:$I$404,"&lt;="&amp;RepTo,Bookings!$AM$5:$AM$404,"&lt;&gt;Cancelled"))</f>
        <v>0</v>
      </c>
      <c r="I228" s="28">
        <f>IF(Services!$B$228="","",Services!$B$228)</f>
        <v>0</v>
      </c>
      <c r="J228" s="29">
        <f>IF(I228="","",SUMIFS(Bookings!$AK$5:$AK$404,Bookings!$H$5:$H$404,I228,Bookings!$I$5:$I$404,"&gt;="&amp;PeriodStart,Bookings!$I$5:$I$404,"&lt;="&amp;PeriodEnd,Bookings!$AM$5:$AM$404,"&lt;&gt;Cancelled"))</f>
        <v>0</v>
      </c>
      <c r="K228" s="31">
        <f>IF(I228="","",COUNTIFS(Bookings!$H$5:$H$404,I228,Bookings!$I$5:$I$404,"&gt;="&amp;PeriodStart,Bookings!$I$5:$I$404,"&lt;="&amp;PeriodEnd,Bookings!$AM$5:$AM$404,"&lt;&gt;Cancelled"))</f>
        <v>0</v>
      </c>
      <c r="L228" s="29">
        <f>IF(I228="","",SUMIFS(Bookings!$AK$5:$AK$404,Bookings!$H$5:$H$404,I228,Bookings!$I$5:$I$404,"&gt;="&amp;RepFrom,Bookings!$I$5:$I$404,"&lt;="&amp;RepTo,Bookings!$AM$5:$AM$404,"&lt;&gt;Cancelled"))</f>
        <v>0</v>
      </c>
      <c r="M228" s="31">
        <f>IF(I228="","",COUNTIFS(Bookings!$H$5:$H$404,I228,Bookings!$I$5:$I$404,"&gt;="&amp;RepFrom,Bookings!$I$5:$I$404,"&lt;="&amp;RepTo,Bookings!$AM$5:$AM$404,"&lt;&gt;Cancelled"))</f>
        <v>0</v>
      </c>
      <c r="N228" s="29">
        <f>IF(I228="","",M228*IF(Services!$L$228="",0,Services!$L$228))</f>
        <v>0</v>
      </c>
      <c r="O228" s="29">
        <f>IF(I228="","",L228-N228)</f>
        <v>0</v>
      </c>
      <c r="P228" s="28">
        <f>IF(Lists!$AG228="","",Lists!$AG228)</f>
        <v>0</v>
      </c>
      <c r="Q228" s="29">
        <f>IF(P228="","",SUMIFS(Expenses!$F$5:$F$304,Expenses!$C$5:$C$304,P228,Expenses!$B$5:$B$304,"&gt;="&amp;PeriodStart,Expenses!$B$5:$B$304,"&lt;="&amp;PeriodEnd,Expenses!$J$5:$J$304,"&lt;&gt;Personal"))</f>
        <v>0</v>
      </c>
      <c r="R228" s="29">
        <f>IF(P228="","",SUMIFS(Expenses!$F$5:$F$304,Expenses!$C$5:$C$304,P228,Expenses!$B$5:$B$304,"&gt;="&amp;RepFrom,Expenses!$B$5:$B$304,"&lt;="&amp;RepTo,Expenses!$J$5:$J$304,"&lt;&gt;Personal"))</f>
        <v>0</v>
      </c>
      <c r="S228" s="21">
        <f>IF(ROW()-4&gt;12,"",DATE(Dash_Year,ROW()-4,1))</f>
        <v>0</v>
      </c>
      <c r="T228" s="21">
        <f>IF(S228="","",EOMONTH(S228,0))</f>
        <v>0</v>
      </c>
      <c r="U228" s="28">
        <f>IF(S228="","",TEXT(S228,"mmm"))</f>
        <v>0</v>
      </c>
      <c r="V228" s="29">
        <f>IF(S228="","",SUMIFS(Payments!$L$5:$L$304,Payments!$B$5:$B$304,"&gt;="&amp;S228,Payments!$B$5:$B$304,"&lt;="&amp;T228))</f>
        <v>0</v>
      </c>
      <c r="W228" s="29">
        <f>IF(S228="","",SUMIFS(Invoices!$O$5:$O$304,Invoices!$B$5:$B$304,"&gt;="&amp;S228,Invoices!$B$5:$B$304,"&lt;="&amp;T228,Invoices!$T$5:$T$304,"&lt;&gt;Cancelled"))</f>
        <v>0</v>
      </c>
      <c r="X228" s="29">
        <f>IF(S228="","",SUMIFS(Expenses!$F$5:$F$304,Expenses!$B$5:$B$304,"&gt;="&amp;S228,Expenses!$B$5:$B$304,"&lt;="&amp;T228,Expenses!$J$5:$J$304,"&lt;&gt;Personal"))</f>
        <v>0</v>
      </c>
      <c r="Y228" s="29">
        <f>IF(S228="","",V228-X228)</f>
        <v>0</v>
      </c>
      <c r="Z228" s="31">
        <f>IF(S228="","",COUNTIFS(Bookings!$I$5:$I$404,"&gt;="&amp;S228,Bookings!$I$5:$I$404,"&lt;="&amp;T228,Bookings!$AM$5:$AM$404,"&lt;&gt;Cancelled"))</f>
        <v>0</v>
      </c>
      <c r="AA228" s="31">
        <f>IF(S228="","",COUNTIFS(Bookings!$I$5:$I$404,"&gt;="&amp;S228,Bookings!$I$5:$I$404,"&lt;="&amp;T228,Bookings!$AM$5:$AM$404,"Completed"))</f>
        <v>0</v>
      </c>
      <c r="AB228" s="31">
        <f>IF(S228="","",COUNTIFS(Bookings!$I$5:$I$404,"&gt;="&amp;S228,Bookings!$I$5:$I$404,"&lt;="&amp;T228,Bookings!$AM$5:$AM$404,"Cancelled"))</f>
        <v>0</v>
      </c>
      <c r="AC228" s="31">
        <f>IF(S228="","",COUNTIFS('Visit Log'!$C$5:$C$404,"&gt;="&amp;S228,'Visit Log'!$C$5:$C$404,"&lt;="&amp;T228,'Visit Log'!$AE$5:$AE$404,"Completed"))</f>
        <v>0</v>
      </c>
      <c r="AD228" s="31">
        <f>IF(S228="","",COUNTIFS(Clients!$L$5:$L$254,"&gt;="&amp;S228,Clients!$L$5:$L$254,"&lt;="&amp;T228))</f>
        <v>0</v>
      </c>
      <c r="AE228" s="32">
        <f>IF(S228="","",SUMIFS(Mileage!$M$5:$M$304,Mileage!$B$5:$B$304,"&gt;="&amp;S228,Mileage!$B$5:$B$304,"&lt;="&amp;T228,Mileage!$N$5:$N$304,"Business"))</f>
        <v>0</v>
      </c>
      <c r="AF228" s="29">
        <f>IF(S228="","",SUMIFS(Payments!$L$5:$L$304,Payments!$B$5:$B$304,"&gt;="&amp;DATE(Dash_Year-1,ROW()-4,1),Payments!$B$5:$B$304,"&lt;="&amp;EOMONTH(DATE(Dash_Year-1,ROW()-4,1),0)))</f>
        <v>0</v>
      </c>
      <c r="AG228" s="28">
        <f>IF(Staff!$B$228="","",Staff!$B$228)</f>
        <v>0</v>
      </c>
      <c r="AH228" s="31">
        <f>IF(AG228="","",COUNTIFS('Visit Log'!$G$5:$G$404,AG228,'Visit Log'!$C$5:$C$404,"&gt;="&amp;RepFrom,'Visit Log'!$C$5:$C$404,"&lt;="&amp;RepTo,'Visit Log'!$AE$5:$AE$404,"Completed"))</f>
        <v>0</v>
      </c>
      <c r="AI228" s="51">
        <f>IF(AG228="","",ROUND(SUMIFS('Visit Log'!$K$5:$K$404,'Visit Log'!$G$5:$G$404,AG228,'Visit Log'!$C$5:$C$404,"&gt;="&amp;RepFrom,'Visit Log'!$C$5:$C$404,"&lt;="&amp;RepTo,'Visit Log'!$AE$5:$AE$404,"Completed")/60,2))</f>
        <v>0</v>
      </c>
      <c r="AJ228" s="29">
        <f>IF(AG228="","",SUMIFS(Bookings!$AK$5:$AK$404,Bookings!$AL$5:$AL$404,AG228,Bookings!$I$5:$I$404,"&gt;="&amp;RepFrom,Bookings!$I$5:$I$404,"&lt;="&amp;RepTo,Bookings!$AM$5:$AM$404,"&lt;&gt;Cancelled"))</f>
        <v>0</v>
      </c>
      <c r="AK228" s="32">
        <f>IF(AG228="","",SUMIFS(Mileage!$M$5:$M$304,Mileage!$C$5:$C$304,AG228,Mileage!$B$5:$B$304,"&gt;="&amp;RepFrom,Mileage!$B$5:$B$304,"&lt;="&amp;RepTo))</f>
        <v>0</v>
      </c>
      <c r="AL228" s="28">
        <f>IF(Lists!$Q228="","",Lists!$Q228)</f>
        <v>0</v>
      </c>
      <c r="AM228" s="31">
        <f>IF(AL228="","",COUNTIFS(Bookings!$AV$5:$AV$404,AL228,Bookings!$I$5:$I$404,"&gt;="&amp;RepFrom,Bookings!$I$5:$I$404,"&lt;="&amp;RepTo))</f>
        <v>0</v>
      </c>
      <c r="AN228" s="28">
        <f>IF(Lists!$AF228="","",Lists!$AF228)</f>
        <v>0</v>
      </c>
      <c r="AO228" s="29">
        <f>IF(AN228="","",SUMIFS(Payments!$L$5:$L$304,Payments!$F$5:$F$304,AN228,Payments!$B$5:$B$304,"&gt;="&amp;RepFrom,Payments!$B$5:$B$304,"&lt;="&amp;RepTo))</f>
        <v>0</v>
      </c>
      <c r="AP228" s="28">
        <f>IF(Lists!$E228="","",Lists!$E228)</f>
        <v>0</v>
      </c>
      <c r="AQ228" s="31">
        <f>IF(AP228="","",COUNTIFS(Clients!$K$5:$K$254,AP228))</f>
        <v>0</v>
      </c>
      <c r="AR228" s="29">
        <f>IF(AP228="","",SUMIFS(Clients!$AE$5:$AE$254,Clients!$K$5:$K$254,AP228))</f>
        <v>0</v>
      </c>
    </row>
    <row r="229" spans="1:44">
      <c r="A229" s="28">
        <f>IF(Clients!$B$229="","",Clients!$B$229)</f>
        <v>0</v>
      </c>
      <c r="B229" s="29">
        <f>IF(A229="","",SUMIFS(Payments!$L$5:$L$304,Payments!$C$5:$C$304,A229,Payments!$B$5:$B$304,"&gt;="&amp;PeriodStart,Payments!$B$5:$B$304,"&lt;="&amp;PeriodEnd))</f>
        <v>0</v>
      </c>
      <c r="C229" s="51">
        <f>IF(A229="","",IF(B229&lt;=0,"",B229+ROW()/1000000))</f>
        <v>0</v>
      </c>
      <c r="D229" s="29">
        <f>IF(A229="","",SUMIFS(Payments!$L$5:$L$304,Payments!$C$5:$C$304,A229,Payments!$B$5:$B$304,"&gt;="&amp;RepFrom,Payments!$B$5:$B$304,"&lt;="&amp;RepTo))</f>
        <v>0</v>
      </c>
      <c r="E229" s="51">
        <f>IF(A229="","",IF(D229&lt;=0,"",D229+ROW()/1000000))</f>
        <v>0</v>
      </c>
      <c r="F229" s="29">
        <f>IF(A229="","",SUMIFS(Invoices!$S$5:$S$304,Invoices!$D$5:$D$304,A229,Invoices!$T$5:$T$304,"&lt;&gt;Cancelled"))</f>
        <v>0</v>
      </c>
      <c r="G229" s="51">
        <f>IF(A229="","",IF(F229&lt;=0.004,"",F229+ROW()/1000000))</f>
        <v>0</v>
      </c>
      <c r="H229" s="31">
        <f>IF(A229="","",COUNTIFS(Bookings!$C$5:$C$404,A229,Bookings!$I$5:$I$404,"&gt;="&amp;RepFrom,Bookings!$I$5:$I$404,"&lt;="&amp;RepTo,Bookings!$AM$5:$AM$404,"&lt;&gt;Cancelled"))</f>
        <v>0</v>
      </c>
      <c r="I229" s="28">
        <f>IF(Services!$B$229="","",Services!$B$229)</f>
        <v>0</v>
      </c>
      <c r="J229" s="29">
        <f>IF(I229="","",SUMIFS(Bookings!$AK$5:$AK$404,Bookings!$H$5:$H$404,I229,Bookings!$I$5:$I$404,"&gt;="&amp;PeriodStart,Bookings!$I$5:$I$404,"&lt;="&amp;PeriodEnd,Bookings!$AM$5:$AM$404,"&lt;&gt;Cancelled"))</f>
        <v>0</v>
      </c>
      <c r="K229" s="31">
        <f>IF(I229="","",COUNTIFS(Bookings!$H$5:$H$404,I229,Bookings!$I$5:$I$404,"&gt;="&amp;PeriodStart,Bookings!$I$5:$I$404,"&lt;="&amp;PeriodEnd,Bookings!$AM$5:$AM$404,"&lt;&gt;Cancelled"))</f>
        <v>0</v>
      </c>
      <c r="L229" s="29">
        <f>IF(I229="","",SUMIFS(Bookings!$AK$5:$AK$404,Bookings!$H$5:$H$404,I229,Bookings!$I$5:$I$404,"&gt;="&amp;RepFrom,Bookings!$I$5:$I$404,"&lt;="&amp;RepTo,Bookings!$AM$5:$AM$404,"&lt;&gt;Cancelled"))</f>
        <v>0</v>
      </c>
      <c r="M229" s="31">
        <f>IF(I229="","",COUNTIFS(Bookings!$H$5:$H$404,I229,Bookings!$I$5:$I$404,"&gt;="&amp;RepFrom,Bookings!$I$5:$I$404,"&lt;="&amp;RepTo,Bookings!$AM$5:$AM$404,"&lt;&gt;Cancelled"))</f>
        <v>0</v>
      </c>
      <c r="N229" s="29">
        <f>IF(I229="","",M229*IF(Services!$L$229="",0,Services!$L$229))</f>
        <v>0</v>
      </c>
      <c r="O229" s="29">
        <f>IF(I229="","",L229-N229)</f>
        <v>0</v>
      </c>
      <c r="P229" s="28">
        <f>IF(Lists!$AG229="","",Lists!$AG229)</f>
        <v>0</v>
      </c>
      <c r="Q229" s="29">
        <f>IF(P229="","",SUMIFS(Expenses!$F$5:$F$304,Expenses!$C$5:$C$304,P229,Expenses!$B$5:$B$304,"&gt;="&amp;PeriodStart,Expenses!$B$5:$B$304,"&lt;="&amp;PeriodEnd,Expenses!$J$5:$J$304,"&lt;&gt;Personal"))</f>
        <v>0</v>
      </c>
      <c r="R229" s="29">
        <f>IF(P229="","",SUMIFS(Expenses!$F$5:$F$304,Expenses!$C$5:$C$304,P229,Expenses!$B$5:$B$304,"&gt;="&amp;RepFrom,Expenses!$B$5:$B$304,"&lt;="&amp;RepTo,Expenses!$J$5:$J$304,"&lt;&gt;Personal"))</f>
        <v>0</v>
      </c>
      <c r="S229" s="21">
        <f>IF(ROW()-4&gt;12,"",DATE(Dash_Year,ROW()-4,1))</f>
        <v>0</v>
      </c>
      <c r="T229" s="21">
        <f>IF(S229="","",EOMONTH(S229,0))</f>
        <v>0</v>
      </c>
      <c r="U229" s="28">
        <f>IF(S229="","",TEXT(S229,"mmm"))</f>
        <v>0</v>
      </c>
      <c r="V229" s="29">
        <f>IF(S229="","",SUMIFS(Payments!$L$5:$L$304,Payments!$B$5:$B$304,"&gt;="&amp;S229,Payments!$B$5:$B$304,"&lt;="&amp;T229))</f>
        <v>0</v>
      </c>
      <c r="W229" s="29">
        <f>IF(S229="","",SUMIFS(Invoices!$O$5:$O$304,Invoices!$B$5:$B$304,"&gt;="&amp;S229,Invoices!$B$5:$B$304,"&lt;="&amp;T229,Invoices!$T$5:$T$304,"&lt;&gt;Cancelled"))</f>
        <v>0</v>
      </c>
      <c r="X229" s="29">
        <f>IF(S229="","",SUMIFS(Expenses!$F$5:$F$304,Expenses!$B$5:$B$304,"&gt;="&amp;S229,Expenses!$B$5:$B$304,"&lt;="&amp;T229,Expenses!$J$5:$J$304,"&lt;&gt;Personal"))</f>
        <v>0</v>
      </c>
      <c r="Y229" s="29">
        <f>IF(S229="","",V229-X229)</f>
        <v>0</v>
      </c>
      <c r="Z229" s="31">
        <f>IF(S229="","",COUNTIFS(Bookings!$I$5:$I$404,"&gt;="&amp;S229,Bookings!$I$5:$I$404,"&lt;="&amp;T229,Bookings!$AM$5:$AM$404,"&lt;&gt;Cancelled"))</f>
        <v>0</v>
      </c>
      <c r="AA229" s="31">
        <f>IF(S229="","",COUNTIFS(Bookings!$I$5:$I$404,"&gt;="&amp;S229,Bookings!$I$5:$I$404,"&lt;="&amp;T229,Bookings!$AM$5:$AM$404,"Completed"))</f>
        <v>0</v>
      </c>
      <c r="AB229" s="31">
        <f>IF(S229="","",COUNTIFS(Bookings!$I$5:$I$404,"&gt;="&amp;S229,Bookings!$I$5:$I$404,"&lt;="&amp;T229,Bookings!$AM$5:$AM$404,"Cancelled"))</f>
        <v>0</v>
      </c>
      <c r="AC229" s="31">
        <f>IF(S229="","",COUNTIFS('Visit Log'!$C$5:$C$404,"&gt;="&amp;S229,'Visit Log'!$C$5:$C$404,"&lt;="&amp;T229,'Visit Log'!$AE$5:$AE$404,"Completed"))</f>
        <v>0</v>
      </c>
      <c r="AD229" s="31">
        <f>IF(S229="","",COUNTIFS(Clients!$L$5:$L$254,"&gt;="&amp;S229,Clients!$L$5:$L$254,"&lt;="&amp;T229))</f>
        <v>0</v>
      </c>
      <c r="AE229" s="32">
        <f>IF(S229="","",SUMIFS(Mileage!$M$5:$M$304,Mileage!$B$5:$B$304,"&gt;="&amp;S229,Mileage!$B$5:$B$304,"&lt;="&amp;T229,Mileage!$N$5:$N$304,"Business"))</f>
        <v>0</v>
      </c>
      <c r="AF229" s="29">
        <f>IF(S229="","",SUMIFS(Payments!$L$5:$L$304,Payments!$B$5:$B$304,"&gt;="&amp;DATE(Dash_Year-1,ROW()-4,1),Payments!$B$5:$B$304,"&lt;="&amp;EOMONTH(DATE(Dash_Year-1,ROW()-4,1),0)))</f>
        <v>0</v>
      </c>
      <c r="AG229" s="28">
        <f>IF(Staff!$B$229="","",Staff!$B$229)</f>
        <v>0</v>
      </c>
      <c r="AH229" s="31">
        <f>IF(AG229="","",COUNTIFS('Visit Log'!$G$5:$G$404,AG229,'Visit Log'!$C$5:$C$404,"&gt;="&amp;RepFrom,'Visit Log'!$C$5:$C$404,"&lt;="&amp;RepTo,'Visit Log'!$AE$5:$AE$404,"Completed"))</f>
        <v>0</v>
      </c>
      <c r="AI229" s="51">
        <f>IF(AG229="","",ROUND(SUMIFS('Visit Log'!$K$5:$K$404,'Visit Log'!$G$5:$G$404,AG229,'Visit Log'!$C$5:$C$404,"&gt;="&amp;RepFrom,'Visit Log'!$C$5:$C$404,"&lt;="&amp;RepTo,'Visit Log'!$AE$5:$AE$404,"Completed")/60,2))</f>
        <v>0</v>
      </c>
      <c r="AJ229" s="29">
        <f>IF(AG229="","",SUMIFS(Bookings!$AK$5:$AK$404,Bookings!$AL$5:$AL$404,AG229,Bookings!$I$5:$I$404,"&gt;="&amp;RepFrom,Bookings!$I$5:$I$404,"&lt;="&amp;RepTo,Bookings!$AM$5:$AM$404,"&lt;&gt;Cancelled"))</f>
        <v>0</v>
      </c>
      <c r="AK229" s="32">
        <f>IF(AG229="","",SUMIFS(Mileage!$M$5:$M$304,Mileage!$C$5:$C$304,AG229,Mileage!$B$5:$B$304,"&gt;="&amp;RepFrom,Mileage!$B$5:$B$304,"&lt;="&amp;RepTo))</f>
        <v>0</v>
      </c>
      <c r="AL229" s="28">
        <f>IF(Lists!$Q229="","",Lists!$Q229)</f>
        <v>0</v>
      </c>
      <c r="AM229" s="31">
        <f>IF(AL229="","",COUNTIFS(Bookings!$AV$5:$AV$404,AL229,Bookings!$I$5:$I$404,"&gt;="&amp;RepFrom,Bookings!$I$5:$I$404,"&lt;="&amp;RepTo))</f>
        <v>0</v>
      </c>
      <c r="AN229" s="28">
        <f>IF(Lists!$AF229="","",Lists!$AF229)</f>
        <v>0</v>
      </c>
      <c r="AO229" s="29">
        <f>IF(AN229="","",SUMIFS(Payments!$L$5:$L$304,Payments!$F$5:$F$304,AN229,Payments!$B$5:$B$304,"&gt;="&amp;RepFrom,Payments!$B$5:$B$304,"&lt;="&amp;RepTo))</f>
        <v>0</v>
      </c>
      <c r="AP229" s="28">
        <f>IF(Lists!$E229="","",Lists!$E229)</f>
        <v>0</v>
      </c>
      <c r="AQ229" s="31">
        <f>IF(AP229="","",COUNTIFS(Clients!$K$5:$K$254,AP229))</f>
        <v>0</v>
      </c>
      <c r="AR229" s="29">
        <f>IF(AP229="","",SUMIFS(Clients!$AE$5:$AE$254,Clients!$K$5:$K$254,AP229))</f>
        <v>0</v>
      </c>
    </row>
    <row r="230" spans="1:44">
      <c r="A230" s="28">
        <f>IF(Clients!$B$230="","",Clients!$B$230)</f>
        <v>0</v>
      </c>
      <c r="B230" s="29">
        <f>IF(A230="","",SUMIFS(Payments!$L$5:$L$304,Payments!$C$5:$C$304,A230,Payments!$B$5:$B$304,"&gt;="&amp;PeriodStart,Payments!$B$5:$B$304,"&lt;="&amp;PeriodEnd))</f>
        <v>0</v>
      </c>
      <c r="C230" s="51">
        <f>IF(A230="","",IF(B230&lt;=0,"",B230+ROW()/1000000))</f>
        <v>0</v>
      </c>
      <c r="D230" s="29">
        <f>IF(A230="","",SUMIFS(Payments!$L$5:$L$304,Payments!$C$5:$C$304,A230,Payments!$B$5:$B$304,"&gt;="&amp;RepFrom,Payments!$B$5:$B$304,"&lt;="&amp;RepTo))</f>
        <v>0</v>
      </c>
      <c r="E230" s="51">
        <f>IF(A230="","",IF(D230&lt;=0,"",D230+ROW()/1000000))</f>
        <v>0</v>
      </c>
      <c r="F230" s="29">
        <f>IF(A230="","",SUMIFS(Invoices!$S$5:$S$304,Invoices!$D$5:$D$304,A230,Invoices!$T$5:$T$304,"&lt;&gt;Cancelled"))</f>
        <v>0</v>
      </c>
      <c r="G230" s="51">
        <f>IF(A230="","",IF(F230&lt;=0.004,"",F230+ROW()/1000000))</f>
        <v>0</v>
      </c>
      <c r="H230" s="31">
        <f>IF(A230="","",COUNTIFS(Bookings!$C$5:$C$404,A230,Bookings!$I$5:$I$404,"&gt;="&amp;RepFrom,Bookings!$I$5:$I$404,"&lt;="&amp;RepTo,Bookings!$AM$5:$AM$404,"&lt;&gt;Cancelled"))</f>
        <v>0</v>
      </c>
      <c r="I230" s="28">
        <f>IF(Services!$B$230="","",Services!$B$230)</f>
        <v>0</v>
      </c>
      <c r="J230" s="29">
        <f>IF(I230="","",SUMIFS(Bookings!$AK$5:$AK$404,Bookings!$H$5:$H$404,I230,Bookings!$I$5:$I$404,"&gt;="&amp;PeriodStart,Bookings!$I$5:$I$404,"&lt;="&amp;PeriodEnd,Bookings!$AM$5:$AM$404,"&lt;&gt;Cancelled"))</f>
        <v>0</v>
      </c>
      <c r="K230" s="31">
        <f>IF(I230="","",COUNTIFS(Bookings!$H$5:$H$404,I230,Bookings!$I$5:$I$404,"&gt;="&amp;PeriodStart,Bookings!$I$5:$I$404,"&lt;="&amp;PeriodEnd,Bookings!$AM$5:$AM$404,"&lt;&gt;Cancelled"))</f>
        <v>0</v>
      </c>
      <c r="L230" s="29">
        <f>IF(I230="","",SUMIFS(Bookings!$AK$5:$AK$404,Bookings!$H$5:$H$404,I230,Bookings!$I$5:$I$404,"&gt;="&amp;RepFrom,Bookings!$I$5:$I$404,"&lt;="&amp;RepTo,Bookings!$AM$5:$AM$404,"&lt;&gt;Cancelled"))</f>
        <v>0</v>
      </c>
      <c r="M230" s="31">
        <f>IF(I230="","",COUNTIFS(Bookings!$H$5:$H$404,I230,Bookings!$I$5:$I$404,"&gt;="&amp;RepFrom,Bookings!$I$5:$I$404,"&lt;="&amp;RepTo,Bookings!$AM$5:$AM$404,"&lt;&gt;Cancelled"))</f>
        <v>0</v>
      </c>
      <c r="N230" s="29">
        <f>IF(I230="","",M230*IF(Services!$L$230="",0,Services!$L$230))</f>
        <v>0</v>
      </c>
      <c r="O230" s="29">
        <f>IF(I230="","",L230-N230)</f>
        <v>0</v>
      </c>
      <c r="P230" s="28">
        <f>IF(Lists!$AG230="","",Lists!$AG230)</f>
        <v>0</v>
      </c>
      <c r="Q230" s="29">
        <f>IF(P230="","",SUMIFS(Expenses!$F$5:$F$304,Expenses!$C$5:$C$304,P230,Expenses!$B$5:$B$304,"&gt;="&amp;PeriodStart,Expenses!$B$5:$B$304,"&lt;="&amp;PeriodEnd,Expenses!$J$5:$J$304,"&lt;&gt;Personal"))</f>
        <v>0</v>
      </c>
      <c r="R230" s="29">
        <f>IF(P230="","",SUMIFS(Expenses!$F$5:$F$304,Expenses!$C$5:$C$304,P230,Expenses!$B$5:$B$304,"&gt;="&amp;RepFrom,Expenses!$B$5:$B$304,"&lt;="&amp;RepTo,Expenses!$J$5:$J$304,"&lt;&gt;Personal"))</f>
        <v>0</v>
      </c>
      <c r="S230" s="21">
        <f>IF(ROW()-4&gt;12,"",DATE(Dash_Year,ROW()-4,1))</f>
        <v>0</v>
      </c>
      <c r="T230" s="21">
        <f>IF(S230="","",EOMONTH(S230,0))</f>
        <v>0</v>
      </c>
      <c r="U230" s="28">
        <f>IF(S230="","",TEXT(S230,"mmm"))</f>
        <v>0</v>
      </c>
      <c r="V230" s="29">
        <f>IF(S230="","",SUMIFS(Payments!$L$5:$L$304,Payments!$B$5:$B$304,"&gt;="&amp;S230,Payments!$B$5:$B$304,"&lt;="&amp;T230))</f>
        <v>0</v>
      </c>
      <c r="W230" s="29">
        <f>IF(S230="","",SUMIFS(Invoices!$O$5:$O$304,Invoices!$B$5:$B$304,"&gt;="&amp;S230,Invoices!$B$5:$B$304,"&lt;="&amp;T230,Invoices!$T$5:$T$304,"&lt;&gt;Cancelled"))</f>
        <v>0</v>
      </c>
      <c r="X230" s="29">
        <f>IF(S230="","",SUMIFS(Expenses!$F$5:$F$304,Expenses!$B$5:$B$304,"&gt;="&amp;S230,Expenses!$B$5:$B$304,"&lt;="&amp;T230,Expenses!$J$5:$J$304,"&lt;&gt;Personal"))</f>
        <v>0</v>
      </c>
      <c r="Y230" s="29">
        <f>IF(S230="","",V230-X230)</f>
        <v>0</v>
      </c>
      <c r="Z230" s="31">
        <f>IF(S230="","",COUNTIFS(Bookings!$I$5:$I$404,"&gt;="&amp;S230,Bookings!$I$5:$I$404,"&lt;="&amp;T230,Bookings!$AM$5:$AM$404,"&lt;&gt;Cancelled"))</f>
        <v>0</v>
      </c>
      <c r="AA230" s="31">
        <f>IF(S230="","",COUNTIFS(Bookings!$I$5:$I$404,"&gt;="&amp;S230,Bookings!$I$5:$I$404,"&lt;="&amp;T230,Bookings!$AM$5:$AM$404,"Completed"))</f>
        <v>0</v>
      </c>
      <c r="AB230" s="31">
        <f>IF(S230="","",COUNTIFS(Bookings!$I$5:$I$404,"&gt;="&amp;S230,Bookings!$I$5:$I$404,"&lt;="&amp;T230,Bookings!$AM$5:$AM$404,"Cancelled"))</f>
        <v>0</v>
      </c>
      <c r="AC230" s="31">
        <f>IF(S230="","",COUNTIFS('Visit Log'!$C$5:$C$404,"&gt;="&amp;S230,'Visit Log'!$C$5:$C$404,"&lt;="&amp;T230,'Visit Log'!$AE$5:$AE$404,"Completed"))</f>
        <v>0</v>
      </c>
      <c r="AD230" s="31">
        <f>IF(S230="","",COUNTIFS(Clients!$L$5:$L$254,"&gt;="&amp;S230,Clients!$L$5:$L$254,"&lt;="&amp;T230))</f>
        <v>0</v>
      </c>
      <c r="AE230" s="32">
        <f>IF(S230="","",SUMIFS(Mileage!$M$5:$M$304,Mileage!$B$5:$B$304,"&gt;="&amp;S230,Mileage!$B$5:$B$304,"&lt;="&amp;T230,Mileage!$N$5:$N$304,"Business"))</f>
        <v>0</v>
      </c>
      <c r="AF230" s="29">
        <f>IF(S230="","",SUMIFS(Payments!$L$5:$L$304,Payments!$B$5:$B$304,"&gt;="&amp;DATE(Dash_Year-1,ROW()-4,1),Payments!$B$5:$B$304,"&lt;="&amp;EOMONTH(DATE(Dash_Year-1,ROW()-4,1),0)))</f>
        <v>0</v>
      </c>
      <c r="AG230" s="28">
        <f>IF(Staff!$B$230="","",Staff!$B$230)</f>
        <v>0</v>
      </c>
      <c r="AH230" s="31">
        <f>IF(AG230="","",COUNTIFS('Visit Log'!$G$5:$G$404,AG230,'Visit Log'!$C$5:$C$404,"&gt;="&amp;RepFrom,'Visit Log'!$C$5:$C$404,"&lt;="&amp;RepTo,'Visit Log'!$AE$5:$AE$404,"Completed"))</f>
        <v>0</v>
      </c>
      <c r="AI230" s="51">
        <f>IF(AG230="","",ROUND(SUMIFS('Visit Log'!$K$5:$K$404,'Visit Log'!$G$5:$G$404,AG230,'Visit Log'!$C$5:$C$404,"&gt;="&amp;RepFrom,'Visit Log'!$C$5:$C$404,"&lt;="&amp;RepTo,'Visit Log'!$AE$5:$AE$404,"Completed")/60,2))</f>
        <v>0</v>
      </c>
      <c r="AJ230" s="29">
        <f>IF(AG230="","",SUMIFS(Bookings!$AK$5:$AK$404,Bookings!$AL$5:$AL$404,AG230,Bookings!$I$5:$I$404,"&gt;="&amp;RepFrom,Bookings!$I$5:$I$404,"&lt;="&amp;RepTo,Bookings!$AM$5:$AM$404,"&lt;&gt;Cancelled"))</f>
        <v>0</v>
      </c>
      <c r="AK230" s="32">
        <f>IF(AG230="","",SUMIFS(Mileage!$M$5:$M$304,Mileage!$C$5:$C$304,AG230,Mileage!$B$5:$B$304,"&gt;="&amp;RepFrom,Mileage!$B$5:$B$304,"&lt;="&amp;RepTo))</f>
        <v>0</v>
      </c>
      <c r="AL230" s="28">
        <f>IF(Lists!$Q230="","",Lists!$Q230)</f>
        <v>0</v>
      </c>
      <c r="AM230" s="31">
        <f>IF(AL230="","",COUNTIFS(Bookings!$AV$5:$AV$404,AL230,Bookings!$I$5:$I$404,"&gt;="&amp;RepFrom,Bookings!$I$5:$I$404,"&lt;="&amp;RepTo))</f>
        <v>0</v>
      </c>
      <c r="AN230" s="28">
        <f>IF(Lists!$AF230="","",Lists!$AF230)</f>
        <v>0</v>
      </c>
      <c r="AO230" s="29">
        <f>IF(AN230="","",SUMIFS(Payments!$L$5:$L$304,Payments!$F$5:$F$304,AN230,Payments!$B$5:$B$304,"&gt;="&amp;RepFrom,Payments!$B$5:$B$304,"&lt;="&amp;RepTo))</f>
        <v>0</v>
      </c>
      <c r="AP230" s="28">
        <f>IF(Lists!$E230="","",Lists!$E230)</f>
        <v>0</v>
      </c>
      <c r="AQ230" s="31">
        <f>IF(AP230="","",COUNTIFS(Clients!$K$5:$K$254,AP230))</f>
        <v>0</v>
      </c>
      <c r="AR230" s="29">
        <f>IF(AP230="","",SUMIFS(Clients!$AE$5:$AE$254,Clients!$K$5:$K$254,AP230))</f>
        <v>0</v>
      </c>
    </row>
    <row r="231" spans="1:44">
      <c r="A231" s="28">
        <f>IF(Clients!$B$231="","",Clients!$B$231)</f>
        <v>0</v>
      </c>
      <c r="B231" s="29">
        <f>IF(A231="","",SUMIFS(Payments!$L$5:$L$304,Payments!$C$5:$C$304,A231,Payments!$B$5:$B$304,"&gt;="&amp;PeriodStart,Payments!$B$5:$B$304,"&lt;="&amp;PeriodEnd))</f>
        <v>0</v>
      </c>
      <c r="C231" s="51">
        <f>IF(A231="","",IF(B231&lt;=0,"",B231+ROW()/1000000))</f>
        <v>0</v>
      </c>
      <c r="D231" s="29">
        <f>IF(A231="","",SUMIFS(Payments!$L$5:$L$304,Payments!$C$5:$C$304,A231,Payments!$B$5:$B$304,"&gt;="&amp;RepFrom,Payments!$B$5:$B$304,"&lt;="&amp;RepTo))</f>
        <v>0</v>
      </c>
      <c r="E231" s="51">
        <f>IF(A231="","",IF(D231&lt;=0,"",D231+ROW()/1000000))</f>
        <v>0</v>
      </c>
      <c r="F231" s="29">
        <f>IF(A231="","",SUMIFS(Invoices!$S$5:$S$304,Invoices!$D$5:$D$304,A231,Invoices!$T$5:$T$304,"&lt;&gt;Cancelled"))</f>
        <v>0</v>
      </c>
      <c r="G231" s="51">
        <f>IF(A231="","",IF(F231&lt;=0.004,"",F231+ROW()/1000000))</f>
        <v>0</v>
      </c>
      <c r="H231" s="31">
        <f>IF(A231="","",COUNTIFS(Bookings!$C$5:$C$404,A231,Bookings!$I$5:$I$404,"&gt;="&amp;RepFrom,Bookings!$I$5:$I$404,"&lt;="&amp;RepTo,Bookings!$AM$5:$AM$404,"&lt;&gt;Cancelled"))</f>
        <v>0</v>
      </c>
      <c r="I231" s="28">
        <f>IF(Services!$B$231="","",Services!$B$231)</f>
        <v>0</v>
      </c>
      <c r="J231" s="29">
        <f>IF(I231="","",SUMIFS(Bookings!$AK$5:$AK$404,Bookings!$H$5:$H$404,I231,Bookings!$I$5:$I$404,"&gt;="&amp;PeriodStart,Bookings!$I$5:$I$404,"&lt;="&amp;PeriodEnd,Bookings!$AM$5:$AM$404,"&lt;&gt;Cancelled"))</f>
        <v>0</v>
      </c>
      <c r="K231" s="31">
        <f>IF(I231="","",COUNTIFS(Bookings!$H$5:$H$404,I231,Bookings!$I$5:$I$404,"&gt;="&amp;PeriodStart,Bookings!$I$5:$I$404,"&lt;="&amp;PeriodEnd,Bookings!$AM$5:$AM$404,"&lt;&gt;Cancelled"))</f>
        <v>0</v>
      </c>
      <c r="L231" s="29">
        <f>IF(I231="","",SUMIFS(Bookings!$AK$5:$AK$404,Bookings!$H$5:$H$404,I231,Bookings!$I$5:$I$404,"&gt;="&amp;RepFrom,Bookings!$I$5:$I$404,"&lt;="&amp;RepTo,Bookings!$AM$5:$AM$404,"&lt;&gt;Cancelled"))</f>
        <v>0</v>
      </c>
      <c r="M231" s="31">
        <f>IF(I231="","",COUNTIFS(Bookings!$H$5:$H$404,I231,Bookings!$I$5:$I$404,"&gt;="&amp;RepFrom,Bookings!$I$5:$I$404,"&lt;="&amp;RepTo,Bookings!$AM$5:$AM$404,"&lt;&gt;Cancelled"))</f>
        <v>0</v>
      </c>
      <c r="N231" s="29">
        <f>IF(I231="","",M231*IF(Services!$L$231="",0,Services!$L$231))</f>
        <v>0</v>
      </c>
      <c r="O231" s="29">
        <f>IF(I231="","",L231-N231)</f>
        <v>0</v>
      </c>
      <c r="P231" s="28">
        <f>IF(Lists!$AG231="","",Lists!$AG231)</f>
        <v>0</v>
      </c>
      <c r="Q231" s="29">
        <f>IF(P231="","",SUMIFS(Expenses!$F$5:$F$304,Expenses!$C$5:$C$304,P231,Expenses!$B$5:$B$304,"&gt;="&amp;PeriodStart,Expenses!$B$5:$B$304,"&lt;="&amp;PeriodEnd,Expenses!$J$5:$J$304,"&lt;&gt;Personal"))</f>
        <v>0</v>
      </c>
      <c r="R231" s="29">
        <f>IF(P231="","",SUMIFS(Expenses!$F$5:$F$304,Expenses!$C$5:$C$304,P231,Expenses!$B$5:$B$304,"&gt;="&amp;RepFrom,Expenses!$B$5:$B$304,"&lt;="&amp;RepTo,Expenses!$J$5:$J$304,"&lt;&gt;Personal"))</f>
        <v>0</v>
      </c>
      <c r="S231" s="21">
        <f>IF(ROW()-4&gt;12,"",DATE(Dash_Year,ROW()-4,1))</f>
        <v>0</v>
      </c>
      <c r="T231" s="21">
        <f>IF(S231="","",EOMONTH(S231,0))</f>
        <v>0</v>
      </c>
      <c r="U231" s="28">
        <f>IF(S231="","",TEXT(S231,"mmm"))</f>
        <v>0</v>
      </c>
      <c r="V231" s="29">
        <f>IF(S231="","",SUMIFS(Payments!$L$5:$L$304,Payments!$B$5:$B$304,"&gt;="&amp;S231,Payments!$B$5:$B$304,"&lt;="&amp;T231))</f>
        <v>0</v>
      </c>
      <c r="W231" s="29">
        <f>IF(S231="","",SUMIFS(Invoices!$O$5:$O$304,Invoices!$B$5:$B$304,"&gt;="&amp;S231,Invoices!$B$5:$B$304,"&lt;="&amp;T231,Invoices!$T$5:$T$304,"&lt;&gt;Cancelled"))</f>
        <v>0</v>
      </c>
      <c r="X231" s="29">
        <f>IF(S231="","",SUMIFS(Expenses!$F$5:$F$304,Expenses!$B$5:$B$304,"&gt;="&amp;S231,Expenses!$B$5:$B$304,"&lt;="&amp;T231,Expenses!$J$5:$J$304,"&lt;&gt;Personal"))</f>
        <v>0</v>
      </c>
      <c r="Y231" s="29">
        <f>IF(S231="","",V231-X231)</f>
        <v>0</v>
      </c>
      <c r="Z231" s="31">
        <f>IF(S231="","",COUNTIFS(Bookings!$I$5:$I$404,"&gt;="&amp;S231,Bookings!$I$5:$I$404,"&lt;="&amp;T231,Bookings!$AM$5:$AM$404,"&lt;&gt;Cancelled"))</f>
        <v>0</v>
      </c>
      <c r="AA231" s="31">
        <f>IF(S231="","",COUNTIFS(Bookings!$I$5:$I$404,"&gt;="&amp;S231,Bookings!$I$5:$I$404,"&lt;="&amp;T231,Bookings!$AM$5:$AM$404,"Completed"))</f>
        <v>0</v>
      </c>
      <c r="AB231" s="31">
        <f>IF(S231="","",COUNTIFS(Bookings!$I$5:$I$404,"&gt;="&amp;S231,Bookings!$I$5:$I$404,"&lt;="&amp;T231,Bookings!$AM$5:$AM$404,"Cancelled"))</f>
        <v>0</v>
      </c>
      <c r="AC231" s="31">
        <f>IF(S231="","",COUNTIFS('Visit Log'!$C$5:$C$404,"&gt;="&amp;S231,'Visit Log'!$C$5:$C$404,"&lt;="&amp;T231,'Visit Log'!$AE$5:$AE$404,"Completed"))</f>
        <v>0</v>
      </c>
      <c r="AD231" s="31">
        <f>IF(S231="","",COUNTIFS(Clients!$L$5:$L$254,"&gt;="&amp;S231,Clients!$L$5:$L$254,"&lt;="&amp;T231))</f>
        <v>0</v>
      </c>
      <c r="AE231" s="32">
        <f>IF(S231="","",SUMIFS(Mileage!$M$5:$M$304,Mileage!$B$5:$B$304,"&gt;="&amp;S231,Mileage!$B$5:$B$304,"&lt;="&amp;T231,Mileage!$N$5:$N$304,"Business"))</f>
        <v>0</v>
      </c>
      <c r="AF231" s="29">
        <f>IF(S231="","",SUMIFS(Payments!$L$5:$L$304,Payments!$B$5:$B$304,"&gt;="&amp;DATE(Dash_Year-1,ROW()-4,1),Payments!$B$5:$B$304,"&lt;="&amp;EOMONTH(DATE(Dash_Year-1,ROW()-4,1),0)))</f>
        <v>0</v>
      </c>
      <c r="AG231" s="28">
        <f>IF(Staff!$B$231="","",Staff!$B$231)</f>
        <v>0</v>
      </c>
      <c r="AH231" s="31">
        <f>IF(AG231="","",COUNTIFS('Visit Log'!$G$5:$G$404,AG231,'Visit Log'!$C$5:$C$404,"&gt;="&amp;RepFrom,'Visit Log'!$C$5:$C$404,"&lt;="&amp;RepTo,'Visit Log'!$AE$5:$AE$404,"Completed"))</f>
        <v>0</v>
      </c>
      <c r="AI231" s="51">
        <f>IF(AG231="","",ROUND(SUMIFS('Visit Log'!$K$5:$K$404,'Visit Log'!$G$5:$G$404,AG231,'Visit Log'!$C$5:$C$404,"&gt;="&amp;RepFrom,'Visit Log'!$C$5:$C$404,"&lt;="&amp;RepTo,'Visit Log'!$AE$5:$AE$404,"Completed")/60,2))</f>
        <v>0</v>
      </c>
      <c r="AJ231" s="29">
        <f>IF(AG231="","",SUMIFS(Bookings!$AK$5:$AK$404,Bookings!$AL$5:$AL$404,AG231,Bookings!$I$5:$I$404,"&gt;="&amp;RepFrom,Bookings!$I$5:$I$404,"&lt;="&amp;RepTo,Bookings!$AM$5:$AM$404,"&lt;&gt;Cancelled"))</f>
        <v>0</v>
      </c>
      <c r="AK231" s="32">
        <f>IF(AG231="","",SUMIFS(Mileage!$M$5:$M$304,Mileage!$C$5:$C$304,AG231,Mileage!$B$5:$B$304,"&gt;="&amp;RepFrom,Mileage!$B$5:$B$304,"&lt;="&amp;RepTo))</f>
        <v>0</v>
      </c>
      <c r="AL231" s="28">
        <f>IF(Lists!$Q231="","",Lists!$Q231)</f>
        <v>0</v>
      </c>
      <c r="AM231" s="31">
        <f>IF(AL231="","",COUNTIFS(Bookings!$AV$5:$AV$404,AL231,Bookings!$I$5:$I$404,"&gt;="&amp;RepFrom,Bookings!$I$5:$I$404,"&lt;="&amp;RepTo))</f>
        <v>0</v>
      </c>
      <c r="AN231" s="28">
        <f>IF(Lists!$AF231="","",Lists!$AF231)</f>
        <v>0</v>
      </c>
      <c r="AO231" s="29">
        <f>IF(AN231="","",SUMIFS(Payments!$L$5:$L$304,Payments!$F$5:$F$304,AN231,Payments!$B$5:$B$304,"&gt;="&amp;RepFrom,Payments!$B$5:$B$304,"&lt;="&amp;RepTo))</f>
        <v>0</v>
      </c>
      <c r="AP231" s="28">
        <f>IF(Lists!$E231="","",Lists!$E231)</f>
        <v>0</v>
      </c>
      <c r="AQ231" s="31">
        <f>IF(AP231="","",COUNTIFS(Clients!$K$5:$K$254,AP231))</f>
        <v>0</v>
      </c>
      <c r="AR231" s="29">
        <f>IF(AP231="","",SUMIFS(Clients!$AE$5:$AE$254,Clients!$K$5:$K$254,AP231))</f>
        <v>0</v>
      </c>
    </row>
    <row r="232" spans="1:44">
      <c r="A232" s="28">
        <f>IF(Clients!$B$232="","",Clients!$B$232)</f>
        <v>0</v>
      </c>
      <c r="B232" s="29">
        <f>IF(A232="","",SUMIFS(Payments!$L$5:$L$304,Payments!$C$5:$C$304,A232,Payments!$B$5:$B$304,"&gt;="&amp;PeriodStart,Payments!$B$5:$B$304,"&lt;="&amp;PeriodEnd))</f>
        <v>0</v>
      </c>
      <c r="C232" s="51">
        <f>IF(A232="","",IF(B232&lt;=0,"",B232+ROW()/1000000))</f>
        <v>0</v>
      </c>
      <c r="D232" s="29">
        <f>IF(A232="","",SUMIFS(Payments!$L$5:$L$304,Payments!$C$5:$C$304,A232,Payments!$B$5:$B$304,"&gt;="&amp;RepFrom,Payments!$B$5:$B$304,"&lt;="&amp;RepTo))</f>
        <v>0</v>
      </c>
      <c r="E232" s="51">
        <f>IF(A232="","",IF(D232&lt;=0,"",D232+ROW()/1000000))</f>
        <v>0</v>
      </c>
      <c r="F232" s="29">
        <f>IF(A232="","",SUMIFS(Invoices!$S$5:$S$304,Invoices!$D$5:$D$304,A232,Invoices!$T$5:$T$304,"&lt;&gt;Cancelled"))</f>
        <v>0</v>
      </c>
      <c r="G232" s="51">
        <f>IF(A232="","",IF(F232&lt;=0.004,"",F232+ROW()/1000000))</f>
        <v>0</v>
      </c>
      <c r="H232" s="31">
        <f>IF(A232="","",COUNTIFS(Bookings!$C$5:$C$404,A232,Bookings!$I$5:$I$404,"&gt;="&amp;RepFrom,Bookings!$I$5:$I$404,"&lt;="&amp;RepTo,Bookings!$AM$5:$AM$404,"&lt;&gt;Cancelled"))</f>
        <v>0</v>
      </c>
      <c r="I232" s="28">
        <f>IF(Services!$B$232="","",Services!$B$232)</f>
        <v>0</v>
      </c>
      <c r="J232" s="29">
        <f>IF(I232="","",SUMIFS(Bookings!$AK$5:$AK$404,Bookings!$H$5:$H$404,I232,Bookings!$I$5:$I$404,"&gt;="&amp;PeriodStart,Bookings!$I$5:$I$404,"&lt;="&amp;PeriodEnd,Bookings!$AM$5:$AM$404,"&lt;&gt;Cancelled"))</f>
        <v>0</v>
      </c>
      <c r="K232" s="31">
        <f>IF(I232="","",COUNTIFS(Bookings!$H$5:$H$404,I232,Bookings!$I$5:$I$404,"&gt;="&amp;PeriodStart,Bookings!$I$5:$I$404,"&lt;="&amp;PeriodEnd,Bookings!$AM$5:$AM$404,"&lt;&gt;Cancelled"))</f>
        <v>0</v>
      </c>
      <c r="L232" s="29">
        <f>IF(I232="","",SUMIFS(Bookings!$AK$5:$AK$404,Bookings!$H$5:$H$404,I232,Bookings!$I$5:$I$404,"&gt;="&amp;RepFrom,Bookings!$I$5:$I$404,"&lt;="&amp;RepTo,Bookings!$AM$5:$AM$404,"&lt;&gt;Cancelled"))</f>
        <v>0</v>
      </c>
      <c r="M232" s="31">
        <f>IF(I232="","",COUNTIFS(Bookings!$H$5:$H$404,I232,Bookings!$I$5:$I$404,"&gt;="&amp;RepFrom,Bookings!$I$5:$I$404,"&lt;="&amp;RepTo,Bookings!$AM$5:$AM$404,"&lt;&gt;Cancelled"))</f>
        <v>0</v>
      </c>
      <c r="N232" s="29">
        <f>IF(I232="","",M232*IF(Services!$L$232="",0,Services!$L$232))</f>
        <v>0</v>
      </c>
      <c r="O232" s="29">
        <f>IF(I232="","",L232-N232)</f>
        <v>0</v>
      </c>
      <c r="P232" s="28">
        <f>IF(Lists!$AG232="","",Lists!$AG232)</f>
        <v>0</v>
      </c>
      <c r="Q232" s="29">
        <f>IF(P232="","",SUMIFS(Expenses!$F$5:$F$304,Expenses!$C$5:$C$304,P232,Expenses!$B$5:$B$304,"&gt;="&amp;PeriodStart,Expenses!$B$5:$B$304,"&lt;="&amp;PeriodEnd,Expenses!$J$5:$J$304,"&lt;&gt;Personal"))</f>
        <v>0</v>
      </c>
      <c r="R232" s="29">
        <f>IF(P232="","",SUMIFS(Expenses!$F$5:$F$304,Expenses!$C$5:$C$304,P232,Expenses!$B$5:$B$304,"&gt;="&amp;RepFrom,Expenses!$B$5:$B$304,"&lt;="&amp;RepTo,Expenses!$J$5:$J$304,"&lt;&gt;Personal"))</f>
        <v>0</v>
      </c>
      <c r="S232" s="21">
        <f>IF(ROW()-4&gt;12,"",DATE(Dash_Year,ROW()-4,1))</f>
        <v>0</v>
      </c>
      <c r="T232" s="21">
        <f>IF(S232="","",EOMONTH(S232,0))</f>
        <v>0</v>
      </c>
      <c r="U232" s="28">
        <f>IF(S232="","",TEXT(S232,"mmm"))</f>
        <v>0</v>
      </c>
      <c r="V232" s="29">
        <f>IF(S232="","",SUMIFS(Payments!$L$5:$L$304,Payments!$B$5:$B$304,"&gt;="&amp;S232,Payments!$B$5:$B$304,"&lt;="&amp;T232))</f>
        <v>0</v>
      </c>
      <c r="W232" s="29">
        <f>IF(S232="","",SUMIFS(Invoices!$O$5:$O$304,Invoices!$B$5:$B$304,"&gt;="&amp;S232,Invoices!$B$5:$B$304,"&lt;="&amp;T232,Invoices!$T$5:$T$304,"&lt;&gt;Cancelled"))</f>
        <v>0</v>
      </c>
      <c r="X232" s="29">
        <f>IF(S232="","",SUMIFS(Expenses!$F$5:$F$304,Expenses!$B$5:$B$304,"&gt;="&amp;S232,Expenses!$B$5:$B$304,"&lt;="&amp;T232,Expenses!$J$5:$J$304,"&lt;&gt;Personal"))</f>
        <v>0</v>
      </c>
      <c r="Y232" s="29">
        <f>IF(S232="","",V232-X232)</f>
        <v>0</v>
      </c>
      <c r="Z232" s="31">
        <f>IF(S232="","",COUNTIFS(Bookings!$I$5:$I$404,"&gt;="&amp;S232,Bookings!$I$5:$I$404,"&lt;="&amp;T232,Bookings!$AM$5:$AM$404,"&lt;&gt;Cancelled"))</f>
        <v>0</v>
      </c>
      <c r="AA232" s="31">
        <f>IF(S232="","",COUNTIFS(Bookings!$I$5:$I$404,"&gt;="&amp;S232,Bookings!$I$5:$I$404,"&lt;="&amp;T232,Bookings!$AM$5:$AM$404,"Completed"))</f>
        <v>0</v>
      </c>
      <c r="AB232" s="31">
        <f>IF(S232="","",COUNTIFS(Bookings!$I$5:$I$404,"&gt;="&amp;S232,Bookings!$I$5:$I$404,"&lt;="&amp;T232,Bookings!$AM$5:$AM$404,"Cancelled"))</f>
        <v>0</v>
      </c>
      <c r="AC232" s="31">
        <f>IF(S232="","",COUNTIFS('Visit Log'!$C$5:$C$404,"&gt;="&amp;S232,'Visit Log'!$C$5:$C$404,"&lt;="&amp;T232,'Visit Log'!$AE$5:$AE$404,"Completed"))</f>
        <v>0</v>
      </c>
      <c r="AD232" s="31">
        <f>IF(S232="","",COUNTIFS(Clients!$L$5:$L$254,"&gt;="&amp;S232,Clients!$L$5:$L$254,"&lt;="&amp;T232))</f>
        <v>0</v>
      </c>
      <c r="AE232" s="32">
        <f>IF(S232="","",SUMIFS(Mileage!$M$5:$M$304,Mileage!$B$5:$B$304,"&gt;="&amp;S232,Mileage!$B$5:$B$304,"&lt;="&amp;T232,Mileage!$N$5:$N$304,"Business"))</f>
        <v>0</v>
      </c>
      <c r="AF232" s="29">
        <f>IF(S232="","",SUMIFS(Payments!$L$5:$L$304,Payments!$B$5:$B$304,"&gt;="&amp;DATE(Dash_Year-1,ROW()-4,1),Payments!$B$5:$B$304,"&lt;="&amp;EOMONTH(DATE(Dash_Year-1,ROW()-4,1),0)))</f>
        <v>0</v>
      </c>
      <c r="AG232" s="28">
        <f>IF(Staff!$B$232="","",Staff!$B$232)</f>
        <v>0</v>
      </c>
      <c r="AH232" s="31">
        <f>IF(AG232="","",COUNTIFS('Visit Log'!$G$5:$G$404,AG232,'Visit Log'!$C$5:$C$404,"&gt;="&amp;RepFrom,'Visit Log'!$C$5:$C$404,"&lt;="&amp;RepTo,'Visit Log'!$AE$5:$AE$404,"Completed"))</f>
        <v>0</v>
      </c>
      <c r="AI232" s="51">
        <f>IF(AG232="","",ROUND(SUMIFS('Visit Log'!$K$5:$K$404,'Visit Log'!$G$5:$G$404,AG232,'Visit Log'!$C$5:$C$404,"&gt;="&amp;RepFrom,'Visit Log'!$C$5:$C$404,"&lt;="&amp;RepTo,'Visit Log'!$AE$5:$AE$404,"Completed")/60,2))</f>
        <v>0</v>
      </c>
      <c r="AJ232" s="29">
        <f>IF(AG232="","",SUMIFS(Bookings!$AK$5:$AK$404,Bookings!$AL$5:$AL$404,AG232,Bookings!$I$5:$I$404,"&gt;="&amp;RepFrom,Bookings!$I$5:$I$404,"&lt;="&amp;RepTo,Bookings!$AM$5:$AM$404,"&lt;&gt;Cancelled"))</f>
        <v>0</v>
      </c>
      <c r="AK232" s="32">
        <f>IF(AG232="","",SUMIFS(Mileage!$M$5:$M$304,Mileage!$C$5:$C$304,AG232,Mileage!$B$5:$B$304,"&gt;="&amp;RepFrom,Mileage!$B$5:$B$304,"&lt;="&amp;RepTo))</f>
        <v>0</v>
      </c>
      <c r="AL232" s="28">
        <f>IF(Lists!$Q232="","",Lists!$Q232)</f>
        <v>0</v>
      </c>
      <c r="AM232" s="31">
        <f>IF(AL232="","",COUNTIFS(Bookings!$AV$5:$AV$404,AL232,Bookings!$I$5:$I$404,"&gt;="&amp;RepFrom,Bookings!$I$5:$I$404,"&lt;="&amp;RepTo))</f>
        <v>0</v>
      </c>
      <c r="AN232" s="28">
        <f>IF(Lists!$AF232="","",Lists!$AF232)</f>
        <v>0</v>
      </c>
      <c r="AO232" s="29">
        <f>IF(AN232="","",SUMIFS(Payments!$L$5:$L$304,Payments!$F$5:$F$304,AN232,Payments!$B$5:$B$304,"&gt;="&amp;RepFrom,Payments!$B$5:$B$304,"&lt;="&amp;RepTo))</f>
        <v>0</v>
      </c>
      <c r="AP232" s="28">
        <f>IF(Lists!$E232="","",Lists!$E232)</f>
        <v>0</v>
      </c>
      <c r="AQ232" s="31">
        <f>IF(AP232="","",COUNTIFS(Clients!$K$5:$K$254,AP232))</f>
        <v>0</v>
      </c>
      <c r="AR232" s="29">
        <f>IF(AP232="","",SUMIFS(Clients!$AE$5:$AE$254,Clients!$K$5:$K$254,AP232))</f>
        <v>0</v>
      </c>
    </row>
    <row r="233" spans="1:44">
      <c r="A233" s="28">
        <f>IF(Clients!$B$233="","",Clients!$B$233)</f>
        <v>0</v>
      </c>
      <c r="B233" s="29">
        <f>IF(A233="","",SUMIFS(Payments!$L$5:$L$304,Payments!$C$5:$C$304,A233,Payments!$B$5:$B$304,"&gt;="&amp;PeriodStart,Payments!$B$5:$B$304,"&lt;="&amp;PeriodEnd))</f>
        <v>0</v>
      </c>
      <c r="C233" s="51">
        <f>IF(A233="","",IF(B233&lt;=0,"",B233+ROW()/1000000))</f>
        <v>0</v>
      </c>
      <c r="D233" s="29">
        <f>IF(A233="","",SUMIFS(Payments!$L$5:$L$304,Payments!$C$5:$C$304,A233,Payments!$B$5:$B$304,"&gt;="&amp;RepFrom,Payments!$B$5:$B$304,"&lt;="&amp;RepTo))</f>
        <v>0</v>
      </c>
      <c r="E233" s="51">
        <f>IF(A233="","",IF(D233&lt;=0,"",D233+ROW()/1000000))</f>
        <v>0</v>
      </c>
      <c r="F233" s="29">
        <f>IF(A233="","",SUMIFS(Invoices!$S$5:$S$304,Invoices!$D$5:$D$304,A233,Invoices!$T$5:$T$304,"&lt;&gt;Cancelled"))</f>
        <v>0</v>
      </c>
      <c r="G233" s="51">
        <f>IF(A233="","",IF(F233&lt;=0.004,"",F233+ROW()/1000000))</f>
        <v>0</v>
      </c>
      <c r="H233" s="31">
        <f>IF(A233="","",COUNTIFS(Bookings!$C$5:$C$404,A233,Bookings!$I$5:$I$404,"&gt;="&amp;RepFrom,Bookings!$I$5:$I$404,"&lt;="&amp;RepTo,Bookings!$AM$5:$AM$404,"&lt;&gt;Cancelled"))</f>
        <v>0</v>
      </c>
      <c r="I233" s="28">
        <f>IF(Services!$B$233="","",Services!$B$233)</f>
        <v>0</v>
      </c>
      <c r="J233" s="29">
        <f>IF(I233="","",SUMIFS(Bookings!$AK$5:$AK$404,Bookings!$H$5:$H$404,I233,Bookings!$I$5:$I$404,"&gt;="&amp;PeriodStart,Bookings!$I$5:$I$404,"&lt;="&amp;PeriodEnd,Bookings!$AM$5:$AM$404,"&lt;&gt;Cancelled"))</f>
        <v>0</v>
      </c>
      <c r="K233" s="31">
        <f>IF(I233="","",COUNTIFS(Bookings!$H$5:$H$404,I233,Bookings!$I$5:$I$404,"&gt;="&amp;PeriodStart,Bookings!$I$5:$I$404,"&lt;="&amp;PeriodEnd,Bookings!$AM$5:$AM$404,"&lt;&gt;Cancelled"))</f>
        <v>0</v>
      </c>
      <c r="L233" s="29">
        <f>IF(I233="","",SUMIFS(Bookings!$AK$5:$AK$404,Bookings!$H$5:$H$404,I233,Bookings!$I$5:$I$404,"&gt;="&amp;RepFrom,Bookings!$I$5:$I$404,"&lt;="&amp;RepTo,Bookings!$AM$5:$AM$404,"&lt;&gt;Cancelled"))</f>
        <v>0</v>
      </c>
      <c r="M233" s="31">
        <f>IF(I233="","",COUNTIFS(Bookings!$H$5:$H$404,I233,Bookings!$I$5:$I$404,"&gt;="&amp;RepFrom,Bookings!$I$5:$I$404,"&lt;="&amp;RepTo,Bookings!$AM$5:$AM$404,"&lt;&gt;Cancelled"))</f>
        <v>0</v>
      </c>
      <c r="N233" s="29">
        <f>IF(I233="","",M233*IF(Services!$L$233="",0,Services!$L$233))</f>
        <v>0</v>
      </c>
      <c r="O233" s="29">
        <f>IF(I233="","",L233-N233)</f>
        <v>0</v>
      </c>
      <c r="P233" s="28">
        <f>IF(Lists!$AG233="","",Lists!$AG233)</f>
        <v>0</v>
      </c>
      <c r="Q233" s="29">
        <f>IF(P233="","",SUMIFS(Expenses!$F$5:$F$304,Expenses!$C$5:$C$304,P233,Expenses!$B$5:$B$304,"&gt;="&amp;PeriodStart,Expenses!$B$5:$B$304,"&lt;="&amp;PeriodEnd,Expenses!$J$5:$J$304,"&lt;&gt;Personal"))</f>
        <v>0</v>
      </c>
      <c r="R233" s="29">
        <f>IF(P233="","",SUMIFS(Expenses!$F$5:$F$304,Expenses!$C$5:$C$304,P233,Expenses!$B$5:$B$304,"&gt;="&amp;RepFrom,Expenses!$B$5:$B$304,"&lt;="&amp;RepTo,Expenses!$J$5:$J$304,"&lt;&gt;Personal"))</f>
        <v>0</v>
      </c>
      <c r="S233" s="21">
        <f>IF(ROW()-4&gt;12,"",DATE(Dash_Year,ROW()-4,1))</f>
        <v>0</v>
      </c>
      <c r="T233" s="21">
        <f>IF(S233="","",EOMONTH(S233,0))</f>
        <v>0</v>
      </c>
      <c r="U233" s="28">
        <f>IF(S233="","",TEXT(S233,"mmm"))</f>
        <v>0</v>
      </c>
      <c r="V233" s="29">
        <f>IF(S233="","",SUMIFS(Payments!$L$5:$L$304,Payments!$B$5:$B$304,"&gt;="&amp;S233,Payments!$B$5:$B$304,"&lt;="&amp;T233))</f>
        <v>0</v>
      </c>
      <c r="W233" s="29">
        <f>IF(S233="","",SUMIFS(Invoices!$O$5:$O$304,Invoices!$B$5:$B$304,"&gt;="&amp;S233,Invoices!$B$5:$B$304,"&lt;="&amp;T233,Invoices!$T$5:$T$304,"&lt;&gt;Cancelled"))</f>
        <v>0</v>
      </c>
      <c r="X233" s="29">
        <f>IF(S233="","",SUMIFS(Expenses!$F$5:$F$304,Expenses!$B$5:$B$304,"&gt;="&amp;S233,Expenses!$B$5:$B$304,"&lt;="&amp;T233,Expenses!$J$5:$J$304,"&lt;&gt;Personal"))</f>
        <v>0</v>
      </c>
      <c r="Y233" s="29">
        <f>IF(S233="","",V233-X233)</f>
        <v>0</v>
      </c>
      <c r="Z233" s="31">
        <f>IF(S233="","",COUNTIFS(Bookings!$I$5:$I$404,"&gt;="&amp;S233,Bookings!$I$5:$I$404,"&lt;="&amp;T233,Bookings!$AM$5:$AM$404,"&lt;&gt;Cancelled"))</f>
        <v>0</v>
      </c>
      <c r="AA233" s="31">
        <f>IF(S233="","",COUNTIFS(Bookings!$I$5:$I$404,"&gt;="&amp;S233,Bookings!$I$5:$I$404,"&lt;="&amp;T233,Bookings!$AM$5:$AM$404,"Completed"))</f>
        <v>0</v>
      </c>
      <c r="AB233" s="31">
        <f>IF(S233="","",COUNTIFS(Bookings!$I$5:$I$404,"&gt;="&amp;S233,Bookings!$I$5:$I$404,"&lt;="&amp;T233,Bookings!$AM$5:$AM$404,"Cancelled"))</f>
        <v>0</v>
      </c>
      <c r="AC233" s="31">
        <f>IF(S233="","",COUNTIFS('Visit Log'!$C$5:$C$404,"&gt;="&amp;S233,'Visit Log'!$C$5:$C$404,"&lt;="&amp;T233,'Visit Log'!$AE$5:$AE$404,"Completed"))</f>
        <v>0</v>
      </c>
      <c r="AD233" s="31">
        <f>IF(S233="","",COUNTIFS(Clients!$L$5:$L$254,"&gt;="&amp;S233,Clients!$L$5:$L$254,"&lt;="&amp;T233))</f>
        <v>0</v>
      </c>
      <c r="AE233" s="32">
        <f>IF(S233="","",SUMIFS(Mileage!$M$5:$M$304,Mileage!$B$5:$B$304,"&gt;="&amp;S233,Mileage!$B$5:$B$304,"&lt;="&amp;T233,Mileage!$N$5:$N$304,"Business"))</f>
        <v>0</v>
      </c>
      <c r="AF233" s="29">
        <f>IF(S233="","",SUMIFS(Payments!$L$5:$L$304,Payments!$B$5:$B$304,"&gt;="&amp;DATE(Dash_Year-1,ROW()-4,1),Payments!$B$5:$B$304,"&lt;="&amp;EOMONTH(DATE(Dash_Year-1,ROW()-4,1),0)))</f>
        <v>0</v>
      </c>
      <c r="AG233" s="28">
        <f>IF(Staff!$B$233="","",Staff!$B$233)</f>
        <v>0</v>
      </c>
      <c r="AH233" s="31">
        <f>IF(AG233="","",COUNTIFS('Visit Log'!$G$5:$G$404,AG233,'Visit Log'!$C$5:$C$404,"&gt;="&amp;RepFrom,'Visit Log'!$C$5:$C$404,"&lt;="&amp;RepTo,'Visit Log'!$AE$5:$AE$404,"Completed"))</f>
        <v>0</v>
      </c>
      <c r="AI233" s="51">
        <f>IF(AG233="","",ROUND(SUMIFS('Visit Log'!$K$5:$K$404,'Visit Log'!$G$5:$G$404,AG233,'Visit Log'!$C$5:$C$404,"&gt;="&amp;RepFrom,'Visit Log'!$C$5:$C$404,"&lt;="&amp;RepTo,'Visit Log'!$AE$5:$AE$404,"Completed")/60,2))</f>
        <v>0</v>
      </c>
      <c r="AJ233" s="29">
        <f>IF(AG233="","",SUMIFS(Bookings!$AK$5:$AK$404,Bookings!$AL$5:$AL$404,AG233,Bookings!$I$5:$I$404,"&gt;="&amp;RepFrom,Bookings!$I$5:$I$404,"&lt;="&amp;RepTo,Bookings!$AM$5:$AM$404,"&lt;&gt;Cancelled"))</f>
        <v>0</v>
      </c>
      <c r="AK233" s="32">
        <f>IF(AG233="","",SUMIFS(Mileage!$M$5:$M$304,Mileage!$C$5:$C$304,AG233,Mileage!$B$5:$B$304,"&gt;="&amp;RepFrom,Mileage!$B$5:$B$304,"&lt;="&amp;RepTo))</f>
        <v>0</v>
      </c>
      <c r="AL233" s="28">
        <f>IF(Lists!$Q233="","",Lists!$Q233)</f>
        <v>0</v>
      </c>
      <c r="AM233" s="31">
        <f>IF(AL233="","",COUNTIFS(Bookings!$AV$5:$AV$404,AL233,Bookings!$I$5:$I$404,"&gt;="&amp;RepFrom,Bookings!$I$5:$I$404,"&lt;="&amp;RepTo))</f>
        <v>0</v>
      </c>
      <c r="AN233" s="28">
        <f>IF(Lists!$AF233="","",Lists!$AF233)</f>
        <v>0</v>
      </c>
      <c r="AO233" s="29">
        <f>IF(AN233="","",SUMIFS(Payments!$L$5:$L$304,Payments!$F$5:$F$304,AN233,Payments!$B$5:$B$304,"&gt;="&amp;RepFrom,Payments!$B$5:$B$304,"&lt;="&amp;RepTo))</f>
        <v>0</v>
      </c>
      <c r="AP233" s="28">
        <f>IF(Lists!$E233="","",Lists!$E233)</f>
        <v>0</v>
      </c>
      <c r="AQ233" s="31">
        <f>IF(AP233="","",COUNTIFS(Clients!$K$5:$K$254,AP233))</f>
        <v>0</v>
      </c>
      <c r="AR233" s="29">
        <f>IF(AP233="","",SUMIFS(Clients!$AE$5:$AE$254,Clients!$K$5:$K$254,AP233))</f>
        <v>0</v>
      </c>
    </row>
    <row r="234" spans="1:44">
      <c r="A234" s="28">
        <f>IF(Clients!$B$234="","",Clients!$B$234)</f>
        <v>0</v>
      </c>
      <c r="B234" s="29">
        <f>IF(A234="","",SUMIFS(Payments!$L$5:$L$304,Payments!$C$5:$C$304,A234,Payments!$B$5:$B$304,"&gt;="&amp;PeriodStart,Payments!$B$5:$B$304,"&lt;="&amp;PeriodEnd))</f>
        <v>0</v>
      </c>
      <c r="C234" s="51">
        <f>IF(A234="","",IF(B234&lt;=0,"",B234+ROW()/1000000))</f>
        <v>0</v>
      </c>
      <c r="D234" s="29">
        <f>IF(A234="","",SUMIFS(Payments!$L$5:$L$304,Payments!$C$5:$C$304,A234,Payments!$B$5:$B$304,"&gt;="&amp;RepFrom,Payments!$B$5:$B$304,"&lt;="&amp;RepTo))</f>
        <v>0</v>
      </c>
      <c r="E234" s="51">
        <f>IF(A234="","",IF(D234&lt;=0,"",D234+ROW()/1000000))</f>
        <v>0</v>
      </c>
      <c r="F234" s="29">
        <f>IF(A234="","",SUMIFS(Invoices!$S$5:$S$304,Invoices!$D$5:$D$304,A234,Invoices!$T$5:$T$304,"&lt;&gt;Cancelled"))</f>
        <v>0</v>
      </c>
      <c r="G234" s="51">
        <f>IF(A234="","",IF(F234&lt;=0.004,"",F234+ROW()/1000000))</f>
        <v>0</v>
      </c>
      <c r="H234" s="31">
        <f>IF(A234="","",COUNTIFS(Bookings!$C$5:$C$404,A234,Bookings!$I$5:$I$404,"&gt;="&amp;RepFrom,Bookings!$I$5:$I$404,"&lt;="&amp;RepTo,Bookings!$AM$5:$AM$404,"&lt;&gt;Cancelled"))</f>
        <v>0</v>
      </c>
      <c r="I234" s="28">
        <f>IF(Services!$B$234="","",Services!$B$234)</f>
        <v>0</v>
      </c>
      <c r="J234" s="29">
        <f>IF(I234="","",SUMIFS(Bookings!$AK$5:$AK$404,Bookings!$H$5:$H$404,I234,Bookings!$I$5:$I$404,"&gt;="&amp;PeriodStart,Bookings!$I$5:$I$404,"&lt;="&amp;PeriodEnd,Bookings!$AM$5:$AM$404,"&lt;&gt;Cancelled"))</f>
        <v>0</v>
      </c>
      <c r="K234" s="31">
        <f>IF(I234="","",COUNTIFS(Bookings!$H$5:$H$404,I234,Bookings!$I$5:$I$404,"&gt;="&amp;PeriodStart,Bookings!$I$5:$I$404,"&lt;="&amp;PeriodEnd,Bookings!$AM$5:$AM$404,"&lt;&gt;Cancelled"))</f>
        <v>0</v>
      </c>
      <c r="L234" s="29">
        <f>IF(I234="","",SUMIFS(Bookings!$AK$5:$AK$404,Bookings!$H$5:$H$404,I234,Bookings!$I$5:$I$404,"&gt;="&amp;RepFrom,Bookings!$I$5:$I$404,"&lt;="&amp;RepTo,Bookings!$AM$5:$AM$404,"&lt;&gt;Cancelled"))</f>
        <v>0</v>
      </c>
      <c r="M234" s="31">
        <f>IF(I234="","",COUNTIFS(Bookings!$H$5:$H$404,I234,Bookings!$I$5:$I$404,"&gt;="&amp;RepFrom,Bookings!$I$5:$I$404,"&lt;="&amp;RepTo,Bookings!$AM$5:$AM$404,"&lt;&gt;Cancelled"))</f>
        <v>0</v>
      </c>
      <c r="N234" s="29">
        <f>IF(I234="","",M234*IF(Services!$L$234="",0,Services!$L$234))</f>
        <v>0</v>
      </c>
      <c r="O234" s="29">
        <f>IF(I234="","",L234-N234)</f>
        <v>0</v>
      </c>
      <c r="P234" s="28">
        <f>IF(Lists!$AG234="","",Lists!$AG234)</f>
        <v>0</v>
      </c>
      <c r="Q234" s="29">
        <f>IF(P234="","",SUMIFS(Expenses!$F$5:$F$304,Expenses!$C$5:$C$304,P234,Expenses!$B$5:$B$304,"&gt;="&amp;PeriodStart,Expenses!$B$5:$B$304,"&lt;="&amp;PeriodEnd,Expenses!$J$5:$J$304,"&lt;&gt;Personal"))</f>
        <v>0</v>
      </c>
      <c r="R234" s="29">
        <f>IF(P234="","",SUMIFS(Expenses!$F$5:$F$304,Expenses!$C$5:$C$304,P234,Expenses!$B$5:$B$304,"&gt;="&amp;RepFrom,Expenses!$B$5:$B$304,"&lt;="&amp;RepTo,Expenses!$J$5:$J$304,"&lt;&gt;Personal"))</f>
        <v>0</v>
      </c>
      <c r="S234" s="21">
        <f>IF(ROW()-4&gt;12,"",DATE(Dash_Year,ROW()-4,1))</f>
        <v>0</v>
      </c>
      <c r="T234" s="21">
        <f>IF(S234="","",EOMONTH(S234,0))</f>
        <v>0</v>
      </c>
      <c r="U234" s="28">
        <f>IF(S234="","",TEXT(S234,"mmm"))</f>
        <v>0</v>
      </c>
      <c r="V234" s="29">
        <f>IF(S234="","",SUMIFS(Payments!$L$5:$L$304,Payments!$B$5:$B$304,"&gt;="&amp;S234,Payments!$B$5:$B$304,"&lt;="&amp;T234))</f>
        <v>0</v>
      </c>
      <c r="W234" s="29">
        <f>IF(S234="","",SUMIFS(Invoices!$O$5:$O$304,Invoices!$B$5:$B$304,"&gt;="&amp;S234,Invoices!$B$5:$B$304,"&lt;="&amp;T234,Invoices!$T$5:$T$304,"&lt;&gt;Cancelled"))</f>
        <v>0</v>
      </c>
      <c r="X234" s="29">
        <f>IF(S234="","",SUMIFS(Expenses!$F$5:$F$304,Expenses!$B$5:$B$304,"&gt;="&amp;S234,Expenses!$B$5:$B$304,"&lt;="&amp;T234,Expenses!$J$5:$J$304,"&lt;&gt;Personal"))</f>
        <v>0</v>
      </c>
      <c r="Y234" s="29">
        <f>IF(S234="","",V234-X234)</f>
        <v>0</v>
      </c>
      <c r="Z234" s="31">
        <f>IF(S234="","",COUNTIFS(Bookings!$I$5:$I$404,"&gt;="&amp;S234,Bookings!$I$5:$I$404,"&lt;="&amp;T234,Bookings!$AM$5:$AM$404,"&lt;&gt;Cancelled"))</f>
        <v>0</v>
      </c>
      <c r="AA234" s="31">
        <f>IF(S234="","",COUNTIFS(Bookings!$I$5:$I$404,"&gt;="&amp;S234,Bookings!$I$5:$I$404,"&lt;="&amp;T234,Bookings!$AM$5:$AM$404,"Completed"))</f>
        <v>0</v>
      </c>
      <c r="AB234" s="31">
        <f>IF(S234="","",COUNTIFS(Bookings!$I$5:$I$404,"&gt;="&amp;S234,Bookings!$I$5:$I$404,"&lt;="&amp;T234,Bookings!$AM$5:$AM$404,"Cancelled"))</f>
        <v>0</v>
      </c>
      <c r="AC234" s="31">
        <f>IF(S234="","",COUNTIFS('Visit Log'!$C$5:$C$404,"&gt;="&amp;S234,'Visit Log'!$C$5:$C$404,"&lt;="&amp;T234,'Visit Log'!$AE$5:$AE$404,"Completed"))</f>
        <v>0</v>
      </c>
      <c r="AD234" s="31">
        <f>IF(S234="","",COUNTIFS(Clients!$L$5:$L$254,"&gt;="&amp;S234,Clients!$L$5:$L$254,"&lt;="&amp;T234))</f>
        <v>0</v>
      </c>
      <c r="AE234" s="32">
        <f>IF(S234="","",SUMIFS(Mileage!$M$5:$M$304,Mileage!$B$5:$B$304,"&gt;="&amp;S234,Mileage!$B$5:$B$304,"&lt;="&amp;T234,Mileage!$N$5:$N$304,"Business"))</f>
        <v>0</v>
      </c>
      <c r="AF234" s="29">
        <f>IF(S234="","",SUMIFS(Payments!$L$5:$L$304,Payments!$B$5:$B$304,"&gt;="&amp;DATE(Dash_Year-1,ROW()-4,1),Payments!$B$5:$B$304,"&lt;="&amp;EOMONTH(DATE(Dash_Year-1,ROW()-4,1),0)))</f>
        <v>0</v>
      </c>
      <c r="AG234" s="28">
        <f>IF(Staff!$B$234="","",Staff!$B$234)</f>
        <v>0</v>
      </c>
      <c r="AH234" s="31">
        <f>IF(AG234="","",COUNTIFS('Visit Log'!$G$5:$G$404,AG234,'Visit Log'!$C$5:$C$404,"&gt;="&amp;RepFrom,'Visit Log'!$C$5:$C$404,"&lt;="&amp;RepTo,'Visit Log'!$AE$5:$AE$404,"Completed"))</f>
        <v>0</v>
      </c>
      <c r="AI234" s="51">
        <f>IF(AG234="","",ROUND(SUMIFS('Visit Log'!$K$5:$K$404,'Visit Log'!$G$5:$G$404,AG234,'Visit Log'!$C$5:$C$404,"&gt;="&amp;RepFrom,'Visit Log'!$C$5:$C$404,"&lt;="&amp;RepTo,'Visit Log'!$AE$5:$AE$404,"Completed")/60,2))</f>
        <v>0</v>
      </c>
      <c r="AJ234" s="29">
        <f>IF(AG234="","",SUMIFS(Bookings!$AK$5:$AK$404,Bookings!$AL$5:$AL$404,AG234,Bookings!$I$5:$I$404,"&gt;="&amp;RepFrom,Bookings!$I$5:$I$404,"&lt;="&amp;RepTo,Bookings!$AM$5:$AM$404,"&lt;&gt;Cancelled"))</f>
        <v>0</v>
      </c>
      <c r="AK234" s="32">
        <f>IF(AG234="","",SUMIFS(Mileage!$M$5:$M$304,Mileage!$C$5:$C$304,AG234,Mileage!$B$5:$B$304,"&gt;="&amp;RepFrom,Mileage!$B$5:$B$304,"&lt;="&amp;RepTo))</f>
        <v>0</v>
      </c>
      <c r="AL234" s="28">
        <f>IF(Lists!$Q234="","",Lists!$Q234)</f>
        <v>0</v>
      </c>
      <c r="AM234" s="31">
        <f>IF(AL234="","",COUNTIFS(Bookings!$AV$5:$AV$404,AL234,Bookings!$I$5:$I$404,"&gt;="&amp;RepFrom,Bookings!$I$5:$I$404,"&lt;="&amp;RepTo))</f>
        <v>0</v>
      </c>
      <c r="AN234" s="28">
        <f>IF(Lists!$AF234="","",Lists!$AF234)</f>
        <v>0</v>
      </c>
      <c r="AO234" s="29">
        <f>IF(AN234="","",SUMIFS(Payments!$L$5:$L$304,Payments!$F$5:$F$304,AN234,Payments!$B$5:$B$304,"&gt;="&amp;RepFrom,Payments!$B$5:$B$304,"&lt;="&amp;RepTo))</f>
        <v>0</v>
      </c>
      <c r="AP234" s="28">
        <f>IF(Lists!$E234="","",Lists!$E234)</f>
        <v>0</v>
      </c>
      <c r="AQ234" s="31">
        <f>IF(AP234="","",COUNTIFS(Clients!$K$5:$K$254,AP234))</f>
        <v>0</v>
      </c>
      <c r="AR234" s="29">
        <f>IF(AP234="","",SUMIFS(Clients!$AE$5:$AE$254,Clients!$K$5:$K$254,AP234))</f>
        <v>0</v>
      </c>
    </row>
    <row r="235" spans="1:44">
      <c r="A235" s="28">
        <f>IF(Clients!$B$235="","",Clients!$B$235)</f>
        <v>0</v>
      </c>
      <c r="B235" s="29">
        <f>IF(A235="","",SUMIFS(Payments!$L$5:$L$304,Payments!$C$5:$C$304,A235,Payments!$B$5:$B$304,"&gt;="&amp;PeriodStart,Payments!$B$5:$B$304,"&lt;="&amp;PeriodEnd))</f>
        <v>0</v>
      </c>
      <c r="C235" s="51">
        <f>IF(A235="","",IF(B235&lt;=0,"",B235+ROW()/1000000))</f>
        <v>0</v>
      </c>
      <c r="D235" s="29">
        <f>IF(A235="","",SUMIFS(Payments!$L$5:$L$304,Payments!$C$5:$C$304,A235,Payments!$B$5:$B$304,"&gt;="&amp;RepFrom,Payments!$B$5:$B$304,"&lt;="&amp;RepTo))</f>
        <v>0</v>
      </c>
      <c r="E235" s="51">
        <f>IF(A235="","",IF(D235&lt;=0,"",D235+ROW()/1000000))</f>
        <v>0</v>
      </c>
      <c r="F235" s="29">
        <f>IF(A235="","",SUMIFS(Invoices!$S$5:$S$304,Invoices!$D$5:$D$304,A235,Invoices!$T$5:$T$304,"&lt;&gt;Cancelled"))</f>
        <v>0</v>
      </c>
      <c r="G235" s="51">
        <f>IF(A235="","",IF(F235&lt;=0.004,"",F235+ROW()/1000000))</f>
        <v>0</v>
      </c>
      <c r="H235" s="31">
        <f>IF(A235="","",COUNTIFS(Bookings!$C$5:$C$404,A235,Bookings!$I$5:$I$404,"&gt;="&amp;RepFrom,Bookings!$I$5:$I$404,"&lt;="&amp;RepTo,Bookings!$AM$5:$AM$404,"&lt;&gt;Cancelled"))</f>
        <v>0</v>
      </c>
      <c r="I235" s="28">
        <f>IF(Services!$B$235="","",Services!$B$235)</f>
        <v>0</v>
      </c>
      <c r="J235" s="29">
        <f>IF(I235="","",SUMIFS(Bookings!$AK$5:$AK$404,Bookings!$H$5:$H$404,I235,Bookings!$I$5:$I$404,"&gt;="&amp;PeriodStart,Bookings!$I$5:$I$404,"&lt;="&amp;PeriodEnd,Bookings!$AM$5:$AM$404,"&lt;&gt;Cancelled"))</f>
        <v>0</v>
      </c>
      <c r="K235" s="31">
        <f>IF(I235="","",COUNTIFS(Bookings!$H$5:$H$404,I235,Bookings!$I$5:$I$404,"&gt;="&amp;PeriodStart,Bookings!$I$5:$I$404,"&lt;="&amp;PeriodEnd,Bookings!$AM$5:$AM$404,"&lt;&gt;Cancelled"))</f>
        <v>0</v>
      </c>
      <c r="L235" s="29">
        <f>IF(I235="","",SUMIFS(Bookings!$AK$5:$AK$404,Bookings!$H$5:$H$404,I235,Bookings!$I$5:$I$404,"&gt;="&amp;RepFrom,Bookings!$I$5:$I$404,"&lt;="&amp;RepTo,Bookings!$AM$5:$AM$404,"&lt;&gt;Cancelled"))</f>
        <v>0</v>
      </c>
      <c r="M235" s="31">
        <f>IF(I235="","",COUNTIFS(Bookings!$H$5:$H$404,I235,Bookings!$I$5:$I$404,"&gt;="&amp;RepFrom,Bookings!$I$5:$I$404,"&lt;="&amp;RepTo,Bookings!$AM$5:$AM$404,"&lt;&gt;Cancelled"))</f>
        <v>0</v>
      </c>
      <c r="N235" s="29">
        <f>IF(I235="","",M235*IF(Services!$L$235="",0,Services!$L$235))</f>
        <v>0</v>
      </c>
      <c r="O235" s="29">
        <f>IF(I235="","",L235-N235)</f>
        <v>0</v>
      </c>
      <c r="P235" s="28">
        <f>IF(Lists!$AG235="","",Lists!$AG235)</f>
        <v>0</v>
      </c>
      <c r="Q235" s="29">
        <f>IF(P235="","",SUMIFS(Expenses!$F$5:$F$304,Expenses!$C$5:$C$304,P235,Expenses!$B$5:$B$304,"&gt;="&amp;PeriodStart,Expenses!$B$5:$B$304,"&lt;="&amp;PeriodEnd,Expenses!$J$5:$J$304,"&lt;&gt;Personal"))</f>
        <v>0</v>
      </c>
      <c r="R235" s="29">
        <f>IF(P235="","",SUMIFS(Expenses!$F$5:$F$304,Expenses!$C$5:$C$304,P235,Expenses!$B$5:$B$304,"&gt;="&amp;RepFrom,Expenses!$B$5:$B$304,"&lt;="&amp;RepTo,Expenses!$J$5:$J$304,"&lt;&gt;Personal"))</f>
        <v>0</v>
      </c>
      <c r="S235" s="21">
        <f>IF(ROW()-4&gt;12,"",DATE(Dash_Year,ROW()-4,1))</f>
        <v>0</v>
      </c>
      <c r="T235" s="21">
        <f>IF(S235="","",EOMONTH(S235,0))</f>
        <v>0</v>
      </c>
      <c r="U235" s="28">
        <f>IF(S235="","",TEXT(S235,"mmm"))</f>
        <v>0</v>
      </c>
      <c r="V235" s="29">
        <f>IF(S235="","",SUMIFS(Payments!$L$5:$L$304,Payments!$B$5:$B$304,"&gt;="&amp;S235,Payments!$B$5:$B$304,"&lt;="&amp;T235))</f>
        <v>0</v>
      </c>
      <c r="W235" s="29">
        <f>IF(S235="","",SUMIFS(Invoices!$O$5:$O$304,Invoices!$B$5:$B$304,"&gt;="&amp;S235,Invoices!$B$5:$B$304,"&lt;="&amp;T235,Invoices!$T$5:$T$304,"&lt;&gt;Cancelled"))</f>
        <v>0</v>
      </c>
      <c r="X235" s="29">
        <f>IF(S235="","",SUMIFS(Expenses!$F$5:$F$304,Expenses!$B$5:$B$304,"&gt;="&amp;S235,Expenses!$B$5:$B$304,"&lt;="&amp;T235,Expenses!$J$5:$J$304,"&lt;&gt;Personal"))</f>
        <v>0</v>
      </c>
      <c r="Y235" s="29">
        <f>IF(S235="","",V235-X235)</f>
        <v>0</v>
      </c>
      <c r="Z235" s="31">
        <f>IF(S235="","",COUNTIFS(Bookings!$I$5:$I$404,"&gt;="&amp;S235,Bookings!$I$5:$I$404,"&lt;="&amp;T235,Bookings!$AM$5:$AM$404,"&lt;&gt;Cancelled"))</f>
        <v>0</v>
      </c>
      <c r="AA235" s="31">
        <f>IF(S235="","",COUNTIFS(Bookings!$I$5:$I$404,"&gt;="&amp;S235,Bookings!$I$5:$I$404,"&lt;="&amp;T235,Bookings!$AM$5:$AM$404,"Completed"))</f>
        <v>0</v>
      </c>
      <c r="AB235" s="31">
        <f>IF(S235="","",COUNTIFS(Bookings!$I$5:$I$404,"&gt;="&amp;S235,Bookings!$I$5:$I$404,"&lt;="&amp;T235,Bookings!$AM$5:$AM$404,"Cancelled"))</f>
        <v>0</v>
      </c>
      <c r="AC235" s="31">
        <f>IF(S235="","",COUNTIFS('Visit Log'!$C$5:$C$404,"&gt;="&amp;S235,'Visit Log'!$C$5:$C$404,"&lt;="&amp;T235,'Visit Log'!$AE$5:$AE$404,"Completed"))</f>
        <v>0</v>
      </c>
      <c r="AD235" s="31">
        <f>IF(S235="","",COUNTIFS(Clients!$L$5:$L$254,"&gt;="&amp;S235,Clients!$L$5:$L$254,"&lt;="&amp;T235))</f>
        <v>0</v>
      </c>
      <c r="AE235" s="32">
        <f>IF(S235="","",SUMIFS(Mileage!$M$5:$M$304,Mileage!$B$5:$B$304,"&gt;="&amp;S235,Mileage!$B$5:$B$304,"&lt;="&amp;T235,Mileage!$N$5:$N$304,"Business"))</f>
        <v>0</v>
      </c>
      <c r="AF235" s="29">
        <f>IF(S235="","",SUMIFS(Payments!$L$5:$L$304,Payments!$B$5:$B$304,"&gt;="&amp;DATE(Dash_Year-1,ROW()-4,1),Payments!$B$5:$B$304,"&lt;="&amp;EOMONTH(DATE(Dash_Year-1,ROW()-4,1),0)))</f>
        <v>0</v>
      </c>
      <c r="AG235" s="28">
        <f>IF(Staff!$B$235="","",Staff!$B$235)</f>
        <v>0</v>
      </c>
      <c r="AH235" s="31">
        <f>IF(AG235="","",COUNTIFS('Visit Log'!$G$5:$G$404,AG235,'Visit Log'!$C$5:$C$404,"&gt;="&amp;RepFrom,'Visit Log'!$C$5:$C$404,"&lt;="&amp;RepTo,'Visit Log'!$AE$5:$AE$404,"Completed"))</f>
        <v>0</v>
      </c>
      <c r="AI235" s="51">
        <f>IF(AG235="","",ROUND(SUMIFS('Visit Log'!$K$5:$K$404,'Visit Log'!$G$5:$G$404,AG235,'Visit Log'!$C$5:$C$404,"&gt;="&amp;RepFrom,'Visit Log'!$C$5:$C$404,"&lt;="&amp;RepTo,'Visit Log'!$AE$5:$AE$404,"Completed")/60,2))</f>
        <v>0</v>
      </c>
      <c r="AJ235" s="29">
        <f>IF(AG235="","",SUMIFS(Bookings!$AK$5:$AK$404,Bookings!$AL$5:$AL$404,AG235,Bookings!$I$5:$I$404,"&gt;="&amp;RepFrom,Bookings!$I$5:$I$404,"&lt;="&amp;RepTo,Bookings!$AM$5:$AM$404,"&lt;&gt;Cancelled"))</f>
        <v>0</v>
      </c>
      <c r="AK235" s="32">
        <f>IF(AG235="","",SUMIFS(Mileage!$M$5:$M$304,Mileage!$C$5:$C$304,AG235,Mileage!$B$5:$B$304,"&gt;="&amp;RepFrom,Mileage!$B$5:$B$304,"&lt;="&amp;RepTo))</f>
        <v>0</v>
      </c>
      <c r="AL235" s="28">
        <f>IF(Lists!$Q235="","",Lists!$Q235)</f>
        <v>0</v>
      </c>
      <c r="AM235" s="31">
        <f>IF(AL235="","",COUNTIFS(Bookings!$AV$5:$AV$404,AL235,Bookings!$I$5:$I$404,"&gt;="&amp;RepFrom,Bookings!$I$5:$I$404,"&lt;="&amp;RepTo))</f>
        <v>0</v>
      </c>
      <c r="AN235" s="28">
        <f>IF(Lists!$AF235="","",Lists!$AF235)</f>
        <v>0</v>
      </c>
      <c r="AO235" s="29">
        <f>IF(AN235="","",SUMIFS(Payments!$L$5:$L$304,Payments!$F$5:$F$304,AN235,Payments!$B$5:$B$304,"&gt;="&amp;RepFrom,Payments!$B$5:$B$304,"&lt;="&amp;RepTo))</f>
        <v>0</v>
      </c>
      <c r="AP235" s="28">
        <f>IF(Lists!$E235="","",Lists!$E235)</f>
        <v>0</v>
      </c>
      <c r="AQ235" s="31">
        <f>IF(AP235="","",COUNTIFS(Clients!$K$5:$K$254,AP235))</f>
        <v>0</v>
      </c>
      <c r="AR235" s="29">
        <f>IF(AP235="","",SUMIFS(Clients!$AE$5:$AE$254,Clients!$K$5:$K$254,AP235))</f>
        <v>0</v>
      </c>
    </row>
    <row r="236" spans="1:44">
      <c r="A236" s="28">
        <f>IF(Clients!$B$236="","",Clients!$B$236)</f>
        <v>0</v>
      </c>
      <c r="B236" s="29">
        <f>IF(A236="","",SUMIFS(Payments!$L$5:$L$304,Payments!$C$5:$C$304,A236,Payments!$B$5:$B$304,"&gt;="&amp;PeriodStart,Payments!$B$5:$B$304,"&lt;="&amp;PeriodEnd))</f>
        <v>0</v>
      </c>
      <c r="C236" s="51">
        <f>IF(A236="","",IF(B236&lt;=0,"",B236+ROW()/1000000))</f>
        <v>0</v>
      </c>
      <c r="D236" s="29">
        <f>IF(A236="","",SUMIFS(Payments!$L$5:$L$304,Payments!$C$5:$C$304,A236,Payments!$B$5:$B$304,"&gt;="&amp;RepFrom,Payments!$B$5:$B$304,"&lt;="&amp;RepTo))</f>
        <v>0</v>
      </c>
      <c r="E236" s="51">
        <f>IF(A236="","",IF(D236&lt;=0,"",D236+ROW()/1000000))</f>
        <v>0</v>
      </c>
      <c r="F236" s="29">
        <f>IF(A236="","",SUMIFS(Invoices!$S$5:$S$304,Invoices!$D$5:$D$304,A236,Invoices!$T$5:$T$304,"&lt;&gt;Cancelled"))</f>
        <v>0</v>
      </c>
      <c r="G236" s="51">
        <f>IF(A236="","",IF(F236&lt;=0.004,"",F236+ROW()/1000000))</f>
        <v>0</v>
      </c>
      <c r="H236" s="31">
        <f>IF(A236="","",COUNTIFS(Bookings!$C$5:$C$404,A236,Bookings!$I$5:$I$404,"&gt;="&amp;RepFrom,Bookings!$I$5:$I$404,"&lt;="&amp;RepTo,Bookings!$AM$5:$AM$404,"&lt;&gt;Cancelled"))</f>
        <v>0</v>
      </c>
      <c r="I236" s="28">
        <f>IF(Services!$B$236="","",Services!$B$236)</f>
        <v>0</v>
      </c>
      <c r="J236" s="29">
        <f>IF(I236="","",SUMIFS(Bookings!$AK$5:$AK$404,Bookings!$H$5:$H$404,I236,Bookings!$I$5:$I$404,"&gt;="&amp;PeriodStart,Bookings!$I$5:$I$404,"&lt;="&amp;PeriodEnd,Bookings!$AM$5:$AM$404,"&lt;&gt;Cancelled"))</f>
        <v>0</v>
      </c>
      <c r="K236" s="31">
        <f>IF(I236="","",COUNTIFS(Bookings!$H$5:$H$404,I236,Bookings!$I$5:$I$404,"&gt;="&amp;PeriodStart,Bookings!$I$5:$I$404,"&lt;="&amp;PeriodEnd,Bookings!$AM$5:$AM$404,"&lt;&gt;Cancelled"))</f>
        <v>0</v>
      </c>
      <c r="L236" s="29">
        <f>IF(I236="","",SUMIFS(Bookings!$AK$5:$AK$404,Bookings!$H$5:$H$404,I236,Bookings!$I$5:$I$404,"&gt;="&amp;RepFrom,Bookings!$I$5:$I$404,"&lt;="&amp;RepTo,Bookings!$AM$5:$AM$404,"&lt;&gt;Cancelled"))</f>
        <v>0</v>
      </c>
      <c r="M236" s="31">
        <f>IF(I236="","",COUNTIFS(Bookings!$H$5:$H$404,I236,Bookings!$I$5:$I$404,"&gt;="&amp;RepFrom,Bookings!$I$5:$I$404,"&lt;="&amp;RepTo,Bookings!$AM$5:$AM$404,"&lt;&gt;Cancelled"))</f>
        <v>0</v>
      </c>
      <c r="N236" s="29">
        <f>IF(I236="","",M236*IF(Services!$L$236="",0,Services!$L$236))</f>
        <v>0</v>
      </c>
      <c r="O236" s="29">
        <f>IF(I236="","",L236-N236)</f>
        <v>0</v>
      </c>
      <c r="P236" s="28">
        <f>IF(Lists!$AG236="","",Lists!$AG236)</f>
        <v>0</v>
      </c>
      <c r="Q236" s="29">
        <f>IF(P236="","",SUMIFS(Expenses!$F$5:$F$304,Expenses!$C$5:$C$304,P236,Expenses!$B$5:$B$304,"&gt;="&amp;PeriodStart,Expenses!$B$5:$B$304,"&lt;="&amp;PeriodEnd,Expenses!$J$5:$J$304,"&lt;&gt;Personal"))</f>
        <v>0</v>
      </c>
      <c r="R236" s="29">
        <f>IF(P236="","",SUMIFS(Expenses!$F$5:$F$304,Expenses!$C$5:$C$304,P236,Expenses!$B$5:$B$304,"&gt;="&amp;RepFrom,Expenses!$B$5:$B$304,"&lt;="&amp;RepTo,Expenses!$J$5:$J$304,"&lt;&gt;Personal"))</f>
        <v>0</v>
      </c>
      <c r="S236" s="21">
        <f>IF(ROW()-4&gt;12,"",DATE(Dash_Year,ROW()-4,1))</f>
        <v>0</v>
      </c>
      <c r="T236" s="21">
        <f>IF(S236="","",EOMONTH(S236,0))</f>
        <v>0</v>
      </c>
      <c r="U236" s="28">
        <f>IF(S236="","",TEXT(S236,"mmm"))</f>
        <v>0</v>
      </c>
      <c r="V236" s="29">
        <f>IF(S236="","",SUMIFS(Payments!$L$5:$L$304,Payments!$B$5:$B$304,"&gt;="&amp;S236,Payments!$B$5:$B$304,"&lt;="&amp;T236))</f>
        <v>0</v>
      </c>
      <c r="W236" s="29">
        <f>IF(S236="","",SUMIFS(Invoices!$O$5:$O$304,Invoices!$B$5:$B$304,"&gt;="&amp;S236,Invoices!$B$5:$B$304,"&lt;="&amp;T236,Invoices!$T$5:$T$304,"&lt;&gt;Cancelled"))</f>
        <v>0</v>
      </c>
      <c r="X236" s="29">
        <f>IF(S236="","",SUMIFS(Expenses!$F$5:$F$304,Expenses!$B$5:$B$304,"&gt;="&amp;S236,Expenses!$B$5:$B$304,"&lt;="&amp;T236,Expenses!$J$5:$J$304,"&lt;&gt;Personal"))</f>
        <v>0</v>
      </c>
      <c r="Y236" s="29">
        <f>IF(S236="","",V236-X236)</f>
        <v>0</v>
      </c>
      <c r="Z236" s="31">
        <f>IF(S236="","",COUNTIFS(Bookings!$I$5:$I$404,"&gt;="&amp;S236,Bookings!$I$5:$I$404,"&lt;="&amp;T236,Bookings!$AM$5:$AM$404,"&lt;&gt;Cancelled"))</f>
        <v>0</v>
      </c>
      <c r="AA236" s="31">
        <f>IF(S236="","",COUNTIFS(Bookings!$I$5:$I$404,"&gt;="&amp;S236,Bookings!$I$5:$I$404,"&lt;="&amp;T236,Bookings!$AM$5:$AM$404,"Completed"))</f>
        <v>0</v>
      </c>
      <c r="AB236" s="31">
        <f>IF(S236="","",COUNTIFS(Bookings!$I$5:$I$404,"&gt;="&amp;S236,Bookings!$I$5:$I$404,"&lt;="&amp;T236,Bookings!$AM$5:$AM$404,"Cancelled"))</f>
        <v>0</v>
      </c>
      <c r="AC236" s="31">
        <f>IF(S236="","",COUNTIFS('Visit Log'!$C$5:$C$404,"&gt;="&amp;S236,'Visit Log'!$C$5:$C$404,"&lt;="&amp;T236,'Visit Log'!$AE$5:$AE$404,"Completed"))</f>
        <v>0</v>
      </c>
      <c r="AD236" s="31">
        <f>IF(S236="","",COUNTIFS(Clients!$L$5:$L$254,"&gt;="&amp;S236,Clients!$L$5:$L$254,"&lt;="&amp;T236))</f>
        <v>0</v>
      </c>
      <c r="AE236" s="32">
        <f>IF(S236="","",SUMIFS(Mileage!$M$5:$M$304,Mileage!$B$5:$B$304,"&gt;="&amp;S236,Mileage!$B$5:$B$304,"&lt;="&amp;T236,Mileage!$N$5:$N$304,"Business"))</f>
        <v>0</v>
      </c>
      <c r="AF236" s="29">
        <f>IF(S236="","",SUMIFS(Payments!$L$5:$L$304,Payments!$B$5:$B$304,"&gt;="&amp;DATE(Dash_Year-1,ROW()-4,1),Payments!$B$5:$B$304,"&lt;="&amp;EOMONTH(DATE(Dash_Year-1,ROW()-4,1),0)))</f>
        <v>0</v>
      </c>
      <c r="AG236" s="28">
        <f>IF(Staff!$B$236="","",Staff!$B$236)</f>
        <v>0</v>
      </c>
      <c r="AH236" s="31">
        <f>IF(AG236="","",COUNTIFS('Visit Log'!$G$5:$G$404,AG236,'Visit Log'!$C$5:$C$404,"&gt;="&amp;RepFrom,'Visit Log'!$C$5:$C$404,"&lt;="&amp;RepTo,'Visit Log'!$AE$5:$AE$404,"Completed"))</f>
        <v>0</v>
      </c>
      <c r="AI236" s="51">
        <f>IF(AG236="","",ROUND(SUMIFS('Visit Log'!$K$5:$K$404,'Visit Log'!$G$5:$G$404,AG236,'Visit Log'!$C$5:$C$404,"&gt;="&amp;RepFrom,'Visit Log'!$C$5:$C$404,"&lt;="&amp;RepTo,'Visit Log'!$AE$5:$AE$404,"Completed")/60,2))</f>
        <v>0</v>
      </c>
      <c r="AJ236" s="29">
        <f>IF(AG236="","",SUMIFS(Bookings!$AK$5:$AK$404,Bookings!$AL$5:$AL$404,AG236,Bookings!$I$5:$I$404,"&gt;="&amp;RepFrom,Bookings!$I$5:$I$404,"&lt;="&amp;RepTo,Bookings!$AM$5:$AM$404,"&lt;&gt;Cancelled"))</f>
        <v>0</v>
      </c>
      <c r="AK236" s="32">
        <f>IF(AG236="","",SUMIFS(Mileage!$M$5:$M$304,Mileage!$C$5:$C$304,AG236,Mileage!$B$5:$B$304,"&gt;="&amp;RepFrom,Mileage!$B$5:$B$304,"&lt;="&amp;RepTo))</f>
        <v>0</v>
      </c>
      <c r="AL236" s="28">
        <f>IF(Lists!$Q236="","",Lists!$Q236)</f>
        <v>0</v>
      </c>
      <c r="AM236" s="31">
        <f>IF(AL236="","",COUNTIFS(Bookings!$AV$5:$AV$404,AL236,Bookings!$I$5:$I$404,"&gt;="&amp;RepFrom,Bookings!$I$5:$I$404,"&lt;="&amp;RepTo))</f>
        <v>0</v>
      </c>
      <c r="AN236" s="28">
        <f>IF(Lists!$AF236="","",Lists!$AF236)</f>
        <v>0</v>
      </c>
      <c r="AO236" s="29">
        <f>IF(AN236="","",SUMIFS(Payments!$L$5:$L$304,Payments!$F$5:$F$304,AN236,Payments!$B$5:$B$304,"&gt;="&amp;RepFrom,Payments!$B$5:$B$304,"&lt;="&amp;RepTo))</f>
        <v>0</v>
      </c>
      <c r="AP236" s="28">
        <f>IF(Lists!$E236="","",Lists!$E236)</f>
        <v>0</v>
      </c>
      <c r="AQ236" s="31">
        <f>IF(AP236="","",COUNTIFS(Clients!$K$5:$K$254,AP236))</f>
        <v>0</v>
      </c>
      <c r="AR236" s="29">
        <f>IF(AP236="","",SUMIFS(Clients!$AE$5:$AE$254,Clients!$K$5:$K$254,AP236))</f>
        <v>0</v>
      </c>
    </row>
    <row r="237" spans="1:44">
      <c r="A237" s="28">
        <f>IF(Clients!$B$237="","",Clients!$B$237)</f>
        <v>0</v>
      </c>
      <c r="B237" s="29">
        <f>IF(A237="","",SUMIFS(Payments!$L$5:$L$304,Payments!$C$5:$C$304,A237,Payments!$B$5:$B$304,"&gt;="&amp;PeriodStart,Payments!$B$5:$B$304,"&lt;="&amp;PeriodEnd))</f>
        <v>0</v>
      </c>
      <c r="C237" s="51">
        <f>IF(A237="","",IF(B237&lt;=0,"",B237+ROW()/1000000))</f>
        <v>0</v>
      </c>
      <c r="D237" s="29">
        <f>IF(A237="","",SUMIFS(Payments!$L$5:$L$304,Payments!$C$5:$C$304,A237,Payments!$B$5:$B$304,"&gt;="&amp;RepFrom,Payments!$B$5:$B$304,"&lt;="&amp;RepTo))</f>
        <v>0</v>
      </c>
      <c r="E237" s="51">
        <f>IF(A237="","",IF(D237&lt;=0,"",D237+ROW()/1000000))</f>
        <v>0</v>
      </c>
      <c r="F237" s="29">
        <f>IF(A237="","",SUMIFS(Invoices!$S$5:$S$304,Invoices!$D$5:$D$304,A237,Invoices!$T$5:$T$304,"&lt;&gt;Cancelled"))</f>
        <v>0</v>
      </c>
      <c r="G237" s="51">
        <f>IF(A237="","",IF(F237&lt;=0.004,"",F237+ROW()/1000000))</f>
        <v>0</v>
      </c>
      <c r="H237" s="31">
        <f>IF(A237="","",COUNTIFS(Bookings!$C$5:$C$404,A237,Bookings!$I$5:$I$404,"&gt;="&amp;RepFrom,Bookings!$I$5:$I$404,"&lt;="&amp;RepTo,Bookings!$AM$5:$AM$404,"&lt;&gt;Cancelled"))</f>
        <v>0</v>
      </c>
      <c r="I237" s="28">
        <f>IF(Services!$B$237="","",Services!$B$237)</f>
        <v>0</v>
      </c>
      <c r="J237" s="29">
        <f>IF(I237="","",SUMIFS(Bookings!$AK$5:$AK$404,Bookings!$H$5:$H$404,I237,Bookings!$I$5:$I$404,"&gt;="&amp;PeriodStart,Bookings!$I$5:$I$404,"&lt;="&amp;PeriodEnd,Bookings!$AM$5:$AM$404,"&lt;&gt;Cancelled"))</f>
        <v>0</v>
      </c>
      <c r="K237" s="31">
        <f>IF(I237="","",COUNTIFS(Bookings!$H$5:$H$404,I237,Bookings!$I$5:$I$404,"&gt;="&amp;PeriodStart,Bookings!$I$5:$I$404,"&lt;="&amp;PeriodEnd,Bookings!$AM$5:$AM$404,"&lt;&gt;Cancelled"))</f>
        <v>0</v>
      </c>
      <c r="L237" s="29">
        <f>IF(I237="","",SUMIFS(Bookings!$AK$5:$AK$404,Bookings!$H$5:$H$404,I237,Bookings!$I$5:$I$404,"&gt;="&amp;RepFrom,Bookings!$I$5:$I$404,"&lt;="&amp;RepTo,Bookings!$AM$5:$AM$404,"&lt;&gt;Cancelled"))</f>
        <v>0</v>
      </c>
      <c r="M237" s="31">
        <f>IF(I237="","",COUNTIFS(Bookings!$H$5:$H$404,I237,Bookings!$I$5:$I$404,"&gt;="&amp;RepFrom,Bookings!$I$5:$I$404,"&lt;="&amp;RepTo,Bookings!$AM$5:$AM$404,"&lt;&gt;Cancelled"))</f>
        <v>0</v>
      </c>
      <c r="N237" s="29">
        <f>IF(I237="","",M237*IF(Services!$L$237="",0,Services!$L$237))</f>
        <v>0</v>
      </c>
      <c r="O237" s="29">
        <f>IF(I237="","",L237-N237)</f>
        <v>0</v>
      </c>
      <c r="P237" s="28">
        <f>IF(Lists!$AG237="","",Lists!$AG237)</f>
        <v>0</v>
      </c>
      <c r="Q237" s="29">
        <f>IF(P237="","",SUMIFS(Expenses!$F$5:$F$304,Expenses!$C$5:$C$304,P237,Expenses!$B$5:$B$304,"&gt;="&amp;PeriodStart,Expenses!$B$5:$B$304,"&lt;="&amp;PeriodEnd,Expenses!$J$5:$J$304,"&lt;&gt;Personal"))</f>
        <v>0</v>
      </c>
      <c r="R237" s="29">
        <f>IF(P237="","",SUMIFS(Expenses!$F$5:$F$304,Expenses!$C$5:$C$304,P237,Expenses!$B$5:$B$304,"&gt;="&amp;RepFrom,Expenses!$B$5:$B$304,"&lt;="&amp;RepTo,Expenses!$J$5:$J$304,"&lt;&gt;Personal"))</f>
        <v>0</v>
      </c>
      <c r="S237" s="21">
        <f>IF(ROW()-4&gt;12,"",DATE(Dash_Year,ROW()-4,1))</f>
        <v>0</v>
      </c>
      <c r="T237" s="21">
        <f>IF(S237="","",EOMONTH(S237,0))</f>
        <v>0</v>
      </c>
      <c r="U237" s="28">
        <f>IF(S237="","",TEXT(S237,"mmm"))</f>
        <v>0</v>
      </c>
      <c r="V237" s="29">
        <f>IF(S237="","",SUMIFS(Payments!$L$5:$L$304,Payments!$B$5:$B$304,"&gt;="&amp;S237,Payments!$B$5:$B$304,"&lt;="&amp;T237))</f>
        <v>0</v>
      </c>
      <c r="W237" s="29">
        <f>IF(S237="","",SUMIFS(Invoices!$O$5:$O$304,Invoices!$B$5:$B$304,"&gt;="&amp;S237,Invoices!$B$5:$B$304,"&lt;="&amp;T237,Invoices!$T$5:$T$304,"&lt;&gt;Cancelled"))</f>
        <v>0</v>
      </c>
      <c r="X237" s="29">
        <f>IF(S237="","",SUMIFS(Expenses!$F$5:$F$304,Expenses!$B$5:$B$304,"&gt;="&amp;S237,Expenses!$B$5:$B$304,"&lt;="&amp;T237,Expenses!$J$5:$J$304,"&lt;&gt;Personal"))</f>
        <v>0</v>
      </c>
      <c r="Y237" s="29">
        <f>IF(S237="","",V237-X237)</f>
        <v>0</v>
      </c>
      <c r="Z237" s="31">
        <f>IF(S237="","",COUNTIFS(Bookings!$I$5:$I$404,"&gt;="&amp;S237,Bookings!$I$5:$I$404,"&lt;="&amp;T237,Bookings!$AM$5:$AM$404,"&lt;&gt;Cancelled"))</f>
        <v>0</v>
      </c>
      <c r="AA237" s="31">
        <f>IF(S237="","",COUNTIFS(Bookings!$I$5:$I$404,"&gt;="&amp;S237,Bookings!$I$5:$I$404,"&lt;="&amp;T237,Bookings!$AM$5:$AM$404,"Completed"))</f>
        <v>0</v>
      </c>
      <c r="AB237" s="31">
        <f>IF(S237="","",COUNTIFS(Bookings!$I$5:$I$404,"&gt;="&amp;S237,Bookings!$I$5:$I$404,"&lt;="&amp;T237,Bookings!$AM$5:$AM$404,"Cancelled"))</f>
        <v>0</v>
      </c>
      <c r="AC237" s="31">
        <f>IF(S237="","",COUNTIFS('Visit Log'!$C$5:$C$404,"&gt;="&amp;S237,'Visit Log'!$C$5:$C$404,"&lt;="&amp;T237,'Visit Log'!$AE$5:$AE$404,"Completed"))</f>
        <v>0</v>
      </c>
      <c r="AD237" s="31">
        <f>IF(S237="","",COUNTIFS(Clients!$L$5:$L$254,"&gt;="&amp;S237,Clients!$L$5:$L$254,"&lt;="&amp;T237))</f>
        <v>0</v>
      </c>
      <c r="AE237" s="32">
        <f>IF(S237="","",SUMIFS(Mileage!$M$5:$M$304,Mileage!$B$5:$B$304,"&gt;="&amp;S237,Mileage!$B$5:$B$304,"&lt;="&amp;T237,Mileage!$N$5:$N$304,"Business"))</f>
        <v>0</v>
      </c>
      <c r="AF237" s="29">
        <f>IF(S237="","",SUMIFS(Payments!$L$5:$L$304,Payments!$B$5:$B$304,"&gt;="&amp;DATE(Dash_Year-1,ROW()-4,1),Payments!$B$5:$B$304,"&lt;="&amp;EOMONTH(DATE(Dash_Year-1,ROW()-4,1),0)))</f>
        <v>0</v>
      </c>
      <c r="AG237" s="28">
        <f>IF(Staff!$B$237="","",Staff!$B$237)</f>
        <v>0</v>
      </c>
      <c r="AH237" s="31">
        <f>IF(AG237="","",COUNTIFS('Visit Log'!$G$5:$G$404,AG237,'Visit Log'!$C$5:$C$404,"&gt;="&amp;RepFrom,'Visit Log'!$C$5:$C$404,"&lt;="&amp;RepTo,'Visit Log'!$AE$5:$AE$404,"Completed"))</f>
        <v>0</v>
      </c>
      <c r="AI237" s="51">
        <f>IF(AG237="","",ROUND(SUMIFS('Visit Log'!$K$5:$K$404,'Visit Log'!$G$5:$G$404,AG237,'Visit Log'!$C$5:$C$404,"&gt;="&amp;RepFrom,'Visit Log'!$C$5:$C$404,"&lt;="&amp;RepTo,'Visit Log'!$AE$5:$AE$404,"Completed")/60,2))</f>
        <v>0</v>
      </c>
      <c r="AJ237" s="29">
        <f>IF(AG237="","",SUMIFS(Bookings!$AK$5:$AK$404,Bookings!$AL$5:$AL$404,AG237,Bookings!$I$5:$I$404,"&gt;="&amp;RepFrom,Bookings!$I$5:$I$404,"&lt;="&amp;RepTo,Bookings!$AM$5:$AM$404,"&lt;&gt;Cancelled"))</f>
        <v>0</v>
      </c>
      <c r="AK237" s="32">
        <f>IF(AG237="","",SUMIFS(Mileage!$M$5:$M$304,Mileage!$C$5:$C$304,AG237,Mileage!$B$5:$B$304,"&gt;="&amp;RepFrom,Mileage!$B$5:$B$304,"&lt;="&amp;RepTo))</f>
        <v>0</v>
      </c>
      <c r="AL237" s="28">
        <f>IF(Lists!$Q237="","",Lists!$Q237)</f>
        <v>0</v>
      </c>
      <c r="AM237" s="31">
        <f>IF(AL237="","",COUNTIFS(Bookings!$AV$5:$AV$404,AL237,Bookings!$I$5:$I$404,"&gt;="&amp;RepFrom,Bookings!$I$5:$I$404,"&lt;="&amp;RepTo))</f>
        <v>0</v>
      </c>
      <c r="AN237" s="28">
        <f>IF(Lists!$AF237="","",Lists!$AF237)</f>
        <v>0</v>
      </c>
      <c r="AO237" s="29">
        <f>IF(AN237="","",SUMIFS(Payments!$L$5:$L$304,Payments!$F$5:$F$304,AN237,Payments!$B$5:$B$304,"&gt;="&amp;RepFrom,Payments!$B$5:$B$304,"&lt;="&amp;RepTo))</f>
        <v>0</v>
      </c>
      <c r="AP237" s="28">
        <f>IF(Lists!$E237="","",Lists!$E237)</f>
        <v>0</v>
      </c>
      <c r="AQ237" s="31">
        <f>IF(AP237="","",COUNTIFS(Clients!$K$5:$K$254,AP237))</f>
        <v>0</v>
      </c>
      <c r="AR237" s="29">
        <f>IF(AP237="","",SUMIFS(Clients!$AE$5:$AE$254,Clients!$K$5:$K$254,AP237))</f>
        <v>0</v>
      </c>
    </row>
    <row r="238" spans="1:44">
      <c r="A238" s="28">
        <f>IF(Clients!$B$238="","",Clients!$B$238)</f>
        <v>0</v>
      </c>
      <c r="B238" s="29">
        <f>IF(A238="","",SUMIFS(Payments!$L$5:$L$304,Payments!$C$5:$C$304,A238,Payments!$B$5:$B$304,"&gt;="&amp;PeriodStart,Payments!$B$5:$B$304,"&lt;="&amp;PeriodEnd))</f>
        <v>0</v>
      </c>
      <c r="C238" s="51">
        <f>IF(A238="","",IF(B238&lt;=0,"",B238+ROW()/1000000))</f>
        <v>0</v>
      </c>
      <c r="D238" s="29">
        <f>IF(A238="","",SUMIFS(Payments!$L$5:$L$304,Payments!$C$5:$C$304,A238,Payments!$B$5:$B$304,"&gt;="&amp;RepFrom,Payments!$B$5:$B$304,"&lt;="&amp;RepTo))</f>
        <v>0</v>
      </c>
      <c r="E238" s="51">
        <f>IF(A238="","",IF(D238&lt;=0,"",D238+ROW()/1000000))</f>
        <v>0</v>
      </c>
      <c r="F238" s="29">
        <f>IF(A238="","",SUMIFS(Invoices!$S$5:$S$304,Invoices!$D$5:$D$304,A238,Invoices!$T$5:$T$304,"&lt;&gt;Cancelled"))</f>
        <v>0</v>
      </c>
      <c r="G238" s="51">
        <f>IF(A238="","",IF(F238&lt;=0.004,"",F238+ROW()/1000000))</f>
        <v>0</v>
      </c>
      <c r="H238" s="31">
        <f>IF(A238="","",COUNTIFS(Bookings!$C$5:$C$404,A238,Bookings!$I$5:$I$404,"&gt;="&amp;RepFrom,Bookings!$I$5:$I$404,"&lt;="&amp;RepTo,Bookings!$AM$5:$AM$404,"&lt;&gt;Cancelled"))</f>
        <v>0</v>
      </c>
      <c r="I238" s="28">
        <f>IF(Services!$B$238="","",Services!$B$238)</f>
        <v>0</v>
      </c>
      <c r="J238" s="29">
        <f>IF(I238="","",SUMIFS(Bookings!$AK$5:$AK$404,Bookings!$H$5:$H$404,I238,Bookings!$I$5:$I$404,"&gt;="&amp;PeriodStart,Bookings!$I$5:$I$404,"&lt;="&amp;PeriodEnd,Bookings!$AM$5:$AM$404,"&lt;&gt;Cancelled"))</f>
        <v>0</v>
      </c>
      <c r="K238" s="31">
        <f>IF(I238="","",COUNTIFS(Bookings!$H$5:$H$404,I238,Bookings!$I$5:$I$404,"&gt;="&amp;PeriodStart,Bookings!$I$5:$I$404,"&lt;="&amp;PeriodEnd,Bookings!$AM$5:$AM$404,"&lt;&gt;Cancelled"))</f>
        <v>0</v>
      </c>
      <c r="L238" s="29">
        <f>IF(I238="","",SUMIFS(Bookings!$AK$5:$AK$404,Bookings!$H$5:$H$404,I238,Bookings!$I$5:$I$404,"&gt;="&amp;RepFrom,Bookings!$I$5:$I$404,"&lt;="&amp;RepTo,Bookings!$AM$5:$AM$404,"&lt;&gt;Cancelled"))</f>
        <v>0</v>
      </c>
      <c r="M238" s="31">
        <f>IF(I238="","",COUNTIFS(Bookings!$H$5:$H$404,I238,Bookings!$I$5:$I$404,"&gt;="&amp;RepFrom,Bookings!$I$5:$I$404,"&lt;="&amp;RepTo,Bookings!$AM$5:$AM$404,"&lt;&gt;Cancelled"))</f>
        <v>0</v>
      </c>
      <c r="N238" s="29">
        <f>IF(I238="","",M238*IF(Services!$L$238="",0,Services!$L$238))</f>
        <v>0</v>
      </c>
      <c r="O238" s="29">
        <f>IF(I238="","",L238-N238)</f>
        <v>0</v>
      </c>
      <c r="P238" s="28">
        <f>IF(Lists!$AG238="","",Lists!$AG238)</f>
        <v>0</v>
      </c>
      <c r="Q238" s="29">
        <f>IF(P238="","",SUMIFS(Expenses!$F$5:$F$304,Expenses!$C$5:$C$304,P238,Expenses!$B$5:$B$304,"&gt;="&amp;PeriodStart,Expenses!$B$5:$B$304,"&lt;="&amp;PeriodEnd,Expenses!$J$5:$J$304,"&lt;&gt;Personal"))</f>
        <v>0</v>
      </c>
      <c r="R238" s="29">
        <f>IF(P238="","",SUMIFS(Expenses!$F$5:$F$304,Expenses!$C$5:$C$304,P238,Expenses!$B$5:$B$304,"&gt;="&amp;RepFrom,Expenses!$B$5:$B$304,"&lt;="&amp;RepTo,Expenses!$J$5:$J$304,"&lt;&gt;Personal"))</f>
        <v>0</v>
      </c>
      <c r="S238" s="21">
        <f>IF(ROW()-4&gt;12,"",DATE(Dash_Year,ROW()-4,1))</f>
        <v>0</v>
      </c>
      <c r="T238" s="21">
        <f>IF(S238="","",EOMONTH(S238,0))</f>
        <v>0</v>
      </c>
      <c r="U238" s="28">
        <f>IF(S238="","",TEXT(S238,"mmm"))</f>
        <v>0</v>
      </c>
      <c r="V238" s="29">
        <f>IF(S238="","",SUMIFS(Payments!$L$5:$L$304,Payments!$B$5:$B$304,"&gt;="&amp;S238,Payments!$B$5:$B$304,"&lt;="&amp;T238))</f>
        <v>0</v>
      </c>
      <c r="W238" s="29">
        <f>IF(S238="","",SUMIFS(Invoices!$O$5:$O$304,Invoices!$B$5:$B$304,"&gt;="&amp;S238,Invoices!$B$5:$B$304,"&lt;="&amp;T238,Invoices!$T$5:$T$304,"&lt;&gt;Cancelled"))</f>
        <v>0</v>
      </c>
      <c r="X238" s="29">
        <f>IF(S238="","",SUMIFS(Expenses!$F$5:$F$304,Expenses!$B$5:$B$304,"&gt;="&amp;S238,Expenses!$B$5:$B$304,"&lt;="&amp;T238,Expenses!$J$5:$J$304,"&lt;&gt;Personal"))</f>
        <v>0</v>
      </c>
      <c r="Y238" s="29">
        <f>IF(S238="","",V238-X238)</f>
        <v>0</v>
      </c>
      <c r="Z238" s="31">
        <f>IF(S238="","",COUNTIFS(Bookings!$I$5:$I$404,"&gt;="&amp;S238,Bookings!$I$5:$I$404,"&lt;="&amp;T238,Bookings!$AM$5:$AM$404,"&lt;&gt;Cancelled"))</f>
        <v>0</v>
      </c>
      <c r="AA238" s="31">
        <f>IF(S238="","",COUNTIFS(Bookings!$I$5:$I$404,"&gt;="&amp;S238,Bookings!$I$5:$I$404,"&lt;="&amp;T238,Bookings!$AM$5:$AM$404,"Completed"))</f>
        <v>0</v>
      </c>
      <c r="AB238" s="31">
        <f>IF(S238="","",COUNTIFS(Bookings!$I$5:$I$404,"&gt;="&amp;S238,Bookings!$I$5:$I$404,"&lt;="&amp;T238,Bookings!$AM$5:$AM$404,"Cancelled"))</f>
        <v>0</v>
      </c>
      <c r="AC238" s="31">
        <f>IF(S238="","",COUNTIFS('Visit Log'!$C$5:$C$404,"&gt;="&amp;S238,'Visit Log'!$C$5:$C$404,"&lt;="&amp;T238,'Visit Log'!$AE$5:$AE$404,"Completed"))</f>
        <v>0</v>
      </c>
      <c r="AD238" s="31">
        <f>IF(S238="","",COUNTIFS(Clients!$L$5:$L$254,"&gt;="&amp;S238,Clients!$L$5:$L$254,"&lt;="&amp;T238))</f>
        <v>0</v>
      </c>
      <c r="AE238" s="32">
        <f>IF(S238="","",SUMIFS(Mileage!$M$5:$M$304,Mileage!$B$5:$B$304,"&gt;="&amp;S238,Mileage!$B$5:$B$304,"&lt;="&amp;T238,Mileage!$N$5:$N$304,"Business"))</f>
        <v>0</v>
      </c>
      <c r="AF238" s="29">
        <f>IF(S238="","",SUMIFS(Payments!$L$5:$L$304,Payments!$B$5:$B$304,"&gt;="&amp;DATE(Dash_Year-1,ROW()-4,1),Payments!$B$5:$B$304,"&lt;="&amp;EOMONTH(DATE(Dash_Year-1,ROW()-4,1),0)))</f>
        <v>0</v>
      </c>
      <c r="AG238" s="28">
        <f>IF(Staff!$B$238="","",Staff!$B$238)</f>
        <v>0</v>
      </c>
      <c r="AH238" s="31">
        <f>IF(AG238="","",COUNTIFS('Visit Log'!$G$5:$G$404,AG238,'Visit Log'!$C$5:$C$404,"&gt;="&amp;RepFrom,'Visit Log'!$C$5:$C$404,"&lt;="&amp;RepTo,'Visit Log'!$AE$5:$AE$404,"Completed"))</f>
        <v>0</v>
      </c>
      <c r="AI238" s="51">
        <f>IF(AG238="","",ROUND(SUMIFS('Visit Log'!$K$5:$K$404,'Visit Log'!$G$5:$G$404,AG238,'Visit Log'!$C$5:$C$404,"&gt;="&amp;RepFrom,'Visit Log'!$C$5:$C$404,"&lt;="&amp;RepTo,'Visit Log'!$AE$5:$AE$404,"Completed")/60,2))</f>
        <v>0</v>
      </c>
      <c r="AJ238" s="29">
        <f>IF(AG238="","",SUMIFS(Bookings!$AK$5:$AK$404,Bookings!$AL$5:$AL$404,AG238,Bookings!$I$5:$I$404,"&gt;="&amp;RepFrom,Bookings!$I$5:$I$404,"&lt;="&amp;RepTo,Bookings!$AM$5:$AM$404,"&lt;&gt;Cancelled"))</f>
        <v>0</v>
      </c>
      <c r="AK238" s="32">
        <f>IF(AG238="","",SUMIFS(Mileage!$M$5:$M$304,Mileage!$C$5:$C$304,AG238,Mileage!$B$5:$B$304,"&gt;="&amp;RepFrom,Mileage!$B$5:$B$304,"&lt;="&amp;RepTo))</f>
        <v>0</v>
      </c>
      <c r="AL238" s="28">
        <f>IF(Lists!$Q238="","",Lists!$Q238)</f>
        <v>0</v>
      </c>
      <c r="AM238" s="31">
        <f>IF(AL238="","",COUNTIFS(Bookings!$AV$5:$AV$404,AL238,Bookings!$I$5:$I$404,"&gt;="&amp;RepFrom,Bookings!$I$5:$I$404,"&lt;="&amp;RepTo))</f>
        <v>0</v>
      </c>
      <c r="AN238" s="28">
        <f>IF(Lists!$AF238="","",Lists!$AF238)</f>
        <v>0</v>
      </c>
      <c r="AO238" s="29">
        <f>IF(AN238="","",SUMIFS(Payments!$L$5:$L$304,Payments!$F$5:$F$304,AN238,Payments!$B$5:$B$304,"&gt;="&amp;RepFrom,Payments!$B$5:$B$304,"&lt;="&amp;RepTo))</f>
        <v>0</v>
      </c>
      <c r="AP238" s="28">
        <f>IF(Lists!$E238="","",Lists!$E238)</f>
        <v>0</v>
      </c>
      <c r="AQ238" s="31">
        <f>IF(AP238="","",COUNTIFS(Clients!$K$5:$K$254,AP238))</f>
        <v>0</v>
      </c>
      <c r="AR238" s="29">
        <f>IF(AP238="","",SUMIFS(Clients!$AE$5:$AE$254,Clients!$K$5:$K$254,AP238))</f>
        <v>0</v>
      </c>
    </row>
    <row r="239" spans="1:44">
      <c r="A239" s="28">
        <f>IF(Clients!$B$239="","",Clients!$B$239)</f>
        <v>0</v>
      </c>
      <c r="B239" s="29">
        <f>IF(A239="","",SUMIFS(Payments!$L$5:$L$304,Payments!$C$5:$C$304,A239,Payments!$B$5:$B$304,"&gt;="&amp;PeriodStart,Payments!$B$5:$B$304,"&lt;="&amp;PeriodEnd))</f>
        <v>0</v>
      </c>
      <c r="C239" s="51">
        <f>IF(A239="","",IF(B239&lt;=0,"",B239+ROW()/1000000))</f>
        <v>0</v>
      </c>
      <c r="D239" s="29">
        <f>IF(A239="","",SUMIFS(Payments!$L$5:$L$304,Payments!$C$5:$C$304,A239,Payments!$B$5:$B$304,"&gt;="&amp;RepFrom,Payments!$B$5:$B$304,"&lt;="&amp;RepTo))</f>
        <v>0</v>
      </c>
      <c r="E239" s="51">
        <f>IF(A239="","",IF(D239&lt;=0,"",D239+ROW()/1000000))</f>
        <v>0</v>
      </c>
      <c r="F239" s="29">
        <f>IF(A239="","",SUMIFS(Invoices!$S$5:$S$304,Invoices!$D$5:$D$304,A239,Invoices!$T$5:$T$304,"&lt;&gt;Cancelled"))</f>
        <v>0</v>
      </c>
      <c r="G239" s="51">
        <f>IF(A239="","",IF(F239&lt;=0.004,"",F239+ROW()/1000000))</f>
        <v>0</v>
      </c>
      <c r="H239" s="31">
        <f>IF(A239="","",COUNTIFS(Bookings!$C$5:$C$404,A239,Bookings!$I$5:$I$404,"&gt;="&amp;RepFrom,Bookings!$I$5:$I$404,"&lt;="&amp;RepTo,Bookings!$AM$5:$AM$404,"&lt;&gt;Cancelled"))</f>
        <v>0</v>
      </c>
      <c r="I239" s="28">
        <f>IF(Services!$B$239="","",Services!$B$239)</f>
        <v>0</v>
      </c>
      <c r="J239" s="29">
        <f>IF(I239="","",SUMIFS(Bookings!$AK$5:$AK$404,Bookings!$H$5:$H$404,I239,Bookings!$I$5:$I$404,"&gt;="&amp;PeriodStart,Bookings!$I$5:$I$404,"&lt;="&amp;PeriodEnd,Bookings!$AM$5:$AM$404,"&lt;&gt;Cancelled"))</f>
        <v>0</v>
      </c>
      <c r="K239" s="31">
        <f>IF(I239="","",COUNTIFS(Bookings!$H$5:$H$404,I239,Bookings!$I$5:$I$404,"&gt;="&amp;PeriodStart,Bookings!$I$5:$I$404,"&lt;="&amp;PeriodEnd,Bookings!$AM$5:$AM$404,"&lt;&gt;Cancelled"))</f>
        <v>0</v>
      </c>
      <c r="L239" s="29">
        <f>IF(I239="","",SUMIFS(Bookings!$AK$5:$AK$404,Bookings!$H$5:$H$404,I239,Bookings!$I$5:$I$404,"&gt;="&amp;RepFrom,Bookings!$I$5:$I$404,"&lt;="&amp;RepTo,Bookings!$AM$5:$AM$404,"&lt;&gt;Cancelled"))</f>
        <v>0</v>
      </c>
      <c r="M239" s="31">
        <f>IF(I239="","",COUNTIFS(Bookings!$H$5:$H$404,I239,Bookings!$I$5:$I$404,"&gt;="&amp;RepFrom,Bookings!$I$5:$I$404,"&lt;="&amp;RepTo,Bookings!$AM$5:$AM$404,"&lt;&gt;Cancelled"))</f>
        <v>0</v>
      </c>
      <c r="N239" s="29">
        <f>IF(I239="","",M239*IF(Services!$L$239="",0,Services!$L$239))</f>
        <v>0</v>
      </c>
      <c r="O239" s="29">
        <f>IF(I239="","",L239-N239)</f>
        <v>0</v>
      </c>
      <c r="P239" s="28">
        <f>IF(Lists!$AG239="","",Lists!$AG239)</f>
        <v>0</v>
      </c>
      <c r="Q239" s="29">
        <f>IF(P239="","",SUMIFS(Expenses!$F$5:$F$304,Expenses!$C$5:$C$304,P239,Expenses!$B$5:$B$304,"&gt;="&amp;PeriodStart,Expenses!$B$5:$B$304,"&lt;="&amp;PeriodEnd,Expenses!$J$5:$J$304,"&lt;&gt;Personal"))</f>
        <v>0</v>
      </c>
      <c r="R239" s="29">
        <f>IF(P239="","",SUMIFS(Expenses!$F$5:$F$304,Expenses!$C$5:$C$304,P239,Expenses!$B$5:$B$304,"&gt;="&amp;RepFrom,Expenses!$B$5:$B$304,"&lt;="&amp;RepTo,Expenses!$J$5:$J$304,"&lt;&gt;Personal"))</f>
        <v>0</v>
      </c>
      <c r="S239" s="21">
        <f>IF(ROW()-4&gt;12,"",DATE(Dash_Year,ROW()-4,1))</f>
        <v>0</v>
      </c>
      <c r="T239" s="21">
        <f>IF(S239="","",EOMONTH(S239,0))</f>
        <v>0</v>
      </c>
      <c r="U239" s="28">
        <f>IF(S239="","",TEXT(S239,"mmm"))</f>
        <v>0</v>
      </c>
      <c r="V239" s="29">
        <f>IF(S239="","",SUMIFS(Payments!$L$5:$L$304,Payments!$B$5:$B$304,"&gt;="&amp;S239,Payments!$B$5:$B$304,"&lt;="&amp;T239))</f>
        <v>0</v>
      </c>
      <c r="W239" s="29">
        <f>IF(S239="","",SUMIFS(Invoices!$O$5:$O$304,Invoices!$B$5:$B$304,"&gt;="&amp;S239,Invoices!$B$5:$B$304,"&lt;="&amp;T239,Invoices!$T$5:$T$304,"&lt;&gt;Cancelled"))</f>
        <v>0</v>
      </c>
      <c r="X239" s="29">
        <f>IF(S239="","",SUMIFS(Expenses!$F$5:$F$304,Expenses!$B$5:$B$304,"&gt;="&amp;S239,Expenses!$B$5:$B$304,"&lt;="&amp;T239,Expenses!$J$5:$J$304,"&lt;&gt;Personal"))</f>
        <v>0</v>
      </c>
      <c r="Y239" s="29">
        <f>IF(S239="","",V239-X239)</f>
        <v>0</v>
      </c>
      <c r="Z239" s="31">
        <f>IF(S239="","",COUNTIFS(Bookings!$I$5:$I$404,"&gt;="&amp;S239,Bookings!$I$5:$I$404,"&lt;="&amp;T239,Bookings!$AM$5:$AM$404,"&lt;&gt;Cancelled"))</f>
        <v>0</v>
      </c>
      <c r="AA239" s="31">
        <f>IF(S239="","",COUNTIFS(Bookings!$I$5:$I$404,"&gt;="&amp;S239,Bookings!$I$5:$I$404,"&lt;="&amp;T239,Bookings!$AM$5:$AM$404,"Completed"))</f>
        <v>0</v>
      </c>
      <c r="AB239" s="31">
        <f>IF(S239="","",COUNTIFS(Bookings!$I$5:$I$404,"&gt;="&amp;S239,Bookings!$I$5:$I$404,"&lt;="&amp;T239,Bookings!$AM$5:$AM$404,"Cancelled"))</f>
        <v>0</v>
      </c>
      <c r="AC239" s="31">
        <f>IF(S239="","",COUNTIFS('Visit Log'!$C$5:$C$404,"&gt;="&amp;S239,'Visit Log'!$C$5:$C$404,"&lt;="&amp;T239,'Visit Log'!$AE$5:$AE$404,"Completed"))</f>
        <v>0</v>
      </c>
      <c r="AD239" s="31">
        <f>IF(S239="","",COUNTIFS(Clients!$L$5:$L$254,"&gt;="&amp;S239,Clients!$L$5:$L$254,"&lt;="&amp;T239))</f>
        <v>0</v>
      </c>
      <c r="AE239" s="32">
        <f>IF(S239="","",SUMIFS(Mileage!$M$5:$M$304,Mileage!$B$5:$B$304,"&gt;="&amp;S239,Mileage!$B$5:$B$304,"&lt;="&amp;T239,Mileage!$N$5:$N$304,"Business"))</f>
        <v>0</v>
      </c>
      <c r="AF239" s="29">
        <f>IF(S239="","",SUMIFS(Payments!$L$5:$L$304,Payments!$B$5:$B$304,"&gt;="&amp;DATE(Dash_Year-1,ROW()-4,1),Payments!$B$5:$B$304,"&lt;="&amp;EOMONTH(DATE(Dash_Year-1,ROW()-4,1),0)))</f>
        <v>0</v>
      </c>
      <c r="AG239" s="28">
        <f>IF(Staff!$B$239="","",Staff!$B$239)</f>
        <v>0</v>
      </c>
      <c r="AH239" s="31">
        <f>IF(AG239="","",COUNTIFS('Visit Log'!$G$5:$G$404,AG239,'Visit Log'!$C$5:$C$404,"&gt;="&amp;RepFrom,'Visit Log'!$C$5:$C$404,"&lt;="&amp;RepTo,'Visit Log'!$AE$5:$AE$404,"Completed"))</f>
        <v>0</v>
      </c>
      <c r="AI239" s="51">
        <f>IF(AG239="","",ROUND(SUMIFS('Visit Log'!$K$5:$K$404,'Visit Log'!$G$5:$G$404,AG239,'Visit Log'!$C$5:$C$404,"&gt;="&amp;RepFrom,'Visit Log'!$C$5:$C$404,"&lt;="&amp;RepTo,'Visit Log'!$AE$5:$AE$404,"Completed")/60,2))</f>
        <v>0</v>
      </c>
      <c r="AJ239" s="29">
        <f>IF(AG239="","",SUMIFS(Bookings!$AK$5:$AK$404,Bookings!$AL$5:$AL$404,AG239,Bookings!$I$5:$I$404,"&gt;="&amp;RepFrom,Bookings!$I$5:$I$404,"&lt;="&amp;RepTo,Bookings!$AM$5:$AM$404,"&lt;&gt;Cancelled"))</f>
        <v>0</v>
      </c>
      <c r="AK239" s="32">
        <f>IF(AG239="","",SUMIFS(Mileage!$M$5:$M$304,Mileage!$C$5:$C$304,AG239,Mileage!$B$5:$B$304,"&gt;="&amp;RepFrom,Mileage!$B$5:$B$304,"&lt;="&amp;RepTo))</f>
        <v>0</v>
      </c>
      <c r="AL239" s="28">
        <f>IF(Lists!$Q239="","",Lists!$Q239)</f>
        <v>0</v>
      </c>
      <c r="AM239" s="31">
        <f>IF(AL239="","",COUNTIFS(Bookings!$AV$5:$AV$404,AL239,Bookings!$I$5:$I$404,"&gt;="&amp;RepFrom,Bookings!$I$5:$I$404,"&lt;="&amp;RepTo))</f>
        <v>0</v>
      </c>
      <c r="AN239" s="28">
        <f>IF(Lists!$AF239="","",Lists!$AF239)</f>
        <v>0</v>
      </c>
      <c r="AO239" s="29">
        <f>IF(AN239="","",SUMIFS(Payments!$L$5:$L$304,Payments!$F$5:$F$304,AN239,Payments!$B$5:$B$304,"&gt;="&amp;RepFrom,Payments!$B$5:$B$304,"&lt;="&amp;RepTo))</f>
        <v>0</v>
      </c>
      <c r="AP239" s="28">
        <f>IF(Lists!$E239="","",Lists!$E239)</f>
        <v>0</v>
      </c>
      <c r="AQ239" s="31">
        <f>IF(AP239="","",COUNTIFS(Clients!$K$5:$K$254,AP239))</f>
        <v>0</v>
      </c>
      <c r="AR239" s="29">
        <f>IF(AP239="","",SUMIFS(Clients!$AE$5:$AE$254,Clients!$K$5:$K$254,AP239))</f>
        <v>0</v>
      </c>
    </row>
    <row r="240" spans="1:44">
      <c r="A240" s="28">
        <f>IF(Clients!$B$240="","",Clients!$B$240)</f>
        <v>0</v>
      </c>
      <c r="B240" s="29">
        <f>IF(A240="","",SUMIFS(Payments!$L$5:$L$304,Payments!$C$5:$C$304,A240,Payments!$B$5:$B$304,"&gt;="&amp;PeriodStart,Payments!$B$5:$B$304,"&lt;="&amp;PeriodEnd))</f>
        <v>0</v>
      </c>
      <c r="C240" s="51">
        <f>IF(A240="","",IF(B240&lt;=0,"",B240+ROW()/1000000))</f>
        <v>0</v>
      </c>
      <c r="D240" s="29">
        <f>IF(A240="","",SUMIFS(Payments!$L$5:$L$304,Payments!$C$5:$C$304,A240,Payments!$B$5:$B$304,"&gt;="&amp;RepFrom,Payments!$B$5:$B$304,"&lt;="&amp;RepTo))</f>
        <v>0</v>
      </c>
      <c r="E240" s="51">
        <f>IF(A240="","",IF(D240&lt;=0,"",D240+ROW()/1000000))</f>
        <v>0</v>
      </c>
      <c r="F240" s="29">
        <f>IF(A240="","",SUMIFS(Invoices!$S$5:$S$304,Invoices!$D$5:$D$304,A240,Invoices!$T$5:$T$304,"&lt;&gt;Cancelled"))</f>
        <v>0</v>
      </c>
      <c r="G240" s="51">
        <f>IF(A240="","",IF(F240&lt;=0.004,"",F240+ROW()/1000000))</f>
        <v>0</v>
      </c>
      <c r="H240" s="31">
        <f>IF(A240="","",COUNTIFS(Bookings!$C$5:$C$404,A240,Bookings!$I$5:$I$404,"&gt;="&amp;RepFrom,Bookings!$I$5:$I$404,"&lt;="&amp;RepTo,Bookings!$AM$5:$AM$404,"&lt;&gt;Cancelled"))</f>
        <v>0</v>
      </c>
      <c r="I240" s="28">
        <f>IF(Services!$B$240="","",Services!$B$240)</f>
        <v>0</v>
      </c>
      <c r="J240" s="29">
        <f>IF(I240="","",SUMIFS(Bookings!$AK$5:$AK$404,Bookings!$H$5:$H$404,I240,Bookings!$I$5:$I$404,"&gt;="&amp;PeriodStart,Bookings!$I$5:$I$404,"&lt;="&amp;PeriodEnd,Bookings!$AM$5:$AM$404,"&lt;&gt;Cancelled"))</f>
        <v>0</v>
      </c>
      <c r="K240" s="31">
        <f>IF(I240="","",COUNTIFS(Bookings!$H$5:$H$404,I240,Bookings!$I$5:$I$404,"&gt;="&amp;PeriodStart,Bookings!$I$5:$I$404,"&lt;="&amp;PeriodEnd,Bookings!$AM$5:$AM$404,"&lt;&gt;Cancelled"))</f>
        <v>0</v>
      </c>
      <c r="L240" s="29">
        <f>IF(I240="","",SUMIFS(Bookings!$AK$5:$AK$404,Bookings!$H$5:$H$404,I240,Bookings!$I$5:$I$404,"&gt;="&amp;RepFrom,Bookings!$I$5:$I$404,"&lt;="&amp;RepTo,Bookings!$AM$5:$AM$404,"&lt;&gt;Cancelled"))</f>
        <v>0</v>
      </c>
      <c r="M240" s="31">
        <f>IF(I240="","",COUNTIFS(Bookings!$H$5:$H$404,I240,Bookings!$I$5:$I$404,"&gt;="&amp;RepFrom,Bookings!$I$5:$I$404,"&lt;="&amp;RepTo,Bookings!$AM$5:$AM$404,"&lt;&gt;Cancelled"))</f>
        <v>0</v>
      </c>
      <c r="N240" s="29">
        <f>IF(I240="","",M240*IF(Services!$L$240="",0,Services!$L$240))</f>
        <v>0</v>
      </c>
      <c r="O240" s="29">
        <f>IF(I240="","",L240-N240)</f>
        <v>0</v>
      </c>
      <c r="P240" s="28">
        <f>IF(Lists!$AG240="","",Lists!$AG240)</f>
        <v>0</v>
      </c>
      <c r="Q240" s="29">
        <f>IF(P240="","",SUMIFS(Expenses!$F$5:$F$304,Expenses!$C$5:$C$304,P240,Expenses!$B$5:$B$304,"&gt;="&amp;PeriodStart,Expenses!$B$5:$B$304,"&lt;="&amp;PeriodEnd,Expenses!$J$5:$J$304,"&lt;&gt;Personal"))</f>
        <v>0</v>
      </c>
      <c r="R240" s="29">
        <f>IF(P240="","",SUMIFS(Expenses!$F$5:$F$304,Expenses!$C$5:$C$304,P240,Expenses!$B$5:$B$304,"&gt;="&amp;RepFrom,Expenses!$B$5:$B$304,"&lt;="&amp;RepTo,Expenses!$J$5:$J$304,"&lt;&gt;Personal"))</f>
        <v>0</v>
      </c>
      <c r="S240" s="21">
        <f>IF(ROW()-4&gt;12,"",DATE(Dash_Year,ROW()-4,1))</f>
        <v>0</v>
      </c>
      <c r="T240" s="21">
        <f>IF(S240="","",EOMONTH(S240,0))</f>
        <v>0</v>
      </c>
      <c r="U240" s="28">
        <f>IF(S240="","",TEXT(S240,"mmm"))</f>
        <v>0</v>
      </c>
      <c r="V240" s="29">
        <f>IF(S240="","",SUMIFS(Payments!$L$5:$L$304,Payments!$B$5:$B$304,"&gt;="&amp;S240,Payments!$B$5:$B$304,"&lt;="&amp;T240))</f>
        <v>0</v>
      </c>
      <c r="W240" s="29">
        <f>IF(S240="","",SUMIFS(Invoices!$O$5:$O$304,Invoices!$B$5:$B$304,"&gt;="&amp;S240,Invoices!$B$5:$B$304,"&lt;="&amp;T240,Invoices!$T$5:$T$304,"&lt;&gt;Cancelled"))</f>
        <v>0</v>
      </c>
      <c r="X240" s="29">
        <f>IF(S240="","",SUMIFS(Expenses!$F$5:$F$304,Expenses!$B$5:$B$304,"&gt;="&amp;S240,Expenses!$B$5:$B$304,"&lt;="&amp;T240,Expenses!$J$5:$J$304,"&lt;&gt;Personal"))</f>
        <v>0</v>
      </c>
      <c r="Y240" s="29">
        <f>IF(S240="","",V240-X240)</f>
        <v>0</v>
      </c>
      <c r="Z240" s="31">
        <f>IF(S240="","",COUNTIFS(Bookings!$I$5:$I$404,"&gt;="&amp;S240,Bookings!$I$5:$I$404,"&lt;="&amp;T240,Bookings!$AM$5:$AM$404,"&lt;&gt;Cancelled"))</f>
        <v>0</v>
      </c>
      <c r="AA240" s="31">
        <f>IF(S240="","",COUNTIFS(Bookings!$I$5:$I$404,"&gt;="&amp;S240,Bookings!$I$5:$I$404,"&lt;="&amp;T240,Bookings!$AM$5:$AM$404,"Completed"))</f>
        <v>0</v>
      </c>
      <c r="AB240" s="31">
        <f>IF(S240="","",COUNTIFS(Bookings!$I$5:$I$404,"&gt;="&amp;S240,Bookings!$I$5:$I$404,"&lt;="&amp;T240,Bookings!$AM$5:$AM$404,"Cancelled"))</f>
        <v>0</v>
      </c>
      <c r="AC240" s="31">
        <f>IF(S240="","",COUNTIFS('Visit Log'!$C$5:$C$404,"&gt;="&amp;S240,'Visit Log'!$C$5:$C$404,"&lt;="&amp;T240,'Visit Log'!$AE$5:$AE$404,"Completed"))</f>
        <v>0</v>
      </c>
      <c r="AD240" s="31">
        <f>IF(S240="","",COUNTIFS(Clients!$L$5:$L$254,"&gt;="&amp;S240,Clients!$L$5:$L$254,"&lt;="&amp;T240))</f>
        <v>0</v>
      </c>
      <c r="AE240" s="32">
        <f>IF(S240="","",SUMIFS(Mileage!$M$5:$M$304,Mileage!$B$5:$B$304,"&gt;="&amp;S240,Mileage!$B$5:$B$304,"&lt;="&amp;T240,Mileage!$N$5:$N$304,"Business"))</f>
        <v>0</v>
      </c>
      <c r="AF240" s="29">
        <f>IF(S240="","",SUMIFS(Payments!$L$5:$L$304,Payments!$B$5:$B$304,"&gt;="&amp;DATE(Dash_Year-1,ROW()-4,1),Payments!$B$5:$B$304,"&lt;="&amp;EOMONTH(DATE(Dash_Year-1,ROW()-4,1),0)))</f>
        <v>0</v>
      </c>
      <c r="AG240" s="28">
        <f>IF(Staff!$B$240="","",Staff!$B$240)</f>
        <v>0</v>
      </c>
      <c r="AH240" s="31">
        <f>IF(AG240="","",COUNTIFS('Visit Log'!$G$5:$G$404,AG240,'Visit Log'!$C$5:$C$404,"&gt;="&amp;RepFrom,'Visit Log'!$C$5:$C$404,"&lt;="&amp;RepTo,'Visit Log'!$AE$5:$AE$404,"Completed"))</f>
        <v>0</v>
      </c>
      <c r="AI240" s="51">
        <f>IF(AG240="","",ROUND(SUMIFS('Visit Log'!$K$5:$K$404,'Visit Log'!$G$5:$G$404,AG240,'Visit Log'!$C$5:$C$404,"&gt;="&amp;RepFrom,'Visit Log'!$C$5:$C$404,"&lt;="&amp;RepTo,'Visit Log'!$AE$5:$AE$404,"Completed")/60,2))</f>
        <v>0</v>
      </c>
      <c r="AJ240" s="29">
        <f>IF(AG240="","",SUMIFS(Bookings!$AK$5:$AK$404,Bookings!$AL$5:$AL$404,AG240,Bookings!$I$5:$I$404,"&gt;="&amp;RepFrom,Bookings!$I$5:$I$404,"&lt;="&amp;RepTo,Bookings!$AM$5:$AM$404,"&lt;&gt;Cancelled"))</f>
        <v>0</v>
      </c>
      <c r="AK240" s="32">
        <f>IF(AG240="","",SUMIFS(Mileage!$M$5:$M$304,Mileage!$C$5:$C$304,AG240,Mileage!$B$5:$B$304,"&gt;="&amp;RepFrom,Mileage!$B$5:$B$304,"&lt;="&amp;RepTo))</f>
        <v>0</v>
      </c>
      <c r="AL240" s="28">
        <f>IF(Lists!$Q240="","",Lists!$Q240)</f>
        <v>0</v>
      </c>
      <c r="AM240" s="31">
        <f>IF(AL240="","",COUNTIFS(Bookings!$AV$5:$AV$404,AL240,Bookings!$I$5:$I$404,"&gt;="&amp;RepFrom,Bookings!$I$5:$I$404,"&lt;="&amp;RepTo))</f>
        <v>0</v>
      </c>
      <c r="AN240" s="28">
        <f>IF(Lists!$AF240="","",Lists!$AF240)</f>
        <v>0</v>
      </c>
      <c r="AO240" s="29">
        <f>IF(AN240="","",SUMIFS(Payments!$L$5:$L$304,Payments!$F$5:$F$304,AN240,Payments!$B$5:$B$304,"&gt;="&amp;RepFrom,Payments!$B$5:$B$304,"&lt;="&amp;RepTo))</f>
        <v>0</v>
      </c>
      <c r="AP240" s="28">
        <f>IF(Lists!$E240="","",Lists!$E240)</f>
        <v>0</v>
      </c>
      <c r="AQ240" s="31">
        <f>IF(AP240="","",COUNTIFS(Clients!$K$5:$K$254,AP240))</f>
        <v>0</v>
      </c>
      <c r="AR240" s="29">
        <f>IF(AP240="","",SUMIFS(Clients!$AE$5:$AE$254,Clients!$K$5:$K$254,AP240))</f>
        <v>0</v>
      </c>
    </row>
    <row r="241" spans="1:44">
      <c r="A241" s="28">
        <f>IF(Clients!$B$241="","",Clients!$B$241)</f>
        <v>0</v>
      </c>
      <c r="B241" s="29">
        <f>IF(A241="","",SUMIFS(Payments!$L$5:$L$304,Payments!$C$5:$C$304,A241,Payments!$B$5:$B$304,"&gt;="&amp;PeriodStart,Payments!$B$5:$B$304,"&lt;="&amp;PeriodEnd))</f>
        <v>0</v>
      </c>
      <c r="C241" s="51">
        <f>IF(A241="","",IF(B241&lt;=0,"",B241+ROW()/1000000))</f>
        <v>0</v>
      </c>
      <c r="D241" s="29">
        <f>IF(A241="","",SUMIFS(Payments!$L$5:$L$304,Payments!$C$5:$C$304,A241,Payments!$B$5:$B$304,"&gt;="&amp;RepFrom,Payments!$B$5:$B$304,"&lt;="&amp;RepTo))</f>
        <v>0</v>
      </c>
      <c r="E241" s="51">
        <f>IF(A241="","",IF(D241&lt;=0,"",D241+ROW()/1000000))</f>
        <v>0</v>
      </c>
      <c r="F241" s="29">
        <f>IF(A241="","",SUMIFS(Invoices!$S$5:$S$304,Invoices!$D$5:$D$304,A241,Invoices!$T$5:$T$304,"&lt;&gt;Cancelled"))</f>
        <v>0</v>
      </c>
      <c r="G241" s="51">
        <f>IF(A241="","",IF(F241&lt;=0.004,"",F241+ROW()/1000000))</f>
        <v>0</v>
      </c>
      <c r="H241" s="31">
        <f>IF(A241="","",COUNTIFS(Bookings!$C$5:$C$404,A241,Bookings!$I$5:$I$404,"&gt;="&amp;RepFrom,Bookings!$I$5:$I$404,"&lt;="&amp;RepTo,Bookings!$AM$5:$AM$404,"&lt;&gt;Cancelled"))</f>
        <v>0</v>
      </c>
      <c r="I241" s="28">
        <f>IF(Services!$B$241="","",Services!$B$241)</f>
        <v>0</v>
      </c>
      <c r="J241" s="29">
        <f>IF(I241="","",SUMIFS(Bookings!$AK$5:$AK$404,Bookings!$H$5:$H$404,I241,Bookings!$I$5:$I$404,"&gt;="&amp;PeriodStart,Bookings!$I$5:$I$404,"&lt;="&amp;PeriodEnd,Bookings!$AM$5:$AM$404,"&lt;&gt;Cancelled"))</f>
        <v>0</v>
      </c>
      <c r="K241" s="31">
        <f>IF(I241="","",COUNTIFS(Bookings!$H$5:$H$404,I241,Bookings!$I$5:$I$404,"&gt;="&amp;PeriodStart,Bookings!$I$5:$I$404,"&lt;="&amp;PeriodEnd,Bookings!$AM$5:$AM$404,"&lt;&gt;Cancelled"))</f>
        <v>0</v>
      </c>
      <c r="L241" s="29">
        <f>IF(I241="","",SUMIFS(Bookings!$AK$5:$AK$404,Bookings!$H$5:$H$404,I241,Bookings!$I$5:$I$404,"&gt;="&amp;RepFrom,Bookings!$I$5:$I$404,"&lt;="&amp;RepTo,Bookings!$AM$5:$AM$404,"&lt;&gt;Cancelled"))</f>
        <v>0</v>
      </c>
      <c r="M241" s="31">
        <f>IF(I241="","",COUNTIFS(Bookings!$H$5:$H$404,I241,Bookings!$I$5:$I$404,"&gt;="&amp;RepFrom,Bookings!$I$5:$I$404,"&lt;="&amp;RepTo,Bookings!$AM$5:$AM$404,"&lt;&gt;Cancelled"))</f>
        <v>0</v>
      </c>
      <c r="N241" s="29">
        <f>IF(I241="","",M241*IF(Services!$L$241="",0,Services!$L$241))</f>
        <v>0</v>
      </c>
      <c r="O241" s="29">
        <f>IF(I241="","",L241-N241)</f>
        <v>0</v>
      </c>
      <c r="P241" s="28">
        <f>IF(Lists!$AG241="","",Lists!$AG241)</f>
        <v>0</v>
      </c>
      <c r="Q241" s="29">
        <f>IF(P241="","",SUMIFS(Expenses!$F$5:$F$304,Expenses!$C$5:$C$304,P241,Expenses!$B$5:$B$304,"&gt;="&amp;PeriodStart,Expenses!$B$5:$B$304,"&lt;="&amp;PeriodEnd,Expenses!$J$5:$J$304,"&lt;&gt;Personal"))</f>
        <v>0</v>
      </c>
      <c r="R241" s="29">
        <f>IF(P241="","",SUMIFS(Expenses!$F$5:$F$304,Expenses!$C$5:$C$304,P241,Expenses!$B$5:$B$304,"&gt;="&amp;RepFrom,Expenses!$B$5:$B$304,"&lt;="&amp;RepTo,Expenses!$J$5:$J$304,"&lt;&gt;Personal"))</f>
        <v>0</v>
      </c>
      <c r="S241" s="21">
        <f>IF(ROW()-4&gt;12,"",DATE(Dash_Year,ROW()-4,1))</f>
        <v>0</v>
      </c>
      <c r="T241" s="21">
        <f>IF(S241="","",EOMONTH(S241,0))</f>
        <v>0</v>
      </c>
      <c r="U241" s="28">
        <f>IF(S241="","",TEXT(S241,"mmm"))</f>
        <v>0</v>
      </c>
      <c r="V241" s="29">
        <f>IF(S241="","",SUMIFS(Payments!$L$5:$L$304,Payments!$B$5:$B$304,"&gt;="&amp;S241,Payments!$B$5:$B$304,"&lt;="&amp;T241))</f>
        <v>0</v>
      </c>
      <c r="W241" s="29">
        <f>IF(S241="","",SUMIFS(Invoices!$O$5:$O$304,Invoices!$B$5:$B$304,"&gt;="&amp;S241,Invoices!$B$5:$B$304,"&lt;="&amp;T241,Invoices!$T$5:$T$304,"&lt;&gt;Cancelled"))</f>
        <v>0</v>
      </c>
      <c r="X241" s="29">
        <f>IF(S241="","",SUMIFS(Expenses!$F$5:$F$304,Expenses!$B$5:$B$304,"&gt;="&amp;S241,Expenses!$B$5:$B$304,"&lt;="&amp;T241,Expenses!$J$5:$J$304,"&lt;&gt;Personal"))</f>
        <v>0</v>
      </c>
      <c r="Y241" s="29">
        <f>IF(S241="","",V241-X241)</f>
        <v>0</v>
      </c>
      <c r="Z241" s="31">
        <f>IF(S241="","",COUNTIFS(Bookings!$I$5:$I$404,"&gt;="&amp;S241,Bookings!$I$5:$I$404,"&lt;="&amp;T241,Bookings!$AM$5:$AM$404,"&lt;&gt;Cancelled"))</f>
        <v>0</v>
      </c>
      <c r="AA241" s="31">
        <f>IF(S241="","",COUNTIFS(Bookings!$I$5:$I$404,"&gt;="&amp;S241,Bookings!$I$5:$I$404,"&lt;="&amp;T241,Bookings!$AM$5:$AM$404,"Completed"))</f>
        <v>0</v>
      </c>
      <c r="AB241" s="31">
        <f>IF(S241="","",COUNTIFS(Bookings!$I$5:$I$404,"&gt;="&amp;S241,Bookings!$I$5:$I$404,"&lt;="&amp;T241,Bookings!$AM$5:$AM$404,"Cancelled"))</f>
        <v>0</v>
      </c>
      <c r="AC241" s="31">
        <f>IF(S241="","",COUNTIFS('Visit Log'!$C$5:$C$404,"&gt;="&amp;S241,'Visit Log'!$C$5:$C$404,"&lt;="&amp;T241,'Visit Log'!$AE$5:$AE$404,"Completed"))</f>
        <v>0</v>
      </c>
      <c r="AD241" s="31">
        <f>IF(S241="","",COUNTIFS(Clients!$L$5:$L$254,"&gt;="&amp;S241,Clients!$L$5:$L$254,"&lt;="&amp;T241))</f>
        <v>0</v>
      </c>
      <c r="AE241" s="32">
        <f>IF(S241="","",SUMIFS(Mileage!$M$5:$M$304,Mileage!$B$5:$B$304,"&gt;="&amp;S241,Mileage!$B$5:$B$304,"&lt;="&amp;T241,Mileage!$N$5:$N$304,"Business"))</f>
        <v>0</v>
      </c>
      <c r="AF241" s="29">
        <f>IF(S241="","",SUMIFS(Payments!$L$5:$L$304,Payments!$B$5:$B$304,"&gt;="&amp;DATE(Dash_Year-1,ROW()-4,1),Payments!$B$5:$B$304,"&lt;="&amp;EOMONTH(DATE(Dash_Year-1,ROW()-4,1),0)))</f>
        <v>0</v>
      </c>
      <c r="AG241" s="28">
        <f>IF(Staff!$B$241="","",Staff!$B$241)</f>
        <v>0</v>
      </c>
      <c r="AH241" s="31">
        <f>IF(AG241="","",COUNTIFS('Visit Log'!$G$5:$G$404,AG241,'Visit Log'!$C$5:$C$404,"&gt;="&amp;RepFrom,'Visit Log'!$C$5:$C$404,"&lt;="&amp;RepTo,'Visit Log'!$AE$5:$AE$404,"Completed"))</f>
        <v>0</v>
      </c>
      <c r="AI241" s="51">
        <f>IF(AG241="","",ROUND(SUMIFS('Visit Log'!$K$5:$K$404,'Visit Log'!$G$5:$G$404,AG241,'Visit Log'!$C$5:$C$404,"&gt;="&amp;RepFrom,'Visit Log'!$C$5:$C$404,"&lt;="&amp;RepTo,'Visit Log'!$AE$5:$AE$404,"Completed")/60,2))</f>
        <v>0</v>
      </c>
      <c r="AJ241" s="29">
        <f>IF(AG241="","",SUMIFS(Bookings!$AK$5:$AK$404,Bookings!$AL$5:$AL$404,AG241,Bookings!$I$5:$I$404,"&gt;="&amp;RepFrom,Bookings!$I$5:$I$404,"&lt;="&amp;RepTo,Bookings!$AM$5:$AM$404,"&lt;&gt;Cancelled"))</f>
        <v>0</v>
      </c>
      <c r="AK241" s="32">
        <f>IF(AG241="","",SUMIFS(Mileage!$M$5:$M$304,Mileage!$C$5:$C$304,AG241,Mileage!$B$5:$B$304,"&gt;="&amp;RepFrom,Mileage!$B$5:$B$304,"&lt;="&amp;RepTo))</f>
        <v>0</v>
      </c>
      <c r="AL241" s="28">
        <f>IF(Lists!$Q241="","",Lists!$Q241)</f>
        <v>0</v>
      </c>
      <c r="AM241" s="31">
        <f>IF(AL241="","",COUNTIFS(Bookings!$AV$5:$AV$404,AL241,Bookings!$I$5:$I$404,"&gt;="&amp;RepFrom,Bookings!$I$5:$I$404,"&lt;="&amp;RepTo))</f>
        <v>0</v>
      </c>
      <c r="AN241" s="28">
        <f>IF(Lists!$AF241="","",Lists!$AF241)</f>
        <v>0</v>
      </c>
      <c r="AO241" s="29">
        <f>IF(AN241="","",SUMIFS(Payments!$L$5:$L$304,Payments!$F$5:$F$304,AN241,Payments!$B$5:$B$304,"&gt;="&amp;RepFrom,Payments!$B$5:$B$304,"&lt;="&amp;RepTo))</f>
        <v>0</v>
      </c>
      <c r="AP241" s="28">
        <f>IF(Lists!$E241="","",Lists!$E241)</f>
        <v>0</v>
      </c>
      <c r="AQ241" s="31">
        <f>IF(AP241="","",COUNTIFS(Clients!$K$5:$K$254,AP241))</f>
        <v>0</v>
      </c>
      <c r="AR241" s="29">
        <f>IF(AP241="","",SUMIFS(Clients!$AE$5:$AE$254,Clients!$K$5:$K$254,AP241))</f>
        <v>0</v>
      </c>
    </row>
    <row r="242" spans="1:44">
      <c r="A242" s="28">
        <f>IF(Clients!$B$242="","",Clients!$B$242)</f>
        <v>0</v>
      </c>
      <c r="B242" s="29">
        <f>IF(A242="","",SUMIFS(Payments!$L$5:$L$304,Payments!$C$5:$C$304,A242,Payments!$B$5:$B$304,"&gt;="&amp;PeriodStart,Payments!$B$5:$B$304,"&lt;="&amp;PeriodEnd))</f>
        <v>0</v>
      </c>
      <c r="C242" s="51">
        <f>IF(A242="","",IF(B242&lt;=0,"",B242+ROW()/1000000))</f>
        <v>0</v>
      </c>
      <c r="D242" s="29">
        <f>IF(A242="","",SUMIFS(Payments!$L$5:$L$304,Payments!$C$5:$C$304,A242,Payments!$B$5:$B$304,"&gt;="&amp;RepFrom,Payments!$B$5:$B$304,"&lt;="&amp;RepTo))</f>
        <v>0</v>
      </c>
      <c r="E242" s="51">
        <f>IF(A242="","",IF(D242&lt;=0,"",D242+ROW()/1000000))</f>
        <v>0</v>
      </c>
      <c r="F242" s="29">
        <f>IF(A242="","",SUMIFS(Invoices!$S$5:$S$304,Invoices!$D$5:$D$304,A242,Invoices!$T$5:$T$304,"&lt;&gt;Cancelled"))</f>
        <v>0</v>
      </c>
      <c r="G242" s="51">
        <f>IF(A242="","",IF(F242&lt;=0.004,"",F242+ROW()/1000000))</f>
        <v>0</v>
      </c>
      <c r="H242" s="31">
        <f>IF(A242="","",COUNTIFS(Bookings!$C$5:$C$404,A242,Bookings!$I$5:$I$404,"&gt;="&amp;RepFrom,Bookings!$I$5:$I$404,"&lt;="&amp;RepTo,Bookings!$AM$5:$AM$404,"&lt;&gt;Cancelled"))</f>
        <v>0</v>
      </c>
      <c r="I242" s="28">
        <f>IF(Services!$B$242="","",Services!$B$242)</f>
        <v>0</v>
      </c>
      <c r="J242" s="29">
        <f>IF(I242="","",SUMIFS(Bookings!$AK$5:$AK$404,Bookings!$H$5:$H$404,I242,Bookings!$I$5:$I$404,"&gt;="&amp;PeriodStart,Bookings!$I$5:$I$404,"&lt;="&amp;PeriodEnd,Bookings!$AM$5:$AM$404,"&lt;&gt;Cancelled"))</f>
        <v>0</v>
      </c>
      <c r="K242" s="31">
        <f>IF(I242="","",COUNTIFS(Bookings!$H$5:$H$404,I242,Bookings!$I$5:$I$404,"&gt;="&amp;PeriodStart,Bookings!$I$5:$I$404,"&lt;="&amp;PeriodEnd,Bookings!$AM$5:$AM$404,"&lt;&gt;Cancelled"))</f>
        <v>0</v>
      </c>
      <c r="L242" s="29">
        <f>IF(I242="","",SUMIFS(Bookings!$AK$5:$AK$404,Bookings!$H$5:$H$404,I242,Bookings!$I$5:$I$404,"&gt;="&amp;RepFrom,Bookings!$I$5:$I$404,"&lt;="&amp;RepTo,Bookings!$AM$5:$AM$404,"&lt;&gt;Cancelled"))</f>
        <v>0</v>
      </c>
      <c r="M242" s="31">
        <f>IF(I242="","",COUNTIFS(Bookings!$H$5:$H$404,I242,Bookings!$I$5:$I$404,"&gt;="&amp;RepFrom,Bookings!$I$5:$I$404,"&lt;="&amp;RepTo,Bookings!$AM$5:$AM$404,"&lt;&gt;Cancelled"))</f>
        <v>0</v>
      </c>
      <c r="N242" s="29">
        <f>IF(I242="","",M242*IF(Services!$L$242="",0,Services!$L$242))</f>
        <v>0</v>
      </c>
      <c r="O242" s="29">
        <f>IF(I242="","",L242-N242)</f>
        <v>0</v>
      </c>
      <c r="P242" s="28">
        <f>IF(Lists!$AG242="","",Lists!$AG242)</f>
        <v>0</v>
      </c>
      <c r="Q242" s="29">
        <f>IF(P242="","",SUMIFS(Expenses!$F$5:$F$304,Expenses!$C$5:$C$304,P242,Expenses!$B$5:$B$304,"&gt;="&amp;PeriodStart,Expenses!$B$5:$B$304,"&lt;="&amp;PeriodEnd,Expenses!$J$5:$J$304,"&lt;&gt;Personal"))</f>
        <v>0</v>
      </c>
      <c r="R242" s="29">
        <f>IF(P242="","",SUMIFS(Expenses!$F$5:$F$304,Expenses!$C$5:$C$304,P242,Expenses!$B$5:$B$304,"&gt;="&amp;RepFrom,Expenses!$B$5:$B$304,"&lt;="&amp;RepTo,Expenses!$J$5:$J$304,"&lt;&gt;Personal"))</f>
        <v>0</v>
      </c>
      <c r="S242" s="21">
        <f>IF(ROW()-4&gt;12,"",DATE(Dash_Year,ROW()-4,1))</f>
        <v>0</v>
      </c>
      <c r="T242" s="21">
        <f>IF(S242="","",EOMONTH(S242,0))</f>
        <v>0</v>
      </c>
      <c r="U242" s="28">
        <f>IF(S242="","",TEXT(S242,"mmm"))</f>
        <v>0</v>
      </c>
      <c r="V242" s="29">
        <f>IF(S242="","",SUMIFS(Payments!$L$5:$L$304,Payments!$B$5:$B$304,"&gt;="&amp;S242,Payments!$B$5:$B$304,"&lt;="&amp;T242))</f>
        <v>0</v>
      </c>
      <c r="W242" s="29">
        <f>IF(S242="","",SUMIFS(Invoices!$O$5:$O$304,Invoices!$B$5:$B$304,"&gt;="&amp;S242,Invoices!$B$5:$B$304,"&lt;="&amp;T242,Invoices!$T$5:$T$304,"&lt;&gt;Cancelled"))</f>
        <v>0</v>
      </c>
      <c r="X242" s="29">
        <f>IF(S242="","",SUMIFS(Expenses!$F$5:$F$304,Expenses!$B$5:$B$304,"&gt;="&amp;S242,Expenses!$B$5:$B$304,"&lt;="&amp;T242,Expenses!$J$5:$J$304,"&lt;&gt;Personal"))</f>
        <v>0</v>
      </c>
      <c r="Y242" s="29">
        <f>IF(S242="","",V242-X242)</f>
        <v>0</v>
      </c>
      <c r="Z242" s="31">
        <f>IF(S242="","",COUNTIFS(Bookings!$I$5:$I$404,"&gt;="&amp;S242,Bookings!$I$5:$I$404,"&lt;="&amp;T242,Bookings!$AM$5:$AM$404,"&lt;&gt;Cancelled"))</f>
        <v>0</v>
      </c>
      <c r="AA242" s="31">
        <f>IF(S242="","",COUNTIFS(Bookings!$I$5:$I$404,"&gt;="&amp;S242,Bookings!$I$5:$I$404,"&lt;="&amp;T242,Bookings!$AM$5:$AM$404,"Completed"))</f>
        <v>0</v>
      </c>
      <c r="AB242" s="31">
        <f>IF(S242="","",COUNTIFS(Bookings!$I$5:$I$404,"&gt;="&amp;S242,Bookings!$I$5:$I$404,"&lt;="&amp;T242,Bookings!$AM$5:$AM$404,"Cancelled"))</f>
        <v>0</v>
      </c>
      <c r="AC242" s="31">
        <f>IF(S242="","",COUNTIFS('Visit Log'!$C$5:$C$404,"&gt;="&amp;S242,'Visit Log'!$C$5:$C$404,"&lt;="&amp;T242,'Visit Log'!$AE$5:$AE$404,"Completed"))</f>
        <v>0</v>
      </c>
      <c r="AD242" s="31">
        <f>IF(S242="","",COUNTIFS(Clients!$L$5:$L$254,"&gt;="&amp;S242,Clients!$L$5:$L$254,"&lt;="&amp;T242))</f>
        <v>0</v>
      </c>
      <c r="AE242" s="32">
        <f>IF(S242="","",SUMIFS(Mileage!$M$5:$M$304,Mileage!$B$5:$B$304,"&gt;="&amp;S242,Mileage!$B$5:$B$304,"&lt;="&amp;T242,Mileage!$N$5:$N$304,"Business"))</f>
        <v>0</v>
      </c>
      <c r="AF242" s="29">
        <f>IF(S242="","",SUMIFS(Payments!$L$5:$L$304,Payments!$B$5:$B$304,"&gt;="&amp;DATE(Dash_Year-1,ROW()-4,1),Payments!$B$5:$B$304,"&lt;="&amp;EOMONTH(DATE(Dash_Year-1,ROW()-4,1),0)))</f>
        <v>0</v>
      </c>
      <c r="AG242" s="28">
        <f>IF(Staff!$B$242="","",Staff!$B$242)</f>
        <v>0</v>
      </c>
      <c r="AH242" s="31">
        <f>IF(AG242="","",COUNTIFS('Visit Log'!$G$5:$G$404,AG242,'Visit Log'!$C$5:$C$404,"&gt;="&amp;RepFrom,'Visit Log'!$C$5:$C$404,"&lt;="&amp;RepTo,'Visit Log'!$AE$5:$AE$404,"Completed"))</f>
        <v>0</v>
      </c>
      <c r="AI242" s="51">
        <f>IF(AG242="","",ROUND(SUMIFS('Visit Log'!$K$5:$K$404,'Visit Log'!$G$5:$G$404,AG242,'Visit Log'!$C$5:$C$404,"&gt;="&amp;RepFrom,'Visit Log'!$C$5:$C$404,"&lt;="&amp;RepTo,'Visit Log'!$AE$5:$AE$404,"Completed")/60,2))</f>
        <v>0</v>
      </c>
      <c r="AJ242" s="29">
        <f>IF(AG242="","",SUMIFS(Bookings!$AK$5:$AK$404,Bookings!$AL$5:$AL$404,AG242,Bookings!$I$5:$I$404,"&gt;="&amp;RepFrom,Bookings!$I$5:$I$404,"&lt;="&amp;RepTo,Bookings!$AM$5:$AM$404,"&lt;&gt;Cancelled"))</f>
        <v>0</v>
      </c>
      <c r="AK242" s="32">
        <f>IF(AG242="","",SUMIFS(Mileage!$M$5:$M$304,Mileage!$C$5:$C$304,AG242,Mileage!$B$5:$B$304,"&gt;="&amp;RepFrom,Mileage!$B$5:$B$304,"&lt;="&amp;RepTo))</f>
        <v>0</v>
      </c>
      <c r="AL242" s="28">
        <f>IF(Lists!$Q242="","",Lists!$Q242)</f>
        <v>0</v>
      </c>
      <c r="AM242" s="31">
        <f>IF(AL242="","",COUNTIFS(Bookings!$AV$5:$AV$404,AL242,Bookings!$I$5:$I$404,"&gt;="&amp;RepFrom,Bookings!$I$5:$I$404,"&lt;="&amp;RepTo))</f>
        <v>0</v>
      </c>
      <c r="AN242" s="28">
        <f>IF(Lists!$AF242="","",Lists!$AF242)</f>
        <v>0</v>
      </c>
      <c r="AO242" s="29">
        <f>IF(AN242="","",SUMIFS(Payments!$L$5:$L$304,Payments!$F$5:$F$304,AN242,Payments!$B$5:$B$304,"&gt;="&amp;RepFrom,Payments!$B$5:$B$304,"&lt;="&amp;RepTo))</f>
        <v>0</v>
      </c>
      <c r="AP242" s="28">
        <f>IF(Lists!$E242="","",Lists!$E242)</f>
        <v>0</v>
      </c>
      <c r="AQ242" s="31">
        <f>IF(AP242="","",COUNTIFS(Clients!$K$5:$K$254,AP242))</f>
        <v>0</v>
      </c>
      <c r="AR242" s="29">
        <f>IF(AP242="","",SUMIFS(Clients!$AE$5:$AE$254,Clients!$K$5:$K$254,AP242))</f>
        <v>0</v>
      </c>
    </row>
    <row r="243" spans="1:44">
      <c r="A243" s="28">
        <f>IF(Clients!$B$243="","",Clients!$B$243)</f>
        <v>0</v>
      </c>
      <c r="B243" s="29">
        <f>IF(A243="","",SUMIFS(Payments!$L$5:$L$304,Payments!$C$5:$C$304,A243,Payments!$B$5:$B$304,"&gt;="&amp;PeriodStart,Payments!$B$5:$B$304,"&lt;="&amp;PeriodEnd))</f>
        <v>0</v>
      </c>
      <c r="C243" s="51">
        <f>IF(A243="","",IF(B243&lt;=0,"",B243+ROW()/1000000))</f>
        <v>0</v>
      </c>
      <c r="D243" s="29">
        <f>IF(A243="","",SUMIFS(Payments!$L$5:$L$304,Payments!$C$5:$C$304,A243,Payments!$B$5:$B$304,"&gt;="&amp;RepFrom,Payments!$B$5:$B$304,"&lt;="&amp;RepTo))</f>
        <v>0</v>
      </c>
      <c r="E243" s="51">
        <f>IF(A243="","",IF(D243&lt;=0,"",D243+ROW()/1000000))</f>
        <v>0</v>
      </c>
      <c r="F243" s="29">
        <f>IF(A243="","",SUMIFS(Invoices!$S$5:$S$304,Invoices!$D$5:$D$304,A243,Invoices!$T$5:$T$304,"&lt;&gt;Cancelled"))</f>
        <v>0</v>
      </c>
      <c r="G243" s="51">
        <f>IF(A243="","",IF(F243&lt;=0.004,"",F243+ROW()/1000000))</f>
        <v>0</v>
      </c>
      <c r="H243" s="31">
        <f>IF(A243="","",COUNTIFS(Bookings!$C$5:$C$404,A243,Bookings!$I$5:$I$404,"&gt;="&amp;RepFrom,Bookings!$I$5:$I$404,"&lt;="&amp;RepTo,Bookings!$AM$5:$AM$404,"&lt;&gt;Cancelled"))</f>
        <v>0</v>
      </c>
      <c r="I243" s="28">
        <f>IF(Services!$B$243="","",Services!$B$243)</f>
        <v>0</v>
      </c>
      <c r="J243" s="29">
        <f>IF(I243="","",SUMIFS(Bookings!$AK$5:$AK$404,Bookings!$H$5:$H$404,I243,Bookings!$I$5:$I$404,"&gt;="&amp;PeriodStart,Bookings!$I$5:$I$404,"&lt;="&amp;PeriodEnd,Bookings!$AM$5:$AM$404,"&lt;&gt;Cancelled"))</f>
        <v>0</v>
      </c>
      <c r="K243" s="31">
        <f>IF(I243="","",COUNTIFS(Bookings!$H$5:$H$404,I243,Bookings!$I$5:$I$404,"&gt;="&amp;PeriodStart,Bookings!$I$5:$I$404,"&lt;="&amp;PeriodEnd,Bookings!$AM$5:$AM$404,"&lt;&gt;Cancelled"))</f>
        <v>0</v>
      </c>
      <c r="L243" s="29">
        <f>IF(I243="","",SUMIFS(Bookings!$AK$5:$AK$404,Bookings!$H$5:$H$404,I243,Bookings!$I$5:$I$404,"&gt;="&amp;RepFrom,Bookings!$I$5:$I$404,"&lt;="&amp;RepTo,Bookings!$AM$5:$AM$404,"&lt;&gt;Cancelled"))</f>
        <v>0</v>
      </c>
      <c r="M243" s="31">
        <f>IF(I243="","",COUNTIFS(Bookings!$H$5:$H$404,I243,Bookings!$I$5:$I$404,"&gt;="&amp;RepFrom,Bookings!$I$5:$I$404,"&lt;="&amp;RepTo,Bookings!$AM$5:$AM$404,"&lt;&gt;Cancelled"))</f>
        <v>0</v>
      </c>
      <c r="N243" s="29">
        <f>IF(I243="","",M243*IF(Services!$L$243="",0,Services!$L$243))</f>
        <v>0</v>
      </c>
      <c r="O243" s="29">
        <f>IF(I243="","",L243-N243)</f>
        <v>0</v>
      </c>
      <c r="P243" s="28">
        <f>IF(Lists!$AG243="","",Lists!$AG243)</f>
        <v>0</v>
      </c>
      <c r="Q243" s="29">
        <f>IF(P243="","",SUMIFS(Expenses!$F$5:$F$304,Expenses!$C$5:$C$304,P243,Expenses!$B$5:$B$304,"&gt;="&amp;PeriodStart,Expenses!$B$5:$B$304,"&lt;="&amp;PeriodEnd,Expenses!$J$5:$J$304,"&lt;&gt;Personal"))</f>
        <v>0</v>
      </c>
      <c r="R243" s="29">
        <f>IF(P243="","",SUMIFS(Expenses!$F$5:$F$304,Expenses!$C$5:$C$304,P243,Expenses!$B$5:$B$304,"&gt;="&amp;RepFrom,Expenses!$B$5:$B$304,"&lt;="&amp;RepTo,Expenses!$J$5:$J$304,"&lt;&gt;Personal"))</f>
        <v>0</v>
      </c>
      <c r="S243" s="21">
        <f>IF(ROW()-4&gt;12,"",DATE(Dash_Year,ROW()-4,1))</f>
        <v>0</v>
      </c>
      <c r="T243" s="21">
        <f>IF(S243="","",EOMONTH(S243,0))</f>
        <v>0</v>
      </c>
      <c r="U243" s="28">
        <f>IF(S243="","",TEXT(S243,"mmm"))</f>
        <v>0</v>
      </c>
      <c r="V243" s="29">
        <f>IF(S243="","",SUMIFS(Payments!$L$5:$L$304,Payments!$B$5:$B$304,"&gt;="&amp;S243,Payments!$B$5:$B$304,"&lt;="&amp;T243))</f>
        <v>0</v>
      </c>
      <c r="W243" s="29">
        <f>IF(S243="","",SUMIFS(Invoices!$O$5:$O$304,Invoices!$B$5:$B$304,"&gt;="&amp;S243,Invoices!$B$5:$B$304,"&lt;="&amp;T243,Invoices!$T$5:$T$304,"&lt;&gt;Cancelled"))</f>
        <v>0</v>
      </c>
      <c r="X243" s="29">
        <f>IF(S243="","",SUMIFS(Expenses!$F$5:$F$304,Expenses!$B$5:$B$304,"&gt;="&amp;S243,Expenses!$B$5:$B$304,"&lt;="&amp;T243,Expenses!$J$5:$J$304,"&lt;&gt;Personal"))</f>
        <v>0</v>
      </c>
      <c r="Y243" s="29">
        <f>IF(S243="","",V243-X243)</f>
        <v>0</v>
      </c>
      <c r="Z243" s="31">
        <f>IF(S243="","",COUNTIFS(Bookings!$I$5:$I$404,"&gt;="&amp;S243,Bookings!$I$5:$I$404,"&lt;="&amp;T243,Bookings!$AM$5:$AM$404,"&lt;&gt;Cancelled"))</f>
        <v>0</v>
      </c>
      <c r="AA243" s="31">
        <f>IF(S243="","",COUNTIFS(Bookings!$I$5:$I$404,"&gt;="&amp;S243,Bookings!$I$5:$I$404,"&lt;="&amp;T243,Bookings!$AM$5:$AM$404,"Completed"))</f>
        <v>0</v>
      </c>
      <c r="AB243" s="31">
        <f>IF(S243="","",COUNTIFS(Bookings!$I$5:$I$404,"&gt;="&amp;S243,Bookings!$I$5:$I$404,"&lt;="&amp;T243,Bookings!$AM$5:$AM$404,"Cancelled"))</f>
        <v>0</v>
      </c>
      <c r="AC243" s="31">
        <f>IF(S243="","",COUNTIFS('Visit Log'!$C$5:$C$404,"&gt;="&amp;S243,'Visit Log'!$C$5:$C$404,"&lt;="&amp;T243,'Visit Log'!$AE$5:$AE$404,"Completed"))</f>
        <v>0</v>
      </c>
      <c r="AD243" s="31">
        <f>IF(S243="","",COUNTIFS(Clients!$L$5:$L$254,"&gt;="&amp;S243,Clients!$L$5:$L$254,"&lt;="&amp;T243))</f>
        <v>0</v>
      </c>
      <c r="AE243" s="32">
        <f>IF(S243="","",SUMIFS(Mileage!$M$5:$M$304,Mileage!$B$5:$B$304,"&gt;="&amp;S243,Mileage!$B$5:$B$304,"&lt;="&amp;T243,Mileage!$N$5:$N$304,"Business"))</f>
        <v>0</v>
      </c>
      <c r="AF243" s="29">
        <f>IF(S243="","",SUMIFS(Payments!$L$5:$L$304,Payments!$B$5:$B$304,"&gt;="&amp;DATE(Dash_Year-1,ROW()-4,1),Payments!$B$5:$B$304,"&lt;="&amp;EOMONTH(DATE(Dash_Year-1,ROW()-4,1),0)))</f>
        <v>0</v>
      </c>
      <c r="AG243" s="28">
        <f>IF(Staff!$B$243="","",Staff!$B$243)</f>
        <v>0</v>
      </c>
      <c r="AH243" s="31">
        <f>IF(AG243="","",COUNTIFS('Visit Log'!$G$5:$G$404,AG243,'Visit Log'!$C$5:$C$404,"&gt;="&amp;RepFrom,'Visit Log'!$C$5:$C$404,"&lt;="&amp;RepTo,'Visit Log'!$AE$5:$AE$404,"Completed"))</f>
        <v>0</v>
      </c>
      <c r="AI243" s="51">
        <f>IF(AG243="","",ROUND(SUMIFS('Visit Log'!$K$5:$K$404,'Visit Log'!$G$5:$G$404,AG243,'Visit Log'!$C$5:$C$404,"&gt;="&amp;RepFrom,'Visit Log'!$C$5:$C$404,"&lt;="&amp;RepTo,'Visit Log'!$AE$5:$AE$404,"Completed")/60,2))</f>
        <v>0</v>
      </c>
      <c r="AJ243" s="29">
        <f>IF(AG243="","",SUMIFS(Bookings!$AK$5:$AK$404,Bookings!$AL$5:$AL$404,AG243,Bookings!$I$5:$I$404,"&gt;="&amp;RepFrom,Bookings!$I$5:$I$404,"&lt;="&amp;RepTo,Bookings!$AM$5:$AM$404,"&lt;&gt;Cancelled"))</f>
        <v>0</v>
      </c>
      <c r="AK243" s="32">
        <f>IF(AG243="","",SUMIFS(Mileage!$M$5:$M$304,Mileage!$C$5:$C$304,AG243,Mileage!$B$5:$B$304,"&gt;="&amp;RepFrom,Mileage!$B$5:$B$304,"&lt;="&amp;RepTo))</f>
        <v>0</v>
      </c>
      <c r="AL243" s="28">
        <f>IF(Lists!$Q243="","",Lists!$Q243)</f>
        <v>0</v>
      </c>
      <c r="AM243" s="31">
        <f>IF(AL243="","",COUNTIFS(Bookings!$AV$5:$AV$404,AL243,Bookings!$I$5:$I$404,"&gt;="&amp;RepFrom,Bookings!$I$5:$I$404,"&lt;="&amp;RepTo))</f>
        <v>0</v>
      </c>
      <c r="AN243" s="28">
        <f>IF(Lists!$AF243="","",Lists!$AF243)</f>
        <v>0</v>
      </c>
      <c r="AO243" s="29">
        <f>IF(AN243="","",SUMIFS(Payments!$L$5:$L$304,Payments!$F$5:$F$304,AN243,Payments!$B$5:$B$304,"&gt;="&amp;RepFrom,Payments!$B$5:$B$304,"&lt;="&amp;RepTo))</f>
        <v>0</v>
      </c>
      <c r="AP243" s="28">
        <f>IF(Lists!$E243="","",Lists!$E243)</f>
        <v>0</v>
      </c>
      <c r="AQ243" s="31">
        <f>IF(AP243="","",COUNTIFS(Clients!$K$5:$K$254,AP243))</f>
        <v>0</v>
      </c>
      <c r="AR243" s="29">
        <f>IF(AP243="","",SUMIFS(Clients!$AE$5:$AE$254,Clients!$K$5:$K$254,AP243))</f>
        <v>0</v>
      </c>
    </row>
    <row r="244" spans="1:44">
      <c r="A244" s="28">
        <f>IF(Clients!$B$244="","",Clients!$B$244)</f>
        <v>0</v>
      </c>
      <c r="B244" s="29">
        <f>IF(A244="","",SUMIFS(Payments!$L$5:$L$304,Payments!$C$5:$C$304,A244,Payments!$B$5:$B$304,"&gt;="&amp;PeriodStart,Payments!$B$5:$B$304,"&lt;="&amp;PeriodEnd))</f>
        <v>0</v>
      </c>
      <c r="C244" s="51">
        <f>IF(A244="","",IF(B244&lt;=0,"",B244+ROW()/1000000))</f>
        <v>0</v>
      </c>
      <c r="D244" s="29">
        <f>IF(A244="","",SUMIFS(Payments!$L$5:$L$304,Payments!$C$5:$C$304,A244,Payments!$B$5:$B$304,"&gt;="&amp;RepFrom,Payments!$B$5:$B$304,"&lt;="&amp;RepTo))</f>
        <v>0</v>
      </c>
      <c r="E244" s="51">
        <f>IF(A244="","",IF(D244&lt;=0,"",D244+ROW()/1000000))</f>
        <v>0</v>
      </c>
      <c r="F244" s="29">
        <f>IF(A244="","",SUMIFS(Invoices!$S$5:$S$304,Invoices!$D$5:$D$304,A244,Invoices!$T$5:$T$304,"&lt;&gt;Cancelled"))</f>
        <v>0</v>
      </c>
      <c r="G244" s="51">
        <f>IF(A244="","",IF(F244&lt;=0.004,"",F244+ROW()/1000000))</f>
        <v>0</v>
      </c>
      <c r="H244" s="31">
        <f>IF(A244="","",COUNTIFS(Bookings!$C$5:$C$404,A244,Bookings!$I$5:$I$404,"&gt;="&amp;RepFrom,Bookings!$I$5:$I$404,"&lt;="&amp;RepTo,Bookings!$AM$5:$AM$404,"&lt;&gt;Cancelled"))</f>
        <v>0</v>
      </c>
      <c r="I244" s="28">
        <f>IF(Services!$B$244="","",Services!$B$244)</f>
        <v>0</v>
      </c>
      <c r="J244" s="29">
        <f>IF(I244="","",SUMIFS(Bookings!$AK$5:$AK$404,Bookings!$H$5:$H$404,I244,Bookings!$I$5:$I$404,"&gt;="&amp;PeriodStart,Bookings!$I$5:$I$404,"&lt;="&amp;PeriodEnd,Bookings!$AM$5:$AM$404,"&lt;&gt;Cancelled"))</f>
        <v>0</v>
      </c>
      <c r="K244" s="31">
        <f>IF(I244="","",COUNTIFS(Bookings!$H$5:$H$404,I244,Bookings!$I$5:$I$404,"&gt;="&amp;PeriodStart,Bookings!$I$5:$I$404,"&lt;="&amp;PeriodEnd,Bookings!$AM$5:$AM$404,"&lt;&gt;Cancelled"))</f>
        <v>0</v>
      </c>
      <c r="L244" s="29">
        <f>IF(I244="","",SUMIFS(Bookings!$AK$5:$AK$404,Bookings!$H$5:$H$404,I244,Bookings!$I$5:$I$404,"&gt;="&amp;RepFrom,Bookings!$I$5:$I$404,"&lt;="&amp;RepTo,Bookings!$AM$5:$AM$404,"&lt;&gt;Cancelled"))</f>
        <v>0</v>
      </c>
      <c r="M244" s="31">
        <f>IF(I244="","",COUNTIFS(Bookings!$H$5:$H$404,I244,Bookings!$I$5:$I$404,"&gt;="&amp;RepFrom,Bookings!$I$5:$I$404,"&lt;="&amp;RepTo,Bookings!$AM$5:$AM$404,"&lt;&gt;Cancelled"))</f>
        <v>0</v>
      </c>
      <c r="N244" s="29">
        <f>IF(I244="","",M244*IF(Services!$L$244="",0,Services!$L$244))</f>
        <v>0</v>
      </c>
      <c r="O244" s="29">
        <f>IF(I244="","",L244-N244)</f>
        <v>0</v>
      </c>
      <c r="P244" s="28">
        <f>IF(Lists!$AG244="","",Lists!$AG244)</f>
        <v>0</v>
      </c>
      <c r="Q244" s="29">
        <f>IF(P244="","",SUMIFS(Expenses!$F$5:$F$304,Expenses!$C$5:$C$304,P244,Expenses!$B$5:$B$304,"&gt;="&amp;PeriodStart,Expenses!$B$5:$B$304,"&lt;="&amp;PeriodEnd,Expenses!$J$5:$J$304,"&lt;&gt;Personal"))</f>
        <v>0</v>
      </c>
      <c r="R244" s="29">
        <f>IF(P244="","",SUMIFS(Expenses!$F$5:$F$304,Expenses!$C$5:$C$304,P244,Expenses!$B$5:$B$304,"&gt;="&amp;RepFrom,Expenses!$B$5:$B$304,"&lt;="&amp;RepTo,Expenses!$J$5:$J$304,"&lt;&gt;Personal"))</f>
        <v>0</v>
      </c>
      <c r="S244" s="21">
        <f>IF(ROW()-4&gt;12,"",DATE(Dash_Year,ROW()-4,1))</f>
        <v>0</v>
      </c>
      <c r="T244" s="21">
        <f>IF(S244="","",EOMONTH(S244,0))</f>
        <v>0</v>
      </c>
      <c r="U244" s="28">
        <f>IF(S244="","",TEXT(S244,"mmm"))</f>
        <v>0</v>
      </c>
      <c r="V244" s="29">
        <f>IF(S244="","",SUMIFS(Payments!$L$5:$L$304,Payments!$B$5:$B$304,"&gt;="&amp;S244,Payments!$B$5:$B$304,"&lt;="&amp;T244))</f>
        <v>0</v>
      </c>
      <c r="W244" s="29">
        <f>IF(S244="","",SUMIFS(Invoices!$O$5:$O$304,Invoices!$B$5:$B$304,"&gt;="&amp;S244,Invoices!$B$5:$B$304,"&lt;="&amp;T244,Invoices!$T$5:$T$304,"&lt;&gt;Cancelled"))</f>
        <v>0</v>
      </c>
      <c r="X244" s="29">
        <f>IF(S244="","",SUMIFS(Expenses!$F$5:$F$304,Expenses!$B$5:$B$304,"&gt;="&amp;S244,Expenses!$B$5:$B$304,"&lt;="&amp;T244,Expenses!$J$5:$J$304,"&lt;&gt;Personal"))</f>
        <v>0</v>
      </c>
      <c r="Y244" s="29">
        <f>IF(S244="","",V244-X244)</f>
        <v>0</v>
      </c>
      <c r="Z244" s="31">
        <f>IF(S244="","",COUNTIFS(Bookings!$I$5:$I$404,"&gt;="&amp;S244,Bookings!$I$5:$I$404,"&lt;="&amp;T244,Bookings!$AM$5:$AM$404,"&lt;&gt;Cancelled"))</f>
        <v>0</v>
      </c>
      <c r="AA244" s="31">
        <f>IF(S244="","",COUNTIFS(Bookings!$I$5:$I$404,"&gt;="&amp;S244,Bookings!$I$5:$I$404,"&lt;="&amp;T244,Bookings!$AM$5:$AM$404,"Completed"))</f>
        <v>0</v>
      </c>
      <c r="AB244" s="31">
        <f>IF(S244="","",COUNTIFS(Bookings!$I$5:$I$404,"&gt;="&amp;S244,Bookings!$I$5:$I$404,"&lt;="&amp;T244,Bookings!$AM$5:$AM$404,"Cancelled"))</f>
        <v>0</v>
      </c>
      <c r="AC244" s="31">
        <f>IF(S244="","",COUNTIFS('Visit Log'!$C$5:$C$404,"&gt;="&amp;S244,'Visit Log'!$C$5:$C$404,"&lt;="&amp;T244,'Visit Log'!$AE$5:$AE$404,"Completed"))</f>
        <v>0</v>
      </c>
      <c r="AD244" s="31">
        <f>IF(S244="","",COUNTIFS(Clients!$L$5:$L$254,"&gt;="&amp;S244,Clients!$L$5:$L$254,"&lt;="&amp;T244))</f>
        <v>0</v>
      </c>
      <c r="AE244" s="32">
        <f>IF(S244="","",SUMIFS(Mileage!$M$5:$M$304,Mileage!$B$5:$B$304,"&gt;="&amp;S244,Mileage!$B$5:$B$304,"&lt;="&amp;T244,Mileage!$N$5:$N$304,"Business"))</f>
        <v>0</v>
      </c>
      <c r="AF244" s="29">
        <f>IF(S244="","",SUMIFS(Payments!$L$5:$L$304,Payments!$B$5:$B$304,"&gt;="&amp;DATE(Dash_Year-1,ROW()-4,1),Payments!$B$5:$B$304,"&lt;="&amp;EOMONTH(DATE(Dash_Year-1,ROW()-4,1),0)))</f>
        <v>0</v>
      </c>
      <c r="AG244" s="28">
        <f>IF(Staff!$B$244="","",Staff!$B$244)</f>
        <v>0</v>
      </c>
      <c r="AH244" s="31">
        <f>IF(AG244="","",COUNTIFS('Visit Log'!$G$5:$G$404,AG244,'Visit Log'!$C$5:$C$404,"&gt;="&amp;RepFrom,'Visit Log'!$C$5:$C$404,"&lt;="&amp;RepTo,'Visit Log'!$AE$5:$AE$404,"Completed"))</f>
        <v>0</v>
      </c>
      <c r="AI244" s="51">
        <f>IF(AG244="","",ROUND(SUMIFS('Visit Log'!$K$5:$K$404,'Visit Log'!$G$5:$G$404,AG244,'Visit Log'!$C$5:$C$404,"&gt;="&amp;RepFrom,'Visit Log'!$C$5:$C$404,"&lt;="&amp;RepTo,'Visit Log'!$AE$5:$AE$404,"Completed")/60,2))</f>
        <v>0</v>
      </c>
      <c r="AJ244" s="29">
        <f>IF(AG244="","",SUMIFS(Bookings!$AK$5:$AK$404,Bookings!$AL$5:$AL$404,AG244,Bookings!$I$5:$I$404,"&gt;="&amp;RepFrom,Bookings!$I$5:$I$404,"&lt;="&amp;RepTo,Bookings!$AM$5:$AM$404,"&lt;&gt;Cancelled"))</f>
        <v>0</v>
      </c>
      <c r="AK244" s="32">
        <f>IF(AG244="","",SUMIFS(Mileage!$M$5:$M$304,Mileage!$C$5:$C$304,AG244,Mileage!$B$5:$B$304,"&gt;="&amp;RepFrom,Mileage!$B$5:$B$304,"&lt;="&amp;RepTo))</f>
        <v>0</v>
      </c>
      <c r="AL244" s="28">
        <f>IF(Lists!$Q244="","",Lists!$Q244)</f>
        <v>0</v>
      </c>
      <c r="AM244" s="31">
        <f>IF(AL244="","",COUNTIFS(Bookings!$AV$5:$AV$404,AL244,Bookings!$I$5:$I$404,"&gt;="&amp;RepFrom,Bookings!$I$5:$I$404,"&lt;="&amp;RepTo))</f>
        <v>0</v>
      </c>
      <c r="AN244" s="28">
        <f>IF(Lists!$AF244="","",Lists!$AF244)</f>
        <v>0</v>
      </c>
      <c r="AO244" s="29">
        <f>IF(AN244="","",SUMIFS(Payments!$L$5:$L$304,Payments!$F$5:$F$304,AN244,Payments!$B$5:$B$304,"&gt;="&amp;RepFrom,Payments!$B$5:$B$304,"&lt;="&amp;RepTo))</f>
        <v>0</v>
      </c>
      <c r="AP244" s="28">
        <f>IF(Lists!$E244="","",Lists!$E244)</f>
        <v>0</v>
      </c>
      <c r="AQ244" s="31">
        <f>IF(AP244="","",COUNTIFS(Clients!$K$5:$K$254,AP244))</f>
        <v>0</v>
      </c>
      <c r="AR244" s="29">
        <f>IF(AP244="","",SUMIFS(Clients!$AE$5:$AE$254,Clients!$K$5:$K$254,AP244))</f>
        <v>0</v>
      </c>
    </row>
    <row r="245" spans="1:44">
      <c r="A245" s="28">
        <f>IF(Clients!$B$245="","",Clients!$B$245)</f>
        <v>0</v>
      </c>
      <c r="B245" s="29">
        <f>IF(A245="","",SUMIFS(Payments!$L$5:$L$304,Payments!$C$5:$C$304,A245,Payments!$B$5:$B$304,"&gt;="&amp;PeriodStart,Payments!$B$5:$B$304,"&lt;="&amp;PeriodEnd))</f>
        <v>0</v>
      </c>
      <c r="C245" s="51">
        <f>IF(A245="","",IF(B245&lt;=0,"",B245+ROW()/1000000))</f>
        <v>0</v>
      </c>
      <c r="D245" s="29">
        <f>IF(A245="","",SUMIFS(Payments!$L$5:$L$304,Payments!$C$5:$C$304,A245,Payments!$B$5:$B$304,"&gt;="&amp;RepFrom,Payments!$B$5:$B$304,"&lt;="&amp;RepTo))</f>
        <v>0</v>
      </c>
      <c r="E245" s="51">
        <f>IF(A245="","",IF(D245&lt;=0,"",D245+ROW()/1000000))</f>
        <v>0</v>
      </c>
      <c r="F245" s="29">
        <f>IF(A245="","",SUMIFS(Invoices!$S$5:$S$304,Invoices!$D$5:$D$304,A245,Invoices!$T$5:$T$304,"&lt;&gt;Cancelled"))</f>
        <v>0</v>
      </c>
      <c r="G245" s="51">
        <f>IF(A245="","",IF(F245&lt;=0.004,"",F245+ROW()/1000000))</f>
        <v>0</v>
      </c>
      <c r="H245" s="31">
        <f>IF(A245="","",COUNTIFS(Bookings!$C$5:$C$404,A245,Bookings!$I$5:$I$404,"&gt;="&amp;RepFrom,Bookings!$I$5:$I$404,"&lt;="&amp;RepTo,Bookings!$AM$5:$AM$404,"&lt;&gt;Cancelled"))</f>
        <v>0</v>
      </c>
      <c r="I245" s="28">
        <f>IF(Services!$B$245="","",Services!$B$245)</f>
        <v>0</v>
      </c>
      <c r="J245" s="29">
        <f>IF(I245="","",SUMIFS(Bookings!$AK$5:$AK$404,Bookings!$H$5:$H$404,I245,Bookings!$I$5:$I$404,"&gt;="&amp;PeriodStart,Bookings!$I$5:$I$404,"&lt;="&amp;PeriodEnd,Bookings!$AM$5:$AM$404,"&lt;&gt;Cancelled"))</f>
        <v>0</v>
      </c>
      <c r="K245" s="31">
        <f>IF(I245="","",COUNTIFS(Bookings!$H$5:$H$404,I245,Bookings!$I$5:$I$404,"&gt;="&amp;PeriodStart,Bookings!$I$5:$I$404,"&lt;="&amp;PeriodEnd,Bookings!$AM$5:$AM$404,"&lt;&gt;Cancelled"))</f>
        <v>0</v>
      </c>
      <c r="L245" s="29">
        <f>IF(I245="","",SUMIFS(Bookings!$AK$5:$AK$404,Bookings!$H$5:$H$404,I245,Bookings!$I$5:$I$404,"&gt;="&amp;RepFrom,Bookings!$I$5:$I$404,"&lt;="&amp;RepTo,Bookings!$AM$5:$AM$404,"&lt;&gt;Cancelled"))</f>
        <v>0</v>
      </c>
      <c r="M245" s="31">
        <f>IF(I245="","",COUNTIFS(Bookings!$H$5:$H$404,I245,Bookings!$I$5:$I$404,"&gt;="&amp;RepFrom,Bookings!$I$5:$I$404,"&lt;="&amp;RepTo,Bookings!$AM$5:$AM$404,"&lt;&gt;Cancelled"))</f>
        <v>0</v>
      </c>
      <c r="N245" s="29">
        <f>IF(I245="","",M245*IF(Services!$L$245="",0,Services!$L$245))</f>
        <v>0</v>
      </c>
      <c r="O245" s="29">
        <f>IF(I245="","",L245-N245)</f>
        <v>0</v>
      </c>
      <c r="P245" s="28">
        <f>IF(Lists!$AG245="","",Lists!$AG245)</f>
        <v>0</v>
      </c>
      <c r="Q245" s="29">
        <f>IF(P245="","",SUMIFS(Expenses!$F$5:$F$304,Expenses!$C$5:$C$304,P245,Expenses!$B$5:$B$304,"&gt;="&amp;PeriodStart,Expenses!$B$5:$B$304,"&lt;="&amp;PeriodEnd,Expenses!$J$5:$J$304,"&lt;&gt;Personal"))</f>
        <v>0</v>
      </c>
      <c r="R245" s="29">
        <f>IF(P245="","",SUMIFS(Expenses!$F$5:$F$304,Expenses!$C$5:$C$304,P245,Expenses!$B$5:$B$304,"&gt;="&amp;RepFrom,Expenses!$B$5:$B$304,"&lt;="&amp;RepTo,Expenses!$J$5:$J$304,"&lt;&gt;Personal"))</f>
        <v>0</v>
      </c>
      <c r="S245" s="21">
        <f>IF(ROW()-4&gt;12,"",DATE(Dash_Year,ROW()-4,1))</f>
        <v>0</v>
      </c>
      <c r="T245" s="21">
        <f>IF(S245="","",EOMONTH(S245,0))</f>
        <v>0</v>
      </c>
      <c r="U245" s="28">
        <f>IF(S245="","",TEXT(S245,"mmm"))</f>
        <v>0</v>
      </c>
      <c r="V245" s="29">
        <f>IF(S245="","",SUMIFS(Payments!$L$5:$L$304,Payments!$B$5:$B$304,"&gt;="&amp;S245,Payments!$B$5:$B$304,"&lt;="&amp;T245))</f>
        <v>0</v>
      </c>
      <c r="W245" s="29">
        <f>IF(S245="","",SUMIFS(Invoices!$O$5:$O$304,Invoices!$B$5:$B$304,"&gt;="&amp;S245,Invoices!$B$5:$B$304,"&lt;="&amp;T245,Invoices!$T$5:$T$304,"&lt;&gt;Cancelled"))</f>
        <v>0</v>
      </c>
      <c r="X245" s="29">
        <f>IF(S245="","",SUMIFS(Expenses!$F$5:$F$304,Expenses!$B$5:$B$304,"&gt;="&amp;S245,Expenses!$B$5:$B$304,"&lt;="&amp;T245,Expenses!$J$5:$J$304,"&lt;&gt;Personal"))</f>
        <v>0</v>
      </c>
      <c r="Y245" s="29">
        <f>IF(S245="","",V245-X245)</f>
        <v>0</v>
      </c>
      <c r="Z245" s="31">
        <f>IF(S245="","",COUNTIFS(Bookings!$I$5:$I$404,"&gt;="&amp;S245,Bookings!$I$5:$I$404,"&lt;="&amp;T245,Bookings!$AM$5:$AM$404,"&lt;&gt;Cancelled"))</f>
        <v>0</v>
      </c>
      <c r="AA245" s="31">
        <f>IF(S245="","",COUNTIFS(Bookings!$I$5:$I$404,"&gt;="&amp;S245,Bookings!$I$5:$I$404,"&lt;="&amp;T245,Bookings!$AM$5:$AM$404,"Completed"))</f>
        <v>0</v>
      </c>
      <c r="AB245" s="31">
        <f>IF(S245="","",COUNTIFS(Bookings!$I$5:$I$404,"&gt;="&amp;S245,Bookings!$I$5:$I$404,"&lt;="&amp;T245,Bookings!$AM$5:$AM$404,"Cancelled"))</f>
        <v>0</v>
      </c>
      <c r="AC245" s="31">
        <f>IF(S245="","",COUNTIFS('Visit Log'!$C$5:$C$404,"&gt;="&amp;S245,'Visit Log'!$C$5:$C$404,"&lt;="&amp;T245,'Visit Log'!$AE$5:$AE$404,"Completed"))</f>
        <v>0</v>
      </c>
      <c r="AD245" s="31">
        <f>IF(S245="","",COUNTIFS(Clients!$L$5:$L$254,"&gt;="&amp;S245,Clients!$L$5:$L$254,"&lt;="&amp;T245))</f>
        <v>0</v>
      </c>
      <c r="AE245" s="32">
        <f>IF(S245="","",SUMIFS(Mileage!$M$5:$M$304,Mileage!$B$5:$B$304,"&gt;="&amp;S245,Mileage!$B$5:$B$304,"&lt;="&amp;T245,Mileage!$N$5:$N$304,"Business"))</f>
        <v>0</v>
      </c>
      <c r="AF245" s="29">
        <f>IF(S245="","",SUMIFS(Payments!$L$5:$L$304,Payments!$B$5:$B$304,"&gt;="&amp;DATE(Dash_Year-1,ROW()-4,1),Payments!$B$5:$B$304,"&lt;="&amp;EOMONTH(DATE(Dash_Year-1,ROW()-4,1),0)))</f>
        <v>0</v>
      </c>
      <c r="AG245" s="28">
        <f>IF(Staff!$B$245="","",Staff!$B$245)</f>
        <v>0</v>
      </c>
      <c r="AH245" s="31">
        <f>IF(AG245="","",COUNTIFS('Visit Log'!$G$5:$G$404,AG245,'Visit Log'!$C$5:$C$404,"&gt;="&amp;RepFrom,'Visit Log'!$C$5:$C$404,"&lt;="&amp;RepTo,'Visit Log'!$AE$5:$AE$404,"Completed"))</f>
        <v>0</v>
      </c>
      <c r="AI245" s="51">
        <f>IF(AG245="","",ROUND(SUMIFS('Visit Log'!$K$5:$K$404,'Visit Log'!$G$5:$G$404,AG245,'Visit Log'!$C$5:$C$404,"&gt;="&amp;RepFrom,'Visit Log'!$C$5:$C$404,"&lt;="&amp;RepTo,'Visit Log'!$AE$5:$AE$404,"Completed")/60,2))</f>
        <v>0</v>
      </c>
      <c r="AJ245" s="29">
        <f>IF(AG245="","",SUMIFS(Bookings!$AK$5:$AK$404,Bookings!$AL$5:$AL$404,AG245,Bookings!$I$5:$I$404,"&gt;="&amp;RepFrom,Bookings!$I$5:$I$404,"&lt;="&amp;RepTo,Bookings!$AM$5:$AM$404,"&lt;&gt;Cancelled"))</f>
        <v>0</v>
      </c>
      <c r="AK245" s="32">
        <f>IF(AG245="","",SUMIFS(Mileage!$M$5:$M$304,Mileage!$C$5:$C$304,AG245,Mileage!$B$5:$B$304,"&gt;="&amp;RepFrom,Mileage!$B$5:$B$304,"&lt;="&amp;RepTo))</f>
        <v>0</v>
      </c>
      <c r="AL245" s="28">
        <f>IF(Lists!$Q245="","",Lists!$Q245)</f>
        <v>0</v>
      </c>
      <c r="AM245" s="31">
        <f>IF(AL245="","",COUNTIFS(Bookings!$AV$5:$AV$404,AL245,Bookings!$I$5:$I$404,"&gt;="&amp;RepFrom,Bookings!$I$5:$I$404,"&lt;="&amp;RepTo))</f>
        <v>0</v>
      </c>
      <c r="AN245" s="28">
        <f>IF(Lists!$AF245="","",Lists!$AF245)</f>
        <v>0</v>
      </c>
      <c r="AO245" s="29">
        <f>IF(AN245="","",SUMIFS(Payments!$L$5:$L$304,Payments!$F$5:$F$304,AN245,Payments!$B$5:$B$304,"&gt;="&amp;RepFrom,Payments!$B$5:$B$304,"&lt;="&amp;RepTo))</f>
        <v>0</v>
      </c>
      <c r="AP245" s="28">
        <f>IF(Lists!$E245="","",Lists!$E245)</f>
        <v>0</v>
      </c>
      <c r="AQ245" s="31">
        <f>IF(AP245="","",COUNTIFS(Clients!$K$5:$K$254,AP245))</f>
        <v>0</v>
      </c>
      <c r="AR245" s="29">
        <f>IF(AP245="","",SUMIFS(Clients!$AE$5:$AE$254,Clients!$K$5:$K$254,AP245))</f>
        <v>0</v>
      </c>
    </row>
    <row r="246" spans="1:44">
      <c r="A246" s="28">
        <f>IF(Clients!$B$246="","",Clients!$B$246)</f>
        <v>0</v>
      </c>
      <c r="B246" s="29">
        <f>IF(A246="","",SUMIFS(Payments!$L$5:$L$304,Payments!$C$5:$C$304,A246,Payments!$B$5:$B$304,"&gt;="&amp;PeriodStart,Payments!$B$5:$B$304,"&lt;="&amp;PeriodEnd))</f>
        <v>0</v>
      </c>
      <c r="C246" s="51">
        <f>IF(A246="","",IF(B246&lt;=0,"",B246+ROW()/1000000))</f>
        <v>0</v>
      </c>
      <c r="D246" s="29">
        <f>IF(A246="","",SUMIFS(Payments!$L$5:$L$304,Payments!$C$5:$C$304,A246,Payments!$B$5:$B$304,"&gt;="&amp;RepFrom,Payments!$B$5:$B$304,"&lt;="&amp;RepTo))</f>
        <v>0</v>
      </c>
      <c r="E246" s="51">
        <f>IF(A246="","",IF(D246&lt;=0,"",D246+ROW()/1000000))</f>
        <v>0</v>
      </c>
      <c r="F246" s="29">
        <f>IF(A246="","",SUMIFS(Invoices!$S$5:$S$304,Invoices!$D$5:$D$304,A246,Invoices!$T$5:$T$304,"&lt;&gt;Cancelled"))</f>
        <v>0</v>
      </c>
      <c r="G246" s="51">
        <f>IF(A246="","",IF(F246&lt;=0.004,"",F246+ROW()/1000000))</f>
        <v>0</v>
      </c>
      <c r="H246" s="31">
        <f>IF(A246="","",COUNTIFS(Bookings!$C$5:$C$404,A246,Bookings!$I$5:$I$404,"&gt;="&amp;RepFrom,Bookings!$I$5:$I$404,"&lt;="&amp;RepTo,Bookings!$AM$5:$AM$404,"&lt;&gt;Cancelled"))</f>
        <v>0</v>
      </c>
      <c r="I246" s="28">
        <f>IF(Services!$B$246="","",Services!$B$246)</f>
        <v>0</v>
      </c>
      <c r="J246" s="29">
        <f>IF(I246="","",SUMIFS(Bookings!$AK$5:$AK$404,Bookings!$H$5:$H$404,I246,Bookings!$I$5:$I$404,"&gt;="&amp;PeriodStart,Bookings!$I$5:$I$404,"&lt;="&amp;PeriodEnd,Bookings!$AM$5:$AM$404,"&lt;&gt;Cancelled"))</f>
        <v>0</v>
      </c>
      <c r="K246" s="31">
        <f>IF(I246="","",COUNTIFS(Bookings!$H$5:$H$404,I246,Bookings!$I$5:$I$404,"&gt;="&amp;PeriodStart,Bookings!$I$5:$I$404,"&lt;="&amp;PeriodEnd,Bookings!$AM$5:$AM$404,"&lt;&gt;Cancelled"))</f>
        <v>0</v>
      </c>
      <c r="L246" s="29">
        <f>IF(I246="","",SUMIFS(Bookings!$AK$5:$AK$404,Bookings!$H$5:$H$404,I246,Bookings!$I$5:$I$404,"&gt;="&amp;RepFrom,Bookings!$I$5:$I$404,"&lt;="&amp;RepTo,Bookings!$AM$5:$AM$404,"&lt;&gt;Cancelled"))</f>
        <v>0</v>
      </c>
      <c r="M246" s="31">
        <f>IF(I246="","",COUNTIFS(Bookings!$H$5:$H$404,I246,Bookings!$I$5:$I$404,"&gt;="&amp;RepFrom,Bookings!$I$5:$I$404,"&lt;="&amp;RepTo,Bookings!$AM$5:$AM$404,"&lt;&gt;Cancelled"))</f>
        <v>0</v>
      </c>
      <c r="N246" s="29">
        <f>IF(I246="","",M246*IF(Services!$L$246="",0,Services!$L$246))</f>
        <v>0</v>
      </c>
      <c r="O246" s="29">
        <f>IF(I246="","",L246-N246)</f>
        <v>0</v>
      </c>
      <c r="P246" s="28">
        <f>IF(Lists!$AG246="","",Lists!$AG246)</f>
        <v>0</v>
      </c>
      <c r="Q246" s="29">
        <f>IF(P246="","",SUMIFS(Expenses!$F$5:$F$304,Expenses!$C$5:$C$304,P246,Expenses!$B$5:$B$304,"&gt;="&amp;PeriodStart,Expenses!$B$5:$B$304,"&lt;="&amp;PeriodEnd,Expenses!$J$5:$J$304,"&lt;&gt;Personal"))</f>
        <v>0</v>
      </c>
      <c r="R246" s="29">
        <f>IF(P246="","",SUMIFS(Expenses!$F$5:$F$304,Expenses!$C$5:$C$304,P246,Expenses!$B$5:$B$304,"&gt;="&amp;RepFrom,Expenses!$B$5:$B$304,"&lt;="&amp;RepTo,Expenses!$J$5:$J$304,"&lt;&gt;Personal"))</f>
        <v>0</v>
      </c>
      <c r="S246" s="21">
        <f>IF(ROW()-4&gt;12,"",DATE(Dash_Year,ROW()-4,1))</f>
        <v>0</v>
      </c>
      <c r="T246" s="21">
        <f>IF(S246="","",EOMONTH(S246,0))</f>
        <v>0</v>
      </c>
      <c r="U246" s="28">
        <f>IF(S246="","",TEXT(S246,"mmm"))</f>
        <v>0</v>
      </c>
      <c r="V246" s="29">
        <f>IF(S246="","",SUMIFS(Payments!$L$5:$L$304,Payments!$B$5:$B$304,"&gt;="&amp;S246,Payments!$B$5:$B$304,"&lt;="&amp;T246))</f>
        <v>0</v>
      </c>
      <c r="W246" s="29">
        <f>IF(S246="","",SUMIFS(Invoices!$O$5:$O$304,Invoices!$B$5:$B$304,"&gt;="&amp;S246,Invoices!$B$5:$B$304,"&lt;="&amp;T246,Invoices!$T$5:$T$304,"&lt;&gt;Cancelled"))</f>
        <v>0</v>
      </c>
      <c r="X246" s="29">
        <f>IF(S246="","",SUMIFS(Expenses!$F$5:$F$304,Expenses!$B$5:$B$304,"&gt;="&amp;S246,Expenses!$B$5:$B$304,"&lt;="&amp;T246,Expenses!$J$5:$J$304,"&lt;&gt;Personal"))</f>
        <v>0</v>
      </c>
      <c r="Y246" s="29">
        <f>IF(S246="","",V246-X246)</f>
        <v>0</v>
      </c>
      <c r="Z246" s="31">
        <f>IF(S246="","",COUNTIFS(Bookings!$I$5:$I$404,"&gt;="&amp;S246,Bookings!$I$5:$I$404,"&lt;="&amp;T246,Bookings!$AM$5:$AM$404,"&lt;&gt;Cancelled"))</f>
        <v>0</v>
      </c>
      <c r="AA246" s="31">
        <f>IF(S246="","",COUNTIFS(Bookings!$I$5:$I$404,"&gt;="&amp;S246,Bookings!$I$5:$I$404,"&lt;="&amp;T246,Bookings!$AM$5:$AM$404,"Completed"))</f>
        <v>0</v>
      </c>
      <c r="AB246" s="31">
        <f>IF(S246="","",COUNTIFS(Bookings!$I$5:$I$404,"&gt;="&amp;S246,Bookings!$I$5:$I$404,"&lt;="&amp;T246,Bookings!$AM$5:$AM$404,"Cancelled"))</f>
        <v>0</v>
      </c>
      <c r="AC246" s="31">
        <f>IF(S246="","",COUNTIFS('Visit Log'!$C$5:$C$404,"&gt;="&amp;S246,'Visit Log'!$C$5:$C$404,"&lt;="&amp;T246,'Visit Log'!$AE$5:$AE$404,"Completed"))</f>
        <v>0</v>
      </c>
      <c r="AD246" s="31">
        <f>IF(S246="","",COUNTIFS(Clients!$L$5:$L$254,"&gt;="&amp;S246,Clients!$L$5:$L$254,"&lt;="&amp;T246))</f>
        <v>0</v>
      </c>
      <c r="AE246" s="32">
        <f>IF(S246="","",SUMIFS(Mileage!$M$5:$M$304,Mileage!$B$5:$B$304,"&gt;="&amp;S246,Mileage!$B$5:$B$304,"&lt;="&amp;T246,Mileage!$N$5:$N$304,"Business"))</f>
        <v>0</v>
      </c>
      <c r="AF246" s="29">
        <f>IF(S246="","",SUMIFS(Payments!$L$5:$L$304,Payments!$B$5:$B$304,"&gt;="&amp;DATE(Dash_Year-1,ROW()-4,1),Payments!$B$5:$B$304,"&lt;="&amp;EOMONTH(DATE(Dash_Year-1,ROW()-4,1),0)))</f>
        <v>0</v>
      </c>
      <c r="AG246" s="28">
        <f>IF(Staff!$B$246="","",Staff!$B$246)</f>
        <v>0</v>
      </c>
      <c r="AH246" s="31">
        <f>IF(AG246="","",COUNTIFS('Visit Log'!$G$5:$G$404,AG246,'Visit Log'!$C$5:$C$404,"&gt;="&amp;RepFrom,'Visit Log'!$C$5:$C$404,"&lt;="&amp;RepTo,'Visit Log'!$AE$5:$AE$404,"Completed"))</f>
        <v>0</v>
      </c>
      <c r="AI246" s="51">
        <f>IF(AG246="","",ROUND(SUMIFS('Visit Log'!$K$5:$K$404,'Visit Log'!$G$5:$G$404,AG246,'Visit Log'!$C$5:$C$404,"&gt;="&amp;RepFrom,'Visit Log'!$C$5:$C$404,"&lt;="&amp;RepTo,'Visit Log'!$AE$5:$AE$404,"Completed")/60,2))</f>
        <v>0</v>
      </c>
      <c r="AJ246" s="29">
        <f>IF(AG246="","",SUMIFS(Bookings!$AK$5:$AK$404,Bookings!$AL$5:$AL$404,AG246,Bookings!$I$5:$I$404,"&gt;="&amp;RepFrom,Bookings!$I$5:$I$404,"&lt;="&amp;RepTo,Bookings!$AM$5:$AM$404,"&lt;&gt;Cancelled"))</f>
        <v>0</v>
      </c>
      <c r="AK246" s="32">
        <f>IF(AG246="","",SUMIFS(Mileage!$M$5:$M$304,Mileage!$C$5:$C$304,AG246,Mileage!$B$5:$B$304,"&gt;="&amp;RepFrom,Mileage!$B$5:$B$304,"&lt;="&amp;RepTo))</f>
        <v>0</v>
      </c>
      <c r="AL246" s="28">
        <f>IF(Lists!$Q246="","",Lists!$Q246)</f>
        <v>0</v>
      </c>
      <c r="AM246" s="31">
        <f>IF(AL246="","",COUNTIFS(Bookings!$AV$5:$AV$404,AL246,Bookings!$I$5:$I$404,"&gt;="&amp;RepFrom,Bookings!$I$5:$I$404,"&lt;="&amp;RepTo))</f>
        <v>0</v>
      </c>
      <c r="AN246" s="28">
        <f>IF(Lists!$AF246="","",Lists!$AF246)</f>
        <v>0</v>
      </c>
      <c r="AO246" s="29">
        <f>IF(AN246="","",SUMIFS(Payments!$L$5:$L$304,Payments!$F$5:$F$304,AN246,Payments!$B$5:$B$304,"&gt;="&amp;RepFrom,Payments!$B$5:$B$304,"&lt;="&amp;RepTo))</f>
        <v>0</v>
      </c>
      <c r="AP246" s="28">
        <f>IF(Lists!$E246="","",Lists!$E246)</f>
        <v>0</v>
      </c>
      <c r="AQ246" s="31">
        <f>IF(AP246="","",COUNTIFS(Clients!$K$5:$K$254,AP246))</f>
        <v>0</v>
      </c>
      <c r="AR246" s="29">
        <f>IF(AP246="","",SUMIFS(Clients!$AE$5:$AE$254,Clients!$K$5:$K$254,AP246))</f>
        <v>0</v>
      </c>
    </row>
    <row r="247" spans="1:44">
      <c r="A247" s="28">
        <f>IF(Clients!$B$247="","",Clients!$B$247)</f>
        <v>0</v>
      </c>
      <c r="B247" s="29">
        <f>IF(A247="","",SUMIFS(Payments!$L$5:$L$304,Payments!$C$5:$C$304,A247,Payments!$B$5:$B$304,"&gt;="&amp;PeriodStart,Payments!$B$5:$B$304,"&lt;="&amp;PeriodEnd))</f>
        <v>0</v>
      </c>
      <c r="C247" s="51">
        <f>IF(A247="","",IF(B247&lt;=0,"",B247+ROW()/1000000))</f>
        <v>0</v>
      </c>
      <c r="D247" s="29">
        <f>IF(A247="","",SUMIFS(Payments!$L$5:$L$304,Payments!$C$5:$C$304,A247,Payments!$B$5:$B$304,"&gt;="&amp;RepFrom,Payments!$B$5:$B$304,"&lt;="&amp;RepTo))</f>
        <v>0</v>
      </c>
      <c r="E247" s="51">
        <f>IF(A247="","",IF(D247&lt;=0,"",D247+ROW()/1000000))</f>
        <v>0</v>
      </c>
      <c r="F247" s="29">
        <f>IF(A247="","",SUMIFS(Invoices!$S$5:$S$304,Invoices!$D$5:$D$304,A247,Invoices!$T$5:$T$304,"&lt;&gt;Cancelled"))</f>
        <v>0</v>
      </c>
      <c r="G247" s="51">
        <f>IF(A247="","",IF(F247&lt;=0.004,"",F247+ROW()/1000000))</f>
        <v>0</v>
      </c>
      <c r="H247" s="31">
        <f>IF(A247="","",COUNTIFS(Bookings!$C$5:$C$404,A247,Bookings!$I$5:$I$404,"&gt;="&amp;RepFrom,Bookings!$I$5:$I$404,"&lt;="&amp;RepTo,Bookings!$AM$5:$AM$404,"&lt;&gt;Cancelled"))</f>
        <v>0</v>
      </c>
      <c r="I247" s="28">
        <f>IF(Services!$B$247="","",Services!$B$247)</f>
        <v>0</v>
      </c>
      <c r="J247" s="29">
        <f>IF(I247="","",SUMIFS(Bookings!$AK$5:$AK$404,Bookings!$H$5:$H$404,I247,Bookings!$I$5:$I$404,"&gt;="&amp;PeriodStart,Bookings!$I$5:$I$404,"&lt;="&amp;PeriodEnd,Bookings!$AM$5:$AM$404,"&lt;&gt;Cancelled"))</f>
        <v>0</v>
      </c>
      <c r="K247" s="31">
        <f>IF(I247="","",COUNTIFS(Bookings!$H$5:$H$404,I247,Bookings!$I$5:$I$404,"&gt;="&amp;PeriodStart,Bookings!$I$5:$I$404,"&lt;="&amp;PeriodEnd,Bookings!$AM$5:$AM$404,"&lt;&gt;Cancelled"))</f>
        <v>0</v>
      </c>
      <c r="L247" s="29">
        <f>IF(I247="","",SUMIFS(Bookings!$AK$5:$AK$404,Bookings!$H$5:$H$404,I247,Bookings!$I$5:$I$404,"&gt;="&amp;RepFrom,Bookings!$I$5:$I$404,"&lt;="&amp;RepTo,Bookings!$AM$5:$AM$404,"&lt;&gt;Cancelled"))</f>
        <v>0</v>
      </c>
      <c r="M247" s="31">
        <f>IF(I247="","",COUNTIFS(Bookings!$H$5:$H$404,I247,Bookings!$I$5:$I$404,"&gt;="&amp;RepFrom,Bookings!$I$5:$I$404,"&lt;="&amp;RepTo,Bookings!$AM$5:$AM$404,"&lt;&gt;Cancelled"))</f>
        <v>0</v>
      </c>
      <c r="N247" s="29">
        <f>IF(I247="","",M247*IF(Services!$L$247="",0,Services!$L$247))</f>
        <v>0</v>
      </c>
      <c r="O247" s="29">
        <f>IF(I247="","",L247-N247)</f>
        <v>0</v>
      </c>
      <c r="P247" s="28">
        <f>IF(Lists!$AG247="","",Lists!$AG247)</f>
        <v>0</v>
      </c>
      <c r="Q247" s="29">
        <f>IF(P247="","",SUMIFS(Expenses!$F$5:$F$304,Expenses!$C$5:$C$304,P247,Expenses!$B$5:$B$304,"&gt;="&amp;PeriodStart,Expenses!$B$5:$B$304,"&lt;="&amp;PeriodEnd,Expenses!$J$5:$J$304,"&lt;&gt;Personal"))</f>
        <v>0</v>
      </c>
      <c r="R247" s="29">
        <f>IF(P247="","",SUMIFS(Expenses!$F$5:$F$304,Expenses!$C$5:$C$304,P247,Expenses!$B$5:$B$304,"&gt;="&amp;RepFrom,Expenses!$B$5:$B$304,"&lt;="&amp;RepTo,Expenses!$J$5:$J$304,"&lt;&gt;Personal"))</f>
        <v>0</v>
      </c>
      <c r="S247" s="21">
        <f>IF(ROW()-4&gt;12,"",DATE(Dash_Year,ROW()-4,1))</f>
        <v>0</v>
      </c>
      <c r="T247" s="21">
        <f>IF(S247="","",EOMONTH(S247,0))</f>
        <v>0</v>
      </c>
      <c r="U247" s="28">
        <f>IF(S247="","",TEXT(S247,"mmm"))</f>
        <v>0</v>
      </c>
      <c r="V247" s="29">
        <f>IF(S247="","",SUMIFS(Payments!$L$5:$L$304,Payments!$B$5:$B$304,"&gt;="&amp;S247,Payments!$B$5:$B$304,"&lt;="&amp;T247))</f>
        <v>0</v>
      </c>
      <c r="W247" s="29">
        <f>IF(S247="","",SUMIFS(Invoices!$O$5:$O$304,Invoices!$B$5:$B$304,"&gt;="&amp;S247,Invoices!$B$5:$B$304,"&lt;="&amp;T247,Invoices!$T$5:$T$304,"&lt;&gt;Cancelled"))</f>
        <v>0</v>
      </c>
      <c r="X247" s="29">
        <f>IF(S247="","",SUMIFS(Expenses!$F$5:$F$304,Expenses!$B$5:$B$304,"&gt;="&amp;S247,Expenses!$B$5:$B$304,"&lt;="&amp;T247,Expenses!$J$5:$J$304,"&lt;&gt;Personal"))</f>
        <v>0</v>
      </c>
      <c r="Y247" s="29">
        <f>IF(S247="","",V247-X247)</f>
        <v>0</v>
      </c>
      <c r="Z247" s="31">
        <f>IF(S247="","",COUNTIFS(Bookings!$I$5:$I$404,"&gt;="&amp;S247,Bookings!$I$5:$I$404,"&lt;="&amp;T247,Bookings!$AM$5:$AM$404,"&lt;&gt;Cancelled"))</f>
        <v>0</v>
      </c>
      <c r="AA247" s="31">
        <f>IF(S247="","",COUNTIFS(Bookings!$I$5:$I$404,"&gt;="&amp;S247,Bookings!$I$5:$I$404,"&lt;="&amp;T247,Bookings!$AM$5:$AM$404,"Completed"))</f>
        <v>0</v>
      </c>
      <c r="AB247" s="31">
        <f>IF(S247="","",COUNTIFS(Bookings!$I$5:$I$404,"&gt;="&amp;S247,Bookings!$I$5:$I$404,"&lt;="&amp;T247,Bookings!$AM$5:$AM$404,"Cancelled"))</f>
        <v>0</v>
      </c>
      <c r="AC247" s="31">
        <f>IF(S247="","",COUNTIFS('Visit Log'!$C$5:$C$404,"&gt;="&amp;S247,'Visit Log'!$C$5:$C$404,"&lt;="&amp;T247,'Visit Log'!$AE$5:$AE$404,"Completed"))</f>
        <v>0</v>
      </c>
      <c r="AD247" s="31">
        <f>IF(S247="","",COUNTIFS(Clients!$L$5:$L$254,"&gt;="&amp;S247,Clients!$L$5:$L$254,"&lt;="&amp;T247))</f>
        <v>0</v>
      </c>
      <c r="AE247" s="32">
        <f>IF(S247="","",SUMIFS(Mileage!$M$5:$M$304,Mileage!$B$5:$B$304,"&gt;="&amp;S247,Mileage!$B$5:$B$304,"&lt;="&amp;T247,Mileage!$N$5:$N$304,"Business"))</f>
        <v>0</v>
      </c>
      <c r="AF247" s="29">
        <f>IF(S247="","",SUMIFS(Payments!$L$5:$L$304,Payments!$B$5:$B$304,"&gt;="&amp;DATE(Dash_Year-1,ROW()-4,1),Payments!$B$5:$B$304,"&lt;="&amp;EOMONTH(DATE(Dash_Year-1,ROW()-4,1),0)))</f>
        <v>0</v>
      </c>
      <c r="AG247" s="28">
        <f>IF(Staff!$B$247="","",Staff!$B$247)</f>
        <v>0</v>
      </c>
      <c r="AH247" s="31">
        <f>IF(AG247="","",COUNTIFS('Visit Log'!$G$5:$G$404,AG247,'Visit Log'!$C$5:$C$404,"&gt;="&amp;RepFrom,'Visit Log'!$C$5:$C$404,"&lt;="&amp;RepTo,'Visit Log'!$AE$5:$AE$404,"Completed"))</f>
        <v>0</v>
      </c>
      <c r="AI247" s="51">
        <f>IF(AG247="","",ROUND(SUMIFS('Visit Log'!$K$5:$K$404,'Visit Log'!$G$5:$G$404,AG247,'Visit Log'!$C$5:$C$404,"&gt;="&amp;RepFrom,'Visit Log'!$C$5:$C$404,"&lt;="&amp;RepTo,'Visit Log'!$AE$5:$AE$404,"Completed")/60,2))</f>
        <v>0</v>
      </c>
      <c r="AJ247" s="29">
        <f>IF(AG247="","",SUMIFS(Bookings!$AK$5:$AK$404,Bookings!$AL$5:$AL$404,AG247,Bookings!$I$5:$I$404,"&gt;="&amp;RepFrom,Bookings!$I$5:$I$404,"&lt;="&amp;RepTo,Bookings!$AM$5:$AM$404,"&lt;&gt;Cancelled"))</f>
        <v>0</v>
      </c>
      <c r="AK247" s="32">
        <f>IF(AG247="","",SUMIFS(Mileage!$M$5:$M$304,Mileage!$C$5:$C$304,AG247,Mileage!$B$5:$B$304,"&gt;="&amp;RepFrom,Mileage!$B$5:$B$304,"&lt;="&amp;RepTo))</f>
        <v>0</v>
      </c>
      <c r="AL247" s="28">
        <f>IF(Lists!$Q247="","",Lists!$Q247)</f>
        <v>0</v>
      </c>
      <c r="AM247" s="31">
        <f>IF(AL247="","",COUNTIFS(Bookings!$AV$5:$AV$404,AL247,Bookings!$I$5:$I$404,"&gt;="&amp;RepFrom,Bookings!$I$5:$I$404,"&lt;="&amp;RepTo))</f>
        <v>0</v>
      </c>
      <c r="AN247" s="28">
        <f>IF(Lists!$AF247="","",Lists!$AF247)</f>
        <v>0</v>
      </c>
      <c r="AO247" s="29">
        <f>IF(AN247="","",SUMIFS(Payments!$L$5:$L$304,Payments!$F$5:$F$304,AN247,Payments!$B$5:$B$304,"&gt;="&amp;RepFrom,Payments!$B$5:$B$304,"&lt;="&amp;RepTo))</f>
        <v>0</v>
      </c>
      <c r="AP247" s="28">
        <f>IF(Lists!$E247="","",Lists!$E247)</f>
        <v>0</v>
      </c>
      <c r="AQ247" s="31">
        <f>IF(AP247="","",COUNTIFS(Clients!$K$5:$K$254,AP247))</f>
        <v>0</v>
      </c>
      <c r="AR247" s="29">
        <f>IF(AP247="","",SUMIFS(Clients!$AE$5:$AE$254,Clients!$K$5:$K$254,AP247))</f>
        <v>0</v>
      </c>
    </row>
    <row r="248" spans="1:44">
      <c r="A248" s="28">
        <f>IF(Clients!$B$248="","",Clients!$B$248)</f>
        <v>0</v>
      </c>
      <c r="B248" s="29">
        <f>IF(A248="","",SUMIFS(Payments!$L$5:$L$304,Payments!$C$5:$C$304,A248,Payments!$B$5:$B$304,"&gt;="&amp;PeriodStart,Payments!$B$5:$B$304,"&lt;="&amp;PeriodEnd))</f>
        <v>0</v>
      </c>
      <c r="C248" s="51">
        <f>IF(A248="","",IF(B248&lt;=0,"",B248+ROW()/1000000))</f>
        <v>0</v>
      </c>
      <c r="D248" s="29">
        <f>IF(A248="","",SUMIFS(Payments!$L$5:$L$304,Payments!$C$5:$C$304,A248,Payments!$B$5:$B$304,"&gt;="&amp;RepFrom,Payments!$B$5:$B$304,"&lt;="&amp;RepTo))</f>
        <v>0</v>
      </c>
      <c r="E248" s="51">
        <f>IF(A248="","",IF(D248&lt;=0,"",D248+ROW()/1000000))</f>
        <v>0</v>
      </c>
      <c r="F248" s="29">
        <f>IF(A248="","",SUMIFS(Invoices!$S$5:$S$304,Invoices!$D$5:$D$304,A248,Invoices!$T$5:$T$304,"&lt;&gt;Cancelled"))</f>
        <v>0</v>
      </c>
      <c r="G248" s="51">
        <f>IF(A248="","",IF(F248&lt;=0.004,"",F248+ROW()/1000000))</f>
        <v>0</v>
      </c>
      <c r="H248" s="31">
        <f>IF(A248="","",COUNTIFS(Bookings!$C$5:$C$404,A248,Bookings!$I$5:$I$404,"&gt;="&amp;RepFrom,Bookings!$I$5:$I$404,"&lt;="&amp;RepTo,Bookings!$AM$5:$AM$404,"&lt;&gt;Cancelled"))</f>
        <v>0</v>
      </c>
      <c r="I248" s="28">
        <f>IF(Services!$B$248="","",Services!$B$248)</f>
        <v>0</v>
      </c>
      <c r="J248" s="29">
        <f>IF(I248="","",SUMIFS(Bookings!$AK$5:$AK$404,Bookings!$H$5:$H$404,I248,Bookings!$I$5:$I$404,"&gt;="&amp;PeriodStart,Bookings!$I$5:$I$404,"&lt;="&amp;PeriodEnd,Bookings!$AM$5:$AM$404,"&lt;&gt;Cancelled"))</f>
        <v>0</v>
      </c>
      <c r="K248" s="31">
        <f>IF(I248="","",COUNTIFS(Bookings!$H$5:$H$404,I248,Bookings!$I$5:$I$404,"&gt;="&amp;PeriodStart,Bookings!$I$5:$I$404,"&lt;="&amp;PeriodEnd,Bookings!$AM$5:$AM$404,"&lt;&gt;Cancelled"))</f>
        <v>0</v>
      </c>
      <c r="L248" s="29">
        <f>IF(I248="","",SUMIFS(Bookings!$AK$5:$AK$404,Bookings!$H$5:$H$404,I248,Bookings!$I$5:$I$404,"&gt;="&amp;RepFrom,Bookings!$I$5:$I$404,"&lt;="&amp;RepTo,Bookings!$AM$5:$AM$404,"&lt;&gt;Cancelled"))</f>
        <v>0</v>
      </c>
      <c r="M248" s="31">
        <f>IF(I248="","",COUNTIFS(Bookings!$H$5:$H$404,I248,Bookings!$I$5:$I$404,"&gt;="&amp;RepFrom,Bookings!$I$5:$I$404,"&lt;="&amp;RepTo,Bookings!$AM$5:$AM$404,"&lt;&gt;Cancelled"))</f>
        <v>0</v>
      </c>
      <c r="N248" s="29">
        <f>IF(I248="","",M248*IF(Services!$L$248="",0,Services!$L$248))</f>
        <v>0</v>
      </c>
      <c r="O248" s="29">
        <f>IF(I248="","",L248-N248)</f>
        <v>0</v>
      </c>
      <c r="P248" s="28">
        <f>IF(Lists!$AG248="","",Lists!$AG248)</f>
        <v>0</v>
      </c>
      <c r="Q248" s="29">
        <f>IF(P248="","",SUMIFS(Expenses!$F$5:$F$304,Expenses!$C$5:$C$304,P248,Expenses!$B$5:$B$304,"&gt;="&amp;PeriodStart,Expenses!$B$5:$B$304,"&lt;="&amp;PeriodEnd,Expenses!$J$5:$J$304,"&lt;&gt;Personal"))</f>
        <v>0</v>
      </c>
      <c r="R248" s="29">
        <f>IF(P248="","",SUMIFS(Expenses!$F$5:$F$304,Expenses!$C$5:$C$304,P248,Expenses!$B$5:$B$304,"&gt;="&amp;RepFrom,Expenses!$B$5:$B$304,"&lt;="&amp;RepTo,Expenses!$J$5:$J$304,"&lt;&gt;Personal"))</f>
        <v>0</v>
      </c>
      <c r="S248" s="21">
        <f>IF(ROW()-4&gt;12,"",DATE(Dash_Year,ROW()-4,1))</f>
        <v>0</v>
      </c>
      <c r="T248" s="21">
        <f>IF(S248="","",EOMONTH(S248,0))</f>
        <v>0</v>
      </c>
      <c r="U248" s="28">
        <f>IF(S248="","",TEXT(S248,"mmm"))</f>
        <v>0</v>
      </c>
      <c r="V248" s="29">
        <f>IF(S248="","",SUMIFS(Payments!$L$5:$L$304,Payments!$B$5:$B$304,"&gt;="&amp;S248,Payments!$B$5:$B$304,"&lt;="&amp;T248))</f>
        <v>0</v>
      </c>
      <c r="W248" s="29">
        <f>IF(S248="","",SUMIFS(Invoices!$O$5:$O$304,Invoices!$B$5:$B$304,"&gt;="&amp;S248,Invoices!$B$5:$B$304,"&lt;="&amp;T248,Invoices!$T$5:$T$304,"&lt;&gt;Cancelled"))</f>
        <v>0</v>
      </c>
      <c r="X248" s="29">
        <f>IF(S248="","",SUMIFS(Expenses!$F$5:$F$304,Expenses!$B$5:$B$304,"&gt;="&amp;S248,Expenses!$B$5:$B$304,"&lt;="&amp;T248,Expenses!$J$5:$J$304,"&lt;&gt;Personal"))</f>
        <v>0</v>
      </c>
      <c r="Y248" s="29">
        <f>IF(S248="","",V248-X248)</f>
        <v>0</v>
      </c>
      <c r="Z248" s="31">
        <f>IF(S248="","",COUNTIFS(Bookings!$I$5:$I$404,"&gt;="&amp;S248,Bookings!$I$5:$I$404,"&lt;="&amp;T248,Bookings!$AM$5:$AM$404,"&lt;&gt;Cancelled"))</f>
        <v>0</v>
      </c>
      <c r="AA248" s="31">
        <f>IF(S248="","",COUNTIFS(Bookings!$I$5:$I$404,"&gt;="&amp;S248,Bookings!$I$5:$I$404,"&lt;="&amp;T248,Bookings!$AM$5:$AM$404,"Completed"))</f>
        <v>0</v>
      </c>
      <c r="AB248" s="31">
        <f>IF(S248="","",COUNTIFS(Bookings!$I$5:$I$404,"&gt;="&amp;S248,Bookings!$I$5:$I$404,"&lt;="&amp;T248,Bookings!$AM$5:$AM$404,"Cancelled"))</f>
        <v>0</v>
      </c>
      <c r="AC248" s="31">
        <f>IF(S248="","",COUNTIFS('Visit Log'!$C$5:$C$404,"&gt;="&amp;S248,'Visit Log'!$C$5:$C$404,"&lt;="&amp;T248,'Visit Log'!$AE$5:$AE$404,"Completed"))</f>
        <v>0</v>
      </c>
      <c r="AD248" s="31">
        <f>IF(S248="","",COUNTIFS(Clients!$L$5:$L$254,"&gt;="&amp;S248,Clients!$L$5:$L$254,"&lt;="&amp;T248))</f>
        <v>0</v>
      </c>
      <c r="AE248" s="32">
        <f>IF(S248="","",SUMIFS(Mileage!$M$5:$M$304,Mileage!$B$5:$B$304,"&gt;="&amp;S248,Mileage!$B$5:$B$304,"&lt;="&amp;T248,Mileage!$N$5:$N$304,"Business"))</f>
        <v>0</v>
      </c>
      <c r="AF248" s="29">
        <f>IF(S248="","",SUMIFS(Payments!$L$5:$L$304,Payments!$B$5:$B$304,"&gt;="&amp;DATE(Dash_Year-1,ROW()-4,1),Payments!$B$5:$B$304,"&lt;="&amp;EOMONTH(DATE(Dash_Year-1,ROW()-4,1),0)))</f>
        <v>0</v>
      </c>
      <c r="AG248" s="28">
        <f>IF(Staff!$B$248="","",Staff!$B$248)</f>
        <v>0</v>
      </c>
      <c r="AH248" s="31">
        <f>IF(AG248="","",COUNTIFS('Visit Log'!$G$5:$G$404,AG248,'Visit Log'!$C$5:$C$404,"&gt;="&amp;RepFrom,'Visit Log'!$C$5:$C$404,"&lt;="&amp;RepTo,'Visit Log'!$AE$5:$AE$404,"Completed"))</f>
        <v>0</v>
      </c>
      <c r="AI248" s="51">
        <f>IF(AG248="","",ROUND(SUMIFS('Visit Log'!$K$5:$K$404,'Visit Log'!$G$5:$G$404,AG248,'Visit Log'!$C$5:$C$404,"&gt;="&amp;RepFrom,'Visit Log'!$C$5:$C$404,"&lt;="&amp;RepTo,'Visit Log'!$AE$5:$AE$404,"Completed")/60,2))</f>
        <v>0</v>
      </c>
      <c r="AJ248" s="29">
        <f>IF(AG248="","",SUMIFS(Bookings!$AK$5:$AK$404,Bookings!$AL$5:$AL$404,AG248,Bookings!$I$5:$I$404,"&gt;="&amp;RepFrom,Bookings!$I$5:$I$404,"&lt;="&amp;RepTo,Bookings!$AM$5:$AM$404,"&lt;&gt;Cancelled"))</f>
        <v>0</v>
      </c>
      <c r="AK248" s="32">
        <f>IF(AG248="","",SUMIFS(Mileage!$M$5:$M$304,Mileage!$C$5:$C$304,AG248,Mileage!$B$5:$B$304,"&gt;="&amp;RepFrom,Mileage!$B$5:$B$304,"&lt;="&amp;RepTo))</f>
        <v>0</v>
      </c>
      <c r="AL248" s="28">
        <f>IF(Lists!$Q248="","",Lists!$Q248)</f>
        <v>0</v>
      </c>
      <c r="AM248" s="31">
        <f>IF(AL248="","",COUNTIFS(Bookings!$AV$5:$AV$404,AL248,Bookings!$I$5:$I$404,"&gt;="&amp;RepFrom,Bookings!$I$5:$I$404,"&lt;="&amp;RepTo))</f>
        <v>0</v>
      </c>
      <c r="AN248" s="28">
        <f>IF(Lists!$AF248="","",Lists!$AF248)</f>
        <v>0</v>
      </c>
      <c r="AO248" s="29">
        <f>IF(AN248="","",SUMIFS(Payments!$L$5:$L$304,Payments!$F$5:$F$304,AN248,Payments!$B$5:$B$304,"&gt;="&amp;RepFrom,Payments!$B$5:$B$304,"&lt;="&amp;RepTo))</f>
        <v>0</v>
      </c>
      <c r="AP248" s="28">
        <f>IF(Lists!$E248="","",Lists!$E248)</f>
        <v>0</v>
      </c>
      <c r="AQ248" s="31">
        <f>IF(AP248="","",COUNTIFS(Clients!$K$5:$K$254,AP248))</f>
        <v>0</v>
      </c>
      <c r="AR248" s="29">
        <f>IF(AP248="","",SUMIFS(Clients!$AE$5:$AE$254,Clients!$K$5:$K$254,AP248))</f>
        <v>0</v>
      </c>
    </row>
    <row r="249" spans="1:44">
      <c r="A249" s="28">
        <f>IF(Clients!$B$249="","",Clients!$B$249)</f>
        <v>0</v>
      </c>
      <c r="B249" s="29">
        <f>IF(A249="","",SUMIFS(Payments!$L$5:$L$304,Payments!$C$5:$C$304,A249,Payments!$B$5:$B$304,"&gt;="&amp;PeriodStart,Payments!$B$5:$B$304,"&lt;="&amp;PeriodEnd))</f>
        <v>0</v>
      </c>
      <c r="C249" s="51">
        <f>IF(A249="","",IF(B249&lt;=0,"",B249+ROW()/1000000))</f>
        <v>0</v>
      </c>
      <c r="D249" s="29">
        <f>IF(A249="","",SUMIFS(Payments!$L$5:$L$304,Payments!$C$5:$C$304,A249,Payments!$B$5:$B$304,"&gt;="&amp;RepFrom,Payments!$B$5:$B$304,"&lt;="&amp;RepTo))</f>
        <v>0</v>
      </c>
      <c r="E249" s="51">
        <f>IF(A249="","",IF(D249&lt;=0,"",D249+ROW()/1000000))</f>
        <v>0</v>
      </c>
      <c r="F249" s="29">
        <f>IF(A249="","",SUMIFS(Invoices!$S$5:$S$304,Invoices!$D$5:$D$304,A249,Invoices!$T$5:$T$304,"&lt;&gt;Cancelled"))</f>
        <v>0</v>
      </c>
      <c r="G249" s="51">
        <f>IF(A249="","",IF(F249&lt;=0.004,"",F249+ROW()/1000000))</f>
        <v>0</v>
      </c>
      <c r="H249" s="31">
        <f>IF(A249="","",COUNTIFS(Bookings!$C$5:$C$404,A249,Bookings!$I$5:$I$404,"&gt;="&amp;RepFrom,Bookings!$I$5:$I$404,"&lt;="&amp;RepTo,Bookings!$AM$5:$AM$404,"&lt;&gt;Cancelled"))</f>
        <v>0</v>
      </c>
      <c r="I249" s="28">
        <f>IF(Services!$B$249="","",Services!$B$249)</f>
        <v>0</v>
      </c>
      <c r="J249" s="29">
        <f>IF(I249="","",SUMIFS(Bookings!$AK$5:$AK$404,Bookings!$H$5:$H$404,I249,Bookings!$I$5:$I$404,"&gt;="&amp;PeriodStart,Bookings!$I$5:$I$404,"&lt;="&amp;PeriodEnd,Bookings!$AM$5:$AM$404,"&lt;&gt;Cancelled"))</f>
        <v>0</v>
      </c>
      <c r="K249" s="31">
        <f>IF(I249="","",COUNTIFS(Bookings!$H$5:$H$404,I249,Bookings!$I$5:$I$404,"&gt;="&amp;PeriodStart,Bookings!$I$5:$I$404,"&lt;="&amp;PeriodEnd,Bookings!$AM$5:$AM$404,"&lt;&gt;Cancelled"))</f>
        <v>0</v>
      </c>
      <c r="L249" s="29">
        <f>IF(I249="","",SUMIFS(Bookings!$AK$5:$AK$404,Bookings!$H$5:$H$404,I249,Bookings!$I$5:$I$404,"&gt;="&amp;RepFrom,Bookings!$I$5:$I$404,"&lt;="&amp;RepTo,Bookings!$AM$5:$AM$404,"&lt;&gt;Cancelled"))</f>
        <v>0</v>
      </c>
      <c r="M249" s="31">
        <f>IF(I249="","",COUNTIFS(Bookings!$H$5:$H$404,I249,Bookings!$I$5:$I$404,"&gt;="&amp;RepFrom,Bookings!$I$5:$I$404,"&lt;="&amp;RepTo,Bookings!$AM$5:$AM$404,"&lt;&gt;Cancelled"))</f>
        <v>0</v>
      </c>
      <c r="N249" s="29">
        <f>IF(I249="","",M249*IF(Services!$L$249="",0,Services!$L$249))</f>
        <v>0</v>
      </c>
      <c r="O249" s="29">
        <f>IF(I249="","",L249-N249)</f>
        <v>0</v>
      </c>
      <c r="P249" s="28">
        <f>IF(Lists!$AG249="","",Lists!$AG249)</f>
        <v>0</v>
      </c>
      <c r="Q249" s="29">
        <f>IF(P249="","",SUMIFS(Expenses!$F$5:$F$304,Expenses!$C$5:$C$304,P249,Expenses!$B$5:$B$304,"&gt;="&amp;PeriodStart,Expenses!$B$5:$B$304,"&lt;="&amp;PeriodEnd,Expenses!$J$5:$J$304,"&lt;&gt;Personal"))</f>
        <v>0</v>
      </c>
      <c r="R249" s="29">
        <f>IF(P249="","",SUMIFS(Expenses!$F$5:$F$304,Expenses!$C$5:$C$304,P249,Expenses!$B$5:$B$304,"&gt;="&amp;RepFrom,Expenses!$B$5:$B$304,"&lt;="&amp;RepTo,Expenses!$J$5:$J$304,"&lt;&gt;Personal"))</f>
        <v>0</v>
      </c>
      <c r="S249" s="21">
        <f>IF(ROW()-4&gt;12,"",DATE(Dash_Year,ROW()-4,1))</f>
        <v>0</v>
      </c>
      <c r="T249" s="21">
        <f>IF(S249="","",EOMONTH(S249,0))</f>
        <v>0</v>
      </c>
      <c r="U249" s="28">
        <f>IF(S249="","",TEXT(S249,"mmm"))</f>
        <v>0</v>
      </c>
      <c r="V249" s="29">
        <f>IF(S249="","",SUMIFS(Payments!$L$5:$L$304,Payments!$B$5:$B$304,"&gt;="&amp;S249,Payments!$B$5:$B$304,"&lt;="&amp;T249))</f>
        <v>0</v>
      </c>
      <c r="W249" s="29">
        <f>IF(S249="","",SUMIFS(Invoices!$O$5:$O$304,Invoices!$B$5:$B$304,"&gt;="&amp;S249,Invoices!$B$5:$B$304,"&lt;="&amp;T249,Invoices!$T$5:$T$304,"&lt;&gt;Cancelled"))</f>
        <v>0</v>
      </c>
      <c r="X249" s="29">
        <f>IF(S249="","",SUMIFS(Expenses!$F$5:$F$304,Expenses!$B$5:$B$304,"&gt;="&amp;S249,Expenses!$B$5:$B$304,"&lt;="&amp;T249,Expenses!$J$5:$J$304,"&lt;&gt;Personal"))</f>
        <v>0</v>
      </c>
      <c r="Y249" s="29">
        <f>IF(S249="","",V249-X249)</f>
        <v>0</v>
      </c>
      <c r="Z249" s="31">
        <f>IF(S249="","",COUNTIFS(Bookings!$I$5:$I$404,"&gt;="&amp;S249,Bookings!$I$5:$I$404,"&lt;="&amp;T249,Bookings!$AM$5:$AM$404,"&lt;&gt;Cancelled"))</f>
        <v>0</v>
      </c>
      <c r="AA249" s="31">
        <f>IF(S249="","",COUNTIFS(Bookings!$I$5:$I$404,"&gt;="&amp;S249,Bookings!$I$5:$I$404,"&lt;="&amp;T249,Bookings!$AM$5:$AM$404,"Completed"))</f>
        <v>0</v>
      </c>
      <c r="AB249" s="31">
        <f>IF(S249="","",COUNTIFS(Bookings!$I$5:$I$404,"&gt;="&amp;S249,Bookings!$I$5:$I$404,"&lt;="&amp;T249,Bookings!$AM$5:$AM$404,"Cancelled"))</f>
        <v>0</v>
      </c>
      <c r="AC249" s="31">
        <f>IF(S249="","",COUNTIFS('Visit Log'!$C$5:$C$404,"&gt;="&amp;S249,'Visit Log'!$C$5:$C$404,"&lt;="&amp;T249,'Visit Log'!$AE$5:$AE$404,"Completed"))</f>
        <v>0</v>
      </c>
      <c r="AD249" s="31">
        <f>IF(S249="","",COUNTIFS(Clients!$L$5:$L$254,"&gt;="&amp;S249,Clients!$L$5:$L$254,"&lt;="&amp;T249))</f>
        <v>0</v>
      </c>
      <c r="AE249" s="32">
        <f>IF(S249="","",SUMIFS(Mileage!$M$5:$M$304,Mileage!$B$5:$B$304,"&gt;="&amp;S249,Mileage!$B$5:$B$304,"&lt;="&amp;T249,Mileage!$N$5:$N$304,"Business"))</f>
        <v>0</v>
      </c>
      <c r="AF249" s="29">
        <f>IF(S249="","",SUMIFS(Payments!$L$5:$L$304,Payments!$B$5:$B$304,"&gt;="&amp;DATE(Dash_Year-1,ROW()-4,1),Payments!$B$5:$B$304,"&lt;="&amp;EOMONTH(DATE(Dash_Year-1,ROW()-4,1),0)))</f>
        <v>0</v>
      </c>
      <c r="AG249" s="28">
        <f>IF(Staff!$B$249="","",Staff!$B$249)</f>
        <v>0</v>
      </c>
      <c r="AH249" s="31">
        <f>IF(AG249="","",COUNTIFS('Visit Log'!$G$5:$G$404,AG249,'Visit Log'!$C$5:$C$404,"&gt;="&amp;RepFrom,'Visit Log'!$C$5:$C$404,"&lt;="&amp;RepTo,'Visit Log'!$AE$5:$AE$404,"Completed"))</f>
        <v>0</v>
      </c>
      <c r="AI249" s="51">
        <f>IF(AG249="","",ROUND(SUMIFS('Visit Log'!$K$5:$K$404,'Visit Log'!$G$5:$G$404,AG249,'Visit Log'!$C$5:$C$404,"&gt;="&amp;RepFrom,'Visit Log'!$C$5:$C$404,"&lt;="&amp;RepTo,'Visit Log'!$AE$5:$AE$404,"Completed")/60,2))</f>
        <v>0</v>
      </c>
      <c r="AJ249" s="29">
        <f>IF(AG249="","",SUMIFS(Bookings!$AK$5:$AK$404,Bookings!$AL$5:$AL$404,AG249,Bookings!$I$5:$I$404,"&gt;="&amp;RepFrom,Bookings!$I$5:$I$404,"&lt;="&amp;RepTo,Bookings!$AM$5:$AM$404,"&lt;&gt;Cancelled"))</f>
        <v>0</v>
      </c>
      <c r="AK249" s="32">
        <f>IF(AG249="","",SUMIFS(Mileage!$M$5:$M$304,Mileage!$C$5:$C$304,AG249,Mileage!$B$5:$B$304,"&gt;="&amp;RepFrom,Mileage!$B$5:$B$304,"&lt;="&amp;RepTo))</f>
        <v>0</v>
      </c>
      <c r="AL249" s="28">
        <f>IF(Lists!$Q249="","",Lists!$Q249)</f>
        <v>0</v>
      </c>
      <c r="AM249" s="31">
        <f>IF(AL249="","",COUNTIFS(Bookings!$AV$5:$AV$404,AL249,Bookings!$I$5:$I$404,"&gt;="&amp;RepFrom,Bookings!$I$5:$I$404,"&lt;="&amp;RepTo))</f>
        <v>0</v>
      </c>
      <c r="AN249" s="28">
        <f>IF(Lists!$AF249="","",Lists!$AF249)</f>
        <v>0</v>
      </c>
      <c r="AO249" s="29">
        <f>IF(AN249="","",SUMIFS(Payments!$L$5:$L$304,Payments!$F$5:$F$304,AN249,Payments!$B$5:$B$304,"&gt;="&amp;RepFrom,Payments!$B$5:$B$304,"&lt;="&amp;RepTo))</f>
        <v>0</v>
      </c>
      <c r="AP249" s="28">
        <f>IF(Lists!$E249="","",Lists!$E249)</f>
        <v>0</v>
      </c>
      <c r="AQ249" s="31">
        <f>IF(AP249="","",COUNTIFS(Clients!$K$5:$K$254,AP249))</f>
        <v>0</v>
      </c>
      <c r="AR249" s="29">
        <f>IF(AP249="","",SUMIFS(Clients!$AE$5:$AE$254,Clients!$K$5:$K$254,AP249))</f>
        <v>0</v>
      </c>
    </row>
    <row r="250" spans="1:44">
      <c r="A250" s="28">
        <f>IF(Clients!$B$250="","",Clients!$B$250)</f>
        <v>0</v>
      </c>
      <c r="B250" s="29">
        <f>IF(A250="","",SUMIFS(Payments!$L$5:$L$304,Payments!$C$5:$C$304,A250,Payments!$B$5:$B$304,"&gt;="&amp;PeriodStart,Payments!$B$5:$B$304,"&lt;="&amp;PeriodEnd))</f>
        <v>0</v>
      </c>
      <c r="C250" s="51">
        <f>IF(A250="","",IF(B250&lt;=0,"",B250+ROW()/1000000))</f>
        <v>0</v>
      </c>
      <c r="D250" s="29">
        <f>IF(A250="","",SUMIFS(Payments!$L$5:$L$304,Payments!$C$5:$C$304,A250,Payments!$B$5:$B$304,"&gt;="&amp;RepFrom,Payments!$B$5:$B$304,"&lt;="&amp;RepTo))</f>
        <v>0</v>
      </c>
      <c r="E250" s="51">
        <f>IF(A250="","",IF(D250&lt;=0,"",D250+ROW()/1000000))</f>
        <v>0</v>
      </c>
      <c r="F250" s="29">
        <f>IF(A250="","",SUMIFS(Invoices!$S$5:$S$304,Invoices!$D$5:$D$304,A250,Invoices!$T$5:$T$304,"&lt;&gt;Cancelled"))</f>
        <v>0</v>
      </c>
      <c r="G250" s="51">
        <f>IF(A250="","",IF(F250&lt;=0.004,"",F250+ROW()/1000000))</f>
        <v>0</v>
      </c>
      <c r="H250" s="31">
        <f>IF(A250="","",COUNTIFS(Bookings!$C$5:$C$404,A250,Bookings!$I$5:$I$404,"&gt;="&amp;RepFrom,Bookings!$I$5:$I$404,"&lt;="&amp;RepTo,Bookings!$AM$5:$AM$404,"&lt;&gt;Cancelled"))</f>
        <v>0</v>
      </c>
      <c r="I250" s="28">
        <f>IF(Services!$B$250="","",Services!$B$250)</f>
        <v>0</v>
      </c>
      <c r="J250" s="29">
        <f>IF(I250="","",SUMIFS(Bookings!$AK$5:$AK$404,Bookings!$H$5:$H$404,I250,Bookings!$I$5:$I$404,"&gt;="&amp;PeriodStart,Bookings!$I$5:$I$404,"&lt;="&amp;PeriodEnd,Bookings!$AM$5:$AM$404,"&lt;&gt;Cancelled"))</f>
        <v>0</v>
      </c>
      <c r="K250" s="31">
        <f>IF(I250="","",COUNTIFS(Bookings!$H$5:$H$404,I250,Bookings!$I$5:$I$404,"&gt;="&amp;PeriodStart,Bookings!$I$5:$I$404,"&lt;="&amp;PeriodEnd,Bookings!$AM$5:$AM$404,"&lt;&gt;Cancelled"))</f>
        <v>0</v>
      </c>
      <c r="L250" s="29">
        <f>IF(I250="","",SUMIFS(Bookings!$AK$5:$AK$404,Bookings!$H$5:$H$404,I250,Bookings!$I$5:$I$404,"&gt;="&amp;RepFrom,Bookings!$I$5:$I$404,"&lt;="&amp;RepTo,Bookings!$AM$5:$AM$404,"&lt;&gt;Cancelled"))</f>
        <v>0</v>
      </c>
      <c r="M250" s="31">
        <f>IF(I250="","",COUNTIFS(Bookings!$H$5:$H$404,I250,Bookings!$I$5:$I$404,"&gt;="&amp;RepFrom,Bookings!$I$5:$I$404,"&lt;="&amp;RepTo,Bookings!$AM$5:$AM$404,"&lt;&gt;Cancelled"))</f>
        <v>0</v>
      </c>
      <c r="N250" s="29">
        <f>IF(I250="","",M250*IF(Services!$L$250="",0,Services!$L$250))</f>
        <v>0</v>
      </c>
      <c r="O250" s="29">
        <f>IF(I250="","",L250-N250)</f>
        <v>0</v>
      </c>
      <c r="P250" s="28">
        <f>IF(Lists!$AG250="","",Lists!$AG250)</f>
        <v>0</v>
      </c>
      <c r="Q250" s="29">
        <f>IF(P250="","",SUMIFS(Expenses!$F$5:$F$304,Expenses!$C$5:$C$304,P250,Expenses!$B$5:$B$304,"&gt;="&amp;PeriodStart,Expenses!$B$5:$B$304,"&lt;="&amp;PeriodEnd,Expenses!$J$5:$J$304,"&lt;&gt;Personal"))</f>
        <v>0</v>
      </c>
      <c r="R250" s="29">
        <f>IF(P250="","",SUMIFS(Expenses!$F$5:$F$304,Expenses!$C$5:$C$304,P250,Expenses!$B$5:$B$304,"&gt;="&amp;RepFrom,Expenses!$B$5:$B$304,"&lt;="&amp;RepTo,Expenses!$J$5:$J$304,"&lt;&gt;Personal"))</f>
        <v>0</v>
      </c>
      <c r="S250" s="21">
        <f>IF(ROW()-4&gt;12,"",DATE(Dash_Year,ROW()-4,1))</f>
        <v>0</v>
      </c>
      <c r="T250" s="21">
        <f>IF(S250="","",EOMONTH(S250,0))</f>
        <v>0</v>
      </c>
      <c r="U250" s="28">
        <f>IF(S250="","",TEXT(S250,"mmm"))</f>
        <v>0</v>
      </c>
      <c r="V250" s="29">
        <f>IF(S250="","",SUMIFS(Payments!$L$5:$L$304,Payments!$B$5:$B$304,"&gt;="&amp;S250,Payments!$B$5:$B$304,"&lt;="&amp;T250))</f>
        <v>0</v>
      </c>
      <c r="W250" s="29">
        <f>IF(S250="","",SUMIFS(Invoices!$O$5:$O$304,Invoices!$B$5:$B$304,"&gt;="&amp;S250,Invoices!$B$5:$B$304,"&lt;="&amp;T250,Invoices!$T$5:$T$304,"&lt;&gt;Cancelled"))</f>
        <v>0</v>
      </c>
      <c r="X250" s="29">
        <f>IF(S250="","",SUMIFS(Expenses!$F$5:$F$304,Expenses!$B$5:$B$304,"&gt;="&amp;S250,Expenses!$B$5:$B$304,"&lt;="&amp;T250,Expenses!$J$5:$J$304,"&lt;&gt;Personal"))</f>
        <v>0</v>
      </c>
      <c r="Y250" s="29">
        <f>IF(S250="","",V250-X250)</f>
        <v>0</v>
      </c>
      <c r="Z250" s="31">
        <f>IF(S250="","",COUNTIFS(Bookings!$I$5:$I$404,"&gt;="&amp;S250,Bookings!$I$5:$I$404,"&lt;="&amp;T250,Bookings!$AM$5:$AM$404,"&lt;&gt;Cancelled"))</f>
        <v>0</v>
      </c>
      <c r="AA250" s="31">
        <f>IF(S250="","",COUNTIFS(Bookings!$I$5:$I$404,"&gt;="&amp;S250,Bookings!$I$5:$I$404,"&lt;="&amp;T250,Bookings!$AM$5:$AM$404,"Completed"))</f>
        <v>0</v>
      </c>
      <c r="AB250" s="31">
        <f>IF(S250="","",COUNTIFS(Bookings!$I$5:$I$404,"&gt;="&amp;S250,Bookings!$I$5:$I$404,"&lt;="&amp;T250,Bookings!$AM$5:$AM$404,"Cancelled"))</f>
        <v>0</v>
      </c>
      <c r="AC250" s="31">
        <f>IF(S250="","",COUNTIFS('Visit Log'!$C$5:$C$404,"&gt;="&amp;S250,'Visit Log'!$C$5:$C$404,"&lt;="&amp;T250,'Visit Log'!$AE$5:$AE$404,"Completed"))</f>
        <v>0</v>
      </c>
      <c r="AD250" s="31">
        <f>IF(S250="","",COUNTIFS(Clients!$L$5:$L$254,"&gt;="&amp;S250,Clients!$L$5:$L$254,"&lt;="&amp;T250))</f>
        <v>0</v>
      </c>
      <c r="AE250" s="32">
        <f>IF(S250="","",SUMIFS(Mileage!$M$5:$M$304,Mileage!$B$5:$B$304,"&gt;="&amp;S250,Mileage!$B$5:$B$304,"&lt;="&amp;T250,Mileage!$N$5:$N$304,"Business"))</f>
        <v>0</v>
      </c>
      <c r="AF250" s="29">
        <f>IF(S250="","",SUMIFS(Payments!$L$5:$L$304,Payments!$B$5:$B$304,"&gt;="&amp;DATE(Dash_Year-1,ROW()-4,1),Payments!$B$5:$B$304,"&lt;="&amp;EOMONTH(DATE(Dash_Year-1,ROW()-4,1),0)))</f>
        <v>0</v>
      </c>
      <c r="AG250" s="28">
        <f>IF(Staff!$B$250="","",Staff!$B$250)</f>
        <v>0</v>
      </c>
      <c r="AH250" s="31">
        <f>IF(AG250="","",COUNTIFS('Visit Log'!$G$5:$G$404,AG250,'Visit Log'!$C$5:$C$404,"&gt;="&amp;RepFrom,'Visit Log'!$C$5:$C$404,"&lt;="&amp;RepTo,'Visit Log'!$AE$5:$AE$404,"Completed"))</f>
        <v>0</v>
      </c>
      <c r="AI250" s="51">
        <f>IF(AG250="","",ROUND(SUMIFS('Visit Log'!$K$5:$K$404,'Visit Log'!$G$5:$G$404,AG250,'Visit Log'!$C$5:$C$404,"&gt;="&amp;RepFrom,'Visit Log'!$C$5:$C$404,"&lt;="&amp;RepTo,'Visit Log'!$AE$5:$AE$404,"Completed")/60,2))</f>
        <v>0</v>
      </c>
      <c r="AJ250" s="29">
        <f>IF(AG250="","",SUMIFS(Bookings!$AK$5:$AK$404,Bookings!$AL$5:$AL$404,AG250,Bookings!$I$5:$I$404,"&gt;="&amp;RepFrom,Bookings!$I$5:$I$404,"&lt;="&amp;RepTo,Bookings!$AM$5:$AM$404,"&lt;&gt;Cancelled"))</f>
        <v>0</v>
      </c>
      <c r="AK250" s="32">
        <f>IF(AG250="","",SUMIFS(Mileage!$M$5:$M$304,Mileage!$C$5:$C$304,AG250,Mileage!$B$5:$B$304,"&gt;="&amp;RepFrom,Mileage!$B$5:$B$304,"&lt;="&amp;RepTo))</f>
        <v>0</v>
      </c>
      <c r="AL250" s="28">
        <f>IF(Lists!$Q250="","",Lists!$Q250)</f>
        <v>0</v>
      </c>
      <c r="AM250" s="31">
        <f>IF(AL250="","",COUNTIFS(Bookings!$AV$5:$AV$404,AL250,Bookings!$I$5:$I$404,"&gt;="&amp;RepFrom,Bookings!$I$5:$I$404,"&lt;="&amp;RepTo))</f>
        <v>0</v>
      </c>
      <c r="AN250" s="28">
        <f>IF(Lists!$AF250="","",Lists!$AF250)</f>
        <v>0</v>
      </c>
      <c r="AO250" s="29">
        <f>IF(AN250="","",SUMIFS(Payments!$L$5:$L$304,Payments!$F$5:$F$304,AN250,Payments!$B$5:$B$304,"&gt;="&amp;RepFrom,Payments!$B$5:$B$304,"&lt;="&amp;RepTo))</f>
        <v>0</v>
      </c>
      <c r="AP250" s="28">
        <f>IF(Lists!$E250="","",Lists!$E250)</f>
        <v>0</v>
      </c>
      <c r="AQ250" s="31">
        <f>IF(AP250="","",COUNTIFS(Clients!$K$5:$K$254,AP250))</f>
        <v>0</v>
      </c>
      <c r="AR250" s="29">
        <f>IF(AP250="","",SUMIFS(Clients!$AE$5:$AE$254,Clients!$K$5:$K$254,AP250))</f>
        <v>0</v>
      </c>
    </row>
    <row r="251" spans="1:44">
      <c r="A251" s="28">
        <f>IF(Clients!$B$251="","",Clients!$B$251)</f>
        <v>0</v>
      </c>
      <c r="B251" s="29">
        <f>IF(A251="","",SUMIFS(Payments!$L$5:$L$304,Payments!$C$5:$C$304,A251,Payments!$B$5:$B$304,"&gt;="&amp;PeriodStart,Payments!$B$5:$B$304,"&lt;="&amp;PeriodEnd))</f>
        <v>0</v>
      </c>
      <c r="C251" s="51">
        <f>IF(A251="","",IF(B251&lt;=0,"",B251+ROW()/1000000))</f>
        <v>0</v>
      </c>
      <c r="D251" s="29">
        <f>IF(A251="","",SUMIFS(Payments!$L$5:$L$304,Payments!$C$5:$C$304,A251,Payments!$B$5:$B$304,"&gt;="&amp;RepFrom,Payments!$B$5:$B$304,"&lt;="&amp;RepTo))</f>
        <v>0</v>
      </c>
      <c r="E251" s="51">
        <f>IF(A251="","",IF(D251&lt;=0,"",D251+ROW()/1000000))</f>
        <v>0</v>
      </c>
      <c r="F251" s="29">
        <f>IF(A251="","",SUMIFS(Invoices!$S$5:$S$304,Invoices!$D$5:$D$304,A251,Invoices!$T$5:$T$304,"&lt;&gt;Cancelled"))</f>
        <v>0</v>
      </c>
      <c r="G251" s="51">
        <f>IF(A251="","",IF(F251&lt;=0.004,"",F251+ROW()/1000000))</f>
        <v>0</v>
      </c>
      <c r="H251" s="31">
        <f>IF(A251="","",COUNTIFS(Bookings!$C$5:$C$404,A251,Bookings!$I$5:$I$404,"&gt;="&amp;RepFrom,Bookings!$I$5:$I$404,"&lt;="&amp;RepTo,Bookings!$AM$5:$AM$404,"&lt;&gt;Cancelled"))</f>
        <v>0</v>
      </c>
      <c r="I251" s="28">
        <f>IF(Services!$B$251="","",Services!$B$251)</f>
        <v>0</v>
      </c>
      <c r="J251" s="29">
        <f>IF(I251="","",SUMIFS(Bookings!$AK$5:$AK$404,Bookings!$H$5:$H$404,I251,Bookings!$I$5:$I$404,"&gt;="&amp;PeriodStart,Bookings!$I$5:$I$404,"&lt;="&amp;PeriodEnd,Bookings!$AM$5:$AM$404,"&lt;&gt;Cancelled"))</f>
        <v>0</v>
      </c>
      <c r="K251" s="31">
        <f>IF(I251="","",COUNTIFS(Bookings!$H$5:$H$404,I251,Bookings!$I$5:$I$404,"&gt;="&amp;PeriodStart,Bookings!$I$5:$I$404,"&lt;="&amp;PeriodEnd,Bookings!$AM$5:$AM$404,"&lt;&gt;Cancelled"))</f>
        <v>0</v>
      </c>
      <c r="L251" s="29">
        <f>IF(I251="","",SUMIFS(Bookings!$AK$5:$AK$404,Bookings!$H$5:$H$404,I251,Bookings!$I$5:$I$404,"&gt;="&amp;RepFrom,Bookings!$I$5:$I$404,"&lt;="&amp;RepTo,Bookings!$AM$5:$AM$404,"&lt;&gt;Cancelled"))</f>
        <v>0</v>
      </c>
      <c r="M251" s="31">
        <f>IF(I251="","",COUNTIFS(Bookings!$H$5:$H$404,I251,Bookings!$I$5:$I$404,"&gt;="&amp;RepFrom,Bookings!$I$5:$I$404,"&lt;="&amp;RepTo,Bookings!$AM$5:$AM$404,"&lt;&gt;Cancelled"))</f>
        <v>0</v>
      </c>
      <c r="N251" s="29">
        <f>IF(I251="","",M251*IF(Services!$L$251="",0,Services!$L$251))</f>
        <v>0</v>
      </c>
      <c r="O251" s="29">
        <f>IF(I251="","",L251-N251)</f>
        <v>0</v>
      </c>
      <c r="P251" s="28">
        <f>IF(Lists!$AG251="","",Lists!$AG251)</f>
        <v>0</v>
      </c>
      <c r="Q251" s="29">
        <f>IF(P251="","",SUMIFS(Expenses!$F$5:$F$304,Expenses!$C$5:$C$304,P251,Expenses!$B$5:$B$304,"&gt;="&amp;PeriodStart,Expenses!$B$5:$B$304,"&lt;="&amp;PeriodEnd,Expenses!$J$5:$J$304,"&lt;&gt;Personal"))</f>
        <v>0</v>
      </c>
      <c r="R251" s="29">
        <f>IF(P251="","",SUMIFS(Expenses!$F$5:$F$304,Expenses!$C$5:$C$304,P251,Expenses!$B$5:$B$304,"&gt;="&amp;RepFrom,Expenses!$B$5:$B$304,"&lt;="&amp;RepTo,Expenses!$J$5:$J$304,"&lt;&gt;Personal"))</f>
        <v>0</v>
      </c>
      <c r="S251" s="21">
        <f>IF(ROW()-4&gt;12,"",DATE(Dash_Year,ROW()-4,1))</f>
        <v>0</v>
      </c>
      <c r="T251" s="21">
        <f>IF(S251="","",EOMONTH(S251,0))</f>
        <v>0</v>
      </c>
      <c r="U251" s="28">
        <f>IF(S251="","",TEXT(S251,"mmm"))</f>
        <v>0</v>
      </c>
      <c r="V251" s="29">
        <f>IF(S251="","",SUMIFS(Payments!$L$5:$L$304,Payments!$B$5:$B$304,"&gt;="&amp;S251,Payments!$B$5:$B$304,"&lt;="&amp;T251))</f>
        <v>0</v>
      </c>
      <c r="W251" s="29">
        <f>IF(S251="","",SUMIFS(Invoices!$O$5:$O$304,Invoices!$B$5:$B$304,"&gt;="&amp;S251,Invoices!$B$5:$B$304,"&lt;="&amp;T251,Invoices!$T$5:$T$304,"&lt;&gt;Cancelled"))</f>
        <v>0</v>
      </c>
      <c r="X251" s="29">
        <f>IF(S251="","",SUMIFS(Expenses!$F$5:$F$304,Expenses!$B$5:$B$304,"&gt;="&amp;S251,Expenses!$B$5:$B$304,"&lt;="&amp;T251,Expenses!$J$5:$J$304,"&lt;&gt;Personal"))</f>
        <v>0</v>
      </c>
      <c r="Y251" s="29">
        <f>IF(S251="","",V251-X251)</f>
        <v>0</v>
      </c>
      <c r="Z251" s="31">
        <f>IF(S251="","",COUNTIFS(Bookings!$I$5:$I$404,"&gt;="&amp;S251,Bookings!$I$5:$I$404,"&lt;="&amp;T251,Bookings!$AM$5:$AM$404,"&lt;&gt;Cancelled"))</f>
        <v>0</v>
      </c>
      <c r="AA251" s="31">
        <f>IF(S251="","",COUNTIFS(Bookings!$I$5:$I$404,"&gt;="&amp;S251,Bookings!$I$5:$I$404,"&lt;="&amp;T251,Bookings!$AM$5:$AM$404,"Completed"))</f>
        <v>0</v>
      </c>
      <c r="AB251" s="31">
        <f>IF(S251="","",COUNTIFS(Bookings!$I$5:$I$404,"&gt;="&amp;S251,Bookings!$I$5:$I$404,"&lt;="&amp;T251,Bookings!$AM$5:$AM$404,"Cancelled"))</f>
        <v>0</v>
      </c>
      <c r="AC251" s="31">
        <f>IF(S251="","",COUNTIFS('Visit Log'!$C$5:$C$404,"&gt;="&amp;S251,'Visit Log'!$C$5:$C$404,"&lt;="&amp;T251,'Visit Log'!$AE$5:$AE$404,"Completed"))</f>
        <v>0</v>
      </c>
      <c r="AD251" s="31">
        <f>IF(S251="","",COUNTIFS(Clients!$L$5:$L$254,"&gt;="&amp;S251,Clients!$L$5:$L$254,"&lt;="&amp;T251))</f>
        <v>0</v>
      </c>
      <c r="AE251" s="32">
        <f>IF(S251="","",SUMIFS(Mileage!$M$5:$M$304,Mileage!$B$5:$B$304,"&gt;="&amp;S251,Mileage!$B$5:$B$304,"&lt;="&amp;T251,Mileage!$N$5:$N$304,"Business"))</f>
        <v>0</v>
      </c>
      <c r="AF251" s="29">
        <f>IF(S251="","",SUMIFS(Payments!$L$5:$L$304,Payments!$B$5:$B$304,"&gt;="&amp;DATE(Dash_Year-1,ROW()-4,1),Payments!$B$5:$B$304,"&lt;="&amp;EOMONTH(DATE(Dash_Year-1,ROW()-4,1),0)))</f>
        <v>0</v>
      </c>
      <c r="AG251" s="28">
        <f>IF(Staff!$B$251="","",Staff!$B$251)</f>
        <v>0</v>
      </c>
      <c r="AH251" s="31">
        <f>IF(AG251="","",COUNTIFS('Visit Log'!$G$5:$G$404,AG251,'Visit Log'!$C$5:$C$404,"&gt;="&amp;RepFrom,'Visit Log'!$C$5:$C$404,"&lt;="&amp;RepTo,'Visit Log'!$AE$5:$AE$404,"Completed"))</f>
        <v>0</v>
      </c>
      <c r="AI251" s="51">
        <f>IF(AG251="","",ROUND(SUMIFS('Visit Log'!$K$5:$K$404,'Visit Log'!$G$5:$G$404,AG251,'Visit Log'!$C$5:$C$404,"&gt;="&amp;RepFrom,'Visit Log'!$C$5:$C$404,"&lt;="&amp;RepTo,'Visit Log'!$AE$5:$AE$404,"Completed")/60,2))</f>
        <v>0</v>
      </c>
      <c r="AJ251" s="29">
        <f>IF(AG251="","",SUMIFS(Bookings!$AK$5:$AK$404,Bookings!$AL$5:$AL$404,AG251,Bookings!$I$5:$I$404,"&gt;="&amp;RepFrom,Bookings!$I$5:$I$404,"&lt;="&amp;RepTo,Bookings!$AM$5:$AM$404,"&lt;&gt;Cancelled"))</f>
        <v>0</v>
      </c>
      <c r="AK251" s="32">
        <f>IF(AG251="","",SUMIFS(Mileage!$M$5:$M$304,Mileage!$C$5:$C$304,AG251,Mileage!$B$5:$B$304,"&gt;="&amp;RepFrom,Mileage!$B$5:$B$304,"&lt;="&amp;RepTo))</f>
        <v>0</v>
      </c>
      <c r="AL251" s="28">
        <f>IF(Lists!$Q251="","",Lists!$Q251)</f>
        <v>0</v>
      </c>
      <c r="AM251" s="31">
        <f>IF(AL251="","",COUNTIFS(Bookings!$AV$5:$AV$404,AL251,Bookings!$I$5:$I$404,"&gt;="&amp;RepFrom,Bookings!$I$5:$I$404,"&lt;="&amp;RepTo))</f>
        <v>0</v>
      </c>
      <c r="AN251" s="28">
        <f>IF(Lists!$AF251="","",Lists!$AF251)</f>
        <v>0</v>
      </c>
      <c r="AO251" s="29">
        <f>IF(AN251="","",SUMIFS(Payments!$L$5:$L$304,Payments!$F$5:$F$304,AN251,Payments!$B$5:$B$304,"&gt;="&amp;RepFrom,Payments!$B$5:$B$304,"&lt;="&amp;RepTo))</f>
        <v>0</v>
      </c>
      <c r="AP251" s="28">
        <f>IF(Lists!$E251="","",Lists!$E251)</f>
        <v>0</v>
      </c>
      <c r="AQ251" s="31">
        <f>IF(AP251="","",COUNTIFS(Clients!$K$5:$K$254,AP251))</f>
        <v>0</v>
      </c>
      <c r="AR251" s="29">
        <f>IF(AP251="","",SUMIFS(Clients!$AE$5:$AE$254,Clients!$K$5:$K$254,AP251))</f>
        <v>0</v>
      </c>
    </row>
    <row r="252" spans="1:44">
      <c r="A252" s="28">
        <f>IF(Clients!$B$252="","",Clients!$B$252)</f>
        <v>0</v>
      </c>
      <c r="B252" s="29">
        <f>IF(A252="","",SUMIFS(Payments!$L$5:$L$304,Payments!$C$5:$C$304,A252,Payments!$B$5:$B$304,"&gt;="&amp;PeriodStart,Payments!$B$5:$B$304,"&lt;="&amp;PeriodEnd))</f>
        <v>0</v>
      </c>
      <c r="C252" s="51">
        <f>IF(A252="","",IF(B252&lt;=0,"",B252+ROW()/1000000))</f>
        <v>0</v>
      </c>
      <c r="D252" s="29">
        <f>IF(A252="","",SUMIFS(Payments!$L$5:$L$304,Payments!$C$5:$C$304,A252,Payments!$B$5:$B$304,"&gt;="&amp;RepFrom,Payments!$B$5:$B$304,"&lt;="&amp;RepTo))</f>
        <v>0</v>
      </c>
      <c r="E252" s="51">
        <f>IF(A252="","",IF(D252&lt;=0,"",D252+ROW()/1000000))</f>
        <v>0</v>
      </c>
      <c r="F252" s="29">
        <f>IF(A252="","",SUMIFS(Invoices!$S$5:$S$304,Invoices!$D$5:$D$304,A252,Invoices!$T$5:$T$304,"&lt;&gt;Cancelled"))</f>
        <v>0</v>
      </c>
      <c r="G252" s="51">
        <f>IF(A252="","",IF(F252&lt;=0.004,"",F252+ROW()/1000000))</f>
        <v>0</v>
      </c>
      <c r="H252" s="31">
        <f>IF(A252="","",COUNTIFS(Bookings!$C$5:$C$404,A252,Bookings!$I$5:$I$404,"&gt;="&amp;RepFrom,Bookings!$I$5:$I$404,"&lt;="&amp;RepTo,Bookings!$AM$5:$AM$404,"&lt;&gt;Cancelled"))</f>
        <v>0</v>
      </c>
      <c r="I252" s="28">
        <f>IF(Services!$B$252="","",Services!$B$252)</f>
        <v>0</v>
      </c>
      <c r="J252" s="29">
        <f>IF(I252="","",SUMIFS(Bookings!$AK$5:$AK$404,Bookings!$H$5:$H$404,I252,Bookings!$I$5:$I$404,"&gt;="&amp;PeriodStart,Bookings!$I$5:$I$404,"&lt;="&amp;PeriodEnd,Bookings!$AM$5:$AM$404,"&lt;&gt;Cancelled"))</f>
        <v>0</v>
      </c>
      <c r="K252" s="31">
        <f>IF(I252="","",COUNTIFS(Bookings!$H$5:$H$404,I252,Bookings!$I$5:$I$404,"&gt;="&amp;PeriodStart,Bookings!$I$5:$I$404,"&lt;="&amp;PeriodEnd,Bookings!$AM$5:$AM$404,"&lt;&gt;Cancelled"))</f>
        <v>0</v>
      </c>
      <c r="L252" s="29">
        <f>IF(I252="","",SUMIFS(Bookings!$AK$5:$AK$404,Bookings!$H$5:$H$404,I252,Bookings!$I$5:$I$404,"&gt;="&amp;RepFrom,Bookings!$I$5:$I$404,"&lt;="&amp;RepTo,Bookings!$AM$5:$AM$404,"&lt;&gt;Cancelled"))</f>
        <v>0</v>
      </c>
      <c r="M252" s="31">
        <f>IF(I252="","",COUNTIFS(Bookings!$H$5:$H$404,I252,Bookings!$I$5:$I$404,"&gt;="&amp;RepFrom,Bookings!$I$5:$I$404,"&lt;="&amp;RepTo,Bookings!$AM$5:$AM$404,"&lt;&gt;Cancelled"))</f>
        <v>0</v>
      </c>
      <c r="N252" s="29">
        <f>IF(I252="","",M252*IF(Services!$L$252="",0,Services!$L$252))</f>
        <v>0</v>
      </c>
      <c r="O252" s="29">
        <f>IF(I252="","",L252-N252)</f>
        <v>0</v>
      </c>
      <c r="P252" s="28">
        <f>IF(Lists!$AG252="","",Lists!$AG252)</f>
        <v>0</v>
      </c>
      <c r="Q252" s="29">
        <f>IF(P252="","",SUMIFS(Expenses!$F$5:$F$304,Expenses!$C$5:$C$304,P252,Expenses!$B$5:$B$304,"&gt;="&amp;PeriodStart,Expenses!$B$5:$B$304,"&lt;="&amp;PeriodEnd,Expenses!$J$5:$J$304,"&lt;&gt;Personal"))</f>
        <v>0</v>
      </c>
      <c r="R252" s="29">
        <f>IF(P252="","",SUMIFS(Expenses!$F$5:$F$304,Expenses!$C$5:$C$304,P252,Expenses!$B$5:$B$304,"&gt;="&amp;RepFrom,Expenses!$B$5:$B$304,"&lt;="&amp;RepTo,Expenses!$J$5:$J$304,"&lt;&gt;Personal"))</f>
        <v>0</v>
      </c>
      <c r="S252" s="21">
        <f>IF(ROW()-4&gt;12,"",DATE(Dash_Year,ROW()-4,1))</f>
        <v>0</v>
      </c>
      <c r="T252" s="21">
        <f>IF(S252="","",EOMONTH(S252,0))</f>
        <v>0</v>
      </c>
      <c r="U252" s="28">
        <f>IF(S252="","",TEXT(S252,"mmm"))</f>
        <v>0</v>
      </c>
      <c r="V252" s="29">
        <f>IF(S252="","",SUMIFS(Payments!$L$5:$L$304,Payments!$B$5:$B$304,"&gt;="&amp;S252,Payments!$B$5:$B$304,"&lt;="&amp;T252))</f>
        <v>0</v>
      </c>
      <c r="W252" s="29">
        <f>IF(S252="","",SUMIFS(Invoices!$O$5:$O$304,Invoices!$B$5:$B$304,"&gt;="&amp;S252,Invoices!$B$5:$B$304,"&lt;="&amp;T252,Invoices!$T$5:$T$304,"&lt;&gt;Cancelled"))</f>
        <v>0</v>
      </c>
      <c r="X252" s="29">
        <f>IF(S252="","",SUMIFS(Expenses!$F$5:$F$304,Expenses!$B$5:$B$304,"&gt;="&amp;S252,Expenses!$B$5:$B$304,"&lt;="&amp;T252,Expenses!$J$5:$J$304,"&lt;&gt;Personal"))</f>
        <v>0</v>
      </c>
      <c r="Y252" s="29">
        <f>IF(S252="","",V252-X252)</f>
        <v>0</v>
      </c>
      <c r="Z252" s="31">
        <f>IF(S252="","",COUNTIFS(Bookings!$I$5:$I$404,"&gt;="&amp;S252,Bookings!$I$5:$I$404,"&lt;="&amp;T252,Bookings!$AM$5:$AM$404,"&lt;&gt;Cancelled"))</f>
        <v>0</v>
      </c>
      <c r="AA252" s="31">
        <f>IF(S252="","",COUNTIFS(Bookings!$I$5:$I$404,"&gt;="&amp;S252,Bookings!$I$5:$I$404,"&lt;="&amp;T252,Bookings!$AM$5:$AM$404,"Completed"))</f>
        <v>0</v>
      </c>
      <c r="AB252" s="31">
        <f>IF(S252="","",COUNTIFS(Bookings!$I$5:$I$404,"&gt;="&amp;S252,Bookings!$I$5:$I$404,"&lt;="&amp;T252,Bookings!$AM$5:$AM$404,"Cancelled"))</f>
        <v>0</v>
      </c>
      <c r="AC252" s="31">
        <f>IF(S252="","",COUNTIFS('Visit Log'!$C$5:$C$404,"&gt;="&amp;S252,'Visit Log'!$C$5:$C$404,"&lt;="&amp;T252,'Visit Log'!$AE$5:$AE$404,"Completed"))</f>
        <v>0</v>
      </c>
      <c r="AD252" s="31">
        <f>IF(S252="","",COUNTIFS(Clients!$L$5:$L$254,"&gt;="&amp;S252,Clients!$L$5:$L$254,"&lt;="&amp;T252))</f>
        <v>0</v>
      </c>
      <c r="AE252" s="32">
        <f>IF(S252="","",SUMIFS(Mileage!$M$5:$M$304,Mileage!$B$5:$B$304,"&gt;="&amp;S252,Mileage!$B$5:$B$304,"&lt;="&amp;T252,Mileage!$N$5:$N$304,"Business"))</f>
        <v>0</v>
      </c>
      <c r="AF252" s="29">
        <f>IF(S252="","",SUMIFS(Payments!$L$5:$L$304,Payments!$B$5:$B$304,"&gt;="&amp;DATE(Dash_Year-1,ROW()-4,1),Payments!$B$5:$B$304,"&lt;="&amp;EOMONTH(DATE(Dash_Year-1,ROW()-4,1),0)))</f>
        <v>0</v>
      </c>
      <c r="AG252" s="28">
        <f>IF(Staff!$B$252="","",Staff!$B$252)</f>
        <v>0</v>
      </c>
      <c r="AH252" s="31">
        <f>IF(AG252="","",COUNTIFS('Visit Log'!$G$5:$G$404,AG252,'Visit Log'!$C$5:$C$404,"&gt;="&amp;RepFrom,'Visit Log'!$C$5:$C$404,"&lt;="&amp;RepTo,'Visit Log'!$AE$5:$AE$404,"Completed"))</f>
        <v>0</v>
      </c>
      <c r="AI252" s="51">
        <f>IF(AG252="","",ROUND(SUMIFS('Visit Log'!$K$5:$K$404,'Visit Log'!$G$5:$G$404,AG252,'Visit Log'!$C$5:$C$404,"&gt;="&amp;RepFrom,'Visit Log'!$C$5:$C$404,"&lt;="&amp;RepTo,'Visit Log'!$AE$5:$AE$404,"Completed")/60,2))</f>
        <v>0</v>
      </c>
      <c r="AJ252" s="29">
        <f>IF(AG252="","",SUMIFS(Bookings!$AK$5:$AK$404,Bookings!$AL$5:$AL$404,AG252,Bookings!$I$5:$I$404,"&gt;="&amp;RepFrom,Bookings!$I$5:$I$404,"&lt;="&amp;RepTo,Bookings!$AM$5:$AM$404,"&lt;&gt;Cancelled"))</f>
        <v>0</v>
      </c>
      <c r="AK252" s="32">
        <f>IF(AG252="","",SUMIFS(Mileage!$M$5:$M$304,Mileage!$C$5:$C$304,AG252,Mileage!$B$5:$B$304,"&gt;="&amp;RepFrom,Mileage!$B$5:$B$304,"&lt;="&amp;RepTo))</f>
        <v>0</v>
      </c>
      <c r="AL252" s="28">
        <f>IF(Lists!$Q252="","",Lists!$Q252)</f>
        <v>0</v>
      </c>
      <c r="AM252" s="31">
        <f>IF(AL252="","",COUNTIFS(Bookings!$AV$5:$AV$404,AL252,Bookings!$I$5:$I$404,"&gt;="&amp;RepFrom,Bookings!$I$5:$I$404,"&lt;="&amp;RepTo))</f>
        <v>0</v>
      </c>
      <c r="AN252" s="28">
        <f>IF(Lists!$AF252="","",Lists!$AF252)</f>
        <v>0</v>
      </c>
      <c r="AO252" s="29">
        <f>IF(AN252="","",SUMIFS(Payments!$L$5:$L$304,Payments!$F$5:$F$304,AN252,Payments!$B$5:$B$304,"&gt;="&amp;RepFrom,Payments!$B$5:$B$304,"&lt;="&amp;RepTo))</f>
        <v>0</v>
      </c>
      <c r="AP252" s="28">
        <f>IF(Lists!$E252="","",Lists!$E252)</f>
        <v>0</v>
      </c>
      <c r="AQ252" s="31">
        <f>IF(AP252="","",COUNTIFS(Clients!$K$5:$K$254,AP252))</f>
        <v>0</v>
      </c>
      <c r="AR252" s="29">
        <f>IF(AP252="","",SUMIFS(Clients!$AE$5:$AE$254,Clients!$K$5:$K$254,AP252))</f>
        <v>0</v>
      </c>
    </row>
    <row r="253" spans="1:44">
      <c r="A253" s="28">
        <f>IF(Clients!$B$253="","",Clients!$B$253)</f>
        <v>0</v>
      </c>
      <c r="B253" s="29">
        <f>IF(A253="","",SUMIFS(Payments!$L$5:$L$304,Payments!$C$5:$C$304,A253,Payments!$B$5:$B$304,"&gt;="&amp;PeriodStart,Payments!$B$5:$B$304,"&lt;="&amp;PeriodEnd))</f>
        <v>0</v>
      </c>
      <c r="C253" s="51">
        <f>IF(A253="","",IF(B253&lt;=0,"",B253+ROW()/1000000))</f>
        <v>0</v>
      </c>
      <c r="D253" s="29">
        <f>IF(A253="","",SUMIFS(Payments!$L$5:$L$304,Payments!$C$5:$C$304,A253,Payments!$B$5:$B$304,"&gt;="&amp;RepFrom,Payments!$B$5:$B$304,"&lt;="&amp;RepTo))</f>
        <v>0</v>
      </c>
      <c r="E253" s="51">
        <f>IF(A253="","",IF(D253&lt;=0,"",D253+ROW()/1000000))</f>
        <v>0</v>
      </c>
      <c r="F253" s="29">
        <f>IF(A253="","",SUMIFS(Invoices!$S$5:$S$304,Invoices!$D$5:$D$304,A253,Invoices!$T$5:$T$304,"&lt;&gt;Cancelled"))</f>
        <v>0</v>
      </c>
      <c r="G253" s="51">
        <f>IF(A253="","",IF(F253&lt;=0.004,"",F253+ROW()/1000000))</f>
        <v>0</v>
      </c>
      <c r="H253" s="31">
        <f>IF(A253="","",COUNTIFS(Bookings!$C$5:$C$404,A253,Bookings!$I$5:$I$404,"&gt;="&amp;RepFrom,Bookings!$I$5:$I$404,"&lt;="&amp;RepTo,Bookings!$AM$5:$AM$404,"&lt;&gt;Cancelled"))</f>
        <v>0</v>
      </c>
      <c r="I253" s="28">
        <f>IF(Services!$B$253="","",Services!$B$253)</f>
        <v>0</v>
      </c>
      <c r="J253" s="29">
        <f>IF(I253="","",SUMIFS(Bookings!$AK$5:$AK$404,Bookings!$H$5:$H$404,I253,Bookings!$I$5:$I$404,"&gt;="&amp;PeriodStart,Bookings!$I$5:$I$404,"&lt;="&amp;PeriodEnd,Bookings!$AM$5:$AM$404,"&lt;&gt;Cancelled"))</f>
        <v>0</v>
      </c>
      <c r="K253" s="31">
        <f>IF(I253="","",COUNTIFS(Bookings!$H$5:$H$404,I253,Bookings!$I$5:$I$404,"&gt;="&amp;PeriodStart,Bookings!$I$5:$I$404,"&lt;="&amp;PeriodEnd,Bookings!$AM$5:$AM$404,"&lt;&gt;Cancelled"))</f>
        <v>0</v>
      </c>
      <c r="L253" s="29">
        <f>IF(I253="","",SUMIFS(Bookings!$AK$5:$AK$404,Bookings!$H$5:$H$404,I253,Bookings!$I$5:$I$404,"&gt;="&amp;RepFrom,Bookings!$I$5:$I$404,"&lt;="&amp;RepTo,Bookings!$AM$5:$AM$404,"&lt;&gt;Cancelled"))</f>
        <v>0</v>
      </c>
      <c r="M253" s="31">
        <f>IF(I253="","",COUNTIFS(Bookings!$H$5:$H$404,I253,Bookings!$I$5:$I$404,"&gt;="&amp;RepFrom,Bookings!$I$5:$I$404,"&lt;="&amp;RepTo,Bookings!$AM$5:$AM$404,"&lt;&gt;Cancelled"))</f>
        <v>0</v>
      </c>
      <c r="N253" s="29">
        <f>IF(I253="","",M253*IF(Services!$L$253="",0,Services!$L$253))</f>
        <v>0</v>
      </c>
      <c r="O253" s="29">
        <f>IF(I253="","",L253-N253)</f>
        <v>0</v>
      </c>
      <c r="P253" s="28">
        <f>IF(Lists!$AG253="","",Lists!$AG253)</f>
        <v>0</v>
      </c>
      <c r="Q253" s="29">
        <f>IF(P253="","",SUMIFS(Expenses!$F$5:$F$304,Expenses!$C$5:$C$304,P253,Expenses!$B$5:$B$304,"&gt;="&amp;PeriodStart,Expenses!$B$5:$B$304,"&lt;="&amp;PeriodEnd,Expenses!$J$5:$J$304,"&lt;&gt;Personal"))</f>
        <v>0</v>
      </c>
      <c r="R253" s="29">
        <f>IF(P253="","",SUMIFS(Expenses!$F$5:$F$304,Expenses!$C$5:$C$304,P253,Expenses!$B$5:$B$304,"&gt;="&amp;RepFrom,Expenses!$B$5:$B$304,"&lt;="&amp;RepTo,Expenses!$J$5:$J$304,"&lt;&gt;Personal"))</f>
        <v>0</v>
      </c>
      <c r="S253" s="21">
        <f>IF(ROW()-4&gt;12,"",DATE(Dash_Year,ROW()-4,1))</f>
        <v>0</v>
      </c>
      <c r="T253" s="21">
        <f>IF(S253="","",EOMONTH(S253,0))</f>
        <v>0</v>
      </c>
      <c r="U253" s="28">
        <f>IF(S253="","",TEXT(S253,"mmm"))</f>
        <v>0</v>
      </c>
      <c r="V253" s="29">
        <f>IF(S253="","",SUMIFS(Payments!$L$5:$L$304,Payments!$B$5:$B$304,"&gt;="&amp;S253,Payments!$B$5:$B$304,"&lt;="&amp;T253))</f>
        <v>0</v>
      </c>
      <c r="W253" s="29">
        <f>IF(S253="","",SUMIFS(Invoices!$O$5:$O$304,Invoices!$B$5:$B$304,"&gt;="&amp;S253,Invoices!$B$5:$B$304,"&lt;="&amp;T253,Invoices!$T$5:$T$304,"&lt;&gt;Cancelled"))</f>
        <v>0</v>
      </c>
      <c r="X253" s="29">
        <f>IF(S253="","",SUMIFS(Expenses!$F$5:$F$304,Expenses!$B$5:$B$304,"&gt;="&amp;S253,Expenses!$B$5:$B$304,"&lt;="&amp;T253,Expenses!$J$5:$J$304,"&lt;&gt;Personal"))</f>
        <v>0</v>
      </c>
      <c r="Y253" s="29">
        <f>IF(S253="","",V253-X253)</f>
        <v>0</v>
      </c>
      <c r="Z253" s="31">
        <f>IF(S253="","",COUNTIFS(Bookings!$I$5:$I$404,"&gt;="&amp;S253,Bookings!$I$5:$I$404,"&lt;="&amp;T253,Bookings!$AM$5:$AM$404,"&lt;&gt;Cancelled"))</f>
        <v>0</v>
      </c>
      <c r="AA253" s="31">
        <f>IF(S253="","",COUNTIFS(Bookings!$I$5:$I$404,"&gt;="&amp;S253,Bookings!$I$5:$I$404,"&lt;="&amp;T253,Bookings!$AM$5:$AM$404,"Completed"))</f>
        <v>0</v>
      </c>
      <c r="AB253" s="31">
        <f>IF(S253="","",COUNTIFS(Bookings!$I$5:$I$404,"&gt;="&amp;S253,Bookings!$I$5:$I$404,"&lt;="&amp;T253,Bookings!$AM$5:$AM$404,"Cancelled"))</f>
        <v>0</v>
      </c>
      <c r="AC253" s="31">
        <f>IF(S253="","",COUNTIFS('Visit Log'!$C$5:$C$404,"&gt;="&amp;S253,'Visit Log'!$C$5:$C$404,"&lt;="&amp;T253,'Visit Log'!$AE$5:$AE$404,"Completed"))</f>
        <v>0</v>
      </c>
      <c r="AD253" s="31">
        <f>IF(S253="","",COUNTIFS(Clients!$L$5:$L$254,"&gt;="&amp;S253,Clients!$L$5:$L$254,"&lt;="&amp;T253))</f>
        <v>0</v>
      </c>
      <c r="AE253" s="32">
        <f>IF(S253="","",SUMIFS(Mileage!$M$5:$M$304,Mileage!$B$5:$B$304,"&gt;="&amp;S253,Mileage!$B$5:$B$304,"&lt;="&amp;T253,Mileage!$N$5:$N$304,"Business"))</f>
        <v>0</v>
      </c>
      <c r="AF253" s="29">
        <f>IF(S253="","",SUMIFS(Payments!$L$5:$L$304,Payments!$B$5:$B$304,"&gt;="&amp;DATE(Dash_Year-1,ROW()-4,1),Payments!$B$5:$B$304,"&lt;="&amp;EOMONTH(DATE(Dash_Year-1,ROW()-4,1),0)))</f>
        <v>0</v>
      </c>
      <c r="AG253" s="28">
        <f>IF(Staff!$B$253="","",Staff!$B$253)</f>
        <v>0</v>
      </c>
      <c r="AH253" s="31">
        <f>IF(AG253="","",COUNTIFS('Visit Log'!$G$5:$G$404,AG253,'Visit Log'!$C$5:$C$404,"&gt;="&amp;RepFrom,'Visit Log'!$C$5:$C$404,"&lt;="&amp;RepTo,'Visit Log'!$AE$5:$AE$404,"Completed"))</f>
        <v>0</v>
      </c>
      <c r="AI253" s="51">
        <f>IF(AG253="","",ROUND(SUMIFS('Visit Log'!$K$5:$K$404,'Visit Log'!$G$5:$G$404,AG253,'Visit Log'!$C$5:$C$404,"&gt;="&amp;RepFrom,'Visit Log'!$C$5:$C$404,"&lt;="&amp;RepTo,'Visit Log'!$AE$5:$AE$404,"Completed")/60,2))</f>
        <v>0</v>
      </c>
      <c r="AJ253" s="29">
        <f>IF(AG253="","",SUMIFS(Bookings!$AK$5:$AK$404,Bookings!$AL$5:$AL$404,AG253,Bookings!$I$5:$I$404,"&gt;="&amp;RepFrom,Bookings!$I$5:$I$404,"&lt;="&amp;RepTo,Bookings!$AM$5:$AM$404,"&lt;&gt;Cancelled"))</f>
        <v>0</v>
      </c>
      <c r="AK253" s="32">
        <f>IF(AG253="","",SUMIFS(Mileage!$M$5:$M$304,Mileage!$C$5:$C$304,AG253,Mileage!$B$5:$B$304,"&gt;="&amp;RepFrom,Mileage!$B$5:$B$304,"&lt;="&amp;RepTo))</f>
        <v>0</v>
      </c>
      <c r="AL253" s="28">
        <f>IF(Lists!$Q253="","",Lists!$Q253)</f>
        <v>0</v>
      </c>
      <c r="AM253" s="31">
        <f>IF(AL253="","",COUNTIFS(Bookings!$AV$5:$AV$404,AL253,Bookings!$I$5:$I$404,"&gt;="&amp;RepFrom,Bookings!$I$5:$I$404,"&lt;="&amp;RepTo))</f>
        <v>0</v>
      </c>
      <c r="AN253" s="28">
        <f>IF(Lists!$AF253="","",Lists!$AF253)</f>
        <v>0</v>
      </c>
      <c r="AO253" s="29">
        <f>IF(AN253="","",SUMIFS(Payments!$L$5:$L$304,Payments!$F$5:$F$304,AN253,Payments!$B$5:$B$304,"&gt;="&amp;RepFrom,Payments!$B$5:$B$304,"&lt;="&amp;RepTo))</f>
        <v>0</v>
      </c>
      <c r="AP253" s="28">
        <f>IF(Lists!$E253="","",Lists!$E253)</f>
        <v>0</v>
      </c>
      <c r="AQ253" s="31">
        <f>IF(AP253="","",COUNTIFS(Clients!$K$5:$K$254,AP253))</f>
        <v>0</v>
      </c>
      <c r="AR253" s="29">
        <f>IF(AP253="","",SUMIFS(Clients!$AE$5:$AE$254,Clients!$K$5:$K$254,AP253))</f>
        <v>0</v>
      </c>
    </row>
    <row r="254" spans="1:44">
      <c r="A254" s="28">
        <f>IF(Clients!$B$254="","",Clients!$B$254)</f>
        <v>0</v>
      </c>
      <c r="B254" s="29">
        <f>IF(A254="","",SUMIFS(Payments!$L$5:$L$304,Payments!$C$5:$C$304,A254,Payments!$B$5:$B$304,"&gt;="&amp;PeriodStart,Payments!$B$5:$B$304,"&lt;="&amp;PeriodEnd))</f>
        <v>0</v>
      </c>
      <c r="C254" s="51">
        <f>IF(A254="","",IF(B254&lt;=0,"",B254+ROW()/1000000))</f>
        <v>0</v>
      </c>
      <c r="D254" s="29">
        <f>IF(A254="","",SUMIFS(Payments!$L$5:$L$304,Payments!$C$5:$C$304,A254,Payments!$B$5:$B$304,"&gt;="&amp;RepFrom,Payments!$B$5:$B$304,"&lt;="&amp;RepTo))</f>
        <v>0</v>
      </c>
      <c r="E254" s="51">
        <f>IF(A254="","",IF(D254&lt;=0,"",D254+ROW()/1000000))</f>
        <v>0</v>
      </c>
      <c r="F254" s="29">
        <f>IF(A254="","",SUMIFS(Invoices!$S$5:$S$304,Invoices!$D$5:$D$304,A254,Invoices!$T$5:$T$304,"&lt;&gt;Cancelled"))</f>
        <v>0</v>
      </c>
      <c r="G254" s="51">
        <f>IF(A254="","",IF(F254&lt;=0.004,"",F254+ROW()/1000000))</f>
        <v>0</v>
      </c>
      <c r="H254" s="31">
        <f>IF(A254="","",COUNTIFS(Bookings!$C$5:$C$404,A254,Bookings!$I$5:$I$404,"&gt;="&amp;RepFrom,Bookings!$I$5:$I$404,"&lt;="&amp;RepTo,Bookings!$AM$5:$AM$404,"&lt;&gt;Cancelled"))</f>
        <v>0</v>
      </c>
      <c r="I254" s="28">
        <f>IF(Services!$B$254="","",Services!$B$254)</f>
        <v>0</v>
      </c>
      <c r="J254" s="29">
        <f>IF(I254="","",SUMIFS(Bookings!$AK$5:$AK$404,Bookings!$H$5:$H$404,I254,Bookings!$I$5:$I$404,"&gt;="&amp;PeriodStart,Bookings!$I$5:$I$404,"&lt;="&amp;PeriodEnd,Bookings!$AM$5:$AM$404,"&lt;&gt;Cancelled"))</f>
        <v>0</v>
      </c>
      <c r="K254" s="31">
        <f>IF(I254="","",COUNTIFS(Bookings!$H$5:$H$404,I254,Bookings!$I$5:$I$404,"&gt;="&amp;PeriodStart,Bookings!$I$5:$I$404,"&lt;="&amp;PeriodEnd,Bookings!$AM$5:$AM$404,"&lt;&gt;Cancelled"))</f>
        <v>0</v>
      </c>
      <c r="L254" s="29">
        <f>IF(I254="","",SUMIFS(Bookings!$AK$5:$AK$404,Bookings!$H$5:$H$404,I254,Bookings!$I$5:$I$404,"&gt;="&amp;RepFrom,Bookings!$I$5:$I$404,"&lt;="&amp;RepTo,Bookings!$AM$5:$AM$404,"&lt;&gt;Cancelled"))</f>
        <v>0</v>
      </c>
      <c r="M254" s="31">
        <f>IF(I254="","",COUNTIFS(Bookings!$H$5:$H$404,I254,Bookings!$I$5:$I$404,"&gt;="&amp;RepFrom,Bookings!$I$5:$I$404,"&lt;="&amp;RepTo,Bookings!$AM$5:$AM$404,"&lt;&gt;Cancelled"))</f>
        <v>0</v>
      </c>
      <c r="N254" s="29">
        <f>IF(I254="","",M254*IF(Services!$L$254="",0,Services!$L$254))</f>
        <v>0</v>
      </c>
      <c r="O254" s="29">
        <f>IF(I254="","",L254-N254)</f>
        <v>0</v>
      </c>
      <c r="P254" s="28">
        <f>IF(Lists!$AG254="","",Lists!$AG254)</f>
        <v>0</v>
      </c>
      <c r="Q254" s="29">
        <f>IF(P254="","",SUMIFS(Expenses!$F$5:$F$304,Expenses!$C$5:$C$304,P254,Expenses!$B$5:$B$304,"&gt;="&amp;PeriodStart,Expenses!$B$5:$B$304,"&lt;="&amp;PeriodEnd,Expenses!$J$5:$J$304,"&lt;&gt;Personal"))</f>
        <v>0</v>
      </c>
      <c r="R254" s="29">
        <f>IF(P254="","",SUMIFS(Expenses!$F$5:$F$304,Expenses!$C$5:$C$304,P254,Expenses!$B$5:$B$304,"&gt;="&amp;RepFrom,Expenses!$B$5:$B$304,"&lt;="&amp;RepTo,Expenses!$J$5:$J$304,"&lt;&gt;Personal"))</f>
        <v>0</v>
      </c>
      <c r="S254" s="21">
        <f>IF(ROW()-4&gt;12,"",DATE(Dash_Year,ROW()-4,1))</f>
        <v>0</v>
      </c>
      <c r="T254" s="21">
        <f>IF(S254="","",EOMONTH(S254,0))</f>
        <v>0</v>
      </c>
      <c r="U254" s="28">
        <f>IF(S254="","",TEXT(S254,"mmm"))</f>
        <v>0</v>
      </c>
      <c r="V254" s="29">
        <f>IF(S254="","",SUMIFS(Payments!$L$5:$L$304,Payments!$B$5:$B$304,"&gt;="&amp;S254,Payments!$B$5:$B$304,"&lt;="&amp;T254))</f>
        <v>0</v>
      </c>
      <c r="W254" s="29">
        <f>IF(S254="","",SUMIFS(Invoices!$O$5:$O$304,Invoices!$B$5:$B$304,"&gt;="&amp;S254,Invoices!$B$5:$B$304,"&lt;="&amp;T254,Invoices!$T$5:$T$304,"&lt;&gt;Cancelled"))</f>
        <v>0</v>
      </c>
      <c r="X254" s="29">
        <f>IF(S254="","",SUMIFS(Expenses!$F$5:$F$304,Expenses!$B$5:$B$304,"&gt;="&amp;S254,Expenses!$B$5:$B$304,"&lt;="&amp;T254,Expenses!$J$5:$J$304,"&lt;&gt;Personal"))</f>
        <v>0</v>
      </c>
      <c r="Y254" s="29">
        <f>IF(S254="","",V254-X254)</f>
        <v>0</v>
      </c>
      <c r="Z254" s="31">
        <f>IF(S254="","",COUNTIFS(Bookings!$I$5:$I$404,"&gt;="&amp;S254,Bookings!$I$5:$I$404,"&lt;="&amp;T254,Bookings!$AM$5:$AM$404,"&lt;&gt;Cancelled"))</f>
        <v>0</v>
      </c>
      <c r="AA254" s="31">
        <f>IF(S254="","",COUNTIFS(Bookings!$I$5:$I$404,"&gt;="&amp;S254,Bookings!$I$5:$I$404,"&lt;="&amp;T254,Bookings!$AM$5:$AM$404,"Completed"))</f>
        <v>0</v>
      </c>
      <c r="AB254" s="31">
        <f>IF(S254="","",COUNTIFS(Bookings!$I$5:$I$404,"&gt;="&amp;S254,Bookings!$I$5:$I$404,"&lt;="&amp;T254,Bookings!$AM$5:$AM$404,"Cancelled"))</f>
        <v>0</v>
      </c>
      <c r="AC254" s="31">
        <f>IF(S254="","",COUNTIFS('Visit Log'!$C$5:$C$404,"&gt;="&amp;S254,'Visit Log'!$C$5:$C$404,"&lt;="&amp;T254,'Visit Log'!$AE$5:$AE$404,"Completed"))</f>
        <v>0</v>
      </c>
      <c r="AD254" s="31">
        <f>IF(S254="","",COUNTIFS(Clients!$L$5:$L$254,"&gt;="&amp;S254,Clients!$L$5:$L$254,"&lt;="&amp;T254))</f>
        <v>0</v>
      </c>
      <c r="AE254" s="32">
        <f>IF(S254="","",SUMIFS(Mileage!$M$5:$M$304,Mileage!$B$5:$B$304,"&gt;="&amp;S254,Mileage!$B$5:$B$304,"&lt;="&amp;T254,Mileage!$N$5:$N$304,"Business"))</f>
        <v>0</v>
      </c>
      <c r="AF254" s="29">
        <f>IF(S254="","",SUMIFS(Payments!$L$5:$L$304,Payments!$B$5:$B$304,"&gt;="&amp;DATE(Dash_Year-1,ROW()-4,1),Payments!$B$5:$B$304,"&lt;="&amp;EOMONTH(DATE(Dash_Year-1,ROW()-4,1),0)))</f>
        <v>0</v>
      </c>
      <c r="AG254" s="28">
        <f>IF(Staff!$B$254="","",Staff!$B$254)</f>
        <v>0</v>
      </c>
      <c r="AH254" s="31">
        <f>IF(AG254="","",COUNTIFS('Visit Log'!$G$5:$G$404,AG254,'Visit Log'!$C$5:$C$404,"&gt;="&amp;RepFrom,'Visit Log'!$C$5:$C$404,"&lt;="&amp;RepTo,'Visit Log'!$AE$5:$AE$404,"Completed"))</f>
        <v>0</v>
      </c>
      <c r="AI254" s="51">
        <f>IF(AG254="","",ROUND(SUMIFS('Visit Log'!$K$5:$K$404,'Visit Log'!$G$5:$G$404,AG254,'Visit Log'!$C$5:$C$404,"&gt;="&amp;RepFrom,'Visit Log'!$C$5:$C$404,"&lt;="&amp;RepTo,'Visit Log'!$AE$5:$AE$404,"Completed")/60,2))</f>
        <v>0</v>
      </c>
      <c r="AJ254" s="29">
        <f>IF(AG254="","",SUMIFS(Bookings!$AK$5:$AK$404,Bookings!$AL$5:$AL$404,AG254,Bookings!$I$5:$I$404,"&gt;="&amp;RepFrom,Bookings!$I$5:$I$404,"&lt;="&amp;RepTo,Bookings!$AM$5:$AM$404,"&lt;&gt;Cancelled"))</f>
        <v>0</v>
      </c>
      <c r="AK254" s="32">
        <f>IF(AG254="","",SUMIFS(Mileage!$M$5:$M$304,Mileage!$C$5:$C$304,AG254,Mileage!$B$5:$B$304,"&gt;="&amp;RepFrom,Mileage!$B$5:$B$304,"&lt;="&amp;RepTo))</f>
        <v>0</v>
      </c>
      <c r="AL254" s="28">
        <f>IF(Lists!$Q254="","",Lists!$Q254)</f>
        <v>0</v>
      </c>
      <c r="AM254" s="31">
        <f>IF(AL254="","",COUNTIFS(Bookings!$AV$5:$AV$404,AL254,Bookings!$I$5:$I$404,"&gt;="&amp;RepFrom,Bookings!$I$5:$I$404,"&lt;="&amp;RepTo))</f>
        <v>0</v>
      </c>
      <c r="AN254" s="28">
        <f>IF(Lists!$AF254="","",Lists!$AF254)</f>
        <v>0</v>
      </c>
      <c r="AO254" s="29">
        <f>IF(AN254="","",SUMIFS(Payments!$L$5:$L$304,Payments!$F$5:$F$304,AN254,Payments!$B$5:$B$304,"&gt;="&amp;RepFrom,Payments!$B$5:$B$304,"&lt;="&amp;RepTo))</f>
        <v>0</v>
      </c>
      <c r="AP254" s="28">
        <f>IF(Lists!$E254="","",Lists!$E254)</f>
        <v>0</v>
      </c>
      <c r="AQ254" s="31">
        <f>IF(AP254="","",COUNTIFS(Clients!$K$5:$K$254,AP254))</f>
        <v>0</v>
      </c>
      <c r="AR254" s="29">
        <f>IF(AP254="","",SUMIFS(Clients!$AE$5:$AE$254,Clients!$K$5:$K$254,AP254))</f>
        <v>0</v>
      </c>
    </row>
  </sheetData>
  <sheetProtection password="EC7C" sheet="1" objects="1" scenarios="1" formatCells="0" formatColumns="0" formatRows="0" insertRows="0" insertHyperlinks="0" deleteRows="0" autoFilter="0"/>
  <autoFilter ref="A4:AR254"/>
  <mergeCells count="13">
    <mergeCell ref="A1:AO1"/>
    <mergeCell ref="AP1:AR1"/>
    <mergeCell ref="A2:AR2"/>
    <mergeCell ref="A3:B3"/>
    <mergeCell ref="C3:D3"/>
    <mergeCell ref="E3:F3"/>
    <mergeCell ref="G3:H3"/>
    <mergeCell ref="I3:J3"/>
    <mergeCell ref="K3:L3"/>
    <mergeCell ref="M3:N3"/>
    <mergeCell ref="O3:P3"/>
    <mergeCell ref="Q3:R3"/>
    <mergeCell ref="S3:AR3"/>
  </mergeCells>
  <hyperlinks>
    <hyperlink ref="A3" location="'Start Here'!A1" display="&gt; Start Here"/>
    <hyperlink ref="C3" location="Dashboard!A1" display="&gt; Dashboard"/>
    <hyperlink ref="E3" location="Clients!A1" display="&gt; Clients"/>
    <hyperlink ref="G3" location="Pets!A1" display="&gt; Pets"/>
    <hyperlink ref="I3" location="Bookings!A1" display="&gt; Bookings"/>
    <hyperlink ref="K3" location="'Visit Log'!A1" display="&gt; Visit Log"/>
    <hyperlink ref="M3" location="Invoices!A1" display="&gt; Invoices"/>
    <hyperlink ref="O3" location="Reminders!A1" display="&gt; Reminders"/>
    <hyperlink ref="Q3" location="Help!A1" display="&gt; Help"/>
  </hyperlinks>
  <pageMargins left="0.4" right="0.4" top="0.6" bottom="0.5" header="0.3" footer="0.3"/>
  <pageSetup paperSize="9" fitToHeight="0" orientation="landscape"/>
  <headerFooter>
    <oddHeader>&amp;L&amp;"Calibri,Bold"&amp;12&amp;C&amp;"Calibri,Bold"&amp;11Calc&amp;R&amp;"Calibri,Italic"&amp;9Pet Sitting &amp; Dog Walking Business Spreadsheet</oddHeader>
    <oddFooter>&amp;L&amp;"Calibri,Italic"&amp;8Novality Store - v1.0.0&amp;C&amp;"Calibri,Italic"&amp;8Page &amp;P of &amp;N&amp;R&amp;"Calibri,Italic"&amp;8&amp;D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166</vt:i4>
      </vt:variant>
    </vt:vector>
  </HeadingPairs>
  <TitlesOfParts>
    <vt:vector size="193" baseType="lpstr">
      <vt:lpstr>Start Here</vt:lpstr>
      <vt:lpstr>Dashboard</vt:lpstr>
      <vt:lpstr>Settings</vt:lpstr>
      <vt:lpstr>Lists</vt:lpstr>
      <vt:lpstr>Services</vt:lpstr>
      <vt:lpstr>Clients</vt:lpstr>
      <vt:lpstr>Pets</vt:lpstr>
      <vt:lpstr>Bookings</vt:lpstr>
      <vt:lpstr>Visit Log</vt:lpstr>
      <vt:lpstr>Health Log</vt:lpstr>
      <vt:lpstr>Incidents</vt:lpstr>
      <vt:lpstr>Messages</vt:lpstr>
      <vt:lpstr>Invoices</vt:lpstr>
      <vt:lpstr>Payments</vt:lpstr>
      <vt:lpstr>Expenses</vt:lpstr>
      <vt:lpstr>Mileage</vt:lpstr>
      <vt:lpstr>Staff</vt:lpstr>
      <vt:lpstr>Inventory</vt:lpstr>
      <vt:lpstr>Reminders</vt:lpstr>
      <vt:lpstr>Reports</vt:lpstr>
      <vt:lpstr>Budget</vt:lpstr>
      <vt:lpstr>Print Invoice</vt:lpstr>
      <vt:lpstr>Print Pet Care</vt:lpstr>
      <vt:lpstr>Print Visit</vt:lpstr>
      <vt:lpstr>Print Forms</vt:lpstr>
      <vt:lpstr>Help</vt:lpstr>
      <vt:lpstr>Calc</vt:lpstr>
      <vt:lpstr>AppetiteList</vt:lpstr>
      <vt:lpstr>BillingUnitList</vt:lpstr>
      <vt:lpstr>Biz_Address</vt:lpstr>
      <vt:lpstr>Biz_Bank</vt:lpstr>
      <vt:lpstr>Biz_City</vt:lpstr>
      <vt:lpstr>Biz_Country</vt:lpstr>
      <vt:lpstr>Biz_Email</vt:lpstr>
      <vt:lpstr>Biz_InsuranceRenewal</vt:lpstr>
      <vt:lpstr>Biz_Insurer</vt:lpstr>
      <vt:lpstr>Biz_Licence</vt:lpstr>
      <vt:lpstr>Biz_LicenceRenewal</vt:lpstr>
      <vt:lpstr>Biz_Name</vt:lpstr>
      <vt:lpstr>Biz_Owner</vt:lpstr>
      <vt:lpstr>Biz_Phone</vt:lpstr>
      <vt:lpstr>Biz_Policy</vt:lpstr>
      <vt:lpstr>Biz_Post</vt:lpstr>
      <vt:lpstr>Biz_State</vt:lpstr>
      <vt:lpstr>Biz_TaxID</vt:lpstr>
      <vt:lpstr>Biz_Web</vt:lpstr>
      <vt:lpstr>BookingIDs</vt:lpstr>
      <vt:lpstr>BookingPrefix</vt:lpstr>
      <vt:lpstr>BookingStatusList</vt:lpstr>
      <vt:lpstr>BusinessPersonalList</vt:lpstr>
      <vt:lpstr>CancelReasonList</vt:lpstr>
      <vt:lpstr>ChannelList</vt:lpstr>
      <vt:lpstr>ClientIDs</vt:lpstr>
      <vt:lpstr>ClientNames</vt:lpstr>
      <vt:lpstr>ClientPrefix</vt:lpstr>
      <vt:lpstr>ClientStatusList</vt:lpstr>
      <vt:lpstr>ContactMethodList</vt:lpstr>
      <vt:lpstr>ContractStatusList</vt:lpstr>
      <vt:lpstr>CurrencyCode</vt:lpstr>
      <vt:lpstr>CurrencySymbol</vt:lpstr>
      <vt:lpstr>Dash_Expenses</vt:lpstr>
      <vt:lpstr>Dash_MonthName</vt:lpstr>
      <vt:lpstr>Dash_Profit</vt:lpstr>
      <vt:lpstr>Dash_Revenue</vt:lpstr>
      <vt:lpstr>Dash_Year</vt:lpstr>
      <vt:lpstr>DayEnd</vt:lpstr>
      <vt:lpstr>DayStart</vt:lpstr>
      <vt:lpstr>DefaultVisitMins</vt:lpstr>
      <vt:lpstr>DepositPct</vt:lpstr>
      <vt:lpstr>DirectionList</vt:lpstr>
      <vt:lpstr>DiscountTypeList</vt:lpstr>
      <vt:lpstr>DistanceUnit</vt:lpstr>
      <vt:lpstr>EmergencyFee</vt:lpstr>
      <vt:lpstr>EmploymentTypeList</vt:lpstr>
      <vt:lpstr>ExpenseApprovalList</vt:lpstr>
      <vt:lpstr>ExpenseCategoryList</vt:lpstr>
      <vt:lpstr>ExpiryAlertDays</vt:lpstr>
      <vt:lpstr>ExtraPetFeeDefault</vt:lpstr>
      <vt:lpstr>FixedCosts</vt:lpstr>
      <vt:lpstr>FollowUpDays</vt:lpstr>
      <vt:lpstr>FreeTravelDistance</vt:lpstr>
      <vt:lpstr>FY_Start</vt:lpstr>
      <vt:lpstr>GrowthRate</vt:lpstr>
      <vt:lpstr>HealthRecordTypeList</vt:lpstr>
      <vt:lpstr>HolidayDates</vt:lpstr>
      <vt:lpstr>HolidaySurcharge</vt:lpstr>
      <vt:lpstr>InactiveDays</vt:lpstr>
      <vt:lpstr>IncidentIDs</vt:lpstr>
      <vt:lpstr>IncidentStatusList</vt:lpstr>
      <vt:lpstr>IncidentTypeList</vt:lpstr>
      <vt:lpstr>InventoryCategoryList</vt:lpstr>
      <vt:lpstr>InvoiceNos</vt:lpstr>
      <vt:lpstr>InvoicePrefix</vt:lpstr>
      <vt:lpstr>InvoiceStartNo</vt:lpstr>
      <vt:lpstr>InvoiceStatusList</vt:lpstr>
      <vt:lpstr>KeyStatusList</vt:lpstr>
      <vt:lpstr>LastMinuteDays</vt:lpstr>
      <vt:lpstr>LateFeePct</vt:lpstr>
      <vt:lpstr>LoyaltyDiscount</vt:lpstr>
      <vt:lpstr>LoyaltyThreshold</vt:lpstr>
      <vt:lpstr>MedStatusList</vt:lpstr>
      <vt:lpstr>MessageTypeList</vt:lpstr>
      <vt:lpstr>MileageRate</vt:lpstr>
      <vt:lpstr>MonthList</vt:lpstr>
      <vt:lpstr>MoodList</vt:lpstr>
      <vt:lpstr>OpeningCash</vt:lpstr>
      <vt:lpstr>PaymentMethodList</vt:lpstr>
      <vt:lpstr>PaymentTermsDays</vt:lpstr>
      <vt:lpstr>PayTypeList</vt:lpstr>
      <vt:lpstr>PeriodEnd</vt:lpstr>
      <vt:lpstr>PeriodStart</vt:lpstr>
      <vt:lpstr>PetGenderList</vt:lpstr>
      <vt:lpstr>PetLabels</vt:lpstr>
      <vt:lpstr>PetNames</vt:lpstr>
      <vt:lpstr>PetPrefix</vt:lpstr>
      <vt:lpstr>PetTypeList</vt:lpstr>
      <vt:lpstr>PottyList</vt:lpstr>
      <vt:lpstr>PricesIncludeTax</vt:lpstr>
      <vt:lpstr>'Bookings'!Print_Area</vt:lpstr>
      <vt:lpstr>'Calc'!Print_Area</vt:lpstr>
      <vt:lpstr>'Clients'!Print_Area</vt:lpstr>
      <vt:lpstr>'Expenses'!Print_Area</vt:lpstr>
      <vt:lpstr>'Health Log'!Print_Area</vt:lpstr>
      <vt:lpstr>'Incidents'!Print_Area</vt:lpstr>
      <vt:lpstr>'Inventory'!Print_Area</vt:lpstr>
      <vt:lpstr>'Invoices'!Print_Area</vt:lpstr>
      <vt:lpstr>'Messages'!Print_Area</vt:lpstr>
      <vt:lpstr>'Mileage'!Print_Area</vt:lpstr>
      <vt:lpstr>'Payments'!Print_Area</vt:lpstr>
      <vt:lpstr>'Pets'!Print_Area</vt:lpstr>
      <vt:lpstr>'Print Forms'!Print_Area</vt:lpstr>
      <vt:lpstr>'Print Invoice'!Print_Area</vt:lpstr>
      <vt:lpstr>'Print Pet Care'!Print_Area</vt:lpstr>
      <vt:lpstr>'Print Visit'!Print_Area</vt:lpstr>
      <vt:lpstr>'Reminders'!Print_Area</vt:lpstr>
      <vt:lpstr>'Services'!Print_Area</vt:lpstr>
      <vt:lpstr>'Staff'!Print_Area</vt:lpstr>
      <vt:lpstr>'Visit Log'!Print_Area</vt:lpstr>
      <vt:lpstr>'Bookings'!Print_Titles</vt:lpstr>
      <vt:lpstr>'Calc'!Print_Titles</vt:lpstr>
      <vt:lpstr>'Clients'!Print_Titles</vt:lpstr>
      <vt:lpstr>'Expenses'!Print_Titles</vt:lpstr>
      <vt:lpstr>'Health Log'!Print_Titles</vt:lpstr>
      <vt:lpstr>'Incidents'!Print_Titles</vt:lpstr>
      <vt:lpstr>'Inventory'!Print_Titles</vt:lpstr>
      <vt:lpstr>'Invoices'!Print_Titles</vt:lpstr>
      <vt:lpstr>'Messages'!Print_Titles</vt:lpstr>
      <vt:lpstr>'Mileage'!Print_Titles</vt:lpstr>
      <vt:lpstr>'Payments'!Print_Titles</vt:lpstr>
      <vt:lpstr>'Pets'!Print_Titles</vt:lpstr>
      <vt:lpstr>'Reminders'!Print_Titles</vt:lpstr>
      <vt:lpstr>'Services'!Print_Titles</vt:lpstr>
      <vt:lpstr>'Staff'!Print_Titles</vt:lpstr>
      <vt:lpstr>'Visit Log'!Print_Titles</vt:lpstr>
      <vt:lpstr>PrintInvoiceNo</vt:lpstr>
      <vt:lpstr>PrintPetLabel</vt:lpstr>
      <vt:lpstr>PrintVisitID</vt:lpstr>
      <vt:lpstr>PriorityList</vt:lpstr>
      <vt:lpstr>RatingList</vt:lpstr>
      <vt:lpstr>RecurringExpenseList</vt:lpstr>
      <vt:lpstr>RecurringList</vt:lpstr>
      <vt:lpstr>ReferralSourceList</vt:lpstr>
      <vt:lpstr>ReminderLeadDays</vt:lpstr>
      <vt:lpstr>RepFrom</vt:lpstr>
      <vt:lpstr>RepTo</vt:lpstr>
      <vt:lpstr>ResolutionList</vt:lpstr>
      <vt:lpstr>RiskFlagList</vt:lpstr>
      <vt:lpstr>SavingsActual</vt:lpstr>
      <vt:lpstr>SavingsTarget</vt:lpstr>
      <vt:lpstr>ServiceCategoryList</vt:lpstr>
      <vt:lpstr>ServiceNames</vt:lpstr>
      <vt:lpstr>SeverityList</vt:lpstr>
      <vt:lpstr>StaffCostRate</vt:lpstr>
      <vt:lpstr>StaffNames</vt:lpstr>
      <vt:lpstr>StaffRoleList</vt:lpstr>
      <vt:lpstr>StaffStatusList</vt:lpstr>
      <vt:lpstr>Target_Expenses</vt:lpstr>
      <vt:lpstr>Target_Revenue</vt:lpstr>
      <vt:lpstr>TaskStatusList</vt:lpstr>
      <vt:lpstr>TaxName</vt:lpstr>
      <vt:lpstr>TaxRate</vt:lpstr>
      <vt:lpstr>TaxRegistered</vt:lpstr>
      <vt:lpstr>TaxReservePct</vt:lpstr>
      <vt:lpstr>TemperamentList</vt:lpstr>
      <vt:lpstr>TravelFeeRate</vt:lpstr>
      <vt:lpstr>TravelTimeMins</vt:lpstr>
      <vt:lpstr>TripPurposeList</vt:lpstr>
      <vt:lpstr>VaccAlertDays</vt:lpstr>
      <vt:lpstr>VisitIDs</vt:lpstr>
      <vt:lpstr>VisitStatusList</vt:lpstr>
      <vt:lpstr>WeekendSurcharge</vt:lpstr>
      <vt:lpstr>YesNoList</vt:lpstr>
      <vt:lpstr>YesNoNAList</vt:lpstr>
    </vt:vector>
  </TitlesOfParts>
  <Manager>Novality Store</Manager>
  <Company>Novality Store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Pet Sitting &amp; Dog Walking Business Spreadsheet</dc:title>
  <dc:subject>Pet sitting and dog walking business management</dc:subject>
  <dc:creator>Novality Store</dc:creator>
  <cp:keywords>pet sitting, dog walking, pet care, client booking, invoices, payments, mileage, expenses, profit, spreadsheet template</cp:keywords>
  <dc:description>Pet Sitting &amp; Dog Walking Business Spreadsheet. Created by Novality Store. Version 1.0.0. Formula cells are locked and every sheet is protected with the password 'premium'.</dc:description>
  <cp:lastModifiedBy>Novality Store</cp:lastModifiedBy>
  <dcterms:created xsi:type="dcterms:W3CDTF">2026-10-11T00:00:00Z</dcterms:created>
  <dcterms:modified xsi:type="dcterms:W3CDTF">2026-10-11T00:00:00Z</dcterms:modified>
  <cp:category>Small business spreadsheet template</cp:category>
  <cp:contentStatus>Final</cp:contentStatus>
</cp:coreProperties>
</file>